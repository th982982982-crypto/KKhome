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_DAN" sheetId="1" state="visible" r:id="rId1"/>
    <sheet xmlns:r="http://schemas.openxmlformats.org/officeDocument/2006/relationships" name="THAM_SO" sheetId="2" state="visible" r:id="rId2"/>
    <sheet xmlns:r="http://schemas.openxmlformats.org/officeDocument/2006/relationships" name="DM_NHAN_SU" sheetId="3" state="visible" r:id="rId3"/>
    <sheet xmlns:r="http://schemas.openxmlformats.org/officeDocument/2006/relationships" name="CHAM_CONG_THANG" sheetId="4" state="visible" r:id="rId4"/>
    <sheet xmlns:r="http://schemas.openxmlformats.org/officeDocument/2006/relationships" name="CHAM_CONG_NGAY" sheetId="5" state="visible" r:id="rId5"/>
    <sheet xmlns:r="http://schemas.openxmlformats.org/officeDocument/2006/relationships" name="NGHI_PHEP" sheetId="6" state="visible" r:id="rId6"/>
    <sheet xmlns:r="http://schemas.openxmlformats.org/officeDocument/2006/relationships" name="CHE_DO_BHXH" sheetId="7" state="visible" r:id="rId7"/>
    <sheet xmlns:r="http://schemas.openxmlformats.org/officeDocument/2006/relationships" name="THUONG_T13_TET" sheetId="8" state="visible" r:id="rId8"/>
    <sheet xmlns:r="http://schemas.openxmlformats.org/officeDocument/2006/relationships" name="QT_NGHI_VIEC" sheetId="9" state="visible" r:id="rId9"/>
    <sheet xmlns:r="http://schemas.openxmlformats.org/officeDocument/2006/relationships" name="TINH_LUONG" sheetId="10" state="visible" r:id="rId10"/>
    <sheet xmlns:r="http://schemas.openxmlformats.org/officeDocument/2006/relationships" name="BANG_LUONG" sheetId="11" state="visible" r:id="rId11"/>
    <sheet xmlns:r="http://schemas.openxmlformats.org/officeDocument/2006/relationships" name="PHIEU_LUONG" sheetId="12" state="visible" r:id="rId12"/>
    <sheet xmlns:r="http://schemas.openxmlformats.org/officeDocument/2006/relationships" name="TONG_HOP" sheetId="13" state="visible" r:id="rId13"/>
    <sheet xmlns:r="http://schemas.openxmlformats.org/officeDocument/2006/relationships" name="CHUYEN_KHOAN" sheetId="14" state="visible" r:id="rId14"/>
  </sheets>
  <definedNames/>
</workbook>
</file>

<file path=xl/styles.xml><?xml version="1.0" encoding="utf-8"?>
<styleSheet xmlns="http://schemas.openxmlformats.org/spreadsheetml/2006/main">
  <numFmts count="4">
    <numFmt numFmtId="164" formatCode="dd/mm/yyyy"/>
    <numFmt numFmtId="165" formatCode="#,##0;[Red]-#,##0;–"/>
    <numFmt numFmtId="166" formatCode="0.0%"/>
    <numFmt numFmtId="167" formatCode="mm/yyyy"/>
  </numFmts>
  <fonts count="10">
    <font>
      <name val="Carlito"/>
      <sz val="11"/>
    </font>
    <font>
      <name val="Carlito"/>
      <b val="1"/>
      <color rgb="FFFFFFFF"/>
      <sz val="11"/>
    </font>
    <font>
      <name val="Carlito"/>
      <color rgb="FF17365D"/>
      <sz val="11"/>
    </font>
    <font>
      <name val="Carlito"/>
      <b val="1"/>
      <color rgb="FF17365D"/>
      <sz val="11"/>
    </font>
    <font>
      <name val="Carlito"/>
      <b val="1"/>
      <color rgb="FFC00000"/>
      <sz val="11"/>
    </font>
    <font>
      <name val="Carlito"/>
      <color rgb="FF000000"/>
      <sz val="11"/>
    </font>
    <font>
      <name val="Carlito"/>
      <color rgb="FF0563C1"/>
      <sz val="11"/>
    </font>
    <font>
      <name val="Carlito"/>
      <i val="1"/>
      <color rgb="FF666666"/>
      <sz val="11"/>
    </font>
    <font>
      <name val="Carlito"/>
      <i val="1"/>
      <sz val="11"/>
    </font>
    <font>
      <name val="Carlito"/>
      <b val="1"/>
      <sz val="11"/>
    </font>
  </fonts>
  <fills count="11">
    <fill>
      <patternFill/>
    </fill>
    <fill>
      <patternFill patternType="gray125"/>
    </fill>
    <fill>
      <patternFill patternType="solid">
        <fgColor rgb="FF17365D"/>
      </patternFill>
    </fill>
    <fill>
      <patternFill patternType="solid">
        <fgColor rgb="FFDDEBF7"/>
      </patternFill>
    </fill>
    <fill>
      <patternFill patternType="solid">
        <fgColor rgb="FF1F4E78"/>
      </patternFill>
    </fill>
    <fill>
      <patternFill patternType="solid">
        <fgColor rgb="FFFCE4D6"/>
      </patternFill>
    </fill>
    <fill>
      <patternFill patternType="solid">
        <fgColor rgb="FFFFF2CC"/>
      </patternFill>
    </fill>
    <fill>
      <patternFill patternType="solid">
        <fgColor rgb="FFF2F2F2"/>
      </patternFill>
    </fill>
    <fill>
      <patternFill patternType="solid">
        <fgColor rgb="FFF4CCCC"/>
      </patternFill>
    </fill>
    <fill>
      <patternFill patternType="solid">
        <fgColor rgb="FFE2F0D9"/>
      </patternFill>
    </fill>
    <fill>
      <patternFill patternType="solid">
        <fgColor rgb="FFED7D31"/>
      </patternFill>
    </fill>
  </fills>
  <borders count="33">
    <border/>
    <border>
      <left style="thin">
        <color rgb="FF5B9BD5"/>
      </left>
      <top style="thin">
        <color rgb="FF5B9BD5"/>
      </top>
    </border>
    <border>
      <top style="thin">
        <color rgb="FF5B9BD5"/>
      </top>
    </border>
    <border>
      <right style="thin">
        <color rgb="FF5B9BD5"/>
      </right>
      <top style="thin">
        <color rgb="FF5B9BD5"/>
      </top>
    </border>
    <border>
      <left style="thin">
        <color rgb="FF5B9BD5"/>
      </left>
      <bottom style="thin">
        <color rgb="FF5B9BD5"/>
      </bottom>
    </border>
    <border>
      <bottom style="thin">
        <color rgb="FF5B9BD5"/>
      </bottom>
    </border>
    <border>
      <right style="thin">
        <color rgb="FF5B9BD5"/>
      </right>
      <bottom style="thin">
        <color rgb="FF5B9BD5"/>
      </bottom>
    </border>
    <border>
      <left style="thin">
        <color rgb="FFB7C9D6"/>
      </left>
      <right style="thin">
        <color rgb="FFB7C9D6"/>
      </right>
      <top style="thin">
        <color rgb="FFB7C9D6"/>
      </top>
      <bottom style="thin">
        <color rgb="FFB7C9D6"/>
      </bottom>
    </border>
    <border>
      <left style="medium">
        <color rgb="FFC00000"/>
      </left>
      <top style="medium">
        <color rgb="FFC00000"/>
      </top>
    </border>
    <border>
      <top style="medium">
        <color rgb="FFC00000"/>
      </top>
    </border>
    <border>
      <right style="medium">
        <color rgb="FFC00000"/>
      </right>
      <top style="medium">
        <color rgb="FFC00000"/>
      </top>
    </border>
    <border>
      <left style="medium">
        <color rgb="FFC00000"/>
      </left>
    </border>
    <border>
      <right style="medium">
        <color rgb="FFC00000"/>
      </right>
    </border>
    <border>
      <left style="medium">
        <color rgb="FFC00000"/>
      </left>
      <bottom style="medium">
        <color rgb="FFC00000"/>
      </bottom>
    </border>
    <border>
      <bottom style="medium">
        <color rgb="FFC00000"/>
      </bottom>
    </border>
    <border>
      <right style="medium">
        <color rgb="FFC00000"/>
      </right>
      <bottom style="medium">
        <color rgb="FFC00000"/>
      </bottom>
    </border>
    <border>
      <left style="thin">
        <color rgb="FF5B9BD5"/>
      </left>
    </border>
    <border>
      <right style="thin">
        <color rgb="FF5B9BD5"/>
      </right>
    </border>
    <border>
      <left style="thin">
        <color rgb="FFED7D31"/>
      </left>
      <top style="thin">
        <color rgb="FFED7D31"/>
      </top>
    </border>
    <border>
      <top style="thin">
        <color rgb="FFED7D31"/>
      </top>
    </border>
    <border>
      <right style="thin">
        <color rgb="FFED7D31"/>
      </right>
      <top style="thin">
        <color rgb="FFED7D31"/>
      </top>
    </border>
    <border>
      <left style="thin">
        <color rgb="FFED7D31"/>
      </left>
    </border>
    <border>
      <right style="thin">
        <color rgb="FFED7D31"/>
      </right>
    </border>
    <border>
      <left style="thin">
        <color rgb="FFED7D31"/>
      </left>
      <bottom style="thin">
        <color rgb="FFED7D31"/>
      </bottom>
    </border>
    <border>
      <bottom style="thin">
        <color rgb="FFED7D31"/>
      </bottom>
    </border>
    <border>
      <right style="thin">
        <color rgb="FFED7D31"/>
      </right>
      <bottom style="thin">
        <color rgb="FFED7D31"/>
      </bottom>
    </border>
    <border>
      <left style="thin">
        <color rgb="FF5B9BD5"/>
      </left>
      <right style="thin">
        <color rgb="FF5B9BD5"/>
      </right>
      <top style="thin">
        <color rgb="FF5B9BD5"/>
      </top>
      <bottom style="thin">
        <color rgb="FF5B9BD5"/>
      </bottom>
    </border>
    <border>
      <top style="thin">
        <color rgb="FFB7C9D6"/>
      </top>
    </border>
    <border>
      <right style="thin">
        <color rgb="FFB7C9D6"/>
      </right>
      <top style="thin">
        <color rgb="FFB7C9D6"/>
      </top>
    </border>
    <border>
      <top style="thin">
        <color rgb="FFB7C9D6"/>
      </top>
      <bottom style="thin">
        <color rgb="FFB7C9D6"/>
      </bottom>
    </border>
    <border>
      <right style="thin">
        <color rgb="FFB7C9D6"/>
      </right>
      <top style="thin">
        <color rgb="FFB7C9D6"/>
      </top>
      <bottom style="thin">
        <color rgb="FFB7C9D6"/>
      </bottom>
    </border>
    <border>
      <left style="medium">
        <color rgb="FFC00000"/>
      </left>
      <right style="medium">
        <color rgb="FFC00000"/>
      </right>
      <top style="medium">
        <color rgb="FFC00000"/>
      </top>
      <bottom style="medium">
        <color rgb="FFC00000"/>
      </bottom>
    </border>
    <border>
      <left style="thin">
        <color rgb="FFED7D31"/>
      </left>
      <right style="thin">
        <color rgb="FFED7D31"/>
      </right>
      <top style="thin">
        <color rgb="FFED7D31"/>
      </top>
      <bottom style="thin">
        <color rgb="FFED7D31"/>
      </bottom>
    </border>
  </borders>
  <cellStyleXfs count="1">
    <xf numFmtId="0" fontId="0" fillId="0" borderId="0"/>
  </cellStyleXfs>
  <cellXfs count="24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3" borderId="1" pivotButton="0" quotePrefix="0" xfId="0"/>
    <xf numFmtId="0" fontId="2" fillId="3" borderId="2" pivotButton="0" quotePrefix="0" xfId="0"/>
    <xf numFmtId="0" fontId="2" fillId="3" borderId="3" pivotButton="0" quotePrefix="0" xfId="0"/>
    <xf numFmtId="0" fontId="2" fillId="3" borderId="4" pivotButton="0" quotePrefix="0" xfId="0"/>
    <xf numFmtId="0" fontId="2" fillId="3" borderId="5" pivotButton="0" quotePrefix="0" xfId="0"/>
    <xf numFmtId="0" fontId="2" fillId="3" borderId="6" pivotButton="0" quotePrefix="0" xfId="0"/>
    <xf numFmtId="0" fontId="2" fillId="3" borderId="1" applyAlignment="1" pivotButton="0" quotePrefix="0" xfId="0">
      <alignment wrapText="1"/>
    </xf>
    <xf numFmtId="0" fontId="2" fillId="3" borderId="2" applyAlignment="1" pivotButton="0" quotePrefix="0" xfId="0">
      <alignment wrapText="1"/>
    </xf>
    <xf numFmtId="0" fontId="2" fillId="3" borderId="3" applyAlignment="1" pivotButton="0" quotePrefix="0" xfId="0">
      <alignment wrapText="1"/>
    </xf>
    <xf numFmtId="0" fontId="2" fillId="3" borderId="4" applyAlignment="1" pivotButton="0" quotePrefix="0" xfId="0">
      <alignment wrapText="1"/>
    </xf>
    <xf numFmtId="0" fontId="2" fillId="3" borderId="5" applyAlignment="1" pivotButton="0" quotePrefix="0" xfId="0">
      <alignment wrapText="1"/>
    </xf>
    <xf numFmtId="0" fontId="2" fillId="3" borderId="6" applyAlignment="1" pivotButton="0" quotePrefix="0" xfId="0">
      <alignment wrapText="1"/>
    </xf>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2" fillId="3" borderId="6" applyAlignment="1" pivotButton="0" quotePrefix="0" xfId="0">
      <alignment vertical="center" wrapText="1"/>
    </xf>
    <xf numFmtId="0" fontId="0" fillId="4" borderId="0" pivotButton="0" quotePrefix="0" xfId="0"/>
    <xf numFmtId="0" fontId="1" fillId="4" borderId="0" pivotButton="0" quotePrefix="0" xfId="0"/>
    <xf numFmtId="0" fontId="1" fillId="4" borderId="0" applyAlignment="1" pivotButton="0" quotePrefix="0" xfId="0">
      <alignment horizontal="left"/>
    </xf>
    <xf numFmtId="0" fontId="1" fillId="4" borderId="0" applyAlignment="1" pivotButton="0" quotePrefix="0" xfId="0">
      <alignment horizontal="left" vertical="center"/>
    </xf>
    <xf numFmtId="0" fontId="3" fillId="3" borderId="0" pivotButton="0" quotePrefix="0" xfId="0"/>
    <xf numFmtId="0" fontId="3" fillId="3" borderId="7" pivotButton="0" quotePrefix="0" xfId="0"/>
    <xf numFmtId="0" fontId="3" fillId="3" borderId="7" applyAlignment="1" pivotButton="0" quotePrefix="0" xfId="0">
      <alignment vertical="center"/>
    </xf>
    <xf numFmtId="0" fontId="0" fillId="0" borderId="0" pivotButton="0" quotePrefix="0" xfId="0"/>
    <xf numFmtId="0" fontId="0" fillId="0" borderId="7" pivotButton="0" quotePrefix="0" xfId="0"/>
    <xf numFmtId="0" fontId="0" fillId="0" borderId="7" applyAlignment="1" pivotButton="0" quotePrefix="0" xfId="0">
      <alignment wrapText="1"/>
    </xf>
    <xf numFmtId="0" fontId="0" fillId="0" borderId="7" applyAlignment="1" pivotButton="0" quotePrefix="0" xfId="0">
      <alignment vertical="center" wrapText="1"/>
    </xf>
    <xf numFmtId="0" fontId="0" fillId="5" borderId="0" pivotButton="0" quotePrefix="0" xfId="0"/>
    <xf numFmtId="0" fontId="3" fillId="5" borderId="0" pivotButton="0" quotePrefix="0" xfId="0"/>
    <xf numFmtId="0" fontId="3" fillId="5" borderId="7" pivotButton="0" quotePrefix="0" xfId="0"/>
    <xf numFmtId="0" fontId="3" fillId="5" borderId="7" applyAlignment="1" pivotButton="0" quotePrefix="0" xfId="0">
      <alignment vertical="center"/>
    </xf>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6" borderId="7" pivotButton="0" quotePrefix="0" xfId="0"/>
    <xf numFmtId="0" fontId="0" fillId="7" borderId="7" pivotButton="0" quotePrefix="0" xfId="0"/>
    <xf numFmtId="0" fontId="0" fillId="8" borderId="7" pivotButton="0" quotePrefix="0" xfId="0"/>
    <xf numFmtId="0" fontId="0" fillId="9" borderId="7" pivotButton="0" quotePrefix="0" xfId="0"/>
    <xf numFmtId="0" fontId="0" fillId="3" borderId="7" pivotButton="0" quotePrefix="0" xfId="0"/>
    <xf numFmtId="0" fontId="0" fillId="5" borderId="7" pivotButton="0" quotePrefix="0" xfId="0"/>
    <xf numFmtId="0" fontId="0" fillId="6" borderId="7" applyAlignment="1" pivotButton="0" quotePrefix="0" xfId="0">
      <alignment vertical="center"/>
    </xf>
    <xf numFmtId="0" fontId="0" fillId="0" borderId="7" applyAlignment="1" pivotButton="0" quotePrefix="0" xfId="0">
      <alignment vertical="center"/>
    </xf>
    <xf numFmtId="0" fontId="0" fillId="7" borderId="7" applyAlignment="1" pivotButton="0" quotePrefix="0" xfId="0">
      <alignment vertical="center"/>
    </xf>
    <xf numFmtId="0" fontId="0" fillId="8" borderId="7" applyAlignment="1" pivotButton="0" quotePrefix="0" xfId="0">
      <alignment vertical="center"/>
    </xf>
    <xf numFmtId="0" fontId="0" fillId="9" borderId="7" applyAlignment="1" pivotButton="0" quotePrefix="0" xfId="0">
      <alignment vertical="center"/>
    </xf>
    <xf numFmtId="0" fontId="0" fillId="3" borderId="7" applyAlignment="1" pivotButton="0" quotePrefix="0" xfId="0">
      <alignment vertical="center"/>
    </xf>
    <xf numFmtId="0" fontId="0" fillId="5" borderId="7" applyAlignment="1" pivotButton="0" quotePrefix="0" xfId="0">
      <alignment vertical="center"/>
    </xf>
    <xf numFmtId="0" fontId="0" fillId="6" borderId="7" applyAlignment="1" pivotButton="0" quotePrefix="0" xfId="0">
      <alignment vertical="center" wrapText="1"/>
    </xf>
    <xf numFmtId="0" fontId="0" fillId="7" borderId="7" applyAlignment="1" pivotButton="0" quotePrefix="0" xfId="0">
      <alignment vertical="center" wrapText="1"/>
    </xf>
    <xf numFmtId="0" fontId="0" fillId="8" borderId="7" applyAlignment="1" pivotButton="0" quotePrefix="0" xfId="0">
      <alignment vertical="center" wrapText="1"/>
    </xf>
    <xf numFmtId="0" fontId="0" fillId="9" borderId="7" applyAlignment="1" pivotButton="0" quotePrefix="0" xfId="0">
      <alignment vertical="center" wrapText="1"/>
    </xf>
    <xf numFmtId="0" fontId="0" fillId="3" borderId="7" applyAlignment="1" pivotButton="0" quotePrefix="0" xfId="0">
      <alignment vertical="center" wrapText="1"/>
    </xf>
    <xf numFmtId="0" fontId="0" fillId="5" borderId="7" applyAlignment="1" pivotButton="0" quotePrefix="0" xfId="0">
      <alignment vertical="center" wrapText="1"/>
    </xf>
    <xf numFmtId="0" fontId="4" fillId="8" borderId="0" pivotButton="0" quotePrefix="0" xfId="0"/>
    <xf numFmtId="0" fontId="4" fillId="8" borderId="8" pivotButton="0" quotePrefix="0" xfId="0"/>
    <xf numFmtId="0" fontId="4" fillId="8" borderId="9" pivotButton="0" quotePrefix="0" xfId="0"/>
    <xf numFmtId="0" fontId="4" fillId="8" borderId="10" pivotButton="0" quotePrefix="0" xfId="0"/>
    <xf numFmtId="0" fontId="4" fillId="8" borderId="11" pivotButton="0" quotePrefix="0" xfId="0"/>
    <xf numFmtId="0" fontId="4" fillId="8" borderId="12" pivotButton="0" quotePrefix="0" xfId="0"/>
    <xf numFmtId="0" fontId="4" fillId="8" borderId="13" pivotButton="0" quotePrefix="0" xfId="0"/>
    <xf numFmtId="0" fontId="4" fillId="8" borderId="14" pivotButton="0" quotePrefix="0" xfId="0"/>
    <xf numFmtId="0" fontId="4" fillId="8" borderId="15" pivotButton="0" quotePrefix="0" xfId="0"/>
    <xf numFmtId="0" fontId="4" fillId="8" borderId="8" applyAlignment="1" pivotButton="0" quotePrefix="0" xfId="0">
      <alignment wrapText="1"/>
    </xf>
    <xf numFmtId="0" fontId="4" fillId="8" borderId="9" applyAlignment="1" pivotButton="0" quotePrefix="0" xfId="0">
      <alignment wrapText="1"/>
    </xf>
    <xf numFmtId="0" fontId="4" fillId="8" borderId="10" applyAlignment="1" pivotButton="0" quotePrefix="0" xfId="0">
      <alignment wrapText="1"/>
    </xf>
    <xf numFmtId="0" fontId="4" fillId="8" borderId="11" applyAlignment="1" pivotButton="0" quotePrefix="0" xfId="0">
      <alignment wrapText="1"/>
    </xf>
    <xf numFmtId="0" fontId="4" fillId="8" borderId="0" applyAlignment="1" pivotButton="0" quotePrefix="0" xfId="0">
      <alignment wrapText="1"/>
    </xf>
    <xf numFmtId="0" fontId="4" fillId="8" borderId="12" applyAlignment="1" pivotButton="0" quotePrefix="0" xfId="0">
      <alignment wrapText="1"/>
    </xf>
    <xf numFmtId="0" fontId="4" fillId="8" borderId="13" applyAlignment="1" pivotButton="0" quotePrefix="0" xfId="0">
      <alignment wrapText="1"/>
    </xf>
    <xf numFmtId="0" fontId="4" fillId="8" borderId="14" applyAlignment="1" pivotButton="0" quotePrefix="0" xfId="0">
      <alignment wrapText="1"/>
    </xf>
    <xf numFmtId="0" fontId="4" fillId="8" borderId="15" applyAlignment="1" pivotButton="0" quotePrefix="0" xfId="0">
      <alignment wrapText="1"/>
    </xf>
    <xf numFmtId="0" fontId="4" fillId="8" borderId="8" applyAlignment="1" pivotButton="0" quotePrefix="0" xfId="0">
      <alignment vertical="center" wrapText="1"/>
    </xf>
    <xf numFmtId="0" fontId="4" fillId="8" borderId="9" applyAlignment="1" pivotButton="0" quotePrefix="0" xfId="0">
      <alignment vertical="center" wrapText="1"/>
    </xf>
    <xf numFmtId="0" fontId="4" fillId="8" borderId="10" applyAlignment="1" pivotButton="0" quotePrefix="0" xfId="0">
      <alignment vertical="center" wrapText="1"/>
    </xf>
    <xf numFmtId="0" fontId="4" fillId="8" borderId="11" applyAlignment="1" pivotButton="0" quotePrefix="0" xfId="0">
      <alignment vertical="center" wrapText="1"/>
    </xf>
    <xf numFmtId="0" fontId="4" fillId="8" borderId="0" applyAlignment="1" pivotButton="0" quotePrefix="0" xfId="0">
      <alignment vertical="center" wrapText="1"/>
    </xf>
    <xf numFmtId="0" fontId="4" fillId="8" borderId="12" applyAlignment="1" pivotButton="0" quotePrefix="0" xfId="0">
      <alignment vertical="center" wrapText="1"/>
    </xf>
    <xf numFmtId="0" fontId="4" fillId="8" borderId="13" applyAlignment="1" pivotButton="0" quotePrefix="0" xfId="0">
      <alignment vertical="center" wrapText="1"/>
    </xf>
    <xf numFmtId="0" fontId="4" fillId="8" borderId="14" applyAlignment="1" pivotButton="0" quotePrefix="0" xfId="0">
      <alignment vertical="center" wrapText="1"/>
    </xf>
    <xf numFmtId="0" fontId="4" fillId="8" borderId="15" applyAlignment="1" pivotButton="0" quotePrefix="0" xfId="0">
      <alignment vertical="center" wrapText="1"/>
    </xf>
    <xf numFmtId="0" fontId="2" fillId="3" borderId="16" pivotButton="0" quotePrefix="0" xfId="0"/>
    <xf numFmtId="0" fontId="2" fillId="3" borderId="17" pivotButton="0" quotePrefix="0" xfId="0"/>
    <xf numFmtId="0" fontId="2" fillId="3" borderId="16" applyAlignment="1" pivotButton="0" quotePrefix="0" xfId="0">
      <alignment wrapText="1"/>
    </xf>
    <xf numFmtId="0" fontId="2" fillId="3" borderId="0" applyAlignment="1" pivotButton="0" quotePrefix="0" xfId="0">
      <alignment wrapText="1"/>
    </xf>
    <xf numFmtId="0" fontId="2" fillId="3" borderId="17" applyAlignment="1" pivotButton="0" quotePrefix="0" xfId="0">
      <alignment wrapText="1"/>
    </xf>
    <xf numFmtId="0" fontId="2" fillId="3" borderId="16" applyAlignment="1" pivotButton="0" quotePrefix="0" xfId="0">
      <alignment vertical="center" wrapText="1"/>
    </xf>
    <xf numFmtId="0" fontId="2" fillId="3" borderId="0" applyAlignment="1" pivotButton="0" quotePrefix="0" xfId="0">
      <alignment vertical="center" wrapText="1"/>
    </xf>
    <xf numFmtId="0" fontId="2" fillId="3" borderId="17" applyAlignment="1" pivotButton="0" quotePrefix="0" xfId="0">
      <alignment vertical="center" wrapText="1"/>
    </xf>
    <xf numFmtId="0" fontId="2" fillId="5" borderId="0" pivotButton="0" quotePrefix="0" xfId="0"/>
    <xf numFmtId="0" fontId="2" fillId="5" borderId="18" pivotButton="0" quotePrefix="0" xfId="0"/>
    <xf numFmtId="0" fontId="2" fillId="5" borderId="19" pivotButton="0" quotePrefix="0" xfId="0"/>
    <xf numFmtId="0" fontId="2" fillId="5" borderId="20" pivotButton="0" quotePrefix="0" xfId="0"/>
    <xf numFmtId="0" fontId="2" fillId="5" borderId="21" pivotButton="0" quotePrefix="0" xfId="0"/>
    <xf numFmtId="0" fontId="2" fillId="5" borderId="22" pivotButton="0" quotePrefix="0" xfId="0"/>
    <xf numFmtId="0" fontId="2" fillId="5" borderId="23" pivotButton="0" quotePrefix="0" xfId="0"/>
    <xf numFmtId="0" fontId="2" fillId="5" borderId="24" pivotButton="0" quotePrefix="0" xfId="0"/>
    <xf numFmtId="0" fontId="2" fillId="5" borderId="25" pivotButton="0" quotePrefix="0" xfId="0"/>
    <xf numFmtId="0" fontId="2" fillId="5" borderId="18" applyAlignment="1" pivotButton="0" quotePrefix="0" xfId="0">
      <alignment wrapText="1"/>
    </xf>
    <xf numFmtId="0" fontId="2" fillId="5" borderId="19" applyAlignment="1" pivotButton="0" quotePrefix="0" xfId="0">
      <alignment wrapText="1"/>
    </xf>
    <xf numFmtId="0" fontId="2" fillId="5" borderId="20" applyAlignment="1" pivotButton="0" quotePrefix="0" xfId="0">
      <alignment wrapText="1"/>
    </xf>
    <xf numFmtId="0" fontId="2" fillId="5" borderId="21" applyAlignment="1" pivotButton="0" quotePrefix="0" xfId="0">
      <alignment wrapText="1"/>
    </xf>
    <xf numFmtId="0" fontId="2" fillId="5" borderId="0" applyAlignment="1" pivotButton="0" quotePrefix="0" xfId="0">
      <alignment wrapText="1"/>
    </xf>
    <xf numFmtId="0" fontId="2" fillId="5" borderId="22" applyAlignment="1" pivotButton="0" quotePrefix="0" xfId="0">
      <alignment wrapText="1"/>
    </xf>
    <xf numFmtId="0" fontId="2" fillId="5" borderId="23" applyAlignment="1" pivotButton="0" quotePrefix="0" xfId="0">
      <alignment wrapText="1"/>
    </xf>
    <xf numFmtId="0" fontId="2" fillId="5" borderId="24" applyAlignment="1" pivotButton="0" quotePrefix="0" xfId="0">
      <alignment wrapText="1"/>
    </xf>
    <xf numFmtId="0" fontId="2" fillId="5" borderId="25" applyAlignment="1" pivotButton="0" quotePrefix="0" xfId="0">
      <alignment wrapText="1"/>
    </xf>
    <xf numFmtId="0" fontId="2" fillId="5" borderId="18" applyAlignment="1" pivotButton="0" quotePrefix="0" xfId="0">
      <alignment vertical="center" wrapText="1"/>
    </xf>
    <xf numFmtId="0" fontId="2" fillId="5" borderId="19" applyAlignment="1" pivotButton="0" quotePrefix="0" xfId="0">
      <alignment vertical="center" wrapText="1"/>
    </xf>
    <xf numFmtId="0" fontId="2" fillId="5" borderId="20" applyAlignment="1" pivotButton="0" quotePrefix="0" xfId="0">
      <alignment vertical="center" wrapText="1"/>
    </xf>
    <xf numFmtId="0" fontId="2" fillId="5" borderId="21" applyAlignment="1" pivotButton="0" quotePrefix="0" xfId="0">
      <alignment vertical="center" wrapText="1"/>
    </xf>
    <xf numFmtId="0" fontId="2" fillId="5" borderId="0" applyAlignment="1" pivotButton="0" quotePrefix="0" xfId="0">
      <alignment vertical="center" wrapText="1"/>
    </xf>
    <xf numFmtId="0" fontId="2" fillId="5" borderId="22" applyAlignment="1" pivotButton="0" quotePrefix="0" xfId="0">
      <alignment vertical="center" wrapText="1"/>
    </xf>
    <xf numFmtId="0" fontId="2" fillId="5" borderId="23" applyAlignment="1" pivotButton="0" quotePrefix="0" xfId="0">
      <alignment vertical="center" wrapText="1"/>
    </xf>
    <xf numFmtId="0" fontId="2" fillId="5" borderId="24" applyAlignment="1" pivotButton="0" quotePrefix="0" xfId="0">
      <alignment vertical="center" wrapText="1"/>
    </xf>
    <xf numFmtId="0" fontId="2" fillId="5" borderId="25" applyAlignment="1" pivotButton="0" quotePrefix="0" xfId="0">
      <alignment vertical="center" wrapText="1"/>
    </xf>
    <xf numFmtId="0" fontId="5" fillId="6" borderId="0" pivotButton="0" quotePrefix="0" xfId="0"/>
    <xf numFmtId="0" fontId="5" fillId="6" borderId="7" pivotButton="0" quotePrefix="0" xfId="0"/>
    <xf numFmtId="0" fontId="5" fillId="6" borderId="7" applyAlignment="1" pivotButton="0" quotePrefix="0" xfId="0">
      <alignment vertical="center"/>
    </xf>
    <xf numFmtId="164" fontId="5" fillId="6" borderId="7" applyAlignment="1" pivotButton="0" quotePrefix="0" xfId="0">
      <alignment vertical="center"/>
    </xf>
    <xf numFmtId="164" fontId="5" fillId="6" borderId="7" applyAlignment="1" pivotButton="0" quotePrefix="0" xfId="0">
      <alignment horizontal="center" vertical="center"/>
    </xf>
    <xf numFmtId="4" fontId="5" fillId="6" borderId="7" applyAlignment="1" pivotButton="0" quotePrefix="0" xfId="0">
      <alignment vertical="center"/>
    </xf>
    <xf numFmtId="4" fontId="5" fillId="6" borderId="7" applyAlignment="1" pivotButton="0" quotePrefix="0" xfId="0">
      <alignment horizontal="right" vertical="center"/>
    </xf>
    <xf numFmtId="165" fontId="5" fillId="6" borderId="7" applyAlignment="1" pivotButton="0" quotePrefix="0" xfId="0">
      <alignment vertical="center"/>
    </xf>
    <xf numFmtId="165" fontId="5" fillId="6" borderId="7" applyAlignment="1" pivotButton="0" quotePrefix="0" xfId="0">
      <alignment horizontal="right" vertical="center"/>
    </xf>
    <xf numFmtId="1" fontId="5" fillId="6" borderId="7" applyAlignment="1" pivotButton="0" quotePrefix="0" xfId="0">
      <alignment vertical="center"/>
    </xf>
    <xf numFmtId="1" fontId="5" fillId="6" borderId="7" applyAlignment="1" pivotButton="0" quotePrefix="0" xfId="0">
      <alignment horizontal="right" vertical="center"/>
    </xf>
    <xf numFmtId="0" fontId="0" fillId="10" borderId="0" pivotButton="0" quotePrefix="0" xfId="0"/>
    <xf numFmtId="0" fontId="1" fillId="10" borderId="0" pivotButton="0" quotePrefix="0" xfId="0"/>
    <xf numFmtId="0" fontId="1" fillId="10" borderId="7" pivotButton="0" quotePrefix="0" xfId="0"/>
    <xf numFmtId="0" fontId="1" fillId="10" borderId="7" applyAlignment="1" pivotButton="0" quotePrefix="0" xfId="0">
      <alignment wrapText="1"/>
    </xf>
    <xf numFmtId="0" fontId="1" fillId="10" borderId="7" applyAlignment="1" pivotButton="0" quotePrefix="0" xfId="0">
      <alignment horizontal="center" wrapText="1"/>
    </xf>
    <xf numFmtId="0" fontId="1" fillId="10" borderId="7" applyAlignment="1" pivotButton="0" quotePrefix="0" xfId="0">
      <alignment horizontal="center" vertical="center" wrapText="1"/>
    </xf>
    <xf numFmtId="9" fontId="5" fillId="6" borderId="7" applyAlignment="1" pivotButton="0" quotePrefix="0" xfId="0">
      <alignment vertical="center"/>
    </xf>
    <xf numFmtId="0" fontId="5" fillId="7" borderId="0" pivotButton="0" quotePrefix="0" xfId="0"/>
    <xf numFmtId="0" fontId="5" fillId="7" borderId="7" pivotButton="0" quotePrefix="0" xfId="0"/>
    <xf numFmtId="0" fontId="5" fillId="7" borderId="7" applyAlignment="1" pivotButton="0" quotePrefix="0" xfId="0">
      <alignment vertical="center"/>
    </xf>
    <xf numFmtId="165" fontId="5" fillId="7" borderId="7" applyAlignment="1" pivotButton="0" quotePrefix="0" xfId="0">
      <alignment vertical="center"/>
    </xf>
    <xf numFmtId="165" fontId="5" fillId="7" borderId="7" applyAlignment="1" pivotButton="0" quotePrefix="0" xfId="0">
      <alignment horizontal="right" vertical="center"/>
    </xf>
    <xf numFmtId="166" fontId="5" fillId="6" borderId="7" applyAlignment="1" pivotButton="0" quotePrefix="0" xfId="0">
      <alignment vertical="center"/>
    </xf>
    <xf numFmtId="9" fontId="5" fillId="7" borderId="7" applyAlignment="1" pivotButton="0" quotePrefix="0" xfId="0">
      <alignment vertical="center"/>
    </xf>
    <xf numFmtId="0" fontId="5" fillId="7" borderId="7" applyAlignment="1" pivotButton="0" quotePrefix="0" xfId="0">
      <alignment vertical="center" wrapText="1"/>
    </xf>
    <xf numFmtId="9" fontId="5" fillId="7" borderId="7" applyAlignment="1" pivotButton="0" quotePrefix="0" xfId="0">
      <alignment vertical="center" wrapText="1"/>
    </xf>
    <xf numFmtId="9" fontId="5" fillId="6" borderId="7" applyAlignment="1" pivotButton="0" quotePrefix="0" xfId="0">
      <alignment vertical="center" wrapText="1"/>
    </xf>
    <xf numFmtId="0" fontId="1" fillId="4" borderId="7" pivotButton="0" quotePrefix="0" xfId="0"/>
    <xf numFmtId="0" fontId="1" fillId="4" borderId="7" applyAlignment="1" pivotButton="0" quotePrefix="0" xfId="0">
      <alignment wrapText="1"/>
    </xf>
    <xf numFmtId="0" fontId="1" fillId="4" borderId="7" applyAlignment="1" pivotButton="0" quotePrefix="0" xfId="0">
      <alignment horizontal="center" wrapText="1"/>
    </xf>
    <xf numFmtId="0" fontId="1" fillId="4" borderId="7" applyAlignment="1" pivotButton="0" quotePrefix="0" xfId="0">
      <alignment horizontal="center" vertical="center" wrapText="1"/>
    </xf>
    <xf numFmtId="0" fontId="5" fillId="0" borderId="0" pivotButton="0" quotePrefix="0" xfId="0"/>
    <xf numFmtId="0" fontId="5" fillId="0" borderId="7" pivotButton="0" quotePrefix="0" xfId="0"/>
    <xf numFmtId="0" fontId="5" fillId="0" borderId="7" applyAlignment="1" pivotButton="0" quotePrefix="0" xfId="0">
      <alignment vertical="center"/>
    </xf>
    <xf numFmtId="0" fontId="5" fillId="0" borderId="7" applyAlignment="1" pivotButton="0" quotePrefix="0" xfId="0">
      <alignment vertical="center" wrapText="1"/>
    </xf>
    <xf numFmtId="0" fontId="6" fillId="0" borderId="7" applyAlignment="1" pivotButton="0" quotePrefix="0" xfId="0">
      <alignment vertical="center" wrapText="1"/>
    </xf>
    <xf numFmtId="49" fontId="5" fillId="6" borderId="7" applyAlignment="1" pivotButton="0" quotePrefix="0" xfId="0">
      <alignment vertical="center"/>
    </xf>
    <xf numFmtId="4" fontId="5" fillId="7" borderId="7" applyAlignment="1" pivotButton="0" quotePrefix="0" xfId="0">
      <alignment vertical="center"/>
    </xf>
    <xf numFmtId="4" fontId="5" fillId="7" borderId="7" applyAlignment="1" pivotButton="0" quotePrefix="0" xfId="0">
      <alignment horizontal="right" vertical="center"/>
    </xf>
    <xf numFmtId="164" fontId="5" fillId="7" borderId="7" applyAlignment="1" pivotButton="0" quotePrefix="0" xfId="0">
      <alignment vertical="center"/>
    </xf>
    <xf numFmtId="164" fontId="5" fillId="7" borderId="7" applyAlignment="1" pivotButton="0" quotePrefix="0" xfId="0">
      <alignment horizontal="center" vertical="center"/>
    </xf>
    <xf numFmtId="0" fontId="3" fillId="3" borderId="0" applyAlignment="1" pivotButton="0" quotePrefix="0" xfId="0">
      <alignment horizontal="center"/>
    </xf>
    <xf numFmtId="0" fontId="3" fillId="3" borderId="0" applyAlignment="1" pivotButton="0" quotePrefix="0" xfId="0">
      <alignment horizontal="center" vertical="center"/>
    </xf>
    <xf numFmtId="0" fontId="7" fillId="0" borderId="0" pivotButton="0" quotePrefix="0" xfId="0"/>
    <xf numFmtId="0" fontId="7" fillId="0" borderId="0" applyAlignment="1" pivotButton="0" quotePrefix="0" xfId="0">
      <alignment horizontal="center"/>
    </xf>
    <xf numFmtId="165" fontId="5" fillId="9" borderId="7" applyAlignment="1" pivotButton="0" quotePrefix="0" xfId="0">
      <alignment horizontal="right" vertical="center"/>
    </xf>
    <xf numFmtId="165" fontId="3" fillId="9" borderId="7" applyAlignment="1" pivotButton="0" quotePrefix="0" xfId="0">
      <alignment horizontal="right" vertical="center"/>
    </xf>
    <xf numFmtId="0" fontId="3" fillId="0" borderId="0" pivotButton="0" quotePrefix="0" xfId="0"/>
    <xf numFmtId="0" fontId="3" fillId="0" borderId="0" applyAlignment="1" pivotButton="0" quotePrefix="0" xfId="0">
      <alignment horizontal="center"/>
    </xf>
    <xf numFmtId="167" fontId="0" fillId="0" borderId="0" pivotButton="0" quotePrefix="0" xfId="0"/>
    <xf numFmtId="167" fontId="0" fillId="7" borderId="0" pivotButton="0" quotePrefix="0" xfId="0"/>
    <xf numFmtId="167" fontId="5" fillId="7" borderId="0" pivotButton="0" quotePrefix="0" xfId="0"/>
    <xf numFmtId="167" fontId="5" fillId="7" borderId="7" pivotButton="0" quotePrefix="0" xfId="0"/>
    <xf numFmtId="167" fontId="5" fillId="7" borderId="7" applyAlignment="1" pivotButton="0" quotePrefix="0" xfId="0">
      <alignment vertical="center"/>
    </xf>
    <xf numFmtId="165" fontId="5" fillId="0" borderId="7" applyAlignment="1" pivotButton="0" quotePrefix="0" xfId="0">
      <alignment vertical="center"/>
    </xf>
    <xf numFmtId="165" fontId="5" fillId="0" borderId="7" applyAlignment="1" pivotButton="0" quotePrefix="0" xfId="0">
      <alignment horizontal="right" vertical="center"/>
    </xf>
    <xf numFmtId="0" fontId="5" fillId="3" borderId="7" applyAlignment="1" pivotButton="0" quotePrefix="0" xfId="0">
      <alignment vertical="center"/>
    </xf>
    <xf numFmtId="165" fontId="5" fillId="3" borderId="7" applyAlignment="1" pivotButton="0" quotePrefix="0" xfId="0">
      <alignment horizontal="right" vertical="center"/>
    </xf>
    <xf numFmtId="165" fontId="3" fillId="3" borderId="7" applyAlignment="1" pivotButton="0" quotePrefix="0" xfId="0">
      <alignment horizontal="right" vertical="center"/>
    </xf>
    <xf numFmtId="0" fontId="5" fillId="9" borderId="7" applyAlignment="1" pivotButton="0" quotePrefix="0" xfId="0">
      <alignment vertical="center"/>
    </xf>
    <xf numFmtId="0" fontId="3" fillId="9" borderId="7" applyAlignment="1" pivotButton="0" quotePrefix="0" xfId="0">
      <alignment vertical="center"/>
    </xf>
    <xf numFmtId="0" fontId="8" fillId="5" borderId="0" pivotButton="0" quotePrefix="0" xfId="0"/>
    <xf numFmtId="0" fontId="8" fillId="5" borderId="0" applyAlignment="1" pivotButton="0" quotePrefix="0" xfId="0">
      <alignment wrapText="1"/>
    </xf>
    <xf numFmtId="0" fontId="8" fillId="5" borderId="0" applyAlignment="1" pivotButton="0" quotePrefix="0" xfId="0">
      <alignment vertical="center" wrapText="1"/>
    </xf>
    <xf numFmtId="0" fontId="9" fillId="0" borderId="0" pivotButton="0" quotePrefix="0" xfId="0"/>
    <xf numFmtId="0" fontId="9" fillId="0" borderId="0" applyAlignment="1" pivotButton="0" quotePrefix="0" xfId="0">
      <alignment horizontal="center"/>
    </xf>
    <xf numFmtId="1" fontId="5" fillId="7" borderId="7" applyAlignment="1" pivotButton="0" quotePrefix="0" xfId="0">
      <alignment vertical="center"/>
    </xf>
    <xf numFmtId="1" fontId="5" fillId="7" borderId="7" applyAlignment="1" pivotButton="0" quotePrefix="0" xfId="0">
      <alignment horizontal="right" vertical="center"/>
    </xf>
    <xf numFmtId="0" fontId="4" fillId="8" borderId="7" pivotButton="0" quotePrefix="0" xfId="0"/>
    <xf numFmtId="49" fontId="5" fillId="7" borderId="7" applyAlignment="1" pivotButton="0" quotePrefix="0" xfId="0">
      <alignment vertical="center"/>
    </xf>
    <xf numFmtId="0" fontId="2" fillId="3" borderId="26" applyAlignment="1" pivotButton="0" quotePrefix="0" xfId="0">
      <alignment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29" pivotButton="0" quotePrefix="0" xfId="0"/>
    <xf numFmtId="0" fontId="0" fillId="0" borderId="30" pivotButton="0" quotePrefix="0" xfId="0"/>
    <xf numFmtId="0" fontId="4" fillId="8" borderId="31" applyAlignment="1" pivotButton="0" quotePrefix="0" xfId="0">
      <alignment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2" fillId="5" borderId="32" applyAlignment="1" pivotButton="0" quotePrefix="0" xfId="0">
      <alignment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165" fontId="5" fillId="6" borderId="7" applyAlignment="1" pivotButton="0" quotePrefix="0" xfId="0">
      <alignment horizontal="right" vertical="center"/>
    </xf>
    <xf numFmtId="164" fontId="5" fillId="6" borderId="7" applyAlignment="1" pivotButton="0" quotePrefix="0" xfId="0">
      <alignment horizontal="center" vertical="center"/>
    </xf>
    <xf numFmtId="165" fontId="5" fillId="7" borderId="7" applyAlignment="1" pivotButton="0" quotePrefix="0" xfId="0">
      <alignment horizontal="right" vertical="center"/>
    </xf>
    <xf numFmtId="1" fontId="5" fillId="6" borderId="7" applyAlignment="1" pivotButton="0" quotePrefix="0" xfId="0">
      <alignment horizontal="right" vertical="center"/>
    </xf>
    <xf numFmtId="166" fontId="5" fillId="6" borderId="7" applyAlignment="1" pivotButton="0" quotePrefix="0" xfId="0">
      <alignment vertical="center"/>
    </xf>
    <xf numFmtId="4" fontId="5" fillId="6" borderId="7" applyAlignment="1" pivotButton="0" quotePrefix="0" xfId="0">
      <alignment horizontal="right" vertical="center"/>
    </xf>
    <xf numFmtId="9" fontId="5" fillId="6" borderId="7" applyAlignment="1" pivotButton="0" quotePrefix="0" xfId="0">
      <alignment vertical="center"/>
    </xf>
    <xf numFmtId="9" fontId="5" fillId="7" borderId="7" applyAlignment="1" pivotButton="0" quotePrefix="0" xfId="0">
      <alignment vertical="center" wrapText="1"/>
    </xf>
    <xf numFmtId="9" fontId="5" fillId="6" borderId="7" applyAlignment="1" pivotButton="0" quotePrefix="0" xfId="0">
      <alignment vertical="center" wrapText="1"/>
    </xf>
    <xf numFmtId="49" fontId="5" fillId="6" borderId="7" applyAlignment="1" pivotButton="0" quotePrefix="0" xfId="0">
      <alignment vertical="center"/>
    </xf>
    <xf numFmtId="4" fontId="5" fillId="7" borderId="7" applyAlignment="1" pivotButton="0" quotePrefix="0" xfId="0">
      <alignment horizontal="right" vertical="center"/>
    </xf>
    <xf numFmtId="9" fontId="5" fillId="7" borderId="7" applyAlignment="1" pivotButton="0" quotePrefix="0" xfId="0">
      <alignment vertical="center"/>
    </xf>
    <xf numFmtId="164" fontId="5" fillId="7" borderId="7" applyAlignment="1" pivotButton="0" quotePrefix="0" xfId="0">
      <alignment horizontal="center" vertical="center"/>
    </xf>
    <xf numFmtId="165" fontId="3" fillId="9" borderId="7" applyAlignment="1" pivotButton="0" quotePrefix="0" xfId="0">
      <alignment horizontal="right" vertical="center"/>
    </xf>
    <xf numFmtId="167" fontId="5" fillId="7" borderId="7" applyAlignment="1" pivotButton="0" quotePrefix="0" xfId="0">
      <alignment vertical="center"/>
    </xf>
    <xf numFmtId="165" fontId="5" fillId="0" borderId="7" applyAlignment="1" pivotButton="0" quotePrefix="0" xfId="0">
      <alignment horizontal="right" vertical="center"/>
    </xf>
    <xf numFmtId="165" fontId="3" fillId="3" borderId="7" applyAlignment="1" pivotButton="0" quotePrefix="0" xfId="0">
      <alignment horizontal="right" vertical="center"/>
    </xf>
    <xf numFmtId="1" fontId="5" fillId="7" borderId="7" applyAlignment="1" pivotButton="0" quotePrefix="0" xfId="0">
      <alignment horizontal="right" vertical="center"/>
    </xf>
    <xf numFmtId="49" fontId="5" fillId="7" borderId="7" applyAlignment="1" pivotButton="0" quotePrefix="0" xfId="0">
      <alignment vertical="center"/>
    </xf>
  </cellXfs>
  <cellStyles count="1">
    <cellStyle name="Normal" xfId="0"/>
  </cellStyles>
  <dxfs count="8">
    <dxf>
      <font>
        <b val="1"/>
        <color rgb="FFC00000"/>
      </font>
      <fill>
        <patternFill patternType="solid">
          <bgColor rgb="FFF4CCCC"/>
        </patternFill>
      </fill>
    </dxf>
    <dxf>
      <font>
        <b val="1"/>
        <color rgb="FFC00000"/>
      </font>
      <fill>
        <patternFill patternType="solid">
          <bgColor rgb="FFF4CCCC"/>
        </patternFill>
      </fill>
    </dxf>
    <dxf>
      <font>
        <b val="1"/>
        <color rgb="FFC00000"/>
      </font>
      <fill>
        <patternFill patternType="solid">
          <bgColor rgb="FFF4CCCC"/>
        </patternFill>
      </fill>
    </dxf>
    <dxf>
      <font>
        <b val="1"/>
        <color rgb="FFC00000"/>
      </font>
      <fill>
        <patternFill patternType="solid">
          <bgColor rgb="FFF4CCCC"/>
        </patternFill>
      </fill>
    </dxf>
    <dxf>
      <font>
        <b val="1"/>
        <color rgb="FFC00000"/>
      </font>
      <fill>
        <patternFill patternType="solid">
          <bgColor rgb="FFF4CCCC"/>
        </patternFill>
      </fill>
    </dxf>
    <dxf>
      <font>
        <b val="1"/>
        <color rgb="FFC00000"/>
      </font>
      <fill>
        <patternFill patternType="solid">
          <bgColor rgb="FFF4CCCC"/>
        </patternFill>
      </fill>
    </dxf>
    <dxf>
      <font>
        <b val="1"/>
        <color rgb="FFC00000"/>
      </font>
      <fill>
        <patternFill patternType="solid">
          <bgColor rgb="FFF4CCCC"/>
        </patternFill>
      </fill>
    </dxf>
    <dxf>
      <font>
        <b val="1"/>
        <color rgb="FFC00000"/>
      </font>
      <fill>
        <patternFill patternType="solid">
          <bgColor rgb="FF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10" customWidth="1" style="32" min="1" max="1"/>
    <col width="31" customWidth="1" style="32" min="2" max="2"/>
    <col width="14" customWidth="1" style="32" min="3" max="3"/>
    <col width="14" customWidth="1" style="32" min="4" max="4"/>
    <col width="14" customWidth="1" style="32" min="5" max="5"/>
    <col width="14" customWidth="1" style="32" min="6" max="6"/>
    <col width="14" customWidth="1" style="32" min="7" max="7"/>
    <col width="14" customWidth="1" style="32" min="8" max="8"/>
  </cols>
  <sheetData>
    <row r="1" ht="30" customHeight="1" s="32">
      <c r="A1" s="4" t="inlineStr">
        <is>
          <t>CÔNG CỤ TÍNH LƯƠNG – BHXH – THUẾ TNCN 2026 | QUÀ TẶNG CỘNG ĐỒNG W1</t>
        </is>
      </c>
    </row>
    <row r="2"/>
    <row r="3">
      <c r="A3" s="196" t="inlineStr">
        <is>
          <t>Bản sạch dùng trên Excel 365 cho cá nhân cư trú ký hợp đồng lao động từ 03 tháng. Công cụ hỗ trợ lương Gross, Net–Gross, lương tháng/ngày/giờ/sản phẩm, KPI, hoa hồng, hai cách nhập chấm công, nghỉ phép, chế độ BHXH, thưởng tháng 13/Tết, đoàn phí và quyết toán nghỉ việc.</t>
        </is>
      </c>
      <c r="B3" s="197" t="n"/>
      <c r="C3" s="197" t="n"/>
      <c r="D3" s="197" t="n"/>
      <c r="E3" s="197" t="n"/>
      <c r="F3" s="197" t="n"/>
      <c r="G3" s="197" t="n"/>
      <c r="H3" s="198" t="n"/>
    </row>
    <row r="4">
      <c r="A4" s="199" t="n"/>
      <c r="B4" s="200" t="n"/>
      <c r="C4" s="200" t="n"/>
      <c r="D4" s="200" t="n"/>
      <c r="E4" s="200" t="n"/>
      <c r="F4" s="200" t="n"/>
      <c r="G4" s="200" t="n"/>
      <c r="H4" s="201" t="n"/>
    </row>
    <row r="5"/>
    <row r="6" ht="22" customHeight="1" s="32">
      <c r="A6" s="28" t="inlineStr">
        <is>
          <t>QUY TRÌNH SỬ DỤNG</t>
        </is>
      </c>
    </row>
    <row r="7" ht="31" customHeight="1" s="32">
      <c r="A7" s="31" t="inlineStr">
        <is>
          <t>Bước 1</t>
        </is>
      </c>
      <c r="B7" s="31" t="inlineStr">
        <is>
          <t>THAM_SO</t>
        </is>
      </c>
      <c r="C7" s="35" t="inlineStr">
        <is>
          <t>Điền thông tin doanh nghiệp, kỳ lương, ngày công chuẩn và kiểm tra các tham số pháp lý.</t>
        </is>
      </c>
      <c r="D7" s="202" t="n"/>
      <c r="E7" s="202" t="n"/>
      <c r="F7" s="202" t="n"/>
      <c r="G7" s="202" t="n"/>
      <c r="H7" s="203" t="n"/>
    </row>
    <row r="8" ht="31" customHeight="1" s="32">
      <c r="A8" s="31" t="inlineStr">
        <is>
          <t>Bước 2</t>
        </is>
      </c>
      <c r="B8" s="31" t="inlineStr">
        <is>
          <t>DM_NHAN_SU</t>
        </is>
      </c>
      <c r="C8" s="35" t="inlineStr">
        <is>
          <t>Khai nhân viên, thỏa thuận lương, căn cứ đóng bảo hiểm, đoàn viên và dữ liệu phép năm.</t>
        </is>
      </c>
      <c r="D8" s="202" t="n"/>
      <c r="E8" s="202" t="n"/>
      <c r="F8" s="202" t="n"/>
      <c r="G8" s="202" t="n"/>
      <c r="H8" s="203" t="n"/>
    </row>
    <row r="9" ht="31" customHeight="1" s="32">
      <c r="A9" s="31" t="inlineStr">
        <is>
          <t>Bước 3</t>
        </is>
      </c>
      <c r="B9" s="31" t="inlineStr">
        <is>
          <t>CHAM_CONG_THANG / NGAY</t>
        </is>
      </c>
      <c r="C9" s="35" t="inlineStr">
        <is>
          <t>Chọn nguồn Tổng hợp hoặc Theo ngày; công làm việc phải tách khỏi phép, lễ, việc riêng, ốm, thai sản và nghỉ không lương.</t>
        </is>
      </c>
      <c r="D9" s="202" t="n"/>
      <c r="E9" s="202" t="n"/>
      <c r="F9" s="202" t="n"/>
      <c r="G9" s="202" t="n"/>
      <c r="H9" s="203" t="n"/>
    </row>
    <row r="10" ht="31" customHeight="1" s="32">
      <c r="A10" s="31" t="inlineStr">
        <is>
          <t>Bước 4</t>
        </is>
      </c>
      <c r="B10" s="31" t="inlineStr">
        <is>
          <t>NGHI_PHEP / CHE_DO_BHXH</t>
        </is>
      </c>
      <c r="C10" s="35" t="inlineStr">
        <is>
          <t>Đối chiếu phép còn lại; nhập căn cứ, số ngày/tháng và số thực nhận để so sánh ước tính chế độ ốm đau, thai sản.</t>
        </is>
      </c>
      <c r="D10" s="202" t="n"/>
      <c r="E10" s="202" t="n"/>
      <c r="F10" s="202" t="n"/>
      <c r="G10" s="202" t="n"/>
      <c r="H10" s="203" t="n"/>
    </row>
    <row r="11" ht="31" customHeight="1" s="32">
      <c r="A11" s="31" t="inlineStr">
        <is>
          <t>Bước 5</t>
        </is>
      </c>
      <c r="B11" s="31" t="inlineStr">
        <is>
          <t>THUONG_T13_TET / QT_NGHI_VIEC</t>
        </is>
      </c>
      <c r="C11" s="35" t="inlineStr">
        <is>
          <t>Chọn cách tính thưởng từng người; nếu nghỉ việc, khai riêng khoản chịu thuế, miễn thuế và các khoản phải thu.</t>
        </is>
      </c>
      <c r="D11" s="202" t="n"/>
      <c r="E11" s="202" t="n"/>
      <c r="F11" s="202" t="n"/>
      <c r="G11" s="202" t="n"/>
      <c r="H11" s="203" t="n"/>
    </row>
    <row r="12" ht="31" customHeight="1" s="32">
      <c r="A12" s="31" t="inlineStr">
        <is>
          <t>Bước 6</t>
        </is>
      </c>
      <c r="B12" s="31" t="inlineStr">
        <is>
          <t>TINH_LUONG / BANG_LUONG</t>
        </is>
      </c>
      <c r="C12" s="35" t="inlineStr">
        <is>
          <t>Kiểm tra Gross-up, bảo hiểm, thuế TNCN, đoàn phí, thực lĩnh và toàn bộ cảnh báo trước khi phê duyệt.</t>
        </is>
      </c>
      <c r="D12" s="202" t="n"/>
      <c r="E12" s="202" t="n"/>
      <c r="F12" s="202" t="n"/>
      <c r="G12" s="202" t="n"/>
      <c r="H12" s="203" t="n"/>
    </row>
    <row r="13" ht="31" customHeight="1" s="32">
      <c r="A13" s="31" t="inlineStr">
        <is>
          <t>Bước 7</t>
        </is>
      </c>
      <c r="B13" s="31" t="inlineStr">
        <is>
          <t>PHIEU_LUONG / TONG_HOP</t>
        </is>
      </c>
      <c r="C13" s="35" t="inlineStr">
        <is>
          <t>Chọn mã nhân viên để in phiếu; đối chiếu quỹ lương, thuế, bảo hiểm, trợ cấp và danh sách chuyển khoản.</t>
        </is>
      </c>
      <c r="D13" s="202" t="n"/>
      <c r="E13" s="202" t="n"/>
      <c r="F13" s="202" t="n"/>
      <c r="G13" s="202" t="n"/>
      <c r="H13" s="203" t="n"/>
    </row>
    <row r="14" ht="31" customHeight="1" s="32"/>
    <row r="15" ht="31" customHeight="1" s="32">
      <c r="A15" s="28" t="inlineStr">
        <is>
          <t>PHẠM VI VÀ GIẢ ĐỊNH TÍNH</t>
        </is>
      </c>
    </row>
    <row r="16" ht="31" customHeight="1" s="32">
      <c r="A16" s="39" t="inlineStr">
        <is>
          <t>1</t>
        </is>
      </c>
      <c r="B16" s="39" t="inlineStr">
        <is>
          <t>Net–Gross</t>
        </is>
      </c>
      <c r="C16" s="35" t="inlineStr">
        <is>
          <t>Với nhân viên loại Net, toàn bộ khoản chịu thuế nhập trong tháng được hiểu là số tiền người lao động cần nhận sau BH bắt buộc và thuế TNCN. Khoản miễn thuế được cộng riêng.</t>
        </is>
      </c>
      <c r="D16" s="202" t="n"/>
      <c r="E16" s="202" t="n"/>
      <c r="F16" s="202" t="n"/>
      <c r="G16" s="202" t="n"/>
      <c r="H16" s="203" t="n"/>
    </row>
    <row r="17" ht="31" customHeight="1" s="32">
      <c r="A17" s="39" t="inlineStr">
        <is>
          <t>2</t>
        </is>
      </c>
      <c r="B17" s="39" t="inlineStr">
        <is>
          <t>Bảo hiểm</t>
        </is>
      </c>
      <c r="C17" s="35" t="inlineStr">
        <is>
          <t>Căn cứ đóng BH do người dùng khai theo lương công việc/chức danh, phụ cấp lương và khoản bổ sung cố định. File áp sàn, trần và đưa cảnh báo khi dữ liệu bất thường.</t>
        </is>
      </c>
      <c r="D17" s="202" t="n"/>
      <c r="E17" s="202" t="n"/>
      <c r="F17" s="202" t="n"/>
      <c r="G17" s="202" t="n"/>
      <c r="H17" s="203" t="n"/>
    </row>
    <row r="18" ht="31" customHeight="1" s="32">
      <c r="A18" s="39" t="inlineStr">
        <is>
          <t>3</t>
        </is>
      </c>
      <c r="B18" s="39" t="inlineStr">
        <is>
          <t>Làm thêm/ban đêm</t>
        </is>
      </c>
      <c r="C18" s="35" t="inlineStr">
        <is>
          <t>Tiền lương làm thêm, làm ban đêm trong giới hạn và điều kiện của pháp luật lao động được miễn TNCN đến mức luật định; phần trả vượt mức hoặc không đủ điều kiện chịu thuế. Cột loại trừ cho phép đưa phần không đủ điều kiện trở lại thu nhập chịu thuế.</t>
        </is>
      </c>
      <c r="D18" s="202" t="n"/>
      <c r="E18" s="202" t="n"/>
      <c r="F18" s="202" t="n"/>
      <c r="G18" s="202" t="n"/>
      <c r="H18" s="203" t="n"/>
    </row>
    <row r="19" ht="31" customHeight="1" s="32">
      <c r="A19" s="39" t="inlineStr">
        <is>
          <t>4</t>
        </is>
      </c>
      <c r="B19" s="39" t="inlineStr">
        <is>
          <t>Nghỉ việc/BHXH</t>
        </is>
      </c>
      <c r="C19" s="35" t="inlineStr">
        <is>
          <t>Tiền phép chưa nghỉ khi chấm dứt HĐLĐ và trợ cấp đúng mức luật định được tách miễn thuế; phần vượt mức chịu thuế. Ước tính ốm đau, thai sản không thay thế quyết định của cơ quan BHXH.</t>
        </is>
      </c>
      <c r="D19" s="202" t="n"/>
      <c r="E19" s="202" t="n"/>
      <c r="F19" s="202" t="n"/>
      <c r="G19" s="202" t="n"/>
      <c r="H19" s="203" t="n"/>
    </row>
    <row r="20" ht="31" customHeight="1" s="32">
      <c r="A20" s="39" t="inlineStr">
        <is>
          <t>5</t>
        </is>
      </c>
      <c r="B20" s="39" t="inlineStr">
        <is>
          <t>Ngoài phạm vi</t>
        </is>
      </c>
      <c r="C20" s="35" t="inlineStr">
        <is>
          <t>Chưa xử lý HĐLĐ dưới 03 tháng, cá nhân không cư trú, lao động nước ngoài, thu nhập nhiều nơi, quyết toán thuế năm hoặc tự kết luận bồi thường trong tranh chấp lao động.</t>
        </is>
      </c>
      <c r="D20" s="202" t="n"/>
      <c r="E20" s="202" t="n"/>
      <c r="F20" s="202" t="n"/>
      <c r="G20" s="202" t="n"/>
      <c r="H20" s="203" t="n"/>
    </row>
    <row r="21"/>
    <row r="22" ht="22" customHeight="1" s="32">
      <c r="A22" s="28" t="inlineStr">
        <is>
          <t>QUY ƯỚC MÀU</t>
        </is>
      </c>
    </row>
    <row r="23" ht="31" customHeight="1" s="32">
      <c r="A23" s="57" t="inlineStr">
        <is>
          <t>Ô nhập liệu</t>
        </is>
      </c>
      <c r="B23" s="203" t="n"/>
      <c r="C23" s="35" t="inlineStr">
        <is>
          <t>Người dùng được sửa</t>
        </is>
      </c>
      <c r="D23" s="203" t="n"/>
      <c r="E23" s="58" t="inlineStr">
        <is>
          <t>Ô công thức</t>
        </is>
      </c>
      <c r="F23" s="203" t="n"/>
      <c r="G23" s="35" t="inlineStr">
        <is>
          <t>Không sửa nếu chưa hiểu logic</t>
        </is>
      </c>
      <c r="H23" s="203" t="n"/>
    </row>
    <row r="24" ht="31" customHeight="1" s="32">
      <c r="A24" s="59" t="inlineStr">
        <is>
          <t>Cảnh báo</t>
        </is>
      </c>
      <c r="B24" s="203" t="n"/>
      <c r="C24" s="35" t="inlineStr">
        <is>
          <t>Cần kiểm tra hồ sơ/dữ liệu</t>
        </is>
      </c>
      <c r="D24" s="203" t="n"/>
      <c r="E24" s="60" t="inlineStr">
        <is>
          <t>Kết quả</t>
        </is>
      </c>
      <c r="F24" s="203" t="n"/>
      <c r="G24" s="35" t="inlineStr">
        <is>
          <t>Dùng để đối chiếu hoặc xuất báo cáo</t>
        </is>
      </c>
      <c r="H24" s="203" t="n"/>
    </row>
    <row r="25" ht="31" customHeight="1" s="32">
      <c r="A25" s="61" t="inlineStr">
        <is>
          <t>Nguồn pháp lý</t>
        </is>
      </c>
      <c r="B25" s="203" t="n"/>
      <c r="C25" s="35" t="inlineStr">
        <is>
          <t>Xem tại sheet THAM_SO</t>
        </is>
      </c>
      <c r="D25" s="203" t="n"/>
      <c r="E25" s="62" t="inlineStr">
        <is>
          <t>Bản sạch</t>
        </is>
      </c>
      <c r="F25" s="203" t="n"/>
      <c r="G25" s="35" t="inlineStr">
        <is>
          <t>Không chứa hồ sơ nhân viên hoặc chấm công mẫu</t>
        </is>
      </c>
      <c r="H25" s="203" t="n"/>
    </row>
    <row r="26"/>
    <row r="27" ht="22" customHeight="1" s="32">
      <c r="A27" s="28" t="inlineStr">
        <is>
          <t>LƯU Ý TRƯỚC KHI PHÁT HÀNH HOẶC ÁP DỤNG</t>
        </is>
      </c>
    </row>
    <row r="28">
      <c r="A28" s="204" t="inlineStr">
        <is>
          <t>Đây là công cụ tham khảo và hỗ trợ kiểm soát, không thay thế tư vấn pháp lý, quyết định hưởng BHXH hoặc hồ sơ quyết toán của doanh nghiệp. Trước khi trả lương, kê khai thuế hoặc đóng bảo hiểm, phải đối chiếu văn bản còn hiệu lực, HĐLĐ, thỏa ước/quy chế lương thưởng, nghị quyết công đoàn, hồ sơ người phụ thuộc và chứng từ thực tế.</t>
        </is>
      </c>
      <c r="B28" s="205" t="n"/>
      <c r="C28" s="205" t="n"/>
      <c r="D28" s="205" t="n"/>
      <c r="E28" s="205" t="n"/>
      <c r="F28" s="205" t="n"/>
      <c r="G28" s="205" t="n"/>
      <c r="H28" s="206" t="n"/>
    </row>
    <row r="29">
      <c r="A29" s="207" t="n"/>
      <c r="H29" s="208" t="n"/>
    </row>
    <row r="30">
      <c r="A30" s="207" t="n"/>
      <c r="H30" s="208" t="n"/>
    </row>
    <row r="31">
      <c r="A31" s="209" t="n"/>
      <c r="B31" s="210" t="n"/>
      <c r="C31" s="210" t="n"/>
      <c r="D31" s="210" t="n"/>
      <c r="E31" s="210" t="n"/>
      <c r="F31" s="210" t="n"/>
      <c r="G31" s="210" t="n"/>
      <c r="H31" s="211" t="n"/>
    </row>
    <row r="32"/>
    <row r="33">
      <c r="A33" s="196" t="inlineStr">
        <is>
          <t>Quy ước ngày công: “Ngày công chuẩn” là số ngày phải làm theo lịch doanh nghiệp, không gồm ngày nghỉ hằng tuần và ngày lễ/Tết. Với lương tháng, ngày lễ/Tết được theo dõi nhưng không cộng thêm lần hai; phép năm và việc riêng hưởng lương dùng để bù ngày phải làm. Với lương ngày/giờ/sản phẩm, file tính riêng tiền ngày nghỉ hưởng lương.</t>
        </is>
      </c>
      <c r="B33" s="197" t="n"/>
      <c r="C33" s="197" t="n"/>
      <c r="D33" s="197" t="n"/>
      <c r="E33" s="197" t="n"/>
      <c r="F33" s="197" t="n"/>
      <c r="G33" s="197" t="n"/>
      <c r="H33" s="198" t="n"/>
    </row>
    <row r="34">
      <c r="A34" s="212" t="n"/>
      <c r="H34" s="213" t="n"/>
    </row>
    <row r="35">
      <c r="A35" s="199" t="n"/>
      <c r="B35" s="200" t="n"/>
      <c r="C35" s="200" t="n"/>
      <c r="D35" s="200" t="n"/>
      <c r="E35" s="200" t="n"/>
      <c r="F35" s="200" t="n"/>
      <c r="G35" s="200" t="n"/>
      <c r="H35" s="201" t="n"/>
    </row>
    <row r="36"/>
    <row r="37">
      <c r="A37" s="214" t="inlineStr">
        <is>
          <t>Đoàn phí: mặc định 0,5% căn cứ đóng BHXH và có trần 10% mức lương cơ sở; có thể chọn cách tính theo thực nhận hoặc nhập tay khi công đoàn cơ sở có nghị quyết/quy chế phù hợp. File tự đưa đoàn phí về 0 khi dữ liệu thể hiện hưởng chế độ BHXH từ 01 tháng trở lên hoặc nghỉ không lương đủ cả tháng; vẫn phải kiểm tra hồ sơ thực tế.</t>
        </is>
      </c>
      <c r="B37" s="215" t="n"/>
      <c r="C37" s="215" t="n"/>
      <c r="D37" s="215" t="n"/>
      <c r="E37" s="215" t="n"/>
      <c r="F37" s="215" t="n"/>
      <c r="G37" s="215" t="n"/>
      <c r="H37" s="216" t="n"/>
    </row>
    <row r="38">
      <c r="A38" s="217" t="n"/>
      <c r="H38" s="218" t="n"/>
    </row>
    <row r="39">
      <c r="A39" s="219" t="n"/>
      <c r="B39" s="220" t="n"/>
      <c r="C39" s="220" t="n"/>
      <c r="D39" s="220" t="n"/>
      <c r="E39" s="220" t="n"/>
      <c r="F39" s="220" t="n"/>
      <c r="G39" s="220" t="n"/>
      <c r="H39" s="221" t="n"/>
    </row>
  </sheetData>
  <mergeCells count="33">
    <mergeCell ref="C10:H10"/>
    <mergeCell ref="C16:H16"/>
    <mergeCell ref="A24:B24"/>
    <mergeCell ref="A3:H4"/>
    <mergeCell ref="A15:H15"/>
    <mergeCell ref="C24:D24"/>
    <mergeCell ref="E24:F24"/>
    <mergeCell ref="C9:H9"/>
    <mergeCell ref="E23:F23"/>
    <mergeCell ref="G23:H23"/>
    <mergeCell ref="A1:H1"/>
    <mergeCell ref="C12:H12"/>
    <mergeCell ref="A6:H6"/>
    <mergeCell ref="C11:H11"/>
    <mergeCell ref="A25:B25"/>
    <mergeCell ref="C25:D25"/>
    <mergeCell ref="C8:H8"/>
    <mergeCell ref="C17:H17"/>
    <mergeCell ref="A27:H27"/>
    <mergeCell ref="C7:H7"/>
    <mergeCell ref="C19:H19"/>
    <mergeCell ref="G24:H24"/>
    <mergeCell ref="A28:H31"/>
    <mergeCell ref="C13:H13"/>
    <mergeCell ref="A37:H39"/>
    <mergeCell ref="C18:H18"/>
    <mergeCell ref="A23:B23"/>
    <mergeCell ref="C23:D23"/>
    <mergeCell ref="A22:H22"/>
    <mergeCell ref="E25:F25"/>
    <mergeCell ref="A33:H35"/>
    <mergeCell ref="G25:H25"/>
    <mergeCell ref="C20:H2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45"/>
  <sheetViews>
    <sheetView showGridLines="0" workbookViewId="0">
      <selection activeCell="A1" sqref="A1"/>
    </sheetView>
  </sheetViews>
  <sheetFormatPr baseColWidth="8" defaultRowHeight="15"/>
  <cols>
    <col width="29" customWidth="1" style="32" min="1" max="1"/>
    <col width="15" customWidth="1" style="32" min="2" max="2"/>
    <col width="15" customWidth="1" style="32" min="3" max="3"/>
    <col width="60" customWidth="1" style="32" min="4" max="4"/>
    <col width="24" customWidth="1" style="32" min="5" max="5"/>
    <col width="15" customWidth="1" style="32" min="6" max="6"/>
    <col width="15" customWidth="1" style="32" min="7" max="7"/>
    <col width="15" customWidth="1" style="32" min="8" max="8"/>
    <col width="15" customWidth="1" style="32" min="9" max="9"/>
    <col width="15" customWidth="1" style="32" min="10" max="10"/>
    <col width="3" customWidth="1" style="32" min="11" max="11"/>
    <col width="31" customWidth="1" style="32" min="12" max="12"/>
    <col width="15" customWidth="1" style="32" min="13" max="13"/>
    <col width="15" customWidth="1" style="32" min="14" max="14"/>
    <col width="15" customWidth="1" style="32" min="15" max="15"/>
    <col width="15" customWidth="1" style="32" min="16" max="16"/>
  </cols>
  <sheetData>
    <row r="1" ht="30" customHeight="1" s="32">
      <c r="A1" s="4" t="inlineStr">
        <is>
          <t>THAM SỐ TÍNH LƯƠNG – PHÁP LÝ 2026</t>
        </is>
      </c>
    </row>
    <row r="2"/>
    <row r="3" ht="22" customHeight="1" s="32">
      <c r="A3" s="28" t="inlineStr">
        <is>
          <t>THÔNG TIN KỲ LƯƠNG</t>
        </is>
      </c>
      <c r="E3" s="28" t="inlineStr">
        <is>
          <t>THUẾ TNCN – KỲ TÍNH THUẾ 2026</t>
        </is>
      </c>
      <c r="L3" s="28" t="inlineStr">
        <is>
          <t>BHXH – BHYT – BHTN – KPCĐ</t>
        </is>
      </c>
    </row>
    <row r="4">
      <c r="A4" s="30" t="inlineStr">
        <is>
          <t>Tên đơn vị</t>
        </is>
      </c>
      <c r="B4" s="127" t="inlineStr">
        <is>
          <t>CÔNG TY …</t>
        </is>
      </c>
      <c r="C4" s="203" t="n"/>
      <c r="E4" s="30" t="inlineStr">
        <is>
          <t>Giảm trừ bản thân/tháng</t>
        </is>
      </c>
      <c r="F4" s="222" t="n">
        <v>15500000</v>
      </c>
      <c r="L4" s="30" t="inlineStr">
        <is>
          <t>Mức tham chiếu trước 01/7/2026</t>
        </is>
      </c>
      <c r="M4" s="222" t="n">
        <v>2340000</v>
      </c>
      <c r="N4" s="202" t="n"/>
      <c r="O4" s="202" t="n"/>
      <c r="P4" s="203" t="n"/>
    </row>
    <row r="5">
      <c r="A5" s="30" t="inlineStr">
        <is>
          <t>Địa chỉ</t>
        </is>
      </c>
      <c r="B5" s="127" t="inlineStr">
        <is>
          <t>Địa chỉ doanh nghiệp</t>
        </is>
      </c>
      <c r="C5" s="203" t="n"/>
      <c r="E5" s="30" t="inlineStr">
        <is>
          <t>Giảm trừ 01 NPT/tháng</t>
        </is>
      </c>
      <c r="F5" s="222" t="n">
        <v>6200000</v>
      </c>
      <c r="L5" s="30" t="inlineStr">
        <is>
          <t>Mức tham chiếu từ 01/7/2026</t>
        </is>
      </c>
      <c r="M5" s="222" t="n">
        <v>2530000</v>
      </c>
      <c r="N5" s="202" t="n"/>
      <c r="O5" s="202" t="n"/>
      <c r="P5" s="203" t="n"/>
    </row>
    <row r="6">
      <c r="A6" s="30" t="inlineStr">
        <is>
          <t>Từ ngày</t>
        </is>
      </c>
      <c r="B6" s="223" t="n">
        <v>46204</v>
      </c>
      <c r="C6" s="203" t="n"/>
      <c r="E6" s="30" t="inlineStr">
        <is>
          <t>Tiền ăn ca bằng tiền miễn tối đa</t>
        </is>
      </c>
      <c r="F6" s="222" t="n">
        <v>1200000</v>
      </c>
      <c r="L6" s="30" t="inlineStr">
        <is>
          <t>Mức tham chiếu áp dụng</t>
        </is>
      </c>
      <c r="M6" s="224">
        <f>IF($B$6&gt;=DATE(2026,7,1),$M$5,$M$4)</f>
        <v/>
      </c>
      <c r="N6" s="202" t="n"/>
      <c r="O6" s="202" t="n"/>
      <c r="P6" s="203" t="n"/>
    </row>
    <row r="7">
      <c r="A7" s="30" t="inlineStr">
        <is>
          <t>Đến ngày</t>
        </is>
      </c>
      <c r="B7" s="223" t="n">
        <v>46234</v>
      </c>
      <c r="C7" s="203" t="n"/>
      <c r="E7" s="30" t="inlineStr">
        <is>
          <t>Năm tính thuế</t>
        </is>
      </c>
      <c r="F7" s="225" t="n">
        <v>2026</v>
      </c>
      <c r="L7" s="30" t="inlineStr">
        <is>
          <t>Trần BHXH/BHYT</t>
        </is>
      </c>
      <c r="M7" s="224">
        <f>$M$6*20</f>
        <v/>
      </c>
      <c r="N7" s="202" t="n"/>
      <c r="O7" s="202" t="n"/>
      <c r="P7" s="203" t="n"/>
    </row>
    <row r="8">
      <c r="A8" s="30" t="inlineStr">
        <is>
          <t>Ngày trả lương</t>
        </is>
      </c>
      <c r="B8" s="223" t="n">
        <v>46234</v>
      </c>
      <c r="C8" s="203" t="n"/>
      <c r="L8" s="30" t="inlineStr">
        <is>
          <t>NLĐ – BHXH</t>
        </is>
      </c>
      <c r="M8" s="226" t="n">
        <v>0.08</v>
      </c>
      <c r="N8" s="202" t="n"/>
      <c r="O8" s="202" t="n"/>
      <c r="P8" s="203" t="n"/>
    </row>
    <row r="9">
      <c r="A9" s="30" t="inlineStr">
        <is>
          <t>Ngày công chuẩn</t>
        </is>
      </c>
      <c r="B9" s="227" t="n">
        <v>26</v>
      </c>
      <c r="C9" s="203" t="n"/>
      <c r="E9" s="141" t="inlineStr">
        <is>
          <t>Bậc</t>
        </is>
      </c>
      <c r="F9" s="141" t="inlineStr">
        <is>
          <t>Từ</t>
        </is>
      </c>
      <c r="G9" s="141" t="inlineStr">
        <is>
          <t>Đến</t>
        </is>
      </c>
      <c r="H9" s="141" t="inlineStr">
        <is>
          <t>Thuế suất</t>
        </is>
      </c>
      <c r="I9" s="141" t="inlineStr">
        <is>
          <t>Giảm trừ nhanh</t>
        </is>
      </c>
      <c r="J9" s="141" t="inlineStr">
        <is>
          <t>Ngưỡng Net sau thuế</t>
        </is>
      </c>
      <c r="L9" s="30" t="inlineStr">
        <is>
          <t>NLĐ – BHYT</t>
        </is>
      </c>
      <c r="M9" s="226" t="n">
        <v>0.015</v>
      </c>
      <c r="N9" s="202" t="n"/>
      <c r="O9" s="202" t="n"/>
      <c r="P9" s="203" t="n"/>
    </row>
    <row r="10">
      <c r="A10" s="30" t="inlineStr">
        <is>
          <t>Giờ làm việc/ngày</t>
        </is>
      </c>
      <c r="B10" s="227" t="n">
        <v>8</v>
      </c>
      <c r="C10" s="203" t="n"/>
      <c r="E10" s="127" t="n">
        <v>1</v>
      </c>
      <c r="F10" s="222" t="n">
        <v>0</v>
      </c>
      <c r="G10" s="222" t="n">
        <v>10000000</v>
      </c>
      <c r="H10" s="228" t="n">
        <v>0.05</v>
      </c>
      <c r="I10" s="222" t="n">
        <v>0</v>
      </c>
      <c r="J10" s="222" t="n">
        <v>9500000</v>
      </c>
      <c r="L10" s="30" t="inlineStr">
        <is>
          <t>NLĐ – BHTN</t>
        </is>
      </c>
      <c r="M10" s="226" t="n">
        <v>0.01</v>
      </c>
      <c r="N10" s="202" t="n"/>
      <c r="O10" s="202" t="n"/>
      <c r="P10" s="203" t="n"/>
    </row>
    <row r="11">
      <c r="A11" s="30" t="inlineStr">
        <is>
          <t>Vùng mặc định</t>
        </is>
      </c>
      <c r="B11" s="127" t="inlineStr">
        <is>
          <t>Vùng I</t>
        </is>
      </c>
      <c r="C11" s="203" t="n"/>
      <c r="E11" s="127" t="n">
        <v>2</v>
      </c>
      <c r="F11" s="222" t="n">
        <v>10000000</v>
      </c>
      <c r="G11" s="222" t="n">
        <v>30000000</v>
      </c>
      <c r="H11" s="228" t="n">
        <v>0.1</v>
      </c>
      <c r="I11" s="222" t="n">
        <v>500000</v>
      </c>
      <c r="J11" s="222" t="n">
        <v>27500000</v>
      </c>
      <c r="L11" s="30" t="inlineStr">
        <is>
          <t>NSDLĐ – BHXH</t>
        </is>
      </c>
      <c r="M11" s="226" t="n">
        <v>0.175</v>
      </c>
      <c r="N11" s="202" t="n"/>
      <c r="O11" s="202" t="n"/>
      <c r="P11" s="203" t="n"/>
    </row>
    <row r="12">
      <c r="A12" s="30" t="inlineStr">
        <is>
          <t>Địa điểm lập</t>
        </is>
      </c>
      <c r="B12" s="127" t="inlineStr">
        <is>
          <t>Hà Nội</t>
        </is>
      </c>
      <c r="C12" s="203" t="n"/>
      <c r="E12" s="127" t="n">
        <v>3</v>
      </c>
      <c r="F12" s="222" t="n">
        <v>30000000</v>
      </c>
      <c r="G12" s="222" t="n">
        <v>60000000</v>
      </c>
      <c r="H12" s="228" t="n">
        <v>0.2</v>
      </c>
      <c r="I12" s="222" t="n">
        <v>3500000</v>
      </c>
      <c r="J12" s="222" t="n">
        <v>51500000</v>
      </c>
      <c r="L12" s="30" t="inlineStr">
        <is>
          <t>NSDLĐ – BHYT</t>
        </is>
      </c>
      <c r="M12" s="226" t="n">
        <v>0.03</v>
      </c>
      <c r="N12" s="202" t="n"/>
      <c r="O12" s="202" t="n"/>
      <c r="P12" s="203" t="n"/>
    </row>
    <row r="13">
      <c r="A13" s="30" t="inlineStr">
        <is>
          <t>Ngày cập nhật pháp lý</t>
        </is>
      </c>
      <c r="B13" s="223" t="n">
        <v>46232</v>
      </c>
      <c r="C13" s="203" t="n"/>
      <c r="E13" s="127" t="n">
        <v>4</v>
      </c>
      <c r="F13" s="222" t="n">
        <v>60000000</v>
      </c>
      <c r="G13" s="222" t="n">
        <v>100000000</v>
      </c>
      <c r="H13" s="228" t="n">
        <v>0.3</v>
      </c>
      <c r="I13" s="222" t="n">
        <v>9500000</v>
      </c>
      <c r="J13" s="222" t="n">
        <v>79500000</v>
      </c>
      <c r="L13" s="30" t="inlineStr">
        <is>
          <t>NSDLĐ – BHTN</t>
        </is>
      </c>
      <c r="M13" s="226" t="n">
        <v>0.01</v>
      </c>
      <c r="N13" s="202" t="n"/>
      <c r="O13" s="202" t="n"/>
      <c r="P13" s="203" t="n"/>
    </row>
    <row r="14">
      <c r="A14" s="30" t="inlineStr">
        <is>
          <t>Phiên bản</t>
        </is>
      </c>
      <c r="B14" s="127" t="inlineStr">
        <is>
          <t>KK HOME Payroll 2026.2 – Excel 365</t>
        </is>
      </c>
      <c r="C14" s="203" t="n"/>
      <c r="E14" s="127" t="n">
        <v>5</v>
      </c>
      <c r="F14" s="222" t="n">
        <v>100000000</v>
      </c>
      <c r="G14" s="222" t="n"/>
      <c r="H14" s="228" t="n">
        <v>0.35</v>
      </c>
      <c r="I14" s="222" t="n">
        <v>14500000</v>
      </c>
      <c r="J14" s="222" t="n"/>
      <c r="L14" s="30" t="inlineStr">
        <is>
          <t>Kinh phí công đoàn</t>
        </is>
      </c>
      <c r="M14" s="226" t="n">
        <v>0.02</v>
      </c>
      <c r="N14" s="202" t="n"/>
      <c r="O14" s="202" t="n"/>
      <c r="P14" s="203" t="n"/>
    </row>
    <row r="15"/>
    <row r="16">
      <c r="L16" s="141" t="inlineStr">
        <is>
          <t>Vùng</t>
        </is>
      </c>
      <c r="M16" s="141" t="inlineStr">
        <is>
          <t>Lương tối thiểu tháng</t>
        </is>
      </c>
      <c r="N16" s="141" t="inlineStr">
        <is>
          <t>Lương tối thiểu giờ</t>
        </is>
      </c>
      <c r="O16" s="141" t="inlineStr">
        <is>
          <t>Sàn BHTN</t>
        </is>
      </c>
      <c r="P16" s="141" t="inlineStr">
        <is>
          <t>Trần BHTN</t>
        </is>
      </c>
    </row>
    <row r="17" ht="22" customHeight="1" s="32">
      <c r="A17" s="28" t="inlineStr">
        <is>
          <t>HỆ SỐ LÀM THÊM GIỜ / BAN ĐÊM</t>
        </is>
      </c>
      <c r="L17" s="127" t="inlineStr">
        <is>
          <t>Vùng I</t>
        </is>
      </c>
      <c r="M17" s="222" t="n">
        <v>5310000</v>
      </c>
      <c r="N17" s="222" t="n">
        <v>25500</v>
      </c>
      <c r="O17" s="224">
        <f>$M$6</f>
        <v/>
      </c>
      <c r="P17" s="224">
        <f>M17*20</f>
        <v/>
      </c>
    </row>
    <row r="18">
      <c r="A18" s="141" t="inlineStr">
        <is>
          <t>Loại giờ</t>
        </is>
      </c>
      <c r="B18" s="141" t="inlineStr">
        <is>
          <t>Mức luật định</t>
        </is>
      </c>
      <c r="C18" s="141" t="inlineStr">
        <is>
          <t>Mức doanh nghiệp</t>
        </is>
      </c>
      <c r="D18" s="141" t="inlineStr">
        <is>
          <t>Xử lý TNCN</t>
        </is>
      </c>
      <c r="E18" s="141" t="inlineStr">
        <is>
          <t>Ghi chú</t>
        </is>
      </c>
      <c r="L18" s="127" t="inlineStr">
        <is>
          <t>Vùng II</t>
        </is>
      </c>
      <c r="M18" s="222" t="n">
        <v>4730000</v>
      </c>
      <c r="N18" s="222" t="n">
        <v>22700</v>
      </c>
      <c r="O18" s="224">
        <f>$M$6</f>
        <v/>
      </c>
      <c r="P18" s="224">
        <f>M18*20</f>
        <v/>
      </c>
    </row>
    <row r="19">
      <c r="A19" s="150" t="inlineStr">
        <is>
          <t>OT ngày thường – ban ngày</t>
        </is>
      </c>
      <c r="B19" s="229" t="n">
        <v>1.5</v>
      </c>
      <c r="C19" s="230" t="n">
        <v>1.5</v>
      </c>
      <c r="D19" s="150" t="inlineStr">
        <is>
          <t>Miễn đến mức luật định</t>
        </is>
      </c>
      <c r="E19" s="150" t="inlineStr">
        <is>
          <t>Ít nhất 150%; phần trả cao hơn mức luật định chịu thuế</t>
        </is>
      </c>
      <c r="L19" s="127" t="inlineStr">
        <is>
          <t>Vùng III</t>
        </is>
      </c>
      <c r="M19" s="222" t="n">
        <v>4140000</v>
      </c>
      <c r="N19" s="222" t="n">
        <v>20000</v>
      </c>
      <c r="O19" s="224">
        <f>$M$6</f>
        <v/>
      </c>
      <c r="P19" s="224">
        <f>M19*20</f>
        <v/>
      </c>
    </row>
    <row r="20">
      <c r="A20" s="150" t="inlineStr">
        <is>
          <t>OT ngày nghỉ tuần – ban ngày</t>
        </is>
      </c>
      <c r="B20" s="229" t="n">
        <v>2</v>
      </c>
      <c r="C20" s="230" t="n">
        <v>2</v>
      </c>
      <c r="D20" s="150" t="inlineStr">
        <is>
          <t>Miễn đến mức luật định</t>
        </is>
      </c>
      <c r="E20" s="150" t="inlineStr">
        <is>
          <t>Ít nhất 200%; phần trả cao hơn mức luật định chịu thuế</t>
        </is>
      </c>
      <c r="L20" s="127" t="inlineStr">
        <is>
          <t>Vùng IV</t>
        </is>
      </c>
      <c r="M20" s="222" t="n">
        <v>3700000</v>
      </c>
      <c r="N20" s="222" t="n">
        <v>17800</v>
      </c>
      <c r="O20" s="224">
        <f>$M$6</f>
        <v/>
      </c>
      <c r="P20" s="224">
        <f>M20*20</f>
        <v/>
      </c>
    </row>
    <row r="21">
      <c r="A21" s="150" t="inlineStr">
        <is>
          <t>OT ngày lễ – ban ngày</t>
        </is>
      </c>
      <c r="B21" s="229" t="n">
        <v>3</v>
      </c>
      <c r="C21" s="230" t="n">
        <v>3</v>
      </c>
      <c r="D21" s="150" t="inlineStr">
        <is>
          <t>Miễn đến mức luật định</t>
        </is>
      </c>
      <c r="E21" s="150" t="inlineStr">
        <is>
          <t>Ít nhất 300%; chưa gồm lương ngày lễ nếu NLĐ hưởng lương ngày</t>
        </is>
      </c>
    </row>
    <row r="22" ht="22" customHeight="1" s="32">
      <c r="A22" s="150" t="inlineStr">
        <is>
          <t>Làm việc ban đêm trong ca</t>
        </is>
      </c>
      <c r="B22" s="229" t="n">
        <v>0.3</v>
      </c>
      <c r="C22" s="230" t="n">
        <v>0.3</v>
      </c>
      <c r="D22" s="150" t="inlineStr">
        <is>
          <t>Miễn đến mức luật định</t>
        </is>
      </c>
      <c r="E22" s="150" t="inlineStr">
        <is>
          <t>Phần trả thêm ít nhất 30%</t>
        </is>
      </c>
      <c r="L22" s="28" t="inlineStr">
        <is>
          <t>ĐOÀN PHÍ VÀ MỨC TRỢ CẤP THAM CHIẾU</t>
        </is>
      </c>
    </row>
    <row r="23">
      <c r="A23" s="150" t="inlineStr">
        <is>
          <t>OT ngày thường – ban đêm</t>
        </is>
      </c>
      <c r="B23" s="229" t="n">
        <v>2</v>
      </c>
      <c r="C23" s="230" t="n">
        <v>2</v>
      </c>
      <c r="D23" s="150" t="inlineStr">
        <is>
          <t>Miễn đến mức luật định</t>
        </is>
      </c>
      <c r="E23" s="150" t="inlineStr">
        <is>
          <t>Tổng tối thiểu 200% theo cấu phần luật định</t>
        </is>
      </c>
      <c r="L23" s="30" t="inlineStr">
        <is>
          <t>Đoàn phí mặc định trên căn cứ BH</t>
        </is>
      </c>
      <c r="M23" s="226" t="n">
        <v>0.005</v>
      </c>
      <c r="N23" s="202" t="n"/>
      <c r="O23" s="202" t="n"/>
      <c r="P23" s="203" t="n"/>
    </row>
    <row r="24">
      <c r="A24" s="150" t="inlineStr">
        <is>
          <t>OT ngày nghỉ tuần – ban đêm</t>
        </is>
      </c>
      <c r="B24" s="229" t="n">
        <v>2.7</v>
      </c>
      <c r="C24" s="230" t="n">
        <v>2.7</v>
      </c>
      <c r="D24" s="150" t="inlineStr">
        <is>
          <t>Miễn đến mức luật định</t>
        </is>
      </c>
      <c r="E24" s="150" t="inlineStr">
        <is>
          <t>Tổng tối thiểu 270% theo cấu phần luật định</t>
        </is>
      </c>
      <c r="L24" s="30" t="inlineStr">
        <is>
          <t>Mức lương cơ sở tính trần</t>
        </is>
      </c>
      <c r="M24" s="224">
        <f>$M$6</f>
        <v/>
      </c>
      <c r="N24" s="202" t="n"/>
      <c r="O24" s="202" t="n"/>
      <c r="P24" s="203" t="n"/>
    </row>
    <row r="25">
      <c r="A25" s="150" t="inlineStr">
        <is>
          <t>OT ngày lễ – ban đêm</t>
        </is>
      </c>
      <c r="B25" s="229" t="n">
        <v>3.9</v>
      </c>
      <c r="C25" s="230" t="n">
        <v>3.9</v>
      </c>
      <c r="D25" s="150" t="inlineStr">
        <is>
          <t>Miễn đến mức luật định</t>
        </is>
      </c>
      <c r="E25" s="150" t="inlineStr">
        <is>
          <t>Tổng tối thiểu 390%; chưa gồm lương ngày lễ nếu NLĐ hưởng lương ngày</t>
        </is>
      </c>
      <c r="L25" s="30" t="inlineStr">
        <is>
          <t>Tỷ lệ trần trên lương cơ sở</t>
        </is>
      </c>
      <c r="M25" s="226" t="n">
        <v>0.1</v>
      </c>
      <c r="N25" s="202" t="n"/>
      <c r="O25" s="202" t="n"/>
      <c r="P25" s="203" t="n"/>
    </row>
    <row r="26">
      <c r="L26" s="30" t="inlineStr">
        <is>
          <t>Trần đoàn phí/tháng</t>
        </is>
      </c>
      <c r="M26" s="224">
        <f>$M$24*$M$25</f>
        <v/>
      </c>
      <c r="N26" s="202" t="n"/>
      <c r="O26" s="202" t="n"/>
      <c r="P26" s="203" t="n"/>
    </row>
    <row r="27">
      <c r="L27" s="30" t="inlineStr">
        <is>
          <t>Dưỡng sức/ngày</t>
        </is>
      </c>
      <c r="M27" s="224">
        <f>$M$6*30%</f>
        <v/>
      </c>
      <c r="N27" s="202" t="n"/>
      <c r="O27" s="202" t="n"/>
      <c r="P27" s="203" t="n"/>
    </row>
    <row r="28" ht="22" customHeight="1" s="32">
      <c r="A28" s="28" t="inlineStr">
        <is>
          <t>VĂN BẢN VÀ NGUỒN ĐỐI CHIẾU</t>
        </is>
      </c>
    </row>
    <row r="29">
      <c r="A29" s="156" t="inlineStr">
        <is>
          <t>Văn bản</t>
        </is>
      </c>
      <c r="B29" s="156" t="inlineStr">
        <is>
          <t>Nội dung dùng trong file</t>
        </is>
      </c>
      <c r="C29" s="156" t="inlineStr">
        <is>
          <t>Hiệu lực/áp dụng</t>
        </is>
      </c>
      <c r="D29" s="156" t="inlineStr">
        <is>
          <t>URL</t>
        </is>
      </c>
      <c r="E29" s="141" t="inlineStr">
        <is>
          <t>LƯU Ý PHÁP LÝ VÀ PHÂN LOẠI KHOẢN THU NHẬP</t>
        </is>
      </c>
      <c r="F29" s="202" t="n"/>
      <c r="G29" s="202" t="n"/>
      <c r="H29" s="202" t="n"/>
      <c r="I29" s="202" t="n"/>
      <c r="J29" s="202" t="n"/>
      <c r="K29" s="202" t="n"/>
      <c r="L29" s="202" t="n"/>
      <c r="M29" s="202" t="n"/>
      <c r="N29" s="202" t="n"/>
      <c r="O29" s="202" t="n"/>
      <c r="P29" s="203" t="n"/>
    </row>
    <row r="30" ht="38" customHeight="1" s="32">
      <c r="A30" s="160" t="inlineStr">
        <is>
          <t>Luật 109/2025/QH15</t>
        </is>
      </c>
      <c r="B30" s="160" t="inlineStr">
        <is>
          <t>Thuế TNCN; biểu thuế 05 bậc; giảm trừ</t>
        </is>
      </c>
      <c r="C30" s="160" t="inlineStr">
        <is>
          <t>Thu nhập tiền lương áp dụng kỳ tính thuế 2026</t>
        </is>
      </c>
      <c r="D30" s="161" t="inlineStr">
        <is>
          <t>https://vanban.chinhphu.vn/?classid=1&amp;docid=216495&amp;pageid=27160&amp;typegroupid=3</t>
        </is>
      </c>
      <c r="E30" s="204" t="inlineStr">
        <is>
          <t>Tham số được cập nhật đến 29/7/2026. Ô vàng là dữ liệu phải rà soát. OT/ban đêm được miễn TNCN đến mức luật định nếu đúng giới hạn, điều kiện và hồ sơ; phần vượt hoặc không đủ điều kiện chịu thuế. Tiền phép chưa nghỉ chỉ được tách miễn thuế khi thanh toán đúng trường hợp chấm dứt HĐLĐ/mất việc. Thưởng tháng 13, Tết, KPI/hoa hồng thông thường chịu TNCN và không tự động vào căn cứ BH nếu không phải khoản cố định, thường xuyên theo HĐLĐ.</t>
        </is>
      </c>
      <c r="F30" s="205" t="n"/>
      <c r="G30" s="205" t="n"/>
      <c r="H30" s="205" t="n"/>
      <c r="I30" s="205" t="n"/>
      <c r="J30" s="205" t="n"/>
      <c r="K30" s="205" t="n"/>
      <c r="L30" s="205" t="n"/>
      <c r="M30" s="205" t="n"/>
      <c r="N30" s="205" t="n"/>
      <c r="O30" s="205" t="n"/>
      <c r="P30" s="206" t="n"/>
    </row>
    <row r="31" ht="38" customHeight="1" s="32">
      <c r="A31" s="160" t="inlineStr">
        <is>
          <t>Nghị định 253/2026/NĐ-CP</t>
        </is>
      </c>
      <c r="B31" s="160" t="inlineStr">
        <is>
          <t>Hướng dẫn thuế TNCN; tiền ăn ca; OT/ban đêm</t>
        </is>
      </c>
      <c r="C31" s="160" t="inlineStr">
        <is>
          <t>01/7/2026; nội dung tiền lương áp dụng kỳ tính thuế 2026</t>
        </is>
      </c>
      <c r="D31" s="161" t="inlineStr">
        <is>
          <t>https://vanban.chinhphu.vn/?classid=1&amp;docid=218684&amp;pageid=27160&amp;typegroupid=4</t>
        </is>
      </c>
      <c r="E31" s="207" t="n"/>
      <c r="P31" s="208" t="n"/>
    </row>
    <row r="32" ht="38" customHeight="1" s="32">
      <c r="A32" s="160" t="inlineStr">
        <is>
          <t>Thông tư 87/2026/TT-BTC</t>
        </is>
      </c>
      <c r="B32" s="160" t="inlineStr">
        <is>
          <t>Hướng dẫn chi tiết Luật TNCN và NĐ 253</t>
        </is>
      </c>
      <c r="C32" s="160" t="inlineStr">
        <is>
          <t>01/7/2026</t>
        </is>
      </c>
      <c r="D32" s="161" t="inlineStr">
        <is>
          <t>https://vanban.chinhphu.vn/?docid=218772&amp;pageid=27160</t>
        </is>
      </c>
      <c r="E32" s="207" t="n"/>
      <c r="P32" s="208" t="n"/>
    </row>
    <row r="33" ht="38" customHeight="1" s="32">
      <c r="A33" s="160" t="inlineStr">
        <is>
          <t>Nghị quyết 110/2025/UBTVQH15</t>
        </is>
      </c>
      <c r="B33" s="160" t="inlineStr">
        <is>
          <t>Giảm trừ bản thân 15,5 triệu; NPT 6,2 triệu</t>
        </is>
      </c>
      <c r="C33" s="160" t="inlineStr">
        <is>
          <t>Kỳ tính thuế 2026</t>
        </is>
      </c>
      <c r="D33" s="161" t="inlineStr">
        <is>
          <t>https://xaydungchinhsach.chinhphu.vn/nghi-quyet-110-2025-ubtvqh15-dieu-chinh-muc-giam-tru-gia-canh-cua-thue-thu-nhap-ca-nhan-119251110101313787.htm</t>
        </is>
      </c>
      <c r="E33" s="207" t="n"/>
      <c r="P33" s="208" t="n"/>
    </row>
    <row r="34" ht="38" customHeight="1" s="32">
      <c r="A34" s="160" t="inlineStr">
        <is>
          <t>Luật 41/2024/QH15</t>
        </is>
      </c>
      <c r="B34" s="160" t="inlineStr">
        <is>
          <t>Căn cứ đóng; mức hưởng ốm đau, thai sản, dưỡng sức</t>
        </is>
      </c>
      <c r="C34" s="160" t="inlineStr">
        <is>
          <t>01/7/2025</t>
        </is>
      </c>
      <c r="D34" s="161" t="inlineStr">
        <is>
          <t>https://vanban.chinhphu.vn/?docid=211199&amp;pageid=27160</t>
        </is>
      </c>
      <c r="E34" s="209" t="n"/>
      <c r="F34" s="210" t="n"/>
      <c r="G34" s="210" t="n"/>
      <c r="H34" s="210" t="n"/>
      <c r="I34" s="210" t="n"/>
      <c r="J34" s="210" t="n"/>
      <c r="K34" s="210" t="n"/>
      <c r="L34" s="210" t="n"/>
      <c r="M34" s="210" t="n"/>
      <c r="N34" s="210" t="n"/>
      <c r="O34" s="210" t="n"/>
      <c r="P34" s="211" t="n"/>
    </row>
    <row r="35" ht="38" customHeight="1" s="32">
      <c r="A35" s="160" t="inlineStr">
        <is>
          <t>Thông tư 12/2025/TT-BNV</t>
        </is>
      </c>
      <c r="B35" s="160" t="inlineStr">
        <is>
          <t>Hướng dẫn BHXH bắt buộc và hồ sơ chế độ</t>
        </is>
      </c>
      <c r="C35" s="160" t="inlineStr">
        <is>
          <t>01/7/2025</t>
        </is>
      </c>
      <c r="D35" s="161" t="inlineStr">
        <is>
          <t>https://xaydungchinhsach.chinhphu.vn/toan-van-thong-tu-12-2025-tt-bnv-quy-dinh-chi-tiet-mot-so-dieu-cua-luat-bhxh-ve-bhxh-bat-buoc-11925070415595016.htm</t>
        </is>
      </c>
    </row>
    <row r="36" ht="38" customHeight="1" s="32">
      <c r="A36" s="160" t="inlineStr">
        <is>
          <t>Nghị định 158/2025/NĐ-CP</t>
        </is>
      </c>
      <c r="B36" s="160" t="inlineStr">
        <is>
          <t>Tiền lương làm căn cứ đóng BHXH bắt buộc</t>
        </is>
      </c>
      <c r="C36" s="160" t="inlineStr">
        <is>
          <t>01/7/2025</t>
        </is>
      </c>
      <c r="D36" s="161" t="inlineStr">
        <is>
          <t>https://vanban.chinhphu.vn/?docid=214189&amp;pageid=27160</t>
        </is>
      </c>
    </row>
    <row r="37" ht="38" customHeight="1" s="32">
      <c r="A37" s="160" t="inlineStr">
        <is>
          <t>Nghị định 293/2025/NĐ-CP</t>
        </is>
      </c>
      <c r="B37" s="160" t="inlineStr">
        <is>
          <t>Lương tối thiểu vùng năm 2026</t>
        </is>
      </c>
      <c r="C37" s="160" t="inlineStr">
        <is>
          <t>01/01/2026</t>
        </is>
      </c>
      <c r="D37" s="161" t="inlineStr">
        <is>
          <t>https://vanban.chinhphu.vn/?docid=215832&amp;pageid=27160</t>
        </is>
      </c>
    </row>
    <row r="38" ht="38" customHeight="1" s="32">
      <c r="A38" s="160" t="inlineStr">
        <is>
          <t>Nghị định 161/2026/NĐ-CP</t>
        </is>
      </c>
      <c r="B38" s="160" t="inlineStr">
        <is>
          <t>Mức lương cơ sở 2,53 triệu từ 01/7/2026</t>
        </is>
      </c>
      <c r="C38" s="160" t="inlineStr">
        <is>
          <t>01/7/2026</t>
        </is>
      </c>
      <c r="D38" s="161" t="inlineStr">
        <is>
          <t>https://vanban.chinhphu.vn/?docid=218107&amp;pageid=27160</t>
        </is>
      </c>
    </row>
    <row r="39" ht="38" customHeight="1" s="32">
      <c r="A39" s="160" t="inlineStr">
        <is>
          <t>Luật Việc làm 74/2025/QH15</t>
        </is>
      </c>
      <c r="B39" s="160" t="inlineStr">
        <is>
          <t>Đối tượng, căn cứ và trần đóng BHTN</t>
        </is>
      </c>
      <c r="C39" s="160" t="inlineStr">
        <is>
          <t>01/01/2026</t>
        </is>
      </c>
      <c r="D39" s="161" t="inlineStr">
        <is>
          <t>https://vanban.chinhphu.vn/?docid=214560&amp;pageid=27160</t>
        </is>
      </c>
    </row>
    <row r="40" ht="38" customHeight="1" s="32">
      <c r="A40" s="160" t="inlineStr">
        <is>
          <t>Bộ luật Lao động 45/2019/QH14</t>
        </is>
      </c>
      <c r="B40" s="160" t="inlineStr">
        <is>
          <t>OT/ban đêm; phép năm; trợ cấp và thanh toán khi chấm dứt HĐLĐ</t>
        </is>
      </c>
      <c r="C40" s="160" t="inlineStr">
        <is>
          <t>01/01/2021</t>
        </is>
      </c>
      <c r="D40" s="161" t="inlineStr">
        <is>
          <t>https://vanban.chinhphu.vn/?docid=198540&amp;pageid=27160</t>
        </is>
      </c>
    </row>
    <row r="41" ht="38" customHeight="1" s="32">
      <c r="A41" s="160" t="inlineStr">
        <is>
          <t>Nghị định 145/2020/NĐ-CP</t>
        </is>
      </c>
      <c r="B41" s="160" t="inlineStr">
        <is>
          <t>Công thức OT, nghỉ phép, trợ cấp thôi việc/mất việc</t>
        </is>
      </c>
      <c r="C41" s="160" t="inlineStr">
        <is>
          <t>01/02/2021</t>
        </is>
      </c>
      <c r="D41" s="161" t="inlineStr">
        <is>
          <t>https://vanban.chinhphu.vn/?docid=201967&amp;pageid=27160</t>
        </is>
      </c>
    </row>
    <row r="42" ht="38" customHeight="1" s="32">
      <c r="A42" s="160" t="inlineStr">
        <is>
          <t>Luật Công đoàn 50/2024/QH15</t>
        </is>
      </c>
      <c r="B42" s="160" t="inlineStr">
        <is>
          <t>Kinh phí công đoàn bằng 2% quỹ lương đóng BHXH</t>
        </is>
      </c>
      <c r="C42" s="160" t="inlineStr">
        <is>
          <t>01/7/2025</t>
        </is>
      </c>
      <c r="D42" s="161" t="inlineStr">
        <is>
          <t>https://vanban.chinhphu.vn/?classid=1&amp;docid=212478&amp;pageid=27160&amp;typegroupid=3</t>
        </is>
      </c>
    </row>
    <row r="43" ht="38" customHeight="1" s="32">
      <c r="A43" s="160" t="inlineStr">
        <is>
          <t>Nghị định 105/2026/NĐ-CP</t>
        </is>
      </c>
      <c r="B43" s="160" t="inlineStr">
        <is>
          <t>Tài chính công đoàn</t>
        </is>
      </c>
      <c r="C43" s="160" t="inlineStr">
        <is>
          <t>16/5/2026</t>
        </is>
      </c>
      <c r="D43" s="161" t="inlineStr">
        <is>
          <t>https://vanban.chinhphu.vn/?docid=217500&amp;pageid=27160</t>
        </is>
      </c>
    </row>
    <row r="44" ht="38" customHeight="1" s="32">
      <c r="A44" s="160" t="inlineStr">
        <is>
          <t>Quyết định 61/QĐ-TLĐ</t>
        </is>
      </c>
      <c r="B44" s="160" t="inlineStr">
        <is>
          <t>Đoàn phí của đoàn viên; mức thông dụng 0,5% và trần</t>
        </is>
      </c>
      <c r="C44" s="160" t="inlineStr">
        <is>
          <t>Năm 2026; cần đối chiếu đối tượng và nghị quyết công đoàn</t>
        </is>
      </c>
      <c r="D44" s="161" t="inlineStr">
        <is>
          <t>https://pbgdpl.cantho.gov.vn/quyet-dinh-61qd-tld-ve-dieu-chinh-giam-muc-dong-doan-phi-cong-doan</t>
        </is>
      </c>
    </row>
    <row r="45" ht="38" customHeight="1" s="32">
      <c r="A45" s="160" t="inlineStr">
        <is>
          <t>Chính phủ – hướng dẫn TNCN tiền lương</t>
        </is>
      </c>
      <c r="B45" s="160" t="inlineStr">
        <is>
          <t>Miễn thuế OT/ban đêm trong mức luật định; tiền phép khi nghỉ việc</t>
        </is>
      </c>
      <c r="C45" s="160" t="inlineStr">
        <is>
          <t>Quy định áp dụng năm 2026</t>
        </is>
      </c>
      <c r="D45" s="161" t="inlineStr">
        <is>
          <t>https://baochinhphu.vn/cac-truong-hop-tien-luong-tien-cong-duoc-mien-thue-tncn-102260715163431228.htm</t>
        </is>
      </c>
    </row>
    <row r="46" ht="38" customHeight="1" s="32"/>
    <row r="47" ht="38" customHeight="1" s="32"/>
    <row r="48" ht="38" customHeight="1" s="32"/>
  </sheetData>
  <mergeCells count="36">
    <mergeCell ref="M27:P27"/>
    <mergeCell ref="M8:P8"/>
    <mergeCell ref="M26:P26"/>
    <mergeCell ref="B7:C7"/>
    <mergeCell ref="M24:P24"/>
    <mergeCell ref="A3:C3"/>
    <mergeCell ref="M14:P14"/>
    <mergeCell ref="M23:P23"/>
    <mergeCell ref="B12:C12"/>
    <mergeCell ref="A28:P28"/>
    <mergeCell ref="L3:P3"/>
    <mergeCell ref="M4:P4"/>
    <mergeCell ref="B11:C11"/>
    <mergeCell ref="B14:C14"/>
    <mergeCell ref="E30:P34"/>
    <mergeCell ref="B8:C8"/>
    <mergeCell ref="M9:P9"/>
    <mergeCell ref="B13:C13"/>
    <mergeCell ref="M5:P5"/>
    <mergeCell ref="A1:P1"/>
    <mergeCell ref="B10:C10"/>
    <mergeCell ref="M11:P11"/>
    <mergeCell ref="B9:C9"/>
    <mergeCell ref="M10:P10"/>
    <mergeCell ref="E3:J3"/>
    <mergeCell ref="A17:E17"/>
    <mergeCell ref="L22:P22"/>
    <mergeCell ref="B6:C6"/>
    <mergeCell ref="M13:P13"/>
    <mergeCell ref="B5:C5"/>
    <mergeCell ref="M7:P7"/>
    <mergeCell ref="M25:P25"/>
    <mergeCell ref="M6:P6"/>
    <mergeCell ref="M12:P12"/>
    <mergeCell ref="B4:C4"/>
    <mergeCell ref="E29:P29"/>
  </mergeCells>
  <dataValidations count="1">
    <dataValidation sqref="B11" showDropDown="0" showInputMessage="0" showErrorMessage="0" allowBlank="0" type="list">
      <formula1>"Vùng I,Vùng II,Vùng III,Vùng IV"</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55"/>
  <sheetViews>
    <sheetView showGridLines="0" workbookViewId="0">
      <selection activeCell="A1" sqref="A1"/>
    </sheetView>
  </sheetViews>
  <sheetFormatPr baseColWidth="8" defaultRowHeight="15"/>
  <cols>
    <col width="6" customWidth="1" style="32" min="1" max="1"/>
    <col width="12" customWidth="1" style="32" min="2" max="2"/>
    <col width="23" customWidth="1" style="32" min="3" max="3"/>
    <col width="16" customWidth="1" style="32" min="4" max="4"/>
    <col width="22" customWidth="1" style="32" min="5" max="5"/>
    <col width="12" customWidth="1" style="32" min="6" max="6"/>
    <col width="12" customWidth="1" style="32" min="7" max="7"/>
    <col width="11" customWidth="1" style="32" min="8" max="8"/>
    <col width="11" customWidth="1" style="32" min="9" max="9"/>
    <col width="17" customWidth="1" style="32" min="10" max="10"/>
    <col width="16" customWidth="1" style="32" min="11" max="11"/>
    <col width="14" customWidth="1" style="32" min="12" max="12"/>
    <col width="14" customWidth="1" style="32" min="13" max="13"/>
    <col width="18" customWidth="1" style="32" min="14" max="14"/>
    <col width="18" customWidth="1" style="32" min="15" max="15"/>
    <col width="19" customWidth="1" style="32" min="16" max="16"/>
    <col width="18" customWidth="1" style="32" min="17" max="17"/>
    <col width="12" customWidth="1" style="32" min="18" max="18"/>
    <col width="10" customWidth="1" style="32" min="19" max="19"/>
    <col width="9" customWidth="1" style="32" min="20" max="20"/>
    <col width="15" customWidth="1" style="32" min="21" max="21"/>
    <col width="17" customWidth="1" style="32" min="22" max="22"/>
    <col width="17" customWidth="1" style="32" min="23" max="23"/>
    <col width="18" customWidth="1" style="32" min="24" max="24"/>
    <col width="25" customWidth="1" style="32" min="25" max="25"/>
    <col width="30" customWidth="1" style="32" min="26" max="26"/>
    <col width="11" customWidth="1" style="32" min="27" max="27"/>
    <col width="18" customWidth="1" style="32" min="28" max="28"/>
    <col width="17" customWidth="1" style="32" min="29" max="29"/>
    <col width="14" customWidth="1" style="32" min="30" max="30"/>
    <col width="16" customWidth="1" style="32" min="31" max="31"/>
    <col width="14" customWidth="1" style="32" min="32" max="32"/>
    <col width="18" customWidth="1" style="32" min="33" max="33"/>
    <col width="20" customWidth="1" style="32" min="34" max="34"/>
  </cols>
  <sheetData>
    <row r="1" ht="30" customHeight="1" s="32">
      <c r="A1" s="4" t="inlineStr">
        <is>
          <t>DANH MỤC NHÂN SỰ VÀ THỎA THUẬN LƯƠNG</t>
        </is>
      </c>
    </row>
    <row r="2">
      <c r="A2" s="96" t="inlineStr">
        <is>
          <t>Nhập một dòng cho mỗi nhân viên. Mức lương/đơn giá tại K là Gross hoặc Net theo I. Căn cứ đóng BH tại N:P lấy từ HĐLĐ/phụ lục và quy chế; không mặc định bằng tổng thu nhập. AA:AH dùng cho đoàn phí và phép năm; ngày phép cơ bản phải chọn 12/14/16 theo điều kiện công việc, cộng thâm niên riêng.</t>
        </is>
      </c>
    </row>
    <row r="3"/>
    <row r="4"/>
    <row r="5" ht="50" customHeight="1" s="32">
      <c r="A5" s="156" t="inlineStr">
        <is>
          <t>STT</t>
        </is>
      </c>
      <c r="B5" s="156" t="inlineStr">
        <is>
          <t>Mã NV</t>
        </is>
      </c>
      <c r="C5" s="156" t="inlineStr">
        <is>
          <t>Họ và tên</t>
        </is>
      </c>
      <c r="D5" s="156" t="inlineStr">
        <is>
          <t>Bộ phận</t>
        </is>
      </c>
      <c r="E5" s="156" t="inlineStr">
        <is>
          <t>Chức danh</t>
        </is>
      </c>
      <c r="F5" s="156" t="inlineStr">
        <is>
          <t>Ngày vào</t>
        </is>
      </c>
      <c r="G5" s="156" t="inlineStr">
        <is>
          <t>Ngày nghỉ</t>
        </is>
      </c>
      <c r="H5" s="156" t="inlineStr">
        <is>
          <t>Vùng</t>
        </is>
      </c>
      <c r="I5" s="156" t="inlineStr">
        <is>
          <t>Loại lương</t>
        </is>
      </c>
      <c r="J5" s="156" t="inlineStr">
        <is>
          <t>Hình thức trả lương</t>
        </is>
      </c>
      <c r="K5" s="156" t="inlineStr">
        <is>
          <t>Mức lương/đơn giá</t>
        </is>
      </c>
      <c r="L5" s="156" t="inlineStr">
        <is>
          <t>Công chuẩn riêng</t>
        </is>
      </c>
      <c r="M5" s="156" t="inlineStr">
        <is>
          <t>Giờ/ngày riêng</t>
        </is>
      </c>
      <c r="N5" s="156" t="inlineStr">
        <is>
          <t>Lương công việc đóng BH</t>
        </is>
      </c>
      <c r="O5" s="156" t="inlineStr">
        <is>
          <t>Phụ cấp lương đóng BH</t>
        </is>
      </c>
      <c r="P5" s="156" t="inlineStr">
        <is>
          <t>Bổ sung cố định đóng BH</t>
        </is>
      </c>
      <c r="Q5" s="156" t="inlineStr">
        <is>
          <t>Lương giờ tính OT (ghi đè)</t>
        </is>
      </c>
      <c r="R5" s="156" t="inlineStr">
        <is>
          <t>BHXH+BHYT</t>
        </is>
      </c>
      <c r="S5" s="156" t="inlineStr">
        <is>
          <t>BHTN</t>
        </is>
      </c>
      <c r="T5" s="156" t="inlineStr">
        <is>
          <t>Số NPT</t>
        </is>
      </c>
      <c r="U5" s="156" t="inlineStr">
        <is>
          <t>MST</t>
        </is>
      </c>
      <c r="V5" s="156" t="inlineStr">
        <is>
          <t>CCCD</t>
        </is>
      </c>
      <c r="W5" s="156" t="inlineStr">
        <is>
          <t>Số tài khoản</t>
        </is>
      </c>
      <c r="X5" s="156" t="inlineStr">
        <is>
          <t>Ngân hàng</t>
        </is>
      </c>
      <c r="Y5" s="156" t="inlineStr">
        <is>
          <t>Email</t>
        </is>
      </c>
      <c r="Z5" s="156" t="inlineStr">
        <is>
          <t>Ghi chú</t>
        </is>
      </c>
      <c r="AA5" s="156" t="inlineStr">
        <is>
          <t>Đoàn viên</t>
        </is>
      </c>
      <c r="AB5" s="156" t="inlineStr">
        <is>
          <t>Cách tính đoàn phí</t>
        </is>
      </c>
      <c r="AC5" s="156" t="inlineStr">
        <is>
          <t>Đoàn phí nhập tay</t>
        </is>
      </c>
      <c r="AD5" s="156" t="inlineStr">
        <is>
          <t>Phép cơ bản/năm</t>
        </is>
      </c>
      <c r="AE5" s="156" t="inlineStr">
        <is>
          <t>Phép tăng do thâm niên</t>
        </is>
      </c>
      <c r="AF5" s="156" t="inlineStr">
        <is>
          <t>Phép chuyển sang</t>
        </is>
      </c>
      <c r="AG5" s="156" t="inlineStr">
        <is>
          <t>Phép đã dùng trước kỳ</t>
        </is>
      </c>
      <c r="AH5" s="156" t="inlineStr">
        <is>
          <t>Đơn giá ngày phép/lễ ghi đè</t>
        </is>
      </c>
    </row>
    <row r="6">
      <c r="A6" s="145">
        <f>IF($B6="","",ROW()-5)</f>
        <v/>
      </c>
      <c r="B6" s="127" t="n"/>
      <c r="C6" s="127" t="n"/>
      <c r="D6" s="127" t="n"/>
      <c r="E6" s="127" t="n"/>
      <c r="F6" s="223" t="n"/>
      <c r="G6" s="223" t="n"/>
      <c r="H6" s="127" t="n"/>
      <c r="I6" s="127" t="n"/>
      <c r="J6" s="127" t="n"/>
      <c r="K6" s="222" t="n"/>
      <c r="L6" s="227" t="n"/>
      <c r="M6" s="227" t="n"/>
      <c r="N6" s="222" t="n"/>
      <c r="O6" s="222" t="n"/>
      <c r="P6" s="222" t="n"/>
      <c r="Q6" s="222" t="n"/>
      <c r="R6" s="127" t="n"/>
      <c r="S6" s="127" t="n"/>
      <c r="T6" s="225" t="n"/>
      <c r="U6" s="231" t="n"/>
      <c r="V6" s="231" t="n"/>
      <c r="W6" s="231" t="n"/>
      <c r="X6" s="127" t="n"/>
      <c r="Y6" s="127" t="n"/>
      <c r="Z6" s="127" t="n"/>
      <c r="AA6" s="127" t="n"/>
      <c r="AB6" s="127" t="n"/>
      <c r="AC6" s="222" t="n"/>
      <c r="AD6" s="227" t="n"/>
      <c r="AE6" s="227" t="n"/>
      <c r="AF6" s="227" t="n"/>
      <c r="AG6" s="227" t="n"/>
      <c r="AH6" s="222" t="n"/>
    </row>
    <row r="7">
      <c r="A7" s="145">
        <f>IF($B7="","",ROW()-5)</f>
        <v/>
      </c>
      <c r="B7" s="127" t="n"/>
      <c r="C7" s="127" t="n"/>
      <c r="D7" s="127" t="n"/>
      <c r="E7" s="127" t="n"/>
      <c r="F7" s="223" t="n"/>
      <c r="G7" s="223" t="n"/>
      <c r="H7" s="127" t="n"/>
      <c r="I7" s="127" t="n"/>
      <c r="J7" s="127" t="n"/>
      <c r="K7" s="222" t="n"/>
      <c r="L7" s="227" t="n"/>
      <c r="M7" s="227" t="n"/>
      <c r="N7" s="222" t="n"/>
      <c r="O7" s="222" t="n"/>
      <c r="P7" s="222" t="n"/>
      <c r="Q7" s="222" t="n"/>
      <c r="R7" s="127" t="n"/>
      <c r="S7" s="127" t="n"/>
      <c r="T7" s="225" t="n"/>
      <c r="U7" s="231" t="n"/>
      <c r="V7" s="231" t="n"/>
      <c r="W7" s="231" t="n"/>
      <c r="X7" s="127" t="n"/>
      <c r="Y7" s="127" t="n"/>
      <c r="Z7" s="127" t="n"/>
      <c r="AA7" s="127" t="n"/>
      <c r="AB7" s="127" t="n"/>
      <c r="AC7" s="222" t="n"/>
      <c r="AD7" s="227" t="n"/>
      <c r="AE7" s="227" t="n"/>
      <c r="AF7" s="227" t="n"/>
      <c r="AG7" s="227" t="n"/>
      <c r="AH7" s="222" t="n"/>
    </row>
    <row r="8">
      <c r="A8" s="145">
        <f>IF($B8="","",ROW()-5)</f>
        <v/>
      </c>
      <c r="B8" s="127" t="n"/>
      <c r="C8" s="127" t="n"/>
      <c r="D8" s="127" t="n"/>
      <c r="E8" s="127" t="n"/>
      <c r="F8" s="223" t="n"/>
      <c r="G8" s="223" t="n"/>
      <c r="H8" s="127" t="n"/>
      <c r="I8" s="127" t="n"/>
      <c r="J8" s="127" t="n"/>
      <c r="K8" s="222" t="n"/>
      <c r="L8" s="227" t="n"/>
      <c r="M8" s="227" t="n"/>
      <c r="N8" s="222" t="n"/>
      <c r="O8" s="222" t="n"/>
      <c r="P8" s="222" t="n"/>
      <c r="Q8" s="222" t="n"/>
      <c r="R8" s="127" t="n"/>
      <c r="S8" s="127" t="n"/>
      <c r="T8" s="225" t="n"/>
      <c r="U8" s="231" t="n"/>
      <c r="V8" s="231" t="n"/>
      <c r="W8" s="231" t="n"/>
      <c r="X8" s="127" t="n"/>
      <c r="Y8" s="127" t="n"/>
      <c r="Z8" s="127" t="n"/>
      <c r="AA8" s="127" t="n"/>
      <c r="AB8" s="127" t="n"/>
      <c r="AC8" s="222" t="n"/>
      <c r="AD8" s="227" t="n"/>
      <c r="AE8" s="227" t="n"/>
      <c r="AF8" s="227" t="n"/>
      <c r="AG8" s="227" t="n"/>
      <c r="AH8" s="222" t="n"/>
    </row>
    <row r="9">
      <c r="A9" s="145">
        <f>IF($B9="","",ROW()-5)</f>
        <v/>
      </c>
      <c r="B9" s="127" t="n"/>
      <c r="C9" s="127" t="n"/>
      <c r="D9" s="127" t="n"/>
      <c r="E9" s="127" t="n"/>
      <c r="F9" s="223" t="n"/>
      <c r="G9" s="223" t="n"/>
      <c r="H9" s="127" t="n"/>
      <c r="I9" s="127" t="n"/>
      <c r="J9" s="127" t="n"/>
      <c r="K9" s="222" t="n"/>
      <c r="L9" s="227" t="n"/>
      <c r="M9" s="227" t="n"/>
      <c r="N9" s="222" t="n"/>
      <c r="O9" s="222" t="n"/>
      <c r="P9" s="222" t="n"/>
      <c r="Q9" s="222" t="n"/>
      <c r="R9" s="127" t="n"/>
      <c r="S9" s="127" t="n"/>
      <c r="T9" s="225" t="n"/>
      <c r="U9" s="231" t="n"/>
      <c r="V9" s="231" t="n"/>
      <c r="W9" s="231" t="n"/>
      <c r="X9" s="127" t="n"/>
      <c r="Y9" s="127" t="n"/>
      <c r="Z9" s="127" t="n"/>
      <c r="AA9" s="127" t="n"/>
      <c r="AB9" s="127" t="n"/>
      <c r="AC9" s="222" t="n"/>
      <c r="AD9" s="227" t="n"/>
      <c r="AE9" s="227" t="n"/>
      <c r="AF9" s="227" t="n"/>
      <c r="AG9" s="227" t="n"/>
      <c r="AH9" s="222" t="n"/>
    </row>
    <row r="10">
      <c r="A10" s="145">
        <f>IF($B10="","",ROW()-5)</f>
        <v/>
      </c>
      <c r="B10" s="127" t="n"/>
      <c r="C10" s="127" t="n"/>
      <c r="D10" s="127" t="n"/>
      <c r="E10" s="127" t="n"/>
      <c r="F10" s="223" t="n"/>
      <c r="G10" s="223" t="n"/>
      <c r="H10" s="127" t="n"/>
      <c r="I10" s="127" t="n"/>
      <c r="J10" s="127" t="n"/>
      <c r="K10" s="222" t="n"/>
      <c r="L10" s="227" t="n"/>
      <c r="M10" s="227" t="n"/>
      <c r="N10" s="222" t="n"/>
      <c r="O10" s="222" t="n"/>
      <c r="P10" s="222" t="n"/>
      <c r="Q10" s="222" t="n"/>
      <c r="R10" s="127" t="n"/>
      <c r="S10" s="127" t="n"/>
      <c r="T10" s="225" t="n"/>
      <c r="U10" s="231" t="n"/>
      <c r="V10" s="231" t="n"/>
      <c r="W10" s="231" t="n"/>
      <c r="X10" s="127" t="n"/>
      <c r="Y10" s="127" t="n"/>
      <c r="Z10" s="127" t="n"/>
      <c r="AA10" s="127" t="n"/>
      <c r="AB10" s="127" t="n"/>
      <c r="AC10" s="222" t="n"/>
      <c r="AD10" s="227" t="n"/>
      <c r="AE10" s="227" t="n"/>
      <c r="AF10" s="227" t="n"/>
      <c r="AG10" s="227" t="n"/>
      <c r="AH10" s="222" t="n"/>
    </row>
    <row r="11">
      <c r="A11" s="145">
        <f>IF($B11="","",ROW()-5)</f>
        <v/>
      </c>
      <c r="B11" s="127" t="n"/>
      <c r="C11" s="127" t="n"/>
      <c r="D11" s="127" t="n"/>
      <c r="E11" s="127" t="n"/>
      <c r="F11" s="223" t="n"/>
      <c r="G11" s="223" t="n"/>
      <c r="H11" s="127" t="n"/>
      <c r="I11" s="127" t="n"/>
      <c r="J11" s="127" t="n"/>
      <c r="K11" s="222" t="n"/>
      <c r="L11" s="227" t="n"/>
      <c r="M11" s="227" t="n"/>
      <c r="N11" s="222" t="n"/>
      <c r="O11" s="222" t="n"/>
      <c r="P11" s="222" t="n"/>
      <c r="Q11" s="222" t="n"/>
      <c r="R11" s="127" t="n"/>
      <c r="S11" s="127" t="n"/>
      <c r="T11" s="225" t="n"/>
      <c r="U11" s="231" t="n"/>
      <c r="V11" s="231" t="n"/>
      <c r="W11" s="231" t="n"/>
      <c r="X11" s="127" t="n"/>
      <c r="Y11" s="127" t="n"/>
      <c r="Z11" s="127" t="n"/>
      <c r="AA11" s="127" t="n"/>
      <c r="AB11" s="127" t="n"/>
      <c r="AC11" s="222" t="n"/>
      <c r="AD11" s="227" t="n"/>
      <c r="AE11" s="227" t="n"/>
      <c r="AF11" s="227" t="n"/>
      <c r="AG11" s="227" t="n"/>
      <c r="AH11" s="222" t="n"/>
    </row>
    <row r="12">
      <c r="A12" s="145">
        <f>IF($B12="","",ROW()-5)</f>
        <v/>
      </c>
      <c r="B12" s="127" t="n"/>
      <c r="C12" s="127" t="n"/>
      <c r="D12" s="127" t="n"/>
      <c r="E12" s="127" t="n"/>
      <c r="F12" s="223" t="n"/>
      <c r="G12" s="223" t="n"/>
      <c r="H12" s="127" t="n"/>
      <c r="I12" s="127" t="n"/>
      <c r="J12" s="127" t="n"/>
      <c r="K12" s="222" t="n"/>
      <c r="L12" s="227" t="n"/>
      <c r="M12" s="227" t="n"/>
      <c r="N12" s="222" t="n"/>
      <c r="O12" s="222" t="n"/>
      <c r="P12" s="222" t="n"/>
      <c r="Q12" s="222" t="n"/>
      <c r="R12" s="127" t="n"/>
      <c r="S12" s="127" t="n"/>
      <c r="T12" s="225" t="n"/>
      <c r="U12" s="231" t="n"/>
      <c r="V12" s="231" t="n"/>
      <c r="W12" s="231" t="n"/>
      <c r="X12" s="127" t="n"/>
      <c r="Y12" s="127" t="n"/>
      <c r="Z12" s="127" t="n"/>
      <c r="AA12" s="127" t="n"/>
      <c r="AB12" s="127" t="n"/>
      <c r="AC12" s="222" t="n"/>
      <c r="AD12" s="227" t="n"/>
      <c r="AE12" s="227" t="n"/>
      <c r="AF12" s="227" t="n"/>
      <c r="AG12" s="227" t="n"/>
      <c r="AH12" s="222" t="n"/>
    </row>
    <row r="13">
      <c r="A13" s="145">
        <f>IF($B13="","",ROW()-5)</f>
        <v/>
      </c>
      <c r="B13" s="127" t="n"/>
      <c r="C13" s="127" t="n"/>
      <c r="D13" s="127" t="n"/>
      <c r="E13" s="127" t="n"/>
      <c r="F13" s="223" t="n"/>
      <c r="G13" s="223" t="n"/>
      <c r="H13" s="127" t="n"/>
      <c r="I13" s="127" t="n"/>
      <c r="J13" s="127" t="n"/>
      <c r="K13" s="222" t="n"/>
      <c r="L13" s="227" t="n"/>
      <c r="M13" s="227" t="n"/>
      <c r="N13" s="222" t="n"/>
      <c r="O13" s="222" t="n"/>
      <c r="P13" s="222" t="n"/>
      <c r="Q13" s="222" t="n"/>
      <c r="R13" s="127" t="n"/>
      <c r="S13" s="127" t="n"/>
      <c r="T13" s="225" t="n"/>
      <c r="U13" s="231" t="n"/>
      <c r="V13" s="231" t="n"/>
      <c r="W13" s="231" t="n"/>
      <c r="X13" s="127" t="n"/>
      <c r="Y13" s="127" t="n"/>
      <c r="Z13" s="127" t="n"/>
      <c r="AA13" s="127" t="n"/>
      <c r="AB13" s="127" t="n"/>
      <c r="AC13" s="222" t="n"/>
      <c r="AD13" s="227" t="n"/>
      <c r="AE13" s="227" t="n"/>
      <c r="AF13" s="227" t="n"/>
      <c r="AG13" s="227" t="n"/>
      <c r="AH13" s="222" t="n"/>
    </row>
    <row r="14">
      <c r="A14" s="145">
        <f>IF($B14="","",ROW()-5)</f>
        <v/>
      </c>
      <c r="B14" s="127" t="n"/>
      <c r="C14" s="127" t="n"/>
      <c r="D14" s="127" t="n"/>
      <c r="E14" s="127" t="n"/>
      <c r="F14" s="223" t="n"/>
      <c r="G14" s="223" t="n"/>
      <c r="H14" s="127" t="n"/>
      <c r="I14" s="127" t="n"/>
      <c r="J14" s="127" t="n"/>
      <c r="K14" s="222" t="n"/>
      <c r="L14" s="227" t="n"/>
      <c r="M14" s="227" t="n"/>
      <c r="N14" s="222" t="n"/>
      <c r="O14" s="222" t="n"/>
      <c r="P14" s="222" t="n"/>
      <c r="Q14" s="222" t="n"/>
      <c r="R14" s="127" t="n"/>
      <c r="S14" s="127" t="n"/>
      <c r="T14" s="225" t="n"/>
      <c r="U14" s="231" t="n"/>
      <c r="V14" s="231" t="n"/>
      <c r="W14" s="231" t="n"/>
      <c r="X14" s="127" t="n"/>
      <c r="Y14" s="127" t="n"/>
      <c r="Z14" s="127" t="n"/>
      <c r="AA14" s="127" t="n"/>
      <c r="AB14" s="127" t="n"/>
      <c r="AC14" s="222" t="n"/>
      <c r="AD14" s="227" t="n"/>
      <c r="AE14" s="227" t="n"/>
      <c r="AF14" s="227" t="n"/>
      <c r="AG14" s="227" t="n"/>
      <c r="AH14" s="222" t="n"/>
    </row>
    <row r="15">
      <c r="A15" s="145">
        <f>IF($B15="","",ROW()-5)</f>
        <v/>
      </c>
      <c r="B15" s="127" t="n"/>
      <c r="C15" s="127" t="n"/>
      <c r="D15" s="127" t="n"/>
      <c r="E15" s="127" t="n"/>
      <c r="F15" s="223" t="n"/>
      <c r="G15" s="223" t="n"/>
      <c r="H15" s="127" t="n"/>
      <c r="I15" s="127" t="n"/>
      <c r="J15" s="127" t="n"/>
      <c r="K15" s="222" t="n"/>
      <c r="L15" s="227" t="n"/>
      <c r="M15" s="227" t="n"/>
      <c r="N15" s="222" t="n"/>
      <c r="O15" s="222" t="n"/>
      <c r="P15" s="222" t="n"/>
      <c r="Q15" s="222" t="n"/>
      <c r="R15" s="127" t="n"/>
      <c r="S15" s="127" t="n"/>
      <c r="T15" s="225" t="n"/>
      <c r="U15" s="231" t="n"/>
      <c r="V15" s="231" t="n"/>
      <c r="W15" s="231" t="n"/>
      <c r="X15" s="127" t="n"/>
      <c r="Y15" s="127" t="n"/>
      <c r="Z15" s="127" t="n"/>
      <c r="AA15" s="127" t="n"/>
      <c r="AB15" s="127" t="n"/>
      <c r="AC15" s="222" t="n"/>
      <c r="AD15" s="227" t="n"/>
      <c r="AE15" s="227" t="n"/>
      <c r="AF15" s="227" t="n"/>
      <c r="AG15" s="227" t="n"/>
      <c r="AH15" s="222" t="n"/>
    </row>
    <row r="16">
      <c r="A16" s="145">
        <f>IF($B16="","",ROW()-5)</f>
        <v/>
      </c>
      <c r="B16" s="127" t="n"/>
      <c r="C16" s="127" t="n"/>
      <c r="D16" s="127" t="n"/>
      <c r="E16" s="127" t="n"/>
      <c r="F16" s="223" t="n"/>
      <c r="G16" s="223" t="n"/>
      <c r="H16" s="127" t="n"/>
      <c r="I16" s="127" t="n"/>
      <c r="J16" s="127" t="n"/>
      <c r="K16" s="222" t="n"/>
      <c r="L16" s="227" t="n"/>
      <c r="M16" s="227" t="n"/>
      <c r="N16" s="222" t="n"/>
      <c r="O16" s="222" t="n"/>
      <c r="P16" s="222" t="n"/>
      <c r="Q16" s="222" t="n"/>
      <c r="R16" s="127" t="n"/>
      <c r="S16" s="127" t="n"/>
      <c r="T16" s="225" t="n"/>
      <c r="U16" s="231" t="n"/>
      <c r="V16" s="231" t="n"/>
      <c r="W16" s="231" t="n"/>
      <c r="X16" s="127" t="n"/>
      <c r="Y16" s="127" t="n"/>
      <c r="Z16" s="127" t="n"/>
      <c r="AA16" s="127" t="n"/>
      <c r="AB16" s="127" t="n"/>
      <c r="AC16" s="222" t="n"/>
      <c r="AD16" s="227" t="n"/>
      <c r="AE16" s="227" t="n"/>
      <c r="AF16" s="227" t="n"/>
      <c r="AG16" s="227" t="n"/>
      <c r="AH16" s="222" t="n"/>
    </row>
    <row r="17">
      <c r="A17" s="145">
        <f>IF($B17="","",ROW()-5)</f>
        <v/>
      </c>
      <c r="B17" s="127" t="n"/>
      <c r="C17" s="127" t="n"/>
      <c r="D17" s="127" t="n"/>
      <c r="E17" s="127" t="n"/>
      <c r="F17" s="223" t="n"/>
      <c r="G17" s="223" t="n"/>
      <c r="H17" s="127" t="n"/>
      <c r="I17" s="127" t="n"/>
      <c r="J17" s="127" t="n"/>
      <c r="K17" s="222" t="n"/>
      <c r="L17" s="227" t="n"/>
      <c r="M17" s="227" t="n"/>
      <c r="N17" s="222" t="n"/>
      <c r="O17" s="222" t="n"/>
      <c r="P17" s="222" t="n"/>
      <c r="Q17" s="222" t="n"/>
      <c r="R17" s="127" t="n"/>
      <c r="S17" s="127" t="n"/>
      <c r="T17" s="225" t="n"/>
      <c r="U17" s="231" t="n"/>
      <c r="V17" s="231" t="n"/>
      <c r="W17" s="231" t="n"/>
      <c r="X17" s="127" t="n"/>
      <c r="Y17" s="127" t="n"/>
      <c r="Z17" s="127" t="n"/>
      <c r="AA17" s="127" t="n"/>
      <c r="AB17" s="127" t="n"/>
      <c r="AC17" s="222" t="n"/>
      <c r="AD17" s="227" t="n"/>
      <c r="AE17" s="227" t="n"/>
      <c r="AF17" s="227" t="n"/>
      <c r="AG17" s="227" t="n"/>
      <c r="AH17" s="222" t="n"/>
    </row>
    <row r="18">
      <c r="A18" s="145">
        <f>IF($B18="","",ROW()-5)</f>
        <v/>
      </c>
      <c r="B18" s="127" t="n"/>
      <c r="C18" s="127" t="n"/>
      <c r="D18" s="127" t="n"/>
      <c r="E18" s="127" t="n"/>
      <c r="F18" s="223" t="n"/>
      <c r="G18" s="223" t="n"/>
      <c r="H18" s="127" t="n"/>
      <c r="I18" s="127" t="n"/>
      <c r="J18" s="127" t="n"/>
      <c r="K18" s="222" t="n"/>
      <c r="L18" s="227" t="n"/>
      <c r="M18" s="227" t="n"/>
      <c r="N18" s="222" t="n"/>
      <c r="O18" s="222" t="n"/>
      <c r="P18" s="222" t="n"/>
      <c r="Q18" s="222" t="n"/>
      <c r="R18" s="127" t="n"/>
      <c r="S18" s="127" t="n"/>
      <c r="T18" s="225" t="n"/>
      <c r="U18" s="231" t="n"/>
      <c r="V18" s="231" t="n"/>
      <c r="W18" s="231" t="n"/>
      <c r="X18" s="127" t="n"/>
      <c r="Y18" s="127" t="n"/>
      <c r="Z18" s="127" t="n"/>
      <c r="AA18" s="127" t="n"/>
      <c r="AB18" s="127" t="n"/>
      <c r="AC18" s="222" t="n"/>
      <c r="AD18" s="227" t="n"/>
      <c r="AE18" s="227" t="n"/>
      <c r="AF18" s="227" t="n"/>
      <c r="AG18" s="227" t="n"/>
      <c r="AH18" s="222" t="n"/>
    </row>
    <row r="19">
      <c r="A19" s="145">
        <f>IF($B19="","",ROW()-5)</f>
        <v/>
      </c>
      <c r="B19" s="127" t="n"/>
      <c r="C19" s="127" t="n"/>
      <c r="D19" s="127" t="n"/>
      <c r="E19" s="127" t="n"/>
      <c r="F19" s="223" t="n"/>
      <c r="G19" s="223" t="n"/>
      <c r="H19" s="127" t="n"/>
      <c r="I19" s="127" t="n"/>
      <c r="J19" s="127" t="n"/>
      <c r="K19" s="222" t="n"/>
      <c r="L19" s="227" t="n"/>
      <c r="M19" s="227" t="n"/>
      <c r="N19" s="222" t="n"/>
      <c r="O19" s="222" t="n"/>
      <c r="P19" s="222" t="n"/>
      <c r="Q19" s="222" t="n"/>
      <c r="R19" s="127" t="n"/>
      <c r="S19" s="127" t="n"/>
      <c r="T19" s="225" t="n"/>
      <c r="U19" s="231" t="n"/>
      <c r="V19" s="231" t="n"/>
      <c r="W19" s="231" t="n"/>
      <c r="X19" s="127" t="n"/>
      <c r="Y19" s="127" t="n"/>
      <c r="Z19" s="127" t="n"/>
      <c r="AA19" s="127" t="n"/>
      <c r="AB19" s="127" t="n"/>
      <c r="AC19" s="222" t="n"/>
      <c r="AD19" s="227" t="n"/>
      <c r="AE19" s="227" t="n"/>
      <c r="AF19" s="227" t="n"/>
      <c r="AG19" s="227" t="n"/>
      <c r="AH19" s="222" t="n"/>
    </row>
    <row r="20">
      <c r="A20" s="145">
        <f>IF($B20="","",ROW()-5)</f>
        <v/>
      </c>
      <c r="B20" s="127" t="n"/>
      <c r="C20" s="127" t="n"/>
      <c r="D20" s="127" t="n"/>
      <c r="E20" s="127" t="n"/>
      <c r="F20" s="223" t="n"/>
      <c r="G20" s="223" t="n"/>
      <c r="H20" s="127" t="n"/>
      <c r="I20" s="127" t="n"/>
      <c r="J20" s="127" t="n"/>
      <c r="K20" s="222" t="n"/>
      <c r="L20" s="227" t="n"/>
      <c r="M20" s="227" t="n"/>
      <c r="N20" s="222" t="n"/>
      <c r="O20" s="222" t="n"/>
      <c r="P20" s="222" t="n"/>
      <c r="Q20" s="222" t="n"/>
      <c r="R20" s="127" t="n"/>
      <c r="S20" s="127" t="n"/>
      <c r="T20" s="225" t="n"/>
      <c r="U20" s="231" t="n"/>
      <c r="V20" s="231" t="n"/>
      <c r="W20" s="231" t="n"/>
      <c r="X20" s="127" t="n"/>
      <c r="Y20" s="127" t="n"/>
      <c r="Z20" s="127" t="n"/>
      <c r="AA20" s="127" t="n"/>
      <c r="AB20" s="127" t="n"/>
      <c r="AC20" s="222" t="n"/>
      <c r="AD20" s="227" t="n"/>
      <c r="AE20" s="227" t="n"/>
      <c r="AF20" s="227" t="n"/>
      <c r="AG20" s="227" t="n"/>
      <c r="AH20" s="222" t="n"/>
    </row>
    <row r="21">
      <c r="A21" s="145">
        <f>IF($B21="","",ROW()-5)</f>
        <v/>
      </c>
      <c r="B21" s="127" t="n"/>
      <c r="C21" s="127" t="n"/>
      <c r="D21" s="127" t="n"/>
      <c r="E21" s="127" t="n"/>
      <c r="F21" s="223" t="n"/>
      <c r="G21" s="223" t="n"/>
      <c r="H21" s="127" t="n"/>
      <c r="I21" s="127" t="n"/>
      <c r="J21" s="127" t="n"/>
      <c r="K21" s="222" t="n"/>
      <c r="L21" s="227" t="n"/>
      <c r="M21" s="227" t="n"/>
      <c r="N21" s="222" t="n"/>
      <c r="O21" s="222" t="n"/>
      <c r="P21" s="222" t="n"/>
      <c r="Q21" s="222" t="n"/>
      <c r="R21" s="127" t="n"/>
      <c r="S21" s="127" t="n"/>
      <c r="T21" s="225" t="n"/>
      <c r="U21" s="231" t="n"/>
      <c r="V21" s="231" t="n"/>
      <c r="W21" s="231" t="n"/>
      <c r="X21" s="127" t="n"/>
      <c r="Y21" s="127" t="n"/>
      <c r="Z21" s="127" t="n"/>
      <c r="AA21" s="127" t="n"/>
      <c r="AB21" s="127" t="n"/>
      <c r="AC21" s="222" t="n"/>
      <c r="AD21" s="227" t="n"/>
      <c r="AE21" s="227" t="n"/>
      <c r="AF21" s="227" t="n"/>
      <c r="AG21" s="227" t="n"/>
      <c r="AH21" s="222" t="n"/>
    </row>
    <row r="22">
      <c r="A22" s="145">
        <f>IF($B22="","",ROW()-5)</f>
        <v/>
      </c>
      <c r="B22" s="127" t="n"/>
      <c r="C22" s="127" t="n"/>
      <c r="D22" s="127" t="n"/>
      <c r="E22" s="127" t="n"/>
      <c r="F22" s="223" t="n"/>
      <c r="G22" s="223" t="n"/>
      <c r="H22" s="127" t="n"/>
      <c r="I22" s="127" t="n"/>
      <c r="J22" s="127" t="n"/>
      <c r="K22" s="222" t="n"/>
      <c r="L22" s="227" t="n"/>
      <c r="M22" s="227" t="n"/>
      <c r="N22" s="222" t="n"/>
      <c r="O22" s="222" t="n"/>
      <c r="P22" s="222" t="n"/>
      <c r="Q22" s="222" t="n"/>
      <c r="R22" s="127" t="n"/>
      <c r="S22" s="127" t="n"/>
      <c r="T22" s="225" t="n"/>
      <c r="U22" s="231" t="n"/>
      <c r="V22" s="231" t="n"/>
      <c r="W22" s="231" t="n"/>
      <c r="X22" s="127" t="n"/>
      <c r="Y22" s="127" t="n"/>
      <c r="Z22" s="127" t="n"/>
      <c r="AA22" s="127" t="n"/>
      <c r="AB22" s="127" t="n"/>
      <c r="AC22" s="222" t="n"/>
      <c r="AD22" s="227" t="n"/>
      <c r="AE22" s="227" t="n"/>
      <c r="AF22" s="227" t="n"/>
      <c r="AG22" s="227" t="n"/>
      <c r="AH22" s="222" t="n"/>
    </row>
    <row r="23">
      <c r="A23" s="145">
        <f>IF($B23="","",ROW()-5)</f>
        <v/>
      </c>
      <c r="B23" s="127" t="n"/>
      <c r="C23" s="127" t="n"/>
      <c r="D23" s="127" t="n"/>
      <c r="E23" s="127" t="n"/>
      <c r="F23" s="223" t="n"/>
      <c r="G23" s="223" t="n"/>
      <c r="H23" s="127" t="n"/>
      <c r="I23" s="127" t="n"/>
      <c r="J23" s="127" t="n"/>
      <c r="K23" s="222" t="n"/>
      <c r="L23" s="227" t="n"/>
      <c r="M23" s="227" t="n"/>
      <c r="N23" s="222" t="n"/>
      <c r="O23" s="222" t="n"/>
      <c r="P23" s="222" t="n"/>
      <c r="Q23" s="222" t="n"/>
      <c r="R23" s="127" t="n"/>
      <c r="S23" s="127" t="n"/>
      <c r="T23" s="225" t="n"/>
      <c r="U23" s="231" t="n"/>
      <c r="V23" s="231" t="n"/>
      <c r="W23" s="231" t="n"/>
      <c r="X23" s="127" t="n"/>
      <c r="Y23" s="127" t="n"/>
      <c r="Z23" s="127" t="n"/>
      <c r="AA23" s="127" t="n"/>
      <c r="AB23" s="127" t="n"/>
      <c r="AC23" s="222" t="n"/>
      <c r="AD23" s="227" t="n"/>
      <c r="AE23" s="227" t="n"/>
      <c r="AF23" s="227" t="n"/>
      <c r="AG23" s="227" t="n"/>
      <c r="AH23" s="222" t="n"/>
    </row>
    <row r="24">
      <c r="A24" s="145">
        <f>IF($B24="","",ROW()-5)</f>
        <v/>
      </c>
      <c r="B24" s="127" t="n"/>
      <c r="C24" s="127" t="n"/>
      <c r="D24" s="127" t="n"/>
      <c r="E24" s="127" t="n"/>
      <c r="F24" s="223" t="n"/>
      <c r="G24" s="223" t="n"/>
      <c r="H24" s="127" t="n"/>
      <c r="I24" s="127" t="n"/>
      <c r="J24" s="127" t="n"/>
      <c r="K24" s="222" t="n"/>
      <c r="L24" s="227" t="n"/>
      <c r="M24" s="227" t="n"/>
      <c r="N24" s="222" t="n"/>
      <c r="O24" s="222" t="n"/>
      <c r="P24" s="222" t="n"/>
      <c r="Q24" s="222" t="n"/>
      <c r="R24" s="127" t="n"/>
      <c r="S24" s="127" t="n"/>
      <c r="T24" s="225" t="n"/>
      <c r="U24" s="231" t="n"/>
      <c r="V24" s="231" t="n"/>
      <c r="W24" s="231" t="n"/>
      <c r="X24" s="127" t="n"/>
      <c r="Y24" s="127" t="n"/>
      <c r="Z24" s="127" t="n"/>
      <c r="AA24" s="127" t="n"/>
      <c r="AB24" s="127" t="n"/>
      <c r="AC24" s="222" t="n"/>
      <c r="AD24" s="227" t="n"/>
      <c r="AE24" s="227" t="n"/>
      <c r="AF24" s="227" t="n"/>
      <c r="AG24" s="227" t="n"/>
      <c r="AH24" s="222" t="n"/>
    </row>
    <row r="25">
      <c r="A25" s="145">
        <f>IF($B25="","",ROW()-5)</f>
        <v/>
      </c>
      <c r="B25" s="127" t="n"/>
      <c r="C25" s="127" t="n"/>
      <c r="D25" s="127" t="n"/>
      <c r="E25" s="127" t="n"/>
      <c r="F25" s="223" t="n"/>
      <c r="G25" s="223" t="n"/>
      <c r="H25" s="127" t="n"/>
      <c r="I25" s="127" t="n"/>
      <c r="J25" s="127" t="n"/>
      <c r="K25" s="222" t="n"/>
      <c r="L25" s="227" t="n"/>
      <c r="M25" s="227" t="n"/>
      <c r="N25" s="222" t="n"/>
      <c r="O25" s="222" t="n"/>
      <c r="P25" s="222" t="n"/>
      <c r="Q25" s="222" t="n"/>
      <c r="R25" s="127" t="n"/>
      <c r="S25" s="127" t="n"/>
      <c r="T25" s="225" t="n"/>
      <c r="U25" s="231" t="n"/>
      <c r="V25" s="231" t="n"/>
      <c r="W25" s="231" t="n"/>
      <c r="X25" s="127" t="n"/>
      <c r="Y25" s="127" t="n"/>
      <c r="Z25" s="127" t="n"/>
      <c r="AA25" s="127" t="n"/>
      <c r="AB25" s="127" t="n"/>
      <c r="AC25" s="222" t="n"/>
      <c r="AD25" s="227" t="n"/>
      <c r="AE25" s="227" t="n"/>
      <c r="AF25" s="227" t="n"/>
      <c r="AG25" s="227" t="n"/>
      <c r="AH25" s="222" t="n"/>
    </row>
    <row r="26">
      <c r="A26" s="145">
        <f>IF($B26="","",ROW()-5)</f>
        <v/>
      </c>
      <c r="B26" s="127" t="n"/>
      <c r="C26" s="127" t="n"/>
      <c r="D26" s="127" t="n"/>
      <c r="E26" s="127" t="n"/>
      <c r="F26" s="223" t="n"/>
      <c r="G26" s="223" t="n"/>
      <c r="H26" s="127" t="n"/>
      <c r="I26" s="127" t="n"/>
      <c r="J26" s="127" t="n"/>
      <c r="K26" s="222" t="n"/>
      <c r="L26" s="227" t="n"/>
      <c r="M26" s="227" t="n"/>
      <c r="N26" s="222" t="n"/>
      <c r="O26" s="222" t="n"/>
      <c r="P26" s="222" t="n"/>
      <c r="Q26" s="222" t="n"/>
      <c r="R26" s="127" t="n"/>
      <c r="S26" s="127" t="n"/>
      <c r="T26" s="225" t="n"/>
      <c r="U26" s="231" t="n"/>
      <c r="V26" s="231" t="n"/>
      <c r="W26" s="231" t="n"/>
      <c r="X26" s="127" t="n"/>
      <c r="Y26" s="127" t="n"/>
      <c r="Z26" s="127" t="n"/>
      <c r="AA26" s="127" t="n"/>
      <c r="AB26" s="127" t="n"/>
      <c r="AC26" s="222" t="n"/>
      <c r="AD26" s="227" t="n"/>
      <c r="AE26" s="227" t="n"/>
      <c r="AF26" s="227" t="n"/>
      <c r="AG26" s="227" t="n"/>
      <c r="AH26" s="222" t="n"/>
    </row>
    <row r="27">
      <c r="A27" s="145">
        <f>IF($B27="","",ROW()-5)</f>
        <v/>
      </c>
      <c r="B27" s="127" t="n"/>
      <c r="C27" s="127" t="n"/>
      <c r="D27" s="127" t="n"/>
      <c r="E27" s="127" t="n"/>
      <c r="F27" s="223" t="n"/>
      <c r="G27" s="223" t="n"/>
      <c r="H27" s="127" t="n"/>
      <c r="I27" s="127" t="n"/>
      <c r="J27" s="127" t="n"/>
      <c r="K27" s="222" t="n"/>
      <c r="L27" s="227" t="n"/>
      <c r="M27" s="227" t="n"/>
      <c r="N27" s="222" t="n"/>
      <c r="O27" s="222" t="n"/>
      <c r="P27" s="222" t="n"/>
      <c r="Q27" s="222" t="n"/>
      <c r="R27" s="127" t="n"/>
      <c r="S27" s="127" t="n"/>
      <c r="T27" s="225" t="n"/>
      <c r="U27" s="231" t="n"/>
      <c r="V27" s="231" t="n"/>
      <c r="W27" s="231" t="n"/>
      <c r="X27" s="127" t="n"/>
      <c r="Y27" s="127" t="n"/>
      <c r="Z27" s="127" t="n"/>
      <c r="AA27" s="127" t="n"/>
      <c r="AB27" s="127" t="n"/>
      <c r="AC27" s="222" t="n"/>
      <c r="AD27" s="227" t="n"/>
      <c r="AE27" s="227" t="n"/>
      <c r="AF27" s="227" t="n"/>
      <c r="AG27" s="227" t="n"/>
      <c r="AH27" s="222" t="n"/>
    </row>
    <row r="28">
      <c r="A28" s="145">
        <f>IF($B28="","",ROW()-5)</f>
        <v/>
      </c>
      <c r="B28" s="127" t="n"/>
      <c r="C28" s="127" t="n"/>
      <c r="D28" s="127" t="n"/>
      <c r="E28" s="127" t="n"/>
      <c r="F28" s="223" t="n"/>
      <c r="G28" s="223" t="n"/>
      <c r="H28" s="127" t="n"/>
      <c r="I28" s="127" t="n"/>
      <c r="J28" s="127" t="n"/>
      <c r="K28" s="222" t="n"/>
      <c r="L28" s="227" t="n"/>
      <c r="M28" s="227" t="n"/>
      <c r="N28" s="222" t="n"/>
      <c r="O28" s="222" t="n"/>
      <c r="P28" s="222" t="n"/>
      <c r="Q28" s="222" t="n"/>
      <c r="R28" s="127" t="n"/>
      <c r="S28" s="127" t="n"/>
      <c r="T28" s="225" t="n"/>
      <c r="U28" s="231" t="n"/>
      <c r="V28" s="231" t="n"/>
      <c r="W28" s="231" t="n"/>
      <c r="X28" s="127" t="n"/>
      <c r="Y28" s="127" t="n"/>
      <c r="Z28" s="127" t="n"/>
      <c r="AA28" s="127" t="n"/>
      <c r="AB28" s="127" t="n"/>
      <c r="AC28" s="222" t="n"/>
      <c r="AD28" s="227" t="n"/>
      <c r="AE28" s="227" t="n"/>
      <c r="AF28" s="227" t="n"/>
      <c r="AG28" s="227" t="n"/>
      <c r="AH28" s="222" t="n"/>
    </row>
    <row r="29">
      <c r="A29" s="145">
        <f>IF($B29="","",ROW()-5)</f>
        <v/>
      </c>
      <c r="B29" s="127" t="n"/>
      <c r="C29" s="127" t="n"/>
      <c r="D29" s="127" t="n"/>
      <c r="E29" s="127" t="n"/>
      <c r="F29" s="223" t="n"/>
      <c r="G29" s="223" t="n"/>
      <c r="H29" s="127" t="n"/>
      <c r="I29" s="127" t="n"/>
      <c r="J29" s="127" t="n"/>
      <c r="K29" s="222" t="n"/>
      <c r="L29" s="227" t="n"/>
      <c r="M29" s="227" t="n"/>
      <c r="N29" s="222" t="n"/>
      <c r="O29" s="222" t="n"/>
      <c r="P29" s="222" t="n"/>
      <c r="Q29" s="222" t="n"/>
      <c r="R29" s="127" t="n"/>
      <c r="S29" s="127" t="n"/>
      <c r="T29" s="225" t="n"/>
      <c r="U29" s="231" t="n"/>
      <c r="V29" s="231" t="n"/>
      <c r="W29" s="231" t="n"/>
      <c r="X29" s="127" t="n"/>
      <c r="Y29" s="127" t="n"/>
      <c r="Z29" s="127" t="n"/>
      <c r="AA29" s="127" t="n"/>
      <c r="AB29" s="127" t="n"/>
      <c r="AC29" s="222" t="n"/>
      <c r="AD29" s="227" t="n"/>
      <c r="AE29" s="227" t="n"/>
      <c r="AF29" s="227" t="n"/>
      <c r="AG29" s="227" t="n"/>
      <c r="AH29" s="222" t="n"/>
    </row>
    <row r="30">
      <c r="A30" s="145">
        <f>IF($B30="","",ROW()-5)</f>
        <v/>
      </c>
      <c r="B30" s="127" t="n"/>
      <c r="C30" s="127" t="n"/>
      <c r="D30" s="127" t="n"/>
      <c r="E30" s="127" t="n"/>
      <c r="F30" s="223" t="n"/>
      <c r="G30" s="223" t="n"/>
      <c r="H30" s="127" t="n"/>
      <c r="I30" s="127" t="n"/>
      <c r="J30" s="127" t="n"/>
      <c r="K30" s="222" t="n"/>
      <c r="L30" s="227" t="n"/>
      <c r="M30" s="227" t="n"/>
      <c r="N30" s="222" t="n"/>
      <c r="O30" s="222" t="n"/>
      <c r="P30" s="222" t="n"/>
      <c r="Q30" s="222" t="n"/>
      <c r="R30" s="127" t="n"/>
      <c r="S30" s="127" t="n"/>
      <c r="T30" s="225" t="n"/>
      <c r="U30" s="231" t="n"/>
      <c r="V30" s="231" t="n"/>
      <c r="W30" s="231" t="n"/>
      <c r="X30" s="127" t="n"/>
      <c r="Y30" s="127" t="n"/>
      <c r="Z30" s="127" t="n"/>
      <c r="AA30" s="127" t="n"/>
      <c r="AB30" s="127" t="n"/>
      <c r="AC30" s="222" t="n"/>
      <c r="AD30" s="227" t="n"/>
      <c r="AE30" s="227" t="n"/>
      <c r="AF30" s="227" t="n"/>
      <c r="AG30" s="227" t="n"/>
      <c r="AH30" s="222" t="n"/>
    </row>
    <row r="31">
      <c r="A31" s="145">
        <f>IF($B31="","",ROW()-5)</f>
        <v/>
      </c>
      <c r="B31" s="127" t="n"/>
      <c r="C31" s="127" t="n"/>
      <c r="D31" s="127" t="n"/>
      <c r="E31" s="127" t="n"/>
      <c r="F31" s="223" t="n"/>
      <c r="G31" s="223" t="n"/>
      <c r="H31" s="127" t="n"/>
      <c r="I31" s="127" t="n"/>
      <c r="J31" s="127" t="n"/>
      <c r="K31" s="222" t="n"/>
      <c r="L31" s="227" t="n"/>
      <c r="M31" s="227" t="n"/>
      <c r="N31" s="222" t="n"/>
      <c r="O31" s="222" t="n"/>
      <c r="P31" s="222" t="n"/>
      <c r="Q31" s="222" t="n"/>
      <c r="R31" s="127" t="n"/>
      <c r="S31" s="127" t="n"/>
      <c r="T31" s="225" t="n"/>
      <c r="U31" s="231" t="n"/>
      <c r="V31" s="231" t="n"/>
      <c r="W31" s="231" t="n"/>
      <c r="X31" s="127" t="n"/>
      <c r="Y31" s="127" t="n"/>
      <c r="Z31" s="127" t="n"/>
      <c r="AA31" s="127" t="n"/>
      <c r="AB31" s="127" t="n"/>
      <c r="AC31" s="222" t="n"/>
      <c r="AD31" s="227" t="n"/>
      <c r="AE31" s="227" t="n"/>
      <c r="AF31" s="227" t="n"/>
      <c r="AG31" s="227" t="n"/>
      <c r="AH31" s="222" t="n"/>
    </row>
    <row r="32">
      <c r="A32" s="145">
        <f>IF($B32="","",ROW()-5)</f>
        <v/>
      </c>
      <c r="B32" s="127" t="n"/>
      <c r="C32" s="127" t="n"/>
      <c r="D32" s="127" t="n"/>
      <c r="E32" s="127" t="n"/>
      <c r="F32" s="223" t="n"/>
      <c r="G32" s="223" t="n"/>
      <c r="H32" s="127" t="n"/>
      <c r="I32" s="127" t="n"/>
      <c r="J32" s="127" t="n"/>
      <c r="K32" s="222" t="n"/>
      <c r="L32" s="227" t="n"/>
      <c r="M32" s="227" t="n"/>
      <c r="N32" s="222" t="n"/>
      <c r="O32" s="222" t="n"/>
      <c r="P32" s="222" t="n"/>
      <c r="Q32" s="222" t="n"/>
      <c r="R32" s="127" t="n"/>
      <c r="S32" s="127" t="n"/>
      <c r="T32" s="225" t="n"/>
      <c r="U32" s="231" t="n"/>
      <c r="V32" s="231" t="n"/>
      <c r="W32" s="231" t="n"/>
      <c r="X32" s="127" t="n"/>
      <c r="Y32" s="127" t="n"/>
      <c r="Z32" s="127" t="n"/>
      <c r="AA32" s="127" t="n"/>
      <c r="AB32" s="127" t="n"/>
      <c r="AC32" s="222" t="n"/>
      <c r="AD32" s="227" t="n"/>
      <c r="AE32" s="227" t="n"/>
      <c r="AF32" s="227" t="n"/>
      <c r="AG32" s="227" t="n"/>
      <c r="AH32" s="222" t="n"/>
    </row>
    <row r="33">
      <c r="A33" s="145">
        <f>IF($B33="","",ROW()-5)</f>
        <v/>
      </c>
      <c r="B33" s="127" t="n"/>
      <c r="C33" s="127" t="n"/>
      <c r="D33" s="127" t="n"/>
      <c r="E33" s="127" t="n"/>
      <c r="F33" s="223" t="n"/>
      <c r="G33" s="223" t="n"/>
      <c r="H33" s="127" t="n"/>
      <c r="I33" s="127" t="n"/>
      <c r="J33" s="127" t="n"/>
      <c r="K33" s="222" t="n"/>
      <c r="L33" s="227" t="n"/>
      <c r="M33" s="227" t="n"/>
      <c r="N33" s="222" t="n"/>
      <c r="O33" s="222" t="n"/>
      <c r="P33" s="222" t="n"/>
      <c r="Q33" s="222" t="n"/>
      <c r="R33" s="127" t="n"/>
      <c r="S33" s="127" t="n"/>
      <c r="T33" s="225" t="n"/>
      <c r="U33" s="231" t="n"/>
      <c r="V33" s="231" t="n"/>
      <c r="W33" s="231" t="n"/>
      <c r="X33" s="127" t="n"/>
      <c r="Y33" s="127" t="n"/>
      <c r="Z33" s="127" t="n"/>
      <c r="AA33" s="127" t="n"/>
      <c r="AB33" s="127" t="n"/>
      <c r="AC33" s="222" t="n"/>
      <c r="AD33" s="227" t="n"/>
      <c r="AE33" s="227" t="n"/>
      <c r="AF33" s="227" t="n"/>
      <c r="AG33" s="227" t="n"/>
      <c r="AH33" s="222" t="n"/>
    </row>
    <row r="34">
      <c r="A34" s="145">
        <f>IF($B34="","",ROW()-5)</f>
        <v/>
      </c>
      <c r="B34" s="127" t="n"/>
      <c r="C34" s="127" t="n"/>
      <c r="D34" s="127" t="n"/>
      <c r="E34" s="127" t="n"/>
      <c r="F34" s="223" t="n"/>
      <c r="G34" s="223" t="n"/>
      <c r="H34" s="127" t="n"/>
      <c r="I34" s="127" t="n"/>
      <c r="J34" s="127" t="n"/>
      <c r="K34" s="222" t="n"/>
      <c r="L34" s="227" t="n"/>
      <c r="M34" s="227" t="n"/>
      <c r="N34" s="222" t="n"/>
      <c r="O34" s="222" t="n"/>
      <c r="P34" s="222" t="n"/>
      <c r="Q34" s="222" t="n"/>
      <c r="R34" s="127" t="n"/>
      <c r="S34" s="127" t="n"/>
      <c r="T34" s="225" t="n"/>
      <c r="U34" s="231" t="n"/>
      <c r="V34" s="231" t="n"/>
      <c r="W34" s="231" t="n"/>
      <c r="X34" s="127" t="n"/>
      <c r="Y34" s="127" t="n"/>
      <c r="Z34" s="127" t="n"/>
      <c r="AA34" s="127" t="n"/>
      <c r="AB34" s="127" t="n"/>
      <c r="AC34" s="222" t="n"/>
      <c r="AD34" s="227" t="n"/>
      <c r="AE34" s="227" t="n"/>
      <c r="AF34" s="227" t="n"/>
      <c r="AG34" s="227" t="n"/>
      <c r="AH34" s="222" t="n"/>
    </row>
    <row r="35">
      <c r="A35" s="145">
        <f>IF($B35="","",ROW()-5)</f>
        <v/>
      </c>
      <c r="B35" s="127" t="n"/>
      <c r="C35" s="127" t="n"/>
      <c r="D35" s="127" t="n"/>
      <c r="E35" s="127" t="n"/>
      <c r="F35" s="223" t="n"/>
      <c r="G35" s="223" t="n"/>
      <c r="H35" s="127" t="n"/>
      <c r="I35" s="127" t="n"/>
      <c r="J35" s="127" t="n"/>
      <c r="K35" s="222" t="n"/>
      <c r="L35" s="227" t="n"/>
      <c r="M35" s="227" t="n"/>
      <c r="N35" s="222" t="n"/>
      <c r="O35" s="222" t="n"/>
      <c r="P35" s="222" t="n"/>
      <c r="Q35" s="222" t="n"/>
      <c r="R35" s="127" t="n"/>
      <c r="S35" s="127" t="n"/>
      <c r="T35" s="225" t="n"/>
      <c r="U35" s="231" t="n"/>
      <c r="V35" s="231" t="n"/>
      <c r="W35" s="231" t="n"/>
      <c r="X35" s="127" t="n"/>
      <c r="Y35" s="127" t="n"/>
      <c r="Z35" s="127" t="n"/>
      <c r="AA35" s="127" t="n"/>
      <c r="AB35" s="127" t="n"/>
      <c r="AC35" s="222" t="n"/>
      <c r="AD35" s="227" t="n"/>
      <c r="AE35" s="227" t="n"/>
      <c r="AF35" s="227" t="n"/>
      <c r="AG35" s="227" t="n"/>
      <c r="AH35" s="222" t="n"/>
    </row>
    <row r="36">
      <c r="A36" s="145">
        <f>IF($B36="","",ROW()-5)</f>
        <v/>
      </c>
      <c r="B36" s="127" t="n"/>
      <c r="C36" s="127" t="n"/>
      <c r="D36" s="127" t="n"/>
      <c r="E36" s="127" t="n"/>
      <c r="F36" s="223" t="n"/>
      <c r="G36" s="223" t="n"/>
      <c r="H36" s="127" t="n"/>
      <c r="I36" s="127" t="n"/>
      <c r="J36" s="127" t="n"/>
      <c r="K36" s="222" t="n"/>
      <c r="L36" s="227" t="n"/>
      <c r="M36" s="227" t="n"/>
      <c r="N36" s="222" t="n"/>
      <c r="O36" s="222" t="n"/>
      <c r="P36" s="222" t="n"/>
      <c r="Q36" s="222" t="n"/>
      <c r="R36" s="127" t="n"/>
      <c r="S36" s="127" t="n"/>
      <c r="T36" s="225" t="n"/>
      <c r="U36" s="231" t="n"/>
      <c r="V36" s="231" t="n"/>
      <c r="W36" s="231" t="n"/>
      <c r="X36" s="127" t="n"/>
      <c r="Y36" s="127" t="n"/>
      <c r="Z36" s="127" t="n"/>
      <c r="AA36" s="127" t="n"/>
      <c r="AB36" s="127" t="n"/>
      <c r="AC36" s="222" t="n"/>
      <c r="AD36" s="227" t="n"/>
      <c r="AE36" s="227" t="n"/>
      <c r="AF36" s="227" t="n"/>
      <c r="AG36" s="227" t="n"/>
      <c r="AH36" s="222" t="n"/>
    </row>
    <row r="37">
      <c r="A37" s="145">
        <f>IF($B37="","",ROW()-5)</f>
        <v/>
      </c>
      <c r="B37" s="127" t="n"/>
      <c r="C37" s="127" t="n"/>
      <c r="D37" s="127" t="n"/>
      <c r="E37" s="127" t="n"/>
      <c r="F37" s="223" t="n"/>
      <c r="G37" s="223" t="n"/>
      <c r="H37" s="127" t="n"/>
      <c r="I37" s="127" t="n"/>
      <c r="J37" s="127" t="n"/>
      <c r="K37" s="222" t="n"/>
      <c r="L37" s="227" t="n"/>
      <c r="M37" s="227" t="n"/>
      <c r="N37" s="222" t="n"/>
      <c r="O37" s="222" t="n"/>
      <c r="P37" s="222" t="n"/>
      <c r="Q37" s="222" t="n"/>
      <c r="R37" s="127" t="n"/>
      <c r="S37" s="127" t="n"/>
      <c r="T37" s="225" t="n"/>
      <c r="U37" s="231" t="n"/>
      <c r="V37" s="231" t="n"/>
      <c r="W37" s="231" t="n"/>
      <c r="X37" s="127" t="n"/>
      <c r="Y37" s="127" t="n"/>
      <c r="Z37" s="127" t="n"/>
      <c r="AA37" s="127" t="n"/>
      <c r="AB37" s="127" t="n"/>
      <c r="AC37" s="222" t="n"/>
      <c r="AD37" s="227" t="n"/>
      <c r="AE37" s="227" t="n"/>
      <c r="AF37" s="227" t="n"/>
      <c r="AG37" s="227" t="n"/>
      <c r="AH37" s="222" t="n"/>
    </row>
    <row r="38">
      <c r="A38" s="145">
        <f>IF($B38="","",ROW()-5)</f>
        <v/>
      </c>
      <c r="B38" s="127" t="n"/>
      <c r="C38" s="127" t="n"/>
      <c r="D38" s="127" t="n"/>
      <c r="E38" s="127" t="n"/>
      <c r="F38" s="223" t="n"/>
      <c r="G38" s="223" t="n"/>
      <c r="H38" s="127" t="n"/>
      <c r="I38" s="127" t="n"/>
      <c r="J38" s="127" t="n"/>
      <c r="K38" s="222" t="n"/>
      <c r="L38" s="227" t="n"/>
      <c r="M38" s="227" t="n"/>
      <c r="N38" s="222" t="n"/>
      <c r="O38" s="222" t="n"/>
      <c r="P38" s="222" t="n"/>
      <c r="Q38" s="222" t="n"/>
      <c r="R38" s="127" t="n"/>
      <c r="S38" s="127" t="n"/>
      <c r="T38" s="225" t="n"/>
      <c r="U38" s="231" t="n"/>
      <c r="V38" s="231" t="n"/>
      <c r="W38" s="231" t="n"/>
      <c r="X38" s="127" t="n"/>
      <c r="Y38" s="127" t="n"/>
      <c r="Z38" s="127" t="n"/>
      <c r="AA38" s="127" t="n"/>
      <c r="AB38" s="127" t="n"/>
      <c r="AC38" s="222" t="n"/>
      <c r="AD38" s="227" t="n"/>
      <c r="AE38" s="227" t="n"/>
      <c r="AF38" s="227" t="n"/>
      <c r="AG38" s="227" t="n"/>
      <c r="AH38" s="222" t="n"/>
    </row>
    <row r="39">
      <c r="A39" s="145">
        <f>IF($B39="","",ROW()-5)</f>
        <v/>
      </c>
      <c r="B39" s="127" t="n"/>
      <c r="C39" s="127" t="n"/>
      <c r="D39" s="127" t="n"/>
      <c r="E39" s="127" t="n"/>
      <c r="F39" s="223" t="n"/>
      <c r="G39" s="223" t="n"/>
      <c r="H39" s="127" t="n"/>
      <c r="I39" s="127" t="n"/>
      <c r="J39" s="127" t="n"/>
      <c r="K39" s="222" t="n"/>
      <c r="L39" s="227" t="n"/>
      <c r="M39" s="227" t="n"/>
      <c r="N39" s="222" t="n"/>
      <c r="O39" s="222" t="n"/>
      <c r="P39" s="222" t="n"/>
      <c r="Q39" s="222" t="n"/>
      <c r="R39" s="127" t="n"/>
      <c r="S39" s="127" t="n"/>
      <c r="T39" s="225" t="n"/>
      <c r="U39" s="231" t="n"/>
      <c r="V39" s="231" t="n"/>
      <c r="W39" s="231" t="n"/>
      <c r="X39" s="127" t="n"/>
      <c r="Y39" s="127" t="n"/>
      <c r="Z39" s="127" t="n"/>
      <c r="AA39" s="127" t="n"/>
      <c r="AB39" s="127" t="n"/>
      <c r="AC39" s="222" t="n"/>
      <c r="AD39" s="227" t="n"/>
      <c r="AE39" s="227" t="n"/>
      <c r="AF39" s="227" t="n"/>
      <c r="AG39" s="227" t="n"/>
      <c r="AH39" s="222" t="n"/>
    </row>
    <row r="40">
      <c r="A40" s="145">
        <f>IF($B40="","",ROW()-5)</f>
        <v/>
      </c>
      <c r="B40" s="127" t="n"/>
      <c r="C40" s="127" t="n"/>
      <c r="D40" s="127" t="n"/>
      <c r="E40" s="127" t="n"/>
      <c r="F40" s="223" t="n"/>
      <c r="G40" s="223" t="n"/>
      <c r="H40" s="127" t="n"/>
      <c r="I40" s="127" t="n"/>
      <c r="J40" s="127" t="n"/>
      <c r="K40" s="222" t="n"/>
      <c r="L40" s="227" t="n"/>
      <c r="M40" s="227" t="n"/>
      <c r="N40" s="222" t="n"/>
      <c r="O40" s="222" t="n"/>
      <c r="P40" s="222" t="n"/>
      <c r="Q40" s="222" t="n"/>
      <c r="R40" s="127" t="n"/>
      <c r="S40" s="127" t="n"/>
      <c r="T40" s="225" t="n"/>
      <c r="U40" s="231" t="n"/>
      <c r="V40" s="231" t="n"/>
      <c r="W40" s="231" t="n"/>
      <c r="X40" s="127" t="n"/>
      <c r="Y40" s="127" t="n"/>
      <c r="Z40" s="127" t="n"/>
      <c r="AA40" s="127" t="n"/>
      <c r="AB40" s="127" t="n"/>
      <c r="AC40" s="222" t="n"/>
      <c r="AD40" s="227" t="n"/>
      <c r="AE40" s="227" t="n"/>
      <c r="AF40" s="227" t="n"/>
      <c r="AG40" s="227" t="n"/>
      <c r="AH40" s="222" t="n"/>
    </row>
    <row r="41">
      <c r="A41" s="145">
        <f>IF($B41="","",ROW()-5)</f>
        <v/>
      </c>
      <c r="B41" s="127" t="n"/>
      <c r="C41" s="127" t="n"/>
      <c r="D41" s="127" t="n"/>
      <c r="E41" s="127" t="n"/>
      <c r="F41" s="223" t="n"/>
      <c r="G41" s="223" t="n"/>
      <c r="H41" s="127" t="n"/>
      <c r="I41" s="127" t="n"/>
      <c r="J41" s="127" t="n"/>
      <c r="K41" s="222" t="n"/>
      <c r="L41" s="227" t="n"/>
      <c r="M41" s="227" t="n"/>
      <c r="N41" s="222" t="n"/>
      <c r="O41" s="222" t="n"/>
      <c r="P41" s="222" t="n"/>
      <c r="Q41" s="222" t="n"/>
      <c r="R41" s="127" t="n"/>
      <c r="S41" s="127" t="n"/>
      <c r="T41" s="225" t="n"/>
      <c r="U41" s="231" t="n"/>
      <c r="V41" s="231" t="n"/>
      <c r="W41" s="231" t="n"/>
      <c r="X41" s="127" t="n"/>
      <c r="Y41" s="127" t="n"/>
      <c r="Z41" s="127" t="n"/>
      <c r="AA41" s="127" t="n"/>
      <c r="AB41" s="127" t="n"/>
      <c r="AC41" s="222" t="n"/>
      <c r="AD41" s="227" t="n"/>
      <c r="AE41" s="227" t="n"/>
      <c r="AF41" s="227" t="n"/>
      <c r="AG41" s="227" t="n"/>
      <c r="AH41" s="222" t="n"/>
    </row>
    <row r="42">
      <c r="A42" s="145">
        <f>IF($B42="","",ROW()-5)</f>
        <v/>
      </c>
      <c r="B42" s="127" t="n"/>
      <c r="C42" s="127" t="n"/>
      <c r="D42" s="127" t="n"/>
      <c r="E42" s="127" t="n"/>
      <c r="F42" s="223" t="n"/>
      <c r="G42" s="223" t="n"/>
      <c r="H42" s="127" t="n"/>
      <c r="I42" s="127" t="n"/>
      <c r="J42" s="127" t="n"/>
      <c r="K42" s="222" t="n"/>
      <c r="L42" s="227" t="n"/>
      <c r="M42" s="227" t="n"/>
      <c r="N42" s="222" t="n"/>
      <c r="O42" s="222" t="n"/>
      <c r="P42" s="222" t="n"/>
      <c r="Q42" s="222" t="n"/>
      <c r="R42" s="127" t="n"/>
      <c r="S42" s="127" t="n"/>
      <c r="T42" s="225" t="n"/>
      <c r="U42" s="231" t="n"/>
      <c r="V42" s="231" t="n"/>
      <c r="W42" s="231" t="n"/>
      <c r="X42" s="127" t="n"/>
      <c r="Y42" s="127" t="n"/>
      <c r="Z42" s="127" t="n"/>
      <c r="AA42" s="127" t="n"/>
      <c r="AB42" s="127" t="n"/>
      <c r="AC42" s="222" t="n"/>
      <c r="AD42" s="227" t="n"/>
      <c r="AE42" s="227" t="n"/>
      <c r="AF42" s="227" t="n"/>
      <c r="AG42" s="227" t="n"/>
      <c r="AH42" s="222" t="n"/>
    </row>
    <row r="43">
      <c r="A43" s="145">
        <f>IF($B43="","",ROW()-5)</f>
        <v/>
      </c>
      <c r="B43" s="127" t="n"/>
      <c r="C43" s="127" t="n"/>
      <c r="D43" s="127" t="n"/>
      <c r="E43" s="127" t="n"/>
      <c r="F43" s="223" t="n"/>
      <c r="G43" s="223" t="n"/>
      <c r="H43" s="127" t="n"/>
      <c r="I43" s="127" t="n"/>
      <c r="J43" s="127" t="n"/>
      <c r="K43" s="222" t="n"/>
      <c r="L43" s="227" t="n"/>
      <c r="M43" s="227" t="n"/>
      <c r="N43" s="222" t="n"/>
      <c r="O43" s="222" t="n"/>
      <c r="P43" s="222" t="n"/>
      <c r="Q43" s="222" t="n"/>
      <c r="R43" s="127" t="n"/>
      <c r="S43" s="127" t="n"/>
      <c r="T43" s="225" t="n"/>
      <c r="U43" s="231" t="n"/>
      <c r="V43" s="231" t="n"/>
      <c r="W43" s="231" t="n"/>
      <c r="X43" s="127" t="n"/>
      <c r="Y43" s="127" t="n"/>
      <c r="Z43" s="127" t="n"/>
      <c r="AA43" s="127" t="n"/>
      <c r="AB43" s="127" t="n"/>
      <c r="AC43" s="222" t="n"/>
      <c r="AD43" s="227" t="n"/>
      <c r="AE43" s="227" t="n"/>
      <c r="AF43" s="227" t="n"/>
      <c r="AG43" s="227" t="n"/>
      <c r="AH43" s="222" t="n"/>
    </row>
    <row r="44">
      <c r="A44" s="145">
        <f>IF($B44="","",ROW()-5)</f>
        <v/>
      </c>
      <c r="B44" s="127" t="n"/>
      <c r="C44" s="127" t="n"/>
      <c r="D44" s="127" t="n"/>
      <c r="E44" s="127" t="n"/>
      <c r="F44" s="223" t="n"/>
      <c r="G44" s="223" t="n"/>
      <c r="H44" s="127" t="n"/>
      <c r="I44" s="127" t="n"/>
      <c r="J44" s="127" t="n"/>
      <c r="K44" s="222" t="n"/>
      <c r="L44" s="227" t="n"/>
      <c r="M44" s="227" t="n"/>
      <c r="N44" s="222" t="n"/>
      <c r="O44" s="222" t="n"/>
      <c r="P44" s="222" t="n"/>
      <c r="Q44" s="222" t="n"/>
      <c r="R44" s="127" t="n"/>
      <c r="S44" s="127" t="n"/>
      <c r="T44" s="225" t="n"/>
      <c r="U44" s="231" t="n"/>
      <c r="V44" s="231" t="n"/>
      <c r="W44" s="231" t="n"/>
      <c r="X44" s="127" t="n"/>
      <c r="Y44" s="127" t="n"/>
      <c r="Z44" s="127" t="n"/>
      <c r="AA44" s="127" t="n"/>
      <c r="AB44" s="127" t="n"/>
      <c r="AC44" s="222" t="n"/>
      <c r="AD44" s="227" t="n"/>
      <c r="AE44" s="227" t="n"/>
      <c r="AF44" s="227" t="n"/>
      <c r="AG44" s="227" t="n"/>
      <c r="AH44" s="222" t="n"/>
    </row>
    <row r="45">
      <c r="A45" s="145">
        <f>IF($B45="","",ROW()-5)</f>
        <v/>
      </c>
      <c r="B45" s="127" t="n"/>
      <c r="C45" s="127" t="n"/>
      <c r="D45" s="127" t="n"/>
      <c r="E45" s="127" t="n"/>
      <c r="F45" s="223" t="n"/>
      <c r="G45" s="223" t="n"/>
      <c r="H45" s="127" t="n"/>
      <c r="I45" s="127" t="n"/>
      <c r="J45" s="127" t="n"/>
      <c r="K45" s="222" t="n"/>
      <c r="L45" s="227" t="n"/>
      <c r="M45" s="227" t="n"/>
      <c r="N45" s="222" t="n"/>
      <c r="O45" s="222" t="n"/>
      <c r="P45" s="222" t="n"/>
      <c r="Q45" s="222" t="n"/>
      <c r="R45" s="127" t="n"/>
      <c r="S45" s="127" t="n"/>
      <c r="T45" s="225" t="n"/>
      <c r="U45" s="231" t="n"/>
      <c r="V45" s="231" t="n"/>
      <c r="W45" s="231" t="n"/>
      <c r="X45" s="127" t="n"/>
      <c r="Y45" s="127" t="n"/>
      <c r="Z45" s="127" t="n"/>
      <c r="AA45" s="127" t="n"/>
      <c r="AB45" s="127" t="n"/>
      <c r="AC45" s="222" t="n"/>
      <c r="AD45" s="227" t="n"/>
      <c r="AE45" s="227" t="n"/>
      <c r="AF45" s="227" t="n"/>
      <c r="AG45" s="227" t="n"/>
      <c r="AH45" s="222" t="n"/>
    </row>
    <row r="46">
      <c r="A46" s="145">
        <f>IF($B46="","",ROW()-5)</f>
        <v/>
      </c>
      <c r="B46" s="127" t="n"/>
      <c r="C46" s="127" t="n"/>
      <c r="D46" s="127" t="n"/>
      <c r="E46" s="127" t="n"/>
      <c r="F46" s="223" t="n"/>
      <c r="G46" s="223" t="n"/>
      <c r="H46" s="127" t="n"/>
      <c r="I46" s="127" t="n"/>
      <c r="J46" s="127" t="n"/>
      <c r="K46" s="222" t="n"/>
      <c r="L46" s="227" t="n"/>
      <c r="M46" s="227" t="n"/>
      <c r="N46" s="222" t="n"/>
      <c r="O46" s="222" t="n"/>
      <c r="P46" s="222" t="n"/>
      <c r="Q46" s="222" t="n"/>
      <c r="R46" s="127" t="n"/>
      <c r="S46" s="127" t="n"/>
      <c r="T46" s="225" t="n"/>
      <c r="U46" s="231" t="n"/>
      <c r="V46" s="231" t="n"/>
      <c r="W46" s="231" t="n"/>
      <c r="X46" s="127" t="n"/>
      <c r="Y46" s="127" t="n"/>
      <c r="Z46" s="127" t="n"/>
      <c r="AA46" s="127" t="n"/>
      <c r="AB46" s="127" t="n"/>
      <c r="AC46" s="222" t="n"/>
      <c r="AD46" s="227" t="n"/>
      <c r="AE46" s="227" t="n"/>
      <c r="AF46" s="227" t="n"/>
      <c r="AG46" s="227" t="n"/>
      <c r="AH46" s="222" t="n"/>
    </row>
    <row r="47">
      <c r="A47" s="145">
        <f>IF($B47="","",ROW()-5)</f>
        <v/>
      </c>
      <c r="B47" s="127" t="n"/>
      <c r="C47" s="127" t="n"/>
      <c r="D47" s="127" t="n"/>
      <c r="E47" s="127" t="n"/>
      <c r="F47" s="223" t="n"/>
      <c r="G47" s="223" t="n"/>
      <c r="H47" s="127" t="n"/>
      <c r="I47" s="127" t="n"/>
      <c r="J47" s="127" t="n"/>
      <c r="K47" s="222" t="n"/>
      <c r="L47" s="227" t="n"/>
      <c r="M47" s="227" t="n"/>
      <c r="N47" s="222" t="n"/>
      <c r="O47" s="222" t="n"/>
      <c r="P47" s="222" t="n"/>
      <c r="Q47" s="222" t="n"/>
      <c r="R47" s="127" t="n"/>
      <c r="S47" s="127" t="n"/>
      <c r="T47" s="225" t="n"/>
      <c r="U47" s="231" t="n"/>
      <c r="V47" s="231" t="n"/>
      <c r="W47" s="231" t="n"/>
      <c r="X47" s="127" t="n"/>
      <c r="Y47" s="127" t="n"/>
      <c r="Z47" s="127" t="n"/>
      <c r="AA47" s="127" t="n"/>
      <c r="AB47" s="127" t="n"/>
      <c r="AC47" s="222" t="n"/>
      <c r="AD47" s="227" t="n"/>
      <c r="AE47" s="227" t="n"/>
      <c r="AF47" s="227" t="n"/>
      <c r="AG47" s="227" t="n"/>
      <c r="AH47" s="222" t="n"/>
    </row>
    <row r="48">
      <c r="A48" s="145">
        <f>IF($B48="","",ROW()-5)</f>
        <v/>
      </c>
      <c r="B48" s="127" t="n"/>
      <c r="C48" s="127" t="n"/>
      <c r="D48" s="127" t="n"/>
      <c r="E48" s="127" t="n"/>
      <c r="F48" s="223" t="n"/>
      <c r="G48" s="223" t="n"/>
      <c r="H48" s="127" t="n"/>
      <c r="I48" s="127" t="n"/>
      <c r="J48" s="127" t="n"/>
      <c r="K48" s="222" t="n"/>
      <c r="L48" s="227" t="n"/>
      <c r="M48" s="227" t="n"/>
      <c r="N48" s="222" t="n"/>
      <c r="O48" s="222" t="n"/>
      <c r="P48" s="222" t="n"/>
      <c r="Q48" s="222" t="n"/>
      <c r="R48" s="127" t="n"/>
      <c r="S48" s="127" t="n"/>
      <c r="T48" s="225" t="n"/>
      <c r="U48" s="231" t="n"/>
      <c r="V48" s="231" t="n"/>
      <c r="W48" s="231" t="n"/>
      <c r="X48" s="127" t="n"/>
      <c r="Y48" s="127" t="n"/>
      <c r="Z48" s="127" t="n"/>
      <c r="AA48" s="127" t="n"/>
      <c r="AB48" s="127" t="n"/>
      <c r="AC48" s="222" t="n"/>
      <c r="AD48" s="227" t="n"/>
      <c r="AE48" s="227" t="n"/>
      <c r="AF48" s="227" t="n"/>
      <c r="AG48" s="227" t="n"/>
      <c r="AH48" s="222" t="n"/>
    </row>
    <row r="49">
      <c r="A49" s="145">
        <f>IF($B49="","",ROW()-5)</f>
        <v/>
      </c>
      <c r="B49" s="127" t="n"/>
      <c r="C49" s="127" t="n"/>
      <c r="D49" s="127" t="n"/>
      <c r="E49" s="127" t="n"/>
      <c r="F49" s="223" t="n"/>
      <c r="G49" s="223" t="n"/>
      <c r="H49" s="127" t="n"/>
      <c r="I49" s="127" t="n"/>
      <c r="J49" s="127" t="n"/>
      <c r="K49" s="222" t="n"/>
      <c r="L49" s="227" t="n"/>
      <c r="M49" s="227" t="n"/>
      <c r="N49" s="222" t="n"/>
      <c r="O49" s="222" t="n"/>
      <c r="P49" s="222" t="n"/>
      <c r="Q49" s="222" t="n"/>
      <c r="R49" s="127" t="n"/>
      <c r="S49" s="127" t="n"/>
      <c r="T49" s="225" t="n"/>
      <c r="U49" s="231" t="n"/>
      <c r="V49" s="231" t="n"/>
      <c r="W49" s="231" t="n"/>
      <c r="X49" s="127" t="n"/>
      <c r="Y49" s="127" t="n"/>
      <c r="Z49" s="127" t="n"/>
      <c r="AA49" s="127" t="n"/>
      <c r="AB49" s="127" t="n"/>
      <c r="AC49" s="222" t="n"/>
      <c r="AD49" s="227" t="n"/>
      <c r="AE49" s="227" t="n"/>
      <c r="AF49" s="227" t="n"/>
      <c r="AG49" s="227" t="n"/>
      <c r="AH49" s="222" t="n"/>
    </row>
    <row r="50">
      <c r="A50" s="145">
        <f>IF($B50="","",ROW()-5)</f>
        <v/>
      </c>
      <c r="B50" s="127" t="n"/>
      <c r="C50" s="127" t="n"/>
      <c r="D50" s="127" t="n"/>
      <c r="E50" s="127" t="n"/>
      <c r="F50" s="223" t="n"/>
      <c r="G50" s="223" t="n"/>
      <c r="H50" s="127" t="n"/>
      <c r="I50" s="127" t="n"/>
      <c r="J50" s="127" t="n"/>
      <c r="K50" s="222" t="n"/>
      <c r="L50" s="227" t="n"/>
      <c r="M50" s="227" t="n"/>
      <c r="N50" s="222" t="n"/>
      <c r="O50" s="222" t="n"/>
      <c r="P50" s="222" t="n"/>
      <c r="Q50" s="222" t="n"/>
      <c r="R50" s="127" t="n"/>
      <c r="S50" s="127" t="n"/>
      <c r="T50" s="225" t="n"/>
      <c r="U50" s="231" t="n"/>
      <c r="V50" s="231" t="n"/>
      <c r="W50" s="231" t="n"/>
      <c r="X50" s="127" t="n"/>
      <c r="Y50" s="127" t="n"/>
      <c r="Z50" s="127" t="n"/>
      <c r="AA50" s="127" t="n"/>
      <c r="AB50" s="127" t="n"/>
      <c r="AC50" s="222" t="n"/>
      <c r="AD50" s="227" t="n"/>
      <c r="AE50" s="227" t="n"/>
      <c r="AF50" s="227" t="n"/>
      <c r="AG50" s="227" t="n"/>
      <c r="AH50" s="222" t="n"/>
    </row>
    <row r="51">
      <c r="A51" s="145">
        <f>IF($B51="","",ROW()-5)</f>
        <v/>
      </c>
      <c r="B51" s="127" t="n"/>
      <c r="C51" s="127" t="n"/>
      <c r="D51" s="127" t="n"/>
      <c r="E51" s="127" t="n"/>
      <c r="F51" s="223" t="n"/>
      <c r="G51" s="223" t="n"/>
      <c r="H51" s="127" t="n"/>
      <c r="I51" s="127" t="n"/>
      <c r="J51" s="127" t="n"/>
      <c r="K51" s="222" t="n"/>
      <c r="L51" s="227" t="n"/>
      <c r="M51" s="227" t="n"/>
      <c r="N51" s="222" t="n"/>
      <c r="O51" s="222" t="n"/>
      <c r="P51" s="222" t="n"/>
      <c r="Q51" s="222" t="n"/>
      <c r="R51" s="127" t="n"/>
      <c r="S51" s="127" t="n"/>
      <c r="T51" s="225" t="n"/>
      <c r="U51" s="231" t="n"/>
      <c r="V51" s="231" t="n"/>
      <c r="W51" s="231" t="n"/>
      <c r="X51" s="127" t="n"/>
      <c r="Y51" s="127" t="n"/>
      <c r="Z51" s="127" t="n"/>
      <c r="AA51" s="127" t="n"/>
      <c r="AB51" s="127" t="n"/>
      <c r="AC51" s="222" t="n"/>
      <c r="AD51" s="227" t="n"/>
      <c r="AE51" s="227" t="n"/>
      <c r="AF51" s="227" t="n"/>
      <c r="AG51" s="227" t="n"/>
      <c r="AH51" s="222" t="n"/>
    </row>
    <row r="52">
      <c r="A52" s="145">
        <f>IF($B52="","",ROW()-5)</f>
        <v/>
      </c>
      <c r="B52" s="127" t="n"/>
      <c r="C52" s="127" t="n"/>
      <c r="D52" s="127" t="n"/>
      <c r="E52" s="127" t="n"/>
      <c r="F52" s="223" t="n"/>
      <c r="G52" s="223" t="n"/>
      <c r="H52" s="127" t="n"/>
      <c r="I52" s="127" t="n"/>
      <c r="J52" s="127" t="n"/>
      <c r="K52" s="222" t="n"/>
      <c r="L52" s="227" t="n"/>
      <c r="M52" s="227" t="n"/>
      <c r="N52" s="222" t="n"/>
      <c r="O52" s="222" t="n"/>
      <c r="P52" s="222" t="n"/>
      <c r="Q52" s="222" t="n"/>
      <c r="R52" s="127" t="n"/>
      <c r="S52" s="127" t="n"/>
      <c r="T52" s="225" t="n"/>
      <c r="U52" s="231" t="n"/>
      <c r="V52" s="231" t="n"/>
      <c r="W52" s="231" t="n"/>
      <c r="X52" s="127" t="n"/>
      <c r="Y52" s="127" t="n"/>
      <c r="Z52" s="127" t="n"/>
      <c r="AA52" s="127" t="n"/>
      <c r="AB52" s="127" t="n"/>
      <c r="AC52" s="222" t="n"/>
      <c r="AD52" s="227" t="n"/>
      <c r="AE52" s="227" t="n"/>
      <c r="AF52" s="227" t="n"/>
      <c r="AG52" s="227" t="n"/>
      <c r="AH52" s="222" t="n"/>
    </row>
    <row r="53">
      <c r="A53" s="145">
        <f>IF($B53="","",ROW()-5)</f>
        <v/>
      </c>
      <c r="B53" s="127" t="n"/>
      <c r="C53" s="127" t="n"/>
      <c r="D53" s="127" t="n"/>
      <c r="E53" s="127" t="n"/>
      <c r="F53" s="223" t="n"/>
      <c r="G53" s="223" t="n"/>
      <c r="H53" s="127" t="n"/>
      <c r="I53" s="127" t="n"/>
      <c r="J53" s="127" t="n"/>
      <c r="K53" s="222" t="n"/>
      <c r="L53" s="227" t="n"/>
      <c r="M53" s="227" t="n"/>
      <c r="N53" s="222" t="n"/>
      <c r="O53" s="222" t="n"/>
      <c r="P53" s="222" t="n"/>
      <c r="Q53" s="222" t="n"/>
      <c r="R53" s="127" t="n"/>
      <c r="S53" s="127" t="n"/>
      <c r="T53" s="225" t="n"/>
      <c r="U53" s="231" t="n"/>
      <c r="V53" s="231" t="n"/>
      <c r="W53" s="231" t="n"/>
      <c r="X53" s="127" t="n"/>
      <c r="Y53" s="127" t="n"/>
      <c r="Z53" s="127" t="n"/>
      <c r="AA53" s="127" t="n"/>
      <c r="AB53" s="127" t="n"/>
      <c r="AC53" s="222" t="n"/>
      <c r="AD53" s="227" t="n"/>
      <c r="AE53" s="227" t="n"/>
      <c r="AF53" s="227" t="n"/>
      <c r="AG53" s="227" t="n"/>
      <c r="AH53" s="222" t="n"/>
    </row>
    <row r="54">
      <c r="A54" s="145">
        <f>IF($B54="","",ROW()-5)</f>
        <v/>
      </c>
      <c r="B54" s="127" t="n"/>
      <c r="C54" s="127" t="n"/>
      <c r="D54" s="127" t="n"/>
      <c r="E54" s="127" t="n"/>
      <c r="F54" s="223" t="n"/>
      <c r="G54" s="223" t="n"/>
      <c r="H54" s="127" t="n"/>
      <c r="I54" s="127" t="n"/>
      <c r="J54" s="127" t="n"/>
      <c r="K54" s="222" t="n"/>
      <c r="L54" s="227" t="n"/>
      <c r="M54" s="227" t="n"/>
      <c r="N54" s="222" t="n"/>
      <c r="O54" s="222" t="n"/>
      <c r="P54" s="222" t="n"/>
      <c r="Q54" s="222" t="n"/>
      <c r="R54" s="127" t="n"/>
      <c r="S54" s="127" t="n"/>
      <c r="T54" s="225" t="n"/>
      <c r="U54" s="231" t="n"/>
      <c r="V54" s="231" t="n"/>
      <c r="W54" s="231" t="n"/>
      <c r="X54" s="127" t="n"/>
      <c r="Y54" s="127" t="n"/>
      <c r="Z54" s="127" t="n"/>
      <c r="AA54" s="127" t="n"/>
      <c r="AB54" s="127" t="n"/>
      <c r="AC54" s="222" t="n"/>
      <c r="AD54" s="227" t="n"/>
      <c r="AE54" s="227" t="n"/>
      <c r="AF54" s="227" t="n"/>
      <c r="AG54" s="227" t="n"/>
      <c r="AH54" s="222" t="n"/>
    </row>
    <row r="55">
      <c r="A55" s="145">
        <f>IF($B55="","",ROW()-5)</f>
        <v/>
      </c>
      <c r="B55" s="127" t="n"/>
      <c r="C55" s="127" t="n"/>
      <c r="D55" s="127" t="n"/>
      <c r="E55" s="127" t="n"/>
      <c r="F55" s="223" t="n"/>
      <c r="G55" s="223" t="n"/>
      <c r="H55" s="127" t="n"/>
      <c r="I55" s="127" t="n"/>
      <c r="J55" s="127" t="n"/>
      <c r="K55" s="222" t="n"/>
      <c r="L55" s="227" t="n"/>
      <c r="M55" s="227" t="n"/>
      <c r="N55" s="222" t="n"/>
      <c r="O55" s="222" t="n"/>
      <c r="P55" s="222" t="n"/>
      <c r="Q55" s="222" t="n"/>
      <c r="R55" s="127" t="n"/>
      <c r="S55" s="127" t="n"/>
      <c r="T55" s="225" t="n"/>
      <c r="U55" s="231" t="n"/>
      <c r="V55" s="231" t="n"/>
      <c r="W55" s="231" t="n"/>
      <c r="X55" s="127" t="n"/>
      <c r="Y55" s="127" t="n"/>
      <c r="Z55" s="127" t="n"/>
      <c r="AA55" s="127" t="n"/>
      <c r="AB55" s="127" t="n"/>
      <c r="AC55" s="222" t="n"/>
      <c r="AD55" s="227" t="n"/>
      <c r="AE55" s="227" t="n"/>
      <c r="AF55" s="227" t="n"/>
      <c r="AG55" s="227" t="n"/>
      <c r="AH55" s="222" t="n"/>
    </row>
    <row r="56">
      <c r="A56" s="145">
        <f>IF($B56="","",ROW()-5)</f>
        <v/>
      </c>
      <c r="B56" s="127" t="n"/>
      <c r="C56" s="127" t="n"/>
      <c r="D56" s="127" t="n"/>
      <c r="E56" s="127" t="n"/>
      <c r="F56" s="223" t="n"/>
      <c r="G56" s="223" t="n"/>
      <c r="H56" s="127" t="n"/>
      <c r="I56" s="127" t="n"/>
      <c r="J56" s="127" t="n"/>
      <c r="K56" s="222" t="n"/>
      <c r="L56" s="227" t="n"/>
      <c r="M56" s="227" t="n"/>
      <c r="N56" s="222" t="n"/>
      <c r="O56" s="222" t="n"/>
      <c r="P56" s="222" t="n"/>
      <c r="Q56" s="222" t="n"/>
      <c r="R56" s="127" t="n"/>
      <c r="S56" s="127" t="n"/>
      <c r="T56" s="225" t="n"/>
      <c r="U56" s="231" t="n"/>
      <c r="V56" s="231" t="n"/>
      <c r="W56" s="231" t="n"/>
      <c r="X56" s="127" t="n"/>
      <c r="Y56" s="127" t="n"/>
      <c r="Z56" s="127" t="n"/>
      <c r="AA56" s="127" t="n"/>
      <c r="AB56" s="127" t="n"/>
      <c r="AC56" s="222" t="n"/>
      <c r="AD56" s="227" t="n"/>
      <c r="AE56" s="227" t="n"/>
      <c r="AF56" s="227" t="n"/>
      <c r="AG56" s="227" t="n"/>
      <c r="AH56" s="222" t="n"/>
    </row>
    <row r="57">
      <c r="A57" s="145">
        <f>IF($B57="","",ROW()-5)</f>
        <v/>
      </c>
      <c r="B57" s="127" t="n"/>
      <c r="C57" s="127" t="n"/>
      <c r="D57" s="127" t="n"/>
      <c r="E57" s="127" t="n"/>
      <c r="F57" s="223" t="n"/>
      <c r="G57" s="223" t="n"/>
      <c r="H57" s="127" t="n"/>
      <c r="I57" s="127" t="n"/>
      <c r="J57" s="127" t="n"/>
      <c r="K57" s="222" t="n"/>
      <c r="L57" s="227" t="n"/>
      <c r="M57" s="227" t="n"/>
      <c r="N57" s="222" t="n"/>
      <c r="O57" s="222" t="n"/>
      <c r="P57" s="222" t="n"/>
      <c r="Q57" s="222" t="n"/>
      <c r="R57" s="127" t="n"/>
      <c r="S57" s="127" t="n"/>
      <c r="T57" s="225" t="n"/>
      <c r="U57" s="231" t="n"/>
      <c r="V57" s="231" t="n"/>
      <c r="W57" s="231" t="n"/>
      <c r="X57" s="127" t="n"/>
      <c r="Y57" s="127" t="n"/>
      <c r="Z57" s="127" t="n"/>
      <c r="AA57" s="127" t="n"/>
      <c r="AB57" s="127" t="n"/>
      <c r="AC57" s="222" t="n"/>
      <c r="AD57" s="227" t="n"/>
      <c r="AE57" s="227" t="n"/>
      <c r="AF57" s="227" t="n"/>
      <c r="AG57" s="227" t="n"/>
      <c r="AH57" s="222" t="n"/>
    </row>
    <row r="58">
      <c r="A58" s="145">
        <f>IF($B58="","",ROW()-5)</f>
        <v/>
      </c>
      <c r="B58" s="127" t="n"/>
      <c r="C58" s="127" t="n"/>
      <c r="D58" s="127" t="n"/>
      <c r="E58" s="127" t="n"/>
      <c r="F58" s="223" t="n"/>
      <c r="G58" s="223" t="n"/>
      <c r="H58" s="127" t="n"/>
      <c r="I58" s="127" t="n"/>
      <c r="J58" s="127" t="n"/>
      <c r="K58" s="222" t="n"/>
      <c r="L58" s="227" t="n"/>
      <c r="M58" s="227" t="n"/>
      <c r="N58" s="222" t="n"/>
      <c r="O58" s="222" t="n"/>
      <c r="P58" s="222" t="n"/>
      <c r="Q58" s="222" t="n"/>
      <c r="R58" s="127" t="n"/>
      <c r="S58" s="127" t="n"/>
      <c r="T58" s="225" t="n"/>
      <c r="U58" s="231" t="n"/>
      <c r="V58" s="231" t="n"/>
      <c r="W58" s="231" t="n"/>
      <c r="X58" s="127" t="n"/>
      <c r="Y58" s="127" t="n"/>
      <c r="Z58" s="127" t="n"/>
      <c r="AA58" s="127" t="n"/>
      <c r="AB58" s="127" t="n"/>
      <c r="AC58" s="222" t="n"/>
      <c r="AD58" s="227" t="n"/>
      <c r="AE58" s="227" t="n"/>
      <c r="AF58" s="227" t="n"/>
      <c r="AG58" s="227" t="n"/>
      <c r="AH58" s="222" t="n"/>
    </row>
    <row r="59">
      <c r="A59" s="145">
        <f>IF($B59="","",ROW()-5)</f>
        <v/>
      </c>
      <c r="B59" s="127" t="n"/>
      <c r="C59" s="127" t="n"/>
      <c r="D59" s="127" t="n"/>
      <c r="E59" s="127" t="n"/>
      <c r="F59" s="223" t="n"/>
      <c r="G59" s="223" t="n"/>
      <c r="H59" s="127" t="n"/>
      <c r="I59" s="127" t="n"/>
      <c r="J59" s="127" t="n"/>
      <c r="K59" s="222" t="n"/>
      <c r="L59" s="227" t="n"/>
      <c r="M59" s="227" t="n"/>
      <c r="N59" s="222" t="n"/>
      <c r="O59" s="222" t="n"/>
      <c r="P59" s="222" t="n"/>
      <c r="Q59" s="222" t="n"/>
      <c r="R59" s="127" t="n"/>
      <c r="S59" s="127" t="n"/>
      <c r="T59" s="225" t="n"/>
      <c r="U59" s="231" t="n"/>
      <c r="V59" s="231" t="n"/>
      <c r="W59" s="231" t="n"/>
      <c r="X59" s="127" t="n"/>
      <c r="Y59" s="127" t="n"/>
      <c r="Z59" s="127" t="n"/>
      <c r="AA59" s="127" t="n"/>
      <c r="AB59" s="127" t="n"/>
      <c r="AC59" s="222" t="n"/>
      <c r="AD59" s="227" t="n"/>
      <c r="AE59" s="227" t="n"/>
      <c r="AF59" s="227" t="n"/>
      <c r="AG59" s="227" t="n"/>
      <c r="AH59" s="222" t="n"/>
    </row>
    <row r="60">
      <c r="A60" s="145">
        <f>IF($B60="","",ROW()-5)</f>
        <v/>
      </c>
      <c r="B60" s="127" t="n"/>
      <c r="C60" s="127" t="n"/>
      <c r="D60" s="127" t="n"/>
      <c r="E60" s="127" t="n"/>
      <c r="F60" s="223" t="n"/>
      <c r="G60" s="223" t="n"/>
      <c r="H60" s="127" t="n"/>
      <c r="I60" s="127" t="n"/>
      <c r="J60" s="127" t="n"/>
      <c r="K60" s="222" t="n"/>
      <c r="L60" s="227" t="n"/>
      <c r="M60" s="227" t="n"/>
      <c r="N60" s="222" t="n"/>
      <c r="O60" s="222" t="n"/>
      <c r="P60" s="222" t="n"/>
      <c r="Q60" s="222" t="n"/>
      <c r="R60" s="127" t="n"/>
      <c r="S60" s="127" t="n"/>
      <c r="T60" s="225" t="n"/>
      <c r="U60" s="231" t="n"/>
      <c r="V60" s="231" t="n"/>
      <c r="W60" s="231" t="n"/>
      <c r="X60" s="127" t="n"/>
      <c r="Y60" s="127" t="n"/>
      <c r="Z60" s="127" t="n"/>
      <c r="AA60" s="127" t="n"/>
      <c r="AB60" s="127" t="n"/>
      <c r="AC60" s="222" t="n"/>
      <c r="AD60" s="227" t="n"/>
      <c r="AE60" s="227" t="n"/>
      <c r="AF60" s="227" t="n"/>
      <c r="AG60" s="227" t="n"/>
      <c r="AH60" s="222" t="n"/>
    </row>
    <row r="61">
      <c r="A61" s="145">
        <f>IF($B61="","",ROW()-5)</f>
        <v/>
      </c>
      <c r="B61" s="127" t="n"/>
      <c r="C61" s="127" t="n"/>
      <c r="D61" s="127" t="n"/>
      <c r="E61" s="127" t="n"/>
      <c r="F61" s="223" t="n"/>
      <c r="G61" s="223" t="n"/>
      <c r="H61" s="127" t="n"/>
      <c r="I61" s="127" t="n"/>
      <c r="J61" s="127" t="n"/>
      <c r="K61" s="222" t="n"/>
      <c r="L61" s="227" t="n"/>
      <c r="M61" s="227" t="n"/>
      <c r="N61" s="222" t="n"/>
      <c r="O61" s="222" t="n"/>
      <c r="P61" s="222" t="n"/>
      <c r="Q61" s="222" t="n"/>
      <c r="R61" s="127" t="n"/>
      <c r="S61" s="127" t="n"/>
      <c r="T61" s="225" t="n"/>
      <c r="U61" s="231" t="n"/>
      <c r="V61" s="231" t="n"/>
      <c r="W61" s="231" t="n"/>
      <c r="X61" s="127" t="n"/>
      <c r="Y61" s="127" t="n"/>
      <c r="Z61" s="127" t="n"/>
      <c r="AA61" s="127" t="n"/>
      <c r="AB61" s="127" t="n"/>
      <c r="AC61" s="222" t="n"/>
      <c r="AD61" s="227" t="n"/>
      <c r="AE61" s="227" t="n"/>
      <c r="AF61" s="227" t="n"/>
      <c r="AG61" s="227" t="n"/>
      <c r="AH61" s="222" t="n"/>
    </row>
    <row r="62">
      <c r="A62" s="145">
        <f>IF($B62="","",ROW()-5)</f>
        <v/>
      </c>
      <c r="B62" s="127" t="n"/>
      <c r="C62" s="127" t="n"/>
      <c r="D62" s="127" t="n"/>
      <c r="E62" s="127" t="n"/>
      <c r="F62" s="223" t="n"/>
      <c r="G62" s="223" t="n"/>
      <c r="H62" s="127" t="n"/>
      <c r="I62" s="127" t="n"/>
      <c r="J62" s="127" t="n"/>
      <c r="K62" s="222" t="n"/>
      <c r="L62" s="227" t="n"/>
      <c r="M62" s="227" t="n"/>
      <c r="N62" s="222" t="n"/>
      <c r="O62" s="222" t="n"/>
      <c r="P62" s="222" t="n"/>
      <c r="Q62" s="222" t="n"/>
      <c r="R62" s="127" t="n"/>
      <c r="S62" s="127" t="n"/>
      <c r="T62" s="225" t="n"/>
      <c r="U62" s="231" t="n"/>
      <c r="V62" s="231" t="n"/>
      <c r="W62" s="231" t="n"/>
      <c r="X62" s="127" t="n"/>
      <c r="Y62" s="127" t="n"/>
      <c r="Z62" s="127" t="n"/>
      <c r="AA62" s="127" t="n"/>
      <c r="AB62" s="127" t="n"/>
      <c r="AC62" s="222" t="n"/>
      <c r="AD62" s="227" t="n"/>
      <c r="AE62" s="227" t="n"/>
      <c r="AF62" s="227" t="n"/>
      <c r="AG62" s="227" t="n"/>
      <c r="AH62" s="222" t="n"/>
    </row>
    <row r="63">
      <c r="A63" s="145">
        <f>IF($B63="","",ROW()-5)</f>
        <v/>
      </c>
      <c r="B63" s="127" t="n"/>
      <c r="C63" s="127" t="n"/>
      <c r="D63" s="127" t="n"/>
      <c r="E63" s="127" t="n"/>
      <c r="F63" s="223" t="n"/>
      <c r="G63" s="223" t="n"/>
      <c r="H63" s="127" t="n"/>
      <c r="I63" s="127" t="n"/>
      <c r="J63" s="127" t="n"/>
      <c r="K63" s="222" t="n"/>
      <c r="L63" s="227" t="n"/>
      <c r="M63" s="227" t="n"/>
      <c r="N63" s="222" t="n"/>
      <c r="O63" s="222" t="n"/>
      <c r="P63" s="222" t="n"/>
      <c r="Q63" s="222" t="n"/>
      <c r="R63" s="127" t="n"/>
      <c r="S63" s="127" t="n"/>
      <c r="T63" s="225" t="n"/>
      <c r="U63" s="231" t="n"/>
      <c r="V63" s="231" t="n"/>
      <c r="W63" s="231" t="n"/>
      <c r="X63" s="127" t="n"/>
      <c r="Y63" s="127" t="n"/>
      <c r="Z63" s="127" t="n"/>
      <c r="AA63" s="127" t="n"/>
      <c r="AB63" s="127" t="n"/>
      <c r="AC63" s="222" t="n"/>
      <c r="AD63" s="227" t="n"/>
      <c r="AE63" s="227" t="n"/>
      <c r="AF63" s="227" t="n"/>
      <c r="AG63" s="227" t="n"/>
      <c r="AH63" s="222" t="n"/>
    </row>
    <row r="64">
      <c r="A64" s="145">
        <f>IF($B64="","",ROW()-5)</f>
        <v/>
      </c>
      <c r="B64" s="127" t="n"/>
      <c r="C64" s="127" t="n"/>
      <c r="D64" s="127" t="n"/>
      <c r="E64" s="127" t="n"/>
      <c r="F64" s="223" t="n"/>
      <c r="G64" s="223" t="n"/>
      <c r="H64" s="127" t="n"/>
      <c r="I64" s="127" t="n"/>
      <c r="J64" s="127" t="n"/>
      <c r="K64" s="222" t="n"/>
      <c r="L64" s="227" t="n"/>
      <c r="M64" s="227" t="n"/>
      <c r="N64" s="222" t="n"/>
      <c r="O64" s="222" t="n"/>
      <c r="P64" s="222" t="n"/>
      <c r="Q64" s="222" t="n"/>
      <c r="R64" s="127" t="n"/>
      <c r="S64" s="127" t="n"/>
      <c r="T64" s="225" t="n"/>
      <c r="U64" s="231" t="n"/>
      <c r="V64" s="231" t="n"/>
      <c r="W64" s="231" t="n"/>
      <c r="X64" s="127" t="n"/>
      <c r="Y64" s="127" t="n"/>
      <c r="Z64" s="127" t="n"/>
      <c r="AA64" s="127" t="n"/>
      <c r="AB64" s="127" t="n"/>
      <c r="AC64" s="222" t="n"/>
      <c r="AD64" s="227" t="n"/>
      <c r="AE64" s="227" t="n"/>
      <c r="AF64" s="227" t="n"/>
      <c r="AG64" s="227" t="n"/>
      <c r="AH64" s="222" t="n"/>
    </row>
    <row r="65">
      <c r="A65" s="145">
        <f>IF($B65="","",ROW()-5)</f>
        <v/>
      </c>
      <c r="B65" s="127" t="n"/>
      <c r="C65" s="127" t="n"/>
      <c r="D65" s="127" t="n"/>
      <c r="E65" s="127" t="n"/>
      <c r="F65" s="223" t="n"/>
      <c r="G65" s="223" t="n"/>
      <c r="H65" s="127" t="n"/>
      <c r="I65" s="127" t="n"/>
      <c r="J65" s="127" t="n"/>
      <c r="K65" s="222" t="n"/>
      <c r="L65" s="227" t="n"/>
      <c r="M65" s="227" t="n"/>
      <c r="N65" s="222" t="n"/>
      <c r="O65" s="222" t="n"/>
      <c r="P65" s="222" t="n"/>
      <c r="Q65" s="222" t="n"/>
      <c r="R65" s="127" t="n"/>
      <c r="S65" s="127" t="n"/>
      <c r="T65" s="225" t="n"/>
      <c r="U65" s="231" t="n"/>
      <c r="V65" s="231" t="n"/>
      <c r="W65" s="231" t="n"/>
      <c r="X65" s="127" t="n"/>
      <c r="Y65" s="127" t="n"/>
      <c r="Z65" s="127" t="n"/>
      <c r="AA65" s="127" t="n"/>
      <c r="AB65" s="127" t="n"/>
      <c r="AC65" s="222" t="n"/>
      <c r="AD65" s="227" t="n"/>
      <c r="AE65" s="227" t="n"/>
      <c r="AF65" s="227" t="n"/>
      <c r="AG65" s="227" t="n"/>
      <c r="AH65" s="222" t="n"/>
    </row>
    <row r="66">
      <c r="A66" s="145">
        <f>IF($B66="","",ROW()-5)</f>
        <v/>
      </c>
      <c r="B66" s="127" t="n"/>
      <c r="C66" s="127" t="n"/>
      <c r="D66" s="127" t="n"/>
      <c r="E66" s="127" t="n"/>
      <c r="F66" s="223" t="n"/>
      <c r="G66" s="223" t="n"/>
      <c r="H66" s="127" t="n"/>
      <c r="I66" s="127" t="n"/>
      <c r="J66" s="127" t="n"/>
      <c r="K66" s="222" t="n"/>
      <c r="L66" s="227" t="n"/>
      <c r="M66" s="227" t="n"/>
      <c r="N66" s="222" t="n"/>
      <c r="O66" s="222" t="n"/>
      <c r="P66" s="222" t="n"/>
      <c r="Q66" s="222" t="n"/>
      <c r="R66" s="127" t="n"/>
      <c r="S66" s="127" t="n"/>
      <c r="T66" s="225" t="n"/>
      <c r="U66" s="231" t="n"/>
      <c r="V66" s="231" t="n"/>
      <c r="W66" s="231" t="n"/>
      <c r="X66" s="127" t="n"/>
      <c r="Y66" s="127" t="n"/>
      <c r="Z66" s="127" t="n"/>
      <c r="AA66" s="127" t="n"/>
      <c r="AB66" s="127" t="n"/>
      <c r="AC66" s="222" t="n"/>
      <c r="AD66" s="227" t="n"/>
      <c r="AE66" s="227" t="n"/>
      <c r="AF66" s="227" t="n"/>
      <c r="AG66" s="227" t="n"/>
      <c r="AH66" s="222" t="n"/>
    </row>
    <row r="67">
      <c r="A67" s="145">
        <f>IF($B67="","",ROW()-5)</f>
        <v/>
      </c>
      <c r="B67" s="127" t="n"/>
      <c r="C67" s="127" t="n"/>
      <c r="D67" s="127" t="n"/>
      <c r="E67" s="127" t="n"/>
      <c r="F67" s="223" t="n"/>
      <c r="G67" s="223" t="n"/>
      <c r="H67" s="127" t="n"/>
      <c r="I67" s="127" t="n"/>
      <c r="J67" s="127" t="n"/>
      <c r="K67" s="222" t="n"/>
      <c r="L67" s="227" t="n"/>
      <c r="M67" s="227" t="n"/>
      <c r="N67" s="222" t="n"/>
      <c r="O67" s="222" t="n"/>
      <c r="P67" s="222" t="n"/>
      <c r="Q67" s="222" t="n"/>
      <c r="R67" s="127" t="n"/>
      <c r="S67" s="127" t="n"/>
      <c r="T67" s="225" t="n"/>
      <c r="U67" s="231" t="n"/>
      <c r="V67" s="231" t="n"/>
      <c r="W67" s="231" t="n"/>
      <c r="X67" s="127" t="n"/>
      <c r="Y67" s="127" t="n"/>
      <c r="Z67" s="127" t="n"/>
      <c r="AA67" s="127" t="n"/>
      <c r="AB67" s="127" t="n"/>
      <c r="AC67" s="222" t="n"/>
      <c r="AD67" s="227" t="n"/>
      <c r="AE67" s="227" t="n"/>
      <c r="AF67" s="227" t="n"/>
      <c r="AG67" s="227" t="n"/>
      <c r="AH67" s="222" t="n"/>
    </row>
    <row r="68">
      <c r="A68" s="145">
        <f>IF($B68="","",ROW()-5)</f>
        <v/>
      </c>
      <c r="B68" s="127" t="n"/>
      <c r="C68" s="127" t="n"/>
      <c r="D68" s="127" t="n"/>
      <c r="E68" s="127" t="n"/>
      <c r="F68" s="223" t="n"/>
      <c r="G68" s="223" t="n"/>
      <c r="H68" s="127" t="n"/>
      <c r="I68" s="127" t="n"/>
      <c r="J68" s="127" t="n"/>
      <c r="K68" s="222" t="n"/>
      <c r="L68" s="227" t="n"/>
      <c r="M68" s="227" t="n"/>
      <c r="N68" s="222" t="n"/>
      <c r="O68" s="222" t="n"/>
      <c r="P68" s="222" t="n"/>
      <c r="Q68" s="222" t="n"/>
      <c r="R68" s="127" t="n"/>
      <c r="S68" s="127" t="n"/>
      <c r="T68" s="225" t="n"/>
      <c r="U68" s="231" t="n"/>
      <c r="V68" s="231" t="n"/>
      <c r="W68" s="231" t="n"/>
      <c r="X68" s="127" t="n"/>
      <c r="Y68" s="127" t="n"/>
      <c r="Z68" s="127" t="n"/>
      <c r="AA68" s="127" t="n"/>
      <c r="AB68" s="127" t="n"/>
      <c r="AC68" s="222" t="n"/>
      <c r="AD68" s="227" t="n"/>
      <c r="AE68" s="227" t="n"/>
      <c r="AF68" s="227" t="n"/>
      <c r="AG68" s="227" t="n"/>
      <c r="AH68" s="222" t="n"/>
    </row>
    <row r="69">
      <c r="A69" s="145">
        <f>IF($B69="","",ROW()-5)</f>
        <v/>
      </c>
      <c r="B69" s="127" t="n"/>
      <c r="C69" s="127" t="n"/>
      <c r="D69" s="127" t="n"/>
      <c r="E69" s="127" t="n"/>
      <c r="F69" s="223" t="n"/>
      <c r="G69" s="223" t="n"/>
      <c r="H69" s="127" t="n"/>
      <c r="I69" s="127" t="n"/>
      <c r="J69" s="127" t="n"/>
      <c r="K69" s="222" t="n"/>
      <c r="L69" s="227" t="n"/>
      <c r="M69" s="227" t="n"/>
      <c r="N69" s="222" t="n"/>
      <c r="O69" s="222" t="n"/>
      <c r="P69" s="222" t="n"/>
      <c r="Q69" s="222" t="n"/>
      <c r="R69" s="127" t="n"/>
      <c r="S69" s="127" t="n"/>
      <c r="T69" s="225" t="n"/>
      <c r="U69" s="231" t="n"/>
      <c r="V69" s="231" t="n"/>
      <c r="W69" s="231" t="n"/>
      <c r="X69" s="127" t="n"/>
      <c r="Y69" s="127" t="n"/>
      <c r="Z69" s="127" t="n"/>
      <c r="AA69" s="127" t="n"/>
      <c r="AB69" s="127" t="n"/>
      <c r="AC69" s="222" t="n"/>
      <c r="AD69" s="227" t="n"/>
      <c r="AE69" s="227" t="n"/>
      <c r="AF69" s="227" t="n"/>
      <c r="AG69" s="227" t="n"/>
      <c r="AH69" s="222" t="n"/>
    </row>
    <row r="70">
      <c r="A70" s="145">
        <f>IF($B70="","",ROW()-5)</f>
        <v/>
      </c>
      <c r="B70" s="127" t="n"/>
      <c r="C70" s="127" t="n"/>
      <c r="D70" s="127" t="n"/>
      <c r="E70" s="127" t="n"/>
      <c r="F70" s="223" t="n"/>
      <c r="G70" s="223" t="n"/>
      <c r="H70" s="127" t="n"/>
      <c r="I70" s="127" t="n"/>
      <c r="J70" s="127" t="n"/>
      <c r="K70" s="222" t="n"/>
      <c r="L70" s="227" t="n"/>
      <c r="M70" s="227" t="n"/>
      <c r="N70" s="222" t="n"/>
      <c r="O70" s="222" t="n"/>
      <c r="P70" s="222" t="n"/>
      <c r="Q70" s="222" t="n"/>
      <c r="R70" s="127" t="n"/>
      <c r="S70" s="127" t="n"/>
      <c r="T70" s="225" t="n"/>
      <c r="U70" s="231" t="n"/>
      <c r="V70" s="231" t="n"/>
      <c r="W70" s="231" t="n"/>
      <c r="X70" s="127" t="n"/>
      <c r="Y70" s="127" t="n"/>
      <c r="Z70" s="127" t="n"/>
      <c r="AA70" s="127" t="n"/>
      <c r="AB70" s="127" t="n"/>
      <c r="AC70" s="222" t="n"/>
      <c r="AD70" s="227" t="n"/>
      <c r="AE70" s="227" t="n"/>
      <c r="AF70" s="227" t="n"/>
      <c r="AG70" s="227" t="n"/>
      <c r="AH70" s="222" t="n"/>
    </row>
    <row r="71">
      <c r="A71" s="145">
        <f>IF($B71="","",ROW()-5)</f>
        <v/>
      </c>
      <c r="B71" s="127" t="n"/>
      <c r="C71" s="127" t="n"/>
      <c r="D71" s="127" t="n"/>
      <c r="E71" s="127" t="n"/>
      <c r="F71" s="223" t="n"/>
      <c r="G71" s="223" t="n"/>
      <c r="H71" s="127" t="n"/>
      <c r="I71" s="127" t="n"/>
      <c r="J71" s="127" t="n"/>
      <c r="K71" s="222" t="n"/>
      <c r="L71" s="227" t="n"/>
      <c r="M71" s="227" t="n"/>
      <c r="N71" s="222" t="n"/>
      <c r="O71" s="222" t="n"/>
      <c r="P71" s="222" t="n"/>
      <c r="Q71" s="222" t="n"/>
      <c r="R71" s="127" t="n"/>
      <c r="S71" s="127" t="n"/>
      <c r="T71" s="225" t="n"/>
      <c r="U71" s="231" t="n"/>
      <c r="V71" s="231" t="n"/>
      <c r="W71" s="231" t="n"/>
      <c r="X71" s="127" t="n"/>
      <c r="Y71" s="127" t="n"/>
      <c r="Z71" s="127" t="n"/>
      <c r="AA71" s="127" t="n"/>
      <c r="AB71" s="127" t="n"/>
      <c r="AC71" s="222" t="n"/>
      <c r="AD71" s="227" t="n"/>
      <c r="AE71" s="227" t="n"/>
      <c r="AF71" s="227" t="n"/>
      <c r="AG71" s="227" t="n"/>
      <c r="AH71" s="222" t="n"/>
    </row>
    <row r="72">
      <c r="A72" s="145">
        <f>IF($B72="","",ROW()-5)</f>
        <v/>
      </c>
      <c r="B72" s="127" t="n"/>
      <c r="C72" s="127" t="n"/>
      <c r="D72" s="127" t="n"/>
      <c r="E72" s="127" t="n"/>
      <c r="F72" s="223" t="n"/>
      <c r="G72" s="223" t="n"/>
      <c r="H72" s="127" t="n"/>
      <c r="I72" s="127" t="n"/>
      <c r="J72" s="127" t="n"/>
      <c r="K72" s="222" t="n"/>
      <c r="L72" s="227" t="n"/>
      <c r="M72" s="227" t="n"/>
      <c r="N72" s="222" t="n"/>
      <c r="O72" s="222" t="n"/>
      <c r="P72" s="222" t="n"/>
      <c r="Q72" s="222" t="n"/>
      <c r="R72" s="127" t="n"/>
      <c r="S72" s="127" t="n"/>
      <c r="T72" s="225" t="n"/>
      <c r="U72" s="231" t="n"/>
      <c r="V72" s="231" t="n"/>
      <c r="W72" s="231" t="n"/>
      <c r="X72" s="127" t="n"/>
      <c r="Y72" s="127" t="n"/>
      <c r="Z72" s="127" t="n"/>
      <c r="AA72" s="127" t="n"/>
      <c r="AB72" s="127" t="n"/>
      <c r="AC72" s="222" t="n"/>
      <c r="AD72" s="227" t="n"/>
      <c r="AE72" s="227" t="n"/>
      <c r="AF72" s="227" t="n"/>
      <c r="AG72" s="227" t="n"/>
      <c r="AH72" s="222" t="n"/>
    </row>
    <row r="73">
      <c r="A73" s="145">
        <f>IF($B73="","",ROW()-5)</f>
        <v/>
      </c>
      <c r="B73" s="127" t="n"/>
      <c r="C73" s="127" t="n"/>
      <c r="D73" s="127" t="n"/>
      <c r="E73" s="127" t="n"/>
      <c r="F73" s="223" t="n"/>
      <c r="G73" s="223" t="n"/>
      <c r="H73" s="127" t="n"/>
      <c r="I73" s="127" t="n"/>
      <c r="J73" s="127" t="n"/>
      <c r="K73" s="222" t="n"/>
      <c r="L73" s="227" t="n"/>
      <c r="M73" s="227" t="n"/>
      <c r="N73" s="222" t="n"/>
      <c r="O73" s="222" t="n"/>
      <c r="P73" s="222" t="n"/>
      <c r="Q73" s="222" t="n"/>
      <c r="R73" s="127" t="n"/>
      <c r="S73" s="127" t="n"/>
      <c r="T73" s="225" t="n"/>
      <c r="U73" s="231" t="n"/>
      <c r="V73" s="231" t="n"/>
      <c r="W73" s="231" t="n"/>
      <c r="X73" s="127" t="n"/>
      <c r="Y73" s="127" t="n"/>
      <c r="Z73" s="127" t="n"/>
      <c r="AA73" s="127" t="n"/>
      <c r="AB73" s="127" t="n"/>
      <c r="AC73" s="222" t="n"/>
      <c r="AD73" s="227" t="n"/>
      <c r="AE73" s="227" t="n"/>
      <c r="AF73" s="227" t="n"/>
      <c r="AG73" s="227" t="n"/>
      <c r="AH73" s="222" t="n"/>
    </row>
    <row r="74">
      <c r="A74" s="145">
        <f>IF($B74="","",ROW()-5)</f>
        <v/>
      </c>
      <c r="B74" s="127" t="n"/>
      <c r="C74" s="127" t="n"/>
      <c r="D74" s="127" t="n"/>
      <c r="E74" s="127" t="n"/>
      <c r="F74" s="223" t="n"/>
      <c r="G74" s="223" t="n"/>
      <c r="H74" s="127" t="n"/>
      <c r="I74" s="127" t="n"/>
      <c r="J74" s="127" t="n"/>
      <c r="K74" s="222" t="n"/>
      <c r="L74" s="227" t="n"/>
      <c r="M74" s="227" t="n"/>
      <c r="N74" s="222" t="n"/>
      <c r="O74" s="222" t="n"/>
      <c r="P74" s="222" t="n"/>
      <c r="Q74" s="222" t="n"/>
      <c r="R74" s="127" t="n"/>
      <c r="S74" s="127" t="n"/>
      <c r="T74" s="225" t="n"/>
      <c r="U74" s="231" t="n"/>
      <c r="V74" s="231" t="n"/>
      <c r="W74" s="231" t="n"/>
      <c r="X74" s="127" t="n"/>
      <c r="Y74" s="127" t="n"/>
      <c r="Z74" s="127" t="n"/>
      <c r="AA74" s="127" t="n"/>
      <c r="AB74" s="127" t="n"/>
      <c r="AC74" s="222" t="n"/>
      <c r="AD74" s="227" t="n"/>
      <c r="AE74" s="227" t="n"/>
      <c r="AF74" s="227" t="n"/>
      <c r="AG74" s="227" t="n"/>
      <c r="AH74" s="222" t="n"/>
    </row>
    <row r="75">
      <c r="A75" s="145">
        <f>IF($B75="","",ROW()-5)</f>
        <v/>
      </c>
      <c r="B75" s="127" t="n"/>
      <c r="C75" s="127" t="n"/>
      <c r="D75" s="127" t="n"/>
      <c r="E75" s="127" t="n"/>
      <c r="F75" s="223" t="n"/>
      <c r="G75" s="223" t="n"/>
      <c r="H75" s="127" t="n"/>
      <c r="I75" s="127" t="n"/>
      <c r="J75" s="127" t="n"/>
      <c r="K75" s="222" t="n"/>
      <c r="L75" s="227" t="n"/>
      <c r="M75" s="227" t="n"/>
      <c r="N75" s="222" t="n"/>
      <c r="O75" s="222" t="n"/>
      <c r="P75" s="222" t="n"/>
      <c r="Q75" s="222" t="n"/>
      <c r="R75" s="127" t="n"/>
      <c r="S75" s="127" t="n"/>
      <c r="T75" s="225" t="n"/>
      <c r="U75" s="231" t="n"/>
      <c r="V75" s="231" t="n"/>
      <c r="W75" s="231" t="n"/>
      <c r="X75" s="127" t="n"/>
      <c r="Y75" s="127" t="n"/>
      <c r="Z75" s="127" t="n"/>
      <c r="AA75" s="127" t="n"/>
      <c r="AB75" s="127" t="n"/>
      <c r="AC75" s="222" t="n"/>
      <c r="AD75" s="227" t="n"/>
      <c r="AE75" s="227" t="n"/>
      <c r="AF75" s="227" t="n"/>
      <c r="AG75" s="227" t="n"/>
      <c r="AH75" s="222" t="n"/>
    </row>
    <row r="76">
      <c r="A76" s="145">
        <f>IF($B76="","",ROW()-5)</f>
        <v/>
      </c>
      <c r="B76" s="127" t="n"/>
      <c r="C76" s="127" t="n"/>
      <c r="D76" s="127" t="n"/>
      <c r="E76" s="127" t="n"/>
      <c r="F76" s="223" t="n"/>
      <c r="G76" s="223" t="n"/>
      <c r="H76" s="127" t="n"/>
      <c r="I76" s="127" t="n"/>
      <c r="J76" s="127" t="n"/>
      <c r="K76" s="222" t="n"/>
      <c r="L76" s="227" t="n"/>
      <c r="M76" s="227" t="n"/>
      <c r="N76" s="222" t="n"/>
      <c r="O76" s="222" t="n"/>
      <c r="P76" s="222" t="n"/>
      <c r="Q76" s="222" t="n"/>
      <c r="R76" s="127" t="n"/>
      <c r="S76" s="127" t="n"/>
      <c r="T76" s="225" t="n"/>
      <c r="U76" s="231" t="n"/>
      <c r="V76" s="231" t="n"/>
      <c r="W76" s="231" t="n"/>
      <c r="X76" s="127" t="n"/>
      <c r="Y76" s="127" t="n"/>
      <c r="Z76" s="127" t="n"/>
      <c r="AA76" s="127" t="n"/>
      <c r="AB76" s="127" t="n"/>
      <c r="AC76" s="222" t="n"/>
      <c r="AD76" s="227" t="n"/>
      <c r="AE76" s="227" t="n"/>
      <c r="AF76" s="227" t="n"/>
      <c r="AG76" s="227" t="n"/>
      <c r="AH76" s="222" t="n"/>
    </row>
    <row r="77">
      <c r="A77" s="145">
        <f>IF($B77="","",ROW()-5)</f>
        <v/>
      </c>
      <c r="B77" s="127" t="n"/>
      <c r="C77" s="127" t="n"/>
      <c r="D77" s="127" t="n"/>
      <c r="E77" s="127" t="n"/>
      <c r="F77" s="223" t="n"/>
      <c r="G77" s="223" t="n"/>
      <c r="H77" s="127" t="n"/>
      <c r="I77" s="127" t="n"/>
      <c r="J77" s="127" t="n"/>
      <c r="K77" s="222" t="n"/>
      <c r="L77" s="227" t="n"/>
      <c r="M77" s="227" t="n"/>
      <c r="N77" s="222" t="n"/>
      <c r="O77" s="222" t="n"/>
      <c r="P77" s="222" t="n"/>
      <c r="Q77" s="222" t="n"/>
      <c r="R77" s="127" t="n"/>
      <c r="S77" s="127" t="n"/>
      <c r="T77" s="225" t="n"/>
      <c r="U77" s="231" t="n"/>
      <c r="V77" s="231" t="n"/>
      <c r="W77" s="231" t="n"/>
      <c r="X77" s="127" t="n"/>
      <c r="Y77" s="127" t="n"/>
      <c r="Z77" s="127" t="n"/>
      <c r="AA77" s="127" t="n"/>
      <c r="AB77" s="127" t="n"/>
      <c r="AC77" s="222" t="n"/>
      <c r="AD77" s="227" t="n"/>
      <c r="AE77" s="227" t="n"/>
      <c r="AF77" s="227" t="n"/>
      <c r="AG77" s="227" t="n"/>
      <c r="AH77" s="222" t="n"/>
    </row>
    <row r="78">
      <c r="A78" s="145">
        <f>IF($B78="","",ROW()-5)</f>
        <v/>
      </c>
      <c r="B78" s="127" t="n"/>
      <c r="C78" s="127" t="n"/>
      <c r="D78" s="127" t="n"/>
      <c r="E78" s="127" t="n"/>
      <c r="F78" s="223" t="n"/>
      <c r="G78" s="223" t="n"/>
      <c r="H78" s="127" t="n"/>
      <c r="I78" s="127" t="n"/>
      <c r="J78" s="127" t="n"/>
      <c r="K78" s="222" t="n"/>
      <c r="L78" s="227" t="n"/>
      <c r="M78" s="227" t="n"/>
      <c r="N78" s="222" t="n"/>
      <c r="O78" s="222" t="n"/>
      <c r="P78" s="222" t="n"/>
      <c r="Q78" s="222" t="n"/>
      <c r="R78" s="127" t="n"/>
      <c r="S78" s="127" t="n"/>
      <c r="T78" s="225" t="n"/>
      <c r="U78" s="231" t="n"/>
      <c r="V78" s="231" t="n"/>
      <c r="W78" s="231" t="n"/>
      <c r="X78" s="127" t="n"/>
      <c r="Y78" s="127" t="n"/>
      <c r="Z78" s="127" t="n"/>
      <c r="AA78" s="127" t="n"/>
      <c r="AB78" s="127" t="n"/>
      <c r="AC78" s="222" t="n"/>
      <c r="AD78" s="227" t="n"/>
      <c r="AE78" s="227" t="n"/>
      <c r="AF78" s="227" t="n"/>
      <c r="AG78" s="227" t="n"/>
      <c r="AH78" s="222" t="n"/>
    </row>
    <row r="79">
      <c r="A79" s="145">
        <f>IF($B79="","",ROW()-5)</f>
        <v/>
      </c>
      <c r="B79" s="127" t="n"/>
      <c r="C79" s="127" t="n"/>
      <c r="D79" s="127" t="n"/>
      <c r="E79" s="127" t="n"/>
      <c r="F79" s="223" t="n"/>
      <c r="G79" s="223" t="n"/>
      <c r="H79" s="127" t="n"/>
      <c r="I79" s="127" t="n"/>
      <c r="J79" s="127" t="n"/>
      <c r="K79" s="222" t="n"/>
      <c r="L79" s="227" t="n"/>
      <c r="M79" s="227" t="n"/>
      <c r="N79" s="222" t="n"/>
      <c r="O79" s="222" t="n"/>
      <c r="P79" s="222" t="n"/>
      <c r="Q79" s="222" t="n"/>
      <c r="R79" s="127" t="n"/>
      <c r="S79" s="127" t="n"/>
      <c r="T79" s="225" t="n"/>
      <c r="U79" s="231" t="n"/>
      <c r="V79" s="231" t="n"/>
      <c r="W79" s="231" t="n"/>
      <c r="X79" s="127" t="n"/>
      <c r="Y79" s="127" t="n"/>
      <c r="Z79" s="127" t="n"/>
      <c r="AA79" s="127" t="n"/>
      <c r="AB79" s="127" t="n"/>
      <c r="AC79" s="222" t="n"/>
      <c r="AD79" s="227" t="n"/>
      <c r="AE79" s="227" t="n"/>
      <c r="AF79" s="227" t="n"/>
      <c r="AG79" s="227" t="n"/>
      <c r="AH79" s="222" t="n"/>
    </row>
    <row r="80">
      <c r="A80" s="145">
        <f>IF($B80="","",ROW()-5)</f>
        <v/>
      </c>
      <c r="B80" s="127" t="n"/>
      <c r="C80" s="127" t="n"/>
      <c r="D80" s="127" t="n"/>
      <c r="E80" s="127" t="n"/>
      <c r="F80" s="223" t="n"/>
      <c r="G80" s="223" t="n"/>
      <c r="H80" s="127" t="n"/>
      <c r="I80" s="127" t="n"/>
      <c r="J80" s="127" t="n"/>
      <c r="K80" s="222" t="n"/>
      <c r="L80" s="227" t="n"/>
      <c r="M80" s="227" t="n"/>
      <c r="N80" s="222" t="n"/>
      <c r="O80" s="222" t="n"/>
      <c r="P80" s="222" t="n"/>
      <c r="Q80" s="222" t="n"/>
      <c r="R80" s="127" t="n"/>
      <c r="S80" s="127" t="n"/>
      <c r="T80" s="225" t="n"/>
      <c r="U80" s="231" t="n"/>
      <c r="V80" s="231" t="n"/>
      <c r="W80" s="231" t="n"/>
      <c r="X80" s="127" t="n"/>
      <c r="Y80" s="127" t="n"/>
      <c r="Z80" s="127" t="n"/>
      <c r="AA80" s="127" t="n"/>
      <c r="AB80" s="127" t="n"/>
      <c r="AC80" s="222" t="n"/>
      <c r="AD80" s="227" t="n"/>
      <c r="AE80" s="227" t="n"/>
      <c r="AF80" s="227" t="n"/>
      <c r="AG80" s="227" t="n"/>
      <c r="AH80" s="222" t="n"/>
    </row>
    <row r="81">
      <c r="A81" s="145">
        <f>IF($B81="","",ROW()-5)</f>
        <v/>
      </c>
      <c r="B81" s="127" t="n"/>
      <c r="C81" s="127" t="n"/>
      <c r="D81" s="127" t="n"/>
      <c r="E81" s="127" t="n"/>
      <c r="F81" s="223" t="n"/>
      <c r="G81" s="223" t="n"/>
      <c r="H81" s="127" t="n"/>
      <c r="I81" s="127" t="n"/>
      <c r="J81" s="127" t="n"/>
      <c r="K81" s="222" t="n"/>
      <c r="L81" s="227" t="n"/>
      <c r="M81" s="227" t="n"/>
      <c r="N81" s="222" t="n"/>
      <c r="O81" s="222" t="n"/>
      <c r="P81" s="222" t="n"/>
      <c r="Q81" s="222" t="n"/>
      <c r="R81" s="127" t="n"/>
      <c r="S81" s="127" t="n"/>
      <c r="T81" s="225" t="n"/>
      <c r="U81" s="231" t="n"/>
      <c r="V81" s="231" t="n"/>
      <c r="W81" s="231" t="n"/>
      <c r="X81" s="127" t="n"/>
      <c r="Y81" s="127" t="n"/>
      <c r="Z81" s="127" t="n"/>
      <c r="AA81" s="127" t="n"/>
      <c r="AB81" s="127" t="n"/>
      <c r="AC81" s="222" t="n"/>
      <c r="AD81" s="227" t="n"/>
      <c r="AE81" s="227" t="n"/>
      <c r="AF81" s="227" t="n"/>
      <c r="AG81" s="227" t="n"/>
      <c r="AH81" s="222" t="n"/>
    </row>
    <row r="82">
      <c r="A82" s="145">
        <f>IF($B82="","",ROW()-5)</f>
        <v/>
      </c>
      <c r="B82" s="127" t="n"/>
      <c r="C82" s="127" t="n"/>
      <c r="D82" s="127" t="n"/>
      <c r="E82" s="127" t="n"/>
      <c r="F82" s="223" t="n"/>
      <c r="G82" s="223" t="n"/>
      <c r="H82" s="127" t="n"/>
      <c r="I82" s="127" t="n"/>
      <c r="J82" s="127" t="n"/>
      <c r="K82" s="222" t="n"/>
      <c r="L82" s="227" t="n"/>
      <c r="M82" s="227" t="n"/>
      <c r="N82" s="222" t="n"/>
      <c r="O82" s="222" t="n"/>
      <c r="P82" s="222" t="n"/>
      <c r="Q82" s="222" t="n"/>
      <c r="R82" s="127" t="n"/>
      <c r="S82" s="127" t="n"/>
      <c r="T82" s="225" t="n"/>
      <c r="U82" s="231" t="n"/>
      <c r="V82" s="231" t="n"/>
      <c r="W82" s="231" t="n"/>
      <c r="X82" s="127" t="n"/>
      <c r="Y82" s="127" t="n"/>
      <c r="Z82" s="127" t="n"/>
      <c r="AA82" s="127" t="n"/>
      <c r="AB82" s="127" t="n"/>
      <c r="AC82" s="222" t="n"/>
      <c r="AD82" s="227" t="n"/>
      <c r="AE82" s="227" t="n"/>
      <c r="AF82" s="227" t="n"/>
      <c r="AG82" s="227" t="n"/>
      <c r="AH82" s="222" t="n"/>
    </row>
    <row r="83">
      <c r="A83" s="145">
        <f>IF($B83="","",ROW()-5)</f>
        <v/>
      </c>
      <c r="B83" s="127" t="n"/>
      <c r="C83" s="127" t="n"/>
      <c r="D83" s="127" t="n"/>
      <c r="E83" s="127" t="n"/>
      <c r="F83" s="223" t="n"/>
      <c r="G83" s="223" t="n"/>
      <c r="H83" s="127" t="n"/>
      <c r="I83" s="127" t="n"/>
      <c r="J83" s="127" t="n"/>
      <c r="K83" s="222" t="n"/>
      <c r="L83" s="227" t="n"/>
      <c r="M83" s="227" t="n"/>
      <c r="N83" s="222" t="n"/>
      <c r="O83" s="222" t="n"/>
      <c r="P83" s="222" t="n"/>
      <c r="Q83" s="222" t="n"/>
      <c r="R83" s="127" t="n"/>
      <c r="S83" s="127" t="n"/>
      <c r="T83" s="225" t="n"/>
      <c r="U83" s="231" t="n"/>
      <c r="V83" s="231" t="n"/>
      <c r="W83" s="231" t="n"/>
      <c r="X83" s="127" t="n"/>
      <c r="Y83" s="127" t="n"/>
      <c r="Z83" s="127" t="n"/>
      <c r="AA83" s="127" t="n"/>
      <c r="AB83" s="127" t="n"/>
      <c r="AC83" s="222" t="n"/>
      <c r="AD83" s="227" t="n"/>
      <c r="AE83" s="227" t="n"/>
      <c r="AF83" s="227" t="n"/>
      <c r="AG83" s="227" t="n"/>
      <c r="AH83" s="222" t="n"/>
    </row>
    <row r="84">
      <c r="A84" s="145">
        <f>IF($B84="","",ROW()-5)</f>
        <v/>
      </c>
      <c r="B84" s="127" t="n"/>
      <c r="C84" s="127" t="n"/>
      <c r="D84" s="127" t="n"/>
      <c r="E84" s="127" t="n"/>
      <c r="F84" s="223" t="n"/>
      <c r="G84" s="223" t="n"/>
      <c r="H84" s="127" t="n"/>
      <c r="I84" s="127" t="n"/>
      <c r="J84" s="127" t="n"/>
      <c r="K84" s="222" t="n"/>
      <c r="L84" s="227" t="n"/>
      <c r="M84" s="227" t="n"/>
      <c r="N84" s="222" t="n"/>
      <c r="O84" s="222" t="n"/>
      <c r="P84" s="222" t="n"/>
      <c r="Q84" s="222" t="n"/>
      <c r="R84" s="127" t="n"/>
      <c r="S84" s="127" t="n"/>
      <c r="T84" s="225" t="n"/>
      <c r="U84" s="231" t="n"/>
      <c r="V84" s="231" t="n"/>
      <c r="W84" s="231" t="n"/>
      <c r="X84" s="127" t="n"/>
      <c r="Y84" s="127" t="n"/>
      <c r="Z84" s="127" t="n"/>
      <c r="AA84" s="127" t="n"/>
      <c r="AB84" s="127" t="n"/>
      <c r="AC84" s="222" t="n"/>
      <c r="AD84" s="227" t="n"/>
      <c r="AE84" s="227" t="n"/>
      <c r="AF84" s="227" t="n"/>
      <c r="AG84" s="227" t="n"/>
      <c r="AH84" s="222" t="n"/>
    </row>
    <row r="85">
      <c r="A85" s="145">
        <f>IF($B85="","",ROW()-5)</f>
        <v/>
      </c>
      <c r="B85" s="127" t="n"/>
      <c r="C85" s="127" t="n"/>
      <c r="D85" s="127" t="n"/>
      <c r="E85" s="127" t="n"/>
      <c r="F85" s="223" t="n"/>
      <c r="G85" s="223" t="n"/>
      <c r="H85" s="127" t="n"/>
      <c r="I85" s="127" t="n"/>
      <c r="J85" s="127" t="n"/>
      <c r="K85" s="222" t="n"/>
      <c r="L85" s="227" t="n"/>
      <c r="M85" s="227" t="n"/>
      <c r="N85" s="222" t="n"/>
      <c r="O85" s="222" t="n"/>
      <c r="P85" s="222" t="n"/>
      <c r="Q85" s="222" t="n"/>
      <c r="R85" s="127" t="n"/>
      <c r="S85" s="127" t="n"/>
      <c r="T85" s="225" t="n"/>
      <c r="U85" s="231" t="n"/>
      <c r="V85" s="231" t="n"/>
      <c r="W85" s="231" t="n"/>
      <c r="X85" s="127" t="n"/>
      <c r="Y85" s="127" t="n"/>
      <c r="Z85" s="127" t="n"/>
      <c r="AA85" s="127" t="n"/>
      <c r="AB85" s="127" t="n"/>
      <c r="AC85" s="222" t="n"/>
      <c r="AD85" s="227" t="n"/>
      <c r="AE85" s="227" t="n"/>
      <c r="AF85" s="227" t="n"/>
      <c r="AG85" s="227" t="n"/>
      <c r="AH85" s="222" t="n"/>
    </row>
    <row r="86">
      <c r="A86" s="145">
        <f>IF($B86="","",ROW()-5)</f>
        <v/>
      </c>
      <c r="B86" s="127" t="n"/>
      <c r="C86" s="127" t="n"/>
      <c r="D86" s="127" t="n"/>
      <c r="E86" s="127" t="n"/>
      <c r="F86" s="223" t="n"/>
      <c r="G86" s="223" t="n"/>
      <c r="H86" s="127" t="n"/>
      <c r="I86" s="127" t="n"/>
      <c r="J86" s="127" t="n"/>
      <c r="K86" s="222" t="n"/>
      <c r="L86" s="227" t="n"/>
      <c r="M86" s="227" t="n"/>
      <c r="N86" s="222" t="n"/>
      <c r="O86" s="222" t="n"/>
      <c r="P86" s="222" t="n"/>
      <c r="Q86" s="222" t="n"/>
      <c r="R86" s="127" t="n"/>
      <c r="S86" s="127" t="n"/>
      <c r="T86" s="225" t="n"/>
      <c r="U86" s="231" t="n"/>
      <c r="V86" s="231" t="n"/>
      <c r="W86" s="231" t="n"/>
      <c r="X86" s="127" t="n"/>
      <c r="Y86" s="127" t="n"/>
      <c r="Z86" s="127" t="n"/>
      <c r="AA86" s="127" t="n"/>
      <c r="AB86" s="127" t="n"/>
      <c r="AC86" s="222" t="n"/>
      <c r="AD86" s="227" t="n"/>
      <c r="AE86" s="227" t="n"/>
      <c r="AF86" s="227" t="n"/>
      <c r="AG86" s="227" t="n"/>
      <c r="AH86" s="222" t="n"/>
    </row>
    <row r="87">
      <c r="A87" s="145">
        <f>IF($B87="","",ROW()-5)</f>
        <v/>
      </c>
      <c r="B87" s="127" t="n"/>
      <c r="C87" s="127" t="n"/>
      <c r="D87" s="127" t="n"/>
      <c r="E87" s="127" t="n"/>
      <c r="F87" s="223" t="n"/>
      <c r="G87" s="223" t="n"/>
      <c r="H87" s="127" t="n"/>
      <c r="I87" s="127" t="n"/>
      <c r="J87" s="127" t="n"/>
      <c r="K87" s="222" t="n"/>
      <c r="L87" s="227" t="n"/>
      <c r="M87" s="227" t="n"/>
      <c r="N87" s="222" t="n"/>
      <c r="O87" s="222" t="n"/>
      <c r="P87" s="222" t="n"/>
      <c r="Q87" s="222" t="n"/>
      <c r="R87" s="127" t="n"/>
      <c r="S87" s="127" t="n"/>
      <c r="T87" s="225" t="n"/>
      <c r="U87" s="231" t="n"/>
      <c r="V87" s="231" t="n"/>
      <c r="W87" s="231" t="n"/>
      <c r="X87" s="127" t="n"/>
      <c r="Y87" s="127" t="n"/>
      <c r="Z87" s="127" t="n"/>
      <c r="AA87" s="127" t="n"/>
      <c r="AB87" s="127" t="n"/>
      <c r="AC87" s="222" t="n"/>
      <c r="AD87" s="227" t="n"/>
      <c r="AE87" s="227" t="n"/>
      <c r="AF87" s="227" t="n"/>
      <c r="AG87" s="227" t="n"/>
      <c r="AH87" s="222" t="n"/>
    </row>
    <row r="88">
      <c r="A88" s="145">
        <f>IF($B88="","",ROW()-5)</f>
        <v/>
      </c>
      <c r="B88" s="127" t="n"/>
      <c r="C88" s="127" t="n"/>
      <c r="D88" s="127" t="n"/>
      <c r="E88" s="127" t="n"/>
      <c r="F88" s="223" t="n"/>
      <c r="G88" s="223" t="n"/>
      <c r="H88" s="127" t="n"/>
      <c r="I88" s="127" t="n"/>
      <c r="J88" s="127" t="n"/>
      <c r="K88" s="222" t="n"/>
      <c r="L88" s="227" t="n"/>
      <c r="M88" s="227" t="n"/>
      <c r="N88" s="222" t="n"/>
      <c r="O88" s="222" t="n"/>
      <c r="P88" s="222" t="n"/>
      <c r="Q88" s="222" t="n"/>
      <c r="R88" s="127" t="n"/>
      <c r="S88" s="127" t="n"/>
      <c r="T88" s="225" t="n"/>
      <c r="U88" s="231" t="n"/>
      <c r="V88" s="231" t="n"/>
      <c r="W88" s="231" t="n"/>
      <c r="X88" s="127" t="n"/>
      <c r="Y88" s="127" t="n"/>
      <c r="Z88" s="127" t="n"/>
      <c r="AA88" s="127" t="n"/>
      <c r="AB88" s="127" t="n"/>
      <c r="AC88" s="222" t="n"/>
      <c r="AD88" s="227" t="n"/>
      <c r="AE88" s="227" t="n"/>
      <c r="AF88" s="227" t="n"/>
      <c r="AG88" s="227" t="n"/>
      <c r="AH88" s="222" t="n"/>
    </row>
    <row r="89">
      <c r="A89" s="145">
        <f>IF($B89="","",ROW()-5)</f>
        <v/>
      </c>
      <c r="B89" s="127" t="n"/>
      <c r="C89" s="127" t="n"/>
      <c r="D89" s="127" t="n"/>
      <c r="E89" s="127" t="n"/>
      <c r="F89" s="223" t="n"/>
      <c r="G89" s="223" t="n"/>
      <c r="H89" s="127" t="n"/>
      <c r="I89" s="127" t="n"/>
      <c r="J89" s="127" t="n"/>
      <c r="K89" s="222" t="n"/>
      <c r="L89" s="227" t="n"/>
      <c r="M89" s="227" t="n"/>
      <c r="N89" s="222" t="n"/>
      <c r="O89" s="222" t="n"/>
      <c r="P89" s="222" t="n"/>
      <c r="Q89" s="222" t="n"/>
      <c r="R89" s="127" t="n"/>
      <c r="S89" s="127" t="n"/>
      <c r="T89" s="225" t="n"/>
      <c r="U89" s="231" t="n"/>
      <c r="V89" s="231" t="n"/>
      <c r="W89" s="231" t="n"/>
      <c r="X89" s="127" t="n"/>
      <c r="Y89" s="127" t="n"/>
      <c r="Z89" s="127" t="n"/>
      <c r="AA89" s="127" t="n"/>
      <c r="AB89" s="127" t="n"/>
      <c r="AC89" s="222" t="n"/>
      <c r="AD89" s="227" t="n"/>
      <c r="AE89" s="227" t="n"/>
      <c r="AF89" s="227" t="n"/>
      <c r="AG89" s="227" t="n"/>
      <c r="AH89" s="222" t="n"/>
    </row>
    <row r="90">
      <c r="A90" s="145">
        <f>IF($B90="","",ROW()-5)</f>
        <v/>
      </c>
      <c r="B90" s="127" t="n"/>
      <c r="C90" s="127" t="n"/>
      <c r="D90" s="127" t="n"/>
      <c r="E90" s="127" t="n"/>
      <c r="F90" s="223" t="n"/>
      <c r="G90" s="223" t="n"/>
      <c r="H90" s="127" t="n"/>
      <c r="I90" s="127" t="n"/>
      <c r="J90" s="127" t="n"/>
      <c r="K90" s="222" t="n"/>
      <c r="L90" s="227" t="n"/>
      <c r="M90" s="227" t="n"/>
      <c r="N90" s="222" t="n"/>
      <c r="O90" s="222" t="n"/>
      <c r="P90" s="222" t="n"/>
      <c r="Q90" s="222" t="n"/>
      <c r="R90" s="127" t="n"/>
      <c r="S90" s="127" t="n"/>
      <c r="T90" s="225" t="n"/>
      <c r="U90" s="231" t="n"/>
      <c r="V90" s="231" t="n"/>
      <c r="W90" s="231" t="n"/>
      <c r="X90" s="127" t="n"/>
      <c r="Y90" s="127" t="n"/>
      <c r="Z90" s="127" t="n"/>
      <c r="AA90" s="127" t="n"/>
      <c r="AB90" s="127" t="n"/>
      <c r="AC90" s="222" t="n"/>
      <c r="AD90" s="227" t="n"/>
      <c r="AE90" s="227" t="n"/>
      <c r="AF90" s="227" t="n"/>
      <c r="AG90" s="227" t="n"/>
      <c r="AH90" s="222" t="n"/>
    </row>
    <row r="91">
      <c r="A91" s="145">
        <f>IF($B91="","",ROW()-5)</f>
        <v/>
      </c>
      <c r="B91" s="127" t="n"/>
      <c r="C91" s="127" t="n"/>
      <c r="D91" s="127" t="n"/>
      <c r="E91" s="127" t="n"/>
      <c r="F91" s="223" t="n"/>
      <c r="G91" s="223" t="n"/>
      <c r="H91" s="127" t="n"/>
      <c r="I91" s="127" t="n"/>
      <c r="J91" s="127" t="n"/>
      <c r="K91" s="222" t="n"/>
      <c r="L91" s="227" t="n"/>
      <c r="M91" s="227" t="n"/>
      <c r="N91" s="222" t="n"/>
      <c r="O91" s="222" t="n"/>
      <c r="P91" s="222" t="n"/>
      <c r="Q91" s="222" t="n"/>
      <c r="R91" s="127" t="n"/>
      <c r="S91" s="127" t="n"/>
      <c r="T91" s="225" t="n"/>
      <c r="U91" s="231" t="n"/>
      <c r="V91" s="231" t="n"/>
      <c r="W91" s="231" t="n"/>
      <c r="X91" s="127" t="n"/>
      <c r="Y91" s="127" t="n"/>
      <c r="Z91" s="127" t="n"/>
      <c r="AA91" s="127" t="n"/>
      <c r="AB91" s="127" t="n"/>
      <c r="AC91" s="222" t="n"/>
      <c r="AD91" s="227" t="n"/>
      <c r="AE91" s="227" t="n"/>
      <c r="AF91" s="227" t="n"/>
      <c r="AG91" s="227" t="n"/>
      <c r="AH91" s="222" t="n"/>
    </row>
    <row r="92">
      <c r="A92" s="145">
        <f>IF($B92="","",ROW()-5)</f>
        <v/>
      </c>
      <c r="B92" s="127" t="n"/>
      <c r="C92" s="127" t="n"/>
      <c r="D92" s="127" t="n"/>
      <c r="E92" s="127" t="n"/>
      <c r="F92" s="223" t="n"/>
      <c r="G92" s="223" t="n"/>
      <c r="H92" s="127" t="n"/>
      <c r="I92" s="127" t="n"/>
      <c r="J92" s="127" t="n"/>
      <c r="K92" s="222" t="n"/>
      <c r="L92" s="227" t="n"/>
      <c r="M92" s="227" t="n"/>
      <c r="N92" s="222" t="n"/>
      <c r="O92" s="222" t="n"/>
      <c r="P92" s="222" t="n"/>
      <c r="Q92" s="222" t="n"/>
      <c r="R92" s="127" t="n"/>
      <c r="S92" s="127" t="n"/>
      <c r="T92" s="225" t="n"/>
      <c r="U92" s="231" t="n"/>
      <c r="V92" s="231" t="n"/>
      <c r="W92" s="231" t="n"/>
      <c r="X92" s="127" t="n"/>
      <c r="Y92" s="127" t="n"/>
      <c r="Z92" s="127" t="n"/>
      <c r="AA92" s="127" t="n"/>
      <c r="AB92" s="127" t="n"/>
      <c r="AC92" s="222" t="n"/>
      <c r="AD92" s="227" t="n"/>
      <c r="AE92" s="227" t="n"/>
      <c r="AF92" s="227" t="n"/>
      <c r="AG92" s="227" t="n"/>
      <c r="AH92" s="222" t="n"/>
    </row>
    <row r="93">
      <c r="A93" s="145">
        <f>IF($B93="","",ROW()-5)</f>
        <v/>
      </c>
      <c r="B93" s="127" t="n"/>
      <c r="C93" s="127" t="n"/>
      <c r="D93" s="127" t="n"/>
      <c r="E93" s="127" t="n"/>
      <c r="F93" s="223" t="n"/>
      <c r="G93" s="223" t="n"/>
      <c r="H93" s="127" t="n"/>
      <c r="I93" s="127" t="n"/>
      <c r="J93" s="127" t="n"/>
      <c r="K93" s="222" t="n"/>
      <c r="L93" s="227" t="n"/>
      <c r="M93" s="227" t="n"/>
      <c r="N93" s="222" t="n"/>
      <c r="O93" s="222" t="n"/>
      <c r="P93" s="222" t="n"/>
      <c r="Q93" s="222" t="n"/>
      <c r="R93" s="127" t="n"/>
      <c r="S93" s="127" t="n"/>
      <c r="T93" s="225" t="n"/>
      <c r="U93" s="231" t="n"/>
      <c r="V93" s="231" t="n"/>
      <c r="W93" s="231" t="n"/>
      <c r="X93" s="127" t="n"/>
      <c r="Y93" s="127" t="n"/>
      <c r="Z93" s="127" t="n"/>
      <c r="AA93" s="127" t="n"/>
      <c r="AB93" s="127" t="n"/>
      <c r="AC93" s="222" t="n"/>
      <c r="AD93" s="227" t="n"/>
      <c r="AE93" s="227" t="n"/>
      <c r="AF93" s="227" t="n"/>
      <c r="AG93" s="227" t="n"/>
      <c r="AH93" s="222" t="n"/>
    </row>
    <row r="94">
      <c r="A94" s="145">
        <f>IF($B94="","",ROW()-5)</f>
        <v/>
      </c>
      <c r="B94" s="127" t="n"/>
      <c r="C94" s="127" t="n"/>
      <c r="D94" s="127" t="n"/>
      <c r="E94" s="127" t="n"/>
      <c r="F94" s="223" t="n"/>
      <c r="G94" s="223" t="n"/>
      <c r="H94" s="127" t="n"/>
      <c r="I94" s="127" t="n"/>
      <c r="J94" s="127" t="n"/>
      <c r="K94" s="222" t="n"/>
      <c r="L94" s="227" t="n"/>
      <c r="M94" s="227" t="n"/>
      <c r="N94" s="222" t="n"/>
      <c r="O94" s="222" t="n"/>
      <c r="P94" s="222" t="n"/>
      <c r="Q94" s="222" t="n"/>
      <c r="R94" s="127" t="n"/>
      <c r="S94" s="127" t="n"/>
      <c r="T94" s="225" t="n"/>
      <c r="U94" s="231" t="n"/>
      <c r="V94" s="231" t="n"/>
      <c r="W94" s="231" t="n"/>
      <c r="X94" s="127" t="n"/>
      <c r="Y94" s="127" t="n"/>
      <c r="Z94" s="127" t="n"/>
      <c r="AA94" s="127" t="n"/>
      <c r="AB94" s="127" t="n"/>
      <c r="AC94" s="222" t="n"/>
      <c r="AD94" s="227" t="n"/>
      <c r="AE94" s="227" t="n"/>
      <c r="AF94" s="227" t="n"/>
      <c r="AG94" s="227" t="n"/>
      <c r="AH94" s="222" t="n"/>
    </row>
    <row r="95">
      <c r="A95" s="145">
        <f>IF($B95="","",ROW()-5)</f>
        <v/>
      </c>
      <c r="B95" s="127" t="n"/>
      <c r="C95" s="127" t="n"/>
      <c r="D95" s="127" t="n"/>
      <c r="E95" s="127" t="n"/>
      <c r="F95" s="223" t="n"/>
      <c r="G95" s="223" t="n"/>
      <c r="H95" s="127" t="n"/>
      <c r="I95" s="127" t="n"/>
      <c r="J95" s="127" t="n"/>
      <c r="K95" s="222" t="n"/>
      <c r="L95" s="227" t="n"/>
      <c r="M95" s="227" t="n"/>
      <c r="N95" s="222" t="n"/>
      <c r="O95" s="222" t="n"/>
      <c r="P95" s="222" t="n"/>
      <c r="Q95" s="222" t="n"/>
      <c r="R95" s="127" t="n"/>
      <c r="S95" s="127" t="n"/>
      <c r="T95" s="225" t="n"/>
      <c r="U95" s="231" t="n"/>
      <c r="V95" s="231" t="n"/>
      <c r="W95" s="231" t="n"/>
      <c r="X95" s="127" t="n"/>
      <c r="Y95" s="127" t="n"/>
      <c r="Z95" s="127" t="n"/>
      <c r="AA95" s="127" t="n"/>
      <c r="AB95" s="127" t="n"/>
      <c r="AC95" s="222" t="n"/>
      <c r="AD95" s="227" t="n"/>
      <c r="AE95" s="227" t="n"/>
      <c r="AF95" s="227" t="n"/>
      <c r="AG95" s="227" t="n"/>
      <c r="AH95" s="222" t="n"/>
    </row>
    <row r="96">
      <c r="A96" s="145">
        <f>IF($B96="","",ROW()-5)</f>
        <v/>
      </c>
      <c r="B96" s="127" t="n"/>
      <c r="C96" s="127" t="n"/>
      <c r="D96" s="127" t="n"/>
      <c r="E96" s="127" t="n"/>
      <c r="F96" s="223" t="n"/>
      <c r="G96" s="223" t="n"/>
      <c r="H96" s="127" t="n"/>
      <c r="I96" s="127" t="n"/>
      <c r="J96" s="127" t="n"/>
      <c r="K96" s="222" t="n"/>
      <c r="L96" s="227" t="n"/>
      <c r="M96" s="227" t="n"/>
      <c r="N96" s="222" t="n"/>
      <c r="O96" s="222" t="n"/>
      <c r="P96" s="222" t="n"/>
      <c r="Q96" s="222" t="n"/>
      <c r="R96" s="127" t="n"/>
      <c r="S96" s="127" t="n"/>
      <c r="T96" s="225" t="n"/>
      <c r="U96" s="231" t="n"/>
      <c r="V96" s="231" t="n"/>
      <c r="W96" s="231" t="n"/>
      <c r="X96" s="127" t="n"/>
      <c r="Y96" s="127" t="n"/>
      <c r="Z96" s="127" t="n"/>
      <c r="AA96" s="127" t="n"/>
      <c r="AB96" s="127" t="n"/>
      <c r="AC96" s="222" t="n"/>
      <c r="AD96" s="227" t="n"/>
      <c r="AE96" s="227" t="n"/>
      <c r="AF96" s="227" t="n"/>
      <c r="AG96" s="227" t="n"/>
      <c r="AH96" s="222" t="n"/>
    </row>
    <row r="97">
      <c r="A97" s="145">
        <f>IF($B97="","",ROW()-5)</f>
        <v/>
      </c>
      <c r="B97" s="127" t="n"/>
      <c r="C97" s="127" t="n"/>
      <c r="D97" s="127" t="n"/>
      <c r="E97" s="127" t="n"/>
      <c r="F97" s="223" t="n"/>
      <c r="G97" s="223" t="n"/>
      <c r="H97" s="127" t="n"/>
      <c r="I97" s="127" t="n"/>
      <c r="J97" s="127" t="n"/>
      <c r="K97" s="222" t="n"/>
      <c r="L97" s="227" t="n"/>
      <c r="M97" s="227" t="n"/>
      <c r="N97" s="222" t="n"/>
      <c r="O97" s="222" t="n"/>
      <c r="P97" s="222" t="n"/>
      <c r="Q97" s="222" t="n"/>
      <c r="R97" s="127" t="n"/>
      <c r="S97" s="127" t="n"/>
      <c r="T97" s="225" t="n"/>
      <c r="U97" s="231" t="n"/>
      <c r="V97" s="231" t="n"/>
      <c r="W97" s="231" t="n"/>
      <c r="X97" s="127" t="n"/>
      <c r="Y97" s="127" t="n"/>
      <c r="Z97" s="127" t="n"/>
      <c r="AA97" s="127" t="n"/>
      <c r="AB97" s="127" t="n"/>
      <c r="AC97" s="222" t="n"/>
      <c r="AD97" s="227" t="n"/>
      <c r="AE97" s="227" t="n"/>
      <c r="AF97" s="227" t="n"/>
      <c r="AG97" s="227" t="n"/>
      <c r="AH97" s="222" t="n"/>
    </row>
    <row r="98">
      <c r="A98" s="145">
        <f>IF($B98="","",ROW()-5)</f>
        <v/>
      </c>
      <c r="B98" s="127" t="n"/>
      <c r="C98" s="127" t="n"/>
      <c r="D98" s="127" t="n"/>
      <c r="E98" s="127" t="n"/>
      <c r="F98" s="223" t="n"/>
      <c r="G98" s="223" t="n"/>
      <c r="H98" s="127" t="n"/>
      <c r="I98" s="127" t="n"/>
      <c r="J98" s="127" t="n"/>
      <c r="K98" s="222" t="n"/>
      <c r="L98" s="227" t="n"/>
      <c r="M98" s="227" t="n"/>
      <c r="N98" s="222" t="n"/>
      <c r="O98" s="222" t="n"/>
      <c r="P98" s="222" t="n"/>
      <c r="Q98" s="222" t="n"/>
      <c r="R98" s="127" t="n"/>
      <c r="S98" s="127" t="n"/>
      <c r="T98" s="225" t="n"/>
      <c r="U98" s="231" t="n"/>
      <c r="V98" s="231" t="n"/>
      <c r="W98" s="231" t="n"/>
      <c r="X98" s="127" t="n"/>
      <c r="Y98" s="127" t="n"/>
      <c r="Z98" s="127" t="n"/>
      <c r="AA98" s="127" t="n"/>
      <c r="AB98" s="127" t="n"/>
      <c r="AC98" s="222" t="n"/>
      <c r="AD98" s="227" t="n"/>
      <c r="AE98" s="227" t="n"/>
      <c r="AF98" s="227" t="n"/>
      <c r="AG98" s="227" t="n"/>
      <c r="AH98" s="222" t="n"/>
    </row>
    <row r="99">
      <c r="A99" s="145">
        <f>IF($B99="","",ROW()-5)</f>
        <v/>
      </c>
      <c r="B99" s="127" t="n"/>
      <c r="C99" s="127" t="n"/>
      <c r="D99" s="127" t="n"/>
      <c r="E99" s="127" t="n"/>
      <c r="F99" s="223" t="n"/>
      <c r="G99" s="223" t="n"/>
      <c r="H99" s="127" t="n"/>
      <c r="I99" s="127" t="n"/>
      <c r="J99" s="127" t="n"/>
      <c r="K99" s="222" t="n"/>
      <c r="L99" s="227" t="n"/>
      <c r="M99" s="227" t="n"/>
      <c r="N99" s="222" t="n"/>
      <c r="O99" s="222" t="n"/>
      <c r="P99" s="222" t="n"/>
      <c r="Q99" s="222" t="n"/>
      <c r="R99" s="127" t="n"/>
      <c r="S99" s="127" t="n"/>
      <c r="T99" s="225" t="n"/>
      <c r="U99" s="231" t="n"/>
      <c r="V99" s="231" t="n"/>
      <c r="W99" s="231" t="n"/>
      <c r="X99" s="127" t="n"/>
      <c r="Y99" s="127" t="n"/>
      <c r="Z99" s="127" t="n"/>
      <c r="AA99" s="127" t="n"/>
      <c r="AB99" s="127" t="n"/>
      <c r="AC99" s="222" t="n"/>
      <c r="AD99" s="227" t="n"/>
      <c r="AE99" s="227" t="n"/>
      <c r="AF99" s="227" t="n"/>
      <c r="AG99" s="227" t="n"/>
      <c r="AH99" s="222" t="n"/>
    </row>
    <row r="100">
      <c r="A100" s="145">
        <f>IF($B100="","",ROW()-5)</f>
        <v/>
      </c>
      <c r="B100" s="127" t="n"/>
      <c r="C100" s="127" t="n"/>
      <c r="D100" s="127" t="n"/>
      <c r="E100" s="127" t="n"/>
      <c r="F100" s="223" t="n"/>
      <c r="G100" s="223" t="n"/>
      <c r="H100" s="127" t="n"/>
      <c r="I100" s="127" t="n"/>
      <c r="J100" s="127" t="n"/>
      <c r="K100" s="222" t="n"/>
      <c r="L100" s="227" t="n"/>
      <c r="M100" s="227" t="n"/>
      <c r="N100" s="222" t="n"/>
      <c r="O100" s="222" t="n"/>
      <c r="P100" s="222" t="n"/>
      <c r="Q100" s="222" t="n"/>
      <c r="R100" s="127" t="n"/>
      <c r="S100" s="127" t="n"/>
      <c r="T100" s="225" t="n"/>
      <c r="U100" s="231" t="n"/>
      <c r="V100" s="231" t="n"/>
      <c r="W100" s="231" t="n"/>
      <c r="X100" s="127" t="n"/>
      <c r="Y100" s="127" t="n"/>
      <c r="Z100" s="127" t="n"/>
      <c r="AA100" s="127" t="n"/>
      <c r="AB100" s="127" t="n"/>
      <c r="AC100" s="222" t="n"/>
      <c r="AD100" s="227" t="n"/>
      <c r="AE100" s="227" t="n"/>
      <c r="AF100" s="227" t="n"/>
      <c r="AG100" s="227" t="n"/>
      <c r="AH100" s="222" t="n"/>
    </row>
    <row r="101">
      <c r="A101" s="145">
        <f>IF($B101="","",ROW()-5)</f>
        <v/>
      </c>
      <c r="B101" s="127" t="n"/>
      <c r="C101" s="127" t="n"/>
      <c r="D101" s="127" t="n"/>
      <c r="E101" s="127" t="n"/>
      <c r="F101" s="223" t="n"/>
      <c r="G101" s="223" t="n"/>
      <c r="H101" s="127" t="n"/>
      <c r="I101" s="127" t="n"/>
      <c r="J101" s="127" t="n"/>
      <c r="K101" s="222" t="n"/>
      <c r="L101" s="227" t="n"/>
      <c r="M101" s="227" t="n"/>
      <c r="N101" s="222" t="n"/>
      <c r="O101" s="222" t="n"/>
      <c r="P101" s="222" t="n"/>
      <c r="Q101" s="222" t="n"/>
      <c r="R101" s="127" t="n"/>
      <c r="S101" s="127" t="n"/>
      <c r="T101" s="225" t="n"/>
      <c r="U101" s="231" t="n"/>
      <c r="V101" s="231" t="n"/>
      <c r="W101" s="231" t="n"/>
      <c r="X101" s="127" t="n"/>
      <c r="Y101" s="127" t="n"/>
      <c r="Z101" s="127" t="n"/>
      <c r="AA101" s="127" t="n"/>
      <c r="AB101" s="127" t="n"/>
      <c r="AC101" s="222" t="n"/>
      <c r="AD101" s="227" t="n"/>
      <c r="AE101" s="227" t="n"/>
      <c r="AF101" s="227" t="n"/>
      <c r="AG101" s="227" t="n"/>
      <c r="AH101" s="222" t="n"/>
    </row>
    <row r="102">
      <c r="A102" s="145">
        <f>IF($B102="","",ROW()-5)</f>
        <v/>
      </c>
      <c r="B102" s="127" t="n"/>
      <c r="C102" s="127" t="n"/>
      <c r="D102" s="127" t="n"/>
      <c r="E102" s="127" t="n"/>
      <c r="F102" s="223" t="n"/>
      <c r="G102" s="223" t="n"/>
      <c r="H102" s="127" t="n"/>
      <c r="I102" s="127" t="n"/>
      <c r="J102" s="127" t="n"/>
      <c r="K102" s="222" t="n"/>
      <c r="L102" s="227" t="n"/>
      <c r="M102" s="227" t="n"/>
      <c r="N102" s="222" t="n"/>
      <c r="O102" s="222" t="n"/>
      <c r="P102" s="222" t="n"/>
      <c r="Q102" s="222" t="n"/>
      <c r="R102" s="127" t="n"/>
      <c r="S102" s="127" t="n"/>
      <c r="T102" s="225" t="n"/>
      <c r="U102" s="231" t="n"/>
      <c r="V102" s="231" t="n"/>
      <c r="W102" s="231" t="n"/>
      <c r="X102" s="127" t="n"/>
      <c r="Y102" s="127" t="n"/>
      <c r="Z102" s="127" t="n"/>
      <c r="AA102" s="127" t="n"/>
      <c r="AB102" s="127" t="n"/>
      <c r="AC102" s="222" t="n"/>
      <c r="AD102" s="227" t="n"/>
      <c r="AE102" s="227" t="n"/>
      <c r="AF102" s="227" t="n"/>
      <c r="AG102" s="227" t="n"/>
      <c r="AH102" s="222" t="n"/>
    </row>
    <row r="103">
      <c r="A103" s="145">
        <f>IF($B103="","",ROW()-5)</f>
        <v/>
      </c>
      <c r="B103" s="127" t="n"/>
      <c r="C103" s="127" t="n"/>
      <c r="D103" s="127" t="n"/>
      <c r="E103" s="127" t="n"/>
      <c r="F103" s="223" t="n"/>
      <c r="G103" s="223" t="n"/>
      <c r="H103" s="127" t="n"/>
      <c r="I103" s="127" t="n"/>
      <c r="J103" s="127" t="n"/>
      <c r="K103" s="222" t="n"/>
      <c r="L103" s="227" t="n"/>
      <c r="M103" s="227" t="n"/>
      <c r="N103" s="222" t="n"/>
      <c r="O103" s="222" t="n"/>
      <c r="P103" s="222" t="n"/>
      <c r="Q103" s="222" t="n"/>
      <c r="R103" s="127" t="n"/>
      <c r="S103" s="127" t="n"/>
      <c r="T103" s="225" t="n"/>
      <c r="U103" s="231" t="n"/>
      <c r="V103" s="231" t="n"/>
      <c r="W103" s="231" t="n"/>
      <c r="X103" s="127" t="n"/>
      <c r="Y103" s="127" t="n"/>
      <c r="Z103" s="127" t="n"/>
      <c r="AA103" s="127" t="n"/>
      <c r="AB103" s="127" t="n"/>
      <c r="AC103" s="222" t="n"/>
      <c r="AD103" s="227" t="n"/>
      <c r="AE103" s="227" t="n"/>
      <c r="AF103" s="227" t="n"/>
      <c r="AG103" s="227" t="n"/>
      <c r="AH103" s="222" t="n"/>
    </row>
    <row r="104">
      <c r="A104" s="145">
        <f>IF($B104="","",ROW()-5)</f>
        <v/>
      </c>
      <c r="B104" s="127" t="n"/>
      <c r="C104" s="127" t="n"/>
      <c r="D104" s="127" t="n"/>
      <c r="E104" s="127" t="n"/>
      <c r="F104" s="223" t="n"/>
      <c r="G104" s="223" t="n"/>
      <c r="H104" s="127" t="n"/>
      <c r="I104" s="127" t="n"/>
      <c r="J104" s="127" t="n"/>
      <c r="K104" s="222" t="n"/>
      <c r="L104" s="227" t="n"/>
      <c r="M104" s="227" t="n"/>
      <c r="N104" s="222" t="n"/>
      <c r="O104" s="222" t="n"/>
      <c r="P104" s="222" t="n"/>
      <c r="Q104" s="222" t="n"/>
      <c r="R104" s="127" t="n"/>
      <c r="S104" s="127" t="n"/>
      <c r="T104" s="225" t="n"/>
      <c r="U104" s="231" t="n"/>
      <c r="V104" s="231" t="n"/>
      <c r="W104" s="231" t="n"/>
      <c r="X104" s="127" t="n"/>
      <c r="Y104" s="127" t="n"/>
      <c r="Z104" s="127" t="n"/>
      <c r="AA104" s="127" t="n"/>
      <c r="AB104" s="127" t="n"/>
      <c r="AC104" s="222" t="n"/>
      <c r="AD104" s="227" t="n"/>
      <c r="AE104" s="227" t="n"/>
      <c r="AF104" s="227" t="n"/>
      <c r="AG104" s="227" t="n"/>
      <c r="AH104" s="222" t="n"/>
    </row>
    <row r="105">
      <c r="A105" s="145">
        <f>IF($B105="","",ROW()-5)</f>
        <v/>
      </c>
      <c r="B105" s="127" t="n"/>
      <c r="C105" s="127" t="n"/>
      <c r="D105" s="127" t="n"/>
      <c r="E105" s="127" t="n"/>
      <c r="F105" s="223" t="n"/>
      <c r="G105" s="223" t="n"/>
      <c r="H105" s="127" t="n"/>
      <c r="I105" s="127" t="n"/>
      <c r="J105" s="127" t="n"/>
      <c r="K105" s="222" t="n"/>
      <c r="L105" s="227" t="n"/>
      <c r="M105" s="227" t="n"/>
      <c r="N105" s="222" t="n"/>
      <c r="O105" s="222" t="n"/>
      <c r="P105" s="222" t="n"/>
      <c r="Q105" s="222" t="n"/>
      <c r="R105" s="127" t="n"/>
      <c r="S105" s="127" t="n"/>
      <c r="T105" s="225" t="n"/>
      <c r="U105" s="231" t="n"/>
      <c r="V105" s="231" t="n"/>
      <c r="W105" s="231" t="n"/>
      <c r="X105" s="127" t="n"/>
      <c r="Y105" s="127" t="n"/>
      <c r="Z105" s="127" t="n"/>
      <c r="AA105" s="127" t="n"/>
      <c r="AB105" s="127" t="n"/>
      <c r="AC105" s="222" t="n"/>
      <c r="AD105" s="227" t="n"/>
      <c r="AE105" s="227" t="n"/>
      <c r="AF105" s="227" t="n"/>
      <c r="AG105" s="227" t="n"/>
      <c r="AH105" s="222" t="n"/>
    </row>
    <row r="106">
      <c r="A106" s="145">
        <f>IF($B106="","",ROW()-5)</f>
        <v/>
      </c>
      <c r="B106" s="127" t="n"/>
      <c r="C106" s="127" t="n"/>
      <c r="D106" s="127" t="n"/>
      <c r="E106" s="127" t="n"/>
      <c r="F106" s="223" t="n"/>
      <c r="G106" s="223" t="n"/>
      <c r="H106" s="127" t="n"/>
      <c r="I106" s="127" t="n"/>
      <c r="J106" s="127" t="n"/>
      <c r="K106" s="222" t="n"/>
      <c r="L106" s="227" t="n"/>
      <c r="M106" s="227" t="n"/>
      <c r="N106" s="222" t="n"/>
      <c r="O106" s="222" t="n"/>
      <c r="P106" s="222" t="n"/>
      <c r="Q106" s="222" t="n"/>
      <c r="R106" s="127" t="n"/>
      <c r="S106" s="127" t="n"/>
      <c r="T106" s="225" t="n"/>
      <c r="U106" s="231" t="n"/>
      <c r="V106" s="231" t="n"/>
      <c r="W106" s="231" t="n"/>
      <c r="X106" s="127" t="n"/>
      <c r="Y106" s="127" t="n"/>
      <c r="Z106" s="127" t="n"/>
      <c r="AA106" s="127" t="n"/>
      <c r="AB106" s="127" t="n"/>
      <c r="AC106" s="222" t="n"/>
      <c r="AD106" s="227" t="n"/>
      <c r="AE106" s="227" t="n"/>
      <c r="AF106" s="227" t="n"/>
      <c r="AG106" s="227" t="n"/>
      <c r="AH106" s="222" t="n"/>
    </row>
    <row r="107">
      <c r="A107" s="145">
        <f>IF($B107="","",ROW()-5)</f>
        <v/>
      </c>
      <c r="B107" s="127" t="n"/>
      <c r="C107" s="127" t="n"/>
      <c r="D107" s="127" t="n"/>
      <c r="E107" s="127" t="n"/>
      <c r="F107" s="223" t="n"/>
      <c r="G107" s="223" t="n"/>
      <c r="H107" s="127" t="n"/>
      <c r="I107" s="127" t="n"/>
      <c r="J107" s="127" t="n"/>
      <c r="K107" s="222" t="n"/>
      <c r="L107" s="227" t="n"/>
      <c r="M107" s="227" t="n"/>
      <c r="N107" s="222" t="n"/>
      <c r="O107" s="222" t="n"/>
      <c r="P107" s="222" t="n"/>
      <c r="Q107" s="222" t="n"/>
      <c r="R107" s="127" t="n"/>
      <c r="S107" s="127" t="n"/>
      <c r="T107" s="225" t="n"/>
      <c r="U107" s="231" t="n"/>
      <c r="V107" s="231" t="n"/>
      <c r="W107" s="231" t="n"/>
      <c r="X107" s="127" t="n"/>
      <c r="Y107" s="127" t="n"/>
      <c r="Z107" s="127" t="n"/>
      <c r="AA107" s="127" t="n"/>
      <c r="AB107" s="127" t="n"/>
      <c r="AC107" s="222" t="n"/>
      <c r="AD107" s="227" t="n"/>
      <c r="AE107" s="227" t="n"/>
      <c r="AF107" s="227" t="n"/>
      <c r="AG107" s="227" t="n"/>
      <c r="AH107" s="222" t="n"/>
    </row>
    <row r="108">
      <c r="A108" s="145">
        <f>IF($B108="","",ROW()-5)</f>
        <v/>
      </c>
      <c r="B108" s="127" t="n"/>
      <c r="C108" s="127" t="n"/>
      <c r="D108" s="127" t="n"/>
      <c r="E108" s="127" t="n"/>
      <c r="F108" s="223" t="n"/>
      <c r="G108" s="223" t="n"/>
      <c r="H108" s="127" t="n"/>
      <c r="I108" s="127" t="n"/>
      <c r="J108" s="127" t="n"/>
      <c r="K108" s="222" t="n"/>
      <c r="L108" s="227" t="n"/>
      <c r="M108" s="227" t="n"/>
      <c r="N108" s="222" t="n"/>
      <c r="O108" s="222" t="n"/>
      <c r="P108" s="222" t="n"/>
      <c r="Q108" s="222" t="n"/>
      <c r="R108" s="127" t="n"/>
      <c r="S108" s="127" t="n"/>
      <c r="T108" s="225" t="n"/>
      <c r="U108" s="231" t="n"/>
      <c r="V108" s="231" t="n"/>
      <c r="W108" s="231" t="n"/>
      <c r="X108" s="127" t="n"/>
      <c r="Y108" s="127" t="n"/>
      <c r="Z108" s="127" t="n"/>
      <c r="AA108" s="127" t="n"/>
      <c r="AB108" s="127" t="n"/>
      <c r="AC108" s="222" t="n"/>
      <c r="AD108" s="227" t="n"/>
      <c r="AE108" s="227" t="n"/>
      <c r="AF108" s="227" t="n"/>
      <c r="AG108" s="227" t="n"/>
      <c r="AH108" s="222" t="n"/>
    </row>
    <row r="109">
      <c r="A109" s="145">
        <f>IF($B109="","",ROW()-5)</f>
        <v/>
      </c>
      <c r="B109" s="127" t="n"/>
      <c r="C109" s="127" t="n"/>
      <c r="D109" s="127" t="n"/>
      <c r="E109" s="127" t="n"/>
      <c r="F109" s="223" t="n"/>
      <c r="G109" s="223" t="n"/>
      <c r="H109" s="127" t="n"/>
      <c r="I109" s="127" t="n"/>
      <c r="J109" s="127" t="n"/>
      <c r="K109" s="222" t="n"/>
      <c r="L109" s="227" t="n"/>
      <c r="M109" s="227" t="n"/>
      <c r="N109" s="222" t="n"/>
      <c r="O109" s="222" t="n"/>
      <c r="P109" s="222" t="n"/>
      <c r="Q109" s="222" t="n"/>
      <c r="R109" s="127" t="n"/>
      <c r="S109" s="127" t="n"/>
      <c r="T109" s="225" t="n"/>
      <c r="U109" s="231" t="n"/>
      <c r="V109" s="231" t="n"/>
      <c r="W109" s="231" t="n"/>
      <c r="X109" s="127" t="n"/>
      <c r="Y109" s="127" t="n"/>
      <c r="Z109" s="127" t="n"/>
      <c r="AA109" s="127" t="n"/>
      <c r="AB109" s="127" t="n"/>
      <c r="AC109" s="222" t="n"/>
      <c r="AD109" s="227" t="n"/>
      <c r="AE109" s="227" t="n"/>
      <c r="AF109" s="227" t="n"/>
      <c r="AG109" s="227" t="n"/>
      <c r="AH109" s="222" t="n"/>
    </row>
    <row r="110">
      <c r="A110" s="145">
        <f>IF($B110="","",ROW()-5)</f>
        <v/>
      </c>
      <c r="B110" s="127" t="n"/>
      <c r="C110" s="127" t="n"/>
      <c r="D110" s="127" t="n"/>
      <c r="E110" s="127" t="n"/>
      <c r="F110" s="223" t="n"/>
      <c r="G110" s="223" t="n"/>
      <c r="H110" s="127" t="n"/>
      <c r="I110" s="127" t="n"/>
      <c r="J110" s="127" t="n"/>
      <c r="K110" s="222" t="n"/>
      <c r="L110" s="227" t="n"/>
      <c r="M110" s="227" t="n"/>
      <c r="N110" s="222" t="n"/>
      <c r="O110" s="222" t="n"/>
      <c r="P110" s="222" t="n"/>
      <c r="Q110" s="222" t="n"/>
      <c r="R110" s="127" t="n"/>
      <c r="S110" s="127" t="n"/>
      <c r="T110" s="225" t="n"/>
      <c r="U110" s="231" t="n"/>
      <c r="V110" s="231" t="n"/>
      <c r="W110" s="231" t="n"/>
      <c r="X110" s="127" t="n"/>
      <c r="Y110" s="127" t="n"/>
      <c r="Z110" s="127" t="n"/>
      <c r="AA110" s="127" t="n"/>
      <c r="AB110" s="127" t="n"/>
      <c r="AC110" s="222" t="n"/>
      <c r="AD110" s="227" t="n"/>
      <c r="AE110" s="227" t="n"/>
      <c r="AF110" s="227" t="n"/>
      <c r="AG110" s="227" t="n"/>
      <c r="AH110" s="222" t="n"/>
    </row>
    <row r="111">
      <c r="A111" s="145">
        <f>IF($B111="","",ROW()-5)</f>
        <v/>
      </c>
      <c r="B111" s="127" t="n"/>
      <c r="C111" s="127" t="n"/>
      <c r="D111" s="127" t="n"/>
      <c r="E111" s="127" t="n"/>
      <c r="F111" s="223" t="n"/>
      <c r="G111" s="223" t="n"/>
      <c r="H111" s="127" t="n"/>
      <c r="I111" s="127" t="n"/>
      <c r="J111" s="127" t="n"/>
      <c r="K111" s="222" t="n"/>
      <c r="L111" s="227" t="n"/>
      <c r="M111" s="227" t="n"/>
      <c r="N111" s="222" t="n"/>
      <c r="O111" s="222" t="n"/>
      <c r="P111" s="222" t="n"/>
      <c r="Q111" s="222" t="n"/>
      <c r="R111" s="127" t="n"/>
      <c r="S111" s="127" t="n"/>
      <c r="T111" s="225" t="n"/>
      <c r="U111" s="231" t="n"/>
      <c r="V111" s="231" t="n"/>
      <c r="W111" s="231" t="n"/>
      <c r="X111" s="127" t="n"/>
      <c r="Y111" s="127" t="n"/>
      <c r="Z111" s="127" t="n"/>
      <c r="AA111" s="127" t="n"/>
      <c r="AB111" s="127" t="n"/>
      <c r="AC111" s="222" t="n"/>
      <c r="AD111" s="227" t="n"/>
      <c r="AE111" s="227" t="n"/>
      <c r="AF111" s="227" t="n"/>
      <c r="AG111" s="227" t="n"/>
      <c r="AH111" s="222" t="n"/>
    </row>
    <row r="112">
      <c r="A112" s="145">
        <f>IF($B112="","",ROW()-5)</f>
        <v/>
      </c>
      <c r="B112" s="127" t="n"/>
      <c r="C112" s="127" t="n"/>
      <c r="D112" s="127" t="n"/>
      <c r="E112" s="127" t="n"/>
      <c r="F112" s="223" t="n"/>
      <c r="G112" s="223" t="n"/>
      <c r="H112" s="127" t="n"/>
      <c r="I112" s="127" t="n"/>
      <c r="J112" s="127" t="n"/>
      <c r="K112" s="222" t="n"/>
      <c r="L112" s="227" t="n"/>
      <c r="M112" s="227" t="n"/>
      <c r="N112" s="222" t="n"/>
      <c r="O112" s="222" t="n"/>
      <c r="P112" s="222" t="n"/>
      <c r="Q112" s="222" t="n"/>
      <c r="R112" s="127" t="n"/>
      <c r="S112" s="127" t="n"/>
      <c r="T112" s="225" t="n"/>
      <c r="U112" s="231" t="n"/>
      <c r="V112" s="231" t="n"/>
      <c r="W112" s="231" t="n"/>
      <c r="X112" s="127" t="n"/>
      <c r="Y112" s="127" t="n"/>
      <c r="Z112" s="127" t="n"/>
      <c r="AA112" s="127" t="n"/>
      <c r="AB112" s="127" t="n"/>
      <c r="AC112" s="222" t="n"/>
      <c r="AD112" s="227" t="n"/>
      <c r="AE112" s="227" t="n"/>
      <c r="AF112" s="227" t="n"/>
      <c r="AG112" s="227" t="n"/>
      <c r="AH112" s="222" t="n"/>
    </row>
    <row r="113">
      <c r="A113" s="145">
        <f>IF($B113="","",ROW()-5)</f>
        <v/>
      </c>
      <c r="B113" s="127" t="n"/>
      <c r="C113" s="127" t="n"/>
      <c r="D113" s="127" t="n"/>
      <c r="E113" s="127" t="n"/>
      <c r="F113" s="223" t="n"/>
      <c r="G113" s="223" t="n"/>
      <c r="H113" s="127" t="n"/>
      <c r="I113" s="127" t="n"/>
      <c r="J113" s="127" t="n"/>
      <c r="K113" s="222" t="n"/>
      <c r="L113" s="227" t="n"/>
      <c r="M113" s="227" t="n"/>
      <c r="N113" s="222" t="n"/>
      <c r="O113" s="222" t="n"/>
      <c r="P113" s="222" t="n"/>
      <c r="Q113" s="222" t="n"/>
      <c r="R113" s="127" t="n"/>
      <c r="S113" s="127" t="n"/>
      <c r="T113" s="225" t="n"/>
      <c r="U113" s="231" t="n"/>
      <c r="V113" s="231" t="n"/>
      <c r="W113" s="231" t="n"/>
      <c r="X113" s="127" t="n"/>
      <c r="Y113" s="127" t="n"/>
      <c r="Z113" s="127" t="n"/>
      <c r="AA113" s="127" t="n"/>
      <c r="AB113" s="127" t="n"/>
      <c r="AC113" s="222" t="n"/>
      <c r="AD113" s="227" t="n"/>
      <c r="AE113" s="227" t="n"/>
      <c r="AF113" s="227" t="n"/>
      <c r="AG113" s="227" t="n"/>
      <c r="AH113" s="222" t="n"/>
    </row>
    <row r="114">
      <c r="A114" s="145">
        <f>IF($B114="","",ROW()-5)</f>
        <v/>
      </c>
      <c r="B114" s="127" t="n"/>
      <c r="C114" s="127" t="n"/>
      <c r="D114" s="127" t="n"/>
      <c r="E114" s="127" t="n"/>
      <c r="F114" s="223" t="n"/>
      <c r="G114" s="223" t="n"/>
      <c r="H114" s="127" t="n"/>
      <c r="I114" s="127" t="n"/>
      <c r="J114" s="127" t="n"/>
      <c r="K114" s="222" t="n"/>
      <c r="L114" s="227" t="n"/>
      <c r="M114" s="227" t="n"/>
      <c r="N114" s="222" t="n"/>
      <c r="O114" s="222" t="n"/>
      <c r="P114" s="222" t="n"/>
      <c r="Q114" s="222" t="n"/>
      <c r="R114" s="127" t="n"/>
      <c r="S114" s="127" t="n"/>
      <c r="T114" s="225" t="n"/>
      <c r="U114" s="231" t="n"/>
      <c r="V114" s="231" t="n"/>
      <c r="W114" s="231" t="n"/>
      <c r="X114" s="127" t="n"/>
      <c r="Y114" s="127" t="n"/>
      <c r="Z114" s="127" t="n"/>
      <c r="AA114" s="127" t="n"/>
      <c r="AB114" s="127" t="n"/>
      <c r="AC114" s="222" t="n"/>
      <c r="AD114" s="227" t="n"/>
      <c r="AE114" s="227" t="n"/>
      <c r="AF114" s="227" t="n"/>
      <c r="AG114" s="227" t="n"/>
      <c r="AH114" s="222" t="n"/>
    </row>
    <row r="115">
      <c r="A115" s="145">
        <f>IF($B115="","",ROW()-5)</f>
        <v/>
      </c>
      <c r="B115" s="127" t="n"/>
      <c r="C115" s="127" t="n"/>
      <c r="D115" s="127" t="n"/>
      <c r="E115" s="127" t="n"/>
      <c r="F115" s="223" t="n"/>
      <c r="G115" s="223" t="n"/>
      <c r="H115" s="127" t="n"/>
      <c r="I115" s="127" t="n"/>
      <c r="J115" s="127" t="n"/>
      <c r="K115" s="222" t="n"/>
      <c r="L115" s="227" t="n"/>
      <c r="M115" s="227" t="n"/>
      <c r="N115" s="222" t="n"/>
      <c r="O115" s="222" t="n"/>
      <c r="P115" s="222" t="n"/>
      <c r="Q115" s="222" t="n"/>
      <c r="R115" s="127" t="n"/>
      <c r="S115" s="127" t="n"/>
      <c r="T115" s="225" t="n"/>
      <c r="U115" s="231" t="n"/>
      <c r="V115" s="231" t="n"/>
      <c r="W115" s="231" t="n"/>
      <c r="X115" s="127" t="n"/>
      <c r="Y115" s="127" t="n"/>
      <c r="Z115" s="127" t="n"/>
      <c r="AA115" s="127" t="n"/>
      <c r="AB115" s="127" t="n"/>
      <c r="AC115" s="222" t="n"/>
      <c r="AD115" s="227" t="n"/>
      <c r="AE115" s="227" t="n"/>
      <c r="AF115" s="227" t="n"/>
      <c r="AG115" s="227" t="n"/>
      <c r="AH115" s="222" t="n"/>
    </row>
    <row r="116">
      <c r="A116" s="145">
        <f>IF($B116="","",ROW()-5)</f>
        <v/>
      </c>
      <c r="B116" s="127" t="n"/>
      <c r="C116" s="127" t="n"/>
      <c r="D116" s="127" t="n"/>
      <c r="E116" s="127" t="n"/>
      <c r="F116" s="223" t="n"/>
      <c r="G116" s="223" t="n"/>
      <c r="H116" s="127" t="n"/>
      <c r="I116" s="127" t="n"/>
      <c r="J116" s="127" t="n"/>
      <c r="K116" s="222" t="n"/>
      <c r="L116" s="227" t="n"/>
      <c r="M116" s="227" t="n"/>
      <c r="N116" s="222" t="n"/>
      <c r="O116" s="222" t="n"/>
      <c r="P116" s="222" t="n"/>
      <c r="Q116" s="222" t="n"/>
      <c r="R116" s="127" t="n"/>
      <c r="S116" s="127" t="n"/>
      <c r="T116" s="225" t="n"/>
      <c r="U116" s="231" t="n"/>
      <c r="V116" s="231" t="n"/>
      <c r="W116" s="231" t="n"/>
      <c r="X116" s="127" t="n"/>
      <c r="Y116" s="127" t="n"/>
      <c r="Z116" s="127" t="n"/>
      <c r="AA116" s="127" t="n"/>
      <c r="AB116" s="127" t="n"/>
      <c r="AC116" s="222" t="n"/>
      <c r="AD116" s="227" t="n"/>
      <c r="AE116" s="227" t="n"/>
      <c r="AF116" s="227" t="n"/>
      <c r="AG116" s="227" t="n"/>
      <c r="AH116" s="222" t="n"/>
    </row>
    <row r="117">
      <c r="A117" s="145">
        <f>IF($B117="","",ROW()-5)</f>
        <v/>
      </c>
      <c r="B117" s="127" t="n"/>
      <c r="C117" s="127" t="n"/>
      <c r="D117" s="127" t="n"/>
      <c r="E117" s="127" t="n"/>
      <c r="F117" s="223" t="n"/>
      <c r="G117" s="223" t="n"/>
      <c r="H117" s="127" t="n"/>
      <c r="I117" s="127" t="n"/>
      <c r="J117" s="127" t="n"/>
      <c r="K117" s="222" t="n"/>
      <c r="L117" s="227" t="n"/>
      <c r="M117" s="227" t="n"/>
      <c r="N117" s="222" t="n"/>
      <c r="O117" s="222" t="n"/>
      <c r="P117" s="222" t="n"/>
      <c r="Q117" s="222" t="n"/>
      <c r="R117" s="127" t="n"/>
      <c r="S117" s="127" t="n"/>
      <c r="T117" s="225" t="n"/>
      <c r="U117" s="231" t="n"/>
      <c r="V117" s="231" t="n"/>
      <c r="W117" s="231" t="n"/>
      <c r="X117" s="127" t="n"/>
      <c r="Y117" s="127" t="n"/>
      <c r="Z117" s="127" t="n"/>
      <c r="AA117" s="127" t="n"/>
      <c r="AB117" s="127" t="n"/>
      <c r="AC117" s="222" t="n"/>
      <c r="AD117" s="227" t="n"/>
      <c r="AE117" s="227" t="n"/>
      <c r="AF117" s="227" t="n"/>
      <c r="AG117" s="227" t="n"/>
      <c r="AH117" s="222" t="n"/>
    </row>
    <row r="118">
      <c r="A118" s="145">
        <f>IF($B118="","",ROW()-5)</f>
        <v/>
      </c>
      <c r="B118" s="127" t="n"/>
      <c r="C118" s="127" t="n"/>
      <c r="D118" s="127" t="n"/>
      <c r="E118" s="127" t="n"/>
      <c r="F118" s="223" t="n"/>
      <c r="G118" s="223" t="n"/>
      <c r="H118" s="127" t="n"/>
      <c r="I118" s="127" t="n"/>
      <c r="J118" s="127" t="n"/>
      <c r="K118" s="222" t="n"/>
      <c r="L118" s="227" t="n"/>
      <c r="M118" s="227" t="n"/>
      <c r="N118" s="222" t="n"/>
      <c r="O118" s="222" t="n"/>
      <c r="P118" s="222" t="n"/>
      <c r="Q118" s="222" t="n"/>
      <c r="R118" s="127" t="n"/>
      <c r="S118" s="127" t="n"/>
      <c r="T118" s="225" t="n"/>
      <c r="U118" s="231" t="n"/>
      <c r="V118" s="231" t="n"/>
      <c r="W118" s="231" t="n"/>
      <c r="X118" s="127" t="n"/>
      <c r="Y118" s="127" t="n"/>
      <c r="Z118" s="127" t="n"/>
      <c r="AA118" s="127" t="n"/>
      <c r="AB118" s="127" t="n"/>
      <c r="AC118" s="222" t="n"/>
      <c r="AD118" s="227" t="n"/>
      <c r="AE118" s="227" t="n"/>
      <c r="AF118" s="227" t="n"/>
      <c r="AG118" s="227" t="n"/>
      <c r="AH118" s="222" t="n"/>
    </row>
    <row r="119">
      <c r="A119" s="145">
        <f>IF($B119="","",ROW()-5)</f>
        <v/>
      </c>
      <c r="B119" s="127" t="n"/>
      <c r="C119" s="127" t="n"/>
      <c r="D119" s="127" t="n"/>
      <c r="E119" s="127" t="n"/>
      <c r="F119" s="223" t="n"/>
      <c r="G119" s="223" t="n"/>
      <c r="H119" s="127" t="n"/>
      <c r="I119" s="127" t="n"/>
      <c r="J119" s="127" t="n"/>
      <c r="K119" s="222" t="n"/>
      <c r="L119" s="227" t="n"/>
      <c r="M119" s="227" t="n"/>
      <c r="N119" s="222" t="n"/>
      <c r="O119" s="222" t="n"/>
      <c r="P119" s="222" t="n"/>
      <c r="Q119" s="222" t="n"/>
      <c r="R119" s="127" t="n"/>
      <c r="S119" s="127" t="n"/>
      <c r="T119" s="225" t="n"/>
      <c r="U119" s="231" t="n"/>
      <c r="V119" s="231" t="n"/>
      <c r="W119" s="231" t="n"/>
      <c r="X119" s="127" t="n"/>
      <c r="Y119" s="127" t="n"/>
      <c r="Z119" s="127" t="n"/>
      <c r="AA119" s="127" t="n"/>
      <c r="AB119" s="127" t="n"/>
      <c r="AC119" s="222" t="n"/>
      <c r="AD119" s="227" t="n"/>
      <c r="AE119" s="227" t="n"/>
      <c r="AF119" s="227" t="n"/>
      <c r="AG119" s="227" t="n"/>
      <c r="AH119" s="222" t="n"/>
    </row>
    <row r="120">
      <c r="A120" s="145">
        <f>IF($B120="","",ROW()-5)</f>
        <v/>
      </c>
      <c r="B120" s="127" t="n"/>
      <c r="C120" s="127" t="n"/>
      <c r="D120" s="127" t="n"/>
      <c r="E120" s="127" t="n"/>
      <c r="F120" s="223" t="n"/>
      <c r="G120" s="223" t="n"/>
      <c r="H120" s="127" t="n"/>
      <c r="I120" s="127" t="n"/>
      <c r="J120" s="127" t="n"/>
      <c r="K120" s="222" t="n"/>
      <c r="L120" s="227" t="n"/>
      <c r="M120" s="227" t="n"/>
      <c r="N120" s="222" t="n"/>
      <c r="O120" s="222" t="n"/>
      <c r="P120" s="222" t="n"/>
      <c r="Q120" s="222" t="n"/>
      <c r="R120" s="127" t="n"/>
      <c r="S120" s="127" t="n"/>
      <c r="T120" s="225" t="n"/>
      <c r="U120" s="231" t="n"/>
      <c r="V120" s="231" t="n"/>
      <c r="W120" s="231" t="n"/>
      <c r="X120" s="127" t="n"/>
      <c r="Y120" s="127" t="n"/>
      <c r="Z120" s="127" t="n"/>
      <c r="AA120" s="127" t="n"/>
      <c r="AB120" s="127" t="n"/>
      <c r="AC120" s="222" t="n"/>
      <c r="AD120" s="227" t="n"/>
      <c r="AE120" s="227" t="n"/>
      <c r="AF120" s="227" t="n"/>
      <c r="AG120" s="227" t="n"/>
      <c r="AH120" s="222" t="n"/>
    </row>
    <row r="121">
      <c r="A121" s="145">
        <f>IF($B121="","",ROW()-5)</f>
        <v/>
      </c>
      <c r="B121" s="127" t="n"/>
      <c r="C121" s="127" t="n"/>
      <c r="D121" s="127" t="n"/>
      <c r="E121" s="127" t="n"/>
      <c r="F121" s="223" t="n"/>
      <c r="G121" s="223" t="n"/>
      <c r="H121" s="127" t="n"/>
      <c r="I121" s="127" t="n"/>
      <c r="J121" s="127" t="n"/>
      <c r="K121" s="222" t="n"/>
      <c r="L121" s="227" t="n"/>
      <c r="M121" s="227" t="n"/>
      <c r="N121" s="222" t="n"/>
      <c r="O121" s="222" t="n"/>
      <c r="P121" s="222" t="n"/>
      <c r="Q121" s="222" t="n"/>
      <c r="R121" s="127" t="n"/>
      <c r="S121" s="127" t="n"/>
      <c r="T121" s="225" t="n"/>
      <c r="U121" s="231" t="n"/>
      <c r="V121" s="231" t="n"/>
      <c r="W121" s="231" t="n"/>
      <c r="X121" s="127" t="n"/>
      <c r="Y121" s="127" t="n"/>
      <c r="Z121" s="127" t="n"/>
      <c r="AA121" s="127" t="n"/>
      <c r="AB121" s="127" t="n"/>
      <c r="AC121" s="222" t="n"/>
      <c r="AD121" s="227" t="n"/>
      <c r="AE121" s="227" t="n"/>
      <c r="AF121" s="227" t="n"/>
      <c r="AG121" s="227" t="n"/>
      <c r="AH121" s="222" t="n"/>
    </row>
    <row r="122">
      <c r="A122" s="145">
        <f>IF($B122="","",ROW()-5)</f>
        <v/>
      </c>
      <c r="B122" s="127" t="n"/>
      <c r="C122" s="127" t="n"/>
      <c r="D122" s="127" t="n"/>
      <c r="E122" s="127" t="n"/>
      <c r="F122" s="223" t="n"/>
      <c r="G122" s="223" t="n"/>
      <c r="H122" s="127" t="n"/>
      <c r="I122" s="127" t="n"/>
      <c r="J122" s="127" t="n"/>
      <c r="K122" s="222" t="n"/>
      <c r="L122" s="227" t="n"/>
      <c r="M122" s="227" t="n"/>
      <c r="N122" s="222" t="n"/>
      <c r="O122" s="222" t="n"/>
      <c r="P122" s="222" t="n"/>
      <c r="Q122" s="222" t="n"/>
      <c r="R122" s="127" t="n"/>
      <c r="S122" s="127" t="n"/>
      <c r="T122" s="225" t="n"/>
      <c r="U122" s="231" t="n"/>
      <c r="V122" s="231" t="n"/>
      <c r="W122" s="231" t="n"/>
      <c r="X122" s="127" t="n"/>
      <c r="Y122" s="127" t="n"/>
      <c r="Z122" s="127" t="n"/>
      <c r="AA122" s="127" t="n"/>
      <c r="AB122" s="127" t="n"/>
      <c r="AC122" s="222" t="n"/>
      <c r="AD122" s="227" t="n"/>
      <c r="AE122" s="227" t="n"/>
      <c r="AF122" s="227" t="n"/>
      <c r="AG122" s="227" t="n"/>
      <c r="AH122" s="222" t="n"/>
    </row>
    <row r="123">
      <c r="A123" s="145">
        <f>IF($B123="","",ROW()-5)</f>
        <v/>
      </c>
      <c r="B123" s="127" t="n"/>
      <c r="C123" s="127" t="n"/>
      <c r="D123" s="127" t="n"/>
      <c r="E123" s="127" t="n"/>
      <c r="F123" s="223" t="n"/>
      <c r="G123" s="223" t="n"/>
      <c r="H123" s="127" t="n"/>
      <c r="I123" s="127" t="n"/>
      <c r="J123" s="127" t="n"/>
      <c r="K123" s="222" t="n"/>
      <c r="L123" s="227" t="n"/>
      <c r="M123" s="227" t="n"/>
      <c r="N123" s="222" t="n"/>
      <c r="O123" s="222" t="n"/>
      <c r="P123" s="222" t="n"/>
      <c r="Q123" s="222" t="n"/>
      <c r="R123" s="127" t="n"/>
      <c r="S123" s="127" t="n"/>
      <c r="T123" s="225" t="n"/>
      <c r="U123" s="231" t="n"/>
      <c r="V123" s="231" t="n"/>
      <c r="W123" s="231" t="n"/>
      <c r="X123" s="127" t="n"/>
      <c r="Y123" s="127" t="n"/>
      <c r="Z123" s="127" t="n"/>
      <c r="AA123" s="127" t="n"/>
      <c r="AB123" s="127" t="n"/>
      <c r="AC123" s="222" t="n"/>
      <c r="AD123" s="227" t="n"/>
      <c r="AE123" s="227" t="n"/>
      <c r="AF123" s="227" t="n"/>
      <c r="AG123" s="227" t="n"/>
      <c r="AH123" s="222" t="n"/>
    </row>
    <row r="124">
      <c r="A124" s="145">
        <f>IF($B124="","",ROW()-5)</f>
        <v/>
      </c>
      <c r="B124" s="127" t="n"/>
      <c r="C124" s="127" t="n"/>
      <c r="D124" s="127" t="n"/>
      <c r="E124" s="127" t="n"/>
      <c r="F124" s="223" t="n"/>
      <c r="G124" s="223" t="n"/>
      <c r="H124" s="127" t="n"/>
      <c r="I124" s="127" t="n"/>
      <c r="J124" s="127" t="n"/>
      <c r="K124" s="222" t="n"/>
      <c r="L124" s="227" t="n"/>
      <c r="M124" s="227" t="n"/>
      <c r="N124" s="222" t="n"/>
      <c r="O124" s="222" t="n"/>
      <c r="P124" s="222" t="n"/>
      <c r="Q124" s="222" t="n"/>
      <c r="R124" s="127" t="n"/>
      <c r="S124" s="127" t="n"/>
      <c r="T124" s="225" t="n"/>
      <c r="U124" s="231" t="n"/>
      <c r="V124" s="231" t="n"/>
      <c r="W124" s="231" t="n"/>
      <c r="X124" s="127" t="n"/>
      <c r="Y124" s="127" t="n"/>
      <c r="Z124" s="127" t="n"/>
      <c r="AA124" s="127" t="n"/>
      <c r="AB124" s="127" t="n"/>
      <c r="AC124" s="222" t="n"/>
      <c r="AD124" s="227" t="n"/>
      <c r="AE124" s="227" t="n"/>
      <c r="AF124" s="227" t="n"/>
      <c r="AG124" s="227" t="n"/>
      <c r="AH124" s="222" t="n"/>
    </row>
    <row r="125">
      <c r="A125" s="145">
        <f>IF($B125="","",ROW()-5)</f>
        <v/>
      </c>
      <c r="B125" s="127" t="n"/>
      <c r="C125" s="127" t="n"/>
      <c r="D125" s="127" t="n"/>
      <c r="E125" s="127" t="n"/>
      <c r="F125" s="223" t="n"/>
      <c r="G125" s="223" t="n"/>
      <c r="H125" s="127" t="n"/>
      <c r="I125" s="127" t="n"/>
      <c r="J125" s="127" t="n"/>
      <c r="K125" s="222" t="n"/>
      <c r="L125" s="227" t="n"/>
      <c r="M125" s="227" t="n"/>
      <c r="N125" s="222" t="n"/>
      <c r="O125" s="222" t="n"/>
      <c r="P125" s="222" t="n"/>
      <c r="Q125" s="222" t="n"/>
      <c r="R125" s="127" t="n"/>
      <c r="S125" s="127" t="n"/>
      <c r="T125" s="225" t="n"/>
      <c r="U125" s="231" t="n"/>
      <c r="V125" s="231" t="n"/>
      <c r="W125" s="231" t="n"/>
      <c r="X125" s="127" t="n"/>
      <c r="Y125" s="127" t="n"/>
      <c r="Z125" s="127" t="n"/>
      <c r="AA125" s="127" t="n"/>
      <c r="AB125" s="127" t="n"/>
      <c r="AC125" s="222" t="n"/>
      <c r="AD125" s="227" t="n"/>
      <c r="AE125" s="227" t="n"/>
      <c r="AF125" s="227" t="n"/>
      <c r="AG125" s="227" t="n"/>
      <c r="AH125" s="222" t="n"/>
    </row>
    <row r="126">
      <c r="A126" s="145">
        <f>IF($B126="","",ROW()-5)</f>
        <v/>
      </c>
      <c r="B126" s="127" t="n"/>
      <c r="C126" s="127" t="n"/>
      <c r="D126" s="127" t="n"/>
      <c r="E126" s="127" t="n"/>
      <c r="F126" s="223" t="n"/>
      <c r="G126" s="223" t="n"/>
      <c r="H126" s="127" t="n"/>
      <c r="I126" s="127" t="n"/>
      <c r="J126" s="127" t="n"/>
      <c r="K126" s="222" t="n"/>
      <c r="L126" s="227" t="n"/>
      <c r="M126" s="227" t="n"/>
      <c r="N126" s="222" t="n"/>
      <c r="O126" s="222" t="n"/>
      <c r="P126" s="222" t="n"/>
      <c r="Q126" s="222" t="n"/>
      <c r="R126" s="127" t="n"/>
      <c r="S126" s="127" t="n"/>
      <c r="T126" s="225" t="n"/>
      <c r="U126" s="231" t="n"/>
      <c r="V126" s="231" t="n"/>
      <c r="W126" s="231" t="n"/>
      <c r="X126" s="127" t="n"/>
      <c r="Y126" s="127" t="n"/>
      <c r="Z126" s="127" t="n"/>
      <c r="AA126" s="127" t="n"/>
      <c r="AB126" s="127" t="n"/>
      <c r="AC126" s="222" t="n"/>
      <c r="AD126" s="227" t="n"/>
      <c r="AE126" s="227" t="n"/>
      <c r="AF126" s="227" t="n"/>
      <c r="AG126" s="227" t="n"/>
      <c r="AH126" s="222" t="n"/>
    </row>
    <row r="127">
      <c r="A127" s="145">
        <f>IF($B127="","",ROW()-5)</f>
        <v/>
      </c>
      <c r="B127" s="127" t="n"/>
      <c r="C127" s="127" t="n"/>
      <c r="D127" s="127" t="n"/>
      <c r="E127" s="127" t="n"/>
      <c r="F127" s="223" t="n"/>
      <c r="G127" s="223" t="n"/>
      <c r="H127" s="127" t="n"/>
      <c r="I127" s="127" t="n"/>
      <c r="J127" s="127" t="n"/>
      <c r="K127" s="222" t="n"/>
      <c r="L127" s="227" t="n"/>
      <c r="M127" s="227" t="n"/>
      <c r="N127" s="222" t="n"/>
      <c r="O127" s="222" t="n"/>
      <c r="P127" s="222" t="n"/>
      <c r="Q127" s="222" t="n"/>
      <c r="R127" s="127" t="n"/>
      <c r="S127" s="127" t="n"/>
      <c r="T127" s="225" t="n"/>
      <c r="U127" s="231" t="n"/>
      <c r="V127" s="231" t="n"/>
      <c r="W127" s="231" t="n"/>
      <c r="X127" s="127" t="n"/>
      <c r="Y127" s="127" t="n"/>
      <c r="Z127" s="127" t="n"/>
      <c r="AA127" s="127" t="n"/>
      <c r="AB127" s="127" t="n"/>
      <c r="AC127" s="222" t="n"/>
      <c r="AD127" s="227" t="n"/>
      <c r="AE127" s="227" t="n"/>
      <c r="AF127" s="227" t="n"/>
      <c r="AG127" s="227" t="n"/>
      <c r="AH127" s="222" t="n"/>
    </row>
    <row r="128">
      <c r="A128" s="145">
        <f>IF($B128="","",ROW()-5)</f>
        <v/>
      </c>
      <c r="B128" s="127" t="n"/>
      <c r="C128" s="127" t="n"/>
      <c r="D128" s="127" t="n"/>
      <c r="E128" s="127" t="n"/>
      <c r="F128" s="223" t="n"/>
      <c r="G128" s="223" t="n"/>
      <c r="H128" s="127" t="n"/>
      <c r="I128" s="127" t="n"/>
      <c r="J128" s="127" t="n"/>
      <c r="K128" s="222" t="n"/>
      <c r="L128" s="227" t="n"/>
      <c r="M128" s="227" t="n"/>
      <c r="N128" s="222" t="n"/>
      <c r="O128" s="222" t="n"/>
      <c r="P128" s="222" t="n"/>
      <c r="Q128" s="222" t="n"/>
      <c r="R128" s="127" t="n"/>
      <c r="S128" s="127" t="n"/>
      <c r="T128" s="225" t="n"/>
      <c r="U128" s="231" t="n"/>
      <c r="V128" s="231" t="n"/>
      <c r="W128" s="231" t="n"/>
      <c r="X128" s="127" t="n"/>
      <c r="Y128" s="127" t="n"/>
      <c r="Z128" s="127" t="n"/>
      <c r="AA128" s="127" t="n"/>
      <c r="AB128" s="127" t="n"/>
      <c r="AC128" s="222" t="n"/>
      <c r="AD128" s="227" t="n"/>
      <c r="AE128" s="227" t="n"/>
      <c r="AF128" s="227" t="n"/>
      <c r="AG128" s="227" t="n"/>
      <c r="AH128" s="222" t="n"/>
    </row>
    <row r="129">
      <c r="A129" s="145">
        <f>IF($B129="","",ROW()-5)</f>
        <v/>
      </c>
      <c r="B129" s="127" t="n"/>
      <c r="C129" s="127" t="n"/>
      <c r="D129" s="127" t="n"/>
      <c r="E129" s="127" t="n"/>
      <c r="F129" s="223" t="n"/>
      <c r="G129" s="223" t="n"/>
      <c r="H129" s="127" t="n"/>
      <c r="I129" s="127" t="n"/>
      <c r="J129" s="127" t="n"/>
      <c r="K129" s="222" t="n"/>
      <c r="L129" s="227" t="n"/>
      <c r="M129" s="227" t="n"/>
      <c r="N129" s="222" t="n"/>
      <c r="O129" s="222" t="n"/>
      <c r="P129" s="222" t="n"/>
      <c r="Q129" s="222" t="n"/>
      <c r="R129" s="127" t="n"/>
      <c r="S129" s="127" t="n"/>
      <c r="T129" s="225" t="n"/>
      <c r="U129" s="231" t="n"/>
      <c r="V129" s="231" t="n"/>
      <c r="W129" s="231" t="n"/>
      <c r="X129" s="127" t="n"/>
      <c r="Y129" s="127" t="n"/>
      <c r="Z129" s="127" t="n"/>
      <c r="AA129" s="127" t="n"/>
      <c r="AB129" s="127" t="n"/>
      <c r="AC129" s="222" t="n"/>
      <c r="AD129" s="227" t="n"/>
      <c r="AE129" s="227" t="n"/>
      <c r="AF129" s="227" t="n"/>
      <c r="AG129" s="227" t="n"/>
      <c r="AH129" s="222" t="n"/>
    </row>
    <row r="130">
      <c r="A130" s="145">
        <f>IF($B130="","",ROW()-5)</f>
        <v/>
      </c>
      <c r="B130" s="127" t="n"/>
      <c r="C130" s="127" t="n"/>
      <c r="D130" s="127" t="n"/>
      <c r="E130" s="127" t="n"/>
      <c r="F130" s="223" t="n"/>
      <c r="G130" s="223" t="n"/>
      <c r="H130" s="127" t="n"/>
      <c r="I130" s="127" t="n"/>
      <c r="J130" s="127" t="n"/>
      <c r="K130" s="222" t="n"/>
      <c r="L130" s="227" t="n"/>
      <c r="M130" s="227" t="n"/>
      <c r="N130" s="222" t="n"/>
      <c r="O130" s="222" t="n"/>
      <c r="P130" s="222" t="n"/>
      <c r="Q130" s="222" t="n"/>
      <c r="R130" s="127" t="n"/>
      <c r="S130" s="127" t="n"/>
      <c r="T130" s="225" t="n"/>
      <c r="U130" s="231" t="n"/>
      <c r="V130" s="231" t="n"/>
      <c r="W130" s="231" t="n"/>
      <c r="X130" s="127" t="n"/>
      <c r="Y130" s="127" t="n"/>
      <c r="Z130" s="127" t="n"/>
      <c r="AA130" s="127" t="n"/>
      <c r="AB130" s="127" t="n"/>
      <c r="AC130" s="222" t="n"/>
      <c r="AD130" s="227" t="n"/>
      <c r="AE130" s="227" t="n"/>
      <c r="AF130" s="227" t="n"/>
      <c r="AG130" s="227" t="n"/>
      <c r="AH130" s="222" t="n"/>
    </row>
    <row r="131">
      <c r="A131" s="145">
        <f>IF($B131="","",ROW()-5)</f>
        <v/>
      </c>
      <c r="B131" s="127" t="n"/>
      <c r="C131" s="127" t="n"/>
      <c r="D131" s="127" t="n"/>
      <c r="E131" s="127" t="n"/>
      <c r="F131" s="223" t="n"/>
      <c r="G131" s="223" t="n"/>
      <c r="H131" s="127" t="n"/>
      <c r="I131" s="127" t="n"/>
      <c r="J131" s="127" t="n"/>
      <c r="K131" s="222" t="n"/>
      <c r="L131" s="227" t="n"/>
      <c r="M131" s="227" t="n"/>
      <c r="N131" s="222" t="n"/>
      <c r="O131" s="222" t="n"/>
      <c r="P131" s="222" t="n"/>
      <c r="Q131" s="222" t="n"/>
      <c r="R131" s="127" t="n"/>
      <c r="S131" s="127" t="n"/>
      <c r="T131" s="225" t="n"/>
      <c r="U131" s="231" t="n"/>
      <c r="V131" s="231" t="n"/>
      <c r="W131" s="231" t="n"/>
      <c r="X131" s="127" t="n"/>
      <c r="Y131" s="127" t="n"/>
      <c r="Z131" s="127" t="n"/>
      <c r="AA131" s="127" t="n"/>
      <c r="AB131" s="127" t="n"/>
      <c r="AC131" s="222" t="n"/>
      <c r="AD131" s="227" t="n"/>
      <c r="AE131" s="227" t="n"/>
      <c r="AF131" s="227" t="n"/>
      <c r="AG131" s="227" t="n"/>
      <c r="AH131" s="222" t="n"/>
    </row>
    <row r="132">
      <c r="A132" s="145">
        <f>IF($B132="","",ROW()-5)</f>
        <v/>
      </c>
      <c r="B132" s="127" t="n"/>
      <c r="C132" s="127" t="n"/>
      <c r="D132" s="127" t="n"/>
      <c r="E132" s="127" t="n"/>
      <c r="F132" s="223" t="n"/>
      <c r="G132" s="223" t="n"/>
      <c r="H132" s="127" t="n"/>
      <c r="I132" s="127" t="n"/>
      <c r="J132" s="127" t="n"/>
      <c r="K132" s="222" t="n"/>
      <c r="L132" s="227" t="n"/>
      <c r="M132" s="227" t="n"/>
      <c r="N132" s="222" t="n"/>
      <c r="O132" s="222" t="n"/>
      <c r="P132" s="222" t="n"/>
      <c r="Q132" s="222" t="n"/>
      <c r="R132" s="127" t="n"/>
      <c r="S132" s="127" t="n"/>
      <c r="T132" s="225" t="n"/>
      <c r="U132" s="231" t="n"/>
      <c r="V132" s="231" t="n"/>
      <c r="W132" s="231" t="n"/>
      <c r="X132" s="127" t="n"/>
      <c r="Y132" s="127" t="n"/>
      <c r="Z132" s="127" t="n"/>
      <c r="AA132" s="127" t="n"/>
      <c r="AB132" s="127" t="n"/>
      <c r="AC132" s="222" t="n"/>
      <c r="AD132" s="227" t="n"/>
      <c r="AE132" s="227" t="n"/>
      <c r="AF132" s="227" t="n"/>
      <c r="AG132" s="227" t="n"/>
      <c r="AH132" s="222" t="n"/>
    </row>
    <row r="133">
      <c r="A133" s="145">
        <f>IF($B133="","",ROW()-5)</f>
        <v/>
      </c>
      <c r="B133" s="127" t="n"/>
      <c r="C133" s="127" t="n"/>
      <c r="D133" s="127" t="n"/>
      <c r="E133" s="127" t="n"/>
      <c r="F133" s="223" t="n"/>
      <c r="G133" s="223" t="n"/>
      <c r="H133" s="127" t="n"/>
      <c r="I133" s="127" t="n"/>
      <c r="J133" s="127" t="n"/>
      <c r="K133" s="222" t="n"/>
      <c r="L133" s="227" t="n"/>
      <c r="M133" s="227" t="n"/>
      <c r="N133" s="222" t="n"/>
      <c r="O133" s="222" t="n"/>
      <c r="P133" s="222" t="n"/>
      <c r="Q133" s="222" t="n"/>
      <c r="R133" s="127" t="n"/>
      <c r="S133" s="127" t="n"/>
      <c r="T133" s="225" t="n"/>
      <c r="U133" s="231" t="n"/>
      <c r="V133" s="231" t="n"/>
      <c r="W133" s="231" t="n"/>
      <c r="X133" s="127" t="n"/>
      <c r="Y133" s="127" t="n"/>
      <c r="Z133" s="127" t="n"/>
      <c r="AA133" s="127" t="n"/>
      <c r="AB133" s="127" t="n"/>
      <c r="AC133" s="222" t="n"/>
      <c r="AD133" s="227" t="n"/>
      <c r="AE133" s="227" t="n"/>
      <c r="AF133" s="227" t="n"/>
      <c r="AG133" s="227" t="n"/>
      <c r="AH133" s="222" t="n"/>
    </row>
    <row r="134">
      <c r="A134" s="145">
        <f>IF($B134="","",ROW()-5)</f>
        <v/>
      </c>
      <c r="B134" s="127" t="n"/>
      <c r="C134" s="127" t="n"/>
      <c r="D134" s="127" t="n"/>
      <c r="E134" s="127" t="n"/>
      <c r="F134" s="223" t="n"/>
      <c r="G134" s="223" t="n"/>
      <c r="H134" s="127" t="n"/>
      <c r="I134" s="127" t="n"/>
      <c r="J134" s="127" t="n"/>
      <c r="K134" s="222" t="n"/>
      <c r="L134" s="227" t="n"/>
      <c r="M134" s="227" t="n"/>
      <c r="N134" s="222" t="n"/>
      <c r="O134" s="222" t="n"/>
      <c r="P134" s="222" t="n"/>
      <c r="Q134" s="222" t="n"/>
      <c r="R134" s="127" t="n"/>
      <c r="S134" s="127" t="n"/>
      <c r="T134" s="225" t="n"/>
      <c r="U134" s="231" t="n"/>
      <c r="V134" s="231" t="n"/>
      <c r="W134" s="231" t="n"/>
      <c r="X134" s="127" t="n"/>
      <c r="Y134" s="127" t="n"/>
      <c r="Z134" s="127" t="n"/>
      <c r="AA134" s="127" t="n"/>
      <c r="AB134" s="127" t="n"/>
      <c r="AC134" s="222" t="n"/>
      <c r="AD134" s="227" t="n"/>
      <c r="AE134" s="227" t="n"/>
      <c r="AF134" s="227" t="n"/>
      <c r="AG134" s="227" t="n"/>
      <c r="AH134" s="222" t="n"/>
    </row>
    <row r="135">
      <c r="A135" s="145">
        <f>IF($B135="","",ROW()-5)</f>
        <v/>
      </c>
      <c r="B135" s="127" t="n"/>
      <c r="C135" s="127" t="n"/>
      <c r="D135" s="127" t="n"/>
      <c r="E135" s="127" t="n"/>
      <c r="F135" s="223" t="n"/>
      <c r="G135" s="223" t="n"/>
      <c r="H135" s="127" t="n"/>
      <c r="I135" s="127" t="n"/>
      <c r="J135" s="127" t="n"/>
      <c r="K135" s="222" t="n"/>
      <c r="L135" s="227" t="n"/>
      <c r="M135" s="227" t="n"/>
      <c r="N135" s="222" t="n"/>
      <c r="O135" s="222" t="n"/>
      <c r="P135" s="222" t="n"/>
      <c r="Q135" s="222" t="n"/>
      <c r="R135" s="127" t="n"/>
      <c r="S135" s="127" t="n"/>
      <c r="T135" s="225" t="n"/>
      <c r="U135" s="231" t="n"/>
      <c r="V135" s="231" t="n"/>
      <c r="W135" s="231" t="n"/>
      <c r="X135" s="127" t="n"/>
      <c r="Y135" s="127" t="n"/>
      <c r="Z135" s="127" t="n"/>
      <c r="AA135" s="127" t="n"/>
      <c r="AB135" s="127" t="n"/>
      <c r="AC135" s="222" t="n"/>
      <c r="AD135" s="227" t="n"/>
      <c r="AE135" s="227" t="n"/>
      <c r="AF135" s="227" t="n"/>
      <c r="AG135" s="227" t="n"/>
      <c r="AH135" s="222" t="n"/>
    </row>
    <row r="136">
      <c r="A136" s="145">
        <f>IF($B136="","",ROW()-5)</f>
        <v/>
      </c>
      <c r="B136" s="127" t="n"/>
      <c r="C136" s="127" t="n"/>
      <c r="D136" s="127" t="n"/>
      <c r="E136" s="127" t="n"/>
      <c r="F136" s="223" t="n"/>
      <c r="G136" s="223" t="n"/>
      <c r="H136" s="127" t="n"/>
      <c r="I136" s="127" t="n"/>
      <c r="J136" s="127" t="n"/>
      <c r="K136" s="222" t="n"/>
      <c r="L136" s="227" t="n"/>
      <c r="M136" s="227" t="n"/>
      <c r="N136" s="222" t="n"/>
      <c r="O136" s="222" t="n"/>
      <c r="P136" s="222" t="n"/>
      <c r="Q136" s="222" t="n"/>
      <c r="R136" s="127" t="n"/>
      <c r="S136" s="127" t="n"/>
      <c r="T136" s="225" t="n"/>
      <c r="U136" s="231" t="n"/>
      <c r="V136" s="231" t="n"/>
      <c r="W136" s="231" t="n"/>
      <c r="X136" s="127" t="n"/>
      <c r="Y136" s="127" t="n"/>
      <c r="Z136" s="127" t="n"/>
      <c r="AA136" s="127" t="n"/>
      <c r="AB136" s="127" t="n"/>
      <c r="AC136" s="222" t="n"/>
      <c r="AD136" s="227" t="n"/>
      <c r="AE136" s="227" t="n"/>
      <c r="AF136" s="227" t="n"/>
      <c r="AG136" s="227" t="n"/>
      <c r="AH136" s="222" t="n"/>
    </row>
    <row r="137">
      <c r="A137" s="145">
        <f>IF($B137="","",ROW()-5)</f>
        <v/>
      </c>
      <c r="B137" s="127" t="n"/>
      <c r="C137" s="127" t="n"/>
      <c r="D137" s="127" t="n"/>
      <c r="E137" s="127" t="n"/>
      <c r="F137" s="223" t="n"/>
      <c r="G137" s="223" t="n"/>
      <c r="H137" s="127" t="n"/>
      <c r="I137" s="127" t="n"/>
      <c r="J137" s="127" t="n"/>
      <c r="K137" s="222" t="n"/>
      <c r="L137" s="227" t="n"/>
      <c r="M137" s="227" t="n"/>
      <c r="N137" s="222" t="n"/>
      <c r="O137" s="222" t="n"/>
      <c r="P137" s="222" t="n"/>
      <c r="Q137" s="222" t="n"/>
      <c r="R137" s="127" t="n"/>
      <c r="S137" s="127" t="n"/>
      <c r="T137" s="225" t="n"/>
      <c r="U137" s="231" t="n"/>
      <c r="V137" s="231" t="n"/>
      <c r="W137" s="231" t="n"/>
      <c r="X137" s="127" t="n"/>
      <c r="Y137" s="127" t="n"/>
      <c r="Z137" s="127" t="n"/>
      <c r="AA137" s="127" t="n"/>
      <c r="AB137" s="127" t="n"/>
      <c r="AC137" s="222" t="n"/>
      <c r="AD137" s="227" t="n"/>
      <c r="AE137" s="227" t="n"/>
      <c r="AF137" s="227" t="n"/>
      <c r="AG137" s="227" t="n"/>
      <c r="AH137" s="222" t="n"/>
    </row>
    <row r="138">
      <c r="A138" s="145">
        <f>IF($B138="","",ROW()-5)</f>
        <v/>
      </c>
      <c r="B138" s="127" t="n"/>
      <c r="C138" s="127" t="n"/>
      <c r="D138" s="127" t="n"/>
      <c r="E138" s="127" t="n"/>
      <c r="F138" s="223" t="n"/>
      <c r="G138" s="223" t="n"/>
      <c r="H138" s="127" t="n"/>
      <c r="I138" s="127" t="n"/>
      <c r="J138" s="127" t="n"/>
      <c r="K138" s="222" t="n"/>
      <c r="L138" s="227" t="n"/>
      <c r="M138" s="227" t="n"/>
      <c r="N138" s="222" t="n"/>
      <c r="O138" s="222" t="n"/>
      <c r="P138" s="222" t="n"/>
      <c r="Q138" s="222" t="n"/>
      <c r="R138" s="127" t="n"/>
      <c r="S138" s="127" t="n"/>
      <c r="T138" s="225" t="n"/>
      <c r="U138" s="231" t="n"/>
      <c r="V138" s="231" t="n"/>
      <c r="W138" s="231" t="n"/>
      <c r="X138" s="127" t="n"/>
      <c r="Y138" s="127" t="n"/>
      <c r="Z138" s="127" t="n"/>
      <c r="AA138" s="127" t="n"/>
      <c r="AB138" s="127" t="n"/>
      <c r="AC138" s="222" t="n"/>
      <c r="AD138" s="227" t="n"/>
      <c r="AE138" s="227" t="n"/>
      <c r="AF138" s="227" t="n"/>
      <c r="AG138" s="227" t="n"/>
      <c r="AH138" s="222" t="n"/>
    </row>
    <row r="139">
      <c r="A139" s="145">
        <f>IF($B139="","",ROW()-5)</f>
        <v/>
      </c>
      <c r="B139" s="127" t="n"/>
      <c r="C139" s="127" t="n"/>
      <c r="D139" s="127" t="n"/>
      <c r="E139" s="127" t="n"/>
      <c r="F139" s="223" t="n"/>
      <c r="G139" s="223" t="n"/>
      <c r="H139" s="127" t="n"/>
      <c r="I139" s="127" t="n"/>
      <c r="J139" s="127" t="n"/>
      <c r="K139" s="222" t="n"/>
      <c r="L139" s="227" t="n"/>
      <c r="M139" s="227" t="n"/>
      <c r="N139" s="222" t="n"/>
      <c r="O139" s="222" t="n"/>
      <c r="P139" s="222" t="n"/>
      <c r="Q139" s="222" t="n"/>
      <c r="R139" s="127" t="n"/>
      <c r="S139" s="127" t="n"/>
      <c r="T139" s="225" t="n"/>
      <c r="U139" s="231" t="n"/>
      <c r="V139" s="231" t="n"/>
      <c r="W139" s="231" t="n"/>
      <c r="X139" s="127" t="n"/>
      <c r="Y139" s="127" t="n"/>
      <c r="Z139" s="127" t="n"/>
      <c r="AA139" s="127" t="n"/>
      <c r="AB139" s="127" t="n"/>
      <c r="AC139" s="222" t="n"/>
      <c r="AD139" s="227" t="n"/>
      <c r="AE139" s="227" t="n"/>
      <c r="AF139" s="227" t="n"/>
      <c r="AG139" s="227" t="n"/>
      <c r="AH139" s="222" t="n"/>
    </row>
    <row r="140">
      <c r="A140" s="145">
        <f>IF($B140="","",ROW()-5)</f>
        <v/>
      </c>
      <c r="B140" s="127" t="n"/>
      <c r="C140" s="127" t="n"/>
      <c r="D140" s="127" t="n"/>
      <c r="E140" s="127" t="n"/>
      <c r="F140" s="223" t="n"/>
      <c r="G140" s="223" t="n"/>
      <c r="H140" s="127" t="n"/>
      <c r="I140" s="127" t="n"/>
      <c r="J140" s="127" t="n"/>
      <c r="K140" s="222" t="n"/>
      <c r="L140" s="227" t="n"/>
      <c r="M140" s="227" t="n"/>
      <c r="N140" s="222" t="n"/>
      <c r="O140" s="222" t="n"/>
      <c r="P140" s="222" t="n"/>
      <c r="Q140" s="222" t="n"/>
      <c r="R140" s="127" t="n"/>
      <c r="S140" s="127" t="n"/>
      <c r="T140" s="225" t="n"/>
      <c r="U140" s="231" t="n"/>
      <c r="V140" s="231" t="n"/>
      <c r="W140" s="231" t="n"/>
      <c r="X140" s="127" t="n"/>
      <c r="Y140" s="127" t="n"/>
      <c r="Z140" s="127" t="n"/>
      <c r="AA140" s="127" t="n"/>
      <c r="AB140" s="127" t="n"/>
      <c r="AC140" s="222" t="n"/>
      <c r="AD140" s="227" t="n"/>
      <c r="AE140" s="227" t="n"/>
      <c r="AF140" s="227" t="n"/>
      <c r="AG140" s="227" t="n"/>
      <c r="AH140" s="222" t="n"/>
    </row>
    <row r="141">
      <c r="A141" s="145">
        <f>IF($B141="","",ROW()-5)</f>
        <v/>
      </c>
      <c r="B141" s="127" t="n"/>
      <c r="C141" s="127" t="n"/>
      <c r="D141" s="127" t="n"/>
      <c r="E141" s="127" t="n"/>
      <c r="F141" s="223" t="n"/>
      <c r="G141" s="223" t="n"/>
      <c r="H141" s="127" t="n"/>
      <c r="I141" s="127" t="n"/>
      <c r="J141" s="127" t="n"/>
      <c r="K141" s="222" t="n"/>
      <c r="L141" s="227" t="n"/>
      <c r="M141" s="227" t="n"/>
      <c r="N141" s="222" t="n"/>
      <c r="O141" s="222" t="n"/>
      <c r="P141" s="222" t="n"/>
      <c r="Q141" s="222" t="n"/>
      <c r="R141" s="127" t="n"/>
      <c r="S141" s="127" t="n"/>
      <c r="T141" s="225" t="n"/>
      <c r="U141" s="231" t="n"/>
      <c r="V141" s="231" t="n"/>
      <c r="W141" s="231" t="n"/>
      <c r="X141" s="127" t="n"/>
      <c r="Y141" s="127" t="n"/>
      <c r="Z141" s="127" t="n"/>
      <c r="AA141" s="127" t="n"/>
      <c r="AB141" s="127" t="n"/>
      <c r="AC141" s="222" t="n"/>
      <c r="AD141" s="227" t="n"/>
      <c r="AE141" s="227" t="n"/>
      <c r="AF141" s="227" t="n"/>
      <c r="AG141" s="227" t="n"/>
      <c r="AH141" s="222" t="n"/>
    </row>
    <row r="142">
      <c r="A142" s="145">
        <f>IF($B142="","",ROW()-5)</f>
        <v/>
      </c>
      <c r="B142" s="127" t="n"/>
      <c r="C142" s="127" t="n"/>
      <c r="D142" s="127" t="n"/>
      <c r="E142" s="127" t="n"/>
      <c r="F142" s="223" t="n"/>
      <c r="G142" s="223" t="n"/>
      <c r="H142" s="127" t="n"/>
      <c r="I142" s="127" t="n"/>
      <c r="J142" s="127" t="n"/>
      <c r="K142" s="222" t="n"/>
      <c r="L142" s="227" t="n"/>
      <c r="M142" s="227" t="n"/>
      <c r="N142" s="222" t="n"/>
      <c r="O142" s="222" t="n"/>
      <c r="P142" s="222" t="n"/>
      <c r="Q142" s="222" t="n"/>
      <c r="R142" s="127" t="n"/>
      <c r="S142" s="127" t="n"/>
      <c r="T142" s="225" t="n"/>
      <c r="U142" s="231" t="n"/>
      <c r="V142" s="231" t="n"/>
      <c r="W142" s="231" t="n"/>
      <c r="X142" s="127" t="n"/>
      <c r="Y142" s="127" t="n"/>
      <c r="Z142" s="127" t="n"/>
      <c r="AA142" s="127" t="n"/>
      <c r="AB142" s="127" t="n"/>
      <c r="AC142" s="222" t="n"/>
      <c r="AD142" s="227" t="n"/>
      <c r="AE142" s="227" t="n"/>
      <c r="AF142" s="227" t="n"/>
      <c r="AG142" s="227" t="n"/>
      <c r="AH142" s="222" t="n"/>
    </row>
    <row r="143">
      <c r="A143" s="145">
        <f>IF($B143="","",ROW()-5)</f>
        <v/>
      </c>
      <c r="B143" s="127" t="n"/>
      <c r="C143" s="127" t="n"/>
      <c r="D143" s="127" t="n"/>
      <c r="E143" s="127" t="n"/>
      <c r="F143" s="223" t="n"/>
      <c r="G143" s="223" t="n"/>
      <c r="H143" s="127" t="n"/>
      <c r="I143" s="127" t="n"/>
      <c r="J143" s="127" t="n"/>
      <c r="K143" s="222" t="n"/>
      <c r="L143" s="227" t="n"/>
      <c r="M143" s="227" t="n"/>
      <c r="N143" s="222" t="n"/>
      <c r="O143" s="222" t="n"/>
      <c r="P143" s="222" t="n"/>
      <c r="Q143" s="222" t="n"/>
      <c r="R143" s="127" t="n"/>
      <c r="S143" s="127" t="n"/>
      <c r="T143" s="225" t="n"/>
      <c r="U143" s="231" t="n"/>
      <c r="V143" s="231" t="n"/>
      <c r="W143" s="231" t="n"/>
      <c r="X143" s="127" t="n"/>
      <c r="Y143" s="127" t="n"/>
      <c r="Z143" s="127" t="n"/>
      <c r="AA143" s="127" t="n"/>
      <c r="AB143" s="127" t="n"/>
      <c r="AC143" s="222" t="n"/>
      <c r="AD143" s="227" t="n"/>
      <c r="AE143" s="227" t="n"/>
      <c r="AF143" s="227" t="n"/>
      <c r="AG143" s="227" t="n"/>
      <c r="AH143" s="222" t="n"/>
    </row>
    <row r="144">
      <c r="A144" s="145">
        <f>IF($B144="","",ROW()-5)</f>
        <v/>
      </c>
      <c r="B144" s="127" t="n"/>
      <c r="C144" s="127" t="n"/>
      <c r="D144" s="127" t="n"/>
      <c r="E144" s="127" t="n"/>
      <c r="F144" s="223" t="n"/>
      <c r="G144" s="223" t="n"/>
      <c r="H144" s="127" t="n"/>
      <c r="I144" s="127" t="n"/>
      <c r="J144" s="127" t="n"/>
      <c r="K144" s="222" t="n"/>
      <c r="L144" s="227" t="n"/>
      <c r="M144" s="227" t="n"/>
      <c r="N144" s="222" t="n"/>
      <c r="O144" s="222" t="n"/>
      <c r="P144" s="222" t="n"/>
      <c r="Q144" s="222" t="n"/>
      <c r="R144" s="127" t="n"/>
      <c r="S144" s="127" t="n"/>
      <c r="T144" s="225" t="n"/>
      <c r="U144" s="231" t="n"/>
      <c r="V144" s="231" t="n"/>
      <c r="W144" s="231" t="n"/>
      <c r="X144" s="127" t="n"/>
      <c r="Y144" s="127" t="n"/>
      <c r="Z144" s="127" t="n"/>
      <c r="AA144" s="127" t="n"/>
      <c r="AB144" s="127" t="n"/>
      <c r="AC144" s="222" t="n"/>
      <c r="AD144" s="227" t="n"/>
      <c r="AE144" s="227" t="n"/>
      <c r="AF144" s="227" t="n"/>
      <c r="AG144" s="227" t="n"/>
      <c r="AH144" s="222" t="n"/>
    </row>
    <row r="145">
      <c r="A145" s="145">
        <f>IF($B145="","",ROW()-5)</f>
        <v/>
      </c>
      <c r="B145" s="127" t="n"/>
      <c r="C145" s="127" t="n"/>
      <c r="D145" s="127" t="n"/>
      <c r="E145" s="127" t="n"/>
      <c r="F145" s="223" t="n"/>
      <c r="G145" s="223" t="n"/>
      <c r="H145" s="127" t="n"/>
      <c r="I145" s="127" t="n"/>
      <c r="J145" s="127" t="n"/>
      <c r="K145" s="222" t="n"/>
      <c r="L145" s="227" t="n"/>
      <c r="M145" s="227" t="n"/>
      <c r="N145" s="222" t="n"/>
      <c r="O145" s="222" t="n"/>
      <c r="P145" s="222" t="n"/>
      <c r="Q145" s="222" t="n"/>
      <c r="R145" s="127" t="n"/>
      <c r="S145" s="127" t="n"/>
      <c r="T145" s="225" t="n"/>
      <c r="U145" s="231" t="n"/>
      <c r="V145" s="231" t="n"/>
      <c r="W145" s="231" t="n"/>
      <c r="X145" s="127" t="n"/>
      <c r="Y145" s="127" t="n"/>
      <c r="Z145" s="127" t="n"/>
      <c r="AA145" s="127" t="n"/>
      <c r="AB145" s="127" t="n"/>
      <c r="AC145" s="222" t="n"/>
      <c r="AD145" s="227" t="n"/>
      <c r="AE145" s="227" t="n"/>
      <c r="AF145" s="227" t="n"/>
      <c r="AG145" s="227" t="n"/>
      <c r="AH145" s="222" t="n"/>
    </row>
    <row r="146">
      <c r="A146" s="145">
        <f>IF($B146="","",ROW()-5)</f>
        <v/>
      </c>
      <c r="B146" s="127" t="n"/>
      <c r="C146" s="127" t="n"/>
      <c r="D146" s="127" t="n"/>
      <c r="E146" s="127" t="n"/>
      <c r="F146" s="223" t="n"/>
      <c r="G146" s="223" t="n"/>
      <c r="H146" s="127" t="n"/>
      <c r="I146" s="127" t="n"/>
      <c r="J146" s="127" t="n"/>
      <c r="K146" s="222" t="n"/>
      <c r="L146" s="227" t="n"/>
      <c r="M146" s="227" t="n"/>
      <c r="N146" s="222" t="n"/>
      <c r="O146" s="222" t="n"/>
      <c r="P146" s="222" t="n"/>
      <c r="Q146" s="222" t="n"/>
      <c r="R146" s="127" t="n"/>
      <c r="S146" s="127" t="n"/>
      <c r="T146" s="225" t="n"/>
      <c r="U146" s="231" t="n"/>
      <c r="V146" s="231" t="n"/>
      <c r="W146" s="231" t="n"/>
      <c r="X146" s="127" t="n"/>
      <c r="Y146" s="127" t="n"/>
      <c r="Z146" s="127" t="n"/>
      <c r="AA146" s="127" t="n"/>
      <c r="AB146" s="127" t="n"/>
      <c r="AC146" s="222" t="n"/>
      <c r="AD146" s="227" t="n"/>
      <c r="AE146" s="227" t="n"/>
      <c r="AF146" s="227" t="n"/>
      <c r="AG146" s="227" t="n"/>
      <c r="AH146" s="222" t="n"/>
    </row>
    <row r="147">
      <c r="A147" s="145">
        <f>IF($B147="","",ROW()-5)</f>
        <v/>
      </c>
      <c r="B147" s="127" t="n"/>
      <c r="C147" s="127" t="n"/>
      <c r="D147" s="127" t="n"/>
      <c r="E147" s="127" t="n"/>
      <c r="F147" s="223" t="n"/>
      <c r="G147" s="223" t="n"/>
      <c r="H147" s="127" t="n"/>
      <c r="I147" s="127" t="n"/>
      <c r="J147" s="127" t="n"/>
      <c r="K147" s="222" t="n"/>
      <c r="L147" s="227" t="n"/>
      <c r="M147" s="227" t="n"/>
      <c r="N147" s="222" t="n"/>
      <c r="O147" s="222" t="n"/>
      <c r="P147" s="222" t="n"/>
      <c r="Q147" s="222" t="n"/>
      <c r="R147" s="127" t="n"/>
      <c r="S147" s="127" t="n"/>
      <c r="T147" s="225" t="n"/>
      <c r="U147" s="231" t="n"/>
      <c r="V147" s="231" t="n"/>
      <c r="W147" s="231" t="n"/>
      <c r="X147" s="127" t="n"/>
      <c r="Y147" s="127" t="n"/>
      <c r="Z147" s="127" t="n"/>
      <c r="AA147" s="127" t="n"/>
      <c r="AB147" s="127" t="n"/>
      <c r="AC147" s="222" t="n"/>
      <c r="AD147" s="227" t="n"/>
      <c r="AE147" s="227" t="n"/>
      <c r="AF147" s="227" t="n"/>
      <c r="AG147" s="227" t="n"/>
      <c r="AH147" s="222" t="n"/>
    </row>
    <row r="148">
      <c r="A148" s="145">
        <f>IF($B148="","",ROW()-5)</f>
        <v/>
      </c>
      <c r="B148" s="127" t="n"/>
      <c r="C148" s="127" t="n"/>
      <c r="D148" s="127" t="n"/>
      <c r="E148" s="127" t="n"/>
      <c r="F148" s="223" t="n"/>
      <c r="G148" s="223" t="n"/>
      <c r="H148" s="127" t="n"/>
      <c r="I148" s="127" t="n"/>
      <c r="J148" s="127" t="n"/>
      <c r="K148" s="222" t="n"/>
      <c r="L148" s="227" t="n"/>
      <c r="M148" s="227" t="n"/>
      <c r="N148" s="222" t="n"/>
      <c r="O148" s="222" t="n"/>
      <c r="P148" s="222" t="n"/>
      <c r="Q148" s="222" t="n"/>
      <c r="R148" s="127" t="n"/>
      <c r="S148" s="127" t="n"/>
      <c r="T148" s="225" t="n"/>
      <c r="U148" s="231" t="n"/>
      <c r="V148" s="231" t="n"/>
      <c r="W148" s="231" t="n"/>
      <c r="X148" s="127" t="n"/>
      <c r="Y148" s="127" t="n"/>
      <c r="Z148" s="127" t="n"/>
      <c r="AA148" s="127" t="n"/>
      <c r="AB148" s="127" t="n"/>
      <c r="AC148" s="222" t="n"/>
      <c r="AD148" s="227" t="n"/>
      <c r="AE148" s="227" t="n"/>
      <c r="AF148" s="227" t="n"/>
      <c r="AG148" s="227" t="n"/>
      <c r="AH148" s="222" t="n"/>
    </row>
    <row r="149">
      <c r="A149" s="145">
        <f>IF($B149="","",ROW()-5)</f>
        <v/>
      </c>
      <c r="B149" s="127" t="n"/>
      <c r="C149" s="127" t="n"/>
      <c r="D149" s="127" t="n"/>
      <c r="E149" s="127" t="n"/>
      <c r="F149" s="223" t="n"/>
      <c r="G149" s="223" t="n"/>
      <c r="H149" s="127" t="n"/>
      <c r="I149" s="127" t="n"/>
      <c r="J149" s="127" t="n"/>
      <c r="K149" s="222" t="n"/>
      <c r="L149" s="227" t="n"/>
      <c r="M149" s="227" t="n"/>
      <c r="N149" s="222" t="n"/>
      <c r="O149" s="222" t="n"/>
      <c r="P149" s="222" t="n"/>
      <c r="Q149" s="222" t="n"/>
      <c r="R149" s="127" t="n"/>
      <c r="S149" s="127" t="n"/>
      <c r="T149" s="225" t="n"/>
      <c r="U149" s="231" t="n"/>
      <c r="V149" s="231" t="n"/>
      <c r="W149" s="231" t="n"/>
      <c r="X149" s="127" t="n"/>
      <c r="Y149" s="127" t="n"/>
      <c r="Z149" s="127" t="n"/>
      <c r="AA149" s="127" t="n"/>
      <c r="AB149" s="127" t="n"/>
      <c r="AC149" s="222" t="n"/>
      <c r="AD149" s="227" t="n"/>
      <c r="AE149" s="227" t="n"/>
      <c r="AF149" s="227" t="n"/>
      <c r="AG149" s="227" t="n"/>
      <c r="AH149" s="222" t="n"/>
    </row>
    <row r="150">
      <c r="A150" s="145">
        <f>IF($B150="","",ROW()-5)</f>
        <v/>
      </c>
      <c r="B150" s="127" t="n"/>
      <c r="C150" s="127" t="n"/>
      <c r="D150" s="127" t="n"/>
      <c r="E150" s="127" t="n"/>
      <c r="F150" s="223" t="n"/>
      <c r="G150" s="223" t="n"/>
      <c r="H150" s="127" t="n"/>
      <c r="I150" s="127" t="n"/>
      <c r="J150" s="127" t="n"/>
      <c r="K150" s="222" t="n"/>
      <c r="L150" s="227" t="n"/>
      <c r="M150" s="227" t="n"/>
      <c r="N150" s="222" t="n"/>
      <c r="O150" s="222" t="n"/>
      <c r="P150" s="222" t="n"/>
      <c r="Q150" s="222" t="n"/>
      <c r="R150" s="127" t="n"/>
      <c r="S150" s="127" t="n"/>
      <c r="T150" s="225" t="n"/>
      <c r="U150" s="231" t="n"/>
      <c r="V150" s="231" t="n"/>
      <c r="W150" s="231" t="n"/>
      <c r="X150" s="127" t="n"/>
      <c r="Y150" s="127" t="n"/>
      <c r="Z150" s="127" t="n"/>
      <c r="AA150" s="127" t="n"/>
      <c r="AB150" s="127" t="n"/>
      <c r="AC150" s="222" t="n"/>
      <c r="AD150" s="227" t="n"/>
      <c r="AE150" s="227" t="n"/>
      <c r="AF150" s="227" t="n"/>
      <c r="AG150" s="227" t="n"/>
      <c r="AH150" s="222" t="n"/>
    </row>
    <row r="151">
      <c r="A151" s="145">
        <f>IF($B151="","",ROW()-5)</f>
        <v/>
      </c>
      <c r="B151" s="127" t="n"/>
      <c r="C151" s="127" t="n"/>
      <c r="D151" s="127" t="n"/>
      <c r="E151" s="127" t="n"/>
      <c r="F151" s="223" t="n"/>
      <c r="G151" s="223" t="n"/>
      <c r="H151" s="127" t="n"/>
      <c r="I151" s="127" t="n"/>
      <c r="J151" s="127" t="n"/>
      <c r="K151" s="222" t="n"/>
      <c r="L151" s="227" t="n"/>
      <c r="M151" s="227" t="n"/>
      <c r="N151" s="222" t="n"/>
      <c r="O151" s="222" t="n"/>
      <c r="P151" s="222" t="n"/>
      <c r="Q151" s="222" t="n"/>
      <c r="R151" s="127" t="n"/>
      <c r="S151" s="127" t="n"/>
      <c r="T151" s="225" t="n"/>
      <c r="U151" s="231" t="n"/>
      <c r="V151" s="231" t="n"/>
      <c r="W151" s="231" t="n"/>
      <c r="X151" s="127" t="n"/>
      <c r="Y151" s="127" t="n"/>
      <c r="Z151" s="127" t="n"/>
      <c r="AA151" s="127" t="n"/>
      <c r="AB151" s="127" t="n"/>
      <c r="AC151" s="222" t="n"/>
      <c r="AD151" s="227" t="n"/>
      <c r="AE151" s="227" t="n"/>
      <c r="AF151" s="227" t="n"/>
      <c r="AG151" s="227" t="n"/>
      <c r="AH151" s="222" t="n"/>
    </row>
    <row r="152">
      <c r="A152" s="145">
        <f>IF($B152="","",ROW()-5)</f>
        <v/>
      </c>
      <c r="B152" s="127" t="n"/>
      <c r="C152" s="127" t="n"/>
      <c r="D152" s="127" t="n"/>
      <c r="E152" s="127" t="n"/>
      <c r="F152" s="223" t="n"/>
      <c r="G152" s="223" t="n"/>
      <c r="H152" s="127" t="n"/>
      <c r="I152" s="127" t="n"/>
      <c r="J152" s="127" t="n"/>
      <c r="K152" s="222" t="n"/>
      <c r="L152" s="227" t="n"/>
      <c r="M152" s="227" t="n"/>
      <c r="N152" s="222" t="n"/>
      <c r="O152" s="222" t="n"/>
      <c r="P152" s="222" t="n"/>
      <c r="Q152" s="222" t="n"/>
      <c r="R152" s="127" t="n"/>
      <c r="S152" s="127" t="n"/>
      <c r="T152" s="225" t="n"/>
      <c r="U152" s="231" t="n"/>
      <c r="V152" s="231" t="n"/>
      <c r="W152" s="231" t="n"/>
      <c r="X152" s="127" t="n"/>
      <c r="Y152" s="127" t="n"/>
      <c r="Z152" s="127" t="n"/>
      <c r="AA152" s="127" t="n"/>
      <c r="AB152" s="127" t="n"/>
      <c r="AC152" s="222" t="n"/>
      <c r="AD152" s="227" t="n"/>
      <c r="AE152" s="227" t="n"/>
      <c r="AF152" s="227" t="n"/>
      <c r="AG152" s="227" t="n"/>
      <c r="AH152" s="222" t="n"/>
    </row>
    <row r="153">
      <c r="A153" s="145">
        <f>IF($B153="","",ROW()-5)</f>
        <v/>
      </c>
      <c r="B153" s="127" t="n"/>
      <c r="C153" s="127" t="n"/>
      <c r="D153" s="127" t="n"/>
      <c r="E153" s="127" t="n"/>
      <c r="F153" s="223" t="n"/>
      <c r="G153" s="223" t="n"/>
      <c r="H153" s="127" t="n"/>
      <c r="I153" s="127" t="n"/>
      <c r="J153" s="127" t="n"/>
      <c r="K153" s="222" t="n"/>
      <c r="L153" s="227" t="n"/>
      <c r="M153" s="227" t="n"/>
      <c r="N153" s="222" t="n"/>
      <c r="O153" s="222" t="n"/>
      <c r="P153" s="222" t="n"/>
      <c r="Q153" s="222" t="n"/>
      <c r="R153" s="127" t="n"/>
      <c r="S153" s="127" t="n"/>
      <c r="T153" s="225" t="n"/>
      <c r="U153" s="231" t="n"/>
      <c r="V153" s="231" t="n"/>
      <c r="W153" s="231" t="n"/>
      <c r="X153" s="127" t="n"/>
      <c r="Y153" s="127" t="n"/>
      <c r="Z153" s="127" t="n"/>
      <c r="AA153" s="127" t="n"/>
      <c r="AB153" s="127" t="n"/>
      <c r="AC153" s="222" t="n"/>
      <c r="AD153" s="227" t="n"/>
      <c r="AE153" s="227" t="n"/>
      <c r="AF153" s="227" t="n"/>
      <c r="AG153" s="227" t="n"/>
      <c r="AH153" s="222" t="n"/>
    </row>
    <row r="154">
      <c r="A154" s="145">
        <f>IF($B154="","",ROW()-5)</f>
        <v/>
      </c>
      <c r="B154" s="127" t="n"/>
      <c r="C154" s="127" t="n"/>
      <c r="D154" s="127" t="n"/>
      <c r="E154" s="127" t="n"/>
      <c r="F154" s="223" t="n"/>
      <c r="G154" s="223" t="n"/>
      <c r="H154" s="127" t="n"/>
      <c r="I154" s="127" t="n"/>
      <c r="J154" s="127" t="n"/>
      <c r="K154" s="222" t="n"/>
      <c r="L154" s="227" t="n"/>
      <c r="M154" s="227" t="n"/>
      <c r="N154" s="222" t="n"/>
      <c r="O154" s="222" t="n"/>
      <c r="P154" s="222" t="n"/>
      <c r="Q154" s="222" t="n"/>
      <c r="R154" s="127" t="n"/>
      <c r="S154" s="127" t="n"/>
      <c r="T154" s="225" t="n"/>
      <c r="U154" s="231" t="n"/>
      <c r="V154" s="231" t="n"/>
      <c r="W154" s="231" t="n"/>
      <c r="X154" s="127" t="n"/>
      <c r="Y154" s="127" t="n"/>
      <c r="Z154" s="127" t="n"/>
      <c r="AA154" s="127" t="n"/>
      <c r="AB154" s="127" t="n"/>
      <c r="AC154" s="222" t="n"/>
      <c r="AD154" s="227" t="n"/>
      <c r="AE154" s="227" t="n"/>
      <c r="AF154" s="227" t="n"/>
      <c r="AG154" s="227" t="n"/>
      <c r="AH154" s="222" t="n"/>
    </row>
    <row r="155">
      <c r="A155" s="145">
        <f>IF($B155="","",ROW()-5)</f>
        <v/>
      </c>
      <c r="B155" s="127" t="n"/>
      <c r="C155" s="127" t="n"/>
      <c r="D155" s="127" t="n"/>
      <c r="E155" s="127" t="n"/>
      <c r="F155" s="223" t="n"/>
      <c r="G155" s="223" t="n"/>
      <c r="H155" s="127" t="n"/>
      <c r="I155" s="127" t="n"/>
      <c r="J155" s="127" t="n"/>
      <c r="K155" s="222" t="n"/>
      <c r="L155" s="227" t="n"/>
      <c r="M155" s="227" t="n"/>
      <c r="N155" s="222" t="n"/>
      <c r="O155" s="222" t="n"/>
      <c r="P155" s="222" t="n"/>
      <c r="Q155" s="222" t="n"/>
      <c r="R155" s="127" t="n"/>
      <c r="S155" s="127" t="n"/>
      <c r="T155" s="225" t="n"/>
      <c r="U155" s="231" t="n"/>
      <c r="V155" s="231" t="n"/>
      <c r="W155" s="231" t="n"/>
      <c r="X155" s="127" t="n"/>
      <c r="Y155" s="127" t="n"/>
      <c r="Z155" s="127" t="n"/>
      <c r="AA155" s="127" t="n"/>
      <c r="AB155" s="127" t="n"/>
      <c r="AC155" s="222" t="n"/>
      <c r="AD155" s="227" t="n"/>
      <c r="AE155" s="227" t="n"/>
      <c r="AF155" s="227" t="n"/>
      <c r="AG155" s="227" t="n"/>
      <c r="AH155" s="222" t="n"/>
    </row>
  </sheetData>
  <mergeCells count="2">
    <mergeCell ref="A1:AH1"/>
    <mergeCell ref="A2:AH3"/>
  </mergeCells>
  <dataValidations count="6">
    <dataValidation sqref="H6:H155" showDropDown="0" showInputMessage="0" showErrorMessage="0" allowBlank="0" type="list">
      <formula1>"Vùng I,Vùng II,Vùng III,Vùng IV"</formula1>
    </dataValidation>
    <dataValidation sqref="I6:I155" showDropDown="0" showInputMessage="0" showErrorMessage="0" allowBlank="0" type="list">
      <formula1>"Gross,Net"</formula1>
    </dataValidation>
    <dataValidation sqref="J6:J155" showDropDown="0" showInputMessage="0" showErrorMessage="0" allowBlank="0" type="list">
      <formula1>"Tháng,Ngày,Giờ,Sản phẩm"</formula1>
    </dataValidation>
    <dataValidation sqref="R6:S155" showDropDown="0" showInputMessage="0" showErrorMessage="0" allowBlank="0" type="list">
      <formula1>"Có,Không"</formula1>
    </dataValidation>
    <dataValidation sqref="AA6:AA155" showDropDown="0" showInputMessage="0" showErrorMessage="0" allowBlank="0" type="list">
      <formula1>"Có,Không"</formula1>
    </dataValidation>
    <dataValidation sqref="AB6:AB155" showDropDown="0" showInputMessage="0" showErrorMessage="0" allowBlank="0" type="list">
      <formula1>"Mặc định 0,5%,Theo thực nhận,Nhập tay,Không"</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W155"/>
  <sheetViews>
    <sheetView showGridLines="0" workbookViewId="0">
      <selection activeCell="A1" sqref="A1"/>
    </sheetView>
  </sheetViews>
  <sheetFormatPr baseColWidth="8" defaultRowHeight="15"/>
  <cols>
    <col width="6" customWidth="1" style="32" min="1" max="1"/>
    <col width="12" customWidth="1" style="32" min="2" max="2"/>
    <col width="22" customWidth="1" style="32" min="3" max="3"/>
    <col width="12" customWidth="1" style="32" min="4" max="4"/>
    <col width="14" customWidth="1" style="32" min="5" max="5"/>
    <col width="12" customWidth="1" style="32" min="6" max="6"/>
    <col width="14" customWidth="1" style="32" min="7" max="7"/>
    <col width="14" customWidth="1" style="32" min="8" max="8"/>
    <col width="15" customWidth="1" style="32" min="9" max="9"/>
    <col width="12" customWidth="1" style="32" min="10" max="10"/>
    <col width="14" customWidth="1" style="32" min="11" max="11"/>
    <col width="14" customWidth="1" style="32" min="12" max="12"/>
    <col width="12" customWidth="1" style="32" min="13" max="13"/>
    <col width="12" customWidth="1" style="32" min="14" max="14"/>
    <col width="13" customWidth="1" style="32" min="15" max="15"/>
    <col width="13" customWidth="1" style="32" min="16" max="16"/>
    <col width="13" customWidth="1" style="32" min="17" max="17"/>
    <col width="17" customWidth="1" style="32" min="18" max="18"/>
    <col width="16" customWidth="1" style="32" min="19" max="19"/>
    <col width="20" customWidth="1" style="32" min="20" max="20"/>
    <col width="18" customWidth="1" style="32" min="21" max="21"/>
    <col width="22" customWidth="1" style="32" min="22" max="22"/>
    <col width="18" customWidth="1" style="32" min="23" max="23"/>
    <col width="13" customWidth="1" style="32" min="24" max="24"/>
    <col width="13" customWidth="1" style="32" min="25" max="25"/>
    <col width="13" customWidth="1" style="32" min="26" max="26"/>
    <col width="17" customWidth="1" style="32" min="27" max="27"/>
    <col width="28" customWidth="1" style="32" min="28" max="28"/>
    <col width="12" customWidth="1" style="32" min="29" max="29"/>
    <col width="13" customWidth="1" style="32" min="30" max="30"/>
    <col width="12" customWidth="1" style="32" min="31" max="31"/>
    <col width="14" customWidth="1" style="32" min="32" max="32"/>
    <col width="16" customWidth="1" style="32" min="33" max="33"/>
    <col width="13" customWidth="1" style="32" min="34" max="34"/>
    <col width="14" customWidth="1" style="32" min="35" max="35"/>
    <col width="15" customWidth="1" style="32" min="36" max="36"/>
    <col width="13" customWidth="1" style="32" min="37" max="37"/>
    <col width="16" customWidth="1" style="32" min="38" max="38"/>
    <col width="17" customWidth="1" style="32" min="39" max="39"/>
    <col width="17" customWidth="1" style="32" min="40" max="40"/>
    <col width="17" customWidth="1" style="32" min="41" max="41"/>
    <col width="15" customWidth="1" style="32" min="42" max="42"/>
    <col width="16" customWidth="1" style="32" min="43" max="43"/>
    <col width="14" customWidth="1" style="32" min="44" max="44"/>
    <col width="14" customWidth="1" style="32" min="45" max="45"/>
    <col width="14" customWidth="1" style="32" min="46" max="46"/>
    <col width="14" customWidth="1" style="32" min="47" max="47"/>
    <col width="14" customWidth="1" style="32" min="48" max="48"/>
    <col width="14" customWidth="1" style="32" min="49" max="49"/>
  </cols>
  <sheetData>
    <row r="1" ht="30" customHeight="1" s="32">
      <c r="A1" s="4" t="inlineStr">
        <is>
          <t>DỮ LIỆU CHẤM CÔNG VÀ THU NHẬP THEO THÁNG</t>
        </is>
      </c>
    </row>
    <row r="2">
      <c r="A2" s="96" t="inlineStr">
        <is>
          <t>Mỗi dòng khớp DM_NHAN_SU. Chọn “Tổng hợp” để nhập E:M và AL:AQ; chọn “Theo ngày” để hệ thống cộng CHAM_CONG_NGAY. Công làm việc phải tách khỏi phép/lễ/việc riêng hưởng lương. AC:AK và AR:AW là dữ liệu dùng để tính lương.</t>
        </is>
      </c>
    </row>
    <row r="3"/>
    <row r="4"/>
    <row r="5" ht="60" customHeight="1" s="32">
      <c r="A5" s="156" t="inlineStr">
        <is>
          <t>STT</t>
        </is>
      </c>
      <c r="B5" s="156" t="inlineStr">
        <is>
          <t>Mã NV</t>
        </is>
      </c>
      <c r="C5" s="156" t="inlineStr">
        <is>
          <t>Họ và tên</t>
        </is>
      </c>
      <c r="D5" s="156" t="inlineStr">
        <is>
          <t>Nguồn công</t>
        </is>
      </c>
      <c r="E5" s="156" t="inlineStr">
        <is>
          <t>Công làm việc</t>
        </is>
      </c>
      <c r="F5" s="156" t="inlineStr">
        <is>
          <t>Giờ thường</t>
        </is>
      </c>
      <c r="G5" s="156" t="inlineStr">
        <is>
          <t>Giờ đêm trong ca</t>
        </is>
      </c>
      <c r="H5" s="156" t="inlineStr">
        <is>
          <t>OT thường ngày</t>
        </is>
      </c>
      <c r="I5" s="156" t="inlineStr">
        <is>
          <t>OT nghỉ tuần ngày</t>
        </is>
      </c>
      <c r="J5" s="156" t="inlineStr">
        <is>
          <t>OT lễ ngày</t>
        </is>
      </c>
      <c r="K5" s="156" t="inlineStr">
        <is>
          <t>OT thường đêm</t>
        </is>
      </c>
      <c r="L5" s="156" t="inlineStr">
        <is>
          <t>OT nghỉ tuần đêm</t>
        </is>
      </c>
      <c r="M5" s="156" t="inlineStr">
        <is>
          <t>OT lễ đêm</t>
        </is>
      </c>
      <c r="N5" s="156" t="inlineStr">
        <is>
          <t>Số lượng SP</t>
        </is>
      </c>
      <c r="O5" s="156" t="inlineStr">
        <is>
          <t>KPI</t>
        </is>
      </c>
      <c r="P5" s="156" t="inlineStr">
        <is>
          <t>Hoa hồng</t>
        </is>
      </c>
      <c r="Q5" s="156" t="inlineStr">
        <is>
          <t>Thưởng khác</t>
        </is>
      </c>
      <c r="R5" s="156" t="inlineStr">
        <is>
          <t>Phụ cấp chịu thuế</t>
        </is>
      </c>
      <c r="S5" s="156" t="inlineStr">
        <is>
          <t>Tiền ăn ca bằng tiền</t>
        </is>
      </c>
      <c r="T5" s="156" t="inlineStr">
        <is>
          <t>Khoán chi/hoàn trả miễn thuế</t>
        </is>
      </c>
      <c r="U5" s="156" t="inlineStr">
        <is>
          <t>Thu nhập miễn thuế khác</t>
        </is>
      </c>
      <c r="V5" s="156" t="inlineStr">
        <is>
          <t>OT/đêm không đủ điều kiện miễn TNCN</t>
        </is>
      </c>
      <c r="W5" s="156" t="inlineStr">
        <is>
          <t>Giảm trừ khác hợp lệ</t>
        </is>
      </c>
      <c r="X5" s="156" t="inlineStr">
        <is>
          <t>Tạm ứng</t>
        </is>
      </c>
      <c r="Y5" s="156" t="inlineStr">
        <is>
          <t>Khấu trừ khác</t>
        </is>
      </c>
      <c r="Z5" s="156" t="inlineStr">
        <is>
          <t>Điều chỉnh PIT</t>
        </is>
      </c>
      <c r="AA5" s="156" t="inlineStr">
        <is>
          <t>Không đóng BH tháng này</t>
        </is>
      </c>
      <c r="AB5" s="156" t="inlineStr">
        <is>
          <t>Ghi chú</t>
        </is>
      </c>
      <c r="AC5" s="156" t="inlineStr">
        <is>
          <t>Công dùng</t>
        </is>
      </c>
      <c r="AD5" s="156" t="inlineStr">
        <is>
          <t>Giờ thường dùng</t>
        </is>
      </c>
      <c r="AE5" s="156" t="inlineStr">
        <is>
          <t>Giờ đêm dùng</t>
        </is>
      </c>
      <c r="AF5" s="156" t="inlineStr">
        <is>
          <t>OT thường ngày dùng</t>
        </is>
      </c>
      <c r="AG5" s="156" t="inlineStr">
        <is>
          <t>OT nghỉ tuần ngày dùng</t>
        </is>
      </c>
      <c r="AH5" s="156" t="inlineStr">
        <is>
          <t>OT lễ ngày dùng</t>
        </is>
      </c>
      <c r="AI5" s="156" t="inlineStr">
        <is>
          <t>OT thường đêm dùng</t>
        </is>
      </c>
      <c r="AJ5" s="156" t="inlineStr">
        <is>
          <t>OT nghỉ tuần đêm dùng</t>
        </is>
      </c>
      <c r="AK5" s="156" t="inlineStr">
        <is>
          <t>OT lễ đêm dùng</t>
        </is>
      </c>
      <c r="AL5" s="156" t="inlineStr">
        <is>
          <t>Phép năm hưởng lương</t>
        </is>
      </c>
      <c r="AM5" s="156" t="inlineStr">
        <is>
          <t>Lễ/Tết hưởng lương</t>
        </is>
      </c>
      <c r="AN5" s="156" t="inlineStr">
        <is>
          <t>Việc riêng hưởng lương</t>
        </is>
      </c>
      <c r="AO5" s="156" t="inlineStr">
        <is>
          <t>Nghỉ ốm hưởng BHXH</t>
        </is>
      </c>
      <c r="AP5" s="156" t="inlineStr">
        <is>
          <t>Nghỉ thai sản</t>
        </is>
      </c>
      <c r="AQ5" s="156" t="inlineStr">
        <is>
          <t>Nghỉ không lương</t>
        </is>
      </c>
      <c r="AR5" s="156" t="inlineStr">
        <is>
          <t>Phép năm dùng</t>
        </is>
      </c>
      <c r="AS5" s="156" t="inlineStr">
        <is>
          <t>Lễ/Tết dùng</t>
        </is>
      </c>
      <c r="AT5" s="156" t="inlineStr">
        <is>
          <t>Việc riêng dùng</t>
        </is>
      </c>
      <c r="AU5" s="156" t="inlineStr">
        <is>
          <t>Ốm BHXH dùng</t>
        </is>
      </c>
      <c r="AV5" s="156" t="inlineStr">
        <is>
          <t>Thai sản dùng</t>
        </is>
      </c>
      <c r="AW5" s="156" t="inlineStr">
        <is>
          <t>Không lương dùng</t>
        </is>
      </c>
    </row>
    <row r="6">
      <c r="A6" s="145">
        <f>IF($B6="","",ROW()-5)</f>
        <v/>
      </c>
      <c r="B6" s="145">
        <f>IF('DM_NHAN_SU'!B6="","",'DM_NHAN_SU'!B6)</f>
        <v/>
      </c>
      <c r="C6" s="145">
        <f>IF('DM_NHAN_SU'!B6="","",'DM_NHAN_SU'!C6)</f>
        <v/>
      </c>
      <c r="D6" s="127" t="n"/>
      <c r="E6" s="227" t="n"/>
      <c r="F6" s="227" t="n"/>
      <c r="G6" s="227" t="n"/>
      <c r="H6" s="227" t="n"/>
      <c r="I6" s="227" t="n"/>
      <c r="J6" s="227" t="n"/>
      <c r="K6" s="227" t="n"/>
      <c r="L6" s="227" t="n"/>
      <c r="M6" s="227" t="n"/>
      <c r="N6" s="227" t="n"/>
      <c r="O6" s="222" t="n"/>
      <c r="P6" s="222" t="n"/>
      <c r="Q6" s="222" t="n"/>
      <c r="R6" s="222" t="n"/>
      <c r="S6" s="222" t="n"/>
      <c r="T6" s="222" t="n"/>
      <c r="U6" s="222" t="n"/>
      <c r="V6" s="222" t="n"/>
      <c r="W6" s="222" t="n"/>
      <c r="X6" s="222" t="n"/>
      <c r="Y6" s="222" t="n"/>
      <c r="Z6" s="222" t="n"/>
      <c r="AA6" s="127" t="n"/>
      <c r="AB6" s="127" t="n"/>
      <c r="AC6" s="232">
        <f>IF($B6="","",IF($D6="Theo ngày",SUMIFS('CHAM_CONG_NGAY'!$E$6:$E$4655,'CHAM_CONG_NGAY'!$B$6:$B$4655,$B6,'CHAM_CONG_NGAY'!$C$6:$C$4655,"&gt;="&amp;'THAM_SO'!$B$6,'CHAM_CONG_NGAY'!$C$6:$C$4655,"&lt;="&amp;'THAM_SO'!$B$7),$E6))</f>
        <v/>
      </c>
      <c r="AD6" s="232">
        <f>IF($B6="","",IF($D6="Theo ngày",SUMIFS('CHAM_CONG_NGAY'!$F$6:$F$4655,'CHAM_CONG_NGAY'!$B$6:$B$4655,$B6,'CHAM_CONG_NGAY'!$C$6:$C$4655,"&gt;="&amp;'THAM_SO'!$B$6,'CHAM_CONG_NGAY'!$C$6:$C$4655,"&lt;="&amp;'THAM_SO'!$B$7),$F6))</f>
        <v/>
      </c>
      <c r="AE6" s="232">
        <f>IF($B6="","",IF($D6="Theo ngày",SUMIFS('CHAM_CONG_NGAY'!$G$6:$G$4655,'CHAM_CONG_NGAY'!$B$6:$B$4655,$B6,'CHAM_CONG_NGAY'!$C$6:$C$4655,"&gt;="&amp;'THAM_SO'!$B$6,'CHAM_CONG_NGAY'!$C$6:$C$4655,"&lt;="&amp;'THAM_SO'!$B$7),$G6))</f>
        <v/>
      </c>
      <c r="AF6" s="232">
        <f>IF($B6="","",IF($D6="Theo ngày",SUMIFS('CHAM_CONG_NGAY'!$H$6:$H$4655,'CHAM_CONG_NGAY'!$B$6:$B$4655,$B6,'CHAM_CONG_NGAY'!$C$6:$C$4655,"&gt;="&amp;'THAM_SO'!$B$6,'CHAM_CONG_NGAY'!$C$6:$C$4655,"&lt;="&amp;'THAM_SO'!$B$7),$H6))</f>
        <v/>
      </c>
      <c r="AG6" s="232">
        <f>IF($B6="","",IF($D6="Theo ngày",SUMIFS('CHAM_CONG_NGAY'!$I$6:$I$4655,'CHAM_CONG_NGAY'!$B$6:$B$4655,$B6,'CHAM_CONG_NGAY'!$C$6:$C$4655,"&gt;="&amp;'THAM_SO'!$B$6,'CHAM_CONG_NGAY'!$C$6:$C$4655,"&lt;="&amp;'THAM_SO'!$B$7),$I6))</f>
        <v/>
      </c>
      <c r="AH6" s="232">
        <f>IF($B6="","",IF($D6="Theo ngày",SUMIFS('CHAM_CONG_NGAY'!$J$6:$J$4655,'CHAM_CONG_NGAY'!$B$6:$B$4655,$B6,'CHAM_CONG_NGAY'!$C$6:$C$4655,"&gt;="&amp;'THAM_SO'!$B$6,'CHAM_CONG_NGAY'!$C$6:$C$4655,"&lt;="&amp;'THAM_SO'!$B$7),$J6))</f>
        <v/>
      </c>
      <c r="AI6" s="232">
        <f>IF($B6="","",IF($D6="Theo ngày",SUMIFS('CHAM_CONG_NGAY'!$K$6:$K$4655,'CHAM_CONG_NGAY'!$B$6:$B$4655,$B6,'CHAM_CONG_NGAY'!$C$6:$C$4655,"&gt;="&amp;'THAM_SO'!$B$6,'CHAM_CONG_NGAY'!$C$6:$C$4655,"&lt;="&amp;'THAM_SO'!$B$7),$K6))</f>
        <v/>
      </c>
      <c r="AJ6" s="232">
        <f>IF($B6="","",IF($D6="Theo ngày",SUMIFS('CHAM_CONG_NGAY'!$L$6:$L$4655,'CHAM_CONG_NGAY'!$B$6:$B$4655,$B6,'CHAM_CONG_NGAY'!$C$6:$C$4655,"&gt;="&amp;'THAM_SO'!$B$6,'CHAM_CONG_NGAY'!$C$6:$C$4655,"&lt;="&amp;'THAM_SO'!$B$7),$L6))</f>
        <v/>
      </c>
      <c r="AK6" s="232">
        <f>IF($B6="","",IF($D6="Theo ngày",SUMIFS('CHAM_CONG_NGAY'!$M$6:$M$4655,'CHAM_CONG_NGAY'!$B$6:$B$4655,$B6,'CHAM_CONG_NGAY'!$C$6:$C$4655,"&gt;="&amp;'THAM_SO'!$B$6,'CHAM_CONG_NGAY'!$C$6:$C$4655,"&lt;="&amp;'THAM_SO'!$B$7),$M6))</f>
        <v/>
      </c>
      <c r="AL6" s="227" t="n"/>
      <c r="AM6" s="227" t="n"/>
      <c r="AN6" s="227" t="n"/>
      <c r="AO6" s="227" t="n"/>
      <c r="AP6" s="227" t="n"/>
      <c r="AQ6" s="227" t="n"/>
      <c r="AR6" s="232">
        <f>IF($B6="","",IF($D6="Theo ngày",SUMIFS('CHAM_CONG_NGAY'!$O$6:$O$4655,'CHAM_CONG_NGAY'!$B$6:$B$4655,$B6,'CHAM_CONG_NGAY'!$C$6:$C$4655,"&gt;="&amp;'THAM_SO'!$B$6,'CHAM_CONG_NGAY'!$C$6:$C$4655,"&lt;="&amp;'THAM_SO'!$B$7),$AL6))</f>
        <v/>
      </c>
      <c r="AS6" s="232">
        <f>IF($B6="","",IF($D6="Theo ngày",SUMIFS('CHAM_CONG_NGAY'!$P$6:$P$4655,'CHAM_CONG_NGAY'!$B$6:$B$4655,$B6,'CHAM_CONG_NGAY'!$C$6:$C$4655,"&gt;="&amp;'THAM_SO'!$B$6,'CHAM_CONG_NGAY'!$C$6:$C$4655,"&lt;="&amp;'THAM_SO'!$B$7),$AM6))</f>
        <v/>
      </c>
      <c r="AT6" s="232">
        <f>IF($B6="","",IF($D6="Theo ngày",SUMIFS('CHAM_CONG_NGAY'!$Q$6:$Q$4655,'CHAM_CONG_NGAY'!$B$6:$B$4655,$B6,'CHAM_CONG_NGAY'!$C$6:$C$4655,"&gt;="&amp;'THAM_SO'!$B$6,'CHAM_CONG_NGAY'!$C$6:$C$4655,"&lt;="&amp;'THAM_SO'!$B$7),$AN6))</f>
        <v/>
      </c>
      <c r="AU6" s="232">
        <f>IF($B6="","",IF($D6="Theo ngày",SUMIFS('CHAM_CONG_NGAY'!$R$6:$R$4655,'CHAM_CONG_NGAY'!$B$6:$B$4655,$B6,'CHAM_CONG_NGAY'!$C$6:$C$4655,"&gt;="&amp;'THAM_SO'!$B$6,'CHAM_CONG_NGAY'!$C$6:$C$4655,"&lt;="&amp;'THAM_SO'!$B$7),$AO6))</f>
        <v/>
      </c>
      <c r="AV6" s="232">
        <f>IF($B6="","",IF($D6="Theo ngày",SUMIFS('CHAM_CONG_NGAY'!$S$6:$S$4655,'CHAM_CONG_NGAY'!$B$6:$B$4655,$B6,'CHAM_CONG_NGAY'!$C$6:$C$4655,"&gt;="&amp;'THAM_SO'!$B$6,'CHAM_CONG_NGAY'!$C$6:$C$4655,"&lt;="&amp;'THAM_SO'!$B$7),$AP6))</f>
        <v/>
      </c>
      <c r="AW6" s="232">
        <f>IF($B6="","",IF($D6="Theo ngày",SUMIFS('CHAM_CONG_NGAY'!$T$6:$T$4655,'CHAM_CONG_NGAY'!$B$6:$B$4655,$B6,'CHAM_CONG_NGAY'!$C$6:$C$4655,"&gt;="&amp;'THAM_SO'!$B$6,'CHAM_CONG_NGAY'!$C$6:$C$4655,"&lt;="&amp;'THAM_SO'!$B$7),$AQ6))</f>
        <v/>
      </c>
    </row>
    <row r="7">
      <c r="A7" s="145">
        <f>IF($B7="","",ROW()-5)</f>
        <v/>
      </c>
      <c r="B7" s="145">
        <f>IF('DM_NHAN_SU'!B7="","",'DM_NHAN_SU'!B7)</f>
        <v/>
      </c>
      <c r="C7" s="145">
        <f>IF('DM_NHAN_SU'!B7="","",'DM_NHAN_SU'!C7)</f>
        <v/>
      </c>
      <c r="D7" s="127" t="n"/>
      <c r="E7" s="227" t="n"/>
      <c r="F7" s="227" t="n"/>
      <c r="G7" s="227" t="n"/>
      <c r="H7" s="227" t="n"/>
      <c r="I7" s="227" t="n"/>
      <c r="J7" s="227" t="n"/>
      <c r="K7" s="227" t="n"/>
      <c r="L7" s="227" t="n"/>
      <c r="M7" s="227" t="n"/>
      <c r="N7" s="227" t="n"/>
      <c r="O7" s="222" t="n"/>
      <c r="P7" s="222" t="n"/>
      <c r="Q7" s="222" t="n"/>
      <c r="R7" s="222" t="n"/>
      <c r="S7" s="222" t="n"/>
      <c r="T7" s="222" t="n"/>
      <c r="U7" s="222" t="n"/>
      <c r="V7" s="222" t="n"/>
      <c r="W7" s="222" t="n"/>
      <c r="X7" s="222" t="n"/>
      <c r="Y7" s="222" t="n"/>
      <c r="Z7" s="222" t="n"/>
      <c r="AA7" s="127" t="n"/>
      <c r="AB7" s="127" t="n"/>
      <c r="AC7" s="232">
        <f>IF($B7="","",IF($D7="Theo ngày",SUMIFS('CHAM_CONG_NGAY'!$E$6:$E$4655,'CHAM_CONG_NGAY'!$B$6:$B$4655,$B7,'CHAM_CONG_NGAY'!$C$6:$C$4655,"&gt;="&amp;'THAM_SO'!$B$6,'CHAM_CONG_NGAY'!$C$6:$C$4655,"&lt;="&amp;'THAM_SO'!$B$7),$E7))</f>
        <v/>
      </c>
      <c r="AD7" s="232">
        <f>IF($B7="","",IF($D7="Theo ngày",SUMIFS('CHAM_CONG_NGAY'!$F$6:$F$4655,'CHAM_CONG_NGAY'!$B$6:$B$4655,$B7,'CHAM_CONG_NGAY'!$C$6:$C$4655,"&gt;="&amp;'THAM_SO'!$B$6,'CHAM_CONG_NGAY'!$C$6:$C$4655,"&lt;="&amp;'THAM_SO'!$B$7),$F7))</f>
        <v/>
      </c>
      <c r="AE7" s="232">
        <f>IF($B7="","",IF($D7="Theo ngày",SUMIFS('CHAM_CONG_NGAY'!$G$6:$G$4655,'CHAM_CONG_NGAY'!$B$6:$B$4655,$B7,'CHAM_CONG_NGAY'!$C$6:$C$4655,"&gt;="&amp;'THAM_SO'!$B$6,'CHAM_CONG_NGAY'!$C$6:$C$4655,"&lt;="&amp;'THAM_SO'!$B$7),$G7))</f>
        <v/>
      </c>
      <c r="AF7" s="232">
        <f>IF($B7="","",IF($D7="Theo ngày",SUMIFS('CHAM_CONG_NGAY'!$H$6:$H$4655,'CHAM_CONG_NGAY'!$B$6:$B$4655,$B7,'CHAM_CONG_NGAY'!$C$6:$C$4655,"&gt;="&amp;'THAM_SO'!$B$6,'CHAM_CONG_NGAY'!$C$6:$C$4655,"&lt;="&amp;'THAM_SO'!$B$7),$H7))</f>
        <v/>
      </c>
      <c r="AG7" s="232">
        <f>IF($B7="","",IF($D7="Theo ngày",SUMIFS('CHAM_CONG_NGAY'!$I$6:$I$4655,'CHAM_CONG_NGAY'!$B$6:$B$4655,$B7,'CHAM_CONG_NGAY'!$C$6:$C$4655,"&gt;="&amp;'THAM_SO'!$B$6,'CHAM_CONG_NGAY'!$C$6:$C$4655,"&lt;="&amp;'THAM_SO'!$B$7),$I7))</f>
        <v/>
      </c>
      <c r="AH7" s="232">
        <f>IF($B7="","",IF($D7="Theo ngày",SUMIFS('CHAM_CONG_NGAY'!$J$6:$J$4655,'CHAM_CONG_NGAY'!$B$6:$B$4655,$B7,'CHAM_CONG_NGAY'!$C$6:$C$4655,"&gt;="&amp;'THAM_SO'!$B$6,'CHAM_CONG_NGAY'!$C$6:$C$4655,"&lt;="&amp;'THAM_SO'!$B$7),$J7))</f>
        <v/>
      </c>
      <c r="AI7" s="232">
        <f>IF($B7="","",IF($D7="Theo ngày",SUMIFS('CHAM_CONG_NGAY'!$K$6:$K$4655,'CHAM_CONG_NGAY'!$B$6:$B$4655,$B7,'CHAM_CONG_NGAY'!$C$6:$C$4655,"&gt;="&amp;'THAM_SO'!$B$6,'CHAM_CONG_NGAY'!$C$6:$C$4655,"&lt;="&amp;'THAM_SO'!$B$7),$K7))</f>
        <v/>
      </c>
      <c r="AJ7" s="232">
        <f>IF($B7="","",IF($D7="Theo ngày",SUMIFS('CHAM_CONG_NGAY'!$L$6:$L$4655,'CHAM_CONG_NGAY'!$B$6:$B$4655,$B7,'CHAM_CONG_NGAY'!$C$6:$C$4655,"&gt;="&amp;'THAM_SO'!$B$6,'CHAM_CONG_NGAY'!$C$6:$C$4655,"&lt;="&amp;'THAM_SO'!$B$7),$L7))</f>
        <v/>
      </c>
      <c r="AK7" s="232">
        <f>IF($B7="","",IF($D7="Theo ngày",SUMIFS('CHAM_CONG_NGAY'!$M$6:$M$4655,'CHAM_CONG_NGAY'!$B$6:$B$4655,$B7,'CHAM_CONG_NGAY'!$C$6:$C$4655,"&gt;="&amp;'THAM_SO'!$B$6,'CHAM_CONG_NGAY'!$C$6:$C$4655,"&lt;="&amp;'THAM_SO'!$B$7),$M7))</f>
        <v/>
      </c>
      <c r="AL7" s="227" t="n"/>
      <c r="AM7" s="227" t="n"/>
      <c r="AN7" s="227" t="n"/>
      <c r="AO7" s="227" t="n"/>
      <c r="AP7" s="227" t="n"/>
      <c r="AQ7" s="227" t="n"/>
      <c r="AR7" s="232">
        <f>IF($B7="","",IF($D7="Theo ngày",SUMIFS('CHAM_CONG_NGAY'!$O$6:$O$4655,'CHAM_CONG_NGAY'!$B$6:$B$4655,$B7,'CHAM_CONG_NGAY'!$C$6:$C$4655,"&gt;="&amp;'THAM_SO'!$B$6,'CHAM_CONG_NGAY'!$C$6:$C$4655,"&lt;="&amp;'THAM_SO'!$B$7),$AL7))</f>
        <v/>
      </c>
      <c r="AS7" s="232">
        <f>IF($B7="","",IF($D7="Theo ngày",SUMIFS('CHAM_CONG_NGAY'!$P$6:$P$4655,'CHAM_CONG_NGAY'!$B$6:$B$4655,$B7,'CHAM_CONG_NGAY'!$C$6:$C$4655,"&gt;="&amp;'THAM_SO'!$B$6,'CHAM_CONG_NGAY'!$C$6:$C$4655,"&lt;="&amp;'THAM_SO'!$B$7),$AM7))</f>
        <v/>
      </c>
      <c r="AT7" s="232">
        <f>IF($B7="","",IF($D7="Theo ngày",SUMIFS('CHAM_CONG_NGAY'!$Q$6:$Q$4655,'CHAM_CONG_NGAY'!$B$6:$B$4655,$B7,'CHAM_CONG_NGAY'!$C$6:$C$4655,"&gt;="&amp;'THAM_SO'!$B$6,'CHAM_CONG_NGAY'!$C$6:$C$4655,"&lt;="&amp;'THAM_SO'!$B$7),$AN7))</f>
        <v/>
      </c>
      <c r="AU7" s="232">
        <f>IF($B7="","",IF($D7="Theo ngày",SUMIFS('CHAM_CONG_NGAY'!$R$6:$R$4655,'CHAM_CONG_NGAY'!$B$6:$B$4655,$B7,'CHAM_CONG_NGAY'!$C$6:$C$4655,"&gt;="&amp;'THAM_SO'!$B$6,'CHAM_CONG_NGAY'!$C$6:$C$4655,"&lt;="&amp;'THAM_SO'!$B$7),$AO7))</f>
        <v/>
      </c>
      <c r="AV7" s="232">
        <f>IF($B7="","",IF($D7="Theo ngày",SUMIFS('CHAM_CONG_NGAY'!$S$6:$S$4655,'CHAM_CONG_NGAY'!$B$6:$B$4655,$B7,'CHAM_CONG_NGAY'!$C$6:$C$4655,"&gt;="&amp;'THAM_SO'!$B$6,'CHAM_CONG_NGAY'!$C$6:$C$4655,"&lt;="&amp;'THAM_SO'!$B$7),$AP7))</f>
        <v/>
      </c>
      <c r="AW7" s="232">
        <f>IF($B7="","",IF($D7="Theo ngày",SUMIFS('CHAM_CONG_NGAY'!$T$6:$T$4655,'CHAM_CONG_NGAY'!$B$6:$B$4655,$B7,'CHAM_CONG_NGAY'!$C$6:$C$4655,"&gt;="&amp;'THAM_SO'!$B$6,'CHAM_CONG_NGAY'!$C$6:$C$4655,"&lt;="&amp;'THAM_SO'!$B$7),$AQ7))</f>
        <v/>
      </c>
    </row>
    <row r="8">
      <c r="A8" s="145">
        <f>IF($B8="","",ROW()-5)</f>
        <v/>
      </c>
      <c r="B8" s="145">
        <f>IF('DM_NHAN_SU'!B8="","",'DM_NHAN_SU'!B8)</f>
        <v/>
      </c>
      <c r="C8" s="145">
        <f>IF('DM_NHAN_SU'!B8="","",'DM_NHAN_SU'!C8)</f>
        <v/>
      </c>
      <c r="D8" s="127" t="n"/>
      <c r="E8" s="227" t="n"/>
      <c r="F8" s="227" t="n"/>
      <c r="G8" s="227" t="n"/>
      <c r="H8" s="227" t="n"/>
      <c r="I8" s="227" t="n"/>
      <c r="J8" s="227" t="n"/>
      <c r="K8" s="227" t="n"/>
      <c r="L8" s="227" t="n"/>
      <c r="M8" s="227" t="n"/>
      <c r="N8" s="227" t="n"/>
      <c r="O8" s="222" t="n"/>
      <c r="P8" s="222" t="n"/>
      <c r="Q8" s="222" t="n"/>
      <c r="R8" s="222" t="n"/>
      <c r="S8" s="222" t="n"/>
      <c r="T8" s="222" t="n"/>
      <c r="U8" s="222" t="n"/>
      <c r="V8" s="222" t="n"/>
      <c r="W8" s="222" t="n"/>
      <c r="X8" s="222" t="n"/>
      <c r="Y8" s="222" t="n"/>
      <c r="Z8" s="222" t="n"/>
      <c r="AA8" s="127" t="n"/>
      <c r="AB8" s="127" t="n"/>
      <c r="AC8" s="232">
        <f>IF($B8="","",IF($D8="Theo ngày",SUMIFS('CHAM_CONG_NGAY'!$E$6:$E$4655,'CHAM_CONG_NGAY'!$B$6:$B$4655,$B8,'CHAM_CONG_NGAY'!$C$6:$C$4655,"&gt;="&amp;'THAM_SO'!$B$6,'CHAM_CONG_NGAY'!$C$6:$C$4655,"&lt;="&amp;'THAM_SO'!$B$7),$E8))</f>
        <v/>
      </c>
      <c r="AD8" s="232">
        <f>IF($B8="","",IF($D8="Theo ngày",SUMIFS('CHAM_CONG_NGAY'!$F$6:$F$4655,'CHAM_CONG_NGAY'!$B$6:$B$4655,$B8,'CHAM_CONG_NGAY'!$C$6:$C$4655,"&gt;="&amp;'THAM_SO'!$B$6,'CHAM_CONG_NGAY'!$C$6:$C$4655,"&lt;="&amp;'THAM_SO'!$B$7),$F8))</f>
        <v/>
      </c>
      <c r="AE8" s="232">
        <f>IF($B8="","",IF($D8="Theo ngày",SUMIFS('CHAM_CONG_NGAY'!$G$6:$G$4655,'CHAM_CONG_NGAY'!$B$6:$B$4655,$B8,'CHAM_CONG_NGAY'!$C$6:$C$4655,"&gt;="&amp;'THAM_SO'!$B$6,'CHAM_CONG_NGAY'!$C$6:$C$4655,"&lt;="&amp;'THAM_SO'!$B$7),$G8))</f>
        <v/>
      </c>
      <c r="AF8" s="232">
        <f>IF($B8="","",IF($D8="Theo ngày",SUMIFS('CHAM_CONG_NGAY'!$H$6:$H$4655,'CHAM_CONG_NGAY'!$B$6:$B$4655,$B8,'CHAM_CONG_NGAY'!$C$6:$C$4655,"&gt;="&amp;'THAM_SO'!$B$6,'CHAM_CONG_NGAY'!$C$6:$C$4655,"&lt;="&amp;'THAM_SO'!$B$7),$H8))</f>
        <v/>
      </c>
      <c r="AG8" s="232">
        <f>IF($B8="","",IF($D8="Theo ngày",SUMIFS('CHAM_CONG_NGAY'!$I$6:$I$4655,'CHAM_CONG_NGAY'!$B$6:$B$4655,$B8,'CHAM_CONG_NGAY'!$C$6:$C$4655,"&gt;="&amp;'THAM_SO'!$B$6,'CHAM_CONG_NGAY'!$C$6:$C$4655,"&lt;="&amp;'THAM_SO'!$B$7),$I8))</f>
        <v/>
      </c>
      <c r="AH8" s="232">
        <f>IF($B8="","",IF($D8="Theo ngày",SUMIFS('CHAM_CONG_NGAY'!$J$6:$J$4655,'CHAM_CONG_NGAY'!$B$6:$B$4655,$B8,'CHAM_CONG_NGAY'!$C$6:$C$4655,"&gt;="&amp;'THAM_SO'!$B$6,'CHAM_CONG_NGAY'!$C$6:$C$4655,"&lt;="&amp;'THAM_SO'!$B$7),$J8))</f>
        <v/>
      </c>
      <c r="AI8" s="232">
        <f>IF($B8="","",IF($D8="Theo ngày",SUMIFS('CHAM_CONG_NGAY'!$K$6:$K$4655,'CHAM_CONG_NGAY'!$B$6:$B$4655,$B8,'CHAM_CONG_NGAY'!$C$6:$C$4655,"&gt;="&amp;'THAM_SO'!$B$6,'CHAM_CONG_NGAY'!$C$6:$C$4655,"&lt;="&amp;'THAM_SO'!$B$7),$K8))</f>
        <v/>
      </c>
      <c r="AJ8" s="232">
        <f>IF($B8="","",IF($D8="Theo ngày",SUMIFS('CHAM_CONG_NGAY'!$L$6:$L$4655,'CHAM_CONG_NGAY'!$B$6:$B$4655,$B8,'CHAM_CONG_NGAY'!$C$6:$C$4655,"&gt;="&amp;'THAM_SO'!$B$6,'CHAM_CONG_NGAY'!$C$6:$C$4655,"&lt;="&amp;'THAM_SO'!$B$7),$L8))</f>
        <v/>
      </c>
      <c r="AK8" s="232">
        <f>IF($B8="","",IF($D8="Theo ngày",SUMIFS('CHAM_CONG_NGAY'!$M$6:$M$4655,'CHAM_CONG_NGAY'!$B$6:$B$4655,$B8,'CHAM_CONG_NGAY'!$C$6:$C$4655,"&gt;="&amp;'THAM_SO'!$B$6,'CHAM_CONG_NGAY'!$C$6:$C$4655,"&lt;="&amp;'THAM_SO'!$B$7),$M8))</f>
        <v/>
      </c>
      <c r="AL8" s="227" t="n"/>
      <c r="AM8" s="227" t="n"/>
      <c r="AN8" s="227" t="n"/>
      <c r="AO8" s="227" t="n"/>
      <c r="AP8" s="227" t="n"/>
      <c r="AQ8" s="227" t="n"/>
      <c r="AR8" s="232">
        <f>IF($B8="","",IF($D8="Theo ngày",SUMIFS('CHAM_CONG_NGAY'!$O$6:$O$4655,'CHAM_CONG_NGAY'!$B$6:$B$4655,$B8,'CHAM_CONG_NGAY'!$C$6:$C$4655,"&gt;="&amp;'THAM_SO'!$B$6,'CHAM_CONG_NGAY'!$C$6:$C$4655,"&lt;="&amp;'THAM_SO'!$B$7),$AL8))</f>
        <v/>
      </c>
      <c r="AS8" s="232">
        <f>IF($B8="","",IF($D8="Theo ngày",SUMIFS('CHAM_CONG_NGAY'!$P$6:$P$4655,'CHAM_CONG_NGAY'!$B$6:$B$4655,$B8,'CHAM_CONG_NGAY'!$C$6:$C$4655,"&gt;="&amp;'THAM_SO'!$B$6,'CHAM_CONG_NGAY'!$C$6:$C$4655,"&lt;="&amp;'THAM_SO'!$B$7),$AM8))</f>
        <v/>
      </c>
      <c r="AT8" s="232">
        <f>IF($B8="","",IF($D8="Theo ngày",SUMIFS('CHAM_CONG_NGAY'!$Q$6:$Q$4655,'CHAM_CONG_NGAY'!$B$6:$B$4655,$B8,'CHAM_CONG_NGAY'!$C$6:$C$4655,"&gt;="&amp;'THAM_SO'!$B$6,'CHAM_CONG_NGAY'!$C$6:$C$4655,"&lt;="&amp;'THAM_SO'!$B$7),$AN8))</f>
        <v/>
      </c>
      <c r="AU8" s="232">
        <f>IF($B8="","",IF($D8="Theo ngày",SUMIFS('CHAM_CONG_NGAY'!$R$6:$R$4655,'CHAM_CONG_NGAY'!$B$6:$B$4655,$B8,'CHAM_CONG_NGAY'!$C$6:$C$4655,"&gt;="&amp;'THAM_SO'!$B$6,'CHAM_CONG_NGAY'!$C$6:$C$4655,"&lt;="&amp;'THAM_SO'!$B$7),$AO8))</f>
        <v/>
      </c>
      <c r="AV8" s="232">
        <f>IF($B8="","",IF($D8="Theo ngày",SUMIFS('CHAM_CONG_NGAY'!$S$6:$S$4655,'CHAM_CONG_NGAY'!$B$6:$B$4655,$B8,'CHAM_CONG_NGAY'!$C$6:$C$4655,"&gt;="&amp;'THAM_SO'!$B$6,'CHAM_CONG_NGAY'!$C$6:$C$4655,"&lt;="&amp;'THAM_SO'!$B$7),$AP8))</f>
        <v/>
      </c>
      <c r="AW8" s="232">
        <f>IF($B8="","",IF($D8="Theo ngày",SUMIFS('CHAM_CONG_NGAY'!$T$6:$T$4655,'CHAM_CONG_NGAY'!$B$6:$B$4655,$B8,'CHAM_CONG_NGAY'!$C$6:$C$4655,"&gt;="&amp;'THAM_SO'!$B$6,'CHAM_CONG_NGAY'!$C$6:$C$4655,"&lt;="&amp;'THAM_SO'!$B$7),$AQ8))</f>
        <v/>
      </c>
    </row>
    <row r="9">
      <c r="A9" s="145">
        <f>IF($B9="","",ROW()-5)</f>
        <v/>
      </c>
      <c r="B9" s="145">
        <f>IF('DM_NHAN_SU'!B9="","",'DM_NHAN_SU'!B9)</f>
        <v/>
      </c>
      <c r="C9" s="145">
        <f>IF('DM_NHAN_SU'!B9="","",'DM_NHAN_SU'!C9)</f>
        <v/>
      </c>
      <c r="D9" s="127" t="n"/>
      <c r="E9" s="227" t="n"/>
      <c r="F9" s="227" t="n"/>
      <c r="G9" s="227" t="n"/>
      <c r="H9" s="227" t="n"/>
      <c r="I9" s="227" t="n"/>
      <c r="J9" s="227" t="n"/>
      <c r="K9" s="227" t="n"/>
      <c r="L9" s="227" t="n"/>
      <c r="M9" s="227" t="n"/>
      <c r="N9" s="227" t="n"/>
      <c r="O9" s="222" t="n"/>
      <c r="P9" s="222" t="n"/>
      <c r="Q9" s="222" t="n"/>
      <c r="R9" s="222" t="n"/>
      <c r="S9" s="222" t="n"/>
      <c r="T9" s="222" t="n"/>
      <c r="U9" s="222" t="n"/>
      <c r="V9" s="222" t="n"/>
      <c r="W9" s="222" t="n"/>
      <c r="X9" s="222" t="n"/>
      <c r="Y9" s="222" t="n"/>
      <c r="Z9" s="222" t="n"/>
      <c r="AA9" s="127" t="n"/>
      <c r="AB9" s="127" t="n"/>
      <c r="AC9" s="232">
        <f>IF($B9="","",IF($D9="Theo ngày",SUMIFS('CHAM_CONG_NGAY'!$E$6:$E$4655,'CHAM_CONG_NGAY'!$B$6:$B$4655,$B9,'CHAM_CONG_NGAY'!$C$6:$C$4655,"&gt;="&amp;'THAM_SO'!$B$6,'CHAM_CONG_NGAY'!$C$6:$C$4655,"&lt;="&amp;'THAM_SO'!$B$7),$E9))</f>
        <v/>
      </c>
      <c r="AD9" s="232">
        <f>IF($B9="","",IF($D9="Theo ngày",SUMIFS('CHAM_CONG_NGAY'!$F$6:$F$4655,'CHAM_CONG_NGAY'!$B$6:$B$4655,$B9,'CHAM_CONG_NGAY'!$C$6:$C$4655,"&gt;="&amp;'THAM_SO'!$B$6,'CHAM_CONG_NGAY'!$C$6:$C$4655,"&lt;="&amp;'THAM_SO'!$B$7),$F9))</f>
        <v/>
      </c>
      <c r="AE9" s="232">
        <f>IF($B9="","",IF($D9="Theo ngày",SUMIFS('CHAM_CONG_NGAY'!$G$6:$G$4655,'CHAM_CONG_NGAY'!$B$6:$B$4655,$B9,'CHAM_CONG_NGAY'!$C$6:$C$4655,"&gt;="&amp;'THAM_SO'!$B$6,'CHAM_CONG_NGAY'!$C$6:$C$4655,"&lt;="&amp;'THAM_SO'!$B$7),$G9))</f>
        <v/>
      </c>
      <c r="AF9" s="232">
        <f>IF($B9="","",IF($D9="Theo ngày",SUMIFS('CHAM_CONG_NGAY'!$H$6:$H$4655,'CHAM_CONG_NGAY'!$B$6:$B$4655,$B9,'CHAM_CONG_NGAY'!$C$6:$C$4655,"&gt;="&amp;'THAM_SO'!$B$6,'CHAM_CONG_NGAY'!$C$6:$C$4655,"&lt;="&amp;'THAM_SO'!$B$7),$H9))</f>
        <v/>
      </c>
      <c r="AG9" s="232">
        <f>IF($B9="","",IF($D9="Theo ngày",SUMIFS('CHAM_CONG_NGAY'!$I$6:$I$4655,'CHAM_CONG_NGAY'!$B$6:$B$4655,$B9,'CHAM_CONG_NGAY'!$C$6:$C$4655,"&gt;="&amp;'THAM_SO'!$B$6,'CHAM_CONG_NGAY'!$C$6:$C$4655,"&lt;="&amp;'THAM_SO'!$B$7),$I9))</f>
        <v/>
      </c>
      <c r="AH9" s="232">
        <f>IF($B9="","",IF($D9="Theo ngày",SUMIFS('CHAM_CONG_NGAY'!$J$6:$J$4655,'CHAM_CONG_NGAY'!$B$6:$B$4655,$B9,'CHAM_CONG_NGAY'!$C$6:$C$4655,"&gt;="&amp;'THAM_SO'!$B$6,'CHAM_CONG_NGAY'!$C$6:$C$4655,"&lt;="&amp;'THAM_SO'!$B$7),$J9))</f>
        <v/>
      </c>
      <c r="AI9" s="232">
        <f>IF($B9="","",IF($D9="Theo ngày",SUMIFS('CHAM_CONG_NGAY'!$K$6:$K$4655,'CHAM_CONG_NGAY'!$B$6:$B$4655,$B9,'CHAM_CONG_NGAY'!$C$6:$C$4655,"&gt;="&amp;'THAM_SO'!$B$6,'CHAM_CONG_NGAY'!$C$6:$C$4655,"&lt;="&amp;'THAM_SO'!$B$7),$K9))</f>
        <v/>
      </c>
      <c r="AJ9" s="232">
        <f>IF($B9="","",IF($D9="Theo ngày",SUMIFS('CHAM_CONG_NGAY'!$L$6:$L$4655,'CHAM_CONG_NGAY'!$B$6:$B$4655,$B9,'CHAM_CONG_NGAY'!$C$6:$C$4655,"&gt;="&amp;'THAM_SO'!$B$6,'CHAM_CONG_NGAY'!$C$6:$C$4655,"&lt;="&amp;'THAM_SO'!$B$7),$L9))</f>
        <v/>
      </c>
      <c r="AK9" s="232">
        <f>IF($B9="","",IF($D9="Theo ngày",SUMIFS('CHAM_CONG_NGAY'!$M$6:$M$4655,'CHAM_CONG_NGAY'!$B$6:$B$4655,$B9,'CHAM_CONG_NGAY'!$C$6:$C$4655,"&gt;="&amp;'THAM_SO'!$B$6,'CHAM_CONG_NGAY'!$C$6:$C$4655,"&lt;="&amp;'THAM_SO'!$B$7),$M9))</f>
        <v/>
      </c>
      <c r="AL9" s="227" t="n"/>
      <c r="AM9" s="227" t="n"/>
      <c r="AN9" s="227" t="n"/>
      <c r="AO9" s="227" t="n"/>
      <c r="AP9" s="227" t="n"/>
      <c r="AQ9" s="227" t="n"/>
      <c r="AR9" s="232">
        <f>IF($B9="","",IF($D9="Theo ngày",SUMIFS('CHAM_CONG_NGAY'!$O$6:$O$4655,'CHAM_CONG_NGAY'!$B$6:$B$4655,$B9,'CHAM_CONG_NGAY'!$C$6:$C$4655,"&gt;="&amp;'THAM_SO'!$B$6,'CHAM_CONG_NGAY'!$C$6:$C$4655,"&lt;="&amp;'THAM_SO'!$B$7),$AL9))</f>
        <v/>
      </c>
      <c r="AS9" s="232">
        <f>IF($B9="","",IF($D9="Theo ngày",SUMIFS('CHAM_CONG_NGAY'!$P$6:$P$4655,'CHAM_CONG_NGAY'!$B$6:$B$4655,$B9,'CHAM_CONG_NGAY'!$C$6:$C$4655,"&gt;="&amp;'THAM_SO'!$B$6,'CHAM_CONG_NGAY'!$C$6:$C$4655,"&lt;="&amp;'THAM_SO'!$B$7),$AM9))</f>
        <v/>
      </c>
      <c r="AT9" s="232">
        <f>IF($B9="","",IF($D9="Theo ngày",SUMIFS('CHAM_CONG_NGAY'!$Q$6:$Q$4655,'CHAM_CONG_NGAY'!$B$6:$B$4655,$B9,'CHAM_CONG_NGAY'!$C$6:$C$4655,"&gt;="&amp;'THAM_SO'!$B$6,'CHAM_CONG_NGAY'!$C$6:$C$4655,"&lt;="&amp;'THAM_SO'!$B$7),$AN9))</f>
        <v/>
      </c>
      <c r="AU9" s="232">
        <f>IF($B9="","",IF($D9="Theo ngày",SUMIFS('CHAM_CONG_NGAY'!$R$6:$R$4655,'CHAM_CONG_NGAY'!$B$6:$B$4655,$B9,'CHAM_CONG_NGAY'!$C$6:$C$4655,"&gt;="&amp;'THAM_SO'!$B$6,'CHAM_CONG_NGAY'!$C$6:$C$4655,"&lt;="&amp;'THAM_SO'!$B$7),$AO9))</f>
        <v/>
      </c>
      <c r="AV9" s="232">
        <f>IF($B9="","",IF($D9="Theo ngày",SUMIFS('CHAM_CONG_NGAY'!$S$6:$S$4655,'CHAM_CONG_NGAY'!$B$6:$B$4655,$B9,'CHAM_CONG_NGAY'!$C$6:$C$4655,"&gt;="&amp;'THAM_SO'!$B$6,'CHAM_CONG_NGAY'!$C$6:$C$4655,"&lt;="&amp;'THAM_SO'!$B$7),$AP9))</f>
        <v/>
      </c>
      <c r="AW9" s="232">
        <f>IF($B9="","",IF($D9="Theo ngày",SUMIFS('CHAM_CONG_NGAY'!$T$6:$T$4655,'CHAM_CONG_NGAY'!$B$6:$B$4655,$B9,'CHAM_CONG_NGAY'!$C$6:$C$4655,"&gt;="&amp;'THAM_SO'!$B$6,'CHAM_CONG_NGAY'!$C$6:$C$4655,"&lt;="&amp;'THAM_SO'!$B$7),$AQ9))</f>
        <v/>
      </c>
    </row>
    <row r="10">
      <c r="A10" s="145">
        <f>IF($B10="","",ROW()-5)</f>
        <v/>
      </c>
      <c r="B10" s="145">
        <f>IF('DM_NHAN_SU'!B10="","",'DM_NHAN_SU'!B10)</f>
        <v/>
      </c>
      <c r="C10" s="145">
        <f>IF('DM_NHAN_SU'!B10="","",'DM_NHAN_SU'!C10)</f>
        <v/>
      </c>
      <c r="D10" s="127" t="n"/>
      <c r="E10" s="227" t="n"/>
      <c r="F10" s="227" t="n"/>
      <c r="G10" s="227" t="n"/>
      <c r="H10" s="227" t="n"/>
      <c r="I10" s="227" t="n"/>
      <c r="J10" s="227" t="n"/>
      <c r="K10" s="227" t="n"/>
      <c r="L10" s="227" t="n"/>
      <c r="M10" s="227" t="n"/>
      <c r="N10" s="227" t="n"/>
      <c r="O10" s="222" t="n"/>
      <c r="P10" s="222" t="n"/>
      <c r="Q10" s="222" t="n"/>
      <c r="R10" s="222" t="n"/>
      <c r="S10" s="222" t="n"/>
      <c r="T10" s="222" t="n"/>
      <c r="U10" s="222" t="n"/>
      <c r="V10" s="222" t="n"/>
      <c r="W10" s="222" t="n"/>
      <c r="X10" s="222" t="n"/>
      <c r="Y10" s="222" t="n"/>
      <c r="Z10" s="222" t="n"/>
      <c r="AA10" s="127" t="n"/>
      <c r="AB10" s="127" t="n"/>
      <c r="AC10" s="232">
        <f>IF($B10="","",IF($D10="Theo ngày",SUMIFS('CHAM_CONG_NGAY'!$E$6:$E$4655,'CHAM_CONG_NGAY'!$B$6:$B$4655,$B10,'CHAM_CONG_NGAY'!$C$6:$C$4655,"&gt;="&amp;'THAM_SO'!$B$6,'CHAM_CONG_NGAY'!$C$6:$C$4655,"&lt;="&amp;'THAM_SO'!$B$7),$E10))</f>
        <v/>
      </c>
      <c r="AD10" s="232">
        <f>IF($B10="","",IF($D10="Theo ngày",SUMIFS('CHAM_CONG_NGAY'!$F$6:$F$4655,'CHAM_CONG_NGAY'!$B$6:$B$4655,$B10,'CHAM_CONG_NGAY'!$C$6:$C$4655,"&gt;="&amp;'THAM_SO'!$B$6,'CHAM_CONG_NGAY'!$C$6:$C$4655,"&lt;="&amp;'THAM_SO'!$B$7),$F10))</f>
        <v/>
      </c>
      <c r="AE10" s="232">
        <f>IF($B10="","",IF($D10="Theo ngày",SUMIFS('CHAM_CONG_NGAY'!$G$6:$G$4655,'CHAM_CONG_NGAY'!$B$6:$B$4655,$B10,'CHAM_CONG_NGAY'!$C$6:$C$4655,"&gt;="&amp;'THAM_SO'!$B$6,'CHAM_CONG_NGAY'!$C$6:$C$4655,"&lt;="&amp;'THAM_SO'!$B$7),$G10))</f>
        <v/>
      </c>
      <c r="AF10" s="232">
        <f>IF($B10="","",IF($D10="Theo ngày",SUMIFS('CHAM_CONG_NGAY'!$H$6:$H$4655,'CHAM_CONG_NGAY'!$B$6:$B$4655,$B10,'CHAM_CONG_NGAY'!$C$6:$C$4655,"&gt;="&amp;'THAM_SO'!$B$6,'CHAM_CONG_NGAY'!$C$6:$C$4655,"&lt;="&amp;'THAM_SO'!$B$7),$H10))</f>
        <v/>
      </c>
      <c r="AG10" s="232">
        <f>IF($B10="","",IF($D10="Theo ngày",SUMIFS('CHAM_CONG_NGAY'!$I$6:$I$4655,'CHAM_CONG_NGAY'!$B$6:$B$4655,$B10,'CHAM_CONG_NGAY'!$C$6:$C$4655,"&gt;="&amp;'THAM_SO'!$B$6,'CHAM_CONG_NGAY'!$C$6:$C$4655,"&lt;="&amp;'THAM_SO'!$B$7),$I10))</f>
        <v/>
      </c>
      <c r="AH10" s="232">
        <f>IF($B10="","",IF($D10="Theo ngày",SUMIFS('CHAM_CONG_NGAY'!$J$6:$J$4655,'CHAM_CONG_NGAY'!$B$6:$B$4655,$B10,'CHAM_CONG_NGAY'!$C$6:$C$4655,"&gt;="&amp;'THAM_SO'!$B$6,'CHAM_CONG_NGAY'!$C$6:$C$4655,"&lt;="&amp;'THAM_SO'!$B$7),$J10))</f>
        <v/>
      </c>
      <c r="AI10" s="232">
        <f>IF($B10="","",IF($D10="Theo ngày",SUMIFS('CHAM_CONG_NGAY'!$K$6:$K$4655,'CHAM_CONG_NGAY'!$B$6:$B$4655,$B10,'CHAM_CONG_NGAY'!$C$6:$C$4655,"&gt;="&amp;'THAM_SO'!$B$6,'CHAM_CONG_NGAY'!$C$6:$C$4655,"&lt;="&amp;'THAM_SO'!$B$7),$K10))</f>
        <v/>
      </c>
      <c r="AJ10" s="232">
        <f>IF($B10="","",IF($D10="Theo ngày",SUMIFS('CHAM_CONG_NGAY'!$L$6:$L$4655,'CHAM_CONG_NGAY'!$B$6:$B$4655,$B10,'CHAM_CONG_NGAY'!$C$6:$C$4655,"&gt;="&amp;'THAM_SO'!$B$6,'CHAM_CONG_NGAY'!$C$6:$C$4655,"&lt;="&amp;'THAM_SO'!$B$7),$L10))</f>
        <v/>
      </c>
      <c r="AK10" s="232">
        <f>IF($B10="","",IF($D10="Theo ngày",SUMIFS('CHAM_CONG_NGAY'!$M$6:$M$4655,'CHAM_CONG_NGAY'!$B$6:$B$4655,$B10,'CHAM_CONG_NGAY'!$C$6:$C$4655,"&gt;="&amp;'THAM_SO'!$B$6,'CHAM_CONG_NGAY'!$C$6:$C$4655,"&lt;="&amp;'THAM_SO'!$B$7),$M10))</f>
        <v/>
      </c>
      <c r="AL10" s="227" t="n"/>
      <c r="AM10" s="227" t="n"/>
      <c r="AN10" s="227" t="n"/>
      <c r="AO10" s="227" t="n"/>
      <c r="AP10" s="227" t="n"/>
      <c r="AQ10" s="227" t="n"/>
      <c r="AR10" s="232">
        <f>IF($B10="","",IF($D10="Theo ngày",SUMIFS('CHAM_CONG_NGAY'!$O$6:$O$4655,'CHAM_CONG_NGAY'!$B$6:$B$4655,$B10,'CHAM_CONG_NGAY'!$C$6:$C$4655,"&gt;="&amp;'THAM_SO'!$B$6,'CHAM_CONG_NGAY'!$C$6:$C$4655,"&lt;="&amp;'THAM_SO'!$B$7),$AL10))</f>
        <v/>
      </c>
      <c r="AS10" s="232">
        <f>IF($B10="","",IF($D10="Theo ngày",SUMIFS('CHAM_CONG_NGAY'!$P$6:$P$4655,'CHAM_CONG_NGAY'!$B$6:$B$4655,$B10,'CHAM_CONG_NGAY'!$C$6:$C$4655,"&gt;="&amp;'THAM_SO'!$B$6,'CHAM_CONG_NGAY'!$C$6:$C$4655,"&lt;="&amp;'THAM_SO'!$B$7),$AM10))</f>
        <v/>
      </c>
      <c r="AT10" s="232">
        <f>IF($B10="","",IF($D10="Theo ngày",SUMIFS('CHAM_CONG_NGAY'!$Q$6:$Q$4655,'CHAM_CONG_NGAY'!$B$6:$B$4655,$B10,'CHAM_CONG_NGAY'!$C$6:$C$4655,"&gt;="&amp;'THAM_SO'!$B$6,'CHAM_CONG_NGAY'!$C$6:$C$4655,"&lt;="&amp;'THAM_SO'!$B$7),$AN10))</f>
        <v/>
      </c>
      <c r="AU10" s="232">
        <f>IF($B10="","",IF($D10="Theo ngày",SUMIFS('CHAM_CONG_NGAY'!$R$6:$R$4655,'CHAM_CONG_NGAY'!$B$6:$B$4655,$B10,'CHAM_CONG_NGAY'!$C$6:$C$4655,"&gt;="&amp;'THAM_SO'!$B$6,'CHAM_CONG_NGAY'!$C$6:$C$4655,"&lt;="&amp;'THAM_SO'!$B$7),$AO10))</f>
        <v/>
      </c>
      <c r="AV10" s="232">
        <f>IF($B10="","",IF($D10="Theo ngày",SUMIFS('CHAM_CONG_NGAY'!$S$6:$S$4655,'CHAM_CONG_NGAY'!$B$6:$B$4655,$B10,'CHAM_CONG_NGAY'!$C$6:$C$4655,"&gt;="&amp;'THAM_SO'!$B$6,'CHAM_CONG_NGAY'!$C$6:$C$4655,"&lt;="&amp;'THAM_SO'!$B$7),$AP10))</f>
        <v/>
      </c>
      <c r="AW10" s="232">
        <f>IF($B10="","",IF($D10="Theo ngày",SUMIFS('CHAM_CONG_NGAY'!$T$6:$T$4655,'CHAM_CONG_NGAY'!$B$6:$B$4655,$B10,'CHAM_CONG_NGAY'!$C$6:$C$4655,"&gt;="&amp;'THAM_SO'!$B$6,'CHAM_CONG_NGAY'!$C$6:$C$4655,"&lt;="&amp;'THAM_SO'!$B$7),$AQ10))</f>
        <v/>
      </c>
    </row>
    <row r="11">
      <c r="A11" s="145">
        <f>IF($B11="","",ROW()-5)</f>
        <v/>
      </c>
      <c r="B11" s="145">
        <f>IF('DM_NHAN_SU'!B11="","",'DM_NHAN_SU'!B11)</f>
        <v/>
      </c>
      <c r="C11" s="145">
        <f>IF('DM_NHAN_SU'!B11="","",'DM_NHAN_SU'!C11)</f>
        <v/>
      </c>
      <c r="D11" s="127" t="n"/>
      <c r="E11" s="227" t="n"/>
      <c r="F11" s="227" t="n"/>
      <c r="G11" s="227" t="n"/>
      <c r="H11" s="227" t="n"/>
      <c r="I11" s="227" t="n"/>
      <c r="J11" s="227" t="n"/>
      <c r="K11" s="227" t="n"/>
      <c r="L11" s="227" t="n"/>
      <c r="M11" s="227" t="n"/>
      <c r="N11" s="227" t="n"/>
      <c r="O11" s="222" t="n"/>
      <c r="P11" s="222" t="n"/>
      <c r="Q11" s="222" t="n"/>
      <c r="R11" s="222" t="n"/>
      <c r="S11" s="222" t="n"/>
      <c r="T11" s="222" t="n"/>
      <c r="U11" s="222" t="n"/>
      <c r="V11" s="222" t="n"/>
      <c r="W11" s="222" t="n"/>
      <c r="X11" s="222" t="n"/>
      <c r="Y11" s="222" t="n"/>
      <c r="Z11" s="222" t="n"/>
      <c r="AA11" s="127" t="n"/>
      <c r="AB11" s="127" t="n"/>
      <c r="AC11" s="232">
        <f>IF($B11="","",IF($D11="Theo ngày",SUMIFS('CHAM_CONG_NGAY'!$E$6:$E$4655,'CHAM_CONG_NGAY'!$B$6:$B$4655,$B11,'CHAM_CONG_NGAY'!$C$6:$C$4655,"&gt;="&amp;'THAM_SO'!$B$6,'CHAM_CONG_NGAY'!$C$6:$C$4655,"&lt;="&amp;'THAM_SO'!$B$7),$E11))</f>
        <v/>
      </c>
      <c r="AD11" s="232">
        <f>IF($B11="","",IF($D11="Theo ngày",SUMIFS('CHAM_CONG_NGAY'!$F$6:$F$4655,'CHAM_CONG_NGAY'!$B$6:$B$4655,$B11,'CHAM_CONG_NGAY'!$C$6:$C$4655,"&gt;="&amp;'THAM_SO'!$B$6,'CHAM_CONG_NGAY'!$C$6:$C$4655,"&lt;="&amp;'THAM_SO'!$B$7),$F11))</f>
        <v/>
      </c>
      <c r="AE11" s="232">
        <f>IF($B11="","",IF($D11="Theo ngày",SUMIFS('CHAM_CONG_NGAY'!$G$6:$G$4655,'CHAM_CONG_NGAY'!$B$6:$B$4655,$B11,'CHAM_CONG_NGAY'!$C$6:$C$4655,"&gt;="&amp;'THAM_SO'!$B$6,'CHAM_CONG_NGAY'!$C$6:$C$4655,"&lt;="&amp;'THAM_SO'!$B$7),$G11))</f>
        <v/>
      </c>
      <c r="AF11" s="232">
        <f>IF($B11="","",IF($D11="Theo ngày",SUMIFS('CHAM_CONG_NGAY'!$H$6:$H$4655,'CHAM_CONG_NGAY'!$B$6:$B$4655,$B11,'CHAM_CONG_NGAY'!$C$6:$C$4655,"&gt;="&amp;'THAM_SO'!$B$6,'CHAM_CONG_NGAY'!$C$6:$C$4655,"&lt;="&amp;'THAM_SO'!$B$7),$H11))</f>
        <v/>
      </c>
      <c r="AG11" s="232">
        <f>IF($B11="","",IF($D11="Theo ngày",SUMIFS('CHAM_CONG_NGAY'!$I$6:$I$4655,'CHAM_CONG_NGAY'!$B$6:$B$4655,$B11,'CHAM_CONG_NGAY'!$C$6:$C$4655,"&gt;="&amp;'THAM_SO'!$B$6,'CHAM_CONG_NGAY'!$C$6:$C$4655,"&lt;="&amp;'THAM_SO'!$B$7),$I11))</f>
        <v/>
      </c>
      <c r="AH11" s="232">
        <f>IF($B11="","",IF($D11="Theo ngày",SUMIFS('CHAM_CONG_NGAY'!$J$6:$J$4655,'CHAM_CONG_NGAY'!$B$6:$B$4655,$B11,'CHAM_CONG_NGAY'!$C$6:$C$4655,"&gt;="&amp;'THAM_SO'!$B$6,'CHAM_CONG_NGAY'!$C$6:$C$4655,"&lt;="&amp;'THAM_SO'!$B$7),$J11))</f>
        <v/>
      </c>
      <c r="AI11" s="232">
        <f>IF($B11="","",IF($D11="Theo ngày",SUMIFS('CHAM_CONG_NGAY'!$K$6:$K$4655,'CHAM_CONG_NGAY'!$B$6:$B$4655,$B11,'CHAM_CONG_NGAY'!$C$6:$C$4655,"&gt;="&amp;'THAM_SO'!$B$6,'CHAM_CONG_NGAY'!$C$6:$C$4655,"&lt;="&amp;'THAM_SO'!$B$7),$K11))</f>
        <v/>
      </c>
      <c r="AJ11" s="232">
        <f>IF($B11="","",IF($D11="Theo ngày",SUMIFS('CHAM_CONG_NGAY'!$L$6:$L$4655,'CHAM_CONG_NGAY'!$B$6:$B$4655,$B11,'CHAM_CONG_NGAY'!$C$6:$C$4655,"&gt;="&amp;'THAM_SO'!$B$6,'CHAM_CONG_NGAY'!$C$6:$C$4655,"&lt;="&amp;'THAM_SO'!$B$7),$L11))</f>
        <v/>
      </c>
      <c r="AK11" s="232">
        <f>IF($B11="","",IF($D11="Theo ngày",SUMIFS('CHAM_CONG_NGAY'!$M$6:$M$4655,'CHAM_CONG_NGAY'!$B$6:$B$4655,$B11,'CHAM_CONG_NGAY'!$C$6:$C$4655,"&gt;="&amp;'THAM_SO'!$B$6,'CHAM_CONG_NGAY'!$C$6:$C$4655,"&lt;="&amp;'THAM_SO'!$B$7),$M11))</f>
        <v/>
      </c>
      <c r="AL11" s="227" t="n"/>
      <c r="AM11" s="227" t="n"/>
      <c r="AN11" s="227" t="n"/>
      <c r="AO11" s="227" t="n"/>
      <c r="AP11" s="227" t="n"/>
      <c r="AQ11" s="227" t="n"/>
      <c r="AR11" s="232">
        <f>IF($B11="","",IF($D11="Theo ngày",SUMIFS('CHAM_CONG_NGAY'!$O$6:$O$4655,'CHAM_CONG_NGAY'!$B$6:$B$4655,$B11,'CHAM_CONG_NGAY'!$C$6:$C$4655,"&gt;="&amp;'THAM_SO'!$B$6,'CHAM_CONG_NGAY'!$C$6:$C$4655,"&lt;="&amp;'THAM_SO'!$B$7),$AL11))</f>
        <v/>
      </c>
      <c r="AS11" s="232">
        <f>IF($B11="","",IF($D11="Theo ngày",SUMIFS('CHAM_CONG_NGAY'!$P$6:$P$4655,'CHAM_CONG_NGAY'!$B$6:$B$4655,$B11,'CHAM_CONG_NGAY'!$C$6:$C$4655,"&gt;="&amp;'THAM_SO'!$B$6,'CHAM_CONG_NGAY'!$C$6:$C$4655,"&lt;="&amp;'THAM_SO'!$B$7),$AM11))</f>
        <v/>
      </c>
      <c r="AT11" s="232">
        <f>IF($B11="","",IF($D11="Theo ngày",SUMIFS('CHAM_CONG_NGAY'!$Q$6:$Q$4655,'CHAM_CONG_NGAY'!$B$6:$B$4655,$B11,'CHAM_CONG_NGAY'!$C$6:$C$4655,"&gt;="&amp;'THAM_SO'!$B$6,'CHAM_CONG_NGAY'!$C$6:$C$4655,"&lt;="&amp;'THAM_SO'!$B$7),$AN11))</f>
        <v/>
      </c>
      <c r="AU11" s="232">
        <f>IF($B11="","",IF($D11="Theo ngày",SUMIFS('CHAM_CONG_NGAY'!$R$6:$R$4655,'CHAM_CONG_NGAY'!$B$6:$B$4655,$B11,'CHAM_CONG_NGAY'!$C$6:$C$4655,"&gt;="&amp;'THAM_SO'!$B$6,'CHAM_CONG_NGAY'!$C$6:$C$4655,"&lt;="&amp;'THAM_SO'!$B$7),$AO11))</f>
        <v/>
      </c>
      <c r="AV11" s="232">
        <f>IF($B11="","",IF($D11="Theo ngày",SUMIFS('CHAM_CONG_NGAY'!$S$6:$S$4655,'CHAM_CONG_NGAY'!$B$6:$B$4655,$B11,'CHAM_CONG_NGAY'!$C$6:$C$4655,"&gt;="&amp;'THAM_SO'!$B$6,'CHAM_CONG_NGAY'!$C$6:$C$4655,"&lt;="&amp;'THAM_SO'!$B$7),$AP11))</f>
        <v/>
      </c>
      <c r="AW11" s="232">
        <f>IF($B11="","",IF($D11="Theo ngày",SUMIFS('CHAM_CONG_NGAY'!$T$6:$T$4655,'CHAM_CONG_NGAY'!$B$6:$B$4655,$B11,'CHAM_CONG_NGAY'!$C$6:$C$4655,"&gt;="&amp;'THAM_SO'!$B$6,'CHAM_CONG_NGAY'!$C$6:$C$4655,"&lt;="&amp;'THAM_SO'!$B$7),$AQ11))</f>
        <v/>
      </c>
    </row>
    <row r="12">
      <c r="A12" s="145">
        <f>IF($B12="","",ROW()-5)</f>
        <v/>
      </c>
      <c r="B12" s="145">
        <f>IF('DM_NHAN_SU'!B12="","",'DM_NHAN_SU'!B12)</f>
        <v/>
      </c>
      <c r="C12" s="145">
        <f>IF('DM_NHAN_SU'!B12="","",'DM_NHAN_SU'!C12)</f>
        <v/>
      </c>
      <c r="D12" s="127" t="n"/>
      <c r="E12" s="227" t="n"/>
      <c r="F12" s="227" t="n"/>
      <c r="G12" s="227" t="n"/>
      <c r="H12" s="227" t="n"/>
      <c r="I12" s="227" t="n"/>
      <c r="J12" s="227" t="n"/>
      <c r="K12" s="227" t="n"/>
      <c r="L12" s="227" t="n"/>
      <c r="M12" s="227" t="n"/>
      <c r="N12" s="227" t="n"/>
      <c r="O12" s="222" t="n"/>
      <c r="P12" s="222" t="n"/>
      <c r="Q12" s="222" t="n"/>
      <c r="R12" s="222" t="n"/>
      <c r="S12" s="222" t="n"/>
      <c r="T12" s="222" t="n"/>
      <c r="U12" s="222" t="n"/>
      <c r="V12" s="222" t="n"/>
      <c r="W12" s="222" t="n"/>
      <c r="X12" s="222" t="n"/>
      <c r="Y12" s="222" t="n"/>
      <c r="Z12" s="222" t="n"/>
      <c r="AA12" s="127" t="n"/>
      <c r="AB12" s="127" t="n"/>
      <c r="AC12" s="232">
        <f>IF($B12="","",IF($D12="Theo ngày",SUMIFS('CHAM_CONG_NGAY'!$E$6:$E$4655,'CHAM_CONG_NGAY'!$B$6:$B$4655,$B12,'CHAM_CONG_NGAY'!$C$6:$C$4655,"&gt;="&amp;'THAM_SO'!$B$6,'CHAM_CONG_NGAY'!$C$6:$C$4655,"&lt;="&amp;'THAM_SO'!$B$7),$E12))</f>
        <v/>
      </c>
      <c r="AD12" s="232">
        <f>IF($B12="","",IF($D12="Theo ngày",SUMIFS('CHAM_CONG_NGAY'!$F$6:$F$4655,'CHAM_CONG_NGAY'!$B$6:$B$4655,$B12,'CHAM_CONG_NGAY'!$C$6:$C$4655,"&gt;="&amp;'THAM_SO'!$B$6,'CHAM_CONG_NGAY'!$C$6:$C$4655,"&lt;="&amp;'THAM_SO'!$B$7),$F12))</f>
        <v/>
      </c>
      <c r="AE12" s="232">
        <f>IF($B12="","",IF($D12="Theo ngày",SUMIFS('CHAM_CONG_NGAY'!$G$6:$G$4655,'CHAM_CONG_NGAY'!$B$6:$B$4655,$B12,'CHAM_CONG_NGAY'!$C$6:$C$4655,"&gt;="&amp;'THAM_SO'!$B$6,'CHAM_CONG_NGAY'!$C$6:$C$4655,"&lt;="&amp;'THAM_SO'!$B$7),$G12))</f>
        <v/>
      </c>
      <c r="AF12" s="232">
        <f>IF($B12="","",IF($D12="Theo ngày",SUMIFS('CHAM_CONG_NGAY'!$H$6:$H$4655,'CHAM_CONG_NGAY'!$B$6:$B$4655,$B12,'CHAM_CONG_NGAY'!$C$6:$C$4655,"&gt;="&amp;'THAM_SO'!$B$6,'CHAM_CONG_NGAY'!$C$6:$C$4655,"&lt;="&amp;'THAM_SO'!$B$7),$H12))</f>
        <v/>
      </c>
      <c r="AG12" s="232">
        <f>IF($B12="","",IF($D12="Theo ngày",SUMIFS('CHAM_CONG_NGAY'!$I$6:$I$4655,'CHAM_CONG_NGAY'!$B$6:$B$4655,$B12,'CHAM_CONG_NGAY'!$C$6:$C$4655,"&gt;="&amp;'THAM_SO'!$B$6,'CHAM_CONG_NGAY'!$C$6:$C$4655,"&lt;="&amp;'THAM_SO'!$B$7),$I12))</f>
        <v/>
      </c>
      <c r="AH12" s="232">
        <f>IF($B12="","",IF($D12="Theo ngày",SUMIFS('CHAM_CONG_NGAY'!$J$6:$J$4655,'CHAM_CONG_NGAY'!$B$6:$B$4655,$B12,'CHAM_CONG_NGAY'!$C$6:$C$4655,"&gt;="&amp;'THAM_SO'!$B$6,'CHAM_CONG_NGAY'!$C$6:$C$4655,"&lt;="&amp;'THAM_SO'!$B$7),$J12))</f>
        <v/>
      </c>
      <c r="AI12" s="232">
        <f>IF($B12="","",IF($D12="Theo ngày",SUMIFS('CHAM_CONG_NGAY'!$K$6:$K$4655,'CHAM_CONG_NGAY'!$B$6:$B$4655,$B12,'CHAM_CONG_NGAY'!$C$6:$C$4655,"&gt;="&amp;'THAM_SO'!$B$6,'CHAM_CONG_NGAY'!$C$6:$C$4655,"&lt;="&amp;'THAM_SO'!$B$7),$K12))</f>
        <v/>
      </c>
      <c r="AJ12" s="232">
        <f>IF($B12="","",IF($D12="Theo ngày",SUMIFS('CHAM_CONG_NGAY'!$L$6:$L$4655,'CHAM_CONG_NGAY'!$B$6:$B$4655,$B12,'CHAM_CONG_NGAY'!$C$6:$C$4655,"&gt;="&amp;'THAM_SO'!$B$6,'CHAM_CONG_NGAY'!$C$6:$C$4655,"&lt;="&amp;'THAM_SO'!$B$7),$L12))</f>
        <v/>
      </c>
      <c r="AK12" s="232">
        <f>IF($B12="","",IF($D12="Theo ngày",SUMIFS('CHAM_CONG_NGAY'!$M$6:$M$4655,'CHAM_CONG_NGAY'!$B$6:$B$4655,$B12,'CHAM_CONG_NGAY'!$C$6:$C$4655,"&gt;="&amp;'THAM_SO'!$B$6,'CHAM_CONG_NGAY'!$C$6:$C$4655,"&lt;="&amp;'THAM_SO'!$B$7),$M12))</f>
        <v/>
      </c>
      <c r="AL12" s="227" t="n"/>
      <c r="AM12" s="227" t="n"/>
      <c r="AN12" s="227" t="n"/>
      <c r="AO12" s="227" t="n"/>
      <c r="AP12" s="227" t="n"/>
      <c r="AQ12" s="227" t="n"/>
      <c r="AR12" s="232">
        <f>IF($B12="","",IF($D12="Theo ngày",SUMIFS('CHAM_CONG_NGAY'!$O$6:$O$4655,'CHAM_CONG_NGAY'!$B$6:$B$4655,$B12,'CHAM_CONG_NGAY'!$C$6:$C$4655,"&gt;="&amp;'THAM_SO'!$B$6,'CHAM_CONG_NGAY'!$C$6:$C$4655,"&lt;="&amp;'THAM_SO'!$B$7),$AL12))</f>
        <v/>
      </c>
      <c r="AS12" s="232">
        <f>IF($B12="","",IF($D12="Theo ngày",SUMIFS('CHAM_CONG_NGAY'!$P$6:$P$4655,'CHAM_CONG_NGAY'!$B$6:$B$4655,$B12,'CHAM_CONG_NGAY'!$C$6:$C$4655,"&gt;="&amp;'THAM_SO'!$B$6,'CHAM_CONG_NGAY'!$C$6:$C$4655,"&lt;="&amp;'THAM_SO'!$B$7),$AM12))</f>
        <v/>
      </c>
      <c r="AT12" s="232">
        <f>IF($B12="","",IF($D12="Theo ngày",SUMIFS('CHAM_CONG_NGAY'!$Q$6:$Q$4655,'CHAM_CONG_NGAY'!$B$6:$B$4655,$B12,'CHAM_CONG_NGAY'!$C$6:$C$4655,"&gt;="&amp;'THAM_SO'!$B$6,'CHAM_CONG_NGAY'!$C$6:$C$4655,"&lt;="&amp;'THAM_SO'!$B$7),$AN12))</f>
        <v/>
      </c>
      <c r="AU12" s="232">
        <f>IF($B12="","",IF($D12="Theo ngày",SUMIFS('CHAM_CONG_NGAY'!$R$6:$R$4655,'CHAM_CONG_NGAY'!$B$6:$B$4655,$B12,'CHAM_CONG_NGAY'!$C$6:$C$4655,"&gt;="&amp;'THAM_SO'!$B$6,'CHAM_CONG_NGAY'!$C$6:$C$4655,"&lt;="&amp;'THAM_SO'!$B$7),$AO12))</f>
        <v/>
      </c>
      <c r="AV12" s="232">
        <f>IF($B12="","",IF($D12="Theo ngày",SUMIFS('CHAM_CONG_NGAY'!$S$6:$S$4655,'CHAM_CONG_NGAY'!$B$6:$B$4655,$B12,'CHAM_CONG_NGAY'!$C$6:$C$4655,"&gt;="&amp;'THAM_SO'!$B$6,'CHAM_CONG_NGAY'!$C$6:$C$4655,"&lt;="&amp;'THAM_SO'!$B$7),$AP12))</f>
        <v/>
      </c>
      <c r="AW12" s="232">
        <f>IF($B12="","",IF($D12="Theo ngày",SUMIFS('CHAM_CONG_NGAY'!$T$6:$T$4655,'CHAM_CONG_NGAY'!$B$6:$B$4655,$B12,'CHAM_CONG_NGAY'!$C$6:$C$4655,"&gt;="&amp;'THAM_SO'!$B$6,'CHAM_CONG_NGAY'!$C$6:$C$4655,"&lt;="&amp;'THAM_SO'!$B$7),$AQ12))</f>
        <v/>
      </c>
    </row>
    <row r="13">
      <c r="A13" s="145">
        <f>IF($B13="","",ROW()-5)</f>
        <v/>
      </c>
      <c r="B13" s="145">
        <f>IF('DM_NHAN_SU'!B13="","",'DM_NHAN_SU'!B13)</f>
        <v/>
      </c>
      <c r="C13" s="145">
        <f>IF('DM_NHAN_SU'!B13="","",'DM_NHAN_SU'!C13)</f>
        <v/>
      </c>
      <c r="D13" s="127" t="n"/>
      <c r="E13" s="227" t="n"/>
      <c r="F13" s="227" t="n"/>
      <c r="G13" s="227" t="n"/>
      <c r="H13" s="227" t="n"/>
      <c r="I13" s="227" t="n"/>
      <c r="J13" s="227" t="n"/>
      <c r="K13" s="227" t="n"/>
      <c r="L13" s="227" t="n"/>
      <c r="M13" s="227" t="n"/>
      <c r="N13" s="227" t="n"/>
      <c r="O13" s="222" t="n"/>
      <c r="P13" s="222" t="n"/>
      <c r="Q13" s="222" t="n"/>
      <c r="R13" s="222" t="n"/>
      <c r="S13" s="222" t="n"/>
      <c r="T13" s="222" t="n"/>
      <c r="U13" s="222" t="n"/>
      <c r="V13" s="222" t="n"/>
      <c r="W13" s="222" t="n"/>
      <c r="X13" s="222" t="n"/>
      <c r="Y13" s="222" t="n"/>
      <c r="Z13" s="222" t="n"/>
      <c r="AA13" s="127" t="n"/>
      <c r="AB13" s="127" t="n"/>
      <c r="AC13" s="232">
        <f>IF($B13="","",IF($D13="Theo ngày",SUMIFS('CHAM_CONG_NGAY'!$E$6:$E$4655,'CHAM_CONG_NGAY'!$B$6:$B$4655,$B13,'CHAM_CONG_NGAY'!$C$6:$C$4655,"&gt;="&amp;'THAM_SO'!$B$6,'CHAM_CONG_NGAY'!$C$6:$C$4655,"&lt;="&amp;'THAM_SO'!$B$7),$E13))</f>
        <v/>
      </c>
      <c r="AD13" s="232">
        <f>IF($B13="","",IF($D13="Theo ngày",SUMIFS('CHAM_CONG_NGAY'!$F$6:$F$4655,'CHAM_CONG_NGAY'!$B$6:$B$4655,$B13,'CHAM_CONG_NGAY'!$C$6:$C$4655,"&gt;="&amp;'THAM_SO'!$B$6,'CHAM_CONG_NGAY'!$C$6:$C$4655,"&lt;="&amp;'THAM_SO'!$B$7),$F13))</f>
        <v/>
      </c>
      <c r="AE13" s="232">
        <f>IF($B13="","",IF($D13="Theo ngày",SUMIFS('CHAM_CONG_NGAY'!$G$6:$G$4655,'CHAM_CONG_NGAY'!$B$6:$B$4655,$B13,'CHAM_CONG_NGAY'!$C$6:$C$4655,"&gt;="&amp;'THAM_SO'!$B$6,'CHAM_CONG_NGAY'!$C$6:$C$4655,"&lt;="&amp;'THAM_SO'!$B$7),$G13))</f>
        <v/>
      </c>
      <c r="AF13" s="232">
        <f>IF($B13="","",IF($D13="Theo ngày",SUMIFS('CHAM_CONG_NGAY'!$H$6:$H$4655,'CHAM_CONG_NGAY'!$B$6:$B$4655,$B13,'CHAM_CONG_NGAY'!$C$6:$C$4655,"&gt;="&amp;'THAM_SO'!$B$6,'CHAM_CONG_NGAY'!$C$6:$C$4655,"&lt;="&amp;'THAM_SO'!$B$7),$H13))</f>
        <v/>
      </c>
      <c r="AG13" s="232">
        <f>IF($B13="","",IF($D13="Theo ngày",SUMIFS('CHAM_CONG_NGAY'!$I$6:$I$4655,'CHAM_CONG_NGAY'!$B$6:$B$4655,$B13,'CHAM_CONG_NGAY'!$C$6:$C$4655,"&gt;="&amp;'THAM_SO'!$B$6,'CHAM_CONG_NGAY'!$C$6:$C$4655,"&lt;="&amp;'THAM_SO'!$B$7),$I13))</f>
        <v/>
      </c>
      <c r="AH13" s="232">
        <f>IF($B13="","",IF($D13="Theo ngày",SUMIFS('CHAM_CONG_NGAY'!$J$6:$J$4655,'CHAM_CONG_NGAY'!$B$6:$B$4655,$B13,'CHAM_CONG_NGAY'!$C$6:$C$4655,"&gt;="&amp;'THAM_SO'!$B$6,'CHAM_CONG_NGAY'!$C$6:$C$4655,"&lt;="&amp;'THAM_SO'!$B$7),$J13))</f>
        <v/>
      </c>
      <c r="AI13" s="232">
        <f>IF($B13="","",IF($D13="Theo ngày",SUMIFS('CHAM_CONG_NGAY'!$K$6:$K$4655,'CHAM_CONG_NGAY'!$B$6:$B$4655,$B13,'CHAM_CONG_NGAY'!$C$6:$C$4655,"&gt;="&amp;'THAM_SO'!$B$6,'CHAM_CONG_NGAY'!$C$6:$C$4655,"&lt;="&amp;'THAM_SO'!$B$7),$K13))</f>
        <v/>
      </c>
      <c r="AJ13" s="232">
        <f>IF($B13="","",IF($D13="Theo ngày",SUMIFS('CHAM_CONG_NGAY'!$L$6:$L$4655,'CHAM_CONG_NGAY'!$B$6:$B$4655,$B13,'CHAM_CONG_NGAY'!$C$6:$C$4655,"&gt;="&amp;'THAM_SO'!$B$6,'CHAM_CONG_NGAY'!$C$6:$C$4655,"&lt;="&amp;'THAM_SO'!$B$7),$L13))</f>
        <v/>
      </c>
      <c r="AK13" s="232">
        <f>IF($B13="","",IF($D13="Theo ngày",SUMIFS('CHAM_CONG_NGAY'!$M$6:$M$4655,'CHAM_CONG_NGAY'!$B$6:$B$4655,$B13,'CHAM_CONG_NGAY'!$C$6:$C$4655,"&gt;="&amp;'THAM_SO'!$B$6,'CHAM_CONG_NGAY'!$C$6:$C$4655,"&lt;="&amp;'THAM_SO'!$B$7),$M13))</f>
        <v/>
      </c>
      <c r="AL13" s="227" t="n"/>
      <c r="AM13" s="227" t="n"/>
      <c r="AN13" s="227" t="n"/>
      <c r="AO13" s="227" t="n"/>
      <c r="AP13" s="227" t="n"/>
      <c r="AQ13" s="227" t="n"/>
      <c r="AR13" s="232">
        <f>IF($B13="","",IF($D13="Theo ngày",SUMIFS('CHAM_CONG_NGAY'!$O$6:$O$4655,'CHAM_CONG_NGAY'!$B$6:$B$4655,$B13,'CHAM_CONG_NGAY'!$C$6:$C$4655,"&gt;="&amp;'THAM_SO'!$B$6,'CHAM_CONG_NGAY'!$C$6:$C$4655,"&lt;="&amp;'THAM_SO'!$B$7),$AL13))</f>
        <v/>
      </c>
      <c r="AS13" s="232">
        <f>IF($B13="","",IF($D13="Theo ngày",SUMIFS('CHAM_CONG_NGAY'!$P$6:$P$4655,'CHAM_CONG_NGAY'!$B$6:$B$4655,$B13,'CHAM_CONG_NGAY'!$C$6:$C$4655,"&gt;="&amp;'THAM_SO'!$B$6,'CHAM_CONG_NGAY'!$C$6:$C$4655,"&lt;="&amp;'THAM_SO'!$B$7),$AM13))</f>
        <v/>
      </c>
      <c r="AT13" s="232">
        <f>IF($B13="","",IF($D13="Theo ngày",SUMIFS('CHAM_CONG_NGAY'!$Q$6:$Q$4655,'CHAM_CONG_NGAY'!$B$6:$B$4655,$B13,'CHAM_CONG_NGAY'!$C$6:$C$4655,"&gt;="&amp;'THAM_SO'!$B$6,'CHAM_CONG_NGAY'!$C$6:$C$4655,"&lt;="&amp;'THAM_SO'!$B$7),$AN13))</f>
        <v/>
      </c>
      <c r="AU13" s="232">
        <f>IF($B13="","",IF($D13="Theo ngày",SUMIFS('CHAM_CONG_NGAY'!$R$6:$R$4655,'CHAM_CONG_NGAY'!$B$6:$B$4655,$B13,'CHAM_CONG_NGAY'!$C$6:$C$4655,"&gt;="&amp;'THAM_SO'!$B$6,'CHAM_CONG_NGAY'!$C$6:$C$4655,"&lt;="&amp;'THAM_SO'!$B$7),$AO13))</f>
        <v/>
      </c>
      <c r="AV13" s="232">
        <f>IF($B13="","",IF($D13="Theo ngày",SUMIFS('CHAM_CONG_NGAY'!$S$6:$S$4655,'CHAM_CONG_NGAY'!$B$6:$B$4655,$B13,'CHAM_CONG_NGAY'!$C$6:$C$4655,"&gt;="&amp;'THAM_SO'!$B$6,'CHAM_CONG_NGAY'!$C$6:$C$4655,"&lt;="&amp;'THAM_SO'!$B$7),$AP13))</f>
        <v/>
      </c>
      <c r="AW13" s="232">
        <f>IF($B13="","",IF($D13="Theo ngày",SUMIFS('CHAM_CONG_NGAY'!$T$6:$T$4655,'CHAM_CONG_NGAY'!$B$6:$B$4655,$B13,'CHAM_CONG_NGAY'!$C$6:$C$4655,"&gt;="&amp;'THAM_SO'!$B$6,'CHAM_CONG_NGAY'!$C$6:$C$4655,"&lt;="&amp;'THAM_SO'!$B$7),$AQ13))</f>
        <v/>
      </c>
    </row>
    <row r="14">
      <c r="A14" s="145">
        <f>IF($B14="","",ROW()-5)</f>
        <v/>
      </c>
      <c r="B14" s="145">
        <f>IF('DM_NHAN_SU'!B14="","",'DM_NHAN_SU'!B14)</f>
        <v/>
      </c>
      <c r="C14" s="145">
        <f>IF('DM_NHAN_SU'!B14="","",'DM_NHAN_SU'!C14)</f>
        <v/>
      </c>
      <c r="D14" s="127" t="n"/>
      <c r="E14" s="227" t="n"/>
      <c r="F14" s="227" t="n"/>
      <c r="G14" s="227" t="n"/>
      <c r="H14" s="227" t="n"/>
      <c r="I14" s="227" t="n"/>
      <c r="J14" s="227" t="n"/>
      <c r="K14" s="227" t="n"/>
      <c r="L14" s="227" t="n"/>
      <c r="M14" s="227" t="n"/>
      <c r="N14" s="227" t="n"/>
      <c r="O14" s="222" t="n"/>
      <c r="P14" s="222" t="n"/>
      <c r="Q14" s="222" t="n"/>
      <c r="R14" s="222" t="n"/>
      <c r="S14" s="222" t="n"/>
      <c r="T14" s="222" t="n"/>
      <c r="U14" s="222" t="n"/>
      <c r="V14" s="222" t="n"/>
      <c r="W14" s="222" t="n"/>
      <c r="X14" s="222" t="n"/>
      <c r="Y14" s="222" t="n"/>
      <c r="Z14" s="222" t="n"/>
      <c r="AA14" s="127" t="n"/>
      <c r="AB14" s="127" t="n"/>
      <c r="AC14" s="232">
        <f>IF($B14="","",IF($D14="Theo ngày",SUMIFS('CHAM_CONG_NGAY'!$E$6:$E$4655,'CHAM_CONG_NGAY'!$B$6:$B$4655,$B14,'CHAM_CONG_NGAY'!$C$6:$C$4655,"&gt;="&amp;'THAM_SO'!$B$6,'CHAM_CONG_NGAY'!$C$6:$C$4655,"&lt;="&amp;'THAM_SO'!$B$7),$E14))</f>
        <v/>
      </c>
      <c r="AD14" s="232">
        <f>IF($B14="","",IF($D14="Theo ngày",SUMIFS('CHAM_CONG_NGAY'!$F$6:$F$4655,'CHAM_CONG_NGAY'!$B$6:$B$4655,$B14,'CHAM_CONG_NGAY'!$C$6:$C$4655,"&gt;="&amp;'THAM_SO'!$B$6,'CHAM_CONG_NGAY'!$C$6:$C$4655,"&lt;="&amp;'THAM_SO'!$B$7),$F14))</f>
        <v/>
      </c>
      <c r="AE14" s="232">
        <f>IF($B14="","",IF($D14="Theo ngày",SUMIFS('CHAM_CONG_NGAY'!$G$6:$G$4655,'CHAM_CONG_NGAY'!$B$6:$B$4655,$B14,'CHAM_CONG_NGAY'!$C$6:$C$4655,"&gt;="&amp;'THAM_SO'!$B$6,'CHAM_CONG_NGAY'!$C$6:$C$4655,"&lt;="&amp;'THAM_SO'!$B$7),$G14))</f>
        <v/>
      </c>
      <c r="AF14" s="232">
        <f>IF($B14="","",IF($D14="Theo ngày",SUMIFS('CHAM_CONG_NGAY'!$H$6:$H$4655,'CHAM_CONG_NGAY'!$B$6:$B$4655,$B14,'CHAM_CONG_NGAY'!$C$6:$C$4655,"&gt;="&amp;'THAM_SO'!$B$6,'CHAM_CONG_NGAY'!$C$6:$C$4655,"&lt;="&amp;'THAM_SO'!$B$7),$H14))</f>
        <v/>
      </c>
      <c r="AG14" s="232">
        <f>IF($B14="","",IF($D14="Theo ngày",SUMIFS('CHAM_CONG_NGAY'!$I$6:$I$4655,'CHAM_CONG_NGAY'!$B$6:$B$4655,$B14,'CHAM_CONG_NGAY'!$C$6:$C$4655,"&gt;="&amp;'THAM_SO'!$B$6,'CHAM_CONG_NGAY'!$C$6:$C$4655,"&lt;="&amp;'THAM_SO'!$B$7),$I14))</f>
        <v/>
      </c>
      <c r="AH14" s="232">
        <f>IF($B14="","",IF($D14="Theo ngày",SUMIFS('CHAM_CONG_NGAY'!$J$6:$J$4655,'CHAM_CONG_NGAY'!$B$6:$B$4655,$B14,'CHAM_CONG_NGAY'!$C$6:$C$4655,"&gt;="&amp;'THAM_SO'!$B$6,'CHAM_CONG_NGAY'!$C$6:$C$4655,"&lt;="&amp;'THAM_SO'!$B$7),$J14))</f>
        <v/>
      </c>
      <c r="AI14" s="232">
        <f>IF($B14="","",IF($D14="Theo ngày",SUMIFS('CHAM_CONG_NGAY'!$K$6:$K$4655,'CHAM_CONG_NGAY'!$B$6:$B$4655,$B14,'CHAM_CONG_NGAY'!$C$6:$C$4655,"&gt;="&amp;'THAM_SO'!$B$6,'CHAM_CONG_NGAY'!$C$6:$C$4655,"&lt;="&amp;'THAM_SO'!$B$7),$K14))</f>
        <v/>
      </c>
      <c r="AJ14" s="232">
        <f>IF($B14="","",IF($D14="Theo ngày",SUMIFS('CHAM_CONG_NGAY'!$L$6:$L$4655,'CHAM_CONG_NGAY'!$B$6:$B$4655,$B14,'CHAM_CONG_NGAY'!$C$6:$C$4655,"&gt;="&amp;'THAM_SO'!$B$6,'CHAM_CONG_NGAY'!$C$6:$C$4655,"&lt;="&amp;'THAM_SO'!$B$7),$L14))</f>
        <v/>
      </c>
      <c r="AK14" s="232">
        <f>IF($B14="","",IF($D14="Theo ngày",SUMIFS('CHAM_CONG_NGAY'!$M$6:$M$4655,'CHAM_CONG_NGAY'!$B$6:$B$4655,$B14,'CHAM_CONG_NGAY'!$C$6:$C$4655,"&gt;="&amp;'THAM_SO'!$B$6,'CHAM_CONG_NGAY'!$C$6:$C$4655,"&lt;="&amp;'THAM_SO'!$B$7),$M14))</f>
        <v/>
      </c>
      <c r="AL14" s="227" t="n"/>
      <c r="AM14" s="227" t="n"/>
      <c r="AN14" s="227" t="n"/>
      <c r="AO14" s="227" t="n"/>
      <c r="AP14" s="227" t="n"/>
      <c r="AQ14" s="227" t="n"/>
      <c r="AR14" s="232">
        <f>IF($B14="","",IF($D14="Theo ngày",SUMIFS('CHAM_CONG_NGAY'!$O$6:$O$4655,'CHAM_CONG_NGAY'!$B$6:$B$4655,$B14,'CHAM_CONG_NGAY'!$C$6:$C$4655,"&gt;="&amp;'THAM_SO'!$B$6,'CHAM_CONG_NGAY'!$C$6:$C$4655,"&lt;="&amp;'THAM_SO'!$B$7),$AL14))</f>
        <v/>
      </c>
      <c r="AS14" s="232">
        <f>IF($B14="","",IF($D14="Theo ngày",SUMIFS('CHAM_CONG_NGAY'!$P$6:$P$4655,'CHAM_CONG_NGAY'!$B$6:$B$4655,$B14,'CHAM_CONG_NGAY'!$C$6:$C$4655,"&gt;="&amp;'THAM_SO'!$B$6,'CHAM_CONG_NGAY'!$C$6:$C$4655,"&lt;="&amp;'THAM_SO'!$B$7),$AM14))</f>
        <v/>
      </c>
      <c r="AT14" s="232">
        <f>IF($B14="","",IF($D14="Theo ngày",SUMIFS('CHAM_CONG_NGAY'!$Q$6:$Q$4655,'CHAM_CONG_NGAY'!$B$6:$B$4655,$B14,'CHAM_CONG_NGAY'!$C$6:$C$4655,"&gt;="&amp;'THAM_SO'!$B$6,'CHAM_CONG_NGAY'!$C$6:$C$4655,"&lt;="&amp;'THAM_SO'!$B$7),$AN14))</f>
        <v/>
      </c>
      <c r="AU14" s="232">
        <f>IF($B14="","",IF($D14="Theo ngày",SUMIFS('CHAM_CONG_NGAY'!$R$6:$R$4655,'CHAM_CONG_NGAY'!$B$6:$B$4655,$B14,'CHAM_CONG_NGAY'!$C$6:$C$4655,"&gt;="&amp;'THAM_SO'!$B$6,'CHAM_CONG_NGAY'!$C$6:$C$4655,"&lt;="&amp;'THAM_SO'!$B$7),$AO14))</f>
        <v/>
      </c>
      <c r="AV14" s="232">
        <f>IF($B14="","",IF($D14="Theo ngày",SUMIFS('CHAM_CONG_NGAY'!$S$6:$S$4655,'CHAM_CONG_NGAY'!$B$6:$B$4655,$B14,'CHAM_CONG_NGAY'!$C$6:$C$4655,"&gt;="&amp;'THAM_SO'!$B$6,'CHAM_CONG_NGAY'!$C$6:$C$4655,"&lt;="&amp;'THAM_SO'!$B$7),$AP14))</f>
        <v/>
      </c>
      <c r="AW14" s="232">
        <f>IF($B14="","",IF($D14="Theo ngày",SUMIFS('CHAM_CONG_NGAY'!$T$6:$T$4655,'CHAM_CONG_NGAY'!$B$6:$B$4655,$B14,'CHAM_CONG_NGAY'!$C$6:$C$4655,"&gt;="&amp;'THAM_SO'!$B$6,'CHAM_CONG_NGAY'!$C$6:$C$4655,"&lt;="&amp;'THAM_SO'!$B$7),$AQ14))</f>
        <v/>
      </c>
    </row>
    <row r="15">
      <c r="A15" s="145">
        <f>IF($B15="","",ROW()-5)</f>
        <v/>
      </c>
      <c r="B15" s="145">
        <f>IF('DM_NHAN_SU'!B15="","",'DM_NHAN_SU'!B15)</f>
        <v/>
      </c>
      <c r="C15" s="145">
        <f>IF('DM_NHAN_SU'!B15="","",'DM_NHAN_SU'!C15)</f>
        <v/>
      </c>
      <c r="D15" s="127" t="n"/>
      <c r="E15" s="227" t="n"/>
      <c r="F15" s="227" t="n"/>
      <c r="G15" s="227" t="n"/>
      <c r="H15" s="227" t="n"/>
      <c r="I15" s="227" t="n"/>
      <c r="J15" s="227" t="n"/>
      <c r="K15" s="227" t="n"/>
      <c r="L15" s="227" t="n"/>
      <c r="M15" s="227" t="n"/>
      <c r="N15" s="227" t="n"/>
      <c r="O15" s="222" t="n"/>
      <c r="P15" s="222" t="n"/>
      <c r="Q15" s="222" t="n"/>
      <c r="R15" s="222" t="n"/>
      <c r="S15" s="222" t="n"/>
      <c r="T15" s="222" t="n"/>
      <c r="U15" s="222" t="n"/>
      <c r="V15" s="222" t="n"/>
      <c r="W15" s="222" t="n"/>
      <c r="X15" s="222" t="n"/>
      <c r="Y15" s="222" t="n"/>
      <c r="Z15" s="222" t="n"/>
      <c r="AA15" s="127" t="n"/>
      <c r="AB15" s="127" t="n"/>
      <c r="AC15" s="232">
        <f>IF($B15="","",IF($D15="Theo ngày",SUMIFS('CHAM_CONG_NGAY'!$E$6:$E$4655,'CHAM_CONG_NGAY'!$B$6:$B$4655,$B15,'CHAM_CONG_NGAY'!$C$6:$C$4655,"&gt;="&amp;'THAM_SO'!$B$6,'CHAM_CONG_NGAY'!$C$6:$C$4655,"&lt;="&amp;'THAM_SO'!$B$7),$E15))</f>
        <v/>
      </c>
      <c r="AD15" s="232">
        <f>IF($B15="","",IF($D15="Theo ngày",SUMIFS('CHAM_CONG_NGAY'!$F$6:$F$4655,'CHAM_CONG_NGAY'!$B$6:$B$4655,$B15,'CHAM_CONG_NGAY'!$C$6:$C$4655,"&gt;="&amp;'THAM_SO'!$B$6,'CHAM_CONG_NGAY'!$C$6:$C$4655,"&lt;="&amp;'THAM_SO'!$B$7),$F15))</f>
        <v/>
      </c>
      <c r="AE15" s="232">
        <f>IF($B15="","",IF($D15="Theo ngày",SUMIFS('CHAM_CONG_NGAY'!$G$6:$G$4655,'CHAM_CONG_NGAY'!$B$6:$B$4655,$B15,'CHAM_CONG_NGAY'!$C$6:$C$4655,"&gt;="&amp;'THAM_SO'!$B$6,'CHAM_CONG_NGAY'!$C$6:$C$4655,"&lt;="&amp;'THAM_SO'!$B$7),$G15))</f>
        <v/>
      </c>
      <c r="AF15" s="232">
        <f>IF($B15="","",IF($D15="Theo ngày",SUMIFS('CHAM_CONG_NGAY'!$H$6:$H$4655,'CHAM_CONG_NGAY'!$B$6:$B$4655,$B15,'CHAM_CONG_NGAY'!$C$6:$C$4655,"&gt;="&amp;'THAM_SO'!$B$6,'CHAM_CONG_NGAY'!$C$6:$C$4655,"&lt;="&amp;'THAM_SO'!$B$7),$H15))</f>
        <v/>
      </c>
      <c r="AG15" s="232">
        <f>IF($B15="","",IF($D15="Theo ngày",SUMIFS('CHAM_CONG_NGAY'!$I$6:$I$4655,'CHAM_CONG_NGAY'!$B$6:$B$4655,$B15,'CHAM_CONG_NGAY'!$C$6:$C$4655,"&gt;="&amp;'THAM_SO'!$B$6,'CHAM_CONG_NGAY'!$C$6:$C$4655,"&lt;="&amp;'THAM_SO'!$B$7),$I15))</f>
        <v/>
      </c>
      <c r="AH15" s="232">
        <f>IF($B15="","",IF($D15="Theo ngày",SUMIFS('CHAM_CONG_NGAY'!$J$6:$J$4655,'CHAM_CONG_NGAY'!$B$6:$B$4655,$B15,'CHAM_CONG_NGAY'!$C$6:$C$4655,"&gt;="&amp;'THAM_SO'!$B$6,'CHAM_CONG_NGAY'!$C$6:$C$4655,"&lt;="&amp;'THAM_SO'!$B$7),$J15))</f>
        <v/>
      </c>
      <c r="AI15" s="232">
        <f>IF($B15="","",IF($D15="Theo ngày",SUMIFS('CHAM_CONG_NGAY'!$K$6:$K$4655,'CHAM_CONG_NGAY'!$B$6:$B$4655,$B15,'CHAM_CONG_NGAY'!$C$6:$C$4655,"&gt;="&amp;'THAM_SO'!$B$6,'CHAM_CONG_NGAY'!$C$6:$C$4655,"&lt;="&amp;'THAM_SO'!$B$7),$K15))</f>
        <v/>
      </c>
      <c r="AJ15" s="232">
        <f>IF($B15="","",IF($D15="Theo ngày",SUMIFS('CHAM_CONG_NGAY'!$L$6:$L$4655,'CHAM_CONG_NGAY'!$B$6:$B$4655,$B15,'CHAM_CONG_NGAY'!$C$6:$C$4655,"&gt;="&amp;'THAM_SO'!$B$6,'CHAM_CONG_NGAY'!$C$6:$C$4655,"&lt;="&amp;'THAM_SO'!$B$7),$L15))</f>
        <v/>
      </c>
      <c r="AK15" s="232">
        <f>IF($B15="","",IF($D15="Theo ngày",SUMIFS('CHAM_CONG_NGAY'!$M$6:$M$4655,'CHAM_CONG_NGAY'!$B$6:$B$4655,$B15,'CHAM_CONG_NGAY'!$C$6:$C$4655,"&gt;="&amp;'THAM_SO'!$B$6,'CHAM_CONG_NGAY'!$C$6:$C$4655,"&lt;="&amp;'THAM_SO'!$B$7),$M15))</f>
        <v/>
      </c>
      <c r="AL15" s="227" t="n"/>
      <c r="AM15" s="227" t="n"/>
      <c r="AN15" s="227" t="n"/>
      <c r="AO15" s="227" t="n"/>
      <c r="AP15" s="227" t="n"/>
      <c r="AQ15" s="227" t="n"/>
      <c r="AR15" s="232">
        <f>IF($B15="","",IF($D15="Theo ngày",SUMIFS('CHAM_CONG_NGAY'!$O$6:$O$4655,'CHAM_CONG_NGAY'!$B$6:$B$4655,$B15,'CHAM_CONG_NGAY'!$C$6:$C$4655,"&gt;="&amp;'THAM_SO'!$B$6,'CHAM_CONG_NGAY'!$C$6:$C$4655,"&lt;="&amp;'THAM_SO'!$B$7),$AL15))</f>
        <v/>
      </c>
      <c r="AS15" s="232">
        <f>IF($B15="","",IF($D15="Theo ngày",SUMIFS('CHAM_CONG_NGAY'!$P$6:$P$4655,'CHAM_CONG_NGAY'!$B$6:$B$4655,$B15,'CHAM_CONG_NGAY'!$C$6:$C$4655,"&gt;="&amp;'THAM_SO'!$B$6,'CHAM_CONG_NGAY'!$C$6:$C$4655,"&lt;="&amp;'THAM_SO'!$B$7),$AM15))</f>
        <v/>
      </c>
      <c r="AT15" s="232">
        <f>IF($B15="","",IF($D15="Theo ngày",SUMIFS('CHAM_CONG_NGAY'!$Q$6:$Q$4655,'CHAM_CONG_NGAY'!$B$6:$B$4655,$B15,'CHAM_CONG_NGAY'!$C$6:$C$4655,"&gt;="&amp;'THAM_SO'!$B$6,'CHAM_CONG_NGAY'!$C$6:$C$4655,"&lt;="&amp;'THAM_SO'!$B$7),$AN15))</f>
        <v/>
      </c>
      <c r="AU15" s="232">
        <f>IF($B15="","",IF($D15="Theo ngày",SUMIFS('CHAM_CONG_NGAY'!$R$6:$R$4655,'CHAM_CONG_NGAY'!$B$6:$B$4655,$B15,'CHAM_CONG_NGAY'!$C$6:$C$4655,"&gt;="&amp;'THAM_SO'!$B$6,'CHAM_CONG_NGAY'!$C$6:$C$4655,"&lt;="&amp;'THAM_SO'!$B$7),$AO15))</f>
        <v/>
      </c>
      <c r="AV15" s="232">
        <f>IF($B15="","",IF($D15="Theo ngày",SUMIFS('CHAM_CONG_NGAY'!$S$6:$S$4655,'CHAM_CONG_NGAY'!$B$6:$B$4655,$B15,'CHAM_CONG_NGAY'!$C$6:$C$4655,"&gt;="&amp;'THAM_SO'!$B$6,'CHAM_CONG_NGAY'!$C$6:$C$4655,"&lt;="&amp;'THAM_SO'!$B$7),$AP15))</f>
        <v/>
      </c>
      <c r="AW15" s="232">
        <f>IF($B15="","",IF($D15="Theo ngày",SUMIFS('CHAM_CONG_NGAY'!$T$6:$T$4655,'CHAM_CONG_NGAY'!$B$6:$B$4655,$B15,'CHAM_CONG_NGAY'!$C$6:$C$4655,"&gt;="&amp;'THAM_SO'!$B$6,'CHAM_CONG_NGAY'!$C$6:$C$4655,"&lt;="&amp;'THAM_SO'!$B$7),$AQ15))</f>
        <v/>
      </c>
    </row>
    <row r="16">
      <c r="A16" s="145">
        <f>IF($B16="","",ROW()-5)</f>
        <v/>
      </c>
      <c r="B16" s="145">
        <f>IF('DM_NHAN_SU'!B16="","",'DM_NHAN_SU'!B16)</f>
        <v/>
      </c>
      <c r="C16" s="145">
        <f>IF('DM_NHAN_SU'!B16="","",'DM_NHAN_SU'!C16)</f>
        <v/>
      </c>
      <c r="D16" s="127" t="n"/>
      <c r="E16" s="227" t="n"/>
      <c r="F16" s="227" t="n"/>
      <c r="G16" s="227" t="n"/>
      <c r="H16" s="227" t="n"/>
      <c r="I16" s="227" t="n"/>
      <c r="J16" s="227" t="n"/>
      <c r="K16" s="227" t="n"/>
      <c r="L16" s="227" t="n"/>
      <c r="M16" s="227" t="n"/>
      <c r="N16" s="227" t="n"/>
      <c r="O16" s="222" t="n"/>
      <c r="P16" s="222" t="n"/>
      <c r="Q16" s="222" t="n"/>
      <c r="R16" s="222" t="n"/>
      <c r="S16" s="222" t="n"/>
      <c r="T16" s="222" t="n"/>
      <c r="U16" s="222" t="n"/>
      <c r="V16" s="222" t="n"/>
      <c r="W16" s="222" t="n"/>
      <c r="X16" s="222" t="n"/>
      <c r="Y16" s="222" t="n"/>
      <c r="Z16" s="222" t="n"/>
      <c r="AA16" s="127" t="n"/>
      <c r="AB16" s="127" t="n"/>
      <c r="AC16" s="232">
        <f>IF($B16="","",IF($D16="Theo ngày",SUMIFS('CHAM_CONG_NGAY'!$E$6:$E$4655,'CHAM_CONG_NGAY'!$B$6:$B$4655,$B16,'CHAM_CONG_NGAY'!$C$6:$C$4655,"&gt;="&amp;'THAM_SO'!$B$6,'CHAM_CONG_NGAY'!$C$6:$C$4655,"&lt;="&amp;'THAM_SO'!$B$7),$E16))</f>
        <v/>
      </c>
      <c r="AD16" s="232">
        <f>IF($B16="","",IF($D16="Theo ngày",SUMIFS('CHAM_CONG_NGAY'!$F$6:$F$4655,'CHAM_CONG_NGAY'!$B$6:$B$4655,$B16,'CHAM_CONG_NGAY'!$C$6:$C$4655,"&gt;="&amp;'THAM_SO'!$B$6,'CHAM_CONG_NGAY'!$C$6:$C$4655,"&lt;="&amp;'THAM_SO'!$B$7),$F16))</f>
        <v/>
      </c>
      <c r="AE16" s="232">
        <f>IF($B16="","",IF($D16="Theo ngày",SUMIFS('CHAM_CONG_NGAY'!$G$6:$G$4655,'CHAM_CONG_NGAY'!$B$6:$B$4655,$B16,'CHAM_CONG_NGAY'!$C$6:$C$4655,"&gt;="&amp;'THAM_SO'!$B$6,'CHAM_CONG_NGAY'!$C$6:$C$4655,"&lt;="&amp;'THAM_SO'!$B$7),$G16))</f>
        <v/>
      </c>
      <c r="AF16" s="232">
        <f>IF($B16="","",IF($D16="Theo ngày",SUMIFS('CHAM_CONG_NGAY'!$H$6:$H$4655,'CHAM_CONG_NGAY'!$B$6:$B$4655,$B16,'CHAM_CONG_NGAY'!$C$6:$C$4655,"&gt;="&amp;'THAM_SO'!$B$6,'CHAM_CONG_NGAY'!$C$6:$C$4655,"&lt;="&amp;'THAM_SO'!$B$7),$H16))</f>
        <v/>
      </c>
      <c r="AG16" s="232">
        <f>IF($B16="","",IF($D16="Theo ngày",SUMIFS('CHAM_CONG_NGAY'!$I$6:$I$4655,'CHAM_CONG_NGAY'!$B$6:$B$4655,$B16,'CHAM_CONG_NGAY'!$C$6:$C$4655,"&gt;="&amp;'THAM_SO'!$B$6,'CHAM_CONG_NGAY'!$C$6:$C$4655,"&lt;="&amp;'THAM_SO'!$B$7),$I16))</f>
        <v/>
      </c>
      <c r="AH16" s="232">
        <f>IF($B16="","",IF($D16="Theo ngày",SUMIFS('CHAM_CONG_NGAY'!$J$6:$J$4655,'CHAM_CONG_NGAY'!$B$6:$B$4655,$B16,'CHAM_CONG_NGAY'!$C$6:$C$4655,"&gt;="&amp;'THAM_SO'!$B$6,'CHAM_CONG_NGAY'!$C$6:$C$4655,"&lt;="&amp;'THAM_SO'!$B$7),$J16))</f>
        <v/>
      </c>
      <c r="AI16" s="232">
        <f>IF($B16="","",IF($D16="Theo ngày",SUMIFS('CHAM_CONG_NGAY'!$K$6:$K$4655,'CHAM_CONG_NGAY'!$B$6:$B$4655,$B16,'CHAM_CONG_NGAY'!$C$6:$C$4655,"&gt;="&amp;'THAM_SO'!$B$6,'CHAM_CONG_NGAY'!$C$6:$C$4655,"&lt;="&amp;'THAM_SO'!$B$7),$K16))</f>
        <v/>
      </c>
      <c r="AJ16" s="232">
        <f>IF($B16="","",IF($D16="Theo ngày",SUMIFS('CHAM_CONG_NGAY'!$L$6:$L$4655,'CHAM_CONG_NGAY'!$B$6:$B$4655,$B16,'CHAM_CONG_NGAY'!$C$6:$C$4655,"&gt;="&amp;'THAM_SO'!$B$6,'CHAM_CONG_NGAY'!$C$6:$C$4655,"&lt;="&amp;'THAM_SO'!$B$7),$L16))</f>
        <v/>
      </c>
      <c r="AK16" s="232">
        <f>IF($B16="","",IF($D16="Theo ngày",SUMIFS('CHAM_CONG_NGAY'!$M$6:$M$4655,'CHAM_CONG_NGAY'!$B$6:$B$4655,$B16,'CHAM_CONG_NGAY'!$C$6:$C$4655,"&gt;="&amp;'THAM_SO'!$B$6,'CHAM_CONG_NGAY'!$C$6:$C$4655,"&lt;="&amp;'THAM_SO'!$B$7),$M16))</f>
        <v/>
      </c>
      <c r="AL16" s="227" t="n"/>
      <c r="AM16" s="227" t="n"/>
      <c r="AN16" s="227" t="n"/>
      <c r="AO16" s="227" t="n"/>
      <c r="AP16" s="227" t="n"/>
      <c r="AQ16" s="227" t="n"/>
      <c r="AR16" s="232">
        <f>IF($B16="","",IF($D16="Theo ngày",SUMIFS('CHAM_CONG_NGAY'!$O$6:$O$4655,'CHAM_CONG_NGAY'!$B$6:$B$4655,$B16,'CHAM_CONG_NGAY'!$C$6:$C$4655,"&gt;="&amp;'THAM_SO'!$B$6,'CHAM_CONG_NGAY'!$C$6:$C$4655,"&lt;="&amp;'THAM_SO'!$B$7),$AL16))</f>
        <v/>
      </c>
      <c r="AS16" s="232">
        <f>IF($B16="","",IF($D16="Theo ngày",SUMIFS('CHAM_CONG_NGAY'!$P$6:$P$4655,'CHAM_CONG_NGAY'!$B$6:$B$4655,$B16,'CHAM_CONG_NGAY'!$C$6:$C$4655,"&gt;="&amp;'THAM_SO'!$B$6,'CHAM_CONG_NGAY'!$C$6:$C$4655,"&lt;="&amp;'THAM_SO'!$B$7),$AM16))</f>
        <v/>
      </c>
      <c r="AT16" s="232">
        <f>IF($B16="","",IF($D16="Theo ngày",SUMIFS('CHAM_CONG_NGAY'!$Q$6:$Q$4655,'CHAM_CONG_NGAY'!$B$6:$B$4655,$B16,'CHAM_CONG_NGAY'!$C$6:$C$4655,"&gt;="&amp;'THAM_SO'!$B$6,'CHAM_CONG_NGAY'!$C$6:$C$4655,"&lt;="&amp;'THAM_SO'!$B$7),$AN16))</f>
        <v/>
      </c>
      <c r="AU16" s="232">
        <f>IF($B16="","",IF($D16="Theo ngày",SUMIFS('CHAM_CONG_NGAY'!$R$6:$R$4655,'CHAM_CONG_NGAY'!$B$6:$B$4655,$B16,'CHAM_CONG_NGAY'!$C$6:$C$4655,"&gt;="&amp;'THAM_SO'!$B$6,'CHAM_CONG_NGAY'!$C$6:$C$4655,"&lt;="&amp;'THAM_SO'!$B$7),$AO16))</f>
        <v/>
      </c>
      <c r="AV16" s="232">
        <f>IF($B16="","",IF($D16="Theo ngày",SUMIFS('CHAM_CONG_NGAY'!$S$6:$S$4655,'CHAM_CONG_NGAY'!$B$6:$B$4655,$B16,'CHAM_CONG_NGAY'!$C$6:$C$4655,"&gt;="&amp;'THAM_SO'!$B$6,'CHAM_CONG_NGAY'!$C$6:$C$4655,"&lt;="&amp;'THAM_SO'!$B$7),$AP16))</f>
        <v/>
      </c>
      <c r="AW16" s="232">
        <f>IF($B16="","",IF($D16="Theo ngày",SUMIFS('CHAM_CONG_NGAY'!$T$6:$T$4655,'CHAM_CONG_NGAY'!$B$6:$B$4655,$B16,'CHAM_CONG_NGAY'!$C$6:$C$4655,"&gt;="&amp;'THAM_SO'!$B$6,'CHAM_CONG_NGAY'!$C$6:$C$4655,"&lt;="&amp;'THAM_SO'!$B$7),$AQ16))</f>
        <v/>
      </c>
    </row>
    <row r="17">
      <c r="A17" s="145">
        <f>IF($B17="","",ROW()-5)</f>
        <v/>
      </c>
      <c r="B17" s="145">
        <f>IF('DM_NHAN_SU'!B17="","",'DM_NHAN_SU'!B17)</f>
        <v/>
      </c>
      <c r="C17" s="145">
        <f>IF('DM_NHAN_SU'!B17="","",'DM_NHAN_SU'!C17)</f>
        <v/>
      </c>
      <c r="D17" s="127" t="n"/>
      <c r="E17" s="227" t="n"/>
      <c r="F17" s="227" t="n"/>
      <c r="G17" s="227" t="n"/>
      <c r="H17" s="227" t="n"/>
      <c r="I17" s="227" t="n"/>
      <c r="J17" s="227" t="n"/>
      <c r="K17" s="227" t="n"/>
      <c r="L17" s="227" t="n"/>
      <c r="M17" s="227" t="n"/>
      <c r="N17" s="227" t="n"/>
      <c r="O17" s="222" t="n"/>
      <c r="P17" s="222" t="n"/>
      <c r="Q17" s="222" t="n"/>
      <c r="R17" s="222" t="n"/>
      <c r="S17" s="222" t="n"/>
      <c r="T17" s="222" t="n"/>
      <c r="U17" s="222" t="n"/>
      <c r="V17" s="222" t="n"/>
      <c r="W17" s="222" t="n"/>
      <c r="X17" s="222" t="n"/>
      <c r="Y17" s="222" t="n"/>
      <c r="Z17" s="222" t="n"/>
      <c r="AA17" s="127" t="n"/>
      <c r="AB17" s="127" t="n"/>
      <c r="AC17" s="232">
        <f>IF($B17="","",IF($D17="Theo ngày",SUMIFS('CHAM_CONG_NGAY'!$E$6:$E$4655,'CHAM_CONG_NGAY'!$B$6:$B$4655,$B17,'CHAM_CONG_NGAY'!$C$6:$C$4655,"&gt;="&amp;'THAM_SO'!$B$6,'CHAM_CONG_NGAY'!$C$6:$C$4655,"&lt;="&amp;'THAM_SO'!$B$7),$E17))</f>
        <v/>
      </c>
      <c r="AD17" s="232">
        <f>IF($B17="","",IF($D17="Theo ngày",SUMIFS('CHAM_CONG_NGAY'!$F$6:$F$4655,'CHAM_CONG_NGAY'!$B$6:$B$4655,$B17,'CHAM_CONG_NGAY'!$C$6:$C$4655,"&gt;="&amp;'THAM_SO'!$B$6,'CHAM_CONG_NGAY'!$C$6:$C$4655,"&lt;="&amp;'THAM_SO'!$B$7),$F17))</f>
        <v/>
      </c>
      <c r="AE17" s="232">
        <f>IF($B17="","",IF($D17="Theo ngày",SUMIFS('CHAM_CONG_NGAY'!$G$6:$G$4655,'CHAM_CONG_NGAY'!$B$6:$B$4655,$B17,'CHAM_CONG_NGAY'!$C$6:$C$4655,"&gt;="&amp;'THAM_SO'!$B$6,'CHAM_CONG_NGAY'!$C$6:$C$4655,"&lt;="&amp;'THAM_SO'!$B$7),$G17))</f>
        <v/>
      </c>
      <c r="AF17" s="232">
        <f>IF($B17="","",IF($D17="Theo ngày",SUMIFS('CHAM_CONG_NGAY'!$H$6:$H$4655,'CHAM_CONG_NGAY'!$B$6:$B$4655,$B17,'CHAM_CONG_NGAY'!$C$6:$C$4655,"&gt;="&amp;'THAM_SO'!$B$6,'CHAM_CONG_NGAY'!$C$6:$C$4655,"&lt;="&amp;'THAM_SO'!$B$7),$H17))</f>
        <v/>
      </c>
      <c r="AG17" s="232">
        <f>IF($B17="","",IF($D17="Theo ngày",SUMIFS('CHAM_CONG_NGAY'!$I$6:$I$4655,'CHAM_CONG_NGAY'!$B$6:$B$4655,$B17,'CHAM_CONG_NGAY'!$C$6:$C$4655,"&gt;="&amp;'THAM_SO'!$B$6,'CHAM_CONG_NGAY'!$C$6:$C$4655,"&lt;="&amp;'THAM_SO'!$B$7),$I17))</f>
        <v/>
      </c>
      <c r="AH17" s="232">
        <f>IF($B17="","",IF($D17="Theo ngày",SUMIFS('CHAM_CONG_NGAY'!$J$6:$J$4655,'CHAM_CONG_NGAY'!$B$6:$B$4655,$B17,'CHAM_CONG_NGAY'!$C$6:$C$4655,"&gt;="&amp;'THAM_SO'!$B$6,'CHAM_CONG_NGAY'!$C$6:$C$4655,"&lt;="&amp;'THAM_SO'!$B$7),$J17))</f>
        <v/>
      </c>
      <c r="AI17" s="232">
        <f>IF($B17="","",IF($D17="Theo ngày",SUMIFS('CHAM_CONG_NGAY'!$K$6:$K$4655,'CHAM_CONG_NGAY'!$B$6:$B$4655,$B17,'CHAM_CONG_NGAY'!$C$6:$C$4655,"&gt;="&amp;'THAM_SO'!$B$6,'CHAM_CONG_NGAY'!$C$6:$C$4655,"&lt;="&amp;'THAM_SO'!$B$7),$K17))</f>
        <v/>
      </c>
      <c r="AJ17" s="232">
        <f>IF($B17="","",IF($D17="Theo ngày",SUMIFS('CHAM_CONG_NGAY'!$L$6:$L$4655,'CHAM_CONG_NGAY'!$B$6:$B$4655,$B17,'CHAM_CONG_NGAY'!$C$6:$C$4655,"&gt;="&amp;'THAM_SO'!$B$6,'CHAM_CONG_NGAY'!$C$6:$C$4655,"&lt;="&amp;'THAM_SO'!$B$7),$L17))</f>
        <v/>
      </c>
      <c r="AK17" s="232">
        <f>IF($B17="","",IF($D17="Theo ngày",SUMIFS('CHAM_CONG_NGAY'!$M$6:$M$4655,'CHAM_CONG_NGAY'!$B$6:$B$4655,$B17,'CHAM_CONG_NGAY'!$C$6:$C$4655,"&gt;="&amp;'THAM_SO'!$B$6,'CHAM_CONG_NGAY'!$C$6:$C$4655,"&lt;="&amp;'THAM_SO'!$B$7),$M17))</f>
        <v/>
      </c>
      <c r="AL17" s="227" t="n"/>
      <c r="AM17" s="227" t="n"/>
      <c r="AN17" s="227" t="n"/>
      <c r="AO17" s="227" t="n"/>
      <c r="AP17" s="227" t="n"/>
      <c r="AQ17" s="227" t="n"/>
      <c r="AR17" s="232">
        <f>IF($B17="","",IF($D17="Theo ngày",SUMIFS('CHAM_CONG_NGAY'!$O$6:$O$4655,'CHAM_CONG_NGAY'!$B$6:$B$4655,$B17,'CHAM_CONG_NGAY'!$C$6:$C$4655,"&gt;="&amp;'THAM_SO'!$B$6,'CHAM_CONG_NGAY'!$C$6:$C$4655,"&lt;="&amp;'THAM_SO'!$B$7),$AL17))</f>
        <v/>
      </c>
      <c r="AS17" s="232">
        <f>IF($B17="","",IF($D17="Theo ngày",SUMIFS('CHAM_CONG_NGAY'!$P$6:$P$4655,'CHAM_CONG_NGAY'!$B$6:$B$4655,$B17,'CHAM_CONG_NGAY'!$C$6:$C$4655,"&gt;="&amp;'THAM_SO'!$B$6,'CHAM_CONG_NGAY'!$C$6:$C$4655,"&lt;="&amp;'THAM_SO'!$B$7),$AM17))</f>
        <v/>
      </c>
      <c r="AT17" s="232">
        <f>IF($B17="","",IF($D17="Theo ngày",SUMIFS('CHAM_CONG_NGAY'!$Q$6:$Q$4655,'CHAM_CONG_NGAY'!$B$6:$B$4655,$B17,'CHAM_CONG_NGAY'!$C$6:$C$4655,"&gt;="&amp;'THAM_SO'!$B$6,'CHAM_CONG_NGAY'!$C$6:$C$4655,"&lt;="&amp;'THAM_SO'!$B$7),$AN17))</f>
        <v/>
      </c>
      <c r="AU17" s="232">
        <f>IF($B17="","",IF($D17="Theo ngày",SUMIFS('CHAM_CONG_NGAY'!$R$6:$R$4655,'CHAM_CONG_NGAY'!$B$6:$B$4655,$B17,'CHAM_CONG_NGAY'!$C$6:$C$4655,"&gt;="&amp;'THAM_SO'!$B$6,'CHAM_CONG_NGAY'!$C$6:$C$4655,"&lt;="&amp;'THAM_SO'!$B$7),$AO17))</f>
        <v/>
      </c>
      <c r="AV17" s="232">
        <f>IF($B17="","",IF($D17="Theo ngày",SUMIFS('CHAM_CONG_NGAY'!$S$6:$S$4655,'CHAM_CONG_NGAY'!$B$6:$B$4655,$B17,'CHAM_CONG_NGAY'!$C$6:$C$4655,"&gt;="&amp;'THAM_SO'!$B$6,'CHAM_CONG_NGAY'!$C$6:$C$4655,"&lt;="&amp;'THAM_SO'!$B$7),$AP17))</f>
        <v/>
      </c>
      <c r="AW17" s="232">
        <f>IF($B17="","",IF($D17="Theo ngày",SUMIFS('CHAM_CONG_NGAY'!$T$6:$T$4655,'CHAM_CONG_NGAY'!$B$6:$B$4655,$B17,'CHAM_CONG_NGAY'!$C$6:$C$4655,"&gt;="&amp;'THAM_SO'!$B$6,'CHAM_CONG_NGAY'!$C$6:$C$4655,"&lt;="&amp;'THAM_SO'!$B$7),$AQ17))</f>
        <v/>
      </c>
    </row>
    <row r="18">
      <c r="A18" s="145">
        <f>IF($B18="","",ROW()-5)</f>
        <v/>
      </c>
      <c r="B18" s="145">
        <f>IF('DM_NHAN_SU'!B18="","",'DM_NHAN_SU'!B18)</f>
        <v/>
      </c>
      <c r="C18" s="145">
        <f>IF('DM_NHAN_SU'!B18="","",'DM_NHAN_SU'!C18)</f>
        <v/>
      </c>
      <c r="D18" s="127" t="n"/>
      <c r="E18" s="227" t="n"/>
      <c r="F18" s="227" t="n"/>
      <c r="G18" s="227" t="n"/>
      <c r="H18" s="227" t="n"/>
      <c r="I18" s="227" t="n"/>
      <c r="J18" s="227" t="n"/>
      <c r="K18" s="227" t="n"/>
      <c r="L18" s="227" t="n"/>
      <c r="M18" s="227" t="n"/>
      <c r="N18" s="227" t="n"/>
      <c r="O18" s="222" t="n"/>
      <c r="P18" s="222" t="n"/>
      <c r="Q18" s="222" t="n"/>
      <c r="R18" s="222" t="n"/>
      <c r="S18" s="222" t="n"/>
      <c r="T18" s="222" t="n"/>
      <c r="U18" s="222" t="n"/>
      <c r="V18" s="222" t="n"/>
      <c r="W18" s="222" t="n"/>
      <c r="X18" s="222" t="n"/>
      <c r="Y18" s="222" t="n"/>
      <c r="Z18" s="222" t="n"/>
      <c r="AA18" s="127" t="n"/>
      <c r="AB18" s="127" t="n"/>
      <c r="AC18" s="232">
        <f>IF($B18="","",IF($D18="Theo ngày",SUMIFS('CHAM_CONG_NGAY'!$E$6:$E$4655,'CHAM_CONG_NGAY'!$B$6:$B$4655,$B18,'CHAM_CONG_NGAY'!$C$6:$C$4655,"&gt;="&amp;'THAM_SO'!$B$6,'CHAM_CONG_NGAY'!$C$6:$C$4655,"&lt;="&amp;'THAM_SO'!$B$7),$E18))</f>
        <v/>
      </c>
      <c r="AD18" s="232">
        <f>IF($B18="","",IF($D18="Theo ngày",SUMIFS('CHAM_CONG_NGAY'!$F$6:$F$4655,'CHAM_CONG_NGAY'!$B$6:$B$4655,$B18,'CHAM_CONG_NGAY'!$C$6:$C$4655,"&gt;="&amp;'THAM_SO'!$B$6,'CHAM_CONG_NGAY'!$C$6:$C$4655,"&lt;="&amp;'THAM_SO'!$B$7),$F18))</f>
        <v/>
      </c>
      <c r="AE18" s="232">
        <f>IF($B18="","",IF($D18="Theo ngày",SUMIFS('CHAM_CONG_NGAY'!$G$6:$G$4655,'CHAM_CONG_NGAY'!$B$6:$B$4655,$B18,'CHAM_CONG_NGAY'!$C$6:$C$4655,"&gt;="&amp;'THAM_SO'!$B$6,'CHAM_CONG_NGAY'!$C$6:$C$4655,"&lt;="&amp;'THAM_SO'!$B$7),$G18))</f>
        <v/>
      </c>
      <c r="AF18" s="232">
        <f>IF($B18="","",IF($D18="Theo ngày",SUMIFS('CHAM_CONG_NGAY'!$H$6:$H$4655,'CHAM_CONG_NGAY'!$B$6:$B$4655,$B18,'CHAM_CONG_NGAY'!$C$6:$C$4655,"&gt;="&amp;'THAM_SO'!$B$6,'CHAM_CONG_NGAY'!$C$6:$C$4655,"&lt;="&amp;'THAM_SO'!$B$7),$H18))</f>
        <v/>
      </c>
      <c r="AG18" s="232">
        <f>IF($B18="","",IF($D18="Theo ngày",SUMIFS('CHAM_CONG_NGAY'!$I$6:$I$4655,'CHAM_CONG_NGAY'!$B$6:$B$4655,$B18,'CHAM_CONG_NGAY'!$C$6:$C$4655,"&gt;="&amp;'THAM_SO'!$B$6,'CHAM_CONG_NGAY'!$C$6:$C$4655,"&lt;="&amp;'THAM_SO'!$B$7),$I18))</f>
        <v/>
      </c>
      <c r="AH18" s="232">
        <f>IF($B18="","",IF($D18="Theo ngày",SUMIFS('CHAM_CONG_NGAY'!$J$6:$J$4655,'CHAM_CONG_NGAY'!$B$6:$B$4655,$B18,'CHAM_CONG_NGAY'!$C$6:$C$4655,"&gt;="&amp;'THAM_SO'!$B$6,'CHAM_CONG_NGAY'!$C$6:$C$4655,"&lt;="&amp;'THAM_SO'!$B$7),$J18))</f>
        <v/>
      </c>
      <c r="AI18" s="232">
        <f>IF($B18="","",IF($D18="Theo ngày",SUMIFS('CHAM_CONG_NGAY'!$K$6:$K$4655,'CHAM_CONG_NGAY'!$B$6:$B$4655,$B18,'CHAM_CONG_NGAY'!$C$6:$C$4655,"&gt;="&amp;'THAM_SO'!$B$6,'CHAM_CONG_NGAY'!$C$6:$C$4655,"&lt;="&amp;'THAM_SO'!$B$7),$K18))</f>
        <v/>
      </c>
      <c r="AJ18" s="232">
        <f>IF($B18="","",IF($D18="Theo ngày",SUMIFS('CHAM_CONG_NGAY'!$L$6:$L$4655,'CHAM_CONG_NGAY'!$B$6:$B$4655,$B18,'CHAM_CONG_NGAY'!$C$6:$C$4655,"&gt;="&amp;'THAM_SO'!$B$6,'CHAM_CONG_NGAY'!$C$6:$C$4655,"&lt;="&amp;'THAM_SO'!$B$7),$L18))</f>
        <v/>
      </c>
      <c r="AK18" s="232">
        <f>IF($B18="","",IF($D18="Theo ngày",SUMIFS('CHAM_CONG_NGAY'!$M$6:$M$4655,'CHAM_CONG_NGAY'!$B$6:$B$4655,$B18,'CHAM_CONG_NGAY'!$C$6:$C$4655,"&gt;="&amp;'THAM_SO'!$B$6,'CHAM_CONG_NGAY'!$C$6:$C$4655,"&lt;="&amp;'THAM_SO'!$B$7),$M18))</f>
        <v/>
      </c>
      <c r="AL18" s="227" t="n"/>
      <c r="AM18" s="227" t="n"/>
      <c r="AN18" s="227" t="n"/>
      <c r="AO18" s="227" t="n"/>
      <c r="AP18" s="227" t="n"/>
      <c r="AQ18" s="227" t="n"/>
      <c r="AR18" s="232">
        <f>IF($B18="","",IF($D18="Theo ngày",SUMIFS('CHAM_CONG_NGAY'!$O$6:$O$4655,'CHAM_CONG_NGAY'!$B$6:$B$4655,$B18,'CHAM_CONG_NGAY'!$C$6:$C$4655,"&gt;="&amp;'THAM_SO'!$B$6,'CHAM_CONG_NGAY'!$C$6:$C$4655,"&lt;="&amp;'THAM_SO'!$B$7),$AL18))</f>
        <v/>
      </c>
      <c r="AS18" s="232">
        <f>IF($B18="","",IF($D18="Theo ngày",SUMIFS('CHAM_CONG_NGAY'!$P$6:$P$4655,'CHAM_CONG_NGAY'!$B$6:$B$4655,$B18,'CHAM_CONG_NGAY'!$C$6:$C$4655,"&gt;="&amp;'THAM_SO'!$B$6,'CHAM_CONG_NGAY'!$C$6:$C$4655,"&lt;="&amp;'THAM_SO'!$B$7),$AM18))</f>
        <v/>
      </c>
      <c r="AT18" s="232">
        <f>IF($B18="","",IF($D18="Theo ngày",SUMIFS('CHAM_CONG_NGAY'!$Q$6:$Q$4655,'CHAM_CONG_NGAY'!$B$6:$B$4655,$B18,'CHAM_CONG_NGAY'!$C$6:$C$4655,"&gt;="&amp;'THAM_SO'!$B$6,'CHAM_CONG_NGAY'!$C$6:$C$4655,"&lt;="&amp;'THAM_SO'!$B$7),$AN18))</f>
        <v/>
      </c>
      <c r="AU18" s="232">
        <f>IF($B18="","",IF($D18="Theo ngày",SUMIFS('CHAM_CONG_NGAY'!$R$6:$R$4655,'CHAM_CONG_NGAY'!$B$6:$B$4655,$B18,'CHAM_CONG_NGAY'!$C$6:$C$4655,"&gt;="&amp;'THAM_SO'!$B$6,'CHAM_CONG_NGAY'!$C$6:$C$4655,"&lt;="&amp;'THAM_SO'!$B$7),$AO18))</f>
        <v/>
      </c>
      <c r="AV18" s="232">
        <f>IF($B18="","",IF($D18="Theo ngày",SUMIFS('CHAM_CONG_NGAY'!$S$6:$S$4655,'CHAM_CONG_NGAY'!$B$6:$B$4655,$B18,'CHAM_CONG_NGAY'!$C$6:$C$4655,"&gt;="&amp;'THAM_SO'!$B$6,'CHAM_CONG_NGAY'!$C$6:$C$4655,"&lt;="&amp;'THAM_SO'!$B$7),$AP18))</f>
        <v/>
      </c>
      <c r="AW18" s="232">
        <f>IF($B18="","",IF($D18="Theo ngày",SUMIFS('CHAM_CONG_NGAY'!$T$6:$T$4655,'CHAM_CONG_NGAY'!$B$6:$B$4655,$B18,'CHAM_CONG_NGAY'!$C$6:$C$4655,"&gt;="&amp;'THAM_SO'!$B$6,'CHAM_CONG_NGAY'!$C$6:$C$4655,"&lt;="&amp;'THAM_SO'!$B$7),$AQ18))</f>
        <v/>
      </c>
    </row>
    <row r="19">
      <c r="A19" s="145">
        <f>IF($B19="","",ROW()-5)</f>
        <v/>
      </c>
      <c r="B19" s="145">
        <f>IF('DM_NHAN_SU'!B19="","",'DM_NHAN_SU'!B19)</f>
        <v/>
      </c>
      <c r="C19" s="145">
        <f>IF('DM_NHAN_SU'!B19="","",'DM_NHAN_SU'!C19)</f>
        <v/>
      </c>
      <c r="D19" s="127" t="n"/>
      <c r="E19" s="227" t="n"/>
      <c r="F19" s="227" t="n"/>
      <c r="G19" s="227" t="n"/>
      <c r="H19" s="227" t="n"/>
      <c r="I19" s="227" t="n"/>
      <c r="J19" s="227" t="n"/>
      <c r="K19" s="227" t="n"/>
      <c r="L19" s="227" t="n"/>
      <c r="M19" s="227" t="n"/>
      <c r="N19" s="227" t="n"/>
      <c r="O19" s="222" t="n"/>
      <c r="P19" s="222" t="n"/>
      <c r="Q19" s="222" t="n"/>
      <c r="R19" s="222" t="n"/>
      <c r="S19" s="222" t="n"/>
      <c r="T19" s="222" t="n"/>
      <c r="U19" s="222" t="n"/>
      <c r="V19" s="222" t="n"/>
      <c r="W19" s="222" t="n"/>
      <c r="X19" s="222" t="n"/>
      <c r="Y19" s="222" t="n"/>
      <c r="Z19" s="222" t="n"/>
      <c r="AA19" s="127" t="n"/>
      <c r="AB19" s="127" t="n"/>
      <c r="AC19" s="232">
        <f>IF($B19="","",IF($D19="Theo ngày",SUMIFS('CHAM_CONG_NGAY'!$E$6:$E$4655,'CHAM_CONG_NGAY'!$B$6:$B$4655,$B19,'CHAM_CONG_NGAY'!$C$6:$C$4655,"&gt;="&amp;'THAM_SO'!$B$6,'CHAM_CONG_NGAY'!$C$6:$C$4655,"&lt;="&amp;'THAM_SO'!$B$7),$E19))</f>
        <v/>
      </c>
      <c r="AD19" s="232">
        <f>IF($B19="","",IF($D19="Theo ngày",SUMIFS('CHAM_CONG_NGAY'!$F$6:$F$4655,'CHAM_CONG_NGAY'!$B$6:$B$4655,$B19,'CHAM_CONG_NGAY'!$C$6:$C$4655,"&gt;="&amp;'THAM_SO'!$B$6,'CHAM_CONG_NGAY'!$C$6:$C$4655,"&lt;="&amp;'THAM_SO'!$B$7),$F19))</f>
        <v/>
      </c>
      <c r="AE19" s="232">
        <f>IF($B19="","",IF($D19="Theo ngày",SUMIFS('CHAM_CONG_NGAY'!$G$6:$G$4655,'CHAM_CONG_NGAY'!$B$6:$B$4655,$B19,'CHAM_CONG_NGAY'!$C$6:$C$4655,"&gt;="&amp;'THAM_SO'!$B$6,'CHAM_CONG_NGAY'!$C$6:$C$4655,"&lt;="&amp;'THAM_SO'!$B$7),$G19))</f>
        <v/>
      </c>
      <c r="AF19" s="232">
        <f>IF($B19="","",IF($D19="Theo ngày",SUMIFS('CHAM_CONG_NGAY'!$H$6:$H$4655,'CHAM_CONG_NGAY'!$B$6:$B$4655,$B19,'CHAM_CONG_NGAY'!$C$6:$C$4655,"&gt;="&amp;'THAM_SO'!$B$6,'CHAM_CONG_NGAY'!$C$6:$C$4655,"&lt;="&amp;'THAM_SO'!$B$7),$H19))</f>
        <v/>
      </c>
      <c r="AG19" s="232">
        <f>IF($B19="","",IF($D19="Theo ngày",SUMIFS('CHAM_CONG_NGAY'!$I$6:$I$4655,'CHAM_CONG_NGAY'!$B$6:$B$4655,$B19,'CHAM_CONG_NGAY'!$C$6:$C$4655,"&gt;="&amp;'THAM_SO'!$B$6,'CHAM_CONG_NGAY'!$C$6:$C$4655,"&lt;="&amp;'THAM_SO'!$B$7),$I19))</f>
        <v/>
      </c>
      <c r="AH19" s="232">
        <f>IF($B19="","",IF($D19="Theo ngày",SUMIFS('CHAM_CONG_NGAY'!$J$6:$J$4655,'CHAM_CONG_NGAY'!$B$6:$B$4655,$B19,'CHAM_CONG_NGAY'!$C$6:$C$4655,"&gt;="&amp;'THAM_SO'!$B$6,'CHAM_CONG_NGAY'!$C$6:$C$4655,"&lt;="&amp;'THAM_SO'!$B$7),$J19))</f>
        <v/>
      </c>
      <c r="AI19" s="232">
        <f>IF($B19="","",IF($D19="Theo ngày",SUMIFS('CHAM_CONG_NGAY'!$K$6:$K$4655,'CHAM_CONG_NGAY'!$B$6:$B$4655,$B19,'CHAM_CONG_NGAY'!$C$6:$C$4655,"&gt;="&amp;'THAM_SO'!$B$6,'CHAM_CONG_NGAY'!$C$6:$C$4655,"&lt;="&amp;'THAM_SO'!$B$7),$K19))</f>
        <v/>
      </c>
      <c r="AJ19" s="232">
        <f>IF($B19="","",IF($D19="Theo ngày",SUMIFS('CHAM_CONG_NGAY'!$L$6:$L$4655,'CHAM_CONG_NGAY'!$B$6:$B$4655,$B19,'CHAM_CONG_NGAY'!$C$6:$C$4655,"&gt;="&amp;'THAM_SO'!$B$6,'CHAM_CONG_NGAY'!$C$6:$C$4655,"&lt;="&amp;'THAM_SO'!$B$7),$L19))</f>
        <v/>
      </c>
      <c r="AK19" s="232">
        <f>IF($B19="","",IF($D19="Theo ngày",SUMIFS('CHAM_CONG_NGAY'!$M$6:$M$4655,'CHAM_CONG_NGAY'!$B$6:$B$4655,$B19,'CHAM_CONG_NGAY'!$C$6:$C$4655,"&gt;="&amp;'THAM_SO'!$B$6,'CHAM_CONG_NGAY'!$C$6:$C$4655,"&lt;="&amp;'THAM_SO'!$B$7),$M19))</f>
        <v/>
      </c>
      <c r="AL19" s="227" t="n"/>
      <c r="AM19" s="227" t="n"/>
      <c r="AN19" s="227" t="n"/>
      <c r="AO19" s="227" t="n"/>
      <c r="AP19" s="227" t="n"/>
      <c r="AQ19" s="227" t="n"/>
      <c r="AR19" s="232">
        <f>IF($B19="","",IF($D19="Theo ngày",SUMIFS('CHAM_CONG_NGAY'!$O$6:$O$4655,'CHAM_CONG_NGAY'!$B$6:$B$4655,$B19,'CHAM_CONG_NGAY'!$C$6:$C$4655,"&gt;="&amp;'THAM_SO'!$B$6,'CHAM_CONG_NGAY'!$C$6:$C$4655,"&lt;="&amp;'THAM_SO'!$B$7),$AL19))</f>
        <v/>
      </c>
      <c r="AS19" s="232">
        <f>IF($B19="","",IF($D19="Theo ngày",SUMIFS('CHAM_CONG_NGAY'!$P$6:$P$4655,'CHAM_CONG_NGAY'!$B$6:$B$4655,$B19,'CHAM_CONG_NGAY'!$C$6:$C$4655,"&gt;="&amp;'THAM_SO'!$B$6,'CHAM_CONG_NGAY'!$C$6:$C$4655,"&lt;="&amp;'THAM_SO'!$B$7),$AM19))</f>
        <v/>
      </c>
      <c r="AT19" s="232">
        <f>IF($B19="","",IF($D19="Theo ngày",SUMIFS('CHAM_CONG_NGAY'!$Q$6:$Q$4655,'CHAM_CONG_NGAY'!$B$6:$B$4655,$B19,'CHAM_CONG_NGAY'!$C$6:$C$4655,"&gt;="&amp;'THAM_SO'!$B$6,'CHAM_CONG_NGAY'!$C$6:$C$4655,"&lt;="&amp;'THAM_SO'!$B$7),$AN19))</f>
        <v/>
      </c>
      <c r="AU19" s="232">
        <f>IF($B19="","",IF($D19="Theo ngày",SUMIFS('CHAM_CONG_NGAY'!$R$6:$R$4655,'CHAM_CONG_NGAY'!$B$6:$B$4655,$B19,'CHAM_CONG_NGAY'!$C$6:$C$4655,"&gt;="&amp;'THAM_SO'!$B$6,'CHAM_CONG_NGAY'!$C$6:$C$4655,"&lt;="&amp;'THAM_SO'!$B$7),$AO19))</f>
        <v/>
      </c>
      <c r="AV19" s="232">
        <f>IF($B19="","",IF($D19="Theo ngày",SUMIFS('CHAM_CONG_NGAY'!$S$6:$S$4655,'CHAM_CONG_NGAY'!$B$6:$B$4655,$B19,'CHAM_CONG_NGAY'!$C$6:$C$4655,"&gt;="&amp;'THAM_SO'!$B$6,'CHAM_CONG_NGAY'!$C$6:$C$4655,"&lt;="&amp;'THAM_SO'!$B$7),$AP19))</f>
        <v/>
      </c>
      <c r="AW19" s="232">
        <f>IF($B19="","",IF($D19="Theo ngày",SUMIFS('CHAM_CONG_NGAY'!$T$6:$T$4655,'CHAM_CONG_NGAY'!$B$6:$B$4655,$B19,'CHAM_CONG_NGAY'!$C$6:$C$4655,"&gt;="&amp;'THAM_SO'!$B$6,'CHAM_CONG_NGAY'!$C$6:$C$4655,"&lt;="&amp;'THAM_SO'!$B$7),$AQ19))</f>
        <v/>
      </c>
    </row>
    <row r="20">
      <c r="A20" s="145">
        <f>IF($B20="","",ROW()-5)</f>
        <v/>
      </c>
      <c r="B20" s="145">
        <f>IF('DM_NHAN_SU'!B20="","",'DM_NHAN_SU'!B20)</f>
        <v/>
      </c>
      <c r="C20" s="145">
        <f>IF('DM_NHAN_SU'!B20="","",'DM_NHAN_SU'!C20)</f>
        <v/>
      </c>
      <c r="D20" s="127" t="n"/>
      <c r="E20" s="227" t="n"/>
      <c r="F20" s="227" t="n"/>
      <c r="G20" s="227" t="n"/>
      <c r="H20" s="227" t="n"/>
      <c r="I20" s="227" t="n"/>
      <c r="J20" s="227" t="n"/>
      <c r="K20" s="227" t="n"/>
      <c r="L20" s="227" t="n"/>
      <c r="M20" s="227" t="n"/>
      <c r="N20" s="227" t="n"/>
      <c r="O20" s="222" t="n"/>
      <c r="P20" s="222" t="n"/>
      <c r="Q20" s="222" t="n"/>
      <c r="R20" s="222" t="n"/>
      <c r="S20" s="222" t="n"/>
      <c r="T20" s="222" t="n"/>
      <c r="U20" s="222" t="n"/>
      <c r="V20" s="222" t="n"/>
      <c r="W20" s="222" t="n"/>
      <c r="X20" s="222" t="n"/>
      <c r="Y20" s="222" t="n"/>
      <c r="Z20" s="222" t="n"/>
      <c r="AA20" s="127" t="n"/>
      <c r="AB20" s="127" t="n"/>
      <c r="AC20" s="232">
        <f>IF($B20="","",IF($D20="Theo ngày",SUMIFS('CHAM_CONG_NGAY'!$E$6:$E$4655,'CHAM_CONG_NGAY'!$B$6:$B$4655,$B20,'CHAM_CONG_NGAY'!$C$6:$C$4655,"&gt;="&amp;'THAM_SO'!$B$6,'CHAM_CONG_NGAY'!$C$6:$C$4655,"&lt;="&amp;'THAM_SO'!$B$7),$E20))</f>
        <v/>
      </c>
      <c r="AD20" s="232">
        <f>IF($B20="","",IF($D20="Theo ngày",SUMIFS('CHAM_CONG_NGAY'!$F$6:$F$4655,'CHAM_CONG_NGAY'!$B$6:$B$4655,$B20,'CHAM_CONG_NGAY'!$C$6:$C$4655,"&gt;="&amp;'THAM_SO'!$B$6,'CHAM_CONG_NGAY'!$C$6:$C$4655,"&lt;="&amp;'THAM_SO'!$B$7),$F20))</f>
        <v/>
      </c>
      <c r="AE20" s="232">
        <f>IF($B20="","",IF($D20="Theo ngày",SUMIFS('CHAM_CONG_NGAY'!$G$6:$G$4655,'CHAM_CONG_NGAY'!$B$6:$B$4655,$B20,'CHAM_CONG_NGAY'!$C$6:$C$4655,"&gt;="&amp;'THAM_SO'!$B$6,'CHAM_CONG_NGAY'!$C$6:$C$4655,"&lt;="&amp;'THAM_SO'!$B$7),$G20))</f>
        <v/>
      </c>
      <c r="AF20" s="232">
        <f>IF($B20="","",IF($D20="Theo ngày",SUMIFS('CHAM_CONG_NGAY'!$H$6:$H$4655,'CHAM_CONG_NGAY'!$B$6:$B$4655,$B20,'CHAM_CONG_NGAY'!$C$6:$C$4655,"&gt;="&amp;'THAM_SO'!$B$6,'CHAM_CONG_NGAY'!$C$6:$C$4655,"&lt;="&amp;'THAM_SO'!$B$7),$H20))</f>
        <v/>
      </c>
      <c r="AG20" s="232">
        <f>IF($B20="","",IF($D20="Theo ngày",SUMIFS('CHAM_CONG_NGAY'!$I$6:$I$4655,'CHAM_CONG_NGAY'!$B$6:$B$4655,$B20,'CHAM_CONG_NGAY'!$C$6:$C$4655,"&gt;="&amp;'THAM_SO'!$B$6,'CHAM_CONG_NGAY'!$C$6:$C$4655,"&lt;="&amp;'THAM_SO'!$B$7),$I20))</f>
        <v/>
      </c>
      <c r="AH20" s="232">
        <f>IF($B20="","",IF($D20="Theo ngày",SUMIFS('CHAM_CONG_NGAY'!$J$6:$J$4655,'CHAM_CONG_NGAY'!$B$6:$B$4655,$B20,'CHAM_CONG_NGAY'!$C$6:$C$4655,"&gt;="&amp;'THAM_SO'!$B$6,'CHAM_CONG_NGAY'!$C$6:$C$4655,"&lt;="&amp;'THAM_SO'!$B$7),$J20))</f>
        <v/>
      </c>
      <c r="AI20" s="232">
        <f>IF($B20="","",IF($D20="Theo ngày",SUMIFS('CHAM_CONG_NGAY'!$K$6:$K$4655,'CHAM_CONG_NGAY'!$B$6:$B$4655,$B20,'CHAM_CONG_NGAY'!$C$6:$C$4655,"&gt;="&amp;'THAM_SO'!$B$6,'CHAM_CONG_NGAY'!$C$6:$C$4655,"&lt;="&amp;'THAM_SO'!$B$7),$K20))</f>
        <v/>
      </c>
      <c r="AJ20" s="232">
        <f>IF($B20="","",IF($D20="Theo ngày",SUMIFS('CHAM_CONG_NGAY'!$L$6:$L$4655,'CHAM_CONG_NGAY'!$B$6:$B$4655,$B20,'CHAM_CONG_NGAY'!$C$6:$C$4655,"&gt;="&amp;'THAM_SO'!$B$6,'CHAM_CONG_NGAY'!$C$6:$C$4655,"&lt;="&amp;'THAM_SO'!$B$7),$L20))</f>
        <v/>
      </c>
      <c r="AK20" s="232">
        <f>IF($B20="","",IF($D20="Theo ngày",SUMIFS('CHAM_CONG_NGAY'!$M$6:$M$4655,'CHAM_CONG_NGAY'!$B$6:$B$4655,$B20,'CHAM_CONG_NGAY'!$C$6:$C$4655,"&gt;="&amp;'THAM_SO'!$B$6,'CHAM_CONG_NGAY'!$C$6:$C$4655,"&lt;="&amp;'THAM_SO'!$B$7),$M20))</f>
        <v/>
      </c>
      <c r="AL20" s="227" t="n"/>
      <c r="AM20" s="227" t="n"/>
      <c r="AN20" s="227" t="n"/>
      <c r="AO20" s="227" t="n"/>
      <c r="AP20" s="227" t="n"/>
      <c r="AQ20" s="227" t="n"/>
      <c r="AR20" s="232">
        <f>IF($B20="","",IF($D20="Theo ngày",SUMIFS('CHAM_CONG_NGAY'!$O$6:$O$4655,'CHAM_CONG_NGAY'!$B$6:$B$4655,$B20,'CHAM_CONG_NGAY'!$C$6:$C$4655,"&gt;="&amp;'THAM_SO'!$B$6,'CHAM_CONG_NGAY'!$C$6:$C$4655,"&lt;="&amp;'THAM_SO'!$B$7),$AL20))</f>
        <v/>
      </c>
      <c r="AS20" s="232">
        <f>IF($B20="","",IF($D20="Theo ngày",SUMIFS('CHAM_CONG_NGAY'!$P$6:$P$4655,'CHAM_CONG_NGAY'!$B$6:$B$4655,$B20,'CHAM_CONG_NGAY'!$C$6:$C$4655,"&gt;="&amp;'THAM_SO'!$B$6,'CHAM_CONG_NGAY'!$C$6:$C$4655,"&lt;="&amp;'THAM_SO'!$B$7),$AM20))</f>
        <v/>
      </c>
      <c r="AT20" s="232">
        <f>IF($B20="","",IF($D20="Theo ngày",SUMIFS('CHAM_CONG_NGAY'!$Q$6:$Q$4655,'CHAM_CONG_NGAY'!$B$6:$B$4655,$B20,'CHAM_CONG_NGAY'!$C$6:$C$4655,"&gt;="&amp;'THAM_SO'!$B$6,'CHAM_CONG_NGAY'!$C$6:$C$4655,"&lt;="&amp;'THAM_SO'!$B$7),$AN20))</f>
        <v/>
      </c>
      <c r="AU20" s="232">
        <f>IF($B20="","",IF($D20="Theo ngày",SUMIFS('CHAM_CONG_NGAY'!$R$6:$R$4655,'CHAM_CONG_NGAY'!$B$6:$B$4655,$B20,'CHAM_CONG_NGAY'!$C$6:$C$4655,"&gt;="&amp;'THAM_SO'!$B$6,'CHAM_CONG_NGAY'!$C$6:$C$4655,"&lt;="&amp;'THAM_SO'!$B$7),$AO20))</f>
        <v/>
      </c>
      <c r="AV20" s="232">
        <f>IF($B20="","",IF($D20="Theo ngày",SUMIFS('CHAM_CONG_NGAY'!$S$6:$S$4655,'CHAM_CONG_NGAY'!$B$6:$B$4655,$B20,'CHAM_CONG_NGAY'!$C$6:$C$4655,"&gt;="&amp;'THAM_SO'!$B$6,'CHAM_CONG_NGAY'!$C$6:$C$4655,"&lt;="&amp;'THAM_SO'!$B$7),$AP20))</f>
        <v/>
      </c>
      <c r="AW20" s="232">
        <f>IF($B20="","",IF($D20="Theo ngày",SUMIFS('CHAM_CONG_NGAY'!$T$6:$T$4655,'CHAM_CONG_NGAY'!$B$6:$B$4655,$B20,'CHAM_CONG_NGAY'!$C$6:$C$4655,"&gt;="&amp;'THAM_SO'!$B$6,'CHAM_CONG_NGAY'!$C$6:$C$4655,"&lt;="&amp;'THAM_SO'!$B$7),$AQ20))</f>
        <v/>
      </c>
    </row>
    <row r="21">
      <c r="A21" s="145">
        <f>IF($B21="","",ROW()-5)</f>
        <v/>
      </c>
      <c r="B21" s="145">
        <f>IF('DM_NHAN_SU'!B21="","",'DM_NHAN_SU'!B21)</f>
        <v/>
      </c>
      <c r="C21" s="145">
        <f>IF('DM_NHAN_SU'!B21="","",'DM_NHAN_SU'!C21)</f>
        <v/>
      </c>
      <c r="D21" s="127" t="n"/>
      <c r="E21" s="227" t="n"/>
      <c r="F21" s="227" t="n"/>
      <c r="G21" s="227" t="n"/>
      <c r="H21" s="227" t="n"/>
      <c r="I21" s="227" t="n"/>
      <c r="J21" s="227" t="n"/>
      <c r="K21" s="227" t="n"/>
      <c r="L21" s="227" t="n"/>
      <c r="M21" s="227" t="n"/>
      <c r="N21" s="227" t="n"/>
      <c r="O21" s="222" t="n"/>
      <c r="P21" s="222" t="n"/>
      <c r="Q21" s="222" t="n"/>
      <c r="R21" s="222" t="n"/>
      <c r="S21" s="222" t="n"/>
      <c r="T21" s="222" t="n"/>
      <c r="U21" s="222" t="n"/>
      <c r="V21" s="222" t="n"/>
      <c r="W21" s="222" t="n"/>
      <c r="X21" s="222" t="n"/>
      <c r="Y21" s="222" t="n"/>
      <c r="Z21" s="222" t="n"/>
      <c r="AA21" s="127" t="n"/>
      <c r="AB21" s="127" t="n"/>
      <c r="AC21" s="232">
        <f>IF($B21="","",IF($D21="Theo ngày",SUMIFS('CHAM_CONG_NGAY'!$E$6:$E$4655,'CHAM_CONG_NGAY'!$B$6:$B$4655,$B21,'CHAM_CONG_NGAY'!$C$6:$C$4655,"&gt;="&amp;'THAM_SO'!$B$6,'CHAM_CONG_NGAY'!$C$6:$C$4655,"&lt;="&amp;'THAM_SO'!$B$7),$E21))</f>
        <v/>
      </c>
      <c r="AD21" s="232">
        <f>IF($B21="","",IF($D21="Theo ngày",SUMIFS('CHAM_CONG_NGAY'!$F$6:$F$4655,'CHAM_CONG_NGAY'!$B$6:$B$4655,$B21,'CHAM_CONG_NGAY'!$C$6:$C$4655,"&gt;="&amp;'THAM_SO'!$B$6,'CHAM_CONG_NGAY'!$C$6:$C$4655,"&lt;="&amp;'THAM_SO'!$B$7),$F21))</f>
        <v/>
      </c>
      <c r="AE21" s="232">
        <f>IF($B21="","",IF($D21="Theo ngày",SUMIFS('CHAM_CONG_NGAY'!$G$6:$G$4655,'CHAM_CONG_NGAY'!$B$6:$B$4655,$B21,'CHAM_CONG_NGAY'!$C$6:$C$4655,"&gt;="&amp;'THAM_SO'!$B$6,'CHAM_CONG_NGAY'!$C$6:$C$4655,"&lt;="&amp;'THAM_SO'!$B$7),$G21))</f>
        <v/>
      </c>
      <c r="AF21" s="232">
        <f>IF($B21="","",IF($D21="Theo ngày",SUMIFS('CHAM_CONG_NGAY'!$H$6:$H$4655,'CHAM_CONG_NGAY'!$B$6:$B$4655,$B21,'CHAM_CONG_NGAY'!$C$6:$C$4655,"&gt;="&amp;'THAM_SO'!$B$6,'CHAM_CONG_NGAY'!$C$6:$C$4655,"&lt;="&amp;'THAM_SO'!$B$7),$H21))</f>
        <v/>
      </c>
      <c r="AG21" s="232">
        <f>IF($B21="","",IF($D21="Theo ngày",SUMIFS('CHAM_CONG_NGAY'!$I$6:$I$4655,'CHAM_CONG_NGAY'!$B$6:$B$4655,$B21,'CHAM_CONG_NGAY'!$C$6:$C$4655,"&gt;="&amp;'THAM_SO'!$B$6,'CHAM_CONG_NGAY'!$C$6:$C$4655,"&lt;="&amp;'THAM_SO'!$B$7),$I21))</f>
        <v/>
      </c>
      <c r="AH21" s="232">
        <f>IF($B21="","",IF($D21="Theo ngày",SUMIFS('CHAM_CONG_NGAY'!$J$6:$J$4655,'CHAM_CONG_NGAY'!$B$6:$B$4655,$B21,'CHAM_CONG_NGAY'!$C$6:$C$4655,"&gt;="&amp;'THAM_SO'!$B$6,'CHAM_CONG_NGAY'!$C$6:$C$4655,"&lt;="&amp;'THAM_SO'!$B$7),$J21))</f>
        <v/>
      </c>
      <c r="AI21" s="232">
        <f>IF($B21="","",IF($D21="Theo ngày",SUMIFS('CHAM_CONG_NGAY'!$K$6:$K$4655,'CHAM_CONG_NGAY'!$B$6:$B$4655,$B21,'CHAM_CONG_NGAY'!$C$6:$C$4655,"&gt;="&amp;'THAM_SO'!$B$6,'CHAM_CONG_NGAY'!$C$6:$C$4655,"&lt;="&amp;'THAM_SO'!$B$7),$K21))</f>
        <v/>
      </c>
      <c r="AJ21" s="232">
        <f>IF($B21="","",IF($D21="Theo ngày",SUMIFS('CHAM_CONG_NGAY'!$L$6:$L$4655,'CHAM_CONG_NGAY'!$B$6:$B$4655,$B21,'CHAM_CONG_NGAY'!$C$6:$C$4655,"&gt;="&amp;'THAM_SO'!$B$6,'CHAM_CONG_NGAY'!$C$6:$C$4655,"&lt;="&amp;'THAM_SO'!$B$7),$L21))</f>
        <v/>
      </c>
      <c r="AK21" s="232">
        <f>IF($B21="","",IF($D21="Theo ngày",SUMIFS('CHAM_CONG_NGAY'!$M$6:$M$4655,'CHAM_CONG_NGAY'!$B$6:$B$4655,$B21,'CHAM_CONG_NGAY'!$C$6:$C$4655,"&gt;="&amp;'THAM_SO'!$B$6,'CHAM_CONG_NGAY'!$C$6:$C$4655,"&lt;="&amp;'THAM_SO'!$B$7),$M21))</f>
        <v/>
      </c>
      <c r="AL21" s="227" t="n"/>
      <c r="AM21" s="227" t="n"/>
      <c r="AN21" s="227" t="n"/>
      <c r="AO21" s="227" t="n"/>
      <c r="AP21" s="227" t="n"/>
      <c r="AQ21" s="227" t="n"/>
      <c r="AR21" s="232">
        <f>IF($B21="","",IF($D21="Theo ngày",SUMIFS('CHAM_CONG_NGAY'!$O$6:$O$4655,'CHAM_CONG_NGAY'!$B$6:$B$4655,$B21,'CHAM_CONG_NGAY'!$C$6:$C$4655,"&gt;="&amp;'THAM_SO'!$B$6,'CHAM_CONG_NGAY'!$C$6:$C$4655,"&lt;="&amp;'THAM_SO'!$B$7),$AL21))</f>
        <v/>
      </c>
      <c r="AS21" s="232">
        <f>IF($B21="","",IF($D21="Theo ngày",SUMIFS('CHAM_CONG_NGAY'!$P$6:$P$4655,'CHAM_CONG_NGAY'!$B$6:$B$4655,$B21,'CHAM_CONG_NGAY'!$C$6:$C$4655,"&gt;="&amp;'THAM_SO'!$B$6,'CHAM_CONG_NGAY'!$C$6:$C$4655,"&lt;="&amp;'THAM_SO'!$B$7),$AM21))</f>
        <v/>
      </c>
      <c r="AT21" s="232">
        <f>IF($B21="","",IF($D21="Theo ngày",SUMIFS('CHAM_CONG_NGAY'!$Q$6:$Q$4655,'CHAM_CONG_NGAY'!$B$6:$B$4655,$B21,'CHAM_CONG_NGAY'!$C$6:$C$4655,"&gt;="&amp;'THAM_SO'!$B$6,'CHAM_CONG_NGAY'!$C$6:$C$4655,"&lt;="&amp;'THAM_SO'!$B$7),$AN21))</f>
        <v/>
      </c>
      <c r="AU21" s="232">
        <f>IF($B21="","",IF($D21="Theo ngày",SUMIFS('CHAM_CONG_NGAY'!$R$6:$R$4655,'CHAM_CONG_NGAY'!$B$6:$B$4655,$B21,'CHAM_CONG_NGAY'!$C$6:$C$4655,"&gt;="&amp;'THAM_SO'!$B$6,'CHAM_CONG_NGAY'!$C$6:$C$4655,"&lt;="&amp;'THAM_SO'!$B$7),$AO21))</f>
        <v/>
      </c>
      <c r="AV21" s="232">
        <f>IF($B21="","",IF($D21="Theo ngày",SUMIFS('CHAM_CONG_NGAY'!$S$6:$S$4655,'CHAM_CONG_NGAY'!$B$6:$B$4655,$B21,'CHAM_CONG_NGAY'!$C$6:$C$4655,"&gt;="&amp;'THAM_SO'!$B$6,'CHAM_CONG_NGAY'!$C$6:$C$4655,"&lt;="&amp;'THAM_SO'!$B$7),$AP21))</f>
        <v/>
      </c>
      <c r="AW21" s="232">
        <f>IF($B21="","",IF($D21="Theo ngày",SUMIFS('CHAM_CONG_NGAY'!$T$6:$T$4655,'CHAM_CONG_NGAY'!$B$6:$B$4655,$B21,'CHAM_CONG_NGAY'!$C$6:$C$4655,"&gt;="&amp;'THAM_SO'!$B$6,'CHAM_CONG_NGAY'!$C$6:$C$4655,"&lt;="&amp;'THAM_SO'!$B$7),$AQ21))</f>
        <v/>
      </c>
    </row>
    <row r="22">
      <c r="A22" s="145">
        <f>IF($B22="","",ROW()-5)</f>
        <v/>
      </c>
      <c r="B22" s="145">
        <f>IF('DM_NHAN_SU'!B22="","",'DM_NHAN_SU'!B22)</f>
        <v/>
      </c>
      <c r="C22" s="145">
        <f>IF('DM_NHAN_SU'!B22="","",'DM_NHAN_SU'!C22)</f>
        <v/>
      </c>
      <c r="D22" s="127" t="n"/>
      <c r="E22" s="227" t="n"/>
      <c r="F22" s="227" t="n"/>
      <c r="G22" s="227" t="n"/>
      <c r="H22" s="227" t="n"/>
      <c r="I22" s="227" t="n"/>
      <c r="J22" s="227" t="n"/>
      <c r="K22" s="227" t="n"/>
      <c r="L22" s="227" t="n"/>
      <c r="M22" s="227" t="n"/>
      <c r="N22" s="227" t="n"/>
      <c r="O22" s="222" t="n"/>
      <c r="P22" s="222" t="n"/>
      <c r="Q22" s="222" t="n"/>
      <c r="R22" s="222" t="n"/>
      <c r="S22" s="222" t="n"/>
      <c r="T22" s="222" t="n"/>
      <c r="U22" s="222" t="n"/>
      <c r="V22" s="222" t="n"/>
      <c r="W22" s="222" t="n"/>
      <c r="X22" s="222" t="n"/>
      <c r="Y22" s="222" t="n"/>
      <c r="Z22" s="222" t="n"/>
      <c r="AA22" s="127" t="n"/>
      <c r="AB22" s="127" t="n"/>
      <c r="AC22" s="232">
        <f>IF($B22="","",IF($D22="Theo ngày",SUMIFS('CHAM_CONG_NGAY'!$E$6:$E$4655,'CHAM_CONG_NGAY'!$B$6:$B$4655,$B22,'CHAM_CONG_NGAY'!$C$6:$C$4655,"&gt;="&amp;'THAM_SO'!$B$6,'CHAM_CONG_NGAY'!$C$6:$C$4655,"&lt;="&amp;'THAM_SO'!$B$7),$E22))</f>
        <v/>
      </c>
      <c r="AD22" s="232">
        <f>IF($B22="","",IF($D22="Theo ngày",SUMIFS('CHAM_CONG_NGAY'!$F$6:$F$4655,'CHAM_CONG_NGAY'!$B$6:$B$4655,$B22,'CHAM_CONG_NGAY'!$C$6:$C$4655,"&gt;="&amp;'THAM_SO'!$B$6,'CHAM_CONG_NGAY'!$C$6:$C$4655,"&lt;="&amp;'THAM_SO'!$B$7),$F22))</f>
        <v/>
      </c>
      <c r="AE22" s="232">
        <f>IF($B22="","",IF($D22="Theo ngày",SUMIFS('CHAM_CONG_NGAY'!$G$6:$G$4655,'CHAM_CONG_NGAY'!$B$6:$B$4655,$B22,'CHAM_CONG_NGAY'!$C$6:$C$4655,"&gt;="&amp;'THAM_SO'!$B$6,'CHAM_CONG_NGAY'!$C$6:$C$4655,"&lt;="&amp;'THAM_SO'!$B$7),$G22))</f>
        <v/>
      </c>
      <c r="AF22" s="232">
        <f>IF($B22="","",IF($D22="Theo ngày",SUMIFS('CHAM_CONG_NGAY'!$H$6:$H$4655,'CHAM_CONG_NGAY'!$B$6:$B$4655,$B22,'CHAM_CONG_NGAY'!$C$6:$C$4655,"&gt;="&amp;'THAM_SO'!$B$6,'CHAM_CONG_NGAY'!$C$6:$C$4655,"&lt;="&amp;'THAM_SO'!$B$7),$H22))</f>
        <v/>
      </c>
      <c r="AG22" s="232">
        <f>IF($B22="","",IF($D22="Theo ngày",SUMIFS('CHAM_CONG_NGAY'!$I$6:$I$4655,'CHAM_CONG_NGAY'!$B$6:$B$4655,$B22,'CHAM_CONG_NGAY'!$C$6:$C$4655,"&gt;="&amp;'THAM_SO'!$B$6,'CHAM_CONG_NGAY'!$C$6:$C$4655,"&lt;="&amp;'THAM_SO'!$B$7),$I22))</f>
        <v/>
      </c>
      <c r="AH22" s="232">
        <f>IF($B22="","",IF($D22="Theo ngày",SUMIFS('CHAM_CONG_NGAY'!$J$6:$J$4655,'CHAM_CONG_NGAY'!$B$6:$B$4655,$B22,'CHAM_CONG_NGAY'!$C$6:$C$4655,"&gt;="&amp;'THAM_SO'!$B$6,'CHAM_CONG_NGAY'!$C$6:$C$4655,"&lt;="&amp;'THAM_SO'!$B$7),$J22))</f>
        <v/>
      </c>
      <c r="AI22" s="232">
        <f>IF($B22="","",IF($D22="Theo ngày",SUMIFS('CHAM_CONG_NGAY'!$K$6:$K$4655,'CHAM_CONG_NGAY'!$B$6:$B$4655,$B22,'CHAM_CONG_NGAY'!$C$6:$C$4655,"&gt;="&amp;'THAM_SO'!$B$6,'CHAM_CONG_NGAY'!$C$6:$C$4655,"&lt;="&amp;'THAM_SO'!$B$7),$K22))</f>
        <v/>
      </c>
      <c r="AJ22" s="232">
        <f>IF($B22="","",IF($D22="Theo ngày",SUMIFS('CHAM_CONG_NGAY'!$L$6:$L$4655,'CHAM_CONG_NGAY'!$B$6:$B$4655,$B22,'CHAM_CONG_NGAY'!$C$6:$C$4655,"&gt;="&amp;'THAM_SO'!$B$6,'CHAM_CONG_NGAY'!$C$6:$C$4655,"&lt;="&amp;'THAM_SO'!$B$7),$L22))</f>
        <v/>
      </c>
      <c r="AK22" s="232">
        <f>IF($B22="","",IF($D22="Theo ngày",SUMIFS('CHAM_CONG_NGAY'!$M$6:$M$4655,'CHAM_CONG_NGAY'!$B$6:$B$4655,$B22,'CHAM_CONG_NGAY'!$C$6:$C$4655,"&gt;="&amp;'THAM_SO'!$B$6,'CHAM_CONG_NGAY'!$C$6:$C$4655,"&lt;="&amp;'THAM_SO'!$B$7),$M22))</f>
        <v/>
      </c>
      <c r="AL22" s="227" t="n"/>
      <c r="AM22" s="227" t="n"/>
      <c r="AN22" s="227" t="n"/>
      <c r="AO22" s="227" t="n"/>
      <c r="AP22" s="227" t="n"/>
      <c r="AQ22" s="227" t="n"/>
      <c r="AR22" s="232">
        <f>IF($B22="","",IF($D22="Theo ngày",SUMIFS('CHAM_CONG_NGAY'!$O$6:$O$4655,'CHAM_CONG_NGAY'!$B$6:$B$4655,$B22,'CHAM_CONG_NGAY'!$C$6:$C$4655,"&gt;="&amp;'THAM_SO'!$B$6,'CHAM_CONG_NGAY'!$C$6:$C$4655,"&lt;="&amp;'THAM_SO'!$B$7),$AL22))</f>
        <v/>
      </c>
      <c r="AS22" s="232">
        <f>IF($B22="","",IF($D22="Theo ngày",SUMIFS('CHAM_CONG_NGAY'!$P$6:$P$4655,'CHAM_CONG_NGAY'!$B$6:$B$4655,$B22,'CHAM_CONG_NGAY'!$C$6:$C$4655,"&gt;="&amp;'THAM_SO'!$B$6,'CHAM_CONG_NGAY'!$C$6:$C$4655,"&lt;="&amp;'THAM_SO'!$B$7),$AM22))</f>
        <v/>
      </c>
      <c r="AT22" s="232">
        <f>IF($B22="","",IF($D22="Theo ngày",SUMIFS('CHAM_CONG_NGAY'!$Q$6:$Q$4655,'CHAM_CONG_NGAY'!$B$6:$B$4655,$B22,'CHAM_CONG_NGAY'!$C$6:$C$4655,"&gt;="&amp;'THAM_SO'!$B$6,'CHAM_CONG_NGAY'!$C$6:$C$4655,"&lt;="&amp;'THAM_SO'!$B$7),$AN22))</f>
        <v/>
      </c>
      <c r="AU22" s="232">
        <f>IF($B22="","",IF($D22="Theo ngày",SUMIFS('CHAM_CONG_NGAY'!$R$6:$R$4655,'CHAM_CONG_NGAY'!$B$6:$B$4655,$B22,'CHAM_CONG_NGAY'!$C$6:$C$4655,"&gt;="&amp;'THAM_SO'!$B$6,'CHAM_CONG_NGAY'!$C$6:$C$4655,"&lt;="&amp;'THAM_SO'!$B$7),$AO22))</f>
        <v/>
      </c>
      <c r="AV22" s="232">
        <f>IF($B22="","",IF($D22="Theo ngày",SUMIFS('CHAM_CONG_NGAY'!$S$6:$S$4655,'CHAM_CONG_NGAY'!$B$6:$B$4655,$B22,'CHAM_CONG_NGAY'!$C$6:$C$4655,"&gt;="&amp;'THAM_SO'!$B$6,'CHAM_CONG_NGAY'!$C$6:$C$4655,"&lt;="&amp;'THAM_SO'!$B$7),$AP22))</f>
        <v/>
      </c>
      <c r="AW22" s="232">
        <f>IF($B22="","",IF($D22="Theo ngày",SUMIFS('CHAM_CONG_NGAY'!$T$6:$T$4655,'CHAM_CONG_NGAY'!$B$6:$B$4655,$B22,'CHAM_CONG_NGAY'!$C$6:$C$4655,"&gt;="&amp;'THAM_SO'!$B$6,'CHAM_CONG_NGAY'!$C$6:$C$4655,"&lt;="&amp;'THAM_SO'!$B$7),$AQ22))</f>
        <v/>
      </c>
    </row>
    <row r="23">
      <c r="A23" s="145">
        <f>IF($B23="","",ROW()-5)</f>
        <v/>
      </c>
      <c r="B23" s="145">
        <f>IF('DM_NHAN_SU'!B23="","",'DM_NHAN_SU'!B23)</f>
        <v/>
      </c>
      <c r="C23" s="145">
        <f>IF('DM_NHAN_SU'!B23="","",'DM_NHAN_SU'!C23)</f>
        <v/>
      </c>
      <c r="D23" s="127" t="n"/>
      <c r="E23" s="227" t="n"/>
      <c r="F23" s="227" t="n"/>
      <c r="G23" s="227" t="n"/>
      <c r="H23" s="227" t="n"/>
      <c r="I23" s="227" t="n"/>
      <c r="J23" s="227" t="n"/>
      <c r="K23" s="227" t="n"/>
      <c r="L23" s="227" t="n"/>
      <c r="M23" s="227" t="n"/>
      <c r="N23" s="227" t="n"/>
      <c r="O23" s="222" t="n"/>
      <c r="P23" s="222" t="n"/>
      <c r="Q23" s="222" t="n"/>
      <c r="R23" s="222" t="n"/>
      <c r="S23" s="222" t="n"/>
      <c r="T23" s="222" t="n"/>
      <c r="U23" s="222" t="n"/>
      <c r="V23" s="222" t="n"/>
      <c r="W23" s="222" t="n"/>
      <c r="X23" s="222" t="n"/>
      <c r="Y23" s="222" t="n"/>
      <c r="Z23" s="222" t="n"/>
      <c r="AA23" s="127" t="n"/>
      <c r="AB23" s="127" t="n"/>
      <c r="AC23" s="232">
        <f>IF($B23="","",IF($D23="Theo ngày",SUMIFS('CHAM_CONG_NGAY'!$E$6:$E$4655,'CHAM_CONG_NGAY'!$B$6:$B$4655,$B23,'CHAM_CONG_NGAY'!$C$6:$C$4655,"&gt;="&amp;'THAM_SO'!$B$6,'CHAM_CONG_NGAY'!$C$6:$C$4655,"&lt;="&amp;'THAM_SO'!$B$7),$E23))</f>
        <v/>
      </c>
      <c r="AD23" s="232">
        <f>IF($B23="","",IF($D23="Theo ngày",SUMIFS('CHAM_CONG_NGAY'!$F$6:$F$4655,'CHAM_CONG_NGAY'!$B$6:$B$4655,$B23,'CHAM_CONG_NGAY'!$C$6:$C$4655,"&gt;="&amp;'THAM_SO'!$B$6,'CHAM_CONG_NGAY'!$C$6:$C$4655,"&lt;="&amp;'THAM_SO'!$B$7),$F23))</f>
        <v/>
      </c>
      <c r="AE23" s="232">
        <f>IF($B23="","",IF($D23="Theo ngày",SUMIFS('CHAM_CONG_NGAY'!$G$6:$G$4655,'CHAM_CONG_NGAY'!$B$6:$B$4655,$B23,'CHAM_CONG_NGAY'!$C$6:$C$4655,"&gt;="&amp;'THAM_SO'!$B$6,'CHAM_CONG_NGAY'!$C$6:$C$4655,"&lt;="&amp;'THAM_SO'!$B$7),$G23))</f>
        <v/>
      </c>
      <c r="AF23" s="232">
        <f>IF($B23="","",IF($D23="Theo ngày",SUMIFS('CHAM_CONG_NGAY'!$H$6:$H$4655,'CHAM_CONG_NGAY'!$B$6:$B$4655,$B23,'CHAM_CONG_NGAY'!$C$6:$C$4655,"&gt;="&amp;'THAM_SO'!$B$6,'CHAM_CONG_NGAY'!$C$6:$C$4655,"&lt;="&amp;'THAM_SO'!$B$7),$H23))</f>
        <v/>
      </c>
      <c r="AG23" s="232">
        <f>IF($B23="","",IF($D23="Theo ngày",SUMIFS('CHAM_CONG_NGAY'!$I$6:$I$4655,'CHAM_CONG_NGAY'!$B$6:$B$4655,$B23,'CHAM_CONG_NGAY'!$C$6:$C$4655,"&gt;="&amp;'THAM_SO'!$B$6,'CHAM_CONG_NGAY'!$C$6:$C$4655,"&lt;="&amp;'THAM_SO'!$B$7),$I23))</f>
        <v/>
      </c>
      <c r="AH23" s="232">
        <f>IF($B23="","",IF($D23="Theo ngày",SUMIFS('CHAM_CONG_NGAY'!$J$6:$J$4655,'CHAM_CONG_NGAY'!$B$6:$B$4655,$B23,'CHAM_CONG_NGAY'!$C$6:$C$4655,"&gt;="&amp;'THAM_SO'!$B$6,'CHAM_CONG_NGAY'!$C$6:$C$4655,"&lt;="&amp;'THAM_SO'!$B$7),$J23))</f>
        <v/>
      </c>
      <c r="AI23" s="232">
        <f>IF($B23="","",IF($D23="Theo ngày",SUMIFS('CHAM_CONG_NGAY'!$K$6:$K$4655,'CHAM_CONG_NGAY'!$B$6:$B$4655,$B23,'CHAM_CONG_NGAY'!$C$6:$C$4655,"&gt;="&amp;'THAM_SO'!$B$6,'CHAM_CONG_NGAY'!$C$6:$C$4655,"&lt;="&amp;'THAM_SO'!$B$7),$K23))</f>
        <v/>
      </c>
      <c r="AJ23" s="232">
        <f>IF($B23="","",IF($D23="Theo ngày",SUMIFS('CHAM_CONG_NGAY'!$L$6:$L$4655,'CHAM_CONG_NGAY'!$B$6:$B$4655,$B23,'CHAM_CONG_NGAY'!$C$6:$C$4655,"&gt;="&amp;'THAM_SO'!$B$6,'CHAM_CONG_NGAY'!$C$6:$C$4655,"&lt;="&amp;'THAM_SO'!$B$7),$L23))</f>
        <v/>
      </c>
      <c r="AK23" s="232">
        <f>IF($B23="","",IF($D23="Theo ngày",SUMIFS('CHAM_CONG_NGAY'!$M$6:$M$4655,'CHAM_CONG_NGAY'!$B$6:$B$4655,$B23,'CHAM_CONG_NGAY'!$C$6:$C$4655,"&gt;="&amp;'THAM_SO'!$B$6,'CHAM_CONG_NGAY'!$C$6:$C$4655,"&lt;="&amp;'THAM_SO'!$B$7),$M23))</f>
        <v/>
      </c>
      <c r="AL23" s="227" t="n"/>
      <c r="AM23" s="227" t="n"/>
      <c r="AN23" s="227" t="n"/>
      <c r="AO23" s="227" t="n"/>
      <c r="AP23" s="227" t="n"/>
      <c r="AQ23" s="227" t="n"/>
      <c r="AR23" s="232">
        <f>IF($B23="","",IF($D23="Theo ngày",SUMIFS('CHAM_CONG_NGAY'!$O$6:$O$4655,'CHAM_CONG_NGAY'!$B$6:$B$4655,$B23,'CHAM_CONG_NGAY'!$C$6:$C$4655,"&gt;="&amp;'THAM_SO'!$B$6,'CHAM_CONG_NGAY'!$C$6:$C$4655,"&lt;="&amp;'THAM_SO'!$B$7),$AL23))</f>
        <v/>
      </c>
      <c r="AS23" s="232">
        <f>IF($B23="","",IF($D23="Theo ngày",SUMIFS('CHAM_CONG_NGAY'!$P$6:$P$4655,'CHAM_CONG_NGAY'!$B$6:$B$4655,$B23,'CHAM_CONG_NGAY'!$C$6:$C$4655,"&gt;="&amp;'THAM_SO'!$B$6,'CHAM_CONG_NGAY'!$C$6:$C$4655,"&lt;="&amp;'THAM_SO'!$B$7),$AM23))</f>
        <v/>
      </c>
      <c r="AT23" s="232">
        <f>IF($B23="","",IF($D23="Theo ngày",SUMIFS('CHAM_CONG_NGAY'!$Q$6:$Q$4655,'CHAM_CONG_NGAY'!$B$6:$B$4655,$B23,'CHAM_CONG_NGAY'!$C$6:$C$4655,"&gt;="&amp;'THAM_SO'!$B$6,'CHAM_CONG_NGAY'!$C$6:$C$4655,"&lt;="&amp;'THAM_SO'!$B$7),$AN23))</f>
        <v/>
      </c>
      <c r="AU23" s="232">
        <f>IF($B23="","",IF($D23="Theo ngày",SUMIFS('CHAM_CONG_NGAY'!$R$6:$R$4655,'CHAM_CONG_NGAY'!$B$6:$B$4655,$B23,'CHAM_CONG_NGAY'!$C$6:$C$4655,"&gt;="&amp;'THAM_SO'!$B$6,'CHAM_CONG_NGAY'!$C$6:$C$4655,"&lt;="&amp;'THAM_SO'!$B$7),$AO23))</f>
        <v/>
      </c>
      <c r="AV23" s="232">
        <f>IF($B23="","",IF($D23="Theo ngày",SUMIFS('CHAM_CONG_NGAY'!$S$6:$S$4655,'CHAM_CONG_NGAY'!$B$6:$B$4655,$B23,'CHAM_CONG_NGAY'!$C$6:$C$4655,"&gt;="&amp;'THAM_SO'!$B$6,'CHAM_CONG_NGAY'!$C$6:$C$4655,"&lt;="&amp;'THAM_SO'!$B$7),$AP23))</f>
        <v/>
      </c>
      <c r="AW23" s="232">
        <f>IF($B23="","",IF($D23="Theo ngày",SUMIFS('CHAM_CONG_NGAY'!$T$6:$T$4655,'CHAM_CONG_NGAY'!$B$6:$B$4655,$B23,'CHAM_CONG_NGAY'!$C$6:$C$4655,"&gt;="&amp;'THAM_SO'!$B$6,'CHAM_CONG_NGAY'!$C$6:$C$4655,"&lt;="&amp;'THAM_SO'!$B$7),$AQ23))</f>
        <v/>
      </c>
    </row>
    <row r="24">
      <c r="A24" s="145">
        <f>IF($B24="","",ROW()-5)</f>
        <v/>
      </c>
      <c r="B24" s="145">
        <f>IF('DM_NHAN_SU'!B24="","",'DM_NHAN_SU'!B24)</f>
        <v/>
      </c>
      <c r="C24" s="145">
        <f>IF('DM_NHAN_SU'!B24="","",'DM_NHAN_SU'!C24)</f>
        <v/>
      </c>
      <c r="D24" s="127" t="n"/>
      <c r="E24" s="227" t="n"/>
      <c r="F24" s="227" t="n"/>
      <c r="G24" s="227" t="n"/>
      <c r="H24" s="227" t="n"/>
      <c r="I24" s="227" t="n"/>
      <c r="J24" s="227" t="n"/>
      <c r="K24" s="227" t="n"/>
      <c r="L24" s="227" t="n"/>
      <c r="M24" s="227" t="n"/>
      <c r="N24" s="227" t="n"/>
      <c r="O24" s="222" t="n"/>
      <c r="P24" s="222" t="n"/>
      <c r="Q24" s="222" t="n"/>
      <c r="R24" s="222" t="n"/>
      <c r="S24" s="222" t="n"/>
      <c r="T24" s="222" t="n"/>
      <c r="U24" s="222" t="n"/>
      <c r="V24" s="222" t="n"/>
      <c r="W24" s="222" t="n"/>
      <c r="X24" s="222" t="n"/>
      <c r="Y24" s="222" t="n"/>
      <c r="Z24" s="222" t="n"/>
      <c r="AA24" s="127" t="n"/>
      <c r="AB24" s="127" t="n"/>
      <c r="AC24" s="232">
        <f>IF($B24="","",IF($D24="Theo ngày",SUMIFS('CHAM_CONG_NGAY'!$E$6:$E$4655,'CHAM_CONG_NGAY'!$B$6:$B$4655,$B24,'CHAM_CONG_NGAY'!$C$6:$C$4655,"&gt;="&amp;'THAM_SO'!$B$6,'CHAM_CONG_NGAY'!$C$6:$C$4655,"&lt;="&amp;'THAM_SO'!$B$7),$E24))</f>
        <v/>
      </c>
      <c r="AD24" s="232">
        <f>IF($B24="","",IF($D24="Theo ngày",SUMIFS('CHAM_CONG_NGAY'!$F$6:$F$4655,'CHAM_CONG_NGAY'!$B$6:$B$4655,$B24,'CHAM_CONG_NGAY'!$C$6:$C$4655,"&gt;="&amp;'THAM_SO'!$B$6,'CHAM_CONG_NGAY'!$C$6:$C$4655,"&lt;="&amp;'THAM_SO'!$B$7),$F24))</f>
        <v/>
      </c>
      <c r="AE24" s="232">
        <f>IF($B24="","",IF($D24="Theo ngày",SUMIFS('CHAM_CONG_NGAY'!$G$6:$G$4655,'CHAM_CONG_NGAY'!$B$6:$B$4655,$B24,'CHAM_CONG_NGAY'!$C$6:$C$4655,"&gt;="&amp;'THAM_SO'!$B$6,'CHAM_CONG_NGAY'!$C$6:$C$4655,"&lt;="&amp;'THAM_SO'!$B$7),$G24))</f>
        <v/>
      </c>
      <c r="AF24" s="232">
        <f>IF($B24="","",IF($D24="Theo ngày",SUMIFS('CHAM_CONG_NGAY'!$H$6:$H$4655,'CHAM_CONG_NGAY'!$B$6:$B$4655,$B24,'CHAM_CONG_NGAY'!$C$6:$C$4655,"&gt;="&amp;'THAM_SO'!$B$6,'CHAM_CONG_NGAY'!$C$6:$C$4655,"&lt;="&amp;'THAM_SO'!$B$7),$H24))</f>
        <v/>
      </c>
      <c r="AG24" s="232">
        <f>IF($B24="","",IF($D24="Theo ngày",SUMIFS('CHAM_CONG_NGAY'!$I$6:$I$4655,'CHAM_CONG_NGAY'!$B$6:$B$4655,$B24,'CHAM_CONG_NGAY'!$C$6:$C$4655,"&gt;="&amp;'THAM_SO'!$B$6,'CHAM_CONG_NGAY'!$C$6:$C$4655,"&lt;="&amp;'THAM_SO'!$B$7),$I24))</f>
        <v/>
      </c>
      <c r="AH24" s="232">
        <f>IF($B24="","",IF($D24="Theo ngày",SUMIFS('CHAM_CONG_NGAY'!$J$6:$J$4655,'CHAM_CONG_NGAY'!$B$6:$B$4655,$B24,'CHAM_CONG_NGAY'!$C$6:$C$4655,"&gt;="&amp;'THAM_SO'!$B$6,'CHAM_CONG_NGAY'!$C$6:$C$4655,"&lt;="&amp;'THAM_SO'!$B$7),$J24))</f>
        <v/>
      </c>
      <c r="AI24" s="232">
        <f>IF($B24="","",IF($D24="Theo ngày",SUMIFS('CHAM_CONG_NGAY'!$K$6:$K$4655,'CHAM_CONG_NGAY'!$B$6:$B$4655,$B24,'CHAM_CONG_NGAY'!$C$6:$C$4655,"&gt;="&amp;'THAM_SO'!$B$6,'CHAM_CONG_NGAY'!$C$6:$C$4655,"&lt;="&amp;'THAM_SO'!$B$7),$K24))</f>
        <v/>
      </c>
      <c r="AJ24" s="232">
        <f>IF($B24="","",IF($D24="Theo ngày",SUMIFS('CHAM_CONG_NGAY'!$L$6:$L$4655,'CHAM_CONG_NGAY'!$B$6:$B$4655,$B24,'CHAM_CONG_NGAY'!$C$6:$C$4655,"&gt;="&amp;'THAM_SO'!$B$6,'CHAM_CONG_NGAY'!$C$6:$C$4655,"&lt;="&amp;'THAM_SO'!$B$7),$L24))</f>
        <v/>
      </c>
      <c r="AK24" s="232">
        <f>IF($B24="","",IF($D24="Theo ngày",SUMIFS('CHAM_CONG_NGAY'!$M$6:$M$4655,'CHAM_CONG_NGAY'!$B$6:$B$4655,$B24,'CHAM_CONG_NGAY'!$C$6:$C$4655,"&gt;="&amp;'THAM_SO'!$B$6,'CHAM_CONG_NGAY'!$C$6:$C$4655,"&lt;="&amp;'THAM_SO'!$B$7),$M24))</f>
        <v/>
      </c>
      <c r="AL24" s="227" t="n"/>
      <c r="AM24" s="227" t="n"/>
      <c r="AN24" s="227" t="n"/>
      <c r="AO24" s="227" t="n"/>
      <c r="AP24" s="227" t="n"/>
      <c r="AQ24" s="227" t="n"/>
      <c r="AR24" s="232">
        <f>IF($B24="","",IF($D24="Theo ngày",SUMIFS('CHAM_CONG_NGAY'!$O$6:$O$4655,'CHAM_CONG_NGAY'!$B$6:$B$4655,$B24,'CHAM_CONG_NGAY'!$C$6:$C$4655,"&gt;="&amp;'THAM_SO'!$B$6,'CHAM_CONG_NGAY'!$C$6:$C$4655,"&lt;="&amp;'THAM_SO'!$B$7),$AL24))</f>
        <v/>
      </c>
      <c r="AS24" s="232">
        <f>IF($B24="","",IF($D24="Theo ngày",SUMIFS('CHAM_CONG_NGAY'!$P$6:$P$4655,'CHAM_CONG_NGAY'!$B$6:$B$4655,$B24,'CHAM_CONG_NGAY'!$C$6:$C$4655,"&gt;="&amp;'THAM_SO'!$B$6,'CHAM_CONG_NGAY'!$C$6:$C$4655,"&lt;="&amp;'THAM_SO'!$B$7),$AM24))</f>
        <v/>
      </c>
      <c r="AT24" s="232">
        <f>IF($B24="","",IF($D24="Theo ngày",SUMIFS('CHAM_CONG_NGAY'!$Q$6:$Q$4655,'CHAM_CONG_NGAY'!$B$6:$B$4655,$B24,'CHAM_CONG_NGAY'!$C$6:$C$4655,"&gt;="&amp;'THAM_SO'!$B$6,'CHAM_CONG_NGAY'!$C$6:$C$4655,"&lt;="&amp;'THAM_SO'!$B$7),$AN24))</f>
        <v/>
      </c>
      <c r="AU24" s="232">
        <f>IF($B24="","",IF($D24="Theo ngày",SUMIFS('CHAM_CONG_NGAY'!$R$6:$R$4655,'CHAM_CONG_NGAY'!$B$6:$B$4655,$B24,'CHAM_CONG_NGAY'!$C$6:$C$4655,"&gt;="&amp;'THAM_SO'!$B$6,'CHAM_CONG_NGAY'!$C$6:$C$4655,"&lt;="&amp;'THAM_SO'!$B$7),$AO24))</f>
        <v/>
      </c>
      <c r="AV24" s="232">
        <f>IF($B24="","",IF($D24="Theo ngày",SUMIFS('CHAM_CONG_NGAY'!$S$6:$S$4655,'CHAM_CONG_NGAY'!$B$6:$B$4655,$B24,'CHAM_CONG_NGAY'!$C$6:$C$4655,"&gt;="&amp;'THAM_SO'!$B$6,'CHAM_CONG_NGAY'!$C$6:$C$4655,"&lt;="&amp;'THAM_SO'!$B$7),$AP24))</f>
        <v/>
      </c>
      <c r="AW24" s="232">
        <f>IF($B24="","",IF($D24="Theo ngày",SUMIFS('CHAM_CONG_NGAY'!$T$6:$T$4655,'CHAM_CONG_NGAY'!$B$6:$B$4655,$B24,'CHAM_CONG_NGAY'!$C$6:$C$4655,"&gt;="&amp;'THAM_SO'!$B$6,'CHAM_CONG_NGAY'!$C$6:$C$4655,"&lt;="&amp;'THAM_SO'!$B$7),$AQ24))</f>
        <v/>
      </c>
    </row>
    <row r="25">
      <c r="A25" s="145">
        <f>IF($B25="","",ROW()-5)</f>
        <v/>
      </c>
      <c r="B25" s="145">
        <f>IF('DM_NHAN_SU'!B25="","",'DM_NHAN_SU'!B25)</f>
        <v/>
      </c>
      <c r="C25" s="145">
        <f>IF('DM_NHAN_SU'!B25="","",'DM_NHAN_SU'!C25)</f>
        <v/>
      </c>
      <c r="D25" s="127" t="n"/>
      <c r="E25" s="227" t="n"/>
      <c r="F25" s="227" t="n"/>
      <c r="G25" s="227" t="n"/>
      <c r="H25" s="227" t="n"/>
      <c r="I25" s="227" t="n"/>
      <c r="J25" s="227" t="n"/>
      <c r="K25" s="227" t="n"/>
      <c r="L25" s="227" t="n"/>
      <c r="M25" s="227" t="n"/>
      <c r="N25" s="227" t="n"/>
      <c r="O25" s="222" t="n"/>
      <c r="P25" s="222" t="n"/>
      <c r="Q25" s="222" t="n"/>
      <c r="R25" s="222" t="n"/>
      <c r="S25" s="222" t="n"/>
      <c r="T25" s="222" t="n"/>
      <c r="U25" s="222" t="n"/>
      <c r="V25" s="222" t="n"/>
      <c r="W25" s="222" t="n"/>
      <c r="X25" s="222" t="n"/>
      <c r="Y25" s="222" t="n"/>
      <c r="Z25" s="222" t="n"/>
      <c r="AA25" s="127" t="n"/>
      <c r="AB25" s="127" t="n"/>
      <c r="AC25" s="232">
        <f>IF($B25="","",IF($D25="Theo ngày",SUMIFS('CHAM_CONG_NGAY'!$E$6:$E$4655,'CHAM_CONG_NGAY'!$B$6:$B$4655,$B25,'CHAM_CONG_NGAY'!$C$6:$C$4655,"&gt;="&amp;'THAM_SO'!$B$6,'CHAM_CONG_NGAY'!$C$6:$C$4655,"&lt;="&amp;'THAM_SO'!$B$7),$E25))</f>
        <v/>
      </c>
      <c r="AD25" s="232">
        <f>IF($B25="","",IF($D25="Theo ngày",SUMIFS('CHAM_CONG_NGAY'!$F$6:$F$4655,'CHAM_CONG_NGAY'!$B$6:$B$4655,$B25,'CHAM_CONG_NGAY'!$C$6:$C$4655,"&gt;="&amp;'THAM_SO'!$B$6,'CHAM_CONG_NGAY'!$C$6:$C$4655,"&lt;="&amp;'THAM_SO'!$B$7),$F25))</f>
        <v/>
      </c>
      <c r="AE25" s="232">
        <f>IF($B25="","",IF($D25="Theo ngày",SUMIFS('CHAM_CONG_NGAY'!$G$6:$G$4655,'CHAM_CONG_NGAY'!$B$6:$B$4655,$B25,'CHAM_CONG_NGAY'!$C$6:$C$4655,"&gt;="&amp;'THAM_SO'!$B$6,'CHAM_CONG_NGAY'!$C$6:$C$4655,"&lt;="&amp;'THAM_SO'!$B$7),$G25))</f>
        <v/>
      </c>
      <c r="AF25" s="232">
        <f>IF($B25="","",IF($D25="Theo ngày",SUMIFS('CHAM_CONG_NGAY'!$H$6:$H$4655,'CHAM_CONG_NGAY'!$B$6:$B$4655,$B25,'CHAM_CONG_NGAY'!$C$6:$C$4655,"&gt;="&amp;'THAM_SO'!$B$6,'CHAM_CONG_NGAY'!$C$6:$C$4655,"&lt;="&amp;'THAM_SO'!$B$7),$H25))</f>
        <v/>
      </c>
      <c r="AG25" s="232">
        <f>IF($B25="","",IF($D25="Theo ngày",SUMIFS('CHAM_CONG_NGAY'!$I$6:$I$4655,'CHAM_CONG_NGAY'!$B$6:$B$4655,$B25,'CHAM_CONG_NGAY'!$C$6:$C$4655,"&gt;="&amp;'THAM_SO'!$B$6,'CHAM_CONG_NGAY'!$C$6:$C$4655,"&lt;="&amp;'THAM_SO'!$B$7),$I25))</f>
        <v/>
      </c>
      <c r="AH25" s="232">
        <f>IF($B25="","",IF($D25="Theo ngày",SUMIFS('CHAM_CONG_NGAY'!$J$6:$J$4655,'CHAM_CONG_NGAY'!$B$6:$B$4655,$B25,'CHAM_CONG_NGAY'!$C$6:$C$4655,"&gt;="&amp;'THAM_SO'!$B$6,'CHAM_CONG_NGAY'!$C$6:$C$4655,"&lt;="&amp;'THAM_SO'!$B$7),$J25))</f>
        <v/>
      </c>
      <c r="AI25" s="232">
        <f>IF($B25="","",IF($D25="Theo ngày",SUMIFS('CHAM_CONG_NGAY'!$K$6:$K$4655,'CHAM_CONG_NGAY'!$B$6:$B$4655,$B25,'CHAM_CONG_NGAY'!$C$6:$C$4655,"&gt;="&amp;'THAM_SO'!$B$6,'CHAM_CONG_NGAY'!$C$6:$C$4655,"&lt;="&amp;'THAM_SO'!$B$7),$K25))</f>
        <v/>
      </c>
      <c r="AJ25" s="232">
        <f>IF($B25="","",IF($D25="Theo ngày",SUMIFS('CHAM_CONG_NGAY'!$L$6:$L$4655,'CHAM_CONG_NGAY'!$B$6:$B$4655,$B25,'CHAM_CONG_NGAY'!$C$6:$C$4655,"&gt;="&amp;'THAM_SO'!$B$6,'CHAM_CONG_NGAY'!$C$6:$C$4655,"&lt;="&amp;'THAM_SO'!$B$7),$L25))</f>
        <v/>
      </c>
      <c r="AK25" s="232">
        <f>IF($B25="","",IF($D25="Theo ngày",SUMIFS('CHAM_CONG_NGAY'!$M$6:$M$4655,'CHAM_CONG_NGAY'!$B$6:$B$4655,$B25,'CHAM_CONG_NGAY'!$C$6:$C$4655,"&gt;="&amp;'THAM_SO'!$B$6,'CHAM_CONG_NGAY'!$C$6:$C$4655,"&lt;="&amp;'THAM_SO'!$B$7),$M25))</f>
        <v/>
      </c>
      <c r="AL25" s="227" t="n"/>
      <c r="AM25" s="227" t="n"/>
      <c r="AN25" s="227" t="n"/>
      <c r="AO25" s="227" t="n"/>
      <c r="AP25" s="227" t="n"/>
      <c r="AQ25" s="227" t="n"/>
      <c r="AR25" s="232">
        <f>IF($B25="","",IF($D25="Theo ngày",SUMIFS('CHAM_CONG_NGAY'!$O$6:$O$4655,'CHAM_CONG_NGAY'!$B$6:$B$4655,$B25,'CHAM_CONG_NGAY'!$C$6:$C$4655,"&gt;="&amp;'THAM_SO'!$B$6,'CHAM_CONG_NGAY'!$C$6:$C$4655,"&lt;="&amp;'THAM_SO'!$B$7),$AL25))</f>
        <v/>
      </c>
      <c r="AS25" s="232">
        <f>IF($B25="","",IF($D25="Theo ngày",SUMIFS('CHAM_CONG_NGAY'!$P$6:$P$4655,'CHAM_CONG_NGAY'!$B$6:$B$4655,$B25,'CHAM_CONG_NGAY'!$C$6:$C$4655,"&gt;="&amp;'THAM_SO'!$B$6,'CHAM_CONG_NGAY'!$C$6:$C$4655,"&lt;="&amp;'THAM_SO'!$B$7),$AM25))</f>
        <v/>
      </c>
      <c r="AT25" s="232">
        <f>IF($B25="","",IF($D25="Theo ngày",SUMIFS('CHAM_CONG_NGAY'!$Q$6:$Q$4655,'CHAM_CONG_NGAY'!$B$6:$B$4655,$B25,'CHAM_CONG_NGAY'!$C$6:$C$4655,"&gt;="&amp;'THAM_SO'!$B$6,'CHAM_CONG_NGAY'!$C$6:$C$4655,"&lt;="&amp;'THAM_SO'!$B$7),$AN25))</f>
        <v/>
      </c>
      <c r="AU25" s="232">
        <f>IF($B25="","",IF($D25="Theo ngày",SUMIFS('CHAM_CONG_NGAY'!$R$6:$R$4655,'CHAM_CONG_NGAY'!$B$6:$B$4655,$B25,'CHAM_CONG_NGAY'!$C$6:$C$4655,"&gt;="&amp;'THAM_SO'!$B$6,'CHAM_CONG_NGAY'!$C$6:$C$4655,"&lt;="&amp;'THAM_SO'!$B$7),$AO25))</f>
        <v/>
      </c>
      <c r="AV25" s="232">
        <f>IF($B25="","",IF($D25="Theo ngày",SUMIFS('CHAM_CONG_NGAY'!$S$6:$S$4655,'CHAM_CONG_NGAY'!$B$6:$B$4655,$B25,'CHAM_CONG_NGAY'!$C$6:$C$4655,"&gt;="&amp;'THAM_SO'!$B$6,'CHAM_CONG_NGAY'!$C$6:$C$4655,"&lt;="&amp;'THAM_SO'!$B$7),$AP25))</f>
        <v/>
      </c>
      <c r="AW25" s="232">
        <f>IF($B25="","",IF($D25="Theo ngày",SUMIFS('CHAM_CONG_NGAY'!$T$6:$T$4655,'CHAM_CONG_NGAY'!$B$6:$B$4655,$B25,'CHAM_CONG_NGAY'!$C$6:$C$4655,"&gt;="&amp;'THAM_SO'!$B$6,'CHAM_CONG_NGAY'!$C$6:$C$4655,"&lt;="&amp;'THAM_SO'!$B$7),$AQ25))</f>
        <v/>
      </c>
    </row>
    <row r="26">
      <c r="A26" s="145">
        <f>IF($B26="","",ROW()-5)</f>
        <v/>
      </c>
      <c r="B26" s="145">
        <f>IF('DM_NHAN_SU'!B26="","",'DM_NHAN_SU'!B26)</f>
        <v/>
      </c>
      <c r="C26" s="145">
        <f>IF('DM_NHAN_SU'!B26="","",'DM_NHAN_SU'!C26)</f>
        <v/>
      </c>
      <c r="D26" s="127" t="n"/>
      <c r="E26" s="227" t="n"/>
      <c r="F26" s="227" t="n"/>
      <c r="G26" s="227" t="n"/>
      <c r="H26" s="227" t="n"/>
      <c r="I26" s="227" t="n"/>
      <c r="J26" s="227" t="n"/>
      <c r="K26" s="227" t="n"/>
      <c r="L26" s="227" t="n"/>
      <c r="M26" s="227" t="n"/>
      <c r="N26" s="227" t="n"/>
      <c r="O26" s="222" t="n"/>
      <c r="P26" s="222" t="n"/>
      <c r="Q26" s="222" t="n"/>
      <c r="R26" s="222" t="n"/>
      <c r="S26" s="222" t="n"/>
      <c r="T26" s="222" t="n"/>
      <c r="U26" s="222" t="n"/>
      <c r="V26" s="222" t="n"/>
      <c r="W26" s="222" t="n"/>
      <c r="X26" s="222" t="n"/>
      <c r="Y26" s="222" t="n"/>
      <c r="Z26" s="222" t="n"/>
      <c r="AA26" s="127" t="n"/>
      <c r="AB26" s="127" t="n"/>
      <c r="AC26" s="232">
        <f>IF($B26="","",IF($D26="Theo ngày",SUMIFS('CHAM_CONG_NGAY'!$E$6:$E$4655,'CHAM_CONG_NGAY'!$B$6:$B$4655,$B26,'CHAM_CONG_NGAY'!$C$6:$C$4655,"&gt;="&amp;'THAM_SO'!$B$6,'CHAM_CONG_NGAY'!$C$6:$C$4655,"&lt;="&amp;'THAM_SO'!$B$7),$E26))</f>
        <v/>
      </c>
      <c r="AD26" s="232">
        <f>IF($B26="","",IF($D26="Theo ngày",SUMIFS('CHAM_CONG_NGAY'!$F$6:$F$4655,'CHAM_CONG_NGAY'!$B$6:$B$4655,$B26,'CHAM_CONG_NGAY'!$C$6:$C$4655,"&gt;="&amp;'THAM_SO'!$B$6,'CHAM_CONG_NGAY'!$C$6:$C$4655,"&lt;="&amp;'THAM_SO'!$B$7),$F26))</f>
        <v/>
      </c>
      <c r="AE26" s="232">
        <f>IF($B26="","",IF($D26="Theo ngày",SUMIFS('CHAM_CONG_NGAY'!$G$6:$G$4655,'CHAM_CONG_NGAY'!$B$6:$B$4655,$B26,'CHAM_CONG_NGAY'!$C$6:$C$4655,"&gt;="&amp;'THAM_SO'!$B$6,'CHAM_CONG_NGAY'!$C$6:$C$4655,"&lt;="&amp;'THAM_SO'!$B$7),$G26))</f>
        <v/>
      </c>
      <c r="AF26" s="232">
        <f>IF($B26="","",IF($D26="Theo ngày",SUMIFS('CHAM_CONG_NGAY'!$H$6:$H$4655,'CHAM_CONG_NGAY'!$B$6:$B$4655,$B26,'CHAM_CONG_NGAY'!$C$6:$C$4655,"&gt;="&amp;'THAM_SO'!$B$6,'CHAM_CONG_NGAY'!$C$6:$C$4655,"&lt;="&amp;'THAM_SO'!$B$7),$H26))</f>
        <v/>
      </c>
      <c r="AG26" s="232">
        <f>IF($B26="","",IF($D26="Theo ngày",SUMIFS('CHAM_CONG_NGAY'!$I$6:$I$4655,'CHAM_CONG_NGAY'!$B$6:$B$4655,$B26,'CHAM_CONG_NGAY'!$C$6:$C$4655,"&gt;="&amp;'THAM_SO'!$B$6,'CHAM_CONG_NGAY'!$C$6:$C$4655,"&lt;="&amp;'THAM_SO'!$B$7),$I26))</f>
        <v/>
      </c>
      <c r="AH26" s="232">
        <f>IF($B26="","",IF($D26="Theo ngày",SUMIFS('CHAM_CONG_NGAY'!$J$6:$J$4655,'CHAM_CONG_NGAY'!$B$6:$B$4655,$B26,'CHAM_CONG_NGAY'!$C$6:$C$4655,"&gt;="&amp;'THAM_SO'!$B$6,'CHAM_CONG_NGAY'!$C$6:$C$4655,"&lt;="&amp;'THAM_SO'!$B$7),$J26))</f>
        <v/>
      </c>
      <c r="AI26" s="232">
        <f>IF($B26="","",IF($D26="Theo ngày",SUMIFS('CHAM_CONG_NGAY'!$K$6:$K$4655,'CHAM_CONG_NGAY'!$B$6:$B$4655,$B26,'CHAM_CONG_NGAY'!$C$6:$C$4655,"&gt;="&amp;'THAM_SO'!$B$6,'CHAM_CONG_NGAY'!$C$6:$C$4655,"&lt;="&amp;'THAM_SO'!$B$7),$K26))</f>
        <v/>
      </c>
      <c r="AJ26" s="232">
        <f>IF($B26="","",IF($D26="Theo ngày",SUMIFS('CHAM_CONG_NGAY'!$L$6:$L$4655,'CHAM_CONG_NGAY'!$B$6:$B$4655,$B26,'CHAM_CONG_NGAY'!$C$6:$C$4655,"&gt;="&amp;'THAM_SO'!$B$6,'CHAM_CONG_NGAY'!$C$6:$C$4655,"&lt;="&amp;'THAM_SO'!$B$7),$L26))</f>
        <v/>
      </c>
      <c r="AK26" s="232">
        <f>IF($B26="","",IF($D26="Theo ngày",SUMIFS('CHAM_CONG_NGAY'!$M$6:$M$4655,'CHAM_CONG_NGAY'!$B$6:$B$4655,$B26,'CHAM_CONG_NGAY'!$C$6:$C$4655,"&gt;="&amp;'THAM_SO'!$B$6,'CHAM_CONG_NGAY'!$C$6:$C$4655,"&lt;="&amp;'THAM_SO'!$B$7),$M26))</f>
        <v/>
      </c>
      <c r="AL26" s="227" t="n"/>
      <c r="AM26" s="227" t="n"/>
      <c r="AN26" s="227" t="n"/>
      <c r="AO26" s="227" t="n"/>
      <c r="AP26" s="227" t="n"/>
      <c r="AQ26" s="227" t="n"/>
      <c r="AR26" s="232">
        <f>IF($B26="","",IF($D26="Theo ngày",SUMIFS('CHAM_CONG_NGAY'!$O$6:$O$4655,'CHAM_CONG_NGAY'!$B$6:$B$4655,$B26,'CHAM_CONG_NGAY'!$C$6:$C$4655,"&gt;="&amp;'THAM_SO'!$B$6,'CHAM_CONG_NGAY'!$C$6:$C$4655,"&lt;="&amp;'THAM_SO'!$B$7),$AL26))</f>
        <v/>
      </c>
      <c r="AS26" s="232">
        <f>IF($B26="","",IF($D26="Theo ngày",SUMIFS('CHAM_CONG_NGAY'!$P$6:$P$4655,'CHAM_CONG_NGAY'!$B$6:$B$4655,$B26,'CHAM_CONG_NGAY'!$C$6:$C$4655,"&gt;="&amp;'THAM_SO'!$B$6,'CHAM_CONG_NGAY'!$C$6:$C$4655,"&lt;="&amp;'THAM_SO'!$B$7),$AM26))</f>
        <v/>
      </c>
      <c r="AT26" s="232">
        <f>IF($B26="","",IF($D26="Theo ngày",SUMIFS('CHAM_CONG_NGAY'!$Q$6:$Q$4655,'CHAM_CONG_NGAY'!$B$6:$B$4655,$B26,'CHAM_CONG_NGAY'!$C$6:$C$4655,"&gt;="&amp;'THAM_SO'!$B$6,'CHAM_CONG_NGAY'!$C$6:$C$4655,"&lt;="&amp;'THAM_SO'!$B$7),$AN26))</f>
        <v/>
      </c>
      <c r="AU26" s="232">
        <f>IF($B26="","",IF($D26="Theo ngày",SUMIFS('CHAM_CONG_NGAY'!$R$6:$R$4655,'CHAM_CONG_NGAY'!$B$6:$B$4655,$B26,'CHAM_CONG_NGAY'!$C$6:$C$4655,"&gt;="&amp;'THAM_SO'!$B$6,'CHAM_CONG_NGAY'!$C$6:$C$4655,"&lt;="&amp;'THAM_SO'!$B$7),$AO26))</f>
        <v/>
      </c>
      <c r="AV26" s="232">
        <f>IF($B26="","",IF($D26="Theo ngày",SUMIFS('CHAM_CONG_NGAY'!$S$6:$S$4655,'CHAM_CONG_NGAY'!$B$6:$B$4655,$B26,'CHAM_CONG_NGAY'!$C$6:$C$4655,"&gt;="&amp;'THAM_SO'!$B$6,'CHAM_CONG_NGAY'!$C$6:$C$4655,"&lt;="&amp;'THAM_SO'!$B$7),$AP26))</f>
        <v/>
      </c>
      <c r="AW26" s="232">
        <f>IF($B26="","",IF($D26="Theo ngày",SUMIFS('CHAM_CONG_NGAY'!$T$6:$T$4655,'CHAM_CONG_NGAY'!$B$6:$B$4655,$B26,'CHAM_CONG_NGAY'!$C$6:$C$4655,"&gt;="&amp;'THAM_SO'!$B$6,'CHAM_CONG_NGAY'!$C$6:$C$4655,"&lt;="&amp;'THAM_SO'!$B$7),$AQ26))</f>
        <v/>
      </c>
    </row>
    <row r="27">
      <c r="A27" s="145">
        <f>IF($B27="","",ROW()-5)</f>
        <v/>
      </c>
      <c r="B27" s="145">
        <f>IF('DM_NHAN_SU'!B27="","",'DM_NHAN_SU'!B27)</f>
        <v/>
      </c>
      <c r="C27" s="145">
        <f>IF('DM_NHAN_SU'!B27="","",'DM_NHAN_SU'!C27)</f>
        <v/>
      </c>
      <c r="D27" s="127" t="n"/>
      <c r="E27" s="227" t="n"/>
      <c r="F27" s="227" t="n"/>
      <c r="G27" s="227" t="n"/>
      <c r="H27" s="227" t="n"/>
      <c r="I27" s="227" t="n"/>
      <c r="J27" s="227" t="n"/>
      <c r="K27" s="227" t="n"/>
      <c r="L27" s="227" t="n"/>
      <c r="M27" s="227" t="n"/>
      <c r="N27" s="227" t="n"/>
      <c r="O27" s="222" t="n"/>
      <c r="P27" s="222" t="n"/>
      <c r="Q27" s="222" t="n"/>
      <c r="R27" s="222" t="n"/>
      <c r="S27" s="222" t="n"/>
      <c r="T27" s="222" t="n"/>
      <c r="U27" s="222" t="n"/>
      <c r="V27" s="222" t="n"/>
      <c r="W27" s="222" t="n"/>
      <c r="X27" s="222" t="n"/>
      <c r="Y27" s="222" t="n"/>
      <c r="Z27" s="222" t="n"/>
      <c r="AA27" s="127" t="n"/>
      <c r="AB27" s="127" t="n"/>
      <c r="AC27" s="232">
        <f>IF($B27="","",IF($D27="Theo ngày",SUMIFS('CHAM_CONG_NGAY'!$E$6:$E$4655,'CHAM_CONG_NGAY'!$B$6:$B$4655,$B27,'CHAM_CONG_NGAY'!$C$6:$C$4655,"&gt;="&amp;'THAM_SO'!$B$6,'CHAM_CONG_NGAY'!$C$6:$C$4655,"&lt;="&amp;'THAM_SO'!$B$7),$E27))</f>
        <v/>
      </c>
      <c r="AD27" s="232">
        <f>IF($B27="","",IF($D27="Theo ngày",SUMIFS('CHAM_CONG_NGAY'!$F$6:$F$4655,'CHAM_CONG_NGAY'!$B$6:$B$4655,$B27,'CHAM_CONG_NGAY'!$C$6:$C$4655,"&gt;="&amp;'THAM_SO'!$B$6,'CHAM_CONG_NGAY'!$C$6:$C$4655,"&lt;="&amp;'THAM_SO'!$B$7),$F27))</f>
        <v/>
      </c>
      <c r="AE27" s="232">
        <f>IF($B27="","",IF($D27="Theo ngày",SUMIFS('CHAM_CONG_NGAY'!$G$6:$G$4655,'CHAM_CONG_NGAY'!$B$6:$B$4655,$B27,'CHAM_CONG_NGAY'!$C$6:$C$4655,"&gt;="&amp;'THAM_SO'!$B$6,'CHAM_CONG_NGAY'!$C$6:$C$4655,"&lt;="&amp;'THAM_SO'!$B$7),$G27))</f>
        <v/>
      </c>
      <c r="AF27" s="232">
        <f>IF($B27="","",IF($D27="Theo ngày",SUMIFS('CHAM_CONG_NGAY'!$H$6:$H$4655,'CHAM_CONG_NGAY'!$B$6:$B$4655,$B27,'CHAM_CONG_NGAY'!$C$6:$C$4655,"&gt;="&amp;'THAM_SO'!$B$6,'CHAM_CONG_NGAY'!$C$6:$C$4655,"&lt;="&amp;'THAM_SO'!$B$7),$H27))</f>
        <v/>
      </c>
      <c r="AG27" s="232">
        <f>IF($B27="","",IF($D27="Theo ngày",SUMIFS('CHAM_CONG_NGAY'!$I$6:$I$4655,'CHAM_CONG_NGAY'!$B$6:$B$4655,$B27,'CHAM_CONG_NGAY'!$C$6:$C$4655,"&gt;="&amp;'THAM_SO'!$B$6,'CHAM_CONG_NGAY'!$C$6:$C$4655,"&lt;="&amp;'THAM_SO'!$B$7),$I27))</f>
        <v/>
      </c>
      <c r="AH27" s="232">
        <f>IF($B27="","",IF($D27="Theo ngày",SUMIFS('CHAM_CONG_NGAY'!$J$6:$J$4655,'CHAM_CONG_NGAY'!$B$6:$B$4655,$B27,'CHAM_CONG_NGAY'!$C$6:$C$4655,"&gt;="&amp;'THAM_SO'!$B$6,'CHAM_CONG_NGAY'!$C$6:$C$4655,"&lt;="&amp;'THAM_SO'!$B$7),$J27))</f>
        <v/>
      </c>
      <c r="AI27" s="232">
        <f>IF($B27="","",IF($D27="Theo ngày",SUMIFS('CHAM_CONG_NGAY'!$K$6:$K$4655,'CHAM_CONG_NGAY'!$B$6:$B$4655,$B27,'CHAM_CONG_NGAY'!$C$6:$C$4655,"&gt;="&amp;'THAM_SO'!$B$6,'CHAM_CONG_NGAY'!$C$6:$C$4655,"&lt;="&amp;'THAM_SO'!$B$7),$K27))</f>
        <v/>
      </c>
      <c r="AJ27" s="232">
        <f>IF($B27="","",IF($D27="Theo ngày",SUMIFS('CHAM_CONG_NGAY'!$L$6:$L$4655,'CHAM_CONG_NGAY'!$B$6:$B$4655,$B27,'CHAM_CONG_NGAY'!$C$6:$C$4655,"&gt;="&amp;'THAM_SO'!$B$6,'CHAM_CONG_NGAY'!$C$6:$C$4655,"&lt;="&amp;'THAM_SO'!$B$7),$L27))</f>
        <v/>
      </c>
      <c r="AK27" s="232">
        <f>IF($B27="","",IF($D27="Theo ngày",SUMIFS('CHAM_CONG_NGAY'!$M$6:$M$4655,'CHAM_CONG_NGAY'!$B$6:$B$4655,$B27,'CHAM_CONG_NGAY'!$C$6:$C$4655,"&gt;="&amp;'THAM_SO'!$B$6,'CHAM_CONG_NGAY'!$C$6:$C$4655,"&lt;="&amp;'THAM_SO'!$B$7),$M27))</f>
        <v/>
      </c>
      <c r="AL27" s="227" t="n"/>
      <c r="AM27" s="227" t="n"/>
      <c r="AN27" s="227" t="n"/>
      <c r="AO27" s="227" t="n"/>
      <c r="AP27" s="227" t="n"/>
      <c r="AQ27" s="227" t="n"/>
      <c r="AR27" s="232">
        <f>IF($B27="","",IF($D27="Theo ngày",SUMIFS('CHAM_CONG_NGAY'!$O$6:$O$4655,'CHAM_CONG_NGAY'!$B$6:$B$4655,$B27,'CHAM_CONG_NGAY'!$C$6:$C$4655,"&gt;="&amp;'THAM_SO'!$B$6,'CHAM_CONG_NGAY'!$C$6:$C$4655,"&lt;="&amp;'THAM_SO'!$B$7),$AL27))</f>
        <v/>
      </c>
      <c r="AS27" s="232">
        <f>IF($B27="","",IF($D27="Theo ngày",SUMIFS('CHAM_CONG_NGAY'!$P$6:$P$4655,'CHAM_CONG_NGAY'!$B$6:$B$4655,$B27,'CHAM_CONG_NGAY'!$C$6:$C$4655,"&gt;="&amp;'THAM_SO'!$B$6,'CHAM_CONG_NGAY'!$C$6:$C$4655,"&lt;="&amp;'THAM_SO'!$B$7),$AM27))</f>
        <v/>
      </c>
      <c r="AT27" s="232">
        <f>IF($B27="","",IF($D27="Theo ngày",SUMIFS('CHAM_CONG_NGAY'!$Q$6:$Q$4655,'CHAM_CONG_NGAY'!$B$6:$B$4655,$B27,'CHAM_CONG_NGAY'!$C$6:$C$4655,"&gt;="&amp;'THAM_SO'!$B$6,'CHAM_CONG_NGAY'!$C$6:$C$4655,"&lt;="&amp;'THAM_SO'!$B$7),$AN27))</f>
        <v/>
      </c>
      <c r="AU27" s="232">
        <f>IF($B27="","",IF($D27="Theo ngày",SUMIFS('CHAM_CONG_NGAY'!$R$6:$R$4655,'CHAM_CONG_NGAY'!$B$6:$B$4655,$B27,'CHAM_CONG_NGAY'!$C$6:$C$4655,"&gt;="&amp;'THAM_SO'!$B$6,'CHAM_CONG_NGAY'!$C$6:$C$4655,"&lt;="&amp;'THAM_SO'!$B$7),$AO27))</f>
        <v/>
      </c>
      <c r="AV27" s="232">
        <f>IF($B27="","",IF($D27="Theo ngày",SUMIFS('CHAM_CONG_NGAY'!$S$6:$S$4655,'CHAM_CONG_NGAY'!$B$6:$B$4655,$B27,'CHAM_CONG_NGAY'!$C$6:$C$4655,"&gt;="&amp;'THAM_SO'!$B$6,'CHAM_CONG_NGAY'!$C$6:$C$4655,"&lt;="&amp;'THAM_SO'!$B$7),$AP27))</f>
        <v/>
      </c>
      <c r="AW27" s="232">
        <f>IF($B27="","",IF($D27="Theo ngày",SUMIFS('CHAM_CONG_NGAY'!$T$6:$T$4655,'CHAM_CONG_NGAY'!$B$6:$B$4655,$B27,'CHAM_CONG_NGAY'!$C$6:$C$4655,"&gt;="&amp;'THAM_SO'!$B$6,'CHAM_CONG_NGAY'!$C$6:$C$4655,"&lt;="&amp;'THAM_SO'!$B$7),$AQ27))</f>
        <v/>
      </c>
    </row>
    <row r="28">
      <c r="A28" s="145">
        <f>IF($B28="","",ROW()-5)</f>
        <v/>
      </c>
      <c r="B28" s="145">
        <f>IF('DM_NHAN_SU'!B28="","",'DM_NHAN_SU'!B28)</f>
        <v/>
      </c>
      <c r="C28" s="145">
        <f>IF('DM_NHAN_SU'!B28="","",'DM_NHAN_SU'!C28)</f>
        <v/>
      </c>
      <c r="D28" s="127" t="n"/>
      <c r="E28" s="227" t="n"/>
      <c r="F28" s="227" t="n"/>
      <c r="G28" s="227" t="n"/>
      <c r="H28" s="227" t="n"/>
      <c r="I28" s="227" t="n"/>
      <c r="J28" s="227" t="n"/>
      <c r="K28" s="227" t="n"/>
      <c r="L28" s="227" t="n"/>
      <c r="M28" s="227" t="n"/>
      <c r="N28" s="227" t="n"/>
      <c r="O28" s="222" t="n"/>
      <c r="P28" s="222" t="n"/>
      <c r="Q28" s="222" t="n"/>
      <c r="R28" s="222" t="n"/>
      <c r="S28" s="222" t="n"/>
      <c r="T28" s="222" t="n"/>
      <c r="U28" s="222" t="n"/>
      <c r="V28" s="222" t="n"/>
      <c r="W28" s="222" t="n"/>
      <c r="X28" s="222" t="n"/>
      <c r="Y28" s="222" t="n"/>
      <c r="Z28" s="222" t="n"/>
      <c r="AA28" s="127" t="n"/>
      <c r="AB28" s="127" t="n"/>
      <c r="AC28" s="232">
        <f>IF($B28="","",IF($D28="Theo ngày",SUMIFS('CHAM_CONG_NGAY'!$E$6:$E$4655,'CHAM_CONG_NGAY'!$B$6:$B$4655,$B28,'CHAM_CONG_NGAY'!$C$6:$C$4655,"&gt;="&amp;'THAM_SO'!$B$6,'CHAM_CONG_NGAY'!$C$6:$C$4655,"&lt;="&amp;'THAM_SO'!$B$7),$E28))</f>
        <v/>
      </c>
      <c r="AD28" s="232">
        <f>IF($B28="","",IF($D28="Theo ngày",SUMIFS('CHAM_CONG_NGAY'!$F$6:$F$4655,'CHAM_CONG_NGAY'!$B$6:$B$4655,$B28,'CHAM_CONG_NGAY'!$C$6:$C$4655,"&gt;="&amp;'THAM_SO'!$B$6,'CHAM_CONG_NGAY'!$C$6:$C$4655,"&lt;="&amp;'THAM_SO'!$B$7),$F28))</f>
        <v/>
      </c>
      <c r="AE28" s="232">
        <f>IF($B28="","",IF($D28="Theo ngày",SUMIFS('CHAM_CONG_NGAY'!$G$6:$G$4655,'CHAM_CONG_NGAY'!$B$6:$B$4655,$B28,'CHAM_CONG_NGAY'!$C$6:$C$4655,"&gt;="&amp;'THAM_SO'!$B$6,'CHAM_CONG_NGAY'!$C$6:$C$4655,"&lt;="&amp;'THAM_SO'!$B$7),$G28))</f>
        <v/>
      </c>
      <c r="AF28" s="232">
        <f>IF($B28="","",IF($D28="Theo ngày",SUMIFS('CHAM_CONG_NGAY'!$H$6:$H$4655,'CHAM_CONG_NGAY'!$B$6:$B$4655,$B28,'CHAM_CONG_NGAY'!$C$6:$C$4655,"&gt;="&amp;'THAM_SO'!$B$6,'CHAM_CONG_NGAY'!$C$6:$C$4655,"&lt;="&amp;'THAM_SO'!$B$7),$H28))</f>
        <v/>
      </c>
      <c r="AG28" s="232">
        <f>IF($B28="","",IF($D28="Theo ngày",SUMIFS('CHAM_CONG_NGAY'!$I$6:$I$4655,'CHAM_CONG_NGAY'!$B$6:$B$4655,$B28,'CHAM_CONG_NGAY'!$C$6:$C$4655,"&gt;="&amp;'THAM_SO'!$B$6,'CHAM_CONG_NGAY'!$C$6:$C$4655,"&lt;="&amp;'THAM_SO'!$B$7),$I28))</f>
        <v/>
      </c>
      <c r="AH28" s="232">
        <f>IF($B28="","",IF($D28="Theo ngày",SUMIFS('CHAM_CONG_NGAY'!$J$6:$J$4655,'CHAM_CONG_NGAY'!$B$6:$B$4655,$B28,'CHAM_CONG_NGAY'!$C$6:$C$4655,"&gt;="&amp;'THAM_SO'!$B$6,'CHAM_CONG_NGAY'!$C$6:$C$4655,"&lt;="&amp;'THAM_SO'!$B$7),$J28))</f>
        <v/>
      </c>
      <c r="AI28" s="232">
        <f>IF($B28="","",IF($D28="Theo ngày",SUMIFS('CHAM_CONG_NGAY'!$K$6:$K$4655,'CHAM_CONG_NGAY'!$B$6:$B$4655,$B28,'CHAM_CONG_NGAY'!$C$6:$C$4655,"&gt;="&amp;'THAM_SO'!$B$6,'CHAM_CONG_NGAY'!$C$6:$C$4655,"&lt;="&amp;'THAM_SO'!$B$7),$K28))</f>
        <v/>
      </c>
      <c r="AJ28" s="232">
        <f>IF($B28="","",IF($D28="Theo ngày",SUMIFS('CHAM_CONG_NGAY'!$L$6:$L$4655,'CHAM_CONG_NGAY'!$B$6:$B$4655,$B28,'CHAM_CONG_NGAY'!$C$6:$C$4655,"&gt;="&amp;'THAM_SO'!$B$6,'CHAM_CONG_NGAY'!$C$6:$C$4655,"&lt;="&amp;'THAM_SO'!$B$7),$L28))</f>
        <v/>
      </c>
      <c r="AK28" s="232">
        <f>IF($B28="","",IF($D28="Theo ngày",SUMIFS('CHAM_CONG_NGAY'!$M$6:$M$4655,'CHAM_CONG_NGAY'!$B$6:$B$4655,$B28,'CHAM_CONG_NGAY'!$C$6:$C$4655,"&gt;="&amp;'THAM_SO'!$B$6,'CHAM_CONG_NGAY'!$C$6:$C$4655,"&lt;="&amp;'THAM_SO'!$B$7),$M28))</f>
        <v/>
      </c>
      <c r="AL28" s="227" t="n"/>
      <c r="AM28" s="227" t="n"/>
      <c r="AN28" s="227" t="n"/>
      <c r="AO28" s="227" t="n"/>
      <c r="AP28" s="227" t="n"/>
      <c r="AQ28" s="227" t="n"/>
      <c r="AR28" s="232">
        <f>IF($B28="","",IF($D28="Theo ngày",SUMIFS('CHAM_CONG_NGAY'!$O$6:$O$4655,'CHAM_CONG_NGAY'!$B$6:$B$4655,$B28,'CHAM_CONG_NGAY'!$C$6:$C$4655,"&gt;="&amp;'THAM_SO'!$B$6,'CHAM_CONG_NGAY'!$C$6:$C$4655,"&lt;="&amp;'THAM_SO'!$B$7),$AL28))</f>
        <v/>
      </c>
      <c r="AS28" s="232">
        <f>IF($B28="","",IF($D28="Theo ngày",SUMIFS('CHAM_CONG_NGAY'!$P$6:$P$4655,'CHAM_CONG_NGAY'!$B$6:$B$4655,$B28,'CHAM_CONG_NGAY'!$C$6:$C$4655,"&gt;="&amp;'THAM_SO'!$B$6,'CHAM_CONG_NGAY'!$C$6:$C$4655,"&lt;="&amp;'THAM_SO'!$B$7),$AM28))</f>
        <v/>
      </c>
      <c r="AT28" s="232">
        <f>IF($B28="","",IF($D28="Theo ngày",SUMIFS('CHAM_CONG_NGAY'!$Q$6:$Q$4655,'CHAM_CONG_NGAY'!$B$6:$B$4655,$B28,'CHAM_CONG_NGAY'!$C$6:$C$4655,"&gt;="&amp;'THAM_SO'!$B$6,'CHAM_CONG_NGAY'!$C$6:$C$4655,"&lt;="&amp;'THAM_SO'!$B$7),$AN28))</f>
        <v/>
      </c>
      <c r="AU28" s="232">
        <f>IF($B28="","",IF($D28="Theo ngày",SUMIFS('CHAM_CONG_NGAY'!$R$6:$R$4655,'CHAM_CONG_NGAY'!$B$6:$B$4655,$B28,'CHAM_CONG_NGAY'!$C$6:$C$4655,"&gt;="&amp;'THAM_SO'!$B$6,'CHAM_CONG_NGAY'!$C$6:$C$4655,"&lt;="&amp;'THAM_SO'!$B$7),$AO28))</f>
        <v/>
      </c>
      <c r="AV28" s="232">
        <f>IF($B28="","",IF($D28="Theo ngày",SUMIFS('CHAM_CONG_NGAY'!$S$6:$S$4655,'CHAM_CONG_NGAY'!$B$6:$B$4655,$B28,'CHAM_CONG_NGAY'!$C$6:$C$4655,"&gt;="&amp;'THAM_SO'!$B$6,'CHAM_CONG_NGAY'!$C$6:$C$4655,"&lt;="&amp;'THAM_SO'!$B$7),$AP28))</f>
        <v/>
      </c>
      <c r="AW28" s="232">
        <f>IF($B28="","",IF($D28="Theo ngày",SUMIFS('CHAM_CONG_NGAY'!$T$6:$T$4655,'CHAM_CONG_NGAY'!$B$6:$B$4655,$B28,'CHAM_CONG_NGAY'!$C$6:$C$4655,"&gt;="&amp;'THAM_SO'!$B$6,'CHAM_CONG_NGAY'!$C$6:$C$4655,"&lt;="&amp;'THAM_SO'!$B$7),$AQ28))</f>
        <v/>
      </c>
    </row>
    <row r="29">
      <c r="A29" s="145">
        <f>IF($B29="","",ROW()-5)</f>
        <v/>
      </c>
      <c r="B29" s="145">
        <f>IF('DM_NHAN_SU'!B29="","",'DM_NHAN_SU'!B29)</f>
        <v/>
      </c>
      <c r="C29" s="145">
        <f>IF('DM_NHAN_SU'!B29="","",'DM_NHAN_SU'!C29)</f>
        <v/>
      </c>
      <c r="D29" s="127" t="n"/>
      <c r="E29" s="227" t="n"/>
      <c r="F29" s="227" t="n"/>
      <c r="G29" s="227" t="n"/>
      <c r="H29" s="227" t="n"/>
      <c r="I29" s="227" t="n"/>
      <c r="J29" s="227" t="n"/>
      <c r="K29" s="227" t="n"/>
      <c r="L29" s="227" t="n"/>
      <c r="M29" s="227" t="n"/>
      <c r="N29" s="227" t="n"/>
      <c r="O29" s="222" t="n"/>
      <c r="P29" s="222" t="n"/>
      <c r="Q29" s="222" t="n"/>
      <c r="R29" s="222" t="n"/>
      <c r="S29" s="222" t="n"/>
      <c r="T29" s="222" t="n"/>
      <c r="U29" s="222" t="n"/>
      <c r="V29" s="222" t="n"/>
      <c r="W29" s="222" t="n"/>
      <c r="X29" s="222" t="n"/>
      <c r="Y29" s="222" t="n"/>
      <c r="Z29" s="222" t="n"/>
      <c r="AA29" s="127" t="n"/>
      <c r="AB29" s="127" t="n"/>
      <c r="AC29" s="232">
        <f>IF($B29="","",IF($D29="Theo ngày",SUMIFS('CHAM_CONG_NGAY'!$E$6:$E$4655,'CHAM_CONG_NGAY'!$B$6:$B$4655,$B29,'CHAM_CONG_NGAY'!$C$6:$C$4655,"&gt;="&amp;'THAM_SO'!$B$6,'CHAM_CONG_NGAY'!$C$6:$C$4655,"&lt;="&amp;'THAM_SO'!$B$7),$E29))</f>
        <v/>
      </c>
      <c r="AD29" s="232">
        <f>IF($B29="","",IF($D29="Theo ngày",SUMIFS('CHAM_CONG_NGAY'!$F$6:$F$4655,'CHAM_CONG_NGAY'!$B$6:$B$4655,$B29,'CHAM_CONG_NGAY'!$C$6:$C$4655,"&gt;="&amp;'THAM_SO'!$B$6,'CHAM_CONG_NGAY'!$C$6:$C$4655,"&lt;="&amp;'THAM_SO'!$B$7),$F29))</f>
        <v/>
      </c>
      <c r="AE29" s="232">
        <f>IF($B29="","",IF($D29="Theo ngày",SUMIFS('CHAM_CONG_NGAY'!$G$6:$G$4655,'CHAM_CONG_NGAY'!$B$6:$B$4655,$B29,'CHAM_CONG_NGAY'!$C$6:$C$4655,"&gt;="&amp;'THAM_SO'!$B$6,'CHAM_CONG_NGAY'!$C$6:$C$4655,"&lt;="&amp;'THAM_SO'!$B$7),$G29))</f>
        <v/>
      </c>
      <c r="AF29" s="232">
        <f>IF($B29="","",IF($D29="Theo ngày",SUMIFS('CHAM_CONG_NGAY'!$H$6:$H$4655,'CHAM_CONG_NGAY'!$B$6:$B$4655,$B29,'CHAM_CONG_NGAY'!$C$6:$C$4655,"&gt;="&amp;'THAM_SO'!$B$6,'CHAM_CONG_NGAY'!$C$6:$C$4655,"&lt;="&amp;'THAM_SO'!$B$7),$H29))</f>
        <v/>
      </c>
      <c r="AG29" s="232">
        <f>IF($B29="","",IF($D29="Theo ngày",SUMIFS('CHAM_CONG_NGAY'!$I$6:$I$4655,'CHAM_CONG_NGAY'!$B$6:$B$4655,$B29,'CHAM_CONG_NGAY'!$C$6:$C$4655,"&gt;="&amp;'THAM_SO'!$B$6,'CHAM_CONG_NGAY'!$C$6:$C$4655,"&lt;="&amp;'THAM_SO'!$B$7),$I29))</f>
        <v/>
      </c>
      <c r="AH29" s="232">
        <f>IF($B29="","",IF($D29="Theo ngày",SUMIFS('CHAM_CONG_NGAY'!$J$6:$J$4655,'CHAM_CONG_NGAY'!$B$6:$B$4655,$B29,'CHAM_CONG_NGAY'!$C$6:$C$4655,"&gt;="&amp;'THAM_SO'!$B$6,'CHAM_CONG_NGAY'!$C$6:$C$4655,"&lt;="&amp;'THAM_SO'!$B$7),$J29))</f>
        <v/>
      </c>
      <c r="AI29" s="232">
        <f>IF($B29="","",IF($D29="Theo ngày",SUMIFS('CHAM_CONG_NGAY'!$K$6:$K$4655,'CHAM_CONG_NGAY'!$B$6:$B$4655,$B29,'CHAM_CONG_NGAY'!$C$6:$C$4655,"&gt;="&amp;'THAM_SO'!$B$6,'CHAM_CONG_NGAY'!$C$6:$C$4655,"&lt;="&amp;'THAM_SO'!$B$7),$K29))</f>
        <v/>
      </c>
      <c r="AJ29" s="232">
        <f>IF($B29="","",IF($D29="Theo ngày",SUMIFS('CHAM_CONG_NGAY'!$L$6:$L$4655,'CHAM_CONG_NGAY'!$B$6:$B$4655,$B29,'CHAM_CONG_NGAY'!$C$6:$C$4655,"&gt;="&amp;'THAM_SO'!$B$6,'CHAM_CONG_NGAY'!$C$6:$C$4655,"&lt;="&amp;'THAM_SO'!$B$7),$L29))</f>
        <v/>
      </c>
      <c r="AK29" s="232">
        <f>IF($B29="","",IF($D29="Theo ngày",SUMIFS('CHAM_CONG_NGAY'!$M$6:$M$4655,'CHAM_CONG_NGAY'!$B$6:$B$4655,$B29,'CHAM_CONG_NGAY'!$C$6:$C$4655,"&gt;="&amp;'THAM_SO'!$B$6,'CHAM_CONG_NGAY'!$C$6:$C$4655,"&lt;="&amp;'THAM_SO'!$B$7),$M29))</f>
        <v/>
      </c>
      <c r="AL29" s="227" t="n"/>
      <c r="AM29" s="227" t="n"/>
      <c r="AN29" s="227" t="n"/>
      <c r="AO29" s="227" t="n"/>
      <c r="AP29" s="227" t="n"/>
      <c r="AQ29" s="227" t="n"/>
      <c r="AR29" s="232">
        <f>IF($B29="","",IF($D29="Theo ngày",SUMIFS('CHAM_CONG_NGAY'!$O$6:$O$4655,'CHAM_CONG_NGAY'!$B$6:$B$4655,$B29,'CHAM_CONG_NGAY'!$C$6:$C$4655,"&gt;="&amp;'THAM_SO'!$B$6,'CHAM_CONG_NGAY'!$C$6:$C$4655,"&lt;="&amp;'THAM_SO'!$B$7),$AL29))</f>
        <v/>
      </c>
      <c r="AS29" s="232">
        <f>IF($B29="","",IF($D29="Theo ngày",SUMIFS('CHAM_CONG_NGAY'!$P$6:$P$4655,'CHAM_CONG_NGAY'!$B$6:$B$4655,$B29,'CHAM_CONG_NGAY'!$C$6:$C$4655,"&gt;="&amp;'THAM_SO'!$B$6,'CHAM_CONG_NGAY'!$C$6:$C$4655,"&lt;="&amp;'THAM_SO'!$B$7),$AM29))</f>
        <v/>
      </c>
      <c r="AT29" s="232">
        <f>IF($B29="","",IF($D29="Theo ngày",SUMIFS('CHAM_CONG_NGAY'!$Q$6:$Q$4655,'CHAM_CONG_NGAY'!$B$6:$B$4655,$B29,'CHAM_CONG_NGAY'!$C$6:$C$4655,"&gt;="&amp;'THAM_SO'!$B$6,'CHAM_CONG_NGAY'!$C$6:$C$4655,"&lt;="&amp;'THAM_SO'!$B$7),$AN29))</f>
        <v/>
      </c>
      <c r="AU29" s="232">
        <f>IF($B29="","",IF($D29="Theo ngày",SUMIFS('CHAM_CONG_NGAY'!$R$6:$R$4655,'CHAM_CONG_NGAY'!$B$6:$B$4655,$B29,'CHAM_CONG_NGAY'!$C$6:$C$4655,"&gt;="&amp;'THAM_SO'!$B$6,'CHAM_CONG_NGAY'!$C$6:$C$4655,"&lt;="&amp;'THAM_SO'!$B$7),$AO29))</f>
        <v/>
      </c>
      <c r="AV29" s="232">
        <f>IF($B29="","",IF($D29="Theo ngày",SUMIFS('CHAM_CONG_NGAY'!$S$6:$S$4655,'CHAM_CONG_NGAY'!$B$6:$B$4655,$B29,'CHAM_CONG_NGAY'!$C$6:$C$4655,"&gt;="&amp;'THAM_SO'!$B$6,'CHAM_CONG_NGAY'!$C$6:$C$4655,"&lt;="&amp;'THAM_SO'!$B$7),$AP29))</f>
        <v/>
      </c>
      <c r="AW29" s="232">
        <f>IF($B29="","",IF($D29="Theo ngày",SUMIFS('CHAM_CONG_NGAY'!$T$6:$T$4655,'CHAM_CONG_NGAY'!$B$6:$B$4655,$B29,'CHAM_CONG_NGAY'!$C$6:$C$4655,"&gt;="&amp;'THAM_SO'!$B$6,'CHAM_CONG_NGAY'!$C$6:$C$4655,"&lt;="&amp;'THAM_SO'!$B$7),$AQ29))</f>
        <v/>
      </c>
    </row>
    <row r="30">
      <c r="A30" s="145">
        <f>IF($B30="","",ROW()-5)</f>
        <v/>
      </c>
      <c r="B30" s="145">
        <f>IF('DM_NHAN_SU'!B30="","",'DM_NHAN_SU'!B30)</f>
        <v/>
      </c>
      <c r="C30" s="145">
        <f>IF('DM_NHAN_SU'!B30="","",'DM_NHAN_SU'!C30)</f>
        <v/>
      </c>
      <c r="D30" s="127" t="n"/>
      <c r="E30" s="227" t="n"/>
      <c r="F30" s="227" t="n"/>
      <c r="G30" s="227" t="n"/>
      <c r="H30" s="227" t="n"/>
      <c r="I30" s="227" t="n"/>
      <c r="J30" s="227" t="n"/>
      <c r="K30" s="227" t="n"/>
      <c r="L30" s="227" t="n"/>
      <c r="M30" s="227" t="n"/>
      <c r="N30" s="227" t="n"/>
      <c r="O30" s="222" t="n"/>
      <c r="P30" s="222" t="n"/>
      <c r="Q30" s="222" t="n"/>
      <c r="R30" s="222" t="n"/>
      <c r="S30" s="222" t="n"/>
      <c r="T30" s="222" t="n"/>
      <c r="U30" s="222" t="n"/>
      <c r="V30" s="222" t="n"/>
      <c r="W30" s="222" t="n"/>
      <c r="X30" s="222" t="n"/>
      <c r="Y30" s="222" t="n"/>
      <c r="Z30" s="222" t="n"/>
      <c r="AA30" s="127" t="n"/>
      <c r="AB30" s="127" t="n"/>
      <c r="AC30" s="232">
        <f>IF($B30="","",IF($D30="Theo ngày",SUMIFS('CHAM_CONG_NGAY'!$E$6:$E$4655,'CHAM_CONG_NGAY'!$B$6:$B$4655,$B30,'CHAM_CONG_NGAY'!$C$6:$C$4655,"&gt;="&amp;'THAM_SO'!$B$6,'CHAM_CONG_NGAY'!$C$6:$C$4655,"&lt;="&amp;'THAM_SO'!$B$7),$E30))</f>
        <v/>
      </c>
      <c r="AD30" s="232">
        <f>IF($B30="","",IF($D30="Theo ngày",SUMIFS('CHAM_CONG_NGAY'!$F$6:$F$4655,'CHAM_CONG_NGAY'!$B$6:$B$4655,$B30,'CHAM_CONG_NGAY'!$C$6:$C$4655,"&gt;="&amp;'THAM_SO'!$B$6,'CHAM_CONG_NGAY'!$C$6:$C$4655,"&lt;="&amp;'THAM_SO'!$B$7),$F30))</f>
        <v/>
      </c>
      <c r="AE30" s="232">
        <f>IF($B30="","",IF($D30="Theo ngày",SUMIFS('CHAM_CONG_NGAY'!$G$6:$G$4655,'CHAM_CONG_NGAY'!$B$6:$B$4655,$B30,'CHAM_CONG_NGAY'!$C$6:$C$4655,"&gt;="&amp;'THAM_SO'!$B$6,'CHAM_CONG_NGAY'!$C$6:$C$4655,"&lt;="&amp;'THAM_SO'!$B$7),$G30))</f>
        <v/>
      </c>
      <c r="AF30" s="232">
        <f>IF($B30="","",IF($D30="Theo ngày",SUMIFS('CHAM_CONG_NGAY'!$H$6:$H$4655,'CHAM_CONG_NGAY'!$B$6:$B$4655,$B30,'CHAM_CONG_NGAY'!$C$6:$C$4655,"&gt;="&amp;'THAM_SO'!$B$6,'CHAM_CONG_NGAY'!$C$6:$C$4655,"&lt;="&amp;'THAM_SO'!$B$7),$H30))</f>
        <v/>
      </c>
      <c r="AG30" s="232">
        <f>IF($B30="","",IF($D30="Theo ngày",SUMIFS('CHAM_CONG_NGAY'!$I$6:$I$4655,'CHAM_CONG_NGAY'!$B$6:$B$4655,$B30,'CHAM_CONG_NGAY'!$C$6:$C$4655,"&gt;="&amp;'THAM_SO'!$B$6,'CHAM_CONG_NGAY'!$C$6:$C$4655,"&lt;="&amp;'THAM_SO'!$B$7),$I30))</f>
        <v/>
      </c>
      <c r="AH30" s="232">
        <f>IF($B30="","",IF($D30="Theo ngày",SUMIFS('CHAM_CONG_NGAY'!$J$6:$J$4655,'CHAM_CONG_NGAY'!$B$6:$B$4655,$B30,'CHAM_CONG_NGAY'!$C$6:$C$4655,"&gt;="&amp;'THAM_SO'!$B$6,'CHAM_CONG_NGAY'!$C$6:$C$4655,"&lt;="&amp;'THAM_SO'!$B$7),$J30))</f>
        <v/>
      </c>
      <c r="AI30" s="232">
        <f>IF($B30="","",IF($D30="Theo ngày",SUMIFS('CHAM_CONG_NGAY'!$K$6:$K$4655,'CHAM_CONG_NGAY'!$B$6:$B$4655,$B30,'CHAM_CONG_NGAY'!$C$6:$C$4655,"&gt;="&amp;'THAM_SO'!$B$6,'CHAM_CONG_NGAY'!$C$6:$C$4655,"&lt;="&amp;'THAM_SO'!$B$7),$K30))</f>
        <v/>
      </c>
      <c r="AJ30" s="232">
        <f>IF($B30="","",IF($D30="Theo ngày",SUMIFS('CHAM_CONG_NGAY'!$L$6:$L$4655,'CHAM_CONG_NGAY'!$B$6:$B$4655,$B30,'CHAM_CONG_NGAY'!$C$6:$C$4655,"&gt;="&amp;'THAM_SO'!$B$6,'CHAM_CONG_NGAY'!$C$6:$C$4655,"&lt;="&amp;'THAM_SO'!$B$7),$L30))</f>
        <v/>
      </c>
      <c r="AK30" s="232">
        <f>IF($B30="","",IF($D30="Theo ngày",SUMIFS('CHAM_CONG_NGAY'!$M$6:$M$4655,'CHAM_CONG_NGAY'!$B$6:$B$4655,$B30,'CHAM_CONG_NGAY'!$C$6:$C$4655,"&gt;="&amp;'THAM_SO'!$B$6,'CHAM_CONG_NGAY'!$C$6:$C$4655,"&lt;="&amp;'THAM_SO'!$B$7),$M30))</f>
        <v/>
      </c>
      <c r="AL30" s="227" t="n"/>
      <c r="AM30" s="227" t="n"/>
      <c r="AN30" s="227" t="n"/>
      <c r="AO30" s="227" t="n"/>
      <c r="AP30" s="227" t="n"/>
      <c r="AQ30" s="227" t="n"/>
      <c r="AR30" s="232">
        <f>IF($B30="","",IF($D30="Theo ngày",SUMIFS('CHAM_CONG_NGAY'!$O$6:$O$4655,'CHAM_CONG_NGAY'!$B$6:$B$4655,$B30,'CHAM_CONG_NGAY'!$C$6:$C$4655,"&gt;="&amp;'THAM_SO'!$B$6,'CHAM_CONG_NGAY'!$C$6:$C$4655,"&lt;="&amp;'THAM_SO'!$B$7),$AL30))</f>
        <v/>
      </c>
      <c r="AS30" s="232">
        <f>IF($B30="","",IF($D30="Theo ngày",SUMIFS('CHAM_CONG_NGAY'!$P$6:$P$4655,'CHAM_CONG_NGAY'!$B$6:$B$4655,$B30,'CHAM_CONG_NGAY'!$C$6:$C$4655,"&gt;="&amp;'THAM_SO'!$B$6,'CHAM_CONG_NGAY'!$C$6:$C$4655,"&lt;="&amp;'THAM_SO'!$B$7),$AM30))</f>
        <v/>
      </c>
      <c r="AT30" s="232">
        <f>IF($B30="","",IF($D30="Theo ngày",SUMIFS('CHAM_CONG_NGAY'!$Q$6:$Q$4655,'CHAM_CONG_NGAY'!$B$6:$B$4655,$B30,'CHAM_CONG_NGAY'!$C$6:$C$4655,"&gt;="&amp;'THAM_SO'!$B$6,'CHAM_CONG_NGAY'!$C$6:$C$4655,"&lt;="&amp;'THAM_SO'!$B$7),$AN30))</f>
        <v/>
      </c>
      <c r="AU30" s="232">
        <f>IF($B30="","",IF($D30="Theo ngày",SUMIFS('CHAM_CONG_NGAY'!$R$6:$R$4655,'CHAM_CONG_NGAY'!$B$6:$B$4655,$B30,'CHAM_CONG_NGAY'!$C$6:$C$4655,"&gt;="&amp;'THAM_SO'!$B$6,'CHAM_CONG_NGAY'!$C$6:$C$4655,"&lt;="&amp;'THAM_SO'!$B$7),$AO30))</f>
        <v/>
      </c>
      <c r="AV30" s="232">
        <f>IF($B30="","",IF($D30="Theo ngày",SUMIFS('CHAM_CONG_NGAY'!$S$6:$S$4655,'CHAM_CONG_NGAY'!$B$6:$B$4655,$B30,'CHAM_CONG_NGAY'!$C$6:$C$4655,"&gt;="&amp;'THAM_SO'!$B$6,'CHAM_CONG_NGAY'!$C$6:$C$4655,"&lt;="&amp;'THAM_SO'!$B$7),$AP30))</f>
        <v/>
      </c>
      <c r="AW30" s="232">
        <f>IF($B30="","",IF($D30="Theo ngày",SUMIFS('CHAM_CONG_NGAY'!$T$6:$T$4655,'CHAM_CONG_NGAY'!$B$6:$B$4655,$B30,'CHAM_CONG_NGAY'!$C$6:$C$4655,"&gt;="&amp;'THAM_SO'!$B$6,'CHAM_CONG_NGAY'!$C$6:$C$4655,"&lt;="&amp;'THAM_SO'!$B$7),$AQ30))</f>
        <v/>
      </c>
    </row>
    <row r="31">
      <c r="A31" s="145">
        <f>IF($B31="","",ROW()-5)</f>
        <v/>
      </c>
      <c r="B31" s="145">
        <f>IF('DM_NHAN_SU'!B31="","",'DM_NHAN_SU'!B31)</f>
        <v/>
      </c>
      <c r="C31" s="145">
        <f>IF('DM_NHAN_SU'!B31="","",'DM_NHAN_SU'!C31)</f>
        <v/>
      </c>
      <c r="D31" s="127" t="n"/>
      <c r="E31" s="227" t="n"/>
      <c r="F31" s="227" t="n"/>
      <c r="G31" s="227" t="n"/>
      <c r="H31" s="227" t="n"/>
      <c r="I31" s="227" t="n"/>
      <c r="J31" s="227" t="n"/>
      <c r="K31" s="227" t="n"/>
      <c r="L31" s="227" t="n"/>
      <c r="M31" s="227" t="n"/>
      <c r="N31" s="227" t="n"/>
      <c r="O31" s="222" t="n"/>
      <c r="P31" s="222" t="n"/>
      <c r="Q31" s="222" t="n"/>
      <c r="R31" s="222" t="n"/>
      <c r="S31" s="222" t="n"/>
      <c r="T31" s="222" t="n"/>
      <c r="U31" s="222" t="n"/>
      <c r="V31" s="222" t="n"/>
      <c r="W31" s="222" t="n"/>
      <c r="X31" s="222" t="n"/>
      <c r="Y31" s="222" t="n"/>
      <c r="Z31" s="222" t="n"/>
      <c r="AA31" s="127" t="n"/>
      <c r="AB31" s="127" t="n"/>
      <c r="AC31" s="232">
        <f>IF($B31="","",IF($D31="Theo ngày",SUMIFS('CHAM_CONG_NGAY'!$E$6:$E$4655,'CHAM_CONG_NGAY'!$B$6:$B$4655,$B31,'CHAM_CONG_NGAY'!$C$6:$C$4655,"&gt;="&amp;'THAM_SO'!$B$6,'CHAM_CONG_NGAY'!$C$6:$C$4655,"&lt;="&amp;'THAM_SO'!$B$7),$E31))</f>
        <v/>
      </c>
      <c r="AD31" s="232">
        <f>IF($B31="","",IF($D31="Theo ngày",SUMIFS('CHAM_CONG_NGAY'!$F$6:$F$4655,'CHAM_CONG_NGAY'!$B$6:$B$4655,$B31,'CHAM_CONG_NGAY'!$C$6:$C$4655,"&gt;="&amp;'THAM_SO'!$B$6,'CHAM_CONG_NGAY'!$C$6:$C$4655,"&lt;="&amp;'THAM_SO'!$B$7),$F31))</f>
        <v/>
      </c>
      <c r="AE31" s="232">
        <f>IF($B31="","",IF($D31="Theo ngày",SUMIFS('CHAM_CONG_NGAY'!$G$6:$G$4655,'CHAM_CONG_NGAY'!$B$6:$B$4655,$B31,'CHAM_CONG_NGAY'!$C$6:$C$4655,"&gt;="&amp;'THAM_SO'!$B$6,'CHAM_CONG_NGAY'!$C$6:$C$4655,"&lt;="&amp;'THAM_SO'!$B$7),$G31))</f>
        <v/>
      </c>
      <c r="AF31" s="232">
        <f>IF($B31="","",IF($D31="Theo ngày",SUMIFS('CHAM_CONG_NGAY'!$H$6:$H$4655,'CHAM_CONG_NGAY'!$B$6:$B$4655,$B31,'CHAM_CONG_NGAY'!$C$6:$C$4655,"&gt;="&amp;'THAM_SO'!$B$6,'CHAM_CONG_NGAY'!$C$6:$C$4655,"&lt;="&amp;'THAM_SO'!$B$7),$H31))</f>
        <v/>
      </c>
      <c r="AG31" s="232">
        <f>IF($B31="","",IF($D31="Theo ngày",SUMIFS('CHAM_CONG_NGAY'!$I$6:$I$4655,'CHAM_CONG_NGAY'!$B$6:$B$4655,$B31,'CHAM_CONG_NGAY'!$C$6:$C$4655,"&gt;="&amp;'THAM_SO'!$B$6,'CHAM_CONG_NGAY'!$C$6:$C$4655,"&lt;="&amp;'THAM_SO'!$B$7),$I31))</f>
        <v/>
      </c>
      <c r="AH31" s="232">
        <f>IF($B31="","",IF($D31="Theo ngày",SUMIFS('CHAM_CONG_NGAY'!$J$6:$J$4655,'CHAM_CONG_NGAY'!$B$6:$B$4655,$B31,'CHAM_CONG_NGAY'!$C$6:$C$4655,"&gt;="&amp;'THAM_SO'!$B$6,'CHAM_CONG_NGAY'!$C$6:$C$4655,"&lt;="&amp;'THAM_SO'!$B$7),$J31))</f>
        <v/>
      </c>
      <c r="AI31" s="232">
        <f>IF($B31="","",IF($D31="Theo ngày",SUMIFS('CHAM_CONG_NGAY'!$K$6:$K$4655,'CHAM_CONG_NGAY'!$B$6:$B$4655,$B31,'CHAM_CONG_NGAY'!$C$6:$C$4655,"&gt;="&amp;'THAM_SO'!$B$6,'CHAM_CONG_NGAY'!$C$6:$C$4655,"&lt;="&amp;'THAM_SO'!$B$7),$K31))</f>
        <v/>
      </c>
      <c r="AJ31" s="232">
        <f>IF($B31="","",IF($D31="Theo ngày",SUMIFS('CHAM_CONG_NGAY'!$L$6:$L$4655,'CHAM_CONG_NGAY'!$B$6:$B$4655,$B31,'CHAM_CONG_NGAY'!$C$6:$C$4655,"&gt;="&amp;'THAM_SO'!$B$6,'CHAM_CONG_NGAY'!$C$6:$C$4655,"&lt;="&amp;'THAM_SO'!$B$7),$L31))</f>
        <v/>
      </c>
      <c r="AK31" s="232">
        <f>IF($B31="","",IF($D31="Theo ngày",SUMIFS('CHAM_CONG_NGAY'!$M$6:$M$4655,'CHAM_CONG_NGAY'!$B$6:$B$4655,$B31,'CHAM_CONG_NGAY'!$C$6:$C$4655,"&gt;="&amp;'THAM_SO'!$B$6,'CHAM_CONG_NGAY'!$C$6:$C$4655,"&lt;="&amp;'THAM_SO'!$B$7),$M31))</f>
        <v/>
      </c>
      <c r="AL31" s="227" t="n"/>
      <c r="AM31" s="227" t="n"/>
      <c r="AN31" s="227" t="n"/>
      <c r="AO31" s="227" t="n"/>
      <c r="AP31" s="227" t="n"/>
      <c r="AQ31" s="227" t="n"/>
      <c r="AR31" s="232">
        <f>IF($B31="","",IF($D31="Theo ngày",SUMIFS('CHAM_CONG_NGAY'!$O$6:$O$4655,'CHAM_CONG_NGAY'!$B$6:$B$4655,$B31,'CHAM_CONG_NGAY'!$C$6:$C$4655,"&gt;="&amp;'THAM_SO'!$B$6,'CHAM_CONG_NGAY'!$C$6:$C$4655,"&lt;="&amp;'THAM_SO'!$B$7),$AL31))</f>
        <v/>
      </c>
      <c r="AS31" s="232">
        <f>IF($B31="","",IF($D31="Theo ngày",SUMIFS('CHAM_CONG_NGAY'!$P$6:$P$4655,'CHAM_CONG_NGAY'!$B$6:$B$4655,$B31,'CHAM_CONG_NGAY'!$C$6:$C$4655,"&gt;="&amp;'THAM_SO'!$B$6,'CHAM_CONG_NGAY'!$C$6:$C$4655,"&lt;="&amp;'THAM_SO'!$B$7),$AM31))</f>
        <v/>
      </c>
      <c r="AT31" s="232">
        <f>IF($B31="","",IF($D31="Theo ngày",SUMIFS('CHAM_CONG_NGAY'!$Q$6:$Q$4655,'CHAM_CONG_NGAY'!$B$6:$B$4655,$B31,'CHAM_CONG_NGAY'!$C$6:$C$4655,"&gt;="&amp;'THAM_SO'!$B$6,'CHAM_CONG_NGAY'!$C$6:$C$4655,"&lt;="&amp;'THAM_SO'!$B$7),$AN31))</f>
        <v/>
      </c>
      <c r="AU31" s="232">
        <f>IF($B31="","",IF($D31="Theo ngày",SUMIFS('CHAM_CONG_NGAY'!$R$6:$R$4655,'CHAM_CONG_NGAY'!$B$6:$B$4655,$B31,'CHAM_CONG_NGAY'!$C$6:$C$4655,"&gt;="&amp;'THAM_SO'!$B$6,'CHAM_CONG_NGAY'!$C$6:$C$4655,"&lt;="&amp;'THAM_SO'!$B$7),$AO31))</f>
        <v/>
      </c>
      <c r="AV31" s="232">
        <f>IF($B31="","",IF($D31="Theo ngày",SUMIFS('CHAM_CONG_NGAY'!$S$6:$S$4655,'CHAM_CONG_NGAY'!$B$6:$B$4655,$B31,'CHAM_CONG_NGAY'!$C$6:$C$4655,"&gt;="&amp;'THAM_SO'!$B$6,'CHAM_CONG_NGAY'!$C$6:$C$4655,"&lt;="&amp;'THAM_SO'!$B$7),$AP31))</f>
        <v/>
      </c>
      <c r="AW31" s="232">
        <f>IF($B31="","",IF($D31="Theo ngày",SUMIFS('CHAM_CONG_NGAY'!$T$6:$T$4655,'CHAM_CONG_NGAY'!$B$6:$B$4655,$B31,'CHAM_CONG_NGAY'!$C$6:$C$4655,"&gt;="&amp;'THAM_SO'!$B$6,'CHAM_CONG_NGAY'!$C$6:$C$4655,"&lt;="&amp;'THAM_SO'!$B$7),$AQ31))</f>
        <v/>
      </c>
    </row>
    <row r="32">
      <c r="A32" s="145">
        <f>IF($B32="","",ROW()-5)</f>
        <v/>
      </c>
      <c r="B32" s="145">
        <f>IF('DM_NHAN_SU'!B32="","",'DM_NHAN_SU'!B32)</f>
        <v/>
      </c>
      <c r="C32" s="145">
        <f>IF('DM_NHAN_SU'!B32="","",'DM_NHAN_SU'!C32)</f>
        <v/>
      </c>
      <c r="D32" s="127" t="n"/>
      <c r="E32" s="227" t="n"/>
      <c r="F32" s="227" t="n"/>
      <c r="G32" s="227" t="n"/>
      <c r="H32" s="227" t="n"/>
      <c r="I32" s="227" t="n"/>
      <c r="J32" s="227" t="n"/>
      <c r="K32" s="227" t="n"/>
      <c r="L32" s="227" t="n"/>
      <c r="M32" s="227" t="n"/>
      <c r="N32" s="227" t="n"/>
      <c r="O32" s="222" t="n"/>
      <c r="P32" s="222" t="n"/>
      <c r="Q32" s="222" t="n"/>
      <c r="R32" s="222" t="n"/>
      <c r="S32" s="222" t="n"/>
      <c r="T32" s="222" t="n"/>
      <c r="U32" s="222" t="n"/>
      <c r="V32" s="222" t="n"/>
      <c r="W32" s="222" t="n"/>
      <c r="X32" s="222" t="n"/>
      <c r="Y32" s="222" t="n"/>
      <c r="Z32" s="222" t="n"/>
      <c r="AA32" s="127" t="n"/>
      <c r="AB32" s="127" t="n"/>
      <c r="AC32" s="232">
        <f>IF($B32="","",IF($D32="Theo ngày",SUMIFS('CHAM_CONG_NGAY'!$E$6:$E$4655,'CHAM_CONG_NGAY'!$B$6:$B$4655,$B32,'CHAM_CONG_NGAY'!$C$6:$C$4655,"&gt;="&amp;'THAM_SO'!$B$6,'CHAM_CONG_NGAY'!$C$6:$C$4655,"&lt;="&amp;'THAM_SO'!$B$7),$E32))</f>
        <v/>
      </c>
      <c r="AD32" s="232">
        <f>IF($B32="","",IF($D32="Theo ngày",SUMIFS('CHAM_CONG_NGAY'!$F$6:$F$4655,'CHAM_CONG_NGAY'!$B$6:$B$4655,$B32,'CHAM_CONG_NGAY'!$C$6:$C$4655,"&gt;="&amp;'THAM_SO'!$B$6,'CHAM_CONG_NGAY'!$C$6:$C$4655,"&lt;="&amp;'THAM_SO'!$B$7),$F32))</f>
        <v/>
      </c>
      <c r="AE32" s="232">
        <f>IF($B32="","",IF($D32="Theo ngày",SUMIFS('CHAM_CONG_NGAY'!$G$6:$G$4655,'CHAM_CONG_NGAY'!$B$6:$B$4655,$B32,'CHAM_CONG_NGAY'!$C$6:$C$4655,"&gt;="&amp;'THAM_SO'!$B$6,'CHAM_CONG_NGAY'!$C$6:$C$4655,"&lt;="&amp;'THAM_SO'!$B$7),$G32))</f>
        <v/>
      </c>
      <c r="AF32" s="232">
        <f>IF($B32="","",IF($D32="Theo ngày",SUMIFS('CHAM_CONG_NGAY'!$H$6:$H$4655,'CHAM_CONG_NGAY'!$B$6:$B$4655,$B32,'CHAM_CONG_NGAY'!$C$6:$C$4655,"&gt;="&amp;'THAM_SO'!$B$6,'CHAM_CONG_NGAY'!$C$6:$C$4655,"&lt;="&amp;'THAM_SO'!$B$7),$H32))</f>
        <v/>
      </c>
      <c r="AG32" s="232">
        <f>IF($B32="","",IF($D32="Theo ngày",SUMIFS('CHAM_CONG_NGAY'!$I$6:$I$4655,'CHAM_CONG_NGAY'!$B$6:$B$4655,$B32,'CHAM_CONG_NGAY'!$C$6:$C$4655,"&gt;="&amp;'THAM_SO'!$B$6,'CHAM_CONG_NGAY'!$C$6:$C$4655,"&lt;="&amp;'THAM_SO'!$B$7),$I32))</f>
        <v/>
      </c>
      <c r="AH32" s="232">
        <f>IF($B32="","",IF($D32="Theo ngày",SUMIFS('CHAM_CONG_NGAY'!$J$6:$J$4655,'CHAM_CONG_NGAY'!$B$6:$B$4655,$B32,'CHAM_CONG_NGAY'!$C$6:$C$4655,"&gt;="&amp;'THAM_SO'!$B$6,'CHAM_CONG_NGAY'!$C$6:$C$4655,"&lt;="&amp;'THAM_SO'!$B$7),$J32))</f>
        <v/>
      </c>
      <c r="AI32" s="232">
        <f>IF($B32="","",IF($D32="Theo ngày",SUMIFS('CHAM_CONG_NGAY'!$K$6:$K$4655,'CHAM_CONG_NGAY'!$B$6:$B$4655,$B32,'CHAM_CONG_NGAY'!$C$6:$C$4655,"&gt;="&amp;'THAM_SO'!$B$6,'CHAM_CONG_NGAY'!$C$6:$C$4655,"&lt;="&amp;'THAM_SO'!$B$7),$K32))</f>
        <v/>
      </c>
      <c r="AJ32" s="232">
        <f>IF($B32="","",IF($D32="Theo ngày",SUMIFS('CHAM_CONG_NGAY'!$L$6:$L$4655,'CHAM_CONG_NGAY'!$B$6:$B$4655,$B32,'CHAM_CONG_NGAY'!$C$6:$C$4655,"&gt;="&amp;'THAM_SO'!$B$6,'CHAM_CONG_NGAY'!$C$6:$C$4655,"&lt;="&amp;'THAM_SO'!$B$7),$L32))</f>
        <v/>
      </c>
      <c r="AK32" s="232">
        <f>IF($B32="","",IF($D32="Theo ngày",SUMIFS('CHAM_CONG_NGAY'!$M$6:$M$4655,'CHAM_CONG_NGAY'!$B$6:$B$4655,$B32,'CHAM_CONG_NGAY'!$C$6:$C$4655,"&gt;="&amp;'THAM_SO'!$B$6,'CHAM_CONG_NGAY'!$C$6:$C$4655,"&lt;="&amp;'THAM_SO'!$B$7),$M32))</f>
        <v/>
      </c>
      <c r="AL32" s="227" t="n"/>
      <c r="AM32" s="227" t="n"/>
      <c r="AN32" s="227" t="n"/>
      <c r="AO32" s="227" t="n"/>
      <c r="AP32" s="227" t="n"/>
      <c r="AQ32" s="227" t="n"/>
      <c r="AR32" s="232">
        <f>IF($B32="","",IF($D32="Theo ngày",SUMIFS('CHAM_CONG_NGAY'!$O$6:$O$4655,'CHAM_CONG_NGAY'!$B$6:$B$4655,$B32,'CHAM_CONG_NGAY'!$C$6:$C$4655,"&gt;="&amp;'THAM_SO'!$B$6,'CHAM_CONG_NGAY'!$C$6:$C$4655,"&lt;="&amp;'THAM_SO'!$B$7),$AL32))</f>
        <v/>
      </c>
      <c r="AS32" s="232">
        <f>IF($B32="","",IF($D32="Theo ngày",SUMIFS('CHAM_CONG_NGAY'!$P$6:$P$4655,'CHAM_CONG_NGAY'!$B$6:$B$4655,$B32,'CHAM_CONG_NGAY'!$C$6:$C$4655,"&gt;="&amp;'THAM_SO'!$B$6,'CHAM_CONG_NGAY'!$C$6:$C$4655,"&lt;="&amp;'THAM_SO'!$B$7),$AM32))</f>
        <v/>
      </c>
      <c r="AT32" s="232">
        <f>IF($B32="","",IF($D32="Theo ngày",SUMIFS('CHAM_CONG_NGAY'!$Q$6:$Q$4655,'CHAM_CONG_NGAY'!$B$6:$B$4655,$B32,'CHAM_CONG_NGAY'!$C$6:$C$4655,"&gt;="&amp;'THAM_SO'!$B$6,'CHAM_CONG_NGAY'!$C$6:$C$4655,"&lt;="&amp;'THAM_SO'!$B$7),$AN32))</f>
        <v/>
      </c>
      <c r="AU32" s="232">
        <f>IF($B32="","",IF($D32="Theo ngày",SUMIFS('CHAM_CONG_NGAY'!$R$6:$R$4655,'CHAM_CONG_NGAY'!$B$6:$B$4655,$B32,'CHAM_CONG_NGAY'!$C$6:$C$4655,"&gt;="&amp;'THAM_SO'!$B$6,'CHAM_CONG_NGAY'!$C$6:$C$4655,"&lt;="&amp;'THAM_SO'!$B$7),$AO32))</f>
        <v/>
      </c>
      <c r="AV32" s="232">
        <f>IF($B32="","",IF($D32="Theo ngày",SUMIFS('CHAM_CONG_NGAY'!$S$6:$S$4655,'CHAM_CONG_NGAY'!$B$6:$B$4655,$B32,'CHAM_CONG_NGAY'!$C$6:$C$4655,"&gt;="&amp;'THAM_SO'!$B$6,'CHAM_CONG_NGAY'!$C$6:$C$4655,"&lt;="&amp;'THAM_SO'!$B$7),$AP32))</f>
        <v/>
      </c>
      <c r="AW32" s="232">
        <f>IF($B32="","",IF($D32="Theo ngày",SUMIFS('CHAM_CONG_NGAY'!$T$6:$T$4655,'CHAM_CONG_NGAY'!$B$6:$B$4655,$B32,'CHAM_CONG_NGAY'!$C$6:$C$4655,"&gt;="&amp;'THAM_SO'!$B$6,'CHAM_CONG_NGAY'!$C$6:$C$4655,"&lt;="&amp;'THAM_SO'!$B$7),$AQ32))</f>
        <v/>
      </c>
    </row>
    <row r="33">
      <c r="A33" s="145">
        <f>IF($B33="","",ROW()-5)</f>
        <v/>
      </c>
      <c r="B33" s="145">
        <f>IF('DM_NHAN_SU'!B33="","",'DM_NHAN_SU'!B33)</f>
        <v/>
      </c>
      <c r="C33" s="145">
        <f>IF('DM_NHAN_SU'!B33="","",'DM_NHAN_SU'!C33)</f>
        <v/>
      </c>
      <c r="D33" s="127" t="n"/>
      <c r="E33" s="227" t="n"/>
      <c r="F33" s="227" t="n"/>
      <c r="G33" s="227" t="n"/>
      <c r="H33" s="227" t="n"/>
      <c r="I33" s="227" t="n"/>
      <c r="J33" s="227" t="n"/>
      <c r="K33" s="227" t="n"/>
      <c r="L33" s="227" t="n"/>
      <c r="M33" s="227" t="n"/>
      <c r="N33" s="227" t="n"/>
      <c r="O33" s="222" t="n"/>
      <c r="P33" s="222" t="n"/>
      <c r="Q33" s="222" t="n"/>
      <c r="R33" s="222" t="n"/>
      <c r="S33" s="222" t="n"/>
      <c r="T33" s="222" t="n"/>
      <c r="U33" s="222" t="n"/>
      <c r="V33" s="222" t="n"/>
      <c r="W33" s="222" t="n"/>
      <c r="X33" s="222" t="n"/>
      <c r="Y33" s="222" t="n"/>
      <c r="Z33" s="222" t="n"/>
      <c r="AA33" s="127" t="n"/>
      <c r="AB33" s="127" t="n"/>
      <c r="AC33" s="232">
        <f>IF($B33="","",IF($D33="Theo ngày",SUMIFS('CHAM_CONG_NGAY'!$E$6:$E$4655,'CHAM_CONG_NGAY'!$B$6:$B$4655,$B33,'CHAM_CONG_NGAY'!$C$6:$C$4655,"&gt;="&amp;'THAM_SO'!$B$6,'CHAM_CONG_NGAY'!$C$6:$C$4655,"&lt;="&amp;'THAM_SO'!$B$7),$E33))</f>
        <v/>
      </c>
      <c r="AD33" s="232">
        <f>IF($B33="","",IF($D33="Theo ngày",SUMIFS('CHAM_CONG_NGAY'!$F$6:$F$4655,'CHAM_CONG_NGAY'!$B$6:$B$4655,$B33,'CHAM_CONG_NGAY'!$C$6:$C$4655,"&gt;="&amp;'THAM_SO'!$B$6,'CHAM_CONG_NGAY'!$C$6:$C$4655,"&lt;="&amp;'THAM_SO'!$B$7),$F33))</f>
        <v/>
      </c>
      <c r="AE33" s="232">
        <f>IF($B33="","",IF($D33="Theo ngày",SUMIFS('CHAM_CONG_NGAY'!$G$6:$G$4655,'CHAM_CONG_NGAY'!$B$6:$B$4655,$B33,'CHAM_CONG_NGAY'!$C$6:$C$4655,"&gt;="&amp;'THAM_SO'!$B$6,'CHAM_CONG_NGAY'!$C$6:$C$4655,"&lt;="&amp;'THAM_SO'!$B$7),$G33))</f>
        <v/>
      </c>
      <c r="AF33" s="232">
        <f>IF($B33="","",IF($D33="Theo ngày",SUMIFS('CHAM_CONG_NGAY'!$H$6:$H$4655,'CHAM_CONG_NGAY'!$B$6:$B$4655,$B33,'CHAM_CONG_NGAY'!$C$6:$C$4655,"&gt;="&amp;'THAM_SO'!$B$6,'CHAM_CONG_NGAY'!$C$6:$C$4655,"&lt;="&amp;'THAM_SO'!$B$7),$H33))</f>
        <v/>
      </c>
      <c r="AG33" s="232">
        <f>IF($B33="","",IF($D33="Theo ngày",SUMIFS('CHAM_CONG_NGAY'!$I$6:$I$4655,'CHAM_CONG_NGAY'!$B$6:$B$4655,$B33,'CHAM_CONG_NGAY'!$C$6:$C$4655,"&gt;="&amp;'THAM_SO'!$B$6,'CHAM_CONG_NGAY'!$C$6:$C$4655,"&lt;="&amp;'THAM_SO'!$B$7),$I33))</f>
        <v/>
      </c>
      <c r="AH33" s="232">
        <f>IF($B33="","",IF($D33="Theo ngày",SUMIFS('CHAM_CONG_NGAY'!$J$6:$J$4655,'CHAM_CONG_NGAY'!$B$6:$B$4655,$B33,'CHAM_CONG_NGAY'!$C$6:$C$4655,"&gt;="&amp;'THAM_SO'!$B$6,'CHAM_CONG_NGAY'!$C$6:$C$4655,"&lt;="&amp;'THAM_SO'!$B$7),$J33))</f>
        <v/>
      </c>
      <c r="AI33" s="232">
        <f>IF($B33="","",IF($D33="Theo ngày",SUMIFS('CHAM_CONG_NGAY'!$K$6:$K$4655,'CHAM_CONG_NGAY'!$B$6:$B$4655,$B33,'CHAM_CONG_NGAY'!$C$6:$C$4655,"&gt;="&amp;'THAM_SO'!$B$6,'CHAM_CONG_NGAY'!$C$6:$C$4655,"&lt;="&amp;'THAM_SO'!$B$7),$K33))</f>
        <v/>
      </c>
      <c r="AJ33" s="232">
        <f>IF($B33="","",IF($D33="Theo ngày",SUMIFS('CHAM_CONG_NGAY'!$L$6:$L$4655,'CHAM_CONG_NGAY'!$B$6:$B$4655,$B33,'CHAM_CONG_NGAY'!$C$6:$C$4655,"&gt;="&amp;'THAM_SO'!$B$6,'CHAM_CONG_NGAY'!$C$6:$C$4655,"&lt;="&amp;'THAM_SO'!$B$7),$L33))</f>
        <v/>
      </c>
      <c r="AK33" s="232">
        <f>IF($B33="","",IF($D33="Theo ngày",SUMIFS('CHAM_CONG_NGAY'!$M$6:$M$4655,'CHAM_CONG_NGAY'!$B$6:$B$4655,$B33,'CHAM_CONG_NGAY'!$C$6:$C$4655,"&gt;="&amp;'THAM_SO'!$B$6,'CHAM_CONG_NGAY'!$C$6:$C$4655,"&lt;="&amp;'THAM_SO'!$B$7),$M33))</f>
        <v/>
      </c>
      <c r="AL33" s="227" t="n"/>
      <c r="AM33" s="227" t="n"/>
      <c r="AN33" s="227" t="n"/>
      <c r="AO33" s="227" t="n"/>
      <c r="AP33" s="227" t="n"/>
      <c r="AQ33" s="227" t="n"/>
      <c r="AR33" s="232">
        <f>IF($B33="","",IF($D33="Theo ngày",SUMIFS('CHAM_CONG_NGAY'!$O$6:$O$4655,'CHAM_CONG_NGAY'!$B$6:$B$4655,$B33,'CHAM_CONG_NGAY'!$C$6:$C$4655,"&gt;="&amp;'THAM_SO'!$B$6,'CHAM_CONG_NGAY'!$C$6:$C$4655,"&lt;="&amp;'THAM_SO'!$B$7),$AL33))</f>
        <v/>
      </c>
      <c r="AS33" s="232">
        <f>IF($B33="","",IF($D33="Theo ngày",SUMIFS('CHAM_CONG_NGAY'!$P$6:$P$4655,'CHAM_CONG_NGAY'!$B$6:$B$4655,$B33,'CHAM_CONG_NGAY'!$C$6:$C$4655,"&gt;="&amp;'THAM_SO'!$B$6,'CHAM_CONG_NGAY'!$C$6:$C$4655,"&lt;="&amp;'THAM_SO'!$B$7),$AM33))</f>
        <v/>
      </c>
      <c r="AT33" s="232">
        <f>IF($B33="","",IF($D33="Theo ngày",SUMIFS('CHAM_CONG_NGAY'!$Q$6:$Q$4655,'CHAM_CONG_NGAY'!$B$6:$B$4655,$B33,'CHAM_CONG_NGAY'!$C$6:$C$4655,"&gt;="&amp;'THAM_SO'!$B$6,'CHAM_CONG_NGAY'!$C$6:$C$4655,"&lt;="&amp;'THAM_SO'!$B$7),$AN33))</f>
        <v/>
      </c>
      <c r="AU33" s="232">
        <f>IF($B33="","",IF($D33="Theo ngày",SUMIFS('CHAM_CONG_NGAY'!$R$6:$R$4655,'CHAM_CONG_NGAY'!$B$6:$B$4655,$B33,'CHAM_CONG_NGAY'!$C$6:$C$4655,"&gt;="&amp;'THAM_SO'!$B$6,'CHAM_CONG_NGAY'!$C$6:$C$4655,"&lt;="&amp;'THAM_SO'!$B$7),$AO33))</f>
        <v/>
      </c>
      <c r="AV33" s="232">
        <f>IF($B33="","",IF($D33="Theo ngày",SUMIFS('CHAM_CONG_NGAY'!$S$6:$S$4655,'CHAM_CONG_NGAY'!$B$6:$B$4655,$B33,'CHAM_CONG_NGAY'!$C$6:$C$4655,"&gt;="&amp;'THAM_SO'!$B$6,'CHAM_CONG_NGAY'!$C$6:$C$4655,"&lt;="&amp;'THAM_SO'!$B$7),$AP33))</f>
        <v/>
      </c>
      <c r="AW33" s="232">
        <f>IF($B33="","",IF($D33="Theo ngày",SUMIFS('CHAM_CONG_NGAY'!$T$6:$T$4655,'CHAM_CONG_NGAY'!$B$6:$B$4655,$B33,'CHAM_CONG_NGAY'!$C$6:$C$4655,"&gt;="&amp;'THAM_SO'!$B$6,'CHAM_CONG_NGAY'!$C$6:$C$4655,"&lt;="&amp;'THAM_SO'!$B$7),$AQ33))</f>
        <v/>
      </c>
    </row>
    <row r="34">
      <c r="A34" s="145">
        <f>IF($B34="","",ROW()-5)</f>
        <v/>
      </c>
      <c r="B34" s="145">
        <f>IF('DM_NHAN_SU'!B34="","",'DM_NHAN_SU'!B34)</f>
        <v/>
      </c>
      <c r="C34" s="145">
        <f>IF('DM_NHAN_SU'!B34="","",'DM_NHAN_SU'!C34)</f>
        <v/>
      </c>
      <c r="D34" s="127" t="n"/>
      <c r="E34" s="227" t="n"/>
      <c r="F34" s="227" t="n"/>
      <c r="G34" s="227" t="n"/>
      <c r="H34" s="227" t="n"/>
      <c r="I34" s="227" t="n"/>
      <c r="J34" s="227" t="n"/>
      <c r="K34" s="227" t="n"/>
      <c r="L34" s="227" t="n"/>
      <c r="M34" s="227" t="n"/>
      <c r="N34" s="227" t="n"/>
      <c r="O34" s="222" t="n"/>
      <c r="P34" s="222" t="n"/>
      <c r="Q34" s="222" t="n"/>
      <c r="R34" s="222" t="n"/>
      <c r="S34" s="222" t="n"/>
      <c r="T34" s="222" t="n"/>
      <c r="U34" s="222" t="n"/>
      <c r="V34" s="222" t="n"/>
      <c r="W34" s="222" t="n"/>
      <c r="X34" s="222" t="n"/>
      <c r="Y34" s="222" t="n"/>
      <c r="Z34" s="222" t="n"/>
      <c r="AA34" s="127" t="n"/>
      <c r="AB34" s="127" t="n"/>
      <c r="AC34" s="232">
        <f>IF($B34="","",IF($D34="Theo ngày",SUMIFS('CHAM_CONG_NGAY'!$E$6:$E$4655,'CHAM_CONG_NGAY'!$B$6:$B$4655,$B34,'CHAM_CONG_NGAY'!$C$6:$C$4655,"&gt;="&amp;'THAM_SO'!$B$6,'CHAM_CONG_NGAY'!$C$6:$C$4655,"&lt;="&amp;'THAM_SO'!$B$7),$E34))</f>
        <v/>
      </c>
      <c r="AD34" s="232">
        <f>IF($B34="","",IF($D34="Theo ngày",SUMIFS('CHAM_CONG_NGAY'!$F$6:$F$4655,'CHAM_CONG_NGAY'!$B$6:$B$4655,$B34,'CHAM_CONG_NGAY'!$C$6:$C$4655,"&gt;="&amp;'THAM_SO'!$B$6,'CHAM_CONG_NGAY'!$C$6:$C$4655,"&lt;="&amp;'THAM_SO'!$B$7),$F34))</f>
        <v/>
      </c>
      <c r="AE34" s="232">
        <f>IF($B34="","",IF($D34="Theo ngày",SUMIFS('CHAM_CONG_NGAY'!$G$6:$G$4655,'CHAM_CONG_NGAY'!$B$6:$B$4655,$B34,'CHAM_CONG_NGAY'!$C$6:$C$4655,"&gt;="&amp;'THAM_SO'!$B$6,'CHAM_CONG_NGAY'!$C$6:$C$4655,"&lt;="&amp;'THAM_SO'!$B$7),$G34))</f>
        <v/>
      </c>
      <c r="AF34" s="232">
        <f>IF($B34="","",IF($D34="Theo ngày",SUMIFS('CHAM_CONG_NGAY'!$H$6:$H$4655,'CHAM_CONG_NGAY'!$B$6:$B$4655,$B34,'CHAM_CONG_NGAY'!$C$6:$C$4655,"&gt;="&amp;'THAM_SO'!$B$6,'CHAM_CONG_NGAY'!$C$6:$C$4655,"&lt;="&amp;'THAM_SO'!$B$7),$H34))</f>
        <v/>
      </c>
      <c r="AG34" s="232">
        <f>IF($B34="","",IF($D34="Theo ngày",SUMIFS('CHAM_CONG_NGAY'!$I$6:$I$4655,'CHAM_CONG_NGAY'!$B$6:$B$4655,$B34,'CHAM_CONG_NGAY'!$C$6:$C$4655,"&gt;="&amp;'THAM_SO'!$B$6,'CHAM_CONG_NGAY'!$C$6:$C$4655,"&lt;="&amp;'THAM_SO'!$B$7),$I34))</f>
        <v/>
      </c>
      <c r="AH34" s="232">
        <f>IF($B34="","",IF($D34="Theo ngày",SUMIFS('CHAM_CONG_NGAY'!$J$6:$J$4655,'CHAM_CONG_NGAY'!$B$6:$B$4655,$B34,'CHAM_CONG_NGAY'!$C$6:$C$4655,"&gt;="&amp;'THAM_SO'!$B$6,'CHAM_CONG_NGAY'!$C$6:$C$4655,"&lt;="&amp;'THAM_SO'!$B$7),$J34))</f>
        <v/>
      </c>
      <c r="AI34" s="232">
        <f>IF($B34="","",IF($D34="Theo ngày",SUMIFS('CHAM_CONG_NGAY'!$K$6:$K$4655,'CHAM_CONG_NGAY'!$B$6:$B$4655,$B34,'CHAM_CONG_NGAY'!$C$6:$C$4655,"&gt;="&amp;'THAM_SO'!$B$6,'CHAM_CONG_NGAY'!$C$6:$C$4655,"&lt;="&amp;'THAM_SO'!$B$7),$K34))</f>
        <v/>
      </c>
      <c r="AJ34" s="232">
        <f>IF($B34="","",IF($D34="Theo ngày",SUMIFS('CHAM_CONG_NGAY'!$L$6:$L$4655,'CHAM_CONG_NGAY'!$B$6:$B$4655,$B34,'CHAM_CONG_NGAY'!$C$6:$C$4655,"&gt;="&amp;'THAM_SO'!$B$6,'CHAM_CONG_NGAY'!$C$6:$C$4655,"&lt;="&amp;'THAM_SO'!$B$7),$L34))</f>
        <v/>
      </c>
      <c r="AK34" s="232">
        <f>IF($B34="","",IF($D34="Theo ngày",SUMIFS('CHAM_CONG_NGAY'!$M$6:$M$4655,'CHAM_CONG_NGAY'!$B$6:$B$4655,$B34,'CHAM_CONG_NGAY'!$C$6:$C$4655,"&gt;="&amp;'THAM_SO'!$B$6,'CHAM_CONG_NGAY'!$C$6:$C$4655,"&lt;="&amp;'THAM_SO'!$B$7),$M34))</f>
        <v/>
      </c>
      <c r="AL34" s="227" t="n"/>
      <c r="AM34" s="227" t="n"/>
      <c r="AN34" s="227" t="n"/>
      <c r="AO34" s="227" t="n"/>
      <c r="AP34" s="227" t="n"/>
      <c r="AQ34" s="227" t="n"/>
      <c r="AR34" s="232">
        <f>IF($B34="","",IF($D34="Theo ngày",SUMIFS('CHAM_CONG_NGAY'!$O$6:$O$4655,'CHAM_CONG_NGAY'!$B$6:$B$4655,$B34,'CHAM_CONG_NGAY'!$C$6:$C$4655,"&gt;="&amp;'THAM_SO'!$B$6,'CHAM_CONG_NGAY'!$C$6:$C$4655,"&lt;="&amp;'THAM_SO'!$B$7),$AL34))</f>
        <v/>
      </c>
      <c r="AS34" s="232">
        <f>IF($B34="","",IF($D34="Theo ngày",SUMIFS('CHAM_CONG_NGAY'!$P$6:$P$4655,'CHAM_CONG_NGAY'!$B$6:$B$4655,$B34,'CHAM_CONG_NGAY'!$C$6:$C$4655,"&gt;="&amp;'THAM_SO'!$B$6,'CHAM_CONG_NGAY'!$C$6:$C$4655,"&lt;="&amp;'THAM_SO'!$B$7),$AM34))</f>
        <v/>
      </c>
      <c r="AT34" s="232">
        <f>IF($B34="","",IF($D34="Theo ngày",SUMIFS('CHAM_CONG_NGAY'!$Q$6:$Q$4655,'CHAM_CONG_NGAY'!$B$6:$B$4655,$B34,'CHAM_CONG_NGAY'!$C$6:$C$4655,"&gt;="&amp;'THAM_SO'!$B$6,'CHAM_CONG_NGAY'!$C$6:$C$4655,"&lt;="&amp;'THAM_SO'!$B$7),$AN34))</f>
        <v/>
      </c>
      <c r="AU34" s="232">
        <f>IF($B34="","",IF($D34="Theo ngày",SUMIFS('CHAM_CONG_NGAY'!$R$6:$R$4655,'CHAM_CONG_NGAY'!$B$6:$B$4655,$B34,'CHAM_CONG_NGAY'!$C$6:$C$4655,"&gt;="&amp;'THAM_SO'!$B$6,'CHAM_CONG_NGAY'!$C$6:$C$4655,"&lt;="&amp;'THAM_SO'!$B$7),$AO34))</f>
        <v/>
      </c>
      <c r="AV34" s="232">
        <f>IF($B34="","",IF($D34="Theo ngày",SUMIFS('CHAM_CONG_NGAY'!$S$6:$S$4655,'CHAM_CONG_NGAY'!$B$6:$B$4655,$B34,'CHAM_CONG_NGAY'!$C$6:$C$4655,"&gt;="&amp;'THAM_SO'!$B$6,'CHAM_CONG_NGAY'!$C$6:$C$4655,"&lt;="&amp;'THAM_SO'!$B$7),$AP34))</f>
        <v/>
      </c>
      <c r="AW34" s="232">
        <f>IF($B34="","",IF($D34="Theo ngày",SUMIFS('CHAM_CONG_NGAY'!$T$6:$T$4655,'CHAM_CONG_NGAY'!$B$6:$B$4655,$B34,'CHAM_CONG_NGAY'!$C$6:$C$4655,"&gt;="&amp;'THAM_SO'!$B$6,'CHAM_CONG_NGAY'!$C$6:$C$4655,"&lt;="&amp;'THAM_SO'!$B$7),$AQ34))</f>
        <v/>
      </c>
    </row>
    <row r="35">
      <c r="A35" s="145">
        <f>IF($B35="","",ROW()-5)</f>
        <v/>
      </c>
      <c r="B35" s="145">
        <f>IF('DM_NHAN_SU'!B35="","",'DM_NHAN_SU'!B35)</f>
        <v/>
      </c>
      <c r="C35" s="145">
        <f>IF('DM_NHAN_SU'!B35="","",'DM_NHAN_SU'!C35)</f>
        <v/>
      </c>
      <c r="D35" s="127" t="n"/>
      <c r="E35" s="227" t="n"/>
      <c r="F35" s="227" t="n"/>
      <c r="G35" s="227" t="n"/>
      <c r="H35" s="227" t="n"/>
      <c r="I35" s="227" t="n"/>
      <c r="J35" s="227" t="n"/>
      <c r="K35" s="227" t="n"/>
      <c r="L35" s="227" t="n"/>
      <c r="M35" s="227" t="n"/>
      <c r="N35" s="227" t="n"/>
      <c r="O35" s="222" t="n"/>
      <c r="P35" s="222" t="n"/>
      <c r="Q35" s="222" t="n"/>
      <c r="R35" s="222" t="n"/>
      <c r="S35" s="222" t="n"/>
      <c r="T35" s="222" t="n"/>
      <c r="U35" s="222" t="n"/>
      <c r="V35" s="222" t="n"/>
      <c r="W35" s="222" t="n"/>
      <c r="X35" s="222" t="n"/>
      <c r="Y35" s="222" t="n"/>
      <c r="Z35" s="222" t="n"/>
      <c r="AA35" s="127" t="n"/>
      <c r="AB35" s="127" t="n"/>
      <c r="AC35" s="232">
        <f>IF($B35="","",IF($D35="Theo ngày",SUMIFS('CHAM_CONG_NGAY'!$E$6:$E$4655,'CHAM_CONG_NGAY'!$B$6:$B$4655,$B35,'CHAM_CONG_NGAY'!$C$6:$C$4655,"&gt;="&amp;'THAM_SO'!$B$6,'CHAM_CONG_NGAY'!$C$6:$C$4655,"&lt;="&amp;'THAM_SO'!$B$7),$E35))</f>
        <v/>
      </c>
      <c r="AD35" s="232">
        <f>IF($B35="","",IF($D35="Theo ngày",SUMIFS('CHAM_CONG_NGAY'!$F$6:$F$4655,'CHAM_CONG_NGAY'!$B$6:$B$4655,$B35,'CHAM_CONG_NGAY'!$C$6:$C$4655,"&gt;="&amp;'THAM_SO'!$B$6,'CHAM_CONG_NGAY'!$C$6:$C$4655,"&lt;="&amp;'THAM_SO'!$B$7),$F35))</f>
        <v/>
      </c>
      <c r="AE35" s="232">
        <f>IF($B35="","",IF($D35="Theo ngày",SUMIFS('CHAM_CONG_NGAY'!$G$6:$G$4655,'CHAM_CONG_NGAY'!$B$6:$B$4655,$B35,'CHAM_CONG_NGAY'!$C$6:$C$4655,"&gt;="&amp;'THAM_SO'!$B$6,'CHAM_CONG_NGAY'!$C$6:$C$4655,"&lt;="&amp;'THAM_SO'!$B$7),$G35))</f>
        <v/>
      </c>
      <c r="AF35" s="232">
        <f>IF($B35="","",IF($D35="Theo ngày",SUMIFS('CHAM_CONG_NGAY'!$H$6:$H$4655,'CHAM_CONG_NGAY'!$B$6:$B$4655,$B35,'CHAM_CONG_NGAY'!$C$6:$C$4655,"&gt;="&amp;'THAM_SO'!$B$6,'CHAM_CONG_NGAY'!$C$6:$C$4655,"&lt;="&amp;'THAM_SO'!$B$7),$H35))</f>
        <v/>
      </c>
      <c r="AG35" s="232">
        <f>IF($B35="","",IF($D35="Theo ngày",SUMIFS('CHAM_CONG_NGAY'!$I$6:$I$4655,'CHAM_CONG_NGAY'!$B$6:$B$4655,$B35,'CHAM_CONG_NGAY'!$C$6:$C$4655,"&gt;="&amp;'THAM_SO'!$B$6,'CHAM_CONG_NGAY'!$C$6:$C$4655,"&lt;="&amp;'THAM_SO'!$B$7),$I35))</f>
        <v/>
      </c>
      <c r="AH35" s="232">
        <f>IF($B35="","",IF($D35="Theo ngày",SUMIFS('CHAM_CONG_NGAY'!$J$6:$J$4655,'CHAM_CONG_NGAY'!$B$6:$B$4655,$B35,'CHAM_CONG_NGAY'!$C$6:$C$4655,"&gt;="&amp;'THAM_SO'!$B$6,'CHAM_CONG_NGAY'!$C$6:$C$4655,"&lt;="&amp;'THAM_SO'!$B$7),$J35))</f>
        <v/>
      </c>
      <c r="AI35" s="232">
        <f>IF($B35="","",IF($D35="Theo ngày",SUMIFS('CHAM_CONG_NGAY'!$K$6:$K$4655,'CHAM_CONG_NGAY'!$B$6:$B$4655,$B35,'CHAM_CONG_NGAY'!$C$6:$C$4655,"&gt;="&amp;'THAM_SO'!$B$6,'CHAM_CONG_NGAY'!$C$6:$C$4655,"&lt;="&amp;'THAM_SO'!$B$7),$K35))</f>
        <v/>
      </c>
      <c r="AJ35" s="232">
        <f>IF($B35="","",IF($D35="Theo ngày",SUMIFS('CHAM_CONG_NGAY'!$L$6:$L$4655,'CHAM_CONG_NGAY'!$B$6:$B$4655,$B35,'CHAM_CONG_NGAY'!$C$6:$C$4655,"&gt;="&amp;'THAM_SO'!$B$6,'CHAM_CONG_NGAY'!$C$6:$C$4655,"&lt;="&amp;'THAM_SO'!$B$7),$L35))</f>
        <v/>
      </c>
      <c r="AK35" s="232">
        <f>IF($B35="","",IF($D35="Theo ngày",SUMIFS('CHAM_CONG_NGAY'!$M$6:$M$4655,'CHAM_CONG_NGAY'!$B$6:$B$4655,$B35,'CHAM_CONG_NGAY'!$C$6:$C$4655,"&gt;="&amp;'THAM_SO'!$B$6,'CHAM_CONG_NGAY'!$C$6:$C$4655,"&lt;="&amp;'THAM_SO'!$B$7),$M35))</f>
        <v/>
      </c>
      <c r="AL35" s="227" t="n"/>
      <c r="AM35" s="227" t="n"/>
      <c r="AN35" s="227" t="n"/>
      <c r="AO35" s="227" t="n"/>
      <c r="AP35" s="227" t="n"/>
      <c r="AQ35" s="227" t="n"/>
      <c r="AR35" s="232">
        <f>IF($B35="","",IF($D35="Theo ngày",SUMIFS('CHAM_CONG_NGAY'!$O$6:$O$4655,'CHAM_CONG_NGAY'!$B$6:$B$4655,$B35,'CHAM_CONG_NGAY'!$C$6:$C$4655,"&gt;="&amp;'THAM_SO'!$B$6,'CHAM_CONG_NGAY'!$C$6:$C$4655,"&lt;="&amp;'THAM_SO'!$B$7),$AL35))</f>
        <v/>
      </c>
      <c r="AS35" s="232">
        <f>IF($B35="","",IF($D35="Theo ngày",SUMIFS('CHAM_CONG_NGAY'!$P$6:$P$4655,'CHAM_CONG_NGAY'!$B$6:$B$4655,$B35,'CHAM_CONG_NGAY'!$C$6:$C$4655,"&gt;="&amp;'THAM_SO'!$B$6,'CHAM_CONG_NGAY'!$C$6:$C$4655,"&lt;="&amp;'THAM_SO'!$B$7),$AM35))</f>
        <v/>
      </c>
      <c r="AT35" s="232">
        <f>IF($B35="","",IF($D35="Theo ngày",SUMIFS('CHAM_CONG_NGAY'!$Q$6:$Q$4655,'CHAM_CONG_NGAY'!$B$6:$B$4655,$B35,'CHAM_CONG_NGAY'!$C$6:$C$4655,"&gt;="&amp;'THAM_SO'!$B$6,'CHAM_CONG_NGAY'!$C$6:$C$4655,"&lt;="&amp;'THAM_SO'!$B$7),$AN35))</f>
        <v/>
      </c>
      <c r="AU35" s="232">
        <f>IF($B35="","",IF($D35="Theo ngày",SUMIFS('CHAM_CONG_NGAY'!$R$6:$R$4655,'CHAM_CONG_NGAY'!$B$6:$B$4655,$B35,'CHAM_CONG_NGAY'!$C$6:$C$4655,"&gt;="&amp;'THAM_SO'!$B$6,'CHAM_CONG_NGAY'!$C$6:$C$4655,"&lt;="&amp;'THAM_SO'!$B$7),$AO35))</f>
        <v/>
      </c>
      <c r="AV35" s="232">
        <f>IF($B35="","",IF($D35="Theo ngày",SUMIFS('CHAM_CONG_NGAY'!$S$6:$S$4655,'CHAM_CONG_NGAY'!$B$6:$B$4655,$B35,'CHAM_CONG_NGAY'!$C$6:$C$4655,"&gt;="&amp;'THAM_SO'!$B$6,'CHAM_CONG_NGAY'!$C$6:$C$4655,"&lt;="&amp;'THAM_SO'!$B$7),$AP35))</f>
        <v/>
      </c>
      <c r="AW35" s="232">
        <f>IF($B35="","",IF($D35="Theo ngày",SUMIFS('CHAM_CONG_NGAY'!$T$6:$T$4655,'CHAM_CONG_NGAY'!$B$6:$B$4655,$B35,'CHAM_CONG_NGAY'!$C$6:$C$4655,"&gt;="&amp;'THAM_SO'!$B$6,'CHAM_CONG_NGAY'!$C$6:$C$4655,"&lt;="&amp;'THAM_SO'!$B$7),$AQ35))</f>
        <v/>
      </c>
    </row>
    <row r="36">
      <c r="A36" s="145">
        <f>IF($B36="","",ROW()-5)</f>
        <v/>
      </c>
      <c r="B36" s="145">
        <f>IF('DM_NHAN_SU'!B36="","",'DM_NHAN_SU'!B36)</f>
        <v/>
      </c>
      <c r="C36" s="145">
        <f>IF('DM_NHAN_SU'!B36="","",'DM_NHAN_SU'!C36)</f>
        <v/>
      </c>
      <c r="D36" s="127" t="n"/>
      <c r="E36" s="227" t="n"/>
      <c r="F36" s="227" t="n"/>
      <c r="G36" s="227" t="n"/>
      <c r="H36" s="227" t="n"/>
      <c r="I36" s="227" t="n"/>
      <c r="J36" s="227" t="n"/>
      <c r="K36" s="227" t="n"/>
      <c r="L36" s="227" t="n"/>
      <c r="M36" s="227" t="n"/>
      <c r="N36" s="227" t="n"/>
      <c r="O36" s="222" t="n"/>
      <c r="P36" s="222" t="n"/>
      <c r="Q36" s="222" t="n"/>
      <c r="R36" s="222" t="n"/>
      <c r="S36" s="222" t="n"/>
      <c r="T36" s="222" t="n"/>
      <c r="U36" s="222" t="n"/>
      <c r="V36" s="222" t="n"/>
      <c r="W36" s="222" t="n"/>
      <c r="X36" s="222" t="n"/>
      <c r="Y36" s="222" t="n"/>
      <c r="Z36" s="222" t="n"/>
      <c r="AA36" s="127" t="n"/>
      <c r="AB36" s="127" t="n"/>
      <c r="AC36" s="232">
        <f>IF($B36="","",IF($D36="Theo ngày",SUMIFS('CHAM_CONG_NGAY'!$E$6:$E$4655,'CHAM_CONG_NGAY'!$B$6:$B$4655,$B36,'CHAM_CONG_NGAY'!$C$6:$C$4655,"&gt;="&amp;'THAM_SO'!$B$6,'CHAM_CONG_NGAY'!$C$6:$C$4655,"&lt;="&amp;'THAM_SO'!$B$7),$E36))</f>
        <v/>
      </c>
      <c r="AD36" s="232">
        <f>IF($B36="","",IF($D36="Theo ngày",SUMIFS('CHAM_CONG_NGAY'!$F$6:$F$4655,'CHAM_CONG_NGAY'!$B$6:$B$4655,$B36,'CHAM_CONG_NGAY'!$C$6:$C$4655,"&gt;="&amp;'THAM_SO'!$B$6,'CHAM_CONG_NGAY'!$C$6:$C$4655,"&lt;="&amp;'THAM_SO'!$B$7),$F36))</f>
        <v/>
      </c>
      <c r="AE36" s="232">
        <f>IF($B36="","",IF($D36="Theo ngày",SUMIFS('CHAM_CONG_NGAY'!$G$6:$G$4655,'CHAM_CONG_NGAY'!$B$6:$B$4655,$B36,'CHAM_CONG_NGAY'!$C$6:$C$4655,"&gt;="&amp;'THAM_SO'!$B$6,'CHAM_CONG_NGAY'!$C$6:$C$4655,"&lt;="&amp;'THAM_SO'!$B$7),$G36))</f>
        <v/>
      </c>
      <c r="AF36" s="232">
        <f>IF($B36="","",IF($D36="Theo ngày",SUMIFS('CHAM_CONG_NGAY'!$H$6:$H$4655,'CHAM_CONG_NGAY'!$B$6:$B$4655,$B36,'CHAM_CONG_NGAY'!$C$6:$C$4655,"&gt;="&amp;'THAM_SO'!$B$6,'CHAM_CONG_NGAY'!$C$6:$C$4655,"&lt;="&amp;'THAM_SO'!$B$7),$H36))</f>
        <v/>
      </c>
      <c r="AG36" s="232">
        <f>IF($B36="","",IF($D36="Theo ngày",SUMIFS('CHAM_CONG_NGAY'!$I$6:$I$4655,'CHAM_CONG_NGAY'!$B$6:$B$4655,$B36,'CHAM_CONG_NGAY'!$C$6:$C$4655,"&gt;="&amp;'THAM_SO'!$B$6,'CHAM_CONG_NGAY'!$C$6:$C$4655,"&lt;="&amp;'THAM_SO'!$B$7),$I36))</f>
        <v/>
      </c>
      <c r="AH36" s="232">
        <f>IF($B36="","",IF($D36="Theo ngày",SUMIFS('CHAM_CONG_NGAY'!$J$6:$J$4655,'CHAM_CONG_NGAY'!$B$6:$B$4655,$B36,'CHAM_CONG_NGAY'!$C$6:$C$4655,"&gt;="&amp;'THAM_SO'!$B$6,'CHAM_CONG_NGAY'!$C$6:$C$4655,"&lt;="&amp;'THAM_SO'!$B$7),$J36))</f>
        <v/>
      </c>
      <c r="AI36" s="232">
        <f>IF($B36="","",IF($D36="Theo ngày",SUMIFS('CHAM_CONG_NGAY'!$K$6:$K$4655,'CHAM_CONG_NGAY'!$B$6:$B$4655,$B36,'CHAM_CONG_NGAY'!$C$6:$C$4655,"&gt;="&amp;'THAM_SO'!$B$6,'CHAM_CONG_NGAY'!$C$6:$C$4655,"&lt;="&amp;'THAM_SO'!$B$7),$K36))</f>
        <v/>
      </c>
      <c r="AJ36" s="232">
        <f>IF($B36="","",IF($D36="Theo ngày",SUMIFS('CHAM_CONG_NGAY'!$L$6:$L$4655,'CHAM_CONG_NGAY'!$B$6:$B$4655,$B36,'CHAM_CONG_NGAY'!$C$6:$C$4655,"&gt;="&amp;'THAM_SO'!$B$6,'CHAM_CONG_NGAY'!$C$6:$C$4655,"&lt;="&amp;'THAM_SO'!$B$7),$L36))</f>
        <v/>
      </c>
      <c r="AK36" s="232">
        <f>IF($B36="","",IF($D36="Theo ngày",SUMIFS('CHAM_CONG_NGAY'!$M$6:$M$4655,'CHAM_CONG_NGAY'!$B$6:$B$4655,$B36,'CHAM_CONG_NGAY'!$C$6:$C$4655,"&gt;="&amp;'THAM_SO'!$B$6,'CHAM_CONG_NGAY'!$C$6:$C$4655,"&lt;="&amp;'THAM_SO'!$B$7),$M36))</f>
        <v/>
      </c>
      <c r="AL36" s="227" t="n"/>
      <c r="AM36" s="227" t="n"/>
      <c r="AN36" s="227" t="n"/>
      <c r="AO36" s="227" t="n"/>
      <c r="AP36" s="227" t="n"/>
      <c r="AQ36" s="227" t="n"/>
      <c r="AR36" s="232">
        <f>IF($B36="","",IF($D36="Theo ngày",SUMIFS('CHAM_CONG_NGAY'!$O$6:$O$4655,'CHAM_CONG_NGAY'!$B$6:$B$4655,$B36,'CHAM_CONG_NGAY'!$C$6:$C$4655,"&gt;="&amp;'THAM_SO'!$B$6,'CHAM_CONG_NGAY'!$C$6:$C$4655,"&lt;="&amp;'THAM_SO'!$B$7),$AL36))</f>
        <v/>
      </c>
      <c r="AS36" s="232">
        <f>IF($B36="","",IF($D36="Theo ngày",SUMIFS('CHAM_CONG_NGAY'!$P$6:$P$4655,'CHAM_CONG_NGAY'!$B$6:$B$4655,$B36,'CHAM_CONG_NGAY'!$C$6:$C$4655,"&gt;="&amp;'THAM_SO'!$B$6,'CHAM_CONG_NGAY'!$C$6:$C$4655,"&lt;="&amp;'THAM_SO'!$B$7),$AM36))</f>
        <v/>
      </c>
      <c r="AT36" s="232">
        <f>IF($B36="","",IF($D36="Theo ngày",SUMIFS('CHAM_CONG_NGAY'!$Q$6:$Q$4655,'CHAM_CONG_NGAY'!$B$6:$B$4655,$B36,'CHAM_CONG_NGAY'!$C$6:$C$4655,"&gt;="&amp;'THAM_SO'!$B$6,'CHAM_CONG_NGAY'!$C$6:$C$4655,"&lt;="&amp;'THAM_SO'!$B$7),$AN36))</f>
        <v/>
      </c>
      <c r="AU36" s="232">
        <f>IF($B36="","",IF($D36="Theo ngày",SUMIFS('CHAM_CONG_NGAY'!$R$6:$R$4655,'CHAM_CONG_NGAY'!$B$6:$B$4655,$B36,'CHAM_CONG_NGAY'!$C$6:$C$4655,"&gt;="&amp;'THAM_SO'!$B$6,'CHAM_CONG_NGAY'!$C$6:$C$4655,"&lt;="&amp;'THAM_SO'!$B$7),$AO36))</f>
        <v/>
      </c>
      <c r="AV36" s="232">
        <f>IF($B36="","",IF($D36="Theo ngày",SUMIFS('CHAM_CONG_NGAY'!$S$6:$S$4655,'CHAM_CONG_NGAY'!$B$6:$B$4655,$B36,'CHAM_CONG_NGAY'!$C$6:$C$4655,"&gt;="&amp;'THAM_SO'!$B$6,'CHAM_CONG_NGAY'!$C$6:$C$4655,"&lt;="&amp;'THAM_SO'!$B$7),$AP36))</f>
        <v/>
      </c>
      <c r="AW36" s="232">
        <f>IF($B36="","",IF($D36="Theo ngày",SUMIFS('CHAM_CONG_NGAY'!$T$6:$T$4655,'CHAM_CONG_NGAY'!$B$6:$B$4655,$B36,'CHAM_CONG_NGAY'!$C$6:$C$4655,"&gt;="&amp;'THAM_SO'!$B$6,'CHAM_CONG_NGAY'!$C$6:$C$4655,"&lt;="&amp;'THAM_SO'!$B$7),$AQ36))</f>
        <v/>
      </c>
    </row>
    <row r="37">
      <c r="A37" s="145">
        <f>IF($B37="","",ROW()-5)</f>
        <v/>
      </c>
      <c r="B37" s="145">
        <f>IF('DM_NHAN_SU'!B37="","",'DM_NHAN_SU'!B37)</f>
        <v/>
      </c>
      <c r="C37" s="145">
        <f>IF('DM_NHAN_SU'!B37="","",'DM_NHAN_SU'!C37)</f>
        <v/>
      </c>
      <c r="D37" s="127" t="n"/>
      <c r="E37" s="227" t="n"/>
      <c r="F37" s="227" t="n"/>
      <c r="G37" s="227" t="n"/>
      <c r="H37" s="227" t="n"/>
      <c r="I37" s="227" t="n"/>
      <c r="J37" s="227" t="n"/>
      <c r="K37" s="227" t="n"/>
      <c r="L37" s="227" t="n"/>
      <c r="M37" s="227" t="n"/>
      <c r="N37" s="227" t="n"/>
      <c r="O37" s="222" t="n"/>
      <c r="P37" s="222" t="n"/>
      <c r="Q37" s="222" t="n"/>
      <c r="R37" s="222" t="n"/>
      <c r="S37" s="222" t="n"/>
      <c r="T37" s="222" t="n"/>
      <c r="U37" s="222" t="n"/>
      <c r="V37" s="222" t="n"/>
      <c r="W37" s="222" t="n"/>
      <c r="X37" s="222" t="n"/>
      <c r="Y37" s="222" t="n"/>
      <c r="Z37" s="222" t="n"/>
      <c r="AA37" s="127" t="n"/>
      <c r="AB37" s="127" t="n"/>
      <c r="AC37" s="232">
        <f>IF($B37="","",IF($D37="Theo ngày",SUMIFS('CHAM_CONG_NGAY'!$E$6:$E$4655,'CHAM_CONG_NGAY'!$B$6:$B$4655,$B37,'CHAM_CONG_NGAY'!$C$6:$C$4655,"&gt;="&amp;'THAM_SO'!$B$6,'CHAM_CONG_NGAY'!$C$6:$C$4655,"&lt;="&amp;'THAM_SO'!$B$7),$E37))</f>
        <v/>
      </c>
      <c r="AD37" s="232">
        <f>IF($B37="","",IF($D37="Theo ngày",SUMIFS('CHAM_CONG_NGAY'!$F$6:$F$4655,'CHAM_CONG_NGAY'!$B$6:$B$4655,$B37,'CHAM_CONG_NGAY'!$C$6:$C$4655,"&gt;="&amp;'THAM_SO'!$B$6,'CHAM_CONG_NGAY'!$C$6:$C$4655,"&lt;="&amp;'THAM_SO'!$B$7),$F37))</f>
        <v/>
      </c>
      <c r="AE37" s="232">
        <f>IF($B37="","",IF($D37="Theo ngày",SUMIFS('CHAM_CONG_NGAY'!$G$6:$G$4655,'CHAM_CONG_NGAY'!$B$6:$B$4655,$B37,'CHAM_CONG_NGAY'!$C$6:$C$4655,"&gt;="&amp;'THAM_SO'!$B$6,'CHAM_CONG_NGAY'!$C$6:$C$4655,"&lt;="&amp;'THAM_SO'!$B$7),$G37))</f>
        <v/>
      </c>
      <c r="AF37" s="232">
        <f>IF($B37="","",IF($D37="Theo ngày",SUMIFS('CHAM_CONG_NGAY'!$H$6:$H$4655,'CHAM_CONG_NGAY'!$B$6:$B$4655,$B37,'CHAM_CONG_NGAY'!$C$6:$C$4655,"&gt;="&amp;'THAM_SO'!$B$6,'CHAM_CONG_NGAY'!$C$6:$C$4655,"&lt;="&amp;'THAM_SO'!$B$7),$H37))</f>
        <v/>
      </c>
      <c r="AG37" s="232">
        <f>IF($B37="","",IF($D37="Theo ngày",SUMIFS('CHAM_CONG_NGAY'!$I$6:$I$4655,'CHAM_CONG_NGAY'!$B$6:$B$4655,$B37,'CHAM_CONG_NGAY'!$C$6:$C$4655,"&gt;="&amp;'THAM_SO'!$B$6,'CHAM_CONG_NGAY'!$C$6:$C$4655,"&lt;="&amp;'THAM_SO'!$B$7),$I37))</f>
        <v/>
      </c>
      <c r="AH37" s="232">
        <f>IF($B37="","",IF($D37="Theo ngày",SUMIFS('CHAM_CONG_NGAY'!$J$6:$J$4655,'CHAM_CONG_NGAY'!$B$6:$B$4655,$B37,'CHAM_CONG_NGAY'!$C$6:$C$4655,"&gt;="&amp;'THAM_SO'!$B$6,'CHAM_CONG_NGAY'!$C$6:$C$4655,"&lt;="&amp;'THAM_SO'!$B$7),$J37))</f>
        <v/>
      </c>
      <c r="AI37" s="232">
        <f>IF($B37="","",IF($D37="Theo ngày",SUMIFS('CHAM_CONG_NGAY'!$K$6:$K$4655,'CHAM_CONG_NGAY'!$B$6:$B$4655,$B37,'CHAM_CONG_NGAY'!$C$6:$C$4655,"&gt;="&amp;'THAM_SO'!$B$6,'CHAM_CONG_NGAY'!$C$6:$C$4655,"&lt;="&amp;'THAM_SO'!$B$7),$K37))</f>
        <v/>
      </c>
      <c r="AJ37" s="232">
        <f>IF($B37="","",IF($D37="Theo ngày",SUMIFS('CHAM_CONG_NGAY'!$L$6:$L$4655,'CHAM_CONG_NGAY'!$B$6:$B$4655,$B37,'CHAM_CONG_NGAY'!$C$6:$C$4655,"&gt;="&amp;'THAM_SO'!$B$6,'CHAM_CONG_NGAY'!$C$6:$C$4655,"&lt;="&amp;'THAM_SO'!$B$7),$L37))</f>
        <v/>
      </c>
      <c r="AK37" s="232">
        <f>IF($B37="","",IF($D37="Theo ngày",SUMIFS('CHAM_CONG_NGAY'!$M$6:$M$4655,'CHAM_CONG_NGAY'!$B$6:$B$4655,$B37,'CHAM_CONG_NGAY'!$C$6:$C$4655,"&gt;="&amp;'THAM_SO'!$B$6,'CHAM_CONG_NGAY'!$C$6:$C$4655,"&lt;="&amp;'THAM_SO'!$B$7),$M37))</f>
        <v/>
      </c>
      <c r="AL37" s="227" t="n"/>
      <c r="AM37" s="227" t="n"/>
      <c r="AN37" s="227" t="n"/>
      <c r="AO37" s="227" t="n"/>
      <c r="AP37" s="227" t="n"/>
      <c r="AQ37" s="227" t="n"/>
      <c r="AR37" s="232">
        <f>IF($B37="","",IF($D37="Theo ngày",SUMIFS('CHAM_CONG_NGAY'!$O$6:$O$4655,'CHAM_CONG_NGAY'!$B$6:$B$4655,$B37,'CHAM_CONG_NGAY'!$C$6:$C$4655,"&gt;="&amp;'THAM_SO'!$B$6,'CHAM_CONG_NGAY'!$C$6:$C$4655,"&lt;="&amp;'THAM_SO'!$B$7),$AL37))</f>
        <v/>
      </c>
      <c r="AS37" s="232">
        <f>IF($B37="","",IF($D37="Theo ngày",SUMIFS('CHAM_CONG_NGAY'!$P$6:$P$4655,'CHAM_CONG_NGAY'!$B$6:$B$4655,$B37,'CHAM_CONG_NGAY'!$C$6:$C$4655,"&gt;="&amp;'THAM_SO'!$B$6,'CHAM_CONG_NGAY'!$C$6:$C$4655,"&lt;="&amp;'THAM_SO'!$B$7),$AM37))</f>
        <v/>
      </c>
      <c r="AT37" s="232">
        <f>IF($B37="","",IF($D37="Theo ngày",SUMIFS('CHAM_CONG_NGAY'!$Q$6:$Q$4655,'CHAM_CONG_NGAY'!$B$6:$B$4655,$B37,'CHAM_CONG_NGAY'!$C$6:$C$4655,"&gt;="&amp;'THAM_SO'!$B$6,'CHAM_CONG_NGAY'!$C$6:$C$4655,"&lt;="&amp;'THAM_SO'!$B$7),$AN37))</f>
        <v/>
      </c>
      <c r="AU37" s="232">
        <f>IF($B37="","",IF($D37="Theo ngày",SUMIFS('CHAM_CONG_NGAY'!$R$6:$R$4655,'CHAM_CONG_NGAY'!$B$6:$B$4655,$B37,'CHAM_CONG_NGAY'!$C$6:$C$4655,"&gt;="&amp;'THAM_SO'!$B$6,'CHAM_CONG_NGAY'!$C$6:$C$4655,"&lt;="&amp;'THAM_SO'!$B$7),$AO37))</f>
        <v/>
      </c>
      <c r="AV37" s="232">
        <f>IF($B37="","",IF($D37="Theo ngày",SUMIFS('CHAM_CONG_NGAY'!$S$6:$S$4655,'CHAM_CONG_NGAY'!$B$6:$B$4655,$B37,'CHAM_CONG_NGAY'!$C$6:$C$4655,"&gt;="&amp;'THAM_SO'!$B$6,'CHAM_CONG_NGAY'!$C$6:$C$4655,"&lt;="&amp;'THAM_SO'!$B$7),$AP37))</f>
        <v/>
      </c>
      <c r="AW37" s="232">
        <f>IF($B37="","",IF($D37="Theo ngày",SUMIFS('CHAM_CONG_NGAY'!$T$6:$T$4655,'CHAM_CONG_NGAY'!$B$6:$B$4655,$B37,'CHAM_CONG_NGAY'!$C$6:$C$4655,"&gt;="&amp;'THAM_SO'!$B$6,'CHAM_CONG_NGAY'!$C$6:$C$4655,"&lt;="&amp;'THAM_SO'!$B$7),$AQ37))</f>
        <v/>
      </c>
    </row>
    <row r="38">
      <c r="A38" s="145">
        <f>IF($B38="","",ROW()-5)</f>
        <v/>
      </c>
      <c r="B38" s="145">
        <f>IF('DM_NHAN_SU'!B38="","",'DM_NHAN_SU'!B38)</f>
        <v/>
      </c>
      <c r="C38" s="145">
        <f>IF('DM_NHAN_SU'!B38="","",'DM_NHAN_SU'!C38)</f>
        <v/>
      </c>
      <c r="D38" s="127" t="n"/>
      <c r="E38" s="227" t="n"/>
      <c r="F38" s="227" t="n"/>
      <c r="G38" s="227" t="n"/>
      <c r="H38" s="227" t="n"/>
      <c r="I38" s="227" t="n"/>
      <c r="J38" s="227" t="n"/>
      <c r="K38" s="227" t="n"/>
      <c r="L38" s="227" t="n"/>
      <c r="M38" s="227" t="n"/>
      <c r="N38" s="227" t="n"/>
      <c r="O38" s="222" t="n"/>
      <c r="P38" s="222" t="n"/>
      <c r="Q38" s="222" t="n"/>
      <c r="R38" s="222" t="n"/>
      <c r="S38" s="222" t="n"/>
      <c r="T38" s="222" t="n"/>
      <c r="U38" s="222" t="n"/>
      <c r="V38" s="222" t="n"/>
      <c r="W38" s="222" t="n"/>
      <c r="X38" s="222" t="n"/>
      <c r="Y38" s="222" t="n"/>
      <c r="Z38" s="222" t="n"/>
      <c r="AA38" s="127" t="n"/>
      <c r="AB38" s="127" t="n"/>
      <c r="AC38" s="232">
        <f>IF($B38="","",IF($D38="Theo ngày",SUMIFS('CHAM_CONG_NGAY'!$E$6:$E$4655,'CHAM_CONG_NGAY'!$B$6:$B$4655,$B38,'CHAM_CONG_NGAY'!$C$6:$C$4655,"&gt;="&amp;'THAM_SO'!$B$6,'CHAM_CONG_NGAY'!$C$6:$C$4655,"&lt;="&amp;'THAM_SO'!$B$7),$E38))</f>
        <v/>
      </c>
      <c r="AD38" s="232">
        <f>IF($B38="","",IF($D38="Theo ngày",SUMIFS('CHAM_CONG_NGAY'!$F$6:$F$4655,'CHAM_CONG_NGAY'!$B$6:$B$4655,$B38,'CHAM_CONG_NGAY'!$C$6:$C$4655,"&gt;="&amp;'THAM_SO'!$B$6,'CHAM_CONG_NGAY'!$C$6:$C$4655,"&lt;="&amp;'THAM_SO'!$B$7),$F38))</f>
        <v/>
      </c>
      <c r="AE38" s="232">
        <f>IF($B38="","",IF($D38="Theo ngày",SUMIFS('CHAM_CONG_NGAY'!$G$6:$G$4655,'CHAM_CONG_NGAY'!$B$6:$B$4655,$B38,'CHAM_CONG_NGAY'!$C$6:$C$4655,"&gt;="&amp;'THAM_SO'!$B$6,'CHAM_CONG_NGAY'!$C$6:$C$4655,"&lt;="&amp;'THAM_SO'!$B$7),$G38))</f>
        <v/>
      </c>
      <c r="AF38" s="232">
        <f>IF($B38="","",IF($D38="Theo ngày",SUMIFS('CHAM_CONG_NGAY'!$H$6:$H$4655,'CHAM_CONG_NGAY'!$B$6:$B$4655,$B38,'CHAM_CONG_NGAY'!$C$6:$C$4655,"&gt;="&amp;'THAM_SO'!$B$6,'CHAM_CONG_NGAY'!$C$6:$C$4655,"&lt;="&amp;'THAM_SO'!$B$7),$H38))</f>
        <v/>
      </c>
      <c r="AG38" s="232">
        <f>IF($B38="","",IF($D38="Theo ngày",SUMIFS('CHAM_CONG_NGAY'!$I$6:$I$4655,'CHAM_CONG_NGAY'!$B$6:$B$4655,$B38,'CHAM_CONG_NGAY'!$C$6:$C$4655,"&gt;="&amp;'THAM_SO'!$B$6,'CHAM_CONG_NGAY'!$C$6:$C$4655,"&lt;="&amp;'THAM_SO'!$B$7),$I38))</f>
        <v/>
      </c>
      <c r="AH38" s="232">
        <f>IF($B38="","",IF($D38="Theo ngày",SUMIFS('CHAM_CONG_NGAY'!$J$6:$J$4655,'CHAM_CONG_NGAY'!$B$6:$B$4655,$B38,'CHAM_CONG_NGAY'!$C$6:$C$4655,"&gt;="&amp;'THAM_SO'!$B$6,'CHAM_CONG_NGAY'!$C$6:$C$4655,"&lt;="&amp;'THAM_SO'!$B$7),$J38))</f>
        <v/>
      </c>
      <c r="AI38" s="232">
        <f>IF($B38="","",IF($D38="Theo ngày",SUMIFS('CHAM_CONG_NGAY'!$K$6:$K$4655,'CHAM_CONG_NGAY'!$B$6:$B$4655,$B38,'CHAM_CONG_NGAY'!$C$6:$C$4655,"&gt;="&amp;'THAM_SO'!$B$6,'CHAM_CONG_NGAY'!$C$6:$C$4655,"&lt;="&amp;'THAM_SO'!$B$7),$K38))</f>
        <v/>
      </c>
      <c r="AJ38" s="232">
        <f>IF($B38="","",IF($D38="Theo ngày",SUMIFS('CHAM_CONG_NGAY'!$L$6:$L$4655,'CHAM_CONG_NGAY'!$B$6:$B$4655,$B38,'CHAM_CONG_NGAY'!$C$6:$C$4655,"&gt;="&amp;'THAM_SO'!$B$6,'CHAM_CONG_NGAY'!$C$6:$C$4655,"&lt;="&amp;'THAM_SO'!$B$7),$L38))</f>
        <v/>
      </c>
      <c r="AK38" s="232">
        <f>IF($B38="","",IF($D38="Theo ngày",SUMIFS('CHAM_CONG_NGAY'!$M$6:$M$4655,'CHAM_CONG_NGAY'!$B$6:$B$4655,$B38,'CHAM_CONG_NGAY'!$C$6:$C$4655,"&gt;="&amp;'THAM_SO'!$B$6,'CHAM_CONG_NGAY'!$C$6:$C$4655,"&lt;="&amp;'THAM_SO'!$B$7),$M38))</f>
        <v/>
      </c>
      <c r="AL38" s="227" t="n"/>
      <c r="AM38" s="227" t="n"/>
      <c r="AN38" s="227" t="n"/>
      <c r="AO38" s="227" t="n"/>
      <c r="AP38" s="227" t="n"/>
      <c r="AQ38" s="227" t="n"/>
      <c r="AR38" s="232">
        <f>IF($B38="","",IF($D38="Theo ngày",SUMIFS('CHAM_CONG_NGAY'!$O$6:$O$4655,'CHAM_CONG_NGAY'!$B$6:$B$4655,$B38,'CHAM_CONG_NGAY'!$C$6:$C$4655,"&gt;="&amp;'THAM_SO'!$B$6,'CHAM_CONG_NGAY'!$C$6:$C$4655,"&lt;="&amp;'THAM_SO'!$B$7),$AL38))</f>
        <v/>
      </c>
      <c r="AS38" s="232">
        <f>IF($B38="","",IF($D38="Theo ngày",SUMIFS('CHAM_CONG_NGAY'!$P$6:$P$4655,'CHAM_CONG_NGAY'!$B$6:$B$4655,$B38,'CHAM_CONG_NGAY'!$C$6:$C$4655,"&gt;="&amp;'THAM_SO'!$B$6,'CHAM_CONG_NGAY'!$C$6:$C$4655,"&lt;="&amp;'THAM_SO'!$B$7),$AM38))</f>
        <v/>
      </c>
      <c r="AT38" s="232">
        <f>IF($B38="","",IF($D38="Theo ngày",SUMIFS('CHAM_CONG_NGAY'!$Q$6:$Q$4655,'CHAM_CONG_NGAY'!$B$6:$B$4655,$B38,'CHAM_CONG_NGAY'!$C$6:$C$4655,"&gt;="&amp;'THAM_SO'!$B$6,'CHAM_CONG_NGAY'!$C$6:$C$4655,"&lt;="&amp;'THAM_SO'!$B$7),$AN38))</f>
        <v/>
      </c>
      <c r="AU38" s="232">
        <f>IF($B38="","",IF($D38="Theo ngày",SUMIFS('CHAM_CONG_NGAY'!$R$6:$R$4655,'CHAM_CONG_NGAY'!$B$6:$B$4655,$B38,'CHAM_CONG_NGAY'!$C$6:$C$4655,"&gt;="&amp;'THAM_SO'!$B$6,'CHAM_CONG_NGAY'!$C$6:$C$4655,"&lt;="&amp;'THAM_SO'!$B$7),$AO38))</f>
        <v/>
      </c>
      <c r="AV38" s="232">
        <f>IF($B38="","",IF($D38="Theo ngày",SUMIFS('CHAM_CONG_NGAY'!$S$6:$S$4655,'CHAM_CONG_NGAY'!$B$6:$B$4655,$B38,'CHAM_CONG_NGAY'!$C$6:$C$4655,"&gt;="&amp;'THAM_SO'!$B$6,'CHAM_CONG_NGAY'!$C$6:$C$4655,"&lt;="&amp;'THAM_SO'!$B$7),$AP38))</f>
        <v/>
      </c>
      <c r="AW38" s="232">
        <f>IF($B38="","",IF($D38="Theo ngày",SUMIFS('CHAM_CONG_NGAY'!$T$6:$T$4655,'CHAM_CONG_NGAY'!$B$6:$B$4655,$B38,'CHAM_CONG_NGAY'!$C$6:$C$4655,"&gt;="&amp;'THAM_SO'!$B$6,'CHAM_CONG_NGAY'!$C$6:$C$4655,"&lt;="&amp;'THAM_SO'!$B$7),$AQ38))</f>
        <v/>
      </c>
    </row>
    <row r="39">
      <c r="A39" s="145">
        <f>IF($B39="","",ROW()-5)</f>
        <v/>
      </c>
      <c r="B39" s="145">
        <f>IF('DM_NHAN_SU'!B39="","",'DM_NHAN_SU'!B39)</f>
        <v/>
      </c>
      <c r="C39" s="145">
        <f>IF('DM_NHAN_SU'!B39="","",'DM_NHAN_SU'!C39)</f>
        <v/>
      </c>
      <c r="D39" s="127" t="n"/>
      <c r="E39" s="227" t="n"/>
      <c r="F39" s="227" t="n"/>
      <c r="G39" s="227" t="n"/>
      <c r="H39" s="227" t="n"/>
      <c r="I39" s="227" t="n"/>
      <c r="J39" s="227" t="n"/>
      <c r="K39" s="227" t="n"/>
      <c r="L39" s="227" t="n"/>
      <c r="M39" s="227" t="n"/>
      <c r="N39" s="227" t="n"/>
      <c r="O39" s="222" t="n"/>
      <c r="P39" s="222" t="n"/>
      <c r="Q39" s="222" t="n"/>
      <c r="R39" s="222" t="n"/>
      <c r="S39" s="222" t="n"/>
      <c r="T39" s="222" t="n"/>
      <c r="U39" s="222" t="n"/>
      <c r="V39" s="222" t="n"/>
      <c r="W39" s="222" t="n"/>
      <c r="X39" s="222" t="n"/>
      <c r="Y39" s="222" t="n"/>
      <c r="Z39" s="222" t="n"/>
      <c r="AA39" s="127" t="n"/>
      <c r="AB39" s="127" t="n"/>
      <c r="AC39" s="232">
        <f>IF($B39="","",IF($D39="Theo ngày",SUMIFS('CHAM_CONG_NGAY'!$E$6:$E$4655,'CHAM_CONG_NGAY'!$B$6:$B$4655,$B39,'CHAM_CONG_NGAY'!$C$6:$C$4655,"&gt;="&amp;'THAM_SO'!$B$6,'CHAM_CONG_NGAY'!$C$6:$C$4655,"&lt;="&amp;'THAM_SO'!$B$7),$E39))</f>
        <v/>
      </c>
      <c r="AD39" s="232">
        <f>IF($B39="","",IF($D39="Theo ngày",SUMIFS('CHAM_CONG_NGAY'!$F$6:$F$4655,'CHAM_CONG_NGAY'!$B$6:$B$4655,$B39,'CHAM_CONG_NGAY'!$C$6:$C$4655,"&gt;="&amp;'THAM_SO'!$B$6,'CHAM_CONG_NGAY'!$C$6:$C$4655,"&lt;="&amp;'THAM_SO'!$B$7),$F39))</f>
        <v/>
      </c>
      <c r="AE39" s="232">
        <f>IF($B39="","",IF($D39="Theo ngày",SUMIFS('CHAM_CONG_NGAY'!$G$6:$G$4655,'CHAM_CONG_NGAY'!$B$6:$B$4655,$B39,'CHAM_CONG_NGAY'!$C$6:$C$4655,"&gt;="&amp;'THAM_SO'!$B$6,'CHAM_CONG_NGAY'!$C$6:$C$4655,"&lt;="&amp;'THAM_SO'!$B$7),$G39))</f>
        <v/>
      </c>
      <c r="AF39" s="232">
        <f>IF($B39="","",IF($D39="Theo ngày",SUMIFS('CHAM_CONG_NGAY'!$H$6:$H$4655,'CHAM_CONG_NGAY'!$B$6:$B$4655,$B39,'CHAM_CONG_NGAY'!$C$6:$C$4655,"&gt;="&amp;'THAM_SO'!$B$6,'CHAM_CONG_NGAY'!$C$6:$C$4655,"&lt;="&amp;'THAM_SO'!$B$7),$H39))</f>
        <v/>
      </c>
      <c r="AG39" s="232">
        <f>IF($B39="","",IF($D39="Theo ngày",SUMIFS('CHAM_CONG_NGAY'!$I$6:$I$4655,'CHAM_CONG_NGAY'!$B$6:$B$4655,$B39,'CHAM_CONG_NGAY'!$C$6:$C$4655,"&gt;="&amp;'THAM_SO'!$B$6,'CHAM_CONG_NGAY'!$C$6:$C$4655,"&lt;="&amp;'THAM_SO'!$B$7),$I39))</f>
        <v/>
      </c>
      <c r="AH39" s="232">
        <f>IF($B39="","",IF($D39="Theo ngày",SUMIFS('CHAM_CONG_NGAY'!$J$6:$J$4655,'CHAM_CONG_NGAY'!$B$6:$B$4655,$B39,'CHAM_CONG_NGAY'!$C$6:$C$4655,"&gt;="&amp;'THAM_SO'!$B$6,'CHAM_CONG_NGAY'!$C$6:$C$4655,"&lt;="&amp;'THAM_SO'!$B$7),$J39))</f>
        <v/>
      </c>
      <c r="AI39" s="232">
        <f>IF($B39="","",IF($D39="Theo ngày",SUMIFS('CHAM_CONG_NGAY'!$K$6:$K$4655,'CHAM_CONG_NGAY'!$B$6:$B$4655,$B39,'CHAM_CONG_NGAY'!$C$6:$C$4655,"&gt;="&amp;'THAM_SO'!$B$6,'CHAM_CONG_NGAY'!$C$6:$C$4655,"&lt;="&amp;'THAM_SO'!$B$7),$K39))</f>
        <v/>
      </c>
      <c r="AJ39" s="232">
        <f>IF($B39="","",IF($D39="Theo ngày",SUMIFS('CHAM_CONG_NGAY'!$L$6:$L$4655,'CHAM_CONG_NGAY'!$B$6:$B$4655,$B39,'CHAM_CONG_NGAY'!$C$6:$C$4655,"&gt;="&amp;'THAM_SO'!$B$6,'CHAM_CONG_NGAY'!$C$6:$C$4655,"&lt;="&amp;'THAM_SO'!$B$7),$L39))</f>
        <v/>
      </c>
      <c r="AK39" s="232">
        <f>IF($B39="","",IF($D39="Theo ngày",SUMIFS('CHAM_CONG_NGAY'!$M$6:$M$4655,'CHAM_CONG_NGAY'!$B$6:$B$4655,$B39,'CHAM_CONG_NGAY'!$C$6:$C$4655,"&gt;="&amp;'THAM_SO'!$B$6,'CHAM_CONG_NGAY'!$C$6:$C$4655,"&lt;="&amp;'THAM_SO'!$B$7),$M39))</f>
        <v/>
      </c>
      <c r="AL39" s="227" t="n"/>
      <c r="AM39" s="227" t="n"/>
      <c r="AN39" s="227" t="n"/>
      <c r="AO39" s="227" t="n"/>
      <c r="AP39" s="227" t="n"/>
      <c r="AQ39" s="227" t="n"/>
      <c r="AR39" s="232">
        <f>IF($B39="","",IF($D39="Theo ngày",SUMIFS('CHAM_CONG_NGAY'!$O$6:$O$4655,'CHAM_CONG_NGAY'!$B$6:$B$4655,$B39,'CHAM_CONG_NGAY'!$C$6:$C$4655,"&gt;="&amp;'THAM_SO'!$B$6,'CHAM_CONG_NGAY'!$C$6:$C$4655,"&lt;="&amp;'THAM_SO'!$B$7),$AL39))</f>
        <v/>
      </c>
      <c r="AS39" s="232">
        <f>IF($B39="","",IF($D39="Theo ngày",SUMIFS('CHAM_CONG_NGAY'!$P$6:$P$4655,'CHAM_CONG_NGAY'!$B$6:$B$4655,$B39,'CHAM_CONG_NGAY'!$C$6:$C$4655,"&gt;="&amp;'THAM_SO'!$B$6,'CHAM_CONG_NGAY'!$C$6:$C$4655,"&lt;="&amp;'THAM_SO'!$B$7),$AM39))</f>
        <v/>
      </c>
      <c r="AT39" s="232">
        <f>IF($B39="","",IF($D39="Theo ngày",SUMIFS('CHAM_CONG_NGAY'!$Q$6:$Q$4655,'CHAM_CONG_NGAY'!$B$6:$B$4655,$B39,'CHAM_CONG_NGAY'!$C$6:$C$4655,"&gt;="&amp;'THAM_SO'!$B$6,'CHAM_CONG_NGAY'!$C$6:$C$4655,"&lt;="&amp;'THAM_SO'!$B$7),$AN39))</f>
        <v/>
      </c>
      <c r="AU39" s="232">
        <f>IF($B39="","",IF($D39="Theo ngày",SUMIFS('CHAM_CONG_NGAY'!$R$6:$R$4655,'CHAM_CONG_NGAY'!$B$6:$B$4655,$B39,'CHAM_CONG_NGAY'!$C$6:$C$4655,"&gt;="&amp;'THAM_SO'!$B$6,'CHAM_CONG_NGAY'!$C$6:$C$4655,"&lt;="&amp;'THAM_SO'!$B$7),$AO39))</f>
        <v/>
      </c>
      <c r="AV39" s="232">
        <f>IF($B39="","",IF($D39="Theo ngày",SUMIFS('CHAM_CONG_NGAY'!$S$6:$S$4655,'CHAM_CONG_NGAY'!$B$6:$B$4655,$B39,'CHAM_CONG_NGAY'!$C$6:$C$4655,"&gt;="&amp;'THAM_SO'!$B$6,'CHAM_CONG_NGAY'!$C$6:$C$4655,"&lt;="&amp;'THAM_SO'!$B$7),$AP39))</f>
        <v/>
      </c>
      <c r="AW39" s="232">
        <f>IF($B39="","",IF($D39="Theo ngày",SUMIFS('CHAM_CONG_NGAY'!$T$6:$T$4655,'CHAM_CONG_NGAY'!$B$6:$B$4655,$B39,'CHAM_CONG_NGAY'!$C$6:$C$4655,"&gt;="&amp;'THAM_SO'!$B$6,'CHAM_CONG_NGAY'!$C$6:$C$4655,"&lt;="&amp;'THAM_SO'!$B$7),$AQ39))</f>
        <v/>
      </c>
    </row>
    <row r="40">
      <c r="A40" s="145">
        <f>IF($B40="","",ROW()-5)</f>
        <v/>
      </c>
      <c r="B40" s="145">
        <f>IF('DM_NHAN_SU'!B40="","",'DM_NHAN_SU'!B40)</f>
        <v/>
      </c>
      <c r="C40" s="145">
        <f>IF('DM_NHAN_SU'!B40="","",'DM_NHAN_SU'!C40)</f>
        <v/>
      </c>
      <c r="D40" s="127" t="n"/>
      <c r="E40" s="227" t="n"/>
      <c r="F40" s="227" t="n"/>
      <c r="G40" s="227" t="n"/>
      <c r="H40" s="227" t="n"/>
      <c r="I40" s="227" t="n"/>
      <c r="J40" s="227" t="n"/>
      <c r="K40" s="227" t="n"/>
      <c r="L40" s="227" t="n"/>
      <c r="M40" s="227" t="n"/>
      <c r="N40" s="227" t="n"/>
      <c r="O40" s="222" t="n"/>
      <c r="P40" s="222" t="n"/>
      <c r="Q40" s="222" t="n"/>
      <c r="R40" s="222" t="n"/>
      <c r="S40" s="222" t="n"/>
      <c r="T40" s="222" t="n"/>
      <c r="U40" s="222" t="n"/>
      <c r="V40" s="222" t="n"/>
      <c r="W40" s="222" t="n"/>
      <c r="X40" s="222" t="n"/>
      <c r="Y40" s="222" t="n"/>
      <c r="Z40" s="222" t="n"/>
      <c r="AA40" s="127" t="n"/>
      <c r="AB40" s="127" t="n"/>
      <c r="AC40" s="232">
        <f>IF($B40="","",IF($D40="Theo ngày",SUMIFS('CHAM_CONG_NGAY'!$E$6:$E$4655,'CHAM_CONG_NGAY'!$B$6:$B$4655,$B40,'CHAM_CONG_NGAY'!$C$6:$C$4655,"&gt;="&amp;'THAM_SO'!$B$6,'CHAM_CONG_NGAY'!$C$6:$C$4655,"&lt;="&amp;'THAM_SO'!$B$7),$E40))</f>
        <v/>
      </c>
      <c r="AD40" s="232">
        <f>IF($B40="","",IF($D40="Theo ngày",SUMIFS('CHAM_CONG_NGAY'!$F$6:$F$4655,'CHAM_CONG_NGAY'!$B$6:$B$4655,$B40,'CHAM_CONG_NGAY'!$C$6:$C$4655,"&gt;="&amp;'THAM_SO'!$B$6,'CHAM_CONG_NGAY'!$C$6:$C$4655,"&lt;="&amp;'THAM_SO'!$B$7),$F40))</f>
        <v/>
      </c>
      <c r="AE40" s="232">
        <f>IF($B40="","",IF($D40="Theo ngày",SUMIFS('CHAM_CONG_NGAY'!$G$6:$G$4655,'CHAM_CONG_NGAY'!$B$6:$B$4655,$B40,'CHAM_CONG_NGAY'!$C$6:$C$4655,"&gt;="&amp;'THAM_SO'!$B$6,'CHAM_CONG_NGAY'!$C$6:$C$4655,"&lt;="&amp;'THAM_SO'!$B$7),$G40))</f>
        <v/>
      </c>
      <c r="AF40" s="232">
        <f>IF($B40="","",IF($D40="Theo ngày",SUMIFS('CHAM_CONG_NGAY'!$H$6:$H$4655,'CHAM_CONG_NGAY'!$B$6:$B$4655,$B40,'CHAM_CONG_NGAY'!$C$6:$C$4655,"&gt;="&amp;'THAM_SO'!$B$6,'CHAM_CONG_NGAY'!$C$6:$C$4655,"&lt;="&amp;'THAM_SO'!$B$7),$H40))</f>
        <v/>
      </c>
      <c r="AG40" s="232">
        <f>IF($B40="","",IF($D40="Theo ngày",SUMIFS('CHAM_CONG_NGAY'!$I$6:$I$4655,'CHAM_CONG_NGAY'!$B$6:$B$4655,$B40,'CHAM_CONG_NGAY'!$C$6:$C$4655,"&gt;="&amp;'THAM_SO'!$B$6,'CHAM_CONG_NGAY'!$C$6:$C$4655,"&lt;="&amp;'THAM_SO'!$B$7),$I40))</f>
        <v/>
      </c>
      <c r="AH40" s="232">
        <f>IF($B40="","",IF($D40="Theo ngày",SUMIFS('CHAM_CONG_NGAY'!$J$6:$J$4655,'CHAM_CONG_NGAY'!$B$6:$B$4655,$B40,'CHAM_CONG_NGAY'!$C$6:$C$4655,"&gt;="&amp;'THAM_SO'!$B$6,'CHAM_CONG_NGAY'!$C$6:$C$4655,"&lt;="&amp;'THAM_SO'!$B$7),$J40))</f>
        <v/>
      </c>
      <c r="AI40" s="232">
        <f>IF($B40="","",IF($D40="Theo ngày",SUMIFS('CHAM_CONG_NGAY'!$K$6:$K$4655,'CHAM_CONG_NGAY'!$B$6:$B$4655,$B40,'CHAM_CONG_NGAY'!$C$6:$C$4655,"&gt;="&amp;'THAM_SO'!$B$6,'CHAM_CONG_NGAY'!$C$6:$C$4655,"&lt;="&amp;'THAM_SO'!$B$7),$K40))</f>
        <v/>
      </c>
      <c r="AJ40" s="232">
        <f>IF($B40="","",IF($D40="Theo ngày",SUMIFS('CHAM_CONG_NGAY'!$L$6:$L$4655,'CHAM_CONG_NGAY'!$B$6:$B$4655,$B40,'CHAM_CONG_NGAY'!$C$6:$C$4655,"&gt;="&amp;'THAM_SO'!$B$6,'CHAM_CONG_NGAY'!$C$6:$C$4655,"&lt;="&amp;'THAM_SO'!$B$7),$L40))</f>
        <v/>
      </c>
      <c r="AK40" s="232">
        <f>IF($B40="","",IF($D40="Theo ngày",SUMIFS('CHAM_CONG_NGAY'!$M$6:$M$4655,'CHAM_CONG_NGAY'!$B$6:$B$4655,$B40,'CHAM_CONG_NGAY'!$C$6:$C$4655,"&gt;="&amp;'THAM_SO'!$B$6,'CHAM_CONG_NGAY'!$C$6:$C$4655,"&lt;="&amp;'THAM_SO'!$B$7),$M40))</f>
        <v/>
      </c>
      <c r="AL40" s="227" t="n"/>
      <c r="AM40" s="227" t="n"/>
      <c r="AN40" s="227" t="n"/>
      <c r="AO40" s="227" t="n"/>
      <c r="AP40" s="227" t="n"/>
      <c r="AQ40" s="227" t="n"/>
      <c r="AR40" s="232">
        <f>IF($B40="","",IF($D40="Theo ngày",SUMIFS('CHAM_CONG_NGAY'!$O$6:$O$4655,'CHAM_CONG_NGAY'!$B$6:$B$4655,$B40,'CHAM_CONG_NGAY'!$C$6:$C$4655,"&gt;="&amp;'THAM_SO'!$B$6,'CHAM_CONG_NGAY'!$C$6:$C$4655,"&lt;="&amp;'THAM_SO'!$B$7),$AL40))</f>
        <v/>
      </c>
      <c r="AS40" s="232">
        <f>IF($B40="","",IF($D40="Theo ngày",SUMIFS('CHAM_CONG_NGAY'!$P$6:$P$4655,'CHAM_CONG_NGAY'!$B$6:$B$4655,$B40,'CHAM_CONG_NGAY'!$C$6:$C$4655,"&gt;="&amp;'THAM_SO'!$B$6,'CHAM_CONG_NGAY'!$C$6:$C$4655,"&lt;="&amp;'THAM_SO'!$B$7),$AM40))</f>
        <v/>
      </c>
      <c r="AT40" s="232">
        <f>IF($B40="","",IF($D40="Theo ngày",SUMIFS('CHAM_CONG_NGAY'!$Q$6:$Q$4655,'CHAM_CONG_NGAY'!$B$6:$B$4655,$B40,'CHAM_CONG_NGAY'!$C$6:$C$4655,"&gt;="&amp;'THAM_SO'!$B$6,'CHAM_CONG_NGAY'!$C$6:$C$4655,"&lt;="&amp;'THAM_SO'!$B$7),$AN40))</f>
        <v/>
      </c>
      <c r="AU40" s="232">
        <f>IF($B40="","",IF($D40="Theo ngày",SUMIFS('CHAM_CONG_NGAY'!$R$6:$R$4655,'CHAM_CONG_NGAY'!$B$6:$B$4655,$B40,'CHAM_CONG_NGAY'!$C$6:$C$4655,"&gt;="&amp;'THAM_SO'!$B$6,'CHAM_CONG_NGAY'!$C$6:$C$4655,"&lt;="&amp;'THAM_SO'!$B$7),$AO40))</f>
        <v/>
      </c>
      <c r="AV40" s="232">
        <f>IF($B40="","",IF($D40="Theo ngày",SUMIFS('CHAM_CONG_NGAY'!$S$6:$S$4655,'CHAM_CONG_NGAY'!$B$6:$B$4655,$B40,'CHAM_CONG_NGAY'!$C$6:$C$4655,"&gt;="&amp;'THAM_SO'!$B$6,'CHAM_CONG_NGAY'!$C$6:$C$4655,"&lt;="&amp;'THAM_SO'!$B$7),$AP40))</f>
        <v/>
      </c>
      <c r="AW40" s="232">
        <f>IF($B40="","",IF($D40="Theo ngày",SUMIFS('CHAM_CONG_NGAY'!$T$6:$T$4655,'CHAM_CONG_NGAY'!$B$6:$B$4655,$B40,'CHAM_CONG_NGAY'!$C$6:$C$4655,"&gt;="&amp;'THAM_SO'!$B$6,'CHAM_CONG_NGAY'!$C$6:$C$4655,"&lt;="&amp;'THAM_SO'!$B$7),$AQ40))</f>
        <v/>
      </c>
    </row>
    <row r="41">
      <c r="A41" s="145">
        <f>IF($B41="","",ROW()-5)</f>
        <v/>
      </c>
      <c r="B41" s="145">
        <f>IF('DM_NHAN_SU'!B41="","",'DM_NHAN_SU'!B41)</f>
        <v/>
      </c>
      <c r="C41" s="145">
        <f>IF('DM_NHAN_SU'!B41="","",'DM_NHAN_SU'!C41)</f>
        <v/>
      </c>
      <c r="D41" s="127" t="n"/>
      <c r="E41" s="227" t="n"/>
      <c r="F41" s="227" t="n"/>
      <c r="G41" s="227" t="n"/>
      <c r="H41" s="227" t="n"/>
      <c r="I41" s="227" t="n"/>
      <c r="J41" s="227" t="n"/>
      <c r="K41" s="227" t="n"/>
      <c r="L41" s="227" t="n"/>
      <c r="M41" s="227" t="n"/>
      <c r="N41" s="227" t="n"/>
      <c r="O41" s="222" t="n"/>
      <c r="P41" s="222" t="n"/>
      <c r="Q41" s="222" t="n"/>
      <c r="R41" s="222" t="n"/>
      <c r="S41" s="222" t="n"/>
      <c r="T41" s="222" t="n"/>
      <c r="U41" s="222" t="n"/>
      <c r="V41" s="222" t="n"/>
      <c r="W41" s="222" t="n"/>
      <c r="X41" s="222" t="n"/>
      <c r="Y41" s="222" t="n"/>
      <c r="Z41" s="222" t="n"/>
      <c r="AA41" s="127" t="n"/>
      <c r="AB41" s="127" t="n"/>
      <c r="AC41" s="232">
        <f>IF($B41="","",IF($D41="Theo ngày",SUMIFS('CHAM_CONG_NGAY'!$E$6:$E$4655,'CHAM_CONG_NGAY'!$B$6:$B$4655,$B41,'CHAM_CONG_NGAY'!$C$6:$C$4655,"&gt;="&amp;'THAM_SO'!$B$6,'CHAM_CONG_NGAY'!$C$6:$C$4655,"&lt;="&amp;'THAM_SO'!$B$7),$E41))</f>
        <v/>
      </c>
      <c r="AD41" s="232">
        <f>IF($B41="","",IF($D41="Theo ngày",SUMIFS('CHAM_CONG_NGAY'!$F$6:$F$4655,'CHAM_CONG_NGAY'!$B$6:$B$4655,$B41,'CHAM_CONG_NGAY'!$C$6:$C$4655,"&gt;="&amp;'THAM_SO'!$B$6,'CHAM_CONG_NGAY'!$C$6:$C$4655,"&lt;="&amp;'THAM_SO'!$B$7),$F41))</f>
        <v/>
      </c>
      <c r="AE41" s="232">
        <f>IF($B41="","",IF($D41="Theo ngày",SUMIFS('CHAM_CONG_NGAY'!$G$6:$G$4655,'CHAM_CONG_NGAY'!$B$6:$B$4655,$B41,'CHAM_CONG_NGAY'!$C$6:$C$4655,"&gt;="&amp;'THAM_SO'!$B$6,'CHAM_CONG_NGAY'!$C$6:$C$4655,"&lt;="&amp;'THAM_SO'!$B$7),$G41))</f>
        <v/>
      </c>
      <c r="AF41" s="232">
        <f>IF($B41="","",IF($D41="Theo ngày",SUMIFS('CHAM_CONG_NGAY'!$H$6:$H$4655,'CHAM_CONG_NGAY'!$B$6:$B$4655,$B41,'CHAM_CONG_NGAY'!$C$6:$C$4655,"&gt;="&amp;'THAM_SO'!$B$6,'CHAM_CONG_NGAY'!$C$6:$C$4655,"&lt;="&amp;'THAM_SO'!$B$7),$H41))</f>
        <v/>
      </c>
      <c r="AG41" s="232">
        <f>IF($B41="","",IF($D41="Theo ngày",SUMIFS('CHAM_CONG_NGAY'!$I$6:$I$4655,'CHAM_CONG_NGAY'!$B$6:$B$4655,$B41,'CHAM_CONG_NGAY'!$C$6:$C$4655,"&gt;="&amp;'THAM_SO'!$B$6,'CHAM_CONG_NGAY'!$C$6:$C$4655,"&lt;="&amp;'THAM_SO'!$B$7),$I41))</f>
        <v/>
      </c>
      <c r="AH41" s="232">
        <f>IF($B41="","",IF($D41="Theo ngày",SUMIFS('CHAM_CONG_NGAY'!$J$6:$J$4655,'CHAM_CONG_NGAY'!$B$6:$B$4655,$B41,'CHAM_CONG_NGAY'!$C$6:$C$4655,"&gt;="&amp;'THAM_SO'!$B$6,'CHAM_CONG_NGAY'!$C$6:$C$4655,"&lt;="&amp;'THAM_SO'!$B$7),$J41))</f>
        <v/>
      </c>
      <c r="AI41" s="232">
        <f>IF($B41="","",IF($D41="Theo ngày",SUMIFS('CHAM_CONG_NGAY'!$K$6:$K$4655,'CHAM_CONG_NGAY'!$B$6:$B$4655,$B41,'CHAM_CONG_NGAY'!$C$6:$C$4655,"&gt;="&amp;'THAM_SO'!$B$6,'CHAM_CONG_NGAY'!$C$6:$C$4655,"&lt;="&amp;'THAM_SO'!$B$7),$K41))</f>
        <v/>
      </c>
      <c r="AJ41" s="232">
        <f>IF($B41="","",IF($D41="Theo ngày",SUMIFS('CHAM_CONG_NGAY'!$L$6:$L$4655,'CHAM_CONG_NGAY'!$B$6:$B$4655,$B41,'CHAM_CONG_NGAY'!$C$6:$C$4655,"&gt;="&amp;'THAM_SO'!$B$6,'CHAM_CONG_NGAY'!$C$6:$C$4655,"&lt;="&amp;'THAM_SO'!$B$7),$L41))</f>
        <v/>
      </c>
      <c r="AK41" s="232">
        <f>IF($B41="","",IF($D41="Theo ngày",SUMIFS('CHAM_CONG_NGAY'!$M$6:$M$4655,'CHAM_CONG_NGAY'!$B$6:$B$4655,$B41,'CHAM_CONG_NGAY'!$C$6:$C$4655,"&gt;="&amp;'THAM_SO'!$B$6,'CHAM_CONG_NGAY'!$C$6:$C$4655,"&lt;="&amp;'THAM_SO'!$B$7),$M41))</f>
        <v/>
      </c>
      <c r="AL41" s="227" t="n"/>
      <c r="AM41" s="227" t="n"/>
      <c r="AN41" s="227" t="n"/>
      <c r="AO41" s="227" t="n"/>
      <c r="AP41" s="227" t="n"/>
      <c r="AQ41" s="227" t="n"/>
      <c r="AR41" s="232">
        <f>IF($B41="","",IF($D41="Theo ngày",SUMIFS('CHAM_CONG_NGAY'!$O$6:$O$4655,'CHAM_CONG_NGAY'!$B$6:$B$4655,$B41,'CHAM_CONG_NGAY'!$C$6:$C$4655,"&gt;="&amp;'THAM_SO'!$B$6,'CHAM_CONG_NGAY'!$C$6:$C$4655,"&lt;="&amp;'THAM_SO'!$B$7),$AL41))</f>
        <v/>
      </c>
      <c r="AS41" s="232">
        <f>IF($B41="","",IF($D41="Theo ngày",SUMIFS('CHAM_CONG_NGAY'!$P$6:$P$4655,'CHAM_CONG_NGAY'!$B$6:$B$4655,$B41,'CHAM_CONG_NGAY'!$C$6:$C$4655,"&gt;="&amp;'THAM_SO'!$B$6,'CHAM_CONG_NGAY'!$C$6:$C$4655,"&lt;="&amp;'THAM_SO'!$B$7),$AM41))</f>
        <v/>
      </c>
      <c r="AT41" s="232">
        <f>IF($B41="","",IF($D41="Theo ngày",SUMIFS('CHAM_CONG_NGAY'!$Q$6:$Q$4655,'CHAM_CONG_NGAY'!$B$6:$B$4655,$B41,'CHAM_CONG_NGAY'!$C$6:$C$4655,"&gt;="&amp;'THAM_SO'!$B$6,'CHAM_CONG_NGAY'!$C$6:$C$4655,"&lt;="&amp;'THAM_SO'!$B$7),$AN41))</f>
        <v/>
      </c>
      <c r="AU41" s="232">
        <f>IF($B41="","",IF($D41="Theo ngày",SUMIFS('CHAM_CONG_NGAY'!$R$6:$R$4655,'CHAM_CONG_NGAY'!$B$6:$B$4655,$B41,'CHAM_CONG_NGAY'!$C$6:$C$4655,"&gt;="&amp;'THAM_SO'!$B$6,'CHAM_CONG_NGAY'!$C$6:$C$4655,"&lt;="&amp;'THAM_SO'!$B$7),$AO41))</f>
        <v/>
      </c>
      <c r="AV41" s="232">
        <f>IF($B41="","",IF($D41="Theo ngày",SUMIFS('CHAM_CONG_NGAY'!$S$6:$S$4655,'CHAM_CONG_NGAY'!$B$6:$B$4655,$B41,'CHAM_CONG_NGAY'!$C$6:$C$4655,"&gt;="&amp;'THAM_SO'!$B$6,'CHAM_CONG_NGAY'!$C$6:$C$4655,"&lt;="&amp;'THAM_SO'!$B$7),$AP41))</f>
        <v/>
      </c>
      <c r="AW41" s="232">
        <f>IF($B41="","",IF($D41="Theo ngày",SUMIFS('CHAM_CONG_NGAY'!$T$6:$T$4655,'CHAM_CONG_NGAY'!$B$6:$B$4655,$B41,'CHAM_CONG_NGAY'!$C$6:$C$4655,"&gt;="&amp;'THAM_SO'!$B$6,'CHAM_CONG_NGAY'!$C$6:$C$4655,"&lt;="&amp;'THAM_SO'!$B$7),$AQ41))</f>
        <v/>
      </c>
    </row>
    <row r="42">
      <c r="A42" s="145">
        <f>IF($B42="","",ROW()-5)</f>
        <v/>
      </c>
      <c r="B42" s="145">
        <f>IF('DM_NHAN_SU'!B42="","",'DM_NHAN_SU'!B42)</f>
        <v/>
      </c>
      <c r="C42" s="145">
        <f>IF('DM_NHAN_SU'!B42="","",'DM_NHAN_SU'!C42)</f>
        <v/>
      </c>
      <c r="D42" s="127" t="n"/>
      <c r="E42" s="227" t="n"/>
      <c r="F42" s="227" t="n"/>
      <c r="G42" s="227" t="n"/>
      <c r="H42" s="227" t="n"/>
      <c r="I42" s="227" t="n"/>
      <c r="J42" s="227" t="n"/>
      <c r="K42" s="227" t="n"/>
      <c r="L42" s="227" t="n"/>
      <c r="M42" s="227" t="n"/>
      <c r="N42" s="227" t="n"/>
      <c r="O42" s="222" t="n"/>
      <c r="P42" s="222" t="n"/>
      <c r="Q42" s="222" t="n"/>
      <c r="R42" s="222" t="n"/>
      <c r="S42" s="222" t="n"/>
      <c r="T42" s="222" t="n"/>
      <c r="U42" s="222" t="n"/>
      <c r="V42" s="222" t="n"/>
      <c r="W42" s="222" t="n"/>
      <c r="X42" s="222" t="n"/>
      <c r="Y42" s="222" t="n"/>
      <c r="Z42" s="222" t="n"/>
      <c r="AA42" s="127" t="n"/>
      <c r="AB42" s="127" t="n"/>
      <c r="AC42" s="232">
        <f>IF($B42="","",IF($D42="Theo ngày",SUMIFS('CHAM_CONG_NGAY'!$E$6:$E$4655,'CHAM_CONG_NGAY'!$B$6:$B$4655,$B42,'CHAM_CONG_NGAY'!$C$6:$C$4655,"&gt;="&amp;'THAM_SO'!$B$6,'CHAM_CONG_NGAY'!$C$6:$C$4655,"&lt;="&amp;'THAM_SO'!$B$7),$E42))</f>
        <v/>
      </c>
      <c r="AD42" s="232">
        <f>IF($B42="","",IF($D42="Theo ngày",SUMIFS('CHAM_CONG_NGAY'!$F$6:$F$4655,'CHAM_CONG_NGAY'!$B$6:$B$4655,$B42,'CHAM_CONG_NGAY'!$C$6:$C$4655,"&gt;="&amp;'THAM_SO'!$B$6,'CHAM_CONG_NGAY'!$C$6:$C$4655,"&lt;="&amp;'THAM_SO'!$B$7),$F42))</f>
        <v/>
      </c>
      <c r="AE42" s="232">
        <f>IF($B42="","",IF($D42="Theo ngày",SUMIFS('CHAM_CONG_NGAY'!$G$6:$G$4655,'CHAM_CONG_NGAY'!$B$6:$B$4655,$B42,'CHAM_CONG_NGAY'!$C$6:$C$4655,"&gt;="&amp;'THAM_SO'!$B$6,'CHAM_CONG_NGAY'!$C$6:$C$4655,"&lt;="&amp;'THAM_SO'!$B$7),$G42))</f>
        <v/>
      </c>
      <c r="AF42" s="232">
        <f>IF($B42="","",IF($D42="Theo ngày",SUMIFS('CHAM_CONG_NGAY'!$H$6:$H$4655,'CHAM_CONG_NGAY'!$B$6:$B$4655,$B42,'CHAM_CONG_NGAY'!$C$6:$C$4655,"&gt;="&amp;'THAM_SO'!$B$6,'CHAM_CONG_NGAY'!$C$6:$C$4655,"&lt;="&amp;'THAM_SO'!$B$7),$H42))</f>
        <v/>
      </c>
      <c r="AG42" s="232">
        <f>IF($B42="","",IF($D42="Theo ngày",SUMIFS('CHAM_CONG_NGAY'!$I$6:$I$4655,'CHAM_CONG_NGAY'!$B$6:$B$4655,$B42,'CHAM_CONG_NGAY'!$C$6:$C$4655,"&gt;="&amp;'THAM_SO'!$B$6,'CHAM_CONG_NGAY'!$C$6:$C$4655,"&lt;="&amp;'THAM_SO'!$B$7),$I42))</f>
        <v/>
      </c>
      <c r="AH42" s="232">
        <f>IF($B42="","",IF($D42="Theo ngày",SUMIFS('CHAM_CONG_NGAY'!$J$6:$J$4655,'CHAM_CONG_NGAY'!$B$6:$B$4655,$B42,'CHAM_CONG_NGAY'!$C$6:$C$4655,"&gt;="&amp;'THAM_SO'!$B$6,'CHAM_CONG_NGAY'!$C$6:$C$4655,"&lt;="&amp;'THAM_SO'!$B$7),$J42))</f>
        <v/>
      </c>
      <c r="AI42" s="232">
        <f>IF($B42="","",IF($D42="Theo ngày",SUMIFS('CHAM_CONG_NGAY'!$K$6:$K$4655,'CHAM_CONG_NGAY'!$B$6:$B$4655,$B42,'CHAM_CONG_NGAY'!$C$6:$C$4655,"&gt;="&amp;'THAM_SO'!$B$6,'CHAM_CONG_NGAY'!$C$6:$C$4655,"&lt;="&amp;'THAM_SO'!$B$7),$K42))</f>
        <v/>
      </c>
      <c r="AJ42" s="232">
        <f>IF($B42="","",IF($D42="Theo ngày",SUMIFS('CHAM_CONG_NGAY'!$L$6:$L$4655,'CHAM_CONG_NGAY'!$B$6:$B$4655,$B42,'CHAM_CONG_NGAY'!$C$6:$C$4655,"&gt;="&amp;'THAM_SO'!$B$6,'CHAM_CONG_NGAY'!$C$6:$C$4655,"&lt;="&amp;'THAM_SO'!$B$7),$L42))</f>
        <v/>
      </c>
      <c r="AK42" s="232">
        <f>IF($B42="","",IF($D42="Theo ngày",SUMIFS('CHAM_CONG_NGAY'!$M$6:$M$4655,'CHAM_CONG_NGAY'!$B$6:$B$4655,$B42,'CHAM_CONG_NGAY'!$C$6:$C$4655,"&gt;="&amp;'THAM_SO'!$B$6,'CHAM_CONG_NGAY'!$C$6:$C$4655,"&lt;="&amp;'THAM_SO'!$B$7),$M42))</f>
        <v/>
      </c>
      <c r="AL42" s="227" t="n"/>
      <c r="AM42" s="227" t="n"/>
      <c r="AN42" s="227" t="n"/>
      <c r="AO42" s="227" t="n"/>
      <c r="AP42" s="227" t="n"/>
      <c r="AQ42" s="227" t="n"/>
      <c r="AR42" s="232">
        <f>IF($B42="","",IF($D42="Theo ngày",SUMIFS('CHAM_CONG_NGAY'!$O$6:$O$4655,'CHAM_CONG_NGAY'!$B$6:$B$4655,$B42,'CHAM_CONG_NGAY'!$C$6:$C$4655,"&gt;="&amp;'THAM_SO'!$B$6,'CHAM_CONG_NGAY'!$C$6:$C$4655,"&lt;="&amp;'THAM_SO'!$B$7),$AL42))</f>
        <v/>
      </c>
      <c r="AS42" s="232">
        <f>IF($B42="","",IF($D42="Theo ngày",SUMIFS('CHAM_CONG_NGAY'!$P$6:$P$4655,'CHAM_CONG_NGAY'!$B$6:$B$4655,$B42,'CHAM_CONG_NGAY'!$C$6:$C$4655,"&gt;="&amp;'THAM_SO'!$B$6,'CHAM_CONG_NGAY'!$C$6:$C$4655,"&lt;="&amp;'THAM_SO'!$B$7),$AM42))</f>
        <v/>
      </c>
      <c r="AT42" s="232">
        <f>IF($B42="","",IF($D42="Theo ngày",SUMIFS('CHAM_CONG_NGAY'!$Q$6:$Q$4655,'CHAM_CONG_NGAY'!$B$6:$B$4655,$B42,'CHAM_CONG_NGAY'!$C$6:$C$4655,"&gt;="&amp;'THAM_SO'!$B$6,'CHAM_CONG_NGAY'!$C$6:$C$4655,"&lt;="&amp;'THAM_SO'!$B$7),$AN42))</f>
        <v/>
      </c>
      <c r="AU42" s="232">
        <f>IF($B42="","",IF($D42="Theo ngày",SUMIFS('CHAM_CONG_NGAY'!$R$6:$R$4655,'CHAM_CONG_NGAY'!$B$6:$B$4655,$B42,'CHAM_CONG_NGAY'!$C$6:$C$4655,"&gt;="&amp;'THAM_SO'!$B$6,'CHAM_CONG_NGAY'!$C$6:$C$4655,"&lt;="&amp;'THAM_SO'!$B$7),$AO42))</f>
        <v/>
      </c>
      <c r="AV42" s="232">
        <f>IF($B42="","",IF($D42="Theo ngày",SUMIFS('CHAM_CONG_NGAY'!$S$6:$S$4655,'CHAM_CONG_NGAY'!$B$6:$B$4655,$B42,'CHAM_CONG_NGAY'!$C$6:$C$4655,"&gt;="&amp;'THAM_SO'!$B$6,'CHAM_CONG_NGAY'!$C$6:$C$4655,"&lt;="&amp;'THAM_SO'!$B$7),$AP42))</f>
        <v/>
      </c>
      <c r="AW42" s="232">
        <f>IF($B42="","",IF($D42="Theo ngày",SUMIFS('CHAM_CONG_NGAY'!$T$6:$T$4655,'CHAM_CONG_NGAY'!$B$6:$B$4655,$B42,'CHAM_CONG_NGAY'!$C$6:$C$4655,"&gt;="&amp;'THAM_SO'!$B$6,'CHAM_CONG_NGAY'!$C$6:$C$4655,"&lt;="&amp;'THAM_SO'!$B$7),$AQ42))</f>
        <v/>
      </c>
    </row>
    <row r="43">
      <c r="A43" s="145">
        <f>IF($B43="","",ROW()-5)</f>
        <v/>
      </c>
      <c r="B43" s="145">
        <f>IF('DM_NHAN_SU'!B43="","",'DM_NHAN_SU'!B43)</f>
        <v/>
      </c>
      <c r="C43" s="145">
        <f>IF('DM_NHAN_SU'!B43="","",'DM_NHAN_SU'!C43)</f>
        <v/>
      </c>
      <c r="D43" s="127" t="n"/>
      <c r="E43" s="227" t="n"/>
      <c r="F43" s="227" t="n"/>
      <c r="G43" s="227" t="n"/>
      <c r="H43" s="227" t="n"/>
      <c r="I43" s="227" t="n"/>
      <c r="J43" s="227" t="n"/>
      <c r="K43" s="227" t="n"/>
      <c r="L43" s="227" t="n"/>
      <c r="M43" s="227" t="n"/>
      <c r="N43" s="227" t="n"/>
      <c r="O43" s="222" t="n"/>
      <c r="P43" s="222" t="n"/>
      <c r="Q43" s="222" t="n"/>
      <c r="R43" s="222" t="n"/>
      <c r="S43" s="222" t="n"/>
      <c r="T43" s="222" t="n"/>
      <c r="U43" s="222" t="n"/>
      <c r="V43" s="222" t="n"/>
      <c r="W43" s="222" t="n"/>
      <c r="X43" s="222" t="n"/>
      <c r="Y43" s="222" t="n"/>
      <c r="Z43" s="222" t="n"/>
      <c r="AA43" s="127" t="n"/>
      <c r="AB43" s="127" t="n"/>
      <c r="AC43" s="232">
        <f>IF($B43="","",IF($D43="Theo ngày",SUMIFS('CHAM_CONG_NGAY'!$E$6:$E$4655,'CHAM_CONG_NGAY'!$B$6:$B$4655,$B43,'CHAM_CONG_NGAY'!$C$6:$C$4655,"&gt;="&amp;'THAM_SO'!$B$6,'CHAM_CONG_NGAY'!$C$6:$C$4655,"&lt;="&amp;'THAM_SO'!$B$7),$E43))</f>
        <v/>
      </c>
      <c r="AD43" s="232">
        <f>IF($B43="","",IF($D43="Theo ngày",SUMIFS('CHAM_CONG_NGAY'!$F$6:$F$4655,'CHAM_CONG_NGAY'!$B$6:$B$4655,$B43,'CHAM_CONG_NGAY'!$C$6:$C$4655,"&gt;="&amp;'THAM_SO'!$B$6,'CHAM_CONG_NGAY'!$C$6:$C$4655,"&lt;="&amp;'THAM_SO'!$B$7),$F43))</f>
        <v/>
      </c>
      <c r="AE43" s="232">
        <f>IF($B43="","",IF($D43="Theo ngày",SUMIFS('CHAM_CONG_NGAY'!$G$6:$G$4655,'CHAM_CONG_NGAY'!$B$6:$B$4655,$B43,'CHAM_CONG_NGAY'!$C$6:$C$4655,"&gt;="&amp;'THAM_SO'!$B$6,'CHAM_CONG_NGAY'!$C$6:$C$4655,"&lt;="&amp;'THAM_SO'!$B$7),$G43))</f>
        <v/>
      </c>
      <c r="AF43" s="232">
        <f>IF($B43="","",IF($D43="Theo ngày",SUMIFS('CHAM_CONG_NGAY'!$H$6:$H$4655,'CHAM_CONG_NGAY'!$B$6:$B$4655,$B43,'CHAM_CONG_NGAY'!$C$6:$C$4655,"&gt;="&amp;'THAM_SO'!$B$6,'CHAM_CONG_NGAY'!$C$6:$C$4655,"&lt;="&amp;'THAM_SO'!$B$7),$H43))</f>
        <v/>
      </c>
      <c r="AG43" s="232">
        <f>IF($B43="","",IF($D43="Theo ngày",SUMIFS('CHAM_CONG_NGAY'!$I$6:$I$4655,'CHAM_CONG_NGAY'!$B$6:$B$4655,$B43,'CHAM_CONG_NGAY'!$C$6:$C$4655,"&gt;="&amp;'THAM_SO'!$B$6,'CHAM_CONG_NGAY'!$C$6:$C$4655,"&lt;="&amp;'THAM_SO'!$B$7),$I43))</f>
        <v/>
      </c>
      <c r="AH43" s="232">
        <f>IF($B43="","",IF($D43="Theo ngày",SUMIFS('CHAM_CONG_NGAY'!$J$6:$J$4655,'CHAM_CONG_NGAY'!$B$6:$B$4655,$B43,'CHAM_CONG_NGAY'!$C$6:$C$4655,"&gt;="&amp;'THAM_SO'!$B$6,'CHAM_CONG_NGAY'!$C$6:$C$4655,"&lt;="&amp;'THAM_SO'!$B$7),$J43))</f>
        <v/>
      </c>
      <c r="AI43" s="232">
        <f>IF($B43="","",IF($D43="Theo ngày",SUMIFS('CHAM_CONG_NGAY'!$K$6:$K$4655,'CHAM_CONG_NGAY'!$B$6:$B$4655,$B43,'CHAM_CONG_NGAY'!$C$6:$C$4655,"&gt;="&amp;'THAM_SO'!$B$6,'CHAM_CONG_NGAY'!$C$6:$C$4655,"&lt;="&amp;'THAM_SO'!$B$7),$K43))</f>
        <v/>
      </c>
      <c r="AJ43" s="232">
        <f>IF($B43="","",IF($D43="Theo ngày",SUMIFS('CHAM_CONG_NGAY'!$L$6:$L$4655,'CHAM_CONG_NGAY'!$B$6:$B$4655,$B43,'CHAM_CONG_NGAY'!$C$6:$C$4655,"&gt;="&amp;'THAM_SO'!$B$6,'CHAM_CONG_NGAY'!$C$6:$C$4655,"&lt;="&amp;'THAM_SO'!$B$7),$L43))</f>
        <v/>
      </c>
      <c r="AK43" s="232">
        <f>IF($B43="","",IF($D43="Theo ngày",SUMIFS('CHAM_CONG_NGAY'!$M$6:$M$4655,'CHAM_CONG_NGAY'!$B$6:$B$4655,$B43,'CHAM_CONG_NGAY'!$C$6:$C$4655,"&gt;="&amp;'THAM_SO'!$B$6,'CHAM_CONG_NGAY'!$C$6:$C$4655,"&lt;="&amp;'THAM_SO'!$B$7),$M43))</f>
        <v/>
      </c>
      <c r="AL43" s="227" t="n"/>
      <c r="AM43" s="227" t="n"/>
      <c r="AN43" s="227" t="n"/>
      <c r="AO43" s="227" t="n"/>
      <c r="AP43" s="227" t="n"/>
      <c r="AQ43" s="227" t="n"/>
      <c r="AR43" s="232">
        <f>IF($B43="","",IF($D43="Theo ngày",SUMIFS('CHAM_CONG_NGAY'!$O$6:$O$4655,'CHAM_CONG_NGAY'!$B$6:$B$4655,$B43,'CHAM_CONG_NGAY'!$C$6:$C$4655,"&gt;="&amp;'THAM_SO'!$B$6,'CHAM_CONG_NGAY'!$C$6:$C$4655,"&lt;="&amp;'THAM_SO'!$B$7),$AL43))</f>
        <v/>
      </c>
      <c r="AS43" s="232">
        <f>IF($B43="","",IF($D43="Theo ngày",SUMIFS('CHAM_CONG_NGAY'!$P$6:$P$4655,'CHAM_CONG_NGAY'!$B$6:$B$4655,$B43,'CHAM_CONG_NGAY'!$C$6:$C$4655,"&gt;="&amp;'THAM_SO'!$B$6,'CHAM_CONG_NGAY'!$C$6:$C$4655,"&lt;="&amp;'THAM_SO'!$B$7),$AM43))</f>
        <v/>
      </c>
      <c r="AT43" s="232">
        <f>IF($B43="","",IF($D43="Theo ngày",SUMIFS('CHAM_CONG_NGAY'!$Q$6:$Q$4655,'CHAM_CONG_NGAY'!$B$6:$B$4655,$B43,'CHAM_CONG_NGAY'!$C$6:$C$4655,"&gt;="&amp;'THAM_SO'!$B$6,'CHAM_CONG_NGAY'!$C$6:$C$4655,"&lt;="&amp;'THAM_SO'!$B$7),$AN43))</f>
        <v/>
      </c>
      <c r="AU43" s="232">
        <f>IF($B43="","",IF($D43="Theo ngày",SUMIFS('CHAM_CONG_NGAY'!$R$6:$R$4655,'CHAM_CONG_NGAY'!$B$6:$B$4655,$B43,'CHAM_CONG_NGAY'!$C$6:$C$4655,"&gt;="&amp;'THAM_SO'!$B$6,'CHAM_CONG_NGAY'!$C$6:$C$4655,"&lt;="&amp;'THAM_SO'!$B$7),$AO43))</f>
        <v/>
      </c>
      <c r="AV43" s="232">
        <f>IF($B43="","",IF($D43="Theo ngày",SUMIFS('CHAM_CONG_NGAY'!$S$6:$S$4655,'CHAM_CONG_NGAY'!$B$6:$B$4655,$B43,'CHAM_CONG_NGAY'!$C$6:$C$4655,"&gt;="&amp;'THAM_SO'!$B$6,'CHAM_CONG_NGAY'!$C$6:$C$4655,"&lt;="&amp;'THAM_SO'!$B$7),$AP43))</f>
        <v/>
      </c>
      <c r="AW43" s="232">
        <f>IF($B43="","",IF($D43="Theo ngày",SUMIFS('CHAM_CONG_NGAY'!$T$6:$T$4655,'CHAM_CONG_NGAY'!$B$6:$B$4655,$B43,'CHAM_CONG_NGAY'!$C$6:$C$4655,"&gt;="&amp;'THAM_SO'!$B$6,'CHAM_CONG_NGAY'!$C$6:$C$4655,"&lt;="&amp;'THAM_SO'!$B$7),$AQ43))</f>
        <v/>
      </c>
    </row>
    <row r="44">
      <c r="A44" s="145">
        <f>IF($B44="","",ROW()-5)</f>
        <v/>
      </c>
      <c r="B44" s="145">
        <f>IF('DM_NHAN_SU'!B44="","",'DM_NHAN_SU'!B44)</f>
        <v/>
      </c>
      <c r="C44" s="145">
        <f>IF('DM_NHAN_SU'!B44="","",'DM_NHAN_SU'!C44)</f>
        <v/>
      </c>
      <c r="D44" s="127" t="n"/>
      <c r="E44" s="227" t="n"/>
      <c r="F44" s="227" t="n"/>
      <c r="G44" s="227" t="n"/>
      <c r="H44" s="227" t="n"/>
      <c r="I44" s="227" t="n"/>
      <c r="J44" s="227" t="n"/>
      <c r="K44" s="227" t="n"/>
      <c r="L44" s="227" t="n"/>
      <c r="M44" s="227" t="n"/>
      <c r="N44" s="227" t="n"/>
      <c r="O44" s="222" t="n"/>
      <c r="P44" s="222" t="n"/>
      <c r="Q44" s="222" t="n"/>
      <c r="R44" s="222" t="n"/>
      <c r="S44" s="222" t="n"/>
      <c r="T44" s="222" t="n"/>
      <c r="U44" s="222" t="n"/>
      <c r="V44" s="222" t="n"/>
      <c r="W44" s="222" t="n"/>
      <c r="X44" s="222" t="n"/>
      <c r="Y44" s="222" t="n"/>
      <c r="Z44" s="222" t="n"/>
      <c r="AA44" s="127" t="n"/>
      <c r="AB44" s="127" t="n"/>
      <c r="AC44" s="232">
        <f>IF($B44="","",IF($D44="Theo ngày",SUMIFS('CHAM_CONG_NGAY'!$E$6:$E$4655,'CHAM_CONG_NGAY'!$B$6:$B$4655,$B44,'CHAM_CONG_NGAY'!$C$6:$C$4655,"&gt;="&amp;'THAM_SO'!$B$6,'CHAM_CONG_NGAY'!$C$6:$C$4655,"&lt;="&amp;'THAM_SO'!$B$7),$E44))</f>
        <v/>
      </c>
      <c r="AD44" s="232">
        <f>IF($B44="","",IF($D44="Theo ngày",SUMIFS('CHAM_CONG_NGAY'!$F$6:$F$4655,'CHAM_CONG_NGAY'!$B$6:$B$4655,$B44,'CHAM_CONG_NGAY'!$C$6:$C$4655,"&gt;="&amp;'THAM_SO'!$B$6,'CHAM_CONG_NGAY'!$C$6:$C$4655,"&lt;="&amp;'THAM_SO'!$B$7),$F44))</f>
        <v/>
      </c>
      <c r="AE44" s="232">
        <f>IF($B44="","",IF($D44="Theo ngày",SUMIFS('CHAM_CONG_NGAY'!$G$6:$G$4655,'CHAM_CONG_NGAY'!$B$6:$B$4655,$B44,'CHAM_CONG_NGAY'!$C$6:$C$4655,"&gt;="&amp;'THAM_SO'!$B$6,'CHAM_CONG_NGAY'!$C$6:$C$4655,"&lt;="&amp;'THAM_SO'!$B$7),$G44))</f>
        <v/>
      </c>
      <c r="AF44" s="232">
        <f>IF($B44="","",IF($D44="Theo ngày",SUMIFS('CHAM_CONG_NGAY'!$H$6:$H$4655,'CHAM_CONG_NGAY'!$B$6:$B$4655,$B44,'CHAM_CONG_NGAY'!$C$6:$C$4655,"&gt;="&amp;'THAM_SO'!$B$6,'CHAM_CONG_NGAY'!$C$6:$C$4655,"&lt;="&amp;'THAM_SO'!$B$7),$H44))</f>
        <v/>
      </c>
      <c r="AG44" s="232">
        <f>IF($B44="","",IF($D44="Theo ngày",SUMIFS('CHAM_CONG_NGAY'!$I$6:$I$4655,'CHAM_CONG_NGAY'!$B$6:$B$4655,$B44,'CHAM_CONG_NGAY'!$C$6:$C$4655,"&gt;="&amp;'THAM_SO'!$B$6,'CHAM_CONG_NGAY'!$C$6:$C$4655,"&lt;="&amp;'THAM_SO'!$B$7),$I44))</f>
        <v/>
      </c>
      <c r="AH44" s="232">
        <f>IF($B44="","",IF($D44="Theo ngày",SUMIFS('CHAM_CONG_NGAY'!$J$6:$J$4655,'CHAM_CONG_NGAY'!$B$6:$B$4655,$B44,'CHAM_CONG_NGAY'!$C$6:$C$4655,"&gt;="&amp;'THAM_SO'!$B$6,'CHAM_CONG_NGAY'!$C$6:$C$4655,"&lt;="&amp;'THAM_SO'!$B$7),$J44))</f>
        <v/>
      </c>
      <c r="AI44" s="232">
        <f>IF($B44="","",IF($D44="Theo ngày",SUMIFS('CHAM_CONG_NGAY'!$K$6:$K$4655,'CHAM_CONG_NGAY'!$B$6:$B$4655,$B44,'CHAM_CONG_NGAY'!$C$6:$C$4655,"&gt;="&amp;'THAM_SO'!$B$6,'CHAM_CONG_NGAY'!$C$6:$C$4655,"&lt;="&amp;'THAM_SO'!$B$7),$K44))</f>
        <v/>
      </c>
      <c r="AJ44" s="232">
        <f>IF($B44="","",IF($D44="Theo ngày",SUMIFS('CHAM_CONG_NGAY'!$L$6:$L$4655,'CHAM_CONG_NGAY'!$B$6:$B$4655,$B44,'CHAM_CONG_NGAY'!$C$6:$C$4655,"&gt;="&amp;'THAM_SO'!$B$6,'CHAM_CONG_NGAY'!$C$6:$C$4655,"&lt;="&amp;'THAM_SO'!$B$7),$L44))</f>
        <v/>
      </c>
      <c r="AK44" s="232">
        <f>IF($B44="","",IF($D44="Theo ngày",SUMIFS('CHAM_CONG_NGAY'!$M$6:$M$4655,'CHAM_CONG_NGAY'!$B$6:$B$4655,$B44,'CHAM_CONG_NGAY'!$C$6:$C$4655,"&gt;="&amp;'THAM_SO'!$B$6,'CHAM_CONG_NGAY'!$C$6:$C$4655,"&lt;="&amp;'THAM_SO'!$B$7),$M44))</f>
        <v/>
      </c>
      <c r="AL44" s="227" t="n"/>
      <c r="AM44" s="227" t="n"/>
      <c r="AN44" s="227" t="n"/>
      <c r="AO44" s="227" t="n"/>
      <c r="AP44" s="227" t="n"/>
      <c r="AQ44" s="227" t="n"/>
      <c r="AR44" s="232">
        <f>IF($B44="","",IF($D44="Theo ngày",SUMIFS('CHAM_CONG_NGAY'!$O$6:$O$4655,'CHAM_CONG_NGAY'!$B$6:$B$4655,$B44,'CHAM_CONG_NGAY'!$C$6:$C$4655,"&gt;="&amp;'THAM_SO'!$B$6,'CHAM_CONG_NGAY'!$C$6:$C$4655,"&lt;="&amp;'THAM_SO'!$B$7),$AL44))</f>
        <v/>
      </c>
      <c r="AS44" s="232">
        <f>IF($B44="","",IF($D44="Theo ngày",SUMIFS('CHAM_CONG_NGAY'!$P$6:$P$4655,'CHAM_CONG_NGAY'!$B$6:$B$4655,$B44,'CHAM_CONG_NGAY'!$C$6:$C$4655,"&gt;="&amp;'THAM_SO'!$B$6,'CHAM_CONG_NGAY'!$C$6:$C$4655,"&lt;="&amp;'THAM_SO'!$B$7),$AM44))</f>
        <v/>
      </c>
      <c r="AT44" s="232">
        <f>IF($B44="","",IF($D44="Theo ngày",SUMIFS('CHAM_CONG_NGAY'!$Q$6:$Q$4655,'CHAM_CONG_NGAY'!$B$6:$B$4655,$B44,'CHAM_CONG_NGAY'!$C$6:$C$4655,"&gt;="&amp;'THAM_SO'!$B$6,'CHAM_CONG_NGAY'!$C$6:$C$4655,"&lt;="&amp;'THAM_SO'!$B$7),$AN44))</f>
        <v/>
      </c>
      <c r="AU44" s="232">
        <f>IF($B44="","",IF($D44="Theo ngày",SUMIFS('CHAM_CONG_NGAY'!$R$6:$R$4655,'CHAM_CONG_NGAY'!$B$6:$B$4655,$B44,'CHAM_CONG_NGAY'!$C$6:$C$4655,"&gt;="&amp;'THAM_SO'!$B$6,'CHAM_CONG_NGAY'!$C$6:$C$4655,"&lt;="&amp;'THAM_SO'!$B$7),$AO44))</f>
        <v/>
      </c>
      <c r="AV44" s="232">
        <f>IF($B44="","",IF($D44="Theo ngày",SUMIFS('CHAM_CONG_NGAY'!$S$6:$S$4655,'CHAM_CONG_NGAY'!$B$6:$B$4655,$B44,'CHAM_CONG_NGAY'!$C$6:$C$4655,"&gt;="&amp;'THAM_SO'!$B$6,'CHAM_CONG_NGAY'!$C$6:$C$4655,"&lt;="&amp;'THAM_SO'!$B$7),$AP44))</f>
        <v/>
      </c>
      <c r="AW44" s="232">
        <f>IF($B44="","",IF($D44="Theo ngày",SUMIFS('CHAM_CONG_NGAY'!$T$6:$T$4655,'CHAM_CONG_NGAY'!$B$6:$B$4655,$B44,'CHAM_CONG_NGAY'!$C$6:$C$4655,"&gt;="&amp;'THAM_SO'!$B$6,'CHAM_CONG_NGAY'!$C$6:$C$4655,"&lt;="&amp;'THAM_SO'!$B$7),$AQ44))</f>
        <v/>
      </c>
    </row>
    <row r="45">
      <c r="A45" s="145">
        <f>IF($B45="","",ROW()-5)</f>
        <v/>
      </c>
      <c r="B45" s="145">
        <f>IF('DM_NHAN_SU'!B45="","",'DM_NHAN_SU'!B45)</f>
        <v/>
      </c>
      <c r="C45" s="145">
        <f>IF('DM_NHAN_SU'!B45="","",'DM_NHAN_SU'!C45)</f>
        <v/>
      </c>
      <c r="D45" s="127" t="n"/>
      <c r="E45" s="227" t="n"/>
      <c r="F45" s="227" t="n"/>
      <c r="G45" s="227" t="n"/>
      <c r="H45" s="227" t="n"/>
      <c r="I45" s="227" t="n"/>
      <c r="J45" s="227" t="n"/>
      <c r="K45" s="227" t="n"/>
      <c r="L45" s="227" t="n"/>
      <c r="M45" s="227" t="n"/>
      <c r="N45" s="227" t="n"/>
      <c r="O45" s="222" t="n"/>
      <c r="P45" s="222" t="n"/>
      <c r="Q45" s="222" t="n"/>
      <c r="R45" s="222" t="n"/>
      <c r="S45" s="222" t="n"/>
      <c r="T45" s="222" t="n"/>
      <c r="U45" s="222" t="n"/>
      <c r="V45" s="222" t="n"/>
      <c r="W45" s="222" t="n"/>
      <c r="X45" s="222" t="n"/>
      <c r="Y45" s="222" t="n"/>
      <c r="Z45" s="222" t="n"/>
      <c r="AA45" s="127" t="n"/>
      <c r="AB45" s="127" t="n"/>
      <c r="AC45" s="232">
        <f>IF($B45="","",IF($D45="Theo ngày",SUMIFS('CHAM_CONG_NGAY'!$E$6:$E$4655,'CHAM_CONG_NGAY'!$B$6:$B$4655,$B45,'CHAM_CONG_NGAY'!$C$6:$C$4655,"&gt;="&amp;'THAM_SO'!$B$6,'CHAM_CONG_NGAY'!$C$6:$C$4655,"&lt;="&amp;'THAM_SO'!$B$7),$E45))</f>
        <v/>
      </c>
      <c r="AD45" s="232">
        <f>IF($B45="","",IF($D45="Theo ngày",SUMIFS('CHAM_CONG_NGAY'!$F$6:$F$4655,'CHAM_CONG_NGAY'!$B$6:$B$4655,$B45,'CHAM_CONG_NGAY'!$C$6:$C$4655,"&gt;="&amp;'THAM_SO'!$B$6,'CHAM_CONG_NGAY'!$C$6:$C$4655,"&lt;="&amp;'THAM_SO'!$B$7),$F45))</f>
        <v/>
      </c>
      <c r="AE45" s="232">
        <f>IF($B45="","",IF($D45="Theo ngày",SUMIFS('CHAM_CONG_NGAY'!$G$6:$G$4655,'CHAM_CONG_NGAY'!$B$6:$B$4655,$B45,'CHAM_CONG_NGAY'!$C$6:$C$4655,"&gt;="&amp;'THAM_SO'!$B$6,'CHAM_CONG_NGAY'!$C$6:$C$4655,"&lt;="&amp;'THAM_SO'!$B$7),$G45))</f>
        <v/>
      </c>
      <c r="AF45" s="232">
        <f>IF($B45="","",IF($D45="Theo ngày",SUMIFS('CHAM_CONG_NGAY'!$H$6:$H$4655,'CHAM_CONG_NGAY'!$B$6:$B$4655,$B45,'CHAM_CONG_NGAY'!$C$6:$C$4655,"&gt;="&amp;'THAM_SO'!$B$6,'CHAM_CONG_NGAY'!$C$6:$C$4655,"&lt;="&amp;'THAM_SO'!$B$7),$H45))</f>
        <v/>
      </c>
      <c r="AG45" s="232">
        <f>IF($B45="","",IF($D45="Theo ngày",SUMIFS('CHAM_CONG_NGAY'!$I$6:$I$4655,'CHAM_CONG_NGAY'!$B$6:$B$4655,$B45,'CHAM_CONG_NGAY'!$C$6:$C$4655,"&gt;="&amp;'THAM_SO'!$B$6,'CHAM_CONG_NGAY'!$C$6:$C$4655,"&lt;="&amp;'THAM_SO'!$B$7),$I45))</f>
        <v/>
      </c>
      <c r="AH45" s="232">
        <f>IF($B45="","",IF($D45="Theo ngày",SUMIFS('CHAM_CONG_NGAY'!$J$6:$J$4655,'CHAM_CONG_NGAY'!$B$6:$B$4655,$B45,'CHAM_CONG_NGAY'!$C$6:$C$4655,"&gt;="&amp;'THAM_SO'!$B$6,'CHAM_CONG_NGAY'!$C$6:$C$4655,"&lt;="&amp;'THAM_SO'!$B$7),$J45))</f>
        <v/>
      </c>
      <c r="AI45" s="232">
        <f>IF($B45="","",IF($D45="Theo ngày",SUMIFS('CHAM_CONG_NGAY'!$K$6:$K$4655,'CHAM_CONG_NGAY'!$B$6:$B$4655,$B45,'CHAM_CONG_NGAY'!$C$6:$C$4655,"&gt;="&amp;'THAM_SO'!$B$6,'CHAM_CONG_NGAY'!$C$6:$C$4655,"&lt;="&amp;'THAM_SO'!$B$7),$K45))</f>
        <v/>
      </c>
      <c r="AJ45" s="232">
        <f>IF($B45="","",IF($D45="Theo ngày",SUMIFS('CHAM_CONG_NGAY'!$L$6:$L$4655,'CHAM_CONG_NGAY'!$B$6:$B$4655,$B45,'CHAM_CONG_NGAY'!$C$6:$C$4655,"&gt;="&amp;'THAM_SO'!$B$6,'CHAM_CONG_NGAY'!$C$6:$C$4655,"&lt;="&amp;'THAM_SO'!$B$7),$L45))</f>
        <v/>
      </c>
      <c r="AK45" s="232">
        <f>IF($B45="","",IF($D45="Theo ngày",SUMIFS('CHAM_CONG_NGAY'!$M$6:$M$4655,'CHAM_CONG_NGAY'!$B$6:$B$4655,$B45,'CHAM_CONG_NGAY'!$C$6:$C$4655,"&gt;="&amp;'THAM_SO'!$B$6,'CHAM_CONG_NGAY'!$C$6:$C$4655,"&lt;="&amp;'THAM_SO'!$B$7),$M45))</f>
        <v/>
      </c>
      <c r="AL45" s="227" t="n"/>
      <c r="AM45" s="227" t="n"/>
      <c r="AN45" s="227" t="n"/>
      <c r="AO45" s="227" t="n"/>
      <c r="AP45" s="227" t="n"/>
      <c r="AQ45" s="227" t="n"/>
      <c r="AR45" s="232">
        <f>IF($B45="","",IF($D45="Theo ngày",SUMIFS('CHAM_CONG_NGAY'!$O$6:$O$4655,'CHAM_CONG_NGAY'!$B$6:$B$4655,$B45,'CHAM_CONG_NGAY'!$C$6:$C$4655,"&gt;="&amp;'THAM_SO'!$B$6,'CHAM_CONG_NGAY'!$C$6:$C$4655,"&lt;="&amp;'THAM_SO'!$B$7),$AL45))</f>
        <v/>
      </c>
      <c r="AS45" s="232">
        <f>IF($B45="","",IF($D45="Theo ngày",SUMIFS('CHAM_CONG_NGAY'!$P$6:$P$4655,'CHAM_CONG_NGAY'!$B$6:$B$4655,$B45,'CHAM_CONG_NGAY'!$C$6:$C$4655,"&gt;="&amp;'THAM_SO'!$B$6,'CHAM_CONG_NGAY'!$C$6:$C$4655,"&lt;="&amp;'THAM_SO'!$B$7),$AM45))</f>
        <v/>
      </c>
      <c r="AT45" s="232">
        <f>IF($B45="","",IF($D45="Theo ngày",SUMIFS('CHAM_CONG_NGAY'!$Q$6:$Q$4655,'CHAM_CONG_NGAY'!$B$6:$B$4655,$B45,'CHAM_CONG_NGAY'!$C$6:$C$4655,"&gt;="&amp;'THAM_SO'!$B$6,'CHAM_CONG_NGAY'!$C$6:$C$4655,"&lt;="&amp;'THAM_SO'!$B$7),$AN45))</f>
        <v/>
      </c>
      <c r="AU45" s="232">
        <f>IF($B45="","",IF($D45="Theo ngày",SUMIFS('CHAM_CONG_NGAY'!$R$6:$R$4655,'CHAM_CONG_NGAY'!$B$6:$B$4655,$B45,'CHAM_CONG_NGAY'!$C$6:$C$4655,"&gt;="&amp;'THAM_SO'!$B$6,'CHAM_CONG_NGAY'!$C$6:$C$4655,"&lt;="&amp;'THAM_SO'!$B$7),$AO45))</f>
        <v/>
      </c>
      <c r="AV45" s="232">
        <f>IF($B45="","",IF($D45="Theo ngày",SUMIFS('CHAM_CONG_NGAY'!$S$6:$S$4655,'CHAM_CONG_NGAY'!$B$6:$B$4655,$B45,'CHAM_CONG_NGAY'!$C$6:$C$4655,"&gt;="&amp;'THAM_SO'!$B$6,'CHAM_CONG_NGAY'!$C$6:$C$4655,"&lt;="&amp;'THAM_SO'!$B$7),$AP45))</f>
        <v/>
      </c>
      <c r="AW45" s="232">
        <f>IF($B45="","",IF($D45="Theo ngày",SUMIFS('CHAM_CONG_NGAY'!$T$6:$T$4655,'CHAM_CONG_NGAY'!$B$6:$B$4655,$B45,'CHAM_CONG_NGAY'!$C$6:$C$4655,"&gt;="&amp;'THAM_SO'!$B$6,'CHAM_CONG_NGAY'!$C$6:$C$4655,"&lt;="&amp;'THAM_SO'!$B$7),$AQ45))</f>
        <v/>
      </c>
    </row>
    <row r="46">
      <c r="A46" s="145">
        <f>IF($B46="","",ROW()-5)</f>
        <v/>
      </c>
      <c r="B46" s="145">
        <f>IF('DM_NHAN_SU'!B46="","",'DM_NHAN_SU'!B46)</f>
        <v/>
      </c>
      <c r="C46" s="145">
        <f>IF('DM_NHAN_SU'!B46="","",'DM_NHAN_SU'!C46)</f>
        <v/>
      </c>
      <c r="D46" s="127" t="n"/>
      <c r="E46" s="227" t="n"/>
      <c r="F46" s="227" t="n"/>
      <c r="G46" s="227" t="n"/>
      <c r="H46" s="227" t="n"/>
      <c r="I46" s="227" t="n"/>
      <c r="J46" s="227" t="n"/>
      <c r="K46" s="227" t="n"/>
      <c r="L46" s="227" t="n"/>
      <c r="M46" s="227" t="n"/>
      <c r="N46" s="227" t="n"/>
      <c r="O46" s="222" t="n"/>
      <c r="P46" s="222" t="n"/>
      <c r="Q46" s="222" t="n"/>
      <c r="R46" s="222" t="n"/>
      <c r="S46" s="222" t="n"/>
      <c r="T46" s="222" t="n"/>
      <c r="U46" s="222" t="n"/>
      <c r="V46" s="222" t="n"/>
      <c r="W46" s="222" t="n"/>
      <c r="X46" s="222" t="n"/>
      <c r="Y46" s="222" t="n"/>
      <c r="Z46" s="222" t="n"/>
      <c r="AA46" s="127" t="n"/>
      <c r="AB46" s="127" t="n"/>
      <c r="AC46" s="232">
        <f>IF($B46="","",IF($D46="Theo ngày",SUMIFS('CHAM_CONG_NGAY'!$E$6:$E$4655,'CHAM_CONG_NGAY'!$B$6:$B$4655,$B46,'CHAM_CONG_NGAY'!$C$6:$C$4655,"&gt;="&amp;'THAM_SO'!$B$6,'CHAM_CONG_NGAY'!$C$6:$C$4655,"&lt;="&amp;'THAM_SO'!$B$7),$E46))</f>
        <v/>
      </c>
      <c r="AD46" s="232">
        <f>IF($B46="","",IF($D46="Theo ngày",SUMIFS('CHAM_CONG_NGAY'!$F$6:$F$4655,'CHAM_CONG_NGAY'!$B$6:$B$4655,$B46,'CHAM_CONG_NGAY'!$C$6:$C$4655,"&gt;="&amp;'THAM_SO'!$B$6,'CHAM_CONG_NGAY'!$C$6:$C$4655,"&lt;="&amp;'THAM_SO'!$B$7),$F46))</f>
        <v/>
      </c>
      <c r="AE46" s="232">
        <f>IF($B46="","",IF($D46="Theo ngày",SUMIFS('CHAM_CONG_NGAY'!$G$6:$G$4655,'CHAM_CONG_NGAY'!$B$6:$B$4655,$B46,'CHAM_CONG_NGAY'!$C$6:$C$4655,"&gt;="&amp;'THAM_SO'!$B$6,'CHAM_CONG_NGAY'!$C$6:$C$4655,"&lt;="&amp;'THAM_SO'!$B$7),$G46))</f>
        <v/>
      </c>
      <c r="AF46" s="232">
        <f>IF($B46="","",IF($D46="Theo ngày",SUMIFS('CHAM_CONG_NGAY'!$H$6:$H$4655,'CHAM_CONG_NGAY'!$B$6:$B$4655,$B46,'CHAM_CONG_NGAY'!$C$6:$C$4655,"&gt;="&amp;'THAM_SO'!$B$6,'CHAM_CONG_NGAY'!$C$6:$C$4655,"&lt;="&amp;'THAM_SO'!$B$7),$H46))</f>
        <v/>
      </c>
      <c r="AG46" s="232">
        <f>IF($B46="","",IF($D46="Theo ngày",SUMIFS('CHAM_CONG_NGAY'!$I$6:$I$4655,'CHAM_CONG_NGAY'!$B$6:$B$4655,$B46,'CHAM_CONG_NGAY'!$C$6:$C$4655,"&gt;="&amp;'THAM_SO'!$B$6,'CHAM_CONG_NGAY'!$C$6:$C$4655,"&lt;="&amp;'THAM_SO'!$B$7),$I46))</f>
        <v/>
      </c>
      <c r="AH46" s="232">
        <f>IF($B46="","",IF($D46="Theo ngày",SUMIFS('CHAM_CONG_NGAY'!$J$6:$J$4655,'CHAM_CONG_NGAY'!$B$6:$B$4655,$B46,'CHAM_CONG_NGAY'!$C$6:$C$4655,"&gt;="&amp;'THAM_SO'!$B$6,'CHAM_CONG_NGAY'!$C$6:$C$4655,"&lt;="&amp;'THAM_SO'!$B$7),$J46))</f>
        <v/>
      </c>
      <c r="AI46" s="232">
        <f>IF($B46="","",IF($D46="Theo ngày",SUMIFS('CHAM_CONG_NGAY'!$K$6:$K$4655,'CHAM_CONG_NGAY'!$B$6:$B$4655,$B46,'CHAM_CONG_NGAY'!$C$6:$C$4655,"&gt;="&amp;'THAM_SO'!$B$6,'CHAM_CONG_NGAY'!$C$6:$C$4655,"&lt;="&amp;'THAM_SO'!$B$7),$K46))</f>
        <v/>
      </c>
      <c r="AJ46" s="232">
        <f>IF($B46="","",IF($D46="Theo ngày",SUMIFS('CHAM_CONG_NGAY'!$L$6:$L$4655,'CHAM_CONG_NGAY'!$B$6:$B$4655,$B46,'CHAM_CONG_NGAY'!$C$6:$C$4655,"&gt;="&amp;'THAM_SO'!$B$6,'CHAM_CONG_NGAY'!$C$6:$C$4655,"&lt;="&amp;'THAM_SO'!$B$7),$L46))</f>
        <v/>
      </c>
      <c r="AK46" s="232">
        <f>IF($B46="","",IF($D46="Theo ngày",SUMIFS('CHAM_CONG_NGAY'!$M$6:$M$4655,'CHAM_CONG_NGAY'!$B$6:$B$4655,$B46,'CHAM_CONG_NGAY'!$C$6:$C$4655,"&gt;="&amp;'THAM_SO'!$B$6,'CHAM_CONG_NGAY'!$C$6:$C$4655,"&lt;="&amp;'THAM_SO'!$B$7),$M46))</f>
        <v/>
      </c>
      <c r="AL46" s="227" t="n"/>
      <c r="AM46" s="227" t="n"/>
      <c r="AN46" s="227" t="n"/>
      <c r="AO46" s="227" t="n"/>
      <c r="AP46" s="227" t="n"/>
      <c r="AQ46" s="227" t="n"/>
      <c r="AR46" s="232">
        <f>IF($B46="","",IF($D46="Theo ngày",SUMIFS('CHAM_CONG_NGAY'!$O$6:$O$4655,'CHAM_CONG_NGAY'!$B$6:$B$4655,$B46,'CHAM_CONG_NGAY'!$C$6:$C$4655,"&gt;="&amp;'THAM_SO'!$B$6,'CHAM_CONG_NGAY'!$C$6:$C$4655,"&lt;="&amp;'THAM_SO'!$B$7),$AL46))</f>
        <v/>
      </c>
      <c r="AS46" s="232">
        <f>IF($B46="","",IF($D46="Theo ngày",SUMIFS('CHAM_CONG_NGAY'!$P$6:$P$4655,'CHAM_CONG_NGAY'!$B$6:$B$4655,$B46,'CHAM_CONG_NGAY'!$C$6:$C$4655,"&gt;="&amp;'THAM_SO'!$B$6,'CHAM_CONG_NGAY'!$C$6:$C$4655,"&lt;="&amp;'THAM_SO'!$B$7),$AM46))</f>
        <v/>
      </c>
      <c r="AT46" s="232">
        <f>IF($B46="","",IF($D46="Theo ngày",SUMIFS('CHAM_CONG_NGAY'!$Q$6:$Q$4655,'CHAM_CONG_NGAY'!$B$6:$B$4655,$B46,'CHAM_CONG_NGAY'!$C$6:$C$4655,"&gt;="&amp;'THAM_SO'!$B$6,'CHAM_CONG_NGAY'!$C$6:$C$4655,"&lt;="&amp;'THAM_SO'!$B$7),$AN46))</f>
        <v/>
      </c>
      <c r="AU46" s="232">
        <f>IF($B46="","",IF($D46="Theo ngày",SUMIFS('CHAM_CONG_NGAY'!$R$6:$R$4655,'CHAM_CONG_NGAY'!$B$6:$B$4655,$B46,'CHAM_CONG_NGAY'!$C$6:$C$4655,"&gt;="&amp;'THAM_SO'!$B$6,'CHAM_CONG_NGAY'!$C$6:$C$4655,"&lt;="&amp;'THAM_SO'!$B$7),$AO46))</f>
        <v/>
      </c>
      <c r="AV46" s="232">
        <f>IF($B46="","",IF($D46="Theo ngày",SUMIFS('CHAM_CONG_NGAY'!$S$6:$S$4655,'CHAM_CONG_NGAY'!$B$6:$B$4655,$B46,'CHAM_CONG_NGAY'!$C$6:$C$4655,"&gt;="&amp;'THAM_SO'!$B$6,'CHAM_CONG_NGAY'!$C$6:$C$4655,"&lt;="&amp;'THAM_SO'!$B$7),$AP46))</f>
        <v/>
      </c>
      <c r="AW46" s="232">
        <f>IF($B46="","",IF($D46="Theo ngày",SUMIFS('CHAM_CONG_NGAY'!$T$6:$T$4655,'CHAM_CONG_NGAY'!$B$6:$B$4655,$B46,'CHAM_CONG_NGAY'!$C$6:$C$4655,"&gt;="&amp;'THAM_SO'!$B$6,'CHAM_CONG_NGAY'!$C$6:$C$4655,"&lt;="&amp;'THAM_SO'!$B$7),$AQ46))</f>
        <v/>
      </c>
    </row>
    <row r="47">
      <c r="A47" s="145">
        <f>IF($B47="","",ROW()-5)</f>
        <v/>
      </c>
      <c r="B47" s="145">
        <f>IF('DM_NHAN_SU'!B47="","",'DM_NHAN_SU'!B47)</f>
        <v/>
      </c>
      <c r="C47" s="145">
        <f>IF('DM_NHAN_SU'!B47="","",'DM_NHAN_SU'!C47)</f>
        <v/>
      </c>
      <c r="D47" s="127" t="n"/>
      <c r="E47" s="227" t="n"/>
      <c r="F47" s="227" t="n"/>
      <c r="G47" s="227" t="n"/>
      <c r="H47" s="227" t="n"/>
      <c r="I47" s="227" t="n"/>
      <c r="J47" s="227" t="n"/>
      <c r="K47" s="227" t="n"/>
      <c r="L47" s="227" t="n"/>
      <c r="M47" s="227" t="n"/>
      <c r="N47" s="227" t="n"/>
      <c r="O47" s="222" t="n"/>
      <c r="P47" s="222" t="n"/>
      <c r="Q47" s="222" t="n"/>
      <c r="R47" s="222" t="n"/>
      <c r="S47" s="222" t="n"/>
      <c r="T47" s="222" t="n"/>
      <c r="U47" s="222" t="n"/>
      <c r="V47" s="222" t="n"/>
      <c r="W47" s="222" t="n"/>
      <c r="X47" s="222" t="n"/>
      <c r="Y47" s="222" t="n"/>
      <c r="Z47" s="222" t="n"/>
      <c r="AA47" s="127" t="n"/>
      <c r="AB47" s="127" t="n"/>
      <c r="AC47" s="232">
        <f>IF($B47="","",IF($D47="Theo ngày",SUMIFS('CHAM_CONG_NGAY'!$E$6:$E$4655,'CHAM_CONG_NGAY'!$B$6:$B$4655,$B47,'CHAM_CONG_NGAY'!$C$6:$C$4655,"&gt;="&amp;'THAM_SO'!$B$6,'CHAM_CONG_NGAY'!$C$6:$C$4655,"&lt;="&amp;'THAM_SO'!$B$7),$E47))</f>
        <v/>
      </c>
      <c r="AD47" s="232">
        <f>IF($B47="","",IF($D47="Theo ngày",SUMIFS('CHAM_CONG_NGAY'!$F$6:$F$4655,'CHAM_CONG_NGAY'!$B$6:$B$4655,$B47,'CHAM_CONG_NGAY'!$C$6:$C$4655,"&gt;="&amp;'THAM_SO'!$B$6,'CHAM_CONG_NGAY'!$C$6:$C$4655,"&lt;="&amp;'THAM_SO'!$B$7),$F47))</f>
        <v/>
      </c>
      <c r="AE47" s="232">
        <f>IF($B47="","",IF($D47="Theo ngày",SUMIFS('CHAM_CONG_NGAY'!$G$6:$G$4655,'CHAM_CONG_NGAY'!$B$6:$B$4655,$B47,'CHAM_CONG_NGAY'!$C$6:$C$4655,"&gt;="&amp;'THAM_SO'!$B$6,'CHAM_CONG_NGAY'!$C$6:$C$4655,"&lt;="&amp;'THAM_SO'!$B$7),$G47))</f>
        <v/>
      </c>
      <c r="AF47" s="232">
        <f>IF($B47="","",IF($D47="Theo ngày",SUMIFS('CHAM_CONG_NGAY'!$H$6:$H$4655,'CHAM_CONG_NGAY'!$B$6:$B$4655,$B47,'CHAM_CONG_NGAY'!$C$6:$C$4655,"&gt;="&amp;'THAM_SO'!$B$6,'CHAM_CONG_NGAY'!$C$6:$C$4655,"&lt;="&amp;'THAM_SO'!$B$7),$H47))</f>
        <v/>
      </c>
      <c r="AG47" s="232">
        <f>IF($B47="","",IF($D47="Theo ngày",SUMIFS('CHAM_CONG_NGAY'!$I$6:$I$4655,'CHAM_CONG_NGAY'!$B$6:$B$4655,$B47,'CHAM_CONG_NGAY'!$C$6:$C$4655,"&gt;="&amp;'THAM_SO'!$B$6,'CHAM_CONG_NGAY'!$C$6:$C$4655,"&lt;="&amp;'THAM_SO'!$B$7),$I47))</f>
        <v/>
      </c>
      <c r="AH47" s="232">
        <f>IF($B47="","",IF($D47="Theo ngày",SUMIFS('CHAM_CONG_NGAY'!$J$6:$J$4655,'CHAM_CONG_NGAY'!$B$6:$B$4655,$B47,'CHAM_CONG_NGAY'!$C$6:$C$4655,"&gt;="&amp;'THAM_SO'!$B$6,'CHAM_CONG_NGAY'!$C$6:$C$4655,"&lt;="&amp;'THAM_SO'!$B$7),$J47))</f>
        <v/>
      </c>
      <c r="AI47" s="232">
        <f>IF($B47="","",IF($D47="Theo ngày",SUMIFS('CHAM_CONG_NGAY'!$K$6:$K$4655,'CHAM_CONG_NGAY'!$B$6:$B$4655,$B47,'CHAM_CONG_NGAY'!$C$6:$C$4655,"&gt;="&amp;'THAM_SO'!$B$6,'CHAM_CONG_NGAY'!$C$6:$C$4655,"&lt;="&amp;'THAM_SO'!$B$7),$K47))</f>
        <v/>
      </c>
      <c r="AJ47" s="232">
        <f>IF($B47="","",IF($D47="Theo ngày",SUMIFS('CHAM_CONG_NGAY'!$L$6:$L$4655,'CHAM_CONG_NGAY'!$B$6:$B$4655,$B47,'CHAM_CONG_NGAY'!$C$6:$C$4655,"&gt;="&amp;'THAM_SO'!$B$6,'CHAM_CONG_NGAY'!$C$6:$C$4655,"&lt;="&amp;'THAM_SO'!$B$7),$L47))</f>
        <v/>
      </c>
      <c r="AK47" s="232">
        <f>IF($B47="","",IF($D47="Theo ngày",SUMIFS('CHAM_CONG_NGAY'!$M$6:$M$4655,'CHAM_CONG_NGAY'!$B$6:$B$4655,$B47,'CHAM_CONG_NGAY'!$C$6:$C$4655,"&gt;="&amp;'THAM_SO'!$B$6,'CHAM_CONG_NGAY'!$C$6:$C$4655,"&lt;="&amp;'THAM_SO'!$B$7),$M47))</f>
        <v/>
      </c>
      <c r="AL47" s="227" t="n"/>
      <c r="AM47" s="227" t="n"/>
      <c r="AN47" s="227" t="n"/>
      <c r="AO47" s="227" t="n"/>
      <c r="AP47" s="227" t="n"/>
      <c r="AQ47" s="227" t="n"/>
      <c r="AR47" s="232">
        <f>IF($B47="","",IF($D47="Theo ngày",SUMIFS('CHAM_CONG_NGAY'!$O$6:$O$4655,'CHAM_CONG_NGAY'!$B$6:$B$4655,$B47,'CHAM_CONG_NGAY'!$C$6:$C$4655,"&gt;="&amp;'THAM_SO'!$B$6,'CHAM_CONG_NGAY'!$C$6:$C$4655,"&lt;="&amp;'THAM_SO'!$B$7),$AL47))</f>
        <v/>
      </c>
      <c r="AS47" s="232">
        <f>IF($B47="","",IF($D47="Theo ngày",SUMIFS('CHAM_CONG_NGAY'!$P$6:$P$4655,'CHAM_CONG_NGAY'!$B$6:$B$4655,$B47,'CHAM_CONG_NGAY'!$C$6:$C$4655,"&gt;="&amp;'THAM_SO'!$B$6,'CHAM_CONG_NGAY'!$C$6:$C$4655,"&lt;="&amp;'THAM_SO'!$B$7),$AM47))</f>
        <v/>
      </c>
      <c r="AT47" s="232">
        <f>IF($B47="","",IF($D47="Theo ngày",SUMIFS('CHAM_CONG_NGAY'!$Q$6:$Q$4655,'CHAM_CONG_NGAY'!$B$6:$B$4655,$B47,'CHAM_CONG_NGAY'!$C$6:$C$4655,"&gt;="&amp;'THAM_SO'!$B$6,'CHAM_CONG_NGAY'!$C$6:$C$4655,"&lt;="&amp;'THAM_SO'!$B$7),$AN47))</f>
        <v/>
      </c>
      <c r="AU47" s="232">
        <f>IF($B47="","",IF($D47="Theo ngày",SUMIFS('CHAM_CONG_NGAY'!$R$6:$R$4655,'CHAM_CONG_NGAY'!$B$6:$B$4655,$B47,'CHAM_CONG_NGAY'!$C$6:$C$4655,"&gt;="&amp;'THAM_SO'!$B$6,'CHAM_CONG_NGAY'!$C$6:$C$4655,"&lt;="&amp;'THAM_SO'!$B$7),$AO47))</f>
        <v/>
      </c>
      <c r="AV47" s="232">
        <f>IF($B47="","",IF($D47="Theo ngày",SUMIFS('CHAM_CONG_NGAY'!$S$6:$S$4655,'CHAM_CONG_NGAY'!$B$6:$B$4655,$B47,'CHAM_CONG_NGAY'!$C$6:$C$4655,"&gt;="&amp;'THAM_SO'!$B$6,'CHAM_CONG_NGAY'!$C$6:$C$4655,"&lt;="&amp;'THAM_SO'!$B$7),$AP47))</f>
        <v/>
      </c>
      <c r="AW47" s="232">
        <f>IF($B47="","",IF($D47="Theo ngày",SUMIFS('CHAM_CONG_NGAY'!$T$6:$T$4655,'CHAM_CONG_NGAY'!$B$6:$B$4655,$B47,'CHAM_CONG_NGAY'!$C$6:$C$4655,"&gt;="&amp;'THAM_SO'!$B$6,'CHAM_CONG_NGAY'!$C$6:$C$4655,"&lt;="&amp;'THAM_SO'!$B$7),$AQ47))</f>
        <v/>
      </c>
    </row>
    <row r="48">
      <c r="A48" s="145">
        <f>IF($B48="","",ROW()-5)</f>
        <v/>
      </c>
      <c r="B48" s="145">
        <f>IF('DM_NHAN_SU'!B48="","",'DM_NHAN_SU'!B48)</f>
        <v/>
      </c>
      <c r="C48" s="145">
        <f>IF('DM_NHAN_SU'!B48="","",'DM_NHAN_SU'!C48)</f>
        <v/>
      </c>
      <c r="D48" s="127" t="n"/>
      <c r="E48" s="227" t="n"/>
      <c r="F48" s="227" t="n"/>
      <c r="G48" s="227" t="n"/>
      <c r="H48" s="227" t="n"/>
      <c r="I48" s="227" t="n"/>
      <c r="J48" s="227" t="n"/>
      <c r="K48" s="227" t="n"/>
      <c r="L48" s="227" t="n"/>
      <c r="M48" s="227" t="n"/>
      <c r="N48" s="227" t="n"/>
      <c r="O48" s="222" t="n"/>
      <c r="P48" s="222" t="n"/>
      <c r="Q48" s="222" t="n"/>
      <c r="R48" s="222" t="n"/>
      <c r="S48" s="222" t="n"/>
      <c r="T48" s="222" t="n"/>
      <c r="U48" s="222" t="n"/>
      <c r="V48" s="222" t="n"/>
      <c r="W48" s="222" t="n"/>
      <c r="X48" s="222" t="n"/>
      <c r="Y48" s="222" t="n"/>
      <c r="Z48" s="222" t="n"/>
      <c r="AA48" s="127" t="n"/>
      <c r="AB48" s="127" t="n"/>
      <c r="AC48" s="232">
        <f>IF($B48="","",IF($D48="Theo ngày",SUMIFS('CHAM_CONG_NGAY'!$E$6:$E$4655,'CHAM_CONG_NGAY'!$B$6:$B$4655,$B48,'CHAM_CONG_NGAY'!$C$6:$C$4655,"&gt;="&amp;'THAM_SO'!$B$6,'CHAM_CONG_NGAY'!$C$6:$C$4655,"&lt;="&amp;'THAM_SO'!$B$7),$E48))</f>
        <v/>
      </c>
      <c r="AD48" s="232">
        <f>IF($B48="","",IF($D48="Theo ngày",SUMIFS('CHAM_CONG_NGAY'!$F$6:$F$4655,'CHAM_CONG_NGAY'!$B$6:$B$4655,$B48,'CHAM_CONG_NGAY'!$C$6:$C$4655,"&gt;="&amp;'THAM_SO'!$B$6,'CHAM_CONG_NGAY'!$C$6:$C$4655,"&lt;="&amp;'THAM_SO'!$B$7),$F48))</f>
        <v/>
      </c>
      <c r="AE48" s="232">
        <f>IF($B48="","",IF($D48="Theo ngày",SUMIFS('CHAM_CONG_NGAY'!$G$6:$G$4655,'CHAM_CONG_NGAY'!$B$6:$B$4655,$B48,'CHAM_CONG_NGAY'!$C$6:$C$4655,"&gt;="&amp;'THAM_SO'!$B$6,'CHAM_CONG_NGAY'!$C$6:$C$4655,"&lt;="&amp;'THAM_SO'!$B$7),$G48))</f>
        <v/>
      </c>
      <c r="AF48" s="232">
        <f>IF($B48="","",IF($D48="Theo ngày",SUMIFS('CHAM_CONG_NGAY'!$H$6:$H$4655,'CHAM_CONG_NGAY'!$B$6:$B$4655,$B48,'CHAM_CONG_NGAY'!$C$6:$C$4655,"&gt;="&amp;'THAM_SO'!$B$6,'CHAM_CONG_NGAY'!$C$6:$C$4655,"&lt;="&amp;'THAM_SO'!$B$7),$H48))</f>
        <v/>
      </c>
      <c r="AG48" s="232">
        <f>IF($B48="","",IF($D48="Theo ngày",SUMIFS('CHAM_CONG_NGAY'!$I$6:$I$4655,'CHAM_CONG_NGAY'!$B$6:$B$4655,$B48,'CHAM_CONG_NGAY'!$C$6:$C$4655,"&gt;="&amp;'THAM_SO'!$B$6,'CHAM_CONG_NGAY'!$C$6:$C$4655,"&lt;="&amp;'THAM_SO'!$B$7),$I48))</f>
        <v/>
      </c>
      <c r="AH48" s="232">
        <f>IF($B48="","",IF($D48="Theo ngày",SUMIFS('CHAM_CONG_NGAY'!$J$6:$J$4655,'CHAM_CONG_NGAY'!$B$6:$B$4655,$B48,'CHAM_CONG_NGAY'!$C$6:$C$4655,"&gt;="&amp;'THAM_SO'!$B$6,'CHAM_CONG_NGAY'!$C$6:$C$4655,"&lt;="&amp;'THAM_SO'!$B$7),$J48))</f>
        <v/>
      </c>
      <c r="AI48" s="232">
        <f>IF($B48="","",IF($D48="Theo ngày",SUMIFS('CHAM_CONG_NGAY'!$K$6:$K$4655,'CHAM_CONG_NGAY'!$B$6:$B$4655,$B48,'CHAM_CONG_NGAY'!$C$6:$C$4655,"&gt;="&amp;'THAM_SO'!$B$6,'CHAM_CONG_NGAY'!$C$6:$C$4655,"&lt;="&amp;'THAM_SO'!$B$7),$K48))</f>
        <v/>
      </c>
      <c r="AJ48" s="232">
        <f>IF($B48="","",IF($D48="Theo ngày",SUMIFS('CHAM_CONG_NGAY'!$L$6:$L$4655,'CHAM_CONG_NGAY'!$B$6:$B$4655,$B48,'CHAM_CONG_NGAY'!$C$6:$C$4655,"&gt;="&amp;'THAM_SO'!$B$6,'CHAM_CONG_NGAY'!$C$6:$C$4655,"&lt;="&amp;'THAM_SO'!$B$7),$L48))</f>
        <v/>
      </c>
      <c r="AK48" s="232">
        <f>IF($B48="","",IF($D48="Theo ngày",SUMIFS('CHAM_CONG_NGAY'!$M$6:$M$4655,'CHAM_CONG_NGAY'!$B$6:$B$4655,$B48,'CHAM_CONG_NGAY'!$C$6:$C$4655,"&gt;="&amp;'THAM_SO'!$B$6,'CHAM_CONG_NGAY'!$C$6:$C$4655,"&lt;="&amp;'THAM_SO'!$B$7),$M48))</f>
        <v/>
      </c>
      <c r="AL48" s="227" t="n"/>
      <c r="AM48" s="227" t="n"/>
      <c r="AN48" s="227" t="n"/>
      <c r="AO48" s="227" t="n"/>
      <c r="AP48" s="227" t="n"/>
      <c r="AQ48" s="227" t="n"/>
      <c r="AR48" s="232">
        <f>IF($B48="","",IF($D48="Theo ngày",SUMIFS('CHAM_CONG_NGAY'!$O$6:$O$4655,'CHAM_CONG_NGAY'!$B$6:$B$4655,$B48,'CHAM_CONG_NGAY'!$C$6:$C$4655,"&gt;="&amp;'THAM_SO'!$B$6,'CHAM_CONG_NGAY'!$C$6:$C$4655,"&lt;="&amp;'THAM_SO'!$B$7),$AL48))</f>
        <v/>
      </c>
      <c r="AS48" s="232">
        <f>IF($B48="","",IF($D48="Theo ngày",SUMIFS('CHAM_CONG_NGAY'!$P$6:$P$4655,'CHAM_CONG_NGAY'!$B$6:$B$4655,$B48,'CHAM_CONG_NGAY'!$C$6:$C$4655,"&gt;="&amp;'THAM_SO'!$B$6,'CHAM_CONG_NGAY'!$C$6:$C$4655,"&lt;="&amp;'THAM_SO'!$B$7),$AM48))</f>
        <v/>
      </c>
      <c r="AT48" s="232">
        <f>IF($B48="","",IF($D48="Theo ngày",SUMIFS('CHAM_CONG_NGAY'!$Q$6:$Q$4655,'CHAM_CONG_NGAY'!$B$6:$B$4655,$B48,'CHAM_CONG_NGAY'!$C$6:$C$4655,"&gt;="&amp;'THAM_SO'!$B$6,'CHAM_CONG_NGAY'!$C$6:$C$4655,"&lt;="&amp;'THAM_SO'!$B$7),$AN48))</f>
        <v/>
      </c>
      <c r="AU48" s="232">
        <f>IF($B48="","",IF($D48="Theo ngày",SUMIFS('CHAM_CONG_NGAY'!$R$6:$R$4655,'CHAM_CONG_NGAY'!$B$6:$B$4655,$B48,'CHAM_CONG_NGAY'!$C$6:$C$4655,"&gt;="&amp;'THAM_SO'!$B$6,'CHAM_CONG_NGAY'!$C$6:$C$4655,"&lt;="&amp;'THAM_SO'!$B$7),$AO48))</f>
        <v/>
      </c>
      <c r="AV48" s="232">
        <f>IF($B48="","",IF($D48="Theo ngày",SUMIFS('CHAM_CONG_NGAY'!$S$6:$S$4655,'CHAM_CONG_NGAY'!$B$6:$B$4655,$B48,'CHAM_CONG_NGAY'!$C$6:$C$4655,"&gt;="&amp;'THAM_SO'!$B$6,'CHAM_CONG_NGAY'!$C$6:$C$4655,"&lt;="&amp;'THAM_SO'!$B$7),$AP48))</f>
        <v/>
      </c>
      <c r="AW48" s="232">
        <f>IF($B48="","",IF($D48="Theo ngày",SUMIFS('CHAM_CONG_NGAY'!$T$6:$T$4655,'CHAM_CONG_NGAY'!$B$6:$B$4655,$B48,'CHAM_CONG_NGAY'!$C$6:$C$4655,"&gt;="&amp;'THAM_SO'!$B$6,'CHAM_CONG_NGAY'!$C$6:$C$4655,"&lt;="&amp;'THAM_SO'!$B$7),$AQ48))</f>
        <v/>
      </c>
    </row>
    <row r="49">
      <c r="A49" s="145">
        <f>IF($B49="","",ROW()-5)</f>
        <v/>
      </c>
      <c r="B49" s="145">
        <f>IF('DM_NHAN_SU'!B49="","",'DM_NHAN_SU'!B49)</f>
        <v/>
      </c>
      <c r="C49" s="145">
        <f>IF('DM_NHAN_SU'!B49="","",'DM_NHAN_SU'!C49)</f>
        <v/>
      </c>
      <c r="D49" s="127" t="n"/>
      <c r="E49" s="227" t="n"/>
      <c r="F49" s="227" t="n"/>
      <c r="G49" s="227" t="n"/>
      <c r="H49" s="227" t="n"/>
      <c r="I49" s="227" t="n"/>
      <c r="J49" s="227" t="n"/>
      <c r="K49" s="227" t="n"/>
      <c r="L49" s="227" t="n"/>
      <c r="M49" s="227" t="n"/>
      <c r="N49" s="227" t="n"/>
      <c r="O49" s="222" t="n"/>
      <c r="P49" s="222" t="n"/>
      <c r="Q49" s="222" t="n"/>
      <c r="R49" s="222" t="n"/>
      <c r="S49" s="222" t="n"/>
      <c r="T49" s="222" t="n"/>
      <c r="U49" s="222" t="n"/>
      <c r="V49" s="222" t="n"/>
      <c r="W49" s="222" t="n"/>
      <c r="X49" s="222" t="n"/>
      <c r="Y49" s="222" t="n"/>
      <c r="Z49" s="222" t="n"/>
      <c r="AA49" s="127" t="n"/>
      <c r="AB49" s="127" t="n"/>
      <c r="AC49" s="232">
        <f>IF($B49="","",IF($D49="Theo ngày",SUMIFS('CHAM_CONG_NGAY'!$E$6:$E$4655,'CHAM_CONG_NGAY'!$B$6:$B$4655,$B49,'CHAM_CONG_NGAY'!$C$6:$C$4655,"&gt;="&amp;'THAM_SO'!$B$6,'CHAM_CONG_NGAY'!$C$6:$C$4655,"&lt;="&amp;'THAM_SO'!$B$7),$E49))</f>
        <v/>
      </c>
      <c r="AD49" s="232">
        <f>IF($B49="","",IF($D49="Theo ngày",SUMIFS('CHAM_CONG_NGAY'!$F$6:$F$4655,'CHAM_CONG_NGAY'!$B$6:$B$4655,$B49,'CHAM_CONG_NGAY'!$C$6:$C$4655,"&gt;="&amp;'THAM_SO'!$B$6,'CHAM_CONG_NGAY'!$C$6:$C$4655,"&lt;="&amp;'THAM_SO'!$B$7),$F49))</f>
        <v/>
      </c>
      <c r="AE49" s="232">
        <f>IF($B49="","",IF($D49="Theo ngày",SUMIFS('CHAM_CONG_NGAY'!$G$6:$G$4655,'CHAM_CONG_NGAY'!$B$6:$B$4655,$B49,'CHAM_CONG_NGAY'!$C$6:$C$4655,"&gt;="&amp;'THAM_SO'!$B$6,'CHAM_CONG_NGAY'!$C$6:$C$4655,"&lt;="&amp;'THAM_SO'!$B$7),$G49))</f>
        <v/>
      </c>
      <c r="AF49" s="232">
        <f>IF($B49="","",IF($D49="Theo ngày",SUMIFS('CHAM_CONG_NGAY'!$H$6:$H$4655,'CHAM_CONG_NGAY'!$B$6:$B$4655,$B49,'CHAM_CONG_NGAY'!$C$6:$C$4655,"&gt;="&amp;'THAM_SO'!$B$6,'CHAM_CONG_NGAY'!$C$6:$C$4655,"&lt;="&amp;'THAM_SO'!$B$7),$H49))</f>
        <v/>
      </c>
      <c r="AG49" s="232">
        <f>IF($B49="","",IF($D49="Theo ngày",SUMIFS('CHAM_CONG_NGAY'!$I$6:$I$4655,'CHAM_CONG_NGAY'!$B$6:$B$4655,$B49,'CHAM_CONG_NGAY'!$C$6:$C$4655,"&gt;="&amp;'THAM_SO'!$B$6,'CHAM_CONG_NGAY'!$C$6:$C$4655,"&lt;="&amp;'THAM_SO'!$B$7),$I49))</f>
        <v/>
      </c>
      <c r="AH49" s="232">
        <f>IF($B49="","",IF($D49="Theo ngày",SUMIFS('CHAM_CONG_NGAY'!$J$6:$J$4655,'CHAM_CONG_NGAY'!$B$6:$B$4655,$B49,'CHAM_CONG_NGAY'!$C$6:$C$4655,"&gt;="&amp;'THAM_SO'!$B$6,'CHAM_CONG_NGAY'!$C$6:$C$4655,"&lt;="&amp;'THAM_SO'!$B$7),$J49))</f>
        <v/>
      </c>
      <c r="AI49" s="232">
        <f>IF($B49="","",IF($D49="Theo ngày",SUMIFS('CHAM_CONG_NGAY'!$K$6:$K$4655,'CHAM_CONG_NGAY'!$B$6:$B$4655,$B49,'CHAM_CONG_NGAY'!$C$6:$C$4655,"&gt;="&amp;'THAM_SO'!$B$6,'CHAM_CONG_NGAY'!$C$6:$C$4655,"&lt;="&amp;'THAM_SO'!$B$7),$K49))</f>
        <v/>
      </c>
      <c r="AJ49" s="232">
        <f>IF($B49="","",IF($D49="Theo ngày",SUMIFS('CHAM_CONG_NGAY'!$L$6:$L$4655,'CHAM_CONG_NGAY'!$B$6:$B$4655,$B49,'CHAM_CONG_NGAY'!$C$6:$C$4655,"&gt;="&amp;'THAM_SO'!$B$6,'CHAM_CONG_NGAY'!$C$6:$C$4655,"&lt;="&amp;'THAM_SO'!$B$7),$L49))</f>
        <v/>
      </c>
      <c r="AK49" s="232">
        <f>IF($B49="","",IF($D49="Theo ngày",SUMIFS('CHAM_CONG_NGAY'!$M$6:$M$4655,'CHAM_CONG_NGAY'!$B$6:$B$4655,$B49,'CHAM_CONG_NGAY'!$C$6:$C$4655,"&gt;="&amp;'THAM_SO'!$B$6,'CHAM_CONG_NGAY'!$C$6:$C$4655,"&lt;="&amp;'THAM_SO'!$B$7),$M49))</f>
        <v/>
      </c>
      <c r="AL49" s="227" t="n"/>
      <c r="AM49" s="227" t="n"/>
      <c r="AN49" s="227" t="n"/>
      <c r="AO49" s="227" t="n"/>
      <c r="AP49" s="227" t="n"/>
      <c r="AQ49" s="227" t="n"/>
      <c r="AR49" s="232">
        <f>IF($B49="","",IF($D49="Theo ngày",SUMIFS('CHAM_CONG_NGAY'!$O$6:$O$4655,'CHAM_CONG_NGAY'!$B$6:$B$4655,$B49,'CHAM_CONG_NGAY'!$C$6:$C$4655,"&gt;="&amp;'THAM_SO'!$B$6,'CHAM_CONG_NGAY'!$C$6:$C$4655,"&lt;="&amp;'THAM_SO'!$B$7),$AL49))</f>
        <v/>
      </c>
      <c r="AS49" s="232">
        <f>IF($B49="","",IF($D49="Theo ngày",SUMIFS('CHAM_CONG_NGAY'!$P$6:$P$4655,'CHAM_CONG_NGAY'!$B$6:$B$4655,$B49,'CHAM_CONG_NGAY'!$C$6:$C$4655,"&gt;="&amp;'THAM_SO'!$B$6,'CHAM_CONG_NGAY'!$C$6:$C$4655,"&lt;="&amp;'THAM_SO'!$B$7),$AM49))</f>
        <v/>
      </c>
      <c r="AT49" s="232">
        <f>IF($B49="","",IF($D49="Theo ngày",SUMIFS('CHAM_CONG_NGAY'!$Q$6:$Q$4655,'CHAM_CONG_NGAY'!$B$6:$B$4655,$B49,'CHAM_CONG_NGAY'!$C$6:$C$4655,"&gt;="&amp;'THAM_SO'!$B$6,'CHAM_CONG_NGAY'!$C$6:$C$4655,"&lt;="&amp;'THAM_SO'!$B$7),$AN49))</f>
        <v/>
      </c>
      <c r="AU49" s="232">
        <f>IF($B49="","",IF($D49="Theo ngày",SUMIFS('CHAM_CONG_NGAY'!$R$6:$R$4655,'CHAM_CONG_NGAY'!$B$6:$B$4655,$B49,'CHAM_CONG_NGAY'!$C$6:$C$4655,"&gt;="&amp;'THAM_SO'!$B$6,'CHAM_CONG_NGAY'!$C$6:$C$4655,"&lt;="&amp;'THAM_SO'!$B$7),$AO49))</f>
        <v/>
      </c>
      <c r="AV49" s="232">
        <f>IF($B49="","",IF($D49="Theo ngày",SUMIFS('CHAM_CONG_NGAY'!$S$6:$S$4655,'CHAM_CONG_NGAY'!$B$6:$B$4655,$B49,'CHAM_CONG_NGAY'!$C$6:$C$4655,"&gt;="&amp;'THAM_SO'!$B$6,'CHAM_CONG_NGAY'!$C$6:$C$4655,"&lt;="&amp;'THAM_SO'!$B$7),$AP49))</f>
        <v/>
      </c>
      <c r="AW49" s="232">
        <f>IF($B49="","",IF($D49="Theo ngày",SUMIFS('CHAM_CONG_NGAY'!$T$6:$T$4655,'CHAM_CONG_NGAY'!$B$6:$B$4655,$B49,'CHAM_CONG_NGAY'!$C$6:$C$4655,"&gt;="&amp;'THAM_SO'!$B$6,'CHAM_CONG_NGAY'!$C$6:$C$4655,"&lt;="&amp;'THAM_SO'!$B$7),$AQ49))</f>
        <v/>
      </c>
    </row>
    <row r="50">
      <c r="A50" s="145">
        <f>IF($B50="","",ROW()-5)</f>
        <v/>
      </c>
      <c r="B50" s="145">
        <f>IF('DM_NHAN_SU'!B50="","",'DM_NHAN_SU'!B50)</f>
        <v/>
      </c>
      <c r="C50" s="145">
        <f>IF('DM_NHAN_SU'!B50="","",'DM_NHAN_SU'!C50)</f>
        <v/>
      </c>
      <c r="D50" s="127" t="n"/>
      <c r="E50" s="227" t="n"/>
      <c r="F50" s="227" t="n"/>
      <c r="G50" s="227" t="n"/>
      <c r="H50" s="227" t="n"/>
      <c r="I50" s="227" t="n"/>
      <c r="J50" s="227" t="n"/>
      <c r="K50" s="227" t="n"/>
      <c r="L50" s="227" t="n"/>
      <c r="M50" s="227" t="n"/>
      <c r="N50" s="227" t="n"/>
      <c r="O50" s="222" t="n"/>
      <c r="P50" s="222" t="n"/>
      <c r="Q50" s="222" t="n"/>
      <c r="R50" s="222" t="n"/>
      <c r="S50" s="222" t="n"/>
      <c r="T50" s="222" t="n"/>
      <c r="U50" s="222" t="n"/>
      <c r="V50" s="222" t="n"/>
      <c r="W50" s="222" t="n"/>
      <c r="X50" s="222" t="n"/>
      <c r="Y50" s="222" t="n"/>
      <c r="Z50" s="222" t="n"/>
      <c r="AA50" s="127" t="n"/>
      <c r="AB50" s="127" t="n"/>
      <c r="AC50" s="232">
        <f>IF($B50="","",IF($D50="Theo ngày",SUMIFS('CHAM_CONG_NGAY'!$E$6:$E$4655,'CHAM_CONG_NGAY'!$B$6:$B$4655,$B50,'CHAM_CONG_NGAY'!$C$6:$C$4655,"&gt;="&amp;'THAM_SO'!$B$6,'CHAM_CONG_NGAY'!$C$6:$C$4655,"&lt;="&amp;'THAM_SO'!$B$7),$E50))</f>
        <v/>
      </c>
      <c r="AD50" s="232">
        <f>IF($B50="","",IF($D50="Theo ngày",SUMIFS('CHAM_CONG_NGAY'!$F$6:$F$4655,'CHAM_CONG_NGAY'!$B$6:$B$4655,$B50,'CHAM_CONG_NGAY'!$C$6:$C$4655,"&gt;="&amp;'THAM_SO'!$B$6,'CHAM_CONG_NGAY'!$C$6:$C$4655,"&lt;="&amp;'THAM_SO'!$B$7),$F50))</f>
        <v/>
      </c>
      <c r="AE50" s="232">
        <f>IF($B50="","",IF($D50="Theo ngày",SUMIFS('CHAM_CONG_NGAY'!$G$6:$G$4655,'CHAM_CONG_NGAY'!$B$6:$B$4655,$B50,'CHAM_CONG_NGAY'!$C$6:$C$4655,"&gt;="&amp;'THAM_SO'!$B$6,'CHAM_CONG_NGAY'!$C$6:$C$4655,"&lt;="&amp;'THAM_SO'!$B$7),$G50))</f>
        <v/>
      </c>
      <c r="AF50" s="232">
        <f>IF($B50="","",IF($D50="Theo ngày",SUMIFS('CHAM_CONG_NGAY'!$H$6:$H$4655,'CHAM_CONG_NGAY'!$B$6:$B$4655,$B50,'CHAM_CONG_NGAY'!$C$6:$C$4655,"&gt;="&amp;'THAM_SO'!$B$6,'CHAM_CONG_NGAY'!$C$6:$C$4655,"&lt;="&amp;'THAM_SO'!$B$7),$H50))</f>
        <v/>
      </c>
      <c r="AG50" s="232">
        <f>IF($B50="","",IF($D50="Theo ngày",SUMIFS('CHAM_CONG_NGAY'!$I$6:$I$4655,'CHAM_CONG_NGAY'!$B$6:$B$4655,$B50,'CHAM_CONG_NGAY'!$C$6:$C$4655,"&gt;="&amp;'THAM_SO'!$B$6,'CHAM_CONG_NGAY'!$C$6:$C$4655,"&lt;="&amp;'THAM_SO'!$B$7),$I50))</f>
        <v/>
      </c>
      <c r="AH50" s="232">
        <f>IF($B50="","",IF($D50="Theo ngày",SUMIFS('CHAM_CONG_NGAY'!$J$6:$J$4655,'CHAM_CONG_NGAY'!$B$6:$B$4655,$B50,'CHAM_CONG_NGAY'!$C$6:$C$4655,"&gt;="&amp;'THAM_SO'!$B$6,'CHAM_CONG_NGAY'!$C$6:$C$4655,"&lt;="&amp;'THAM_SO'!$B$7),$J50))</f>
        <v/>
      </c>
      <c r="AI50" s="232">
        <f>IF($B50="","",IF($D50="Theo ngày",SUMIFS('CHAM_CONG_NGAY'!$K$6:$K$4655,'CHAM_CONG_NGAY'!$B$6:$B$4655,$B50,'CHAM_CONG_NGAY'!$C$6:$C$4655,"&gt;="&amp;'THAM_SO'!$B$6,'CHAM_CONG_NGAY'!$C$6:$C$4655,"&lt;="&amp;'THAM_SO'!$B$7),$K50))</f>
        <v/>
      </c>
      <c r="AJ50" s="232">
        <f>IF($B50="","",IF($D50="Theo ngày",SUMIFS('CHAM_CONG_NGAY'!$L$6:$L$4655,'CHAM_CONG_NGAY'!$B$6:$B$4655,$B50,'CHAM_CONG_NGAY'!$C$6:$C$4655,"&gt;="&amp;'THAM_SO'!$B$6,'CHAM_CONG_NGAY'!$C$6:$C$4655,"&lt;="&amp;'THAM_SO'!$B$7),$L50))</f>
        <v/>
      </c>
      <c r="AK50" s="232">
        <f>IF($B50="","",IF($D50="Theo ngày",SUMIFS('CHAM_CONG_NGAY'!$M$6:$M$4655,'CHAM_CONG_NGAY'!$B$6:$B$4655,$B50,'CHAM_CONG_NGAY'!$C$6:$C$4655,"&gt;="&amp;'THAM_SO'!$B$6,'CHAM_CONG_NGAY'!$C$6:$C$4655,"&lt;="&amp;'THAM_SO'!$B$7),$M50))</f>
        <v/>
      </c>
      <c r="AL50" s="227" t="n"/>
      <c r="AM50" s="227" t="n"/>
      <c r="AN50" s="227" t="n"/>
      <c r="AO50" s="227" t="n"/>
      <c r="AP50" s="227" t="n"/>
      <c r="AQ50" s="227" t="n"/>
      <c r="AR50" s="232">
        <f>IF($B50="","",IF($D50="Theo ngày",SUMIFS('CHAM_CONG_NGAY'!$O$6:$O$4655,'CHAM_CONG_NGAY'!$B$6:$B$4655,$B50,'CHAM_CONG_NGAY'!$C$6:$C$4655,"&gt;="&amp;'THAM_SO'!$B$6,'CHAM_CONG_NGAY'!$C$6:$C$4655,"&lt;="&amp;'THAM_SO'!$B$7),$AL50))</f>
        <v/>
      </c>
      <c r="AS50" s="232">
        <f>IF($B50="","",IF($D50="Theo ngày",SUMIFS('CHAM_CONG_NGAY'!$P$6:$P$4655,'CHAM_CONG_NGAY'!$B$6:$B$4655,$B50,'CHAM_CONG_NGAY'!$C$6:$C$4655,"&gt;="&amp;'THAM_SO'!$B$6,'CHAM_CONG_NGAY'!$C$6:$C$4655,"&lt;="&amp;'THAM_SO'!$B$7),$AM50))</f>
        <v/>
      </c>
      <c r="AT50" s="232">
        <f>IF($B50="","",IF($D50="Theo ngày",SUMIFS('CHAM_CONG_NGAY'!$Q$6:$Q$4655,'CHAM_CONG_NGAY'!$B$6:$B$4655,$B50,'CHAM_CONG_NGAY'!$C$6:$C$4655,"&gt;="&amp;'THAM_SO'!$B$6,'CHAM_CONG_NGAY'!$C$6:$C$4655,"&lt;="&amp;'THAM_SO'!$B$7),$AN50))</f>
        <v/>
      </c>
      <c r="AU50" s="232">
        <f>IF($B50="","",IF($D50="Theo ngày",SUMIFS('CHAM_CONG_NGAY'!$R$6:$R$4655,'CHAM_CONG_NGAY'!$B$6:$B$4655,$B50,'CHAM_CONG_NGAY'!$C$6:$C$4655,"&gt;="&amp;'THAM_SO'!$B$6,'CHAM_CONG_NGAY'!$C$6:$C$4655,"&lt;="&amp;'THAM_SO'!$B$7),$AO50))</f>
        <v/>
      </c>
      <c r="AV50" s="232">
        <f>IF($B50="","",IF($D50="Theo ngày",SUMIFS('CHAM_CONG_NGAY'!$S$6:$S$4655,'CHAM_CONG_NGAY'!$B$6:$B$4655,$B50,'CHAM_CONG_NGAY'!$C$6:$C$4655,"&gt;="&amp;'THAM_SO'!$B$6,'CHAM_CONG_NGAY'!$C$6:$C$4655,"&lt;="&amp;'THAM_SO'!$B$7),$AP50))</f>
        <v/>
      </c>
      <c r="AW50" s="232">
        <f>IF($B50="","",IF($D50="Theo ngày",SUMIFS('CHAM_CONG_NGAY'!$T$6:$T$4655,'CHAM_CONG_NGAY'!$B$6:$B$4655,$B50,'CHAM_CONG_NGAY'!$C$6:$C$4655,"&gt;="&amp;'THAM_SO'!$B$6,'CHAM_CONG_NGAY'!$C$6:$C$4655,"&lt;="&amp;'THAM_SO'!$B$7),$AQ50))</f>
        <v/>
      </c>
    </row>
    <row r="51">
      <c r="A51" s="145">
        <f>IF($B51="","",ROW()-5)</f>
        <v/>
      </c>
      <c r="B51" s="145">
        <f>IF('DM_NHAN_SU'!B51="","",'DM_NHAN_SU'!B51)</f>
        <v/>
      </c>
      <c r="C51" s="145">
        <f>IF('DM_NHAN_SU'!B51="","",'DM_NHAN_SU'!C51)</f>
        <v/>
      </c>
      <c r="D51" s="127" t="n"/>
      <c r="E51" s="227" t="n"/>
      <c r="F51" s="227" t="n"/>
      <c r="G51" s="227" t="n"/>
      <c r="H51" s="227" t="n"/>
      <c r="I51" s="227" t="n"/>
      <c r="J51" s="227" t="n"/>
      <c r="K51" s="227" t="n"/>
      <c r="L51" s="227" t="n"/>
      <c r="M51" s="227" t="n"/>
      <c r="N51" s="227" t="n"/>
      <c r="O51" s="222" t="n"/>
      <c r="P51" s="222" t="n"/>
      <c r="Q51" s="222" t="n"/>
      <c r="R51" s="222" t="n"/>
      <c r="S51" s="222" t="n"/>
      <c r="T51" s="222" t="n"/>
      <c r="U51" s="222" t="n"/>
      <c r="V51" s="222" t="n"/>
      <c r="W51" s="222" t="n"/>
      <c r="X51" s="222" t="n"/>
      <c r="Y51" s="222" t="n"/>
      <c r="Z51" s="222" t="n"/>
      <c r="AA51" s="127" t="n"/>
      <c r="AB51" s="127" t="n"/>
      <c r="AC51" s="232">
        <f>IF($B51="","",IF($D51="Theo ngày",SUMIFS('CHAM_CONG_NGAY'!$E$6:$E$4655,'CHAM_CONG_NGAY'!$B$6:$B$4655,$B51,'CHAM_CONG_NGAY'!$C$6:$C$4655,"&gt;="&amp;'THAM_SO'!$B$6,'CHAM_CONG_NGAY'!$C$6:$C$4655,"&lt;="&amp;'THAM_SO'!$B$7),$E51))</f>
        <v/>
      </c>
      <c r="AD51" s="232">
        <f>IF($B51="","",IF($D51="Theo ngày",SUMIFS('CHAM_CONG_NGAY'!$F$6:$F$4655,'CHAM_CONG_NGAY'!$B$6:$B$4655,$B51,'CHAM_CONG_NGAY'!$C$6:$C$4655,"&gt;="&amp;'THAM_SO'!$B$6,'CHAM_CONG_NGAY'!$C$6:$C$4655,"&lt;="&amp;'THAM_SO'!$B$7),$F51))</f>
        <v/>
      </c>
      <c r="AE51" s="232">
        <f>IF($B51="","",IF($D51="Theo ngày",SUMIFS('CHAM_CONG_NGAY'!$G$6:$G$4655,'CHAM_CONG_NGAY'!$B$6:$B$4655,$B51,'CHAM_CONG_NGAY'!$C$6:$C$4655,"&gt;="&amp;'THAM_SO'!$B$6,'CHAM_CONG_NGAY'!$C$6:$C$4655,"&lt;="&amp;'THAM_SO'!$B$7),$G51))</f>
        <v/>
      </c>
      <c r="AF51" s="232">
        <f>IF($B51="","",IF($D51="Theo ngày",SUMIFS('CHAM_CONG_NGAY'!$H$6:$H$4655,'CHAM_CONG_NGAY'!$B$6:$B$4655,$B51,'CHAM_CONG_NGAY'!$C$6:$C$4655,"&gt;="&amp;'THAM_SO'!$B$6,'CHAM_CONG_NGAY'!$C$6:$C$4655,"&lt;="&amp;'THAM_SO'!$B$7),$H51))</f>
        <v/>
      </c>
      <c r="AG51" s="232">
        <f>IF($B51="","",IF($D51="Theo ngày",SUMIFS('CHAM_CONG_NGAY'!$I$6:$I$4655,'CHAM_CONG_NGAY'!$B$6:$B$4655,$B51,'CHAM_CONG_NGAY'!$C$6:$C$4655,"&gt;="&amp;'THAM_SO'!$B$6,'CHAM_CONG_NGAY'!$C$6:$C$4655,"&lt;="&amp;'THAM_SO'!$B$7),$I51))</f>
        <v/>
      </c>
      <c r="AH51" s="232">
        <f>IF($B51="","",IF($D51="Theo ngày",SUMIFS('CHAM_CONG_NGAY'!$J$6:$J$4655,'CHAM_CONG_NGAY'!$B$6:$B$4655,$B51,'CHAM_CONG_NGAY'!$C$6:$C$4655,"&gt;="&amp;'THAM_SO'!$B$6,'CHAM_CONG_NGAY'!$C$6:$C$4655,"&lt;="&amp;'THAM_SO'!$B$7),$J51))</f>
        <v/>
      </c>
      <c r="AI51" s="232">
        <f>IF($B51="","",IF($D51="Theo ngày",SUMIFS('CHAM_CONG_NGAY'!$K$6:$K$4655,'CHAM_CONG_NGAY'!$B$6:$B$4655,$B51,'CHAM_CONG_NGAY'!$C$6:$C$4655,"&gt;="&amp;'THAM_SO'!$B$6,'CHAM_CONG_NGAY'!$C$6:$C$4655,"&lt;="&amp;'THAM_SO'!$B$7),$K51))</f>
        <v/>
      </c>
      <c r="AJ51" s="232">
        <f>IF($B51="","",IF($D51="Theo ngày",SUMIFS('CHAM_CONG_NGAY'!$L$6:$L$4655,'CHAM_CONG_NGAY'!$B$6:$B$4655,$B51,'CHAM_CONG_NGAY'!$C$6:$C$4655,"&gt;="&amp;'THAM_SO'!$B$6,'CHAM_CONG_NGAY'!$C$6:$C$4655,"&lt;="&amp;'THAM_SO'!$B$7),$L51))</f>
        <v/>
      </c>
      <c r="AK51" s="232">
        <f>IF($B51="","",IF($D51="Theo ngày",SUMIFS('CHAM_CONG_NGAY'!$M$6:$M$4655,'CHAM_CONG_NGAY'!$B$6:$B$4655,$B51,'CHAM_CONG_NGAY'!$C$6:$C$4655,"&gt;="&amp;'THAM_SO'!$B$6,'CHAM_CONG_NGAY'!$C$6:$C$4655,"&lt;="&amp;'THAM_SO'!$B$7),$M51))</f>
        <v/>
      </c>
      <c r="AL51" s="227" t="n"/>
      <c r="AM51" s="227" t="n"/>
      <c r="AN51" s="227" t="n"/>
      <c r="AO51" s="227" t="n"/>
      <c r="AP51" s="227" t="n"/>
      <c r="AQ51" s="227" t="n"/>
      <c r="AR51" s="232">
        <f>IF($B51="","",IF($D51="Theo ngày",SUMIFS('CHAM_CONG_NGAY'!$O$6:$O$4655,'CHAM_CONG_NGAY'!$B$6:$B$4655,$B51,'CHAM_CONG_NGAY'!$C$6:$C$4655,"&gt;="&amp;'THAM_SO'!$B$6,'CHAM_CONG_NGAY'!$C$6:$C$4655,"&lt;="&amp;'THAM_SO'!$B$7),$AL51))</f>
        <v/>
      </c>
      <c r="AS51" s="232">
        <f>IF($B51="","",IF($D51="Theo ngày",SUMIFS('CHAM_CONG_NGAY'!$P$6:$P$4655,'CHAM_CONG_NGAY'!$B$6:$B$4655,$B51,'CHAM_CONG_NGAY'!$C$6:$C$4655,"&gt;="&amp;'THAM_SO'!$B$6,'CHAM_CONG_NGAY'!$C$6:$C$4655,"&lt;="&amp;'THAM_SO'!$B$7),$AM51))</f>
        <v/>
      </c>
      <c r="AT51" s="232">
        <f>IF($B51="","",IF($D51="Theo ngày",SUMIFS('CHAM_CONG_NGAY'!$Q$6:$Q$4655,'CHAM_CONG_NGAY'!$B$6:$B$4655,$B51,'CHAM_CONG_NGAY'!$C$6:$C$4655,"&gt;="&amp;'THAM_SO'!$B$6,'CHAM_CONG_NGAY'!$C$6:$C$4655,"&lt;="&amp;'THAM_SO'!$B$7),$AN51))</f>
        <v/>
      </c>
      <c r="AU51" s="232">
        <f>IF($B51="","",IF($D51="Theo ngày",SUMIFS('CHAM_CONG_NGAY'!$R$6:$R$4655,'CHAM_CONG_NGAY'!$B$6:$B$4655,$B51,'CHAM_CONG_NGAY'!$C$6:$C$4655,"&gt;="&amp;'THAM_SO'!$B$6,'CHAM_CONG_NGAY'!$C$6:$C$4655,"&lt;="&amp;'THAM_SO'!$B$7),$AO51))</f>
        <v/>
      </c>
      <c r="AV51" s="232">
        <f>IF($B51="","",IF($D51="Theo ngày",SUMIFS('CHAM_CONG_NGAY'!$S$6:$S$4655,'CHAM_CONG_NGAY'!$B$6:$B$4655,$B51,'CHAM_CONG_NGAY'!$C$6:$C$4655,"&gt;="&amp;'THAM_SO'!$B$6,'CHAM_CONG_NGAY'!$C$6:$C$4655,"&lt;="&amp;'THAM_SO'!$B$7),$AP51))</f>
        <v/>
      </c>
      <c r="AW51" s="232">
        <f>IF($B51="","",IF($D51="Theo ngày",SUMIFS('CHAM_CONG_NGAY'!$T$6:$T$4655,'CHAM_CONG_NGAY'!$B$6:$B$4655,$B51,'CHAM_CONG_NGAY'!$C$6:$C$4655,"&gt;="&amp;'THAM_SO'!$B$6,'CHAM_CONG_NGAY'!$C$6:$C$4655,"&lt;="&amp;'THAM_SO'!$B$7),$AQ51))</f>
        <v/>
      </c>
    </row>
    <row r="52">
      <c r="A52" s="145">
        <f>IF($B52="","",ROW()-5)</f>
        <v/>
      </c>
      <c r="B52" s="145">
        <f>IF('DM_NHAN_SU'!B52="","",'DM_NHAN_SU'!B52)</f>
        <v/>
      </c>
      <c r="C52" s="145">
        <f>IF('DM_NHAN_SU'!B52="","",'DM_NHAN_SU'!C52)</f>
        <v/>
      </c>
      <c r="D52" s="127" t="n"/>
      <c r="E52" s="227" t="n"/>
      <c r="F52" s="227" t="n"/>
      <c r="G52" s="227" t="n"/>
      <c r="H52" s="227" t="n"/>
      <c r="I52" s="227" t="n"/>
      <c r="J52" s="227" t="n"/>
      <c r="K52" s="227" t="n"/>
      <c r="L52" s="227" t="n"/>
      <c r="M52" s="227" t="n"/>
      <c r="N52" s="227" t="n"/>
      <c r="O52" s="222" t="n"/>
      <c r="P52" s="222" t="n"/>
      <c r="Q52" s="222" t="n"/>
      <c r="R52" s="222" t="n"/>
      <c r="S52" s="222" t="n"/>
      <c r="T52" s="222" t="n"/>
      <c r="U52" s="222" t="n"/>
      <c r="V52" s="222" t="n"/>
      <c r="W52" s="222" t="n"/>
      <c r="X52" s="222" t="n"/>
      <c r="Y52" s="222" t="n"/>
      <c r="Z52" s="222" t="n"/>
      <c r="AA52" s="127" t="n"/>
      <c r="AB52" s="127" t="n"/>
      <c r="AC52" s="232">
        <f>IF($B52="","",IF($D52="Theo ngày",SUMIFS('CHAM_CONG_NGAY'!$E$6:$E$4655,'CHAM_CONG_NGAY'!$B$6:$B$4655,$B52,'CHAM_CONG_NGAY'!$C$6:$C$4655,"&gt;="&amp;'THAM_SO'!$B$6,'CHAM_CONG_NGAY'!$C$6:$C$4655,"&lt;="&amp;'THAM_SO'!$B$7),$E52))</f>
        <v/>
      </c>
      <c r="AD52" s="232">
        <f>IF($B52="","",IF($D52="Theo ngày",SUMIFS('CHAM_CONG_NGAY'!$F$6:$F$4655,'CHAM_CONG_NGAY'!$B$6:$B$4655,$B52,'CHAM_CONG_NGAY'!$C$6:$C$4655,"&gt;="&amp;'THAM_SO'!$B$6,'CHAM_CONG_NGAY'!$C$6:$C$4655,"&lt;="&amp;'THAM_SO'!$B$7),$F52))</f>
        <v/>
      </c>
      <c r="AE52" s="232">
        <f>IF($B52="","",IF($D52="Theo ngày",SUMIFS('CHAM_CONG_NGAY'!$G$6:$G$4655,'CHAM_CONG_NGAY'!$B$6:$B$4655,$B52,'CHAM_CONG_NGAY'!$C$6:$C$4655,"&gt;="&amp;'THAM_SO'!$B$6,'CHAM_CONG_NGAY'!$C$6:$C$4655,"&lt;="&amp;'THAM_SO'!$B$7),$G52))</f>
        <v/>
      </c>
      <c r="AF52" s="232">
        <f>IF($B52="","",IF($D52="Theo ngày",SUMIFS('CHAM_CONG_NGAY'!$H$6:$H$4655,'CHAM_CONG_NGAY'!$B$6:$B$4655,$B52,'CHAM_CONG_NGAY'!$C$6:$C$4655,"&gt;="&amp;'THAM_SO'!$B$6,'CHAM_CONG_NGAY'!$C$6:$C$4655,"&lt;="&amp;'THAM_SO'!$B$7),$H52))</f>
        <v/>
      </c>
      <c r="AG52" s="232">
        <f>IF($B52="","",IF($D52="Theo ngày",SUMIFS('CHAM_CONG_NGAY'!$I$6:$I$4655,'CHAM_CONG_NGAY'!$B$6:$B$4655,$B52,'CHAM_CONG_NGAY'!$C$6:$C$4655,"&gt;="&amp;'THAM_SO'!$B$6,'CHAM_CONG_NGAY'!$C$6:$C$4655,"&lt;="&amp;'THAM_SO'!$B$7),$I52))</f>
        <v/>
      </c>
      <c r="AH52" s="232">
        <f>IF($B52="","",IF($D52="Theo ngày",SUMIFS('CHAM_CONG_NGAY'!$J$6:$J$4655,'CHAM_CONG_NGAY'!$B$6:$B$4655,$B52,'CHAM_CONG_NGAY'!$C$6:$C$4655,"&gt;="&amp;'THAM_SO'!$B$6,'CHAM_CONG_NGAY'!$C$6:$C$4655,"&lt;="&amp;'THAM_SO'!$B$7),$J52))</f>
        <v/>
      </c>
      <c r="AI52" s="232">
        <f>IF($B52="","",IF($D52="Theo ngày",SUMIFS('CHAM_CONG_NGAY'!$K$6:$K$4655,'CHAM_CONG_NGAY'!$B$6:$B$4655,$B52,'CHAM_CONG_NGAY'!$C$6:$C$4655,"&gt;="&amp;'THAM_SO'!$B$6,'CHAM_CONG_NGAY'!$C$6:$C$4655,"&lt;="&amp;'THAM_SO'!$B$7),$K52))</f>
        <v/>
      </c>
      <c r="AJ52" s="232">
        <f>IF($B52="","",IF($D52="Theo ngày",SUMIFS('CHAM_CONG_NGAY'!$L$6:$L$4655,'CHAM_CONG_NGAY'!$B$6:$B$4655,$B52,'CHAM_CONG_NGAY'!$C$6:$C$4655,"&gt;="&amp;'THAM_SO'!$B$6,'CHAM_CONG_NGAY'!$C$6:$C$4655,"&lt;="&amp;'THAM_SO'!$B$7),$L52))</f>
        <v/>
      </c>
      <c r="AK52" s="232">
        <f>IF($B52="","",IF($D52="Theo ngày",SUMIFS('CHAM_CONG_NGAY'!$M$6:$M$4655,'CHAM_CONG_NGAY'!$B$6:$B$4655,$B52,'CHAM_CONG_NGAY'!$C$6:$C$4655,"&gt;="&amp;'THAM_SO'!$B$6,'CHAM_CONG_NGAY'!$C$6:$C$4655,"&lt;="&amp;'THAM_SO'!$B$7),$M52))</f>
        <v/>
      </c>
      <c r="AL52" s="227" t="n"/>
      <c r="AM52" s="227" t="n"/>
      <c r="AN52" s="227" t="n"/>
      <c r="AO52" s="227" t="n"/>
      <c r="AP52" s="227" t="n"/>
      <c r="AQ52" s="227" t="n"/>
      <c r="AR52" s="232">
        <f>IF($B52="","",IF($D52="Theo ngày",SUMIFS('CHAM_CONG_NGAY'!$O$6:$O$4655,'CHAM_CONG_NGAY'!$B$6:$B$4655,$B52,'CHAM_CONG_NGAY'!$C$6:$C$4655,"&gt;="&amp;'THAM_SO'!$B$6,'CHAM_CONG_NGAY'!$C$6:$C$4655,"&lt;="&amp;'THAM_SO'!$B$7),$AL52))</f>
        <v/>
      </c>
      <c r="AS52" s="232">
        <f>IF($B52="","",IF($D52="Theo ngày",SUMIFS('CHAM_CONG_NGAY'!$P$6:$P$4655,'CHAM_CONG_NGAY'!$B$6:$B$4655,$B52,'CHAM_CONG_NGAY'!$C$6:$C$4655,"&gt;="&amp;'THAM_SO'!$B$6,'CHAM_CONG_NGAY'!$C$6:$C$4655,"&lt;="&amp;'THAM_SO'!$B$7),$AM52))</f>
        <v/>
      </c>
      <c r="AT52" s="232">
        <f>IF($B52="","",IF($D52="Theo ngày",SUMIFS('CHAM_CONG_NGAY'!$Q$6:$Q$4655,'CHAM_CONG_NGAY'!$B$6:$B$4655,$B52,'CHAM_CONG_NGAY'!$C$6:$C$4655,"&gt;="&amp;'THAM_SO'!$B$6,'CHAM_CONG_NGAY'!$C$6:$C$4655,"&lt;="&amp;'THAM_SO'!$B$7),$AN52))</f>
        <v/>
      </c>
      <c r="AU52" s="232">
        <f>IF($B52="","",IF($D52="Theo ngày",SUMIFS('CHAM_CONG_NGAY'!$R$6:$R$4655,'CHAM_CONG_NGAY'!$B$6:$B$4655,$B52,'CHAM_CONG_NGAY'!$C$6:$C$4655,"&gt;="&amp;'THAM_SO'!$B$6,'CHAM_CONG_NGAY'!$C$6:$C$4655,"&lt;="&amp;'THAM_SO'!$B$7),$AO52))</f>
        <v/>
      </c>
      <c r="AV52" s="232">
        <f>IF($B52="","",IF($D52="Theo ngày",SUMIFS('CHAM_CONG_NGAY'!$S$6:$S$4655,'CHAM_CONG_NGAY'!$B$6:$B$4655,$B52,'CHAM_CONG_NGAY'!$C$6:$C$4655,"&gt;="&amp;'THAM_SO'!$B$6,'CHAM_CONG_NGAY'!$C$6:$C$4655,"&lt;="&amp;'THAM_SO'!$B$7),$AP52))</f>
        <v/>
      </c>
      <c r="AW52" s="232">
        <f>IF($B52="","",IF($D52="Theo ngày",SUMIFS('CHAM_CONG_NGAY'!$T$6:$T$4655,'CHAM_CONG_NGAY'!$B$6:$B$4655,$B52,'CHAM_CONG_NGAY'!$C$6:$C$4655,"&gt;="&amp;'THAM_SO'!$B$6,'CHAM_CONG_NGAY'!$C$6:$C$4655,"&lt;="&amp;'THAM_SO'!$B$7),$AQ52))</f>
        <v/>
      </c>
    </row>
    <row r="53">
      <c r="A53" s="145">
        <f>IF($B53="","",ROW()-5)</f>
        <v/>
      </c>
      <c r="B53" s="145">
        <f>IF('DM_NHAN_SU'!B53="","",'DM_NHAN_SU'!B53)</f>
        <v/>
      </c>
      <c r="C53" s="145">
        <f>IF('DM_NHAN_SU'!B53="","",'DM_NHAN_SU'!C53)</f>
        <v/>
      </c>
      <c r="D53" s="127" t="n"/>
      <c r="E53" s="227" t="n"/>
      <c r="F53" s="227" t="n"/>
      <c r="G53" s="227" t="n"/>
      <c r="H53" s="227" t="n"/>
      <c r="I53" s="227" t="n"/>
      <c r="J53" s="227" t="n"/>
      <c r="K53" s="227" t="n"/>
      <c r="L53" s="227" t="n"/>
      <c r="M53" s="227" t="n"/>
      <c r="N53" s="227" t="n"/>
      <c r="O53" s="222" t="n"/>
      <c r="P53" s="222" t="n"/>
      <c r="Q53" s="222" t="n"/>
      <c r="R53" s="222" t="n"/>
      <c r="S53" s="222" t="n"/>
      <c r="T53" s="222" t="n"/>
      <c r="U53" s="222" t="n"/>
      <c r="V53" s="222" t="n"/>
      <c r="W53" s="222" t="n"/>
      <c r="X53" s="222" t="n"/>
      <c r="Y53" s="222" t="n"/>
      <c r="Z53" s="222" t="n"/>
      <c r="AA53" s="127" t="n"/>
      <c r="AB53" s="127" t="n"/>
      <c r="AC53" s="232">
        <f>IF($B53="","",IF($D53="Theo ngày",SUMIFS('CHAM_CONG_NGAY'!$E$6:$E$4655,'CHAM_CONG_NGAY'!$B$6:$B$4655,$B53,'CHAM_CONG_NGAY'!$C$6:$C$4655,"&gt;="&amp;'THAM_SO'!$B$6,'CHAM_CONG_NGAY'!$C$6:$C$4655,"&lt;="&amp;'THAM_SO'!$B$7),$E53))</f>
        <v/>
      </c>
      <c r="AD53" s="232">
        <f>IF($B53="","",IF($D53="Theo ngày",SUMIFS('CHAM_CONG_NGAY'!$F$6:$F$4655,'CHAM_CONG_NGAY'!$B$6:$B$4655,$B53,'CHAM_CONG_NGAY'!$C$6:$C$4655,"&gt;="&amp;'THAM_SO'!$B$6,'CHAM_CONG_NGAY'!$C$6:$C$4655,"&lt;="&amp;'THAM_SO'!$B$7),$F53))</f>
        <v/>
      </c>
      <c r="AE53" s="232">
        <f>IF($B53="","",IF($D53="Theo ngày",SUMIFS('CHAM_CONG_NGAY'!$G$6:$G$4655,'CHAM_CONG_NGAY'!$B$6:$B$4655,$B53,'CHAM_CONG_NGAY'!$C$6:$C$4655,"&gt;="&amp;'THAM_SO'!$B$6,'CHAM_CONG_NGAY'!$C$6:$C$4655,"&lt;="&amp;'THAM_SO'!$B$7),$G53))</f>
        <v/>
      </c>
      <c r="AF53" s="232">
        <f>IF($B53="","",IF($D53="Theo ngày",SUMIFS('CHAM_CONG_NGAY'!$H$6:$H$4655,'CHAM_CONG_NGAY'!$B$6:$B$4655,$B53,'CHAM_CONG_NGAY'!$C$6:$C$4655,"&gt;="&amp;'THAM_SO'!$B$6,'CHAM_CONG_NGAY'!$C$6:$C$4655,"&lt;="&amp;'THAM_SO'!$B$7),$H53))</f>
        <v/>
      </c>
      <c r="AG53" s="232">
        <f>IF($B53="","",IF($D53="Theo ngày",SUMIFS('CHAM_CONG_NGAY'!$I$6:$I$4655,'CHAM_CONG_NGAY'!$B$6:$B$4655,$B53,'CHAM_CONG_NGAY'!$C$6:$C$4655,"&gt;="&amp;'THAM_SO'!$B$6,'CHAM_CONG_NGAY'!$C$6:$C$4655,"&lt;="&amp;'THAM_SO'!$B$7),$I53))</f>
        <v/>
      </c>
      <c r="AH53" s="232">
        <f>IF($B53="","",IF($D53="Theo ngày",SUMIFS('CHAM_CONG_NGAY'!$J$6:$J$4655,'CHAM_CONG_NGAY'!$B$6:$B$4655,$B53,'CHAM_CONG_NGAY'!$C$6:$C$4655,"&gt;="&amp;'THAM_SO'!$B$6,'CHAM_CONG_NGAY'!$C$6:$C$4655,"&lt;="&amp;'THAM_SO'!$B$7),$J53))</f>
        <v/>
      </c>
      <c r="AI53" s="232">
        <f>IF($B53="","",IF($D53="Theo ngày",SUMIFS('CHAM_CONG_NGAY'!$K$6:$K$4655,'CHAM_CONG_NGAY'!$B$6:$B$4655,$B53,'CHAM_CONG_NGAY'!$C$6:$C$4655,"&gt;="&amp;'THAM_SO'!$B$6,'CHAM_CONG_NGAY'!$C$6:$C$4655,"&lt;="&amp;'THAM_SO'!$B$7),$K53))</f>
        <v/>
      </c>
      <c r="AJ53" s="232">
        <f>IF($B53="","",IF($D53="Theo ngày",SUMIFS('CHAM_CONG_NGAY'!$L$6:$L$4655,'CHAM_CONG_NGAY'!$B$6:$B$4655,$B53,'CHAM_CONG_NGAY'!$C$6:$C$4655,"&gt;="&amp;'THAM_SO'!$B$6,'CHAM_CONG_NGAY'!$C$6:$C$4655,"&lt;="&amp;'THAM_SO'!$B$7),$L53))</f>
        <v/>
      </c>
      <c r="AK53" s="232">
        <f>IF($B53="","",IF($D53="Theo ngày",SUMIFS('CHAM_CONG_NGAY'!$M$6:$M$4655,'CHAM_CONG_NGAY'!$B$6:$B$4655,$B53,'CHAM_CONG_NGAY'!$C$6:$C$4655,"&gt;="&amp;'THAM_SO'!$B$6,'CHAM_CONG_NGAY'!$C$6:$C$4655,"&lt;="&amp;'THAM_SO'!$B$7),$M53))</f>
        <v/>
      </c>
      <c r="AL53" s="227" t="n"/>
      <c r="AM53" s="227" t="n"/>
      <c r="AN53" s="227" t="n"/>
      <c r="AO53" s="227" t="n"/>
      <c r="AP53" s="227" t="n"/>
      <c r="AQ53" s="227" t="n"/>
      <c r="AR53" s="232">
        <f>IF($B53="","",IF($D53="Theo ngày",SUMIFS('CHAM_CONG_NGAY'!$O$6:$O$4655,'CHAM_CONG_NGAY'!$B$6:$B$4655,$B53,'CHAM_CONG_NGAY'!$C$6:$C$4655,"&gt;="&amp;'THAM_SO'!$B$6,'CHAM_CONG_NGAY'!$C$6:$C$4655,"&lt;="&amp;'THAM_SO'!$B$7),$AL53))</f>
        <v/>
      </c>
      <c r="AS53" s="232">
        <f>IF($B53="","",IF($D53="Theo ngày",SUMIFS('CHAM_CONG_NGAY'!$P$6:$P$4655,'CHAM_CONG_NGAY'!$B$6:$B$4655,$B53,'CHAM_CONG_NGAY'!$C$6:$C$4655,"&gt;="&amp;'THAM_SO'!$B$6,'CHAM_CONG_NGAY'!$C$6:$C$4655,"&lt;="&amp;'THAM_SO'!$B$7),$AM53))</f>
        <v/>
      </c>
      <c r="AT53" s="232">
        <f>IF($B53="","",IF($D53="Theo ngày",SUMIFS('CHAM_CONG_NGAY'!$Q$6:$Q$4655,'CHAM_CONG_NGAY'!$B$6:$B$4655,$B53,'CHAM_CONG_NGAY'!$C$6:$C$4655,"&gt;="&amp;'THAM_SO'!$B$6,'CHAM_CONG_NGAY'!$C$6:$C$4655,"&lt;="&amp;'THAM_SO'!$B$7),$AN53))</f>
        <v/>
      </c>
      <c r="AU53" s="232">
        <f>IF($B53="","",IF($D53="Theo ngày",SUMIFS('CHAM_CONG_NGAY'!$R$6:$R$4655,'CHAM_CONG_NGAY'!$B$6:$B$4655,$B53,'CHAM_CONG_NGAY'!$C$6:$C$4655,"&gt;="&amp;'THAM_SO'!$B$6,'CHAM_CONG_NGAY'!$C$6:$C$4655,"&lt;="&amp;'THAM_SO'!$B$7),$AO53))</f>
        <v/>
      </c>
      <c r="AV53" s="232">
        <f>IF($B53="","",IF($D53="Theo ngày",SUMIFS('CHAM_CONG_NGAY'!$S$6:$S$4655,'CHAM_CONG_NGAY'!$B$6:$B$4655,$B53,'CHAM_CONG_NGAY'!$C$6:$C$4655,"&gt;="&amp;'THAM_SO'!$B$6,'CHAM_CONG_NGAY'!$C$6:$C$4655,"&lt;="&amp;'THAM_SO'!$B$7),$AP53))</f>
        <v/>
      </c>
      <c r="AW53" s="232">
        <f>IF($B53="","",IF($D53="Theo ngày",SUMIFS('CHAM_CONG_NGAY'!$T$6:$T$4655,'CHAM_CONG_NGAY'!$B$6:$B$4655,$B53,'CHAM_CONG_NGAY'!$C$6:$C$4655,"&gt;="&amp;'THAM_SO'!$B$6,'CHAM_CONG_NGAY'!$C$6:$C$4655,"&lt;="&amp;'THAM_SO'!$B$7),$AQ53))</f>
        <v/>
      </c>
    </row>
    <row r="54">
      <c r="A54" s="145">
        <f>IF($B54="","",ROW()-5)</f>
        <v/>
      </c>
      <c r="B54" s="145">
        <f>IF('DM_NHAN_SU'!B54="","",'DM_NHAN_SU'!B54)</f>
        <v/>
      </c>
      <c r="C54" s="145">
        <f>IF('DM_NHAN_SU'!B54="","",'DM_NHAN_SU'!C54)</f>
        <v/>
      </c>
      <c r="D54" s="127" t="n"/>
      <c r="E54" s="227" t="n"/>
      <c r="F54" s="227" t="n"/>
      <c r="G54" s="227" t="n"/>
      <c r="H54" s="227" t="n"/>
      <c r="I54" s="227" t="n"/>
      <c r="J54" s="227" t="n"/>
      <c r="K54" s="227" t="n"/>
      <c r="L54" s="227" t="n"/>
      <c r="M54" s="227" t="n"/>
      <c r="N54" s="227" t="n"/>
      <c r="O54" s="222" t="n"/>
      <c r="P54" s="222" t="n"/>
      <c r="Q54" s="222" t="n"/>
      <c r="R54" s="222" t="n"/>
      <c r="S54" s="222" t="n"/>
      <c r="T54" s="222" t="n"/>
      <c r="U54" s="222" t="n"/>
      <c r="V54" s="222" t="n"/>
      <c r="W54" s="222" t="n"/>
      <c r="X54" s="222" t="n"/>
      <c r="Y54" s="222" t="n"/>
      <c r="Z54" s="222" t="n"/>
      <c r="AA54" s="127" t="n"/>
      <c r="AB54" s="127" t="n"/>
      <c r="AC54" s="232">
        <f>IF($B54="","",IF($D54="Theo ngày",SUMIFS('CHAM_CONG_NGAY'!$E$6:$E$4655,'CHAM_CONG_NGAY'!$B$6:$B$4655,$B54,'CHAM_CONG_NGAY'!$C$6:$C$4655,"&gt;="&amp;'THAM_SO'!$B$6,'CHAM_CONG_NGAY'!$C$6:$C$4655,"&lt;="&amp;'THAM_SO'!$B$7),$E54))</f>
        <v/>
      </c>
      <c r="AD54" s="232">
        <f>IF($B54="","",IF($D54="Theo ngày",SUMIFS('CHAM_CONG_NGAY'!$F$6:$F$4655,'CHAM_CONG_NGAY'!$B$6:$B$4655,$B54,'CHAM_CONG_NGAY'!$C$6:$C$4655,"&gt;="&amp;'THAM_SO'!$B$6,'CHAM_CONG_NGAY'!$C$6:$C$4655,"&lt;="&amp;'THAM_SO'!$B$7),$F54))</f>
        <v/>
      </c>
      <c r="AE54" s="232">
        <f>IF($B54="","",IF($D54="Theo ngày",SUMIFS('CHAM_CONG_NGAY'!$G$6:$G$4655,'CHAM_CONG_NGAY'!$B$6:$B$4655,$B54,'CHAM_CONG_NGAY'!$C$6:$C$4655,"&gt;="&amp;'THAM_SO'!$B$6,'CHAM_CONG_NGAY'!$C$6:$C$4655,"&lt;="&amp;'THAM_SO'!$B$7),$G54))</f>
        <v/>
      </c>
      <c r="AF54" s="232">
        <f>IF($B54="","",IF($D54="Theo ngày",SUMIFS('CHAM_CONG_NGAY'!$H$6:$H$4655,'CHAM_CONG_NGAY'!$B$6:$B$4655,$B54,'CHAM_CONG_NGAY'!$C$6:$C$4655,"&gt;="&amp;'THAM_SO'!$B$6,'CHAM_CONG_NGAY'!$C$6:$C$4655,"&lt;="&amp;'THAM_SO'!$B$7),$H54))</f>
        <v/>
      </c>
      <c r="AG54" s="232">
        <f>IF($B54="","",IF($D54="Theo ngày",SUMIFS('CHAM_CONG_NGAY'!$I$6:$I$4655,'CHAM_CONG_NGAY'!$B$6:$B$4655,$B54,'CHAM_CONG_NGAY'!$C$6:$C$4655,"&gt;="&amp;'THAM_SO'!$B$6,'CHAM_CONG_NGAY'!$C$6:$C$4655,"&lt;="&amp;'THAM_SO'!$B$7),$I54))</f>
        <v/>
      </c>
      <c r="AH54" s="232">
        <f>IF($B54="","",IF($D54="Theo ngày",SUMIFS('CHAM_CONG_NGAY'!$J$6:$J$4655,'CHAM_CONG_NGAY'!$B$6:$B$4655,$B54,'CHAM_CONG_NGAY'!$C$6:$C$4655,"&gt;="&amp;'THAM_SO'!$B$6,'CHAM_CONG_NGAY'!$C$6:$C$4655,"&lt;="&amp;'THAM_SO'!$B$7),$J54))</f>
        <v/>
      </c>
      <c r="AI54" s="232">
        <f>IF($B54="","",IF($D54="Theo ngày",SUMIFS('CHAM_CONG_NGAY'!$K$6:$K$4655,'CHAM_CONG_NGAY'!$B$6:$B$4655,$B54,'CHAM_CONG_NGAY'!$C$6:$C$4655,"&gt;="&amp;'THAM_SO'!$B$6,'CHAM_CONG_NGAY'!$C$6:$C$4655,"&lt;="&amp;'THAM_SO'!$B$7),$K54))</f>
        <v/>
      </c>
      <c r="AJ54" s="232">
        <f>IF($B54="","",IF($D54="Theo ngày",SUMIFS('CHAM_CONG_NGAY'!$L$6:$L$4655,'CHAM_CONG_NGAY'!$B$6:$B$4655,$B54,'CHAM_CONG_NGAY'!$C$6:$C$4655,"&gt;="&amp;'THAM_SO'!$B$6,'CHAM_CONG_NGAY'!$C$6:$C$4655,"&lt;="&amp;'THAM_SO'!$B$7),$L54))</f>
        <v/>
      </c>
      <c r="AK54" s="232">
        <f>IF($B54="","",IF($D54="Theo ngày",SUMIFS('CHAM_CONG_NGAY'!$M$6:$M$4655,'CHAM_CONG_NGAY'!$B$6:$B$4655,$B54,'CHAM_CONG_NGAY'!$C$6:$C$4655,"&gt;="&amp;'THAM_SO'!$B$6,'CHAM_CONG_NGAY'!$C$6:$C$4655,"&lt;="&amp;'THAM_SO'!$B$7),$M54))</f>
        <v/>
      </c>
      <c r="AL54" s="227" t="n"/>
      <c r="AM54" s="227" t="n"/>
      <c r="AN54" s="227" t="n"/>
      <c r="AO54" s="227" t="n"/>
      <c r="AP54" s="227" t="n"/>
      <c r="AQ54" s="227" t="n"/>
      <c r="AR54" s="232">
        <f>IF($B54="","",IF($D54="Theo ngày",SUMIFS('CHAM_CONG_NGAY'!$O$6:$O$4655,'CHAM_CONG_NGAY'!$B$6:$B$4655,$B54,'CHAM_CONG_NGAY'!$C$6:$C$4655,"&gt;="&amp;'THAM_SO'!$B$6,'CHAM_CONG_NGAY'!$C$6:$C$4655,"&lt;="&amp;'THAM_SO'!$B$7),$AL54))</f>
        <v/>
      </c>
      <c r="AS54" s="232">
        <f>IF($B54="","",IF($D54="Theo ngày",SUMIFS('CHAM_CONG_NGAY'!$P$6:$P$4655,'CHAM_CONG_NGAY'!$B$6:$B$4655,$B54,'CHAM_CONG_NGAY'!$C$6:$C$4655,"&gt;="&amp;'THAM_SO'!$B$6,'CHAM_CONG_NGAY'!$C$6:$C$4655,"&lt;="&amp;'THAM_SO'!$B$7),$AM54))</f>
        <v/>
      </c>
      <c r="AT54" s="232">
        <f>IF($B54="","",IF($D54="Theo ngày",SUMIFS('CHAM_CONG_NGAY'!$Q$6:$Q$4655,'CHAM_CONG_NGAY'!$B$6:$B$4655,$B54,'CHAM_CONG_NGAY'!$C$6:$C$4655,"&gt;="&amp;'THAM_SO'!$B$6,'CHAM_CONG_NGAY'!$C$6:$C$4655,"&lt;="&amp;'THAM_SO'!$B$7),$AN54))</f>
        <v/>
      </c>
      <c r="AU54" s="232">
        <f>IF($B54="","",IF($D54="Theo ngày",SUMIFS('CHAM_CONG_NGAY'!$R$6:$R$4655,'CHAM_CONG_NGAY'!$B$6:$B$4655,$B54,'CHAM_CONG_NGAY'!$C$6:$C$4655,"&gt;="&amp;'THAM_SO'!$B$6,'CHAM_CONG_NGAY'!$C$6:$C$4655,"&lt;="&amp;'THAM_SO'!$B$7),$AO54))</f>
        <v/>
      </c>
      <c r="AV54" s="232">
        <f>IF($B54="","",IF($D54="Theo ngày",SUMIFS('CHAM_CONG_NGAY'!$S$6:$S$4655,'CHAM_CONG_NGAY'!$B$6:$B$4655,$B54,'CHAM_CONG_NGAY'!$C$6:$C$4655,"&gt;="&amp;'THAM_SO'!$B$6,'CHAM_CONG_NGAY'!$C$6:$C$4655,"&lt;="&amp;'THAM_SO'!$B$7),$AP54))</f>
        <v/>
      </c>
      <c r="AW54" s="232">
        <f>IF($B54="","",IF($D54="Theo ngày",SUMIFS('CHAM_CONG_NGAY'!$T$6:$T$4655,'CHAM_CONG_NGAY'!$B$6:$B$4655,$B54,'CHAM_CONG_NGAY'!$C$6:$C$4655,"&gt;="&amp;'THAM_SO'!$B$6,'CHAM_CONG_NGAY'!$C$6:$C$4655,"&lt;="&amp;'THAM_SO'!$B$7),$AQ54))</f>
        <v/>
      </c>
    </row>
    <row r="55">
      <c r="A55" s="145">
        <f>IF($B55="","",ROW()-5)</f>
        <v/>
      </c>
      <c r="B55" s="145">
        <f>IF('DM_NHAN_SU'!B55="","",'DM_NHAN_SU'!B55)</f>
        <v/>
      </c>
      <c r="C55" s="145">
        <f>IF('DM_NHAN_SU'!B55="","",'DM_NHAN_SU'!C55)</f>
        <v/>
      </c>
      <c r="D55" s="127" t="n"/>
      <c r="E55" s="227" t="n"/>
      <c r="F55" s="227" t="n"/>
      <c r="G55" s="227" t="n"/>
      <c r="H55" s="227" t="n"/>
      <c r="I55" s="227" t="n"/>
      <c r="J55" s="227" t="n"/>
      <c r="K55" s="227" t="n"/>
      <c r="L55" s="227" t="n"/>
      <c r="M55" s="227" t="n"/>
      <c r="N55" s="227" t="n"/>
      <c r="O55" s="222" t="n"/>
      <c r="P55" s="222" t="n"/>
      <c r="Q55" s="222" t="n"/>
      <c r="R55" s="222" t="n"/>
      <c r="S55" s="222" t="n"/>
      <c r="T55" s="222" t="n"/>
      <c r="U55" s="222" t="n"/>
      <c r="V55" s="222" t="n"/>
      <c r="W55" s="222" t="n"/>
      <c r="X55" s="222" t="n"/>
      <c r="Y55" s="222" t="n"/>
      <c r="Z55" s="222" t="n"/>
      <c r="AA55" s="127" t="n"/>
      <c r="AB55" s="127" t="n"/>
      <c r="AC55" s="232">
        <f>IF($B55="","",IF($D55="Theo ngày",SUMIFS('CHAM_CONG_NGAY'!$E$6:$E$4655,'CHAM_CONG_NGAY'!$B$6:$B$4655,$B55,'CHAM_CONG_NGAY'!$C$6:$C$4655,"&gt;="&amp;'THAM_SO'!$B$6,'CHAM_CONG_NGAY'!$C$6:$C$4655,"&lt;="&amp;'THAM_SO'!$B$7),$E55))</f>
        <v/>
      </c>
      <c r="AD55" s="232">
        <f>IF($B55="","",IF($D55="Theo ngày",SUMIFS('CHAM_CONG_NGAY'!$F$6:$F$4655,'CHAM_CONG_NGAY'!$B$6:$B$4655,$B55,'CHAM_CONG_NGAY'!$C$6:$C$4655,"&gt;="&amp;'THAM_SO'!$B$6,'CHAM_CONG_NGAY'!$C$6:$C$4655,"&lt;="&amp;'THAM_SO'!$B$7),$F55))</f>
        <v/>
      </c>
      <c r="AE55" s="232">
        <f>IF($B55="","",IF($D55="Theo ngày",SUMIFS('CHAM_CONG_NGAY'!$G$6:$G$4655,'CHAM_CONG_NGAY'!$B$6:$B$4655,$B55,'CHAM_CONG_NGAY'!$C$6:$C$4655,"&gt;="&amp;'THAM_SO'!$B$6,'CHAM_CONG_NGAY'!$C$6:$C$4655,"&lt;="&amp;'THAM_SO'!$B$7),$G55))</f>
        <v/>
      </c>
      <c r="AF55" s="232">
        <f>IF($B55="","",IF($D55="Theo ngày",SUMIFS('CHAM_CONG_NGAY'!$H$6:$H$4655,'CHAM_CONG_NGAY'!$B$6:$B$4655,$B55,'CHAM_CONG_NGAY'!$C$6:$C$4655,"&gt;="&amp;'THAM_SO'!$B$6,'CHAM_CONG_NGAY'!$C$6:$C$4655,"&lt;="&amp;'THAM_SO'!$B$7),$H55))</f>
        <v/>
      </c>
      <c r="AG55" s="232">
        <f>IF($B55="","",IF($D55="Theo ngày",SUMIFS('CHAM_CONG_NGAY'!$I$6:$I$4655,'CHAM_CONG_NGAY'!$B$6:$B$4655,$B55,'CHAM_CONG_NGAY'!$C$6:$C$4655,"&gt;="&amp;'THAM_SO'!$B$6,'CHAM_CONG_NGAY'!$C$6:$C$4655,"&lt;="&amp;'THAM_SO'!$B$7),$I55))</f>
        <v/>
      </c>
      <c r="AH55" s="232">
        <f>IF($B55="","",IF($D55="Theo ngày",SUMIFS('CHAM_CONG_NGAY'!$J$6:$J$4655,'CHAM_CONG_NGAY'!$B$6:$B$4655,$B55,'CHAM_CONG_NGAY'!$C$6:$C$4655,"&gt;="&amp;'THAM_SO'!$B$6,'CHAM_CONG_NGAY'!$C$6:$C$4655,"&lt;="&amp;'THAM_SO'!$B$7),$J55))</f>
        <v/>
      </c>
      <c r="AI55" s="232">
        <f>IF($B55="","",IF($D55="Theo ngày",SUMIFS('CHAM_CONG_NGAY'!$K$6:$K$4655,'CHAM_CONG_NGAY'!$B$6:$B$4655,$B55,'CHAM_CONG_NGAY'!$C$6:$C$4655,"&gt;="&amp;'THAM_SO'!$B$6,'CHAM_CONG_NGAY'!$C$6:$C$4655,"&lt;="&amp;'THAM_SO'!$B$7),$K55))</f>
        <v/>
      </c>
      <c r="AJ55" s="232">
        <f>IF($B55="","",IF($D55="Theo ngày",SUMIFS('CHAM_CONG_NGAY'!$L$6:$L$4655,'CHAM_CONG_NGAY'!$B$6:$B$4655,$B55,'CHAM_CONG_NGAY'!$C$6:$C$4655,"&gt;="&amp;'THAM_SO'!$B$6,'CHAM_CONG_NGAY'!$C$6:$C$4655,"&lt;="&amp;'THAM_SO'!$B$7),$L55))</f>
        <v/>
      </c>
      <c r="AK55" s="232">
        <f>IF($B55="","",IF($D55="Theo ngày",SUMIFS('CHAM_CONG_NGAY'!$M$6:$M$4655,'CHAM_CONG_NGAY'!$B$6:$B$4655,$B55,'CHAM_CONG_NGAY'!$C$6:$C$4655,"&gt;="&amp;'THAM_SO'!$B$6,'CHAM_CONG_NGAY'!$C$6:$C$4655,"&lt;="&amp;'THAM_SO'!$B$7),$M55))</f>
        <v/>
      </c>
      <c r="AL55" s="227" t="n"/>
      <c r="AM55" s="227" t="n"/>
      <c r="AN55" s="227" t="n"/>
      <c r="AO55" s="227" t="n"/>
      <c r="AP55" s="227" t="n"/>
      <c r="AQ55" s="227" t="n"/>
      <c r="AR55" s="232">
        <f>IF($B55="","",IF($D55="Theo ngày",SUMIFS('CHAM_CONG_NGAY'!$O$6:$O$4655,'CHAM_CONG_NGAY'!$B$6:$B$4655,$B55,'CHAM_CONG_NGAY'!$C$6:$C$4655,"&gt;="&amp;'THAM_SO'!$B$6,'CHAM_CONG_NGAY'!$C$6:$C$4655,"&lt;="&amp;'THAM_SO'!$B$7),$AL55))</f>
        <v/>
      </c>
      <c r="AS55" s="232">
        <f>IF($B55="","",IF($D55="Theo ngày",SUMIFS('CHAM_CONG_NGAY'!$P$6:$P$4655,'CHAM_CONG_NGAY'!$B$6:$B$4655,$B55,'CHAM_CONG_NGAY'!$C$6:$C$4655,"&gt;="&amp;'THAM_SO'!$B$6,'CHAM_CONG_NGAY'!$C$6:$C$4655,"&lt;="&amp;'THAM_SO'!$B$7),$AM55))</f>
        <v/>
      </c>
      <c r="AT55" s="232">
        <f>IF($B55="","",IF($D55="Theo ngày",SUMIFS('CHAM_CONG_NGAY'!$Q$6:$Q$4655,'CHAM_CONG_NGAY'!$B$6:$B$4655,$B55,'CHAM_CONG_NGAY'!$C$6:$C$4655,"&gt;="&amp;'THAM_SO'!$B$6,'CHAM_CONG_NGAY'!$C$6:$C$4655,"&lt;="&amp;'THAM_SO'!$B$7),$AN55))</f>
        <v/>
      </c>
      <c r="AU55" s="232">
        <f>IF($B55="","",IF($D55="Theo ngày",SUMIFS('CHAM_CONG_NGAY'!$R$6:$R$4655,'CHAM_CONG_NGAY'!$B$6:$B$4655,$B55,'CHAM_CONG_NGAY'!$C$6:$C$4655,"&gt;="&amp;'THAM_SO'!$B$6,'CHAM_CONG_NGAY'!$C$6:$C$4655,"&lt;="&amp;'THAM_SO'!$B$7),$AO55))</f>
        <v/>
      </c>
      <c r="AV55" s="232">
        <f>IF($B55="","",IF($D55="Theo ngày",SUMIFS('CHAM_CONG_NGAY'!$S$6:$S$4655,'CHAM_CONG_NGAY'!$B$6:$B$4655,$B55,'CHAM_CONG_NGAY'!$C$6:$C$4655,"&gt;="&amp;'THAM_SO'!$B$6,'CHAM_CONG_NGAY'!$C$6:$C$4655,"&lt;="&amp;'THAM_SO'!$B$7),$AP55))</f>
        <v/>
      </c>
      <c r="AW55" s="232">
        <f>IF($B55="","",IF($D55="Theo ngày",SUMIFS('CHAM_CONG_NGAY'!$T$6:$T$4655,'CHAM_CONG_NGAY'!$B$6:$B$4655,$B55,'CHAM_CONG_NGAY'!$C$6:$C$4655,"&gt;="&amp;'THAM_SO'!$B$6,'CHAM_CONG_NGAY'!$C$6:$C$4655,"&lt;="&amp;'THAM_SO'!$B$7),$AQ55))</f>
        <v/>
      </c>
    </row>
    <row r="56">
      <c r="A56" s="145">
        <f>IF($B56="","",ROW()-5)</f>
        <v/>
      </c>
      <c r="B56" s="145">
        <f>IF('DM_NHAN_SU'!B56="","",'DM_NHAN_SU'!B56)</f>
        <v/>
      </c>
      <c r="C56" s="145">
        <f>IF('DM_NHAN_SU'!B56="","",'DM_NHAN_SU'!C56)</f>
        <v/>
      </c>
      <c r="D56" s="127" t="n"/>
      <c r="E56" s="227" t="n"/>
      <c r="F56" s="227" t="n"/>
      <c r="G56" s="227" t="n"/>
      <c r="H56" s="227" t="n"/>
      <c r="I56" s="227" t="n"/>
      <c r="J56" s="227" t="n"/>
      <c r="K56" s="227" t="n"/>
      <c r="L56" s="227" t="n"/>
      <c r="M56" s="227" t="n"/>
      <c r="N56" s="227" t="n"/>
      <c r="O56" s="222" t="n"/>
      <c r="P56" s="222" t="n"/>
      <c r="Q56" s="222" t="n"/>
      <c r="R56" s="222" t="n"/>
      <c r="S56" s="222" t="n"/>
      <c r="T56" s="222" t="n"/>
      <c r="U56" s="222" t="n"/>
      <c r="V56" s="222" t="n"/>
      <c r="W56" s="222" t="n"/>
      <c r="X56" s="222" t="n"/>
      <c r="Y56" s="222" t="n"/>
      <c r="Z56" s="222" t="n"/>
      <c r="AA56" s="127" t="n"/>
      <c r="AB56" s="127" t="n"/>
      <c r="AC56" s="232">
        <f>IF($B56="","",IF($D56="Theo ngày",SUMIFS('CHAM_CONG_NGAY'!$E$6:$E$4655,'CHAM_CONG_NGAY'!$B$6:$B$4655,$B56,'CHAM_CONG_NGAY'!$C$6:$C$4655,"&gt;="&amp;'THAM_SO'!$B$6,'CHAM_CONG_NGAY'!$C$6:$C$4655,"&lt;="&amp;'THAM_SO'!$B$7),$E56))</f>
        <v/>
      </c>
      <c r="AD56" s="232">
        <f>IF($B56="","",IF($D56="Theo ngày",SUMIFS('CHAM_CONG_NGAY'!$F$6:$F$4655,'CHAM_CONG_NGAY'!$B$6:$B$4655,$B56,'CHAM_CONG_NGAY'!$C$6:$C$4655,"&gt;="&amp;'THAM_SO'!$B$6,'CHAM_CONG_NGAY'!$C$6:$C$4655,"&lt;="&amp;'THAM_SO'!$B$7),$F56))</f>
        <v/>
      </c>
      <c r="AE56" s="232">
        <f>IF($B56="","",IF($D56="Theo ngày",SUMIFS('CHAM_CONG_NGAY'!$G$6:$G$4655,'CHAM_CONG_NGAY'!$B$6:$B$4655,$B56,'CHAM_CONG_NGAY'!$C$6:$C$4655,"&gt;="&amp;'THAM_SO'!$B$6,'CHAM_CONG_NGAY'!$C$6:$C$4655,"&lt;="&amp;'THAM_SO'!$B$7),$G56))</f>
        <v/>
      </c>
      <c r="AF56" s="232">
        <f>IF($B56="","",IF($D56="Theo ngày",SUMIFS('CHAM_CONG_NGAY'!$H$6:$H$4655,'CHAM_CONG_NGAY'!$B$6:$B$4655,$B56,'CHAM_CONG_NGAY'!$C$6:$C$4655,"&gt;="&amp;'THAM_SO'!$B$6,'CHAM_CONG_NGAY'!$C$6:$C$4655,"&lt;="&amp;'THAM_SO'!$B$7),$H56))</f>
        <v/>
      </c>
      <c r="AG56" s="232">
        <f>IF($B56="","",IF($D56="Theo ngày",SUMIFS('CHAM_CONG_NGAY'!$I$6:$I$4655,'CHAM_CONG_NGAY'!$B$6:$B$4655,$B56,'CHAM_CONG_NGAY'!$C$6:$C$4655,"&gt;="&amp;'THAM_SO'!$B$6,'CHAM_CONG_NGAY'!$C$6:$C$4655,"&lt;="&amp;'THAM_SO'!$B$7),$I56))</f>
        <v/>
      </c>
      <c r="AH56" s="232">
        <f>IF($B56="","",IF($D56="Theo ngày",SUMIFS('CHAM_CONG_NGAY'!$J$6:$J$4655,'CHAM_CONG_NGAY'!$B$6:$B$4655,$B56,'CHAM_CONG_NGAY'!$C$6:$C$4655,"&gt;="&amp;'THAM_SO'!$B$6,'CHAM_CONG_NGAY'!$C$6:$C$4655,"&lt;="&amp;'THAM_SO'!$B$7),$J56))</f>
        <v/>
      </c>
      <c r="AI56" s="232">
        <f>IF($B56="","",IF($D56="Theo ngày",SUMIFS('CHAM_CONG_NGAY'!$K$6:$K$4655,'CHAM_CONG_NGAY'!$B$6:$B$4655,$B56,'CHAM_CONG_NGAY'!$C$6:$C$4655,"&gt;="&amp;'THAM_SO'!$B$6,'CHAM_CONG_NGAY'!$C$6:$C$4655,"&lt;="&amp;'THAM_SO'!$B$7),$K56))</f>
        <v/>
      </c>
      <c r="AJ56" s="232">
        <f>IF($B56="","",IF($D56="Theo ngày",SUMIFS('CHAM_CONG_NGAY'!$L$6:$L$4655,'CHAM_CONG_NGAY'!$B$6:$B$4655,$B56,'CHAM_CONG_NGAY'!$C$6:$C$4655,"&gt;="&amp;'THAM_SO'!$B$6,'CHAM_CONG_NGAY'!$C$6:$C$4655,"&lt;="&amp;'THAM_SO'!$B$7),$L56))</f>
        <v/>
      </c>
      <c r="AK56" s="232">
        <f>IF($B56="","",IF($D56="Theo ngày",SUMIFS('CHAM_CONG_NGAY'!$M$6:$M$4655,'CHAM_CONG_NGAY'!$B$6:$B$4655,$B56,'CHAM_CONG_NGAY'!$C$6:$C$4655,"&gt;="&amp;'THAM_SO'!$B$6,'CHAM_CONG_NGAY'!$C$6:$C$4655,"&lt;="&amp;'THAM_SO'!$B$7),$M56))</f>
        <v/>
      </c>
      <c r="AL56" s="227" t="n"/>
      <c r="AM56" s="227" t="n"/>
      <c r="AN56" s="227" t="n"/>
      <c r="AO56" s="227" t="n"/>
      <c r="AP56" s="227" t="n"/>
      <c r="AQ56" s="227" t="n"/>
      <c r="AR56" s="232">
        <f>IF($B56="","",IF($D56="Theo ngày",SUMIFS('CHAM_CONG_NGAY'!$O$6:$O$4655,'CHAM_CONG_NGAY'!$B$6:$B$4655,$B56,'CHAM_CONG_NGAY'!$C$6:$C$4655,"&gt;="&amp;'THAM_SO'!$B$6,'CHAM_CONG_NGAY'!$C$6:$C$4655,"&lt;="&amp;'THAM_SO'!$B$7),$AL56))</f>
        <v/>
      </c>
      <c r="AS56" s="232">
        <f>IF($B56="","",IF($D56="Theo ngày",SUMIFS('CHAM_CONG_NGAY'!$P$6:$P$4655,'CHAM_CONG_NGAY'!$B$6:$B$4655,$B56,'CHAM_CONG_NGAY'!$C$6:$C$4655,"&gt;="&amp;'THAM_SO'!$B$6,'CHAM_CONG_NGAY'!$C$6:$C$4655,"&lt;="&amp;'THAM_SO'!$B$7),$AM56))</f>
        <v/>
      </c>
      <c r="AT56" s="232">
        <f>IF($B56="","",IF($D56="Theo ngày",SUMIFS('CHAM_CONG_NGAY'!$Q$6:$Q$4655,'CHAM_CONG_NGAY'!$B$6:$B$4655,$B56,'CHAM_CONG_NGAY'!$C$6:$C$4655,"&gt;="&amp;'THAM_SO'!$B$6,'CHAM_CONG_NGAY'!$C$6:$C$4655,"&lt;="&amp;'THAM_SO'!$B$7),$AN56))</f>
        <v/>
      </c>
      <c r="AU56" s="232">
        <f>IF($B56="","",IF($D56="Theo ngày",SUMIFS('CHAM_CONG_NGAY'!$R$6:$R$4655,'CHAM_CONG_NGAY'!$B$6:$B$4655,$B56,'CHAM_CONG_NGAY'!$C$6:$C$4655,"&gt;="&amp;'THAM_SO'!$B$6,'CHAM_CONG_NGAY'!$C$6:$C$4655,"&lt;="&amp;'THAM_SO'!$B$7),$AO56))</f>
        <v/>
      </c>
      <c r="AV56" s="232">
        <f>IF($B56="","",IF($D56="Theo ngày",SUMIFS('CHAM_CONG_NGAY'!$S$6:$S$4655,'CHAM_CONG_NGAY'!$B$6:$B$4655,$B56,'CHAM_CONG_NGAY'!$C$6:$C$4655,"&gt;="&amp;'THAM_SO'!$B$6,'CHAM_CONG_NGAY'!$C$6:$C$4655,"&lt;="&amp;'THAM_SO'!$B$7),$AP56))</f>
        <v/>
      </c>
      <c r="AW56" s="232">
        <f>IF($B56="","",IF($D56="Theo ngày",SUMIFS('CHAM_CONG_NGAY'!$T$6:$T$4655,'CHAM_CONG_NGAY'!$B$6:$B$4655,$B56,'CHAM_CONG_NGAY'!$C$6:$C$4655,"&gt;="&amp;'THAM_SO'!$B$6,'CHAM_CONG_NGAY'!$C$6:$C$4655,"&lt;="&amp;'THAM_SO'!$B$7),$AQ56))</f>
        <v/>
      </c>
    </row>
    <row r="57">
      <c r="A57" s="145">
        <f>IF($B57="","",ROW()-5)</f>
        <v/>
      </c>
      <c r="B57" s="145">
        <f>IF('DM_NHAN_SU'!B57="","",'DM_NHAN_SU'!B57)</f>
        <v/>
      </c>
      <c r="C57" s="145">
        <f>IF('DM_NHAN_SU'!B57="","",'DM_NHAN_SU'!C57)</f>
        <v/>
      </c>
      <c r="D57" s="127" t="n"/>
      <c r="E57" s="227" t="n"/>
      <c r="F57" s="227" t="n"/>
      <c r="G57" s="227" t="n"/>
      <c r="H57" s="227" t="n"/>
      <c r="I57" s="227" t="n"/>
      <c r="J57" s="227" t="n"/>
      <c r="K57" s="227" t="n"/>
      <c r="L57" s="227" t="n"/>
      <c r="M57" s="227" t="n"/>
      <c r="N57" s="227" t="n"/>
      <c r="O57" s="222" t="n"/>
      <c r="P57" s="222" t="n"/>
      <c r="Q57" s="222" t="n"/>
      <c r="R57" s="222" t="n"/>
      <c r="S57" s="222" t="n"/>
      <c r="T57" s="222" t="n"/>
      <c r="U57" s="222" t="n"/>
      <c r="V57" s="222" t="n"/>
      <c r="W57" s="222" t="n"/>
      <c r="X57" s="222" t="n"/>
      <c r="Y57" s="222" t="n"/>
      <c r="Z57" s="222" t="n"/>
      <c r="AA57" s="127" t="n"/>
      <c r="AB57" s="127" t="n"/>
      <c r="AC57" s="232">
        <f>IF($B57="","",IF($D57="Theo ngày",SUMIFS('CHAM_CONG_NGAY'!$E$6:$E$4655,'CHAM_CONG_NGAY'!$B$6:$B$4655,$B57,'CHAM_CONG_NGAY'!$C$6:$C$4655,"&gt;="&amp;'THAM_SO'!$B$6,'CHAM_CONG_NGAY'!$C$6:$C$4655,"&lt;="&amp;'THAM_SO'!$B$7),$E57))</f>
        <v/>
      </c>
      <c r="AD57" s="232">
        <f>IF($B57="","",IF($D57="Theo ngày",SUMIFS('CHAM_CONG_NGAY'!$F$6:$F$4655,'CHAM_CONG_NGAY'!$B$6:$B$4655,$B57,'CHAM_CONG_NGAY'!$C$6:$C$4655,"&gt;="&amp;'THAM_SO'!$B$6,'CHAM_CONG_NGAY'!$C$6:$C$4655,"&lt;="&amp;'THAM_SO'!$B$7),$F57))</f>
        <v/>
      </c>
      <c r="AE57" s="232">
        <f>IF($B57="","",IF($D57="Theo ngày",SUMIFS('CHAM_CONG_NGAY'!$G$6:$G$4655,'CHAM_CONG_NGAY'!$B$6:$B$4655,$B57,'CHAM_CONG_NGAY'!$C$6:$C$4655,"&gt;="&amp;'THAM_SO'!$B$6,'CHAM_CONG_NGAY'!$C$6:$C$4655,"&lt;="&amp;'THAM_SO'!$B$7),$G57))</f>
        <v/>
      </c>
      <c r="AF57" s="232">
        <f>IF($B57="","",IF($D57="Theo ngày",SUMIFS('CHAM_CONG_NGAY'!$H$6:$H$4655,'CHAM_CONG_NGAY'!$B$6:$B$4655,$B57,'CHAM_CONG_NGAY'!$C$6:$C$4655,"&gt;="&amp;'THAM_SO'!$B$6,'CHAM_CONG_NGAY'!$C$6:$C$4655,"&lt;="&amp;'THAM_SO'!$B$7),$H57))</f>
        <v/>
      </c>
      <c r="AG57" s="232">
        <f>IF($B57="","",IF($D57="Theo ngày",SUMIFS('CHAM_CONG_NGAY'!$I$6:$I$4655,'CHAM_CONG_NGAY'!$B$6:$B$4655,$B57,'CHAM_CONG_NGAY'!$C$6:$C$4655,"&gt;="&amp;'THAM_SO'!$B$6,'CHAM_CONG_NGAY'!$C$6:$C$4655,"&lt;="&amp;'THAM_SO'!$B$7),$I57))</f>
        <v/>
      </c>
      <c r="AH57" s="232">
        <f>IF($B57="","",IF($D57="Theo ngày",SUMIFS('CHAM_CONG_NGAY'!$J$6:$J$4655,'CHAM_CONG_NGAY'!$B$6:$B$4655,$B57,'CHAM_CONG_NGAY'!$C$6:$C$4655,"&gt;="&amp;'THAM_SO'!$B$6,'CHAM_CONG_NGAY'!$C$6:$C$4655,"&lt;="&amp;'THAM_SO'!$B$7),$J57))</f>
        <v/>
      </c>
      <c r="AI57" s="232">
        <f>IF($B57="","",IF($D57="Theo ngày",SUMIFS('CHAM_CONG_NGAY'!$K$6:$K$4655,'CHAM_CONG_NGAY'!$B$6:$B$4655,$B57,'CHAM_CONG_NGAY'!$C$6:$C$4655,"&gt;="&amp;'THAM_SO'!$B$6,'CHAM_CONG_NGAY'!$C$6:$C$4655,"&lt;="&amp;'THAM_SO'!$B$7),$K57))</f>
        <v/>
      </c>
      <c r="AJ57" s="232">
        <f>IF($B57="","",IF($D57="Theo ngày",SUMIFS('CHAM_CONG_NGAY'!$L$6:$L$4655,'CHAM_CONG_NGAY'!$B$6:$B$4655,$B57,'CHAM_CONG_NGAY'!$C$6:$C$4655,"&gt;="&amp;'THAM_SO'!$B$6,'CHAM_CONG_NGAY'!$C$6:$C$4655,"&lt;="&amp;'THAM_SO'!$B$7),$L57))</f>
        <v/>
      </c>
      <c r="AK57" s="232">
        <f>IF($B57="","",IF($D57="Theo ngày",SUMIFS('CHAM_CONG_NGAY'!$M$6:$M$4655,'CHAM_CONG_NGAY'!$B$6:$B$4655,$B57,'CHAM_CONG_NGAY'!$C$6:$C$4655,"&gt;="&amp;'THAM_SO'!$B$6,'CHAM_CONG_NGAY'!$C$6:$C$4655,"&lt;="&amp;'THAM_SO'!$B$7),$M57))</f>
        <v/>
      </c>
      <c r="AL57" s="227" t="n"/>
      <c r="AM57" s="227" t="n"/>
      <c r="AN57" s="227" t="n"/>
      <c r="AO57" s="227" t="n"/>
      <c r="AP57" s="227" t="n"/>
      <c r="AQ57" s="227" t="n"/>
      <c r="AR57" s="232">
        <f>IF($B57="","",IF($D57="Theo ngày",SUMIFS('CHAM_CONG_NGAY'!$O$6:$O$4655,'CHAM_CONG_NGAY'!$B$6:$B$4655,$B57,'CHAM_CONG_NGAY'!$C$6:$C$4655,"&gt;="&amp;'THAM_SO'!$B$6,'CHAM_CONG_NGAY'!$C$6:$C$4655,"&lt;="&amp;'THAM_SO'!$B$7),$AL57))</f>
        <v/>
      </c>
      <c r="AS57" s="232">
        <f>IF($B57="","",IF($D57="Theo ngày",SUMIFS('CHAM_CONG_NGAY'!$P$6:$P$4655,'CHAM_CONG_NGAY'!$B$6:$B$4655,$B57,'CHAM_CONG_NGAY'!$C$6:$C$4655,"&gt;="&amp;'THAM_SO'!$B$6,'CHAM_CONG_NGAY'!$C$6:$C$4655,"&lt;="&amp;'THAM_SO'!$B$7),$AM57))</f>
        <v/>
      </c>
      <c r="AT57" s="232">
        <f>IF($B57="","",IF($D57="Theo ngày",SUMIFS('CHAM_CONG_NGAY'!$Q$6:$Q$4655,'CHAM_CONG_NGAY'!$B$6:$B$4655,$B57,'CHAM_CONG_NGAY'!$C$6:$C$4655,"&gt;="&amp;'THAM_SO'!$B$6,'CHAM_CONG_NGAY'!$C$6:$C$4655,"&lt;="&amp;'THAM_SO'!$B$7),$AN57))</f>
        <v/>
      </c>
      <c r="AU57" s="232">
        <f>IF($B57="","",IF($D57="Theo ngày",SUMIFS('CHAM_CONG_NGAY'!$R$6:$R$4655,'CHAM_CONG_NGAY'!$B$6:$B$4655,$B57,'CHAM_CONG_NGAY'!$C$6:$C$4655,"&gt;="&amp;'THAM_SO'!$B$6,'CHAM_CONG_NGAY'!$C$6:$C$4655,"&lt;="&amp;'THAM_SO'!$B$7),$AO57))</f>
        <v/>
      </c>
      <c r="AV57" s="232">
        <f>IF($B57="","",IF($D57="Theo ngày",SUMIFS('CHAM_CONG_NGAY'!$S$6:$S$4655,'CHAM_CONG_NGAY'!$B$6:$B$4655,$B57,'CHAM_CONG_NGAY'!$C$6:$C$4655,"&gt;="&amp;'THAM_SO'!$B$6,'CHAM_CONG_NGAY'!$C$6:$C$4655,"&lt;="&amp;'THAM_SO'!$B$7),$AP57))</f>
        <v/>
      </c>
      <c r="AW57" s="232">
        <f>IF($B57="","",IF($D57="Theo ngày",SUMIFS('CHAM_CONG_NGAY'!$T$6:$T$4655,'CHAM_CONG_NGAY'!$B$6:$B$4655,$B57,'CHAM_CONG_NGAY'!$C$6:$C$4655,"&gt;="&amp;'THAM_SO'!$B$6,'CHAM_CONG_NGAY'!$C$6:$C$4655,"&lt;="&amp;'THAM_SO'!$B$7),$AQ57))</f>
        <v/>
      </c>
    </row>
    <row r="58">
      <c r="A58" s="145">
        <f>IF($B58="","",ROW()-5)</f>
        <v/>
      </c>
      <c r="B58" s="145">
        <f>IF('DM_NHAN_SU'!B58="","",'DM_NHAN_SU'!B58)</f>
        <v/>
      </c>
      <c r="C58" s="145">
        <f>IF('DM_NHAN_SU'!B58="","",'DM_NHAN_SU'!C58)</f>
        <v/>
      </c>
      <c r="D58" s="127" t="n"/>
      <c r="E58" s="227" t="n"/>
      <c r="F58" s="227" t="n"/>
      <c r="G58" s="227" t="n"/>
      <c r="H58" s="227" t="n"/>
      <c r="I58" s="227" t="n"/>
      <c r="J58" s="227" t="n"/>
      <c r="K58" s="227" t="n"/>
      <c r="L58" s="227" t="n"/>
      <c r="M58" s="227" t="n"/>
      <c r="N58" s="227" t="n"/>
      <c r="O58" s="222" t="n"/>
      <c r="P58" s="222" t="n"/>
      <c r="Q58" s="222" t="n"/>
      <c r="R58" s="222" t="n"/>
      <c r="S58" s="222" t="n"/>
      <c r="T58" s="222" t="n"/>
      <c r="U58" s="222" t="n"/>
      <c r="V58" s="222" t="n"/>
      <c r="W58" s="222" t="n"/>
      <c r="X58" s="222" t="n"/>
      <c r="Y58" s="222" t="n"/>
      <c r="Z58" s="222" t="n"/>
      <c r="AA58" s="127" t="n"/>
      <c r="AB58" s="127" t="n"/>
      <c r="AC58" s="232">
        <f>IF($B58="","",IF($D58="Theo ngày",SUMIFS('CHAM_CONG_NGAY'!$E$6:$E$4655,'CHAM_CONG_NGAY'!$B$6:$B$4655,$B58,'CHAM_CONG_NGAY'!$C$6:$C$4655,"&gt;="&amp;'THAM_SO'!$B$6,'CHAM_CONG_NGAY'!$C$6:$C$4655,"&lt;="&amp;'THAM_SO'!$B$7),$E58))</f>
        <v/>
      </c>
      <c r="AD58" s="232">
        <f>IF($B58="","",IF($D58="Theo ngày",SUMIFS('CHAM_CONG_NGAY'!$F$6:$F$4655,'CHAM_CONG_NGAY'!$B$6:$B$4655,$B58,'CHAM_CONG_NGAY'!$C$6:$C$4655,"&gt;="&amp;'THAM_SO'!$B$6,'CHAM_CONG_NGAY'!$C$6:$C$4655,"&lt;="&amp;'THAM_SO'!$B$7),$F58))</f>
        <v/>
      </c>
      <c r="AE58" s="232">
        <f>IF($B58="","",IF($D58="Theo ngày",SUMIFS('CHAM_CONG_NGAY'!$G$6:$G$4655,'CHAM_CONG_NGAY'!$B$6:$B$4655,$B58,'CHAM_CONG_NGAY'!$C$6:$C$4655,"&gt;="&amp;'THAM_SO'!$B$6,'CHAM_CONG_NGAY'!$C$6:$C$4655,"&lt;="&amp;'THAM_SO'!$B$7),$G58))</f>
        <v/>
      </c>
      <c r="AF58" s="232">
        <f>IF($B58="","",IF($D58="Theo ngày",SUMIFS('CHAM_CONG_NGAY'!$H$6:$H$4655,'CHAM_CONG_NGAY'!$B$6:$B$4655,$B58,'CHAM_CONG_NGAY'!$C$6:$C$4655,"&gt;="&amp;'THAM_SO'!$B$6,'CHAM_CONG_NGAY'!$C$6:$C$4655,"&lt;="&amp;'THAM_SO'!$B$7),$H58))</f>
        <v/>
      </c>
      <c r="AG58" s="232">
        <f>IF($B58="","",IF($D58="Theo ngày",SUMIFS('CHAM_CONG_NGAY'!$I$6:$I$4655,'CHAM_CONG_NGAY'!$B$6:$B$4655,$B58,'CHAM_CONG_NGAY'!$C$6:$C$4655,"&gt;="&amp;'THAM_SO'!$B$6,'CHAM_CONG_NGAY'!$C$6:$C$4655,"&lt;="&amp;'THAM_SO'!$B$7),$I58))</f>
        <v/>
      </c>
      <c r="AH58" s="232">
        <f>IF($B58="","",IF($D58="Theo ngày",SUMIFS('CHAM_CONG_NGAY'!$J$6:$J$4655,'CHAM_CONG_NGAY'!$B$6:$B$4655,$B58,'CHAM_CONG_NGAY'!$C$6:$C$4655,"&gt;="&amp;'THAM_SO'!$B$6,'CHAM_CONG_NGAY'!$C$6:$C$4655,"&lt;="&amp;'THAM_SO'!$B$7),$J58))</f>
        <v/>
      </c>
      <c r="AI58" s="232">
        <f>IF($B58="","",IF($D58="Theo ngày",SUMIFS('CHAM_CONG_NGAY'!$K$6:$K$4655,'CHAM_CONG_NGAY'!$B$6:$B$4655,$B58,'CHAM_CONG_NGAY'!$C$6:$C$4655,"&gt;="&amp;'THAM_SO'!$B$6,'CHAM_CONG_NGAY'!$C$6:$C$4655,"&lt;="&amp;'THAM_SO'!$B$7),$K58))</f>
        <v/>
      </c>
      <c r="AJ58" s="232">
        <f>IF($B58="","",IF($D58="Theo ngày",SUMIFS('CHAM_CONG_NGAY'!$L$6:$L$4655,'CHAM_CONG_NGAY'!$B$6:$B$4655,$B58,'CHAM_CONG_NGAY'!$C$6:$C$4655,"&gt;="&amp;'THAM_SO'!$B$6,'CHAM_CONG_NGAY'!$C$6:$C$4655,"&lt;="&amp;'THAM_SO'!$B$7),$L58))</f>
        <v/>
      </c>
      <c r="AK58" s="232">
        <f>IF($B58="","",IF($D58="Theo ngày",SUMIFS('CHAM_CONG_NGAY'!$M$6:$M$4655,'CHAM_CONG_NGAY'!$B$6:$B$4655,$B58,'CHAM_CONG_NGAY'!$C$6:$C$4655,"&gt;="&amp;'THAM_SO'!$B$6,'CHAM_CONG_NGAY'!$C$6:$C$4655,"&lt;="&amp;'THAM_SO'!$B$7),$M58))</f>
        <v/>
      </c>
      <c r="AL58" s="227" t="n"/>
      <c r="AM58" s="227" t="n"/>
      <c r="AN58" s="227" t="n"/>
      <c r="AO58" s="227" t="n"/>
      <c r="AP58" s="227" t="n"/>
      <c r="AQ58" s="227" t="n"/>
      <c r="AR58" s="232">
        <f>IF($B58="","",IF($D58="Theo ngày",SUMIFS('CHAM_CONG_NGAY'!$O$6:$O$4655,'CHAM_CONG_NGAY'!$B$6:$B$4655,$B58,'CHAM_CONG_NGAY'!$C$6:$C$4655,"&gt;="&amp;'THAM_SO'!$B$6,'CHAM_CONG_NGAY'!$C$6:$C$4655,"&lt;="&amp;'THAM_SO'!$B$7),$AL58))</f>
        <v/>
      </c>
      <c r="AS58" s="232">
        <f>IF($B58="","",IF($D58="Theo ngày",SUMIFS('CHAM_CONG_NGAY'!$P$6:$P$4655,'CHAM_CONG_NGAY'!$B$6:$B$4655,$B58,'CHAM_CONG_NGAY'!$C$6:$C$4655,"&gt;="&amp;'THAM_SO'!$B$6,'CHAM_CONG_NGAY'!$C$6:$C$4655,"&lt;="&amp;'THAM_SO'!$B$7),$AM58))</f>
        <v/>
      </c>
      <c r="AT58" s="232">
        <f>IF($B58="","",IF($D58="Theo ngày",SUMIFS('CHAM_CONG_NGAY'!$Q$6:$Q$4655,'CHAM_CONG_NGAY'!$B$6:$B$4655,$B58,'CHAM_CONG_NGAY'!$C$6:$C$4655,"&gt;="&amp;'THAM_SO'!$B$6,'CHAM_CONG_NGAY'!$C$6:$C$4655,"&lt;="&amp;'THAM_SO'!$B$7),$AN58))</f>
        <v/>
      </c>
      <c r="AU58" s="232">
        <f>IF($B58="","",IF($D58="Theo ngày",SUMIFS('CHAM_CONG_NGAY'!$R$6:$R$4655,'CHAM_CONG_NGAY'!$B$6:$B$4655,$B58,'CHAM_CONG_NGAY'!$C$6:$C$4655,"&gt;="&amp;'THAM_SO'!$B$6,'CHAM_CONG_NGAY'!$C$6:$C$4655,"&lt;="&amp;'THAM_SO'!$B$7),$AO58))</f>
        <v/>
      </c>
      <c r="AV58" s="232">
        <f>IF($B58="","",IF($D58="Theo ngày",SUMIFS('CHAM_CONG_NGAY'!$S$6:$S$4655,'CHAM_CONG_NGAY'!$B$6:$B$4655,$B58,'CHAM_CONG_NGAY'!$C$6:$C$4655,"&gt;="&amp;'THAM_SO'!$B$6,'CHAM_CONG_NGAY'!$C$6:$C$4655,"&lt;="&amp;'THAM_SO'!$B$7),$AP58))</f>
        <v/>
      </c>
      <c r="AW58" s="232">
        <f>IF($B58="","",IF($D58="Theo ngày",SUMIFS('CHAM_CONG_NGAY'!$T$6:$T$4655,'CHAM_CONG_NGAY'!$B$6:$B$4655,$B58,'CHAM_CONG_NGAY'!$C$6:$C$4655,"&gt;="&amp;'THAM_SO'!$B$6,'CHAM_CONG_NGAY'!$C$6:$C$4655,"&lt;="&amp;'THAM_SO'!$B$7),$AQ58))</f>
        <v/>
      </c>
    </row>
    <row r="59">
      <c r="A59" s="145">
        <f>IF($B59="","",ROW()-5)</f>
        <v/>
      </c>
      <c r="B59" s="145">
        <f>IF('DM_NHAN_SU'!B59="","",'DM_NHAN_SU'!B59)</f>
        <v/>
      </c>
      <c r="C59" s="145">
        <f>IF('DM_NHAN_SU'!B59="","",'DM_NHAN_SU'!C59)</f>
        <v/>
      </c>
      <c r="D59" s="127" t="n"/>
      <c r="E59" s="227" t="n"/>
      <c r="F59" s="227" t="n"/>
      <c r="G59" s="227" t="n"/>
      <c r="H59" s="227" t="n"/>
      <c r="I59" s="227" t="n"/>
      <c r="J59" s="227" t="n"/>
      <c r="K59" s="227" t="n"/>
      <c r="L59" s="227" t="n"/>
      <c r="M59" s="227" t="n"/>
      <c r="N59" s="227" t="n"/>
      <c r="O59" s="222" t="n"/>
      <c r="P59" s="222" t="n"/>
      <c r="Q59" s="222" t="n"/>
      <c r="R59" s="222" t="n"/>
      <c r="S59" s="222" t="n"/>
      <c r="T59" s="222" t="n"/>
      <c r="U59" s="222" t="n"/>
      <c r="V59" s="222" t="n"/>
      <c r="W59" s="222" t="n"/>
      <c r="X59" s="222" t="n"/>
      <c r="Y59" s="222" t="n"/>
      <c r="Z59" s="222" t="n"/>
      <c r="AA59" s="127" t="n"/>
      <c r="AB59" s="127" t="n"/>
      <c r="AC59" s="232">
        <f>IF($B59="","",IF($D59="Theo ngày",SUMIFS('CHAM_CONG_NGAY'!$E$6:$E$4655,'CHAM_CONG_NGAY'!$B$6:$B$4655,$B59,'CHAM_CONG_NGAY'!$C$6:$C$4655,"&gt;="&amp;'THAM_SO'!$B$6,'CHAM_CONG_NGAY'!$C$6:$C$4655,"&lt;="&amp;'THAM_SO'!$B$7),$E59))</f>
        <v/>
      </c>
      <c r="AD59" s="232">
        <f>IF($B59="","",IF($D59="Theo ngày",SUMIFS('CHAM_CONG_NGAY'!$F$6:$F$4655,'CHAM_CONG_NGAY'!$B$6:$B$4655,$B59,'CHAM_CONG_NGAY'!$C$6:$C$4655,"&gt;="&amp;'THAM_SO'!$B$6,'CHAM_CONG_NGAY'!$C$6:$C$4655,"&lt;="&amp;'THAM_SO'!$B$7),$F59))</f>
        <v/>
      </c>
      <c r="AE59" s="232">
        <f>IF($B59="","",IF($D59="Theo ngày",SUMIFS('CHAM_CONG_NGAY'!$G$6:$G$4655,'CHAM_CONG_NGAY'!$B$6:$B$4655,$B59,'CHAM_CONG_NGAY'!$C$6:$C$4655,"&gt;="&amp;'THAM_SO'!$B$6,'CHAM_CONG_NGAY'!$C$6:$C$4655,"&lt;="&amp;'THAM_SO'!$B$7),$G59))</f>
        <v/>
      </c>
      <c r="AF59" s="232">
        <f>IF($B59="","",IF($D59="Theo ngày",SUMIFS('CHAM_CONG_NGAY'!$H$6:$H$4655,'CHAM_CONG_NGAY'!$B$6:$B$4655,$B59,'CHAM_CONG_NGAY'!$C$6:$C$4655,"&gt;="&amp;'THAM_SO'!$B$6,'CHAM_CONG_NGAY'!$C$6:$C$4655,"&lt;="&amp;'THAM_SO'!$B$7),$H59))</f>
        <v/>
      </c>
      <c r="AG59" s="232">
        <f>IF($B59="","",IF($D59="Theo ngày",SUMIFS('CHAM_CONG_NGAY'!$I$6:$I$4655,'CHAM_CONG_NGAY'!$B$6:$B$4655,$B59,'CHAM_CONG_NGAY'!$C$6:$C$4655,"&gt;="&amp;'THAM_SO'!$B$6,'CHAM_CONG_NGAY'!$C$6:$C$4655,"&lt;="&amp;'THAM_SO'!$B$7),$I59))</f>
        <v/>
      </c>
      <c r="AH59" s="232">
        <f>IF($B59="","",IF($D59="Theo ngày",SUMIFS('CHAM_CONG_NGAY'!$J$6:$J$4655,'CHAM_CONG_NGAY'!$B$6:$B$4655,$B59,'CHAM_CONG_NGAY'!$C$6:$C$4655,"&gt;="&amp;'THAM_SO'!$B$6,'CHAM_CONG_NGAY'!$C$6:$C$4655,"&lt;="&amp;'THAM_SO'!$B$7),$J59))</f>
        <v/>
      </c>
      <c r="AI59" s="232">
        <f>IF($B59="","",IF($D59="Theo ngày",SUMIFS('CHAM_CONG_NGAY'!$K$6:$K$4655,'CHAM_CONG_NGAY'!$B$6:$B$4655,$B59,'CHAM_CONG_NGAY'!$C$6:$C$4655,"&gt;="&amp;'THAM_SO'!$B$6,'CHAM_CONG_NGAY'!$C$6:$C$4655,"&lt;="&amp;'THAM_SO'!$B$7),$K59))</f>
        <v/>
      </c>
      <c r="AJ59" s="232">
        <f>IF($B59="","",IF($D59="Theo ngày",SUMIFS('CHAM_CONG_NGAY'!$L$6:$L$4655,'CHAM_CONG_NGAY'!$B$6:$B$4655,$B59,'CHAM_CONG_NGAY'!$C$6:$C$4655,"&gt;="&amp;'THAM_SO'!$B$6,'CHAM_CONG_NGAY'!$C$6:$C$4655,"&lt;="&amp;'THAM_SO'!$B$7),$L59))</f>
        <v/>
      </c>
      <c r="AK59" s="232">
        <f>IF($B59="","",IF($D59="Theo ngày",SUMIFS('CHAM_CONG_NGAY'!$M$6:$M$4655,'CHAM_CONG_NGAY'!$B$6:$B$4655,$B59,'CHAM_CONG_NGAY'!$C$6:$C$4655,"&gt;="&amp;'THAM_SO'!$B$6,'CHAM_CONG_NGAY'!$C$6:$C$4655,"&lt;="&amp;'THAM_SO'!$B$7),$M59))</f>
        <v/>
      </c>
      <c r="AL59" s="227" t="n"/>
      <c r="AM59" s="227" t="n"/>
      <c r="AN59" s="227" t="n"/>
      <c r="AO59" s="227" t="n"/>
      <c r="AP59" s="227" t="n"/>
      <c r="AQ59" s="227" t="n"/>
      <c r="AR59" s="232">
        <f>IF($B59="","",IF($D59="Theo ngày",SUMIFS('CHAM_CONG_NGAY'!$O$6:$O$4655,'CHAM_CONG_NGAY'!$B$6:$B$4655,$B59,'CHAM_CONG_NGAY'!$C$6:$C$4655,"&gt;="&amp;'THAM_SO'!$B$6,'CHAM_CONG_NGAY'!$C$6:$C$4655,"&lt;="&amp;'THAM_SO'!$B$7),$AL59))</f>
        <v/>
      </c>
      <c r="AS59" s="232">
        <f>IF($B59="","",IF($D59="Theo ngày",SUMIFS('CHAM_CONG_NGAY'!$P$6:$P$4655,'CHAM_CONG_NGAY'!$B$6:$B$4655,$B59,'CHAM_CONG_NGAY'!$C$6:$C$4655,"&gt;="&amp;'THAM_SO'!$B$6,'CHAM_CONG_NGAY'!$C$6:$C$4655,"&lt;="&amp;'THAM_SO'!$B$7),$AM59))</f>
        <v/>
      </c>
      <c r="AT59" s="232">
        <f>IF($B59="","",IF($D59="Theo ngày",SUMIFS('CHAM_CONG_NGAY'!$Q$6:$Q$4655,'CHAM_CONG_NGAY'!$B$6:$B$4655,$B59,'CHAM_CONG_NGAY'!$C$6:$C$4655,"&gt;="&amp;'THAM_SO'!$B$6,'CHAM_CONG_NGAY'!$C$6:$C$4655,"&lt;="&amp;'THAM_SO'!$B$7),$AN59))</f>
        <v/>
      </c>
      <c r="AU59" s="232">
        <f>IF($B59="","",IF($D59="Theo ngày",SUMIFS('CHAM_CONG_NGAY'!$R$6:$R$4655,'CHAM_CONG_NGAY'!$B$6:$B$4655,$B59,'CHAM_CONG_NGAY'!$C$6:$C$4655,"&gt;="&amp;'THAM_SO'!$B$6,'CHAM_CONG_NGAY'!$C$6:$C$4655,"&lt;="&amp;'THAM_SO'!$B$7),$AO59))</f>
        <v/>
      </c>
      <c r="AV59" s="232">
        <f>IF($B59="","",IF($D59="Theo ngày",SUMIFS('CHAM_CONG_NGAY'!$S$6:$S$4655,'CHAM_CONG_NGAY'!$B$6:$B$4655,$B59,'CHAM_CONG_NGAY'!$C$6:$C$4655,"&gt;="&amp;'THAM_SO'!$B$6,'CHAM_CONG_NGAY'!$C$6:$C$4655,"&lt;="&amp;'THAM_SO'!$B$7),$AP59))</f>
        <v/>
      </c>
      <c r="AW59" s="232">
        <f>IF($B59="","",IF($D59="Theo ngày",SUMIFS('CHAM_CONG_NGAY'!$T$6:$T$4655,'CHAM_CONG_NGAY'!$B$6:$B$4655,$B59,'CHAM_CONG_NGAY'!$C$6:$C$4655,"&gt;="&amp;'THAM_SO'!$B$6,'CHAM_CONG_NGAY'!$C$6:$C$4655,"&lt;="&amp;'THAM_SO'!$B$7),$AQ59))</f>
        <v/>
      </c>
    </row>
    <row r="60">
      <c r="A60" s="145">
        <f>IF($B60="","",ROW()-5)</f>
        <v/>
      </c>
      <c r="B60" s="145">
        <f>IF('DM_NHAN_SU'!B60="","",'DM_NHAN_SU'!B60)</f>
        <v/>
      </c>
      <c r="C60" s="145">
        <f>IF('DM_NHAN_SU'!B60="","",'DM_NHAN_SU'!C60)</f>
        <v/>
      </c>
      <c r="D60" s="127" t="n"/>
      <c r="E60" s="227" t="n"/>
      <c r="F60" s="227" t="n"/>
      <c r="G60" s="227" t="n"/>
      <c r="H60" s="227" t="n"/>
      <c r="I60" s="227" t="n"/>
      <c r="J60" s="227" t="n"/>
      <c r="K60" s="227" t="n"/>
      <c r="L60" s="227" t="n"/>
      <c r="M60" s="227" t="n"/>
      <c r="N60" s="227" t="n"/>
      <c r="O60" s="222" t="n"/>
      <c r="P60" s="222" t="n"/>
      <c r="Q60" s="222" t="n"/>
      <c r="R60" s="222" t="n"/>
      <c r="S60" s="222" t="n"/>
      <c r="T60" s="222" t="n"/>
      <c r="U60" s="222" t="n"/>
      <c r="V60" s="222" t="n"/>
      <c r="W60" s="222" t="n"/>
      <c r="X60" s="222" t="n"/>
      <c r="Y60" s="222" t="n"/>
      <c r="Z60" s="222" t="n"/>
      <c r="AA60" s="127" t="n"/>
      <c r="AB60" s="127" t="n"/>
      <c r="AC60" s="232">
        <f>IF($B60="","",IF($D60="Theo ngày",SUMIFS('CHAM_CONG_NGAY'!$E$6:$E$4655,'CHAM_CONG_NGAY'!$B$6:$B$4655,$B60,'CHAM_CONG_NGAY'!$C$6:$C$4655,"&gt;="&amp;'THAM_SO'!$B$6,'CHAM_CONG_NGAY'!$C$6:$C$4655,"&lt;="&amp;'THAM_SO'!$B$7),$E60))</f>
        <v/>
      </c>
      <c r="AD60" s="232">
        <f>IF($B60="","",IF($D60="Theo ngày",SUMIFS('CHAM_CONG_NGAY'!$F$6:$F$4655,'CHAM_CONG_NGAY'!$B$6:$B$4655,$B60,'CHAM_CONG_NGAY'!$C$6:$C$4655,"&gt;="&amp;'THAM_SO'!$B$6,'CHAM_CONG_NGAY'!$C$6:$C$4655,"&lt;="&amp;'THAM_SO'!$B$7),$F60))</f>
        <v/>
      </c>
      <c r="AE60" s="232">
        <f>IF($B60="","",IF($D60="Theo ngày",SUMIFS('CHAM_CONG_NGAY'!$G$6:$G$4655,'CHAM_CONG_NGAY'!$B$6:$B$4655,$B60,'CHAM_CONG_NGAY'!$C$6:$C$4655,"&gt;="&amp;'THAM_SO'!$B$6,'CHAM_CONG_NGAY'!$C$6:$C$4655,"&lt;="&amp;'THAM_SO'!$B$7),$G60))</f>
        <v/>
      </c>
      <c r="AF60" s="232">
        <f>IF($B60="","",IF($D60="Theo ngày",SUMIFS('CHAM_CONG_NGAY'!$H$6:$H$4655,'CHAM_CONG_NGAY'!$B$6:$B$4655,$B60,'CHAM_CONG_NGAY'!$C$6:$C$4655,"&gt;="&amp;'THAM_SO'!$B$6,'CHAM_CONG_NGAY'!$C$6:$C$4655,"&lt;="&amp;'THAM_SO'!$B$7),$H60))</f>
        <v/>
      </c>
      <c r="AG60" s="232">
        <f>IF($B60="","",IF($D60="Theo ngày",SUMIFS('CHAM_CONG_NGAY'!$I$6:$I$4655,'CHAM_CONG_NGAY'!$B$6:$B$4655,$B60,'CHAM_CONG_NGAY'!$C$6:$C$4655,"&gt;="&amp;'THAM_SO'!$B$6,'CHAM_CONG_NGAY'!$C$6:$C$4655,"&lt;="&amp;'THAM_SO'!$B$7),$I60))</f>
        <v/>
      </c>
      <c r="AH60" s="232">
        <f>IF($B60="","",IF($D60="Theo ngày",SUMIFS('CHAM_CONG_NGAY'!$J$6:$J$4655,'CHAM_CONG_NGAY'!$B$6:$B$4655,$B60,'CHAM_CONG_NGAY'!$C$6:$C$4655,"&gt;="&amp;'THAM_SO'!$B$6,'CHAM_CONG_NGAY'!$C$6:$C$4655,"&lt;="&amp;'THAM_SO'!$B$7),$J60))</f>
        <v/>
      </c>
      <c r="AI60" s="232">
        <f>IF($B60="","",IF($D60="Theo ngày",SUMIFS('CHAM_CONG_NGAY'!$K$6:$K$4655,'CHAM_CONG_NGAY'!$B$6:$B$4655,$B60,'CHAM_CONG_NGAY'!$C$6:$C$4655,"&gt;="&amp;'THAM_SO'!$B$6,'CHAM_CONG_NGAY'!$C$6:$C$4655,"&lt;="&amp;'THAM_SO'!$B$7),$K60))</f>
        <v/>
      </c>
      <c r="AJ60" s="232">
        <f>IF($B60="","",IF($D60="Theo ngày",SUMIFS('CHAM_CONG_NGAY'!$L$6:$L$4655,'CHAM_CONG_NGAY'!$B$6:$B$4655,$B60,'CHAM_CONG_NGAY'!$C$6:$C$4655,"&gt;="&amp;'THAM_SO'!$B$6,'CHAM_CONG_NGAY'!$C$6:$C$4655,"&lt;="&amp;'THAM_SO'!$B$7),$L60))</f>
        <v/>
      </c>
      <c r="AK60" s="232">
        <f>IF($B60="","",IF($D60="Theo ngày",SUMIFS('CHAM_CONG_NGAY'!$M$6:$M$4655,'CHAM_CONG_NGAY'!$B$6:$B$4655,$B60,'CHAM_CONG_NGAY'!$C$6:$C$4655,"&gt;="&amp;'THAM_SO'!$B$6,'CHAM_CONG_NGAY'!$C$6:$C$4655,"&lt;="&amp;'THAM_SO'!$B$7),$M60))</f>
        <v/>
      </c>
      <c r="AL60" s="227" t="n"/>
      <c r="AM60" s="227" t="n"/>
      <c r="AN60" s="227" t="n"/>
      <c r="AO60" s="227" t="n"/>
      <c r="AP60" s="227" t="n"/>
      <c r="AQ60" s="227" t="n"/>
      <c r="AR60" s="232">
        <f>IF($B60="","",IF($D60="Theo ngày",SUMIFS('CHAM_CONG_NGAY'!$O$6:$O$4655,'CHAM_CONG_NGAY'!$B$6:$B$4655,$B60,'CHAM_CONG_NGAY'!$C$6:$C$4655,"&gt;="&amp;'THAM_SO'!$B$6,'CHAM_CONG_NGAY'!$C$6:$C$4655,"&lt;="&amp;'THAM_SO'!$B$7),$AL60))</f>
        <v/>
      </c>
      <c r="AS60" s="232">
        <f>IF($B60="","",IF($D60="Theo ngày",SUMIFS('CHAM_CONG_NGAY'!$P$6:$P$4655,'CHAM_CONG_NGAY'!$B$6:$B$4655,$B60,'CHAM_CONG_NGAY'!$C$6:$C$4655,"&gt;="&amp;'THAM_SO'!$B$6,'CHAM_CONG_NGAY'!$C$6:$C$4655,"&lt;="&amp;'THAM_SO'!$B$7),$AM60))</f>
        <v/>
      </c>
      <c r="AT60" s="232">
        <f>IF($B60="","",IF($D60="Theo ngày",SUMIFS('CHAM_CONG_NGAY'!$Q$6:$Q$4655,'CHAM_CONG_NGAY'!$B$6:$B$4655,$B60,'CHAM_CONG_NGAY'!$C$6:$C$4655,"&gt;="&amp;'THAM_SO'!$B$6,'CHAM_CONG_NGAY'!$C$6:$C$4655,"&lt;="&amp;'THAM_SO'!$B$7),$AN60))</f>
        <v/>
      </c>
      <c r="AU60" s="232">
        <f>IF($B60="","",IF($D60="Theo ngày",SUMIFS('CHAM_CONG_NGAY'!$R$6:$R$4655,'CHAM_CONG_NGAY'!$B$6:$B$4655,$B60,'CHAM_CONG_NGAY'!$C$6:$C$4655,"&gt;="&amp;'THAM_SO'!$B$6,'CHAM_CONG_NGAY'!$C$6:$C$4655,"&lt;="&amp;'THAM_SO'!$B$7),$AO60))</f>
        <v/>
      </c>
      <c r="AV60" s="232">
        <f>IF($B60="","",IF($D60="Theo ngày",SUMIFS('CHAM_CONG_NGAY'!$S$6:$S$4655,'CHAM_CONG_NGAY'!$B$6:$B$4655,$B60,'CHAM_CONG_NGAY'!$C$6:$C$4655,"&gt;="&amp;'THAM_SO'!$B$6,'CHAM_CONG_NGAY'!$C$6:$C$4655,"&lt;="&amp;'THAM_SO'!$B$7),$AP60))</f>
        <v/>
      </c>
      <c r="AW60" s="232">
        <f>IF($B60="","",IF($D60="Theo ngày",SUMIFS('CHAM_CONG_NGAY'!$T$6:$T$4655,'CHAM_CONG_NGAY'!$B$6:$B$4655,$B60,'CHAM_CONG_NGAY'!$C$6:$C$4655,"&gt;="&amp;'THAM_SO'!$B$6,'CHAM_CONG_NGAY'!$C$6:$C$4655,"&lt;="&amp;'THAM_SO'!$B$7),$AQ60))</f>
        <v/>
      </c>
    </row>
    <row r="61">
      <c r="A61" s="145">
        <f>IF($B61="","",ROW()-5)</f>
        <v/>
      </c>
      <c r="B61" s="145">
        <f>IF('DM_NHAN_SU'!B61="","",'DM_NHAN_SU'!B61)</f>
        <v/>
      </c>
      <c r="C61" s="145">
        <f>IF('DM_NHAN_SU'!B61="","",'DM_NHAN_SU'!C61)</f>
        <v/>
      </c>
      <c r="D61" s="127" t="n"/>
      <c r="E61" s="227" t="n"/>
      <c r="F61" s="227" t="n"/>
      <c r="G61" s="227" t="n"/>
      <c r="H61" s="227" t="n"/>
      <c r="I61" s="227" t="n"/>
      <c r="J61" s="227" t="n"/>
      <c r="K61" s="227" t="n"/>
      <c r="L61" s="227" t="n"/>
      <c r="M61" s="227" t="n"/>
      <c r="N61" s="227" t="n"/>
      <c r="O61" s="222" t="n"/>
      <c r="P61" s="222" t="n"/>
      <c r="Q61" s="222" t="n"/>
      <c r="R61" s="222" t="n"/>
      <c r="S61" s="222" t="n"/>
      <c r="T61" s="222" t="n"/>
      <c r="U61" s="222" t="n"/>
      <c r="V61" s="222" t="n"/>
      <c r="W61" s="222" t="n"/>
      <c r="X61" s="222" t="n"/>
      <c r="Y61" s="222" t="n"/>
      <c r="Z61" s="222" t="n"/>
      <c r="AA61" s="127" t="n"/>
      <c r="AB61" s="127" t="n"/>
      <c r="AC61" s="232">
        <f>IF($B61="","",IF($D61="Theo ngày",SUMIFS('CHAM_CONG_NGAY'!$E$6:$E$4655,'CHAM_CONG_NGAY'!$B$6:$B$4655,$B61,'CHAM_CONG_NGAY'!$C$6:$C$4655,"&gt;="&amp;'THAM_SO'!$B$6,'CHAM_CONG_NGAY'!$C$6:$C$4655,"&lt;="&amp;'THAM_SO'!$B$7),$E61))</f>
        <v/>
      </c>
      <c r="AD61" s="232">
        <f>IF($B61="","",IF($D61="Theo ngày",SUMIFS('CHAM_CONG_NGAY'!$F$6:$F$4655,'CHAM_CONG_NGAY'!$B$6:$B$4655,$B61,'CHAM_CONG_NGAY'!$C$6:$C$4655,"&gt;="&amp;'THAM_SO'!$B$6,'CHAM_CONG_NGAY'!$C$6:$C$4655,"&lt;="&amp;'THAM_SO'!$B$7),$F61))</f>
        <v/>
      </c>
      <c r="AE61" s="232">
        <f>IF($B61="","",IF($D61="Theo ngày",SUMIFS('CHAM_CONG_NGAY'!$G$6:$G$4655,'CHAM_CONG_NGAY'!$B$6:$B$4655,$B61,'CHAM_CONG_NGAY'!$C$6:$C$4655,"&gt;="&amp;'THAM_SO'!$B$6,'CHAM_CONG_NGAY'!$C$6:$C$4655,"&lt;="&amp;'THAM_SO'!$B$7),$G61))</f>
        <v/>
      </c>
      <c r="AF61" s="232">
        <f>IF($B61="","",IF($D61="Theo ngày",SUMIFS('CHAM_CONG_NGAY'!$H$6:$H$4655,'CHAM_CONG_NGAY'!$B$6:$B$4655,$B61,'CHAM_CONG_NGAY'!$C$6:$C$4655,"&gt;="&amp;'THAM_SO'!$B$6,'CHAM_CONG_NGAY'!$C$6:$C$4655,"&lt;="&amp;'THAM_SO'!$B$7),$H61))</f>
        <v/>
      </c>
      <c r="AG61" s="232">
        <f>IF($B61="","",IF($D61="Theo ngày",SUMIFS('CHAM_CONG_NGAY'!$I$6:$I$4655,'CHAM_CONG_NGAY'!$B$6:$B$4655,$B61,'CHAM_CONG_NGAY'!$C$6:$C$4655,"&gt;="&amp;'THAM_SO'!$B$6,'CHAM_CONG_NGAY'!$C$6:$C$4655,"&lt;="&amp;'THAM_SO'!$B$7),$I61))</f>
        <v/>
      </c>
      <c r="AH61" s="232">
        <f>IF($B61="","",IF($D61="Theo ngày",SUMIFS('CHAM_CONG_NGAY'!$J$6:$J$4655,'CHAM_CONG_NGAY'!$B$6:$B$4655,$B61,'CHAM_CONG_NGAY'!$C$6:$C$4655,"&gt;="&amp;'THAM_SO'!$B$6,'CHAM_CONG_NGAY'!$C$6:$C$4655,"&lt;="&amp;'THAM_SO'!$B$7),$J61))</f>
        <v/>
      </c>
      <c r="AI61" s="232">
        <f>IF($B61="","",IF($D61="Theo ngày",SUMIFS('CHAM_CONG_NGAY'!$K$6:$K$4655,'CHAM_CONG_NGAY'!$B$6:$B$4655,$B61,'CHAM_CONG_NGAY'!$C$6:$C$4655,"&gt;="&amp;'THAM_SO'!$B$6,'CHAM_CONG_NGAY'!$C$6:$C$4655,"&lt;="&amp;'THAM_SO'!$B$7),$K61))</f>
        <v/>
      </c>
      <c r="AJ61" s="232">
        <f>IF($B61="","",IF($D61="Theo ngày",SUMIFS('CHAM_CONG_NGAY'!$L$6:$L$4655,'CHAM_CONG_NGAY'!$B$6:$B$4655,$B61,'CHAM_CONG_NGAY'!$C$6:$C$4655,"&gt;="&amp;'THAM_SO'!$B$6,'CHAM_CONG_NGAY'!$C$6:$C$4655,"&lt;="&amp;'THAM_SO'!$B$7),$L61))</f>
        <v/>
      </c>
      <c r="AK61" s="232">
        <f>IF($B61="","",IF($D61="Theo ngày",SUMIFS('CHAM_CONG_NGAY'!$M$6:$M$4655,'CHAM_CONG_NGAY'!$B$6:$B$4655,$B61,'CHAM_CONG_NGAY'!$C$6:$C$4655,"&gt;="&amp;'THAM_SO'!$B$6,'CHAM_CONG_NGAY'!$C$6:$C$4655,"&lt;="&amp;'THAM_SO'!$B$7),$M61))</f>
        <v/>
      </c>
      <c r="AL61" s="227" t="n"/>
      <c r="AM61" s="227" t="n"/>
      <c r="AN61" s="227" t="n"/>
      <c r="AO61" s="227" t="n"/>
      <c r="AP61" s="227" t="n"/>
      <c r="AQ61" s="227" t="n"/>
      <c r="AR61" s="232">
        <f>IF($B61="","",IF($D61="Theo ngày",SUMIFS('CHAM_CONG_NGAY'!$O$6:$O$4655,'CHAM_CONG_NGAY'!$B$6:$B$4655,$B61,'CHAM_CONG_NGAY'!$C$6:$C$4655,"&gt;="&amp;'THAM_SO'!$B$6,'CHAM_CONG_NGAY'!$C$6:$C$4655,"&lt;="&amp;'THAM_SO'!$B$7),$AL61))</f>
        <v/>
      </c>
      <c r="AS61" s="232">
        <f>IF($B61="","",IF($D61="Theo ngày",SUMIFS('CHAM_CONG_NGAY'!$P$6:$P$4655,'CHAM_CONG_NGAY'!$B$6:$B$4655,$B61,'CHAM_CONG_NGAY'!$C$6:$C$4655,"&gt;="&amp;'THAM_SO'!$B$6,'CHAM_CONG_NGAY'!$C$6:$C$4655,"&lt;="&amp;'THAM_SO'!$B$7),$AM61))</f>
        <v/>
      </c>
      <c r="AT61" s="232">
        <f>IF($B61="","",IF($D61="Theo ngày",SUMIFS('CHAM_CONG_NGAY'!$Q$6:$Q$4655,'CHAM_CONG_NGAY'!$B$6:$B$4655,$B61,'CHAM_CONG_NGAY'!$C$6:$C$4655,"&gt;="&amp;'THAM_SO'!$B$6,'CHAM_CONG_NGAY'!$C$6:$C$4655,"&lt;="&amp;'THAM_SO'!$B$7),$AN61))</f>
        <v/>
      </c>
      <c r="AU61" s="232">
        <f>IF($B61="","",IF($D61="Theo ngày",SUMIFS('CHAM_CONG_NGAY'!$R$6:$R$4655,'CHAM_CONG_NGAY'!$B$6:$B$4655,$B61,'CHAM_CONG_NGAY'!$C$6:$C$4655,"&gt;="&amp;'THAM_SO'!$B$6,'CHAM_CONG_NGAY'!$C$6:$C$4655,"&lt;="&amp;'THAM_SO'!$B$7),$AO61))</f>
        <v/>
      </c>
      <c r="AV61" s="232">
        <f>IF($B61="","",IF($D61="Theo ngày",SUMIFS('CHAM_CONG_NGAY'!$S$6:$S$4655,'CHAM_CONG_NGAY'!$B$6:$B$4655,$B61,'CHAM_CONG_NGAY'!$C$6:$C$4655,"&gt;="&amp;'THAM_SO'!$B$6,'CHAM_CONG_NGAY'!$C$6:$C$4655,"&lt;="&amp;'THAM_SO'!$B$7),$AP61))</f>
        <v/>
      </c>
      <c r="AW61" s="232">
        <f>IF($B61="","",IF($D61="Theo ngày",SUMIFS('CHAM_CONG_NGAY'!$T$6:$T$4655,'CHAM_CONG_NGAY'!$B$6:$B$4655,$B61,'CHAM_CONG_NGAY'!$C$6:$C$4655,"&gt;="&amp;'THAM_SO'!$B$6,'CHAM_CONG_NGAY'!$C$6:$C$4655,"&lt;="&amp;'THAM_SO'!$B$7),$AQ61))</f>
        <v/>
      </c>
    </row>
    <row r="62">
      <c r="A62" s="145">
        <f>IF($B62="","",ROW()-5)</f>
        <v/>
      </c>
      <c r="B62" s="145">
        <f>IF('DM_NHAN_SU'!B62="","",'DM_NHAN_SU'!B62)</f>
        <v/>
      </c>
      <c r="C62" s="145">
        <f>IF('DM_NHAN_SU'!B62="","",'DM_NHAN_SU'!C62)</f>
        <v/>
      </c>
      <c r="D62" s="127" t="n"/>
      <c r="E62" s="227" t="n"/>
      <c r="F62" s="227" t="n"/>
      <c r="G62" s="227" t="n"/>
      <c r="H62" s="227" t="n"/>
      <c r="I62" s="227" t="n"/>
      <c r="J62" s="227" t="n"/>
      <c r="K62" s="227" t="n"/>
      <c r="L62" s="227" t="n"/>
      <c r="M62" s="227" t="n"/>
      <c r="N62" s="227" t="n"/>
      <c r="O62" s="222" t="n"/>
      <c r="P62" s="222" t="n"/>
      <c r="Q62" s="222" t="n"/>
      <c r="R62" s="222" t="n"/>
      <c r="S62" s="222" t="n"/>
      <c r="T62" s="222" t="n"/>
      <c r="U62" s="222" t="n"/>
      <c r="V62" s="222" t="n"/>
      <c r="W62" s="222" t="n"/>
      <c r="X62" s="222" t="n"/>
      <c r="Y62" s="222" t="n"/>
      <c r="Z62" s="222" t="n"/>
      <c r="AA62" s="127" t="n"/>
      <c r="AB62" s="127" t="n"/>
      <c r="AC62" s="232">
        <f>IF($B62="","",IF($D62="Theo ngày",SUMIFS('CHAM_CONG_NGAY'!$E$6:$E$4655,'CHAM_CONG_NGAY'!$B$6:$B$4655,$B62,'CHAM_CONG_NGAY'!$C$6:$C$4655,"&gt;="&amp;'THAM_SO'!$B$6,'CHAM_CONG_NGAY'!$C$6:$C$4655,"&lt;="&amp;'THAM_SO'!$B$7),$E62))</f>
        <v/>
      </c>
      <c r="AD62" s="232">
        <f>IF($B62="","",IF($D62="Theo ngày",SUMIFS('CHAM_CONG_NGAY'!$F$6:$F$4655,'CHAM_CONG_NGAY'!$B$6:$B$4655,$B62,'CHAM_CONG_NGAY'!$C$6:$C$4655,"&gt;="&amp;'THAM_SO'!$B$6,'CHAM_CONG_NGAY'!$C$6:$C$4655,"&lt;="&amp;'THAM_SO'!$B$7),$F62))</f>
        <v/>
      </c>
      <c r="AE62" s="232">
        <f>IF($B62="","",IF($D62="Theo ngày",SUMIFS('CHAM_CONG_NGAY'!$G$6:$G$4655,'CHAM_CONG_NGAY'!$B$6:$B$4655,$B62,'CHAM_CONG_NGAY'!$C$6:$C$4655,"&gt;="&amp;'THAM_SO'!$B$6,'CHAM_CONG_NGAY'!$C$6:$C$4655,"&lt;="&amp;'THAM_SO'!$B$7),$G62))</f>
        <v/>
      </c>
      <c r="AF62" s="232">
        <f>IF($B62="","",IF($D62="Theo ngày",SUMIFS('CHAM_CONG_NGAY'!$H$6:$H$4655,'CHAM_CONG_NGAY'!$B$6:$B$4655,$B62,'CHAM_CONG_NGAY'!$C$6:$C$4655,"&gt;="&amp;'THAM_SO'!$B$6,'CHAM_CONG_NGAY'!$C$6:$C$4655,"&lt;="&amp;'THAM_SO'!$B$7),$H62))</f>
        <v/>
      </c>
      <c r="AG62" s="232">
        <f>IF($B62="","",IF($D62="Theo ngày",SUMIFS('CHAM_CONG_NGAY'!$I$6:$I$4655,'CHAM_CONG_NGAY'!$B$6:$B$4655,$B62,'CHAM_CONG_NGAY'!$C$6:$C$4655,"&gt;="&amp;'THAM_SO'!$B$6,'CHAM_CONG_NGAY'!$C$6:$C$4655,"&lt;="&amp;'THAM_SO'!$B$7),$I62))</f>
        <v/>
      </c>
      <c r="AH62" s="232">
        <f>IF($B62="","",IF($D62="Theo ngày",SUMIFS('CHAM_CONG_NGAY'!$J$6:$J$4655,'CHAM_CONG_NGAY'!$B$6:$B$4655,$B62,'CHAM_CONG_NGAY'!$C$6:$C$4655,"&gt;="&amp;'THAM_SO'!$B$6,'CHAM_CONG_NGAY'!$C$6:$C$4655,"&lt;="&amp;'THAM_SO'!$B$7),$J62))</f>
        <v/>
      </c>
      <c r="AI62" s="232">
        <f>IF($B62="","",IF($D62="Theo ngày",SUMIFS('CHAM_CONG_NGAY'!$K$6:$K$4655,'CHAM_CONG_NGAY'!$B$6:$B$4655,$B62,'CHAM_CONG_NGAY'!$C$6:$C$4655,"&gt;="&amp;'THAM_SO'!$B$6,'CHAM_CONG_NGAY'!$C$6:$C$4655,"&lt;="&amp;'THAM_SO'!$B$7),$K62))</f>
        <v/>
      </c>
      <c r="AJ62" s="232">
        <f>IF($B62="","",IF($D62="Theo ngày",SUMIFS('CHAM_CONG_NGAY'!$L$6:$L$4655,'CHAM_CONG_NGAY'!$B$6:$B$4655,$B62,'CHAM_CONG_NGAY'!$C$6:$C$4655,"&gt;="&amp;'THAM_SO'!$B$6,'CHAM_CONG_NGAY'!$C$6:$C$4655,"&lt;="&amp;'THAM_SO'!$B$7),$L62))</f>
        <v/>
      </c>
      <c r="AK62" s="232">
        <f>IF($B62="","",IF($D62="Theo ngày",SUMIFS('CHAM_CONG_NGAY'!$M$6:$M$4655,'CHAM_CONG_NGAY'!$B$6:$B$4655,$B62,'CHAM_CONG_NGAY'!$C$6:$C$4655,"&gt;="&amp;'THAM_SO'!$B$6,'CHAM_CONG_NGAY'!$C$6:$C$4655,"&lt;="&amp;'THAM_SO'!$B$7),$M62))</f>
        <v/>
      </c>
      <c r="AL62" s="227" t="n"/>
      <c r="AM62" s="227" t="n"/>
      <c r="AN62" s="227" t="n"/>
      <c r="AO62" s="227" t="n"/>
      <c r="AP62" s="227" t="n"/>
      <c r="AQ62" s="227" t="n"/>
      <c r="AR62" s="232">
        <f>IF($B62="","",IF($D62="Theo ngày",SUMIFS('CHAM_CONG_NGAY'!$O$6:$O$4655,'CHAM_CONG_NGAY'!$B$6:$B$4655,$B62,'CHAM_CONG_NGAY'!$C$6:$C$4655,"&gt;="&amp;'THAM_SO'!$B$6,'CHAM_CONG_NGAY'!$C$6:$C$4655,"&lt;="&amp;'THAM_SO'!$B$7),$AL62))</f>
        <v/>
      </c>
      <c r="AS62" s="232">
        <f>IF($B62="","",IF($D62="Theo ngày",SUMIFS('CHAM_CONG_NGAY'!$P$6:$P$4655,'CHAM_CONG_NGAY'!$B$6:$B$4655,$B62,'CHAM_CONG_NGAY'!$C$6:$C$4655,"&gt;="&amp;'THAM_SO'!$B$6,'CHAM_CONG_NGAY'!$C$6:$C$4655,"&lt;="&amp;'THAM_SO'!$B$7),$AM62))</f>
        <v/>
      </c>
      <c r="AT62" s="232">
        <f>IF($B62="","",IF($D62="Theo ngày",SUMIFS('CHAM_CONG_NGAY'!$Q$6:$Q$4655,'CHAM_CONG_NGAY'!$B$6:$B$4655,$B62,'CHAM_CONG_NGAY'!$C$6:$C$4655,"&gt;="&amp;'THAM_SO'!$B$6,'CHAM_CONG_NGAY'!$C$6:$C$4655,"&lt;="&amp;'THAM_SO'!$B$7),$AN62))</f>
        <v/>
      </c>
      <c r="AU62" s="232">
        <f>IF($B62="","",IF($D62="Theo ngày",SUMIFS('CHAM_CONG_NGAY'!$R$6:$R$4655,'CHAM_CONG_NGAY'!$B$6:$B$4655,$B62,'CHAM_CONG_NGAY'!$C$6:$C$4655,"&gt;="&amp;'THAM_SO'!$B$6,'CHAM_CONG_NGAY'!$C$6:$C$4655,"&lt;="&amp;'THAM_SO'!$B$7),$AO62))</f>
        <v/>
      </c>
      <c r="AV62" s="232">
        <f>IF($B62="","",IF($D62="Theo ngày",SUMIFS('CHAM_CONG_NGAY'!$S$6:$S$4655,'CHAM_CONG_NGAY'!$B$6:$B$4655,$B62,'CHAM_CONG_NGAY'!$C$6:$C$4655,"&gt;="&amp;'THAM_SO'!$B$6,'CHAM_CONG_NGAY'!$C$6:$C$4655,"&lt;="&amp;'THAM_SO'!$B$7),$AP62))</f>
        <v/>
      </c>
      <c r="AW62" s="232">
        <f>IF($B62="","",IF($D62="Theo ngày",SUMIFS('CHAM_CONG_NGAY'!$T$6:$T$4655,'CHAM_CONG_NGAY'!$B$6:$B$4655,$B62,'CHAM_CONG_NGAY'!$C$6:$C$4655,"&gt;="&amp;'THAM_SO'!$B$6,'CHAM_CONG_NGAY'!$C$6:$C$4655,"&lt;="&amp;'THAM_SO'!$B$7),$AQ62))</f>
        <v/>
      </c>
    </row>
    <row r="63">
      <c r="A63" s="145">
        <f>IF($B63="","",ROW()-5)</f>
        <v/>
      </c>
      <c r="B63" s="145">
        <f>IF('DM_NHAN_SU'!B63="","",'DM_NHAN_SU'!B63)</f>
        <v/>
      </c>
      <c r="C63" s="145">
        <f>IF('DM_NHAN_SU'!B63="","",'DM_NHAN_SU'!C63)</f>
        <v/>
      </c>
      <c r="D63" s="127" t="n"/>
      <c r="E63" s="227" t="n"/>
      <c r="F63" s="227" t="n"/>
      <c r="G63" s="227" t="n"/>
      <c r="H63" s="227" t="n"/>
      <c r="I63" s="227" t="n"/>
      <c r="J63" s="227" t="n"/>
      <c r="K63" s="227" t="n"/>
      <c r="L63" s="227" t="n"/>
      <c r="M63" s="227" t="n"/>
      <c r="N63" s="227" t="n"/>
      <c r="O63" s="222" t="n"/>
      <c r="P63" s="222" t="n"/>
      <c r="Q63" s="222" t="n"/>
      <c r="R63" s="222" t="n"/>
      <c r="S63" s="222" t="n"/>
      <c r="T63" s="222" t="n"/>
      <c r="U63" s="222" t="n"/>
      <c r="V63" s="222" t="n"/>
      <c r="W63" s="222" t="n"/>
      <c r="X63" s="222" t="n"/>
      <c r="Y63" s="222" t="n"/>
      <c r="Z63" s="222" t="n"/>
      <c r="AA63" s="127" t="n"/>
      <c r="AB63" s="127" t="n"/>
      <c r="AC63" s="232">
        <f>IF($B63="","",IF($D63="Theo ngày",SUMIFS('CHAM_CONG_NGAY'!$E$6:$E$4655,'CHAM_CONG_NGAY'!$B$6:$B$4655,$B63,'CHAM_CONG_NGAY'!$C$6:$C$4655,"&gt;="&amp;'THAM_SO'!$B$6,'CHAM_CONG_NGAY'!$C$6:$C$4655,"&lt;="&amp;'THAM_SO'!$B$7),$E63))</f>
        <v/>
      </c>
      <c r="AD63" s="232">
        <f>IF($B63="","",IF($D63="Theo ngày",SUMIFS('CHAM_CONG_NGAY'!$F$6:$F$4655,'CHAM_CONG_NGAY'!$B$6:$B$4655,$B63,'CHAM_CONG_NGAY'!$C$6:$C$4655,"&gt;="&amp;'THAM_SO'!$B$6,'CHAM_CONG_NGAY'!$C$6:$C$4655,"&lt;="&amp;'THAM_SO'!$B$7),$F63))</f>
        <v/>
      </c>
      <c r="AE63" s="232">
        <f>IF($B63="","",IF($D63="Theo ngày",SUMIFS('CHAM_CONG_NGAY'!$G$6:$G$4655,'CHAM_CONG_NGAY'!$B$6:$B$4655,$B63,'CHAM_CONG_NGAY'!$C$6:$C$4655,"&gt;="&amp;'THAM_SO'!$B$6,'CHAM_CONG_NGAY'!$C$6:$C$4655,"&lt;="&amp;'THAM_SO'!$B$7),$G63))</f>
        <v/>
      </c>
      <c r="AF63" s="232">
        <f>IF($B63="","",IF($D63="Theo ngày",SUMIFS('CHAM_CONG_NGAY'!$H$6:$H$4655,'CHAM_CONG_NGAY'!$B$6:$B$4655,$B63,'CHAM_CONG_NGAY'!$C$6:$C$4655,"&gt;="&amp;'THAM_SO'!$B$6,'CHAM_CONG_NGAY'!$C$6:$C$4655,"&lt;="&amp;'THAM_SO'!$B$7),$H63))</f>
        <v/>
      </c>
      <c r="AG63" s="232">
        <f>IF($B63="","",IF($D63="Theo ngày",SUMIFS('CHAM_CONG_NGAY'!$I$6:$I$4655,'CHAM_CONG_NGAY'!$B$6:$B$4655,$B63,'CHAM_CONG_NGAY'!$C$6:$C$4655,"&gt;="&amp;'THAM_SO'!$B$6,'CHAM_CONG_NGAY'!$C$6:$C$4655,"&lt;="&amp;'THAM_SO'!$B$7),$I63))</f>
        <v/>
      </c>
      <c r="AH63" s="232">
        <f>IF($B63="","",IF($D63="Theo ngày",SUMIFS('CHAM_CONG_NGAY'!$J$6:$J$4655,'CHAM_CONG_NGAY'!$B$6:$B$4655,$B63,'CHAM_CONG_NGAY'!$C$6:$C$4655,"&gt;="&amp;'THAM_SO'!$B$6,'CHAM_CONG_NGAY'!$C$6:$C$4655,"&lt;="&amp;'THAM_SO'!$B$7),$J63))</f>
        <v/>
      </c>
      <c r="AI63" s="232">
        <f>IF($B63="","",IF($D63="Theo ngày",SUMIFS('CHAM_CONG_NGAY'!$K$6:$K$4655,'CHAM_CONG_NGAY'!$B$6:$B$4655,$B63,'CHAM_CONG_NGAY'!$C$6:$C$4655,"&gt;="&amp;'THAM_SO'!$B$6,'CHAM_CONG_NGAY'!$C$6:$C$4655,"&lt;="&amp;'THAM_SO'!$B$7),$K63))</f>
        <v/>
      </c>
      <c r="AJ63" s="232">
        <f>IF($B63="","",IF($D63="Theo ngày",SUMIFS('CHAM_CONG_NGAY'!$L$6:$L$4655,'CHAM_CONG_NGAY'!$B$6:$B$4655,$B63,'CHAM_CONG_NGAY'!$C$6:$C$4655,"&gt;="&amp;'THAM_SO'!$B$6,'CHAM_CONG_NGAY'!$C$6:$C$4655,"&lt;="&amp;'THAM_SO'!$B$7),$L63))</f>
        <v/>
      </c>
      <c r="AK63" s="232">
        <f>IF($B63="","",IF($D63="Theo ngày",SUMIFS('CHAM_CONG_NGAY'!$M$6:$M$4655,'CHAM_CONG_NGAY'!$B$6:$B$4655,$B63,'CHAM_CONG_NGAY'!$C$6:$C$4655,"&gt;="&amp;'THAM_SO'!$B$6,'CHAM_CONG_NGAY'!$C$6:$C$4655,"&lt;="&amp;'THAM_SO'!$B$7),$M63))</f>
        <v/>
      </c>
      <c r="AL63" s="227" t="n"/>
      <c r="AM63" s="227" t="n"/>
      <c r="AN63" s="227" t="n"/>
      <c r="AO63" s="227" t="n"/>
      <c r="AP63" s="227" t="n"/>
      <c r="AQ63" s="227" t="n"/>
      <c r="AR63" s="232">
        <f>IF($B63="","",IF($D63="Theo ngày",SUMIFS('CHAM_CONG_NGAY'!$O$6:$O$4655,'CHAM_CONG_NGAY'!$B$6:$B$4655,$B63,'CHAM_CONG_NGAY'!$C$6:$C$4655,"&gt;="&amp;'THAM_SO'!$B$6,'CHAM_CONG_NGAY'!$C$6:$C$4655,"&lt;="&amp;'THAM_SO'!$B$7),$AL63))</f>
        <v/>
      </c>
      <c r="AS63" s="232">
        <f>IF($B63="","",IF($D63="Theo ngày",SUMIFS('CHAM_CONG_NGAY'!$P$6:$P$4655,'CHAM_CONG_NGAY'!$B$6:$B$4655,$B63,'CHAM_CONG_NGAY'!$C$6:$C$4655,"&gt;="&amp;'THAM_SO'!$B$6,'CHAM_CONG_NGAY'!$C$6:$C$4655,"&lt;="&amp;'THAM_SO'!$B$7),$AM63))</f>
        <v/>
      </c>
      <c r="AT63" s="232">
        <f>IF($B63="","",IF($D63="Theo ngày",SUMIFS('CHAM_CONG_NGAY'!$Q$6:$Q$4655,'CHAM_CONG_NGAY'!$B$6:$B$4655,$B63,'CHAM_CONG_NGAY'!$C$6:$C$4655,"&gt;="&amp;'THAM_SO'!$B$6,'CHAM_CONG_NGAY'!$C$6:$C$4655,"&lt;="&amp;'THAM_SO'!$B$7),$AN63))</f>
        <v/>
      </c>
      <c r="AU63" s="232">
        <f>IF($B63="","",IF($D63="Theo ngày",SUMIFS('CHAM_CONG_NGAY'!$R$6:$R$4655,'CHAM_CONG_NGAY'!$B$6:$B$4655,$B63,'CHAM_CONG_NGAY'!$C$6:$C$4655,"&gt;="&amp;'THAM_SO'!$B$6,'CHAM_CONG_NGAY'!$C$6:$C$4655,"&lt;="&amp;'THAM_SO'!$B$7),$AO63))</f>
        <v/>
      </c>
      <c r="AV63" s="232">
        <f>IF($B63="","",IF($D63="Theo ngày",SUMIFS('CHAM_CONG_NGAY'!$S$6:$S$4655,'CHAM_CONG_NGAY'!$B$6:$B$4655,$B63,'CHAM_CONG_NGAY'!$C$6:$C$4655,"&gt;="&amp;'THAM_SO'!$B$6,'CHAM_CONG_NGAY'!$C$6:$C$4655,"&lt;="&amp;'THAM_SO'!$B$7),$AP63))</f>
        <v/>
      </c>
      <c r="AW63" s="232">
        <f>IF($B63="","",IF($D63="Theo ngày",SUMIFS('CHAM_CONG_NGAY'!$T$6:$T$4655,'CHAM_CONG_NGAY'!$B$6:$B$4655,$B63,'CHAM_CONG_NGAY'!$C$6:$C$4655,"&gt;="&amp;'THAM_SO'!$B$6,'CHAM_CONG_NGAY'!$C$6:$C$4655,"&lt;="&amp;'THAM_SO'!$B$7),$AQ63))</f>
        <v/>
      </c>
    </row>
    <row r="64">
      <c r="A64" s="145">
        <f>IF($B64="","",ROW()-5)</f>
        <v/>
      </c>
      <c r="B64" s="145">
        <f>IF('DM_NHAN_SU'!B64="","",'DM_NHAN_SU'!B64)</f>
        <v/>
      </c>
      <c r="C64" s="145">
        <f>IF('DM_NHAN_SU'!B64="","",'DM_NHAN_SU'!C64)</f>
        <v/>
      </c>
      <c r="D64" s="127" t="n"/>
      <c r="E64" s="227" t="n"/>
      <c r="F64" s="227" t="n"/>
      <c r="G64" s="227" t="n"/>
      <c r="H64" s="227" t="n"/>
      <c r="I64" s="227" t="n"/>
      <c r="J64" s="227" t="n"/>
      <c r="K64" s="227" t="n"/>
      <c r="L64" s="227" t="n"/>
      <c r="M64" s="227" t="n"/>
      <c r="N64" s="227" t="n"/>
      <c r="O64" s="222" t="n"/>
      <c r="P64" s="222" t="n"/>
      <c r="Q64" s="222" t="n"/>
      <c r="R64" s="222" t="n"/>
      <c r="S64" s="222" t="n"/>
      <c r="T64" s="222" t="n"/>
      <c r="U64" s="222" t="n"/>
      <c r="V64" s="222" t="n"/>
      <c r="W64" s="222" t="n"/>
      <c r="X64" s="222" t="n"/>
      <c r="Y64" s="222" t="n"/>
      <c r="Z64" s="222" t="n"/>
      <c r="AA64" s="127" t="n"/>
      <c r="AB64" s="127" t="n"/>
      <c r="AC64" s="232">
        <f>IF($B64="","",IF($D64="Theo ngày",SUMIFS('CHAM_CONG_NGAY'!$E$6:$E$4655,'CHAM_CONG_NGAY'!$B$6:$B$4655,$B64,'CHAM_CONG_NGAY'!$C$6:$C$4655,"&gt;="&amp;'THAM_SO'!$B$6,'CHAM_CONG_NGAY'!$C$6:$C$4655,"&lt;="&amp;'THAM_SO'!$B$7),$E64))</f>
        <v/>
      </c>
      <c r="AD64" s="232">
        <f>IF($B64="","",IF($D64="Theo ngày",SUMIFS('CHAM_CONG_NGAY'!$F$6:$F$4655,'CHAM_CONG_NGAY'!$B$6:$B$4655,$B64,'CHAM_CONG_NGAY'!$C$6:$C$4655,"&gt;="&amp;'THAM_SO'!$B$6,'CHAM_CONG_NGAY'!$C$6:$C$4655,"&lt;="&amp;'THAM_SO'!$B$7),$F64))</f>
        <v/>
      </c>
      <c r="AE64" s="232">
        <f>IF($B64="","",IF($D64="Theo ngày",SUMIFS('CHAM_CONG_NGAY'!$G$6:$G$4655,'CHAM_CONG_NGAY'!$B$6:$B$4655,$B64,'CHAM_CONG_NGAY'!$C$6:$C$4655,"&gt;="&amp;'THAM_SO'!$B$6,'CHAM_CONG_NGAY'!$C$6:$C$4655,"&lt;="&amp;'THAM_SO'!$B$7),$G64))</f>
        <v/>
      </c>
      <c r="AF64" s="232">
        <f>IF($B64="","",IF($D64="Theo ngày",SUMIFS('CHAM_CONG_NGAY'!$H$6:$H$4655,'CHAM_CONG_NGAY'!$B$6:$B$4655,$B64,'CHAM_CONG_NGAY'!$C$6:$C$4655,"&gt;="&amp;'THAM_SO'!$B$6,'CHAM_CONG_NGAY'!$C$6:$C$4655,"&lt;="&amp;'THAM_SO'!$B$7),$H64))</f>
        <v/>
      </c>
      <c r="AG64" s="232">
        <f>IF($B64="","",IF($D64="Theo ngày",SUMIFS('CHAM_CONG_NGAY'!$I$6:$I$4655,'CHAM_CONG_NGAY'!$B$6:$B$4655,$B64,'CHAM_CONG_NGAY'!$C$6:$C$4655,"&gt;="&amp;'THAM_SO'!$B$6,'CHAM_CONG_NGAY'!$C$6:$C$4655,"&lt;="&amp;'THAM_SO'!$B$7),$I64))</f>
        <v/>
      </c>
      <c r="AH64" s="232">
        <f>IF($B64="","",IF($D64="Theo ngày",SUMIFS('CHAM_CONG_NGAY'!$J$6:$J$4655,'CHAM_CONG_NGAY'!$B$6:$B$4655,$B64,'CHAM_CONG_NGAY'!$C$6:$C$4655,"&gt;="&amp;'THAM_SO'!$B$6,'CHAM_CONG_NGAY'!$C$6:$C$4655,"&lt;="&amp;'THAM_SO'!$B$7),$J64))</f>
        <v/>
      </c>
      <c r="AI64" s="232">
        <f>IF($B64="","",IF($D64="Theo ngày",SUMIFS('CHAM_CONG_NGAY'!$K$6:$K$4655,'CHAM_CONG_NGAY'!$B$6:$B$4655,$B64,'CHAM_CONG_NGAY'!$C$6:$C$4655,"&gt;="&amp;'THAM_SO'!$B$6,'CHAM_CONG_NGAY'!$C$6:$C$4655,"&lt;="&amp;'THAM_SO'!$B$7),$K64))</f>
        <v/>
      </c>
      <c r="AJ64" s="232">
        <f>IF($B64="","",IF($D64="Theo ngày",SUMIFS('CHAM_CONG_NGAY'!$L$6:$L$4655,'CHAM_CONG_NGAY'!$B$6:$B$4655,$B64,'CHAM_CONG_NGAY'!$C$6:$C$4655,"&gt;="&amp;'THAM_SO'!$B$6,'CHAM_CONG_NGAY'!$C$6:$C$4655,"&lt;="&amp;'THAM_SO'!$B$7),$L64))</f>
        <v/>
      </c>
      <c r="AK64" s="232">
        <f>IF($B64="","",IF($D64="Theo ngày",SUMIFS('CHAM_CONG_NGAY'!$M$6:$M$4655,'CHAM_CONG_NGAY'!$B$6:$B$4655,$B64,'CHAM_CONG_NGAY'!$C$6:$C$4655,"&gt;="&amp;'THAM_SO'!$B$6,'CHAM_CONG_NGAY'!$C$6:$C$4655,"&lt;="&amp;'THAM_SO'!$B$7),$M64))</f>
        <v/>
      </c>
      <c r="AL64" s="227" t="n"/>
      <c r="AM64" s="227" t="n"/>
      <c r="AN64" s="227" t="n"/>
      <c r="AO64" s="227" t="n"/>
      <c r="AP64" s="227" t="n"/>
      <c r="AQ64" s="227" t="n"/>
      <c r="AR64" s="232">
        <f>IF($B64="","",IF($D64="Theo ngày",SUMIFS('CHAM_CONG_NGAY'!$O$6:$O$4655,'CHAM_CONG_NGAY'!$B$6:$B$4655,$B64,'CHAM_CONG_NGAY'!$C$6:$C$4655,"&gt;="&amp;'THAM_SO'!$B$6,'CHAM_CONG_NGAY'!$C$6:$C$4655,"&lt;="&amp;'THAM_SO'!$B$7),$AL64))</f>
        <v/>
      </c>
      <c r="AS64" s="232">
        <f>IF($B64="","",IF($D64="Theo ngày",SUMIFS('CHAM_CONG_NGAY'!$P$6:$P$4655,'CHAM_CONG_NGAY'!$B$6:$B$4655,$B64,'CHAM_CONG_NGAY'!$C$6:$C$4655,"&gt;="&amp;'THAM_SO'!$B$6,'CHAM_CONG_NGAY'!$C$6:$C$4655,"&lt;="&amp;'THAM_SO'!$B$7),$AM64))</f>
        <v/>
      </c>
      <c r="AT64" s="232">
        <f>IF($B64="","",IF($D64="Theo ngày",SUMIFS('CHAM_CONG_NGAY'!$Q$6:$Q$4655,'CHAM_CONG_NGAY'!$B$6:$B$4655,$B64,'CHAM_CONG_NGAY'!$C$6:$C$4655,"&gt;="&amp;'THAM_SO'!$B$6,'CHAM_CONG_NGAY'!$C$6:$C$4655,"&lt;="&amp;'THAM_SO'!$B$7),$AN64))</f>
        <v/>
      </c>
      <c r="AU64" s="232">
        <f>IF($B64="","",IF($D64="Theo ngày",SUMIFS('CHAM_CONG_NGAY'!$R$6:$R$4655,'CHAM_CONG_NGAY'!$B$6:$B$4655,$B64,'CHAM_CONG_NGAY'!$C$6:$C$4655,"&gt;="&amp;'THAM_SO'!$B$6,'CHAM_CONG_NGAY'!$C$6:$C$4655,"&lt;="&amp;'THAM_SO'!$B$7),$AO64))</f>
        <v/>
      </c>
      <c r="AV64" s="232">
        <f>IF($B64="","",IF($D64="Theo ngày",SUMIFS('CHAM_CONG_NGAY'!$S$6:$S$4655,'CHAM_CONG_NGAY'!$B$6:$B$4655,$B64,'CHAM_CONG_NGAY'!$C$6:$C$4655,"&gt;="&amp;'THAM_SO'!$B$6,'CHAM_CONG_NGAY'!$C$6:$C$4655,"&lt;="&amp;'THAM_SO'!$B$7),$AP64))</f>
        <v/>
      </c>
      <c r="AW64" s="232">
        <f>IF($B64="","",IF($D64="Theo ngày",SUMIFS('CHAM_CONG_NGAY'!$T$6:$T$4655,'CHAM_CONG_NGAY'!$B$6:$B$4655,$B64,'CHAM_CONG_NGAY'!$C$6:$C$4655,"&gt;="&amp;'THAM_SO'!$B$6,'CHAM_CONG_NGAY'!$C$6:$C$4655,"&lt;="&amp;'THAM_SO'!$B$7),$AQ64))</f>
        <v/>
      </c>
    </row>
    <row r="65">
      <c r="A65" s="145">
        <f>IF($B65="","",ROW()-5)</f>
        <v/>
      </c>
      <c r="B65" s="145">
        <f>IF('DM_NHAN_SU'!B65="","",'DM_NHAN_SU'!B65)</f>
        <v/>
      </c>
      <c r="C65" s="145">
        <f>IF('DM_NHAN_SU'!B65="","",'DM_NHAN_SU'!C65)</f>
        <v/>
      </c>
      <c r="D65" s="127" t="n"/>
      <c r="E65" s="227" t="n"/>
      <c r="F65" s="227" t="n"/>
      <c r="G65" s="227" t="n"/>
      <c r="H65" s="227" t="n"/>
      <c r="I65" s="227" t="n"/>
      <c r="J65" s="227" t="n"/>
      <c r="K65" s="227" t="n"/>
      <c r="L65" s="227" t="n"/>
      <c r="M65" s="227" t="n"/>
      <c r="N65" s="227" t="n"/>
      <c r="O65" s="222" t="n"/>
      <c r="P65" s="222" t="n"/>
      <c r="Q65" s="222" t="n"/>
      <c r="R65" s="222" t="n"/>
      <c r="S65" s="222" t="n"/>
      <c r="T65" s="222" t="n"/>
      <c r="U65" s="222" t="n"/>
      <c r="V65" s="222" t="n"/>
      <c r="W65" s="222" t="n"/>
      <c r="X65" s="222" t="n"/>
      <c r="Y65" s="222" t="n"/>
      <c r="Z65" s="222" t="n"/>
      <c r="AA65" s="127" t="n"/>
      <c r="AB65" s="127" t="n"/>
      <c r="AC65" s="232">
        <f>IF($B65="","",IF($D65="Theo ngày",SUMIFS('CHAM_CONG_NGAY'!$E$6:$E$4655,'CHAM_CONG_NGAY'!$B$6:$B$4655,$B65,'CHAM_CONG_NGAY'!$C$6:$C$4655,"&gt;="&amp;'THAM_SO'!$B$6,'CHAM_CONG_NGAY'!$C$6:$C$4655,"&lt;="&amp;'THAM_SO'!$B$7),$E65))</f>
        <v/>
      </c>
      <c r="AD65" s="232">
        <f>IF($B65="","",IF($D65="Theo ngày",SUMIFS('CHAM_CONG_NGAY'!$F$6:$F$4655,'CHAM_CONG_NGAY'!$B$6:$B$4655,$B65,'CHAM_CONG_NGAY'!$C$6:$C$4655,"&gt;="&amp;'THAM_SO'!$B$6,'CHAM_CONG_NGAY'!$C$6:$C$4655,"&lt;="&amp;'THAM_SO'!$B$7),$F65))</f>
        <v/>
      </c>
      <c r="AE65" s="232">
        <f>IF($B65="","",IF($D65="Theo ngày",SUMIFS('CHAM_CONG_NGAY'!$G$6:$G$4655,'CHAM_CONG_NGAY'!$B$6:$B$4655,$B65,'CHAM_CONG_NGAY'!$C$6:$C$4655,"&gt;="&amp;'THAM_SO'!$B$6,'CHAM_CONG_NGAY'!$C$6:$C$4655,"&lt;="&amp;'THAM_SO'!$B$7),$G65))</f>
        <v/>
      </c>
      <c r="AF65" s="232">
        <f>IF($B65="","",IF($D65="Theo ngày",SUMIFS('CHAM_CONG_NGAY'!$H$6:$H$4655,'CHAM_CONG_NGAY'!$B$6:$B$4655,$B65,'CHAM_CONG_NGAY'!$C$6:$C$4655,"&gt;="&amp;'THAM_SO'!$B$6,'CHAM_CONG_NGAY'!$C$6:$C$4655,"&lt;="&amp;'THAM_SO'!$B$7),$H65))</f>
        <v/>
      </c>
      <c r="AG65" s="232">
        <f>IF($B65="","",IF($D65="Theo ngày",SUMIFS('CHAM_CONG_NGAY'!$I$6:$I$4655,'CHAM_CONG_NGAY'!$B$6:$B$4655,$B65,'CHAM_CONG_NGAY'!$C$6:$C$4655,"&gt;="&amp;'THAM_SO'!$B$6,'CHAM_CONG_NGAY'!$C$6:$C$4655,"&lt;="&amp;'THAM_SO'!$B$7),$I65))</f>
        <v/>
      </c>
      <c r="AH65" s="232">
        <f>IF($B65="","",IF($D65="Theo ngày",SUMIFS('CHAM_CONG_NGAY'!$J$6:$J$4655,'CHAM_CONG_NGAY'!$B$6:$B$4655,$B65,'CHAM_CONG_NGAY'!$C$6:$C$4655,"&gt;="&amp;'THAM_SO'!$B$6,'CHAM_CONG_NGAY'!$C$6:$C$4655,"&lt;="&amp;'THAM_SO'!$B$7),$J65))</f>
        <v/>
      </c>
      <c r="AI65" s="232">
        <f>IF($B65="","",IF($D65="Theo ngày",SUMIFS('CHAM_CONG_NGAY'!$K$6:$K$4655,'CHAM_CONG_NGAY'!$B$6:$B$4655,$B65,'CHAM_CONG_NGAY'!$C$6:$C$4655,"&gt;="&amp;'THAM_SO'!$B$6,'CHAM_CONG_NGAY'!$C$6:$C$4655,"&lt;="&amp;'THAM_SO'!$B$7),$K65))</f>
        <v/>
      </c>
      <c r="AJ65" s="232">
        <f>IF($B65="","",IF($D65="Theo ngày",SUMIFS('CHAM_CONG_NGAY'!$L$6:$L$4655,'CHAM_CONG_NGAY'!$B$6:$B$4655,$B65,'CHAM_CONG_NGAY'!$C$6:$C$4655,"&gt;="&amp;'THAM_SO'!$B$6,'CHAM_CONG_NGAY'!$C$6:$C$4655,"&lt;="&amp;'THAM_SO'!$B$7),$L65))</f>
        <v/>
      </c>
      <c r="AK65" s="232">
        <f>IF($B65="","",IF($D65="Theo ngày",SUMIFS('CHAM_CONG_NGAY'!$M$6:$M$4655,'CHAM_CONG_NGAY'!$B$6:$B$4655,$B65,'CHAM_CONG_NGAY'!$C$6:$C$4655,"&gt;="&amp;'THAM_SO'!$B$6,'CHAM_CONG_NGAY'!$C$6:$C$4655,"&lt;="&amp;'THAM_SO'!$B$7),$M65))</f>
        <v/>
      </c>
      <c r="AL65" s="227" t="n"/>
      <c r="AM65" s="227" t="n"/>
      <c r="AN65" s="227" t="n"/>
      <c r="AO65" s="227" t="n"/>
      <c r="AP65" s="227" t="n"/>
      <c r="AQ65" s="227" t="n"/>
      <c r="AR65" s="232">
        <f>IF($B65="","",IF($D65="Theo ngày",SUMIFS('CHAM_CONG_NGAY'!$O$6:$O$4655,'CHAM_CONG_NGAY'!$B$6:$B$4655,$B65,'CHAM_CONG_NGAY'!$C$6:$C$4655,"&gt;="&amp;'THAM_SO'!$B$6,'CHAM_CONG_NGAY'!$C$6:$C$4655,"&lt;="&amp;'THAM_SO'!$B$7),$AL65))</f>
        <v/>
      </c>
      <c r="AS65" s="232">
        <f>IF($B65="","",IF($D65="Theo ngày",SUMIFS('CHAM_CONG_NGAY'!$P$6:$P$4655,'CHAM_CONG_NGAY'!$B$6:$B$4655,$B65,'CHAM_CONG_NGAY'!$C$6:$C$4655,"&gt;="&amp;'THAM_SO'!$B$6,'CHAM_CONG_NGAY'!$C$6:$C$4655,"&lt;="&amp;'THAM_SO'!$B$7),$AM65))</f>
        <v/>
      </c>
      <c r="AT65" s="232">
        <f>IF($B65="","",IF($D65="Theo ngày",SUMIFS('CHAM_CONG_NGAY'!$Q$6:$Q$4655,'CHAM_CONG_NGAY'!$B$6:$B$4655,$B65,'CHAM_CONG_NGAY'!$C$6:$C$4655,"&gt;="&amp;'THAM_SO'!$B$6,'CHAM_CONG_NGAY'!$C$6:$C$4655,"&lt;="&amp;'THAM_SO'!$B$7),$AN65))</f>
        <v/>
      </c>
      <c r="AU65" s="232">
        <f>IF($B65="","",IF($D65="Theo ngày",SUMIFS('CHAM_CONG_NGAY'!$R$6:$R$4655,'CHAM_CONG_NGAY'!$B$6:$B$4655,$B65,'CHAM_CONG_NGAY'!$C$6:$C$4655,"&gt;="&amp;'THAM_SO'!$B$6,'CHAM_CONG_NGAY'!$C$6:$C$4655,"&lt;="&amp;'THAM_SO'!$B$7),$AO65))</f>
        <v/>
      </c>
      <c r="AV65" s="232">
        <f>IF($B65="","",IF($D65="Theo ngày",SUMIFS('CHAM_CONG_NGAY'!$S$6:$S$4655,'CHAM_CONG_NGAY'!$B$6:$B$4655,$B65,'CHAM_CONG_NGAY'!$C$6:$C$4655,"&gt;="&amp;'THAM_SO'!$B$6,'CHAM_CONG_NGAY'!$C$6:$C$4655,"&lt;="&amp;'THAM_SO'!$B$7),$AP65))</f>
        <v/>
      </c>
      <c r="AW65" s="232">
        <f>IF($B65="","",IF($D65="Theo ngày",SUMIFS('CHAM_CONG_NGAY'!$T$6:$T$4655,'CHAM_CONG_NGAY'!$B$6:$B$4655,$B65,'CHAM_CONG_NGAY'!$C$6:$C$4655,"&gt;="&amp;'THAM_SO'!$B$6,'CHAM_CONG_NGAY'!$C$6:$C$4655,"&lt;="&amp;'THAM_SO'!$B$7),$AQ65))</f>
        <v/>
      </c>
    </row>
    <row r="66">
      <c r="A66" s="145">
        <f>IF($B66="","",ROW()-5)</f>
        <v/>
      </c>
      <c r="B66" s="145">
        <f>IF('DM_NHAN_SU'!B66="","",'DM_NHAN_SU'!B66)</f>
        <v/>
      </c>
      <c r="C66" s="145">
        <f>IF('DM_NHAN_SU'!B66="","",'DM_NHAN_SU'!C66)</f>
        <v/>
      </c>
      <c r="D66" s="127" t="n"/>
      <c r="E66" s="227" t="n"/>
      <c r="F66" s="227" t="n"/>
      <c r="G66" s="227" t="n"/>
      <c r="H66" s="227" t="n"/>
      <c r="I66" s="227" t="n"/>
      <c r="J66" s="227" t="n"/>
      <c r="K66" s="227" t="n"/>
      <c r="L66" s="227" t="n"/>
      <c r="M66" s="227" t="n"/>
      <c r="N66" s="227" t="n"/>
      <c r="O66" s="222" t="n"/>
      <c r="P66" s="222" t="n"/>
      <c r="Q66" s="222" t="n"/>
      <c r="R66" s="222" t="n"/>
      <c r="S66" s="222" t="n"/>
      <c r="T66" s="222" t="n"/>
      <c r="U66" s="222" t="n"/>
      <c r="V66" s="222" t="n"/>
      <c r="W66" s="222" t="n"/>
      <c r="X66" s="222" t="n"/>
      <c r="Y66" s="222" t="n"/>
      <c r="Z66" s="222" t="n"/>
      <c r="AA66" s="127" t="n"/>
      <c r="AB66" s="127" t="n"/>
      <c r="AC66" s="232">
        <f>IF($B66="","",IF($D66="Theo ngày",SUMIFS('CHAM_CONG_NGAY'!$E$6:$E$4655,'CHAM_CONG_NGAY'!$B$6:$B$4655,$B66,'CHAM_CONG_NGAY'!$C$6:$C$4655,"&gt;="&amp;'THAM_SO'!$B$6,'CHAM_CONG_NGAY'!$C$6:$C$4655,"&lt;="&amp;'THAM_SO'!$B$7),$E66))</f>
        <v/>
      </c>
      <c r="AD66" s="232">
        <f>IF($B66="","",IF($D66="Theo ngày",SUMIFS('CHAM_CONG_NGAY'!$F$6:$F$4655,'CHAM_CONG_NGAY'!$B$6:$B$4655,$B66,'CHAM_CONG_NGAY'!$C$6:$C$4655,"&gt;="&amp;'THAM_SO'!$B$6,'CHAM_CONG_NGAY'!$C$6:$C$4655,"&lt;="&amp;'THAM_SO'!$B$7),$F66))</f>
        <v/>
      </c>
      <c r="AE66" s="232">
        <f>IF($B66="","",IF($D66="Theo ngày",SUMIFS('CHAM_CONG_NGAY'!$G$6:$G$4655,'CHAM_CONG_NGAY'!$B$6:$B$4655,$B66,'CHAM_CONG_NGAY'!$C$6:$C$4655,"&gt;="&amp;'THAM_SO'!$B$6,'CHAM_CONG_NGAY'!$C$6:$C$4655,"&lt;="&amp;'THAM_SO'!$B$7),$G66))</f>
        <v/>
      </c>
      <c r="AF66" s="232">
        <f>IF($B66="","",IF($D66="Theo ngày",SUMIFS('CHAM_CONG_NGAY'!$H$6:$H$4655,'CHAM_CONG_NGAY'!$B$6:$B$4655,$B66,'CHAM_CONG_NGAY'!$C$6:$C$4655,"&gt;="&amp;'THAM_SO'!$B$6,'CHAM_CONG_NGAY'!$C$6:$C$4655,"&lt;="&amp;'THAM_SO'!$B$7),$H66))</f>
        <v/>
      </c>
      <c r="AG66" s="232">
        <f>IF($B66="","",IF($D66="Theo ngày",SUMIFS('CHAM_CONG_NGAY'!$I$6:$I$4655,'CHAM_CONG_NGAY'!$B$6:$B$4655,$B66,'CHAM_CONG_NGAY'!$C$6:$C$4655,"&gt;="&amp;'THAM_SO'!$B$6,'CHAM_CONG_NGAY'!$C$6:$C$4655,"&lt;="&amp;'THAM_SO'!$B$7),$I66))</f>
        <v/>
      </c>
      <c r="AH66" s="232">
        <f>IF($B66="","",IF($D66="Theo ngày",SUMIFS('CHAM_CONG_NGAY'!$J$6:$J$4655,'CHAM_CONG_NGAY'!$B$6:$B$4655,$B66,'CHAM_CONG_NGAY'!$C$6:$C$4655,"&gt;="&amp;'THAM_SO'!$B$6,'CHAM_CONG_NGAY'!$C$6:$C$4655,"&lt;="&amp;'THAM_SO'!$B$7),$J66))</f>
        <v/>
      </c>
      <c r="AI66" s="232">
        <f>IF($B66="","",IF($D66="Theo ngày",SUMIFS('CHAM_CONG_NGAY'!$K$6:$K$4655,'CHAM_CONG_NGAY'!$B$6:$B$4655,$B66,'CHAM_CONG_NGAY'!$C$6:$C$4655,"&gt;="&amp;'THAM_SO'!$B$6,'CHAM_CONG_NGAY'!$C$6:$C$4655,"&lt;="&amp;'THAM_SO'!$B$7),$K66))</f>
        <v/>
      </c>
      <c r="AJ66" s="232">
        <f>IF($B66="","",IF($D66="Theo ngày",SUMIFS('CHAM_CONG_NGAY'!$L$6:$L$4655,'CHAM_CONG_NGAY'!$B$6:$B$4655,$B66,'CHAM_CONG_NGAY'!$C$6:$C$4655,"&gt;="&amp;'THAM_SO'!$B$6,'CHAM_CONG_NGAY'!$C$6:$C$4655,"&lt;="&amp;'THAM_SO'!$B$7),$L66))</f>
        <v/>
      </c>
      <c r="AK66" s="232">
        <f>IF($B66="","",IF($D66="Theo ngày",SUMIFS('CHAM_CONG_NGAY'!$M$6:$M$4655,'CHAM_CONG_NGAY'!$B$6:$B$4655,$B66,'CHAM_CONG_NGAY'!$C$6:$C$4655,"&gt;="&amp;'THAM_SO'!$B$6,'CHAM_CONG_NGAY'!$C$6:$C$4655,"&lt;="&amp;'THAM_SO'!$B$7),$M66))</f>
        <v/>
      </c>
      <c r="AL66" s="227" t="n"/>
      <c r="AM66" s="227" t="n"/>
      <c r="AN66" s="227" t="n"/>
      <c r="AO66" s="227" t="n"/>
      <c r="AP66" s="227" t="n"/>
      <c r="AQ66" s="227" t="n"/>
      <c r="AR66" s="232">
        <f>IF($B66="","",IF($D66="Theo ngày",SUMIFS('CHAM_CONG_NGAY'!$O$6:$O$4655,'CHAM_CONG_NGAY'!$B$6:$B$4655,$B66,'CHAM_CONG_NGAY'!$C$6:$C$4655,"&gt;="&amp;'THAM_SO'!$B$6,'CHAM_CONG_NGAY'!$C$6:$C$4655,"&lt;="&amp;'THAM_SO'!$B$7),$AL66))</f>
        <v/>
      </c>
      <c r="AS66" s="232">
        <f>IF($B66="","",IF($D66="Theo ngày",SUMIFS('CHAM_CONG_NGAY'!$P$6:$P$4655,'CHAM_CONG_NGAY'!$B$6:$B$4655,$B66,'CHAM_CONG_NGAY'!$C$6:$C$4655,"&gt;="&amp;'THAM_SO'!$B$6,'CHAM_CONG_NGAY'!$C$6:$C$4655,"&lt;="&amp;'THAM_SO'!$B$7),$AM66))</f>
        <v/>
      </c>
      <c r="AT66" s="232">
        <f>IF($B66="","",IF($D66="Theo ngày",SUMIFS('CHAM_CONG_NGAY'!$Q$6:$Q$4655,'CHAM_CONG_NGAY'!$B$6:$B$4655,$B66,'CHAM_CONG_NGAY'!$C$6:$C$4655,"&gt;="&amp;'THAM_SO'!$B$6,'CHAM_CONG_NGAY'!$C$6:$C$4655,"&lt;="&amp;'THAM_SO'!$B$7),$AN66))</f>
        <v/>
      </c>
      <c r="AU66" s="232">
        <f>IF($B66="","",IF($D66="Theo ngày",SUMIFS('CHAM_CONG_NGAY'!$R$6:$R$4655,'CHAM_CONG_NGAY'!$B$6:$B$4655,$B66,'CHAM_CONG_NGAY'!$C$6:$C$4655,"&gt;="&amp;'THAM_SO'!$B$6,'CHAM_CONG_NGAY'!$C$6:$C$4655,"&lt;="&amp;'THAM_SO'!$B$7),$AO66))</f>
        <v/>
      </c>
      <c r="AV66" s="232">
        <f>IF($B66="","",IF($D66="Theo ngày",SUMIFS('CHAM_CONG_NGAY'!$S$6:$S$4655,'CHAM_CONG_NGAY'!$B$6:$B$4655,$B66,'CHAM_CONG_NGAY'!$C$6:$C$4655,"&gt;="&amp;'THAM_SO'!$B$6,'CHAM_CONG_NGAY'!$C$6:$C$4655,"&lt;="&amp;'THAM_SO'!$B$7),$AP66))</f>
        <v/>
      </c>
      <c r="AW66" s="232">
        <f>IF($B66="","",IF($D66="Theo ngày",SUMIFS('CHAM_CONG_NGAY'!$T$6:$T$4655,'CHAM_CONG_NGAY'!$B$6:$B$4655,$B66,'CHAM_CONG_NGAY'!$C$6:$C$4655,"&gt;="&amp;'THAM_SO'!$B$6,'CHAM_CONG_NGAY'!$C$6:$C$4655,"&lt;="&amp;'THAM_SO'!$B$7),$AQ66))</f>
        <v/>
      </c>
    </row>
    <row r="67">
      <c r="A67" s="145">
        <f>IF($B67="","",ROW()-5)</f>
        <v/>
      </c>
      <c r="B67" s="145">
        <f>IF('DM_NHAN_SU'!B67="","",'DM_NHAN_SU'!B67)</f>
        <v/>
      </c>
      <c r="C67" s="145">
        <f>IF('DM_NHAN_SU'!B67="","",'DM_NHAN_SU'!C67)</f>
        <v/>
      </c>
      <c r="D67" s="127" t="n"/>
      <c r="E67" s="227" t="n"/>
      <c r="F67" s="227" t="n"/>
      <c r="G67" s="227" t="n"/>
      <c r="H67" s="227" t="n"/>
      <c r="I67" s="227" t="n"/>
      <c r="J67" s="227" t="n"/>
      <c r="K67" s="227" t="n"/>
      <c r="L67" s="227" t="n"/>
      <c r="M67" s="227" t="n"/>
      <c r="N67" s="227" t="n"/>
      <c r="O67" s="222" t="n"/>
      <c r="P67" s="222" t="n"/>
      <c r="Q67" s="222" t="n"/>
      <c r="R67" s="222" t="n"/>
      <c r="S67" s="222" t="n"/>
      <c r="T67" s="222" t="n"/>
      <c r="U67" s="222" t="n"/>
      <c r="V67" s="222" t="n"/>
      <c r="W67" s="222" t="n"/>
      <c r="X67" s="222" t="n"/>
      <c r="Y67" s="222" t="n"/>
      <c r="Z67" s="222" t="n"/>
      <c r="AA67" s="127" t="n"/>
      <c r="AB67" s="127" t="n"/>
      <c r="AC67" s="232">
        <f>IF($B67="","",IF($D67="Theo ngày",SUMIFS('CHAM_CONG_NGAY'!$E$6:$E$4655,'CHAM_CONG_NGAY'!$B$6:$B$4655,$B67,'CHAM_CONG_NGAY'!$C$6:$C$4655,"&gt;="&amp;'THAM_SO'!$B$6,'CHAM_CONG_NGAY'!$C$6:$C$4655,"&lt;="&amp;'THAM_SO'!$B$7),$E67))</f>
        <v/>
      </c>
      <c r="AD67" s="232">
        <f>IF($B67="","",IF($D67="Theo ngày",SUMIFS('CHAM_CONG_NGAY'!$F$6:$F$4655,'CHAM_CONG_NGAY'!$B$6:$B$4655,$B67,'CHAM_CONG_NGAY'!$C$6:$C$4655,"&gt;="&amp;'THAM_SO'!$B$6,'CHAM_CONG_NGAY'!$C$6:$C$4655,"&lt;="&amp;'THAM_SO'!$B$7),$F67))</f>
        <v/>
      </c>
      <c r="AE67" s="232">
        <f>IF($B67="","",IF($D67="Theo ngày",SUMIFS('CHAM_CONG_NGAY'!$G$6:$G$4655,'CHAM_CONG_NGAY'!$B$6:$B$4655,$B67,'CHAM_CONG_NGAY'!$C$6:$C$4655,"&gt;="&amp;'THAM_SO'!$B$6,'CHAM_CONG_NGAY'!$C$6:$C$4655,"&lt;="&amp;'THAM_SO'!$B$7),$G67))</f>
        <v/>
      </c>
      <c r="AF67" s="232">
        <f>IF($B67="","",IF($D67="Theo ngày",SUMIFS('CHAM_CONG_NGAY'!$H$6:$H$4655,'CHAM_CONG_NGAY'!$B$6:$B$4655,$B67,'CHAM_CONG_NGAY'!$C$6:$C$4655,"&gt;="&amp;'THAM_SO'!$B$6,'CHAM_CONG_NGAY'!$C$6:$C$4655,"&lt;="&amp;'THAM_SO'!$B$7),$H67))</f>
        <v/>
      </c>
      <c r="AG67" s="232">
        <f>IF($B67="","",IF($D67="Theo ngày",SUMIFS('CHAM_CONG_NGAY'!$I$6:$I$4655,'CHAM_CONG_NGAY'!$B$6:$B$4655,$B67,'CHAM_CONG_NGAY'!$C$6:$C$4655,"&gt;="&amp;'THAM_SO'!$B$6,'CHAM_CONG_NGAY'!$C$6:$C$4655,"&lt;="&amp;'THAM_SO'!$B$7),$I67))</f>
        <v/>
      </c>
      <c r="AH67" s="232">
        <f>IF($B67="","",IF($D67="Theo ngày",SUMIFS('CHAM_CONG_NGAY'!$J$6:$J$4655,'CHAM_CONG_NGAY'!$B$6:$B$4655,$B67,'CHAM_CONG_NGAY'!$C$6:$C$4655,"&gt;="&amp;'THAM_SO'!$B$6,'CHAM_CONG_NGAY'!$C$6:$C$4655,"&lt;="&amp;'THAM_SO'!$B$7),$J67))</f>
        <v/>
      </c>
      <c r="AI67" s="232">
        <f>IF($B67="","",IF($D67="Theo ngày",SUMIFS('CHAM_CONG_NGAY'!$K$6:$K$4655,'CHAM_CONG_NGAY'!$B$6:$B$4655,$B67,'CHAM_CONG_NGAY'!$C$6:$C$4655,"&gt;="&amp;'THAM_SO'!$B$6,'CHAM_CONG_NGAY'!$C$6:$C$4655,"&lt;="&amp;'THAM_SO'!$B$7),$K67))</f>
        <v/>
      </c>
      <c r="AJ67" s="232">
        <f>IF($B67="","",IF($D67="Theo ngày",SUMIFS('CHAM_CONG_NGAY'!$L$6:$L$4655,'CHAM_CONG_NGAY'!$B$6:$B$4655,$B67,'CHAM_CONG_NGAY'!$C$6:$C$4655,"&gt;="&amp;'THAM_SO'!$B$6,'CHAM_CONG_NGAY'!$C$6:$C$4655,"&lt;="&amp;'THAM_SO'!$B$7),$L67))</f>
        <v/>
      </c>
      <c r="AK67" s="232">
        <f>IF($B67="","",IF($D67="Theo ngày",SUMIFS('CHAM_CONG_NGAY'!$M$6:$M$4655,'CHAM_CONG_NGAY'!$B$6:$B$4655,$B67,'CHAM_CONG_NGAY'!$C$6:$C$4655,"&gt;="&amp;'THAM_SO'!$B$6,'CHAM_CONG_NGAY'!$C$6:$C$4655,"&lt;="&amp;'THAM_SO'!$B$7),$M67))</f>
        <v/>
      </c>
      <c r="AL67" s="227" t="n"/>
      <c r="AM67" s="227" t="n"/>
      <c r="AN67" s="227" t="n"/>
      <c r="AO67" s="227" t="n"/>
      <c r="AP67" s="227" t="n"/>
      <c r="AQ67" s="227" t="n"/>
      <c r="AR67" s="232">
        <f>IF($B67="","",IF($D67="Theo ngày",SUMIFS('CHAM_CONG_NGAY'!$O$6:$O$4655,'CHAM_CONG_NGAY'!$B$6:$B$4655,$B67,'CHAM_CONG_NGAY'!$C$6:$C$4655,"&gt;="&amp;'THAM_SO'!$B$6,'CHAM_CONG_NGAY'!$C$6:$C$4655,"&lt;="&amp;'THAM_SO'!$B$7),$AL67))</f>
        <v/>
      </c>
      <c r="AS67" s="232">
        <f>IF($B67="","",IF($D67="Theo ngày",SUMIFS('CHAM_CONG_NGAY'!$P$6:$P$4655,'CHAM_CONG_NGAY'!$B$6:$B$4655,$B67,'CHAM_CONG_NGAY'!$C$6:$C$4655,"&gt;="&amp;'THAM_SO'!$B$6,'CHAM_CONG_NGAY'!$C$6:$C$4655,"&lt;="&amp;'THAM_SO'!$B$7),$AM67))</f>
        <v/>
      </c>
      <c r="AT67" s="232">
        <f>IF($B67="","",IF($D67="Theo ngày",SUMIFS('CHAM_CONG_NGAY'!$Q$6:$Q$4655,'CHAM_CONG_NGAY'!$B$6:$B$4655,$B67,'CHAM_CONG_NGAY'!$C$6:$C$4655,"&gt;="&amp;'THAM_SO'!$B$6,'CHAM_CONG_NGAY'!$C$6:$C$4655,"&lt;="&amp;'THAM_SO'!$B$7),$AN67))</f>
        <v/>
      </c>
      <c r="AU67" s="232">
        <f>IF($B67="","",IF($D67="Theo ngày",SUMIFS('CHAM_CONG_NGAY'!$R$6:$R$4655,'CHAM_CONG_NGAY'!$B$6:$B$4655,$B67,'CHAM_CONG_NGAY'!$C$6:$C$4655,"&gt;="&amp;'THAM_SO'!$B$6,'CHAM_CONG_NGAY'!$C$6:$C$4655,"&lt;="&amp;'THAM_SO'!$B$7),$AO67))</f>
        <v/>
      </c>
      <c r="AV67" s="232">
        <f>IF($B67="","",IF($D67="Theo ngày",SUMIFS('CHAM_CONG_NGAY'!$S$6:$S$4655,'CHAM_CONG_NGAY'!$B$6:$B$4655,$B67,'CHAM_CONG_NGAY'!$C$6:$C$4655,"&gt;="&amp;'THAM_SO'!$B$6,'CHAM_CONG_NGAY'!$C$6:$C$4655,"&lt;="&amp;'THAM_SO'!$B$7),$AP67))</f>
        <v/>
      </c>
      <c r="AW67" s="232">
        <f>IF($B67="","",IF($D67="Theo ngày",SUMIFS('CHAM_CONG_NGAY'!$T$6:$T$4655,'CHAM_CONG_NGAY'!$B$6:$B$4655,$B67,'CHAM_CONG_NGAY'!$C$6:$C$4655,"&gt;="&amp;'THAM_SO'!$B$6,'CHAM_CONG_NGAY'!$C$6:$C$4655,"&lt;="&amp;'THAM_SO'!$B$7),$AQ67))</f>
        <v/>
      </c>
    </row>
    <row r="68">
      <c r="A68" s="145">
        <f>IF($B68="","",ROW()-5)</f>
        <v/>
      </c>
      <c r="B68" s="145">
        <f>IF('DM_NHAN_SU'!B68="","",'DM_NHAN_SU'!B68)</f>
        <v/>
      </c>
      <c r="C68" s="145">
        <f>IF('DM_NHAN_SU'!B68="","",'DM_NHAN_SU'!C68)</f>
        <v/>
      </c>
      <c r="D68" s="127" t="n"/>
      <c r="E68" s="227" t="n"/>
      <c r="F68" s="227" t="n"/>
      <c r="G68" s="227" t="n"/>
      <c r="H68" s="227" t="n"/>
      <c r="I68" s="227" t="n"/>
      <c r="J68" s="227" t="n"/>
      <c r="K68" s="227" t="n"/>
      <c r="L68" s="227" t="n"/>
      <c r="M68" s="227" t="n"/>
      <c r="N68" s="227" t="n"/>
      <c r="O68" s="222" t="n"/>
      <c r="P68" s="222" t="n"/>
      <c r="Q68" s="222" t="n"/>
      <c r="R68" s="222" t="n"/>
      <c r="S68" s="222" t="n"/>
      <c r="T68" s="222" t="n"/>
      <c r="U68" s="222" t="n"/>
      <c r="V68" s="222" t="n"/>
      <c r="W68" s="222" t="n"/>
      <c r="X68" s="222" t="n"/>
      <c r="Y68" s="222" t="n"/>
      <c r="Z68" s="222" t="n"/>
      <c r="AA68" s="127" t="n"/>
      <c r="AB68" s="127" t="n"/>
      <c r="AC68" s="232">
        <f>IF($B68="","",IF($D68="Theo ngày",SUMIFS('CHAM_CONG_NGAY'!$E$6:$E$4655,'CHAM_CONG_NGAY'!$B$6:$B$4655,$B68,'CHAM_CONG_NGAY'!$C$6:$C$4655,"&gt;="&amp;'THAM_SO'!$B$6,'CHAM_CONG_NGAY'!$C$6:$C$4655,"&lt;="&amp;'THAM_SO'!$B$7),$E68))</f>
        <v/>
      </c>
      <c r="AD68" s="232">
        <f>IF($B68="","",IF($D68="Theo ngày",SUMIFS('CHAM_CONG_NGAY'!$F$6:$F$4655,'CHAM_CONG_NGAY'!$B$6:$B$4655,$B68,'CHAM_CONG_NGAY'!$C$6:$C$4655,"&gt;="&amp;'THAM_SO'!$B$6,'CHAM_CONG_NGAY'!$C$6:$C$4655,"&lt;="&amp;'THAM_SO'!$B$7),$F68))</f>
        <v/>
      </c>
      <c r="AE68" s="232">
        <f>IF($B68="","",IF($D68="Theo ngày",SUMIFS('CHAM_CONG_NGAY'!$G$6:$G$4655,'CHAM_CONG_NGAY'!$B$6:$B$4655,$B68,'CHAM_CONG_NGAY'!$C$6:$C$4655,"&gt;="&amp;'THAM_SO'!$B$6,'CHAM_CONG_NGAY'!$C$6:$C$4655,"&lt;="&amp;'THAM_SO'!$B$7),$G68))</f>
        <v/>
      </c>
      <c r="AF68" s="232">
        <f>IF($B68="","",IF($D68="Theo ngày",SUMIFS('CHAM_CONG_NGAY'!$H$6:$H$4655,'CHAM_CONG_NGAY'!$B$6:$B$4655,$B68,'CHAM_CONG_NGAY'!$C$6:$C$4655,"&gt;="&amp;'THAM_SO'!$B$6,'CHAM_CONG_NGAY'!$C$6:$C$4655,"&lt;="&amp;'THAM_SO'!$B$7),$H68))</f>
        <v/>
      </c>
      <c r="AG68" s="232">
        <f>IF($B68="","",IF($D68="Theo ngày",SUMIFS('CHAM_CONG_NGAY'!$I$6:$I$4655,'CHAM_CONG_NGAY'!$B$6:$B$4655,$B68,'CHAM_CONG_NGAY'!$C$6:$C$4655,"&gt;="&amp;'THAM_SO'!$B$6,'CHAM_CONG_NGAY'!$C$6:$C$4655,"&lt;="&amp;'THAM_SO'!$B$7),$I68))</f>
        <v/>
      </c>
      <c r="AH68" s="232">
        <f>IF($B68="","",IF($D68="Theo ngày",SUMIFS('CHAM_CONG_NGAY'!$J$6:$J$4655,'CHAM_CONG_NGAY'!$B$6:$B$4655,$B68,'CHAM_CONG_NGAY'!$C$6:$C$4655,"&gt;="&amp;'THAM_SO'!$B$6,'CHAM_CONG_NGAY'!$C$6:$C$4655,"&lt;="&amp;'THAM_SO'!$B$7),$J68))</f>
        <v/>
      </c>
      <c r="AI68" s="232">
        <f>IF($B68="","",IF($D68="Theo ngày",SUMIFS('CHAM_CONG_NGAY'!$K$6:$K$4655,'CHAM_CONG_NGAY'!$B$6:$B$4655,$B68,'CHAM_CONG_NGAY'!$C$6:$C$4655,"&gt;="&amp;'THAM_SO'!$B$6,'CHAM_CONG_NGAY'!$C$6:$C$4655,"&lt;="&amp;'THAM_SO'!$B$7),$K68))</f>
        <v/>
      </c>
      <c r="AJ68" s="232">
        <f>IF($B68="","",IF($D68="Theo ngày",SUMIFS('CHAM_CONG_NGAY'!$L$6:$L$4655,'CHAM_CONG_NGAY'!$B$6:$B$4655,$B68,'CHAM_CONG_NGAY'!$C$6:$C$4655,"&gt;="&amp;'THAM_SO'!$B$6,'CHAM_CONG_NGAY'!$C$6:$C$4655,"&lt;="&amp;'THAM_SO'!$B$7),$L68))</f>
        <v/>
      </c>
      <c r="AK68" s="232">
        <f>IF($B68="","",IF($D68="Theo ngày",SUMIFS('CHAM_CONG_NGAY'!$M$6:$M$4655,'CHAM_CONG_NGAY'!$B$6:$B$4655,$B68,'CHAM_CONG_NGAY'!$C$6:$C$4655,"&gt;="&amp;'THAM_SO'!$B$6,'CHAM_CONG_NGAY'!$C$6:$C$4655,"&lt;="&amp;'THAM_SO'!$B$7),$M68))</f>
        <v/>
      </c>
      <c r="AL68" s="227" t="n"/>
      <c r="AM68" s="227" t="n"/>
      <c r="AN68" s="227" t="n"/>
      <c r="AO68" s="227" t="n"/>
      <c r="AP68" s="227" t="n"/>
      <c r="AQ68" s="227" t="n"/>
      <c r="AR68" s="232">
        <f>IF($B68="","",IF($D68="Theo ngày",SUMIFS('CHAM_CONG_NGAY'!$O$6:$O$4655,'CHAM_CONG_NGAY'!$B$6:$B$4655,$B68,'CHAM_CONG_NGAY'!$C$6:$C$4655,"&gt;="&amp;'THAM_SO'!$B$6,'CHAM_CONG_NGAY'!$C$6:$C$4655,"&lt;="&amp;'THAM_SO'!$B$7),$AL68))</f>
        <v/>
      </c>
      <c r="AS68" s="232">
        <f>IF($B68="","",IF($D68="Theo ngày",SUMIFS('CHAM_CONG_NGAY'!$P$6:$P$4655,'CHAM_CONG_NGAY'!$B$6:$B$4655,$B68,'CHAM_CONG_NGAY'!$C$6:$C$4655,"&gt;="&amp;'THAM_SO'!$B$6,'CHAM_CONG_NGAY'!$C$6:$C$4655,"&lt;="&amp;'THAM_SO'!$B$7),$AM68))</f>
        <v/>
      </c>
      <c r="AT68" s="232">
        <f>IF($B68="","",IF($D68="Theo ngày",SUMIFS('CHAM_CONG_NGAY'!$Q$6:$Q$4655,'CHAM_CONG_NGAY'!$B$6:$B$4655,$B68,'CHAM_CONG_NGAY'!$C$6:$C$4655,"&gt;="&amp;'THAM_SO'!$B$6,'CHAM_CONG_NGAY'!$C$6:$C$4655,"&lt;="&amp;'THAM_SO'!$B$7),$AN68))</f>
        <v/>
      </c>
      <c r="AU68" s="232">
        <f>IF($B68="","",IF($D68="Theo ngày",SUMIFS('CHAM_CONG_NGAY'!$R$6:$R$4655,'CHAM_CONG_NGAY'!$B$6:$B$4655,$B68,'CHAM_CONG_NGAY'!$C$6:$C$4655,"&gt;="&amp;'THAM_SO'!$B$6,'CHAM_CONG_NGAY'!$C$6:$C$4655,"&lt;="&amp;'THAM_SO'!$B$7),$AO68))</f>
        <v/>
      </c>
      <c r="AV68" s="232">
        <f>IF($B68="","",IF($D68="Theo ngày",SUMIFS('CHAM_CONG_NGAY'!$S$6:$S$4655,'CHAM_CONG_NGAY'!$B$6:$B$4655,$B68,'CHAM_CONG_NGAY'!$C$6:$C$4655,"&gt;="&amp;'THAM_SO'!$B$6,'CHAM_CONG_NGAY'!$C$6:$C$4655,"&lt;="&amp;'THAM_SO'!$B$7),$AP68))</f>
        <v/>
      </c>
      <c r="AW68" s="232">
        <f>IF($B68="","",IF($D68="Theo ngày",SUMIFS('CHAM_CONG_NGAY'!$T$6:$T$4655,'CHAM_CONG_NGAY'!$B$6:$B$4655,$B68,'CHAM_CONG_NGAY'!$C$6:$C$4655,"&gt;="&amp;'THAM_SO'!$B$6,'CHAM_CONG_NGAY'!$C$6:$C$4655,"&lt;="&amp;'THAM_SO'!$B$7),$AQ68))</f>
        <v/>
      </c>
    </row>
    <row r="69">
      <c r="A69" s="145">
        <f>IF($B69="","",ROW()-5)</f>
        <v/>
      </c>
      <c r="B69" s="145">
        <f>IF('DM_NHAN_SU'!B69="","",'DM_NHAN_SU'!B69)</f>
        <v/>
      </c>
      <c r="C69" s="145">
        <f>IF('DM_NHAN_SU'!B69="","",'DM_NHAN_SU'!C69)</f>
        <v/>
      </c>
      <c r="D69" s="127" t="n"/>
      <c r="E69" s="227" t="n"/>
      <c r="F69" s="227" t="n"/>
      <c r="G69" s="227" t="n"/>
      <c r="H69" s="227" t="n"/>
      <c r="I69" s="227" t="n"/>
      <c r="J69" s="227" t="n"/>
      <c r="K69" s="227" t="n"/>
      <c r="L69" s="227" t="n"/>
      <c r="M69" s="227" t="n"/>
      <c r="N69" s="227" t="n"/>
      <c r="O69" s="222" t="n"/>
      <c r="P69" s="222" t="n"/>
      <c r="Q69" s="222" t="n"/>
      <c r="R69" s="222" t="n"/>
      <c r="S69" s="222" t="n"/>
      <c r="T69" s="222" t="n"/>
      <c r="U69" s="222" t="n"/>
      <c r="V69" s="222" t="n"/>
      <c r="W69" s="222" t="n"/>
      <c r="X69" s="222" t="n"/>
      <c r="Y69" s="222" t="n"/>
      <c r="Z69" s="222" t="n"/>
      <c r="AA69" s="127" t="n"/>
      <c r="AB69" s="127" t="n"/>
      <c r="AC69" s="232">
        <f>IF($B69="","",IF($D69="Theo ngày",SUMIFS('CHAM_CONG_NGAY'!$E$6:$E$4655,'CHAM_CONG_NGAY'!$B$6:$B$4655,$B69,'CHAM_CONG_NGAY'!$C$6:$C$4655,"&gt;="&amp;'THAM_SO'!$B$6,'CHAM_CONG_NGAY'!$C$6:$C$4655,"&lt;="&amp;'THAM_SO'!$B$7),$E69))</f>
        <v/>
      </c>
      <c r="AD69" s="232">
        <f>IF($B69="","",IF($D69="Theo ngày",SUMIFS('CHAM_CONG_NGAY'!$F$6:$F$4655,'CHAM_CONG_NGAY'!$B$6:$B$4655,$B69,'CHAM_CONG_NGAY'!$C$6:$C$4655,"&gt;="&amp;'THAM_SO'!$B$6,'CHAM_CONG_NGAY'!$C$6:$C$4655,"&lt;="&amp;'THAM_SO'!$B$7),$F69))</f>
        <v/>
      </c>
      <c r="AE69" s="232">
        <f>IF($B69="","",IF($D69="Theo ngày",SUMIFS('CHAM_CONG_NGAY'!$G$6:$G$4655,'CHAM_CONG_NGAY'!$B$6:$B$4655,$B69,'CHAM_CONG_NGAY'!$C$6:$C$4655,"&gt;="&amp;'THAM_SO'!$B$6,'CHAM_CONG_NGAY'!$C$6:$C$4655,"&lt;="&amp;'THAM_SO'!$B$7),$G69))</f>
        <v/>
      </c>
      <c r="AF69" s="232">
        <f>IF($B69="","",IF($D69="Theo ngày",SUMIFS('CHAM_CONG_NGAY'!$H$6:$H$4655,'CHAM_CONG_NGAY'!$B$6:$B$4655,$B69,'CHAM_CONG_NGAY'!$C$6:$C$4655,"&gt;="&amp;'THAM_SO'!$B$6,'CHAM_CONG_NGAY'!$C$6:$C$4655,"&lt;="&amp;'THAM_SO'!$B$7),$H69))</f>
        <v/>
      </c>
      <c r="AG69" s="232">
        <f>IF($B69="","",IF($D69="Theo ngày",SUMIFS('CHAM_CONG_NGAY'!$I$6:$I$4655,'CHAM_CONG_NGAY'!$B$6:$B$4655,$B69,'CHAM_CONG_NGAY'!$C$6:$C$4655,"&gt;="&amp;'THAM_SO'!$B$6,'CHAM_CONG_NGAY'!$C$6:$C$4655,"&lt;="&amp;'THAM_SO'!$B$7),$I69))</f>
        <v/>
      </c>
      <c r="AH69" s="232">
        <f>IF($B69="","",IF($D69="Theo ngày",SUMIFS('CHAM_CONG_NGAY'!$J$6:$J$4655,'CHAM_CONG_NGAY'!$B$6:$B$4655,$B69,'CHAM_CONG_NGAY'!$C$6:$C$4655,"&gt;="&amp;'THAM_SO'!$B$6,'CHAM_CONG_NGAY'!$C$6:$C$4655,"&lt;="&amp;'THAM_SO'!$B$7),$J69))</f>
        <v/>
      </c>
      <c r="AI69" s="232">
        <f>IF($B69="","",IF($D69="Theo ngày",SUMIFS('CHAM_CONG_NGAY'!$K$6:$K$4655,'CHAM_CONG_NGAY'!$B$6:$B$4655,$B69,'CHAM_CONG_NGAY'!$C$6:$C$4655,"&gt;="&amp;'THAM_SO'!$B$6,'CHAM_CONG_NGAY'!$C$6:$C$4655,"&lt;="&amp;'THAM_SO'!$B$7),$K69))</f>
        <v/>
      </c>
      <c r="AJ69" s="232">
        <f>IF($B69="","",IF($D69="Theo ngày",SUMIFS('CHAM_CONG_NGAY'!$L$6:$L$4655,'CHAM_CONG_NGAY'!$B$6:$B$4655,$B69,'CHAM_CONG_NGAY'!$C$6:$C$4655,"&gt;="&amp;'THAM_SO'!$B$6,'CHAM_CONG_NGAY'!$C$6:$C$4655,"&lt;="&amp;'THAM_SO'!$B$7),$L69))</f>
        <v/>
      </c>
      <c r="AK69" s="232">
        <f>IF($B69="","",IF($D69="Theo ngày",SUMIFS('CHAM_CONG_NGAY'!$M$6:$M$4655,'CHAM_CONG_NGAY'!$B$6:$B$4655,$B69,'CHAM_CONG_NGAY'!$C$6:$C$4655,"&gt;="&amp;'THAM_SO'!$B$6,'CHAM_CONG_NGAY'!$C$6:$C$4655,"&lt;="&amp;'THAM_SO'!$B$7),$M69))</f>
        <v/>
      </c>
      <c r="AL69" s="227" t="n"/>
      <c r="AM69" s="227" t="n"/>
      <c r="AN69" s="227" t="n"/>
      <c r="AO69" s="227" t="n"/>
      <c r="AP69" s="227" t="n"/>
      <c r="AQ69" s="227" t="n"/>
      <c r="AR69" s="232">
        <f>IF($B69="","",IF($D69="Theo ngày",SUMIFS('CHAM_CONG_NGAY'!$O$6:$O$4655,'CHAM_CONG_NGAY'!$B$6:$B$4655,$B69,'CHAM_CONG_NGAY'!$C$6:$C$4655,"&gt;="&amp;'THAM_SO'!$B$6,'CHAM_CONG_NGAY'!$C$6:$C$4655,"&lt;="&amp;'THAM_SO'!$B$7),$AL69))</f>
        <v/>
      </c>
      <c r="AS69" s="232">
        <f>IF($B69="","",IF($D69="Theo ngày",SUMIFS('CHAM_CONG_NGAY'!$P$6:$P$4655,'CHAM_CONG_NGAY'!$B$6:$B$4655,$B69,'CHAM_CONG_NGAY'!$C$6:$C$4655,"&gt;="&amp;'THAM_SO'!$B$6,'CHAM_CONG_NGAY'!$C$6:$C$4655,"&lt;="&amp;'THAM_SO'!$B$7),$AM69))</f>
        <v/>
      </c>
      <c r="AT69" s="232">
        <f>IF($B69="","",IF($D69="Theo ngày",SUMIFS('CHAM_CONG_NGAY'!$Q$6:$Q$4655,'CHAM_CONG_NGAY'!$B$6:$B$4655,$B69,'CHAM_CONG_NGAY'!$C$6:$C$4655,"&gt;="&amp;'THAM_SO'!$B$6,'CHAM_CONG_NGAY'!$C$6:$C$4655,"&lt;="&amp;'THAM_SO'!$B$7),$AN69))</f>
        <v/>
      </c>
      <c r="AU69" s="232">
        <f>IF($B69="","",IF($D69="Theo ngày",SUMIFS('CHAM_CONG_NGAY'!$R$6:$R$4655,'CHAM_CONG_NGAY'!$B$6:$B$4655,$B69,'CHAM_CONG_NGAY'!$C$6:$C$4655,"&gt;="&amp;'THAM_SO'!$B$6,'CHAM_CONG_NGAY'!$C$6:$C$4655,"&lt;="&amp;'THAM_SO'!$B$7),$AO69))</f>
        <v/>
      </c>
      <c r="AV69" s="232">
        <f>IF($B69="","",IF($D69="Theo ngày",SUMIFS('CHAM_CONG_NGAY'!$S$6:$S$4655,'CHAM_CONG_NGAY'!$B$6:$B$4655,$B69,'CHAM_CONG_NGAY'!$C$6:$C$4655,"&gt;="&amp;'THAM_SO'!$B$6,'CHAM_CONG_NGAY'!$C$6:$C$4655,"&lt;="&amp;'THAM_SO'!$B$7),$AP69))</f>
        <v/>
      </c>
      <c r="AW69" s="232">
        <f>IF($B69="","",IF($D69="Theo ngày",SUMIFS('CHAM_CONG_NGAY'!$T$6:$T$4655,'CHAM_CONG_NGAY'!$B$6:$B$4655,$B69,'CHAM_CONG_NGAY'!$C$6:$C$4655,"&gt;="&amp;'THAM_SO'!$B$6,'CHAM_CONG_NGAY'!$C$6:$C$4655,"&lt;="&amp;'THAM_SO'!$B$7),$AQ69))</f>
        <v/>
      </c>
    </row>
    <row r="70">
      <c r="A70" s="145">
        <f>IF($B70="","",ROW()-5)</f>
        <v/>
      </c>
      <c r="B70" s="145">
        <f>IF('DM_NHAN_SU'!B70="","",'DM_NHAN_SU'!B70)</f>
        <v/>
      </c>
      <c r="C70" s="145">
        <f>IF('DM_NHAN_SU'!B70="","",'DM_NHAN_SU'!C70)</f>
        <v/>
      </c>
      <c r="D70" s="127" t="n"/>
      <c r="E70" s="227" t="n"/>
      <c r="F70" s="227" t="n"/>
      <c r="G70" s="227" t="n"/>
      <c r="H70" s="227" t="n"/>
      <c r="I70" s="227" t="n"/>
      <c r="J70" s="227" t="n"/>
      <c r="K70" s="227" t="n"/>
      <c r="L70" s="227" t="n"/>
      <c r="M70" s="227" t="n"/>
      <c r="N70" s="227" t="n"/>
      <c r="O70" s="222" t="n"/>
      <c r="P70" s="222" t="n"/>
      <c r="Q70" s="222" t="n"/>
      <c r="R70" s="222" t="n"/>
      <c r="S70" s="222" t="n"/>
      <c r="T70" s="222" t="n"/>
      <c r="U70" s="222" t="n"/>
      <c r="V70" s="222" t="n"/>
      <c r="W70" s="222" t="n"/>
      <c r="X70" s="222" t="n"/>
      <c r="Y70" s="222" t="n"/>
      <c r="Z70" s="222" t="n"/>
      <c r="AA70" s="127" t="n"/>
      <c r="AB70" s="127" t="n"/>
      <c r="AC70" s="232">
        <f>IF($B70="","",IF($D70="Theo ngày",SUMIFS('CHAM_CONG_NGAY'!$E$6:$E$4655,'CHAM_CONG_NGAY'!$B$6:$B$4655,$B70,'CHAM_CONG_NGAY'!$C$6:$C$4655,"&gt;="&amp;'THAM_SO'!$B$6,'CHAM_CONG_NGAY'!$C$6:$C$4655,"&lt;="&amp;'THAM_SO'!$B$7),$E70))</f>
        <v/>
      </c>
      <c r="AD70" s="232">
        <f>IF($B70="","",IF($D70="Theo ngày",SUMIFS('CHAM_CONG_NGAY'!$F$6:$F$4655,'CHAM_CONG_NGAY'!$B$6:$B$4655,$B70,'CHAM_CONG_NGAY'!$C$6:$C$4655,"&gt;="&amp;'THAM_SO'!$B$6,'CHAM_CONG_NGAY'!$C$6:$C$4655,"&lt;="&amp;'THAM_SO'!$B$7),$F70))</f>
        <v/>
      </c>
      <c r="AE70" s="232">
        <f>IF($B70="","",IF($D70="Theo ngày",SUMIFS('CHAM_CONG_NGAY'!$G$6:$G$4655,'CHAM_CONG_NGAY'!$B$6:$B$4655,$B70,'CHAM_CONG_NGAY'!$C$6:$C$4655,"&gt;="&amp;'THAM_SO'!$B$6,'CHAM_CONG_NGAY'!$C$6:$C$4655,"&lt;="&amp;'THAM_SO'!$B$7),$G70))</f>
        <v/>
      </c>
      <c r="AF70" s="232">
        <f>IF($B70="","",IF($D70="Theo ngày",SUMIFS('CHAM_CONG_NGAY'!$H$6:$H$4655,'CHAM_CONG_NGAY'!$B$6:$B$4655,$B70,'CHAM_CONG_NGAY'!$C$6:$C$4655,"&gt;="&amp;'THAM_SO'!$B$6,'CHAM_CONG_NGAY'!$C$6:$C$4655,"&lt;="&amp;'THAM_SO'!$B$7),$H70))</f>
        <v/>
      </c>
      <c r="AG70" s="232">
        <f>IF($B70="","",IF($D70="Theo ngày",SUMIFS('CHAM_CONG_NGAY'!$I$6:$I$4655,'CHAM_CONG_NGAY'!$B$6:$B$4655,$B70,'CHAM_CONG_NGAY'!$C$6:$C$4655,"&gt;="&amp;'THAM_SO'!$B$6,'CHAM_CONG_NGAY'!$C$6:$C$4655,"&lt;="&amp;'THAM_SO'!$B$7),$I70))</f>
        <v/>
      </c>
      <c r="AH70" s="232">
        <f>IF($B70="","",IF($D70="Theo ngày",SUMIFS('CHAM_CONG_NGAY'!$J$6:$J$4655,'CHAM_CONG_NGAY'!$B$6:$B$4655,$B70,'CHAM_CONG_NGAY'!$C$6:$C$4655,"&gt;="&amp;'THAM_SO'!$B$6,'CHAM_CONG_NGAY'!$C$6:$C$4655,"&lt;="&amp;'THAM_SO'!$B$7),$J70))</f>
        <v/>
      </c>
      <c r="AI70" s="232">
        <f>IF($B70="","",IF($D70="Theo ngày",SUMIFS('CHAM_CONG_NGAY'!$K$6:$K$4655,'CHAM_CONG_NGAY'!$B$6:$B$4655,$B70,'CHAM_CONG_NGAY'!$C$6:$C$4655,"&gt;="&amp;'THAM_SO'!$B$6,'CHAM_CONG_NGAY'!$C$6:$C$4655,"&lt;="&amp;'THAM_SO'!$B$7),$K70))</f>
        <v/>
      </c>
      <c r="AJ70" s="232">
        <f>IF($B70="","",IF($D70="Theo ngày",SUMIFS('CHAM_CONG_NGAY'!$L$6:$L$4655,'CHAM_CONG_NGAY'!$B$6:$B$4655,$B70,'CHAM_CONG_NGAY'!$C$6:$C$4655,"&gt;="&amp;'THAM_SO'!$B$6,'CHAM_CONG_NGAY'!$C$6:$C$4655,"&lt;="&amp;'THAM_SO'!$B$7),$L70))</f>
        <v/>
      </c>
      <c r="AK70" s="232">
        <f>IF($B70="","",IF($D70="Theo ngày",SUMIFS('CHAM_CONG_NGAY'!$M$6:$M$4655,'CHAM_CONG_NGAY'!$B$6:$B$4655,$B70,'CHAM_CONG_NGAY'!$C$6:$C$4655,"&gt;="&amp;'THAM_SO'!$B$6,'CHAM_CONG_NGAY'!$C$6:$C$4655,"&lt;="&amp;'THAM_SO'!$B$7),$M70))</f>
        <v/>
      </c>
      <c r="AL70" s="227" t="n"/>
      <c r="AM70" s="227" t="n"/>
      <c r="AN70" s="227" t="n"/>
      <c r="AO70" s="227" t="n"/>
      <c r="AP70" s="227" t="n"/>
      <c r="AQ70" s="227" t="n"/>
      <c r="AR70" s="232">
        <f>IF($B70="","",IF($D70="Theo ngày",SUMIFS('CHAM_CONG_NGAY'!$O$6:$O$4655,'CHAM_CONG_NGAY'!$B$6:$B$4655,$B70,'CHAM_CONG_NGAY'!$C$6:$C$4655,"&gt;="&amp;'THAM_SO'!$B$6,'CHAM_CONG_NGAY'!$C$6:$C$4655,"&lt;="&amp;'THAM_SO'!$B$7),$AL70))</f>
        <v/>
      </c>
      <c r="AS70" s="232">
        <f>IF($B70="","",IF($D70="Theo ngày",SUMIFS('CHAM_CONG_NGAY'!$P$6:$P$4655,'CHAM_CONG_NGAY'!$B$6:$B$4655,$B70,'CHAM_CONG_NGAY'!$C$6:$C$4655,"&gt;="&amp;'THAM_SO'!$B$6,'CHAM_CONG_NGAY'!$C$6:$C$4655,"&lt;="&amp;'THAM_SO'!$B$7),$AM70))</f>
        <v/>
      </c>
      <c r="AT70" s="232">
        <f>IF($B70="","",IF($D70="Theo ngày",SUMIFS('CHAM_CONG_NGAY'!$Q$6:$Q$4655,'CHAM_CONG_NGAY'!$B$6:$B$4655,$B70,'CHAM_CONG_NGAY'!$C$6:$C$4655,"&gt;="&amp;'THAM_SO'!$B$6,'CHAM_CONG_NGAY'!$C$6:$C$4655,"&lt;="&amp;'THAM_SO'!$B$7),$AN70))</f>
        <v/>
      </c>
      <c r="AU70" s="232">
        <f>IF($B70="","",IF($D70="Theo ngày",SUMIFS('CHAM_CONG_NGAY'!$R$6:$R$4655,'CHAM_CONG_NGAY'!$B$6:$B$4655,$B70,'CHAM_CONG_NGAY'!$C$6:$C$4655,"&gt;="&amp;'THAM_SO'!$B$6,'CHAM_CONG_NGAY'!$C$6:$C$4655,"&lt;="&amp;'THAM_SO'!$B$7),$AO70))</f>
        <v/>
      </c>
      <c r="AV70" s="232">
        <f>IF($B70="","",IF($D70="Theo ngày",SUMIFS('CHAM_CONG_NGAY'!$S$6:$S$4655,'CHAM_CONG_NGAY'!$B$6:$B$4655,$B70,'CHAM_CONG_NGAY'!$C$6:$C$4655,"&gt;="&amp;'THAM_SO'!$B$6,'CHAM_CONG_NGAY'!$C$6:$C$4655,"&lt;="&amp;'THAM_SO'!$B$7),$AP70))</f>
        <v/>
      </c>
      <c r="AW70" s="232">
        <f>IF($B70="","",IF($D70="Theo ngày",SUMIFS('CHAM_CONG_NGAY'!$T$6:$T$4655,'CHAM_CONG_NGAY'!$B$6:$B$4655,$B70,'CHAM_CONG_NGAY'!$C$6:$C$4655,"&gt;="&amp;'THAM_SO'!$B$6,'CHAM_CONG_NGAY'!$C$6:$C$4655,"&lt;="&amp;'THAM_SO'!$B$7),$AQ70))</f>
        <v/>
      </c>
    </row>
    <row r="71">
      <c r="A71" s="145">
        <f>IF($B71="","",ROW()-5)</f>
        <v/>
      </c>
      <c r="B71" s="145">
        <f>IF('DM_NHAN_SU'!B71="","",'DM_NHAN_SU'!B71)</f>
        <v/>
      </c>
      <c r="C71" s="145">
        <f>IF('DM_NHAN_SU'!B71="","",'DM_NHAN_SU'!C71)</f>
        <v/>
      </c>
      <c r="D71" s="127" t="n"/>
      <c r="E71" s="227" t="n"/>
      <c r="F71" s="227" t="n"/>
      <c r="G71" s="227" t="n"/>
      <c r="H71" s="227" t="n"/>
      <c r="I71" s="227" t="n"/>
      <c r="J71" s="227" t="n"/>
      <c r="K71" s="227" t="n"/>
      <c r="L71" s="227" t="n"/>
      <c r="M71" s="227" t="n"/>
      <c r="N71" s="227" t="n"/>
      <c r="O71" s="222" t="n"/>
      <c r="P71" s="222" t="n"/>
      <c r="Q71" s="222" t="n"/>
      <c r="R71" s="222" t="n"/>
      <c r="S71" s="222" t="n"/>
      <c r="T71" s="222" t="n"/>
      <c r="U71" s="222" t="n"/>
      <c r="V71" s="222" t="n"/>
      <c r="W71" s="222" t="n"/>
      <c r="X71" s="222" t="n"/>
      <c r="Y71" s="222" t="n"/>
      <c r="Z71" s="222" t="n"/>
      <c r="AA71" s="127" t="n"/>
      <c r="AB71" s="127" t="n"/>
      <c r="AC71" s="232">
        <f>IF($B71="","",IF($D71="Theo ngày",SUMIFS('CHAM_CONG_NGAY'!$E$6:$E$4655,'CHAM_CONG_NGAY'!$B$6:$B$4655,$B71,'CHAM_CONG_NGAY'!$C$6:$C$4655,"&gt;="&amp;'THAM_SO'!$B$6,'CHAM_CONG_NGAY'!$C$6:$C$4655,"&lt;="&amp;'THAM_SO'!$B$7),$E71))</f>
        <v/>
      </c>
      <c r="AD71" s="232">
        <f>IF($B71="","",IF($D71="Theo ngày",SUMIFS('CHAM_CONG_NGAY'!$F$6:$F$4655,'CHAM_CONG_NGAY'!$B$6:$B$4655,$B71,'CHAM_CONG_NGAY'!$C$6:$C$4655,"&gt;="&amp;'THAM_SO'!$B$6,'CHAM_CONG_NGAY'!$C$6:$C$4655,"&lt;="&amp;'THAM_SO'!$B$7),$F71))</f>
        <v/>
      </c>
      <c r="AE71" s="232">
        <f>IF($B71="","",IF($D71="Theo ngày",SUMIFS('CHAM_CONG_NGAY'!$G$6:$G$4655,'CHAM_CONG_NGAY'!$B$6:$B$4655,$B71,'CHAM_CONG_NGAY'!$C$6:$C$4655,"&gt;="&amp;'THAM_SO'!$B$6,'CHAM_CONG_NGAY'!$C$6:$C$4655,"&lt;="&amp;'THAM_SO'!$B$7),$G71))</f>
        <v/>
      </c>
      <c r="AF71" s="232">
        <f>IF($B71="","",IF($D71="Theo ngày",SUMIFS('CHAM_CONG_NGAY'!$H$6:$H$4655,'CHAM_CONG_NGAY'!$B$6:$B$4655,$B71,'CHAM_CONG_NGAY'!$C$6:$C$4655,"&gt;="&amp;'THAM_SO'!$B$6,'CHAM_CONG_NGAY'!$C$6:$C$4655,"&lt;="&amp;'THAM_SO'!$B$7),$H71))</f>
        <v/>
      </c>
      <c r="AG71" s="232">
        <f>IF($B71="","",IF($D71="Theo ngày",SUMIFS('CHAM_CONG_NGAY'!$I$6:$I$4655,'CHAM_CONG_NGAY'!$B$6:$B$4655,$B71,'CHAM_CONG_NGAY'!$C$6:$C$4655,"&gt;="&amp;'THAM_SO'!$B$6,'CHAM_CONG_NGAY'!$C$6:$C$4655,"&lt;="&amp;'THAM_SO'!$B$7),$I71))</f>
        <v/>
      </c>
      <c r="AH71" s="232">
        <f>IF($B71="","",IF($D71="Theo ngày",SUMIFS('CHAM_CONG_NGAY'!$J$6:$J$4655,'CHAM_CONG_NGAY'!$B$6:$B$4655,$B71,'CHAM_CONG_NGAY'!$C$6:$C$4655,"&gt;="&amp;'THAM_SO'!$B$6,'CHAM_CONG_NGAY'!$C$6:$C$4655,"&lt;="&amp;'THAM_SO'!$B$7),$J71))</f>
        <v/>
      </c>
      <c r="AI71" s="232">
        <f>IF($B71="","",IF($D71="Theo ngày",SUMIFS('CHAM_CONG_NGAY'!$K$6:$K$4655,'CHAM_CONG_NGAY'!$B$6:$B$4655,$B71,'CHAM_CONG_NGAY'!$C$6:$C$4655,"&gt;="&amp;'THAM_SO'!$B$6,'CHAM_CONG_NGAY'!$C$6:$C$4655,"&lt;="&amp;'THAM_SO'!$B$7),$K71))</f>
        <v/>
      </c>
      <c r="AJ71" s="232">
        <f>IF($B71="","",IF($D71="Theo ngày",SUMIFS('CHAM_CONG_NGAY'!$L$6:$L$4655,'CHAM_CONG_NGAY'!$B$6:$B$4655,$B71,'CHAM_CONG_NGAY'!$C$6:$C$4655,"&gt;="&amp;'THAM_SO'!$B$6,'CHAM_CONG_NGAY'!$C$6:$C$4655,"&lt;="&amp;'THAM_SO'!$B$7),$L71))</f>
        <v/>
      </c>
      <c r="AK71" s="232">
        <f>IF($B71="","",IF($D71="Theo ngày",SUMIFS('CHAM_CONG_NGAY'!$M$6:$M$4655,'CHAM_CONG_NGAY'!$B$6:$B$4655,$B71,'CHAM_CONG_NGAY'!$C$6:$C$4655,"&gt;="&amp;'THAM_SO'!$B$6,'CHAM_CONG_NGAY'!$C$6:$C$4655,"&lt;="&amp;'THAM_SO'!$B$7),$M71))</f>
        <v/>
      </c>
      <c r="AL71" s="227" t="n"/>
      <c r="AM71" s="227" t="n"/>
      <c r="AN71" s="227" t="n"/>
      <c r="AO71" s="227" t="n"/>
      <c r="AP71" s="227" t="n"/>
      <c r="AQ71" s="227" t="n"/>
      <c r="AR71" s="232">
        <f>IF($B71="","",IF($D71="Theo ngày",SUMIFS('CHAM_CONG_NGAY'!$O$6:$O$4655,'CHAM_CONG_NGAY'!$B$6:$B$4655,$B71,'CHAM_CONG_NGAY'!$C$6:$C$4655,"&gt;="&amp;'THAM_SO'!$B$6,'CHAM_CONG_NGAY'!$C$6:$C$4655,"&lt;="&amp;'THAM_SO'!$B$7),$AL71))</f>
        <v/>
      </c>
      <c r="AS71" s="232">
        <f>IF($B71="","",IF($D71="Theo ngày",SUMIFS('CHAM_CONG_NGAY'!$P$6:$P$4655,'CHAM_CONG_NGAY'!$B$6:$B$4655,$B71,'CHAM_CONG_NGAY'!$C$6:$C$4655,"&gt;="&amp;'THAM_SO'!$B$6,'CHAM_CONG_NGAY'!$C$6:$C$4655,"&lt;="&amp;'THAM_SO'!$B$7),$AM71))</f>
        <v/>
      </c>
      <c r="AT71" s="232">
        <f>IF($B71="","",IF($D71="Theo ngày",SUMIFS('CHAM_CONG_NGAY'!$Q$6:$Q$4655,'CHAM_CONG_NGAY'!$B$6:$B$4655,$B71,'CHAM_CONG_NGAY'!$C$6:$C$4655,"&gt;="&amp;'THAM_SO'!$B$6,'CHAM_CONG_NGAY'!$C$6:$C$4655,"&lt;="&amp;'THAM_SO'!$B$7),$AN71))</f>
        <v/>
      </c>
      <c r="AU71" s="232">
        <f>IF($B71="","",IF($D71="Theo ngày",SUMIFS('CHAM_CONG_NGAY'!$R$6:$R$4655,'CHAM_CONG_NGAY'!$B$6:$B$4655,$B71,'CHAM_CONG_NGAY'!$C$6:$C$4655,"&gt;="&amp;'THAM_SO'!$B$6,'CHAM_CONG_NGAY'!$C$6:$C$4655,"&lt;="&amp;'THAM_SO'!$B$7),$AO71))</f>
        <v/>
      </c>
      <c r="AV71" s="232">
        <f>IF($B71="","",IF($D71="Theo ngày",SUMIFS('CHAM_CONG_NGAY'!$S$6:$S$4655,'CHAM_CONG_NGAY'!$B$6:$B$4655,$B71,'CHAM_CONG_NGAY'!$C$6:$C$4655,"&gt;="&amp;'THAM_SO'!$B$6,'CHAM_CONG_NGAY'!$C$6:$C$4655,"&lt;="&amp;'THAM_SO'!$B$7),$AP71))</f>
        <v/>
      </c>
      <c r="AW71" s="232">
        <f>IF($B71="","",IF($D71="Theo ngày",SUMIFS('CHAM_CONG_NGAY'!$T$6:$T$4655,'CHAM_CONG_NGAY'!$B$6:$B$4655,$B71,'CHAM_CONG_NGAY'!$C$6:$C$4655,"&gt;="&amp;'THAM_SO'!$B$6,'CHAM_CONG_NGAY'!$C$6:$C$4655,"&lt;="&amp;'THAM_SO'!$B$7),$AQ71))</f>
        <v/>
      </c>
    </row>
    <row r="72">
      <c r="A72" s="145">
        <f>IF($B72="","",ROW()-5)</f>
        <v/>
      </c>
      <c r="B72" s="145">
        <f>IF('DM_NHAN_SU'!B72="","",'DM_NHAN_SU'!B72)</f>
        <v/>
      </c>
      <c r="C72" s="145">
        <f>IF('DM_NHAN_SU'!B72="","",'DM_NHAN_SU'!C72)</f>
        <v/>
      </c>
      <c r="D72" s="127" t="n"/>
      <c r="E72" s="227" t="n"/>
      <c r="F72" s="227" t="n"/>
      <c r="G72" s="227" t="n"/>
      <c r="H72" s="227" t="n"/>
      <c r="I72" s="227" t="n"/>
      <c r="J72" s="227" t="n"/>
      <c r="K72" s="227" t="n"/>
      <c r="L72" s="227" t="n"/>
      <c r="M72" s="227" t="n"/>
      <c r="N72" s="227" t="n"/>
      <c r="O72" s="222" t="n"/>
      <c r="P72" s="222" t="n"/>
      <c r="Q72" s="222" t="n"/>
      <c r="R72" s="222" t="n"/>
      <c r="S72" s="222" t="n"/>
      <c r="T72" s="222" t="n"/>
      <c r="U72" s="222" t="n"/>
      <c r="V72" s="222" t="n"/>
      <c r="W72" s="222" t="n"/>
      <c r="X72" s="222" t="n"/>
      <c r="Y72" s="222" t="n"/>
      <c r="Z72" s="222" t="n"/>
      <c r="AA72" s="127" t="n"/>
      <c r="AB72" s="127" t="n"/>
      <c r="AC72" s="232">
        <f>IF($B72="","",IF($D72="Theo ngày",SUMIFS('CHAM_CONG_NGAY'!$E$6:$E$4655,'CHAM_CONG_NGAY'!$B$6:$B$4655,$B72,'CHAM_CONG_NGAY'!$C$6:$C$4655,"&gt;="&amp;'THAM_SO'!$B$6,'CHAM_CONG_NGAY'!$C$6:$C$4655,"&lt;="&amp;'THAM_SO'!$B$7),$E72))</f>
        <v/>
      </c>
      <c r="AD72" s="232">
        <f>IF($B72="","",IF($D72="Theo ngày",SUMIFS('CHAM_CONG_NGAY'!$F$6:$F$4655,'CHAM_CONG_NGAY'!$B$6:$B$4655,$B72,'CHAM_CONG_NGAY'!$C$6:$C$4655,"&gt;="&amp;'THAM_SO'!$B$6,'CHAM_CONG_NGAY'!$C$6:$C$4655,"&lt;="&amp;'THAM_SO'!$B$7),$F72))</f>
        <v/>
      </c>
      <c r="AE72" s="232">
        <f>IF($B72="","",IF($D72="Theo ngày",SUMIFS('CHAM_CONG_NGAY'!$G$6:$G$4655,'CHAM_CONG_NGAY'!$B$6:$B$4655,$B72,'CHAM_CONG_NGAY'!$C$6:$C$4655,"&gt;="&amp;'THAM_SO'!$B$6,'CHAM_CONG_NGAY'!$C$6:$C$4655,"&lt;="&amp;'THAM_SO'!$B$7),$G72))</f>
        <v/>
      </c>
      <c r="AF72" s="232">
        <f>IF($B72="","",IF($D72="Theo ngày",SUMIFS('CHAM_CONG_NGAY'!$H$6:$H$4655,'CHAM_CONG_NGAY'!$B$6:$B$4655,$B72,'CHAM_CONG_NGAY'!$C$6:$C$4655,"&gt;="&amp;'THAM_SO'!$B$6,'CHAM_CONG_NGAY'!$C$6:$C$4655,"&lt;="&amp;'THAM_SO'!$B$7),$H72))</f>
        <v/>
      </c>
      <c r="AG72" s="232">
        <f>IF($B72="","",IF($D72="Theo ngày",SUMIFS('CHAM_CONG_NGAY'!$I$6:$I$4655,'CHAM_CONG_NGAY'!$B$6:$B$4655,$B72,'CHAM_CONG_NGAY'!$C$6:$C$4655,"&gt;="&amp;'THAM_SO'!$B$6,'CHAM_CONG_NGAY'!$C$6:$C$4655,"&lt;="&amp;'THAM_SO'!$B$7),$I72))</f>
        <v/>
      </c>
      <c r="AH72" s="232">
        <f>IF($B72="","",IF($D72="Theo ngày",SUMIFS('CHAM_CONG_NGAY'!$J$6:$J$4655,'CHAM_CONG_NGAY'!$B$6:$B$4655,$B72,'CHAM_CONG_NGAY'!$C$6:$C$4655,"&gt;="&amp;'THAM_SO'!$B$6,'CHAM_CONG_NGAY'!$C$6:$C$4655,"&lt;="&amp;'THAM_SO'!$B$7),$J72))</f>
        <v/>
      </c>
      <c r="AI72" s="232">
        <f>IF($B72="","",IF($D72="Theo ngày",SUMIFS('CHAM_CONG_NGAY'!$K$6:$K$4655,'CHAM_CONG_NGAY'!$B$6:$B$4655,$B72,'CHAM_CONG_NGAY'!$C$6:$C$4655,"&gt;="&amp;'THAM_SO'!$B$6,'CHAM_CONG_NGAY'!$C$6:$C$4655,"&lt;="&amp;'THAM_SO'!$B$7),$K72))</f>
        <v/>
      </c>
      <c r="AJ72" s="232">
        <f>IF($B72="","",IF($D72="Theo ngày",SUMIFS('CHAM_CONG_NGAY'!$L$6:$L$4655,'CHAM_CONG_NGAY'!$B$6:$B$4655,$B72,'CHAM_CONG_NGAY'!$C$6:$C$4655,"&gt;="&amp;'THAM_SO'!$B$6,'CHAM_CONG_NGAY'!$C$6:$C$4655,"&lt;="&amp;'THAM_SO'!$B$7),$L72))</f>
        <v/>
      </c>
      <c r="AK72" s="232">
        <f>IF($B72="","",IF($D72="Theo ngày",SUMIFS('CHAM_CONG_NGAY'!$M$6:$M$4655,'CHAM_CONG_NGAY'!$B$6:$B$4655,$B72,'CHAM_CONG_NGAY'!$C$6:$C$4655,"&gt;="&amp;'THAM_SO'!$B$6,'CHAM_CONG_NGAY'!$C$6:$C$4655,"&lt;="&amp;'THAM_SO'!$B$7),$M72))</f>
        <v/>
      </c>
      <c r="AL72" s="227" t="n"/>
      <c r="AM72" s="227" t="n"/>
      <c r="AN72" s="227" t="n"/>
      <c r="AO72" s="227" t="n"/>
      <c r="AP72" s="227" t="n"/>
      <c r="AQ72" s="227" t="n"/>
      <c r="AR72" s="232">
        <f>IF($B72="","",IF($D72="Theo ngày",SUMIFS('CHAM_CONG_NGAY'!$O$6:$O$4655,'CHAM_CONG_NGAY'!$B$6:$B$4655,$B72,'CHAM_CONG_NGAY'!$C$6:$C$4655,"&gt;="&amp;'THAM_SO'!$B$6,'CHAM_CONG_NGAY'!$C$6:$C$4655,"&lt;="&amp;'THAM_SO'!$B$7),$AL72))</f>
        <v/>
      </c>
      <c r="AS72" s="232">
        <f>IF($B72="","",IF($D72="Theo ngày",SUMIFS('CHAM_CONG_NGAY'!$P$6:$P$4655,'CHAM_CONG_NGAY'!$B$6:$B$4655,$B72,'CHAM_CONG_NGAY'!$C$6:$C$4655,"&gt;="&amp;'THAM_SO'!$B$6,'CHAM_CONG_NGAY'!$C$6:$C$4655,"&lt;="&amp;'THAM_SO'!$B$7),$AM72))</f>
        <v/>
      </c>
      <c r="AT72" s="232">
        <f>IF($B72="","",IF($D72="Theo ngày",SUMIFS('CHAM_CONG_NGAY'!$Q$6:$Q$4655,'CHAM_CONG_NGAY'!$B$6:$B$4655,$B72,'CHAM_CONG_NGAY'!$C$6:$C$4655,"&gt;="&amp;'THAM_SO'!$B$6,'CHAM_CONG_NGAY'!$C$6:$C$4655,"&lt;="&amp;'THAM_SO'!$B$7),$AN72))</f>
        <v/>
      </c>
      <c r="AU72" s="232">
        <f>IF($B72="","",IF($D72="Theo ngày",SUMIFS('CHAM_CONG_NGAY'!$R$6:$R$4655,'CHAM_CONG_NGAY'!$B$6:$B$4655,$B72,'CHAM_CONG_NGAY'!$C$6:$C$4655,"&gt;="&amp;'THAM_SO'!$B$6,'CHAM_CONG_NGAY'!$C$6:$C$4655,"&lt;="&amp;'THAM_SO'!$B$7),$AO72))</f>
        <v/>
      </c>
      <c r="AV72" s="232">
        <f>IF($B72="","",IF($D72="Theo ngày",SUMIFS('CHAM_CONG_NGAY'!$S$6:$S$4655,'CHAM_CONG_NGAY'!$B$6:$B$4655,$B72,'CHAM_CONG_NGAY'!$C$6:$C$4655,"&gt;="&amp;'THAM_SO'!$B$6,'CHAM_CONG_NGAY'!$C$6:$C$4655,"&lt;="&amp;'THAM_SO'!$B$7),$AP72))</f>
        <v/>
      </c>
      <c r="AW72" s="232">
        <f>IF($B72="","",IF($D72="Theo ngày",SUMIFS('CHAM_CONG_NGAY'!$T$6:$T$4655,'CHAM_CONG_NGAY'!$B$6:$B$4655,$B72,'CHAM_CONG_NGAY'!$C$6:$C$4655,"&gt;="&amp;'THAM_SO'!$B$6,'CHAM_CONG_NGAY'!$C$6:$C$4655,"&lt;="&amp;'THAM_SO'!$B$7),$AQ72))</f>
        <v/>
      </c>
    </row>
    <row r="73">
      <c r="A73" s="145">
        <f>IF($B73="","",ROW()-5)</f>
        <v/>
      </c>
      <c r="B73" s="145">
        <f>IF('DM_NHAN_SU'!B73="","",'DM_NHAN_SU'!B73)</f>
        <v/>
      </c>
      <c r="C73" s="145">
        <f>IF('DM_NHAN_SU'!B73="","",'DM_NHAN_SU'!C73)</f>
        <v/>
      </c>
      <c r="D73" s="127" t="n"/>
      <c r="E73" s="227" t="n"/>
      <c r="F73" s="227" t="n"/>
      <c r="G73" s="227" t="n"/>
      <c r="H73" s="227" t="n"/>
      <c r="I73" s="227" t="n"/>
      <c r="J73" s="227" t="n"/>
      <c r="K73" s="227" t="n"/>
      <c r="L73" s="227" t="n"/>
      <c r="M73" s="227" t="n"/>
      <c r="N73" s="227" t="n"/>
      <c r="O73" s="222" t="n"/>
      <c r="P73" s="222" t="n"/>
      <c r="Q73" s="222" t="n"/>
      <c r="R73" s="222" t="n"/>
      <c r="S73" s="222" t="n"/>
      <c r="T73" s="222" t="n"/>
      <c r="U73" s="222" t="n"/>
      <c r="V73" s="222" t="n"/>
      <c r="W73" s="222" t="n"/>
      <c r="X73" s="222" t="n"/>
      <c r="Y73" s="222" t="n"/>
      <c r="Z73" s="222" t="n"/>
      <c r="AA73" s="127" t="n"/>
      <c r="AB73" s="127" t="n"/>
      <c r="AC73" s="232">
        <f>IF($B73="","",IF($D73="Theo ngày",SUMIFS('CHAM_CONG_NGAY'!$E$6:$E$4655,'CHAM_CONG_NGAY'!$B$6:$B$4655,$B73,'CHAM_CONG_NGAY'!$C$6:$C$4655,"&gt;="&amp;'THAM_SO'!$B$6,'CHAM_CONG_NGAY'!$C$6:$C$4655,"&lt;="&amp;'THAM_SO'!$B$7),$E73))</f>
        <v/>
      </c>
      <c r="AD73" s="232">
        <f>IF($B73="","",IF($D73="Theo ngày",SUMIFS('CHAM_CONG_NGAY'!$F$6:$F$4655,'CHAM_CONG_NGAY'!$B$6:$B$4655,$B73,'CHAM_CONG_NGAY'!$C$6:$C$4655,"&gt;="&amp;'THAM_SO'!$B$6,'CHAM_CONG_NGAY'!$C$6:$C$4655,"&lt;="&amp;'THAM_SO'!$B$7),$F73))</f>
        <v/>
      </c>
      <c r="AE73" s="232">
        <f>IF($B73="","",IF($D73="Theo ngày",SUMIFS('CHAM_CONG_NGAY'!$G$6:$G$4655,'CHAM_CONG_NGAY'!$B$6:$B$4655,$B73,'CHAM_CONG_NGAY'!$C$6:$C$4655,"&gt;="&amp;'THAM_SO'!$B$6,'CHAM_CONG_NGAY'!$C$6:$C$4655,"&lt;="&amp;'THAM_SO'!$B$7),$G73))</f>
        <v/>
      </c>
      <c r="AF73" s="232">
        <f>IF($B73="","",IF($D73="Theo ngày",SUMIFS('CHAM_CONG_NGAY'!$H$6:$H$4655,'CHAM_CONG_NGAY'!$B$6:$B$4655,$B73,'CHAM_CONG_NGAY'!$C$6:$C$4655,"&gt;="&amp;'THAM_SO'!$B$6,'CHAM_CONG_NGAY'!$C$6:$C$4655,"&lt;="&amp;'THAM_SO'!$B$7),$H73))</f>
        <v/>
      </c>
      <c r="AG73" s="232">
        <f>IF($B73="","",IF($D73="Theo ngày",SUMIFS('CHAM_CONG_NGAY'!$I$6:$I$4655,'CHAM_CONG_NGAY'!$B$6:$B$4655,$B73,'CHAM_CONG_NGAY'!$C$6:$C$4655,"&gt;="&amp;'THAM_SO'!$B$6,'CHAM_CONG_NGAY'!$C$6:$C$4655,"&lt;="&amp;'THAM_SO'!$B$7),$I73))</f>
        <v/>
      </c>
      <c r="AH73" s="232">
        <f>IF($B73="","",IF($D73="Theo ngày",SUMIFS('CHAM_CONG_NGAY'!$J$6:$J$4655,'CHAM_CONG_NGAY'!$B$6:$B$4655,$B73,'CHAM_CONG_NGAY'!$C$6:$C$4655,"&gt;="&amp;'THAM_SO'!$B$6,'CHAM_CONG_NGAY'!$C$6:$C$4655,"&lt;="&amp;'THAM_SO'!$B$7),$J73))</f>
        <v/>
      </c>
      <c r="AI73" s="232">
        <f>IF($B73="","",IF($D73="Theo ngày",SUMIFS('CHAM_CONG_NGAY'!$K$6:$K$4655,'CHAM_CONG_NGAY'!$B$6:$B$4655,$B73,'CHAM_CONG_NGAY'!$C$6:$C$4655,"&gt;="&amp;'THAM_SO'!$B$6,'CHAM_CONG_NGAY'!$C$6:$C$4655,"&lt;="&amp;'THAM_SO'!$B$7),$K73))</f>
        <v/>
      </c>
      <c r="AJ73" s="232">
        <f>IF($B73="","",IF($D73="Theo ngày",SUMIFS('CHAM_CONG_NGAY'!$L$6:$L$4655,'CHAM_CONG_NGAY'!$B$6:$B$4655,$B73,'CHAM_CONG_NGAY'!$C$6:$C$4655,"&gt;="&amp;'THAM_SO'!$B$6,'CHAM_CONG_NGAY'!$C$6:$C$4655,"&lt;="&amp;'THAM_SO'!$B$7),$L73))</f>
        <v/>
      </c>
      <c r="AK73" s="232">
        <f>IF($B73="","",IF($D73="Theo ngày",SUMIFS('CHAM_CONG_NGAY'!$M$6:$M$4655,'CHAM_CONG_NGAY'!$B$6:$B$4655,$B73,'CHAM_CONG_NGAY'!$C$6:$C$4655,"&gt;="&amp;'THAM_SO'!$B$6,'CHAM_CONG_NGAY'!$C$6:$C$4655,"&lt;="&amp;'THAM_SO'!$B$7),$M73))</f>
        <v/>
      </c>
      <c r="AL73" s="227" t="n"/>
      <c r="AM73" s="227" t="n"/>
      <c r="AN73" s="227" t="n"/>
      <c r="AO73" s="227" t="n"/>
      <c r="AP73" s="227" t="n"/>
      <c r="AQ73" s="227" t="n"/>
      <c r="AR73" s="232">
        <f>IF($B73="","",IF($D73="Theo ngày",SUMIFS('CHAM_CONG_NGAY'!$O$6:$O$4655,'CHAM_CONG_NGAY'!$B$6:$B$4655,$B73,'CHAM_CONG_NGAY'!$C$6:$C$4655,"&gt;="&amp;'THAM_SO'!$B$6,'CHAM_CONG_NGAY'!$C$6:$C$4655,"&lt;="&amp;'THAM_SO'!$B$7),$AL73))</f>
        <v/>
      </c>
      <c r="AS73" s="232">
        <f>IF($B73="","",IF($D73="Theo ngày",SUMIFS('CHAM_CONG_NGAY'!$P$6:$P$4655,'CHAM_CONG_NGAY'!$B$6:$B$4655,$B73,'CHAM_CONG_NGAY'!$C$6:$C$4655,"&gt;="&amp;'THAM_SO'!$B$6,'CHAM_CONG_NGAY'!$C$6:$C$4655,"&lt;="&amp;'THAM_SO'!$B$7),$AM73))</f>
        <v/>
      </c>
      <c r="AT73" s="232">
        <f>IF($B73="","",IF($D73="Theo ngày",SUMIFS('CHAM_CONG_NGAY'!$Q$6:$Q$4655,'CHAM_CONG_NGAY'!$B$6:$B$4655,$B73,'CHAM_CONG_NGAY'!$C$6:$C$4655,"&gt;="&amp;'THAM_SO'!$B$6,'CHAM_CONG_NGAY'!$C$6:$C$4655,"&lt;="&amp;'THAM_SO'!$B$7),$AN73))</f>
        <v/>
      </c>
      <c r="AU73" s="232">
        <f>IF($B73="","",IF($D73="Theo ngày",SUMIFS('CHAM_CONG_NGAY'!$R$6:$R$4655,'CHAM_CONG_NGAY'!$B$6:$B$4655,$B73,'CHAM_CONG_NGAY'!$C$6:$C$4655,"&gt;="&amp;'THAM_SO'!$B$6,'CHAM_CONG_NGAY'!$C$6:$C$4655,"&lt;="&amp;'THAM_SO'!$B$7),$AO73))</f>
        <v/>
      </c>
      <c r="AV73" s="232">
        <f>IF($B73="","",IF($D73="Theo ngày",SUMIFS('CHAM_CONG_NGAY'!$S$6:$S$4655,'CHAM_CONG_NGAY'!$B$6:$B$4655,$B73,'CHAM_CONG_NGAY'!$C$6:$C$4655,"&gt;="&amp;'THAM_SO'!$B$6,'CHAM_CONG_NGAY'!$C$6:$C$4655,"&lt;="&amp;'THAM_SO'!$B$7),$AP73))</f>
        <v/>
      </c>
      <c r="AW73" s="232">
        <f>IF($B73="","",IF($D73="Theo ngày",SUMIFS('CHAM_CONG_NGAY'!$T$6:$T$4655,'CHAM_CONG_NGAY'!$B$6:$B$4655,$B73,'CHAM_CONG_NGAY'!$C$6:$C$4655,"&gt;="&amp;'THAM_SO'!$B$6,'CHAM_CONG_NGAY'!$C$6:$C$4655,"&lt;="&amp;'THAM_SO'!$B$7),$AQ73))</f>
        <v/>
      </c>
    </row>
    <row r="74">
      <c r="A74" s="145">
        <f>IF($B74="","",ROW()-5)</f>
        <v/>
      </c>
      <c r="B74" s="145">
        <f>IF('DM_NHAN_SU'!B74="","",'DM_NHAN_SU'!B74)</f>
        <v/>
      </c>
      <c r="C74" s="145">
        <f>IF('DM_NHAN_SU'!B74="","",'DM_NHAN_SU'!C74)</f>
        <v/>
      </c>
      <c r="D74" s="127" t="n"/>
      <c r="E74" s="227" t="n"/>
      <c r="F74" s="227" t="n"/>
      <c r="G74" s="227" t="n"/>
      <c r="H74" s="227" t="n"/>
      <c r="I74" s="227" t="n"/>
      <c r="J74" s="227" t="n"/>
      <c r="K74" s="227" t="n"/>
      <c r="L74" s="227" t="n"/>
      <c r="M74" s="227" t="n"/>
      <c r="N74" s="227" t="n"/>
      <c r="O74" s="222" t="n"/>
      <c r="P74" s="222" t="n"/>
      <c r="Q74" s="222" t="n"/>
      <c r="R74" s="222" t="n"/>
      <c r="S74" s="222" t="n"/>
      <c r="T74" s="222" t="n"/>
      <c r="U74" s="222" t="n"/>
      <c r="V74" s="222" t="n"/>
      <c r="W74" s="222" t="n"/>
      <c r="X74" s="222" t="n"/>
      <c r="Y74" s="222" t="n"/>
      <c r="Z74" s="222" t="n"/>
      <c r="AA74" s="127" t="n"/>
      <c r="AB74" s="127" t="n"/>
      <c r="AC74" s="232">
        <f>IF($B74="","",IF($D74="Theo ngày",SUMIFS('CHAM_CONG_NGAY'!$E$6:$E$4655,'CHAM_CONG_NGAY'!$B$6:$B$4655,$B74,'CHAM_CONG_NGAY'!$C$6:$C$4655,"&gt;="&amp;'THAM_SO'!$B$6,'CHAM_CONG_NGAY'!$C$6:$C$4655,"&lt;="&amp;'THAM_SO'!$B$7),$E74))</f>
        <v/>
      </c>
      <c r="AD74" s="232">
        <f>IF($B74="","",IF($D74="Theo ngày",SUMIFS('CHAM_CONG_NGAY'!$F$6:$F$4655,'CHAM_CONG_NGAY'!$B$6:$B$4655,$B74,'CHAM_CONG_NGAY'!$C$6:$C$4655,"&gt;="&amp;'THAM_SO'!$B$6,'CHAM_CONG_NGAY'!$C$6:$C$4655,"&lt;="&amp;'THAM_SO'!$B$7),$F74))</f>
        <v/>
      </c>
      <c r="AE74" s="232">
        <f>IF($B74="","",IF($D74="Theo ngày",SUMIFS('CHAM_CONG_NGAY'!$G$6:$G$4655,'CHAM_CONG_NGAY'!$B$6:$B$4655,$B74,'CHAM_CONG_NGAY'!$C$6:$C$4655,"&gt;="&amp;'THAM_SO'!$B$6,'CHAM_CONG_NGAY'!$C$6:$C$4655,"&lt;="&amp;'THAM_SO'!$B$7),$G74))</f>
        <v/>
      </c>
      <c r="AF74" s="232">
        <f>IF($B74="","",IF($D74="Theo ngày",SUMIFS('CHAM_CONG_NGAY'!$H$6:$H$4655,'CHAM_CONG_NGAY'!$B$6:$B$4655,$B74,'CHAM_CONG_NGAY'!$C$6:$C$4655,"&gt;="&amp;'THAM_SO'!$B$6,'CHAM_CONG_NGAY'!$C$6:$C$4655,"&lt;="&amp;'THAM_SO'!$B$7),$H74))</f>
        <v/>
      </c>
      <c r="AG74" s="232">
        <f>IF($B74="","",IF($D74="Theo ngày",SUMIFS('CHAM_CONG_NGAY'!$I$6:$I$4655,'CHAM_CONG_NGAY'!$B$6:$B$4655,$B74,'CHAM_CONG_NGAY'!$C$6:$C$4655,"&gt;="&amp;'THAM_SO'!$B$6,'CHAM_CONG_NGAY'!$C$6:$C$4655,"&lt;="&amp;'THAM_SO'!$B$7),$I74))</f>
        <v/>
      </c>
      <c r="AH74" s="232">
        <f>IF($B74="","",IF($D74="Theo ngày",SUMIFS('CHAM_CONG_NGAY'!$J$6:$J$4655,'CHAM_CONG_NGAY'!$B$6:$B$4655,$B74,'CHAM_CONG_NGAY'!$C$6:$C$4655,"&gt;="&amp;'THAM_SO'!$B$6,'CHAM_CONG_NGAY'!$C$6:$C$4655,"&lt;="&amp;'THAM_SO'!$B$7),$J74))</f>
        <v/>
      </c>
      <c r="AI74" s="232">
        <f>IF($B74="","",IF($D74="Theo ngày",SUMIFS('CHAM_CONG_NGAY'!$K$6:$K$4655,'CHAM_CONG_NGAY'!$B$6:$B$4655,$B74,'CHAM_CONG_NGAY'!$C$6:$C$4655,"&gt;="&amp;'THAM_SO'!$B$6,'CHAM_CONG_NGAY'!$C$6:$C$4655,"&lt;="&amp;'THAM_SO'!$B$7),$K74))</f>
        <v/>
      </c>
      <c r="AJ74" s="232">
        <f>IF($B74="","",IF($D74="Theo ngày",SUMIFS('CHAM_CONG_NGAY'!$L$6:$L$4655,'CHAM_CONG_NGAY'!$B$6:$B$4655,$B74,'CHAM_CONG_NGAY'!$C$6:$C$4655,"&gt;="&amp;'THAM_SO'!$B$6,'CHAM_CONG_NGAY'!$C$6:$C$4655,"&lt;="&amp;'THAM_SO'!$B$7),$L74))</f>
        <v/>
      </c>
      <c r="AK74" s="232">
        <f>IF($B74="","",IF($D74="Theo ngày",SUMIFS('CHAM_CONG_NGAY'!$M$6:$M$4655,'CHAM_CONG_NGAY'!$B$6:$B$4655,$B74,'CHAM_CONG_NGAY'!$C$6:$C$4655,"&gt;="&amp;'THAM_SO'!$B$6,'CHAM_CONG_NGAY'!$C$6:$C$4655,"&lt;="&amp;'THAM_SO'!$B$7),$M74))</f>
        <v/>
      </c>
      <c r="AL74" s="227" t="n"/>
      <c r="AM74" s="227" t="n"/>
      <c r="AN74" s="227" t="n"/>
      <c r="AO74" s="227" t="n"/>
      <c r="AP74" s="227" t="n"/>
      <c r="AQ74" s="227" t="n"/>
      <c r="AR74" s="232">
        <f>IF($B74="","",IF($D74="Theo ngày",SUMIFS('CHAM_CONG_NGAY'!$O$6:$O$4655,'CHAM_CONG_NGAY'!$B$6:$B$4655,$B74,'CHAM_CONG_NGAY'!$C$6:$C$4655,"&gt;="&amp;'THAM_SO'!$B$6,'CHAM_CONG_NGAY'!$C$6:$C$4655,"&lt;="&amp;'THAM_SO'!$B$7),$AL74))</f>
        <v/>
      </c>
      <c r="AS74" s="232">
        <f>IF($B74="","",IF($D74="Theo ngày",SUMIFS('CHAM_CONG_NGAY'!$P$6:$P$4655,'CHAM_CONG_NGAY'!$B$6:$B$4655,$B74,'CHAM_CONG_NGAY'!$C$6:$C$4655,"&gt;="&amp;'THAM_SO'!$B$6,'CHAM_CONG_NGAY'!$C$6:$C$4655,"&lt;="&amp;'THAM_SO'!$B$7),$AM74))</f>
        <v/>
      </c>
      <c r="AT74" s="232">
        <f>IF($B74="","",IF($D74="Theo ngày",SUMIFS('CHAM_CONG_NGAY'!$Q$6:$Q$4655,'CHAM_CONG_NGAY'!$B$6:$B$4655,$B74,'CHAM_CONG_NGAY'!$C$6:$C$4655,"&gt;="&amp;'THAM_SO'!$B$6,'CHAM_CONG_NGAY'!$C$6:$C$4655,"&lt;="&amp;'THAM_SO'!$B$7),$AN74))</f>
        <v/>
      </c>
      <c r="AU74" s="232">
        <f>IF($B74="","",IF($D74="Theo ngày",SUMIFS('CHAM_CONG_NGAY'!$R$6:$R$4655,'CHAM_CONG_NGAY'!$B$6:$B$4655,$B74,'CHAM_CONG_NGAY'!$C$6:$C$4655,"&gt;="&amp;'THAM_SO'!$B$6,'CHAM_CONG_NGAY'!$C$6:$C$4655,"&lt;="&amp;'THAM_SO'!$B$7),$AO74))</f>
        <v/>
      </c>
      <c r="AV74" s="232">
        <f>IF($B74="","",IF($D74="Theo ngày",SUMIFS('CHAM_CONG_NGAY'!$S$6:$S$4655,'CHAM_CONG_NGAY'!$B$6:$B$4655,$B74,'CHAM_CONG_NGAY'!$C$6:$C$4655,"&gt;="&amp;'THAM_SO'!$B$6,'CHAM_CONG_NGAY'!$C$6:$C$4655,"&lt;="&amp;'THAM_SO'!$B$7),$AP74))</f>
        <v/>
      </c>
      <c r="AW74" s="232">
        <f>IF($B74="","",IF($D74="Theo ngày",SUMIFS('CHAM_CONG_NGAY'!$T$6:$T$4655,'CHAM_CONG_NGAY'!$B$6:$B$4655,$B74,'CHAM_CONG_NGAY'!$C$6:$C$4655,"&gt;="&amp;'THAM_SO'!$B$6,'CHAM_CONG_NGAY'!$C$6:$C$4655,"&lt;="&amp;'THAM_SO'!$B$7),$AQ74))</f>
        <v/>
      </c>
    </row>
    <row r="75">
      <c r="A75" s="145">
        <f>IF($B75="","",ROW()-5)</f>
        <v/>
      </c>
      <c r="B75" s="145">
        <f>IF('DM_NHAN_SU'!B75="","",'DM_NHAN_SU'!B75)</f>
        <v/>
      </c>
      <c r="C75" s="145">
        <f>IF('DM_NHAN_SU'!B75="","",'DM_NHAN_SU'!C75)</f>
        <v/>
      </c>
      <c r="D75" s="127" t="n"/>
      <c r="E75" s="227" t="n"/>
      <c r="F75" s="227" t="n"/>
      <c r="G75" s="227" t="n"/>
      <c r="H75" s="227" t="n"/>
      <c r="I75" s="227" t="n"/>
      <c r="J75" s="227" t="n"/>
      <c r="K75" s="227" t="n"/>
      <c r="L75" s="227" t="n"/>
      <c r="M75" s="227" t="n"/>
      <c r="N75" s="227" t="n"/>
      <c r="O75" s="222" t="n"/>
      <c r="P75" s="222" t="n"/>
      <c r="Q75" s="222" t="n"/>
      <c r="R75" s="222" t="n"/>
      <c r="S75" s="222" t="n"/>
      <c r="T75" s="222" t="n"/>
      <c r="U75" s="222" t="n"/>
      <c r="V75" s="222" t="n"/>
      <c r="W75" s="222" t="n"/>
      <c r="X75" s="222" t="n"/>
      <c r="Y75" s="222" t="n"/>
      <c r="Z75" s="222" t="n"/>
      <c r="AA75" s="127" t="n"/>
      <c r="AB75" s="127" t="n"/>
      <c r="AC75" s="232">
        <f>IF($B75="","",IF($D75="Theo ngày",SUMIFS('CHAM_CONG_NGAY'!$E$6:$E$4655,'CHAM_CONG_NGAY'!$B$6:$B$4655,$B75,'CHAM_CONG_NGAY'!$C$6:$C$4655,"&gt;="&amp;'THAM_SO'!$B$6,'CHAM_CONG_NGAY'!$C$6:$C$4655,"&lt;="&amp;'THAM_SO'!$B$7),$E75))</f>
        <v/>
      </c>
      <c r="AD75" s="232">
        <f>IF($B75="","",IF($D75="Theo ngày",SUMIFS('CHAM_CONG_NGAY'!$F$6:$F$4655,'CHAM_CONG_NGAY'!$B$6:$B$4655,$B75,'CHAM_CONG_NGAY'!$C$6:$C$4655,"&gt;="&amp;'THAM_SO'!$B$6,'CHAM_CONG_NGAY'!$C$6:$C$4655,"&lt;="&amp;'THAM_SO'!$B$7),$F75))</f>
        <v/>
      </c>
      <c r="AE75" s="232">
        <f>IF($B75="","",IF($D75="Theo ngày",SUMIFS('CHAM_CONG_NGAY'!$G$6:$G$4655,'CHAM_CONG_NGAY'!$B$6:$B$4655,$B75,'CHAM_CONG_NGAY'!$C$6:$C$4655,"&gt;="&amp;'THAM_SO'!$B$6,'CHAM_CONG_NGAY'!$C$6:$C$4655,"&lt;="&amp;'THAM_SO'!$B$7),$G75))</f>
        <v/>
      </c>
      <c r="AF75" s="232">
        <f>IF($B75="","",IF($D75="Theo ngày",SUMIFS('CHAM_CONG_NGAY'!$H$6:$H$4655,'CHAM_CONG_NGAY'!$B$6:$B$4655,$B75,'CHAM_CONG_NGAY'!$C$6:$C$4655,"&gt;="&amp;'THAM_SO'!$B$6,'CHAM_CONG_NGAY'!$C$6:$C$4655,"&lt;="&amp;'THAM_SO'!$B$7),$H75))</f>
        <v/>
      </c>
      <c r="AG75" s="232">
        <f>IF($B75="","",IF($D75="Theo ngày",SUMIFS('CHAM_CONG_NGAY'!$I$6:$I$4655,'CHAM_CONG_NGAY'!$B$6:$B$4655,$B75,'CHAM_CONG_NGAY'!$C$6:$C$4655,"&gt;="&amp;'THAM_SO'!$B$6,'CHAM_CONG_NGAY'!$C$6:$C$4655,"&lt;="&amp;'THAM_SO'!$B$7),$I75))</f>
        <v/>
      </c>
      <c r="AH75" s="232">
        <f>IF($B75="","",IF($D75="Theo ngày",SUMIFS('CHAM_CONG_NGAY'!$J$6:$J$4655,'CHAM_CONG_NGAY'!$B$6:$B$4655,$B75,'CHAM_CONG_NGAY'!$C$6:$C$4655,"&gt;="&amp;'THAM_SO'!$B$6,'CHAM_CONG_NGAY'!$C$6:$C$4655,"&lt;="&amp;'THAM_SO'!$B$7),$J75))</f>
        <v/>
      </c>
      <c r="AI75" s="232">
        <f>IF($B75="","",IF($D75="Theo ngày",SUMIFS('CHAM_CONG_NGAY'!$K$6:$K$4655,'CHAM_CONG_NGAY'!$B$6:$B$4655,$B75,'CHAM_CONG_NGAY'!$C$6:$C$4655,"&gt;="&amp;'THAM_SO'!$B$6,'CHAM_CONG_NGAY'!$C$6:$C$4655,"&lt;="&amp;'THAM_SO'!$B$7),$K75))</f>
        <v/>
      </c>
      <c r="AJ75" s="232">
        <f>IF($B75="","",IF($D75="Theo ngày",SUMIFS('CHAM_CONG_NGAY'!$L$6:$L$4655,'CHAM_CONG_NGAY'!$B$6:$B$4655,$B75,'CHAM_CONG_NGAY'!$C$6:$C$4655,"&gt;="&amp;'THAM_SO'!$B$6,'CHAM_CONG_NGAY'!$C$6:$C$4655,"&lt;="&amp;'THAM_SO'!$B$7),$L75))</f>
        <v/>
      </c>
      <c r="AK75" s="232">
        <f>IF($B75="","",IF($D75="Theo ngày",SUMIFS('CHAM_CONG_NGAY'!$M$6:$M$4655,'CHAM_CONG_NGAY'!$B$6:$B$4655,$B75,'CHAM_CONG_NGAY'!$C$6:$C$4655,"&gt;="&amp;'THAM_SO'!$B$6,'CHAM_CONG_NGAY'!$C$6:$C$4655,"&lt;="&amp;'THAM_SO'!$B$7),$M75))</f>
        <v/>
      </c>
      <c r="AL75" s="227" t="n"/>
      <c r="AM75" s="227" t="n"/>
      <c r="AN75" s="227" t="n"/>
      <c r="AO75" s="227" t="n"/>
      <c r="AP75" s="227" t="n"/>
      <c r="AQ75" s="227" t="n"/>
      <c r="AR75" s="232">
        <f>IF($B75="","",IF($D75="Theo ngày",SUMIFS('CHAM_CONG_NGAY'!$O$6:$O$4655,'CHAM_CONG_NGAY'!$B$6:$B$4655,$B75,'CHAM_CONG_NGAY'!$C$6:$C$4655,"&gt;="&amp;'THAM_SO'!$B$6,'CHAM_CONG_NGAY'!$C$6:$C$4655,"&lt;="&amp;'THAM_SO'!$B$7),$AL75))</f>
        <v/>
      </c>
      <c r="AS75" s="232">
        <f>IF($B75="","",IF($D75="Theo ngày",SUMIFS('CHAM_CONG_NGAY'!$P$6:$P$4655,'CHAM_CONG_NGAY'!$B$6:$B$4655,$B75,'CHAM_CONG_NGAY'!$C$6:$C$4655,"&gt;="&amp;'THAM_SO'!$B$6,'CHAM_CONG_NGAY'!$C$6:$C$4655,"&lt;="&amp;'THAM_SO'!$B$7),$AM75))</f>
        <v/>
      </c>
      <c r="AT75" s="232">
        <f>IF($B75="","",IF($D75="Theo ngày",SUMIFS('CHAM_CONG_NGAY'!$Q$6:$Q$4655,'CHAM_CONG_NGAY'!$B$6:$B$4655,$B75,'CHAM_CONG_NGAY'!$C$6:$C$4655,"&gt;="&amp;'THAM_SO'!$B$6,'CHAM_CONG_NGAY'!$C$6:$C$4655,"&lt;="&amp;'THAM_SO'!$B$7),$AN75))</f>
        <v/>
      </c>
      <c r="AU75" s="232">
        <f>IF($B75="","",IF($D75="Theo ngày",SUMIFS('CHAM_CONG_NGAY'!$R$6:$R$4655,'CHAM_CONG_NGAY'!$B$6:$B$4655,$B75,'CHAM_CONG_NGAY'!$C$6:$C$4655,"&gt;="&amp;'THAM_SO'!$B$6,'CHAM_CONG_NGAY'!$C$6:$C$4655,"&lt;="&amp;'THAM_SO'!$B$7),$AO75))</f>
        <v/>
      </c>
      <c r="AV75" s="232">
        <f>IF($B75="","",IF($D75="Theo ngày",SUMIFS('CHAM_CONG_NGAY'!$S$6:$S$4655,'CHAM_CONG_NGAY'!$B$6:$B$4655,$B75,'CHAM_CONG_NGAY'!$C$6:$C$4655,"&gt;="&amp;'THAM_SO'!$B$6,'CHAM_CONG_NGAY'!$C$6:$C$4655,"&lt;="&amp;'THAM_SO'!$B$7),$AP75))</f>
        <v/>
      </c>
      <c r="AW75" s="232">
        <f>IF($B75="","",IF($D75="Theo ngày",SUMIFS('CHAM_CONG_NGAY'!$T$6:$T$4655,'CHAM_CONG_NGAY'!$B$6:$B$4655,$B75,'CHAM_CONG_NGAY'!$C$6:$C$4655,"&gt;="&amp;'THAM_SO'!$B$6,'CHAM_CONG_NGAY'!$C$6:$C$4655,"&lt;="&amp;'THAM_SO'!$B$7),$AQ75))</f>
        <v/>
      </c>
    </row>
    <row r="76">
      <c r="A76" s="145">
        <f>IF($B76="","",ROW()-5)</f>
        <v/>
      </c>
      <c r="B76" s="145">
        <f>IF('DM_NHAN_SU'!B76="","",'DM_NHAN_SU'!B76)</f>
        <v/>
      </c>
      <c r="C76" s="145">
        <f>IF('DM_NHAN_SU'!B76="","",'DM_NHAN_SU'!C76)</f>
        <v/>
      </c>
      <c r="D76" s="127" t="n"/>
      <c r="E76" s="227" t="n"/>
      <c r="F76" s="227" t="n"/>
      <c r="G76" s="227" t="n"/>
      <c r="H76" s="227" t="n"/>
      <c r="I76" s="227" t="n"/>
      <c r="J76" s="227" t="n"/>
      <c r="K76" s="227" t="n"/>
      <c r="L76" s="227" t="n"/>
      <c r="M76" s="227" t="n"/>
      <c r="N76" s="227" t="n"/>
      <c r="O76" s="222" t="n"/>
      <c r="P76" s="222" t="n"/>
      <c r="Q76" s="222" t="n"/>
      <c r="R76" s="222" t="n"/>
      <c r="S76" s="222" t="n"/>
      <c r="T76" s="222" t="n"/>
      <c r="U76" s="222" t="n"/>
      <c r="V76" s="222" t="n"/>
      <c r="W76" s="222" t="n"/>
      <c r="X76" s="222" t="n"/>
      <c r="Y76" s="222" t="n"/>
      <c r="Z76" s="222" t="n"/>
      <c r="AA76" s="127" t="n"/>
      <c r="AB76" s="127" t="n"/>
      <c r="AC76" s="232">
        <f>IF($B76="","",IF($D76="Theo ngày",SUMIFS('CHAM_CONG_NGAY'!$E$6:$E$4655,'CHAM_CONG_NGAY'!$B$6:$B$4655,$B76,'CHAM_CONG_NGAY'!$C$6:$C$4655,"&gt;="&amp;'THAM_SO'!$B$6,'CHAM_CONG_NGAY'!$C$6:$C$4655,"&lt;="&amp;'THAM_SO'!$B$7),$E76))</f>
        <v/>
      </c>
      <c r="AD76" s="232">
        <f>IF($B76="","",IF($D76="Theo ngày",SUMIFS('CHAM_CONG_NGAY'!$F$6:$F$4655,'CHAM_CONG_NGAY'!$B$6:$B$4655,$B76,'CHAM_CONG_NGAY'!$C$6:$C$4655,"&gt;="&amp;'THAM_SO'!$B$6,'CHAM_CONG_NGAY'!$C$6:$C$4655,"&lt;="&amp;'THAM_SO'!$B$7),$F76))</f>
        <v/>
      </c>
      <c r="AE76" s="232">
        <f>IF($B76="","",IF($D76="Theo ngày",SUMIFS('CHAM_CONG_NGAY'!$G$6:$G$4655,'CHAM_CONG_NGAY'!$B$6:$B$4655,$B76,'CHAM_CONG_NGAY'!$C$6:$C$4655,"&gt;="&amp;'THAM_SO'!$B$6,'CHAM_CONG_NGAY'!$C$6:$C$4655,"&lt;="&amp;'THAM_SO'!$B$7),$G76))</f>
        <v/>
      </c>
      <c r="AF76" s="232">
        <f>IF($B76="","",IF($D76="Theo ngày",SUMIFS('CHAM_CONG_NGAY'!$H$6:$H$4655,'CHAM_CONG_NGAY'!$B$6:$B$4655,$B76,'CHAM_CONG_NGAY'!$C$6:$C$4655,"&gt;="&amp;'THAM_SO'!$B$6,'CHAM_CONG_NGAY'!$C$6:$C$4655,"&lt;="&amp;'THAM_SO'!$B$7),$H76))</f>
        <v/>
      </c>
      <c r="AG76" s="232">
        <f>IF($B76="","",IF($D76="Theo ngày",SUMIFS('CHAM_CONG_NGAY'!$I$6:$I$4655,'CHAM_CONG_NGAY'!$B$6:$B$4655,$B76,'CHAM_CONG_NGAY'!$C$6:$C$4655,"&gt;="&amp;'THAM_SO'!$B$6,'CHAM_CONG_NGAY'!$C$6:$C$4655,"&lt;="&amp;'THAM_SO'!$B$7),$I76))</f>
        <v/>
      </c>
      <c r="AH76" s="232">
        <f>IF($B76="","",IF($D76="Theo ngày",SUMIFS('CHAM_CONG_NGAY'!$J$6:$J$4655,'CHAM_CONG_NGAY'!$B$6:$B$4655,$B76,'CHAM_CONG_NGAY'!$C$6:$C$4655,"&gt;="&amp;'THAM_SO'!$B$6,'CHAM_CONG_NGAY'!$C$6:$C$4655,"&lt;="&amp;'THAM_SO'!$B$7),$J76))</f>
        <v/>
      </c>
      <c r="AI76" s="232">
        <f>IF($B76="","",IF($D76="Theo ngày",SUMIFS('CHAM_CONG_NGAY'!$K$6:$K$4655,'CHAM_CONG_NGAY'!$B$6:$B$4655,$B76,'CHAM_CONG_NGAY'!$C$6:$C$4655,"&gt;="&amp;'THAM_SO'!$B$6,'CHAM_CONG_NGAY'!$C$6:$C$4655,"&lt;="&amp;'THAM_SO'!$B$7),$K76))</f>
        <v/>
      </c>
      <c r="AJ76" s="232">
        <f>IF($B76="","",IF($D76="Theo ngày",SUMIFS('CHAM_CONG_NGAY'!$L$6:$L$4655,'CHAM_CONG_NGAY'!$B$6:$B$4655,$B76,'CHAM_CONG_NGAY'!$C$6:$C$4655,"&gt;="&amp;'THAM_SO'!$B$6,'CHAM_CONG_NGAY'!$C$6:$C$4655,"&lt;="&amp;'THAM_SO'!$B$7),$L76))</f>
        <v/>
      </c>
      <c r="AK76" s="232">
        <f>IF($B76="","",IF($D76="Theo ngày",SUMIFS('CHAM_CONG_NGAY'!$M$6:$M$4655,'CHAM_CONG_NGAY'!$B$6:$B$4655,$B76,'CHAM_CONG_NGAY'!$C$6:$C$4655,"&gt;="&amp;'THAM_SO'!$B$6,'CHAM_CONG_NGAY'!$C$6:$C$4655,"&lt;="&amp;'THAM_SO'!$B$7),$M76))</f>
        <v/>
      </c>
      <c r="AL76" s="227" t="n"/>
      <c r="AM76" s="227" t="n"/>
      <c r="AN76" s="227" t="n"/>
      <c r="AO76" s="227" t="n"/>
      <c r="AP76" s="227" t="n"/>
      <c r="AQ76" s="227" t="n"/>
      <c r="AR76" s="232">
        <f>IF($B76="","",IF($D76="Theo ngày",SUMIFS('CHAM_CONG_NGAY'!$O$6:$O$4655,'CHAM_CONG_NGAY'!$B$6:$B$4655,$B76,'CHAM_CONG_NGAY'!$C$6:$C$4655,"&gt;="&amp;'THAM_SO'!$B$6,'CHAM_CONG_NGAY'!$C$6:$C$4655,"&lt;="&amp;'THAM_SO'!$B$7),$AL76))</f>
        <v/>
      </c>
      <c r="AS76" s="232">
        <f>IF($B76="","",IF($D76="Theo ngày",SUMIFS('CHAM_CONG_NGAY'!$P$6:$P$4655,'CHAM_CONG_NGAY'!$B$6:$B$4655,$B76,'CHAM_CONG_NGAY'!$C$6:$C$4655,"&gt;="&amp;'THAM_SO'!$B$6,'CHAM_CONG_NGAY'!$C$6:$C$4655,"&lt;="&amp;'THAM_SO'!$B$7),$AM76))</f>
        <v/>
      </c>
      <c r="AT76" s="232">
        <f>IF($B76="","",IF($D76="Theo ngày",SUMIFS('CHAM_CONG_NGAY'!$Q$6:$Q$4655,'CHAM_CONG_NGAY'!$B$6:$B$4655,$B76,'CHAM_CONG_NGAY'!$C$6:$C$4655,"&gt;="&amp;'THAM_SO'!$B$6,'CHAM_CONG_NGAY'!$C$6:$C$4655,"&lt;="&amp;'THAM_SO'!$B$7),$AN76))</f>
        <v/>
      </c>
      <c r="AU76" s="232">
        <f>IF($B76="","",IF($D76="Theo ngày",SUMIFS('CHAM_CONG_NGAY'!$R$6:$R$4655,'CHAM_CONG_NGAY'!$B$6:$B$4655,$B76,'CHAM_CONG_NGAY'!$C$6:$C$4655,"&gt;="&amp;'THAM_SO'!$B$6,'CHAM_CONG_NGAY'!$C$6:$C$4655,"&lt;="&amp;'THAM_SO'!$B$7),$AO76))</f>
        <v/>
      </c>
      <c r="AV76" s="232">
        <f>IF($B76="","",IF($D76="Theo ngày",SUMIFS('CHAM_CONG_NGAY'!$S$6:$S$4655,'CHAM_CONG_NGAY'!$B$6:$B$4655,$B76,'CHAM_CONG_NGAY'!$C$6:$C$4655,"&gt;="&amp;'THAM_SO'!$B$6,'CHAM_CONG_NGAY'!$C$6:$C$4655,"&lt;="&amp;'THAM_SO'!$B$7),$AP76))</f>
        <v/>
      </c>
      <c r="AW76" s="232">
        <f>IF($B76="","",IF($D76="Theo ngày",SUMIFS('CHAM_CONG_NGAY'!$T$6:$T$4655,'CHAM_CONG_NGAY'!$B$6:$B$4655,$B76,'CHAM_CONG_NGAY'!$C$6:$C$4655,"&gt;="&amp;'THAM_SO'!$B$6,'CHAM_CONG_NGAY'!$C$6:$C$4655,"&lt;="&amp;'THAM_SO'!$B$7),$AQ76))</f>
        <v/>
      </c>
    </row>
    <row r="77">
      <c r="A77" s="145">
        <f>IF($B77="","",ROW()-5)</f>
        <v/>
      </c>
      <c r="B77" s="145">
        <f>IF('DM_NHAN_SU'!B77="","",'DM_NHAN_SU'!B77)</f>
        <v/>
      </c>
      <c r="C77" s="145">
        <f>IF('DM_NHAN_SU'!B77="","",'DM_NHAN_SU'!C77)</f>
        <v/>
      </c>
      <c r="D77" s="127" t="n"/>
      <c r="E77" s="227" t="n"/>
      <c r="F77" s="227" t="n"/>
      <c r="G77" s="227" t="n"/>
      <c r="H77" s="227" t="n"/>
      <c r="I77" s="227" t="n"/>
      <c r="J77" s="227" t="n"/>
      <c r="K77" s="227" t="n"/>
      <c r="L77" s="227" t="n"/>
      <c r="M77" s="227" t="n"/>
      <c r="N77" s="227" t="n"/>
      <c r="O77" s="222" t="n"/>
      <c r="P77" s="222" t="n"/>
      <c r="Q77" s="222" t="n"/>
      <c r="R77" s="222" t="n"/>
      <c r="S77" s="222" t="n"/>
      <c r="T77" s="222" t="n"/>
      <c r="U77" s="222" t="n"/>
      <c r="V77" s="222" t="n"/>
      <c r="W77" s="222" t="n"/>
      <c r="X77" s="222" t="n"/>
      <c r="Y77" s="222" t="n"/>
      <c r="Z77" s="222" t="n"/>
      <c r="AA77" s="127" t="n"/>
      <c r="AB77" s="127" t="n"/>
      <c r="AC77" s="232">
        <f>IF($B77="","",IF($D77="Theo ngày",SUMIFS('CHAM_CONG_NGAY'!$E$6:$E$4655,'CHAM_CONG_NGAY'!$B$6:$B$4655,$B77,'CHAM_CONG_NGAY'!$C$6:$C$4655,"&gt;="&amp;'THAM_SO'!$B$6,'CHAM_CONG_NGAY'!$C$6:$C$4655,"&lt;="&amp;'THAM_SO'!$B$7),$E77))</f>
        <v/>
      </c>
      <c r="AD77" s="232">
        <f>IF($B77="","",IF($D77="Theo ngày",SUMIFS('CHAM_CONG_NGAY'!$F$6:$F$4655,'CHAM_CONG_NGAY'!$B$6:$B$4655,$B77,'CHAM_CONG_NGAY'!$C$6:$C$4655,"&gt;="&amp;'THAM_SO'!$B$6,'CHAM_CONG_NGAY'!$C$6:$C$4655,"&lt;="&amp;'THAM_SO'!$B$7),$F77))</f>
        <v/>
      </c>
      <c r="AE77" s="232">
        <f>IF($B77="","",IF($D77="Theo ngày",SUMIFS('CHAM_CONG_NGAY'!$G$6:$G$4655,'CHAM_CONG_NGAY'!$B$6:$B$4655,$B77,'CHAM_CONG_NGAY'!$C$6:$C$4655,"&gt;="&amp;'THAM_SO'!$B$6,'CHAM_CONG_NGAY'!$C$6:$C$4655,"&lt;="&amp;'THAM_SO'!$B$7),$G77))</f>
        <v/>
      </c>
      <c r="AF77" s="232">
        <f>IF($B77="","",IF($D77="Theo ngày",SUMIFS('CHAM_CONG_NGAY'!$H$6:$H$4655,'CHAM_CONG_NGAY'!$B$6:$B$4655,$B77,'CHAM_CONG_NGAY'!$C$6:$C$4655,"&gt;="&amp;'THAM_SO'!$B$6,'CHAM_CONG_NGAY'!$C$6:$C$4655,"&lt;="&amp;'THAM_SO'!$B$7),$H77))</f>
        <v/>
      </c>
      <c r="AG77" s="232">
        <f>IF($B77="","",IF($D77="Theo ngày",SUMIFS('CHAM_CONG_NGAY'!$I$6:$I$4655,'CHAM_CONG_NGAY'!$B$6:$B$4655,$B77,'CHAM_CONG_NGAY'!$C$6:$C$4655,"&gt;="&amp;'THAM_SO'!$B$6,'CHAM_CONG_NGAY'!$C$6:$C$4655,"&lt;="&amp;'THAM_SO'!$B$7),$I77))</f>
        <v/>
      </c>
      <c r="AH77" s="232">
        <f>IF($B77="","",IF($D77="Theo ngày",SUMIFS('CHAM_CONG_NGAY'!$J$6:$J$4655,'CHAM_CONG_NGAY'!$B$6:$B$4655,$B77,'CHAM_CONG_NGAY'!$C$6:$C$4655,"&gt;="&amp;'THAM_SO'!$B$6,'CHAM_CONG_NGAY'!$C$6:$C$4655,"&lt;="&amp;'THAM_SO'!$B$7),$J77))</f>
        <v/>
      </c>
      <c r="AI77" s="232">
        <f>IF($B77="","",IF($D77="Theo ngày",SUMIFS('CHAM_CONG_NGAY'!$K$6:$K$4655,'CHAM_CONG_NGAY'!$B$6:$B$4655,$B77,'CHAM_CONG_NGAY'!$C$6:$C$4655,"&gt;="&amp;'THAM_SO'!$B$6,'CHAM_CONG_NGAY'!$C$6:$C$4655,"&lt;="&amp;'THAM_SO'!$B$7),$K77))</f>
        <v/>
      </c>
      <c r="AJ77" s="232">
        <f>IF($B77="","",IF($D77="Theo ngày",SUMIFS('CHAM_CONG_NGAY'!$L$6:$L$4655,'CHAM_CONG_NGAY'!$B$6:$B$4655,$B77,'CHAM_CONG_NGAY'!$C$6:$C$4655,"&gt;="&amp;'THAM_SO'!$B$6,'CHAM_CONG_NGAY'!$C$6:$C$4655,"&lt;="&amp;'THAM_SO'!$B$7),$L77))</f>
        <v/>
      </c>
      <c r="AK77" s="232">
        <f>IF($B77="","",IF($D77="Theo ngày",SUMIFS('CHAM_CONG_NGAY'!$M$6:$M$4655,'CHAM_CONG_NGAY'!$B$6:$B$4655,$B77,'CHAM_CONG_NGAY'!$C$6:$C$4655,"&gt;="&amp;'THAM_SO'!$B$6,'CHAM_CONG_NGAY'!$C$6:$C$4655,"&lt;="&amp;'THAM_SO'!$B$7),$M77))</f>
        <v/>
      </c>
      <c r="AL77" s="227" t="n"/>
      <c r="AM77" s="227" t="n"/>
      <c r="AN77" s="227" t="n"/>
      <c r="AO77" s="227" t="n"/>
      <c r="AP77" s="227" t="n"/>
      <c r="AQ77" s="227" t="n"/>
      <c r="AR77" s="232">
        <f>IF($B77="","",IF($D77="Theo ngày",SUMIFS('CHAM_CONG_NGAY'!$O$6:$O$4655,'CHAM_CONG_NGAY'!$B$6:$B$4655,$B77,'CHAM_CONG_NGAY'!$C$6:$C$4655,"&gt;="&amp;'THAM_SO'!$B$6,'CHAM_CONG_NGAY'!$C$6:$C$4655,"&lt;="&amp;'THAM_SO'!$B$7),$AL77))</f>
        <v/>
      </c>
      <c r="AS77" s="232">
        <f>IF($B77="","",IF($D77="Theo ngày",SUMIFS('CHAM_CONG_NGAY'!$P$6:$P$4655,'CHAM_CONG_NGAY'!$B$6:$B$4655,$B77,'CHAM_CONG_NGAY'!$C$6:$C$4655,"&gt;="&amp;'THAM_SO'!$B$6,'CHAM_CONG_NGAY'!$C$6:$C$4655,"&lt;="&amp;'THAM_SO'!$B$7),$AM77))</f>
        <v/>
      </c>
      <c r="AT77" s="232">
        <f>IF($B77="","",IF($D77="Theo ngày",SUMIFS('CHAM_CONG_NGAY'!$Q$6:$Q$4655,'CHAM_CONG_NGAY'!$B$6:$B$4655,$B77,'CHAM_CONG_NGAY'!$C$6:$C$4655,"&gt;="&amp;'THAM_SO'!$B$6,'CHAM_CONG_NGAY'!$C$6:$C$4655,"&lt;="&amp;'THAM_SO'!$B$7),$AN77))</f>
        <v/>
      </c>
      <c r="AU77" s="232">
        <f>IF($B77="","",IF($D77="Theo ngày",SUMIFS('CHAM_CONG_NGAY'!$R$6:$R$4655,'CHAM_CONG_NGAY'!$B$6:$B$4655,$B77,'CHAM_CONG_NGAY'!$C$6:$C$4655,"&gt;="&amp;'THAM_SO'!$B$6,'CHAM_CONG_NGAY'!$C$6:$C$4655,"&lt;="&amp;'THAM_SO'!$B$7),$AO77))</f>
        <v/>
      </c>
      <c r="AV77" s="232">
        <f>IF($B77="","",IF($D77="Theo ngày",SUMIFS('CHAM_CONG_NGAY'!$S$6:$S$4655,'CHAM_CONG_NGAY'!$B$6:$B$4655,$B77,'CHAM_CONG_NGAY'!$C$6:$C$4655,"&gt;="&amp;'THAM_SO'!$B$6,'CHAM_CONG_NGAY'!$C$6:$C$4655,"&lt;="&amp;'THAM_SO'!$B$7),$AP77))</f>
        <v/>
      </c>
      <c r="AW77" s="232">
        <f>IF($B77="","",IF($D77="Theo ngày",SUMIFS('CHAM_CONG_NGAY'!$T$6:$T$4655,'CHAM_CONG_NGAY'!$B$6:$B$4655,$B77,'CHAM_CONG_NGAY'!$C$6:$C$4655,"&gt;="&amp;'THAM_SO'!$B$6,'CHAM_CONG_NGAY'!$C$6:$C$4655,"&lt;="&amp;'THAM_SO'!$B$7),$AQ77))</f>
        <v/>
      </c>
    </row>
    <row r="78">
      <c r="A78" s="145">
        <f>IF($B78="","",ROW()-5)</f>
        <v/>
      </c>
      <c r="B78" s="145">
        <f>IF('DM_NHAN_SU'!B78="","",'DM_NHAN_SU'!B78)</f>
        <v/>
      </c>
      <c r="C78" s="145">
        <f>IF('DM_NHAN_SU'!B78="","",'DM_NHAN_SU'!C78)</f>
        <v/>
      </c>
      <c r="D78" s="127" t="n"/>
      <c r="E78" s="227" t="n"/>
      <c r="F78" s="227" t="n"/>
      <c r="G78" s="227" t="n"/>
      <c r="H78" s="227" t="n"/>
      <c r="I78" s="227" t="n"/>
      <c r="J78" s="227" t="n"/>
      <c r="K78" s="227" t="n"/>
      <c r="L78" s="227" t="n"/>
      <c r="M78" s="227" t="n"/>
      <c r="N78" s="227" t="n"/>
      <c r="O78" s="222" t="n"/>
      <c r="P78" s="222" t="n"/>
      <c r="Q78" s="222" t="n"/>
      <c r="R78" s="222" t="n"/>
      <c r="S78" s="222" t="n"/>
      <c r="T78" s="222" t="n"/>
      <c r="U78" s="222" t="n"/>
      <c r="V78" s="222" t="n"/>
      <c r="W78" s="222" t="n"/>
      <c r="X78" s="222" t="n"/>
      <c r="Y78" s="222" t="n"/>
      <c r="Z78" s="222" t="n"/>
      <c r="AA78" s="127" t="n"/>
      <c r="AB78" s="127" t="n"/>
      <c r="AC78" s="232">
        <f>IF($B78="","",IF($D78="Theo ngày",SUMIFS('CHAM_CONG_NGAY'!$E$6:$E$4655,'CHAM_CONG_NGAY'!$B$6:$B$4655,$B78,'CHAM_CONG_NGAY'!$C$6:$C$4655,"&gt;="&amp;'THAM_SO'!$B$6,'CHAM_CONG_NGAY'!$C$6:$C$4655,"&lt;="&amp;'THAM_SO'!$B$7),$E78))</f>
        <v/>
      </c>
      <c r="AD78" s="232">
        <f>IF($B78="","",IF($D78="Theo ngày",SUMIFS('CHAM_CONG_NGAY'!$F$6:$F$4655,'CHAM_CONG_NGAY'!$B$6:$B$4655,$B78,'CHAM_CONG_NGAY'!$C$6:$C$4655,"&gt;="&amp;'THAM_SO'!$B$6,'CHAM_CONG_NGAY'!$C$6:$C$4655,"&lt;="&amp;'THAM_SO'!$B$7),$F78))</f>
        <v/>
      </c>
      <c r="AE78" s="232">
        <f>IF($B78="","",IF($D78="Theo ngày",SUMIFS('CHAM_CONG_NGAY'!$G$6:$G$4655,'CHAM_CONG_NGAY'!$B$6:$B$4655,$B78,'CHAM_CONG_NGAY'!$C$6:$C$4655,"&gt;="&amp;'THAM_SO'!$B$6,'CHAM_CONG_NGAY'!$C$6:$C$4655,"&lt;="&amp;'THAM_SO'!$B$7),$G78))</f>
        <v/>
      </c>
      <c r="AF78" s="232">
        <f>IF($B78="","",IF($D78="Theo ngày",SUMIFS('CHAM_CONG_NGAY'!$H$6:$H$4655,'CHAM_CONG_NGAY'!$B$6:$B$4655,$B78,'CHAM_CONG_NGAY'!$C$6:$C$4655,"&gt;="&amp;'THAM_SO'!$B$6,'CHAM_CONG_NGAY'!$C$6:$C$4655,"&lt;="&amp;'THAM_SO'!$B$7),$H78))</f>
        <v/>
      </c>
      <c r="AG78" s="232">
        <f>IF($B78="","",IF($D78="Theo ngày",SUMIFS('CHAM_CONG_NGAY'!$I$6:$I$4655,'CHAM_CONG_NGAY'!$B$6:$B$4655,$B78,'CHAM_CONG_NGAY'!$C$6:$C$4655,"&gt;="&amp;'THAM_SO'!$B$6,'CHAM_CONG_NGAY'!$C$6:$C$4655,"&lt;="&amp;'THAM_SO'!$B$7),$I78))</f>
        <v/>
      </c>
      <c r="AH78" s="232">
        <f>IF($B78="","",IF($D78="Theo ngày",SUMIFS('CHAM_CONG_NGAY'!$J$6:$J$4655,'CHAM_CONG_NGAY'!$B$6:$B$4655,$B78,'CHAM_CONG_NGAY'!$C$6:$C$4655,"&gt;="&amp;'THAM_SO'!$B$6,'CHAM_CONG_NGAY'!$C$6:$C$4655,"&lt;="&amp;'THAM_SO'!$B$7),$J78))</f>
        <v/>
      </c>
      <c r="AI78" s="232">
        <f>IF($B78="","",IF($D78="Theo ngày",SUMIFS('CHAM_CONG_NGAY'!$K$6:$K$4655,'CHAM_CONG_NGAY'!$B$6:$B$4655,$B78,'CHAM_CONG_NGAY'!$C$6:$C$4655,"&gt;="&amp;'THAM_SO'!$B$6,'CHAM_CONG_NGAY'!$C$6:$C$4655,"&lt;="&amp;'THAM_SO'!$B$7),$K78))</f>
        <v/>
      </c>
      <c r="AJ78" s="232">
        <f>IF($B78="","",IF($D78="Theo ngày",SUMIFS('CHAM_CONG_NGAY'!$L$6:$L$4655,'CHAM_CONG_NGAY'!$B$6:$B$4655,$B78,'CHAM_CONG_NGAY'!$C$6:$C$4655,"&gt;="&amp;'THAM_SO'!$B$6,'CHAM_CONG_NGAY'!$C$6:$C$4655,"&lt;="&amp;'THAM_SO'!$B$7),$L78))</f>
        <v/>
      </c>
      <c r="AK78" s="232">
        <f>IF($B78="","",IF($D78="Theo ngày",SUMIFS('CHAM_CONG_NGAY'!$M$6:$M$4655,'CHAM_CONG_NGAY'!$B$6:$B$4655,$B78,'CHAM_CONG_NGAY'!$C$6:$C$4655,"&gt;="&amp;'THAM_SO'!$B$6,'CHAM_CONG_NGAY'!$C$6:$C$4655,"&lt;="&amp;'THAM_SO'!$B$7),$M78))</f>
        <v/>
      </c>
      <c r="AL78" s="227" t="n"/>
      <c r="AM78" s="227" t="n"/>
      <c r="AN78" s="227" t="n"/>
      <c r="AO78" s="227" t="n"/>
      <c r="AP78" s="227" t="n"/>
      <c r="AQ78" s="227" t="n"/>
      <c r="AR78" s="232">
        <f>IF($B78="","",IF($D78="Theo ngày",SUMIFS('CHAM_CONG_NGAY'!$O$6:$O$4655,'CHAM_CONG_NGAY'!$B$6:$B$4655,$B78,'CHAM_CONG_NGAY'!$C$6:$C$4655,"&gt;="&amp;'THAM_SO'!$B$6,'CHAM_CONG_NGAY'!$C$6:$C$4655,"&lt;="&amp;'THAM_SO'!$B$7),$AL78))</f>
        <v/>
      </c>
      <c r="AS78" s="232">
        <f>IF($B78="","",IF($D78="Theo ngày",SUMIFS('CHAM_CONG_NGAY'!$P$6:$P$4655,'CHAM_CONG_NGAY'!$B$6:$B$4655,$B78,'CHAM_CONG_NGAY'!$C$6:$C$4655,"&gt;="&amp;'THAM_SO'!$B$6,'CHAM_CONG_NGAY'!$C$6:$C$4655,"&lt;="&amp;'THAM_SO'!$B$7),$AM78))</f>
        <v/>
      </c>
      <c r="AT78" s="232">
        <f>IF($B78="","",IF($D78="Theo ngày",SUMIFS('CHAM_CONG_NGAY'!$Q$6:$Q$4655,'CHAM_CONG_NGAY'!$B$6:$B$4655,$B78,'CHAM_CONG_NGAY'!$C$6:$C$4655,"&gt;="&amp;'THAM_SO'!$B$6,'CHAM_CONG_NGAY'!$C$6:$C$4655,"&lt;="&amp;'THAM_SO'!$B$7),$AN78))</f>
        <v/>
      </c>
      <c r="AU78" s="232">
        <f>IF($B78="","",IF($D78="Theo ngày",SUMIFS('CHAM_CONG_NGAY'!$R$6:$R$4655,'CHAM_CONG_NGAY'!$B$6:$B$4655,$B78,'CHAM_CONG_NGAY'!$C$6:$C$4655,"&gt;="&amp;'THAM_SO'!$B$6,'CHAM_CONG_NGAY'!$C$6:$C$4655,"&lt;="&amp;'THAM_SO'!$B$7),$AO78))</f>
        <v/>
      </c>
      <c r="AV78" s="232">
        <f>IF($B78="","",IF($D78="Theo ngày",SUMIFS('CHAM_CONG_NGAY'!$S$6:$S$4655,'CHAM_CONG_NGAY'!$B$6:$B$4655,$B78,'CHAM_CONG_NGAY'!$C$6:$C$4655,"&gt;="&amp;'THAM_SO'!$B$6,'CHAM_CONG_NGAY'!$C$6:$C$4655,"&lt;="&amp;'THAM_SO'!$B$7),$AP78))</f>
        <v/>
      </c>
      <c r="AW78" s="232">
        <f>IF($B78="","",IF($D78="Theo ngày",SUMIFS('CHAM_CONG_NGAY'!$T$6:$T$4655,'CHAM_CONG_NGAY'!$B$6:$B$4655,$B78,'CHAM_CONG_NGAY'!$C$6:$C$4655,"&gt;="&amp;'THAM_SO'!$B$6,'CHAM_CONG_NGAY'!$C$6:$C$4655,"&lt;="&amp;'THAM_SO'!$B$7),$AQ78))</f>
        <v/>
      </c>
    </row>
    <row r="79">
      <c r="A79" s="145">
        <f>IF($B79="","",ROW()-5)</f>
        <v/>
      </c>
      <c r="B79" s="145">
        <f>IF('DM_NHAN_SU'!B79="","",'DM_NHAN_SU'!B79)</f>
        <v/>
      </c>
      <c r="C79" s="145">
        <f>IF('DM_NHAN_SU'!B79="","",'DM_NHAN_SU'!C79)</f>
        <v/>
      </c>
      <c r="D79" s="127" t="n"/>
      <c r="E79" s="227" t="n"/>
      <c r="F79" s="227" t="n"/>
      <c r="G79" s="227" t="n"/>
      <c r="H79" s="227" t="n"/>
      <c r="I79" s="227" t="n"/>
      <c r="J79" s="227" t="n"/>
      <c r="K79" s="227" t="n"/>
      <c r="L79" s="227" t="n"/>
      <c r="M79" s="227" t="n"/>
      <c r="N79" s="227" t="n"/>
      <c r="O79" s="222" t="n"/>
      <c r="P79" s="222" t="n"/>
      <c r="Q79" s="222" t="n"/>
      <c r="R79" s="222" t="n"/>
      <c r="S79" s="222" t="n"/>
      <c r="T79" s="222" t="n"/>
      <c r="U79" s="222" t="n"/>
      <c r="V79" s="222" t="n"/>
      <c r="W79" s="222" t="n"/>
      <c r="X79" s="222" t="n"/>
      <c r="Y79" s="222" t="n"/>
      <c r="Z79" s="222" t="n"/>
      <c r="AA79" s="127" t="n"/>
      <c r="AB79" s="127" t="n"/>
      <c r="AC79" s="232">
        <f>IF($B79="","",IF($D79="Theo ngày",SUMIFS('CHAM_CONG_NGAY'!$E$6:$E$4655,'CHAM_CONG_NGAY'!$B$6:$B$4655,$B79,'CHAM_CONG_NGAY'!$C$6:$C$4655,"&gt;="&amp;'THAM_SO'!$B$6,'CHAM_CONG_NGAY'!$C$6:$C$4655,"&lt;="&amp;'THAM_SO'!$B$7),$E79))</f>
        <v/>
      </c>
      <c r="AD79" s="232">
        <f>IF($B79="","",IF($D79="Theo ngày",SUMIFS('CHAM_CONG_NGAY'!$F$6:$F$4655,'CHAM_CONG_NGAY'!$B$6:$B$4655,$B79,'CHAM_CONG_NGAY'!$C$6:$C$4655,"&gt;="&amp;'THAM_SO'!$B$6,'CHAM_CONG_NGAY'!$C$6:$C$4655,"&lt;="&amp;'THAM_SO'!$B$7),$F79))</f>
        <v/>
      </c>
      <c r="AE79" s="232">
        <f>IF($B79="","",IF($D79="Theo ngày",SUMIFS('CHAM_CONG_NGAY'!$G$6:$G$4655,'CHAM_CONG_NGAY'!$B$6:$B$4655,$B79,'CHAM_CONG_NGAY'!$C$6:$C$4655,"&gt;="&amp;'THAM_SO'!$B$6,'CHAM_CONG_NGAY'!$C$6:$C$4655,"&lt;="&amp;'THAM_SO'!$B$7),$G79))</f>
        <v/>
      </c>
      <c r="AF79" s="232">
        <f>IF($B79="","",IF($D79="Theo ngày",SUMIFS('CHAM_CONG_NGAY'!$H$6:$H$4655,'CHAM_CONG_NGAY'!$B$6:$B$4655,$B79,'CHAM_CONG_NGAY'!$C$6:$C$4655,"&gt;="&amp;'THAM_SO'!$B$6,'CHAM_CONG_NGAY'!$C$6:$C$4655,"&lt;="&amp;'THAM_SO'!$B$7),$H79))</f>
        <v/>
      </c>
      <c r="AG79" s="232">
        <f>IF($B79="","",IF($D79="Theo ngày",SUMIFS('CHAM_CONG_NGAY'!$I$6:$I$4655,'CHAM_CONG_NGAY'!$B$6:$B$4655,$B79,'CHAM_CONG_NGAY'!$C$6:$C$4655,"&gt;="&amp;'THAM_SO'!$B$6,'CHAM_CONG_NGAY'!$C$6:$C$4655,"&lt;="&amp;'THAM_SO'!$B$7),$I79))</f>
        <v/>
      </c>
      <c r="AH79" s="232">
        <f>IF($B79="","",IF($D79="Theo ngày",SUMIFS('CHAM_CONG_NGAY'!$J$6:$J$4655,'CHAM_CONG_NGAY'!$B$6:$B$4655,$B79,'CHAM_CONG_NGAY'!$C$6:$C$4655,"&gt;="&amp;'THAM_SO'!$B$6,'CHAM_CONG_NGAY'!$C$6:$C$4655,"&lt;="&amp;'THAM_SO'!$B$7),$J79))</f>
        <v/>
      </c>
      <c r="AI79" s="232">
        <f>IF($B79="","",IF($D79="Theo ngày",SUMIFS('CHAM_CONG_NGAY'!$K$6:$K$4655,'CHAM_CONG_NGAY'!$B$6:$B$4655,$B79,'CHAM_CONG_NGAY'!$C$6:$C$4655,"&gt;="&amp;'THAM_SO'!$B$6,'CHAM_CONG_NGAY'!$C$6:$C$4655,"&lt;="&amp;'THAM_SO'!$B$7),$K79))</f>
        <v/>
      </c>
      <c r="AJ79" s="232">
        <f>IF($B79="","",IF($D79="Theo ngày",SUMIFS('CHAM_CONG_NGAY'!$L$6:$L$4655,'CHAM_CONG_NGAY'!$B$6:$B$4655,$B79,'CHAM_CONG_NGAY'!$C$6:$C$4655,"&gt;="&amp;'THAM_SO'!$B$6,'CHAM_CONG_NGAY'!$C$6:$C$4655,"&lt;="&amp;'THAM_SO'!$B$7),$L79))</f>
        <v/>
      </c>
      <c r="AK79" s="232">
        <f>IF($B79="","",IF($D79="Theo ngày",SUMIFS('CHAM_CONG_NGAY'!$M$6:$M$4655,'CHAM_CONG_NGAY'!$B$6:$B$4655,$B79,'CHAM_CONG_NGAY'!$C$6:$C$4655,"&gt;="&amp;'THAM_SO'!$B$6,'CHAM_CONG_NGAY'!$C$6:$C$4655,"&lt;="&amp;'THAM_SO'!$B$7),$M79))</f>
        <v/>
      </c>
      <c r="AL79" s="227" t="n"/>
      <c r="AM79" s="227" t="n"/>
      <c r="AN79" s="227" t="n"/>
      <c r="AO79" s="227" t="n"/>
      <c r="AP79" s="227" t="n"/>
      <c r="AQ79" s="227" t="n"/>
      <c r="AR79" s="232">
        <f>IF($B79="","",IF($D79="Theo ngày",SUMIFS('CHAM_CONG_NGAY'!$O$6:$O$4655,'CHAM_CONG_NGAY'!$B$6:$B$4655,$B79,'CHAM_CONG_NGAY'!$C$6:$C$4655,"&gt;="&amp;'THAM_SO'!$B$6,'CHAM_CONG_NGAY'!$C$6:$C$4655,"&lt;="&amp;'THAM_SO'!$B$7),$AL79))</f>
        <v/>
      </c>
      <c r="AS79" s="232">
        <f>IF($B79="","",IF($D79="Theo ngày",SUMIFS('CHAM_CONG_NGAY'!$P$6:$P$4655,'CHAM_CONG_NGAY'!$B$6:$B$4655,$B79,'CHAM_CONG_NGAY'!$C$6:$C$4655,"&gt;="&amp;'THAM_SO'!$B$6,'CHAM_CONG_NGAY'!$C$6:$C$4655,"&lt;="&amp;'THAM_SO'!$B$7),$AM79))</f>
        <v/>
      </c>
      <c r="AT79" s="232">
        <f>IF($B79="","",IF($D79="Theo ngày",SUMIFS('CHAM_CONG_NGAY'!$Q$6:$Q$4655,'CHAM_CONG_NGAY'!$B$6:$B$4655,$B79,'CHAM_CONG_NGAY'!$C$6:$C$4655,"&gt;="&amp;'THAM_SO'!$B$6,'CHAM_CONG_NGAY'!$C$6:$C$4655,"&lt;="&amp;'THAM_SO'!$B$7),$AN79))</f>
        <v/>
      </c>
      <c r="AU79" s="232">
        <f>IF($B79="","",IF($D79="Theo ngày",SUMIFS('CHAM_CONG_NGAY'!$R$6:$R$4655,'CHAM_CONG_NGAY'!$B$6:$B$4655,$B79,'CHAM_CONG_NGAY'!$C$6:$C$4655,"&gt;="&amp;'THAM_SO'!$B$6,'CHAM_CONG_NGAY'!$C$6:$C$4655,"&lt;="&amp;'THAM_SO'!$B$7),$AO79))</f>
        <v/>
      </c>
      <c r="AV79" s="232">
        <f>IF($B79="","",IF($D79="Theo ngày",SUMIFS('CHAM_CONG_NGAY'!$S$6:$S$4655,'CHAM_CONG_NGAY'!$B$6:$B$4655,$B79,'CHAM_CONG_NGAY'!$C$6:$C$4655,"&gt;="&amp;'THAM_SO'!$B$6,'CHAM_CONG_NGAY'!$C$6:$C$4655,"&lt;="&amp;'THAM_SO'!$B$7),$AP79))</f>
        <v/>
      </c>
      <c r="AW79" s="232">
        <f>IF($B79="","",IF($D79="Theo ngày",SUMIFS('CHAM_CONG_NGAY'!$T$6:$T$4655,'CHAM_CONG_NGAY'!$B$6:$B$4655,$B79,'CHAM_CONG_NGAY'!$C$6:$C$4655,"&gt;="&amp;'THAM_SO'!$B$6,'CHAM_CONG_NGAY'!$C$6:$C$4655,"&lt;="&amp;'THAM_SO'!$B$7),$AQ79))</f>
        <v/>
      </c>
    </row>
    <row r="80">
      <c r="A80" s="145">
        <f>IF($B80="","",ROW()-5)</f>
        <v/>
      </c>
      <c r="B80" s="145">
        <f>IF('DM_NHAN_SU'!B80="","",'DM_NHAN_SU'!B80)</f>
        <v/>
      </c>
      <c r="C80" s="145">
        <f>IF('DM_NHAN_SU'!B80="","",'DM_NHAN_SU'!C80)</f>
        <v/>
      </c>
      <c r="D80" s="127" t="n"/>
      <c r="E80" s="227" t="n"/>
      <c r="F80" s="227" t="n"/>
      <c r="G80" s="227" t="n"/>
      <c r="H80" s="227" t="n"/>
      <c r="I80" s="227" t="n"/>
      <c r="J80" s="227" t="n"/>
      <c r="K80" s="227" t="n"/>
      <c r="L80" s="227" t="n"/>
      <c r="M80" s="227" t="n"/>
      <c r="N80" s="227" t="n"/>
      <c r="O80" s="222" t="n"/>
      <c r="P80" s="222" t="n"/>
      <c r="Q80" s="222" t="n"/>
      <c r="R80" s="222" t="n"/>
      <c r="S80" s="222" t="n"/>
      <c r="T80" s="222" t="n"/>
      <c r="U80" s="222" t="n"/>
      <c r="V80" s="222" t="n"/>
      <c r="W80" s="222" t="n"/>
      <c r="X80" s="222" t="n"/>
      <c r="Y80" s="222" t="n"/>
      <c r="Z80" s="222" t="n"/>
      <c r="AA80" s="127" t="n"/>
      <c r="AB80" s="127" t="n"/>
      <c r="AC80" s="232">
        <f>IF($B80="","",IF($D80="Theo ngày",SUMIFS('CHAM_CONG_NGAY'!$E$6:$E$4655,'CHAM_CONG_NGAY'!$B$6:$B$4655,$B80,'CHAM_CONG_NGAY'!$C$6:$C$4655,"&gt;="&amp;'THAM_SO'!$B$6,'CHAM_CONG_NGAY'!$C$6:$C$4655,"&lt;="&amp;'THAM_SO'!$B$7),$E80))</f>
        <v/>
      </c>
      <c r="AD80" s="232">
        <f>IF($B80="","",IF($D80="Theo ngày",SUMIFS('CHAM_CONG_NGAY'!$F$6:$F$4655,'CHAM_CONG_NGAY'!$B$6:$B$4655,$B80,'CHAM_CONG_NGAY'!$C$6:$C$4655,"&gt;="&amp;'THAM_SO'!$B$6,'CHAM_CONG_NGAY'!$C$6:$C$4655,"&lt;="&amp;'THAM_SO'!$B$7),$F80))</f>
        <v/>
      </c>
      <c r="AE80" s="232">
        <f>IF($B80="","",IF($D80="Theo ngày",SUMIFS('CHAM_CONG_NGAY'!$G$6:$G$4655,'CHAM_CONG_NGAY'!$B$6:$B$4655,$B80,'CHAM_CONG_NGAY'!$C$6:$C$4655,"&gt;="&amp;'THAM_SO'!$B$6,'CHAM_CONG_NGAY'!$C$6:$C$4655,"&lt;="&amp;'THAM_SO'!$B$7),$G80))</f>
        <v/>
      </c>
      <c r="AF80" s="232">
        <f>IF($B80="","",IF($D80="Theo ngày",SUMIFS('CHAM_CONG_NGAY'!$H$6:$H$4655,'CHAM_CONG_NGAY'!$B$6:$B$4655,$B80,'CHAM_CONG_NGAY'!$C$6:$C$4655,"&gt;="&amp;'THAM_SO'!$B$6,'CHAM_CONG_NGAY'!$C$6:$C$4655,"&lt;="&amp;'THAM_SO'!$B$7),$H80))</f>
        <v/>
      </c>
      <c r="AG80" s="232">
        <f>IF($B80="","",IF($D80="Theo ngày",SUMIFS('CHAM_CONG_NGAY'!$I$6:$I$4655,'CHAM_CONG_NGAY'!$B$6:$B$4655,$B80,'CHAM_CONG_NGAY'!$C$6:$C$4655,"&gt;="&amp;'THAM_SO'!$B$6,'CHAM_CONG_NGAY'!$C$6:$C$4655,"&lt;="&amp;'THAM_SO'!$B$7),$I80))</f>
        <v/>
      </c>
      <c r="AH80" s="232">
        <f>IF($B80="","",IF($D80="Theo ngày",SUMIFS('CHAM_CONG_NGAY'!$J$6:$J$4655,'CHAM_CONG_NGAY'!$B$6:$B$4655,$B80,'CHAM_CONG_NGAY'!$C$6:$C$4655,"&gt;="&amp;'THAM_SO'!$B$6,'CHAM_CONG_NGAY'!$C$6:$C$4655,"&lt;="&amp;'THAM_SO'!$B$7),$J80))</f>
        <v/>
      </c>
      <c r="AI80" s="232">
        <f>IF($B80="","",IF($D80="Theo ngày",SUMIFS('CHAM_CONG_NGAY'!$K$6:$K$4655,'CHAM_CONG_NGAY'!$B$6:$B$4655,$B80,'CHAM_CONG_NGAY'!$C$6:$C$4655,"&gt;="&amp;'THAM_SO'!$B$6,'CHAM_CONG_NGAY'!$C$6:$C$4655,"&lt;="&amp;'THAM_SO'!$B$7),$K80))</f>
        <v/>
      </c>
      <c r="AJ80" s="232">
        <f>IF($B80="","",IF($D80="Theo ngày",SUMIFS('CHAM_CONG_NGAY'!$L$6:$L$4655,'CHAM_CONG_NGAY'!$B$6:$B$4655,$B80,'CHAM_CONG_NGAY'!$C$6:$C$4655,"&gt;="&amp;'THAM_SO'!$B$6,'CHAM_CONG_NGAY'!$C$6:$C$4655,"&lt;="&amp;'THAM_SO'!$B$7),$L80))</f>
        <v/>
      </c>
      <c r="AK80" s="232">
        <f>IF($B80="","",IF($D80="Theo ngày",SUMIFS('CHAM_CONG_NGAY'!$M$6:$M$4655,'CHAM_CONG_NGAY'!$B$6:$B$4655,$B80,'CHAM_CONG_NGAY'!$C$6:$C$4655,"&gt;="&amp;'THAM_SO'!$B$6,'CHAM_CONG_NGAY'!$C$6:$C$4655,"&lt;="&amp;'THAM_SO'!$B$7),$M80))</f>
        <v/>
      </c>
      <c r="AL80" s="227" t="n"/>
      <c r="AM80" s="227" t="n"/>
      <c r="AN80" s="227" t="n"/>
      <c r="AO80" s="227" t="n"/>
      <c r="AP80" s="227" t="n"/>
      <c r="AQ80" s="227" t="n"/>
      <c r="AR80" s="232">
        <f>IF($B80="","",IF($D80="Theo ngày",SUMIFS('CHAM_CONG_NGAY'!$O$6:$O$4655,'CHAM_CONG_NGAY'!$B$6:$B$4655,$B80,'CHAM_CONG_NGAY'!$C$6:$C$4655,"&gt;="&amp;'THAM_SO'!$B$6,'CHAM_CONG_NGAY'!$C$6:$C$4655,"&lt;="&amp;'THAM_SO'!$B$7),$AL80))</f>
        <v/>
      </c>
      <c r="AS80" s="232">
        <f>IF($B80="","",IF($D80="Theo ngày",SUMIFS('CHAM_CONG_NGAY'!$P$6:$P$4655,'CHAM_CONG_NGAY'!$B$6:$B$4655,$B80,'CHAM_CONG_NGAY'!$C$6:$C$4655,"&gt;="&amp;'THAM_SO'!$B$6,'CHAM_CONG_NGAY'!$C$6:$C$4655,"&lt;="&amp;'THAM_SO'!$B$7),$AM80))</f>
        <v/>
      </c>
      <c r="AT80" s="232">
        <f>IF($B80="","",IF($D80="Theo ngày",SUMIFS('CHAM_CONG_NGAY'!$Q$6:$Q$4655,'CHAM_CONG_NGAY'!$B$6:$B$4655,$B80,'CHAM_CONG_NGAY'!$C$6:$C$4655,"&gt;="&amp;'THAM_SO'!$B$6,'CHAM_CONG_NGAY'!$C$6:$C$4655,"&lt;="&amp;'THAM_SO'!$B$7),$AN80))</f>
        <v/>
      </c>
      <c r="AU80" s="232">
        <f>IF($B80="","",IF($D80="Theo ngày",SUMIFS('CHAM_CONG_NGAY'!$R$6:$R$4655,'CHAM_CONG_NGAY'!$B$6:$B$4655,$B80,'CHAM_CONG_NGAY'!$C$6:$C$4655,"&gt;="&amp;'THAM_SO'!$B$6,'CHAM_CONG_NGAY'!$C$6:$C$4655,"&lt;="&amp;'THAM_SO'!$B$7),$AO80))</f>
        <v/>
      </c>
      <c r="AV80" s="232">
        <f>IF($B80="","",IF($D80="Theo ngày",SUMIFS('CHAM_CONG_NGAY'!$S$6:$S$4655,'CHAM_CONG_NGAY'!$B$6:$B$4655,$B80,'CHAM_CONG_NGAY'!$C$6:$C$4655,"&gt;="&amp;'THAM_SO'!$B$6,'CHAM_CONG_NGAY'!$C$6:$C$4655,"&lt;="&amp;'THAM_SO'!$B$7),$AP80))</f>
        <v/>
      </c>
      <c r="AW80" s="232">
        <f>IF($B80="","",IF($D80="Theo ngày",SUMIFS('CHAM_CONG_NGAY'!$T$6:$T$4655,'CHAM_CONG_NGAY'!$B$6:$B$4655,$B80,'CHAM_CONG_NGAY'!$C$6:$C$4655,"&gt;="&amp;'THAM_SO'!$B$6,'CHAM_CONG_NGAY'!$C$6:$C$4655,"&lt;="&amp;'THAM_SO'!$B$7),$AQ80))</f>
        <v/>
      </c>
    </row>
    <row r="81">
      <c r="A81" s="145">
        <f>IF($B81="","",ROW()-5)</f>
        <v/>
      </c>
      <c r="B81" s="145">
        <f>IF('DM_NHAN_SU'!B81="","",'DM_NHAN_SU'!B81)</f>
        <v/>
      </c>
      <c r="C81" s="145">
        <f>IF('DM_NHAN_SU'!B81="","",'DM_NHAN_SU'!C81)</f>
        <v/>
      </c>
      <c r="D81" s="127" t="n"/>
      <c r="E81" s="227" t="n"/>
      <c r="F81" s="227" t="n"/>
      <c r="G81" s="227" t="n"/>
      <c r="H81" s="227" t="n"/>
      <c r="I81" s="227" t="n"/>
      <c r="J81" s="227" t="n"/>
      <c r="K81" s="227" t="n"/>
      <c r="L81" s="227" t="n"/>
      <c r="M81" s="227" t="n"/>
      <c r="N81" s="227" t="n"/>
      <c r="O81" s="222" t="n"/>
      <c r="P81" s="222" t="n"/>
      <c r="Q81" s="222" t="n"/>
      <c r="R81" s="222" t="n"/>
      <c r="S81" s="222" t="n"/>
      <c r="T81" s="222" t="n"/>
      <c r="U81" s="222" t="n"/>
      <c r="V81" s="222" t="n"/>
      <c r="W81" s="222" t="n"/>
      <c r="X81" s="222" t="n"/>
      <c r="Y81" s="222" t="n"/>
      <c r="Z81" s="222" t="n"/>
      <c r="AA81" s="127" t="n"/>
      <c r="AB81" s="127" t="n"/>
      <c r="AC81" s="232">
        <f>IF($B81="","",IF($D81="Theo ngày",SUMIFS('CHAM_CONG_NGAY'!$E$6:$E$4655,'CHAM_CONG_NGAY'!$B$6:$B$4655,$B81,'CHAM_CONG_NGAY'!$C$6:$C$4655,"&gt;="&amp;'THAM_SO'!$B$6,'CHAM_CONG_NGAY'!$C$6:$C$4655,"&lt;="&amp;'THAM_SO'!$B$7),$E81))</f>
        <v/>
      </c>
      <c r="AD81" s="232">
        <f>IF($B81="","",IF($D81="Theo ngày",SUMIFS('CHAM_CONG_NGAY'!$F$6:$F$4655,'CHAM_CONG_NGAY'!$B$6:$B$4655,$B81,'CHAM_CONG_NGAY'!$C$6:$C$4655,"&gt;="&amp;'THAM_SO'!$B$6,'CHAM_CONG_NGAY'!$C$6:$C$4655,"&lt;="&amp;'THAM_SO'!$B$7),$F81))</f>
        <v/>
      </c>
      <c r="AE81" s="232">
        <f>IF($B81="","",IF($D81="Theo ngày",SUMIFS('CHAM_CONG_NGAY'!$G$6:$G$4655,'CHAM_CONG_NGAY'!$B$6:$B$4655,$B81,'CHAM_CONG_NGAY'!$C$6:$C$4655,"&gt;="&amp;'THAM_SO'!$B$6,'CHAM_CONG_NGAY'!$C$6:$C$4655,"&lt;="&amp;'THAM_SO'!$B$7),$G81))</f>
        <v/>
      </c>
      <c r="AF81" s="232">
        <f>IF($B81="","",IF($D81="Theo ngày",SUMIFS('CHAM_CONG_NGAY'!$H$6:$H$4655,'CHAM_CONG_NGAY'!$B$6:$B$4655,$B81,'CHAM_CONG_NGAY'!$C$6:$C$4655,"&gt;="&amp;'THAM_SO'!$B$6,'CHAM_CONG_NGAY'!$C$6:$C$4655,"&lt;="&amp;'THAM_SO'!$B$7),$H81))</f>
        <v/>
      </c>
      <c r="AG81" s="232">
        <f>IF($B81="","",IF($D81="Theo ngày",SUMIFS('CHAM_CONG_NGAY'!$I$6:$I$4655,'CHAM_CONG_NGAY'!$B$6:$B$4655,$B81,'CHAM_CONG_NGAY'!$C$6:$C$4655,"&gt;="&amp;'THAM_SO'!$B$6,'CHAM_CONG_NGAY'!$C$6:$C$4655,"&lt;="&amp;'THAM_SO'!$B$7),$I81))</f>
        <v/>
      </c>
      <c r="AH81" s="232">
        <f>IF($B81="","",IF($D81="Theo ngày",SUMIFS('CHAM_CONG_NGAY'!$J$6:$J$4655,'CHAM_CONG_NGAY'!$B$6:$B$4655,$B81,'CHAM_CONG_NGAY'!$C$6:$C$4655,"&gt;="&amp;'THAM_SO'!$B$6,'CHAM_CONG_NGAY'!$C$6:$C$4655,"&lt;="&amp;'THAM_SO'!$B$7),$J81))</f>
        <v/>
      </c>
      <c r="AI81" s="232">
        <f>IF($B81="","",IF($D81="Theo ngày",SUMIFS('CHAM_CONG_NGAY'!$K$6:$K$4655,'CHAM_CONG_NGAY'!$B$6:$B$4655,$B81,'CHAM_CONG_NGAY'!$C$6:$C$4655,"&gt;="&amp;'THAM_SO'!$B$6,'CHAM_CONG_NGAY'!$C$6:$C$4655,"&lt;="&amp;'THAM_SO'!$B$7),$K81))</f>
        <v/>
      </c>
      <c r="AJ81" s="232">
        <f>IF($B81="","",IF($D81="Theo ngày",SUMIFS('CHAM_CONG_NGAY'!$L$6:$L$4655,'CHAM_CONG_NGAY'!$B$6:$B$4655,$B81,'CHAM_CONG_NGAY'!$C$6:$C$4655,"&gt;="&amp;'THAM_SO'!$B$6,'CHAM_CONG_NGAY'!$C$6:$C$4655,"&lt;="&amp;'THAM_SO'!$B$7),$L81))</f>
        <v/>
      </c>
      <c r="AK81" s="232">
        <f>IF($B81="","",IF($D81="Theo ngày",SUMIFS('CHAM_CONG_NGAY'!$M$6:$M$4655,'CHAM_CONG_NGAY'!$B$6:$B$4655,$B81,'CHAM_CONG_NGAY'!$C$6:$C$4655,"&gt;="&amp;'THAM_SO'!$B$6,'CHAM_CONG_NGAY'!$C$6:$C$4655,"&lt;="&amp;'THAM_SO'!$B$7),$M81))</f>
        <v/>
      </c>
      <c r="AL81" s="227" t="n"/>
      <c r="AM81" s="227" t="n"/>
      <c r="AN81" s="227" t="n"/>
      <c r="AO81" s="227" t="n"/>
      <c r="AP81" s="227" t="n"/>
      <c r="AQ81" s="227" t="n"/>
      <c r="AR81" s="232">
        <f>IF($B81="","",IF($D81="Theo ngày",SUMIFS('CHAM_CONG_NGAY'!$O$6:$O$4655,'CHAM_CONG_NGAY'!$B$6:$B$4655,$B81,'CHAM_CONG_NGAY'!$C$6:$C$4655,"&gt;="&amp;'THAM_SO'!$B$6,'CHAM_CONG_NGAY'!$C$6:$C$4655,"&lt;="&amp;'THAM_SO'!$B$7),$AL81))</f>
        <v/>
      </c>
      <c r="AS81" s="232">
        <f>IF($B81="","",IF($D81="Theo ngày",SUMIFS('CHAM_CONG_NGAY'!$P$6:$P$4655,'CHAM_CONG_NGAY'!$B$6:$B$4655,$B81,'CHAM_CONG_NGAY'!$C$6:$C$4655,"&gt;="&amp;'THAM_SO'!$B$6,'CHAM_CONG_NGAY'!$C$6:$C$4655,"&lt;="&amp;'THAM_SO'!$B$7),$AM81))</f>
        <v/>
      </c>
      <c r="AT81" s="232">
        <f>IF($B81="","",IF($D81="Theo ngày",SUMIFS('CHAM_CONG_NGAY'!$Q$6:$Q$4655,'CHAM_CONG_NGAY'!$B$6:$B$4655,$B81,'CHAM_CONG_NGAY'!$C$6:$C$4655,"&gt;="&amp;'THAM_SO'!$B$6,'CHAM_CONG_NGAY'!$C$6:$C$4655,"&lt;="&amp;'THAM_SO'!$B$7),$AN81))</f>
        <v/>
      </c>
      <c r="AU81" s="232">
        <f>IF($B81="","",IF($D81="Theo ngày",SUMIFS('CHAM_CONG_NGAY'!$R$6:$R$4655,'CHAM_CONG_NGAY'!$B$6:$B$4655,$B81,'CHAM_CONG_NGAY'!$C$6:$C$4655,"&gt;="&amp;'THAM_SO'!$B$6,'CHAM_CONG_NGAY'!$C$6:$C$4655,"&lt;="&amp;'THAM_SO'!$B$7),$AO81))</f>
        <v/>
      </c>
      <c r="AV81" s="232">
        <f>IF($B81="","",IF($D81="Theo ngày",SUMIFS('CHAM_CONG_NGAY'!$S$6:$S$4655,'CHAM_CONG_NGAY'!$B$6:$B$4655,$B81,'CHAM_CONG_NGAY'!$C$6:$C$4655,"&gt;="&amp;'THAM_SO'!$B$6,'CHAM_CONG_NGAY'!$C$6:$C$4655,"&lt;="&amp;'THAM_SO'!$B$7),$AP81))</f>
        <v/>
      </c>
      <c r="AW81" s="232">
        <f>IF($B81="","",IF($D81="Theo ngày",SUMIFS('CHAM_CONG_NGAY'!$T$6:$T$4655,'CHAM_CONG_NGAY'!$B$6:$B$4655,$B81,'CHAM_CONG_NGAY'!$C$6:$C$4655,"&gt;="&amp;'THAM_SO'!$B$6,'CHAM_CONG_NGAY'!$C$6:$C$4655,"&lt;="&amp;'THAM_SO'!$B$7),$AQ81))</f>
        <v/>
      </c>
    </row>
    <row r="82">
      <c r="A82" s="145">
        <f>IF($B82="","",ROW()-5)</f>
        <v/>
      </c>
      <c r="B82" s="145">
        <f>IF('DM_NHAN_SU'!B82="","",'DM_NHAN_SU'!B82)</f>
        <v/>
      </c>
      <c r="C82" s="145">
        <f>IF('DM_NHAN_SU'!B82="","",'DM_NHAN_SU'!C82)</f>
        <v/>
      </c>
      <c r="D82" s="127" t="n"/>
      <c r="E82" s="227" t="n"/>
      <c r="F82" s="227" t="n"/>
      <c r="G82" s="227" t="n"/>
      <c r="H82" s="227" t="n"/>
      <c r="I82" s="227" t="n"/>
      <c r="J82" s="227" t="n"/>
      <c r="K82" s="227" t="n"/>
      <c r="L82" s="227" t="n"/>
      <c r="M82" s="227" t="n"/>
      <c r="N82" s="227" t="n"/>
      <c r="O82" s="222" t="n"/>
      <c r="P82" s="222" t="n"/>
      <c r="Q82" s="222" t="n"/>
      <c r="R82" s="222" t="n"/>
      <c r="S82" s="222" t="n"/>
      <c r="T82" s="222" t="n"/>
      <c r="U82" s="222" t="n"/>
      <c r="V82" s="222" t="n"/>
      <c r="W82" s="222" t="n"/>
      <c r="X82" s="222" t="n"/>
      <c r="Y82" s="222" t="n"/>
      <c r="Z82" s="222" t="n"/>
      <c r="AA82" s="127" t="n"/>
      <c r="AB82" s="127" t="n"/>
      <c r="AC82" s="232">
        <f>IF($B82="","",IF($D82="Theo ngày",SUMIFS('CHAM_CONG_NGAY'!$E$6:$E$4655,'CHAM_CONG_NGAY'!$B$6:$B$4655,$B82,'CHAM_CONG_NGAY'!$C$6:$C$4655,"&gt;="&amp;'THAM_SO'!$B$6,'CHAM_CONG_NGAY'!$C$6:$C$4655,"&lt;="&amp;'THAM_SO'!$B$7),$E82))</f>
        <v/>
      </c>
      <c r="AD82" s="232">
        <f>IF($B82="","",IF($D82="Theo ngày",SUMIFS('CHAM_CONG_NGAY'!$F$6:$F$4655,'CHAM_CONG_NGAY'!$B$6:$B$4655,$B82,'CHAM_CONG_NGAY'!$C$6:$C$4655,"&gt;="&amp;'THAM_SO'!$B$6,'CHAM_CONG_NGAY'!$C$6:$C$4655,"&lt;="&amp;'THAM_SO'!$B$7),$F82))</f>
        <v/>
      </c>
      <c r="AE82" s="232">
        <f>IF($B82="","",IF($D82="Theo ngày",SUMIFS('CHAM_CONG_NGAY'!$G$6:$G$4655,'CHAM_CONG_NGAY'!$B$6:$B$4655,$B82,'CHAM_CONG_NGAY'!$C$6:$C$4655,"&gt;="&amp;'THAM_SO'!$B$6,'CHAM_CONG_NGAY'!$C$6:$C$4655,"&lt;="&amp;'THAM_SO'!$B$7),$G82))</f>
        <v/>
      </c>
      <c r="AF82" s="232">
        <f>IF($B82="","",IF($D82="Theo ngày",SUMIFS('CHAM_CONG_NGAY'!$H$6:$H$4655,'CHAM_CONG_NGAY'!$B$6:$B$4655,$B82,'CHAM_CONG_NGAY'!$C$6:$C$4655,"&gt;="&amp;'THAM_SO'!$B$6,'CHAM_CONG_NGAY'!$C$6:$C$4655,"&lt;="&amp;'THAM_SO'!$B$7),$H82))</f>
        <v/>
      </c>
      <c r="AG82" s="232">
        <f>IF($B82="","",IF($D82="Theo ngày",SUMIFS('CHAM_CONG_NGAY'!$I$6:$I$4655,'CHAM_CONG_NGAY'!$B$6:$B$4655,$B82,'CHAM_CONG_NGAY'!$C$6:$C$4655,"&gt;="&amp;'THAM_SO'!$B$6,'CHAM_CONG_NGAY'!$C$6:$C$4655,"&lt;="&amp;'THAM_SO'!$B$7),$I82))</f>
        <v/>
      </c>
      <c r="AH82" s="232">
        <f>IF($B82="","",IF($D82="Theo ngày",SUMIFS('CHAM_CONG_NGAY'!$J$6:$J$4655,'CHAM_CONG_NGAY'!$B$6:$B$4655,$B82,'CHAM_CONG_NGAY'!$C$6:$C$4655,"&gt;="&amp;'THAM_SO'!$B$6,'CHAM_CONG_NGAY'!$C$6:$C$4655,"&lt;="&amp;'THAM_SO'!$B$7),$J82))</f>
        <v/>
      </c>
      <c r="AI82" s="232">
        <f>IF($B82="","",IF($D82="Theo ngày",SUMIFS('CHAM_CONG_NGAY'!$K$6:$K$4655,'CHAM_CONG_NGAY'!$B$6:$B$4655,$B82,'CHAM_CONG_NGAY'!$C$6:$C$4655,"&gt;="&amp;'THAM_SO'!$B$6,'CHAM_CONG_NGAY'!$C$6:$C$4655,"&lt;="&amp;'THAM_SO'!$B$7),$K82))</f>
        <v/>
      </c>
      <c r="AJ82" s="232">
        <f>IF($B82="","",IF($D82="Theo ngày",SUMIFS('CHAM_CONG_NGAY'!$L$6:$L$4655,'CHAM_CONG_NGAY'!$B$6:$B$4655,$B82,'CHAM_CONG_NGAY'!$C$6:$C$4655,"&gt;="&amp;'THAM_SO'!$B$6,'CHAM_CONG_NGAY'!$C$6:$C$4655,"&lt;="&amp;'THAM_SO'!$B$7),$L82))</f>
        <v/>
      </c>
      <c r="AK82" s="232">
        <f>IF($B82="","",IF($D82="Theo ngày",SUMIFS('CHAM_CONG_NGAY'!$M$6:$M$4655,'CHAM_CONG_NGAY'!$B$6:$B$4655,$B82,'CHAM_CONG_NGAY'!$C$6:$C$4655,"&gt;="&amp;'THAM_SO'!$B$6,'CHAM_CONG_NGAY'!$C$6:$C$4655,"&lt;="&amp;'THAM_SO'!$B$7),$M82))</f>
        <v/>
      </c>
      <c r="AL82" s="227" t="n"/>
      <c r="AM82" s="227" t="n"/>
      <c r="AN82" s="227" t="n"/>
      <c r="AO82" s="227" t="n"/>
      <c r="AP82" s="227" t="n"/>
      <c r="AQ82" s="227" t="n"/>
      <c r="AR82" s="232">
        <f>IF($B82="","",IF($D82="Theo ngày",SUMIFS('CHAM_CONG_NGAY'!$O$6:$O$4655,'CHAM_CONG_NGAY'!$B$6:$B$4655,$B82,'CHAM_CONG_NGAY'!$C$6:$C$4655,"&gt;="&amp;'THAM_SO'!$B$6,'CHAM_CONG_NGAY'!$C$6:$C$4655,"&lt;="&amp;'THAM_SO'!$B$7),$AL82))</f>
        <v/>
      </c>
      <c r="AS82" s="232">
        <f>IF($B82="","",IF($D82="Theo ngày",SUMIFS('CHAM_CONG_NGAY'!$P$6:$P$4655,'CHAM_CONG_NGAY'!$B$6:$B$4655,$B82,'CHAM_CONG_NGAY'!$C$6:$C$4655,"&gt;="&amp;'THAM_SO'!$B$6,'CHAM_CONG_NGAY'!$C$6:$C$4655,"&lt;="&amp;'THAM_SO'!$B$7),$AM82))</f>
        <v/>
      </c>
      <c r="AT82" s="232">
        <f>IF($B82="","",IF($D82="Theo ngày",SUMIFS('CHAM_CONG_NGAY'!$Q$6:$Q$4655,'CHAM_CONG_NGAY'!$B$6:$B$4655,$B82,'CHAM_CONG_NGAY'!$C$6:$C$4655,"&gt;="&amp;'THAM_SO'!$B$6,'CHAM_CONG_NGAY'!$C$6:$C$4655,"&lt;="&amp;'THAM_SO'!$B$7),$AN82))</f>
        <v/>
      </c>
      <c r="AU82" s="232">
        <f>IF($B82="","",IF($D82="Theo ngày",SUMIFS('CHAM_CONG_NGAY'!$R$6:$R$4655,'CHAM_CONG_NGAY'!$B$6:$B$4655,$B82,'CHAM_CONG_NGAY'!$C$6:$C$4655,"&gt;="&amp;'THAM_SO'!$B$6,'CHAM_CONG_NGAY'!$C$6:$C$4655,"&lt;="&amp;'THAM_SO'!$B$7),$AO82))</f>
        <v/>
      </c>
      <c r="AV82" s="232">
        <f>IF($B82="","",IF($D82="Theo ngày",SUMIFS('CHAM_CONG_NGAY'!$S$6:$S$4655,'CHAM_CONG_NGAY'!$B$6:$B$4655,$B82,'CHAM_CONG_NGAY'!$C$6:$C$4655,"&gt;="&amp;'THAM_SO'!$B$6,'CHAM_CONG_NGAY'!$C$6:$C$4655,"&lt;="&amp;'THAM_SO'!$B$7),$AP82))</f>
        <v/>
      </c>
      <c r="AW82" s="232">
        <f>IF($B82="","",IF($D82="Theo ngày",SUMIFS('CHAM_CONG_NGAY'!$T$6:$T$4655,'CHAM_CONG_NGAY'!$B$6:$B$4655,$B82,'CHAM_CONG_NGAY'!$C$6:$C$4655,"&gt;="&amp;'THAM_SO'!$B$6,'CHAM_CONG_NGAY'!$C$6:$C$4655,"&lt;="&amp;'THAM_SO'!$B$7),$AQ82))</f>
        <v/>
      </c>
    </row>
    <row r="83">
      <c r="A83" s="145">
        <f>IF($B83="","",ROW()-5)</f>
        <v/>
      </c>
      <c r="B83" s="145">
        <f>IF('DM_NHAN_SU'!B83="","",'DM_NHAN_SU'!B83)</f>
        <v/>
      </c>
      <c r="C83" s="145">
        <f>IF('DM_NHAN_SU'!B83="","",'DM_NHAN_SU'!C83)</f>
        <v/>
      </c>
      <c r="D83" s="127" t="n"/>
      <c r="E83" s="227" t="n"/>
      <c r="F83" s="227" t="n"/>
      <c r="G83" s="227" t="n"/>
      <c r="H83" s="227" t="n"/>
      <c r="I83" s="227" t="n"/>
      <c r="J83" s="227" t="n"/>
      <c r="K83" s="227" t="n"/>
      <c r="L83" s="227" t="n"/>
      <c r="M83" s="227" t="n"/>
      <c r="N83" s="227" t="n"/>
      <c r="O83" s="222" t="n"/>
      <c r="P83" s="222" t="n"/>
      <c r="Q83" s="222" t="n"/>
      <c r="R83" s="222" t="n"/>
      <c r="S83" s="222" t="n"/>
      <c r="T83" s="222" t="n"/>
      <c r="U83" s="222" t="n"/>
      <c r="V83" s="222" t="n"/>
      <c r="W83" s="222" t="n"/>
      <c r="X83" s="222" t="n"/>
      <c r="Y83" s="222" t="n"/>
      <c r="Z83" s="222" t="n"/>
      <c r="AA83" s="127" t="n"/>
      <c r="AB83" s="127" t="n"/>
      <c r="AC83" s="232">
        <f>IF($B83="","",IF($D83="Theo ngày",SUMIFS('CHAM_CONG_NGAY'!$E$6:$E$4655,'CHAM_CONG_NGAY'!$B$6:$B$4655,$B83,'CHAM_CONG_NGAY'!$C$6:$C$4655,"&gt;="&amp;'THAM_SO'!$B$6,'CHAM_CONG_NGAY'!$C$6:$C$4655,"&lt;="&amp;'THAM_SO'!$B$7),$E83))</f>
        <v/>
      </c>
      <c r="AD83" s="232">
        <f>IF($B83="","",IF($D83="Theo ngày",SUMIFS('CHAM_CONG_NGAY'!$F$6:$F$4655,'CHAM_CONG_NGAY'!$B$6:$B$4655,$B83,'CHAM_CONG_NGAY'!$C$6:$C$4655,"&gt;="&amp;'THAM_SO'!$B$6,'CHAM_CONG_NGAY'!$C$6:$C$4655,"&lt;="&amp;'THAM_SO'!$B$7),$F83))</f>
        <v/>
      </c>
      <c r="AE83" s="232">
        <f>IF($B83="","",IF($D83="Theo ngày",SUMIFS('CHAM_CONG_NGAY'!$G$6:$G$4655,'CHAM_CONG_NGAY'!$B$6:$B$4655,$B83,'CHAM_CONG_NGAY'!$C$6:$C$4655,"&gt;="&amp;'THAM_SO'!$B$6,'CHAM_CONG_NGAY'!$C$6:$C$4655,"&lt;="&amp;'THAM_SO'!$B$7),$G83))</f>
        <v/>
      </c>
      <c r="AF83" s="232">
        <f>IF($B83="","",IF($D83="Theo ngày",SUMIFS('CHAM_CONG_NGAY'!$H$6:$H$4655,'CHAM_CONG_NGAY'!$B$6:$B$4655,$B83,'CHAM_CONG_NGAY'!$C$6:$C$4655,"&gt;="&amp;'THAM_SO'!$B$6,'CHAM_CONG_NGAY'!$C$6:$C$4655,"&lt;="&amp;'THAM_SO'!$B$7),$H83))</f>
        <v/>
      </c>
      <c r="AG83" s="232">
        <f>IF($B83="","",IF($D83="Theo ngày",SUMIFS('CHAM_CONG_NGAY'!$I$6:$I$4655,'CHAM_CONG_NGAY'!$B$6:$B$4655,$B83,'CHAM_CONG_NGAY'!$C$6:$C$4655,"&gt;="&amp;'THAM_SO'!$B$6,'CHAM_CONG_NGAY'!$C$6:$C$4655,"&lt;="&amp;'THAM_SO'!$B$7),$I83))</f>
        <v/>
      </c>
      <c r="AH83" s="232">
        <f>IF($B83="","",IF($D83="Theo ngày",SUMIFS('CHAM_CONG_NGAY'!$J$6:$J$4655,'CHAM_CONG_NGAY'!$B$6:$B$4655,$B83,'CHAM_CONG_NGAY'!$C$6:$C$4655,"&gt;="&amp;'THAM_SO'!$B$6,'CHAM_CONG_NGAY'!$C$6:$C$4655,"&lt;="&amp;'THAM_SO'!$B$7),$J83))</f>
        <v/>
      </c>
      <c r="AI83" s="232">
        <f>IF($B83="","",IF($D83="Theo ngày",SUMIFS('CHAM_CONG_NGAY'!$K$6:$K$4655,'CHAM_CONG_NGAY'!$B$6:$B$4655,$B83,'CHAM_CONG_NGAY'!$C$6:$C$4655,"&gt;="&amp;'THAM_SO'!$B$6,'CHAM_CONG_NGAY'!$C$6:$C$4655,"&lt;="&amp;'THAM_SO'!$B$7),$K83))</f>
        <v/>
      </c>
      <c r="AJ83" s="232">
        <f>IF($B83="","",IF($D83="Theo ngày",SUMIFS('CHAM_CONG_NGAY'!$L$6:$L$4655,'CHAM_CONG_NGAY'!$B$6:$B$4655,$B83,'CHAM_CONG_NGAY'!$C$6:$C$4655,"&gt;="&amp;'THAM_SO'!$B$6,'CHAM_CONG_NGAY'!$C$6:$C$4655,"&lt;="&amp;'THAM_SO'!$B$7),$L83))</f>
        <v/>
      </c>
      <c r="AK83" s="232">
        <f>IF($B83="","",IF($D83="Theo ngày",SUMIFS('CHAM_CONG_NGAY'!$M$6:$M$4655,'CHAM_CONG_NGAY'!$B$6:$B$4655,$B83,'CHAM_CONG_NGAY'!$C$6:$C$4655,"&gt;="&amp;'THAM_SO'!$B$6,'CHAM_CONG_NGAY'!$C$6:$C$4655,"&lt;="&amp;'THAM_SO'!$B$7),$M83))</f>
        <v/>
      </c>
      <c r="AL83" s="227" t="n"/>
      <c r="AM83" s="227" t="n"/>
      <c r="AN83" s="227" t="n"/>
      <c r="AO83" s="227" t="n"/>
      <c r="AP83" s="227" t="n"/>
      <c r="AQ83" s="227" t="n"/>
      <c r="AR83" s="232">
        <f>IF($B83="","",IF($D83="Theo ngày",SUMIFS('CHAM_CONG_NGAY'!$O$6:$O$4655,'CHAM_CONG_NGAY'!$B$6:$B$4655,$B83,'CHAM_CONG_NGAY'!$C$6:$C$4655,"&gt;="&amp;'THAM_SO'!$B$6,'CHAM_CONG_NGAY'!$C$6:$C$4655,"&lt;="&amp;'THAM_SO'!$B$7),$AL83))</f>
        <v/>
      </c>
      <c r="AS83" s="232">
        <f>IF($B83="","",IF($D83="Theo ngày",SUMIFS('CHAM_CONG_NGAY'!$P$6:$P$4655,'CHAM_CONG_NGAY'!$B$6:$B$4655,$B83,'CHAM_CONG_NGAY'!$C$6:$C$4655,"&gt;="&amp;'THAM_SO'!$B$6,'CHAM_CONG_NGAY'!$C$6:$C$4655,"&lt;="&amp;'THAM_SO'!$B$7),$AM83))</f>
        <v/>
      </c>
      <c r="AT83" s="232">
        <f>IF($B83="","",IF($D83="Theo ngày",SUMIFS('CHAM_CONG_NGAY'!$Q$6:$Q$4655,'CHAM_CONG_NGAY'!$B$6:$B$4655,$B83,'CHAM_CONG_NGAY'!$C$6:$C$4655,"&gt;="&amp;'THAM_SO'!$B$6,'CHAM_CONG_NGAY'!$C$6:$C$4655,"&lt;="&amp;'THAM_SO'!$B$7),$AN83))</f>
        <v/>
      </c>
      <c r="AU83" s="232">
        <f>IF($B83="","",IF($D83="Theo ngày",SUMIFS('CHAM_CONG_NGAY'!$R$6:$R$4655,'CHAM_CONG_NGAY'!$B$6:$B$4655,$B83,'CHAM_CONG_NGAY'!$C$6:$C$4655,"&gt;="&amp;'THAM_SO'!$B$6,'CHAM_CONG_NGAY'!$C$6:$C$4655,"&lt;="&amp;'THAM_SO'!$B$7),$AO83))</f>
        <v/>
      </c>
      <c r="AV83" s="232">
        <f>IF($B83="","",IF($D83="Theo ngày",SUMIFS('CHAM_CONG_NGAY'!$S$6:$S$4655,'CHAM_CONG_NGAY'!$B$6:$B$4655,$B83,'CHAM_CONG_NGAY'!$C$6:$C$4655,"&gt;="&amp;'THAM_SO'!$B$6,'CHAM_CONG_NGAY'!$C$6:$C$4655,"&lt;="&amp;'THAM_SO'!$B$7),$AP83))</f>
        <v/>
      </c>
      <c r="AW83" s="232">
        <f>IF($B83="","",IF($D83="Theo ngày",SUMIFS('CHAM_CONG_NGAY'!$T$6:$T$4655,'CHAM_CONG_NGAY'!$B$6:$B$4655,$B83,'CHAM_CONG_NGAY'!$C$6:$C$4655,"&gt;="&amp;'THAM_SO'!$B$6,'CHAM_CONG_NGAY'!$C$6:$C$4655,"&lt;="&amp;'THAM_SO'!$B$7),$AQ83))</f>
        <v/>
      </c>
    </row>
    <row r="84">
      <c r="A84" s="145">
        <f>IF($B84="","",ROW()-5)</f>
        <v/>
      </c>
      <c r="B84" s="145">
        <f>IF('DM_NHAN_SU'!B84="","",'DM_NHAN_SU'!B84)</f>
        <v/>
      </c>
      <c r="C84" s="145">
        <f>IF('DM_NHAN_SU'!B84="","",'DM_NHAN_SU'!C84)</f>
        <v/>
      </c>
      <c r="D84" s="127" t="n"/>
      <c r="E84" s="227" t="n"/>
      <c r="F84" s="227" t="n"/>
      <c r="G84" s="227" t="n"/>
      <c r="H84" s="227" t="n"/>
      <c r="I84" s="227" t="n"/>
      <c r="J84" s="227" t="n"/>
      <c r="K84" s="227" t="n"/>
      <c r="L84" s="227" t="n"/>
      <c r="M84" s="227" t="n"/>
      <c r="N84" s="227" t="n"/>
      <c r="O84" s="222" t="n"/>
      <c r="P84" s="222" t="n"/>
      <c r="Q84" s="222" t="n"/>
      <c r="R84" s="222" t="n"/>
      <c r="S84" s="222" t="n"/>
      <c r="T84" s="222" t="n"/>
      <c r="U84" s="222" t="n"/>
      <c r="V84" s="222" t="n"/>
      <c r="W84" s="222" t="n"/>
      <c r="X84" s="222" t="n"/>
      <c r="Y84" s="222" t="n"/>
      <c r="Z84" s="222" t="n"/>
      <c r="AA84" s="127" t="n"/>
      <c r="AB84" s="127" t="n"/>
      <c r="AC84" s="232">
        <f>IF($B84="","",IF($D84="Theo ngày",SUMIFS('CHAM_CONG_NGAY'!$E$6:$E$4655,'CHAM_CONG_NGAY'!$B$6:$B$4655,$B84,'CHAM_CONG_NGAY'!$C$6:$C$4655,"&gt;="&amp;'THAM_SO'!$B$6,'CHAM_CONG_NGAY'!$C$6:$C$4655,"&lt;="&amp;'THAM_SO'!$B$7),$E84))</f>
        <v/>
      </c>
      <c r="AD84" s="232">
        <f>IF($B84="","",IF($D84="Theo ngày",SUMIFS('CHAM_CONG_NGAY'!$F$6:$F$4655,'CHAM_CONG_NGAY'!$B$6:$B$4655,$B84,'CHAM_CONG_NGAY'!$C$6:$C$4655,"&gt;="&amp;'THAM_SO'!$B$6,'CHAM_CONG_NGAY'!$C$6:$C$4655,"&lt;="&amp;'THAM_SO'!$B$7),$F84))</f>
        <v/>
      </c>
      <c r="AE84" s="232">
        <f>IF($B84="","",IF($D84="Theo ngày",SUMIFS('CHAM_CONG_NGAY'!$G$6:$G$4655,'CHAM_CONG_NGAY'!$B$6:$B$4655,$B84,'CHAM_CONG_NGAY'!$C$6:$C$4655,"&gt;="&amp;'THAM_SO'!$B$6,'CHAM_CONG_NGAY'!$C$6:$C$4655,"&lt;="&amp;'THAM_SO'!$B$7),$G84))</f>
        <v/>
      </c>
      <c r="AF84" s="232">
        <f>IF($B84="","",IF($D84="Theo ngày",SUMIFS('CHAM_CONG_NGAY'!$H$6:$H$4655,'CHAM_CONG_NGAY'!$B$6:$B$4655,$B84,'CHAM_CONG_NGAY'!$C$6:$C$4655,"&gt;="&amp;'THAM_SO'!$B$6,'CHAM_CONG_NGAY'!$C$6:$C$4655,"&lt;="&amp;'THAM_SO'!$B$7),$H84))</f>
        <v/>
      </c>
      <c r="AG84" s="232">
        <f>IF($B84="","",IF($D84="Theo ngày",SUMIFS('CHAM_CONG_NGAY'!$I$6:$I$4655,'CHAM_CONG_NGAY'!$B$6:$B$4655,$B84,'CHAM_CONG_NGAY'!$C$6:$C$4655,"&gt;="&amp;'THAM_SO'!$B$6,'CHAM_CONG_NGAY'!$C$6:$C$4655,"&lt;="&amp;'THAM_SO'!$B$7),$I84))</f>
        <v/>
      </c>
      <c r="AH84" s="232">
        <f>IF($B84="","",IF($D84="Theo ngày",SUMIFS('CHAM_CONG_NGAY'!$J$6:$J$4655,'CHAM_CONG_NGAY'!$B$6:$B$4655,$B84,'CHAM_CONG_NGAY'!$C$6:$C$4655,"&gt;="&amp;'THAM_SO'!$B$6,'CHAM_CONG_NGAY'!$C$6:$C$4655,"&lt;="&amp;'THAM_SO'!$B$7),$J84))</f>
        <v/>
      </c>
      <c r="AI84" s="232">
        <f>IF($B84="","",IF($D84="Theo ngày",SUMIFS('CHAM_CONG_NGAY'!$K$6:$K$4655,'CHAM_CONG_NGAY'!$B$6:$B$4655,$B84,'CHAM_CONG_NGAY'!$C$6:$C$4655,"&gt;="&amp;'THAM_SO'!$B$6,'CHAM_CONG_NGAY'!$C$6:$C$4655,"&lt;="&amp;'THAM_SO'!$B$7),$K84))</f>
        <v/>
      </c>
      <c r="AJ84" s="232">
        <f>IF($B84="","",IF($D84="Theo ngày",SUMIFS('CHAM_CONG_NGAY'!$L$6:$L$4655,'CHAM_CONG_NGAY'!$B$6:$B$4655,$B84,'CHAM_CONG_NGAY'!$C$6:$C$4655,"&gt;="&amp;'THAM_SO'!$B$6,'CHAM_CONG_NGAY'!$C$6:$C$4655,"&lt;="&amp;'THAM_SO'!$B$7),$L84))</f>
        <v/>
      </c>
      <c r="AK84" s="232">
        <f>IF($B84="","",IF($D84="Theo ngày",SUMIFS('CHAM_CONG_NGAY'!$M$6:$M$4655,'CHAM_CONG_NGAY'!$B$6:$B$4655,$B84,'CHAM_CONG_NGAY'!$C$6:$C$4655,"&gt;="&amp;'THAM_SO'!$B$6,'CHAM_CONG_NGAY'!$C$6:$C$4655,"&lt;="&amp;'THAM_SO'!$B$7),$M84))</f>
        <v/>
      </c>
      <c r="AL84" s="227" t="n"/>
      <c r="AM84" s="227" t="n"/>
      <c r="AN84" s="227" t="n"/>
      <c r="AO84" s="227" t="n"/>
      <c r="AP84" s="227" t="n"/>
      <c r="AQ84" s="227" t="n"/>
      <c r="AR84" s="232">
        <f>IF($B84="","",IF($D84="Theo ngày",SUMIFS('CHAM_CONG_NGAY'!$O$6:$O$4655,'CHAM_CONG_NGAY'!$B$6:$B$4655,$B84,'CHAM_CONG_NGAY'!$C$6:$C$4655,"&gt;="&amp;'THAM_SO'!$B$6,'CHAM_CONG_NGAY'!$C$6:$C$4655,"&lt;="&amp;'THAM_SO'!$B$7),$AL84))</f>
        <v/>
      </c>
      <c r="AS84" s="232">
        <f>IF($B84="","",IF($D84="Theo ngày",SUMIFS('CHAM_CONG_NGAY'!$P$6:$P$4655,'CHAM_CONG_NGAY'!$B$6:$B$4655,$B84,'CHAM_CONG_NGAY'!$C$6:$C$4655,"&gt;="&amp;'THAM_SO'!$B$6,'CHAM_CONG_NGAY'!$C$6:$C$4655,"&lt;="&amp;'THAM_SO'!$B$7),$AM84))</f>
        <v/>
      </c>
      <c r="AT84" s="232">
        <f>IF($B84="","",IF($D84="Theo ngày",SUMIFS('CHAM_CONG_NGAY'!$Q$6:$Q$4655,'CHAM_CONG_NGAY'!$B$6:$B$4655,$B84,'CHAM_CONG_NGAY'!$C$6:$C$4655,"&gt;="&amp;'THAM_SO'!$B$6,'CHAM_CONG_NGAY'!$C$6:$C$4655,"&lt;="&amp;'THAM_SO'!$B$7),$AN84))</f>
        <v/>
      </c>
      <c r="AU84" s="232">
        <f>IF($B84="","",IF($D84="Theo ngày",SUMIFS('CHAM_CONG_NGAY'!$R$6:$R$4655,'CHAM_CONG_NGAY'!$B$6:$B$4655,$B84,'CHAM_CONG_NGAY'!$C$6:$C$4655,"&gt;="&amp;'THAM_SO'!$B$6,'CHAM_CONG_NGAY'!$C$6:$C$4655,"&lt;="&amp;'THAM_SO'!$B$7),$AO84))</f>
        <v/>
      </c>
      <c r="AV84" s="232">
        <f>IF($B84="","",IF($D84="Theo ngày",SUMIFS('CHAM_CONG_NGAY'!$S$6:$S$4655,'CHAM_CONG_NGAY'!$B$6:$B$4655,$B84,'CHAM_CONG_NGAY'!$C$6:$C$4655,"&gt;="&amp;'THAM_SO'!$B$6,'CHAM_CONG_NGAY'!$C$6:$C$4655,"&lt;="&amp;'THAM_SO'!$B$7),$AP84))</f>
        <v/>
      </c>
      <c r="AW84" s="232">
        <f>IF($B84="","",IF($D84="Theo ngày",SUMIFS('CHAM_CONG_NGAY'!$T$6:$T$4655,'CHAM_CONG_NGAY'!$B$6:$B$4655,$B84,'CHAM_CONG_NGAY'!$C$6:$C$4655,"&gt;="&amp;'THAM_SO'!$B$6,'CHAM_CONG_NGAY'!$C$6:$C$4655,"&lt;="&amp;'THAM_SO'!$B$7),$AQ84))</f>
        <v/>
      </c>
    </row>
    <row r="85">
      <c r="A85" s="145">
        <f>IF($B85="","",ROW()-5)</f>
        <v/>
      </c>
      <c r="B85" s="145">
        <f>IF('DM_NHAN_SU'!B85="","",'DM_NHAN_SU'!B85)</f>
        <v/>
      </c>
      <c r="C85" s="145">
        <f>IF('DM_NHAN_SU'!B85="","",'DM_NHAN_SU'!C85)</f>
        <v/>
      </c>
      <c r="D85" s="127" t="n"/>
      <c r="E85" s="227" t="n"/>
      <c r="F85" s="227" t="n"/>
      <c r="G85" s="227" t="n"/>
      <c r="H85" s="227" t="n"/>
      <c r="I85" s="227" t="n"/>
      <c r="J85" s="227" t="n"/>
      <c r="K85" s="227" t="n"/>
      <c r="L85" s="227" t="n"/>
      <c r="M85" s="227" t="n"/>
      <c r="N85" s="227" t="n"/>
      <c r="O85" s="222" t="n"/>
      <c r="P85" s="222" t="n"/>
      <c r="Q85" s="222" t="n"/>
      <c r="R85" s="222" t="n"/>
      <c r="S85" s="222" t="n"/>
      <c r="T85" s="222" t="n"/>
      <c r="U85" s="222" t="n"/>
      <c r="V85" s="222" t="n"/>
      <c r="W85" s="222" t="n"/>
      <c r="X85" s="222" t="n"/>
      <c r="Y85" s="222" t="n"/>
      <c r="Z85" s="222" t="n"/>
      <c r="AA85" s="127" t="n"/>
      <c r="AB85" s="127" t="n"/>
      <c r="AC85" s="232">
        <f>IF($B85="","",IF($D85="Theo ngày",SUMIFS('CHAM_CONG_NGAY'!$E$6:$E$4655,'CHAM_CONG_NGAY'!$B$6:$B$4655,$B85,'CHAM_CONG_NGAY'!$C$6:$C$4655,"&gt;="&amp;'THAM_SO'!$B$6,'CHAM_CONG_NGAY'!$C$6:$C$4655,"&lt;="&amp;'THAM_SO'!$B$7),$E85))</f>
        <v/>
      </c>
      <c r="AD85" s="232">
        <f>IF($B85="","",IF($D85="Theo ngày",SUMIFS('CHAM_CONG_NGAY'!$F$6:$F$4655,'CHAM_CONG_NGAY'!$B$6:$B$4655,$B85,'CHAM_CONG_NGAY'!$C$6:$C$4655,"&gt;="&amp;'THAM_SO'!$B$6,'CHAM_CONG_NGAY'!$C$6:$C$4655,"&lt;="&amp;'THAM_SO'!$B$7),$F85))</f>
        <v/>
      </c>
      <c r="AE85" s="232">
        <f>IF($B85="","",IF($D85="Theo ngày",SUMIFS('CHAM_CONG_NGAY'!$G$6:$G$4655,'CHAM_CONG_NGAY'!$B$6:$B$4655,$B85,'CHAM_CONG_NGAY'!$C$6:$C$4655,"&gt;="&amp;'THAM_SO'!$B$6,'CHAM_CONG_NGAY'!$C$6:$C$4655,"&lt;="&amp;'THAM_SO'!$B$7),$G85))</f>
        <v/>
      </c>
      <c r="AF85" s="232">
        <f>IF($B85="","",IF($D85="Theo ngày",SUMIFS('CHAM_CONG_NGAY'!$H$6:$H$4655,'CHAM_CONG_NGAY'!$B$6:$B$4655,$B85,'CHAM_CONG_NGAY'!$C$6:$C$4655,"&gt;="&amp;'THAM_SO'!$B$6,'CHAM_CONG_NGAY'!$C$6:$C$4655,"&lt;="&amp;'THAM_SO'!$B$7),$H85))</f>
        <v/>
      </c>
      <c r="AG85" s="232">
        <f>IF($B85="","",IF($D85="Theo ngày",SUMIFS('CHAM_CONG_NGAY'!$I$6:$I$4655,'CHAM_CONG_NGAY'!$B$6:$B$4655,$B85,'CHAM_CONG_NGAY'!$C$6:$C$4655,"&gt;="&amp;'THAM_SO'!$B$6,'CHAM_CONG_NGAY'!$C$6:$C$4655,"&lt;="&amp;'THAM_SO'!$B$7),$I85))</f>
        <v/>
      </c>
      <c r="AH85" s="232">
        <f>IF($B85="","",IF($D85="Theo ngày",SUMIFS('CHAM_CONG_NGAY'!$J$6:$J$4655,'CHAM_CONG_NGAY'!$B$6:$B$4655,$B85,'CHAM_CONG_NGAY'!$C$6:$C$4655,"&gt;="&amp;'THAM_SO'!$B$6,'CHAM_CONG_NGAY'!$C$6:$C$4655,"&lt;="&amp;'THAM_SO'!$B$7),$J85))</f>
        <v/>
      </c>
      <c r="AI85" s="232">
        <f>IF($B85="","",IF($D85="Theo ngày",SUMIFS('CHAM_CONG_NGAY'!$K$6:$K$4655,'CHAM_CONG_NGAY'!$B$6:$B$4655,$B85,'CHAM_CONG_NGAY'!$C$6:$C$4655,"&gt;="&amp;'THAM_SO'!$B$6,'CHAM_CONG_NGAY'!$C$6:$C$4655,"&lt;="&amp;'THAM_SO'!$B$7),$K85))</f>
        <v/>
      </c>
      <c r="AJ85" s="232">
        <f>IF($B85="","",IF($D85="Theo ngày",SUMIFS('CHAM_CONG_NGAY'!$L$6:$L$4655,'CHAM_CONG_NGAY'!$B$6:$B$4655,$B85,'CHAM_CONG_NGAY'!$C$6:$C$4655,"&gt;="&amp;'THAM_SO'!$B$6,'CHAM_CONG_NGAY'!$C$6:$C$4655,"&lt;="&amp;'THAM_SO'!$B$7),$L85))</f>
        <v/>
      </c>
      <c r="AK85" s="232">
        <f>IF($B85="","",IF($D85="Theo ngày",SUMIFS('CHAM_CONG_NGAY'!$M$6:$M$4655,'CHAM_CONG_NGAY'!$B$6:$B$4655,$B85,'CHAM_CONG_NGAY'!$C$6:$C$4655,"&gt;="&amp;'THAM_SO'!$B$6,'CHAM_CONG_NGAY'!$C$6:$C$4655,"&lt;="&amp;'THAM_SO'!$B$7),$M85))</f>
        <v/>
      </c>
      <c r="AL85" s="227" t="n"/>
      <c r="AM85" s="227" t="n"/>
      <c r="AN85" s="227" t="n"/>
      <c r="AO85" s="227" t="n"/>
      <c r="AP85" s="227" t="n"/>
      <c r="AQ85" s="227" t="n"/>
      <c r="AR85" s="232">
        <f>IF($B85="","",IF($D85="Theo ngày",SUMIFS('CHAM_CONG_NGAY'!$O$6:$O$4655,'CHAM_CONG_NGAY'!$B$6:$B$4655,$B85,'CHAM_CONG_NGAY'!$C$6:$C$4655,"&gt;="&amp;'THAM_SO'!$B$6,'CHAM_CONG_NGAY'!$C$6:$C$4655,"&lt;="&amp;'THAM_SO'!$B$7),$AL85))</f>
        <v/>
      </c>
      <c r="AS85" s="232">
        <f>IF($B85="","",IF($D85="Theo ngày",SUMIFS('CHAM_CONG_NGAY'!$P$6:$P$4655,'CHAM_CONG_NGAY'!$B$6:$B$4655,$B85,'CHAM_CONG_NGAY'!$C$6:$C$4655,"&gt;="&amp;'THAM_SO'!$B$6,'CHAM_CONG_NGAY'!$C$6:$C$4655,"&lt;="&amp;'THAM_SO'!$B$7),$AM85))</f>
        <v/>
      </c>
      <c r="AT85" s="232">
        <f>IF($B85="","",IF($D85="Theo ngày",SUMIFS('CHAM_CONG_NGAY'!$Q$6:$Q$4655,'CHAM_CONG_NGAY'!$B$6:$B$4655,$B85,'CHAM_CONG_NGAY'!$C$6:$C$4655,"&gt;="&amp;'THAM_SO'!$B$6,'CHAM_CONG_NGAY'!$C$6:$C$4655,"&lt;="&amp;'THAM_SO'!$B$7),$AN85))</f>
        <v/>
      </c>
      <c r="AU85" s="232">
        <f>IF($B85="","",IF($D85="Theo ngày",SUMIFS('CHAM_CONG_NGAY'!$R$6:$R$4655,'CHAM_CONG_NGAY'!$B$6:$B$4655,$B85,'CHAM_CONG_NGAY'!$C$6:$C$4655,"&gt;="&amp;'THAM_SO'!$B$6,'CHAM_CONG_NGAY'!$C$6:$C$4655,"&lt;="&amp;'THAM_SO'!$B$7),$AO85))</f>
        <v/>
      </c>
      <c r="AV85" s="232">
        <f>IF($B85="","",IF($D85="Theo ngày",SUMIFS('CHAM_CONG_NGAY'!$S$6:$S$4655,'CHAM_CONG_NGAY'!$B$6:$B$4655,$B85,'CHAM_CONG_NGAY'!$C$6:$C$4655,"&gt;="&amp;'THAM_SO'!$B$6,'CHAM_CONG_NGAY'!$C$6:$C$4655,"&lt;="&amp;'THAM_SO'!$B$7),$AP85))</f>
        <v/>
      </c>
      <c r="AW85" s="232">
        <f>IF($B85="","",IF($D85="Theo ngày",SUMIFS('CHAM_CONG_NGAY'!$T$6:$T$4655,'CHAM_CONG_NGAY'!$B$6:$B$4655,$B85,'CHAM_CONG_NGAY'!$C$6:$C$4655,"&gt;="&amp;'THAM_SO'!$B$6,'CHAM_CONG_NGAY'!$C$6:$C$4655,"&lt;="&amp;'THAM_SO'!$B$7),$AQ85))</f>
        <v/>
      </c>
    </row>
    <row r="86">
      <c r="A86" s="145">
        <f>IF($B86="","",ROW()-5)</f>
        <v/>
      </c>
      <c r="B86" s="145">
        <f>IF('DM_NHAN_SU'!B86="","",'DM_NHAN_SU'!B86)</f>
        <v/>
      </c>
      <c r="C86" s="145">
        <f>IF('DM_NHAN_SU'!B86="","",'DM_NHAN_SU'!C86)</f>
        <v/>
      </c>
      <c r="D86" s="127" t="n"/>
      <c r="E86" s="227" t="n"/>
      <c r="F86" s="227" t="n"/>
      <c r="G86" s="227" t="n"/>
      <c r="H86" s="227" t="n"/>
      <c r="I86" s="227" t="n"/>
      <c r="J86" s="227" t="n"/>
      <c r="K86" s="227" t="n"/>
      <c r="L86" s="227" t="n"/>
      <c r="M86" s="227" t="n"/>
      <c r="N86" s="227" t="n"/>
      <c r="O86" s="222" t="n"/>
      <c r="P86" s="222" t="n"/>
      <c r="Q86" s="222" t="n"/>
      <c r="R86" s="222" t="n"/>
      <c r="S86" s="222" t="n"/>
      <c r="T86" s="222" t="n"/>
      <c r="U86" s="222" t="n"/>
      <c r="V86" s="222" t="n"/>
      <c r="W86" s="222" t="n"/>
      <c r="X86" s="222" t="n"/>
      <c r="Y86" s="222" t="n"/>
      <c r="Z86" s="222" t="n"/>
      <c r="AA86" s="127" t="n"/>
      <c r="AB86" s="127" t="n"/>
      <c r="AC86" s="232">
        <f>IF($B86="","",IF($D86="Theo ngày",SUMIFS('CHAM_CONG_NGAY'!$E$6:$E$4655,'CHAM_CONG_NGAY'!$B$6:$B$4655,$B86,'CHAM_CONG_NGAY'!$C$6:$C$4655,"&gt;="&amp;'THAM_SO'!$B$6,'CHAM_CONG_NGAY'!$C$6:$C$4655,"&lt;="&amp;'THAM_SO'!$B$7),$E86))</f>
        <v/>
      </c>
      <c r="AD86" s="232">
        <f>IF($B86="","",IF($D86="Theo ngày",SUMIFS('CHAM_CONG_NGAY'!$F$6:$F$4655,'CHAM_CONG_NGAY'!$B$6:$B$4655,$B86,'CHAM_CONG_NGAY'!$C$6:$C$4655,"&gt;="&amp;'THAM_SO'!$B$6,'CHAM_CONG_NGAY'!$C$6:$C$4655,"&lt;="&amp;'THAM_SO'!$B$7),$F86))</f>
        <v/>
      </c>
      <c r="AE86" s="232">
        <f>IF($B86="","",IF($D86="Theo ngày",SUMIFS('CHAM_CONG_NGAY'!$G$6:$G$4655,'CHAM_CONG_NGAY'!$B$6:$B$4655,$B86,'CHAM_CONG_NGAY'!$C$6:$C$4655,"&gt;="&amp;'THAM_SO'!$B$6,'CHAM_CONG_NGAY'!$C$6:$C$4655,"&lt;="&amp;'THAM_SO'!$B$7),$G86))</f>
        <v/>
      </c>
      <c r="AF86" s="232">
        <f>IF($B86="","",IF($D86="Theo ngày",SUMIFS('CHAM_CONG_NGAY'!$H$6:$H$4655,'CHAM_CONG_NGAY'!$B$6:$B$4655,$B86,'CHAM_CONG_NGAY'!$C$6:$C$4655,"&gt;="&amp;'THAM_SO'!$B$6,'CHAM_CONG_NGAY'!$C$6:$C$4655,"&lt;="&amp;'THAM_SO'!$B$7),$H86))</f>
        <v/>
      </c>
      <c r="AG86" s="232">
        <f>IF($B86="","",IF($D86="Theo ngày",SUMIFS('CHAM_CONG_NGAY'!$I$6:$I$4655,'CHAM_CONG_NGAY'!$B$6:$B$4655,$B86,'CHAM_CONG_NGAY'!$C$6:$C$4655,"&gt;="&amp;'THAM_SO'!$B$6,'CHAM_CONG_NGAY'!$C$6:$C$4655,"&lt;="&amp;'THAM_SO'!$B$7),$I86))</f>
        <v/>
      </c>
      <c r="AH86" s="232">
        <f>IF($B86="","",IF($D86="Theo ngày",SUMIFS('CHAM_CONG_NGAY'!$J$6:$J$4655,'CHAM_CONG_NGAY'!$B$6:$B$4655,$B86,'CHAM_CONG_NGAY'!$C$6:$C$4655,"&gt;="&amp;'THAM_SO'!$B$6,'CHAM_CONG_NGAY'!$C$6:$C$4655,"&lt;="&amp;'THAM_SO'!$B$7),$J86))</f>
        <v/>
      </c>
      <c r="AI86" s="232">
        <f>IF($B86="","",IF($D86="Theo ngày",SUMIFS('CHAM_CONG_NGAY'!$K$6:$K$4655,'CHAM_CONG_NGAY'!$B$6:$B$4655,$B86,'CHAM_CONG_NGAY'!$C$6:$C$4655,"&gt;="&amp;'THAM_SO'!$B$6,'CHAM_CONG_NGAY'!$C$6:$C$4655,"&lt;="&amp;'THAM_SO'!$B$7),$K86))</f>
        <v/>
      </c>
      <c r="AJ86" s="232">
        <f>IF($B86="","",IF($D86="Theo ngày",SUMIFS('CHAM_CONG_NGAY'!$L$6:$L$4655,'CHAM_CONG_NGAY'!$B$6:$B$4655,$B86,'CHAM_CONG_NGAY'!$C$6:$C$4655,"&gt;="&amp;'THAM_SO'!$B$6,'CHAM_CONG_NGAY'!$C$6:$C$4655,"&lt;="&amp;'THAM_SO'!$B$7),$L86))</f>
        <v/>
      </c>
      <c r="AK86" s="232">
        <f>IF($B86="","",IF($D86="Theo ngày",SUMIFS('CHAM_CONG_NGAY'!$M$6:$M$4655,'CHAM_CONG_NGAY'!$B$6:$B$4655,$B86,'CHAM_CONG_NGAY'!$C$6:$C$4655,"&gt;="&amp;'THAM_SO'!$B$6,'CHAM_CONG_NGAY'!$C$6:$C$4655,"&lt;="&amp;'THAM_SO'!$B$7),$M86))</f>
        <v/>
      </c>
      <c r="AL86" s="227" t="n"/>
      <c r="AM86" s="227" t="n"/>
      <c r="AN86" s="227" t="n"/>
      <c r="AO86" s="227" t="n"/>
      <c r="AP86" s="227" t="n"/>
      <c r="AQ86" s="227" t="n"/>
      <c r="AR86" s="232">
        <f>IF($B86="","",IF($D86="Theo ngày",SUMIFS('CHAM_CONG_NGAY'!$O$6:$O$4655,'CHAM_CONG_NGAY'!$B$6:$B$4655,$B86,'CHAM_CONG_NGAY'!$C$6:$C$4655,"&gt;="&amp;'THAM_SO'!$B$6,'CHAM_CONG_NGAY'!$C$6:$C$4655,"&lt;="&amp;'THAM_SO'!$B$7),$AL86))</f>
        <v/>
      </c>
      <c r="AS86" s="232">
        <f>IF($B86="","",IF($D86="Theo ngày",SUMIFS('CHAM_CONG_NGAY'!$P$6:$P$4655,'CHAM_CONG_NGAY'!$B$6:$B$4655,$B86,'CHAM_CONG_NGAY'!$C$6:$C$4655,"&gt;="&amp;'THAM_SO'!$B$6,'CHAM_CONG_NGAY'!$C$6:$C$4655,"&lt;="&amp;'THAM_SO'!$B$7),$AM86))</f>
        <v/>
      </c>
      <c r="AT86" s="232">
        <f>IF($B86="","",IF($D86="Theo ngày",SUMIFS('CHAM_CONG_NGAY'!$Q$6:$Q$4655,'CHAM_CONG_NGAY'!$B$6:$B$4655,$B86,'CHAM_CONG_NGAY'!$C$6:$C$4655,"&gt;="&amp;'THAM_SO'!$B$6,'CHAM_CONG_NGAY'!$C$6:$C$4655,"&lt;="&amp;'THAM_SO'!$B$7),$AN86))</f>
        <v/>
      </c>
      <c r="AU86" s="232">
        <f>IF($B86="","",IF($D86="Theo ngày",SUMIFS('CHAM_CONG_NGAY'!$R$6:$R$4655,'CHAM_CONG_NGAY'!$B$6:$B$4655,$B86,'CHAM_CONG_NGAY'!$C$6:$C$4655,"&gt;="&amp;'THAM_SO'!$B$6,'CHAM_CONG_NGAY'!$C$6:$C$4655,"&lt;="&amp;'THAM_SO'!$B$7),$AO86))</f>
        <v/>
      </c>
      <c r="AV86" s="232">
        <f>IF($B86="","",IF($D86="Theo ngày",SUMIFS('CHAM_CONG_NGAY'!$S$6:$S$4655,'CHAM_CONG_NGAY'!$B$6:$B$4655,$B86,'CHAM_CONG_NGAY'!$C$6:$C$4655,"&gt;="&amp;'THAM_SO'!$B$6,'CHAM_CONG_NGAY'!$C$6:$C$4655,"&lt;="&amp;'THAM_SO'!$B$7),$AP86))</f>
        <v/>
      </c>
      <c r="AW86" s="232">
        <f>IF($B86="","",IF($D86="Theo ngày",SUMIFS('CHAM_CONG_NGAY'!$T$6:$T$4655,'CHAM_CONG_NGAY'!$B$6:$B$4655,$B86,'CHAM_CONG_NGAY'!$C$6:$C$4655,"&gt;="&amp;'THAM_SO'!$B$6,'CHAM_CONG_NGAY'!$C$6:$C$4655,"&lt;="&amp;'THAM_SO'!$B$7),$AQ86))</f>
        <v/>
      </c>
    </row>
    <row r="87">
      <c r="A87" s="145">
        <f>IF($B87="","",ROW()-5)</f>
        <v/>
      </c>
      <c r="B87" s="145">
        <f>IF('DM_NHAN_SU'!B87="","",'DM_NHAN_SU'!B87)</f>
        <v/>
      </c>
      <c r="C87" s="145">
        <f>IF('DM_NHAN_SU'!B87="","",'DM_NHAN_SU'!C87)</f>
        <v/>
      </c>
      <c r="D87" s="127" t="n"/>
      <c r="E87" s="227" t="n"/>
      <c r="F87" s="227" t="n"/>
      <c r="G87" s="227" t="n"/>
      <c r="H87" s="227" t="n"/>
      <c r="I87" s="227" t="n"/>
      <c r="J87" s="227" t="n"/>
      <c r="K87" s="227" t="n"/>
      <c r="L87" s="227" t="n"/>
      <c r="M87" s="227" t="n"/>
      <c r="N87" s="227" t="n"/>
      <c r="O87" s="222" t="n"/>
      <c r="P87" s="222" t="n"/>
      <c r="Q87" s="222" t="n"/>
      <c r="R87" s="222" t="n"/>
      <c r="S87" s="222" t="n"/>
      <c r="T87" s="222" t="n"/>
      <c r="U87" s="222" t="n"/>
      <c r="V87" s="222" t="n"/>
      <c r="W87" s="222" t="n"/>
      <c r="X87" s="222" t="n"/>
      <c r="Y87" s="222" t="n"/>
      <c r="Z87" s="222" t="n"/>
      <c r="AA87" s="127" t="n"/>
      <c r="AB87" s="127" t="n"/>
      <c r="AC87" s="232">
        <f>IF($B87="","",IF($D87="Theo ngày",SUMIFS('CHAM_CONG_NGAY'!$E$6:$E$4655,'CHAM_CONG_NGAY'!$B$6:$B$4655,$B87,'CHAM_CONG_NGAY'!$C$6:$C$4655,"&gt;="&amp;'THAM_SO'!$B$6,'CHAM_CONG_NGAY'!$C$6:$C$4655,"&lt;="&amp;'THAM_SO'!$B$7),$E87))</f>
        <v/>
      </c>
      <c r="AD87" s="232">
        <f>IF($B87="","",IF($D87="Theo ngày",SUMIFS('CHAM_CONG_NGAY'!$F$6:$F$4655,'CHAM_CONG_NGAY'!$B$6:$B$4655,$B87,'CHAM_CONG_NGAY'!$C$6:$C$4655,"&gt;="&amp;'THAM_SO'!$B$6,'CHAM_CONG_NGAY'!$C$6:$C$4655,"&lt;="&amp;'THAM_SO'!$B$7),$F87))</f>
        <v/>
      </c>
      <c r="AE87" s="232">
        <f>IF($B87="","",IF($D87="Theo ngày",SUMIFS('CHAM_CONG_NGAY'!$G$6:$G$4655,'CHAM_CONG_NGAY'!$B$6:$B$4655,$B87,'CHAM_CONG_NGAY'!$C$6:$C$4655,"&gt;="&amp;'THAM_SO'!$B$6,'CHAM_CONG_NGAY'!$C$6:$C$4655,"&lt;="&amp;'THAM_SO'!$B$7),$G87))</f>
        <v/>
      </c>
      <c r="AF87" s="232">
        <f>IF($B87="","",IF($D87="Theo ngày",SUMIFS('CHAM_CONG_NGAY'!$H$6:$H$4655,'CHAM_CONG_NGAY'!$B$6:$B$4655,$B87,'CHAM_CONG_NGAY'!$C$6:$C$4655,"&gt;="&amp;'THAM_SO'!$B$6,'CHAM_CONG_NGAY'!$C$6:$C$4655,"&lt;="&amp;'THAM_SO'!$B$7),$H87))</f>
        <v/>
      </c>
      <c r="AG87" s="232">
        <f>IF($B87="","",IF($D87="Theo ngày",SUMIFS('CHAM_CONG_NGAY'!$I$6:$I$4655,'CHAM_CONG_NGAY'!$B$6:$B$4655,$B87,'CHAM_CONG_NGAY'!$C$6:$C$4655,"&gt;="&amp;'THAM_SO'!$B$6,'CHAM_CONG_NGAY'!$C$6:$C$4655,"&lt;="&amp;'THAM_SO'!$B$7),$I87))</f>
        <v/>
      </c>
      <c r="AH87" s="232">
        <f>IF($B87="","",IF($D87="Theo ngày",SUMIFS('CHAM_CONG_NGAY'!$J$6:$J$4655,'CHAM_CONG_NGAY'!$B$6:$B$4655,$B87,'CHAM_CONG_NGAY'!$C$6:$C$4655,"&gt;="&amp;'THAM_SO'!$B$6,'CHAM_CONG_NGAY'!$C$6:$C$4655,"&lt;="&amp;'THAM_SO'!$B$7),$J87))</f>
        <v/>
      </c>
      <c r="AI87" s="232">
        <f>IF($B87="","",IF($D87="Theo ngày",SUMIFS('CHAM_CONG_NGAY'!$K$6:$K$4655,'CHAM_CONG_NGAY'!$B$6:$B$4655,$B87,'CHAM_CONG_NGAY'!$C$6:$C$4655,"&gt;="&amp;'THAM_SO'!$B$6,'CHAM_CONG_NGAY'!$C$6:$C$4655,"&lt;="&amp;'THAM_SO'!$B$7),$K87))</f>
        <v/>
      </c>
      <c r="AJ87" s="232">
        <f>IF($B87="","",IF($D87="Theo ngày",SUMIFS('CHAM_CONG_NGAY'!$L$6:$L$4655,'CHAM_CONG_NGAY'!$B$6:$B$4655,$B87,'CHAM_CONG_NGAY'!$C$6:$C$4655,"&gt;="&amp;'THAM_SO'!$B$6,'CHAM_CONG_NGAY'!$C$6:$C$4655,"&lt;="&amp;'THAM_SO'!$B$7),$L87))</f>
        <v/>
      </c>
      <c r="AK87" s="232">
        <f>IF($B87="","",IF($D87="Theo ngày",SUMIFS('CHAM_CONG_NGAY'!$M$6:$M$4655,'CHAM_CONG_NGAY'!$B$6:$B$4655,$B87,'CHAM_CONG_NGAY'!$C$6:$C$4655,"&gt;="&amp;'THAM_SO'!$B$6,'CHAM_CONG_NGAY'!$C$6:$C$4655,"&lt;="&amp;'THAM_SO'!$B$7),$M87))</f>
        <v/>
      </c>
      <c r="AL87" s="227" t="n"/>
      <c r="AM87" s="227" t="n"/>
      <c r="AN87" s="227" t="n"/>
      <c r="AO87" s="227" t="n"/>
      <c r="AP87" s="227" t="n"/>
      <c r="AQ87" s="227" t="n"/>
      <c r="AR87" s="232">
        <f>IF($B87="","",IF($D87="Theo ngày",SUMIFS('CHAM_CONG_NGAY'!$O$6:$O$4655,'CHAM_CONG_NGAY'!$B$6:$B$4655,$B87,'CHAM_CONG_NGAY'!$C$6:$C$4655,"&gt;="&amp;'THAM_SO'!$B$6,'CHAM_CONG_NGAY'!$C$6:$C$4655,"&lt;="&amp;'THAM_SO'!$B$7),$AL87))</f>
        <v/>
      </c>
      <c r="AS87" s="232">
        <f>IF($B87="","",IF($D87="Theo ngày",SUMIFS('CHAM_CONG_NGAY'!$P$6:$P$4655,'CHAM_CONG_NGAY'!$B$6:$B$4655,$B87,'CHAM_CONG_NGAY'!$C$6:$C$4655,"&gt;="&amp;'THAM_SO'!$B$6,'CHAM_CONG_NGAY'!$C$6:$C$4655,"&lt;="&amp;'THAM_SO'!$B$7),$AM87))</f>
        <v/>
      </c>
      <c r="AT87" s="232">
        <f>IF($B87="","",IF($D87="Theo ngày",SUMIFS('CHAM_CONG_NGAY'!$Q$6:$Q$4655,'CHAM_CONG_NGAY'!$B$6:$B$4655,$B87,'CHAM_CONG_NGAY'!$C$6:$C$4655,"&gt;="&amp;'THAM_SO'!$B$6,'CHAM_CONG_NGAY'!$C$6:$C$4655,"&lt;="&amp;'THAM_SO'!$B$7),$AN87))</f>
        <v/>
      </c>
      <c r="AU87" s="232">
        <f>IF($B87="","",IF($D87="Theo ngày",SUMIFS('CHAM_CONG_NGAY'!$R$6:$R$4655,'CHAM_CONG_NGAY'!$B$6:$B$4655,$B87,'CHAM_CONG_NGAY'!$C$6:$C$4655,"&gt;="&amp;'THAM_SO'!$B$6,'CHAM_CONG_NGAY'!$C$6:$C$4655,"&lt;="&amp;'THAM_SO'!$B$7),$AO87))</f>
        <v/>
      </c>
      <c r="AV87" s="232">
        <f>IF($B87="","",IF($D87="Theo ngày",SUMIFS('CHAM_CONG_NGAY'!$S$6:$S$4655,'CHAM_CONG_NGAY'!$B$6:$B$4655,$B87,'CHAM_CONG_NGAY'!$C$6:$C$4655,"&gt;="&amp;'THAM_SO'!$B$6,'CHAM_CONG_NGAY'!$C$6:$C$4655,"&lt;="&amp;'THAM_SO'!$B$7),$AP87))</f>
        <v/>
      </c>
      <c r="AW87" s="232">
        <f>IF($B87="","",IF($D87="Theo ngày",SUMIFS('CHAM_CONG_NGAY'!$T$6:$T$4655,'CHAM_CONG_NGAY'!$B$6:$B$4655,$B87,'CHAM_CONG_NGAY'!$C$6:$C$4655,"&gt;="&amp;'THAM_SO'!$B$6,'CHAM_CONG_NGAY'!$C$6:$C$4655,"&lt;="&amp;'THAM_SO'!$B$7),$AQ87))</f>
        <v/>
      </c>
    </row>
    <row r="88">
      <c r="A88" s="145">
        <f>IF($B88="","",ROW()-5)</f>
        <v/>
      </c>
      <c r="B88" s="145">
        <f>IF('DM_NHAN_SU'!B88="","",'DM_NHAN_SU'!B88)</f>
        <v/>
      </c>
      <c r="C88" s="145">
        <f>IF('DM_NHAN_SU'!B88="","",'DM_NHAN_SU'!C88)</f>
        <v/>
      </c>
      <c r="D88" s="127" t="n"/>
      <c r="E88" s="227" t="n"/>
      <c r="F88" s="227" t="n"/>
      <c r="G88" s="227" t="n"/>
      <c r="H88" s="227" t="n"/>
      <c r="I88" s="227" t="n"/>
      <c r="J88" s="227" t="n"/>
      <c r="K88" s="227" t="n"/>
      <c r="L88" s="227" t="n"/>
      <c r="M88" s="227" t="n"/>
      <c r="N88" s="227" t="n"/>
      <c r="O88" s="222" t="n"/>
      <c r="P88" s="222" t="n"/>
      <c r="Q88" s="222" t="n"/>
      <c r="R88" s="222" t="n"/>
      <c r="S88" s="222" t="n"/>
      <c r="T88" s="222" t="n"/>
      <c r="U88" s="222" t="n"/>
      <c r="V88" s="222" t="n"/>
      <c r="W88" s="222" t="n"/>
      <c r="X88" s="222" t="n"/>
      <c r="Y88" s="222" t="n"/>
      <c r="Z88" s="222" t="n"/>
      <c r="AA88" s="127" t="n"/>
      <c r="AB88" s="127" t="n"/>
      <c r="AC88" s="232">
        <f>IF($B88="","",IF($D88="Theo ngày",SUMIFS('CHAM_CONG_NGAY'!$E$6:$E$4655,'CHAM_CONG_NGAY'!$B$6:$B$4655,$B88,'CHAM_CONG_NGAY'!$C$6:$C$4655,"&gt;="&amp;'THAM_SO'!$B$6,'CHAM_CONG_NGAY'!$C$6:$C$4655,"&lt;="&amp;'THAM_SO'!$B$7),$E88))</f>
        <v/>
      </c>
      <c r="AD88" s="232">
        <f>IF($B88="","",IF($D88="Theo ngày",SUMIFS('CHAM_CONG_NGAY'!$F$6:$F$4655,'CHAM_CONG_NGAY'!$B$6:$B$4655,$B88,'CHAM_CONG_NGAY'!$C$6:$C$4655,"&gt;="&amp;'THAM_SO'!$B$6,'CHAM_CONG_NGAY'!$C$6:$C$4655,"&lt;="&amp;'THAM_SO'!$B$7),$F88))</f>
        <v/>
      </c>
      <c r="AE88" s="232">
        <f>IF($B88="","",IF($D88="Theo ngày",SUMIFS('CHAM_CONG_NGAY'!$G$6:$G$4655,'CHAM_CONG_NGAY'!$B$6:$B$4655,$B88,'CHAM_CONG_NGAY'!$C$6:$C$4655,"&gt;="&amp;'THAM_SO'!$B$6,'CHAM_CONG_NGAY'!$C$6:$C$4655,"&lt;="&amp;'THAM_SO'!$B$7),$G88))</f>
        <v/>
      </c>
      <c r="AF88" s="232">
        <f>IF($B88="","",IF($D88="Theo ngày",SUMIFS('CHAM_CONG_NGAY'!$H$6:$H$4655,'CHAM_CONG_NGAY'!$B$6:$B$4655,$B88,'CHAM_CONG_NGAY'!$C$6:$C$4655,"&gt;="&amp;'THAM_SO'!$B$6,'CHAM_CONG_NGAY'!$C$6:$C$4655,"&lt;="&amp;'THAM_SO'!$B$7),$H88))</f>
        <v/>
      </c>
      <c r="AG88" s="232">
        <f>IF($B88="","",IF($D88="Theo ngày",SUMIFS('CHAM_CONG_NGAY'!$I$6:$I$4655,'CHAM_CONG_NGAY'!$B$6:$B$4655,$B88,'CHAM_CONG_NGAY'!$C$6:$C$4655,"&gt;="&amp;'THAM_SO'!$B$6,'CHAM_CONG_NGAY'!$C$6:$C$4655,"&lt;="&amp;'THAM_SO'!$B$7),$I88))</f>
        <v/>
      </c>
      <c r="AH88" s="232">
        <f>IF($B88="","",IF($D88="Theo ngày",SUMIFS('CHAM_CONG_NGAY'!$J$6:$J$4655,'CHAM_CONG_NGAY'!$B$6:$B$4655,$B88,'CHAM_CONG_NGAY'!$C$6:$C$4655,"&gt;="&amp;'THAM_SO'!$B$6,'CHAM_CONG_NGAY'!$C$6:$C$4655,"&lt;="&amp;'THAM_SO'!$B$7),$J88))</f>
        <v/>
      </c>
      <c r="AI88" s="232">
        <f>IF($B88="","",IF($D88="Theo ngày",SUMIFS('CHAM_CONG_NGAY'!$K$6:$K$4655,'CHAM_CONG_NGAY'!$B$6:$B$4655,$B88,'CHAM_CONG_NGAY'!$C$6:$C$4655,"&gt;="&amp;'THAM_SO'!$B$6,'CHAM_CONG_NGAY'!$C$6:$C$4655,"&lt;="&amp;'THAM_SO'!$B$7),$K88))</f>
        <v/>
      </c>
      <c r="AJ88" s="232">
        <f>IF($B88="","",IF($D88="Theo ngày",SUMIFS('CHAM_CONG_NGAY'!$L$6:$L$4655,'CHAM_CONG_NGAY'!$B$6:$B$4655,$B88,'CHAM_CONG_NGAY'!$C$6:$C$4655,"&gt;="&amp;'THAM_SO'!$B$6,'CHAM_CONG_NGAY'!$C$6:$C$4655,"&lt;="&amp;'THAM_SO'!$B$7),$L88))</f>
        <v/>
      </c>
      <c r="AK88" s="232">
        <f>IF($B88="","",IF($D88="Theo ngày",SUMIFS('CHAM_CONG_NGAY'!$M$6:$M$4655,'CHAM_CONG_NGAY'!$B$6:$B$4655,$B88,'CHAM_CONG_NGAY'!$C$6:$C$4655,"&gt;="&amp;'THAM_SO'!$B$6,'CHAM_CONG_NGAY'!$C$6:$C$4655,"&lt;="&amp;'THAM_SO'!$B$7),$M88))</f>
        <v/>
      </c>
      <c r="AL88" s="227" t="n"/>
      <c r="AM88" s="227" t="n"/>
      <c r="AN88" s="227" t="n"/>
      <c r="AO88" s="227" t="n"/>
      <c r="AP88" s="227" t="n"/>
      <c r="AQ88" s="227" t="n"/>
      <c r="AR88" s="232">
        <f>IF($B88="","",IF($D88="Theo ngày",SUMIFS('CHAM_CONG_NGAY'!$O$6:$O$4655,'CHAM_CONG_NGAY'!$B$6:$B$4655,$B88,'CHAM_CONG_NGAY'!$C$6:$C$4655,"&gt;="&amp;'THAM_SO'!$B$6,'CHAM_CONG_NGAY'!$C$6:$C$4655,"&lt;="&amp;'THAM_SO'!$B$7),$AL88))</f>
        <v/>
      </c>
      <c r="AS88" s="232">
        <f>IF($B88="","",IF($D88="Theo ngày",SUMIFS('CHAM_CONG_NGAY'!$P$6:$P$4655,'CHAM_CONG_NGAY'!$B$6:$B$4655,$B88,'CHAM_CONG_NGAY'!$C$6:$C$4655,"&gt;="&amp;'THAM_SO'!$B$6,'CHAM_CONG_NGAY'!$C$6:$C$4655,"&lt;="&amp;'THAM_SO'!$B$7),$AM88))</f>
        <v/>
      </c>
      <c r="AT88" s="232">
        <f>IF($B88="","",IF($D88="Theo ngày",SUMIFS('CHAM_CONG_NGAY'!$Q$6:$Q$4655,'CHAM_CONG_NGAY'!$B$6:$B$4655,$B88,'CHAM_CONG_NGAY'!$C$6:$C$4655,"&gt;="&amp;'THAM_SO'!$B$6,'CHAM_CONG_NGAY'!$C$6:$C$4655,"&lt;="&amp;'THAM_SO'!$B$7),$AN88))</f>
        <v/>
      </c>
      <c r="AU88" s="232">
        <f>IF($B88="","",IF($D88="Theo ngày",SUMIFS('CHAM_CONG_NGAY'!$R$6:$R$4655,'CHAM_CONG_NGAY'!$B$6:$B$4655,$B88,'CHAM_CONG_NGAY'!$C$6:$C$4655,"&gt;="&amp;'THAM_SO'!$B$6,'CHAM_CONG_NGAY'!$C$6:$C$4655,"&lt;="&amp;'THAM_SO'!$B$7),$AO88))</f>
        <v/>
      </c>
      <c r="AV88" s="232">
        <f>IF($B88="","",IF($D88="Theo ngày",SUMIFS('CHAM_CONG_NGAY'!$S$6:$S$4655,'CHAM_CONG_NGAY'!$B$6:$B$4655,$B88,'CHAM_CONG_NGAY'!$C$6:$C$4655,"&gt;="&amp;'THAM_SO'!$B$6,'CHAM_CONG_NGAY'!$C$6:$C$4655,"&lt;="&amp;'THAM_SO'!$B$7),$AP88))</f>
        <v/>
      </c>
      <c r="AW88" s="232">
        <f>IF($B88="","",IF($D88="Theo ngày",SUMIFS('CHAM_CONG_NGAY'!$T$6:$T$4655,'CHAM_CONG_NGAY'!$B$6:$B$4655,$B88,'CHAM_CONG_NGAY'!$C$6:$C$4655,"&gt;="&amp;'THAM_SO'!$B$6,'CHAM_CONG_NGAY'!$C$6:$C$4655,"&lt;="&amp;'THAM_SO'!$B$7),$AQ88))</f>
        <v/>
      </c>
    </row>
    <row r="89">
      <c r="A89" s="145">
        <f>IF($B89="","",ROW()-5)</f>
        <v/>
      </c>
      <c r="B89" s="145">
        <f>IF('DM_NHAN_SU'!B89="","",'DM_NHAN_SU'!B89)</f>
        <v/>
      </c>
      <c r="C89" s="145">
        <f>IF('DM_NHAN_SU'!B89="","",'DM_NHAN_SU'!C89)</f>
        <v/>
      </c>
      <c r="D89" s="127" t="n"/>
      <c r="E89" s="227" t="n"/>
      <c r="F89" s="227" t="n"/>
      <c r="G89" s="227" t="n"/>
      <c r="H89" s="227" t="n"/>
      <c r="I89" s="227" t="n"/>
      <c r="J89" s="227" t="n"/>
      <c r="K89" s="227" t="n"/>
      <c r="L89" s="227" t="n"/>
      <c r="M89" s="227" t="n"/>
      <c r="N89" s="227" t="n"/>
      <c r="O89" s="222" t="n"/>
      <c r="P89" s="222" t="n"/>
      <c r="Q89" s="222" t="n"/>
      <c r="R89" s="222" t="n"/>
      <c r="S89" s="222" t="n"/>
      <c r="T89" s="222" t="n"/>
      <c r="U89" s="222" t="n"/>
      <c r="V89" s="222" t="n"/>
      <c r="W89" s="222" t="n"/>
      <c r="X89" s="222" t="n"/>
      <c r="Y89" s="222" t="n"/>
      <c r="Z89" s="222" t="n"/>
      <c r="AA89" s="127" t="n"/>
      <c r="AB89" s="127" t="n"/>
      <c r="AC89" s="232">
        <f>IF($B89="","",IF($D89="Theo ngày",SUMIFS('CHAM_CONG_NGAY'!$E$6:$E$4655,'CHAM_CONG_NGAY'!$B$6:$B$4655,$B89,'CHAM_CONG_NGAY'!$C$6:$C$4655,"&gt;="&amp;'THAM_SO'!$B$6,'CHAM_CONG_NGAY'!$C$6:$C$4655,"&lt;="&amp;'THAM_SO'!$B$7),$E89))</f>
        <v/>
      </c>
      <c r="AD89" s="232">
        <f>IF($B89="","",IF($D89="Theo ngày",SUMIFS('CHAM_CONG_NGAY'!$F$6:$F$4655,'CHAM_CONG_NGAY'!$B$6:$B$4655,$B89,'CHAM_CONG_NGAY'!$C$6:$C$4655,"&gt;="&amp;'THAM_SO'!$B$6,'CHAM_CONG_NGAY'!$C$6:$C$4655,"&lt;="&amp;'THAM_SO'!$B$7),$F89))</f>
        <v/>
      </c>
      <c r="AE89" s="232">
        <f>IF($B89="","",IF($D89="Theo ngày",SUMIFS('CHAM_CONG_NGAY'!$G$6:$G$4655,'CHAM_CONG_NGAY'!$B$6:$B$4655,$B89,'CHAM_CONG_NGAY'!$C$6:$C$4655,"&gt;="&amp;'THAM_SO'!$B$6,'CHAM_CONG_NGAY'!$C$6:$C$4655,"&lt;="&amp;'THAM_SO'!$B$7),$G89))</f>
        <v/>
      </c>
      <c r="AF89" s="232">
        <f>IF($B89="","",IF($D89="Theo ngày",SUMIFS('CHAM_CONG_NGAY'!$H$6:$H$4655,'CHAM_CONG_NGAY'!$B$6:$B$4655,$B89,'CHAM_CONG_NGAY'!$C$6:$C$4655,"&gt;="&amp;'THAM_SO'!$B$6,'CHAM_CONG_NGAY'!$C$6:$C$4655,"&lt;="&amp;'THAM_SO'!$B$7),$H89))</f>
        <v/>
      </c>
      <c r="AG89" s="232">
        <f>IF($B89="","",IF($D89="Theo ngày",SUMIFS('CHAM_CONG_NGAY'!$I$6:$I$4655,'CHAM_CONG_NGAY'!$B$6:$B$4655,$B89,'CHAM_CONG_NGAY'!$C$6:$C$4655,"&gt;="&amp;'THAM_SO'!$B$6,'CHAM_CONG_NGAY'!$C$6:$C$4655,"&lt;="&amp;'THAM_SO'!$B$7),$I89))</f>
        <v/>
      </c>
      <c r="AH89" s="232">
        <f>IF($B89="","",IF($D89="Theo ngày",SUMIFS('CHAM_CONG_NGAY'!$J$6:$J$4655,'CHAM_CONG_NGAY'!$B$6:$B$4655,$B89,'CHAM_CONG_NGAY'!$C$6:$C$4655,"&gt;="&amp;'THAM_SO'!$B$6,'CHAM_CONG_NGAY'!$C$6:$C$4655,"&lt;="&amp;'THAM_SO'!$B$7),$J89))</f>
        <v/>
      </c>
      <c r="AI89" s="232">
        <f>IF($B89="","",IF($D89="Theo ngày",SUMIFS('CHAM_CONG_NGAY'!$K$6:$K$4655,'CHAM_CONG_NGAY'!$B$6:$B$4655,$B89,'CHAM_CONG_NGAY'!$C$6:$C$4655,"&gt;="&amp;'THAM_SO'!$B$6,'CHAM_CONG_NGAY'!$C$6:$C$4655,"&lt;="&amp;'THAM_SO'!$B$7),$K89))</f>
        <v/>
      </c>
      <c r="AJ89" s="232">
        <f>IF($B89="","",IF($D89="Theo ngày",SUMIFS('CHAM_CONG_NGAY'!$L$6:$L$4655,'CHAM_CONG_NGAY'!$B$6:$B$4655,$B89,'CHAM_CONG_NGAY'!$C$6:$C$4655,"&gt;="&amp;'THAM_SO'!$B$6,'CHAM_CONG_NGAY'!$C$6:$C$4655,"&lt;="&amp;'THAM_SO'!$B$7),$L89))</f>
        <v/>
      </c>
      <c r="AK89" s="232">
        <f>IF($B89="","",IF($D89="Theo ngày",SUMIFS('CHAM_CONG_NGAY'!$M$6:$M$4655,'CHAM_CONG_NGAY'!$B$6:$B$4655,$B89,'CHAM_CONG_NGAY'!$C$6:$C$4655,"&gt;="&amp;'THAM_SO'!$B$6,'CHAM_CONG_NGAY'!$C$6:$C$4655,"&lt;="&amp;'THAM_SO'!$B$7),$M89))</f>
        <v/>
      </c>
      <c r="AL89" s="227" t="n"/>
      <c r="AM89" s="227" t="n"/>
      <c r="AN89" s="227" t="n"/>
      <c r="AO89" s="227" t="n"/>
      <c r="AP89" s="227" t="n"/>
      <c r="AQ89" s="227" t="n"/>
      <c r="AR89" s="232">
        <f>IF($B89="","",IF($D89="Theo ngày",SUMIFS('CHAM_CONG_NGAY'!$O$6:$O$4655,'CHAM_CONG_NGAY'!$B$6:$B$4655,$B89,'CHAM_CONG_NGAY'!$C$6:$C$4655,"&gt;="&amp;'THAM_SO'!$B$6,'CHAM_CONG_NGAY'!$C$6:$C$4655,"&lt;="&amp;'THAM_SO'!$B$7),$AL89))</f>
        <v/>
      </c>
      <c r="AS89" s="232">
        <f>IF($B89="","",IF($D89="Theo ngày",SUMIFS('CHAM_CONG_NGAY'!$P$6:$P$4655,'CHAM_CONG_NGAY'!$B$6:$B$4655,$B89,'CHAM_CONG_NGAY'!$C$6:$C$4655,"&gt;="&amp;'THAM_SO'!$B$6,'CHAM_CONG_NGAY'!$C$6:$C$4655,"&lt;="&amp;'THAM_SO'!$B$7),$AM89))</f>
        <v/>
      </c>
      <c r="AT89" s="232">
        <f>IF($B89="","",IF($D89="Theo ngày",SUMIFS('CHAM_CONG_NGAY'!$Q$6:$Q$4655,'CHAM_CONG_NGAY'!$B$6:$B$4655,$B89,'CHAM_CONG_NGAY'!$C$6:$C$4655,"&gt;="&amp;'THAM_SO'!$B$6,'CHAM_CONG_NGAY'!$C$6:$C$4655,"&lt;="&amp;'THAM_SO'!$B$7),$AN89))</f>
        <v/>
      </c>
      <c r="AU89" s="232">
        <f>IF($B89="","",IF($D89="Theo ngày",SUMIFS('CHAM_CONG_NGAY'!$R$6:$R$4655,'CHAM_CONG_NGAY'!$B$6:$B$4655,$B89,'CHAM_CONG_NGAY'!$C$6:$C$4655,"&gt;="&amp;'THAM_SO'!$B$6,'CHAM_CONG_NGAY'!$C$6:$C$4655,"&lt;="&amp;'THAM_SO'!$B$7),$AO89))</f>
        <v/>
      </c>
      <c r="AV89" s="232">
        <f>IF($B89="","",IF($D89="Theo ngày",SUMIFS('CHAM_CONG_NGAY'!$S$6:$S$4655,'CHAM_CONG_NGAY'!$B$6:$B$4655,$B89,'CHAM_CONG_NGAY'!$C$6:$C$4655,"&gt;="&amp;'THAM_SO'!$B$6,'CHAM_CONG_NGAY'!$C$6:$C$4655,"&lt;="&amp;'THAM_SO'!$B$7),$AP89))</f>
        <v/>
      </c>
      <c r="AW89" s="232">
        <f>IF($B89="","",IF($D89="Theo ngày",SUMIFS('CHAM_CONG_NGAY'!$T$6:$T$4655,'CHAM_CONG_NGAY'!$B$6:$B$4655,$B89,'CHAM_CONG_NGAY'!$C$6:$C$4655,"&gt;="&amp;'THAM_SO'!$B$6,'CHAM_CONG_NGAY'!$C$6:$C$4655,"&lt;="&amp;'THAM_SO'!$B$7),$AQ89))</f>
        <v/>
      </c>
    </row>
    <row r="90">
      <c r="A90" s="145">
        <f>IF($B90="","",ROW()-5)</f>
        <v/>
      </c>
      <c r="B90" s="145">
        <f>IF('DM_NHAN_SU'!B90="","",'DM_NHAN_SU'!B90)</f>
        <v/>
      </c>
      <c r="C90" s="145">
        <f>IF('DM_NHAN_SU'!B90="","",'DM_NHAN_SU'!C90)</f>
        <v/>
      </c>
      <c r="D90" s="127" t="n"/>
      <c r="E90" s="227" t="n"/>
      <c r="F90" s="227" t="n"/>
      <c r="G90" s="227" t="n"/>
      <c r="H90" s="227" t="n"/>
      <c r="I90" s="227" t="n"/>
      <c r="J90" s="227" t="n"/>
      <c r="K90" s="227" t="n"/>
      <c r="L90" s="227" t="n"/>
      <c r="M90" s="227" t="n"/>
      <c r="N90" s="227" t="n"/>
      <c r="O90" s="222" t="n"/>
      <c r="P90" s="222" t="n"/>
      <c r="Q90" s="222" t="n"/>
      <c r="R90" s="222" t="n"/>
      <c r="S90" s="222" t="n"/>
      <c r="T90" s="222" t="n"/>
      <c r="U90" s="222" t="n"/>
      <c r="V90" s="222" t="n"/>
      <c r="W90" s="222" t="n"/>
      <c r="X90" s="222" t="n"/>
      <c r="Y90" s="222" t="n"/>
      <c r="Z90" s="222" t="n"/>
      <c r="AA90" s="127" t="n"/>
      <c r="AB90" s="127" t="n"/>
      <c r="AC90" s="232">
        <f>IF($B90="","",IF($D90="Theo ngày",SUMIFS('CHAM_CONG_NGAY'!$E$6:$E$4655,'CHAM_CONG_NGAY'!$B$6:$B$4655,$B90,'CHAM_CONG_NGAY'!$C$6:$C$4655,"&gt;="&amp;'THAM_SO'!$B$6,'CHAM_CONG_NGAY'!$C$6:$C$4655,"&lt;="&amp;'THAM_SO'!$B$7),$E90))</f>
        <v/>
      </c>
      <c r="AD90" s="232">
        <f>IF($B90="","",IF($D90="Theo ngày",SUMIFS('CHAM_CONG_NGAY'!$F$6:$F$4655,'CHAM_CONG_NGAY'!$B$6:$B$4655,$B90,'CHAM_CONG_NGAY'!$C$6:$C$4655,"&gt;="&amp;'THAM_SO'!$B$6,'CHAM_CONG_NGAY'!$C$6:$C$4655,"&lt;="&amp;'THAM_SO'!$B$7),$F90))</f>
        <v/>
      </c>
      <c r="AE90" s="232">
        <f>IF($B90="","",IF($D90="Theo ngày",SUMIFS('CHAM_CONG_NGAY'!$G$6:$G$4655,'CHAM_CONG_NGAY'!$B$6:$B$4655,$B90,'CHAM_CONG_NGAY'!$C$6:$C$4655,"&gt;="&amp;'THAM_SO'!$B$6,'CHAM_CONG_NGAY'!$C$6:$C$4655,"&lt;="&amp;'THAM_SO'!$B$7),$G90))</f>
        <v/>
      </c>
      <c r="AF90" s="232">
        <f>IF($B90="","",IF($D90="Theo ngày",SUMIFS('CHAM_CONG_NGAY'!$H$6:$H$4655,'CHAM_CONG_NGAY'!$B$6:$B$4655,$B90,'CHAM_CONG_NGAY'!$C$6:$C$4655,"&gt;="&amp;'THAM_SO'!$B$6,'CHAM_CONG_NGAY'!$C$6:$C$4655,"&lt;="&amp;'THAM_SO'!$B$7),$H90))</f>
        <v/>
      </c>
      <c r="AG90" s="232">
        <f>IF($B90="","",IF($D90="Theo ngày",SUMIFS('CHAM_CONG_NGAY'!$I$6:$I$4655,'CHAM_CONG_NGAY'!$B$6:$B$4655,$B90,'CHAM_CONG_NGAY'!$C$6:$C$4655,"&gt;="&amp;'THAM_SO'!$B$6,'CHAM_CONG_NGAY'!$C$6:$C$4655,"&lt;="&amp;'THAM_SO'!$B$7),$I90))</f>
        <v/>
      </c>
      <c r="AH90" s="232">
        <f>IF($B90="","",IF($D90="Theo ngày",SUMIFS('CHAM_CONG_NGAY'!$J$6:$J$4655,'CHAM_CONG_NGAY'!$B$6:$B$4655,$B90,'CHAM_CONG_NGAY'!$C$6:$C$4655,"&gt;="&amp;'THAM_SO'!$B$6,'CHAM_CONG_NGAY'!$C$6:$C$4655,"&lt;="&amp;'THAM_SO'!$B$7),$J90))</f>
        <v/>
      </c>
      <c r="AI90" s="232">
        <f>IF($B90="","",IF($D90="Theo ngày",SUMIFS('CHAM_CONG_NGAY'!$K$6:$K$4655,'CHAM_CONG_NGAY'!$B$6:$B$4655,$B90,'CHAM_CONG_NGAY'!$C$6:$C$4655,"&gt;="&amp;'THAM_SO'!$B$6,'CHAM_CONG_NGAY'!$C$6:$C$4655,"&lt;="&amp;'THAM_SO'!$B$7),$K90))</f>
        <v/>
      </c>
      <c r="AJ90" s="232">
        <f>IF($B90="","",IF($D90="Theo ngày",SUMIFS('CHAM_CONG_NGAY'!$L$6:$L$4655,'CHAM_CONG_NGAY'!$B$6:$B$4655,$B90,'CHAM_CONG_NGAY'!$C$6:$C$4655,"&gt;="&amp;'THAM_SO'!$B$6,'CHAM_CONG_NGAY'!$C$6:$C$4655,"&lt;="&amp;'THAM_SO'!$B$7),$L90))</f>
        <v/>
      </c>
      <c r="AK90" s="232">
        <f>IF($B90="","",IF($D90="Theo ngày",SUMIFS('CHAM_CONG_NGAY'!$M$6:$M$4655,'CHAM_CONG_NGAY'!$B$6:$B$4655,$B90,'CHAM_CONG_NGAY'!$C$6:$C$4655,"&gt;="&amp;'THAM_SO'!$B$6,'CHAM_CONG_NGAY'!$C$6:$C$4655,"&lt;="&amp;'THAM_SO'!$B$7),$M90))</f>
        <v/>
      </c>
      <c r="AL90" s="227" t="n"/>
      <c r="AM90" s="227" t="n"/>
      <c r="AN90" s="227" t="n"/>
      <c r="AO90" s="227" t="n"/>
      <c r="AP90" s="227" t="n"/>
      <c r="AQ90" s="227" t="n"/>
      <c r="AR90" s="232">
        <f>IF($B90="","",IF($D90="Theo ngày",SUMIFS('CHAM_CONG_NGAY'!$O$6:$O$4655,'CHAM_CONG_NGAY'!$B$6:$B$4655,$B90,'CHAM_CONG_NGAY'!$C$6:$C$4655,"&gt;="&amp;'THAM_SO'!$B$6,'CHAM_CONG_NGAY'!$C$6:$C$4655,"&lt;="&amp;'THAM_SO'!$B$7),$AL90))</f>
        <v/>
      </c>
      <c r="AS90" s="232">
        <f>IF($B90="","",IF($D90="Theo ngày",SUMIFS('CHAM_CONG_NGAY'!$P$6:$P$4655,'CHAM_CONG_NGAY'!$B$6:$B$4655,$B90,'CHAM_CONG_NGAY'!$C$6:$C$4655,"&gt;="&amp;'THAM_SO'!$B$6,'CHAM_CONG_NGAY'!$C$6:$C$4655,"&lt;="&amp;'THAM_SO'!$B$7),$AM90))</f>
        <v/>
      </c>
      <c r="AT90" s="232">
        <f>IF($B90="","",IF($D90="Theo ngày",SUMIFS('CHAM_CONG_NGAY'!$Q$6:$Q$4655,'CHAM_CONG_NGAY'!$B$6:$B$4655,$B90,'CHAM_CONG_NGAY'!$C$6:$C$4655,"&gt;="&amp;'THAM_SO'!$B$6,'CHAM_CONG_NGAY'!$C$6:$C$4655,"&lt;="&amp;'THAM_SO'!$B$7),$AN90))</f>
        <v/>
      </c>
      <c r="AU90" s="232">
        <f>IF($B90="","",IF($D90="Theo ngày",SUMIFS('CHAM_CONG_NGAY'!$R$6:$R$4655,'CHAM_CONG_NGAY'!$B$6:$B$4655,$B90,'CHAM_CONG_NGAY'!$C$6:$C$4655,"&gt;="&amp;'THAM_SO'!$B$6,'CHAM_CONG_NGAY'!$C$6:$C$4655,"&lt;="&amp;'THAM_SO'!$B$7),$AO90))</f>
        <v/>
      </c>
      <c r="AV90" s="232">
        <f>IF($B90="","",IF($D90="Theo ngày",SUMIFS('CHAM_CONG_NGAY'!$S$6:$S$4655,'CHAM_CONG_NGAY'!$B$6:$B$4655,$B90,'CHAM_CONG_NGAY'!$C$6:$C$4655,"&gt;="&amp;'THAM_SO'!$B$6,'CHAM_CONG_NGAY'!$C$6:$C$4655,"&lt;="&amp;'THAM_SO'!$B$7),$AP90))</f>
        <v/>
      </c>
      <c r="AW90" s="232">
        <f>IF($B90="","",IF($D90="Theo ngày",SUMIFS('CHAM_CONG_NGAY'!$T$6:$T$4655,'CHAM_CONG_NGAY'!$B$6:$B$4655,$B90,'CHAM_CONG_NGAY'!$C$6:$C$4655,"&gt;="&amp;'THAM_SO'!$B$6,'CHAM_CONG_NGAY'!$C$6:$C$4655,"&lt;="&amp;'THAM_SO'!$B$7),$AQ90))</f>
        <v/>
      </c>
    </row>
    <row r="91">
      <c r="A91" s="145">
        <f>IF($B91="","",ROW()-5)</f>
        <v/>
      </c>
      <c r="B91" s="145">
        <f>IF('DM_NHAN_SU'!B91="","",'DM_NHAN_SU'!B91)</f>
        <v/>
      </c>
      <c r="C91" s="145">
        <f>IF('DM_NHAN_SU'!B91="","",'DM_NHAN_SU'!C91)</f>
        <v/>
      </c>
      <c r="D91" s="127" t="n"/>
      <c r="E91" s="227" t="n"/>
      <c r="F91" s="227" t="n"/>
      <c r="G91" s="227" t="n"/>
      <c r="H91" s="227" t="n"/>
      <c r="I91" s="227" t="n"/>
      <c r="J91" s="227" t="n"/>
      <c r="K91" s="227" t="n"/>
      <c r="L91" s="227" t="n"/>
      <c r="M91" s="227" t="n"/>
      <c r="N91" s="227" t="n"/>
      <c r="O91" s="222" t="n"/>
      <c r="P91" s="222" t="n"/>
      <c r="Q91" s="222" t="n"/>
      <c r="R91" s="222" t="n"/>
      <c r="S91" s="222" t="n"/>
      <c r="T91" s="222" t="n"/>
      <c r="U91" s="222" t="n"/>
      <c r="V91" s="222" t="n"/>
      <c r="W91" s="222" t="n"/>
      <c r="X91" s="222" t="n"/>
      <c r="Y91" s="222" t="n"/>
      <c r="Z91" s="222" t="n"/>
      <c r="AA91" s="127" t="n"/>
      <c r="AB91" s="127" t="n"/>
      <c r="AC91" s="232">
        <f>IF($B91="","",IF($D91="Theo ngày",SUMIFS('CHAM_CONG_NGAY'!$E$6:$E$4655,'CHAM_CONG_NGAY'!$B$6:$B$4655,$B91,'CHAM_CONG_NGAY'!$C$6:$C$4655,"&gt;="&amp;'THAM_SO'!$B$6,'CHAM_CONG_NGAY'!$C$6:$C$4655,"&lt;="&amp;'THAM_SO'!$B$7),$E91))</f>
        <v/>
      </c>
      <c r="AD91" s="232">
        <f>IF($B91="","",IF($D91="Theo ngày",SUMIFS('CHAM_CONG_NGAY'!$F$6:$F$4655,'CHAM_CONG_NGAY'!$B$6:$B$4655,$B91,'CHAM_CONG_NGAY'!$C$6:$C$4655,"&gt;="&amp;'THAM_SO'!$B$6,'CHAM_CONG_NGAY'!$C$6:$C$4655,"&lt;="&amp;'THAM_SO'!$B$7),$F91))</f>
        <v/>
      </c>
      <c r="AE91" s="232">
        <f>IF($B91="","",IF($D91="Theo ngày",SUMIFS('CHAM_CONG_NGAY'!$G$6:$G$4655,'CHAM_CONG_NGAY'!$B$6:$B$4655,$B91,'CHAM_CONG_NGAY'!$C$6:$C$4655,"&gt;="&amp;'THAM_SO'!$B$6,'CHAM_CONG_NGAY'!$C$6:$C$4655,"&lt;="&amp;'THAM_SO'!$B$7),$G91))</f>
        <v/>
      </c>
      <c r="AF91" s="232">
        <f>IF($B91="","",IF($D91="Theo ngày",SUMIFS('CHAM_CONG_NGAY'!$H$6:$H$4655,'CHAM_CONG_NGAY'!$B$6:$B$4655,$B91,'CHAM_CONG_NGAY'!$C$6:$C$4655,"&gt;="&amp;'THAM_SO'!$B$6,'CHAM_CONG_NGAY'!$C$6:$C$4655,"&lt;="&amp;'THAM_SO'!$B$7),$H91))</f>
        <v/>
      </c>
      <c r="AG91" s="232">
        <f>IF($B91="","",IF($D91="Theo ngày",SUMIFS('CHAM_CONG_NGAY'!$I$6:$I$4655,'CHAM_CONG_NGAY'!$B$6:$B$4655,$B91,'CHAM_CONG_NGAY'!$C$6:$C$4655,"&gt;="&amp;'THAM_SO'!$B$6,'CHAM_CONG_NGAY'!$C$6:$C$4655,"&lt;="&amp;'THAM_SO'!$B$7),$I91))</f>
        <v/>
      </c>
      <c r="AH91" s="232">
        <f>IF($B91="","",IF($D91="Theo ngày",SUMIFS('CHAM_CONG_NGAY'!$J$6:$J$4655,'CHAM_CONG_NGAY'!$B$6:$B$4655,$B91,'CHAM_CONG_NGAY'!$C$6:$C$4655,"&gt;="&amp;'THAM_SO'!$B$6,'CHAM_CONG_NGAY'!$C$6:$C$4655,"&lt;="&amp;'THAM_SO'!$B$7),$J91))</f>
        <v/>
      </c>
      <c r="AI91" s="232">
        <f>IF($B91="","",IF($D91="Theo ngày",SUMIFS('CHAM_CONG_NGAY'!$K$6:$K$4655,'CHAM_CONG_NGAY'!$B$6:$B$4655,$B91,'CHAM_CONG_NGAY'!$C$6:$C$4655,"&gt;="&amp;'THAM_SO'!$B$6,'CHAM_CONG_NGAY'!$C$6:$C$4655,"&lt;="&amp;'THAM_SO'!$B$7),$K91))</f>
        <v/>
      </c>
      <c r="AJ91" s="232">
        <f>IF($B91="","",IF($D91="Theo ngày",SUMIFS('CHAM_CONG_NGAY'!$L$6:$L$4655,'CHAM_CONG_NGAY'!$B$6:$B$4655,$B91,'CHAM_CONG_NGAY'!$C$6:$C$4655,"&gt;="&amp;'THAM_SO'!$B$6,'CHAM_CONG_NGAY'!$C$6:$C$4655,"&lt;="&amp;'THAM_SO'!$B$7),$L91))</f>
        <v/>
      </c>
      <c r="AK91" s="232">
        <f>IF($B91="","",IF($D91="Theo ngày",SUMIFS('CHAM_CONG_NGAY'!$M$6:$M$4655,'CHAM_CONG_NGAY'!$B$6:$B$4655,$B91,'CHAM_CONG_NGAY'!$C$6:$C$4655,"&gt;="&amp;'THAM_SO'!$B$6,'CHAM_CONG_NGAY'!$C$6:$C$4655,"&lt;="&amp;'THAM_SO'!$B$7),$M91))</f>
        <v/>
      </c>
      <c r="AL91" s="227" t="n"/>
      <c r="AM91" s="227" t="n"/>
      <c r="AN91" s="227" t="n"/>
      <c r="AO91" s="227" t="n"/>
      <c r="AP91" s="227" t="n"/>
      <c r="AQ91" s="227" t="n"/>
      <c r="AR91" s="232">
        <f>IF($B91="","",IF($D91="Theo ngày",SUMIFS('CHAM_CONG_NGAY'!$O$6:$O$4655,'CHAM_CONG_NGAY'!$B$6:$B$4655,$B91,'CHAM_CONG_NGAY'!$C$6:$C$4655,"&gt;="&amp;'THAM_SO'!$B$6,'CHAM_CONG_NGAY'!$C$6:$C$4655,"&lt;="&amp;'THAM_SO'!$B$7),$AL91))</f>
        <v/>
      </c>
      <c r="AS91" s="232">
        <f>IF($B91="","",IF($D91="Theo ngày",SUMIFS('CHAM_CONG_NGAY'!$P$6:$P$4655,'CHAM_CONG_NGAY'!$B$6:$B$4655,$B91,'CHAM_CONG_NGAY'!$C$6:$C$4655,"&gt;="&amp;'THAM_SO'!$B$6,'CHAM_CONG_NGAY'!$C$6:$C$4655,"&lt;="&amp;'THAM_SO'!$B$7),$AM91))</f>
        <v/>
      </c>
      <c r="AT91" s="232">
        <f>IF($B91="","",IF($D91="Theo ngày",SUMIFS('CHAM_CONG_NGAY'!$Q$6:$Q$4655,'CHAM_CONG_NGAY'!$B$6:$B$4655,$B91,'CHAM_CONG_NGAY'!$C$6:$C$4655,"&gt;="&amp;'THAM_SO'!$B$6,'CHAM_CONG_NGAY'!$C$6:$C$4655,"&lt;="&amp;'THAM_SO'!$B$7),$AN91))</f>
        <v/>
      </c>
      <c r="AU91" s="232">
        <f>IF($B91="","",IF($D91="Theo ngày",SUMIFS('CHAM_CONG_NGAY'!$R$6:$R$4655,'CHAM_CONG_NGAY'!$B$6:$B$4655,$B91,'CHAM_CONG_NGAY'!$C$6:$C$4655,"&gt;="&amp;'THAM_SO'!$B$6,'CHAM_CONG_NGAY'!$C$6:$C$4655,"&lt;="&amp;'THAM_SO'!$B$7),$AO91))</f>
        <v/>
      </c>
      <c r="AV91" s="232">
        <f>IF($B91="","",IF($D91="Theo ngày",SUMIFS('CHAM_CONG_NGAY'!$S$6:$S$4655,'CHAM_CONG_NGAY'!$B$6:$B$4655,$B91,'CHAM_CONG_NGAY'!$C$6:$C$4655,"&gt;="&amp;'THAM_SO'!$B$6,'CHAM_CONG_NGAY'!$C$6:$C$4655,"&lt;="&amp;'THAM_SO'!$B$7),$AP91))</f>
        <v/>
      </c>
      <c r="AW91" s="232">
        <f>IF($B91="","",IF($D91="Theo ngày",SUMIFS('CHAM_CONG_NGAY'!$T$6:$T$4655,'CHAM_CONG_NGAY'!$B$6:$B$4655,$B91,'CHAM_CONG_NGAY'!$C$6:$C$4655,"&gt;="&amp;'THAM_SO'!$B$6,'CHAM_CONG_NGAY'!$C$6:$C$4655,"&lt;="&amp;'THAM_SO'!$B$7),$AQ91))</f>
        <v/>
      </c>
    </row>
    <row r="92">
      <c r="A92" s="145">
        <f>IF($B92="","",ROW()-5)</f>
        <v/>
      </c>
      <c r="B92" s="145">
        <f>IF('DM_NHAN_SU'!B92="","",'DM_NHAN_SU'!B92)</f>
        <v/>
      </c>
      <c r="C92" s="145">
        <f>IF('DM_NHAN_SU'!B92="","",'DM_NHAN_SU'!C92)</f>
        <v/>
      </c>
      <c r="D92" s="127" t="n"/>
      <c r="E92" s="227" t="n"/>
      <c r="F92" s="227" t="n"/>
      <c r="G92" s="227" t="n"/>
      <c r="H92" s="227" t="n"/>
      <c r="I92" s="227" t="n"/>
      <c r="J92" s="227" t="n"/>
      <c r="K92" s="227" t="n"/>
      <c r="L92" s="227" t="n"/>
      <c r="M92" s="227" t="n"/>
      <c r="N92" s="227" t="n"/>
      <c r="O92" s="222" t="n"/>
      <c r="P92" s="222" t="n"/>
      <c r="Q92" s="222" t="n"/>
      <c r="R92" s="222" t="n"/>
      <c r="S92" s="222" t="n"/>
      <c r="T92" s="222" t="n"/>
      <c r="U92" s="222" t="n"/>
      <c r="V92" s="222" t="n"/>
      <c r="W92" s="222" t="n"/>
      <c r="X92" s="222" t="n"/>
      <c r="Y92" s="222" t="n"/>
      <c r="Z92" s="222" t="n"/>
      <c r="AA92" s="127" t="n"/>
      <c r="AB92" s="127" t="n"/>
      <c r="AC92" s="232">
        <f>IF($B92="","",IF($D92="Theo ngày",SUMIFS('CHAM_CONG_NGAY'!$E$6:$E$4655,'CHAM_CONG_NGAY'!$B$6:$B$4655,$B92,'CHAM_CONG_NGAY'!$C$6:$C$4655,"&gt;="&amp;'THAM_SO'!$B$6,'CHAM_CONG_NGAY'!$C$6:$C$4655,"&lt;="&amp;'THAM_SO'!$B$7),$E92))</f>
        <v/>
      </c>
      <c r="AD92" s="232">
        <f>IF($B92="","",IF($D92="Theo ngày",SUMIFS('CHAM_CONG_NGAY'!$F$6:$F$4655,'CHAM_CONG_NGAY'!$B$6:$B$4655,$B92,'CHAM_CONG_NGAY'!$C$6:$C$4655,"&gt;="&amp;'THAM_SO'!$B$6,'CHAM_CONG_NGAY'!$C$6:$C$4655,"&lt;="&amp;'THAM_SO'!$B$7),$F92))</f>
        <v/>
      </c>
      <c r="AE92" s="232">
        <f>IF($B92="","",IF($D92="Theo ngày",SUMIFS('CHAM_CONG_NGAY'!$G$6:$G$4655,'CHAM_CONG_NGAY'!$B$6:$B$4655,$B92,'CHAM_CONG_NGAY'!$C$6:$C$4655,"&gt;="&amp;'THAM_SO'!$B$6,'CHAM_CONG_NGAY'!$C$6:$C$4655,"&lt;="&amp;'THAM_SO'!$B$7),$G92))</f>
        <v/>
      </c>
      <c r="AF92" s="232">
        <f>IF($B92="","",IF($D92="Theo ngày",SUMIFS('CHAM_CONG_NGAY'!$H$6:$H$4655,'CHAM_CONG_NGAY'!$B$6:$B$4655,$B92,'CHAM_CONG_NGAY'!$C$6:$C$4655,"&gt;="&amp;'THAM_SO'!$B$6,'CHAM_CONG_NGAY'!$C$6:$C$4655,"&lt;="&amp;'THAM_SO'!$B$7),$H92))</f>
        <v/>
      </c>
      <c r="AG92" s="232">
        <f>IF($B92="","",IF($D92="Theo ngày",SUMIFS('CHAM_CONG_NGAY'!$I$6:$I$4655,'CHAM_CONG_NGAY'!$B$6:$B$4655,$B92,'CHAM_CONG_NGAY'!$C$6:$C$4655,"&gt;="&amp;'THAM_SO'!$B$6,'CHAM_CONG_NGAY'!$C$6:$C$4655,"&lt;="&amp;'THAM_SO'!$B$7),$I92))</f>
        <v/>
      </c>
      <c r="AH92" s="232">
        <f>IF($B92="","",IF($D92="Theo ngày",SUMIFS('CHAM_CONG_NGAY'!$J$6:$J$4655,'CHAM_CONG_NGAY'!$B$6:$B$4655,$B92,'CHAM_CONG_NGAY'!$C$6:$C$4655,"&gt;="&amp;'THAM_SO'!$B$6,'CHAM_CONG_NGAY'!$C$6:$C$4655,"&lt;="&amp;'THAM_SO'!$B$7),$J92))</f>
        <v/>
      </c>
      <c r="AI92" s="232">
        <f>IF($B92="","",IF($D92="Theo ngày",SUMIFS('CHAM_CONG_NGAY'!$K$6:$K$4655,'CHAM_CONG_NGAY'!$B$6:$B$4655,$B92,'CHAM_CONG_NGAY'!$C$6:$C$4655,"&gt;="&amp;'THAM_SO'!$B$6,'CHAM_CONG_NGAY'!$C$6:$C$4655,"&lt;="&amp;'THAM_SO'!$B$7),$K92))</f>
        <v/>
      </c>
      <c r="AJ92" s="232">
        <f>IF($B92="","",IF($D92="Theo ngày",SUMIFS('CHAM_CONG_NGAY'!$L$6:$L$4655,'CHAM_CONG_NGAY'!$B$6:$B$4655,$B92,'CHAM_CONG_NGAY'!$C$6:$C$4655,"&gt;="&amp;'THAM_SO'!$B$6,'CHAM_CONG_NGAY'!$C$6:$C$4655,"&lt;="&amp;'THAM_SO'!$B$7),$L92))</f>
        <v/>
      </c>
      <c r="AK92" s="232">
        <f>IF($B92="","",IF($D92="Theo ngày",SUMIFS('CHAM_CONG_NGAY'!$M$6:$M$4655,'CHAM_CONG_NGAY'!$B$6:$B$4655,$B92,'CHAM_CONG_NGAY'!$C$6:$C$4655,"&gt;="&amp;'THAM_SO'!$B$6,'CHAM_CONG_NGAY'!$C$6:$C$4655,"&lt;="&amp;'THAM_SO'!$B$7),$M92))</f>
        <v/>
      </c>
      <c r="AL92" s="227" t="n"/>
      <c r="AM92" s="227" t="n"/>
      <c r="AN92" s="227" t="n"/>
      <c r="AO92" s="227" t="n"/>
      <c r="AP92" s="227" t="n"/>
      <c r="AQ92" s="227" t="n"/>
      <c r="AR92" s="232">
        <f>IF($B92="","",IF($D92="Theo ngày",SUMIFS('CHAM_CONG_NGAY'!$O$6:$O$4655,'CHAM_CONG_NGAY'!$B$6:$B$4655,$B92,'CHAM_CONG_NGAY'!$C$6:$C$4655,"&gt;="&amp;'THAM_SO'!$B$6,'CHAM_CONG_NGAY'!$C$6:$C$4655,"&lt;="&amp;'THAM_SO'!$B$7),$AL92))</f>
        <v/>
      </c>
      <c r="AS92" s="232">
        <f>IF($B92="","",IF($D92="Theo ngày",SUMIFS('CHAM_CONG_NGAY'!$P$6:$P$4655,'CHAM_CONG_NGAY'!$B$6:$B$4655,$B92,'CHAM_CONG_NGAY'!$C$6:$C$4655,"&gt;="&amp;'THAM_SO'!$B$6,'CHAM_CONG_NGAY'!$C$6:$C$4655,"&lt;="&amp;'THAM_SO'!$B$7),$AM92))</f>
        <v/>
      </c>
      <c r="AT92" s="232">
        <f>IF($B92="","",IF($D92="Theo ngày",SUMIFS('CHAM_CONG_NGAY'!$Q$6:$Q$4655,'CHAM_CONG_NGAY'!$B$6:$B$4655,$B92,'CHAM_CONG_NGAY'!$C$6:$C$4655,"&gt;="&amp;'THAM_SO'!$B$6,'CHAM_CONG_NGAY'!$C$6:$C$4655,"&lt;="&amp;'THAM_SO'!$B$7),$AN92))</f>
        <v/>
      </c>
      <c r="AU92" s="232">
        <f>IF($B92="","",IF($D92="Theo ngày",SUMIFS('CHAM_CONG_NGAY'!$R$6:$R$4655,'CHAM_CONG_NGAY'!$B$6:$B$4655,$B92,'CHAM_CONG_NGAY'!$C$6:$C$4655,"&gt;="&amp;'THAM_SO'!$B$6,'CHAM_CONG_NGAY'!$C$6:$C$4655,"&lt;="&amp;'THAM_SO'!$B$7),$AO92))</f>
        <v/>
      </c>
      <c r="AV92" s="232">
        <f>IF($B92="","",IF($D92="Theo ngày",SUMIFS('CHAM_CONG_NGAY'!$S$6:$S$4655,'CHAM_CONG_NGAY'!$B$6:$B$4655,$B92,'CHAM_CONG_NGAY'!$C$6:$C$4655,"&gt;="&amp;'THAM_SO'!$B$6,'CHAM_CONG_NGAY'!$C$6:$C$4655,"&lt;="&amp;'THAM_SO'!$B$7),$AP92))</f>
        <v/>
      </c>
      <c r="AW92" s="232">
        <f>IF($B92="","",IF($D92="Theo ngày",SUMIFS('CHAM_CONG_NGAY'!$T$6:$T$4655,'CHAM_CONG_NGAY'!$B$6:$B$4655,$B92,'CHAM_CONG_NGAY'!$C$6:$C$4655,"&gt;="&amp;'THAM_SO'!$B$6,'CHAM_CONG_NGAY'!$C$6:$C$4655,"&lt;="&amp;'THAM_SO'!$B$7),$AQ92))</f>
        <v/>
      </c>
    </row>
    <row r="93">
      <c r="A93" s="145">
        <f>IF($B93="","",ROW()-5)</f>
        <v/>
      </c>
      <c r="B93" s="145">
        <f>IF('DM_NHAN_SU'!B93="","",'DM_NHAN_SU'!B93)</f>
        <v/>
      </c>
      <c r="C93" s="145">
        <f>IF('DM_NHAN_SU'!B93="","",'DM_NHAN_SU'!C93)</f>
        <v/>
      </c>
      <c r="D93" s="127" t="n"/>
      <c r="E93" s="227" t="n"/>
      <c r="F93" s="227" t="n"/>
      <c r="G93" s="227" t="n"/>
      <c r="H93" s="227" t="n"/>
      <c r="I93" s="227" t="n"/>
      <c r="J93" s="227" t="n"/>
      <c r="K93" s="227" t="n"/>
      <c r="L93" s="227" t="n"/>
      <c r="M93" s="227" t="n"/>
      <c r="N93" s="227" t="n"/>
      <c r="O93" s="222" t="n"/>
      <c r="P93" s="222" t="n"/>
      <c r="Q93" s="222" t="n"/>
      <c r="R93" s="222" t="n"/>
      <c r="S93" s="222" t="n"/>
      <c r="T93" s="222" t="n"/>
      <c r="U93" s="222" t="n"/>
      <c r="V93" s="222" t="n"/>
      <c r="W93" s="222" t="n"/>
      <c r="X93" s="222" t="n"/>
      <c r="Y93" s="222" t="n"/>
      <c r="Z93" s="222" t="n"/>
      <c r="AA93" s="127" t="n"/>
      <c r="AB93" s="127" t="n"/>
      <c r="AC93" s="232">
        <f>IF($B93="","",IF($D93="Theo ngày",SUMIFS('CHAM_CONG_NGAY'!$E$6:$E$4655,'CHAM_CONG_NGAY'!$B$6:$B$4655,$B93,'CHAM_CONG_NGAY'!$C$6:$C$4655,"&gt;="&amp;'THAM_SO'!$B$6,'CHAM_CONG_NGAY'!$C$6:$C$4655,"&lt;="&amp;'THAM_SO'!$B$7),$E93))</f>
        <v/>
      </c>
      <c r="AD93" s="232">
        <f>IF($B93="","",IF($D93="Theo ngày",SUMIFS('CHAM_CONG_NGAY'!$F$6:$F$4655,'CHAM_CONG_NGAY'!$B$6:$B$4655,$B93,'CHAM_CONG_NGAY'!$C$6:$C$4655,"&gt;="&amp;'THAM_SO'!$B$6,'CHAM_CONG_NGAY'!$C$6:$C$4655,"&lt;="&amp;'THAM_SO'!$B$7),$F93))</f>
        <v/>
      </c>
      <c r="AE93" s="232">
        <f>IF($B93="","",IF($D93="Theo ngày",SUMIFS('CHAM_CONG_NGAY'!$G$6:$G$4655,'CHAM_CONG_NGAY'!$B$6:$B$4655,$B93,'CHAM_CONG_NGAY'!$C$6:$C$4655,"&gt;="&amp;'THAM_SO'!$B$6,'CHAM_CONG_NGAY'!$C$6:$C$4655,"&lt;="&amp;'THAM_SO'!$B$7),$G93))</f>
        <v/>
      </c>
      <c r="AF93" s="232">
        <f>IF($B93="","",IF($D93="Theo ngày",SUMIFS('CHAM_CONG_NGAY'!$H$6:$H$4655,'CHAM_CONG_NGAY'!$B$6:$B$4655,$B93,'CHAM_CONG_NGAY'!$C$6:$C$4655,"&gt;="&amp;'THAM_SO'!$B$6,'CHAM_CONG_NGAY'!$C$6:$C$4655,"&lt;="&amp;'THAM_SO'!$B$7),$H93))</f>
        <v/>
      </c>
      <c r="AG93" s="232">
        <f>IF($B93="","",IF($D93="Theo ngày",SUMIFS('CHAM_CONG_NGAY'!$I$6:$I$4655,'CHAM_CONG_NGAY'!$B$6:$B$4655,$B93,'CHAM_CONG_NGAY'!$C$6:$C$4655,"&gt;="&amp;'THAM_SO'!$B$6,'CHAM_CONG_NGAY'!$C$6:$C$4655,"&lt;="&amp;'THAM_SO'!$B$7),$I93))</f>
        <v/>
      </c>
      <c r="AH93" s="232">
        <f>IF($B93="","",IF($D93="Theo ngày",SUMIFS('CHAM_CONG_NGAY'!$J$6:$J$4655,'CHAM_CONG_NGAY'!$B$6:$B$4655,$B93,'CHAM_CONG_NGAY'!$C$6:$C$4655,"&gt;="&amp;'THAM_SO'!$B$6,'CHAM_CONG_NGAY'!$C$6:$C$4655,"&lt;="&amp;'THAM_SO'!$B$7),$J93))</f>
        <v/>
      </c>
      <c r="AI93" s="232">
        <f>IF($B93="","",IF($D93="Theo ngày",SUMIFS('CHAM_CONG_NGAY'!$K$6:$K$4655,'CHAM_CONG_NGAY'!$B$6:$B$4655,$B93,'CHAM_CONG_NGAY'!$C$6:$C$4655,"&gt;="&amp;'THAM_SO'!$B$6,'CHAM_CONG_NGAY'!$C$6:$C$4655,"&lt;="&amp;'THAM_SO'!$B$7),$K93))</f>
        <v/>
      </c>
      <c r="AJ93" s="232">
        <f>IF($B93="","",IF($D93="Theo ngày",SUMIFS('CHAM_CONG_NGAY'!$L$6:$L$4655,'CHAM_CONG_NGAY'!$B$6:$B$4655,$B93,'CHAM_CONG_NGAY'!$C$6:$C$4655,"&gt;="&amp;'THAM_SO'!$B$6,'CHAM_CONG_NGAY'!$C$6:$C$4655,"&lt;="&amp;'THAM_SO'!$B$7),$L93))</f>
        <v/>
      </c>
      <c r="AK93" s="232">
        <f>IF($B93="","",IF($D93="Theo ngày",SUMIFS('CHAM_CONG_NGAY'!$M$6:$M$4655,'CHAM_CONG_NGAY'!$B$6:$B$4655,$B93,'CHAM_CONG_NGAY'!$C$6:$C$4655,"&gt;="&amp;'THAM_SO'!$B$6,'CHAM_CONG_NGAY'!$C$6:$C$4655,"&lt;="&amp;'THAM_SO'!$B$7),$M93))</f>
        <v/>
      </c>
      <c r="AL93" s="227" t="n"/>
      <c r="AM93" s="227" t="n"/>
      <c r="AN93" s="227" t="n"/>
      <c r="AO93" s="227" t="n"/>
      <c r="AP93" s="227" t="n"/>
      <c r="AQ93" s="227" t="n"/>
      <c r="AR93" s="232">
        <f>IF($B93="","",IF($D93="Theo ngày",SUMIFS('CHAM_CONG_NGAY'!$O$6:$O$4655,'CHAM_CONG_NGAY'!$B$6:$B$4655,$B93,'CHAM_CONG_NGAY'!$C$6:$C$4655,"&gt;="&amp;'THAM_SO'!$B$6,'CHAM_CONG_NGAY'!$C$6:$C$4655,"&lt;="&amp;'THAM_SO'!$B$7),$AL93))</f>
        <v/>
      </c>
      <c r="AS93" s="232">
        <f>IF($B93="","",IF($D93="Theo ngày",SUMIFS('CHAM_CONG_NGAY'!$P$6:$P$4655,'CHAM_CONG_NGAY'!$B$6:$B$4655,$B93,'CHAM_CONG_NGAY'!$C$6:$C$4655,"&gt;="&amp;'THAM_SO'!$B$6,'CHAM_CONG_NGAY'!$C$6:$C$4655,"&lt;="&amp;'THAM_SO'!$B$7),$AM93))</f>
        <v/>
      </c>
      <c r="AT93" s="232">
        <f>IF($B93="","",IF($D93="Theo ngày",SUMIFS('CHAM_CONG_NGAY'!$Q$6:$Q$4655,'CHAM_CONG_NGAY'!$B$6:$B$4655,$B93,'CHAM_CONG_NGAY'!$C$6:$C$4655,"&gt;="&amp;'THAM_SO'!$B$6,'CHAM_CONG_NGAY'!$C$6:$C$4655,"&lt;="&amp;'THAM_SO'!$B$7),$AN93))</f>
        <v/>
      </c>
      <c r="AU93" s="232">
        <f>IF($B93="","",IF($D93="Theo ngày",SUMIFS('CHAM_CONG_NGAY'!$R$6:$R$4655,'CHAM_CONG_NGAY'!$B$6:$B$4655,$B93,'CHAM_CONG_NGAY'!$C$6:$C$4655,"&gt;="&amp;'THAM_SO'!$B$6,'CHAM_CONG_NGAY'!$C$6:$C$4655,"&lt;="&amp;'THAM_SO'!$B$7),$AO93))</f>
        <v/>
      </c>
      <c r="AV93" s="232">
        <f>IF($B93="","",IF($D93="Theo ngày",SUMIFS('CHAM_CONG_NGAY'!$S$6:$S$4655,'CHAM_CONG_NGAY'!$B$6:$B$4655,$B93,'CHAM_CONG_NGAY'!$C$6:$C$4655,"&gt;="&amp;'THAM_SO'!$B$6,'CHAM_CONG_NGAY'!$C$6:$C$4655,"&lt;="&amp;'THAM_SO'!$B$7),$AP93))</f>
        <v/>
      </c>
      <c r="AW93" s="232">
        <f>IF($B93="","",IF($D93="Theo ngày",SUMIFS('CHAM_CONG_NGAY'!$T$6:$T$4655,'CHAM_CONG_NGAY'!$B$6:$B$4655,$B93,'CHAM_CONG_NGAY'!$C$6:$C$4655,"&gt;="&amp;'THAM_SO'!$B$6,'CHAM_CONG_NGAY'!$C$6:$C$4655,"&lt;="&amp;'THAM_SO'!$B$7),$AQ93))</f>
        <v/>
      </c>
    </row>
    <row r="94">
      <c r="A94" s="145">
        <f>IF($B94="","",ROW()-5)</f>
        <v/>
      </c>
      <c r="B94" s="145">
        <f>IF('DM_NHAN_SU'!B94="","",'DM_NHAN_SU'!B94)</f>
        <v/>
      </c>
      <c r="C94" s="145">
        <f>IF('DM_NHAN_SU'!B94="","",'DM_NHAN_SU'!C94)</f>
        <v/>
      </c>
      <c r="D94" s="127" t="n"/>
      <c r="E94" s="227" t="n"/>
      <c r="F94" s="227" t="n"/>
      <c r="G94" s="227" t="n"/>
      <c r="H94" s="227" t="n"/>
      <c r="I94" s="227" t="n"/>
      <c r="J94" s="227" t="n"/>
      <c r="K94" s="227" t="n"/>
      <c r="L94" s="227" t="n"/>
      <c r="M94" s="227" t="n"/>
      <c r="N94" s="227" t="n"/>
      <c r="O94" s="222" t="n"/>
      <c r="P94" s="222" t="n"/>
      <c r="Q94" s="222" t="n"/>
      <c r="R94" s="222" t="n"/>
      <c r="S94" s="222" t="n"/>
      <c r="T94" s="222" t="n"/>
      <c r="U94" s="222" t="n"/>
      <c r="V94" s="222" t="n"/>
      <c r="W94" s="222" t="n"/>
      <c r="X94" s="222" t="n"/>
      <c r="Y94" s="222" t="n"/>
      <c r="Z94" s="222" t="n"/>
      <c r="AA94" s="127" t="n"/>
      <c r="AB94" s="127" t="n"/>
      <c r="AC94" s="232">
        <f>IF($B94="","",IF($D94="Theo ngày",SUMIFS('CHAM_CONG_NGAY'!$E$6:$E$4655,'CHAM_CONG_NGAY'!$B$6:$B$4655,$B94,'CHAM_CONG_NGAY'!$C$6:$C$4655,"&gt;="&amp;'THAM_SO'!$B$6,'CHAM_CONG_NGAY'!$C$6:$C$4655,"&lt;="&amp;'THAM_SO'!$B$7),$E94))</f>
        <v/>
      </c>
      <c r="AD94" s="232">
        <f>IF($B94="","",IF($D94="Theo ngày",SUMIFS('CHAM_CONG_NGAY'!$F$6:$F$4655,'CHAM_CONG_NGAY'!$B$6:$B$4655,$B94,'CHAM_CONG_NGAY'!$C$6:$C$4655,"&gt;="&amp;'THAM_SO'!$B$6,'CHAM_CONG_NGAY'!$C$6:$C$4655,"&lt;="&amp;'THAM_SO'!$B$7),$F94))</f>
        <v/>
      </c>
      <c r="AE94" s="232">
        <f>IF($B94="","",IF($D94="Theo ngày",SUMIFS('CHAM_CONG_NGAY'!$G$6:$G$4655,'CHAM_CONG_NGAY'!$B$6:$B$4655,$B94,'CHAM_CONG_NGAY'!$C$6:$C$4655,"&gt;="&amp;'THAM_SO'!$B$6,'CHAM_CONG_NGAY'!$C$6:$C$4655,"&lt;="&amp;'THAM_SO'!$B$7),$G94))</f>
        <v/>
      </c>
      <c r="AF94" s="232">
        <f>IF($B94="","",IF($D94="Theo ngày",SUMIFS('CHAM_CONG_NGAY'!$H$6:$H$4655,'CHAM_CONG_NGAY'!$B$6:$B$4655,$B94,'CHAM_CONG_NGAY'!$C$6:$C$4655,"&gt;="&amp;'THAM_SO'!$B$6,'CHAM_CONG_NGAY'!$C$6:$C$4655,"&lt;="&amp;'THAM_SO'!$B$7),$H94))</f>
        <v/>
      </c>
      <c r="AG94" s="232">
        <f>IF($B94="","",IF($D94="Theo ngày",SUMIFS('CHAM_CONG_NGAY'!$I$6:$I$4655,'CHAM_CONG_NGAY'!$B$6:$B$4655,$B94,'CHAM_CONG_NGAY'!$C$6:$C$4655,"&gt;="&amp;'THAM_SO'!$B$6,'CHAM_CONG_NGAY'!$C$6:$C$4655,"&lt;="&amp;'THAM_SO'!$B$7),$I94))</f>
        <v/>
      </c>
      <c r="AH94" s="232">
        <f>IF($B94="","",IF($D94="Theo ngày",SUMIFS('CHAM_CONG_NGAY'!$J$6:$J$4655,'CHAM_CONG_NGAY'!$B$6:$B$4655,$B94,'CHAM_CONG_NGAY'!$C$6:$C$4655,"&gt;="&amp;'THAM_SO'!$B$6,'CHAM_CONG_NGAY'!$C$6:$C$4655,"&lt;="&amp;'THAM_SO'!$B$7),$J94))</f>
        <v/>
      </c>
      <c r="AI94" s="232">
        <f>IF($B94="","",IF($D94="Theo ngày",SUMIFS('CHAM_CONG_NGAY'!$K$6:$K$4655,'CHAM_CONG_NGAY'!$B$6:$B$4655,$B94,'CHAM_CONG_NGAY'!$C$6:$C$4655,"&gt;="&amp;'THAM_SO'!$B$6,'CHAM_CONG_NGAY'!$C$6:$C$4655,"&lt;="&amp;'THAM_SO'!$B$7),$K94))</f>
        <v/>
      </c>
      <c r="AJ94" s="232">
        <f>IF($B94="","",IF($D94="Theo ngày",SUMIFS('CHAM_CONG_NGAY'!$L$6:$L$4655,'CHAM_CONG_NGAY'!$B$6:$B$4655,$B94,'CHAM_CONG_NGAY'!$C$6:$C$4655,"&gt;="&amp;'THAM_SO'!$B$6,'CHAM_CONG_NGAY'!$C$6:$C$4655,"&lt;="&amp;'THAM_SO'!$B$7),$L94))</f>
        <v/>
      </c>
      <c r="AK94" s="232">
        <f>IF($B94="","",IF($D94="Theo ngày",SUMIFS('CHAM_CONG_NGAY'!$M$6:$M$4655,'CHAM_CONG_NGAY'!$B$6:$B$4655,$B94,'CHAM_CONG_NGAY'!$C$6:$C$4655,"&gt;="&amp;'THAM_SO'!$B$6,'CHAM_CONG_NGAY'!$C$6:$C$4655,"&lt;="&amp;'THAM_SO'!$B$7),$M94))</f>
        <v/>
      </c>
      <c r="AL94" s="227" t="n"/>
      <c r="AM94" s="227" t="n"/>
      <c r="AN94" s="227" t="n"/>
      <c r="AO94" s="227" t="n"/>
      <c r="AP94" s="227" t="n"/>
      <c r="AQ94" s="227" t="n"/>
      <c r="AR94" s="232">
        <f>IF($B94="","",IF($D94="Theo ngày",SUMIFS('CHAM_CONG_NGAY'!$O$6:$O$4655,'CHAM_CONG_NGAY'!$B$6:$B$4655,$B94,'CHAM_CONG_NGAY'!$C$6:$C$4655,"&gt;="&amp;'THAM_SO'!$B$6,'CHAM_CONG_NGAY'!$C$6:$C$4655,"&lt;="&amp;'THAM_SO'!$B$7),$AL94))</f>
        <v/>
      </c>
      <c r="AS94" s="232">
        <f>IF($B94="","",IF($D94="Theo ngày",SUMIFS('CHAM_CONG_NGAY'!$P$6:$P$4655,'CHAM_CONG_NGAY'!$B$6:$B$4655,$B94,'CHAM_CONG_NGAY'!$C$6:$C$4655,"&gt;="&amp;'THAM_SO'!$B$6,'CHAM_CONG_NGAY'!$C$6:$C$4655,"&lt;="&amp;'THAM_SO'!$B$7),$AM94))</f>
        <v/>
      </c>
      <c r="AT94" s="232">
        <f>IF($B94="","",IF($D94="Theo ngày",SUMIFS('CHAM_CONG_NGAY'!$Q$6:$Q$4655,'CHAM_CONG_NGAY'!$B$6:$B$4655,$B94,'CHAM_CONG_NGAY'!$C$6:$C$4655,"&gt;="&amp;'THAM_SO'!$B$6,'CHAM_CONG_NGAY'!$C$6:$C$4655,"&lt;="&amp;'THAM_SO'!$B$7),$AN94))</f>
        <v/>
      </c>
      <c r="AU94" s="232">
        <f>IF($B94="","",IF($D94="Theo ngày",SUMIFS('CHAM_CONG_NGAY'!$R$6:$R$4655,'CHAM_CONG_NGAY'!$B$6:$B$4655,$B94,'CHAM_CONG_NGAY'!$C$6:$C$4655,"&gt;="&amp;'THAM_SO'!$B$6,'CHAM_CONG_NGAY'!$C$6:$C$4655,"&lt;="&amp;'THAM_SO'!$B$7),$AO94))</f>
        <v/>
      </c>
      <c r="AV94" s="232">
        <f>IF($B94="","",IF($D94="Theo ngày",SUMIFS('CHAM_CONG_NGAY'!$S$6:$S$4655,'CHAM_CONG_NGAY'!$B$6:$B$4655,$B94,'CHAM_CONG_NGAY'!$C$6:$C$4655,"&gt;="&amp;'THAM_SO'!$B$6,'CHAM_CONG_NGAY'!$C$6:$C$4655,"&lt;="&amp;'THAM_SO'!$B$7),$AP94))</f>
        <v/>
      </c>
      <c r="AW94" s="232">
        <f>IF($B94="","",IF($D94="Theo ngày",SUMIFS('CHAM_CONG_NGAY'!$T$6:$T$4655,'CHAM_CONG_NGAY'!$B$6:$B$4655,$B94,'CHAM_CONG_NGAY'!$C$6:$C$4655,"&gt;="&amp;'THAM_SO'!$B$6,'CHAM_CONG_NGAY'!$C$6:$C$4655,"&lt;="&amp;'THAM_SO'!$B$7),$AQ94))</f>
        <v/>
      </c>
    </row>
    <row r="95">
      <c r="A95" s="145">
        <f>IF($B95="","",ROW()-5)</f>
        <v/>
      </c>
      <c r="B95" s="145">
        <f>IF('DM_NHAN_SU'!B95="","",'DM_NHAN_SU'!B95)</f>
        <v/>
      </c>
      <c r="C95" s="145">
        <f>IF('DM_NHAN_SU'!B95="","",'DM_NHAN_SU'!C95)</f>
        <v/>
      </c>
      <c r="D95" s="127" t="n"/>
      <c r="E95" s="227" t="n"/>
      <c r="F95" s="227" t="n"/>
      <c r="G95" s="227" t="n"/>
      <c r="H95" s="227" t="n"/>
      <c r="I95" s="227" t="n"/>
      <c r="J95" s="227" t="n"/>
      <c r="K95" s="227" t="n"/>
      <c r="L95" s="227" t="n"/>
      <c r="M95" s="227" t="n"/>
      <c r="N95" s="227" t="n"/>
      <c r="O95" s="222" t="n"/>
      <c r="P95" s="222" t="n"/>
      <c r="Q95" s="222" t="n"/>
      <c r="R95" s="222" t="n"/>
      <c r="S95" s="222" t="n"/>
      <c r="T95" s="222" t="n"/>
      <c r="U95" s="222" t="n"/>
      <c r="V95" s="222" t="n"/>
      <c r="W95" s="222" t="n"/>
      <c r="X95" s="222" t="n"/>
      <c r="Y95" s="222" t="n"/>
      <c r="Z95" s="222" t="n"/>
      <c r="AA95" s="127" t="n"/>
      <c r="AB95" s="127" t="n"/>
      <c r="AC95" s="232">
        <f>IF($B95="","",IF($D95="Theo ngày",SUMIFS('CHAM_CONG_NGAY'!$E$6:$E$4655,'CHAM_CONG_NGAY'!$B$6:$B$4655,$B95,'CHAM_CONG_NGAY'!$C$6:$C$4655,"&gt;="&amp;'THAM_SO'!$B$6,'CHAM_CONG_NGAY'!$C$6:$C$4655,"&lt;="&amp;'THAM_SO'!$B$7),$E95))</f>
        <v/>
      </c>
      <c r="AD95" s="232">
        <f>IF($B95="","",IF($D95="Theo ngày",SUMIFS('CHAM_CONG_NGAY'!$F$6:$F$4655,'CHAM_CONG_NGAY'!$B$6:$B$4655,$B95,'CHAM_CONG_NGAY'!$C$6:$C$4655,"&gt;="&amp;'THAM_SO'!$B$6,'CHAM_CONG_NGAY'!$C$6:$C$4655,"&lt;="&amp;'THAM_SO'!$B$7),$F95))</f>
        <v/>
      </c>
      <c r="AE95" s="232">
        <f>IF($B95="","",IF($D95="Theo ngày",SUMIFS('CHAM_CONG_NGAY'!$G$6:$G$4655,'CHAM_CONG_NGAY'!$B$6:$B$4655,$B95,'CHAM_CONG_NGAY'!$C$6:$C$4655,"&gt;="&amp;'THAM_SO'!$B$6,'CHAM_CONG_NGAY'!$C$6:$C$4655,"&lt;="&amp;'THAM_SO'!$B$7),$G95))</f>
        <v/>
      </c>
      <c r="AF95" s="232">
        <f>IF($B95="","",IF($D95="Theo ngày",SUMIFS('CHAM_CONG_NGAY'!$H$6:$H$4655,'CHAM_CONG_NGAY'!$B$6:$B$4655,$B95,'CHAM_CONG_NGAY'!$C$6:$C$4655,"&gt;="&amp;'THAM_SO'!$B$6,'CHAM_CONG_NGAY'!$C$6:$C$4655,"&lt;="&amp;'THAM_SO'!$B$7),$H95))</f>
        <v/>
      </c>
      <c r="AG95" s="232">
        <f>IF($B95="","",IF($D95="Theo ngày",SUMIFS('CHAM_CONG_NGAY'!$I$6:$I$4655,'CHAM_CONG_NGAY'!$B$6:$B$4655,$B95,'CHAM_CONG_NGAY'!$C$6:$C$4655,"&gt;="&amp;'THAM_SO'!$B$6,'CHAM_CONG_NGAY'!$C$6:$C$4655,"&lt;="&amp;'THAM_SO'!$B$7),$I95))</f>
        <v/>
      </c>
      <c r="AH95" s="232">
        <f>IF($B95="","",IF($D95="Theo ngày",SUMIFS('CHAM_CONG_NGAY'!$J$6:$J$4655,'CHAM_CONG_NGAY'!$B$6:$B$4655,$B95,'CHAM_CONG_NGAY'!$C$6:$C$4655,"&gt;="&amp;'THAM_SO'!$B$6,'CHAM_CONG_NGAY'!$C$6:$C$4655,"&lt;="&amp;'THAM_SO'!$B$7),$J95))</f>
        <v/>
      </c>
      <c r="AI95" s="232">
        <f>IF($B95="","",IF($D95="Theo ngày",SUMIFS('CHAM_CONG_NGAY'!$K$6:$K$4655,'CHAM_CONG_NGAY'!$B$6:$B$4655,$B95,'CHAM_CONG_NGAY'!$C$6:$C$4655,"&gt;="&amp;'THAM_SO'!$B$6,'CHAM_CONG_NGAY'!$C$6:$C$4655,"&lt;="&amp;'THAM_SO'!$B$7),$K95))</f>
        <v/>
      </c>
      <c r="AJ95" s="232">
        <f>IF($B95="","",IF($D95="Theo ngày",SUMIFS('CHAM_CONG_NGAY'!$L$6:$L$4655,'CHAM_CONG_NGAY'!$B$6:$B$4655,$B95,'CHAM_CONG_NGAY'!$C$6:$C$4655,"&gt;="&amp;'THAM_SO'!$B$6,'CHAM_CONG_NGAY'!$C$6:$C$4655,"&lt;="&amp;'THAM_SO'!$B$7),$L95))</f>
        <v/>
      </c>
      <c r="AK95" s="232">
        <f>IF($B95="","",IF($D95="Theo ngày",SUMIFS('CHAM_CONG_NGAY'!$M$6:$M$4655,'CHAM_CONG_NGAY'!$B$6:$B$4655,$B95,'CHAM_CONG_NGAY'!$C$6:$C$4655,"&gt;="&amp;'THAM_SO'!$B$6,'CHAM_CONG_NGAY'!$C$6:$C$4655,"&lt;="&amp;'THAM_SO'!$B$7),$M95))</f>
        <v/>
      </c>
      <c r="AL95" s="227" t="n"/>
      <c r="AM95" s="227" t="n"/>
      <c r="AN95" s="227" t="n"/>
      <c r="AO95" s="227" t="n"/>
      <c r="AP95" s="227" t="n"/>
      <c r="AQ95" s="227" t="n"/>
      <c r="AR95" s="232">
        <f>IF($B95="","",IF($D95="Theo ngày",SUMIFS('CHAM_CONG_NGAY'!$O$6:$O$4655,'CHAM_CONG_NGAY'!$B$6:$B$4655,$B95,'CHAM_CONG_NGAY'!$C$6:$C$4655,"&gt;="&amp;'THAM_SO'!$B$6,'CHAM_CONG_NGAY'!$C$6:$C$4655,"&lt;="&amp;'THAM_SO'!$B$7),$AL95))</f>
        <v/>
      </c>
      <c r="AS95" s="232">
        <f>IF($B95="","",IF($D95="Theo ngày",SUMIFS('CHAM_CONG_NGAY'!$P$6:$P$4655,'CHAM_CONG_NGAY'!$B$6:$B$4655,$B95,'CHAM_CONG_NGAY'!$C$6:$C$4655,"&gt;="&amp;'THAM_SO'!$B$6,'CHAM_CONG_NGAY'!$C$6:$C$4655,"&lt;="&amp;'THAM_SO'!$B$7),$AM95))</f>
        <v/>
      </c>
      <c r="AT95" s="232">
        <f>IF($B95="","",IF($D95="Theo ngày",SUMIFS('CHAM_CONG_NGAY'!$Q$6:$Q$4655,'CHAM_CONG_NGAY'!$B$6:$B$4655,$B95,'CHAM_CONG_NGAY'!$C$6:$C$4655,"&gt;="&amp;'THAM_SO'!$B$6,'CHAM_CONG_NGAY'!$C$6:$C$4655,"&lt;="&amp;'THAM_SO'!$B$7),$AN95))</f>
        <v/>
      </c>
      <c r="AU95" s="232">
        <f>IF($B95="","",IF($D95="Theo ngày",SUMIFS('CHAM_CONG_NGAY'!$R$6:$R$4655,'CHAM_CONG_NGAY'!$B$6:$B$4655,$B95,'CHAM_CONG_NGAY'!$C$6:$C$4655,"&gt;="&amp;'THAM_SO'!$B$6,'CHAM_CONG_NGAY'!$C$6:$C$4655,"&lt;="&amp;'THAM_SO'!$B$7),$AO95))</f>
        <v/>
      </c>
      <c r="AV95" s="232">
        <f>IF($B95="","",IF($D95="Theo ngày",SUMIFS('CHAM_CONG_NGAY'!$S$6:$S$4655,'CHAM_CONG_NGAY'!$B$6:$B$4655,$B95,'CHAM_CONG_NGAY'!$C$6:$C$4655,"&gt;="&amp;'THAM_SO'!$B$6,'CHAM_CONG_NGAY'!$C$6:$C$4655,"&lt;="&amp;'THAM_SO'!$B$7),$AP95))</f>
        <v/>
      </c>
      <c r="AW95" s="232">
        <f>IF($B95="","",IF($D95="Theo ngày",SUMIFS('CHAM_CONG_NGAY'!$T$6:$T$4655,'CHAM_CONG_NGAY'!$B$6:$B$4655,$B95,'CHAM_CONG_NGAY'!$C$6:$C$4655,"&gt;="&amp;'THAM_SO'!$B$6,'CHAM_CONG_NGAY'!$C$6:$C$4655,"&lt;="&amp;'THAM_SO'!$B$7),$AQ95))</f>
        <v/>
      </c>
    </row>
    <row r="96">
      <c r="A96" s="145">
        <f>IF($B96="","",ROW()-5)</f>
        <v/>
      </c>
      <c r="B96" s="145">
        <f>IF('DM_NHAN_SU'!B96="","",'DM_NHAN_SU'!B96)</f>
        <v/>
      </c>
      <c r="C96" s="145">
        <f>IF('DM_NHAN_SU'!B96="","",'DM_NHAN_SU'!C96)</f>
        <v/>
      </c>
      <c r="D96" s="127" t="n"/>
      <c r="E96" s="227" t="n"/>
      <c r="F96" s="227" t="n"/>
      <c r="G96" s="227" t="n"/>
      <c r="H96" s="227" t="n"/>
      <c r="I96" s="227" t="n"/>
      <c r="J96" s="227" t="n"/>
      <c r="K96" s="227" t="n"/>
      <c r="L96" s="227" t="n"/>
      <c r="M96" s="227" t="n"/>
      <c r="N96" s="227" t="n"/>
      <c r="O96" s="222" t="n"/>
      <c r="P96" s="222" t="n"/>
      <c r="Q96" s="222" t="n"/>
      <c r="R96" s="222" t="n"/>
      <c r="S96" s="222" t="n"/>
      <c r="T96" s="222" t="n"/>
      <c r="U96" s="222" t="n"/>
      <c r="V96" s="222" t="n"/>
      <c r="W96" s="222" t="n"/>
      <c r="X96" s="222" t="n"/>
      <c r="Y96" s="222" t="n"/>
      <c r="Z96" s="222" t="n"/>
      <c r="AA96" s="127" t="n"/>
      <c r="AB96" s="127" t="n"/>
      <c r="AC96" s="232">
        <f>IF($B96="","",IF($D96="Theo ngày",SUMIFS('CHAM_CONG_NGAY'!$E$6:$E$4655,'CHAM_CONG_NGAY'!$B$6:$B$4655,$B96,'CHAM_CONG_NGAY'!$C$6:$C$4655,"&gt;="&amp;'THAM_SO'!$B$6,'CHAM_CONG_NGAY'!$C$6:$C$4655,"&lt;="&amp;'THAM_SO'!$B$7),$E96))</f>
        <v/>
      </c>
      <c r="AD96" s="232">
        <f>IF($B96="","",IF($D96="Theo ngày",SUMIFS('CHAM_CONG_NGAY'!$F$6:$F$4655,'CHAM_CONG_NGAY'!$B$6:$B$4655,$B96,'CHAM_CONG_NGAY'!$C$6:$C$4655,"&gt;="&amp;'THAM_SO'!$B$6,'CHAM_CONG_NGAY'!$C$6:$C$4655,"&lt;="&amp;'THAM_SO'!$B$7),$F96))</f>
        <v/>
      </c>
      <c r="AE96" s="232">
        <f>IF($B96="","",IF($D96="Theo ngày",SUMIFS('CHAM_CONG_NGAY'!$G$6:$G$4655,'CHAM_CONG_NGAY'!$B$6:$B$4655,$B96,'CHAM_CONG_NGAY'!$C$6:$C$4655,"&gt;="&amp;'THAM_SO'!$B$6,'CHAM_CONG_NGAY'!$C$6:$C$4655,"&lt;="&amp;'THAM_SO'!$B$7),$G96))</f>
        <v/>
      </c>
      <c r="AF96" s="232">
        <f>IF($B96="","",IF($D96="Theo ngày",SUMIFS('CHAM_CONG_NGAY'!$H$6:$H$4655,'CHAM_CONG_NGAY'!$B$6:$B$4655,$B96,'CHAM_CONG_NGAY'!$C$6:$C$4655,"&gt;="&amp;'THAM_SO'!$B$6,'CHAM_CONG_NGAY'!$C$6:$C$4655,"&lt;="&amp;'THAM_SO'!$B$7),$H96))</f>
        <v/>
      </c>
      <c r="AG96" s="232">
        <f>IF($B96="","",IF($D96="Theo ngày",SUMIFS('CHAM_CONG_NGAY'!$I$6:$I$4655,'CHAM_CONG_NGAY'!$B$6:$B$4655,$B96,'CHAM_CONG_NGAY'!$C$6:$C$4655,"&gt;="&amp;'THAM_SO'!$B$6,'CHAM_CONG_NGAY'!$C$6:$C$4655,"&lt;="&amp;'THAM_SO'!$B$7),$I96))</f>
        <v/>
      </c>
      <c r="AH96" s="232">
        <f>IF($B96="","",IF($D96="Theo ngày",SUMIFS('CHAM_CONG_NGAY'!$J$6:$J$4655,'CHAM_CONG_NGAY'!$B$6:$B$4655,$B96,'CHAM_CONG_NGAY'!$C$6:$C$4655,"&gt;="&amp;'THAM_SO'!$B$6,'CHAM_CONG_NGAY'!$C$6:$C$4655,"&lt;="&amp;'THAM_SO'!$B$7),$J96))</f>
        <v/>
      </c>
      <c r="AI96" s="232">
        <f>IF($B96="","",IF($D96="Theo ngày",SUMIFS('CHAM_CONG_NGAY'!$K$6:$K$4655,'CHAM_CONG_NGAY'!$B$6:$B$4655,$B96,'CHAM_CONG_NGAY'!$C$6:$C$4655,"&gt;="&amp;'THAM_SO'!$B$6,'CHAM_CONG_NGAY'!$C$6:$C$4655,"&lt;="&amp;'THAM_SO'!$B$7),$K96))</f>
        <v/>
      </c>
      <c r="AJ96" s="232">
        <f>IF($B96="","",IF($D96="Theo ngày",SUMIFS('CHAM_CONG_NGAY'!$L$6:$L$4655,'CHAM_CONG_NGAY'!$B$6:$B$4655,$B96,'CHAM_CONG_NGAY'!$C$6:$C$4655,"&gt;="&amp;'THAM_SO'!$B$6,'CHAM_CONG_NGAY'!$C$6:$C$4655,"&lt;="&amp;'THAM_SO'!$B$7),$L96))</f>
        <v/>
      </c>
      <c r="AK96" s="232">
        <f>IF($B96="","",IF($D96="Theo ngày",SUMIFS('CHAM_CONG_NGAY'!$M$6:$M$4655,'CHAM_CONG_NGAY'!$B$6:$B$4655,$B96,'CHAM_CONG_NGAY'!$C$6:$C$4655,"&gt;="&amp;'THAM_SO'!$B$6,'CHAM_CONG_NGAY'!$C$6:$C$4655,"&lt;="&amp;'THAM_SO'!$B$7),$M96))</f>
        <v/>
      </c>
      <c r="AL96" s="227" t="n"/>
      <c r="AM96" s="227" t="n"/>
      <c r="AN96" s="227" t="n"/>
      <c r="AO96" s="227" t="n"/>
      <c r="AP96" s="227" t="n"/>
      <c r="AQ96" s="227" t="n"/>
      <c r="AR96" s="232">
        <f>IF($B96="","",IF($D96="Theo ngày",SUMIFS('CHAM_CONG_NGAY'!$O$6:$O$4655,'CHAM_CONG_NGAY'!$B$6:$B$4655,$B96,'CHAM_CONG_NGAY'!$C$6:$C$4655,"&gt;="&amp;'THAM_SO'!$B$6,'CHAM_CONG_NGAY'!$C$6:$C$4655,"&lt;="&amp;'THAM_SO'!$B$7),$AL96))</f>
        <v/>
      </c>
      <c r="AS96" s="232">
        <f>IF($B96="","",IF($D96="Theo ngày",SUMIFS('CHAM_CONG_NGAY'!$P$6:$P$4655,'CHAM_CONG_NGAY'!$B$6:$B$4655,$B96,'CHAM_CONG_NGAY'!$C$6:$C$4655,"&gt;="&amp;'THAM_SO'!$B$6,'CHAM_CONG_NGAY'!$C$6:$C$4655,"&lt;="&amp;'THAM_SO'!$B$7),$AM96))</f>
        <v/>
      </c>
      <c r="AT96" s="232">
        <f>IF($B96="","",IF($D96="Theo ngày",SUMIFS('CHAM_CONG_NGAY'!$Q$6:$Q$4655,'CHAM_CONG_NGAY'!$B$6:$B$4655,$B96,'CHAM_CONG_NGAY'!$C$6:$C$4655,"&gt;="&amp;'THAM_SO'!$B$6,'CHAM_CONG_NGAY'!$C$6:$C$4655,"&lt;="&amp;'THAM_SO'!$B$7),$AN96))</f>
        <v/>
      </c>
      <c r="AU96" s="232">
        <f>IF($B96="","",IF($D96="Theo ngày",SUMIFS('CHAM_CONG_NGAY'!$R$6:$R$4655,'CHAM_CONG_NGAY'!$B$6:$B$4655,$B96,'CHAM_CONG_NGAY'!$C$6:$C$4655,"&gt;="&amp;'THAM_SO'!$B$6,'CHAM_CONG_NGAY'!$C$6:$C$4655,"&lt;="&amp;'THAM_SO'!$B$7),$AO96))</f>
        <v/>
      </c>
      <c r="AV96" s="232">
        <f>IF($B96="","",IF($D96="Theo ngày",SUMIFS('CHAM_CONG_NGAY'!$S$6:$S$4655,'CHAM_CONG_NGAY'!$B$6:$B$4655,$B96,'CHAM_CONG_NGAY'!$C$6:$C$4655,"&gt;="&amp;'THAM_SO'!$B$6,'CHAM_CONG_NGAY'!$C$6:$C$4655,"&lt;="&amp;'THAM_SO'!$B$7),$AP96))</f>
        <v/>
      </c>
      <c r="AW96" s="232">
        <f>IF($B96="","",IF($D96="Theo ngày",SUMIFS('CHAM_CONG_NGAY'!$T$6:$T$4655,'CHAM_CONG_NGAY'!$B$6:$B$4655,$B96,'CHAM_CONG_NGAY'!$C$6:$C$4655,"&gt;="&amp;'THAM_SO'!$B$6,'CHAM_CONG_NGAY'!$C$6:$C$4655,"&lt;="&amp;'THAM_SO'!$B$7),$AQ96))</f>
        <v/>
      </c>
    </row>
    <row r="97">
      <c r="A97" s="145">
        <f>IF($B97="","",ROW()-5)</f>
        <v/>
      </c>
      <c r="B97" s="145">
        <f>IF('DM_NHAN_SU'!B97="","",'DM_NHAN_SU'!B97)</f>
        <v/>
      </c>
      <c r="C97" s="145">
        <f>IF('DM_NHAN_SU'!B97="","",'DM_NHAN_SU'!C97)</f>
        <v/>
      </c>
      <c r="D97" s="127" t="n"/>
      <c r="E97" s="227" t="n"/>
      <c r="F97" s="227" t="n"/>
      <c r="G97" s="227" t="n"/>
      <c r="H97" s="227" t="n"/>
      <c r="I97" s="227" t="n"/>
      <c r="J97" s="227" t="n"/>
      <c r="K97" s="227" t="n"/>
      <c r="L97" s="227" t="n"/>
      <c r="M97" s="227" t="n"/>
      <c r="N97" s="227" t="n"/>
      <c r="O97" s="222" t="n"/>
      <c r="P97" s="222" t="n"/>
      <c r="Q97" s="222" t="n"/>
      <c r="R97" s="222" t="n"/>
      <c r="S97" s="222" t="n"/>
      <c r="T97" s="222" t="n"/>
      <c r="U97" s="222" t="n"/>
      <c r="V97" s="222" t="n"/>
      <c r="W97" s="222" t="n"/>
      <c r="X97" s="222" t="n"/>
      <c r="Y97" s="222" t="n"/>
      <c r="Z97" s="222" t="n"/>
      <c r="AA97" s="127" t="n"/>
      <c r="AB97" s="127" t="n"/>
      <c r="AC97" s="232">
        <f>IF($B97="","",IF($D97="Theo ngày",SUMIFS('CHAM_CONG_NGAY'!$E$6:$E$4655,'CHAM_CONG_NGAY'!$B$6:$B$4655,$B97,'CHAM_CONG_NGAY'!$C$6:$C$4655,"&gt;="&amp;'THAM_SO'!$B$6,'CHAM_CONG_NGAY'!$C$6:$C$4655,"&lt;="&amp;'THAM_SO'!$B$7),$E97))</f>
        <v/>
      </c>
      <c r="AD97" s="232">
        <f>IF($B97="","",IF($D97="Theo ngày",SUMIFS('CHAM_CONG_NGAY'!$F$6:$F$4655,'CHAM_CONG_NGAY'!$B$6:$B$4655,$B97,'CHAM_CONG_NGAY'!$C$6:$C$4655,"&gt;="&amp;'THAM_SO'!$B$6,'CHAM_CONG_NGAY'!$C$6:$C$4655,"&lt;="&amp;'THAM_SO'!$B$7),$F97))</f>
        <v/>
      </c>
      <c r="AE97" s="232">
        <f>IF($B97="","",IF($D97="Theo ngày",SUMIFS('CHAM_CONG_NGAY'!$G$6:$G$4655,'CHAM_CONG_NGAY'!$B$6:$B$4655,$B97,'CHAM_CONG_NGAY'!$C$6:$C$4655,"&gt;="&amp;'THAM_SO'!$B$6,'CHAM_CONG_NGAY'!$C$6:$C$4655,"&lt;="&amp;'THAM_SO'!$B$7),$G97))</f>
        <v/>
      </c>
      <c r="AF97" s="232">
        <f>IF($B97="","",IF($D97="Theo ngày",SUMIFS('CHAM_CONG_NGAY'!$H$6:$H$4655,'CHAM_CONG_NGAY'!$B$6:$B$4655,$B97,'CHAM_CONG_NGAY'!$C$6:$C$4655,"&gt;="&amp;'THAM_SO'!$B$6,'CHAM_CONG_NGAY'!$C$6:$C$4655,"&lt;="&amp;'THAM_SO'!$B$7),$H97))</f>
        <v/>
      </c>
      <c r="AG97" s="232">
        <f>IF($B97="","",IF($D97="Theo ngày",SUMIFS('CHAM_CONG_NGAY'!$I$6:$I$4655,'CHAM_CONG_NGAY'!$B$6:$B$4655,$B97,'CHAM_CONG_NGAY'!$C$6:$C$4655,"&gt;="&amp;'THAM_SO'!$B$6,'CHAM_CONG_NGAY'!$C$6:$C$4655,"&lt;="&amp;'THAM_SO'!$B$7),$I97))</f>
        <v/>
      </c>
      <c r="AH97" s="232">
        <f>IF($B97="","",IF($D97="Theo ngày",SUMIFS('CHAM_CONG_NGAY'!$J$6:$J$4655,'CHAM_CONG_NGAY'!$B$6:$B$4655,$B97,'CHAM_CONG_NGAY'!$C$6:$C$4655,"&gt;="&amp;'THAM_SO'!$B$6,'CHAM_CONG_NGAY'!$C$6:$C$4655,"&lt;="&amp;'THAM_SO'!$B$7),$J97))</f>
        <v/>
      </c>
      <c r="AI97" s="232">
        <f>IF($B97="","",IF($D97="Theo ngày",SUMIFS('CHAM_CONG_NGAY'!$K$6:$K$4655,'CHAM_CONG_NGAY'!$B$6:$B$4655,$B97,'CHAM_CONG_NGAY'!$C$6:$C$4655,"&gt;="&amp;'THAM_SO'!$B$6,'CHAM_CONG_NGAY'!$C$6:$C$4655,"&lt;="&amp;'THAM_SO'!$B$7),$K97))</f>
        <v/>
      </c>
      <c r="AJ97" s="232">
        <f>IF($B97="","",IF($D97="Theo ngày",SUMIFS('CHAM_CONG_NGAY'!$L$6:$L$4655,'CHAM_CONG_NGAY'!$B$6:$B$4655,$B97,'CHAM_CONG_NGAY'!$C$6:$C$4655,"&gt;="&amp;'THAM_SO'!$B$6,'CHAM_CONG_NGAY'!$C$6:$C$4655,"&lt;="&amp;'THAM_SO'!$B$7),$L97))</f>
        <v/>
      </c>
      <c r="AK97" s="232">
        <f>IF($B97="","",IF($D97="Theo ngày",SUMIFS('CHAM_CONG_NGAY'!$M$6:$M$4655,'CHAM_CONG_NGAY'!$B$6:$B$4655,$B97,'CHAM_CONG_NGAY'!$C$6:$C$4655,"&gt;="&amp;'THAM_SO'!$B$6,'CHAM_CONG_NGAY'!$C$6:$C$4655,"&lt;="&amp;'THAM_SO'!$B$7),$M97))</f>
        <v/>
      </c>
      <c r="AL97" s="227" t="n"/>
      <c r="AM97" s="227" t="n"/>
      <c r="AN97" s="227" t="n"/>
      <c r="AO97" s="227" t="n"/>
      <c r="AP97" s="227" t="n"/>
      <c r="AQ97" s="227" t="n"/>
      <c r="AR97" s="232">
        <f>IF($B97="","",IF($D97="Theo ngày",SUMIFS('CHAM_CONG_NGAY'!$O$6:$O$4655,'CHAM_CONG_NGAY'!$B$6:$B$4655,$B97,'CHAM_CONG_NGAY'!$C$6:$C$4655,"&gt;="&amp;'THAM_SO'!$B$6,'CHAM_CONG_NGAY'!$C$6:$C$4655,"&lt;="&amp;'THAM_SO'!$B$7),$AL97))</f>
        <v/>
      </c>
      <c r="AS97" s="232">
        <f>IF($B97="","",IF($D97="Theo ngày",SUMIFS('CHAM_CONG_NGAY'!$P$6:$P$4655,'CHAM_CONG_NGAY'!$B$6:$B$4655,$B97,'CHAM_CONG_NGAY'!$C$6:$C$4655,"&gt;="&amp;'THAM_SO'!$B$6,'CHAM_CONG_NGAY'!$C$6:$C$4655,"&lt;="&amp;'THAM_SO'!$B$7),$AM97))</f>
        <v/>
      </c>
      <c r="AT97" s="232">
        <f>IF($B97="","",IF($D97="Theo ngày",SUMIFS('CHAM_CONG_NGAY'!$Q$6:$Q$4655,'CHAM_CONG_NGAY'!$B$6:$B$4655,$B97,'CHAM_CONG_NGAY'!$C$6:$C$4655,"&gt;="&amp;'THAM_SO'!$B$6,'CHAM_CONG_NGAY'!$C$6:$C$4655,"&lt;="&amp;'THAM_SO'!$B$7),$AN97))</f>
        <v/>
      </c>
      <c r="AU97" s="232">
        <f>IF($B97="","",IF($D97="Theo ngày",SUMIFS('CHAM_CONG_NGAY'!$R$6:$R$4655,'CHAM_CONG_NGAY'!$B$6:$B$4655,$B97,'CHAM_CONG_NGAY'!$C$6:$C$4655,"&gt;="&amp;'THAM_SO'!$B$6,'CHAM_CONG_NGAY'!$C$6:$C$4655,"&lt;="&amp;'THAM_SO'!$B$7),$AO97))</f>
        <v/>
      </c>
      <c r="AV97" s="232">
        <f>IF($B97="","",IF($D97="Theo ngày",SUMIFS('CHAM_CONG_NGAY'!$S$6:$S$4655,'CHAM_CONG_NGAY'!$B$6:$B$4655,$B97,'CHAM_CONG_NGAY'!$C$6:$C$4655,"&gt;="&amp;'THAM_SO'!$B$6,'CHAM_CONG_NGAY'!$C$6:$C$4655,"&lt;="&amp;'THAM_SO'!$B$7),$AP97))</f>
        <v/>
      </c>
      <c r="AW97" s="232">
        <f>IF($B97="","",IF($D97="Theo ngày",SUMIFS('CHAM_CONG_NGAY'!$T$6:$T$4655,'CHAM_CONG_NGAY'!$B$6:$B$4655,$B97,'CHAM_CONG_NGAY'!$C$6:$C$4655,"&gt;="&amp;'THAM_SO'!$B$6,'CHAM_CONG_NGAY'!$C$6:$C$4655,"&lt;="&amp;'THAM_SO'!$B$7),$AQ97))</f>
        <v/>
      </c>
    </row>
    <row r="98">
      <c r="A98" s="145">
        <f>IF($B98="","",ROW()-5)</f>
        <v/>
      </c>
      <c r="B98" s="145">
        <f>IF('DM_NHAN_SU'!B98="","",'DM_NHAN_SU'!B98)</f>
        <v/>
      </c>
      <c r="C98" s="145">
        <f>IF('DM_NHAN_SU'!B98="","",'DM_NHAN_SU'!C98)</f>
        <v/>
      </c>
      <c r="D98" s="127" t="n"/>
      <c r="E98" s="227" t="n"/>
      <c r="F98" s="227" t="n"/>
      <c r="G98" s="227" t="n"/>
      <c r="H98" s="227" t="n"/>
      <c r="I98" s="227" t="n"/>
      <c r="J98" s="227" t="n"/>
      <c r="K98" s="227" t="n"/>
      <c r="L98" s="227" t="n"/>
      <c r="M98" s="227" t="n"/>
      <c r="N98" s="227" t="n"/>
      <c r="O98" s="222" t="n"/>
      <c r="P98" s="222" t="n"/>
      <c r="Q98" s="222" t="n"/>
      <c r="R98" s="222" t="n"/>
      <c r="S98" s="222" t="n"/>
      <c r="T98" s="222" t="n"/>
      <c r="U98" s="222" t="n"/>
      <c r="V98" s="222" t="n"/>
      <c r="W98" s="222" t="n"/>
      <c r="X98" s="222" t="n"/>
      <c r="Y98" s="222" t="n"/>
      <c r="Z98" s="222" t="n"/>
      <c r="AA98" s="127" t="n"/>
      <c r="AB98" s="127" t="n"/>
      <c r="AC98" s="232">
        <f>IF($B98="","",IF($D98="Theo ngày",SUMIFS('CHAM_CONG_NGAY'!$E$6:$E$4655,'CHAM_CONG_NGAY'!$B$6:$B$4655,$B98,'CHAM_CONG_NGAY'!$C$6:$C$4655,"&gt;="&amp;'THAM_SO'!$B$6,'CHAM_CONG_NGAY'!$C$6:$C$4655,"&lt;="&amp;'THAM_SO'!$B$7),$E98))</f>
        <v/>
      </c>
      <c r="AD98" s="232">
        <f>IF($B98="","",IF($D98="Theo ngày",SUMIFS('CHAM_CONG_NGAY'!$F$6:$F$4655,'CHAM_CONG_NGAY'!$B$6:$B$4655,$B98,'CHAM_CONG_NGAY'!$C$6:$C$4655,"&gt;="&amp;'THAM_SO'!$B$6,'CHAM_CONG_NGAY'!$C$6:$C$4655,"&lt;="&amp;'THAM_SO'!$B$7),$F98))</f>
        <v/>
      </c>
      <c r="AE98" s="232">
        <f>IF($B98="","",IF($D98="Theo ngày",SUMIFS('CHAM_CONG_NGAY'!$G$6:$G$4655,'CHAM_CONG_NGAY'!$B$6:$B$4655,$B98,'CHAM_CONG_NGAY'!$C$6:$C$4655,"&gt;="&amp;'THAM_SO'!$B$6,'CHAM_CONG_NGAY'!$C$6:$C$4655,"&lt;="&amp;'THAM_SO'!$B$7),$G98))</f>
        <v/>
      </c>
      <c r="AF98" s="232">
        <f>IF($B98="","",IF($D98="Theo ngày",SUMIFS('CHAM_CONG_NGAY'!$H$6:$H$4655,'CHAM_CONG_NGAY'!$B$6:$B$4655,$B98,'CHAM_CONG_NGAY'!$C$6:$C$4655,"&gt;="&amp;'THAM_SO'!$B$6,'CHAM_CONG_NGAY'!$C$6:$C$4655,"&lt;="&amp;'THAM_SO'!$B$7),$H98))</f>
        <v/>
      </c>
      <c r="AG98" s="232">
        <f>IF($B98="","",IF($D98="Theo ngày",SUMIFS('CHAM_CONG_NGAY'!$I$6:$I$4655,'CHAM_CONG_NGAY'!$B$6:$B$4655,$B98,'CHAM_CONG_NGAY'!$C$6:$C$4655,"&gt;="&amp;'THAM_SO'!$B$6,'CHAM_CONG_NGAY'!$C$6:$C$4655,"&lt;="&amp;'THAM_SO'!$B$7),$I98))</f>
        <v/>
      </c>
      <c r="AH98" s="232">
        <f>IF($B98="","",IF($D98="Theo ngày",SUMIFS('CHAM_CONG_NGAY'!$J$6:$J$4655,'CHAM_CONG_NGAY'!$B$6:$B$4655,$B98,'CHAM_CONG_NGAY'!$C$6:$C$4655,"&gt;="&amp;'THAM_SO'!$B$6,'CHAM_CONG_NGAY'!$C$6:$C$4655,"&lt;="&amp;'THAM_SO'!$B$7),$J98))</f>
        <v/>
      </c>
      <c r="AI98" s="232">
        <f>IF($B98="","",IF($D98="Theo ngày",SUMIFS('CHAM_CONG_NGAY'!$K$6:$K$4655,'CHAM_CONG_NGAY'!$B$6:$B$4655,$B98,'CHAM_CONG_NGAY'!$C$6:$C$4655,"&gt;="&amp;'THAM_SO'!$B$6,'CHAM_CONG_NGAY'!$C$6:$C$4655,"&lt;="&amp;'THAM_SO'!$B$7),$K98))</f>
        <v/>
      </c>
      <c r="AJ98" s="232">
        <f>IF($B98="","",IF($D98="Theo ngày",SUMIFS('CHAM_CONG_NGAY'!$L$6:$L$4655,'CHAM_CONG_NGAY'!$B$6:$B$4655,$B98,'CHAM_CONG_NGAY'!$C$6:$C$4655,"&gt;="&amp;'THAM_SO'!$B$6,'CHAM_CONG_NGAY'!$C$6:$C$4655,"&lt;="&amp;'THAM_SO'!$B$7),$L98))</f>
        <v/>
      </c>
      <c r="AK98" s="232">
        <f>IF($B98="","",IF($D98="Theo ngày",SUMIFS('CHAM_CONG_NGAY'!$M$6:$M$4655,'CHAM_CONG_NGAY'!$B$6:$B$4655,$B98,'CHAM_CONG_NGAY'!$C$6:$C$4655,"&gt;="&amp;'THAM_SO'!$B$6,'CHAM_CONG_NGAY'!$C$6:$C$4655,"&lt;="&amp;'THAM_SO'!$B$7),$M98))</f>
        <v/>
      </c>
      <c r="AL98" s="227" t="n"/>
      <c r="AM98" s="227" t="n"/>
      <c r="AN98" s="227" t="n"/>
      <c r="AO98" s="227" t="n"/>
      <c r="AP98" s="227" t="n"/>
      <c r="AQ98" s="227" t="n"/>
      <c r="AR98" s="232">
        <f>IF($B98="","",IF($D98="Theo ngày",SUMIFS('CHAM_CONG_NGAY'!$O$6:$O$4655,'CHAM_CONG_NGAY'!$B$6:$B$4655,$B98,'CHAM_CONG_NGAY'!$C$6:$C$4655,"&gt;="&amp;'THAM_SO'!$B$6,'CHAM_CONG_NGAY'!$C$6:$C$4655,"&lt;="&amp;'THAM_SO'!$B$7),$AL98))</f>
        <v/>
      </c>
      <c r="AS98" s="232">
        <f>IF($B98="","",IF($D98="Theo ngày",SUMIFS('CHAM_CONG_NGAY'!$P$6:$P$4655,'CHAM_CONG_NGAY'!$B$6:$B$4655,$B98,'CHAM_CONG_NGAY'!$C$6:$C$4655,"&gt;="&amp;'THAM_SO'!$B$6,'CHAM_CONG_NGAY'!$C$6:$C$4655,"&lt;="&amp;'THAM_SO'!$B$7),$AM98))</f>
        <v/>
      </c>
      <c r="AT98" s="232">
        <f>IF($B98="","",IF($D98="Theo ngày",SUMIFS('CHAM_CONG_NGAY'!$Q$6:$Q$4655,'CHAM_CONG_NGAY'!$B$6:$B$4655,$B98,'CHAM_CONG_NGAY'!$C$6:$C$4655,"&gt;="&amp;'THAM_SO'!$B$6,'CHAM_CONG_NGAY'!$C$6:$C$4655,"&lt;="&amp;'THAM_SO'!$B$7),$AN98))</f>
        <v/>
      </c>
      <c r="AU98" s="232">
        <f>IF($B98="","",IF($D98="Theo ngày",SUMIFS('CHAM_CONG_NGAY'!$R$6:$R$4655,'CHAM_CONG_NGAY'!$B$6:$B$4655,$B98,'CHAM_CONG_NGAY'!$C$6:$C$4655,"&gt;="&amp;'THAM_SO'!$B$6,'CHAM_CONG_NGAY'!$C$6:$C$4655,"&lt;="&amp;'THAM_SO'!$B$7),$AO98))</f>
        <v/>
      </c>
      <c r="AV98" s="232">
        <f>IF($B98="","",IF($D98="Theo ngày",SUMIFS('CHAM_CONG_NGAY'!$S$6:$S$4655,'CHAM_CONG_NGAY'!$B$6:$B$4655,$B98,'CHAM_CONG_NGAY'!$C$6:$C$4655,"&gt;="&amp;'THAM_SO'!$B$6,'CHAM_CONG_NGAY'!$C$6:$C$4655,"&lt;="&amp;'THAM_SO'!$B$7),$AP98))</f>
        <v/>
      </c>
      <c r="AW98" s="232">
        <f>IF($B98="","",IF($D98="Theo ngày",SUMIFS('CHAM_CONG_NGAY'!$T$6:$T$4655,'CHAM_CONG_NGAY'!$B$6:$B$4655,$B98,'CHAM_CONG_NGAY'!$C$6:$C$4655,"&gt;="&amp;'THAM_SO'!$B$6,'CHAM_CONG_NGAY'!$C$6:$C$4655,"&lt;="&amp;'THAM_SO'!$B$7),$AQ98))</f>
        <v/>
      </c>
    </row>
    <row r="99">
      <c r="A99" s="145">
        <f>IF($B99="","",ROW()-5)</f>
        <v/>
      </c>
      <c r="B99" s="145">
        <f>IF('DM_NHAN_SU'!B99="","",'DM_NHAN_SU'!B99)</f>
        <v/>
      </c>
      <c r="C99" s="145">
        <f>IF('DM_NHAN_SU'!B99="","",'DM_NHAN_SU'!C99)</f>
        <v/>
      </c>
      <c r="D99" s="127" t="n"/>
      <c r="E99" s="227" t="n"/>
      <c r="F99" s="227" t="n"/>
      <c r="G99" s="227" t="n"/>
      <c r="H99" s="227" t="n"/>
      <c r="I99" s="227" t="n"/>
      <c r="J99" s="227" t="n"/>
      <c r="K99" s="227" t="n"/>
      <c r="L99" s="227" t="n"/>
      <c r="M99" s="227" t="n"/>
      <c r="N99" s="227" t="n"/>
      <c r="O99" s="222" t="n"/>
      <c r="P99" s="222" t="n"/>
      <c r="Q99" s="222" t="n"/>
      <c r="R99" s="222" t="n"/>
      <c r="S99" s="222" t="n"/>
      <c r="T99" s="222" t="n"/>
      <c r="U99" s="222" t="n"/>
      <c r="V99" s="222" t="n"/>
      <c r="W99" s="222" t="n"/>
      <c r="X99" s="222" t="n"/>
      <c r="Y99" s="222" t="n"/>
      <c r="Z99" s="222" t="n"/>
      <c r="AA99" s="127" t="n"/>
      <c r="AB99" s="127" t="n"/>
      <c r="AC99" s="232">
        <f>IF($B99="","",IF($D99="Theo ngày",SUMIFS('CHAM_CONG_NGAY'!$E$6:$E$4655,'CHAM_CONG_NGAY'!$B$6:$B$4655,$B99,'CHAM_CONG_NGAY'!$C$6:$C$4655,"&gt;="&amp;'THAM_SO'!$B$6,'CHAM_CONG_NGAY'!$C$6:$C$4655,"&lt;="&amp;'THAM_SO'!$B$7),$E99))</f>
        <v/>
      </c>
      <c r="AD99" s="232">
        <f>IF($B99="","",IF($D99="Theo ngày",SUMIFS('CHAM_CONG_NGAY'!$F$6:$F$4655,'CHAM_CONG_NGAY'!$B$6:$B$4655,$B99,'CHAM_CONG_NGAY'!$C$6:$C$4655,"&gt;="&amp;'THAM_SO'!$B$6,'CHAM_CONG_NGAY'!$C$6:$C$4655,"&lt;="&amp;'THAM_SO'!$B$7),$F99))</f>
        <v/>
      </c>
      <c r="AE99" s="232">
        <f>IF($B99="","",IF($D99="Theo ngày",SUMIFS('CHAM_CONG_NGAY'!$G$6:$G$4655,'CHAM_CONG_NGAY'!$B$6:$B$4655,$B99,'CHAM_CONG_NGAY'!$C$6:$C$4655,"&gt;="&amp;'THAM_SO'!$B$6,'CHAM_CONG_NGAY'!$C$6:$C$4655,"&lt;="&amp;'THAM_SO'!$B$7),$G99))</f>
        <v/>
      </c>
      <c r="AF99" s="232">
        <f>IF($B99="","",IF($D99="Theo ngày",SUMIFS('CHAM_CONG_NGAY'!$H$6:$H$4655,'CHAM_CONG_NGAY'!$B$6:$B$4655,$B99,'CHAM_CONG_NGAY'!$C$6:$C$4655,"&gt;="&amp;'THAM_SO'!$B$6,'CHAM_CONG_NGAY'!$C$6:$C$4655,"&lt;="&amp;'THAM_SO'!$B$7),$H99))</f>
        <v/>
      </c>
      <c r="AG99" s="232">
        <f>IF($B99="","",IF($D99="Theo ngày",SUMIFS('CHAM_CONG_NGAY'!$I$6:$I$4655,'CHAM_CONG_NGAY'!$B$6:$B$4655,$B99,'CHAM_CONG_NGAY'!$C$6:$C$4655,"&gt;="&amp;'THAM_SO'!$B$6,'CHAM_CONG_NGAY'!$C$6:$C$4655,"&lt;="&amp;'THAM_SO'!$B$7),$I99))</f>
        <v/>
      </c>
      <c r="AH99" s="232">
        <f>IF($B99="","",IF($D99="Theo ngày",SUMIFS('CHAM_CONG_NGAY'!$J$6:$J$4655,'CHAM_CONG_NGAY'!$B$6:$B$4655,$B99,'CHAM_CONG_NGAY'!$C$6:$C$4655,"&gt;="&amp;'THAM_SO'!$B$6,'CHAM_CONG_NGAY'!$C$6:$C$4655,"&lt;="&amp;'THAM_SO'!$B$7),$J99))</f>
        <v/>
      </c>
      <c r="AI99" s="232">
        <f>IF($B99="","",IF($D99="Theo ngày",SUMIFS('CHAM_CONG_NGAY'!$K$6:$K$4655,'CHAM_CONG_NGAY'!$B$6:$B$4655,$B99,'CHAM_CONG_NGAY'!$C$6:$C$4655,"&gt;="&amp;'THAM_SO'!$B$6,'CHAM_CONG_NGAY'!$C$6:$C$4655,"&lt;="&amp;'THAM_SO'!$B$7),$K99))</f>
        <v/>
      </c>
      <c r="AJ99" s="232">
        <f>IF($B99="","",IF($D99="Theo ngày",SUMIFS('CHAM_CONG_NGAY'!$L$6:$L$4655,'CHAM_CONG_NGAY'!$B$6:$B$4655,$B99,'CHAM_CONG_NGAY'!$C$6:$C$4655,"&gt;="&amp;'THAM_SO'!$B$6,'CHAM_CONG_NGAY'!$C$6:$C$4655,"&lt;="&amp;'THAM_SO'!$B$7),$L99))</f>
        <v/>
      </c>
      <c r="AK99" s="232">
        <f>IF($B99="","",IF($D99="Theo ngày",SUMIFS('CHAM_CONG_NGAY'!$M$6:$M$4655,'CHAM_CONG_NGAY'!$B$6:$B$4655,$B99,'CHAM_CONG_NGAY'!$C$6:$C$4655,"&gt;="&amp;'THAM_SO'!$B$6,'CHAM_CONG_NGAY'!$C$6:$C$4655,"&lt;="&amp;'THAM_SO'!$B$7),$M99))</f>
        <v/>
      </c>
      <c r="AL99" s="227" t="n"/>
      <c r="AM99" s="227" t="n"/>
      <c r="AN99" s="227" t="n"/>
      <c r="AO99" s="227" t="n"/>
      <c r="AP99" s="227" t="n"/>
      <c r="AQ99" s="227" t="n"/>
      <c r="AR99" s="232">
        <f>IF($B99="","",IF($D99="Theo ngày",SUMIFS('CHAM_CONG_NGAY'!$O$6:$O$4655,'CHAM_CONG_NGAY'!$B$6:$B$4655,$B99,'CHAM_CONG_NGAY'!$C$6:$C$4655,"&gt;="&amp;'THAM_SO'!$B$6,'CHAM_CONG_NGAY'!$C$6:$C$4655,"&lt;="&amp;'THAM_SO'!$B$7),$AL99))</f>
        <v/>
      </c>
      <c r="AS99" s="232">
        <f>IF($B99="","",IF($D99="Theo ngày",SUMIFS('CHAM_CONG_NGAY'!$P$6:$P$4655,'CHAM_CONG_NGAY'!$B$6:$B$4655,$B99,'CHAM_CONG_NGAY'!$C$6:$C$4655,"&gt;="&amp;'THAM_SO'!$B$6,'CHAM_CONG_NGAY'!$C$6:$C$4655,"&lt;="&amp;'THAM_SO'!$B$7),$AM99))</f>
        <v/>
      </c>
      <c r="AT99" s="232">
        <f>IF($B99="","",IF($D99="Theo ngày",SUMIFS('CHAM_CONG_NGAY'!$Q$6:$Q$4655,'CHAM_CONG_NGAY'!$B$6:$B$4655,$B99,'CHAM_CONG_NGAY'!$C$6:$C$4655,"&gt;="&amp;'THAM_SO'!$B$6,'CHAM_CONG_NGAY'!$C$6:$C$4655,"&lt;="&amp;'THAM_SO'!$B$7),$AN99))</f>
        <v/>
      </c>
      <c r="AU99" s="232">
        <f>IF($B99="","",IF($D99="Theo ngày",SUMIFS('CHAM_CONG_NGAY'!$R$6:$R$4655,'CHAM_CONG_NGAY'!$B$6:$B$4655,$B99,'CHAM_CONG_NGAY'!$C$6:$C$4655,"&gt;="&amp;'THAM_SO'!$B$6,'CHAM_CONG_NGAY'!$C$6:$C$4655,"&lt;="&amp;'THAM_SO'!$B$7),$AO99))</f>
        <v/>
      </c>
      <c r="AV99" s="232">
        <f>IF($B99="","",IF($D99="Theo ngày",SUMIFS('CHAM_CONG_NGAY'!$S$6:$S$4655,'CHAM_CONG_NGAY'!$B$6:$B$4655,$B99,'CHAM_CONG_NGAY'!$C$6:$C$4655,"&gt;="&amp;'THAM_SO'!$B$6,'CHAM_CONG_NGAY'!$C$6:$C$4655,"&lt;="&amp;'THAM_SO'!$B$7),$AP99))</f>
        <v/>
      </c>
      <c r="AW99" s="232">
        <f>IF($B99="","",IF($D99="Theo ngày",SUMIFS('CHAM_CONG_NGAY'!$T$6:$T$4655,'CHAM_CONG_NGAY'!$B$6:$B$4655,$B99,'CHAM_CONG_NGAY'!$C$6:$C$4655,"&gt;="&amp;'THAM_SO'!$B$6,'CHAM_CONG_NGAY'!$C$6:$C$4655,"&lt;="&amp;'THAM_SO'!$B$7),$AQ99))</f>
        <v/>
      </c>
    </row>
    <row r="100">
      <c r="A100" s="145">
        <f>IF($B100="","",ROW()-5)</f>
        <v/>
      </c>
      <c r="B100" s="145">
        <f>IF('DM_NHAN_SU'!B100="","",'DM_NHAN_SU'!B100)</f>
        <v/>
      </c>
      <c r="C100" s="145">
        <f>IF('DM_NHAN_SU'!B100="","",'DM_NHAN_SU'!C100)</f>
        <v/>
      </c>
      <c r="D100" s="127" t="n"/>
      <c r="E100" s="227" t="n"/>
      <c r="F100" s="227" t="n"/>
      <c r="G100" s="227" t="n"/>
      <c r="H100" s="227" t="n"/>
      <c r="I100" s="227" t="n"/>
      <c r="J100" s="227" t="n"/>
      <c r="K100" s="227" t="n"/>
      <c r="L100" s="227" t="n"/>
      <c r="M100" s="227" t="n"/>
      <c r="N100" s="227" t="n"/>
      <c r="O100" s="222" t="n"/>
      <c r="P100" s="222" t="n"/>
      <c r="Q100" s="222" t="n"/>
      <c r="R100" s="222" t="n"/>
      <c r="S100" s="222" t="n"/>
      <c r="T100" s="222" t="n"/>
      <c r="U100" s="222" t="n"/>
      <c r="V100" s="222" t="n"/>
      <c r="W100" s="222" t="n"/>
      <c r="X100" s="222" t="n"/>
      <c r="Y100" s="222" t="n"/>
      <c r="Z100" s="222" t="n"/>
      <c r="AA100" s="127" t="n"/>
      <c r="AB100" s="127" t="n"/>
      <c r="AC100" s="232">
        <f>IF($B100="","",IF($D100="Theo ngày",SUMIFS('CHAM_CONG_NGAY'!$E$6:$E$4655,'CHAM_CONG_NGAY'!$B$6:$B$4655,$B100,'CHAM_CONG_NGAY'!$C$6:$C$4655,"&gt;="&amp;'THAM_SO'!$B$6,'CHAM_CONG_NGAY'!$C$6:$C$4655,"&lt;="&amp;'THAM_SO'!$B$7),$E100))</f>
        <v/>
      </c>
      <c r="AD100" s="232">
        <f>IF($B100="","",IF($D100="Theo ngày",SUMIFS('CHAM_CONG_NGAY'!$F$6:$F$4655,'CHAM_CONG_NGAY'!$B$6:$B$4655,$B100,'CHAM_CONG_NGAY'!$C$6:$C$4655,"&gt;="&amp;'THAM_SO'!$B$6,'CHAM_CONG_NGAY'!$C$6:$C$4655,"&lt;="&amp;'THAM_SO'!$B$7),$F100))</f>
        <v/>
      </c>
      <c r="AE100" s="232">
        <f>IF($B100="","",IF($D100="Theo ngày",SUMIFS('CHAM_CONG_NGAY'!$G$6:$G$4655,'CHAM_CONG_NGAY'!$B$6:$B$4655,$B100,'CHAM_CONG_NGAY'!$C$6:$C$4655,"&gt;="&amp;'THAM_SO'!$B$6,'CHAM_CONG_NGAY'!$C$6:$C$4655,"&lt;="&amp;'THAM_SO'!$B$7),$G100))</f>
        <v/>
      </c>
      <c r="AF100" s="232">
        <f>IF($B100="","",IF($D100="Theo ngày",SUMIFS('CHAM_CONG_NGAY'!$H$6:$H$4655,'CHAM_CONG_NGAY'!$B$6:$B$4655,$B100,'CHAM_CONG_NGAY'!$C$6:$C$4655,"&gt;="&amp;'THAM_SO'!$B$6,'CHAM_CONG_NGAY'!$C$6:$C$4655,"&lt;="&amp;'THAM_SO'!$B$7),$H100))</f>
        <v/>
      </c>
      <c r="AG100" s="232">
        <f>IF($B100="","",IF($D100="Theo ngày",SUMIFS('CHAM_CONG_NGAY'!$I$6:$I$4655,'CHAM_CONG_NGAY'!$B$6:$B$4655,$B100,'CHAM_CONG_NGAY'!$C$6:$C$4655,"&gt;="&amp;'THAM_SO'!$B$6,'CHAM_CONG_NGAY'!$C$6:$C$4655,"&lt;="&amp;'THAM_SO'!$B$7),$I100))</f>
        <v/>
      </c>
      <c r="AH100" s="232">
        <f>IF($B100="","",IF($D100="Theo ngày",SUMIFS('CHAM_CONG_NGAY'!$J$6:$J$4655,'CHAM_CONG_NGAY'!$B$6:$B$4655,$B100,'CHAM_CONG_NGAY'!$C$6:$C$4655,"&gt;="&amp;'THAM_SO'!$B$6,'CHAM_CONG_NGAY'!$C$6:$C$4655,"&lt;="&amp;'THAM_SO'!$B$7),$J100))</f>
        <v/>
      </c>
      <c r="AI100" s="232">
        <f>IF($B100="","",IF($D100="Theo ngày",SUMIFS('CHAM_CONG_NGAY'!$K$6:$K$4655,'CHAM_CONG_NGAY'!$B$6:$B$4655,$B100,'CHAM_CONG_NGAY'!$C$6:$C$4655,"&gt;="&amp;'THAM_SO'!$B$6,'CHAM_CONG_NGAY'!$C$6:$C$4655,"&lt;="&amp;'THAM_SO'!$B$7),$K100))</f>
        <v/>
      </c>
      <c r="AJ100" s="232">
        <f>IF($B100="","",IF($D100="Theo ngày",SUMIFS('CHAM_CONG_NGAY'!$L$6:$L$4655,'CHAM_CONG_NGAY'!$B$6:$B$4655,$B100,'CHAM_CONG_NGAY'!$C$6:$C$4655,"&gt;="&amp;'THAM_SO'!$B$6,'CHAM_CONG_NGAY'!$C$6:$C$4655,"&lt;="&amp;'THAM_SO'!$B$7),$L100))</f>
        <v/>
      </c>
      <c r="AK100" s="232">
        <f>IF($B100="","",IF($D100="Theo ngày",SUMIFS('CHAM_CONG_NGAY'!$M$6:$M$4655,'CHAM_CONG_NGAY'!$B$6:$B$4655,$B100,'CHAM_CONG_NGAY'!$C$6:$C$4655,"&gt;="&amp;'THAM_SO'!$B$6,'CHAM_CONG_NGAY'!$C$6:$C$4655,"&lt;="&amp;'THAM_SO'!$B$7),$M100))</f>
        <v/>
      </c>
      <c r="AL100" s="227" t="n"/>
      <c r="AM100" s="227" t="n"/>
      <c r="AN100" s="227" t="n"/>
      <c r="AO100" s="227" t="n"/>
      <c r="AP100" s="227" t="n"/>
      <c r="AQ100" s="227" t="n"/>
      <c r="AR100" s="232">
        <f>IF($B100="","",IF($D100="Theo ngày",SUMIFS('CHAM_CONG_NGAY'!$O$6:$O$4655,'CHAM_CONG_NGAY'!$B$6:$B$4655,$B100,'CHAM_CONG_NGAY'!$C$6:$C$4655,"&gt;="&amp;'THAM_SO'!$B$6,'CHAM_CONG_NGAY'!$C$6:$C$4655,"&lt;="&amp;'THAM_SO'!$B$7),$AL100))</f>
        <v/>
      </c>
      <c r="AS100" s="232">
        <f>IF($B100="","",IF($D100="Theo ngày",SUMIFS('CHAM_CONG_NGAY'!$P$6:$P$4655,'CHAM_CONG_NGAY'!$B$6:$B$4655,$B100,'CHAM_CONG_NGAY'!$C$6:$C$4655,"&gt;="&amp;'THAM_SO'!$B$6,'CHAM_CONG_NGAY'!$C$6:$C$4655,"&lt;="&amp;'THAM_SO'!$B$7),$AM100))</f>
        <v/>
      </c>
      <c r="AT100" s="232">
        <f>IF($B100="","",IF($D100="Theo ngày",SUMIFS('CHAM_CONG_NGAY'!$Q$6:$Q$4655,'CHAM_CONG_NGAY'!$B$6:$B$4655,$B100,'CHAM_CONG_NGAY'!$C$6:$C$4655,"&gt;="&amp;'THAM_SO'!$B$6,'CHAM_CONG_NGAY'!$C$6:$C$4655,"&lt;="&amp;'THAM_SO'!$B$7),$AN100))</f>
        <v/>
      </c>
      <c r="AU100" s="232">
        <f>IF($B100="","",IF($D100="Theo ngày",SUMIFS('CHAM_CONG_NGAY'!$R$6:$R$4655,'CHAM_CONG_NGAY'!$B$6:$B$4655,$B100,'CHAM_CONG_NGAY'!$C$6:$C$4655,"&gt;="&amp;'THAM_SO'!$B$6,'CHAM_CONG_NGAY'!$C$6:$C$4655,"&lt;="&amp;'THAM_SO'!$B$7),$AO100))</f>
        <v/>
      </c>
      <c r="AV100" s="232">
        <f>IF($B100="","",IF($D100="Theo ngày",SUMIFS('CHAM_CONG_NGAY'!$S$6:$S$4655,'CHAM_CONG_NGAY'!$B$6:$B$4655,$B100,'CHAM_CONG_NGAY'!$C$6:$C$4655,"&gt;="&amp;'THAM_SO'!$B$6,'CHAM_CONG_NGAY'!$C$6:$C$4655,"&lt;="&amp;'THAM_SO'!$B$7),$AP100))</f>
        <v/>
      </c>
      <c r="AW100" s="232">
        <f>IF($B100="","",IF($D100="Theo ngày",SUMIFS('CHAM_CONG_NGAY'!$T$6:$T$4655,'CHAM_CONG_NGAY'!$B$6:$B$4655,$B100,'CHAM_CONG_NGAY'!$C$6:$C$4655,"&gt;="&amp;'THAM_SO'!$B$6,'CHAM_CONG_NGAY'!$C$6:$C$4655,"&lt;="&amp;'THAM_SO'!$B$7),$AQ100))</f>
        <v/>
      </c>
    </row>
    <row r="101">
      <c r="A101" s="145">
        <f>IF($B101="","",ROW()-5)</f>
        <v/>
      </c>
      <c r="B101" s="145">
        <f>IF('DM_NHAN_SU'!B101="","",'DM_NHAN_SU'!B101)</f>
        <v/>
      </c>
      <c r="C101" s="145">
        <f>IF('DM_NHAN_SU'!B101="","",'DM_NHAN_SU'!C101)</f>
        <v/>
      </c>
      <c r="D101" s="127" t="n"/>
      <c r="E101" s="227" t="n"/>
      <c r="F101" s="227" t="n"/>
      <c r="G101" s="227" t="n"/>
      <c r="H101" s="227" t="n"/>
      <c r="I101" s="227" t="n"/>
      <c r="J101" s="227" t="n"/>
      <c r="K101" s="227" t="n"/>
      <c r="L101" s="227" t="n"/>
      <c r="M101" s="227" t="n"/>
      <c r="N101" s="227" t="n"/>
      <c r="O101" s="222" t="n"/>
      <c r="P101" s="222" t="n"/>
      <c r="Q101" s="222" t="n"/>
      <c r="R101" s="222" t="n"/>
      <c r="S101" s="222" t="n"/>
      <c r="T101" s="222" t="n"/>
      <c r="U101" s="222" t="n"/>
      <c r="V101" s="222" t="n"/>
      <c r="W101" s="222" t="n"/>
      <c r="X101" s="222" t="n"/>
      <c r="Y101" s="222" t="n"/>
      <c r="Z101" s="222" t="n"/>
      <c r="AA101" s="127" t="n"/>
      <c r="AB101" s="127" t="n"/>
      <c r="AC101" s="232">
        <f>IF($B101="","",IF($D101="Theo ngày",SUMIFS('CHAM_CONG_NGAY'!$E$6:$E$4655,'CHAM_CONG_NGAY'!$B$6:$B$4655,$B101,'CHAM_CONG_NGAY'!$C$6:$C$4655,"&gt;="&amp;'THAM_SO'!$B$6,'CHAM_CONG_NGAY'!$C$6:$C$4655,"&lt;="&amp;'THAM_SO'!$B$7),$E101))</f>
        <v/>
      </c>
      <c r="AD101" s="232">
        <f>IF($B101="","",IF($D101="Theo ngày",SUMIFS('CHAM_CONG_NGAY'!$F$6:$F$4655,'CHAM_CONG_NGAY'!$B$6:$B$4655,$B101,'CHAM_CONG_NGAY'!$C$6:$C$4655,"&gt;="&amp;'THAM_SO'!$B$6,'CHAM_CONG_NGAY'!$C$6:$C$4655,"&lt;="&amp;'THAM_SO'!$B$7),$F101))</f>
        <v/>
      </c>
      <c r="AE101" s="232">
        <f>IF($B101="","",IF($D101="Theo ngày",SUMIFS('CHAM_CONG_NGAY'!$G$6:$G$4655,'CHAM_CONG_NGAY'!$B$6:$B$4655,$B101,'CHAM_CONG_NGAY'!$C$6:$C$4655,"&gt;="&amp;'THAM_SO'!$B$6,'CHAM_CONG_NGAY'!$C$6:$C$4655,"&lt;="&amp;'THAM_SO'!$B$7),$G101))</f>
        <v/>
      </c>
      <c r="AF101" s="232">
        <f>IF($B101="","",IF($D101="Theo ngày",SUMIFS('CHAM_CONG_NGAY'!$H$6:$H$4655,'CHAM_CONG_NGAY'!$B$6:$B$4655,$B101,'CHAM_CONG_NGAY'!$C$6:$C$4655,"&gt;="&amp;'THAM_SO'!$B$6,'CHAM_CONG_NGAY'!$C$6:$C$4655,"&lt;="&amp;'THAM_SO'!$B$7),$H101))</f>
        <v/>
      </c>
      <c r="AG101" s="232">
        <f>IF($B101="","",IF($D101="Theo ngày",SUMIFS('CHAM_CONG_NGAY'!$I$6:$I$4655,'CHAM_CONG_NGAY'!$B$6:$B$4655,$B101,'CHAM_CONG_NGAY'!$C$6:$C$4655,"&gt;="&amp;'THAM_SO'!$B$6,'CHAM_CONG_NGAY'!$C$6:$C$4655,"&lt;="&amp;'THAM_SO'!$B$7),$I101))</f>
        <v/>
      </c>
      <c r="AH101" s="232">
        <f>IF($B101="","",IF($D101="Theo ngày",SUMIFS('CHAM_CONG_NGAY'!$J$6:$J$4655,'CHAM_CONG_NGAY'!$B$6:$B$4655,$B101,'CHAM_CONG_NGAY'!$C$6:$C$4655,"&gt;="&amp;'THAM_SO'!$B$6,'CHAM_CONG_NGAY'!$C$6:$C$4655,"&lt;="&amp;'THAM_SO'!$B$7),$J101))</f>
        <v/>
      </c>
      <c r="AI101" s="232">
        <f>IF($B101="","",IF($D101="Theo ngày",SUMIFS('CHAM_CONG_NGAY'!$K$6:$K$4655,'CHAM_CONG_NGAY'!$B$6:$B$4655,$B101,'CHAM_CONG_NGAY'!$C$6:$C$4655,"&gt;="&amp;'THAM_SO'!$B$6,'CHAM_CONG_NGAY'!$C$6:$C$4655,"&lt;="&amp;'THAM_SO'!$B$7),$K101))</f>
        <v/>
      </c>
      <c r="AJ101" s="232">
        <f>IF($B101="","",IF($D101="Theo ngày",SUMIFS('CHAM_CONG_NGAY'!$L$6:$L$4655,'CHAM_CONG_NGAY'!$B$6:$B$4655,$B101,'CHAM_CONG_NGAY'!$C$6:$C$4655,"&gt;="&amp;'THAM_SO'!$B$6,'CHAM_CONG_NGAY'!$C$6:$C$4655,"&lt;="&amp;'THAM_SO'!$B$7),$L101))</f>
        <v/>
      </c>
      <c r="AK101" s="232">
        <f>IF($B101="","",IF($D101="Theo ngày",SUMIFS('CHAM_CONG_NGAY'!$M$6:$M$4655,'CHAM_CONG_NGAY'!$B$6:$B$4655,$B101,'CHAM_CONG_NGAY'!$C$6:$C$4655,"&gt;="&amp;'THAM_SO'!$B$6,'CHAM_CONG_NGAY'!$C$6:$C$4655,"&lt;="&amp;'THAM_SO'!$B$7),$M101))</f>
        <v/>
      </c>
      <c r="AL101" s="227" t="n"/>
      <c r="AM101" s="227" t="n"/>
      <c r="AN101" s="227" t="n"/>
      <c r="AO101" s="227" t="n"/>
      <c r="AP101" s="227" t="n"/>
      <c r="AQ101" s="227" t="n"/>
      <c r="AR101" s="232">
        <f>IF($B101="","",IF($D101="Theo ngày",SUMIFS('CHAM_CONG_NGAY'!$O$6:$O$4655,'CHAM_CONG_NGAY'!$B$6:$B$4655,$B101,'CHAM_CONG_NGAY'!$C$6:$C$4655,"&gt;="&amp;'THAM_SO'!$B$6,'CHAM_CONG_NGAY'!$C$6:$C$4655,"&lt;="&amp;'THAM_SO'!$B$7),$AL101))</f>
        <v/>
      </c>
      <c r="AS101" s="232">
        <f>IF($B101="","",IF($D101="Theo ngày",SUMIFS('CHAM_CONG_NGAY'!$P$6:$P$4655,'CHAM_CONG_NGAY'!$B$6:$B$4655,$B101,'CHAM_CONG_NGAY'!$C$6:$C$4655,"&gt;="&amp;'THAM_SO'!$B$6,'CHAM_CONG_NGAY'!$C$6:$C$4655,"&lt;="&amp;'THAM_SO'!$B$7),$AM101))</f>
        <v/>
      </c>
      <c r="AT101" s="232">
        <f>IF($B101="","",IF($D101="Theo ngày",SUMIFS('CHAM_CONG_NGAY'!$Q$6:$Q$4655,'CHAM_CONG_NGAY'!$B$6:$B$4655,$B101,'CHAM_CONG_NGAY'!$C$6:$C$4655,"&gt;="&amp;'THAM_SO'!$B$6,'CHAM_CONG_NGAY'!$C$6:$C$4655,"&lt;="&amp;'THAM_SO'!$B$7),$AN101))</f>
        <v/>
      </c>
      <c r="AU101" s="232">
        <f>IF($B101="","",IF($D101="Theo ngày",SUMIFS('CHAM_CONG_NGAY'!$R$6:$R$4655,'CHAM_CONG_NGAY'!$B$6:$B$4655,$B101,'CHAM_CONG_NGAY'!$C$6:$C$4655,"&gt;="&amp;'THAM_SO'!$B$6,'CHAM_CONG_NGAY'!$C$6:$C$4655,"&lt;="&amp;'THAM_SO'!$B$7),$AO101))</f>
        <v/>
      </c>
      <c r="AV101" s="232">
        <f>IF($B101="","",IF($D101="Theo ngày",SUMIFS('CHAM_CONG_NGAY'!$S$6:$S$4655,'CHAM_CONG_NGAY'!$B$6:$B$4655,$B101,'CHAM_CONG_NGAY'!$C$6:$C$4655,"&gt;="&amp;'THAM_SO'!$B$6,'CHAM_CONG_NGAY'!$C$6:$C$4655,"&lt;="&amp;'THAM_SO'!$B$7),$AP101))</f>
        <v/>
      </c>
      <c r="AW101" s="232">
        <f>IF($B101="","",IF($D101="Theo ngày",SUMIFS('CHAM_CONG_NGAY'!$T$6:$T$4655,'CHAM_CONG_NGAY'!$B$6:$B$4655,$B101,'CHAM_CONG_NGAY'!$C$6:$C$4655,"&gt;="&amp;'THAM_SO'!$B$6,'CHAM_CONG_NGAY'!$C$6:$C$4655,"&lt;="&amp;'THAM_SO'!$B$7),$AQ101))</f>
        <v/>
      </c>
    </row>
    <row r="102">
      <c r="A102" s="145">
        <f>IF($B102="","",ROW()-5)</f>
        <v/>
      </c>
      <c r="B102" s="145">
        <f>IF('DM_NHAN_SU'!B102="","",'DM_NHAN_SU'!B102)</f>
        <v/>
      </c>
      <c r="C102" s="145">
        <f>IF('DM_NHAN_SU'!B102="","",'DM_NHAN_SU'!C102)</f>
        <v/>
      </c>
      <c r="D102" s="127" t="n"/>
      <c r="E102" s="227" t="n"/>
      <c r="F102" s="227" t="n"/>
      <c r="G102" s="227" t="n"/>
      <c r="H102" s="227" t="n"/>
      <c r="I102" s="227" t="n"/>
      <c r="J102" s="227" t="n"/>
      <c r="K102" s="227" t="n"/>
      <c r="L102" s="227" t="n"/>
      <c r="M102" s="227" t="n"/>
      <c r="N102" s="227" t="n"/>
      <c r="O102" s="222" t="n"/>
      <c r="P102" s="222" t="n"/>
      <c r="Q102" s="222" t="n"/>
      <c r="R102" s="222" t="n"/>
      <c r="S102" s="222" t="n"/>
      <c r="T102" s="222" t="n"/>
      <c r="U102" s="222" t="n"/>
      <c r="V102" s="222" t="n"/>
      <c r="W102" s="222" t="n"/>
      <c r="X102" s="222" t="n"/>
      <c r="Y102" s="222" t="n"/>
      <c r="Z102" s="222" t="n"/>
      <c r="AA102" s="127" t="n"/>
      <c r="AB102" s="127" t="n"/>
      <c r="AC102" s="232">
        <f>IF($B102="","",IF($D102="Theo ngày",SUMIFS('CHAM_CONG_NGAY'!$E$6:$E$4655,'CHAM_CONG_NGAY'!$B$6:$B$4655,$B102,'CHAM_CONG_NGAY'!$C$6:$C$4655,"&gt;="&amp;'THAM_SO'!$B$6,'CHAM_CONG_NGAY'!$C$6:$C$4655,"&lt;="&amp;'THAM_SO'!$B$7),$E102))</f>
        <v/>
      </c>
      <c r="AD102" s="232">
        <f>IF($B102="","",IF($D102="Theo ngày",SUMIFS('CHAM_CONG_NGAY'!$F$6:$F$4655,'CHAM_CONG_NGAY'!$B$6:$B$4655,$B102,'CHAM_CONG_NGAY'!$C$6:$C$4655,"&gt;="&amp;'THAM_SO'!$B$6,'CHAM_CONG_NGAY'!$C$6:$C$4655,"&lt;="&amp;'THAM_SO'!$B$7),$F102))</f>
        <v/>
      </c>
      <c r="AE102" s="232">
        <f>IF($B102="","",IF($D102="Theo ngày",SUMIFS('CHAM_CONG_NGAY'!$G$6:$G$4655,'CHAM_CONG_NGAY'!$B$6:$B$4655,$B102,'CHAM_CONG_NGAY'!$C$6:$C$4655,"&gt;="&amp;'THAM_SO'!$B$6,'CHAM_CONG_NGAY'!$C$6:$C$4655,"&lt;="&amp;'THAM_SO'!$B$7),$G102))</f>
        <v/>
      </c>
      <c r="AF102" s="232">
        <f>IF($B102="","",IF($D102="Theo ngày",SUMIFS('CHAM_CONG_NGAY'!$H$6:$H$4655,'CHAM_CONG_NGAY'!$B$6:$B$4655,$B102,'CHAM_CONG_NGAY'!$C$6:$C$4655,"&gt;="&amp;'THAM_SO'!$B$6,'CHAM_CONG_NGAY'!$C$6:$C$4655,"&lt;="&amp;'THAM_SO'!$B$7),$H102))</f>
        <v/>
      </c>
      <c r="AG102" s="232">
        <f>IF($B102="","",IF($D102="Theo ngày",SUMIFS('CHAM_CONG_NGAY'!$I$6:$I$4655,'CHAM_CONG_NGAY'!$B$6:$B$4655,$B102,'CHAM_CONG_NGAY'!$C$6:$C$4655,"&gt;="&amp;'THAM_SO'!$B$6,'CHAM_CONG_NGAY'!$C$6:$C$4655,"&lt;="&amp;'THAM_SO'!$B$7),$I102))</f>
        <v/>
      </c>
      <c r="AH102" s="232">
        <f>IF($B102="","",IF($D102="Theo ngày",SUMIFS('CHAM_CONG_NGAY'!$J$6:$J$4655,'CHAM_CONG_NGAY'!$B$6:$B$4655,$B102,'CHAM_CONG_NGAY'!$C$6:$C$4655,"&gt;="&amp;'THAM_SO'!$B$6,'CHAM_CONG_NGAY'!$C$6:$C$4655,"&lt;="&amp;'THAM_SO'!$B$7),$J102))</f>
        <v/>
      </c>
      <c r="AI102" s="232">
        <f>IF($B102="","",IF($D102="Theo ngày",SUMIFS('CHAM_CONG_NGAY'!$K$6:$K$4655,'CHAM_CONG_NGAY'!$B$6:$B$4655,$B102,'CHAM_CONG_NGAY'!$C$6:$C$4655,"&gt;="&amp;'THAM_SO'!$B$6,'CHAM_CONG_NGAY'!$C$6:$C$4655,"&lt;="&amp;'THAM_SO'!$B$7),$K102))</f>
        <v/>
      </c>
      <c r="AJ102" s="232">
        <f>IF($B102="","",IF($D102="Theo ngày",SUMIFS('CHAM_CONG_NGAY'!$L$6:$L$4655,'CHAM_CONG_NGAY'!$B$6:$B$4655,$B102,'CHAM_CONG_NGAY'!$C$6:$C$4655,"&gt;="&amp;'THAM_SO'!$B$6,'CHAM_CONG_NGAY'!$C$6:$C$4655,"&lt;="&amp;'THAM_SO'!$B$7),$L102))</f>
        <v/>
      </c>
      <c r="AK102" s="232">
        <f>IF($B102="","",IF($D102="Theo ngày",SUMIFS('CHAM_CONG_NGAY'!$M$6:$M$4655,'CHAM_CONG_NGAY'!$B$6:$B$4655,$B102,'CHAM_CONG_NGAY'!$C$6:$C$4655,"&gt;="&amp;'THAM_SO'!$B$6,'CHAM_CONG_NGAY'!$C$6:$C$4655,"&lt;="&amp;'THAM_SO'!$B$7),$M102))</f>
        <v/>
      </c>
      <c r="AL102" s="227" t="n"/>
      <c r="AM102" s="227" t="n"/>
      <c r="AN102" s="227" t="n"/>
      <c r="AO102" s="227" t="n"/>
      <c r="AP102" s="227" t="n"/>
      <c r="AQ102" s="227" t="n"/>
      <c r="AR102" s="232">
        <f>IF($B102="","",IF($D102="Theo ngày",SUMIFS('CHAM_CONG_NGAY'!$O$6:$O$4655,'CHAM_CONG_NGAY'!$B$6:$B$4655,$B102,'CHAM_CONG_NGAY'!$C$6:$C$4655,"&gt;="&amp;'THAM_SO'!$B$6,'CHAM_CONG_NGAY'!$C$6:$C$4655,"&lt;="&amp;'THAM_SO'!$B$7),$AL102))</f>
        <v/>
      </c>
      <c r="AS102" s="232">
        <f>IF($B102="","",IF($D102="Theo ngày",SUMIFS('CHAM_CONG_NGAY'!$P$6:$P$4655,'CHAM_CONG_NGAY'!$B$6:$B$4655,$B102,'CHAM_CONG_NGAY'!$C$6:$C$4655,"&gt;="&amp;'THAM_SO'!$B$6,'CHAM_CONG_NGAY'!$C$6:$C$4655,"&lt;="&amp;'THAM_SO'!$B$7),$AM102))</f>
        <v/>
      </c>
      <c r="AT102" s="232">
        <f>IF($B102="","",IF($D102="Theo ngày",SUMIFS('CHAM_CONG_NGAY'!$Q$6:$Q$4655,'CHAM_CONG_NGAY'!$B$6:$B$4655,$B102,'CHAM_CONG_NGAY'!$C$6:$C$4655,"&gt;="&amp;'THAM_SO'!$B$6,'CHAM_CONG_NGAY'!$C$6:$C$4655,"&lt;="&amp;'THAM_SO'!$B$7),$AN102))</f>
        <v/>
      </c>
      <c r="AU102" s="232">
        <f>IF($B102="","",IF($D102="Theo ngày",SUMIFS('CHAM_CONG_NGAY'!$R$6:$R$4655,'CHAM_CONG_NGAY'!$B$6:$B$4655,$B102,'CHAM_CONG_NGAY'!$C$6:$C$4655,"&gt;="&amp;'THAM_SO'!$B$6,'CHAM_CONG_NGAY'!$C$6:$C$4655,"&lt;="&amp;'THAM_SO'!$B$7),$AO102))</f>
        <v/>
      </c>
      <c r="AV102" s="232">
        <f>IF($B102="","",IF($D102="Theo ngày",SUMIFS('CHAM_CONG_NGAY'!$S$6:$S$4655,'CHAM_CONG_NGAY'!$B$6:$B$4655,$B102,'CHAM_CONG_NGAY'!$C$6:$C$4655,"&gt;="&amp;'THAM_SO'!$B$6,'CHAM_CONG_NGAY'!$C$6:$C$4655,"&lt;="&amp;'THAM_SO'!$B$7),$AP102))</f>
        <v/>
      </c>
      <c r="AW102" s="232">
        <f>IF($B102="","",IF($D102="Theo ngày",SUMIFS('CHAM_CONG_NGAY'!$T$6:$T$4655,'CHAM_CONG_NGAY'!$B$6:$B$4655,$B102,'CHAM_CONG_NGAY'!$C$6:$C$4655,"&gt;="&amp;'THAM_SO'!$B$6,'CHAM_CONG_NGAY'!$C$6:$C$4655,"&lt;="&amp;'THAM_SO'!$B$7),$AQ102))</f>
        <v/>
      </c>
    </row>
    <row r="103">
      <c r="A103" s="145">
        <f>IF($B103="","",ROW()-5)</f>
        <v/>
      </c>
      <c r="B103" s="145">
        <f>IF('DM_NHAN_SU'!B103="","",'DM_NHAN_SU'!B103)</f>
        <v/>
      </c>
      <c r="C103" s="145">
        <f>IF('DM_NHAN_SU'!B103="","",'DM_NHAN_SU'!C103)</f>
        <v/>
      </c>
      <c r="D103" s="127" t="n"/>
      <c r="E103" s="227" t="n"/>
      <c r="F103" s="227" t="n"/>
      <c r="G103" s="227" t="n"/>
      <c r="H103" s="227" t="n"/>
      <c r="I103" s="227" t="n"/>
      <c r="J103" s="227" t="n"/>
      <c r="K103" s="227" t="n"/>
      <c r="L103" s="227" t="n"/>
      <c r="M103" s="227" t="n"/>
      <c r="N103" s="227" t="n"/>
      <c r="O103" s="222" t="n"/>
      <c r="P103" s="222" t="n"/>
      <c r="Q103" s="222" t="n"/>
      <c r="R103" s="222" t="n"/>
      <c r="S103" s="222" t="n"/>
      <c r="T103" s="222" t="n"/>
      <c r="U103" s="222" t="n"/>
      <c r="V103" s="222" t="n"/>
      <c r="W103" s="222" t="n"/>
      <c r="X103" s="222" t="n"/>
      <c r="Y103" s="222" t="n"/>
      <c r="Z103" s="222" t="n"/>
      <c r="AA103" s="127" t="n"/>
      <c r="AB103" s="127" t="n"/>
      <c r="AC103" s="232">
        <f>IF($B103="","",IF($D103="Theo ngày",SUMIFS('CHAM_CONG_NGAY'!$E$6:$E$4655,'CHAM_CONG_NGAY'!$B$6:$B$4655,$B103,'CHAM_CONG_NGAY'!$C$6:$C$4655,"&gt;="&amp;'THAM_SO'!$B$6,'CHAM_CONG_NGAY'!$C$6:$C$4655,"&lt;="&amp;'THAM_SO'!$B$7),$E103))</f>
        <v/>
      </c>
      <c r="AD103" s="232">
        <f>IF($B103="","",IF($D103="Theo ngày",SUMIFS('CHAM_CONG_NGAY'!$F$6:$F$4655,'CHAM_CONG_NGAY'!$B$6:$B$4655,$B103,'CHAM_CONG_NGAY'!$C$6:$C$4655,"&gt;="&amp;'THAM_SO'!$B$6,'CHAM_CONG_NGAY'!$C$6:$C$4655,"&lt;="&amp;'THAM_SO'!$B$7),$F103))</f>
        <v/>
      </c>
      <c r="AE103" s="232">
        <f>IF($B103="","",IF($D103="Theo ngày",SUMIFS('CHAM_CONG_NGAY'!$G$6:$G$4655,'CHAM_CONG_NGAY'!$B$6:$B$4655,$B103,'CHAM_CONG_NGAY'!$C$6:$C$4655,"&gt;="&amp;'THAM_SO'!$B$6,'CHAM_CONG_NGAY'!$C$6:$C$4655,"&lt;="&amp;'THAM_SO'!$B$7),$G103))</f>
        <v/>
      </c>
      <c r="AF103" s="232">
        <f>IF($B103="","",IF($D103="Theo ngày",SUMIFS('CHAM_CONG_NGAY'!$H$6:$H$4655,'CHAM_CONG_NGAY'!$B$6:$B$4655,$B103,'CHAM_CONG_NGAY'!$C$6:$C$4655,"&gt;="&amp;'THAM_SO'!$B$6,'CHAM_CONG_NGAY'!$C$6:$C$4655,"&lt;="&amp;'THAM_SO'!$B$7),$H103))</f>
        <v/>
      </c>
      <c r="AG103" s="232">
        <f>IF($B103="","",IF($D103="Theo ngày",SUMIFS('CHAM_CONG_NGAY'!$I$6:$I$4655,'CHAM_CONG_NGAY'!$B$6:$B$4655,$B103,'CHAM_CONG_NGAY'!$C$6:$C$4655,"&gt;="&amp;'THAM_SO'!$B$6,'CHAM_CONG_NGAY'!$C$6:$C$4655,"&lt;="&amp;'THAM_SO'!$B$7),$I103))</f>
        <v/>
      </c>
      <c r="AH103" s="232">
        <f>IF($B103="","",IF($D103="Theo ngày",SUMIFS('CHAM_CONG_NGAY'!$J$6:$J$4655,'CHAM_CONG_NGAY'!$B$6:$B$4655,$B103,'CHAM_CONG_NGAY'!$C$6:$C$4655,"&gt;="&amp;'THAM_SO'!$B$6,'CHAM_CONG_NGAY'!$C$6:$C$4655,"&lt;="&amp;'THAM_SO'!$B$7),$J103))</f>
        <v/>
      </c>
      <c r="AI103" s="232">
        <f>IF($B103="","",IF($D103="Theo ngày",SUMIFS('CHAM_CONG_NGAY'!$K$6:$K$4655,'CHAM_CONG_NGAY'!$B$6:$B$4655,$B103,'CHAM_CONG_NGAY'!$C$6:$C$4655,"&gt;="&amp;'THAM_SO'!$B$6,'CHAM_CONG_NGAY'!$C$6:$C$4655,"&lt;="&amp;'THAM_SO'!$B$7),$K103))</f>
        <v/>
      </c>
      <c r="AJ103" s="232">
        <f>IF($B103="","",IF($D103="Theo ngày",SUMIFS('CHAM_CONG_NGAY'!$L$6:$L$4655,'CHAM_CONG_NGAY'!$B$6:$B$4655,$B103,'CHAM_CONG_NGAY'!$C$6:$C$4655,"&gt;="&amp;'THAM_SO'!$B$6,'CHAM_CONG_NGAY'!$C$6:$C$4655,"&lt;="&amp;'THAM_SO'!$B$7),$L103))</f>
        <v/>
      </c>
      <c r="AK103" s="232">
        <f>IF($B103="","",IF($D103="Theo ngày",SUMIFS('CHAM_CONG_NGAY'!$M$6:$M$4655,'CHAM_CONG_NGAY'!$B$6:$B$4655,$B103,'CHAM_CONG_NGAY'!$C$6:$C$4655,"&gt;="&amp;'THAM_SO'!$B$6,'CHAM_CONG_NGAY'!$C$6:$C$4655,"&lt;="&amp;'THAM_SO'!$B$7),$M103))</f>
        <v/>
      </c>
      <c r="AL103" s="227" t="n"/>
      <c r="AM103" s="227" t="n"/>
      <c r="AN103" s="227" t="n"/>
      <c r="AO103" s="227" t="n"/>
      <c r="AP103" s="227" t="n"/>
      <c r="AQ103" s="227" t="n"/>
      <c r="AR103" s="232">
        <f>IF($B103="","",IF($D103="Theo ngày",SUMIFS('CHAM_CONG_NGAY'!$O$6:$O$4655,'CHAM_CONG_NGAY'!$B$6:$B$4655,$B103,'CHAM_CONG_NGAY'!$C$6:$C$4655,"&gt;="&amp;'THAM_SO'!$B$6,'CHAM_CONG_NGAY'!$C$6:$C$4655,"&lt;="&amp;'THAM_SO'!$B$7),$AL103))</f>
        <v/>
      </c>
      <c r="AS103" s="232">
        <f>IF($B103="","",IF($D103="Theo ngày",SUMIFS('CHAM_CONG_NGAY'!$P$6:$P$4655,'CHAM_CONG_NGAY'!$B$6:$B$4655,$B103,'CHAM_CONG_NGAY'!$C$6:$C$4655,"&gt;="&amp;'THAM_SO'!$B$6,'CHAM_CONG_NGAY'!$C$6:$C$4655,"&lt;="&amp;'THAM_SO'!$B$7),$AM103))</f>
        <v/>
      </c>
      <c r="AT103" s="232">
        <f>IF($B103="","",IF($D103="Theo ngày",SUMIFS('CHAM_CONG_NGAY'!$Q$6:$Q$4655,'CHAM_CONG_NGAY'!$B$6:$B$4655,$B103,'CHAM_CONG_NGAY'!$C$6:$C$4655,"&gt;="&amp;'THAM_SO'!$B$6,'CHAM_CONG_NGAY'!$C$6:$C$4655,"&lt;="&amp;'THAM_SO'!$B$7),$AN103))</f>
        <v/>
      </c>
      <c r="AU103" s="232">
        <f>IF($B103="","",IF($D103="Theo ngày",SUMIFS('CHAM_CONG_NGAY'!$R$6:$R$4655,'CHAM_CONG_NGAY'!$B$6:$B$4655,$B103,'CHAM_CONG_NGAY'!$C$6:$C$4655,"&gt;="&amp;'THAM_SO'!$B$6,'CHAM_CONG_NGAY'!$C$6:$C$4655,"&lt;="&amp;'THAM_SO'!$B$7),$AO103))</f>
        <v/>
      </c>
      <c r="AV103" s="232">
        <f>IF($B103="","",IF($D103="Theo ngày",SUMIFS('CHAM_CONG_NGAY'!$S$6:$S$4655,'CHAM_CONG_NGAY'!$B$6:$B$4655,$B103,'CHAM_CONG_NGAY'!$C$6:$C$4655,"&gt;="&amp;'THAM_SO'!$B$6,'CHAM_CONG_NGAY'!$C$6:$C$4655,"&lt;="&amp;'THAM_SO'!$B$7),$AP103))</f>
        <v/>
      </c>
      <c r="AW103" s="232">
        <f>IF($B103="","",IF($D103="Theo ngày",SUMIFS('CHAM_CONG_NGAY'!$T$6:$T$4655,'CHAM_CONG_NGAY'!$B$6:$B$4655,$B103,'CHAM_CONG_NGAY'!$C$6:$C$4655,"&gt;="&amp;'THAM_SO'!$B$6,'CHAM_CONG_NGAY'!$C$6:$C$4655,"&lt;="&amp;'THAM_SO'!$B$7),$AQ103))</f>
        <v/>
      </c>
    </row>
    <row r="104">
      <c r="A104" s="145">
        <f>IF($B104="","",ROW()-5)</f>
        <v/>
      </c>
      <c r="B104" s="145">
        <f>IF('DM_NHAN_SU'!B104="","",'DM_NHAN_SU'!B104)</f>
        <v/>
      </c>
      <c r="C104" s="145">
        <f>IF('DM_NHAN_SU'!B104="","",'DM_NHAN_SU'!C104)</f>
        <v/>
      </c>
      <c r="D104" s="127" t="n"/>
      <c r="E104" s="227" t="n"/>
      <c r="F104" s="227" t="n"/>
      <c r="G104" s="227" t="n"/>
      <c r="H104" s="227" t="n"/>
      <c r="I104" s="227" t="n"/>
      <c r="J104" s="227" t="n"/>
      <c r="K104" s="227" t="n"/>
      <c r="L104" s="227" t="n"/>
      <c r="M104" s="227" t="n"/>
      <c r="N104" s="227" t="n"/>
      <c r="O104" s="222" t="n"/>
      <c r="P104" s="222" t="n"/>
      <c r="Q104" s="222" t="n"/>
      <c r="R104" s="222" t="n"/>
      <c r="S104" s="222" t="n"/>
      <c r="T104" s="222" t="n"/>
      <c r="U104" s="222" t="n"/>
      <c r="V104" s="222" t="n"/>
      <c r="W104" s="222" t="n"/>
      <c r="X104" s="222" t="n"/>
      <c r="Y104" s="222" t="n"/>
      <c r="Z104" s="222" t="n"/>
      <c r="AA104" s="127" t="n"/>
      <c r="AB104" s="127" t="n"/>
      <c r="AC104" s="232">
        <f>IF($B104="","",IF($D104="Theo ngày",SUMIFS('CHAM_CONG_NGAY'!$E$6:$E$4655,'CHAM_CONG_NGAY'!$B$6:$B$4655,$B104,'CHAM_CONG_NGAY'!$C$6:$C$4655,"&gt;="&amp;'THAM_SO'!$B$6,'CHAM_CONG_NGAY'!$C$6:$C$4655,"&lt;="&amp;'THAM_SO'!$B$7),$E104))</f>
        <v/>
      </c>
      <c r="AD104" s="232">
        <f>IF($B104="","",IF($D104="Theo ngày",SUMIFS('CHAM_CONG_NGAY'!$F$6:$F$4655,'CHAM_CONG_NGAY'!$B$6:$B$4655,$B104,'CHAM_CONG_NGAY'!$C$6:$C$4655,"&gt;="&amp;'THAM_SO'!$B$6,'CHAM_CONG_NGAY'!$C$6:$C$4655,"&lt;="&amp;'THAM_SO'!$B$7),$F104))</f>
        <v/>
      </c>
      <c r="AE104" s="232">
        <f>IF($B104="","",IF($D104="Theo ngày",SUMIFS('CHAM_CONG_NGAY'!$G$6:$G$4655,'CHAM_CONG_NGAY'!$B$6:$B$4655,$B104,'CHAM_CONG_NGAY'!$C$6:$C$4655,"&gt;="&amp;'THAM_SO'!$B$6,'CHAM_CONG_NGAY'!$C$6:$C$4655,"&lt;="&amp;'THAM_SO'!$B$7),$G104))</f>
        <v/>
      </c>
      <c r="AF104" s="232">
        <f>IF($B104="","",IF($D104="Theo ngày",SUMIFS('CHAM_CONG_NGAY'!$H$6:$H$4655,'CHAM_CONG_NGAY'!$B$6:$B$4655,$B104,'CHAM_CONG_NGAY'!$C$6:$C$4655,"&gt;="&amp;'THAM_SO'!$B$6,'CHAM_CONG_NGAY'!$C$6:$C$4655,"&lt;="&amp;'THAM_SO'!$B$7),$H104))</f>
        <v/>
      </c>
      <c r="AG104" s="232">
        <f>IF($B104="","",IF($D104="Theo ngày",SUMIFS('CHAM_CONG_NGAY'!$I$6:$I$4655,'CHAM_CONG_NGAY'!$B$6:$B$4655,$B104,'CHAM_CONG_NGAY'!$C$6:$C$4655,"&gt;="&amp;'THAM_SO'!$B$6,'CHAM_CONG_NGAY'!$C$6:$C$4655,"&lt;="&amp;'THAM_SO'!$B$7),$I104))</f>
        <v/>
      </c>
      <c r="AH104" s="232">
        <f>IF($B104="","",IF($D104="Theo ngày",SUMIFS('CHAM_CONG_NGAY'!$J$6:$J$4655,'CHAM_CONG_NGAY'!$B$6:$B$4655,$B104,'CHAM_CONG_NGAY'!$C$6:$C$4655,"&gt;="&amp;'THAM_SO'!$B$6,'CHAM_CONG_NGAY'!$C$6:$C$4655,"&lt;="&amp;'THAM_SO'!$B$7),$J104))</f>
        <v/>
      </c>
      <c r="AI104" s="232">
        <f>IF($B104="","",IF($D104="Theo ngày",SUMIFS('CHAM_CONG_NGAY'!$K$6:$K$4655,'CHAM_CONG_NGAY'!$B$6:$B$4655,$B104,'CHAM_CONG_NGAY'!$C$6:$C$4655,"&gt;="&amp;'THAM_SO'!$B$6,'CHAM_CONG_NGAY'!$C$6:$C$4655,"&lt;="&amp;'THAM_SO'!$B$7),$K104))</f>
        <v/>
      </c>
      <c r="AJ104" s="232">
        <f>IF($B104="","",IF($D104="Theo ngày",SUMIFS('CHAM_CONG_NGAY'!$L$6:$L$4655,'CHAM_CONG_NGAY'!$B$6:$B$4655,$B104,'CHAM_CONG_NGAY'!$C$6:$C$4655,"&gt;="&amp;'THAM_SO'!$B$6,'CHAM_CONG_NGAY'!$C$6:$C$4655,"&lt;="&amp;'THAM_SO'!$B$7),$L104))</f>
        <v/>
      </c>
      <c r="AK104" s="232">
        <f>IF($B104="","",IF($D104="Theo ngày",SUMIFS('CHAM_CONG_NGAY'!$M$6:$M$4655,'CHAM_CONG_NGAY'!$B$6:$B$4655,$B104,'CHAM_CONG_NGAY'!$C$6:$C$4655,"&gt;="&amp;'THAM_SO'!$B$6,'CHAM_CONG_NGAY'!$C$6:$C$4655,"&lt;="&amp;'THAM_SO'!$B$7),$M104))</f>
        <v/>
      </c>
      <c r="AL104" s="227" t="n"/>
      <c r="AM104" s="227" t="n"/>
      <c r="AN104" s="227" t="n"/>
      <c r="AO104" s="227" t="n"/>
      <c r="AP104" s="227" t="n"/>
      <c r="AQ104" s="227" t="n"/>
      <c r="AR104" s="232">
        <f>IF($B104="","",IF($D104="Theo ngày",SUMIFS('CHAM_CONG_NGAY'!$O$6:$O$4655,'CHAM_CONG_NGAY'!$B$6:$B$4655,$B104,'CHAM_CONG_NGAY'!$C$6:$C$4655,"&gt;="&amp;'THAM_SO'!$B$6,'CHAM_CONG_NGAY'!$C$6:$C$4655,"&lt;="&amp;'THAM_SO'!$B$7),$AL104))</f>
        <v/>
      </c>
      <c r="AS104" s="232">
        <f>IF($B104="","",IF($D104="Theo ngày",SUMIFS('CHAM_CONG_NGAY'!$P$6:$P$4655,'CHAM_CONG_NGAY'!$B$6:$B$4655,$B104,'CHAM_CONG_NGAY'!$C$6:$C$4655,"&gt;="&amp;'THAM_SO'!$B$6,'CHAM_CONG_NGAY'!$C$6:$C$4655,"&lt;="&amp;'THAM_SO'!$B$7),$AM104))</f>
        <v/>
      </c>
      <c r="AT104" s="232">
        <f>IF($B104="","",IF($D104="Theo ngày",SUMIFS('CHAM_CONG_NGAY'!$Q$6:$Q$4655,'CHAM_CONG_NGAY'!$B$6:$B$4655,$B104,'CHAM_CONG_NGAY'!$C$6:$C$4655,"&gt;="&amp;'THAM_SO'!$B$6,'CHAM_CONG_NGAY'!$C$6:$C$4655,"&lt;="&amp;'THAM_SO'!$B$7),$AN104))</f>
        <v/>
      </c>
      <c r="AU104" s="232">
        <f>IF($B104="","",IF($D104="Theo ngày",SUMIFS('CHAM_CONG_NGAY'!$R$6:$R$4655,'CHAM_CONG_NGAY'!$B$6:$B$4655,$B104,'CHAM_CONG_NGAY'!$C$6:$C$4655,"&gt;="&amp;'THAM_SO'!$B$6,'CHAM_CONG_NGAY'!$C$6:$C$4655,"&lt;="&amp;'THAM_SO'!$B$7),$AO104))</f>
        <v/>
      </c>
      <c r="AV104" s="232">
        <f>IF($B104="","",IF($D104="Theo ngày",SUMIFS('CHAM_CONG_NGAY'!$S$6:$S$4655,'CHAM_CONG_NGAY'!$B$6:$B$4655,$B104,'CHAM_CONG_NGAY'!$C$6:$C$4655,"&gt;="&amp;'THAM_SO'!$B$6,'CHAM_CONG_NGAY'!$C$6:$C$4655,"&lt;="&amp;'THAM_SO'!$B$7),$AP104))</f>
        <v/>
      </c>
      <c r="AW104" s="232">
        <f>IF($B104="","",IF($D104="Theo ngày",SUMIFS('CHAM_CONG_NGAY'!$T$6:$T$4655,'CHAM_CONG_NGAY'!$B$6:$B$4655,$B104,'CHAM_CONG_NGAY'!$C$6:$C$4655,"&gt;="&amp;'THAM_SO'!$B$6,'CHAM_CONG_NGAY'!$C$6:$C$4655,"&lt;="&amp;'THAM_SO'!$B$7),$AQ104))</f>
        <v/>
      </c>
    </row>
    <row r="105">
      <c r="A105" s="145">
        <f>IF($B105="","",ROW()-5)</f>
        <v/>
      </c>
      <c r="B105" s="145">
        <f>IF('DM_NHAN_SU'!B105="","",'DM_NHAN_SU'!B105)</f>
        <v/>
      </c>
      <c r="C105" s="145">
        <f>IF('DM_NHAN_SU'!B105="","",'DM_NHAN_SU'!C105)</f>
        <v/>
      </c>
      <c r="D105" s="127" t="n"/>
      <c r="E105" s="227" t="n"/>
      <c r="F105" s="227" t="n"/>
      <c r="G105" s="227" t="n"/>
      <c r="H105" s="227" t="n"/>
      <c r="I105" s="227" t="n"/>
      <c r="J105" s="227" t="n"/>
      <c r="K105" s="227" t="n"/>
      <c r="L105" s="227" t="n"/>
      <c r="M105" s="227" t="n"/>
      <c r="N105" s="227" t="n"/>
      <c r="O105" s="222" t="n"/>
      <c r="P105" s="222" t="n"/>
      <c r="Q105" s="222" t="n"/>
      <c r="R105" s="222" t="n"/>
      <c r="S105" s="222" t="n"/>
      <c r="T105" s="222" t="n"/>
      <c r="U105" s="222" t="n"/>
      <c r="V105" s="222" t="n"/>
      <c r="W105" s="222" t="n"/>
      <c r="X105" s="222" t="n"/>
      <c r="Y105" s="222" t="n"/>
      <c r="Z105" s="222" t="n"/>
      <c r="AA105" s="127" t="n"/>
      <c r="AB105" s="127" t="n"/>
      <c r="AC105" s="232">
        <f>IF($B105="","",IF($D105="Theo ngày",SUMIFS('CHAM_CONG_NGAY'!$E$6:$E$4655,'CHAM_CONG_NGAY'!$B$6:$B$4655,$B105,'CHAM_CONG_NGAY'!$C$6:$C$4655,"&gt;="&amp;'THAM_SO'!$B$6,'CHAM_CONG_NGAY'!$C$6:$C$4655,"&lt;="&amp;'THAM_SO'!$B$7),$E105))</f>
        <v/>
      </c>
      <c r="AD105" s="232">
        <f>IF($B105="","",IF($D105="Theo ngày",SUMIFS('CHAM_CONG_NGAY'!$F$6:$F$4655,'CHAM_CONG_NGAY'!$B$6:$B$4655,$B105,'CHAM_CONG_NGAY'!$C$6:$C$4655,"&gt;="&amp;'THAM_SO'!$B$6,'CHAM_CONG_NGAY'!$C$6:$C$4655,"&lt;="&amp;'THAM_SO'!$B$7),$F105))</f>
        <v/>
      </c>
      <c r="AE105" s="232">
        <f>IF($B105="","",IF($D105="Theo ngày",SUMIFS('CHAM_CONG_NGAY'!$G$6:$G$4655,'CHAM_CONG_NGAY'!$B$6:$B$4655,$B105,'CHAM_CONG_NGAY'!$C$6:$C$4655,"&gt;="&amp;'THAM_SO'!$B$6,'CHAM_CONG_NGAY'!$C$6:$C$4655,"&lt;="&amp;'THAM_SO'!$B$7),$G105))</f>
        <v/>
      </c>
      <c r="AF105" s="232">
        <f>IF($B105="","",IF($D105="Theo ngày",SUMIFS('CHAM_CONG_NGAY'!$H$6:$H$4655,'CHAM_CONG_NGAY'!$B$6:$B$4655,$B105,'CHAM_CONG_NGAY'!$C$6:$C$4655,"&gt;="&amp;'THAM_SO'!$B$6,'CHAM_CONG_NGAY'!$C$6:$C$4655,"&lt;="&amp;'THAM_SO'!$B$7),$H105))</f>
        <v/>
      </c>
      <c r="AG105" s="232">
        <f>IF($B105="","",IF($D105="Theo ngày",SUMIFS('CHAM_CONG_NGAY'!$I$6:$I$4655,'CHAM_CONG_NGAY'!$B$6:$B$4655,$B105,'CHAM_CONG_NGAY'!$C$6:$C$4655,"&gt;="&amp;'THAM_SO'!$B$6,'CHAM_CONG_NGAY'!$C$6:$C$4655,"&lt;="&amp;'THAM_SO'!$B$7),$I105))</f>
        <v/>
      </c>
      <c r="AH105" s="232">
        <f>IF($B105="","",IF($D105="Theo ngày",SUMIFS('CHAM_CONG_NGAY'!$J$6:$J$4655,'CHAM_CONG_NGAY'!$B$6:$B$4655,$B105,'CHAM_CONG_NGAY'!$C$6:$C$4655,"&gt;="&amp;'THAM_SO'!$B$6,'CHAM_CONG_NGAY'!$C$6:$C$4655,"&lt;="&amp;'THAM_SO'!$B$7),$J105))</f>
        <v/>
      </c>
      <c r="AI105" s="232">
        <f>IF($B105="","",IF($D105="Theo ngày",SUMIFS('CHAM_CONG_NGAY'!$K$6:$K$4655,'CHAM_CONG_NGAY'!$B$6:$B$4655,$B105,'CHAM_CONG_NGAY'!$C$6:$C$4655,"&gt;="&amp;'THAM_SO'!$B$6,'CHAM_CONG_NGAY'!$C$6:$C$4655,"&lt;="&amp;'THAM_SO'!$B$7),$K105))</f>
        <v/>
      </c>
      <c r="AJ105" s="232">
        <f>IF($B105="","",IF($D105="Theo ngày",SUMIFS('CHAM_CONG_NGAY'!$L$6:$L$4655,'CHAM_CONG_NGAY'!$B$6:$B$4655,$B105,'CHAM_CONG_NGAY'!$C$6:$C$4655,"&gt;="&amp;'THAM_SO'!$B$6,'CHAM_CONG_NGAY'!$C$6:$C$4655,"&lt;="&amp;'THAM_SO'!$B$7),$L105))</f>
        <v/>
      </c>
      <c r="AK105" s="232">
        <f>IF($B105="","",IF($D105="Theo ngày",SUMIFS('CHAM_CONG_NGAY'!$M$6:$M$4655,'CHAM_CONG_NGAY'!$B$6:$B$4655,$B105,'CHAM_CONG_NGAY'!$C$6:$C$4655,"&gt;="&amp;'THAM_SO'!$B$6,'CHAM_CONG_NGAY'!$C$6:$C$4655,"&lt;="&amp;'THAM_SO'!$B$7),$M105))</f>
        <v/>
      </c>
      <c r="AL105" s="227" t="n"/>
      <c r="AM105" s="227" t="n"/>
      <c r="AN105" s="227" t="n"/>
      <c r="AO105" s="227" t="n"/>
      <c r="AP105" s="227" t="n"/>
      <c r="AQ105" s="227" t="n"/>
      <c r="AR105" s="232">
        <f>IF($B105="","",IF($D105="Theo ngày",SUMIFS('CHAM_CONG_NGAY'!$O$6:$O$4655,'CHAM_CONG_NGAY'!$B$6:$B$4655,$B105,'CHAM_CONG_NGAY'!$C$6:$C$4655,"&gt;="&amp;'THAM_SO'!$B$6,'CHAM_CONG_NGAY'!$C$6:$C$4655,"&lt;="&amp;'THAM_SO'!$B$7),$AL105))</f>
        <v/>
      </c>
      <c r="AS105" s="232">
        <f>IF($B105="","",IF($D105="Theo ngày",SUMIFS('CHAM_CONG_NGAY'!$P$6:$P$4655,'CHAM_CONG_NGAY'!$B$6:$B$4655,$B105,'CHAM_CONG_NGAY'!$C$6:$C$4655,"&gt;="&amp;'THAM_SO'!$B$6,'CHAM_CONG_NGAY'!$C$6:$C$4655,"&lt;="&amp;'THAM_SO'!$B$7),$AM105))</f>
        <v/>
      </c>
      <c r="AT105" s="232">
        <f>IF($B105="","",IF($D105="Theo ngày",SUMIFS('CHAM_CONG_NGAY'!$Q$6:$Q$4655,'CHAM_CONG_NGAY'!$B$6:$B$4655,$B105,'CHAM_CONG_NGAY'!$C$6:$C$4655,"&gt;="&amp;'THAM_SO'!$B$6,'CHAM_CONG_NGAY'!$C$6:$C$4655,"&lt;="&amp;'THAM_SO'!$B$7),$AN105))</f>
        <v/>
      </c>
      <c r="AU105" s="232">
        <f>IF($B105="","",IF($D105="Theo ngày",SUMIFS('CHAM_CONG_NGAY'!$R$6:$R$4655,'CHAM_CONG_NGAY'!$B$6:$B$4655,$B105,'CHAM_CONG_NGAY'!$C$6:$C$4655,"&gt;="&amp;'THAM_SO'!$B$6,'CHAM_CONG_NGAY'!$C$6:$C$4655,"&lt;="&amp;'THAM_SO'!$B$7),$AO105))</f>
        <v/>
      </c>
      <c r="AV105" s="232">
        <f>IF($B105="","",IF($D105="Theo ngày",SUMIFS('CHAM_CONG_NGAY'!$S$6:$S$4655,'CHAM_CONG_NGAY'!$B$6:$B$4655,$B105,'CHAM_CONG_NGAY'!$C$6:$C$4655,"&gt;="&amp;'THAM_SO'!$B$6,'CHAM_CONG_NGAY'!$C$6:$C$4655,"&lt;="&amp;'THAM_SO'!$B$7),$AP105))</f>
        <v/>
      </c>
      <c r="AW105" s="232">
        <f>IF($B105="","",IF($D105="Theo ngày",SUMIFS('CHAM_CONG_NGAY'!$T$6:$T$4655,'CHAM_CONG_NGAY'!$B$6:$B$4655,$B105,'CHAM_CONG_NGAY'!$C$6:$C$4655,"&gt;="&amp;'THAM_SO'!$B$6,'CHAM_CONG_NGAY'!$C$6:$C$4655,"&lt;="&amp;'THAM_SO'!$B$7),$AQ105))</f>
        <v/>
      </c>
    </row>
    <row r="106">
      <c r="A106" s="145">
        <f>IF($B106="","",ROW()-5)</f>
        <v/>
      </c>
      <c r="B106" s="145">
        <f>IF('DM_NHAN_SU'!B106="","",'DM_NHAN_SU'!B106)</f>
        <v/>
      </c>
      <c r="C106" s="145">
        <f>IF('DM_NHAN_SU'!B106="","",'DM_NHAN_SU'!C106)</f>
        <v/>
      </c>
      <c r="D106" s="127" t="n"/>
      <c r="E106" s="227" t="n"/>
      <c r="F106" s="227" t="n"/>
      <c r="G106" s="227" t="n"/>
      <c r="H106" s="227" t="n"/>
      <c r="I106" s="227" t="n"/>
      <c r="J106" s="227" t="n"/>
      <c r="K106" s="227" t="n"/>
      <c r="L106" s="227" t="n"/>
      <c r="M106" s="227" t="n"/>
      <c r="N106" s="227" t="n"/>
      <c r="O106" s="222" t="n"/>
      <c r="P106" s="222" t="n"/>
      <c r="Q106" s="222" t="n"/>
      <c r="R106" s="222" t="n"/>
      <c r="S106" s="222" t="n"/>
      <c r="T106" s="222" t="n"/>
      <c r="U106" s="222" t="n"/>
      <c r="V106" s="222" t="n"/>
      <c r="W106" s="222" t="n"/>
      <c r="X106" s="222" t="n"/>
      <c r="Y106" s="222" t="n"/>
      <c r="Z106" s="222" t="n"/>
      <c r="AA106" s="127" t="n"/>
      <c r="AB106" s="127" t="n"/>
      <c r="AC106" s="232">
        <f>IF($B106="","",IF($D106="Theo ngày",SUMIFS('CHAM_CONG_NGAY'!$E$6:$E$4655,'CHAM_CONG_NGAY'!$B$6:$B$4655,$B106,'CHAM_CONG_NGAY'!$C$6:$C$4655,"&gt;="&amp;'THAM_SO'!$B$6,'CHAM_CONG_NGAY'!$C$6:$C$4655,"&lt;="&amp;'THAM_SO'!$B$7),$E106))</f>
        <v/>
      </c>
      <c r="AD106" s="232">
        <f>IF($B106="","",IF($D106="Theo ngày",SUMIFS('CHAM_CONG_NGAY'!$F$6:$F$4655,'CHAM_CONG_NGAY'!$B$6:$B$4655,$B106,'CHAM_CONG_NGAY'!$C$6:$C$4655,"&gt;="&amp;'THAM_SO'!$B$6,'CHAM_CONG_NGAY'!$C$6:$C$4655,"&lt;="&amp;'THAM_SO'!$B$7),$F106))</f>
        <v/>
      </c>
      <c r="AE106" s="232">
        <f>IF($B106="","",IF($D106="Theo ngày",SUMIFS('CHAM_CONG_NGAY'!$G$6:$G$4655,'CHAM_CONG_NGAY'!$B$6:$B$4655,$B106,'CHAM_CONG_NGAY'!$C$6:$C$4655,"&gt;="&amp;'THAM_SO'!$B$6,'CHAM_CONG_NGAY'!$C$6:$C$4655,"&lt;="&amp;'THAM_SO'!$B$7),$G106))</f>
        <v/>
      </c>
      <c r="AF106" s="232">
        <f>IF($B106="","",IF($D106="Theo ngày",SUMIFS('CHAM_CONG_NGAY'!$H$6:$H$4655,'CHAM_CONG_NGAY'!$B$6:$B$4655,$B106,'CHAM_CONG_NGAY'!$C$6:$C$4655,"&gt;="&amp;'THAM_SO'!$B$6,'CHAM_CONG_NGAY'!$C$6:$C$4655,"&lt;="&amp;'THAM_SO'!$B$7),$H106))</f>
        <v/>
      </c>
      <c r="AG106" s="232">
        <f>IF($B106="","",IF($D106="Theo ngày",SUMIFS('CHAM_CONG_NGAY'!$I$6:$I$4655,'CHAM_CONG_NGAY'!$B$6:$B$4655,$B106,'CHAM_CONG_NGAY'!$C$6:$C$4655,"&gt;="&amp;'THAM_SO'!$B$6,'CHAM_CONG_NGAY'!$C$6:$C$4655,"&lt;="&amp;'THAM_SO'!$B$7),$I106))</f>
        <v/>
      </c>
      <c r="AH106" s="232">
        <f>IF($B106="","",IF($D106="Theo ngày",SUMIFS('CHAM_CONG_NGAY'!$J$6:$J$4655,'CHAM_CONG_NGAY'!$B$6:$B$4655,$B106,'CHAM_CONG_NGAY'!$C$6:$C$4655,"&gt;="&amp;'THAM_SO'!$B$6,'CHAM_CONG_NGAY'!$C$6:$C$4655,"&lt;="&amp;'THAM_SO'!$B$7),$J106))</f>
        <v/>
      </c>
      <c r="AI106" s="232">
        <f>IF($B106="","",IF($D106="Theo ngày",SUMIFS('CHAM_CONG_NGAY'!$K$6:$K$4655,'CHAM_CONG_NGAY'!$B$6:$B$4655,$B106,'CHAM_CONG_NGAY'!$C$6:$C$4655,"&gt;="&amp;'THAM_SO'!$B$6,'CHAM_CONG_NGAY'!$C$6:$C$4655,"&lt;="&amp;'THAM_SO'!$B$7),$K106))</f>
        <v/>
      </c>
      <c r="AJ106" s="232">
        <f>IF($B106="","",IF($D106="Theo ngày",SUMIFS('CHAM_CONG_NGAY'!$L$6:$L$4655,'CHAM_CONG_NGAY'!$B$6:$B$4655,$B106,'CHAM_CONG_NGAY'!$C$6:$C$4655,"&gt;="&amp;'THAM_SO'!$B$6,'CHAM_CONG_NGAY'!$C$6:$C$4655,"&lt;="&amp;'THAM_SO'!$B$7),$L106))</f>
        <v/>
      </c>
      <c r="AK106" s="232">
        <f>IF($B106="","",IF($D106="Theo ngày",SUMIFS('CHAM_CONG_NGAY'!$M$6:$M$4655,'CHAM_CONG_NGAY'!$B$6:$B$4655,$B106,'CHAM_CONG_NGAY'!$C$6:$C$4655,"&gt;="&amp;'THAM_SO'!$B$6,'CHAM_CONG_NGAY'!$C$6:$C$4655,"&lt;="&amp;'THAM_SO'!$B$7),$M106))</f>
        <v/>
      </c>
      <c r="AL106" s="227" t="n"/>
      <c r="AM106" s="227" t="n"/>
      <c r="AN106" s="227" t="n"/>
      <c r="AO106" s="227" t="n"/>
      <c r="AP106" s="227" t="n"/>
      <c r="AQ106" s="227" t="n"/>
      <c r="AR106" s="232">
        <f>IF($B106="","",IF($D106="Theo ngày",SUMIFS('CHAM_CONG_NGAY'!$O$6:$O$4655,'CHAM_CONG_NGAY'!$B$6:$B$4655,$B106,'CHAM_CONG_NGAY'!$C$6:$C$4655,"&gt;="&amp;'THAM_SO'!$B$6,'CHAM_CONG_NGAY'!$C$6:$C$4655,"&lt;="&amp;'THAM_SO'!$B$7),$AL106))</f>
        <v/>
      </c>
      <c r="AS106" s="232">
        <f>IF($B106="","",IF($D106="Theo ngày",SUMIFS('CHAM_CONG_NGAY'!$P$6:$P$4655,'CHAM_CONG_NGAY'!$B$6:$B$4655,$B106,'CHAM_CONG_NGAY'!$C$6:$C$4655,"&gt;="&amp;'THAM_SO'!$B$6,'CHAM_CONG_NGAY'!$C$6:$C$4655,"&lt;="&amp;'THAM_SO'!$B$7),$AM106))</f>
        <v/>
      </c>
      <c r="AT106" s="232">
        <f>IF($B106="","",IF($D106="Theo ngày",SUMIFS('CHAM_CONG_NGAY'!$Q$6:$Q$4655,'CHAM_CONG_NGAY'!$B$6:$B$4655,$B106,'CHAM_CONG_NGAY'!$C$6:$C$4655,"&gt;="&amp;'THAM_SO'!$B$6,'CHAM_CONG_NGAY'!$C$6:$C$4655,"&lt;="&amp;'THAM_SO'!$B$7),$AN106))</f>
        <v/>
      </c>
      <c r="AU106" s="232">
        <f>IF($B106="","",IF($D106="Theo ngày",SUMIFS('CHAM_CONG_NGAY'!$R$6:$R$4655,'CHAM_CONG_NGAY'!$B$6:$B$4655,$B106,'CHAM_CONG_NGAY'!$C$6:$C$4655,"&gt;="&amp;'THAM_SO'!$B$6,'CHAM_CONG_NGAY'!$C$6:$C$4655,"&lt;="&amp;'THAM_SO'!$B$7),$AO106))</f>
        <v/>
      </c>
      <c r="AV106" s="232">
        <f>IF($B106="","",IF($D106="Theo ngày",SUMIFS('CHAM_CONG_NGAY'!$S$6:$S$4655,'CHAM_CONG_NGAY'!$B$6:$B$4655,$B106,'CHAM_CONG_NGAY'!$C$6:$C$4655,"&gt;="&amp;'THAM_SO'!$B$6,'CHAM_CONG_NGAY'!$C$6:$C$4655,"&lt;="&amp;'THAM_SO'!$B$7),$AP106))</f>
        <v/>
      </c>
      <c r="AW106" s="232">
        <f>IF($B106="","",IF($D106="Theo ngày",SUMIFS('CHAM_CONG_NGAY'!$T$6:$T$4655,'CHAM_CONG_NGAY'!$B$6:$B$4655,$B106,'CHAM_CONG_NGAY'!$C$6:$C$4655,"&gt;="&amp;'THAM_SO'!$B$6,'CHAM_CONG_NGAY'!$C$6:$C$4655,"&lt;="&amp;'THAM_SO'!$B$7),$AQ106))</f>
        <v/>
      </c>
    </row>
    <row r="107">
      <c r="A107" s="145">
        <f>IF($B107="","",ROW()-5)</f>
        <v/>
      </c>
      <c r="B107" s="145">
        <f>IF('DM_NHAN_SU'!B107="","",'DM_NHAN_SU'!B107)</f>
        <v/>
      </c>
      <c r="C107" s="145">
        <f>IF('DM_NHAN_SU'!B107="","",'DM_NHAN_SU'!C107)</f>
        <v/>
      </c>
      <c r="D107" s="127" t="n"/>
      <c r="E107" s="227" t="n"/>
      <c r="F107" s="227" t="n"/>
      <c r="G107" s="227" t="n"/>
      <c r="H107" s="227" t="n"/>
      <c r="I107" s="227" t="n"/>
      <c r="J107" s="227" t="n"/>
      <c r="K107" s="227" t="n"/>
      <c r="L107" s="227" t="n"/>
      <c r="M107" s="227" t="n"/>
      <c r="N107" s="227" t="n"/>
      <c r="O107" s="222" t="n"/>
      <c r="P107" s="222" t="n"/>
      <c r="Q107" s="222" t="n"/>
      <c r="R107" s="222" t="n"/>
      <c r="S107" s="222" t="n"/>
      <c r="T107" s="222" t="n"/>
      <c r="U107" s="222" t="n"/>
      <c r="V107" s="222" t="n"/>
      <c r="W107" s="222" t="n"/>
      <c r="X107" s="222" t="n"/>
      <c r="Y107" s="222" t="n"/>
      <c r="Z107" s="222" t="n"/>
      <c r="AA107" s="127" t="n"/>
      <c r="AB107" s="127" t="n"/>
      <c r="AC107" s="232">
        <f>IF($B107="","",IF($D107="Theo ngày",SUMIFS('CHAM_CONG_NGAY'!$E$6:$E$4655,'CHAM_CONG_NGAY'!$B$6:$B$4655,$B107,'CHAM_CONG_NGAY'!$C$6:$C$4655,"&gt;="&amp;'THAM_SO'!$B$6,'CHAM_CONG_NGAY'!$C$6:$C$4655,"&lt;="&amp;'THAM_SO'!$B$7),$E107))</f>
        <v/>
      </c>
      <c r="AD107" s="232">
        <f>IF($B107="","",IF($D107="Theo ngày",SUMIFS('CHAM_CONG_NGAY'!$F$6:$F$4655,'CHAM_CONG_NGAY'!$B$6:$B$4655,$B107,'CHAM_CONG_NGAY'!$C$6:$C$4655,"&gt;="&amp;'THAM_SO'!$B$6,'CHAM_CONG_NGAY'!$C$6:$C$4655,"&lt;="&amp;'THAM_SO'!$B$7),$F107))</f>
        <v/>
      </c>
      <c r="AE107" s="232">
        <f>IF($B107="","",IF($D107="Theo ngày",SUMIFS('CHAM_CONG_NGAY'!$G$6:$G$4655,'CHAM_CONG_NGAY'!$B$6:$B$4655,$B107,'CHAM_CONG_NGAY'!$C$6:$C$4655,"&gt;="&amp;'THAM_SO'!$B$6,'CHAM_CONG_NGAY'!$C$6:$C$4655,"&lt;="&amp;'THAM_SO'!$B$7),$G107))</f>
        <v/>
      </c>
      <c r="AF107" s="232">
        <f>IF($B107="","",IF($D107="Theo ngày",SUMIFS('CHAM_CONG_NGAY'!$H$6:$H$4655,'CHAM_CONG_NGAY'!$B$6:$B$4655,$B107,'CHAM_CONG_NGAY'!$C$6:$C$4655,"&gt;="&amp;'THAM_SO'!$B$6,'CHAM_CONG_NGAY'!$C$6:$C$4655,"&lt;="&amp;'THAM_SO'!$B$7),$H107))</f>
        <v/>
      </c>
      <c r="AG107" s="232">
        <f>IF($B107="","",IF($D107="Theo ngày",SUMIFS('CHAM_CONG_NGAY'!$I$6:$I$4655,'CHAM_CONG_NGAY'!$B$6:$B$4655,$B107,'CHAM_CONG_NGAY'!$C$6:$C$4655,"&gt;="&amp;'THAM_SO'!$B$6,'CHAM_CONG_NGAY'!$C$6:$C$4655,"&lt;="&amp;'THAM_SO'!$B$7),$I107))</f>
        <v/>
      </c>
      <c r="AH107" s="232">
        <f>IF($B107="","",IF($D107="Theo ngày",SUMIFS('CHAM_CONG_NGAY'!$J$6:$J$4655,'CHAM_CONG_NGAY'!$B$6:$B$4655,$B107,'CHAM_CONG_NGAY'!$C$6:$C$4655,"&gt;="&amp;'THAM_SO'!$B$6,'CHAM_CONG_NGAY'!$C$6:$C$4655,"&lt;="&amp;'THAM_SO'!$B$7),$J107))</f>
        <v/>
      </c>
      <c r="AI107" s="232">
        <f>IF($B107="","",IF($D107="Theo ngày",SUMIFS('CHAM_CONG_NGAY'!$K$6:$K$4655,'CHAM_CONG_NGAY'!$B$6:$B$4655,$B107,'CHAM_CONG_NGAY'!$C$6:$C$4655,"&gt;="&amp;'THAM_SO'!$B$6,'CHAM_CONG_NGAY'!$C$6:$C$4655,"&lt;="&amp;'THAM_SO'!$B$7),$K107))</f>
        <v/>
      </c>
      <c r="AJ107" s="232">
        <f>IF($B107="","",IF($D107="Theo ngày",SUMIFS('CHAM_CONG_NGAY'!$L$6:$L$4655,'CHAM_CONG_NGAY'!$B$6:$B$4655,$B107,'CHAM_CONG_NGAY'!$C$6:$C$4655,"&gt;="&amp;'THAM_SO'!$B$6,'CHAM_CONG_NGAY'!$C$6:$C$4655,"&lt;="&amp;'THAM_SO'!$B$7),$L107))</f>
        <v/>
      </c>
      <c r="AK107" s="232">
        <f>IF($B107="","",IF($D107="Theo ngày",SUMIFS('CHAM_CONG_NGAY'!$M$6:$M$4655,'CHAM_CONG_NGAY'!$B$6:$B$4655,$B107,'CHAM_CONG_NGAY'!$C$6:$C$4655,"&gt;="&amp;'THAM_SO'!$B$6,'CHAM_CONG_NGAY'!$C$6:$C$4655,"&lt;="&amp;'THAM_SO'!$B$7),$M107))</f>
        <v/>
      </c>
      <c r="AL107" s="227" t="n"/>
      <c r="AM107" s="227" t="n"/>
      <c r="AN107" s="227" t="n"/>
      <c r="AO107" s="227" t="n"/>
      <c r="AP107" s="227" t="n"/>
      <c r="AQ107" s="227" t="n"/>
      <c r="AR107" s="232">
        <f>IF($B107="","",IF($D107="Theo ngày",SUMIFS('CHAM_CONG_NGAY'!$O$6:$O$4655,'CHAM_CONG_NGAY'!$B$6:$B$4655,$B107,'CHAM_CONG_NGAY'!$C$6:$C$4655,"&gt;="&amp;'THAM_SO'!$B$6,'CHAM_CONG_NGAY'!$C$6:$C$4655,"&lt;="&amp;'THAM_SO'!$B$7),$AL107))</f>
        <v/>
      </c>
      <c r="AS107" s="232">
        <f>IF($B107="","",IF($D107="Theo ngày",SUMIFS('CHAM_CONG_NGAY'!$P$6:$P$4655,'CHAM_CONG_NGAY'!$B$6:$B$4655,$B107,'CHAM_CONG_NGAY'!$C$6:$C$4655,"&gt;="&amp;'THAM_SO'!$B$6,'CHAM_CONG_NGAY'!$C$6:$C$4655,"&lt;="&amp;'THAM_SO'!$B$7),$AM107))</f>
        <v/>
      </c>
      <c r="AT107" s="232">
        <f>IF($B107="","",IF($D107="Theo ngày",SUMIFS('CHAM_CONG_NGAY'!$Q$6:$Q$4655,'CHAM_CONG_NGAY'!$B$6:$B$4655,$B107,'CHAM_CONG_NGAY'!$C$6:$C$4655,"&gt;="&amp;'THAM_SO'!$B$6,'CHAM_CONG_NGAY'!$C$6:$C$4655,"&lt;="&amp;'THAM_SO'!$B$7),$AN107))</f>
        <v/>
      </c>
      <c r="AU107" s="232">
        <f>IF($B107="","",IF($D107="Theo ngày",SUMIFS('CHAM_CONG_NGAY'!$R$6:$R$4655,'CHAM_CONG_NGAY'!$B$6:$B$4655,$B107,'CHAM_CONG_NGAY'!$C$6:$C$4655,"&gt;="&amp;'THAM_SO'!$B$6,'CHAM_CONG_NGAY'!$C$6:$C$4655,"&lt;="&amp;'THAM_SO'!$B$7),$AO107))</f>
        <v/>
      </c>
      <c r="AV107" s="232">
        <f>IF($B107="","",IF($D107="Theo ngày",SUMIFS('CHAM_CONG_NGAY'!$S$6:$S$4655,'CHAM_CONG_NGAY'!$B$6:$B$4655,$B107,'CHAM_CONG_NGAY'!$C$6:$C$4655,"&gt;="&amp;'THAM_SO'!$B$6,'CHAM_CONG_NGAY'!$C$6:$C$4655,"&lt;="&amp;'THAM_SO'!$B$7),$AP107))</f>
        <v/>
      </c>
      <c r="AW107" s="232">
        <f>IF($B107="","",IF($D107="Theo ngày",SUMIFS('CHAM_CONG_NGAY'!$T$6:$T$4655,'CHAM_CONG_NGAY'!$B$6:$B$4655,$B107,'CHAM_CONG_NGAY'!$C$6:$C$4655,"&gt;="&amp;'THAM_SO'!$B$6,'CHAM_CONG_NGAY'!$C$6:$C$4655,"&lt;="&amp;'THAM_SO'!$B$7),$AQ107))</f>
        <v/>
      </c>
    </row>
    <row r="108">
      <c r="A108" s="145">
        <f>IF($B108="","",ROW()-5)</f>
        <v/>
      </c>
      <c r="B108" s="145">
        <f>IF('DM_NHAN_SU'!B108="","",'DM_NHAN_SU'!B108)</f>
        <v/>
      </c>
      <c r="C108" s="145">
        <f>IF('DM_NHAN_SU'!B108="","",'DM_NHAN_SU'!C108)</f>
        <v/>
      </c>
      <c r="D108" s="127" t="n"/>
      <c r="E108" s="227" t="n"/>
      <c r="F108" s="227" t="n"/>
      <c r="G108" s="227" t="n"/>
      <c r="H108" s="227" t="n"/>
      <c r="I108" s="227" t="n"/>
      <c r="J108" s="227" t="n"/>
      <c r="K108" s="227" t="n"/>
      <c r="L108" s="227" t="n"/>
      <c r="M108" s="227" t="n"/>
      <c r="N108" s="227" t="n"/>
      <c r="O108" s="222" t="n"/>
      <c r="P108" s="222" t="n"/>
      <c r="Q108" s="222" t="n"/>
      <c r="R108" s="222" t="n"/>
      <c r="S108" s="222" t="n"/>
      <c r="T108" s="222" t="n"/>
      <c r="U108" s="222" t="n"/>
      <c r="V108" s="222" t="n"/>
      <c r="W108" s="222" t="n"/>
      <c r="X108" s="222" t="n"/>
      <c r="Y108" s="222" t="n"/>
      <c r="Z108" s="222" t="n"/>
      <c r="AA108" s="127" t="n"/>
      <c r="AB108" s="127" t="n"/>
      <c r="AC108" s="232">
        <f>IF($B108="","",IF($D108="Theo ngày",SUMIFS('CHAM_CONG_NGAY'!$E$6:$E$4655,'CHAM_CONG_NGAY'!$B$6:$B$4655,$B108,'CHAM_CONG_NGAY'!$C$6:$C$4655,"&gt;="&amp;'THAM_SO'!$B$6,'CHAM_CONG_NGAY'!$C$6:$C$4655,"&lt;="&amp;'THAM_SO'!$B$7),$E108))</f>
        <v/>
      </c>
      <c r="AD108" s="232">
        <f>IF($B108="","",IF($D108="Theo ngày",SUMIFS('CHAM_CONG_NGAY'!$F$6:$F$4655,'CHAM_CONG_NGAY'!$B$6:$B$4655,$B108,'CHAM_CONG_NGAY'!$C$6:$C$4655,"&gt;="&amp;'THAM_SO'!$B$6,'CHAM_CONG_NGAY'!$C$6:$C$4655,"&lt;="&amp;'THAM_SO'!$B$7),$F108))</f>
        <v/>
      </c>
      <c r="AE108" s="232">
        <f>IF($B108="","",IF($D108="Theo ngày",SUMIFS('CHAM_CONG_NGAY'!$G$6:$G$4655,'CHAM_CONG_NGAY'!$B$6:$B$4655,$B108,'CHAM_CONG_NGAY'!$C$6:$C$4655,"&gt;="&amp;'THAM_SO'!$B$6,'CHAM_CONG_NGAY'!$C$6:$C$4655,"&lt;="&amp;'THAM_SO'!$B$7),$G108))</f>
        <v/>
      </c>
      <c r="AF108" s="232">
        <f>IF($B108="","",IF($D108="Theo ngày",SUMIFS('CHAM_CONG_NGAY'!$H$6:$H$4655,'CHAM_CONG_NGAY'!$B$6:$B$4655,$B108,'CHAM_CONG_NGAY'!$C$6:$C$4655,"&gt;="&amp;'THAM_SO'!$B$6,'CHAM_CONG_NGAY'!$C$6:$C$4655,"&lt;="&amp;'THAM_SO'!$B$7),$H108))</f>
        <v/>
      </c>
      <c r="AG108" s="232">
        <f>IF($B108="","",IF($D108="Theo ngày",SUMIFS('CHAM_CONG_NGAY'!$I$6:$I$4655,'CHAM_CONG_NGAY'!$B$6:$B$4655,$B108,'CHAM_CONG_NGAY'!$C$6:$C$4655,"&gt;="&amp;'THAM_SO'!$B$6,'CHAM_CONG_NGAY'!$C$6:$C$4655,"&lt;="&amp;'THAM_SO'!$B$7),$I108))</f>
        <v/>
      </c>
      <c r="AH108" s="232">
        <f>IF($B108="","",IF($D108="Theo ngày",SUMIFS('CHAM_CONG_NGAY'!$J$6:$J$4655,'CHAM_CONG_NGAY'!$B$6:$B$4655,$B108,'CHAM_CONG_NGAY'!$C$6:$C$4655,"&gt;="&amp;'THAM_SO'!$B$6,'CHAM_CONG_NGAY'!$C$6:$C$4655,"&lt;="&amp;'THAM_SO'!$B$7),$J108))</f>
        <v/>
      </c>
      <c r="AI108" s="232">
        <f>IF($B108="","",IF($D108="Theo ngày",SUMIFS('CHAM_CONG_NGAY'!$K$6:$K$4655,'CHAM_CONG_NGAY'!$B$6:$B$4655,$B108,'CHAM_CONG_NGAY'!$C$6:$C$4655,"&gt;="&amp;'THAM_SO'!$B$6,'CHAM_CONG_NGAY'!$C$6:$C$4655,"&lt;="&amp;'THAM_SO'!$B$7),$K108))</f>
        <v/>
      </c>
      <c r="AJ108" s="232">
        <f>IF($B108="","",IF($D108="Theo ngày",SUMIFS('CHAM_CONG_NGAY'!$L$6:$L$4655,'CHAM_CONG_NGAY'!$B$6:$B$4655,$B108,'CHAM_CONG_NGAY'!$C$6:$C$4655,"&gt;="&amp;'THAM_SO'!$B$6,'CHAM_CONG_NGAY'!$C$6:$C$4655,"&lt;="&amp;'THAM_SO'!$B$7),$L108))</f>
        <v/>
      </c>
      <c r="AK108" s="232">
        <f>IF($B108="","",IF($D108="Theo ngày",SUMIFS('CHAM_CONG_NGAY'!$M$6:$M$4655,'CHAM_CONG_NGAY'!$B$6:$B$4655,$B108,'CHAM_CONG_NGAY'!$C$6:$C$4655,"&gt;="&amp;'THAM_SO'!$B$6,'CHAM_CONG_NGAY'!$C$6:$C$4655,"&lt;="&amp;'THAM_SO'!$B$7),$M108))</f>
        <v/>
      </c>
      <c r="AL108" s="227" t="n"/>
      <c r="AM108" s="227" t="n"/>
      <c r="AN108" s="227" t="n"/>
      <c r="AO108" s="227" t="n"/>
      <c r="AP108" s="227" t="n"/>
      <c r="AQ108" s="227" t="n"/>
      <c r="AR108" s="232">
        <f>IF($B108="","",IF($D108="Theo ngày",SUMIFS('CHAM_CONG_NGAY'!$O$6:$O$4655,'CHAM_CONG_NGAY'!$B$6:$B$4655,$B108,'CHAM_CONG_NGAY'!$C$6:$C$4655,"&gt;="&amp;'THAM_SO'!$B$6,'CHAM_CONG_NGAY'!$C$6:$C$4655,"&lt;="&amp;'THAM_SO'!$B$7),$AL108))</f>
        <v/>
      </c>
      <c r="AS108" s="232">
        <f>IF($B108="","",IF($D108="Theo ngày",SUMIFS('CHAM_CONG_NGAY'!$P$6:$P$4655,'CHAM_CONG_NGAY'!$B$6:$B$4655,$B108,'CHAM_CONG_NGAY'!$C$6:$C$4655,"&gt;="&amp;'THAM_SO'!$B$6,'CHAM_CONG_NGAY'!$C$6:$C$4655,"&lt;="&amp;'THAM_SO'!$B$7),$AM108))</f>
        <v/>
      </c>
      <c r="AT108" s="232">
        <f>IF($B108="","",IF($D108="Theo ngày",SUMIFS('CHAM_CONG_NGAY'!$Q$6:$Q$4655,'CHAM_CONG_NGAY'!$B$6:$B$4655,$B108,'CHAM_CONG_NGAY'!$C$6:$C$4655,"&gt;="&amp;'THAM_SO'!$B$6,'CHAM_CONG_NGAY'!$C$6:$C$4655,"&lt;="&amp;'THAM_SO'!$B$7),$AN108))</f>
        <v/>
      </c>
      <c r="AU108" s="232">
        <f>IF($B108="","",IF($D108="Theo ngày",SUMIFS('CHAM_CONG_NGAY'!$R$6:$R$4655,'CHAM_CONG_NGAY'!$B$6:$B$4655,$B108,'CHAM_CONG_NGAY'!$C$6:$C$4655,"&gt;="&amp;'THAM_SO'!$B$6,'CHAM_CONG_NGAY'!$C$6:$C$4655,"&lt;="&amp;'THAM_SO'!$B$7),$AO108))</f>
        <v/>
      </c>
      <c r="AV108" s="232">
        <f>IF($B108="","",IF($D108="Theo ngày",SUMIFS('CHAM_CONG_NGAY'!$S$6:$S$4655,'CHAM_CONG_NGAY'!$B$6:$B$4655,$B108,'CHAM_CONG_NGAY'!$C$6:$C$4655,"&gt;="&amp;'THAM_SO'!$B$6,'CHAM_CONG_NGAY'!$C$6:$C$4655,"&lt;="&amp;'THAM_SO'!$B$7),$AP108))</f>
        <v/>
      </c>
      <c r="AW108" s="232">
        <f>IF($B108="","",IF($D108="Theo ngày",SUMIFS('CHAM_CONG_NGAY'!$T$6:$T$4655,'CHAM_CONG_NGAY'!$B$6:$B$4655,$B108,'CHAM_CONG_NGAY'!$C$6:$C$4655,"&gt;="&amp;'THAM_SO'!$B$6,'CHAM_CONG_NGAY'!$C$6:$C$4655,"&lt;="&amp;'THAM_SO'!$B$7),$AQ108))</f>
        <v/>
      </c>
    </row>
    <row r="109">
      <c r="A109" s="145">
        <f>IF($B109="","",ROW()-5)</f>
        <v/>
      </c>
      <c r="B109" s="145">
        <f>IF('DM_NHAN_SU'!B109="","",'DM_NHAN_SU'!B109)</f>
        <v/>
      </c>
      <c r="C109" s="145">
        <f>IF('DM_NHAN_SU'!B109="","",'DM_NHAN_SU'!C109)</f>
        <v/>
      </c>
      <c r="D109" s="127" t="n"/>
      <c r="E109" s="227" t="n"/>
      <c r="F109" s="227" t="n"/>
      <c r="G109" s="227" t="n"/>
      <c r="H109" s="227" t="n"/>
      <c r="I109" s="227" t="n"/>
      <c r="J109" s="227" t="n"/>
      <c r="K109" s="227" t="n"/>
      <c r="L109" s="227" t="n"/>
      <c r="M109" s="227" t="n"/>
      <c r="N109" s="227" t="n"/>
      <c r="O109" s="222" t="n"/>
      <c r="P109" s="222" t="n"/>
      <c r="Q109" s="222" t="n"/>
      <c r="R109" s="222" t="n"/>
      <c r="S109" s="222" t="n"/>
      <c r="T109" s="222" t="n"/>
      <c r="U109" s="222" t="n"/>
      <c r="V109" s="222" t="n"/>
      <c r="W109" s="222" t="n"/>
      <c r="X109" s="222" t="n"/>
      <c r="Y109" s="222" t="n"/>
      <c r="Z109" s="222" t="n"/>
      <c r="AA109" s="127" t="n"/>
      <c r="AB109" s="127" t="n"/>
      <c r="AC109" s="232">
        <f>IF($B109="","",IF($D109="Theo ngày",SUMIFS('CHAM_CONG_NGAY'!$E$6:$E$4655,'CHAM_CONG_NGAY'!$B$6:$B$4655,$B109,'CHAM_CONG_NGAY'!$C$6:$C$4655,"&gt;="&amp;'THAM_SO'!$B$6,'CHAM_CONG_NGAY'!$C$6:$C$4655,"&lt;="&amp;'THAM_SO'!$B$7),$E109))</f>
        <v/>
      </c>
      <c r="AD109" s="232">
        <f>IF($B109="","",IF($D109="Theo ngày",SUMIFS('CHAM_CONG_NGAY'!$F$6:$F$4655,'CHAM_CONG_NGAY'!$B$6:$B$4655,$B109,'CHAM_CONG_NGAY'!$C$6:$C$4655,"&gt;="&amp;'THAM_SO'!$B$6,'CHAM_CONG_NGAY'!$C$6:$C$4655,"&lt;="&amp;'THAM_SO'!$B$7),$F109))</f>
        <v/>
      </c>
      <c r="AE109" s="232">
        <f>IF($B109="","",IF($D109="Theo ngày",SUMIFS('CHAM_CONG_NGAY'!$G$6:$G$4655,'CHAM_CONG_NGAY'!$B$6:$B$4655,$B109,'CHAM_CONG_NGAY'!$C$6:$C$4655,"&gt;="&amp;'THAM_SO'!$B$6,'CHAM_CONG_NGAY'!$C$6:$C$4655,"&lt;="&amp;'THAM_SO'!$B$7),$G109))</f>
        <v/>
      </c>
      <c r="AF109" s="232">
        <f>IF($B109="","",IF($D109="Theo ngày",SUMIFS('CHAM_CONG_NGAY'!$H$6:$H$4655,'CHAM_CONG_NGAY'!$B$6:$B$4655,$B109,'CHAM_CONG_NGAY'!$C$6:$C$4655,"&gt;="&amp;'THAM_SO'!$B$6,'CHAM_CONG_NGAY'!$C$6:$C$4655,"&lt;="&amp;'THAM_SO'!$B$7),$H109))</f>
        <v/>
      </c>
      <c r="AG109" s="232">
        <f>IF($B109="","",IF($D109="Theo ngày",SUMIFS('CHAM_CONG_NGAY'!$I$6:$I$4655,'CHAM_CONG_NGAY'!$B$6:$B$4655,$B109,'CHAM_CONG_NGAY'!$C$6:$C$4655,"&gt;="&amp;'THAM_SO'!$B$6,'CHAM_CONG_NGAY'!$C$6:$C$4655,"&lt;="&amp;'THAM_SO'!$B$7),$I109))</f>
        <v/>
      </c>
      <c r="AH109" s="232">
        <f>IF($B109="","",IF($D109="Theo ngày",SUMIFS('CHAM_CONG_NGAY'!$J$6:$J$4655,'CHAM_CONG_NGAY'!$B$6:$B$4655,$B109,'CHAM_CONG_NGAY'!$C$6:$C$4655,"&gt;="&amp;'THAM_SO'!$B$6,'CHAM_CONG_NGAY'!$C$6:$C$4655,"&lt;="&amp;'THAM_SO'!$B$7),$J109))</f>
        <v/>
      </c>
      <c r="AI109" s="232">
        <f>IF($B109="","",IF($D109="Theo ngày",SUMIFS('CHAM_CONG_NGAY'!$K$6:$K$4655,'CHAM_CONG_NGAY'!$B$6:$B$4655,$B109,'CHAM_CONG_NGAY'!$C$6:$C$4655,"&gt;="&amp;'THAM_SO'!$B$6,'CHAM_CONG_NGAY'!$C$6:$C$4655,"&lt;="&amp;'THAM_SO'!$B$7),$K109))</f>
        <v/>
      </c>
      <c r="AJ109" s="232">
        <f>IF($B109="","",IF($D109="Theo ngày",SUMIFS('CHAM_CONG_NGAY'!$L$6:$L$4655,'CHAM_CONG_NGAY'!$B$6:$B$4655,$B109,'CHAM_CONG_NGAY'!$C$6:$C$4655,"&gt;="&amp;'THAM_SO'!$B$6,'CHAM_CONG_NGAY'!$C$6:$C$4655,"&lt;="&amp;'THAM_SO'!$B$7),$L109))</f>
        <v/>
      </c>
      <c r="AK109" s="232">
        <f>IF($B109="","",IF($D109="Theo ngày",SUMIFS('CHAM_CONG_NGAY'!$M$6:$M$4655,'CHAM_CONG_NGAY'!$B$6:$B$4655,$B109,'CHAM_CONG_NGAY'!$C$6:$C$4655,"&gt;="&amp;'THAM_SO'!$B$6,'CHAM_CONG_NGAY'!$C$6:$C$4655,"&lt;="&amp;'THAM_SO'!$B$7),$M109))</f>
        <v/>
      </c>
      <c r="AL109" s="227" t="n"/>
      <c r="AM109" s="227" t="n"/>
      <c r="AN109" s="227" t="n"/>
      <c r="AO109" s="227" t="n"/>
      <c r="AP109" s="227" t="n"/>
      <c r="AQ109" s="227" t="n"/>
      <c r="AR109" s="232">
        <f>IF($B109="","",IF($D109="Theo ngày",SUMIFS('CHAM_CONG_NGAY'!$O$6:$O$4655,'CHAM_CONG_NGAY'!$B$6:$B$4655,$B109,'CHAM_CONG_NGAY'!$C$6:$C$4655,"&gt;="&amp;'THAM_SO'!$B$6,'CHAM_CONG_NGAY'!$C$6:$C$4655,"&lt;="&amp;'THAM_SO'!$B$7),$AL109))</f>
        <v/>
      </c>
      <c r="AS109" s="232">
        <f>IF($B109="","",IF($D109="Theo ngày",SUMIFS('CHAM_CONG_NGAY'!$P$6:$P$4655,'CHAM_CONG_NGAY'!$B$6:$B$4655,$B109,'CHAM_CONG_NGAY'!$C$6:$C$4655,"&gt;="&amp;'THAM_SO'!$B$6,'CHAM_CONG_NGAY'!$C$6:$C$4655,"&lt;="&amp;'THAM_SO'!$B$7),$AM109))</f>
        <v/>
      </c>
      <c r="AT109" s="232">
        <f>IF($B109="","",IF($D109="Theo ngày",SUMIFS('CHAM_CONG_NGAY'!$Q$6:$Q$4655,'CHAM_CONG_NGAY'!$B$6:$B$4655,$B109,'CHAM_CONG_NGAY'!$C$6:$C$4655,"&gt;="&amp;'THAM_SO'!$B$6,'CHAM_CONG_NGAY'!$C$6:$C$4655,"&lt;="&amp;'THAM_SO'!$B$7),$AN109))</f>
        <v/>
      </c>
      <c r="AU109" s="232">
        <f>IF($B109="","",IF($D109="Theo ngày",SUMIFS('CHAM_CONG_NGAY'!$R$6:$R$4655,'CHAM_CONG_NGAY'!$B$6:$B$4655,$B109,'CHAM_CONG_NGAY'!$C$6:$C$4655,"&gt;="&amp;'THAM_SO'!$B$6,'CHAM_CONG_NGAY'!$C$6:$C$4655,"&lt;="&amp;'THAM_SO'!$B$7),$AO109))</f>
        <v/>
      </c>
      <c r="AV109" s="232">
        <f>IF($B109="","",IF($D109="Theo ngày",SUMIFS('CHAM_CONG_NGAY'!$S$6:$S$4655,'CHAM_CONG_NGAY'!$B$6:$B$4655,$B109,'CHAM_CONG_NGAY'!$C$6:$C$4655,"&gt;="&amp;'THAM_SO'!$B$6,'CHAM_CONG_NGAY'!$C$6:$C$4655,"&lt;="&amp;'THAM_SO'!$B$7),$AP109))</f>
        <v/>
      </c>
      <c r="AW109" s="232">
        <f>IF($B109="","",IF($D109="Theo ngày",SUMIFS('CHAM_CONG_NGAY'!$T$6:$T$4655,'CHAM_CONG_NGAY'!$B$6:$B$4655,$B109,'CHAM_CONG_NGAY'!$C$6:$C$4655,"&gt;="&amp;'THAM_SO'!$B$6,'CHAM_CONG_NGAY'!$C$6:$C$4655,"&lt;="&amp;'THAM_SO'!$B$7),$AQ109))</f>
        <v/>
      </c>
    </row>
    <row r="110">
      <c r="A110" s="145">
        <f>IF($B110="","",ROW()-5)</f>
        <v/>
      </c>
      <c r="B110" s="145">
        <f>IF('DM_NHAN_SU'!B110="","",'DM_NHAN_SU'!B110)</f>
        <v/>
      </c>
      <c r="C110" s="145">
        <f>IF('DM_NHAN_SU'!B110="","",'DM_NHAN_SU'!C110)</f>
        <v/>
      </c>
      <c r="D110" s="127" t="n"/>
      <c r="E110" s="227" t="n"/>
      <c r="F110" s="227" t="n"/>
      <c r="G110" s="227" t="n"/>
      <c r="H110" s="227" t="n"/>
      <c r="I110" s="227" t="n"/>
      <c r="J110" s="227" t="n"/>
      <c r="K110" s="227" t="n"/>
      <c r="L110" s="227" t="n"/>
      <c r="M110" s="227" t="n"/>
      <c r="N110" s="227" t="n"/>
      <c r="O110" s="222" t="n"/>
      <c r="P110" s="222" t="n"/>
      <c r="Q110" s="222" t="n"/>
      <c r="R110" s="222" t="n"/>
      <c r="S110" s="222" t="n"/>
      <c r="T110" s="222" t="n"/>
      <c r="U110" s="222" t="n"/>
      <c r="V110" s="222" t="n"/>
      <c r="W110" s="222" t="n"/>
      <c r="X110" s="222" t="n"/>
      <c r="Y110" s="222" t="n"/>
      <c r="Z110" s="222" t="n"/>
      <c r="AA110" s="127" t="n"/>
      <c r="AB110" s="127" t="n"/>
      <c r="AC110" s="232">
        <f>IF($B110="","",IF($D110="Theo ngày",SUMIFS('CHAM_CONG_NGAY'!$E$6:$E$4655,'CHAM_CONG_NGAY'!$B$6:$B$4655,$B110,'CHAM_CONG_NGAY'!$C$6:$C$4655,"&gt;="&amp;'THAM_SO'!$B$6,'CHAM_CONG_NGAY'!$C$6:$C$4655,"&lt;="&amp;'THAM_SO'!$B$7),$E110))</f>
        <v/>
      </c>
      <c r="AD110" s="232">
        <f>IF($B110="","",IF($D110="Theo ngày",SUMIFS('CHAM_CONG_NGAY'!$F$6:$F$4655,'CHAM_CONG_NGAY'!$B$6:$B$4655,$B110,'CHAM_CONG_NGAY'!$C$6:$C$4655,"&gt;="&amp;'THAM_SO'!$B$6,'CHAM_CONG_NGAY'!$C$6:$C$4655,"&lt;="&amp;'THAM_SO'!$B$7),$F110))</f>
        <v/>
      </c>
      <c r="AE110" s="232">
        <f>IF($B110="","",IF($D110="Theo ngày",SUMIFS('CHAM_CONG_NGAY'!$G$6:$G$4655,'CHAM_CONG_NGAY'!$B$6:$B$4655,$B110,'CHAM_CONG_NGAY'!$C$6:$C$4655,"&gt;="&amp;'THAM_SO'!$B$6,'CHAM_CONG_NGAY'!$C$6:$C$4655,"&lt;="&amp;'THAM_SO'!$B$7),$G110))</f>
        <v/>
      </c>
      <c r="AF110" s="232">
        <f>IF($B110="","",IF($D110="Theo ngày",SUMIFS('CHAM_CONG_NGAY'!$H$6:$H$4655,'CHAM_CONG_NGAY'!$B$6:$B$4655,$B110,'CHAM_CONG_NGAY'!$C$6:$C$4655,"&gt;="&amp;'THAM_SO'!$B$6,'CHAM_CONG_NGAY'!$C$6:$C$4655,"&lt;="&amp;'THAM_SO'!$B$7),$H110))</f>
        <v/>
      </c>
      <c r="AG110" s="232">
        <f>IF($B110="","",IF($D110="Theo ngày",SUMIFS('CHAM_CONG_NGAY'!$I$6:$I$4655,'CHAM_CONG_NGAY'!$B$6:$B$4655,$B110,'CHAM_CONG_NGAY'!$C$6:$C$4655,"&gt;="&amp;'THAM_SO'!$B$6,'CHAM_CONG_NGAY'!$C$6:$C$4655,"&lt;="&amp;'THAM_SO'!$B$7),$I110))</f>
        <v/>
      </c>
      <c r="AH110" s="232">
        <f>IF($B110="","",IF($D110="Theo ngày",SUMIFS('CHAM_CONG_NGAY'!$J$6:$J$4655,'CHAM_CONG_NGAY'!$B$6:$B$4655,$B110,'CHAM_CONG_NGAY'!$C$6:$C$4655,"&gt;="&amp;'THAM_SO'!$B$6,'CHAM_CONG_NGAY'!$C$6:$C$4655,"&lt;="&amp;'THAM_SO'!$B$7),$J110))</f>
        <v/>
      </c>
      <c r="AI110" s="232">
        <f>IF($B110="","",IF($D110="Theo ngày",SUMIFS('CHAM_CONG_NGAY'!$K$6:$K$4655,'CHAM_CONG_NGAY'!$B$6:$B$4655,$B110,'CHAM_CONG_NGAY'!$C$6:$C$4655,"&gt;="&amp;'THAM_SO'!$B$6,'CHAM_CONG_NGAY'!$C$6:$C$4655,"&lt;="&amp;'THAM_SO'!$B$7),$K110))</f>
        <v/>
      </c>
      <c r="AJ110" s="232">
        <f>IF($B110="","",IF($D110="Theo ngày",SUMIFS('CHAM_CONG_NGAY'!$L$6:$L$4655,'CHAM_CONG_NGAY'!$B$6:$B$4655,$B110,'CHAM_CONG_NGAY'!$C$6:$C$4655,"&gt;="&amp;'THAM_SO'!$B$6,'CHAM_CONG_NGAY'!$C$6:$C$4655,"&lt;="&amp;'THAM_SO'!$B$7),$L110))</f>
        <v/>
      </c>
      <c r="AK110" s="232">
        <f>IF($B110="","",IF($D110="Theo ngày",SUMIFS('CHAM_CONG_NGAY'!$M$6:$M$4655,'CHAM_CONG_NGAY'!$B$6:$B$4655,$B110,'CHAM_CONG_NGAY'!$C$6:$C$4655,"&gt;="&amp;'THAM_SO'!$B$6,'CHAM_CONG_NGAY'!$C$6:$C$4655,"&lt;="&amp;'THAM_SO'!$B$7),$M110))</f>
        <v/>
      </c>
      <c r="AL110" s="227" t="n"/>
      <c r="AM110" s="227" t="n"/>
      <c r="AN110" s="227" t="n"/>
      <c r="AO110" s="227" t="n"/>
      <c r="AP110" s="227" t="n"/>
      <c r="AQ110" s="227" t="n"/>
      <c r="AR110" s="232">
        <f>IF($B110="","",IF($D110="Theo ngày",SUMIFS('CHAM_CONG_NGAY'!$O$6:$O$4655,'CHAM_CONG_NGAY'!$B$6:$B$4655,$B110,'CHAM_CONG_NGAY'!$C$6:$C$4655,"&gt;="&amp;'THAM_SO'!$B$6,'CHAM_CONG_NGAY'!$C$6:$C$4655,"&lt;="&amp;'THAM_SO'!$B$7),$AL110))</f>
        <v/>
      </c>
      <c r="AS110" s="232">
        <f>IF($B110="","",IF($D110="Theo ngày",SUMIFS('CHAM_CONG_NGAY'!$P$6:$P$4655,'CHAM_CONG_NGAY'!$B$6:$B$4655,$B110,'CHAM_CONG_NGAY'!$C$6:$C$4655,"&gt;="&amp;'THAM_SO'!$B$6,'CHAM_CONG_NGAY'!$C$6:$C$4655,"&lt;="&amp;'THAM_SO'!$B$7),$AM110))</f>
        <v/>
      </c>
      <c r="AT110" s="232">
        <f>IF($B110="","",IF($D110="Theo ngày",SUMIFS('CHAM_CONG_NGAY'!$Q$6:$Q$4655,'CHAM_CONG_NGAY'!$B$6:$B$4655,$B110,'CHAM_CONG_NGAY'!$C$6:$C$4655,"&gt;="&amp;'THAM_SO'!$B$6,'CHAM_CONG_NGAY'!$C$6:$C$4655,"&lt;="&amp;'THAM_SO'!$B$7),$AN110))</f>
        <v/>
      </c>
      <c r="AU110" s="232">
        <f>IF($B110="","",IF($D110="Theo ngày",SUMIFS('CHAM_CONG_NGAY'!$R$6:$R$4655,'CHAM_CONG_NGAY'!$B$6:$B$4655,$B110,'CHAM_CONG_NGAY'!$C$6:$C$4655,"&gt;="&amp;'THAM_SO'!$B$6,'CHAM_CONG_NGAY'!$C$6:$C$4655,"&lt;="&amp;'THAM_SO'!$B$7),$AO110))</f>
        <v/>
      </c>
      <c r="AV110" s="232">
        <f>IF($B110="","",IF($D110="Theo ngày",SUMIFS('CHAM_CONG_NGAY'!$S$6:$S$4655,'CHAM_CONG_NGAY'!$B$6:$B$4655,$B110,'CHAM_CONG_NGAY'!$C$6:$C$4655,"&gt;="&amp;'THAM_SO'!$B$6,'CHAM_CONG_NGAY'!$C$6:$C$4655,"&lt;="&amp;'THAM_SO'!$B$7),$AP110))</f>
        <v/>
      </c>
      <c r="AW110" s="232">
        <f>IF($B110="","",IF($D110="Theo ngày",SUMIFS('CHAM_CONG_NGAY'!$T$6:$T$4655,'CHAM_CONG_NGAY'!$B$6:$B$4655,$B110,'CHAM_CONG_NGAY'!$C$6:$C$4655,"&gt;="&amp;'THAM_SO'!$B$6,'CHAM_CONG_NGAY'!$C$6:$C$4655,"&lt;="&amp;'THAM_SO'!$B$7),$AQ110))</f>
        <v/>
      </c>
    </row>
    <row r="111">
      <c r="A111" s="145">
        <f>IF($B111="","",ROW()-5)</f>
        <v/>
      </c>
      <c r="B111" s="145">
        <f>IF('DM_NHAN_SU'!B111="","",'DM_NHAN_SU'!B111)</f>
        <v/>
      </c>
      <c r="C111" s="145">
        <f>IF('DM_NHAN_SU'!B111="","",'DM_NHAN_SU'!C111)</f>
        <v/>
      </c>
      <c r="D111" s="127" t="n"/>
      <c r="E111" s="227" t="n"/>
      <c r="F111" s="227" t="n"/>
      <c r="G111" s="227" t="n"/>
      <c r="H111" s="227" t="n"/>
      <c r="I111" s="227" t="n"/>
      <c r="J111" s="227" t="n"/>
      <c r="K111" s="227" t="n"/>
      <c r="L111" s="227" t="n"/>
      <c r="M111" s="227" t="n"/>
      <c r="N111" s="227" t="n"/>
      <c r="O111" s="222" t="n"/>
      <c r="P111" s="222" t="n"/>
      <c r="Q111" s="222" t="n"/>
      <c r="R111" s="222" t="n"/>
      <c r="S111" s="222" t="n"/>
      <c r="T111" s="222" t="n"/>
      <c r="U111" s="222" t="n"/>
      <c r="V111" s="222" t="n"/>
      <c r="W111" s="222" t="n"/>
      <c r="X111" s="222" t="n"/>
      <c r="Y111" s="222" t="n"/>
      <c r="Z111" s="222" t="n"/>
      <c r="AA111" s="127" t="n"/>
      <c r="AB111" s="127" t="n"/>
      <c r="AC111" s="232">
        <f>IF($B111="","",IF($D111="Theo ngày",SUMIFS('CHAM_CONG_NGAY'!$E$6:$E$4655,'CHAM_CONG_NGAY'!$B$6:$B$4655,$B111,'CHAM_CONG_NGAY'!$C$6:$C$4655,"&gt;="&amp;'THAM_SO'!$B$6,'CHAM_CONG_NGAY'!$C$6:$C$4655,"&lt;="&amp;'THAM_SO'!$B$7),$E111))</f>
        <v/>
      </c>
      <c r="AD111" s="232">
        <f>IF($B111="","",IF($D111="Theo ngày",SUMIFS('CHAM_CONG_NGAY'!$F$6:$F$4655,'CHAM_CONG_NGAY'!$B$6:$B$4655,$B111,'CHAM_CONG_NGAY'!$C$6:$C$4655,"&gt;="&amp;'THAM_SO'!$B$6,'CHAM_CONG_NGAY'!$C$6:$C$4655,"&lt;="&amp;'THAM_SO'!$B$7),$F111))</f>
        <v/>
      </c>
      <c r="AE111" s="232">
        <f>IF($B111="","",IF($D111="Theo ngày",SUMIFS('CHAM_CONG_NGAY'!$G$6:$G$4655,'CHAM_CONG_NGAY'!$B$6:$B$4655,$B111,'CHAM_CONG_NGAY'!$C$6:$C$4655,"&gt;="&amp;'THAM_SO'!$B$6,'CHAM_CONG_NGAY'!$C$6:$C$4655,"&lt;="&amp;'THAM_SO'!$B$7),$G111))</f>
        <v/>
      </c>
      <c r="AF111" s="232">
        <f>IF($B111="","",IF($D111="Theo ngày",SUMIFS('CHAM_CONG_NGAY'!$H$6:$H$4655,'CHAM_CONG_NGAY'!$B$6:$B$4655,$B111,'CHAM_CONG_NGAY'!$C$6:$C$4655,"&gt;="&amp;'THAM_SO'!$B$6,'CHAM_CONG_NGAY'!$C$6:$C$4655,"&lt;="&amp;'THAM_SO'!$B$7),$H111))</f>
        <v/>
      </c>
      <c r="AG111" s="232">
        <f>IF($B111="","",IF($D111="Theo ngày",SUMIFS('CHAM_CONG_NGAY'!$I$6:$I$4655,'CHAM_CONG_NGAY'!$B$6:$B$4655,$B111,'CHAM_CONG_NGAY'!$C$6:$C$4655,"&gt;="&amp;'THAM_SO'!$B$6,'CHAM_CONG_NGAY'!$C$6:$C$4655,"&lt;="&amp;'THAM_SO'!$B$7),$I111))</f>
        <v/>
      </c>
      <c r="AH111" s="232">
        <f>IF($B111="","",IF($D111="Theo ngày",SUMIFS('CHAM_CONG_NGAY'!$J$6:$J$4655,'CHAM_CONG_NGAY'!$B$6:$B$4655,$B111,'CHAM_CONG_NGAY'!$C$6:$C$4655,"&gt;="&amp;'THAM_SO'!$B$6,'CHAM_CONG_NGAY'!$C$6:$C$4655,"&lt;="&amp;'THAM_SO'!$B$7),$J111))</f>
        <v/>
      </c>
      <c r="AI111" s="232">
        <f>IF($B111="","",IF($D111="Theo ngày",SUMIFS('CHAM_CONG_NGAY'!$K$6:$K$4655,'CHAM_CONG_NGAY'!$B$6:$B$4655,$B111,'CHAM_CONG_NGAY'!$C$6:$C$4655,"&gt;="&amp;'THAM_SO'!$B$6,'CHAM_CONG_NGAY'!$C$6:$C$4655,"&lt;="&amp;'THAM_SO'!$B$7),$K111))</f>
        <v/>
      </c>
      <c r="AJ111" s="232">
        <f>IF($B111="","",IF($D111="Theo ngày",SUMIFS('CHAM_CONG_NGAY'!$L$6:$L$4655,'CHAM_CONG_NGAY'!$B$6:$B$4655,$B111,'CHAM_CONG_NGAY'!$C$6:$C$4655,"&gt;="&amp;'THAM_SO'!$B$6,'CHAM_CONG_NGAY'!$C$6:$C$4655,"&lt;="&amp;'THAM_SO'!$B$7),$L111))</f>
        <v/>
      </c>
      <c r="AK111" s="232">
        <f>IF($B111="","",IF($D111="Theo ngày",SUMIFS('CHAM_CONG_NGAY'!$M$6:$M$4655,'CHAM_CONG_NGAY'!$B$6:$B$4655,$B111,'CHAM_CONG_NGAY'!$C$6:$C$4655,"&gt;="&amp;'THAM_SO'!$B$6,'CHAM_CONG_NGAY'!$C$6:$C$4655,"&lt;="&amp;'THAM_SO'!$B$7),$M111))</f>
        <v/>
      </c>
      <c r="AL111" s="227" t="n"/>
      <c r="AM111" s="227" t="n"/>
      <c r="AN111" s="227" t="n"/>
      <c r="AO111" s="227" t="n"/>
      <c r="AP111" s="227" t="n"/>
      <c r="AQ111" s="227" t="n"/>
      <c r="AR111" s="232">
        <f>IF($B111="","",IF($D111="Theo ngày",SUMIFS('CHAM_CONG_NGAY'!$O$6:$O$4655,'CHAM_CONG_NGAY'!$B$6:$B$4655,$B111,'CHAM_CONG_NGAY'!$C$6:$C$4655,"&gt;="&amp;'THAM_SO'!$B$6,'CHAM_CONG_NGAY'!$C$6:$C$4655,"&lt;="&amp;'THAM_SO'!$B$7),$AL111))</f>
        <v/>
      </c>
      <c r="AS111" s="232">
        <f>IF($B111="","",IF($D111="Theo ngày",SUMIFS('CHAM_CONG_NGAY'!$P$6:$P$4655,'CHAM_CONG_NGAY'!$B$6:$B$4655,$B111,'CHAM_CONG_NGAY'!$C$6:$C$4655,"&gt;="&amp;'THAM_SO'!$B$6,'CHAM_CONG_NGAY'!$C$6:$C$4655,"&lt;="&amp;'THAM_SO'!$B$7),$AM111))</f>
        <v/>
      </c>
      <c r="AT111" s="232">
        <f>IF($B111="","",IF($D111="Theo ngày",SUMIFS('CHAM_CONG_NGAY'!$Q$6:$Q$4655,'CHAM_CONG_NGAY'!$B$6:$B$4655,$B111,'CHAM_CONG_NGAY'!$C$6:$C$4655,"&gt;="&amp;'THAM_SO'!$B$6,'CHAM_CONG_NGAY'!$C$6:$C$4655,"&lt;="&amp;'THAM_SO'!$B$7),$AN111))</f>
        <v/>
      </c>
      <c r="AU111" s="232">
        <f>IF($B111="","",IF($D111="Theo ngày",SUMIFS('CHAM_CONG_NGAY'!$R$6:$R$4655,'CHAM_CONG_NGAY'!$B$6:$B$4655,$B111,'CHAM_CONG_NGAY'!$C$6:$C$4655,"&gt;="&amp;'THAM_SO'!$B$6,'CHAM_CONG_NGAY'!$C$6:$C$4655,"&lt;="&amp;'THAM_SO'!$B$7),$AO111))</f>
        <v/>
      </c>
      <c r="AV111" s="232">
        <f>IF($B111="","",IF($D111="Theo ngày",SUMIFS('CHAM_CONG_NGAY'!$S$6:$S$4655,'CHAM_CONG_NGAY'!$B$6:$B$4655,$B111,'CHAM_CONG_NGAY'!$C$6:$C$4655,"&gt;="&amp;'THAM_SO'!$B$6,'CHAM_CONG_NGAY'!$C$6:$C$4655,"&lt;="&amp;'THAM_SO'!$B$7),$AP111))</f>
        <v/>
      </c>
      <c r="AW111" s="232">
        <f>IF($B111="","",IF($D111="Theo ngày",SUMIFS('CHAM_CONG_NGAY'!$T$6:$T$4655,'CHAM_CONG_NGAY'!$B$6:$B$4655,$B111,'CHAM_CONG_NGAY'!$C$6:$C$4655,"&gt;="&amp;'THAM_SO'!$B$6,'CHAM_CONG_NGAY'!$C$6:$C$4655,"&lt;="&amp;'THAM_SO'!$B$7),$AQ111))</f>
        <v/>
      </c>
    </row>
    <row r="112">
      <c r="A112" s="145">
        <f>IF($B112="","",ROW()-5)</f>
        <v/>
      </c>
      <c r="B112" s="145">
        <f>IF('DM_NHAN_SU'!B112="","",'DM_NHAN_SU'!B112)</f>
        <v/>
      </c>
      <c r="C112" s="145">
        <f>IF('DM_NHAN_SU'!B112="","",'DM_NHAN_SU'!C112)</f>
        <v/>
      </c>
      <c r="D112" s="127" t="n"/>
      <c r="E112" s="227" t="n"/>
      <c r="F112" s="227" t="n"/>
      <c r="G112" s="227" t="n"/>
      <c r="H112" s="227" t="n"/>
      <c r="I112" s="227" t="n"/>
      <c r="J112" s="227" t="n"/>
      <c r="K112" s="227" t="n"/>
      <c r="L112" s="227" t="n"/>
      <c r="M112" s="227" t="n"/>
      <c r="N112" s="227" t="n"/>
      <c r="O112" s="222" t="n"/>
      <c r="P112" s="222" t="n"/>
      <c r="Q112" s="222" t="n"/>
      <c r="R112" s="222" t="n"/>
      <c r="S112" s="222" t="n"/>
      <c r="T112" s="222" t="n"/>
      <c r="U112" s="222" t="n"/>
      <c r="V112" s="222" t="n"/>
      <c r="W112" s="222" t="n"/>
      <c r="X112" s="222" t="n"/>
      <c r="Y112" s="222" t="n"/>
      <c r="Z112" s="222" t="n"/>
      <c r="AA112" s="127" t="n"/>
      <c r="AB112" s="127" t="n"/>
      <c r="AC112" s="232">
        <f>IF($B112="","",IF($D112="Theo ngày",SUMIFS('CHAM_CONG_NGAY'!$E$6:$E$4655,'CHAM_CONG_NGAY'!$B$6:$B$4655,$B112,'CHAM_CONG_NGAY'!$C$6:$C$4655,"&gt;="&amp;'THAM_SO'!$B$6,'CHAM_CONG_NGAY'!$C$6:$C$4655,"&lt;="&amp;'THAM_SO'!$B$7),$E112))</f>
        <v/>
      </c>
      <c r="AD112" s="232">
        <f>IF($B112="","",IF($D112="Theo ngày",SUMIFS('CHAM_CONG_NGAY'!$F$6:$F$4655,'CHAM_CONG_NGAY'!$B$6:$B$4655,$B112,'CHAM_CONG_NGAY'!$C$6:$C$4655,"&gt;="&amp;'THAM_SO'!$B$6,'CHAM_CONG_NGAY'!$C$6:$C$4655,"&lt;="&amp;'THAM_SO'!$B$7),$F112))</f>
        <v/>
      </c>
      <c r="AE112" s="232">
        <f>IF($B112="","",IF($D112="Theo ngày",SUMIFS('CHAM_CONG_NGAY'!$G$6:$G$4655,'CHAM_CONG_NGAY'!$B$6:$B$4655,$B112,'CHAM_CONG_NGAY'!$C$6:$C$4655,"&gt;="&amp;'THAM_SO'!$B$6,'CHAM_CONG_NGAY'!$C$6:$C$4655,"&lt;="&amp;'THAM_SO'!$B$7),$G112))</f>
        <v/>
      </c>
      <c r="AF112" s="232">
        <f>IF($B112="","",IF($D112="Theo ngày",SUMIFS('CHAM_CONG_NGAY'!$H$6:$H$4655,'CHAM_CONG_NGAY'!$B$6:$B$4655,$B112,'CHAM_CONG_NGAY'!$C$6:$C$4655,"&gt;="&amp;'THAM_SO'!$B$6,'CHAM_CONG_NGAY'!$C$6:$C$4655,"&lt;="&amp;'THAM_SO'!$B$7),$H112))</f>
        <v/>
      </c>
      <c r="AG112" s="232">
        <f>IF($B112="","",IF($D112="Theo ngày",SUMIFS('CHAM_CONG_NGAY'!$I$6:$I$4655,'CHAM_CONG_NGAY'!$B$6:$B$4655,$B112,'CHAM_CONG_NGAY'!$C$6:$C$4655,"&gt;="&amp;'THAM_SO'!$B$6,'CHAM_CONG_NGAY'!$C$6:$C$4655,"&lt;="&amp;'THAM_SO'!$B$7),$I112))</f>
        <v/>
      </c>
      <c r="AH112" s="232">
        <f>IF($B112="","",IF($D112="Theo ngày",SUMIFS('CHAM_CONG_NGAY'!$J$6:$J$4655,'CHAM_CONG_NGAY'!$B$6:$B$4655,$B112,'CHAM_CONG_NGAY'!$C$6:$C$4655,"&gt;="&amp;'THAM_SO'!$B$6,'CHAM_CONG_NGAY'!$C$6:$C$4655,"&lt;="&amp;'THAM_SO'!$B$7),$J112))</f>
        <v/>
      </c>
      <c r="AI112" s="232">
        <f>IF($B112="","",IF($D112="Theo ngày",SUMIFS('CHAM_CONG_NGAY'!$K$6:$K$4655,'CHAM_CONG_NGAY'!$B$6:$B$4655,$B112,'CHAM_CONG_NGAY'!$C$6:$C$4655,"&gt;="&amp;'THAM_SO'!$B$6,'CHAM_CONG_NGAY'!$C$6:$C$4655,"&lt;="&amp;'THAM_SO'!$B$7),$K112))</f>
        <v/>
      </c>
      <c r="AJ112" s="232">
        <f>IF($B112="","",IF($D112="Theo ngày",SUMIFS('CHAM_CONG_NGAY'!$L$6:$L$4655,'CHAM_CONG_NGAY'!$B$6:$B$4655,$B112,'CHAM_CONG_NGAY'!$C$6:$C$4655,"&gt;="&amp;'THAM_SO'!$B$6,'CHAM_CONG_NGAY'!$C$6:$C$4655,"&lt;="&amp;'THAM_SO'!$B$7),$L112))</f>
        <v/>
      </c>
      <c r="AK112" s="232">
        <f>IF($B112="","",IF($D112="Theo ngày",SUMIFS('CHAM_CONG_NGAY'!$M$6:$M$4655,'CHAM_CONG_NGAY'!$B$6:$B$4655,$B112,'CHAM_CONG_NGAY'!$C$6:$C$4655,"&gt;="&amp;'THAM_SO'!$B$6,'CHAM_CONG_NGAY'!$C$6:$C$4655,"&lt;="&amp;'THAM_SO'!$B$7),$M112))</f>
        <v/>
      </c>
      <c r="AL112" s="227" t="n"/>
      <c r="AM112" s="227" t="n"/>
      <c r="AN112" s="227" t="n"/>
      <c r="AO112" s="227" t="n"/>
      <c r="AP112" s="227" t="n"/>
      <c r="AQ112" s="227" t="n"/>
      <c r="AR112" s="232">
        <f>IF($B112="","",IF($D112="Theo ngày",SUMIFS('CHAM_CONG_NGAY'!$O$6:$O$4655,'CHAM_CONG_NGAY'!$B$6:$B$4655,$B112,'CHAM_CONG_NGAY'!$C$6:$C$4655,"&gt;="&amp;'THAM_SO'!$B$6,'CHAM_CONG_NGAY'!$C$6:$C$4655,"&lt;="&amp;'THAM_SO'!$B$7),$AL112))</f>
        <v/>
      </c>
      <c r="AS112" s="232">
        <f>IF($B112="","",IF($D112="Theo ngày",SUMIFS('CHAM_CONG_NGAY'!$P$6:$P$4655,'CHAM_CONG_NGAY'!$B$6:$B$4655,$B112,'CHAM_CONG_NGAY'!$C$6:$C$4655,"&gt;="&amp;'THAM_SO'!$B$6,'CHAM_CONG_NGAY'!$C$6:$C$4655,"&lt;="&amp;'THAM_SO'!$B$7),$AM112))</f>
        <v/>
      </c>
      <c r="AT112" s="232">
        <f>IF($B112="","",IF($D112="Theo ngày",SUMIFS('CHAM_CONG_NGAY'!$Q$6:$Q$4655,'CHAM_CONG_NGAY'!$B$6:$B$4655,$B112,'CHAM_CONG_NGAY'!$C$6:$C$4655,"&gt;="&amp;'THAM_SO'!$B$6,'CHAM_CONG_NGAY'!$C$6:$C$4655,"&lt;="&amp;'THAM_SO'!$B$7),$AN112))</f>
        <v/>
      </c>
      <c r="AU112" s="232">
        <f>IF($B112="","",IF($D112="Theo ngày",SUMIFS('CHAM_CONG_NGAY'!$R$6:$R$4655,'CHAM_CONG_NGAY'!$B$6:$B$4655,$B112,'CHAM_CONG_NGAY'!$C$6:$C$4655,"&gt;="&amp;'THAM_SO'!$B$6,'CHAM_CONG_NGAY'!$C$6:$C$4655,"&lt;="&amp;'THAM_SO'!$B$7),$AO112))</f>
        <v/>
      </c>
      <c r="AV112" s="232">
        <f>IF($B112="","",IF($D112="Theo ngày",SUMIFS('CHAM_CONG_NGAY'!$S$6:$S$4655,'CHAM_CONG_NGAY'!$B$6:$B$4655,$B112,'CHAM_CONG_NGAY'!$C$6:$C$4655,"&gt;="&amp;'THAM_SO'!$B$6,'CHAM_CONG_NGAY'!$C$6:$C$4655,"&lt;="&amp;'THAM_SO'!$B$7),$AP112))</f>
        <v/>
      </c>
      <c r="AW112" s="232">
        <f>IF($B112="","",IF($D112="Theo ngày",SUMIFS('CHAM_CONG_NGAY'!$T$6:$T$4655,'CHAM_CONG_NGAY'!$B$6:$B$4655,$B112,'CHAM_CONG_NGAY'!$C$6:$C$4655,"&gt;="&amp;'THAM_SO'!$B$6,'CHAM_CONG_NGAY'!$C$6:$C$4655,"&lt;="&amp;'THAM_SO'!$B$7),$AQ112))</f>
        <v/>
      </c>
    </row>
    <row r="113">
      <c r="A113" s="145">
        <f>IF($B113="","",ROW()-5)</f>
        <v/>
      </c>
      <c r="B113" s="145">
        <f>IF('DM_NHAN_SU'!B113="","",'DM_NHAN_SU'!B113)</f>
        <v/>
      </c>
      <c r="C113" s="145">
        <f>IF('DM_NHAN_SU'!B113="","",'DM_NHAN_SU'!C113)</f>
        <v/>
      </c>
      <c r="D113" s="127" t="n"/>
      <c r="E113" s="227" t="n"/>
      <c r="F113" s="227" t="n"/>
      <c r="G113" s="227" t="n"/>
      <c r="H113" s="227" t="n"/>
      <c r="I113" s="227" t="n"/>
      <c r="J113" s="227" t="n"/>
      <c r="K113" s="227" t="n"/>
      <c r="L113" s="227" t="n"/>
      <c r="M113" s="227" t="n"/>
      <c r="N113" s="227" t="n"/>
      <c r="O113" s="222" t="n"/>
      <c r="P113" s="222" t="n"/>
      <c r="Q113" s="222" t="n"/>
      <c r="R113" s="222" t="n"/>
      <c r="S113" s="222" t="n"/>
      <c r="T113" s="222" t="n"/>
      <c r="U113" s="222" t="n"/>
      <c r="V113" s="222" t="n"/>
      <c r="W113" s="222" t="n"/>
      <c r="X113" s="222" t="n"/>
      <c r="Y113" s="222" t="n"/>
      <c r="Z113" s="222" t="n"/>
      <c r="AA113" s="127" t="n"/>
      <c r="AB113" s="127" t="n"/>
      <c r="AC113" s="232">
        <f>IF($B113="","",IF($D113="Theo ngày",SUMIFS('CHAM_CONG_NGAY'!$E$6:$E$4655,'CHAM_CONG_NGAY'!$B$6:$B$4655,$B113,'CHAM_CONG_NGAY'!$C$6:$C$4655,"&gt;="&amp;'THAM_SO'!$B$6,'CHAM_CONG_NGAY'!$C$6:$C$4655,"&lt;="&amp;'THAM_SO'!$B$7),$E113))</f>
        <v/>
      </c>
      <c r="AD113" s="232">
        <f>IF($B113="","",IF($D113="Theo ngày",SUMIFS('CHAM_CONG_NGAY'!$F$6:$F$4655,'CHAM_CONG_NGAY'!$B$6:$B$4655,$B113,'CHAM_CONG_NGAY'!$C$6:$C$4655,"&gt;="&amp;'THAM_SO'!$B$6,'CHAM_CONG_NGAY'!$C$6:$C$4655,"&lt;="&amp;'THAM_SO'!$B$7),$F113))</f>
        <v/>
      </c>
      <c r="AE113" s="232">
        <f>IF($B113="","",IF($D113="Theo ngày",SUMIFS('CHAM_CONG_NGAY'!$G$6:$G$4655,'CHAM_CONG_NGAY'!$B$6:$B$4655,$B113,'CHAM_CONG_NGAY'!$C$6:$C$4655,"&gt;="&amp;'THAM_SO'!$B$6,'CHAM_CONG_NGAY'!$C$6:$C$4655,"&lt;="&amp;'THAM_SO'!$B$7),$G113))</f>
        <v/>
      </c>
      <c r="AF113" s="232">
        <f>IF($B113="","",IF($D113="Theo ngày",SUMIFS('CHAM_CONG_NGAY'!$H$6:$H$4655,'CHAM_CONG_NGAY'!$B$6:$B$4655,$B113,'CHAM_CONG_NGAY'!$C$6:$C$4655,"&gt;="&amp;'THAM_SO'!$B$6,'CHAM_CONG_NGAY'!$C$6:$C$4655,"&lt;="&amp;'THAM_SO'!$B$7),$H113))</f>
        <v/>
      </c>
      <c r="AG113" s="232">
        <f>IF($B113="","",IF($D113="Theo ngày",SUMIFS('CHAM_CONG_NGAY'!$I$6:$I$4655,'CHAM_CONG_NGAY'!$B$6:$B$4655,$B113,'CHAM_CONG_NGAY'!$C$6:$C$4655,"&gt;="&amp;'THAM_SO'!$B$6,'CHAM_CONG_NGAY'!$C$6:$C$4655,"&lt;="&amp;'THAM_SO'!$B$7),$I113))</f>
        <v/>
      </c>
      <c r="AH113" s="232">
        <f>IF($B113="","",IF($D113="Theo ngày",SUMIFS('CHAM_CONG_NGAY'!$J$6:$J$4655,'CHAM_CONG_NGAY'!$B$6:$B$4655,$B113,'CHAM_CONG_NGAY'!$C$6:$C$4655,"&gt;="&amp;'THAM_SO'!$B$6,'CHAM_CONG_NGAY'!$C$6:$C$4655,"&lt;="&amp;'THAM_SO'!$B$7),$J113))</f>
        <v/>
      </c>
      <c r="AI113" s="232">
        <f>IF($B113="","",IF($D113="Theo ngày",SUMIFS('CHAM_CONG_NGAY'!$K$6:$K$4655,'CHAM_CONG_NGAY'!$B$6:$B$4655,$B113,'CHAM_CONG_NGAY'!$C$6:$C$4655,"&gt;="&amp;'THAM_SO'!$B$6,'CHAM_CONG_NGAY'!$C$6:$C$4655,"&lt;="&amp;'THAM_SO'!$B$7),$K113))</f>
        <v/>
      </c>
      <c r="AJ113" s="232">
        <f>IF($B113="","",IF($D113="Theo ngày",SUMIFS('CHAM_CONG_NGAY'!$L$6:$L$4655,'CHAM_CONG_NGAY'!$B$6:$B$4655,$B113,'CHAM_CONG_NGAY'!$C$6:$C$4655,"&gt;="&amp;'THAM_SO'!$B$6,'CHAM_CONG_NGAY'!$C$6:$C$4655,"&lt;="&amp;'THAM_SO'!$B$7),$L113))</f>
        <v/>
      </c>
      <c r="AK113" s="232">
        <f>IF($B113="","",IF($D113="Theo ngày",SUMIFS('CHAM_CONG_NGAY'!$M$6:$M$4655,'CHAM_CONG_NGAY'!$B$6:$B$4655,$B113,'CHAM_CONG_NGAY'!$C$6:$C$4655,"&gt;="&amp;'THAM_SO'!$B$6,'CHAM_CONG_NGAY'!$C$6:$C$4655,"&lt;="&amp;'THAM_SO'!$B$7),$M113))</f>
        <v/>
      </c>
      <c r="AL113" s="227" t="n"/>
      <c r="AM113" s="227" t="n"/>
      <c r="AN113" s="227" t="n"/>
      <c r="AO113" s="227" t="n"/>
      <c r="AP113" s="227" t="n"/>
      <c r="AQ113" s="227" t="n"/>
      <c r="AR113" s="232">
        <f>IF($B113="","",IF($D113="Theo ngày",SUMIFS('CHAM_CONG_NGAY'!$O$6:$O$4655,'CHAM_CONG_NGAY'!$B$6:$B$4655,$B113,'CHAM_CONG_NGAY'!$C$6:$C$4655,"&gt;="&amp;'THAM_SO'!$B$6,'CHAM_CONG_NGAY'!$C$6:$C$4655,"&lt;="&amp;'THAM_SO'!$B$7),$AL113))</f>
        <v/>
      </c>
      <c r="AS113" s="232">
        <f>IF($B113="","",IF($D113="Theo ngày",SUMIFS('CHAM_CONG_NGAY'!$P$6:$P$4655,'CHAM_CONG_NGAY'!$B$6:$B$4655,$B113,'CHAM_CONG_NGAY'!$C$6:$C$4655,"&gt;="&amp;'THAM_SO'!$B$6,'CHAM_CONG_NGAY'!$C$6:$C$4655,"&lt;="&amp;'THAM_SO'!$B$7),$AM113))</f>
        <v/>
      </c>
      <c r="AT113" s="232">
        <f>IF($B113="","",IF($D113="Theo ngày",SUMIFS('CHAM_CONG_NGAY'!$Q$6:$Q$4655,'CHAM_CONG_NGAY'!$B$6:$B$4655,$B113,'CHAM_CONG_NGAY'!$C$6:$C$4655,"&gt;="&amp;'THAM_SO'!$B$6,'CHAM_CONG_NGAY'!$C$6:$C$4655,"&lt;="&amp;'THAM_SO'!$B$7),$AN113))</f>
        <v/>
      </c>
      <c r="AU113" s="232">
        <f>IF($B113="","",IF($D113="Theo ngày",SUMIFS('CHAM_CONG_NGAY'!$R$6:$R$4655,'CHAM_CONG_NGAY'!$B$6:$B$4655,$B113,'CHAM_CONG_NGAY'!$C$6:$C$4655,"&gt;="&amp;'THAM_SO'!$B$6,'CHAM_CONG_NGAY'!$C$6:$C$4655,"&lt;="&amp;'THAM_SO'!$B$7),$AO113))</f>
        <v/>
      </c>
      <c r="AV113" s="232">
        <f>IF($B113="","",IF($D113="Theo ngày",SUMIFS('CHAM_CONG_NGAY'!$S$6:$S$4655,'CHAM_CONG_NGAY'!$B$6:$B$4655,$B113,'CHAM_CONG_NGAY'!$C$6:$C$4655,"&gt;="&amp;'THAM_SO'!$B$6,'CHAM_CONG_NGAY'!$C$6:$C$4655,"&lt;="&amp;'THAM_SO'!$B$7),$AP113))</f>
        <v/>
      </c>
      <c r="AW113" s="232">
        <f>IF($B113="","",IF($D113="Theo ngày",SUMIFS('CHAM_CONG_NGAY'!$T$6:$T$4655,'CHAM_CONG_NGAY'!$B$6:$B$4655,$B113,'CHAM_CONG_NGAY'!$C$6:$C$4655,"&gt;="&amp;'THAM_SO'!$B$6,'CHAM_CONG_NGAY'!$C$6:$C$4655,"&lt;="&amp;'THAM_SO'!$B$7),$AQ113))</f>
        <v/>
      </c>
    </row>
    <row r="114">
      <c r="A114" s="145">
        <f>IF($B114="","",ROW()-5)</f>
        <v/>
      </c>
      <c r="B114" s="145">
        <f>IF('DM_NHAN_SU'!B114="","",'DM_NHAN_SU'!B114)</f>
        <v/>
      </c>
      <c r="C114" s="145">
        <f>IF('DM_NHAN_SU'!B114="","",'DM_NHAN_SU'!C114)</f>
        <v/>
      </c>
      <c r="D114" s="127" t="n"/>
      <c r="E114" s="227" t="n"/>
      <c r="F114" s="227" t="n"/>
      <c r="G114" s="227" t="n"/>
      <c r="H114" s="227" t="n"/>
      <c r="I114" s="227" t="n"/>
      <c r="J114" s="227" t="n"/>
      <c r="K114" s="227" t="n"/>
      <c r="L114" s="227" t="n"/>
      <c r="M114" s="227" t="n"/>
      <c r="N114" s="227" t="n"/>
      <c r="O114" s="222" t="n"/>
      <c r="P114" s="222" t="n"/>
      <c r="Q114" s="222" t="n"/>
      <c r="R114" s="222" t="n"/>
      <c r="S114" s="222" t="n"/>
      <c r="T114" s="222" t="n"/>
      <c r="U114" s="222" t="n"/>
      <c r="V114" s="222" t="n"/>
      <c r="W114" s="222" t="n"/>
      <c r="X114" s="222" t="n"/>
      <c r="Y114" s="222" t="n"/>
      <c r="Z114" s="222" t="n"/>
      <c r="AA114" s="127" t="n"/>
      <c r="AB114" s="127" t="n"/>
      <c r="AC114" s="232">
        <f>IF($B114="","",IF($D114="Theo ngày",SUMIFS('CHAM_CONG_NGAY'!$E$6:$E$4655,'CHAM_CONG_NGAY'!$B$6:$B$4655,$B114,'CHAM_CONG_NGAY'!$C$6:$C$4655,"&gt;="&amp;'THAM_SO'!$B$6,'CHAM_CONG_NGAY'!$C$6:$C$4655,"&lt;="&amp;'THAM_SO'!$B$7),$E114))</f>
        <v/>
      </c>
      <c r="AD114" s="232">
        <f>IF($B114="","",IF($D114="Theo ngày",SUMIFS('CHAM_CONG_NGAY'!$F$6:$F$4655,'CHAM_CONG_NGAY'!$B$6:$B$4655,$B114,'CHAM_CONG_NGAY'!$C$6:$C$4655,"&gt;="&amp;'THAM_SO'!$B$6,'CHAM_CONG_NGAY'!$C$6:$C$4655,"&lt;="&amp;'THAM_SO'!$B$7),$F114))</f>
        <v/>
      </c>
      <c r="AE114" s="232">
        <f>IF($B114="","",IF($D114="Theo ngày",SUMIFS('CHAM_CONG_NGAY'!$G$6:$G$4655,'CHAM_CONG_NGAY'!$B$6:$B$4655,$B114,'CHAM_CONG_NGAY'!$C$6:$C$4655,"&gt;="&amp;'THAM_SO'!$B$6,'CHAM_CONG_NGAY'!$C$6:$C$4655,"&lt;="&amp;'THAM_SO'!$B$7),$G114))</f>
        <v/>
      </c>
      <c r="AF114" s="232">
        <f>IF($B114="","",IF($D114="Theo ngày",SUMIFS('CHAM_CONG_NGAY'!$H$6:$H$4655,'CHAM_CONG_NGAY'!$B$6:$B$4655,$B114,'CHAM_CONG_NGAY'!$C$6:$C$4655,"&gt;="&amp;'THAM_SO'!$B$6,'CHAM_CONG_NGAY'!$C$6:$C$4655,"&lt;="&amp;'THAM_SO'!$B$7),$H114))</f>
        <v/>
      </c>
      <c r="AG114" s="232">
        <f>IF($B114="","",IF($D114="Theo ngày",SUMIFS('CHAM_CONG_NGAY'!$I$6:$I$4655,'CHAM_CONG_NGAY'!$B$6:$B$4655,$B114,'CHAM_CONG_NGAY'!$C$6:$C$4655,"&gt;="&amp;'THAM_SO'!$B$6,'CHAM_CONG_NGAY'!$C$6:$C$4655,"&lt;="&amp;'THAM_SO'!$B$7),$I114))</f>
        <v/>
      </c>
      <c r="AH114" s="232">
        <f>IF($B114="","",IF($D114="Theo ngày",SUMIFS('CHAM_CONG_NGAY'!$J$6:$J$4655,'CHAM_CONG_NGAY'!$B$6:$B$4655,$B114,'CHAM_CONG_NGAY'!$C$6:$C$4655,"&gt;="&amp;'THAM_SO'!$B$6,'CHAM_CONG_NGAY'!$C$6:$C$4655,"&lt;="&amp;'THAM_SO'!$B$7),$J114))</f>
        <v/>
      </c>
      <c r="AI114" s="232">
        <f>IF($B114="","",IF($D114="Theo ngày",SUMIFS('CHAM_CONG_NGAY'!$K$6:$K$4655,'CHAM_CONG_NGAY'!$B$6:$B$4655,$B114,'CHAM_CONG_NGAY'!$C$6:$C$4655,"&gt;="&amp;'THAM_SO'!$B$6,'CHAM_CONG_NGAY'!$C$6:$C$4655,"&lt;="&amp;'THAM_SO'!$B$7),$K114))</f>
        <v/>
      </c>
      <c r="AJ114" s="232">
        <f>IF($B114="","",IF($D114="Theo ngày",SUMIFS('CHAM_CONG_NGAY'!$L$6:$L$4655,'CHAM_CONG_NGAY'!$B$6:$B$4655,$B114,'CHAM_CONG_NGAY'!$C$6:$C$4655,"&gt;="&amp;'THAM_SO'!$B$6,'CHAM_CONG_NGAY'!$C$6:$C$4655,"&lt;="&amp;'THAM_SO'!$B$7),$L114))</f>
        <v/>
      </c>
      <c r="AK114" s="232">
        <f>IF($B114="","",IF($D114="Theo ngày",SUMIFS('CHAM_CONG_NGAY'!$M$6:$M$4655,'CHAM_CONG_NGAY'!$B$6:$B$4655,$B114,'CHAM_CONG_NGAY'!$C$6:$C$4655,"&gt;="&amp;'THAM_SO'!$B$6,'CHAM_CONG_NGAY'!$C$6:$C$4655,"&lt;="&amp;'THAM_SO'!$B$7),$M114))</f>
        <v/>
      </c>
      <c r="AL114" s="227" t="n"/>
      <c r="AM114" s="227" t="n"/>
      <c r="AN114" s="227" t="n"/>
      <c r="AO114" s="227" t="n"/>
      <c r="AP114" s="227" t="n"/>
      <c r="AQ114" s="227" t="n"/>
      <c r="AR114" s="232">
        <f>IF($B114="","",IF($D114="Theo ngày",SUMIFS('CHAM_CONG_NGAY'!$O$6:$O$4655,'CHAM_CONG_NGAY'!$B$6:$B$4655,$B114,'CHAM_CONG_NGAY'!$C$6:$C$4655,"&gt;="&amp;'THAM_SO'!$B$6,'CHAM_CONG_NGAY'!$C$6:$C$4655,"&lt;="&amp;'THAM_SO'!$B$7),$AL114))</f>
        <v/>
      </c>
      <c r="AS114" s="232">
        <f>IF($B114="","",IF($D114="Theo ngày",SUMIFS('CHAM_CONG_NGAY'!$P$6:$P$4655,'CHAM_CONG_NGAY'!$B$6:$B$4655,$B114,'CHAM_CONG_NGAY'!$C$6:$C$4655,"&gt;="&amp;'THAM_SO'!$B$6,'CHAM_CONG_NGAY'!$C$6:$C$4655,"&lt;="&amp;'THAM_SO'!$B$7),$AM114))</f>
        <v/>
      </c>
      <c r="AT114" s="232">
        <f>IF($B114="","",IF($D114="Theo ngày",SUMIFS('CHAM_CONG_NGAY'!$Q$6:$Q$4655,'CHAM_CONG_NGAY'!$B$6:$B$4655,$B114,'CHAM_CONG_NGAY'!$C$6:$C$4655,"&gt;="&amp;'THAM_SO'!$B$6,'CHAM_CONG_NGAY'!$C$6:$C$4655,"&lt;="&amp;'THAM_SO'!$B$7),$AN114))</f>
        <v/>
      </c>
      <c r="AU114" s="232">
        <f>IF($B114="","",IF($D114="Theo ngày",SUMIFS('CHAM_CONG_NGAY'!$R$6:$R$4655,'CHAM_CONG_NGAY'!$B$6:$B$4655,$B114,'CHAM_CONG_NGAY'!$C$6:$C$4655,"&gt;="&amp;'THAM_SO'!$B$6,'CHAM_CONG_NGAY'!$C$6:$C$4655,"&lt;="&amp;'THAM_SO'!$B$7),$AO114))</f>
        <v/>
      </c>
      <c r="AV114" s="232">
        <f>IF($B114="","",IF($D114="Theo ngày",SUMIFS('CHAM_CONG_NGAY'!$S$6:$S$4655,'CHAM_CONG_NGAY'!$B$6:$B$4655,$B114,'CHAM_CONG_NGAY'!$C$6:$C$4655,"&gt;="&amp;'THAM_SO'!$B$6,'CHAM_CONG_NGAY'!$C$6:$C$4655,"&lt;="&amp;'THAM_SO'!$B$7),$AP114))</f>
        <v/>
      </c>
      <c r="AW114" s="232">
        <f>IF($B114="","",IF($D114="Theo ngày",SUMIFS('CHAM_CONG_NGAY'!$T$6:$T$4655,'CHAM_CONG_NGAY'!$B$6:$B$4655,$B114,'CHAM_CONG_NGAY'!$C$6:$C$4655,"&gt;="&amp;'THAM_SO'!$B$6,'CHAM_CONG_NGAY'!$C$6:$C$4655,"&lt;="&amp;'THAM_SO'!$B$7),$AQ114))</f>
        <v/>
      </c>
    </row>
    <row r="115">
      <c r="A115" s="145">
        <f>IF($B115="","",ROW()-5)</f>
        <v/>
      </c>
      <c r="B115" s="145">
        <f>IF('DM_NHAN_SU'!B115="","",'DM_NHAN_SU'!B115)</f>
        <v/>
      </c>
      <c r="C115" s="145">
        <f>IF('DM_NHAN_SU'!B115="","",'DM_NHAN_SU'!C115)</f>
        <v/>
      </c>
      <c r="D115" s="127" t="n"/>
      <c r="E115" s="227" t="n"/>
      <c r="F115" s="227" t="n"/>
      <c r="G115" s="227" t="n"/>
      <c r="H115" s="227" t="n"/>
      <c r="I115" s="227" t="n"/>
      <c r="J115" s="227" t="n"/>
      <c r="K115" s="227" t="n"/>
      <c r="L115" s="227" t="n"/>
      <c r="M115" s="227" t="n"/>
      <c r="N115" s="227" t="n"/>
      <c r="O115" s="222" t="n"/>
      <c r="P115" s="222" t="n"/>
      <c r="Q115" s="222" t="n"/>
      <c r="R115" s="222" t="n"/>
      <c r="S115" s="222" t="n"/>
      <c r="T115" s="222" t="n"/>
      <c r="U115" s="222" t="n"/>
      <c r="V115" s="222" t="n"/>
      <c r="W115" s="222" t="n"/>
      <c r="X115" s="222" t="n"/>
      <c r="Y115" s="222" t="n"/>
      <c r="Z115" s="222" t="n"/>
      <c r="AA115" s="127" t="n"/>
      <c r="AB115" s="127" t="n"/>
      <c r="AC115" s="232">
        <f>IF($B115="","",IF($D115="Theo ngày",SUMIFS('CHAM_CONG_NGAY'!$E$6:$E$4655,'CHAM_CONG_NGAY'!$B$6:$B$4655,$B115,'CHAM_CONG_NGAY'!$C$6:$C$4655,"&gt;="&amp;'THAM_SO'!$B$6,'CHAM_CONG_NGAY'!$C$6:$C$4655,"&lt;="&amp;'THAM_SO'!$B$7),$E115))</f>
        <v/>
      </c>
      <c r="AD115" s="232">
        <f>IF($B115="","",IF($D115="Theo ngày",SUMIFS('CHAM_CONG_NGAY'!$F$6:$F$4655,'CHAM_CONG_NGAY'!$B$6:$B$4655,$B115,'CHAM_CONG_NGAY'!$C$6:$C$4655,"&gt;="&amp;'THAM_SO'!$B$6,'CHAM_CONG_NGAY'!$C$6:$C$4655,"&lt;="&amp;'THAM_SO'!$B$7),$F115))</f>
        <v/>
      </c>
      <c r="AE115" s="232">
        <f>IF($B115="","",IF($D115="Theo ngày",SUMIFS('CHAM_CONG_NGAY'!$G$6:$G$4655,'CHAM_CONG_NGAY'!$B$6:$B$4655,$B115,'CHAM_CONG_NGAY'!$C$6:$C$4655,"&gt;="&amp;'THAM_SO'!$B$6,'CHAM_CONG_NGAY'!$C$6:$C$4655,"&lt;="&amp;'THAM_SO'!$B$7),$G115))</f>
        <v/>
      </c>
      <c r="AF115" s="232">
        <f>IF($B115="","",IF($D115="Theo ngày",SUMIFS('CHAM_CONG_NGAY'!$H$6:$H$4655,'CHAM_CONG_NGAY'!$B$6:$B$4655,$B115,'CHAM_CONG_NGAY'!$C$6:$C$4655,"&gt;="&amp;'THAM_SO'!$B$6,'CHAM_CONG_NGAY'!$C$6:$C$4655,"&lt;="&amp;'THAM_SO'!$B$7),$H115))</f>
        <v/>
      </c>
      <c r="AG115" s="232">
        <f>IF($B115="","",IF($D115="Theo ngày",SUMIFS('CHAM_CONG_NGAY'!$I$6:$I$4655,'CHAM_CONG_NGAY'!$B$6:$B$4655,$B115,'CHAM_CONG_NGAY'!$C$6:$C$4655,"&gt;="&amp;'THAM_SO'!$B$6,'CHAM_CONG_NGAY'!$C$6:$C$4655,"&lt;="&amp;'THAM_SO'!$B$7),$I115))</f>
        <v/>
      </c>
      <c r="AH115" s="232">
        <f>IF($B115="","",IF($D115="Theo ngày",SUMIFS('CHAM_CONG_NGAY'!$J$6:$J$4655,'CHAM_CONG_NGAY'!$B$6:$B$4655,$B115,'CHAM_CONG_NGAY'!$C$6:$C$4655,"&gt;="&amp;'THAM_SO'!$B$6,'CHAM_CONG_NGAY'!$C$6:$C$4655,"&lt;="&amp;'THAM_SO'!$B$7),$J115))</f>
        <v/>
      </c>
      <c r="AI115" s="232">
        <f>IF($B115="","",IF($D115="Theo ngày",SUMIFS('CHAM_CONG_NGAY'!$K$6:$K$4655,'CHAM_CONG_NGAY'!$B$6:$B$4655,$B115,'CHAM_CONG_NGAY'!$C$6:$C$4655,"&gt;="&amp;'THAM_SO'!$B$6,'CHAM_CONG_NGAY'!$C$6:$C$4655,"&lt;="&amp;'THAM_SO'!$B$7),$K115))</f>
        <v/>
      </c>
      <c r="AJ115" s="232">
        <f>IF($B115="","",IF($D115="Theo ngày",SUMIFS('CHAM_CONG_NGAY'!$L$6:$L$4655,'CHAM_CONG_NGAY'!$B$6:$B$4655,$B115,'CHAM_CONG_NGAY'!$C$6:$C$4655,"&gt;="&amp;'THAM_SO'!$B$6,'CHAM_CONG_NGAY'!$C$6:$C$4655,"&lt;="&amp;'THAM_SO'!$B$7),$L115))</f>
        <v/>
      </c>
      <c r="AK115" s="232">
        <f>IF($B115="","",IF($D115="Theo ngày",SUMIFS('CHAM_CONG_NGAY'!$M$6:$M$4655,'CHAM_CONG_NGAY'!$B$6:$B$4655,$B115,'CHAM_CONG_NGAY'!$C$6:$C$4655,"&gt;="&amp;'THAM_SO'!$B$6,'CHAM_CONG_NGAY'!$C$6:$C$4655,"&lt;="&amp;'THAM_SO'!$B$7),$M115))</f>
        <v/>
      </c>
      <c r="AL115" s="227" t="n"/>
      <c r="AM115" s="227" t="n"/>
      <c r="AN115" s="227" t="n"/>
      <c r="AO115" s="227" t="n"/>
      <c r="AP115" s="227" t="n"/>
      <c r="AQ115" s="227" t="n"/>
      <c r="AR115" s="232">
        <f>IF($B115="","",IF($D115="Theo ngày",SUMIFS('CHAM_CONG_NGAY'!$O$6:$O$4655,'CHAM_CONG_NGAY'!$B$6:$B$4655,$B115,'CHAM_CONG_NGAY'!$C$6:$C$4655,"&gt;="&amp;'THAM_SO'!$B$6,'CHAM_CONG_NGAY'!$C$6:$C$4655,"&lt;="&amp;'THAM_SO'!$B$7),$AL115))</f>
        <v/>
      </c>
      <c r="AS115" s="232">
        <f>IF($B115="","",IF($D115="Theo ngày",SUMIFS('CHAM_CONG_NGAY'!$P$6:$P$4655,'CHAM_CONG_NGAY'!$B$6:$B$4655,$B115,'CHAM_CONG_NGAY'!$C$6:$C$4655,"&gt;="&amp;'THAM_SO'!$B$6,'CHAM_CONG_NGAY'!$C$6:$C$4655,"&lt;="&amp;'THAM_SO'!$B$7),$AM115))</f>
        <v/>
      </c>
      <c r="AT115" s="232">
        <f>IF($B115="","",IF($D115="Theo ngày",SUMIFS('CHAM_CONG_NGAY'!$Q$6:$Q$4655,'CHAM_CONG_NGAY'!$B$6:$B$4655,$B115,'CHAM_CONG_NGAY'!$C$6:$C$4655,"&gt;="&amp;'THAM_SO'!$B$6,'CHAM_CONG_NGAY'!$C$6:$C$4655,"&lt;="&amp;'THAM_SO'!$B$7),$AN115))</f>
        <v/>
      </c>
      <c r="AU115" s="232">
        <f>IF($B115="","",IF($D115="Theo ngày",SUMIFS('CHAM_CONG_NGAY'!$R$6:$R$4655,'CHAM_CONG_NGAY'!$B$6:$B$4655,$B115,'CHAM_CONG_NGAY'!$C$6:$C$4655,"&gt;="&amp;'THAM_SO'!$B$6,'CHAM_CONG_NGAY'!$C$6:$C$4655,"&lt;="&amp;'THAM_SO'!$B$7),$AO115))</f>
        <v/>
      </c>
      <c r="AV115" s="232">
        <f>IF($B115="","",IF($D115="Theo ngày",SUMIFS('CHAM_CONG_NGAY'!$S$6:$S$4655,'CHAM_CONG_NGAY'!$B$6:$B$4655,$B115,'CHAM_CONG_NGAY'!$C$6:$C$4655,"&gt;="&amp;'THAM_SO'!$B$6,'CHAM_CONG_NGAY'!$C$6:$C$4655,"&lt;="&amp;'THAM_SO'!$B$7),$AP115))</f>
        <v/>
      </c>
      <c r="AW115" s="232">
        <f>IF($B115="","",IF($D115="Theo ngày",SUMIFS('CHAM_CONG_NGAY'!$T$6:$T$4655,'CHAM_CONG_NGAY'!$B$6:$B$4655,$B115,'CHAM_CONG_NGAY'!$C$6:$C$4655,"&gt;="&amp;'THAM_SO'!$B$6,'CHAM_CONG_NGAY'!$C$6:$C$4655,"&lt;="&amp;'THAM_SO'!$B$7),$AQ115))</f>
        <v/>
      </c>
    </row>
    <row r="116">
      <c r="A116" s="145">
        <f>IF($B116="","",ROW()-5)</f>
        <v/>
      </c>
      <c r="B116" s="145">
        <f>IF('DM_NHAN_SU'!B116="","",'DM_NHAN_SU'!B116)</f>
        <v/>
      </c>
      <c r="C116" s="145">
        <f>IF('DM_NHAN_SU'!B116="","",'DM_NHAN_SU'!C116)</f>
        <v/>
      </c>
      <c r="D116" s="127" t="n"/>
      <c r="E116" s="227" t="n"/>
      <c r="F116" s="227" t="n"/>
      <c r="G116" s="227" t="n"/>
      <c r="H116" s="227" t="n"/>
      <c r="I116" s="227" t="n"/>
      <c r="J116" s="227" t="n"/>
      <c r="K116" s="227" t="n"/>
      <c r="L116" s="227" t="n"/>
      <c r="M116" s="227" t="n"/>
      <c r="N116" s="227" t="n"/>
      <c r="O116" s="222" t="n"/>
      <c r="P116" s="222" t="n"/>
      <c r="Q116" s="222" t="n"/>
      <c r="R116" s="222" t="n"/>
      <c r="S116" s="222" t="n"/>
      <c r="T116" s="222" t="n"/>
      <c r="U116" s="222" t="n"/>
      <c r="V116" s="222" t="n"/>
      <c r="W116" s="222" t="n"/>
      <c r="X116" s="222" t="n"/>
      <c r="Y116" s="222" t="n"/>
      <c r="Z116" s="222" t="n"/>
      <c r="AA116" s="127" t="n"/>
      <c r="AB116" s="127" t="n"/>
      <c r="AC116" s="232">
        <f>IF($B116="","",IF($D116="Theo ngày",SUMIFS('CHAM_CONG_NGAY'!$E$6:$E$4655,'CHAM_CONG_NGAY'!$B$6:$B$4655,$B116,'CHAM_CONG_NGAY'!$C$6:$C$4655,"&gt;="&amp;'THAM_SO'!$B$6,'CHAM_CONG_NGAY'!$C$6:$C$4655,"&lt;="&amp;'THAM_SO'!$B$7),$E116))</f>
        <v/>
      </c>
      <c r="AD116" s="232">
        <f>IF($B116="","",IF($D116="Theo ngày",SUMIFS('CHAM_CONG_NGAY'!$F$6:$F$4655,'CHAM_CONG_NGAY'!$B$6:$B$4655,$B116,'CHAM_CONG_NGAY'!$C$6:$C$4655,"&gt;="&amp;'THAM_SO'!$B$6,'CHAM_CONG_NGAY'!$C$6:$C$4655,"&lt;="&amp;'THAM_SO'!$B$7),$F116))</f>
        <v/>
      </c>
      <c r="AE116" s="232">
        <f>IF($B116="","",IF($D116="Theo ngày",SUMIFS('CHAM_CONG_NGAY'!$G$6:$G$4655,'CHAM_CONG_NGAY'!$B$6:$B$4655,$B116,'CHAM_CONG_NGAY'!$C$6:$C$4655,"&gt;="&amp;'THAM_SO'!$B$6,'CHAM_CONG_NGAY'!$C$6:$C$4655,"&lt;="&amp;'THAM_SO'!$B$7),$G116))</f>
        <v/>
      </c>
      <c r="AF116" s="232">
        <f>IF($B116="","",IF($D116="Theo ngày",SUMIFS('CHAM_CONG_NGAY'!$H$6:$H$4655,'CHAM_CONG_NGAY'!$B$6:$B$4655,$B116,'CHAM_CONG_NGAY'!$C$6:$C$4655,"&gt;="&amp;'THAM_SO'!$B$6,'CHAM_CONG_NGAY'!$C$6:$C$4655,"&lt;="&amp;'THAM_SO'!$B$7),$H116))</f>
        <v/>
      </c>
      <c r="AG116" s="232">
        <f>IF($B116="","",IF($D116="Theo ngày",SUMIFS('CHAM_CONG_NGAY'!$I$6:$I$4655,'CHAM_CONG_NGAY'!$B$6:$B$4655,$B116,'CHAM_CONG_NGAY'!$C$6:$C$4655,"&gt;="&amp;'THAM_SO'!$B$6,'CHAM_CONG_NGAY'!$C$6:$C$4655,"&lt;="&amp;'THAM_SO'!$B$7),$I116))</f>
        <v/>
      </c>
      <c r="AH116" s="232">
        <f>IF($B116="","",IF($D116="Theo ngày",SUMIFS('CHAM_CONG_NGAY'!$J$6:$J$4655,'CHAM_CONG_NGAY'!$B$6:$B$4655,$B116,'CHAM_CONG_NGAY'!$C$6:$C$4655,"&gt;="&amp;'THAM_SO'!$B$6,'CHAM_CONG_NGAY'!$C$6:$C$4655,"&lt;="&amp;'THAM_SO'!$B$7),$J116))</f>
        <v/>
      </c>
      <c r="AI116" s="232">
        <f>IF($B116="","",IF($D116="Theo ngày",SUMIFS('CHAM_CONG_NGAY'!$K$6:$K$4655,'CHAM_CONG_NGAY'!$B$6:$B$4655,$B116,'CHAM_CONG_NGAY'!$C$6:$C$4655,"&gt;="&amp;'THAM_SO'!$B$6,'CHAM_CONG_NGAY'!$C$6:$C$4655,"&lt;="&amp;'THAM_SO'!$B$7),$K116))</f>
        <v/>
      </c>
      <c r="AJ116" s="232">
        <f>IF($B116="","",IF($D116="Theo ngày",SUMIFS('CHAM_CONG_NGAY'!$L$6:$L$4655,'CHAM_CONG_NGAY'!$B$6:$B$4655,$B116,'CHAM_CONG_NGAY'!$C$6:$C$4655,"&gt;="&amp;'THAM_SO'!$B$6,'CHAM_CONG_NGAY'!$C$6:$C$4655,"&lt;="&amp;'THAM_SO'!$B$7),$L116))</f>
        <v/>
      </c>
      <c r="AK116" s="232">
        <f>IF($B116="","",IF($D116="Theo ngày",SUMIFS('CHAM_CONG_NGAY'!$M$6:$M$4655,'CHAM_CONG_NGAY'!$B$6:$B$4655,$B116,'CHAM_CONG_NGAY'!$C$6:$C$4655,"&gt;="&amp;'THAM_SO'!$B$6,'CHAM_CONG_NGAY'!$C$6:$C$4655,"&lt;="&amp;'THAM_SO'!$B$7),$M116))</f>
        <v/>
      </c>
      <c r="AL116" s="227" t="n"/>
      <c r="AM116" s="227" t="n"/>
      <c r="AN116" s="227" t="n"/>
      <c r="AO116" s="227" t="n"/>
      <c r="AP116" s="227" t="n"/>
      <c r="AQ116" s="227" t="n"/>
      <c r="AR116" s="232">
        <f>IF($B116="","",IF($D116="Theo ngày",SUMIFS('CHAM_CONG_NGAY'!$O$6:$O$4655,'CHAM_CONG_NGAY'!$B$6:$B$4655,$B116,'CHAM_CONG_NGAY'!$C$6:$C$4655,"&gt;="&amp;'THAM_SO'!$B$6,'CHAM_CONG_NGAY'!$C$6:$C$4655,"&lt;="&amp;'THAM_SO'!$B$7),$AL116))</f>
        <v/>
      </c>
      <c r="AS116" s="232">
        <f>IF($B116="","",IF($D116="Theo ngày",SUMIFS('CHAM_CONG_NGAY'!$P$6:$P$4655,'CHAM_CONG_NGAY'!$B$6:$B$4655,$B116,'CHAM_CONG_NGAY'!$C$6:$C$4655,"&gt;="&amp;'THAM_SO'!$B$6,'CHAM_CONG_NGAY'!$C$6:$C$4655,"&lt;="&amp;'THAM_SO'!$B$7),$AM116))</f>
        <v/>
      </c>
      <c r="AT116" s="232">
        <f>IF($B116="","",IF($D116="Theo ngày",SUMIFS('CHAM_CONG_NGAY'!$Q$6:$Q$4655,'CHAM_CONG_NGAY'!$B$6:$B$4655,$B116,'CHAM_CONG_NGAY'!$C$6:$C$4655,"&gt;="&amp;'THAM_SO'!$B$6,'CHAM_CONG_NGAY'!$C$6:$C$4655,"&lt;="&amp;'THAM_SO'!$B$7),$AN116))</f>
        <v/>
      </c>
      <c r="AU116" s="232">
        <f>IF($B116="","",IF($D116="Theo ngày",SUMIFS('CHAM_CONG_NGAY'!$R$6:$R$4655,'CHAM_CONG_NGAY'!$B$6:$B$4655,$B116,'CHAM_CONG_NGAY'!$C$6:$C$4655,"&gt;="&amp;'THAM_SO'!$B$6,'CHAM_CONG_NGAY'!$C$6:$C$4655,"&lt;="&amp;'THAM_SO'!$B$7),$AO116))</f>
        <v/>
      </c>
      <c r="AV116" s="232">
        <f>IF($B116="","",IF($D116="Theo ngày",SUMIFS('CHAM_CONG_NGAY'!$S$6:$S$4655,'CHAM_CONG_NGAY'!$B$6:$B$4655,$B116,'CHAM_CONG_NGAY'!$C$6:$C$4655,"&gt;="&amp;'THAM_SO'!$B$6,'CHAM_CONG_NGAY'!$C$6:$C$4655,"&lt;="&amp;'THAM_SO'!$B$7),$AP116))</f>
        <v/>
      </c>
      <c r="AW116" s="232">
        <f>IF($B116="","",IF($D116="Theo ngày",SUMIFS('CHAM_CONG_NGAY'!$T$6:$T$4655,'CHAM_CONG_NGAY'!$B$6:$B$4655,$B116,'CHAM_CONG_NGAY'!$C$6:$C$4655,"&gt;="&amp;'THAM_SO'!$B$6,'CHAM_CONG_NGAY'!$C$6:$C$4655,"&lt;="&amp;'THAM_SO'!$B$7),$AQ116))</f>
        <v/>
      </c>
    </row>
    <row r="117">
      <c r="A117" s="145">
        <f>IF($B117="","",ROW()-5)</f>
        <v/>
      </c>
      <c r="B117" s="145">
        <f>IF('DM_NHAN_SU'!B117="","",'DM_NHAN_SU'!B117)</f>
        <v/>
      </c>
      <c r="C117" s="145">
        <f>IF('DM_NHAN_SU'!B117="","",'DM_NHAN_SU'!C117)</f>
        <v/>
      </c>
      <c r="D117" s="127" t="n"/>
      <c r="E117" s="227" t="n"/>
      <c r="F117" s="227" t="n"/>
      <c r="G117" s="227" t="n"/>
      <c r="H117" s="227" t="n"/>
      <c r="I117" s="227" t="n"/>
      <c r="J117" s="227" t="n"/>
      <c r="K117" s="227" t="n"/>
      <c r="L117" s="227" t="n"/>
      <c r="M117" s="227" t="n"/>
      <c r="N117" s="227" t="n"/>
      <c r="O117" s="222" t="n"/>
      <c r="P117" s="222" t="n"/>
      <c r="Q117" s="222" t="n"/>
      <c r="R117" s="222" t="n"/>
      <c r="S117" s="222" t="n"/>
      <c r="T117" s="222" t="n"/>
      <c r="U117" s="222" t="n"/>
      <c r="V117" s="222" t="n"/>
      <c r="W117" s="222" t="n"/>
      <c r="X117" s="222" t="n"/>
      <c r="Y117" s="222" t="n"/>
      <c r="Z117" s="222" t="n"/>
      <c r="AA117" s="127" t="n"/>
      <c r="AB117" s="127" t="n"/>
      <c r="AC117" s="232">
        <f>IF($B117="","",IF($D117="Theo ngày",SUMIFS('CHAM_CONG_NGAY'!$E$6:$E$4655,'CHAM_CONG_NGAY'!$B$6:$B$4655,$B117,'CHAM_CONG_NGAY'!$C$6:$C$4655,"&gt;="&amp;'THAM_SO'!$B$6,'CHAM_CONG_NGAY'!$C$6:$C$4655,"&lt;="&amp;'THAM_SO'!$B$7),$E117))</f>
        <v/>
      </c>
      <c r="AD117" s="232">
        <f>IF($B117="","",IF($D117="Theo ngày",SUMIFS('CHAM_CONG_NGAY'!$F$6:$F$4655,'CHAM_CONG_NGAY'!$B$6:$B$4655,$B117,'CHAM_CONG_NGAY'!$C$6:$C$4655,"&gt;="&amp;'THAM_SO'!$B$6,'CHAM_CONG_NGAY'!$C$6:$C$4655,"&lt;="&amp;'THAM_SO'!$B$7),$F117))</f>
        <v/>
      </c>
      <c r="AE117" s="232">
        <f>IF($B117="","",IF($D117="Theo ngày",SUMIFS('CHAM_CONG_NGAY'!$G$6:$G$4655,'CHAM_CONG_NGAY'!$B$6:$B$4655,$B117,'CHAM_CONG_NGAY'!$C$6:$C$4655,"&gt;="&amp;'THAM_SO'!$B$6,'CHAM_CONG_NGAY'!$C$6:$C$4655,"&lt;="&amp;'THAM_SO'!$B$7),$G117))</f>
        <v/>
      </c>
      <c r="AF117" s="232">
        <f>IF($B117="","",IF($D117="Theo ngày",SUMIFS('CHAM_CONG_NGAY'!$H$6:$H$4655,'CHAM_CONG_NGAY'!$B$6:$B$4655,$B117,'CHAM_CONG_NGAY'!$C$6:$C$4655,"&gt;="&amp;'THAM_SO'!$B$6,'CHAM_CONG_NGAY'!$C$6:$C$4655,"&lt;="&amp;'THAM_SO'!$B$7),$H117))</f>
        <v/>
      </c>
      <c r="AG117" s="232">
        <f>IF($B117="","",IF($D117="Theo ngày",SUMIFS('CHAM_CONG_NGAY'!$I$6:$I$4655,'CHAM_CONG_NGAY'!$B$6:$B$4655,$B117,'CHAM_CONG_NGAY'!$C$6:$C$4655,"&gt;="&amp;'THAM_SO'!$B$6,'CHAM_CONG_NGAY'!$C$6:$C$4655,"&lt;="&amp;'THAM_SO'!$B$7),$I117))</f>
        <v/>
      </c>
      <c r="AH117" s="232">
        <f>IF($B117="","",IF($D117="Theo ngày",SUMIFS('CHAM_CONG_NGAY'!$J$6:$J$4655,'CHAM_CONG_NGAY'!$B$6:$B$4655,$B117,'CHAM_CONG_NGAY'!$C$6:$C$4655,"&gt;="&amp;'THAM_SO'!$B$6,'CHAM_CONG_NGAY'!$C$6:$C$4655,"&lt;="&amp;'THAM_SO'!$B$7),$J117))</f>
        <v/>
      </c>
      <c r="AI117" s="232">
        <f>IF($B117="","",IF($D117="Theo ngày",SUMIFS('CHAM_CONG_NGAY'!$K$6:$K$4655,'CHAM_CONG_NGAY'!$B$6:$B$4655,$B117,'CHAM_CONG_NGAY'!$C$6:$C$4655,"&gt;="&amp;'THAM_SO'!$B$6,'CHAM_CONG_NGAY'!$C$6:$C$4655,"&lt;="&amp;'THAM_SO'!$B$7),$K117))</f>
        <v/>
      </c>
      <c r="AJ117" s="232">
        <f>IF($B117="","",IF($D117="Theo ngày",SUMIFS('CHAM_CONG_NGAY'!$L$6:$L$4655,'CHAM_CONG_NGAY'!$B$6:$B$4655,$B117,'CHAM_CONG_NGAY'!$C$6:$C$4655,"&gt;="&amp;'THAM_SO'!$B$6,'CHAM_CONG_NGAY'!$C$6:$C$4655,"&lt;="&amp;'THAM_SO'!$B$7),$L117))</f>
        <v/>
      </c>
      <c r="AK117" s="232">
        <f>IF($B117="","",IF($D117="Theo ngày",SUMIFS('CHAM_CONG_NGAY'!$M$6:$M$4655,'CHAM_CONG_NGAY'!$B$6:$B$4655,$B117,'CHAM_CONG_NGAY'!$C$6:$C$4655,"&gt;="&amp;'THAM_SO'!$B$6,'CHAM_CONG_NGAY'!$C$6:$C$4655,"&lt;="&amp;'THAM_SO'!$B$7),$M117))</f>
        <v/>
      </c>
      <c r="AL117" s="227" t="n"/>
      <c r="AM117" s="227" t="n"/>
      <c r="AN117" s="227" t="n"/>
      <c r="AO117" s="227" t="n"/>
      <c r="AP117" s="227" t="n"/>
      <c r="AQ117" s="227" t="n"/>
      <c r="AR117" s="232">
        <f>IF($B117="","",IF($D117="Theo ngày",SUMIFS('CHAM_CONG_NGAY'!$O$6:$O$4655,'CHAM_CONG_NGAY'!$B$6:$B$4655,$B117,'CHAM_CONG_NGAY'!$C$6:$C$4655,"&gt;="&amp;'THAM_SO'!$B$6,'CHAM_CONG_NGAY'!$C$6:$C$4655,"&lt;="&amp;'THAM_SO'!$B$7),$AL117))</f>
        <v/>
      </c>
      <c r="AS117" s="232">
        <f>IF($B117="","",IF($D117="Theo ngày",SUMIFS('CHAM_CONG_NGAY'!$P$6:$P$4655,'CHAM_CONG_NGAY'!$B$6:$B$4655,$B117,'CHAM_CONG_NGAY'!$C$6:$C$4655,"&gt;="&amp;'THAM_SO'!$B$6,'CHAM_CONG_NGAY'!$C$6:$C$4655,"&lt;="&amp;'THAM_SO'!$B$7),$AM117))</f>
        <v/>
      </c>
      <c r="AT117" s="232">
        <f>IF($B117="","",IF($D117="Theo ngày",SUMIFS('CHAM_CONG_NGAY'!$Q$6:$Q$4655,'CHAM_CONG_NGAY'!$B$6:$B$4655,$B117,'CHAM_CONG_NGAY'!$C$6:$C$4655,"&gt;="&amp;'THAM_SO'!$B$6,'CHAM_CONG_NGAY'!$C$6:$C$4655,"&lt;="&amp;'THAM_SO'!$B$7),$AN117))</f>
        <v/>
      </c>
      <c r="AU117" s="232">
        <f>IF($B117="","",IF($D117="Theo ngày",SUMIFS('CHAM_CONG_NGAY'!$R$6:$R$4655,'CHAM_CONG_NGAY'!$B$6:$B$4655,$B117,'CHAM_CONG_NGAY'!$C$6:$C$4655,"&gt;="&amp;'THAM_SO'!$B$6,'CHAM_CONG_NGAY'!$C$6:$C$4655,"&lt;="&amp;'THAM_SO'!$B$7),$AO117))</f>
        <v/>
      </c>
      <c r="AV117" s="232">
        <f>IF($B117="","",IF($D117="Theo ngày",SUMIFS('CHAM_CONG_NGAY'!$S$6:$S$4655,'CHAM_CONG_NGAY'!$B$6:$B$4655,$B117,'CHAM_CONG_NGAY'!$C$6:$C$4655,"&gt;="&amp;'THAM_SO'!$B$6,'CHAM_CONG_NGAY'!$C$6:$C$4655,"&lt;="&amp;'THAM_SO'!$B$7),$AP117))</f>
        <v/>
      </c>
      <c r="AW117" s="232">
        <f>IF($B117="","",IF($D117="Theo ngày",SUMIFS('CHAM_CONG_NGAY'!$T$6:$T$4655,'CHAM_CONG_NGAY'!$B$6:$B$4655,$B117,'CHAM_CONG_NGAY'!$C$6:$C$4655,"&gt;="&amp;'THAM_SO'!$B$6,'CHAM_CONG_NGAY'!$C$6:$C$4655,"&lt;="&amp;'THAM_SO'!$B$7),$AQ117))</f>
        <v/>
      </c>
    </row>
    <row r="118">
      <c r="A118" s="145">
        <f>IF($B118="","",ROW()-5)</f>
        <v/>
      </c>
      <c r="B118" s="145">
        <f>IF('DM_NHAN_SU'!B118="","",'DM_NHAN_SU'!B118)</f>
        <v/>
      </c>
      <c r="C118" s="145">
        <f>IF('DM_NHAN_SU'!B118="","",'DM_NHAN_SU'!C118)</f>
        <v/>
      </c>
      <c r="D118" s="127" t="n"/>
      <c r="E118" s="227" t="n"/>
      <c r="F118" s="227" t="n"/>
      <c r="G118" s="227" t="n"/>
      <c r="H118" s="227" t="n"/>
      <c r="I118" s="227" t="n"/>
      <c r="J118" s="227" t="n"/>
      <c r="K118" s="227" t="n"/>
      <c r="L118" s="227" t="n"/>
      <c r="M118" s="227" t="n"/>
      <c r="N118" s="227" t="n"/>
      <c r="O118" s="222" t="n"/>
      <c r="P118" s="222" t="n"/>
      <c r="Q118" s="222" t="n"/>
      <c r="R118" s="222" t="n"/>
      <c r="S118" s="222" t="n"/>
      <c r="T118" s="222" t="n"/>
      <c r="U118" s="222" t="n"/>
      <c r="V118" s="222" t="n"/>
      <c r="W118" s="222" t="n"/>
      <c r="X118" s="222" t="n"/>
      <c r="Y118" s="222" t="n"/>
      <c r="Z118" s="222" t="n"/>
      <c r="AA118" s="127" t="n"/>
      <c r="AB118" s="127" t="n"/>
      <c r="AC118" s="232">
        <f>IF($B118="","",IF($D118="Theo ngày",SUMIFS('CHAM_CONG_NGAY'!$E$6:$E$4655,'CHAM_CONG_NGAY'!$B$6:$B$4655,$B118,'CHAM_CONG_NGAY'!$C$6:$C$4655,"&gt;="&amp;'THAM_SO'!$B$6,'CHAM_CONG_NGAY'!$C$6:$C$4655,"&lt;="&amp;'THAM_SO'!$B$7),$E118))</f>
        <v/>
      </c>
      <c r="AD118" s="232">
        <f>IF($B118="","",IF($D118="Theo ngày",SUMIFS('CHAM_CONG_NGAY'!$F$6:$F$4655,'CHAM_CONG_NGAY'!$B$6:$B$4655,$B118,'CHAM_CONG_NGAY'!$C$6:$C$4655,"&gt;="&amp;'THAM_SO'!$B$6,'CHAM_CONG_NGAY'!$C$6:$C$4655,"&lt;="&amp;'THAM_SO'!$B$7),$F118))</f>
        <v/>
      </c>
      <c r="AE118" s="232">
        <f>IF($B118="","",IF($D118="Theo ngày",SUMIFS('CHAM_CONG_NGAY'!$G$6:$G$4655,'CHAM_CONG_NGAY'!$B$6:$B$4655,$B118,'CHAM_CONG_NGAY'!$C$6:$C$4655,"&gt;="&amp;'THAM_SO'!$B$6,'CHAM_CONG_NGAY'!$C$6:$C$4655,"&lt;="&amp;'THAM_SO'!$B$7),$G118))</f>
        <v/>
      </c>
      <c r="AF118" s="232">
        <f>IF($B118="","",IF($D118="Theo ngày",SUMIFS('CHAM_CONG_NGAY'!$H$6:$H$4655,'CHAM_CONG_NGAY'!$B$6:$B$4655,$B118,'CHAM_CONG_NGAY'!$C$6:$C$4655,"&gt;="&amp;'THAM_SO'!$B$6,'CHAM_CONG_NGAY'!$C$6:$C$4655,"&lt;="&amp;'THAM_SO'!$B$7),$H118))</f>
        <v/>
      </c>
      <c r="AG118" s="232">
        <f>IF($B118="","",IF($D118="Theo ngày",SUMIFS('CHAM_CONG_NGAY'!$I$6:$I$4655,'CHAM_CONG_NGAY'!$B$6:$B$4655,$B118,'CHAM_CONG_NGAY'!$C$6:$C$4655,"&gt;="&amp;'THAM_SO'!$B$6,'CHAM_CONG_NGAY'!$C$6:$C$4655,"&lt;="&amp;'THAM_SO'!$B$7),$I118))</f>
        <v/>
      </c>
      <c r="AH118" s="232">
        <f>IF($B118="","",IF($D118="Theo ngày",SUMIFS('CHAM_CONG_NGAY'!$J$6:$J$4655,'CHAM_CONG_NGAY'!$B$6:$B$4655,$B118,'CHAM_CONG_NGAY'!$C$6:$C$4655,"&gt;="&amp;'THAM_SO'!$B$6,'CHAM_CONG_NGAY'!$C$6:$C$4655,"&lt;="&amp;'THAM_SO'!$B$7),$J118))</f>
        <v/>
      </c>
      <c r="AI118" s="232">
        <f>IF($B118="","",IF($D118="Theo ngày",SUMIFS('CHAM_CONG_NGAY'!$K$6:$K$4655,'CHAM_CONG_NGAY'!$B$6:$B$4655,$B118,'CHAM_CONG_NGAY'!$C$6:$C$4655,"&gt;="&amp;'THAM_SO'!$B$6,'CHAM_CONG_NGAY'!$C$6:$C$4655,"&lt;="&amp;'THAM_SO'!$B$7),$K118))</f>
        <v/>
      </c>
      <c r="AJ118" s="232">
        <f>IF($B118="","",IF($D118="Theo ngày",SUMIFS('CHAM_CONG_NGAY'!$L$6:$L$4655,'CHAM_CONG_NGAY'!$B$6:$B$4655,$B118,'CHAM_CONG_NGAY'!$C$6:$C$4655,"&gt;="&amp;'THAM_SO'!$B$6,'CHAM_CONG_NGAY'!$C$6:$C$4655,"&lt;="&amp;'THAM_SO'!$B$7),$L118))</f>
        <v/>
      </c>
      <c r="AK118" s="232">
        <f>IF($B118="","",IF($D118="Theo ngày",SUMIFS('CHAM_CONG_NGAY'!$M$6:$M$4655,'CHAM_CONG_NGAY'!$B$6:$B$4655,$B118,'CHAM_CONG_NGAY'!$C$6:$C$4655,"&gt;="&amp;'THAM_SO'!$B$6,'CHAM_CONG_NGAY'!$C$6:$C$4655,"&lt;="&amp;'THAM_SO'!$B$7),$M118))</f>
        <v/>
      </c>
      <c r="AL118" s="227" t="n"/>
      <c r="AM118" s="227" t="n"/>
      <c r="AN118" s="227" t="n"/>
      <c r="AO118" s="227" t="n"/>
      <c r="AP118" s="227" t="n"/>
      <c r="AQ118" s="227" t="n"/>
      <c r="AR118" s="232">
        <f>IF($B118="","",IF($D118="Theo ngày",SUMIFS('CHAM_CONG_NGAY'!$O$6:$O$4655,'CHAM_CONG_NGAY'!$B$6:$B$4655,$B118,'CHAM_CONG_NGAY'!$C$6:$C$4655,"&gt;="&amp;'THAM_SO'!$B$6,'CHAM_CONG_NGAY'!$C$6:$C$4655,"&lt;="&amp;'THAM_SO'!$B$7),$AL118))</f>
        <v/>
      </c>
      <c r="AS118" s="232">
        <f>IF($B118="","",IF($D118="Theo ngày",SUMIFS('CHAM_CONG_NGAY'!$P$6:$P$4655,'CHAM_CONG_NGAY'!$B$6:$B$4655,$B118,'CHAM_CONG_NGAY'!$C$6:$C$4655,"&gt;="&amp;'THAM_SO'!$B$6,'CHAM_CONG_NGAY'!$C$6:$C$4655,"&lt;="&amp;'THAM_SO'!$B$7),$AM118))</f>
        <v/>
      </c>
      <c r="AT118" s="232">
        <f>IF($B118="","",IF($D118="Theo ngày",SUMIFS('CHAM_CONG_NGAY'!$Q$6:$Q$4655,'CHAM_CONG_NGAY'!$B$6:$B$4655,$B118,'CHAM_CONG_NGAY'!$C$6:$C$4655,"&gt;="&amp;'THAM_SO'!$B$6,'CHAM_CONG_NGAY'!$C$6:$C$4655,"&lt;="&amp;'THAM_SO'!$B$7),$AN118))</f>
        <v/>
      </c>
      <c r="AU118" s="232">
        <f>IF($B118="","",IF($D118="Theo ngày",SUMIFS('CHAM_CONG_NGAY'!$R$6:$R$4655,'CHAM_CONG_NGAY'!$B$6:$B$4655,$B118,'CHAM_CONG_NGAY'!$C$6:$C$4655,"&gt;="&amp;'THAM_SO'!$B$6,'CHAM_CONG_NGAY'!$C$6:$C$4655,"&lt;="&amp;'THAM_SO'!$B$7),$AO118))</f>
        <v/>
      </c>
      <c r="AV118" s="232">
        <f>IF($B118="","",IF($D118="Theo ngày",SUMIFS('CHAM_CONG_NGAY'!$S$6:$S$4655,'CHAM_CONG_NGAY'!$B$6:$B$4655,$B118,'CHAM_CONG_NGAY'!$C$6:$C$4655,"&gt;="&amp;'THAM_SO'!$B$6,'CHAM_CONG_NGAY'!$C$6:$C$4655,"&lt;="&amp;'THAM_SO'!$B$7),$AP118))</f>
        <v/>
      </c>
      <c r="AW118" s="232">
        <f>IF($B118="","",IF($D118="Theo ngày",SUMIFS('CHAM_CONG_NGAY'!$T$6:$T$4655,'CHAM_CONG_NGAY'!$B$6:$B$4655,$B118,'CHAM_CONG_NGAY'!$C$6:$C$4655,"&gt;="&amp;'THAM_SO'!$B$6,'CHAM_CONG_NGAY'!$C$6:$C$4655,"&lt;="&amp;'THAM_SO'!$B$7),$AQ118))</f>
        <v/>
      </c>
    </row>
    <row r="119">
      <c r="A119" s="145">
        <f>IF($B119="","",ROW()-5)</f>
        <v/>
      </c>
      <c r="B119" s="145">
        <f>IF('DM_NHAN_SU'!B119="","",'DM_NHAN_SU'!B119)</f>
        <v/>
      </c>
      <c r="C119" s="145">
        <f>IF('DM_NHAN_SU'!B119="","",'DM_NHAN_SU'!C119)</f>
        <v/>
      </c>
      <c r="D119" s="127" t="n"/>
      <c r="E119" s="227" t="n"/>
      <c r="F119" s="227" t="n"/>
      <c r="G119" s="227" t="n"/>
      <c r="H119" s="227" t="n"/>
      <c r="I119" s="227" t="n"/>
      <c r="J119" s="227" t="n"/>
      <c r="K119" s="227" t="n"/>
      <c r="L119" s="227" t="n"/>
      <c r="M119" s="227" t="n"/>
      <c r="N119" s="227" t="n"/>
      <c r="O119" s="222" t="n"/>
      <c r="P119" s="222" t="n"/>
      <c r="Q119" s="222" t="n"/>
      <c r="R119" s="222" t="n"/>
      <c r="S119" s="222" t="n"/>
      <c r="T119" s="222" t="n"/>
      <c r="U119" s="222" t="n"/>
      <c r="V119" s="222" t="n"/>
      <c r="W119" s="222" t="n"/>
      <c r="X119" s="222" t="n"/>
      <c r="Y119" s="222" t="n"/>
      <c r="Z119" s="222" t="n"/>
      <c r="AA119" s="127" t="n"/>
      <c r="AB119" s="127" t="n"/>
      <c r="AC119" s="232">
        <f>IF($B119="","",IF($D119="Theo ngày",SUMIFS('CHAM_CONG_NGAY'!$E$6:$E$4655,'CHAM_CONG_NGAY'!$B$6:$B$4655,$B119,'CHAM_CONG_NGAY'!$C$6:$C$4655,"&gt;="&amp;'THAM_SO'!$B$6,'CHAM_CONG_NGAY'!$C$6:$C$4655,"&lt;="&amp;'THAM_SO'!$B$7),$E119))</f>
        <v/>
      </c>
      <c r="AD119" s="232">
        <f>IF($B119="","",IF($D119="Theo ngày",SUMIFS('CHAM_CONG_NGAY'!$F$6:$F$4655,'CHAM_CONG_NGAY'!$B$6:$B$4655,$B119,'CHAM_CONG_NGAY'!$C$6:$C$4655,"&gt;="&amp;'THAM_SO'!$B$6,'CHAM_CONG_NGAY'!$C$6:$C$4655,"&lt;="&amp;'THAM_SO'!$B$7),$F119))</f>
        <v/>
      </c>
      <c r="AE119" s="232">
        <f>IF($B119="","",IF($D119="Theo ngày",SUMIFS('CHAM_CONG_NGAY'!$G$6:$G$4655,'CHAM_CONG_NGAY'!$B$6:$B$4655,$B119,'CHAM_CONG_NGAY'!$C$6:$C$4655,"&gt;="&amp;'THAM_SO'!$B$6,'CHAM_CONG_NGAY'!$C$6:$C$4655,"&lt;="&amp;'THAM_SO'!$B$7),$G119))</f>
        <v/>
      </c>
      <c r="AF119" s="232">
        <f>IF($B119="","",IF($D119="Theo ngày",SUMIFS('CHAM_CONG_NGAY'!$H$6:$H$4655,'CHAM_CONG_NGAY'!$B$6:$B$4655,$B119,'CHAM_CONG_NGAY'!$C$6:$C$4655,"&gt;="&amp;'THAM_SO'!$B$6,'CHAM_CONG_NGAY'!$C$6:$C$4655,"&lt;="&amp;'THAM_SO'!$B$7),$H119))</f>
        <v/>
      </c>
      <c r="AG119" s="232">
        <f>IF($B119="","",IF($D119="Theo ngày",SUMIFS('CHAM_CONG_NGAY'!$I$6:$I$4655,'CHAM_CONG_NGAY'!$B$6:$B$4655,$B119,'CHAM_CONG_NGAY'!$C$6:$C$4655,"&gt;="&amp;'THAM_SO'!$B$6,'CHAM_CONG_NGAY'!$C$6:$C$4655,"&lt;="&amp;'THAM_SO'!$B$7),$I119))</f>
        <v/>
      </c>
      <c r="AH119" s="232">
        <f>IF($B119="","",IF($D119="Theo ngày",SUMIFS('CHAM_CONG_NGAY'!$J$6:$J$4655,'CHAM_CONG_NGAY'!$B$6:$B$4655,$B119,'CHAM_CONG_NGAY'!$C$6:$C$4655,"&gt;="&amp;'THAM_SO'!$B$6,'CHAM_CONG_NGAY'!$C$6:$C$4655,"&lt;="&amp;'THAM_SO'!$B$7),$J119))</f>
        <v/>
      </c>
      <c r="AI119" s="232">
        <f>IF($B119="","",IF($D119="Theo ngày",SUMIFS('CHAM_CONG_NGAY'!$K$6:$K$4655,'CHAM_CONG_NGAY'!$B$6:$B$4655,$B119,'CHAM_CONG_NGAY'!$C$6:$C$4655,"&gt;="&amp;'THAM_SO'!$B$6,'CHAM_CONG_NGAY'!$C$6:$C$4655,"&lt;="&amp;'THAM_SO'!$B$7),$K119))</f>
        <v/>
      </c>
      <c r="AJ119" s="232">
        <f>IF($B119="","",IF($D119="Theo ngày",SUMIFS('CHAM_CONG_NGAY'!$L$6:$L$4655,'CHAM_CONG_NGAY'!$B$6:$B$4655,$B119,'CHAM_CONG_NGAY'!$C$6:$C$4655,"&gt;="&amp;'THAM_SO'!$B$6,'CHAM_CONG_NGAY'!$C$6:$C$4655,"&lt;="&amp;'THAM_SO'!$B$7),$L119))</f>
        <v/>
      </c>
      <c r="AK119" s="232">
        <f>IF($B119="","",IF($D119="Theo ngày",SUMIFS('CHAM_CONG_NGAY'!$M$6:$M$4655,'CHAM_CONG_NGAY'!$B$6:$B$4655,$B119,'CHAM_CONG_NGAY'!$C$6:$C$4655,"&gt;="&amp;'THAM_SO'!$B$6,'CHAM_CONG_NGAY'!$C$6:$C$4655,"&lt;="&amp;'THAM_SO'!$B$7),$M119))</f>
        <v/>
      </c>
      <c r="AL119" s="227" t="n"/>
      <c r="AM119" s="227" t="n"/>
      <c r="AN119" s="227" t="n"/>
      <c r="AO119" s="227" t="n"/>
      <c r="AP119" s="227" t="n"/>
      <c r="AQ119" s="227" t="n"/>
      <c r="AR119" s="232">
        <f>IF($B119="","",IF($D119="Theo ngày",SUMIFS('CHAM_CONG_NGAY'!$O$6:$O$4655,'CHAM_CONG_NGAY'!$B$6:$B$4655,$B119,'CHAM_CONG_NGAY'!$C$6:$C$4655,"&gt;="&amp;'THAM_SO'!$B$6,'CHAM_CONG_NGAY'!$C$6:$C$4655,"&lt;="&amp;'THAM_SO'!$B$7),$AL119))</f>
        <v/>
      </c>
      <c r="AS119" s="232">
        <f>IF($B119="","",IF($D119="Theo ngày",SUMIFS('CHAM_CONG_NGAY'!$P$6:$P$4655,'CHAM_CONG_NGAY'!$B$6:$B$4655,$B119,'CHAM_CONG_NGAY'!$C$6:$C$4655,"&gt;="&amp;'THAM_SO'!$B$6,'CHAM_CONG_NGAY'!$C$6:$C$4655,"&lt;="&amp;'THAM_SO'!$B$7),$AM119))</f>
        <v/>
      </c>
      <c r="AT119" s="232">
        <f>IF($B119="","",IF($D119="Theo ngày",SUMIFS('CHAM_CONG_NGAY'!$Q$6:$Q$4655,'CHAM_CONG_NGAY'!$B$6:$B$4655,$B119,'CHAM_CONG_NGAY'!$C$6:$C$4655,"&gt;="&amp;'THAM_SO'!$B$6,'CHAM_CONG_NGAY'!$C$6:$C$4655,"&lt;="&amp;'THAM_SO'!$B$7),$AN119))</f>
        <v/>
      </c>
      <c r="AU119" s="232">
        <f>IF($B119="","",IF($D119="Theo ngày",SUMIFS('CHAM_CONG_NGAY'!$R$6:$R$4655,'CHAM_CONG_NGAY'!$B$6:$B$4655,$B119,'CHAM_CONG_NGAY'!$C$6:$C$4655,"&gt;="&amp;'THAM_SO'!$B$6,'CHAM_CONG_NGAY'!$C$6:$C$4655,"&lt;="&amp;'THAM_SO'!$B$7),$AO119))</f>
        <v/>
      </c>
      <c r="AV119" s="232">
        <f>IF($B119="","",IF($D119="Theo ngày",SUMIFS('CHAM_CONG_NGAY'!$S$6:$S$4655,'CHAM_CONG_NGAY'!$B$6:$B$4655,$B119,'CHAM_CONG_NGAY'!$C$6:$C$4655,"&gt;="&amp;'THAM_SO'!$B$6,'CHAM_CONG_NGAY'!$C$6:$C$4655,"&lt;="&amp;'THAM_SO'!$B$7),$AP119))</f>
        <v/>
      </c>
      <c r="AW119" s="232">
        <f>IF($B119="","",IF($D119="Theo ngày",SUMIFS('CHAM_CONG_NGAY'!$T$6:$T$4655,'CHAM_CONG_NGAY'!$B$6:$B$4655,$B119,'CHAM_CONG_NGAY'!$C$6:$C$4655,"&gt;="&amp;'THAM_SO'!$B$6,'CHAM_CONG_NGAY'!$C$6:$C$4655,"&lt;="&amp;'THAM_SO'!$B$7),$AQ119))</f>
        <v/>
      </c>
    </row>
    <row r="120">
      <c r="A120" s="145">
        <f>IF($B120="","",ROW()-5)</f>
        <v/>
      </c>
      <c r="B120" s="145">
        <f>IF('DM_NHAN_SU'!B120="","",'DM_NHAN_SU'!B120)</f>
        <v/>
      </c>
      <c r="C120" s="145">
        <f>IF('DM_NHAN_SU'!B120="","",'DM_NHAN_SU'!C120)</f>
        <v/>
      </c>
      <c r="D120" s="127" t="n"/>
      <c r="E120" s="227" t="n"/>
      <c r="F120" s="227" t="n"/>
      <c r="G120" s="227" t="n"/>
      <c r="H120" s="227" t="n"/>
      <c r="I120" s="227" t="n"/>
      <c r="J120" s="227" t="n"/>
      <c r="K120" s="227" t="n"/>
      <c r="L120" s="227" t="n"/>
      <c r="M120" s="227" t="n"/>
      <c r="N120" s="227" t="n"/>
      <c r="O120" s="222" t="n"/>
      <c r="P120" s="222" t="n"/>
      <c r="Q120" s="222" t="n"/>
      <c r="R120" s="222" t="n"/>
      <c r="S120" s="222" t="n"/>
      <c r="T120" s="222" t="n"/>
      <c r="U120" s="222" t="n"/>
      <c r="V120" s="222" t="n"/>
      <c r="W120" s="222" t="n"/>
      <c r="X120" s="222" t="n"/>
      <c r="Y120" s="222" t="n"/>
      <c r="Z120" s="222" t="n"/>
      <c r="AA120" s="127" t="n"/>
      <c r="AB120" s="127" t="n"/>
      <c r="AC120" s="232">
        <f>IF($B120="","",IF($D120="Theo ngày",SUMIFS('CHAM_CONG_NGAY'!$E$6:$E$4655,'CHAM_CONG_NGAY'!$B$6:$B$4655,$B120,'CHAM_CONG_NGAY'!$C$6:$C$4655,"&gt;="&amp;'THAM_SO'!$B$6,'CHAM_CONG_NGAY'!$C$6:$C$4655,"&lt;="&amp;'THAM_SO'!$B$7),$E120))</f>
        <v/>
      </c>
      <c r="AD120" s="232">
        <f>IF($B120="","",IF($D120="Theo ngày",SUMIFS('CHAM_CONG_NGAY'!$F$6:$F$4655,'CHAM_CONG_NGAY'!$B$6:$B$4655,$B120,'CHAM_CONG_NGAY'!$C$6:$C$4655,"&gt;="&amp;'THAM_SO'!$B$6,'CHAM_CONG_NGAY'!$C$6:$C$4655,"&lt;="&amp;'THAM_SO'!$B$7),$F120))</f>
        <v/>
      </c>
      <c r="AE120" s="232">
        <f>IF($B120="","",IF($D120="Theo ngày",SUMIFS('CHAM_CONG_NGAY'!$G$6:$G$4655,'CHAM_CONG_NGAY'!$B$6:$B$4655,$B120,'CHAM_CONG_NGAY'!$C$6:$C$4655,"&gt;="&amp;'THAM_SO'!$B$6,'CHAM_CONG_NGAY'!$C$6:$C$4655,"&lt;="&amp;'THAM_SO'!$B$7),$G120))</f>
        <v/>
      </c>
      <c r="AF120" s="232">
        <f>IF($B120="","",IF($D120="Theo ngày",SUMIFS('CHAM_CONG_NGAY'!$H$6:$H$4655,'CHAM_CONG_NGAY'!$B$6:$B$4655,$B120,'CHAM_CONG_NGAY'!$C$6:$C$4655,"&gt;="&amp;'THAM_SO'!$B$6,'CHAM_CONG_NGAY'!$C$6:$C$4655,"&lt;="&amp;'THAM_SO'!$B$7),$H120))</f>
        <v/>
      </c>
      <c r="AG120" s="232">
        <f>IF($B120="","",IF($D120="Theo ngày",SUMIFS('CHAM_CONG_NGAY'!$I$6:$I$4655,'CHAM_CONG_NGAY'!$B$6:$B$4655,$B120,'CHAM_CONG_NGAY'!$C$6:$C$4655,"&gt;="&amp;'THAM_SO'!$B$6,'CHAM_CONG_NGAY'!$C$6:$C$4655,"&lt;="&amp;'THAM_SO'!$B$7),$I120))</f>
        <v/>
      </c>
      <c r="AH120" s="232">
        <f>IF($B120="","",IF($D120="Theo ngày",SUMIFS('CHAM_CONG_NGAY'!$J$6:$J$4655,'CHAM_CONG_NGAY'!$B$6:$B$4655,$B120,'CHAM_CONG_NGAY'!$C$6:$C$4655,"&gt;="&amp;'THAM_SO'!$B$6,'CHAM_CONG_NGAY'!$C$6:$C$4655,"&lt;="&amp;'THAM_SO'!$B$7),$J120))</f>
        <v/>
      </c>
      <c r="AI120" s="232">
        <f>IF($B120="","",IF($D120="Theo ngày",SUMIFS('CHAM_CONG_NGAY'!$K$6:$K$4655,'CHAM_CONG_NGAY'!$B$6:$B$4655,$B120,'CHAM_CONG_NGAY'!$C$6:$C$4655,"&gt;="&amp;'THAM_SO'!$B$6,'CHAM_CONG_NGAY'!$C$6:$C$4655,"&lt;="&amp;'THAM_SO'!$B$7),$K120))</f>
        <v/>
      </c>
      <c r="AJ120" s="232">
        <f>IF($B120="","",IF($D120="Theo ngày",SUMIFS('CHAM_CONG_NGAY'!$L$6:$L$4655,'CHAM_CONG_NGAY'!$B$6:$B$4655,$B120,'CHAM_CONG_NGAY'!$C$6:$C$4655,"&gt;="&amp;'THAM_SO'!$B$6,'CHAM_CONG_NGAY'!$C$6:$C$4655,"&lt;="&amp;'THAM_SO'!$B$7),$L120))</f>
        <v/>
      </c>
      <c r="AK120" s="232">
        <f>IF($B120="","",IF($D120="Theo ngày",SUMIFS('CHAM_CONG_NGAY'!$M$6:$M$4655,'CHAM_CONG_NGAY'!$B$6:$B$4655,$B120,'CHAM_CONG_NGAY'!$C$6:$C$4655,"&gt;="&amp;'THAM_SO'!$B$6,'CHAM_CONG_NGAY'!$C$6:$C$4655,"&lt;="&amp;'THAM_SO'!$B$7),$M120))</f>
        <v/>
      </c>
      <c r="AL120" s="227" t="n"/>
      <c r="AM120" s="227" t="n"/>
      <c r="AN120" s="227" t="n"/>
      <c r="AO120" s="227" t="n"/>
      <c r="AP120" s="227" t="n"/>
      <c r="AQ120" s="227" t="n"/>
      <c r="AR120" s="232">
        <f>IF($B120="","",IF($D120="Theo ngày",SUMIFS('CHAM_CONG_NGAY'!$O$6:$O$4655,'CHAM_CONG_NGAY'!$B$6:$B$4655,$B120,'CHAM_CONG_NGAY'!$C$6:$C$4655,"&gt;="&amp;'THAM_SO'!$B$6,'CHAM_CONG_NGAY'!$C$6:$C$4655,"&lt;="&amp;'THAM_SO'!$B$7),$AL120))</f>
        <v/>
      </c>
      <c r="AS120" s="232">
        <f>IF($B120="","",IF($D120="Theo ngày",SUMIFS('CHAM_CONG_NGAY'!$P$6:$P$4655,'CHAM_CONG_NGAY'!$B$6:$B$4655,$B120,'CHAM_CONG_NGAY'!$C$6:$C$4655,"&gt;="&amp;'THAM_SO'!$B$6,'CHAM_CONG_NGAY'!$C$6:$C$4655,"&lt;="&amp;'THAM_SO'!$B$7),$AM120))</f>
        <v/>
      </c>
      <c r="AT120" s="232">
        <f>IF($B120="","",IF($D120="Theo ngày",SUMIFS('CHAM_CONG_NGAY'!$Q$6:$Q$4655,'CHAM_CONG_NGAY'!$B$6:$B$4655,$B120,'CHAM_CONG_NGAY'!$C$6:$C$4655,"&gt;="&amp;'THAM_SO'!$B$6,'CHAM_CONG_NGAY'!$C$6:$C$4655,"&lt;="&amp;'THAM_SO'!$B$7),$AN120))</f>
        <v/>
      </c>
      <c r="AU120" s="232">
        <f>IF($B120="","",IF($D120="Theo ngày",SUMIFS('CHAM_CONG_NGAY'!$R$6:$R$4655,'CHAM_CONG_NGAY'!$B$6:$B$4655,$B120,'CHAM_CONG_NGAY'!$C$6:$C$4655,"&gt;="&amp;'THAM_SO'!$B$6,'CHAM_CONG_NGAY'!$C$6:$C$4655,"&lt;="&amp;'THAM_SO'!$B$7),$AO120))</f>
        <v/>
      </c>
      <c r="AV120" s="232">
        <f>IF($B120="","",IF($D120="Theo ngày",SUMIFS('CHAM_CONG_NGAY'!$S$6:$S$4655,'CHAM_CONG_NGAY'!$B$6:$B$4655,$B120,'CHAM_CONG_NGAY'!$C$6:$C$4655,"&gt;="&amp;'THAM_SO'!$B$6,'CHAM_CONG_NGAY'!$C$6:$C$4655,"&lt;="&amp;'THAM_SO'!$B$7),$AP120))</f>
        <v/>
      </c>
      <c r="AW120" s="232">
        <f>IF($B120="","",IF($D120="Theo ngày",SUMIFS('CHAM_CONG_NGAY'!$T$6:$T$4655,'CHAM_CONG_NGAY'!$B$6:$B$4655,$B120,'CHAM_CONG_NGAY'!$C$6:$C$4655,"&gt;="&amp;'THAM_SO'!$B$6,'CHAM_CONG_NGAY'!$C$6:$C$4655,"&lt;="&amp;'THAM_SO'!$B$7),$AQ120))</f>
        <v/>
      </c>
    </row>
    <row r="121">
      <c r="A121" s="145">
        <f>IF($B121="","",ROW()-5)</f>
        <v/>
      </c>
      <c r="B121" s="145">
        <f>IF('DM_NHAN_SU'!B121="","",'DM_NHAN_SU'!B121)</f>
        <v/>
      </c>
      <c r="C121" s="145">
        <f>IF('DM_NHAN_SU'!B121="","",'DM_NHAN_SU'!C121)</f>
        <v/>
      </c>
      <c r="D121" s="127" t="n"/>
      <c r="E121" s="227" t="n"/>
      <c r="F121" s="227" t="n"/>
      <c r="G121" s="227" t="n"/>
      <c r="H121" s="227" t="n"/>
      <c r="I121" s="227" t="n"/>
      <c r="J121" s="227" t="n"/>
      <c r="K121" s="227" t="n"/>
      <c r="L121" s="227" t="n"/>
      <c r="M121" s="227" t="n"/>
      <c r="N121" s="227" t="n"/>
      <c r="O121" s="222" t="n"/>
      <c r="P121" s="222" t="n"/>
      <c r="Q121" s="222" t="n"/>
      <c r="R121" s="222" t="n"/>
      <c r="S121" s="222" t="n"/>
      <c r="T121" s="222" t="n"/>
      <c r="U121" s="222" t="n"/>
      <c r="V121" s="222" t="n"/>
      <c r="W121" s="222" t="n"/>
      <c r="X121" s="222" t="n"/>
      <c r="Y121" s="222" t="n"/>
      <c r="Z121" s="222" t="n"/>
      <c r="AA121" s="127" t="n"/>
      <c r="AB121" s="127" t="n"/>
      <c r="AC121" s="232">
        <f>IF($B121="","",IF($D121="Theo ngày",SUMIFS('CHAM_CONG_NGAY'!$E$6:$E$4655,'CHAM_CONG_NGAY'!$B$6:$B$4655,$B121,'CHAM_CONG_NGAY'!$C$6:$C$4655,"&gt;="&amp;'THAM_SO'!$B$6,'CHAM_CONG_NGAY'!$C$6:$C$4655,"&lt;="&amp;'THAM_SO'!$B$7),$E121))</f>
        <v/>
      </c>
      <c r="AD121" s="232">
        <f>IF($B121="","",IF($D121="Theo ngày",SUMIFS('CHAM_CONG_NGAY'!$F$6:$F$4655,'CHAM_CONG_NGAY'!$B$6:$B$4655,$B121,'CHAM_CONG_NGAY'!$C$6:$C$4655,"&gt;="&amp;'THAM_SO'!$B$6,'CHAM_CONG_NGAY'!$C$6:$C$4655,"&lt;="&amp;'THAM_SO'!$B$7),$F121))</f>
        <v/>
      </c>
      <c r="AE121" s="232">
        <f>IF($B121="","",IF($D121="Theo ngày",SUMIFS('CHAM_CONG_NGAY'!$G$6:$G$4655,'CHAM_CONG_NGAY'!$B$6:$B$4655,$B121,'CHAM_CONG_NGAY'!$C$6:$C$4655,"&gt;="&amp;'THAM_SO'!$B$6,'CHAM_CONG_NGAY'!$C$6:$C$4655,"&lt;="&amp;'THAM_SO'!$B$7),$G121))</f>
        <v/>
      </c>
      <c r="AF121" s="232">
        <f>IF($B121="","",IF($D121="Theo ngày",SUMIFS('CHAM_CONG_NGAY'!$H$6:$H$4655,'CHAM_CONG_NGAY'!$B$6:$B$4655,$B121,'CHAM_CONG_NGAY'!$C$6:$C$4655,"&gt;="&amp;'THAM_SO'!$B$6,'CHAM_CONG_NGAY'!$C$6:$C$4655,"&lt;="&amp;'THAM_SO'!$B$7),$H121))</f>
        <v/>
      </c>
      <c r="AG121" s="232">
        <f>IF($B121="","",IF($D121="Theo ngày",SUMIFS('CHAM_CONG_NGAY'!$I$6:$I$4655,'CHAM_CONG_NGAY'!$B$6:$B$4655,$B121,'CHAM_CONG_NGAY'!$C$6:$C$4655,"&gt;="&amp;'THAM_SO'!$B$6,'CHAM_CONG_NGAY'!$C$6:$C$4655,"&lt;="&amp;'THAM_SO'!$B$7),$I121))</f>
        <v/>
      </c>
      <c r="AH121" s="232">
        <f>IF($B121="","",IF($D121="Theo ngày",SUMIFS('CHAM_CONG_NGAY'!$J$6:$J$4655,'CHAM_CONG_NGAY'!$B$6:$B$4655,$B121,'CHAM_CONG_NGAY'!$C$6:$C$4655,"&gt;="&amp;'THAM_SO'!$B$6,'CHAM_CONG_NGAY'!$C$6:$C$4655,"&lt;="&amp;'THAM_SO'!$B$7),$J121))</f>
        <v/>
      </c>
      <c r="AI121" s="232">
        <f>IF($B121="","",IF($D121="Theo ngày",SUMIFS('CHAM_CONG_NGAY'!$K$6:$K$4655,'CHAM_CONG_NGAY'!$B$6:$B$4655,$B121,'CHAM_CONG_NGAY'!$C$6:$C$4655,"&gt;="&amp;'THAM_SO'!$B$6,'CHAM_CONG_NGAY'!$C$6:$C$4655,"&lt;="&amp;'THAM_SO'!$B$7),$K121))</f>
        <v/>
      </c>
      <c r="AJ121" s="232">
        <f>IF($B121="","",IF($D121="Theo ngày",SUMIFS('CHAM_CONG_NGAY'!$L$6:$L$4655,'CHAM_CONG_NGAY'!$B$6:$B$4655,$B121,'CHAM_CONG_NGAY'!$C$6:$C$4655,"&gt;="&amp;'THAM_SO'!$B$6,'CHAM_CONG_NGAY'!$C$6:$C$4655,"&lt;="&amp;'THAM_SO'!$B$7),$L121))</f>
        <v/>
      </c>
      <c r="AK121" s="232">
        <f>IF($B121="","",IF($D121="Theo ngày",SUMIFS('CHAM_CONG_NGAY'!$M$6:$M$4655,'CHAM_CONG_NGAY'!$B$6:$B$4655,$B121,'CHAM_CONG_NGAY'!$C$6:$C$4655,"&gt;="&amp;'THAM_SO'!$B$6,'CHAM_CONG_NGAY'!$C$6:$C$4655,"&lt;="&amp;'THAM_SO'!$B$7),$M121))</f>
        <v/>
      </c>
      <c r="AL121" s="227" t="n"/>
      <c r="AM121" s="227" t="n"/>
      <c r="AN121" s="227" t="n"/>
      <c r="AO121" s="227" t="n"/>
      <c r="AP121" s="227" t="n"/>
      <c r="AQ121" s="227" t="n"/>
      <c r="AR121" s="232">
        <f>IF($B121="","",IF($D121="Theo ngày",SUMIFS('CHAM_CONG_NGAY'!$O$6:$O$4655,'CHAM_CONG_NGAY'!$B$6:$B$4655,$B121,'CHAM_CONG_NGAY'!$C$6:$C$4655,"&gt;="&amp;'THAM_SO'!$B$6,'CHAM_CONG_NGAY'!$C$6:$C$4655,"&lt;="&amp;'THAM_SO'!$B$7),$AL121))</f>
        <v/>
      </c>
      <c r="AS121" s="232">
        <f>IF($B121="","",IF($D121="Theo ngày",SUMIFS('CHAM_CONG_NGAY'!$P$6:$P$4655,'CHAM_CONG_NGAY'!$B$6:$B$4655,$B121,'CHAM_CONG_NGAY'!$C$6:$C$4655,"&gt;="&amp;'THAM_SO'!$B$6,'CHAM_CONG_NGAY'!$C$6:$C$4655,"&lt;="&amp;'THAM_SO'!$B$7),$AM121))</f>
        <v/>
      </c>
      <c r="AT121" s="232">
        <f>IF($B121="","",IF($D121="Theo ngày",SUMIFS('CHAM_CONG_NGAY'!$Q$6:$Q$4655,'CHAM_CONG_NGAY'!$B$6:$B$4655,$B121,'CHAM_CONG_NGAY'!$C$6:$C$4655,"&gt;="&amp;'THAM_SO'!$B$6,'CHAM_CONG_NGAY'!$C$6:$C$4655,"&lt;="&amp;'THAM_SO'!$B$7),$AN121))</f>
        <v/>
      </c>
      <c r="AU121" s="232">
        <f>IF($B121="","",IF($D121="Theo ngày",SUMIFS('CHAM_CONG_NGAY'!$R$6:$R$4655,'CHAM_CONG_NGAY'!$B$6:$B$4655,$B121,'CHAM_CONG_NGAY'!$C$6:$C$4655,"&gt;="&amp;'THAM_SO'!$B$6,'CHAM_CONG_NGAY'!$C$6:$C$4655,"&lt;="&amp;'THAM_SO'!$B$7),$AO121))</f>
        <v/>
      </c>
      <c r="AV121" s="232">
        <f>IF($B121="","",IF($D121="Theo ngày",SUMIFS('CHAM_CONG_NGAY'!$S$6:$S$4655,'CHAM_CONG_NGAY'!$B$6:$B$4655,$B121,'CHAM_CONG_NGAY'!$C$6:$C$4655,"&gt;="&amp;'THAM_SO'!$B$6,'CHAM_CONG_NGAY'!$C$6:$C$4655,"&lt;="&amp;'THAM_SO'!$B$7),$AP121))</f>
        <v/>
      </c>
      <c r="AW121" s="232">
        <f>IF($B121="","",IF($D121="Theo ngày",SUMIFS('CHAM_CONG_NGAY'!$T$6:$T$4655,'CHAM_CONG_NGAY'!$B$6:$B$4655,$B121,'CHAM_CONG_NGAY'!$C$6:$C$4655,"&gt;="&amp;'THAM_SO'!$B$6,'CHAM_CONG_NGAY'!$C$6:$C$4655,"&lt;="&amp;'THAM_SO'!$B$7),$AQ121))</f>
        <v/>
      </c>
    </row>
    <row r="122">
      <c r="A122" s="145">
        <f>IF($B122="","",ROW()-5)</f>
        <v/>
      </c>
      <c r="B122" s="145">
        <f>IF('DM_NHAN_SU'!B122="","",'DM_NHAN_SU'!B122)</f>
        <v/>
      </c>
      <c r="C122" s="145">
        <f>IF('DM_NHAN_SU'!B122="","",'DM_NHAN_SU'!C122)</f>
        <v/>
      </c>
      <c r="D122" s="127" t="n"/>
      <c r="E122" s="227" t="n"/>
      <c r="F122" s="227" t="n"/>
      <c r="G122" s="227" t="n"/>
      <c r="H122" s="227" t="n"/>
      <c r="I122" s="227" t="n"/>
      <c r="J122" s="227" t="n"/>
      <c r="K122" s="227" t="n"/>
      <c r="L122" s="227" t="n"/>
      <c r="M122" s="227" t="n"/>
      <c r="N122" s="227" t="n"/>
      <c r="O122" s="222" t="n"/>
      <c r="P122" s="222" t="n"/>
      <c r="Q122" s="222" t="n"/>
      <c r="R122" s="222" t="n"/>
      <c r="S122" s="222" t="n"/>
      <c r="T122" s="222" t="n"/>
      <c r="U122" s="222" t="n"/>
      <c r="V122" s="222" t="n"/>
      <c r="W122" s="222" t="n"/>
      <c r="X122" s="222" t="n"/>
      <c r="Y122" s="222" t="n"/>
      <c r="Z122" s="222" t="n"/>
      <c r="AA122" s="127" t="n"/>
      <c r="AB122" s="127" t="n"/>
      <c r="AC122" s="232">
        <f>IF($B122="","",IF($D122="Theo ngày",SUMIFS('CHAM_CONG_NGAY'!$E$6:$E$4655,'CHAM_CONG_NGAY'!$B$6:$B$4655,$B122,'CHAM_CONG_NGAY'!$C$6:$C$4655,"&gt;="&amp;'THAM_SO'!$B$6,'CHAM_CONG_NGAY'!$C$6:$C$4655,"&lt;="&amp;'THAM_SO'!$B$7),$E122))</f>
        <v/>
      </c>
      <c r="AD122" s="232">
        <f>IF($B122="","",IF($D122="Theo ngày",SUMIFS('CHAM_CONG_NGAY'!$F$6:$F$4655,'CHAM_CONG_NGAY'!$B$6:$B$4655,$B122,'CHAM_CONG_NGAY'!$C$6:$C$4655,"&gt;="&amp;'THAM_SO'!$B$6,'CHAM_CONG_NGAY'!$C$6:$C$4655,"&lt;="&amp;'THAM_SO'!$B$7),$F122))</f>
        <v/>
      </c>
      <c r="AE122" s="232">
        <f>IF($B122="","",IF($D122="Theo ngày",SUMIFS('CHAM_CONG_NGAY'!$G$6:$G$4655,'CHAM_CONG_NGAY'!$B$6:$B$4655,$B122,'CHAM_CONG_NGAY'!$C$6:$C$4655,"&gt;="&amp;'THAM_SO'!$B$6,'CHAM_CONG_NGAY'!$C$6:$C$4655,"&lt;="&amp;'THAM_SO'!$B$7),$G122))</f>
        <v/>
      </c>
      <c r="AF122" s="232">
        <f>IF($B122="","",IF($D122="Theo ngày",SUMIFS('CHAM_CONG_NGAY'!$H$6:$H$4655,'CHAM_CONG_NGAY'!$B$6:$B$4655,$B122,'CHAM_CONG_NGAY'!$C$6:$C$4655,"&gt;="&amp;'THAM_SO'!$B$6,'CHAM_CONG_NGAY'!$C$6:$C$4655,"&lt;="&amp;'THAM_SO'!$B$7),$H122))</f>
        <v/>
      </c>
      <c r="AG122" s="232">
        <f>IF($B122="","",IF($D122="Theo ngày",SUMIFS('CHAM_CONG_NGAY'!$I$6:$I$4655,'CHAM_CONG_NGAY'!$B$6:$B$4655,$B122,'CHAM_CONG_NGAY'!$C$6:$C$4655,"&gt;="&amp;'THAM_SO'!$B$6,'CHAM_CONG_NGAY'!$C$6:$C$4655,"&lt;="&amp;'THAM_SO'!$B$7),$I122))</f>
        <v/>
      </c>
      <c r="AH122" s="232">
        <f>IF($B122="","",IF($D122="Theo ngày",SUMIFS('CHAM_CONG_NGAY'!$J$6:$J$4655,'CHAM_CONG_NGAY'!$B$6:$B$4655,$B122,'CHAM_CONG_NGAY'!$C$6:$C$4655,"&gt;="&amp;'THAM_SO'!$B$6,'CHAM_CONG_NGAY'!$C$6:$C$4655,"&lt;="&amp;'THAM_SO'!$B$7),$J122))</f>
        <v/>
      </c>
      <c r="AI122" s="232">
        <f>IF($B122="","",IF($D122="Theo ngày",SUMIFS('CHAM_CONG_NGAY'!$K$6:$K$4655,'CHAM_CONG_NGAY'!$B$6:$B$4655,$B122,'CHAM_CONG_NGAY'!$C$6:$C$4655,"&gt;="&amp;'THAM_SO'!$B$6,'CHAM_CONG_NGAY'!$C$6:$C$4655,"&lt;="&amp;'THAM_SO'!$B$7),$K122))</f>
        <v/>
      </c>
      <c r="AJ122" s="232">
        <f>IF($B122="","",IF($D122="Theo ngày",SUMIFS('CHAM_CONG_NGAY'!$L$6:$L$4655,'CHAM_CONG_NGAY'!$B$6:$B$4655,$B122,'CHAM_CONG_NGAY'!$C$6:$C$4655,"&gt;="&amp;'THAM_SO'!$B$6,'CHAM_CONG_NGAY'!$C$6:$C$4655,"&lt;="&amp;'THAM_SO'!$B$7),$L122))</f>
        <v/>
      </c>
      <c r="AK122" s="232">
        <f>IF($B122="","",IF($D122="Theo ngày",SUMIFS('CHAM_CONG_NGAY'!$M$6:$M$4655,'CHAM_CONG_NGAY'!$B$6:$B$4655,$B122,'CHAM_CONG_NGAY'!$C$6:$C$4655,"&gt;="&amp;'THAM_SO'!$B$6,'CHAM_CONG_NGAY'!$C$6:$C$4655,"&lt;="&amp;'THAM_SO'!$B$7),$M122))</f>
        <v/>
      </c>
      <c r="AL122" s="227" t="n"/>
      <c r="AM122" s="227" t="n"/>
      <c r="AN122" s="227" t="n"/>
      <c r="AO122" s="227" t="n"/>
      <c r="AP122" s="227" t="n"/>
      <c r="AQ122" s="227" t="n"/>
      <c r="AR122" s="232">
        <f>IF($B122="","",IF($D122="Theo ngày",SUMIFS('CHAM_CONG_NGAY'!$O$6:$O$4655,'CHAM_CONG_NGAY'!$B$6:$B$4655,$B122,'CHAM_CONG_NGAY'!$C$6:$C$4655,"&gt;="&amp;'THAM_SO'!$B$6,'CHAM_CONG_NGAY'!$C$6:$C$4655,"&lt;="&amp;'THAM_SO'!$B$7),$AL122))</f>
        <v/>
      </c>
      <c r="AS122" s="232">
        <f>IF($B122="","",IF($D122="Theo ngày",SUMIFS('CHAM_CONG_NGAY'!$P$6:$P$4655,'CHAM_CONG_NGAY'!$B$6:$B$4655,$B122,'CHAM_CONG_NGAY'!$C$6:$C$4655,"&gt;="&amp;'THAM_SO'!$B$6,'CHAM_CONG_NGAY'!$C$6:$C$4655,"&lt;="&amp;'THAM_SO'!$B$7),$AM122))</f>
        <v/>
      </c>
      <c r="AT122" s="232">
        <f>IF($B122="","",IF($D122="Theo ngày",SUMIFS('CHAM_CONG_NGAY'!$Q$6:$Q$4655,'CHAM_CONG_NGAY'!$B$6:$B$4655,$B122,'CHAM_CONG_NGAY'!$C$6:$C$4655,"&gt;="&amp;'THAM_SO'!$B$6,'CHAM_CONG_NGAY'!$C$6:$C$4655,"&lt;="&amp;'THAM_SO'!$B$7),$AN122))</f>
        <v/>
      </c>
      <c r="AU122" s="232">
        <f>IF($B122="","",IF($D122="Theo ngày",SUMIFS('CHAM_CONG_NGAY'!$R$6:$R$4655,'CHAM_CONG_NGAY'!$B$6:$B$4655,$B122,'CHAM_CONG_NGAY'!$C$6:$C$4655,"&gt;="&amp;'THAM_SO'!$B$6,'CHAM_CONG_NGAY'!$C$6:$C$4655,"&lt;="&amp;'THAM_SO'!$B$7),$AO122))</f>
        <v/>
      </c>
      <c r="AV122" s="232">
        <f>IF($B122="","",IF($D122="Theo ngày",SUMIFS('CHAM_CONG_NGAY'!$S$6:$S$4655,'CHAM_CONG_NGAY'!$B$6:$B$4655,$B122,'CHAM_CONG_NGAY'!$C$6:$C$4655,"&gt;="&amp;'THAM_SO'!$B$6,'CHAM_CONG_NGAY'!$C$6:$C$4655,"&lt;="&amp;'THAM_SO'!$B$7),$AP122))</f>
        <v/>
      </c>
      <c r="AW122" s="232">
        <f>IF($B122="","",IF($D122="Theo ngày",SUMIFS('CHAM_CONG_NGAY'!$T$6:$T$4655,'CHAM_CONG_NGAY'!$B$6:$B$4655,$B122,'CHAM_CONG_NGAY'!$C$6:$C$4655,"&gt;="&amp;'THAM_SO'!$B$6,'CHAM_CONG_NGAY'!$C$6:$C$4655,"&lt;="&amp;'THAM_SO'!$B$7),$AQ122))</f>
        <v/>
      </c>
    </row>
    <row r="123">
      <c r="A123" s="145">
        <f>IF($B123="","",ROW()-5)</f>
        <v/>
      </c>
      <c r="B123" s="145">
        <f>IF('DM_NHAN_SU'!B123="","",'DM_NHAN_SU'!B123)</f>
        <v/>
      </c>
      <c r="C123" s="145">
        <f>IF('DM_NHAN_SU'!B123="","",'DM_NHAN_SU'!C123)</f>
        <v/>
      </c>
      <c r="D123" s="127" t="n"/>
      <c r="E123" s="227" t="n"/>
      <c r="F123" s="227" t="n"/>
      <c r="G123" s="227" t="n"/>
      <c r="H123" s="227" t="n"/>
      <c r="I123" s="227" t="n"/>
      <c r="J123" s="227" t="n"/>
      <c r="K123" s="227" t="n"/>
      <c r="L123" s="227" t="n"/>
      <c r="M123" s="227" t="n"/>
      <c r="N123" s="227" t="n"/>
      <c r="O123" s="222" t="n"/>
      <c r="P123" s="222" t="n"/>
      <c r="Q123" s="222" t="n"/>
      <c r="R123" s="222" t="n"/>
      <c r="S123" s="222" t="n"/>
      <c r="T123" s="222" t="n"/>
      <c r="U123" s="222" t="n"/>
      <c r="V123" s="222" t="n"/>
      <c r="W123" s="222" t="n"/>
      <c r="X123" s="222" t="n"/>
      <c r="Y123" s="222" t="n"/>
      <c r="Z123" s="222" t="n"/>
      <c r="AA123" s="127" t="n"/>
      <c r="AB123" s="127" t="n"/>
      <c r="AC123" s="232">
        <f>IF($B123="","",IF($D123="Theo ngày",SUMIFS('CHAM_CONG_NGAY'!$E$6:$E$4655,'CHAM_CONG_NGAY'!$B$6:$B$4655,$B123,'CHAM_CONG_NGAY'!$C$6:$C$4655,"&gt;="&amp;'THAM_SO'!$B$6,'CHAM_CONG_NGAY'!$C$6:$C$4655,"&lt;="&amp;'THAM_SO'!$B$7),$E123))</f>
        <v/>
      </c>
      <c r="AD123" s="232">
        <f>IF($B123="","",IF($D123="Theo ngày",SUMIFS('CHAM_CONG_NGAY'!$F$6:$F$4655,'CHAM_CONG_NGAY'!$B$6:$B$4655,$B123,'CHAM_CONG_NGAY'!$C$6:$C$4655,"&gt;="&amp;'THAM_SO'!$B$6,'CHAM_CONG_NGAY'!$C$6:$C$4655,"&lt;="&amp;'THAM_SO'!$B$7),$F123))</f>
        <v/>
      </c>
      <c r="AE123" s="232">
        <f>IF($B123="","",IF($D123="Theo ngày",SUMIFS('CHAM_CONG_NGAY'!$G$6:$G$4655,'CHAM_CONG_NGAY'!$B$6:$B$4655,$B123,'CHAM_CONG_NGAY'!$C$6:$C$4655,"&gt;="&amp;'THAM_SO'!$B$6,'CHAM_CONG_NGAY'!$C$6:$C$4655,"&lt;="&amp;'THAM_SO'!$B$7),$G123))</f>
        <v/>
      </c>
      <c r="AF123" s="232">
        <f>IF($B123="","",IF($D123="Theo ngày",SUMIFS('CHAM_CONG_NGAY'!$H$6:$H$4655,'CHAM_CONG_NGAY'!$B$6:$B$4655,$B123,'CHAM_CONG_NGAY'!$C$6:$C$4655,"&gt;="&amp;'THAM_SO'!$B$6,'CHAM_CONG_NGAY'!$C$6:$C$4655,"&lt;="&amp;'THAM_SO'!$B$7),$H123))</f>
        <v/>
      </c>
      <c r="AG123" s="232">
        <f>IF($B123="","",IF($D123="Theo ngày",SUMIFS('CHAM_CONG_NGAY'!$I$6:$I$4655,'CHAM_CONG_NGAY'!$B$6:$B$4655,$B123,'CHAM_CONG_NGAY'!$C$6:$C$4655,"&gt;="&amp;'THAM_SO'!$B$6,'CHAM_CONG_NGAY'!$C$6:$C$4655,"&lt;="&amp;'THAM_SO'!$B$7),$I123))</f>
        <v/>
      </c>
      <c r="AH123" s="232">
        <f>IF($B123="","",IF($D123="Theo ngày",SUMIFS('CHAM_CONG_NGAY'!$J$6:$J$4655,'CHAM_CONG_NGAY'!$B$6:$B$4655,$B123,'CHAM_CONG_NGAY'!$C$6:$C$4655,"&gt;="&amp;'THAM_SO'!$B$6,'CHAM_CONG_NGAY'!$C$6:$C$4655,"&lt;="&amp;'THAM_SO'!$B$7),$J123))</f>
        <v/>
      </c>
      <c r="AI123" s="232">
        <f>IF($B123="","",IF($D123="Theo ngày",SUMIFS('CHAM_CONG_NGAY'!$K$6:$K$4655,'CHAM_CONG_NGAY'!$B$6:$B$4655,$B123,'CHAM_CONG_NGAY'!$C$6:$C$4655,"&gt;="&amp;'THAM_SO'!$B$6,'CHAM_CONG_NGAY'!$C$6:$C$4655,"&lt;="&amp;'THAM_SO'!$B$7),$K123))</f>
        <v/>
      </c>
      <c r="AJ123" s="232">
        <f>IF($B123="","",IF($D123="Theo ngày",SUMIFS('CHAM_CONG_NGAY'!$L$6:$L$4655,'CHAM_CONG_NGAY'!$B$6:$B$4655,$B123,'CHAM_CONG_NGAY'!$C$6:$C$4655,"&gt;="&amp;'THAM_SO'!$B$6,'CHAM_CONG_NGAY'!$C$6:$C$4655,"&lt;="&amp;'THAM_SO'!$B$7),$L123))</f>
        <v/>
      </c>
      <c r="AK123" s="232">
        <f>IF($B123="","",IF($D123="Theo ngày",SUMIFS('CHAM_CONG_NGAY'!$M$6:$M$4655,'CHAM_CONG_NGAY'!$B$6:$B$4655,$B123,'CHAM_CONG_NGAY'!$C$6:$C$4655,"&gt;="&amp;'THAM_SO'!$B$6,'CHAM_CONG_NGAY'!$C$6:$C$4655,"&lt;="&amp;'THAM_SO'!$B$7),$M123))</f>
        <v/>
      </c>
      <c r="AL123" s="227" t="n"/>
      <c r="AM123" s="227" t="n"/>
      <c r="AN123" s="227" t="n"/>
      <c r="AO123" s="227" t="n"/>
      <c r="AP123" s="227" t="n"/>
      <c r="AQ123" s="227" t="n"/>
      <c r="AR123" s="232">
        <f>IF($B123="","",IF($D123="Theo ngày",SUMIFS('CHAM_CONG_NGAY'!$O$6:$O$4655,'CHAM_CONG_NGAY'!$B$6:$B$4655,$B123,'CHAM_CONG_NGAY'!$C$6:$C$4655,"&gt;="&amp;'THAM_SO'!$B$6,'CHAM_CONG_NGAY'!$C$6:$C$4655,"&lt;="&amp;'THAM_SO'!$B$7),$AL123))</f>
        <v/>
      </c>
      <c r="AS123" s="232">
        <f>IF($B123="","",IF($D123="Theo ngày",SUMIFS('CHAM_CONG_NGAY'!$P$6:$P$4655,'CHAM_CONG_NGAY'!$B$6:$B$4655,$B123,'CHAM_CONG_NGAY'!$C$6:$C$4655,"&gt;="&amp;'THAM_SO'!$B$6,'CHAM_CONG_NGAY'!$C$6:$C$4655,"&lt;="&amp;'THAM_SO'!$B$7),$AM123))</f>
        <v/>
      </c>
      <c r="AT123" s="232">
        <f>IF($B123="","",IF($D123="Theo ngày",SUMIFS('CHAM_CONG_NGAY'!$Q$6:$Q$4655,'CHAM_CONG_NGAY'!$B$6:$B$4655,$B123,'CHAM_CONG_NGAY'!$C$6:$C$4655,"&gt;="&amp;'THAM_SO'!$B$6,'CHAM_CONG_NGAY'!$C$6:$C$4655,"&lt;="&amp;'THAM_SO'!$B$7),$AN123))</f>
        <v/>
      </c>
      <c r="AU123" s="232">
        <f>IF($B123="","",IF($D123="Theo ngày",SUMIFS('CHAM_CONG_NGAY'!$R$6:$R$4655,'CHAM_CONG_NGAY'!$B$6:$B$4655,$B123,'CHAM_CONG_NGAY'!$C$6:$C$4655,"&gt;="&amp;'THAM_SO'!$B$6,'CHAM_CONG_NGAY'!$C$6:$C$4655,"&lt;="&amp;'THAM_SO'!$B$7),$AO123))</f>
        <v/>
      </c>
      <c r="AV123" s="232">
        <f>IF($B123="","",IF($D123="Theo ngày",SUMIFS('CHAM_CONG_NGAY'!$S$6:$S$4655,'CHAM_CONG_NGAY'!$B$6:$B$4655,$B123,'CHAM_CONG_NGAY'!$C$6:$C$4655,"&gt;="&amp;'THAM_SO'!$B$6,'CHAM_CONG_NGAY'!$C$6:$C$4655,"&lt;="&amp;'THAM_SO'!$B$7),$AP123))</f>
        <v/>
      </c>
      <c r="AW123" s="232">
        <f>IF($B123="","",IF($D123="Theo ngày",SUMIFS('CHAM_CONG_NGAY'!$T$6:$T$4655,'CHAM_CONG_NGAY'!$B$6:$B$4655,$B123,'CHAM_CONG_NGAY'!$C$6:$C$4655,"&gt;="&amp;'THAM_SO'!$B$6,'CHAM_CONG_NGAY'!$C$6:$C$4655,"&lt;="&amp;'THAM_SO'!$B$7),$AQ123))</f>
        <v/>
      </c>
    </row>
    <row r="124">
      <c r="A124" s="145">
        <f>IF($B124="","",ROW()-5)</f>
        <v/>
      </c>
      <c r="B124" s="145">
        <f>IF('DM_NHAN_SU'!B124="","",'DM_NHAN_SU'!B124)</f>
        <v/>
      </c>
      <c r="C124" s="145">
        <f>IF('DM_NHAN_SU'!B124="","",'DM_NHAN_SU'!C124)</f>
        <v/>
      </c>
      <c r="D124" s="127" t="n"/>
      <c r="E124" s="227" t="n"/>
      <c r="F124" s="227" t="n"/>
      <c r="G124" s="227" t="n"/>
      <c r="H124" s="227" t="n"/>
      <c r="I124" s="227" t="n"/>
      <c r="J124" s="227" t="n"/>
      <c r="K124" s="227" t="n"/>
      <c r="L124" s="227" t="n"/>
      <c r="M124" s="227" t="n"/>
      <c r="N124" s="227" t="n"/>
      <c r="O124" s="222" t="n"/>
      <c r="P124" s="222" t="n"/>
      <c r="Q124" s="222" t="n"/>
      <c r="R124" s="222" t="n"/>
      <c r="S124" s="222" t="n"/>
      <c r="T124" s="222" t="n"/>
      <c r="U124" s="222" t="n"/>
      <c r="V124" s="222" t="n"/>
      <c r="W124" s="222" t="n"/>
      <c r="X124" s="222" t="n"/>
      <c r="Y124" s="222" t="n"/>
      <c r="Z124" s="222" t="n"/>
      <c r="AA124" s="127" t="n"/>
      <c r="AB124" s="127" t="n"/>
      <c r="AC124" s="232">
        <f>IF($B124="","",IF($D124="Theo ngày",SUMIFS('CHAM_CONG_NGAY'!$E$6:$E$4655,'CHAM_CONG_NGAY'!$B$6:$B$4655,$B124,'CHAM_CONG_NGAY'!$C$6:$C$4655,"&gt;="&amp;'THAM_SO'!$B$6,'CHAM_CONG_NGAY'!$C$6:$C$4655,"&lt;="&amp;'THAM_SO'!$B$7),$E124))</f>
        <v/>
      </c>
      <c r="AD124" s="232">
        <f>IF($B124="","",IF($D124="Theo ngày",SUMIFS('CHAM_CONG_NGAY'!$F$6:$F$4655,'CHAM_CONG_NGAY'!$B$6:$B$4655,$B124,'CHAM_CONG_NGAY'!$C$6:$C$4655,"&gt;="&amp;'THAM_SO'!$B$6,'CHAM_CONG_NGAY'!$C$6:$C$4655,"&lt;="&amp;'THAM_SO'!$B$7),$F124))</f>
        <v/>
      </c>
      <c r="AE124" s="232">
        <f>IF($B124="","",IF($D124="Theo ngày",SUMIFS('CHAM_CONG_NGAY'!$G$6:$G$4655,'CHAM_CONG_NGAY'!$B$6:$B$4655,$B124,'CHAM_CONG_NGAY'!$C$6:$C$4655,"&gt;="&amp;'THAM_SO'!$B$6,'CHAM_CONG_NGAY'!$C$6:$C$4655,"&lt;="&amp;'THAM_SO'!$B$7),$G124))</f>
        <v/>
      </c>
      <c r="AF124" s="232">
        <f>IF($B124="","",IF($D124="Theo ngày",SUMIFS('CHAM_CONG_NGAY'!$H$6:$H$4655,'CHAM_CONG_NGAY'!$B$6:$B$4655,$B124,'CHAM_CONG_NGAY'!$C$6:$C$4655,"&gt;="&amp;'THAM_SO'!$B$6,'CHAM_CONG_NGAY'!$C$6:$C$4655,"&lt;="&amp;'THAM_SO'!$B$7),$H124))</f>
        <v/>
      </c>
      <c r="AG124" s="232">
        <f>IF($B124="","",IF($D124="Theo ngày",SUMIFS('CHAM_CONG_NGAY'!$I$6:$I$4655,'CHAM_CONG_NGAY'!$B$6:$B$4655,$B124,'CHAM_CONG_NGAY'!$C$6:$C$4655,"&gt;="&amp;'THAM_SO'!$B$6,'CHAM_CONG_NGAY'!$C$6:$C$4655,"&lt;="&amp;'THAM_SO'!$B$7),$I124))</f>
        <v/>
      </c>
      <c r="AH124" s="232">
        <f>IF($B124="","",IF($D124="Theo ngày",SUMIFS('CHAM_CONG_NGAY'!$J$6:$J$4655,'CHAM_CONG_NGAY'!$B$6:$B$4655,$B124,'CHAM_CONG_NGAY'!$C$6:$C$4655,"&gt;="&amp;'THAM_SO'!$B$6,'CHAM_CONG_NGAY'!$C$6:$C$4655,"&lt;="&amp;'THAM_SO'!$B$7),$J124))</f>
        <v/>
      </c>
      <c r="AI124" s="232">
        <f>IF($B124="","",IF($D124="Theo ngày",SUMIFS('CHAM_CONG_NGAY'!$K$6:$K$4655,'CHAM_CONG_NGAY'!$B$6:$B$4655,$B124,'CHAM_CONG_NGAY'!$C$6:$C$4655,"&gt;="&amp;'THAM_SO'!$B$6,'CHAM_CONG_NGAY'!$C$6:$C$4655,"&lt;="&amp;'THAM_SO'!$B$7),$K124))</f>
        <v/>
      </c>
      <c r="AJ124" s="232">
        <f>IF($B124="","",IF($D124="Theo ngày",SUMIFS('CHAM_CONG_NGAY'!$L$6:$L$4655,'CHAM_CONG_NGAY'!$B$6:$B$4655,$B124,'CHAM_CONG_NGAY'!$C$6:$C$4655,"&gt;="&amp;'THAM_SO'!$B$6,'CHAM_CONG_NGAY'!$C$6:$C$4655,"&lt;="&amp;'THAM_SO'!$B$7),$L124))</f>
        <v/>
      </c>
      <c r="AK124" s="232">
        <f>IF($B124="","",IF($D124="Theo ngày",SUMIFS('CHAM_CONG_NGAY'!$M$6:$M$4655,'CHAM_CONG_NGAY'!$B$6:$B$4655,$B124,'CHAM_CONG_NGAY'!$C$6:$C$4655,"&gt;="&amp;'THAM_SO'!$B$6,'CHAM_CONG_NGAY'!$C$6:$C$4655,"&lt;="&amp;'THAM_SO'!$B$7),$M124))</f>
        <v/>
      </c>
      <c r="AL124" s="227" t="n"/>
      <c r="AM124" s="227" t="n"/>
      <c r="AN124" s="227" t="n"/>
      <c r="AO124" s="227" t="n"/>
      <c r="AP124" s="227" t="n"/>
      <c r="AQ124" s="227" t="n"/>
      <c r="AR124" s="232">
        <f>IF($B124="","",IF($D124="Theo ngày",SUMIFS('CHAM_CONG_NGAY'!$O$6:$O$4655,'CHAM_CONG_NGAY'!$B$6:$B$4655,$B124,'CHAM_CONG_NGAY'!$C$6:$C$4655,"&gt;="&amp;'THAM_SO'!$B$6,'CHAM_CONG_NGAY'!$C$6:$C$4655,"&lt;="&amp;'THAM_SO'!$B$7),$AL124))</f>
        <v/>
      </c>
      <c r="AS124" s="232">
        <f>IF($B124="","",IF($D124="Theo ngày",SUMIFS('CHAM_CONG_NGAY'!$P$6:$P$4655,'CHAM_CONG_NGAY'!$B$6:$B$4655,$B124,'CHAM_CONG_NGAY'!$C$6:$C$4655,"&gt;="&amp;'THAM_SO'!$B$6,'CHAM_CONG_NGAY'!$C$6:$C$4655,"&lt;="&amp;'THAM_SO'!$B$7),$AM124))</f>
        <v/>
      </c>
      <c r="AT124" s="232">
        <f>IF($B124="","",IF($D124="Theo ngày",SUMIFS('CHAM_CONG_NGAY'!$Q$6:$Q$4655,'CHAM_CONG_NGAY'!$B$6:$B$4655,$B124,'CHAM_CONG_NGAY'!$C$6:$C$4655,"&gt;="&amp;'THAM_SO'!$B$6,'CHAM_CONG_NGAY'!$C$6:$C$4655,"&lt;="&amp;'THAM_SO'!$B$7),$AN124))</f>
        <v/>
      </c>
      <c r="AU124" s="232">
        <f>IF($B124="","",IF($D124="Theo ngày",SUMIFS('CHAM_CONG_NGAY'!$R$6:$R$4655,'CHAM_CONG_NGAY'!$B$6:$B$4655,$B124,'CHAM_CONG_NGAY'!$C$6:$C$4655,"&gt;="&amp;'THAM_SO'!$B$6,'CHAM_CONG_NGAY'!$C$6:$C$4655,"&lt;="&amp;'THAM_SO'!$B$7),$AO124))</f>
        <v/>
      </c>
      <c r="AV124" s="232">
        <f>IF($B124="","",IF($D124="Theo ngày",SUMIFS('CHAM_CONG_NGAY'!$S$6:$S$4655,'CHAM_CONG_NGAY'!$B$6:$B$4655,$B124,'CHAM_CONG_NGAY'!$C$6:$C$4655,"&gt;="&amp;'THAM_SO'!$B$6,'CHAM_CONG_NGAY'!$C$6:$C$4655,"&lt;="&amp;'THAM_SO'!$B$7),$AP124))</f>
        <v/>
      </c>
      <c r="AW124" s="232">
        <f>IF($B124="","",IF($D124="Theo ngày",SUMIFS('CHAM_CONG_NGAY'!$T$6:$T$4655,'CHAM_CONG_NGAY'!$B$6:$B$4655,$B124,'CHAM_CONG_NGAY'!$C$6:$C$4655,"&gt;="&amp;'THAM_SO'!$B$6,'CHAM_CONG_NGAY'!$C$6:$C$4655,"&lt;="&amp;'THAM_SO'!$B$7),$AQ124))</f>
        <v/>
      </c>
    </row>
    <row r="125">
      <c r="A125" s="145">
        <f>IF($B125="","",ROW()-5)</f>
        <v/>
      </c>
      <c r="B125" s="145">
        <f>IF('DM_NHAN_SU'!B125="","",'DM_NHAN_SU'!B125)</f>
        <v/>
      </c>
      <c r="C125" s="145">
        <f>IF('DM_NHAN_SU'!B125="","",'DM_NHAN_SU'!C125)</f>
        <v/>
      </c>
      <c r="D125" s="127" t="n"/>
      <c r="E125" s="227" t="n"/>
      <c r="F125" s="227" t="n"/>
      <c r="G125" s="227" t="n"/>
      <c r="H125" s="227" t="n"/>
      <c r="I125" s="227" t="n"/>
      <c r="J125" s="227" t="n"/>
      <c r="K125" s="227" t="n"/>
      <c r="L125" s="227" t="n"/>
      <c r="M125" s="227" t="n"/>
      <c r="N125" s="227" t="n"/>
      <c r="O125" s="222" t="n"/>
      <c r="P125" s="222" t="n"/>
      <c r="Q125" s="222" t="n"/>
      <c r="R125" s="222" t="n"/>
      <c r="S125" s="222" t="n"/>
      <c r="T125" s="222" t="n"/>
      <c r="U125" s="222" t="n"/>
      <c r="V125" s="222" t="n"/>
      <c r="W125" s="222" t="n"/>
      <c r="X125" s="222" t="n"/>
      <c r="Y125" s="222" t="n"/>
      <c r="Z125" s="222" t="n"/>
      <c r="AA125" s="127" t="n"/>
      <c r="AB125" s="127" t="n"/>
      <c r="AC125" s="232">
        <f>IF($B125="","",IF($D125="Theo ngày",SUMIFS('CHAM_CONG_NGAY'!$E$6:$E$4655,'CHAM_CONG_NGAY'!$B$6:$B$4655,$B125,'CHAM_CONG_NGAY'!$C$6:$C$4655,"&gt;="&amp;'THAM_SO'!$B$6,'CHAM_CONG_NGAY'!$C$6:$C$4655,"&lt;="&amp;'THAM_SO'!$B$7),$E125))</f>
        <v/>
      </c>
      <c r="AD125" s="232">
        <f>IF($B125="","",IF($D125="Theo ngày",SUMIFS('CHAM_CONG_NGAY'!$F$6:$F$4655,'CHAM_CONG_NGAY'!$B$6:$B$4655,$B125,'CHAM_CONG_NGAY'!$C$6:$C$4655,"&gt;="&amp;'THAM_SO'!$B$6,'CHAM_CONG_NGAY'!$C$6:$C$4655,"&lt;="&amp;'THAM_SO'!$B$7),$F125))</f>
        <v/>
      </c>
      <c r="AE125" s="232">
        <f>IF($B125="","",IF($D125="Theo ngày",SUMIFS('CHAM_CONG_NGAY'!$G$6:$G$4655,'CHAM_CONG_NGAY'!$B$6:$B$4655,$B125,'CHAM_CONG_NGAY'!$C$6:$C$4655,"&gt;="&amp;'THAM_SO'!$B$6,'CHAM_CONG_NGAY'!$C$6:$C$4655,"&lt;="&amp;'THAM_SO'!$B$7),$G125))</f>
        <v/>
      </c>
      <c r="AF125" s="232">
        <f>IF($B125="","",IF($D125="Theo ngày",SUMIFS('CHAM_CONG_NGAY'!$H$6:$H$4655,'CHAM_CONG_NGAY'!$B$6:$B$4655,$B125,'CHAM_CONG_NGAY'!$C$6:$C$4655,"&gt;="&amp;'THAM_SO'!$B$6,'CHAM_CONG_NGAY'!$C$6:$C$4655,"&lt;="&amp;'THAM_SO'!$B$7),$H125))</f>
        <v/>
      </c>
      <c r="AG125" s="232">
        <f>IF($B125="","",IF($D125="Theo ngày",SUMIFS('CHAM_CONG_NGAY'!$I$6:$I$4655,'CHAM_CONG_NGAY'!$B$6:$B$4655,$B125,'CHAM_CONG_NGAY'!$C$6:$C$4655,"&gt;="&amp;'THAM_SO'!$B$6,'CHAM_CONG_NGAY'!$C$6:$C$4655,"&lt;="&amp;'THAM_SO'!$B$7),$I125))</f>
        <v/>
      </c>
      <c r="AH125" s="232">
        <f>IF($B125="","",IF($D125="Theo ngày",SUMIFS('CHAM_CONG_NGAY'!$J$6:$J$4655,'CHAM_CONG_NGAY'!$B$6:$B$4655,$B125,'CHAM_CONG_NGAY'!$C$6:$C$4655,"&gt;="&amp;'THAM_SO'!$B$6,'CHAM_CONG_NGAY'!$C$6:$C$4655,"&lt;="&amp;'THAM_SO'!$B$7),$J125))</f>
        <v/>
      </c>
      <c r="AI125" s="232">
        <f>IF($B125="","",IF($D125="Theo ngày",SUMIFS('CHAM_CONG_NGAY'!$K$6:$K$4655,'CHAM_CONG_NGAY'!$B$6:$B$4655,$B125,'CHAM_CONG_NGAY'!$C$6:$C$4655,"&gt;="&amp;'THAM_SO'!$B$6,'CHAM_CONG_NGAY'!$C$6:$C$4655,"&lt;="&amp;'THAM_SO'!$B$7),$K125))</f>
        <v/>
      </c>
      <c r="AJ125" s="232">
        <f>IF($B125="","",IF($D125="Theo ngày",SUMIFS('CHAM_CONG_NGAY'!$L$6:$L$4655,'CHAM_CONG_NGAY'!$B$6:$B$4655,$B125,'CHAM_CONG_NGAY'!$C$6:$C$4655,"&gt;="&amp;'THAM_SO'!$B$6,'CHAM_CONG_NGAY'!$C$6:$C$4655,"&lt;="&amp;'THAM_SO'!$B$7),$L125))</f>
        <v/>
      </c>
      <c r="AK125" s="232">
        <f>IF($B125="","",IF($D125="Theo ngày",SUMIFS('CHAM_CONG_NGAY'!$M$6:$M$4655,'CHAM_CONG_NGAY'!$B$6:$B$4655,$B125,'CHAM_CONG_NGAY'!$C$6:$C$4655,"&gt;="&amp;'THAM_SO'!$B$6,'CHAM_CONG_NGAY'!$C$6:$C$4655,"&lt;="&amp;'THAM_SO'!$B$7),$M125))</f>
        <v/>
      </c>
      <c r="AL125" s="227" t="n"/>
      <c r="AM125" s="227" t="n"/>
      <c r="AN125" s="227" t="n"/>
      <c r="AO125" s="227" t="n"/>
      <c r="AP125" s="227" t="n"/>
      <c r="AQ125" s="227" t="n"/>
      <c r="AR125" s="232">
        <f>IF($B125="","",IF($D125="Theo ngày",SUMIFS('CHAM_CONG_NGAY'!$O$6:$O$4655,'CHAM_CONG_NGAY'!$B$6:$B$4655,$B125,'CHAM_CONG_NGAY'!$C$6:$C$4655,"&gt;="&amp;'THAM_SO'!$B$6,'CHAM_CONG_NGAY'!$C$6:$C$4655,"&lt;="&amp;'THAM_SO'!$B$7),$AL125))</f>
        <v/>
      </c>
      <c r="AS125" s="232">
        <f>IF($B125="","",IF($D125="Theo ngày",SUMIFS('CHAM_CONG_NGAY'!$P$6:$P$4655,'CHAM_CONG_NGAY'!$B$6:$B$4655,$B125,'CHAM_CONG_NGAY'!$C$6:$C$4655,"&gt;="&amp;'THAM_SO'!$B$6,'CHAM_CONG_NGAY'!$C$6:$C$4655,"&lt;="&amp;'THAM_SO'!$B$7),$AM125))</f>
        <v/>
      </c>
      <c r="AT125" s="232">
        <f>IF($B125="","",IF($D125="Theo ngày",SUMIFS('CHAM_CONG_NGAY'!$Q$6:$Q$4655,'CHAM_CONG_NGAY'!$B$6:$B$4655,$B125,'CHAM_CONG_NGAY'!$C$6:$C$4655,"&gt;="&amp;'THAM_SO'!$B$6,'CHAM_CONG_NGAY'!$C$6:$C$4655,"&lt;="&amp;'THAM_SO'!$B$7),$AN125))</f>
        <v/>
      </c>
      <c r="AU125" s="232">
        <f>IF($B125="","",IF($D125="Theo ngày",SUMIFS('CHAM_CONG_NGAY'!$R$6:$R$4655,'CHAM_CONG_NGAY'!$B$6:$B$4655,$B125,'CHAM_CONG_NGAY'!$C$6:$C$4655,"&gt;="&amp;'THAM_SO'!$B$6,'CHAM_CONG_NGAY'!$C$6:$C$4655,"&lt;="&amp;'THAM_SO'!$B$7),$AO125))</f>
        <v/>
      </c>
      <c r="AV125" s="232">
        <f>IF($B125="","",IF($D125="Theo ngày",SUMIFS('CHAM_CONG_NGAY'!$S$6:$S$4655,'CHAM_CONG_NGAY'!$B$6:$B$4655,$B125,'CHAM_CONG_NGAY'!$C$6:$C$4655,"&gt;="&amp;'THAM_SO'!$B$6,'CHAM_CONG_NGAY'!$C$6:$C$4655,"&lt;="&amp;'THAM_SO'!$B$7),$AP125))</f>
        <v/>
      </c>
      <c r="AW125" s="232">
        <f>IF($B125="","",IF($D125="Theo ngày",SUMIFS('CHAM_CONG_NGAY'!$T$6:$T$4655,'CHAM_CONG_NGAY'!$B$6:$B$4655,$B125,'CHAM_CONG_NGAY'!$C$6:$C$4655,"&gt;="&amp;'THAM_SO'!$B$6,'CHAM_CONG_NGAY'!$C$6:$C$4655,"&lt;="&amp;'THAM_SO'!$B$7),$AQ125))</f>
        <v/>
      </c>
    </row>
    <row r="126">
      <c r="A126" s="145">
        <f>IF($B126="","",ROW()-5)</f>
        <v/>
      </c>
      <c r="B126" s="145">
        <f>IF('DM_NHAN_SU'!B126="","",'DM_NHAN_SU'!B126)</f>
        <v/>
      </c>
      <c r="C126" s="145">
        <f>IF('DM_NHAN_SU'!B126="","",'DM_NHAN_SU'!C126)</f>
        <v/>
      </c>
      <c r="D126" s="127" t="n"/>
      <c r="E126" s="227" t="n"/>
      <c r="F126" s="227" t="n"/>
      <c r="G126" s="227" t="n"/>
      <c r="H126" s="227" t="n"/>
      <c r="I126" s="227" t="n"/>
      <c r="J126" s="227" t="n"/>
      <c r="K126" s="227" t="n"/>
      <c r="L126" s="227" t="n"/>
      <c r="M126" s="227" t="n"/>
      <c r="N126" s="227" t="n"/>
      <c r="O126" s="222" t="n"/>
      <c r="P126" s="222" t="n"/>
      <c r="Q126" s="222" t="n"/>
      <c r="R126" s="222" t="n"/>
      <c r="S126" s="222" t="n"/>
      <c r="T126" s="222" t="n"/>
      <c r="U126" s="222" t="n"/>
      <c r="V126" s="222" t="n"/>
      <c r="W126" s="222" t="n"/>
      <c r="X126" s="222" t="n"/>
      <c r="Y126" s="222" t="n"/>
      <c r="Z126" s="222" t="n"/>
      <c r="AA126" s="127" t="n"/>
      <c r="AB126" s="127" t="n"/>
      <c r="AC126" s="232">
        <f>IF($B126="","",IF($D126="Theo ngày",SUMIFS('CHAM_CONG_NGAY'!$E$6:$E$4655,'CHAM_CONG_NGAY'!$B$6:$B$4655,$B126,'CHAM_CONG_NGAY'!$C$6:$C$4655,"&gt;="&amp;'THAM_SO'!$B$6,'CHAM_CONG_NGAY'!$C$6:$C$4655,"&lt;="&amp;'THAM_SO'!$B$7),$E126))</f>
        <v/>
      </c>
      <c r="AD126" s="232">
        <f>IF($B126="","",IF($D126="Theo ngày",SUMIFS('CHAM_CONG_NGAY'!$F$6:$F$4655,'CHAM_CONG_NGAY'!$B$6:$B$4655,$B126,'CHAM_CONG_NGAY'!$C$6:$C$4655,"&gt;="&amp;'THAM_SO'!$B$6,'CHAM_CONG_NGAY'!$C$6:$C$4655,"&lt;="&amp;'THAM_SO'!$B$7),$F126))</f>
        <v/>
      </c>
      <c r="AE126" s="232">
        <f>IF($B126="","",IF($D126="Theo ngày",SUMIFS('CHAM_CONG_NGAY'!$G$6:$G$4655,'CHAM_CONG_NGAY'!$B$6:$B$4655,$B126,'CHAM_CONG_NGAY'!$C$6:$C$4655,"&gt;="&amp;'THAM_SO'!$B$6,'CHAM_CONG_NGAY'!$C$6:$C$4655,"&lt;="&amp;'THAM_SO'!$B$7),$G126))</f>
        <v/>
      </c>
      <c r="AF126" s="232">
        <f>IF($B126="","",IF($D126="Theo ngày",SUMIFS('CHAM_CONG_NGAY'!$H$6:$H$4655,'CHAM_CONG_NGAY'!$B$6:$B$4655,$B126,'CHAM_CONG_NGAY'!$C$6:$C$4655,"&gt;="&amp;'THAM_SO'!$B$6,'CHAM_CONG_NGAY'!$C$6:$C$4655,"&lt;="&amp;'THAM_SO'!$B$7),$H126))</f>
        <v/>
      </c>
      <c r="AG126" s="232">
        <f>IF($B126="","",IF($D126="Theo ngày",SUMIFS('CHAM_CONG_NGAY'!$I$6:$I$4655,'CHAM_CONG_NGAY'!$B$6:$B$4655,$B126,'CHAM_CONG_NGAY'!$C$6:$C$4655,"&gt;="&amp;'THAM_SO'!$B$6,'CHAM_CONG_NGAY'!$C$6:$C$4655,"&lt;="&amp;'THAM_SO'!$B$7),$I126))</f>
        <v/>
      </c>
      <c r="AH126" s="232">
        <f>IF($B126="","",IF($D126="Theo ngày",SUMIFS('CHAM_CONG_NGAY'!$J$6:$J$4655,'CHAM_CONG_NGAY'!$B$6:$B$4655,$B126,'CHAM_CONG_NGAY'!$C$6:$C$4655,"&gt;="&amp;'THAM_SO'!$B$6,'CHAM_CONG_NGAY'!$C$6:$C$4655,"&lt;="&amp;'THAM_SO'!$B$7),$J126))</f>
        <v/>
      </c>
      <c r="AI126" s="232">
        <f>IF($B126="","",IF($D126="Theo ngày",SUMIFS('CHAM_CONG_NGAY'!$K$6:$K$4655,'CHAM_CONG_NGAY'!$B$6:$B$4655,$B126,'CHAM_CONG_NGAY'!$C$6:$C$4655,"&gt;="&amp;'THAM_SO'!$B$6,'CHAM_CONG_NGAY'!$C$6:$C$4655,"&lt;="&amp;'THAM_SO'!$B$7),$K126))</f>
        <v/>
      </c>
      <c r="AJ126" s="232">
        <f>IF($B126="","",IF($D126="Theo ngày",SUMIFS('CHAM_CONG_NGAY'!$L$6:$L$4655,'CHAM_CONG_NGAY'!$B$6:$B$4655,$B126,'CHAM_CONG_NGAY'!$C$6:$C$4655,"&gt;="&amp;'THAM_SO'!$B$6,'CHAM_CONG_NGAY'!$C$6:$C$4655,"&lt;="&amp;'THAM_SO'!$B$7),$L126))</f>
        <v/>
      </c>
      <c r="AK126" s="232">
        <f>IF($B126="","",IF($D126="Theo ngày",SUMIFS('CHAM_CONG_NGAY'!$M$6:$M$4655,'CHAM_CONG_NGAY'!$B$6:$B$4655,$B126,'CHAM_CONG_NGAY'!$C$6:$C$4655,"&gt;="&amp;'THAM_SO'!$B$6,'CHAM_CONG_NGAY'!$C$6:$C$4655,"&lt;="&amp;'THAM_SO'!$B$7),$M126))</f>
        <v/>
      </c>
      <c r="AL126" s="227" t="n"/>
      <c r="AM126" s="227" t="n"/>
      <c r="AN126" s="227" t="n"/>
      <c r="AO126" s="227" t="n"/>
      <c r="AP126" s="227" t="n"/>
      <c r="AQ126" s="227" t="n"/>
      <c r="AR126" s="232">
        <f>IF($B126="","",IF($D126="Theo ngày",SUMIFS('CHAM_CONG_NGAY'!$O$6:$O$4655,'CHAM_CONG_NGAY'!$B$6:$B$4655,$B126,'CHAM_CONG_NGAY'!$C$6:$C$4655,"&gt;="&amp;'THAM_SO'!$B$6,'CHAM_CONG_NGAY'!$C$6:$C$4655,"&lt;="&amp;'THAM_SO'!$B$7),$AL126))</f>
        <v/>
      </c>
      <c r="AS126" s="232">
        <f>IF($B126="","",IF($D126="Theo ngày",SUMIFS('CHAM_CONG_NGAY'!$P$6:$P$4655,'CHAM_CONG_NGAY'!$B$6:$B$4655,$B126,'CHAM_CONG_NGAY'!$C$6:$C$4655,"&gt;="&amp;'THAM_SO'!$B$6,'CHAM_CONG_NGAY'!$C$6:$C$4655,"&lt;="&amp;'THAM_SO'!$B$7),$AM126))</f>
        <v/>
      </c>
      <c r="AT126" s="232">
        <f>IF($B126="","",IF($D126="Theo ngày",SUMIFS('CHAM_CONG_NGAY'!$Q$6:$Q$4655,'CHAM_CONG_NGAY'!$B$6:$B$4655,$B126,'CHAM_CONG_NGAY'!$C$6:$C$4655,"&gt;="&amp;'THAM_SO'!$B$6,'CHAM_CONG_NGAY'!$C$6:$C$4655,"&lt;="&amp;'THAM_SO'!$B$7),$AN126))</f>
        <v/>
      </c>
      <c r="AU126" s="232">
        <f>IF($B126="","",IF($D126="Theo ngày",SUMIFS('CHAM_CONG_NGAY'!$R$6:$R$4655,'CHAM_CONG_NGAY'!$B$6:$B$4655,$B126,'CHAM_CONG_NGAY'!$C$6:$C$4655,"&gt;="&amp;'THAM_SO'!$B$6,'CHAM_CONG_NGAY'!$C$6:$C$4655,"&lt;="&amp;'THAM_SO'!$B$7),$AO126))</f>
        <v/>
      </c>
      <c r="AV126" s="232">
        <f>IF($B126="","",IF($D126="Theo ngày",SUMIFS('CHAM_CONG_NGAY'!$S$6:$S$4655,'CHAM_CONG_NGAY'!$B$6:$B$4655,$B126,'CHAM_CONG_NGAY'!$C$6:$C$4655,"&gt;="&amp;'THAM_SO'!$B$6,'CHAM_CONG_NGAY'!$C$6:$C$4655,"&lt;="&amp;'THAM_SO'!$B$7),$AP126))</f>
        <v/>
      </c>
      <c r="AW126" s="232">
        <f>IF($B126="","",IF($D126="Theo ngày",SUMIFS('CHAM_CONG_NGAY'!$T$6:$T$4655,'CHAM_CONG_NGAY'!$B$6:$B$4655,$B126,'CHAM_CONG_NGAY'!$C$6:$C$4655,"&gt;="&amp;'THAM_SO'!$B$6,'CHAM_CONG_NGAY'!$C$6:$C$4655,"&lt;="&amp;'THAM_SO'!$B$7),$AQ126))</f>
        <v/>
      </c>
    </row>
    <row r="127">
      <c r="A127" s="145">
        <f>IF($B127="","",ROW()-5)</f>
        <v/>
      </c>
      <c r="B127" s="145">
        <f>IF('DM_NHAN_SU'!B127="","",'DM_NHAN_SU'!B127)</f>
        <v/>
      </c>
      <c r="C127" s="145">
        <f>IF('DM_NHAN_SU'!B127="","",'DM_NHAN_SU'!C127)</f>
        <v/>
      </c>
      <c r="D127" s="127" t="n"/>
      <c r="E127" s="227" t="n"/>
      <c r="F127" s="227" t="n"/>
      <c r="G127" s="227" t="n"/>
      <c r="H127" s="227" t="n"/>
      <c r="I127" s="227" t="n"/>
      <c r="J127" s="227" t="n"/>
      <c r="K127" s="227" t="n"/>
      <c r="L127" s="227" t="n"/>
      <c r="M127" s="227" t="n"/>
      <c r="N127" s="227" t="n"/>
      <c r="O127" s="222" t="n"/>
      <c r="P127" s="222" t="n"/>
      <c r="Q127" s="222" t="n"/>
      <c r="R127" s="222" t="n"/>
      <c r="S127" s="222" t="n"/>
      <c r="T127" s="222" t="n"/>
      <c r="U127" s="222" t="n"/>
      <c r="V127" s="222" t="n"/>
      <c r="W127" s="222" t="n"/>
      <c r="X127" s="222" t="n"/>
      <c r="Y127" s="222" t="n"/>
      <c r="Z127" s="222" t="n"/>
      <c r="AA127" s="127" t="n"/>
      <c r="AB127" s="127" t="n"/>
      <c r="AC127" s="232">
        <f>IF($B127="","",IF($D127="Theo ngày",SUMIFS('CHAM_CONG_NGAY'!$E$6:$E$4655,'CHAM_CONG_NGAY'!$B$6:$B$4655,$B127,'CHAM_CONG_NGAY'!$C$6:$C$4655,"&gt;="&amp;'THAM_SO'!$B$6,'CHAM_CONG_NGAY'!$C$6:$C$4655,"&lt;="&amp;'THAM_SO'!$B$7),$E127))</f>
        <v/>
      </c>
      <c r="AD127" s="232">
        <f>IF($B127="","",IF($D127="Theo ngày",SUMIFS('CHAM_CONG_NGAY'!$F$6:$F$4655,'CHAM_CONG_NGAY'!$B$6:$B$4655,$B127,'CHAM_CONG_NGAY'!$C$6:$C$4655,"&gt;="&amp;'THAM_SO'!$B$6,'CHAM_CONG_NGAY'!$C$6:$C$4655,"&lt;="&amp;'THAM_SO'!$B$7),$F127))</f>
        <v/>
      </c>
      <c r="AE127" s="232">
        <f>IF($B127="","",IF($D127="Theo ngày",SUMIFS('CHAM_CONG_NGAY'!$G$6:$G$4655,'CHAM_CONG_NGAY'!$B$6:$B$4655,$B127,'CHAM_CONG_NGAY'!$C$6:$C$4655,"&gt;="&amp;'THAM_SO'!$B$6,'CHAM_CONG_NGAY'!$C$6:$C$4655,"&lt;="&amp;'THAM_SO'!$B$7),$G127))</f>
        <v/>
      </c>
      <c r="AF127" s="232">
        <f>IF($B127="","",IF($D127="Theo ngày",SUMIFS('CHAM_CONG_NGAY'!$H$6:$H$4655,'CHAM_CONG_NGAY'!$B$6:$B$4655,$B127,'CHAM_CONG_NGAY'!$C$6:$C$4655,"&gt;="&amp;'THAM_SO'!$B$6,'CHAM_CONG_NGAY'!$C$6:$C$4655,"&lt;="&amp;'THAM_SO'!$B$7),$H127))</f>
        <v/>
      </c>
      <c r="AG127" s="232">
        <f>IF($B127="","",IF($D127="Theo ngày",SUMIFS('CHAM_CONG_NGAY'!$I$6:$I$4655,'CHAM_CONG_NGAY'!$B$6:$B$4655,$B127,'CHAM_CONG_NGAY'!$C$6:$C$4655,"&gt;="&amp;'THAM_SO'!$B$6,'CHAM_CONG_NGAY'!$C$6:$C$4655,"&lt;="&amp;'THAM_SO'!$B$7),$I127))</f>
        <v/>
      </c>
      <c r="AH127" s="232">
        <f>IF($B127="","",IF($D127="Theo ngày",SUMIFS('CHAM_CONG_NGAY'!$J$6:$J$4655,'CHAM_CONG_NGAY'!$B$6:$B$4655,$B127,'CHAM_CONG_NGAY'!$C$6:$C$4655,"&gt;="&amp;'THAM_SO'!$B$6,'CHAM_CONG_NGAY'!$C$6:$C$4655,"&lt;="&amp;'THAM_SO'!$B$7),$J127))</f>
        <v/>
      </c>
      <c r="AI127" s="232">
        <f>IF($B127="","",IF($D127="Theo ngày",SUMIFS('CHAM_CONG_NGAY'!$K$6:$K$4655,'CHAM_CONG_NGAY'!$B$6:$B$4655,$B127,'CHAM_CONG_NGAY'!$C$6:$C$4655,"&gt;="&amp;'THAM_SO'!$B$6,'CHAM_CONG_NGAY'!$C$6:$C$4655,"&lt;="&amp;'THAM_SO'!$B$7),$K127))</f>
        <v/>
      </c>
      <c r="AJ127" s="232">
        <f>IF($B127="","",IF($D127="Theo ngày",SUMIFS('CHAM_CONG_NGAY'!$L$6:$L$4655,'CHAM_CONG_NGAY'!$B$6:$B$4655,$B127,'CHAM_CONG_NGAY'!$C$6:$C$4655,"&gt;="&amp;'THAM_SO'!$B$6,'CHAM_CONG_NGAY'!$C$6:$C$4655,"&lt;="&amp;'THAM_SO'!$B$7),$L127))</f>
        <v/>
      </c>
      <c r="AK127" s="232">
        <f>IF($B127="","",IF($D127="Theo ngày",SUMIFS('CHAM_CONG_NGAY'!$M$6:$M$4655,'CHAM_CONG_NGAY'!$B$6:$B$4655,$B127,'CHAM_CONG_NGAY'!$C$6:$C$4655,"&gt;="&amp;'THAM_SO'!$B$6,'CHAM_CONG_NGAY'!$C$6:$C$4655,"&lt;="&amp;'THAM_SO'!$B$7),$M127))</f>
        <v/>
      </c>
      <c r="AL127" s="227" t="n"/>
      <c r="AM127" s="227" t="n"/>
      <c r="AN127" s="227" t="n"/>
      <c r="AO127" s="227" t="n"/>
      <c r="AP127" s="227" t="n"/>
      <c r="AQ127" s="227" t="n"/>
      <c r="AR127" s="232">
        <f>IF($B127="","",IF($D127="Theo ngày",SUMIFS('CHAM_CONG_NGAY'!$O$6:$O$4655,'CHAM_CONG_NGAY'!$B$6:$B$4655,$B127,'CHAM_CONG_NGAY'!$C$6:$C$4655,"&gt;="&amp;'THAM_SO'!$B$6,'CHAM_CONG_NGAY'!$C$6:$C$4655,"&lt;="&amp;'THAM_SO'!$B$7),$AL127))</f>
        <v/>
      </c>
      <c r="AS127" s="232">
        <f>IF($B127="","",IF($D127="Theo ngày",SUMIFS('CHAM_CONG_NGAY'!$P$6:$P$4655,'CHAM_CONG_NGAY'!$B$6:$B$4655,$B127,'CHAM_CONG_NGAY'!$C$6:$C$4655,"&gt;="&amp;'THAM_SO'!$B$6,'CHAM_CONG_NGAY'!$C$6:$C$4655,"&lt;="&amp;'THAM_SO'!$B$7),$AM127))</f>
        <v/>
      </c>
      <c r="AT127" s="232">
        <f>IF($B127="","",IF($D127="Theo ngày",SUMIFS('CHAM_CONG_NGAY'!$Q$6:$Q$4655,'CHAM_CONG_NGAY'!$B$6:$B$4655,$B127,'CHAM_CONG_NGAY'!$C$6:$C$4655,"&gt;="&amp;'THAM_SO'!$B$6,'CHAM_CONG_NGAY'!$C$6:$C$4655,"&lt;="&amp;'THAM_SO'!$B$7),$AN127))</f>
        <v/>
      </c>
      <c r="AU127" s="232">
        <f>IF($B127="","",IF($D127="Theo ngày",SUMIFS('CHAM_CONG_NGAY'!$R$6:$R$4655,'CHAM_CONG_NGAY'!$B$6:$B$4655,$B127,'CHAM_CONG_NGAY'!$C$6:$C$4655,"&gt;="&amp;'THAM_SO'!$B$6,'CHAM_CONG_NGAY'!$C$6:$C$4655,"&lt;="&amp;'THAM_SO'!$B$7),$AO127))</f>
        <v/>
      </c>
      <c r="AV127" s="232">
        <f>IF($B127="","",IF($D127="Theo ngày",SUMIFS('CHAM_CONG_NGAY'!$S$6:$S$4655,'CHAM_CONG_NGAY'!$B$6:$B$4655,$B127,'CHAM_CONG_NGAY'!$C$6:$C$4655,"&gt;="&amp;'THAM_SO'!$B$6,'CHAM_CONG_NGAY'!$C$6:$C$4655,"&lt;="&amp;'THAM_SO'!$B$7),$AP127))</f>
        <v/>
      </c>
      <c r="AW127" s="232">
        <f>IF($B127="","",IF($D127="Theo ngày",SUMIFS('CHAM_CONG_NGAY'!$T$6:$T$4655,'CHAM_CONG_NGAY'!$B$6:$B$4655,$B127,'CHAM_CONG_NGAY'!$C$6:$C$4655,"&gt;="&amp;'THAM_SO'!$B$6,'CHAM_CONG_NGAY'!$C$6:$C$4655,"&lt;="&amp;'THAM_SO'!$B$7),$AQ127))</f>
        <v/>
      </c>
    </row>
    <row r="128">
      <c r="A128" s="145">
        <f>IF($B128="","",ROW()-5)</f>
        <v/>
      </c>
      <c r="B128" s="145">
        <f>IF('DM_NHAN_SU'!B128="","",'DM_NHAN_SU'!B128)</f>
        <v/>
      </c>
      <c r="C128" s="145">
        <f>IF('DM_NHAN_SU'!B128="","",'DM_NHAN_SU'!C128)</f>
        <v/>
      </c>
      <c r="D128" s="127" t="n"/>
      <c r="E128" s="227" t="n"/>
      <c r="F128" s="227" t="n"/>
      <c r="G128" s="227" t="n"/>
      <c r="H128" s="227" t="n"/>
      <c r="I128" s="227" t="n"/>
      <c r="J128" s="227" t="n"/>
      <c r="K128" s="227" t="n"/>
      <c r="L128" s="227" t="n"/>
      <c r="M128" s="227" t="n"/>
      <c r="N128" s="227" t="n"/>
      <c r="O128" s="222" t="n"/>
      <c r="P128" s="222" t="n"/>
      <c r="Q128" s="222" t="n"/>
      <c r="R128" s="222" t="n"/>
      <c r="S128" s="222" t="n"/>
      <c r="T128" s="222" t="n"/>
      <c r="U128" s="222" t="n"/>
      <c r="V128" s="222" t="n"/>
      <c r="W128" s="222" t="n"/>
      <c r="X128" s="222" t="n"/>
      <c r="Y128" s="222" t="n"/>
      <c r="Z128" s="222" t="n"/>
      <c r="AA128" s="127" t="n"/>
      <c r="AB128" s="127" t="n"/>
      <c r="AC128" s="232">
        <f>IF($B128="","",IF($D128="Theo ngày",SUMIFS('CHAM_CONG_NGAY'!$E$6:$E$4655,'CHAM_CONG_NGAY'!$B$6:$B$4655,$B128,'CHAM_CONG_NGAY'!$C$6:$C$4655,"&gt;="&amp;'THAM_SO'!$B$6,'CHAM_CONG_NGAY'!$C$6:$C$4655,"&lt;="&amp;'THAM_SO'!$B$7),$E128))</f>
        <v/>
      </c>
      <c r="AD128" s="232">
        <f>IF($B128="","",IF($D128="Theo ngày",SUMIFS('CHAM_CONG_NGAY'!$F$6:$F$4655,'CHAM_CONG_NGAY'!$B$6:$B$4655,$B128,'CHAM_CONG_NGAY'!$C$6:$C$4655,"&gt;="&amp;'THAM_SO'!$B$6,'CHAM_CONG_NGAY'!$C$6:$C$4655,"&lt;="&amp;'THAM_SO'!$B$7),$F128))</f>
        <v/>
      </c>
      <c r="AE128" s="232">
        <f>IF($B128="","",IF($D128="Theo ngày",SUMIFS('CHAM_CONG_NGAY'!$G$6:$G$4655,'CHAM_CONG_NGAY'!$B$6:$B$4655,$B128,'CHAM_CONG_NGAY'!$C$6:$C$4655,"&gt;="&amp;'THAM_SO'!$B$6,'CHAM_CONG_NGAY'!$C$6:$C$4655,"&lt;="&amp;'THAM_SO'!$B$7),$G128))</f>
        <v/>
      </c>
      <c r="AF128" s="232">
        <f>IF($B128="","",IF($D128="Theo ngày",SUMIFS('CHAM_CONG_NGAY'!$H$6:$H$4655,'CHAM_CONG_NGAY'!$B$6:$B$4655,$B128,'CHAM_CONG_NGAY'!$C$6:$C$4655,"&gt;="&amp;'THAM_SO'!$B$6,'CHAM_CONG_NGAY'!$C$6:$C$4655,"&lt;="&amp;'THAM_SO'!$B$7),$H128))</f>
        <v/>
      </c>
      <c r="AG128" s="232">
        <f>IF($B128="","",IF($D128="Theo ngày",SUMIFS('CHAM_CONG_NGAY'!$I$6:$I$4655,'CHAM_CONG_NGAY'!$B$6:$B$4655,$B128,'CHAM_CONG_NGAY'!$C$6:$C$4655,"&gt;="&amp;'THAM_SO'!$B$6,'CHAM_CONG_NGAY'!$C$6:$C$4655,"&lt;="&amp;'THAM_SO'!$B$7),$I128))</f>
        <v/>
      </c>
      <c r="AH128" s="232">
        <f>IF($B128="","",IF($D128="Theo ngày",SUMIFS('CHAM_CONG_NGAY'!$J$6:$J$4655,'CHAM_CONG_NGAY'!$B$6:$B$4655,$B128,'CHAM_CONG_NGAY'!$C$6:$C$4655,"&gt;="&amp;'THAM_SO'!$B$6,'CHAM_CONG_NGAY'!$C$6:$C$4655,"&lt;="&amp;'THAM_SO'!$B$7),$J128))</f>
        <v/>
      </c>
      <c r="AI128" s="232">
        <f>IF($B128="","",IF($D128="Theo ngày",SUMIFS('CHAM_CONG_NGAY'!$K$6:$K$4655,'CHAM_CONG_NGAY'!$B$6:$B$4655,$B128,'CHAM_CONG_NGAY'!$C$6:$C$4655,"&gt;="&amp;'THAM_SO'!$B$6,'CHAM_CONG_NGAY'!$C$6:$C$4655,"&lt;="&amp;'THAM_SO'!$B$7),$K128))</f>
        <v/>
      </c>
      <c r="AJ128" s="232">
        <f>IF($B128="","",IF($D128="Theo ngày",SUMIFS('CHAM_CONG_NGAY'!$L$6:$L$4655,'CHAM_CONG_NGAY'!$B$6:$B$4655,$B128,'CHAM_CONG_NGAY'!$C$6:$C$4655,"&gt;="&amp;'THAM_SO'!$B$6,'CHAM_CONG_NGAY'!$C$6:$C$4655,"&lt;="&amp;'THAM_SO'!$B$7),$L128))</f>
        <v/>
      </c>
      <c r="AK128" s="232">
        <f>IF($B128="","",IF($D128="Theo ngày",SUMIFS('CHAM_CONG_NGAY'!$M$6:$M$4655,'CHAM_CONG_NGAY'!$B$6:$B$4655,$B128,'CHAM_CONG_NGAY'!$C$6:$C$4655,"&gt;="&amp;'THAM_SO'!$B$6,'CHAM_CONG_NGAY'!$C$6:$C$4655,"&lt;="&amp;'THAM_SO'!$B$7),$M128))</f>
        <v/>
      </c>
      <c r="AL128" s="227" t="n"/>
      <c r="AM128" s="227" t="n"/>
      <c r="AN128" s="227" t="n"/>
      <c r="AO128" s="227" t="n"/>
      <c r="AP128" s="227" t="n"/>
      <c r="AQ128" s="227" t="n"/>
      <c r="AR128" s="232">
        <f>IF($B128="","",IF($D128="Theo ngày",SUMIFS('CHAM_CONG_NGAY'!$O$6:$O$4655,'CHAM_CONG_NGAY'!$B$6:$B$4655,$B128,'CHAM_CONG_NGAY'!$C$6:$C$4655,"&gt;="&amp;'THAM_SO'!$B$6,'CHAM_CONG_NGAY'!$C$6:$C$4655,"&lt;="&amp;'THAM_SO'!$B$7),$AL128))</f>
        <v/>
      </c>
      <c r="AS128" s="232">
        <f>IF($B128="","",IF($D128="Theo ngày",SUMIFS('CHAM_CONG_NGAY'!$P$6:$P$4655,'CHAM_CONG_NGAY'!$B$6:$B$4655,$B128,'CHAM_CONG_NGAY'!$C$6:$C$4655,"&gt;="&amp;'THAM_SO'!$B$6,'CHAM_CONG_NGAY'!$C$6:$C$4655,"&lt;="&amp;'THAM_SO'!$B$7),$AM128))</f>
        <v/>
      </c>
      <c r="AT128" s="232">
        <f>IF($B128="","",IF($D128="Theo ngày",SUMIFS('CHAM_CONG_NGAY'!$Q$6:$Q$4655,'CHAM_CONG_NGAY'!$B$6:$B$4655,$B128,'CHAM_CONG_NGAY'!$C$6:$C$4655,"&gt;="&amp;'THAM_SO'!$B$6,'CHAM_CONG_NGAY'!$C$6:$C$4655,"&lt;="&amp;'THAM_SO'!$B$7),$AN128))</f>
        <v/>
      </c>
      <c r="AU128" s="232">
        <f>IF($B128="","",IF($D128="Theo ngày",SUMIFS('CHAM_CONG_NGAY'!$R$6:$R$4655,'CHAM_CONG_NGAY'!$B$6:$B$4655,$B128,'CHAM_CONG_NGAY'!$C$6:$C$4655,"&gt;="&amp;'THAM_SO'!$B$6,'CHAM_CONG_NGAY'!$C$6:$C$4655,"&lt;="&amp;'THAM_SO'!$B$7),$AO128))</f>
        <v/>
      </c>
      <c r="AV128" s="232">
        <f>IF($B128="","",IF($D128="Theo ngày",SUMIFS('CHAM_CONG_NGAY'!$S$6:$S$4655,'CHAM_CONG_NGAY'!$B$6:$B$4655,$B128,'CHAM_CONG_NGAY'!$C$6:$C$4655,"&gt;="&amp;'THAM_SO'!$B$6,'CHAM_CONG_NGAY'!$C$6:$C$4655,"&lt;="&amp;'THAM_SO'!$B$7),$AP128))</f>
        <v/>
      </c>
      <c r="AW128" s="232">
        <f>IF($B128="","",IF($D128="Theo ngày",SUMIFS('CHAM_CONG_NGAY'!$T$6:$T$4655,'CHAM_CONG_NGAY'!$B$6:$B$4655,$B128,'CHAM_CONG_NGAY'!$C$6:$C$4655,"&gt;="&amp;'THAM_SO'!$B$6,'CHAM_CONG_NGAY'!$C$6:$C$4655,"&lt;="&amp;'THAM_SO'!$B$7),$AQ128))</f>
        <v/>
      </c>
    </row>
    <row r="129">
      <c r="A129" s="145">
        <f>IF($B129="","",ROW()-5)</f>
        <v/>
      </c>
      <c r="B129" s="145">
        <f>IF('DM_NHAN_SU'!B129="","",'DM_NHAN_SU'!B129)</f>
        <v/>
      </c>
      <c r="C129" s="145">
        <f>IF('DM_NHAN_SU'!B129="","",'DM_NHAN_SU'!C129)</f>
        <v/>
      </c>
      <c r="D129" s="127" t="n"/>
      <c r="E129" s="227" t="n"/>
      <c r="F129" s="227" t="n"/>
      <c r="G129" s="227" t="n"/>
      <c r="H129" s="227" t="n"/>
      <c r="I129" s="227" t="n"/>
      <c r="J129" s="227" t="n"/>
      <c r="K129" s="227" t="n"/>
      <c r="L129" s="227" t="n"/>
      <c r="M129" s="227" t="n"/>
      <c r="N129" s="227" t="n"/>
      <c r="O129" s="222" t="n"/>
      <c r="P129" s="222" t="n"/>
      <c r="Q129" s="222" t="n"/>
      <c r="R129" s="222" t="n"/>
      <c r="S129" s="222" t="n"/>
      <c r="T129" s="222" t="n"/>
      <c r="U129" s="222" t="n"/>
      <c r="V129" s="222" t="n"/>
      <c r="W129" s="222" t="n"/>
      <c r="X129" s="222" t="n"/>
      <c r="Y129" s="222" t="n"/>
      <c r="Z129" s="222" t="n"/>
      <c r="AA129" s="127" t="n"/>
      <c r="AB129" s="127" t="n"/>
      <c r="AC129" s="232">
        <f>IF($B129="","",IF($D129="Theo ngày",SUMIFS('CHAM_CONG_NGAY'!$E$6:$E$4655,'CHAM_CONG_NGAY'!$B$6:$B$4655,$B129,'CHAM_CONG_NGAY'!$C$6:$C$4655,"&gt;="&amp;'THAM_SO'!$B$6,'CHAM_CONG_NGAY'!$C$6:$C$4655,"&lt;="&amp;'THAM_SO'!$B$7),$E129))</f>
        <v/>
      </c>
      <c r="AD129" s="232">
        <f>IF($B129="","",IF($D129="Theo ngày",SUMIFS('CHAM_CONG_NGAY'!$F$6:$F$4655,'CHAM_CONG_NGAY'!$B$6:$B$4655,$B129,'CHAM_CONG_NGAY'!$C$6:$C$4655,"&gt;="&amp;'THAM_SO'!$B$6,'CHAM_CONG_NGAY'!$C$6:$C$4655,"&lt;="&amp;'THAM_SO'!$B$7),$F129))</f>
        <v/>
      </c>
      <c r="AE129" s="232">
        <f>IF($B129="","",IF($D129="Theo ngày",SUMIFS('CHAM_CONG_NGAY'!$G$6:$G$4655,'CHAM_CONG_NGAY'!$B$6:$B$4655,$B129,'CHAM_CONG_NGAY'!$C$6:$C$4655,"&gt;="&amp;'THAM_SO'!$B$6,'CHAM_CONG_NGAY'!$C$6:$C$4655,"&lt;="&amp;'THAM_SO'!$B$7),$G129))</f>
        <v/>
      </c>
      <c r="AF129" s="232">
        <f>IF($B129="","",IF($D129="Theo ngày",SUMIFS('CHAM_CONG_NGAY'!$H$6:$H$4655,'CHAM_CONG_NGAY'!$B$6:$B$4655,$B129,'CHAM_CONG_NGAY'!$C$6:$C$4655,"&gt;="&amp;'THAM_SO'!$B$6,'CHAM_CONG_NGAY'!$C$6:$C$4655,"&lt;="&amp;'THAM_SO'!$B$7),$H129))</f>
        <v/>
      </c>
      <c r="AG129" s="232">
        <f>IF($B129="","",IF($D129="Theo ngày",SUMIFS('CHAM_CONG_NGAY'!$I$6:$I$4655,'CHAM_CONG_NGAY'!$B$6:$B$4655,$B129,'CHAM_CONG_NGAY'!$C$6:$C$4655,"&gt;="&amp;'THAM_SO'!$B$6,'CHAM_CONG_NGAY'!$C$6:$C$4655,"&lt;="&amp;'THAM_SO'!$B$7),$I129))</f>
        <v/>
      </c>
      <c r="AH129" s="232">
        <f>IF($B129="","",IF($D129="Theo ngày",SUMIFS('CHAM_CONG_NGAY'!$J$6:$J$4655,'CHAM_CONG_NGAY'!$B$6:$B$4655,$B129,'CHAM_CONG_NGAY'!$C$6:$C$4655,"&gt;="&amp;'THAM_SO'!$B$6,'CHAM_CONG_NGAY'!$C$6:$C$4655,"&lt;="&amp;'THAM_SO'!$B$7),$J129))</f>
        <v/>
      </c>
      <c r="AI129" s="232">
        <f>IF($B129="","",IF($D129="Theo ngày",SUMIFS('CHAM_CONG_NGAY'!$K$6:$K$4655,'CHAM_CONG_NGAY'!$B$6:$B$4655,$B129,'CHAM_CONG_NGAY'!$C$6:$C$4655,"&gt;="&amp;'THAM_SO'!$B$6,'CHAM_CONG_NGAY'!$C$6:$C$4655,"&lt;="&amp;'THAM_SO'!$B$7),$K129))</f>
        <v/>
      </c>
      <c r="AJ129" s="232">
        <f>IF($B129="","",IF($D129="Theo ngày",SUMIFS('CHAM_CONG_NGAY'!$L$6:$L$4655,'CHAM_CONG_NGAY'!$B$6:$B$4655,$B129,'CHAM_CONG_NGAY'!$C$6:$C$4655,"&gt;="&amp;'THAM_SO'!$B$6,'CHAM_CONG_NGAY'!$C$6:$C$4655,"&lt;="&amp;'THAM_SO'!$B$7),$L129))</f>
        <v/>
      </c>
      <c r="AK129" s="232">
        <f>IF($B129="","",IF($D129="Theo ngày",SUMIFS('CHAM_CONG_NGAY'!$M$6:$M$4655,'CHAM_CONG_NGAY'!$B$6:$B$4655,$B129,'CHAM_CONG_NGAY'!$C$6:$C$4655,"&gt;="&amp;'THAM_SO'!$B$6,'CHAM_CONG_NGAY'!$C$6:$C$4655,"&lt;="&amp;'THAM_SO'!$B$7),$M129))</f>
        <v/>
      </c>
      <c r="AL129" s="227" t="n"/>
      <c r="AM129" s="227" t="n"/>
      <c r="AN129" s="227" t="n"/>
      <c r="AO129" s="227" t="n"/>
      <c r="AP129" s="227" t="n"/>
      <c r="AQ129" s="227" t="n"/>
      <c r="AR129" s="232">
        <f>IF($B129="","",IF($D129="Theo ngày",SUMIFS('CHAM_CONG_NGAY'!$O$6:$O$4655,'CHAM_CONG_NGAY'!$B$6:$B$4655,$B129,'CHAM_CONG_NGAY'!$C$6:$C$4655,"&gt;="&amp;'THAM_SO'!$B$6,'CHAM_CONG_NGAY'!$C$6:$C$4655,"&lt;="&amp;'THAM_SO'!$B$7),$AL129))</f>
        <v/>
      </c>
      <c r="AS129" s="232">
        <f>IF($B129="","",IF($D129="Theo ngày",SUMIFS('CHAM_CONG_NGAY'!$P$6:$P$4655,'CHAM_CONG_NGAY'!$B$6:$B$4655,$B129,'CHAM_CONG_NGAY'!$C$6:$C$4655,"&gt;="&amp;'THAM_SO'!$B$6,'CHAM_CONG_NGAY'!$C$6:$C$4655,"&lt;="&amp;'THAM_SO'!$B$7),$AM129))</f>
        <v/>
      </c>
      <c r="AT129" s="232">
        <f>IF($B129="","",IF($D129="Theo ngày",SUMIFS('CHAM_CONG_NGAY'!$Q$6:$Q$4655,'CHAM_CONG_NGAY'!$B$6:$B$4655,$B129,'CHAM_CONG_NGAY'!$C$6:$C$4655,"&gt;="&amp;'THAM_SO'!$B$6,'CHAM_CONG_NGAY'!$C$6:$C$4655,"&lt;="&amp;'THAM_SO'!$B$7),$AN129))</f>
        <v/>
      </c>
      <c r="AU129" s="232">
        <f>IF($B129="","",IF($D129="Theo ngày",SUMIFS('CHAM_CONG_NGAY'!$R$6:$R$4655,'CHAM_CONG_NGAY'!$B$6:$B$4655,$B129,'CHAM_CONG_NGAY'!$C$6:$C$4655,"&gt;="&amp;'THAM_SO'!$B$6,'CHAM_CONG_NGAY'!$C$6:$C$4655,"&lt;="&amp;'THAM_SO'!$B$7),$AO129))</f>
        <v/>
      </c>
      <c r="AV129" s="232">
        <f>IF($B129="","",IF($D129="Theo ngày",SUMIFS('CHAM_CONG_NGAY'!$S$6:$S$4655,'CHAM_CONG_NGAY'!$B$6:$B$4655,$B129,'CHAM_CONG_NGAY'!$C$6:$C$4655,"&gt;="&amp;'THAM_SO'!$B$6,'CHAM_CONG_NGAY'!$C$6:$C$4655,"&lt;="&amp;'THAM_SO'!$B$7),$AP129))</f>
        <v/>
      </c>
      <c r="AW129" s="232">
        <f>IF($B129="","",IF($D129="Theo ngày",SUMIFS('CHAM_CONG_NGAY'!$T$6:$T$4655,'CHAM_CONG_NGAY'!$B$6:$B$4655,$B129,'CHAM_CONG_NGAY'!$C$6:$C$4655,"&gt;="&amp;'THAM_SO'!$B$6,'CHAM_CONG_NGAY'!$C$6:$C$4655,"&lt;="&amp;'THAM_SO'!$B$7),$AQ129))</f>
        <v/>
      </c>
    </row>
    <row r="130">
      <c r="A130" s="145">
        <f>IF($B130="","",ROW()-5)</f>
        <v/>
      </c>
      <c r="B130" s="145">
        <f>IF('DM_NHAN_SU'!B130="","",'DM_NHAN_SU'!B130)</f>
        <v/>
      </c>
      <c r="C130" s="145">
        <f>IF('DM_NHAN_SU'!B130="","",'DM_NHAN_SU'!C130)</f>
        <v/>
      </c>
      <c r="D130" s="127" t="n"/>
      <c r="E130" s="227" t="n"/>
      <c r="F130" s="227" t="n"/>
      <c r="G130" s="227" t="n"/>
      <c r="H130" s="227" t="n"/>
      <c r="I130" s="227" t="n"/>
      <c r="J130" s="227" t="n"/>
      <c r="K130" s="227" t="n"/>
      <c r="L130" s="227" t="n"/>
      <c r="M130" s="227" t="n"/>
      <c r="N130" s="227" t="n"/>
      <c r="O130" s="222" t="n"/>
      <c r="P130" s="222" t="n"/>
      <c r="Q130" s="222" t="n"/>
      <c r="R130" s="222" t="n"/>
      <c r="S130" s="222" t="n"/>
      <c r="T130" s="222" t="n"/>
      <c r="U130" s="222" t="n"/>
      <c r="V130" s="222" t="n"/>
      <c r="W130" s="222" t="n"/>
      <c r="X130" s="222" t="n"/>
      <c r="Y130" s="222" t="n"/>
      <c r="Z130" s="222" t="n"/>
      <c r="AA130" s="127" t="n"/>
      <c r="AB130" s="127" t="n"/>
      <c r="AC130" s="232">
        <f>IF($B130="","",IF($D130="Theo ngày",SUMIFS('CHAM_CONG_NGAY'!$E$6:$E$4655,'CHAM_CONG_NGAY'!$B$6:$B$4655,$B130,'CHAM_CONG_NGAY'!$C$6:$C$4655,"&gt;="&amp;'THAM_SO'!$B$6,'CHAM_CONG_NGAY'!$C$6:$C$4655,"&lt;="&amp;'THAM_SO'!$B$7),$E130))</f>
        <v/>
      </c>
      <c r="AD130" s="232">
        <f>IF($B130="","",IF($D130="Theo ngày",SUMIFS('CHAM_CONG_NGAY'!$F$6:$F$4655,'CHAM_CONG_NGAY'!$B$6:$B$4655,$B130,'CHAM_CONG_NGAY'!$C$6:$C$4655,"&gt;="&amp;'THAM_SO'!$B$6,'CHAM_CONG_NGAY'!$C$6:$C$4655,"&lt;="&amp;'THAM_SO'!$B$7),$F130))</f>
        <v/>
      </c>
      <c r="AE130" s="232">
        <f>IF($B130="","",IF($D130="Theo ngày",SUMIFS('CHAM_CONG_NGAY'!$G$6:$G$4655,'CHAM_CONG_NGAY'!$B$6:$B$4655,$B130,'CHAM_CONG_NGAY'!$C$6:$C$4655,"&gt;="&amp;'THAM_SO'!$B$6,'CHAM_CONG_NGAY'!$C$6:$C$4655,"&lt;="&amp;'THAM_SO'!$B$7),$G130))</f>
        <v/>
      </c>
      <c r="AF130" s="232">
        <f>IF($B130="","",IF($D130="Theo ngày",SUMIFS('CHAM_CONG_NGAY'!$H$6:$H$4655,'CHAM_CONG_NGAY'!$B$6:$B$4655,$B130,'CHAM_CONG_NGAY'!$C$6:$C$4655,"&gt;="&amp;'THAM_SO'!$B$6,'CHAM_CONG_NGAY'!$C$6:$C$4655,"&lt;="&amp;'THAM_SO'!$B$7),$H130))</f>
        <v/>
      </c>
      <c r="AG130" s="232">
        <f>IF($B130="","",IF($D130="Theo ngày",SUMIFS('CHAM_CONG_NGAY'!$I$6:$I$4655,'CHAM_CONG_NGAY'!$B$6:$B$4655,$B130,'CHAM_CONG_NGAY'!$C$6:$C$4655,"&gt;="&amp;'THAM_SO'!$B$6,'CHAM_CONG_NGAY'!$C$6:$C$4655,"&lt;="&amp;'THAM_SO'!$B$7),$I130))</f>
        <v/>
      </c>
      <c r="AH130" s="232">
        <f>IF($B130="","",IF($D130="Theo ngày",SUMIFS('CHAM_CONG_NGAY'!$J$6:$J$4655,'CHAM_CONG_NGAY'!$B$6:$B$4655,$B130,'CHAM_CONG_NGAY'!$C$6:$C$4655,"&gt;="&amp;'THAM_SO'!$B$6,'CHAM_CONG_NGAY'!$C$6:$C$4655,"&lt;="&amp;'THAM_SO'!$B$7),$J130))</f>
        <v/>
      </c>
      <c r="AI130" s="232">
        <f>IF($B130="","",IF($D130="Theo ngày",SUMIFS('CHAM_CONG_NGAY'!$K$6:$K$4655,'CHAM_CONG_NGAY'!$B$6:$B$4655,$B130,'CHAM_CONG_NGAY'!$C$6:$C$4655,"&gt;="&amp;'THAM_SO'!$B$6,'CHAM_CONG_NGAY'!$C$6:$C$4655,"&lt;="&amp;'THAM_SO'!$B$7),$K130))</f>
        <v/>
      </c>
      <c r="AJ130" s="232">
        <f>IF($B130="","",IF($D130="Theo ngày",SUMIFS('CHAM_CONG_NGAY'!$L$6:$L$4655,'CHAM_CONG_NGAY'!$B$6:$B$4655,$B130,'CHAM_CONG_NGAY'!$C$6:$C$4655,"&gt;="&amp;'THAM_SO'!$B$6,'CHAM_CONG_NGAY'!$C$6:$C$4655,"&lt;="&amp;'THAM_SO'!$B$7),$L130))</f>
        <v/>
      </c>
      <c r="AK130" s="232">
        <f>IF($B130="","",IF($D130="Theo ngày",SUMIFS('CHAM_CONG_NGAY'!$M$6:$M$4655,'CHAM_CONG_NGAY'!$B$6:$B$4655,$B130,'CHAM_CONG_NGAY'!$C$6:$C$4655,"&gt;="&amp;'THAM_SO'!$B$6,'CHAM_CONG_NGAY'!$C$6:$C$4655,"&lt;="&amp;'THAM_SO'!$B$7),$M130))</f>
        <v/>
      </c>
      <c r="AL130" s="227" t="n"/>
      <c r="AM130" s="227" t="n"/>
      <c r="AN130" s="227" t="n"/>
      <c r="AO130" s="227" t="n"/>
      <c r="AP130" s="227" t="n"/>
      <c r="AQ130" s="227" t="n"/>
      <c r="AR130" s="232">
        <f>IF($B130="","",IF($D130="Theo ngày",SUMIFS('CHAM_CONG_NGAY'!$O$6:$O$4655,'CHAM_CONG_NGAY'!$B$6:$B$4655,$B130,'CHAM_CONG_NGAY'!$C$6:$C$4655,"&gt;="&amp;'THAM_SO'!$B$6,'CHAM_CONG_NGAY'!$C$6:$C$4655,"&lt;="&amp;'THAM_SO'!$B$7),$AL130))</f>
        <v/>
      </c>
      <c r="AS130" s="232">
        <f>IF($B130="","",IF($D130="Theo ngày",SUMIFS('CHAM_CONG_NGAY'!$P$6:$P$4655,'CHAM_CONG_NGAY'!$B$6:$B$4655,$B130,'CHAM_CONG_NGAY'!$C$6:$C$4655,"&gt;="&amp;'THAM_SO'!$B$6,'CHAM_CONG_NGAY'!$C$6:$C$4655,"&lt;="&amp;'THAM_SO'!$B$7),$AM130))</f>
        <v/>
      </c>
      <c r="AT130" s="232">
        <f>IF($B130="","",IF($D130="Theo ngày",SUMIFS('CHAM_CONG_NGAY'!$Q$6:$Q$4655,'CHAM_CONG_NGAY'!$B$6:$B$4655,$B130,'CHAM_CONG_NGAY'!$C$6:$C$4655,"&gt;="&amp;'THAM_SO'!$B$6,'CHAM_CONG_NGAY'!$C$6:$C$4655,"&lt;="&amp;'THAM_SO'!$B$7),$AN130))</f>
        <v/>
      </c>
      <c r="AU130" s="232">
        <f>IF($B130="","",IF($D130="Theo ngày",SUMIFS('CHAM_CONG_NGAY'!$R$6:$R$4655,'CHAM_CONG_NGAY'!$B$6:$B$4655,$B130,'CHAM_CONG_NGAY'!$C$6:$C$4655,"&gt;="&amp;'THAM_SO'!$B$6,'CHAM_CONG_NGAY'!$C$6:$C$4655,"&lt;="&amp;'THAM_SO'!$B$7),$AO130))</f>
        <v/>
      </c>
      <c r="AV130" s="232">
        <f>IF($B130="","",IF($D130="Theo ngày",SUMIFS('CHAM_CONG_NGAY'!$S$6:$S$4655,'CHAM_CONG_NGAY'!$B$6:$B$4655,$B130,'CHAM_CONG_NGAY'!$C$6:$C$4655,"&gt;="&amp;'THAM_SO'!$B$6,'CHAM_CONG_NGAY'!$C$6:$C$4655,"&lt;="&amp;'THAM_SO'!$B$7),$AP130))</f>
        <v/>
      </c>
      <c r="AW130" s="232">
        <f>IF($B130="","",IF($D130="Theo ngày",SUMIFS('CHAM_CONG_NGAY'!$T$6:$T$4655,'CHAM_CONG_NGAY'!$B$6:$B$4655,$B130,'CHAM_CONG_NGAY'!$C$6:$C$4655,"&gt;="&amp;'THAM_SO'!$B$6,'CHAM_CONG_NGAY'!$C$6:$C$4655,"&lt;="&amp;'THAM_SO'!$B$7),$AQ130))</f>
        <v/>
      </c>
    </row>
    <row r="131">
      <c r="A131" s="145">
        <f>IF($B131="","",ROW()-5)</f>
        <v/>
      </c>
      <c r="B131" s="145">
        <f>IF('DM_NHAN_SU'!B131="","",'DM_NHAN_SU'!B131)</f>
        <v/>
      </c>
      <c r="C131" s="145">
        <f>IF('DM_NHAN_SU'!B131="","",'DM_NHAN_SU'!C131)</f>
        <v/>
      </c>
      <c r="D131" s="127" t="n"/>
      <c r="E131" s="227" t="n"/>
      <c r="F131" s="227" t="n"/>
      <c r="G131" s="227" t="n"/>
      <c r="H131" s="227" t="n"/>
      <c r="I131" s="227" t="n"/>
      <c r="J131" s="227" t="n"/>
      <c r="K131" s="227" t="n"/>
      <c r="L131" s="227" t="n"/>
      <c r="M131" s="227" t="n"/>
      <c r="N131" s="227" t="n"/>
      <c r="O131" s="222" t="n"/>
      <c r="P131" s="222" t="n"/>
      <c r="Q131" s="222" t="n"/>
      <c r="R131" s="222" t="n"/>
      <c r="S131" s="222" t="n"/>
      <c r="T131" s="222" t="n"/>
      <c r="U131" s="222" t="n"/>
      <c r="V131" s="222" t="n"/>
      <c r="W131" s="222" t="n"/>
      <c r="X131" s="222" t="n"/>
      <c r="Y131" s="222" t="n"/>
      <c r="Z131" s="222" t="n"/>
      <c r="AA131" s="127" t="n"/>
      <c r="AB131" s="127" t="n"/>
      <c r="AC131" s="232">
        <f>IF($B131="","",IF($D131="Theo ngày",SUMIFS('CHAM_CONG_NGAY'!$E$6:$E$4655,'CHAM_CONG_NGAY'!$B$6:$B$4655,$B131,'CHAM_CONG_NGAY'!$C$6:$C$4655,"&gt;="&amp;'THAM_SO'!$B$6,'CHAM_CONG_NGAY'!$C$6:$C$4655,"&lt;="&amp;'THAM_SO'!$B$7),$E131))</f>
        <v/>
      </c>
      <c r="AD131" s="232">
        <f>IF($B131="","",IF($D131="Theo ngày",SUMIFS('CHAM_CONG_NGAY'!$F$6:$F$4655,'CHAM_CONG_NGAY'!$B$6:$B$4655,$B131,'CHAM_CONG_NGAY'!$C$6:$C$4655,"&gt;="&amp;'THAM_SO'!$B$6,'CHAM_CONG_NGAY'!$C$6:$C$4655,"&lt;="&amp;'THAM_SO'!$B$7),$F131))</f>
        <v/>
      </c>
      <c r="AE131" s="232">
        <f>IF($B131="","",IF($D131="Theo ngày",SUMIFS('CHAM_CONG_NGAY'!$G$6:$G$4655,'CHAM_CONG_NGAY'!$B$6:$B$4655,$B131,'CHAM_CONG_NGAY'!$C$6:$C$4655,"&gt;="&amp;'THAM_SO'!$B$6,'CHAM_CONG_NGAY'!$C$6:$C$4655,"&lt;="&amp;'THAM_SO'!$B$7),$G131))</f>
        <v/>
      </c>
      <c r="AF131" s="232">
        <f>IF($B131="","",IF($D131="Theo ngày",SUMIFS('CHAM_CONG_NGAY'!$H$6:$H$4655,'CHAM_CONG_NGAY'!$B$6:$B$4655,$B131,'CHAM_CONG_NGAY'!$C$6:$C$4655,"&gt;="&amp;'THAM_SO'!$B$6,'CHAM_CONG_NGAY'!$C$6:$C$4655,"&lt;="&amp;'THAM_SO'!$B$7),$H131))</f>
        <v/>
      </c>
      <c r="AG131" s="232">
        <f>IF($B131="","",IF($D131="Theo ngày",SUMIFS('CHAM_CONG_NGAY'!$I$6:$I$4655,'CHAM_CONG_NGAY'!$B$6:$B$4655,$B131,'CHAM_CONG_NGAY'!$C$6:$C$4655,"&gt;="&amp;'THAM_SO'!$B$6,'CHAM_CONG_NGAY'!$C$6:$C$4655,"&lt;="&amp;'THAM_SO'!$B$7),$I131))</f>
        <v/>
      </c>
      <c r="AH131" s="232">
        <f>IF($B131="","",IF($D131="Theo ngày",SUMIFS('CHAM_CONG_NGAY'!$J$6:$J$4655,'CHAM_CONG_NGAY'!$B$6:$B$4655,$B131,'CHAM_CONG_NGAY'!$C$6:$C$4655,"&gt;="&amp;'THAM_SO'!$B$6,'CHAM_CONG_NGAY'!$C$6:$C$4655,"&lt;="&amp;'THAM_SO'!$B$7),$J131))</f>
        <v/>
      </c>
      <c r="AI131" s="232">
        <f>IF($B131="","",IF($D131="Theo ngày",SUMIFS('CHAM_CONG_NGAY'!$K$6:$K$4655,'CHAM_CONG_NGAY'!$B$6:$B$4655,$B131,'CHAM_CONG_NGAY'!$C$6:$C$4655,"&gt;="&amp;'THAM_SO'!$B$6,'CHAM_CONG_NGAY'!$C$6:$C$4655,"&lt;="&amp;'THAM_SO'!$B$7),$K131))</f>
        <v/>
      </c>
      <c r="AJ131" s="232">
        <f>IF($B131="","",IF($D131="Theo ngày",SUMIFS('CHAM_CONG_NGAY'!$L$6:$L$4655,'CHAM_CONG_NGAY'!$B$6:$B$4655,$B131,'CHAM_CONG_NGAY'!$C$6:$C$4655,"&gt;="&amp;'THAM_SO'!$B$6,'CHAM_CONG_NGAY'!$C$6:$C$4655,"&lt;="&amp;'THAM_SO'!$B$7),$L131))</f>
        <v/>
      </c>
      <c r="AK131" s="232">
        <f>IF($B131="","",IF($D131="Theo ngày",SUMIFS('CHAM_CONG_NGAY'!$M$6:$M$4655,'CHAM_CONG_NGAY'!$B$6:$B$4655,$B131,'CHAM_CONG_NGAY'!$C$6:$C$4655,"&gt;="&amp;'THAM_SO'!$B$6,'CHAM_CONG_NGAY'!$C$6:$C$4655,"&lt;="&amp;'THAM_SO'!$B$7),$M131))</f>
        <v/>
      </c>
      <c r="AL131" s="227" t="n"/>
      <c r="AM131" s="227" t="n"/>
      <c r="AN131" s="227" t="n"/>
      <c r="AO131" s="227" t="n"/>
      <c r="AP131" s="227" t="n"/>
      <c r="AQ131" s="227" t="n"/>
      <c r="AR131" s="232">
        <f>IF($B131="","",IF($D131="Theo ngày",SUMIFS('CHAM_CONG_NGAY'!$O$6:$O$4655,'CHAM_CONG_NGAY'!$B$6:$B$4655,$B131,'CHAM_CONG_NGAY'!$C$6:$C$4655,"&gt;="&amp;'THAM_SO'!$B$6,'CHAM_CONG_NGAY'!$C$6:$C$4655,"&lt;="&amp;'THAM_SO'!$B$7),$AL131))</f>
        <v/>
      </c>
      <c r="AS131" s="232">
        <f>IF($B131="","",IF($D131="Theo ngày",SUMIFS('CHAM_CONG_NGAY'!$P$6:$P$4655,'CHAM_CONG_NGAY'!$B$6:$B$4655,$B131,'CHAM_CONG_NGAY'!$C$6:$C$4655,"&gt;="&amp;'THAM_SO'!$B$6,'CHAM_CONG_NGAY'!$C$6:$C$4655,"&lt;="&amp;'THAM_SO'!$B$7),$AM131))</f>
        <v/>
      </c>
      <c r="AT131" s="232">
        <f>IF($B131="","",IF($D131="Theo ngày",SUMIFS('CHAM_CONG_NGAY'!$Q$6:$Q$4655,'CHAM_CONG_NGAY'!$B$6:$B$4655,$B131,'CHAM_CONG_NGAY'!$C$6:$C$4655,"&gt;="&amp;'THAM_SO'!$B$6,'CHAM_CONG_NGAY'!$C$6:$C$4655,"&lt;="&amp;'THAM_SO'!$B$7),$AN131))</f>
        <v/>
      </c>
      <c r="AU131" s="232">
        <f>IF($B131="","",IF($D131="Theo ngày",SUMIFS('CHAM_CONG_NGAY'!$R$6:$R$4655,'CHAM_CONG_NGAY'!$B$6:$B$4655,$B131,'CHAM_CONG_NGAY'!$C$6:$C$4655,"&gt;="&amp;'THAM_SO'!$B$6,'CHAM_CONG_NGAY'!$C$6:$C$4655,"&lt;="&amp;'THAM_SO'!$B$7),$AO131))</f>
        <v/>
      </c>
      <c r="AV131" s="232">
        <f>IF($B131="","",IF($D131="Theo ngày",SUMIFS('CHAM_CONG_NGAY'!$S$6:$S$4655,'CHAM_CONG_NGAY'!$B$6:$B$4655,$B131,'CHAM_CONG_NGAY'!$C$6:$C$4655,"&gt;="&amp;'THAM_SO'!$B$6,'CHAM_CONG_NGAY'!$C$6:$C$4655,"&lt;="&amp;'THAM_SO'!$B$7),$AP131))</f>
        <v/>
      </c>
      <c r="AW131" s="232">
        <f>IF($B131="","",IF($D131="Theo ngày",SUMIFS('CHAM_CONG_NGAY'!$T$6:$T$4655,'CHAM_CONG_NGAY'!$B$6:$B$4655,$B131,'CHAM_CONG_NGAY'!$C$6:$C$4655,"&gt;="&amp;'THAM_SO'!$B$6,'CHAM_CONG_NGAY'!$C$6:$C$4655,"&lt;="&amp;'THAM_SO'!$B$7),$AQ131))</f>
        <v/>
      </c>
    </row>
    <row r="132">
      <c r="A132" s="145">
        <f>IF($B132="","",ROW()-5)</f>
        <v/>
      </c>
      <c r="B132" s="145">
        <f>IF('DM_NHAN_SU'!B132="","",'DM_NHAN_SU'!B132)</f>
        <v/>
      </c>
      <c r="C132" s="145">
        <f>IF('DM_NHAN_SU'!B132="","",'DM_NHAN_SU'!C132)</f>
        <v/>
      </c>
      <c r="D132" s="127" t="n"/>
      <c r="E132" s="227" t="n"/>
      <c r="F132" s="227" t="n"/>
      <c r="G132" s="227" t="n"/>
      <c r="H132" s="227" t="n"/>
      <c r="I132" s="227" t="n"/>
      <c r="J132" s="227" t="n"/>
      <c r="K132" s="227" t="n"/>
      <c r="L132" s="227" t="n"/>
      <c r="M132" s="227" t="n"/>
      <c r="N132" s="227" t="n"/>
      <c r="O132" s="222" t="n"/>
      <c r="P132" s="222" t="n"/>
      <c r="Q132" s="222" t="n"/>
      <c r="R132" s="222" t="n"/>
      <c r="S132" s="222" t="n"/>
      <c r="T132" s="222" t="n"/>
      <c r="U132" s="222" t="n"/>
      <c r="V132" s="222" t="n"/>
      <c r="W132" s="222" t="n"/>
      <c r="X132" s="222" t="n"/>
      <c r="Y132" s="222" t="n"/>
      <c r="Z132" s="222" t="n"/>
      <c r="AA132" s="127" t="n"/>
      <c r="AB132" s="127" t="n"/>
      <c r="AC132" s="232">
        <f>IF($B132="","",IF($D132="Theo ngày",SUMIFS('CHAM_CONG_NGAY'!$E$6:$E$4655,'CHAM_CONG_NGAY'!$B$6:$B$4655,$B132,'CHAM_CONG_NGAY'!$C$6:$C$4655,"&gt;="&amp;'THAM_SO'!$B$6,'CHAM_CONG_NGAY'!$C$6:$C$4655,"&lt;="&amp;'THAM_SO'!$B$7),$E132))</f>
        <v/>
      </c>
      <c r="AD132" s="232">
        <f>IF($B132="","",IF($D132="Theo ngày",SUMIFS('CHAM_CONG_NGAY'!$F$6:$F$4655,'CHAM_CONG_NGAY'!$B$6:$B$4655,$B132,'CHAM_CONG_NGAY'!$C$6:$C$4655,"&gt;="&amp;'THAM_SO'!$B$6,'CHAM_CONG_NGAY'!$C$6:$C$4655,"&lt;="&amp;'THAM_SO'!$B$7),$F132))</f>
        <v/>
      </c>
      <c r="AE132" s="232">
        <f>IF($B132="","",IF($D132="Theo ngày",SUMIFS('CHAM_CONG_NGAY'!$G$6:$G$4655,'CHAM_CONG_NGAY'!$B$6:$B$4655,$B132,'CHAM_CONG_NGAY'!$C$6:$C$4655,"&gt;="&amp;'THAM_SO'!$B$6,'CHAM_CONG_NGAY'!$C$6:$C$4655,"&lt;="&amp;'THAM_SO'!$B$7),$G132))</f>
        <v/>
      </c>
      <c r="AF132" s="232">
        <f>IF($B132="","",IF($D132="Theo ngày",SUMIFS('CHAM_CONG_NGAY'!$H$6:$H$4655,'CHAM_CONG_NGAY'!$B$6:$B$4655,$B132,'CHAM_CONG_NGAY'!$C$6:$C$4655,"&gt;="&amp;'THAM_SO'!$B$6,'CHAM_CONG_NGAY'!$C$6:$C$4655,"&lt;="&amp;'THAM_SO'!$B$7),$H132))</f>
        <v/>
      </c>
      <c r="AG132" s="232">
        <f>IF($B132="","",IF($D132="Theo ngày",SUMIFS('CHAM_CONG_NGAY'!$I$6:$I$4655,'CHAM_CONG_NGAY'!$B$6:$B$4655,$B132,'CHAM_CONG_NGAY'!$C$6:$C$4655,"&gt;="&amp;'THAM_SO'!$B$6,'CHAM_CONG_NGAY'!$C$6:$C$4655,"&lt;="&amp;'THAM_SO'!$B$7),$I132))</f>
        <v/>
      </c>
      <c r="AH132" s="232">
        <f>IF($B132="","",IF($D132="Theo ngày",SUMIFS('CHAM_CONG_NGAY'!$J$6:$J$4655,'CHAM_CONG_NGAY'!$B$6:$B$4655,$B132,'CHAM_CONG_NGAY'!$C$6:$C$4655,"&gt;="&amp;'THAM_SO'!$B$6,'CHAM_CONG_NGAY'!$C$6:$C$4655,"&lt;="&amp;'THAM_SO'!$B$7),$J132))</f>
        <v/>
      </c>
      <c r="AI132" s="232">
        <f>IF($B132="","",IF($D132="Theo ngày",SUMIFS('CHAM_CONG_NGAY'!$K$6:$K$4655,'CHAM_CONG_NGAY'!$B$6:$B$4655,$B132,'CHAM_CONG_NGAY'!$C$6:$C$4655,"&gt;="&amp;'THAM_SO'!$B$6,'CHAM_CONG_NGAY'!$C$6:$C$4655,"&lt;="&amp;'THAM_SO'!$B$7),$K132))</f>
        <v/>
      </c>
      <c r="AJ132" s="232">
        <f>IF($B132="","",IF($D132="Theo ngày",SUMIFS('CHAM_CONG_NGAY'!$L$6:$L$4655,'CHAM_CONG_NGAY'!$B$6:$B$4655,$B132,'CHAM_CONG_NGAY'!$C$6:$C$4655,"&gt;="&amp;'THAM_SO'!$B$6,'CHAM_CONG_NGAY'!$C$6:$C$4655,"&lt;="&amp;'THAM_SO'!$B$7),$L132))</f>
        <v/>
      </c>
      <c r="AK132" s="232">
        <f>IF($B132="","",IF($D132="Theo ngày",SUMIFS('CHAM_CONG_NGAY'!$M$6:$M$4655,'CHAM_CONG_NGAY'!$B$6:$B$4655,$B132,'CHAM_CONG_NGAY'!$C$6:$C$4655,"&gt;="&amp;'THAM_SO'!$B$6,'CHAM_CONG_NGAY'!$C$6:$C$4655,"&lt;="&amp;'THAM_SO'!$B$7),$M132))</f>
        <v/>
      </c>
      <c r="AL132" s="227" t="n"/>
      <c r="AM132" s="227" t="n"/>
      <c r="AN132" s="227" t="n"/>
      <c r="AO132" s="227" t="n"/>
      <c r="AP132" s="227" t="n"/>
      <c r="AQ132" s="227" t="n"/>
      <c r="AR132" s="232">
        <f>IF($B132="","",IF($D132="Theo ngày",SUMIFS('CHAM_CONG_NGAY'!$O$6:$O$4655,'CHAM_CONG_NGAY'!$B$6:$B$4655,$B132,'CHAM_CONG_NGAY'!$C$6:$C$4655,"&gt;="&amp;'THAM_SO'!$B$6,'CHAM_CONG_NGAY'!$C$6:$C$4655,"&lt;="&amp;'THAM_SO'!$B$7),$AL132))</f>
        <v/>
      </c>
      <c r="AS132" s="232">
        <f>IF($B132="","",IF($D132="Theo ngày",SUMIFS('CHAM_CONG_NGAY'!$P$6:$P$4655,'CHAM_CONG_NGAY'!$B$6:$B$4655,$B132,'CHAM_CONG_NGAY'!$C$6:$C$4655,"&gt;="&amp;'THAM_SO'!$B$6,'CHAM_CONG_NGAY'!$C$6:$C$4655,"&lt;="&amp;'THAM_SO'!$B$7),$AM132))</f>
        <v/>
      </c>
      <c r="AT132" s="232">
        <f>IF($B132="","",IF($D132="Theo ngày",SUMIFS('CHAM_CONG_NGAY'!$Q$6:$Q$4655,'CHAM_CONG_NGAY'!$B$6:$B$4655,$B132,'CHAM_CONG_NGAY'!$C$6:$C$4655,"&gt;="&amp;'THAM_SO'!$B$6,'CHAM_CONG_NGAY'!$C$6:$C$4655,"&lt;="&amp;'THAM_SO'!$B$7),$AN132))</f>
        <v/>
      </c>
      <c r="AU132" s="232">
        <f>IF($B132="","",IF($D132="Theo ngày",SUMIFS('CHAM_CONG_NGAY'!$R$6:$R$4655,'CHAM_CONG_NGAY'!$B$6:$B$4655,$B132,'CHAM_CONG_NGAY'!$C$6:$C$4655,"&gt;="&amp;'THAM_SO'!$B$6,'CHAM_CONG_NGAY'!$C$6:$C$4655,"&lt;="&amp;'THAM_SO'!$B$7),$AO132))</f>
        <v/>
      </c>
      <c r="AV132" s="232">
        <f>IF($B132="","",IF($D132="Theo ngày",SUMIFS('CHAM_CONG_NGAY'!$S$6:$S$4655,'CHAM_CONG_NGAY'!$B$6:$B$4655,$B132,'CHAM_CONG_NGAY'!$C$6:$C$4655,"&gt;="&amp;'THAM_SO'!$B$6,'CHAM_CONG_NGAY'!$C$6:$C$4655,"&lt;="&amp;'THAM_SO'!$B$7),$AP132))</f>
        <v/>
      </c>
      <c r="AW132" s="232">
        <f>IF($B132="","",IF($D132="Theo ngày",SUMIFS('CHAM_CONG_NGAY'!$T$6:$T$4655,'CHAM_CONG_NGAY'!$B$6:$B$4655,$B132,'CHAM_CONG_NGAY'!$C$6:$C$4655,"&gt;="&amp;'THAM_SO'!$B$6,'CHAM_CONG_NGAY'!$C$6:$C$4655,"&lt;="&amp;'THAM_SO'!$B$7),$AQ132))</f>
        <v/>
      </c>
    </row>
    <row r="133">
      <c r="A133" s="145">
        <f>IF($B133="","",ROW()-5)</f>
        <v/>
      </c>
      <c r="B133" s="145">
        <f>IF('DM_NHAN_SU'!B133="","",'DM_NHAN_SU'!B133)</f>
        <v/>
      </c>
      <c r="C133" s="145">
        <f>IF('DM_NHAN_SU'!B133="","",'DM_NHAN_SU'!C133)</f>
        <v/>
      </c>
      <c r="D133" s="127" t="n"/>
      <c r="E133" s="227" t="n"/>
      <c r="F133" s="227" t="n"/>
      <c r="G133" s="227" t="n"/>
      <c r="H133" s="227" t="n"/>
      <c r="I133" s="227" t="n"/>
      <c r="J133" s="227" t="n"/>
      <c r="K133" s="227" t="n"/>
      <c r="L133" s="227" t="n"/>
      <c r="M133" s="227" t="n"/>
      <c r="N133" s="227" t="n"/>
      <c r="O133" s="222" t="n"/>
      <c r="P133" s="222" t="n"/>
      <c r="Q133" s="222" t="n"/>
      <c r="R133" s="222" t="n"/>
      <c r="S133" s="222" t="n"/>
      <c r="T133" s="222" t="n"/>
      <c r="U133" s="222" t="n"/>
      <c r="V133" s="222" t="n"/>
      <c r="W133" s="222" t="n"/>
      <c r="X133" s="222" t="n"/>
      <c r="Y133" s="222" t="n"/>
      <c r="Z133" s="222" t="n"/>
      <c r="AA133" s="127" t="n"/>
      <c r="AB133" s="127" t="n"/>
      <c r="AC133" s="232">
        <f>IF($B133="","",IF($D133="Theo ngày",SUMIFS('CHAM_CONG_NGAY'!$E$6:$E$4655,'CHAM_CONG_NGAY'!$B$6:$B$4655,$B133,'CHAM_CONG_NGAY'!$C$6:$C$4655,"&gt;="&amp;'THAM_SO'!$B$6,'CHAM_CONG_NGAY'!$C$6:$C$4655,"&lt;="&amp;'THAM_SO'!$B$7),$E133))</f>
        <v/>
      </c>
      <c r="AD133" s="232">
        <f>IF($B133="","",IF($D133="Theo ngày",SUMIFS('CHAM_CONG_NGAY'!$F$6:$F$4655,'CHAM_CONG_NGAY'!$B$6:$B$4655,$B133,'CHAM_CONG_NGAY'!$C$6:$C$4655,"&gt;="&amp;'THAM_SO'!$B$6,'CHAM_CONG_NGAY'!$C$6:$C$4655,"&lt;="&amp;'THAM_SO'!$B$7),$F133))</f>
        <v/>
      </c>
      <c r="AE133" s="232">
        <f>IF($B133="","",IF($D133="Theo ngày",SUMIFS('CHAM_CONG_NGAY'!$G$6:$G$4655,'CHAM_CONG_NGAY'!$B$6:$B$4655,$B133,'CHAM_CONG_NGAY'!$C$6:$C$4655,"&gt;="&amp;'THAM_SO'!$B$6,'CHAM_CONG_NGAY'!$C$6:$C$4655,"&lt;="&amp;'THAM_SO'!$B$7),$G133))</f>
        <v/>
      </c>
      <c r="AF133" s="232">
        <f>IF($B133="","",IF($D133="Theo ngày",SUMIFS('CHAM_CONG_NGAY'!$H$6:$H$4655,'CHAM_CONG_NGAY'!$B$6:$B$4655,$B133,'CHAM_CONG_NGAY'!$C$6:$C$4655,"&gt;="&amp;'THAM_SO'!$B$6,'CHAM_CONG_NGAY'!$C$6:$C$4655,"&lt;="&amp;'THAM_SO'!$B$7),$H133))</f>
        <v/>
      </c>
      <c r="AG133" s="232">
        <f>IF($B133="","",IF($D133="Theo ngày",SUMIFS('CHAM_CONG_NGAY'!$I$6:$I$4655,'CHAM_CONG_NGAY'!$B$6:$B$4655,$B133,'CHAM_CONG_NGAY'!$C$6:$C$4655,"&gt;="&amp;'THAM_SO'!$B$6,'CHAM_CONG_NGAY'!$C$6:$C$4655,"&lt;="&amp;'THAM_SO'!$B$7),$I133))</f>
        <v/>
      </c>
      <c r="AH133" s="232">
        <f>IF($B133="","",IF($D133="Theo ngày",SUMIFS('CHAM_CONG_NGAY'!$J$6:$J$4655,'CHAM_CONG_NGAY'!$B$6:$B$4655,$B133,'CHAM_CONG_NGAY'!$C$6:$C$4655,"&gt;="&amp;'THAM_SO'!$B$6,'CHAM_CONG_NGAY'!$C$6:$C$4655,"&lt;="&amp;'THAM_SO'!$B$7),$J133))</f>
        <v/>
      </c>
      <c r="AI133" s="232">
        <f>IF($B133="","",IF($D133="Theo ngày",SUMIFS('CHAM_CONG_NGAY'!$K$6:$K$4655,'CHAM_CONG_NGAY'!$B$6:$B$4655,$B133,'CHAM_CONG_NGAY'!$C$6:$C$4655,"&gt;="&amp;'THAM_SO'!$B$6,'CHAM_CONG_NGAY'!$C$6:$C$4655,"&lt;="&amp;'THAM_SO'!$B$7),$K133))</f>
        <v/>
      </c>
      <c r="AJ133" s="232">
        <f>IF($B133="","",IF($D133="Theo ngày",SUMIFS('CHAM_CONG_NGAY'!$L$6:$L$4655,'CHAM_CONG_NGAY'!$B$6:$B$4655,$B133,'CHAM_CONG_NGAY'!$C$6:$C$4655,"&gt;="&amp;'THAM_SO'!$B$6,'CHAM_CONG_NGAY'!$C$6:$C$4655,"&lt;="&amp;'THAM_SO'!$B$7),$L133))</f>
        <v/>
      </c>
      <c r="AK133" s="232">
        <f>IF($B133="","",IF($D133="Theo ngày",SUMIFS('CHAM_CONG_NGAY'!$M$6:$M$4655,'CHAM_CONG_NGAY'!$B$6:$B$4655,$B133,'CHAM_CONG_NGAY'!$C$6:$C$4655,"&gt;="&amp;'THAM_SO'!$B$6,'CHAM_CONG_NGAY'!$C$6:$C$4655,"&lt;="&amp;'THAM_SO'!$B$7),$M133))</f>
        <v/>
      </c>
      <c r="AL133" s="227" t="n"/>
      <c r="AM133" s="227" t="n"/>
      <c r="AN133" s="227" t="n"/>
      <c r="AO133" s="227" t="n"/>
      <c r="AP133" s="227" t="n"/>
      <c r="AQ133" s="227" t="n"/>
      <c r="AR133" s="232">
        <f>IF($B133="","",IF($D133="Theo ngày",SUMIFS('CHAM_CONG_NGAY'!$O$6:$O$4655,'CHAM_CONG_NGAY'!$B$6:$B$4655,$B133,'CHAM_CONG_NGAY'!$C$6:$C$4655,"&gt;="&amp;'THAM_SO'!$B$6,'CHAM_CONG_NGAY'!$C$6:$C$4655,"&lt;="&amp;'THAM_SO'!$B$7),$AL133))</f>
        <v/>
      </c>
      <c r="AS133" s="232">
        <f>IF($B133="","",IF($D133="Theo ngày",SUMIFS('CHAM_CONG_NGAY'!$P$6:$P$4655,'CHAM_CONG_NGAY'!$B$6:$B$4655,$B133,'CHAM_CONG_NGAY'!$C$6:$C$4655,"&gt;="&amp;'THAM_SO'!$B$6,'CHAM_CONG_NGAY'!$C$6:$C$4655,"&lt;="&amp;'THAM_SO'!$B$7),$AM133))</f>
        <v/>
      </c>
      <c r="AT133" s="232">
        <f>IF($B133="","",IF($D133="Theo ngày",SUMIFS('CHAM_CONG_NGAY'!$Q$6:$Q$4655,'CHAM_CONG_NGAY'!$B$6:$B$4655,$B133,'CHAM_CONG_NGAY'!$C$6:$C$4655,"&gt;="&amp;'THAM_SO'!$B$6,'CHAM_CONG_NGAY'!$C$6:$C$4655,"&lt;="&amp;'THAM_SO'!$B$7),$AN133))</f>
        <v/>
      </c>
      <c r="AU133" s="232">
        <f>IF($B133="","",IF($D133="Theo ngày",SUMIFS('CHAM_CONG_NGAY'!$R$6:$R$4655,'CHAM_CONG_NGAY'!$B$6:$B$4655,$B133,'CHAM_CONG_NGAY'!$C$6:$C$4655,"&gt;="&amp;'THAM_SO'!$B$6,'CHAM_CONG_NGAY'!$C$6:$C$4655,"&lt;="&amp;'THAM_SO'!$B$7),$AO133))</f>
        <v/>
      </c>
      <c r="AV133" s="232">
        <f>IF($B133="","",IF($D133="Theo ngày",SUMIFS('CHAM_CONG_NGAY'!$S$6:$S$4655,'CHAM_CONG_NGAY'!$B$6:$B$4655,$B133,'CHAM_CONG_NGAY'!$C$6:$C$4655,"&gt;="&amp;'THAM_SO'!$B$6,'CHAM_CONG_NGAY'!$C$6:$C$4655,"&lt;="&amp;'THAM_SO'!$B$7),$AP133))</f>
        <v/>
      </c>
      <c r="AW133" s="232">
        <f>IF($B133="","",IF($D133="Theo ngày",SUMIFS('CHAM_CONG_NGAY'!$T$6:$T$4655,'CHAM_CONG_NGAY'!$B$6:$B$4655,$B133,'CHAM_CONG_NGAY'!$C$6:$C$4655,"&gt;="&amp;'THAM_SO'!$B$6,'CHAM_CONG_NGAY'!$C$6:$C$4655,"&lt;="&amp;'THAM_SO'!$B$7),$AQ133))</f>
        <v/>
      </c>
    </row>
    <row r="134">
      <c r="A134" s="145">
        <f>IF($B134="","",ROW()-5)</f>
        <v/>
      </c>
      <c r="B134" s="145">
        <f>IF('DM_NHAN_SU'!B134="","",'DM_NHAN_SU'!B134)</f>
        <v/>
      </c>
      <c r="C134" s="145">
        <f>IF('DM_NHAN_SU'!B134="","",'DM_NHAN_SU'!C134)</f>
        <v/>
      </c>
      <c r="D134" s="127" t="n"/>
      <c r="E134" s="227" t="n"/>
      <c r="F134" s="227" t="n"/>
      <c r="G134" s="227" t="n"/>
      <c r="H134" s="227" t="n"/>
      <c r="I134" s="227" t="n"/>
      <c r="J134" s="227" t="n"/>
      <c r="K134" s="227" t="n"/>
      <c r="L134" s="227" t="n"/>
      <c r="M134" s="227" t="n"/>
      <c r="N134" s="227" t="n"/>
      <c r="O134" s="222" t="n"/>
      <c r="P134" s="222" t="n"/>
      <c r="Q134" s="222" t="n"/>
      <c r="R134" s="222" t="n"/>
      <c r="S134" s="222" t="n"/>
      <c r="T134" s="222" t="n"/>
      <c r="U134" s="222" t="n"/>
      <c r="V134" s="222" t="n"/>
      <c r="W134" s="222" t="n"/>
      <c r="X134" s="222" t="n"/>
      <c r="Y134" s="222" t="n"/>
      <c r="Z134" s="222" t="n"/>
      <c r="AA134" s="127" t="n"/>
      <c r="AB134" s="127" t="n"/>
      <c r="AC134" s="232">
        <f>IF($B134="","",IF($D134="Theo ngày",SUMIFS('CHAM_CONG_NGAY'!$E$6:$E$4655,'CHAM_CONG_NGAY'!$B$6:$B$4655,$B134,'CHAM_CONG_NGAY'!$C$6:$C$4655,"&gt;="&amp;'THAM_SO'!$B$6,'CHAM_CONG_NGAY'!$C$6:$C$4655,"&lt;="&amp;'THAM_SO'!$B$7),$E134))</f>
        <v/>
      </c>
      <c r="AD134" s="232">
        <f>IF($B134="","",IF($D134="Theo ngày",SUMIFS('CHAM_CONG_NGAY'!$F$6:$F$4655,'CHAM_CONG_NGAY'!$B$6:$B$4655,$B134,'CHAM_CONG_NGAY'!$C$6:$C$4655,"&gt;="&amp;'THAM_SO'!$B$6,'CHAM_CONG_NGAY'!$C$6:$C$4655,"&lt;="&amp;'THAM_SO'!$B$7),$F134))</f>
        <v/>
      </c>
      <c r="AE134" s="232">
        <f>IF($B134="","",IF($D134="Theo ngày",SUMIFS('CHAM_CONG_NGAY'!$G$6:$G$4655,'CHAM_CONG_NGAY'!$B$6:$B$4655,$B134,'CHAM_CONG_NGAY'!$C$6:$C$4655,"&gt;="&amp;'THAM_SO'!$B$6,'CHAM_CONG_NGAY'!$C$6:$C$4655,"&lt;="&amp;'THAM_SO'!$B$7),$G134))</f>
        <v/>
      </c>
      <c r="AF134" s="232">
        <f>IF($B134="","",IF($D134="Theo ngày",SUMIFS('CHAM_CONG_NGAY'!$H$6:$H$4655,'CHAM_CONG_NGAY'!$B$6:$B$4655,$B134,'CHAM_CONG_NGAY'!$C$6:$C$4655,"&gt;="&amp;'THAM_SO'!$B$6,'CHAM_CONG_NGAY'!$C$6:$C$4655,"&lt;="&amp;'THAM_SO'!$B$7),$H134))</f>
        <v/>
      </c>
      <c r="AG134" s="232">
        <f>IF($B134="","",IF($D134="Theo ngày",SUMIFS('CHAM_CONG_NGAY'!$I$6:$I$4655,'CHAM_CONG_NGAY'!$B$6:$B$4655,$B134,'CHAM_CONG_NGAY'!$C$6:$C$4655,"&gt;="&amp;'THAM_SO'!$B$6,'CHAM_CONG_NGAY'!$C$6:$C$4655,"&lt;="&amp;'THAM_SO'!$B$7),$I134))</f>
        <v/>
      </c>
      <c r="AH134" s="232">
        <f>IF($B134="","",IF($D134="Theo ngày",SUMIFS('CHAM_CONG_NGAY'!$J$6:$J$4655,'CHAM_CONG_NGAY'!$B$6:$B$4655,$B134,'CHAM_CONG_NGAY'!$C$6:$C$4655,"&gt;="&amp;'THAM_SO'!$B$6,'CHAM_CONG_NGAY'!$C$6:$C$4655,"&lt;="&amp;'THAM_SO'!$B$7),$J134))</f>
        <v/>
      </c>
      <c r="AI134" s="232">
        <f>IF($B134="","",IF($D134="Theo ngày",SUMIFS('CHAM_CONG_NGAY'!$K$6:$K$4655,'CHAM_CONG_NGAY'!$B$6:$B$4655,$B134,'CHAM_CONG_NGAY'!$C$6:$C$4655,"&gt;="&amp;'THAM_SO'!$B$6,'CHAM_CONG_NGAY'!$C$6:$C$4655,"&lt;="&amp;'THAM_SO'!$B$7),$K134))</f>
        <v/>
      </c>
      <c r="AJ134" s="232">
        <f>IF($B134="","",IF($D134="Theo ngày",SUMIFS('CHAM_CONG_NGAY'!$L$6:$L$4655,'CHAM_CONG_NGAY'!$B$6:$B$4655,$B134,'CHAM_CONG_NGAY'!$C$6:$C$4655,"&gt;="&amp;'THAM_SO'!$B$6,'CHAM_CONG_NGAY'!$C$6:$C$4655,"&lt;="&amp;'THAM_SO'!$B$7),$L134))</f>
        <v/>
      </c>
      <c r="AK134" s="232">
        <f>IF($B134="","",IF($D134="Theo ngày",SUMIFS('CHAM_CONG_NGAY'!$M$6:$M$4655,'CHAM_CONG_NGAY'!$B$6:$B$4655,$B134,'CHAM_CONG_NGAY'!$C$6:$C$4655,"&gt;="&amp;'THAM_SO'!$B$6,'CHAM_CONG_NGAY'!$C$6:$C$4655,"&lt;="&amp;'THAM_SO'!$B$7),$M134))</f>
        <v/>
      </c>
      <c r="AL134" s="227" t="n"/>
      <c r="AM134" s="227" t="n"/>
      <c r="AN134" s="227" t="n"/>
      <c r="AO134" s="227" t="n"/>
      <c r="AP134" s="227" t="n"/>
      <c r="AQ134" s="227" t="n"/>
      <c r="AR134" s="232">
        <f>IF($B134="","",IF($D134="Theo ngày",SUMIFS('CHAM_CONG_NGAY'!$O$6:$O$4655,'CHAM_CONG_NGAY'!$B$6:$B$4655,$B134,'CHAM_CONG_NGAY'!$C$6:$C$4655,"&gt;="&amp;'THAM_SO'!$B$6,'CHAM_CONG_NGAY'!$C$6:$C$4655,"&lt;="&amp;'THAM_SO'!$B$7),$AL134))</f>
        <v/>
      </c>
      <c r="AS134" s="232">
        <f>IF($B134="","",IF($D134="Theo ngày",SUMIFS('CHAM_CONG_NGAY'!$P$6:$P$4655,'CHAM_CONG_NGAY'!$B$6:$B$4655,$B134,'CHAM_CONG_NGAY'!$C$6:$C$4655,"&gt;="&amp;'THAM_SO'!$B$6,'CHAM_CONG_NGAY'!$C$6:$C$4655,"&lt;="&amp;'THAM_SO'!$B$7),$AM134))</f>
        <v/>
      </c>
      <c r="AT134" s="232">
        <f>IF($B134="","",IF($D134="Theo ngày",SUMIFS('CHAM_CONG_NGAY'!$Q$6:$Q$4655,'CHAM_CONG_NGAY'!$B$6:$B$4655,$B134,'CHAM_CONG_NGAY'!$C$6:$C$4655,"&gt;="&amp;'THAM_SO'!$B$6,'CHAM_CONG_NGAY'!$C$6:$C$4655,"&lt;="&amp;'THAM_SO'!$B$7),$AN134))</f>
        <v/>
      </c>
      <c r="AU134" s="232">
        <f>IF($B134="","",IF($D134="Theo ngày",SUMIFS('CHAM_CONG_NGAY'!$R$6:$R$4655,'CHAM_CONG_NGAY'!$B$6:$B$4655,$B134,'CHAM_CONG_NGAY'!$C$6:$C$4655,"&gt;="&amp;'THAM_SO'!$B$6,'CHAM_CONG_NGAY'!$C$6:$C$4655,"&lt;="&amp;'THAM_SO'!$B$7),$AO134))</f>
        <v/>
      </c>
      <c r="AV134" s="232">
        <f>IF($B134="","",IF($D134="Theo ngày",SUMIFS('CHAM_CONG_NGAY'!$S$6:$S$4655,'CHAM_CONG_NGAY'!$B$6:$B$4655,$B134,'CHAM_CONG_NGAY'!$C$6:$C$4655,"&gt;="&amp;'THAM_SO'!$B$6,'CHAM_CONG_NGAY'!$C$6:$C$4655,"&lt;="&amp;'THAM_SO'!$B$7),$AP134))</f>
        <v/>
      </c>
      <c r="AW134" s="232">
        <f>IF($B134="","",IF($D134="Theo ngày",SUMIFS('CHAM_CONG_NGAY'!$T$6:$T$4655,'CHAM_CONG_NGAY'!$B$6:$B$4655,$B134,'CHAM_CONG_NGAY'!$C$6:$C$4655,"&gt;="&amp;'THAM_SO'!$B$6,'CHAM_CONG_NGAY'!$C$6:$C$4655,"&lt;="&amp;'THAM_SO'!$B$7),$AQ134))</f>
        <v/>
      </c>
    </row>
    <row r="135">
      <c r="A135" s="145">
        <f>IF($B135="","",ROW()-5)</f>
        <v/>
      </c>
      <c r="B135" s="145">
        <f>IF('DM_NHAN_SU'!B135="","",'DM_NHAN_SU'!B135)</f>
        <v/>
      </c>
      <c r="C135" s="145">
        <f>IF('DM_NHAN_SU'!B135="","",'DM_NHAN_SU'!C135)</f>
        <v/>
      </c>
      <c r="D135" s="127" t="n"/>
      <c r="E135" s="227" t="n"/>
      <c r="F135" s="227" t="n"/>
      <c r="G135" s="227" t="n"/>
      <c r="H135" s="227" t="n"/>
      <c r="I135" s="227" t="n"/>
      <c r="J135" s="227" t="n"/>
      <c r="K135" s="227" t="n"/>
      <c r="L135" s="227" t="n"/>
      <c r="M135" s="227" t="n"/>
      <c r="N135" s="227" t="n"/>
      <c r="O135" s="222" t="n"/>
      <c r="P135" s="222" t="n"/>
      <c r="Q135" s="222" t="n"/>
      <c r="R135" s="222" t="n"/>
      <c r="S135" s="222" t="n"/>
      <c r="T135" s="222" t="n"/>
      <c r="U135" s="222" t="n"/>
      <c r="V135" s="222" t="n"/>
      <c r="W135" s="222" t="n"/>
      <c r="X135" s="222" t="n"/>
      <c r="Y135" s="222" t="n"/>
      <c r="Z135" s="222" t="n"/>
      <c r="AA135" s="127" t="n"/>
      <c r="AB135" s="127" t="n"/>
      <c r="AC135" s="232">
        <f>IF($B135="","",IF($D135="Theo ngày",SUMIFS('CHAM_CONG_NGAY'!$E$6:$E$4655,'CHAM_CONG_NGAY'!$B$6:$B$4655,$B135,'CHAM_CONG_NGAY'!$C$6:$C$4655,"&gt;="&amp;'THAM_SO'!$B$6,'CHAM_CONG_NGAY'!$C$6:$C$4655,"&lt;="&amp;'THAM_SO'!$B$7),$E135))</f>
        <v/>
      </c>
      <c r="AD135" s="232">
        <f>IF($B135="","",IF($D135="Theo ngày",SUMIFS('CHAM_CONG_NGAY'!$F$6:$F$4655,'CHAM_CONG_NGAY'!$B$6:$B$4655,$B135,'CHAM_CONG_NGAY'!$C$6:$C$4655,"&gt;="&amp;'THAM_SO'!$B$6,'CHAM_CONG_NGAY'!$C$6:$C$4655,"&lt;="&amp;'THAM_SO'!$B$7),$F135))</f>
        <v/>
      </c>
      <c r="AE135" s="232">
        <f>IF($B135="","",IF($D135="Theo ngày",SUMIFS('CHAM_CONG_NGAY'!$G$6:$G$4655,'CHAM_CONG_NGAY'!$B$6:$B$4655,$B135,'CHAM_CONG_NGAY'!$C$6:$C$4655,"&gt;="&amp;'THAM_SO'!$B$6,'CHAM_CONG_NGAY'!$C$6:$C$4655,"&lt;="&amp;'THAM_SO'!$B$7),$G135))</f>
        <v/>
      </c>
      <c r="AF135" s="232">
        <f>IF($B135="","",IF($D135="Theo ngày",SUMIFS('CHAM_CONG_NGAY'!$H$6:$H$4655,'CHAM_CONG_NGAY'!$B$6:$B$4655,$B135,'CHAM_CONG_NGAY'!$C$6:$C$4655,"&gt;="&amp;'THAM_SO'!$B$6,'CHAM_CONG_NGAY'!$C$6:$C$4655,"&lt;="&amp;'THAM_SO'!$B$7),$H135))</f>
        <v/>
      </c>
      <c r="AG135" s="232">
        <f>IF($B135="","",IF($D135="Theo ngày",SUMIFS('CHAM_CONG_NGAY'!$I$6:$I$4655,'CHAM_CONG_NGAY'!$B$6:$B$4655,$B135,'CHAM_CONG_NGAY'!$C$6:$C$4655,"&gt;="&amp;'THAM_SO'!$B$6,'CHAM_CONG_NGAY'!$C$6:$C$4655,"&lt;="&amp;'THAM_SO'!$B$7),$I135))</f>
        <v/>
      </c>
      <c r="AH135" s="232">
        <f>IF($B135="","",IF($D135="Theo ngày",SUMIFS('CHAM_CONG_NGAY'!$J$6:$J$4655,'CHAM_CONG_NGAY'!$B$6:$B$4655,$B135,'CHAM_CONG_NGAY'!$C$6:$C$4655,"&gt;="&amp;'THAM_SO'!$B$6,'CHAM_CONG_NGAY'!$C$6:$C$4655,"&lt;="&amp;'THAM_SO'!$B$7),$J135))</f>
        <v/>
      </c>
      <c r="AI135" s="232">
        <f>IF($B135="","",IF($D135="Theo ngày",SUMIFS('CHAM_CONG_NGAY'!$K$6:$K$4655,'CHAM_CONG_NGAY'!$B$6:$B$4655,$B135,'CHAM_CONG_NGAY'!$C$6:$C$4655,"&gt;="&amp;'THAM_SO'!$B$6,'CHAM_CONG_NGAY'!$C$6:$C$4655,"&lt;="&amp;'THAM_SO'!$B$7),$K135))</f>
        <v/>
      </c>
      <c r="AJ135" s="232">
        <f>IF($B135="","",IF($D135="Theo ngày",SUMIFS('CHAM_CONG_NGAY'!$L$6:$L$4655,'CHAM_CONG_NGAY'!$B$6:$B$4655,$B135,'CHAM_CONG_NGAY'!$C$6:$C$4655,"&gt;="&amp;'THAM_SO'!$B$6,'CHAM_CONG_NGAY'!$C$6:$C$4655,"&lt;="&amp;'THAM_SO'!$B$7),$L135))</f>
        <v/>
      </c>
      <c r="AK135" s="232">
        <f>IF($B135="","",IF($D135="Theo ngày",SUMIFS('CHAM_CONG_NGAY'!$M$6:$M$4655,'CHAM_CONG_NGAY'!$B$6:$B$4655,$B135,'CHAM_CONG_NGAY'!$C$6:$C$4655,"&gt;="&amp;'THAM_SO'!$B$6,'CHAM_CONG_NGAY'!$C$6:$C$4655,"&lt;="&amp;'THAM_SO'!$B$7),$M135))</f>
        <v/>
      </c>
      <c r="AL135" s="227" t="n"/>
      <c r="AM135" s="227" t="n"/>
      <c r="AN135" s="227" t="n"/>
      <c r="AO135" s="227" t="n"/>
      <c r="AP135" s="227" t="n"/>
      <c r="AQ135" s="227" t="n"/>
      <c r="AR135" s="232">
        <f>IF($B135="","",IF($D135="Theo ngày",SUMIFS('CHAM_CONG_NGAY'!$O$6:$O$4655,'CHAM_CONG_NGAY'!$B$6:$B$4655,$B135,'CHAM_CONG_NGAY'!$C$6:$C$4655,"&gt;="&amp;'THAM_SO'!$B$6,'CHAM_CONG_NGAY'!$C$6:$C$4655,"&lt;="&amp;'THAM_SO'!$B$7),$AL135))</f>
        <v/>
      </c>
      <c r="AS135" s="232">
        <f>IF($B135="","",IF($D135="Theo ngày",SUMIFS('CHAM_CONG_NGAY'!$P$6:$P$4655,'CHAM_CONG_NGAY'!$B$6:$B$4655,$B135,'CHAM_CONG_NGAY'!$C$6:$C$4655,"&gt;="&amp;'THAM_SO'!$B$6,'CHAM_CONG_NGAY'!$C$6:$C$4655,"&lt;="&amp;'THAM_SO'!$B$7),$AM135))</f>
        <v/>
      </c>
      <c r="AT135" s="232">
        <f>IF($B135="","",IF($D135="Theo ngày",SUMIFS('CHAM_CONG_NGAY'!$Q$6:$Q$4655,'CHAM_CONG_NGAY'!$B$6:$B$4655,$B135,'CHAM_CONG_NGAY'!$C$6:$C$4655,"&gt;="&amp;'THAM_SO'!$B$6,'CHAM_CONG_NGAY'!$C$6:$C$4655,"&lt;="&amp;'THAM_SO'!$B$7),$AN135))</f>
        <v/>
      </c>
      <c r="AU135" s="232">
        <f>IF($B135="","",IF($D135="Theo ngày",SUMIFS('CHAM_CONG_NGAY'!$R$6:$R$4655,'CHAM_CONG_NGAY'!$B$6:$B$4655,$B135,'CHAM_CONG_NGAY'!$C$6:$C$4655,"&gt;="&amp;'THAM_SO'!$B$6,'CHAM_CONG_NGAY'!$C$6:$C$4655,"&lt;="&amp;'THAM_SO'!$B$7),$AO135))</f>
        <v/>
      </c>
      <c r="AV135" s="232">
        <f>IF($B135="","",IF($D135="Theo ngày",SUMIFS('CHAM_CONG_NGAY'!$S$6:$S$4655,'CHAM_CONG_NGAY'!$B$6:$B$4655,$B135,'CHAM_CONG_NGAY'!$C$6:$C$4655,"&gt;="&amp;'THAM_SO'!$B$6,'CHAM_CONG_NGAY'!$C$6:$C$4655,"&lt;="&amp;'THAM_SO'!$B$7),$AP135))</f>
        <v/>
      </c>
      <c r="AW135" s="232">
        <f>IF($B135="","",IF($D135="Theo ngày",SUMIFS('CHAM_CONG_NGAY'!$T$6:$T$4655,'CHAM_CONG_NGAY'!$B$6:$B$4655,$B135,'CHAM_CONG_NGAY'!$C$6:$C$4655,"&gt;="&amp;'THAM_SO'!$B$6,'CHAM_CONG_NGAY'!$C$6:$C$4655,"&lt;="&amp;'THAM_SO'!$B$7),$AQ135))</f>
        <v/>
      </c>
    </row>
    <row r="136">
      <c r="A136" s="145">
        <f>IF($B136="","",ROW()-5)</f>
        <v/>
      </c>
      <c r="B136" s="145">
        <f>IF('DM_NHAN_SU'!B136="","",'DM_NHAN_SU'!B136)</f>
        <v/>
      </c>
      <c r="C136" s="145">
        <f>IF('DM_NHAN_SU'!B136="","",'DM_NHAN_SU'!C136)</f>
        <v/>
      </c>
      <c r="D136" s="127" t="n"/>
      <c r="E136" s="227" t="n"/>
      <c r="F136" s="227" t="n"/>
      <c r="G136" s="227" t="n"/>
      <c r="H136" s="227" t="n"/>
      <c r="I136" s="227" t="n"/>
      <c r="J136" s="227" t="n"/>
      <c r="K136" s="227" t="n"/>
      <c r="L136" s="227" t="n"/>
      <c r="M136" s="227" t="n"/>
      <c r="N136" s="227" t="n"/>
      <c r="O136" s="222" t="n"/>
      <c r="P136" s="222" t="n"/>
      <c r="Q136" s="222" t="n"/>
      <c r="R136" s="222" t="n"/>
      <c r="S136" s="222" t="n"/>
      <c r="T136" s="222" t="n"/>
      <c r="U136" s="222" t="n"/>
      <c r="V136" s="222" t="n"/>
      <c r="W136" s="222" t="n"/>
      <c r="X136" s="222" t="n"/>
      <c r="Y136" s="222" t="n"/>
      <c r="Z136" s="222" t="n"/>
      <c r="AA136" s="127" t="n"/>
      <c r="AB136" s="127" t="n"/>
      <c r="AC136" s="232">
        <f>IF($B136="","",IF($D136="Theo ngày",SUMIFS('CHAM_CONG_NGAY'!$E$6:$E$4655,'CHAM_CONG_NGAY'!$B$6:$B$4655,$B136,'CHAM_CONG_NGAY'!$C$6:$C$4655,"&gt;="&amp;'THAM_SO'!$B$6,'CHAM_CONG_NGAY'!$C$6:$C$4655,"&lt;="&amp;'THAM_SO'!$B$7),$E136))</f>
        <v/>
      </c>
      <c r="AD136" s="232">
        <f>IF($B136="","",IF($D136="Theo ngày",SUMIFS('CHAM_CONG_NGAY'!$F$6:$F$4655,'CHAM_CONG_NGAY'!$B$6:$B$4655,$B136,'CHAM_CONG_NGAY'!$C$6:$C$4655,"&gt;="&amp;'THAM_SO'!$B$6,'CHAM_CONG_NGAY'!$C$6:$C$4655,"&lt;="&amp;'THAM_SO'!$B$7),$F136))</f>
        <v/>
      </c>
      <c r="AE136" s="232">
        <f>IF($B136="","",IF($D136="Theo ngày",SUMIFS('CHAM_CONG_NGAY'!$G$6:$G$4655,'CHAM_CONG_NGAY'!$B$6:$B$4655,$B136,'CHAM_CONG_NGAY'!$C$6:$C$4655,"&gt;="&amp;'THAM_SO'!$B$6,'CHAM_CONG_NGAY'!$C$6:$C$4655,"&lt;="&amp;'THAM_SO'!$B$7),$G136))</f>
        <v/>
      </c>
      <c r="AF136" s="232">
        <f>IF($B136="","",IF($D136="Theo ngày",SUMIFS('CHAM_CONG_NGAY'!$H$6:$H$4655,'CHAM_CONG_NGAY'!$B$6:$B$4655,$B136,'CHAM_CONG_NGAY'!$C$6:$C$4655,"&gt;="&amp;'THAM_SO'!$B$6,'CHAM_CONG_NGAY'!$C$6:$C$4655,"&lt;="&amp;'THAM_SO'!$B$7),$H136))</f>
        <v/>
      </c>
      <c r="AG136" s="232">
        <f>IF($B136="","",IF($D136="Theo ngày",SUMIFS('CHAM_CONG_NGAY'!$I$6:$I$4655,'CHAM_CONG_NGAY'!$B$6:$B$4655,$B136,'CHAM_CONG_NGAY'!$C$6:$C$4655,"&gt;="&amp;'THAM_SO'!$B$6,'CHAM_CONG_NGAY'!$C$6:$C$4655,"&lt;="&amp;'THAM_SO'!$B$7),$I136))</f>
        <v/>
      </c>
      <c r="AH136" s="232">
        <f>IF($B136="","",IF($D136="Theo ngày",SUMIFS('CHAM_CONG_NGAY'!$J$6:$J$4655,'CHAM_CONG_NGAY'!$B$6:$B$4655,$B136,'CHAM_CONG_NGAY'!$C$6:$C$4655,"&gt;="&amp;'THAM_SO'!$B$6,'CHAM_CONG_NGAY'!$C$6:$C$4655,"&lt;="&amp;'THAM_SO'!$B$7),$J136))</f>
        <v/>
      </c>
      <c r="AI136" s="232">
        <f>IF($B136="","",IF($D136="Theo ngày",SUMIFS('CHAM_CONG_NGAY'!$K$6:$K$4655,'CHAM_CONG_NGAY'!$B$6:$B$4655,$B136,'CHAM_CONG_NGAY'!$C$6:$C$4655,"&gt;="&amp;'THAM_SO'!$B$6,'CHAM_CONG_NGAY'!$C$6:$C$4655,"&lt;="&amp;'THAM_SO'!$B$7),$K136))</f>
        <v/>
      </c>
      <c r="AJ136" s="232">
        <f>IF($B136="","",IF($D136="Theo ngày",SUMIFS('CHAM_CONG_NGAY'!$L$6:$L$4655,'CHAM_CONG_NGAY'!$B$6:$B$4655,$B136,'CHAM_CONG_NGAY'!$C$6:$C$4655,"&gt;="&amp;'THAM_SO'!$B$6,'CHAM_CONG_NGAY'!$C$6:$C$4655,"&lt;="&amp;'THAM_SO'!$B$7),$L136))</f>
        <v/>
      </c>
      <c r="AK136" s="232">
        <f>IF($B136="","",IF($D136="Theo ngày",SUMIFS('CHAM_CONG_NGAY'!$M$6:$M$4655,'CHAM_CONG_NGAY'!$B$6:$B$4655,$B136,'CHAM_CONG_NGAY'!$C$6:$C$4655,"&gt;="&amp;'THAM_SO'!$B$6,'CHAM_CONG_NGAY'!$C$6:$C$4655,"&lt;="&amp;'THAM_SO'!$B$7),$M136))</f>
        <v/>
      </c>
      <c r="AL136" s="227" t="n"/>
      <c r="AM136" s="227" t="n"/>
      <c r="AN136" s="227" t="n"/>
      <c r="AO136" s="227" t="n"/>
      <c r="AP136" s="227" t="n"/>
      <c r="AQ136" s="227" t="n"/>
      <c r="AR136" s="232">
        <f>IF($B136="","",IF($D136="Theo ngày",SUMIFS('CHAM_CONG_NGAY'!$O$6:$O$4655,'CHAM_CONG_NGAY'!$B$6:$B$4655,$B136,'CHAM_CONG_NGAY'!$C$6:$C$4655,"&gt;="&amp;'THAM_SO'!$B$6,'CHAM_CONG_NGAY'!$C$6:$C$4655,"&lt;="&amp;'THAM_SO'!$B$7),$AL136))</f>
        <v/>
      </c>
      <c r="AS136" s="232">
        <f>IF($B136="","",IF($D136="Theo ngày",SUMIFS('CHAM_CONG_NGAY'!$P$6:$P$4655,'CHAM_CONG_NGAY'!$B$6:$B$4655,$B136,'CHAM_CONG_NGAY'!$C$6:$C$4655,"&gt;="&amp;'THAM_SO'!$B$6,'CHAM_CONG_NGAY'!$C$6:$C$4655,"&lt;="&amp;'THAM_SO'!$B$7),$AM136))</f>
        <v/>
      </c>
      <c r="AT136" s="232">
        <f>IF($B136="","",IF($D136="Theo ngày",SUMIFS('CHAM_CONG_NGAY'!$Q$6:$Q$4655,'CHAM_CONG_NGAY'!$B$6:$B$4655,$B136,'CHAM_CONG_NGAY'!$C$6:$C$4655,"&gt;="&amp;'THAM_SO'!$B$6,'CHAM_CONG_NGAY'!$C$6:$C$4655,"&lt;="&amp;'THAM_SO'!$B$7),$AN136))</f>
        <v/>
      </c>
      <c r="AU136" s="232">
        <f>IF($B136="","",IF($D136="Theo ngày",SUMIFS('CHAM_CONG_NGAY'!$R$6:$R$4655,'CHAM_CONG_NGAY'!$B$6:$B$4655,$B136,'CHAM_CONG_NGAY'!$C$6:$C$4655,"&gt;="&amp;'THAM_SO'!$B$6,'CHAM_CONG_NGAY'!$C$6:$C$4655,"&lt;="&amp;'THAM_SO'!$B$7),$AO136))</f>
        <v/>
      </c>
      <c r="AV136" s="232">
        <f>IF($B136="","",IF($D136="Theo ngày",SUMIFS('CHAM_CONG_NGAY'!$S$6:$S$4655,'CHAM_CONG_NGAY'!$B$6:$B$4655,$B136,'CHAM_CONG_NGAY'!$C$6:$C$4655,"&gt;="&amp;'THAM_SO'!$B$6,'CHAM_CONG_NGAY'!$C$6:$C$4655,"&lt;="&amp;'THAM_SO'!$B$7),$AP136))</f>
        <v/>
      </c>
      <c r="AW136" s="232">
        <f>IF($B136="","",IF($D136="Theo ngày",SUMIFS('CHAM_CONG_NGAY'!$T$6:$T$4655,'CHAM_CONG_NGAY'!$B$6:$B$4655,$B136,'CHAM_CONG_NGAY'!$C$6:$C$4655,"&gt;="&amp;'THAM_SO'!$B$6,'CHAM_CONG_NGAY'!$C$6:$C$4655,"&lt;="&amp;'THAM_SO'!$B$7),$AQ136))</f>
        <v/>
      </c>
    </row>
    <row r="137">
      <c r="A137" s="145">
        <f>IF($B137="","",ROW()-5)</f>
        <v/>
      </c>
      <c r="B137" s="145">
        <f>IF('DM_NHAN_SU'!B137="","",'DM_NHAN_SU'!B137)</f>
        <v/>
      </c>
      <c r="C137" s="145">
        <f>IF('DM_NHAN_SU'!B137="","",'DM_NHAN_SU'!C137)</f>
        <v/>
      </c>
      <c r="D137" s="127" t="n"/>
      <c r="E137" s="227" t="n"/>
      <c r="F137" s="227" t="n"/>
      <c r="G137" s="227" t="n"/>
      <c r="H137" s="227" t="n"/>
      <c r="I137" s="227" t="n"/>
      <c r="J137" s="227" t="n"/>
      <c r="K137" s="227" t="n"/>
      <c r="L137" s="227" t="n"/>
      <c r="M137" s="227" t="n"/>
      <c r="N137" s="227" t="n"/>
      <c r="O137" s="222" t="n"/>
      <c r="P137" s="222" t="n"/>
      <c r="Q137" s="222" t="n"/>
      <c r="R137" s="222" t="n"/>
      <c r="S137" s="222" t="n"/>
      <c r="T137" s="222" t="n"/>
      <c r="U137" s="222" t="n"/>
      <c r="V137" s="222" t="n"/>
      <c r="W137" s="222" t="n"/>
      <c r="X137" s="222" t="n"/>
      <c r="Y137" s="222" t="n"/>
      <c r="Z137" s="222" t="n"/>
      <c r="AA137" s="127" t="n"/>
      <c r="AB137" s="127" t="n"/>
      <c r="AC137" s="232">
        <f>IF($B137="","",IF($D137="Theo ngày",SUMIFS('CHAM_CONG_NGAY'!$E$6:$E$4655,'CHAM_CONG_NGAY'!$B$6:$B$4655,$B137,'CHAM_CONG_NGAY'!$C$6:$C$4655,"&gt;="&amp;'THAM_SO'!$B$6,'CHAM_CONG_NGAY'!$C$6:$C$4655,"&lt;="&amp;'THAM_SO'!$B$7),$E137))</f>
        <v/>
      </c>
      <c r="AD137" s="232">
        <f>IF($B137="","",IF($D137="Theo ngày",SUMIFS('CHAM_CONG_NGAY'!$F$6:$F$4655,'CHAM_CONG_NGAY'!$B$6:$B$4655,$B137,'CHAM_CONG_NGAY'!$C$6:$C$4655,"&gt;="&amp;'THAM_SO'!$B$6,'CHAM_CONG_NGAY'!$C$6:$C$4655,"&lt;="&amp;'THAM_SO'!$B$7),$F137))</f>
        <v/>
      </c>
      <c r="AE137" s="232">
        <f>IF($B137="","",IF($D137="Theo ngày",SUMIFS('CHAM_CONG_NGAY'!$G$6:$G$4655,'CHAM_CONG_NGAY'!$B$6:$B$4655,$B137,'CHAM_CONG_NGAY'!$C$6:$C$4655,"&gt;="&amp;'THAM_SO'!$B$6,'CHAM_CONG_NGAY'!$C$6:$C$4655,"&lt;="&amp;'THAM_SO'!$B$7),$G137))</f>
        <v/>
      </c>
      <c r="AF137" s="232">
        <f>IF($B137="","",IF($D137="Theo ngày",SUMIFS('CHAM_CONG_NGAY'!$H$6:$H$4655,'CHAM_CONG_NGAY'!$B$6:$B$4655,$B137,'CHAM_CONG_NGAY'!$C$6:$C$4655,"&gt;="&amp;'THAM_SO'!$B$6,'CHAM_CONG_NGAY'!$C$6:$C$4655,"&lt;="&amp;'THAM_SO'!$B$7),$H137))</f>
        <v/>
      </c>
      <c r="AG137" s="232">
        <f>IF($B137="","",IF($D137="Theo ngày",SUMIFS('CHAM_CONG_NGAY'!$I$6:$I$4655,'CHAM_CONG_NGAY'!$B$6:$B$4655,$B137,'CHAM_CONG_NGAY'!$C$6:$C$4655,"&gt;="&amp;'THAM_SO'!$B$6,'CHAM_CONG_NGAY'!$C$6:$C$4655,"&lt;="&amp;'THAM_SO'!$B$7),$I137))</f>
        <v/>
      </c>
      <c r="AH137" s="232">
        <f>IF($B137="","",IF($D137="Theo ngày",SUMIFS('CHAM_CONG_NGAY'!$J$6:$J$4655,'CHAM_CONG_NGAY'!$B$6:$B$4655,$B137,'CHAM_CONG_NGAY'!$C$6:$C$4655,"&gt;="&amp;'THAM_SO'!$B$6,'CHAM_CONG_NGAY'!$C$6:$C$4655,"&lt;="&amp;'THAM_SO'!$B$7),$J137))</f>
        <v/>
      </c>
      <c r="AI137" s="232">
        <f>IF($B137="","",IF($D137="Theo ngày",SUMIFS('CHAM_CONG_NGAY'!$K$6:$K$4655,'CHAM_CONG_NGAY'!$B$6:$B$4655,$B137,'CHAM_CONG_NGAY'!$C$6:$C$4655,"&gt;="&amp;'THAM_SO'!$B$6,'CHAM_CONG_NGAY'!$C$6:$C$4655,"&lt;="&amp;'THAM_SO'!$B$7),$K137))</f>
        <v/>
      </c>
      <c r="AJ137" s="232">
        <f>IF($B137="","",IF($D137="Theo ngày",SUMIFS('CHAM_CONG_NGAY'!$L$6:$L$4655,'CHAM_CONG_NGAY'!$B$6:$B$4655,$B137,'CHAM_CONG_NGAY'!$C$6:$C$4655,"&gt;="&amp;'THAM_SO'!$B$6,'CHAM_CONG_NGAY'!$C$6:$C$4655,"&lt;="&amp;'THAM_SO'!$B$7),$L137))</f>
        <v/>
      </c>
      <c r="AK137" s="232">
        <f>IF($B137="","",IF($D137="Theo ngày",SUMIFS('CHAM_CONG_NGAY'!$M$6:$M$4655,'CHAM_CONG_NGAY'!$B$6:$B$4655,$B137,'CHAM_CONG_NGAY'!$C$6:$C$4655,"&gt;="&amp;'THAM_SO'!$B$6,'CHAM_CONG_NGAY'!$C$6:$C$4655,"&lt;="&amp;'THAM_SO'!$B$7),$M137))</f>
        <v/>
      </c>
      <c r="AL137" s="227" t="n"/>
      <c r="AM137" s="227" t="n"/>
      <c r="AN137" s="227" t="n"/>
      <c r="AO137" s="227" t="n"/>
      <c r="AP137" s="227" t="n"/>
      <c r="AQ137" s="227" t="n"/>
      <c r="AR137" s="232">
        <f>IF($B137="","",IF($D137="Theo ngày",SUMIFS('CHAM_CONG_NGAY'!$O$6:$O$4655,'CHAM_CONG_NGAY'!$B$6:$B$4655,$B137,'CHAM_CONG_NGAY'!$C$6:$C$4655,"&gt;="&amp;'THAM_SO'!$B$6,'CHAM_CONG_NGAY'!$C$6:$C$4655,"&lt;="&amp;'THAM_SO'!$B$7),$AL137))</f>
        <v/>
      </c>
      <c r="AS137" s="232">
        <f>IF($B137="","",IF($D137="Theo ngày",SUMIFS('CHAM_CONG_NGAY'!$P$6:$P$4655,'CHAM_CONG_NGAY'!$B$6:$B$4655,$B137,'CHAM_CONG_NGAY'!$C$6:$C$4655,"&gt;="&amp;'THAM_SO'!$B$6,'CHAM_CONG_NGAY'!$C$6:$C$4655,"&lt;="&amp;'THAM_SO'!$B$7),$AM137))</f>
        <v/>
      </c>
      <c r="AT137" s="232">
        <f>IF($B137="","",IF($D137="Theo ngày",SUMIFS('CHAM_CONG_NGAY'!$Q$6:$Q$4655,'CHAM_CONG_NGAY'!$B$6:$B$4655,$B137,'CHAM_CONG_NGAY'!$C$6:$C$4655,"&gt;="&amp;'THAM_SO'!$B$6,'CHAM_CONG_NGAY'!$C$6:$C$4655,"&lt;="&amp;'THAM_SO'!$B$7),$AN137))</f>
        <v/>
      </c>
      <c r="AU137" s="232">
        <f>IF($B137="","",IF($D137="Theo ngày",SUMIFS('CHAM_CONG_NGAY'!$R$6:$R$4655,'CHAM_CONG_NGAY'!$B$6:$B$4655,$B137,'CHAM_CONG_NGAY'!$C$6:$C$4655,"&gt;="&amp;'THAM_SO'!$B$6,'CHAM_CONG_NGAY'!$C$6:$C$4655,"&lt;="&amp;'THAM_SO'!$B$7),$AO137))</f>
        <v/>
      </c>
      <c r="AV137" s="232">
        <f>IF($B137="","",IF($D137="Theo ngày",SUMIFS('CHAM_CONG_NGAY'!$S$6:$S$4655,'CHAM_CONG_NGAY'!$B$6:$B$4655,$B137,'CHAM_CONG_NGAY'!$C$6:$C$4655,"&gt;="&amp;'THAM_SO'!$B$6,'CHAM_CONG_NGAY'!$C$6:$C$4655,"&lt;="&amp;'THAM_SO'!$B$7),$AP137))</f>
        <v/>
      </c>
      <c r="AW137" s="232">
        <f>IF($B137="","",IF($D137="Theo ngày",SUMIFS('CHAM_CONG_NGAY'!$T$6:$T$4655,'CHAM_CONG_NGAY'!$B$6:$B$4655,$B137,'CHAM_CONG_NGAY'!$C$6:$C$4655,"&gt;="&amp;'THAM_SO'!$B$6,'CHAM_CONG_NGAY'!$C$6:$C$4655,"&lt;="&amp;'THAM_SO'!$B$7),$AQ137))</f>
        <v/>
      </c>
    </row>
    <row r="138">
      <c r="A138" s="145">
        <f>IF($B138="","",ROW()-5)</f>
        <v/>
      </c>
      <c r="B138" s="145">
        <f>IF('DM_NHAN_SU'!B138="","",'DM_NHAN_SU'!B138)</f>
        <v/>
      </c>
      <c r="C138" s="145">
        <f>IF('DM_NHAN_SU'!B138="","",'DM_NHAN_SU'!C138)</f>
        <v/>
      </c>
      <c r="D138" s="127" t="n"/>
      <c r="E138" s="227" t="n"/>
      <c r="F138" s="227" t="n"/>
      <c r="G138" s="227" t="n"/>
      <c r="H138" s="227" t="n"/>
      <c r="I138" s="227" t="n"/>
      <c r="J138" s="227" t="n"/>
      <c r="K138" s="227" t="n"/>
      <c r="L138" s="227" t="n"/>
      <c r="M138" s="227" t="n"/>
      <c r="N138" s="227" t="n"/>
      <c r="O138" s="222" t="n"/>
      <c r="P138" s="222" t="n"/>
      <c r="Q138" s="222" t="n"/>
      <c r="R138" s="222" t="n"/>
      <c r="S138" s="222" t="n"/>
      <c r="T138" s="222" t="n"/>
      <c r="U138" s="222" t="n"/>
      <c r="V138" s="222" t="n"/>
      <c r="W138" s="222" t="n"/>
      <c r="X138" s="222" t="n"/>
      <c r="Y138" s="222" t="n"/>
      <c r="Z138" s="222" t="n"/>
      <c r="AA138" s="127" t="n"/>
      <c r="AB138" s="127" t="n"/>
      <c r="AC138" s="232">
        <f>IF($B138="","",IF($D138="Theo ngày",SUMIFS('CHAM_CONG_NGAY'!$E$6:$E$4655,'CHAM_CONG_NGAY'!$B$6:$B$4655,$B138,'CHAM_CONG_NGAY'!$C$6:$C$4655,"&gt;="&amp;'THAM_SO'!$B$6,'CHAM_CONG_NGAY'!$C$6:$C$4655,"&lt;="&amp;'THAM_SO'!$B$7),$E138))</f>
        <v/>
      </c>
      <c r="AD138" s="232">
        <f>IF($B138="","",IF($D138="Theo ngày",SUMIFS('CHAM_CONG_NGAY'!$F$6:$F$4655,'CHAM_CONG_NGAY'!$B$6:$B$4655,$B138,'CHAM_CONG_NGAY'!$C$6:$C$4655,"&gt;="&amp;'THAM_SO'!$B$6,'CHAM_CONG_NGAY'!$C$6:$C$4655,"&lt;="&amp;'THAM_SO'!$B$7),$F138))</f>
        <v/>
      </c>
      <c r="AE138" s="232">
        <f>IF($B138="","",IF($D138="Theo ngày",SUMIFS('CHAM_CONG_NGAY'!$G$6:$G$4655,'CHAM_CONG_NGAY'!$B$6:$B$4655,$B138,'CHAM_CONG_NGAY'!$C$6:$C$4655,"&gt;="&amp;'THAM_SO'!$B$6,'CHAM_CONG_NGAY'!$C$6:$C$4655,"&lt;="&amp;'THAM_SO'!$B$7),$G138))</f>
        <v/>
      </c>
      <c r="AF138" s="232">
        <f>IF($B138="","",IF($D138="Theo ngày",SUMIFS('CHAM_CONG_NGAY'!$H$6:$H$4655,'CHAM_CONG_NGAY'!$B$6:$B$4655,$B138,'CHAM_CONG_NGAY'!$C$6:$C$4655,"&gt;="&amp;'THAM_SO'!$B$6,'CHAM_CONG_NGAY'!$C$6:$C$4655,"&lt;="&amp;'THAM_SO'!$B$7),$H138))</f>
        <v/>
      </c>
      <c r="AG138" s="232">
        <f>IF($B138="","",IF($D138="Theo ngày",SUMIFS('CHAM_CONG_NGAY'!$I$6:$I$4655,'CHAM_CONG_NGAY'!$B$6:$B$4655,$B138,'CHAM_CONG_NGAY'!$C$6:$C$4655,"&gt;="&amp;'THAM_SO'!$B$6,'CHAM_CONG_NGAY'!$C$6:$C$4655,"&lt;="&amp;'THAM_SO'!$B$7),$I138))</f>
        <v/>
      </c>
      <c r="AH138" s="232">
        <f>IF($B138="","",IF($D138="Theo ngày",SUMIFS('CHAM_CONG_NGAY'!$J$6:$J$4655,'CHAM_CONG_NGAY'!$B$6:$B$4655,$B138,'CHAM_CONG_NGAY'!$C$6:$C$4655,"&gt;="&amp;'THAM_SO'!$B$6,'CHAM_CONG_NGAY'!$C$6:$C$4655,"&lt;="&amp;'THAM_SO'!$B$7),$J138))</f>
        <v/>
      </c>
      <c r="AI138" s="232">
        <f>IF($B138="","",IF($D138="Theo ngày",SUMIFS('CHAM_CONG_NGAY'!$K$6:$K$4655,'CHAM_CONG_NGAY'!$B$6:$B$4655,$B138,'CHAM_CONG_NGAY'!$C$6:$C$4655,"&gt;="&amp;'THAM_SO'!$B$6,'CHAM_CONG_NGAY'!$C$6:$C$4655,"&lt;="&amp;'THAM_SO'!$B$7),$K138))</f>
        <v/>
      </c>
      <c r="AJ138" s="232">
        <f>IF($B138="","",IF($D138="Theo ngày",SUMIFS('CHAM_CONG_NGAY'!$L$6:$L$4655,'CHAM_CONG_NGAY'!$B$6:$B$4655,$B138,'CHAM_CONG_NGAY'!$C$6:$C$4655,"&gt;="&amp;'THAM_SO'!$B$6,'CHAM_CONG_NGAY'!$C$6:$C$4655,"&lt;="&amp;'THAM_SO'!$B$7),$L138))</f>
        <v/>
      </c>
      <c r="AK138" s="232">
        <f>IF($B138="","",IF($D138="Theo ngày",SUMIFS('CHAM_CONG_NGAY'!$M$6:$M$4655,'CHAM_CONG_NGAY'!$B$6:$B$4655,$B138,'CHAM_CONG_NGAY'!$C$6:$C$4655,"&gt;="&amp;'THAM_SO'!$B$6,'CHAM_CONG_NGAY'!$C$6:$C$4655,"&lt;="&amp;'THAM_SO'!$B$7),$M138))</f>
        <v/>
      </c>
      <c r="AL138" s="227" t="n"/>
      <c r="AM138" s="227" t="n"/>
      <c r="AN138" s="227" t="n"/>
      <c r="AO138" s="227" t="n"/>
      <c r="AP138" s="227" t="n"/>
      <c r="AQ138" s="227" t="n"/>
      <c r="AR138" s="232">
        <f>IF($B138="","",IF($D138="Theo ngày",SUMIFS('CHAM_CONG_NGAY'!$O$6:$O$4655,'CHAM_CONG_NGAY'!$B$6:$B$4655,$B138,'CHAM_CONG_NGAY'!$C$6:$C$4655,"&gt;="&amp;'THAM_SO'!$B$6,'CHAM_CONG_NGAY'!$C$6:$C$4655,"&lt;="&amp;'THAM_SO'!$B$7),$AL138))</f>
        <v/>
      </c>
      <c r="AS138" s="232">
        <f>IF($B138="","",IF($D138="Theo ngày",SUMIFS('CHAM_CONG_NGAY'!$P$6:$P$4655,'CHAM_CONG_NGAY'!$B$6:$B$4655,$B138,'CHAM_CONG_NGAY'!$C$6:$C$4655,"&gt;="&amp;'THAM_SO'!$B$6,'CHAM_CONG_NGAY'!$C$6:$C$4655,"&lt;="&amp;'THAM_SO'!$B$7),$AM138))</f>
        <v/>
      </c>
      <c r="AT138" s="232">
        <f>IF($B138="","",IF($D138="Theo ngày",SUMIFS('CHAM_CONG_NGAY'!$Q$6:$Q$4655,'CHAM_CONG_NGAY'!$B$6:$B$4655,$B138,'CHAM_CONG_NGAY'!$C$6:$C$4655,"&gt;="&amp;'THAM_SO'!$B$6,'CHAM_CONG_NGAY'!$C$6:$C$4655,"&lt;="&amp;'THAM_SO'!$B$7),$AN138))</f>
        <v/>
      </c>
      <c r="AU138" s="232">
        <f>IF($B138="","",IF($D138="Theo ngày",SUMIFS('CHAM_CONG_NGAY'!$R$6:$R$4655,'CHAM_CONG_NGAY'!$B$6:$B$4655,$B138,'CHAM_CONG_NGAY'!$C$6:$C$4655,"&gt;="&amp;'THAM_SO'!$B$6,'CHAM_CONG_NGAY'!$C$6:$C$4655,"&lt;="&amp;'THAM_SO'!$B$7),$AO138))</f>
        <v/>
      </c>
      <c r="AV138" s="232">
        <f>IF($B138="","",IF($D138="Theo ngày",SUMIFS('CHAM_CONG_NGAY'!$S$6:$S$4655,'CHAM_CONG_NGAY'!$B$6:$B$4655,$B138,'CHAM_CONG_NGAY'!$C$6:$C$4655,"&gt;="&amp;'THAM_SO'!$B$6,'CHAM_CONG_NGAY'!$C$6:$C$4655,"&lt;="&amp;'THAM_SO'!$B$7),$AP138))</f>
        <v/>
      </c>
      <c r="AW138" s="232">
        <f>IF($B138="","",IF($D138="Theo ngày",SUMIFS('CHAM_CONG_NGAY'!$T$6:$T$4655,'CHAM_CONG_NGAY'!$B$6:$B$4655,$B138,'CHAM_CONG_NGAY'!$C$6:$C$4655,"&gt;="&amp;'THAM_SO'!$B$6,'CHAM_CONG_NGAY'!$C$6:$C$4655,"&lt;="&amp;'THAM_SO'!$B$7),$AQ138))</f>
        <v/>
      </c>
    </row>
    <row r="139">
      <c r="A139" s="145">
        <f>IF($B139="","",ROW()-5)</f>
        <v/>
      </c>
      <c r="B139" s="145">
        <f>IF('DM_NHAN_SU'!B139="","",'DM_NHAN_SU'!B139)</f>
        <v/>
      </c>
      <c r="C139" s="145">
        <f>IF('DM_NHAN_SU'!B139="","",'DM_NHAN_SU'!C139)</f>
        <v/>
      </c>
      <c r="D139" s="127" t="n"/>
      <c r="E139" s="227" t="n"/>
      <c r="F139" s="227" t="n"/>
      <c r="G139" s="227" t="n"/>
      <c r="H139" s="227" t="n"/>
      <c r="I139" s="227" t="n"/>
      <c r="J139" s="227" t="n"/>
      <c r="K139" s="227" t="n"/>
      <c r="L139" s="227" t="n"/>
      <c r="M139" s="227" t="n"/>
      <c r="N139" s="227" t="n"/>
      <c r="O139" s="222" t="n"/>
      <c r="P139" s="222" t="n"/>
      <c r="Q139" s="222" t="n"/>
      <c r="R139" s="222" t="n"/>
      <c r="S139" s="222" t="n"/>
      <c r="T139" s="222" t="n"/>
      <c r="U139" s="222" t="n"/>
      <c r="V139" s="222" t="n"/>
      <c r="W139" s="222" t="n"/>
      <c r="X139" s="222" t="n"/>
      <c r="Y139" s="222" t="n"/>
      <c r="Z139" s="222" t="n"/>
      <c r="AA139" s="127" t="n"/>
      <c r="AB139" s="127" t="n"/>
      <c r="AC139" s="232">
        <f>IF($B139="","",IF($D139="Theo ngày",SUMIFS('CHAM_CONG_NGAY'!$E$6:$E$4655,'CHAM_CONG_NGAY'!$B$6:$B$4655,$B139,'CHAM_CONG_NGAY'!$C$6:$C$4655,"&gt;="&amp;'THAM_SO'!$B$6,'CHAM_CONG_NGAY'!$C$6:$C$4655,"&lt;="&amp;'THAM_SO'!$B$7),$E139))</f>
        <v/>
      </c>
      <c r="AD139" s="232">
        <f>IF($B139="","",IF($D139="Theo ngày",SUMIFS('CHAM_CONG_NGAY'!$F$6:$F$4655,'CHAM_CONG_NGAY'!$B$6:$B$4655,$B139,'CHAM_CONG_NGAY'!$C$6:$C$4655,"&gt;="&amp;'THAM_SO'!$B$6,'CHAM_CONG_NGAY'!$C$6:$C$4655,"&lt;="&amp;'THAM_SO'!$B$7),$F139))</f>
        <v/>
      </c>
      <c r="AE139" s="232">
        <f>IF($B139="","",IF($D139="Theo ngày",SUMIFS('CHAM_CONG_NGAY'!$G$6:$G$4655,'CHAM_CONG_NGAY'!$B$6:$B$4655,$B139,'CHAM_CONG_NGAY'!$C$6:$C$4655,"&gt;="&amp;'THAM_SO'!$B$6,'CHAM_CONG_NGAY'!$C$6:$C$4655,"&lt;="&amp;'THAM_SO'!$B$7),$G139))</f>
        <v/>
      </c>
      <c r="AF139" s="232">
        <f>IF($B139="","",IF($D139="Theo ngày",SUMIFS('CHAM_CONG_NGAY'!$H$6:$H$4655,'CHAM_CONG_NGAY'!$B$6:$B$4655,$B139,'CHAM_CONG_NGAY'!$C$6:$C$4655,"&gt;="&amp;'THAM_SO'!$B$6,'CHAM_CONG_NGAY'!$C$6:$C$4655,"&lt;="&amp;'THAM_SO'!$B$7),$H139))</f>
        <v/>
      </c>
      <c r="AG139" s="232">
        <f>IF($B139="","",IF($D139="Theo ngày",SUMIFS('CHAM_CONG_NGAY'!$I$6:$I$4655,'CHAM_CONG_NGAY'!$B$6:$B$4655,$B139,'CHAM_CONG_NGAY'!$C$6:$C$4655,"&gt;="&amp;'THAM_SO'!$B$6,'CHAM_CONG_NGAY'!$C$6:$C$4655,"&lt;="&amp;'THAM_SO'!$B$7),$I139))</f>
        <v/>
      </c>
      <c r="AH139" s="232">
        <f>IF($B139="","",IF($D139="Theo ngày",SUMIFS('CHAM_CONG_NGAY'!$J$6:$J$4655,'CHAM_CONG_NGAY'!$B$6:$B$4655,$B139,'CHAM_CONG_NGAY'!$C$6:$C$4655,"&gt;="&amp;'THAM_SO'!$B$6,'CHAM_CONG_NGAY'!$C$6:$C$4655,"&lt;="&amp;'THAM_SO'!$B$7),$J139))</f>
        <v/>
      </c>
      <c r="AI139" s="232">
        <f>IF($B139="","",IF($D139="Theo ngày",SUMIFS('CHAM_CONG_NGAY'!$K$6:$K$4655,'CHAM_CONG_NGAY'!$B$6:$B$4655,$B139,'CHAM_CONG_NGAY'!$C$6:$C$4655,"&gt;="&amp;'THAM_SO'!$B$6,'CHAM_CONG_NGAY'!$C$6:$C$4655,"&lt;="&amp;'THAM_SO'!$B$7),$K139))</f>
        <v/>
      </c>
      <c r="AJ139" s="232">
        <f>IF($B139="","",IF($D139="Theo ngày",SUMIFS('CHAM_CONG_NGAY'!$L$6:$L$4655,'CHAM_CONG_NGAY'!$B$6:$B$4655,$B139,'CHAM_CONG_NGAY'!$C$6:$C$4655,"&gt;="&amp;'THAM_SO'!$B$6,'CHAM_CONG_NGAY'!$C$6:$C$4655,"&lt;="&amp;'THAM_SO'!$B$7),$L139))</f>
        <v/>
      </c>
      <c r="AK139" s="232">
        <f>IF($B139="","",IF($D139="Theo ngày",SUMIFS('CHAM_CONG_NGAY'!$M$6:$M$4655,'CHAM_CONG_NGAY'!$B$6:$B$4655,$B139,'CHAM_CONG_NGAY'!$C$6:$C$4655,"&gt;="&amp;'THAM_SO'!$B$6,'CHAM_CONG_NGAY'!$C$6:$C$4655,"&lt;="&amp;'THAM_SO'!$B$7),$M139))</f>
        <v/>
      </c>
      <c r="AL139" s="227" t="n"/>
      <c r="AM139" s="227" t="n"/>
      <c r="AN139" s="227" t="n"/>
      <c r="AO139" s="227" t="n"/>
      <c r="AP139" s="227" t="n"/>
      <c r="AQ139" s="227" t="n"/>
      <c r="AR139" s="232">
        <f>IF($B139="","",IF($D139="Theo ngày",SUMIFS('CHAM_CONG_NGAY'!$O$6:$O$4655,'CHAM_CONG_NGAY'!$B$6:$B$4655,$B139,'CHAM_CONG_NGAY'!$C$6:$C$4655,"&gt;="&amp;'THAM_SO'!$B$6,'CHAM_CONG_NGAY'!$C$6:$C$4655,"&lt;="&amp;'THAM_SO'!$B$7),$AL139))</f>
        <v/>
      </c>
      <c r="AS139" s="232">
        <f>IF($B139="","",IF($D139="Theo ngày",SUMIFS('CHAM_CONG_NGAY'!$P$6:$P$4655,'CHAM_CONG_NGAY'!$B$6:$B$4655,$B139,'CHAM_CONG_NGAY'!$C$6:$C$4655,"&gt;="&amp;'THAM_SO'!$B$6,'CHAM_CONG_NGAY'!$C$6:$C$4655,"&lt;="&amp;'THAM_SO'!$B$7),$AM139))</f>
        <v/>
      </c>
      <c r="AT139" s="232">
        <f>IF($B139="","",IF($D139="Theo ngày",SUMIFS('CHAM_CONG_NGAY'!$Q$6:$Q$4655,'CHAM_CONG_NGAY'!$B$6:$B$4655,$B139,'CHAM_CONG_NGAY'!$C$6:$C$4655,"&gt;="&amp;'THAM_SO'!$B$6,'CHAM_CONG_NGAY'!$C$6:$C$4655,"&lt;="&amp;'THAM_SO'!$B$7),$AN139))</f>
        <v/>
      </c>
      <c r="AU139" s="232">
        <f>IF($B139="","",IF($D139="Theo ngày",SUMIFS('CHAM_CONG_NGAY'!$R$6:$R$4655,'CHAM_CONG_NGAY'!$B$6:$B$4655,$B139,'CHAM_CONG_NGAY'!$C$6:$C$4655,"&gt;="&amp;'THAM_SO'!$B$6,'CHAM_CONG_NGAY'!$C$6:$C$4655,"&lt;="&amp;'THAM_SO'!$B$7),$AO139))</f>
        <v/>
      </c>
      <c r="AV139" s="232">
        <f>IF($B139="","",IF($D139="Theo ngày",SUMIFS('CHAM_CONG_NGAY'!$S$6:$S$4655,'CHAM_CONG_NGAY'!$B$6:$B$4655,$B139,'CHAM_CONG_NGAY'!$C$6:$C$4655,"&gt;="&amp;'THAM_SO'!$B$6,'CHAM_CONG_NGAY'!$C$6:$C$4655,"&lt;="&amp;'THAM_SO'!$B$7),$AP139))</f>
        <v/>
      </c>
      <c r="AW139" s="232">
        <f>IF($B139="","",IF($D139="Theo ngày",SUMIFS('CHAM_CONG_NGAY'!$T$6:$T$4655,'CHAM_CONG_NGAY'!$B$6:$B$4655,$B139,'CHAM_CONG_NGAY'!$C$6:$C$4655,"&gt;="&amp;'THAM_SO'!$B$6,'CHAM_CONG_NGAY'!$C$6:$C$4655,"&lt;="&amp;'THAM_SO'!$B$7),$AQ139))</f>
        <v/>
      </c>
    </row>
    <row r="140">
      <c r="A140" s="145">
        <f>IF($B140="","",ROW()-5)</f>
        <v/>
      </c>
      <c r="B140" s="145">
        <f>IF('DM_NHAN_SU'!B140="","",'DM_NHAN_SU'!B140)</f>
        <v/>
      </c>
      <c r="C140" s="145">
        <f>IF('DM_NHAN_SU'!B140="","",'DM_NHAN_SU'!C140)</f>
        <v/>
      </c>
      <c r="D140" s="127" t="n"/>
      <c r="E140" s="227" t="n"/>
      <c r="F140" s="227" t="n"/>
      <c r="G140" s="227" t="n"/>
      <c r="H140" s="227" t="n"/>
      <c r="I140" s="227" t="n"/>
      <c r="J140" s="227" t="n"/>
      <c r="K140" s="227" t="n"/>
      <c r="L140" s="227" t="n"/>
      <c r="M140" s="227" t="n"/>
      <c r="N140" s="227" t="n"/>
      <c r="O140" s="222" t="n"/>
      <c r="P140" s="222" t="n"/>
      <c r="Q140" s="222" t="n"/>
      <c r="R140" s="222" t="n"/>
      <c r="S140" s="222" t="n"/>
      <c r="T140" s="222" t="n"/>
      <c r="U140" s="222" t="n"/>
      <c r="V140" s="222" t="n"/>
      <c r="W140" s="222" t="n"/>
      <c r="X140" s="222" t="n"/>
      <c r="Y140" s="222" t="n"/>
      <c r="Z140" s="222" t="n"/>
      <c r="AA140" s="127" t="n"/>
      <c r="AB140" s="127" t="n"/>
      <c r="AC140" s="232">
        <f>IF($B140="","",IF($D140="Theo ngày",SUMIFS('CHAM_CONG_NGAY'!$E$6:$E$4655,'CHAM_CONG_NGAY'!$B$6:$B$4655,$B140,'CHAM_CONG_NGAY'!$C$6:$C$4655,"&gt;="&amp;'THAM_SO'!$B$6,'CHAM_CONG_NGAY'!$C$6:$C$4655,"&lt;="&amp;'THAM_SO'!$B$7),$E140))</f>
        <v/>
      </c>
      <c r="AD140" s="232">
        <f>IF($B140="","",IF($D140="Theo ngày",SUMIFS('CHAM_CONG_NGAY'!$F$6:$F$4655,'CHAM_CONG_NGAY'!$B$6:$B$4655,$B140,'CHAM_CONG_NGAY'!$C$6:$C$4655,"&gt;="&amp;'THAM_SO'!$B$6,'CHAM_CONG_NGAY'!$C$6:$C$4655,"&lt;="&amp;'THAM_SO'!$B$7),$F140))</f>
        <v/>
      </c>
      <c r="AE140" s="232">
        <f>IF($B140="","",IF($D140="Theo ngày",SUMIFS('CHAM_CONG_NGAY'!$G$6:$G$4655,'CHAM_CONG_NGAY'!$B$6:$B$4655,$B140,'CHAM_CONG_NGAY'!$C$6:$C$4655,"&gt;="&amp;'THAM_SO'!$B$6,'CHAM_CONG_NGAY'!$C$6:$C$4655,"&lt;="&amp;'THAM_SO'!$B$7),$G140))</f>
        <v/>
      </c>
      <c r="AF140" s="232">
        <f>IF($B140="","",IF($D140="Theo ngày",SUMIFS('CHAM_CONG_NGAY'!$H$6:$H$4655,'CHAM_CONG_NGAY'!$B$6:$B$4655,$B140,'CHAM_CONG_NGAY'!$C$6:$C$4655,"&gt;="&amp;'THAM_SO'!$B$6,'CHAM_CONG_NGAY'!$C$6:$C$4655,"&lt;="&amp;'THAM_SO'!$B$7),$H140))</f>
        <v/>
      </c>
      <c r="AG140" s="232">
        <f>IF($B140="","",IF($D140="Theo ngày",SUMIFS('CHAM_CONG_NGAY'!$I$6:$I$4655,'CHAM_CONG_NGAY'!$B$6:$B$4655,$B140,'CHAM_CONG_NGAY'!$C$6:$C$4655,"&gt;="&amp;'THAM_SO'!$B$6,'CHAM_CONG_NGAY'!$C$6:$C$4655,"&lt;="&amp;'THAM_SO'!$B$7),$I140))</f>
        <v/>
      </c>
      <c r="AH140" s="232">
        <f>IF($B140="","",IF($D140="Theo ngày",SUMIFS('CHAM_CONG_NGAY'!$J$6:$J$4655,'CHAM_CONG_NGAY'!$B$6:$B$4655,$B140,'CHAM_CONG_NGAY'!$C$6:$C$4655,"&gt;="&amp;'THAM_SO'!$B$6,'CHAM_CONG_NGAY'!$C$6:$C$4655,"&lt;="&amp;'THAM_SO'!$B$7),$J140))</f>
        <v/>
      </c>
      <c r="AI140" s="232">
        <f>IF($B140="","",IF($D140="Theo ngày",SUMIFS('CHAM_CONG_NGAY'!$K$6:$K$4655,'CHAM_CONG_NGAY'!$B$6:$B$4655,$B140,'CHAM_CONG_NGAY'!$C$6:$C$4655,"&gt;="&amp;'THAM_SO'!$B$6,'CHAM_CONG_NGAY'!$C$6:$C$4655,"&lt;="&amp;'THAM_SO'!$B$7),$K140))</f>
        <v/>
      </c>
      <c r="AJ140" s="232">
        <f>IF($B140="","",IF($D140="Theo ngày",SUMIFS('CHAM_CONG_NGAY'!$L$6:$L$4655,'CHAM_CONG_NGAY'!$B$6:$B$4655,$B140,'CHAM_CONG_NGAY'!$C$6:$C$4655,"&gt;="&amp;'THAM_SO'!$B$6,'CHAM_CONG_NGAY'!$C$6:$C$4655,"&lt;="&amp;'THAM_SO'!$B$7),$L140))</f>
        <v/>
      </c>
      <c r="AK140" s="232">
        <f>IF($B140="","",IF($D140="Theo ngày",SUMIFS('CHAM_CONG_NGAY'!$M$6:$M$4655,'CHAM_CONG_NGAY'!$B$6:$B$4655,$B140,'CHAM_CONG_NGAY'!$C$6:$C$4655,"&gt;="&amp;'THAM_SO'!$B$6,'CHAM_CONG_NGAY'!$C$6:$C$4655,"&lt;="&amp;'THAM_SO'!$B$7),$M140))</f>
        <v/>
      </c>
      <c r="AL140" s="227" t="n"/>
      <c r="AM140" s="227" t="n"/>
      <c r="AN140" s="227" t="n"/>
      <c r="AO140" s="227" t="n"/>
      <c r="AP140" s="227" t="n"/>
      <c r="AQ140" s="227" t="n"/>
      <c r="AR140" s="232">
        <f>IF($B140="","",IF($D140="Theo ngày",SUMIFS('CHAM_CONG_NGAY'!$O$6:$O$4655,'CHAM_CONG_NGAY'!$B$6:$B$4655,$B140,'CHAM_CONG_NGAY'!$C$6:$C$4655,"&gt;="&amp;'THAM_SO'!$B$6,'CHAM_CONG_NGAY'!$C$6:$C$4655,"&lt;="&amp;'THAM_SO'!$B$7),$AL140))</f>
        <v/>
      </c>
      <c r="AS140" s="232">
        <f>IF($B140="","",IF($D140="Theo ngày",SUMIFS('CHAM_CONG_NGAY'!$P$6:$P$4655,'CHAM_CONG_NGAY'!$B$6:$B$4655,$B140,'CHAM_CONG_NGAY'!$C$6:$C$4655,"&gt;="&amp;'THAM_SO'!$B$6,'CHAM_CONG_NGAY'!$C$6:$C$4655,"&lt;="&amp;'THAM_SO'!$B$7),$AM140))</f>
        <v/>
      </c>
      <c r="AT140" s="232">
        <f>IF($B140="","",IF($D140="Theo ngày",SUMIFS('CHAM_CONG_NGAY'!$Q$6:$Q$4655,'CHAM_CONG_NGAY'!$B$6:$B$4655,$B140,'CHAM_CONG_NGAY'!$C$6:$C$4655,"&gt;="&amp;'THAM_SO'!$B$6,'CHAM_CONG_NGAY'!$C$6:$C$4655,"&lt;="&amp;'THAM_SO'!$B$7),$AN140))</f>
        <v/>
      </c>
      <c r="AU140" s="232">
        <f>IF($B140="","",IF($D140="Theo ngày",SUMIFS('CHAM_CONG_NGAY'!$R$6:$R$4655,'CHAM_CONG_NGAY'!$B$6:$B$4655,$B140,'CHAM_CONG_NGAY'!$C$6:$C$4655,"&gt;="&amp;'THAM_SO'!$B$6,'CHAM_CONG_NGAY'!$C$6:$C$4655,"&lt;="&amp;'THAM_SO'!$B$7),$AO140))</f>
        <v/>
      </c>
      <c r="AV140" s="232">
        <f>IF($B140="","",IF($D140="Theo ngày",SUMIFS('CHAM_CONG_NGAY'!$S$6:$S$4655,'CHAM_CONG_NGAY'!$B$6:$B$4655,$B140,'CHAM_CONG_NGAY'!$C$6:$C$4655,"&gt;="&amp;'THAM_SO'!$B$6,'CHAM_CONG_NGAY'!$C$6:$C$4655,"&lt;="&amp;'THAM_SO'!$B$7),$AP140))</f>
        <v/>
      </c>
      <c r="AW140" s="232">
        <f>IF($B140="","",IF($D140="Theo ngày",SUMIFS('CHAM_CONG_NGAY'!$T$6:$T$4655,'CHAM_CONG_NGAY'!$B$6:$B$4655,$B140,'CHAM_CONG_NGAY'!$C$6:$C$4655,"&gt;="&amp;'THAM_SO'!$B$6,'CHAM_CONG_NGAY'!$C$6:$C$4655,"&lt;="&amp;'THAM_SO'!$B$7),$AQ140))</f>
        <v/>
      </c>
    </row>
    <row r="141">
      <c r="A141" s="145">
        <f>IF($B141="","",ROW()-5)</f>
        <v/>
      </c>
      <c r="B141" s="145">
        <f>IF('DM_NHAN_SU'!B141="","",'DM_NHAN_SU'!B141)</f>
        <v/>
      </c>
      <c r="C141" s="145">
        <f>IF('DM_NHAN_SU'!B141="","",'DM_NHAN_SU'!C141)</f>
        <v/>
      </c>
      <c r="D141" s="127" t="n"/>
      <c r="E141" s="227" t="n"/>
      <c r="F141" s="227" t="n"/>
      <c r="G141" s="227" t="n"/>
      <c r="H141" s="227" t="n"/>
      <c r="I141" s="227" t="n"/>
      <c r="J141" s="227" t="n"/>
      <c r="K141" s="227" t="n"/>
      <c r="L141" s="227" t="n"/>
      <c r="M141" s="227" t="n"/>
      <c r="N141" s="227" t="n"/>
      <c r="O141" s="222" t="n"/>
      <c r="P141" s="222" t="n"/>
      <c r="Q141" s="222" t="n"/>
      <c r="R141" s="222" t="n"/>
      <c r="S141" s="222" t="n"/>
      <c r="T141" s="222" t="n"/>
      <c r="U141" s="222" t="n"/>
      <c r="V141" s="222" t="n"/>
      <c r="W141" s="222" t="n"/>
      <c r="X141" s="222" t="n"/>
      <c r="Y141" s="222" t="n"/>
      <c r="Z141" s="222" t="n"/>
      <c r="AA141" s="127" t="n"/>
      <c r="AB141" s="127" t="n"/>
      <c r="AC141" s="232">
        <f>IF($B141="","",IF($D141="Theo ngày",SUMIFS('CHAM_CONG_NGAY'!$E$6:$E$4655,'CHAM_CONG_NGAY'!$B$6:$B$4655,$B141,'CHAM_CONG_NGAY'!$C$6:$C$4655,"&gt;="&amp;'THAM_SO'!$B$6,'CHAM_CONG_NGAY'!$C$6:$C$4655,"&lt;="&amp;'THAM_SO'!$B$7),$E141))</f>
        <v/>
      </c>
      <c r="AD141" s="232">
        <f>IF($B141="","",IF($D141="Theo ngày",SUMIFS('CHAM_CONG_NGAY'!$F$6:$F$4655,'CHAM_CONG_NGAY'!$B$6:$B$4655,$B141,'CHAM_CONG_NGAY'!$C$6:$C$4655,"&gt;="&amp;'THAM_SO'!$B$6,'CHAM_CONG_NGAY'!$C$6:$C$4655,"&lt;="&amp;'THAM_SO'!$B$7),$F141))</f>
        <v/>
      </c>
      <c r="AE141" s="232">
        <f>IF($B141="","",IF($D141="Theo ngày",SUMIFS('CHAM_CONG_NGAY'!$G$6:$G$4655,'CHAM_CONG_NGAY'!$B$6:$B$4655,$B141,'CHAM_CONG_NGAY'!$C$6:$C$4655,"&gt;="&amp;'THAM_SO'!$B$6,'CHAM_CONG_NGAY'!$C$6:$C$4655,"&lt;="&amp;'THAM_SO'!$B$7),$G141))</f>
        <v/>
      </c>
      <c r="AF141" s="232">
        <f>IF($B141="","",IF($D141="Theo ngày",SUMIFS('CHAM_CONG_NGAY'!$H$6:$H$4655,'CHAM_CONG_NGAY'!$B$6:$B$4655,$B141,'CHAM_CONG_NGAY'!$C$6:$C$4655,"&gt;="&amp;'THAM_SO'!$B$6,'CHAM_CONG_NGAY'!$C$6:$C$4655,"&lt;="&amp;'THAM_SO'!$B$7),$H141))</f>
        <v/>
      </c>
      <c r="AG141" s="232">
        <f>IF($B141="","",IF($D141="Theo ngày",SUMIFS('CHAM_CONG_NGAY'!$I$6:$I$4655,'CHAM_CONG_NGAY'!$B$6:$B$4655,$B141,'CHAM_CONG_NGAY'!$C$6:$C$4655,"&gt;="&amp;'THAM_SO'!$B$6,'CHAM_CONG_NGAY'!$C$6:$C$4655,"&lt;="&amp;'THAM_SO'!$B$7),$I141))</f>
        <v/>
      </c>
      <c r="AH141" s="232">
        <f>IF($B141="","",IF($D141="Theo ngày",SUMIFS('CHAM_CONG_NGAY'!$J$6:$J$4655,'CHAM_CONG_NGAY'!$B$6:$B$4655,$B141,'CHAM_CONG_NGAY'!$C$6:$C$4655,"&gt;="&amp;'THAM_SO'!$B$6,'CHAM_CONG_NGAY'!$C$6:$C$4655,"&lt;="&amp;'THAM_SO'!$B$7),$J141))</f>
        <v/>
      </c>
      <c r="AI141" s="232">
        <f>IF($B141="","",IF($D141="Theo ngày",SUMIFS('CHAM_CONG_NGAY'!$K$6:$K$4655,'CHAM_CONG_NGAY'!$B$6:$B$4655,$B141,'CHAM_CONG_NGAY'!$C$6:$C$4655,"&gt;="&amp;'THAM_SO'!$B$6,'CHAM_CONG_NGAY'!$C$6:$C$4655,"&lt;="&amp;'THAM_SO'!$B$7),$K141))</f>
        <v/>
      </c>
      <c r="AJ141" s="232">
        <f>IF($B141="","",IF($D141="Theo ngày",SUMIFS('CHAM_CONG_NGAY'!$L$6:$L$4655,'CHAM_CONG_NGAY'!$B$6:$B$4655,$B141,'CHAM_CONG_NGAY'!$C$6:$C$4655,"&gt;="&amp;'THAM_SO'!$B$6,'CHAM_CONG_NGAY'!$C$6:$C$4655,"&lt;="&amp;'THAM_SO'!$B$7),$L141))</f>
        <v/>
      </c>
      <c r="AK141" s="232">
        <f>IF($B141="","",IF($D141="Theo ngày",SUMIFS('CHAM_CONG_NGAY'!$M$6:$M$4655,'CHAM_CONG_NGAY'!$B$6:$B$4655,$B141,'CHAM_CONG_NGAY'!$C$6:$C$4655,"&gt;="&amp;'THAM_SO'!$B$6,'CHAM_CONG_NGAY'!$C$6:$C$4655,"&lt;="&amp;'THAM_SO'!$B$7),$M141))</f>
        <v/>
      </c>
      <c r="AL141" s="227" t="n"/>
      <c r="AM141" s="227" t="n"/>
      <c r="AN141" s="227" t="n"/>
      <c r="AO141" s="227" t="n"/>
      <c r="AP141" s="227" t="n"/>
      <c r="AQ141" s="227" t="n"/>
      <c r="AR141" s="232">
        <f>IF($B141="","",IF($D141="Theo ngày",SUMIFS('CHAM_CONG_NGAY'!$O$6:$O$4655,'CHAM_CONG_NGAY'!$B$6:$B$4655,$B141,'CHAM_CONG_NGAY'!$C$6:$C$4655,"&gt;="&amp;'THAM_SO'!$B$6,'CHAM_CONG_NGAY'!$C$6:$C$4655,"&lt;="&amp;'THAM_SO'!$B$7),$AL141))</f>
        <v/>
      </c>
      <c r="AS141" s="232">
        <f>IF($B141="","",IF($D141="Theo ngày",SUMIFS('CHAM_CONG_NGAY'!$P$6:$P$4655,'CHAM_CONG_NGAY'!$B$6:$B$4655,$B141,'CHAM_CONG_NGAY'!$C$6:$C$4655,"&gt;="&amp;'THAM_SO'!$B$6,'CHAM_CONG_NGAY'!$C$6:$C$4655,"&lt;="&amp;'THAM_SO'!$B$7),$AM141))</f>
        <v/>
      </c>
      <c r="AT141" s="232">
        <f>IF($B141="","",IF($D141="Theo ngày",SUMIFS('CHAM_CONG_NGAY'!$Q$6:$Q$4655,'CHAM_CONG_NGAY'!$B$6:$B$4655,$B141,'CHAM_CONG_NGAY'!$C$6:$C$4655,"&gt;="&amp;'THAM_SO'!$B$6,'CHAM_CONG_NGAY'!$C$6:$C$4655,"&lt;="&amp;'THAM_SO'!$B$7),$AN141))</f>
        <v/>
      </c>
      <c r="AU141" s="232">
        <f>IF($B141="","",IF($D141="Theo ngày",SUMIFS('CHAM_CONG_NGAY'!$R$6:$R$4655,'CHAM_CONG_NGAY'!$B$6:$B$4655,$B141,'CHAM_CONG_NGAY'!$C$6:$C$4655,"&gt;="&amp;'THAM_SO'!$B$6,'CHAM_CONG_NGAY'!$C$6:$C$4655,"&lt;="&amp;'THAM_SO'!$B$7),$AO141))</f>
        <v/>
      </c>
      <c r="AV141" s="232">
        <f>IF($B141="","",IF($D141="Theo ngày",SUMIFS('CHAM_CONG_NGAY'!$S$6:$S$4655,'CHAM_CONG_NGAY'!$B$6:$B$4655,$B141,'CHAM_CONG_NGAY'!$C$6:$C$4655,"&gt;="&amp;'THAM_SO'!$B$6,'CHAM_CONG_NGAY'!$C$6:$C$4655,"&lt;="&amp;'THAM_SO'!$B$7),$AP141))</f>
        <v/>
      </c>
      <c r="AW141" s="232">
        <f>IF($B141="","",IF($D141="Theo ngày",SUMIFS('CHAM_CONG_NGAY'!$T$6:$T$4655,'CHAM_CONG_NGAY'!$B$6:$B$4655,$B141,'CHAM_CONG_NGAY'!$C$6:$C$4655,"&gt;="&amp;'THAM_SO'!$B$6,'CHAM_CONG_NGAY'!$C$6:$C$4655,"&lt;="&amp;'THAM_SO'!$B$7),$AQ141))</f>
        <v/>
      </c>
    </row>
    <row r="142">
      <c r="A142" s="145">
        <f>IF($B142="","",ROW()-5)</f>
        <v/>
      </c>
      <c r="B142" s="145">
        <f>IF('DM_NHAN_SU'!B142="","",'DM_NHAN_SU'!B142)</f>
        <v/>
      </c>
      <c r="C142" s="145">
        <f>IF('DM_NHAN_SU'!B142="","",'DM_NHAN_SU'!C142)</f>
        <v/>
      </c>
      <c r="D142" s="127" t="n"/>
      <c r="E142" s="227" t="n"/>
      <c r="F142" s="227" t="n"/>
      <c r="G142" s="227" t="n"/>
      <c r="H142" s="227" t="n"/>
      <c r="I142" s="227" t="n"/>
      <c r="J142" s="227" t="n"/>
      <c r="K142" s="227" t="n"/>
      <c r="L142" s="227" t="n"/>
      <c r="M142" s="227" t="n"/>
      <c r="N142" s="227" t="n"/>
      <c r="O142" s="222" t="n"/>
      <c r="P142" s="222" t="n"/>
      <c r="Q142" s="222" t="n"/>
      <c r="R142" s="222" t="n"/>
      <c r="S142" s="222" t="n"/>
      <c r="T142" s="222" t="n"/>
      <c r="U142" s="222" t="n"/>
      <c r="V142" s="222" t="n"/>
      <c r="W142" s="222" t="n"/>
      <c r="X142" s="222" t="n"/>
      <c r="Y142" s="222" t="n"/>
      <c r="Z142" s="222" t="n"/>
      <c r="AA142" s="127" t="n"/>
      <c r="AB142" s="127" t="n"/>
      <c r="AC142" s="232">
        <f>IF($B142="","",IF($D142="Theo ngày",SUMIFS('CHAM_CONG_NGAY'!$E$6:$E$4655,'CHAM_CONG_NGAY'!$B$6:$B$4655,$B142,'CHAM_CONG_NGAY'!$C$6:$C$4655,"&gt;="&amp;'THAM_SO'!$B$6,'CHAM_CONG_NGAY'!$C$6:$C$4655,"&lt;="&amp;'THAM_SO'!$B$7),$E142))</f>
        <v/>
      </c>
      <c r="AD142" s="232">
        <f>IF($B142="","",IF($D142="Theo ngày",SUMIFS('CHAM_CONG_NGAY'!$F$6:$F$4655,'CHAM_CONG_NGAY'!$B$6:$B$4655,$B142,'CHAM_CONG_NGAY'!$C$6:$C$4655,"&gt;="&amp;'THAM_SO'!$B$6,'CHAM_CONG_NGAY'!$C$6:$C$4655,"&lt;="&amp;'THAM_SO'!$B$7),$F142))</f>
        <v/>
      </c>
      <c r="AE142" s="232">
        <f>IF($B142="","",IF($D142="Theo ngày",SUMIFS('CHAM_CONG_NGAY'!$G$6:$G$4655,'CHAM_CONG_NGAY'!$B$6:$B$4655,$B142,'CHAM_CONG_NGAY'!$C$6:$C$4655,"&gt;="&amp;'THAM_SO'!$B$6,'CHAM_CONG_NGAY'!$C$6:$C$4655,"&lt;="&amp;'THAM_SO'!$B$7),$G142))</f>
        <v/>
      </c>
      <c r="AF142" s="232">
        <f>IF($B142="","",IF($D142="Theo ngày",SUMIFS('CHAM_CONG_NGAY'!$H$6:$H$4655,'CHAM_CONG_NGAY'!$B$6:$B$4655,$B142,'CHAM_CONG_NGAY'!$C$6:$C$4655,"&gt;="&amp;'THAM_SO'!$B$6,'CHAM_CONG_NGAY'!$C$6:$C$4655,"&lt;="&amp;'THAM_SO'!$B$7),$H142))</f>
        <v/>
      </c>
      <c r="AG142" s="232">
        <f>IF($B142="","",IF($D142="Theo ngày",SUMIFS('CHAM_CONG_NGAY'!$I$6:$I$4655,'CHAM_CONG_NGAY'!$B$6:$B$4655,$B142,'CHAM_CONG_NGAY'!$C$6:$C$4655,"&gt;="&amp;'THAM_SO'!$B$6,'CHAM_CONG_NGAY'!$C$6:$C$4655,"&lt;="&amp;'THAM_SO'!$B$7),$I142))</f>
        <v/>
      </c>
      <c r="AH142" s="232">
        <f>IF($B142="","",IF($D142="Theo ngày",SUMIFS('CHAM_CONG_NGAY'!$J$6:$J$4655,'CHAM_CONG_NGAY'!$B$6:$B$4655,$B142,'CHAM_CONG_NGAY'!$C$6:$C$4655,"&gt;="&amp;'THAM_SO'!$B$6,'CHAM_CONG_NGAY'!$C$6:$C$4655,"&lt;="&amp;'THAM_SO'!$B$7),$J142))</f>
        <v/>
      </c>
      <c r="AI142" s="232">
        <f>IF($B142="","",IF($D142="Theo ngày",SUMIFS('CHAM_CONG_NGAY'!$K$6:$K$4655,'CHAM_CONG_NGAY'!$B$6:$B$4655,$B142,'CHAM_CONG_NGAY'!$C$6:$C$4655,"&gt;="&amp;'THAM_SO'!$B$6,'CHAM_CONG_NGAY'!$C$6:$C$4655,"&lt;="&amp;'THAM_SO'!$B$7),$K142))</f>
        <v/>
      </c>
      <c r="AJ142" s="232">
        <f>IF($B142="","",IF($D142="Theo ngày",SUMIFS('CHAM_CONG_NGAY'!$L$6:$L$4655,'CHAM_CONG_NGAY'!$B$6:$B$4655,$B142,'CHAM_CONG_NGAY'!$C$6:$C$4655,"&gt;="&amp;'THAM_SO'!$B$6,'CHAM_CONG_NGAY'!$C$6:$C$4655,"&lt;="&amp;'THAM_SO'!$B$7),$L142))</f>
        <v/>
      </c>
      <c r="AK142" s="232">
        <f>IF($B142="","",IF($D142="Theo ngày",SUMIFS('CHAM_CONG_NGAY'!$M$6:$M$4655,'CHAM_CONG_NGAY'!$B$6:$B$4655,$B142,'CHAM_CONG_NGAY'!$C$6:$C$4655,"&gt;="&amp;'THAM_SO'!$B$6,'CHAM_CONG_NGAY'!$C$6:$C$4655,"&lt;="&amp;'THAM_SO'!$B$7),$M142))</f>
        <v/>
      </c>
      <c r="AL142" s="227" t="n"/>
      <c r="AM142" s="227" t="n"/>
      <c r="AN142" s="227" t="n"/>
      <c r="AO142" s="227" t="n"/>
      <c r="AP142" s="227" t="n"/>
      <c r="AQ142" s="227" t="n"/>
      <c r="AR142" s="232">
        <f>IF($B142="","",IF($D142="Theo ngày",SUMIFS('CHAM_CONG_NGAY'!$O$6:$O$4655,'CHAM_CONG_NGAY'!$B$6:$B$4655,$B142,'CHAM_CONG_NGAY'!$C$6:$C$4655,"&gt;="&amp;'THAM_SO'!$B$6,'CHAM_CONG_NGAY'!$C$6:$C$4655,"&lt;="&amp;'THAM_SO'!$B$7),$AL142))</f>
        <v/>
      </c>
      <c r="AS142" s="232">
        <f>IF($B142="","",IF($D142="Theo ngày",SUMIFS('CHAM_CONG_NGAY'!$P$6:$P$4655,'CHAM_CONG_NGAY'!$B$6:$B$4655,$B142,'CHAM_CONG_NGAY'!$C$6:$C$4655,"&gt;="&amp;'THAM_SO'!$B$6,'CHAM_CONG_NGAY'!$C$6:$C$4655,"&lt;="&amp;'THAM_SO'!$B$7),$AM142))</f>
        <v/>
      </c>
      <c r="AT142" s="232">
        <f>IF($B142="","",IF($D142="Theo ngày",SUMIFS('CHAM_CONG_NGAY'!$Q$6:$Q$4655,'CHAM_CONG_NGAY'!$B$6:$B$4655,$B142,'CHAM_CONG_NGAY'!$C$6:$C$4655,"&gt;="&amp;'THAM_SO'!$B$6,'CHAM_CONG_NGAY'!$C$6:$C$4655,"&lt;="&amp;'THAM_SO'!$B$7),$AN142))</f>
        <v/>
      </c>
      <c r="AU142" s="232">
        <f>IF($B142="","",IF($D142="Theo ngày",SUMIFS('CHAM_CONG_NGAY'!$R$6:$R$4655,'CHAM_CONG_NGAY'!$B$6:$B$4655,$B142,'CHAM_CONG_NGAY'!$C$6:$C$4655,"&gt;="&amp;'THAM_SO'!$B$6,'CHAM_CONG_NGAY'!$C$6:$C$4655,"&lt;="&amp;'THAM_SO'!$B$7),$AO142))</f>
        <v/>
      </c>
      <c r="AV142" s="232">
        <f>IF($B142="","",IF($D142="Theo ngày",SUMIFS('CHAM_CONG_NGAY'!$S$6:$S$4655,'CHAM_CONG_NGAY'!$B$6:$B$4655,$B142,'CHAM_CONG_NGAY'!$C$6:$C$4655,"&gt;="&amp;'THAM_SO'!$B$6,'CHAM_CONG_NGAY'!$C$6:$C$4655,"&lt;="&amp;'THAM_SO'!$B$7),$AP142))</f>
        <v/>
      </c>
      <c r="AW142" s="232">
        <f>IF($B142="","",IF($D142="Theo ngày",SUMIFS('CHAM_CONG_NGAY'!$T$6:$T$4655,'CHAM_CONG_NGAY'!$B$6:$B$4655,$B142,'CHAM_CONG_NGAY'!$C$6:$C$4655,"&gt;="&amp;'THAM_SO'!$B$6,'CHAM_CONG_NGAY'!$C$6:$C$4655,"&lt;="&amp;'THAM_SO'!$B$7),$AQ142))</f>
        <v/>
      </c>
    </row>
    <row r="143">
      <c r="A143" s="145">
        <f>IF($B143="","",ROW()-5)</f>
        <v/>
      </c>
      <c r="B143" s="145">
        <f>IF('DM_NHAN_SU'!B143="","",'DM_NHAN_SU'!B143)</f>
        <v/>
      </c>
      <c r="C143" s="145">
        <f>IF('DM_NHAN_SU'!B143="","",'DM_NHAN_SU'!C143)</f>
        <v/>
      </c>
      <c r="D143" s="127" t="n"/>
      <c r="E143" s="227" t="n"/>
      <c r="F143" s="227" t="n"/>
      <c r="G143" s="227" t="n"/>
      <c r="H143" s="227" t="n"/>
      <c r="I143" s="227" t="n"/>
      <c r="J143" s="227" t="n"/>
      <c r="K143" s="227" t="n"/>
      <c r="L143" s="227" t="n"/>
      <c r="M143" s="227" t="n"/>
      <c r="N143" s="227" t="n"/>
      <c r="O143" s="222" t="n"/>
      <c r="P143" s="222" t="n"/>
      <c r="Q143" s="222" t="n"/>
      <c r="R143" s="222" t="n"/>
      <c r="S143" s="222" t="n"/>
      <c r="T143" s="222" t="n"/>
      <c r="U143" s="222" t="n"/>
      <c r="V143" s="222" t="n"/>
      <c r="W143" s="222" t="n"/>
      <c r="X143" s="222" t="n"/>
      <c r="Y143" s="222" t="n"/>
      <c r="Z143" s="222" t="n"/>
      <c r="AA143" s="127" t="n"/>
      <c r="AB143" s="127" t="n"/>
      <c r="AC143" s="232">
        <f>IF($B143="","",IF($D143="Theo ngày",SUMIFS('CHAM_CONG_NGAY'!$E$6:$E$4655,'CHAM_CONG_NGAY'!$B$6:$B$4655,$B143,'CHAM_CONG_NGAY'!$C$6:$C$4655,"&gt;="&amp;'THAM_SO'!$B$6,'CHAM_CONG_NGAY'!$C$6:$C$4655,"&lt;="&amp;'THAM_SO'!$B$7),$E143))</f>
        <v/>
      </c>
      <c r="AD143" s="232">
        <f>IF($B143="","",IF($D143="Theo ngày",SUMIFS('CHAM_CONG_NGAY'!$F$6:$F$4655,'CHAM_CONG_NGAY'!$B$6:$B$4655,$B143,'CHAM_CONG_NGAY'!$C$6:$C$4655,"&gt;="&amp;'THAM_SO'!$B$6,'CHAM_CONG_NGAY'!$C$6:$C$4655,"&lt;="&amp;'THAM_SO'!$B$7),$F143))</f>
        <v/>
      </c>
      <c r="AE143" s="232">
        <f>IF($B143="","",IF($D143="Theo ngày",SUMIFS('CHAM_CONG_NGAY'!$G$6:$G$4655,'CHAM_CONG_NGAY'!$B$6:$B$4655,$B143,'CHAM_CONG_NGAY'!$C$6:$C$4655,"&gt;="&amp;'THAM_SO'!$B$6,'CHAM_CONG_NGAY'!$C$6:$C$4655,"&lt;="&amp;'THAM_SO'!$B$7),$G143))</f>
        <v/>
      </c>
      <c r="AF143" s="232">
        <f>IF($B143="","",IF($D143="Theo ngày",SUMIFS('CHAM_CONG_NGAY'!$H$6:$H$4655,'CHAM_CONG_NGAY'!$B$6:$B$4655,$B143,'CHAM_CONG_NGAY'!$C$6:$C$4655,"&gt;="&amp;'THAM_SO'!$B$6,'CHAM_CONG_NGAY'!$C$6:$C$4655,"&lt;="&amp;'THAM_SO'!$B$7),$H143))</f>
        <v/>
      </c>
      <c r="AG143" s="232">
        <f>IF($B143="","",IF($D143="Theo ngày",SUMIFS('CHAM_CONG_NGAY'!$I$6:$I$4655,'CHAM_CONG_NGAY'!$B$6:$B$4655,$B143,'CHAM_CONG_NGAY'!$C$6:$C$4655,"&gt;="&amp;'THAM_SO'!$B$6,'CHAM_CONG_NGAY'!$C$6:$C$4655,"&lt;="&amp;'THAM_SO'!$B$7),$I143))</f>
        <v/>
      </c>
      <c r="AH143" s="232">
        <f>IF($B143="","",IF($D143="Theo ngày",SUMIFS('CHAM_CONG_NGAY'!$J$6:$J$4655,'CHAM_CONG_NGAY'!$B$6:$B$4655,$B143,'CHAM_CONG_NGAY'!$C$6:$C$4655,"&gt;="&amp;'THAM_SO'!$B$6,'CHAM_CONG_NGAY'!$C$6:$C$4655,"&lt;="&amp;'THAM_SO'!$B$7),$J143))</f>
        <v/>
      </c>
      <c r="AI143" s="232">
        <f>IF($B143="","",IF($D143="Theo ngày",SUMIFS('CHAM_CONG_NGAY'!$K$6:$K$4655,'CHAM_CONG_NGAY'!$B$6:$B$4655,$B143,'CHAM_CONG_NGAY'!$C$6:$C$4655,"&gt;="&amp;'THAM_SO'!$B$6,'CHAM_CONG_NGAY'!$C$6:$C$4655,"&lt;="&amp;'THAM_SO'!$B$7),$K143))</f>
        <v/>
      </c>
      <c r="AJ143" s="232">
        <f>IF($B143="","",IF($D143="Theo ngày",SUMIFS('CHAM_CONG_NGAY'!$L$6:$L$4655,'CHAM_CONG_NGAY'!$B$6:$B$4655,$B143,'CHAM_CONG_NGAY'!$C$6:$C$4655,"&gt;="&amp;'THAM_SO'!$B$6,'CHAM_CONG_NGAY'!$C$6:$C$4655,"&lt;="&amp;'THAM_SO'!$B$7),$L143))</f>
        <v/>
      </c>
      <c r="AK143" s="232">
        <f>IF($B143="","",IF($D143="Theo ngày",SUMIFS('CHAM_CONG_NGAY'!$M$6:$M$4655,'CHAM_CONG_NGAY'!$B$6:$B$4655,$B143,'CHAM_CONG_NGAY'!$C$6:$C$4655,"&gt;="&amp;'THAM_SO'!$B$6,'CHAM_CONG_NGAY'!$C$6:$C$4655,"&lt;="&amp;'THAM_SO'!$B$7),$M143))</f>
        <v/>
      </c>
      <c r="AL143" s="227" t="n"/>
      <c r="AM143" s="227" t="n"/>
      <c r="AN143" s="227" t="n"/>
      <c r="AO143" s="227" t="n"/>
      <c r="AP143" s="227" t="n"/>
      <c r="AQ143" s="227" t="n"/>
      <c r="AR143" s="232">
        <f>IF($B143="","",IF($D143="Theo ngày",SUMIFS('CHAM_CONG_NGAY'!$O$6:$O$4655,'CHAM_CONG_NGAY'!$B$6:$B$4655,$B143,'CHAM_CONG_NGAY'!$C$6:$C$4655,"&gt;="&amp;'THAM_SO'!$B$6,'CHAM_CONG_NGAY'!$C$6:$C$4655,"&lt;="&amp;'THAM_SO'!$B$7),$AL143))</f>
        <v/>
      </c>
      <c r="AS143" s="232">
        <f>IF($B143="","",IF($D143="Theo ngày",SUMIFS('CHAM_CONG_NGAY'!$P$6:$P$4655,'CHAM_CONG_NGAY'!$B$6:$B$4655,$B143,'CHAM_CONG_NGAY'!$C$6:$C$4655,"&gt;="&amp;'THAM_SO'!$B$6,'CHAM_CONG_NGAY'!$C$6:$C$4655,"&lt;="&amp;'THAM_SO'!$B$7),$AM143))</f>
        <v/>
      </c>
      <c r="AT143" s="232">
        <f>IF($B143="","",IF($D143="Theo ngày",SUMIFS('CHAM_CONG_NGAY'!$Q$6:$Q$4655,'CHAM_CONG_NGAY'!$B$6:$B$4655,$B143,'CHAM_CONG_NGAY'!$C$6:$C$4655,"&gt;="&amp;'THAM_SO'!$B$6,'CHAM_CONG_NGAY'!$C$6:$C$4655,"&lt;="&amp;'THAM_SO'!$B$7),$AN143))</f>
        <v/>
      </c>
      <c r="AU143" s="232">
        <f>IF($B143="","",IF($D143="Theo ngày",SUMIFS('CHAM_CONG_NGAY'!$R$6:$R$4655,'CHAM_CONG_NGAY'!$B$6:$B$4655,$B143,'CHAM_CONG_NGAY'!$C$6:$C$4655,"&gt;="&amp;'THAM_SO'!$B$6,'CHAM_CONG_NGAY'!$C$6:$C$4655,"&lt;="&amp;'THAM_SO'!$B$7),$AO143))</f>
        <v/>
      </c>
      <c r="AV143" s="232">
        <f>IF($B143="","",IF($D143="Theo ngày",SUMIFS('CHAM_CONG_NGAY'!$S$6:$S$4655,'CHAM_CONG_NGAY'!$B$6:$B$4655,$B143,'CHAM_CONG_NGAY'!$C$6:$C$4655,"&gt;="&amp;'THAM_SO'!$B$6,'CHAM_CONG_NGAY'!$C$6:$C$4655,"&lt;="&amp;'THAM_SO'!$B$7),$AP143))</f>
        <v/>
      </c>
      <c r="AW143" s="232">
        <f>IF($B143="","",IF($D143="Theo ngày",SUMIFS('CHAM_CONG_NGAY'!$T$6:$T$4655,'CHAM_CONG_NGAY'!$B$6:$B$4655,$B143,'CHAM_CONG_NGAY'!$C$6:$C$4655,"&gt;="&amp;'THAM_SO'!$B$6,'CHAM_CONG_NGAY'!$C$6:$C$4655,"&lt;="&amp;'THAM_SO'!$B$7),$AQ143))</f>
        <v/>
      </c>
    </row>
    <row r="144">
      <c r="A144" s="145">
        <f>IF($B144="","",ROW()-5)</f>
        <v/>
      </c>
      <c r="B144" s="145">
        <f>IF('DM_NHAN_SU'!B144="","",'DM_NHAN_SU'!B144)</f>
        <v/>
      </c>
      <c r="C144" s="145">
        <f>IF('DM_NHAN_SU'!B144="","",'DM_NHAN_SU'!C144)</f>
        <v/>
      </c>
      <c r="D144" s="127" t="n"/>
      <c r="E144" s="227" t="n"/>
      <c r="F144" s="227" t="n"/>
      <c r="G144" s="227" t="n"/>
      <c r="H144" s="227" t="n"/>
      <c r="I144" s="227" t="n"/>
      <c r="J144" s="227" t="n"/>
      <c r="K144" s="227" t="n"/>
      <c r="L144" s="227" t="n"/>
      <c r="M144" s="227" t="n"/>
      <c r="N144" s="227" t="n"/>
      <c r="O144" s="222" t="n"/>
      <c r="P144" s="222" t="n"/>
      <c r="Q144" s="222" t="n"/>
      <c r="R144" s="222" t="n"/>
      <c r="S144" s="222" t="n"/>
      <c r="T144" s="222" t="n"/>
      <c r="U144" s="222" t="n"/>
      <c r="V144" s="222" t="n"/>
      <c r="W144" s="222" t="n"/>
      <c r="X144" s="222" t="n"/>
      <c r="Y144" s="222" t="n"/>
      <c r="Z144" s="222" t="n"/>
      <c r="AA144" s="127" t="n"/>
      <c r="AB144" s="127" t="n"/>
      <c r="AC144" s="232">
        <f>IF($B144="","",IF($D144="Theo ngày",SUMIFS('CHAM_CONG_NGAY'!$E$6:$E$4655,'CHAM_CONG_NGAY'!$B$6:$B$4655,$B144,'CHAM_CONG_NGAY'!$C$6:$C$4655,"&gt;="&amp;'THAM_SO'!$B$6,'CHAM_CONG_NGAY'!$C$6:$C$4655,"&lt;="&amp;'THAM_SO'!$B$7),$E144))</f>
        <v/>
      </c>
      <c r="AD144" s="232">
        <f>IF($B144="","",IF($D144="Theo ngày",SUMIFS('CHAM_CONG_NGAY'!$F$6:$F$4655,'CHAM_CONG_NGAY'!$B$6:$B$4655,$B144,'CHAM_CONG_NGAY'!$C$6:$C$4655,"&gt;="&amp;'THAM_SO'!$B$6,'CHAM_CONG_NGAY'!$C$6:$C$4655,"&lt;="&amp;'THAM_SO'!$B$7),$F144))</f>
        <v/>
      </c>
      <c r="AE144" s="232">
        <f>IF($B144="","",IF($D144="Theo ngày",SUMIFS('CHAM_CONG_NGAY'!$G$6:$G$4655,'CHAM_CONG_NGAY'!$B$6:$B$4655,$B144,'CHAM_CONG_NGAY'!$C$6:$C$4655,"&gt;="&amp;'THAM_SO'!$B$6,'CHAM_CONG_NGAY'!$C$6:$C$4655,"&lt;="&amp;'THAM_SO'!$B$7),$G144))</f>
        <v/>
      </c>
      <c r="AF144" s="232">
        <f>IF($B144="","",IF($D144="Theo ngày",SUMIFS('CHAM_CONG_NGAY'!$H$6:$H$4655,'CHAM_CONG_NGAY'!$B$6:$B$4655,$B144,'CHAM_CONG_NGAY'!$C$6:$C$4655,"&gt;="&amp;'THAM_SO'!$B$6,'CHAM_CONG_NGAY'!$C$6:$C$4655,"&lt;="&amp;'THAM_SO'!$B$7),$H144))</f>
        <v/>
      </c>
      <c r="AG144" s="232">
        <f>IF($B144="","",IF($D144="Theo ngày",SUMIFS('CHAM_CONG_NGAY'!$I$6:$I$4655,'CHAM_CONG_NGAY'!$B$6:$B$4655,$B144,'CHAM_CONG_NGAY'!$C$6:$C$4655,"&gt;="&amp;'THAM_SO'!$B$6,'CHAM_CONG_NGAY'!$C$6:$C$4655,"&lt;="&amp;'THAM_SO'!$B$7),$I144))</f>
        <v/>
      </c>
      <c r="AH144" s="232">
        <f>IF($B144="","",IF($D144="Theo ngày",SUMIFS('CHAM_CONG_NGAY'!$J$6:$J$4655,'CHAM_CONG_NGAY'!$B$6:$B$4655,$B144,'CHAM_CONG_NGAY'!$C$6:$C$4655,"&gt;="&amp;'THAM_SO'!$B$6,'CHAM_CONG_NGAY'!$C$6:$C$4655,"&lt;="&amp;'THAM_SO'!$B$7),$J144))</f>
        <v/>
      </c>
      <c r="AI144" s="232">
        <f>IF($B144="","",IF($D144="Theo ngày",SUMIFS('CHAM_CONG_NGAY'!$K$6:$K$4655,'CHAM_CONG_NGAY'!$B$6:$B$4655,$B144,'CHAM_CONG_NGAY'!$C$6:$C$4655,"&gt;="&amp;'THAM_SO'!$B$6,'CHAM_CONG_NGAY'!$C$6:$C$4655,"&lt;="&amp;'THAM_SO'!$B$7),$K144))</f>
        <v/>
      </c>
      <c r="AJ144" s="232">
        <f>IF($B144="","",IF($D144="Theo ngày",SUMIFS('CHAM_CONG_NGAY'!$L$6:$L$4655,'CHAM_CONG_NGAY'!$B$6:$B$4655,$B144,'CHAM_CONG_NGAY'!$C$6:$C$4655,"&gt;="&amp;'THAM_SO'!$B$6,'CHAM_CONG_NGAY'!$C$6:$C$4655,"&lt;="&amp;'THAM_SO'!$B$7),$L144))</f>
        <v/>
      </c>
      <c r="AK144" s="232">
        <f>IF($B144="","",IF($D144="Theo ngày",SUMIFS('CHAM_CONG_NGAY'!$M$6:$M$4655,'CHAM_CONG_NGAY'!$B$6:$B$4655,$B144,'CHAM_CONG_NGAY'!$C$6:$C$4655,"&gt;="&amp;'THAM_SO'!$B$6,'CHAM_CONG_NGAY'!$C$6:$C$4655,"&lt;="&amp;'THAM_SO'!$B$7),$M144))</f>
        <v/>
      </c>
      <c r="AL144" s="227" t="n"/>
      <c r="AM144" s="227" t="n"/>
      <c r="AN144" s="227" t="n"/>
      <c r="AO144" s="227" t="n"/>
      <c r="AP144" s="227" t="n"/>
      <c r="AQ144" s="227" t="n"/>
      <c r="AR144" s="232">
        <f>IF($B144="","",IF($D144="Theo ngày",SUMIFS('CHAM_CONG_NGAY'!$O$6:$O$4655,'CHAM_CONG_NGAY'!$B$6:$B$4655,$B144,'CHAM_CONG_NGAY'!$C$6:$C$4655,"&gt;="&amp;'THAM_SO'!$B$6,'CHAM_CONG_NGAY'!$C$6:$C$4655,"&lt;="&amp;'THAM_SO'!$B$7),$AL144))</f>
        <v/>
      </c>
      <c r="AS144" s="232">
        <f>IF($B144="","",IF($D144="Theo ngày",SUMIFS('CHAM_CONG_NGAY'!$P$6:$P$4655,'CHAM_CONG_NGAY'!$B$6:$B$4655,$B144,'CHAM_CONG_NGAY'!$C$6:$C$4655,"&gt;="&amp;'THAM_SO'!$B$6,'CHAM_CONG_NGAY'!$C$6:$C$4655,"&lt;="&amp;'THAM_SO'!$B$7),$AM144))</f>
        <v/>
      </c>
      <c r="AT144" s="232">
        <f>IF($B144="","",IF($D144="Theo ngày",SUMIFS('CHAM_CONG_NGAY'!$Q$6:$Q$4655,'CHAM_CONG_NGAY'!$B$6:$B$4655,$B144,'CHAM_CONG_NGAY'!$C$6:$C$4655,"&gt;="&amp;'THAM_SO'!$B$6,'CHAM_CONG_NGAY'!$C$6:$C$4655,"&lt;="&amp;'THAM_SO'!$B$7),$AN144))</f>
        <v/>
      </c>
      <c r="AU144" s="232">
        <f>IF($B144="","",IF($D144="Theo ngày",SUMIFS('CHAM_CONG_NGAY'!$R$6:$R$4655,'CHAM_CONG_NGAY'!$B$6:$B$4655,$B144,'CHAM_CONG_NGAY'!$C$6:$C$4655,"&gt;="&amp;'THAM_SO'!$B$6,'CHAM_CONG_NGAY'!$C$6:$C$4655,"&lt;="&amp;'THAM_SO'!$B$7),$AO144))</f>
        <v/>
      </c>
      <c r="AV144" s="232">
        <f>IF($B144="","",IF($D144="Theo ngày",SUMIFS('CHAM_CONG_NGAY'!$S$6:$S$4655,'CHAM_CONG_NGAY'!$B$6:$B$4655,$B144,'CHAM_CONG_NGAY'!$C$6:$C$4655,"&gt;="&amp;'THAM_SO'!$B$6,'CHAM_CONG_NGAY'!$C$6:$C$4655,"&lt;="&amp;'THAM_SO'!$B$7),$AP144))</f>
        <v/>
      </c>
      <c r="AW144" s="232">
        <f>IF($B144="","",IF($D144="Theo ngày",SUMIFS('CHAM_CONG_NGAY'!$T$6:$T$4655,'CHAM_CONG_NGAY'!$B$6:$B$4655,$B144,'CHAM_CONG_NGAY'!$C$6:$C$4655,"&gt;="&amp;'THAM_SO'!$B$6,'CHAM_CONG_NGAY'!$C$6:$C$4655,"&lt;="&amp;'THAM_SO'!$B$7),$AQ144))</f>
        <v/>
      </c>
    </row>
    <row r="145">
      <c r="A145" s="145">
        <f>IF($B145="","",ROW()-5)</f>
        <v/>
      </c>
      <c r="B145" s="145">
        <f>IF('DM_NHAN_SU'!B145="","",'DM_NHAN_SU'!B145)</f>
        <v/>
      </c>
      <c r="C145" s="145">
        <f>IF('DM_NHAN_SU'!B145="","",'DM_NHAN_SU'!C145)</f>
        <v/>
      </c>
      <c r="D145" s="127" t="n"/>
      <c r="E145" s="227" t="n"/>
      <c r="F145" s="227" t="n"/>
      <c r="G145" s="227" t="n"/>
      <c r="H145" s="227" t="n"/>
      <c r="I145" s="227" t="n"/>
      <c r="J145" s="227" t="n"/>
      <c r="K145" s="227" t="n"/>
      <c r="L145" s="227" t="n"/>
      <c r="M145" s="227" t="n"/>
      <c r="N145" s="227" t="n"/>
      <c r="O145" s="222" t="n"/>
      <c r="P145" s="222" t="n"/>
      <c r="Q145" s="222" t="n"/>
      <c r="R145" s="222" t="n"/>
      <c r="S145" s="222" t="n"/>
      <c r="T145" s="222" t="n"/>
      <c r="U145" s="222" t="n"/>
      <c r="V145" s="222" t="n"/>
      <c r="W145" s="222" t="n"/>
      <c r="X145" s="222" t="n"/>
      <c r="Y145" s="222" t="n"/>
      <c r="Z145" s="222" t="n"/>
      <c r="AA145" s="127" t="n"/>
      <c r="AB145" s="127" t="n"/>
      <c r="AC145" s="232">
        <f>IF($B145="","",IF($D145="Theo ngày",SUMIFS('CHAM_CONG_NGAY'!$E$6:$E$4655,'CHAM_CONG_NGAY'!$B$6:$B$4655,$B145,'CHAM_CONG_NGAY'!$C$6:$C$4655,"&gt;="&amp;'THAM_SO'!$B$6,'CHAM_CONG_NGAY'!$C$6:$C$4655,"&lt;="&amp;'THAM_SO'!$B$7),$E145))</f>
        <v/>
      </c>
      <c r="AD145" s="232">
        <f>IF($B145="","",IF($D145="Theo ngày",SUMIFS('CHAM_CONG_NGAY'!$F$6:$F$4655,'CHAM_CONG_NGAY'!$B$6:$B$4655,$B145,'CHAM_CONG_NGAY'!$C$6:$C$4655,"&gt;="&amp;'THAM_SO'!$B$6,'CHAM_CONG_NGAY'!$C$6:$C$4655,"&lt;="&amp;'THAM_SO'!$B$7),$F145))</f>
        <v/>
      </c>
      <c r="AE145" s="232">
        <f>IF($B145="","",IF($D145="Theo ngày",SUMIFS('CHAM_CONG_NGAY'!$G$6:$G$4655,'CHAM_CONG_NGAY'!$B$6:$B$4655,$B145,'CHAM_CONG_NGAY'!$C$6:$C$4655,"&gt;="&amp;'THAM_SO'!$B$6,'CHAM_CONG_NGAY'!$C$6:$C$4655,"&lt;="&amp;'THAM_SO'!$B$7),$G145))</f>
        <v/>
      </c>
      <c r="AF145" s="232">
        <f>IF($B145="","",IF($D145="Theo ngày",SUMIFS('CHAM_CONG_NGAY'!$H$6:$H$4655,'CHAM_CONG_NGAY'!$B$6:$B$4655,$B145,'CHAM_CONG_NGAY'!$C$6:$C$4655,"&gt;="&amp;'THAM_SO'!$B$6,'CHAM_CONG_NGAY'!$C$6:$C$4655,"&lt;="&amp;'THAM_SO'!$B$7),$H145))</f>
        <v/>
      </c>
      <c r="AG145" s="232">
        <f>IF($B145="","",IF($D145="Theo ngày",SUMIFS('CHAM_CONG_NGAY'!$I$6:$I$4655,'CHAM_CONG_NGAY'!$B$6:$B$4655,$B145,'CHAM_CONG_NGAY'!$C$6:$C$4655,"&gt;="&amp;'THAM_SO'!$B$6,'CHAM_CONG_NGAY'!$C$6:$C$4655,"&lt;="&amp;'THAM_SO'!$B$7),$I145))</f>
        <v/>
      </c>
      <c r="AH145" s="232">
        <f>IF($B145="","",IF($D145="Theo ngày",SUMIFS('CHAM_CONG_NGAY'!$J$6:$J$4655,'CHAM_CONG_NGAY'!$B$6:$B$4655,$B145,'CHAM_CONG_NGAY'!$C$6:$C$4655,"&gt;="&amp;'THAM_SO'!$B$6,'CHAM_CONG_NGAY'!$C$6:$C$4655,"&lt;="&amp;'THAM_SO'!$B$7),$J145))</f>
        <v/>
      </c>
      <c r="AI145" s="232">
        <f>IF($B145="","",IF($D145="Theo ngày",SUMIFS('CHAM_CONG_NGAY'!$K$6:$K$4655,'CHAM_CONG_NGAY'!$B$6:$B$4655,$B145,'CHAM_CONG_NGAY'!$C$6:$C$4655,"&gt;="&amp;'THAM_SO'!$B$6,'CHAM_CONG_NGAY'!$C$6:$C$4655,"&lt;="&amp;'THAM_SO'!$B$7),$K145))</f>
        <v/>
      </c>
      <c r="AJ145" s="232">
        <f>IF($B145="","",IF($D145="Theo ngày",SUMIFS('CHAM_CONG_NGAY'!$L$6:$L$4655,'CHAM_CONG_NGAY'!$B$6:$B$4655,$B145,'CHAM_CONG_NGAY'!$C$6:$C$4655,"&gt;="&amp;'THAM_SO'!$B$6,'CHAM_CONG_NGAY'!$C$6:$C$4655,"&lt;="&amp;'THAM_SO'!$B$7),$L145))</f>
        <v/>
      </c>
      <c r="AK145" s="232">
        <f>IF($B145="","",IF($D145="Theo ngày",SUMIFS('CHAM_CONG_NGAY'!$M$6:$M$4655,'CHAM_CONG_NGAY'!$B$6:$B$4655,$B145,'CHAM_CONG_NGAY'!$C$6:$C$4655,"&gt;="&amp;'THAM_SO'!$B$6,'CHAM_CONG_NGAY'!$C$6:$C$4655,"&lt;="&amp;'THAM_SO'!$B$7),$M145))</f>
        <v/>
      </c>
      <c r="AL145" s="227" t="n"/>
      <c r="AM145" s="227" t="n"/>
      <c r="AN145" s="227" t="n"/>
      <c r="AO145" s="227" t="n"/>
      <c r="AP145" s="227" t="n"/>
      <c r="AQ145" s="227" t="n"/>
      <c r="AR145" s="232">
        <f>IF($B145="","",IF($D145="Theo ngày",SUMIFS('CHAM_CONG_NGAY'!$O$6:$O$4655,'CHAM_CONG_NGAY'!$B$6:$B$4655,$B145,'CHAM_CONG_NGAY'!$C$6:$C$4655,"&gt;="&amp;'THAM_SO'!$B$6,'CHAM_CONG_NGAY'!$C$6:$C$4655,"&lt;="&amp;'THAM_SO'!$B$7),$AL145))</f>
        <v/>
      </c>
      <c r="AS145" s="232">
        <f>IF($B145="","",IF($D145="Theo ngày",SUMIFS('CHAM_CONG_NGAY'!$P$6:$P$4655,'CHAM_CONG_NGAY'!$B$6:$B$4655,$B145,'CHAM_CONG_NGAY'!$C$6:$C$4655,"&gt;="&amp;'THAM_SO'!$B$6,'CHAM_CONG_NGAY'!$C$6:$C$4655,"&lt;="&amp;'THAM_SO'!$B$7),$AM145))</f>
        <v/>
      </c>
      <c r="AT145" s="232">
        <f>IF($B145="","",IF($D145="Theo ngày",SUMIFS('CHAM_CONG_NGAY'!$Q$6:$Q$4655,'CHAM_CONG_NGAY'!$B$6:$B$4655,$B145,'CHAM_CONG_NGAY'!$C$6:$C$4655,"&gt;="&amp;'THAM_SO'!$B$6,'CHAM_CONG_NGAY'!$C$6:$C$4655,"&lt;="&amp;'THAM_SO'!$B$7),$AN145))</f>
        <v/>
      </c>
      <c r="AU145" s="232">
        <f>IF($B145="","",IF($D145="Theo ngày",SUMIFS('CHAM_CONG_NGAY'!$R$6:$R$4655,'CHAM_CONG_NGAY'!$B$6:$B$4655,$B145,'CHAM_CONG_NGAY'!$C$6:$C$4655,"&gt;="&amp;'THAM_SO'!$B$6,'CHAM_CONG_NGAY'!$C$6:$C$4655,"&lt;="&amp;'THAM_SO'!$B$7),$AO145))</f>
        <v/>
      </c>
      <c r="AV145" s="232">
        <f>IF($B145="","",IF($D145="Theo ngày",SUMIFS('CHAM_CONG_NGAY'!$S$6:$S$4655,'CHAM_CONG_NGAY'!$B$6:$B$4655,$B145,'CHAM_CONG_NGAY'!$C$6:$C$4655,"&gt;="&amp;'THAM_SO'!$B$6,'CHAM_CONG_NGAY'!$C$6:$C$4655,"&lt;="&amp;'THAM_SO'!$B$7),$AP145))</f>
        <v/>
      </c>
      <c r="AW145" s="232">
        <f>IF($B145="","",IF($D145="Theo ngày",SUMIFS('CHAM_CONG_NGAY'!$T$6:$T$4655,'CHAM_CONG_NGAY'!$B$6:$B$4655,$B145,'CHAM_CONG_NGAY'!$C$6:$C$4655,"&gt;="&amp;'THAM_SO'!$B$6,'CHAM_CONG_NGAY'!$C$6:$C$4655,"&lt;="&amp;'THAM_SO'!$B$7),$AQ145))</f>
        <v/>
      </c>
    </row>
    <row r="146">
      <c r="A146" s="145">
        <f>IF($B146="","",ROW()-5)</f>
        <v/>
      </c>
      <c r="B146" s="145">
        <f>IF('DM_NHAN_SU'!B146="","",'DM_NHAN_SU'!B146)</f>
        <v/>
      </c>
      <c r="C146" s="145">
        <f>IF('DM_NHAN_SU'!B146="","",'DM_NHAN_SU'!C146)</f>
        <v/>
      </c>
      <c r="D146" s="127" t="n"/>
      <c r="E146" s="227" t="n"/>
      <c r="F146" s="227" t="n"/>
      <c r="G146" s="227" t="n"/>
      <c r="H146" s="227" t="n"/>
      <c r="I146" s="227" t="n"/>
      <c r="J146" s="227" t="n"/>
      <c r="K146" s="227" t="n"/>
      <c r="L146" s="227" t="n"/>
      <c r="M146" s="227" t="n"/>
      <c r="N146" s="227" t="n"/>
      <c r="O146" s="222" t="n"/>
      <c r="P146" s="222" t="n"/>
      <c r="Q146" s="222" t="n"/>
      <c r="R146" s="222" t="n"/>
      <c r="S146" s="222" t="n"/>
      <c r="T146" s="222" t="n"/>
      <c r="U146" s="222" t="n"/>
      <c r="V146" s="222" t="n"/>
      <c r="W146" s="222" t="n"/>
      <c r="X146" s="222" t="n"/>
      <c r="Y146" s="222" t="n"/>
      <c r="Z146" s="222" t="n"/>
      <c r="AA146" s="127" t="n"/>
      <c r="AB146" s="127" t="n"/>
      <c r="AC146" s="232">
        <f>IF($B146="","",IF($D146="Theo ngày",SUMIFS('CHAM_CONG_NGAY'!$E$6:$E$4655,'CHAM_CONG_NGAY'!$B$6:$B$4655,$B146,'CHAM_CONG_NGAY'!$C$6:$C$4655,"&gt;="&amp;'THAM_SO'!$B$6,'CHAM_CONG_NGAY'!$C$6:$C$4655,"&lt;="&amp;'THAM_SO'!$B$7),$E146))</f>
        <v/>
      </c>
      <c r="AD146" s="232">
        <f>IF($B146="","",IF($D146="Theo ngày",SUMIFS('CHAM_CONG_NGAY'!$F$6:$F$4655,'CHAM_CONG_NGAY'!$B$6:$B$4655,$B146,'CHAM_CONG_NGAY'!$C$6:$C$4655,"&gt;="&amp;'THAM_SO'!$B$6,'CHAM_CONG_NGAY'!$C$6:$C$4655,"&lt;="&amp;'THAM_SO'!$B$7),$F146))</f>
        <v/>
      </c>
      <c r="AE146" s="232">
        <f>IF($B146="","",IF($D146="Theo ngày",SUMIFS('CHAM_CONG_NGAY'!$G$6:$G$4655,'CHAM_CONG_NGAY'!$B$6:$B$4655,$B146,'CHAM_CONG_NGAY'!$C$6:$C$4655,"&gt;="&amp;'THAM_SO'!$B$6,'CHAM_CONG_NGAY'!$C$6:$C$4655,"&lt;="&amp;'THAM_SO'!$B$7),$G146))</f>
        <v/>
      </c>
      <c r="AF146" s="232">
        <f>IF($B146="","",IF($D146="Theo ngày",SUMIFS('CHAM_CONG_NGAY'!$H$6:$H$4655,'CHAM_CONG_NGAY'!$B$6:$B$4655,$B146,'CHAM_CONG_NGAY'!$C$6:$C$4655,"&gt;="&amp;'THAM_SO'!$B$6,'CHAM_CONG_NGAY'!$C$6:$C$4655,"&lt;="&amp;'THAM_SO'!$B$7),$H146))</f>
        <v/>
      </c>
      <c r="AG146" s="232">
        <f>IF($B146="","",IF($D146="Theo ngày",SUMIFS('CHAM_CONG_NGAY'!$I$6:$I$4655,'CHAM_CONG_NGAY'!$B$6:$B$4655,$B146,'CHAM_CONG_NGAY'!$C$6:$C$4655,"&gt;="&amp;'THAM_SO'!$B$6,'CHAM_CONG_NGAY'!$C$6:$C$4655,"&lt;="&amp;'THAM_SO'!$B$7),$I146))</f>
        <v/>
      </c>
      <c r="AH146" s="232">
        <f>IF($B146="","",IF($D146="Theo ngày",SUMIFS('CHAM_CONG_NGAY'!$J$6:$J$4655,'CHAM_CONG_NGAY'!$B$6:$B$4655,$B146,'CHAM_CONG_NGAY'!$C$6:$C$4655,"&gt;="&amp;'THAM_SO'!$B$6,'CHAM_CONG_NGAY'!$C$6:$C$4655,"&lt;="&amp;'THAM_SO'!$B$7),$J146))</f>
        <v/>
      </c>
      <c r="AI146" s="232">
        <f>IF($B146="","",IF($D146="Theo ngày",SUMIFS('CHAM_CONG_NGAY'!$K$6:$K$4655,'CHAM_CONG_NGAY'!$B$6:$B$4655,$B146,'CHAM_CONG_NGAY'!$C$6:$C$4655,"&gt;="&amp;'THAM_SO'!$B$6,'CHAM_CONG_NGAY'!$C$6:$C$4655,"&lt;="&amp;'THAM_SO'!$B$7),$K146))</f>
        <v/>
      </c>
      <c r="AJ146" s="232">
        <f>IF($B146="","",IF($D146="Theo ngày",SUMIFS('CHAM_CONG_NGAY'!$L$6:$L$4655,'CHAM_CONG_NGAY'!$B$6:$B$4655,$B146,'CHAM_CONG_NGAY'!$C$6:$C$4655,"&gt;="&amp;'THAM_SO'!$B$6,'CHAM_CONG_NGAY'!$C$6:$C$4655,"&lt;="&amp;'THAM_SO'!$B$7),$L146))</f>
        <v/>
      </c>
      <c r="AK146" s="232">
        <f>IF($B146="","",IF($D146="Theo ngày",SUMIFS('CHAM_CONG_NGAY'!$M$6:$M$4655,'CHAM_CONG_NGAY'!$B$6:$B$4655,$B146,'CHAM_CONG_NGAY'!$C$6:$C$4655,"&gt;="&amp;'THAM_SO'!$B$6,'CHAM_CONG_NGAY'!$C$6:$C$4655,"&lt;="&amp;'THAM_SO'!$B$7),$M146))</f>
        <v/>
      </c>
      <c r="AL146" s="227" t="n"/>
      <c r="AM146" s="227" t="n"/>
      <c r="AN146" s="227" t="n"/>
      <c r="AO146" s="227" t="n"/>
      <c r="AP146" s="227" t="n"/>
      <c r="AQ146" s="227" t="n"/>
      <c r="AR146" s="232">
        <f>IF($B146="","",IF($D146="Theo ngày",SUMIFS('CHAM_CONG_NGAY'!$O$6:$O$4655,'CHAM_CONG_NGAY'!$B$6:$B$4655,$B146,'CHAM_CONG_NGAY'!$C$6:$C$4655,"&gt;="&amp;'THAM_SO'!$B$6,'CHAM_CONG_NGAY'!$C$6:$C$4655,"&lt;="&amp;'THAM_SO'!$B$7),$AL146))</f>
        <v/>
      </c>
      <c r="AS146" s="232">
        <f>IF($B146="","",IF($D146="Theo ngày",SUMIFS('CHAM_CONG_NGAY'!$P$6:$P$4655,'CHAM_CONG_NGAY'!$B$6:$B$4655,$B146,'CHAM_CONG_NGAY'!$C$6:$C$4655,"&gt;="&amp;'THAM_SO'!$B$6,'CHAM_CONG_NGAY'!$C$6:$C$4655,"&lt;="&amp;'THAM_SO'!$B$7),$AM146))</f>
        <v/>
      </c>
      <c r="AT146" s="232">
        <f>IF($B146="","",IF($D146="Theo ngày",SUMIFS('CHAM_CONG_NGAY'!$Q$6:$Q$4655,'CHAM_CONG_NGAY'!$B$6:$B$4655,$B146,'CHAM_CONG_NGAY'!$C$6:$C$4655,"&gt;="&amp;'THAM_SO'!$B$6,'CHAM_CONG_NGAY'!$C$6:$C$4655,"&lt;="&amp;'THAM_SO'!$B$7),$AN146))</f>
        <v/>
      </c>
      <c r="AU146" s="232">
        <f>IF($B146="","",IF($D146="Theo ngày",SUMIFS('CHAM_CONG_NGAY'!$R$6:$R$4655,'CHAM_CONG_NGAY'!$B$6:$B$4655,$B146,'CHAM_CONG_NGAY'!$C$6:$C$4655,"&gt;="&amp;'THAM_SO'!$B$6,'CHAM_CONG_NGAY'!$C$6:$C$4655,"&lt;="&amp;'THAM_SO'!$B$7),$AO146))</f>
        <v/>
      </c>
      <c r="AV146" s="232">
        <f>IF($B146="","",IF($D146="Theo ngày",SUMIFS('CHAM_CONG_NGAY'!$S$6:$S$4655,'CHAM_CONG_NGAY'!$B$6:$B$4655,$B146,'CHAM_CONG_NGAY'!$C$6:$C$4655,"&gt;="&amp;'THAM_SO'!$B$6,'CHAM_CONG_NGAY'!$C$6:$C$4655,"&lt;="&amp;'THAM_SO'!$B$7),$AP146))</f>
        <v/>
      </c>
      <c r="AW146" s="232">
        <f>IF($B146="","",IF($D146="Theo ngày",SUMIFS('CHAM_CONG_NGAY'!$T$6:$T$4655,'CHAM_CONG_NGAY'!$B$6:$B$4655,$B146,'CHAM_CONG_NGAY'!$C$6:$C$4655,"&gt;="&amp;'THAM_SO'!$B$6,'CHAM_CONG_NGAY'!$C$6:$C$4655,"&lt;="&amp;'THAM_SO'!$B$7),$AQ146))</f>
        <v/>
      </c>
    </row>
    <row r="147">
      <c r="A147" s="145">
        <f>IF($B147="","",ROW()-5)</f>
        <v/>
      </c>
      <c r="B147" s="145">
        <f>IF('DM_NHAN_SU'!B147="","",'DM_NHAN_SU'!B147)</f>
        <v/>
      </c>
      <c r="C147" s="145">
        <f>IF('DM_NHAN_SU'!B147="","",'DM_NHAN_SU'!C147)</f>
        <v/>
      </c>
      <c r="D147" s="127" t="n"/>
      <c r="E147" s="227" t="n"/>
      <c r="F147" s="227" t="n"/>
      <c r="G147" s="227" t="n"/>
      <c r="H147" s="227" t="n"/>
      <c r="I147" s="227" t="n"/>
      <c r="J147" s="227" t="n"/>
      <c r="K147" s="227" t="n"/>
      <c r="L147" s="227" t="n"/>
      <c r="M147" s="227" t="n"/>
      <c r="N147" s="227" t="n"/>
      <c r="O147" s="222" t="n"/>
      <c r="P147" s="222" t="n"/>
      <c r="Q147" s="222" t="n"/>
      <c r="R147" s="222" t="n"/>
      <c r="S147" s="222" t="n"/>
      <c r="T147" s="222" t="n"/>
      <c r="U147" s="222" t="n"/>
      <c r="V147" s="222" t="n"/>
      <c r="W147" s="222" t="n"/>
      <c r="X147" s="222" t="n"/>
      <c r="Y147" s="222" t="n"/>
      <c r="Z147" s="222" t="n"/>
      <c r="AA147" s="127" t="n"/>
      <c r="AB147" s="127" t="n"/>
      <c r="AC147" s="232">
        <f>IF($B147="","",IF($D147="Theo ngày",SUMIFS('CHAM_CONG_NGAY'!$E$6:$E$4655,'CHAM_CONG_NGAY'!$B$6:$B$4655,$B147,'CHAM_CONG_NGAY'!$C$6:$C$4655,"&gt;="&amp;'THAM_SO'!$B$6,'CHAM_CONG_NGAY'!$C$6:$C$4655,"&lt;="&amp;'THAM_SO'!$B$7),$E147))</f>
        <v/>
      </c>
      <c r="AD147" s="232">
        <f>IF($B147="","",IF($D147="Theo ngày",SUMIFS('CHAM_CONG_NGAY'!$F$6:$F$4655,'CHAM_CONG_NGAY'!$B$6:$B$4655,$B147,'CHAM_CONG_NGAY'!$C$6:$C$4655,"&gt;="&amp;'THAM_SO'!$B$6,'CHAM_CONG_NGAY'!$C$6:$C$4655,"&lt;="&amp;'THAM_SO'!$B$7),$F147))</f>
        <v/>
      </c>
      <c r="AE147" s="232">
        <f>IF($B147="","",IF($D147="Theo ngày",SUMIFS('CHAM_CONG_NGAY'!$G$6:$G$4655,'CHAM_CONG_NGAY'!$B$6:$B$4655,$B147,'CHAM_CONG_NGAY'!$C$6:$C$4655,"&gt;="&amp;'THAM_SO'!$B$6,'CHAM_CONG_NGAY'!$C$6:$C$4655,"&lt;="&amp;'THAM_SO'!$B$7),$G147))</f>
        <v/>
      </c>
      <c r="AF147" s="232">
        <f>IF($B147="","",IF($D147="Theo ngày",SUMIFS('CHAM_CONG_NGAY'!$H$6:$H$4655,'CHAM_CONG_NGAY'!$B$6:$B$4655,$B147,'CHAM_CONG_NGAY'!$C$6:$C$4655,"&gt;="&amp;'THAM_SO'!$B$6,'CHAM_CONG_NGAY'!$C$6:$C$4655,"&lt;="&amp;'THAM_SO'!$B$7),$H147))</f>
        <v/>
      </c>
      <c r="AG147" s="232">
        <f>IF($B147="","",IF($D147="Theo ngày",SUMIFS('CHAM_CONG_NGAY'!$I$6:$I$4655,'CHAM_CONG_NGAY'!$B$6:$B$4655,$B147,'CHAM_CONG_NGAY'!$C$6:$C$4655,"&gt;="&amp;'THAM_SO'!$B$6,'CHAM_CONG_NGAY'!$C$6:$C$4655,"&lt;="&amp;'THAM_SO'!$B$7),$I147))</f>
        <v/>
      </c>
      <c r="AH147" s="232">
        <f>IF($B147="","",IF($D147="Theo ngày",SUMIFS('CHAM_CONG_NGAY'!$J$6:$J$4655,'CHAM_CONG_NGAY'!$B$6:$B$4655,$B147,'CHAM_CONG_NGAY'!$C$6:$C$4655,"&gt;="&amp;'THAM_SO'!$B$6,'CHAM_CONG_NGAY'!$C$6:$C$4655,"&lt;="&amp;'THAM_SO'!$B$7),$J147))</f>
        <v/>
      </c>
      <c r="AI147" s="232">
        <f>IF($B147="","",IF($D147="Theo ngày",SUMIFS('CHAM_CONG_NGAY'!$K$6:$K$4655,'CHAM_CONG_NGAY'!$B$6:$B$4655,$B147,'CHAM_CONG_NGAY'!$C$6:$C$4655,"&gt;="&amp;'THAM_SO'!$B$6,'CHAM_CONG_NGAY'!$C$6:$C$4655,"&lt;="&amp;'THAM_SO'!$B$7),$K147))</f>
        <v/>
      </c>
      <c r="AJ147" s="232">
        <f>IF($B147="","",IF($D147="Theo ngày",SUMIFS('CHAM_CONG_NGAY'!$L$6:$L$4655,'CHAM_CONG_NGAY'!$B$6:$B$4655,$B147,'CHAM_CONG_NGAY'!$C$6:$C$4655,"&gt;="&amp;'THAM_SO'!$B$6,'CHAM_CONG_NGAY'!$C$6:$C$4655,"&lt;="&amp;'THAM_SO'!$B$7),$L147))</f>
        <v/>
      </c>
      <c r="AK147" s="232">
        <f>IF($B147="","",IF($D147="Theo ngày",SUMIFS('CHAM_CONG_NGAY'!$M$6:$M$4655,'CHAM_CONG_NGAY'!$B$6:$B$4655,$B147,'CHAM_CONG_NGAY'!$C$6:$C$4655,"&gt;="&amp;'THAM_SO'!$B$6,'CHAM_CONG_NGAY'!$C$6:$C$4655,"&lt;="&amp;'THAM_SO'!$B$7),$M147))</f>
        <v/>
      </c>
      <c r="AL147" s="227" t="n"/>
      <c r="AM147" s="227" t="n"/>
      <c r="AN147" s="227" t="n"/>
      <c r="AO147" s="227" t="n"/>
      <c r="AP147" s="227" t="n"/>
      <c r="AQ147" s="227" t="n"/>
      <c r="AR147" s="232">
        <f>IF($B147="","",IF($D147="Theo ngày",SUMIFS('CHAM_CONG_NGAY'!$O$6:$O$4655,'CHAM_CONG_NGAY'!$B$6:$B$4655,$B147,'CHAM_CONG_NGAY'!$C$6:$C$4655,"&gt;="&amp;'THAM_SO'!$B$6,'CHAM_CONG_NGAY'!$C$6:$C$4655,"&lt;="&amp;'THAM_SO'!$B$7),$AL147))</f>
        <v/>
      </c>
      <c r="AS147" s="232">
        <f>IF($B147="","",IF($D147="Theo ngày",SUMIFS('CHAM_CONG_NGAY'!$P$6:$P$4655,'CHAM_CONG_NGAY'!$B$6:$B$4655,$B147,'CHAM_CONG_NGAY'!$C$6:$C$4655,"&gt;="&amp;'THAM_SO'!$B$6,'CHAM_CONG_NGAY'!$C$6:$C$4655,"&lt;="&amp;'THAM_SO'!$B$7),$AM147))</f>
        <v/>
      </c>
      <c r="AT147" s="232">
        <f>IF($B147="","",IF($D147="Theo ngày",SUMIFS('CHAM_CONG_NGAY'!$Q$6:$Q$4655,'CHAM_CONG_NGAY'!$B$6:$B$4655,$B147,'CHAM_CONG_NGAY'!$C$6:$C$4655,"&gt;="&amp;'THAM_SO'!$B$6,'CHAM_CONG_NGAY'!$C$6:$C$4655,"&lt;="&amp;'THAM_SO'!$B$7),$AN147))</f>
        <v/>
      </c>
      <c r="AU147" s="232">
        <f>IF($B147="","",IF($D147="Theo ngày",SUMIFS('CHAM_CONG_NGAY'!$R$6:$R$4655,'CHAM_CONG_NGAY'!$B$6:$B$4655,$B147,'CHAM_CONG_NGAY'!$C$6:$C$4655,"&gt;="&amp;'THAM_SO'!$B$6,'CHAM_CONG_NGAY'!$C$6:$C$4655,"&lt;="&amp;'THAM_SO'!$B$7),$AO147))</f>
        <v/>
      </c>
      <c r="AV147" s="232">
        <f>IF($B147="","",IF($D147="Theo ngày",SUMIFS('CHAM_CONG_NGAY'!$S$6:$S$4655,'CHAM_CONG_NGAY'!$B$6:$B$4655,$B147,'CHAM_CONG_NGAY'!$C$6:$C$4655,"&gt;="&amp;'THAM_SO'!$B$6,'CHAM_CONG_NGAY'!$C$6:$C$4655,"&lt;="&amp;'THAM_SO'!$B$7),$AP147))</f>
        <v/>
      </c>
      <c r="AW147" s="232">
        <f>IF($B147="","",IF($D147="Theo ngày",SUMIFS('CHAM_CONG_NGAY'!$T$6:$T$4655,'CHAM_CONG_NGAY'!$B$6:$B$4655,$B147,'CHAM_CONG_NGAY'!$C$6:$C$4655,"&gt;="&amp;'THAM_SO'!$B$6,'CHAM_CONG_NGAY'!$C$6:$C$4655,"&lt;="&amp;'THAM_SO'!$B$7),$AQ147))</f>
        <v/>
      </c>
    </row>
    <row r="148">
      <c r="A148" s="145">
        <f>IF($B148="","",ROW()-5)</f>
        <v/>
      </c>
      <c r="B148" s="145">
        <f>IF('DM_NHAN_SU'!B148="","",'DM_NHAN_SU'!B148)</f>
        <v/>
      </c>
      <c r="C148" s="145">
        <f>IF('DM_NHAN_SU'!B148="","",'DM_NHAN_SU'!C148)</f>
        <v/>
      </c>
      <c r="D148" s="127" t="n"/>
      <c r="E148" s="227" t="n"/>
      <c r="F148" s="227" t="n"/>
      <c r="G148" s="227" t="n"/>
      <c r="H148" s="227" t="n"/>
      <c r="I148" s="227" t="n"/>
      <c r="J148" s="227" t="n"/>
      <c r="K148" s="227" t="n"/>
      <c r="L148" s="227" t="n"/>
      <c r="M148" s="227" t="n"/>
      <c r="N148" s="227" t="n"/>
      <c r="O148" s="222" t="n"/>
      <c r="P148" s="222" t="n"/>
      <c r="Q148" s="222" t="n"/>
      <c r="R148" s="222" t="n"/>
      <c r="S148" s="222" t="n"/>
      <c r="T148" s="222" t="n"/>
      <c r="U148" s="222" t="n"/>
      <c r="V148" s="222" t="n"/>
      <c r="W148" s="222" t="n"/>
      <c r="X148" s="222" t="n"/>
      <c r="Y148" s="222" t="n"/>
      <c r="Z148" s="222" t="n"/>
      <c r="AA148" s="127" t="n"/>
      <c r="AB148" s="127" t="n"/>
      <c r="AC148" s="232">
        <f>IF($B148="","",IF($D148="Theo ngày",SUMIFS('CHAM_CONG_NGAY'!$E$6:$E$4655,'CHAM_CONG_NGAY'!$B$6:$B$4655,$B148,'CHAM_CONG_NGAY'!$C$6:$C$4655,"&gt;="&amp;'THAM_SO'!$B$6,'CHAM_CONG_NGAY'!$C$6:$C$4655,"&lt;="&amp;'THAM_SO'!$B$7),$E148))</f>
        <v/>
      </c>
      <c r="AD148" s="232">
        <f>IF($B148="","",IF($D148="Theo ngày",SUMIFS('CHAM_CONG_NGAY'!$F$6:$F$4655,'CHAM_CONG_NGAY'!$B$6:$B$4655,$B148,'CHAM_CONG_NGAY'!$C$6:$C$4655,"&gt;="&amp;'THAM_SO'!$B$6,'CHAM_CONG_NGAY'!$C$6:$C$4655,"&lt;="&amp;'THAM_SO'!$B$7),$F148))</f>
        <v/>
      </c>
      <c r="AE148" s="232">
        <f>IF($B148="","",IF($D148="Theo ngày",SUMIFS('CHAM_CONG_NGAY'!$G$6:$G$4655,'CHAM_CONG_NGAY'!$B$6:$B$4655,$B148,'CHAM_CONG_NGAY'!$C$6:$C$4655,"&gt;="&amp;'THAM_SO'!$B$6,'CHAM_CONG_NGAY'!$C$6:$C$4655,"&lt;="&amp;'THAM_SO'!$B$7),$G148))</f>
        <v/>
      </c>
      <c r="AF148" s="232">
        <f>IF($B148="","",IF($D148="Theo ngày",SUMIFS('CHAM_CONG_NGAY'!$H$6:$H$4655,'CHAM_CONG_NGAY'!$B$6:$B$4655,$B148,'CHAM_CONG_NGAY'!$C$6:$C$4655,"&gt;="&amp;'THAM_SO'!$B$6,'CHAM_CONG_NGAY'!$C$6:$C$4655,"&lt;="&amp;'THAM_SO'!$B$7),$H148))</f>
        <v/>
      </c>
      <c r="AG148" s="232">
        <f>IF($B148="","",IF($D148="Theo ngày",SUMIFS('CHAM_CONG_NGAY'!$I$6:$I$4655,'CHAM_CONG_NGAY'!$B$6:$B$4655,$B148,'CHAM_CONG_NGAY'!$C$6:$C$4655,"&gt;="&amp;'THAM_SO'!$B$6,'CHAM_CONG_NGAY'!$C$6:$C$4655,"&lt;="&amp;'THAM_SO'!$B$7),$I148))</f>
        <v/>
      </c>
      <c r="AH148" s="232">
        <f>IF($B148="","",IF($D148="Theo ngày",SUMIFS('CHAM_CONG_NGAY'!$J$6:$J$4655,'CHAM_CONG_NGAY'!$B$6:$B$4655,$B148,'CHAM_CONG_NGAY'!$C$6:$C$4655,"&gt;="&amp;'THAM_SO'!$B$6,'CHAM_CONG_NGAY'!$C$6:$C$4655,"&lt;="&amp;'THAM_SO'!$B$7),$J148))</f>
        <v/>
      </c>
      <c r="AI148" s="232">
        <f>IF($B148="","",IF($D148="Theo ngày",SUMIFS('CHAM_CONG_NGAY'!$K$6:$K$4655,'CHAM_CONG_NGAY'!$B$6:$B$4655,$B148,'CHAM_CONG_NGAY'!$C$6:$C$4655,"&gt;="&amp;'THAM_SO'!$B$6,'CHAM_CONG_NGAY'!$C$6:$C$4655,"&lt;="&amp;'THAM_SO'!$B$7),$K148))</f>
        <v/>
      </c>
      <c r="AJ148" s="232">
        <f>IF($B148="","",IF($D148="Theo ngày",SUMIFS('CHAM_CONG_NGAY'!$L$6:$L$4655,'CHAM_CONG_NGAY'!$B$6:$B$4655,$B148,'CHAM_CONG_NGAY'!$C$6:$C$4655,"&gt;="&amp;'THAM_SO'!$B$6,'CHAM_CONG_NGAY'!$C$6:$C$4655,"&lt;="&amp;'THAM_SO'!$B$7),$L148))</f>
        <v/>
      </c>
      <c r="AK148" s="232">
        <f>IF($B148="","",IF($D148="Theo ngày",SUMIFS('CHAM_CONG_NGAY'!$M$6:$M$4655,'CHAM_CONG_NGAY'!$B$6:$B$4655,$B148,'CHAM_CONG_NGAY'!$C$6:$C$4655,"&gt;="&amp;'THAM_SO'!$B$6,'CHAM_CONG_NGAY'!$C$6:$C$4655,"&lt;="&amp;'THAM_SO'!$B$7),$M148))</f>
        <v/>
      </c>
      <c r="AL148" s="227" t="n"/>
      <c r="AM148" s="227" t="n"/>
      <c r="AN148" s="227" t="n"/>
      <c r="AO148" s="227" t="n"/>
      <c r="AP148" s="227" t="n"/>
      <c r="AQ148" s="227" t="n"/>
      <c r="AR148" s="232">
        <f>IF($B148="","",IF($D148="Theo ngày",SUMIFS('CHAM_CONG_NGAY'!$O$6:$O$4655,'CHAM_CONG_NGAY'!$B$6:$B$4655,$B148,'CHAM_CONG_NGAY'!$C$6:$C$4655,"&gt;="&amp;'THAM_SO'!$B$6,'CHAM_CONG_NGAY'!$C$6:$C$4655,"&lt;="&amp;'THAM_SO'!$B$7),$AL148))</f>
        <v/>
      </c>
      <c r="AS148" s="232">
        <f>IF($B148="","",IF($D148="Theo ngày",SUMIFS('CHAM_CONG_NGAY'!$P$6:$P$4655,'CHAM_CONG_NGAY'!$B$6:$B$4655,$B148,'CHAM_CONG_NGAY'!$C$6:$C$4655,"&gt;="&amp;'THAM_SO'!$B$6,'CHAM_CONG_NGAY'!$C$6:$C$4655,"&lt;="&amp;'THAM_SO'!$B$7),$AM148))</f>
        <v/>
      </c>
      <c r="AT148" s="232">
        <f>IF($B148="","",IF($D148="Theo ngày",SUMIFS('CHAM_CONG_NGAY'!$Q$6:$Q$4655,'CHAM_CONG_NGAY'!$B$6:$B$4655,$B148,'CHAM_CONG_NGAY'!$C$6:$C$4655,"&gt;="&amp;'THAM_SO'!$B$6,'CHAM_CONG_NGAY'!$C$6:$C$4655,"&lt;="&amp;'THAM_SO'!$B$7),$AN148))</f>
        <v/>
      </c>
      <c r="AU148" s="232">
        <f>IF($B148="","",IF($D148="Theo ngày",SUMIFS('CHAM_CONG_NGAY'!$R$6:$R$4655,'CHAM_CONG_NGAY'!$B$6:$B$4655,$B148,'CHAM_CONG_NGAY'!$C$6:$C$4655,"&gt;="&amp;'THAM_SO'!$B$6,'CHAM_CONG_NGAY'!$C$6:$C$4655,"&lt;="&amp;'THAM_SO'!$B$7),$AO148))</f>
        <v/>
      </c>
      <c r="AV148" s="232">
        <f>IF($B148="","",IF($D148="Theo ngày",SUMIFS('CHAM_CONG_NGAY'!$S$6:$S$4655,'CHAM_CONG_NGAY'!$B$6:$B$4655,$B148,'CHAM_CONG_NGAY'!$C$6:$C$4655,"&gt;="&amp;'THAM_SO'!$B$6,'CHAM_CONG_NGAY'!$C$6:$C$4655,"&lt;="&amp;'THAM_SO'!$B$7),$AP148))</f>
        <v/>
      </c>
      <c r="AW148" s="232">
        <f>IF($B148="","",IF($D148="Theo ngày",SUMIFS('CHAM_CONG_NGAY'!$T$6:$T$4655,'CHAM_CONG_NGAY'!$B$6:$B$4655,$B148,'CHAM_CONG_NGAY'!$C$6:$C$4655,"&gt;="&amp;'THAM_SO'!$B$6,'CHAM_CONG_NGAY'!$C$6:$C$4655,"&lt;="&amp;'THAM_SO'!$B$7),$AQ148))</f>
        <v/>
      </c>
    </row>
    <row r="149">
      <c r="A149" s="145">
        <f>IF($B149="","",ROW()-5)</f>
        <v/>
      </c>
      <c r="B149" s="145">
        <f>IF('DM_NHAN_SU'!B149="","",'DM_NHAN_SU'!B149)</f>
        <v/>
      </c>
      <c r="C149" s="145">
        <f>IF('DM_NHAN_SU'!B149="","",'DM_NHAN_SU'!C149)</f>
        <v/>
      </c>
      <c r="D149" s="127" t="n"/>
      <c r="E149" s="227" t="n"/>
      <c r="F149" s="227" t="n"/>
      <c r="G149" s="227" t="n"/>
      <c r="H149" s="227" t="n"/>
      <c r="I149" s="227" t="n"/>
      <c r="J149" s="227" t="n"/>
      <c r="K149" s="227" t="n"/>
      <c r="L149" s="227" t="n"/>
      <c r="M149" s="227" t="n"/>
      <c r="N149" s="227" t="n"/>
      <c r="O149" s="222" t="n"/>
      <c r="P149" s="222" t="n"/>
      <c r="Q149" s="222" t="n"/>
      <c r="R149" s="222" t="n"/>
      <c r="S149" s="222" t="n"/>
      <c r="T149" s="222" t="n"/>
      <c r="U149" s="222" t="n"/>
      <c r="V149" s="222" t="n"/>
      <c r="W149" s="222" t="n"/>
      <c r="X149" s="222" t="n"/>
      <c r="Y149" s="222" t="n"/>
      <c r="Z149" s="222" t="n"/>
      <c r="AA149" s="127" t="n"/>
      <c r="AB149" s="127" t="n"/>
      <c r="AC149" s="232">
        <f>IF($B149="","",IF($D149="Theo ngày",SUMIFS('CHAM_CONG_NGAY'!$E$6:$E$4655,'CHAM_CONG_NGAY'!$B$6:$B$4655,$B149,'CHAM_CONG_NGAY'!$C$6:$C$4655,"&gt;="&amp;'THAM_SO'!$B$6,'CHAM_CONG_NGAY'!$C$6:$C$4655,"&lt;="&amp;'THAM_SO'!$B$7),$E149))</f>
        <v/>
      </c>
      <c r="AD149" s="232">
        <f>IF($B149="","",IF($D149="Theo ngày",SUMIFS('CHAM_CONG_NGAY'!$F$6:$F$4655,'CHAM_CONG_NGAY'!$B$6:$B$4655,$B149,'CHAM_CONG_NGAY'!$C$6:$C$4655,"&gt;="&amp;'THAM_SO'!$B$6,'CHAM_CONG_NGAY'!$C$6:$C$4655,"&lt;="&amp;'THAM_SO'!$B$7),$F149))</f>
        <v/>
      </c>
      <c r="AE149" s="232">
        <f>IF($B149="","",IF($D149="Theo ngày",SUMIFS('CHAM_CONG_NGAY'!$G$6:$G$4655,'CHAM_CONG_NGAY'!$B$6:$B$4655,$B149,'CHAM_CONG_NGAY'!$C$6:$C$4655,"&gt;="&amp;'THAM_SO'!$B$6,'CHAM_CONG_NGAY'!$C$6:$C$4655,"&lt;="&amp;'THAM_SO'!$B$7),$G149))</f>
        <v/>
      </c>
      <c r="AF149" s="232">
        <f>IF($B149="","",IF($D149="Theo ngày",SUMIFS('CHAM_CONG_NGAY'!$H$6:$H$4655,'CHAM_CONG_NGAY'!$B$6:$B$4655,$B149,'CHAM_CONG_NGAY'!$C$6:$C$4655,"&gt;="&amp;'THAM_SO'!$B$6,'CHAM_CONG_NGAY'!$C$6:$C$4655,"&lt;="&amp;'THAM_SO'!$B$7),$H149))</f>
        <v/>
      </c>
      <c r="AG149" s="232">
        <f>IF($B149="","",IF($D149="Theo ngày",SUMIFS('CHAM_CONG_NGAY'!$I$6:$I$4655,'CHAM_CONG_NGAY'!$B$6:$B$4655,$B149,'CHAM_CONG_NGAY'!$C$6:$C$4655,"&gt;="&amp;'THAM_SO'!$B$6,'CHAM_CONG_NGAY'!$C$6:$C$4655,"&lt;="&amp;'THAM_SO'!$B$7),$I149))</f>
        <v/>
      </c>
      <c r="AH149" s="232">
        <f>IF($B149="","",IF($D149="Theo ngày",SUMIFS('CHAM_CONG_NGAY'!$J$6:$J$4655,'CHAM_CONG_NGAY'!$B$6:$B$4655,$B149,'CHAM_CONG_NGAY'!$C$6:$C$4655,"&gt;="&amp;'THAM_SO'!$B$6,'CHAM_CONG_NGAY'!$C$6:$C$4655,"&lt;="&amp;'THAM_SO'!$B$7),$J149))</f>
        <v/>
      </c>
      <c r="AI149" s="232">
        <f>IF($B149="","",IF($D149="Theo ngày",SUMIFS('CHAM_CONG_NGAY'!$K$6:$K$4655,'CHAM_CONG_NGAY'!$B$6:$B$4655,$B149,'CHAM_CONG_NGAY'!$C$6:$C$4655,"&gt;="&amp;'THAM_SO'!$B$6,'CHAM_CONG_NGAY'!$C$6:$C$4655,"&lt;="&amp;'THAM_SO'!$B$7),$K149))</f>
        <v/>
      </c>
      <c r="AJ149" s="232">
        <f>IF($B149="","",IF($D149="Theo ngày",SUMIFS('CHAM_CONG_NGAY'!$L$6:$L$4655,'CHAM_CONG_NGAY'!$B$6:$B$4655,$B149,'CHAM_CONG_NGAY'!$C$6:$C$4655,"&gt;="&amp;'THAM_SO'!$B$6,'CHAM_CONG_NGAY'!$C$6:$C$4655,"&lt;="&amp;'THAM_SO'!$B$7),$L149))</f>
        <v/>
      </c>
      <c r="AK149" s="232">
        <f>IF($B149="","",IF($D149="Theo ngày",SUMIFS('CHAM_CONG_NGAY'!$M$6:$M$4655,'CHAM_CONG_NGAY'!$B$6:$B$4655,$B149,'CHAM_CONG_NGAY'!$C$6:$C$4655,"&gt;="&amp;'THAM_SO'!$B$6,'CHAM_CONG_NGAY'!$C$6:$C$4655,"&lt;="&amp;'THAM_SO'!$B$7),$M149))</f>
        <v/>
      </c>
      <c r="AL149" s="227" t="n"/>
      <c r="AM149" s="227" t="n"/>
      <c r="AN149" s="227" t="n"/>
      <c r="AO149" s="227" t="n"/>
      <c r="AP149" s="227" t="n"/>
      <c r="AQ149" s="227" t="n"/>
      <c r="AR149" s="232">
        <f>IF($B149="","",IF($D149="Theo ngày",SUMIFS('CHAM_CONG_NGAY'!$O$6:$O$4655,'CHAM_CONG_NGAY'!$B$6:$B$4655,$B149,'CHAM_CONG_NGAY'!$C$6:$C$4655,"&gt;="&amp;'THAM_SO'!$B$6,'CHAM_CONG_NGAY'!$C$6:$C$4655,"&lt;="&amp;'THAM_SO'!$B$7),$AL149))</f>
        <v/>
      </c>
      <c r="AS149" s="232">
        <f>IF($B149="","",IF($D149="Theo ngày",SUMIFS('CHAM_CONG_NGAY'!$P$6:$P$4655,'CHAM_CONG_NGAY'!$B$6:$B$4655,$B149,'CHAM_CONG_NGAY'!$C$6:$C$4655,"&gt;="&amp;'THAM_SO'!$B$6,'CHAM_CONG_NGAY'!$C$6:$C$4655,"&lt;="&amp;'THAM_SO'!$B$7),$AM149))</f>
        <v/>
      </c>
      <c r="AT149" s="232">
        <f>IF($B149="","",IF($D149="Theo ngày",SUMIFS('CHAM_CONG_NGAY'!$Q$6:$Q$4655,'CHAM_CONG_NGAY'!$B$6:$B$4655,$B149,'CHAM_CONG_NGAY'!$C$6:$C$4655,"&gt;="&amp;'THAM_SO'!$B$6,'CHAM_CONG_NGAY'!$C$6:$C$4655,"&lt;="&amp;'THAM_SO'!$B$7),$AN149))</f>
        <v/>
      </c>
      <c r="AU149" s="232">
        <f>IF($B149="","",IF($D149="Theo ngày",SUMIFS('CHAM_CONG_NGAY'!$R$6:$R$4655,'CHAM_CONG_NGAY'!$B$6:$B$4655,$B149,'CHAM_CONG_NGAY'!$C$6:$C$4655,"&gt;="&amp;'THAM_SO'!$B$6,'CHAM_CONG_NGAY'!$C$6:$C$4655,"&lt;="&amp;'THAM_SO'!$B$7),$AO149))</f>
        <v/>
      </c>
      <c r="AV149" s="232">
        <f>IF($B149="","",IF($D149="Theo ngày",SUMIFS('CHAM_CONG_NGAY'!$S$6:$S$4655,'CHAM_CONG_NGAY'!$B$6:$B$4655,$B149,'CHAM_CONG_NGAY'!$C$6:$C$4655,"&gt;="&amp;'THAM_SO'!$B$6,'CHAM_CONG_NGAY'!$C$6:$C$4655,"&lt;="&amp;'THAM_SO'!$B$7),$AP149))</f>
        <v/>
      </c>
      <c r="AW149" s="232">
        <f>IF($B149="","",IF($D149="Theo ngày",SUMIFS('CHAM_CONG_NGAY'!$T$6:$T$4655,'CHAM_CONG_NGAY'!$B$6:$B$4655,$B149,'CHAM_CONG_NGAY'!$C$6:$C$4655,"&gt;="&amp;'THAM_SO'!$B$6,'CHAM_CONG_NGAY'!$C$6:$C$4655,"&lt;="&amp;'THAM_SO'!$B$7),$AQ149))</f>
        <v/>
      </c>
    </row>
    <row r="150">
      <c r="A150" s="145">
        <f>IF($B150="","",ROW()-5)</f>
        <v/>
      </c>
      <c r="B150" s="145">
        <f>IF('DM_NHAN_SU'!B150="","",'DM_NHAN_SU'!B150)</f>
        <v/>
      </c>
      <c r="C150" s="145">
        <f>IF('DM_NHAN_SU'!B150="","",'DM_NHAN_SU'!C150)</f>
        <v/>
      </c>
      <c r="D150" s="127" t="n"/>
      <c r="E150" s="227" t="n"/>
      <c r="F150" s="227" t="n"/>
      <c r="G150" s="227" t="n"/>
      <c r="H150" s="227" t="n"/>
      <c r="I150" s="227" t="n"/>
      <c r="J150" s="227" t="n"/>
      <c r="K150" s="227" t="n"/>
      <c r="L150" s="227" t="n"/>
      <c r="M150" s="227" t="n"/>
      <c r="N150" s="227" t="n"/>
      <c r="O150" s="222" t="n"/>
      <c r="P150" s="222" t="n"/>
      <c r="Q150" s="222" t="n"/>
      <c r="R150" s="222" t="n"/>
      <c r="S150" s="222" t="n"/>
      <c r="T150" s="222" t="n"/>
      <c r="U150" s="222" t="n"/>
      <c r="V150" s="222" t="n"/>
      <c r="W150" s="222" t="n"/>
      <c r="X150" s="222" t="n"/>
      <c r="Y150" s="222" t="n"/>
      <c r="Z150" s="222" t="n"/>
      <c r="AA150" s="127" t="n"/>
      <c r="AB150" s="127" t="n"/>
      <c r="AC150" s="232">
        <f>IF($B150="","",IF($D150="Theo ngày",SUMIFS('CHAM_CONG_NGAY'!$E$6:$E$4655,'CHAM_CONG_NGAY'!$B$6:$B$4655,$B150,'CHAM_CONG_NGAY'!$C$6:$C$4655,"&gt;="&amp;'THAM_SO'!$B$6,'CHAM_CONG_NGAY'!$C$6:$C$4655,"&lt;="&amp;'THAM_SO'!$B$7),$E150))</f>
        <v/>
      </c>
      <c r="AD150" s="232">
        <f>IF($B150="","",IF($D150="Theo ngày",SUMIFS('CHAM_CONG_NGAY'!$F$6:$F$4655,'CHAM_CONG_NGAY'!$B$6:$B$4655,$B150,'CHAM_CONG_NGAY'!$C$6:$C$4655,"&gt;="&amp;'THAM_SO'!$B$6,'CHAM_CONG_NGAY'!$C$6:$C$4655,"&lt;="&amp;'THAM_SO'!$B$7),$F150))</f>
        <v/>
      </c>
      <c r="AE150" s="232">
        <f>IF($B150="","",IF($D150="Theo ngày",SUMIFS('CHAM_CONG_NGAY'!$G$6:$G$4655,'CHAM_CONG_NGAY'!$B$6:$B$4655,$B150,'CHAM_CONG_NGAY'!$C$6:$C$4655,"&gt;="&amp;'THAM_SO'!$B$6,'CHAM_CONG_NGAY'!$C$6:$C$4655,"&lt;="&amp;'THAM_SO'!$B$7),$G150))</f>
        <v/>
      </c>
      <c r="AF150" s="232">
        <f>IF($B150="","",IF($D150="Theo ngày",SUMIFS('CHAM_CONG_NGAY'!$H$6:$H$4655,'CHAM_CONG_NGAY'!$B$6:$B$4655,$B150,'CHAM_CONG_NGAY'!$C$6:$C$4655,"&gt;="&amp;'THAM_SO'!$B$6,'CHAM_CONG_NGAY'!$C$6:$C$4655,"&lt;="&amp;'THAM_SO'!$B$7),$H150))</f>
        <v/>
      </c>
      <c r="AG150" s="232">
        <f>IF($B150="","",IF($D150="Theo ngày",SUMIFS('CHAM_CONG_NGAY'!$I$6:$I$4655,'CHAM_CONG_NGAY'!$B$6:$B$4655,$B150,'CHAM_CONG_NGAY'!$C$6:$C$4655,"&gt;="&amp;'THAM_SO'!$B$6,'CHAM_CONG_NGAY'!$C$6:$C$4655,"&lt;="&amp;'THAM_SO'!$B$7),$I150))</f>
        <v/>
      </c>
      <c r="AH150" s="232">
        <f>IF($B150="","",IF($D150="Theo ngày",SUMIFS('CHAM_CONG_NGAY'!$J$6:$J$4655,'CHAM_CONG_NGAY'!$B$6:$B$4655,$B150,'CHAM_CONG_NGAY'!$C$6:$C$4655,"&gt;="&amp;'THAM_SO'!$B$6,'CHAM_CONG_NGAY'!$C$6:$C$4655,"&lt;="&amp;'THAM_SO'!$B$7),$J150))</f>
        <v/>
      </c>
      <c r="AI150" s="232">
        <f>IF($B150="","",IF($D150="Theo ngày",SUMIFS('CHAM_CONG_NGAY'!$K$6:$K$4655,'CHAM_CONG_NGAY'!$B$6:$B$4655,$B150,'CHAM_CONG_NGAY'!$C$6:$C$4655,"&gt;="&amp;'THAM_SO'!$B$6,'CHAM_CONG_NGAY'!$C$6:$C$4655,"&lt;="&amp;'THAM_SO'!$B$7),$K150))</f>
        <v/>
      </c>
      <c r="AJ150" s="232">
        <f>IF($B150="","",IF($D150="Theo ngày",SUMIFS('CHAM_CONG_NGAY'!$L$6:$L$4655,'CHAM_CONG_NGAY'!$B$6:$B$4655,$B150,'CHAM_CONG_NGAY'!$C$6:$C$4655,"&gt;="&amp;'THAM_SO'!$B$6,'CHAM_CONG_NGAY'!$C$6:$C$4655,"&lt;="&amp;'THAM_SO'!$B$7),$L150))</f>
        <v/>
      </c>
      <c r="AK150" s="232">
        <f>IF($B150="","",IF($D150="Theo ngày",SUMIFS('CHAM_CONG_NGAY'!$M$6:$M$4655,'CHAM_CONG_NGAY'!$B$6:$B$4655,$B150,'CHAM_CONG_NGAY'!$C$6:$C$4655,"&gt;="&amp;'THAM_SO'!$B$6,'CHAM_CONG_NGAY'!$C$6:$C$4655,"&lt;="&amp;'THAM_SO'!$B$7),$M150))</f>
        <v/>
      </c>
      <c r="AL150" s="227" t="n"/>
      <c r="AM150" s="227" t="n"/>
      <c r="AN150" s="227" t="n"/>
      <c r="AO150" s="227" t="n"/>
      <c r="AP150" s="227" t="n"/>
      <c r="AQ150" s="227" t="n"/>
      <c r="AR150" s="232">
        <f>IF($B150="","",IF($D150="Theo ngày",SUMIFS('CHAM_CONG_NGAY'!$O$6:$O$4655,'CHAM_CONG_NGAY'!$B$6:$B$4655,$B150,'CHAM_CONG_NGAY'!$C$6:$C$4655,"&gt;="&amp;'THAM_SO'!$B$6,'CHAM_CONG_NGAY'!$C$6:$C$4655,"&lt;="&amp;'THAM_SO'!$B$7),$AL150))</f>
        <v/>
      </c>
      <c r="AS150" s="232">
        <f>IF($B150="","",IF($D150="Theo ngày",SUMIFS('CHAM_CONG_NGAY'!$P$6:$P$4655,'CHAM_CONG_NGAY'!$B$6:$B$4655,$B150,'CHAM_CONG_NGAY'!$C$6:$C$4655,"&gt;="&amp;'THAM_SO'!$B$6,'CHAM_CONG_NGAY'!$C$6:$C$4655,"&lt;="&amp;'THAM_SO'!$B$7),$AM150))</f>
        <v/>
      </c>
      <c r="AT150" s="232">
        <f>IF($B150="","",IF($D150="Theo ngày",SUMIFS('CHAM_CONG_NGAY'!$Q$6:$Q$4655,'CHAM_CONG_NGAY'!$B$6:$B$4655,$B150,'CHAM_CONG_NGAY'!$C$6:$C$4655,"&gt;="&amp;'THAM_SO'!$B$6,'CHAM_CONG_NGAY'!$C$6:$C$4655,"&lt;="&amp;'THAM_SO'!$B$7),$AN150))</f>
        <v/>
      </c>
      <c r="AU150" s="232">
        <f>IF($B150="","",IF($D150="Theo ngày",SUMIFS('CHAM_CONG_NGAY'!$R$6:$R$4655,'CHAM_CONG_NGAY'!$B$6:$B$4655,$B150,'CHAM_CONG_NGAY'!$C$6:$C$4655,"&gt;="&amp;'THAM_SO'!$B$6,'CHAM_CONG_NGAY'!$C$6:$C$4655,"&lt;="&amp;'THAM_SO'!$B$7),$AO150))</f>
        <v/>
      </c>
      <c r="AV150" s="232">
        <f>IF($B150="","",IF($D150="Theo ngày",SUMIFS('CHAM_CONG_NGAY'!$S$6:$S$4655,'CHAM_CONG_NGAY'!$B$6:$B$4655,$B150,'CHAM_CONG_NGAY'!$C$6:$C$4655,"&gt;="&amp;'THAM_SO'!$B$6,'CHAM_CONG_NGAY'!$C$6:$C$4655,"&lt;="&amp;'THAM_SO'!$B$7),$AP150))</f>
        <v/>
      </c>
      <c r="AW150" s="232">
        <f>IF($B150="","",IF($D150="Theo ngày",SUMIFS('CHAM_CONG_NGAY'!$T$6:$T$4655,'CHAM_CONG_NGAY'!$B$6:$B$4655,$B150,'CHAM_CONG_NGAY'!$C$6:$C$4655,"&gt;="&amp;'THAM_SO'!$B$6,'CHAM_CONG_NGAY'!$C$6:$C$4655,"&lt;="&amp;'THAM_SO'!$B$7),$AQ150))</f>
        <v/>
      </c>
    </row>
    <row r="151">
      <c r="A151" s="145">
        <f>IF($B151="","",ROW()-5)</f>
        <v/>
      </c>
      <c r="B151" s="145">
        <f>IF('DM_NHAN_SU'!B151="","",'DM_NHAN_SU'!B151)</f>
        <v/>
      </c>
      <c r="C151" s="145">
        <f>IF('DM_NHAN_SU'!B151="","",'DM_NHAN_SU'!C151)</f>
        <v/>
      </c>
      <c r="D151" s="127" t="n"/>
      <c r="E151" s="227" t="n"/>
      <c r="F151" s="227" t="n"/>
      <c r="G151" s="227" t="n"/>
      <c r="H151" s="227" t="n"/>
      <c r="I151" s="227" t="n"/>
      <c r="J151" s="227" t="n"/>
      <c r="K151" s="227" t="n"/>
      <c r="L151" s="227" t="n"/>
      <c r="M151" s="227" t="n"/>
      <c r="N151" s="227" t="n"/>
      <c r="O151" s="222" t="n"/>
      <c r="P151" s="222" t="n"/>
      <c r="Q151" s="222" t="n"/>
      <c r="R151" s="222" t="n"/>
      <c r="S151" s="222" t="n"/>
      <c r="T151" s="222" t="n"/>
      <c r="U151" s="222" t="n"/>
      <c r="V151" s="222" t="n"/>
      <c r="W151" s="222" t="n"/>
      <c r="X151" s="222" t="n"/>
      <c r="Y151" s="222" t="n"/>
      <c r="Z151" s="222" t="n"/>
      <c r="AA151" s="127" t="n"/>
      <c r="AB151" s="127" t="n"/>
      <c r="AC151" s="232">
        <f>IF($B151="","",IF($D151="Theo ngày",SUMIFS('CHAM_CONG_NGAY'!$E$6:$E$4655,'CHAM_CONG_NGAY'!$B$6:$B$4655,$B151,'CHAM_CONG_NGAY'!$C$6:$C$4655,"&gt;="&amp;'THAM_SO'!$B$6,'CHAM_CONG_NGAY'!$C$6:$C$4655,"&lt;="&amp;'THAM_SO'!$B$7),$E151))</f>
        <v/>
      </c>
      <c r="AD151" s="232">
        <f>IF($B151="","",IF($D151="Theo ngày",SUMIFS('CHAM_CONG_NGAY'!$F$6:$F$4655,'CHAM_CONG_NGAY'!$B$6:$B$4655,$B151,'CHAM_CONG_NGAY'!$C$6:$C$4655,"&gt;="&amp;'THAM_SO'!$B$6,'CHAM_CONG_NGAY'!$C$6:$C$4655,"&lt;="&amp;'THAM_SO'!$B$7),$F151))</f>
        <v/>
      </c>
      <c r="AE151" s="232">
        <f>IF($B151="","",IF($D151="Theo ngày",SUMIFS('CHAM_CONG_NGAY'!$G$6:$G$4655,'CHAM_CONG_NGAY'!$B$6:$B$4655,$B151,'CHAM_CONG_NGAY'!$C$6:$C$4655,"&gt;="&amp;'THAM_SO'!$B$6,'CHAM_CONG_NGAY'!$C$6:$C$4655,"&lt;="&amp;'THAM_SO'!$B$7),$G151))</f>
        <v/>
      </c>
      <c r="AF151" s="232">
        <f>IF($B151="","",IF($D151="Theo ngày",SUMIFS('CHAM_CONG_NGAY'!$H$6:$H$4655,'CHAM_CONG_NGAY'!$B$6:$B$4655,$B151,'CHAM_CONG_NGAY'!$C$6:$C$4655,"&gt;="&amp;'THAM_SO'!$B$6,'CHAM_CONG_NGAY'!$C$6:$C$4655,"&lt;="&amp;'THAM_SO'!$B$7),$H151))</f>
        <v/>
      </c>
      <c r="AG151" s="232">
        <f>IF($B151="","",IF($D151="Theo ngày",SUMIFS('CHAM_CONG_NGAY'!$I$6:$I$4655,'CHAM_CONG_NGAY'!$B$6:$B$4655,$B151,'CHAM_CONG_NGAY'!$C$6:$C$4655,"&gt;="&amp;'THAM_SO'!$B$6,'CHAM_CONG_NGAY'!$C$6:$C$4655,"&lt;="&amp;'THAM_SO'!$B$7),$I151))</f>
        <v/>
      </c>
      <c r="AH151" s="232">
        <f>IF($B151="","",IF($D151="Theo ngày",SUMIFS('CHAM_CONG_NGAY'!$J$6:$J$4655,'CHAM_CONG_NGAY'!$B$6:$B$4655,$B151,'CHAM_CONG_NGAY'!$C$6:$C$4655,"&gt;="&amp;'THAM_SO'!$B$6,'CHAM_CONG_NGAY'!$C$6:$C$4655,"&lt;="&amp;'THAM_SO'!$B$7),$J151))</f>
        <v/>
      </c>
      <c r="AI151" s="232">
        <f>IF($B151="","",IF($D151="Theo ngày",SUMIFS('CHAM_CONG_NGAY'!$K$6:$K$4655,'CHAM_CONG_NGAY'!$B$6:$B$4655,$B151,'CHAM_CONG_NGAY'!$C$6:$C$4655,"&gt;="&amp;'THAM_SO'!$B$6,'CHAM_CONG_NGAY'!$C$6:$C$4655,"&lt;="&amp;'THAM_SO'!$B$7),$K151))</f>
        <v/>
      </c>
      <c r="AJ151" s="232">
        <f>IF($B151="","",IF($D151="Theo ngày",SUMIFS('CHAM_CONG_NGAY'!$L$6:$L$4655,'CHAM_CONG_NGAY'!$B$6:$B$4655,$B151,'CHAM_CONG_NGAY'!$C$6:$C$4655,"&gt;="&amp;'THAM_SO'!$B$6,'CHAM_CONG_NGAY'!$C$6:$C$4655,"&lt;="&amp;'THAM_SO'!$B$7),$L151))</f>
        <v/>
      </c>
      <c r="AK151" s="232">
        <f>IF($B151="","",IF($D151="Theo ngày",SUMIFS('CHAM_CONG_NGAY'!$M$6:$M$4655,'CHAM_CONG_NGAY'!$B$6:$B$4655,$B151,'CHAM_CONG_NGAY'!$C$6:$C$4655,"&gt;="&amp;'THAM_SO'!$B$6,'CHAM_CONG_NGAY'!$C$6:$C$4655,"&lt;="&amp;'THAM_SO'!$B$7),$M151))</f>
        <v/>
      </c>
      <c r="AL151" s="227" t="n"/>
      <c r="AM151" s="227" t="n"/>
      <c r="AN151" s="227" t="n"/>
      <c r="AO151" s="227" t="n"/>
      <c r="AP151" s="227" t="n"/>
      <c r="AQ151" s="227" t="n"/>
      <c r="AR151" s="232">
        <f>IF($B151="","",IF($D151="Theo ngày",SUMIFS('CHAM_CONG_NGAY'!$O$6:$O$4655,'CHAM_CONG_NGAY'!$B$6:$B$4655,$B151,'CHAM_CONG_NGAY'!$C$6:$C$4655,"&gt;="&amp;'THAM_SO'!$B$6,'CHAM_CONG_NGAY'!$C$6:$C$4655,"&lt;="&amp;'THAM_SO'!$B$7),$AL151))</f>
        <v/>
      </c>
      <c r="AS151" s="232">
        <f>IF($B151="","",IF($D151="Theo ngày",SUMIFS('CHAM_CONG_NGAY'!$P$6:$P$4655,'CHAM_CONG_NGAY'!$B$6:$B$4655,$B151,'CHAM_CONG_NGAY'!$C$6:$C$4655,"&gt;="&amp;'THAM_SO'!$B$6,'CHAM_CONG_NGAY'!$C$6:$C$4655,"&lt;="&amp;'THAM_SO'!$B$7),$AM151))</f>
        <v/>
      </c>
      <c r="AT151" s="232">
        <f>IF($B151="","",IF($D151="Theo ngày",SUMIFS('CHAM_CONG_NGAY'!$Q$6:$Q$4655,'CHAM_CONG_NGAY'!$B$6:$B$4655,$B151,'CHAM_CONG_NGAY'!$C$6:$C$4655,"&gt;="&amp;'THAM_SO'!$B$6,'CHAM_CONG_NGAY'!$C$6:$C$4655,"&lt;="&amp;'THAM_SO'!$B$7),$AN151))</f>
        <v/>
      </c>
      <c r="AU151" s="232">
        <f>IF($B151="","",IF($D151="Theo ngày",SUMIFS('CHAM_CONG_NGAY'!$R$6:$R$4655,'CHAM_CONG_NGAY'!$B$6:$B$4655,$B151,'CHAM_CONG_NGAY'!$C$6:$C$4655,"&gt;="&amp;'THAM_SO'!$B$6,'CHAM_CONG_NGAY'!$C$6:$C$4655,"&lt;="&amp;'THAM_SO'!$B$7),$AO151))</f>
        <v/>
      </c>
      <c r="AV151" s="232">
        <f>IF($B151="","",IF($D151="Theo ngày",SUMIFS('CHAM_CONG_NGAY'!$S$6:$S$4655,'CHAM_CONG_NGAY'!$B$6:$B$4655,$B151,'CHAM_CONG_NGAY'!$C$6:$C$4655,"&gt;="&amp;'THAM_SO'!$B$6,'CHAM_CONG_NGAY'!$C$6:$C$4655,"&lt;="&amp;'THAM_SO'!$B$7),$AP151))</f>
        <v/>
      </c>
      <c r="AW151" s="232">
        <f>IF($B151="","",IF($D151="Theo ngày",SUMIFS('CHAM_CONG_NGAY'!$T$6:$T$4655,'CHAM_CONG_NGAY'!$B$6:$B$4655,$B151,'CHAM_CONG_NGAY'!$C$6:$C$4655,"&gt;="&amp;'THAM_SO'!$B$6,'CHAM_CONG_NGAY'!$C$6:$C$4655,"&lt;="&amp;'THAM_SO'!$B$7),$AQ151))</f>
        <v/>
      </c>
    </row>
    <row r="152">
      <c r="A152" s="145">
        <f>IF($B152="","",ROW()-5)</f>
        <v/>
      </c>
      <c r="B152" s="145">
        <f>IF('DM_NHAN_SU'!B152="","",'DM_NHAN_SU'!B152)</f>
        <v/>
      </c>
      <c r="C152" s="145">
        <f>IF('DM_NHAN_SU'!B152="","",'DM_NHAN_SU'!C152)</f>
        <v/>
      </c>
      <c r="D152" s="127" t="n"/>
      <c r="E152" s="227" t="n"/>
      <c r="F152" s="227" t="n"/>
      <c r="G152" s="227" t="n"/>
      <c r="H152" s="227" t="n"/>
      <c r="I152" s="227" t="n"/>
      <c r="J152" s="227" t="n"/>
      <c r="K152" s="227" t="n"/>
      <c r="L152" s="227" t="n"/>
      <c r="M152" s="227" t="n"/>
      <c r="N152" s="227" t="n"/>
      <c r="O152" s="222" t="n"/>
      <c r="P152" s="222" t="n"/>
      <c r="Q152" s="222" t="n"/>
      <c r="R152" s="222" t="n"/>
      <c r="S152" s="222" t="n"/>
      <c r="T152" s="222" t="n"/>
      <c r="U152" s="222" t="n"/>
      <c r="V152" s="222" t="n"/>
      <c r="W152" s="222" t="n"/>
      <c r="X152" s="222" t="n"/>
      <c r="Y152" s="222" t="n"/>
      <c r="Z152" s="222" t="n"/>
      <c r="AA152" s="127" t="n"/>
      <c r="AB152" s="127" t="n"/>
      <c r="AC152" s="232">
        <f>IF($B152="","",IF($D152="Theo ngày",SUMIFS('CHAM_CONG_NGAY'!$E$6:$E$4655,'CHAM_CONG_NGAY'!$B$6:$B$4655,$B152,'CHAM_CONG_NGAY'!$C$6:$C$4655,"&gt;="&amp;'THAM_SO'!$B$6,'CHAM_CONG_NGAY'!$C$6:$C$4655,"&lt;="&amp;'THAM_SO'!$B$7),$E152))</f>
        <v/>
      </c>
      <c r="AD152" s="232">
        <f>IF($B152="","",IF($D152="Theo ngày",SUMIFS('CHAM_CONG_NGAY'!$F$6:$F$4655,'CHAM_CONG_NGAY'!$B$6:$B$4655,$B152,'CHAM_CONG_NGAY'!$C$6:$C$4655,"&gt;="&amp;'THAM_SO'!$B$6,'CHAM_CONG_NGAY'!$C$6:$C$4655,"&lt;="&amp;'THAM_SO'!$B$7),$F152))</f>
        <v/>
      </c>
      <c r="AE152" s="232">
        <f>IF($B152="","",IF($D152="Theo ngày",SUMIFS('CHAM_CONG_NGAY'!$G$6:$G$4655,'CHAM_CONG_NGAY'!$B$6:$B$4655,$B152,'CHAM_CONG_NGAY'!$C$6:$C$4655,"&gt;="&amp;'THAM_SO'!$B$6,'CHAM_CONG_NGAY'!$C$6:$C$4655,"&lt;="&amp;'THAM_SO'!$B$7),$G152))</f>
        <v/>
      </c>
      <c r="AF152" s="232">
        <f>IF($B152="","",IF($D152="Theo ngày",SUMIFS('CHAM_CONG_NGAY'!$H$6:$H$4655,'CHAM_CONG_NGAY'!$B$6:$B$4655,$B152,'CHAM_CONG_NGAY'!$C$6:$C$4655,"&gt;="&amp;'THAM_SO'!$B$6,'CHAM_CONG_NGAY'!$C$6:$C$4655,"&lt;="&amp;'THAM_SO'!$B$7),$H152))</f>
        <v/>
      </c>
      <c r="AG152" s="232">
        <f>IF($B152="","",IF($D152="Theo ngày",SUMIFS('CHAM_CONG_NGAY'!$I$6:$I$4655,'CHAM_CONG_NGAY'!$B$6:$B$4655,$B152,'CHAM_CONG_NGAY'!$C$6:$C$4655,"&gt;="&amp;'THAM_SO'!$B$6,'CHAM_CONG_NGAY'!$C$6:$C$4655,"&lt;="&amp;'THAM_SO'!$B$7),$I152))</f>
        <v/>
      </c>
      <c r="AH152" s="232">
        <f>IF($B152="","",IF($D152="Theo ngày",SUMIFS('CHAM_CONG_NGAY'!$J$6:$J$4655,'CHAM_CONG_NGAY'!$B$6:$B$4655,$B152,'CHAM_CONG_NGAY'!$C$6:$C$4655,"&gt;="&amp;'THAM_SO'!$B$6,'CHAM_CONG_NGAY'!$C$6:$C$4655,"&lt;="&amp;'THAM_SO'!$B$7),$J152))</f>
        <v/>
      </c>
      <c r="AI152" s="232">
        <f>IF($B152="","",IF($D152="Theo ngày",SUMIFS('CHAM_CONG_NGAY'!$K$6:$K$4655,'CHAM_CONG_NGAY'!$B$6:$B$4655,$B152,'CHAM_CONG_NGAY'!$C$6:$C$4655,"&gt;="&amp;'THAM_SO'!$B$6,'CHAM_CONG_NGAY'!$C$6:$C$4655,"&lt;="&amp;'THAM_SO'!$B$7),$K152))</f>
        <v/>
      </c>
      <c r="AJ152" s="232">
        <f>IF($B152="","",IF($D152="Theo ngày",SUMIFS('CHAM_CONG_NGAY'!$L$6:$L$4655,'CHAM_CONG_NGAY'!$B$6:$B$4655,$B152,'CHAM_CONG_NGAY'!$C$6:$C$4655,"&gt;="&amp;'THAM_SO'!$B$6,'CHAM_CONG_NGAY'!$C$6:$C$4655,"&lt;="&amp;'THAM_SO'!$B$7),$L152))</f>
        <v/>
      </c>
      <c r="AK152" s="232">
        <f>IF($B152="","",IF($D152="Theo ngày",SUMIFS('CHAM_CONG_NGAY'!$M$6:$M$4655,'CHAM_CONG_NGAY'!$B$6:$B$4655,$B152,'CHAM_CONG_NGAY'!$C$6:$C$4655,"&gt;="&amp;'THAM_SO'!$B$6,'CHAM_CONG_NGAY'!$C$6:$C$4655,"&lt;="&amp;'THAM_SO'!$B$7),$M152))</f>
        <v/>
      </c>
      <c r="AL152" s="227" t="n"/>
      <c r="AM152" s="227" t="n"/>
      <c r="AN152" s="227" t="n"/>
      <c r="AO152" s="227" t="n"/>
      <c r="AP152" s="227" t="n"/>
      <c r="AQ152" s="227" t="n"/>
      <c r="AR152" s="232">
        <f>IF($B152="","",IF($D152="Theo ngày",SUMIFS('CHAM_CONG_NGAY'!$O$6:$O$4655,'CHAM_CONG_NGAY'!$B$6:$B$4655,$B152,'CHAM_CONG_NGAY'!$C$6:$C$4655,"&gt;="&amp;'THAM_SO'!$B$6,'CHAM_CONG_NGAY'!$C$6:$C$4655,"&lt;="&amp;'THAM_SO'!$B$7),$AL152))</f>
        <v/>
      </c>
      <c r="AS152" s="232">
        <f>IF($B152="","",IF($D152="Theo ngày",SUMIFS('CHAM_CONG_NGAY'!$P$6:$P$4655,'CHAM_CONG_NGAY'!$B$6:$B$4655,$B152,'CHAM_CONG_NGAY'!$C$6:$C$4655,"&gt;="&amp;'THAM_SO'!$B$6,'CHAM_CONG_NGAY'!$C$6:$C$4655,"&lt;="&amp;'THAM_SO'!$B$7),$AM152))</f>
        <v/>
      </c>
      <c r="AT152" s="232">
        <f>IF($B152="","",IF($D152="Theo ngày",SUMIFS('CHAM_CONG_NGAY'!$Q$6:$Q$4655,'CHAM_CONG_NGAY'!$B$6:$B$4655,$B152,'CHAM_CONG_NGAY'!$C$6:$C$4655,"&gt;="&amp;'THAM_SO'!$B$6,'CHAM_CONG_NGAY'!$C$6:$C$4655,"&lt;="&amp;'THAM_SO'!$B$7),$AN152))</f>
        <v/>
      </c>
      <c r="AU152" s="232">
        <f>IF($B152="","",IF($D152="Theo ngày",SUMIFS('CHAM_CONG_NGAY'!$R$6:$R$4655,'CHAM_CONG_NGAY'!$B$6:$B$4655,$B152,'CHAM_CONG_NGAY'!$C$6:$C$4655,"&gt;="&amp;'THAM_SO'!$B$6,'CHAM_CONG_NGAY'!$C$6:$C$4655,"&lt;="&amp;'THAM_SO'!$B$7),$AO152))</f>
        <v/>
      </c>
      <c r="AV152" s="232">
        <f>IF($B152="","",IF($D152="Theo ngày",SUMIFS('CHAM_CONG_NGAY'!$S$6:$S$4655,'CHAM_CONG_NGAY'!$B$6:$B$4655,$B152,'CHAM_CONG_NGAY'!$C$6:$C$4655,"&gt;="&amp;'THAM_SO'!$B$6,'CHAM_CONG_NGAY'!$C$6:$C$4655,"&lt;="&amp;'THAM_SO'!$B$7),$AP152))</f>
        <v/>
      </c>
      <c r="AW152" s="232">
        <f>IF($B152="","",IF($D152="Theo ngày",SUMIFS('CHAM_CONG_NGAY'!$T$6:$T$4655,'CHAM_CONG_NGAY'!$B$6:$B$4655,$B152,'CHAM_CONG_NGAY'!$C$6:$C$4655,"&gt;="&amp;'THAM_SO'!$B$6,'CHAM_CONG_NGAY'!$C$6:$C$4655,"&lt;="&amp;'THAM_SO'!$B$7),$AQ152))</f>
        <v/>
      </c>
    </row>
    <row r="153">
      <c r="A153" s="145">
        <f>IF($B153="","",ROW()-5)</f>
        <v/>
      </c>
      <c r="B153" s="145">
        <f>IF('DM_NHAN_SU'!B153="","",'DM_NHAN_SU'!B153)</f>
        <v/>
      </c>
      <c r="C153" s="145">
        <f>IF('DM_NHAN_SU'!B153="","",'DM_NHAN_SU'!C153)</f>
        <v/>
      </c>
      <c r="D153" s="127" t="n"/>
      <c r="E153" s="227" t="n"/>
      <c r="F153" s="227" t="n"/>
      <c r="G153" s="227" t="n"/>
      <c r="H153" s="227" t="n"/>
      <c r="I153" s="227" t="n"/>
      <c r="J153" s="227" t="n"/>
      <c r="K153" s="227" t="n"/>
      <c r="L153" s="227" t="n"/>
      <c r="M153" s="227" t="n"/>
      <c r="N153" s="227" t="n"/>
      <c r="O153" s="222" t="n"/>
      <c r="P153" s="222" t="n"/>
      <c r="Q153" s="222" t="n"/>
      <c r="R153" s="222" t="n"/>
      <c r="S153" s="222" t="n"/>
      <c r="T153" s="222" t="n"/>
      <c r="U153" s="222" t="n"/>
      <c r="V153" s="222" t="n"/>
      <c r="W153" s="222" t="n"/>
      <c r="X153" s="222" t="n"/>
      <c r="Y153" s="222" t="n"/>
      <c r="Z153" s="222" t="n"/>
      <c r="AA153" s="127" t="n"/>
      <c r="AB153" s="127" t="n"/>
      <c r="AC153" s="232">
        <f>IF($B153="","",IF($D153="Theo ngày",SUMIFS('CHAM_CONG_NGAY'!$E$6:$E$4655,'CHAM_CONG_NGAY'!$B$6:$B$4655,$B153,'CHAM_CONG_NGAY'!$C$6:$C$4655,"&gt;="&amp;'THAM_SO'!$B$6,'CHAM_CONG_NGAY'!$C$6:$C$4655,"&lt;="&amp;'THAM_SO'!$B$7),$E153))</f>
        <v/>
      </c>
      <c r="AD153" s="232">
        <f>IF($B153="","",IF($D153="Theo ngày",SUMIFS('CHAM_CONG_NGAY'!$F$6:$F$4655,'CHAM_CONG_NGAY'!$B$6:$B$4655,$B153,'CHAM_CONG_NGAY'!$C$6:$C$4655,"&gt;="&amp;'THAM_SO'!$B$6,'CHAM_CONG_NGAY'!$C$6:$C$4655,"&lt;="&amp;'THAM_SO'!$B$7),$F153))</f>
        <v/>
      </c>
      <c r="AE153" s="232">
        <f>IF($B153="","",IF($D153="Theo ngày",SUMIFS('CHAM_CONG_NGAY'!$G$6:$G$4655,'CHAM_CONG_NGAY'!$B$6:$B$4655,$B153,'CHAM_CONG_NGAY'!$C$6:$C$4655,"&gt;="&amp;'THAM_SO'!$B$6,'CHAM_CONG_NGAY'!$C$6:$C$4655,"&lt;="&amp;'THAM_SO'!$B$7),$G153))</f>
        <v/>
      </c>
      <c r="AF153" s="232">
        <f>IF($B153="","",IF($D153="Theo ngày",SUMIFS('CHAM_CONG_NGAY'!$H$6:$H$4655,'CHAM_CONG_NGAY'!$B$6:$B$4655,$B153,'CHAM_CONG_NGAY'!$C$6:$C$4655,"&gt;="&amp;'THAM_SO'!$B$6,'CHAM_CONG_NGAY'!$C$6:$C$4655,"&lt;="&amp;'THAM_SO'!$B$7),$H153))</f>
        <v/>
      </c>
      <c r="AG153" s="232">
        <f>IF($B153="","",IF($D153="Theo ngày",SUMIFS('CHAM_CONG_NGAY'!$I$6:$I$4655,'CHAM_CONG_NGAY'!$B$6:$B$4655,$B153,'CHAM_CONG_NGAY'!$C$6:$C$4655,"&gt;="&amp;'THAM_SO'!$B$6,'CHAM_CONG_NGAY'!$C$6:$C$4655,"&lt;="&amp;'THAM_SO'!$B$7),$I153))</f>
        <v/>
      </c>
      <c r="AH153" s="232">
        <f>IF($B153="","",IF($D153="Theo ngày",SUMIFS('CHAM_CONG_NGAY'!$J$6:$J$4655,'CHAM_CONG_NGAY'!$B$6:$B$4655,$B153,'CHAM_CONG_NGAY'!$C$6:$C$4655,"&gt;="&amp;'THAM_SO'!$B$6,'CHAM_CONG_NGAY'!$C$6:$C$4655,"&lt;="&amp;'THAM_SO'!$B$7),$J153))</f>
        <v/>
      </c>
      <c r="AI153" s="232">
        <f>IF($B153="","",IF($D153="Theo ngày",SUMIFS('CHAM_CONG_NGAY'!$K$6:$K$4655,'CHAM_CONG_NGAY'!$B$6:$B$4655,$B153,'CHAM_CONG_NGAY'!$C$6:$C$4655,"&gt;="&amp;'THAM_SO'!$B$6,'CHAM_CONG_NGAY'!$C$6:$C$4655,"&lt;="&amp;'THAM_SO'!$B$7),$K153))</f>
        <v/>
      </c>
      <c r="AJ153" s="232">
        <f>IF($B153="","",IF($D153="Theo ngày",SUMIFS('CHAM_CONG_NGAY'!$L$6:$L$4655,'CHAM_CONG_NGAY'!$B$6:$B$4655,$B153,'CHAM_CONG_NGAY'!$C$6:$C$4655,"&gt;="&amp;'THAM_SO'!$B$6,'CHAM_CONG_NGAY'!$C$6:$C$4655,"&lt;="&amp;'THAM_SO'!$B$7),$L153))</f>
        <v/>
      </c>
      <c r="AK153" s="232">
        <f>IF($B153="","",IF($D153="Theo ngày",SUMIFS('CHAM_CONG_NGAY'!$M$6:$M$4655,'CHAM_CONG_NGAY'!$B$6:$B$4655,$B153,'CHAM_CONG_NGAY'!$C$6:$C$4655,"&gt;="&amp;'THAM_SO'!$B$6,'CHAM_CONG_NGAY'!$C$6:$C$4655,"&lt;="&amp;'THAM_SO'!$B$7),$M153))</f>
        <v/>
      </c>
      <c r="AL153" s="227" t="n"/>
      <c r="AM153" s="227" t="n"/>
      <c r="AN153" s="227" t="n"/>
      <c r="AO153" s="227" t="n"/>
      <c r="AP153" s="227" t="n"/>
      <c r="AQ153" s="227" t="n"/>
      <c r="AR153" s="232">
        <f>IF($B153="","",IF($D153="Theo ngày",SUMIFS('CHAM_CONG_NGAY'!$O$6:$O$4655,'CHAM_CONG_NGAY'!$B$6:$B$4655,$B153,'CHAM_CONG_NGAY'!$C$6:$C$4655,"&gt;="&amp;'THAM_SO'!$B$6,'CHAM_CONG_NGAY'!$C$6:$C$4655,"&lt;="&amp;'THAM_SO'!$B$7),$AL153))</f>
        <v/>
      </c>
      <c r="AS153" s="232">
        <f>IF($B153="","",IF($D153="Theo ngày",SUMIFS('CHAM_CONG_NGAY'!$P$6:$P$4655,'CHAM_CONG_NGAY'!$B$6:$B$4655,$B153,'CHAM_CONG_NGAY'!$C$6:$C$4655,"&gt;="&amp;'THAM_SO'!$B$6,'CHAM_CONG_NGAY'!$C$6:$C$4655,"&lt;="&amp;'THAM_SO'!$B$7),$AM153))</f>
        <v/>
      </c>
      <c r="AT153" s="232">
        <f>IF($B153="","",IF($D153="Theo ngày",SUMIFS('CHAM_CONG_NGAY'!$Q$6:$Q$4655,'CHAM_CONG_NGAY'!$B$6:$B$4655,$B153,'CHAM_CONG_NGAY'!$C$6:$C$4655,"&gt;="&amp;'THAM_SO'!$B$6,'CHAM_CONG_NGAY'!$C$6:$C$4655,"&lt;="&amp;'THAM_SO'!$B$7),$AN153))</f>
        <v/>
      </c>
      <c r="AU153" s="232">
        <f>IF($B153="","",IF($D153="Theo ngày",SUMIFS('CHAM_CONG_NGAY'!$R$6:$R$4655,'CHAM_CONG_NGAY'!$B$6:$B$4655,$B153,'CHAM_CONG_NGAY'!$C$6:$C$4655,"&gt;="&amp;'THAM_SO'!$B$6,'CHAM_CONG_NGAY'!$C$6:$C$4655,"&lt;="&amp;'THAM_SO'!$B$7),$AO153))</f>
        <v/>
      </c>
      <c r="AV153" s="232">
        <f>IF($B153="","",IF($D153="Theo ngày",SUMIFS('CHAM_CONG_NGAY'!$S$6:$S$4655,'CHAM_CONG_NGAY'!$B$6:$B$4655,$B153,'CHAM_CONG_NGAY'!$C$6:$C$4655,"&gt;="&amp;'THAM_SO'!$B$6,'CHAM_CONG_NGAY'!$C$6:$C$4655,"&lt;="&amp;'THAM_SO'!$B$7),$AP153))</f>
        <v/>
      </c>
      <c r="AW153" s="232">
        <f>IF($B153="","",IF($D153="Theo ngày",SUMIFS('CHAM_CONG_NGAY'!$T$6:$T$4655,'CHAM_CONG_NGAY'!$B$6:$B$4655,$B153,'CHAM_CONG_NGAY'!$C$6:$C$4655,"&gt;="&amp;'THAM_SO'!$B$6,'CHAM_CONG_NGAY'!$C$6:$C$4655,"&lt;="&amp;'THAM_SO'!$B$7),$AQ153))</f>
        <v/>
      </c>
    </row>
    <row r="154">
      <c r="A154" s="145">
        <f>IF($B154="","",ROW()-5)</f>
        <v/>
      </c>
      <c r="B154" s="145">
        <f>IF('DM_NHAN_SU'!B154="","",'DM_NHAN_SU'!B154)</f>
        <v/>
      </c>
      <c r="C154" s="145">
        <f>IF('DM_NHAN_SU'!B154="","",'DM_NHAN_SU'!C154)</f>
        <v/>
      </c>
      <c r="D154" s="127" t="n"/>
      <c r="E154" s="227" t="n"/>
      <c r="F154" s="227" t="n"/>
      <c r="G154" s="227" t="n"/>
      <c r="H154" s="227" t="n"/>
      <c r="I154" s="227" t="n"/>
      <c r="J154" s="227" t="n"/>
      <c r="K154" s="227" t="n"/>
      <c r="L154" s="227" t="n"/>
      <c r="M154" s="227" t="n"/>
      <c r="N154" s="227" t="n"/>
      <c r="O154" s="222" t="n"/>
      <c r="P154" s="222" t="n"/>
      <c r="Q154" s="222" t="n"/>
      <c r="R154" s="222" t="n"/>
      <c r="S154" s="222" t="n"/>
      <c r="T154" s="222" t="n"/>
      <c r="U154" s="222" t="n"/>
      <c r="V154" s="222" t="n"/>
      <c r="W154" s="222" t="n"/>
      <c r="X154" s="222" t="n"/>
      <c r="Y154" s="222" t="n"/>
      <c r="Z154" s="222" t="n"/>
      <c r="AA154" s="127" t="n"/>
      <c r="AB154" s="127" t="n"/>
      <c r="AC154" s="232">
        <f>IF($B154="","",IF($D154="Theo ngày",SUMIFS('CHAM_CONG_NGAY'!$E$6:$E$4655,'CHAM_CONG_NGAY'!$B$6:$B$4655,$B154,'CHAM_CONG_NGAY'!$C$6:$C$4655,"&gt;="&amp;'THAM_SO'!$B$6,'CHAM_CONG_NGAY'!$C$6:$C$4655,"&lt;="&amp;'THAM_SO'!$B$7),$E154))</f>
        <v/>
      </c>
      <c r="AD154" s="232">
        <f>IF($B154="","",IF($D154="Theo ngày",SUMIFS('CHAM_CONG_NGAY'!$F$6:$F$4655,'CHAM_CONG_NGAY'!$B$6:$B$4655,$B154,'CHAM_CONG_NGAY'!$C$6:$C$4655,"&gt;="&amp;'THAM_SO'!$B$6,'CHAM_CONG_NGAY'!$C$6:$C$4655,"&lt;="&amp;'THAM_SO'!$B$7),$F154))</f>
        <v/>
      </c>
      <c r="AE154" s="232">
        <f>IF($B154="","",IF($D154="Theo ngày",SUMIFS('CHAM_CONG_NGAY'!$G$6:$G$4655,'CHAM_CONG_NGAY'!$B$6:$B$4655,$B154,'CHAM_CONG_NGAY'!$C$6:$C$4655,"&gt;="&amp;'THAM_SO'!$B$6,'CHAM_CONG_NGAY'!$C$6:$C$4655,"&lt;="&amp;'THAM_SO'!$B$7),$G154))</f>
        <v/>
      </c>
      <c r="AF154" s="232">
        <f>IF($B154="","",IF($D154="Theo ngày",SUMIFS('CHAM_CONG_NGAY'!$H$6:$H$4655,'CHAM_CONG_NGAY'!$B$6:$B$4655,$B154,'CHAM_CONG_NGAY'!$C$6:$C$4655,"&gt;="&amp;'THAM_SO'!$B$6,'CHAM_CONG_NGAY'!$C$6:$C$4655,"&lt;="&amp;'THAM_SO'!$B$7),$H154))</f>
        <v/>
      </c>
      <c r="AG154" s="232">
        <f>IF($B154="","",IF($D154="Theo ngày",SUMIFS('CHAM_CONG_NGAY'!$I$6:$I$4655,'CHAM_CONG_NGAY'!$B$6:$B$4655,$B154,'CHAM_CONG_NGAY'!$C$6:$C$4655,"&gt;="&amp;'THAM_SO'!$B$6,'CHAM_CONG_NGAY'!$C$6:$C$4655,"&lt;="&amp;'THAM_SO'!$B$7),$I154))</f>
        <v/>
      </c>
      <c r="AH154" s="232">
        <f>IF($B154="","",IF($D154="Theo ngày",SUMIFS('CHAM_CONG_NGAY'!$J$6:$J$4655,'CHAM_CONG_NGAY'!$B$6:$B$4655,$B154,'CHAM_CONG_NGAY'!$C$6:$C$4655,"&gt;="&amp;'THAM_SO'!$B$6,'CHAM_CONG_NGAY'!$C$6:$C$4655,"&lt;="&amp;'THAM_SO'!$B$7),$J154))</f>
        <v/>
      </c>
      <c r="AI154" s="232">
        <f>IF($B154="","",IF($D154="Theo ngày",SUMIFS('CHAM_CONG_NGAY'!$K$6:$K$4655,'CHAM_CONG_NGAY'!$B$6:$B$4655,$B154,'CHAM_CONG_NGAY'!$C$6:$C$4655,"&gt;="&amp;'THAM_SO'!$B$6,'CHAM_CONG_NGAY'!$C$6:$C$4655,"&lt;="&amp;'THAM_SO'!$B$7),$K154))</f>
        <v/>
      </c>
      <c r="AJ154" s="232">
        <f>IF($B154="","",IF($D154="Theo ngày",SUMIFS('CHAM_CONG_NGAY'!$L$6:$L$4655,'CHAM_CONG_NGAY'!$B$6:$B$4655,$B154,'CHAM_CONG_NGAY'!$C$6:$C$4655,"&gt;="&amp;'THAM_SO'!$B$6,'CHAM_CONG_NGAY'!$C$6:$C$4655,"&lt;="&amp;'THAM_SO'!$B$7),$L154))</f>
        <v/>
      </c>
      <c r="AK154" s="232">
        <f>IF($B154="","",IF($D154="Theo ngày",SUMIFS('CHAM_CONG_NGAY'!$M$6:$M$4655,'CHAM_CONG_NGAY'!$B$6:$B$4655,$B154,'CHAM_CONG_NGAY'!$C$6:$C$4655,"&gt;="&amp;'THAM_SO'!$B$6,'CHAM_CONG_NGAY'!$C$6:$C$4655,"&lt;="&amp;'THAM_SO'!$B$7),$M154))</f>
        <v/>
      </c>
      <c r="AL154" s="227" t="n"/>
      <c r="AM154" s="227" t="n"/>
      <c r="AN154" s="227" t="n"/>
      <c r="AO154" s="227" t="n"/>
      <c r="AP154" s="227" t="n"/>
      <c r="AQ154" s="227" t="n"/>
      <c r="AR154" s="232">
        <f>IF($B154="","",IF($D154="Theo ngày",SUMIFS('CHAM_CONG_NGAY'!$O$6:$O$4655,'CHAM_CONG_NGAY'!$B$6:$B$4655,$B154,'CHAM_CONG_NGAY'!$C$6:$C$4655,"&gt;="&amp;'THAM_SO'!$B$6,'CHAM_CONG_NGAY'!$C$6:$C$4655,"&lt;="&amp;'THAM_SO'!$B$7),$AL154))</f>
        <v/>
      </c>
      <c r="AS154" s="232">
        <f>IF($B154="","",IF($D154="Theo ngày",SUMIFS('CHAM_CONG_NGAY'!$P$6:$P$4655,'CHAM_CONG_NGAY'!$B$6:$B$4655,$B154,'CHAM_CONG_NGAY'!$C$6:$C$4655,"&gt;="&amp;'THAM_SO'!$B$6,'CHAM_CONG_NGAY'!$C$6:$C$4655,"&lt;="&amp;'THAM_SO'!$B$7),$AM154))</f>
        <v/>
      </c>
      <c r="AT154" s="232">
        <f>IF($B154="","",IF($D154="Theo ngày",SUMIFS('CHAM_CONG_NGAY'!$Q$6:$Q$4655,'CHAM_CONG_NGAY'!$B$6:$B$4655,$B154,'CHAM_CONG_NGAY'!$C$6:$C$4655,"&gt;="&amp;'THAM_SO'!$B$6,'CHAM_CONG_NGAY'!$C$6:$C$4655,"&lt;="&amp;'THAM_SO'!$B$7),$AN154))</f>
        <v/>
      </c>
      <c r="AU154" s="232">
        <f>IF($B154="","",IF($D154="Theo ngày",SUMIFS('CHAM_CONG_NGAY'!$R$6:$R$4655,'CHAM_CONG_NGAY'!$B$6:$B$4655,$B154,'CHAM_CONG_NGAY'!$C$6:$C$4655,"&gt;="&amp;'THAM_SO'!$B$6,'CHAM_CONG_NGAY'!$C$6:$C$4655,"&lt;="&amp;'THAM_SO'!$B$7),$AO154))</f>
        <v/>
      </c>
      <c r="AV154" s="232">
        <f>IF($B154="","",IF($D154="Theo ngày",SUMIFS('CHAM_CONG_NGAY'!$S$6:$S$4655,'CHAM_CONG_NGAY'!$B$6:$B$4655,$B154,'CHAM_CONG_NGAY'!$C$6:$C$4655,"&gt;="&amp;'THAM_SO'!$B$6,'CHAM_CONG_NGAY'!$C$6:$C$4655,"&lt;="&amp;'THAM_SO'!$B$7),$AP154))</f>
        <v/>
      </c>
      <c r="AW154" s="232">
        <f>IF($B154="","",IF($D154="Theo ngày",SUMIFS('CHAM_CONG_NGAY'!$T$6:$T$4655,'CHAM_CONG_NGAY'!$B$6:$B$4655,$B154,'CHAM_CONG_NGAY'!$C$6:$C$4655,"&gt;="&amp;'THAM_SO'!$B$6,'CHAM_CONG_NGAY'!$C$6:$C$4655,"&lt;="&amp;'THAM_SO'!$B$7),$AQ154))</f>
        <v/>
      </c>
    </row>
    <row r="155">
      <c r="A155" s="145">
        <f>IF($B155="","",ROW()-5)</f>
        <v/>
      </c>
      <c r="B155" s="145">
        <f>IF('DM_NHAN_SU'!B155="","",'DM_NHAN_SU'!B155)</f>
        <v/>
      </c>
      <c r="C155" s="145">
        <f>IF('DM_NHAN_SU'!B155="","",'DM_NHAN_SU'!C155)</f>
        <v/>
      </c>
      <c r="D155" s="127" t="n"/>
      <c r="E155" s="227" t="n"/>
      <c r="F155" s="227" t="n"/>
      <c r="G155" s="227" t="n"/>
      <c r="H155" s="227" t="n"/>
      <c r="I155" s="227" t="n"/>
      <c r="J155" s="227" t="n"/>
      <c r="K155" s="227" t="n"/>
      <c r="L155" s="227" t="n"/>
      <c r="M155" s="227" t="n"/>
      <c r="N155" s="227" t="n"/>
      <c r="O155" s="222" t="n"/>
      <c r="P155" s="222" t="n"/>
      <c r="Q155" s="222" t="n"/>
      <c r="R155" s="222" t="n"/>
      <c r="S155" s="222" t="n"/>
      <c r="T155" s="222" t="n"/>
      <c r="U155" s="222" t="n"/>
      <c r="V155" s="222" t="n"/>
      <c r="W155" s="222" t="n"/>
      <c r="X155" s="222" t="n"/>
      <c r="Y155" s="222" t="n"/>
      <c r="Z155" s="222" t="n"/>
      <c r="AA155" s="127" t="n"/>
      <c r="AB155" s="127" t="n"/>
      <c r="AC155" s="232">
        <f>IF($B155="","",IF($D155="Theo ngày",SUMIFS('CHAM_CONG_NGAY'!$E$6:$E$4655,'CHAM_CONG_NGAY'!$B$6:$B$4655,$B155,'CHAM_CONG_NGAY'!$C$6:$C$4655,"&gt;="&amp;'THAM_SO'!$B$6,'CHAM_CONG_NGAY'!$C$6:$C$4655,"&lt;="&amp;'THAM_SO'!$B$7),$E155))</f>
        <v/>
      </c>
      <c r="AD155" s="232">
        <f>IF($B155="","",IF($D155="Theo ngày",SUMIFS('CHAM_CONG_NGAY'!$F$6:$F$4655,'CHAM_CONG_NGAY'!$B$6:$B$4655,$B155,'CHAM_CONG_NGAY'!$C$6:$C$4655,"&gt;="&amp;'THAM_SO'!$B$6,'CHAM_CONG_NGAY'!$C$6:$C$4655,"&lt;="&amp;'THAM_SO'!$B$7),$F155))</f>
        <v/>
      </c>
      <c r="AE155" s="232">
        <f>IF($B155="","",IF($D155="Theo ngày",SUMIFS('CHAM_CONG_NGAY'!$G$6:$G$4655,'CHAM_CONG_NGAY'!$B$6:$B$4655,$B155,'CHAM_CONG_NGAY'!$C$6:$C$4655,"&gt;="&amp;'THAM_SO'!$B$6,'CHAM_CONG_NGAY'!$C$6:$C$4655,"&lt;="&amp;'THAM_SO'!$B$7),$G155))</f>
        <v/>
      </c>
      <c r="AF155" s="232">
        <f>IF($B155="","",IF($D155="Theo ngày",SUMIFS('CHAM_CONG_NGAY'!$H$6:$H$4655,'CHAM_CONG_NGAY'!$B$6:$B$4655,$B155,'CHAM_CONG_NGAY'!$C$6:$C$4655,"&gt;="&amp;'THAM_SO'!$B$6,'CHAM_CONG_NGAY'!$C$6:$C$4655,"&lt;="&amp;'THAM_SO'!$B$7),$H155))</f>
        <v/>
      </c>
      <c r="AG155" s="232">
        <f>IF($B155="","",IF($D155="Theo ngày",SUMIFS('CHAM_CONG_NGAY'!$I$6:$I$4655,'CHAM_CONG_NGAY'!$B$6:$B$4655,$B155,'CHAM_CONG_NGAY'!$C$6:$C$4655,"&gt;="&amp;'THAM_SO'!$B$6,'CHAM_CONG_NGAY'!$C$6:$C$4655,"&lt;="&amp;'THAM_SO'!$B$7),$I155))</f>
        <v/>
      </c>
      <c r="AH155" s="232">
        <f>IF($B155="","",IF($D155="Theo ngày",SUMIFS('CHAM_CONG_NGAY'!$J$6:$J$4655,'CHAM_CONG_NGAY'!$B$6:$B$4655,$B155,'CHAM_CONG_NGAY'!$C$6:$C$4655,"&gt;="&amp;'THAM_SO'!$B$6,'CHAM_CONG_NGAY'!$C$6:$C$4655,"&lt;="&amp;'THAM_SO'!$B$7),$J155))</f>
        <v/>
      </c>
      <c r="AI155" s="232">
        <f>IF($B155="","",IF($D155="Theo ngày",SUMIFS('CHAM_CONG_NGAY'!$K$6:$K$4655,'CHAM_CONG_NGAY'!$B$6:$B$4655,$B155,'CHAM_CONG_NGAY'!$C$6:$C$4655,"&gt;="&amp;'THAM_SO'!$B$6,'CHAM_CONG_NGAY'!$C$6:$C$4655,"&lt;="&amp;'THAM_SO'!$B$7),$K155))</f>
        <v/>
      </c>
      <c r="AJ155" s="232">
        <f>IF($B155="","",IF($D155="Theo ngày",SUMIFS('CHAM_CONG_NGAY'!$L$6:$L$4655,'CHAM_CONG_NGAY'!$B$6:$B$4655,$B155,'CHAM_CONG_NGAY'!$C$6:$C$4655,"&gt;="&amp;'THAM_SO'!$B$6,'CHAM_CONG_NGAY'!$C$6:$C$4655,"&lt;="&amp;'THAM_SO'!$B$7),$L155))</f>
        <v/>
      </c>
      <c r="AK155" s="232">
        <f>IF($B155="","",IF($D155="Theo ngày",SUMIFS('CHAM_CONG_NGAY'!$M$6:$M$4655,'CHAM_CONG_NGAY'!$B$6:$B$4655,$B155,'CHAM_CONG_NGAY'!$C$6:$C$4655,"&gt;="&amp;'THAM_SO'!$B$6,'CHAM_CONG_NGAY'!$C$6:$C$4655,"&lt;="&amp;'THAM_SO'!$B$7),$M155))</f>
        <v/>
      </c>
      <c r="AL155" s="227" t="n"/>
      <c r="AM155" s="227" t="n"/>
      <c r="AN155" s="227" t="n"/>
      <c r="AO155" s="227" t="n"/>
      <c r="AP155" s="227" t="n"/>
      <c r="AQ155" s="227" t="n"/>
      <c r="AR155" s="232">
        <f>IF($B155="","",IF($D155="Theo ngày",SUMIFS('CHAM_CONG_NGAY'!$O$6:$O$4655,'CHAM_CONG_NGAY'!$B$6:$B$4655,$B155,'CHAM_CONG_NGAY'!$C$6:$C$4655,"&gt;="&amp;'THAM_SO'!$B$6,'CHAM_CONG_NGAY'!$C$6:$C$4655,"&lt;="&amp;'THAM_SO'!$B$7),$AL155))</f>
        <v/>
      </c>
      <c r="AS155" s="232">
        <f>IF($B155="","",IF($D155="Theo ngày",SUMIFS('CHAM_CONG_NGAY'!$P$6:$P$4655,'CHAM_CONG_NGAY'!$B$6:$B$4655,$B155,'CHAM_CONG_NGAY'!$C$6:$C$4655,"&gt;="&amp;'THAM_SO'!$B$6,'CHAM_CONG_NGAY'!$C$6:$C$4655,"&lt;="&amp;'THAM_SO'!$B$7),$AM155))</f>
        <v/>
      </c>
      <c r="AT155" s="232">
        <f>IF($B155="","",IF($D155="Theo ngày",SUMIFS('CHAM_CONG_NGAY'!$Q$6:$Q$4655,'CHAM_CONG_NGAY'!$B$6:$B$4655,$B155,'CHAM_CONG_NGAY'!$C$6:$C$4655,"&gt;="&amp;'THAM_SO'!$B$6,'CHAM_CONG_NGAY'!$C$6:$C$4655,"&lt;="&amp;'THAM_SO'!$B$7),$AN155))</f>
        <v/>
      </c>
      <c r="AU155" s="232">
        <f>IF($B155="","",IF($D155="Theo ngày",SUMIFS('CHAM_CONG_NGAY'!$R$6:$R$4655,'CHAM_CONG_NGAY'!$B$6:$B$4655,$B155,'CHAM_CONG_NGAY'!$C$6:$C$4655,"&gt;="&amp;'THAM_SO'!$B$6,'CHAM_CONG_NGAY'!$C$6:$C$4655,"&lt;="&amp;'THAM_SO'!$B$7),$AO155))</f>
        <v/>
      </c>
      <c r="AV155" s="232">
        <f>IF($B155="","",IF($D155="Theo ngày",SUMIFS('CHAM_CONG_NGAY'!$S$6:$S$4655,'CHAM_CONG_NGAY'!$B$6:$B$4655,$B155,'CHAM_CONG_NGAY'!$C$6:$C$4655,"&gt;="&amp;'THAM_SO'!$B$6,'CHAM_CONG_NGAY'!$C$6:$C$4655,"&lt;="&amp;'THAM_SO'!$B$7),$AP155))</f>
        <v/>
      </c>
      <c r="AW155" s="232">
        <f>IF($B155="","",IF($D155="Theo ngày",SUMIFS('CHAM_CONG_NGAY'!$T$6:$T$4655,'CHAM_CONG_NGAY'!$B$6:$B$4655,$B155,'CHAM_CONG_NGAY'!$C$6:$C$4655,"&gt;="&amp;'THAM_SO'!$B$6,'CHAM_CONG_NGAY'!$C$6:$C$4655,"&lt;="&amp;'THAM_SO'!$B$7),$AQ155))</f>
        <v/>
      </c>
    </row>
  </sheetData>
  <mergeCells count="2">
    <mergeCell ref="A2:AW3"/>
    <mergeCell ref="A1:AW1"/>
  </mergeCells>
  <dataValidations count="2">
    <dataValidation sqref="D6:D155" showDropDown="0" showInputMessage="0" showErrorMessage="0" allowBlank="0" type="list">
      <formula1>"Tổng hợp,Theo ngày"</formula1>
    </dataValidation>
    <dataValidation sqref="AA6:AA155" showDropDown="0" showInputMessage="0" showErrorMessage="0" allowBlank="0" type="list">
      <formula1>"Không,Có"</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T4655"/>
  <sheetViews>
    <sheetView showGridLines="0" workbookViewId="0">
      <selection activeCell="A1" sqref="A1"/>
    </sheetView>
  </sheetViews>
  <sheetFormatPr baseColWidth="8" defaultRowHeight="15"/>
  <cols>
    <col width="6" customWidth="1" style="32" min="1" max="1"/>
    <col width="12" customWidth="1" style="32" min="2" max="2"/>
    <col width="12" customWidth="1" style="32" min="3" max="3"/>
    <col width="10" customWidth="1" style="32" min="4" max="4"/>
    <col width="14" customWidth="1" style="32" min="5" max="5"/>
    <col width="12" customWidth="1" style="32" min="6" max="6"/>
    <col width="15" customWidth="1" style="32" min="7" max="7"/>
    <col width="14" customWidth="1" style="32" min="8" max="8"/>
    <col width="16" customWidth="1" style="32" min="9" max="9"/>
    <col width="12" customWidth="1" style="32" min="10" max="10"/>
    <col width="14" customWidth="1" style="32" min="11" max="11"/>
    <col width="15" customWidth="1" style="32" min="12" max="12"/>
    <col width="12" customWidth="1" style="32" min="13" max="13"/>
    <col width="25" customWidth="1" style="32" min="14" max="14"/>
    <col width="16" customWidth="1" style="32" min="15" max="15"/>
    <col width="17" customWidth="1" style="32" min="16" max="16"/>
    <col width="17" customWidth="1" style="32" min="17" max="17"/>
    <col width="17" customWidth="1" style="32" min="18" max="18"/>
    <col width="15" customWidth="1" style="32" min="19" max="19"/>
    <col width="16" customWidth="1" style="32" min="20" max="20"/>
  </cols>
  <sheetData>
    <row r="1" ht="30" customHeight="1" s="32">
      <c r="A1" s="4" t="inlineStr">
        <is>
          <t>CHẤM CÔNG CHI TIẾT THEO NGÀY</t>
        </is>
      </c>
    </row>
    <row r="2">
      <c r="A2" s="96" t="inlineStr">
        <is>
          <t>Chỉ nhập cho nhân viên chọn nguồn “Theo ngày”. Cột E là ngày thực tế làm việc, không gồm phép/lễ/việc riêng hưởng lương; nhập các loại nghỉ riêng tại O:T để tránh tính trùng. Giờ đêm trong ca là phần 22:00–06:00 đã nằm trong giờ thường; file chỉ cộng phần trả thêm ban đêm.</t>
        </is>
      </c>
    </row>
    <row r="3"/>
    <row r="4"/>
    <row r="5" ht="44" customHeight="1" s="32">
      <c r="A5" s="156" t="inlineStr">
        <is>
          <t>STT</t>
        </is>
      </c>
      <c r="B5" s="156" t="inlineStr">
        <is>
          <t>Mã NV</t>
        </is>
      </c>
      <c r="C5" s="156" t="inlineStr">
        <is>
          <t>Ngày</t>
        </is>
      </c>
      <c r="D5" s="156" t="inlineStr">
        <is>
          <t>Ký hiệu</t>
        </is>
      </c>
      <c r="E5" s="156" t="inlineStr">
        <is>
          <t>Công làm việc</t>
        </is>
      </c>
      <c r="F5" s="156" t="inlineStr">
        <is>
          <t>Giờ thường</t>
        </is>
      </c>
      <c r="G5" s="156" t="inlineStr">
        <is>
          <t>Giờ đêm trong ca</t>
        </is>
      </c>
      <c r="H5" s="156" t="inlineStr">
        <is>
          <t>OT thường ngày</t>
        </is>
      </c>
      <c r="I5" s="156" t="inlineStr">
        <is>
          <t>OT nghỉ tuần ngày</t>
        </is>
      </c>
      <c r="J5" s="156" t="inlineStr">
        <is>
          <t>OT lễ ngày</t>
        </is>
      </c>
      <c r="K5" s="156" t="inlineStr">
        <is>
          <t>OT thường đêm</t>
        </is>
      </c>
      <c r="L5" s="156" t="inlineStr">
        <is>
          <t>OT nghỉ tuần đêm</t>
        </is>
      </c>
      <c r="M5" s="156" t="inlineStr">
        <is>
          <t>OT lễ đêm</t>
        </is>
      </c>
      <c r="N5" s="156" t="inlineStr">
        <is>
          <t>Ghi chú</t>
        </is>
      </c>
      <c r="O5" s="156" t="inlineStr">
        <is>
          <t>Phép năm hưởng lương</t>
        </is>
      </c>
      <c r="P5" s="156" t="inlineStr">
        <is>
          <t>Lễ/Tết hưởng lương</t>
        </is>
      </c>
      <c r="Q5" s="156" t="inlineStr">
        <is>
          <t>Việc riêng hưởng lương</t>
        </is>
      </c>
      <c r="R5" s="156" t="inlineStr">
        <is>
          <t>Nghỉ ốm hưởng BHXH</t>
        </is>
      </c>
      <c r="S5" s="156" t="inlineStr">
        <is>
          <t>Nghỉ thai sản</t>
        </is>
      </c>
      <c r="T5" s="156" t="inlineStr">
        <is>
          <t>Nghỉ không lương</t>
        </is>
      </c>
    </row>
    <row r="6">
      <c r="A6" s="145">
        <f>IF($B6="","",ROW()-5)</f>
        <v/>
      </c>
      <c r="B6" s="127" t="n"/>
      <c r="C6" s="223" t="n"/>
      <c r="D6" s="127" t="n"/>
      <c r="E6" s="227" t="n"/>
      <c r="F6" s="227" t="n"/>
      <c r="G6" s="227" t="n"/>
      <c r="H6" s="227" t="n"/>
      <c r="I6" s="227" t="n"/>
      <c r="J6" s="227" t="n"/>
      <c r="K6" s="227" t="n"/>
      <c r="L6" s="227" t="n"/>
      <c r="M6" s="227" t="n"/>
      <c r="N6" s="127" t="n"/>
      <c r="O6" s="227" t="n"/>
      <c r="P6" s="227" t="n"/>
      <c r="Q6" s="227" t="n"/>
      <c r="R6" s="227" t="n"/>
      <c r="S6" s="227" t="n"/>
      <c r="T6" s="227" t="n"/>
    </row>
    <row r="7">
      <c r="A7" s="145">
        <f>IF($B7="","",ROW()-5)</f>
        <v/>
      </c>
      <c r="B7" s="127" t="n"/>
      <c r="C7" s="223" t="n"/>
      <c r="D7" s="127" t="n"/>
      <c r="E7" s="227" t="n"/>
      <c r="F7" s="227" t="n"/>
      <c r="G7" s="227" t="n"/>
      <c r="H7" s="227" t="n"/>
      <c r="I7" s="227" t="n"/>
      <c r="J7" s="227" t="n"/>
      <c r="K7" s="227" t="n"/>
      <c r="L7" s="227" t="n"/>
      <c r="M7" s="227" t="n"/>
      <c r="N7" s="127" t="n"/>
      <c r="O7" s="227" t="n"/>
      <c r="P7" s="227" t="n"/>
      <c r="Q7" s="227" t="n"/>
      <c r="R7" s="227" t="n"/>
      <c r="S7" s="227" t="n"/>
      <c r="T7" s="227" t="n"/>
    </row>
    <row r="8">
      <c r="A8" s="145">
        <f>IF($B8="","",ROW()-5)</f>
        <v/>
      </c>
      <c r="B8" s="127" t="n"/>
      <c r="C8" s="223" t="n"/>
      <c r="D8" s="127" t="n"/>
      <c r="E8" s="227" t="n"/>
      <c r="F8" s="227" t="n"/>
      <c r="G8" s="227" t="n"/>
      <c r="H8" s="227" t="n"/>
      <c r="I8" s="227" t="n"/>
      <c r="J8" s="227" t="n"/>
      <c r="K8" s="227" t="n"/>
      <c r="L8" s="227" t="n"/>
      <c r="M8" s="227" t="n"/>
      <c r="N8" s="127" t="n"/>
      <c r="O8" s="227" t="n"/>
      <c r="P8" s="227" t="n"/>
      <c r="Q8" s="227" t="n"/>
      <c r="R8" s="227" t="n"/>
      <c r="S8" s="227" t="n"/>
      <c r="T8" s="227" t="n"/>
    </row>
    <row r="9">
      <c r="A9" s="145">
        <f>IF($B9="","",ROW()-5)</f>
        <v/>
      </c>
      <c r="B9" s="127" t="n"/>
      <c r="C9" s="223" t="n"/>
      <c r="D9" s="127" t="n"/>
      <c r="E9" s="227" t="n"/>
      <c r="F9" s="227" t="n"/>
      <c r="G9" s="227" t="n"/>
      <c r="H9" s="227" t="n"/>
      <c r="I9" s="227" t="n"/>
      <c r="J9" s="227" t="n"/>
      <c r="K9" s="227" t="n"/>
      <c r="L9" s="227" t="n"/>
      <c r="M9" s="227" t="n"/>
      <c r="N9" s="127" t="n"/>
      <c r="O9" s="227" t="n"/>
      <c r="P9" s="227" t="n"/>
      <c r="Q9" s="227" t="n"/>
      <c r="R9" s="227" t="n"/>
      <c r="S9" s="227" t="n"/>
      <c r="T9" s="227" t="n"/>
    </row>
    <row r="10">
      <c r="A10" s="145">
        <f>IF($B10="","",ROW()-5)</f>
        <v/>
      </c>
      <c r="B10" s="127" t="n"/>
      <c r="C10" s="223" t="n"/>
      <c r="D10" s="127" t="n"/>
      <c r="E10" s="227" t="n"/>
      <c r="F10" s="227" t="n"/>
      <c r="G10" s="227" t="n"/>
      <c r="H10" s="227" t="n"/>
      <c r="I10" s="227" t="n"/>
      <c r="J10" s="227" t="n"/>
      <c r="K10" s="227" t="n"/>
      <c r="L10" s="227" t="n"/>
      <c r="M10" s="227" t="n"/>
      <c r="N10" s="127" t="n"/>
      <c r="O10" s="227" t="n"/>
      <c r="P10" s="227" t="n"/>
      <c r="Q10" s="227" t="n"/>
      <c r="R10" s="227" t="n"/>
      <c r="S10" s="227" t="n"/>
      <c r="T10" s="227" t="n"/>
    </row>
    <row r="11">
      <c r="A11" s="145">
        <f>IF($B11="","",ROW()-5)</f>
        <v/>
      </c>
      <c r="B11" s="127" t="n"/>
      <c r="C11" s="223" t="n"/>
      <c r="D11" s="127" t="n"/>
      <c r="E11" s="227" t="n"/>
      <c r="F11" s="227" t="n"/>
      <c r="G11" s="227" t="n"/>
      <c r="H11" s="227" t="n"/>
      <c r="I11" s="227" t="n"/>
      <c r="J11" s="227" t="n"/>
      <c r="K11" s="227" t="n"/>
      <c r="L11" s="227" t="n"/>
      <c r="M11" s="227" t="n"/>
      <c r="N11" s="127" t="n"/>
      <c r="O11" s="227" t="n"/>
      <c r="P11" s="227" t="n"/>
      <c r="Q11" s="227" t="n"/>
      <c r="R11" s="227" t="n"/>
      <c r="S11" s="227" t="n"/>
      <c r="T11" s="227" t="n"/>
    </row>
    <row r="12">
      <c r="A12" s="145">
        <f>IF($B12="","",ROW()-5)</f>
        <v/>
      </c>
      <c r="B12" s="127" t="n"/>
      <c r="C12" s="223" t="n"/>
      <c r="D12" s="127" t="n"/>
      <c r="E12" s="227" t="n"/>
      <c r="F12" s="227" t="n"/>
      <c r="G12" s="227" t="n"/>
      <c r="H12" s="227" t="n"/>
      <c r="I12" s="227" t="n"/>
      <c r="J12" s="227" t="n"/>
      <c r="K12" s="227" t="n"/>
      <c r="L12" s="227" t="n"/>
      <c r="M12" s="227" t="n"/>
      <c r="N12" s="127" t="n"/>
      <c r="O12" s="227" t="n"/>
      <c r="P12" s="227" t="n"/>
      <c r="Q12" s="227" t="n"/>
      <c r="R12" s="227" t="n"/>
      <c r="S12" s="227" t="n"/>
      <c r="T12" s="227" t="n"/>
    </row>
    <row r="13">
      <c r="A13" s="145">
        <f>IF($B13="","",ROW()-5)</f>
        <v/>
      </c>
      <c r="B13" s="127" t="n"/>
      <c r="C13" s="223" t="n"/>
      <c r="D13" s="127" t="n"/>
      <c r="E13" s="227" t="n"/>
      <c r="F13" s="227" t="n"/>
      <c r="G13" s="227" t="n"/>
      <c r="H13" s="227" t="n"/>
      <c r="I13" s="227" t="n"/>
      <c r="J13" s="227" t="n"/>
      <c r="K13" s="227" t="n"/>
      <c r="L13" s="227" t="n"/>
      <c r="M13" s="227" t="n"/>
      <c r="N13" s="127" t="n"/>
      <c r="O13" s="227" t="n"/>
      <c r="P13" s="227" t="n"/>
      <c r="Q13" s="227" t="n"/>
      <c r="R13" s="227" t="n"/>
      <c r="S13" s="227" t="n"/>
      <c r="T13" s="227" t="n"/>
    </row>
    <row r="14">
      <c r="A14" s="145">
        <f>IF($B14="","",ROW()-5)</f>
        <v/>
      </c>
      <c r="B14" s="127" t="n"/>
      <c r="C14" s="223" t="n"/>
      <c r="D14" s="127" t="n"/>
      <c r="E14" s="227" t="n"/>
      <c r="F14" s="227" t="n"/>
      <c r="G14" s="227" t="n"/>
      <c r="H14" s="227" t="n"/>
      <c r="I14" s="227" t="n"/>
      <c r="J14" s="227" t="n"/>
      <c r="K14" s="227" t="n"/>
      <c r="L14" s="227" t="n"/>
      <c r="M14" s="227" t="n"/>
      <c r="N14" s="127" t="n"/>
      <c r="O14" s="227" t="n"/>
      <c r="P14" s="227" t="n"/>
      <c r="Q14" s="227" t="n"/>
      <c r="R14" s="227" t="n"/>
      <c r="S14" s="227" t="n"/>
      <c r="T14" s="227" t="n"/>
    </row>
    <row r="15">
      <c r="A15" s="145">
        <f>IF($B15="","",ROW()-5)</f>
        <v/>
      </c>
      <c r="B15" s="127" t="n"/>
      <c r="C15" s="223" t="n"/>
      <c r="D15" s="127" t="n"/>
      <c r="E15" s="227" t="n"/>
      <c r="F15" s="227" t="n"/>
      <c r="G15" s="227" t="n"/>
      <c r="H15" s="227" t="n"/>
      <c r="I15" s="227" t="n"/>
      <c r="J15" s="227" t="n"/>
      <c r="K15" s="227" t="n"/>
      <c r="L15" s="227" t="n"/>
      <c r="M15" s="227" t="n"/>
      <c r="N15" s="127" t="n"/>
      <c r="O15" s="227" t="n"/>
      <c r="P15" s="227" t="n"/>
      <c r="Q15" s="227" t="n"/>
      <c r="R15" s="227" t="n"/>
      <c r="S15" s="227" t="n"/>
      <c r="T15" s="227" t="n"/>
    </row>
    <row r="16">
      <c r="A16" s="145">
        <f>IF($B16="","",ROW()-5)</f>
        <v/>
      </c>
      <c r="B16" s="127" t="n"/>
      <c r="C16" s="223" t="n"/>
      <c r="D16" s="127" t="n"/>
      <c r="E16" s="227" t="n"/>
      <c r="F16" s="227" t="n"/>
      <c r="G16" s="227" t="n"/>
      <c r="H16" s="227" t="n"/>
      <c r="I16" s="227" t="n"/>
      <c r="J16" s="227" t="n"/>
      <c r="K16" s="227" t="n"/>
      <c r="L16" s="227" t="n"/>
      <c r="M16" s="227" t="n"/>
      <c r="N16" s="127" t="n"/>
      <c r="O16" s="227" t="n"/>
      <c r="P16" s="227" t="n"/>
      <c r="Q16" s="227" t="n"/>
      <c r="R16" s="227" t="n"/>
      <c r="S16" s="227" t="n"/>
      <c r="T16" s="227" t="n"/>
    </row>
    <row r="17">
      <c r="A17" s="145">
        <f>IF($B17="","",ROW()-5)</f>
        <v/>
      </c>
      <c r="B17" s="127" t="n"/>
      <c r="C17" s="223" t="n"/>
      <c r="D17" s="127" t="n"/>
      <c r="E17" s="227" t="n"/>
      <c r="F17" s="227" t="n"/>
      <c r="G17" s="227" t="n"/>
      <c r="H17" s="227" t="n"/>
      <c r="I17" s="227" t="n"/>
      <c r="J17" s="227" t="n"/>
      <c r="K17" s="227" t="n"/>
      <c r="L17" s="227" t="n"/>
      <c r="M17" s="227" t="n"/>
      <c r="N17" s="127" t="n"/>
      <c r="O17" s="227" t="n"/>
      <c r="P17" s="227" t="n"/>
      <c r="Q17" s="227" t="n"/>
      <c r="R17" s="227" t="n"/>
      <c r="S17" s="227" t="n"/>
      <c r="T17" s="227" t="n"/>
    </row>
    <row r="18">
      <c r="A18" s="145">
        <f>IF($B18="","",ROW()-5)</f>
        <v/>
      </c>
      <c r="B18" s="127" t="n"/>
      <c r="C18" s="223" t="n"/>
      <c r="D18" s="127" t="n"/>
      <c r="E18" s="227" t="n"/>
      <c r="F18" s="227" t="n"/>
      <c r="G18" s="227" t="n"/>
      <c r="H18" s="227" t="n"/>
      <c r="I18" s="227" t="n"/>
      <c r="J18" s="227" t="n"/>
      <c r="K18" s="227" t="n"/>
      <c r="L18" s="227" t="n"/>
      <c r="M18" s="227" t="n"/>
      <c r="N18" s="127" t="n"/>
      <c r="O18" s="227" t="n"/>
      <c r="P18" s="227" t="n"/>
      <c r="Q18" s="227" t="n"/>
      <c r="R18" s="227" t="n"/>
      <c r="S18" s="227" t="n"/>
      <c r="T18" s="227" t="n"/>
    </row>
    <row r="19">
      <c r="A19" s="145">
        <f>IF($B19="","",ROW()-5)</f>
        <v/>
      </c>
      <c r="B19" s="127" t="n"/>
      <c r="C19" s="223" t="n"/>
      <c r="D19" s="127" t="n"/>
      <c r="E19" s="227" t="n"/>
      <c r="F19" s="227" t="n"/>
      <c r="G19" s="227" t="n"/>
      <c r="H19" s="227" t="n"/>
      <c r="I19" s="227" t="n"/>
      <c r="J19" s="227" t="n"/>
      <c r="K19" s="227" t="n"/>
      <c r="L19" s="227" t="n"/>
      <c r="M19" s="227" t="n"/>
      <c r="N19" s="127" t="n"/>
      <c r="O19" s="227" t="n"/>
      <c r="P19" s="227" t="n"/>
      <c r="Q19" s="227" t="n"/>
      <c r="R19" s="227" t="n"/>
      <c r="S19" s="227" t="n"/>
      <c r="T19" s="227" t="n"/>
    </row>
    <row r="20">
      <c r="A20" s="145">
        <f>IF($B20="","",ROW()-5)</f>
        <v/>
      </c>
      <c r="B20" s="127" t="n"/>
      <c r="C20" s="223" t="n"/>
      <c r="D20" s="127" t="n"/>
      <c r="E20" s="227" t="n"/>
      <c r="F20" s="227" t="n"/>
      <c r="G20" s="227" t="n"/>
      <c r="H20" s="227" t="n"/>
      <c r="I20" s="227" t="n"/>
      <c r="J20" s="227" t="n"/>
      <c r="K20" s="227" t="n"/>
      <c r="L20" s="227" t="n"/>
      <c r="M20" s="227" t="n"/>
      <c r="N20" s="127" t="n"/>
      <c r="O20" s="227" t="n"/>
      <c r="P20" s="227" t="n"/>
      <c r="Q20" s="227" t="n"/>
      <c r="R20" s="227" t="n"/>
      <c r="S20" s="227" t="n"/>
      <c r="T20" s="227" t="n"/>
    </row>
    <row r="21">
      <c r="A21" s="145">
        <f>IF($B21="","",ROW()-5)</f>
        <v/>
      </c>
      <c r="B21" s="127" t="n"/>
      <c r="C21" s="223" t="n"/>
      <c r="D21" s="127" t="n"/>
      <c r="E21" s="227" t="n"/>
      <c r="F21" s="227" t="n"/>
      <c r="G21" s="227" t="n"/>
      <c r="H21" s="227" t="n"/>
      <c r="I21" s="227" t="n"/>
      <c r="J21" s="227" t="n"/>
      <c r="K21" s="227" t="n"/>
      <c r="L21" s="227" t="n"/>
      <c r="M21" s="227" t="n"/>
      <c r="N21" s="127" t="n"/>
      <c r="O21" s="227" t="n"/>
      <c r="P21" s="227" t="n"/>
      <c r="Q21" s="227" t="n"/>
      <c r="R21" s="227" t="n"/>
      <c r="S21" s="227" t="n"/>
      <c r="T21" s="227" t="n"/>
    </row>
    <row r="22">
      <c r="A22" s="145">
        <f>IF($B22="","",ROW()-5)</f>
        <v/>
      </c>
      <c r="B22" s="127" t="n"/>
      <c r="C22" s="223" t="n"/>
      <c r="D22" s="127" t="n"/>
      <c r="E22" s="227" t="n"/>
      <c r="F22" s="227" t="n"/>
      <c r="G22" s="227" t="n"/>
      <c r="H22" s="227" t="n"/>
      <c r="I22" s="227" t="n"/>
      <c r="J22" s="227" t="n"/>
      <c r="K22" s="227" t="n"/>
      <c r="L22" s="227" t="n"/>
      <c r="M22" s="227" t="n"/>
      <c r="N22" s="127" t="n"/>
      <c r="O22" s="227" t="n"/>
      <c r="P22" s="227" t="n"/>
      <c r="Q22" s="227" t="n"/>
      <c r="R22" s="227" t="n"/>
      <c r="S22" s="227" t="n"/>
      <c r="T22" s="227" t="n"/>
    </row>
    <row r="23">
      <c r="A23" s="145">
        <f>IF($B23="","",ROW()-5)</f>
        <v/>
      </c>
      <c r="B23" s="127" t="n"/>
      <c r="C23" s="223" t="n"/>
      <c r="D23" s="127" t="n"/>
      <c r="E23" s="227" t="n"/>
      <c r="F23" s="227" t="n"/>
      <c r="G23" s="227" t="n"/>
      <c r="H23" s="227" t="n"/>
      <c r="I23" s="227" t="n"/>
      <c r="J23" s="227" t="n"/>
      <c r="K23" s="227" t="n"/>
      <c r="L23" s="227" t="n"/>
      <c r="M23" s="227" t="n"/>
      <c r="N23" s="127" t="n"/>
      <c r="O23" s="227" t="n"/>
      <c r="P23" s="227" t="n"/>
      <c r="Q23" s="227" t="n"/>
      <c r="R23" s="227" t="n"/>
      <c r="S23" s="227" t="n"/>
      <c r="T23" s="227" t="n"/>
    </row>
    <row r="24">
      <c r="A24" s="145">
        <f>IF($B24="","",ROW()-5)</f>
        <v/>
      </c>
      <c r="B24" s="127" t="n"/>
      <c r="C24" s="223" t="n"/>
      <c r="D24" s="127" t="n"/>
      <c r="E24" s="227" t="n"/>
      <c r="F24" s="227" t="n"/>
      <c r="G24" s="227" t="n"/>
      <c r="H24" s="227" t="n"/>
      <c r="I24" s="227" t="n"/>
      <c r="J24" s="227" t="n"/>
      <c r="K24" s="227" t="n"/>
      <c r="L24" s="227" t="n"/>
      <c r="M24" s="227" t="n"/>
      <c r="N24" s="127" t="n"/>
      <c r="O24" s="227" t="n"/>
      <c r="P24" s="227" t="n"/>
      <c r="Q24" s="227" t="n"/>
      <c r="R24" s="227" t="n"/>
      <c r="S24" s="227" t="n"/>
      <c r="T24" s="227" t="n"/>
    </row>
    <row r="25">
      <c r="A25" s="145">
        <f>IF($B25="","",ROW()-5)</f>
        <v/>
      </c>
      <c r="B25" s="127" t="n"/>
      <c r="C25" s="223" t="n"/>
      <c r="D25" s="127" t="n"/>
      <c r="E25" s="227" t="n"/>
      <c r="F25" s="227" t="n"/>
      <c r="G25" s="227" t="n"/>
      <c r="H25" s="227" t="n"/>
      <c r="I25" s="227" t="n"/>
      <c r="J25" s="227" t="n"/>
      <c r="K25" s="227" t="n"/>
      <c r="L25" s="227" t="n"/>
      <c r="M25" s="227" t="n"/>
      <c r="N25" s="127" t="n"/>
      <c r="O25" s="227" t="n"/>
      <c r="P25" s="227" t="n"/>
      <c r="Q25" s="227" t="n"/>
      <c r="R25" s="227" t="n"/>
      <c r="S25" s="227" t="n"/>
      <c r="T25" s="227" t="n"/>
    </row>
    <row r="26">
      <c r="A26" s="145">
        <f>IF($B26="","",ROW()-5)</f>
        <v/>
      </c>
      <c r="B26" s="127" t="n"/>
      <c r="C26" s="223" t="n"/>
      <c r="D26" s="127" t="n"/>
      <c r="E26" s="227" t="n"/>
      <c r="F26" s="227" t="n"/>
      <c r="G26" s="227" t="n"/>
      <c r="H26" s="227" t="n"/>
      <c r="I26" s="227" t="n"/>
      <c r="J26" s="227" t="n"/>
      <c r="K26" s="227" t="n"/>
      <c r="L26" s="227" t="n"/>
      <c r="M26" s="227" t="n"/>
      <c r="N26" s="127" t="n"/>
      <c r="O26" s="227" t="n"/>
      <c r="P26" s="227" t="n"/>
      <c r="Q26" s="227" t="n"/>
      <c r="R26" s="227" t="n"/>
      <c r="S26" s="227" t="n"/>
      <c r="T26" s="227" t="n"/>
    </row>
    <row r="27">
      <c r="A27" s="145">
        <f>IF($B27="","",ROW()-5)</f>
        <v/>
      </c>
      <c r="B27" s="127" t="n"/>
      <c r="C27" s="223" t="n"/>
      <c r="D27" s="127" t="n"/>
      <c r="E27" s="227" t="n"/>
      <c r="F27" s="227" t="n"/>
      <c r="G27" s="227" t="n"/>
      <c r="H27" s="227" t="n"/>
      <c r="I27" s="227" t="n"/>
      <c r="J27" s="227" t="n"/>
      <c r="K27" s="227" t="n"/>
      <c r="L27" s="227" t="n"/>
      <c r="M27" s="227" t="n"/>
      <c r="N27" s="127" t="n"/>
      <c r="O27" s="227" t="n"/>
      <c r="P27" s="227" t="n"/>
      <c r="Q27" s="227" t="n"/>
      <c r="R27" s="227" t="n"/>
      <c r="S27" s="227" t="n"/>
      <c r="T27" s="227" t="n"/>
    </row>
    <row r="28">
      <c r="A28" s="145">
        <f>IF($B28="","",ROW()-5)</f>
        <v/>
      </c>
      <c r="B28" s="127" t="n"/>
      <c r="C28" s="223" t="n"/>
      <c r="D28" s="127" t="n"/>
      <c r="E28" s="227" t="n"/>
      <c r="F28" s="227" t="n"/>
      <c r="G28" s="227" t="n"/>
      <c r="H28" s="227" t="n"/>
      <c r="I28" s="227" t="n"/>
      <c r="J28" s="227" t="n"/>
      <c r="K28" s="227" t="n"/>
      <c r="L28" s="227" t="n"/>
      <c r="M28" s="227" t="n"/>
      <c r="N28" s="127" t="n"/>
      <c r="O28" s="227" t="n"/>
      <c r="P28" s="227" t="n"/>
      <c r="Q28" s="227" t="n"/>
      <c r="R28" s="227" t="n"/>
      <c r="S28" s="227" t="n"/>
      <c r="T28" s="227" t="n"/>
    </row>
    <row r="29">
      <c r="A29" s="145">
        <f>IF($B29="","",ROW()-5)</f>
        <v/>
      </c>
      <c r="B29" s="127" t="n"/>
      <c r="C29" s="223" t="n"/>
      <c r="D29" s="127" t="n"/>
      <c r="E29" s="227" t="n"/>
      <c r="F29" s="227" t="n"/>
      <c r="G29" s="227" t="n"/>
      <c r="H29" s="227" t="n"/>
      <c r="I29" s="227" t="n"/>
      <c r="J29" s="227" t="n"/>
      <c r="K29" s="227" t="n"/>
      <c r="L29" s="227" t="n"/>
      <c r="M29" s="227" t="n"/>
      <c r="N29" s="127" t="n"/>
      <c r="O29" s="227" t="n"/>
      <c r="P29" s="227" t="n"/>
      <c r="Q29" s="227" t="n"/>
      <c r="R29" s="227" t="n"/>
      <c r="S29" s="227" t="n"/>
      <c r="T29" s="227" t="n"/>
    </row>
    <row r="30">
      <c r="A30" s="145">
        <f>IF($B30="","",ROW()-5)</f>
        <v/>
      </c>
      <c r="B30" s="127" t="n"/>
      <c r="C30" s="223" t="n"/>
      <c r="D30" s="127" t="n"/>
      <c r="E30" s="227" t="n"/>
      <c r="F30" s="227" t="n"/>
      <c r="G30" s="227" t="n"/>
      <c r="H30" s="227" t="n"/>
      <c r="I30" s="227" t="n"/>
      <c r="J30" s="227" t="n"/>
      <c r="K30" s="227" t="n"/>
      <c r="L30" s="227" t="n"/>
      <c r="M30" s="227" t="n"/>
      <c r="N30" s="127" t="n"/>
      <c r="O30" s="227" t="n"/>
      <c r="P30" s="227" t="n"/>
      <c r="Q30" s="227" t="n"/>
      <c r="R30" s="227" t="n"/>
      <c r="S30" s="227" t="n"/>
      <c r="T30" s="227" t="n"/>
    </row>
    <row r="31">
      <c r="A31" s="145">
        <f>IF($B31="","",ROW()-5)</f>
        <v/>
      </c>
      <c r="B31" s="127" t="n"/>
      <c r="C31" s="223" t="n"/>
      <c r="D31" s="127" t="n"/>
      <c r="E31" s="227" t="n"/>
      <c r="F31" s="227" t="n"/>
      <c r="G31" s="227" t="n"/>
      <c r="H31" s="227" t="n"/>
      <c r="I31" s="227" t="n"/>
      <c r="J31" s="227" t="n"/>
      <c r="K31" s="227" t="n"/>
      <c r="L31" s="227" t="n"/>
      <c r="M31" s="227" t="n"/>
      <c r="N31" s="127" t="n"/>
      <c r="O31" s="227" t="n"/>
      <c r="P31" s="227" t="n"/>
      <c r="Q31" s="227" t="n"/>
      <c r="R31" s="227" t="n"/>
      <c r="S31" s="227" t="n"/>
      <c r="T31" s="227" t="n"/>
    </row>
    <row r="32">
      <c r="A32" s="145">
        <f>IF($B32="","",ROW()-5)</f>
        <v/>
      </c>
      <c r="B32" s="127" t="n"/>
      <c r="C32" s="223" t="n"/>
      <c r="D32" s="127" t="n"/>
      <c r="E32" s="227" t="n"/>
      <c r="F32" s="227" t="n"/>
      <c r="G32" s="227" t="n"/>
      <c r="H32" s="227" t="n"/>
      <c r="I32" s="227" t="n"/>
      <c r="J32" s="227" t="n"/>
      <c r="K32" s="227" t="n"/>
      <c r="L32" s="227" t="n"/>
      <c r="M32" s="227" t="n"/>
      <c r="N32" s="127" t="n"/>
      <c r="O32" s="227" t="n"/>
      <c r="P32" s="227" t="n"/>
      <c r="Q32" s="227" t="n"/>
      <c r="R32" s="227" t="n"/>
      <c r="S32" s="227" t="n"/>
      <c r="T32" s="227" t="n"/>
    </row>
    <row r="33">
      <c r="A33" s="145">
        <f>IF($B33="","",ROW()-5)</f>
        <v/>
      </c>
      <c r="B33" s="127" t="n"/>
      <c r="C33" s="223" t="n"/>
      <c r="D33" s="127" t="n"/>
      <c r="E33" s="227" t="n"/>
      <c r="F33" s="227" t="n"/>
      <c r="G33" s="227" t="n"/>
      <c r="H33" s="227" t="n"/>
      <c r="I33" s="227" t="n"/>
      <c r="J33" s="227" t="n"/>
      <c r="K33" s="227" t="n"/>
      <c r="L33" s="227" t="n"/>
      <c r="M33" s="227" t="n"/>
      <c r="N33" s="127" t="n"/>
      <c r="O33" s="227" t="n"/>
      <c r="P33" s="227" t="n"/>
      <c r="Q33" s="227" t="n"/>
      <c r="R33" s="227" t="n"/>
      <c r="S33" s="227" t="n"/>
      <c r="T33" s="227" t="n"/>
    </row>
    <row r="34">
      <c r="A34" s="145">
        <f>IF($B34="","",ROW()-5)</f>
        <v/>
      </c>
      <c r="B34" s="127" t="n"/>
      <c r="C34" s="223" t="n"/>
      <c r="D34" s="127" t="n"/>
      <c r="E34" s="227" t="n"/>
      <c r="F34" s="227" t="n"/>
      <c r="G34" s="227" t="n"/>
      <c r="H34" s="227" t="n"/>
      <c r="I34" s="227" t="n"/>
      <c r="J34" s="227" t="n"/>
      <c r="K34" s="227" t="n"/>
      <c r="L34" s="227" t="n"/>
      <c r="M34" s="227" t="n"/>
      <c r="N34" s="127" t="n"/>
      <c r="O34" s="227" t="n"/>
      <c r="P34" s="227" t="n"/>
      <c r="Q34" s="227" t="n"/>
      <c r="R34" s="227" t="n"/>
      <c r="S34" s="227" t="n"/>
      <c r="T34" s="227" t="n"/>
    </row>
    <row r="35">
      <c r="A35" s="145">
        <f>IF($B35="","",ROW()-5)</f>
        <v/>
      </c>
      <c r="B35" s="127" t="n"/>
      <c r="C35" s="223" t="n"/>
      <c r="D35" s="127" t="n"/>
      <c r="E35" s="227" t="n"/>
      <c r="F35" s="227" t="n"/>
      <c r="G35" s="227" t="n"/>
      <c r="H35" s="227" t="n"/>
      <c r="I35" s="227" t="n"/>
      <c r="J35" s="227" t="n"/>
      <c r="K35" s="227" t="n"/>
      <c r="L35" s="227" t="n"/>
      <c r="M35" s="227" t="n"/>
      <c r="N35" s="127" t="n"/>
      <c r="O35" s="227" t="n"/>
      <c r="P35" s="227" t="n"/>
      <c r="Q35" s="227" t="n"/>
      <c r="R35" s="227" t="n"/>
      <c r="S35" s="227" t="n"/>
      <c r="T35" s="227" t="n"/>
    </row>
    <row r="36">
      <c r="A36" s="145">
        <f>IF($B36="","",ROW()-5)</f>
        <v/>
      </c>
      <c r="B36" s="127" t="n"/>
      <c r="C36" s="223" t="n"/>
      <c r="D36" s="127" t="n"/>
      <c r="E36" s="227" t="n"/>
      <c r="F36" s="227" t="n"/>
      <c r="G36" s="227" t="n"/>
      <c r="H36" s="227" t="n"/>
      <c r="I36" s="227" t="n"/>
      <c r="J36" s="227" t="n"/>
      <c r="K36" s="227" t="n"/>
      <c r="L36" s="227" t="n"/>
      <c r="M36" s="227" t="n"/>
      <c r="N36" s="127" t="n"/>
      <c r="O36" s="227" t="n"/>
      <c r="P36" s="227" t="n"/>
      <c r="Q36" s="227" t="n"/>
      <c r="R36" s="227" t="n"/>
      <c r="S36" s="227" t="n"/>
      <c r="T36" s="227" t="n"/>
    </row>
    <row r="37">
      <c r="A37" s="145">
        <f>IF($B37="","",ROW()-5)</f>
        <v/>
      </c>
      <c r="B37" s="127" t="n"/>
      <c r="C37" s="223" t="n"/>
      <c r="D37" s="127" t="n"/>
      <c r="E37" s="227" t="n"/>
      <c r="F37" s="227" t="n"/>
      <c r="G37" s="227" t="n"/>
      <c r="H37" s="227" t="n"/>
      <c r="I37" s="227" t="n"/>
      <c r="J37" s="227" t="n"/>
      <c r="K37" s="227" t="n"/>
      <c r="L37" s="227" t="n"/>
      <c r="M37" s="227" t="n"/>
      <c r="N37" s="127" t="n"/>
      <c r="O37" s="227" t="n"/>
      <c r="P37" s="227" t="n"/>
      <c r="Q37" s="227" t="n"/>
      <c r="R37" s="227" t="n"/>
      <c r="S37" s="227" t="n"/>
      <c r="T37" s="227" t="n"/>
    </row>
    <row r="38">
      <c r="A38" s="145">
        <f>IF($B38="","",ROW()-5)</f>
        <v/>
      </c>
      <c r="B38" s="127" t="n"/>
      <c r="C38" s="223" t="n"/>
      <c r="D38" s="127" t="n"/>
      <c r="E38" s="227" t="n"/>
      <c r="F38" s="227" t="n"/>
      <c r="G38" s="227" t="n"/>
      <c r="H38" s="227" t="n"/>
      <c r="I38" s="227" t="n"/>
      <c r="J38" s="227" t="n"/>
      <c r="K38" s="227" t="n"/>
      <c r="L38" s="227" t="n"/>
      <c r="M38" s="227" t="n"/>
      <c r="N38" s="127" t="n"/>
      <c r="O38" s="227" t="n"/>
      <c r="P38" s="227" t="n"/>
      <c r="Q38" s="227" t="n"/>
      <c r="R38" s="227" t="n"/>
      <c r="S38" s="227" t="n"/>
      <c r="T38" s="227" t="n"/>
    </row>
    <row r="39">
      <c r="A39" s="145">
        <f>IF($B39="","",ROW()-5)</f>
        <v/>
      </c>
      <c r="B39" s="127" t="n"/>
      <c r="C39" s="223" t="n"/>
      <c r="D39" s="127" t="n"/>
      <c r="E39" s="227" t="n"/>
      <c r="F39" s="227" t="n"/>
      <c r="G39" s="227" t="n"/>
      <c r="H39" s="227" t="n"/>
      <c r="I39" s="227" t="n"/>
      <c r="J39" s="227" t="n"/>
      <c r="K39" s="227" t="n"/>
      <c r="L39" s="227" t="n"/>
      <c r="M39" s="227" t="n"/>
      <c r="N39" s="127" t="n"/>
      <c r="O39" s="227" t="n"/>
      <c r="P39" s="227" t="n"/>
      <c r="Q39" s="227" t="n"/>
      <c r="R39" s="227" t="n"/>
      <c r="S39" s="227" t="n"/>
      <c r="T39" s="227" t="n"/>
    </row>
    <row r="40">
      <c r="A40" s="145">
        <f>IF($B40="","",ROW()-5)</f>
        <v/>
      </c>
      <c r="B40" s="127" t="n"/>
      <c r="C40" s="223" t="n"/>
      <c r="D40" s="127" t="n"/>
      <c r="E40" s="227" t="n"/>
      <c r="F40" s="227" t="n"/>
      <c r="G40" s="227" t="n"/>
      <c r="H40" s="227" t="n"/>
      <c r="I40" s="227" t="n"/>
      <c r="J40" s="227" t="n"/>
      <c r="K40" s="227" t="n"/>
      <c r="L40" s="227" t="n"/>
      <c r="M40" s="227" t="n"/>
      <c r="N40" s="127" t="n"/>
      <c r="O40" s="227" t="n"/>
      <c r="P40" s="227" t="n"/>
      <c r="Q40" s="227" t="n"/>
      <c r="R40" s="227" t="n"/>
      <c r="S40" s="227" t="n"/>
      <c r="T40" s="227" t="n"/>
    </row>
    <row r="41">
      <c r="A41" s="145">
        <f>IF($B41="","",ROW()-5)</f>
        <v/>
      </c>
      <c r="B41" s="127" t="n"/>
      <c r="C41" s="223" t="n"/>
      <c r="D41" s="127" t="n"/>
      <c r="E41" s="227" t="n"/>
      <c r="F41" s="227" t="n"/>
      <c r="G41" s="227" t="n"/>
      <c r="H41" s="227" t="n"/>
      <c r="I41" s="227" t="n"/>
      <c r="J41" s="227" t="n"/>
      <c r="K41" s="227" t="n"/>
      <c r="L41" s="227" t="n"/>
      <c r="M41" s="227" t="n"/>
      <c r="N41" s="127" t="n"/>
      <c r="O41" s="227" t="n"/>
      <c r="P41" s="227" t="n"/>
      <c r="Q41" s="227" t="n"/>
      <c r="R41" s="227" t="n"/>
      <c r="S41" s="227" t="n"/>
      <c r="T41" s="227" t="n"/>
    </row>
    <row r="42">
      <c r="A42" s="145">
        <f>IF($B42="","",ROW()-5)</f>
        <v/>
      </c>
      <c r="B42" s="127" t="n"/>
      <c r="C42" s="223" t="n"/>
      <c r="D42" s="127" t="n"/>
      <c r="E42" s="227" t="n"/>
      <c r="F42" s="227" t="n"/>
      <c r="G42" s="227" t="n"/>
      <c r="H42" s="227" t="n"/>
      <c r="I42" s="227" t="n"/>
      <c r="J42" s="227" t="n"/>
      <c r="K42" s="227" t="n"/>
      <c r="L42" s="227" t="n"/>
      <c r="M42" s="227" t="n"/>
      <c r="N42" s="127" t="n"/>
      <c r="O42" s="227" t="n"/>
      <c r="P42" s="227" t="n"/>
      <c r="Q42" s="227" t="n"/>
      <c r="R42" s="227" t="n"/>
      <c r="S42" s="227" t="n"/>
      <c r="T42" s="227" t="n"/>
    </row>
    <row r="43">
      <c r="A43" s="145">
        <f>IF($B43="","",ROW()-5)</f>
        <v/>
      </c>
      <c r="B43" s="127" t="n"/>
      <c r="C43" s="223" t="n"/>
      <c r="D43" s="127" t="n"/>
      <c r="E43" s="227" t="n"/>
      <c r="F43" s="227" t="n"/>
      <c r="G43" s="227" t="n"/>
      <c r="H43" s="227" t="n"/>
      <c r="I43" s="227" t="n"/>
      <c r="J43" s="227" t="n"/>
      <c r="K43" s="227" t="n"/>
      <c r="L43" s="227" t="n"/>
      <c r="M43" s="227" t="n"/>
      <c r="N43" s="127" t="n"/>
      <c r="O43" s="227" t="n"/>
      <c r="P43" s="227" t="n"/>
      <c r="Q43" s="227" t="n"/>
      <c r="R43" s="227" t="n"/>
      <c r="S43" s="227" t="n"/>
      <c r="T43" s="227" t="n"/>
    </row>
    <row r="44">
      <c r="A44" s="145">
        <f>IF($B44="","",ROW()-5)</f>
        <v/>
      </c>
      <c r="B44" s="127" t="n"/>
      <c r="C44" s="223" t="n"/>
      <c r="D44" s="127" t="n"/>
      <c r="E44" s="227" t="n"/>
      <c r="F44" s="227" t="n"/>
      <c r="G44" s="227" t="n"/>
      <c r="H44" s="227" t="n"/>
      <c r="I44" s="227" t="n"/>
      <c r="J44" s="227" t="n"/>
      <c r="K44" s="227" t="n"/>
      <c r="L44" s="227" t="n"/>
      <c r="M44" s="227" t="n"/>
      <c r="N44" s="127" t="n"/>
      <c r="O44" s="227" t="n"/>
      <c r="P44" s="227" t="n"/>
      <c r="Q44" s="227" t="n"/>
      <c r="R44" s="227" t="n"/>
      <c r="S44" s="227" t="n"/>
      <c r="T44" s="227" t="n"/>
    </row>
    <row r="45">
      <c r="A45" s="145">
        <f>IF($B45="","",ROW()-5)</f>
        <v/>
      </c>
      <c r="B45" s="127" t="n"/>
      <c r="C45" s="223" t="n"/>
      <c r="D45" s="127" t="n"/>
      <c r="E45" s="227" t="n"/>
      <c r="F45" s="227" t="n"/>
      <c r="G45" s="227" t="n"/>
      <c r="H45" s="227" t="n"/>
      <c r="I45" s="227" t="n"/>
      <c r="J45" s="227" t="n"/>
      <c r="K45" s="227" t="n"/>
      <c r="L45" s="227" t="n"/>
      <c r="M45" s="227" t="n"/>
      <c r="N45" s="127" t="n"/>
      <c r="O45" s="227" t="n"/>
      <c r="P45" s="227" t="n"/>
      <c r="Q45" s="227" t="n"/>
      <c r="R45" s="227" t="n"/>
      <c r="S45" s="227" t="n"/>
      <c r="T45" s="227" t="n"/>
    </row>
    <row r="46">
      <c r="A46" s="145">
        <f>IF($B46="","",ROW()-5)</f>
        <v/>
      </c>
      <c r="B46" s="127" t="n"/>
      <c r="C46" s="223" t="n"/>
      <c r="D46" s="127" t="n"/>
      <c r="E46" s="227" t="n"/>
      <c r="F46" s="227" t="n"/>
      <c r="G46" s="227" t="n"/>
      <c r="H46" s="227" t="n"/>
      <c r="I46" s="227" t="n"/>
      <c r="J46" s="227" t="n"/>
      <c r="K46" s="227" t="n"/>
      <c r="L46" s="227" t="n"/>
      <c r="M46" s="227" t="n"/>
      <c r="N46" s="127" t="n"/>
      <c r="O46" s="227" t="n"/>
      <c r="P46" s="227" t="n"/>
      <c r="Q46" s="227" t="n"/>
      <c r="R46" s="227" t="n"/>
      <c r="S46" s="227" t="n"/>
      <c r="T46" s="227" t="n"/>
    </row>
    <row r="47">
      <c r="A47" s="145">
        <f>IF($B47="","",ROW()-5)</f>
        <v/>
      </c>
      <c r="B47" s="127" t="n"/>
      <c r="C47" s="223" t="n"/>
      <c r="D47" s="127" t="n"/>
      <c r="E47" s="227" t="n"/>
      <c r="F47" s="227" t="n"/>
      <c r="G47" s="227" t="n"/>
      <c r="H47" s="227" t="n"/>
      <c r="I47" s="227" t="n"/>
      <c r="J47" s="227" t="n"/>
      <c r="K47" s="227" t="n"/>
      <c r="L47" s="227" t="n"/>
      <c r="M47" s="227" t="n"/>
      <c r="N47" s="127" t="n"/>
      <c r="O47" s="227" t="n"/>
      <c r="P47" s="227" t="n"/>
      <c r="Q47" s="227" t="n"/>
      <c r="R47" s="227" t="n"/>
      <c r="S47" s="227" t="n"/>
      <c r="T47" s="227" t="n"/>
    </row>
    <row r="48">
      <c r="A48" s="145">
        <f>IF($B48="","",ROW()-5)</f>
        <v/>
      </c>
      <c r="B48" s="127" t="n"/>
      <c r="C48" s="223" t="n"/>
      <c r="D48" s="127" t="n"/>
      <c r="E48" s="227" t="n"/>
      <c r="F48" s="227" t="n"/>
      <c r="G48" s="227" t="n"/>
      <c r="H48" s="227" t="n"/>
      <c r="I48" s="227" t="n"/>
      <c r="J48" s="227" t="n"/>
      <c r="K48" s="227" t="n"/>
      <c r="L48" s="227" t="n"/>
      <c r="M48" s="227" t="n"/>
      <c r="N48" s="127" t="n"/>
      <c r="O48" s="227" t="n"/>
      <c r="P48" s="227" t="n"/>
      <c r="Q48" s="227" t="n"/>
      <c r="R48" s="227" t="n"/>
      <c r="S48" s="227" t="n"/>
      <c r="T48" s="227" t="n"/>
    </row>
    <row r="49">
      <c r="A49" s="145">
        <f>IF($B49="","",ROW()-5)</f>
        <v/>
      </c>
      <c r="B49" s="127" t="n"/>
      <c r="C49" s="223" t="n"/>
      <c r="D49" s="127" t="n"/>
      <c r="E49" s="227" t="n"/>
      <c r="F49" s="227" t="n"/>
      <c r="G49" s="227" t="n"/>
      <c r="H49" s="227" t="n"/>
      <c r="I49" s="227" t="n"/>
      <c r="J49" s="227" t="n"/>
      <c r="K49" s="227" t="n"/>
      <c r="L49" s="227" t="n"/>
      <c r="M49" s="227" t="n"/>
      <c r="N49" s="127" t="n"/>
      <c r="O49" s="227" t="n"/>
      <c r="P49" s="227" t="n"/>
      <c r="Q49" s="227" t="n"/>
      <c r="R49" s="227" t="n"/>
      <c r="S49" s="227" t="n"/>
      <c r="T49" s="227" t="n"/>
    </row>
    <row r="50">
      <c r="A50" s="145">
        <f>IF($B50="","",ROW()-5)</f>
        <v/>
      </c>
      <c r="B50" s="127" t="n"/>
      <c r="C50" s="223" t="n"/>
      <c r="D50" s="127" t="n"/>
      <c r="E50" s="227" t="n"/>
      <c r="F50" s="227" t="n"/>
      <c r="G50" s="227" t="n"/>
      <c r="H50" s="227" t="n"/>
      <c r="I50" s="227" t="n"/>
      <c r="J50" s="227" t="n"/>
      <c r="K50" s="227" t="n"/>
      <c r="L50" s="227" t="n"/>
      <c r="M50" s="227" t="n"/>
      <c r="N50" s="127" t="n"/>
      <c r="O50" s="227" t="n"/>
      <c r="P50" s="227" t="n"/>
      <c r="Q50" s="227" t="n"/>
      <c r="R50" s="227" t="n"/>
      <c r="S50" s="227" t="n"/>
      <c r="T50" s="227" t="n"/>
    </row>
    <row r="51">
      <c r="A51" s="145">
        <f>IF($B51="","",ROW()-5)</f>
        <v/>
      </c>
      <c r="B51" s="127" t="n"/>
      <c r="C51" s="223" t="n"/>
      <c r="D51" s="127" t="n"/>
      <c r="E51" s="227" t="n"/>
      <c r="F51" s="227" t="n"/>
      <c r="G51" s="227" t="n"/>
      <c r="H51" s="227" t="n"/>
      <c r="I51" s="227" t="n"/>
      <c r="J51" s="227" t="n"/>
      <c r="K51" s="227" t="n"/>
      <c r="L51" s="227" t="n"/>
      <c r="M51" s="227" t="n"/>
      <c r="N51" s="127" t="n"/>
      <c r="O51" s="227" t="n"/>
      <c r="P51" s="227" t="n"/>
      <c r="Q51" s="227" t="n"/>
      <c r="R51" s="227" t="n"/>
      <c r="S51" s="227" t="n"/>
      <c r="T51" s="227" t="n"/>
    </row>
    <row r="52">
      <c r="A52" s="145">
        <f>IF($B52="","",ROW()-5)</f>
        <v/>
      </c>
      <c r="B52" s="127" t="n"/>
      <c r="C52" s="223" t="n"/>
      <c r="D52" s="127" t="n"/>
      <c r="E52" s="227" t="n"/>
      <c r="F52" s="227" t="n"/>
      <c r="G52" s="227" t="n"/>
      <c r="H52" s="227" t="n"/>
      <c r="I52" s="227" t="n"/>
      <c r="J52" s="227" t="n"/>
      <c r="K52" s="227" t="n"/>
      <c r="L52" s="227" t="n"/>
      <c r="M52" s="227" t="n"/>
      <c r="N52" s="127" t="n"/>
      <c r="O52" s="227" t="n"/>
      <c r="P52" s="227" t="n"/>
      <c r="Q52" s="227" t="n"/>
      <c r="R52" s="227" t="n"/>
      <c r="S52" s="227" t="n"/>
      <c r="T52" s="227" t="n"/>
    </row>
    <row r="53">
      <c r="A53" s="145">
        <f>IF($B53="","",ROW()-5)</f>
        <v/>
      </c>
      <c r="B53" s="127" t="n"/>
      <c r="C53" s="223" t="n"/>
      <c r="D53" s="127" t="n"/>
      <c r="E53" s="227" t="n"/>
      <c r="F53" s="227" t="n"/>
      <c r="G53" s="227" t="n"/>
      <c r="H53" s="227" t="n"/>
      <c r="I53" s="227" t="n"/>
      <c r="J53" s="227" t="n"/>
      <c r="K53" s="227" t="n"/>
      <c r="L53" s="227" t="n"/>
      <c r="M53" s="227" t="n"/>
      <c r="N53" s="127" t="n"/>
      <c r="O53" s="227" t="n"/>
      <c r="P53" s="227" t="n"/>
      <c r="Q53" s="227" t="n"/>
      <c r="R53" s="227" t="n"/>
      <c r="S53" s="227" t="n"/>
      <c r="T53" s="227" t="n"/>
    </row>
    <row r="54">
      <c r="A54" s="145">
        <f>IF($B54="","",ROW()-5)</f>
        <v/>
      </c>
      <c r="B54" s="127" t="n"/>
      <c r="C54" s="223" t="n"/>
      <c r="D54" s="127" t="n"/>
      <c r="E54" s="227" t="n"/>
      <c r="F54" s="227" t="n"/>
      <c r="G54" s="227" t="n"/>
      <c r="H54" s="227" t="n"/>
      <c r="I54" s="227" t="n"/>
      <c r="J54" s="227" t="n"/>
      <c r="K54" s="227" t="n"/>
      <c r="L54" s="227" t="n"/>
      <c r="M54" s="227" t="n"/>
      <c r="N54" s="127" t="n"/>
      <c r="O54" s="227" t="n"/>
      <c r="P54" s="227" t="n"/>
      <c r="Q54" s="227" t="n"/>
      <c r="R54" s="227" t="n"/>
      <c r="S54" s="227" t="n"/>
      <c r="T54" s="227" t="n"/>
    </row>
    <row r="55">
      <c r="A55" s="145">
        <f>IF($B55="","",ROW()-5)</f>
        <v/>
      </c>
      <c r="B55" s="127" t="n"/>
      <c r="C55" s="223" t="n"/>
      <c r="D55" s="127" t="n"/>
      <c r="E55" s="227" t="n"/>
      <c r="F55" s="227" t="n"/>
      <c r="G55" s="227" t="n"/>
      <c r="H55" s="227" t="n"/>
      <c r="I55" s="227" t="n"/>
      <c r="J55" s="227" t="n"/>
      <c r="K55" s="227" t="n"/>
      <c r="L55" s="227" t="n"/>
      <c r="M55" s="227" t="n"/>
      <c r="N55" s="127" t="n"/>
      <c r="O55" s="227" t="n"/>
      <c r="P55" s="227" t="n"/>
      <c r="Q55" s="227" t="n"/>
      <c r="R55" s="227" t="n"/>
      <c r="S55" s="227" t="n"/>
      <c r="T55" s="227" t="n"/>
    </row>
    <row r="56">
      <c r="A56" s="145">
        <f>IF($B56="","",ROW()-5)</f>
        <v/>
      </c>
      <c r="B56" s="127" t="n"/>
      <c r="C56" s="223" t="n"/>
      <c r="D56" s="127" t="n"/>
      <c r="E56" s="227" t="n"/>
      <c r="F56" s="227" t="n"/>
      <c r="G56" s="227" t="n"/>
      <c r="H56" s="227" t="n"/>
      <c r="I56" s="227" t="n"/>
      <c r="J56" s="227" t="n"/>
      <c r="K56" s="227" t="n"/>
      <c r="L56" s="227" t="n"/>
      <c r="M56" s="227" t="n"/>
      <c r="N56" s="127" t="n"/>
      <c r="O56" s="227" t="n"/>
      <c r="P56" s="227" t="n"/>
      <c r="Q56" s="227" t="n"/>
      <c r="R56" s="227" t="n"/>
      <c r="S56" s="227" t="n"/>
      <c r="T56" s="227" t="n"/>
    </row>
    <row r="57">
      <c r="A57" s="145">
        <f>IF($B57="","",ROW()-5)</f>
        <v/>
      </c>
      <c r="B57" s="127" t="n"/>
      <c r="C57" s="223" t="n"/>
      <c r="D57" s="127" t="n"/>
      <c r="E57" s="227" t="n"/>
      <c r="F57" s="227" t="n"/>
      <c r="G57" s="227" t="n"/>
      <c r="H57" s="227" t="n"/>
      <c r="I57" s="227" t="n"/>
      <c r="J57" s="227" t="n"/>
      <c r="K57" s="227" t="n"/>
      <c r="L57" s="227" t="n"/>
      <c r="M57" s="227" t="n"/>
      <c r="N57" s="127" t="n"/>
      <c r="O57" s="227" t="n"/>
      <c r="P57" s="227" t="n"/>
      <c r="Q57" s="227" t="n"/>
      <c r="R57" s="227" t="n"/>
      <c r="S57" s="227" t="n"/>
      <c r="T57" s="227" t="n"/>
    </row>
    <row r="58">
      <c r="A58" s="145">
        <f>IF($B58="","",ROW()-5)</f>
        <v/>
      </c>
      <c r="B58" s="127" t="n"/>
      <c r="C58" s="223" t="n"/>
      <c r="D58" s="127" t="n"/>
      <c r="E58" s="227" t="n"/>
      <c r="F58" s="227" t="n"/>
      <c r="G58" s="227" t="n"/>
      <c r="H58" s="227" t="n"/>
      <c r="I58" s="227" t="n"/>
      <c r="J58" s="227" t="n"/>
      <c r="K58" s="227" t="n"/>
      <c r="L58" s="227" t="n"/>
      <c r="M58" s="227" t="n"/>
      <c r="N58" s="127" t="n"/>
      <c r="O58" s="227" t="n"/>
      <c r="P58" s="227" t="n"/>
      <c r="Q58" s="227" t="n"/>
      <c r="R58" s="227" t="n"/>
      <c r="S58" s="227" t="n"/>
      <c r="T58" s="227" t="n"/>
    </row>
    <row r="59">
      <c r="A59" s="145">
        <f>IF($B59="","",ROW()-5)</f>
        <v/>
      </c>
      <c r="B59" s="127" t="n"/>
      <c r="C59" s="223" t="n"/>
      <c r="D59" s="127" t="n"/>
      <c r="E59" s="227" t="n"/>
      <c r="F59" s="227" t="n"/>
      <c r="G59" s="227" t="n"/>
      <c r="H59" s="227" t="n"/>
      <c r="I59" s="227" t="n"/>
      <c r="J59" s="227" t="n"/>
      <c r="K59" s="227" t="n"/>
      <c r="L59" s="227" t="n"/>
      <c r="M59" s="227" t="n"/>
      <c r="N59" s="127" t="n"/>
      <c r="O59" s="227" t="n"/>
      <c r="P59" s="227" t="n"/>
      <c r="Q59" s="227" t="n"/>
      <c r="R59" s="227" t="n"/>
      <c r="S59" s="227" t="n"/>
      <c r="T59" s="227" t="n"/>
    </row>
    <row r="60">
      <c r="A60" s="145">
        <f>IF($B60="","",ROW()-5)</f>
        <v/>
      </c>
      <c r="B60" s="127" t="n"/>
      <c r="C60" s="223" t="n"/>
      <c r="D60" s="127" t="n"/>
      <c r="E60" s="227" t="n"/>
      <c r="F60" s="227" t="n"/>
      <c r="G60" s="227" t="n"/>
      <c r="H60" s="227" t="n"/>
      <c r="I60" s="227" t="n"/>
      <c r="J60" s="227" t="n"/>
      <c r="K60" s="227" t="n"/>
      <c r="L60" s="227" t="n"/>
      <c r="M60" s="227" t="n"/>
      <c r="N60" s="127" t="n"/>
      <c r="O60" s="227" t="n"/>
      <c r="P60" s="227" t="n"/>
      <c r="Q60" s="227" t="n"/>
      <c r="R60" s="227" t="n"/>
      <c r="S60" s="227" t="n"/>
      <c r="T60" s="227" t="n"/>
    </row>
    <row r="61">
      <c r="A61" s="145">
        <f>IF($B61="","",ROW()-5)</f>
        <v/>
      </c>
      <c r="B61" s="127" t="n"/>
      <c r="C61" s="223" t="n"/>
      <c r="D61" s="127" t="n"/>
      <c r="E61" s="227" t="n"/>
      <c r="F61" s="227" t="n"/>
      <c r="G61" s="227" t="n"/>
      <c r="H61" s="227" t="n"/>
      <c r="I61" s="227" t="n"/>
      <c r="J61" s="227" t="n"/>
      <c r="K61" s="227" t="n"/>
      <c r="L61" s="227" t="n"/>
      <c r="M61" s="227" t="n"/>
      <c r="N61" s="127" t="n"/>
      <c r="O61" s="227" t="n"/>
      <c r="P61" s="227" t="n"/>
      <c r="Q61" s="227" t="n"/>
      <c r="R61" s="227" t="n"/>
      <c r="S61" s="227" t="n"/>
      <c r="T61" s="227" t="n"/>
    </row>
    <row r="62">
      <c r="A62" s="145">
        <f>IF($B62="","",ROW()-5)</f>
        <v/>
      </c>
      <c r="B62" s="127" t="n"/>
      <c r="C62" s="223" t="n"/>
      <c r="D62" s="127" t="n"/>
      <c r="E62" s="227" t="n"/>
      <c r="F62" s="227" t="n"/>
      <c r="G62" s="227" t="n"/>
      <c r="H62" s="227" t="n"/>
      <c r="I62" s="227" t="n"/>
      <c r="J62" s="227" t="n"/>
      <c r="K62" s="227" t="n"/>
      <c r="L62" s="227" t="n"/>
      <c r="M62" s="227" t="n"/>
      <c r="N62" s="127" t="n"/>
      <c r="O62" s="227" t="n"/>
      <c r="P62" s="227" t="n"/>
      <c r="Q62" s="227" t="n"/>
      <c r="R62" s="227" t="n"/>
      <c r="S62" s="227" t="n"/>
      <c r="T62" s="227" t="n"/>
    </row>
    <row r="63">
      <c r="A63" s="145">
        <f>IF($B63="","",ROW()-5)</f>
        <v/>
      </c>
      <c r="B63" s="127" t="n"/>
      <c r="C63" s="223" t="n"/>
      <c r="D63" s="127" t="n"/>
      <c r="E63" s="227" t="n"/>
      <c r="F63" s="227" t="n"/>
      <c r="G63" s="227" t="n"/>
      <c r="H63" s="227" t="n"/>
      <c r="I63" s="227" t="n"/>
      <c r="J63" s="227" t="n"/>
      <c r="K63" s="227" t="n"/>
      <c r="L63" s="227" t="n"/>
      <c r="M63" s="227" t="n"/>
      <c r="N63" s="127" t="n"/>
      <c r="O63" s="227" t="n"/>
      <c r="P63" s="227" t="n"/>
      <c r="Q63" s="227" t="n"/>
      <c r="R63" s="227" t="n"/>
      <c r="S63" s="227" t="n"/>
      <c r="T63" s="227" t="n"/>
    </row>
    <row r="64">
      <c r="A64" s="145">
        <f>IF($B64="","",ROW()-5)</f>
        <v/>
      </c>
      <c r="B64" s="127" t="n"/>
      <c r="C64" s="223" t="n"/>
      <c r="D64" s="127" t="n"/>
      <c r="E64" s="227" t="n"/>
      <c r="F64" s="227" t="n"/>
      <c r="G64" s="227" t="n"/>
      <c r="H64" s="227" t="n"/>
      <c r="I64" s="227" t="n"/>
      <c r="J64" s="227" t="n"/>
      <c r="K64" s="227" t="n"/>
      <c r="L64" s="227" t="n"/>
      <c r="M64" s="227" t="n"/>
      <c r="N64" s="127" t="n"/>
      <c r="O64" s="227" t="n"/>
      <c r="P64" s="227" t="n"/>
      <c r="Q64" s="227" t="n"/>
      <c r="R64" s="227" t="n"/>
      <c r="S64" s="227" t="n"/>
      <c r="T64" s="227" t="n"/>
    </row>
    <row r="65">
      <c r="A65" s="145">
        <f>IF($B65="","",ROW()-5)</f>
        <v/>
      </c>
      <c r="B65" s="127" t="n"/>
      <c r="C65" s="223" t="n"/>
      <c r="D65" s="127" t="n"/>
      <c r="E65" s="227" t="n"/>
      <c r="F65" s="227" t="n"/>
      <c r="G65" s="227" t="n"/>
      <c r="H65" s="227" t="n"/>
      <c r="I65" s="227" t="n"/>
      <c r="J65" s="227" t="n"/>
      <c r="K65" s="227" t="n"/>
      <c r="L65" s="227" t="n"/>
      <c r="M65" s="227" t="n"/>
      <c r="N65" s="127" t="n"/>
      <c r="O65" s="227" t="n"/>
      <c r="P65" s="227" t="n"/>
      <c r="Q65" s="227" t="n"/>
      <c r="R65" s="227" t="n"/>
      <c r="S65" s="227" t="n"/>
      <c r="T65" s="227" t="n"/>
    </row>
    <row r="66">
      <c r="A66" s="145">
        <f>IF($B66="","",ROW()-5)</f>
        <v/>
      </c>
      <c r="B66" s="127" t="n"/>
      <c r="C66" s="223" t="n"/>
      <c r="D66" s="127" t="n"/>
      <c r="E66" s="227" t="n"/>
      <c r="F66" s="227" t="n"/>
      <c r="G66" s="227" t="n"/>
      <c r="H66" s="227" t="n"/>
      <c r="I66" s="227" t="n"/>
      <c r="J66" s="227" t="n"/>
      <c r="K66" s="227" t="n"/>
      <c r="L66" s="227" t="n"/>
      <c r="M66" s="227" t="n"/>
      <c r="N66" s="127" t="n"/>
      <c r="O66" s="227" t="n"/>
      <c r="P66" s="227" t="n"/>
      <c r="Q66" s="227" t="n"/>
      <c r="R66" s="227" t="n"/>
      <c r="S66" s="227" t="n"/>
      <c r="T66" s="227" t="n"/>
    </row>
    <row r="67">
      <c r="A67" s="145">
        <f>IF($B67="","",ROW()-5)</f>
        <v/>
      </c>
      <c r="B67" s="127" t="n"/>
      <c r="C67" s="223" t="n"/>
      <c r="D67" s="127" t="n"/>
      <c r="E67" s="227" t="n"/>
      <c r="F67" s="227" t="n"/>
      <c r="G67" s="227" t="n"/>
      <c r="H67" s="227" t="n"/>
      <c r="I67" s="227" t="n"/>
      <c r="J67" s="227" t="n"/>
      <c r="K67" s="227" t="n"/>
      <c r="L67" s="227" t="n"/>
      <c r="M67" s="227" t="n"/>
      <c r="N67" s="127" t="n"/>
      <c r="O67" s="227" t="n"/>
      <c r="P67" s="227" t="n"/>
      <c r="Q67" s="227" t="n"/>
      <c r="R67" s="227" t="n"/>
      <c r="S67" s="227" t="n"/>
      <c r="T67" s="227" t="n"/>
    </row>
    <row r="68">
      <c r="A68" s="145">
        <f>IF($B68="","",ROW()-5)</f>
        <v/>
      </c>
      <c r="B68" s="127" t="n"/>
      <c r="C68" s="223" t="n"/>
      <c r="D68" s="127" t="n"/>
      <c r="E68" s="227" t="n"/>
      <c r="F68" s="227" t="n"/>
      <c r="G68" s="227" t="n"/>
      <c r="H68" s="227" t="n"/>
      <c r="I68" s="227" t="n"/>
      <c r="J68" s="227" t="n"/>
      <c r="K68" s="227" t="n"/>
      <c r="L68" s="227" t="n"/>
      <c r="M68" s="227" t="n"/>
      <c r="N68" s="127" t="n"/>
      <c r="O68" s="227" t="n"/>
      <c r="P68" s="227" t="n"/>
      <c r="Q68" s="227" t="n"/>
      <c r="R68" s="227" t="n"/>
      <c r="S68" s="227" t="n"/>
      <c r="T68" s="227" t="n"/>
    </row>
    <row r="69">
      <c r="A69" s="145">
        <f>IF($B69="","",ROW()-5)</f>
        <v/>
      </c>
      <c r="B69" s="127" t="n"/>
      <c r="C69" s="223" t="n"/>
      <c r="D69" s="127" t="n"/>
      <c r="E69" s="227" t="n"/>
      <c r="F69" s="227" t="n"/>
      <c r="G69" s="227" t="n"/>
      <c r="H69" s="227" t="n"/>
      <c r="I69" s="227" t="n"/>
      <c r="J69" s="227" t="n"/>
      <c r="K69" s="227" t="n"/>
      <c r="L69" s="227" t="n"/>
      <c r="M69" s="227" t="n"/>
      <c r="N69" s="127" t="n"/>
      <c r="O69" s="227" t="n"/>
      <c r="P69" s="227" t="n"/>
      <c r="Q69" s="227" t="n"/>
      <c r="R69" s="227" t="n"/>
      <c r="S69" s="227" t="n"/>
      <c r="T69" s="227" t="n"/>
    </row>
    <row r="70">
      <c r="A70" s="145">
        <f>IF($B70="","",ROW()-5)</f>
        <v/>
      </c>
      <c r="B70" s="127" t="n"/>
      <c r="C70" s="223" t="n"/>
      <c r="D70" s="127" t="n"/>
      <c r="E70" s="227" t="n"/>
      <c r="F70" s="227" t="n"/>
      <c r="G70" s="227" t="n"/>
      <c r="H70" s="227" t="n"/>
      <c r="I70" s="227" t="n"/>
      <c r="J70" s="227" t="n"/>
      <c r="K70" s="227" t="n"/>
      <c r="L70" s="227" t="n"/>
      <c r="M70" s="227" t="n"/>
      <c r="N70" s="127" t="n"/>
      <c r="O70" s="227" t="n"/>
      <c r="P70" s="227" t="n"/>
      <c r="Q70" s="227" t="n"/>
      <c r="R70" s="227" t="n"/>
      <c r="S70" s="227" t="n"/>
      <c r="T70" s="227" t="n"/>
    </row>
    <row r="71">
      <c r="A71" s="145">
        <f>IF($B71="","",ROW()-5)</f>
        <v/>
      </c>
      <c r="B71" s="127" t="n"/>
      <c r="C71" s="223" t="n"/>
      <c r="D71" s="127" t="n"/>
      <c r="E71" s="227" t="n"/>
      <c r="F71" s="227" t="n"/>
      <c r="G71" s="227" t="n"/>
      <c r="H71" s="227" t="n"/>
      <c r="I71" s="227" t="n"/>
      <c r="J71" s="227" t="n"/>
      <c r="K71" s="227" t="n"/>
      <c r="L71" s="227" t="n"/>
      <c r="M71" s="227" t="n"/>
      <c r="N71" s="127" t="n"/>
      <c r="O71" s="227" t="n"/>
      <c r="P71" s="227" t="n"/>
      <c r="Q71" s="227" t="n"/>
      <c r="R71" s="227" t="n"/>
      <c r="S71" s="227" t="n"/>
      <c r="T71" s="227" t="n"/>
    </row>
    <row r="72">
      <c r="A72" s="145">
        <f>IF($B72="","",ROW()-5)</f>
        <v/>
      </c>
      <c r="B72" s="127" t="n"/>
      <c r="C72" s="223" t="n"/>
      <c r="D72" s="127" t="n"/>
      <c r="E72" s="227" t="n"/>
      <c r="F72" s="227" t="n"/>
      <c r="G72" s="227" t="n"/>
      <c r="H72" s="227" t="n"/>
      <c r="I72" s="227" t="n"/>
      <c r="J72" s="227" t="n"/>
      <c r="K72" s="227" t="n"/>
      <c r="L72" s="227" t="n"/>
      <c r="M72" s="227" t="n"/>
      <c r="N72" s="127" t="n"/>
      <c r="O72" s="227" t="n"/>
      <c r="P72" s="227" t="n"/>
      <c r="Q72" s="227" t="n"/>
      <c r="R72" s="227" t="n"/>
      <c r="S72" s="227" t="n"/>
      <c r="T72" s="227" t="n"/>
    </row>
    <row r="73">
      <c r="A73" s="145">
        <f>IF($B73="","",ROW()-5)</f>
        <v/>
      </c>
      <c r="B73" s="127" t="n"/>
      <c r="C73" s="223" t="n"/>
      <c r="D73" s="127" t="n"/>
      <c r="E73" s="227" t="n"/>
      <c r="F73" s="227" t="n"/>
      <c r="G73" s="227" t="n"/>
      <c r="H73" s="227" t="n"/>
      <c r="I73" s="227" t="n"/>
      <c r="J73" s="227" t="n"/>
      <c r="K73" s="227" t="n"/>
      <c r="L73" s="227" t="n"/>
      <c r="M73" s="227" t="n"/>
      <c r="N73" s="127" t="n"/>
      <c r="O73" s="227" t="n"/>
      <c r="P73" s="227" t="n"/>
      <c r="Q73" s="227" t="n"/>
      <c r="R73" s="227" t="n"/>
      <c r="S73" s="227" t="n"/>
      <c r="T73" s="227" t="n"/>
    </row>
    <row r="74">
      <c r="A74" s="145">
        <f>IF($B74="","",ROW()-5)</f>
        <v/>
      </c>
      <c r="B74" s="127" t="n"/>
      <c r="C74" s="223" t="n"/>
      <c r="D74" s="127" t="n"/>
      <c r="E74" s="227" t="n"/>
      <c r="F74" s="227" t="n"/>
      <c r="G74" s="227" t="n"/>
      <c r="H74" s="227" t="n"/>
      <c r="I74" s="227" t="n"/>
      <c r="J74" s="227" t="n"/>
      <c r="K74" s="227" t="n"/>
      <c r="L74" s="227" t="n"/>
      <c r="M74" s="227" t="n"/>
      <c r="N74" s="127" t="n"/>
      <c r="O74" s="227" t="n"/>
      <c r="P74" s="227" t="n"/>
      <c r="Q74" s="227" t="n"/>
      <c r="R74" s="227" t="n"/>
      <c r="S74" s="227" t="n"/>
      <c r="T74" s="227" t="n"/>
    </row>
    <row r="75">
      <c r="A75" s="145">
        <f>IF($B75="","",ROW()-5)</f>
        <v/>
      </c>
      <c r="B75" s="127" t="n"/>
      <c r="C75" s="223" t="n"/>
      <c r="D75" s="127" t="n"/>
      <c r="E75" s="227" t="n"/>
      <c r="F75" s="227" t="n"/>
      <c r="G75" s="227" t="n"/>
      <c r="H75" s="227" t="n"/>
      <c r="I75" s="227" t="n"/>
      <c r="J75" s="227" t="n"/>
      <c r="K75" s="227" t="n"/>
      <c r="L75" s="227" t="n"/>
      <c r="M75" s="227" t="n"/>
      <c r="N75" s="127" t="n"/>
      <c r="O75" s="227" t="n"/>
      <c r="P75" s="227" t="n"/>
      <c r="Q75" s="227" t="n"/>
      <c r="R75" s="227" t="n"/>
      <c r="S75" s="227" t="n"/>
      <c r="T75" s="227" t="n"/>
    </row>
    <row r="76">
      <c r="A76" s="145">
        <f>IF($B76="","",ROW()-5)</f>
        <v/>
      </c>
      <c r="B76" s="127" t="n"/>
      <c r="C76" s="223" t="n"/>
      <c r="D76" s="127" t="n"/>
      <c r="E76" s="227" t="n"/>
      <c r="F76" s="227" t="n"/>
      <c r="G76" s="227" t="n"/>
      <c r="H76" s="227" t="n"/>
      <c r="I76" s="227" t="n"/>
      <c r="J76" s="227" t="n"/>
      <c r="K76" s="227" t="n"/>
      <c r="L76" s="227" t="n"/>
      <c r="M76" s="227" t="n"/>
      <c r="N76" s="127" t="n"/>
      <c r="O76" s="227" t="n"/>
      <c r="P76" s="227" t="n"/>
      <c r="Q76" s="227" t="n"/>
      <c r="R76" s="227" t="n"/>
      <c r="S76" s="227" t="n"/>
      <c r="T76" s="227" t="n"/>
    </row>
    <row r="77">
      <c r="A77" s="145">
        <f>IF($B77="","",ROW()-5)</f>
        <v/>
      </c>
      <c r="B77" s="127" t="n"/>
      <c r="C77" s="223" t="n"/>
      <c r="D77" s="127" t="n"/>
      <c r="E77" s="227" t="n"/>
      <c r="F77" s="227" t="n"/>
      <c r="G77" s="227" t="n"/>
      <c r="H77" s="227" t="n"/>
      <c r="I77" s="227" t="n"/>
      <c r="J77" s="227" t="n"/>
      <c r="K77" s="227" t="n"/>
      <c r="L77" s="227" t="n"/>
      <c r="M77" s="227" t="n"/>
      <c r="N77" s="127" t="n"/>
      <c r="O77" s="227" t="n"/>
      <c r="P77" s="227" t="n"/>
      <c r="Q77" s="227" t="n"/>
      <c r="R77" s="227" t="n"/>
      <c r="S77" s="227" t="n"/>
      <c r="T77" s="227" t="n"/>
    </row>
    <row r="78">
      <c r="A78" s="145">
        <f>IF($B78="","",ROW()-5)</f>
        <v/>
      </c>
      <c r="B78" s="127" t="n"/>
      <c r="C78" s="223" t="n"/>
      <c r="D78" s="127" t="n"/>
      <c r="E78" s="227" t="n"/>
      <c r="F78" s="227" t="n"/>
      <c r="G78" s="227" t="n"/>
      <c r="H78" s="227" t="n"/>
      <c r="I78" s="227" t="n"/>
      <c r="J78" s="227" t="n"/>
      <c r="K78" s="227" t="n"/>
      <c r="L78" s="227" t="n"/>
      <c r="M78" s="227" t="n"/>
      <c r="N78" s="127" t="n"/>
      <c r="O78" s="227" t="n"/>
      <c r="P78" s="227" t="n"/>
      <c r="Q78" s="227" t="n"/>
      <c r="R78" s="227" t="n"/>
      <c r="S78" s="227" t="n"/>
      <c r="T78" s="227" t="n"/>
    </row>
    <row r="79">
      <c r="A79" s="145">
        <f>IF($B79="","",ROW()-5)</f>
        <v/>
      </c>
      <c r="B79" s="127" t="n"/>
      <c r="C79" s="223" t="n"/>
      <c r="D79" s="127" t="n"/>
      <c r="E79" s="227" t="n"/>
      <c r="F79" s="227" t="n"/>
      <c r="G79" s="227" t="n"/>
      <c r="H79" s="227" t="n"/>
      <c r="I79" s="227" t="n"/>
      <c r="J79" s="227" t="n"/>
      <c r="K79" s="227" t="n"/>
      <c r="L79" s="227" t="n"/>
      <c r="M79" s="227" t="n"/>
      <c r="N79" s="127" t="n"/>
      <c r="O79" s="227" t="n"/>
      <c r="P79" s="227" t="n"/>
      <c r="Q79" s="227" t="n"/>
      <c r="R79" s="227" t="n"/>
      <c r="S79" s="227" t="n"/>
      <c r="T79" s="227" t="n"/>
    </row>
    <row r="80">
      <c r="A80" s="145">
        <f>IF($B80="","",ROW()-5)</f>
        <v/>
      </c>
      <c r="B80" s="127" t="n"/>
      <c r="C80" s="223" t="n"/>
      <c r="D80" s="127" t="n"/>
      <c r="E80" s="227" t="n"/>
      <c r="F80" s="227" t="n"/>
      <c r="G80" s="227" t="n"/>
      <c r="H80" s="227" t="n"/>
      <c r="I80" s="227" t="n"/>
      <c r="J80" s="227" t="n"/>
      <c r="K80" s="227" t="n"/>
      <c r="L80" s="227" t="n"/>
      <c r="M80" s="227" t="n"/>
      <c r="N80" s="127" t="n"/>
      <c r="O80" s="227" t="n"/>
      <c r="P80" s="227" t="n"/>
      <c r="Q80" s="227" t="n"/>
      <c r="R80" s="227" t="n"/>
      <c r="S80" s="227" t="n"/>
      <c r="T80" s="227" t="n"/>
    </row>
    <row r="81">
      <c r="A81" s="145">
        <f>IF($B81="","",ROW()-5)</f>
        <v/>
      </c>
      <c r="B81" s="127" t="n"/>
      <c r="C81" s="223" t="n"/>
      <c r="D81" s="127" t="n"/>
      <c r="E81" s="227" t="n"/>
      <c r="F81" s="227" t="n"/>
      <c r="G81" s="227" t="n"/>
      <c r="H81" s="227" t="n"/>
      <c r="I81" s="227" t="n"/>
      <c r="J81" s="227" t="n"/>
      <c r="K81" s="227" t="n"/>
      <c r="L81" s="227" t="n"/>
      <c r="M81" s="227" t="n"/>
      <c r="N81" s="127" t="n"/>
      <c r="O81" s="227" t="n"/>
      <c r="P81" s="227" t="n"/>
      <c r="Q81" s="227" t="n"/>
      <c r="R81" s="227" t="n"/>
      <c r="S81" s="227" t="n"/>
      <c r="T81" s="227" t="n"/>
    </row>
    <row r="82">
      <c r="A82" s="145">
        <f>IF($B82="","",ROW()-5)</f>
        <v/>
      </c>
      <c r="B82" s="127" t="n"/>
      <c r="C82" s="223" t="n"/>
      <c r="D82" s="127" t="n"/>
      <c r="E82" s="227" t="n"/>
      <c r="F82" s="227" t="n"/>
      <c r="G82" s="227" t="n"/>
      <c r="H82" s="227" t="n"/>
      <c r="I82" s="227" t="n"/>
      <c r="J82" s="227" t="n"/>
      <c r="K82" s="227" t="n"/>
      <c r="L82" s="227" t="n"/>
      <c r="M82" s="227" t="n"/>
      <c r="N82" s="127" t="n"/>
      <c r="O82" s="227" t="n"/>
      <c r="P82" s="227" t="n"/>
      <c r="Q82" s="227" t="n"/>
      <c r="R82" s="227" t="n"/>
      <c r="S82" s="227" t="n"/>
      <c r="T82" s="227" t="n"/>
    </row>
    <row r="83">
      <c r="A83" s="145">
        <f>IF($B83="","",ROW()-5)</f>
        <v/>
      </c>
      <c r="B83" s="127" t="n"/>
      <c r="C83" s="223" t="n"/>
      <c r="D83" s="127" t="n"/>
      <c r="E83" s="227" t="n"/>
      <c r="F83" s="227" t="n"/>
      <c r="G83" s="227" t="n"/>
      <c r="H83" s="227" t="n"/>
      <c r="I83" s="227" t="n"/>
      <c r="J83" s="227" t="n"/>
      <c r="K83" s="227" t="n"/>
      <c r="L83" s="227" t="n"/>
      <c r="M83" s="227" t="n"/>
      <c r="N83" s="127" t="n"/>
      <c r="O83" s="227" t="n"/>
      <c r="P83" s="227" t="n"/>
      <c r="Q83" s="227" t="n"/>
      <c r="R83" s="227" t="n"/>
      <c r="S83" s="227" t="n"/>
      <c r="T83" s="227" t="n"/>
    </row>
    <row r="84">
      <c r="A84" s="145">
        <f>IF($B84="","",ROW()-5)</f>
        <v/>
      </c>
      <c r="B84" s="127" t="n"/>
      <c r="C84" s="223" t="n"/>
      <c r="D84" s="127" t="n"/>
      <c r="E84" s="227" t="n"/>
      <c r="F84" s="227" t="n"/>
      <c r="G84" s="227" t="n"/>
      <c r="H84" s="227" t="n"/>
      <c r="I84" s="227" t="n"/>
      <c r="J84" s="227" t="n"/>
      <c r="K84" s="227" t="n"/>
      <c r="L84" s="227" t="n"/>
      <c r="M84" s="227" t="n"/>
      <c r="N84" s="127" t="n"/>
      <c r="O84" s="227" t="n"/>
      <c r="P84" s="227" t="n"/>
      <c r="Q84" s="227" t="n"/>
      <c r="R84" s="227" t="n"/>
      <c r="S84" s="227" t="n"/>
      <c r="T84" s="227" t="n"/>
    </row>
    <row r="85">
      <c r="A85" s="145">
        <f>IF($B85="","",ROW()-5)</f>
        <v/>
      </c>
      <c r="B85" s="127" t="n"/>
      <c r="C85" s="223" t="n"/>
      <c r="D85" s="127" t="n"/>
      <c r="E85" s="227" t="n"/>
      <c r="F85" s="227" t="n"/>
      <c r="G85" s="227" t="n"/>
      <c r="H85" s="227" t="n"/>
      <c r="I85" s="227" t="n"/>
      <c r="J85" s="227" t="n"/>
      <c r="K85" s="227" t="n"/>
      <c r="L85" s="227" t="n"/>
      <c r="M85" s="227" t="n"/>
      <c r="N85" s="127" t="n"/>
      <c r="O85" s="227" t="n"/>
      <c r="P85" s="227" t="n"/>
      <c r="Q85" s="227" t="n"/>
      <c r="R85" s="227" t="n"/>
      <c r="S85" s="227" t="n"/>
      <c r="T85" s="227" t="n"/>
    </row>
    <row r="86">
      <c r="A86" s="145">
        <f>IF($B86="","",ROW()-5)</f>
        <v/>
      </c>
      <c r="B86" s="127" t="n"/>
      <c r="C86" s="223" t="n"/>
      <c r="D86" s="127" t="n"/>
      <c r="E86" s="227" t="n"/>
      <c r="F86" s="227" t="n"/>
      <c r="G86" s="227" t="n"/>
      <c r="H86" s="227" t="n"/>
      <c r="I86" s="227" t="n"/>
      <c r="J86" s="227" t="n"/>
      <c r="K86" s="227" t="n"/>
      <c r="L86" s="227" t="n"/>
      <c r="M86" s="227" t="n"/>
      <c r="N86" s="127" t="n"/>
      <c r="O86" s="227" t="n"/>
      <c r="P86" s="227" t="n"/>
      <c r="Q86" s="227" t="n"/>
      <c r="R86" s="227" t="n"/>
      <c r="S86" s="227" t="n"/>
      <c r="T86" s="227" t="n"/>
    </row>
    <row r="87">
      <c r="A87" s="145">
        <f>IF($B87="","",ROW()-5)</f>
        <v/>
      </c>
      <c r="B87" s="127" t="n"/>
      <c r="C87" s="223" t="n"/>
      <c r="D87" s="127" t="n"/>
      <c r="E87" s="227" t="n"/>
      <c r="F87" s="227" t="n"/>
      <c r="G87" s="227" t="n"/>
      <c r="H87" s="227" t="n"/>
      <c r="I87" s="227" t="n"/>
      <c r="J87" s="227" t="n"/>
      <c r="K87" s="227" t="n"/>
      <c r="L87" s="227" t="n"/>
      <c r="M87" s="227" t="n"/>
      <c r="N87" s="127" t="n"/>
      <c r="O87" s="227" t="n"/>
      <c r="P87" s="227" t="n"/>
      <c r="Q87" s="227" t="n"/>
      <c r="R87" s="227" t="n"/>
      <c r="S87" s="227" t="n"/>
      <c r="T87" s="227" t="n"/>
    </row>
    <row r="88">
      <c r="A88" s="145">
        <f>IF($B88="","",ROW()-5)</f>
        <v/>
      </c>
      <c r="B88" s="127" t="n"/>
      <c r="C88" s="223" t="n"/>
      <c r="D88" s="127" t="n"/>
      <c r="E88" s="227" t="n"/>
      <c r="F88" s="227" t="n"/>
      <c r="G88" s="227" t="n"/>
      <c r="H88" s="227" t="n"/>
      <c r="I88" s="227" t="n"/>
      <c r="J88" s="227" t="n"/>
      <c r="K88" s="227" t="n"/>
      <c r="L88" s="227" t="n"/>
      <c r="M88" s="227" t="n"/>
      <c r="N88" s="127" t="n"/>
      <c r="O88" s="227" t="n"/>
      <c r="P88" s="227" t="n"/>
      <c r="Q88" s="227" t="n"/>
      <c r="R88" s="227" t="n"/>
      <c r="S88" s="227" t="n"/>
      <c r="T88" s="227" t="n"/>
    </row>
    <row r="89">
      <c r="A89" s="145">
        <f>IF($B89="","",ROW()-5)</f>
        <v/>
      </c>
      <c r="B89" s="127" t="n"/>
      <c r="C89" s="223" t="n"/>
      <c r="D89" s="127" t="n"/>
      <c r="E89" s="227" t="n"/>
      <c r="F89" s="227" t="n"/>
      <c r="G89" s="227" t="n"/>
      <c r="H89" s="227" t="n"/>
      <c r="I89" s="227" t="n"/>
      <c r="J89" s="227" t="n"/>
      <c r="K89" s="227" t="n"/>
      <c r="L89" s="227" t="n"/>
      <c r="M89" s="227" t="n"/>
      <c r="N89" s="127" t="n"/>
      <c r="O89" s="227" t="n"/>
      <c r="P89" s="227" t="n"/>
      <c r="Q89" s="227" t="n"/>
      <c r="R89" s="227" t="n"/>
      <c r="S89" s="227" t="n"/>
      <c r="T89" s="227" t="n"/>
    </row>
    <row r="90">
      <c r="A90" s="145">
        <f>IF($B90="","",ROW()-5)</f>
        <v/>
      </c>
      <c r="B90" s="127" t="n"/>
      <c r="C90" s="223" t="n"/>
      <c r="D90" s="127" t="n"/>
      <c r="E90" s="227" t="n"/>
      <c r="F90" s="227" t="n"/>
      <c r="G90" s="227" t="n"/>
      <c r="H90" s="227" t="n"/>
      <c r="I90" s="227" t="n"/>
      <c r="J90" s="227" t="n"/>
      <c r="K90" s="227" t="n"/>
      <c r="L90" s="227" t="n"/>
      <c r="M90" s="227" t="n"/>
      <c r="N90" s="127" t="n"/>
      <c r="O90" s="227" t="n"/>
      <c r="P90" s="227" t="n"/>
      <c r="Q90" s="227" t="n"/>
      <c r="R90" s="227" t="n"/>
      <c r="S90" s="227" t="n"/>
      <c r="T90" s="227" t="n"/>
    </row>
    <row r="91">
      <c r="A91" s="145">
        <f>IF($B91="","",ROW()-5)</f>
        <v/>
      </c>
      <c r="B91" s="127" t="n"/>
      <c r="C91" s="223" t="n"/>
      <c r="D91" s="127" t="n"/>
      <c r="E91" s="227" t="n"/>
      <c r="F91" s="227" t="n"/>
      <c r="G91" s="227" t="n"/>
      <c r="H91" s="227" t="n"/>
      <c r="I91" s="227" t="n"/>
      <c r="J91" s="227" t="n"/>
      <c r="K91" s="227" t="n"/>
      <c r="L91" s="227" t="n"/>
      <c r="M91" s="227" t="n"/>
      <c r="N91" s="127" t="n"/>
      <c r="O91" s="227" t="n"/>
      <c r="P91" s="227" t="n"/>
      <c r="Q91" s="227" t="n"/>
      <c r="R91" s="227" t="n"/>
      <c r="S91" s="227" t="n"/>
      <c r="T91" s="227" t="n"/>
    </row>
    <row r="92">
      <c r="A92" s="145">
        <f>IF($B92="","",ROW()-5)</f>
        <v/>
      </c>
      <c r="B92" s="127" t="n"/>
      <c r="C92" s="223" t="n"/>
      <c r="D92" s="127" t="n"/>
      <c r="E92" s="227" t="n"/>
      <c r="F92" s="227" t="n"/>
      <c r="G92" s="227" t="n"/>
      <c r="H92" s="227" t="n"/>
      <c r="I92" s="227" t="n"/>
      <c r="J92" s="227" t="n"/>
      <c r="K92" s="227" t="n"/>
      <c r="L92" s="227" t="n"/>
      <c r="M92" s="227" t="n"/>
      <c r="N92" s="127" t="n"/>
      <c r="O92" s="227" t="n"/>
      <c r="P92" s="227" t="n"/>
      <c r="Q92" s="227" t="n"/>
      <c r="R92" s="227" t="n"/>
      <c r="S92" s="227" t="n"/>
      <c r="T92" s="227" t="n"/>
    </row>
    <row r="93">
      <c r="A93" s="145">
        <f>IF($B93="","",ROW()-5)</f>
        <v/>
      </c>
      <c r="B93" s="127" t="n"/>
      <c r="C93" s="223" t="n"/>
      <c r="D93" s="127" t="n"/>
      <c r="E93" s="227" t="n"/>
      <c r="F93" s="227" t="n"/>
      <c r="G93" s="227" t="n"/>
      <c r="H93" s="227" t="n"/>
      <c r="I93" s="227" t="n"/>
      <c r="J93" s="227" t="n"/>
      <c r="K93" s="227" t="n"/>
      <c r="L93" s="227" t="n"/>
      <c r="M93" s="227" t="n"/>
      <c r="N93" s="127" t="n"/>
      <c r="O93" s="227" t="n"/>
      <c r="P93" s="227" t="n"/>
      <c r="Q93" s="227" t="n"/>
      <c r="R93" s="227" t="n"/>
      <c r="S93" s="227" t="n"/>
      <c r="T93" s="227" t="n"/>
    </row>
    <row r="94">
      <c r="A94" s="145">
        <f>IF($B94="","",ROW()-5)</f>
        <v/>
      </c>
      <c r="B94" s="127" t="n"/>
      <c r="C94" s="223" t="n"/>
      <c r="D94" s="127" t="n"/>
      <c r="E94" s="227" t="n"/>
      <c r="F94" s="227" t="n"/>
      <c r="G94" s="227" t="n"/>
      <c r="H94" s="227" t="n"/>
      <c r="I94" s="227" t="n"/>
      <c r="J94" s="227" t="n"/>
      <c r="K94" s="227" t="n"/>
      <c r="L94" s="227" t="n"/>
      <c r="M94" s="227" t="n"/>
      <c r="N94" s="127" t="n"/>
      <c r="O94" s="227" t="n"/>
      <c r="P94" s="227" t="n"/>
      <c r="Q94" s="227" t="n"/>
      <c r="R94" s="227" t="n"/>
      <c r="S94" s="227" t="n"/>
      <c r="T94" s="227" t="n"/>
    </row>
    <row r="95">
      <c r="A95" s="145">
        <f>IF($B95="","",ROW()-5)</f>
        <v/>
      </c>
      <c r="B95" s="127" t="n"/>
      <c r="C95" s="223" t="n"/>
      <c r="D95" s="127" t="n"/>
      <c r="E95" s="227" t="n"/>
      <c r="F95" s="227" t="n"/>
      <c r="G95" s="227" t="n"/>
      <c r="H95" s="227" t="n"/>
      <c r="I95" s="227" t="n"/>
      <c r="J95" s="227" t="n"/>
      <c r="K95" s="227" t="n"/>
      <c r="L95" s="227" t="n"/>
      <c r="M95" s="227" t="n"/>
      <c r="N95" s="127" t="n"/>
      <c r="O95" s="227" t="n"/>
      <c r="P95" s="227" t="n"/>
      <c r="Q95" s="227" t="n"/>
      <c r="R95" s="227" t="n"/>
      <c r="S95" s="227" t="n"/>
      <c r="T95" s="227" t="n"/>
    </row>
    <row r="96">
      <c r="A96" s="145">
        <f>IF($B96="","",ROW()-5)</f>
        <v/>
      </c>
      <c r="B96" s="127" t="n"/>
      <c r="C96" s="223" t="n"/>
      <c r="D96" s="127" t="n"/>
      <c r="E96" s="227" t="n"/>
      <c r="F96" s="227" t="n"/>
      <c r="G96" s="227" t="n"/>
      <c r="H96" s="227" t="n"/>
      <c r="I96" s="227" t="n"/>
      <c r="J96" s="227" t="n"/>
      <c r="K96" s="227" t="n"/>
      <c r="L96" s="227" t="n"/>
      <c r="M96" s="227" t="n"/>
      <c r="N96" s="127" t="n"/>
      <c r="O96" s="227" t="n"/>
      <c r="P96" s="227" t="n"/>
      <c r="Q96" s="227" t="n"/>
      <c r="R96" s="227" t="n"/>
      <c r="S96" s="227" t="n"/>
      <c r="T96" s="227" t="n"/>
    </row>
    <row r="97">
      <c r="A97" s="145">
        <f>IF($B97="","",ROW()-5)</f>
        <v/>
      </c>
      <c r="B97" s="127" t="n"/>
      <c r="C97" s="223" t="n"/>
      <c r="D97" s="127" t="n"/>
      <c r="E97" s="227" t="n"/>
      <c r="F97" s="227" t="n"/>
      <c r="G97" s="227" t="n"/>
      <c r="H97" s="227" t="n"/>
      <c r="I97" s="227" t="n"/>
      <c r="J97" s="227" t="n"/>
      <c r="K97" s="227" t="n"/>
      <c r="L97" s="227" t="n"/>
      <c r="M97" s="227" t="n"/>
      <c r="N97" s="127" t="n"/>
      <c r="O97" s="227" t="n"/>
      <c r="P97" s="227" t="n"/>
      <c r="Q97" s="227" t="n"/>
      <c r="R97" s="227" t="n"/>
      <c r="S97" s="227" t="n"/>
      <c r="T97" s="227" t="n"/>
    </row>
    <row r="98">
      <c r="A98" s="145">
        <f>IF($B98="","",ROW()-5)</f>
        <v/>
      </c>
      <c r="B98" s="127" t="n"/>
      <c r="C98" s="223" t="n"/>
      <c r="D98" s="127" t="n"/>
      <c r="E98" s="227" t="n"/>
      <c r="F98" s="227" t="n"/>
      <c r="G98" s="227" t="n"/>
      <c r="H98" s="227" t="n"/>
      <c r="I98" s="227" t="n"/>
      <c r="J98" s="227" t="n"/>
      <c r="K98" s="227" t="n"/>
      <c r="L98" s="227" t="n"/>
      <c r="M98" s="227" t="n"/>
      <c r="N98" s="127" t="n"/>
      <c r="O98" s="227" t="n"/>
      <c r="P98" s="227" t="n"/>
      <c r="Q98" s="227" t="n"/>
      <c r="R98" s="227" t="n"/>
      <c r="S98" s="227" t="n"/>
      <c r="T98" s="227" t="n"/>
    </row>
    <row r="99">
      <c r="A99" s="145">
        <f>IF($B99="","",ROW()-5)</f>
        <v/>
      </c>
      <c r="B99" s="127" t="n"/>
      <c r="C99" s="223" t="n"/>
      <c r="D99" s="127" t="n"/>
      <c r="E99" s="227" t="n"/>
      <c r="F99" s="227" t="n"/>
      <c r="G99" s="227" t="n"/>
      <c r="H99" s="227" t="n"/>
      <c r="I99" s="227" t="n"/>
      <c r="J99" s="227" t="n"/>
      <c r="K99" s="227" t="n"/>
      <c r="L99" s="227" t="n"/>
      <c r="M99" s="227" t="n"/>
      <c r="N99" s="127" t="n"/>
      <c r="O99" s="227" t="n"/>
      <c r="P99" s="227" t="n"/>
      <c r="Q99" s="227" t="n"/>
      <c r="R99" s="227" t="n"/>
      <c r="S99" s="227" t="n"/>
      <c r="T99" s="227" t="n"/>
    </row>
    <row r="100">
      <c r="A100" s="145">
        <f>IF($B100="","",ROW()-5)</f>
        <v/>
      </c>
      <c r="B100" s="127" t="n"/>
      <c r="C100" s="223" t="n"/>
      <c r="D100" s="127" t="n"/>
      <c r="E100" s="227" t="n"/>
      <c r="F100" s="227" t="n"/>
      <c r="G100" s="227" t="n"/>
      <c r="H100" s="227" t="n"/>
      <c r="I100" s="227" t="n"/>
      <c r="J100" s="227" t="n"/>
      <c r="K100" s="227" t="n"/>
      <c r="L100" s="227" t="n"/>
      <c r="M100" s="227" t="n"/>
      <c r="N100" s="127" t="n"/>
      <c r="O100" s="227" t="n"/>
      <c r="P100" s="227" t="n"/>
      <c r="Q100" s="227" t="n"/>
      <c r="R100" s="227" t="n"/>
      <c r="S100" s="227" t="n"/>
      <c r="T100" s="227" t="n"/>
    </row>
    <row r="101">
      <c r="A101" s="145">
        <f>IF($B101="","",ROW()-5)</f>
        <v/>
      </c>
      <c r="B101" s="127" t="n"/>
      <c r="C101" s="223" t="n"/>
      <c r="D101" s="127" t="n"/>
      <c r="E101" s="227" t="n"/>
      <c r="F101" s="227" t="n"/>
      <c r="G101" s="227" t="n"/>
      <c r="H101" s="227" t="n"/>
      <c r="I101" s="227" t="n"/>
      <c r="J101" s="227" t="n"/>
      <c r="K101" s="227" t="n"/>
      <c r="L101" s="227" t="n"/>
      <c r="M101" s="227" t="n"/>
      <c r="N101" s="127" t="n"/>
      <c r="O101" s="227" t="n"/>
      <c r="P101" s="227" t="n"/>
      <c r="Q101" s="227" t="n"/>
      <c r="R101" s="227" t="n"/>
      <c r="S101" s="227" t="n"/>
      <c r="T101" s="227" t="n"/>
    </row>
    <row r="102">
      <c r="A102" s="145">
        <f>IF($B102="","",ROW()-5)</f>
        <v/>
      </c>
      <c r="B102" s="127" t="n"/>
      <c r="C102" s="223" t="n"/>
      <c r="D102" s="127" t="n"/>
      <c r="E102" s="227" t="n"/>
      <c r="F102" s="227" t="n"/>
      <c r="G102" s="227" t="n"/>
      <c r="H102" s="227" t="n"/>
      <c r="I102" s="227" t="n"/>
      <c r="J102" s="227" t="n"/>
      <c r="K102" s="227" t="n"/>
      <c r="L102" s="227" t="n"/>
      <c r="M102" s="227" t="n"/>
      <c r="N102" s="127" t="n"/>
      <c r="O102" s="227" t="n"/>
      <c r="P102" s="227" t="n"/>
      <c r="Q102" s="227" t="n"/>
      <c r="R102" s="227" t="n"/>
      <c r="S102" s="227" t="n"/>
      <c r="T102" s="227" t="n"/>
    </row>
    <row r="103">
      <c r="A103" s="145">
        <f>IF($B103="","",ROW()-5)</f>
        <v/>
      </c>
      <c r="B103" s="127" t="n"/>
      <c r="C103" s="223" t="n"/>
      <c r="D103" s="127" t="n"/>
      <c r="E103" s="227" t="n"/>
      <c r="F103" s="227" t="n"/>
      <c r="G103" s="227" t="n"/>
      <c r="H103" s="227" t="n"/>
      <c r="I103" s="227" t="n"/>
      <c r="J103" s="227" t="n"/>
      <c r="K103" s="227" t="n"/>
      <c r="L103" s="227" t="n"/>
      <c r="M103" s="227" t="n"/>
      <c r="N103" s="127" t="n"/>
      <c r="O103" s="227" t="n"/>
      <c r="P103" s="227" t="n"/>
      <c r="Q103" s="227" t="n"/>
      <c r="R103" s="227" t="n"/>
      <c r="S103" s="227" t="n"/>
      <c r="T103" s="227" t="n"/>
    </row>
    <row r="104">
      <c r="A104" s="145">
        <f>IF($B104="","",ROW()-5)</f>
        <v/>
      </c>
      <c r="B104" s="127" t="n"/>
      <c r="C104" s="223" t="n"/>
      <c r="D104" s="127" t="n"/>
      <c r="E104" s="227" t="n"/>
      <c r="F104" s="227" t="n"/>
      <c r="G104" s="227" t="n"/>
      <c r="H104" s="227" t="n"/>
      <c r="I104" s="227" t="n"/>
      <c r="J104" s="227" t="n"/>
      <c r="K104" s="227" t="n"/>
      <c r="L104" s="227" t="n"/>
      <c r="M104" s="227" t="n"/>
      <c r="N104" s="127" t="n"/>
      <c r="O104" s="227" t="n"/>
      <c r="P104" s="227" t="n"/>
      <c r="Q104" s="227" t="n"/>
      <c r="R104" s="227" t="n"/>
      <c r="S104" s="227" t="n"/>
      <c r="T104" s="227" t="n"/>
    </row>
    <row r="105">
      <c r="A105" s="145">
        <f>IF($B105="","",ROW()-5)</f>
        <v/>
      </c>
      <c r="B105" s="127" t="n"/>
      <c r="C105" s="223" t="n"/>
      <c r="D105" s="127" t="n"/>
      <c r="E105" s="227" t="n"/>
      <c r="F105" s="227" t="n"/>
      <c r="G105" s="227" t="n"/>
      <c r="H105" s="227" t="n"/>
      <c r="I105" s="227" t="n"/>
      <c r="J105" s="227" t="n"/>
      <c r="K105" s="227" t="n"/>
      <c r="L105" s="227" t="n"/>
      <c r="M105" s="227" t="n"/>
      <c r="N105" s="127" t="n"/>
      <c r="O105" s="227" t="n"/>
      <c r="P105" s="227" t="n"/>
      <c r="Q105" s="227" t="n"/>
      <c r="R105" s="227" t="n"/>
      <c r="S105" s="227" t="n"/>
      <c r="T105" s="227" t="n"/>
    </row>
    <row r="106">
      <c r="A106" s="145">
        <f>IF($B106="","",ROW()-5)</f>
        <v/>
      </c>
      <c r="B106" s="127" t="n"/>
      <c r="C106" s="223" t="n"/>
      <c r="D106" s="127" t="n"/>
      <c r="E106" s="227" t="n"/>
      <c r="F106" s="227" t="n"/>
      <c r="G106" s="227" t="n"/>
      <c r="H106" s="227" t="n"/>
      <c r="I106" s="227" t="n"/>
      <c r="J106" s="227" t="n"/>
      <c r="K106" s="227" t="n"/>
      <c r="L106" s="227" t="n"/>
      <c r="M106" s="227" t="n"/>
      <c r="N106" s="127" t="n"/>
      <c r="O106" s="227" t="n"/>
      <c r="P106" s="227" t="n"/>
      <c r="Q106" s="227" t="n"/>
      <c r="R106" s="227" t="n"/>
      <c r="S106" s="227" t="n"/>
      <c r="T106" s="227" t="n"/>
    </row>
    <row r="107">
      <c r="A107" s="145">
        <f>IF($B107="","",ROW()-5)</f>
        <v/>
      </c>
      <c r="B107" s="127" t="n"/>
      <c r="C107" s="223" t="n"/>
      <c r="D107" s="127" t="n"/>
      <c r="E107" s="227" t="n"/>
      <c r="F107" s="227" t="n"/>
      <c r="G107" s="227" t="n"/>
      <c r="H107" s="227" t="n"/>
      <c r="I107" s="227" t="n"/>
      <c r="J107" s="227" t="n"/>
      <c r="K107" s="227" t="n"/>
      <c r="L107" s="227" t="n"/>
      <c r="M107" s="227" t="n"/>
      <c r="N107" s="127" t="n"/>
      <c r="O107" s="227" t="n"/>
      <c r="P107" s="227" t="n"/>
      <c r="Q107" s="227" t="n"/>
      <c r="R107" s="227" t="n"/>
      <c r="S107" s="227" t="n"/>
      <c r="T107" s="227" t="n"/>
    </row>
    <row r="108">
      <c r="A108" s="145">
        <f>IF($B108="","",ROW()-5)</f>
        <v/>
      </c>
      <c r="B108" s="127" t="n"/>
      <c r="C108" s="223" t="n"/>
      <c r="D108" s="127" t="n"/>
      <c r="E108" s="227" t="n"/>
      <c r="F108" s="227" t="n"/>
      <c r="G108" s="227" t="n"/>
      <c r="H108" s="227" t="n"/>
      <c r="I108" s="227" t="n"/>
      <c r="J108" s="227" t="n"/>
      <c r="K108" s="227" t="n"/>
      <c r="L108" s="227" t="n"/>
      <c r="M108" s="227" t="n"/>
      <c r="N108" s="127" t="n"/>
      <c r="O108" s="227" t="n"/>
      <c r="P108" s="227" t="n"/>
      <c r="Q108" s="227" t="n"/>
      <c r="R108" s="227" t="n"/>
      <c r="S108" s="227" t="n"/>
      <c r="T108" s="227" t="n"/>
    </row>
    <row r="109">
      <c r="A109" s="145">
        <f>IF($B109="","",ROW()-5)</f>
        <v/>
      </c>
      <c r="B109" s="127" t="n"/>
      <c r="C109" s="223" t="n"/>
      <c r="D109" s="127" t="n"/>
      <c r="E109" s="227" t="n"/>
      <c r="F109" s="227" t="n"/>
      <c r="G109" s="227" t="n"/>
      <c r="H109" s="227" t="n"/>
      <c r="I109" s="227" t="n"/>
      <c r="J109" s="227" t="n"/>
      <c r="K109" s="227" t="n"/>
      <c r="L109" s="227" t="n"/>
      <c r="M109" s="227" t="n"/>
      <c r="N109" s="127" t="n"/>
      <c r="O109" s="227" t="n"/>
      <c r="P109" s="227" t="n"/>
      <c r="Q109" s="227" t="n"/>
      <c r="R109" s="227" t="n"/>
      <c r="S109" s="227" t="n"/>
      <c r="T109" s="227" t="n"/>
    </row>
    <row r="110">
      <c r="A110" s="145">
        <f>IF($B110="","",ROW()-5)</f>
        <v/>
      </c>
      <c r="B110" s="127" t="n"/>
      <c r="C110" s="223" t="n"/>
      <c r="D110" s="127" t="n"/>
      <c r="E110" s="227" t="n"/>
      <c r="F110" s="227" t="n"/>
      <c r="G110" s="227" t="n"/>
      <c r="H110" s="227" t="n"/>
      <c r="I110" s="227" t="n"/>
      <c r="J110" s="227" t="n"/>
      <c r="K110" s="227" t="n"/>
      <c r="L110" s="227" t="n"/>
      <c r="M110" s="227" t="n"/>
      <c r="N110" s="127" t="n"/>
      <c r="O110" s="227" t="n"/>
      <c r="P110" s="227" t="n"/>
      <c r="Q110" s="227" t="n"/>
      <c r="R110" s="227" t="n"/>
      <c r="S110" s="227" t="n"/>
      <c r="T110" s="227" t="n"/>
    </row>
    <row r="111">
      <c r="A111" s="145">
        <f>IF($B111="","",ROW()-5)</f>
        <v/>
      </c>
      <c r="B111" s="127" t="n"/>
      <c r="C111" s="223" t="n"/>
      <c r="D111" s="127" t="n"/>
      <c r="E111" s="227" t="n"/>
      <c r="F111" s="227" t="n"/>
      <c r="G111" s="227" t="n"/>
      <c r="H111" s="227" t="n"/>
      <c r="I111" s="227" t="n"/>
      <c r="J111" s="227" t="n"/>
      <c r="K111" s="227" t="n"/>
      <c r="L111" s="227" t="n"/>
      <c r="M111" s="227" t="n"/>
      <c r="N111" s="127" t="n"/>
      <c r="O111" s="227" t="n"/>
      <c r="P111" s="227" t="n"/>
      <c r="Q111" s="227" t="n"/>
      <c r="R111" s="227" t="n"/>
      <c r="S111" s="227" t="n"/>
      <c r="T111" s="227" t="n"/>
    </row>
    <row r="112">
      <c r="A112" s="145">
        <f>IF($B112="","",ROW()-5)</f>
        <v/>
      </c>
      <c r="B112" s="127" t="n"/>
      <c r="C112" s="223" t="n"/>
      <c r="D112" s="127" t="n"/>
      <c r="E112" s="227" t="n"/>
      <c r="F112" s="227" t="n"/>
      <c r="G112" s="227" t="n"/>
      <c r="H112" s="227" t="n"/>
      <c r="I112" s="227" t="n"/>
      <c r="J112" s="227" t="n"/>
      <c r="K112" s="227" t="n"/>
      <c r="L112" s="227" t="n"/>
      <c r="M112" s="227" t="n"/>
      <c r="N112" s="127" t="n"/>
      <c r="O112" s="227" t="n"/>
      <c r="P112" s="227" t="n"/>
      <c r="Q112" s="227" t="n"/>
      <c r="R112" s="227" t="n"/>
      <c r="S112" s="227" t="n"/>
      <c r="T112" s="227" t="n"/>
    </row>
    <row r="113">
      <c r="A113" s="145">
        <f>IF($B113="","",ROW()-5)</f>
        <v/>
      </c>
      <c r="B113" s="127" t="n"/>
      <c r="C113" s="223" t="n"/>
      <c r="D113" s="127" t="n"/>
      <c r="E113" s="227" t="n"/>
      <c r="F113" s="227" t="n"/>
      <c r="G113" s="227" t="n"/>
      <c r="H113" s="227" t="n"/>
      <c r="I113" s="227" t="n"/>
      <c r="J113" s="227" t="n"/>
      <c r="K113" s="227" t="n"/>
      <c r="L113" s="227" t="n"/>
      <c r="M113" s="227" t="n"/>
      <c r="N113" s="127" t="n"/>
      <c r="O113" s="227" t="n"/>
      <c r="P113" s="227" t="n"/>
      <c r="Q113" s="227" t="n"/>
      <c r="R113" s="227" t="n"/>
      <c r="S113" s="227" t="n"/>
      <c r="T113" s="227" t="n"/>
    </row>
    <row r="114">
      <c r="A114" s="145">
        <f>IF($B114="","",ROW()-5)</f>
        <v/>
      </c>
      <c r="B114" s="127" t="n"/>
      <c r="C114" s="223" t="n"/>
      <c r="D114" s="127" t="n"/>
      <c r="E114" s="227" t="n"/>
      <c r="F114" s="227" t="n"/>
      <c r="G114" s="227" t="n"/>
      <c r="H114" s="227" t="n"/>
      <c r="I114" s="227" t="n"/>
      <c r="J114" s="227" t="n"/>
      <c r="K114" s="227" t="n"/>
      <c r="L114" s="227" t="n"/>
      <c r="M114" s="227" t="n"/>
      <c r="N114" s="127" t="n"/>
      <c r="O114" s="227" t="n"/>
      <c r="P114" s="227" t="n"/>
      <c r="Q114" s="227" t="n"/>
      <c r="R114" s="227" t="n"/>
      <c r="S114" s="227" t="n"/>
      <c r="T114" s="227" t="n"/>
    </row>
    <row r="115">
      <c r="A115" s="145">
        <f>IF($B115="","",ROW()-5)</f>
        <v/>
      </c>
      <c r="B115" s="127" t="n"/>
      <c r="C115" s="223" t="n"/>
      <c r="D115" s="127" t="n"/>
      <c r="E115" s="227" t="n"/>
      <c r="F115" s="227" t="n"/>
      <c r="G115" s="227" t="n"/>
      <c r="H115" s="227" t="n"/>
      <c r="I115" s="227" t="n"/>
      <c r="J115" s="227" t="n"/>
      <c r="K115" s="227" t="n"/>
      <c r="L115" s="227" t="n"/>
      <c r="M115" s="227" t="n"/>
      <c r="N115" s="127" t="n"/>
      <c r="O115" s="227" t="n"/>
      <c r="P115" s="227" t="n"/>
      <c r="Q115" s="227" t="n"/>
      <c r="R115" s="227" t="n"/>
      <c r="S115" s="227" t="n"/>
      <c r="T115" s="227" t="n"/>
    </row>
    <row r="116">
      <c r="A116" s="145">
        <f>IF($B116="","",ROW()-5)</f>
        <v/>
      </c>
      <c r="B116" s="127" t="n"/>
      <c r="C116" s="223" t="n"/>
      <c r="D116" s="127" t="n"/>
      <c r="E116" s="227" t="n"/>
      <c r="F116" s="227" t="n"/>
      <c r="G116" s="227" t="n"/>
      <c r="H116" s="227" t="n"/>
      <c r="I116" s="227" t="n"/>
      <c r="J116" s="227" t="n"/>
      <c r="K116" s="227" t="n"/>
      <c r="L116" s="227" t="n"/>
      <c r="M116" s="227" t="n"/>
      <c r="N116" s="127" t="n"/>
      <c r="O116" s="227" t="n"/>
      <c r="P116" s="227" t="n"/>
      <c r="Q116" s="227" t="n"/>
      <c r="R116" s="227" t="n"/>
      <c r="S116" s="227" t="n"/>
      <c r="T116" s="227" t="n"/>
    </row>
    <row r="117">
      <c r="A117" s="145">
        <f>IF($B117="","",ROW()-5)</f>
        <v/>
      </c>
      <c r="B117" s="127" t="n"/>
      <c r="C117" s="223" t="n"/>
      <c r="D117" s="127" t="n"/>
      <c r="E117" s="227" t="n"/>
      <c r="F117" s="227" t="n"/>
      <c r="G117" s="227" t="n"/>
      <c r="H117" s="227" t="n"/>
      <c r="I117" s="227" t="n"/>
      <c r="J117" s="227" t="n"/>
      <c r="K117" s="227" t="n"/>
      <c r="L117" s="227" t="n"/>
      <c r="M117" s="227" t="n"/>
      <c r="N117" s="127" t="n"/>
      <c r="O117" s="227" t="n"/>
      <c r="P117" s="227" t="n"/>
      <c r="Q117" s="227" t="n"/>
      <c r="R117" s="227" t="n"/>
      <c r="S117" s="227" t="n"/>
      <c r="T117" s="227" t="n"/>
    </row>
    <row r="118">
      <c r="A118" s="145">
        <f>IF($B118="","",ROW()-5)</f>
        <v/>
      </c>
      <c r="B118" s="127" t="n"/>
      <c r="C118" s="223" t="n"/>
      <c r="D118" s="127" t="n"/>
      <c r="E118" s="227" t="n"/>
      <c r="F118" s="227" t="n"/>
      <c r="G118" s="227" t="n"/>
      <c r="H118" s="227" t="n"/>
      <c r="I118" s="227" t="n"/>
      <c r="J118" s="227" t="n"/>
      <c r="K118" s="227" t="n"/>
      <c r="L118" s="227" t="n"/>
      <c r="M118" s="227" t="n"/>
      <c r="N118" s="127" t="n"/>
      <c r="O118" s="227" t="n"/>
      <c r="P118" s="227" t="n"/>
      <c r="Q118" s="227" t="n"/>
      <c r="R118" s="227" t="n"/>
      <c r="S118" s="227" t="n"/>
      <c r="T118" s="227" t="n"/>
    </row>
    <row r="119">
      <c r="A119" s="145">
        <f>IF($B119="","",ROW()-5)</f>
        <v/>
      </c>
      <c r="B119" s="127" t="n"/>
      <c r="C119" s="223" t="n"/>
      <c r="D119" s="127" t="n"/>
      <c r="E119" s="227" t="n"/>
      <c r="F119" s="227" t="n"/>
      <c r="G119" s="227" t="n"/>
      <c r="H119" s="227" t="n"/>
      <c r="I119" s="227" t="n"/>
      <c r="J119" s="227" t="n"/>
      <c r="K119" s="227" t="n"/>
      <c r="L119" s="227" t="n"/>
      <c r="M119" s="227" t="n"/>
      <c r="N119" s="127" t="n"/>
      <c r="O119" s="227" t="n"/>
      <c r="P119" s="227" t="n"/>
      <c r="Q119" s="227" t="n"/>
      <c r="R119" s="227" t="n"/>
      <c r="S119" s="227" t="n"/>
      <c r="T119" s="227" t="n"/>
    </row>
    <row r="120">
      <c r="A120" s="145">
        <f>IF($B120="","",ROW()-5)</f>
        <v/>
      </c>
      <c r="B120" s="127" t="n"/>
      <c r="C120" s="223" t="n"/>
      <c r="D120" s="127" t="n"/>
      <c r="E120" s="227" t="n"/>
      <c r="F120" s="227" t="n"/>
      <c r="G120" s="227" t="n"/>
      <c r="H120" s="227" t="n"/>
      <c r="I120" s="227" t="n"/>
      <c r="J120" s="227" t="n"/>
      <c r="K120" s="227" t="n"/>
      <c r="L120" s="227" t="n"/>
      <c r="M120" s="227" t="n"/>
      <c r="N120" s="127" t="n"/>
      <c r="O120" s="227" t="n"/>
      <c r="P120" s="227" t="n"/>
      <c r="Q120" s="227" t="n"/>
      <c r="R120" s="227" t="n"/>
      <c r="S120" s="227" t="n"/>
      <c r="T120" s="227" t="n"/>
    </row>
    <row r="121">
      <c r="A121" s="145">
        <f>IF($B121="","",ROW()-5)</f>
        <v/>
      </c>
      <c r="B121" s="127" t="n"/>
      <c r="C121" s="223" t="n"/>
      <c r="D121" s="127" t="n"/>
      <c r="E121" s="227" t="n"/>
      <c r="F121" s="227" t="n"/>
      <c r="G121" s="227" t="n"/>
      <c r="H121" s="227" t="n"/>
      <c r="I121" s="227" t="n"/>
      <c r="J121" s="227" t="n"/>
      <c r="K121" s="227" t="n"/>
      <c r="L121" s="227" t="n"/>
      <c r="M121" s="227" t="n"/>
      <c r="N121" s="127" t="n"/>
      <c r="O121" s="227" t="n"/>
      <c r="P121" s="227" t="n"/>
      <c r="Q121" s="227" t="n"/>
      <c r="R121" s="227" t="n"/>
      <c r="S121" s="227" t="n"/>
      <c r="T121" s="227" t="n"/>
    </row>
    <row r="122">
      <c r="A122" s="145">
        <f>IF($B122="","",ROW()-5)</f>
        <v/>
      </c>
      <c r="B122" s="127" t="n"/>
      <c r="C122" s="223" t="n"/>
      <c r="D122" s="127" t="n"/>
      <c r="E122" s="227" t="n"/>
      <c r="F122" s="227" t="n"/>
      <c r="G122" s="227" t="n"/>
      <c r="H122" s="227" t="n"/>
      <c r="I122" s="227" t="n"/>
      <c r="J122" s="227" t="n"/>
      <c r="K122" s="227" t="n"/>
      <c r="L122" s="227" t="n"/>
      <c r="M122" s="227" t="n"/>
      <c r="N122" s="127" t="n"/>
      <c r="O122" s="227" t="n"/>
      <c r="P122" s="227" t="n"/>
      <c r="Q122" s="227" t="n"/>
      <c r="R122" s="227" t="n"/>
      <c r="S122" s="227" t="n"/>
      <c r="T122" s="227" t="n"/>
    </row>
    <row r="123">
      <c r="A123" s="145">
        <f>IF($B123="","",ROW()-5)</f>
        <v/>
      </c>
      <c r="B123" s="127" t="n"/>
      <c r="C123" s="223" t="n"/>
      <c r="D123" s="127" t="n"/>
      <c r="E123" s="227" t="n"/>
      <c r="F123" s="227" t="n"/>
      <c r="G123" s="227" t="n"/>
      <c r="H123" s="227" t="n"/>
      <c r="I123" s="227" t="n"/>
      <c r="J123" s="227" t="n"/>
      <c r="K123" s="227" t="n"/>
      <c r="L123" s="227" t="n"/>
      <c r="M123" s="227" t="n"/>
      <c r="N123" s="127" t="n"/>
      <c r="O123" s="227" t="n"/>
      <c r="P123" s="227" t="n"/>
      <c r="Q123" s="227" t="n"/>
      <c r="R123" s="227" t="n"/>
      <c r="S123" s="227" t="n"/>
      <c r="T123" s="227" t="n"/>
    </row>
    <row r="124">
      <c r="A124" s="145">
        <f>IF($B124="","",ROW()-5)</f>
        <v/>
      </c>
      <c r="B124" s="127" t="n"/>
      <c r="C124" s="223" t="n"/>
      <c r="D124" s="127" t="n"/>
      <c r="E124" s="227" t="n"/>
      <c r="F124" s="227" t="n"/>
      <c r="G124" s="227" t="n"/>
      <c r="H124" s="227" t="n"/>
      <c r="I124" s="227" t="n"/>
      <c r="J124" s="227" t="n"/>
      <c r="K124" s="227" t="n"/>
      <c r="L124" s="227" t="n"/>
      <c r="M124" s="227" t="n"/>
      <c r="N124" s="127" t="n"/>
      <c r="O124" s="227" t="n"/>
      <c r="P124" s="227" t="n"/>
      <c r="Q124" s="227" t="n"/>
      <c r="R124" s="227" t="n"/>
      <c r="S124" s="227" t="n"/>
      <c r="T124" s="227" t="n"/>
    </row>
    <row r="125">
      <c r="A125" s="145">
        <f>IF($B125="","",ROW()-5)</f>
        <v/>
      </c>
      <c r="B125" s="127" t="n"/>
      <c r="C125" s="223" t="n"/>
      <c r="D125" s="127" t="n"/>
      <c r="E125" s="227" t="n"/>
      <c r="F125" s="227" t="n"/>
      <c r="G125" s="227" t="n"/>
      <c r="H125" s="227" t="n"/>
      <c r="I125" s="227" t="n"/>
      <c r="J125" s="227" t="n"/>
      <c r="K125" s="227" t="n"/>
      <c r="L125" s="227" t="n"/>
      <c r="M125" s="227" t="n"/>
      <c r="N125" s="127" t="n"/>
      <c r="O125" s="227" t="n"/>
      <c r="P125" s="227" t="n"/>
      <c r="Q125" s="227" t="n"/>
      <c r="R125" s="227" t="n"/>
      <c r="S125" s="227" t="n"/>
      <c r="T125" s="227" t="n"/>
    </row>
    <row r="126">
      <c r="A126" s="145">
        <f>IF($B126="","",ROW()-5)</f>
        <v/>
      </c>
      <c r="B126" s="127" t="n"/>
      <c r="C126" s="223" t="n"/>
      <c r="D126" s="127" t="n"/>
      <c r="E126" s="227" t="n"/>
      <c r="F126" s="227" t="n"/>
      <c r="G126" s="227" t="n"/>
      <c r="H126" s="227" t="n"/>
      <c r="I126" s="227" t="n"/>
      <c r="J126" s="227" t="n"/>
      <c r="K126" s="227" t="n"/>
      <c r="L126" s="227" t="n"/>
      <c r="M126" s="227" t="n"/>
      <c r="N126" s="127" t="n"/>
      <c r="O126" s="227" t="n"/>
      <c r="P126" s="227" t="n"/>
      <c r="Q126" s="227" t="n"/>
      <c r="R126" s="227" t="n"/>
      <c r="S126" s="227" t="n"/>
      <c r="T126" s="227" t="n"/>
    </row>
    <row r="127">
      <c r="A127" s="145">
        <f>IF($B127="","",ROW()-5)</f>
        <v/>
      </c>
      <c r="B127" s="127" t="n"/>
      <c r="C127" s="223" t="n"/>
      <c r="D127" s="127" t="n"/>
      <c r="E127" s="227" t="n"/>
      <c r="F127" s="227" t="n"/>
      <c r="G127" s="227" t="n"/>
      <c r="H127" s="227" t="n"/>
      <c r="I127" s="227" t="n"/>
      <c r="J127" s="227" t="n"/>
      <c r="K127" s="227" t="n"/>
      <c r="L127" s="227" t="n"/>
      <c r="M127" s="227" t="n"/>
      <c r="N127" s="127" t="n"/>
      <c r="O127" s="227" t="n"/>
      <c r="P127" s="227" t="n"/>
      <c r="Q127" s="227" t="n"/>
      <c r="R127" s="227" t="n"/>
      <c r="S127" s="227" t="n"/>
      <c r="T127" s="227" t="n"/>
    </row>
    <row r="128">
      <c r="A128" s="145">
        <f>IF($B128="","",ROW()-5)</f>
        <v/>
      </c>
      <c r="B128" s="127" t="n"/>
      <c r="C128" s="223" t="n"/>
      <c r="D128" s="127" t="n"/>
      <c r="E128" s="227" t="n"/>
      <c r="F128" s="227" t="n"/>
      <c r="G128" s="227" t="n"/>
      <c r="H128" s="227" t="n"/>
      <c r="I128" s="227" t="n"/>
      <c r="J128" s="227" t="n"/>
      <c r="K128" s="227" t="n"/>
      <c r="L128" s="227" t="n"/>
      <c r="M128" s="227" t="n"/>
      <c r="N128" s="127" t="n"/>
      <c r="O128" s="227" t="n"/>
      <c r="P128" s="227" t="n"/>
      <c r="Q128" s="227" t="n"/>
      <c r="R128" s="227" t="n"/>
      <c r="S128" s="227" t="n"/>
      <c r="T128" s="227" t="n"/>
    </row>
    <row r="129">
      <c r="A129" s="145">
        <f>IF($B129="","",ROW()-5)</f>
        <v/>
      </c>
      <c r="B129" s="127" t="n"/>
      <c r="C129" s="223" t="n"/>
      <c r="D129" s="127" t="n"/>
      <c r="E129" s="227" t="n"/>
      <c r="F129" s="227" t="n"/>
      <c r="G129" s="227" t="n"/>
      <c r="H129" s="227" t="n"/>
      <c r="I129" s="227" t="n"/>
      <c r="J129" s="227" t="n"/>
      <c r="K129" s="227" t="n"/>
      <c r="L129" s="227" t="n"/>
      <c r="M129" s="227" t="n"/>
      <c r="N129" s="127" t="n"/>
      <c r="O129" s="227" t="n"/>
      <c r="P129" s="227" t="n"/>
      <c r="Q129" s="227" t="n"/>
      <c r="R129" s="227" t="n"/>
      <c r="S129" s="227" t="n"/>
      <c r="T129" s="227" t="n"/>
    </row>
    <row r="130">
      <c r="A130" s="145">
        <f>IF($B130="","",ROW()-5)</f>
        <v/>
      </c>
      <c r="B130" s="127" t="n"/>
      <c r="C130" s="223" t="n"/>
      <c r="D130" s="127" t="n"/>
      <c r="E130" s="227" t="n"/>
      <c r="F130" s="227" t="n"/>
      <c r="G130" s="227" t="n"/>
      <c r="H130" s="227" t="n"/>
      <c r="I130" s="227" t="n"/>
      <c r="J130" s="227" t="n"/>
      <c r="K130" s="227" t="n"/>
      <c r="L130" s="227" t="n"/>
      <c r="M130" s="227" t="n"/>
      <c r="N130" s="127" t="n"/>
      <c r="O130" s="227" t="n"/>
      <c r="P130" s="227" t="n"/>
      <c r="Q130" s="227" t="n"/>
      <c r="R130" s="227" t="n"/>
      <c r="S130" s="227" t="n"/>
      <c r="T130" s="227" t="n"/>
    </row>
    <row r="131">
      <c r="A131" s="145">
        <f>IF($B131="","",ROW()-5)</f>
        <v/>
      </c>
      <c r="B131" s="127" t="n"/>
      <c r="C131" s="223" t="n"/>
      <c r="D131" s="127" t="n"/>
      <c r="E131" s="227" t="n"/>
      <c r="F131" s="227" t="n"/>
      <c r="G131" s="227" t="n"/>
      <c r="H131" s="227" t="n"/>
      <c r="I131" s="227" t="n"/>
      <c r="J131" s="227" t="n"/>
      <c r="K131" s="227" t="n"/>
      <c r="L131" s="227" t="n"/>
      <c r="M131" s="227" t="n"/>
      <c r="N131" s="127" t="n"/>
      <c r="O131" s="227" t="n"/>
      <c r="P131" s="227" t="n"/>
      <c r="Q131" s="227" t="n"/>
      <c r="R131" s="227" t="n"/>
      <c r="S131" s="227" t="n"/>
      <c r="T131" s="227" t="n"/>
    </row>
    <row r="132">
      <c r="A132" s="145">
        <f>IF($B132="","",ROW()-5)</f>
        <v/>
      </c>
      <c r="B132" s="127" t="n"/>
      <c r="C132" s="223" t="n"/>
      <c r="D132" s="127" t="n"/>
      <c r="E132" s="227" t="n"/>
      <c r="F132" s="227" t="n"/>
      <c r="G132" s="227" t="n"/>
      <c r="H132" s="227" t="n"/>
      <c r="I132" s="227" t="n"/>
      <c r="J132" s="227" t="n"/>
      <c r="K132" s="227" t="n"/>
      <c r="L132" s="227" t="n"/>
      <c r="M132" s="227" t="n"/>
      <c r="N132" s="127" t="n"/>
      <c r="O132" s="227" t="n"/>
      <c r="P132" s="227" t="n"/>
      <c r="Q132" s="227" t="n"/>
      <c r="R132" s="227" t="n"/>
      <c r="S132" s="227" t="n"/>
      <c r="T132" s="227" t="n"/>
    </row>
    <row r="133">
      <c r="A133" s="145">
        <f>IF($B133="","",ROW()-5)</f>
        <v/>
      </c>
      <c r="B133" s="127" t="n"/>
      <c r="C133" s="223" t="n"/>
      <c r="D133" s="127" t="n"/>
      <c r="E133" s="227" t="n"/>
      <c r="F133" s="227" t="n"/>
      <c r="G133" s="227" t="n"/>
      <c r="H133" s="227" t="n"/>
      <c r="I133" s="227" t="n"/>
      <c r="J133" s="227" t="n"/>
      <c r="K133" s="227" t="n"/>
      <c r="L133" s="227" t="n"/>
      <c r="M133" s="227" t="n"/>
      <c r="N133" s="127" t="n"/>
      <c r="O133" s="227" t="n"/>
      <c r="P133" s="227" t="n"/>
      <c r="Q133" s="227" t="n"/>
      <c r="R133" s="227" t="n"/>
      <c r="S133" s="227" t="n"/>
      <c r="T133" s="227" t="n"/>
    </row>
    <row r="134">
      <c r="A134" s="145">
        <f>IF($B134="","",ROW()-5)</f>
        <v/>
      </c>
      <c r="B134" s="127" t="n"/>
      <c r="C134" s="223" t="n"/>
      <c r="D134" s="127" t="n"/>
      <c r="E134" s="227" t="n"/>
      <c r="F134" s="227" t="n"/>
      <c r="G134" s="227" t="n"/>
      <c r="H134" s="227" t="n"/>
      <c r="I134" s="227" t="n"/>
      <c r="J134" s="227" t="n"/>
      <c r="K134" s="227" t="n"/>
      <c r="L134" s="227" t="n"/>
      <c r="M134" s="227" t="n"/>
      <c r="N134" s="127" t="n"/>
      <c r="O134" s="227" t="n"/>
      <c r="P134" s="227" t="n"/>
      <c r="Q134" s="227" t="n"/>
      <c r="R134" s="227" t="n"/>
      <c r="S134" s="227" t="n"/>
      <c r="T134" s="227" t="n"/>
    </row>
    <row r="135">
      <c r="A135" s="145">
        <f>IF($B135="","",ROW()-5)</f>
        <v/>
      </c>
      <c r="B135" s="127" t="n"/>
      <c r="C135" s="223" t="n"/>
      <c r="D135" s="127" t="n"/>
      <c r="E135" s="227" t="n"/>
      <c r="F135" s="227" t="n"/>
      <c r="G135" s="227" t="n"/>
      <c r="H135" s="227" t="n"/>
      <c r="I135" s="227" t="n"/>
      <c r="J135" s="227" t="n"/>
      <c r="K135" s="227" t="n"/>
      <c r="L135" s="227" t="n"/>
      <c r="M135" s="227" t="n"/>
      <c r="N135" s="127" t="n"/>
      <c r="O135" s="227" t="n"/>
      <c r="P135" s="227" t="n"/>
      <c r="Q135" s="227" t="n"/>
      <c r="R135" s="227" t="n"/>
      <c r="S135" s="227" t="n"/>
      <c r="T135" s="227" t="n"/>
    </row>
    <row r="136">
      <c r="A136" s="145">
        <f>IF($B136="","",ROW()-5)</f>
        <v/>
      </c>
      <c r="B136" s="127" t="n"/>
      <c r="C136" s="223" t="n"/>
      <c r="D136" s="127" t="n"/>
      <c r="E136" s="227" t="n"/>
      <c r="F136" s="227" t="n"/>
      <c r="G136" s="227" t="n"/>
      <c r="H136" s="227" t="n"/>
      <c r="I136" s="227" t="n"/>
      <c r="J136" s="227" t="n"/>
      <c r="K136" s="227" t="n"/>
      <c r="L136" s="227" t="n"/>
      <c r="M136" s="227" t="n"/>
      <c r="N136" s="127" t="n"/>
      <c r="O136" s="227" t="n"/>
      <c r="P136" s="227" t="n"/>
      <c r="Q136" s="227" t="n"/>
      <c r="R136" s="227" t="n"/>
      <c r="S136" s="227" t="n"/>
      <c r="T136" s="227" t="n"/>
    </row>
    <row r="137">
      <c r="A137" s="145">
        <f>IF($B137="","",ROW()-5)</f>
        <v/>
      </c>
      <c r="B137" s="127" t="n"/>
      <c r="C137" s="223" t="n"/>
      <c r="D137" s="127" t="n"/>
      <c r="E137" s="227" t="n"/>
      <c r="F137" s="227" t="n"/>
      <c r="G137" s="227" t="n"/>
      <c r="H137" s="227" t="n"/>
      <c r="I137" s="227" t="n"/>
      <c r="J137" s="227" t="n"/>
      <c r="K137" s="227" t="n"/>
      <c r="L137" s="227" t="n"/>
      <c r="M137" s="227" t="n"/>
      <c r="N137" s="127" t="n"/>
      <c r="O137" s="227" t="n"/>
      <c r="P137" s="227" t="n"/>
      <c r="Q137" s="227" t="n"/>
      <c r="R137" s="227" t="n"/>
      <c r="S137" s="227" t="n"/>
      <c r="T137" s="227" t="n"/>
    </row>
    <row r="138">
      <c r="A138" s="145">
        <f>IF($B138="","",ROW()-5)</f>
        <v/>
      </c>
      <c r="B138" s="127" t="n"/>
      <c r="C138" s="223" t="n"/>
      <c r="D138" s="127" t="n"/>
      <c r="E138" s="227" t="n"/>
      <c r="F138" s="227" t="n"/>
      <c r="G138" s="227" t="n"/>
      <c r="H138" s="227" t="n"/>
      <c r="I138" s="227" t="n"/>
      <c r="J138" s="227" t="n"/>
      <c r="K138" s="227" t="n"/>
      <c r="L138" s="227" t="n"/>
      <c r="M138" s="227" t="n"/>
      <c r="N138" s="127" t="n"/>
      <c r="O138" s="227" t="n"/>
      <c r="P138" s="227" t="n"/>
      <c r="Q138" s="227" t="n"/>
      <c r="R138" s="227" t="n"/>
      <c r="S138" s="227" t="n"/>
      <c r="T138" s="227" t="n"/>
    </row>
    <row r="139">
      <c r="A139" s="145">
        <f>IF($B139="","",ROW()-5)</f>
        <v/>
      </c>
      <c r="B139" s="127" t="n"/>
      <c r="C139" s="223" t="n"/>
      <c r="D139" s="127" t="n"/>
      <c r="E139" s="227" t="n"/>
      <c r="F139" s="227" t="n"/>
      <c r="G139" s="227" t="n"/>
      <c r="H139" s="227" t="n"/>
      <c r="I139" s="227" t="n"/>
      <c r="J139" s="227" t="n"/>
      <c r="K139" s="227" t="n"/>
      <c r="L139" s="227" t="n"/>
      <c r="M139" s="227" t="n"/>
      <c r="N139" s="127" t="n"/>
      <c r="O139" s="227" t="n"/>
      <c r="P139" s="227" t="n"/>
      <c r="Q139" s="227" t="n"/>
      <c r="R139" s="227" t="n"/>
      <c r="S139" s="227" t="n"/>
      <c r="T139" s="227" t="n"/>
    </row>
    <row r="140">
      <c r="A140" s="145">
        <f>IF($B140="","",ROW()-5)</f>
        <v/>
      </c>
      <c r="B140" s="127" t="n"/>
      <c r="C140" s="223" t="n"/>
      <c r="D140" s="127" t="n"/>
      <c r="E140" s="227" t="n"/>
      <c r="F140" s="227" t="n"/>
      <c r="G140" s="227" t="n"/>
      <c r="H140" s="227" t="n"/>
      <c r="I140" s="227" t="n"/>
      <c r="J140" s="227" t="n"/>
      <c r="K140" s="227" t="n"/>
      <c r="L140" s="227" t="n"/>
      <c r="M140" s="227" t="n"/>
      <c r="N140" s="127" t="n"/>
      <c r="O140" s="227" t="n"/>
      <c r="P140" s="227" t="n"/>
      <c r="Q140" s="227" t="n"/>
      <c r="R140" s="227" t="n"/>
      <c r="S140" s="227" t="n"/>
      <c r="T140" s="227" t="n"/>
    </row>
    <row r="141">
      <c r="A141" s="145">
        <f>IF($B141="","",ROW()-5)</f>
        <v/>
      </c>
      <c r="B141" s="127" t="n"/>
      <c r="C141" s="223" t="n"/>
      <c r="D141" s="127" t="n"/>
      <c r="E141" s="227" t="n"/>
      <c r="F141" s="227" t="n"/>
      <c r="G141" s="227" t="n"/>
      <c r="H141" s="227" t="n"/>
      <c r="I141" s="227" t="n"/>
      <c r="J141" s="227" t="n"/>
      <c r="K141" s="227" t="n"/>
      <c r="L141" s="227" t="n"/>
      <c r="M141" s="227" t="n"/>
      <c r="N141" s="127" t="n"/>
      <c r="O141" s="227" t="n"/>
      <c r="P141" s="227" t="n"/>
      <c r="Q141" s="227" t="n"/>
      <c r="R141" s="227" t="n"/>
      <c r="S141" s="227" t="n"/>
      <c r="T141" s="227" t="n"/>
    </row>
    <row r="142">
      <c r="A142" s="145">
        <f>IF($B142="","",ROW()-5)</f>
        <v/>
      </c>
      <c r="B142" s="127" t="n"/>
      <c r="C142" s="223" t="n"/>
      <c r="D142" s="127" t="n"/>
      <c r="E142" s="227" t="n"/>
      <c r="F142" s="227" t="n"/>
      <c r="G142" s="227" t="n"/>
      <c r="H142" s="227" t="n"/>
      <c r="I142" s="227" t="n"/>
      <c r="J142" s="227" t="n"/>
      <c r="K142" s="227" t="n"/>
      <c r="L142" s="227" t="n"/>
      <c r="M142" s="227" t="n"/>
      <c r="N142" s="127" t="n"/>
      <c r="O142" s="227" t="n"/>
      <c r="P142" s="227" t="n"/>
      <c r="Q142" s="227" t="n"/>
      <c r="R142" s="227" t="n"/>
      <c r="S142" s="227" t="n"/>
      <c r="T142" s="227" t="n"/>
    </row>
    <row r="143">
      <c r="A143" s="145">
        <f>IF($B143="","",ROW()-5)</f>
        <v/>
      </c>
      <c r="B143" s="127" t="n"/>
      <c r="C143" s="223" t="n"/>
      <c r="D143" s="127" t="n"/>
      <c r="E143" s="227" t="n"/>
      <c r="F143" s="227" t="n"/>
      <c r="G143" s="227" t="n"/>
      <c r="H143" s="227" t="n"/>
      <c r="I143" s="227" t="n"/>
      <c r="J143" s="227" t="n"/>
      <c r="K143" s="227" t="n"/>
      <c r="L143" s="227" t="n"/>
      <c r="M143" s="227" t="n"/>
      <c r="N143" s="127" t="n"/>
      <c r="O143" s="227" t="n"/>
      <c r="P143" s="227" t="n"/>
      <c r="Q143" s="227" t="n"/>
      <c r="R143" s="227" t="n"/>
      <c r="S143" s="227" t="n"/>
      <c r="T143" s="227" t="n"/>
    </row>
    <row r="144">
      <c r="A144" s="145">
        <f>IF($B144="","",ROW()-5)</f>
        <v/>
      </c>
      <c r="B144" s="127" t="n"/>
      <c r="C144" s="223" t="n"/>
      <c r="D144" s="127" t="n"/>
      <c r="E144" s="227" t="n"/>
      <c r="F144" s="227" t="n"/>
      <c r="G144" s="227" t="n"/>
      <c r="H144" s="227" t="n"/>
      <c r="I144" s="227" t="n"/>
      <c r="J144" s="227" t="n"/>
      <c r="K144" s="227" t="n"/>
      <c r="L144" s="227" t="n"/>
      <c r="M144" s="227" t="n"/>
      <c r="N144" s="127" t="n"/>
      <c r="O144" s="227" t="n"/>
      <c r="P144" s="227" t="n"/>
      <c r="Q144" s="227" t="n"/>
      <c r="R144" s="227" t="n"/>
      <c r="S144" s="227" t="n"/>
      <c r="T144" s="227" t="n"/>
    </row>
    <row r="145">
      <c r="A145" s="145">
        <f>IF($B145="","",ROW()-5)</f>
        <v/>
      </c>
      <c r="B145" s="127" t="n"/>
      <c r="C145" s="223" t="n"/>
      <c r="D145" s="127" t="n"/>
      <c r="E145" s="227" t="n"/>
      <c r="F145" s="227" t="n"/>
      <c r="G145" s="227" t="n"/>
      <c r="H145" s="227" t="n"/>
      <c r="I145" s="227" t="n"/>
      <c r="J145" s="227" t="n"/>
      <c r="K145" s="227" t="n"/>
      <c r="L145" s="227" t="n"/>
      <c r="M145" s="227" t="n"/>
      <c r="N145" s="127" t="n"/>
      <c r="O145" s="227" t="n"/>
      <c r="P145" s="227" t="n"/>
      <c r="Q145" s="227" t="n"/>
      <c r="R145" s="227" t="n"/>
      <c r="S145" s="227" t="n"/>
      <c r="T145" s="227" t="n"/>
    </row>
    <row r="146">
      <c r="A146" s="145">
        <f>IF($B146="","",ROW()-5)</f>
        <v/>
      </c>
      <c r="B146" s="127" t="n"/>
      <c r="C146" s="223" t="n"/>
      <c r="D146" s="127" t="n"/>
      <c r="E146" s="227" t="n"/>
      <c r="F146" s="227" t="n"/>
      <c r="G146" s="227" t="n"/>
      <c r="H146" s="227" t="n"/>
      <c r="I146" s="227" t="n"/>
      <c r="J146" s="227" t="n"/>
      <c r="K146" s="227" t="n"/>
      <c r="L146" s="227" t="n"/>
      <c r="M146" s="227" t="n"/>
      <c r="N146" s="127" t="n"/>
      <c r="O146" s="227" t="n"/>
      <c r="P146" s="227" t="n"/>
      <c r="Q146" s="227" t="n"/>
      <c r="R146" s="227" t="n"/>
      <c r="S146" s="227" t="n"/>
      <c r="T146" s="227" t="n"/>
    </row>
    <row r="147">
      <c r="A147" s="145">
        <f>IF($B147="","",ROW()-5)</f>
        <v/>
      </c>
      <c r="B147" s="127" t="n"/>
      <c r="C147" s="223" t="n"/>
      <c r="D147" s="127" t="n"/>
      <c r="E147" s="227" t="n"/>
      <c r="F147" s="227" t="n"/>
      <c r="G147" s="227" t="n"/>
      <c r="H147" s="227" t="n"/>
      <c r="I147" s="227" t="n"/>
      <c r="J147" s="227" t="n"/>
      <c r="K147" s="227" t="n"/>
      <c r="L147" s="227" t="n"/>
      <c r="M147" s="227" t="n"/>
      <c r="N147" s="127" t="n"/>
      <c r="O147" s="227" t="n"/>
      <c r="P147" s="227" t="n"/>
      <c r="Q147" s="227" t="n"/>
      <c r="R147" s="227" t="n"/>
      <c r="S147" s="227" t="n"/>
      <c r="T147" s="227" t="n"/>
    </row>
    <row r="148">
      <c r="A148" s="145">
        <f>IF($B148="","",ROW()-5)</f>
        <v/>
      </c>
      <c r="B148" s="127" t="n"/>
      <c r="C148" s="223" t="n"/>
      <c r="D148" s="127" t="n"/>
      <c r="E148" s="227" t="n"/>
      <c r="F148" s="227" t="n"/>
      <c r="G148" s="227" t="n"/>
      <c r="H148" s="227" t="n"/>
      <c r="I148" s="227" t="n"/>
      <c r="J148" s="227" t="n"/>
      <c r="K148" s="227" t="n"/>
      <c r="L148" s="227" t="n"/>
      <c r="M148" s="227" t="n"/>
      <c r="N148" s="127" t="n"/>
      <c r="O148" s="227" t="n"/>
      <c r="P148" s="227" t="n"/>
      <c r="Q148" s="227" t="n"/>
      <c r="R148" s="227" t="n"/>
      <c r="S148" s="227" t="n"/>
      <c r="T148" s="227" t="n"/>
    </row>
    <row r="149">
      <c r="A149" s="145">
        <f>IF($B149="","",ROW()-5)</f>
        <v/>
      </c>
      <c r="B149" s="127" t="n"/>
      <c r="C149" s="223" t="n"/>
      <c r="D149" s="127" t="n"/>
      <c r="E149" s="227" t="n"/>
      <c r="F149" s="227" t="n"/>
      <c r="G149" s="227" t="n"/>
      <c r="H149" s="227" t="n"/>
      <c r="I149" s="227" t="n"/>
      <c r="J149" s="227" t="n"/>
      <c r="K149" s="227" t="n"/>
      <c r="L149" s="227" t="n"/>
      <c r="M149" s="227" t="n"/>
      <c r="N149" s="127" t="n"/>
      <c r="O149" s="227" t="n"/>
      <c r="P149" s="227" t="n"/>
      <c r="Q149" s="227" t="n"/>
      <c r="R149" s="227" t="n"/>
      <c r="S149" s="227" t="n"/>
      <c r="T149" s="227" t="n"/>
    </row>
    <row r="150">
      <c r="A150" s="145">
        <f>IF($B150="","",ROW()-5)</f>
        <v/>
      </c>
      <c r="B150" s="127" t="n"/>
      <c r="C150" s="223" t="n"/>
      <c r="D150" s="127" t="n"/>
      <c r="E150" s="227" t="n"/>
      <c r="F150" s="227" t="n"/>
      <c r="G150" s="227" t="n"/>
      <c r="H150" s="227" t="n"/>
      <c r="I150" s="227" t="n"/>
      <c r="J150" s="227" t="n"/>
      <c r="K150" s="227" t="n"/>
      <c r="L150" s="227" t="n"/>
      <c r="M150" s="227" t="n"/>
      <c r="N150" s="127" t="n"/>
      <c r="O150" s="227" t="n"/>
      <c r="P150" s="227" t="n"/>
      <c r="Q150" s="227" t="n"/>
      <c r="R150" s="227" t="n"/>
      <c r="S150" s="227" t="n"/>
      <c r="T150" s="227" t="n"/>
    </row>
    <row r="151">
      <c r="A151" s="145">
        <f>IF($B151="","",ROW()-5)</f>
        <v/>
      </c>
      <c r="B151" s="127" t="n"/>
      <c r="C151" s="223" t="n"/>
      <c r="D151" s="127" t="n"/>
      <c r="E151" s="227" t="n"/>
      <c r="F151" s="227" t="n"/>
      <c r="G151" s="227" t="n"/>
      <c r="H151" s="227" t="n"/>
      <c r="I151" s="227" t="n"/>
      <c r="J151" s="227" t="n"/>
      <c r="K151" s="227" t="n"/>
      <c r="L151" s="227" t="n"/>
      <c r="M151" s="227" t="n"/>
      <c r="N151" s="127" t="n"/>
      <c r="O151" s="227" t="n"/>
      <c r="P151" s="227" t="n"/>
      <c r="Q151" s="227" t="n"/>
      <c r="R151" s="227" t="n"/>
      <c r="S151" s="227" t="n"/>
      <c r="T151" s="227" t="n"/>
    </row>
    <row r="152">
      <c r="A152" s="145">
        <f>IF($B152="","",ROW()-5)</f>
        <v/>
      </c>
      <c r="B152" s="127" t="n"/>
      <c r="C152" s="223" t="n"/>
      <c r="D152" s="127" t="n"/>
      <c r="E152" s="227" t="n"/>
      <c r="F152" s="227" t="n"/>
      <c r="G152" s="227" t="n"/>
      <c r="H152" s="227" t="n"/>
      <c r="I152" s="227" t="n"/>
      <c r="J152" s="227" t="n"/>
      <c r="K152" s="227" t="n"/>
      <c r="L152" s="227" t="n"/>
      <c r="M152" s="227" t="n"/>
      <c r="N152" s="127" t="n"/>
      <c r="O152" s="227" t="n"/>
      <c r="P152" s="227" t="n"/>
      <c r="Q152" s="227" t="n"/>
      <c r="R152" s="227" t="n"/>
      <c r="S152" s="227" t="n"/>
      <c r="T152" s="227" t="n"/>
    </row>
    <row r="153">
      <c r="A153" s="145">
        <f>IF($B153="","",ROW()-5)</f>
        <v/>
      </c>
      <c r="B153" s="127" t="n"/>
      <c r="C153" s="223" t="n"/>
      <c r="D153" s="127" t="n"/>
      <c r="E153" s="227" t="n"/>
      <c r="F153" s="227" t="n"/>
      <c r="G153" s="227" t="n"/>
      <c r="H153" s="227" t="n"/>
      <c r="I153" s="227" t="n"/>
      <c r="J153" s="227" t="n"/>
      <c r="K153" s="227" t="n"/>
      <c r="L153" s="227" t="n"/>
      <c r="M153" s="227" t="n"/>
      <c r="N153" s="127" t="n"/>
      <c r="O153" s="227" t="n"/>
      <c r="P153" s="227" t="n"/>
      <c r="Q153" s="227" t="n"/>
      <c r="R153" s="227" t="n"/>
      <c r="S153" s="227" t="n"/>
      <c r="T153" s="227" t="n"/>
    </row>
    <row r="154">
      <c r="A154" s="145">
        <f>IF($B154="","",ROW()-5)</f>
        <v/>
      </c>
      <c r="B154" s="127" t="n"/>
      <c r="C154" s="223" t="n"/>
      <c r="D154" s="127" t="n"/>
      <c r="E154" s="227" t="n"/>
      <c r="F154" s="227" t="n"/>
      <c r="G154" s="227" t="n"/>
      <c r="H154" s="227" t="n"/>
      <c r="I154" s="227" t="n"/>
      <c r="J154" s="227" t="n"/>
      <c r="K154" s="227" t="n"/>
      <c r="L154" s="227" t="n"/>
      <c r="M154" s="227" t="n"/>
      <c r="N154" s="127" t="n"/>
      <c r="O154" s="227" t="n"/>
      <c r="P154" s="227" t="n"/>
      <c r="Q154" s="227" t="n"/>
      <c r="R154" s="227" t="n"/>
      <c r="S154" s="227" t="n"/>
      <c r="T154" s="227" t="n"/>
    </row>
    <row r="155">
      <c r="A155" s="145">
        <f>IF($B155="","",ROW()-5)</f>
        <v/>
      </c>
      <c r="B155" s="127" t="n"/>
      <c r="C155" s="223" t="n"/>
      <c r="D155" s="127" t="n"/>
      <c r="E155" s="227" t="n"/>
      <c r="F155" s="227" t="n"/>
      <c r="G155" s="227" t="n"/>
      <c r="H155" s="227" t="n"/>
      <c r="I155" s="227" t="n"/>
      <c r="J155" s="227" t="n"/>
      <c r="K155" s="227" t="n"/>
      <c r="L155" s="227" t="n"/>
      <c r="M155" s="227" t="n"/>
      <c r="N155" s="127" t="n"/>
      <c r="O155" s="227" t="n"/>
      <c r="P155" s="227" t="n"/>
      <c r="Q155" s="227" t="n"/>
      <c r="R155" s="227" t="n"/>
      <c r="S155" s="227" t="n"/>
      <c r="T155" s="227" t="n"/>
    </row>
    <row r="156">
      <c r="A156" s="145">
        <f>IF($B156="","",ROW()-5)</f>
        <v/>
      </c>
      <c r="B156" s="127" t="n"/>
      <c r="C156" s="223" t="n"/>
      <c r="D156" s="127" t="n"/>
      <c r="E156" s="227" t="n"/>
      <c r="F156" s="227" t="n"/>
      <c r="G156" s="227" t="n"/>
      <c r="H156" s="227" t="n"/>
      <c r="I156" s="227" t="n"/>
      <c r="J156" s="227" t="n"/>
      <c r="K156" s="227" t="n"/>
      <c r="L156" s="227" t="n"/>
      <c r="M156" s="227" t="n"/>
      <c r="N156" s="127" t="n"/>
      <c r="O156" s="227" t="n"/>
      <c r="P156" s="227" t="n"/>
      <c r="Q156" s="227" t="n"/>
      <c r="R156" s="227" t="n"/>
      <c r="S156" s="227" t="n"/>
      <c r="T156" s="227" t="n"/>
    </row>
    <row r="157">
      <c r="A157" s="145">
        <f>IF($B157="","",ROW()-5)</f>
        <v/>
      </c>
      <c r="B157" s="127" t="n"/>
      <c r="C157" s="223" t="n"/>
      <c r="D157" s="127" t="n"/>
      <c r="E157" s="227" t="n"/>
      <c r="F157" s="227" t="n"/>
      <c r="G157" s="227" t="n"/>
      <c r="H157" s="227" t="n"/>
      <c r="I157" s="227" t="n"/>
      <c r="J157" s="227" t="n"/>
      <c r="K157" s="227" t="n"/>
      <c r="L157" s="227" t="n"/>
      <c r="M157" s="227" t="n"/>
      <c r="N157" s="127" t="n"/>
      <c r="O157" s="227" t="n"/>
      <c r="P157" s="227" t="n"/>
      <c r="Q157" s="227" t="n"/>
      <c r="R157" s="227" t="n"/>
      <c r="S157" s="227" t="n"/>
      <c r="T157" s="227" t="n"/>
    </row>
    <row r="158">
      <c r="A158" s="145">
        <f>IF($B158="","",ROW()-5)</f>
        <v/>
      </c>
      <c r="B158" s="127" t="n"/>
      <c r="C158" s="223" t="n"/>
      <c r="D158" s="127" t="n"/>
      <c r="E158" s="227" t="n"/>
      <c r="F158" s="227" t="n"/>
      <c r="G158" s="227" t="n"/>
      <c r="H158" s="227" t="n"/>
      <c r="I158" s="227" t="n"/>
      <c r="J158" s="227" t="n"/>
      <c r="K158" s="227" t="n"/>
      <c r="L158" s="227" t="n"/>
      <c r="M158" s="227" t="n"/>
      <c r="N158" s="127" t="n"/>
      <c r="O158" s="227" t="n"/>
      <c r="P158" s="227" t="n"/>
      <c r="Q158" s="227" t="n"/>
      <c r="R158" s="227" t="n"/>
      <c r="S158" s="227" t="n"/>
      <c r="T158" s="227" t="n"/>
    </row>
    <row r="159">
      <c r="A159" s="145">
        <f>IF($B159="","",ROW()-5)</f>
        <v/>
      </c>
      <c r="B159" s="127" t="n"/>
      <c r="C159" s="223" t="n"/>
      <c r="D159" s="127" t="n"/>
      <c r="E159" s="227" t="n"/>
      <c r="F159" s="227" t="n"/>
      <c r="G159" s="227" t="n"/>
      <c r="H159" s="227" t="n"/>
      <c r="I159" s="227" t="n"/>
      <c r="J159" s="227" t="n"/>
      <c r="K159" s="227" t="n"/>
      <c r="L159" s="227" t="n"/>
      <c r="M159" s="227" t="n"/>
      <c r="N159" s="127" t="n"/>
      <c r="O159" s="227" t="n"/>
      <c r="P159" s="227" t="n"/>
      <c r="Q159" s="227" t="n"/>
      <c r="R159" s="227" t="n"/>
      <c r="S159" s="227" t="n"/>
      <c r="T159" s="227" t="n"/>
    </row>
    <row r="160">
      <c r="A160" s="145">
        <f>IF($B160="","",ROW()-5)</f>
        <v/>
      </c>
      <c r="B160" s="127" t="n"/>
      <c r="C160" s="223" t="n"/>
      <c r="D160" s="127" t="n"/>
      <c r="E160" s="227" t="n"/>
      <c r="F160" s="227" t="n"/>
      <c r="G160" s="227" t="n"/>
      <c r="H160" s="227" t="n"/>
      <c r="I160" s="227" t="n"/>
      <c r="J160" s="227" t="n"/>
      <c r="K160" s="227" t="n"/>
      <c r="L160" s="227" t="n"/>
      <c r="M160" s="227" t="n"/>
      <c r="N160" s="127" t="n"/>
      <c r="O160" s="227" t="n"/>
      <c r="P160" s="227" t="n"/>
      <c r="Q160" s="227" t="n"/>
      <c r="R160" s="227" t="n"/>
      <c r="S160" s="227" t="n"/>
      <c r="T160" s="227" t="n"/>
    </row>
    <row r="161">
      <c r="A161" s="145">
        <f>IF($B161="","",ROW()-5)</f>
        <v/>
      </c>
      <c r="B161" s="127" t="n"/>
      <c r="C161" s="223" t="n"/>
      <c r="D161" s="127" t="n"/>
      <c r="E161" s="227" t="n"/>
      <c r="F161" s="227" t="n"/>
      <c r="G161" s="227" t="n"/>
      <c r="H161" s="227" t="n"/>
      <c r="I161" s="227" t="n"/>
      <c r="J161" s="227" t="n"/>
      <c r="K161" s="227" t="n"/>
      <c r="L161" s="227" t="n"/>
      <c r="M161" s="227" t="n"/>
      <c r="N161" s="127" t="n"/>
      <c r="O161" s="227" t="n"/>
      <c r="P161" s="227" t="n"/>
      <c r="Q161" s="227" t="n"/>
      <c r="R161" s="227" t="n"/>
      <c r="S161" s="227" t="n"/>
      <c r="T161" s="227" t="n"/>
    </row>
    <row r="162">
      <c r="A162" s="145">
        <f>IF($B162="","",ROW()-5)</f>
        <v/>
      </c>
      <c r="B162" s="127" t="n"/>
      <c r="C162" s="223" t="n"/>
      <c r="D162" s="127" t="n"/>
      <c r="E162" s="227" t="n"/>
      <c r="F162" s="227" t="n"/>
      <c r="G162" s="227" t="n"/>
      <c r="H162" s="227" t="n"/>
      <c r="I162" s="227" t="n"/>
      <c r="J162" s="227" t="n"/>
      <c r="K162" s="227" t="n"/>
      <c r="L162" s="227" t="n"/>
      <c r="M162" s="227" t="n"/>
      <c r="N162" s="127" t="n"/>
      <c r="O162" s="227" t="n"/>
      <c r="P162" s="227" t="n"/>
      <c r="Q162" s="227" t="n"/>
      <c r="R162" s="227" t="n"/>
      <c r="S162" s="227" t="n"/>
      <c r="T162" s="227" t="n"/>
    </row>
    <row r="163">
      <c r="A163" s="145">
        <f>IF($B163="","",ROW()-5)</f>
        <v/>
      </c>
      <c r="B163" s="127" t="n"/>
      <c r="C163" s="223" t="n"/>
      <c r="D163" s="127" t="n"/>
      <c r="E163" s="227" t="n"/>
      <c r="F163" s="227" t="n"/>
      <c r="G163" s="227" t="n"/>
      <c r="H163" s="227" t="n"/>
      <c r="I163" s="227" t="n"/>
      <c r="J163" s="227" t="n"/>
      <c r="K163" s="227" t="n"/>
      <c r="L163" s="227" t="n"/>
      <c r="M163" s="227" t="n"/>
      <c r="N163" s="127" t="n"/>
      <c r="O163" s="227" t="n"/>
      <c r="P163" s="227" t="n"/>
      <c r="Q163" s="227" t="n"/>
      <c r="R163" s="227" t="n"/>
      <c r="S163" s="227" t="n"/>
      <c r="T163" s="227" t="n"/>
    </row>
    <row r="164">
      <c r="A164" s="145">
        <f>IF($B164="","",ROW()-5)</f>
        <v/>
      </c>
      <c r="B164" s="127" t="n"/>
      <c r="C164" s="223" t="n"/>
      <c r="D164" s="127" t="n"/>
      <c r="E164" s="227" t="n"/>
      <c r="F164" s="227" t="n"/>
      <c r="G164" s="227" t="n"/>
      <c r="H164" s="227" t="n"/>
      <c r="I164" s="227" t="n"/>
      <c r="J164" s="227" t="n"/>
      <c r="K164" s="227" t="n"/>
      <c r="L164" s="227" t="n"/>
      <c r="M164" s="227" t="n"/>
      <c r="N164" s="127" t="n"/>
      <c r="O164" s="227" t="n"/>
      <c r="P164" s="227" t="n"/>
      <c r="Q164" s="227" t="n"/>
      <c r="R164" s="227" t="n"/>
      <c r="S164" s="227" t="n"/>
      <c r="T164" s="227" t="n"/>
    </row>
    <row r="165">
      <c r="A165" s="145">
        <f>IF($B165="","",ROW()-5)</f>
        <v/>
      </c>
      <c r="B165" s="127" t="n"/>
      <c r="C165" s="223" t="n"/>
      <c r="D165" s="127" t="n"/>
      <c r="E165" s="227" t="n"/>
      <c r="F165" s="227" t="n"/>
      <c r="G165" s="227" t="n"/>
      <c r="H165" s="227" t="n"/>
      <c r="I165" s="227" t="n"/>
      <c r="J165" s="227" t="n"/>
      <c r="K165" s="227" t="n"/>
      <c r="L165" s="227" t="n"/>
      <c r="M165" s="227" t="n"/>
      <c r="N165" s="127" t="n"/>
      <c r="O165" s="227" t="n"/>
      <c r="P165" s="227" t="n"/>
      <c r="Q165" s="227" t="n"/>
      <c r="R165" s="227" t="n"/>
      <c r="S165" s="227" t="n"/>
      <c r="T165" s="227" t="n"/>
    </row>
    <row r="166">
      <c r="A166" s="145">
        <f>IF($B166="","",ROW()-5)</f>
        <v/>
      </c>
      <c r="B166" s="127" t="n"/>
      <c r="C166" s="223" t="n"/>
      <c r="D166" s="127" t="n"/>
      <c r="E166" s="227" t="n"/>
      <c r="F166" s="227" t="n"/>
      <c r="G166" s="227" t="n"/>
      <c r="H166" s="227" t="n"/>
      <c r="I166" s="227" t="n"/>
      <c r="J166" s="227" t="n"/>
      <c r="K166" s="227" t="n"/>
      <c r="L166" s="227" t="n"/>
      <c r="M166" s="227" t="n"/>
      <c r="N166" s="127" t="n"/>
      <c r="O166" s="227" t="n"/>
      <c r="P166" s="227" t="n"/>
      <c r="Q166" s="227" t="n"/>
      <c r="R166" s="227" t="n"/>
      <c r="S166" s="227" t="n"/>
      <c r="T166" s="227" t="n"/>
    </row>
    <row r="167">
      <c r="A167" s="145">
        <f>IF($B167="","",ROW()-5)</f>
        <v/>
      </c>
      <c r="B167" s="127" t="n"/>
      <c r="C167" s="223" t="n"/>
      <c r="D167" s="127" t="n"/>
      <c r="E167" s="227" t="n"/>
      <c r="F167" s="227" t="n"/>
      <c r="G167" s="227" t="n"/>
      <c r="H167" s="227" t="n"/>
      <c r="I167" s="227" t="n"/>
      <c r="J167" s="227" t="n"/>
      <c r="K167" s="227" t="n"/>
      <c r="L167" s="227" t="n"/>
      <c r="M167" s="227" t="n"/>
      <c r="N167" s="127" t="n"/>
      <c r="O167" s="227" t="n"/>
      <c r="P167" s="227" t="n"/>
      <c r="Q167" s="227" t="n"/>
      <c r="R167" s="227" t="n"/>
      <c r="S167" s="227" t="n"/>
      <c r="T167" s="227" t="n"/>
    </row>
    <row r="168">
      <c r="A168" s="145">
        <f>IF($B168="","",ROW()-5)</f>
        <v/>
      </c>
      <c r="B168" s="127" t="n"/>
      <c r="C168" s="223" t="n"/>
      <c r="D168" s="127" t="n"/>
      <c r="E168" s="227" t="n"/>
      <c r="F168" s="227" t="n"/>
      <c r="G168" s="227" t="n"/>
      <c r="H168" s="227" t="n"/>
      <c r="I168" s="227" t="n"/>
      <c r="J168" s="227" t="n"/>
      <c r="K168" s="227" t="n"/>
      <c r="L168" s="227" t="n"/>
      <c r="M168" s="227" t="n"/>
      <c r="N168" s="127" t="n"/>
      <c r="O168" s="227" t="n"/>
      <c r="P168" s="227" t="n"/>
      <c r="Q168" s="227" t="n"/>
      <c r="R168" s="227" t="n"/>
      <c r="S168" s="227" t="n"/>
      <c r="T168" s="227" t="n"/>
    </row>
    <row r="169">
      <c r="A169" s="145">
        <f>IF($B169="","",ROW()-5)</f>
        <v/>
      </c>
      <c r="B169" s="127" t="n"/>
      <c r="C169" s="223" t="n"/>
      <c r="D169" s="127" t="n"/>
      <c r="E169" s="227" t="n"/>
      <c r="F169" s="227" t="n"/>
      <c r="G169" s="227" t="n"/>
      <c r="H169" s="227" t="n"/>
      <c r="I169" s="227" t="n"/>
      <c r="J169" s="227" t="n"/>
      <c r="K169" s="227" t="n"/>
      <c r="L169" s="227" t="n"/>
      <c r="M169" s="227" t="n"/>
      <c r="N169" s="127" t="n"/>
      <c r="O169" s="227" t="n"/>
      <c r="P169" s="227" t="n"/>
      <c r="Q169" s="227" t="n"/>
      <c r="R169" s="227" t="n"/>
      <c r="S169" s="227" t="n"/>
      <c r="T169" s="227" t="n"/>
    </row>
    <row r="170">
      <c r="A170" s="145">
        <f>IF($B170="","",ROW()-5)</f>
        <v/>
      </c>
      <c r="B170" s="127" t="n"/>
      <c r="C170" s="223" t="n"/>
      <c r="D170" s="127" t="n"/>
      <c r="E170" s="227" t="n"/>
      <c r="F170" s="227" t="n"/>
      <c r="G170" s="227" t="n"/>
      <c r="H170" s="227" t="n"/>
      <c r="I170" s="227" t="n"/>
      <c r="J170" s="227" t="n"/>
      <c r="K170" s="227" t="n"/>
      <c r="L170" s="227" t="n"/>
      <c r="M170" s="227" t="n"/>
      <c r="N170" s="127" t="n"/>
      <c r="O170" s="227" t="n"/>
      <c r="P170" s="227" t="n"/>
      <c r="Q170" s="227" t="n"/>
      <c r="R170" s="227" t="n"/>
      <c r="S170" s="227" t="n"/>
      <c r="T170" s="227" t="n"/>
    </row>
    <row r="171">
      <c r="A171" s="145">
        <f>IF($B171="","",ROW()-5)</f>
        <v/>
      </c>
      <c r="B171" s="127" t="n"/>
      <c r="C171" s="223" t="n"/>
      <c r="D171" s="127" t="n"/>
      <c r="E171" s="227" t="n"/>
      <c r="F171" s="227" t="n"/>
      <c r="G171" s="227" t="n"/>
      <c r="H171" s="227" t="n"/>
      <c r="I171" s="227" t="n"/>
      <c r="J171" s="227" t="n"/>
      <c r="K171" s="227" t="n"/>
      <c r="L171" s="227" t="n"/>
      <c r="M171" s="227" t="n"/>
      <c r="N171" s="127" t="n"/>
      <c r="O171" s="227" t="n"/>
      <c r="P171" s="227" t="n"/>
      <c r="Q171" s="227" t="n"/>
      <c r="R171" s="227" t="n"/>
      <c r="S171" s="227" t="n"/>
      <c r="T171" s="227" t="n"/>
    </row>
    <row r="172">
      <c r="A172" s="145">
        <f>IF($B172="","",ROW()-5)</f>
        <v/>
      </c>
      <c r="B172" s="127" t="n"/>
      <c r="C172" s="223" t="n"/>
      <c r="D172" s="127" t="n"/>
      <c r="E172" s="227" t="n"/>
      <c r="F172" s="227" t="n"/>
      <c r="G172" s="227" t="n"/>
      <c r="H172" s="227" t="n"/>
      <c r="I172" s="227" t="n"/>
      <c r="J172" s="227" t="n"/>
      <c r="K172" s="227" t="n"/>
      <c r="L172" s="227" t="n"/>
      <c r="M172" s="227" t="n"/>
      <c r="N172" s="127" t="n"/>
      <c r="O172" s="227" t="n"/>
      <c r="P172" s="227" t="n"/>
      <c r="Q172" s="227" t="n"/>
      <c r="R172" s="227" t="n"/>
      <c r="S172" s="227" t="n"/>
      <c r="T172" s="227" t="n"/>
    </row>
    <row r="173">
      <c r="A173" s="145">
        <f>IF($B173="","",ROW()-5)</f>
        <v/>
      </c>
      <c r="B173" s="127" t="n"/>
      <c r="C173" s="223" t="n"/>
      <c r="D173" s="127" t="n"/>
      <c r="E173" s="227" t="n"/>
      <c r="F173" s="227" t="n"/>
      <c r="G173" s="227" t="n"/>
      <c r="H173" s="227" t="n"/>
      <c r="I173" s="227" t="n"/>
      <c r="J173" s="227" t="n"/>
      <c r="K173" s="227" t="n"/>
      <c r="L173" s="227" t="n"/>
      <c r="M173" s="227" t="n"/>
      <c r="N173" s="127" t="n"/>
      <c r="O173" s="227" t="n"/>
      <c r="P173" s="227" t="n"/>
      <c r="Q173" s="227" t="n"/>
      <c r="R173" s="227" t="n"/>
      <c r="S173" s="227" t="n"/>
      <c r="T173" s="227" t="n"/>
    </row>
    <row r="174">
      <c r="A174" s="145">
        <f>IF($B174="","",ROW()-5)</f>
        <v/>
      </c>
      <c r="B174" s="127" t="n"/>
      <c r="C174" s="223" t="n"/>
      <c r="D174" s="127" t="n"/>
      <c r="E174" s="227" t="n"/>
      <c r="F174" s="227" t="n"/>
      <c r="G174" s="227" t="n"/>
      <c r="H174" s="227" t="n"/>
      <c r="I174" s="227" t="n"/>
      <c r="J174" s="227" t="n"/>
      <c r="K174" s="227" t="n"/>
      <c r="L174" s="227" t="n"/>
      <c r="M174" s="227" t="n"/>
      <c r="N174" s="127" t="n"/>
      <c r="O174" s="227" t="n"/>
      <c r="P174" s="227" t="n"/>
      <c r="Q174" s="227" t="n"/>
      <c r="R174" s="227" t="n"/>
      <c r="S174" s="227" t="n"/>
      <c r="T174" s="227" t="n"/>
    </row>
    <row r="175">
      <c r="A175" s="145">
        <f>IF($B175="","",ROW()-5)</f>
        <v/>
      </c>
      <c r="B175" s="127" t="n"/>
      <c r="C175" s="223" t="n"/>
      <c r="D175" s="127" t="n"/>
      <c r="E175" s="227" t="n"/>
      <c r="F175" s="227" t="n"/>
      <c r="G175" s="227" t="n"/>
      <c r="H175" s="227" t="n"/>
      <c r="I175" s="227" t="n"/>
      <c r="J175" s="227" t="n"/>
      <c r="K175" s="227" t="n"/>
      <c r="L175" s="227" t="n"/>
      <c r="M175" s="227" t="n"/>
      <c r="N175" s="127" t="n"/>
      <c r="O175" s="227" t="n"/>
      <c r="P175" s="227" t="n"/>
      <c r="Q175" s="227" t="n"/>
      <c r="R175" s="227" t="n"/>
      <c r="S175" s="227" t="n"/>
      <c r="T175" s="227" t="n"/>
    </row>
    <row r="176">
      <c r="A176" s="145">
        <f>IF($B176="","",ROW()-5)</f>
        <v/>
      </c>
      <c r="B176" s="127" t="n"/>
      <c r="C176" s="223" t="n"/>
      <c r="D176" s="127" t="n"/>
      <c r="E176" s="227" t="n"/>
      <c r="F176" s="227" t="n"/>
      <c r="G176" s="227" t="n"/>
      <c r="H176" s="227" t="n"/>
      <c r="I176" s="227" t="n"/>
      <c r="J176" s="227" t="n"/>
      <c r="K176" s="227" t="n"/>
      <c r="L176" s="227" t="n"/>
      <c r="M176" s="227" t="n"/>
      <c r="N176" s="127" t="n"/>
      <c r="O176" s="227" t="n"/>
      <c r="P176" s="227" t="n"/>
      <c r="Q176" s="227" t="n"/>
      <c r="R176" s="227" t="n"/>
      <c r="S176" s="227" t="n"/>
      <c r="T176" s="227" t="n"/>
    </row>
    <row r="177">
      <c r="A177" s="145">
        <f>IF($B177="","",ROW()-5)</f>
        <v/>
      </c>
      <c r="B177" s="127" t="n"/>
      <c r="C177" s="223" t="n"/>
      <c r="D177" s="127" t="n"/>
      <c r="E177" s="227" t="n"/>
      <c r="F177" s="227" t="n"/>
      <c r="G177" s="227" t="n"/>
      <c r="H177" s="227" t="n"/>
      <c r="I177" s="227" t="n"/>
      <c r="J177" s="227" t="n"/>
      <c r="K177" s="227" t="n"/>
      <c r="L177" s="227" t="n"/>
      <c r="M177" s="227" t="n"/>
      <c r="N177" s="127" t="n"/>
      <c r="O177" s="227" t="n"/>
      <c r="P177" s="227" t="n"/>
      <c r="Q177" s="227" t="n"/>
      <c r="R177" s="227" t="n"/>
      <c r="S177" s="227" t="n"/>
      <c r="T177" s="227" t="n"/>
    </row>
    <row r="178">
      <c r="A178" s="145">
        <f>IF($B178="","",ROW()-5)</f>
        <v/>
      </c>
      <c r="B178" s="127" t="n"/>
      <c r="C178" s="223" t="n"/>
      <c r="D178" s="127" t="n"/>
      <c r="E178" s="227" t="n"/>
      <c r="F178" s="227" t="n"/>
      <c r="G178" s="227" t="n"/>
      <c r="H178" s="227" t="n"/>
      <c r="I178" s="227" t="n"/>
      <c r="J178" s="227" t="n"/>
      <c r="K178" s="227" t="n"/>
      <c r="L178" s="227" t="n"/>
      <c r="M178" s="227" t="n"/>
      <c r="N178" s="127" t="n"/>
      <c r="O178" s="227" t="n"/>
      <c r="P178" s="227" t="n"/>
      <c r="Q178" s="227" t="n"/>
      <c r="R178" s="227" t="n"/>
      <c r="S178" s="227" t="n"/>
      <c r="T178" s="227" t="n"/>
    </row>
    <row r="179">
      <c r="A179" s="145">
        <f>IF($B179="","",ROW()-5)</f>
        <v/>
      </c>
      <c r="B179" s="127" t="n"/>
      <c r="C179" s="223" t="n"/>
      <c r="D179" s="127" t="n"/>
      <c r="E179" s="227" t="n"/>
      <c r="F179" s="227" t="n"/>
      <c r="G179" s="227" t="n"/>
      <c r="H179" s="227" t="n"/>
      <c r="I179" s="227" t="n"/>
      <c r="J179" s="227" t="n"/>
      <c r="K179" s="227" t="n"/>
      <c r="L179" s="227" t="n"/>
      <c r="M179" s="227" t="n"/>
      <c r="N179" s="127" t="n"/>
      <c r="O179" s="227" t="n"/>
      <c r="P179" s="227" t="n"/>
      <c r="Q179" s="227" t="n"/>
      <c r="R179" s="227" t="n"/>
      <c r="S179" s="227" t="n"/>
      <c r="T179" s="227" t="n"/>
    </row>
    <row r="180">
      <c r="A180" s="145">
        <f>IF($B180="","",ROW()-5)</f>
        <v/>
      </c>
      <c r="B180" s="127" t="n"/>
      <c r="C180" s="223" t="n"/>
      <c r="D180" s="127" t="n"/>
      <c r="E180" s="227" t="n"/>
      <c r="F180" s="227" t="n"/>
      <c r="G180" s="227" t="n"/>
      <c r="H180" s="227" t="n"/>
      <c r="I180" s="227" t="n"/>
      <c r="J180" s="227" t="n"/>
      <c r="K180" s="227" t="n"/>
      <c r="L180" s="227" t="n"/>
      <c r="M180" s="227" t="n"/>
      <c r="N180" s="127" t="n"/>
      <c r="O180" s="227" t="n"/>
      <c r="P180" s="227" t="n"/>
      <c r="Q180" s="227" t="n"/>
      <c r="R180" s="227" t="n"/>
      <c r="S180" s="227" t="n"/>
      <c r="T180" s="227" t="n"/>
    </row>
    <row r="181">
      <c r="A181" s="145">
        <f>IF($B181="","",ROW()-5)</f>
        <v/>
      </c>
      <c r="B181" s="127" t="n"/>
      <c r="C181" s="223" t="n"/>
      <c r="D181" s="127" t="n"/>
      <c r="E181" s="227" t="n"/>
      <c r="F181" s="227" t="n"/>
      <c r="G181" s="227" t="n"/>
      <c r="H181" s="227" t="n"/>
      <c r="I181" s="227" t="n"/>
      <c r="J181" s="227" t="n"/>
      <c r="K181" s="227" t="n"/>
      <c r="L181" s="227" t="n"/>
      <c r="M181" s="227" t="n"/>
      <c r="N181" s="127" t="n"/>
      <c r="O181" s="227" t="n"/>
      <c r="P181" s="227" t="n"/>
      <c r="Q181" s="227" t="n"/>
      <c r="R181" s="227" t="n"/>
      <c r="S181" s="227" t="n"/>
      <c r="T181" s="227" t="n"/>
    </row>
    <row r="182">
      <c r="A182" s="145">
        <f>IF($B182="","",ROW()-5)</f>
        <v/>
      </c>
      <c r="B182" s="127" t="n"/>
      <c r="C182" s="223" t="n"/>
      <c r="D182" s="127" t="n"/>
      <c r="E182" s="227" t="n"/>
      <c r="F182" s="227" t="n"/>
      <c r="G182" s="227" t="n"/>
      <c r="H182" s="227" t="n"/>
      <c r="I182" s="227" t="n"/>
      <c r="J182" s="227" t="n"/>
      <c r="K182" s="227" t="n"/>
      <c r="L182" s="227" t="n"/>
      <c r="M182" s="227" t="n"/>
      <c r="N182" s="127" t="n"/>
      <c r="O182" s="227" t="n"/>
      <c r="P182" s="227" t="n"/>
      <c r="Q182" s="227" t="n"/>
      <c r="R182" s="227" t="n"/>
      <c r="S182" s="227" t="n"/>
      <c r="T182" s="227" t="n"/>
    </row>
    <row r="183">
      <c r="A183" s="145">
        <f>IF($B183="","",ROW()-5)</f>
        <v/>
      </c>
      <c r="B183" s="127" t="n"/>
      <c r="C183" s="223" t="n"/>
      <c r="D183" s="127" t="n"/>
      <c r="E183" s="227" t="n"/>
      <c r="F183" s="227" t="n"/>
      <c r="G183" s="227" t="n"/>
      <c r="H183" s="227" t="n"/>
      <c r="I183" s="227" t="n"/>
      <c r="J183" s="227" t="n"/>
      <c r="K183" s="227" t="n"/>
      <c r="L183" s="227" t="n"/>
      <c r="M183" s="227" t="n"/>
      <c r="N183" s="127" t="n"/>
      <c r="O183" s="227" t="n"/>
      <c r="P183" s="227" t="n"/>
      <c r="Q183" s="227" t="n"/>
      <c r="R183" s="227" t="n"/>
      <c r="S183" s="227" t="n"/>
      <c r="T183" s="227" t="n"/>
    </row>
    <row r="184">
      <c r="A184" s="145">
        <f>IF($B184="","",ROW()-5)</f>
        <v/>
      </c>
      <c r="B184" s="127" t="n"/>
      <c r="C184" s="223" t="n"/>
      <c r="D184" s="127" t="n"/>
      <c r="E184" s="227" t="n"/>
      <c r="F184" s="227" t="n"/>
      <c r="G184" s="227" t="n"/>
      <c r="H184" s="227" t="n"/>
      <c r="I184" s="227" t="n"/>
      <c r="J184" s="227" t="n"/>
      <c r="K184" s="227" t="n"/>
      <c r="L184" s="227" t="n"/>
      <c r="M184" s="227" t="n"/>
      <c r="N184" s="127" t="n"/>
      <c r="O184" s="227" t="n"/>
      <c r="P184" s="227" t="n"/>
      <c r="Q184" s="227" t="n"/>
      <c r="R184" s="227" t="n"/>
      <c r="S184" s="227" t="n"/>
      <c r="T184" s="227" t="n"/>
    </row>
    <row r="185">
      <c r="A185" s="145">
        <f>IF($B185="","",ROW()-5)</f>
        <v/>
      </c>
      <c r="B185" s="127" t="n"/>
      <c r="C185" s="223" t="n"/>
      <c r="D185" s="127" t="n"/>
      <c r="E185" s="227" t="n"/>
      <c r="F185" s="227" t="n"/>
      <c r="G185" s="227" t="n"/>
      <c r="H185" s="227" t="n"/>
      <c r="I185" s="227" t="n"/>
      <c r="J185" s="227" t="n"/>
      <c r="K185" s="227" t="n"/>
      <c r="L185" s="227" t="n"/>
      <c r="M185" s="227" t="n"/>
      <c r="N185" s="127" t="n"/>
      <c r="O185" s="227" t="n"/>
      <c r="P185" s="227" t="n"/>
      <c r="Q185" s="227" t="n"/>
      <c r="R185" s="227" t="n"/>
      <c r="S185" s="227" t="n"/>
      <c r="T185" s="227" t="n"/>
    </row>
    <row r="186">
      <c r="A186" s="145">
        <f>IF($B186="","",ROW()-5)</f>
        <v/>
      </c>
      <c r="B186" s="127" t="n"/>
      <c r="C186" s="223" t="n"/>
      <c r="D186" s="127" t="n"/>
      <c r="E186" s="227" t="n"/>
      <c r="F186" s="227" t="n"/>
      <c r="G186" s="227" t="n"/>
      <c r="H186" s="227" t="n"/>
      <c r="I186" s="227" t="n"/>
      <c r="J186" s="227" t="n"/>
      <c r="K186" s="227" t="n"/>
      <c r="L186" s="227" t="n"/>
      <c r="M186" s="227" t="n"/>
      <c r="N186" s="127" t="n"/>
      <c r="O186" s="227" t="n"/>
      <c r="P186" s="227" t="n"/>
      <c r="Q186" s="227" t="n"/>
      <c r="R186" s="227" t="n"/>
      <c r="S186" s="227" t="n"/>
      <c r="T186" s="227" t="n"/>
    </row>
    <row r="187">
      <c r="A187" s="145">
        <f>IF($B187="","",ROW()-5)</f>
        <v/>
      </c>
      <c r="B187" s="127" t="n"/>
      <c r="C187" s="223" t="n"/>
      <c r="D187" s="127" t="n"/>
      <c r="E187" s="227" t="n"/>
      <c r="F187" s="227" t="n"/>
      <c r="G187" s="227" t="n"/>
      <c r="H187" s="227" t="n"/>
      <c r="I187" s="227" t="n"/>
      <c r="J187" s="227" t="n"/>
      <c r="K187" s="227" t="n"/>
      <c r="L187" s="227" t="n"/>
      <c r="M187" s="227" t="n"/>
      <c r="N187" s="127" t="n"/>
      <c r="O187" s="227" t="n"/>
      <c r="P187" s="227" t="n"/>
      <c r="Q187" s="227" t="n"/>
      <c r="R187" s="227" t="n"/>
      <c r="S187" s="227" t="n"/>
      <c r="T187" s="227" t="n"/>
    </row>
    <row r="188">
      <c r="A188" s="145">
        <f>IF($B188="","",ROW()-5)</f>
        <v/>
      </c>
      <c r="B188" s="127" t="n"/>
      <c r="C188" s="223" t="n"/>
      <c r="D188" s="127" t="n"/>
      <c r="E188" s="227" t="n"/>
      <c r="F188" s="227" t="n"/>
      <c r="G188" s="227" t="n"/>
      <c r="H188" s="227" t="n"/>
      <c r="I188" s="227" t="n"/>
      <c r="J188" s="227" t="n"/>
      <c r="K188" s="227" t="n"/>
      <c r="L188" s="227" t="n"/>
      <c r="M188" s="227" t="n"/>
      <c r="N188" s="127" t="n"/>
      <c r="O188" s="227" t="n"/>
      <c r="P188" s="227" t="n"/>
      <c r="Q188" s="227" t="n"/>
      <c r="R188" s="227" t="n"/>
      <c r="S188" s="227" t="n"/>
      <c r="T188" s="227" t="n"/>
    </row>
    <row r="189">
      <c r="A189" s="145">
        <f>IF($B189="","",ROW()-5)</f>
        <v/>
      </c>
      <c r="B189" s="127" t="n"/>
      <c r="C189" s="223" t="n"/>
      <c r="D189" s="127" t="n"/>
      <c r="E189" s="227" t="n"/>
      <c r="F189" s="227" t="n"/>
      <c r="G189" s="227" t="n"/>
      <c r="H189" s="227" t="n"/>
      <c r="I189" s="227" t="n"/>
      <c r="J189" s="227" t="n"/>
      <c r="K189" s="227" t="n"/>
      <c r="L189" s="227" t="n"/>
      <c r="M189" s="227" t="n"/>
      <c r="N189" s="127" t="n"/>
      <c r="O189" s="227" t="n"/>
      <c r="P189" s="227" t="n"/>
      <c r="Q189" s="227" t="n"/>
      <c r="R189" s="227" t="n"/>
      <c r="S189" s="227" t="n"/>
      <c r="T189" s="227" t="n"/>
    </row>
    <row r="190">
      <c r="A190" s="145">
        <f>IF($B190="","",ROW()-5)</f>
        <v/>
      </c>
      <c r="B190" s="127" t="n"/>
      <c r="C190" s="223" t="n"/>
      <c r="D190" s="127" t="n"/>
      <c r="E190" s="227" t="n"/>
      <c r="F190" s="227" t="n"/>
      <c r="G190" s="227" t="n"/>
      <c r="H190" s="227" t="n"/>
      <c r="I190" s="227" t="n"/>
      <c r="J190" s="227" t="n"/>
      <c r="K190" s="227" t="n"/>
      <c r="L190" s="227" t="n"/>
      <c r="M190" s="227" t="n"/>
      <c r="N190" s="127" t="n"/>
      <c r="O190" s="227" t="n"/>
      <c r="P190" s="227" t="n"/>
      <c r="Q190" s="227" t="n"/>
      <c r="R190" s="227" t="n"/>
      <c r="S190" s="227" t="n"/>
      <c r="T190" s="227" t="n"/>
    </row>
    <row r="191">
      <c r="A191" s="145">
        <f>IF($B191="","",ROW()-5)</f>
        <v/>
      </c>
      <c r="B191" s="127" t="n"/>
      <c r="C191" s="223" t="n"/>
      <c r="D191" s="127" t="n"/>
      <c r="E191" s="227" t="n"/>
      <c r="F191" s="227" t="n"/>
      <c r="G191" s="227" t="n"/>
      <c r="H191" s="227" t="n"/>
      <c r="I191" s="227" t="n"/>
      <c r="J191" s="227" t="n"/>
      <c r="K191" s="227" t="n"/>
      <c r="L191" s="227" t="n"/>
      <c r="M191" s="227" t="n"/>
      <c r="N191" s="127" t="n"/>
      <c r="O191" s="227" t="n"/>
      <c r="P191" s="227" t="n"/>
      <c r="Q191" s="227" t="n"/>
      <c r="R191" s="227" t="n"/>
      <c r="S191" s="227" t="n"/>
      <c r="T191" s="227" t="n"/>
    </row>
    <row r="192">
      <c r="A192" s="145">
        <f>IF($B192="","",ROW()-5)</f>
        <v/>
      </c>
      <c r="B192" s="127" t="n"/>
      <c r="C192" s="223" t="n"/>
      <c r="D192" s="127" t="n"/>
      <c r="E192" s="227" t="n"/>
      <c r="F192" s="227" t="n"/>
      <c r="G192" s="227" t="n"/>
      <c r="H192" s="227" t="n"/>
      <c r="I192" s="227" t="n"/>
      <c r="J192" s="227" t="n"/>
      <c r="K192" s="227" t="n"/>
      <c r="L192" s="227" t="n"/>
      <c r="M192" s="227" t="n"/>
      <c r="N192" s="127" t="n"/>
      <c r="O192" s="227" t="n"/>
      <c r="P192" s="227" t="n"/>
      <c r="Q192" s="227" t="n"/>
      <c r="R192" s="227" t="n"/>
      <c r="S192" s="227" t="n"/>
      <c r="T192" s="227" t="n"/>
    </row>
    <row r="193">
      <c r="A193" s="145">
        <f>IF($B193="","",ROW()-5)</f>
        <v/>
      </c>
      <c r="B193" s="127" t="n"/>
      <c r="C193" s="223" t="n"/>
      <c r="D193" s="127" t="n"/>
      <c r="E193" s="227" t="n"/>
      <c r="F193" s="227" t="n"/>
      <c r="G193" s="227" t="n"/>
      <c r="H193" s="227" t="n"/>
      <c r="I193" s="227" t="n"/>
      <c r="J193" s="227" t="n"/>
      <c r="K193" s="227" t="n"/>
      <c r="L193" s="227" t="n"/>
      <c r="M193" s="227" t="n"/>
      <c r="N193" s="127" t="n"/>
      <c r="O193" s="227" t="n"/>
      <c r="P193" s="227" t="n"/>
      <c r="Q193" s="227" t="n"/>
      <c r="R193" s="227" t="n"/>
      <c r="S193" s="227" t="n"/>
      <c r="T193" s="227" t="n"/>
    </row>
    <row r="194">
      <c r="A194" s="145">
        <f>IF($B194="","",ROW()-5)</f>
        <v/>
      </c>
      <c r="B194" s="127" t="n"/>
      <c r="C194" s="223" t="n"/>
      <c r="D194" s="127" t="n"/>
      <c r="E194" s="227" t="n"/>
      <c r="F194" s="227" t="n"/>
      <c r="G194" s="227" t="n"/>
      <c r="H194" s="227" t="n"/>
      <c r="I194" s="227" t="n"/>
      <c r="J194" s="227" t="n"/>
      <c r="K194" s="227" t="n"/>
      <c r="L194" s="227" t="n"/>
      <c r="M194" s="227" t="n"/>
      <c r="N194" s="127" t="n"/>
      <c r="O194" s="227" t="n"/>
      <c r="P194" s="227" t="n"/>
      <c r="Q194" s="227" t="n"/>
      <c r="R194" s="227" t="n"/>
      <c r="S194" s="227" t="n"/>
      <c r="T194" s="227" t="n"/>
    </row>
    <row r="195">
      <c r="A195" s="145">
        <f>IF($B195="","",ROW()-5)</f>
        <v/>
      </c>
      <c r="B195" s="127" t="n"/>
      <c r="C195" s="223" t="n"/>
      <c r="D195" s="127" t="n"/>
      <c r="E195" s="227" t="n"/>
      <c r="F195" s="227" t="n"/>
      <c r="G195" s="227" t="n"/>
      <c r="H195" s="227" t="n"/>
      <c r="I195" s="227" t="n"/>
      <c r="J195" s="227" t="n"/>
      <c r="K195" s="227" t="n"/>
      <c r="L195" s="227" t="n"/>
      <c r="M195" s="227" t="n"/>
      <c r="N195" s="127" t="n"/>
      <c r="O195" s="227" t="n"/>
      <c r="P195" s="227" t="n"/>
      <c r="Q195" s="227" t="n"/>
      <c r="R195" s="227" t="n"/>
      <c r="S195" s="227" t="n"/>
      <c r="T195" s="227" t="n"/>
    </row>
    <row r="196">
      <c r="A196" s="145">
        <f>IF($B196="","",ROW()-5)</f>
        <v/>
      </c>
      <c r="B196" s="127" t="n"/>
      <c r="C196" s="223" t="n"/>
      <c r="D196" s="127" t="n"/>
      <c r="E196" s="227" t="n"/>
      <c r="F196" s="227" t="n"/>
      <c r="G196" s="227" t="n"/>
      <c r="H196" s="227" t="n"/>
      <c r="I196" s="227" t="n"/>
      <c r="J196" s="227" t="n"/>
      <c r="K196" s="227" t="n"/>
      <c r="L196" s="227" t="n"/>
      <c r="M196" s="227" t="n"/>
      <c r="N196" s="127" t="n"/>
      <c r="O196" s="227" t="n"/>
      <c r="P196" s="227" t="n"/>
      <c r="Q196" s="227" t="n"/>
      <c r="R196" s="227" t="n"/>
      <c r="S196" s="227" t="n"/>
      <c r="T196" s="227" t="n"/>
    </row>
    <row r="197">
      <c r="A197" s="145">
        <f>IF($B197="","",ROW()-5)</f>
        <v/>
      </c>
      <c r="B197" s="127" t="n"/>
      <c r="C197" s="223" t="n"/>
      <c r="D197" s="127" t="n"/>
      <c r="E197" s="227" t="n"/>
      <c r="F197" s="227" t="n"/>
      <c r="G197" s="227" t="n"/>
      <c r="H197" s="227" t="n"/>
      <c r="I197" s="227" t="n"/>
      <c r="J197" s="227" t="n"/>
      <c r="K197" s="227" t="n"/>
      <c r="L197" s="227" t="n"/>
      <c r="M197" s="227" t="n"/>
      <c r="N197" s="127" t="n"/>
      <c r="O197" s="227" t="n"/>
      <c r="P197" s="227" t="n"/>
      <c r="Q197" s="227" t="n"/>
      <c r="R197" s="227" t="n"/>
      <c r="S197" s="227" t="n"/>
      <c r="T197" s="227" t="n"/>
    </row>
    <row r="198">
      <c r="A198" s="145">
        <f>IF($B198="","",ROW()-5)</f>
        <v/>
      </c>
      <c r="B198" s="127" t="n"/>
      <c r="C198" s="223" t="n"/>
      <c r="D198" s="127" t="n"/>
      <c r="E198" s="227" t="n"/>
      <c r="F198" s="227" t="n"/>
      <c r="G198" s="227" t="n"/>
      <c r="H198" s="227" t="n"/>
      <c r="I198" s="227" t="n"/>
      <c r="J198" s="227" t="n"/>
      <c r="K198" s="227" t="n"/>
      <c r="L198" s="227" t="n"/>
      <c r="M198" s="227" t="n"/>
      <c r="N198" s="127" t="n"/>
      <c r="O198" s="227" t="n"/>
      <c r="P198" s="227" t="n"/>
      <c r="Q198" s="227" t="n"/>
      <c r="R198" s="227" t="n"/>
      <c r="S198" s="227" t="n"/>
      <c r="T198" s="227" t="n"/>
    </row>
    <row r="199">
      <c r="A199" s="145">
        <f>IF($B199="","",ROW()-5)</f>
        <v/>
      </c>
      <c r="B199" s="127" t="n"/>
      <c r="C199" s="223" t="n"/>
      <c r="D199" s="127" t="n"/>
      <c r="E199" s="227" t="n"/>
      <c r="F199" s="227" t="n"/>
      <c r="G199" s="227" t="n"/>
      <c r="H199" s="227" t="n"/>
      <c r="I199" s="227" t="n"/>
      <c r="J199" s="227" t="n"/>
      <c r="K199" s="227" t="n"/>
      <c r="L199" s="227" t="n"/>
      <c r="M199" s="227" t="n"/>
      <c r="N199" s="127" t="n"/>
      <c r="O199" s="227" t="n"/>
      <c r="P199" s="227" t="n"/>
      <c r="Q199" s="227" t="n"/>
      <c r="R199" s="227" t="n"/>
      <c r="S199" s="227" t="n"/>
      <c r="T199" s="227" t="n"/>
    </row>
    <row r="200">
      <c r="A200" s="145">
        <f>IF($B200="","",ROW()-5)</f>
        <v/>
      </c>
      <c r="B200" s="127" t="n"/>
      <c r="C200" s="223" t="n"/>
      <c r="D200" s="127" t="n"/>
      <c r="E200" s="227" t="n"/>
      <c r="F200" s="227" t="n"/>
      <c r="G200" s="227" t="n"/>
      <c r="H200" s="227" t="n"/>
      <c r="I200" s="227" t="n"/>
      <c r="J200" s="227" t="n"/>
      <c r="K200" s="227" t="n"/>
      <c r="L200" s="227" t="n"/>
      <c r="M200" s="227" t="n"/>
      <c r="N200" s="127" t="n"/>
      <c r="O200" s="227" t="n"/>
      <c r="P200" s="227" t="n"/>
      <c r="Q200" s="227" t="n"/>
      <c r="R200" s="227" t="n"/>
      <c r="S200" s="227" t="n"/>
      <c r="T200" s="227" t="n"/>
    </row>
    <row r="201">
      <c r="A201" s="145">
        <f>IF($B201="","",ROW()-5)</f>
        <v/>
      </c>
      <c r="B201" s="127" t="n"/>
      <c r="C201" s="223" t="n"/>
      <c r="D201" s="127" t="n"/>
      <c r="E201" s="227" t="n"/>
      <c r="F201" s="227" t="n"/>
      <c r="G201" s="227" t="n"/>
      <c r="H201" s="227" t="n"/>
      <c r="I201" s="227" t="n"/>
      <c r="J201" s="227" t="n"/>
      <c r="K201" s="227" t="n"/>
      <c r="L201" s="227" t="n"/>
      <c r="M201" s="227" t="n"/>
      <c r="N201" s="127" t="n"/>
      <c r="O201" s="227" t="n"/>
      <c r="P201" s="227" t="n"/>
      <c r="Q201" s="227" t="n"/>
      <c r="R201" s="227" t="n"/>
      <c r="S201" s="227" t="n"/>
      <c r="T201" s="227" t="n"/>
    </row>
    <row r="202">
      <c r="A202" s="145">
        <f>IF($B202="","",ROW()-5)</f>
        <v/>
      </c>
      <c r="B202" s="127" t="n"/>
      <c r="C202" s="223" t="n"/>
      <c r="D202" s="127" t="n"/>
      <c r="E202" s="227" t="n"/>
      <c r="F202" s="227" t="n"/>
      <c r="G202" s="227" t="n"/>
      <c r="H202" s="227" t="n"/>
      <c r="I202" s="227" t="n"/>
      <c r="J202" s="227" t="n"/>
      <c r="K202" s="227" t="n"/>
      <c r="L202" s="227" t="n"/>
      <c r="M202" s="227" t="n"/>
      <c r="N202" s="127" t="n"/>
      <c r="O202" s="227" t="n"/>
      <c r="P202" s="227" t="n"/>
      <c r="Q202" s="227" t="n"/>
      <c r="R202" s="227" t="n"/>
      <c r="S202" s="227" t="n"/>
      <c r="T202" s="227" t="n"/>
    </row>
    <row r="203">
      <c r="A203" s="145">
        <f>IF($B203="","",ROW()-5)</f>
        <v/>
      </c>
      <c r="B203" s="127" t="n"/>
      <c r="C203" s="223" t="n"/>
      <c r="D203" s="127" t="n"/>
      <c r="E203" s="227" t="n"/>
      <c r="F203" s="227" t="n"/>
      <c r="G203" s="227" t="n"/>
      <c r="H203" s="227" t="n"/>
      <c r="I203" s="227" t="n"/>
      <c r="J203" s="227" t="n"/>
      <c r="K203" s="227" t="n"/>
      <c r="L203" s="227" t="n"/>
      <c r="M203" s="227" t="n"/>
      <c r="N203" s="127" t="n"/>
      <c r="O203" s="227" t="n"/>
      <c r="P203" s="227" t="n"/>
      <c r="Q203" s="227" t="n"/>
      <c r="R203" s="227" t="n"/>
      <c r="S203" s="227" t="n"/>
      <c r="T203" s="227" t="n"/>
    </row>
    <row r="204">
      <c r="A204" s="145">
        <f>IF($B204="","",ROW()-5)</f>
        <v/>
      </c>
      <c r="B204" s="127" t="n"/>
      <c r="C204" s="223" t="n"/>
      <c r="D204" s="127" t="n"/>
      <c r="E204" s="227" t="n"/>
      <c r="F204" s="227" t="n"/>
      <c r="G204" s="227" t="n"/>
      <c r="H204" s="227" t="n"/>
      <c r="I204" s="227" t="n"/>
      <c r="J204" s="227" t="n"/>
      <c r="K204" s="227" t="n"/>
      <c r="L204" s="227" t="n"/>
      <c r="M204" s="227" t="n"/>
      <c r="N204" s="127" t="n"/>
      <c r="O204" s="227" t="n"/>
      <c r="P204" s="227" t="n"/>
      <c r="Q204" s="227" t="n"/>
      <c r="R204" s="227" t="n"/>
      <c r="S204" s="227" t="n"/>
      <c r="T204" s="227" t="n"/>
    </row>
    <row r="205">
      <c r="A205" s="145">
        <f>IF($B205="","",ROW()-5)</f>
        <v/>
      </c>
      <c r="B205" s="127" t="n"/>
      <c r="C205" s="223" t="n"/>
      <c r="D205" s="127" t="n"/>
      <c r="E205" s="227" t="n"/>
      <c r="F205" s="227" t="n"/>
      <c r="G205" s="227" t="n"/>
      <c r="H205" s="227" t="n"/>
      <c r="I205" s="227" t="n"/>
      <c r="J205" s="227" t="n"/>
      <c r="K205" s="227" t="n"/>
      <c r="L205" s="227" t="n"/>
      <c r="M205" s="227" t="n"/>
      <c r="N205" s="127" t="n"/>
      <c r="O205" s="227" t="n"/>
      <c r="P205" s="227" t="n"/>
      <c r="Q205" s="227" t="n"/>
      <c r="R205" s="227" t="n"/>
      <c r="S205" s="227" t="n"/>
      <c r="T205" s="227" t="n"/>
    </row>
    <row r="206">
      <c r="A206" s="145">
        <f>IF($B206="","",ROW()-5)</f>
        <v/>
      </c>
      <c r="B206" s="127" t="n"/>
      <c r="C206" s="223" t="n"/>
      <c r="D206" s="127" t="n"/>
      <c r="E206" s="227" t="n"/>
      <c r="F206" s="227" t="n"/>
      <c r="G206" s="227" t="n"/>
      <c r="H206" s="227" t="n"/>
      <c r="I206" s="227" t="n"/>
      <c r="J206" s="227" t="n"/>
      <c r="K206" s="227" t="n"/>
      <c r="L206" s="227" t="n"/>
      <c r="M206" s="227" t="n"/>
      <c r="N206" s="127" t="n"/>
      <c r="O206" s="227" t="n"/>
      <c r="P206" s="227" t="n"/>
      <c r="Q206" s="227" t="n"/>
      <c r="R206" s="227" t="n"/>
      <c r="S206" s="227" t="n"/>
      <c r="T206" s="227" t="n"/>
    </row>
    <row r="207">
      <c r="A207" s="145">
        <f>IF($B207="","",ROW()-5)</f>
        <v/>
      </c>
      <c r="B207" s="127" t="n"/>
      <c r="C207" s="223" t="n"/>
      <c r="D207" s="127" t="n"/>
      <c r="E207" s="227" t="n"/>
      <c r="F207" s="227" t="n"/>
      <c r="G207" s="227" t="n"/>
      <c r="H207" s="227" t="n"/>
      <c r="I207" s="227" t="n"/>
      <c r="J207" s="227" t="n"/>
      <c r="K207" s="227" t="n"/>
      <c r="L207" s="227" t="n"/>
      <c r="M207" s="227" t="n"/>
      <c r="N207" s="127" t="n"/>
      <c r="O207" s="227" t="n"/>
      <c r="P207" s="227" t="n"/>
      <c r="Q207" s="227" t="n"/>
      <c r="R207" s="227" t="n"/>
      <c r="S207" s="227" t="n"/>
      <c r="T207" s="227" t="n"/>
    </row>
    <row r="208">
      <c r="A208" s="145">
        <f>IF($B208="","",ROW()-5)</f>
        <v/>
      </c>
      <c r="B208" s="127" t="n"/>
      <c r="C208" s="223" t="n"/>
      <c r="D208" s="127" t="n"/>
      <c r="E208" s="227" t="n"/>
      <c r="F208" s="227" t="n"/>
      <c r="G208" s="227" t="n"/>
      <c r="H208" s="227" t="n"/>
      <c r="I208" s="227" t="n"/>
      <c r="J208" s="227" t="n"/>
      <c r="K208" s="227" t="n"/>
      <c r="L208" s="227" t="n"/>
      <c r="M208" s="227" t="n"/>
      <c r="N208" s="127" t="n"/>
      <c r="O208" s="227" t="n"/>
      <c r="P208" s="227" t="n"/>
      <c r="Q208" s="227" t="n"/>
      <c r="R208" s="227" t="n"/>
      <c r="S208" s="227" t="n"/>
      <c r="T208" s="227" t="n"/>
    </row>
    <row r="209">
      <c r="A209" s="145">
        <f>IF($B209="","",ROW()-5)</f>
        <v/>
      </c>
      <c r="B209" s="127" t="n"/>
      <c r="C209" s="223" t="n"/>
      <c r="D209" s="127" t="n"/>
      <c r="E209" s="227" t="n"/>
      <c r="F209" s="227" t="n"/>
      <c r="G209" s="227" t="n"/>
      <c r="H209" s="227" t="n"/>
      <c r="I209" s="227" t="n"/>
      <c r="J209" s="227" t="n"/>
      <c r="K209" s="227" t="n"/>
      <c r="L209" s="227" t="n"/>
      <c r="M209" s="227" t="n"/>
      <c r="N209" s="127" t="n"/>
      <c r="O209" s="227" t="n"/>
      <c r="P209" s="227" t="n"/>
      <c r="Q209" s="227" t="n"/>
      <c r="R209" s="227" t="n"/>
      <c r="S209" s="227" t="n"/>
      <c r="T209" s="227" t="n"/>
    </row>
    <row r="210">
      <c r="A210" s="145">
        <f>IF($B210="","",ROW()-5)</f>
        <v/>
      </c>
      <c r="B210" s="127" t="n"/>
      <c r="C210" s="223" t="n"/>
      <c r="D210" s="127" t="n"/>
      <c r="E210" s="227" t="n"/>
      <c r="F210" s="227" t="n"/>
      <c r="G210" s="227" t="n"/>
      <c r="H210" s="227" t="n"/>
      <c r="I210" s="227" t="n"/>
      <c r="J210" s="227" t="n"/>
      <c r="K210" s="227" t="n"/>
      <c r="L210" s="227" t="n"/>
      <c r="M210" s="227" t="n"/>
      <c r="N210" s="127" t="n"/>
      <c r="O210" s="227" t="n"/>
      <c r="P210" s="227" t="n"/>
      <c r="Q210" s="227" t="n"/>
      <c r="R210" s="227" t="n"/>
      <c r="S210" s="227" t="n"/>
      <c r="T210" s="227" t="n"/>
    </row>
    <row r="211">
      <c r="A211" s="145">
        <f>IF($B211="","",ROW()-5)</f>
        <v/>
      </c>
      <c r="B211" s="127" t="n"/>
      <c r="C211" s="223" t="n"/>
      <c r="D211" s="127" t="n"/>
      <c r="E211" s="227" t="n"/>
      <c r="F211" s="227" t="n"/>
      <c r="G211" s="227" t="n"/>
      <c r="H211" s="227" t="n"/>
      <c r="I211" s="227" t="n"/>
      <c r="J211" s="227" t="n"/>
      <c r="K211" s="227" t="n"/>
      <c r="L211" s="227" t="n"/>
      <c r="M211" s="227" t="n"/>
      <c r="N211" s="127" t="n"/>
      <c r="O211" s="227" t="n"/>
      <c r="P211" s="227" t="n"/>
      <c r="Q211" s="227" t="n"/>
      <c r="R211" s="227" t="n"/>
      <c r="S211" s="227" t="n"/>
      <c r="T211" s="227" t="n"/>
    </row>
    <row r="212">
      <c r="A212" s="145">
        <f>IF($B212="","",ROW()-5)</f>
        <v/>
      </c>
      <c r="B212" s="127" t="n"/>
      <c r="C212" s="223" t="n"/>
      <c r="D212" s="127" t="n"/>
      <c r="E212" s="227" t="n"/>
      <c r="F212" s="227" t="n"/>
      <c r="G212" s="227" t="n"/>
      <c r="H212" s="227" t="n"/>
      <c r="I212" s="227" t="n"/>
      <c r="J212" s="227" t="n"/>
      <c r="K212" s="227" t="n"/>
      <c r="L212" s="227" t="n"/>
      <c r="M212" s="227" t="n"/>
      <c r="N212" s="127" t="n"/>
      <c r="O212" s="227" t="n"/>
      <c r="P212" s="227" t="n"/>
      <c r="Q212" s="227" t="n"/>
      <c r="R212" s="227" t="n"/>
      <c r="S212" s="227" t="n"/>
      <c r="T212" s="227" t="n"/>
    </row>
    <row r="213">
      <c r="A213" s="145">
        <f>IF($B213="","",ROW()-5)</f>
        <v/>
      </c>
      <c r="B213" s="127" t="n"/>
      <c r="C213" s="223" t="n"/>
      <c r="D213" s="127" t="n"/>
      <c r="E213" s="227" t="n"/>
      <c r="F213" s="227" t="n"/>
      <c r="G213" s="227" t="n"/>
      <c r="H213" s="227" t="n"/>
      <c r="I213" s="227" t="n"/>
      <c r="J213" s="227" t="n"/>
      <c r="K213" s="227" t="n"/>
      <c r="L213" s="227" t="n"/>
      <c r="M213" s="227" t="n"/>
      <c r="N213" s="127" t="n"/>
      <c r="O213" s="227" t="n"/>
      <c r="P213" s="227" t="n"/>
      <c r="Q213" s="227" t="n"/>
      <c r="R213" s="227" t="n"/>
      <c r="S213" s="227" t="n"/>
      <c r="T213" s="227" t="n"/>
    </row>
    <row r="214">
      <c r="A214" s="145">
        <f>IF($B214="","",ROW()-5)</f>
        <v/>
      </c>
      <c r="B214" s="127" t="n"/>
      <c r="C214" s="223" t="n"/>
      <c r="D214" s="127" t="n"/>
      <c r="E214" s="227" t="n"/>
      <c r="F214" s="227" t="n"/>
      <c r="G214" s="227" t="n"/>
      <c r="H214" s="227" t="n"/>
      <c r="I214" s="227" t="n"/>
      <c r="J214" s="227" t="n"/>
      <c r="K214" s="227" t="n"/>
      <c r="L214" s="227" t="n"/>
      <c r="M214" s="227" t="n"/>
      <c r="N214" s="127" t="n"/>
      <c r="O214" s="227" t="n"/>
      <c r="P214" s="227" t="n"/>
      <c r="Q214" s="227" t="n"/>
      <c r="R214" s="227" t="n"/>
      <c r="S214" s="227" t="n"/>
      <c r="T214" s="227" t="n"/>
    </row>
    <row r="215">
      <c r="A215" s="145">
        <f>IF($B215="","",ROW()-5)</f>
        <v/>
      </c>
      <c r="B215" s="127" t="n"/>
      <c r="C215" s="223" t="n"/>
      <c r="D215" s="127" t="n"/>
      <c r="E215" s="227" t="n"/>
      <c r="F215" s="227" t="n"/>
      <c r="G215" s="227" t="n"/>
      <c r="H215" s="227" t="n"/>
      <c r="I215" s="227" t="n"/>
      <c r="J215" s="227" t="n"/>
      <c r="K215" s="227" t="n"/>
      <c r="L215" s="227" t="n"/>
      <c r="M215" s="227" t="n"/>
      <c r="N215" s="127" t="n"/>
      <c r="O215" s="227" t="n"/>
      <c r="P215" s="227" t="n"/>
      <c r="Q215" s="227" t="n"/>
      <c r="R215" s="227" t="n"/>
      <c r="S215" s="227" t="n"/>
      <c r="T215" s="227" t="n"/>
    </row>
    <row r="216">
      <c r="A216" s="145">
        <f>IF($B216="","",ROW()-5)</f>
        <v/>
      </c>
      <c r="B216" s="127" t="n"/>
      <c r="C216" s="223" t="n"/>
      <c r="D216" s="127" t="n"/>
      <c r="E216" s="227" t="n"/>
      <c r="F216" s="227" t="n"/>
      <c r="G216" s="227" t="n"/>
      <c r="H216" s="227" t="n"/>
      <c r="I216" s="227" t="n"/>
      <c r="J216" s="227" t="n"/>
      <c r="K216" s="227" t="n"/>
      <c r="L216" s="227" t="n"/>
      <c r="M216" s="227" t="n"/>
      <c r="N216" s="127" t="n"/>
      <c r="O216" s="227" t="n"/>
      <c r="P216" s="227" t="n"/>
      <c r="Q216" s="227" t="n"/>
      <c r="R216" s="227" t="n"/>
      <c r="S216" s="227" t="n"/>
      <c r="T216" s="227" t="n"/>
    </row>
    <row r="217">
      <c r="A217" s="145">
        <f>IF($B217="","",ROW()-5)</f>
        <v/>
      </c>
      <c r="B217" s="127" t="n"/>
      <c r="C217" s="223" t="n"/>
      <c r="D217" s="127" t="n"/>
      <c r="E217" s="227" t="n"/>
      <c r="F217" s="227" t="n"/>
      <c r="G217" s="227" t="n"/>
      <c r="H217" s="227" t="n"/>
      <c r="I217" s="227" t="n"/>
      <c r="J217" s="227" t="n"/>
      <c r="K217" s="227" t="n"/>
      <c r="L217" s="227" t="n"/>
      <c r="M217" s="227" t="n"/>
      <c r="N217" s="127" t="n"/>
      <c r="O217" s="227" t="n"/>
      <c r="P217" s="227" t="n"/>
      <c r="Q217" s="227" t="n"/>
      <c r="R217" s="227" t="n"/>
      <c r="S217" s="227" t="n"/>
      <c r="T217" s="227" t="n"/>
    </row>
    <row r="218">
      <c r="A218" s="145">
        <f>IF($B218="","",ROW()-5)</f>
        <v/>
      </c>
      <c r="B218" s="127" t="n"/>
      <c r="C218" s="223" t="n"/>
      <c r="D218" s="127" t="n"/>
      <c r="E218" s="227" t="n"/>
      <c r="F218" s="227" t="n"/>
      <c r="G218" s="227" t="n"/>
      <c r="H218" s="227" t="n"/>
      <c r="I218" s="227" t="n"/>
      <c r="J218" s="227" t="n"/>
      <c r="K218" s="227" t="n"/>
      <c r="L218" s="227" t="n"/>
      <c r="M218" s="227" t="n"/>
      <c r="N218" s="127" t="n"/>
      <c r="O218" s="227" t="n"/>
      <c r="P218" s="227" t="n"/>
      <c r="Q218" s="227" t="n"/>
      <c r="R218" s="227" t="n"/>
      <c r="S218" s="227" t="n"/>
      <c r="T218" s="227" t="n"/>
    </row>
    <row r="219">
      <c r="A219" s="145">
        <f>IF($B219="","",ROW()-5)</f>
        <v/>
      </c>
      <c r="B219" s="127" t="n"/>
      <c r="C219" s="223" t="n"/>
      <c r="D219" s="127" t="n"/>
      <c r="E219" s="227" t="n"/>
      <c r="F219" s="227" t="n"/>
      <c r="G219" s="227" t="n"/>
      <c r="H219" s="227" t="n"/>
      <c r="I219" s="227" t="n"/>
      <c r="J219" s="227" t="n"/>
      <c r="K219" s="227" t="n"/>
      <c r="L219" s="227" t="n"/>
      <c r="M219" s="227" t="n"/>
      <c r="N219" s="127" t="n"/>
      <c r="O219" s="227" t="n"/>
      <c r="P219" s="227" t="n"/>
      <c r="Q219" s="227" t="n"/>
      <c r="R219" s="227" t="n"/>
      <c r="S219" s="227" t="n"/>
      <c r="T219" s="227" t="n"/>
    </row>
    <row r="220">
      <c r="A220" s="145">
        <f>IF($B220="","",ROW()-5)</f>
        <v/>
      </c>
      <c r="B220" s="127" t="n"/>
      <c r="C220" s="223" t="n"/>
      <c r="D220" s="127" t="n"/>
      <c r="E220" s="227" t="n"/>
      <c r="F220" s="227" t="n"/>
      <c r="G220" s="227" t="n"/>
      <c r="H220" s="227" t="n"/>
      <c r="I220" s="227" t="n"/>
      <c r="J220" s="227" t="n"/>
      <c r="K220" s="227" t="n"/>
      <c r="L220" s="227" t="n"/>
      <c r="M220" s="227" t="n"/>
      <c r="N220" s="127" t="n"/>
      <c r="O220" s="227" t="n"/>
      <c r="P220" s="227" t="n"/>
      <c r="Q220" s="227" t="n"/>
      <c r="R220" s="227" t="n"/>
      <c r="S220" s="227" t="n"/>
      <c r="T220" s="227" t="n"/>
    </row>
    <row r="221">
      <c r="A221" s="145">
        <f>IF($B221="","",ROW()-5)</f>
        <v/>
      </c>
      <c r="B221" s="127" t="n"/>
      <c r="C221" s="223" t="n"/>
      <c r="D221" s="127" t="n"/>
      <c r="E221" s="227" t="n"/>
      <c r="F221" s="227" t="n"/>
      <c r="G221" s="227" t="n"/>
      <c r="H221" s="227" t="n"/>
      <c r="I221" s="227" t="n"/>
      <c r="J221" s="227" t="n"/>
      <c r="K221" s="227" t="n"/>
      <c r="L221" s="227" t="n"/>
      <c r="M221" s="227" t="n"/>
      <c r="N221" s="127" t="n"/>
      <c r="O221" s="227" t="n"/>
      <c r="P221" s="227" t="n"/>
      <c r="Q221" s="227" t="n"/>
      <c r="R221" s="227" t="n"/>
      <c r="S221" s="227" t="n"/>
      <c r="T221" s="227" t="n"/>
    </row>
    <row r="222">
      <c r="A222" s="145">
        <f>IF($B222="","",ROW()-5)</f>
        <v/>
      </c>
      <c r="B222" s="127" t="n"/>
      <c r="C222" s="223" t="n"/>
      <c r="D222" s="127" t="n"/>
      <c r="E222" s="227" t="n"/>
      <c r="F222" s="227" t="n"/>
      <c r="G222" s="227" t="n"/>
      <c r="H222" s="227" t="n"/>
      <c r="I222" s="227" t="n"/>
      <c r="J222" s="227" t="n"/>
      <c r="K222" s="227" t="n"/>
      <c r="L222" s="227" t="n"/>
      <c r="M222" s="227" t="n"/>
      <c r="N222" s="127" t="n"/>
      <c r="O222" s="227" t="n"/>
      <c r="P222" s="227" t="n"/>
      <c r="Q222" s="227" t="n"/>
      <c r="R222" s="227" t="n"/>
      <c r="S222" s="227" t="n"/>
      <c r="T222" s="227" t="n"/>
    </row>
    <row r="223">
      <c r="A223" s="145">
        <f>IF($B223="","",ROW()-5)</f>
        <v/>
      </c>
      <c r="B223" s="127" t="n"/>
      <c r="C223" s="223" t="n"/>
      <c r="D223" s="127" t="n"/>
      <c r="E223" s="227" t="n"/>
      <c r="F223" s="227" t="n"/>
      <c r="G223" s="227" t="n"/>
      <c r="H223" s="227" t="n"/>
      <c r="I223" s="227" t="n"/>
      <c r="J223" s="227" t="n"/>
      <c r="K223" s="227" t="n"/>
      <c r="L223" s="227" t="n"/>
      <c r="M223" s="227" t="n"/>
      <c r="N223" s="127" t="n"/>
      <c r="O223" s="227" t="n"/>
      <c r="P223" s="227" t="n"/>
      <c r="Q223" s="227" t="n"/>
      <c r="R223" s="227" t="n"/>
      <c r="S223" s="227" t="n"/>
      <c r="T223" s="227" t="n"/>
    </row>
    <row r="224">
      <c r="A224" s="145">
        <f>IF($B224="","",ROW()-5)</f>
        <v/>
      </c>
      <c r="B224" s="127" t="n"/>
      <c r="C224" s="223" t="n"/>
      <c r="D224" s="127" t="n"/>
      <c r="E224" s="227" t="n"/>
      <c r="F224" s="227" t="n"/>
      <c r="G224" s="227" t="n"/>
      <c r="H224" s="227" t="n"/>
      <c r="I224" s="227" t="n"/>
      <c r="J224" s="227" t="n"/>
      <c r="K224" s="227" t="n"/>
      <c r="L224" s="227" t="n"/>
      <c r="M224" s="227" t="n"/>
      <c r="N224" s="127" t="n"/>
      <c r="O224" s="227" t="n"/>
      <c r="P224" s="227" t="n"/>
      <c r="Q224" s="227" t="n"/>
      <c r="R224" s="227" t="n"/>
      <c r="S224" s="227" t="n"/>
      <c r="T224" s="227" t="n"/>
    </row>
    <row r="225">
      <c r="A225" s="145">
        <f>IF($B225="","",ROW()-5)</f>
        <v/>
      </c>
      <c r="B225" s="127" t="n"/>
      <c r="C225" s="223" t="n"/>
      <c r="D225" s="127" t="n"/>
      <c r="E225" s="227" t="n"/>
      <c r="F225" s="227" t="n"/>
      <c r="G225" s="227" t="n"/>
      <c r="H225" s="227" t="n"/>
      <c r="I225" s="227" t="n"/>
      <c r="J225" s="227" t="n"/>
      <c r="K225" s="227" t="n"/>
      <c r="L225" s="227" t="n"/>
      <c r="M225" s="227" t="n"/>
      <c r="N225" s="127" t="n"/>
      <c r="O225" s="227" t="n"/>
      <c r="P225" s="227" t="n"/>
      <c r="Q225" s="227" t="n"/>
      <c r="R225" s="227" t="n"/>
      <c r="S225" s="227" t="n"/>
      <c r="T225" s="227" t="n"/>
    </row>
    <row r="226">
      <c r="A226" s="145">
        <f>IF($B226="","",ROW()-5)</f>
        <v/>
      </c>
      <c r="B226" s="127" t="n"/>
      <c r="C226" s="223" t="n"/>
      <c r="D226" s="127" t="n"/>
      <c r="E226" s="227" t="n"/>
      <c r="F226" s="227" t="n"/>
      <c r="G226" s="227" t="n"/>
      <c r="H226" s="227" t="n"/>
      <c r="I226" s="227" t="n"/>
      <c r="J226" s="227" t="n"/>
      <c r="K226" s="227" t="n"/>
      <c r="L226" s="227" t="n"/>
      <c r="M226" s="227" t="n"/>
      <c r="N226" s="127" t="n"/>
      <c r="O226" s="227" t="n"/>
      <c r="P226" s="227" t="n"/>
      <c r="Q226" s="227" t="n"/>
      <c r="R226" s="227" t="n"/>
      <c r="S226" s="227" t="n"/>
      <c r="T226" s="227" t="n"/>
    </row>
    <row r="227">
      <c r="A227" s="145">
        <f>IF($B227="","",ROW()-5)</f>
        <v/>
      </c>
      <c r="B227" s="127" t="n"/>
      <c r="C227" s="223" t="n"/>
      <c r="D227" s="127" t="n"/>
      <c r="E227" s="227" t="n"/>
      <c r="F227" s="227" t="n"/>
      <c r="G227" s="227" t="n"/>
      <c r="H227" s="227" t="n"/>
      <c r="I227" s="227" t="n"/>
      <c r="J227" s="227" t="n"/>
      <c r="K227" s="227" t="n"/>
      <c r="L227" s="227" t="n"/>
      <c r="M227" s="227" t="n"/>
      <c r="N227" s="127" t="n"/>
      <c r="O227" s="227" t="n"/>
      <c r="P227" s="227" t="n"/>
      <c r="Q227" s="227" t="n"/>
      <c r="R227" s="227" t="n"/>
      <c r="S227" s="227" t="n"/>
      <c r="T227" s="227" t="n"/>
    </row>
    <row r="228">
      <c r="A228" s="145">
        <f>IF($B228="","",ROW()-5)</f>
        <v/>
      </c>
      <c r="B228" s="127" t="n"/>
      <c r="C228" s="223" t="n"/>
      <c r="D228" s="127" t="n"/>
      <c r="E228" s="227" t="n"/>
      <c r="F228" s="227" t="n"/>
      <c r="G228" s="227" t="n"/>
      <c r="H228" s="227" t="n"/>
      <c r="I228" s="227" t="n"/>
      <c r="J228" s="227" t="n"/>
      <c r="K228" s="227" t="n"/>
      <c r="L228" s="227" t="n"/>
      <c r="M228" s="227" t="n"/>
      <c r="N228" s="127" t="n"/>
      <c r="O228" s="227" t="n"/>
      <c r="P228" s="227" t="n"/>
      <c r="Q228" s="227" t="n"/>
      <c r="R228" s="227" t="n"/>
      <c r="S228" s="227" t="n"/>
      <c r="T228" s="227" t="n"/>
    </row>
    <row r="229">
      <c r="A229" s="145">
        <f>IF($B229="","",ROW()-5)</f>
        <v/>
      </c>
      <c r="B229" s="127" t="n"/>
      <c r="C229" s="223" t="n"/>
      <c r="D229" s="127" t="n"/>
      <c r="E229" s="227" t="n"/>
      <c r="F229" s="227" t="n"/>
      <c r="G229" s="227" t="n"/>
      <c r="H229" s="227" t="n"/>
      <c r="I229" s="227" t="n"/>
      <c r="J229" s="227" t="n"/>
      <c r="K229" s="227" t="n"/>
      <c r="L229" s="227" t="n"/>
      <c r="M229" s="227" t="n"/>
      <c r="N229" s="127" t="n"/>
      <c r="O229" s="227" t="n"/>
      <c r="P229" s="227" t="n"/>
      <c r="Q229" s="227" t="n"/>
      <c r="R229" s="227" t="n"/>
      <c r="S229" s="227" t="n"/>
      <c r="T229" s="227" t="n"/>
    </row>
    <row r="230">
      <c r="A230" s="145">
        <f>IF($B230="","",ROW()-5)</f>
        <v/>
      </c>
      <c r="B230" s="127" t="n"/>
      <c r="C230" s="223" t="n"/>
      <c r="D230" s="127" t="n"/>
      <c r="E230" s="227" t="n"/>
      <c r="F230" s="227" t="n"/>
      <c r="G230" s="227" t="n"/>
      <c r="H230" s="227" t="n"/>
      <c r="I230" s="227" t="n"/>
      <c r="J230" s="227" t="n"/>
      <c r="K230" s="227" t="n"/>
      <c r="L230" s="227" t="n"/>
      <c r="M230" s="227" t="n"/>
      <c r="N230" s="127" t="n"/>
      <c r="O230" s="227" t="n"/>
      <c r="P230" s="227" t="n"/>
      <c r="Q230" s="227" t="n"/>
      <c r="R230" s="227" t="n"/>
      <c r="S230" s="227" t="n"/>
      <c r="T230" s="227" t="n"/>
    </row>
    <row r="231">
      <c r="A231" s="145">
        <f>IF($B231="","",ROW()-5)</f>
        <v/>
      </c>
      <c r="B231" s="127" t="n"/>
      <c r="C231" s="223" t="n"/>
      <c r="D231" s="127" t="n"/>
      <c r="E231" s="227" t="n"/>
      <c r="F231" s="227" t="n"/>
      <c r="G231" s="227" t="n"/>
      <c r="H231" s="227" t="n"/>
      <c r="I231" s="227" t="n"/>
      <c r="J231" s="227" t="n"/>
      <c r="K231" s="227" t="n"/>
      <c r="L231" s="227" t="n"/>
      <c r="M231" s="227" t="n"/>
      <c r="N231" s="127" t="n"/>
      <c r="O231" s="227" t="n"/>
      <c r="P231" s="227" t="n"/>
      <c r="Q231" s="227" t="n"/>
      <c r="R231" s="227" t="n"/>
      <c r="S231" s="227" t="n"/>
      <c r="T231" s="227" t="n"/>
    </row>
    <row r="232">
      <c r="A232" s="145">
        <f>IF($B232="","",ROW()-5)</f>
        <v/>
      </c>
      <c r="B232" s="127" t="n"/>
      <c r="C232" s="223" t="n"/>
      <c r="D232" s="127" t="n"/>
      <c r="E232" s="227" t="n"/>
      <c r="F232" s="227" t="n"/>
      <c r="G232" s="227" t="n"/>
      <c r="H232" s="227" t="n"/>
      <c r="I232" s="227" t="n"/>
      <c r="J232" s="227" t="n"/>
      <c r="K232" s="227" t="n"/>
      <c r="L232" s="227" t="n"/>
      <c r="M232" s="227" t="n"/>
      <c r="N232" s="127" t="n"/>
      <c r="O232" s="227" t="n"/>
      <c r="P232" s="227" t="n"/>
      <c r="Q232" s="227" t="n"/>
      <c r="R232" s="227" t="n"/>
      <c r="S232" s="227" t="n"/>
      <c r="T232" s="227" t="n"/>
    </row>
    <row r="233">
      <c r="A233" s="145">
        <f>IF($B233="","",ROW()-5)</f>
        <v/>
      </c>
      <c r="B233" s="127" t="n"/>
      <c r="C233" s="223" t="n"/>
      <c r="D233" s="127" t="n"/>
      <c r="E233" s="227" t="n"/>
      <c r="F233" s="227" t="n"/>
      <c r="G233" s="227" t="n"/>
      <c r="H233" s="227" t="n"/>
      <c r="I233" s="227" t="n"/>
      <c r="J233" s="227" t="n"/>
      <c r="K233" s="227" t="n"/>
      <c r="L233" s="227" t="n"/>
      <c r="M233" s="227" t="n"/>
      <c r="N233" s="127" t="n"/>
      <c r="O233" s="227" t="n"/>
      <c r="P233" s="227" t="n"/>
      <c r="Q233" s="227" t="n"/>
      <c r="R233" s="227" t="n"/>
      <c r="S233" s="227" t="n"/>
      <c r="T233" s="227" t="n"/>
    </row>
    <row r="234">
      <c r="A234" s="145">
        <f>IF($B234="","",ROW()-5)</f>
        <v/>
      </c>
      <c r="B234" s="127" t="n"/>
      <c r="C234" s="223" t="n"/>
      <c r="D234" s="127" t="n"/>
      <c r="E234" s="227" t="n"/>
      <c r="F234" s="227" t="n"/>
      <c r="G234" s="227" t="n"/>
      <c r="H234" s="227" t="n"/>
      <c r="I234" s="227" t="n"/>
      <c r="J234" s="227" t="n"/>
      <c r="K234" s="227" t="n"/>
      <c r="L234" s="227" t="n"/>
      <c r="M234" s="227" t="n"/>
      <c r="N234" s="127" t="n"/>
      <c r="O234" s="227" t="n"/>
      <c r="P234" s="227" t="n"/>
      <c r="Q234" s="227" t="n"/>
      <c r="R234" s="227" t="n"/>
      <c r="S234" s="227" t="n"/>
      <c r="T234" s="227" t="n"/>
    </row>
    <row r="235">
      <c r="A235" s="145">
        <f>IF($B235="","",ROW()-5)</f>
        <v/>
      </c>
      <c r="B235" s="127" t="n"/>
      <c r="C235" s="223" t="n"/>
      <c r="D235" s="127" t="n"/>
      <c r="E235" s="227" t="n"/>
      <c r="F235" s="227" t="n"/>
      <c r="G235" s="227" t="n"/>
      <c r="H235" s="227" t="n"/>
      <c r="I235" s="227" t="n"/>
      <c r="J235" s="227" t="n"/>
      <c r="K235" s="227" t="n"/>
      <c r="L235" s="227" t="n"/>
      <c r="M235" s="227" t="n"/>
      <c r="N235" s="127" t="n"/>
      <c r="O235" s="227" t="n"/>
      <c r="P235" s="227" t="n"/>
      <c r="Q235" s="227" t="n"/>
      <c r="R235" s="227" t="n"/>
      <c r="S235" s="227" t="n"/>
      <c r="T235" s="227" t="n"/>
    </row>
    <row r="236">
      <c r="A236" s="145">
        <f>IF($B236="","",ROW()-5)</f>
        <v/>
      </c>
      <c r="B236" s="127" t="n"/>
      <c r="C236" s="223" t="n"/>
      <c r="D236" s="127" t="n"/>
      <c r="E236" s="227" t="n"/>
      <c r="F236" s="227" t="n"/>
      <c r="G236" s="227" t="n"/>
      <c r="H236" s="227" t="n"/>
      <c r="I236" s="227" t="n"/>
      <c r="J236" s="227" t="n"/>
      <c r="K236" s="227" t="n"/>
      <c r="L236" s="227" t="n"/>
      <c r="M236" s="227" t="n"/>
      <c r="N236" s="127" t="n"/>
      <c r="O236" s="227" t="n"/>
      <c r="P236" s="227" t="n"/>
      <c r="Q236" s="227" t="n"/>
      <c r="R236" s="227" t="n"/>
      <c r="S236" s="227" t="n"/>
      <c r="T236" s="227" t="n"/>
    </row>
    <row r="237">
      <c r="A237" s="145">
        <f>IF($B237="","",ROW()-5)</f>
        <v/>
      </c>
      <c r="B237" s="127" t="n"/>
      <c r="C237" s="223" t="n"/>
      <c r="D237" s="127" t="n"/>
      <c r="E237" s="227" t="n"/>
      <c r="F237" s="227" t="n"/>
      <c r="G237" s="227" t="n"/>
      <c r="H237" s="227" t="n"/>
      <c r="I237" s="227" t="n"/>
      <c r="J237" s="227" t="n"/>
      <c r="K237" s="227" t="n"/>
      <c r="L237" s="227" t="n"/>
      <c r="M237" s="227" t="n"/>
      <c r="N237" s="127" t="n"/>
      <c r="O237" s="227" t="n"/>
      <c r="P237" s="227" t="n"/>
      <c r="Q237" s="227" t="n"/>
      <c r="R237" s="227" t="n"/>
      <c r="S237" s="227" t="n"/>
      <c r="T237" s="227" t="n"/>
    </row>
    <row r="238">
      <c r="A238" s="145">
        <f>IF($B238="","",ROW()-5)</f>
        <v/>
      </c>
      <c r="B238" s="127" t="n"/>
      <c r="C238" s="223" t="n"/>
      <c r="D238" s="127" t="n"/>
      <c r="E238" s="227" t="n"/>
      <c r="F238" s="227" t="n"/>
      <c r="G238" s="227" t="n"/>
      <c r="H238" s="227" t="n"/>
      <c r="I238" s="227" t="n"/>
      <c r="J238" s="227" t="n"/>
      <c r="K238" s="227" t="n"/>
      <c r="L238" s="227" t="n"/>
      <c r="M238" s="227" t="n"/>
      <c r="N238" s="127" t="n"/>
      <c r="O238" s="227" t="n"/>
      <c r="P238" s="227" t="n"/>
      <c r="Q238" s="227" t="n"/>
      <c r="R238" s="227" t="n"/>
      <c r="S238" s="227" t="n"/>
      <c r="T238" s="227" t="n"/>
    </row>
    <row r="239">
      <c r="A239" s="145">
        <f>IF($B239="","",ROW()-5)</f>
        <v/>
      </c>
      <c r="B239" s="127" t="n"/>
      <c r="C239" s="223" t="n"/>
      <c r="D239" s="127" t="n"/>
      <c r="E239" s="227" t="n"/>
      <c r="F239" s="227" t="n"/>
      <c r="G239" s="227" t="n"/>
      <c r="H239" s="227" t="n"/>
      <c r="I239" s="227" t="n"/>
      <c r="J239" s="227" t="n"/>
      <c r="K239" s="227" t="n"/>
      <c r="L239" s="227" t="n"/>
      <c r="M239" s="227" t="n"/>
      <c r="N239" s="127" t="n"/>
      <c r="O239" s="227" t="n"/>
      <c r="P239" s="227" t="n"/>
      <c r="Q239" s="227" t="n"/>
      <c r="R239" s="227" t="n"/>
      <c r="S239" s="227" t="n"/>
      <c r="T239" s="227" t="n"/>
    </row>
    <row r="240">
      <c r="A240" s="145">
        <f>IF($B240="","",ROW()-5)</f>
        <v/>
      </c>
      <c r="B240" s="127" t="n"/>
      <c r="C240" s="223" t="n"/>
      <c r="D240" s="127" t="n"/>
      <c r="E240" s="227" t="n"/>
      <c r="F240" s="227" t="n"/>
      <c r="G240" s="227" t="n"/>
      <c r="H240" s="227" t="n"/>
      <c r="I240" s="227" t="n"/>
      <c r="J240" s="227" t="n"/>
      <c r="K240" s="227" t="n"/>
      <c r="L240" s="227" t="n"/>
      <c r="M240" s="227" t="n"/>
      <c r="N240" s="127" t="n"/>
      <c r="O240" s="227" t="n"/>
      <c r="P240" s="227" t="n"/>
      <c r="Q240" s="227" t="n"/>
      <c r="R240" s="227" t="n"/>
      <c r="S240" s="227" t="n"/>
      <c r="T240" s="227" t="n"/>
    </row>
    <row r="241">
      <c r="A241" s="145">
        <f>IF($B241="","",ROW()-5)</f>
        <v/>
      </c>
      <c r="B241" s="127" t="n"/>
      <c r="C241" s="223" t="n"/>
      <c r="D241" s="127" t="n"/>
      <c r="E241" s="227" t="n"/>
      <c r="F241" s="227" t="n"/>
      <c r="G241" s="227" t="n"/>
      <c r="H241" s="227" t="n"/>
      <c r="I241" s="227" t="n"/>
      <c r="J241" s="227" t="n"/>
      <c r="K241" s="227" t="n"/>
      <c r="L241" s="227" t="n"/>
      <c r="M241" s="227" t="n"/>
      <c r="N241" s="127" t="n"/>
      <c r="O241" s="227" t="n"/>
      <c r="P241" s="227" t="n"/>
      <c r="Q241" s="227" t="n"/>
      <c r="R241" s="227" t="n"/>
      <c r="S241" s="227" t="n"/>
      <c r="T241" s="227" t="n"/>
    </row>
    <row r="242">
      <c r="A242" s="145">
        <f>IF($B242="","",ROW()-5)</f>
        <v/>
      </c>
      <c r="B242" s="127" t="n"/>
      <c r="C242" s="223" t="n"/>
      <c r="D242" s="127" t="n"/>
      <c r="E242" s="227" t="n"/>
      <c r="F242" s="227" t="n"/>
      <c r="G242" s="227" t="n"/>
      <c r="H242" s="227" t="n"/>
      <c r="I242" s="227" t="n"/>
      <c r="J242" s="227" t="n"/>
      <c r="K242" s="227" t="n"/>
      <c r="L242" s="227" t="n"/>
      <c r="M242" s="227" t="n"/>
      <c r="N242" s="127" t="n"/>
      <c r="O242" s="227" t="n"/>
      <c r="P242" s="227" t="n"/>
      <c r="Q242" s="227" t="n"/>
      <c r="R242" s="227" t="n"/>
      <c r="S242" s="227" t="n"/>
      <c r="T242" s="227" t="n"/>
    </row>
    <row r="243">
      <c r="A243" s="145">
        <f>IF($B243="","",ROW()-5)</f>
        <v/>
      </c>
      <c r="B243" s="127" t="n"/>
      <c r="C243" s="223" t="n"/>
      <c r="D243" s="127" t="n"/>
      <c r="E243" s="227" t="n"/>
      <c r="F243" s="227" t="n"/>
      <c r="G243" s="227" t="n"/>
      <c r="H243" s="227" t="n"/>
      <c r="I243" s="227" t="n"/>
      <c r="J243" s="227" t="n"/>
      <c r="K243" s="227" t="n"/>
      <c r="L243" s="227" t="n"/>
      <c r="M243" s="227" t="n"/>
      <c r="N243" s="127" t="n"/>
      <c r="O243" s="227" t="n"/>
      <c r="P243" s="227" t="n"/>
      <c r="Q243" s="227" t="n"/>
      <c r="R243" s="227" t="n"/>
      <c r="S243" s="227" t="n"/>
      <c r="T243" s="227" t="n"/>
    </row>
    <row r="244">
      <c r="A244" s="145">
        <f>IF($B244="","",ROW()-5)</f>
        <v/>
      </c>
      <c r="B244" s="127" t="n"/>
      <c r="C244" s="223" t="n"/>
      <c r="D244" s="127" t="n"/>
      <c r="E244" s="227" t="n"/>
      <c r="F244" s="227" t="n"/>
      <c r="G244" s="227" t="n"/>
      <c r="H244" s="227" t="n"/>
      <c r="I244" s="227" t="n"/>
      <c r="J244" s="227" t="n"/>
      <c r="K244" s="227" t="n"/>
      <c r="L244" s="227" t="n"/>
      <c r="M244" s="227" t="n"/>
      <c r="N244" s="127" t="n"/>
      <c r="O244" s="227" t="n"/>
      <c r="P244" s="227" t="n"/>
      <c r="Q244" s="227" t="n"/>
      <c r="R244" s="227" t="n"/>
      <c r="S244" s="227" t="n"/>
      <c r="T244" s="227" t="n"/>
    </row>
    <row r="245">
      <c r="A245" s="145">
        <f>IF($B245="","",ROW()-5)</f>
        <v/>
      </c>
      <c r="B245" s="127" t="n"/>
      <c r="C245" s="223" t="n"/>
      <c r="D245" s="127" t="n"/>
      <c r="E245" s="227" t="n"/>
      <c r="F245" s="227" t="n"/>
      <c r="G245" s="227" t="n"/>
      <c r="H245" s="227" t="n"/>
      <c r="I245" s="227" t="n"/>
      <c r="J245" s="227" t="n"/>
      <c r="K245" s="227" t="n"/>
      <c r="L245" s="227" t="n"/>
      <c r="M245" s="227" t="n"/>
      <c r="N245" s="127" t="n"/>
      <c r="O245" s="227" t="n"/>
      <c r="P245" s="227" t="n"/>
      <c r="Q245" s="227" t="n"/>
      <c r="R245" s="227" t="n"/>
      <c r="S245" s="227" t="n"/>
      <c r="T245" s="227" t="n"/>
    </row>
    <row r="246">
      <c r="A246" s="145">
        <f>IF($B246="","",ROW()-5)</f>
        <v/>
      </c>
      <c r="B246" s="127" t="n"/>
      <c r="C246" s="223" t="n"/>
      <c r="D246" s="127" t="n"/>
      <c r="E246" s="227" t="n"/>
      <c r="F246" s="227" t="n"/>
      <c r="G246" s="227" t="n"/>
      <c r="H246" s="227" t="n"/>
      <c r="I246" s="227" t="n"/>
      <c r="J246" s="227" t="n"/>
      <c r="K246" s="227" t="n"/>
      <c r="L246" s="227" t="n"/>
      <c r="M246" s="227" t="n"/>
      <c r="N246" s="127" t="n"/>
      <c r="O246" s="227" t="n"/>
      <c r="P246" s="227" t="n"/>
      <c r="Q246" s="227" t="n"/>
      <c r="R246" s="227" t="n"/>
      <c r="S246" s="227" t="n"/>
      <c r="T246" s="227" t="n"/>
    </row>
    <row r="247">
      <c r="A247" s="145">
        <f>IF($B247="","",ROW()-5)</f>
        <v/>
      </c>
      <c r="B247" s="127" t="n"/>
      <c r="C247" s="223" t="n"/>
      <c r="D247" s="127" t="n"/>
      <c r="E247" s="227" t="n"/>
      <c r="F247" s="227" t="n"/>
      <c r="G247" s="227" t="n"/>
      <c r="H247" s="227" t="n"/>
      <c r="I247" s="227" t="n"/>
      <c r="J247" s="227" t="n"/>
      <c r="K247" s="227" t="n"/>
      <c r="L247" s="227" t="n"/>
      <c r="M247" s="227" t="n"/>
      <c r="N247" s="127" t="n"/>
      <c r="O247" s="227" t="n"/>
      <c r="P247" s="227" t="n"/>
      <c r="Q247" s="227" t="n"/>
      <c r="R247" s="227" t="n"/>
      <c r="S247" s="227" t="n"/>
      <c r="T247" s="227" t="n"/>
    </row>
    <row r="248">
      <c r="A248" s="145">
        <f>IF($B248="","",ROW()-5)</f>
        <v/>
      </c>
      <c r="B248" s="127" t="n"/>
      <c r="C248" s="223" t="n"/>
      <c r="D248" s="127" t="n"/>
      <c r="E248" s="227" t="n"/>
      <c r="F248" s="227" t="n"/>
      <c r="G248" s="227" t="n"/>
      <c r="H248" s="227" t="n"/>
      <c r="I248" s="227" t="n"/>
      <c r="J248" s="227" t="n"/>
      <c r="K248" s="227" t="n"/>
      <c r="L248" s="227" t="n"/>
      <c r="M248" s="227" t="n"/>
      <c r="N248" s="127" t="n"/>
      <c r="O248" s="227" t="n"/>
      <c r="P248" s="227" t="n"/>
      <c r="Q248" s="227" t="n"/>
      <c r="R248" s="227" t="n"/>
      <c r="S248" s="227" t="n"/>
      <c r="T248" s="227" t="n"/>
    </row>
    <row r="249">
      <c r="A249" s="145">
        <f>IF($B249="","",ROW()-5)</f>
        <v/>
      </c>
      <c r="B249" s="127" t="n"/>
      <c r="C249" s="223" t="n"/>
      <c r="D249" s="127" t="n"/>
      <c r="E249" s="227" t="n"/>
      <c r="F249" s="227" t="n"/>
      <c r="G249" s="227" t="n"/>
      <c r="H249" s="227" t="n"/>
      <c r="I249" s="227" t="n"/>
      <c r="J249" s="227" t="n"/>
      <c r="K249" s="227" t="n"/>
      <c r="L249" s="227" t="n"/>
      <c r="M249" s="227" t="n"/>
      <c r="N249" s="127" t="n"/>
      <c r="O249" s="227" t="n"/>
      <c r="P249" s="227" t="n"/>
      <c r="Q249" s="227" t="n"/>
      <c r="R249" s="227" t="n"/>
      <c r="S249" s="227" t="n"/>
      <c r="T249" s="227" t="n"/>
    </row>
    <row r="250">
      <c r="A250" s="145">
        <f>IF($B250="","",ROW()-5)</f>
        <v/>
      </c>
      <c r="B250" s="127" t="n"/>
      <c r="C250" s="223" t="n"/>
      <c r="D250" s="127" t="n"/>
      <c r="E250" s="227" t="n"/>
      <c r="F250" s="227" t="n"/>
      <c r="G250" s="227" t="n"/>
      <c r="H250" s="227" t="n"/>
      <c r="I250" s="227" t="n"/>
      <c r="J250" s="227" t="n"/>
      <c r="K250" s="227" t="n"/>
      <c r="L250" s="227" t="n"/>
      <c r="M250" s="227" t="n"/>
      <c r="N250" s="127" t="n"/>
      <c r="O250" s="227" t="n"/>
      <c r="P250" s="227" t="n"/>
      <c r="Q250" s="227" t="n"/>
      <c r="R250" s="227" t="n"/>
      <c r="S250" s="227" t="n"/>
      <c r="T250" s="227" t="n"/>
    </row>
    <row r="251">
      <c r="A251" s="145">
        <f>IF($B251="","",ROW()-5)</f>
        <v/>
      </c>
      <c r="B251" s="127" t="n"/>
      <c r="C251" s="223" t="n"/>
      <c r="D251" s="127" t="n"/>
      <c r="E251" s="227" t="n"/>
      <c r="F251" s="227" t="n"/>
      <c r="G251" s="227" t="n"/>
      <c r="H251" s="227" t="n"/>
      <c r="I251" s="227" t="n"/>
      <c r="J251" s="227" t="n"/>
      <c r="K251" s="227" t="n"/>
      <c r="L251" s="227" t="n"/>
      <c r="M251" s="227" t="n"/>
      <c r="N251" s="127" t="n"/>
      <c r="O251" s="227" t="n"/>
      <c r="P251" s="227" t="n"/>
      <c r="Q251" s="227" t="n"/>
      <c r="R251" s="227" t="n"/>
      <c r="S251" s="227" t="n"/>
      <c r="T251" s="227" t="n"/>
    </row>
    <row r="252">
      <c r="A252" s="145">
        <f>IF($B252="","",ROW()-5)</f>
        <v/>
      </c>
      <c r="B252" s="127" t="n"/>
      <c r="C252" s="223" t="n"/>
      <c r="D252" s="127" t="n"/>
      <c r="E252" s="227" t="n"/>
      <c r="F252" s="227" t="n"/>
      <c r="G252" s="227" t="n"/>
      <c r="H252" s="227" t="n"/>
      <c r="I252" s="227" t="n"/>
      <c r="J252" s="227" t="n"/>
      <c r="K252" s="227" t="n"/>
      <c r="L252" s="227" t="n"/>
      <c r="M252" s="227" t="n"/>
      <c r="N252" s="127" t="n"/>
      <c r="O252" s="227" t="n"/>
      <c r="P252" s="227" t="n"/>
      <c r="Q252" s="227" t="n"/>
      <c r="R252" s="227" t="n"/>
      <c r="S252" s="227" t="n"/>
      <c r="T252" s="227" t="n"/>
    </row>
    <row r="253">
      <c r="A253" s="145">
        <f>IF($B253="","",ROW()-5)</f>
        <v/>
      </c>
      <c r="B253" s="127" t="n"/>
      <c r="C253" s="223" t="n"/>
      <c r="D253" s="127" t="n"/>
      <c r="E253" s="227" t="n"/>
      <c r="F253" s="227" t="n"/>
      <c r="G253" s="227" t="n"/>
      <c r="H253" s="227" t="n"/>
      <c r="I253" s="227" t="n"/>
      <c r="J253" s="227" t="n"/>
      <c r="K253" s="227" t="n"/>
      <c r="L253" s="227" t="n"/>
      <c r="M253" s="227" t="n"/>
      <c r="N253" s="127" t="n"/>
      <c r="O253" s="227" t="n"/>
      <c r="P253" s="227" t="n"/>
      <c r="Q253" s="227" t="n"/>
      <c r="R253" s="227" t="n"/>
      <c r="S253" s="227" t="n"/>
      <c r="T253" s="227" t="n"/>
    </row>
    <row r="254">
      <c r="A254" s="145">
        <f>IF($B254="","",ROW()-5)</f>
        <v/>
      </c>
      <c r="B254" s="127" t="n"/>
      <c r="C254" s="223" t="n"/>
      <c r="D254" s="127" t="n"/>
      <c r="E254" s="227" t="n"/>
      <c r="F254" s="227" t="n"/>
      <c r="G254" s="227" t="n"/>
      <c r="H254" s="227" t="n"/>
      <c r="I254" s="227" t="n"/>
      <c r="J254" s="227" t="n"/>
      <c r="K254" s="227" t="n"/>
      <c r="L254" s="227" t="n"/>
      <c r="M254" s="227" t="n"/>
      <c r="N254" s="127" t="n"/>
      <c r="O254" s="227" t="n"/>
      <c r="P254" s="227" t="n"/>
      <c r="Q254" s="227" t="n"/>
      <c r="R254" s="227" t="n"/>
      <c r="S254" s="227" t="n"/>
      <c r="T254" s="227" t="n"/>
    </row>
    <row r="255">
      <c r="A255" s="145">
        <f>IF($B255="","",ROW()-5)</f>
        <v/>
      </c>
      <c r="B255" s="127" t="n"/>
      <c r="C255" s="223" t="n"/>
      <c r="D255" s="127" t="n"/>
      <c r="E255" s="227" t="n"/>
      <c r="F255" s="227" t="n"/>
      <c r="G255" s="227" t="n"/>
      <c r="H255" s="227" t="n"/>
      <c r="I255" s="227" t="n"/>
      <c r="J255" s="227" t="n"/>
      <c r="K255" s="227" t="n"/>
      <c r="L255" s="227" t="n"/>
      <c r="M255" s="227" t="n"/>
      <c r="N255" s="127" t="n"/>
      <c r="O255" s="227" t="n"/>
      <c r="P255" s="227" t="n"/>
      <c r="Q255" s="227" t="n"/>
      <c r="R255" s="227" t="n"/>
      <c r="S255" s="227" t="n"/>
      <c r="T255" s="227" t="n"/>
    </row>
    <row r="256">
      <c r="A256" s="145">
        <f>IF($B256="","",ROW()-5)</f>
        <v/>
      </c>
      <c r="B256" s="127" t="n"/>
      <c r="C256" s="223" t="n"/>
      <c r="D256" s="127" t="n"/>
      <c r="E256" s="227" t="n"/>
      <c r="F256" s="227" t="n"/>
      <c r="G256" s="227" t="n"/>
      <c r="H256" s="227" t="n"/>
      <c r="I256" s="227" t="n"/>
      <c r="J256" s="227" t="n"/>
      <c r="K256" s="227" t="n"/>
      <c r="L256" s="227" t="n"/>
      <c r="M256" s="227" t="n"/>
      <c r="N256" s="127" t="n"/>
      <c r="O256" s="227" t="n"/>
      <c r="P256" s="227" t="n"/>
      <c r="Q256" s="227" t="n"/>
      <c r="R256" s="227" t="n"/>
      <c r="S256" s="227" t="n"/>
      <c r="T256" s="227" t="n"/>
    </row>
    <row r="257">
      <c r="A257" s="145">
        <f>IF($B257="","",ROW()-5)</f>
        <v/>
      </c>
      <c r="B257" s="127" t="n"/>
      <c r="C257" s="223" t="n"/>
      <c r="D257" s="127" t="n"/>
      <c r="E257" s="227" t="n"/>
      <c r="F257" s="227" t="n"/>
      <c r="G257" s="227" t="n"/>
      <c r="H257" s="227" t="n"/>
      <c r="I257" s="227" t="n"/>
      <c r="J257" s="227" t="n"/>
      <c r="K257" s="227" t="n"/>
      <c r="L257" s="227" t="n"/>
      <c r="M257" s="227" t="n"/>
      <c r="N257" s="127" t="n"/>
      <c r="O257" s="227" t="n"/>
      <c r="P257" s="227" t="n"/>
      <c r="Q257" s="227" t="n"/>
      <c r="R257" s="227" t="n"/>
      <c r="S257" s="227" t="n"/>
      <c r="T257" s="227" t="n"/>
    </row>
    <row r="258">
      <c r="A258" s="145">
        <f>IF($B258="","",ROW()-5)</f>
        <v/>
      </c>
      <c r="B258" s="127" t="n"/>
      <c r="C258" s="223" t="n"/>
      <c r="D258" s="127" t="n"/>
      <c r="E258" s="227" t="n"/>
      <c r="F258" s="227" t="n"/>
      <c r="G258" s="227" t="n"/>
      <c r="H258" s="227" t="n"/>
      <c r="I258" s="227" t="n"/>
      <c r="J258" s="227" t="n"/>
      <c r="K258" s="227" t="n"/>
      <c r="L258" s="227" t="n"/>
      <c r="M258" s="227" t="n"/>
      <c r="N258" s="127" t="n"/>
      <c r="O258" s="227" t="n"/>
      <c r="P258" s="227" t="n"/>
      <c r="Q258" s="227" t="n"/>
      <c r="R258" s="227" t="n"/>
      <c r="S258" s="227" t="n"/>
      <c r="T258" s="227" t="n"/>
    </row>
    <row r="259">
      <c r="A259" s="145">
        <f>IF($B259="","",ROW()-5)</f>
        <v/>
      </c>
      <c r="B259" s="127" t="n"/>
      <c r="C259" s="223" t="n"/>
      <c r="D259" s="127" t="n"/>
      <c r="E259" s="227" t="n"/>
      <c r="F259" s="227" t="n"/>
      <c r="G259" s="227" t="n"/>
      <c r="H259" s="227" t="n"/>
      <c r="I259" s="227" t="n"/>
      <c r="J259" s="227" t="n"/>
      <c r="K259" s="227" t="n"/>
      <c r="L259" s="227" t="n"/>
      <c r="M259" s="227" t="n"/>
      <c r="N259" s="127" t="n"/>
      <c r="O259" s="227" t="n"/>
      <c r="P259" s="227" t="n"/>
      <c r="Q259" s="227" t="n"/>
      <c r="R259" s="227" t="n"/>
      <c r="S259" s="227" t="n"/>
      <c r="T259" s="227" t="n"/>
    </row>
    <row r="260">
      <c r="A260" s="145">
        <f>IF($B260="","",ROW()-5)</f>
        <v/>
      </c>
      <c r="B260" s="127" t="n"/>
      <c r="C260" s="223" t="n"/>
      <c r="D260" s="127" t="n"/>
      <c r="E260" s="227" t="n"/>
      <c r="F260" s="227" t="n"/>
      <c r="G260" s="227" t="n"/>
      <c r="H260" s="227" t="n"/>
      <c r="I260" s="227" t="n"/>
      <c r="J260" s="227" t="n"/>
      <c r="K260" s="227" t="n"/>
      <c r="L260" s="227" t="n"/>
      <c r="M260" s="227" t="n"/>
      <c r="N260" s="127" t="n"/>
      <c r="O260" s="227" t="n"/>
      <c r="P260" s="227" t="n"/>
      <c r="Q260" s="227" t="n"/>
      <c r="R260" s="227" t="n"/>
      <c r="S260" s="227" t="n"/>
      <c r="T260" s="227" t="n"/>
    </row>
    <row r="261">
      <c r="A261" s="145">
        <f>IF($B261="","",ROW()-5)</f>
        <v/>
      </c>
      <c r="B261" s="127" t="n"/>
      <c r="C261" s="223" t="n"/>
      <c r="D261" s="127" t="n"/>
      <c r="E261" s="227" t="n"/>
      <c r="F261" s="227" t="n"/>
      <c r="G261" s="227" t="n"/>
      <c r="H261" s="227" t="n"/>
      <c r="I261" s="227" t="n"/>
      <c r="J261" s="227" t="n"/>
      <c r="K261" s="227" t="n"/>
      <c r="L261" s="227" t="n"/>
      <c r="M261" s="227" t="n"/>
      <c r="N261" s="127" t="n"/>
      <c r="O261" s="227" t="n"/>
      <c r="P261" s="227" t="n"/>
      <c r="Q261" s="227" t="n"/>
      <c r="R261" s="227" t="n"/>
      <c r="S261" s="227" t="n"/>
      <c r="T261" s="227" t="n"/>
    </row>
    <row r="262">
      <c r="A262" s="145">
        <f>IF($B262="","",ROW()-5)</f>
        <v/>
      </c>
      <c r="B262" s="127" t="n"/>
      <c r="C262" s="223" t="n"/>
      <c r="D262" s="127" t="n"/>
      <c r="E262" s="227" t="n"/>
      <c r="F262" s="227" t="n"/>
      <c r="G262" s="227" t="n"/>
      <c r="H262" s="227" t="n"/>
      <c r="I262" s="227" t="n"/>
      <c r="J262" s="227" t="n"/>
      <c r="K262" s="227" t="n"/>
      <c r="L262" s="227" t="n"/>
      <c r="M262" s="227" t="n"/>
      <c r="N262" s="127" t="n"/>
      <c r="O262" s="227" t="n"/>
      <c r="P262" s="227" t="n"/>
      <c r="Q262" s="227" t="n"/>
      <c r="R262" s="227" t="n"/>
      <c r="S262" s="227" t="n"/>
      <c r="T262" s="227" t="n"/>
    </row>
    <row r="263">
      <c r="A263" s="145">
        <f>IF($B263="","",ROW()-5)</f>
        <v/>
      </c>
      <c r="B263" s="127" t="n"/>
      <c r="C263" s="223" t="n"/>
      <c r="D263" s="127" t="n"/>
      <c r="E263" s="227" t="n"/>
      <c r="F263" s="227" t="n"/>
      <c r="G263" s="227" t="n"/>
      <c r="H263" s="227" t="n"/>
      <c r="I263" s="227" t="n"/>
      <c r="J263" s="227" t="n"/>
      <c r="K263" s="227" t="n"/>
      <c r="L263" s="227" t="n"/>
      <c r="M263" s="227" t="n"/>
      <c r="N263" s="127" t="n"/>
      <c r="O263" s="227" t="n"/>
      <c r="P263" s="227" t="n"/>
      <c r="Q263" s="227" t="n"/>
      <c r="R263" s="227" t="n"/>
      <c r="S263" s="227" t="n"/>
      <c r="T263" s="227" t="n"/>
    </row>
    <row r="264">
      <c r="A264" s="145">
        <f>IF($B264="","",ROW()-5)</f>
        <v/>
      </c>
      <c r="B264" s="127" t="n"/>
      <c r="C264" s="223" t="n"/>
      <c r="D264" s="127" t="n"/>
      <c r="E264" s="227" t="n"/>
      <c r="F264" s="227" t="n"/>
      <c r="G264" s="227" t="n"/>
      <c r="H264" s="227" t="n"/>
      <c r="I264" s="227" t="n"/>
      <c r="J264" s="227" t="n"/>
      <c r="K264" s="227" t="n"/>
      <c r="L264" s="227" t="n"/>
      <c r="M264" s="227" t="n"/>
      <c r="N264" s="127" t="n"/>
      <c r="O264" s="227" t="n"/>
      <c r="P264" s="227" t="n"/>
      <c r="Q264" s="227" t="n"/>
      <c r="R264" s="227" t="n"/>
      <c r="S264" s="227" t="n"/>
      <c r="T264" s="227" t="n"/>
    </row>
    <row r="265">
      <c r="A265" s="145">
        <f>IF($B265="","",ROW()-5)</f>
        <v/>
      </c>
      <c r="B265" s="127" t="n"/>
      <c r="C265" s="223" t="n"/>
      <c r="D265" s="127" t="n"/>
      <c r="E265" s="227" t="n"/>
      <c r="F265" s="227" t="n"/>
      <c r="G265" s="227" t="n"/>
      <c r="H265" s="227" t="n"/>
      <c r="I265" s="227" t="n"/>
      <c r="J265" s="227" t="n"/>
      <c r="K265" s="227" t="n"/>
      <c r="L265" s="227" t="n"/>
      <c r="M265" s="227" t="n"/>
      <c r="N265" s="127" t="n"/>
      <c r="O265" s="227" t="n"/>
      <c r="P265" s="227" t="n"/>
      <c r="Q265" s="227" t="n"/>
      <c r="R265" s="227" t="n"/>
      <c r="S265" s="227" t="n"/>
      <c r="T265" s="227" t="n"/>
    </row>
    <row r="266">
      <c r="A266" s="145">
        <f>IF($B266="","",ROW()-5)</f>
        <v/>
      </c>
      <c r="B266" s="127" t="n"/>
      <c r="C266" s="223" t="n"/>
      <c r="D266" s="127" t="n"/>
      <c r="E266" s="227" t="n"/>
      <c r="F266" s="227" t="n"/>
      <c r="G266" s="227" t="n"/>
      <c r="H266" s="227" t="n"/>
      <c r="I266" s="227" t="n"/>
      <c r="J266" s="227" t="n"/>
      <c r="K266" s="227" t="n"/>
      <c r="L266" s="227" t="n"/>
      <c r="M266" s="227" t="n"/>
      <c r="N266" s="127" t="n"/>
      <c r="O266" s="227" t="n"/>
      <c r="P266" s="227" t="n"/>
      <c r="Q266" s="227" t="n"/>
      <c r="R266" s="227" t="n"/>
      <c r="S266" s="227" t="n"/>
      <c r="T266" s="227" t="n"/>
    </row>
    <row r="267">
      <c r="A267" s="145">
        <f>IF($B267="","",ROW()-5)</f>
        <v/>
      </c>
      <c r="B267" s="127" t="n"/>
      <c r="C267" s="223" t="n"/>
      <c r="D267" s="127" t="n"/>
      <c r="E267" s="227" t="n"/>
      <c r="F267" s="227" t="n"/>
      <c r="G267" s="227" t="n"/>
      <c r="H267" s="227" t="n"/>
      <c r="I267" s="227" t="n"/>
      <c r="J267" s="227" t="n"/>
      <c r="K267" s="227" t="n"/>
      <c r="L267" s="227" t="n"/>
      <c r="M267" s="227" t="n"/>
      <c r="N267" s="127" t="n"/>
      <c r="O267" s="227" t="n"/>
      <c r="P267" s="227" t="n"/>
      <c r="Q267" s="227" t="n"/>
      <c r="R267" s="227" t="n"/>
      <c r="S267" s="227" t="n"/>
      <c r="T267" s="227" t="n"/>
    </row>
    <row r="268">
      <c r="A268" s="145">
        <f>IF($B268="","",ROW()-5)</f>
        <v/>
      </c>
      <c r="B268" s="127" t="n"/>
      <c r="C268" s="223" t="n"/>
      <c r="D268" s="127" t="n"/>
      <c r="E268" s="227" t="n"/>
      <c r="F268" s="227" t="n"/>
      <c r="G268" s="227" t="n"/>
      <c r="H268" s="227" t="n"/>
      <c r="I268" s="227" t="n"/>
      <c r="J268" s="227" t="n"/>
      <c r="K268" s="227" t="n"/>
      <c r="L268" s="227" t="n"/>
      <c r="M268" s="227" t="n"/>
      <c r="N268" s="127" t="n"/>
      <c r="O268" s="227" t="n"/>
      <c r="P268" s="227" t="n"/>
      <c r="Q268" s="227" t="n"/>
      <c r="R268" s="227" t="n"/>
      <c r="S268" s="227" t="n"/>
      <c r="T268" s="227" t="n"/>
    </row>
    <row r="269">
      <c r="A269" s="145">
        <f>IF($B269="","",ROW()-5)</f>
        <v/>
      </c>
      <c r="B269" s="127" t="n"/>
      <c r="C269" s="223" t="n"/>
      <c r="D269" s="127" t="n"/>
      <c r="E269" s="227" t="n"/>
      <c r="F269" s="227" t="n"/>
      <c r="G269" s="227" t="n"/>
      <c r="H269" s="227" t="n"/>
      <c r="I269" s="227" t="n"/>
      <c r="J269" s="227" t="n"/>
      <c r="K269" s="227" t="n"/>
      <c r="L269" s="227" t="n"/>
      <c r="M269" s="227" t="n"/>
      <c r="N269" s="127" t="n"/>
      <c r="O269" s="227" t="n"/>
      <c r="P269" s="227" t="n"/>
      <c r="Q269" s="227" t="n"/>
      <c r="R269" s="227" t="n"/>
      <c r="S269" s="227" t="n"/>
      <c r="T269" s="227" t="n"/>
    </row>
    <row r="270">
      <c r="A270" s="145">
        <f>IF($B270="","",ROW()-5)</f>
        <v/>
      </c>
      <c r="B270" s="127" t="n"/>
      <c r="C270" s="223" t="n"/>
      <c r="D270" s="127" t="n"/>
      <c r="E270" s="227" t="n"/>
      <c r="F270" s="227" t="n"/>
      <c r="G270" s="227" t="n"/>
      <c r="H270" s="227" t="n"/>
      <c r="I270" s="227" t="n"/>
      <c r="J270" s="227" t="n"/>
      <c r="K270" s="227" t="n"/>
      <c r="L270" s="227" t="n"/>
      <c r="M270" s="227" t="n"/>
      <c r="N270" s="127" t="n"/>
      <c r="O270" s="227" t="n"/>
      <c r="P270" s="227" t="n"/>
      <c r="Q270" s="227" t="n"/>
      <c r="R270" s="227" t="n"/>
      <c r="S270" s="227" t="n"/>
      <c r="T270" s="227" t="n"/>
    </row>
    <row r="271">
      <c r="A271" s="145">
        <f>IF($B271="","",ROW()-5)</f>
        <v/>
      </c>
      <c r="B271" s="127" t="n"/>
      <c r="C271" s="223" t="n"/>
      <c r="D271" s="127" t="n"/>
      <c r="E271" s="227" t="n"/>
      <c r="F271" s="227" t="n"/>
      <c r="G271" s="227" t="n"/>
      <c r="H271" s="227" t="n"/>
      <c r="I271" s="227" t="n"/>
      <c r="J271" s="227" t="n"/>
      <c r="K271" s="227" t="n"/>
      <c r="L271" s="227" t="n"/>
      <c r="M271" s="227" t="n"/>
      <c r="N271" s="127" t="n"/>
      <c r="O271" s="227" t="n"/>
      <c r="P271" s="227" t="n"/>
      <c r="Q271" s="227" t="n"/>
      <c r="R271" s="227" t="n"/>
      <c r="S271" s="227" t="n"/>
      <c r="T271" s="227" t="n"/>
    </row>
    <row r="272">
      <c r="A272" s="145">
        <f>IF($B272="","",ROW()-5)</f>
        <v/>
      </c>
      <c r="B272" s="127" t="n"/>
      <c r="C272" s="223" t="n"/>
      <c r="D272" s="127" t="n"/>
      <c r="E272" s="227" t="n"/>
      <c r="F272" s="227" t="n"/>
      <c r="G272" s="227" t="n"/>
      <c r="H272" s="227" t="n"/>
      <c r="I272" s="227" t="n"/>
      <c r="J272" s="227" t="n"/>
      <c r="K272" s="227" t="n"/>
      <c r="L272" s="227" t="n"/>
      <c r="M272" s="227" t="n"/>
      <c r="N272" s="127" t="n"/>
      <c r="O272" s="227" t="n"/>
      <c r="P272" s="227" t="n"/>
      <c r="Q272" s="227" t="n"/>
      <c r="R272" s="227" t="n"/>
      <c r="S272" s="227" t="n"/>
      <c r="T272" s="227" t="n"/>
    </row>
    <row r="273">
      <c r="A273" s="145">
        <f>IF($B273="","",ROW()-5)</f>
        <v/>
      </c>
      <c r="B273" s="127" t="n"/>
      <c r="C273" s="223" t="n"/>
      <c r="D273" s="127" t="n"/>
      <c r="E273" s="227" t="n"/>
      <c r="F273" s="227" t="n"/>
      <c r="G273" s="227" t="n"/>
      <c r="H273" s="227" t="n"/>
      <c r="I273" s="227" t="n"/>
      <c r="J273" s="227" t="n"/>
      <c r="K273" s="227" t="n"/>
      <c r="L273" s="227" t="n"/>
      <c r="M273" s="227" t="n"/>
      <c r="N273" s="127" t="n"/>
      <c r="O273" s="227" t="n"/>
      <c r="P273" s="227" t="n"/>
      <c r="Q273" s="227" t="n"/>
      <c r="R273" s="227" t="n"/>
      <c r="S273" s="227" t="n"/>
      <c r="T273" s="227" t="n"/>
    </row>
    <row r="274">
      <c r="A274" s="145">
        <f>IF($B274="","",ROW()-5)</f>
        <v/>
      </c>
      <c r="B274" s="127" t="n"/>
      <c r="C274" s="223" t="n"/>
      <c r="D274" s="127" t="n"/>
      <c r="E274" s="227" t="n"/>
      <c r="F274" s="227" t="n"/>
      <c r="G274" s="227" t="n"/>
      <c r="H274" s="227" t="n"/>
      <c r="I274" s="227" t="n"/>
      <c r="J274" s="227" t="n"/>
      <c r="K274" s="227" t="n"/>
      <c r="L274" s="227" t="n"/>
      <c r="M274" s="227" t="n"/>
      <c r="N274" s="127" t="n"/>
      <c r="O274" s="227" t="n"/>
      <c r="P274" s="227" t="n"/>
      <c r="Q274" s="227" t="n"/>
      <c r="R274" s="227" t="n"/>
      <c r="S274" s="227" t="n"/>
      <c r="T274" s="227" t="n"/>
    </row>
    <row r="275">
      <c r="A275" s="145">
        <f>IF($B275="","",ROW()-5)</f>
        <v/>
      </c>
      <c r="B275" s="127" t="n"/>
      <c r="C275" s="223" t="n"/>
      <c r="D275" s="127" t="n"/>
      <c r="E275" s="227" t="n"/>
      <c r="F275" s="227" t="n"/>
      <c r="G275" s="227" t="n"/>
      <c r="H275" s="227" t="n"/>
      <c r="I275" s="227" t="n"/>
      <c r="J275" s="227" t="n"/>
      <c r="K275" s="227" t="n"/>
      <c r="L275" s="227" t="n"/>
      <c r="M275" s="227" t="n"/>
      <c r="N275" s="127" t="n"/>
      <c r="O275" s="227" t="n"/>
      <c r="P275" s="227" t="n"/>
      <c r="Q275" s="227" t="n"/>
      <c r="R275" s="227" t="n"/>
      <c r="S275" s="227" t="n"/>
      <c r="T275" s="227" t="n"/>
    </row>
    <row r="276">
      <c r="A276" s="145">
        <f>IF($B276="","",ROW()-5)</f>
        <v/>
      </c>
      <c r="B276" s="127" t="n"/>
      <c r="C276" s="223" t="n"/>
      <c r="D276" s="127" t="n"/>
      <c r="E276" s="227" t="n"/>
      <c r="F276" s="227" t="n"/>
      <c r="G276" s="227" t="n"/>
      <c r="H276" s="227" t="n"/>
      <c r="I276" s="227" t="n"/>
      <c r="J276" s="227" t="n"/>
      <c r="K276" s="227" t="n"/>
      <c r="L276" s="227" t="n"/>
      <c r="M276" s="227" t="n"/>
      <c r="N276" s="127" t="n"/>
      <c r="O276" s="227" t="n"/>
      <c r="P276" s="227" t="n"/>
      <c r="Q276" s="227" t="n"/>
      <c r="R276" s="227" t="n"/>
      <c r="S276" s="227" t="n"/>
      <c r="T276" s="227" t="n"/>
    </row>
    <row r="277">
      <c r="A277" s="145">
        <f>IF($B277="","",ROW()-5)</f>
        <v/>
      </c>
      <c r="B277" s="127" t="n"/>
      <c r="C277" s="223" t="n"/>
      <c r="D277" s="127" t="n"/>
      <c r="E277" s="227" t="n"/>
      <c r="F277" s="227" t="n"/>
      <c r="G277" s="227" t="n"/>
      <c r="H277" s="227" t="n"/>
      <c r="I277" s="227" t="n"/>
      <c r="J277" s="227" t="n"/>
      <c r="K277" s="227" t="n"/>
      <c r="L277" s="227" t="n"/>
      <c r="M277" s="227" t="n"/>
      <c r="N277" s="127" t="n"/>
      <c r="O277" s="227" t="n"/>
      <c r="P277" s="227" t="n"/>
      <c r="Q277" s="227" t="n"/>
      <c r="R277" s="227" t="n"/>
      <c r="S277" s="227" t="n"/>
      <c r="T277" s="227" t="n"/>
    </row>
    <row r="278">
      <c r="A278" s="145">
        <f>IF($B278="","",ROW()-5)</f>
        <v/>
      </c>
      <c r="B278" s="127" t="n"/>
      <c r="C278" s="223" t="n"/>
      <c r="D278" s="127" t="n"/>
      <c r="E278" s="227" t="n"/>
      <c r="F278" s="227" t="n"/>
      <c r="G278" s="227" t="n"/>
      <c r="H278" s="227" t="n"/>
      <c r="I278" s="227" t="n"/>
      <c r="J278" s="227" t="n"/>
      <c r="K278" s="227" t="n"/>
      <c r="L278" s="227" t="n"/>
      <c r="M278" s="227" t="n"/>
      <c r="N278" s="127" t="n"/>
      <c r="O278" s="227" t="n"/>
      <c r="P278" s="227" t="n"/>
      <c r="Q278" s="227" t="n"/>
      <c r="R278" s="227" t="n"/>
      <c r="S278" s="227" t="n"/>
      <c r="T278" s="227" t="n"/>
    </row>
    <row r="279">
      <c r="A279" s="145">
        <f>IF($B279="","",ROW()-5)</f>
        <v/>
      </c>
      <c r="B279" s="127" t="n"/>
      <c r="C279" s="223" t="n"/>
      <c r="D279" s="127" t="n"/>
      <c r="E279" s="227" t="n"/>
      <c r="F279" s="227" t="n"/>
      <c r="G279" s="227" t="n"/>
      <c r="H279" s="227" t="n"/>
      <c r="I279" s="227" t="n"/>
      <c r="J279" s="227" t="n"/>
      <c r="K279" s="227" t="n"/>
      <c r="L279" s="227" t="n"/>
      <c r="M279" s="227" t="n"/>
      <c r="N279" s="127" t="n"/>
      <c r="O279" s="227" t="n"/>
      <c r="P279" s="227" t="n"/>
      <c r="Q279" s="227" t="n"/>
      <c r="R279" s="227" t="n"/>
      <c r="S279" s="227" t="n"/>
      <c r="T279" s="227" t="n"/>
    </row>
    <row r="280">
      <c r="A280" s="145">
        <f>IF($B280="","",ROW()-5)</f>
        <v/>
      </c>
      <c r="B280" s="127" t="n"/>
      <c r="C280" s="223" t="n"/>
      <c r="D280" s="127" t="n"/>
      <c r="E280" s="227" t="n"/>
      <c r="F280" s="227" t="n"/>
      <c r="G280" s="227" t="n"/>
      <c r="H280" s="227" t="n"/>
      <c r="I280" s="227" t="n"/>
      <c r="J280" s="227" t="n"/>
      <c r="K280" s="227" t="n"/>
      <c r="L280" s="227" t="n"/>
      <c r="M280" s="227" t="n"/>
      <c r="N280" s="127" t="n"/>
      <c r="O280" s="227" t="n"/>
      <c r="P280" s="227" t="n"/>
      <c r="Q280" s="227" t="n"/>
      <c r="R280" s="227" t="n"/>
      <c r="S280" s="227" t="n"/>
      <c r="T280" s="227" t="n"/>
    </row>
    <row r="281">
      <c r="A281" s="145">
        <f>IF($B281="","",ROW()-5)</f>
        <v/>
      </c>
      <c r="B281" s="127" t="n"/>
      <c r="C281" s="223" t="n"/>
      <c r="D281" s="127" t="n"/>
      <c r="E281" s="227" t="n"/>
      <c r="F281" s="227" t="n"/>
      <c r="G281" s="227" t="n"/>
      <c r="H281" s="227" t="n"/>
      <c r="I281" s="227" t="n"/>
      <c r="J281" s="227" t="n"/>
      <c r="K281" s="227" t="n"/>
      <c r="L281" s="227" t="n"/>
      <c r="M281" s="227" t="n"/>
      <c r="N281" s="127" t="n"/>
      <c r="O281" s="227" t="n"/>
      <c r="P281" s="227" t="n"/>
      <c r="Q281" s="227" t="n"/>
      <c r="R281" s="227" t="n"/>
      <c r="S281" s="227" t="n"/>
      <c r="T281" s="227" t="n"/>
    </row>
    <row r="282">
      <c r="A282" s="145">
        <f>IF($B282="","",ROW()-5)</f>
        <v/>
      </c>
      <c r="B282" s="127" t="n"/>
      <c r="C282" s="223" t="n"/>
      <c r="D282" s="127" t="n"/>
      <c r="E282" s="227" t="n"/>
      <c r="F282" s="227" t="n"/>
      <c r="G282" s="227" t="n"/>
      <c r="H282" s="227" t="n"/>
      <c r="I282" s="227" t="n"/>
      <c r="J282" s="227" t="n"/>
      <c r="K282" s="227" t="n"/>
      <c r="L282" s="227" t="n"/>
      <c r="M282" s="227" t="n"/>
      <c r="N282" s="127" t="n"/>
      <c r="O282" s="227" t="n"/>
      <c r="P282" s="227" t="n"/>
      <c r="Q282" s="227" t="n"/>
      <c r="R282" s="227" t="n"/>
      <c r="S282" s="227" t="n"/>
      <c r="T282" s="227" t="n"/>
    </row>
    <row r="283">
      <c r="A283" s="145">
        <f>IF($B283="","",ROW()-5)</f>
        <v/>
      </c>
      <c r="B283" s="127" t="n"/>
      <c r="C283" s="223" t="n"/>
      <c r="D283" s="127" t="n"/>
      <c r="E283" s="227" t="n"/>
      <c r="F283" s="227" t="n"/>
      <c r="G283" s="227" t="n"/>
      <c r="H283" s="227" t="n"/>
      <c r="I283" s="227" t="n"/>
      <c r="J283" s="227" t="n"/>
      <c r="K283" s="227" t="n"/>
      <c r="L283" s="227" t="n"/>
      <c r="M283" s="227" t="n"/>
      <c r="N283" s="127" t="n"/>
      <c r="O283" s="227" t="n"/>
      <c r="P283" s="227" t="n"/>
      <c r="Q283" s="227" t="n"/>
      <c r="R283" s="227" t="n"/>
      <c r="S283" s="227" t="n"/>
      <c r="T283" s="227" t="n"/>
    </row>
    <row r="284">
      <c r="A284" s="145">
        <f>IF($B284="","",ROW()-5)</f>
        <v/>
      </c>
      <c r="B284" s="127" t="n"/>
      <c r="C284" s="223" t="n"/>
      <c r="D284" s="127" t="n"/>
      <c r="E284" s="227" t="n"/>
      <c r="F284" s="227" t="n"/>
      <c r="G284" s="227" t="n"/>
      <c r="H284" s="227" t="n"/>
      <c r="I284" s="227" t="n"/>
      <c r="J284" s="227" t="n"/>
      <c r="K284" s="227" t="n"/>
      <c r="L284" s="227" t="n"/>
      <c r="M284" s="227" t="n"/>
      <c r="N284" s="127" t="n"/>
      <c r="O284" s="227" t="n"/>
      <c r="P284" s="227" t="n"/>
      <c r="Q284" s="227" t="n"/>
      <c r="R284" s="227" t="n"/>
      <c r="S284" s="227" t="n"/>
      <c r="T284" s="227" t="n"/>
    </row>
    <row r="285">
      <c r="A285" s="145">
        <f>IF($B285="","",ROW()-5)</f>
        <v/>
      </c>
      <c r="B285" s="127" t="n"/>
      <c r="C285" s="223" t="n"/>
      <c r="D285" s="127" t="n"/>
      <c r="E285" s="227" t="n"/>
      <c r="F285" s="227" t="n"/>
      <c r="G285" s="227" t="n"/>
      <c r="H285" s="227" t="n"/>
      <c r="I285" s="227" t="n"/>
      <c r="J285" s="227" t="n"/>
      <c r="K285" s="227" t="n"/>
      <c r="L285" s="227" t="n"/>
      <c r="M285" s="227" t="n"/>
      <c r="N285" s="127" t="n"/>
      <c r="O285" s="227" t="n"/>
      <c r="P285" s="227" t="n"/>
      <c r="Q285" s="227" t="n"/>
      <c r="R285" s="227" t="n"/>
      <c r="S285" s="227" t="n"/>
      <c r="T285" s="227" t="n"/>
    </row>
    <row r="286">
      <c r="A286" s="145">
        <f>IF($B286="","",ROW()-5)</f>
        <v/>
      </c>
      <c r="B286" s="127" t="n"/>
      <c r="C286" s="223" t="n"/>
      <c r="D286" s="127" t="n"/>
      <c r="E286" s="227" t="n"/>
      <c r="F286" s="227" t="n"/>
      <c r="G286" s="227" t="n"/>
      <c r="H286" s="227" t="n"/>
      <c r="I286" s="227" t="n"/>
      <c r="J286" s="227" t="n"/>
      <c r="K286" s="227" t="n"/>
      <c r="L286" s="227" t="n"/>
      <c r="M286" s="227" t="n"/>
      <c r="N286" s="127" t="n"/>
      <c r="O286" s="227" t="n"/>
      <c r="P286" s="227" t="n"/>
      <c r="Q286" s="227" t="n"/>
      <c r="R286" s="227" t="n"/>
      <c r="S286" s="227" t="n"/>
      <c r="T286" s="227" t="n"/>
    </row>
    <row r="287">
      <c r="A287" s="145">
        <f>IF($B287="","",ROW()-5)</f>
        <v/>
      </c>
      <c r="B287" s="127" t="n"/>
      <c r="C287" s="223" t="n"/>
      <c r="D287" s="127" t="n"/>
      <c r="E287" s="227" t="n"/>
      <c r="F287" s="227" t="n"/>
      <c r="G287" s="227" t="n"/>
      <c r="H287" s="227" t="n"/>
      <c r="I287" s="227" t="n"/>
      <c r="J287" s="227" t="n"/>
      <c r="K287" s="227" t="n"/>
      <c r="L287" s="227" t="n"/>
      <c r="M287" s="227" t="n"/>
      <c r="N287" s="127" t="n"/>
      <c r="O287" s="227" t="n"/>
      <c r="P287" s="227" t="n"/>
      <c r="Q287" s="227" t="n"/>
      <c r="R287" s="227" t="n"/>
      <c r="S287" s="227" t="n"/>
      <c r="T287" s="227" t="n"/>
    </row>
    <row r="288">
      <c r="A288" s="145">
        <f>IF($B288="","",ROW()-5)</f>
        <v/>
      </c>
      <c r="B288" s="127" t="n"/>
      <c r="C288" s="223" t="n"/>
      <c r="D288" s="127" t="n"/>
      <c r="E288" s="227" t="n"/>
      <c r="F288" s="227" t="n"/>
      <c r="G288" s="227" t="n"/>
      <c r="H288" s="227" t="n"/>
      <c r="I288" s="227" t="n"/>
      <c r="J288" s="227" t="n"/>
      <c r="K288" s="227" t="n"/>
      <c r="L288" s="227" t="n"/>
      <c r="M288" s="227" t="n"/>
      <c r="N288" s="127" t="n"/>
      <c r="O288" s="227" t="n"/>
      <c r="P288" s="227" t="n"/>
      <c r="Q288" s="227" t="n"/>
      <c r="R288" s="227" t="n"/>
      <c r="S288" s="227" t="n"/>
      <c r="T288" s="227" t="n"/>
    </row>
    <row r="289">
      <c r="A289" s="145">
        <f>IF($B289="","",ROW()-5)</f>
        <v/>
      </c>
      <c r="B289" s="127" t="n"/>
      <c r="C289" s="223" t="n"/>
      <c r="D289" s="127" t="n"/>
      <c r="E289" s="227" t="n"/>
      <c r="F289" s="227" t="n"/>
      <c r="G289" s="227" t="n"/>
      <c r="H289" s="227" t="n"/>
      <c r="I289" s="227" t="n"/>
      <c r="J289" s="227" t="n"/>
      <c r="K289" s="227" t="n"/>
      <c r="L289" s="227" t="n"/>
      <c r="M289" s="227" t="n"/>
      <c r="N289" s="127" t="n"/>
      <c r="O289" s="227" t="n"/>
      <c r="P289" s="227" t="n"/>
      <c r="Q289" s="227" t="n"/>
      <c r="R289" s="227" t="n"/>
      <c r="S289" s="227" t="n"/>
      <c r="T289" s="227" t="n"/>
    </row>
    <row r="290">
      <c r="A290" s="145">
        <f>IF($B290="","",ROW()-5)</f>
        <v/>
      </c>
      <c r="B290" s="127" t="n"/>
      <c r="C290" s="223" t="n"/>
      <c r="D290" s="127" t="n"/>
      <c r="E290" s="227" t="n"/>
      <c r="F290" s="227" t="n"/>
      <c r="G290" s="227" t="n"/>
      <c r="H290" s="227" t="n"/>
      <c r="I290" s="227" t="n"/>
      <c r="J290" s="227" t="n"/>
      <c r="K290" s="227" t="n"/>
      <c r="L290" s="227" t="n"/>
      <c r="M290" s="227" t="n"/>
      <c r="N290" s="127" t="n"/>
      <c r="O290" s="227" t="n"/>
      <c r="P290" s="227" t="n"/>
      <c r="Q290" s="227" t="n"/>
      <c r="R290" s="227" t="n"/>
      <c r="S290" s="227" t="n"/>
      <c r="T290" s="227" t="n"/>
    </row>
    <row r="291">
      <c r="A291" s="145">
        <f>IF($B291="","",ROW()-5)</f>
        <v/>
      </c>
      <c r="B291" s="127" t="n"/>
      <c r="C291" s="223" t="n"/>
      <c r="D291" s="127" t="n"/>
      <c r="E291" s="227" t="n"/>
      <c r="F291" s="227" t="n"/>
      <c r="G291" s="227" t="n"/>
      <c r="H291" s="227" t="n"/>
      <c r="I291" s="227" t="n"/>
      <c r="J291" s="227" t="n"/>
      <c r="K291" s="227" t="n"/>
      <c r="L291" s="227" t="n"/>
      <c r="M291" s="227" t="n"/>
      <c r="N291" s="127" t="n"/>
      <c r="O291" s="227" t="n"/>
      <c r="P291" s="227" t="n"/>
      <c r="Q291" s="227" t="n"/>
      <c r="R291" s="227" t="n"/>
      <c r="S291" s="227" t="n"/>
      <c r="T291" s="227" t="n"/>
    </row>
    <row r="292">
      <c r="A292" s="145">
        <f>IF($B292="","",ROW()-5)</f>
        <v/>
      </c>
      <c r="B292" s="127" t="n"/>
      <c r="C292" s="223" t="n"/>
      <c r="D292" s="127" t="n"/>
      <c r="E292" s="227" t="n"/>
      <c r="F292" s="227" t="n"/>
      <c r="G292" s="227" t="n"/>
      <c r="H292" s="227" t="n"/>
      <c r="I292" s="227" t="n"/>
      <c r="J292" s="227" t="n"/>
      <c r="K292" s="227" t="n"/>
      <c r="L292" s="227" t="n"/>
      <c r="M292" s="227" t="n"/>
      <c r="N292" s="127" t="n"/>
      <c r="O292" s="227" t="n"/>
      <c r="P292" s="227" t="n"/>
      <c r="Q292" s="227" t="n"/>
      <c r="R292" s="227" t="n"/>
      <c r="S292" s="227" t="n"/>
      <c r="T292" s="227" t="n"/>
    </row>
    <row r="293">
      <c r="A293" s="145">
        <f>IF($B293="","",ROW()-5)</f>
        <v/>
      </c>
      <c r="B293" s="127" t="n"/>
      <c r="C293" s="223" t="n"/>
      <c r="D293" s="127" t="n"/>
      <c r="E293" s="227" t="n"/>
      <c r="F293" s="227" t="n"/>
      <c r="G293" s="227" t="n"/>
      <c r="H293" s="227" t="n"/>
      <c r="I293" s="227" t="n"/>
      <c r="J293" s="227" t="n"/>
      <c r="K293" s="227" t="n"/>
      <c r="L293" s="227" t="n"/>
      <c r="M293" s="227" t="n"/>
      <c r="N293" s="127" t="n"/>
      <c r="O293" s="227" t="n"/>
      <c r="P293" s="227" t="n"/>
      <c r="Q293" s="227" t="n"/>
      <c r="R293" s="227" t="n"/>
      <c r="S293" s="227" t="n"/>
      <c r="T293" s="227" t="n"/>
    </row>
    <row r="294">
      <c r="A294" s="145">
        <f>IF($B294="","",ROW()-5)</f>
        <v/>
      </c>
      <c r="B294" s="127" t="n"/>
      <c r="C294" s="223" t="n"/>
      <c r="D294" s="127" t="n"/>
      <c r="E294" s="227" t="n"/>
      <c r="F294" s="227" t="n"/>
      <c r="G294" s="227" t="n"/>
      <c r="H294" s="227" t="n"/>
      <c r="I294" s="227" t="n"/>
      <c r="J294" s="227" t="n"/>
      <c r="K294" s="227" t="n"/>
      <c r="L294" s="227" t="n"/>
      <c r="M294" s="227" t="n"/>
      <c r="N294" s="127" t="n"/>
      <c r="O294" s="227" t="n"/>
      <c r="P294" s="227" t="n"/>
      <c r="Q294" s="227" t="n"/>
      <c r="R294" s="227" t="n"/>
      <c r="S294" s="227" t="n"/>
      <c r="T294" s="227" t="n"/>
    </row>
    <row r="295">
      <c r="A295" s="145">
        <f>IF($B295="","",ROW()-5)</f>
        <v/>
      </c>
      <c r="B295" s="127" t="n"/>
      <c r="C295" s="223" t="n"/>
      <c r="D295" s="127" t="n"/>
      <c r="E295" s="227" t="n"/>
      <c r="F295" s="227" t="n"/>
      <c r="G295" s="227" t="n"/>
      <c r="H295" s="227" t="n"/>
      <c r="I295" s="227" t="n"/>
      <c r="J295" s="227" t="n"/>
      <c r="K295" s="227" t="n"/>
      <c r="L295" s="227" t="n"/>
      <c r="M295" s="227" t="n"/>
      <c r="N295" s="127" t="n"/>
      <c r="O295" s="227" t="n"/>
      <c r="P295" s="227" t="n"/>
      <c r="Q295" s="227" t="n"/>
      <c r="R295" s="227" t="n"/>
      <c r="S295" s="227" t="n"/>
      <c r="T295" s="227" t="n"/>
    </row>
    <row r="296">
      <c r="A296" s="145">
        <f>IF($B296="","",ROW()-5)</f>
        <v/>
      </c>
      <c r="B296" s="127" t="n"/>
      <c r="C296" s="223" t="n"/>
      <c r="D296" s="127" t="n"/>
      <c r="E296" s="227" t="n"/>
      <c r="F296" s="227" t="n"/>
      <c r="G296" s="227" t="n"/>
      <c r="H296" s="227" t="n"/>
      <c r="I296" s="227" t="n"/>
      <c r="J296" s="227" t="n"/>
      <c r="K296" s="227" t="n"/>
      <c r="L296" s="227" t="n"/>
      <c r="M296" s="227" t="n"/>
      <c r="N296" s="127" t="n"/>
      <c r="O296" s="227" t="n"/>
      <c r="P296" s="227" t="n"/>
      <c r="Q296" s="227" t="n"/>
      <c r="R296" s="227" t="n"/>
      <c r="S296" s="227" t="n"/>
      <c r="T296" s="227" t="n"/>
    </row>
    <row r="297">
      <c r="A297" s="145">
        <f>IF($B297="","",ROW()-5)</f>
        <v/>
      </c>
      <c r="B297" s="127" t="n"/>
      <c r="C297" s="223" t="n"/>
      <c r="D297" s="127" t="n"/>
      <c r="E297" s="227" t="n"/>
      <c r="F297" s="227" t="n"/>
      <c r="G297" s="227" t="n"/>
      <c r="H297" s="227" t="n"/>
      <c r="I297" s="227" t="n"/>
      <c r="J297" s="227" t="n"/>
      <c r="K297" s="227" t="n"/>
      <c r="L297" s="227" t="n"/>
      <c r="M297" s="227" t="n"/>
      <c r="N297" s="127" t="n"/>
      <c r="O297" s="227" t="n"/>
      <c r="P297" s="227" t="n"/>
      <c r="Q297" s="227" t="n"/>
      <c r="R297" s="227" t="n"/>
      <c r="S297" s="227" t="n"/>
      <c r="T297" s="227" t="n"/>
    </row>
    <row r="298">
      <c r="A298" s="145">
        <f>IF($B298="","",ROW()-5)</f>
        <v/>
      </c>
      <c r="B298" s="127" t="n"/>
      <c r="C298" s="223" t="n"/>
      <c r="D298" s="127" t="n"/>
      <c r="E298" s="227" t="n"/>
      <c r="F298" s="227" t="n"/>
      <c r="G298" s="227" t="n"/>
      <c r="H298" s="227" t="n"/>
      <c r="I298" s="227" t="n"/>
      <c r="J298" s="227" t="n"/>
      <c r="K298" s="227" t="n"/>
      <c r="L298" s="227" t="n"/>
      <c r="M298" s="227" t="n"/>
      <c r="N298" s="127" t="n"/>
      <c r="O298" s="227" t="n"/>
      <c r="P298" s="227" t="n"/>
      <c r="Q298" s="227" t="n"/>
      <c r="R298" s="227" t="n"/>
      <c r="S298" s="227" t="n"/>
      <c r="T298" s="227" t="n"/>
    </row>
    <row r="299">
      <c r="A299" s="145">
        <f>IF($B299="","",ROW()-5)</f>
        <v/>
      </c>
      <c r="B299" s="127" t="n"/>
      <c r="C299" s="223" t="n"/>
      <c r="D299" s="127" t="n"/>
      <c r="E299" s="227" t="n"/>
      <c r="F299" s="227" t="n"/>
      <c r="G299" s="227" t="n"/>
      <c r="H299" s="227" t="n"/>
      <c r="I299" s="227" t="n"/>
      <c r="J299" s="227" t="n"/>
      <c r="K299" s="227" t="n"/>
      <c r="L299" s="227" t="n"/>
      <c r="M299" s="227" t="n"/>
      <c r="N299" s="127" t="n"/>
      <c r="O299" s="227" t="n"/>
      <c r="P299" s="227" t="n"/>
      <c r="Q299" s="227" t="n"/>
      <c r="R299" s="227" t="n"/>
      <c r="S299" s="227" t="n"/>
      <c r="T299" s="227" t="n"/>
    </row>
    <row r="300">
      <c r="A300" s="145">
        <f>IF($B300="","",ROW()-5)</f>
        <v/>
      </c>
      <c r="B300" s="127" t="n"/>
      <c r="C300" s="223" t="n"/>
      <c r="D300" s="127" t="n"/>
      <c r="E300" s="227" t="n"/>
      <c r="F300" s="227" t="n"/>
      <c r="G300" s="227" t="n"/>
      <c r="H300" s="227" t="n"/>
      <c r="I300" s="227" t="n"/>
      <c r="J300" s="227" t="n"/>
      <c r="K300" s="227" t="n"/>
      <c r="L300" s="227" t="n"/>
      <c r="M300" s="227" t="n"/>
      <c r="N300" s="127" t="n"/>
      <c r="O300" s="227" t="n"/>
      <c r="P300" s="227" t="n"/>
      <c r="Q300" s="227" t="n"/>
      <c r="R300" s="227" t="n"/>
      <c r="S300" s="227" t="n"/>
      <c r="T300" s="227" t="n"/>
    </row>
    <row r="301">
      <c r="A301" s="145">
        <f>IF($B301="","",ROW()-5)</f>
        <v/>
      </c>
      <c r="B301" s="127" t="n"/>
      <c r="C301" s="223" t="n"/>
      <c r="D301" s="127" t="n"/>
      <c r="E301" s="227" t="n"/>
      <c r="F301" s="227" t="n"/>
      <c r="G301" s="227" t="n"/>
      <c r="H301" s="227" t="n"/>
      <c r="I301" s="227" t="n"/>
      <c r="J301" s="227" t="n"/>
      <c r="K301" s="227" t="n"/>
      <c r="L301" s="227" t="n"/>
      <c r="M301" s="227" t="n"/>
      <c r="N301" s="127" t="n"/>
      <c r="O301" s="227" t="n"/>
      <c r="P301" s="227" t="n"/>
      <c r="Q301" s="227" t="n"/>
      <c r="R301" s="227" t="n"/>
      <c r="S301" s="227" t="n"/>
      <c r="T301" s="227" t="n"/>
    </row>
    <row r="302">
      <c r="A302" s="145">
        <f>IF($B302="","",ROW()-5)</f>
        <v/>
      </c>
      <c r="B302" s="127" t="n"/>
      <c r="C302" s="223" t="n"/>
      <c r="D302" s="127" t="n"/>
      <c r="E302" s="227" t="n"/>
      <c r="F302" s="227" t="n"/>
      <c r="G302" s="227" t="n"/>
      <c r="H302" s="227" t="n"/>
      <c r="I302" s="227" t="n"/>
      <c r="J302" s="227" t="n"/>
      <c r="K302" s="227" t="n"/>
      <c r="L302" s="227" t="n"/>
      <c r="M302" s="227" t="n"/>
      <c r="N302" s="127" t="n"/>
      <c r="O302" s="227" t="n"/>
      <c r="P302" s="227" t="n"/>
      <c r="Q302" s="227" t="n"/>
      <c r="R302" s="227" t="n"/>
      <c r="S302" s="227" t="n"/>
      <c r="T302" s="227" t="n"/>
    </row>
    <row r="303">
      <c r="A303" s="145">
        <f>IF($B303="","",ROW()-5)</f>
        <v/>
      </c>
      <c r="B303" s="127" t="n"/>
      <c r="C303" s="223" t="n"/>
      <c r="D303" s="127" t="n"/>
      <c r="E303" s="227" t="n"/>
      <c r="F303" s="227" t="n"/>
      <c r="G303" s="227" t="n"/>
      <c r="H303" s="227" t="n"/>
      <c r="I303" s="227" t="n"/>
      <c r="J303" s="227" t="n"/>
      <c r="K303" s="227" t="n"/>
      <c r="L303" s="227" t="n"/>
      <c r="M303" s="227" t="n"/>
      <c r="N303" s="127" t="n"/>
      <c r="O303" s="227" t="n"/>
      <c r="P303" s="227" t="n"/>
      <c r="Q303" s="227" t="n"/>
      <c r="R303" s="227" t="n"/>
      <c r="S303" s="227" t="n"/>
      <c r="T303" s="227" t="n"/>
    </row>
    <row r="304">
      <c r="A304" s="145">
        <f>IF($B304="","",ROW()-5)</f>
        <v/>
      </c>
      <c r="B304" s="127" t="n"/>
      <c r="C304" s="223" t="n"/>
      <c r="D304" s="127" t="n"/>
      <c r="E304" s="227" t="n"/>
      <c r="F304" s="227" t="n"/>
      <c r="G304" s="227" t="n"/>
      <c r="H304" s="227" t="n"/>
      <c r="I304" s="227" t="n"/>
      <c r="J304" s="227" t="n"/>
      <c r="K304" s="227" t="n"/>
      <c r="L304" s="227" t="n"/>
      <c r="M304" s="227" t="n"/>
      <c r="N304" s="127" t="n"/>
      <c r="O304" s="227" t="n"/>
      <c r="P304" s="227" t="n"/>
      <c r="Q304" s="227" t="n"/>
      <c r="R304" s="227" t="n"/>
      <c r="S304" s="227" t="n"/>
      <c r="T304" s="227" t="n"/>
    </row>
    <row r="305">
      <c r="A305" s="145">
        <f>IF($B305="","",ROW()-5)</f>
        <v/>
      </c>
      <c r="B305" s="127" t="n"/>
      <c r="C305" s="223" t="n"/>
      <c r="D305" s="127" t="n"/>
      <c r="E305" s="227" t="n"/>
      <c r="F305" s="227" t="n"/>
      <c r="G305" s="227" t="n"/>
      <c r="H305" s="227" t="n"/>
      <c r="I305" s="227" t="n"/>
      <c r="J305" s="227" t="n"/>
      <c r="K305" s="227" t="n"/>
      <c r="L305" s="227" t="n"/>
      <c r="M305" s="227" t="n"/>
      <c r="N305" s="127" t="n"/>
      <c r="O305" s="227" t="n"/>
      <c r="P305" s="227" t="n"/>
      <c r="Q305" s="227" t="n"/>
      <c r="R305" s="227" t="n"/>
      <c r="S305" s="227" t="n"/>
      <c r="T305" s="227" t="n"/>
    </row>
    <row r="306">
      <c r="A306" s="145">
        <f>IF($B306="","",ROW()-5)</f>
        <v/>
      </c>
      <c r="B306" s="127" t="n"/>
      <c r="C306" s="223" t="n"/>
      <c r="D306" s="127" t="n"/>
      <c r="E306" s="227" t="n"/>
      <c r="F306" s="227" t="n"/>
      <c r="G306" s="227" t="n"/>
      <c r="H306" s="227" t="n"/>
      <c r="I306" s="227" t="n"/>
      <c r="J306" s="227" t="n"/>
      <c r="K306" s="227" t="n"/>
      <c r="L306" s="227" t="n"/>
      <c r="M306" s="227" t="n"/>
      <c r="N306" s="127" t="n"/>
      <c r="O306" s="227" t="n"/>
      <c r="P306" s="227" t="n"/>
      <c r="Q306" s="227" t="n"/>
      <c r="R306" s="227" t="n"/>
      <c r="S306" s="227" t="n"/>
      <c r="T306" s="227" t="n"/>
    </row>
    <row r="307">
      <c r="A307" s="145">
        <f>IF($B307="","",ROW()-5)</f>
        <v/>
      </c>
      <c r="B307" s="127" t="n"/>
      <c r="C307" s="223" t="n"/>
      <c r="D307" s="127" t="n"/>
      <c r="E307" s="227" t="n"/>
      <c r="F307" s="227" t="n"/>
      <c r="G307" s="227" t="n"/>
      <c r="H307" s="227" t="n"/>
      <c r="I307" s="227" t="n"/>
      <c r="J307" s="227" t="n"/>
      <c r="K307" s="227" t="n"/>
      <c r="L307" s="227" t="n"/>
      <c r="M307" s="227" t="n"/>
      <c r="N307" s="127" t="n"/>
      <c r="O307" s="227" t="n"/>
      <c r="P307" s="227" t="n"/>
      <c r="Q307" s="227" t="n"/>
      <c r="R307" s="227" t="n"/>
      <c r="S307" s="227" t="n"/>
      <c r="T307" s="227" t="n"/>
    </row>
    <row r="308">
      <c r="A308" s="145">
        <f>IF($B308="","",ROW()-5)</f>
        <v/>
      </c>
      <c r="B308" s="127" t="n"/>
      <c r="C308" s="223" t="n"/>
      <c r="D308" s="127" t="n"/>
      <c r="E308" s="227" t="n"/>
      <c r="F308" s="227" t="n"/>
      <c r="G308" s="227" t="n"/>
      <c r="H308" s="227" t="n"/>
      <c r="I308" s="227" t="n"/>
      <c r="J308" s="227" t="n"/>
      <c r="K308" s="227" t="n"/>
      <c r="L308" s="227" t="n"/>
      <c r="M308" s="227" t="n"/>
      <c r="N308" s="127" t="n"/>
      <c r="O308" s="227" t="n"/>
      <c r="P308" s="227" t="n"/>
      <c r="Q308" s="227" t="n"/>
      <c r="R308" s="227" t="n"/>
      <c r="S308" s="227" t="n"/>
      <c r="T308" s="227" t="n"/>
    </row>
    <row r="309">
      <c r="A309" s="145">
        <f>IF($B309="","",ROW()-5)</f>
        <v/>
      </c>
      <c r="B309" s="127" t="n"/>
      <c r="C309" s="223" t="n"/>
      <c r="D309" s="127" t="n"/>
      <c r="E309" s="227" t="n"/>
      <c r="F309" s="227" t="n"/>
      <c r="G309" s="227" t="n"/>
      <c r="H309" s="227" t="n"/>
      <c r="I309" s="227" t="n"/>
      <c r="J309" s="227" t="n"/>
      <c r="K309" s="227" t="n"/>
      <c r="L309" s="227" t="n"/>
      <c r="M309" s="227" t="n"/>
      <c r="N309" s="127" t="n"/>
      <c r="O309" s="227" t="n"/>
      <c r="P309" s="227" t="n"/>
      <c r="Q309" s="227" t="n"/>
      <c r="R309" s="227" t="n"/>
      <c r="S309" s="227" t="n"/>
      <c r="T309" s="227" t="n"/>
    </row>
    <row r="310">
      <c r="A310" s="145">
        <f>IF($B310="","",ROW()-5)</f>
        <v/>
      </c>
      <c r="B310" s="127" t="n"/>
      <c r="C310" s="223" t="n"/>
      <c r="D310" s="127" t="n"/>
      <c r="E310" s="227" t="n"/>
      <c r="F310" s="227" t="n"/>
      <c r="G310" s="227" t="n"/>
      <c r="H310" s="227" t="n"/>
      <c r="I310" s="227" t="n"/>
      <c r="J310" s="227" t="n"/>
      <c r="K310" s="227" t="n"/>
      <c r="L310" s="227" t="n"/>
      <c r="M310" s="227" t="n"/>
      <c r="N310" s="127" t="n"/>
      <c r="O310" s="227" t="n"/>
      <c r="P310" s="227" t="n"/>
      <c r="Q310" s="227" t="n"/>
      <c r="R310" s="227" t="n"/>
      <c r="S310" s="227" t="n"/>
      <c r="T310" s="227" t="n"/>
    </row>
    <row r="311">
      <c r="A311" s="145">
        <f>IF($B311="","",ROW()-5)</f>
        <v/>
      </c>
      <c r="B311" s="127" t="n"/>
      <c r="C311" s="223" t="n"/>
      <c r="D311" s="127" t="n"/>
      <c r="E311" s="227" t="n"/>
      <c r="F311" s="227" t="n"/>
      <c r="G311" s="227" t="n"/>
      <c r="H311" s="227" t="n"/>
      <c r="I311" s="227" t="n"/>
      <c r="J311" s="227" t="n"/>
      <c r="K311" s="227" t="n"/>
      <c r="L311" s="227" t="n"/>
      <c r="M311" s="227" t="n"/>
      <c r="N311" s="127" t="n"/>
      <c r="O311" s="227" t="n"/>
      <c r="P311" s="227" t="n"/>
      <c r="Q311" s="227" t="n"/>
      <c r="R311" s="227" t="n"/>
      <c r="S311" s="227" t="n"/>
      <c r="T311" s="227" t="n"/>
    </row>
    <row r="312">
      <c r="A312" s="145">
        <f>IF($B312="","",ROW()-5)</f>
        <v/>
      </c>
      <c r="B312" s="127" t="n"/>
      <c r="C312" s="223" t="n"/>
      <c r="D312" s="127" t="n"/>
      <c r="E312" s="227" t="n"/>
      <c r="F312" s="227" t="n"/>
      <c r="G312" s="227" t="n"/>
      <c r="H312" s="227" t="n"/>
      <c r="I312" s="227" t="n"/>
      <c r="J312" s="227" t="n"/>
      <c r="K312" s="227" t="n"/>
      <c r="L312" s="227" t="n"/>
      <c r="M312" s="227" t="n"/>
      <c r="N312" s="127" t="n"/>
      <c r="O312" s="227" t="n"/>
      <c r="P312" s="227" t="n"/>
      <c r="Q312" s="227" t="n"/>
      <c r="R312" s="227" t="n"/>
      <c r="S312" s="227" t="n"/>
      <c r="T312" s="227" t="n"/>
    </row>
    <row r="313">
      <c r="A313" s="145">
        <f>IF($B313="","",ROW()-5)</f>
        <v/>
      </c>
      <c r="B313" s="127" t="n"/>
      <c r="C313" s="223" t="n"/>
      <c r="D313" s="127" t="n"/>
      <c r="E313" s="227" t="n"/>
      <c r="F313" s="227" t="n"/>
      <c r="G313" s="227" t="n"/>
      <c r="H313" s="227" t="n"/>
      <c r="I313" s="227" t="n"/>
      <c r="J313" s="227" t="n"/>
      <c r="K313" s="227" t="n"/>
      <c r="L313" s="227" t="n"/>
      <c r="M313" s="227" t="n"/>
      <c r="N313" s="127" t="n"/>
      <c r="O313" s="227" t="n"/>
      <c r="P313" s="227" t="n"/>
      <c r="Q313" s="227" t="n"/>
      <c r="R313" s="227" t="n"/>
      <c r="S313" s="227" t="n"/>
      <c r="T313" s="227" t="n"/>
    </row>
    <row r="314">
      <c r="A314" s="145">
        <f>IF($B314="","",ROW()-5)</f>
        <v/>
      </c>
      <c r="B314" s="127" t="n"/>
      <c r="C314" s="223" t="n"/>
      <c r="D314" s="127" t="n"/>
      <c r="E314" s="227" t="n"/>
      <c r="F314" s="227" t="n"/>
      <c r="G314" s="227" t="n"/>
      <c r="H314" s="227" t="n"/>
      <c r="I314" s="227" t="n"/>
      <c r="J314" s="227" t="n"/>
      <c r="K314" s="227" t="n"/>
      <c r="L314" s="227" t="n"/>
      <c r="M314" s="227" t="n"/>
      <c r="N314" s="127" t="n"/>
      <c r="O314" s="227" t="n"/>
      <c r="P314" s="227" t="n"/>
      <c r="Q314" s="227" t="n"/>
      <c r="R314" s="227" t="n"/>
      <c r="S314" s="227" t="n"/>
      <c r="T314" s="227" t="n"/>
    </row>
    <row r="315">
      <c r="A315" s="145">
        <f>IF($B315="","",ROW()-5)</f>
        <v/>
      </c>
      <c r="B315" s="127" t="n"/>
      <c r="C315" s="223" t="n"/>
      <c r="D315" s="127" t="n"/>
      <c r="E315" s="227" t="n"/>
      <c r="F315" s="227" t="n"/>
      <c r="G315" s="227" t="n"/>
      <c r="H315" s="227" t="n"/>
      <c r="I315" s="227" t="n"/>
      <c r="J315" s="227" t="n"/>
      <c r="K315" s="227" t="n"/>
      <c r="L315" s="227" t="n"/>
      <c r="M315" s="227" t="n"/>
      <c r="N315" s="127" t="n"/>
      <c r="O315" s="227" t="n"/>
      <c r="P315" s="227" t="n"/>
      <c r="Q315" s="227" t="n"/>
      <c r="R315" s="227" t="n"/>
      <c r="S315" s="227" t="n"/>
      <c r="T315" s="227" t="n"/>
    </row>
    <row r="316">
      <c r="A316" s="145">
        <f>IF($B316="","",ROW()-5)</f>
        <v/>
      </c>
      <c r="B316" s="127" t="n"/>
      <c r="C316" s="223" t="n"/>
      <c r="D316" s="127" t="n"/>
      <c r="E316" s="227" t="n"/>
      <c r="F316" s="227" t="n"/>
      <c r="G316" s="227" t="n"/>
      <c r="H316" s="227" t="n"/>
      <c r="I316" s="227" t="n"/>
      <c r="J316" s="227" t="n"/>
      <c r="K316" s="227" t="n"/>
      <c r="L316" s="227" t="n"/>
      <c r="M316" s="227" t="n"/>
      <c r="N316" s="127" t="n"/>
      <c r="O316" s="227" t="n"/>
      <c r="P316" s="227" t="n"/>
      <c r="Q316" s="227" t="n"/>
      <c r="R316" s="227" t="n"/>
      <c r="S316" s="227" t="n"/>
      <c r="T316" s="227" t="n"/>
    </row>
    <row r="317">
      <c r="A317" s="145">
        <f>IF($B317="","",ROW()-5)</f>
        <v/>
      </c>
      <c r="B317" s="127" t="n"/>
      <c r="C317" s="223" t="n"/>
      <c r="D317" s="127" t="n"/>
      <c r="E317" s="227" t="n"/>
      <c r="F317" s="227" t="n"/>
      <c r="G317" s="227" t="n"/>
      <c r="H317" s="227" t="n"/>
      <c r="I317" s="227" t="n"/>
      <c r="J317" s="227" t="n"/>
      <c r="K317" s="227" t="n"/>
      <c r="L317" s="227" t="n"/>
      <c r="M317" s="227" t="n"/>
      <c r="N317" s="127" t="n"/>
      <c r="O317" s="227" t="n"/>
      <c r="P317" s="227" t="n"/>
      <c r="Q317" s="227" t="n"/>
      <c r="R317" s="227" t="n"/>
      <c r="S317" s="227" t="n"/>
      <c r="T317" s="227" t="n"/>
    </row>
    <row r="318">
      <c r="A318" s="145">
        <f>IF($B318="","",ROW()-5)</f>
        <v/>
      </c>
      <c r="B318" s="127" t="n"/>
      <c r="C318" s="223" t="n"/>
      <c r="D318" s="127" t="n"/>
      <c r="E318" s="227" t="n"/>
      <c r="F318" s="227" t="n"/>
      <c r="G318" s="227" t="n"/>
      <c r="H318" s="227" t="n"/>
      <c r="I318" s="227" t="n"/>
      <c r="J318" s="227" t="n"/>
      <c r="K318" s="227" t="n"/>
      <c r="L318" s="227" t="n"/>
      <c r="M318" s="227" t="n"/>
      <c r="N318" s="127" t="n"/>
      <c r="O318" s="227" t="n"/>
      <c r="P318" s="227" t="n"/>
      <c r="Q318" s="227" t="n"/>
      <c r="R318" s="227" t="n"/>
      <c r="S318" s="227" t="n"/>
      <c r="T318" s="227" t="n"/>
    </row>
    <row r="319">
      <c r="A319" s="145">
        <f>IF($B319="","",ROW()-5)</f>
        <v/>
      </c>
      <c r="B319" s="127" t="n"/>
      <c r="C319" s="223" t="n"/>
      <c r="D319" s="127" t="n"/>
      <c r="E319" s="227" t="n"/>
      <c r="F319" s="227" t="n"/>
      <c r="G319" s="227" t="n"/>
      <c r="H319" s="227" t="n"/>
      <c r="I319" s="227" t="n"/>
      <c r="J319" s="227" t="n"/>
      <c r="K319" s="227" t="n"/>
      <c r="L319" s="227" t="n"/>
      <c r="M319" s="227" t="n"/>
      <c r="N319" s="127" t="n"/>
      <c r="O319" s="227" t="n"/>
      <c r="P319" s="227" t="n"/>
      <c r="Q319" s="227" t="n"/>
      <c r="R319" s="227" t="n"/>
      <c r="S319" s="227" t="n"/>
      <c r="T319" s="227" t="n"/>
    </row>
    <row r="320">
      <c r="A320" s="145">
        <f>IF($B320="","",ROW()-5)</f>
        <v/>
      </c>
      <c r="B320" s="127" t="n"/>
      <c r="C320" s="223" t="n"/>
      <c r="D320" s="127" t="n"/>
      <c r="E320" s="227" t="n"/>
      <c r="F320" s="227" t="n"/>
      <c r="G320" s="227" t="n"/>
      <c r="H320" s="227" t="n"/>
      <c r="I320" s="227" t="n"/>
      <c r="J320" s="227" t="n"/>
      <c r="K320" s="227" t="n"/>
      <c r="L320" s="227" t="n"/>
      <c r="M320" s="227" t="n"/>
      <c r="N320" s="127" t="n"/>
      <c r="O320" s="227" t="n"/>
      <c r="P320" s="227" t="n"/>
      <c r="Q320" s="227" t="n"/>
      <c r="R320" s="227" t="n"/>
      <c r="S320" s="227" t="n"/>
      <c r="T320" s="227" t="n"/>
    </row>
    <row r="321">
      <c r="A321" s="145">
        <f>IF($B321="","",ROW()-5)</f>
        <v/>
      </c>
      <c r="B321" s="127" t="n"/>
      <c r="C321" s="223" t="n"/>
      <c r="D321" s="127" t="n"/>
      <c r="E321" s="227" t="n"/>
      <c r="F321" s="227" t="n"/>
      <c r="G321" s="227" t="n"/>
      <c r="H321" s="227" t="n"/>
      <c r="I321" s="227" t="n"/>
      <c r="J321" s="227" t="n"/>
      <c r="K321" s="227" t="n"/>
      <c r="L321" s="227" t="n"/>
      <c r="M321" s="227" t="n"/>
      <c r="N321" s="127" t="n"/>
      <c r="O321" s="227" t="n"/>
      <c r="P321" s="227" t="n"/>
      <c r="Q321" s="227" t="n"/>
      <c r="R321" s="227" t="n"/>
      <c r="S321" s="227" t="n"/>
      <c r="T321" s="227" t="n"/>
    </row>
    <row r="322">
      <c r="A322" s="145">
        <f>IF($B322="","",ROW()-5)</f>
        <v/>
      </c>
      <c r="B322" s="127" t="n"/>
      <c r="C322" s="223" t="n"/>
      <c r="D322" s="127" t="n"/>
      <c r="E322" s="227" t="n"/>
      <c r="F322" s="227" t="n"/>
      <c r="G322" s="227" t="n"/>
      <c r="H322" s="227" t="n"/>
      <c r="I322" s="227" t="n"/>
      <c r="J322" s="227" t="n"/>
      <c r="K322" s="227" t="n"/>
      <c r="L322" s="227" t="n"/>
      <c r="M322" s="227" t="n"/>
      <c r="N322" s="127" t="n"/>
      <c r="O322" s="227" t="n"/>
      <c r="P322" s="227" t="n"/>
      <c r="Q322" s="227" t="n"/>
      <c r="R322" s="227" t="n"/>
      <c r="S322" s="227" t="n"/>
      <c r="T322" s="227" t="n"/>
    </row>
    <row r="323">
      <c r="A323" s="145">
        <f>IF($B323="","",ROW()-5)</f>
        <v/>
      </c>
      <c r="B323" s="127" t="n"/>
      <c r="C323" s="223" t="n"/>
      <c r="D323" s="127" t="n"/>
      <c r="E323" s="227" t="n"/>
      <c r="F323" s="227" t="n"/>
      <c r="G323" s="227" t="n"/>
      <c r="H323" s="227" t="n"/>
      <c r="I323" s="227" t="n"/>
      <c r="J323" s="227" t="n"/>
      <c r="K323" s="227" t="n"/>
      <c r="L323" s="227" t="n"/>
      <c r="M323" s="227" t="n"/>
      <c r="N323" s="127" t="n"/>
      <c r="O323" s="227" t="n"/>
      <c r="P323" s="227" t="n"/>
      <c r="Q323" s="227" t="n"/>
      <c r="R323" s="227" t="n"/>
      <c r="S323" s="227" t="n"/>
      <c r="T323" s="227" t="n"/>
    </row>
    <row r="324">
      <c r="A324" s="145">
        <f>IF($B324="","",ROW()-5)</f>
        <v/>
      </c>
      <c r="B324" s="127" t="n"/>
      <c r="C324" s="223" t="n"/>
      <c r="D324" s="127" t="n"/>
      <c r="E324" s="227" t="n"/>
      <c r="F324" s="227" t="n"/>
      <c r="G324" s="227" t="n"/>
      <c r="H324" s="227" t="n"/>
      <c r="I324" s="227" t="n"/>
      <c r="J324" s="227" t="n"/>
      <c r="K324" s="227" t="n"/>
      <c r="L324" s="227" t="n"/>
      <c r="M324" s="227" t="n"/>
      <c r="N324" s="127" t="n"/>
      <c r="O324" s="227" t="n"/>
      <c r="P324" s="227" t="n"/>
      <c r="Q324" s="227" t="n"/>
      <c r="R324" s="227" t="n"/>
      <c r="S324" s="227" t="n"/>
      <c r="T324" s="227" t="n"/>
    </row>
    <row r="325">
      <c r="A325" s="145">
        <f>IF($B325="","",ROW()-5)</f>
        <v/>
      </c>
      <c r="B325" s="127" t="n"/>
      <c r="C325" s="223" t="n"/>
      <c r="D325" s="127" t="n"/>
      <c r="E325" s="227" t="n"/>
      <c r="F325" s="227" t="n"/>
      <c r="G325" s="227" t="n"/>
      <c r="H325" s="227" t="n"/>
      <c r="I325" s="227" t="n"/>
      <c r="J325" s="227" t="n"/>
      <c r="K325" s="227" t="n"/>
      <c r="L325" s="227" t="n"/>
      <c r="M325" s="227" t="n"/>
      <c r="N325" s="127" t="n"/>
      <c r="O325" s="227" t="n"/>
      <c r="P325" s="227" t="n"/>
      <c r="Q325" s="227" t="n"/>
      <c r="R325" s="227" t="n"/>
      <c r="S325" s="227" t="n"/>
      <c r="T325" s="227" t="n"/>
    </row>
    <row r="326">
      <c r="A326" s="145">
        <f>IF($B326="","",ROW()-5)</f>
        <v/>
      </c>
      <c r="B326" s="127" t="n"/>
      <c r="C326" s="223" t="n"/>
      <c r="D326" s="127" t="n"/>
      <c r="E326" s="227" t="n"/>
      <c r="F326" s="227" t="n"/>
      <c r="G326" s="227" t="n"/>
      <c r="H326" s="227" t="n"/>
      <c r="I326" s="227" t="n"/>
      <c r="J326" s="227" t="n"/>
      <c r="K326" s="227" t="n"/>
      <c r="L326" s="227" t="n"/>
      <c r="M326" s="227" t="n"/>
      <c r="N326" s="127" t="n"/>
      <c r="O326" s="227" t="n"/>
      <c r="P326" s="227" t="n"/>
      <c r="Q326" s="227" t="n"/>
      <c r="R326" s="227" t="n"/>
      <c r="S326" s="227" t="n"/>
      <c r="T326" s="227" t="n"/>
    </row>
    <row r="327">
      <c r="A327" s="145">
        <f>IF($B327="","",ROW()-5)</f>
        <v/>
      </c>
      <c r="B327" s="127" t="n"/>
      <c r="C327" s="223" t="n"/>
      <c r="D327" s="127" t="n"/>
      <c r="E327" s="227" t="n"/>
      <c r="F327" s="227" t="n"/>
      <c r="G327" s="227" t="n"/>
      <c r="H327" s="227" t="n"/>
      <c r="I327" s="227" t="n"/>
      <c r="J327" s="227" t="n"/>
      <c r="K327" s="227" t="n"/>
      <c r="L327" s="227" t="n"/>
      <c r="M327" s="227" t="n"/>
      <c r="N327" s="127" t="n"/>
      <c r="O327" s="227" t="n"/>
      <c r="P327" s="227" t="n"/>
      <c r="Q327" s="227" t="n"/>
      <c r="R327" s="227" t="n"/>
      <c r="S327" s="227" t="n"/>
      <c r="T327" s="227" t="n"/>
    </row>
    <row r="328">
      <c r="A328" s="145">
        <f>IF($B328="","",ROW()-5)</f>
        <v/>
      </c>
      <c r="B328" s="127" t="n"/>
      <c r="C328" s="223" t="n"/>
      <c r="D328" s="127" t="n"/>
      <c r="E328" s="227" t="n"/>
      <c r="F328" s="227" t="n"/>
      <c r="G328" s="227" t="n"/>
      <c r="H328" s="227" t="n"/>
      <c r="I328" s="227" t="n"/>
      <c r="J328" s="227" t="n"/>
      <c r="K328" s="227" t="n"/>
      <c r="L328" s="227" t="n"/>
      <c r="M328" s="227" t="n"/>
      <c r="N328" s="127" t="n"/>
      <c r="O328" s="227" t="n"/>
      <c r="P328" s="227" t="n"/>
      <c r="Q328" s="227" t="n"/>
      <c r="R328" s="227" t="n"/>
      <c r="S328" s="227" t="n"/>
      <c r="T328" s="227" t="n"/>
    </row>
    <row r="329">
      <c r="A329" s="145">
        <f>IF($B329="","",ROW()-5)</f>
        <v/>
      </c>
      <c r="B329" s="127" t="n"/>
      <c r="C329" s="223" t="n"/>
      <c r="D329" s="127" t="n"/>
      <c r="E329" s="227" t="n"/>
      <c r="F329" s="227" t="n"/>
      <c r="G329" s="227" t="n"/>
      <c r="H329" s="227" t="n"/>
      <c r="I329" s="227" t="n"/>
      <c r="J329" s="227" t="n"/>
      <c r="K329" s="227" t="n"/>
      <c r="L329" s="227" t="n"/>
      <c r="M329" s="227" t="n"/>
      <c r="N329" s="127" t="n"/>
      <c r="O329" s="227" t="n"/>
      <c r="P329" s="227" t="n"/>
      <c r="Q329" s="227" t="n"/>
      <c r="R329" s="227" t="n"/>
      <c r="S329" s="227" t="n"/>
      <c r="T329" s="227" t="n"/>
    </row>
    <row r="330">
      <c r="A330" s="145">
        <f>IF($B330="","",ROW()-5)</f>
        <v/>
      </c>
      <c r="B330" s="127" t="n"/>
      <c r="C330" s="223" t="n"/>
      <c r="D330" s="127" t="n"/>
      <c r="E330" s="227" t="n"/>
      <c r="F330" s="227" t="n"/>
      <c r="G330" s="227" t="n"/>
      <c r="H330" s="227" t="n"/>
      <c r="I330" s="227" t="n"/>
      <c r="J330" s="227" t="n"/>
      <c r="K330" s="227" t="n"/>
      <c r="L330" s="227" t="n"/>
      <c r="M330" s="227" t="n"/>
      <c r="N330" s="127" t="n"/>
      <c r="O330" s="227" t="n"/>
      <c r="P330" s="227" t="n"/>
      <c r="Q330" s="227" t="n"/>
      <c r="R330" s="227" t="n"/>
      <c r="S330" s="227" t="n"/>
      <c r="T330" s="227" t="n"/>
    </row>
    <row r="331">
      <c r="A331" s="145">
        <f>IF($B331="","",ROW()-5)</f>
        <v/>
      </c>
      <c r="B331" s="127" t="n"/>
      <c r="C331" s="223" t="n"/>
      <c r="D331" s="127" t="n"/>
      <c r="E331" s="227" t="n"/>
      <c r="F331" s="227" t="n"/>
      <c r="G331" s="227" t="n"/>
      <c r="H331" s="227" t="n"/>
      <c r="I331" s="227" t="n"/>
      <c r="J331" s="227" t="n"/>
      <c r="K331" s="227" t="n"/>
      <c r="L331" s="227" t="n"/>
      <c r="M331" s="227" t="n"/>
      <c r="N331" s="127" t="n"/>
      <c r="O331" s="227" t="n"/>
      <c r="P331" s="227" t="n"/>
      <c r="Q331" s="227" t="n"/>
      <c r="R331" s="227" t="n"/>
      <c r="S331" s="227" t="n"/>
      <c r="T331" s="227" t="n"/>
    </row>
    <row r="332">
      <c r="A332" s="145">
        <f>IF($B332="","",ROW()-5)</f>
        <v/>
      </c>
      <c r="B332" s="127" t="n"/>
      <c r="C332" s="223" t="n"/>
      <c r="D332" s="127" t="n"/>
      <c r="E332" s="227" t="n"/>
      <c r="F332" s="227" t="n"/>
      <c r="G332" s="227" t="n"/>
      <c r="H332" s="227" t="n"/>
      <c r="I332" s="227" t="n"/>
      <c r="J332" s="227" t="n"/>
      <c r="K332" s="227" t="n"/>
      <c r="L332" s="227" t="n"/>
      <c r="M332" s="227" t="n"/>
      <c r="N332" s="127" t="n"/>
      <c r="O332" s="227" t="n"/>
      <c r="P332" s="227" t="n"/>
      <c r="Q332" s="227" t="n"/>
      <c r="R332" s="227" t="n"/>
      <c r="S332" s="227" t="n"/>
      <c r="T332" s="227" t="n"/>
    </row>
    <row r="333">
      <c r="A333" s="145">
        <f>IF($B333="","",ROW()-5)</f>
        <v/>
      </c>
      <c r="B333" s="127" t="n"/>
      <c r="C333" s="223" t="n"/>
      <c r="D333" s="127" t="n"/>
      <c r="E333" s="227" t="n"/>
      <c r="F333" s="227" t="n"/>
      <c r="G333" s="227" t="n"/>
      <c r="H333" s="227" t="n"/>
      <c r="I333" s="227" t="n"/>
      <c r="J333" s="227" t="n"/>
      <c r="K333" s="227" t="n"/>
      <c r="L333" s="227" t="n"/>
      <c r="M333" s="227" t="n"/>
      <c r="N333" s="127" t="n"/>
      <c r="O333" s="227" t="n"/>
      <c r="P333" s="227" t="n"/>
      <c r="Q333" s="227" t="n"/>
      <c r="R333" s="227" t="n"/>
      <c r="S333" s="227" t="n"/>
      <c r="T333" s="227" t="n"/>
    </row>
    <row r="334">
      <c r="A334" s="145">
        <f>IF($B334="","",ROW()-5)</f>
        <v/>
      </c>
      <c r="B334" s="127" t="n"/>
      <c r="C334" s="223" t="n"/>
      <c r="D334" s="127" t="n"/>
      <c r="E334" s="227" t="n"/>
      <c r="F334" s="227" t="n"/>
      <c r="G334" s="227" t="n"/>
      <c r="H334" s="227" t="n"/>
      <c r="I334" s="227" t="n"/>
      <c r="J334" s="227" t="n"/>
      <c r="K334" s="227" t="n"/>
      <c r="L334" s="227" t="n"/>
      <c r="M334" s="227" t="n"/>
      <c r="N334" s="127" t="n"/>
      <c r="O334" s="227" t="n"/>
      <c r="P334" s="227" t="n"/>
      <c r="Q334" s="227" t="n"/>
      <c r="R334" s="227" t="n"/>
      <c r="S334" s="227" t="n"/>
      <c r="T334" s="227" t="n"/>
    </row>
    <row r="335">
      <c r="A335" s="145">
        <f>IF($B335="","",ROW()-5)</f>
        <v/>
      </c>
      <c r="B335" s="127" t="n"/>
      <c r="C335" s="223" t="n"/>
      <c r="D335" s="127" t="n"/>
      <c r="E335" s="227" t="n"/>
      <c r="F335" s="227" t="n"/>
      <c r="G335" s="227" t="n"/>
      <c r="H335" s="227" t="n"/>
      <c r="I335" s="227" t="n"/>
      <c r="J335" s="227" t="n"/>
      <c r="K335" s="227" t="n"/>
      <c r="L335" s="227" t="n"/>
      <c r="M335" s="227" t="n"/>
      <c r="N335" s="127" t="n"/>
      <c r="O335" s="227" t="n"/>
      <c r="P335" s="227" t="n"/>
      <c r="Q335" s="227" t="n"/>
      <c r="R335" s="227" t="n"/>
      <c r="S335" s="227" t="n"/>
      <c r="T335" s="227" t="n"/>
    </row>
    <row r="336">
      <c r="A336" s="145">
        <f>IF($B336="","",ROW()-5)</f>
        <v/>
      </c>
      <c r="B336" s="127" t="n"/>
      <c r="C336" s="223" t="n"/>
      <c r="D336" s="127" t="n"/>
      <c r="E336" s="227" t="n"/>
      <c r="F336" s="227" t="n"/>
      <c r="G336" s="227" t="n"/>
      <c r="H336" s="227" t="n"/>
      <c r="I336" s="227" t="n"/>
      <c r="J336" s="227" t="n"/>
      <c r="K336" s="227" t="n"/>
      <c r="L336" s="227" t="n"/>
      <c r="M336" s="227" t="n"/>
      <c r="N336" s="127" t="n"/>
      <c r="O336" s="227" t="n"/>
      <c r="P336" s="227" t="n"/>
      <c r="Q336" s="227" t="n"/>
      <c r="R336" s="227" t="n"/>
      <c r="S336" s="227" t="n"/>
      <c r="T336" s="227" t="n"/>
    </row>
    <row r="337">
      <c r="A337" s="145">
        <f>IF($B337="","",ROW()-5)</f>
        <v/>
      </c>
      <c r="B337" s="127" t="n"/>
      <c r="C337" s="223" t="n"/>
      <c r="D337" s="127" t="n"/>
      <c r="E337" s="227" t="n"/>
      <c r="F337" s="227" t="n"/>
      <c r="G337" s="227" t="n"/>
      <c r="H337" s="227" t="n"/>
      <c r="I337" s="227" t="n"/>
      <c r="J337" s="227" t="n"/>
      <c r="K337" s="227" t="n"/>
      <c r="L337" s="227" t="n"/>
      <c r="M337" s="227" t="n"/>
      <c r="N337" s="127" t="n"/>
      <c r="O337" s="227" t="n"/>
      <c r="P337" s="227" t="n"/>
      <c r="Q337" s="227" t="n"/>
      <c r="R337" s="227" t="n"/>
      <c r="S337" s="227" t="n"/>
      <c r="T337" s="227" t="n"/>
    </row>
    <row r="338">
      <c r="A338" s="145">
        <f>IF($B338="","",ROW()-5)</f>
        <v/>
      </c>
      <c r="B338" s="127" t="n"/>
      <c r="C338" s="223" t="n"/>
      <c r="D338" s="127" t="n"/>
      <c r="E338" s="227" t="n"/>
      <c r="F338" s="227" t="n"/>
      <c r="G338" s="227" t="n"/>
      <c r="H338" s="227" t="n"/>
      <c r="I338" s="227" t="n"/>
      <c r="J338" s="227" t="n"/>
      <c r="K338" s="227" t="n"/>
      <c r="L338" s="227" t="n"/>
      <c r="M338" s="227" t="n"/>
      <c r="N338" s="127" t="n"/>
      <c r="O338" s="227" t="n"/>
      <c r="P338" s="227" t="n"/>
      <c r="Q338" s="227" t="n"/>
      <c r="R338" s="227" t="n"/>
      <c r="S338" s="227" t="n"/>
      <c r="T338" s="227" t="n"/>
    </row>
    <row r="339">
      <c r="A339" s="145">
        <f>IF($B339="","",ROW()-5)</f>
        <v/>
      </c>
      <c r="B339" s="127" t="n"/>
      <c r="C339" s="223" t="n"/>
      <c r="D339" s="127" t="n"/>
      <c r="E339" s="227" t="n"/>
      <c r="F339" s="227" t="n"/>
      <c r="G339" s="227" t="n"/>
      <c r="H339" s="227" t="n"/>
      <c r="I339" s="227" t="n"/>
      <c r="J339" s="227" t="n"/>
      <c r="K339" s="227" t="n"/>
      <c r="L339" s="227" t="n"/>
      <c r="M339" s="227" t="n"/>
      <c r="N339" s="127" t="n"/>
      <c r="O339" s="227" t="n"/>
      <c r="P339" s="227" t="n"/>
      <c r="Q339" s="227" t="n"/>
      <c r="R339" s="227" t="n"/>
      <c r="S339" s="227" t="n"/>
      <c r="T339" s="227" t="n"/>
    </row>
    <row r="340">
      <c r="A340" s="145">
        <f>IF($B340="","",ROW()-5)</f>
        <v/>
      </c>
      <c r="B340" s="127" t="n"/>
      <c r="C340" s="223" t="n"/>
      <c r="D340" s="127" t="n"/>
      <c r="E340" s="227" t="n"/>
      <c r="F340" s="227" t="n"/>
      <c r="G340" s="227" t="n"/>
      <c r="H340" s="227" t="n"/>
      <c r="I340" s="227" t="n"/>
      <c r="J340" s="227" t="n"/>
      <c r="K340" s="227" t="n"/>
      <c r="L340" s="227" t="n"/>
      <c r="M340" s="227" t="n"/>
      <c r="N340" s="127" t="n"/>
      <c r="O340" s="227" t="n"/>
      <c r="P340" s="227" t="n"/>
      <c r="Q340" s="227" t="n"/>
      <c r="R340" s="227" t="n"/>
      <c r="S340" s="227" t="n"/>
      <c r="T340" s="227" t="n"/>
    </row>
    <row r="341">
      <c r="A341" s="145">
        <f>IF($B341="","",ROW()-5)</f>
        <v/>
      </c>
      <c r="B341" s="127" t="n"/>
      <c r="C341" s="223" t="n"/>
      <c r="D341" s="127" t="n"/>
      <c r="E341" s="227" t="n"/>
      <c r="F341" s="227" t="n"/>
      <c r="G341" s="227" t="n"/>
      <c r="H341" s="227" t="n"/>
      <c r="I341" s="227" t="n"/>
      <c r="J341" s="227" t="n"/>
      <c r="K341" s="227" t="n"/>
      <c r="L341" s="227" t="n"/>
      <c r="M341" s="227" t="n"/>
      <c r="N341" s="127" t="n"/>
      <c r="O341" s="227" t="n"/>
      <c r="P341" s="227" t="n"/>
      <c r="Q341" s="227" t="n"/>
      <c r="R341" s="227" t="n"/>
      <c r="S341" s="227" t="n"/>
      <c r="T341" s="227" t="n"/>
    </row>
    <row r="342">
      <c r="A342" s="145">
        <f>IF($B342="","",ROW()-5)</f>
        <v/>
      </c>
      <c r="B342" s="127" t="n"/>
      <c r="C342" s="223" t="n"/>
      <c r="D342" s="127" t="n"/>
      <c r="E342" s="227" t="n"/>
      <c r="F342" s="227" t="n"/>
      <c r="G342" s="227" t="n"/>
      <c r="H342" s="227" t="n"/>
      <c r="I342" s="227" t="n"/>
      <c r="J342" s="227" t="n"/>
      <c r="K342" s="227" t="n"/>
      <c r="L342" s="227" t="n"/>
      <c r="M342" s="227" t="n"/>
      <c r="N342" s="127" t="n"/>
      <c r="O342" s="227" t="n"/>
      <c r="P342" s="227" t="n"/>
      <c r="Q342" s="227" t="n"/>
      <c r="R342" s="227" t="n"/>
      <c r="S342" s="227" t="n"/>
      <c r="T342" s="227" t="n"/>
    </row>
    <row r="343">
      <c r="A343" s="145">
        <f>IF($B343="","",ROW()-5)</f>
        <v/>
      </c>
      <c r="B343" s="127" t="n"/>
      <c r="C343" s="223" t="n"/>
      <c r="D343" s="127" t="n"/>
      <c r="E343" s="227" t="n"/>
      <c r="F343" s="227" t="n"/>
      <c r="G343" s="227" t="n"/>
      <c r="H343" s="227" t="n"/>
      <c r="I343" s="227" t="n"/>
      <c r="J343" s="227" t="n"/>
      <c r="K343" s="227" t="n"/>
      <c r="L343" s="227" t="n"/>
      <c r="M343" s="227" t="n"/>
      <c r="N343" s="127" t="n"/>
      <c r="O343" s="227" t="n"/>
      <c r="P343" s="227" t="n"/>
      <c r="Q343" s="227" t="n"/>
      <c r="R343" s="227" t="n"/>
      <c r="S343" s="227" t="n"/>
      <c r="T343" s="227" t="n"/>
    </row>
    <row r="344">
      <c r="A344" s="145">
        <f>IF($B344="","",ROW()-5)</f>
        <v/>
      </c>
      <c r="B344" s="127" t="n"/>
      <c r="C344" s="223" t="n"/>
      <c r="D344" s="127" t="n"/>
      <c r="E344" s="227" t="n"/>
      <c r="F344" s="227" t="n"/>
      <c r="G344" s="227" t="n"/>
      <c r="H344" s="227" t="n"/>
      <c r="I344" s="227" t="n"/>
      <c r="J344" s="227" t="n"/>
      <c r="K344" s="227" t="n"/>
      <c r="L344" s="227" t="n"/>
      <c r="M344" s="227" t="n"/>
      <c r="N344" s="127" t="n"/>
      <c r="O344" s="227" t="n"/>
      <c r="P344" s="227" t="n"/>
      <c r="Q344" s="227" t="n"/>
      <c r="R344" s="227" t="n"/>
      <c r="S344" s="227" t="n"/>
      <c r="T344" s="227" t="n"/>
    </row>
    <row r="345">
      <c r="A345" s="145">
        <f>IF($B345="","",ROW()-5)</f>
        <v/>
      </c>
      <c r="B345" s="127" t="n"/>
      <c r="C345" s="223" t="n"/>
      <c r="D345" s="127" t="n"/>
      <c r="E345" s="227" t="n"/>
      <c r="F345" s="227" t="n"/>
      <c r="G345" s="227" t="n"/>
      <c r="H345" s="227" t="n"/>
      <c r="I345" s="227" t="n"/>
      <c r="J345" s="227" t="n"/>
      <c r="K345" s="227" t="n"/>
      <c r="L345" s="227" t="n"/>
      <c r="M345" s="227" t="n"/>
      <c r="N345" s="127" t="n"/>
      <c r="O345" s="227" t="n"/>
      <c r="P345" s="227" t="n"/>
      <c r="Q345" s="227" t="n"/>
      <c r="R345" s="227" t="n"/>
      <c r="S345" s="227" t="n"/>
      <c r="T345" s="227" t="n"/>
    </row>
    <row r="346">
      <c r="A346" s="145">
        <f>IF($B346="","",ROW()-5)</f>
        <v/>
      </c>
      <c r="B346" s="127" t="n"/>
      <c r="C346" s="223" t="n"/>
      <c r="D346" s="127" t="n"/>
      <c r="E346" s="227" t="n"/>
      <c r="F346" s="227" t="n"/>
      <c r="G346" s="227" t="n"/>
      <c r="H346" s="227" t="n"/>
      <c r="I346" s="227" t="n"/>
      <c r="J346" s="227" t="n"/>
      <c r="K346" s="227" t="n"/>
      <c r="L346" s="227" t="n"/>
      <c r="M346" s="227" t="n"/>
      <c r="N346" s="127" t="n"/>
      <c r="O346" s="227" t="n"/>
      <c r="P346" s="227" t="n"/>
      <c r="Q346" s="227" t="n"/>
      <c r="R346" s="227" t="n"/>
      <c r="S346" s="227" t="n"/>
      <c r="T346" s="227" t="n"/>
    </row>
    <row r="347">
      <c r="A347" s="145">
        <f>IF($B347="","",ROW()-5)</f>
        <v/>
      </c>
      <c r="B347" s="127" t="n"/>
      <c r="C347" s="223" t="n"/>
      <c r="D347" s="127" t="n"/>
      <c r="E347" s="227" t="n"/>
      <c r="F347" s="227" t="n"/>
      <c r="G347" s="227" t="n"/>
      <c r="H347" s="227" t="n"/>
      <c r="I347" s="227" t="n"/>
      <c r="J347" s="227" t="n"/>
      <c r="K347" s="227" t="n"/>
      <c r="L347" s="227" t="n"/>
      <c r="M347" s="227" t="n"/>
      <c r="N347" s="127" t="n"/>
      <c r="O347" s="227" t="n"/>
      <c r="P347" s="227" t="n"/>
      <c r="Q347" s="227" t="n"/>
      <c r="R347" s="227" t="n"/>
      <c r="S347" s="227" t="n"/>
      <c r="T347" s="227" t="n"/>
    </row>
    <row r="348">
      <c r="A348" s="145">
        <f>IF($B348="","",ROW()-5)</f>
        <v/>
      </c>
      <c r="B348" s="127" t="n"/>
      <c r="C348" s="223" t="n"/>
      <c r="D348" s="127" t="n"/>
      <c r="E348" s="227" t="n"/>
      <c r="F348" s="227" t="n"/>
      <c r="G348" s="227" t="n"/>
      <c r="H348" s="227" t="n"/>
      <c r="I348" s="227" t="n"/>
      <c r="J348" s="227" t="n"/>
      <c r="K348" s="227" t="n"/>
      <c r="L348" s="227" t="n"/>
      <c r="M348" s="227" t="n"/>
      <c r="N348" s="127" t="n"/>
      <c r="O348" s="227" t="n"/>
      <c r="P348" s="227" t="n"/>
      <c r="Q348" s="227" t="n"/>
      <c r="R348" s="227" t="n"/>
      <c r="S348" s="227" t="n"/>
      <c r="T348" s="227" t="n"/>
    </row>
    <row r="349">
      <c r="A349" s="145">
        <f>IF($B349="","",ROW()-5)</f>
        <v/>
      </c>
      <c r="B349" s="127" t="n"/>
      <c r="C349" s="223" t="n"/>
      <c r="D349" s="127" t="n"/>
      <c r="E349" s="227" t="n"/>
      <c r="F349" s="227" t="n"/>
      <c r="G349" s="227" t="n"/>
      <c r="H349" s="227" t="n"/>
      <c r="I349" s="227" t="n"/>
      <c r="J349" s="227" t="n"/>
      <c r="K349" s="227" t="n"/>
      <c r="L349" s="227" t="n"/>
      <c r="M349" s="227" t="n"/>
      <c r="N349" s="127" t="n"/>
      <c r="O349" s="227" t="n"/>
      <c r="P349" s="227" t="n"/>
      <c r="Q349" s="227" t="n"/>
      <c r="R349" s="227" t="n"/>
      <c r="S349" s="227" t="n"/>
      <c r="T349" s="227" t="n"/>
    </row>
    <row r="350">
      <c r="A350" s="145">
        <f>IF($B350="","",ROW()-5)</f>
        <v/>
      </c>
      <c r="B350" s="127" t="n"/>
      <c r="C350" s="223" t="n"/>
      <c r="D350" s="127" t="n"/>
      <c r="E350" s="227" t="n"/>
      <c r="F350" s="227" t="n"/>
      <c r="G350" s="227" t="n"/>
      <c r="H350" s="227" t="n"/>
      <c r="I350" s="227" t="n"/>
      <c r="J350" s="227" t="n"/>
      <c r="K350" s="227" t="n"/>
      <c r="L350" s="227" t="n"/>
      <c r="M350" s="227" t="n"/>
      <c r="N350" s="127" t="n"/>
      <c r="O350" s="227" t="n"/>
      <c r="P350" s="227" t="n"/>
      <c r="Q350" s="227" t="n"/>
      <c r="R350" s="227" t="n"/>
      <c r="S350" s="227" t="n"/>
      <c r="T350" s="227" t="n"/>
    </row>
    <row r="351">
      <c r="A351" s="145">
        <f>IF($B351="","",ROW()-5)</f>
        <v/>
      </c>
      <c r="B351" s="127" t="n"/>
      <c r="C351" s="223" t="n"/>
      <c r="D351" s="127" t="n"/>
      <c r="E351" s="227" t="n"/>
      <c r="F351" s="227" t="n"/>
      <c r="G351" s="227" t="n"/>
      <c r="H351" s="227" t="n"/>
      <c r="I351" s="227" t="n"/>
      <c r="J351" s="227" t="n"/>
      <c r="K351" s="227" t="n"/>
      <c r="L351" s="227" t="n"/>
      <c r="M351" s="227" t="n"/>
      <c r="N351" s="127" t="n"/>
      <c r="O351" s="227" t="n"/>
      <c r="P351" s="227" t="n"/>
      <c r="Q351" s="227" t="n"/>
      <c r="R351" s="227" t="n"/>
      <c r="S351" s="227" t="n"/>
      <c r="T351" s="227" t="n"/>
    </row>
    <row r="352">
      <c r="A352" s="145">
        <f>IF($B352="","",ROW()-5)</f>
        <v/>
      </c>
      <c r="B352" s="127" t="n"/>
      <c r="C352" s="223" t="n"/>
      <c r="D352" s="127" t="n"/>
      <c r="E352" s="227" t="n"/>
      <c r="F352" s="227" t="n"/>
      <c r="G352" s="227" t="n"/>
      <c r="H352" s="227" t="n"/>
      <c r="I352" s="227" t="n"/>
      <c r="J352" s="227" t="n"/>
      <c r="K352" s="227" t="n"/>
      <c r="L352" s="227" t="n"/>
      <c r="M352" s="227" t="n"/>
      <c r="N352" s="127" t="n"/>
      <c r="O352" s="227" t="n"/>
      <c r="P352" s="227" t="n"/>
      <c r="Q352" s="227" t="n"/>
      <c r="R352" s="227" t="n"/>
      <c r="S352" s="227" t="n"/>
      <c r="T352" s="227" t="n"/>
    </row>
    <row r="353">
      <c r="A353" s="145">
        <f>IF($B353="","",ROW()-5)</f>
        <v/>
      </c>
      <c r="B353" s="127" t="n"/>
      <c r="C353" s="223" t="n"/>
      <c r="D353" s="127" t="n"/>
      <c r="E353" s="227" t="n"/>
      <c r="F353" s="227" t="n"/>
      <c r="G353" s="227" t="n"/>
      <c r="H353" s="227" t="n"/>
      <c r="I353" s="227" t="n"/>
      <c r="J353" s="227" t="n"/>
      <c r="K353" s="227" t="n"/>
      <c r="L353" s="227" t="n"/>
      <c r="M353" s="227" t="n"/>
      <c r="N353" s="127" t="n"/>
      <c r="O353" s="227" t="n"/>
      <c r="P353" s="227" t="n"/>
      <c r="Q353" s="227" t="n"/>
      <c r="R353" s="227" t="n"/>
      <c r="S353" s="227" t="n"/>
      <c r="T353" s="227" t="n"/>
    </row>
    <row r="354">
      <c r="A354" s="145">
        <f>IF($B354="","",ROW()-5)</f>
        <v/>
      </c>
      <c r="B354" s="127" t="n"/>
      <c r="C354" s="223" t="n"/>
      <c r="D354" s="127" t="n"/>
      <c r="E354" s="227" t="n"/>
      <c r="F354" s="227" t="n"/>
      <c r="G354" s="227" t="n"/>
      <c r="H354" s="227" t="n"/>
      <c r="I354" s="227" t="n"/>
      <c r="J354" s="227" t="n"/>
      <c r="K354" s="227" t="n"/>
      <c r="L354" s="227" t="n"/>
      <c r="M354" s="227" t="n"/>
      <c r="N354" s="127" t="n"/>
      <c r="O354" s="227" t="n"/>
      <c r="P354" s="227" t="n"/>
      <c r="Q354" s="227" t="n"/>
      <c r="R354" s="227" t="n"/>
      <c r="S354" s="227" t="n"/>
      <c r="T354" s="227" t="n"/>
    </row>
    <row r="355">
      <c r="A355" s="145">
        <f>IF($B355="","",ROW()-5)</f>
        <v/>
      </c>
      <c r="B355" s="127" t="n"/>
      <c r="C355" s="223" t="n"/>
      <c r="D355" s="127" t="n"/>
      <c r="E355" s="227" t="n"/>
      <c r="F355" s="227" t="n"/>
      <c r="G355" s="227" t="n"/>
      <c r="H355" s="227" t="n"/>
      <c r="I355" s="227" t="n"/>
      <c r="J355" s="227" t="n"/>
      <c r="K355" s="227" t="n"/>
      <c r="L355" s="227" t="n"/>
      <c r="M355" s="227" t="n"/>
      <c r="N355" s="127" t="n"/>
      <c r="O355" s="227" t="n"/>
      <c r="P355" s="227" t="n"/>
      <c r="Q355" s="227" t="n"/>
      <c r="R355" s="227" t="n"/>
      <c r="S355" s="227" t="n"/>
      <c r="T355" s="227" t="n"/>
    </row>
    <row r="356">
      <c r="A356" s="145">
        <f>IF($B356="","",ROW()-5)</f>
        <v/>
      </c>
      <c r="B356" s="127" t="n"/>
      <c r="C356" s="223" t="n"/>
      <c r="D356" s="127" t="n"/>
      <c r="E356" s="227" t="n"/>
      <c r="F356" s="227" t="n"/>
      <c r="G356" s="227" t="n"/>
      <c r="H356" s="227" t="n"/>
      <c r="I356" s="227" t="n"/>
      <c r="J356" s="227" t="n"/>
      <c r="K356" s="227" t="n"/>
      <c r="L356" s="227" t="n"/>
      <c r="M356" s="227" t="n"/>
      <c r="N356" s="127" t="n"/>
      <c r="O356" s="227" t="n"/>
      <c r="P356" s="227" t="n"/>
      <c r="Q356" s="227" t="n"/>
      <c r="R356" s="227" t="n"/>
      <c r="S356" s="227" t="n"/>
      <c r="T356" s="227" t="n"/>
    </row>
    <row r="357">
      <c r="A357" s="145">
        <f>IF($B357="","",ROW()-5)</f>
        <v/>
      </c>
      <c r="B357" s="127" t="n"/>
      <c r="C357" s="223" t="n"/>
      <c r="D357" s="127" t="n"/>
      <c r="E357" s="227" t="n"/>
      <c r="F357" s="227" t="n"/>
      <c r="G357" s="227" t="n"/>
      <c r="H357" s="227" t="n"/>
      <c r="I357" s="227" t="n"/>
      <c r="J357" s="227" t="n"/>
      <c r="K357" s="227" t="n"/>
      <c r="L357" s="227" t="n"/>
      <c r="M357" s="227" t="n"/>
      <c r="N357" s="127" t="n"/>
      <c r="O357" s="227" t="n"/>
      <c r="P357" s="227" t="n"/>
      <c r="Q357" s="227" t="n"/>
      <c r="R357" s="227" t="n"/>
      <c r="S357" s="227" t="n"/>
      <c r="T357" s="227" t="n"/>
    </row>
    <row r="358">
      <c r="A358" s="145">
        <f>IF($B358="","",ROW()-5)</f>
        <v/>
      </c>
      <c r="B358" s="127" t="n"/>
      <c r="C358" s="223" t="n"/>
      <c r="D358" s="127" t="n"/>
      <c r="E358" s="227" t="n"/>
      <c r="F358" s="227" t="n"/>
      <c r="G358" s="227" t="n"/>
      <c r="H358" s="227" t="n"/>
      <c r="I358" s="227" t="n"/>
      <c r="J358" s="227" t="n"/>
      <c r="K358" s="227" t="n"/>
      <c r="L358" s="227" t="n"/>
      <c r="M358" s="227" t="n"/>
      <c r="N358" s="127" t="n"/>
      <c r="O358" s="227" t="n"/>
      <c r="P358" s="227" t="n"/>
      <c r="Q358" s="227" t="n"/>
      <c r="R358" s="227" t="n"/>
      <c r="S358" s="227" t="n"/>
      <c r="T358" s="227" t="n"/>
    </row>
    <row r="359">
      <c r="A359" s="145">
        <f>IF($B359="","",ROW()-5)</f>
        <v/>
      </c>
      <c r="B359" s="127" t="n"/>
      <c r="C359" s="223" t="n"/>
      <c r="D359" s="127" t="n"/>
      <c r="E359" s="227" t="n"/>
      <c r="F359" s="227" t="n"/>
      <c r="G359" s="227" t="n"/>
      <c r="H359" s="227" t="n"/>
      <c r="I359" s="227" t="n"/>
      <c r="J359" s="227" t="n"/>
      <c r="K359" s="227" t="n"/>
      <c r="L359" s="227" t="n"/>
      <c r="M359" s="227" t="n"/>
      <c r="N359" s="127" t="n"/>
      <c r="O359" s="227" t="n"/>
      <c r="P359" s="227" t="n"/>
      <c r="Q359" s="227" t="n"/>
      <c r="R359" s="227" t="n"/>
      <c r="S359" s="227" t="n"/>
      <c r="T359" s="227" t="n"/>
    </row>
    <row r="360">
      <c r="A360" s="145">
        <f>IF($B360="","",ROW()-5)</f>
        <v/>
      </c>
      <c r="B360" s="127" t="n"/>
      <c r="C360" s="223" t="n"/>
      <c r="D360" s="127" t="n"/>
      <c r="E360" s="227" t="n"/>
      <c r="F360" s="227" t="n"/>
      <c r="G360" s="227" t="n"/>
      <c r="H360" s="227" t="n"/>
      <c r="I360" s="227" t="n"/>
      <c r="J360" s="227" t="n"/>
      <c r="K360" s="227" t="n"/>
      <c r="L360" s="227" t="n"/>
      <c r="M360" s="227" t="n"/>
      <c r="N360" s="127" t="n"/>
      <c r="O360" s="227" t="n"/>
      <c r="P360" s="227" t="n"/>
      <c r="Q360" s="227" t="n"/>
      <c r="R360" s="227" t="n"/>
      <c r="S360" s="227" t="n"/>
      <c r="T360" s="227" t="n"/>
    </row>
    <row r="361">
      <c r="A361" s="145">
        <f>IF($B361="","",ROW()-5)</f>
        <v/>
      </c>
      <c r="B361" s="127" t="n"/>
      <c r="C361" s="223" t="n"/>
      <c r="D361" s="127" t="n"/>
      <c r="E361" s="227" t="n"/>
      <c r="F361" s="227" t="n"/>
      <c r="G361" s="227" t="n"/>
      <c r="H361" s="227" t="n"/>
      <c r="I361" s="227" t="n"/>
      <c r="J361" s="227" t="n"/>
      <c r="K361" s="227" t="n"/>
      <c r="L361" s="227" t="n"/>
      <c r="M361" s="227" t="n"/>
      <c r="N361" s="127" t="n"/>
      <c r="O361" s="227" t="n"/>
      <c r="P361" s="227" t="n"/>
      <c r="Q361" s="227" t="n"/>
      <c r="R361" s="227" t="n"/>
      <c r="S361" s="227" t="n"/>
      <c r="T361" s="227" t="n"/>
    </row>
    <row r="362">
      <c r="A362" s="145">
        <f>IF($B362="","",ROW()-5)</f>
        <v/>
      </c>
      <c r="B362" s="127" t="n"/>
      <c r="C362" s="223" t="n"/>
      <c r="D362" s="127" t="n"/>
      <c r="E362" s="227" t="n"/>
      <c r="F362" s="227" t="n"/>
      <c r="G362" s="227" t="n"/>
      <c r="H362" s="227" t="n"/>
      <c r="I362" s="227" t="n"/>
      <c r="J362" s="227" t="n"/>
      <c r="K362" s="227" t="n"/>
      <c r="L362" s="227" t="n"/>
      <c r="M362" s="227" t="n"/>
      <c r="N362" s="127" t="n"/>
      <c r="O362" s="227" t="n"/>
      <c r="P362" s="227" t="n"/>
      <c r="Q362" s="227" t="n"/>
      <c r="R362" s="227" t="n"/>
      <c r="S362" s="227" t="n"/>
      <c r="T362" s="227" t="n"/>
    </row>
    <row r="363">
      <c r="A363" s="145">
        <f>IF($B363="","",ROW()-5)</f>
        <v/>
      </c>
      <c r="B363" s="127" t="n"/>
      <c r="C363" s="223" t="n"/>
      <c r="D363" s="127" t="n"/>
      <c r="E363" s="227" t="n"/>
      <c r="F363" s="227" t="n"/>
      <c r="G363" s="227" t="n"/>
      <c r="H363" s="227" t="n"/>
      <c r="I363" s="227" t="n"/>
      <c r="J363" s="227" t="n"/>
      <c r="K363" s="227" t="n"/>
      <c r="L363" s="227" t="n"/>
      <c r="M363" s="227" t="n"/>
      <c r="N363" s="127" t="n"/>
      <c r="O363" s="227" t="n"/>
      <c r="P363" s="227" t="n"/>
      <c r="Q363" s="227" t="n"/>
      <c r="R363" s="227" t="n"/>
      <c r="S363" s="227" t="n"/>
      <c r="T363" s="227" t="n"/>
    </row>
    <row r="364">
      <c r="A364" s="145">
        <f>IF($B364="","",ROW()-5)</f>
        <v/>
      </c>
      <c r="B364" s="127" t="n"/>
      <c r="C364" s="223" t="n"/>
      <c r="D364" s="127" t="n"/>
      <c r="E364" s="227" t="n"/>
      <c r="F364" s="227" t="n"/>
      <c r="G364" s="227" t="n"/>
      <c r="H364" s="227" t="n"/>
      <c r="I364" s="227" t="n"/>
      <c r="J364" s="227" t="n"/>
      <c r="K364" s="227" t="n"/>
      <c r="L364" s="227" t="n"/>
      <c r="M364" s="227" t="n"/>
      <c r="N364" s="127" t="n"/>
      <c r="O364" s="227" t="n"/>
      <c r="P364" s="227" t="n"/>
      <c r="Q364" s="227" t="n"/>
      <c r="R364" s="227" t="n"/>
      <c r="S364" s="227" t="n"/>
      <c r="T364" s="227" t="n"/>
    </row>
    <row r="365">
      <c r="A365" s="145">
        <f>IF($B365="","",ROW()-5)</f>
        <v/>
      </c>
      <c r="B365" s="127" t="n"/>
      <c r="C365" s="223" t="n"/>
      <c r="D365" s="127" t="n"/>
      <c r="E365" s="227" t="n"/>
      <c r="F365" s="227" t="n"/>
      <c r="G365" s="227" t="n"/>
      <c r="H365" s="227" t="n"/>
      <c r="I365" s="227" t="n"/>
      <c r="J365" s="227" t="n"/>
      <c r="K365" s="227" t="n"/>
      <c r="L365" s="227" t="n"/>
      <c r="M365" s="227" t="n"/>
      <c r="N365" s="127" t="n"/>
      <c r="O365" s="227" t="n"/>
      <c r="P365" s="227" t="n"/>
      <c r="Q365" s="227" t="n"/>
      <c r="R365" s="227" t="n"/>
      <c r="S365" s="227" t="n"/>
      <c r="T365" s="227" t="n"/>
    </row>
    <row r="366">
      <c r="A366" s="145">
        <f>IF($B366="","",ROW()-5)</f>
        <v/>
      </c>
      <c r="B366" s="127" t="n"/>
      <c r="C366" s="223" t="n"/>
      <c r="D366" s="127" t="n"/>
      <c r="E366" s="227" t="n"/>
      <c r="F366" s="227" t="n"/>
      <c r="G366" s="227" t="n"/>
      <c r="H366" s="227" t="n"/>
      <c r="I366" s="227" t="n"/>
      <c r="J366" s="227" t="n"/>
      <c r="K366" s="227" t="n"/>
      <c r="L366" s="227" t="n"/>
      <c r="M366" s="227" t="n"/>
      <c r="N366" s="127" t="n"/>
      <c r="O366" s="227" t="n"/>
      <c r="P366" s="227" t="n"/>
      <c r="Q366" s="227" t="n"/>
      <c r="R366" s="227" t="n"/>
      <c r="S366" s="227" t="n"/>
      <c r="T366" s="227" t="n"/>
    </row>
    <row r="367">
      <c r="A367" s="145">
        <f>IF($B367="","",ROW()-5)</f>
        <v/>
      </c>
      <c r="B367" s="127" t="n"/>
      <c r="C367" s="223" t="n"/>
      <c r="D367" s="127" t="n"/>
      <c r="E367" s="227" t="n"/>
      <c r="F367" s="227" t="n"/>
      <c r="G367" s="227" t="n"/>
      <c r="H367" s="227" t="n"/>
      <c r="I367" s="227" t="n"/>
      <c r="J367" s="227" t="n"/>
      <c r="K367" s="227" t="n"/>
      <c r="L367" s="227" t="n"/>
      <c r="M367" s="227" t="n"/>
      <c r="N367" s="127" t="n"/>
      <c r="O367" s="227" t="n"/>
      <c r="P367" s="227" t="n"/>
      <c r="Q367" s="227" t="n"/>
      <c r="R367" s="227" t="n"/>
      <c r="S367" s="227" t="n"/>
      <c r="T367" s="227" t="n"/>
    </row>
    <row r="368">
      <c r="A368" s="145">
        <f>IF($B368="","",ROW()-5)</f>
        <v/>
      </c>
      <c r="B368" s="127" t="n"/>
      <c r="C368" s="223" t="n"/>
      <c r="D368" s="127" t="n"/>
      <c r="E368" s="227" t="n"/>
      <c r="F368" s="227" t="n"/>
      <c r="G368" s="227" t="n"/>
      <c r="H368" s="227" t="n"/>
      <c r="I368" s="227" t="n"/>
      <c r="J368" s="227" t="n"/>
      <c r="K368" s="227" t="n"/>
      <c r="L368" s="227" t="n"/>
      <c r="M368" s="227" t="n"/>
      <c r="N368" s="127" t="n"/>
      <c r="O368" s="227" t="n"/>
      <c r="P368" s="227" t="n"/>
      <c r="Q368" s="227" t="n"/>
      <c r="R368" s="227" t="n"/>
      <c r="S368" s="227" t="n"/>
      <c r="T368" s="227" t="n"/>
    </row>
    <row r="369">
      <c r="A369" s="145">
        <f>IF($B369="","",ROW()-5)</f>
        <v/>
      </c>
      <c r="B369" s="127" t="n"/>
      <c r="C369" s="223" t="n"/>
      <c r="D369" s="127" t="n"/>
      <c r="E369" s="227" t="n"/>
      <c r="F369" s="227" t="n"/>
      <c r="G369" s="227" t="n"/>
      <c r="H369" s="227" t="n"/>
      <c r="I369" s="227" t="n"/>
      <c r="J369" s="227" t="n"/>
      <c r="K369" s="227" t="n"/>
      <c r="L369" s="227" t="n"/>
      <c r="M369" s="227" t="n"/>
      <c r="N369" s="127" t="n"/>
      <c r="O369" s="227" t="n"/>
      <c r="P369" s="227" t="n"/>
      <c r="Q369" s="227" t="n"/>
      <c r="R369" s="227" t="n"/>
      <c r="S369" s="227" t="n"/>
      <c r="T369" s="227" t="n"/>
    </row>
    <row r="370">
      <c r="A370" s="145">
        <f>IF($B370="","",ROW()-5)</f>
        <v/>
      </c>
      <c r="B370" s="127" t="n"/>
      <c r="C370" s="223" t="n"/>
      <c r="D370" s="127" t="n"/>
      <c r="E370" s="227" t="n"/>
      <c r="F370" s="227" t="n"/>
      <c r="G370" s="227" t="n"/>
      <c r="H370" s="227" t="n"/>
      <c r="I370" s="227" t="n"/>
      <c r="J370" s="227" t="n"/>
      <c r="K370" s="227" t="n"/>
      <c r="L370" s="227" t="n"/>
      <c r="M370" s="227" t="n"/>
      <c r="N370" s="127" t="n"/>
      <c r="O370" s="227" t="n"/>
      <c r="P370" s="227" t="n"/>
      <c r="Q370" s="227" t="n"/>
      <c r="R370" s="227" t="n"/>
      <c r="S370" s="227" t="n"/>
      <c r="T370" s="227" t="n"/>
    </row>
    <row r="371">
      <c r="A371" s="145">
        <f>IF($B371="","",ROW()-5)</f>
        <v/>
      </c>
      <c r="B371" s="127" t="n"/>
      <c r="C371" s="223" t="n"/>
      <c r="D371" s="127" t="n"/>
      <c r="E371" s="227" t="n"/>
      <c r="F371" s="227" t="n"/>
      <c r="G371" s="227" t="n"/>
      <c r="H371" s="227" t="n"/>
      <c r="I371" s="227" t="n"/>
      <c r="J371" s="227" t="n"/>
      <c r="K371" s="227" t="n"/>
      <c r="L371" s="227" t="n"/>
      <c r="M371" s="227" t="n"/>
      <c r="N371" s="127" t="n"/>
      <c r="O371" s="227" t="n"/>
      <c r="P371" s="227" t="n"/>
      <c r="Q371" s="227" t="n"/>
      <c r="R371" s="227" t="n"/>
      <c r="S371" s="227" t="n"/>
      <c r="T371" s="227" t="n"/>
    </row>
    <row r="372">
      <c r="A372" s="145">
        <f>IF($B372="","",ROW()-5)</f>
        <v/>
      </c>
      <c r="B372" s="127" t="n"/>
      <c r="C372" s="223" t="n"/>
      <c r="D372" s="127" t="n"/>
      <c r="E372" s="227" t="n"/>
      <c r="F372" s="227" t="n"/>
      <c r="G372" s="227" t="n"/>
      <c r="H372" s="227" t="n"/>
      <c r="I372" s="227" t="n"/>
      <c r="J372" s="227" t="n"/>
      <c r="K372" s="227" t="n"/>
      <c r="L372" s="227" t="n"/>
      <c r="M372" s="227" t="n"/>
      <c r="N372" s="127" t="n"/>
      <c r="O372" s="227" t="n"/>
      <c r="P372" s="227" t="n"/>
      <c r="Q372" s="227" t="n"/>
      <c r="R372" s="227" t="n"/>
      <c r="S372" s="227" t="n"/>
      <c r="T372" s="227" t="n"/>
    </row>
    <row r="373">
      <c r="A373" s="145">
        <f>IF($B373="","",ROW()-5)</f>
        <v/>
      </c>
      <c r="B373" s="127" t="n"/>
      <c r="C373" s="223" t="n"/>
      <c r="D373" s="127" t="n"/>
      <c r="E373" s="227" t="n"/>
      <c r="F373" s="227" t="n"/>
      <c r="G373" s="227" t="n"/>
      <c r="H373" s="227" t="n"/>
      <c r="I373" s="227" t="n"/>
      <c r="J373" s="227" t="n"/>
      <c r="K373" s="227" t="n"/>
      <c r="L373" s="227" t="n"/>
      <c r="M373" s="227" t="n"/>
      <c r="N373" s="127" t="n"/>
      <c r="O373" s="227" t="n"/>
      <c r="P373" s="227" t="n"/>
      <c r="Q373" s="227" t="n"/>
      <c r="R373" s="227" t="n"/>
      <c r="S373" s="227" t="n"/>
      <c r="T373" s="227" t="n"/>
    </row>
    <row r="374">
      <c r="A374" s="145">
        <f>IF($B374="","",ROW()-5)</f>
        <v/>
      </c>
      <c r="B374" s="127" t="n"/>
      <c r="C374" s="223" t="n"/>
      <c r="D374" s="127" t="n"/>
      <c r="E374" s="227" t="n"/>
      <c r="F374" s="227" t="n"/>
      <c r="G374" s="227" t="n"/>
      <c r="H374" s="227" t="n"/>
      <c r="I374" s="227" t="n"/>
      <c r="J374" s="227" t="n"/>
      <c r="K374" s="227" t="n"/>
      <c r="L374" s="227" t="n"/>
      <c r="M374" s="227" t="n"/>
      <c r="N374" s="127" t="n"/>
      <c r="O374" s="227" t="n"/>
      <c r="P374" s="227" t="n"/>
      <c r="Q374" s="227" t="n"/>
      <c r="R374" s="227" t="n"/>
      <c r="S374" s="227" t="n"/>
      <c r="T374" s="227" t="n"/>
    </row>
    <row r="375">
      <c r="A375" s="145">
        <f>IF($B375="","",ROW()-5)</f>
        <v/>
      </c>
      <c r="B375" s="127" t="n"/>
      <c r="C375" s="223" t="n"/>
      <c r="D375" s="127" t="n"/>
      <c r="E375" s="227" t="n"/>
      <c r="F375" s="227" t="n"/>
      <c r="G375" s="227" t="n"/>
      <c r="H375" s="227" t="n"/>
      <c r="I375" s="227" t="n"/>
      <c r="J375" s="227" t="n"/>
      <c r="K375" s="227" t="n"/>
      <c r="L375" s="227" t="n"/>
      <c r="M375" s="227" t="n"/>
      <c r="N375" s="127" t="n"/>
      <c r="O375" s="227" t="n"/>
      <c r="P375" s="227" t="n"/>
      <c r="Q375" s="227" t="n"/>
      <c r="R375" s="227" t="n"/>
      <c r="S375" s="227" t="n"/>
      <c r="T375" s="227" t="n"/>
    </row>
    <row r="376">
      <c r="A376" s="145">
        <f>IF($B376="","",ROW()-5)</f>
        <v/>
      </c>
      <c r="B376" s="127" t="n"/>
      <c r="C376" s="223" t="n"/>
      <c r="D376" s="127" t="n"/>
      <c r="E376" s="227" t="n"/>
      <c r="F376" s="227" t="n"/>
      <c r="G376" s="227" t="n"/>
      <c r="H376" s="227" t="n"/>
      <c r="I376" s="227" t="n"/>
      <c r="J376" s="227" t="n"/>
      <c r="K376" s="227" t="n"/>
      <c r="L376" s="227" t="n"/>
      <c r="M376" s="227" t="n"/>
      <c r="N376" s="127" t="n"/>
      <c r="O376" s="227" t="n"/>
      <c r="P376" s="227" t="n"/>
      <c r="Q376" s="227" t="n"/>
      <c r="R376" s="227" t="n"/>
      <c r="S376" s="227" t="n"/>
      <c r="T376" s="227" t="n"/>
    </row>
    <row r="377">
      <c r="A377" s="145">
        <f>IF($B377="","",ROW()-5)</f>
        <v/>
      </c>
      <c r="B377" s="127" t="n"/>
      <c r="C377" s="223" t="n"/>
      <c r="D377" s="127" t="n"/>
      <c r="E377" s="227" t="n"/>
      <c r="F377" s="227" t="n"/>
      <c r="G377" s="227" t="n"/>
      <c r="H377" s="227" t="n"/>
      <c r="I377" s="227" t="n"/>
      <c r="J377" s="227" t="n"/>
      <c r="K377" s="227" t="n"/>
      <c r="L377" s="227" t="n"/>
      <c r="M377" s="227" t="n"/>
      <c r="N377" s="127" t="n"/>
      <c r="O377" s="227" t="n"/>
      <c r="P377" s="227" t="n"/>
      <c r="Q377" s="227" t="n"/>
      <c r="R377" s="227" t="n"/>
      <c r="S377" s="227" t="n"/>
      <c r="T377" s="227" t="n"/>
    </row>
    <row r="378">
      <c r="A378" s="145">
        <f>IF($B378="","",ROW()-5)</f>
        <v/>
      </c>
      <c r="B378" s="127" t="n"/>
      <c r="C378" s="223" t="n"/>
      <c r="D378" s="127" t="n"/>
      <c r="E378" s="227" t="n"/>
      <c r="F378" s="227" t="n"/>
      <c r="G378" s="227" t="n"/>
      <c r="H378" s="227" t="n"/>
      <c r="I378" s="227" t="n"/>
      <c r="J378" s="227" t="n"/>
      <c r="K378" s="227" t="n"/>
      <c r="L378" s="227" t="n"/>
      <c r="M378" s="227" t="n"/>
      <c r="N378" s="127" t="n"/>
      <c r="O378" s="227" t="n"/>
      <c r="P378" s="227" t="n"/>
      <c r="Q378" s="227" t="n"/>
      <c r="R378" s="227" t="n"/>
      <c r="S378" s="227" t="n"/>
      <c r="T378" s="227" t="n"/>
    </row>
    <row r="379">
      <c r="A379" s="145">
        <f>IF($B379="","",ROW()-5)</f>
        <v/>
      </c>
      <c r="B379" s="127" t="n"/>
      <c r="C379" s="223" t="n"/>
      <c r="D379" s="127" t="n"/>
      <c r="E379" s="227" t="n"/>
      <c r="F379" s="227" t="n"/>
      <c r="G379" s="227" t="n"/>
      <c r="H379" s="227" t="n"/>
      <c r="I379" s="227" t="n"/>
      <c r="J379" s="227" t="n"/>
      <c r="K379" s="227" t="n"/>
      <c r="L379" s="227" t="n"/>
      <c r="M379" s="227" t="n"/>
      <c r="N379" s="127" t="n"/>
      <c r="O379" s="227" t="n"/>
      <c r="P379" s="227" t="n"/>
      <c r="Q379" s="227" t="n"/>
      <c r="R379" s="227" t="n"/>
      <c r="S379" s="227" t="n"/>
      <c r="T379" s="227" t="n"/>
    </row>
    <row r="380">
      <c r="A380" s="145">
        <f>IF($B380="","",ROW()-5)</f>
        <v/>
      </c>
      <c r="B380" s="127" t="n"/>
      <c r="C380" s="223" t="n"/>
      <c r="D380" s="127" t="n"/>
      <c r="E380" s="227" t="n"/>
      <c r="F380" s="227" t="n"/>
      <c r="G380" s="227" t="n"/>
      <c r="H380" s="227" t="n"/>
      <c r="I380" s="227" t="n"/>
      <c r="J380" s="227" t="n"/>
      <c r="K380" s="227" t="n"/>
      <c r="L380" s="227" t="n"/>
      <c r="M380" s="227" t="n"/>
      <c r="N380" s="127" t="n"/>
      <c r="O380" s="227" t="n"/>
      <c r="P380" s="227" t="n"/>
      <c r="Q380" s="227" t="n"/>
      <c r="R380" s="227" t="n"/>
      <c r="S380" s="227" t="n"/>
      <c r="T380" s="227" t="n"/>
    </row>
    <row r="381">
      <c r="A381" s="145">
        <f>IF($B381="","",ROW()-5)</f>
        <v/>
      </c>
      <c r="B381" s="127" t="n"/>
      <c r="C381" s="223" t="n"/>
      <c r="D381" s="127" t="n"/>
      <c r="E381" s="227" t="n"/>
      <c r="F381" s="227" t="n"/>
      <c r="G381" s="227" t="n"/>
      <c r="H381" s="227" t="n"/>
      <c r="I381" s="227" t="n"/>
      <c r="J381" s="227" t="n"/>
      <c r="K381" s="227" t="n"/>
      <c r="L381" s="227" t="n"/>
      <c r="M381" s="227" t="n"/>
      <c r="N381" s="127" t="n"/>
      <c r="O381" s="227" t="n"/>
      <c r="P381" s="227" t="n"/>
      <c r="Q381" s="227" t="n"/>
      <c r="R381" s="227" t="n"/>
      <c r="S381" s="227" t="n"/>
      <c r="T381" s="227" t="n"/>
    </row>
    <row r="382">
      <c r="A382" s="145">
        <f>IF($B382="","",ROW()-5)</f>
        <v/>
      </c>
      <c r="B382" s="127" t="n"/>
      <c r="C382" s="223" t="n"/>
      <c r="D382" s="127" t="n"/>
      <c r="E382" s="227" t="n"/>
      <c r="F382" s="227" t="n"/>
      <c r="G382" s="227" t="n"/>
      <c r="H382" s="227" t="n"/>
      <c r="I382" s="227" t="n"/>
      <c r="J382" s="227" t="n"/>
      <c r="K382" s="227" t="n"/>
      <c r="L382" s="227" t="n"/>
      <c r="M382" s="227" t="n"/>
      <c r="N382" s="127" t="n"/>
      <c r="O382" s="227" t="n"/>
      <c r="P382" s="227" t="n"/>
      <c r="Q382" s="227" t="n"/>
      <c r="R382" s="227" t="n"/>
      <c r="S382" s="227" t="n"/>
      <c r="T382" s="227" t="n"/>
    </row>
    <row r="383">
      <c r="A383" s="145">
        <f>IF($B383="","",ROW()-5)</f>
        <v/>
      </c>
      <c r="B383" s="127" t="n"/>
      <c r="C383" s="223" t="n"/>
      <c r="D383" s="127" t="n"/>
      <c r="E383" s="227" t="n"/>
      <c r="F383" s="227" t="n"/>
      <c r="G383" s="227" t="n"/>
      <c r="H383" s="227" t="n"/>
      <c r="I383" s="227" t="n"/>
      <c r="J383" s="227" t="n"/>
      <c r="K383" s="227" t="n"/>
      <c r="L383" s="227" t="n"/>
      <c r="M383" s="227" t="n"/>
      <c r="N383" s="127" t="n"/>
      <c r="O383" s="227" t="n"/>
      <c r="P383" s="227" t="n"/>
      <c r="Q383" s="227" t="n"/>
      <c r="R383" s="227" t="n"/>
      <c r="S383" s="227" t="n"/>
      <c r="T383" s="227" t="n"/>
    </row>
    <row r="384">
      <c r="A384" s="145">
        <f>IF($B384="","",ROW()-5)</f>
        <v/>
      </c>
      <c r="B384" s="127" t="n"/>
      <c r="C384" s="223" t="n"/>
      <c r="D384" s="127" t="n"/>
      <c r="E384" s="227" t="n"/>
      <c r="F384" s="227" t="n"/>
      <c r="G384" s="227" t="n"/>
      <c r="H384" s="227" t="n"/>
      <c r="I384" s="227" t="n"/>
      <c r="J384" s="227" t="n"/>
      <c r="K384" s="227" t="n"/>
      <c r="L384" s="227" t="n"/>
      <c r="M384" s="227" t="n"/>
      <c r="N384" s="127" t="n"/>
      <c r="O384" s="227" t="n"/>
      <c r="P384" s="227" t="n"/>
      <c r="Q384" s="227" t="n"/>
      <c r="R384" s="227" t="n"/>
      <c r="S384" s="227" t="n"/>
      <c r="T384" s="227" t="n"/>
    </row>
    <row r="385">
      <c r="A385" s="145">
        <f>IF($B385="","",ROW()-5)</f>
        <v/>
      </c>
      <c r="B385" s="127" t="n"/>
      <c r="C385" s="223" t="n"/>
      <c r="D385" s="127" t="n"/>
      <c r="E385" s="227" t="n"/>
      <c r="F385" s="227" t="n"/>
      <c r="G385" s="227" t="n"/>
      <c r="H385" s="227" t="n"/>
      <c r="I385" s="227" t="n"/>
      <c r="J385" s="227" t="n"/>
      <c r="K385" s="227" t="n"/>
      <c r="L385" s="227" t="n"/>
      <c r="M385" s="227" t="n"/>
      <c r="N385" s="127" t="n"/>
      <c r="O385" s="227" t="n"/>
      <c r="P385" s="227" t="n"/>
      <c r="Q385" s="227" t="n"/>
      <c r="R385" s="227" t="n"/>
      <c r="S385" s="227" t="n"/>
      <c r="T385" s="227" t="n"/>
    </row>
    <row r="386">
      <c r="A386" s="145">
        <f>IF($B386="","",ROW()-5)</f>
        <v/>
      </c>
      <c r="B386" s="127" t="n"/>
      <c r="C386" s="223" t="n"/>
      <c r="D386" s="127" t="n"/>
      <c r="E386" s="227" t="n"/>
      <c r="F386" s="227" t="n"/>
      <c r="G386" s="227" t="n"/>
      <c r="H386" s="227" t="n"/>
      <c r="I386" s="227" t="n"/>
      <c r="J386" s="227" t="n"/>
      <c r="K386" s="227" t="n"/>
      <c r="L386" s="227" t="n"/>
      <c r="M386" s="227" t="n"/>
      <c r="N386" s="127" t="n"/>
      <c r="O386" s="227" t="n"/>
      <c r="P386" s="227" t="n"/>
      <c r="Q386" s="227" t="n"/>
      <c r="R386" s="227" t="n"/>
      <c r="S386" s="227" t="n"/>
      <c r="T386" s="227" t="n"/>
    </row>
    <row r="387">
      <c r="A387" s="145">
        <f>IF($B387="","",ROW()-5)</f>
        <v/>
      </c>
      <c r="B387" s="127" t="n"/>
      <c r="C387" s="223" t="n"/>
      <c r="D387" s="127" t="n"/>
      <c r="E387" s="227" t="n"/>
      <c r="F387" s="227" t="n"/>
      <c r="G387" s="227" t="n"/>
      <c r="H387" s="227" t="n"/>
      <c r="I387" s="227" t="n"/>
      <c r="J387" s="227" t="n"/>
      <c r="K387" s="227" t="n"/>
      <c r="L387" s="227" t="n"/>
      <c r="M387" s="227" t="n"/>
      <c r="N387" s="127" t="n"/>
      <c r="O387" s="227" t="n"/>
      <c r="P387" s="227" t="n"/>
      <c r="Q387" s="227" t="n"/>
      <c r="R387" s="227" t="n"/>
      <c r="S387" s="227" t="n"/>
      <c r="T387" s="227" t="n"/>
    </row>
    <row r="388">
      <c r="A388" s="145">
        <f>IF($B388="","",ROW()-5)</f>
        <v/>
      </c>
      <c r="B388" s="127" t="n"/>
      <c r="C388" s="223" t="n"/>
      <c r="D388" s="127" t="n"/>
      <c r="E388" s="227" t="n"/>
      <c r="F388" s="227" t="n"/>
      <c r="G388" s="227" t="n"/>
      <c r="H388" s="227" t="n"/>
      <c r="I388" s="227" t="n"/>
      <c r="J388" s="227" t="n"/>
      <c r="K388" s="227" t="n"/>
      <c r="L388" s="227" t="n"/>
      <c r="M388" s="227" t="n"/>
      <c r="N388" s="127" t="n"/>
      <c r="O388" s="227" t="n"/>
      <c r="P388" s="227" t="n"/>
      <c r="Q388" s="227" t="n"/>
      <c r="R388" s="227" t="n"/>
      <c r="S388" s="227" t="n"/>
      <c r="T388" s="227" t="n"/>
    </row>
    <row r="389">
      <c r="A389" s="145">
        <f>IF($B389="","",ROW()-5)</f>
        <v/>
      </c>
      <c r="B389" s="127" t="n"/>
      <c r="C389" s="223" t="n"/>
      <c r="D389" s="127" t="n"/>
      <c r="E389" s="227" t="n"/>
      <c r="F389" s="227" t="n"/>
      <c r="G389" s="227" t="n"/>
      <c r="H389" s="227" t="n"/>
      <c r="I389" s="227" t="n"/>
      <c r="J389" s="227" t="n"/>
      <c r="K389" s="227" t="n"/>
      <c r="L389" s="227" t="n"/>
      <c r="M389" s="227" t="n"/>
      <c r="N389" s="127" t="n"/>
      <c r="O389" s="227" t="n"/>
      <c r="P389" s="227" t="n"/>
      <c r="Q389" s="227" t="n"/>
      <c r="R389" s="227" t="n"/>
      <c r="S389" s="227" t="n"/>
      <c r="T389" s="227" t="n"/>
    </row>
    <row r="390">
      <c r="A390" s="145">
        <f>IF($B390="","",ROW()-5)</f>
        <v/>
      </c>
      <c r="B390" s="127" t="n"/>
      <c r="C390" s="223" t="n"/>
      <c r="D390" s="127" t="n"/>
      <c r="E390" s="227" t="n"/>
      <c r="F390" s="227" t="n"/>
      <c r="G390" s="227" t="n"/>
      <c r="H390" s="227" t="n"/>
      <c r="I390" s="227" t="n"/>
      <c r="J390" s="227" t="n"/>
      <c r="K390" s="227" t="n"/>
      <c r="L390" s="227" t="n"/>
      <c r="M390" s="227" t="n"/>
      <c r="N390" s="127" t="n"/>
      <c r="O390" s="227" t="n"/>
      <c r="P390" s="227" t="n"/>
      <c r="Q390" s="227" t="n"/>
      <c r="R390" s="227" t="n"/>
      <c r="S390" s="227" t="n"/>
      <c r="T390" s="227" t="n"/>
    </row>
    <row r="391">
      <c r="A391" s="145">
        <f>IF($B391="","",ROW()-5)</f>
        <v/>
      </c>
      <c r="B391" s="127" t="n"/>
      <c r="C391" s="223" t="n"/>
      <c r="D391" s="127" t="n"/>
      <c r="E391" s="227" t="n"/>
      <c r="F391" s="227" t="n"/>
      <c r="G391" s="227" t="n"/>
      <c r="H391" s="227" t="n"/>
      <c r="I391" s="227" t="n"/>
      <c r="J391" s="227" t="n"/>
      <c r="K391" s="227" t="n"/>
      <c r="L391" s="227" t="n"/>
      <c r="M391" s="227" t="n"/>
      <c r="N391" s="127" t="n"/>
      <c r="O391" s="227" t="n"/>
      <c r="P391" s="227" t="n"/>
      <c r="Q391" s="227" t="n"/>
      <c r="R391" s="227" t="n"/>
      <c r="S391" s="227" t="n"/>
      <c r="T391" s="227" t="n"/>
    </row>
    <row r="392">
      <c r="A392" s="145">
        <f>IF($B392="","",ROW()-5)</f>
        <v/>
      </c>
      <c r="B392" s="127" t="n"/>
      <c r="C392" s="223" t="n"/>
      <c r="D392" s="127" t="n"/>
      <c r="E392" s="227" t="n"/>
      <c r="F392" s="227" t="n"/>
      <c r="G392" s="227" t="n"/>
      <c r="H392" s="227" t="n"/>
      <c r="I392" s="227" t="n"/>
      <c r="J392" s="227" t="n"/>
      <c r="K392" s="227" t="n"/>
      <c r="L392" s="227" t="n"/>
      <c r="M392" s="227" t="n"/>
      <c r="N392" s="127" t="n"/>
      <c r="O392" s="227" t="n"/>
      <c r="P392" s="227" t="n"/>
      <c r="Q392" s="227" t="n"/>
      <c r="R392" s="227" t="n"/>
      <c r="S392" s="227" t="n"/>
      <c r="T392" s="227" t="n"/>
    </row>
    <row r="393">
      <c r="A393" s="145">
        <f>IF($B393="","",ROW()-5)</f>
        <v/>
      </c>
      <c r="B393" s="127" t="n"/>
      <c r="C393" s="223" t="n"/>
      <c r="D393" s="127" t="n"/>
      <c r="E393" s="227" t="n"/>
      <c r="F393" s="227" t="n"/>
      <c r="G393" s="227" t="n"/>
      <c r="H393" s="227" t="n"/>
      <c r="I393" s="227" t="n"/>
      <c r="J393" s="227" t="n"/>
      <c r="K393" s="227" t="n"/>
      <c r="L393" s="227" t="n"/>
      <c r="M393" s="227" t="n"/>
      <c r="N393" s="127" t="n"/>
      <c r="O393" s="227" t="n"/>
      <c r="P393" s="227" t="n"/>
      <c r="Q393" s="227" t="n"/>
      <c r="R393" s="227" t="n"/>
      <c r="S393" s="227" t="n"/>
      <c r="T393" s="227" t="n"/>
    </row>
    <row r="394">
      <c r="A394" s="145">
        <f>IF($B394="","",ROW()-5)</f>
        <v/>
      </c>
      <c r="B394" s="127" t="n"/>
      <c r="C394" s="223" t="n"/>
      <c r="D394" s="127" t="n"/>
      <c r="E394" s="227" t="n"/>
      <c r="F394" s="227" t="n"/>
      <c r="G394" s="227" t="n"/>
      <c r="H394" s="227" t="n"/>
      <c r="I394" s="227" t="n"/>
      <c r="J394" s="227" t="n"/>
      <c r="K394" s="227" t="n"/>
      <c r="L394" s="227" t="n"/>
      <c r="M394" s="227" t="n"/>
      <c r="N394" s="127" t="n"/>
      <c r="O394" s="227" t="n"/>
      <c r="P394" s="227" t="n"/>
      <c r="Q394" s="227" t="n"/>
      <c r="R394" s="227" t="n"/>
      <c r="S394" s="227" t="n"/>
      <c r="T394" s="227" t="n"/>
    </row>
    <row r="395">
      <c r="A395" s="145">
        <f>IF($B395="","",ROW()-5)</f>
        <v/>
      </c>
      <c r="B395" s="127" t="n"/>
      <c r="C395" s="223" t="n"/>
      <c r="D395" s="127" t="n"/>
      <c r="E395" s="227" t="n"/>
      <c r="F395" s="227" t="n"/>
      <c r="G395" s="227" t="n"/>
      <c r="H395" s="227" t="n"/>
      <c r="I395" s="227" t="n"/>
      <c r="J395" s="227" t="n"/>
      <c r="K395" s="227" t="n"/>
      <c r="L395" s="227" t="n"/>
      <c r="M395" s="227" t="n"/>
      <c r="N395" s="127" t="n"/>
      <c r="O395" s="227" t="n"/>
      <c r="P395" s="227" t="n"/>
      <c r="Q395" s="227" t="n"/>
      <c r="R395" s="227" t="n"/>
      <c r="S395" s="227" t="n"/>
      <c r="T395" s="227" t="n"/>
    </row>
    <row r="396">
      <c r="A396" s="145">
        <f>IF($B396="","",ROW()-5)</f>
        <v/>
      </c>
      <c r="B396" s="127" t="n"/>
      <c r="C396" s="223" t="n"/>
      <c r="D396" s="127" t="n"/>
      <c r="E396" s="227" t="n"/>
      <c r="F396" s="227" t="n"/>
      <c r="G396" s="227" t="n"/>
      <c r="H396" s="227" t="n"/>
      <c r="I396" s="227" t="n"/>
      <c r="J396" s="227" t="n"/>
      <c r="K396" s="227" t="n"/>
      <c r="L396" s="227" t="n"/>
      <c r="M396" s="227" t="n"/>
      <c r="N396" s="127" t="n"/>
      <c r="O396" s="227" t="n"/>
      <c r="P396" s="227" t="n"/>
      <c r="Q396" s="227" t="n"/>
      <c r="R396" s="227" t="n"/>
      <c r="S396" s="227" t="n"/>
      <c r="T396" s="227" t="n"/>
    </row>
    <row r="397">
      <c r="A397" s="145">
        <f>IF($B397="","",ROW()-5)</f>
        <v/>
      </c>
      <c r="B397" s="127" t="n"/>
      <c r="C397" s="223" t="n"/>
      <c r="D397" s="127" t="n"/>
      <c r="E397" s="227" t="n"/>
      <c r="F397" s="227" t="n"/>
      <c r="G397" s="227" t="n"/>
      <c r="H397" s="227" t="n"/>
      <c r="I397" s="227" t="n"/>
      <c r="J397" s="227" t="n"/>
      <c r="K397" s="227" t="n"/>
      <c r="L397" s="227" t="n"/>
      <c r="M397" s="227" t="n"/>
      <c r="N397" s="127" t="n"/>
      <c r="O397" s="227" t="n"/>
      <c r="P397" s="227" t="n"/>
      <c r="Q397" s="227" t="n"/>
      <c r="R397" s="227" t="n"/>
      <c r="S397" s="227" t="n"/>
      <c r="T397" s="227" t="n"/>
    </row>
    <row r="398">
      <c r="A398" s="145">
        <f>IF($B398="","",ROW()-5)</f>
        <v/>
      </c>
      <c r="B398" s="127" t="n"/>
      <c r="C398" s="223" t="n"/>
      <c r="D398" s="127" t="n"/>
      <c r="E398" s="227" t="n"/>
      <c r="F398" s="227" t="n"/>
      <c r="G398" s="227" t="n"/>
      <c r="H398" s="227" t="n"/>
      <c r="I398" s="227" t="n"/>
      <c r="J398" s="227" t="n"/>
      <c r="K398" s="227" t="n"/>
      <c r="L398" s="227" t="n"/>
      <c r="M398" s="227" t="n"/>
      <c r="N398" s="127" t="n"/>
      <c r="O398" s="227" t="n"/>
      <c r="P398" s="227" t="n"/>
      <c r="Q398" s="227" t="n"/>
      <c r="R398" s="227" t="n"/>
      <c r="S398" s="227" t="n"/>
      <c r="T398" s="227" t="n"/>
    </row>
    <row r="399">
      <c r="A399" s="145">
        <f>IF($B399="","",ROW()-5)</f>
        <v/>
      </c>
      <c r="B399" s="127" t="n"/>
      <c r="C399" s="223" t="n"/>
      <c r="D399" s="127" t="n"/>
      <c r="E399" s="227" t="n"/>
      <c r="F399" s="227" t="n"/>
      <c r="G399" s="227" t="n"/>
      <c r="H399" s="227" t="n"/>
      <c r="I399" s="227" t="n"/>
      <c r="J399" s="227" t="n"/>
      <c r="K399" s="227" t="n"/>
      <c r="L399" s="227" t="n"/>
      <c r="M399" s="227" t="n"/>
      <c r="N399" s="127" t="n"/>
      <c r="O399" s="227" t="n"/>
      <c r="P399" s="227" t="n"/>
      <c r="Q399" s="227" t="n"/>
      <c r="R399" s="227" t="n"/>
      <c r="S399" s="227" t="n"/>
      <c r="T399" s="227" t="n"/>
    </row>
    <row r="400">
      <c r="A400" s="145">
        <f>IF($B400="","",ROW()-5)</f>
        <v/>
      </c>
      <c r="B400" s="127" t="n"/>
      <c r="C400" s="223" t="n"/>
      <c r="D400" s="127" t="n"/>
      <c r="E400" s="227" t="n"/>
      <c r="F400" s="227" t="n"/>
      <c r="G400" s="227" t="n"/>
      <c r="H400" s="227" t="n"/>
      <c r="I400" s="227" t="n"/>
      <c r="J400" s="227" t="n"/>
      <c r="K400" s="227" t="n"/>
      <c r="L400" s="227" t="n"/>
      <c r="M400" s="227" t="n"/>
      <c r="N400" s="127" t="n"/>
      <c r="O400" s="227" t="n"/>
      <c r="P400" s="227" t="n"/>
      <c r="Q400" s="227" t="n"/>
      <c r="R400" s="227" t="n"/>
      <c r="S400" s="227" t="n"/>
      <c r="T400" s="227" t="n"/>
    </row>
    <row r="401">
      <c r="A401" s="145">
        <f>IF($B401="","",ROW()-5)</f>
        <v/>
      </c>
      <c r="B401" s="127" t="n"/>
      <c r="C401" s="223" t="n"/>
      <c r="D401" s="127" t="n"/>
      <c r="E401" s="227" t="n"/>
      <c r="F401" s="227" t="n"/>
      <c r="G401" s="227" t="n"/>
      <c r="H401" s="227" t="n"/>
      <c r="I401" s="227" t="n"/>
      <c r="J401" s="227" t="n"/>
      <c r="K401" s="227" t="n"/>
      <c r="L401" s="227" t="n"/>
      <c r="M401" s="227" t="n"/>
      <c r="N401" s="127" t="n"/>
      <c r="O401" s="227" t="n"/>
      <c r="P401" s="227" t="n"/>
      <c r="Q401" s="227" t="n"/>
      <c r="R401" s="227" t="n"/>
      <c r="S401" s="227" t="n"/>
      <c r="T401" s="227" t="n"/>
    </row>
    <row r="402">
      <c r="A402" s="145">
        <f>IF($B402="","",ROW()-5)</f>
        <v/>
      </c>
      <c r="B402" s="127" t="n"/>
      <c r="C402" s="223" t="n"/>
      <c r="D402" s="127" t="n"/>
      <c r="E402" s="227" t="n"/>
      <c r="F402" s="227" t="n"/>
      <c r="G402" s="227" t="n"/>
      <c r="H402" s="227" t="n"/>
      <c r="I402" s="227" t="n"/>
      <c r="J402" s="227" t="n"/>
      <c r="K402" s="227" t="n"/>
      <c r="L402" s="227" t="n"/>
      <c r="M402" s="227" t="n"/>
      <c r="N402" s="127" t="n"/>
      <c r="O402" s="227" t="n"/>
      <c r="P402" s="227" t="n"/>
      <c r="Q402" s="227" t="n"/>
      <c r="R402" s="227" t="n"/>
      <c r="S402" s="227" t="n"/>
      <c r="T402" s="227" t="n"/>
    </row>
    <row r="403">
      <c r="A403" s="145">
        <f>IF($B403="","",ROW()-5)</f>
        <v/>
      </c>
      <c r="B403" s="127" t="n"/>
      <c r="C403" s="223" t="n"/>
      <c r="D403" s="127" t="n"/>
      <c r="E403" s="227" t="n"/>
      <c r="F403" s="227" t="n"/>
      <c r="G403" s="227" t="n"/>
      <c r="H403" s="227" t="n"/>
      <c r="I403" s="227" t="n"/>
      <c r="J403" s="227" t="n"/>
      <c r="K403" s="227" t="n"/>
      <c r="L403" s="227" t="n"/>
      <c r="M403" s="227" t="n"/>
      <c r="N403" s="127" t="n"/>
      <c r="O403" s="227" t="n"/>
      <c r="P403" s="227" t="n"/>
      <c r="Q403" s="227" t="n"/>
      <c r="R403" s="227" t="n"/>
      <c r="S403" s="227" t="n"/>
      <c r="T403" s="227" t="n"/>
    </row>
    <row r="404">
      <c r="A404" s="145">
        <f>IF($B404="","",ROW()-5)</f>
        <v/>
      </c>
      <c r="B404" s="127" t="n"/>
      <c r="C404" s="223" t="n"/>
      <c r="D404" s="127" t="n"/>
      <c r="E404" s="227" t="n"/>
      <c r="F404" s="227" t="n"/>
      <c r="G404" s="227" t="n"/>
      <c r="H404" s="227" t="n"/>
      <c r="I404" s="227" t="n"/>
      <c r="J404" s="227" t="n"/>
      <c r="K404" s="227" t="n"/>
      <c r="L404" s="227" t="n"/>
      <c r="M404" s="227" t="n"/>
      <c r="N404" s="127" t="n"/>
      <c r="O404" s="227" t="n"/>
      <c r="P404" s="227" t="n"/>
      <c r="Q404" s="227" t="n"/>
      <c r="R404" s="227" t="n"/>
      <c r="S404" s="227" t="n"/>
      <c r="T404" s="227" t="n"/>
    </row>
    <row r="405">
      <c r="A405" s="145">
        <f>IF($B405="","",ROW()-5)</f>
        <v/>
      </c>
      <c r="B405" s="127" t="n"/>
      <c r="C405" s="223" t="n"/>
      <c r="D405" s="127" t="n"/>
      <c r="E405" s="227" t="n"/>
      <c r="F405" s="227" t="n"/>
      <c r="G405" s="227" t="n"/>
      <c r="H405" s="227" t="n"/>
      <c r="I405" s="227" t="n"/>
      <c r="J405" s="227" t="n"/>
      <c r="K405" s="227" t="n"/>
      <c r="L405" s="227" t="n"/>
      <c r="M405" s="227" t="n"/>
      <c r="N405" s="127" t="n"/>
      <c r="O405" s="227" t="n"/>
      <c r="P405" s="227" t="n"/>
      <c r="Q405" s="227" t="n"/>
      <c r="R405" s="227" t="n"/>
      <c r="S405" s="227" t="n"/>
      <c r="T405" s="227" t="n"/>
    </row>
    <row r="406">
      <c r="A406" s="145">
        <f>IF($B406="","",ROW()-5)</f>
        <v/>
      </c>
      <c r="B406" s="127" t="n"/>
      <c r="C406" s="223" t="n"/>
      <c r="D406" s="127" t="n"/>
      <c r="E406" s="227" t="n"/>
      <c r="F406" s="227" t="n"/>
      <c r="G406" s="227" t="n"/>
      <c r="H406" s="227" t="n"/>
      <c r="I406" s="227" t="n"/>
      <c r="J406" s="227" t="n"/>
      <c r="K406" s="227" t="n"/>
      <c r="L406" s="227" t="n"/>
      <c r="M406" s="227" t="n"/>
      <c r="N406" s="127" t="n"/>
      <c r="O406" s="227" t="n"/>
      <c r="P406" s="227" t="n"/>
      <c r="Q406" s="227" t="n"/>
      <c r="R406" s="227" t="n"/>
      <c r="S406" s="227" t="n"/>
      <c r="T406" s="227" t="n"/>
    </row>
    <row r="407">
      <c r="A407" s="145">
        <f>IF($B407="","",ROW()-5)</f>
        <v/>
      </c>
      <c r="B407" s="127" t="n"/>
      <c r="C407" s="223" t="n"/>
      <c r="D407" s="127" t="n"/>
      <c r="E407" s="227" t="n"/>
      <c r="F407" s="227" t="n"/>
      <c r="G407" s="227" t="n"/>
      <c r="H407" s="227" t="n"/>
      <c r="I407" s="227" t="n"/>
      <c r="J407" s="227" t="n"/>
      <c r="K407" s="227" t="n"/>
      <c r="L407" s="227" t="n"/>
      <c r="M407" s="227" t="n"/>
      <c r="N407" s="127" t="n"/>
      <c r="O407" s="227" t="n"/>
      <c r="P407" s="227" t="n"/>
      <c r="Q407" s="227" t="n"/>
      <c r="R407" s="227" t="n"/>
      <c r="S407" s="227" t="n"/>
      <c r="T407" s="227" t="n"/>
    </row>
    <row r="408">
      <c r="A408" s="145">
        <f>IF($B408="","",ROW()-5)</f>
        <v/>
      </c>
      <c r="B408" s="127" t="n"/>
      <c r="C408" s="223" t="n"/>
      <c r="D408" s="127" t="n"/>
      <c r="E408" s="227" t="n"/>
      <c r="F408" s="227" t="n"/>
      <c r="G408" s="227" t="n"/>
      <c r="H408" s="227" t="n"/>
      <c r="I408" s="227" t="n"/>
      <c r="J408" s="227" t="n"/>
      <c r="K408" s="227" t="n"/>
      <c r="L408" s="227" t="n"/>
      <c r="M408" s="227" t="n"/>
      <c r="N408" s="127" t="n"/>
      <c r="O408" s="227" t="n"/>
      <c r="P408" s="227" t="n"/>
      <c r="Q408" s="227" t="n"/>
      <c r="R408" s="227" t="n"/>
      <c r="S408" s="227" t="n"/>
      <c r="T408" s="227" t="n"/>
    </row>
    <row r="409">
      <c r="A409" s="145">
        <f>IF($B409="","",ROW()-5)</f>
        <v/>
      </c>
      <c r="B409" s="127" t="n"/>
      <c r="C409" s="223" t="n"/>
      <c r="D409" s="127" t="n"/>
      <c r="E409" s="227" t="n"/>
      <c r="F409" s="227" t="n"/>
      <c r="G409" s="227" t="n"/>
      <c r="H409" s="227" t="n"/>
      <c r="I409" s="227" t="n"/>
      <c r="J409" s="227" t="n"/>
      <c r="K409" s="227" t="n"/>
      <c r="L409" s="227" t="n"/>
      <c r="M409" s="227" t="n"/>
      <c r="N409" s="127" t="n"/>
      <c r="O409" s="227" t="n"/>
      <c r="P409" s="227" t="n"/>
      <c r="Q409" s="227" t="n"/>
      <c r="R409" s="227" t="n"/>
      <c r="S409" s="227" t="n"/>
      <c r="T409" s="227" t="n"/>
    </row>
    <row r="410">
      <c r="A410" s="145">
        <f>IF($B410="","",ROW()-5)</f>
        <v/>
      </c>
      <c r="B410" s="127" t="n"/>
      <c r="C410" s="223" t="n"/>
      <c r="D410" s="127" t="n"/>
      <c r="E410" s="227" t="n"/>
      <c r="F410" s="227" t="n"/>
      <c r="G410" s="227" t="n"/>
      <c r="H410" s="227" t="n"/>
      <c r="I410" s="227" t="n"/>
      <c r="J410" s="227" t="n"/>
      <c r="K410" s="227" t="n"/>
      <c r="L410" s="227" t="n"/>
      <c r="M410" s="227" t="n"/>
      <c r="N410" s="127" t="n"/>
      <c r="O410" s="227" t="n"/>
      <c r="P410" s="227" t="n"/>
      <c r="Q410" s="227" t="n"/>
      <c r="R410" s="227" t="n"/>
      <c r="S410" s="227" t="n"/>
      <c r="T410" s="227" t="n"/>
    </row>
    <row r="411">
      <c r="A411" s="145">
        <f>IF($B411="","",ROW()-5)</f>
        <v/>
      </c>
      <c r="B411" s="127" t="n"/>
      <c r="C411" s="223" t="n"/>
      <c r="D411" s="127" t="n"/>
      <c r="E411" s="227" t="n"/>
      <c r="F411" s="227" t="n"/>
      <c r="G411" s="227" t="n"/>
      <c r="H411" s="227" t="n"/>
      <c r="I411" s="227" t="n"/>
      <c r="J411" s="227" t="n"/>
      <c r="K411" s="227" t="n"/>
      <c r="L411" s="227" t="n"/>
      <c r="M411" s="227" t="n"/>
      <c r="N411" s="127" t="n"/>
      <c r="O411" s="227" t="n"/>
      <c r="P411" s="227" t="n"/>
      <c r="Q411" s="227" t="n"/>
      <c r="R411" s="227" t="n"/>
      <c r="S411" s="227" t="n"/>
      <c r="T411" s="227" t="n"/>
    </row>
    <row r="412">
      <c r="A412" s="145">
        <f>IF($B412="","",ROW()-5)</f>
        <v/>
      </c>
      <c r="B412" s="127" t="n"/>
      <c r="C412" s="223" t="n"/>
      <c r="D412" s="127" t="n"/>
      <c r="E412" s="227" t="n"/>
      <c r="F412" s="227" t="n"/>
      <c r="G412" s="227" t="n"/>
      <c r="H412" s="227" t="n"/>
      <c r="I412" s="227" t="n"/>
      <c r="J412" s="227" t="n"/>
      <c r="K412" s="227" t="n"/>
      <c r="L412" s="227" t="n"/>
      <c r="M412" s="227" t="n"/>
      <c r="N412" s="127" t="n"/>
      <c r="O412" s="227" t="n"/>
      <c r="P412" s="227" t="n"/>
      <c r="Q412" s="227" t="n"/>
      <c r="R412" s="227" t="n"/>
      <c r="S412" s="227" t="n"/>
      <c r="T412" s="227" t="n"/>
    </row>
    <row r="413">
      <c r="A413" s="145">
        <f>IF($B413="","",ROW()-5)</f>
        <v/>
      </c>
      <c r="B413" s="127" t="n"/>
      <c r="C413" s="223" t="n"/>
      <c r="D413" s="127" t="n"/>
      <c r="E413" s="227" t="n"/>
      <c r="F413" s="227" t="n"/>
      <c r="G413" s="227" t="n"/>
      <c r="H413" s="227" t="n"/>
      <c r="I413" s="227" t="n"/>
      <c r="J413" s="227" t="n"/>
      <c r="K413" s="227" t="n"/>
      <c r="L413" s="227" t="n"/>
      <c r="M413" s="227" t="n"/>
      <c r="N413" s="127" t="n"/>
      <c r="O413" s="227" t="n"/>
      <c r="P413" s="227" t="n"/>
      <c r="Q413" s="227" t="n"/>
      <c r="R413" s="227" t="n"/>
      <c r="S413" s="227" t="n"/>
      <c r="T413" s="227" t="n"/>
    </row>
    <row r="414">
      <c r="A414" s="145">
        <f>IF($B414="","",ROW()-5)</f>
        <v/>
      </c>
      <c r="B414" s="127" t="n"/>
      <c r="C414" s="223" t="n"/>
      <c r="D414" s="127" t="n"/>
      <c r="E414" s="227" t="n"/>
      <c r="F414" s="227" t="n"/>
      <c r="G414" s="227" t="n"/>
      <c r="H414" s="227" t="n"/>
      <c r="I414" s="227" t="n"/>
      <c r="J414" s="227" t="n"/>
      <c r="K414" s="227" t="n"/>
      <c r="L414" s="227" t="n"/>
      <c r="M414" s="227" t="n"/>
      <c r="N414" s="127" t="n"/>
      <c r="O414" s="227" t="n"/>
      <c r="P414" s="227" t="n"/>
      <c r="Q414" s="227" t="n"/>
      <c r="R414" s="227" t="n"/>
      <c r="S414" s="227" t="n"/>
      <c r="T414" s="227" t="n"/>
    </row>
    <row r="415">
      <c r="A415" s="145">
        <f>IF($B415="","",ROW()-5)</f>
        <v/>
      </c>
      <c r="B415" s="127" t="n"/>
      <c r="C415" s="223" t="n"/>
      <c r="D415" s="127" t="n"/>
      <c r="E415" s="227" t="n"/>
      <c r="F415" s="227" t="n"/>
      <c r="G415" s="227" t="n"/>
      <c r="H415" s="227" t="n"/>
      <c r="I415" s="227" t="n"/>
      <c r="J415" s="227" t="n"/>
      <c r="K415" s="227" t="n"/>
      <c r="L415" s="227" t="n"/>
      <c r="M415" s="227" t="n"/>
      <c r="N415" s="127" t="n"/>
      <c r="O415" s="227" t="n"/>
      <c r="P415" s="227" t="n"/>
      <c r="Q415" s="227" t="n"/>
      <c r="R415" s="227" t="n"/>
      <c r="S415" s="227" t="n"/>
      <c r="T415" s="227" t="n"/>
    </row>
    <row r="416">
      <c r="A416" s="145">
        <f>IF($B416="","",ROW()-5)</f>
        <v/>
      </c>
      <c r="B416" s="127" t="n"/>
      <c r="C416" s="223" t="n"/>
      <c r="D416" s="127" t="n"/>
      <c r="E416" s="227" t="n"/>
      <c r="F416" s="227" t="n"/>
      <c r="G416" s="227" t="n"/>
      <c r="H416" s="227" t="n"/>
      <c r="I416" s="227" t="n"/>
      <c r="J416" s="227" t="n"/>
      <c r="K416" s="227" t="n"/>
      <c r="L416" s="227" t="n"/>
      <c r="M416" s="227" t="n"/>
      <c r="N416" s="127" t="n"/>
      <c r="O416" s="227" t="n"/>
      <c r="P416" s="227" t="n"/>
      <c r="Q416" s="227" t="n"/>
      <c r="R416" s="227" t="n"/>
      <c r="S416" s="227" t="n"/>
      <c r="T416" s="227" t="n"/>
    </row>
    <row r="417">
      <c r="A417" s="145">
        <f>IF($B417="","",ROW()-5)</f>
        <v/>
      </c>
      <c r="B417" s="127" t="n"/>
      <c r="C417" s="223" t="n"/>
      <c r="D417" s="127" t="n"/>
      <c r="E417" s="227" t="n"/>
      <c r="F417" s="227" t="n"/>
      <c r="G417" s="227" t="n"/>
      <c r="H417" s="227" t="n"/>
      <c r="I417" s="227" t="n"/>
      <c r="J417" s="227" t="n"/>
      <c r="K417" s="227" t="n"/>
      <c r="L417" s="227" t="n"/>
      <c r="M417" s="227" t="n"/>
      <c r="N417" s="127" t="n"/>
      <c r="O417" s="227" t="n"/>
      <c r="P417" s="227" t="n"/>
      <c r="Q417" s="227" t="n"/>
      <c r="R417" s="227" t="n"/>
      <c r="S417" s="227" t="n"/>
      <c r="T417" s="227" t="n"/>
    </row>
    <row r="418">
      <c r="A418" s="145">
        <f>IF($B418="","",ROW()-5)</f>
        <v/>
      </c>
      <c r="B418" s="127" t="n"/>
      <c r="C418" s="223" t="n"/>
      <c r="D418" s="127" t="n"/>
      <c r="E418" s="227" t="n"/>
      <c r="F418" s="227" t="n"/>
      <c r="G418" s="227" t="n"/>
      <c r="H418" s="227" t="n"/>
      <c r="I418" s="227" t="n"/>
      <c r="J418" s="227" t="n"/>
      <c r="K418" s="227" t="n"/>
      <c r="L418" s="227" t="n"/>
      <c r="M418" s="227" t="n"/>
      <c r="N418" s="127" t="n"/>
      <c r="O418" s="227" t="n"/>
      <c r="P418" s="227" t="n"/>
      <c r="Q418" s="227" t="n"/>
      <c r="R418" s="227" t="n"/>
      <c r="S418" s="227" t="n"/>
      <c r="T418" s="227" t="n"/>
    </row>
    <row r="419">
      <c r="A419" s="145">
        <f>IF($B419="","",ROW()-5)</f>
        <v/>
      </c>
      <c r="B419" s="127" t="n"/>
      <c r="C419" s="223" t="n"/>
      <c r="D419" s="127" t="n"/>
      <c r="E419" s="227" t="n"/>
      <c r="F419" s="227" t="n"/>
      <c r="G419" s="227" t="n"/>
      <c r="H419" s="227" t="n"/>
      <c r="I419" s="227" t="n"/>
      <c r="J419" s="227" t="n"/>
      <c r="K419" s="227" t="n"/>
      <c r="L419" s="227" t="n"/>
      <c r="M419" s="227" t="n"/>
      <c r="N419" s="127" t="n"/>
      <c r="O419" s="227" t="n"/>
      <c r="P419" s="227" t="n"/>
      <c r="Q419" s="227" t="n"/>
      <c r="R419" s="227" t="n"/>
      <c r="S419" s="227" t="n"/>
      <c r="T419" s="227" t="n"/>
    </row>
    <row r="420">
      <c r="A420" s="145">
        <f>IF($B420="","",ROW()-5)</f>
        <v/>
      </c>
      <c r="B420" s="127" t="n"/>
      <c r="C420" s="223" t="n"/>
      <c r="D420" s="127" t="n"/>
      <c r="E420" s="227" t="n"/>
      <c r="F420" s="227" t="n"/>
      <c r="G420" s="227" t="n"/>
      <c r="H420" s="227" t="n"/>
      <c r="I420" s="227" t="n"/>
      <c r="J420" s="227" t="n"/>
      <c r="K420" s="227" t="n"/>
      <c r="L420" s="227" t="n"/>
      <c r="M420" s="227" t="n"/>
      <c r="N420" s="127" t="n"/>
      <c r="O420" s="227" t="n"/>
      <c r="P420" s="227" t="n"/>
      <c r="Q420" s="227" t="n"/>
      <c r="R420" s="227" t="n"/>
      <c r="S420" s="227" t="n"/>
      <c r="T420" s="227" t="n"/>
    </row>
    <row r="421">
      <c r="A421" s="145">
        <f>IF($B421="","",ROW()-5)</f>
        <v/>
      </c>
      <c r="B421" s="127" t="n"/>
      <c r="C421" s="223" t="n"/>
      <c r="D421" s="127" t="n"/>
      <c r="E421" s="227" t="n"/>
      <c r="F421" s="227" t="n"/>
      <c r="G421" s="227" t="n"/>
      <c r="H421" s="227" t="n"/>
      <c r="I421" s="227" t="n"/>
      <c r="J421" s="227" t="n"/>
      <c r="K421" s="227" t="n"/>
      <c r="L421" s="227" t="n"/>
      <c r="M421" s="227" t="n"/>
      <c r="N421" s="127" t="n"/>
      <c r="O421" s="227" t="n"/>
      <c r="P421" s="227" t="n"/>
      <c r="Q421" s="227" t="n"/>
      <c r="R421" s="227" t="n"/>
      <c r="S421" s="227" t="n"/>
      <c r="T421" s="227" t="n"/>
    </row>
    <row r="422">
      <c r="A422" s="145">
        <f>IF($B422="","",ROW()-5)</f>
        <v/>
      </c>
      <c r="B422" s="127" t="n"/>
      <c r="C422" s="223" t="n"/>
      <c r="D422" s="127" t="n"/>
      <c r="E422" s="227" t="n"/>
      <c r="F422" s="227" t="n"/>
      <c r="G422" s="227" t="n"/>
      <c r="H422" s="227" t="n"/>
      <c r="I422" s="227" t="n"/>
      <c r="J422" s="227" t="n"/>
      <c r="K422" s="227" t="n"/>
      <c r="L422" s="227" t="n"/>
      <c r="M422" s="227" t="n"/>
      <c r="N422" s="127" t="n"/>
      <c r="O422" s="227" t="n"/>
      <c r="P422" s="227" t="n"/>
      <c r="Q422" s="227" t="n"/>
      <c r="R422" s="227" t="n"/>
      <c r="S422" s="227" t="n"/>
      <c r="T422" s="227" t="n"/>
    </row>
    <row r="423">
      <c r="A423" s="145">
        <f>IF($B423="","",ROW()-5)</f>
        <v/>
      </c>
      <c r="B423" s="127" t="n"/>
      <c r="C423" s="223" t="n"/>
      <c r="D423" s="127" t="n"/>
      <c r="E423" s="227" t="n"/>
      <c r="F423" s="227" t="n"/>
      <c r="G423" s="227" t="n"/>
      <c r="H423" s="227" t="n"/>
      <c r="I423" s="227" t="n"/>
      <c r="J423" s="227" t="n"/>
      <c r="K423" s="227" t="n"/>
      <c r="L423" s="227" t="n"/>
      <c r="M423" s="227" t="n"/>
      <c r="N423" s="127" t="n"/>
      <c r="O423" s="227" t="n"/>
      <c r="P423" s="227" t="n"/>
      <c r="Q423" s="227" t="n"/>
      <c r="R423" s="227" t="n"/>
      <c r="S423" s="227" t="n"/>
      <c r="T423" s="227" t="n"/>
    </row>
    <row r="424">
      <c r="A424" s="145">
        <f>IF($B424="","",ROW()-5)</f>
        <v/>
      </c>
      <c r="B424" s="127" t="n"/>
      <c r="C424" s="223" t="n"/>
      <c r="D424" s="127" t="n"/>
      <c r="E424" s="227" t="n"/>
      <c r="F424" s="227" t="n"/>
      <c r="G424" s="227" t="n"/>
      <c r="H424" s="227" t="n"/>
      <c r="I424" s="227" t="n"/>
      <c r="J424" s="227" t="n"/>
      <c r="K424" s="227" t="n"/>
      <c r="L424" s="227" t="n"/>
      <c r="M424" s="227" t="n"/>
      <c r="N424" s="127" t="n"/>
      <c r="O424" s="227" t="n"/>
      <c r="P424" s="227" t="n"/>
      <c r="Q424" s="227" t="n"/>
      <c r="R424" s="227" t="n"/>
      <c r="S424" s="227" t="n"/>
      <c r="T424" s="227" t="n"/>
    </row>
    <row r="425">
      <c r="A425" s="145">
        <f>IF($B425="","",ROW()-5)</f>
        <v/>
      </c>
      <c r="B425" s="127" t="n"/>
      <c r="C425" s="223" t="n"/>
      <c r="D425" s="127" t="n"/>
      <c r="E425" s="227" t="n"/>
      <c r="F425" s="227" t="n"/>
      <c r="G425" s="227" t="n"/>
      <c r="H425" s="227" t="n"/>
      <c r="I425" s="227" t="n"/>
      <c r="J425" s="227" t="n"/>
      <c r="K425" s="227" t="n"/>
      <c r="L425" s="227" t="n"/>
      <c r="M425" s="227" t="n"/>
      <c r="N425" s="127" t="n"/>
      <c r="O425" s="227" t="n"/>
      <c r="P425" s="227" t="n"/>
      <c r="Q425" s="227" t="n"/>
      <c r="R425" s="227" t="n"/>
      <c r="S425" s="227" t="n"/>
      <c r="T425" s="227" t="n"/>
    </row>
    <row r="426">
      <c r="A426" s="145">
        <f>IF($B426="","",ROW()-5)</f>
        <v/>
      </c>
      <c r="B426" s="127" t="n"/>
      <c r="C426" s="223" t="n"/>
      <c r="D426" s="127" t="n"/>
      <c r="E426" s="227" t="n"/>
      <c r="F426" s="227" t="n"/>
      <c r="G426" s="227" t="n"/>
      <c r="H426" s="227" t="n"/>
      <c r="I426" s="227" t="n"/>
      <c r="J426" s="227" t="n"/>
      <c r="K426" s="227" t="n"/>
      <c r="L426" s="227" t="n"/>
      <c r="M426" s="227" t="n"/>
      <c r="N426" s="127" t="n"/>
      <c r="O426" s="227" t="n"/>
      <c r="P426" s="227" t="n"/>
      <c r="Q426" s="227" t="n"/>
      <c r="R426" s="227" t="n"/>
      <c r="S426" s="227" t="n"/>
      <c r="T426" s="227" t="n"/>
    </row>
    <row r="427">
      <c r="A427" s="145">
        <f>IF($B427="","",ROW()-5)</f>
        <v/>
      </c>
      <c r="B427" s="127" t="n"/>
      <c r="C427" s="223" t="n"/>
      <c r="D427" s="127" t="n"/>
      <c r="E427" s="227" t="n"/>
      <c r="F427" s="227" t="n"/>
      <c r="G427" s="227" t="n"/>
      <c r="H427" s="227" t="n"/>
      <c r="I427" s="227" t="n"/>
      <c r="J427" s="227" t="n"/>
      <c r="K427" s="227" t="n"/>
      <c r="L427" s="227" t="n"/>
      <c r="M427" s="227" t="n"/>
      <c r="N427" s="127" t="n"/>
      <c r="O427" s="227" t="n"/>
      <c r="P427" s="227" t="n"/>
      <c r="Q427" s="227" t="n"/>
      <c r="R427" s="227" t="n"/>
      <c r="S427" s="227" t="n"/>
      <c r="T427" s="227" t="n"/>
    </row>
    <row r="428">
      <c r="A428" s="145">
        <f>IF($B428="","",ROW()-5)</f>
        <v/>
      </c>
      <c r="B428" s="127" t="n"/>
      <c r="C428" s="223" t="n"/>
      <c r="D428" s="127" t="n"/>
      <c r="E428" s="227" t="n"/>
      <c r="F428" s="227" t="n"/>
      <c r="G428" s="227" t="n"/>
      <c r="H428" s="227" t="n"/>
      <c r="I428" s="227" t="n"/>
      <c r="J428" s="227" t="n"/>
      <c r="K428" s="227" t="n"/>
      <c r="L428" s="227" t="n"/>
      <c r="M428" s="227" t="n"/>
      <c r="N428" s="127" t="n"/>
      <c r="O428" s="227" t="n"/>
      <c r="P428" s="227" t="n"/>
      <c r="Q428" s="227" t="n"/>
      <c r="R428" s="227" t="n"/>
      <c r="S428" s="227" t="n"/>
      <c r="T428" s="227" t="n"/>
    </row>
    <row r="429">
      <c r="A429" s="145">
        <f>IF($B429="","",ROW()-5)</f>
        <v/>
      </c>
      <c r="B429" s="127" t="n"/>
      <c r="C429" s="223" t="n"/>
      <c r="D429" s="127" t="n"/>
      <c r="E429" s="227" t="n"/>
      <c r="F429" s="227" t="n"/>
      <c r="G429" s="227" t="n"/>
      <c r="H429" s="227" t="n"/>
      <c r="I429" s="227" t="n"/>
      <c r="J429" s="227" t="n"/>
      <c r="K429" s="227" t="n"/>
      <c r="L429" s="227" t="n"/>
      <c r="M429" s="227" t="n"/>
      <c r="N429" s="127" t="n"/>
      <c r="O429" s="227" t="n"/>
      <c r="P429" s="227" t="n"/>
      <c r="Q429" s="227" t="n"/>
      <c r="R429" s="227" t="n"/>
      <c r="S429" s="227" t="n"/>
      <c r="T429" s="227" t="n"/>
    </row>
    <row r="430">
      <c r="A430" s="145">
        <f>IF($B430="","",ROW()-5)</f>
        <v/>
      </c>
      <c r="B430" s="127" t="n"/>
      <c r="C430" s="223" t="n"/>
      <c r="D430" s="127" t="n"/>
      <c r="E430" s="227" t="n"/>
      <c r="F430" s="227" t="n"/>
      <c r="G430" s="227" t="n"/>
      <c r="H430" s="227" t="n"/>
      <c r="I430" s="227" t="n"/>
      <c r="J430" s="227" t="n"/>
      <c r="K430" s="227" t="n"/>
      <c r="L430" s="227" t="n"/>
      <c r="M430" s="227" t="n"/>
      <c r="N430" s="127" t="n"/>
      <c r="O430" s="227" t="n"/>
      <c r="P430" s="227" t="n"/>
      <c r="Q430" s="227" t="n"/>
      <c r="R430" s="227" t="n"/>
      <c r="S430" s="227" t="n"/>
      <c r="T430" s="227" t="n"/>
    </row>
    <row r="431">
      <c r="A431" s="145">
        <f>IF($B431="","",ROW()-5)</f>
        <v/>
      </c>
      <c r="B431" s="127" t="n"/>
      <c r="C431" s="223" t="n"/>
      <c r="D431" s="127" t="n"/>
      <c r="E431" s="227" t="n"/>
      <c r="F431" s="227" t="n"/>
      <c r="G431" s="227" t="n"/>
      <c r="H431" s="227" t="n"/>
      <c r="I431" s="227" t="n"/>
      <c r="J431" s="227" t="n"/>
      <c r="K431" s="227" t="n"/>
      <c r="L431" s="227" t="n"/>
      <c r="M431" s="227" t="n"/>
      <c r="N431" s="127" t="n"/>
      <c r="O431" s="227" t="n"/>
      <c r="P431" s="227" t="n"/>
      <c r="Q431" s="227" t="n"/>
      <c r="R431" s="227" t="n"/>
      <c r="S431" s="227" t="n"/>
      <c r="T431" s="227" t="n"/>
    </row>
    <row r="432">
      <c r="A432" s="145">
        <f>IF($B432="","",ROW()-5)</f>
        <v/>
      </c>
      <c r="B432" s="127" t="n"/>
      <c r="C432" s="223" t="n"/>
      <c r="D432" s="127" t="n"/>
      <c r="E432" s="227" t="n"/>
      <c r="F432" s="227" t="n"/>
      <c r="G432" s="227" t="n"/>
      <c r="H432" s="227" t="n"/>
      <c r="I432" s="227" t="n"/>
      <c r="J432" s="227" t="n"/>
      <c r="K432" s="227" t="n"/>
      <c r="L432" s="227" t="n"/>
      <c r="M432" s="227" t="n"/>
      <c r="N432" s="127" t="n"/>
      <c r="O432" s="227" t="n"/>
      <c r="P432" s="227" t="n"/>
      <c r="Q432" s="227" t="n"/>
      <c r="R432" s="227" t="n"/>
      <c r="S432" s="227" t="n"/>
      <c r="T432" s="227" t="n"/>
    </row>
    <row r="433">
      <c r="A433" s="145">
        <f>IF($B433="","",ROW()-5)</f>
        <v/>
      </c>
      <c r="B433" s="127" t="n"/>
      <c r="C433" s="223" t="n"/>
      <c r="D433" s="127" t="n"/>
      <c r="E433" s="227" t="n"/>
      <c r="F433" s="227" t="n"/>
      <c r="G433" s="227" t="n"/>
      <c r="H433" s="227" t="n"/>
      <c r="I433" s="227" t="n"/>
      <c r="J433" s="227" t="n"/>
      <c r="K433" s="227" t="n"/>
      <c r="L433" s="227" t="n"/>
      <c r="M433" s="227" t="n"/>
      <c r="N433" s="127" t="n"/>
      <c r="O433" s="227" t="n"/>
      <c r="P433" s="227" t="n"/>
      <c r="Q433" s="227" t="n"/>
      <c r="R433" s="227" t="n"/>
      <c r="S433" s="227" t="n"/>
      <c r="T433" s="227" t="n"/>
    </row>
    <row r="434">
      <c r="A434" s="145">
        <f>IF($B434="","",ROW()-5)</f>
        <v/>
      </c>
      <c r="B434" s="127" t="n"/>
      <c r="C434" s="223" t="n"/>
      <c r="D434" s="127" t="n"/>
      <c r="E434" s="227" t="n"/>
      <c r="F434" s="227" t="n"/>
      <c r="G434" s="227" t="n"/>
      <c r="H434" s="227" t="n"/>
      <c r="I434" s="227" t="n"/>
      <c r="J434" s="227" t="n"/>
      <c r="K434" s="227" t="n"/>
      <c r="L434" s="227" t="n"/>
      <c r="M434" s="227" t="n"/>
      <c r="N434" s="127" t="n"/>
      <c r="O434" s="227" t="n"/>
      <c r="P434" s="227" t="n"/>
      <c r="Q434" s="227" t="n"/>
      <c r="R434" s="227" t="n"/>
      <c r="S434" s="227" t="n"/>
      <c r="T434" s="227" t="n"/>
    </row>
    <row r="435">
      <c r="A435" s="145">
        <f>IF($B435="","",ROW()-5)</f>
        <v/>
      </c>
      <c r="B435" s="127" t="n"/>
      <c r="C435" s="223" t="n"/>
      <c r="D435" s="127" t="n"/>
      <c r="E435" s="227" t="n"/>
      <c r="F435" s="227" t="n"/>
      <c r="G435" s="227" t="n"/>
      <c r="H435" s="227" t="n"/>
      <c r="I435" s="227" t="n"/>
      <c r="J435" s="227" t="n"/>
      <c r="K435" s="227" t="n"/>
      <c r="L435" s="227" t="n"/>
      <c r="M435" s="227" t="n"/>
      <c r="N435" s="127" t="n"/>
      <c r="O435" s="227" t="n"/>
      <c r="P435" s="227" t="n"/>
      <c r="Q435" s="227" t="n"/>
      <c r="R435" s="227" t="n"/>
      <c r="S435" s="227" t="n"/>
      <c r="T435" s="227" t="n"/>
    </row>
    <row r="436">
      <c r="A436" s="145">
        <f>IF($B436="","",ROW()-5)</f>
        <v/>
      </c>
      <c r="B436" s="127" t="n"/>
      <c r="C436" s="223" t="n"/>
      <c r="D436" s="127" t="n"/>
      <c r="E436" s="227" t="n"/>
      <c r="F436" s="227" t="n"/>
      <c r="G436" s="227" t="n"/>
      <c r="H436" s="227" t="n"/>
      <c r="I436" s="227" t="n"/>
      <c r="J436" s="227" t="n"/>
      <c r="K436" s="227" t="n"/>
      <c r="L436" s="227" t="n"/>
      <c r="M436" s="227" t="n"/>
      <c r="N436" s="127" t="n"/>
      <c r="O436" s="227" t="n"/>
      <c r="P436" s="227" t="n"/>
      <c r="Q436" s="227" t="n"/>
      <c r="R436" s="227" t="n"/>
      <c r="S436" s="227" t="n"/>
      <c r="T436" s="227" t="n"/>
    </row>
    <row r="437">
      <c r="A437" s="145">
        <f>IF($B437="","",ROW()-5)</f>
        <v/>
      </c>
      <c r="B437" s="127" t="n"/>
      <c r="C437" s="223" t="n"/>
      <c r="D437" s="127" t="n"/>
      <c r="E437" s="227" t="n"/>
      <c r="F437" s="227" t="n"/>
      <c r="G437" s="227" t="n"/>
      <c r="H437" s="227" t="n"/>
      <c r="I437" s="227" t="n"/>
      <c r="J437" s="227" t="n"/>
      <c r="K437" s="227" t="n"/>
      <c r="L437" s="227" t="n"/>
      <c r="M437" s="227" t="n"/>
      <c r="N437" s="127" t="n"/>
      <c r="O437" s="227" t="n"/>
      <c r="P437" s="227" t="n"/>
      <c r="Q437" s="227" t="n"/>
      <c r="R437" s="227" t="n"/>
      <c r="S437" s="227" t="n"/>
      <c r="T437" s="227" t="n"/>
    </row>
    <row r="438">
      <c r="A438" s="145">
        <f>IF($B438="","",ROW()-5)</f>
        <v/>
      </c>
      <c r="B438" s="127" t="n"/>
      <c r="C438" s="223" t="n"/>
      <c r="D438" s="127" t="n"/>
      <c r="E438" s="227" t="n"/>
      <c r="F438" s="227" t="n"/>
      <c r="G438" s="227" t="n"/>
      <c r="H438" s="227" t="n"/>
      <c r="I438" s="227" t="n"/>
      <c r="J438" s="227" t="n"/>
      <c r="K438" s="227" t="n"/>
      <c r="L438" s="227" t="n"/>
      <c r="M438" s="227" t="n"/>
      <c r="N438" s="127" t="n"/>
      <c r="O438" s="227" t="n"/>
      <c r="P438" s="227" t="n"/>
      <c r="Q438" s="227" t="n"/>
      <c r="R438" s="227" t="n"/>
      <c r="S438" s="227" t="n"/>
      <c r="T438" s="227" t="n"/>
    </row>
    <row r="439">
      <c r="A439" s="145">
        <f>IF($B439="","",ROW()-5)</f>
        <v/>
      </c>
      <c r="B439" s="127" t="n"/>
      <c r="C439" s="223" t="n"/>
      <c r="D439" s="127" t="n"/>
      <c r="E439" s="227" t="n"/>
      <c r="F439" s="227" t="n"/>
      <c r="G439" s="227" t="n"/>
      <c r="H439" s="227" t="n"/>
      <c r="I439" s="227" t="n"/>
      <c r="J439" s="227" t="n"/>
      <c r="K439" s="227" t="n"/>
      <c r="L439" s="227" t="n"/>
      <c r="M439" s="227" t="n"/>
      <c r="N439" s="127" t="n"/>
      <c r="O439" s="227" t="n"/>
      <c r="P439" s="227" t="n"/>
      <c r="Q439" s="227" t="n"/>
      <c r="R439" s="227" t="n"/>
      <c r="S439" s="227" t="n"/>
      <c r="T439" s="227" t="n"/>
    </row>
    <row r="440">
      <c r="A440" s="145">
        <f>IF($B440="","",ROW()-5)</f>
        <v/>
      </c>
      <c r="B440" s="127" t="n"/>
      <c r="C440" s="223" t="n"/>
      <c r="D440" s="127" t="n"/>
      <c r="E440" s="227" t="n"/>
      <c r="F440" s="227" t="n"/>
      <c r="G440" s="227" t="n"/>
      <c r="H440" s="227" t="n"/>
      <c r="I440" s="227" t="n"/>
      <c r="J440" s="227" t="n"/>
      <c r="K440" s="227" t="n"/>
      <c r="L440" s="227" t="n"/>
      <c r="M440" s="227" t="n"/>
      <c r="N440" s="127" t="n"/>
      <c r="O440" s="227" t="n"/>
      <c r="P440" s="227" t="n"/>
      <c r="Q440" s="227" t="n"/>
      <c r="R440" s="227" t="n"/>
      <c r="S440" s="227" t="n"/>
      <c r="T440" s="227" t="n"/>
    </row>
    <row r="441">
      <c r="A441" s="145">
        <f>IF($B441="","",ROW()-5)</f>
        <v/>
      </c>
      <c r="B441" s="127" t="n"/>
      <c r="C441" s="223" t="n"/>
      <c r="D441" s="127" t="n"/>
      <c r="E441" s="227" t="n"/>
      <c r="F441" s="227" t="n"/>
      <c r="G441" s="227" t="n"/>
      <c r="H441" s="227" t="n"/>
      <c r="I441" s="227" t="n"/>
      <c r="J441" s="227" t="n"/>
      <c r="K441" s="227" t="n"/>
      <c r="L441" s="227" t="n"/>
      <c r="M441" s="227" t="n"/>
      <c r="N441" s="127" t="n"/>
      <c r="O441" s="227" t="n"/>
      <c r="P441" s="227" t="n"/>
      <c r="Q441" s="227" t="n"/>
      <c r="R441" s="227" t="n"/>
      <c r="S441" s="227" t="n"/>
      <c r="T441" s="227" t="n"/>
    </row>
    <row r="442">
      <c r="A442" s="145">
        <f>IF($B442="","",ROW()-5)</f>
        <v/>
      </c>
      <c r="B442" s="127" t="n"/>
      <c r="C442" s="223" t="n"/>
      <c r="D442" s="127" t="n"/>
      <c r="E442" s="227" t="n"/>
      <c r="F442" s="227" t="n"/>
      <c r="G442" s="227" t="n"/>
      <c r="H442" s="227" t="n"/>
      <c r="I442" s="227" t="n"/>
      <c r="J442" s="227" t="n"/>
      <c r="K442" s="227" t="n"/>
      <c r="L442" s="227" t="n"/>
      <c r="M442" s="227" t="n"/>
      <c r="N442" s="127" t="n"/>
      <c r="O442" s="227" t="n"/>
      <c r="P442" s="227" t="n"/>
      <c r="Q442" s="227" t="n"/>
      <c r="R442" s="227" t="n"/>
      <c r="S442" s="227" t="n"/>
      <c r="T442" s="227" t="n"/>
    </row>
    <row r="443">
      <c r="A443" s="145">
        <f>IF($B443="","",ROW()-5)</f>
        <v/>
      </c>
      <c r="B443" s="127" t="n"/>
      <c r="C443" s="223" t="n"/>
      <c r="D443" s="127" t="n"/>
      <c r="E443" s="227" t="n"/>
      <c r="F443" s="227" t="n"/>
      <c r="G443" s="227" t="n"/>
      <c r="H443" s="227" t="n"/>
      <c r="I443" s="227" t="n"/>
      <c r="J443" s="227" t="n"/>
      <c r="K443" s="227" t="n"/>
      <c r="L443" s="227" t="n"/>
      <c r="M443" s="227" t="n"/>
      <c r="N443" s="127" t="n"/>
      <c r="O443" s="227" t="n"/>
      <c r="P443" s="227" t="n"/>
      <c r="Q443" s="227" t="n"/>
      <c r="R443" s="227" t="n"/>
      <c r="S443" s="227" t="n"/>
      <c r="T443" s="227" t="n"/>
    </row>
    <row r="444">
      <c r="A444" s="145">
        <f>IF($B444="","",ROW()-5)</f>
        <v/>
      </c>
      <c r="B444" s="127" t="n"/>
      <c r="C444" s="223" t="n"/>
      <c r="D444" s="127" t="n"/>
      <c r="E444" s="227" t="n"/>
      <c r="F444" s="227" t="n"/>
      <c r="G444" s="227" t="n"/>
      <c r="H444" s="227" t="n"/>
      <c r="I444" s="227" t="n"/>
      <c r="J444" s="227" t="n"/>
      <c r="K444" s="227" t="n"/>
      <c r="L444" s="227" t="n"/>
      <c r="M444" s="227" t="n"/>
      <c r="N444" s="127" t="n"/>
      <c r="O444" s="227" t="n"/>
      <c r="P444" s="227" t="n"/>
      <c r="Q444" s="227" t="n"/>
      <c r="R444" s="227" t="n"/>
      <c r="S444" s="227" t="n"/>
      <c r="T444" s="227" t="n"/>
    </row>
    <row r="445">
      <c r="A445" s="145">
        <f>IF($B445="","",ROW()-5)</f>
        <v/>
      </c>
      <c r="B445" s="127" t="n"/>
      <c r="C445" s="223" t="n"/>
      <c r="D445" s="127" t="n"/>
      <c r="E445" s="227" t="n"/>
      <c r="F445" s="227" t="n"/>
      <c r="G445" s="227" t="n"/>
      <c r="H445" s="227" t="n"/>
      <c r="I445" s="227" t="n"/>
      <c r="J445" s="227" t="n"/>
      <c r="K445" s="227" t="n"/>
      <c r="L445" s="227" t="n"/>
      <c r="M445" s="227" t="n"/>
      <c r="N445" s="127" t="n"/>
      <c r="O445" s="227" t="n"/>
      <c r="P445" s="227" t="n"/>
      <c r="Q445" s="227" t="n"/>
      <c r="R445" s="227" t="n"/>
      <c r="S445" s="227" t="n"/>
      <c r="T445" s="227" t="n"/>
    </row>
    <row r="446">
      <c r="A446" s="145">
        <f>IF($B446="","",ROW()-5)</f>
        <v/>
      </c>
      <c r="B446" s="127" t="n"/>
      <c r="C446" s="223" t="n"/>
      <c r="D446" s="127" t="n"/>
      <c r="E446" s="227" t="n"/>
      <c r="F446" s="227" t="n"/>
      <c r="G446" s="227" t="n"/>
      <c r="H446" s="227" t="n"/>
      <c r="I446" s="227" t="n"/>
      <c r="J446" s="227" t="n"/>
      <c r="K446" s="227" t="n"/>
      <c r="L446" s="227" t="n"/>
      <c r="M446" s="227" t="n"/>
      <c r="N446" s="127" t="n"/>
      <c r="O446" s="227" t="n"/>
      <c r="P446" s="227" t="n"/>
      <c r="Q446" s="227" t="n"/>
      <c r="R446" s="227" t="n"/>
      <c r="S446" s="227" t="n"/>
      <c r="T446" s="227" t="n"/>
    </row>
    <row r="447">
      <c r="A447" s="145">
        <f>IF($B447="","",ROW()-5)</f>
        <v/>
      </c>
      <c r="B447" s="127" t="n"/>
      <c r="C447" s="223" t="n"/>
      <c r="D447" s="127" t="n"/>
      <c r="E447" s="227" t="n"/>
      <c r="F447" s="227" t="n"/>
      <c r="G447" s="227" t="n"/>
      <c r="H447" s="227" t="n"/>
      <c r="I447" s="227" t="n"/>
      <c r="J447" s="227" t="n"/>
      <c r="K447" s="227" t="n"/>
      <c r="L447" s="227" t="n"/>
      <c r="M447" s="227" t="n"/>
      <c r="N447" s="127" t="n"/>
      <c r="O447" s="227" t="n"/>
      <c r="P447" s="227" t="n"/>
      <c r="Q447" s="227" t="n"/>
      <c r="R447" s="227" t="n"/>
      <c r="S447" s="227" t="n"/>
      <c r="T447" s="227" t="n"/>
    </row>
    <row r="448">
      <c r="A448" s="145">
        <f>IF($B448="","",ROW()-5)</f>
        <v/>
      </c>
      <c r="B448" s="127" t="n"/>
      <c r="C448" s="223" t="n"/>
      <c r="D448" s="127" t="n"/>
      <c r="E448" s="227" t="n"/>
      <c r="F448" s="227" t="n"/>
      <c r="G448" s="227" t="n"/>
      <c r="H448" s="227" t="n"/>
      <c r="I448" s="227" t="n"/>
      <c r="J448" s="227" t="n"/>
      <c r="K448" s="227" t="n"/>
      <c r="L448" s="227" t="n"/>
      <c r="M448" s="227" t="n"/>
      <c r="N448" s="127" t="n"/>
      <c r="O448" s="227" t="n"/>
      <c r="P448" s="227" t="n"/>
      <c r="Q448" s="227" t="n"/>
      <c r="R448" s="227" t="n"/>
      <c r="S448" s="227" t="n"/>
      <c r="T448" s="227" t="n"/>
    </row>
    <row r="449">
      <c r="A449" s="145">
        <f>IF($B449="","",ROW()-5)</f>
        <v/>
      </c>
      <c r="B449" s="127" t="n"/>
      <c r="C449" s="223" t="n"/>
      <c r="D449" s="127" t="n"/>
      <c r="E449" s="227" t="n"/>
      <c r="F449" s="227" t="n"/>
      <c r="G449" s="227" t="n"/>
      <c r="H449" s="227" t="n"/>
      <c r="I449" s="227" t="n"/>
      <c r="J449" s="227" t="n"/>
      <c r="K449" s="227" t="n"/>
      <c r="L449" s="227" t="n"/>
      <c r="M449" s="227" t="n"/>
      <c r="N449" s="127" t="n"/>
      <c r="O449" s="227" t="n"/>
      <c r="P449" s="227" t="n"/>
      <c r="Q449" s="227" t="n"/>
      <c r="R449" s="227" t="n"/>
      <c r="S449" s="227" t="n"/>
      <c r="T449" s="227" t="n"/>
    </row>
    <row r="450">
      <c r="A450" s="145">
        <f>IF($B450="","",ROW()-5)</f>
        <v/>
      </c>
      <c r="B450" s="127" t="n"/>
      <c r="C450" s="223" t="n"/>
      <c r="D450" s="127" t="n"/>
      <c r="E450" s="227" t="n"/>
      <c r="F450" s="227" t="n"/>
      <c r="G450" s="227" t="n"/>
      <c r="H450" s="227" t="n"/>
      <c r="I450" s="227" t="n"/>
      <c r="J450" s="227" t="n"/>
      <c r="K450" s="227" t="n"/>
      <c r="L450" s="227" t="n"/>
      <c r="M450" s="227" t="n"/>
      <c r="N450" s="127" t="n"/>
      <c r="O450" s="227" t="n"/>
      <c r="P450" s="227" t="n"/>
      <c r="Q450" s="227" t="n"/>
      <c r="R450" s="227" t="n"/>
      <c r="S450" s="227" t="n"/>
      <c r="T450" s="227" t="n"/>
    </row>
    <row r="451">
      <c r="A451" s="145">
        <f>IF($B451="","",ROW()-5)</f>
        <v/>
      </c>
      <c r="B451" s="127" t="n"/>
      <c r="C451" s="223" t="n"/>
      <c r="D451" s="127" t="n"/>
      <c r="E451" s="227" t="n"/>
      <c r="F451" s="227" t="n"/>
      <c r="G451" s="227" t="n"/>
      <c r="H451" s="227" t="n"/>
      <c r="I451" s="227" t="n"/>
      <c r="J451" s="227" t="n"/>
      <c r="K451" s="227" t="n"/>
      <c r="L451" s="227" t="n"/>
      <c r="M451" s="227" t="n"/>
      <c r="N451" s="127" t="n"/>
      <c r="O451" s="227" t="n"/>
      <c r="P451" s="227" t="n"/>
      <c r="Q451" s="227" t="n"/>
      <c r="R451" s="227" t="n"/>
      <c r="S451" s="227" t="n"/>
      <c r="T451" s="227" t="n"/>
    </row>
    <row r="452">
      <c r="A452" s="145">
        <f>IF($B452="","",ROW()-5)</f>
        <v/>
      </c>
      <c r="B452" s="127" t="n"/>
      <c r="C452" s="223" t="n"/>
      <c r="D452" s="127" t="n"/>
      <c r="E452" s="227" t="n"/>
      <c r="F452" s="227" t="n"/>
      <c r="G452" s="227" t="n"/>
      <c r="H452" s="227" t="n"/>
      <c r="I452" s="227" t="n"/>
      <c r="J452" s="227" t="n"/>
      <c r="K452" s="227" t="n"/>
      <c r="L452" s="227" t="n"/>
      <c r="M452" s="227" t="n"/>
      <c r="N452" s="127" t="n"/>
      <c r="O452" s="227" t="n"/>
      <c r="P452" s="227" t="n"/>
      <c r="Q452" s="227" t="n"/>
      <c r="R452" s="227" t="n"/>
      <c r="S452" s="227" t="n"/>
      <c r="T452" s="227" t="n"/>
    </row>
    <row r="453">
      <c r="A453" s="145">
        <f>IF($B453="","",ROW()-5)</f>
        <v/>
      </c>
      <c r="B453" s="127" t="n"/>
      <c r="C453" s="223" t="n"/>
      <c r="D453" s="127" t="n"/>
      <c r="E453" s="227" t="n"/>
      <c r="F453" s="227" t="n"/>
      <c r="G453" s="227" t="n"/>
      <c r="H453" s="227" t="n"/>
      <c r="I453" s="227" t="n"/>
      <c r="J453" s="227" t="n"/>
      <c r="K453" s="227" t="n"/>
      <c r="L453" s="227" t="n"/>
      <c r="M453" s="227" t="n"/>
      <c r="N453" s="127" t="n"/>
      <c r="O453" s="227" t="n"/>
      <c r="P453" s="227" t="n"/>
      <c r="Q453" s="227" t="n"/>
      <c r="R453" s="227" t="n"/>
      <c r="S453" s="227" t="n"/>
      <c r="T453" s="227" t="n"/>
    </row>
    <row r="454">
      <c r="A454" s="145">
        <f>IF($B454="","",ROW()-5)</f>
        <v/>
      </c>
      <c r="B454" s="127" t="n"/>
      <c r="C454" s="223" t="n"/>
      <c r="D454" s="127" t="n"/>
      <c r="E454" s="227" t="n"/>
      <c r="F454" s="227" t="n"/>
      <c r="G454" s="227" t="n"/>
      <c r="H454" s="227" t="n"/>
      <c r="I454" s="227" t="n"/>
      <c r="J454" s="227" t="n"/>
      <c r="K454" s="227" t="n"/>
      <c r="L454" s="227" t="n"/>
      <c r="M454" s="227" t="n"/>
      <c r="N454" s="127" t="n"/>
      <c r="O454" s="227" t="n"/>
      <c r="P454" s="227" t="n"/>
      <c r="Q454" s="227" t="n"/>
      <c r="R454" s="227" t="n"/>
      <c r="S454" s="227" t="n"/>
      <c r="T454" s="227" t="n"/>
    </row>
    <row r="455">
      <c r="A455" s="145">
        <f>IF($B455="","",ROW()-5)</f>
        <v/>
      </c>
      <c r="B455" s="127" t="n"/>
      <c r="C455" s="223" t="n"/>
      <c r="D455" s="127" t="n"/>
      <c r="E455" s="227" t="n"/>
      <c r="F455" s="227" t="n"/>
      <c r="G455" s="227" t="n"/>
      <c r="H455" s="227" t="n"/>
      <c r="I455" s="227" t="n"/>
      <c r="J455" s="227" t="n"/>
      <c r="K455" s="227" t="n"/>
      <c r="L455" s="227" t="n"/>
      <c r="M455" s="227" t="n"/>
      <c r="N455" s="127" t="n"/>
      <c r="O455" s="227" t="n"/>
      <c r="P455" s="227" t="n"/>
      <c r="Q455" s="227" t="n"/>
      <c r="R455" s="227" t="n"/>
      <c r="S455" s="227" t="n"/>
      <c r="T455" s="227" t="n"/>
    </row>
    <row r="456">
      <c r="A456" s="145">
        <f>IF($B456="","",ROW()-5)</f>
        <v/>
      </c>
      <c r="B456" s="127" t="n"/>
      <c r="C456" s="223" t="n"/>
      <c r="D456" s="127" t="n"/>
      <c r="E456" s="227" t="n"/>
      <c r="F456" s="227" t="n"/>
      <c r="G456" s="227" t="n"/>
      <c r="H456" s="227" t="n"/>
      <c r="I456" s="227" t="n"/>
      <c r="J456" s="227" t="n"/>
      <c r="K456" s="227" t="n"/>
      <c r="L456" s="227" t="n"/>
      <c r="M456" s="227" t="n"/>
      <c r="N456" s="127" t="n"/>
      <c r="O456" s="227" t="n"/>
      <c r="P456" s="227" t="n"/>
      <c r="Q456" s="227" t="n"/>
      <c r="R456" s="227" t="n"/>
      <c r="S456" s="227" t="n"/>
      <c r="T456" s="227" t="n"/>
    </row>
    <row r="457">
      <c r="A457" s="145">
        <f>IF($B457="","",ROW()-5)</f>
        <v/>
      </c>
      <c r="B457" s="127" t="n"/>
      <c r="C457" s="223" t="n"/>
      <c r="D457" s="127" t="n"/>
      <c r="E457" s="227" t="n"/>
      <c r="F457" s="227" t="n"/>
      <c r="G457" s="227" t="n"/>
      <c r="H457" s="227" t="n"/>
      <c r="I457" s="227" t="n"/>
      <c r="J457" s="227" t="n"/>
      <c r="K457" s="227" t="n"/>
      <c r="L457" s="227" t="n"/>
      <c r="M457" s="227" t="n"/>
      <c r="N457" s="127" t="n"/>
      <c r="O457" s="227" t="n"/>
      <c r="P457" s="227" t="n"/>
      <c r="Q457" s="227" t="n"/>
      <c r="R457" s="227" t="n"/>
      <c r="S457" s="227" t="n"/>
      <c r="T457" s="227" t="n"/>
    </row>
    <row r="458">
      <c r="A458" s="145">
        <f>IF($B458="","",ROW()-5)</f>
        <v/>
      </c>
      <c r="B458" s="127" t="n"/>
      <c r="C458" s="223" t="n"/>
      <c r="D458" s="127" t="n"/>
      <c r="E458" s="227" t="n"/>
      <c r="F458" s="227" t="n"/>
      <c r="G458" s="227" t="n"/>
      <c r="H458" s="227" t="n"/>
      <c r="I458" s="227" t="n"/>
      <c r="J458" s="227" t="n"/>
      <c r="K458" s="227" t="n"/>
      <c r="L458" s="227" t="n"/>
      <c r="M458" s="227" t="n"/>
      <c r="N458" s="127" t="n"/>
      <c r="O458" s="227" t="n"/>
      <c r="P458" s="227" t="n"/>
      <c r="Q458" s="227" t="n"/>
      <c r="R458" s="227" t="n"/>
      <c r="S458" s="227" t="n"/>
      <c r="T458" s="227" t="n"/>
    </row>
    <row r="459">
      <c r="A459" s="145">
        <f>IF($B459="","",ROW()-5)</f>
        <v/>
      </c>
      <c r="B459" s="127" t="n"/>
      <c r="C459" s="223" t="n"/>
      <c r="D459" s="127" t="n"/>
      <c r="E459" s="227" t="n"/>
      <c r="F459" s="227" t="n"/>
      <c r="G459" s="227" t="n"/>
      <c r="H459" s="227" t="n"/>
      <c r="I459" s="227" t="n"/>
      <c r="J459" s="227" t="n"/>
      <c r="K459" s="227" t="n"/>
      <c r="L459" s="227" t="n"/>
      <c r="M459" s="227" t="n"/>
      <c r="N459" s="127" t="n"/>
      <c r="O459" s="227" t="n"/>
      <c r="P459" s="227" t="n"/>
      <c r="Q459" s="227" t="n"/>
      <c r="R459" s="227" t="n"/>
      <c r="S459" s="227" t="n"/>
      <c r="T459" s="227" t="n"/>
    </row>
    <row r="460">
      <c r="A460" s="145">
        <f>IF($B460="","",ROW()-5)</f>
        <v/>
      </c>
      <c r="B460" s="127" t="n"/>
      <c r="C460" s="223" t="n"/>
      <c r="D460" s="127" t="n"/>
      <c r="E460" s="227" t="n"/>
      <c r="F460" s="227" t="n"/>
      <c r="G460" s="227" t="n"/>
      <c r="H460" s="227" t="n"/>
      <c r="I460" s="227" t="n"/>
      <c r="J460" s="227" t="n"/>
      <c r="K460" s="227" t="n"/>
      <c r="L460" s="227" t="n"/>
      <c r="M460" s="227" t="n"/>
      <c r="N460" s="127" t="n"/>
      <c r="O460" s="227" t="n"/>
      <c r="P460" s="227" t="n"/>
      <c r="Q460" s="227" t="n"/>
      <c r="R460" s="227" t="n"/>
      <c r="S460" s="227" t="n"/>
      <c r="T460" s="227" t="n"/>
    </row>
    <row r="461">
      <c r="A461" s="145">
        <f>IF($B461="","",ROW()-5)</f>
        <v/>
      </c>
      <c r="B461" s="127" t="n"/>
      <c r="C461" s="223" t="n"/>
      <c r="D461" s="127" t="n"/>
      <c r="E461" s="227" t="n"/>
      <c r="F461" s="227" t="n"/>
      <c r="G461" s="227" t="n"/>
      <c r="H461" s="227" t="n"/>
      <c r="I461" s="227" t="n"/>
      <c r="J461" s="227" t="n"/>
      <c r="K461" s="227" t="n"/>
      <c r="L461" s="227" t="n"/>
      <c r="M461" s="227" t="n"/>
      <c r="N461" s="127" t="n"/>
      <c r="O461" s="227" t="n"/>
      <c r="P461" s="227" t="n"/>
      <c r="Q461" s="227" t="n"/>
      <c r="R461" s="227" t="n"/>
      <c r="S461" s="227" t="n"/>
      <c r="T461" s="227" t="n"/>
    </row>
    <row r="462">
      <c r="A462" s="145">
        <f>IF($B462="","",ROW()-5)</f>
        <v/>
      </c>
      <c r="B462" s="127" t="n"/>
      <c r="C462" s="223" t="n"/>
      <c r="D462" s="127" t="n"/>
      <c r="E462" s="227" t="n"/>
      <c r="F462" s="227" t="n"/>
      <c r="G462" s="227" t="n"/>
      <c r="H462" s="227" t="n"/>
      <c r="I462" s="227" t="n"/>
      <c r="J462" s="227" t="n"/>
      <c r="K462" s="227" t="n"/>
      <c r="L462" s="227" t="n"/>
      <c r="M462" s="227" t="n"/>
      <c r="N462" s="127" t="n"/>
      <c r="O462" s="227" t="n"/>
      <c r="P462" s="227" t="n"/>
      <c r="Q462" s="227" t="n"/>
      <c r="R462" s="227" t="n"/>
      <c r="S462" s="227" t="n"/>
      <c r="T462" s="227" t="n"/>
    </row>
    <row r="463">
      <c r="A463" s="145">
        <f>IF($B463="","",ROW()-5)</f>
        <v/>
      </c>
      <c r="B463" s="127" t="n"/>
      <c r="C463" s="223" t="n"/>
      <c r="D463" s="127" t="n"/>
      <c r="E463" s="227" t="n"/>
      <c r="F463" s="227" t="n"/>
      <c r="G463" s="227" t="n"/>
      <c r="H463" s="227" t="n"/>
      <c r="I463" s="227" t="n"/>
      <c r="J463" s="227" t="n"/>
      <c r="K463" s="227" t="n"/>
      <c r="L463" s="227" t="n"/>
      <c r="M463" s="227" t="n"/>
      <c r="N463" s="127" t="n"/>
      <c r="O463" s="227" t="n"/>
      <c r="P463" s="227" t="n"/>
      <c r="Q463" s="227" t="n"/>
      <c r="R463" s="227" t="n"/>
      <c r="S463" s="227" t="n"/>
      <c r="T463" s="227" t="n"/>
    </row>
    <row r="464">
      <c r="A464" s="145">
        <f>IF($B464="","",ROW()-5)</f>
        <v/>
      </c>
      <c r="B464" s="127" t="n"/>
      <c r="C464" s="223" t="n"/>
      <c r="D464" s="127" t="n"/>
      <c r="E464" s="227" t="n"/>
      <c r="F464" s="227" t="n"/>
      <c r="G464" s="227" t="n"/>
      <c r="H464" s="227" t="n"/>
      <c r="I464" s="227" t="n"/>
      <c r="J464" s="227" t="n"/>
      <c r="K464" s="227" t="n"/>
      <c r="L464" s="227" t="n"/>
      <c r="M464" s="227" t="n"/>
      <c r="N464" s="127" t="n"/>
      <c r="O464" s="227" t="n"/>
      <c r="P464" s="227" t="n"/>
      <c r="Q464" s="227" t="n"/>
      <c r="R464" s="227" t="n"/>
      <c r="S464" s="227" t="n"/>
      <c r="T464" s="227" t="n"/>
    </row>
    <row r="465">
      <c r="A465" s="145">
        <f>IF($B465="","",ROW()-5)</f>
        <v/>
      </c>
      <c r="B465" s="127" t="n"/>
      <c r="C465" s="223" t="n"/>
      <c r="D465" s="127" t="n"/>
      <c r="E465" s="227" t="n"/>
      <c r="F465" s="227" t="n"/>
      <c r="G465" s="227" t="n"/>
      <c r="H465" s="227" t="n"/>
      <c r="I465" s="227" t="n"/>
      <c r="J465" s="227" t="n"/>
      <c r="K465" s="227" t="n"/>
      <c r="L465" s="227" t="n"/>
      <c r="M465" s="227" t="n"/>
      <c r="N465" s="127" t="n"/>
      <c r="O465" s="227" t="n"/>
      <c r="P465" s="227" t="n"/>
      <c r="Q465" s="227" t="n"/>
      <c r="R465" s="227" t="n"/>
      <c r="S465" s="227" t="n"/>
      <c r="T465" s="227" t="n"/>
    </row>
    <row r="466">
      <c r="A466" s="145">
        <f>IF($B466="","",ROW()-5)</f>
        <v/>
      </c>
      <c r="B466" s="127" t="n"/>
      <c r="C466" s="223" t="n"/>
      <c r="D466" s="127" t="n"/>
      <c r="E466" s="227" t="n"/>
      <c r="F466" s="227" t="n"/>
      <c r="G466" s="227" t="n"/>
      <c r="H466" s="227" t="n"/>
      <c r="I466" s="227" t="n"/>
      <c r="J466" s="227" t="n"/>
      <c r="K466" s="227" t="n"/>
      <c r="L466" s="227" t="n"/>
      <c r="M466" s="227" t="n"/>
      <c r="N466" s="127" t="n"/>
      <c r="O466" s="227" t="n"/>
      <c r="P466" s="227" t="n"/>
      <c r="Q466" s="227" t="n"/>
      <c r="R466" s="227" t="n"/>
      <c r="S466" s="227" t="n"/>
      <c r="T466" s="227" t="n"/>
    </row>
    <row r="467">
      <c r="A467" s="145">
        <f>IF($B467="","",ROW()-5)</f>
        <v/>
      </c>
      <c r="B467" s="127" t="n"/>
      <c r="C467" s="223" t="n"/>
      <c r="D467" s="127" t="n"/>
      <c r="E467" s="227" t="n"/>
      <c r="F467" s="227" t="n"/>
      <c r="G467" s="227" t="n"/>
      <c r="H467" s="227" t="n"/>
      <c r="I467" s="227" t="n"/>
      <c r="J467" s="227" t="n"/>
      <c r="K467" s="227" t="n"/>
      <c r="L467" s="227" t="n"/>
      <c r="M467" s="227" t="n"/>
      <c r="N467" s="127" t="n"/>
      <c r="O467" s="227" t="n"/>
      <c r="P467" s="227" t="n"/>
      <c r="Q467" s="227" t="n"/>
      <c r="R467" s="227" t="n"/>
      <c r="S467" s="227" t="n"/>
      <c r="T467" s="227" t="n"/>
    </row>
    <row r="468">
      <c r="A468" s="145">
        <f>IF($B468="","",ROW()-5)</f>
        <v/>
      </c>
      <c r="B468" s="127" t="n"/>
      <c r="C468" s="223" t="n"/>
      <c r="D468" s="127" t="n"/>
      <c r="E468" s="227" t="n"/>
      <c r="F468" s="227" t="n"/>
      <c r="G468" s="227" t="n"/>
      <c r="H468" s="227" t="n"/>
      <c r="I468" s="227" t="n"/>
      <c r="J468" s="227" t="n"/>
      <c r="K468" s="227" t="n"/>
      <c r="L468" s="227" t="n"/>
      <c r="M468" s="227" t="n"/>
      <c r="N468" s="127" t="n"/>
      <c r="O468" s="227" t="n"/>
      <c r="P468" s="227" t="n"/>
      <c r="Q468" s="227" t="n"/>
      <c r="R468" s="227" t="n"/>
      <c r="S468" s="227" t="n"/>
      <c r="T468" s="227" t="n"/>
    </row>
    <row r="469">
      <c r="A469" s="145">
        <f>IF($B469="","",ROW()-5)</f>
        <v/>
      </c>
      <c r="B469" s="127" t="n"/>
      <c r="C469" s="223" t="n"/>
      <c r="D469" s="127" t="n"/>
      <c r="E469" s="227" t="n"/>
      <c r="F469" s="227" t="n"/>
      <c r="G469" s="227" t="n"/>
      <c r="H469" s="227" t="n"/>
      <c r="I469" s="227" t="n"/>
      <c r="J469" s="227" t="n"/>
      <c r="K469" s="227" t="n"/>
      <c r="L469" s="227" t="n"/>
      <c r="M469" s="227" t="n"/>
      <c r="N469" s="127" t="n"/>
      <c r="O469" s="227" t="n"/>
      <c r="P469" s="227" t="n"/>
      <c r="Q469" s="227" t="n"/>
      <c r="R469" s="227" t="n"/>
      <c r="S469" s="227" t="n"/>
      <c r="T469" s="227" t="n"/>
    </row>
    <row r="470">
      <c r="A470" s="145">
        <f>IF($B470="","",ROW()-5)</f>
        <v/>
      </c>
      <c r="B470" s="127" t="n"/>
      <c r="C470" s="223" t="n"/>
      <c r="D470" s="127" t="n"/>
      <c r="E470" s="227" t="n"/>
      <c r="F470" s="227" t="n"/>
      <c r="G470" s="227" t="n"/>
      <c r="H470" s="227" t="n"/>
      <c r="I470" s="227" t="n"/>
      <c r="J470" s="227" t="n"/>
      <c r="K470" s="227" t="n"/>
      <c r="L470" s="227" t="n"/>
      <c r="M470" s="227" t="n"/>
      <c r="N470" s="127" t="n"/>
      <c r="O470" s="227" t="n"/>
      <c r="P470" s="227" t="n"/>
      <c r="Q470" s="227" t="n"/>
      <c r="R470" s="227" t="n"/>
      <c r="S470" s="227" t="n"/>
      <c r="T470" s="227" t="n"/>
    </row>
    <row r="471">
      <c r="A471" s="145">
        <f>IF($B471="","",ROW()-5)</f>
        <v/>
      </c>
      <c r="B471" s="127" t="n"/>
      <c r="C471" s="223" t="n"/>
      <c r="D471" s="127" t="n"/>
      <c r="E471" s="227" t="n"/>
      <c r="F471" s="227" t="n"/>
      <c r="G471" s="227" t="n"/>
      <c r="H471" s="227" t="n"/>
      <c r="I471" s="227" t="n"/>
      <c r="J471" s="227" t="n"/>
      <c r="K471" s="227" t="n"/>
      <c r="L471" s="227" t="n"/>
      <c r="M471" s="227" t="n"/>
      <c r="N471" s="127" t="n"/>
      <c r="O471" s="227" t="n"/>
      <c r="P471" s="227" t="n"/>
      <c r="Q471" s="227" t="n"/>
      <c r="R471" s="227" t="n"/>
      <c r="S471" s="227" t="n"/>
      <c r="T471" s="227" t="n"/>
    </row>
    <row r="472">
      <c r="A472" s="145">
        <f>IF($B472="","",ROW()-5)</f>
        <v/>
      </c>
      <c r="B472" s="127" t="n"/>
      <c r="C472" s="223" t="n"/>
      <c r="D472" s="127" t="n"/>
      <c r="E472" s="227" t="n"/>
      <c r="F472" s="227" t="n"/>
      <c r="G472" s="227" t="n"/>
      <c r="H472" s="227" t="n"/>
      <c r="I472" s="227" t="n"/>
      <c r="J472" s="227" t="n"/>
      <c r="K472" s="227" t="n"/>
      <c r="L472" s="227" t="n"/>
      <c r="M472" s="227" t="n"/>
      <c r="N472" s="127" t="n"/>
      <c r="O472" s="227" t="n"/>
      <c r="P472" s="227" t="n"/>
      <c r="Q472" s="227" t="n"/>
      <c r="R472" s="227" t="n"/>
      <c r="S472" s="227" t="n"/>
      <c r="T472" s="227" t="n"/>
    </row>
    <row r="473">
      <c r="A473" s="145">
        <f>IF($B473="","",ROW()-5)</f>
        <v/>
      </c>
      <c r="B473" s="127" t="n"/>
      <c r="C473" s="223" t="n"/>
      <c r="D473" s="127" t="n"/>
      <c r="E473" s="227" t="n"/>
      <c r="F473" s="227" t="n"/>
      <c r="G473" s="227" t="n"/>
      <c r="H473" s="227" t="n"/>
      <c r="I473" s="227" t="n"/>
      <c r="J473" s="227" t="n"/>
      <c r="K473" s="227" t="n"/>
      <c r="L473" s="227" t="n"/>
      <c r="M473" s="227" t="n"/>
      <c r="N473" s="127" t="n"/>
      <c r="O473" s="227" t="n"/>
      <c r="P473" s="227" t="n"/>
      <c r="Q473" s="227" t="n"/>
      <c r="R473" s="227" t="n"/>
      <c r="S473" s="227" t="n"/>
      <c r="T473" s="227" t="n"/>
    </row>
    <row r="474">
      <c r="A474" s="145">
        <f>IF($B474="","",ROW()-5)</f>
        <v/>
      </c>
      <c r="B474" s="127" t="n"/>
      <c r="C474" s="223" t="n"/>
      <c r="D474" s="127" t="n"/>
      <c r="E474" s="227" t="n"/>
      <c r="F474" s="227" t="n"/>
      <c r="G474" s="227" t="n"/>
      <c r="H474" s="227" t="n"/>
      <c r="I474" s="227" t="n"/>
      <c r="J474" s="227" t="n"/>
      <c r="K474" s="227" t="n"/>
      <c r="L474" s="227" t="n"/>
      <c r="M474" s="227" t="n"/>
      <c r="N474" s="127" t="n"/>
      <c r="O474" s="227" t="n"/>
      <c r="P474" s="227" t="n"/>
      <c r="Q474" s="227" t="n"/>
      <c r="R474" s="227" t="n"/>
      <c r="S474" s="227" t="n"/>
      <c r="T474" s="227" t="n"/>
    </row>
    <row r="475">
      <c r="A475" s="145">
        <f>IF($B475="","",ROW()-5)</f>
        <v/>
      </c>
      <c r="B475" s="127" t="n"/>
      <c r="C475" s="223" t="n"/>
      <c r="D475" s="127" t="n"/>
      <c r="E475" s="227" t="n"/>
      <c r="F475" s="227" t="n"/>
      <c r="G475" s="227" t="n"/>
      <c r="H475" s="227" t="n"/>
      <c r="I475" s="227" t="n"/>
      <c r="J475" s="227" t="n"/>
      <c r="K475" s="227" t="n"/>
      <c r="L475" s="227" t="n"/>
      <c r="M475" s="227" t="n"/>
      <c r="N475" s="127" t="n"/>
      <c r="O475" s="227" t="n"/>
      <c r="P475" s="227" t="n"/>
      <c r="Q475" s="227" t="n"/>
      <c r="R475" s="227" t="n"/>
      <c r="S475" s="227" t="n"/>
      <c r="T475" s="227" t="n"/>
    </row>
    <row r="476">
      <c r="A476" s="145">
        <f>IF($B476="","",ROW()-5)</f>
        <v/>
      </c>
      <c r="B476" s="127" t="n"/>
      <c r="C476" s="223" t="n"/>
      <c r="D476" s="127" t="n"/>
      <c r="E476" s="227" t="n"/>
      <c r="F476" s="227" t="n"/>
      <c r="G476" s="227" t="n"/>
      <c r="H476" s="227" t="n"/>
      <c r="I476" s="227" t="n"/>
      <c r="J476" s="227" t="n"/>
      <c r="K476" s="227" t="n"/>
      <c r="L476" s="227" t="n"/>
      <c r="M476" s="227" t="n"/>
      <c r="N476" s="127" t="n"/>
      <c r="O476" s="227" t="n"/>
      <c r="P476" s="227" t="n"/>
      <c r="Q476" s="227" t="n"/>
      <c r="R476" s="227" t="n"/>
      <c r="S476" s="227" t="n"/>
      <c r="T476" s="227" t="n"/>
    </row>
    <row r="477">
      <c r="A477" s="145">
        <f>IF($B477="","",ROW()-5)</f>
        <v/>
      </c>
      <c r="B477" s="127" t="n"/>
      <c r="C477" s="223" t="n"/>
      <c r="D477" s="127" t="n"/>
      <c r="E477" s="227" t="n"/>
      <c r="F477" s="227" t="n"/>
      <c r="G477" s="227" t="n"/>
      <c r="H477" s="227" t="n"/>
      <c r="I477" s="227" t="n"/>
      <c r="J477" s="227" t="n"/>
      <c r="K477" s="227" t="n"/>
      <c r="L477" s="227" t="n"/>
      <c r="M477" s="227" t="n"/>
      <c r="N477" s="127" t="n"/>
      <c r="O477" s="227" t="n"/>
      <c r="P477" s="227" t="n"/>
      <c r="Q477" s="227" t="n"/>
      <c r="R477" s="227" t="n"/>
      <c r="S477" s="227" t="n"/>
      <c r="T477" s="227" t="n"/>
    </row>
    <row r="478">
      <c r="A478" s="145">
        <f>IF($B478="","",ROW()-5)</f>
        <v/>
      </c>
      <c r="B478" s="127" t="n"/>
      <c r="C478" s="223" t="n"/>
      <c r="D478" s="127" t="n"/>
      <c r="E478" s="227" t="n"/>
      <c r="F478" s="227" t="n"/>
      <c r="G478" s="227" t="n"/>
      <c r="H478" s="227" t="n"/>
      <c r="I478" s="227" t="n"/>
      <c r="J478" s="227" t="n"/>
      <c r="K478" s="227" t="n"/>
      <c r="L478" s="227" t="n"/>
      <c r="M478" s="227" t="n"/>
      <c r="N478" s="127" t="n"/>
      <c r="O478" s="227" t="n"/>
      <c r="P478" s="227" t="n"/>
      <c r="Q478" s="227" t="n"/>
      <c r="R478" s="227" t="n"/>
      <c r="S478" s="227" t="n"/>
      <c r="T478" s="227" t="n"/>
    </row>
    <row r="479">
      <c r="A479" s="145">
        <f>IF($B479="","",ROW()-5)</f>
        <v/>
      </c>
      <c r="B479" s="127" t="n"/>
      <c r="C479" s="223" t="n"/>
      <c r="D479" s="127" t="n"/>
      <c r="E479" s="227" t="n"/>
      <c r="F479" s="227" t="n"/>
      <c r="G479" s="227" t="n"/>
      <c r="H479" s="227" t="n"/>
      <c r="I479" s="227" t="n"/>
      <c r="J479" s="227" t="n"/>
      <c r="K479" s="227" t="n"/>
      <c r="L479" s="227" t="n"/>
      <c r="M479" s="227" t="n"/>
      <c r="N479" s="127" t="n"/>
      <c r="O479" s="227" t="n"/>
      <c r="P479" s="227" t="n"/>
      <c r="Q479" s="227" t="n"/>
      <c r="R479" s="227" t="n"/>
      <c r="S479" s="227" t="n"/>
      <c r="T479" s="227" t="n"/>
    </row>
    <row r="480">
      <c r="A480" s="145">
        <f>IF($B480="","",ROW()-5)</f>
        <v/>
      </c>
      <c r="B480" s="127" t="n"/>
      <c r="C480" s="223" t="n"/>
      <c r="D480" s="127" t="n"/>
      <c r="E480" s="227" t="n"/>
      <c r="F480" s="227" t="n"/>
      <c r="G480" s="227" t="n"/>
      <c r="H480" s="227" t="n"/>
      <c r="I480" s="227" t="n"/>
      <c r="J480" s="227" t="n"/>
      <c r="K480" s="227" t="n"/>
      <c r="L480" s="227" t="n"/>
      <c r="M480" s="227" t="n"/>
      <c r="N480" s="127" t="n"/>
      <c r="O480" s="227" t="n"/>
      <c r="P480" s="227" t="n"/>
      <c r="Q480" s="227" t="n"/>
      <c r="R480" s="227" t="n"/>
      <c r="S480" s="227" t="n"/>
      <c r="T480" s="227" t="n"/>
    </row>
    <row r="481">
      <c r="A481" s="145">
        <f>IF($B481="","",ROW()-5)</f>
        <v/>
      </c>
      <c r="B481" s="127" t="n"/>
      <c r="C481" s="223" t="n"/>
      <c r="D481" s="127" t="n"/>
      <c r="E481" s="227" t="n"/>
      <c r="F481" s="227" t="n"/>
      <c r="G481" s="227" t="n"/>
      <c r="H481" s="227" t="n"/>
      <c r="I481" s="227" t="n"/>
      <c r="J481" s="227" t="n"/>
      <c r="K481" s="227" t="n"/>
      <c r="L481" s="227" t="n"/>
      <c r="M481" s="227" t="n"/>
      <c r="N481" s="127" t="n"/>
      <c r="O481" s="227" t="n"/>
      <c r="P481" s="227" t="n"/>
      <c r="Q481" s="227" t="n"/>
      <c r="R481" s="227" t="n"/>
      <c r="S481" s="227" t="n"/>
      <c r="T481" s="227" t="n"/>
    </row>
    <row r="482">
      <c r="A482" s="145">
        <f>IF($B482="","",ROW()-5)</f>
        <v/>
      </c>
      <c r="B482" s="127" t="n"/>
      <c r="C482" s="223" t="n"/>
      <c r="D482" s="127" t="n"/>
      <c r="E482" s="227" t="n"/>
      <c r="F482" s="227" t="n"/>
      <c r="G482" s="227" t="n"/>
      <c r="H482" s="227" t="n"/>
      <c r="I482" s="227" t="n"/>
      <c r="J482" s="227" t="n"/>
      <c r="K482" s="227" t="n"/>
      <c r="L482" s="227" t="n"/>
      <c r="M482" s="227" t="n"/>
      <c r="N482" s="127" t="n"/>
      <c r="O482" s="227" t="n"/>
      <c r="P482" s="227" t="n"/>
      <c r="Q482" s="227" t="n"/>
      <c r="R482" s="227" t="n"/>
      <c r="S482" s="227" t="n"/>
      <c r="T482" s="227" t="n"/>
    </row>
    <row r="483">
      <c r="A483" s="145">
        <f>IF($B483="","",ROW()-5)</f>
        <v/>
      </c>
      <c r="B483" s="127" t="n"/>
      <c r="C483" s="223" t="n"/>
      <c r="D483" s="127" t="n"/>
      <c r="E483" s="227" t="n"/>
      <c r="F483" s="227" t="n"/>
      <c r="G483" s="227" t="n"/>
      <c r="H483" s="227" t="n"/>
      <c r="I483" s="227" t="n"/>
      <c r="J483" s="227" t="n"/>
      <c r="K483" s="227" t="n"/>
      <c r="L483" s="227" t="n"/>
      <c r="M483" s="227" t="n"/>
      <c r="N483" s="127" t="n"/>
      <c r="O483" s="227" t="n"/>
      <c r="P483" s="227" t="n"/>
      <c r="Q483" s="227" t="n"/>
      <c r="R483" s="227" t="n"/>
      <c r="S483" s="227" t="n"/>
      <c r="T483" s="227" t="n"/>
    </row>
    <row r="484">
      <c r="A484" s="145">
        <f>IF($B484="","",ROW()-5)</f>
        <v/>
      </c>
      <c r="B484" s="127" t="n"/>
      <c r="C484" s="223" t="n"/>
      <c r="D484" s="127" t="n"/>
      <c r="E484" s="227" t="n"/>
      <c r="F484" s="227" t="n"/>
      <c r="G484" s="227" t="n"/>
      <c r="H484" s="227" t="n"/>
      <c r="I484" s="227" t="n"/>
      <c r="J484" s="227" t="n"/>
      <c r="K484" s="227" t="n"/>
      <c r="L484" s="227" t="n"/>
      <c r="M484" s="227" t="n"/>
      <c r="N484" s="127" t="n"/>
      <c r="O484" s="227" t="n"/>
      <c r="P484" s="227" t="n"/>
      <c r="Q484" s="227" t="n"/>
      <c r="R484" s="227" t="n"/>
      <c r="S484" s="227" t="n"/>
      <c r="T484" s="227" t="n"/>
    </row>
    <row r="485">
      <c r="A485" s="145">
        <f>IF($B485="","",ROW()-5)</f>
        <v/>
      </c>
      <c r="B485" s="127" t="n"/>
      <c r="C485" s="223" t="n"/>
      <c r="D485" s="127" t="n"/>
      <c r="E485" s="227" t="n"/>
      <c r="F485" s="227" t="n"/>
      <c r="G485" s="227" t="n"/>
      <c r="H485" s="227" t="n"/>
      <c r="I485" s="227" t="n"/>
      <c r="J485" s="227" t="n"/>
      <c r="K485" s="227" t="n"/>
      <c r="L485" s="227" t="n"/>
      <c r="M485" s="227" t="n"/>
      <c r="N485" s="127" t="n"/>
      <c r="O485" s="227" t="n"/>
      <c r="P485" s="227" t="n"/>
      <c r="Q485" s="227" t="n"/>
      <c r="R485" s="227" t="n"/>
      <c r="S485" s="227" t="n"/>
      <c r="T485" s="227" t="n"/>
    </row>
    <row r="486">
      <c r="A486" s="145">
        <f>IF($B486="","",ROW()-5)</f>
        <v/>
      </c>
      <c r="B486" s="127" t="n"/>
      <c r="C486" s="223" t="n"/>
      <c r="D486" s="127" t="n"/>
      <c r="E486" s="227" t="n"/>
      <c r="F486" s="227" t="n"/>
      <c r="G486" s="227" t="n"/>
      <c r="H486" s="227" t="n"/>
      <c r="I486" s="227" t="n"/>
      <c r="J486" s="227" t="n"/>
      <c r="K486" s="227" t="n"/>
      <c r="L486" s="227" t="n"/>
      <c r="M486" s="227" t="n"/>
      <c r="N486" s="127" t="n"/>
      <c r="O486" s="227" t="n"/>
      <c r="P486" s="227" t="n"/>
      <c r="Q486" s="227" t="n"/>
      <c r="R486" s="227" t="n"/>
      <c r="S486" s="227" t="n"/>
      <c r="T486" s="227" t="n"/>
    </row>
    <row r="487">
      <c r="A487" s="145">
        <f>IF($B487="","",ROW()-5)</f>
        <v/>
      </c>
      <c r="B487" s="127" t="n"/>
      <c r="C487" s="223" t="n"/>
      <c r="D487" s="127" t="n"/>
      <c r="E487" s="227" t="n"/>
      <c r="F487" s="227" t="n"/>
      <c r="G487" s="227" t="n"/>
      <c r="H487" s="227" t="n"/>
      <c r="I487" s="227" t="n"/>
      <c r="J487" s="227" t="n"/>
      <c r="K487" s="227" t="n"/>
      <c r="L487" s="227" t="n"/>
      <c r="M487" s="227" t="n"/>
      <c r="N487" s="127" t="n"/>
      <c r="O487" s="227" t="n"/>
      <c r="P487" s="227" t="n"/>
      <c r="Q487" s="227" t="n"/>
      <c r="R487" s="227" t="n"/>
      <c r="S487" s="227" t="n"/>
      <c r="T487" s="227" t="n"/>
    </row>
    <row r="488">
      <c r="A488" s="145">
        <f>IF($B488="","",ROW()-5)</f>
        <v/>
      </c>
      <c r="B488" s="127" t="n"/>
      <c r="C488" s="223" t="n"/>
      <c r="D488" s="127" t="n"/>
      <c r="E488" s="227" t="n"/>
      <c r="F488" s="227" t="n"/>
      <c r="G488" s="227" t="n"/>
      <c r="H488" s="227" t="n"/>
      <c r="I488" s="227" t="n"/>
      <c r="J488" s="227" t="n"/>
      <c r="K488" s="227" t="n"/>
      <c r="L488" s="227" t="n"/>
      <c r="M488" s="227" t="n"/>
      <c r="N488" s="127" t="n"/>
      <c r="O488" s="227" t="n"/>
      <c r="P488" s="227" t="n"/>
      <c r="Q488" s="227" t="n"/>
      <c r="R488" s="227" t="n"/>
      <c r="S488" s="227" t="n"/>
      <c r="T488" s="227" t="n"/>
    </row>
    <row r="489">
      <c r="A489" s="145">
        <f>IF($B489="","",ROW()-5)</f>
        <v/>
      </c>
      <c r="B489" s="127" t="n"/>
      <c r="C489" s="223" t="n"/>
      <c r="D489" s="127" t="n"/>
      <c r="E489" s="227" t="n"/>
      <c r="F489" s="227" t="n"/>
      <c r="G489" s="227" t="n"/>
      <c r="H489" s="227" t="n"/>
      <c r="I489" s="227" t="n"/>
      <c r="J489" s="227" t="n"/>
      <c r="K489" s="227" t="n"/>
      <c r="L489" s="227" t="n"/>
      <c r="M489" s="227" t="n"/>
      <c r="N489" s="127" t="n"/>
      <c r="O489" s="227" t="n"/>
      <c r="P489" s="227" t="n"/>
      <c r="Q489" s="227" t="n"/>
      <c r="R489" s="227" t="n"/>
      <c r="S489" s="227" t="n"/>
      <c r="T489" s="227" t="n"/>
    </row>
    <row r="490">
      <c r="A490" s="145">
        <f>IF($B490="","",ROW()-5)</f>
        <v/>
      </c>
      <c r="B490" s="127" t="n"/>
      <c r="C490" s="223" t="n"/>
      <c r="D490" s="127" t="n"/>
      <c r="E490" s="227" t="n"/>
      <c r="F490" s="227" t="n"/>
      <c r="G490" s="227" t="n"/>
      <c r="H490" s="227" t="n"/>
      <c r="I490" s="227" t="n"/>
      <c r="J490" s="227" t="n"/>
      <c r="K490" s="227" t="n"/>
      <c r="L490" s="227" t="n"/>
      <c r="M490" s="227" t="n"/>
      <c r="N490" s="127" t="n"/>
      <c r="O490" s="227" t="n"/>
      <c r="P490" s="227" t="n"/>
      <c r="Q490" s="227" t="n"/>
      <c r="R490" s="227" t="n"/>
      <c r="S490" s="227" t="n"/>
      <c r="T490" s="227" t="n"/>
    </row>
    <row r="491">
      <c r="A491" s="145">
        <f>IF($B491="","",ROW()-5)</f>
        <v/>
      </c>
      <c r="B491" s="127" t="n"/>
      <c r="C491" s="223" t="n"/>
      <c r="D491" s="127" t="n"/>
      <c r="E491" s="227" t="n"/>
      <c r="F491" s="227" t="n"/>
      <c r="G491" s="227" t="n"/>
      <c r="H491" s="227" t="n"/>
      <c r="I491" s="227" t="n"/>
      <c r="J491" s="227" t="n"/>
      <c r="K491" s="227" t="n"/>
      <c r="L491" s="227" t="n"/>
      <c r="M491" s="227" t="n"/>
      <c r="N491" s="127" t="n"/>
      <c r="O491" s="227" t="n"/>
      <c r="P491" s="227" t="n"/>
      <c r="Q491" s="227" t="n"/>
      <c r="R491" s="227" t="n"/>
      <c r="S491" s="227" t="n"/>
      <c r="T491" s="227" t="n"/>
    </row>
    <row r="492">
      <c r="A492" s="145">
        <f>IF($B492="","",ROW()-5)</f>
        <v/>
      </c>
      <c r="B492" s="127" t="n"/>
      <c r="C492" s="223" t="n"/>
      <c r="D492" s="127" t="n"/>
      <c r="E492" s="227" t="n"/>
      <c r="F492" s="227" t="n"/>
      <c r="G492" s="227" t="n"/>
      <c r="H492" s="227" t="n"/>
      <c r="I492" s="227" t="n"/>
      <c r="J492" s="227" t="n"/>
      <c r="K492" s="227" t="n"/>
      <c r="L492" s="227" t="n"/>
      <c r="M492" s="227" t="n"/>
      <c r="N492" s="127" t="n"/>
      <c r="O492" s="227" t="n"/>
      <c r="P492" s="227" t="n"/>
      <c r="Q492" s="227" t="n"/>
      <c r="R492" s="227" t="n"/>
      <c r="S492" s="227" t="n"/>
      <c r="T492" s="227" t="n"/>
    </row>
    <row r="493">
      <c r="A493" s="145">
        <f>IF($B493="","",ROW()-5)</f>
        <v/>
      </c>
      <c r="B493" s="127" t="n"/>
      <c r="C493" s="223" t="n"/>
      <c r="D493" s="127" t="n"/>
      <c r="E493" s="227" t="n"/>
      <c r="F493" s="227" t="n"/>
      <c r="G493" s="227" t="n"/>
      <c r="H493" s="227" t="n"/>
      <c r="I493" s="227" t="n"/>
      <c r="J493" s="227" t="n"/>
      <c r="K493" s="227" t="n"/>
      <c r="L493" s="227" t="n"/>
      <c r="M493" s="227" t="n"/>
      <c r="N493" s="127" t="n"/>
      <c r="O493" s="227" t="n"/>
      <c r="P493" s="227" t="n"/>
      <c r="Q493" s="227" t="n"/>
      <c r="R493" s="227" t="n"/>
      <c r="S493" s="227" t="n"/>
      <c r="T493" s="227" t="n"/>
    </row>
    <row r="494">
      <c r="A494" s="145">
        <f>IF($B494="","",ROW()-5)</f>
        <v/>
      </c>
      <c r="B494" s="127" t="n"/>
      <c r="C494" s="223" t="n"/>
      <c r="D494" s="127" t="n"/>
      <c r="E494" s="227" t="n"/>
      <c r="F494" s="227" t="n"/>
      <c r="G494" s="227" t="n"/>
      <c r="H494" s="227" t="n"/>
      <c r="I494" s="227" t="n"/>
      <c r="J494" s="227" t="n"/>
      <c r="K494" s="227" t="n"/>
      <c r="L494" s="227" t="n"/>
      <c r="M494" s="227" t="n"/>
      <c r="N494" s="127" t="n"/>
      <c r="O494" s="227" t="n"/>
      <c r="P494" s="227" t="n"/>
      <c r="Q494" s="227" t="n"/>
      <c r="R494" s="227" t="n"/>
      <c r="S494" s="227" t="n"/>
      <c r="T494" s="227" t="n"/>
    </row>
    <row r="495">
      <c r="A495" s="145">
        <f>IF($B495="","",ROW()-5)</f>
        <v/>
      </c>
      <c r="B495" s="127" t="n"/>
      <c r="C495" s="223" t="n"/>
      <c r="D495" s="127" t="n"/>
      <c r="E495" s="227" t="n"/>
      <c r="F495" s="227" t="n"/>
      <c r="G495" s="227" t="n"/>
      <c r="H495" s="227" t="n"/>
      <c r="I495" s="227" t="n"/>
      <c r="J495" s="227" t="n"/>
      <c r="K495" s="227" t="n"/>
      <c r="L495" s="227" t="n"/>
      <c r="M495" s="227" t="n"/>
      <c r="N495" s="127" t="n"/>
      <c r="O495" s="227" t="n"/>
      <c r="P495" s="227" t="n"/>
      <c r="Q495" s="227" t="n"/>
      <c r="R495" s="227" t="n"/>
      <c r="S495" s="227" t="n"/>
      <c r="T495" s="227" t="n"/>
    </row>
    <row r="496">
      <c r="A496" s="145">
        <f>IF($B496="","",ROW()-5)</f>
        <v/>
      </c>
      <c r="B496" s="127" t="n"/>
      <c r="C496" s="223" t="n"/>
      <c r="D496" s="127" t="n"/>
      <c r="E496" s="227" t="n"/>
      <c r="F496" s="227" t="n"/>
      <c r="G496" s="227" t="n"/>
      <c r="H496" s="227" t="n"/>
      <c r="I496" s="227" t="n"/>
      <c r="J496" s="227" t="n"/>
      <c r="K496" s="227" t="n"/>
      <c r="L496" s="227" t="n"/>
      <c r="M496" s="227" t="n"/>
      <c r="N496" s="127" t="n"/>
      <c r="O496" s="227" t="n"/>
      <c r="P496" s="227" t="n"/>
      <c r="Q496" s="227" t="n"/>
      <c r="R496" s="227" t="n"/>
      <c r="S496" s="227" t="n"/>
      <c r="T496" s="227" t="n"/>
    </row>
    <row r="497">
      <c r="A497" s="145">
        <f>IF($B497="","",ROW()-5)</f>
        <v/>
      </c>
      <c r="B497" s="127" t="n"/>
      <c r="C497" s="223" t="n"/>
      <c r="D497" s="127" t="n"/>
      <c r="E497" s="227" t="n"/>
      <c r="F497" s="227" t="n"/>
      <c r="G497" s="227" t="n"/>
      <c r="H497" s="227" t="n"/>
      <c r="I497" s="227" t="n"/>
      <c r="J497" s="227" t="n"/>
      <c r="K497" s="227" t="n"/>
      <c r="L497" s="227" t="n"/>
      <c r="M497" s="227" t="n"/>
      <c r="N497" s="127" t="n"/>
      <c r="O497" s="227" t="n"/>
      <c r="P497" s="227" t="n"/>
      <c r="Q497" s="227" t="n"/>
      <c r="R497" s="227" t="n"/>
      <c r="S497" s="227" t="n"/>
      <c r="T497" s="227" t="n"/>
    </row>
    <row r="498">
      <c r="A498" s="145">
        <f>IF($B498="","",ROW()-5)</f>
        <v/>
      </c>
      <c r="B498" s="127" t="n"/>
      <c r="C498" s="223" t="n"/>
      <c r="D498" s="127" t="n"/>
      <c r="E498" s="227" t="n"/>
      <c r="F498" s="227" t="n"/>
      <c r="G498" s="227" t="n"/>
      <c r="H498" s="227" t="n"/>
      <c r="I498" s="227" t="n"/>
      <c r="J498" s="227" t="n"/>
      <c r="K498" s="227" t="n"/>
      <c r="L498" s="227" t="n"/>
      <c r="M498" s="227" t="n"/>
      <c r="N498" s="127" t="n"/>
      <c r="O498" s="227" t="n"/>
      <c r="P498" s="227" t="n"/>
      <c r="Q498" s="227" t="n"/>
      <c r="R498" s="227" t="n"/>
      <c r="S498" s="227" t="n"/>
      <c r="T498" s="227" t="n"/>
    </row>
    <row r="499">
      <c r="A499" s="145">
        <f>IF($B499="","",ROW()-5)</f>
        <v/>
      </c>
      <c r="B499" s="127" t="n"/>
      <c r="C499" s="223" t="n"/>
      <c r="D499" s="127" t="n"/>
      <c r="E499" s="227" t="n"/>
      <c r="F499" s="227" t="n"/>
      <c r="G499" s="227" t="n"/>
      <c r="H499" s="227" t="n"/>
      <c r="I499" s="227" t="n"/>
      <c r="J499" s="227" t="n"/>
      <c r="K499" s="227" t="n"/>
      <c r="L499" s="227" t="n"/>
      <c r="M499" s="227" t="n"/>
      <c r="N499" s="127" t="n"/>
      <c r="O499" s="227" t="n"/>
      <c r="P499" s="227" t="n"/>
      <c r="Q499" s="227" t="n"/>
      <c r="R499" s="227" t="n"/>
      <c r="S499" s="227" t="n"/>
      <c r="T499" s="227" t="n"/>
    </row>
    <row r="500">
      <c r="A500" s="145">
        <f>IF($B500="","",ROW()-5)</f>
        <v/>
      </c>
      <c r="B500" s="127" t="n"/>
      <c r="C500" s="223" t="n"/>
      <c r="D500" s="127" t="n"/>
      <c r="E500" s="227" t="n"/>
      <c r="F500" s="227" t="n"/>
      <c r="G500" s="227" t="n"/>
      <c r="H500" s="227" t="n"/>
      <c r="I500" s="227" t="n"/>
      <c r="J500" s="227" t="n"/>
      <c r="K500" s="227" t="n"/>
      <c r="L500" s="227" t="n"/>
      <c r="M500" s="227" t="n"/>
      <c r="N500" s="127" t="n"/>
      <c r="O500" s="227" t="n"/>
      <c r="P500" s="227" t="n"/>
      <c r="Q500" s="227" t="n"/>
      <c r="R500" s="227" t="n"/>
      <c r="S500" s="227" t="n"/>
      <c r="T500" s="227" t="n"/>
    </row>
    <row r="501">
      <c r="A501" s="145">
        <f>IF($B501="","",ROW()-5)</f>
        <v/>
      </c>
      <c r="B501" s="127" t="n"/>
      <c r="C501" s="223" t="n"/>
      <c r="D501" s="127" t="n"/>
      <c r="E501" s="227" t="n"/>
      <c r="F501" s="227" t="n"/>
      <c r="G501" s="227" t="n"/>
      <c r="H501" s="227" t="n"/>
      <c r="I501" s="227" t="n"/>
      <c r="J501" s="227" t="n"/>
      <c r="K501" s="227" t="n"/>
      <c r="L501" s="227" t="n"/>
      <c r="M501" s="227" t="n"/>
      <c r="N501" s="127" t="n"/>
      <c r="O501" s="227" t="n"/>
      <c r="P501" s="227" t="n"/>
      <c r="Q501" s="227" t="n"/>
      <c r="R501" s="227" t="n"/>
      <c r="S501" s="227" t="n"/>
      <c r="T501" s="227" t="n"/>
    </row>
    <row r="502">
      <c r="A502" s="145">
        <f>IF($B502="","",ROW()-5)</f>
        <v/>
      </c>
      <c r="B502" s="127" t="n"/>
      <c r="C502" s="223" t="n"/>
      <c r="D502" s="127" t="n"/>
      <c r="E502" s="227" t="n"/>
      <c r="F502" s="227" t="n"/>
      <c r="G502" s="227" t="n"/>
      <c r="H502" s="227" t="n"/>
      <c r="I502" s="227" t="n"/>
      <c r="J502" s="227" t="n"/>
      <c r="K502" s="227" t="n"/>
      <c r="L502" s="227" t="n"/>
      <c r="M502" s="227" t="n"/>
      <c r="N502" s="127" t="n"/>
      <c r="O502" s="227" t="n"/>
      <c r="P502" s="227" t="n"/>
      <c r="Q502" s="227" t="n"/>
      <c r="R502" s="227" t="n"/>
      <c r="S502" s="227" t="n"/>
      <c r="T502" s="227" t="n"/>
    </row>
    <row r="503">
      <c r="A503" s="145">
        <f>IF($B503="","",ROW()-5)</f>
        <v/>
      </c>
      <c r="B503" s="127" t="n"/>
      <c r="C503" s="223" t="n"/>
      <c r="D503" s="127" t="n"/>
      <c r="E503" s="227" t="n"/>
      <c r="F503" s="227" t="n"/>
      <c r="G503" s="227" t="n"/>
      <c r="H503" s="227" t="n"/>
      <c r="I503" s="227" t="n"/>
      <c r="J503" s="227" t="n"/>
      <c r="K503" s="227" t="n"/>
      <c r="L503" s="227" t="n"/>
      <c r="M503" s="227" t="n"/>
      <c r="N503" s="127" t="n"/>
      <c r="O503" s="227" t="n"/>
      <c r="P503" s="227" t="n"/>
      <c r="Q503" s="227" t="n"/>
      <c r="R503" s="227" t="n"/>
      <c r="S503" s="227" t="n"/>
      <c r="T503" s="227" t="n"/>
    </row>
    <row r="504">
      <c r="A504" s="145">
        <f>IF($B504="","",ROW()-5)</f>
        <v/>
      </c>
      <c r="B504" s="127" t="n"/>
      <c r="C504" s="223" t="n"/>
      <c r="D504" s="127" t="n"/>
      <c r="E504" s="227" t="n"/>
      <c r="F504" s="227" t="n"/>
      <c r="G504" s="227" t="n"/>
      <c r="H504" s="227" t="n"/>
      <c r="I504" s="227" t="n"/>
      <c r="J504" s="227" t="n"/>
      <c r="K504" s="227" t="n"/>
      <c r="L504" s="227" t="n"/>
      <c r="M504" s="227" t="n"/>
      <c r="N504" s="127" t="n"/>
      <c r="O504" s="227" t="n"/>
      <c r="P504" s="227" t="n"/>
      <c r="Q504" s="227" t="n"/>
      <c r="R504" s="227" t="n"/>
      <c r="S504" s="227" t="n"/>
      <c r="T504" s="227" t="n"/>
    </row>
    <row r="505">
      <c r="A505" s="145">
        <f>IF($B505="","",ROW()-5)</f>
        <v/>
      </c>
      <c r="B505" s="127" t="n"/>
      <c r="C505" s="223" t="n"/>
      <c r="D505" s="127" t="n"/>
      <c r="E505" s="227" t="n"/>
      <c r="F505" s="227" t="n"/>
      <c r="G505" s="227" t="n"/>
      <c r="H505" s="227" t="n"/>
      <c r="I505" s="227" t="n"/>
      <c r="J505" s="227" t="n"/>
      <c r="K505" s="227" t="n"/>
      <c r="L505" s="227" t="n"/>
      <c r="M505" s="227" t="n"/>
      <c r="N505" s="127" t="n"/>
      <c r="O505" s="227" t="n"/>
      <c r="P505" s="227" t="n"/>
      <c r="Q505" s="227" t="n"/>
      <c r="R505" s="227" t="n"/>
      <c r="S505" s="227" t="n"/>
      <c r="T505" s="227" t="n"/>
    </row>
    <row r="506">
      <c r="A506" s="145">
        <f>IF($B506="","",ROW()-5)</f>
        <v/>
      </c>
      <c r="B506" s="127" t="n"/>
      <c r="C506" s="223" t="n"/>
      <c r="D506" s="127" t="n"/>
      <c r="E506" s="227" t="n"/>
      <c r="F506" s="227" t="n"/>
      <c r="G506" s="227" t="n"/>
      <c r="H506" s="227" t="n"/>
      <c r="I506" s="227" t="n"/>
      <c r="J506" s="227" t="n"/>
      <c r="K506" s="227" t="n"/>
      <c r="L506" s="227" t="n"/>
      <c r="M506" s="227" t="n"/>
      <c r="N506" s="127" t="n"/>
      <c r="O506" s="227" t="n"/>
      <c r="P506" s="227" t="n"/>
      <c r="Q506" s="227" t="n"/>
      <c r="R506" s="227" t="n"/>
      <c r="S506" s="227" t="n"/>
      <c r="T506" s="227" t="n"/>
    </row>
    <row r="507">
      <c r="A507" s="145">
        <f>IF($B507="","",ROW()-5)</f>
        <v/>
      </c>
      <c r="B507" s="127" t="n"/>
      <c r="C507" s="223" t="n"/>
      <c r="D507" s="127" t="n"/>
      <c r="E507" s="227" t="n"/>
      <c r="F507" s="227" t="n"/>
      <c r="G507" s="227" t="n"/>
      <c r="H507" s="227" t="n"/>
      <c r="I507" s="227" t="n"/>
      <c r="J507" s="227" t="n"/>
      <c r="K507" s="227" t="n"/>
      <c r="L507" s="227" t="n"/>
      <c r="M507" s="227" t="n"/>
      <c r="N507" s="127" t="n"/>
      <c r="O507" s="227" t="n"/>
      <c r="P507" s="227" t="n"/>
      <c r="Q507" s="227" t="n"/>
      <c r="R507" s="227" t="n"/>
      <c r="S507" s="227" t="n"/>
      <c r="T507" s="227" t="n"/>
    </row>
    <row r="508">
      <c r="A508" s="145">
        <f>IF($B508="","",ROW()-5)</f>
        <v/>
      </c>
      <c r="B508" s="127" t="n"/>
      <c r="C508" s="223" t="n"/>
      <c r="D508" s="127" t="n"/>
      <c r="E508" s="227" t="n"/>
      <c r="F508" s="227" t="n"/>
      <c r="G508" s="227" t="n"/>
      <c r="H508" s="227" t="n"/>
      <c r="I508" s="227" t="n"/>
      <c r="J508" s="227" t="n"/>
      <c r="K508" s="227" t="n"/>
      <c r="L508" s="227" t="n"/>
      <c r="M508" s="227" t="n"/>
      <c r="N508" s="127" t="n"/>
      <c r="O508" s="227" t="n"/>
      <c r="P508" s="227" t="n"/>
      <c r="Q508" s="227" t="n"/>
      <c r="R508" s="227" t="n"/>
      <c r="S508" s="227" t="n"/>
      <c r="T508" s="227" t="n"/>
    </row>
    <row r="509">
      <c r="A509" s="145">
        <f>IF($B509="","",ROW()-5)</f>
        <v/>
      </c>
      <c r="B509" s="127" t="n"/>
      <c r="C509" s="223" t="n"/>
      <c r="D509" s="127" t="n"/>
      <c r="E509" s="227" t="n"/>
      <c r="F509" s="227" t="n"/>
      <c r="G509" s="227" t="n"/>
      <c r="H509" s="227" t="n"/>
      <c r="I509" s="227" t="n"/>
      <c r="J509" s="227" t="n"/>
      <c r="K509" s="227" t="n"/>
      <c r="L509" s="227" t="n"/>
      <c r="M509" s="227" t="n"/>
      <c r="N509" s="127" t="n"/>
      <c r="O509" s="227" t="n"/>
      <c r="P509" s="227" t="n"/>
      <c r="Q509" s="227" t="n"/>
      <c r="R509" s="227" t="n"/>
      <c r="S509" s="227" t="n"/>
      <c r="T509" s="227" t="n"/>
    </row>
    <row r="510">
      <c r="A510" s="145">
        <f>IF($B510="","",ROW()-5)</f>
        <v/>
      </c>
      <c r="B510" s="127" t="n"/>
      <c r="C510" s="223" t="n"/>
      <c r="D510" s="127" t="n"/>
      <c r="E510" s="227" t="n"/>
      <c r="F510" s="227" t="n"/>
      <c r="G510" s="227" t="n"/>
      <c r="H510" s="227" t="n"/>
      <c r="I510" s="227" t="n"/>
      <c r="J510" s="227" t="n"/>
      <c r="K510" s="227" t="n"/>
      <c r="L510" s="227" t="n"/>
      <c r="M510" s="227" t="n"/>
      <c r="N510" s="127" t="n"/>
      <c r="O510" s="227" t="n"/>
      <c r="P510" s="227" t="n"/>
      <c r="Q510" s="227" t="n"/>
      <c r="R510" s="227" t="n"/>
      <c r="S510" s="227" t="n"/>
      <c r="T510" s="227" t="n"/>
    </row>
    <row r="511">
      <c r="A511" s="145">
        <f>IF($B511="","",ROW()-5)</f>
        <v/>
      </c>
      <c r="B511" s="127" t="n"/>
      <c r="C511" s="223" t="n"/>
      <c r="D511" s="127" t="n"/>
      <c r="E511" s="227" t="n"/>
      <c r="F511" s="227" t="n"/>
      <c r="G511" s="227" t="n"/>
      <c r="H511" s="227" t="n"/>
      <c r="I511" s="227" t="n"/>
      <c r="J511" s="227" t="n"/>
      <c r="K511" s="227" t="n"/>
      <c r="L511" s="227" t="n"/>
      <c r="M511" s="227" t="n"/>
      <c r="N511" s="127" t="n"/>
      <c r="O511" s="227" t="n"/>
      <c r="P511" s="227" t="n"/>
      <c r="Q511" s="227" t="n"/>
      <c r="R511" s="227" t="n"/>
      <c r="S511" s="227" t="n"/>
      <c r="T511" s="227" t="n"/>
    </row>
    <row r="512">
      <c r="A512" s="145">
        <f>IF($B512="","",ROW()-5)</f>
        <v/>
      </c>
      <c r="B512" s="127" t="n"/>
      <c r="C512" s="223" t="n"/>
      <c r="D512" s="127" t="n"/>
      <c r="E512" s="227" t="n"/>
      <c r="F512" s="227" t="n"/>
      <c r="G512" s="227" t="n"/>
      <c r="H512" s="227" t="n"/>
      <c r="I512" s="227" t="n"/>
      <c r="J512" s="227" t="n"/>
      <c r="K512" s="227" t="n"/>
      <c r="L512" s="227" t="n"/>
      <c r="M512" s="227" t="n"/>
      <c r="N512" s="127" t="n"/>
      <c r="O512" s="227" t="n"/>
      <c r="P512" s="227" t="n"/>
      <c r="Q512" s="227" t="n"/>
      <c r="R512" s="227" t="n"/>
      <c r="S512" s="227" t="n"/>
      <c r="T512" s="227" t="n"/>
    </row>
    <row r="513">
      <c r="A513" s="145">
        <f>IF($B513="","",ROW()-5)</f>
        <v/>
      </c>
      <c r="B513" s="127" t="n"/>
      <c r="C513" s="223" t="n"/>
      <c r="D513" s="127" t="n"/>
      <c r="E513" s="227" t="n"/>
      <c r="F513" s="227" t="n"/>
      <c r="G513" s="227" t="n"/>
      <c r="H513" s="227" t="n"/>
      <c r="I513" s="227" t="n"/>
      <c r="J513" s="227" t="n"/>
      <c r="K513" s="227" t="n"/>
      <c r="L513" s="227" t="n"/>
      <c r="M513" s="227" t="n"/>
      <c r="N513" s="127" t="n"/>
      <c r="O513" s="227" t="n"/>
      <c r="P513" s="227" t="n"/>
      <c r="Q513" s="227" t="n"/>
      <c r="R513" s="227" t="n"/>
      <c r="S513" s="227" t="n"/>
      <c r="T513" s="227" t="n"/>
    </row>
    <row r="514">
      <c r="A514" s="145">
        <f>IF($B514="","",ROW()-5)</f>
        <v/>
      </c>
      <c r="B514" s="127" t="n"/>
      <c r="C514" s="223" t="n"/>
      <c r="D514" s="127" t="n"/>
      <c r="E514" s="227" t="n"/>
      <c r="F514" s="227" t="n"/>
      <c r="G514" s="227" t="n"/>
      <c r="H514" s="227" t="n"/>
      <c r="I514" s="227" t="n"/>
      <c r="J514" s="227" t="n"/>
      <c r="K514" s="227" t="n"/>
      <c r="L514" s="227" t="n"/>
      <c r="M514" s="227" t="n"/>
      <c r="N514" s="127" t="n"/>
      <c r="O514" s="227" t="n"/>
      <c r="P514" s="227" t="n"/>
      <c r="Q514" s="227" t="n"/>
      <c r="R514" s="227" t="n"/>
      <c r="S514" s="227" t="n"/>
      <c r="T514" s="227" t="n"/>
    </row>
    <row r="515">
      <c r="A515" s="145">
        <f>IF($B515="","",ROW()-5)</f>
        <v/>
      </c>
      <c r="B515" s="127" t="n"/>
      <c r="C515" s="223" t="n"/>
      <c r="D515" s="127" t="n"/>
      <c r="E515" s="227" t="n"/>
      <c r="F515" s="227" t="n"/>
      <c r="G515" s="227" t="n"/>
      <c r="H515" s="227" t="n"/>
      <c r="I515" s="227" t="n"/>
      <c r="J515" s="227" t="n"/>
      <c r="K515" s="227" t="n"/>
      <c r="L515" s="227" t="n"/>
      <c r="M515" s="227" t="n"/>
      <c r="N515" s="127" t="n"/>
      <c r="O515" s="227" t="n"/>
      <c r="P515" s="227" t="n"/>
      <c r="Q515" s="227" t="n"/>
      <c r="R515" s="227" t="n"/>
      <c r="S515" s="227" t="n"/>
      <c r="T515" s="227" t="n"/>
    </row>
    <row r="516">
      <c r="A516" s="145">
        <f>IF($B516="","",ROW()-5)</f>
        <v/>
      </c>
      <c r="B516" s="127" t="n"/>
      <c r="C516" s="223" t="n"/>
      <c r="D516" s="127" t="n"/>
      <c r="E516" s="227" t="n"/>
      <c r="F516" s="227" t="n"/>
      <c r="G516" s="227" t="n"/>
      <c r="H516" s="227" t="n"/>
      <c r="I516" s="227" t="n"/>
      <c r="J516" s="227" t="n"/>
      <c r="K516" s="227" t="n"/>
      <c r="L516" s="227" t="n"/>
      <c r="M516" s="227" t="n"/>
      <c r="N516" s="127" t="n"/>
      <c r="O516" s="227" t="n"/>
      <c r="P516" s="227" t="n"/>
      <c r="Q516" s="227" t="n"/>
      <c r="R516" s="227" t="n"/>
      <c r="S516" s="227" t="n"/>
      <c r="T516" s="227" t="n"/>
    </row>
    <row r="517">
      <c r="A517" s="145">
        <f>IF($B517="","",ROW()-5)</f>
        <v/>
      </c>
      <c r="B517" s="127" t="n"/>
      <c r="C517" s="223" t="n"/>
      <c r="D517" s="127" t="n"/>
      <c r="E517" s="227" t="n"/>
      <c r="F517" s="227" t="n"/>
      <c r="G517" s="227" t="n"/>
      <c r="H517" s="227" t="n"/>
      <c r="I517" s="227" t="n"/>
      <c r="J517" s="227" t="n"/>
      <c r="K517" s="227" t="n"/>
      <c r="L517" s="227" t="n"/>
      <c r="M517" s="227" t="n"/>
      <c r="N517" s="127" t="n"/>
      <c r="O517" s="227" t="n"/>
      <c r="P517" s="227" t="n"/>
      <c r="Q517" s="227" t="n"/>
      <c r="R517" s="227" t="n"/>
      <c r="S517" s="227" t="n"/>
      <c r="T517" s="227" t="n"/>
    </row>
    <row r="518">
      <c r="A518" s="145">
        <f>IF($B518="","",ROW()-5)</f>
        <v/>
      </c>
      <c r="B518" s="127" t="n"/>
      <c r="C518" s="223" t="n"/>
      <c r="D518" s="127" t="n"/>
      <c r="E518" s="227" t="n"/>
      <c r="F518" s="227" t="n"/>
      <c r="G518" s="227" t="n"/>
      <c r="H518" s="227" t="n"/>
      <c r="I518" s="227" t="n"/>
      <c r="J518" s="227" t="n"/>
      <c r="K518" s="227" t="n"/>
      <c r="L518" s="227" t="n"/>
      <c r="M518" s="227" t="n"/>
      <c r="N518" s="127" t="n"/>
      <c r="O518" s="227" t="n"/>
      <c r="P518" s="227" t="n"/>
      <c r="Q518" s="227" t="n"/>
      <c r="R518" s="227" t="n"/>
      <c r="S518" s="227" t="n"/>
      <c r="T518" s="227" t="n"/>
    </row>
    <row r="519">
      <c r="A519" s="145">
        <f>IF($B519="","",ROW()-5)</f>
        <v/>
      </c>
      <c r="B519" s="127" t="n"/>
      <c r="C519" s="223" t="n"/>
      <c r="D519" s="127" t="n"/>
      <c r="E519" s="227" t="n"/>
      <c r="F519" s="227" t="n"/>
      <c r="G519" s="227" t="n"/>
      <c r="H519" s="227" t="n"/>
      <c r="I519" s="227" t="n"/>
      <c r="J519" s="227" t="n"/>
      <c r="K519" s="227" t="n"/>
      <c r="L519" s="227" t="n"/>
      <c r="M519" s="227" t="n"/>
      <c r="N519" s="127" t="n"/>
      <c r="O519" s="227" t="n"/>
      <c r="P519" s="227" t="n"/>
      <c r="Q519" s="227" t="n"/>
      <c r="R519" s="227" t="n"/>
      <c r="S519" s="227" t="n"/>
      <c r="T519" s="227" t="n"/>
    </row>
    <row r="520">
      <c r="A520" s="145">
        <f>IF($B520="","",ROW()-5)</f>
        <v/>
      </c>
      <c r="B520" s="127" t="n"/>
      <c r="C520" s="223" t="n"/>
      <c r="D520" s="127" t="n"/>
      <c r="E520" s="227" t="n"/>
      <c r="F520" s="227" t="n"/>
      <c r="G520" s="227" t="n"/>
      <c r="H520" s="227" t="n"/>
      <c r="I520" s="227" t="n"/>
      <c r="J520" s="227" t="n"/>
      <c r="K520" s="227" t="n"/>
      <c r="L520" s="227" t="n"/>
      <c r="M520" s="227" t="n"/>
      <c r="N520" s="127" t="n"/>
      <c r="O520" s="227" t="n"/>
      <c r="P520" s="227" t="n"/>
      <c r="Q520" s="227" t="n"/>
      <c r="R520" s="227" t="n"/>
      <c r="S520" s="227" t="n"/>
      <c r="T520" s="227" t="n"/>
    </row>
    <row r="521">
      <c r="A521" s="145">
        <f>IF($B521="","",ROW()-5)</f>
        <v/>
      </c>
      <c r="B521" s="127" t="n"/>
      <c r="C521" s="223" t="n"/>
      <c r="D521" s="127" t="n"/>
      <c r="E521" s="227" t="n"/>
      <c r="F521" s="227" t="n"/>
      <c r="G521" s="227" t="n"/>
      <c r="H521" s="227" t="n"/>
      <c r="I521" s="227" t="n"/>
      <c r="J521" s="227" t="n"/>
      <c r="K521" s="227" t="n"/>
      <c r="L521" s="227" t="n"/>
      <c r="M521" s="227" t="n"/>
      <c r="N521" s="127" t="n"/>
      <c r="O521" s="227" t="n"/>
      <c r="P521" s="227" t="n"/>
      <c r="Q521" s="227" t="n"/>
      <c r="R521" s="227" t="n"/>
      <c r="S521" s="227" t="n"/>
      <c r="T521" s="227" t="n"/>
    </row>
    <row r="522">
      <c r="A522" s="145">
        <f>IF($B522="","",ROW()-5)</f>
        <v/>
      </c>
      <c r="B522" s="127" t="n"/>
      <c r="C522" s="223" t="n"/>
      <c r="D522" s="127" t="n"/>
      <c r="E522" s="227" t="n"/>
      <c r="F522" s="227" t="n"/>
      <c r="G522" s="227" t="n"/>
      <c r="H522" s="227" t="n"/>
      <c r="I522" s="227" t="n"/>
      <c r="J522" s="227" t="n"/>
      <c r="K522" s="227" t="n"/>
      <c r="L522" s="227" t="n"/>
      <c r="M522" s="227" t="n"/>
      <c r="N522" s="127" t="n"/>
      <c r="O522" s="227" t="n"/>
      <c r="P522" s="227" t="n"/>
      <c r="Q522" s="227" t="n"/>
      <c r="R522" s="227" t="n"/>
      <c r="S522" s="227" t="n"/>
      <c r="T522" s="227" t="n"/>
    </row>
    <row r="523">
      <c r="A523" s="145">
        <f>IF($B523="","",ROW()-5)</f>
        <v/>
      </c>
      <c r="B523" s="127" t="n"/>
      <c r="C523" s="223" t="n"/>
      <c r="D523" s="127" t="n"/>
      <c r="E523" s="227" t="n"/>
      <c r="F523" s="227" t="n"/>
      <c r="G523" s="227" t="n"/>
      <c r="H523" s="227" t="n"/>
      <c r="I523" s="227" t="n"/>
      <c r="J523" s="227" t="n"/>
      <c r="K523" s="227" t="n"/>
      <c r="L523" s="227" t="n"/>
      <c r="M523" s="227" t="n"/>
      <c r="N523" s="127" t="n"/>
      <c r="O523" s="227" t="n"/>
      <c r="P523" s="227" t="n"/>
      <c r="Q523" s="227" t="n"/>
      <c r="R523" s="227" t="n"/>
      <c r="S523" s="227" t="n"/>
      <c r="T523" s="227" t="n"/>
    </row>
    <row r="524">
      <c r="A524" s="145">
        <f>IF($B524="","",ROW()-5)</f>
        <v/>
      </c>
      <c r="B524" s="127" t="n"/>
      <c r="C524" s="223" t="n"/>
      <c r="D524" s="127" t="n"/>
      <c r="E524" s="227" t="n"/>
      <c r="F524" s="227" t="n"/>
      <c r="G524" s="227" t="n"/>
      <c r="H524" s="227" t="n"/>
      <c r="I524" s="227" t="n"/>
      <c r="J524" s="227" t="n"/>
      <c r="K524" s="227" t="n"/>
      <c r="L524" s="227" t="n"/>
      <c r="M524" s="227" t="n"/>
      <c r="N524" s="127" t="n"/>
      <c r="O524" s="227" t="n"/>
      <c r="P524" s="227" t="n"/>
      <c r="Q524" s="227" t="n"/>
      <c r="R524" s="227" t="n"/>
      <c r="S524" s="227" t="n"/>
      <c r="T524" s="227" t="n"/>
    </row>
    <row r="525">
      <c r="A525" s="145">
        <f>IF($B525="","",ROW()-5)</f>
        <v/>
      </c>
      <c r="B525" s="127" t="n"/>
      <c r="C525" s="223" t="n"/>
      <c r="D525" s="127" t="n"/>
      <c r="E525" s="227" t="n"/>
      <c r="F525" s="227" t="n"/>
      <c r="G525" s="227" t="n"/>
      <c r="H525" s="227" t="n"/>
      <c r="I525" s="227" t="n"/>
      <c r="J525" s="227" t="n"/>
      <c r="K525" s="227" t="n"/>
      <c r="L525" s="227" t="n"/>
      <c r="M525" s="227" t="n"/>
      <c r="N525" s="127" t="n"/>
      <c r="O525" s="227" t="n"/>
      <c r="P525" s="227" t="n"/>
      <c r="Q525" s="227" t="n"/>
      <c r="R525" s="227" t="n"/>
      <c r="S525" s="227" t="n"/>
      <c r="T525" s="227" t="n"/>
    </row>
    <row r="526">
      <c r="A526" s="145">
        <f>IF($B526="","",ROW()-5)</f>
        <v/>
      </c>
      <c r="B526" s="127" t="n"/>
      <c r="C526" s="223" t="n"/>
      <c r="D526" s="127" t="n"/>
      <c r="E526" s="227" t="n"/>
      <c r="F526" s="227" t="n"/>
      <c r="G526" s="227" t="n"/>
      <c r="H526" s="227" t="n"/>
      <c r="I526" s="227" t="n"/>
      <c r="J526" s="227" t="n"/>
      <c r="K526" s="227" t="n"/>
      <c r="L526" s="227" t="n"/>
      <c r="M526" s="227" t="n"/>
      <c r="N526" s="127" t="n"/>
      <c r="O526" s="227" t="n"/>
      <c r="P526" s="227" t="n"/>
      <c r="Q526" s="227" t="n"/>
      <c r="R526" s="227" t="n"/>
      <c r="S526" s="227" t="n"/>
      <c r="T526" s="227" t="n"/>
    </row>
    <row r="527">
      <c r="A527" s="145">
        <f>IF($B527="","",ROW()-5)</f>
        <v/>
      </c>
      <c r="B527" s="127" t="n"/>
      <c r="C527" s="223" t="n"/>
      <c r="D527" s="127" t="n"/>
      <c r="E527" s="227" t="n"/>
      <c r="F527" s="227" t="n"/>
      <c r="G527" s="227" t="n"/>
      <c r="H527" s="227" t="n"/>
      <c r="I527" s="227" t="n"/>
      <c r="J527" s="227" t="n"/>
      <c r="K527" s="227" t="n"/>
      <c r="L527" s="227" t="n"/>
      <c r="M527" s="227" t="n"/>
      <c r="N527" s="127" t="n"/>
      <c r="O527" s="227" t="n"/>
      <c r="P527" s="227" t="n"/>
      <c r="Q527" s="227" t="n"/>
      <c r="R527" s="227" t="n"/>
      <c r="S527" s="227" t="n"/>
      <c r="T527" s="227" t="n"/>
    </row>
    <row r="528">
      <c r="A528" s="145">
        <f>IF($B528="","",ROW()-5)</f>
        <v/>
      </c>
      <c r="B528" s="127" t="n"/>
      <c r="C528" s="223" t="n"/>
      <c r="D528" s="127" t="n"/>
      <c r="E528" s="227" t="n"/>
      <c r="F528" s="227" t="n"/>
      <c r="G528" s="227" t="n"/>
      <c r="H528" s="227" t="n"/>
      <c r="I528" s="227" t="n"/>
      <c r="J528" s="227" t="n"/>
      <c r="K528" s="227" t="n"/>
      <c r="L528" s="227" t="n"/>
      <c r="M528" s="227" t="n"/>
      <c r="N528" s="127" t="n"/>
      <c r="O528" s="227" t="n"/>
      <c r="P528" s="227" t="n"/>
      <c r="Q528" s="227" t="n"/>
      <c r="R528" s="227" t="n"/>
      <c r="S528" s="227" t="n"/>
      <c r="T528" s="227" t="n"/>
    </row>
    <row r="529">
      <c r="A529" s="145">
        <f>IF($B529="","",ROW()-5)</f>
        <v/>
      </c>
      <c r="B529" s="127" t="n"/>
      <c r="C529" s="223" t="n"/>
      <c r="D529" s="127" t="n"/>
      <c r="E529" s="227" t="n"/>
      <c r="F529" s="227" t="n"/>
      <c r="G529" s="227" t="n"/>
      <c r="H529" s="227" t="n"/>
      <c r="I529" s="227" t="n"/>
      <c r="J529" s="227" t="n"/>
      <c r="K529" s="227" t="n"/>
      <c r="L529" s="227" t="n"/>
      <c r="M529" s="227" t="n"/>
      <c r="N529" s="127" t="n"/>
      <c r="O529" s="227" t="n"/>
      <c r="P529" s="227" t="n"/>
      <c r="Q529" s="227" t="n"/>
      <c r="R529" s="227" t="n"/>
      <c r="S529" s="227" t="n"/>
      <c r="T529" s="227" t="n"/>
    </row>
    <row r="530">
      <c r="A530" s="145">
        <f>IF($B530="","",ROW()-5)</f>
        <v/>
      </c>
      <c r="B530" s="127" t="n"/>
      <c r="C530" s="223" t="n"/>
      <c r="D530" s="127" t="n"/>
      <c r="E530" s="227" t="n"/>
      <c r="F530" s="227" t="n"/>
      <c r="G530" s="227" t="n"/>
      <c r="H530" s="227" t="n"/>
      <c r="I530" s="227" t="n"/>
      <c r="J530" s="227" t="n"/>
      <c r="K530" s="227" t="n"/>
      <c r="L530" s="227" t="n"/>
      <c r="M530" s="227" t="n"/>
      <c r="N530" s="127" t="n"/>
      <c r="O530" s="227" t="n"/>
      <c r="P530" s="227" t="n"/>
      <c r="Q530" s="227" t="n"/>
      <c r="R530" s="227" t="n"/>
      <c r="S530" s="227" t="n"/>
      <c r="T530" s="227" t="n"/>
    </row>
    <row r="531">
      <c r="A531" s="145">
        <f>IF($B531="","",ROW()-5)</f>
        <v/>
      </c>
      <c r="B531" s="127" t="n"/>
      <c r="C531" s="223" t="n"/>
      <c r="D531" s="127" t="n"/>
      <c r="E531" s="227" t="n"/>
      <c r="F531" s="227" t="n"/>
      <c r="G531" s="227" t="n"/>
      <c r="H531" s="227" t="n"/>
      <c r="I531" s="227" t="n"/>
      <c r="J531" s="227" t="n"/>
      <c r="K531" s="227" t="n"/>
      <c r="L531" s="227" t="n"/>
      <c r="M531" s="227" t="n"/>
      <c r="N531" s="127" t="n"/>
      <c r="O531" s="227" t="n"/>
      <c r="P531" s="227" t="n"/>
      <c r="Q531" s="227" t="n"/>
      <c r="R531" s="227" t="n"/>
      <c r="S531" s="227" t="n"/>
      <c r="T531" s="227" t="n"/>
    </row>
    <row r="532">
      <c r="A532" s="145">
        <f>IF($B532="","",ROW()-5)</f>
        <v/>
      </c>
      <c r="B532" s="127" t="n"/>
      <c r="C532" s="223" t="n"/>
      <c r="D532" s="127" t="n"/>
      <c r="E532" s="227" t="n"/>
      <c r="F532" s="227" t="n"/>
      <c r="G532" s="227" t="n"/>
      <c r="H532" s="227" t="n"/>
      <c r="I532" s="227" t="n"/>
      <c r="J532" s="227" t="n"/>
      <c r="K532" s="227" t="n"/>
      <c r="L532" s="227" t="n"/>
      <c r="M532" s="227" t="n"/>
      <c r="N532" s="127" t="n"/>
      <c r="O532" s="227" t="n"/>
      <c r="P532" s="227" t="n"/>
      <c r="Q532" s="227" t="n"/>
      <c r="R532" s="227" t="n"/>
      <c r="S532" s="227" t="n"/>
      <c r="T532" s="227" t="n"/>
    </row>
    <row r="533">
      <c r="A533" s="145">
        <f>IF($B533="","",ROW()-5)</f>
        <v/>
      </c>
      <c r="B533" s="127" t="n"/>
      <c r="C533" s="223" t="n"/>
      <c r="D533" s="127" t="n"/>
      <c r="E533" s="227" t="n"/>
      <c r="F533" s="227" t="n"/>
      <c r="G533" s="227" t="n"/>
      <c r="H533" s="227" t="n"/>
      <c r="I533" s="227" t="n"/>
      <c r="J533" s="227" t="n"/>
      <c r="K533" s="227" t="n"/>
      <c r="L533" s="227" t="n"/>
      <c r="M533" s="227" t="n"/>
      <c r="N533" s="127" t="n"/>
      <c r="O533" s="227" t="n"/>
      <c r="P533" s="227" t="n"/>
      <c r="Q533" s="227" t="n"/>
      <c r="R533" s="227" t="n"/>
      <c r="S533" s="227" t="n"/>
      <c r="T533" s="227" t="n"/>
    </row>
    <row r="534">
      <c r="A534" s="145">
        <f>IF($B534="","",ROW()-5)</f>
        <v/>
      </c>
      <c r="B534" s="127" t="n"/>
      <c r="C534" s="223" t="n"/>
      <c r="D534" s="127" t="n"/>
      <c r="E534" s="227" t="n"/>
      <c r="F534" s="227" t="n"/>
      <c r="G534" s="227" t="n"/>
      <c r="H534" s="227" t="n"/>
      <c r="I534" s="227" t="n"/>
      <c r="J534" s="227" t="n"/>
      <c r="K534" s="227" t="n"/>
      <c r="L534" s="227" t="n"/>
      <c r="M534" s="227" t="n"/>
      <c r="N534" s="127" t="n"/>
      <c r="O534" s="227" t="n"/>
      <c r="P534" s="227" t="n"/>
      <c r="Q534" s="227" t="n"/>
      <c r="R534" s="227" t="n"/>
      <c r="S534" s="227" t="n"/>
      <c r="T534" s="227" t="n"/>
    </row>
    <row r="535">
      <c r="A535" s="145">
        <f>IF($B535="","",ROW()-5)</f>
        <v/>
      </c>
      <c r="B535" s="127" t="n"/>
      <c r="C535" s="223" t="n"/>
      <c r="D535" s="127" t="n"/>
      <c r="E535" s="227" t="n"/>
      <c r="F535" s="227" t="n"/>
      <c r="G535" s="227" t="n"/>
      <c r="H535" s="227" t="n"/>
      <c r="I535" s="227" t="n"/>
      <c r="J535" s="227" t="n"/>
      <c r="K535" s="227" t="n"/>
      <c r="L535" s="227" t="n"/>
      <c r="M535" s="227" t="n"/>
      <c r="N535" s="127" t="n"/>
      <c r="O535" s="227" t="n"/>
      <c r="P535" s="227" t="n"/>
      <c r="Q535" s="227" t="n"/>
      <c r="R535" s="227" t="n"/>
      <c r="S535" s="227" t="n"/>
      <c r="T535" s="227" t="n"/>
    </row>
    <row r="536">
      <c r="A536" s="145">
        <f>IF($B536="","",ROW()-5)</f>
        <v/>
      </c>
      <c r="B536" s="127" t="n"/>
      <c r="C536" s="223" t="n"/>
      <c r="D536" s="127" t="n"/>
      <c r="E536" s="227" t="n"/>
      <c r="F536" s="227" t="n"/>
      <c r="G536" s="227" t="n"/>
      <c r="H536" s="227" t="n"/>
      <c r="I536" s="227" t="n"/>
      <c r="J536" s="227" t="n"/>
      <c r="K536" s="227" t="n"/>
      <c r="L536" s="227" t="n"/>
      <c r="M536" s="227" t="n"/>
      <c r="N536" s="127" t="n"/>
      <c r="O536" s="227" t="n"/>
      <c r="P536" s="227" t="n"/>
      <c r="Q536" s="227" t="n"/>
      <c r="R536" s="227" t="n"/>
      <c r="S536" s="227" t="n"/>
      <c r="T536" s="227" t="n"/>
    </row>
    <row r="537">
      <c r="A537" s="145">
        <f>IF($B537="","",ROW()-5)</f>
        <v/>
      </c>
      <c r="B537" s="127" t="n"/>
      <c r="C537" s="223" t="n"/>
      <c r="D537" s="127" t="n"/>
      <c r="E537" s="227" t="n"/>
      <c r="F537" s="227" t="n"/>
      <c r="G537" s="227" t="n"/>
      <c r="H537" s="227" t="n"/>
      <c r="I537" s="227" t="n"/>
      <c r="J537" s="227" t="n"/>
      <c r="K537" s="227" t="n"/>
      <c r="L537" s="227" t="n"/>
      <c r="M537" s="227" t="n"/>
      <c r="N537" s="127" t="n"/>
      <c r="O537" s="227" t="n"/>
      <c r="P537" s="227" t="n"/>
      <c r="Q537" s="227" t="n"/>
      <c r="R537" s="227" t="n"/>
      <c r="S537" s="227" t="n"/>
      <c r="T537" s="227" t="n"/>
    </row>
    <row r="538">
      <c r="A538" s="145">
        <f>IF($B538="","",ROW()-5)</f>
        <v/>
      </c>
      <c r="B538" s="127" t="n"/>
      <c r="C538" s="223" t="n"/>
      <c r="D538" s="127" t="n"/>
      <c r="E538" s="227" t="n"/>
      <c r="F538" s="227" t="n"/>
      <c r="G538" s="227" t="n"/>
      <c r="H538" s="227" t="n"/>
      <c r="I538" s="227" t="n"/>
      <c r="J538" s="227" t="n"/>
      <c r="K538" s="227" t="n"/>
      <c r="L538" s="227" t="n"/>
      <c r="M538" s="227" t="n"/>
      <c r="N538" s="127" t="n"/>
      <c r="O538" s="227" t="n"/>
      <c r="P538" s="227" t="n"/>
      <c r="Q538" s="227" t="n"/>
      <c r="R538" s="227" t="n"/>
      <c r="S538" s="227" t="n"/>
      <c r="T538" s="227" t="n"/>
    </row>
    <row r="539">
      <c r="A539" s="145">
        <f>IF($B539="","",ROW()-5)</f>
        <v/>
      </c>
      <c r="B539" s="127" t="n"/>
      <c r="C539" s="223" t="n"/>
      <c r="D539" s="127" t="n"/>
      <c r="E539" s="227" t="n"/>
      <c r="F539" s="227" t="n"/>
      <c r="G539" s="227" t="n"/>
      <c r="H539" s="227" t="n"/>
      <c r="I539" s="227" t="n"/>
      <c r="J539" s="227" t="n"/>
      <c r="K539" s="227" t="n"/>
      <c r="L539" s="227" t="n"/>
      <c r="M539" s="227" t="n"/>
      <c r="N539" s="127" t="n"/>
      <c r="O539" s="227" t="n"/>
      <c r="P539" s="227" t="n"/>
      <c r="Q539" s="227" t="n"/>
      <c r="R539" s="227" t="n"/>
      <c r="S539" s="227" t="n"/>
      <c r="T539" s="227" t="n"/>
    </row>
    <row r="540">
      <c r="A540" s="145">
        <f>IF($B540="","",ROW()-5)</f>
        <v/>
      </c>
      <c r="B540" s="127" t="n"/>
      <c r="C540" s="223" t="n"/>
      <c r="D540" s="127" t="n"/>
      <c r="E540" s="227" t="n"/>
      <c r="F540" s="227" t="n"/>
      <c r="G540" s="227" t="n"/>
      <c r="H540" s="227" t="n"/>
      <c r="I540" s="227" t="n"/>
      <c r="J540" s="227" t="n"/>
      <c r="K540" s="227" t="n"/>
      <c r="L540" s="227" t="n"/>
      <c r="M540" s="227" t="n"/>
      <c r="N540" s="127" t="n"/>
      <c r="O540" s="227" t="n"/>
      <c r="P540" s="227" t="n"/>
      <c r="Q540" s="227" t="n"/>
      <c r="R540" s="227" t="n"/>
      <c r="S540" s="227" t="n"/>
      <c r="T540" s="227" t="n"/>
    </row>
    <row r="541">
      <c r="A541" s="145">
        <f>IF($B541="","",ROW()-5)</f>
        <v/>
      </c>
      <c r="B541" s="127" t="n"/>
      <c r="C541" s="223" t="n"/>
      <c r="D541" s="127" t="n"/>
      <c r="E541" s="227" t="n"/>
      <c r="F541" s="227" t="n"/>
      <c r="G541" s="227" t="n"/>
      <c r="H541" s="227" t="n"/>
      <c r="I541" s="227" t="n"/>
      <c r="J541" s="227" t="n"/>
      <c r="K541" s="227" t="n"/>
      <c r="L541" s="227" t="n"/>
      <c r="M541" s="227" t="n"/>
      <c r="N541" s="127" t="n"/>
      <c r="O541" s="227" t="n"/>
      <c r="P541" s="227" t="n"/>
      <c r="Q541" s="227" t="n"/>
      <c r="R541" s="227" t="n"/>
      <c r="S541" s="227" t="n"/>
      <c r="T541" s="227" t="n"/>
    </row>
    <row r="542">
      <c r="A542" s="145">
        <f>IF($B542="","",ROW()-5)</f>
        <v/>
      </c>
      <c r="B542" s="127" t="n"/>
      <c r="C542" s="223" t="n"/>
      <c r="D542" s="127" t="n"/>
      <c r="E542" s="227" t="n"/>
      <c r="F542" s="227" t="n"/>
      <c r="G542" s="227" t="n"/>
      <c r="H542" s="227" t="n"/>
      <c r="I542" s="227" t="n"/>
      <c r="J542" s="227" t="n"/>
      <c r="K542" s="227" t="n"/>
      <c r="L542" s="227" t="n"/>
      <c r="M542" s="227" t="n"/>
      <c r="N542" s="127" t="n"/>
      <c r="O542" s="227" t="n"/>
      <c r="P542" s="227" t="n"/>
      <c r="Q542" s="227" t="n"/>
      <c r="R542" s="227" t="n"/>
      <c r="S542" s="227" t="n"/>
      <c r="T542" s="227" t="n"/>
    </row>
    <row r="543">
      <c r="A543" s="145">
        <f>IF($B543="","",ROW()-5)</f>
        <v/>
      </c>
      <c r="B543" s="127" t="n"/>
      <c r="C543" s="223" t="n"/>
      <c r="D543" s="127" t="n"/>
      <c r="E543" s="227" t="n"/>
      <c r="F543" s="227" t="n"/>
      <c r="G543" s="227" t="n"/>
      <c r="H543" s="227" t="n"/>
      <c r="I543" s="227" t="n"/>
      <c r="J543" s="227" t="n"/>
      <c r="K543" s="227" t="n"/>
      <c r="L543" s="227" t="n"/>
      <c r="M543" s="227" t="n"/>
      <c r="N543" s="127" t="n"/>
      <c r="O543" s="227" t="n"/>
      <c r="P543" s="227" t="n"/>
      <c r="Q543" s="227" t="n"/>
      <c r="R543" s="227" t="n"/>
      <c r="S543" s="227" t="n"/>
      <c r="T543" s="227" t="n"/>
    </row>
    <row r="544">
      <c r="A544" s="145">
        <f>IF($B544="","",ROW()-5)</f>
        <v/>
      </c>
      <c r="B544" s="127" t="n"/>
      <c r="C544" s="223" t="n"/>
      <c r="D544" s="127" t="n"/>
      <c r="E544" s="227" t="n"/>
      <c r="F544" s="227" t="n"/>
      <c r="G544" s="227" t="n"/>
      <c r="H544" s="227" t="n"/>
      <c r="I544" s="227" t="n"/>
      <c r="J544" s="227" t="n"/>
      <c r="K544" s="227" t="n"/>
      <c r="L544" s="227" t="n"/>
      <c r="M544" s="227" t="n"/>
      <c r="N544" s="127" t="n"/>
      <c r="O544" s="227" t="n"/>
      <c r="P544" s="227" t="n"/>
      <c r="Q544" s="227" t="n"/>
      <c r="R544" s="227" t="n"/>
      <c r="S544" s="227" t="n"/>
      <c r="T544" s="227" t="n"/>
    </row>
    <row r="545">
      <c r="A545" s="145">
        <f>IF($B545="","",ROW()-5)</f>
        <v/>
      </c>
      <c r="B545" s="127" t="n"/>
      <c r="C545" s="223" t="n"/>
      <c r="D545" s="127" t="n"/>
      <c r="E545" s="227" t="n"/>
      <c r="F545" s="227" t="n"/>
      <c r="G545" s="227" t="n"/>
      <c r="H545" s="227" t="n"/>
      <c r="I545" s="227" t="n"/>
      <c r="J545" s="227" t="n"/>
      <c r="K545" s="227" t="n"/>
      <c r="L545" s="227" t="n"/>
      <c r="M545" s="227" t="n"/>
      <c r="N545" s="127" t="n"/>
      <c r="O545" s="227" t="n"/>
      <c r="P545" s="227" t="n"/>
      <c r="Q545" s="227" t="n"/>
      <c r="R545" s="227" t="n"/>
      <c r="S545" s="227" t="n"/>
      <c r="T545" s="227" t="n"/>
    </row>
    <row r="546">
      <c r="A546" s="145">
        <f>IF($B546="","",ROW()-5)</f>
        <v/>
      </c>
      <c r="B546" s="127" t="n"/>
      <c r="C546" s="223" t="n"/>
      <c r="D546" s="127" t="n"/>
      <c r="E546" s="227" t="n"/>
      <c r="F546" s="227" t="n"/>
      <c r="G546" s="227" t="n"/>
      <c r="H546" s="227" t="n"/>
      <c r="I546" s="227" t="n"/>
      <c r="J546" s="227" t="n"/>
      <c r="K546" s="227" t="n"/>
      <c r="L546" s="227" t="n"/>
      <c r="M546" s="227" t="n"/>
      <c r="N546" s="127" t="n"/>
      <c r="O546" s="227" t="n"/>
      <c r="P546" s="227" t="n"/>
      <c r="Q546" s="227" t="n"/>
      <c r="R546" s="227" t="n"/>
      <c r="S546" s="227" t="n"/>
      <c r="T546" s="227" t="n"/>
    </row>
    <row r="547">
      <c r="A547" s="145">
        <f>IF($B547="","",ROW()-5)</f>
        <v/>
      </c>
      <c r="B547" s="127" t="n"/>
      <c r="C547" s="223" t="n"/>
      <c r="D547" s="127" t="n"/>
      <c r="E547" s="227" t="n"/>
      <c r="F547" s="227" t="n"/>
      <c r="G547" s="227" t="n"/>
      <c r="H547" s="227" t="n"/>
      <c r="I547" s="227" t="n"/>
      <c r="J547" s="227" t="n"/>
      <c r="K547" s="227" t="n"/>
      <c r="L547" s="227" t="n"/>
      <c r="M547" s="227" t="n"/>
      <c r="N547" s="127" t="n"/>
      <c r="O547" s="227" t="n"/>
      <c r="P547" s="227" t="n"/>
      <c r="Q547" s="227" t="n"/>
      <c r="R547" s="227" t="n"/>
      <c r="S547" s="227" t="n"/>
      <c r="T547" s="227" t="n"/>
    </row>
    <row r="548">
      <c r="A548" s="145">
        <f>IF($B548="","",ROW()-5)</f>
        <v/>
      </c>
      <c r="B548" s="127" t="n"/>
      <c r="C548" s="223" t="n"/>
      <c r="D548" s="127" t="n"/>
      <c r="E548" s="227" t="n"/>
      <c r="F548" s="227" t="n"/>
      <c r="G548" s="227" t="n"/>
      <c r="H548" s="227" t="n"/>
      <c r="I548" s="227" t="n"/>
      <c r="J548" s="227" t="n"/>
      <c r="K548" s="227" t="n"/>
      <c r="L548" s="227" t="n"/>
      <c r="M548" s="227" t="n"/>
      <c r="N548" s="127" t="n"/>
      <c r="O548" s="227" t="n"/>
      <c r="P548" s="227" t="n"/>
      <c r="Q548" s="227" t="n"/>
      <c r="R548" s="227" t="n"/>
      <c r="S548" s="227" t="n"/>
      <c r="T548" s="227" t="n"/>
    </row>
    <row r="549">
      <c r="A549" s="145">
        <f>IF($B549="","",ROW()-5)</f>
        <v/>
      </c>
      <c r="B549" s="127" t="n"/>
      <c r="C549" s="223" t="n"/>
      <c r="D549" s="127" t="n"/>
      <c r="E549" s="227" t="n"/>
      <c r="F549" s="227" t="n"/>
      <c r="G549" s="227" t="n"/>
      <c r="H549" s="227" t="n"/>
      <c r="I549" s="227" t="n"/>
      <c r="J549" s="227" t="n"/>
      <c r="K549" s="227" t="n"/>
      <c r="L549" s="227" t="n"/>
      <c r="M549" s="227" t="n"/>
      <c r="N549" s="127" t="n"/>
      <c r="O549" s="227" t="n"/>
      <c r="P549" s="227" t="n"/>
      <c r="Q549" s="227" t="n"/>
      <c r="R549" s="227" t="n"/>
      <c r="S549" s="227" t="n"/>
      <c r="T549" s="227" t="n"/>
    </row>
    <row r="550">
      <c r="A550" s="145">
        <f>IF($B550="","",ROW()-5)</f>
        <v/>
      </c>
      <c r="B550" s="127" t="n"/>
      <c r="C550" s="223" t="n"/>
      <c r="D550" s="127" t="n"/>
      <c r="E550" s="227" t="n"/>
      <c r="F550" s="227" t="n"/>
      <c r="G550" s="227" t="n"/>
      <c r="H550" s="227" t="n"/>
      <c r="I550" s="227" t="n"/>
      <c r="J550" s="227" t="n"/>
      <c r="K550" s="227" t="n"/>
      <c r="L550" s="227" t="n"/>
      <c r="M550" s="227" t="n"/>
      <c r="N550" s="127" t="n"/>
      <c r="O550" s="227" t="n"/>
      <c r="P550" s="227" t="n"/>
      <c r="Q550" s="227" t="n"/>
      <c r="R550" s="227" t="n"/>
      <c r="S550" s="227" t="n"/>
      <c r="T550" s="227" t="n"/>
    </row>
    <row r="551">
      <c r="A551" s="145">
        <f>IF($B551="","",ROW()-5)</f>
        <v/>
      </c>
      <c r="B551" s="127" t="n"/>
      <c r="C551" s="223" t="n"/>
      <c r="D551" s="127" t="n"/>
      <c r="E551" s="227" t="n"/>
      <c r="F551" s="227" t="n"/>
      <c r="G551" s="227" t="n"/>
      <c r="H551" s="227" t="n"/>
      <c r="I551" s="227" t="n"/>
      <c r="J551" s="227" t="n"/>
      <c r="K551" s="227" t="n"/>
      <c r="L551" s="227" t="n"/>
      <c r="M551" s="227" t="n"/>
      <c r="N551" s="127" t="n"/>
      <c r="O551" s="227" t="n"/>
      <c r="P551" s="227" t="n"/>
      <c r="Q551" s="227" t="n"/>
      <c r="R551" s="227" t="n"/>
      <c r="S551" s="227" t="n"/>
      <c r="T551" s="227" t="n"/>
    </row>
    <row r="552">
      <c r="A552" s="145">
        <f>IF($B552="","",ROW()-5)</f>
        <v/>
      </c>
      <c r="B552" s="127" t="n"/>
      <c r="C552" s="223" t="n"/>
      <c r="D552" s="127" t="n"/>
      <c r="E552" s="227" t="n"/>
      <c r="F552" s="227" t="n"/>
      <c r="G552" s="227" t="n"/>
      <c r="H552" s="227" t="n"/>
      <c r="I552" s="227" t="n"/>
      <c r="J552" s="227" t="n"/>
      <c r="K552" s="227" t="n"/>
      <c r="L552" s="227" t="n"/>
      <c r="M552" s="227" t="n"/>
      <c r="N552" s="127" t="n"/>
      <c r="O552" s="227" t="n"/>
      <c r="P552" s="227" t="n"/>
      <c r="Q552" s="227" t="n"/>
      <c r="R552" s="227" t="n"/>
      <c r="S552" s="227" t="n"/>
      <c r="T552" s="227" t="n"/>
    </row>
    <row r="553">
      <c r="A553" s="145">
        <f>IF($B553="","",ROW()-5)</f>
        <v/>
      </c>
      <c r="B553" s="127" t="n"/>
      <c r="C553" s="223" t="n"/>
      <c r="D553" s="127" t="n"/>
      <c r="E553" s="227" t="n"/>
      <c r="F553" s="227" t="n"/>
      <c r="G553" s="227" t="n"/>
      <c r="H553" s="227" t="n"/>
      <c r="I553" s="227" t="n"/>
      <c r="J553" s="227" t="n"/>
      <c r="K553" s="227" t="n"/>
      <c r="L553" s="227" t="n"/>
      <c r="M553" s="227" t="n"/>
      <c r="N553" s="127" t="n"/>
      <c r="O553" s="227" t="n"/>
      <c r="P553" s="227" t="n"/>
      <c r="Q553" s="227" t="n"/>
      <c r="R553" s="227" t="n"/>
      <c r="S553" s="227" t="n"/>
      <c r="T553" s="227" t="n"/>
    </row>
    <row r="554">
      <c r="A554" s="145">
        <f>IF($B554="","",ROW()-5)</f>
        <v/>
      </c>
      <c r="B554" s="127" t="n"/>
      <c r="C554" s="223" t="n"/>
      <c r="D554" s="127" t="n"/>
      <c r="E554" s="227" t="n"/>
      <c r="F554" s="227" t="n"/>
      <c r="G554" s="227" t="n"/>
      <c r="H554" s="227" t="n"/>
      <c r="I554" s="227" t="n"/>
      <c r="J554" s="227" t="n"/>
      <c r="K554" s="227" t="n"/>
      <c r="L554" s="227" t="n"/>
      <c r="M554" s="227" t="n"/>
      <c r="N554" s="127" t="n"/>
      <c r="O554" s="227" t="n"/>
      <c r="P554" s="227" t="n"/>
      <c r="Q554" s="227" t="n"/>
      <c r="R554" s="227" t="n"/>
      <c r="S554" s="227" t="n"/>
      <c r="T554" s="227" t="n"/>
    </row>
    <row r="555">
      <c r="A555" s="145">
        <f>IF($B555="","",ROW()-5)</f>
        <v/>
      </c>
      <c r="B555" s="127" t="n"/>
      <c r="C555" s="223" t="n"/>
      <c r="D555" s="127" t="n"/>
      <c r="E555" s="227" t="n"/>
      <c r="F555" s="227" t="n"/>
      <c r="G555" s="227" t="n"/>
      <c r="H555" s="227" t="n"/>
      <c r="I555" s="227" t="n"/>
      <c r="J555" s="227" t="n"/>
      <c r="K555" s="227" t="n"/>
      <c r="L555" s="227" t="n"/>
      <c r="M555" s="227" t="n"/>
      <c r="N555" s="127" t="n"/>
      <c r="O555" s="227" t="n"/>
      <c r="P555" s="227" t="n"/>
      <c r="Q555" s="227" t="n"/>
      <c r="R555" s="227" t="n"/>
      <c r="S555" s="227" t="n"/>
      <c r="T555" s="227" t="n"/>
    </row>
    <row r="556">
      <c r="A556" s="145">
        <f>IF($B556="","",ROW()-5)</f>
        <v/>
      </c>
      <c r="B556" s="127" t="n"/>
      <c r="C556" s="223" t="n"/>
      <c r="D556" s="127" t="n"/>
      <c r="E556" s="227" t="n"/>
      <c r="F556" s="227" t="n"/>
      <c r="G556" s="227" t="n"/>
      <c r="H556" s="227" t="n"/>
      <c r="I556" s="227" t="n"/>
      <c r="J556" s="227" t="n"/>
      <c r="K556" s="227" t="n"/>
      <c r="L556" s="227" t="n"/>
      <c r="M556" s="227" t="n"/>
      <c r="N556" s="127" t="n"/>
      <c r="O556" s="227" t="n"/>
      <c r="P556" s="227" t="n"/>
      <c r="Q556" s="227" t="n"/>
      <c r="R556" s="227" t="n"/>
      <c r="S556" s="227" t="n"/>
      <c r="T556" s="227" t="n"/>
    </row>
    <row r="557">
      <c r="A557" s="145">
        <f>IF($B557="","",ROW()-5)</f>
        <v/>
      </c>
      <c r="B557" s="127" t="n"/>
      <c r="C557" s="223" t="n"/>
      <c r="D557" s="127" t="n"/>
      <c r="E557" s="227" t="n"/>
      <c r="F557" s="227" t="n"/>
      <c r="G557" s="227" t="n"/>
      <c r="H557" s="227" t="n"/>
      <c r="I557" s="227" t="n"/>
      <c r="J557" s="227" t="n"/>
      <c r="K557" s="227" t="n"/>
      <c r="L557" s="227" t="n"/>
      <c r="M557" s="227" t="n"/>
      <c r="N557" s="127" t="n"/>
      <c r="O557" s="227" t="n"/>
      <c r="P557" s="227" t="n"/>
      <c r="Q557" s="227" t="n"/>
      <c r="R557" s="227" t="n"/>
      <c r="S557" s="227" t="n"/>
      <c r="T557" s="227" t="n"/>
    </row>
    <row r="558">
      <c r="A558" s="145">
        <f>IF($B558="","",ROW()-5)</f>
        <v/>
      </c>
      <c r="B558" s="127" t="n"/>
      <c r="C558" s="223" t="n"/>
      <c r="D558" s="127" t="n"/>
      <c r="E558" s="227" t="n"/>
      <c r="F558" s="227" t="n"/>
      <c r="G558" s="227" t="n"/>
      <c r="H558" s="227" t="n"/>
      <c r="I558" s="227" t="n"/>
      <c r="J558" s="227" t="n"/>
      <c r="K558" s="227" t="n"/>
      <c r="L558" s="227" t="n"/>
      <c r="M558" s="227" t="n"/>
      <c r="N558" s="127" t="n"/>
      <c r="O558" s="227" t="n"/>
      <c r="P558" s="227" t="n"/>
      <c r="Q558" s="227" t="n"/>
      <c r="R558" s="227" t="n"/>
      <c r="S558" s="227" t="n"/>
      <c r="T558" s="227" t="n"/>
    </row>
    <row r="559">
      <c r="A559" s="145">
        <f>IF($B559="","",ROW()-5)</f>
        <v/>
      </c>
      <c r="B559" s="127" t="n"/>
      <c r="C559" s="223" t="n"/>
      <c r="D559" s="127" t="n"/>
      <c r="E559" s="227" t="n"/>
      <c r="F559" s="227" t="n"/>
      <c r="G559" s="227" t="n"/>
      <c r="H559" s="227" t="n"/>
      <c r="I559" s="227" t="n"/>
      <c r="J559" s="227" t="n"/>
      <c r="K559" s="227" t="n"/>
      <c r="L559" s="227" t="n"/>
      <c r="M559" s="227" t="n"/>
      <c r="N559" s="127" t="n"/>
      <c r="O559" s="227" t="n"/>
      <c r="P559" s="227" t="n"/>
      <c r="Q559" s="227" t="n"/>
      <c r="R559" s="227" t="n"/>
      <c r="S559" s="227" t="n"/>
      <c r="T559" s="227" t="n"/>
    </row>
    <row r="560">
      <c r="A560" s="145">
        <f>IF($B560="","",ROW()-5)</f>
        <v/>
      </c>
      <c r="B560" s="127" t="n"/>
      <c r="C560" s="223" t="n"/>
      <c r="D560" s="127" t="n"/>
      <c r="E560" s="227" t="n"/>
      <c r="F560" s="227" t="n"/>
      <c r="G560" s="227" t="n"/>
      <c r="H560" s="227" t="n"/>
      <c r="I560" s="227" t="n"/>
      <c r="J560" s="227" t="n"/>
      <c r="K560" s="227" t="n"/>
      <c r="L560" s="227" t="n"/>
      <c r="M560" s="227" t="n"/>
      <c r="N560" s="127" t="n"/>
      <c r="O560" s="227" t="n"/>
      <c r="P560" s="227" t="n"/>
      <c r="Q560" s="227" t="n"/>
      <c r="R560" s="227" t="n"/>
      <c r="S560" s="227" t="n"/>
      <c r="T560" s="227" t="n"/>
    </row>
    <row r="561">
      <c r="A561" s="145">
        <f>IF($B561="","",ROW()-5)</f>
        <v/>
      </c>
      <c r="B561" s="127" t="n"/>
      <c r="C561" s="223" t="n"/>
      <c r="D561" s="127" t="n"/>
      <c r="E561" s="227" t="n"/>
      <c r="F561" s="227" t="n"/>
      <c r="G561" s="227" t="n"/>
      <c r="H561" s="227" t="n"/>
      <c r="I561" s="227" t="n"/>
      <c r="J561" s="227" t="n"/>
      <c r="K561" s="227" t="n"/>
      <c r="L561" s="227" t="n"/>
      <c r="M561" s="227" t="n"/>
      <c r="N561" s="127" t="n"/>
      <c r="O561" s="227" t="n"/>
      <c r="P561" s="227" t="n"/>
      <c r="Q561" s="227" t="n"/>
      <c r="R561" s="227" t="n"/>
      <c r="S561" s="227" t="n"/>
      <c r="T561" s="227" t="n"/>
    </row>
    <row r="562">
      <c r="A562" s="145">
        <f>IF($B562="","",ROW()-5)</f>
        <v/>
      </c>
      <c r="B562" s="127" t="n"/>
      <c r="C562" s="223" t="n"/>
      <c r="D562" s="127" t="n"/>
      <c r="E562" s="227" t="n"/>
      <c r="F562" s="227" t="n"/>
      <c r="G562" s="227" t="n"/>
      <c r="H562" s="227" t="n"/>
      <c r="I562" s="227" t="n"/>
      <c r="J562" s="227" t="n"/>
      <c r="K562" s="227" t="n"/>
      <c r="L562" s="227" t="n"/>
      <c r="M562" s="227" t="n"/>
      <c r="N562" s="127" t="n"/>
      <c r="O562" s="227" t="n"/>
      <c r="P562" s="227" t="n"/>
      <c r="Q562" s="227" t="n"/>
      <c r="R562" s="227" t="n"/>
      <c r="S562" s="227" t="n"/>
      <c r="T562" s="227" t="n"/>
    </row>
    <row r="563">
      <c r="A563" s="145">
        <f>IF($B563="","",ROW()-5)</f>
        <v/>
      </c>
      <c r="B563" s="127" t="n"/>
      <c r="C563" s="223" t="n"/>
      <c r="D563" s="127" t="n"/>
      <c r="E563" s="227" t="n"/>
      <c r="F563" s="227" t="n"/>
      <c r="G563" s="227" t="n"/>
      <c r="H563" s="227" t="n"/>
      <c r="I563" s="227" t="n"/>
      <c r="J563" s="227" t="n"/>
      <c r="K563" s="227" t="n"/>
      <c r="L563" s="227" t="n"/>
      <c r="M563" s="227" t="n"/>
      <c r="N563" s="127" t="n"/>
      <c r="O563" s="227" t="n"/>
      <c r="P563" s="227" t="n"/>
      <c r="Q563" s="227" t="n"/>
      <c r="R563" s="227" t="n"/>
      <c r="S563" s="227" t="n"/>
      <c r="T563" s="227" t="n"/>
    </row>
    <row r="564">
      <c r="A564" s="145">
        <f>IF($B564="","",ROW()-5)</f>
        <v/>
      </c>
      <c r="B564" s="127" t="n"/>
      <c r="C564" s="223" t="n"/>
      <c r="D564" s="127" t="n"/>
      <c r="E564" s="227" t="n"/>
      <c r="F564" s="227" t="n"/>
      <c r="G564" s="227" t="n"/>
      <c r="H564" s="227" t="n"/>
      <c r="I564" s="227" t="n"/>
      <c r="J564" s="227" t="n"/>
      <c r="K564" s="227" t="n"/>
      <c r="L564" s="227" t="n"/>
      <c r="M564" s="227" t="n"/>
      <c r="N564" s="127" t="n"/>
      <c r="O564" s="227" t="n"/>
      <c r="P564" s="227" t="n"/>
      <c r="Q564" s="227" t="n"/>
      <c r="R564" s="227" t="n"/>
      <c r="S564" s="227" t="n"/>
      <c r="T564" s="227" t="n"/>
    </row>
    <row r="565">
      <c r="A565" s="145">
        <f>IF($B565="","",ROW()-5)</f>
        <v/>
      </c>
      <c r="B565" s="127" t="n"/>
      <c r="C565" s="223" t="n"/>
      <c r="D565" s="127" t="n"/>
      <c r="E565" s="227" t="n"/>
      <c r="F565" s="227" t="n"/>
      <c r="G565" s="227" t="n"/>
      <c r="H565" s="227" t="n"/>
      <c r="I565" s="227" t="n"/>
      <c r="J565" s="227" t="n"/>
      <c r="K565" s="227" t="n"/>
      <c r="L565" s="227" t="n"/>
      <c r="M565" s="227" t="n"/>
      <c r="N565" s="127" t="n"/>
      <c r="O565" s="227" t="n"/>
      <c r="P565" s="227" t="n"/>
      <c r="Q565" s="227" t="n"/>
      <c r="R565" s="227" t="n"/>
      <c r="S565" s="227" t="n"/>
      <c r="T565" s="227" t="n"/>
    </row>
    <row r="566">
      <c r="A566" s="145">
        <f>IF($B566="","",ROW()-5)</f>
        <v/>
      </c>
      <c r="B566" s="127" t="n"/>
      <c r="C566" s="223" t="n"/>
      <c r="D566" s="127" t="n"/>
      <c r="E566" s="227" t="n"/>
      <c r="F566" s="227" t="n"/>
      <c r="G566" s="227" t="n"/>
      <c r="H566" s="227" t="n"/>
      <c r="I566" s="227" t="n"/>
      <c r="J566" s="227" t="n"/>
      <c r="K566" s="227" t="n"/>
      <c r="L566" s="227" t="n"/>
      <c r="M566" s="227" t="n"/>
      <c r="N566" s="127" t="n"/>
      <c r="O566" s="227" t="n"/>
      <c r="P566" s="227" t="n"/>
      <c r="Q566" s="227" t="n"/>
      <c r="R566" s="227" t="n"/>
      <c r="S566" s="227" t="n"/>
      <c r="T566" s="227" t="n"/>
    </row>
    <row r="567">
      <c r="A567" s="145">
        <f>IF($B567="","",ROW()-5)</f>
        <v/>
      </c>
      <c r="B567" s="127" t="n"/>
      <c r="C567" s="223" t="n"/>
      <c r="D567" s="127" t="n"/>
      <c r="E567" s="227" t="n"/>
      <c r="F567" s="227" t="n"/>
      <c r="G567" s="227" t="n"/>
      <c r="H567" s="227" t="n"/>
      <c r="I567" s="227" t="n"/>
      <c r="J567" s="227" t="n"/>
      <c r="K567" s="227" t="n"/>
      <c r="L567" s="227" t="n"/>
      <c r="M567" s="227" t="n"/>
      <c r="N567" s="127" t="n"/>
      <c r="O567" s="227" t="n"/>
      <c r="P567" s="227" t="n"/>
      <c r="Q567" s="227" t="n"/>
      <c r="R567" s="227" t="n"/>
      <c r="S567" s="227" t="n"/>
      <c r="T567" s="227" t="n"/>
    </row>
    <row r="568">
      <c r="A568" s="145">
        <f>IF($B568="","",ROW()-5)</f>
        <v/>
      </c>
      <c r="B568" s="127" t="n"/>
      <c r="C568" s="223" t="n"/>
      <c r="D568" s="127" t="n"/>
      <c r="E568" s="227" t="n"/>
      <c r="F568" s="227" t="n"/>
      <c r="G568" s="227" t="n"/>
      <c r="H568" s="227" t="n"/>
      <c r="I568" s="227" t="n"/>
      <c r="J568" s="227" t="n"/>
      <c r="K568" s="227" t="n"/>
      <c r="L568" s="227" t="n"/>
      <c r="M568" s="227" t="n"/>
      <c r="N568" s="127" t="n"/>
      <c r="O568" s="227" t="n"/>
      <c r="P568" s="227" t="n"/>
      <c r="Q568" s="227" t="n"/>
      <c r="R568" s="227" t="n"/>
      <c r="S568" s="227" t="n"/>
      <c r="T568" s="227" t="n"/>
    </row>
    <row r="569">
      <c r="A569" s="145">
        <f>IF($B569="","",ROW()-5)</f>
        <v/>
      </c>
      <c r="B569" s="127" t="n"/>
      <c r="C569" s="223" t="n"/>
      <c r="D569" s="127" t="n"/>
      <c r="E569" s="227" t="n"/>
      <c r="F569" s="227" t="n"/>
      <c r="G569" s="227" t="n"/>
      <c r="H569" s="227" t="n"/>
      <c r="I569" s="227" t="n"/>
      <c r="J569" s="227" t="n"/>
      <c r="K569" s="227" t="n"/>
      <c r="L569" s="227" t="n"/>
      <c r="M569" s="227" t="n"/>
      <c r="N569" s="127" t="n"/>
      <c r="O569" s="227" t="n"/>
      <c r="P569" s="227" t="n"/>
      <c r="Q569" s="227" t="n"/>
      <c r="R569" s="227" t="n"/>
      <c r="S569" s="227" t="n"/>
      <c r="T569" s="227" t="n"/>
    </row>
    <row r="570">
      <c r="A570" s="145">
        <f>IF($B570="","",ROW()-5)</f>
        <v/>
      </c>
      <c r="B570" s="127" t="n"/>
      <c r="C570" s="223" t="n"/>
      <c r="D570" s="127" t="n"/>
      <c r="E570" s="227" t="n"/>
      <c r="F570" s="227" t="n"/>
      <c r="G570" s="227" t="n"/>
      <c r="H570" s="227" t="n"/>
      <c r="I570" s="227" t="n"/>
      <c r="J570" s="227" t="n"/>
      <c r="K570" s="227" t="n"/>
      <c r="L570" s="227" t="n"/>
      <c r="M570" s="227" t="n"/>
      <c r="N570" s="127" t="n"/>
      <c r="O570" s="227" t="n"/>
      <c r="P570" s="227" t="n"/>
      <c r="Q570" s="227" t="n"/>
      <c r="R570" s="227" t="n"/>
      <c r="S570" s="227" t="n"/>
      <c r="T570" s="227" t="n"/>
    </row>
    <row r="571">
      <c r="A571" s="145">
        <f>IF($B571="","",ROW()-5)</f>
        <v/>
      </c>
      <c r="B571" s="127" t="n"/>
      <c r="C571" s="223" t="n"/>
      <c r="D571" s="127" t="n"/>
      <c r="E571" s="227" t="n"/>
      <c r="F571" s="227" t="n"/>
      <c r="G571" s="227" t="n"/>
      <c r="H571" s="227" t="n"/>
      <c r="I571" s="227" t="n"/>
      <c r="J571" s="227" t="n"/>
      <c r="K571" s="227" t="n"/>
      <c r="L571" s="227" t="n"/>
      <c r="M571" s="227" t="n"/>
      <c r="N571" s="127" t="n"/>
      <c r="O571" s="227" t="n"/>
      <c r="P571" s="227" t="n"/>
      <c r="Q571" s="227" t="n"/>
      <c r="R571" s="227" t="n"/>
      <c r="S571" s="227" t="n"/>
      <c r="T571" s="227" t="n"/>
    </row>
    <row r="572">
      <c r="A572" s="145">
        <f>IF($B572="","",ROW()-5)</f>
        <v/>
      </c>
      <c r="B572" s="127" t="n"/>
      <c r="C572" s="223" t="n"/>
      <c r="D572" s="127" t="n"/>
      <c r="E572" s="227" t="n"/>
      <c r="F572" s="227" t="n"/>
      <c r="G572" s="227" t="n"/>
      <c r="H572" s="227" t="n"/>
      <c r="I572" s="227" t="n"/>
      <c r="J572" s="227" t="n"/>
      <c r="K572" s="227" t="n"/>
      <c r="L572" s="227" t="n"/>
      <c r="M572" s="227" t="n"/>
      <c r="N572" s="127" t="n"/>
      <c r="O572" s="227" t="n"/>
      <c r="P572" s="227" t="n"/>
      <c r="Q572" s="227" t="n"/>
      <c r="R572" s="227" t="n"/>
      <c r="S572" s="227" t="n"/>
      <c r="T572" s="227" t="n"/>
    </row>
    <row r="573">
      <c r="A573" s="145">
        <f>IF($B573="","",ROW()-5)</f>
        <v/>
      </c>
      <c r="B573" s="127" t="n"/>
      <c r="C573" s="223" t="n"/>
      <c r="D573" s="127" t="n"/>
      <c r="E573" s="227" t="n"/>
      <c r="F573" s="227" t="n"/>
      <c r="G573" s="227" t="n"/>
      <c r="H573" s="227" t="n"/>
      <c r="I573" s="227" t="n"/>
      <c r="J573" s="227" t="n"/>
      <c r="K573" s="227" t="n"/>
      <c r="L573" s="227" t="n"/>
      <c r="M573" s="227" t="n"/>
      <c r="N573" s="127" t="n"/>
      <c r="O573" s="227" t="n"/>
      <c r="P573" s="227" t="n"/>
      <c r="Q573" s="227" t="n"/>
      <c r="R573" s="227" t="n"/>
      <c r="S573" s="227" t="n"/>
      <c r="T573" s="227" t="n"/>
    </row>
    <row r="574">
      <c r="A574" s="145">
        <f>IF($B574="","",ROW()-5)</f>
        <v/>
      </c>
      <c r="B574" s="127" t="n"/>
      <c r="C574" s="223" t="n"/>
      <c r="D574" s="127" t="n"/>
      <c r="E574" s="227" t="n"/>
      <c r="F574" s="227" t="n"/>
      <c r="G574" s="227" t="n"/>
      <c r="H574" s="227" t="n"/>
      <c r="I574" s="227" t="n"/>
      <c r="J574" s="227" t="n"/>
      <c r="K574" s="227" t="n"/>
      <c r="L574" s="227" t="n"/>
      <c r="M574" s="227" t="n"/>
      <c r="N574" s="127" t="n"/>
      <c r="O574" s="227" t="n"/>
      <c r="P574" s="227" t="n"/>
      <c r="Q574" s="227" t="n"/>
      <c r="R574" s="227" t="n"/>
      <c r="S574" s="227" t="n"/>
      <c r="T574" s="227" t="n"/>
    </row>
    <row r="575">
      <c r="A575" s="145">
        <f>IF($B575="","",ROW()-5)</f>
        <v/>
      </c>
      <c r="B575" s="127" t="n"/>
      <c r="C575" s="223" t="n"/>
      <c r="D575" s="127" t="n"/>
      <c r="E575" s="227" t="n"/>
      <c r="F575" s="227" t="n"/>
      <c r="G575" s="227" t="n"/>
      <c r="H575" s="227" t="n"/>
      <c r="I575" s="227" t="n"/>
      <c r="J575" s="227" t="n"/>
      <c r="K575" s="227" t="n"/>
      <c r="L575" s="227" t="n"/>
      <c r="M575" s="227" t="n"/>
      <c r="N575" s="127" t="n"/>
      <c r="O575" s="227" t="n"/>
      <c r="P575" s="227" t="n"/>
      <c r="Q575" s="227" t="n"/>
      <c r="R575" s="227" t="n"/>
      <c r="S575" s="227" t="n"/>
      <c r="T575" s="227" t="n"/>
    </row>
    <row r="576">
      <c r="A576" s="145">
        <f>IF($B576="","",ROW()-5)</f>
        <v/>
      </c>
      <c r="B576" s="127" t="n"/>
      <c r="C576" s="223" t="n"/>
      <c r="D576" s="127" t="n"/>
      <c r="E576" s="227" t="n"/>
      <c r="F576" s="227" t="n"/>
      <c r="G576" s="227" t="n"/>
      <c r="H576" s="227" t="n"/>
      <c r="I576" s="227" t="n"/>
      <c r="J576" s="227" t="n"/>
      <c r="K576" s="227" t="n"/>
      <c r="L576" s="227" t="n"/>
      <c r="M576" s="227" t="n"/>
      <c r="N576" s="127" t="n"/>
      <c r="O576" s="227" t="n"/>
      <c r="P576" s="227" t="n"/>
      <c r="Q576" s="227" t="n"/>
      <c r="R576" s="227" t="n"/>
      <c r="S576" s="227" t="n"/>
      <c r="T576" s="227" t="n"/>
    </row>
    <row r="577">
      <c r="A577" s="145">
        <f>IF($B577="","",ROW()-5)</f>
        <v/>
      </c>
      <c r="B577" s="127" t="n"/>
      <c r="C577" s="223" t="n"/>
      <c r="D577" s="127" t="n"/>
      <c r="E577" s="227" t="n"/>
      <c r="F577" s="227" t="n"/>
      <c r="G577" s="227" t="n"/>
      <c r="H577" s="227" t="n"/>
      <c r="I577" s="227" t="n"/>
      <c r="J577" s="227" t="n"/>
      <c r="K577" s="227" t="n"/>
      <c r="L577" s="227" t="n"/>
      <c r="M577" s="227" t="n"/>
      <c r="N577" s="127" t="n"/>
      <c r="O577" s="227" t="n"/>
      <c r="P577" s="227" t="n"/>
      <c r="Q577" s="227" t="n"/>
      <c r="R577" s="227" t="n"/>
      <c r="S577" s="227" t="n"/>
      <c r="T577" s="227" t="n"/>
    </row>
    <row r="578">
      <c r="A578" s="145">
        <f>IF($B578="","",ROW()-5)</f>
        <v/>
      </c>
      <c r="B578" s="127" t="n"/>
      <c r="C578" s="223" t="n"/>
      <c r="D578" s="127" t="n"/>
      <c r="E578" s="227" t="n"/>
      <c r="F578" s="227" t="n"/>
      <c r="G578" s="227" t="n"/>
      <c r="H578" s="227" t="n"/>
      <c r="I578" s="227" t="n"/>
      <c r="J578" s="227" t="n"/>
      <c r="K578" s="227" t="n"/>
      <c r="L578" s="227" t="n"/>
      <c r="M578" s="227" t="n"/>
      <c r="N578" s="127" t="n"/>
      <c r="O578" s="227" t="n"/>
      <c r="P578" s="227" t="n"/>
      <c r="Q578" s="227" t="n"/>
      <c r="R578" s="227" t="n"/>
      <c r="S578" s="227" t="n"/>
      <c r="T578" s="227" t="n"/>
    </row>
    <row r="579">
      <c r="A579" s="145">
        <f>IF($B579="","",ROW()-5)</f>
        <v/>
      </c>
      <c r="B579" s="127" t="n"/>
      <c r="C579" s="223" t="n"/>
      <c r="D579" s="127" t="n"/>
      <c r="E579" s="227" t="n"/>
      <c r="F579" s="227" t="n"/>
      <c r="G579" s="227" t="n"/>
      <c r="H579" s="227" t="n"/>
      <c r="I579" s="227" t="n"/>
      <c r="J579" s="227" t="n"/>
      <c r="K579" s="227" t="n"/>
      <c r="L579" s="227" t="n"/>
      <c r="M579" s="227" t="n"/>
      <c r="N579" s="127" t="n"/>
      <c r="O579" s="227" t="n"/>
      <c r="P579" s="227" t="n"/>
      <c r="Q579" s="227" t="n"/>
      <c r="R579" s="227" t="n"/>
      <c r="S579" s="227" t="n"/>
      <c r="T579" s="227" t="n"/>
    </row>
    <row r="580">
      <c r="A580" s="145">
        <f>IF($B580="","",ROW()-5)</f>
        <v/>
      </c>
      <c r="B580" s="127" t="n"/>
      <c r="C580" s="223" t="n"/>
      <c r="D580" s="127" t="n"/>
      <c r="E580" s="227" t="n"/>
      <c r="F580" s="227" t="n"/>
      <c r="G580" s="227" t="n"/>
      <c r="H580" s="227" t="n"/>
      <c r="I580" s="227" t="n"/>
      <c r="J580" s="227" t="n"/>
      <c r="K580" s="227" t="n"/>
      <c r="L580" s="227" t="n"/>
      <c r="M580" s="227" t="n"/>
      <c r="N580" s="127" t="n"/>
      <c r="O580" s="227" t="n"/>
      <c r="P580" s="227" t="n"/>
      <c r="Q580" s="227" t="n"/>
      <c r="R580" s="227" t="n"/>
      <c r="S580" s="227" t="n"/>
      <c r="T580" s="227" t="n"/>
    </row>
    <row r="581">
      <c r="A581" s="145">
        <f>IF($B581="","",ROW()-5)</f>
        <v/>
      </c>
      <c r="B581" s="127" t="n"/>
      <c r="C581" s="223" t="n"/>
      <c r="D581" s="127" t="n"/>
      <c r="E581" s="227" t="n"/>
      <c r="F581" s="227" t="n"/>
      <c r="G581" s="227" t="n"/>
      <c r="H581" s="227" t="n"/>
      <c r="I581" s="227" t="n"/>
      <c r="J581" s="227" t="n"/>
      <c r="K581" s="227" t="n"/>
      <c r="L581" s="227" t="n"/>
      <c r="M581" s="227" t="n"/>
      <c r="N581" s="127" t="n"/>
      <c r="O581" s="227" t="n"/>
      <c r="P581" s="227" t="n"/>
      <c r="Q581" s="227" t="n"/>
      <c r="R581" s="227" t="n"/>
      <c r="S581" s="227" t="n"/>
      <c r="T581" s="227" t="n"/>
    </row>
    <row r="582">
      <c r="A582" s="145">
        <f>IF($B582="","",ROW()-5)</f>
        <v/>
      </c>
      <c r="B582" s="127" t="n"/>
      <c r="C582" s="223" t="n"/>
      <c r="D582" s="127" t="n"/>
      <c r="E582" s="227" t="n"/>
      <c r="F582" s="227" t="n"/>
      <c r="G582" s="227" t="n"/>
      <c r="H582" s="227" t="n"/>
      <c r="I582" s="227" t="n"/>
      <c r="J582" s="227" t="n"/>
      <c r="K582" s="227" t="n"/>
      <c r="L582" s="227" t="n"/>
      <c r="M582" s="227" t="n"/>
      <c r="N582" s="127" t="n"/>
      <c r="O582" s="227" t="n"/>
      <c r="P582" s="227" t="n"/>
      <c r="Q582" s="227" t="n"/>
      <c r="R582" s="227" t="n"/>
      <c r="S582" s="227" t="n"/>
      <c r="T582" s="227" t="n"/>
    </row>
    <row r="583">
      <c r="A583" s="145">
        <f>IF($B583="","",ROW()-5)</f>
        <v/>
      </c>
      <c r="B583" s="127" t="n"/>
      <c r="C583" s="223" t="n"/>
      <c r="D583" s="127" t="n"/>
      <c r="E583" s="227" t="n"/>
      <c r="F583" s="227" t="n"/>
      <c r="G583" s="227" t="n"/>
      <c r="H583" s="227" t="n"/>
      <c r="I583" s="227" t="n"/>
      <c r="J583" s="227" t="n"/>
      <c r="K583" s="227" t="n"/>
      <c r="L583" s="227" t="n"/>
      <c r="M583" s="227" t="n"/>
      <c r="N583" s="127" t="n"/>
      <c r="O583" s="227" t="n"/>
      <c r="P583" s="227" t="n"/>
      <c r="Q583" s="227" t="n"/>
      <c r="R583" s="227" t="n"/>
      <c r="S583" s="227" t="n"/>
      <c r="T583" s="227" t="n"/>
    </row>
    <row r="584">
      <c r="A584" s="145">
        <f>IF($B584="","",ROW()-5)</f>
        <v/>
      </c>
      <c r="B584" s="127" t="n"/>
      <c r="C584" s="223" t="n"/>
      <c r="D584" s="127" t="n"/>
      <c r="E584" s="227" t="n"/>
      <c r="F584" s="227" t="n"/>
      <c r="G584" s="227" t="n"/>
      <c r="H584" s="227" t="n"/>
      <c r="I584" s="227" t="n"/>
      <c r="J584" s="227" t="n"/>
      <c r="K584" s="227" t="n"/>
      <c r="L584" s="227" t="n"/>
      <c r="M584" s="227" t="n"/>
      <c r="N584" s="127" t="n"/>
      <c r="O584" s="227" t="n"/>
      <c r="P584" s="227" t="n"/>
      <c r="Q584" s="227" t="n"/>
      <c r="R584" s="227" t="n"/>
      <c r="S584" s="227" t="n"/>
      <c r="T584" s="227" t="n"/>
    </row>
    <row r="585">
      <c r="A585" s="145">
        <f>IF($B585="","",ROW()-5)</f>
        <v/>
      </c>
      <c r="B585" s="127" t="n"/>
      <c r="C585" s="223" t="n"/>
      <c r="D585" s="127" t="n"/>
      <c r="E585" s="227" t="n"/>
      <c r="F585" s="227" t="n"/>
      <c r="G585" s="227" t="n"/>
      <c r="H585" s="227" t="n"/>
      <c r="I585" s="227" t="n"/>
      <c r="J585" s="227" t="n"/>
      <c r="K585" s="227" t="n"/>
      <c r="L585" s="227" t="n"/>
      <c r="M585" s="227" t="n"/>
      <c r="N585" s="127" t="n"/>
      <c r="O585" s="227" t="n"/>
      <c r="P585" s="227" t="n"/>
      <c r="Q585" s="227" t="n"/>
      <c r="R585" s="227" t="n"/>
      <c r="S585" s="227" t="n"/>
      <c r="T585" s="227" t="n"/>
    </row>
    <row r="586">
      <c r="A586" s="145">
        <f>IF($B586="","",ROW()-5)</f>
        <v/>
      </c>
      <c r="B586" s="127" t="n"/>
      <c r="C586" s="223" t="n"/>
      <c r="D586" s="127" t="n"/>
      <c r="E586" s="227" t="n"/>
      <c r="F586" s="227" t="n"/>
      <c r="G586" s="227" t="n"/>
      <c r="H586" s="227" t="n"/>
      <c r="I586" s="227" t="n"/>
      <c r="J586" s="227" t="n"/>
      <c r="K586" s="227" t="n"/>
      <c r="L586" s="227" t="n"/>
      <c r="M586" s="227" t="n"/>
      <c r="N586" s="127" t="n"/>
      <c r="O586" s="227" t="n"/>
      <c r="P586" s="227" t="n"/>
      <c r="Q586" s="227" t="n"/>
      <c r="R586" s="227" t="n"/>
      <c r="S586" s="227" t="n"/>
      <c r="T586" s="227" t="n"/>
    </row>
    <row r="587">
      <c r="A587" s="145">
        <f>IF($B587="","",ROW()-5)</f>
        <v/>
      </c>
      <c r="B587" s="127" t="n"/>
      <c r="C587" s="223" t="n"/>
      <c r="D587" s="127" t="n"/>
      <c r="E587" s="227" t="n"/>
      <c r="F587" s="227" t="n"/>
      <c r="G587" s="227" t="n"/>
      <c r="H587" s="227" t="n"/>
      <c r="I587" s="227" t="n"/>
      <c r="J587" s="227" t="n"/>
      <c r="K587" s="227" t="n"/>
      <c r="L587" s="227" t="n"/>
      <c r="M587" s="227" t="n"/>
      <c r="N587" s="127" t="n"/>
      <c r="O587" s="227" t="n"/>
      <c r="P587" s="227" t="n"/>
      <c r="Q587" s="227" t="n"/>
      <c r="R587" s="227" t="n"/>
      <c r="S587" s="227" t="n"/>
      <c r="T587" s="227" t="n"/>
    </row>
    <row r="588">
      <c r="A588" s="145">
        <f>IF($B588="","",ROW()-5)</f>
        <v/>
      </c>
      <c r="B588" s="127" t="n"/>
      <c r="C588" s="223" t="n"/>
      <c r="D588" s="127" t="n"/>
      <c r="E588" s="227" t="n"/>
      <c r="F588" s="227" t="n"/>
      <c r="G588" s="227" t="n"/>
      <c r="H588" s="227" t="n"/>
      <c r="I588" s="227" t="n"/>
      <c r="J588" s="227" t="n"/>
      <c r="K588" s="227" t="n"/>
      <c r="L588" s="227" t="n"/>
      <c r="M588" s="227" t="n"/>
      <c r="N588" s="127" t="n"/>
      <c r="O588" s="227" t="n"/>
      <c r="P588" s="227" t="n"/>
      <c r="Q588" s="227" t="n"/>
      <c r="R588" s="227" t="n"/>
      <c r="S588" s="227" t="n"/>
      <c r="T588" s="227" t="n"/>
    </row>
    <row r="589">
      <c r="A589" s="145">
        <f>IF($B589="","",ROW()-5)</f>
        <v/>
      </c>
      <c r="B589" s="127" t="n"/>
      <c r="C589" s="223" t="n"/>
      <c r="D589" s="127" t="n"/>
      <c r="E589" s="227" t="n"/>
      <c r="F589" s="227" t="n"/>
      <c r="G589" s="227" t="n"/>
      <c r="H589" s="227" t="n"/>
      <c r="I589" s="227" t="n"/>
      <c r="J589" s="227" t="n"/>
      <c r="K589" s="227" t="n"/>
      <c r="L589" s="227" t="n"/>
      <c r="M589" s="227" t="n"/>
      <c r="N589" s="127" t="n"/>
      <c r="O589" s="227" t="n"/>
      <c r="P589" s="227" t="n"/>
      <c r="Q589" s="227" t="n"/>
      <c r="R589" s="227" t="n"/>
      <c r="S589" s="227" t="n"/>
      <c r="T589" s="227" t="n"/>
    </row>
    <row r="590">
      <c r="A590" s="145">
        <f>IF($B590="","",ROW()-5)</f>
        <v/>
      </c>
      <c r="B590" s="127" t="n"/>
      <c r="C590" s="223" t="n"/>
      <c r="D590" s="127" t="n"/>
      <c r="E590" s="227" t="n"/>
      <c r="F590" s="227" t="n"/>
      <c r="G590" s="227" t="n"/>
      <c r="H590" s="227" t="n"/>
      <c r="I590" s="227" t="n"/>
      <c r="J590" s="227" t="n"/>
      <c r="K590" s="227" t="n"/>
      <c r="L590" s="227" t="n"/>
      <c r="M590" s="227" t="n"/>
      <c r="N590" s="127" t="n"/>
      <c r="O590" s="227" t="n"/>
      <c r="P590" s="227" t="n"/>
      <c r="Q590" s="227" t="n"/>
      <c r="R590" s="227" t="n"/>
      <c r="S590" s="227" t="n"/>
      <c r="T590" s="227" t="n"/>
    </row>
    <row r="591">
      <c r="A591" s="145">
        <f>IF($B591="","",ROW()-5)</f>
        <v/>
      </c>
      <c r="B591" s="127" t="n"/>
      <c r="C591" s="223" t="n"/>
      <c r="D591" s="127" t="n"/>
      <c r="E591" s="227" t="n"/>
      <c r="F591" s="227" t="n"/>
      <c r="G591" s="227" t="n"/>
      <c r="H591" s="227" t="n"/>
      <c r="I591" s="227" t="n"/>
      <c r="J591" s="227" t="n"/>
      <c r="K591" s="227" t="n"/>
      <c r="L591" s="227" t="n"/>
      <c r="M591" s="227" t="n"/>
      <c r="N591" s="127" t="n"/>
      <c r="O591" s="227" t="n"/>
      <c r="P591" s="227" t="n"/>
      <c r="Q591" s="227" t="n"/>
      <c r="R591" s="227" t="n"/>
      <c r="S591" s="227" t="n"/>
      <c r="T591" s="227" t="n"/>
    </row>
    <row r="592">
      <c r="A592" s="145">
        <f>IF($B592="","",ROW()-5)</f>
        <v/>
      </c>
      <c r="B592" s="127" t="n"/>
      <c r="C592" s="223" t="n"/>
      <c r="D592" s="127" t="n"/>
      <c r="E592" s="227" t="n"/>
      <c r="F592" s="227" t="n"/>
      <c r="G592" s="227" t="n"/>
      <c r="H592" s="227" t="n"/>
      <c r="I592" s="227" t="n"/>
      <c r="J592" s="227" t="n"/>
      <c r="K592" s="227" t="n"/>
      <c r="L592" s="227" t="n"/>
      <c r="M592" s="227" t="n"/>
      <c r="N592" s="127" t="n"/>
      <c r="O592" s="227" t="n"/>
      <c r="P592" s="227" t="n"/>
      <c r="Q592" s="227" t="n"/>
      <c r="R592" s="227" t="n"/>
      <c r="S592" s="227" t="n"/>
      <c r="T592" s="227" t="n"/>
    </row>
    <row r="593">
      <c r="A593" s="145">
        <f>IF($B593="","",ROW()-5)</f>
        <v/>
      </c>
      <c r="B593" s="127" t="n"/>
      <c r="C593" s="223" t="n"/>
      <c r="D593" s="127" t="n"/>
      <c r="E593" s="227" t="n"/>
      <c r="F593" s="227" t="n"/>
      <c r="G593" s="227" t="n"/>
      <c r="H593" s="227" t="n"/>
      <c r="I593" s="227" t="n"/>
      <c r="J593" s="227" t="n"/>
      <c r="K593" s="227" t="n"/>
      <c r="L593" s="227" t="n"/>
      <c r="M593" s="227" t="n"/>
      <c r="N593" s="127" t="n"/>
      <c r="O593" s="227" t="n"/>
      <c r="P593" s="227" t="n"/>
      <c r="Q593" s="227" t="n"/>
      <c r="R593" s="227" t="n"/>
      <c r="S593" s="227" t="n"/>
      <c r="T593" s="227" t="n"/>
    </row>
    <row r="594">
      <c r="A594" s="145">
        <f>IF($B594="","",ROW()-5)</f>
        <v/>
      </c>
      <c r="B594" s="127" t="n"/>
      <c r="C594" s="223" t="n"/>
      <c r="D594" s="127" t="n"/>
      <c r="E594" s="227" t="n"/>
      <c r="F594" s="227" t="n"/>
      <c r="G594" s="227" t="n"/>
      <c r="H594" s="227" t="n"/>
      <c r="I594" s="227" t="n"/>
      <c r="J594" s="227" t="n"/>
      <c r="K594" s="227" t="n"/>
      <c r="L594" s="227" t="n"/>
      <c r="M594" s="227" t="n"/>
      <c r="N594" s="127" t="n"/>
      <c r="O594" s="227" t="n"/>
      <c r="P594" s="227" t="n"/>
      <c r="Q594" s="227" t="n"/>
      <c r="R594" s="227" t="n"/>
      <c r="S594" s="227" t="n"/>
      <c r="T594" s="227" t="n"/>
    </row>
    <row r="595">
      <c r="A595" s="145">
        <f>IF($B595="","",ROW()-5)</f>
        <v/>
      </c>
      <c r="B595" s="127" t="n"/>
      <c r="C595" s="223" t="n"/>
      <c r="D595" s="127" t="n"/>
      <c r="E595" s="227" t="n"/>
      <c r="F595" s="227" t="n"/>
      <c r="G595" s="227" t="n"/>
      <c r="H595" s="227" t="n"/>
      <c r="I595" s="227" t="n"/>
      <c r="J595" s="227" t="n"/>
      <c r="K595" s="227" t="n"/>
      <c r="L595" s="227" t="n"/>
      <c r="M595" s="227" t="n"/>
      <c r="N595" s="127" t="n"/>
      <c r="O595" s="227" t="n"/>
      <c r="P595" s="227" t="n"/>
      <c r="Q595" s="227" t="n"/>
      <c r="R595" s="227" t="n"/>
      <c r="S595" s="227" t="n"/>
      <c r="T595" s="227" t="n"/>
    </row>
    <row r="596">
      <c r="A596" s="145">
        <f>IF($B596="","",ROW()-5)</f>
        <v/>
      </c>
      <c r="B596" s="127" t="n"/>
      <c r="C596" s="223" t="n"/>
      <c r="D596" s="127" t="n"/>
      <c r="E596" s="227" t="n"/>
      <c r="F596" s="227" t="n"/>
      <c r="G596" s="227" t="n"/>
      <c r="H596" s="227" t="n"/>
      <c r="I596" s="227" t="n"/>
      <c r="J596" s="227" t="n"/>
      <c r="K596" s="227" t="n"/>
      <c r="L596" s="227" t="n"/>
      <c r="M596" s="227" t="n"/>
      <c r="N596" s="127" t="n"/>
      <c r="O596" s="227" t="n"/>
      <c r="P596" s="227" t="n"/>
      <c r="Q596" s="227" t="n"/>
      <c r="R596" s="227" t="n"/>
      <c r="S596" s="227" t="n"/>
      <c r="T596" s="227" t="n"/>
    </row>
    <row r="597">
      <c r="A597" s="145">
        <f>IF($B597="","",ROW()-5)</f>
        <v/>
      </c>
      <c r="B597" s="127" t="n"/>
      <c r="C597" s="223" t="n"/>
      <c r="D597" s="127" t="n"/>
      <c r="E597" s="227" t="n"/>
      <c r="F597" s="227" t="n"/>
      <c r="G597" s="227" t="n"/>
      <c r="H597" s="227" t="n"/>
      <c r="I597" s="227" t="n"/>
      <c r="J597" s="227" t="n"/>
      <c r="K597" s="227" t="n"/>
      <c r="L597" s="227" t="n"/>
      <c r="M597" s="227" t="n"/>
      <c r="N597" s="127" t="n"/>
      <c r="O597" s="227" t="n"/>
      <c r="P597" s="227" t="n"/>
      <c r="Q597" s="227" t="n"/>
      <c r="R597" s="227" t="n"/>
      <c r="S597" s="227" t="n"/>
      <c r="T597" s="227" t="n"/>
    </row>
    <row r="598">
      <c r="A598" s="145">
        <f>IF($B598="","",ROW()-5)</f>
        <v/>
      </c>
      <c r="B598" s="127" t="n"/>
      <c r="C598" s="223" t="n"/>
      <c r="D598" s="127" t="n"/>
      <c r="E598" s="227" t="n"/>
      <c r="F598" s="227" t="n"/>
      <c r="G598" s="227" t="n"/>
      <c r="H598" s="227" t="n"/>
      <c r="I598" s="227" t="n"/>
      <c r="J598" s="227" t="n"/>
      <c r="K598" s="227" t="n"/>
      <c r="L598" s="227" t="n"/>
      <c r="M598" s="227" t="n"/>
      <c r="N598" s="127" t="n"/>
      <c r="O598" s="227" t="n"/>
      <c r="P598" s="227" t="n"/>
      <c r="Q598" s="227" t="n"/>
      <c r="R598" s="227" t="n"/>
      <c r="S598" s="227" t="n"/>
      <c r="T598" s="227" t="n"/>
    </row>
    <row r="599">
      <c r="A599" s="145">
        <f>IF($B599="","",ROW()-5)</f>
        <v/>
      </c>
      <c r="B599" s="127" t="n"/>
      <c r="C599" s="223" t="n"/>
      <c r="D599" s="127" t="n"/>
      <c r="E599" s="227" t="n"/>
      <c r="F599" s="227" t="n"/>
      <c r="G599" s="227" t="n"/>
      <c r="H599" s="227" t="n"/>
      <c r="I599" s="227" t="n"/>
      <c r="J599" s="227" t="n"/>
      <c r="K599" s="227" t="n"/>
      <c r="L599" s="227" t="n"/>
      <c r="M599" s="227" t="n"/>
      <c r="N599" s="127" t="n"/>
      <c r="O599" s="227" t="n"/>
      <c r="P599" s="227" t="n"/>
      <c r="Q599" s="227" t="n"/>
      <c r="R599" s="227" t="n"/>
      <c r="S599" s="227" t="n"/>
      <c r="T599" s="227" t="n"/>
    </row>
    <row r="600">
      <c r="A600" s="145">
        <f>IF($B600="","",ROW()-5)</f>
        <v/>
      </c>
      <c r="B600" s="127" t="n"/>
      <c r="C600" s="223" t="n"/>
      <c r="D600" s="127" t="n"/>
      <c r="E600" s="227" t="n"/>
      <c r="F600" s="227" t="n"/>
      <c r="G600" s="227" t="n"/>
      <c r="H600" s="227" t="n"/>
      <c r="I600" s="227" t="n"/>
      <c r="J600" s="227" t="n"/>
      <c r="K600" s="227" t="n"/>
      <c r="L600" s="227" t="n"/>
      <c r="M600" s="227" t="n"/>
      <c r="N600" s="127" t="n"/>
      <c r="O600" s="227" t="n"/>
      <c r="P600" s="227" t="n"/>
      <c r="Q600" s="227" t="n"/>
      <c r="R600" s="227" t="n"/>
      <c r="S600" s="227" t="n"/>
      <c r="T600" s="227" t="n"/>
    </row>
    <row r="601">
      <c r="A601" s="145">
        <f>IF($B601="","",ROW()-5)</f>
        <v/>
      </c>
      <c r="B601" s="127" t="n"/>
      <c r="C601" s="223" t="n"/>
      <c r="D601" s="127" t="n"/>
      <c r="E601" s="227" t="n"/>
      <c r="F601" s="227" t="n"/>
      <c r="G601" s="227" t="n"/>
      <c r="H601" s="227" t="n"/>
      <c r="I601" s="227" t="n"/>
      <c r="J601" s="227" t="n"/>
      <c r="K601" s="227" t="n"/>
      <c r="L601" s="227" t="n"/>
      <c r="M601" s="227" t="n"/>
      <c r="N601" s="127" t="n"/>
      <c r="O601" s="227" t="n"/>
      <c r="P601" s="227" t="n"/>
      <c r="Q601" s="227" t="n"/>
      <c r="R601" s="227" t="n"/>
      <c r="S601" s="227" t="n"/>
      <c r="T601" s="227" t="n"/>
    </row>
    <row r="602">
      <c r="A602" s="145">
        <f>IF($B602="","",ROW()-5)</f>
        <v/>
      </c>
      <c r="B602" s="127" t="n"/>
      <c r="C602" s="223" t="n"/>
      <c r="D602" s="127" t="n"/>
      <c r="E602" s="227" t="n"/>
      <c r="F602" s="227" t="n"/>
      <c r="G602" s="227" t="n"/>
      <c r="H602" s="227" t="n"/>
      <c r="I602" s="227" t="n"/>
      <c r="J602" s="227" t="n"/>
      <c r="K602" s="227" t="n"/>
      <c r="L602" s="227" t="n"/>
      <c r="M602" s="227" t="n"/>
      <c r="N602" s="127" t="n"/>
      <c r="O602" s="227" t="n"/>
      <c r="P602" s="227" t="n"/>
      <c r="Q602" s="227" t="n"/>
      <c r="R602" s="227" t="n"/>
      <c r="S602" s="227" t="n"/>
      <c r="T602" s="227" t="n"/>
    </row>
    <row r="603">
      <c r="A603" s="145">
        <f>IF($B603="","",ROW()-5)</f>
        <v/>
      </c>
      <c r="B603" s="127" t="n"/>
      <c r="C603" s="223" t="n"/>
      <c r="D603" s="127" t="n"/>
      <c r="E603" s="227" t="n"/>
      <c r="F603" s="227" t="n"/>
      <c r="G603" s="227" t="n"/>
      <c r="H603" s="227" t="n"/>
      <c r="I603" s="227" t="n"/>
      <c r="J603" s="227" t="n"/>
      <c r="K603" s="227" t="n"/>
      <c r="L603" s="227" t="n"/>
      <c r="M603" s="227" t="n"/>
      <c r="N603" s="127" t="n"/>
      <c r="O603" s="227" t="n"/>
      <c r="P603" s="227" t="n"/>
      <c r="Q603" s="227" t="n"/>
      <c r="R603" s="227" t="n"/>
      <c r="S603" s="227" t="n"/>
      <c r="T603" s="227" t="n"/>
    </row>
    <row r="604">
      <c r="A604" s="145">
        <f>IF($B604="","",ROW()-5)</f>
        <v/>
      </c>
      <c r="B604" s="127" t="n"/>
      <c r="C604" s="223" t="n"/>
      <c r="D604" s="127" t="n"/>
      <c r="E604" s="227" t="n"/>
      <c r="F604" s="227" t="n"/>
      <c r="G604" s="227" t="n"/>
      <c r="H604" s="227" t="n"/>
      <c r="I604" s="227" t="n"/>
      <c r="J604" s="227" t="n"/>
      <c r="K604" s="227" t="n"/>
      <c r="L604" s="227" t="n"/>
      <c r="M604" s="227" t="n"/>
      <c r="N604" s="127" t="n"/>
      <c r="O604" s="227" t="n"/>
      <c r="P604" s="227" t="n"/>
      <c r="Q604" s="227" t="n"/>
      <c r="R604" s="227" t="n"/>
      <c r="S604" s="227" t="n"/>
      <c r="T604" s="227" t="n"/>
    </row>
    <row r="605">
      <c r="A605" s="145">
        <f>IF($B605="","",ROW()-5)</f>
        <v/>
      </c>
      <c r="B605" s="127" t="n"/>
      <c r="C605" s="223" t="n"/>
      <c r="D605" s="127" t="n"/>
      <c r="E605" s="227" t="n"/>
      <c r="F605" s="227" t="n"/>
      <c r="G605" s="227" t="n"/>
      <c r="H605" s="227" t="n"/>
      <c r="I605" s="227" t="n"/>
      <c r="J605" s="227" t="n"/>
      <c r="K605" s="227" t="n"/>
      <c r="L605" s="227" t="n"/>
      <c r="M605" s="227" t="n"/>
      <c r="N605" s="127" t="n"/>
      <c r="O605" s="227" t="n"/>
      <c r="P605" s="227" t="n"/>
      <c r="Q605" s="227" t="n"/>
      <c r="R605" s="227" t="n"/>
      <c r="S605" s="227" t="n"/>
      <c r="T605" s="227" t="n"/>
    </row>
    <row r="606">
      <c r="A606" s="145">
        <f>IF($B606="","",ROW()-5)</f>
        <v/>
      </c>
      <c r="B606" s="127" t="n"/>
      <c r="C606" s="223" t="n"/>
      <c r="D606" s="127" t="n"/>
      <c r="E606" s="227" t="n"/>
      <c r="F606" s="227" t="n"/>
      <c r="G606" s="227" t="n"/>
      <c r="H606" s="227" t="n"/>
      <c r="I606" s="227" t="n"/>
      <c r="J606" s="227" t="n"/>
      <c r="K606" s="227" t="n"/>
      <c r="L606" s="227" t="n"/>
      <c r="M606" s="227" t="n"/>
      <c r="N606" s="127" t="n"/>
      <c r="O606" s="227" t="n"/>
      <c r="P606" s="227" t="n"/>
      <c r="Q606" s="227" t="n"/>
      <c r="R606" s="227" t="n"/>
      <c r="S606" s="227" t="n"/>
      <c r="T606" s="227" t="n"/>
    </row>
    <row r="607">
      <c r="A607" s="145">
        <f>IF($B607="","",ROW()-5)</f>
        <v/>
      </c>
      <c r="B607" s="127" t="n"/>
      <c r="C607" s="223" t="n"/>
      <c r="D607" s="127" t="n"/>
      <c r="E607" s="227" t="n"/>
      <c r="F607" s="227" t="n"/>
      <c r="G607" s="227" t="n"/>
      <c r="H607" s="227" t="n"/>
      <c r="I607" s="227" t="n"/>
      <c r="J607" s="227" t="n"/>
      <c r="K607" s="227" t="n"/>
      <c r="L607" s="227" t="n"/>
      <c r="M607" s="227" t="n"/>
      <c r="N607" s="127" t="n"/>
      <c r="O607" s="227" t="n"/>
      <c r="P607" s="227" t="n"/>
      <c r="Q607" s="227" t="n"/>
      <c r="R607" s="227" t="n"/>
      <c r="S607" s="227" t="n"/>
      <c r="T607" s="227" t="n"/>
    </row>
    <row r="608">
      <c r="A608" s="145">
        <f>IF($B608="","",ROW()-5)</f>
        <v/>
      </c>
      <c r="B608" s="127" t="n"/>
      <c r="C608" s="223" t="n"/>
      <c r="D608" s="127" t="n"/>
      <c r="E608" s="227" t="n"/>
      <c r="F608" s="227" t="n"/>
      <c r="G608" s="227" t="n"/>
      <c r="H608" s="227" t="n"/>
      <c r="I608" s="227" t="n"/>
      <c r="J608" s="227" t="n"/>
      <c r="K608" s="227" t="n"/>
      <c r="L608" s="227" t="n"/>
      <c r="M608" s="227" t="n"/>
      <c r="N608" s="127" t="n"/>
      <c r="O608" s="227" t="n"/>
      <c r="P608" s="227" t="n"/>
      <c r="Q608" s="227" t="n"/>
      <c r="R608" s="227" t="n"/>
      <c r="S608" s="227" t="n"/>
      <c r="T608" s="227" t="n"/>
    </row>
    <row r="609">
      <c r="A609" s="145">
        <f>IF($B609="","",ROW()-5)</f>
        <v/>
      </c>
      <c r="B609" s="127" t="n"/>
      <c r="C609" s="223" t="n"/>
      <c r="D609" s="127" t="n"/>
      <c r="E609" s="227" t="n"/>
      <c r="F609" s="227" t="n"/>
      <c r="G609" s="227" t="n"/>
      <c r="H609" s="227" t="n"/>
      <c r="I609" s="227" t="n"/>
      <c r="J609" s="227" t="n"/>
      <c r="K609" s="227" t="n"/>
      <c r="L609" s="227" t="n"/>
      <c r="M609" s="227" t="n"/>
      <c r="N609" s="127" t="n"/>
      <c r="O609" s="227" t="n"/>
      <c r="P609" s="227" t="n"/>
      <c r="Q609" s="227" t="n"/>
      <c r="R609" s="227" t="n"/>
      <c r="S609" s="227" t="n"/>
      <c r="T609" s="227" t="n"/>
    </row>
    <row r="610">
      <c r="A610" s="145">
        <f>IF($B610="","",ROW()-5)</f>
        <v/>
      </c>
      <c r="B610" s="127" t="n"/>
      <c r="C610" s="223" t="n"/>
      <c r="D610" s="127" t="n"/>
      <c r="E610" s="227" t="n"/>
      <c r="F610" s="227" t="n"/>
      <c r="G610" s="227" t="n"/>
      <c r="H610" s="227" t="n"/>
      <c r="I610" s="227" t="n"/>
      <c r="J610" s="227" t="n"/>
      <c r="K610" s="227" t="n"/>
      <c r="L610" s="227" t="n"/>
      <c r="M610" s="227" t="n"/>
      <c r="N610" s="127" t="n"/>
      <c r="O610" s="227" t="n"/>
      <c r="P610" s="227" t="n"/>
      <c r="Q610" s="227" t="n"/>
      <c r="R610" s="227" t="n"/>
      <c r="S610" s="227" t="n"/>
      <c r="T610" s="227" t="n"/>
    </row>
    <row r="611">
      <c r="A611" s="145">
        <f>IF($B611="","",ROW()-5)</f>
        <v/>
      </c>
      <c r="B611" s="127" t="n"/>
      <c r="C611" s="223" t="n"/>
      <c r="D611" s="127" t="n"/>
      <c r="E611" s="227" t="n"/>
      <c r="F611" s="227" t="n"/>
      <c r="G611" s="227" t="n"/>
      <c r="H611" s="227" t="n"/>
      <c r="I611" s="227" t="n"/>
      <c r="J611" s="227" t="n"/>
      <c r="K611" s="227" t="n"/>
      <c r="L611" s="227" t="n"/>
      <c r="M611" s="227" t="n"/>
      <c r="N611" s="127" t="n"/>
      <c r="O611" s="227" t="n"/>
      <c r="P611" s="227" t="n"/>
      <c r="Q611" s="227" t="n"/>
      <c r="R611" s="227" t="n"/>
      <c r="S611" s="227" t="n"/>
      <c r="T611" s="227" t="n"/>
    </row>
    <row r="612">
      <c r="A612" s="145">
        <f>IF($B612="","",ROW()-5)</f>
        <v/>
      </c>
      <c r="B612" s="127" t="n"/>
      <c r="C612" s="223" t="n"/>
      <c r="D612" s="127" t="n"/>
      <c r="E612" s="227" t="n"/>
      <c r="F612" s="227" t="n"/>
      <c r="G612" s="227" t="n"/>
      <c r="H612" s="227" t="n"/>
      <c r="I612" s="227" t="n"/>
      <c r="J612" s="227" t="n"/>
      <c r="K612" s="227" t="n"/>
      <c r="L612" s="227" t="n"/>
      <c r="M612" s="227" t="n"/>
      <c r="N612" s="127" t="n"/>
      <c r="O612" s="227" t="n"/>
      <c r="P612" s="227" t="n"/>
      <c r="Q612" s="227" t="n"/>
      <c r="R612" s="227" t="n"/>
      <c r="S612" s="227" t="n"/>
      <c r="T612" s="227" t="n"/>
    </row>
    <row r="613">
      <c r="A613" s="145">
        <f>IF($B613="","",ROW()-5)</f>
        <v/>
      </c>
      <c r="B613" s="127" t="n"/>
      <c r="C613" s="223" t="n"/>
      <c r="D613" s="127" t="n"/>
      <c r="E613" s="227" t="n"/>
      <c r="F613" s="227" t="n"/>
      <c r="G613" s="227" t="n"/>
      <c r="H613" s="227" t="n"/>
      <c r="I613" s="227" t="n"/>
      <c r="J613" s="227" t="n"/>
      <c r="K613" s="227" t="n"/>
      <c r="L613" s="227" t="n"/>
      <c r="M613" s="227" t="n"/>
      <c r="N613" s="127" t="n"/>
      <c r="O613" s="227" t="n"/>
      <c r="P613" s="227" t="n"/>
      <c r="Q613" s="227" t="n"/>
      <c r="R613" s="227" t="n"/>
      <c r="S613" s="227" t="n"/>
      <c r="T613" s="227" t="n"/>
    </row>
    <row r="614">
      <c r="A614" s="145">
        <f>IF($B614="","",ROW()-5)</f>
        <v/>
      </c>
      <c r="B614" s="127" t="n"/>
      <c r="C614" s="223" t="n"/>
      <c r="D614" s="127" t="n"/>
      <c r="E614" s="227" t="n"/>
      <c r="F614" s="227" t="n"/>
      <c r="G614" s="227" t="n"/>
      <c r="H614" s="227" t="n"/>
      <c r="I614" s="227" t="n"/>
      <c r="J614" s="227" t="n"/>
      <c r="K614" s="227" t="n"/>
      <c r="L614" s="227" t="n"/>
      <c r="M614" s="227" t="n"/>
      <c r="N614" s="127" t="n"/>
      <c r="O614" s="227" t="n"/>
      <c r="P614" s="227" t="n"/>
      <c r="Q614" s="227" t="n"/>
      <c r="R614" s="227" t="n"/>
      <c r="S614" s="227" t="n"/>
      <c r="T614" s="227" t="n"/>
    </row>
    <row r="615">
      <c r="A615" s="145">
        <f>IF($B615="","",ROW()-5)</f>
        <v/>
      </c>
      <c r="B615" s="127" t="n"/>
      <c r="C615" s="223" t="n"/>
      <c r="D615" s="127" t="n"/>
      <c r="E615" s="227" t="n"/>
      <c r="F615" s="227" t="n"/>
      <c r="G615" s="227" t="n"/>
      <c r="H615" s="227" t="n"/>
      <c r="I615" s="227" t="n"/>
      <c r="J615" s="227" t="n"/>
      <c r="K615" s="227" t="n"/>
      <c r="L615" s="227" t="n"/>
      <c r="M615" s="227" t="n"/>
      <c r="N615" s="127" t="n"/>
      <c r="O615" s="227" t="n"/>
      <c r="P615" s="227" t="n"/>
      <c r="Q615" s="227" t="n"/>
      <c r="R615" s="227" t="n"/>
      <c r="S615" s="227" t="n"/>
      <c r="T615" s="227" t="n"/>
    </row>
    <row r="616">
      <c r="A616" s="145">
        <f>IF($B616="","",ROW()-5)</f>
        <v/>
      </c>
      <c r="B616" s="127" t="n"/>
      <c r="C616" s="223" t="n"/>
      <c r="D616" s="127" t="n"/>
      <c r="E616" s="227" t="n"/>
      <c r="F616" s="227" t="n"/>
      <c r="G616" s="227" t="n"/>
      <c r="H616" s="227" t="n"/>
      <c r="I616" s="227" t="n"/>
      <c r="J616" s="227" t="n"/>
      <c r="K616" s="227" t="n"/>
      <c r="L616" s="227" t="n"/>
      <c r="M616" s="227" t="n"/>
      <c r="N616" s="127" t="n"/>
      <c r="O616" s="227" t="n"/>
      <c r="P616" s="227" t="n"/>
      <c r="Q616" s="227" t="n"/>
      <c r="R616" s="227" t="n"/>
      <c r="S616" s="227" t="n"/>
      <c r="T616" s="227" t="n"/>
    </row>
    <row r="617">
      <c r="A617" s="145">
        <f>IF($B617="","",ROW()-5)</f>
        <v/>
      </c>
      <c r="B617" s="127" t="n"/>
      <c r="C617" s="223" t="n"/>
      <c r="D617" s="127" t="n"/>
      <c r="E617" s="227" t="n"/>
      <c r="F617" s="227" t="n"/>
      <c r="G617" s="227" t="n"/>
      <c r="H617" s="227" t="n"/>
      <c r="I617" s="227" t="n"/>
      <c r="J617" s="227" t="n"/>
      <c r="K617" s="227" t="n"/>
      <c r="L617" s="227" t="n"/>
      <c r="M617" s="227" t="n"/>
      <c r="N617" s="127" t="n"/>
      <c r="O617" s="227" t="n"/>
      <c r="P617" s="227" t="n"/>
      <c r="Q617" s="227" t="n"/>
      <c r="R617" s="227" t="n"/>
      <c r="S617" s="227" t="n"/>
      <c r="T617" s="227" t="n"/>
    </row>
    <row r="618">
      <c r="A618" s="145">
        <f>IF($B618="","",ROW()-5)</f>
        <v/>
      </c>
      <c r="B618" s="127" t="n"/>
      <c r="C618" s="223" t="n"/>
      <c r="D618" s="127" t="n"/>
      <c r="E618" s="227" t="n"/>
      <c r="F618" s="227" t="n"/>
      <c r="G618" s="227" t="n"/>
      <c r="H618" s="227" t="n"/>
      <c r="I618" s="227" t="n"/>
      <c r="J618" s="227" t="n"/>
      <c r="K618" s="227" t="n"/>
      <c r="L618" s="227" t="n"/>
      <c r="M618" s="227" t="n"/>
      <c r="N618" s="127" t="n"/>
      <c r="O618" s="227" t="n"/>
      <c r="P618" s="227" t="n"/>
      <c r="Q618" s="227" t="n"/>
      <c r="R618" s="227" t="n"/>
      <c r="S618" s="227" t="n"/>
      <c r="T618" s="227" t="n"/>
    </row>
    <row r="619">
      <c r="A619" s="145">
        <f>IF($B619="","",ROW()-5)</f>
        <v/>
      </c>
      <c r="B619" s="127" t="n"/>
      <c r="C619" s="223" t="n"/>
      <c r="D619" s="127" t="n"/>
      <c r="E619" s="227" t="n"/>
      <c r="F619" s="227" t="n"/>
      <c r="G619" s="227" t="n"/>
      <c r="H619" s="227" t="n"/>
      <c r="I619" s="227" t="n"/>
      <c r="J619" s="227" t="n"/>
      <c r="K619" s="227" t="n"/>
      <c r="L619" s="227" t="n"/>
      <c r="M619" s="227" t="n"/>
      <c r="N619" s="127" t="n"/>
      <c r="O619" s="227" t="n"/>
      <c r="P619" s="227" t="n"/>
      <c r="Q619" s="227" t="n"/>
      <c r="R619" s="227" t="n"/>
      <c r="S619" s="227" t="n"/>
      <c r="T619" s="227" t="n"/>
    </row>
    <row r="620">
      <c r="A620" s="145">
        <f>IF($B620="","",ROW()-5)</f>
        <v/>
      </c>
      <c r="B620" s="127" t="n"/>
      <c r="C620" s="223" t="n"/>
      <c r="D620" s="127" t="n"/>
      <c r="E620" s="227" t="n"/>
      <c r="F620" s="227" t="n"/>
      <c r="G620" s="227" t="n"/>
      <c r="H620" s="227" t="n"/>
      <c r="I620" s="227" t="n"/>
      <c r="J620" s="227" t="n"/>
      <c r="K620" s="227" t="n"/>
      <c r="L620" s="227" t="n"/>
      <c r="M620" s="227" t="n"/>
      <c r="N620" s="127" t="n"/>
      <c r="O620" s="227" t="n"/>
      <c r="P620" s="227" t="n"/>
      <c r="Q620" s="227" t="n"/>
      <c r="R620" s="227" t="n"/>
      <c r="S620" s="227" t="n"/>
      <c r="T620" s="227" t="n"/>
    </row>
    <row r="621">
      <c r="A621" s="145">
        <f>IF($B621="","",ROW()-5)</f>
        <v/>
      </c>
      <c r="B621" s="127" t="n"/>
      <c r="C621" s="223" t="n"/>
      <c r="D621" s="127" t="n"/>
      <c r="E621" s="227" t="n"/>
      <c r="F621" s="227" t="n"/>
      <c r="G621" s="227" t="n"/>
      <c r="H621" s="227" t="n"/>
      <c r="I621" s="227" t="n"/>
      <c r="J621" s="227" t="n"/>
      <c r="K621" s="227" t="n"/>
      <c r="L621" s="227" t="n"/>
      <c r="M621" s="227" t="n"/>
      <c r="N621" s="127" t="n"/>
      <c r="O621" s="227" t="n"/>
      <c r="P621" s="227" t="n"/>
      <c r="Q621" s="227" t="n"/>
      <c r="R621" s="227" t="n"/>
      <c r="S621" s="227" t="n"/>
      <c r="T621" s="227" t="n"/>
    </row>
    <row r="622">
      <c r="A622" s="145">
        <f>IF($B622="","",ROW()-5)</f>
        <v/>
      </c>
      <c r="B622" s="127" t="n"/>
      <c r="C622" s="223" t="n"/>
      <c r="D622" s="127" t="n"/>
      <c r="E622" s="227" t="n"/>
      <c r="F622" s="227" t="n"/>
      <c r="G622" s="227" t="n"/>
      <c r="H622" s="227" t="n"/>
      <c r="I622" s="227" t="n"/>
      <c r="J622" s="227" t="n"/>
      <c r="K622" s="227" t="n"/>
      <c r="L622" s="227" t="n"/>
      <c r="M622" s="227" t="n"/>
      <c r="N622" s="127" t="n"/>
      <c r="O622" s="227" t="n"/>
      <c r="P622" s="227" t="n"/>
      <c r="Q622" s="227" t="n"/>
      <c r="R622" s="227" t="n"/>
      <c r="S622" s="227" t="n"/>
      <c r="T622" s="227" t="n"/>
    </row>
    <row r="623">
      <c r="A623" s="145">
        <f>IF($B623="","",ROW()-5)</f>
        <v/>
      </c>
      <c r="B623" s="127" t="n"/>
      <c r="C623" s="223" t="n"/>
      <c r="D623" s="127" t="n"/>
      <c r="E623" s="227" t="n"/>
      <c r="F623" s="227" t="n"/>
      <c r="G623" s="227" t="n"/>
      <c r="H623" s="227" t="n"/>
      <c r="I623" s="227" t="n"/>
      <c r="J623" s="227" t="n"/>
      <c r="K623" s="227" t="n"/>
      <c r="L623" s="227" t="n"/>
      <c r="M623" s="227" t="n"/>
      <c r="N623" s="127" t="n"/>
      <c r="O623" s="227" t="n"/>
      <c r="P623" s="227" t="n"/>
      <c r="Q623" s="227" t="n"/>
      <c r="R623" s="227" t="n"/>
      <c r="S623" s="227" t="n"/>
      <c r="T623" s="227" t="n"/>
    </row>
    <row r="624">
      <c r="A624" s="145">
        <f>IF($B624="","",ROW()-5)</f>
        <v/>
      </c>
      <c r="B624" s="127" t="n"/>
      <c r="C624" s="223" t="n"/>
      <c r="D624" s="127" t="n"/>
      <c r="E624" s="227" t="n"/>
      <c r="F624" s="227" t="n"/>
      <c r="G624" s="227" t="n"/>
      <c r="H624" s="227" t="n"/>
      <c r="I624" s="227" t="n"/>
      <c r="J624" s="227" t="n"/>
      <c r="K624" s="227" t="n"/>
      <c r="L624" s="227" t="n"/>
      <c r="M624" s="227" t="n"/>
      <c r="N624" s="127" t="n"/>
      <c r="O624" s="227" t="n"/>
      <c r="P624" s="227" t="n"/>
      <c r="Q624" s="227" t="n"/>
      <c r="R624" s="227" t="n"/>
      <c r="S624" s="227" t="n"/>
      <c r="T624" s="227" t="n"/>
    </row>
    <row r="625">
      <c r="A625" s="145">
        <f>IF($B625="","",ROW()-5)</f>
        <v/>
      </c>
      <c r="B625" s="127" t="n"/>
      <c r="C625" s="223" t="n"/>
      <c r="D625" s="127" t="n"/>
      <c r="E625" s="227" t="n"/>
      <c r="F625" s="227" t="n"/>
      <c r="G625" s="227" t="n"/>
      <c r="H625" s="227" t="n"/>
      <c r="I625" s="227" t="n"/>
      <c r="J625" s="227" t="n"/>
      <c r="K625" s="227" t="n"/>
      <c r="L625" s="227" t="n"/>
      <c r="M625" s="227" t="n"/>
      <c r="N625" s="127" t="n"/>
      <c r="O625" s="227" t="n"/>
      <c r="P625" s="227" t="n"/>
      <c r="Q625" s="227" t="n"/>
      <c r="R625" s="227" t="n"/>
      <c r="S625" s="227" t="n"/>
      <c r="T625" s="227" t="n"/>
    </row>
    <row r="626">
      <c r="A626" s="145">
        <f>IF($B626="","",ROW()-5)</f>
        <v/>
      </c>
      <c r="B626" s="127" t="n"/>
      <c r="C626" s="223" t="n"/>
      <c r="D626" s="127" t="n"/>
      <c r="E626" s="227" t="n"/>
      <c r="F626" s="227" t="n"/>
      <c r="G626" s="227" t="n"/>
      <c r="H626" s="227" t="n"/>
      <c r="I626" s="227" t="n"/>
      <c r="J626" s="227" t="n"/>
      <c r="K626" s="227" t="n"/>
      <c r="L626" s="227" t="n"/>
      <c r="M626" s="227" t="n"/>
      <c r="N626" s="127" t="n"/>
      <c r="O626" s="227" t="n"/>
      <c r="P626" s="227" t="n"/>
      <c r="Q626" s="227" t="n"/>
      <c r="R626" s="227" t="n"/>
      <c r="S626" s="227" t="n"/>
      <c r="T626" s="227" t="n"/>
    </row>
    <row r="627">
      <c r="A627" s="145">
        <f>IF($B627="","",ROW()-5)</f>
        <v/>
      </c>
      <c r="B627" s="127" t="n"/>
      <c r="C627" s="223" t="n"/>
      <c r="D627" s="127" t="n"/>
      <c r="E627" s="227" t="n"/>
      <c r="F627" s="227" t="n"/>
      <c r="G627" s="227" t="n"/>
      <c r="H627" s="227" t="n"/>
      <c r="I627" s="227" t="n"/>
      <c r="J627" s="227" t="n"/>
      <c r="K627" s="227" t="n"/>
      <c r="L627" s="227" t="n"/>
      <c r="M627" s="227" t="n"/>
      <c r="N627" s="127" t="n"/>
      <c r="O627" s="227" t="n"/>
      <c r="P627" s="227" t="n"/>
      <c r="Q627" s="227" t="n"/>
      <c r="R627" s="227" t="n"/>
      <c r="S627" s="227" t="n"/>
      <c r="T627" s="227" t="n"/>
    </row>
    <row r="628">
      <c r="A628" s="145">
        <f>IF($B628="","",ROW()-5)</f>
        <v/>
      </c>
      <c r="B628" s="127" t="n"/>
      <c r="C628" s="223" t="n"/>
      <c r="D628" s="127" t="n"/>
      <c r="E628" s="227" t="n"/>
      <c r="F628" s="227" t="n"/>
      <c r="G628" s="227" t="n"/>
      <c r="H628" s="227" t="n"/>
      <c r="I628" s="227" t="n"/>
      <c r="J628" s="227" t="n"/>
      <c r="K628" s="227" t="n"/>
      <c r="L628" s="227" t="n"/>
      <c r="M628" s="227" t="n"/>
      <c r="N628" s="127" t="n"/>
      <c r="O628" s="227" t="n"/>
      <c r="P628" s="227" t="n"/>
      <c r="Q628" s="227" t="n"/>
      <c r="R628" s="227" t="n"/>
      <c r="S628" s="227" t="n"/>
      <c r="T628" s="227" t="n"/>
    </row>
    <row r="629">
      <c r="A629" s="145">
        <f>IF($B629="","",ROW()-5)</f>
        <v/>
      </c>
      <c r="B629" s="127" t="n"/>
      <c r="C629" s="223" t="n"/>
      <c r="D629" s="127" t="n"/>
      <c r="E629" s="227" t="n"/>
      <c r="F629" s="227" t="n"/>
      <c r="G629" s="227" t="n"/>
      <c r="H629" s="227" t="n"/>
      <c r="I629" s="227" t="n"/>
      <c r="J629" s="227" t="n"/>
      <c r="K629" s="227" t="n"/>
      <c r="L629" s="227" t="n"/>
      <c r="M629" s="227" t="n"/>
      <c r="N629" s="127" t="n"/>
      <c r="O629" s="227" t="n"/>
      <c r="P629" s="227" t="n"/>
      <c r="Q629" s="227" t="n"/>
      <c r="R629" s="227" t="n"/>
      <c r="S629" s="227" t="n"/>
      <c r="T629" s="227" t="n"/>
    </row>
    <row r="630">
      <c r="A630" s="145">
        <f>IF($B630="","",ROW()-5)</f>
        <v/>
      </c>
      <c r="B630" s="127" t="n"/>
      <c r="C630" s="223" t="n"/>
      <c r="D630" s="127" t="n"/>
      <c r="E630" s="227" t="n"/>
      <c r="F630" s="227" t="n"/>
      <c r="G630" s="227" t="n"/>
      <c r="H630" s="227" t="n"/>
      <c r="I630" s="227" t="n"/>
      <c r="J630" s="227" t="n"/>
      <c r="K630" s="227" t="n"/>
      <c r="L630" s="227" t="n"/>
      <c r="M630" s="227" t="n"/>
      <c r="N630" s="127" t="n"/>
      <c r="O630" s="227" t="n"/>
      <c r="P630" s="227" t="n"/>
      <c r="Q630" s="227" t="n"/>
      <c r="R630" s="227" t="n"/>
      <c r="S630" s="227" t="n"/>
      <c r="T630" s="227" t="n"/>
    </row>
    <row r="631">
      <c r="A631" s="145">
        <f>IF($B631="","",ROW()-5)</f>
        <v/>
      </c>
      <c r="B631" s="127" t="n"/>
      <c r="C631" s="223" t="n"/>
      <c r="D631" s="127" t="n"/>
      <c r="E631" s="227" t="n"/>
      <c r="F631" s="227" t="n"/>
      <c r="G631" s="227" t="n"/>
      <c r="H631" s="227" t="n"/>
      <c r="I631" s="227" t="n"/>
      <c r="J631" s="227" t="n"/>
      <c r="K631" s="227" t="n"/>
      <c r="L631" s="227" t="n"/>
      <c r="M631" s="227" t="n"/>
      <c r="N631" s="127" t="n"/>
      <c r="O631" s="227" t="n"/>
      <c r="P631" s="227" t="n"/>
      <c r="Q631" s="227" t="n"/>
      <c r="R631" s="227" t="n"/>
      <c r="S631" s="227" t="n"/>
      <c r="T631" s="227" t="n"/>
    </row>
    <row r="632">
      <c r="A632" s="145">
        <f>IF($B632="","",ROW()-5)</f>
        <v/>
      </c>
      <c r="B632" s="127" t="n"/>
      <c r="C632" s="223" t="n"/>
      <c r="D632" s="127" t="n"/>
      <c r="E632" s="227" t="n"/>
      <c r="F632" s="227" t="n"/>
      <c r="G632" s="227" t="n"/>
      <c r="H632" s="227" t="n"/>
      <c r="I632" s="227" t="n"/>
      <c r="J632" s="227" t="n"/>
      <c r="K632" s="227" t="n"/>
      <c r="L632" s="227" t="n"/>
      <c r="M632" s="227" t="n"/>
      <c r="N632" s="127" t="n"/>
      <c r="O632" s="227" t="n"/>
      <c r="P632" s="227" t="n"/>
      <c r="Q632" s="227" t="n"/>
      <c r="R632" s="227" t="n"/>
      <c r="S632" s="227" t="n"/>
      <c r="T632" s="227" t="n"/>
    </row>
    <row r="633">
      <c r="A633" s="145">
        <f>IF($B633="","",ROW()-5)</f>
        <v/>
      </c>
      <c r="B633" s="127" t="n"/>
      <c r="C633" s="223" t="n"/>
      <c r="D633" s="127" t="n"/>
      <c r="E633" s="227" t="n"/>
      <c r="F633" s="227" t="n"/>
      <c r="G633" s="227" t="n"/>
      <c r="H633" s="227" t="n"/>
      <c r="I633" s="227" t="n"/>
      <c r="J633" s="227" t="n"/>
      <c r="K633" s="227" t="n"/>
      <c r="L633" s="227" t="n"/>
      <c r="M633" s="227" t="n"/>
      <c r="N633" s="127" t="n"/>
      <c r="O633" s="227" t="n"/>
      <c r="P633" s="227" t="n"/>
      <c r="Q633" s="227" t="n"/>
      <c r="R633" s="227" t="n"/>
      <c r="S633" s="227" t="n"/>
      <c r="T633" s="227" t="n"/>
    </row>
    <row r="634">
      <c r="A634" s="145">
        <f>IF($B634="","",ROW()-5)</f>
        <v/>
      </c>
      <c r="B634" s="127" t="n"/>
      <c r="C634" s="223" t="n"/>
      <c r="D634" s="127" t="n"/>
      <c r="E634" s="227" t="n"/>
      <c r="F634" s="227" t="n"/>
      <c r="G634" s="227" t="n"/>
      <c r="H634" s="227" t="n"/>
      <c r="I634" s="227" t="n"/>
      <c r="J634" s="227" t="n"/>
      <c r="K634" s="227" t="n"/>
      <c r="L634" s="227" t="n"/>
      <c r="M634" s="227" t="n"/>
      <c r="N634" s="127" t="n"/>
      <c r="O634" s="227" t="n"/>
      <c r="P634" s="227" t="n"/>
      <c r="Q634" s="227" t="n"/>
      <c r="R634" s="227" t="n"/>
      <c r="S634" s="227" t="n"/>
      <c r="T634" s="227" t="n"/>
    </row>
    <row r="635">
      <c r="A635" s="145">
        <f>IF($B635="","",ROW()-5)</f>
        <v/>
      </c>
      <c r="B635" s="127" t="n"/>
      <c r="C635" s="223" t="n"/>
      <c r="D635" s="127" t="n"/>
      <c r="E635" s="227" t="n"/>
      <c r="F635" s="227" t="n"/>
      <c r="G635" s="227" t="n"/>
      <c r="H635" s="227" t="n"/>
      <c r="I635" s="227" t="n"/>
      <c r="J635" s="227" t="n"/>
      <c r="K635" s="227" t="n"/>
      <c r="L635" s="227" t="n"/>
      <c r="M635" s="227" t="n"/>
      <c r="N635" s="127" t="n"/>
      <c r="O635" s="227" t="n"/>
      <c r="P635" s="227" t="n"/>
      <c r="Q635" s="227" t="n"/>
      <c r="R635" s="227" t="n"/>
      <c r="S635" s="227" t="n"/>
      <c r="T635" s="227" t="n"/>
    </row>
    <row r="636">
      <c r="A636" s="145">
        <f>IF($B636="","",ROW()-5)</f>
        <v/>
      </c>
      <c r="B636" s="127" t="n"/>
      <c r="C636" s="223" t="n"/>
      <c r="D636" s="127" t="n"/>
      <c r="E636" s="227" t="n"/>
      <c r="F636" s="227" t="n"/>
      <c r="G636" s="227" t="n"/>
      <c r="H636" s="227" t="n"/>
      <c r="I636" s="227" t="n"/>
      <c r="J636" s="227" t="n"/>
      <c r="K636" s="227" t="n"/>
      <c r="L636" s="227" t="n"/>
      <c r="M636" s="227" t="n"/>
      <c r="N636" s="127" t="n"/>
      <c r="O636" s="227" t="n"/>
      <c r="P636" s="227" t="n"/>
      <c r="Q636" s="227" t="n"/>
      <c r="R636" s="227" t="n"/>
      <c r="S636" s="227" t="n"/>
      <c r="T636" s="227" t="n"/>
    </row>
    <row r="637">
      <c r="A637" s="145">
        <f>IF($B637="","",ROW()-5)</f>
        <v/>
      </c>
      <c r="B637" s="127" t="n"/>
      <c r="C637" s="223" t="n"/>
      <c r="D637" s="127" t="n"/>
      <c r="E637" s="227" t="n"/>
      <c r="F637" s="227" t="n"/>
      <c r="G637" s="227" t="n"/>
      <c r="H637" s="227" t="n"/>
      <c r="I637" s="227" t="n"/>
      <c r="J637" s="227" t="n"/>
      <c r="K637" s="227" t="n"/>
      <c r="L637" s="227" t="n"/>
      <c r="M637" s="227" t="n"/>
      <c r="N637" s="127" t="n"/>
      <c r="O637" s="227" t="n"/>
      <c r="P637" s="227" t="n"/>
      <c r="Q637" s="227" t="n"/>
      <c r="R637" s="227" t="n"/>
      <c r="S637" s="227" t="n"/>
      <c r="T637" s="227" t="n"/>
    </row>
    <row r="638">
      <c r="A638" s="145">
        <f>IF($B638="","",ROW()-5)</f>
        <v/>
      </c>
      <c r="B638" s="127" t="n"/>
      <c r="C638" s="223" t="n"/>
      <c r="D638" s="127" t="n"/>
      <c r="E638" s="227" t="n"/>
      <c r="F638" s="227" t="n"/>
      <c r="G638" s="227" t="n"/>
      <c r="H638" s="227" t="n"/>
      <c r="I638" s="227" t="n"/>
      <c r="J638" s="227" t="n"/>
      <c r="K638" s="227" t="n"/>
      <c r="L638" s="227" t="n"/>
      <c r="M638" s="227" t="n"/>
      <c r="N638" s="127" t="n"/>
      <c r="O638" s="227" t="n"/>
      <c r="P638" s="227" t="n"/>
      <c r="Q638" s="227" t="n"/>
      <c r="R638" s="227" t="n"/>
      <c r="S638" s="227" t="n"/>
      <c r="T638" s="227" t="n"/>
    </row>
    <row r="639">
      <c r="A639" s="145">
        <f>IF($B639="","",ROW()-5)</f>
        <v/>
      </c>
      <c r="B639" s="127" t="n"/>
      <c r="C639" s="223" t="n"/>
      <c r="D639" s="127" t="n"/>
      <c r="E639" s="227" t="n"/>
      <c r="F639" s="227" t="n"/>
      <c r="G639" s="227" t="n"/>
      <c r="H639" s="227" t="n"/>
      <c r="I639" s="227" t="n"/>
      <c r="J639" s="227" t="n"/>
      <c r="K639" s="227" t="n"/>
      <c r="L639" s="227" t="n"/>
      <c r="M639" s="227" t="n"/>
      <c r="N639" s="127" t="n"/>
      <c r="O639" s="227" t="n"/>
      <c r="P639" s="227" t="n"/>
      <c r="Q639" s="227" t="n"/>
      <c r="R639" s="227" t="n"/>
      <c r="S639" s="227" t="n"/>
      <c r="T639" s="227" t="n"/>
    </row>
    <row r="640">
      <c r="A640" s="145">
        <f>IF($B640="","",ROW()-5)</f>
        <v/>
      </c>
      <c r="B640" s="127" t="n"/>
      <c r="C640" s="223" t="n"/>
      <c r="D640" s="127" t="n"/>
      <c r="E640" s="227" t="n"/>
      <c r="F640" s="227" t="n"/>
      <c r="G640" s="227" t="n"/>
      <c r="H640" s="227" t="n"/>
      <c r="I640" s="227" t="n"/>
      <c r="J640" s="227" t="n"/>
      <c r="K640" s="227" t="n"/>
      <c r="L640" s="227" t="n"/>
      <c r="M640" s="227" t="n"/>
      <c r="N640" s="127" t="n"/>
      <c r="O640" s="227" t="n"/>
      <c r="P640" s="227" t="n"/>
      <c r="Q640" s="227" t="n"/>
      <c r="R640" s="227" t="n"/>
      <c r="S640" s="227" t="n"/>
      <c r="T640" s="227" t="n"/>
    </row>
    <row r="641">
      <c r="A641" s="145">
        <f>IF($B641="","",ROW()-5)</f>
        <v/>
      </c>
      <c r="B641" s="127" t="n"/>
      <c r="C641" s="223" t="n"/>
      <c r="D641" s="127" t="n"/>
      <c r="E641" s="227" t="n"/>
      <c r="F641" s="227" t="n"/>
      <c r="G641" s="227" t="n"/>
      <c r="H641" s="227" t="n"/>
      <c r="I641" s="227" t="n"/>
      <c r="J641" s="227" t="n"/>
      <c r="K641" s="227" t="n"/>
      <c r="L641" s="227" t="n"/>
      <c r="M641" s="227" t="n"/>
      <c r="N641" s="127" t="n"/>
      <c r="O641" s="227" t="n"/>
      <c r="P641" s="227" t="n"/>
      <c r="Q641" s="227" t="n"/>
      <c r="R641" s="227" t="n"/>
      <c r="S641" s="227" t="n"/>
      <c r="T641" s="227" t="n"/>
    </row>
    <row r="642">
      <c r="A642" s="145">
        <f>IF($B642="","",ROW()-5)</f>
        <v/>
      </c>
      <c r="B642" s="127" t="n"/>
      <c r="C642" s="223" t="n"/>
      <c r="D642" s="127" t="n"/>
      <c r="E642" s="227" t="n"/>
      <c r="F642" s="227" t="n"/>
      <c r="G642" s="227" t="n"/>
      <c r="H642" s="227" t="n"/>
      <c r="I642" s="227" t="n"/>
      <c r="J642" s="227" t="n"/>
      <c r="K642" s="227" t="n"/>
      <c r="L642" s="227" t="n"/>
      <c r="M642" s="227" t="n"/>
      <c r="N642" s="127" t="n"/>
      <c r="O642" s="227" t="n"/>
      <c r="P642" s="227" t="n"/>
      <c r="Q642" s="227" t="n"/>
      <c r="R642" s="227" t="n"/>
      <c r="S642" s="227" t="n"/>
      <c r="T642" s="227" t="n"/>
    </row>
    <row r="643">
      <c r="A643" s="145">
        <f>IF($B643="","",ROW()-5)</f>
        <v/>
      </c>
      <c r="B643" s="127" t="n"/>
      <c r="C643" s="223" t="n"/>
      <c r="D643" s="127" t="n"/>
      <c r="E643" s="227" t="n"/>
      <c r="F643" s="227" t="n"/>
      <c r="G643" s="227" t="n"/>
      <c r="H643" s="227" t="n"/>
      <c r="I643" s="227" t="n"/>
      <c r="J643" s="227" t="n"/>
      <c r="K643" s="227" t="n"/>
      <c r="L643" s="227" t="n"/>
      <c r="M643" s="227" t="n"/>
      <c r="N643" s="127" t="n"/>
      <c r="O643" s="227" t="n"/>
      <c r="P643" s="227" t="n"/>
      <c r="Q643" s="227" t="n"/>
      <c r="R643" s="227" t="n"/>
      <c r="S643" s="227" t="n"/>
      <c r="T643" s="227" t="n"/>
    </row>
    <row r="644">
      <c r="A644" s="145">
        <f>IF($B644="","",ROW()-5)</f>
        <v/>
      </c>
      <c r="B644" s="127" t="n"/>
      <c r="C644" s="223" t="n"/>
      <c r="D644" s="127" t="n"/>
      <c r="E644" s="227" t="n"/>
      <c r="F644" s="227" t="n"/>
      <c r="G644" s="227" t="n"/>
      <c r="H644" s="227" t="n"/>
      <c r="I644" s="227" t="n"/>
      <c r="J644" s="227" t="n"/>
      <c r="K644" s="227" t="n"/>
      <c r="L644" s="227" t="n"/>
      <c r="M644" s="227" t="n"/>
      <c r="N644" s="127" t="n"/>
      <c r="O644" s="227" t="n"/>
      <c r="P644" s="227" t="n"/>
      <c r="Q644" s="227" t="n"/>
      <c r="R644" s="227" t="n"/>
      <c r="S644" s="227" t="n"/>
      <c r="T644" s="227" t="n"/>
    </row>
    <row r="645">
      <c r="A645" s="145">
        <f>IF($B645="","",ROW()-5)</f>
        <v/>
      </c>
      <c r="B645" s="127" t="n"/>
      <c r="C645" s="223" t="n"/>
      <c r="D645" s="127" t="n"/>
      <c r="E645" s="227" t="n"/>
      <c r="F645" s="227" t="n"/>
      <c r="G645" s="227" t="n"/>
      <c r="H645" s="227" t="n"/>
      <c r="I645" s="227" t="n"/>
      <c r="J645" s="227" t="n"/>
      <c r="K645" s="227" t="n"/>
      <c r="L645" s="227" t="n"/>
      <c r="M645" s="227" t="n"/>
      <c r="N645" s="127" t="n"/>
      <c r="O645" s="227" t="n"/>
      <c r="P645" s="227" t="n"/>
      <c r="Q645" s="227" t="n"/>
      <c r="R645" s="227" t="n"/>
      <c r="S645" s="227" t="n"/>
      <c r="T645" s="227" t="n"/>
    </row>
    <row r="646">
      <c r="A646" s="145">
        <f>IF($B646="","",ROW()-5)</f>
        <v/>
      </c>
      <c r="B646" s="127" t="n"/>
      <c r="C646" s="223" t="n"/>
      <c r="D646" s="127" t="n"/>
      <c r="E646" s="227" t="n"/>
      <c r="F646" s="227" t="n"/>
      <c r="G646" s="227" t="n"/>
      <c r="H646" s="227" t="n"/>
      <c r="I646" s="227" t="n"/>
      <c r="J646" s="227" t="n"/>
      <c r="K646" s="227" t="n"/>
      <c r="L646" s="227" t="n"/>
      <c r="M646" s="227" t="n"/>
      <c r="N646" s="127" t="n"/>
      <c r="O646" s="227" t="n"/>
      <c r="P646" s="227" t="n"/>
      <c r="Q646" s="227" t="n"/>
      <c r="R646" s="227" t="n"/>
      <c r="S646" s="227" t="n"/>
      <c r="T646" s="227" t="n"/>
    </row>
    <row r="647">
      <c r="A647" s="145">
        <f>IF($B647="","",ROW()-5)</f>
        <v/>
      </c>
      <c r="B647" s="127" t="n"/>
      <c r="C647" s="223" t="n"/>
      <c r="D647" s="127" t="n"/>
      <c r="E647" s="227" t="n"/>
      <c r="F647" s="227" t="n"/>
      <c r="G647" s="227" t="n"/>
      <c r="H647" s="227" t="n"/>
      <c r="I647" s="227" t="n"/>
      <c r="J647" s="227" t="n"/>
      <c r="K647" s="227" t="n"/>
      <c r="L647" s="227" t="n"/>
      <c r="M647" s="227" t="n"/>
      <c r="N647" s="127" t="n"/>
      <c r="O647" s="227" t="n"/>
      <c r="P647" s="227" t="n"/>
      <c r="Q647" s="227" t="n"/>
      <c r="R647" s="227" t="n"/>
      <c r="S647" s="227" t="n"/>
      <c r="T647" s="227" t="n"/>
    </row>
    <row r="648">
      <c r="A648" s="145">
        <f>IF($B648="","",ROW()-5)</f>
        <v/>
      </c>
      <c r="B648" s="127" t="n"/>
      <c r="C648" s="223" t="n"/>
      <c r="D648" s="127" t="n"/>
      <c r="E648" s="227" t="n"/>
      <c r="F648" s="227" t="n"/>
      <c r="G648" s="227" t="n"/>
      <c r="H648" s="227" t="n"/>
      <c r="I648" s="227" t="n"/>
      <c r="J648" s="227" t="n"/>
      <c r="K648" s="227" t="n"/>
      <c r="L648" s="227" t="n"/>
      <c r="M648" s="227" t="n"/>
      <c r="N648" s="127" t="n"/>
      <c r="O648" s="227" t="n"/>
      <c r="P648" s="227" t="n"/>
      <c r="Q648" s="227" t="n"/>
      <c r="R648" s="227" t="n"/>
      <c r="S648" s="227" t="n"/>
      <c r="T648" s="227" t="n"/>
    </row>
    <row r="649">
      <c r="A649" s="145">
        <f>IF($B649="","",ROW()-5)</f>
        <v/>
      </c>
      <c r="B649" s="127" t="n"/>
      <c r="C649" s="223" t="n"/>
      <c r="D649" s="127" t="n"/>
      <c r="E649" s="227" t="n"/>
      <c r="F649" s="227" t="n"/>
      <c r="G649" s="227" t="n"/>
      <c r="H649" s="227" t="n"/>
      <c r="I649" s="227" t="n"/>
      <c r="J649" s="227" t="n"/>
      <c r="K649" s="227" t="n"/>
      <c r="L649" s="227" t="n"/>
      <c r="M649" s="227" t="n"/>
      <c r="N649" s="127" t="n"/>
      <c r="O649" s="227" t="n"/>
      <c r="P649" s="227" t="n"/>
      <c r="Q649" s="227" t="n"/>
      <c r="R649" s="227" t="n"/>
      <c r="S649" s="227" t="n"/>
      <c r="T649" s="227" t="n"/>
    </row>
    <row r="650">
      <c r="A650" s="145">
        <f>IF($B650="","",ROW()-5)</f>
        <v/>
      </c>
      <c r="B650" s="127" t="n"/>
      <c r="C650" s="223" t="n"/>
      <c r="D650" s="127" t="n"/>
      <c r="E650" s="227" t="n"/>
      <c r="F650" s="227" t="n"/>
      <c r="G650" s="227" t="n"/>
      <c r="H650" s="227" t="n"/>
      <c r="I650" s="227" t="n"/>
      <c r="J650" s="227" t="n"/>
      <c r="K650" s="227" t="n"/>
      <c r="L650" s="227" t="n"/>
      <c r="M650" s="227" t="n"/>
      <c r="N650" s="127" t="n"/>
      <c r="O650" s="227" t="n"/>
      <c r="P650" s="227" t="n"/>
      <c r="Q650" s="227" t="n"/>
      <c r="R650" s="227" t="n"/>
      <c r="S650" s="227" t="n"/>
      <c r="T650" s="227" t="n"/>
    </row>
    <row r="651">
      <c r="A651" s="145">
        <f>IF($B651="","",ROW()-5)</f>
        <v/>
      </c>
      <c r="B651" s="127" t="n"/>
      <c r="C651" s="223" t="n"/>
      <c r="D651" s="127" t="n"/>
      <c r="E651" s="227" t="n"/>
      <c r="F651" s="227" t="n"/>
      <c r="G651" s="227" t="n"/>
      <c r="H651" s="227" t="n"/>
      <c r="I651" s="227" t="n"/>
      <c r="J651" s="227" t="n"/>
      <c r="K651" s="227" t="n"/>
      <c r="L651" s="227" t="n"/>
      <c r="M651" s="227" t="n"/>
      <c r="N651" s="127" t="n"/>
      <c r="O651" s="227" t="n"/>
      <c r="P651" s="227" t="n"/>
      <c r="Q651" s="227" t="n"/>
      <c r="R651" s="227" t="n"/>
      <c r="S651" s="227" t="n"/>
      <c r="T651" s="227" t="n"/>
    </row>
    <row r="652">
      <c r="A652" s="145">
        <f>IF($B652="","",ROW()-5)</f>
        <v/>
      </c>
      <c r="B652" s="127" t="n"/>
      <c r="C652" s="223" t="n"/>
      <c r="D652" s="127" t="n"/>
      <c r="E652" s="227" t="n"/>
      <c r="F652" s="227" t="n"/>
      <c r="G652" s="227" t="n"/>
      <c r="H652" s="227" t="n"/>
      <c r="I652" s="227" t="n"/>
      <c r="J652" s="227" t="n"/>
      <c r="K652" s="227" t="n"/>
      <c r="L652" s="227" t="n"/>
      <c r="M652" s="227" t="n"/>
      <c r="N652" s="127" t="n"/>
      <c r="O652" s="227" t="n"/>
      <c r="P652" s="227" t="n"/>
      <c r="Q652" s="227" t="n"/>
      <c r="R652" s="227" t="n"/>
      <c r="S652" s="227" t="n"/>
      <c r="T652" s="227" t="n"/>
    </row>
    <row r="653">
      <c r="A653" s="145">
        <f>IF($B653="","",ROW()-5)</f>
        <v/>
      </c>
      <c r="B653" s="127" t="n"/>
      <c r="C653" s="223" t="n"/>
      <c r="D653" s="127" t="n"/>
      <c r="E653" s="227" t="n"/>
      <c r="F653" s="227" t="n"/>
      <c r="G653" s="227" t="n"/>
      <c r="H653" s="227" t="n"/>
      <c r="I653" s="227" t="n"/>
      <c r="J653" s="227" t="n"/>
      <c r="K653" s="227" t="n"/>
      <c r="L653" s="227" t="n"/>
      <c r="M653" s="227" t="n"/>
      <c r="N653" s="127" t="n"/>
      <c r="O653" s="227" t="n"/>
      <c r="P653" s="227" t="n"/>
      <c r="Q653" s="227" t="n"/>
      <c r="R653" s="227" t="n"/>
      <c r="S653" s="227" t="n"/>
      <c r="T653" s="227" t="n"/>
    </row>
    <row r="654">
      <c r="A654" s="145">
        <f>IF($B654="","",ROW()-5)</f>
        <v/>
      </c>
      <c r="B654" s="127" t="n"/>
      <c r="C654" s="223" t="n"/>
      <c r="D654" s="127" t="n"/>
      <c r="E654" s="227" t="n"/>
      <c r="F654" s="227" t="n"/>
      <c r="G654" s="227" t="n"/>
      <c r="H654" s="227" t="n"/>
      <c r="I654" s="227" t="n"/>
      <c r="J654" s="227" t="n"/>
      <c r="K654" s="227" t="n"/>
      <c r="L654" s="227" t="n"/>
      <c r="M654" s="227" t="n"/>
      <c r="N654" s="127" t="n"/>
      <c r="O654" s="227" t="n"/>
      <c r="P654" s="227" t="n"/>
      <c r="Q654" s="227" t="n"/>
      <c r="R654" s="227" t="n"/>
      <c r="S654" s="227" t="n"/>
      <c r="T654" s="227" t="n"/>
    </row>
    <row r="655">
      <c r="A655" s="145">
        <f>IF($B655="","",ROW()-5)</f>
        <v/>
      </c>
      <c r="B655" s="127" t="n"/>
      <c r="C655" s="223" t="n"/>
      <c r="D655" s="127" t="n"/>
      <c r="E655" s="227" t="n"/>
      <c r="F655" s="227" t="n"/>
      <c r="G655" s="227" t="n"/>
      <c r="H655" s="227" t="n"/>
      <c r="I655" s="227" t="n"/>
      <c r="J655" s="227" t="n"/>
      <c r="K655" s="227" t="n"/>
      <c r="L655" s="227" t="n"/>
      <c r="M655" s="227" t="n"/>
      <c r="N655" s="127" t="n"/>
      <c r="O655" s="227" t="n"/>
      <c r="P655" s="227" t="n"/>
      <c r="Q655" s="227" t="n"/>
      <c r="R655" s="227" t="n"/>
      <c r="S655" s="227" t="n"/>
      <c r="T655" s="227" t="n"/>
    </row>
    <row r="656">
      <c r="A656" s="145">
        <f>IF($B656="","",ROW()-5)</f>
        <v/>
      </c>
      <c r="B656" s="127" t="n"/>
      <c r="C656" s="223" t="n"/>
      <c r="D656" s="127" t="n"/>
      <c r="E656" s="227" t="n"/>
      <c r="F656" s="227" t="n"/>
      <c r="G656" s="227" t="n"/>
      <c r="H656" s="227" t="n"/>
      <c r="I656" s="227" t="n"/>
      <c r="J656" s="227" t="n"/>
      <c r="K656" s="227" t="n"/>
      <c r="L656" s="227" t="n"/>
      <c r="M656" s="227" t="n"/>
      <c r="N656" s="127" t="n"/>
      <c r="O656" s="227" t="n"/>
      <c r="P656" s="227" t="n"/>
      <c r="Q656" s="227" t="n"/>
      <c r="R656" s="227" t="n"/>
      <c r="S656" s="227" t="n"/>
      <c r="T656" s="227" t="n"/>
    </row>
    <row r="657">
      <c r="A657" s="145">
        <f>IF($B657="","",ROW()-5)</f>
        <v/>
      </c>
      <c r="B657" s="127" t="n"/>
      <c r="C657" s="223" t="n"/>
      <c r="D657" s="127" t="n"/>
      <c r="E657" s="227" t="n"/>
      <c r="F657" s="227" t="n"/>
      <c r="G657" s="227" t="n"/>
      <c r="H657" s="227" t="n"/>
      <c r="I657" s="227" t="n"/>
      <c r="J657" s="227" t="n"/>
      <c r="K657" s="227" t="n"/>
      <c r="L657" s="227" t="n"/>
      <c r="M657" s="227" t="n"/>
      <c r="N657" s="127" t="n"/>
      <c r="O657" s="227" t="n"/>
      <c r="P657" s="227" t="n"/>
      <c r="Q657" s="227" t="n"/>
      <c r="R657" s="227" t="n"/>
      <c r="S657" s="227" t="n"/>
      <c r="T657" s="227" t="n"/>
    </row>
    <row r="658">
      <c r="A658" s="145">
        <f>IF($B658="","",ROW()-5)</f>
        <v/>
      </c>
      <c r="B658" s="127" t="n"/>
      <c r="C658" s="223" t="n"/>
      <c r="D658" s="127" t="n"/>
      <c r="E658" s="227" t="n"/>
      <c r="F658" s="227" t="n"/>
      <c r="G658" s="227" t="n"/>
      <c r="H658" s="227" t="n"/>
      <c r="I658" s="227" t="n"/>
      <c r="J658" s="227" t="n"/>
      <c r="K658" s="227" t="n"/>
      <c r="L658" s="227" t="n"/>
      <c r="M658" s="227" t="n"/>
      <c r="N658" s="127" t="n"/>
      <c r="O658" s="227" t="n"/>
      <c r="P658" s="227" t="n"/>
      <c r="Q658" s="227" t="n"/>
      <c r="R658" s="227" t="n"/>
      <c r="S658" s="227" t="n"/>
      <c r="T658" s="227" t="n"/>
    </row>
    <row r="659">
      <c r="A659" s="145">
        <f>IF($B659="","",ROW()-5)</f>
        <v/>
      </c>
      <c r="B659" s="127" t="n"/>
      <c r="C659" s="223" t="n"/>
      <c r="D659" s="127" t="n"/>
      <c r="E659" s="227" t="n"/>
      <c r="F659" s="227" t="n"/>
      <c r="G659" s="227" t="n"/>
      <c r="H659" s="227" t="n"/>
      <c r="I659" s="227" t="n"/>
      <c r="J659" s="227" t="n"/>
      <c r="K659" s="227" t="n"/>
      <c r="L659" s="227" t="n"/>
      <c r="M659" s="227" t="n"/>
      <c r="N659" s="127" t="n"/>
      <c r="O659" s="227" t="n"/>
      <c r="P659" s="227" t="n"/>
      <c r="Q659" s="227" t="n"/>
      <c r="R659" s="227" t="n"/>
      <c r="S659" s="227" t="n"/>
      <c r="T659" s="227" t="n"/>
    </row>
    <row r="660">
      <c r="A660" s="145">
        <f>IF($B660="","",ROW()-5)</f>
        <v/>
      </c>
      <c r="B660" s="127" t="n"/>
      <c r="C660" s="223" t="n"/>
      <c r="D660" s="127" t="n"/>
      <c r="E660" s="227" t="n"/>
      <c r="F660" s="227" t="n"/>
      <c r="G660" s="227" t="n"/>
      <c r="H660" s="227" t="n"/>
      <c r="I660" s="227" t="n"/>
      <c r="J660" s="227" t="n"/>
      <c r="K660" s="227" t="n"/>
      <c r="L660" s="227" t="n"/>
      <c r="M660" s="227" t="n"/>
      <c r="N660" s="127" t="n"/>
      <c r="O660" s="227" t="n"/>
      <c r="P660" s="227" t="n"/>
      <c r="Q660" s="227" t="n"/>
      <c r="R660" s="227" t="n"/>
      <c r="S660" s="227" t="n"/>
      <c r="T660" s="227" t="n"/>
    </row>
    <row r="661">
      <c r="A661" s="145">
        <f>IF($B661="","",ROW()-5)</f>
        <v/>
      </c>
      <c r="B661" s="127" t="n"/>
      <c r="C661" s="223" t="n"/>
      <c r="D661" s="127" t="n"/>
      <c r="E661" s="227" t="n"/>
      <c r="F661" s="227" t="n"/>
      <c r="G661" s="227" t="n"/>
      <c r="H661" s="227" t="n"/>
      <c r="I661" s="227" t="n"/>
      <c r="J661" s="227" t="n"/>
      <c r="K661" s="227" t="n"/>
      <c r="L661" s="227" t="n"/>
      <c r="M661" s="227" t="n"/>
      <c r="N661" s="127" t="n"/>
      <c r="O661" s="227" t="n"/>
      <c r="P661" s="227" t="n"/>
      <c r="Q661" s="227" t="n"/>
      <c r="R661" s="227" t="n"/>
      <c r="S661" s="227" t="n"/>
      <c r="T661" s="227" t="n"/>
    </row>
    <row r="662">
      <c r="A662" s="145">
        <f>IF($B662="","",ROW()-5)</f>
        <v/>
      </c>
      <c r="B662" s="127" t="n"/>
      <c r="C662" s="223" t="n"/>
      <c r="D662" s="127" t="n"/>
      <c r="E662" s="227" t="n"/>
      <c r="F662" s="227" t="n"/>
      <c r="G662" s="227" t="n"/>
      <c r="H662" s="227" t="n"/>
      <c r="I662" s="227" t="n"/>
      <c r="J662" s="227" t="n"/>
      <c r="K662" s="227" t="n"/>
      <c r="L662" s="227" t="n"/>
      <c r="M662" s="227" t="n"/>
      <c r="N662" s="127" t="n"/>
      <c r="O662" s="227" t="n"/>
      <c r="P662" s="227" t="n"/>
      <c r="Q662" s="227" t="n"/>
      <c r="R662" s="227" t="n"/>
      <c r="S662" s="227" t="n"/>
      <c r="T662" s="227" t="n"/>
    </row>
    <row r="663">
      <c r="A663" s="145">
        <f>IF($B663="","",ROW()-5)</f>
        <v/>
      </c>
      <c r="B663" s="127" t="n"/>
      <c r="C663" s="223" t="n"/>
      <c r="D663" s="127" t="n"/>
      <c r="E663" s="227" t="n"/>
      <c r="F663" s="227" t="n"/>
      <c r="G663" s="227" t="n"/>
      <c r="H663" s="227" t="n"/>
      <c r="I663" s="227" t="n"/>
      <c r="J663" s="227" t="n"/>
      <c r="K663" s="227" t="n"/>
      <c r="L663" s="227" t="n"/>
      <c r="M663" s="227" t="n"/>
      <c r="N663" s="127" t="n"/>
      <c r="O663" s="227" t="n"/>
      <c r="P663" s="227" t="n"/>
      <c r="Q663" s="227" t="n"/>
      <c r="R663" s="227" t="n"/>
      <c r="S663" s="227" t="n"/>
      <c r="T663" s="227" t="n"/>
    </row>
    <row r="664">
      <c r="A664" s="145">
        <f>IF($B664="","",ROW()-5)</f>
        <v/>
      </c>
      <c r="B664" s="127" t="n"/>
      <c r="C664" s="223" t="n"/>
      <c r="D664" s="127" t="n"/>
      <c r="E664" s="227" t="n"/>
      <c r="F664" s="227" t="n"/>
      <c r="G664" s="227" t="n"/>
      <c r="H664" s="227" t="n"/>
      <c r="I664" s="227" t="n"/>
      <c r="J664" s="227" t="n"/>
      <c r="K664" s="227" t="n"/>
      <c r="L664" s="227" t="n"/>
      <c r="M664" s="227" t="n"/>
      <c r="N664" s="127" t="n"/>
      <c r="O664" s="227" t="n"/>
      <c r="P664" s="227" t="n"/>
      <c r="Q664" s="227" t="n"/>
      <c r="R664" s="227" t="n"/>
      <c r="S664" s="227" t="n"/>
      <c r="T664" s="227" t="n"/>
    </row>
    <row r="665">
      <c r="A665" s="145">
        <f>IF($B665="","",ROW()-5)</f>
        <v/>
      </c>
      <c r="B665" s="127" t="n"/>
      <c r="C665" s="223" t="n"/>
      <c r="D665" s="127" t="n"/>
      <c r="E665" s="227" t="n"/>
      <c r="F665" s="227" t="n"/>
      <c r="G665" s="227" t="n"/>
      <c r="H665" s="227" t="n"/>
      <c r="I665" s="227" t="n"/>
      <c r="J665" s="227" t="n"/>
      <c r="K665" s="227" t="n"/>
      <c r="L665" s="227" t="n"/>
      <c r="M665" s="227" t="n"/>
      <c r="N665" s="127" t="n"/>
      <c r="O665" s="227" t="n"/>
      <c r="P665" s="227" t="n"/>
      <c r="Q665" s="227" t="n"/>
      <c r="R665" s="227" t="n"/>
      <c r="S665" s="227" t="n"/>
      <c r="T665" s="227" t="n"/>
    </row>
    <row r="666">
      <c r="A666" s="145">
        <f>IF($B666="","",ROW()-5)</f>
        <v/>
      </c>
      <c r="B666" s="127" t="n"/>
      <c r="C666" s="223" t="n"/>
      <c r="D666" s="127" t="n"/>
      <c r="E666" s="227" t="n"/>
      <c r="F666" s="227" t="n"/>
      <c r="G666" s="227" t="n"/>
      <c r="H666" s="227" t="n"/>
      <c r="I666" s="227" t="n"/>
      <c r="J666" s="227" t="n"/>
      <c r="K666" s="227" t="n"/>
      <c r="L666" s="227" t="n"/>
      <c r="M666" s="227" t="n"/>
      <c r="N666" s="127" t="n"/>
      <c r="O666" s="227" t="n"/>
      <c r="P666" s="227" t="n"/>
      <c r="Q666" s="227" t="n"/>
      <c r="R666" s="227" t="n"/>
      <c r="S666" s="227" t="n"/>
      <c r="T666" s="227" t="n"/>
    </row>
    <row r="667">
      <c r="A667" s="145">
        <f>IF($B667="","",ROW()-5)</f>
        <v/>
      </c>
      <c r="B667" s="127" t="n"/>
      <c r="C667" s="223" t="n"/>
      <c r="D667" s="127" t="n"/>
      <c r="E667" s="227" t="n"/>
      <c r="F667" s="227" t="n"/>
      <c r="G667" s="227" t="n"/>
      <c r="H667" s="227" t="n"/>
      <c r="I667" s="227" t="n"/>
      <c r="J667" s="227" t="n"/>
      <c r="K667" s="227" t="n"/>
      <c r="L667" s="227" t="n"/>
      <c r="M667" s="227" t="n"/>
      <c r="N667" s="127" t="n"/>
      <c r="O667" s="227" t="n"/>
      <c r="P667" s="227" t="n"/>
      <c r="Q667" s="227" t="n"/>
      <c r="R667" s="227" t="n"/>
      <c r="S667" s="227" t="n"/>
      <c r="T667" s="227" t="n"/>
    </row>
    <row r="668">
      <c r="A668" s="145">
        <f>IF($B668="","",ROW()-5)</f>
        <v/>
      </c>
      <c r="B668" s="127" t="n"/>
      <c r="C668" s="223" t="n"/>
      <c r="D668" s="127" t="n"/>
      <c r="E668" s="227" t="n"/>
      <c r="F668" s="227" t="n"/>
      <c r="G668" s="227" t="n"/>
      <c r="H668" s="227" t="n"/>
      <c r="I668" s="227" t="n"/>
      <c r="J668" s="227" t="n"/>
      <c r="K668" s="227" t="n"/>
      <c r="L668" s="227" t="n"/>
      <c r="M668" s="227" t="n"/>
      <c r="N668" s="127" t="n"/>
      <c r="O668" s="227" t="n"/>
      <c r="P668" s="227" t="n"/>
      <c r="Q668" s="227" t="n"/>
      <c r="R668" s="227" t="n"/>
      <c r="S668" s="227" t="n"/>
      <c r="T668" s="227" t="n"/>
    </row>
    <row r="669">
      <c r="A669" s="145">
        <f>IF($B669="","",ROW()-5)</f>
        <v/>
      </c>
      <c r="B669" s="127" t="n"/>
      <c r="C669" s="223" t="n"/>
      <c r="D669" s="127" t="n"/>
      <c r="E669" s="227" t="n"/>
      <c r="F669" s="227" t="n"/>
      <c r="G669" s="227" t="n"/>
      <c r="H669" s="227" t="n"/>
      <c r="I669" s="227" t="n"/>
      <c r="J669" s="227" t="n"/>
      <c r="K669" s="227" t="n"/>
      <c r="L669" s="227" t="n"/>
      <c r="M669" s="227" t="n"/>
      <c r="N669" s="127" t="n"/>
      <c r="O669" s="227" t="n"/>
      <c r="P669" s="227" t="n"/>
      <c r="Q669" s="227" t="n"/>
      <c r="R669" s="227" t="n"/>
      <c r="S669" s="227" t="n"/>
      <c r="T669" s="227" t="n"/>
    </row>
    <row r="670">
      <c r="A670" s="145">
        <f>IF($B670="","",ROW()-5)</f>
        <v/>
      </c>
      <c r="B670" s="127" t="n"/>
      <c r="C670" s="223" t="n"/>
      <c r="D670" s="127" t="n"/>
      <c r="E670" s="227" t="n"/>
      <c r="F670" s="227" t="n"/>
      <c r="G670" s="227" t="n"/>
      <c r="H670" s="227" t="n"/>
      <c r="I670" s="227" t="n"/>
      <c r="J670" s="227" t="n"/>
      <c r="K670" s="227" t="n"/>
      <c r="L670" s="227" t="n"/>
      <c r="M670" s="227" t="n"/>
      <c r="N670" s="127" t="n"/>
      <c r="O670" s="227" t="n"/>
      <c r="P670" s="227" t="n"/>
      <c r="Q670" s="227" t="n"/>
      <c r="R670" s="227" t="n"/>
      <c r="S670" s="227" t="n"/>
      <c r="T670" s="227" t="n"/>
    </row>
    <row r="671">
      <c r="A671" s="145">
        <f>IF($B671="","",ROW()-5)</f>
        <v/>
      </c>
      <c r="B671" s="127" t="n"/>
      <c r="C671" s="223" t="n"/>
      <c r="D671" s="127" t="n"/>
      <c r="E671" s="227" t="n"/>
      <c r="F671" s="227" t="n"/>
      <c r="G671" s="227" t="n"/>
      <c r="H671" s="227" t="n"/>
      <c r="I671" s="227" t="n"/>
      <c r="J671" s="227" t="n"/>
      <c r="K671" s="227" t="n"/>
      <c r="L671" s="227" t="n"/>
      <c r="M671" s="227" t="n"/>
      <c r="N671" s="127" t="n"/>
      <c r="O671" s="227" t="n"/>
      <c r="P671" s="227" t="n"/>
      <c r="Q671" s="227" t="n"/>
      <c r="R671" s="227" t="n"/>
      <c r="S671" s="227" t="n"/>
      <c r="T671" s="227" t="n"/>
    </row>
    <row r="672">
      <c r="A672" s="145">
        <f>IF($B672="","",ROW()-5)</f>
        <v/>
      </c>
      <c r="B672" s="127" t="n"/>
      <c r="C672" s="223" t="n"/>
      <c r="D672" s="127" t="n"/>
      <c r="E672" s="227" t="n"/>
      <c r="F672" s="227" t="n"/>
      <c r="G672" s="227" t="n"/>
      <c r="H672" s="227" t="n"/>
      <c r="I672" s="227" t="n"/>
      <c r="J672" s="227" t="n"/>
      <c r="K672" s="227" t="n"/>
      <c r="L672" s="227" t="n"/>
      <c r="M672" s="227" t="n"/>
      <c r="N672" s="127" t="n"/>
      <c r="O672" s="227" t="n"/>
      <c r="P672" s="227" t="n"/>
      <c r="Q672" s="227" t="n"/>
      <c r="R672" s="227" t="n"/>
      <c r="S672" s="227" t="n"/>
      <c r="T672" s="227" t="n"/>
    </row>
    <row r="673">
      <c r="A673" s="145">
        <f>IF($B673="","",ROW()-5)</f>
        <v/>
      </c>
      <c r="B673" s="127" t="n"/>
      <c r="C673" s="223" t="n"/>
      <c r="D673" s="127" t="n"/>
      <c r="E673" s="227" t="n"/>
      <c r="F673" s="227" t="n"/>
      <c r="G673" s="227" t="n"/>
      <c r="H673" s="227" t="n"/>
      <c r="I673" s="227" t="n"/>
      <c r="J673" s="227" t="n"/>
      <c r="K673" s="227" t="n"/>
      <c r="L673" s="227" t="n"/>
      <c r="M673" s="227" t="n"/>
      <c r="N673" s="127" t="n"/>
      <c r="O673" s="227" t="n"/>
      <c r="P673" s="227" t="n"/>
      <c r="Q673" s="227" t="n"/>
      <c r="R673" s="227" t="n"/>
      <c r="S673" s="227" t="n"/>
      <c r="T673" s="227" t="n"/>
    </row>
    <row r="674">
      <c r="A674" s="145">
        <f>IF($B674="","",ROW()-5)</f>
        <v/>
      </c>
      <c r="B674" s="127" t="n"/>
      <c r="C674" s="223" t="n"/>
      <c r="D674" s="127" t="n"/>
      <c r="E674" s="227" t="n"/>
      <c r="F674" s="227" t="n"/>
      <c r="G674" s="227" t="n"/>
      <c r="H674" s="227" t="n"/>
      <c r="I674" s="227" t="n"/>
      <c r="J674" s="227" t="n"/>
      <c r="K674" s="227" t="n"/>
      <c r="L674" s="227" t="n"/>
      <c r="M674" s="227" t="n"/>
      <c r="N674" s="127" t="n"/>
      <c r="O674" s="227" t="n"/>
      <c r="P674" s="227" t="n"/>
      <c r="Q674" s="227" t="n"/>
      <c r="R674" s="227" t="n"/>
      <c r="S674" s="227" t="n"/>
      <c r="T674" s="227" t="n"/>
    </row>
    <row r="675">
      <c r="A675" s="145">
        <f>IF($B675="","",ROW()-5)</f>
        <v/>
      </c>
      <c r="B675" s="127" t="n"/>
      <c r="C675" s="223" t="n"/>
      <c r="D675" s="127" t="n"/>
      <c r="E675" s="227" t="n"/>
      <c r="F675" s="227" t="n"/>
      <c r="G675" s="227" t="n"/>
      <c r="H675" s="227" t="n"/>
      <c r="I675" s="227" t="n"/>
      <c r="J675" s="227" t="n"/>
      <c r="K675" s="227" t="n"/>
      <c r="L675" s="227" t="n"/>
      <c r="M675" s="227" t="n"/>
      <c r="N675" s="127" t="n"/>
      <c r="O675" s="227" t="n"/>
      <c r="P675" s="227" t="n"/>
      <c r="Q675" s="227" t="n"/>
      <c r="R675" s="227" t="n"/>
      <c r="S675" s="227" t="n"/>
      <c r="T675" s="227" t="n"/>
    </row>
    <row r="676">
      <c r="A676" s="145">
        <f>IF($B676="","",ROW()-5)</f>
        <v/>
      </c>
      <c r="B676" s="127" t="n"/>
      <c r="C676" s="223" t="n"/>
      <c r="D676" s="127" t="n"/>
      <c r="E676" s="227" t="n"/>
      <c r="F676" s="227" t="n"/>
      <c r="G676" s="227" t="n"/>
      <c r="H676" s="227" t="n"/>
      <c r="I676" s="227" t="n"/>
      <c r="J676" s="227" t="n"/>
      <c r="K676" s="227" t="n"/>
      <c r="L676" s="227" t="n"/>
      <c r="M676" s="227" t="n"/>
      <c r="N676" s="127" t="n"/>
      <c r="O676" s="227" t="n"/>
      <c r="P676" s="227" t="n"/>
      <c r="Q676" s="227" t="n"/>
      <c r="R676" s="227" t="n"/>
      <c r="S676" s="227" t="n"/>
      <c r="T676" s="227" t="n"/>
    </row>
    <row r="677">
      <c r="A677" s="145">
        <f>IF($B677="","",ROW()-5)</f>
        <v/>
      </c>
      <c r="B677" s="127" t="n"/>
      <c r="C677" s="223" t="n"/>
      <c r="D677" s="127" t="n"/>
      <c r="E677" s="227" t="n"/>
      <c r="F677" s="227" t="n"/>
      <c r="G677" s="227" t="n"/>
      <c r="H677" s="227" t="n"/>
      <c r="I677" s="227" t="n"/>
      <c r="J677" s="227" t="n"/>
      <c r="K677" s="227" t="n"/>
      <c r="L677" s="227" t="n"/>
      <c r="M677" s="227" t="n"/>
      <c r="N677" s="127" t="n"/>
      <c r="O677" s="227" t="n"/>
      <c r="P677" s="227" t="n"/>
      <c r="Q677" s="227" t="n"/>
      <c r="R677" s="227" t="n"/>
      <c r="S677" s="227" t="n"/>
      <c r="T677" s="227" t="n"/>
    </row>
    <row r="678">
      <c r="A678" s="145">
        <f>IF($B678="","",ROW()-5)</f>
        <v/>
      </c>
      <c r="B678" s="127" t="n"/>
      <c r="C678" s="223" t="n"/>
      <c r="D678" s="127" t="n"/>
      <c r="E678" s="227" t="n"/>
      <c r="F678" s="227" t="n"/>
      <c r="G678" s="227" t="n"/>
      <c r="H678" s="227" t="n"/>
      <c r="I678" s="227" t="n"/>
      <c r="J678" s="227" t="n"/>
      <c r="K678" s="227" t="n"/>
      <c r="L678" s="227" t="n"/>
      <c r="M678" s="227" t="n"/>
      <c r="N678" s="127" t="n"/>
      <c r="O678" s="227" t="n"/>
      <c r="P678" s="227" t="n"/>
      <c r="Q678" s="227" t="n"/>
      <c r="R678" s="227" t="n"/>
      <c r="S678" s="227" t="n"/>
      <c r="T678" s="227" t="n"/>
    </row>
    <row r="679">
      <c r="A679" s="145">
        <f>IF($B679="","",ROW()-5)</f>
        <v/>
      </c>
      <c r="B679" s="127" t="n"/>
      <c r="C679" s="223" t="n"/>
      <c r="D679" s="127" t="n"/>
      <c r="E679" s="227" t="n"/>
      <c r="F679" s="227" t="n"/>
      <c r="G679" s="227" t="n"/>
      <c r="H679" s="227" t="n"/>
      <c r="I679" s="227" t="n"/>
      <c r="J679" s="227" t="n"/>
      <c r="K679" s="227" t="n"/>
      <c r="L679" s="227" t="n"/>
      <c r="M679" s="227" t="n"/>
      <c r="N679" s="127" t="n"/>
      <c r="O679" s="227" t="n"/>
      <c r="P679" s="227" t="n"/>
      <c r="Q679" s="227" t="n"/>
      <c r="R679" s="227" t="n"/>
      <c r="S679" s="227" t="n"/>
      <c r="T679" s="227" t="n"/>
    </row>
    <row r="680">
      <c r="A680" s="145">
        <f>IF($B680="","",ROW()-5)</f>
        <v/>
      </c>
      <c r="B680" s="127" t="n"/>
      <c r="C680" s="223" t="n"/>
      <c r="D680" s="127" t="n"/>
      <c r="E680" s="227" t="n"/>
      <c r="F680" s="227" t="n"/>
      <c r="G680" s="227" t="n"/>
      <c r="H680" s="227" t="n"/>
      <c r="I680" s="227" t="n"/>
      <c r="J680" s="227" t="n"/>
      <c r="K680" s="227" t="n"/>
      <c r="L680" s="227" t="n"/>
      <c r="M680" s="227" t="n"/>
      <c r="N680" s="127" t="n"/>
      <c r="O680" s="227" t="n"/>
      <c r="P680" s="227" t="n"/>
      <c r="Q680" s="227" t="n"/>
      <c r="R680" s="227" t="n"/>
      <c r="S680" s="227" t="n"/>
      <c r="T680" s="227" t="n"/>
    </row>
    <row r="681">
      <c r="A681" s="145">
        <f>IF($B681="","",ROW()-5)</f>
        <v/>
      </c>
      <c r="B681" s="127" t="n"/>
      <c r="C681" s="223" t="n"/>
      <c r="D681" s="127" t="n"/>
      <c r="E681" s="227" t="n"/>
      <c r="F681" s="227" t="n"/>
      <c r="G681" s="227" t="n"/>
      <c r="H681" s="227" t="n"/>
      <c r="I681" s="227" t="n"/>
      <c r="J681" s="227" t="n"/>
      <c r="K681" s="227" t="n"/>
      <c r="L681" s="227" t="n"/>
      <c r="M681" s="227" t="n"/>
      <c r="N681" s="127" t="n"/>
      <c r="O681" s="227" t="n"/>
      <c r="P681" s="227" t="n"/>
      <c r="Q681" s="227" t="n"/>
      <c r="R681" s="227" t="n"/>
      <c r="S681" s="227" t="n"/>
      <c r="T681" s="227" t="n"/>
    </row>
    <row r="682">
      <c r="A682" s="145">
        <f>IF($B682="","",ROW()-5)</f>
        <v/>
      </c>
      <c r="B682" s="127" t="n"/>
      <c r="C682" s="223" t="n"/>
      <c r="D682" s="127" t="n"/>
      <c r="E682" s="227" t="n"/>
      <c r="F682" s="227" t="n"/>
      <c r="G682" s="227" t="n"/>
      <c r="H682" s="227" t="n"/>
      <c r="I682" s="227" t="n"/>
      <c r="J682" s="227" t="n"/>
      <c r="K682" s="227" t="n"/>
      <c r="L682" s="227" t="n"/>
      <c r="M682" s="227" t="n"/>
      <c r="N682" s="127" t="n"/>
      <c r="O682" s="227" t="n"/>
      <c r="P682" s="227" t="n"/>
      <c r="Q682" s="227" t="n"/>
      <c r="R682" s="227" t="n"/>
      <c r="S682" s="227" t="n"/>
      <c r="T682" s="227" t="n"/>
    </row>
    <row r="683">
      <c r="A683" s="145">
        <f>IF($B683="","",ROW()-5)</f>
        <v/>
      </c>
      <c r="B683" s="127" t="n"/>
      <c r="C683" s="223" t="n"/>
      <c r="D683" s="127" t="n"/>
      <c r="E683" s="227" t="n"/>
      <c r="F683" s="227" t="n"/>
      <c r="G683" s="227" t="n"/>
      <c r="H683" s="227" t="n"/>
      <c r="I683" s="227" t="n"/>
      <c r="J683" s="227" t="n"/>
      <c r="K683" s="227" t="n"/>
      <c r="L683" s="227" t="n"/>
      <c r="M683" s="227" t="n"/>
      <c r="N683" s="127" t="n"/>
      <c r="O683" s="227" t="n"/>
      <c r="P683" s="227" t="n"/>
      <c r="Q683" s="227" t="n"/>
      <c r="R683" s="227" t="n"/>
      <c r="S683" s="227" t="n"/>
      <c r="T683" s="227" t="n"/>
    </row>
    <row r="684">
      <c r="A684" s="145">
        <f>IF($B684="","",ROW()-5)</f>
        <v/>
      </c>
      <c r="B684" s="127" t="n"/>
      <c r="C684" s="223" t="n"/>
      <c r="D684" s="127" t="n"/>
      <c r="E684" s="227" t="n"/>
      <c r="F684" s="227" t="n"/>
      <c r="G684" s="227" t="n"/>
      <c r="H684" s="227" t="n"/>
      <c r="I684" s="227" t="n"/>
      <c r="J684" s="227" t="n"/>
      <c r="K684" s="227" t="n"/>
      <c r="L684" s="227" t="n"/>
      <c r="M684" s="227" t="n"/>
      <c r="N684" s="127" t="n"/>
      <c r="O684" s="227" t="n"/>
      <c r="P684" s="227" t="n"/>
      <c r="Q684" s="227" t="n"/>
      <c r="R684" s="227" t="n"/>
      <c r="S684" s="227" t="n"/>
      <c r="T684" s="227" t="n"/>
    </row>
    <row r="685">
      <c r="A685" s="145">
        <f>IF($B685="","",ROW()-5)</f>
        <v/>
      </c>
      <c r="B685" s="127" t="n"/>
      <c r="C685" s="223" t="n"/>
      <c r="D685" s="127" t="n"/>
      <c r="E685" s="227" t="n"/>
      <c r="F685" s="227" t="n"/>
      <c r="G685" s="227" t="n"/>
      <c r="H685" s="227" t="n"/>
      <c r="I685" s="227" t="n"/>
      <c r="J685" s="227" t="n"/>
      <c r="K685" s="227" t="n"/>
      <c r="L685" s="227" t="n"/>
      <c r="M685" s="227" t="n"/>
      <c r="N685" s="127" t="n"/>
      <c r="O685" s="227" t="n"/>
      <c r="P685" s="227" t="n"/>
      <c r="Q685" s="227" t="n"/>
      <c r="R685" s="227" t="n"/>
      <c r="S685" s="227" t="n"/>
      <c r="T685" s="227" t="n"/>
    </row>
    <row r="686">
      <c r="A686" s="145">
        <f>IF($B686="","",ROW()-5)</f>
        <v/>
      </c>
      <c r="B686" s="127" t="n"/>
      <c r="C686" s="223" t="n"/>
      <c r="D686" s="127" t="n"/>
      <c r="E686" s="227" t="n"/>
      <c r="F686" s="227" t="n"/>
      <c r="G686" s="227" t="n"/>
      <c r="H686" s="227" t="n"/>
      <c r="I686" s="227" t="n"/>
      <c r="J686" s="227" t="n"/>
      <c r="K686" s="227" t="n"/>
      <c r="L686" s="227" t="n"/>
      <c r="M686" s="227" t="n"/>
      <c r="N686" s="127" t="n"/>
      <c r="O686" s="227" t="n"/>
      <c r="P686" s="227" t="n"/>
      <c r="Q686" s="227" t="n"/>
      <c r="R686" s="227" t="n"/>
      <c r="S686" s="227" t="n"/>
      <c r="T686" s="227" t="n"/>
    </row>
    <row r="687">
      <c r="A687" s="145">
        <f>IF($B687="","",ROW()-5)</f>
        <v/>
      </c>
      <c r="B687" s="127" t="n"/>
      <c r="C687" s="223" t="n"/>
      <c r="D687" s="127" t="n"/>
      <c r="E687" s="227" t="n"/>
      <c r="F687" s="227" t="n"/>
      <c r="G687" s="227" t="n"/>
      <c r="H687" s="227" t="n"/>
      <c r="I687" s="227" t="n"/>
      <c r="J687" s="227" t="n"/>
      <c r="K687" s="227" t="n"/>
      <c r="L687" s="227" t="n"/>
      <c r="M687" s="227" t="n"/>
      <c r="N687" s="127" t="n"/>
      <c r="O687" s="227" t="n"/>
      <c r="P687" s="227" t="n"/>
      <c r="Q687" s="227" t="n"/>
      <c r="R687" s="227" t="n"/>
      <c r="S687" s="227" t="n"/>
      <c r="T687" s="227" t="n"/>
    </row>
    <row r="688">
      <c r="A688" s="145">
        <f>IF($B688="","",ROW()-5)</f>
        <v/>
      </c>
      <c r="B688" s="127" t="n"/>
      <c r="C688" s="223" t="n"/>
      <c r="D688" s="127" t="n"/>
      <c r="E688" s="227" t="n"/>
      <c r="F688" s="227" t="n"/>
      <c r="G688" s="227" t="n"/>
      <c r="H688" s="227" t="n"/>
      <c r="I688" s="227" t="n"/>
      <c r="J688" s="227" t="n"/>
      <c r="K688" s="227" t="n"/>
      <c r="L688" s="227" t="n"/>
      <c r="M688" s="227" t="n"/>
      <c r="N688" s="127" t="n"/>
      <c r="O688" s="227" t="n"/>
      <c r="P688" s="227" t="n"/>
      <c r="Q688" s="227" t="n"/>
      <c r="R688" s="227" t="n"/>
      <c r="S688" s="227" t="n"/>
      <c r="T688" s="227" t="n"/>
    </row>
    <row r="689">
      <c r="A689" s="145">
        <f>IF($B689="","",ROW()-5)</f>
        <v/>
      </c>
      <c r="B689" s="127" t="n"/>
      <c r="C689" s="223" t="n"/>
      <c r="D689" s="127" t="n"/>
      <c r="E689" s="227" t="n"/>
      <c r="F689" s="227" t="n"/>
      <c r="G689" s="227" t="n"/>
      <c r="H689" s="227" t="n"/>
      <c r="I689" s="227" t="n"/>
      <c r="J689" s="227" t="n"/>
      <c r="K689" s="227" t="n"/>
      <c r="L689" s="227" t="n"/>
      <c r="M689" s="227" t="n"/>
      <c r="N689" s="127" t="n"/>
      <c r="O689" s="227" t="n"/>
      <c r="P689" s="227" t="n"/>
      <c r="Q689" s="227" t="n"/>
      <c r="R689" s="227" t="n"/>
      <c r="S689" s="227" t="n"/>
      <c r="T689" s="227" t="n"/>
    </row>
    <row r="690">
      <c r="A690" s="145">
        <f>IF($B690="","",ROW()-5)</f>
        <v/>
      </c>
      <c r="B690" s="127" t="n"/>
      <c r="C690" s="223" t="n"/>
      <c r="D690" s="127" t="n"/>
      <c r="E690" s="227" t="n"/>
      <c r="F690" s="227" t="n"/>
      <c r="G690" s="227" t="n"/>
      <c r="H690" s="227" t="n"/>
      <c r="I690" s="227" t="n"/>
      <c r="J690" s="227" t="n"/>
      <c r="K690" s="227" t="n"/>
      <c r="L690" s="227" t="n"/>
      <c r="M690" s="227" t="n"/>
      <c r="N690" s="127" t="n"/>
      <c r="O690" s="227" t="n"/>
      <c r="P690" s="227" t="n"/>
      <c r="Q690" s="227" t="n"/>
      <c r="R690" s="227" t="n"/>
      <c r="S690" s="227" t="n"/>
      <c r="T690" s="227" t="n"/>
    </row>
    <row r="691">
      <c r="A691" s="145">
        <f>IF($B691="","",ROW()-5)</f>
        <v/>
      </c>
      <c r="B691" s="127" t="n"/>
      <c r="C691" s="223" t="n"/>
      <c r="D691" s="127" t="n"/>
      <c r="E691" s="227" t="n"/>
      <c r="F691" s="227" t="n"/>
      <c r="G691" s="227" t="n"/>
      <c r="H691" s="227" t="n"/>
      <c r="I691" s="227" t="n"/>
      <c r="J691" s="227" t="n"/>
      <c r="K691" s="227" t="n"/>
      <c r="L691" s="227" t="n"/>
      <c r="M691" s="227" t="n"/>
      <c r="N691" s="127" t="n"/>
      <c r="O691" s="227" t="n"/>
      <c r="P691" s="227" t="n"/>
      <c r="Q691" s="227" t="n"/>
      <c r="R691" s="227" t="n"/>
      <c r="S691" s="227" t="n"/>
      <c r="T691" s="227" t="n"/>
    </row>
    <row r="692">
      <c r="A692" s="145">
        <f>IF($B692="","",ROW()-5)</f>
        <v/>
      </c>
      <c r="B692" s="127" t="n"/>
      <c r="C692" s="223" t="n"/>
      <c r="D692" s="127" t="n"/>
      <c r="E692" s="227" t="n"/>
      <c r="F692" s="227" t="n"/>
      <c r="G692" s="227" t="n"/>
      <c r="H692" s="227" t="n"/>
      <c r="I692" s="227" t="n"/>
      <c r="J692" s="227" t="n"/>
      <c r="K692" s="227" t="n"/>
      <c r="L692" s="227" t="n"/>
      <c r="M692" s="227" t="n"/>
      <c r="N692" s="127" t="n"/>
      <c r="O692" s="227" t="n"/>
      <c r="P692" s="227" t="n"/>
      <c r="Q692" s="227" t="n"/>
      <c r="R692" s="227" t="n"/>
      <c r="S692" s="227" t="n"/>
      <c r="T692" s="227" t="n"/>
    </row>
    <row r="693">
      <c r="A693" s="145">
        <f>IF($B693="","",ROW()-5)</f>
        <v/>
      </c>
      <c r="B693" s="127" t="n"/>
      <c r="C693" s="223" t="n"/>
      <c r="D693" s="127" t="n"/>
      <c r="E693" s="227" t="n"/>
      <c r="F693" s="227" t="n"/>
      <c r="G693" s="227" t="n"/>
      <c r="H693" s="227" t="n"/>
      <c r="I693" s="227" t="n"/>
      <c r="J693" s="227" t="n"/>
      <c r="K693" s="227" t="n"/>
      <c r="L693" s="227" t="n"/>
      <c r="M693" s="227" t="n"/>
      <c r="N693" s="127" t="n"/>
      <c r="O693" s="227" t="n"/>
      <c r="P693" s="227" t="n"/>
      <c r="Q693" s="227" t="n"/>
      <c r="R693" s="227" t="n"/>
      <c r="S693" s="227" t="n"/>
      <c r="T693" s="227" t="n"/>
    </row>
    <row r="694">
      <c r="A694" s="145">
        <f>IF($B694="","",ROW()-5)</f>
        <v/>
      </c>
      <c r="B694" s="127" t="n"/>
      <c r="C694" s="223" t="n"/>
      <c r="D694" s="127" t="n"/>
      <c r="E694" s="227" t="n"/>
      <c r="F694" s="227" t="n"/>
      <c r="G694" s="227" t="n"/>
      <c r="H694" s="227" t="n"/>
      <c r="I694" s="227" t="n"/>
      <c r="J694" s="227" t="n"/>
      <c r="K694" s="227" t="n"/>
      <c r="L694" s="227" t="n"/>
      <c r="M694" s="227" t="n"/>
      <c r="N694" s="127" t="n"/>
      <c r="O694" s="227" t="n"/>
      <c r="P694" s="227" t="n"/>
      <c r="Q694" s="227" t="n"/>
      <c r="R694" s="227" t="n"/>
      <c r="S694" s="227" t="n"/>
      <c r="T694" s="227" t="n"/>
    </row>
    <row r="695">
      <c r="A695" s="145">
        <f>IF($B695="","",ROW()-5)</f>
        <v/>
      </c>
      <c r="B695" s="127" t="n"/>
      <c r="C695" s="223" t="n"/>
      <c r="D695" s="127" t="n"/>
      <c r="E695" s="227" t="n"/>
      <c r="F695" s="227" t="n"/>
      <c r="G695" s="227" t="n"/>
      <c r="H695" s="227" t="n"/>
      <c r="I695" s="227" t="n"/>
      <c r="J695" s="227" t="n"/>
      <c r="K695" s="227" t="n"/>
      <c r="L695" s="227" t="n"/>
      <c r="M695" s="227" t="n"/>
      <c r="N695" s="127" t="n"/>
      <c r="O695" s="227" t="n"/>
      <c r="P695" s="227" t="n"/>
      <c r="Q695" s="227" t="n"/>
      <c r="R695" s="227" t="n"/>
      <c r="S695" s="227" t="n"/>
      <c r="T695" s="227" t="n"/>
    </row>
    <row r="696">
      <c r="A696" s="145">
        <f>IF($B696="","",ROW()-5)</f>
        <v/>
      </c>
      <c r="B696" s="127" t="n"/>
      <c r="C696" s="223" t="n"/>
      <c r="D696" s="127" t="n"/>
      <c r="E696" s="227" t="n"/>
      <c r="F696" s="227" t="n"/>
      <c r="G696" s="227" t="n"/>
      <c r="H696" s="227" t="n"/>
      <c r="I696" s="227" t="n"/>
      <c r="J696" s="227" t="n"/>
      <c r="K696" s="227" t="n"/>
      <c r="L696" s="227" t="n"/>
      <c r="M696" s="227" t="n"/>
      <c r="N696" s="127" t="n"/>
      <c r="O696" s="227" t="n"/>
      <c r="P696" s="227" t="n"/>
      <c r="Q696" s="227" t="n"/>
      <c r="R696" s="227" t="n"/>
      <c r="S696" s="227" t="n"/>
      <c r="T696" s="227" t="n"/>
    </row>
    <row r="697">
      <c r="A697" s="145">
        <f>IF($B697="","",ROW()-5)</f>
        <v/>
      </c>
      <c r="B697" s="127" t="n"/>
      <c r="C697" s="223" t="n"/>
      <c r="D697" s="127" t="n"/>
      <c r="E697" s="227" t="n"/>
      <c r="F697" s="227" t="n"/>
      <c r="G697" s="227" t="n"/>
      <c r="H697" s="227" t="n"/>
      <c r="I697" s="227" t="n"/>
      <c r="J697" s="227" t="n"/>
      <c r="K697" s="227" t="n"/>
      <c r="L697" s="227" t="n"/>
      <c r="M697" s="227" t="n"/>
      <c r="N697" s="127" t="n"/>
      <c r="O697" s="227" t="n"/>
      <c r="P697" s="227" t="n"/>
      <c r="Q697" s="227" t="n"/>
      <c r="R697" s="227" t="n"/>
      <c r="S697" s="227" t="n"/>
      <c r="T697" s="227" t="n"/>
    </row>
    <row r="698">
      <c r="A698" s="145">
        <f>IF($B698="","",ROW()-5)</f>
        <v/>
      </c>
      <c r="B698" s="127" t="n"/>
      <c r="C698" s="223" t="n"/>
      <c r="D698" s="127" t="n"/>
      <c r="E698" s="227" t="n"/>
      <c r="F698" s="227" t="n"/>
      <c r="G698" s="227" t="n"/>
      <c r="H698" s="227" t="n"/>
      <c r="I698" s="227" t="n"/>
      <c r="J698" s="227" t="n"/>
      <c r="K698" s="227" t="n"/>
      <c r="L698" s="227" t="n"/>
      <c r="M698" s="227" t="n"/>
      <c r="N698" s="127" t="n"/>
      <c r="O698" s="227" t="n"/>
      <c r="P698" s="227" t="n"/>
      <c r="Q698" s="227" t="n"/>
      <c r="R698" s="227" t="n"/>
      <c r="S698" s="227" t="n"/>
      <c r="T698" s="227" t="n"/>
    </row>
    <row r="699">
      <c r="A699" s="145">
        <f>IF($B699="","",ROW()-5)</f>
        <v/>
      </c>
      <c r="B699" s="127" t="n"/>
      <c r="C699" s="223" t="n"/>
      <c r="D699" s="127" t="n"/>
      <c r="E699" s="227" t="n"/>
      <c r="F699" s="227" t="n"/>
      <c r="G699" s="227" t="n"/>
      <c r="H699" s="227" t="n"/>
      <c r="I699" s="227" t="n"/>
      <c r="J699" s="227" t="n"/>
      <c r="K699" s="227" t="n"/>
      <c r="L699" s="227" t="n"/>
      <c r="M699" s="227" t="n"/>
      <c r="N699" s="127" t="n"/>
      <c r="O699" s="227" t="n"/>
      <c r="P699" s="227" t="n"/>
      <c r="Q699" s="227" t="n"/>
      <c r="R699" s="227" t="n"/>
      <c r="S699" s="227" t="n"/>
      <c r="T699" s="227" t="n"/>
    </row>
    <row r="700">
      <c r="A700" s="145">
        <f>IF($B700="","",ROW()-5)</f>
        <v/>
      </c>
      <c r="B700" s="127" t="n"/>
      <c r="C700" s="223" t="n"/>
      <c r="D700" s="127" t="n"/>
      <c r="E700" s="227" t="n"/>
      <c r="F700" s="227" t="n"/>
      <c r="G700" s="227" t="n"/>
      <c r="H700" s="227" t="n"/>
      <c r="I700" s="227" t="n"/>
      <c r="J700" s="227" t="n"/>
      <c r="K700" s="227" t="n"/>
      <c r="L700" s="227" t="n"/>
      <c r="M700" s="227" t="n"/>
      <c r="N700" s="127" t="n"/>
      <c r="O700" s="227" t="n"/>
      <c r="P700" s="227" t="n"/>
      <c r="Q700" s="227" t="n"/>
      <c r="R700" s="227" t="n"/>
      <c r="S700" s="227" t="n"/>
      <c r="T700" s="227" t="n"/>
    </row>
    <row r="701">
      <c r="A701" s="145">
        <f>IF($B701="","",ROW()-5)</f>
        <v/>
      </c>
      <c r="B701" s="127" t="n"/>
      <c r="C701" s="223" t="n"/>
      <c r="D701" s="127" t="n"/>
      <c r="E701" s="227" t="n"/>
      <c r="F701" s="227" t="n"/>
      <c r="G701" s="227" t="n"/>
      <c r="H701" s="227" t="n"/>
      <c r="I701" s="227" t="n"/>
      <c r="J701" s="227" t="n"/>
      <c r="K701" s="227" t="n"/>
      <c r="L701" s="227" t="n"/>
      <c r="M701" s="227" t="n"/>
      <c r="N701" s="127" t="n"/>
      <c r="O701" s="227" t="n"/>
      <c r="P701" s="227" t="n"/>
      <c r="Q701" s="227" t="n"/>
      <c r="R701" s="227" t="n"/>
      <c r="S701" s="227" t="n"/>
      <c r="T701" s="227" t="n"/>
    </row>
    <row r="702">
      <c r="A702" s="145">
        <f>IF($B702="","",ROW()-5)</f>
        <v/>
      </c>
      <c r="B702" s="127" t="n"/>
      <c r="C702" s="223" t="n"/>
      <c r="D702" s="127" t="n"/>
      <c r="E702" s="227" t="n"/>
      <c r="F702" s="227" t="n"/>
      <c r="G702" s="227" t="n"/>
      <c r="H702" s="227" t="n"/>
      <c r="I702" s="227" t="n"/>
      <c r="J702" s="227" t="n"/>
      <c r="K702" s="227" t="n"/>
      <c r="L702" s="227" t="n"/>
      <c r="M702" s="227" t="n"/>
      <c r="N702" s="127" t="n"/>
      <c r="O702" s="227" t="n"/>
      <c r="P702" s="227" t="n"/>
      <c r="Q702" s="227" t="n"/>
      <c r="R702" s="227" t="n"/>
      <c r="S702" s="227" t="n"/>
      <c r="T702" s="227" t="n"/>
    </row>
    <row r="703">
      <c r="A703" s="145">
        <f>IF($B703="","",ROW()-5)</f>
        <v/>
      </c>
      <c r="B703" s="127" t="n"/>
      <c r="C703" s="223" t="n"/>
      <c r="D703" s="127" t="n"/>
      <c r="E703" s="227" t="n"/>
      <c r="F703" s="227" t="n"/>
      <c r="G703" s="227" t="n"/>
      <c r="H703" s="227" t="n"/>
      <c r="I703" s="227" t="n"/>
      <c r="J703" s="227" t="n"/>
      <c r="K703" s="227" t="n"/>
      <c r="L703" s="227" t="n"/>
      <c r="M703" s="227" t="n"/>
      <c r="N703" s="127" t="n"/>
      <c r="O703" s="227" t="n"/>
      <c r="P703" s="227" t="n"/>
      <c r="Q703" s="227" t="n"/>
      <c r="R703" s="227" t="n"/>
      <c r="S703" s="227" t="n"/>
      <c r="T703" s="227" t="n"/>
    </row>
    <row r="704">
      <c r="A704" s="145">
        <f>IF($B704="","",ROW()-5)</f>
        <v/>
      </c>
      <c r="B704" s="127" t="n"/>
      <c r="C704" s="223" t="n"/>
      <c r="D704" s="127" t="n"/>
      <c r="E704" s="227" t="n"/>
      <c r="F704" s="227" t="n"/>
      <c r="G704" s="227" t="n"/>
      <c r="H704" s="227" t="n"/>
      <c r="I704" s="227" t="n"/>
      <c r="J704" s="227" t="n"/>
      <c r="K704" s="227" t="n"/>
      <c r="L704" s="227" t="n"/>
      <c r="M704" s="227" t="n"/>
      <c r="N704" s="127" t="n"/>
      <c r="O704" s="227" t="n"/>
      <c r="P704" s="227" t="n"/>
      <c r="Q704" s="227" t="n"/>
      <c r="R704" s="227" t="n"/>
      <c r="S704" s="227" t="n"/>
      <c r="T704" s="227" t="n"/>
    </row>
    <row r="705">
      <c r="A705" s="145">
        <f>IF($B705="","",ROW()-5)</f>
        <v/>
      </c>
      <c r="B705" s="127" t="n"/>
      <c r="C705" s="223" t="n"/>
      <c r="D705" s="127" t="n"/>
      <c r="E705" s="227" t="n"/>
      <c r="F705" s="227" t="n"/>
      <c r="G705" s="227" t="n"/>
      <c r="H705" s="227" t="n"/>
      <c r="I705" s="227" t="n"/>
      <c r="J705" s="227" t="n"/>
      <c r="K705" s="227" t="n"/>
      <c r="L705" s="227" t="n"/>
      <c r="M705" s="227" t="n"/>
      <c r="N705" s="127" t="n"/>
      <c r="O705" s="227" t="n"/>
      <c r="P705" s="227" t="n"/>
      <c r="Q705" s="227" t="n"/>
      <c r="R705" s="227" t="n"/>
      <c r="S705" s="227" t="n"/>
      <c r="T705" s="227" t="n"/>
    </row>
    <row r="706">
      <c r="A706" s="145">
        <f>IF($B706="","",ROW()-5)</f>
        <v/>
      </c>
      <c r="B706" s="127" t="n"/>
      <c r="C706" s="223" t="n"/>
      <c r="D706" s="127" t="n"/>
      <c r="E706" s="227" t="n"/>
      <c r="F706" s="227" t="n"/>
      <c r="G706" s="227" t="n"/>
      <c r="H706" s="227" t="n"/>
      <c r="I706" s="227" t="n"/>
      <c r="J706" s="227" t="n"/>
      <c r="K706" s="227" t="n"/>
      <c r="L706" s="227" t="n"/>
      <c r="M706" s="227" t="n"/>
      <c r="N706" s="127" t="n"/>
      <c r="O706" s="227" t="n"/>
      <c r="P706" s="227" t="n"/>
      <c r="Q706" s="227" t="n"/>
      <c r="R706" s="227" t="n"/>
      <c r="S706" s="227" t="n"/>
      <c r="T706" s="227" t="n"/>
    </row>
    <row r="707">
      <c r="A707" s="145">
        <f>IF($B707="","",ROW()-5)</f>
        <v/>
      </c>
      <c r="B707" s="127" t="n"/>
      <c r="C707" s="223" t="n"/>
      <c r="D707" s="127" t="n"/>
      <c r="E707" s="227" t="n"/>
      <c r="F707" s="227" t="n"/>
      <c r="G707" s="227" t="n"/>
      <c r="H707" s="227" t="n"/>
      <c r="I707" s="227" t="n"/>
      <c r="J707" s="227" t="n"/>
      <c r="K707" s="227" t="n"/>
      <c r="L707" s="227" t="n"/>
      <c r="M707" s="227" t="n"/>
      <c r="N707" s="127" t="n"/>
      <c r="O707" s="227" t="n"/>
      <c r="P707" s="227" t="n"/>
      <c r="Q707" s="227" t="n"/>
      <c r="R707" s="227" t="n"/>
      <c r="S707" s="227" t="n"/>
      <c r="T707" s="227" t="n"/>
    </row>
    <row r="708">
      <c r="A708" s="145">
        <f>IF($B708="","",ROW()-5)</f>
        <v/>
      </c>
      <c r="B708" s="127" t="n"/>
      <c r="C708" s="223" t="n"/>
      <c r="D708" s="127" t="n"/>
      <c r="E708" s="227" t="n"/>
      <c r="F708" s="227" t="n"/>
      <c r="G708" s="227" t="n"/>
      <c r="H708" s="227" t="n"/>
      <c r="I708" s="227" t="n"/>
      <c r="J708" s="227" t="n"/>
      <c r="K708" s="227" t="n"/>
      <c r="L708" s="227" t="n"/>
      <c r="M708" s="227" t="n"/>
      <c r="N708" s="127" t="n"/>
      <c r="O708" s="227" t="n"/>
      <c r="P708" s="227" t="n"/>
      <c r="Q708" s="227" t="n"/>
      <c r="R708" s="227" t="n"/>
      <c r="S708" s="227" t="n"/>
      <c r="T708" s="227" t="n"/>
    </row>
    <row r="709">
      <c r="A709" s="145">
        <f>IF($B709="","",ROW()-5)</f>
        <v/>
      </c>
      <c r="B709" s="127" t="n"/>
      <c r="C709" s="223" t="n"/>
      <c r="D709" s="127" t="n"/>
      <c r="E709" s="227" t="n"/>
      <c r="F709" s="227" t="n"/>
      <c r="G709" s="227" t="n"/>
      <c r="H709" s="227" t="n"/>
      <c r="I709" s="227" t="n"/>
      <c r="J709" s="227" t="n"/>
      <c r="K709" s="227" t="n"/>
      <c r="L709" s="227" t="n"/>
      <c r="M709" s="227" t="n"/>
      <c r="N709" s="127" t="n"/>
      <c r="O709" s="227" t="n"/>
      <c r="P709" s="227" t="n"/>
      <c r="Q709" s="227" t="n"/>
      <c r="R709" s="227" t="n"/>
      <c r="S709" s="227" t="n"/>
      <c r="T709" s="227" t="n"/>
    </row>
    <row r="710">
      <c r="A710" s="145">
        <f>IF($B710="","",ROW()-5)</f>
        <v/>
      </c>
      <c r="B710" s="127" t="n"/>
      <c r="C710" s="223" t="n"/>
      <c r="D710" s="127" t="n"/>
      <c r="E710" s="227" t="n"/>
      <c r="F710" s="227" t="n"/>
      <c r="G710" s="227" t="n"/>
      <c r="H710" s="227" t="n"/>
      <c r="I710" s="227" t="n"/>
      <c r="J710" s="227" t="n"/>
      <c r="K710" s="227" t="n"/>
      <c r="L710" s="227" t="n"/>
      <c r="M710" s="227" t="n"/>
      <c r="N710" s="127" t="n"/>
      <c r="O710" s="227" t="n"/>
      <c r="P710" s="227" t="n"/>
      <c r="Q710" s="227" t="n"/>
      <c r="R710" s="227" t="n"/>
      <c r="S710" s="227" t="n"/>
      <c r="T710" s="227" t="n"/>
    </row>
    <row r="711">
      <c r="A711" s="145">
        <f>IF($B711="","",ROW()-5)</f>
        <v/>
      </c>
      <c r="B711" s="127" t="n"/>
      <c r="C711" s="223" t="n"/>
      <c r="D711" s="127" t="n"/>
      <c r="E711" s="227" t="n"/>
      <c r="F711" s="227" t="n"/>
      <c r="G711" s="227" t="n"/>
      <c r="H711" s="227" t="n"/>
      <c r="I711" s="227" t="n"/>
      <c r="J711" s="227" t="n"/>
      <c r="K711" s="227" t="n"/>
      <c r="L711" s="227" t="n"/>
      <c r="M711" s="227" t="n"/>
      <c r="N711" s="127" t="n"/>
      <c r="O711" s="227" t="n"/>
      <c r="P711" s="227" t="n"/>
      <c r="Q711" s="227" t="n"/>
      <c r="R711" s="227" t="n"/>
      <c r="S711" s="227" t="n"/>
      <c r="T711" s="227" t="n"/>
    </row>
    <row r="712">
      <c r="A712" s="145">
        <f>IF($B712="","",ROW()-5)</f>
        <v/>
      </c>
      <c r="B712" s="127" t="n"/>
      <c r="C712" s="223" t="n"/>
      <c r="D712" s="127" t="n"/>
      <c r="E712" s="227" t="n"/>
      <c r="F712" s="227" t="n"/>
      <c r="G712" s="227" t="n"/>
      <c r="H712" s="227" t="n"/>
      <c r="I712" s="227" t="n"/>
      <c r="J712" s="227" t="n"/>
      <c r="K712" s="227" t="n"/>
      <c r="L712" s="227" t="n"/>
      <c r="M712" s="227" t="n"/>
      <c r="N712" s="127" t="n"/>
      <c r="O712" s="227" t="n"/>
      <c r="P712" s="227" t="n"/>
      <c r="Q712" s="227" t="n"/>
      <c r="R712" s="227" t="n"/>
      <c r="S712" s="227" t="n"/>
      <c r="T712" s="227" t="n"/>
    </row>
    <row r="713">
      <c r="A713" s="145">
        <f>IF($B713="","",ROW()-5)</f>
        <v/>
      </c>
      <c r="B713" s="127" t="n"/>
      <c r="C713" s="223" t="n"/>
      <c r="D713" s="127" t="n"/>
      <c r="E713" s="227" t="n"/>
      <c r="F713" s="227" t="n"/>
      <c r="G713" s="227" t="n"/>
      <c r="H713" s="227" t="n"/>
      <c r="I713" s="227" t="n"/>
      <c r="J713" s="227" t="n"/>
      <c r="K713" s="227" t="n"/>
      <c r="L713" s="227" t="n"/>
      <c r="M713" s="227" t="n"/>
      <c r="N713" s="127" t="n"/>
      <c r="O713" s="227" t="n"/>
      <c r="P713" s="227" t="n"/>
      <c r="Q713" s="227" t="n"/>
      <c r="R713" s="227" t="n"/>
      <c r="S713" s="227" t="n"/>
      <c r="T713" s="227" t="n"/>
    </row>
    <row r="714">
      <c r="A714" s="145">
        <f>IF($B714="","",ROW()-5)</f>
        <v/>
      </c>
      <c r="B714" s="127" t="n"/>
      <c r="C714" s="223" t="n"/>
      <c r="D714" s="127" t="n"/>
      <c r="E714" s="227" t="n"/>
      <c r="F714" s="227" t="n"/>
      <c r="G714" s="227" t="n"/>
      <c r="H714" s="227" t="n"/>
      <c r="I714" s="227" t="n"/>
      <c r="J714" s="227" t="n"/>
      <c r="K714" s="227" t="n"/>
      <c r="L714" s="227" t="n"/>
      <c r="M714" s="227" t="n"/>
      <c r="N714" s="127" t="n"/>
      <c r="O714" s="227" t="n"/>
      <c r="P714" s="227" t="n"/>
      <c r="Q714" s="227" t="n"/>
      <c r="R714" s="227" t="n"/>
      <c r="S714" s="227" t="n"/>
      <c r="T714" s="227" t="n"/>
    </row>
    <row r="715">
      <c r="A715" s="145">
        <f>IF($B715="","",ROW()-5)</f>
        <v/>
      </c>
      <c r="B715" s="127" t="n"/>
      <c r="C715" s="223" t="n"/>
      <c r="D715" s="127" t="n"/>
      <c r="E715" s="227" t="n"/>
      <c r="F715" s="227" t="n"/>
      <c r="G715" s="227" t="n"/>
      <c r="H715" s="227" t="n"/>
      <c r="I715" s="227" t="n"/>
      <c r="J715" s="227" t="n"/>
      <c r="K715" s="227" t="n"/>
      <c r="L715" s="227" t="n"/>
      <c r="M715" s="227" t="n"/>
      <c r="N715" s="127" t="n"/>
      <c r="O715" s="227" t="n"/>
      <c r="P715" s="227" t="n"/>
      <c r="Q715" s="227" t="n"/>
      <c r="R715" s="227" t="n"/>
      <c r="S715" s="227" t="n"/>
      <c r="T715" s="227" t="n"/>
    </row>
    <row r="716">
      <c r="A716" s="145">
        <f>IF($B716="","",ROW()-5)</f>
        <v/>
      </c>
      <c r="B716" s="127" t="n"/>
      <c r="C716" s="223" t="n"/>
      <c r="D716" s="127" t="n"/>
      <c r="E716" s="227" t="n"/>
      <c r="F716" s="227" t="n"/>
      <c r="G716" s="227" t="n"/>
      <c r="H716" s="227" t="n"/>
      <c r="I716" s="227" t="n"/>
      <c r="J716" s="227" t="n"/>
      <c r="K716" s="227" t="n"/>
      <c r="L716" s="227" t="n"/>
      <c r="M716" s="227" t="n"/>
      <c r="N716" s="127" t="n"/>
      <c r="O716" s="227" t="n"/>
      <c r="P716" s="227" t="n"/>
      <c r="Q716" s="227" t="n"/>
      <c r="R716" s="227" t="n"/>
      <c r="S716" s="227" t="n"/>
      <c r="T716" s="227" t="n"/>
    </row>
    <row r="717">
      <c r="A717" s="145">
        <f>IF($B717="","",ROW()-5)</f>
        <v/>
      </c>
      <c r="B717" s="127" t="n"/>
      <c r="C717" s="223" t="n"/>
      <c r="D717" s="127" t="n"/>
      <c r="E717" s="227" t="n"/>
      <c r="F717" s="227" t="n"/>
      <c r="G717" s="227" t="n"/>
      <c r="H717" s="227" t="n"/>
      <c r="I717" s="227" t="n"/>
      <c r="J717" s="227" t="n"/>
      <c r="K717" s="227" t="n"/>
      <c r="L717" s="227" t="n"/>
      <c r="M717" s="227" t="n"/>
      <c r="N717" s="127" t="n"/>
      <c r="O717" s="227" t="n"/>
      <c r="P717" s="227" t="n"/>
      <c r="Q717" s="227" t="n"/>
      <c r="R717" s="227" t="n"/>
      <c r="S717" s="227" t="n"/>
      <c r="T717" s="227" t="n"/>
    </row>
    <row r="718">
      <c r="A718" s="145">
        <f>IF($B718="","",ROW()-5)</f>
        <v/>
      </c>
      <c r="B718" s="127" t="n"/>
      <c r="C718" s="223" t="n"/>
      <c r="D718" s="127" t="n"/>
      <c r="E718" s="227" t="n"/>
      <c r="F718" s="227" t="n"/>
      <c r="G718" s="227" t="n"/>
      <c r="H718" s="227" t="n"/>
      <c r="I718" s="227" t="n"/>
      <c r="J718" s="227" t="n"/>
      <c r="K718" s="227" t="n"/>
      <c r="L718" s="227" t="n"/>
      <c r="M718" s="227" t="n"/>
      <c r="N718" s="127" t="n"/>
      <c r="O718" s="227" t="n"/>
      <c r="P718" s="227" t="n"/>
      <c r="Q718" s="227" t="n"/>
      <c r="R718" s="227" t="n"/>
      <c r="S718" s="227" t="n"/>
      <c r="T718" s="227" t="n"/>
    </row>
    <row r="719">
      <c r="A719" s="145">
        <f>IF($B719="","",ROW()-5)</f>
        <v/>
      </c>
      <c r="B719" s="127" t="n"/>
      <c r="C719" s="223" t="n"/>
      <c r="D719" s="127" t="n"/>
      <c r="E719" s="227" t="n"/>
      <c r="F719" s="227" t="n"/>
      <c r="G719" s="227" t="n"/>
      <c r="H719" s="227" t="n"/>
      <c r="I719" s="227" t="n"/>
      <c r="J719" s="227" t="n"/>
      <c r="K719" s="227" t="n"/>
      <c r="L719" s="227" t="n"/>
      <c r="M719" s="227" t="n"/>
      <c r="N719" s="127" t="n"/>
      <c r="O719" s="227" t="n"/>
      <c r="P719" s="227" t="n"/>
      <c r="Q719" s="227" t="n"/>
      <c r="R719" s="227" t="n"/>
      <c r="S719" s="227" t="n"/>
      <c r="T719" s="227" t="n"/>
    </row>
    <row r="720">
      <c r="A720" s="145">
        <f>IF($B720="","",ROW()-5)</f>
        <v/>
      </c>
      <c r="B720" s="127" t="n"/>
      <c r="C720" s="223" t="n"/>
      <c r="D720" s="127" t="n"/>
      <c r="E720" s="227" t="n"/>
      <c r="F720" s="227" t="n"/>
      <c r="G720" s="227" t="n"/>
      <c r="H720" s="227" t="n"/>
      <c r="I720" s="227" t="n"/>
      <c r="J720" s="227" t="n"/>
      <c r="K720" s="227" t="n"/>
      <c r="L720" s="227" t="n"/>
      <c r="M720" s="227" t="n"/>
      <c r="N720" s="127" t="n"/>
      <c r="O720" s="227" t="n"/>
      <c r="P720" s="227" t="n"/>
      <c r="Q720" s="227" t="n"/>
      <c r="R720" s="227" t="n"/>
      <c r="S720" s="227" t="n"/>
      <c r="T720" s="227" t="n"/>
    </row>
    <row r="721">
      <c r="A721" s="145">
        <f>IF($B721="","",ROW()-5)</f>
        <v/>
      </c>
      <c r="B721" s="127" t="n"/>
      <c r="C721" s="223" t="n"/>
      <c r="D721" s="127" t="n"/>
      <c r="E721" s="227" t="n"/>
      <c r="F721" s="227" t="n"/>
      <c r="G721" s="227" t="n"/>
      <c r="H721" s="227" t="n"/>
      <c r="I721" s="227" t="n"/>
      <c r="J721" s="227" t="n"/>
      <c r="K721" s="227" t="n"/>
      <c r="L721" s="227" t="n"/>
      <c r="M721" s="227" t="n"/>
      <c r="N721" s="127" t="n"/>
      <c r="O721" s="227" t="n"/>
      <c r="P721" s="227" t="n"/>
      <c r="Q721" s="227" t="n"/>
      <c r="R721" s="227" t="n"/>
      <c r="S721" s="227" t="n"/>
      <c r="T721" s="227" t="n"/>
    </row>
    <row r="722">
      <c r="A722" s="145">
        <f>IF($B722="","",ROW()-5)</f>
        <v/>
      </c>
      <c r="B722" s="127" t="n"/>
      <c r="C722" s="223" t="n"/>
      <c r="D722" s="127" t="n"/>
      <c r="E722" s="227" t="n"/>
      <c r="F722" s="227" t="n"/>
      <c r="G722" s="227" t="n"/>
      <c r="H722" s="227" t="n"/>
      <c r="I722" s="227" t="n"/>
      <c r="J722" s="227" t="n"/>
      <c r="K722" s="227" t="n"/>
      <c r="L722" s="227" t="n"/>
      <c r="M722" s="227" t="n"/>
      <c r="N722" s="127" t="n"/>
      <c r="O722" s="227" t="n"/>
      <c r="P722" s="227" t="n"/>
      <c r="Q722" s="227" t="n"/>
      <c r="R722" s="227" t="n"/>
      <c r="S722" s="227" t="n"/>
      <c r="T722" s="227" t="n"/>
    </row>
    <row r="723">
      <c r="A723" s="145">
        <f>IF($B723="","",ROW()-5)</f>
        <v/>
      </c>
      <c r="B723" s="127" t="n"/>
      <c r="C723" s="223" t="n"/>
      <c r="D723" s="127" t="n"/>
      <c r="E723" s="227" t="n"/>
      <c r="F723" s="227" t="n"/>
      <c r="G723" s="227" t="n"/>
      <c r="H723" s="227" t="n"/>
      <c r="I723" s="227" t="n"/>
      <c r="J723" s="227" t="n"/>
      <c r="K723" s="227" t="n"/>
      <c r="L723" s="227" t="n"/>
      <c r="M723" s="227" t="n"/>
      <c r="N723" s="127" t="n"/>
      <c r="O723" s="227" t="n"/>
      <c r="P723" s="227" t="n"/>
      <c r="Q723" s="227" t="n"/>
      <c r="R723" s="227" t="n"/>
      <c r="S723" s="227" t="n"/>
      <c r="T723" s="227" t="n"/>
    </row>
    <row r="724">
      <c r="A724" s="145">
        <f>IF($B724="","",ROW()-5)</f>
        <v/>
      </c>
      <c r="B724" s="127" t="n"/>
      <c r="C724" s="223" t="n"/>
      <c r="D724" s="127" t="n"/>
      <c r="E724" s="227" t="n"/>
      <c r="F724" s="227" t="n"/>
      <c r="G724" s="227" t="n"/>
      <c r="H724" s="227" t="n"/>
      <c r="I724" s="227" t="n"/>
      <c r="J724" s="227" t="n"/>
      <c r="K724" s="227" t="n"/>
      <c r="L724" s="227" t="n"/>
      <c r="M724" s="227" t="n"/>
      <c r="N724" s="127" t="n"/>
      <c r="O724" s="227" t="n"/>
      <c r="P724" s="227" t="n"/>
      <c r="Q724" s="227" t="n"/>
      <c r="R724" s="227" t="n"/>
      <c r="S724" s="227" t="n"/>
      <c r="T724" s="227" t="n"/>
    </row>
    <row r="725">
      <c r="A725" s="145">
        <f>IF($B725="","",ROW()-5)</f>
        <v/>
      </c>
      <c r="B725" s="127" t="n"/>
      <c r="C725" s="223" t="n"/>
      <c r="D725" s="127" t="n"/>
      <c r="E725" s="227" t="n"/>
      <c r="F725" s="227" t="n"/>
      <c r="G725" s="227" t="n"/>
      <c r="H725" s="227" t="n"/>
      <c r="I725" s="227" t="n"/>
      <c r="J725" s="227" t="n"/>
      <c r="K725" s="227" t="n"/>
      <c r="L725" s="227" t="n"/>
      <c r="M725" s="227" t="n"/>
      <c r="N725" s="127" t="n"/>
      <c r="O725" s="227" t="n"/>
      <c r="P725" s="227" t="n"/>
      <c r="Q725" s="227" t="n"/>
      <c r="R725" s="227" t="n"/>
      <c r="S725" s="227" t="n"/>
      <c r="T725" s="227" t="n"/>
    </row>
    <row r="726">
      <c r="A726" s="145">
        <f>IF($B726="","",ROW()-5)</f>
        <v/>
      </c>
      <c r="B726" s="127" t="n"/>
      <c r="C726" s="223" t="n"/>
      <c r="D726" s="127" t="n"/>
      <c r="E726" s="227" t="n"/>
      <c r="F726" s="227" t="n"/>
      <c r="G726" s="227" t="n"/>
      <c r="H726" s="227" t="n"/>
      <c r="I726" s="227" t="n"/>
      <c r="J726" s="227" t="n"/>
      <c r="K726" s="227" t="n"/>
      <c r="L726" s="227" t="n"/>
      <c r="M726" s="227" t="n"/>
      <c r="N726" s="127" t="n"/>
      <c r="O726" s="227" t="n"/>
      <c r="P726" s="227" t="n"/>
      <c r="Q726" s="227" t="n"/>
      <c r="R726" s="227" t="n"/>
      <c r="S726" s="227" t="n"/>
      <c r="T726" s="227" t="n"/>
    </row>
    <row r="727">
      <c r="A727" s="145">
        <f>IF($B727="","",ROW()-5)</f>
        <v/>
      </c>
      <c r="B727" s="127" t="n"/>
      <c r="C727" s="223" t="n"/>
      <c r="D727" s="127" t="n"/>
      <c r="E727" s="227" t="n"/>
      <c r="F727" s="227" t="n"/>
      <c r="G727" s="227" t="n"/>
      <c r="H727" s="227" t="n"/>
      <c r="I727" s="227" t="n"/>
      <c r="J727" s="227" t="n"/>
      <c r="K727" s="227" t="n"/>
      <c r="L727" s="227" t="n"/>
      <c r="M727" s="227" t="n"/>
      <c r="N727" s="127" t="n"/>
      <c r="O727" s="227" t="n"/>
      <c r="P727" s="227" t="n"/>
      <c r="Q727" s="227" t="n"/>
      <c r="R727" s="227" t="n"/>
      <c r="S727" s="227" t="n"/>
      <c r="T727" s="227" t="n"/>
    </row>
    <row r="728">
      <c r="A728" s="145">
        <f>IF($B728="","",ROW()-5)</f>
        <v/>
      </c>
      <c r="B728" s="127" t="n"/>
      <c r="C728" s="223" t="n"/>
      <c r="D728" s="127" t="n"/>
      <c r="E728" s="227" t="n"/>
      <c r="F728" s="227" t="n"/>
      <c r="G728" s="227" t="n"/>
      <c r="H728" s="227" t="n"/>
      <c r="I728" s="227" t="n"/>
      <c r="J728" s="227" t="n"/>
      <c r="K728" s="227" t="n"/>
      <c r="L728" s="227" t="n"/>
      <c r="M728" s="227" t="n"/>
      <c r="N728" s="127" t="n"/>
      <c r="O728" s="227" t="n"/>
      <c r="P728" s="227" t="n"/>
      <c r="Q728" s="227" t="n"/>
      <c r="R728" s="227" t="n"/>
      <c r="S728" s="227" t="n"/>
      <c r="T728" s="227" t="n"/>
    </row>
    <row r="729">
      <c r="A729" s="145">
        <f>IF($B729="","",ROW()-5)</f>
        <v/>
      </c>
      <c r="B729" s="127" t="n"/>
      <c r="C729" s="223" t="n"/>
      <c r="D729" s="127" t="n"/>
      <c r="E729" s="227" t="n"/>
      <c r="F729" s="227" t="n"/>
      <c r="G729" s="227" t="n"/>
      <c r="H729" s="227" t="n"/>
      <c r="I729" s="227" t="n"/>
      <c r="J729" s="227" t="n"/>
      <c r="K729" s="227" t="n"/>
      <c r="L729" s="227" t="n"/>
      <c r="M729" s="227" t="n"/>
      <c r="N729" s="127" t="n"/>
      <c r="O729" s="227" t="n"/>
      <c r="P729" s="227" t="n"/>
      <c r="Q729" s="227" t="n"/>
      <c r="R729" s="227" t="n"/>
      <c r="S729" s="227" t="n"/>
      <c r="T729" s="227" t="n"/>
    </row>
    <row r="730">
      <c r="A730" s="145">
        <f>IF($B730="","",ROW()-5)</f>
        <v/>
      </c>
      <c r="B730" s="127" t="n"/>
      <c r="C730" s="223" t="n"/>
      <c r="D730" s="127" t="n"/>
      <c r="E730" s="227" t="n"/>
      <c r="F730" s="227" t="n"/>
      <c r="G730" s="227" t="n"/>
      <c r="H730" s="227" t="n"/>
      <c r="I730" s="227" t="n"/>
      <c r="J730" s="227" t="n"/>
      <c r="K730" s="227" t="n"/>
      <c r="L730" s="227" t="n"/>
      <c r="M730" s="227" t="n"/>
      <c r="N730" s="127" t="n"/>
      <c r="O730" s="227" t="n"/>
      <c r="P730" s="227" t="n"/>
      <c r="Q730" s="227" t="n"/>
      <c r="R730" s="227" t="n"/>
      <c r="S730" s="227" t="n"/>
      <c r="T730" s="227" t="n"/>
    </row>
    <row r="731">
      <c r="A731" s="145">
        <f>IF($B731="","",ROW()-5)</f>
        <v/>
      </c>
      <c r="B731" s="127" t="n"/>
      <c r="C731" s="223" t="n"/>
      <c r="D731" s="127" t="n"/>
      <c r="E731" s="227" t="n"/>
      <c r="F731" s="227" t="n"/>
      <c r="G731" s="227" t="n"/>
      <c r="H731" s="227" t="n"/>
      <c r="I731" s="227" t="n"/>
      <c r="J731" s="227" t="n"/>
      <c r="K731" s="227" t="n"/>
      <c r="L731" s="227" t="n"/>
      <c r="M731" s="227" t="n"/>
      <c r="N731" s="127" t="n"/>
      <c r="O731" s="227" t="n"/>
      <c r="P731" s="227" t="n"/>
      <c r="Q731" s="227" t="n"/>
      <c r="R731" s="227" t="n"/>
      <c r="S731" s="227" t="n"/>
      <c r="T731" s="227" t="n"/>
    </row>
    <row r="732">
      <c r="A732" s="145">
        <f>IF($B732="","",ROW()-5)</f>
        <v/>
      </c>
      <c r="B732" s="127" t="n"/>
      <c r="C732" s="223" t="n"/>
      <c r="D732" s="127" t="n"/>
      <c r="E732" s="227" t="n"/>
      <c r="F732" s="227" t="n"/>
      <c r="G732" s="227" t="n"/>
      <c r="H732" s="227" t="n"/>
      <c r="I732" s="227" t="n"/>
      <c r="J732" s="227" t="n"/>
      <c r="K732" s="227" t="n"/>
      <c r="L732" s="227" t="n"/>
      <c r="M732" s="227" t="n"/>
      <c r="N732" s="127" t="n"/>
      <c r="O732" s="227" t="n"/>
      <c r="P732" s="227" t="n"/>
      <c r="Q732" s="227" t="n"/>
      <c r="R732" s="227" t="n"/>
      <c r="S732" s="227" t="n"/>
      <c r="T732" s="227" t="n"/>
    </row>
    <row r="733">
      <c r="A733" s="145">
        <f>IF($B733="","",ROW()-5)</f>
        <v/>
      </c>
      <c r="B733" s="127" t="n"/>
      <c r="C733" s="223" t="n"/>
      <c r="D733" s="127" t="n"/>
      <c r="E733" s="227" t="n"/>
      <c r="F733" s="227" t="n"/>
      <c r="G733" s="227" t="n"/>
      <c r="H733" s="227" t="n"/>
      <c r="I733" s="227" t="n"/>
      <c r="J733" s="227" t="n"/>
      <c r="K733" s="227" t="n"/>
      <c r="L733" s="227" t="n"/>
      <c r="M733" s="227" t="n"/>
      <c r="N733" s="127" t="n"/>
      <c r="O733" s="227" t="n"/>
      <c r="P733" s="227" t="n"/>
      <c r="Q733" s="227" t="n"/>
      <c r="R733" s="227" t="n"/>
      <c r="S733" s="227" t="n"/>
      <c r="T733" s="227" t="n"/>
    </row>
    <row r="734">
      <c r="A734" s="145">
        <f>IF($B734="","",ROW()-5)</f>
        <v/>
      </c>
      <c r="B734" s="127" t="n"/>
      <c r="C734" s="223" t="n"/>
      <c r="D734" s="127" t="n"/>
      <c r="E734" s="227" t="n"/>
      <c r="F734" s="227" t="n"/>
      <c r="G734" s="227" t="n"/>
      <c r="H734" s="227" t="n"/>
      <c r="I734" s="227" t="n"/>
      <c r="J734" s="227" t="n"/>
      <c r="K734" s="227" t="n"/>
      <c r="L734" s="227" t="n"/>
      <c r="M734" s="227" t="n"/>
      <c r="N734" s="127" t="n"/>
      <c r="O734" s="227" t="n"/>
      <c r="P734" s="227" t="n"/>
      <c r="Q734" s="227" t="n"/>
      <c r="R734" s="227" t="n"/>
      <c r="S734" s="227" t="n"/>
      <c r="T734" s="227" t="n"/>
    </row>
    <row r="735">
      <c r="A735" s="145">
        <f>IF($B735="","",ROW()-5)</f>
        <v/>
      </c>
      <c r="B735" s="127" t="n"/>
      <c r="C735" s="223" t="n"/>
      <c r="D735" s="127" t="n"/>
      <c r="E735" s="227" t="n"/>
      <c r="F735" s="227" t="n"/>
      <c r="G735" s="227" t="n"/>
      <c r="H735" s="227" t="n"/>
      <c r="I735" s="227" t="n"/>
      <c r="J735" s="227" t="n"/>
      <c r="K735" s="227" t="n"/>
      <c r="L735" s="227" t="n"/>
      <c r="M735" s="227" t="n"/>
      <c r="N735" s="127" t="n"/>
      <c r="O735" s="227" t="n"/>
      <c r="P735" s="227" t="n"/>
      <c r="Q735" s="227" t="n"/>
      <c r="R735" s="227" t="n"/>
      <c r="S735" s="227" t="n"/>
      <c r="T735" s="227" t="n"/>
    </row>
    <row r="736">
      <c r="A736" s="145">
        <f>IF($B736="","",ROW()-5)</f>
        <v/>
      </c>
      <c r="B736" s="127" t="n"/>
      <c r="C736" s="223" t="n"/>
      <c r="D736" s="127" t="n"/>
      <c r="E736" s="227" t="n"/>
      <c r="F736" s="227" t="n"/>
      <c r="G736" s="227" t="n"/>
      <c r="H736" s="227" t="n"/>
      <c r="I736" s="227" t="n"/>
      <c r="J736" s="227" t="n"/>
      <c r="K736" s="227" t="n"/>
      <c r="L736" s="227" t="n"/>
      <c r="M736" s="227" t="n"/>
      <c r="N736" s="127" t="n"/>
      <c r="O736" s="227" t="n"/>
      <c r="P736" s="227" t="n"/>
      <c r="Q736" s="227" t="n"/>
      <c r="R736" s="227" t="n"/>
      <c r="S736" s="227" t="n"/>
      <c r="T736" s="227" t="n"/>
    </row>
    <row r="737">
      <c r="A737" s="145">
        <f>IF($B737="","",ROW()-5)</f>
        <v/>
      </c>
      <c r="B737" s="127" t="n"/>
      <c r="C737" s="223" t="n"/>
      <c r="D737" s="127" t="n"/>
      <c r="E737" s="227" t="n"/>
      <c r="F737" s="227" t="n"/>
      <c r="G737" s="227" t="n"/>
      <c r="H737" s="227" t="n"/>
      <c r="I737" s="227" t="n"/>
      <c r="J737" s="227" t="n"/>
      <c r="K737" s="227" t="n"/>
      <c r="L737" s="227" t="n"/>
      <c r="M737" s="227" t="n"/>
      <c r="N737" s="127" t="n"/>
      <c r="O737" s="227" t="n"/>
      <c r="P737" s="227" t="n"/>
      <c r="Q737" s="227" t="n"/>
      <c r="R737" s="227" t="n"/>
      <c r="S737" s="227" t="n"/>
      <c r="T737" s="227" t="n"/>
    </row>
    <row r="738">
      <c r="A738" s="145">
        <f>IF($B738="","",ROW()-5)</f>
        <v/>
      </c>
      <c r="B738" s="127" t="n"/>
      <c r="C738" s="223" t="n"/>
      <c r="D738" s="127" t="n"/>
      <c r="E738" s="227" t="n"/>
      <c r="F738" s="227" t="n"/>
      <c r="G738" s="227" t="n"/>
      <c r="H738" s="227" t="n"/>
      <c r="I738" s="227" t="n"/>
      <c r="J738" s="227" t="n"/>
      <c r="K738" s="227" t="n"/>
      <c r="L738" s="227" t="n"/>
      <c r="M738" s="227" t="n"/>
      <c r="N738" s="127" t="n"/>
      <c r="O738" s="227" t="n"/>
      <c r="P738" s="227" t="n"/>
      <c r="Q738" s="227" t="n"/>
      <c r="R738" s="227" t="n"/>
      <c r="S738" s="227" t="n"/>
      <c r="T738" s="227" t="n"/>
    </row>
    <row r="739">
      <c r="A739" s="145">
        <f>IF($B739="","",ROW()-5)</f>
        <v/>
      </c>
      <c r="B739" s="127" t="n"/>
      <c r="C739" s="223" t="n"/>
      <c r="D739" s="127" t="n"/>
      <c r="E739" s="227" t="n"/>
      <c r="F739" s="227" t="n"/>
      <c r="G739" s="227" t="n"/>
      <c r="H739" s="227" t="n"/>
      <c r="I739" s="227" t="n"/>
      <c r="J739" s="227" t="n"/>
      <c r="K739" s="227" t="n"/>
      <c r="L739" s="227" t="n"/>
      <c r="M739" s="227" t="n"/>
      <c r="N739" s="127" t="n"/>
      <c r="O739" s="227" t="n"/>
      <c r="P739" s="227" t="n"/>
      <c r="Q739" s="227" t="n"/>
      <c r="R739" s="227" t="n"/>
      <c r="S739" s="227" t="n"/>
      <c r="T739" s="227" t="n"/>
    </row>
    <row r="740">
      <c r="A740" s="145">
        <f>IF($B740="","",ROW()-5)</f>
        <v/>
      </c>
      <c r="B740" s="127" t="n"/>
      <c r="C740" s="223" t="n"/>
      <c r="D740" s="127" t="n"/>
      <c r="E740" s="227" t="n"/>
      <c r="F740" s="227" t="n"/>
      <c r="G740" s="227" t="n"/>
      <c r="H740" s="227" t="n"/>
      <c r="I740" s="227" t="n"/>
      <c r="J740" s="227" t="n"/>
      <c r="K740" s="227" t="n"/>
      <c r="L740" s="227" t="n"/>
      <c r="M740" s="227" t="n"/>
      <c r="N740" s="127" t="n"/>
      <c r="O740" s="227" t="n"/>
      <c r="P740" s="227" t="n"/>
      <c r="Q740" s="227" t="n"/>
      <c r="R740" s="227" t="n"/>
      <c r="S740" s="227" t="n"/>
      <c r="T740" s="227" t="n"/>
    </row>
    <row r="741">
      <c r="A741" s="145">
        <f>IF($B741="","",ROW()-5)</f>
        <v/>
      </c>
      <c r="B741" s="127" t="n"/>
      <c r="C741" s="223" t="n"/>
      <c r="D741" s="127" t="n"/>
      <c r="E741" s="227" t="n"/>
      <c r="F741" s="227" t="n"/>
      <c r="G741" s="227" t="n"/>
      <c r="H741" s="227" t="n"/>
      <c r="I741" s="227" t="n"/>
      <c r="J741" s="227" t="n"/>
      <c r="K741" s="227" t="n"/>
      <c r="L741" s="227" t="n"/>
      <c r="M741" s="227" t="n"/>
      <c r="N741" s="127" t="n"/>
      <c r="O741" s="227" t="n"/>
      <c r="P741" s="227" t="n"/>
      <c r="Q741" s="227" t="n"/>
      <c r="R741" s="227" t="n"/>
      <c r="S741" s="227" t="n"/>
      <c r="T741" s="227" t="n"/>
    </row>
    <row r="742">
      <c r="A742" s="145">
        <f>IF($B742="","",ROW()-5)</f>
        <v/>
      </c>
      <c r="B742" s="127" t="n"/>
      <c r="C742" s="223" t="n"/>
      <c r="D742" s="127" t="n"/>
      <c r="E742" s="227" t="n"/>
      <c r="F742" s="227" t="n"/>
      <c r="G742" s="227" t="n"/>
      <c r="H742" s="227" t="n"/>
      <c r="I742" s="227" t="n"/>
      <c r="J742" s="227" t="n"/>
      <c r="K742" s="227" t="n"/>
      <c r="L742" s="227" t="n"/>
      <c r="M742" s="227" t="n"/>
      <c r="N742" s="127" t="n"/>
      <c r="O742" s="227" t="n"/>
      <c r="P742" s="227" t="n"/>
      <c r="Q742" s="227" t="n"/>
      <c r="R742" s="227" t="n"/>
      <c r="S742" s="227" t="n"/>
      <c r="T742" s="227" t="n"/>
    </row>
    <row r="743">
      <c r="A743" s="145">
        <f>IF($B743="","",ROW()-5)</f>
        <v/>
      </c>
      <c r="B743" s="127" t="n"/>
      <c r="C743" s="223" t="n"/>
      <c r="D743" s="127" t="n"/>
      <c r="E743" s="227" t="n"/>
      <c r="F743" s="227" t="n"/>
      <c r="G743" s="227" t="n"/>
      <c r="H743" s="227" t="n"/>
      <c r="I743" s="227" t="n"/>
      <c r="J743" s="227" t="n"/>
      <c r="K743" s="227" t="n"/>
      <c r="L743" s="227" t="n"/>
      <c r="M743" s="227" t="n"/>
      <c r="N743" s="127" t="n"/>
      <c r="O743" s="227" t="n"/>
      <c r="P743" s="227" t="n"/>
      <c r="Q743" s="227" t="n"/>
      <c r="R743" s="227" t="n"/>
      <c r="S743" s="227" t="n"/>
      <c r="T743" s="227" t="n"/>
    </row>
    <row r="744">
      <c r="A744" s="145">
        <f>IF($B744="","",ROW()-5)</f>
        <v/>
      </c>
      <c r="B744" s="127" t="n"/>
      <c r="C744" s="223" t="n"/>
      <c r="D744" s="127" t="n"/>
      <c r="E744" s="227" t="n"/>
      <c r="F744" s="227" t="n"/>
      <c r="G744" s="227" t="n"/>
      <c r="H744" s="227" t="n"/>
      <c r="I744" s="227" t="n"/>
      <c r="J744" s="227" t="n"/>
      <c r="K744" s="227" t="n"/>
      <c r="L744" s="227" t="n"/>
      <c r="M744" s="227" t="n"/>
      <c r="N744" s="127" t="n"/>
      <c r="O744" s="227" t="n"/>
      <c r="P744" s="227" t="n"/>
      <c r="Q744" s="227" t="n"/>
      <c r="R744" s="227" t="n"/>
      <c r="S744" s="227" t="n"/>
      <c r="T744" s="227" t="n"/>
    </row>
    <row r="745">
      <c r="A745" s="145">
        <f>IF($B745="","",ROW()-5)</f>
        <v/>
      </c>
      <c r="B745" s="127" t="n"/>
      <c r="C745" s="223" t="n"/>
      <c r="D745" s="127" t="n"/>
      <c r="E745" s="227" t="n"/>
      <c r="F745" s="227" t="n"/>
      <c r="G745" s="227" t="n"/>
      <c r="H745" s="227" t="n"/>
      <c r="I745" s="227" t="n"/>
      <c r="J745" s="227" t="n"/>
      <c r="K745" s="227" t="n"/>
      <c r="L745" s="227" t="n"/>
      <c r="M745" s="227" t="n"/>
      <c r="N745" s="127" t="n"/>
      <c r="O745" s="227" t="n"/>
      <c r="P745" s="227" t="n"/>
      <c r="Q745" s="227" t="n"/>
      <c r="R745" s="227" t="n"/>
      <c r="S745" s="227" t="n"/>
      <c r="T745" s="227" t="n"/>
    </row>
    <row r="746">
      <c r="A746" s="145">
        <f>IF($B746="","",ROW()-5)</f>
        <v/>
      </c>
      <c r="B746" s="127" t="n"/>
      <c r="C746" s="223" t="n"/>
      <c r="D746" s="127" t="n"/>
      <c r="E746" s="227" t="n"/>
      <c r="F746" s="227" t="n"/>
      <c r="G746" s="227" t="n"/>
      <c r="H746" s="227" t="n"/>
      <c r="I746" s="227" t="n"/>
      <c r="J746" s="227" t="n"/>
      <c r="K746" s="227" t="n"/>
      <c r="L746" s="227" t="n"/>
      <c r="M746" s="227" t="n"/>
      <c r="N746" s="127" t="n"/>
      <c r="O746" s="227" t="n"/>
      <c r="P746" s="227" t="n"/>
      <c r="Q746" s="227" t="n"/>
      <c r="R746" s="227" t="n"/>
      <c r="S746" s="227" t="n"/>
      <c r="T746" s="227" t="n"/>
    </row>
    <row r="747">
      <c r="A747" s="145">
        <f>IF($B747="","",ROW()-5)</f>
        <v/>
      </c>
      <c r="B747" s="127" t="n"/>
      <c r="C747" s="223" t="n"/>
      <c r="D747" s="127" t="n"/>
      <c r="E747" s="227" t="n"/>
      <c r="F747" s="227" t="n"/>
      <c r="G747" s="227" t="n"/>
      <c r="H747" s="227" t="n"/>
      <c r="I747" s="227" t="n"/>
      <c r="J747" s="227" t="n"/>
      <c r="K747" s="227" t="n"/>
      <c r="L747" s="227" t="n"/>
      <c r="M747" s="227" t="n"/>
      <c r="N747" s="127" t="n"/>
      <c r="O747" s="227" t="n"/>
      <c r="P747" s="227" t="n"/>
      <c r="Q747" s="227" t="n"/>
      <c r="R747" s="227" t="n"/>
      <c r="S747" s="227" t="n"/>
      <c r="T747" s="227" t="n"/>
    </row>
    <row r="748">
      <c r="A748" s="145">
        <f>IF($B748="","",ROW()-5)</f>
        <v/>
      </c>
      <c r="B748" s="127" t="n"/>
      <c r="C748" s="223" t="n"/>
      <c r="D748" s="127" t="n"/>
      <c r="E748" s="227" t="n"/>
      <c r="F748" s="227" t="n"/>
      <c r="G748" s="227" t="n"/>
      <c r="H748" s="227" t="n"/>
      <c r="I748" s="227" t="n"/>
      <c r="J748" s="227" t="n"/>
      <c r="K748" s="227" t="n"/>
      <c r="L748" s="227" t="n"/>
      <c r="M748" s="227" t="n"/>
      <c r="N748" s="127" t="n"/>
      <c r="O748" s="227" t="n"/>
      <c r="P748" s="227" t="n"/>
      <c r="Q748" s="227" t="n"/>
      <c r="R748" s="227" t="n"/>
      <c r="S748" s="227" t="n"/>
      <c r="T748" s="227" t="n"/>
    </row>
    <row r="749">
      <c r="A749" s="145">
        <f>IF($B749="","",ROW()-5)</f>
        <v/>
      </c>
      <c r="B749" s="127" t="n"/>
      <c r="C749" s="223" t="n"/>
      <c r="D749" s="127" t="n"/>
      <c r="E749" s="227" t="n"/>
      <c r="F749" s="227" t="n"/>
      <c r="G749" s="227" t="n"/>
      <c r="H749" s="227" t="n"/>
      <c r="I749" s="227" t="n"/>
      <c r="J749" s="227" t="n"/>
      <c r="K749" s="227" t="n"/>
      <c r="L749" s="227" t="n"/>
      <c r="M749" s="227" t="n"/>
      <c r="N749" s="127" t="n"/>
      <c r="O749" s="227" t="n"/>
      <c r="P749" s="227" t="n"/>
      <c r="Q749" s="227" t="n"/>
      <c r="R749" s="227" t="n"/>
      <c r="S749" s="227" t="n"/>
      <c r="T749" s="227" t="n"/>
    </row>
    <row r="750">
      <c r="A750" s="145">
        <f>IF($B750="","",ROW()-5)</f>
        <v/>
      </c>
      <c r="B750" s="127" t="n"/>
      <c r="C750" s="223" t="n"/>
      <c r="D750" s="127" t="n"/>
      <c r="E750" s="227" t="n"/>
      <c r="F750" s="227" t="n"/>
      <c r="G750" s="227" t="n"/>
      <c r="H750" s="227" t="n"/>
      <c r="I750" s="227" t="n"/>
      <c r="J750" s="227" t="n"/>
      <c r="K750" s="227" t="n"/>
      <c r="L750" s="227" t="n"/>
      <c r="M750" s="227" t="n"/>
      <c r="N750" s="127" t="n"/>
      <c r="O750" s="227" t="n"/>
      <c r="P750" s="227" t="n"/>
      <c r="Q750" s="227" t="n"/>
      <c r="R750" s="227" t="n"/>
      <c r="S750" s="227" t="n"/>
      <c r="T750" s="227" t="n"/>
    </row>
    <row r="751">
      <c r="A751" s="145">
        <f>IF($B751="","",ROW()-5)</f>
        <v/>
      </c>
      <c r="B751" s="127" t="n"/>
      <c r="C751" s="223" t="n"/>
      <c r="D751" s="127" t="n"/>
      <c r="E751" s="227" t="n"/>
      <c r="F751" s="227" t="n"/>
      <c r="G751" s="227" t="n"/>
      <c r="H751" s="227" t="n"/>
      <c r="I751" s="227" t="n"/>
      <c r="J751" s="227" t="n"/>
      <c r="K751" s="227" t="n"/>
      <c r="L751" s="227" t="n"/>
      <c r="M751" s="227" t="n"/>
      <c r="N751" s="127" t="n"/>
      <c r="O751" s="227" t="n"/>
      <c r="P751" s="227" t="n"/>
      <c r="Q751" s="227" t="n"/>
      <c r="R751" s="227" t="n"/>
      <c r="S751" s="227" t="n"/>
      <c r="T751" s="227" t="n"/>
    </row>
    <row r="752">
      <c r="A752" s="145">
        <f>IF($B752="","",ROW()-5)</f>
        <v/>
      </c>
      <c r="B752" s="127" t="n"/>
      <c r="C752" s="223" t="n"/>
      <c r="D752" s="127" t="n"/>
      <c r="E752" s="227" t="n"/>
      <c r="F752" s="227" t="n"/>
      <c r="G752" s="227" t="n"/>
      <c r="H752" s="227" t="n"/>
      <c r="I752" s="227" t="n"/>
      <c r="J752" s="227" t="n"/>
      <c r="K752" s="227" t="n"/>
      <c r="L752" s="227" t="n"/>
      <c r="M752" s="227" t="n"/>
      <c r="N752" s="127" t="n"/>
      <c r="O752" s="227" t="n"/>
      <c r="P752" s="227" t="n"/>
      <c r="Q752" s="227" t="n"/>
      <c r="R752" s="227" t="n"/>
      <c r="S752" s="227" t="n"/>
      <c r="T752" s="227" t="n"/>
    </row>
    <row r="753">
      <c r="A753" s="145">
        <f>IF($B753="","",ROW()-5)</f>
        <v/>
      </c>
      <c r="B753" s="127" t="n"/>
      <c r="C753" s="223" t="n"/>
      <c r="D753" s="127" t="n"/>
      <c r="E753" s="227" t="n"/>
      <c r="F753" s="227" t="n"/>
      <c r="G753" s="227" t="n"/>
      <c r="H753" s="227" t="n"/>
      <c r="I753" s="227" t="n"/>
      <c r="J753" s="227" t="n"/>
      <c r="K753" s="227" t="n"/>
      <c r="L753" s="227" t="n"/>
      <c r="M753" s="227" t="n"/>
      <c r="N753" s="127" t="n"/>
      <c r="O753" s="227" t="n"/>
      <c r="P753" s="227" t="n"/>
      <c r="Q753" s="227" t="n"/>
      <c r="R753" s="227" t="n"/>
      <c r="S753" s="227" t="n"/>
      <c r="T753" s="227" t="n"/>
    </row>
    <row r="754">
      <c r="A754" s="145">
        <f>IF($B754="","",ROW()-5)</f>
        <v/>
      </c>
      <c r="B754" s="127" t="n"/>
      <c r="C754" s="223" t="n"/>
      <c r="D754" s="127" t="n"/>
      <c r="E754" s="227" t="n"/>
      <c r="F754" s="227" t="n"/>
      <c r="G754" s="227" t="n"/>
      <c r="H754" s="227" t="n"/>
      <c r="I754" s="227" t="n"/>
      <c r="J754" s="227" t="n"/>
      <c r="K754" s="227" t="n"/>
      <c r="L754" s="227" t="n"/>
      <c r="M754" s="227" t="n"/>
      <c r="N754" s="127" t="n"/>
      <c r="O754" s="227" t="n"/>
      <c r="P754" s="227" t="n"/>
      <c r="Q754" s="227" t="n"/>
      <c r="R754" s="227" t="n"/>
      <c r="S754" s="227" t="n"/>
      <c r="T754" s="227" t="n"/>
    </row>
    <row r="755">
      <c r="A755" s="145">
        <f>IF($B755="","",ROW()-5)</f>
        <v/>
      </c>
      <c r="B755" s="127" t="n"/>
      <c r="C755" s="223" t="n"/>
      <c r="D755" s="127" t="n"/>
      <c r="E755" s="227" t="n"/>
      <c r="F755" s="227" t="n"/>
      <c r="G755" s="227" t="n"/>
      <c r="H755" s="227" t="n"/>
      <c r="I755" s="227" t="n"/>
      <c r="J755" s="227" t="n"/>
      <c r="K755" s="227" t="n"/>
      <c r="L755" s="227" t="n"/>
      <c r="M755" s="227" t="n"/>
      <c r="N755" s="127" t="n"/>
      <c r="O755" s="227" t="n"/>
      <c r="P755" s="227" t="n"/>
      <c r="Q755" s="227" t="n"/>
      <c r="R755" s="227" t="n"/>
      <c r="S755" s="227" t="n"/>
      <c r="T755" s="227" t="n"/>
    </row>
    <row r="756">
      <c r="A756" s="145">
        <f>IF($B756="","",ROW()-5)</f>
        <v/>
      </c>
      <c r="B756" s="127" t="n"/>
      <c r="C756" s="223" t="n"/>
      <c r="D756" s="127" t="n"/>
      <c r="E756" s="227" t="n"/>
      <c r="F756" s="227" t="n"/>
      <c r="G756" s="227" t="n"/>
      <c r="H756" s="227" t="n"/>
      <c r="I756" s="227" t="n"/>
      <c r="J756" s="227" t="n"/>
      <c r="K756" s="227" t="n"/>
      <c r="L756" s="227" t="n"/>
      <c r="M756" s="227" t="n"/>
      <c r="N756" s="127" t="n"/>
      <c r="O756" s="227" t="n"/>
      <c r="P756" s="227" t="n"/>
      <c r="Q756" s="227" t="n"/>
      <c r="R756" s="227" t="n"/>
      <c r="S756" s="227" t="n"/>
      <c r="T756" s="227" t="n"/>
    </row>
    <row r="757">
      <c r="A757" s="145">
        <f>IF($B757="","",ROW()-5)</f>
        <v/>
      </c>
      <c r="B757" s="127" t="n"/>
      <c r="C757" s="223" t="n"/>
      <c r="D757" s="127" t="n"/>
      <c r="E757" s="227" t="n"/>
      <c r="F757" s="227" t="n"/>
      <c r="G757" s="227" t="n"/>
      <c r="H757" s="227" t="n"/>
      <c r="I757" s="227" t="n"/>
      <c r="J757" s="227" t="n"/>
      <c r="K757" s="227" t="n"/>
      <c r="L757" s="227" t="n"/>
      <c r="M757" s="227" t="n"/>
      <c r="N757" s="127" t="n"/>
      <c r="O757" s="227" t="n"/>
      <c r="P757" s="227" t="n"/>
      <c r="Q757" s="227" t="n"/>
      <c r="R757" s="227" t="n"/>
      <c r="S757" s="227" t="n"/>
      <c r="T757" s="227" t="n"/>
    </row>
    <row r="758">
      <c r="A758" s="145">
        <f>IF($B758="","",ROW()-5)</f>
        <v/>
      </c>
      <c r="B758" s="127" t="n"/>
      <c r="C758" s="223" t="n"/>
      <c r="D758" s="127" t="n"/>
      <c r="E758" s="227" t="n"/>
      <c r="F758" s="227" t="n"/>
      <c r="G758" s="227" t="n"/>
      <c r="H758" s="227" t="n"/>
      <c r="I758" s="227" t="n"/>
      <c r="J758" s="227" t="n"/>
      <c r="K758" s="227" t="n"/>
      <c r="L758" s="227" t="n"/>
      <c r="M758" s="227" t="n"/>
      <c r="N758" s="127" t="n"/>
      <c r="O758" s="227" t="n"/>
      <c r="P758" s="227" t="n"/>
      <c r="Q758" s="227" t="n"/>
      <c r="R758" s="227" t="n"/>
      <c r="S758" s="227" t="n"/>
      <c r="T758" s="227" t="n"/>
    </row>
    <row r="759">
      <c r="A759" s="145">
        <f>IF($B759="","",ROW()-5)</f>
        <v/>
      </c>
      <c r="B759" s="127" t="n"/>
      <c r="C759" s="223" t="n"/>
      <c r="D759" s="127" t="n"/>
      <c r="E759" s="227" t="n"/>
      <c r="F759" s="227" t="n"/>
      <c r="G759" s="227" t="n"/>
      <c r="H759" s="227" t="n"/>
      <c r="I759" s="227" t="n"/>
      <c r="J759" s="227" t="n"/>
      <c r="K759" s="227" t="n"/>
      <c r="L759" s="227" t="n"/>
      <c r="M759" s="227" t="n"/>
      <c r="N759" s="127" t="n"/>
      <c r="O759" s="227" t="n"/>
      <c r="P759" s="227" t="n"/>
      <c r="Q759" s="227" t="n"/>
      <c r="R759" s="227" t="n"/>
      <c r="S759" s="227" t="n"/>
      <c r="T759" s="227" t="n"/>
    </row>
    <row r="760">
      <c r="A760" s="145">
        <f>IF($B760="","",ROW()-5)</f>
        <v/>
      </c>
      <c r="B760" s="127" t="n"/>
      <c r="C760" s="223" t="n"/>
      <c r="D760" s="127" t="n"/>
      <c r="E760" s="227" t="n"/>
      <c r="F760" s="227" t="n"/>
      <c r="G760" s="227" t="n"/>
      <c r="H760" s="227" t="n"/>
      <c r="I760" s="227" t="n"/>
      <c r="J760" s="227" t="n"/>
      <c r="K760" s="227" t="n"/>
      <c r="L760" s="227" t="n"/>
      <c r="M760" s="227" t="n"/>
      <c r="N760" s="127" t="n"/>
      <c r="O760" s="227" t="n"/>
      <c r="P760" s="227" t="n"/>
      <c r="Q760" s="227" t="n"/>
      <c r="R760" s="227" t="n"/>
      <c r="S760" s="227" t="n"/>
      <c r="T760" s="227" t="n"/>
    </row>
    <row r="761">
      <c r="A761" s="145">
        <f>IF($B761="","",ROW()-5)</f>
        <v/>
      </c>
      <c r="B761" s="127" t="n"/>
      <c r="C761" s="223" t="n"/>
      <c r="D761" s="127" t="n"/>
      <c r="E761" s="227" t="n"/>
      <c r="F761" s="227" t="n"/>
      <c r="G761" s="227" t="n"/>
      <c r="H761" s="227" t="n"/>
      <c r="I761" s="227" t="n"/>
      <c r="J761" s="227" t="n"/>
      <c r="K761" s="227" t="n"/>
      <c r="L761" s="227" t="n"/>
      <c r="M761" s="227" t="n"/>
      <c r="N761" s="127" t="n"/>
      <c r="O761" s="227" t="n"/>
      <c r="P761" s="227" t="n"/>
      <c r="Q761" s="227" t="n"/>
      <c r="R761" s="227" t="n"/>
      <c r="S761" s="227" t="n"/>
      <c r="T761" s="227" t="n"/>
    </row>
    <row r="762">
      <c r="A762" s="145">
        <f>IF($B762="","",ROW()-5)</f>
        <v/>
      </c>
      <c r="B762" s="127" t="n"/>
      <c r="C762" s="223" t="n"/>
      <c r="D762" s="127" t="n"/>
      <c r="E762" s="227" t="n"/>
      <c r="F762" s="227" t="n"/>
      <c r="G762" s="227" t="n"/>
      <c r="H762" s="227" t="n"/>
      <c r="I762" s="227" t="n"/>
      <c r="J762" s="227" t="n"/>
      <c r="K762" s="227" t="n"/>
      <c r="L762" s="227" t="n"/>
      <c r="M762" s="227" t="n"/>
      <c r="N762" s="127" t="n"/>
      <c r="O762" s="227" t="n"/>
      <c r="P762" s="227" t="n"/>
      <c r="Q762" s="227" t="n"/>
      <c r="R762" s="227" t="n"/>
      <c r="S762" s="227" t="n"/>
      <c r="T762" s="227" t="n"/>
    </row>
    <row r="763">
      <c r="A763" s="145">
        <f>IF($B763="","",ROW()-5)</f>
        <v/>
      </c>
      <c r="B763" s="127" t="n"/>
      <c r="C763" s="223" t="n"/>
      <c r="D763" s="127" t="n"/>
      <c r="E763" s="227" t="n"/>
      <c r="F763" s="227" t="n"/>
      <c r="G763" s="227" t="n"/>
      <c r="H763" s="227" t="n"/>
      <c r="I763" s="227" t="n"/>
      <c r="J763" s="227" t="n"/>
      <c r="K763" s="227" t="n"/>
      <c r="L763" s="227" t="n"/>
      <c r="M763" s="227" t="n"/>
      <c r="N763" s="127" t="n"/>
      <c r="O763" s="227" t="n"/>
      <c r="P763" s="227" t="n"/>
      <c r="Q763" s="227" t="n"/>
      <c r="R763" s="227" t="n"/>
      <c r="S763" s="227" t="n"/>
      <c r="T763" s="227" t="n"/>
    </row>
    <row r="764">
      <c r="A764" s="145">
        <f>IF($B764="","",ROW()-5)</f>
        <v/>
      </c>
      <c r="B764" s="127" t="n"/>
      <c r="C764" s="223" t="n"/>
      <c r="D764" s="127" t="n"/>
      <c r="E764" s="227" t="n"/>
      <c r="F764" s="227" t="n"/>
      <c r="G764" s="227" t="n"/>
      <c r="H764" s="227" t="n"/>
      <c r="I764" s="227" t="n"/>
      <c r="J764" s="227" t="n"/>
      <c r="K764" s="227" t="n"/>
      <c r="L764" s="227" t="n"/>
      <c r="M764" s="227" t="n"/>
      <c r="N764" s="127" t="n"/>
      <c r="O764" s="227" t="n"/>
      <c r="P764" s="227" t="n"/>
      <c r="Q764" s="227" t="n"/>
      <c r="R764" s="227" t="n"/>
      <c r="S764" s="227" t="n"/>
      <c r="T764" s="227" t="n"/>
    </row>
    <row r="765">
      <c r="A765" s="145">
        <f>IF($B765="","",ROW()-5)</f>
        <v/>
      </c>
      <c r="B765" s="127" t="n"/>
      <c r="C765" s="223" t="n"/>
      <c r="D765" s="127" t="n"/>
      <c r="E765" s="227" t="n"/>
      <c r="F765" s="227" t="n"/>
      <c r="G765" s="227" t="n"/>
      <c r="H765" s="227" t="n"/>
      <c r="I765" s="227" t="n"/>
      <c r="J765" s="227" t="n"/>
      <c r="K765" s="227" t="n"/>
      <c r="L765" s="227" t="n"/>
      <c r="M765" s="227" t="n"/>
      <c r="N765" s="127" t="n"/>
      <c r="O765" s="227" t="n"/>
      <c r="P765" s="227" t="n"/>
      <c r="Q765" s="227" t="n"/>
      <c r="R765" s="227" t="n"/>
      <c r="S765" s="227" t="n"/>
      <c r="T765" s="227" t="n"/>
    </row>
    <row r="766">
      <c r="A766" s="145">
        <f>IF($B766="","",ROW()-5)</f>
        <v/>
      </c>
      <c r="B766" s="127" t="n"/>
      <c r="C766" s="223" t="n"/>
      <c r="D766" s="127" t="n"/>
      <c r="E766" s="227" t="n"/>
      <c r="F766" s="227" t="n"/>
      <c r="G766" s="227" t="n"/>
      <c r="H766" s="227" t="n"/>
      <c r="I766" s="227" t="n"/>
      <c r="J766" s="227" t="n"/>
      <c r="K766" s="227" t="n"/>
      <c r="L766" s="227" t="n"/>
      <c r="M766" s="227" t="n"/>
      <c r="N766" s="127" t="n"/>
      <c r="O766" s="227" t="n"/>
      <c r="P766" s="227" t="n"/>
      <c r="Q766" s="227" t="n"/>
      <c r="R766" s="227" t="n"/>
      <c r="S766" s="227" t="n"/>
      <c r="T766" s="227" t="n"/>
    </row>
    <row r="767">
      <c r="A767" s="145">
        <f>IF($B767="","",ROW()-5)</f>
        <v/>
      </c>
      <c r="B767" s="127" t="n"/>
      <c r="C767" s="223" t="n"/>
      <c r="D767" s="127" t="n"/>
      <c r="E767" s="227" t="n"/>
      <c r="F767" s="227" t="n"/>
      <c r="G767" s="227" t="n"/>
      <c r="H767" s="227" t="n"/>
      <c r="I767" s="227" t="n"/>
      <c r="J767" s="227" t="n"/>
      <c r="K767" s="227" t="n"/>
      <c r="L767" s="227" t="n"/>
      <c r="M767" s="227" t="n"/>
      <c r="N767" s="127" t="n"/>
      <c r="O767" s="227" t="n"/>
      <c r="P767" s="227" t="n"/>
      <c r="Q767" s="227" t="n"/>
      <c r="R767" s="227" t="n"/>
      <c r="S767" s="227" t="n"/>
      <c r="T767" s="227" t="n"/>
    </row>
    <row r="768">
      <c r="A768" s="145">
        <f>IF($B768="","",ROW()-5)</f>
        <v/>
      </c>
      <c r="B768" s="127" t="n"/>
      <c r="C768" s="223" t="n"/>
      <c r="D768" s="127" t="n"/>
      <c r="E768" s="227" t="n"/>
      <c r="F768" s="227" t="n"/>
      <c r="G768" s="227" t="n"/>
      <c r="H768" s="227" t="n"/>
      <c r="I768" s="227" t="n"/>
      <c r="J768" s="227" t="n"/>
      <c r="K768" s="227" t="n"/>
      <c r="L768" s="227" t="n"/>
      <c r="M768" s="227" t="n"/>
      <c r="N768" s="127" t="n"/>
      <c r="O768" s="227" t="n"/>
      <c r="P768" s="227" t="n"/>
      <c r="Q768" s="227" t="n"/>
      <c r="R768" s="227" t="n"/>
      <c r="S768" s="227" t="n"/>
      <c r="T768" s="227" t="n"/>
    </row>
    <row r="769">
      <c r="A769" s="145">
        <f>IF($B769="","",ROW()-5)</f>
        <v/>
      </c>
      <c r="B769" s="127" t="n"/>
      <c r="C769" s="223" t="n"/>
      <c r="D769" s="127" t="n"/>
      <c r="E769" s="227" t="n"/>
      <c r="F769" s="227" t="n"/>
      <c r="G769" s="227" t="n"/>
      <c r="H769" s="227" t="n"/>
      <c r="I769" s="227" t="n"/>
      <c r="J769" s="227" t="n"/>
      <c r="K769" s="227" t="n"/>
      <c r="L769" s="227" t="n"/>
      <c r="M769" s="227" t="n"/>
      <c r="N769" s="127" t="n"/>
      <c r="O769" s="227" t="n"/>
      <c r="P769" s="227" t="n"/>
      <c r="Q769" s="227" t="n"/>
      <c r="R769" s="227" t="n"/>
      <c r="S769" s="227" t="n"/>
      <c r="T769" s="227" t="n"/>
    </row>
    <row r="770">
      <c r="A770" s="145">
        <f>IF($B770="","",ROW()-5)</f>
        <v/>
      </c>
      <c r="B770" s="127" t="n"/>
      <c r="C770" s="223" t="n"/>
      <c r="D770" s="127" t="n"/>
      <c r="E770" s="227" t="n"/>
      <c r="F770" s="227" t="n"/>
      <c r="G770" s="227" t="n"/>
      <c r="H770" s="227" t="n"/>
      <c r="I770" s="227" t="n"/>
      <c r="J770" s="227" t="n"/>
      <c r="K770" s="227" t="n"/>
      <c r="L770" s="227" t="n"/>
      <c r="M770" s="227" t="n"/>
      <c r="N770" s="127" t="n"/>
      <c r="O770" s="227" t="n"/>
      <c r="P770" s="227" t="n"/>
      <c r="Q770" s="227" t="n"/>
      <c r="R770" s="227" t="n"/>
      <c r="S770" s="227" t="n"/>
      <c r="T770" s="227" t="n"/>
    </row>
    <row r="771">
      <c r="A771" s="145">
        <f>IF($B771="","",ROW()-5)</f>
        <v/>
      </c>
      <c r="B771" s="127" t="n"/>
      <c r="C771" s="223" t="n"/>
      <c r="D771" s="127" t="n"/>
      <c r="E771" s="227" t="n"/>
      <c r="F771" s="227" t="n"/>
      <c r="G771" s="227" t="n"/>
      <c r="H771" s="227" t="n"/>
      <c r="I771" s="227" t="n"/>
      <c r="J771" s="227" t="n"/>
      <c r="K771" s="227" t="n"/>
      <c r="L771" s="227" t="n"/>
      <c r="M771" s="227" t="n"/>
      <c r="N771" s="127" t="n"/>
      <c r="O771" s="227" t="n"/>
      <c r="P771" s="227" t="n"/>
      <c r="Q771" s="227" t="n"/>
      <c r="R771" s="227" t="n"/>
      <c r="S771" s="227" t="n"/>
      <c r="T771" s="227" t="n"/>
    </row>
    <row r="772">
      <c r="A772" s="145">
        <f>IF($B772="","",ROW()-5)</f>
        <v/>
      </c>
      <c r="B772" s="127" t="n"/>
      <c r="C772" s="223" t="n"/>
      <c r="D772" s="127" t="n"/>
      <c r="E772" s="227" t="n"/>
      <c r="F772" s="227" t="n"/>
      <c r="G772" s="227" t="n"/>
      <c r="H772" s="227" t="n"/>
      <c r="I772" s="227" t="n"/>
      <c r="J772" s="227" t="n"/>
      <c r="K772" s="227" t="n"/>
      <c r="L772" s="227" t="n"/>
      <c r="M772" s="227" t="n"/>
      <c r="N772" s="127" t="n"/>
      <c r="O772" s="227" t="n"/>
      <c r="P772" s="227" t="n"/>
      <c r="Q772" s="227" t="n"/>
      <c r="R772" s="227" t="n"/>
      <c r="S772" s="227" t="n"/>
      <c r="T772" s="227" t="n"/>
    </row>
    <row r="773">
      <c r="A773" s="145">
        <f>IF($B773="","",ROW()-5)</f>
        <v/>
      </c>
      <c r="B773" s="127" t="n"/>
      <c r="C773" s="223" t="n"/>
      <c r="D773" s="127" t="n"/>
      <c r="E773" s="227" t="n"/>
      <c r="F773" s="227" t="n"/>
      <c r="G773" s="227" t="n"/>
      <c r="H773" s="227" t="n"/>
      <c r="I773" s="227" t="n"/>
      <c r="J773" s="227" t="n"/>
      <c r="K773" s="227" t="n"/>
      <c r="L773" s="227" t="n"/>
      <c r="M773" s="227" t="n"/>
      <c r="N773" s="127" t="n"/>
      <c r="O773" s="227" t="n"/>
      <c r="P773" s="227" t="n"/>
      <c r="Q773" s="227" t="n"/>
      <c r="R773" s="227" t="n"/>
      <c r="S773" s="227" t="n"/>
      <c r="T773" s="227" t="n"/>
    </row>
    <row r="774">
      <c r="A774" s="145">
        <f>IF($B774="","",ROW()-5)</f>
        <v/>
      </c>
      <c r="B774" s="127" t="n"/>
      <c r="C774" s="223" t="n"/>
      <c r="D774" s="127" t="n"/>
      <c r="E774" s="227" t="n"/>
      <c r="F774" s="227" t="n"/>
      <c r="G774" s="227" t="n"/>
      <c r="H774" s="227" t="n"/>
      <c r="I774" s="227" t="n"/>
      <c r="J774" s="227" t="n"/>
      <c r="K774" s="227" t="n"/>
      <c r="L774" s="227" t="n"/>
      <c r="M774" s="227" t="n"/>
      <c r="N774" s="127" t="n"/>
      <c r="O774" s="227" t="n"/>
      <c r="P774" s="227" t="n"/>
      <c r="Q774" s="227" t="n"/>
      <c r="R774" s="227" t="n"/>
      <c r="S774" s="227" t="n"/>
      <c r="T774" s="227" t="n"/>
    </row>
    <row r="775">
      <c r="A775" s="145">
        <f>IF($B775="","",ROW()-5)</f>
        <v/>
      </c>
      <c r="B775" s="127" t="n"/>
      <c r="C775" s="223" t="n"/>
      <c r="D775" s="127" t="n"/>
      <c r="E775" s="227" t="n"/>
      <c r="F775" s="227" t="n"/>
      <c r="G775" s="227" t="n"/>
      <c r="H775" s="227" t="n"/>
      <c r="I775" s="227" t="n"/>
      <c r="J775" s="227" t="n"/>
      <c r="K775" s="227" t="n"/>
      <c r="L775" s="227" t="n"/>
      <c r="M775" s="227" t="n"/>
      <c r="N775" s="127" t="n"/>
      <c r="O775" s="227" t="n"/>
      <c r="P775" s="227" t="n"/>
      <c r="Q775" s="227" t="n"/>
      <c r="R775" s="227" t="n"/>
      <c r="S775" s="227" t="n"/>
      <c r="T775" s="227" t="n"/>
    </row>
    <row r="776">
      <c r="A776" s="145">
        <f>IF($B776="","",ROW()-5)</f>
        <v/>
      </c>
      <c r="B776" s="127" t="n"/>
      <c r="C776" s="223" t="n"/>
      <c r="D776" s="127" t="n"/>
      <c r="E776" s="227" t="n"/>
      <c r="F776" s="227" t="n"/>
      <c r="G776" s="227" t="n"/>
      <c r="H776" s="227" t="n"/>
      <c r="I776" s="227" t="n"/>
      <c r="J776" s="227" t="n"/>
      <c r="K776" s="227" t="n"/>
      <c r="L776" s="227" t="n"/>
      <c r="M776" s="227" t="n"/>
      <c r="N776" s="127" t="n"/>
      <c r="O776" s="227" t="n"/>
      <c r="P776" s="227" t="n"/>
      <c r="Q776" s="227" t="n"/>
      <c r="R776" s="227" t="n"/>
      <c r="S776" s="227" t="n"/>
      <c r="T776" s="227" t="n"/>
    </row>
    <row r="777">
      <c r="A777" s="145">
        <f>IF($B777="","",ROW()-5)</f>
        <v/>
      </c>
      <c r="B777" s="127" t="n"/>
      <c r="C777" s="223" t="n"/>
      <c r="D777" s="127" t="n"/>
      <c r="E777" s="227" t="n"/>
      <c r="F777" s="227" t="n"/>
      <c r="G777" s="227" t="n"/>
      <c r="H777" s="227" t="n"/>
      <c r="I777" s="227" t="n"/>
      <c r="J777" s="227" t="n"/>
      <c r="K777" s="227" t="n"/>
      <c r="L777" s="227" t="n"/>
      <c r="M777" s="227" t="n"/>
      <c r="N777" s="127" t="n"/>
      <c r="O777" s="227" t="n"/>
      <c r="P777" s="227" t="n"/>
      <c r="Q777" s="227" t="n"/>
      <c r="R777" s="227" t="n"/>
      <c r="S777" s="227" t="n"/>
      <c r="T777" s="227" t="n"/>
    </row>
    <row r="778">
      <c r="A778" s="145">
        <f>IF($B778="","",ROW()-5)</f>
        <v/>
      </c>
      <c r="B778" s="127" t="n"/>
      <c r="C778" s="223" t="n"/>
      <c r="D778" s="127" t="n"/>
      <c r="E778" s="227" t="n"/>
      <c r="F778" s="227" t="n"/>
      <c r="G778" s="227" t="n"/>
      <c r="H778" s="227" t="n"/>
      <c r="I778" s="227" t="n"/>
      <c r="J778" s="227" t="n"/>
      <c r="K778" s="227" t="n"/>
      <c r="L778" s="227" t="n"/>
      <c r="M778" s="227" t="n"/>
      <c r="N778" s="127" t="n"/>
      <c r="O778" s="227" t="n"/>
      <c r="P778" s="227" t="n"/>
      <c r="Q778" s="227" t="n"/>
      <c r="R778" s="227" t="n"/>
      <c r="S778" s="227" t="n"/>
      <c r="T778" s="227" t="n"/>
    </row>
    <row r="779">
      <c r="A779" s="145">
        <f>IF($B779="","",ROW()-5)</f>
        <v/>
      </c>
      <c r="B779" s="127" t="n"/>
      <c r="C779" s="223" t="n"/>
      <c r="D779" s="127" t="n"/>
      <c r="E779" s="227" t="n"/>
      <c r="F779" s="227" t="n"/>
      <c r="G779" s="227" t="n"/>
      <c r="H779" s="227" t="n"/>
      <c r="I779" s="227" t="n"/>
      <c r="J779" s="227" t="n"/>
      <c r="K779" s="227" t="n"/>
      <c r="L779" s="227" t="n"/>
      <c r="M779" s="227" t="n"/>
      <c r="N779" s="127" t="n"/>
      <c r="O779" s="227" t="n"/>
      <c r="P779" s="227" t="n"/>
      <c r="Q779" s="227" t="n"/>
      <c r="R779" s="227" t="n"/>
      <c r="S779" s="227" t="n"/>
      <c r="T779" s="227" t="n"/>
    </row>
    <row r="780">
      <c r="A780" s="145">
        <f>IF($B780="","",ROW()-5)</f>
        <v/>
      </c>
      <c r="B780" s="127" t="n"/>
      <c r="C780" s="223" t="n"/>
      <c r="D780" s="127" t="n"/>
      <c r="E780" s="227" t="n"/>
      <c r="F780" s="227" t="n"/>
      <c r="G780" s="227" t="n"/>
      <c r="H780" s="227" t="n"/>
      <c r="I780" s="227" t="n"/>
      <c r="J780" s="227" t="n"/>
      <c r="K780" s="227" t="n"/>
      <c r="L780" s="227" t="n"/>
      <c r="M780" s="227" t="n"/>
      <c r="N780" s="127" t="n"/>
      <c r="O780" s="227" t="n"/>
      <c r="P780" s="227" t="n"/>
      <c r="Q780" s="227" t="n"/>
      <c r="R780" s="227" t="n"/>
      <c r="S780" s="227" t="n"/>
      <c r="T780" s="227" t="n"/>
    </row>
    <row r="781">
      <c r="A781" s="145">
        <f>IF($B781="","",ROW()-5)</f>
        <v/>
      </c>
      <c r="B781" s="127" t="n"/>
      <c r="C781" s="223" t="n"/>
      <c r="D781" s="127" t="n"/>
      <c r="E781" s="227" t="n"/>
      <c r="F781" s="227" t="n"/>
      <c r="G781" s="227" t="n"/>
      <c r="H781" s="227" t="n"/>
      <c r="I781" s="227" t="n"/>
      <c r="J781" s="227" t="n"/>
      <c r="K781" s="227" t="n"/>
      <c r="L781" s="227" t="n"/>
      <c r="M781" s="227" t="n"/>
      <c r="N781" s="127" t="n"/>
      <c r="O781" s="227" t="n"/>
      <c r="P781" s="227" t="n"/>
      <c r="Q781" s="227" t="n"/>
      <c r="R781" s="227" t="n"/>
      <c r="S781" s="227" t="n"/>
      <c r="T781" s="227" t="n"/>
    </row>
    <row r="782">
      <c r="A782" s="145">
        <f>IF($B782="","",ROW()-5)</f>
        <v/>
      </c>
      <c r="B782" s="127" t="n"/>
      <c r="C782" s="223" t="n"/>
      <c r="D782" s="127" t="n"/>
      <c r="E782" s="227" t="n"/>
      <c r="F782" s="227" t="n"/>
      <c r="G782" s="227" t="n"/>
      <c r="H782" s="227" t="n"/>
      <c r="I782" s="227" t="n"/>
      <c r="J782" s="227" t="n"/>
      <c r="K782" s="227" t="n"/>
      <c r="L782" s="227" t="n"/>
      <c r="M782" s="227" t="n"/>
      <c r="N782" s="127" t="n"/>
      <c r="O782" s="227" t="n"/>
      <c r="P782" s="227" t="n"/>
      <c r="Q782" s="227" t="n"/>
      <c r="R782" s="227" t="n"/>
      <c r="S782" s="227" t="n"/>
      <c r="T782" s="227" t="n"/>
    </row>
    <row r="783">
      <c r="A783" s="145">
        <f>IF($B783="","",ROW()-5)</f>
        <v/>
      </c>
      <c r="B783" s="127" t="n"/>
      <c r="C783" s="223" t="n"/>
      <c r="D783" s="127" t="n"/>
      <c r="E783" s="227" t="n"/>
      <c r="F783" s="227" t="n"/>
      <c r="G783" s="227" t="n"/>
      <c r="H783" s="227" t="n"/>
      <c r="I783" s="227" t="n"/>
      <c r="J783" s="227" t="n"/>
      <c r="K783" s="227" t="n"/>
      <c r="L783" s="227" t="n"/>
      <c r="M783" s="227" t="n"/>
      <c r="N783" s="127" t="n"/>
      <c r="O783" s="227" t="n"/>
      <c r="P783" s="227" t="n"/>
      <c r="Q783" s="227" t="n"/>
      <c r="R783" s="227" t="n"/>
      <c r="S783" s="227" t="n"/>
      <c r="T783" s="227" t="n"/>
    </row>
    <row r="784">
      <c r="A784" s="145">
        <f>IF($B784="","",ROW()-5)</f>
        <v/>
      </c>
      <c r="B784" s="127" t="n"/>
      <c r="C784" s="223" t="n"/>
      <c r="D784" s="127" t="n"/>
      <c r="E784" s="227" t="n"/>
      <c r="F784" s="227" t="n"/>
      <c r="G784" s="227" t="n"/>
      <c r="H784" s="227" t="n"/>
      <c r="I784" s="227" t="n"/>
      <c r="J784" s="227" t="n"/>
      <c r="K784" s="227" t="n"/>
      <c r="L784" s="227" t="n"/>
      <c r="M784" s="227" t="n"/>
      <c r="N784" s="127" t="n"/>
      <c r="O784" s="227" t="n"/>
      <c r="P784" s="227" t="n"/>
      <c r="Q784" s="227" t="n"/>
      <c r="R784" s="227" t="n"/>
      <c r="S784" s="227" t="n"/>
      <c r="T784" s="227" t="n"/>
    </row>
    <row r="785">
      <c r="A785" s="145">
        <f>IF($B785="","",ROW()-5)</f>
        <v/>
      </c>
      <c r="B785" s="127" t="n"/>
      <c r="C785" s="223" t="n"/>
      <c r="D785" s="127" t="n"/>
      <c r="E785" s="227" t="n"/>
      <c r="F785" s="227" t="n"/>
      <c r="G785" s="227" t="n"/>
      <c r="H785" s="227" t="n"/>
      <c r="I785" s="227" t="n"/>
      <c r="J785" s="227" t="n"/>
      <c r="K785" s="227" t="n"/>
      <c r="L785" s="227" t="n"/>
      <c r="M785" s="227" t="n"/>
      <c r="N785" s="127" t="n"/>
      <c r="O785" s="227" t="n"/>
      <c r="P785" s="227" t="n"/>
      <c r="Q785" s="227" t="n"/>
      <c r="R785" s="227" t="n"/>
      <c r="S785" s="227" t="n"/>
      <c r="T785" s="227" t="n"/>
    </row>
    <row r="786">
      <c r="A786" s="145">
        <f>IF($B786="","",ROW()-5)</f>
        <v/>
      </c>
      <c r="B786" s="127" t="n"/>
      <c r="C786" s="223" t="n"/>
      <c r="D786" s="127" t="n"/>
      <c r="E786" s="227" t="n"/>
      <c r="F786" s="227" t="n"/>
      <c r="G786" s="227" t="n"/>
      <c r="H786" s="227" t="n"/>
      <c r="I786" s="227" t="n"/>
      <c r="J786" s="227" t="n"/>
      <c r="K786" s="227" t="n"/>
      <c r="L786" s="227" t="n"/>
      <c r="M786" s="227" t="n"/>
      <c r="N786" s="127" t="n"/>
      <c r="O786" s="227" t="n"/>
      <c r="P786" s="227" t="n"/>
      <c r="Q786" s="227" t="n"/>
      <c r="R786" s="227" t="n"/>
      <c r="S786" s="227" t="n"/>
      <c r="T786" s="227" t="n"/>
    </row>
    <row r="787">
      <c r="A787" s="145">
        <f>IF($B787="","",ROW()-5)</f>
        <v/>
      </c>
      <c r="B787" s="127" t="n"/>
      <c r="C787" s="223" t="n"/>
      <c r="D787" s="127" t="n"/>
      <c r="E787" s="227" t="n"/>
      <c r="F787" s="227" t="n"/>
      <c r="G787" s="227" t="n"/>
      <c r="H787" s="227" t="n"/>
      <c r="I787" s="227" t="n"/>
      <c r="J787" s="227" t="n"/>
      <c r="K787" s="227" t="n"/>
      <c r="L787" s="227" t="n"/>
      <c r="M787" s="227" t="n"/>
      <c r="N787" s="127" t="n"/>
      <c r="O787" s="227" t="n"/>
      <c r="P787" s="227" t="n"/>
      <c r="Q787" s="227" t="n"/>
      <c r="R787" s="227" t="n"/>
      <c r="S787" s="227" t="n"/>
      <c r="T787" s="227" t="n"/>
    </row>
    <row r="788">
      <c r="A788" s="145">
        <f>IF($B788="","",ROW()-5)</f>
        <v/>
      </c>
      <c r="B788" s="127" t="n"/>
      <c r="C788" s="223" t="n"/>
      <c r="D788" s="127" t="n"/>
      <c r="E788" s="227" t="n"/>
      <c r="F788" s="227" t="n"/>
      <c r="G788" s="227" t="n"/>
      <c r="H788" s="227" t="n"/>
      <c r="I788" s="227" t="n"/>
      <c r="J788" s="227" t="n"/>
      <c r="K788" s="227" t="n"/>
      <c r="L788" s="227" t="n"/>
      <c r="M788" s="227" t="n"/>
      <c r="N788" s="127" t="n"/>
      <c r="O788" s="227" t="n"/>
      <c r="P788" s="227" t="n"/>
      <c r="Q788" s="227" t="n"/>
      <c r="R788" s="227" t="n"/>
      <c r="S788" s="227" t="n"/>
      <c r="T788" s="227" t="n"/>
    </row>
    <row r="789">
      <c r="A789" s="145">
        <f>IF($B789="","",ROW()-5)</f>
        <v/>
      </c>
      <c r="B789" s="127" t="n"/>
      <c r="C789" s="223" t="n"/>
      <c r="D789" s="127" t="n"/>
      <c r="E789" s="227" t="n"/>
      <c r="F789" s="227" t="n"/>
      <c r="G789" s="227" t="n"/>
      <c r="H789" s="227" t="n"/>
      <c r="I789" s="227" t="n"/>
      <c r="J789" s="227" t="n"/>
      <c r="K789" s="227" t="n"/>
      <c r="L789" s="227" t="n"/>
      <c r="M789" s="227" t="n"/>
      <c r="N789" s="127" t="n"/>
      <c r="O789" s="227" t="n"/>
      <c r="P789" s="227" t="n"/>
      <c r="Q789" s="227" t="n"/>
      <c r="R789" s="227" t="n"/>
      <c r="S789" s="227" t="n"/>
      <c r="T789" s="227" t="n"/>
    </row>
    <row r="790">
      <c r="A790" s="145">
        <f>IF($B790="","",ROW()-5)</f>
        <v/>
      </c>
      <c r="B790" s="127" t="n"/>
      <c r="C790" s="223" t="n"/>
      <c r="D790" s="127" t="n"/>
      <c r="E790" s="227" t="n"/>
      <c r="F790" s="227" t="n"/>
      <c r="G790" s="227" t="n"/>
      <c r="H790" s="227" t="n"/>
      <c r="I790" s="227" t="n"/>
      <c r="J790" s="227" t="n"/>
      <c r="K790" s="227" t="n"/>
      <c r="L790" s="227" t="n"/>
      <c r="M790" s="227" t="n"/>
      <c r="N790" s="127" t="n"/>
      <c r="O790" s="227" t="n"/>
      <c r="P790" s="227" t="n"/>
      <c r="Q790" s="227" t="n"/>
      <c r="R790" s="227" t="n"/>
      <c r="S790" s="227" t="n"/>
      <c r="T790" s="227" t="n"/>
    </row>
    <row r="791">
      <c r="A791" s="145">
        <f>IF($B791="","",ROW()-5)</f>
        <v/>
      </c>
      <c r="B791" s="127" t="n"/>
      <c r="C791" s="223" t="n"/>
      <c r="D791" s="127" t="n"/>
      <c r="E791" s="227" t="n"/>
      <c r="F791" s="227" t="n"/>
      <c r="G791" s="227" t="n"/>
      <c r="H791" s="227" t="n"/>
      <c r="I791" s="227" t="n"/>
      <c r="J791" s="227" t="n"/>
      <c r="K791" s="227" t="n"/>
      <c r="L791" s="227" t="n"/>
      <c r="M791" s="227" t="n"/>
      <c r="N791" s="127" t="n"/>
      <c r="O791" s="227" t="n"/>
      <c r="P791" s="227" t="n"/>
      <c r="Q791" s="227" t="n"/>
      <c r="R791" s="227" t="n"/>
      <c r="S791" s="227" t="n"/>
      <c r="T791" s="227" t="n"/>
    </row>
    <row r="792">
      <c r="A792" s="145">
        <f>IF($B792="","",ROW()-5)</f>
        <v/>
      </c>
      <c r="B792" s="127" t="n"/>
      <c r="C792" s="223" t="n"/>
      <c r="D792" s="127" t="n"/>
      <c r="E792" s="227" t="n"/>
      <c r="F792" s="227" t="n"/>
      <c r="G792" s="227" t="n"/>
      <c r="H792" s="227" t="n"/>
      <c r="I792" s="227" t="n"/>
      <c r="J792" s="227" t="n"/>
      <c r="K792" s="227" t="n"/>
      <c r="L792" s="227" t="n"/>
      <c r="M792" s="227" t="n"/>
      <c r="N792" s="127" t="n"/>
      <c r="O792" s="227" t="n"/>
      <c r="P792" s="227" t="n"/>
      <c r="Q792" s="227" t="n"/>
      <c r="R792" s="227" t="n"/>
      <c r="S792" s="227" t="n"/>
      <c r="T792" s="227" t="n"/>
    </row>
    <row r="793">
      <c r="A793" s="145">
        <f>IF($B793="","",ROW()-5)</f>
        <v/>
      </c>
      <c r="B793" s="127" t="n"/>
      <c r="C793" s="223" t="n"/>
      <c r="D793" s="127" t="n"/>
      <c r="E793" s="227" t="n"/>
      <c r="F793" s="227" t="n"/>
      <c r="G793" s="227" t="n"/>
      <c r="H793" s="227" t="n"/>
      <c r="I793" s="227" t="n"/>
      <c r="J793" s="227" t="n"/>
      <c r="K793" s="227" t="n"/>
      <c r="L793" s="227" t="n"/>
      <c r="M793" s="227" t="n"/>
      <c r="N793" s="127" t="n"/>
      <c r="O793" s="227" t="n"/>
      <c r="P793" s="227" t="n"/>
      <c r="Q793" s="227" t="n"/>
      <c r="R793" s="227" t="n"/>
      <c r="S793" s="227" t="n"/>
      <c r="T793" s="227" t="n"/>
    </row>
    <row r="794">
      <c r="A794" s="145">
        <f>IF($B794="","",ROW()-5)</f>
        <v/>
      </c>
      <c r="B794" s="127" t="n"/>
      <c r="C794" s="223" t="n"/>
      <c r="D794" s="127" t="n"/>
      <c r="E794" s="227" t="n"/>
      <c r="F794" s="227" t="n"/>
      <c r="G794" s="227" t="n"/>
      <c r="H794" s="227" t="n"/>
      <c r="I794" s="227" t="n"/>
      <c r="J794" s="227" t="n"/>
      <c r="K794" s="227" t="n"/>
      <c r="L794" s="227" t="n"/>
      <c r="M794" s="227" t="n"/>
      <c r="N794" s="127" t="n"/>
      <c r="O794" s="227" t="n"/>
      <c r="P794" s="227" t="n"/>
      <c r="Q794" s="227" t="n"/>
      <c r="R794" s="227" t="n"/>
      <c r="S794" s="227" t="n"/>
      <c r="T794" s="227" t="n"/>
    </row>
    <row r="795">
      <c r="A795" s="145">
        <f>IF($B795="","",ROW()-5)</f>
        <v/>
      </c>
      <c r="B795" s="127" t="n"/>
      <c r="C795" s="223" t="n"/>
      <c r="D795" s="127" t="n"/>
      <c r="E795" s="227" t="n"/>
      <c r="F795" s="227" t="n"/>
      <c r="G795" s="227" t="n"/>
      <c r="H795" s="227" t="n"/>
      <c r="I795" s="227" t="n"/>
      <c r="J795" s="227" t="n"/>
      <c r="K795" s="227" t="n"/>
      <c r="L795" s="227" t="n"/>
      <c r="M795" s="227" t="n"/>
      <c r="N795" s="127" t="n"/>
      <c r="O795" s="227" t="n"/>
      <c r="P795" s="227" t="n"/>
      <c r="Q795" s="227" t="n"/>
      <c r="R795" s="227" t="n"/>
      <c r="S795" s="227" t="n"/>
      <c r="T795" s="227" t="n"/>
    </row>
    <row r="796">
      <c r="A796" s="145">
        <f>IF($B796="","",ROW()-5)</f>
        <v/>
      </c>
      <c r="B796" s="127" t="n"/>
      <c r="C796" s="223" t="n"/>
      <c r="D796" s="127" t="n"/>
      <c r="E796" s="227" t="n"/>
      <c r="F796" s="227" t="n"/>
      <c r="G796" s="227" t="n"/>
      <c r="H796" s="227" t="n"/>
      <c r="I796" s="227" t="n"/>
      <c r="J796" s="227" t="n"/>
      <c r="K796" s="227" t="n"/>
      <c r="L796" s="227" t="n"/>
      <c r="M796" s="227" t="n"/>
      <c r="N796" s="127" t="n"/>
      <c r="O796" s="227" t="n"/>
      <c r="P796" s="227" t="n"/>
      <c r="Q796" s="227" t="n"/>
      <c r="R796" s="227" t="n"/>
      <c r="S796" s="227" t="n"/>
      <c r="T796" s="227" t="n"/>
    </row>
    <row r="797">
      <c r="A797" s="145">
        <f>IF($B797="","",ROW()-5)</f>
        <v/>
      </c>
      <c r="B797" s="127" t="n"/>
      <c r="C797" s="223" t="n"/>
      <c r="D797" s="127" t="n"/>
      <c r="E797" s="227" t="n"/>
      <c r="F797" s="227" t="n"/>
      <c r="G797" s="227" t="n"/>
      <c r="H797" s="227" t="n"/>
      <c r="I797" s="227" t="n"/>
      <c r="J797" s="227" t="n"/>
      <c r="K797" s="227" t="n"/>
      <c r="L797" s="227" t="n"/>
      <c r="M797" s="227" t="n"/>
      <c r="N797" s="127" t="n"/>
      <c r="O797" s="227" t="n"/>
      <c r="P797" s="227" t="n"/>
      <c r="Q797" s="227" t="n"/>
      <c r="R797" s="227" t="n"/>
      <c r="S797" s="227" t="n"/>
      <c r="T797" s="227" t="n"/>
    </row>
    <row r="798">
      <c r="A798" s="145">
        <f>IF($B798="","",ROW()-5)</f>
        <v/>
      </c>
      <c r="B798" s="127" t="n"/>
      <c r="C798" s="223" t="n"/>
      <c r="D798" s="127" t="n"/>
      <c r="E798" s="227" t="n"/>
      <c r="F798" s="227" t="n"/>
      <c r="G798" s="227" t="n"/>
      <c r="H798" s="227" t="n"/>
      <c r="I798" s="227" t="n"/>
      <c r="J798" s="227" t="n"/>
      <c r="K798" s="227" t="n"/>
      <c r="L798" s="227" t="n"/>
      <c r="M798" s="227" t="n"/>
      <c r="N798" s="127" t="n"/>
      <c r="O798" s="227" t="n"/>
      <c r="P798" s="227" t="n"/>
      <c r="Q798" s="227" t="n"/>
      <c r="R798" s="227" t="n"/>
      <c r="S798" s="227" t="n"/>
      <c r="T798" s="227" t="n"/>
    </row>
    <row r="799">
      <c r="A799" s="145">
        <f>IF($B799="","",ROW()-5)</f>
        <v/>
      </c>
      <c r="B799" s="127" t="n"/>
      <c r="C799" s="223" t="n"/>
      <c r="D799" s="127" t="n"/>
      <c r="E799" s="227" t="n"/>
      <c r="F799" s="227" t="n"/>
      <c r="G799" s="227" t="n"/>
      <c r="H799" s="227" t="n"/>
      <c r="I799" s="227" t="n"/>
      <c r="J799" s="227" t="n"/>
      <c r="K799" s="227" t="n"/>
      <c r="L799" s="227" t="n"/>
      <c r="M799" s="227" t="n"/>
      <c r="N799" s="127" t="n"/>
      <c r="O799" s="227" t="n"/>
      <c r="P799" s="227" t="n"/>
      <c r="Q799" s="227" t="n"/>
      <c r="R799" s="227" t="n"/>
      <c r="S799" s="227" t="n"/>
      <c r="T799" s="227" t="n"/>
    </row>
    <row r="800">
      <c r="A800" s="145">
        <f>IF($B800="","",ROW()-5)</f>
        <v/>
      </c>
      <c r="B800" s="127" t="n"/>
      <c r="C800" s="223" t="n"/>
      <c r="D800" s="127" t="n"/>
      <c r="E800" s="227" t="n"/>
      <c r="F800" s="227" t="n"/>
      <c r="G800" s="227" t="n"/>
      <c r="H800" s="227" t="n"/>
      <c r="I800" s="227" t="n"/>
      <c r="J800" s="227" t="n"/>
      <c r="K800" s="227" t="n"/>
      <c r="L800" s="227" t="n"/>
      <c r="M800" s="227" t="n"/>
      <c r="N800" s="127" t="n"/>
      <c r="O800" s="227" t="n"/>
      <c r="P800" s="227" t="n"/>
      <c r="Q800" s="227" t="n"/>
      <c r="R800" s="227" t="n"/>
      <c r="S800" s="227" t="n"/>
      <c r="T800" s="227" t="n"/>
    </row>
    <row r="801">
      <c r="A801" s="145">
        <f>IF($B801="","",ROW()-5)</f>
        <v/>
      </c>
      <c r="B801" s="127" t="n"/>
      <c r="C801" s="223" t="n"/>
      <c r="D801" s="127" t="n"/>
      <c r="E801" s="227" t="n"/>
      <c r="F801" s="227" t="n"/>
      <c r="G801" s="227" t="n"/>
      <c r="H801" s="227" t="n"/>
      <c r="I801" s="227" t="n"/>
      <c r="J801" s="227" t="n"/>
      <c r="K801" s="227" t="n"/>
      <c r="L801" s="227" t="n"/>
      <c r="M801" s="227" t="n"/>
      <c r="N801" s="127" t="n"/>
      <c r="O801" s="227" t="n"/>
      <c r="P801" s="227" t="n"/>
      <c r="Q801" s="227" t="n"/>
      <c r="R801" s="227" t="n"/>
      <c r="S801" s="227" t="n"/>
      <c r="T801" s="227" t="n"/>
    </row>
    <row r="802">
      <c r="A802" s="145">
        <f>IF($B802="","",ROW()-5)</f>
        <v/>
      </c>
      <c r="B802" s="127" t="n"/>
      <c r="C802" s="223" t="n"/>
      <c r="D802" s="127" t="n"/>
      <c r="E802" s="227" t="n"/>
      <c r="F802" s="227" t="n"/>
      <c r="G802" s="227" t="n"/>
      <c r="H802" s="227" t="n"/>
      <c r="I802" s="227" t="n"/>
      <c r="J802" s="227" t="n"/>
      <c r="K802" s="227" t="n"/>
      <c r="L802" s="227" t="n"/>
      <c r="M802" s="227" t="n"/>
      <c r="N802" s="127" t="n"/>
      <c r="O802" s="227" t="n"/>
      <c r="P802" s="227" t="n"/>
      <c r="Q802" s="227" t="n"/>
      <c r="R802" s="227" t="n"/>
      <c r="S802" s="227" t="n"/>
      <c r="T802" s="227" t="n"/>
    </row>
    <row r="803">
      <c r="A803" s="145">
        <f>IF($B803="","",ROW()-5)</f>
        <v/>
      </c>
      <c r="B803" s="127" t="n"/>
      <c r="C803" s="223" t="n"/>
      <c r="D803" s="127" t="n"/>
      <c r="E803" s="227" t="n"/>
      <c r="F803" s="227" t="n"/>
      <c r="G803" s="227" t="n"/>
      <c r="H803" s="227" t="n"/>
      <c r="I803" s="227" t="n"/>
      <c r="J803" s="227" t="n"/>
      <c r="K803" s="227" t="n"/>
      <c r="L803" s="227" t="n"/>
      <c r="M803" s="227" t="n"/>
      <c r="N803" s="127" t="n"/>
      <c r="O803" s="227" t="n"/>
      <c r="P803" s="227" t="n"/>
      <c r="Q803" s="227" t="n"/>
      <c r="R803" s="227" t="n"/>
      <c r="S803" s="227" t="n"/>
      <c r="T803" s="227" t="n"/>
    </row>
    <row r="804">
      <c r="A804" s="145">
        <f>IF($B804="","",ROW()-5)</f>
        <v/>
      </c>
      <c r="B804" s="127" t="n"/>
      <c r="C804" s="223" t="n"/>
      <c r="D804" s="127" t="n"/>
      <c r="E804" s="227" t="n"/>
      <c r="F804" s="227" t="n"/>
      <c r="G804" s="227" t="n"/>
      <c r="H804" s="227" t="n"/>
      <c r="I804" s="227" t="n"/>
      <c r="J804" s="227" t="n"/>
      <c r="K804" s="227" t="n"/>
      <c r="L804" s="227" t="n"/>
      <c r="M804" s="227" t="n"/>
      <c r="N804" s="127" t="n"/>
      <c r="O804" s="227" t="n"/>
      <c r="P804" s="227" t="n"/>
      <c r="Q804" s="227" t="n"/>
      <c r="R804" s="227" t="n"/>
      <c r="S804" s="227" t="n"/>
      <c r="T804" s="227" t="n"/>
    </row>
    <row r="805">
      <c r="A805" s="145">
        <f>IF($B805="","",ROW()-5)</f>
        <v/>
      </c>
      <c r="B805" s="127" t="n"/>
      <c r="C805" s="223" t="n"/>
      <c r="D805" s="127" t="n"/>
      <c r="E805" s="227" t="n"/>
      <c r="F805" s="227" t="n"/>
      <c r="G805" s="227" t="n"/>
      <c r="H805" s="227" t="n"/>
      <c r="I805" s="227" t="n"/>
      <c r="J805" s="227" t="n"/>
      <c r="K805" s="227" t="n"/>
      <c r="L805" s="227" t="n"/>
      <c r="M805" s="227" t="n"/>
      <c r="N805" s="127" t="n"/>
      <c r="O805" s="227" t="n"/>
      <c r="P805" s="227" t="n"/>
      <c r="Q805" s="227" t="n"/>
      <c r="R805" s="227" t="n"/>
      <c r="S805" s="227" t="n"/>
      <c r="T805" s="227" t="n"/>
    </row>
    <row r="806">
      <c r="A806" s="145">
        <f>IF($B806="","",ROW()-5)</f>
        <v/>
      </c>
      <c r="B806" s="127" t="n"/>
      <c r="C806" s="223" t="n"/>
      <c r="D806" s="127" t="n"/>
      <c r="E806" s="227" t="n"/>
      <c r="F806" s="227" t="n"/>
      <c r="G806" s="227" t="n"/>
      <c r="H806" s="227" t="n"/>
      <c r="I806" s="227" t="n"/>
      <c r="J806" s="227" t="n"/>
      <c r="K806" s="227" t="n"/>
      <c r="L806" s="227" t="n"/>
      <c r="M806" s="227" t="n"/>
      <c r="N806" s="127" t="n"/>
      <c r="O806" s="227" t="n"/>
      <c r="P806" s="227" t="n"/>
      <c r="Q806" s="227" t="n"/>
      <c r="R806" s="227" t="n"/>
      <c r="S806" s="227" t="n"/>
      <c r="T806" s="227" t="n"/>
    </row>
    <row r="807">
      <c r="A807" s="145">
        <f>IF($B807="","",ROW()-5)</f>
        <v/>
      </c>
      <c r="B807" s="127" t="n"/>
      <c r="C807" s="223" t="n"/>
      <c r="D807" s="127" t="n"/>
      <c r="E807" s="227" t="n"/>
      <c r="F807" s="227" t="n"/>
      <c r="G807" s="227" t="n"/>
      <c r="H807" s="227" t="n"/>
      <c r="I807" s="227" t="n"/>
      <c r="J807" s="227" t="n"/>
      <c r="K807" s="227" t="n"/>
      <c r="L807" s="227" t="n"/>
      <c r="M807" s="227" t="n"/>
      <c r="N807" s="127" t="n"/>
      <c r="O807" s="227" t="n"/>
      <c r="P807" s="227" t="n"/>
      <c r="Q807" s="227" t="n"/>
      <c r="R807" s="227" t="n"/>
      <c r="S807" s="227" t="n"/>
      <c r="T807" s="227" t="n"/>
    </row>
    <row r="808">
      <c r="A808" s="145">
        <f>IF($B808="","",ROW()-5)</f>
        <v/>
      </c>
      <c r="B808" s="127" t="n"/>
      <c r="C808" s="223" t="n"/>
      <c r="D808" s="127" t="n"/>
      <c r="E808" s="227" t="n"/>
      <c r="F808" s="227" t="n"/>
      <c r="G808" s="227" t="n"/>
      <c r="H808" s="227" t="n"/>
      <c r="I808" s="227" t="n"/>
      <c r="J808" s="227" t="n"/>
      <c r="K808" s="227" t="n"/>
      <c r="L808" s="227" t="n"/>
      <c r="M808" s="227" t="n"/>
      <c r="N808" s="127" t="n"/>
      <c r="O808" s="227" t="n"/>
      <c r="P808" s="227" t="n"/>
      <c r="Q808" s="227" t="n"/>
      <c r="R808" s="227" t="n"/>
      <c r="S808" s="227" t="n"/>
      <c r="T808" s="227" t="n"/>
    </row>
    <row r="809">
      <c r="A809" s="145">
        <f>IF($B809="","",ROW()-5)</f>
        <v/>
      </c>
      <c r="B809" s="127" t="n"/>
      <c r="C809" s="223" t="n"/>
      <c r="D809" s="127" t="n"/>
      <c r="E809" s="227" t="n"/>
      <c r="F809" s="227" t="n"/>
      <c r="G809" s="227" t="n"/>
      <c r="H809" s="227" t="n"/>
      <c r="I809" s="227" t="n"/>
      <c r="J809" s="227" t="n"/>
      <c r="K809" s="227" t="n"/>
      <c r="L809" s="227" t="n"/>
      <c r="M809" s="227" t="n"/>
      <c r="N809" s="127" t="n"/>
      <c r="O809" s="227" t="n"/>
      <c r="P809" s="227" t="n"/>
      <c r="Q809" s="227" t="n"/>
      <c r="R809" s="227" t="n"/>
      <c r="S809" s="227" t="n"/>
      <c r="T809" s="227" t="n"/>
    </row>
    <row r="810">
      <c r="A810" s="145">
        <f>IF($B810="","",ROW()-5)</f>
        <v/>
      </c>
      <c r="B810" s="127" t="n"/>
      <c r="C810" s="223" t="n"/>
      <c r="D810" s="127" t="n"/>
      <c r="E810" s="227" t="n"/>
      <c r="F810" s="227" t="n"/>
      <c r="G810" s="227" t="n"/>
      <c r="H810" s="227" t="n"/>
      <c r="I810" s="227" t="n"/>
      <c r="J810" s="227" t="n"/>
      <c r="K810" s="227" t="n"/>
      <c r="L810" s="227" t="n"/>
      <c r="M810" s="227" t="n"/>
      <c r="N810" s="127" t="n"/>
      <c r="O810" s="227" t="n"/>
      <c r="P810" s="227" t="n"/>
      <c r="Q810" s="227" t="n"/>
      <c r="R810" s="227" t="n"/>
      <c r="S810" s="227" t="n"/>
      <c r="T810" s="227" t="n"/>
    </row>
    <row r="811">
      <c r="A811" s="145">
        <f>IF($B811="","",ROW()-5)</f>
        <v/>
      </c>
      <c r="B811" s="127" t="n"/>
      <c r="C811" s="223" t="n"/>
      <c r="D811" s="127" t="n"/>
      <c r="E811" s="227" t="n"/>
      <c r="F811" s="227" t="n"/>
      <c r="G811" s="227" t="n"/>
      <c r="H811" s="227" t="n"/>
      <c r="I811" s="227" t="n"/>
      <c r="J811" s="227" t="n"/>
      <c r="K811" s="227" t="n"/>
      <c r="L811" s="227" t="n"/>
      <c r="M811" s="227" t="n"/>
      <c r="N811" s="127" t="n"/>
      <c r="O811" s="227" t="n"/>
      <c r="P811" s="227" t="n"/>
      <c r="Q811" s="227" t="n"/>
      <c r="R811" s="227" t="n"/>
      <c r="S811" s="227" t="n"/>
      <c r="T811" s="227" t="n"/>
    </row>
    <row r="812">
      <c r="A812" s="145">
        <f>IF($B812="","",ROW()-5)</f>
        <v/>
      </c>
      <c r="B812" s="127" t="n"/>
      <c r="C812" s="223" t="n"/>
      <c r="D812" s="127" t="n"/>
      <c r="E812" s="227" t="n"/>
      <c r="F812" s="227" t="n"/>
      <c r="G812" s="227" t="n"/>
      <c r="H812" s="227" t="n"/>
      <c r="I812" s="227" t="n"/>
      <c r="J812" s="227" t="n"/>
      <c r="K812" s="227" t="n"/>
      <c r="L812" s="227" t="n"/>
      <c r="M812" s="227" t="n"/>
      <c r="N812" s="127" t="n"/>
      <c r="O812" s="227" t="n"/>
      <c r="P812" s="227" t="n"/>
      <c r="Q812" s="227" t="n"/>
      <c r="R812" s="227" t="n"/>
      <c r="S812" s="227" t="n"/>
      <c r="T812" s="227" t="n"/>
    </row>
    <row r="813">
      <c r="A813" s="145">
        <f>IF($B813="","",ROW()-5)</f>
        <v/>
      </c>
      <c r="B813" s="127" t="n"/>
      <c r="C813" s="223" t="n"/>
      <c r="D813" s="127" t="n"/>
      <c r="E813" s="227" t="n"/>
      <c r="F813" s="227" t="n"/>
      <c r="G813" s="227" t="n"/>
      <c r="H813" s="227" t="n"/>
      <c r="I813" s="227" t="n"/>
      <c r="J813" s="227" t="n"/>
      <c r="K813" s="227" t="n"/>
      <c r="L813" s="227" t="n"/>
      <c r="M813" s="227" t="n"/>
      <c r="N813" s="127" t="n"/>
      <c r="O813" s="227" t="n"/>
      <c r="P813" s="227" t="n"/>
      <c r="Q813" s="227" t="n"/>
      <c r="R813" s="227" t="n"/>
      <c r="S813" s="227" t="n"/>
      <c r="T813" s="227" t="n"/>
    </row>
    <row r="814">
      <c r="A814" s="145">
        <f>IF($B814="","",ROW()-5)</f>
        <v/>
      </c>
      <c r="B814" s="127" t="n"/>
      <c r="C814" s="223" t="n"/>
      <c r="D814" s="127" t="n"/>
      <c r="E814" s="227" t="n"/>
      <c r="F814" s="227" t="n"/>
      <c r="G814" s="227" t="n"/>
      <c r="H814" s="227" t="n"/>
      <c r="I814" s="227" t="n"/>
      <c r="J814" s="227" t="n"/>
      <c r="K814" s="227" t="n"/>
      <c r="L814" s="227" t="n"/>
      <c r="M814" s="227" t="n"/>
      <c r="N814" s="127" t="n"/>
      <c r="O814" s="227" t="n"/>
      <c r="P814" s="227" t="n"/>
      <c r="Q814" s="227" t="n"/>
      <c r="R814" s="227" t="n"/>
      <c r="S814" s="227" t="n"/>
      <c r="T814" s="227" t="n"/>
    </row>
    <row r="815">
      <c r="A815" s="145">
        <f>IF($B815="","",ROW()-5)</f>
        <v/>
      </c>
      <c r="B815" s="127" t="n"/>
      <c r="C815" s="223" t="n"/>
      <c r="D815" s="127" t="n"/>
      <c r="E815" s="227" t="n"/>
      <c r="F815" s="227" t="n"/>
      <c r="G815" s="227" t="n"/>
      <c r="H815" s="227" t="n"/>
      <c r="I815" s="227" t="n"/>
      <c r="J815" s="227" t="n"/>
      <c r="K815" s="227" t="n"/>
      <c r="L815" s="227" t="n"/>
      <c r="M815" s="227" t="n"/>
      <c r="N815" s="127" t="n"/>
      <c r="O815" s="227" t="n"/>
      <c r="P815" s="227" t="n"/>
      <c r="Q815" s="227" t="n"/>
      <c r="R815" s="227" t="n"/>
      <c r="S815" s="227" t="n"/>
      <c r="T815" s="227" t="n"/>
    </row>
    <row r="816">
      <c r="A816" s="145">
        <f>IF($B816="","",ROW()-5)</f>
        <v/>
      </c>
      <c r="B816" s="127" t="n"/>
      <c r="C816" s="223" t="n"/>
      <c r="D816" s="127" t="n"/>
      <c r="E816" s="227" t="n"/>
      <c r="F816" s="227" t="n"/>
      <c r="G816" s="227" t="n"/>
      <c r="H816" s="227" t="n"/>
      <c r="I816" s="227" t="n"/>
      <c r="J816" s="227" t="n"/>
      <c r="K816" s="227" t="n"/>
      <c r="L816" s="227" t="n"/>
      <c r="M816" s="227" t="n"/>
      <c r="N816" s="127" t="n"/>
      <c r="O816" s="227" t="n"/>
      <c r="P816" s="227" t="n"/>
      <c r="Q816" s="227" t="n"/>
      <c r="R816" s="227" t="n"/>
      <c r="S816" s="227" t="n"/>
      <c r="T816" s="227" t="n"/>
    </row>
    <row r="817">
      <c r="A817" s="145">
        <f>IF($B817="","",ROW()-5)</f>
        <v/>
      </c>
      <c r="B817" s="127" t="n"/>
      <c r="C817" s="223" t="n"/>
      <c r="D817" s="127" t="n"/>
      <c r="E817" s="227" t="n"/>
      <c r="F817" s="227" t="n"/>
      <c r="G817" s="227" t="n"/>
      <c r="H817" s="227" t="n"/>
      <c r="I817" s="227" t="n"/>
      <c r="J817" s="227" t="n"/>
      <c r="K817" s="227" t="n"/>
      <c r="L817" s="227" t="n"/>
      <c r="M817" s="227" t="n"/>
      <c r="N817" s="127" t="n"/>
      <c r="O817" s="227" t="n"/>
      <c r="P817" s="227" t="n"/>
      <c r="Q817" s="227" t="n"/>
      <c r="R817" s="227" t="n"/>
      <c r="S817" s="227" t="n"/>
      <c r="T817" s="227" t="n"/>
    </row>
    <row r="818">
      <c r="A818" s="145">
        <f>IF($B818="","",ROW()-5)</f>
        <v/>
      </c>
      <c r="B818" s="127" t="n"/>
      <c r="C818" s="223" t="n"/>
      <c r="D818" s="127" t="n"/>
      <c r="E818" s="227" t="n"/>
      <c r="F818" s="227" t="n"/>
      <c r="G818" s="227" t="n"/>
      <c r="H818" s="227" t="n"/>
      <c r="I818" s="227" t="n"/>
      <c r="J818" s="227" t="n"/>
      <c r="K818" s="227" t="n"/>
      <c r="L818" s="227" t="n"/>
      <c r="M818" s="227" t="n"/>
      <c r="N818" s="127" t="n"/>
      <c r="O818" s="227" t="n"/>
      <c r="P818" s="227" t="n"/>
      <c r="Q818" s="227" t="n"/>
      <c r="R818" s="227" t="n"/>
      <c r="S818" s="227" t="n"/>
      <c r="T818" s="227" t="n"/>
    </row>
    <row r="819">
      <c r="A819" s="145">
        <f>IF($B819="","",ROW()-5)</f>
        <v/>
      </c>
      <c r="B819" s="127" t="n"/>
      <c r="C819" s="223" t="n"/>
      <c r="D819" s="127" t="n"/>
      <c r="E819" s="227" t="n"/>
      <c r="F819" s="227" t="n"/>
      <c r="G819" s="227" t="n"/>
      <c r="H819" s="227" t="n"/>
      <c r="I819" s="227" t="n"/>
      <c r="J819" s="227" t="n"/>
      <c r="K819" s="227" t="n"/>
      <c r="L819" s="227" t="n"/>
      <c r="M819" s="227" t="n"/>
      <c r="N819" s="127" t="n"/>
      <c r="O819" s="227" t="n"/>
      <c r="P819" s="227" t="n"/>
      <c r="Q819" s="227" t="n"/>
      <c r="R819" s="227" t="n"/>
      <c r="S819" s="227" t="n"/>
      <c r="T819" s="227" t="n"/>
    </row>
    <row r="820">
      <c r="A820" s="145">
        <f>IF($B820="","",ROW()-5)</f>
        <v/>
      </c>
      <c r="B820" s="127" t="n"/>
      <c r="C820" s="223" t="n"/>
      <c r="D820" s="127" t="n"/>
      <c r="E820" s="227" t="n"/>
      <c r="F820" s="227" t="n"/>
      <c r="G820" s="227" t="n"/>
      <c r="H820" s="227" t="n"/>
      <c r="I820" s="227" t="n"/>
      <c r="J820" s="227" t="n"/>
      <c r="K820" s="227" t="n"/>
      <c r="L820" s="227" t="n"/>
      <c r="M820" s="227" t="n"/>
      <c r="N820" s="127" t="n"/>
      <c r="O820" s="227" t="n"/>
      <c r="P820" s="227" t="n"/>
      <c r="Q820" s="227" t="n"/>
      <c r="R820" s="227" t="n"/>
      <c r="S820" s="227" t="n"/>
      <c r="T820" s="227" t="n"/>
    </row>
    <row r="821">
      <c r="A821" s="145">
        <f>IF($B821="","",ROW()-5)</f>
        <v/>
      </c>
      <c r="B821" s="127" t="n"/>
      <c r="C821" s="223" t="n"/>
      <c r="D821" s="127" t="n"/>
      <c r="E821" s="227" t="n"/>
      <c r="F821" s="227" t="n"/>
      <c r="G821" s="227" t="n"/>
      <c r="H821" s="227" t="n"/>
      <c r="I821" s="227" t="n"/>
      <c r="J821" s="227" t="n"/>
      <c r="K821" s="227" t="n"/>
      <c r="L821" s="227" t="n"/>
      <c r="M821" s="227" t="n"/>
      <c r="N821" s="127" t="n"/>
      <c r="O821" s="227" t="n"/>
      <c r="P821" s="227" t="n"/>
      <c r="Q821" s="227" t="n"/>
      <c r="R821" s="227" t="n"/>
      <c r="S821" s="227" t="n"/>
      <c r="T821" s="227" t="n"/>
    </row>
    <row r="822">
      <c r="A822" s="145">
        <f>IF($B822="","",ROW()-5)</f>
        <v/>
      </c>
      <c r="B822" s="127" t="n"/>
      <c r="C822" s="223" t="n"/>
      <c r="D822" s="127" t="n"/>
      <c r="E822" s="227" t="n"/>
      <c r="F822" s="227" t="n"/>
      <c r="G822" s="227" t="n"/>
      <c r="H822" s="227" t="n"/>
      <c r="I822" s="227" t="n"/>
      <c r="J822" s="227" t="n"/>
      <c r="K822" s="227" t="n"/>
      <c r="L822" s="227" t="n"/>
      <c r="M822" s="227" t="n"/>
      <c r="N822" s="127" t="n"/>
      <c r="O822" s="227" t="n"/>
      <c r="P822" s="227" t="n"/>
      <c r="Q822" s="227" t="n"/>
      <c r="R822" s="227" t="n"/>
      <c r="S822" s="227" t="n"/>
      <c r="T822" s="227" t="n"/>
    </row>
    <row r="823">
      <c r="A823" s="145">
        <f>IF($B823="","",ROW()-5)</f>
        <v/>
      </c>
      <c r="B823" s="127" t="n"/>
      <c r="C823" s="223" t="n"/>
      <c r="D823" s="127" t="n"/>
      <c r="E823" s="227" t="n"/>
      <c r="F823" s="227" t="n"/>
      <c r="G823" s="227" t="n"/>
      <c r="H823" s="227" t="n"/>
      <c r="I823" s="227" t="n"/>
      <c r="J823" s="227" t="n"/>
      <c r="K823" s="227" t="n"/>
      <c r="L823" s="227" t="n"/>
      <c r="M823" s="227" t="n"/>
      <c r="N823" s="127" t="n"/>
      <c r="O823" s="227" t="n"/>
      <c r="P823" s="227" t="n"/>
      <c r="Q823" s="227" t="n"/>
      <c r="R823" s="227" t="n"/>
      <c r="S823" s="227" t="n"/>
      <c r="T823" s="227" t="n"/>
    </row>
    <row r="824">
      <c r="A824" s="145">
        <f>IF($B824="","",ROW()-5)</f>
        <v/>
      </c>
      <c r="B824" s="127" t="n"/>
      <c r="C824" s="223" t="n"/>
      <c r="D824" s="127" t="n"/>
      <c r="E824" s="227" t="n"/>
      <c r="F824" s="227" t="n"/>
      <c r="G824" s="227" t="n"/>
      <c r="H824" s="227" t="n"/>
      <c r="I824" s="227" t="n"/>
      <c r="J824" s="227" t="n"/>
      <c r="K824" s="227" t="n"/>
      <c r="L824" s="227" t="n"/>
      <c r="M824" s="227" t="n"/>
      <c r="N824" s="127" t="n"/>
      <c r="O824" s="227" t="n"/>
      <c r="P824" s="227" t="n"/>
      <c r="Q824" s="227" t="n"/>
      <c r="R824" s="227" t="n"/>
      <c r="S824" s="227" t="n"/>
      <c r="T824" s="227" t="n"/>
    </row>
    <row r="825">
      <c r="A825" s="145">
        <f>IF($B825="","",ROW()-5)</f>
        <v/>
      </c>
      <c r="B825" s="127" t="n"/>
      <c r="C825" s="223" t="n"/>
      <c r="D825" s="127" t="n"/>
      <c r="E825" s="227" t="n"/>
      <c r="F825" s="227" t="n"/>
      <c r="G825" s="227" t="n"/>
      <c r="H825" s="227" t="n"/>
      <c r="I825" s="227" t="n"/>
      <c r="J825" s="227" t="n"/>
      <c r="K825" s="227" t="n"/>
      <c r="L825" s="227" t="n"/>
      <c r="M825" s="227" t="n"/>
      <c r="N825" s="127" t="n"/>
      <c r="O825" s="227" t="n"/>
      <c r="P825" s="227" t="n"/>
      <c r="Q825" s="227" t="n"/>
      <c r="R825" s="227" t="n"/>
      <c r="S825" s="227" t="n"/>
      <c r="T825" s="227" t="n"/>
    </row>
    <row r="826">
      <c r="A826" s="145">
        <f>IF($B826="","",ROW()-5)</f>
        <v/>
      </c>
      <c r="B826" s="127" t="n"/>
      <c r="C826" s="223" t="n"/>
      <c r="D826" s="127" t="n"/>
      <c r="E826" s="227" t="n"/>
      <c r="F826" s="227" t="n"/>
      <c r="G826" s="227" t="n"/>
      <c r="H826" s="227" t="n"/>
      <c r="I826" s="227" t="n"/>
      <c r="J826" s="227" t="n"/>
      <c r="K826" s="227" t="n"/>
      <c r="L826" s="227" t="n"/>
      <c r="M826" s="227" t="n"/>
      <c r="N826" s="127" t="n"/>
      <c r="O826" s="227" t="n"/>
      <c r="P826" s="227" t="n"/>
      <c r="Q826" s="227" t="n"/>
      <c r="R826" s="227" t="n"/>
      <c r="S826" s="227" t="n"/>
      <c r="T826" s="227" t="n"/>
    </row>
    <row r="827">
      <c r="A827" s="145">
        <f>IF($B827="","",ROW()-5)</f>
        <v/>
      </c>
      <c r="B827" s="127" t="n"/>
      <c r="C827" s="223" t="n"/>
      <c r="D827" s="127" t="n"/>
      <c r="E827" s="227" t="n"/>
      <c r="F827" s="227" t="n"/>
      <c r="G827" s="227" t="n"/>
      <c r="H827" s="227" t="n"/>
      <c r="I827" s="227" t="n"/>
      <c r="J827" s="227" t="n"/>
      <c r="K827" s="227" t="n"/>
      <c r="L827" s="227" t="n"/>
      <c r="M827" s="227" t="n"/>
      <c r="N827" s="127" t="n"/>
      <c r="O827" s="227" t="n"/>
      <c r="P827" s="227" t="n"/>
      <c r="Q827" s="227" t="n"/>
      <c r="R827" s="227" t="n"/>
      <c r="S827" s="227" t="n"/>
      <c r="T827" s="227" t="n"/>
    </row>
    <row r="828">
      <c r="A828" s="145">
        <f>IF($B828="","",ROW()-5)</f>
        <v/>
      </c>
      <c r="B828" s="127" t="n"/>
      <c r="C828" s="223" t="n"/>
      <c r="D828" s="127" t="n"/>
      <c r="E828" s="227" t="n"/>
      <c r="F828" s="227" t="n"/>
      <c r="G828" s="227" t="n"/>
      <c r="H828" s="227" t="n"/>
      <c r="I828" s="227" t="n"/>
      <c r="J828" s="227" t="n"/>
      <c r="K828" s="227" t="n"/>
      <c r="L828" s="227" t="n"/>
      <c r="M828" s="227" t="n"/>
      <c r="N828" s="127" t="n"/>
      <c r="O828" s="227" t="n"/>
      <c r="P828" s="227" t="n"/>
      <c r="Q828" s="227" t="n"/>
      <c r="R828" s="227" t="n"/>
      <c r="S828" s="227" t="n"/>
      <c r="T828" s="227" t="n"/>
    </row>
    <row r="829">
      <c r="A829" s="145">
        <f>IF($B829="","",ROW()-5)</f>
        <v/>
      </c>
      <c r="B829" s="127" t="n"/>
      <c r="C829" s="223" t="n"/>
      <c r="D829" s="127" t="n"/>
      <c r="E829" s="227" t="n"/>
      <c r="F829" s="227" t="n"/>
      <c r="G829" s="227" t="n"/>
      <c r="H829" s="227" t="n"/>
      <c r="I829" s="227" t="n"/>
      <c r="J829" s="227" t="n"/>
      <c r="K829" s="227" t="n"/>
      <c r="L829" s="227" t="n"/>
      <c r="M829" s="227" t="n"/>
      <c r="N829" s="127" t="n"/>
      <c r="O829" s="227" t="n"/>
      <c r="P829" s="227" t="n"/>
      <c r="Q829" s="227" t="n"/>
      <c r="R829" s="227" t="n"/>
      <c r="S829" s="227" t="n"/>
      <c r="T829" s="227" t="n"/>
    </row>
    <row r="830">
      <c r="A830" s="145">
        <f>IF($B830="","",ROW()-5)</f>
        <v/>
      </c>
      <c r="B830" s="127" t="n"/>
      <c r="C830" s="223" t="n"/>
      <c r="D830" s="127" t="n"/>
      <c r="E830" s="227" t="n"/>
      <c r="F830" s="227" t="n"/>
      <c r="G830" s="227" t="n"/>
      <c r="H830" s="227" t="n"/>
      <c r="I830" s="227" t="n"/>
      <c r="J830" s="227" t="n"/>
      <c r="K830" s="227" t="n"/>
      <c r="L830" s="227" t="n"/>
      <c r="M830" s="227" t="n"/>
      <c r="N830" s="127" t="n"/>
      <c r="O830" s="227" t="n"/>
      <c r="P830" s="227" t="n"/>
      <c r="Q830" s="227" t="n"/>
      <c r="R830" s="227" t="n"/>
      <c r="S830" s="227" t="n"/>
      <c r="T830" s="227" t="n"/>
    </row>
    <row r="831">
      <c r="A831" s="145">
        <f>IF($B831="","",ROW()-5)</f>
        <v/>
      </c>
      <c r="B831" s="127" t="n"/>
      <c r="C831" s="223" t="n"/>
      <c r="D831" s="127" t="n"/>
      <c r="E831" s="227" t="n"/>
      <c r="F831" s="227" t="n"/>
      <c r="G831" s="227" t="n"/>
      <c r="H831" s="227" t="n"/>
      <c r="I831" s="227" t="n"/>
      <c r="J831" s="227" t="n"/>
      <c r="K831" s="227" t="n"/>
      <c r="L831" s="227" t="n"/>
      <c r="M831" s="227" t="n"/>
      <c r="N831" s="127" t="n"/>
      <c r="O831" s="227" t="n"/>
      <c r="P831" s="227" t="n"/>
      <c r="Q831" s="227" t="n"/>
      <c r="R831" s="227" t="n"/>
      <c r="S831" s="227" t="n"/>
      <c r="T831" s="227" t="n"/>
    </row>
    <row r="832">
      <c r="A832" s="145">
        <f>IF($B832="","",ROW()-5)</f>
        <v/>
      </c>
      <c r="B832" s="127" t="n"/>
      <c r="C832" s="223" t="n"/>
      <c r="D832" s="127" t="n"/>
      <c r="E832" s="227" t="n"/>
      <c r="F832" s="227" t="n"/>
      <c r="G832" s="227" t="n"/>
      <c r="H832" s="227" t="n"/>
      <c r="I832" s="227" t="n"/>
      <c r="J832" s="227" t="n"/>
      <c r="K832" s="227" t="n"/>
      <c r="L832" s="227" t="n"/>
      <c r="M832" s="227" t="n"/>
      <c r="N832" s="127" t="n"/>
      <c r="O832" s="227" t="n"/>
      <c r="P832" s="227" t="n"/>
      <c r="Q832" s="227" t="n"/>
      <c r="R832" s="227" t="n"/>
      <c r="S832" s="227" t="n"/>
      <c r="T832" s="227" t="n"/>
    </row>
    <row r="833">
      <c r="A833" s="145">
        <f>IF($B833="","",ROW()-5)</f>
        <v/>
      </c>
      <c r="B833" s="127" t="n"/>
      <c r="C833" s="223" t="n"/>
      <c r="D833" s="127" t="n"/>
      <c r="E833" s="227" t="n"/>
      <c r="F833" s="227" t="n"/>
      <c r="G833" s="227" t="n"/>
      <c r="H833" s="227" t="n"/>
      <c r="I833" s="227" t="n"/>
      <c r="J833" s="227" t="n"/>
      <c r="K833" s="227" t="n"/>
      <c r="L833" s="227" t="n"/>
      <c r="M833" s="227" t="n"/>
      <c r="N833" s="127" t="n"/>
      <c r="O833" s="227" t="n"/>
      <c r="P833" s="227" t="n"/>
      <c r="Q833" s="227" t="n"/>
      <c r="R833" s="227" t="n"/>
      <c r="S833" s="227" t="n"/>
      <c r="T833" s="227" t="n"/>
    </row>
    <row r="834">
      <c r="A834" s="145">
        <f>IF($B834="","",ROW()-5)</f>
        <v/>
      </c>
      <c r="B834" s="127" t="n"/>
      <c r="C834" s="223" t="n"/>
      <c r="D834" s="127" t="n"/>
      <c r="E834" s="227" t="n"/>
      <c r="F834" s="227" t="n"/>
      <c r="G834" s="227" t="n"/>
      <c r="H834" s="227" t="n"/>
      <c r="I834" s="227" t="n"/>
      <c r="J834" s="227" t="n"/>
      <c r="K834" s="227" t="n"/>
      <c r="L834" s="227" t="n"/>
      <c r="M834" s="227" t="n"/>
      <c r="N834" s="127" t="n"/>
      <c r="O834" s="227" t="n"/>
      <c r="P834" s="227" t="n"/>
      <c r="Q834" s="227" t="n"/>
      <c r="R834" s="227" t="n"/>
      <c r="S834" s="227" t="n"/>
      <c r="T834" s="227" t="n"/>
    </row>
    <row r="835">
      <c r="A835" s="145">
        <f>IF($B835="","",ROW()-5)</f>
        <v/>
      </c>
      <c r="B835" s="127" t="n"/>
      <c r="C835" s="223" t="n"/>
      <c r="D835" s="127" t="n"/>
      <c r="E835" s="227" t="n"/>
      <c r="F835" s="227" t="n"/>
      <c r="G835" s="227" t="n"/>
      <c r="H835" s="227" t="n"/>
      <c r="I835" s="227" t="n"/>
      <c r="J835" s="227" t="n"/>
      <c r="K835" s="227" t="n"/>
      <c r="L835" s="227" t="n"/>
      <c r="M835" s="227" t="n"/>
      <c r="N835" s="127" t="n"/>
      <c r="O835" s="227" t="n"/>
      <c r="P835" s="227" t="n"/>
      <c r="Q835" s="227" t="n"/>
      <c r="R835" s="227" t="n"/>
      <c r="S835" s="227" t="n"/>
      <c r="T835" s="227" t="n"/>
    </row>
    <row r="836">
      <c r="A836" s="145">
        <f>IF($B836="","",ROW()-5)</f>
        <v/>
      </c>
      <c r="B836" s="127" t="n"/>
      <c r="C836" s="223" t="n"/>
      <c r="D836" s="127" t="n"/>
      <c r="E836" s="227" t="n"/>
      <c r="F836" s="227" t="n"/>
      <c r="G836" s="227" t="n"/>
      <c r="H836" s="227" t="n"/>
      <c r="I836" s="227" t="n"/>
      <c r="J836" s="227" t="n"/>
      <c r="K836" s="227" t="n"/>
      <c r="L836" s="227" t="n"/>
      <c r="M836" s="227" t="n"/>
      <c r="N836" s="127" t="n"/>
      <c r="O836" s="227" t="n"/>
      <c r="P836" s="227" t="n"/>
      <c r="Q836" s="227" t="n"/>
      <c r="R836" s="227" t="n"/>
      <c r="S836" s="227" t="n"/>
      <c r="T836" s="227" t="n"/>
    </row>
    <row r="837">
      <c r="A837" s="145">
        <f>IF($B837="","",ROW()-5)</f>
        <v/>
      </c>
      <c r="B837" s="127" t="n"/>
      <c r="C837" s="223" t="n"/>
      <c r="D837" s="127" t="n"/>
      <c r="E837" s="227" t="n"/>
      <c r="F837" s="227" t="n"/>
      <c r="G837" s="227" t="n"/>
      <c r="H837" s="227" t="n"/>
      <c r="I837" s="227" t="n"/>
      <c r="J837" s="227" t="n"/>
      <c r="K837" s="227" t="n"/>
      <c r="L837" s="227" t="n"/>
      <c r="M837" s="227" t="n"/>
      <c r="N837" s="127" t="n"/>
      <c r="O837" s="227" t="n"/>
      <c r="P837" s="227" t="n"/>
      <c r="Q837" s="227" t="n"/>
      <c r="R837" s="227" t="n"/>
      <c r="S837" s="227" t="n"/>
      <c r="T837" s="227" t="n"/>
    </row>
    <row r="838">
      <c r="A838" s="145">
        <f>IF($B838="","",ROW()-5)</f>
        <v/>
      </c>
      <c r="B838" s="127" t="n"/>
      <c r="C838" s="223" t="n"/>
      <c r="D838" s="127" t="n"/>
      <c r="E838" s="227" t="n"/>
      <c r="F838" s="227" t="n"/>
      <c r="G838" s="227" t="n"/>
      <c r="H838" s="227" t="n"/>
      <c r="I838" s="227" t="n"/>
      <c r="J838" s="227" t="n"/>
      <c r="K838" s="227" t="n"/>
      <c r="L838" s="227" t="n"/>
      <c r="M838" s="227" t="n"/>
      <c r="N838" s="127" t="n"/>
      <c r="O838" s="227" t="n"/>
      <c r="P838" s="227" t="n"/>
      <c r="Q838" s="227" t="n"/>
      <c r="R838" s="227" t="n"/>
      <c r="S838" s="227" t="n"/>
      <c r="T838" s="227" t="n"/>
    </row>
    <row r="839">
      <c r="A839" s="145">
        <f>IF($B839="","",ROW()-5)</f>
        <v/>
      </c>
      <c r="B839" s="127" t="n"/>
      <c r="C839" s="223" t="n"/>
      <c r="D839" s="127" t="n"/>
      <c r="E839" s="227" t="n"/>
      <c r="F839" s="227" t="n"/>
      <c r="G839" s="227" t="n"/>
      <c r="H839" s="227" t="n"/>
      <c r="I839" s="227" t="n"/>
      <c r="J839" s="227" t="n"/>
      <c r="K839" s="227" t="n"/>
      <c r="L839" s="227" t="n"/>
      <c r="M839" s="227" t="n"/>
      <c r="N839" s="127" t="n"/>
      <c r="O839" s="227" t="n"/>
      <c r="P839" s="227" t="n"/>
      <c r="Q839" s="227" t="n"/>
      <c r="R839" s="227" t="n"/>
      <c r="S839" s="227" t="n"/>
      <c r="T839" s="227" t="n"/>
    </row>
    <row r="840">
      <c r="A840" s="145">
        <f>IF($B840="","",ROW()-5)</f>
        <v/>
      </c>
      <c r="B840" s="127" t="n"/>
      <c r="C840" s="223" t="n"/>
      <c r="D840" s="127" t="n"/>
      <c r="E840" s="227" t="n"/>
      <c r="F840" s="227" t="n"/>
      <c r="G840" s="227" t="n"/>
      <c r="H840" s="227" t="n"/>
      <c r="I840" s="227" t="n"/>
      <c r="J840" s="227" t="n"/>
      <c r="K840" s="227" t="n"/>
      <c r="L840" s="227" t="n"/>
      <c r="M840" s="227" t="n"/>
      <c r="N840" s="127" t="n"/>
      <c r="O840" s="227" t="n"/>
      <c r="P840" s="227" t="n"/>
      <c r="Q840" s="227" t="n"/>
      <c r="R840" s="227" t="n"/>
      <c r="S840" s="227" t="n"/>
      <c r="T840" s="227" t="n"/>
    </row>
    <row r="841">
      <c r="A841" s="145">
        <f>IF($B841="","",ROW()-5)</f>
        <v/>
      </c>
      <c r="B841" s="127" t="n"/>
      <c r="C841" s="223" t="n"/>
      <c r="D841" s="127" t="n"/>
      <c r="E841" s="227" t="n"/>
      <c r="F841" s="227" t="n"/>
      <c r="G841" s="227" t="n"/>
      <c r="H841" s="227" t="n"/>
      <c r="I841" s="227" t="n"/>
      <c r="J841" s="227" t="n"/>
      <c r="K841" s="227" t="n"/>
      <c r="L841" s="227" t="n"/>
      <c r="M841" s="227" t="n"/>
      <c r="N841" s="127" t="n"/>
      <c r="O841" s="227" t="n"/>
      <c r="P841" s="227" t="n"/>
      <c r="Q841" s="227" t="n"/>
      <c r="R841" s="227" t="n"/>
      <c r="S841" s="227" t="n"/>
      <c r="T841" s="227" t="n"/>
    </row>
    <row r="842">
      <c r="A842" s="145">
        <f>IF($B842="","",ROW()-5)</f>
        <v/>
      </c>
      <c r="B842" s="127" t="n"/>
      <c r="C842" s="223" t="n"/>
      <c r="D842" s="127" t="n"/>
      <c r="E842" s="227" t="n"/>
      <c r="F842" s="227" t="n"/>
      <c r="G842" s="227" t="n"/>
      <c r="H842" s="227" t="n"/>
      <c r="I842" s="227" t="n"/>
      <c r="J842" s="227" t="n"/>
      <c r="K842" s="227" t="n"/>
      <c r="L842" s="227" t="n"/>
      <c r="M842" s="227" t="n"/>
      <c r="N842" s="127" t="n"/>
      <c r="O842" s="227" t="n"/>
      <c r="P842" s="227" t="n"/>
      <c r="Q842" s="227" t="n"/>
      <c r="R842" s="227" t="n"/>
      <c r="S842" s="227" t="n"/>
      <c r="T842" s="227" t="n"/>
    </row>
    <row r="843">
      <c r="A843" s="145">
        <f>IF($B843="","",ROW()-5)</f>
        <v/>
      </c>
      <c r="B843" s="127" t="n"/>
      <c r="C843" s="223" t="n"/>
      <c r="D843" s="127" t="n"/>
      <c r="E843" s="227" t="n"/>
      <c r="F843" s="227" t="n"/>
      <c r="G843" s="227" t="n"/>
      <c r="H843" s="227" t="n"/>
      <c r="I843" s="227" t="n"/>
      <c r="J843" s="227" t="n"/>
      <c r="K843" s="227" t="n"/>
      <c r="L843" s="227" t="n"/>
      <c r="M843" s="227" t="n"/>
      <c r="N843" s="127" t="n"/>
      <c r="O843" s="227" t="n"/>
      <c r="P843" s="227" t="n"/>
      <c r="Q843" s="227" t="n"/>
      <c r="R843" s="227" t="n"/>
      <c r="S843" s="227" t="n"/>
      <c r="T843" s="227" t="n"/>
    </row>
    <row r="844">
      <c r="A844" s="145">
        <f>IF($B844="","",ROW()-5)</f>
        <v/>
      </c>
      <c r="B844" s="127" t="n"/>
      <c r="C844" s="223" t="n"/>
      <c r="D844" s="127" t="n"/>
      <c r="E844" s="227" t="n"/>
      <c r="F844" s="227" t="n"/>
      <c r="G844" s="227" t="n"/>
      <c r="H844" s="227" t="n"/>
      <c r="I844" s="227" t="n"/>
      <c r="J844" s="227" t="n"/>
      <c r="K844" s="227" t="n"/>
      <c r="L844" s="227" t="n"/>
      <c r="M844" s="227" t="n"/>
      <c r="N844" s="127" t="n"/>
      <c r="O844" s="227" t="n"/>
      <c r="P844" s="227" t="n"/>
      <c r="Q844" s="227" t="n"/>
      <c r="R844" s="227" t="n"/>
      <c r="S844" s="227" t="n"/>
      <c r="T844" s="227" t="n"/>
    </row>
    <row r="845">
      <c r="A845" s="145">
        <f>IF($B845="","",ROW()-5)</f>
        <v/>
      </c>
      <c r="B845" s="127" t="n"/>
      <c r="C845" s="223" t="n"/>
      <c r="D845" s="127" t="n"/>
      <c r="E845" s="227" t="n"/>
      <c r="F845" s="227" t="n"/>
      <c r="G845" s="227" t="n"/>
      <c r="H845" s="227" t="n"/>
      <c r="I845" s="227" t="n"/>
      <c r="J845" s="227" t="n"/>
      <c r="K845" s="227" t="n"/>
      <c r="L845" s="227" t="n"/>
      <c r="M845" s="227" t="n"/>
      <c r="N845" s="127" t="n"/>
      <c r="O845" s="227" t="n"/>
      <c r="P845" s="227" t="n"/>
      <c r="Q845" s="227" t="n"/>
      <c r="R845" s="227" t="n"/>
      <c r="S845" s="227" t="n"/>
      <c r="T845" s="227" t="n"/>
    </row>
    <row r="846">
      <c r="A846" s="145">
        <f>IF($B846="","",ROW()-5)</f>
        <v/>
      </c>
      <c r="B846" s="127" t="n"/>
      <c r="C846" s="223" t="n"/>
      <c r="D846" s="127" t="n"/>
      <c r="E846" s="227" t="n"/>
      <c r="F846" s="227" t="n"/>
      <c r="G846" s="227" t="n"/>
      <c r="H846" s="227" t="n"/>
      <c r="I846" s="227" t="n"/>
      <c r="J846" s="227" t="n"/>
      <c r="K846" s="227" t="n"/>
      <c r="L846" s="227" t="n"/>
      <c r="M846" s="227" t="n"/>
      <c r="N846" s="127" t="n"/>
      <c r="O846" s="227" t="n"/>
      <c r="P846" s="227" t="n"/>
      <c r="Q846" s="227" t="n"/>
      <c r="R846" s="227" t="n"/>
      <c r="S846" s="227" t="n"/>
      <c r="T846" s="227" t="n"/>
    </row>
    <row r="847">
      <c r="A847" s="145">
        <f>IF($B847="","",ROW()-5)</f>
        <v/>
      </c>
      <c r="B847" s="127" t="n"/>
      <c r="C847" s="223" t="n"/>
      <c r="D847" s="127" t="n"/>
      <c r="E847" s="227" t="n"/>
      <c r="F847" s="227" t="n"/>
      <c r="G847" s="227" t="n"/>
      <c r="H847" s="227" t="n"/>
      <c r="I847" s="227" t="n"/>
      <c r="J847" s="227" t="n"/>
      <c r="K847" s="227" t="n"/>
      <c r="L847" s="227" t="n"/>
      <c r="M847" s="227" t="n"/>
      <c r="N847" s="127" t="n"/>
      <c r="O847" s="227" t="n"/>
      <c r="P847" s="227" t="n"/>
      <c r="Q847" s="227" t="n"/>
      <c r="R847" s="227" t="n"/>
      <c r="S847" s="227" t="n"/>
      <c r="T847" s="227" t="n"/>
    </row>
    <row r="848">
      <c r="A848" s="145">
        <f>IF($B848="","",ROW()-5)</f>
        <v/>
      </c>
      <c r="B848" s="127" t="n"/>
      <c r="C848" s="223" t="n"/>
      <c r="D848" s="127" t="n"/>
      <c r="E848" s="227" t="n"/>
      <c r="F848" s="227" t="n"/>
      <c r="G848" s="227" t="n"/>
      <c r="H848" s="227" t="n"/>
      <c r="I848" s="227" t="n"/>
      <c r="J848" s="227" t="n"/>
      <c r="K848" s="227" t="n"/>
      <c r="L848" s="227" t="n"/>
      <c r="M848" s="227" t="n"/>
      <c r="N848" s="127" t="n"/>
      <c r="O848" s="227" t="n"/>
      <c r="P848" s="227" t="n"/>
      <c r="Q848" s="227" t="n"/>
      <c r="R848" s="227" t="n"/>
      <c r="S848" s="227" t="n"/>
      <c r="T848" s="227" t="n"/>
    </row>
    <row r="849">
      <c r="A849" s="145">
        <f>IF($B849="","",ROW()-5)</f>
        <v/>
      </c>
      <c r="B849" s="127" t="n"/>
      <c r="C849" s="223" t="n"/>
      <c r="D849" s="127" t="n"/>
      <c r="E849" s="227" t="n"/>
      <c r="F849" s="227" t="n"/>
      <c r="G849" s="227" t="n"/>
      <c r="H849" s="227" t="n"/>
      <c r="I849" s="227" t="n"/>
      <c r="J849" s="227" t="n"/>
      <c r="K849" s="227" t="n"/>
      <c r="L849" s="227" t="n"/>
      <c r="M849" s="227" t="n"/>
      <c r="N849" s="127" t="n"/>
      <c r="O849" s="227" t="n"/>
      <c r="P849" s="227" t="n"/>
      <c r="Q849" s="227" t="n"/>
      <c r="R849" s="227" t="n"/>
      <c r="S849" s="227" t="n"/>
      <c r="T849" s="227" t="n"/>
    </row>
    <row r="850">
      <c r="A850" s="145">
        <f>IF($B850="","",ROW()-5)</f>
        <v/>
      </c>
      <c r="B850" s="127" t="n"/>
      <c r="C850" s="223" t="n"/>
      <c r="D850" s="127" t="n"/>
      <c r="E850" s="227" t="n"/>
      <c r="F850" s="227" t="n"/>
      <c r="G850" s="227" t="n"/>
      <c r="H850" s="227" t="n"/>
      <c r="I850" s="227" t="n"/>
      <c r="J850" s="227" t="n"/>
      <c r="K850" s="227" t="n"/>
      <c r="L850" s="227" t="n"/>
      <c r="M850" s="227" t="n"/>
      <c r="N850" s="127" t="n"/>
      <c r="O850" s="227" t="n"/>
      <c r="P850" s="227" t="n"/>
      <c r="Q850" s="227" t="n"/>
      <c r="R850" s="227" t="n"/>
      <c r="S850" s="227" t="n"/>
      <c r="T850" s="227" t="n"/>
    </row>
    <row r="851">
      <c r="A851" s="145">
        <f>IF($B851="","",ROW()-5)</f>
        <v/>
      </c>
      <c r="B851" s="127" t="n"/>
      <c r="C851" s="223" t="n"/>
      <c r="D851" s="127" t="n"/>
      <c r="E851" s="227" t="n"/>
      <c r="F851" s="227" t="n"/>
      <c r="G851" s="227" t="n"/>
      <c r="H851" s="227" t="n"/>
      <c r="I851" s="227" t="n"/>
      <c r="J851" s="227" t="n"/>
      <c r="K851" s="227" t="n"/>
      <c r="L851" s="227" t="n"/>
      <c r="M851" s="227" t="n"/>
      <c r="N851" s="127" t="n"/>
      <c r="O851" s="227" t="n"/>
      <c r="P851" s="227" t="n"/>
      <c r="Q851" s="227" t="n"/>
      <c r="R851" s="227" t="n"/>
      <c r="S851" s="227" t="n"/>
      <c r="T851" s="227" t="n"/>
    </row>
    <row r="852">
      <c r="A852" s="145">
        <f>IF($B852="","",ROW()-5)</f>
        <v/>
      </c>
      <c r="B852" s="127" t="n"/>
      <c r="C852" s="223" t="n"/>
      <c r="D852" s="127" t="n"/>
      <c r="E852" s="227" t="n"/>
      <c r="F852" s="227" t="n"/>
      <c r="G852" s="227" t="n"/>
      <c r="H852" s="227" t="n"/>
      <c r="I852" s="227" t="n"/>
      <c r="J852" s="227" t="n"/>
      <c r="K852" s="227" t="n"/>
      <c r="L852" s="227" t="n"/>
      <c r="M852" s="227" t="n"/>
      <c r="N852" s="127" t="n"/>
      <c r="O852" s="227" t="n"/>
      <c r="P852" s="227" t="n"/>
      <c r="Q852" s="227" t="n"/>
      <c r="R852" s="227" t="n"/>
      <c r="S852" s="227" t="n"/>
      <c r="T852" s="227" t="n"/>
    </row>
    <row r="853">
      <c r="A853" s="145">
        <f>IF($B853="","",ROW()-5)</f>
        <v/>
      </c>
      <c r="B853" s="127" t="n"/>
      <c r="C853" s="223" t="n"/>
      <c r="D853" s="127" t="n"/>
      <c r="E853" s="227" t="n"/>
      <c r="F853" s="227" t="n"/>
      <c r="G853" s="227" t="n"/>
      <c r="H853" s="227" t="n"/>
      <c r="I853" s="227" t="n"/>
      <c r="J853" s="227" t="n"/>
      <c r="K853" s="227" t="n"/>
      <c r="L853" s="227" t="n"/>
      <c r="M853" s="227" t="n"/>
      <c r="N853" s="127" t="n"/>
      <c r="O853" s="227" t="n"/>
      <c r="P853" s="227" t="n"/>
      <c r="Q853" s="227" t="n"/>
      <c r="R853" s="227" t="n"/>
      <c r="S853" s="227" t="n"/>
      <c r="T853" s="227" t="n"/>
    </row>
    <row r="854">
      <c r="A854" s="145">
        <f>IF($B854="","",ROW()-5)</f>
        <v/>
      </c>
      <c r="B854" s="127" t="n"/>
      <c r="C854" s="223" t="n"/>
      <c r="D854" s="127" t="n"/>
      <c r="E854" s="227" t="n"/>
      <c r="F854" s="227" t="n"/>
      <c r="G854" s="227" t="n"/>
      <c r="H854" s="227" t="n"/>
      <c r="I854" s="227" t="n"/>
      <c r="J854" s="227" t="n"/>
      <c r="K854" s="227" t="n"/>
      <c r="L854" s="227" t="n"/>
      <c r="M854" s="227" t="n"/>
      <c r="N854" s="127" t="n"/>
      <c r="O854" s="227" t="n"/>
      <c r="P854" s="227" t="n"/>
      <c r="Q854" s="227" t="n"/>
      <c r="R854" s="227" t="n"/>
      <c r="S854" s="227" t="n"/>
      <c r="T854" s="227" t="n"/>
    </row>
    <row r="855">
      <c r="A855" s="145">
        <f>IF($B855="","",ROW()-5)</f>
        <v/>
      </c>
      <c r="B855" s="127" t="n"/>
      <c r="C855" s="223" t="n"/>
      <c r="D855" s="127" t="n"/>
      <c r="E855" s="227" t="n"/>
      <c r="F855" s="227" t="n"/>
      <c r="G855" s="227" t="n"/>
      <c r="H855" s="227" t="n"/>
      <c r="I855" s="227" t="n"/>
      <c r="J855" s="227" t="n"/>
      <c r="K855" s="227" t="n"/>
      <c r="L855" s="227" t="n"/>
      <c r="M855" s="227" t="n"/>
      <c r="N855" s="127" t="n"/>
      <c r="O855" s="227" t="n"/>
      <c r="P855" s="227" t="n"/>
      <c r="Q855" s="227" t="n"/>
      <c r="R855" s="227" t="n"/>
      <c r="S855" s="227" t="n"/>
      <c r="T855" s="227" t="n"/>
    </row>
    <row r="856">
      <c r="A856" s="145">
        <f>IF($B856="","",ROW()-5)</f>
        <v/>
      </c>
      <c r="B856" s="127" t="n"/>
      <c r="C856" s="223" t="n"/>
      <c r="D856" s="127" t="n"/>
      <c r="E856" s="227" t="n"/>
      <c r="F856" s="227" t="n"/>
      <c r="G856" s="227" t="n"/>
      <c r="H856" s="227" t="n"/>
      <c r="I856" s="227" t="n"/>
      <c r="J856" s="227" t="n"/>
      <c r="K856" s="227" t="n"/>
      <c r="L856" s="227" t="n"/>
      <c r="M856" s="227" t="n"/>
      <c r="N856" s="127" t="n"/>
      <c r="O856" s="227" t="n"/>
      <c r="P856" s="227" t="n"/>
      <c r="Q856" s="227" t="n"/>
      <c r="R856" s="227" t="n"/>
      <c r="S856" s="227" t="n"/>
      <c r="T856" s="227" t="n"/>
    </row>
    <row r="857">
      <c r="A857" s="145">
        <f>IF($B857="","",ROW()-5)</f>
        <v/>
      </c>
      <c r="B857" s="127" t="n"/>
      <c r="C857" s="223" t="n"/>
      <c r="D857" s="127" t="n"/>
      <c r="E857" s="227" t="n"/>
      <c r="F857" s="227" t="n"/>
      <c r="G857" s="227" t="n"/>
      <c r="H857" s="227" t="n"/>
      <c r="I857" s="227" t="n"/>
      <c r="J857" s="227" t="n"/>
      <c r="K857" s="227" t="n"/>
      <c r="L857" s="227" t="n"/>
      <c r="M857" s="227" t="n"/>
      <c r="N857" s="127" t="n"/>
      <c r="O857" s="227" t="n"/>
      <c r="P857" s="227" t="n"/>
      <c r="Q857" s="227" t="n"/>
      <c r="R857" s="227" t="n"/>
      <c r="S857" s="227" t="n"/>
      <c r="T857" s="227" t="n"/>
    </row>
    <row r="858">
      <c r="A858" s="145">
        <f>IF($B858="","",ROW()-5)</f>
        <v/>
      </c>
      <c r="B858" s="127" t="n"/>
      <c r="C858" s="223" t="n"/>
      <c r="D858" s="127" t="n"/>
      <c r="E858" s="227" t="n"/>
      <c r="F858" s="227" t="n"/>
      <c r="G858" s="227" t="n"/>
      <c r="H858" s="227" t="n"/>
      <c r="I858" s="227" t="n"/>
      <c r="J858" s="227" t="n"/>
      <c r="K858" s="227" t="n"/>
      <c r="L858" s="227" t="n"/>
      <c r="M858" s="227" t="n"/>
      <c r="N858" s="127" t="n"/>
      <c r="O858" s="227" t="n"/>
      <c r="P858" s="227" t="n"/>
      <c r="Q858" s="227" t="n"/>
      <c r="R858" s="227" t="n"/>
      <c r="S858" s="227" t="n"/>
      <c r="T858" s="227" t="n"/>
    </row>
    <row r="859">
      <c r="A859" s="145">
        <f>IF($B859="","",ROW()-5)</f>
        <v/>
      </c>
      <c r="B859" s="127" t="n"/>
      <c r="C859" s="223" t="n"/>
      <c r="D859" s="127" t="n"/>
      <c r="E859" s="227" t="n"/>
      <c r="F859" s="227" t="n"/>
      <c r="G859" s="227" t="n"/>
      <c r="H859" s="227" t="n"/>
      <c r="I859" s="227" t="n"/>
      <c r="J859" s="227" t="n"/>
      <c r="K859" s="227" t="n"/>
      <c r="L859" s="227" t="n"/>
      <c r="M859" s="227" t="n"/>
      <c r="N859" s="127" t="n"/>
      <c r="O859" s="227" t="n"/>
      <c r="P859" s="227" t="n"/>
      <c r="Q859" s="227" t="n"/>
      <c r="R859" s="227" t="n"/>
      <c r="S859" s="227" t="n"/>
      <c r="T859" s="227" t="n"/>
    </row>
    <row r="860">
      <c r="A860" s="145">
        <f>IF($B860="","",ROW()-5)</f>
        <v/>
      </c>
      <c r="B860" s="127" t="n"/>
      <c r="C860" s="223" t="n"/>
      <c r="D860" s="127" t="n"/>
      <c r="E860" s="227" t="n"/>
      <c r="F860" s="227" t="n"/>
      <c r="G860" s="227" t="n"/>
      <c r="H860" s="227" t="n"/>
      <c r="I860" s="227" t="n"/>
      <c r="J860" s="227" t="n"/>
      <c r="K860" s="227" t="n"/>
      <c r="L860" s="227" t="n"/>
      <c r="M860" s="227" t="n"/>
      <c r="N860" s="127" t="n"/>
      <c r="O860" s="227" t="n"/>
      <c r="P860" s="227" t="n"/>
      <c r="Q860" s="227" t="n"/>
      <c r="R860" s="227" t="n"/>
      <c r="S860" s="227" t="n"/>
      <c r="T860" s="227" t="n"/>
    </row>
    <row r="861">
      <c r="A861" s="145">
        <f>IF($B861="","",ROW()-5)</f>
        <v/>
      </c>
      <c r="B861" s="127" t="n"/>
      <c r="C861" s="223" t="n"/>
      <c r="D861" s="127" t="n"/>
      <c r="E861" s="227" t="n"/>
      <c r="F861" s="227" t="n"/>
      <c r="G861" s="227" t="n"/>
      <c r="H861" s="227" t="n"/>
      <c r="I861" s="227" t="n"/>
      <c r="J861" s="227" t="n"/>
      <c r="K861" s="227" t="n"/>
      <c r="L861" s="227" t="n"/>
      <c r="M861" s="227" t="n"/>
      <c r="N861" s="127" t="n"/>
      <c r="O861" s="227" t="n"/>
      <c r="P861" s="227" t="n"/>
      <c r="Q861" s="227" t="n"/>
      <c r="R861" s="227" t="n"/>
      <c r="S861" s="227" t="n"/>
      <c r="T861" s="227" t="n"/>
    </row>
    <row r="862">
      <c r="A862" s="145">
        <f>IF($B862="","",ROW()-5)</f>
        <v/>
      </c>
      <c r="B862" s="127" t="n"/>
      <c r="C862" s="223" t="n"/>
      <c r="D862" s="127" t="n"/>
      <c r="E862" s="227" t="n"/>
      <c r="F862" s="227" t="n"/>
      <c r="G862" s="227" t="n"/>
      <c r="H862" s="227" t="n"/>
      <c r="I862" s="227" t="n"/>
      <c r="J862" s="227" t="n"/>
      <c r="K862" s="227" t="n"/>
      <c r="L862" s="227" t="n"/>
      <c r="M862" s="227" t="n"/>
      <c r="N862" s="127" t="n"/>
      <c r="O862" s="227" t="n"/>
      <c r="P862" s="227" t="n"/>
      <c r="Q862" s="227" t="n"/>
      <c r="R862" s="227" t="n"/>
      <c r="S862" s="227" t="n"/>
      <c r="T862" s="227" t="n"/>
    </row>
    <row r="863">
      <c r="A863" s="145">
        <f>IF($B863="","",ROW()-5)</f>
        <v/>
      </c>
      <c r="B863" s="127" t="n"/>
      <c r="C863" s="223" t="n"/>
      <c r="D863" s="127" t="n"/>
      <c r="E863" s="227" t="n"/>
      <c r="F863" s="227" t="n"/>
      <c r="G863" s="227" t="n"/>
      <c r="H863" s="227" t="n"/>
      <c r="I863" s="227" t="n"/>
      <c r="J863" s="227" t="n"/>
      <c r="K863" s="227" t="n"/>
      <c r="L863" s="227" t="n"/>
      <c r="M863" s="227" t="n"/>
      <c r="N863" s="127" t="n"/>
      <c r="O863" s="227" t="n"/>
      <c r="P863" s="227" t="n"/>
      <c r="Q863" s="227" t="n"/>
      <c r="R863" s="227" t="n"/>
      <c r="S863" s="227" t="n"/>
      <c r="T863" s="227" t="n"/>
    </row>
    <row r="864">
      <c r="A864" s="145">
        <f>IF($B864="","",ROW()-5)</f>
        <v/>
      </c>
      <c r="B864" s="127" t="n"/>
      <c r="C864" s="223" t="n"/>
      <c r="D864" s="127" t="n"/>
      <c r="E864" s="227" t="n"/>
      <c r="F864" s="227" t="n"/>
      <c r="G864" s="227" t="n"/>
      <c r="H864" s="227" t="n"/>
      <c r="I864" s="227" t="n"/>
      <c r="J864" s="227" t="n"/>
      <c r="K864" s="227" t="n"/>
      <c r="L864" s="227" t="n"/>
      <c r="M864" s="227" t="n"/>
      <c r="N864" s="127" t="n"/>
      <c r="O864" s="227" t="n"/>
      <c r="P864" s="227" t="n"/>
      <c r="Q864" s="227" t="n"/>
      <c r="R864" s="227" t="n"/>
      <c r="S864" s="227" t="n"/>
      <c r="T864" s="227" t="n"/>
    </row>
    <row r="865">
      <c r="A865" s="145">
        <f>IF($B865="","",ROW()-5)</f>
        <v/>
      </c>
      <c r="B865" s="127" t="n"/>
      <c r="C865" s="223" t="n"/>
      <c r="D865" s="127" t="n"/>
      <c r="E865" s="227" t="n"/>
      <c r="F865" s="227" t="n"/>
      <c r="G865" s="227" t="n"/>
      <c r="H865" s="227" t="n"/>
      <c r="I865" s="227" t="n"/>
      <c r="J865" s="227" t="n"/>
      <c r="K865" s="227" t="n"/>
      <c r="L865" s="227" t="n"/>
      <c r="M865" s="227" t="n"/>
      <c r="N865" s="127" t="n"/>
      <c r="O865" s="227" t="n"/>
      <c r="P865" s="227" t="n"/>
      <c r="Q865" s="227" t="n"/>
      <c r="R865" s="227" t="n"/>
      <c r="S865" s="227" t="n"/>
      <c r="T865" s="227" t="n"/>
    </row>
    <row r="866">
      <c r="A866" s="145">
        <f>IF($B866="","",ROW()-5)</f>
        <v/>
      </c>
      <c r="B866" s="127" t="n"/>
      <c r="C866" s="223" t="n"/>
      <c r="D866" s="127" t="n"/>
      <c r="E866" s="227" t="n"/>
      <c r="F866" s="227" t="n"/>
      <c r="G866" s="227" t="n"/>
      <c r="H866" s="227" t="n"/>
      <c r="I866" s="227" t="n"/>
      <c r="J866" s="227" t="n"/>
      <c r="K866" s="227" t="n"/>
      <c r="L866" s="227" t="n"/>
      <c r="M866" s="227" t="n"/>
      <c r="N866" s="127" t="n"/>
      <c r="O866" s="227" t="n"/>
      <c r="P866" s="227" t="n"/>
      <c r="Q866" s="227" t="n"/>
      <c r="R866" s="227" t="n"/>
      <c r="S866" s="227" t="n"/>
      <c r="T866" s="227" t="n"/>
    </row>
    <row r="867">
      <c r="A867" s="145">
        <f>IF($B867="","",ROW()-5)</f>
        <v/>
      </c>
      <c r="B867" s="127" t="n"/>
      <c r="C867" s="223" t="n"/>
      <c r="D867" s="127" t="n"/>
      <c r="E867" s="227" t="n"/>
      <c r="F867" s="227" t="n"/>
      <c r="G867" s="227" t="n"/>
      <c r="H867" s="227" t="n"/>
      <c r="I867" s="227" t="n"/>
      <c r="J867" s="227" t="n"/>
      <c r="K867" s="227" t="n"/>
      <c r="L867" s="227" t="n"/>
      <c r="M867" s="227" t="n"/>
      <c r="N867" s="127" t="n"/>
      <c r="O867" s="227" t="n"/>
      <c r="P867" s="227" t="n"/>
      <c r="Q867" s="227" t="n"/>
      <c r="R867" s="227" t="n"/>
      <c r="S867" s="227" t="n"/>
      <c r="T867" s="227" t="n"/>
    </row>
    <row r="868">
      <c r="A868" s="145">
        <f>IF($B868="","",ROW()-5)</f>
        <v/>
      </c>
      <c r="B868" s="127" t="n"/>
      <c r="C868" s="223" t="n"/>
      <c r="D868" s="127" t="n"/>
      <c r="E868" s="227" t="n"/>
      <c r="F868" s="227" t="n"/>
      <c r="G868" s="227" t="n"/>
      <c r="H868" s="227" t="n"/>
      <c r="I868" s="227" t="n"/>
      <c r="J868" s="227" t="n"/>
      <c r="K868" s="227" t="n"/>
      <c r="L868" s="227" t="n"/>
      <c r="M868" s="227" t="n"/>
      <c r="N868" s="127" t="n"/>
      <c r="O868" s="227" t="n"/>
      <c r="P868" s="227" t="n"/>
      <c r="Q868" s="227" t="n"/>
      <c r="R868" s="227" t="n"/>
      <c r="S868" s="227" t="n"/>
      <c r="T868" s="227" t="n"/>
    </row>
    <row r="869">
      <c r="A869" s="145">
        <f>IF($B869="","",ROW()-5)</f>
        <v/>
      </c>
      <c r="B869" s="127" t="n"/>
      <c r="C869" s="223" t="n"/>
      <c r="D869" s="127" t="n"/>
      <c r="E869" s="227" t="n"/>
      <c r="F869" s="227" t="n"/>
      <c r="G869" s="227" t="n"/>
      <c r="H869" s="227" t="n"/>
      <c r="I869" s="227" t="n"/>
      <c r="J869" s="227" t="n"/>
      <c r="K869" s="227" t="n"/>
      <c r="L869" s="227" t="n"/>
      <c r="M869" s="227" t="n"/>
      <c r="N869" s="127" t="n"/>
      <c r="O869" s="227" t="n"/>
      <c r="P869" s="227" t="n"/>
      <c r="Q869" s="227" t="n"/>
      <c r="R869" s="227" t="n"/>
      <c r="S869" s="227" t="n"/>
      <c r="T869" s="227" t="n"/>
    </row>
    <row r="870">
      <c r="A870" s="145">
        <f>IF($B870="","",ROW()-5)</f>
        <v/>
      </c>
      <c r="B870" s="127" t="n"/>
      <c r="C870" s="223" t="n"/>
      <c r="D870" s="127" t="n"/>
      <c r="E870" s="227" t="n"/>
      <c r="F870" s="227" t="n"/>
      <c r="G870" s="227" t="n"/>
      <c r="H870" s="227" t="n"/>
      <c r="I870" s="227" t="n"/>
      <c r="J870" s="227" t="n"/>
      <c r="K870" s="227" t="n"/>
      <c r="L870" s="227" t="n"/>
      <c r="M870" s="227" t="n"/>
      <c r="N870" s="127" t="n"/>
      <c r="O870" s="227" t="n"/>
      <c r="P870" s="227" t="n"/>
      <c r="Q870" s="227" t="n"/>
      <c r="R870" s="227" t="n"/>
      <c r="S870" s="227" t="n"/>
      <c r="T870" s="227" t="n"/>
    </row>
    <row r="871">
      <c r="A871" s="145">
        <f>IF($B871="","",ROW()-5)</f>
        <v/>
      </c>
      <c r="B871" s="127" t="n"/>
      <c r="C871" s="223" t="n"/>
      <c r="D871" s="127" t="n"/>
      <c r="E871" s="227" t="n"/>
      <c r="F871" s="227" t="n"/>
      <c r="G871" s="227" t="n"/>
      <c r="H871" s="227" t="n"/>
      <c r="I871" s="227" t="n"/>
      <c r="J871" s="227" t="n"/>
      <c r="K871" s="227" t="n"/>
      <c r="L871" s="227" t="n"/>
      <c r="M871" s="227" t="n"/>
      <c r="N871" s="127" t="n"/>
      <c r="O871" s="227" t="n"/>
      <c r="P871" s="227" t="n"/>
      <c r="Q871" s="227" t="n"/>
      <c r="R871" s="227" t="n"/>
      <c r="S871" s="227" t="n"/>
      <c r="T871" s="227" t="n"/>
    </row>
    <row r="872">
      <c r="A872" s="145">
        <f>IF($B872="","",ROW()-5)</f>
        <v/>
      </c>
      <c r="B872" s="127" t="n"/>
      <c r="C872" s="223" t="n"/>
      <c r="D872" s="127" t="n"/>
      <c r="E872" s="227" t="n"/>
      <c r="F872" s="227" t="n"/>
      <c r="G872" s="227" t="n"/>
      <c r="H872" s="227" t="n"/>
      <c r="I872" s="227" t="n"/>
      <c r="J872" s="227" t="n"/>
      <c r="K872" s="227" t="n"/>
      <c r="L872" s="227" t="n"/>
      <c r="M872" s="227" t="n"/>
      <c r="N872" s="127" t="n"/>
      <c r="O872" s="227" t="n"/>
      <c r="P872" s="227" t="n"/>
      <c r="Q872" s="227" t="n"/>
      <c r="R872" s="227" t="n"/>
      <c r="S872" s="227" t="n"/>
      <c r="T872" s="227" t="n"/>
    </row>
    <row r="873">
      <c r="A873" s="145">
        <f>IF($B873="","",ROW()-5)</f>
        <v/>
      </c>
      <c r="B873" s="127" t="n"/>
      <c r="C873" s="223" t="n"/>
      <c r="D873" s="127" t="n"/>
      <c r="E873" s="227" t="n"/>
      <c r="F873" s="227" t="n"/>
      <c r="G873" s="227" t="n"/>
      <c r="H873" s="227" t="n"/>
      <c r="I873" s="227" t="n"/>
      <c r="J873" s="227" t="n"/>
      <c r="K873" s="227" t="n"/>
      <c r="L873" s="227" t="n"/>
      <c r="M873" s="227" t="n"/>
      <c r="N873" s="127" t="n"/>
      <c r="O873" s="227" t="n"/>
      <c r="P873" s="227" t="n"/>
      <c r="Q873" s="227" t="n"/>
      <c r="R873" s="227" t="n"/>
      <c r="S873" s="227" t="n"/>
      <c r="T873" s="227" t="n"/>
    </row>
    <row r="874">
      <c r="A874" s="145">
        <f>IF($B874="","",ROW()-5)</f>
        <v/>
      </c>
      <c r="B874" s="127" t="n"/>
      <c r="C874" s="223" t="n"/>
      <c r="D874" s="127" t="n"/>
      <c r="E874" s="227" t="n"/>
      <c r="F874" s="227" t="n"/>
      <c r="G874" s="227" t="n"/>
      <c r="H874" s="227" t="n"/>
      <c r="I874" s="227" t="n"/>
      <c r="J874" s="227" t="n"/>
      <c r="K874" s="227" t="n"/>
      <c r="L874" s="227" t="n"/>
      <c r="M874" s="227" t="n"/>
      <c r="N874" s="127" t="n"/>
      <c r="O874" s="227" t="n"/>
      <c r="P874" s="227" t="n"/>
      <c r="Q874" s="227" t="n"/>
      <c r="R874" s="227" t="n"/>
      <c r="S874" s="227" t="n"/>
      <c r="T874" s="227" t="n"/>
    </row>
    <row r="875">
      <c r="A875" s="145">
        <f>IF($B875="","",ROW()-5)</f>
        <v/>
      </c>
      <c r="B875" s="127" t="n"/>
      <c r="C875" s="223" t="n"/>
      <c r="D875" s="127" t="n"/>
      <c r="E875" s="227" t="n"/>
      <c r="F875" s="227" t="n"/>
      <c r="G875" s="227" t="n"/>
      <c r="H875" s="227" t="n"/>
      <c r="I875" s="227" t="n"/>
      <c r="J875" s="227" t="n"/>
      <c r="K875" s="227" t="n"/>
      <c r="L875" s="227" t="n"/>
      <c r="M875" s="227" t="n"/>
      <c r="N875" s="127" t="n"/>
      <c r="O875" s="227" t="n"/>
      <c r="P875" s="227" t="n"/>
      <c r="Q875" s="227" t="n"/>
      <c r="R875" s="227" t="n"/>
      <c r="S875" s="227" t="n"/>
      <c r="T875" s="227" t="n"/>
    </row>
    <row r="876">
      <c r="A876" s="145">
        <f>IF($B876="","",ROW()-5)</f>
        <v/>
      </c>
      <c r="B876" s="127" t="n"/>
      <c r="C876" s="223" t="n"/>
      <c r="D876" s="127" t="n"/>
      <c r="E876" s="227" t="n"/>
      <c r="F876" s="227" t="n"/>
      <c r="G876" s="227" t="n"/>
      <c r="H876" s="227" t="n"/>
      <c r="I876" s="227" t="n"/>
      <c r="J876" s="227" t="n"/>
      <c r="K876" s="227" t="n"/>
      <c r="L876" s="227" t="n"/>
      <c r="M876" s="227" t="n"/>
      <c r="N876" s="127" t="n"/>
      <c r="O876" s="227" t="n"/>
      <c r="P876" s="227" t="n"/>
      <c r="Q876" s="227" t="n"/>
      <c r="R876" s="227" t="n"/>
      <c r="S876" s="227" t="n"/>
      <c r="T876" s="227" t="n"/>
    </row>
    <row r="877">
      <c r="A877" s="145">
        <f>IF($B877="","",ROW()-5)</f>
        <v/>
      </c>
      <c r="B877" s="127" t="n"/>
      <c r="C877" s="223" t="n"/>
      <c r="D877" s="127" t="n"/>
      <c r="E877" s="227" t="n"/>
      <c r="F877" s="227" t="n"/>
      <c r="G877" s="227" t="n"/>
      <c r="H877" s="227" t="n"/>
      <c r="I877" s="227" t="n"/>
      <c r="J877" s="227" t="n"/>
      <c r="K877" s="227" t="n"/>
      <c r="L877" s="227" t="n"/>
      <c r="M877" s="227" t="n"/>
      <c r="N877" s="127" t="n"/>
      <c r="O877" s="227" t="n"/>
      <c r="P877" s="227" t="n"/>
      <c r="Q877" s="227" t="n"/>
      <c r="R877" s="227" t="n"/>
      <c r="S877" s="227" t="n"/>
      <c r="T877" s="227" t="n"/>
    </row>
    <row r="878">
      <c r="A878" s="145">
        <f>IF($B878="","",ROW()-5)</f>
        <v/>
      </c>
      <c r="B878" s="127" t="n"/>
      <c r="C878" s="223" t="n"/>
      <c r="D878" s="127" t="n"/>
      <c r="E878" s="227" t="n"/>
      <c r="F878" s="227" t="n"/>
      <c r="G878" s="227" t="n"/>
      <c r="H878" s="227" t="n"/>
      <c r="I878" s="227" t="n"/>
      <c r="J878" s="227" t="n"/>
      <c r="K878" s="227" t="n"/>
      <c r="L878" s="227" t="n"/>
      <c r="M878" s="227" t="n"/>
      <c r="N878" s="127" t="n"/>
      <c r="O878" s="227" t="n"/>
      <c r="P878" s="227" t="n"/>
      <c r="Q878" s="227" t="n"/>
      <c r="R878" s="227" t="n"/>
      <c r="S878" s="227" t="n"/>
      <c r="T878" s="227" t="n"/>
    </row>
    <row r="879">
      <c r="A879" s="145">
        <f>IF($B879="","",ROW()-5)</f>
        <v/>
      </c>
      <c r="B879" s="127" t="n"/>
      <c r="C879" s="223" t="n"/>
      <c r="D879" s="127" t="n"/>
      <c r="E879" s="227" t="n"/>
      <c r="F879" s="227" t="n"/>
      <c r="G879" s="227" t="n"/>
      <c r="H879" s="227" t="n"/>
      <c r="I879" s="227" t="n"/>
      <c r="J879" s="227" t="n"/>
      <c r="K879" s="227" t="n"/>
      <c r="L879" s="227" t="n"/>
      <c r="M879" s="227" t="n"/>
      <c r="N879" s="127" t="n"/>
      <c r="O879" s="227" t="n"/>
      <c r="P879" s="227" t="n"/>
      <c r="Q879" s="227" t="n"/>
      <c r="R879" s="227" t="n"/>
      <c r="S879" s="227" t="n"/>
      <c r="T879" s="227" t="n"/>
    </row>
    <row r="880">
      <c r="A880" s="145">
        <f>IF($B880="","",ROW()-5)</f>
        <v/>
      </c>
      <c r="B880" s="127" t="n"/>
      <c r="C880" s="223" t="n"/>
      <c r="D880" s="127" t="n"/>
      <c r="E880" s="227" t="n"/>
      <c r="F880" s="227" t="n"/>
      <c r="G880" s="227" t="n"/>
      <c r="H880" s="227" t="n"/>
      <c r="I880" s="227" t="n"/>
      <c r="J880" s="227" t="n"/>
      <c r="K880" s="227" t="n"/>
      <c r="L880" s="227" t="n"/>
      <c r="M880" s="227" t="n"/>
      <c r="N880" s="127" t="n"/>
      <c r="O880" s="227" t="n"/>
      <c r="P880" s="227" t="n"/>
      <c r="Q880" s="227" t="n"/>
      <c r="R880" s="227" t="n"/>
      <c r="S880" s="227" t="n"/>
      <c r="T880" s="227" t="n"/>
    </row>
    <row r="881">
      <c r="A881" s="145">
        <f>IF($B881="","",ROW()-5)</f>
        <v/>
      </c>
      <c r="B881" s="127" t="n"/>
      <c r="C881" s="223" t="n"/>
      <c r="D881" s="127" t="n"/>
      <c r="E881" s="227" t="n"/>
      <c r="F881" s="227" t="n"/>
      <c r="G881" s="227" t="n"/>
      <c r="H881" s="227" t="n"/>
      <c r="I881" s="227" t="n"/>
      <c r="J881" s="227" t="n"/>
      <c r="K881" s="227" t="n"/>
      <c r="L881" s="227" t="n"/>
      <c r="M881" s="227" t="n"/>
      <c r="N881" s="127" t="n"/>
      <c r="O881" s="227" t="n"/>
      <c r="P881" s="227" t="n"/>
      <c r="Q881" s="227" t="n"/>
      <c r="R881" s="227" t="n"/>
      <c r="S881" s="227" t="n"/>
      <c r="T881" s="227" t="n"/>
    </row>
    <row r="882">
      <c r="A882" s="145">
        <f>IF($B882="","",ROW()-5)</f>
        <v/>
      </c>
      <c r="B882" s="127" t="n"/>
      <c r="C882" s="223" t="n"/>
      <c r="D882" s="127" t="n"/>
      <c r="E882" s="227" t="n"/>
      <c r="F882" s="227" t="n"/>
      <c r="G882" s="227" t="n"/>
      <c r="H882" s="227" t="n"/>
      <c r="I882" s="227" t="n"/>
      <c r="J882" s="227" t="n"/>
      <c r="K882" s="227" t="n"/>
      <c r="L882" s="227" t="n"/>
      <c r="M882" s="227" t="n"/>
      <c r="N882" s="127" t="n"/>
      <c r="O882" s="227" t="n"/>
      <c r="P882" s="227" t="n"/>
      <c r="Q882" s="227" t="n"/>
      <c r="R882" s="227" t="n"/>
      <c r="S882" s="227" t="n"/>
      <c r="T882" s="227" t="n"/>
    </row>
    <row r="883">
      <c r="A883" s="145">
        <f>IF($B883="","",ROW()-5)</f>
        <v/>
      </c>
      <c r="B883" s="127" t="n"/>
      <c r="C883" s="223" t="n"/>
      <c r="D883" s="127" t="n"/>
      <c r="E883" s="227" t="n"/>
      <c r="F883" s="227" t="n"/>
      <c r="G883" s="227" t="n"/>
      <c r="H883" s="227" t="n"/>
      <c r="I883" s="227" t="n"/>
      <c r="J883" s="227" t="n"/>
      <c r="K883" s="227" t="n"/>
      <c r="L883" s="227" t="n"/>
      <c r="M883" s="227" t="n"/>
      <c r="N883" s="127" t="n"/>
      <c r="O883" s="227" t="n"/>
      <c r="P883" s="227" t="n"/>
      <c r="Q883" s="227" t="n"/>
      <c r="R883" s="227" t="n"/>
      <c r="S883" s="227" t="n"/>
      <c r="T883" s="227" t="n"/>
    </row>
    <row r="884">
      <c r="A884" s="145">
        <f>IF($B884="","",ROW()-5)</f>
        <v/>
      </c>
      <c r="B884" s="127" t="n"/>
      <c r="C884" s="223" t="n"/>
      <c r="D884" s="127" t="n"/>
      <c r="E884" s="227" t="n"/>
      <c r="F884" s="227" t="n"/>
      <c r="G884" s="227" t="n"/>
      <c r="H884" s="227" t="n"/>
      <c r="I884" s="227" t="n"/>
      <c r="J884" s="227" t="n"/>
      <c r="K884" s="227" t="n"/>
      <c r="L884" s="227" t="n"/>
      <c r="M884" s="227" t="n"/>
      <c r="N884" s="127" t="n"/>
      <c r="O884" s="227" t="n"/>
      <c r="P884" s="227" t="n"/>
      <c r="Q884" s="227" t="n"/>
      <c r="R884" s="227" t="n"/>
      <c r="S884" s="227" t="n"/>
      <c r="T884" s="227" t="n"/>
    </row>
    <row r="885">
      <c r="A885" s="145">
        <f>IF($B885="","",ROW()-5)</f>
        <v/>
      </c>
      <c r="B885" s="127" t="n"/>
      <c r="C885" s="223" t="n"/>
      <c r="D885" s="127" t="n"/>
      <c r="E885" s="227" t="n"/>
      <c r="F885" s="227" t="n"/>
      <c r="G885" s="227" t="n"/>
      <c r="H885" s="227" t="n"/>
      <c r="I885" s="227" t="n"/>
      <c r="J885" s="227" t="n"/>
      <c r="K885" s="227" t="n"/>
      <c r="L885" s="227" t="n"/>
      <c r="M885" s="227" t="n"/>
      <c r="N885" s="127" t="n"/>
      <c r="O885" s="227" t="n"/>
      <c r="P885" s="227" t="n"/>
      <c r="Q885" s="227" t="n"/>
      <c r="R885" s="227" t="n"/>
      <c r="S885" s="227" t="n"/>
      <c r="T885" s="227" t="n"/>
    </row>
    <row r="886">
      <c r="A886" s="145">
        <f>IF($B886="","",ROW()-5)</f>
        <v/>
      </c>
      <c r="B886" s="127" t="n"/>
      <c r="C886" s="223" t="n"/>
      <c r="D886" s="127" t="n"/>
      <c r="E886" s="227" t="n"/>
      <c r="F886" s="227" t="n"/>
      <c r="G886" s="227" t="n"/>
      <c r="H886" s="227" t="n"/>
      <c r="I886" s="227" t="n"/>
      <c r="J886" s="227" t="n"/>
      <c r="K886" s="227" t="n"/>
      <c r="L886" s="227" t="n"/>
      <c r="M886" s="227" t="n"/>
      <c r="N886" s="127" t="n"/>
      <c r="O886" s="227" t="n"/>
      <c r="P886" s="227" t="n"/>
      <c r="Q886" s="227" t="n"/>
      <c r="R886" s="227" t="n"/>
      <c r="S886" s="227" t="n"/>
      <c r="T886" s="227" t="n"/>
    </row>
    <row r="887">
      <c r="A887" s="145">
        <f>IF($B887="","",ROW()-5)</f>
        <v/>
      </c>
      <c r="B887" s="127" t="n"/>
      <c r="C887" s="223" t="n"/>
      <c r="D887" s="127" t="n"/>
      <c r="E887" s="227" t="n"/>
      <c r="F887" s="227" t="n"/>
      <c r="G887" s="227" t="n"/>
      <c r="H887" s="227" t="n"/>
      <c r="I887" s="227" t="n"/>
      <c r="J887" s="227" t="n"/>
      <c r="K887" s="227" t="n"/>
      <c r="L887" s="227" t="n"/>
      <c r="M887" s="227" t="n"/>
      <c r="N887" s="127" t="n"/>
      <c r="O887" s="227" t="n"/>
      <c r="P887" s="227" t="n"/>
      <c r="Q887" s="227" t="n"/>
      <c r="R887" s="227" t="n"/>
      <c r="S887" s="227" t="n"/>
      <c r="T887" s="227" t="n"/>
    </row>
    <row r="888">
      <c r="A888" s="145">
        <f>IF($B888="","",ROW()-5)</f>
        <v/>
      </c>
      <c r="B888" s="127" t="n"/>
      <c r="C888" s="223" t="n"/>
      <c r="D888" s="127" t="n"/>
      <c r="E888" s="227" t="n"/>
      <c r="F888" s="227" t="n"/>
      <c r="G888" s="227" t="n"/>
      <c r="H888" s="227" t="n"/>
      <c r="I888" s="227" t="n"/>
      <c r="J888" s="227" t="n"/>
      <c r="K888" s="227" t="n"/>
      <c r="L888" s="227" t="n"/>
      <c r="M888" s="227" t="n"/>
      <c r="N888" s="127" t="n"/>
      <c r="O888" s="227" t="n"/>
      <c r="P888" s="227" t="n"/>
      <c r="Q888" s="227" t="n"/>
      <c r="R888" s="227" t="n"/>
      <c r="S888" s="227" t="n"/>
      <c r="T888" s="227" t="n"/>
    </row>
    <row r="889">
      <c r="A889" s="145">
        <f>IF($B889="","",ROW()-5)</f>
        <v/>
      </c>
      <c r="B889" s="127" t="n"/>
      <c r="C889" s="223" t="n"/>
      <c r="D889" s="127" t="n"/>
      <c r="E889" s="227" t="n"/>
      <c r="F889" s="227" t="n"/>
      <c r="G889" s="227" t="n"/>
      <c r="H889" s="227" t="n"/>
      <c r="I889" s="227" t="n"/>
      <c r="J889" s="227" t="n"/>
      <c r="K889" s="227" t="n"/>
      <c r="L889" s="227" t="n"/>
      <c r="M889" s="227" t="n"/>
      <c r="N889" s="127" t="n"/>
      <c r="O889" s="227" t="n"/>
      <c r="P889" s="227" t="n"/>
      <c r="Q889" s="227" t="n"/>
      <c r="R889" s="227" t="n"/>
      <c r="S889" s="227" t="n"/>
      <c r="T889" s="227" t="n"/>
    </row>
    <row r="890">
      <c r="A890" s="145">
        <f>IF($B890="","",ROW()-5)</f>
        <v/>
      </c>
      <c r="B890" s="127" t="n"/>
      <c r="C890" s="223" t="n"/>
      <c r="D890" s="127" t="n"/>
      <c r="E890" s="227" t="n"/>
      <c r="F890" s="227" t="n"/>
      <c r="G890" s="227" t="n"/>
      <c r="H890" s="227" t="n"/>
      <c r="I890" s="227" t="n"/>
      <c r="J890" s="227" t="n"/>
      <c r="K890" s="227" t="n"/>
      <c r="L890" s="227" t="n"/>
      <c r="M890" s="227" t="n"/>
      <c r="N890" s="127" t="n"/>
      <c r="O890" s="227" t="n"/>
      <c r="P890" s="227" t="n"/>
      <c r="Q890" s="227" t="n"/>
      <c r="R890" s="227" t="n"/>
      <c r="S890" s="227" t="n"/>
      <c r="T890" s="227" t="n"/>
    </row>
    <row r="891">
      <c r="A891" s="145">
        <f>IF($B891="","",ROW()-5)</f>
        <v/>
      </c>
      <c r="B891" s="127" t="n"/>
      <c r="C891" s="223" t="n"/>
      <c r="D891" s="127" t="n"/>
      <c r="E891" s="227" t="n"/>
      <c r="F891" s="227" t="n"/>
      <c r="G891" s="227" t="n"/>
      <c r="H891" s="227" t="n"/>
      <c r="I891" s="227" t="n"/>
      <c r="J891" s="227" t="n"/>
      <c r="K891" s="227" t="n"/>
      <c r="L891" s="227" t="n"/>
      <c r="M891" s="227" t="n"/>
      <c r="N891" s="127" t="n"/>
      <c r="O891" s="227" t="n"/>
      <c r="P891" s="227" t="n"/>
      <c r="Q891" s="227" t="n"/>
      <c r="R891" s="227" t="n"/>
      <c r="S891" s="227" t="n"/>
      <c r="T891" s="227" t="n"/>
    </row>
    <row r="892">
      <c r="A892" s="145">
        <f>IF($B892="","",ROW()-5)</f>
        <v/>
      </c>
      <c r="B892" s="127" t="n"/>
      <c r="C892" s="223" t="n"/>
      <c r="D892" s="127" t="n"/>
      <c r="E892" s="227" t="n"/>
      <c r="F892" s="227" t="n"/>
      <c r="G892" s="227" t="n"/>
      <c r="H892" s="227" t="n"/>
      <c r="I892" s="227" t="n"/>
      <c r="J892" s="227" t="n"/>
      <c r="K892" s="227" t="n"/>
      <c r="L892" s="227" t="n"/>
      <c r="M892" s="227" t="n"/>
      <c r="N892" s="127" t="n"/>
      <c r="O892" s="227" t="n"/>
      <c r="P892" s="227" t="n"/>
      <c r="Q892" s="227" t="n"/>
      <c r="R892" s="227" t="n"/>
      <c r="S892" s="227" t="n"/>
      <c r="T892" s="227" t="n"/>
    </row>
    <row r="893">
      <c r="A893" s="145">
        <f>IF($B893="","",ROW()-5)</f>
        <v/>
      </c>
      <c r="B893" s="127" t="n"/>
      <c r="C893" s="223" t="n"/>
      <c r="D893" s="127" t="n"/>
      <c r="E893" s="227" t="n"/>
      <c r="F893" s="227" t="n"/>
      <c r="G893" s="227" t="n"/>
      <c r="H893" s="227" t="n"/>
      <c r="I893" s="227" t="n"/>
      <c r="J893" s="227" t="n"/>
      <c r="K893" s="227" t="n"/>
      <c r="L893" s="227" t="n"/>
      <c r="M893" s="227" t="n"/>
      <c r="N893" s="127" t="n"/>
      <c r="O893" s="227" t="n"/>
      <c r="P893" s="227" t="n"/>
      <c r="Q893" s="227" t="n"/>
      <c r="R893" s="227" t="n"/>
      <c r="S893" s="227" t="n"/>
      <c r="T893" s="227" t="n"/>
    </row>
    <row r="894">
      <c r="A894" s="145">
        <f>IF($B894="","",ROW()-5)</f>
        <v/>
      </c>
      <c r="B894" s="127" t="n"/>
      <c r="C894" s="223" t="n"/>
      <c r="D894" s="127" t="n"/>
      <c r="E894" s="227" t="n"/>
      <c r="F894" s="227" t="n"/>
      <c r="G894" s="227" t="n"/>
      <c r="H894" s="227" t="n"/>
      <c r="I894" s="227" t="n"/>
      <c r="J894" s="227" t="n"/>
      <c r="K894" s="227" t="n"/>
      <c r="L894" s="227" t="n"/>
      <c r="M894" s="227" t="n"/>
      <c r="N894" s="127" t="n"/>
      <c r="O894" s="227" t="n"/>
      <c r="P894" s="227" t="n"/>
      <c r="Q894" s="227" t="n"/>
      <c r="R894" s="227" t="n"/>
      <c r="S894" s="227" t="n"/>
      <c r="T894" s="227" t="n"/>
    </row>
    <row r="895">
      <c r="A895" s="145">
        <f>IF($B895="","",ROW()-5)</f>
        <v/>
      </c>
      <c r="B895" s="127" t="n"/>
      <c r="C895" s="223" t="n"/>
      <c r="D895" s="127" t="n"/>
      <c r="E895" s="227" t="n"/>
      <c r="F895" s="227" t="n"/>
      <c r="G895" s="227" t="n"/>
      <c r="H895" s="227" t="n"/>
      <c r="I895" s="227" t="n"/>
      <c r="J895" s="227" t="n"/>
      <c r="K895" s="227" t="n"/>
      <c r="L895" s="227" t="n"/>
      <c r="M895" s="227" t="n"/>
      <c r="N895" s="127" t="n"/>
      <c r="O895" s="227" t="n"/>
      <c r="P895" s="227" t="n"/>
      <c r="Q895" s="227" t="n"/>
      <c r="R895" s="227" t="n"/>
      <c r="S895" s="227" t="n"/>
      <c r="T895" s="227" t="n"/>
    </row>
    <row r="896">
      <c r="A896" s="145">
        <f>IF($B896="","",ROW()-5)</f>
        <v/>
      </c>
      <c r="B896" s="127" t="n"/>
      <c r="C896" s="223" t="n"/>
      <c r="D896" s="127" t="n"/>
      <c r="E896" s="227" t="n"/>
      <c r="F896" s="227" t="n"/>
      <c r="G896" s="227" t="n"/>
      <c r="H896" s="227" t="n"/>
      <c r="I896" s="227" t="n"/>
      <c r="J896" s="227" t="n"/>
      <c r="K896" s="227" t="n"/>
      <c r="L896" s="227" t="n"/>
      <c r="M896" s="227" t="n"/>
      <c r="N896" s="127" t="n"/>
      <c r="O896" s="227" t="n"/>
      <c r="P896" s="227" t="n"/>
      <c r="Q896" s="227" t="n"/>
      <c r="R896" s="227" t="n"/>
      <c r="S896" s="227" t="n"/>
      <c r="T896" s="227" t="n"/>
    </row>
    <row r="897">
      <c r="A897" s="145">
        <f>IF($B897="","",ROW()-5)</f>
        <v/>
      </c>
      <c r="B897" s="127" t="n"/>
      <c r="C897" s="223" t="n"/>
      <c r="D897" s="127" t="n"/>
      <c r="E897" s="227" t="n"/>
      <c r="F897" s="227" t="n"/>
      <c r="G897" s="227" t="n"/>
      <c r="H897" s="227" t="n"/>
      <c r="I897" s="227" t="n"/>
      <c r="J897" s="227" t="n"/>
      <c r="K897" s="227" t="n"/>
      <c r="L897" s="227" t="n"/>
      <c r="M897" s="227" t="n"/>
      <c r="N897" s="127" t="n"/>
      <c r="O897" s="227" t="n"/>
      <c r="P897" s="227" t="n"/>
      <c r="Q897" s="227" t="n"/>
      <c r="R897" s="227" t="n"/>
      <c r="S897" s="227" t="n"/>
      <c r="T897" s="227" t="n"/>
    </row>
    <row r="898">
      <c r="A898" s="145">
        <f>IF($B898="","",ROW()-5)</f>
        <v/>
      </c>
      <c r="B898" s="127" t="n"/>
      <c r="C898" s="223" t="n"/>
      <c r="D898" s="127" t="n"/>
      <c r="E898" s="227" t="n"/>
      <c r="F898" s="227" t="n"/>
      <c r="G898" s="227" t="n"/>
      <c r="H898" s="227" t="n"/>
      <c r="I898" s="227" t="n"/>
      <c r="J898" s="227" t="n"/>
      <c r="K898" s="227" t="n"/>
      <c r="L898" s="227" t="n"/>
      <c r="M898" s="227" t="n"/>
      <c r="N898" s="127" t="n"/>
      <c r="O898" s="227" t="n"/>
      <c r="P898" s="227" t="n"/>
      <c r="Q898" s="227" t="n"/>
      <c r="R898" s="227" t="n"/>
      <c r="S898" s="227" t="n"/>
      <c r="T898" s="227" t="n"/>
    </row>
    <row r="899">
      <c r="A899" s="145">
        <f>IF($B899="","",ROW()-5)</f>
        <v/>
      </c>
      <c r="B899" s="127" t="n"/>
      <c r="C899" s="223" t="n"/>
      <c r="D899" s="127" t="n"/>
      <c r="E899" s="227" t="n"/>
      <c r="F899" s="227" t="n"/>
      <c r="G899" s="227" t="n"/>
      <c r="H899" s="227" t="n"/>
      <c r="I899" s="227" t="n"/>
      <c r="J899" s="227" t="n"/>
      <c r="K899" s="227" t="n"/>
      <c r="L899" s="227" t="n"/>
      <c r="M899" s="227" t="n"/>
      <c r="N899" s="127" t="n"/>
      <c r="O899" s="227" t="n"/>
      <c r="P899" s="227" t="n"/>
      <c r="Q899" s="227" t="n"/>
      <c r="R899" s="227" t="n"/>
      <c r="S899" s="227" t="n"/>
      <c r="T899" s="227" t="n"/>
    </row>
    <row r="900">
      <c r="A900" s="145">
        <f>IF($B900="","",ROW()-5)</f>
        <v/>
      </c>
      <c r="B900" s="127" t="n"/>
      <c r="C900" s="223" t="n"/>
      <c r="D900" s="127" t="n"/>
      <c r="E900" s="227" t="n"/>
      <c r="F900" s="227" t="n"/>
      <c r="G900" s="227" t="n"/>
      <c r="H900" s="227" t="n"/>
      <c r="I900" s="227" t="n"/>
      <c r="J900" s="227" t="n"/>
      <c r="K900" s="227" t="n"/>
      <c r="L900" s="227" t="n"/>
      <c r="M900" s="227" t="n"/>
      <c r="N900" s="127" t="n"/>
      <c r="O900" s="227" t="n"/>
      <c r="P900" s="227" t="n"/>
      <c r="Q900" s="227" t="n"/>
      <c r="R900" s="227" t="n"/>
      <c r="S900" s="227" t="n"/>
      <c r="T900" s="227" t="n"/>
    </row>
    <row r="901">
      <c r="A901" s="145">
        <f>IF($B901="","",ROW()-5)</f>
        <v/>
      </c>
      <c r="B901" s="127" t="n"/>
      <c r="C901" s="223" t="n"/>
      <c r="D901" s="127" t="n"/>
      <c r="E901" s="227" t="n"/>
      <c r="F901" s="227" t="n"/>
      <c r="G901" s="227" t="n"/>
      <c r="H901" s="227" t="n"/>
      <c r="I901" s="227" t="n"/>
      <c r="J901" s="227" t="n"/>
      <c r="K901" s="227" t="n"/>
      <c r="L901" s="227" t="n"/>
      <c r="M901" s="227" t="n"/>
      <c r="N901" s="127" t="n"/>
      <c r="O901" s="227" t="n"/>
      <c r="P901" s="227" t="n"/>
      <c r="Q901" s="227" t="n"/>
      <c r="R901" s="227" t="n"/>
      <c r="S901" s="227" t="n"/>
      <c r="T901" s="227" t="n"/>
    </row>
    <row r="902">
      <c r="A902" s="145">
        <f>IF($B902="","",ROW()-5)</f>
        <v/>
      </c>
      <c r="B902" s="127" t="n"/>
      <c r="C902" s="223" t="n"/>
      <c r="D902" s="127" t="n"/>
      <c r="E902" s="227" t="n"/>
      <c r="F902" s="227" t="n"/>
      <c r="G902" s="227" t="n"/>
      <c r="H902" s="227" t="n"/>
      <c r="I902" s="227" t="n"/>
      <c r="J902" s="227" t="n"/>
      <c r="K902" s="227" t="n"/>
      <c r="L902" s="227" t="n"/>
      <c r="M902" s="227" t="n"/>
      <c r="N902" s="127" t="n"/>
      <c r="O902" s="227" t="n"/>
      <c r="P902" s="227" t="n"/>
      <c r="Q902" s="227" t="n"/>
      <c r="R902" s="227" t="n"/>
      <c r="S902" s="227" t="n"/>
      <c r="T902" s="227" t="n"/>
    </row>
    <row r="903">
      <c r="A903" s="145">
        <f>IF($B903="","",ROW()-5)</f>
        <v/>
      </c>
      <c r="B903" s="127" t="n"/>
      <c r="C903" s="223" t="n"/>
      <c r="D903" s="127" t="n"/>
      <c r="E903" s="227" t="n"/>
      <c r="F903" s="227" t="n"/>
      <c r="G903" s="227" t="n"/>
      <c r="H903" s="227" t="n"/>
      <c r="I903" s="227" t="n"/>
      <c r="J903" s="227" t="n"/>
      <c r="K903" s="227" t="n"/>
      <c r="L903" s="227" t="n"/>
      <c r="M903" s="227" t="n"/>
      <c r="N903" s="127" t="n"/>
      <c r="O903" s="227" t="n"/>
      <c r="P903" s="227" t="n"/>
      <c r="Q903" s="227" t="n"/>
      <c r="R903" s="227" t="n"/>
      <c r="S903" s="227" t="n"/>
      <c r="T903" s="227" t="n"/>
    </row>
    <row r="904">
      <c r="A904" s="145">
        <f>IF($B904="","",ROW()-5)</f>
        <v/>
      </c>
      <c r="B904" s="127" t="n"/>
      <c r="C904" s="223" t="n"/>
      <c r="D904" s="127" t="n"/>
      <c r="E904" s="227" t="n"/>
      <c r="F904" s="227" t="n"/>
      <c r="G904" s="227" t="n"/>
      <c r="H904" s="227" t="n"/>
      <c r="I904" s="227" t="n"/>
      <c r="J904" s="227" t="n"/>
      <c r="K904" s="227" t="n"/>
      <c r="L904" s="227" t="n"/>
      <c r="M904" s="227" t="n"/>
      <c r="N904" s="127" t="n"/>
      <c r="O904" s="227" t="n"/>
      <c r="P904" s="227" t="n"/>
      <c r="Q904" s="227" t="n"/>
      <c r="R904" s="227" t="n"/>
      <c r="S904" s="227" t="n"/>
      <c r="T904" s="227" t="n"/>
    </row>
    <row r="905">
      <c r="A905" s="145">
        <f>IF($B905="","",ROW()-5)</f>
        <v/>
      </c>
      <c r="B905" s="127" t="n"/>
      <c r="C905" s="223" t="n"/>
      <c r="D905" s="127" t="n"/>
      <c r="E905" s="227" t="n"/>
      <c r="F905" s="227" t="n"/>
      <c r="G905" s="227" t="n"/>
      <c r="H905" s="227" t="n"/>
      <c r="I905" s="227" t="n"/>
      <c r="J905" s="227" t="n"/>
      <c r="K905" s="227" t="n"/>
      <c r="L905" s="227" t="n"/>
      <c r="M905" s="227" t="n"/>
      <c r="N905" s="127" t="n"/>
      <c r="O905" s="227" t="n"/>
      <c r="P905" s="227" t="n"/>
      <c r="Q905" s="227" t="n"/>
      <c r="R905" s="227" t="n"/>
      <c r="S905" s="227" t="n"/>
      <c r="T905" s="227" t="n"/>
    </row>
    <row r="906">
      <c r="A906" s="145">
        <f>IF($B906="","",ROW()-5)</f>
        <v/>
      </c>
      <c r="B906" s="127" t="n"/>
      <c r="C906" s="223" t="n"/>
      <c r="D906" s="127" t="n"/>
      <c r="E906" s="227" t="n"/>
      <c r="F906" s="227" t="n"/>
      <c r="G906" s="227" t="n"/>
      <c r="H906" s="227" t="n"/>
      <c r="I906" s="227" t="n"/>
      <c r="J906" s="227" t="n"/>
      <c r="K906" s="227" t="n"/>
      <c r="L906" s="227" t="n"/>
      <c r="M906" s="227" t="n"/>
      <c r="N906" s="127" t="n"/>
      <c r="O906" s="227" t="n"/>
      <c r="P906" s="227" t="n"/>
      <c r="Q906" s="227" t="n"/>
      <c r="R906" s="227" t="n"/>
      <c r="S906" s="227" t="n"/>
      <c r="T906" s="227" t="n"/>
    </row>
    <row r="907">
      <c r="A907" s="145">
        <f>IF($B907="","",ROW()-5)</f>
        <v/>
      </c>
      <c r="B907" s="127" t="n"/>
      <c r="C907" s="223" t="n"/>
      <c r="D907" s="127" t="n"/>
      <c r="E907" s="227" t="n"/>
      <c r="F907" s="227" t="n"/>
      <c r="G907" s="227" t="n"/>
      <c r="H907" s="227" t="n"/>
      <c r="I907" s="227" t="n"/>
      <c r="J907" s="227" t="n"/>
      <c r="K907" s="227" t="n"/>
      <c r="L907" s="227" t="n"/>
      <c r="M907" s="227" t="n"/>
      <c r="N907" s="127" t="n"/>
      <c r="O907" s="227" t="n"/>
      <c r="P907" s="227" t="n"/>
      <c r="Q907" s="227" t="n"/>
      <c r="R907" s="227" t="n"/>
      <c r="S907" s="227" t="n"/>
      <c r="T907" s="227" t="n"/>
    </row>
    <row r="908">
      <c r="A908" s="145">
        <f>IF($B908="","",ROW()-5)</f>
        <v/>
      </c>
      <c r="B908" s="127" t="n"/>
      <c r="C908" s="223" t="n"/>
      <c r="D908" s="127" t="n"/>
      <c r="E908" s="227" t="n"/>
      <c r="F908" s="227" t="n"/>
      <c r="G908" s="227" t="n"/>
      <c r="H908" s="227" t="n"/>
      <c r="I908" s="227" t="n"/>
      <c r="J908" s="227" t="n"/>
      <c r="K908" s="227" t="n"/>
      <c r="L908" s="227" t="n"/>
      <c r="M908" s="227" t="n"/>
      <c r="N908" s="127" t="n"/>
      <c r="O908" s="227" t="n"/>
      <c r="P908" s="227" t="n"/>
      <c r="Q908" s="227" t="n"/>
      <c r="R908" s="227" t="n"/>
      <c r="S908" s="227" t="n"/>
      <c r="T908" s="227" t="n"/>
    </row>
    <row r="909">
      <c r="A909" s="145">
        <f>IF($B909="","",ROW()-5)</f>
        <v/>
      </c>
      <c r="B909" s="127" t="n"/>
      <c r="C909" s="223" t="n"/>
      <c r="D909" s="127" t="n"/>
      <c r="E909" s="227" t="n"/>
      <c r="F909" s="227" t="n"/>
      <c r="G909" s="227" t="n"/>
      <c r="H909" s="227" t="n"/>
      <c r="I909" s="227" t="n"/>
      <c r="J909" s="227" t="n"/>
      <c r="K909" s="227" t="n"/>
      <c r="L909" s="227" t="n"/>
      <c r="M909" s="227" t="n"/>
      <c r="N909" s="127" t="n"/>
      <c r="O909" s="227" t="n"/>
      <c r="P909" s="227" t="n"/>
      <c r="Q909" s="227" t="n"/>
      <c r="R909" s="227" t="n"/>
      <c r="S909" s="227" t="n"/>
      <c r="T909" s="227" t="n"/>
    </row>
    <row r="910">
      <c r="A910" s="145">
        <f>IF($B910="","",ROW()-5)</f>
        <v/>
      </c>
      <c r="B910" s="127" t="n"/>
      <c r="C910" s="223" t="n"/>
      <c r="D910" s="127" t="n"/>
      <c r="E910" s="227" t="n"/>
      <c r="F910" s="227" t="n"/>
      <c r="G910" s="227" t="n"/>
      <c r="H910" s="227" t="n"/>
      <c r="I910" s="227" t="n"/>
      <c r="J910" s="227" t="n"/>
      <c r="K910" s="227" t="n"/>
      <c r="L910" s="227" t="n"/>
      <c r="M910" s="227" t="n"/>
      <c r="N910" s="127" t="n"/>
      <c r="O910" s="227" t="n"/>
      <c r="P910" s="227" t="n"/>
      <c r="Q910" s="227" t="n"/>
      <c r="R910" s="227" t="n"/>
      <c r="S910" s="227" t="n"/>
      <c r="T910" s="227" t="n"/>
    </row>
    <row r="911">
      <c r="A911" s="145">
        <f>IF($B911="","",ROW()-5)</f>
        <v/>
      </c>
      <c r="B911" s="127" t="n"/>
      <c r="C911" s="223" t="n"/>
      <c r="D911" s="127" t="n"/>
      <c r="E911" s="227" t="n"/>
      <c r="F911" s="227" t="n"/>
      <c r="G911" s="227" t="n"/>
      <c r="H911" s="227" t="n"/>
      <c r="I911" s="227" t="n"/>
      <c r="J911" s="227" t="n"/>
      <c r="K911" s="227" t="n"/>
      <c r="L911" s="227" t="n"/>
      <c r="M911" s="227" t="n"/>
      <c r="N911" s="127" t="n"/>
      <c r="O911" s="227" t="n"/>
      <c r="P911" s="227" t="n"/>
      <c r="Q911" s="227" t="n"/>
      <c r="R911" s="227" t="n"/>
      <c r="S911" s="227" t="n"/>
      <c r="T911" s="227" t="n"/>
    </row>
    <row r="912">
      <c r="A912" s="145">
        <f>IF($B912="","",ROW()-5)</f>
        <v/>
      </c>
      <c r="B912" s="127" t="n"/>
      <c r="C912" s="223" t="n"/>
      <c r="D912" s="127" t="n"/>
      <c r="E912" s="227" t="n"/>
      <c r="F912" s="227" t="n"/>
      <c r="G912" s="227" t="n"/>
      <c r="H912" s="227" t="n"/>
      <c r="I912" s="227" t="n"/>
      <c r="J912" s="227" t="n"/>
      <c r="K912" s="227" t="n"/>
      <c r="L912" s="227" t="n"/>
      <c r="M912" s="227" t="n"/>
      <c r="N912" s="127" t="n"/>
      <c r="O912" s="227" t="n"/>
      <c r="P912" s="227" t="n"/>
      <c r="Q912" s="227" t="n"/>
      <c r="R912" s="227" t="n"/>
      <c r="S912" s="227" t="n"/>
      <c r="T912" s="227" t="n"/>
    </row>
    <row r="913">
      <c r="A913" s="145">
        <f>IF($B913="","",ROW()-5)</f>
        <v/>
      </c>
      <c r="B913" s="127" t="n"/>
      <c r="C913" s="223" t="n"/>
      <c r="D913" s="127" t="n"/>
      <c r="E913" s="227" t="n"/>
      <c r="F913" s="227" t="n"/>
      <c r="G913" s="227" t="n"/>
      <c r="H913" s="227" t="n"/>
      <c r="I913" s="227" t="n"/>
      <c r="J913" s="227" t="n"/>
      <c r="K913" s="227" t="n"/>
      <c r="L913" s="227" t="n"/>
      <c r="M913" s="227" t="n"/>
      <c r="N913" s="127" t="n"/>
      <c r="O913" s="227" t="n"/>
      <c r="P913" s="227" t="n"/>
      <c r="Q913" s="227" t="n"/>
      <c r="R913" s="227" t="n"/>
      <c r="S913" s="227" t="n"/>
      <c r="T913" s="227" t="n"/>
    </row>
    <row r="914">
      <c r="A914" s="145">
        <f>IF($B914="","",ROW()-5)</f>
        <v/>
      </c>
      <c r="B914" s="127" t="n"/>
      <c r="C914" s="223" t="n"/>
      <c r="D914" s="127" t="n"/>
      <c r="E914" s="227" t="n"/>
      <c r="F914" s="227" t="n"/>
      <c r="G914" s="227" t="n"/>
      <c r="H914" s="227" t="n"/>
      <c r="I914" s="227" t="n"/>
      <c r="J914" s="227" t="n"/>
      <c r="K914" s="227" t="n"/>
      <c r="L914" s="227" t="n"/>
      <c r="M914" s="227" t="n"/>
      <c r="N914" s="127" t="n"/>
      <c r="O914" s="227" t="n"/>
      <c r="P914" s="227" t="n"/>
      <c r="Q914" s="227" t="n"/>
      <c r="R914" s="227" t="n"/>
      <c r="S914" s="227" t="n"/>
      <c r="T914" s="227" t="n"/>
    </row>
    <row r="915">
      <c r="A915" s="145">
        <f>IF($B915="","",ROW()-5)</f>
        <v/>
      </c>
      <c r="B915" s="127" t="n"/>
      <c r="C915" s="223" t="n"/>
      <c r="D915" s="127" t="n"/>
      <c r="E915" s="227" t="n"/>
      <c r="F915" s="227" t="n"/>
      <c r="G915" s="227" t="n"/>
      <c r="H915" s="227" t="n"/>
      <c r="I915" s="227" t="n"/>
      <c r="J915" s="227" t="n"/>
      <c r="K915" s="227" t="n"/>
      <c r="L915" s="227" t="n"/>
      <c r="M915" s="227" t="n"/>
      <c r="N915" s="127" t="n"/>
      <c r="O915" s="227" t="n"/>
      <c r="P915" s="227" t="n"/>
      <c r="Q915" s="227" t="n"/>
      <c r="R915" s="227" t="n"/>
      <c r="S915" s="227" t="n"/>
      <c r="T915" s="227" t="n"/>
    </row>
    <row r="916">
      <c r="A916" s="145">
        <f>IF($B916="","",ROW()-5)</f>
        <v/>
      </c>
      <c r="B916" s="127" t="n"/>
      <c r="C916" s="223" t="n"/>
      <c r="D916" s="127" t="n"/>
      <c r="E916" s="227" t="n"/>
      <c r="F916" s="227" t="n"/>
      <c r="G916" s="227" t="n"/>
      <c r="H916" s="227" t="n"/>
      <c r="I916" s="227" t="n"/>
      <c r="J916" s="227" t="n"/>
      <c r="K916" s="227" t="n"/>
      <c r="L916" s="227" t="n"/>
      <c r="M916" s="227" t="n"/>
      <c r="N916" s="127" t="n"/>
      <c r="O916" s="227" t="n"/>
      <c r="P916" s="227" t="n"/>
      <c r="Q916" s="227" t="n"/>
      <c r="R916" s="227" t="n"/>
      <c r="S916" s="227" t="n"/>
      <c r="T916" s="227" t="n"/>
    </row>
    <row r="917">
      <c r="A917" s="145">
        <f>IF($B917="","",ROW()-5)</f>
        <v/>
      </c>
      <c r="B917" s="127" t="n"/>
      <c r="C917" s="223" t="n"/>
      <c r="D917" s="127" t="n"/>
      <c r="E917" s="227" t="n"/>
      <c r="F917" s="227" t="n"/>
      <c r="G917" s="227" t="n"/>
      <c r="H917" s="227" t="n"/>
      <c r="I917" s="227" t="n"/>
      <c r="J917" s="227" t="n"/>
      <c r="K917" s="227" t="n"/>
      <c r="L917" s="227" t="n"/>
      <c r="M917" s="227" t="n"/>
      <c r="N917" s="127" t="n"/>
      <c r="O917" s="227" t="n"/>
      <c r="P917" s="227" t="n"/>
      <c r="Q917" s="227" t="n"/>
      <c r="R917" s="227" t="n"/>
      <c r="S917" s="227" t="n"/>
      <c r="T917" s="227" t="n"/>
    </row>
    <row r="918">
      <c r="A918" s="145">
        <f>IF($B918="","",ROW()-5)</f>
        <v/>
      </c>
      <c r="B918" s="127" t="n"/>
      <c r="C918" s="223" t="n"/>
      <c r="D918" s="127" t="n"/>
      <c r="E918" s="227" t="n"/>
      <c r="F918" s="227" t="n"/>
      <c r="G918" s="227" t="n"/>
      <c r="H918" s="227" t="n"/>
      <c r="I918" s="227" t="n"/>
      <c r="J918" s="227" t="n"/>
      <c r="K918" s="227" t="n"/>
      <c r="L918" s="227" t="n"/>
      <c r="M918" s="227" t="n"/>
      <c r="N918" s="127" t="n"/>
      <c r="O918" s="227" t="n"/>
      <c r="P918" s="227" t="n"/>
      <c r="Q918" s="227" t="n"/>
      <c r="R918" s="227" t="n"/>
      <c r="S918" s="227" t="n"/>
      <c r="T918" s="227" t="n"/>
    </row>
    <row r="919">
      <c r="A919" s="145">
        <f>IF($B919="","",ROW()-5)</f>
        <v/>
      </c>
      <c r="B919" s="127" t="n"/>
      <c r="C919" s="223" t="n"/>
      <c r="D919" s="127" t="n"/>
      <c r="E919" s="227" t="n"/>
      <c r="F919" s="227" t="n"/>
      <c r="G919" s="227" t="n"/>
      <c r="H919" s="227" t="n"/>
      <c r="I919" s="227" t="n"/>
      <c r="J919" s="227" t="n"/>
      <c r="K919" s="227" t="n"/>
      <c r="L919" s="227" t="n"/>
      <c r="M919" s="227" t="n"/>
      <c r="N919" s="127" t="n"/>
      <c r="O919" s="227" t="n"/>
      <c r="P919" s="227" t="n"/>
      <c r="Q919" s="227" t="n"/>
      <c r="R919" s="227" t="n"/>
      <c r="S919" s="227" t="n"/>
      <c r="T919" s="227" t="n"/>
    </row>
    <row r="920">
      <c r="A920" s="145">
        <f>IF($B920="","",ROW()-5)</f>
        <v/>
      </c>
      <c r="B920" s="127" t="n"/>
      <c r="C920" s="223" t="n"/>
      <c r="D920" s="127" t="n"/>
      <c r="E920" s="227" t="n"/>
      <c r="F920" s="227" t="n"/>
      <c r="G920" s="227" t="n"/>
      <c r="H920" s="227" t="n"/>
      <c r="I920" s="227" t="n"/>
      <c r="J920" s="227" t="n"/>
      <c r="K920" s="227" t="n"/>
      <c r="L920" s="227" t="n"/>
      <c r="M920" s="227" t="n"/>
      <c r="N920" s="127" t="n"/>
      <c r="O920" s="227" t="n"/>
      <c r="P920" s="227" t="n"/>
      <c r="Q920" s="227" t="n"/>
      <c r="R920" s="227" t="n"/>
      <c r="S920" s="227" t="n"/>
      <c r="T920" s="227" t="n"/>
    </row>
    <row r="921">
      <c r="A921" s="145">
        <f>IF($B921="","",ROW()-5)</f>
        <v/>
      </c>
      <c r="B921" s="127" t="n"/>
      <c r="C921" s="223" t="n"/>
      <c r="D921" s="127" t="n"/>
      <c r="E921" s="227" t="n"/>
      <c r="F921" s="227" t="n"/>
      <c r="G921" s="227" t="n"/>
      <c r="H921" s="227" t="n"/>
      <c r="I921" s="227" t="n"/>
      <c r="J921" s="227" t="n"/>
      <c r="K921" s="227" t="n"/>
      <c r="L921" s="227" t="n"/>
      <c r="M921" s="227" t="n"/>
      <c r="N921" s="127" t="n"/>
      <c r="O921" s="227" t="n"/>
      <c r="P921" s="227" t="n"/>
      <c r="Q921" s="227" t="n"/>
      <c r="R921" s="227" t="n"/>
      <c r="S921" s="227" t="n"/>
      <c r="T921" s="227" t="n"/>
    </row>
    <row r="922">
      <c r="A922" s="145">
        <f>IF($B922="","",ROW()-5)</f>
        <v/>
      </c>
      <c r="B922" s="127" t="n"/>
      <c r="C922" s="223" t="n"/>
      <c r="D922" s="127" t="n"/>
      <c r="E922" s="227" t="n"/>
      <c r="F922" s="227" t="n"/>
      <c r="G922" s="227" t="n"/>
      <c r="H922" s="227" t="n"/>
      <c r="I922" s="227" t="n"/>
      <c r="J922" s="227" t="n"/>
      <c r="K922" s="227" t="n"/>
      <c r="L922" s="227" t="n"/>
      <c r="M922" s="227" t="n"/>
      <c r="N922" s="127" t="n"/>
      <c r="O922" s="227" t="n"/>
      <c r="P922" s="227" t="n"/>
      <c r="Q922" s="227" t="n"/>
      <c r="R922" s="227" t="n"/>
      <c r="S922" s="227" t="n"/>
      <c r="T922" s="227" t="n"/>
    </row>
    <row r="923">
      <c r="A923" s="145">
        <f>IF($B923="","",ROW()-5)</f>
        <v/>
      </c>
      <c r="B923" s="127" t="n"/>
      <c r="C923" s="223" t="n"/>
      <c r="D923" s="127" t="n"/>
      <c r="E923" s="227" t="n"/>
      <c r="F923" s="227" t="n"/>
      <c r="G923" s="227" t="n"/>
      <c r="H923" s="227" t="n"/>
      <c r="I923" s="227" t="n"/>
      <c r="J923" s="227" t="n"/>
      <c r="K923" s="227" t="n"/>
      <c r="L923" s="227" t="n"/>
      <c r="M923" s="227" t="n"/>
      <c r="N923" s="127" t="n"/>
      <c r="O923" s="227" t="n"/>
      <c r="P923" s="227" t="n"/>
      <c r="Q923" s="227" t="n"/>
      <c r="R923" s="227" t="n"/>
      <c r="S923" s="227" t="n"/>
      <c r="T923" s="227" t="n"/>
    </row>
    <row r="924">
      <c r="A924" s="145">
        <f>IF($B924="","",ROW()-5)</f>
        <v/>
      </c>
      <c r="B924" s="127" t="n"/>
      <c r="C924" s="223" t="n"/>
      <c r="D924" s="127" t="n"/>
      <c r="E924" s="227" t="n"/>
      <c r="F924" s="227" t="n"/>
      <c r="G924" s="227" t="n"/>
      <c r="H924" s="227" t="n"/>
      <c r="I924" s="227" t="n"/>
      <c r="J924" s="227" t="n"/>
      <c r="K924" s="227" t="n"/>
      <c r="L924" s="227" t="n"/>
      <c r="M924" s="227" t="n"/>
      <c r="N924" s="127" t="n"/>
      <c r="O924" s="227" t="n"/>
      <c r="P924" s="227" t="n"/>
      <c r="Q924" s="227" t="n"/>
      <c r="R924" s="227" t="n"/>
      <c r="S924" s="227" t="n"/>
      <c r="T924" s="227" t="n"/>
    </row>
    <row r="925">
      <c r="A925" s="145">
        <f>IF($B925="","",ROW()-5)</f>
        <v/>
      </c>
      <c r="B925" s="127" t="n"/>
      <c r="C925" s="223" t="n"/>
      <c r="D925" s="127" t="n"/>
      <c r="E925" s="227" t="n"/>
      <c r="F925" s="227" t="n"/>
      <c r="G925" s="227" t="n"/>
      <c r="H925" s="227" t="n"/>
      <c r="I925" s="227" t="n"/>
      <c r="J925" s="227" t="n"/>
      <c r="K925" s="227" t="n"/>
      <c r="L925" s="227" t="n"/>
      <c r="M925" s="227" t="n"/>
      <c r="N925" s="127" t="n"/>
      <c r="O925" s="227" t="n"/>
      <c r="P925" s="227" t="n"/>
      <c r="Q925" s="227" t="n"/>
      <c r="R925" s="227" t="n"/>
      <c r="S925" s="227" t="n"/>
      <c r="T925" s="227" t="n"/>
    </row>
    <row r="926">
      <c r="A926" s="145">
        <f>IF($B926="","",ROW()-5)</f>
        <v/>
      </c>
      <c r="B926" s="127" t="n"/>
      <c r="C926" s="223" t="n"/>
      <c r="D926" s="127" t="n"/>
      <c r="E926" s="227" t="n"/>
      <c r="F926" s="227" t="n"/>
      <c r="G926" s="227" t="n"/>
      <c r="H926" s="227" t="n"/>
      <c r="I926" s="227" t="n"/>
      <c r="J926" s="227" t="n"/>
      <c r="K926" s="227" t="n"/>
      <c r="L926" s="227" t="n"/>
      <c r="M926" s="227" t="n"/>
      <c r="N926" s="127" t="n"/>
      <c r="O926" s="227" t="n"/>
      <c r="P926" s="227" t="n"/>
      <c r="Q926" s="227" t="n"/>
      <c r="R926" s="227" t="n"/>
      <c r="S926" s="227" t="n"/>
      <c r="T926" s="227" t="n"/>
    </row>
    <row r="927">
      <c r="A927" s="145">
        <f>IF($B927="","",ROW()-5)</f>
        <v/>
      </c>
      <c r="B927" s="127" t="n"/>
      <c r="C927" s="223" t="n"/>
      <c r="D927" s="127" t="n"/>
      <c r="E927" s="227" t="n"/>
      <c r="F927" s="227" t="n"/>
      <c r="G927" s="227" t="n"/>
      <c r="H927" s="227" t="n"/>
      <c r="I927" s="227" t="n"/>
      <c r="J927" s="227" t="n"/>
      <c r="K927" s="227" t="n"/>
      <c r="L927" s="227" t="n"/>
      <c r="M927" s="227" t="n"/>
      <c r="N927" s="127" t="n"/>
      <c r="O927" s="227" t="n"/>
      <c r="P927" s="227" t="n"/>
      <c r="Q927" s="227" t="n"/>
      <c r="R927" s="227" t="n"/>
      <c r="S927" s="227" t="n"/>
      <c r="T927" s="227" t="n"/>
    </row>
    <row r="928">
      <c r="A928" s="145">
        <f>IF($B928="","",ROW()-5)</f>
        <v/>
      </c>
      <c r="B928" s="127" t="n"/>
      <c r="C928" s="223" t="n"/>
      <c r="D928" s="127" t="n"/>
      <c r="E928" s="227" t="n"/>
      <c r="F928" s="227" t="n"/>
      <c r="G928" s="227" t="n"/>
      <c r="H928" s="227" t="n"/>
      <c r="I928" s="227" t="n"/>
      <c r="J928" s="227" t="n"/>
      <c r="K928" s="227" t="n"/>
      <c r="L928" s="227" t="n"/>
      <c r="M928" s="227" t="n"/>
      <c r="N928" s="127" t="n"/>
      <c r="O928" s="227" t="n"/>
      <c r="P928" s="227" t="n"/>
      <c r="Q928" s="227" t="n"/>
      <c r="R928" s="227" t="n"/>
      <c r="S928" s="227" t="n"/>
      <c r="T928" s="227" t="n"/>
    </row>
    <row r="929">
      <c r="A929" s="145">
        <f>IF($B929="","",ROW()-5)</f>
        <v/>
      </c>
      <c r="B929" s="127" t="n"/>
      <c r="C929" s="223" t="n"/>
      <c r="D929" s="127" t="n"/>
      <c r="E929" s="227" t="n"/>
      <c r="F929" s="227" t="n"/>
      <c r="G929" s="227" t="n"/>
      <c r="H929" s="227" t="n"/>
      <c r="I929" s="227" t="n"/>
      <c r="J929" s="227" t="n"/>
      <c r="K929" s="227" t="n"/>
      <c r="L929" s="227" t="n"/>
      <c r="M929" s="227" t="n"/>
      <c r="N929" s="127" t="n"/>
      <c r="O929" s="227" t="n"/>
      <c r="P929" s="227" t="n"/>
      <c r="Q929" s="227" t="n"/>
      <c r="R929" s="227" t="n"/>
      <c r="S929" s="227" t="n"/>
      <c r="T929" s="227" t="n"/>
    </row>
    <row r="930">
      <c r="A930" s="145">
        <f>IF($B930="","",ROW()-5)</f>
        <v/>
      </c>
      <c r="B930" s="127" t="n"/>
      <c r="C930" s="223" t="n"/>
      <c r="D930" s="127" t="n"/>
      <c r="E930" s="227" t="n"/>
      <c r="F930" s="227" t="n"/>
      <c r="G930" s="227" t="n"/>
      <c r="H930" s="227" t="n"/>
      <c r="I930" s="227" t="n"/>
      <c r="J930" s="227" t="n"/>
      <c r="K930" s="227" t="n"/>
      <c r="L930" s="227" t="n"/>
      <c r="M930" s="227" t="n"/>
      <c r="N930" s="127" t="n"/>
      <c r="O930" s="227" t="n"/>
      <c r="P930" s="227" t="n"/>
      <c r="Q930" s="227" t="n"/>
      <c r="R930" s="227" t="n"/>
      <c r="S930" s="227" t="n"/>
      <c r="T930" s="227" t="n"/>
    </row>
    <row r="931">
      <c r="A931" s="145">
        <f>IF($B931="","",ROW()-5)</f>
        <v/>
      </c>
      <c r="B931" s="127" t="n"/>
      <c r="C931" s="223" t="n"/>
      <c r="D931" s="127" t="n"/>
      <c r="E931" s="227" t="n"/>
      <c r="F931" s="227" t="n"/>
      <c r="G931" s="227" t="n"/>
      <c r="H931" s="227" t="n"/>
      <c r="I931" s="227" t="n"/>
      <c r="J931" s="227" t="n"/>
      <c r="K931" s="227" t="n"/>
      <c r="L931" s="227" t="n"/>
      <c r="M931" s="227" t="n"/>
      <c r="N931" s="127" t="n"/>
      <c r="O931" s="227" t="n"/>
      <c r="P931" s="227" t="n"/>
      <c r="Q931" s="227" t="n"/>
      <c r="R931" s="227" t="n"/>
      <c r="S931" s="227" t="n"/>
      <c r="T931" s="227" t="n"/>
    </row>
    <row r="932">
      <c r="A932" s="145">
        <f>IF($B932="","",ROW()-5)</f>
        <v/>
      </c>
      <c r="B932" s="127" t="n"/>
      <c r="C932" s="223" t="n"/>
      <c r="D932" s="127" t="n"/>
      <c r="E932" s="227" t="n"/>
      <c r="F932" s="227" t="n"/>
      <c r="G932" s="227" t="n"/>
      <c r="H932" s="227" t="n"/>
      <c r="I932" s="227" t="n"/>
      <c r="J932" s="227" t="n"/>
      <c r="K932" s="227" t="n"/>
      <c r="L932" s="227" t="n"/>
      <c r="M932" s="227" t="n"/>
      <c r="N932" s="127" t="n"/>
      <c r="O932" s="227" t="n"/>
      <c r="P932" s="227" t="n"/>
      <c r="Q932" s="227" t="n"/>
      <c r="R932" s="227" t="n"/>
      <c r="S932" s="227" t="n"/>
      <c r="T932" s="227" t="n"/>
    </row>
    <row r="933">
      <c r="A933" s="145">
        <f>IF($B933="","",ROW()-5)</f>
        <v/>
      </c>
      <c r="B933" s="127" t="n"/>
      <c r="C933" s="223" t="n"/>
      <c r="D933" s="127" t="n"/>
      <c r="E933" s="227" t="n"/>
      <c r="F933" s="227" t="n"/>
      <c r="G933" s="227" t="n"/>
      <c r="H933" s="227" t="n"/>
      <c r="I933" s="227" t="n"/>
      <c r="J933" s="227" t="n"/>
      <c r="K933" s="227" t="n"/>
      <c r="L933" s="227" t="n"/>
      <c r="M933" s="227" t="n"/>
      <c r="N933" s="127" t="n"/>
      <c r="O933" s="227" t="n"/>
      <c r="P933" s="227" t="n"/>
      <c r="Q933" s="227" t="n"/>
      <c r="R933" s="227" t="n"/>
      <c r="S933" s="227" t="n"/>
      <c r="T933" s="227" t="n"/>
    </row>
    <row r="934">
      <c r="A934" s="145">
        <f>IF($B934="","",ROW()-5)</f>
        <v/>
      </c>
      <c r="B934" s="127" t="n"/>
      <c r="C934" s="223" t="n"/>
      <c r="D934" s="127" t="n"/>
      <c r="E934" s="227" t="n"/>
      <c r="F934" s="227" t="n"/>
      <c r="G934" s="227" t="n"/>
      <c r="H934" s="227" t="n"/>
      <c r="I934" s="227" t="n"/>
      <c r="J934" s="227" t="n"/>
      <c r="K934" s="227" t="n"/>
      <c r="L934" s="227" t="n"/>
      <c r="M934" s="227" t="n"/>
      <c r="N934" s="127" t="n"/>
      <c r="O934" s="227" t="n"/>
      <c r="P934" s="227" t="n"/>
      <c r="Q934" s="227" t="n"/>
      <c r="R934" s="227" t="n"/>
      <c r="S934" s="227" t="n"/>
      <c r="T934" s="227" t="n"/>
    </row>
    <row r="935">
      <c r="A935" s="145">
        <f>IF($B935="","",ROW()-5)</f>
        <v/>
      </c>
      <c r="B935" s="127" t="n"/>
      <c r="C935" s="223" t="n"/>
      <c r="D935" s="127" t="n"/>
      <c r="E935" s="227" t="n"/>
      <c r="F935" s="227" t="n"/>
      <c r="G935" s="227" t="n"/>
      <c r="H935" s="227" t="n"/>
      <c r="I935" s="227" t="n"/>
      <c r="J935" s="227" t="n"/>
      <c r="K935" s="227" t="n"/>
      <c r="L935" s="227" t="n"/>
      <c r="M935" s="227" t="n"/>
      <c r="N935" s="127" t="n"/>
      <c r="O935" s="227" t="n"/>
      <c r="P935" s="227" t="n"/>
      <c r="Q935" s="227" t="n"/>
      <c r="R935" s="227" t="n"/>
      <c r="S935" s="227" t="n"/>
      <c r="T935" s="227" t="n"/>
    </row>
    <row r="936">
      <c r="A936" s="145">
        <f>IF($B936="","",ROW()-5)</f>
        <v/>
      </c>
      <c r="B936" s="127" t="n"/>
      <c r="C936" s="223" t="n"/>
      <c r="D936" s="127" t="n"/>
      <c r="E936" s="227" t="n"/>
      <c r="F936" s="227" t="n"/>
      <c r="G936" s="227" t="n"/>
      <c r="H936" s="227" t="n"/>
      <c r="I936" s="227" t="n"/>
      <c r="J936" s="227" t="n"/>
      <c r="K936" s="227" t="n"/>
      <c r="L936" s="227" t="n"/>
      <c r="M936" s="227" t="n"/>
      <c r="N936" s="127" t="n"/>
      <c r="O936" s="227" t="n"/>
      <c r="P936" s="227" t="n"/>
      <c r="Q936" s="227" t="n"/>
      <c r="R936" s="227" t="n"/>
      <c r="S936" s="227" t="n"/>
      <c r="T936" s="227" t="n"/>
    </row>
    <row r="937">
      <c r="A937" s="145">
        <f>IF($B937="","",ROW()-5)</f>
        <v/>
      </c>
      <c r="B937" s="127" t="n"/>
      <c r="C937" s="223" t="n"/>
      <c r="D937" s="127" t="n"/>
      <c r="E937" s="227" t="n"/>
      <c r="F937" s="227" t="n"/>
      <c r="G937" s="227" t="n"/>
      <c r="H937" s="227" t="n"/>
      <c r="I937" s="227" t="n"/>
      <c r="J937" s="227" t="n"/>
      <c r="K937" s="227" t="n"/>
      <c r="L937" s="227" t="n"/>
      <c r="M937" s="227" t="n"/>
      <c r="N937" s="127" t="n"/>
      <c r="O937" s="227" t="n"/>
      <c r="P937" s="227" t="n"/>
      <c r="Q937" s="227" t="n"/>
      <c r="R937" s="227" t="n"/>
      <c r="S937" s="227" t="n"/>
      <c r="T937" s="227" t="n"/>
    </row>
    <row r="938">
      <c r="A938" s="145">
        <f>IF($B938="","",ROW()-5)</f>
        <v/>
      </c>
      <c r="B938" s="127" t="n"/>
      <c r="C938" s="223" t="n"/>
      <c r="D938" s="127" t="n"/>
      <c r="E938" s="227" t="n"/>
      <c r="F938" s="227" t="n"/>
      <c r="G938" s="227" t="n"/>
      <c r="H938" s="227" t="n"/>
      <c r="I938" s="227" t="n"/>
      <c r="J938" s="227" t="n"/>
      <c r="K938" s="227" t="n"/>
      <c r="L938" s="227" t="n"/>
      <c r="M938" s="227" t="n"/>
      <c r="N938" s="127" t="n"/>
      <c r="O938" s="227" t="n"/>
      <c r="P938" s="227" t="n"/>
      <c r="Q938" s="227" t="n"/>
      <c r="R938" s="227" t="n"/>
      <c r="S938" s="227" t="n"/>
      <c r="T938" s="227" t="n"/>
    </row>
    <row r="939">
      <c r="A939" s="145">
        <f>IF($B939="","",ROW()-5)</f>
        <v/>
      </c>
      <c r="B939" s="127" t="n"/>
      <c r="C939" s="223" t="n"/>
      <c r="D939" s="127" t="n"/>
      <c r="E939" s="227" t="n"/>
      <c r="F939" s="227" t="n"/>
      <c r="G939" s="227" t="n"/>
      <c r="H939" s="227" t="n"/>
      <c r="I939" s="227" t="n"/>
      <c r="J939" s="227" t="n"/>
      <c r="K939" s="227" t="n"/>
      <c r="L939" s="227" t="n"/>
      <c r="M939" s="227" t="n"/>
      <c r="N939" s="127" t="n"/>
      <c r="O939" s="227" t="n"/>
      <c r="P939" s="227" t="n"/>
      <c r="Q939" s="227" t="n"/>
      <c r="R939" s="227" t="n"/>
      <c r="S939" s="227" t="n"/>
      <c r="T939" s="227" t="n"/>
    </row>
    <row r="940">
      <c r="A940" s="145">
        <f>IF($B940="","",ROW()-5)</f>
        <v/>
      </c>
      <c r="B940" s="127" t="n"/>
      <c r="C940" s="223" t="n"/>
      <c r="D940" s="127" t="n"/>
      <c r="E940" s="227" t="n"/>
      <c r="F940" s="227" t="n"/>
      <c r="G940" s="227" t="n"/>
      <c r="H940" s="227" t="n"/>
      <c r="I940" s="227" t="n"/>
      <c r="J940" s="227" t="n"/>
      <c r="K940" s="227" t="n"/>
      <c r="L940" s="227" t="n"/>
      <c r="M940" s="227" t="n"/>
      <c r="N940" s="127" t="n"/>
      <c r="O940" s="227" t="n"/>
      <c r="P940" s="227" t="n"/>
      <c r="Q940" s="227" t="n"/>
      <c r="R940" s="227" t="n"/>
      <c r="S940" s="227" t="n"/>
      <c r="T940" s="227" t="n"/>
    </row>
    <row r="941">
      <c r="A941" s="145">
        <f>IF($B941="","",ROW()-5)</f>
        <v/>
      </c>
      <c r="B941" s="127" t="n"/>
      <c r="C941" s="223" t="n"/>
      <c r="D941" s="127" t="n"/>
      <c r="E941" s="227" t="n"/>
      <c r="F941" s="227" t="n"/>
      <c r="G941" s="227" t="n"/>
      <c r="H941" s="227" t="n"/>
      <c r="I941" s="227" t="n"/>
      <c r="J941" s="227" t="n"/>
      <c r="K941" s="227" t="n"/>
      <c r="L941" s="227" t="n"/>
      <c r="M941" s="227" t="n"/>
      <c r="N941" s="127" t="n"/>
      <c r="O941" s="227" t="n"/>
      <c r="P941" s="227" t="n"/>
      <c r="Q941" s="227" t="n"/>
      <c r="R941" s="227" t="n"/>
      <c r="S941" s="227" t="n"/>
      <c r="T941" s="227" t="n"/>
    </row>
    <row r="942">
      <c r="A942" s="145">
        <f>IF($B942="","",ROW()-5)</f>
        <v/>
      </c>
      <c r="B942" s="127" t="n"/>
      <c r="C942" s="223" t="n"/>
      <c r="D942" s="127" t="n"/>
      <c r="E942" s="227" t="n"/>
      <c r="F942" s="227" t="n"/>
      <c r="G942" s="227" t="n"/>
      <c r="H942" s="227" t="n"/>
      <c r="I942" s="227" t="n"/>
      <c r="J942" s="227" t="n"/>
      <c r="K942" s="227" t="n"/>
      <c r="L942" s="227" t="n"/>
      <c r="M942" s="227" t="n"/>
      <c r="N942" s="127" t="n"/>
      <c r="O942" s="227" t="n"/>
      <c r="P942" s="227" t="n"/>
      <c r="Q942" s="227" t="n"/>
      <c r="R942" s="227" t="n"/>
      <c r="S942" s="227" t="n"/>
      <c r="T942" s="227" t="n"/>
    </row>
    <row r="943">
      <c r="A943" s="145">
        <f>IF($B943="","",ROW()-5)</f>
        <v/>
      </c>
      <c r="B943" s="127" t="n"/>
      <c r="C943" s="223" t="n"/>
      <c r="D943" s="127" t="n"/>
      <c r="E943" s="227" t="n"/>
      <c r="F943" s="227" t="n"/>
      <c r="G943" s="227" t="n"/>
      <c r="H943" s="227" t="n"/>
      <c r="I943" s="227" t="n"/>
      <c r="J943" s="227" t="n"/>
      <c r="K943" s="227" t="n"/>
      <c r="L943" s="227" t="n"/>
      <c r="M943" s="227" t="n"/>
      <c r="N943" s="127" t="n"/>
      <c r="O943" s="227" t="n"/>
      <c r="P943" s="227" t="n"/>
      <c r="Q943" s="227" t="n"/>
      <c r="R943" s="227" t="n"/>
      <c r="S943" s="227" t="n"/>
      <c r="T943" s="227" t="n"/>
    </row>
    <row r="944">
      <c r="A944" s="145">
        <f>IF($B944="","",ROW()-5)</f>
        <v/>
      </c>
      <c r="B944" s="127" t="n"/>
      <c r="C944" s="223" t="n"/>
      <c r="D944" s="127" t="n"/>
      <c r="E944" s="227" t="n"/>
      <c r="F944" s="227" t="n"/>
      <c r="G944" s="227" t="n"/>
      <c r="H944" s="227" t="n"/>
      <c r="I944" s="227" t="n"/>
      <c r="J944" s="227" t="n"/>
      <c r="K944" s="227" t="n"/>
      <c r="L944" s="227" t="n"/>
      <c r="M944" s="227" t="n"/>
      <c r="N944" s="127" t="n"/>
      <c r="O944" s="227" t="n"/>
      <c r="P944" s="227" t="n"/>
      <c r="Q944" s="227" t="n"/>
      <c r="R944" s="227" t="n"/>
      <c r="S944" s="227" t="n"/>
      <c r="T944" s="227" t="n"/>
    </row>
    <row r="945">
      <c r="A945" s="145">
        <f>IF($B945="","",ROW()-5)</f>
        <v/>
      </c>
      <c r="B945" s="127" t="n"/>
      <c r="C945" s="223" t="n"/>
      <c r="D945" s="127" t="n"/>
      <c r="E945" s="227" t="n"/>
      <c r="F945" s="227" t="n"/>
      <c r="G945" s="227" t="n"/>
      <c r="H945" s="227" t="n"/>
      <c r="I945" s="227" t="n"/>
      <c r="J945" s="227" t="n"/>
      <c r="K945" s="227" t="n"/>
      <c r="L945" s="227" t="n"/>
      <c r="M945" s="227" t="n"/>
      <c r="N945" s="127" t="n"/>
      <c r="O945" s="227" t="n"/>
      <c r="P945" s="227" t="n"/>
      <c r="Q945" s="227" t="n"/>
      <c r="R945" s="227" t="n"/>
      <c r="S945" s="227" t="n"/>
      <c r="T945" s="227" t="n"/>
    </row>
    <row r="946">
      <c r="A946" s="145">
        <f>IF($B946="","",ROW()-5)</f>
        <v/>
      </c>
      <c r="B946" s="127" t="n"/>
      <c r="C946" s="223" t="n"/>
      <c r="D946" s="127" t="n"/>
      <c r="E946" s="227" t="n"/>
      <c r="F946" s="227" t="n"/>
      <c r="G946" s="227" t="n"/>
      <c r="H946" s="227" t="n"/>
      <c r="I946" s="227" t="n"/>
      <c r="J946" s="227" t="n"/>
      <c r="K946" s="227" t="n"/>
      <c r="L946" s="227" t="n"/>
      <c r="M946" s="227" t="n"/>
      <c r="N946" s="127" t="n"/>
      <c r="O946" s="227" t="n"/>
      <c r="P946" s="227" t="n"/>
      <c r="Q946" s="227" t="n"/>
      <c r="R946" s="227" t="n"/>
      <c r="S946" s="227" t="n"/>
      <c r="T946" s="227" t="n"/>
    </row>
    <row r="947">
      <c r="A947" s="145">
        <f>IF($B947="","",ROW()-5)</f>
        <v/>
      </c>
      <c r="B947" s="127" t="n"/>
      <c r="C947" s="223" t="n"/>
      <c r="D947" s="127" t="n"/>
      <c r="E947" s="227" t="n"/>
      <c r="F947" s="227" t="n"/>
      <c r="G947" s="227" t="n"/>
      <c r="H947" s="227" t="n"/>
      <c r="I947" s="227" t="n"/>
      <c r="J947" s="227" t="n"/>
      <c r="K947" s="227" t="n"/>
      <c r="L947" s="227" t="n"/>
      <c r="M947" s="227" t="n"/>
      <c r="N947" s="127" t="n"/>
      <c r="O947" s="227" t="n"/>
      <c r="P947" s="227" t="n"/>
      <c r="Q947" s="227" t="n"/>
      <c r="R947" s="227" t="n"/>
      <c r="S947" s="227" t="n"/>
      <c r="T947" s="227" t="n"/>
    </row>
    <row r="948">
      <c r="A948" s="145">
        <f>IF($B948="","",ROW()-5)</f>
        <v/>
      </c>
      <c r="B948" s="127" t="n"/>
      <c r="C948" s="223" t="n"/>
      <c r="D948" s="127" t="n"/>
      <c r="E948" s="227" t="n"/>
      <c r="F948" s="227" t="n"/>
      <c r="G948" s="227" t="n"/>
      <c r="H948" s="227" t="n"/>
      <c r="I948" s="227" t="n"/>
      <c r="J948" s="227" t="n"/>
      <c r="K948" s="227" t="n"/>
      <c r="L948" s="227" t="n"/>
      <c r="M948" s="227" t="n"/>
      <c r="N948" s="127" t="n"/>
      <c r="O948" s="227" t="n"/>
      <c r="P948" s="227" t="n"/>
      <c r="Q948" s="227" t="n"/>
      <c r="R948" s="227" t="n"/>
      <c r="S948" s="227" t="n"/>
      <c r="T948" s="227" t="n"/>
    </row>
    <row r="949">
      <c r="A949" s="145">
        <f>IF($B949="","",ROW()-5)</f>
        <v/>
      </c>
      <c r="B949" s="127" t="n"/>
      <c r="C949" s="223" t="n"/>
      <c r="D949" s="127" t="n"/>
      <c r="E949" s="227" t="n"/>
      <c r="F949" s="227" t="n"/>
      <c r="G949" s="227" t="n"/>
      <c r="H949" s="227" t="n"/>
      <c r="I949" s="227" t="n"/>
      <c r="J949" s="227" t="n"/>
      <c r="K949" s="227" t="n"/>
      <c r="L949" s="227" t="n"/>
      <c r="M949" s="227" t="n"/>
      <c r="N949" s="127" t="n"/>
      <c r="O949" s="227" t="n"/>
      <c r="P949" s="227" t="n"/>
      <c r="Q949" s="227" t="n"/>
      <c r="R949" s="227" t="n"/>
      <c r="S949" s="227" t="n"/>
      <c r="T949" s="227" t="n"/>
    </row>
    <row r="950">
      <c r="A950" s="145">
        <f>IF($B950="","",ROW()-5)</f>
        <v/>
      </c>
      <c r="B950" s="127" t="n"/>
      <c r="C950" s="223" t="n"/>
      <c r="D950" s="127" t="n"/>
      <c r="E950" s="227" t="n"/>
      <c r="F950" s="227" t="n"/>
      <c r="G950" s="227" t="n"/>
      <c r="H950" s="227" t="n"/>
      <c r="I950" s="227" t="n"/>
      <c r="J950" s="227" t="n"/>
      <c r="K950" s="227" t="n"/>
      <c r="L950" s="227" t="n"/>
      <c r="M950" s="227" t="n"/>
      <c r="N950" s="127" t="n"/>
      <c r="O950" s="227" t="n"/>
      <c r="P950" s="227" t="n"/>
      <c r="Q950" s="227" t="n"/>
      <c r="R950" s="227" t="n"/>
      <c r="S950" s="227" t="n"/>
      <c r="T950" s="227" t="n"/>
    </row>
    <row r="951">
      <c r="A951" s="145">
        <f>IF($B951="","",ROW()-5)</f>
        <v/>
      </c>
      <c r="B951" s="127" t="n"/>
      <c r="C951" s="223" t="n"/>
      <c r="D951" s="127" t="n"/>
      <c r="E951" s="227" t="n"/>
      <c r="F951" s="227" t="n"/>
      <c r="G951" s="227" t="n"/>
      <c r="H951" s="227" t="n"/>
      <c r="I951" s="227" t="n"/>
      <c r="J951" s="227" t="n"/>
      <c r="K951" s="227" t="n"/>
      <c r="L951" s="227" t="n"/>
      <c r="M951" s="227" t="n"/>
      <c r="N951" s="127" t="n"/>
      <c r="O951" s="227" t="n"/>
      <c r="P951" s="227" t="n"/>
      <c r="Q951" s="227" t="n"/>
      <c r="R951" s="227" t="n"/>
      <c r="S951" s="227" t="n"/>
      <c r="T951" s="227" t="n"/>
    </row>
    <row r="952">
      <c r="A952" s="145">
        <f>IF($B952="","",ROW()-5)</f>
        <v/>
      </c>
      <c r="B952" s="127" t="n"/>
      <c r="C952" s="223" t="n"/>
      <c r="D952" s="127" t="n"/>
      <c r="E952" s="227" t="n"/>
      <c r="F952" s="227" t="n"/>
      <c r="G952" s="227" t="n"/>
      <c r="H952" s="227" t="n"/>
      <c r="I952" s="227" t="n"/>
      <c r="J952" s="227" t="n"/>
      <c r="K952" s="227" t="n"/>
      <c r="L952" s="227" t="n"/>
      <c r="M952" s="227" t="n"/>
      <c r="N952" s="127" t="n"/>
      <c r="O952" s="227" t="n"/>
      <c r="P952" s="227" t="n"/>
      <c r="Q952" s="227" t="n"/>
      <c r="R952" s="227" t="n"/>
      <c r="S952" s="227" t="n"/>
      <c r="T952" s="227" t="n"/>
    </row>
    <row r="953">
      <c r="A953" s="145">
        <f>IF($B953="","",ROW()-5)</f>
        <v/>
      </c>
      <c r="B953" s="127" t="n"/>
      <c r="C953" s="223" t="n"/>
      <c r="D953" s="127" t="n"/>
      <c r="E953" s="227" t="n"/>
      <c r="F953" s="227" t="n"/>
      <c r="G953" s="227" t="n"/>
      <c r="H953" s="227" t="n"/>
      <c r="I953" s="227" t="n"/>
      <c r="J953" s="227" t="n"/>
      <c r="K953" s="227" t="n"/>
      <c r="L953" s="227" t="n"/>
      <c r="M953" s="227" t="n"/>
      <c r="N953" s="127" t="n"/>
      <c r="O953" s="227" t="n"/>
      <c r="P953" s="227" t="n"/>
      <c r="Q953" s="227" t="n"/>
      <c r="R953" s="227" t="n"/>
      <c r="S953" s="227" t="n"/>
      <c r="T953" s="227" t="n"/>
    </row>
    <row r="954">
      <c r="A954" s="145">
        <f>IF($B954="","",ROW()-5)</f>
        <v/>
      </c>
      <c r="B954" s="127" t="n"/>
      <c r="C954" s="223" t="n"/>
      <c r="D954" s="127" t="n"/>
      <c r="E954" s="227" t="n"/>
      <c r="F954" s="227" t="n"/>
      <c r="G954" s="227" t="n"/>
      <c r="H954" s="227" t="n"/>
      <c r="I954" s="227" t="n"/>
      <c r="J954" s="227" t="n"/>
      <c r="K954" s="227" t="n"/>
      <c r="L954" s="227" t="n"/>
      <c r="M954" s="227" t="n"/>
      <c r="N954" s="127" t="n"/>
      <c r="O954" s="227" t="n"/>
      <c r="P954" s="227" t="n"/>
      <c r="Q954" s="227" t="n"/>
      <c r="R954" s="227" t="n"/>
      <c r="S954" s="227" t="n"/>
      <c r="T954" s="227" t="n"/>
    </row>
    <row r="955">
      <c r="A955" s="145">
        <f>IF($B955="","",ROW()-5)</f>
        <v/>
      </c>
      <c r="B955" s="127" t="n"/>
      <c r="C955" s="223" t="n"/>
      <c r="D955" s="127" t="n"/>
      <c r="E955" s="227" t="n"/>
      <c r="F955" s="227" t="n"/>
      <c r="G955" s="227" t="n"/>
      <c r="H955" s="227" t="n"/>
      <c r="I955" s="227" t="n"/>
      <c r="J955" s="227" t="n"/>
      <c r="K955" s="227" t="n"/>
      <c r="L955" s="227" t="n"/>
      <c r="M955" s="227" t="n"/>
      <c r="N955" s="127" t="n"/>
      <c r="O955" s="227" t="n"/>
      <c r="P955" s="227" t="n"/>
      <c r="Q955" s="227" t="n"/>
      <c r="R955" s="227" t="n"/>
      <c r="S955" s="227" t="n"/>
      <c r="T955" s="227" t="n"/>
    </row>
    <row r="956">
      <c r="A956" s="145">
        <f>IF($B956="","",ROW()-5)</f>
        <v/>
      </c>
      <c r="B956" s="127" t="n"/>
      <c r="C956" s="223" t="n"/>
      <c r="D956" s="127" t="n"/>
      <c r="E956" s="227" t="n"/>
      <c r="F956" s="227" t="n"/>
      <c r="G956" s="227" t="n"/>
      <c r="H956" s="227" t="n"/>
      <c r="I956" s="227" t="n"/>
      <c r="J956" s="227" t="n"/>
      <c r="K956" s="227" t="n"/>
      <c r="L956" s="227" t="n"/>
      <c r="M956" s="227" t="n"/>
      <c r="N956" s="127" t="n"/>
      <c r="O956" s="227" t="n"/>
      <c r="P956" s="227" t="n"/>
      <c r="Q956" s="227" t="n"/>
      <c r="R956" s="227" t="n"/>
      <c r="S956" s="227" t="n"/>
      <c r="T956" s="227" t="n"/>
    </row>
    <row r="957">
      <c r="A957" s="145">
        <f>IF($B957="","",ROW()-5)</f>
        <v/>
      </c>
      <c r="B957" s="127" t="n"/>
      <c r="C957" s="223" t="n"/>
      <c r="D957" s="127" t="n"/>
      <c r="E957" s="227" t="n"/>
      <c r="F957" s="227" t="n"/>
      <c r="G957" s="227" t="n"/>
      <c r="H957" s="227" t="n"/>
      <c r="I957" s="227" t="n"/>
      <c r="J957" s="227" t="n"/>
      <c r="K957" s="227" t="n"/>
      <c r="L957" s="227" t="n"/>
      <c r="M957" s="227" t="n"/>
      <c r="N957" s="127" t="n"/>
      <c r="O957" s="227" t="n"/>
      <c r="P957" s="227" t="n"/>
      <c r="Q957" s="227" t="n"/>
      <c r="R957" s="227" t="n"/>
      <c r="S957" s="227" t="n"/>
      <c r="T957" s="227" t="n"/>
    </row>
    <row r="958">
      <c r="A958" s="145">
        <f>IF($B958="","",ROW()-5)</f>
        <v/>
      </c>
      <c r="B958" s="127" t="n"/>
      <c r="C958" s="223" t="n"/>
      <c r="D958" s="127" t="n"/>
      <c r="E958" s="227" t="n"/>
      <c r="F958" s="227" t="n"/>
      <c r="G958" s="227" t="n"/>
      <c r="H958" s="227" t="n"/>
      <c r="I958" s="227" t="n"/>
      <c r="J958" s="227" t="n"/>
      <c r="K958" s="227" t="n"/>
      <c r="L958" s="227" t="n"/>
      <c r="M958" s="227" t="n"/>
      <c r="N958" s="127" t="n"/>
      <c r="O958" s="227" t="n"/>
      <c r="P958" s="227" t="n"/>
      <c r="Q958" s="227" t="n"/>
      <c r="R958" s="227" t="n"/>
      <c r="S958" s="227" t="n"/>
      <c r="T958" s="227" t="n"/>
    </row>
    <row r="959">
      <c r="A959" s="145">
        <f>IF($B959="","",ROW()-5)</f>
        <v/>
      </c>
      <c r="B959" s="127" t="n"/>
      <c r="C959" s="223" t="n"/>
      <c r="D959" s="127" t="n"/>
      <c r="E959" s="227" t="n"/>
      <c r="F959" s="227" t="n"/>
      <c r="G959" s="227" t="n"/>
      <c r="H959" s="227" t="n"/>
      <c r="I959" s="227" t="n"/>
      <c r="J959" s="227" t="n"/>
      <c r="K959" s="227" t="n"/>
      <c r="L959" s="227" t="n"/>
      <c r="M959" s="227" t="n"/>
      <c r="N959" s="127" t="n"/>
      <c r="O959" s="227" t="n"/>
      <c r="P959" s="227" t="n"/>
      <c r="Q959" s="227" t="n"/>
      <c r="R959" s="227" t="n"/>
      <c r="S959" s="227" t="n"/>
      <c r="T959" s="227" t="n"/>
    </row>
    <row r="960">
      <c r="A960" s="145">
        <f>IF($B960="","",ROW()-5)</f>
        <v/>
      </c>
      <c r="B960" s="127" t="n"/>
      <c r="C960" s="223" t="n"/>
      <c r="D960" s="127" t="n"/>
      <c r="E960" s="227" t="n"/>
      <c r="F960" s="227" t="n"/>
      <c r="G960" s="227" t="n"/>
      <c r="H960" s="227" t="n"/>
      <c r="I960" s="227" t="n"/>
      <c r="J960" s="227" t="n"/>
      <c r="K960" s="227" t="n"/>
      <c r="L960" s="227" t="n"/>
      <c r="M960" s="227" t="n"/>
      <c r="N960" s="127" t="n"/>
      <c r="O960" s="227" t="n"/>
      <c r="P960" s="227" t="n"/>
      <c r="Q960" s="227" t="n"/>
      <c r="R960" s="227" t="n"/>
      <c r="S960" s="227" t="n"/>
      <c r="T960" s="227" t="n"/>
    </row>
    <row r="961">
      <c r="A961" s="145">
        <f>IF($B961="","",ROW()-5)</f>
        <v/>
      </c>
      <c r="B961" s="127" t="n"/>
      <c r="C961" s="223" t="n"/>
      <c r="D961" s="127" t="n"/>
      <c r="E961" s="227" t="n"/>
      <c r="F961" s="227" t="n"/>
      <c r="G961" s="227" t="n"/>
      <c r="H961" s="227" t="n"/>
      <c r="I961" s="227" t="n"/>
      <c r="J961" s="227" t="n"/>
      <c r="K961" s="227" t="n"/>
      <c r="L961" s="227" t="n"/>
      <c r="M961" s="227" t="n"/>
      <c r="N961" s="127" t="n"/>
      <c r="O961" s="227" t="n"/>
      <c r="P961" s="227" t="n"/>
      <c r="Q961" s="227" t="n"/>
      <c r="R961" s="227" t="n"/>
      <c r="S961" s="227" t="n"/>
      <c r="T961" s="227" t="n"/>
    </row>
    <row r="962">
      <c r="A962" s="145">
        <f>IF($B962="","",ROW()-5)</f>
        <v/>
      </c>
      <c r="B962" s="127" t="n"/>
      <c r="C962" s="223" t="n"/>
      <c r="D962" s="127" t="n"/>
      <c r="E962" s="227" t="n"/>
      <c r="F962" s="227" t="n"/>
      <c r="G962" s="227" t="n"/>
      <c r="H962" s="227" t="n"/>
      <c r="I962" s="227" t="n"/>
      <c r="J962" s="227" t="n"/>
      <c r="K962" s="227" t="n"/>
      <c r="L962" s="227" t="n"/>
      <c r="M962" s="227" t="n"/>
      <c r="N962" s="127" t="n"/>
      <c r="O962" s="227" t="n"/>
      <c r="P962" s="227" t="n"/>
      <c r="Q962" s="227" t="n"/>
      <c r="R962" s="227" t="n"/>
      <c r="S962" s="227" t="n"/>
      <c r="T962" s="227" t="n"/>
    </row>
    <row r="963">
      <c r="A963" s="145">
        <f>IF($B963="","",ROW()-5)</f>
        <v/>
      </c>
      <c r="B963" s="127" t="n"/>
      <c r="C963" s="223" t="n"/>
      <c r="D963" s="127" t="n"/>
      <c r="E963" s="227" t="n"/>
      <c r="F963" s="227" t="n"/>
      <c r="G963" s="227" t="n"/>
      <c r="H963" s="227" t="n"/>
      <c r="I963" s="227" t="n"/>
      <c r="J963" s="227" t="n"/>
      <c r="K963" s="227" t="n"/>
      <c r="L963" s="227" t="n"/>
      <c r="M963" s="227" t="n"/>
      <c r="N963" s="127" t="n"/>
      <c r="O963" s="227" t="n"/>
      <c r="P963" s="227" t="n"/>
      <c r="Q963" s="227" t="n"/>
      <c r="R963" s="227" t="n"/>
      <c r="S963" s="227" t="n"/>
      <c r="T963" s="227" t="n"/>
    </row>
    <row r="964">
      <c r="A964" s="145">
        <f>IF($B964="","",ROW()-5)</f>
        <v/>
      </c>
      <c r="B964" s="127" t="n"/>
      <c r="C964" s="223" t="n"/>
      <c r="D964" s="127" t="n"/>
      <c r="E964" s="227" t="n"/>
      <c r="F964" s="227" t="n"/>
      <c r="G964" s="227" t="n"/>
      <c r="H964" s="227" t="n"/>
      <c r="I964" s="227" t="n"/>
      <c r="J964" s="227" t="n"/>
      <c r="K964" s="227" t="n"/>
      <c r="L964" s="227" t="n"/>
      <c r="M964" s="227" t="n"/>
      <c r="N964" s="127" t="n"/>
      <c r="O964" s="227" t="n"/>
      <c r="P964" s="227" t="n"/>
      <c r="Q964" s="227" t="n"/>
      <c r="R964" s="227" t="n"/>
      <c r="S964" s="227" t="n"/>
      <c r="T964" s="227" t="n"/>
    </row>
    <row r="965">
      <c r="A965" s="145">
        <f>IF($B965="","",ROW()-5)</f>
        <v/>
      </c>
      <c r="B965" s="127" t="n"/>
      <c r="C965" s="223" t="n"/>
      <c r="D965" s="127" t="n"/>
      <c r="E965" s="227" t="n"/>
      <c r="F965" s="227" t="n"/>
      <c r="G965" s="227" t="n"/>
      <c r="H965" s="227" t="n"/>
      <c r="I965" s="227" t="n"/>
      <c r="J965" s="227" t="n"/>
      <c r="K965" s="227" t="n"/>
      <c r="L965" s="227" t="n"/>
      <c r="M965" s="227" t="n"/>
      <c r="N965" s="127" t="n"/>
      <c r="O965" s="227" t="n"/>
      <c r="P965" s="227" t="n"/>
      <c r="Q965" s="227" t="n"/>
      <c r="R965" s="227" t="n"/>
      <c r="S965" s="227" t="n"/>
      <c r="T965" s="227" t="n"/>
    </row>
    <row r="966">
      <c r="A966" s="145">
        <f>IF($B966="","",ROW()-5)</f>
        <v/>
      </c>
      <c r="B966" s="127" t="n"/>
      <c r="C966" s="223" t="n"/>
      <c r="D966" s="127" t="n"/>
      <c r="E966" s="227" t="n"/>
      <c r="F966" s="227" t="n"/>
      <c r="G966" s="227" t="n"/>
      <c r="H966" s="227" t="n"/>
      <c r="I966" s="227" t="n"/>
      <c r="J966" s="227" t="n"/>
      <c r="K966" s="227" t="n"/>
      <c r="L966" s="227" t="n"/>
      <c r="M966" s="227" t="n"/>
      <c r="N966" s="127" t="n"/>
      <c r="O966" s="227" t="n"/>
      <c r="P966" s="227" t="n"/>
      <c r="Q966" s="227" t="n"/>
      <c r="R966" s="227" t="n"/>
      <c r="S966" s="227" t="n"/>
      <c r="T966" s="227" t="n"/>
    </row>
    <row r="967">
      <c r="A967" s="145">
        <f>IF($B967="","",ROW()-5)</f>
        <v/>
      </c>
      <c r="B967" s="127" t="n"/>
      <c r="C967" s="223" t="n"/>
      <c r="D967" s="127" t="n"/>
      <c r="E967" s="227" t="n"/>
      <c r="F967" s="227" t="n"/>
      <c r="G967" s="227" t="n"/>
      <c r="H967" s="227" t="n"/>
      <c r="I967" s="227" t="n"/>
      <c r="J967" s="227" t="n"/>
      <c r="K967" s="227" t="n"/>
      <c r="L967" s="227" t="n"/>
      <c r="M967" s="227" t="n"/>
      <c r="N967" s="127" t="n"/>
      <c r="O967" s="227" t="n"/>
      <c r="P967" s="227" t="n"/>
      <c r="Q967" s="227" t="n"/>
      <c r="R967" s="227" t="n"/>
      <c r="S967" s="227" t="n"/>
      <c r="T967" s="227" t="n"/>
    </row>
    <row r="968">
      <c r="A968" s="145">
        <f>IF($B968="","",ROW()-5)</f>
        <v/>
      </c>
      <c r="B968" s="127" t="n"/>
      <c r="C968" s="223" t="n"/>
      <c r="D968" s="127" t="n"/>
      <c r="E968" s="227" t="n"/>
      <c r="F968" s="227" t="n"/>
      <c r="G968" s="227" t="n"/>
      <c r="H968" s="227" t="n"/>
      <c r="I968" s="227" t="n"/>
      <c r="J968" s="227" t="n"/>
      <c r="K968" s="227" t="n"/>
      <c r="L968" s="227" t="n"/>
      <c r="M968" s="227" t="n"/>
      <c r="N968" s="127" t="n"/>
      <c r="O968" s="227" t="n"/>
      <c r="P968" s="227" t="n"/>
      <c r="Q968" s="227" t="n"/>
      <c r="R968" s="227" t="n"/>
      <c r="S968" s="227" t="n"/>
      <c r="T968" s="227" t="n"/>
    </row>
    <row r="969">
      <c r="A969" s="145">
        <f>IF($B969="","",ROW()-5)</f>
        <v/>
      </c>
      <c r="B969" s="127" t="n"/>
      <c r="C969" s="223" t="n"/>
      <c r="D969" s="127" t="n"/>
      <c r="E969" s="227" t="n"/>
      <c r="F969" s="227" t="n"/>
      <c r="G969" s="227" t="n"/>
      <c r="H969" s="227" t="n"/>
      <c r="I969" s="227" t="n"/>
      <c r="J969" s="227" t="n"/>
      <c r="K969" s="227" t="n"/>
      <c r="L969" s="227" t="n"/>
      <c r="M969" s="227" t="n"/>
      <c r="N969" s="127" t="n"/>
      <c r="O969" s="227" t="n"/>
      <c r="P969" s="227" t="n"/>
      <c r="Q969" s="227" t="n"/>
      <c r="R969" s="227" t="n"/>
      <c r="S969" s="227" t="n"/>
      <c r="T969" s="227" t="n"/>
    </row>
    <row r="970">
      <c r="A970" s="145">
        <f>IF($B970="","",ROW()-5)</f>
        <v/>
      </c>
      <c r="B970" s="127" t="n"/>
      <c r="C970" s="223" t="n"/>
      <c r="D970" s="127" t="n"/>
      <c r="E970" s="227" t="n"/>
      <c r="F970" s="227" t="n"/>
      <c r="G970" s="227" t="n"/>
      <c r="H970" s="227" t="n"/>
      <c r="I970" s="227" t="n"/>
      <c r="J970" s="227" t="n"/>
      <c r="K970" s="227" t="n"/>
      <c r="L970" s="227" t="n"/>
      <c r="M970" s="227" t="n"/>
      <c r="N970" s="127" t="n"/>
      <c r="O970" s="227" t="n"/>
      <c r="P970" s="227" t="n"/>
      <c r="Q970" s="227" t="n"/>
      <c r="R970" s="227" t="n"/>
      <c r="S970" s="227" t="n"/>
      <c r="T970" s="227" t="n"/>
    </row>
    <row r="971">
      <c r="A971" s="145">
        <f>IF($B971="","",ROW()-5)</f>
        <v/>
      </c>
      <c r="B971" s="127" t="n"/>
      <c r="C971" s="223" t="n"/>
      <c r="D971" s="127" t="n"/>
      <c r="E971" s="227" t="n"/>
      <c r="F971" s="227" t="n"/>
      <c r="G971" s="227" t="n"/>
      <c r="H971" s="227" t="n"/>
      <c r="I971" s="227" t="n"/>
      <c r="J971" s="227" t="n"/>
      <c r="K971" s="227" t="n"/>
      <c r="L971" s="227" t="n"/>
      <c r="M971" s="227" t="n"/>
      <c r="N971" s="127" t="n"/>
      <c r="O971" s="227" t="n"/>
      <c r="P971" s="227" t="n"/>
      <c r="Q971" s="227" t="n"/>
      <c r="R971" s="227" t="n"/>
      <c r="S971" s="227" t="n"/>
      <c r="T971" s="227" t="n"/>
    </row>
    <row r="972">
      <c r="A972" s="145">
        <f>IF($B972="","",ROW()-5)</f>
        <v/>
      </c>
      <c r="B972" s="127" t="n"/>
      <c r="C972" s="223" t="n"/>
      <c r="D972" s="127" t="n"/>
      <c r="E972" s="227" t="n"/>
      <c r="F972" s="227" t="n"/>
      <c r="G972" s="227" t="n"/>
      <c r="H972" s="227" t="n"/>
      <c r="I972" s="227" t="n"/>
      <c r="J972" s="227" t="n"/>
      <c r="K972" s="227" t="n"/>
      <c r="L972" s="227" t="n"/>
      <c r="M972" s="227" t="n"/>
      <c r="N972" s="127" t="n"/>
      <c r="O972" s="227" t="n"/>
      <c r="P972" s="227" t="n"/>
      <c r="Q972" s="227" t="n"/>
      <c r="R972" s="227" t="n"/>
      <c r="S972" s="227" t="n"/>
      <c r="T972" s="227" t="n"/>
    </row>
    <row r="973">
      <c r="A973" s="145">
        <f>IF($B973="","",ROW()-5)</f>
        <v/>
      </c>
      <c r="B973" s="127" t="n"/>
      <c r="C973" s="223" t="n"/>
      <c r="D973" s="127" t="n"/>
      <c r="E973" s="227" t="n"/>
      <c r="F973" s="227" t="n"/>
      <c r="G973" s="227" t="n"/>
      <c r="H973" s="227" t="n"/>
      <c r="I973" s="227" t="n"/>
      <c r="J973" s="227" t="n"/>
      <c r="K973" s="227" t="n"/>
      <c r="L973" s="227" t="n"/>
      <c r="M973" s="227" t="n"/>
      <c r="N973" s="127" t="n"/>
      <c r="O973" s="227" t="n"/>
      <c r="P973" s="227" t="n"/>
      <c r="Q973" s="227" t="n"/>
      <c r="R973" s="227" t="n"/>
      <c r="S973" s="227" t="n"/>
      <c r="T973" s="227" t="n"/>
    </row>
    <row r="974">
      <c r="A974" s="145">
        <f>IF($B974="","",ROW()-5)</f>
        <v/>
      </c>
      <c r="B974" s="127" t="n"/>
      <c r="C974" s="223" t="n"/>
      <c r="D974" s="127" t="n"/>
      <c r="E974" s="227" t="n"/>
      <c r="F974" s="227" t="n"/>
      <c r="G974" s="227" t="n"/>
      <c r="H974" s="227" t="n"/>
      <c r="I974" s="227" t="n"/>
      <c r="J974" s="227" t="n"/>
      <c r="K974" s="227" t="n"/>
      <c r="L974" s="227" t="n"/>
      <c r="M974" s="227" t="n"/>
      <c r="N974" s="127" t="n"/>
      <c r="O974" s="227" t="n"/>
      <c r="P974" s="227" t="n"/>
      <c r="Q974" s="227" t="n"/>
      <c r="R974" s="227" t="n"/>
      <c r="S974" s="227" t="n"/>
      <c r="T974" s="227" t="n"/>
    </row>
    <row r="975">
      <c r="A975" s="145">
        <f>IF($B975="","",ROW()-5)</f>
        <v/>
      </c>
      <c r="B975" s="127" t="n"/>
      <c r="C975" s="223" t="n"/>
      <c r="D975" s="127" t="n"/>
      <c r="E975" s="227" t="n"/>
      <c r="F975" s="227" t="n"/>
      <c r="G975" s="227" t="n"/>
      <c r="H975" s="227" t="n"/>
      <c r="I975" s="227" t="n"/>
      <c r="J975" s="227" t="n"/>
      <c r="K975" s="227" t="n"/>
      <c r="L975" s="227" t="n"/>
      <c r="M975" s="227" t="n"/>
      <c r="N975" s="127" t="n"/>
      <c r="O975" s="227" t="n"/>
      <c r="P975" s="227" t="n"/>
      <c r="Q975" s="227" t="n"/>
      <c r="R975" s="227" t="n"/>
      <c r="S975" s="227" t="n"/>
      <c r="T975" s="227" t="n"/>
    </row>
    <row r="976">
      <c r="A976" s="145">
        <f>IF($B976="","",ROW()-5)</f>
        <v/>
      </c>
      <c r="B976" s="127" t="n"/>
      <c r="C976" s="223" t="n"/>
      <c r="D976" s="127" t="n"/>
      <c r="E976" s="227" t="n"/>
      <c r="F976" s="227" t="n"/>
      <c r="G976" s="227" t="n"/>
      <c r="H976" s="227" t="n"/>
      <c r="I976" s="227" t="n"/>
      <c r="J976" s="227" t="n"/>
      <c r="K976" s="227" t="n"/>
      <c r="L976" s="227" t="n"/>
      <c r="M976" s="227" t="n"/>
      <c r="N976" s="127" t="n"/>
      <c r="O976" s="227" t="n"/>
      <c r="P976" s="227" t="n"/>
      <c r="Q976" s="227" t="n"/>
      <c r="R976" s="227" t="n"/>
      <c r="S976" s="227" t="n"/>
      <c r="T976" s="227" t="n"/>
    </row>
    <row r="977">
      <c r="A977" s="145">
        <f>IF($B977="","",ROW()-5)</f>
        <v/>
      </c>
      <c r="B977" s="127" t="n"/>
      <c r="C977" s="223" t="n"/>
      <c r="D977" s="127" t="n"/>
      <c r="E977" s="227" t="n"/>
      <c r="F977" s="227" t="n"/>
      <c r="G977" s="227" t="n"/>
      <c r="H977" s="227" t="n"/>
      <c r="I977" s="227" t="n"/>
      <c r="J977" s="227" t="n"/>
      <c r="K977" s="227" t="n"/>
      <c r="L977" s="227" t="n"/>
      <c r="M977" s="227" t="n"/>
      <c r="N977" s="127" t="n"/>
      <c r="O977" s="227" t="n"/>
      <c r="P977" s="227" t="n"/>
      <c r="Q977" s="227" t="n"/>
      <c r="R977" s="227" t="n"/>
      <c r="S977" s="227" t="n"/>
      <c r="T977" s="227" t="n"/>
    </row>
    <row r="978">
      <c r="A978" s="145">
        <f>IF($B978="","",ROW()-5)</f>
        <v/>
      </c>
      <c r="B978" s="127" t="n"/>
      <c r="C978" s="223" t="n"/>
      <c r="D978" s="127" t="n"/>
      <c r="E978" s="227" t="n"/>
      <c r="F978" s="227" t="n"/>
      <c r="G978" s="227" t="n"/>
      <c r="H978" s="227" t="n"/>
      <c r="I978" s="227" t="n"/>
      <c r="J978" s="227" t="n"/>
      <c r="K978" s="227" t="n"/>
      <c r="L978" s="227" t="n"/>
      <c r="M978" s="227" t="n"/>
      <c r="N978" s="127" t="n"/>
      <c r="O978" s="227" t="n"/>
      <c r="P978" s="227" t="n"/>
      <c r="Q978" s="227" t="n"/>
      <c r="R978" s="227" t="n"/>
      <c r="S978" s="227" t="n"/>
      <c r="T978" s="227" t="n"/>
    </row>
    <row r="979">
      <c r="A979" s="145">
        <f>IF($B979="","",ROW()-5)</f>
        <v/>
      </c>
      <c r="B979" s="127" t="n"/>
      <c r="C979" s="223" t="n"/>
      <c r="D979" s="127" t="n"/>
      <c r="E979" s="227" t="n"/>
      <c r="F979" s="227" t="n"/>
      <c r="G979" s="227" t="n"/>
      <c r="H979" s="227" t="n"/>
      <c r="I979" s="227" t="n"/>
      <c r="J979" s="227" t="n"/>
      <c r="K979" s="227" t="n"/>
      <c r="L979" s="227" t="n"/>
      <c r="M979" s="227" t="n"/>
      <c r="N979" s="127" t="n"/>
      <c r="O979" s="227" t="n"/>
      <c r="P979" s="227" t="n"/>
      <c r="Q979" s="227" t="n"/>
      <c r="R979" s="227" t="n"/>
      <c r="S979" s="227" t="n"/>
      <c r="T979" s="227" t="n"/>
    </row>
    <row r="980">
      <c r="A980" s="145">
        <f>IF($B980="","",ROW()-5)</f>
        <v/>
      </c>
      <c r="B980" s="127" t="n"/>
      <c r="C980" s="223" t="n"/>
      <c r="D980" s="127" t="n"/>
      <c r="E980" s="227" t="n"/>
      <c r="F980" s="227" t="n"/>
      <c r="G980" s="227" t="n"/>
      <c r="H980" s="227" t="n"/>
      <c r="I980" s="227" t="n"/>
      <c r="J980" s="227" t="n"/>
      <c r="K980" s="227" t="n"/>
      <c r="L980" s="227" t="n"/>
      <c r="M980" s="227" t="n"/>
      <c r="N980" s="127" t="n"/>
      <c r="O980" s="227" t="n"/>
      <c r="P980" s="227" t="n"/>
      <c r="Q980" s="227" t="n"/>
      <c r="R980" s="227" t="n"/>
      <c r="S980" s="227" t="n"/>
      <c r="T980" s="227" t="n"/>
    </row>
    <row r="981">
      <c r="A981" s="145">
        <f>IF($B981="","",ROW()-5)</f>
        <v/>
      </c>
      <c r="B981" s="127" t="n"/>
      <c r="C981" s="223" t="n"/>
      <c r="D981" s="127" t="n"/>
      <c r="E981" s="227" t="n"/>
      <c r="F981" s="227" t="n"/>
      <c r="G981" s="227" t="n"/>
      <c r="H981" s="227" t="n"/>
      <c r="I981" s="227" t="n"/>
      <c r="J981" s="227" t="n"/>
      <c r="K981" s="227" t="n"/>
      <c r="L981" s="227" t="n"/>
      <c r="M981" s="227" t="n"/>
      <c r="N981" s="127" t="n"/>
      <c r="O981" s="227" t="n"/>
      <c r="P981" s="227" t="n"/>
      <c r="Q981" s="227" t="n"/>
      <c r="R981" s="227" t="n"/>
      <c r="S981" s="227" t="n"/>
      <c r="T981" s="227" t="n"/>
    </row>
    <row r="982">
      <c r="A982" s="145">
        <f>IF($B982="","",ROW()-5)</f>
        <v/>
      </c>
      <c r="B982" s="127" t="n"/>
      <c r="C982" s="223" t="n"/>
      <c r="D982" s="127" t="n"/>
      <c r="E982" s="227" t="n"/>
      <c r="F982" s="227" t="n"/>
      <c r="G982" s="227" t="n"/>
      <c r="H982" s="227" t="n"/>
      <c r="I982" s="227" t="n"/>
      <c r="J982" s="227" t="n"/>
      <c r="K982" s="227" t="n"/>
      <c r="L982" s="227" t="n"/>
      <c r="M982" s="227" t="n"/>
      <c r="N982" s="127" t="n"/>
      <c r="O982" s="227" t="n"/>
      <c r="P982" s="227" t="n"/>
      <c r="Q982" s="227" t="n"/>
      <c r="R982" s="227" t="n"/>
      <c r="S982" s="227" t="n"/>
      <c r="T982" s="227" t="n"/>
    </row>
    <row r="983">
      <c r="A983" s="145">
        <f>IF($B983="","",ROW()-5)</f>
        <v/>
      </c>
      <c r="B983" s="127" t="n"/>
      <c r="C983" s="223" t="n"/>
      <c r="D983" s="127" t="n"/>
      <c r="E983" s="227" t="n"/>
      <c r="F983" s="227" t="n"/>
      <c r="G983" s="227" t="n"/>
      <c r="H983" s="227" t="n"/>
      <c r="I983" s="227" t="n"/>
      <c r="J983" s="227" t="n"/>
      <c r="K983" s="227" t="n"/>
      <c r="L983" s="227" t="n"/>
      <c r="M983" s="227" t="n"/>
      <c r="N983" s="127" t="n"/>
      <c r="O983" s="227" t="n"/>
      <c r="P983" s="227" t="n"/>
      <c r="Q983" s="227" t="n"/>
      <c r="R983" s="227" t="n"/>
      <c r="S983" s="227" t="n"/>
      <c r="T983" s="227" t="n"/>
    </row>
    <row r="984">
      <c r="A984" s="145">
        <f>IF($B984="","",ROW()-5)</f>
        <v/>
      </c>
      <c r="B984" s="127" t="n"/>
      <c r="C984" s="223" t="n"/>
      <c r="D984" s="127" t="n"/>
      <c r="E984" s="227" t="n"/>
      <c r="F984" s="227" t="n"/>
      <c r="G984" s="227" t="n"/>
      <c r="H984" s="227" t="n"/>
      <c r="I984" s="227" t="n"/>
      <c r="J984" s="227" t="n"/>
      <c r="K984" s="227" t="n"/>
      <c r="L984" s="227" t="n"/>
      <c r="M984" s="227" t="n"/>
      <c r="N984" s="127" t="n"/>
      <c r="O984" s="227" t="n"/>
      <c r="P984" s="227" t="n"/>
      <c r="Q984" s="227" t="n"/>
      <c r="R984" s="227" t="n"/>
      <c r="S984" s="227" t="n"/>
      <c r="T984" s="227" t="n"/>
    </row>
    <row r="985">
      <c r="A985" s="145">
        <f>IF($B985="","",ROW()-5)</f>
        <v/>
      </c>
      <c r="B985" s="127" t="n"/>
      <c r="C985" s="223" t="n"/>
      <c r="D985" s="127" t="n"/>
      <c r="E985" s="227" t="n"/>
      <c r="F985" s="227" t="n"/>
      <c r="G985" s="227" t="n"/>
      <c r="H985" s="227" t="n"/>
      <c r="I985" s="227" t="n"/>
      <c r="J985" s="227" t="n"/>
      <c r="K985" s="227" t="n"/>
      <c r="L985" s="227" t="n"/>
      <c r="M985" s="227" t="n"/>
      <c r="N985" s="127" t="n"/>
      <c r="O985" s="227" t="n"/>
      <c r="P985" s="227" t="n"/>
      <c r="Q985" s="227" t="n"/>
      <c r="R985" s="227" t="n"/>
      <c r="S985" s="227" t="n"/>
      <c r="T985" s="227" t="n"/>
    </row>
    <row r="986">
      <c r="A986" s="145">
        <f>IF($B986="","",ROW()-5)</f>
        <v/>
      </c>
      <c r="B986" s="127" t="n"/>
      <c r="C986" s="223" t="n"/>
      <c r="D986" s="127" t="n"/>
      <c r="E986" s="227" t="n"/>
      <c r="F986" s="227" t="n"/>
      <c r="G986" s="227" t="n"/>
      <c r="H986" s="227" t="n"/>
      <c r="I986" s="227" t="n"/>
      <c r="J986" s="227" t="n"/>
      <c r="K986" s="227" t="n"/>
      <c r="L986" s="227" t="n"/>
      <c r="M986" s="227" t="n"/>
      <c r="N986" s="127" t="n"/>
      <c r="O986" s="227" t="n"/>
      <c r="P986" s="227" t="n"/>
      <c r="Q986" s="227" t="n"/>
      <c r="R986" s="227" t="n"/>
      <c r="S986" s="227" t="n"/>
      <c r="T986" s="227" t="n"/>
    </row>
    <row r="987">
      <c r="A987" s="145">
        <f>IF($B987="","",ROW()-5)</f>
        <v/>
      </c>
      <c r="B987" s="127" t="n"/>
      <c r="C987" s="223" t="n"/>
      <c r="D987" s="127" t="n"/>
      <c r="E987" s="227" t="n"/>
      <c r="F987" s="227" t="n"/>
      <c r="G987" s="227" t="n"/>
      <c r="H987" s="227" t="n"/>
      <c r="I987" s="227" t="n"/>
      <c r="J987" s="227" t="n"/>
      <c r="K987" s="227" t="n"/>
      <c r="L987" s="227" t="n"/>
      <c r="M987" s="227" t="n"/>
      <c r="N987" s="127" t="n"/>
      <c r="O987" s="227" t="n"/>
      <c r="P987" s="227" t="n"/>
      <c r="Q987" s="227" t="n"/>
      <c r="R987" s="227" t="n"/>
      <c r="S987" s="227" t="n"/>
      <c r="T987" s="227" t="n"/>
    </row>
    <row r="988">
      <c r="A988" s="145">
        <f>IF($B988="","",ROW()-5)</f>
        <v/>
      </c>
      <c r="B988" s="127" t="n"/>
      <c r="C988" s="223" t="n"/>
      <c r="D988" s="127" t="n"/>
      <c r="E988" s="227" t="n"/>
      <c r="F988" s="227" t="n"/>
      <c r="G988" s="227" t="n"/>
      <c r="H988" s="227" t="n"/>
      <c r="I988" s="227" t="n"/>
      <c r="J988" s="227" t="n"/>
      <c r="K988" s="227" t="n"/>
      <c r="L988" s="227" t="n"/>
      <c r="M988" s="227" t="n"/>
      <c r="N988" s="127" t="n"/>
      <c r="O988" s="227" t="n"/>
      <c r="P988" s="227" t="n"/>
      <c r="Q988" s="227" t="n"/>
      <c r="R988" s="227" t="n"/>
      <c r="S988" s="227" t="n"/>
      <c r="T988" s="227" t="n"/>
    </row>
    <row r="989">
      <c r="A989" s="145">
        <f>IF($B989="","",ROW()-5)</f>
        <v/>
      </c>
      <c r="B989" s="127" t="n"/>
      <c r="C989" s="223" t="n"/>
      <c r="D989" s="127" t="n"/>
      <c r="E989" s="227" t="n"/>
      <c r="F989" s="227" t="n"/>
      <c r="G989" s="227" t="n"/>
      <c r="H989" s="227" t="n"/>
      <c r="I989" s="227" t="n"/>
      <c r="J989" s="227" t="n"/>
      <c r="K989" s="227" t="n"/>
      <c r="L989" s="227" t="n"/>
      <c r="M989" s="227" t="n"/>
      <c r="N989" s="127" t="n"/>
      <c r="O989" s="227" t="n"/>
      <c r="P989" s="227" t="n"/>
      <c r="Q989" s="227" t="n"/>
      <c r="R989" s="227" t="n"/>
      <c r="S989" s="227" t="n"/>
      <c r="T989" s="227" t="n"/>
    </row>
    <row r="990">
      <c r="A990" s="145">
        <f>IF($B990="","",ROW()-5)</f>
        <v/>
      </c>
      <c r="B990" s="127" t="n"/>
      <c r="C990" s="223" t="n"/>
      <c r="D990" s="127" t="n"/>
      <c r="E990" s="227" t="n"/>
      <c r="F990" s="227" t="n"/>
      <c r="G990" s="227" t="n"/>
      <c r="H990" s="227" t="n"/>
      <c r="I990" s="227" t="n"/>
      <c r="J990" s="227" t="n"/>
      <c r="K990" s="227" t="n"/>
      <c r="L990" s="227" t="n"/>
      <c r="M990" s="227" t="n"/>
      <c r="N990" s="127" t="n"/>
      <c r="O990" s="227" t="n"/>
      <c r="P990" s="227" t="n"/>
      <c r="Q990" s="227" t="n"/>
      <c r="R990" s="227" t="n"/>
      <c r="S990" s="227" t="n"/>
      <c r="T990" s="227" t="n"/>
    </row>
    <row r="991">
      <c r="A991" s="145">
        <f>IF($B991="","",ROW()-5)</f>
        <v/>
      </c>
      <c r="B991" s="127" t="n"/>
      <c r="C991" s="223" t="n"/>
      <c r="D991" s="127" t="n"/>
      <c r="E991" s="227" t="n"/>
      <c r="F991" s="227" t="n"/>
      <c r="G991" s="227" t="n"/>
      <c r="H991" s="227" t="n"/>
      <c r="I991" s="227" t="n"/>
      <c r="J991" s="227" t="n"/>
      <c r="K991" s="227" t="n"/>
      <c r="L991" s="227" t="n"/>
      <c r="M991" s="227" t="n"/>
      <c r="N991" s="127" t="n"/>
      <c r="O991" s="227" t="n"/>
      <c r="P991" s="227" t="n"/>
      <c r="Q991" s="227" t="n"/>
      <c r="R991" s="227" t="n"/>
      <c r="S991" s="227" t="n"/>
      <c r="T991" s="227" t="n"/>
    </row>
    <row r="992">
      <c r="A992" s="145">
        <f>IF($B992="","",ROW()-5)</f>
        <v/>
      </c>
      <c r="B992" s="127" t="n"/>
      <c r="C992" s="223" t="n"/>
      <c r="D992" s="127" t="n"/>
      <c r="E992" s="227" t="n"/>
      <c r="F992" s="227" t="n"/>
      <c r="G992" s="227" t="n"/>
      <c r="H992" s="227" t="n"/>
      <c r="I992" s="227" t="n"/>
      <c r="J992" s="227" t="n"/>
      <c r="K992" s="227" t="n"/>
      <c r="L992" s="227" t="n"/>
      <c r="M992" s="227" t="n"/>
      <c r="N992" s="127" t="n"/>
      <c r="O992" s="227" t="n"/>
      <c r="P992" s="227" t="n"/>
      <c r="Q992" s="227" t="n"/>
      <c r="R992" s="227" t="n"/>
      <c r="S992" s="227" t="n"/>
      <c r="T992" s="227" t="n"/>
    </row>
    <row r="993">
      <c r="A993" s="145">
        <f>IF($B993="","",ROW()-5)</f>
        <v/>
      </c>
      <c r="B993" s="127" t="n"/>
      <c r="C993" s="223" t="n"/>
      <c r="D993" s="127" t="n"/>
      <c r="E993" s="227" t="n"/>
      <c r="F993" s="227" t="n"/>
      <c r="G993" s="227" t="n"/>
      <c r="H993" s="227" t="n"/>
      <c r="I993" s="227" t="n"/>
      <c r="J993" s="227" t="n"/>
      <c r="K993" s="227" t="n"/>
      <c r="L993" s="227" t="n"/>
      <c r="M993" s="227" t="n"/>
      <c r="N993" s="127" t="n"/>
      <c r="O993" s="227" t="n"/>
      <c r="P993" s="227" t="n"/>
      <c r="Q993" s="227" t="n"/>
      <c r="R993" s="227" t="n"/>
      <c r="S993" s="227" t="n"/>
      <c r="T993" s="227" t="n"/>
    </row>
    <row r="994">
      <c r="A994" s="145">
        <f>IF($B994="","",ROW()-5)</f>
        <v/>
      </c>
      <c r="B994" s="127" t="n"/>
      <c r="C994" s="223" t="n"/>
      <c r="D994" s="127" t="n"/>
      <c r="E994" s="227" t="n"/>
      <c r="F994" s="227" t="n"/>
      <c r="G994" s="227" t="n"/>
      <c r="H994" s="227" t="n"/>
      <c r="I994" s="227" t="n"/>
      <c r="J994" s="227" t="n"/>
      <c r="K994" s="227" t="n"/>
      <c r="L994" s="227" t="n"/>
      <c r="M994" s="227" t="n"/>
      <c r="N994" s="127" t="n"/>
      <c r="O994" s="227" t="n"/>
      <c r="P994" s="227" t="n"/>
      <c r="Q994" s="227" t="n"/>
      <c r="R994" s="227" t="n"/>
      <c r="S994" s="227" t="n"/>
      <c r="T994" s="227" t="n"/>
    </row>
    <row r="995">
      <c r="A995" s="145">
        <f>IF($B995="","",ROW()-5)</f>
        <v/>
      </c>
      <c r="B995" s="127" t="n"/>
      <c r="C995" s="223" t="n"/>
      <c r="D995" s="127" t="n"/>
      <c r="E995" s="227" t="n"/>
      <c r="F995" s="227" t="n"/>
      <c r="G995" s="227" t="n"/>
      <c r="H995" s="227" t="n"/>
      <c r="I995" s="227" t="n"/>
      <c r="J995" s="227" t="n"/>
      <c r="K995" s="227" t="n"/>
      <c r="L995" s="227" t="n"/>
      <c r="M995" s="227" t="n"/>
      <c r="N995" s="127" t="n"/>
      <c r="O995" s="227" t="n"/>
      <c r="P995" s="227" t="n"/>
      <c r="Q995" s="227" t="n"/>
      <c r="R995" s="227" t="n"/>
      <c r="S995" s="227" t="n"/>
      <c r="T995" s="227" t="n"/>
    </row>
    <row r="996">
      <c r="A996" s="145">
        <f>IF($B996="","",ROW()-5)</f>
        <v/>
      </c>
      <c r="B996" s="127" t="n"/>
      <c r="C996" s="223" t="n"/>
      <c r="D996" s="127" t="n"/>
      <c r="E996" s="227" t="n"/>
      <c r="F996" s="227" t="n"/>
      <c r="G996" s="227" t="n"/>
      <c r="H996" s="227" t="n"/>
      <c r="I996" s="227" t="n"/>
      <c r="J996" s="227" t="n"/>
      <c r="K996" s="227" t="n"/>
      <c r="L996" s="227" t="n"/>
      <c r="M996" s="227" t="n"/>
      <c r="N996" s="127" t="n"/>
      <c r="O996" s="227" t="n"/>
      <c r="P996" s="227" t="n"/>
      <c r="Q996" s="227" t="n"/>
      <c r="R996" s="227" t="n"/>
      <c r="S996" s="227" t="n"/>
      <c r="T996" s="227" t="n"/>
    </row>
    <row r="997">
      <c r="A997" s="145">
        <f>IF($B997="","",ROW()-5)</f>
        <v/>
      </c>
      <c r="B997" s="127" t="n"/>
      <c r="C997" s="223" t="n"/>
      <c r="D997" s="127" t="n"/>
      <c r="E997" s="227" t="n"/>
      <c r="F997" s="227" t="n"/>
      <c r="G997" s="227" t="n"/>
      <c r="H997" s="227" t="n"/>
      <c r="I997" s="227" t="n"/>
      <c r="J997" s="227" t="n"/>
      <c r="K997" s="227" t="n"/>
      <c r="L997" s="227" t="n"/>
      <c r="M997" s="227" t="n"/>
      <c r="N997" s="127" t="n"/>
      <c r="O997" s="227" t="n"/>
      <c r="P997" s="227" t="n"/>
      <c r="Q997" s="227" t="n"/>
      <c r="R997" s="227" t="n"/>
      <c r="S997" s="227" t="n"/>
      <c r="T997" s="227" t="n"/>
    </row>
    <row r="998">
      <c r="A998" s="145">
        <f>IF($B998="","",ROW()-5)</f>
        <v/>
      </c>
      <c r="B998" s="127" t="n"/>
      <c r="C998" s="223" t="n"/>
      <c r="D998" s="127" t="n"/>
      <c r="E998" s="227" t="n"/>
      <c r="F998" s="227" t="n"/>
      <c r="G998" s="227" t="n"/>
      <c r="H998" s="227" t="n"/>
      <c r="I998" s="227" t="n"/>
      <c r="J998" s="227" t="n"/>
      <c r="K998" s="227" t="n"/>
      <c r="L998" s="227" t="n"/>
      <c r="M998" s="227" t="n"/>
      <c r="N998" s="127" t="n"/>
      <c r="O998" s="227" t="n"/>
      <c r="P998" s="227" t="n"/>
      <c r="Q998" s="227" t="n"/>
      <c r="R998" s="227" t="n"/>
      <c r="S998" s="227" t="n"/>
      <c r="T998" s="227" t="n"/>
    </row>
    <row r="999">
      <c r="A999" s="145">
        <f>IF($B999="","",ROW()-5)</f>
        <v/>
      </c>
      <c r="B999" s="127" t="n"/>
      <c r="C999" s="223" t="n"/>
      <c r="D999" s="127" t="n"/>
      <c r="E999" s="227" t="n"/>
      <c r="F999" s="227" t="n"/>
      <c r="G999" s="227" t="n"/>
      <c r="H999" s="227" t="n"/>
      <c r="I999" s="227" t="n"/>
      <c r="J999" s="227" t="n"/>
      <c r="K999" s="227" t="n"/>
      <c r="L999" s="227" t="n"/>
      <c r="M999" s="227" t="n"/>
      <c r="N999" s="127" t="n"/>
      <c r="O999" s="227" t="n"/>
      <c r="P999" s="227" t="n"/>
      <c r="Q999" s="227" t="n"/>
      <c r="R999" s="227" t="n"/>
      <c r="S999" s="227" t="n"/>
      <c r="T999" s="227" t="n"/>
    </row>
    <row r="1000">
      <c r="A1000" s="145">
        <f>IF($B1000="","",ROW()-5)</f>
        <v/>
      </c>
      <c r="B1000" s="127" t="n"/>
      <c r="C1000" s="223" t="n"/>
      <c r="D1000" s="127" t="n"/>
      <c r="E1000" s="227" t="n"/>
      <c r="F1000" s="227" t="n"/>
      <c r="G1000" s="227" t="n"/>
      <c r="H1000" s="227" t="n"/>
      <c r="I1000" s="227" t="n"/>
      <c r="J1000" s="227" t="n"/>
      <c r="K1000" s="227" t="n"/>
      <c r="L1000" s="227" t="n"/>
      <c r="M1000" s="227" t="n"/>
      <c r="N1000" s="127" t="n"/>
      <c r="O1000" s="227" t="n"/>
      <c r="P1000" s="227" t="n"/>
      <c r="Q1000" s="227" t="n"/>
      <c r="R1000" s="227" t="n"/>
      <c r="S1000" s="227" t="n"/>
      <c r="T1000" s="227" t="n"/>
    </row>
    <row r="1001">
      <c r="A1001" s="145">
        <f>IF($B1001="","",ROW()-5)</f>
        <v/>
      </c>
      <c r="B1001" s="127" t="n"/>
      <c r="C1001" s="223" t="n"/>
      <c r="D1001" s="127" t="n"/>
      <c r="E1001" s="227" t="n"/>
      <c r="F1001" s="227" t="n"/>
      <c r="G1001" s="227" t="n"/>
      <c r="H1001" s="227" t="n"/>
      <c r="I1001" s="227" t="n"/>
      <c r="J1001" s="227" t="n"/>
      <c r="K1001" s="227" t="n"/>
      <c r="L1001" s="227" t="n"/>
      <c r="M1001" s="227" t="n"/>
      <c r="N1001" s="127" t="n"/>
      <c r="O1001" s="227" t="n"/>
      <c r="P1001" s="227" t="n"/>
      <c r="Q1001" s="227" t="n"/>
      <c r="R1001" s="227" t="n"/>
      <c r="S1001" s="227" t="n"/>
      <c r="T1001" s="227" t="n"/>
    </row>
    <row r="1002">
      <c r="A1002" s="145">
        <f>IF($B1002="","",ROW()-5)</f>
        <v/>
      </c>
      <c r="B1002" s="127" t="n"/>
      <c r="C1002" s="223" t="n"/>
      <c r="D1002" s="127" t="n"/>
      <c r="E1002" s="227" t="n"/>
      <c r="F1002" s="227" t="n"/>
      <c r="G1002" s="227" t="n"/>
      <c r="H1002" s="227" t="n"/>
      <c r="I1002" s="227" t="n"/>
      <c r="J1002" s="227" t="n"/>
      <c r="K1002" s="227" t="n"/>
      <c r="L1002" s="227" t="n"/>
      <c r="M1002" s="227" t="n"/>
      <c r="N1002" s="127" t="n"/>
      <c r="O1002" s="227" t="n"/>
      <c r="P1002" s="227" t="n"/>
      <c r="Q1002" s="227" t="n"/>
      <c r="R1002" s="227" t="n"/>
      <c r="S1002" s="227" t="n"/>
      <c r="T1002" s="227" t="n"/>
    </row>
    <row r="1003">
      <c r="A1003" s="145">
        <f>IF($B1003="","",ROW()-5)</f>
        <v/>
      </c>
      <c r="B1003" s="127" t="n"/>
      <c r="C1003" s="223" t="n"/>
      <c r="D1003" s="127" t="n"/>
      <c r="E1003" s="227" t="n"/>
      <c r="F1003" s="227" t="n"/>
      <c r="G1003" s="227" t="n"/>
      <c r="H1003" s="227" t="n"/>
      <c r="I1003" s="227" t="n"/>
      <c r="J1003" s="227" t="n"/>
      <c r="K1003" s="227" t="n"/>
      <c r="L1003" s="227" t="n"/>
      <c r="M1003" s="227" t="n"/>
      <c r="N1003" s="127" t="n"/>
      <c r="O1003" s="227" t="n"/>
      <c r="P1003" s="227" t="n"/>
      <c r="Q1003" s="227" t="n"/>
      <c r="R1003" s="227" t="n"/>
      <c r="S1003" s="227" t="n"/>
      <c r="T1003" s="227" t="n"/>
    </row>
    <row r="1004">
      <c r="A1004" s="145">
        <f>IF($B1004="","",ROW()-5)</f>
        <v/>
      </c>
      <c r="B1004" s="127" t="n"/>
      <c r="C1004" s="223" t="n"/>
      <c r="D1004" s="127" t="n"/>
      <c r="E1004" s="227" t="n"/>
      <c r="F1004" s="227" t="n"/>
      <c r="G1004" s="227" t="n"/>
      <c r="H1004" s="227" t="n"/>
      <c r="I1004" s="227" t="n"/>
      <c r="J1004" s="227" t="n"/>
      <c r="K1004" s="227" t="n"/>
      <c r="L1004" s="227" t="n"/>
      <c r="M1004" s="227" t="n"/>
      <c r="N1004" s="127" t="n"/>
      <c r="O1004" s="227" t="n"/>
      <c r="P1004" s="227" t="n"/>
      <c r="Q1004" s="227" t="n"/>
      <c r="R1004" s="227" t="n"/>
      <c r="S1004" s="227" t="n"/>
      <c r="T1004" s="227" t="n"/>
    </row>
    <row r="1005">
      <c r="A1005" s="145">
        <f>IF($B1005="","",ROW()-5)</f>
        <v/>
      </c>
      <c r="B1005" s="127" t="n"/>
      <c r="C1005" s="223" t="n"/>
      <c r="D1005" s="127" t="n"/>
      <c r="E1005" s="227" t="n"/>
      <c r="F1005" s="227" t="n"/>
      <c r="G1005" s="227" t="n"/>
      <c r="H1005" s="227" t="n"/>
      <c r="I1005" s="227" t="n"/>
      <c r="J1005" s="227" t="n"/>
      <c r="K1005" s="227" t="n"/>
      <c r="L1005" s="227" t="n"/>
      <c r="M1005" s="227" t="n"/>
      <c r="N1005" s="127" t="n"/>
      <c r="O1005" s="227" t="n"/>
      <c r="P1005" s="227" t="n"/>
      <c r="Q1005" s="227" t="n"/>
      <c r="R1005" s="227" t="n"/>
      <c r="S1005" s="227" t="n"/>
      <c r="T1005" s="227" t="n"/>
    </row>
    <row r="1006">
      <c r="A1006" s="145">
        <f>IF($B1006="","",ROW()-5)</f>
        <v/>
      </c>
      <c r="B1006" s="127" t="n"/>
      <c r="C1006" s="223" t="n"/>
      <c r="D1006" s="127" t="n"/>
      <c r="E1006" s="227" t="n"/>
      <c r="F1006" s="227" t="n"/>
      <c r="G1006" s="227" t="n"/>
      <c r="H1006" s="227" t="n"/>
      <c r="I1006" s="227" t="n"/>
      <c r="J1006" s="227" t="n"/>
      <c r="K1006" s="227" t="n"/>
      <c r="L1006" s="227" t="n"/>
      <c r="M1006" s="227" t="n"/>
      <c r="N1006" s="127" t="n"/>
      <c r="O1006" s="227" t="n"/>
      <c r="P1006" s="227" t="n"/>
      <c r="Q1006" s="227" t="n"/>
      <c r="R1006" s="227" t="n"/>
      <c r="S1006" s="227" t="n"/>
      <c r="T1006" s="227" t="n"/>
    </row>
    <row r="1007">
      <c r="A1007" s="145">
        <f>IF($B1007="","",ROW()-5)</f>
        <v/>
      </c>
      <c r="B1007" s="127" t="n"/>
      <c r="C1007" s="223" t="n"/>
      <c r="D1007" s="127" t="n"/>
      <c r="E1007" s="227" t="n"/>
      <c r="F1007" s="227" t="n"/>
      <c r="G1007" s="227" t="n"/>
      <c r="H1007" s="227" t="n"/>
      <c r="I1007" s="227" t="n"/>
      <c r="J1007" s="227" t="n"/>
      <c r="K1007" s="227" t="n"/>
      <c r="L1007" s="227" t="n"/>
      <c r="M1007" s="227" t="n"/>
      <c r="N1007" s="127" t="n"/>
      <c r="O1007" s="227" t="n"/>
      <c r="P1007" s="227" t="n"/>
      <c r="Q1007" s="227" t="n"/>
      <c r="R1007" s="227" t="n"/>
      <c r="S1007" s="227" t="n"/>
      <c r="T1007" s="227" t="n"/>
    </row>
    <row r="1008">
      <c r="A1008" s="145">
        <f>IF($B1008="","",ROW()-5)</f>
        <v/>
      </c>
      <c r="B1008" s="127" t="n"/>
      <c r="C1008" s="223" t="n"/>
      <c r="D1008" s="127" t="n"/>
      <c r="E1008" s="227" t="n"/>
      <c r="F1008" s="227" t="n"/>
      <c r="G1008" s="227" t="n"/>
      <c r="H1008" s="227" t="n"/>
      <c r="I1008" s="227" t="n"/>
      <c r="J1008" s="227" t="n"/>
      <c r="K1008" s="227" t="n"/>
      <c r="L1008" s="227" t="n"/>
      <c r="M1008" s="227" t="n"/>
      <c r="N1008" s="127" t="n"/>
      <c r="O1008" s="227" t="n"/>
      <c r="P1008" s="227" t="n"/>
      <c r="Q1008" s="227" t="n"/>
      <c r="R1008" s="227" t="n"/>
      <c r="S1008" s="227" t="n"/>
      <c r="T1008" s="227" t="n"/>
    </row>
    <row r="1009">
      <c r="A1009" s="145">
        <f>IF($B1009="","",ROW()-5)</f>
        <v/>
      </c>
      <c r="B1009" s="127" t="n"/>
      <c r="C1009" s="223" t="n"/>
      <c r="D1009" s="127" t="n"/>
      <c r="E1009" s="227" t="n"/>
      <c r="F1009" s="227" t="n"/>
      <c r="G1009" s="227" t="n"/>
      <c r="H1009" s="227" t="n"/>
      <c r="I1009" s="227" t="n"/>
      <c r="J1009" s="227" t="n"/>
      <c r="K1009" s="227" t="n"/>
      <c r="L1009" s="227" t="n"/>
      <c r="M1009" s="227" t="n"/>
      <c r="N1009" s="127" t="n"/>
      <c r="O1009" s="227" t="n"/>
      <c r="P1009" s="227" t="n"/>
      <c r="Q1009" s="227" t="n"/>
      <c r="R1009" s="227" t="n"/>
      <c r="S1009" s="227" t="n"/>
      <c r="T1009" s="227" t="n"/>
    </row>
    <row r="1010">
      <c r="A1010" s="145">
        <f>IF($B1010="","",ROW()-5)</f>
        <v/>
      </c>
      <c r="B1010" s="127" t="n"/>
      <c r="C1010" s="223" t="n"/>
      <c r="D1010" s="127" t="n"/>
      <c r="E1010" s="227" t="n"/>
      <c r="F1010" s="227" t="n"/>
      <c r="G1010" s="227" t="n"/>
      <c r="H1010" s="227" t="n"/>
      <c r="I1010" s="227" t="n"/>
      <c r="J1010" s="227" t="n"/>
      <c r="K1010" s="227" t="n"/>
      <c r="L1010" s="227" t="n"/>
      <c r="M1010" s="227" t="n"/>
      <c r="N1010" s="127" t="n"/>
      <c r="O1010" s="227" t="n"/>
      <c r="P1010" s="227" t="n"/>
      <c r="Q1010" s="227" t="n"/>
      <c r="R1010" s="227" t="n"/>
      <c r="S1010" s="227" t="n"/>
      <c r="T1010" s="227" t="n"/>
    </row>
    <row r="1011">
      <c r="A1011" s="145">
        <f>IF($B1011="","",ROW()-5)</f>
        <v/>
      </c>
      <c r="B1011" s="127" t="n"/>
      <c r="C1011" s="223" t="n"/>
      <c r="D1011" s="127" t="n"/>
      <c r="E1011" s="227" t="n"/>
      <c r="F1011" s="227" t="n"/>
      <c r="G1011" s="227" t="n"/>
      <c r="H1011" s="227" t="n"/>
      <c r="I1011" s="227" t="n"/>
      <c r="J1011" s="227" t="n"/>
      <c r="K1011" s="227" t="n"/>
      <c r="L1011" s="227" t="n"/>
      <c r="M1011" s="227" t="n"/>
      <c r="N1011" s="127" t="n"/>
      <c r="O1011" s="227" t="n"/>
      <c r="P1011" s="227" t="n"/>
      <c r="Q1011" s="227" t="n"/>
      <c r="R1011" s="227" t="n"/>
      <c r="S1011" s="227" t="n"/>
      <c r="T1011" s="227" t="n"/>
    </row>
    <row r="1012">
      <c r="A1012" s="145">
        <f>IF($B1012="","",ROW()-5)</f>
        <v/>
      </c>
      <c r="B1012" s="127" t="n"/>
      <c r="C1012" s="223" t="n"/>
      <c r="D1012" s="127" t="n"/>
      <c r="E1012" s="227" t="n"/>
      <c r="F1012" s="227" t="n"/>
      <c r="G1012" s="227" t="n"/>
      <c r="H1012" s="227" t="n"/>
      <c r="I1012" s="227" t="n"/>
      <c r="J1012" s="227" t="n"/>
      <c r="K1012" s="227" t="n"/>
      <c r="L1012" s="227" t="n"/>
      <c r="M1012" s="227" t="n"/>
      <c r="N1012" s="127" t="n"/>
      <c r="O1012" s="227" t="n"/>
      <c r="P1012" s="227" t="n"/>
      <c r="Q1012" s="227" t="n"/>
      <c r="R1012" s="227" t="n"/>
      <c r="S1012" s="227" t="n"/>
      <c r="T1012" s="227" t="n"/>
    </row>
    <row r="1013">
      <c r="A1013" s="145">
        <f>IF($B1013="","",ROW()-5)</f>
        <v/>
      </c>
      <c r="B1013" s="127" t="n"/>
      <c r="C1013" s="223" t="n"/>
      <c r="D1013" s="127" t="n"/>
      <c r="E1013" s="227" t="n"/>
      <c r="F1013" s="227" t="n"/>
      <c r="G1013" s="227" t="n"/>
      <c r="H1013" s="227" t="n"/>
      <c r="I1013" s="227" t="n"/>
      <c r="J1013" s="227" t="n"/>
      <c r="K1013" s="227" t="n"/>
      <c r="L1013" s="227" t="n"/>
      <c r="M1013" s="227" t="n"/>
      <c r="N1013" s="127" t="n"/>
      <c r="O1013" s="227" t="n"/>
      <c r="P1013" s="227" t="n"/>
      <c r="Q1013" s="227" t="n"/>
      <c r="R1013" s="227" t="n"/>
      <c r="S1013" s="227" t="n"/>
      <c r="T1013" s="227" t="n"/>
    </row>
    <row r="1014">
      <c r="A1014" s="145">
        <f>IF($B1014="","",ROW()-5)</f>
        <v/>
      </c>
      <c r="B1014" s="127" t="n"/>
      <c r="C1014" s="223" t="n"/>
      <c r="D1014" s="127" t="n"/>
      <c r="E1014" s="227" t="n"/>
      <c r="F1014" s="227" t="n"/>
      <c r="G1014" s="227" t="n"/>
      <c r="H1014" s="227" t="n"/>
      <c r="I1014" s="227" t="n"/>
      <c r="J1014" s="227" t="n"/>
      <c r="K1014" s="227" t="n"/>
      <c r="L1014" s="227" t="n"/>
      <c r="M1014" s="227" t="n"/>
      <c r="N1014" s="127" t="n"/>
      <c r="O1014" s="227" t="n"/>
      <c r="P1014" s="227" t="n"/>
      <c r="Q1014" s="227" t="n"/>
      <c r="R1014" s="227" t="n"/>
      <c r="S1014" s="227" t="n"/>
      <c r="T1014" s="227" t="n"/>
    </row>
    <row r="1015">
      <c r="A1015" s="145">
        <f>IF($B1015="","",ROW()-5)</f>
        <v/>
      </c>
      <c r="B1015" s="127" t="n"/>
      <c r="C1015" s="223" t="n"/>
      <c r="D1015" s="127" t="n"/>
      <c r="E1015" s="227" t="n"/>
      <c r="F1015" s="227" t="n"/>
      <c r="G1015" s="227" t="n"/>
      <c r="H1015" s="227" t="n"/>
      <c r="I1015" s="227" t="n"/>
      <c r="J1015" s="227" t="n"/>
      <c r="K1015" s="227" t="n"/>
      <c r="L1015" s="227" t="n"/>
      <c r="M1015" s="227" t="n"/>
      <c r="N1015" s="127" t="n"/>
      <c r="O1015" s="227" t="n"/>
      <c r="P1015" s="227" t="n"/>
      <c r="Q1015" s="227" t="n"/>
      <c r="R1015" s="227" t="n"/>
      <c r="S1015" s="227" t="n"/>
      <c r="T1015" s="227" t="n"/>
    </row>
    <row r="1016">
      <c r="A1016" s="145">
        <f>IF($B1016="","",ROW()-5)</f>
        <v/>
      </c>
      <c r="B1016" s="127" t="n"/>
      <c r="C1016" s="223" t="n"/>
      <c r="D1016" s="127" t="n"/>
      <c r="E1016" s="227" t="n"/>
      <c r="F1016" s="227" t="n"/>
      <c r="G1016" s="227" t="n"/>
      <c r="H1016" s="227" t="n"/>
      <c r="I1016" s="227" t="n"/>
      <c r="J1016" s="227" t="n"/>
      <c r="K1016" s="227" t="n"/>
      <c r="L1016" s="227" t="n"/>
      <c r="M1016" s="227" t="n"/>
      <c r="N1016" s="127" t="n"/>
      <c r="O1016" s="227" t="n"/>
      <c r="P1016" s="227" t="n"/>
      <c r="Q1016" s="227" t="n"/>
      <c r="R1016" s="227" t="n"/>
      <c r="S1016" s="227" t="n"/>
      <c r="T1016" s="227" t="n"/>
    </row>
    <row r="1017">
      <c r="A1017" s="145">
        <f>IF($B1017="","",ROW()-5)</f>
        <v/>
      </c>
      <c r="B1017" s="127" t="n"/>
      <c r="C1017" s="223" t="n"/>
      <c r="D1017" s="127" t="n"/>
      <c r="E1017" s="227" t="n"/>
      <c r="F1017" s="227" t="n"/>
      <c r="G1017" s="227" t="n"/>
      <c r="H1017" s="227" t="n"/>
      <c r="I1017" s="227" t="n"/>
      <c r="J1017" s="227" t="n"/>
      <c r="K1017" s="227" t="n"/>
      <c r="L1017" s="227" t="n"/>
      <c r="M1017" s="227" t="n"/>
      <c r="N1017" s="127" t="n"/>
      <c r="O1017" s="227" t="n"/>
      <c r="P1017" s="227" t="n"/>
      <c r="Q1017" s="227" t="n"/>
      <c r="R1017" s="227" t="n"/>
      <c r="S1017" s="227" t="n"/>
      <c r="T1017" s="227" t="n"/>
    </row>
    <row r="1018">
      <c r="A1018" s="145">
        <f>IF($B1018="","",ROW()-5)</f>
        <v/>
      </c>
      <c r="B1018" s="127" t="n"/>
      <c r="C1018" s="223" t="n"/>
      <c r="D1018" s="127" t="n"/>
      <c r="E1018" s="227" t="n"/>
      <c r="F1018" s="227" t="n"/>
      <c r="G1018" s="227" t="n"/>
      <c r="H1018" s="227" t="n"/>
      <c r="I1018" s="227" t="n"/>
      <c r="J1018" s="227" t="n"/>
      <c r="K1018" s="227" t="n"/>
      <c r="L1018" s="227" t="n"/>
      <c r="M1018" s="227" t="n"/>
      <c r="N1018" s="127" t="n"/>
      <c r="O1018" s="227" t="n"/>
      <c r="P1018" s="227" t="n"/>
      <c r="Q1018" s="227" t="n"/>
      <c r="R1018" s="227" t="n"/>
      <c r="S1018" s="227" t="n"/>
      <c r="T1018" s="227" t="n"/>
    </row>
    <row r="1019">
      <c r="A1019" s="145">
        <f>IF($B1019="","",ROW()-5)</f>
        <v/>
      </c>
      <c r="B1019" s="127" t="n"/>
      <c r="C1019" s="223" t="n"/>
      <c r="D1019" s="127" t="n"/>
      <c r="E1019" s="227" t="n"/>
      <c r="F1019" s="227" t="n"/>
      <c r="G1019" s="227" t="n"/>
      <c r="H1019" s="227" t="n"/>
      <c r="I1019" s="227" t="n"/>
      <c r="J1019" s="227" t="n"/>
      <c r="K1019" s="227" t="n"/>
      <c r="L1019" s="227" t="n"/>
      <c r="M1019" s="227" t="n"/>
      <c r="N1019" s="127" t="n"/>
      <c r="O1019" s="227" t="n"/>
      <c r="P1019" s="227" t="n"/>
      <c r="Q1019" s="227" t="n"/>
      <c r="R1019" s="227" t="n"/>
      <c r="S1019" s="227" t="n"/>
      <c r="T1019" s="227" t="n"/>
    </row>
    <row r="1020">
      <c r="A1020" s="145">
        <f>IF($B1020="","",ROW()-5)</f>
        <v/>
      </c>
      <c r="B1020" s="127" t="n"/>
      <c r="C1020" s="223" t="n"/>
      <c r="D1020" s="127" t="n"/>
      <c r="E1020" s="227" t="n"/>
      <c r="F1020" s="227" t="n"/>
      <c r="G1020" s="227" t="n"/>
      <c r="H1020" s="227" t="n"/>
      <c r="I1020" s="227" t="n"/>
      <c r="J1020" s="227" t="n"/>
      <c r="K1020" s="227" t="n"/>
      <c r="L1020" s="227" t="n"/>
      <c r="M1020" s="227" t="n"/>
      <c r="N1020" s="127" t="n"/>
      <c r="O1020" s="227" t="n"/>
      <c r="P1020" s="227" t="n"/>
      <c r="Q1020" s="227" t="n"/>
      <c r="R1020" s="227" t="n"/>
      <c r="S1020" s="227" t="n"/>
      <c r="T1020" s="227" t="n"/>
    </row>
    <row r="1021">
      <c r="A1021" s="145">
        <f>IF($B1021="","",ROW()-5)</f>
        <v/>
      </c>
      <c r="B1021" s="127" t="n"/>
      <c r="C1021" s="223" t="n"/>
      <c r="D1021" s="127" t="n"/>
      <c r="E1021" s="227" t="n"/>
      <c r="F1021" s="227" t="n"/>
      <c r="G1021" s="227" t="n"/>
      <c r="H1021" s="227" t="n"/>
      <c r="I1021" s="227" t="n"/>
      <c r="J1021" s="227" t="n"/>
      <c r="K1021" s="227" t="n"/>
      <c r="L1021" s="227" t="n"/>
      <c r="M1021" s="227" t="n"/>
      <c r="N1021" s="127" t="n"/>
      <c r="O1021" s="227" t="n"/>
      <c r="P1021" s="227" t="n"/>
      <c r="Q1021" s="227" t="n"/>
      <c r="R1021" s="227" t="n"/>
      <c r="S1021" s="227" t="n"/>
      <c r="T1021" s="227" t="n"/>
    </row>
    <row r="1022">
      <c r="A1022" s="145">
        <f>IF($B1022="","",ROW()-5)</f>
        <v/>
      </c>
      <c r="B1022" s="127" t="n"/>
      <c r="C1022" s="223" t="n"/>
      <c r="D1022" s="127" t="n"/>
      <c r="E1022" s="227" t="n"/>
      <c r="F1022" s="227" t="n"/>
      <c r="G1022" s="227" t="n"/>
      <c r="H1022" s="227" t="n"/>
      <c r="I1022" s="227" t="n"/>
      <c r="J1022" s="227" t="n"/>
      <c r="K1022" s="227" t="n"/>
      <c r="L1022" s="227" t="n"/>
      <c r="M1022" s="227" t="n"/>
      <c r="N1022" s="127" t="n"/>
      <c r="O1022" s="227" t="n"/>
      <c r="P1022" s="227" t="n"/>
      <c r="Q1022" s="227" t="n"/>
      <c r="R1022" s="227" t="n"/>
      <c r="S1022" s="227" t="n"/>
      <c r="T1022" s="227" t="n"/>
    </row>
    <row r="1023">
      <c r="A1023" s="145">
        <f>IF($B1023="","",ROW()-5)</f>
        <v/>
      </c>
      <c r="B1023" s="127" t="n"/>
      <c r="C1023" s="223" t="n"/>
      <c r="D1023" s="127" t="n"/>
      <c r="E1023" s="227" t="n"/>
      <c r="F1023" s="227" t="n"/>
      <c r="G1023" s="227" t="n"/>
      <c r="H1023" s="227" t="n"/>
      <c r="I1023" s="227" t="n"/>
      <c r="J1023" s="227" t="n"/>
      <c r="K1023" s="227" t="n"/>
      <c r="L1023" s="227" t="n"/>
      <c r="M1023" s="227" t="n"/>
      <c r="N1023" s="127" t="n"/>
      <c r="O1023" s="227" t="n"/>
      <c r="P1023" s="227" t="n"/>
      <c r="Q1023" s="227" t="n"/>
      <c r="R1023" s="227" t="n"/>
      <c r="S1023" s="227" t="n"/>
      <c r="T1023" s="227" t="n"/>
    </row>
    <row r="1024">
      <c r="A1024" s="145">
        <f>IF($B1024="","",ROW()-5)</f>
        <v/>
      </c>
      <c r="B1024" s="127" t="n"/>
      <c r="C1024" s="223" t="n"/>
      <c r="D1024" s="127" t="n"/>
      <c r="E1024" s="227" t="n"/>
      <c r="F1024" s="227" t="n"/>
      <c r="G1024" s="227" t="n"/>
      <c r="H1024" s="227" t="n"/>
      <c r="I1024" s="227" t="n"/>
      <c r="J1024" s="227" t="n"/>
      <c r="K1024" s="227" t="n"/>
      <c r="L1024" s="227" t="n"/>
      <c r="M1024" s="227" t="n"/>
      <c r="N1024" s="127" t="n"/>
      <c r="O1024" s="227" t="n"/>
      <c r="P1024" s="227" t="n"/>
      <c r="Q1024" s="227" t="n"/>
      <c r="R1024" s="227" t="n"/>
      <c r="S1024" s="227" t="n"/>
      <c r="T1024" s="227" t="n"/>
    </row>
    <row r="1025">
      <c r="A1025" s="145">
        <f>IF($B1025="","",ROW()-5)</f>
        <v/>
      </c>
      <c r="B1025" s="127" t="n"/>
      <c r="C1025" s="223" t="n"/>
      <c r="D1025" s="127" t="n"/>
      <c r="E1025" s="227" t="n"/>
      <c r="F1025" s="227" t="n"/>
      <c r="G1025" s="227" t="n"/>
      <c r="H1025" s="227" t="n"/>
      <c r="I1025" s="227" t="n"/>
      <c r="J1025" s="227" t="n"/>
      <c r="K1025" s="227" t="n"/>
      <c r="L1025" s="227" t="n"/>
      <c r="M1025" s="227" t="n"/>
      <c r="N1025" s="127" t="n"/>
      <c r="O1025" s="227" t="n"/>
      <c r="P1025" s="227" t="n"/>
      <c r="Q1025" s="227" t="n"/>
      <c r="R1025" s="227" t="n"/>
      <c r="S1025" s="227" t="n"/>
      <c r="T1025" s="227" t="n"/>
    </row>
    <row r="1026">
      <c r="A1026" s="145">
        <f>IF($B1026="","",ROW()-5)</f>
        <v/>
      </c>
      <c r="B1026" s="127" t="n"/>
      <c r="C1026" s="223" t="n"/>
      <c r="D1026" s="127" t="n"/>
      <c r="E1026" s="227" t="n"/>
      <c r="F1026" s="227" t="n"/>
      <c r="G1026" s="227" t="n"/>
      <c r="H1026" s="227" t="n"/>
      <c r="I1026" s="227" t="n"/>
      <c r="J1026" s="227" t="n"/>
      <c r="K1026" s="227" t="n"/>
      <c r="L1026" s="227" t="n"/>
      <c r="M1026" s="227" t="n"/>
      <c r="N1026" s="127" t="n"/>
      <c r="O1026" s="227" t="n"/>
      <c r="P1026" s="227" t="n"/>
      <c r="Q1026" s="227" t="n"/>
      <c r="R1026" s="227" t="n"/>
      <c r="S1026" s="227" t="n"/>
      <c r="T1026" s="227" t="n"/>
    </row>
    <row r="1027">
      <c r="A1027" s="145">
        <f>IF($B1027="","",ROW()-5)</f>
        <v/>
      </c>
      <c r="B1027" s="127" t="n"/>
      <c r="C1027" s="223" t="n"/>
      <c r="D1027" s="127" t="n"/>
      <c r="E1027" s="227" t="n"/>
      <c r="F1027" s="227" t="n"/>
      <c r="G1027" s="227" t="n"/>
      <c r="H1027" s="227" t="n"/>
      <c r="I1027" s="227" t="n"/>
      <c r="J1027" s="227" t="n"/>
      <c r="K1027" s="227" t="n"/>
      <c r="L1027" s="227" t="n"/>
      <c r="M1027" s="227" t="n"/>
      <c r="N1027" s="127" t="n"/>
      <c r="O1027" s="227" t="n"/>
      <c r="P1027" s="227" t="n"/>
      <c r="Q1027" s="227" t="n"/>
      <c r="R1027" s="227" t="n"/>
      <c r="S1027" s="227" t="n"/>
      <c r="T1027" s="227" t="n"/>
    </row>
    <row r="1028">
      <c r="A1028" s="145">
        <f>IF($B1028="","",ROW()-5)</f>
        <v/>
      </c>
      <c r="B1028" s="127" t="n"/>
      <c r="C1028" s="223" t="n"/>
      <c r="D1028" s="127" t="n"/>
      <c r="E1028" s="227" t="n"/>
      <c r="F1028" s="227" t="n"/>
      <c r="G1028" s="227" t="n"/>
      <c r="H1028" s="227" t="n"/>
      <c r="I1028" s="227" t="n"/>
      <c r="J1028" s="227" t="n"/>
      <c r="K1028" s="227" t="n"/>
      <c r="L1028" s="227" t="n"/>
      <c r="M1028" s="227" t="n"/>
      <c r="N1028" s="127" t="n"/>
      <c r="O1028" s="227" t="n"/>
      <c r="P1028" s="227" t="n"/>
      <c r="Q1028" s="227" t="n"/>
      <c r="R1028" s="227" t="n"/>
      <c r="S1028" s="227" t="n"/>
      <c r="T1028" s="227" t="n"/>
    </row>
    <row r="1029">
      <c r="A1029" s="145">
        <f>IF($B1029="","",ROW()-5)</f>
        <v/>
      </c>
      <c r="B1029" s="127" t="n"/>
      <c r="C1029" s="223" t="n"/>
      <c r="D1029" s="127" t="n"/>
      <c r="E1029" s="227" t="n"/>
      <c r="F1029" s="227" t="n"/>
      <c r="G1029" s="227" t="n"/>
      <c r="H1029" s="227" t="n"/>
      <c r="I1029" s="227" t="n"/>
      <c r="J1029" s="227" t="n"/>
      <c r="K1029" s="227" t="n"/>
      <c r="L1029" s="227" t="n"/>
      <c r="M1029" s="227" t="n"/>
      <c r="N1029" s="127" t="n"/>
      <c r="O1029" s="227" t="n"/>
      <c r="P1029" s="227" t="n"/>
      <c r="Q1029" s="227" t="n"/>
      <c r="R1029" s="227" t="n"/>
      <c r="S1029" s="227" t="n"/>
      <c r="T1029" s="227" t="n"/>
    </row>
    <row r="1030">
      <c r="A1030" s="145">
        <f>IF($B1030="","",ROW()-5)</f>
        <v/>
      </c>
      <c r="B1030" s="127" t="n"/>
      <c r="C1030" s="223" t="n"/>
      <c r="D1030" s="127" t="n"/>
      <c r="E1030" s="227" t="n"/>
      <c r="F1030" s="227" t="n"/>
      <c r="G1030" s="227" t="n"/>
      <c r="H1030" s="227" t="n"/>
      <c r="I1030" s="227" t="n"/>
      <c r="J1030" s="227" t="n"/>
      <c r="K1030" s="227" t="n"/>
      <c r="L1030" s="227" t="n"/>
      <c r="M1030" s="227" t="n"/>
      <c r="N1030" s="127" t="n"/>
      <c r="O1030" s="227" t="n"/>
      <c r="P1030" s="227" t="n"/>
      <c r="Q1030" s="227" t="n"/>
      <c r="R1030" s="227" t="n"/>
      <c r="S1030" s="227" t="n"/>
      <c r="T1030" s="227" t="n"/>
    </row>
    <row r="1031">
      <c r="A1031" s="145">
        <f>IF($B1031="","",ROW()-5)</f>
        <v/>
      </c>
      <c r="B1031" s="127" t="n"/>
      <c r="C1031" s="223" t="n"/>
      <c r="D1031" s="127" t="n"/>
      <c r="E1031" s="227" t="n"/>
      <c r="F1031" s="227" t="n"/>
      <c r="G1031" s="227" t="n"/>
      <c r="H1031" s="227" t="n"/>
      <c r="I1031" s="227" t="n"/>
      <c r="J1031" s="227" t="n"/>
      <c r="K1031" s="227" t="n"/>
      <c r="L1031" s="227" t="n"/>
      <c r="M1031" s="227" t="n"/>
      <c r="N1031" s="127" t="n"/>
      <c r="O1031" s="227" t="n"/>
      <c r="P1031" s="227" t="n"/>
      <c r="Q1031" s="227" t="n"/>
      <c r="R1031" s="227" t="n"/>
      <c r="S1031" s="227" t="n"/>
      <c r="T1031" s="227" t="n"/>
    </row>
    <row r="1032">
      <c r="A1032" s="145">
        <f>IF($B1032="","",ROW()-5)</f>
        <v/>
      </c>
      <c r="B1032" s="127" t="n"/>
      <c r="C1032" s="223" t="n"/>
      <c r="D1032" s="127" t="n"/>
      <c r="E1032" s="227" t="n"/>
      <c r="F1032" s="227" t="n"/>
      <c r="G1032" s="227" t="n"/>
      <c r="H1032" s="227" t="n"/>
      <c r="I1032" s="227" t="n"/>
      <c r="J1032" s="227" t="n"/>
      <c r="K1032" s="227" t="n"/>
      <c r="L1032" s="227" t="n"/>
      <c r="M1032" s="227" t="n"/>
      <c r="N1032" s="127" t="n"/>
      <c r="O1032" s="227" t="n"/>
      <c r="P1032" s="227" t="n"/>
      <c r="Q1032" s="227" t="n"/>
      <c r="R1032" s="227" t="n"/>
      <c r="S1032" s="227" t="n"/>
      <c r="T1032" s="227" t="n"/>
    </row>
    <row r="1033">
      <c r="A1033" s="145">
        <f>IF($B1033="","",ROW()-5)</f>
        <v/>
      </c>
      <c r="B1033" s="127" t="n"/>
      <c r="C1033" s="223" t="n"/>
      <c r="D1033" s="127" t="n"/>
      <c r="E1033" s="227" t="n"/>
      <c r="F1033" s="227" t="n"/>
      <c r="G1033" s="227" t="n"/>
      <c r="H1033" s="227" t="n"/>
      <c r="I1033" s="227" t="n"/>
      <c r="J1033" s="227" t="n"/>
      <c r="K1033" s="227" t="n"/>
      <c r="L1033" s="227" t="n"/>
      <c r="M1033" s="227" t="n"/>
      <c r="N1033" s="127" t="n"/>
      <c r="O1033" s="227" t="n"/>
      <c r="P1033" s="227" t="n"/>
      <c r="Q1033" s="227" t="n"/>
      <c r="R1033" s="227" t="n"/>
      <c r="S1033" s="227" t="n"/>
      <c r="T1033" s="227" t="n"/>
    </row>
    <row r="1034">
      <c r="A1034" s="145">
        <f>IF($B1034="","",ROW()-5)</f>
        <v/>
      </c>
      <c r="B1034" s="127" t="n"/>
      <c r="C1034" s="223" t="n"/>
      <c r="D1034" s="127" t="n"/>
      <c r="E1034" s="227" t="n"/>
      <c r="F1034" s="227" t="n"/>
      <c r="G1034" s="227" t="n"/>
      <c r="H1034" s="227" t="n"/>
      <c r="I1034" s="227" t="n"/>
      <c r="J1034" s="227" t="n"/>
      <c r="K1034" s="227" t="n"/>
      <c r="L1034" s="227" t="n"/>
      <c r="M1034" s="227" t="n"/>
      <c r="N1034" s="127" t="n"/>
      <c r="O1034" s="227" t="n"/>
      <c r="P1034" s="227" t="n"/>
      <c r="Q1034" s="227" t="n"/>
      <c r="R1034" s="227" t="n"/>
      <c r="S1034" s="227" t="n"/>
      <c r="T1034" s="227" t="n"/>
    </row>
    <row r="1035">
      <c r="A1035" s="145">
        <f>IF($B1035="","",ROW()-5)</f>
        <v/>
      </c>
      <c r="B1035" s="127" t="n"/>
      <c r="C1035" s="223" t="n"/>
      <c r="D1035" s="127" t="n"/>
      <c r="E1035" s="227" t="n"/>
      <c r="F1035" s="227" t="n"/>
      <c r="G1035" s="227" t="n"/>
      <c r="H1035" s="227" t="n"/>
      <c r="I1035" s="227" t="n"/>
      <c r="J1035" s="227" t="n"/>
      <c r="K1035" s="227" t="n"/>
      <c r="L1035" s="227" t="n"/>
      <c r="M1035" s="227" t="n"/>
      <c r="N1035" s="127" t="n"/>
      <c r="O1035" s="227" t="n"/>
      <c r="P1035" s="227" t="n"/>
      <c r="Q1035" s="227" t="n"/>
      <c r="R1035" s="227" t="n"/>
      <c r="S1035" s="227" t="n"/>
      <c r="T1035" s="227" t="n"/>
    </row>
    <row r="1036">
      <c r="A1036" s="145">
        <f>IF($B1036="","",ROW()-5)</f>
        <v/>
      </c>
      <c r="B1036" s="127" t="n"/>
      <c r="C1036" s="223" t="n"/>
      <c r="D1036" s="127" t="n"/>
      <c r="E1036" s="227" t="n"/>
      <c r="F1036" s="227" t="n"/>
      <c r="G1036" s="227" t="n"/>
      <c r="H1036" s="227" t="n"/>
      <c r="I1036" s="227" t="n"/>
      <c r="J1036" s="227" t="n"/>
      <c r="K1036" s="227" t="n"/>
      <c r="L1036" s="227" t="n"/>
      <c r="M1036" s="227" t="n"/>
      <c r="N1036" s="127" t="n"/>
      <c r="O1036" s="227" t="n"/>
      <c r="P1036" s="227" t="n"/>
      <c r="Q1036" s="227" t="n"/>
      <c r="R1036" s="227" t="n"/>
      <c r="S1036" s="227" t="n"/>
      <c r="T1036" s="227" t="n"/>
    </row>
    <row r="1037">
      <c r="A1037" s="145">
        <f>IF($B1037="","",ROW()-5)</f>
        <v/>
      </c>
      <c r="B1037" s="127" t="n"/>
      <c r="C1037" s="223" t="n"/>
      <c r="D1037" s="127" t="n"/>
      <c r="E1037" s="227" t="n"/>
      <c r="F1037" s="227" t="n"/>
      <c r="G1037" s="227" t="n"/>
      <c r="H1037" s="227" t="n"/>
      <c r="I1037" s="227" t="n"/>
      <c r="J1037" s="227" t="n"/>
      <c r="K1037" s="227" t="n"/>
      <c r="L1037" s="227" t="n"/>
      <c r="M1037" s="227" t="n"/>
      <c r="N1037" s="127" t="n"/>
      <c r="O1037" s="227" t="n"/>
      <c r="P1037" s="227" t="n"/>
      <c r="Q1037" s="227" t="n"/>
      <c r="R1037" s="227" t="n"/>
      <c r="S1037" s="227" t="n"/>
      <c r="T1037" s="227" t="n"/>
    </row>
    <row r="1038">
      <c r="A1038" s="145">
        <f>IF($B1038="","",ROW()-5)</f>
        <v/>
      </c>
      <c r="B1038" s="127" t="n"/>
      <c r="C1038" s="223" t="n"/>
      <c r="D1038" s="127" t="n"/>
      <c r="E1038" s="227" t="n"/>
      <c r="F1038" s="227" t="n"/>
      <c r="G1038" s="227" t="n"/>
      <c r="H1038" s="227" t="n"/>
      <c r="I1038" s="227" t="n"/>
      <c r="J1038" s="227" t="n"/>
      <c r="K1038" s="227" t="n"/>
      <c r="L1038" s="227" t="n"/>
      <c r="M1038" s="227" t="n"/>
      <c r="N1038" s="127" t="n"/>
      <c r="O1038" s="227" t="n"/>
      <c r="P1038" s="227" t="n"/>
      <c r="Q1038" s="227" t="n"/>
      <c r="R1038" s="227" t="n"/>
      <c r="S1038" s="227" t="n"/>
      <c r="T1038" s="227" t="n"/>
    </row>
    <row r="1039">
      <c r="A1039" s="145">
        <f>IF($B1039="","",ROW()-5)</f>
        <v/>
      </c>
      <c r="B1039" s="127" t="n"/>
      <c r="C1039" s="223" t="n"/>
      <c r="D1039" s="127" t="n"/>
      <c r="E1039" s="227" t="n"/>
      <c r="F1039" s="227" t="n"/>
      <c r="G1039" s="227" t="n"/>
      <c r="H1039" s="227" t="n"/>
      <c r="I1039" s="227" t="n"/>
      <c r="J1039" s="227" t="n"/>
      <c r="K1039" s="227" t="n"/>
      <c r="L1039" s="227" t="n"/>
      <c r="M1039" s="227" t="n"/>
      <c r="N1039" s="127" t="n"/>
      <c r="O1039" s="227" t="n"/>
      <c r="P1039" s="227" t="n"/>
      <c r="Q1039" s="227" t="n"/>
      <c r="R1039" s="227" t="n"/>
      <c r="S1039" s="227" t="n"/>
      <c r="T1039" s="227" t="n"/>
    </row>
    <row r="1040">
      <c r="A1040" s="145">
        <f>IF($B1040="","",ROW()-5)</f>
        <v/>
      </c>
      <c r="B1040" s="127" t="n"/>
      <c r="C1040" s="223" t="n"/>
      <c r="D1040" s="127" t="n"/>
      <c r="E1040" s="227" t="n"/>
      <c r="F1040" s="227" t="n"/>
      <c r="G1040" s="227" t="n"/>
      <c r="H1040" s="227" t="n"/>
      <c r="I1040" s="227" t="n"/>
      <c r="J1040" s="227" t="n"/>
      <c r="K1040" s="227" t="n"/>
      <c r="L1040" s="227" t="n"/>
      <c r="M1040" s="227" t="n"/>
      <c r="N1040" s="127" t="n"/>
      <c r="O1040" s="227" t="n"/>
      <c r="P1040" s="227" t="n"/>
      <c r="Q1040" s="227" t="n"/>
      <c r="R1040" s="227" t="n"/>
      <c r="S1040" s="227" t="n"/>
      <c r="T1040" s="227" t="n"/>
    </row>
    <row r="1041">
      <c r="A1041" s="145">
        <f>IF($B1041="","",ROW()-5)</f>
        <v/>
      </c>
      <c r="B1041" s="127" t="n"/>
      <c r="C1041" s="223" t="n"/>
      <c r="D1041" s="127" t="n"/>
      <c r="E1041" s="227" t="n"/>
      <c r="F1041" s="227" t="n"/>
      <c r="G1041" s="227" t="n"/>
      <c r="H1041" s="227" t="n"/>
      <c r="I1041" s="227" t="n"/>
      <c r="J1041" s="227" t="n"/>
      <c r="K1041" s="227" t="n"/>
      <c r="L1041" s="227" t="n"/>
      <c r="M1041" s="227" t="n"/>
      <c r="N1041" s="127" t="n"/>
      <c r="O1041" s="227" t="n"/>
      <c r="P1041" s="227" t="n"/>
      <c r="Q1041" s="227" t="n"/>
      <c r="R1041" s="227" t="n"/>
      <c r="S1041" s="227" t="n"/>
      <c r="T1041" s="227" t="n"/>
    </row>
    <row r="1042">
      <c r="A1042" s="145">
        <f>IF($B1042="","",ROW()-5)</f>
        <v/>
      </c>
      <c r="B1042" s="127" t="n"/>
      <c r="C1042" s="223" t="n"/>
      <c r="D1042" s="127" t="n"/>
      <c r="E1042" s="227" t="n"/>
      <c r="F1042" s="227" t="n"/>
      <c r="G1042" s="227" t="n"/>
      <c r="H1042" s="227" t="n"/>
      <c r="I1042" s="227" t="n"/>
      <c r="J1042" s="227" t="n"/>
      <c r="K1042" s="227" t="n"/>
      <c r="L1042" s="227" t="n"/>
      <c r="M1042" s="227" t="n"/>
      <c r="N1042" s="127" t="n"/>
      <c r="O1042" s="227" t="n"/>
      <c r="P1042" s="227" t="n"/>
      <c r="Q1042" s="227" t="n"/>
      <c r="R1042" s="227" t="n"/>
      <c r="S1042" s="227" t="n"/>
      <c r="T1042" s="227" t="n"/>
    </row>
    <row r="1043">
      <c r="A1043" s="145">
        <f>IF($B1043="","",ROW()-5)</f>
        <v/>
      </c>
      <c r="B1043" s="127" t="n"/>
      <c r="C1043" s="223" t="n"/>
      <c r="D1043" s="127" t="n"/>
      <c r="E1043" s="227" t="n"/>
      <c r="F1043" s="227" t="n"/>
      <c r="G1043" s="227" t="n"/>
      <c r="H1043" s="227" t="n"/>
      <c r="I1043" s="227" t="n"/>
      <c r="J1043" s="227" t="n"/>
      <c r="K1043" s="227" t="n"/>
      <c r="L1043" s="227" t="n"/>
      <c r="M1043" s="227" t="n"/>
      <c r="N1043" s="127" t="n"/>
      <c r="O1043" s="227" t="n"/>
      <c r="P1043" s="227" t="n"/>
      <c r="Q1043" s="227" t="n"/>
      <c r="R1043" s="227" t="n"/>
      <c r="S1043" s="227" t="n"/>
      <c r="T1043" s="227" t="n"/>
    </row>
    <row r="1044">
      <c r="A1044" s="145">
        <f>IF($B1044="","",ROW()-5)</f>
        <v/>
      </c>
      <c r="B1044" s="127" t="n"/>
      <c r="C1044" s="223" t="n"/>
      <c r="D1044" s="127" t="n"/>
      <c r="E1044" s="227" t="n"/>
      <c r="F1044" s="227" t="n"/>
      <c r="G1044" s="227" t="n"/>
      <c r="H1044" s="227" t="n"/>
      <c r="I1044" s="227" t="n"/>
      <c r="J1044" s="227" t="n"/>
      <c r="K1044" s="227" t="n"/>
      <c r="L1044" s="227" t="n"/>
      <c r="M1044" s="227" t="n"/>
      <c r="N1044" s="127" t="n"/>
      <c r="O1044" s="227" t="n"/>
      <c r="P1044" s="227" t="n"/>
      <c r="Q1044" s="227" t="n"/>
      <c r="R1044" s="227" t="n"/>
      <c r="S1044" s="227" t="n"/>
      <c r="T1044" s="227" t="n"/>
    </row>
    <row r="1045">
      <c r="A1045" s="145">
        <f>IF($B1045="","",ROW()-5)</f>
        <v/>
      </c>
      <c r="B1045" s="127" t="n"/>
      <c r="C1045" s="223" t="n"/>
      <c r="D1045" s="127" t="n"/>
      <c r="E1045" s="227" t="n"/>
      <c r="F1045" s="227" t="n"/>
      <c r="G1045" s="227" t="n"/>
      <c r="H1045" s="227" t="n"/>
      <c r="I1045" s="227" t="n"/>
      <c r="J1045" s="227" t="n"/>
      <c r="K1045" s="227" t="n"/>
      <c r="L1045" s="227" t="n"/>
      <c r="M1045" s="227" t="n"/>
      <c r="N1045" s="127" t="n"/>
      <c r="O1045" s="227" t="n"/>
      <c r="P1045" s="227" t="n"/>
      <c r="Q1045" s="227" t="n"/>
      <c r="R1045" s="227" t="n"/>
      <c r="S1045" s="227" t="n"/>
      <c r="T1045" s="227" t="n"/>
    </row>
    <row r="1046">
      <c r="A1046" s="145">
        <f>IF($B1046="","",ROW()-5)</f>
        <v/>
      </c>
      <c r="B1046" s="127" t="n"/>
      <c r="C1046" s="223" t="n"/>
      <c r="D1046" s="127" t="n"/>
      <c r="E1046" s="227" t="n"/>
      <c r="F1046" s="227" t="n"/>
      <c r="G1046" s="227" t="n"/>
      <c r="H1046" s="227" t="n"/>
      <c r="I1046" s="227" t="n"/>
      <c r="J1046" s="227" t="n"/>
      <c r="K1046" s="227" t="n"/>
      <c r="L1046" s="227" t="n"/>
      <c r="M1046" s="227" t="n"/>
      <c r="N1046" s="127" t="n"/>
      <c r="O1046" s="227" t="n"/>
      <c r="P1046" s="227" t="n"/>
      <c r="Q1046" s="227" t="n"/>
      <c r="R1046" s="227" t="n"/>
      <c r="S1046" s="227" t="n"/>
      <c r="T1046" s="227" t="n"/>
    </row>
    <row r="1047">
      <c r="A1047" s="145">
        <f>IF($B1047="","",ROW()-5)</f>
        <v/>
      </c>
      <c r="B1047" s="127" t="n"/>
      <c r="C1047" s="223" t="n"/>
      <c r="D1047" s="127" t="n"/>
      <c r="E1047" s="227" t="n"/>
      <c r="F1047" s="227" t="n"/>
      <c r="G1047" s="227" t="n"/>
      <c r="H1047" s="227" t="n"/>
      <c r="I1047" s="227" t="n"/>
      <c r="J1047" s="227" t="n"/>
      <c r="K1047" s="227" t="n"/>
      <c r="L1047" s="227" t="n"/>
      <c r="M1047" s="227" t="n"/>
      <c r="N1047" s="127" t="n"/>
      <c r="O1047" s="227" t="n"/>
      <c r="P1047" s="227" t="n"/>
      <c r="Q1047" s="227" t="n"/>
      <c r="R1047" s="227" t="n"/>
      <c r="S1047" s="227" t="n"/>
      <c r="T1047" s="227" t="n"/>
    </row>
    <row r="1048">
      <c r="A1048" s="145">
        <f>IF($B1048="","",ROW()-5)</f>
        <v/>
      </c>
      <c r="B1048" s="127" t="n"/>
      <c r="C1048" s="223" t="n"/>
      <c r="D1048" s="127" t="n"/>
      <c r="E1048" s="227" t="n"/>
      <c r="F1048" s="227" t="n"/>
      <c r="G1048" s="227" t="n"/>
      <c r="H1048" s="227" t="n"/>
      <c r="I1048" s="227" t="n"/>
      <c r="J1048" s="227" t="n"/>
      <c r="K1048" s="227" t="n"/>
      <c r="L1048" s="227" t="n"/>
      <c r="M1048" s="227" t="n"/>
      <c r="N1048" s="127" t="n"/>
      <c r="O1048" s="227" t="n"/>
      <c r="P1048" s="227" t="n"/>
      <c r="Q1048" s="227" t="n"/>
      <c r="R1048" s="227" t="n"/>
      <c r="S1048" s="227" t="n"/>
      <c r="T1048" s="227" t="n"/>
    </row>
    <row r="1049">
      <c r="A1049" s="145">
        <f>IF($B1049="","",ROW()-5)</f>
        <v/>
      </c>
      <c r="B1049" s="127" t="n"/>
      <c r="C1049" s="223" t="n"/>
      <c r="D1049" s="127" t="n"/>
      <c r="E1049" s="227" t="n"/>
      <c r="F1049" s="227" t="n"/>
      <c r="G1049" s="227" t="n"/>
      <c r="H1049" s="227" t="n"/>
      <c r="I1049" s="227" t="n"/>
      <c r="J1049" s="227" t="n"/>
      <c r="K1049" s="227" t="n"/>
      <c r="L1049" s="227" t="n"/>
      <c r="M1049" s="227" t="n"/>
      <c r="N1049" s="127" t="n"/>
      <c r="O1049" s="227" t="n"/>
      <c r="P1049" s="227" t="n"/>
      <c r="Q1049" s="227" t="n"/>
      <c r="R1049" s="227" t="n"/>
      <c r="S1049" s="227" t="n"/>
      <c r="T1049" s="227" t="n"/>
    </row>
    <row r="1050">
      <c r="A1050" s="145">
        <f>IF($B1050="","",ROW()-5)</f>
        <v/>
      </c>
      <c r="B1050" s="127" t="n"/>
      <c r="C1050" s="223" t="n"/>
      <c r="D1050" s="127" t="n"/>
      <c r="E1050" s="227" t="n"/>
      <c r="F1050" s="227" t="n"/>
      <c r="G1050" s="227" t="n"/>
      <c r="H1050" s="227" t="n"/>
      <c r="I1050" s="227" t="n"/>
      <c r="J1050" s="227" t="n"/>
      <c r="K1050" s="227" t="n"/>
      <c r="L1050" s="227" t="n"/>
      <c r="M1050" s="227" t="n"/>
      <c r="N1050" s="127" t="n"/>
      <c r="O1050" s="227" t="n"/>
      <c r="P1050" s="227" t="n"/>
      <c r="Q1050" s="227" t="n"/>
      <c r="R1050" s="227" t="n"/>
      <c r="S1050" s="227" t="n"/>
      <c r="T1050" s="227" t="n"/>
    </row>
    <row r="1051">
      <c r="A1051" s="145">
        <f>IF($B1051="","",ROW()-5)</f>
        <v/>
      </c>
      <c r="B1051" s="127" t="n"/>
      <c r="C1051" s="223" t="n"/>
      <c r="D1051" s="127" t="n"/>
      <c r="E1051" s="227" t="n"/>
      <c r="F1051" s="227" t="n"/>
      <c r="G1051" s="227" t="n"/>
      <c r="H1051" s="227" t="n"/>
      <c r="I1051" s="227" t="n"/>
      <c r="J1051" s="227" t="n"/>
      <c r="K1051" s="227" t="n"/>
      <c r="L1051" s="227" t="n"/>
      <c r="M1051" s="227" t="n"/>
      <c r="N1051" s="127" t="n"/>
      <c r="O1051" s="227" t="n"/>
      <c r="P1051" s="227" t="n"/>
      <c r="Q1051" s="227" t="n"/>
      <c r="R1051" s="227" t="n"/>
      <c r="S1051" s="227" t="n"/>
      <c r="T1051" s="227" t="n"/>
    </row>
    <row r="1052">
      <c r="A1052" s="145">
        <f>IF($B1052="","",ROW()-5)</f>
        <v/>
      </c>
      <c r="B1052" s="127" t="n"/>
      <c r="C1052" s="223" t="n"/>
      <c r="D1052" s="127" t="n"/>
      <c r="E1052" s="227" t="n"/>
      <c r="F1052" s="227" t="n"/>
      <c r="G1052" s="227" t="n"/>
      <c r="H1052" s="227" t="n"/>
      <c r="I1052" s="227" t="n"/>
      <c r="J1052" s="227" t="n"/>
      <c r="K1052" s="227" t="n"/>
      <c r="L1052" s="227" t="n"/>
      <c r="M1052" s="227" t="n"/>
      <c r="N1052" s="127" t="n"/>
      <c r="O1052" s="227" t="n"/>
      <c r="P1052" s="227" t="n"/>
      <c r="Q1052" s="227" t="n"/>
      <c r="R1052" s="227" t="n"/>
      <c r="S1052" s="227" t="n"/>
      <c r="T1052" s="227" t="n"/>
    </row>
    <row r="1053">
      <c r="A1053" s="145">
        <f>IF($B1053="","",ROW()-5)</f>
        <v/>
      </c>
      <c r="B1053" s="127" t="n"/>
      <c r="C1053" s="223" t="n"/>
      <c r="D1053" s="127" t="n"/>
      <c r="E1053" s="227" t="n"/>
      <c r="F1053" s="227" t="n"/>
      <c r="G1053" s="227" t="n"/>
      <c r="H1053" s="227" t="n"/>
      <c r="I1053" s="227" t="n"/>
      <c r="J1053" s="227" t="n"/>
      <c r="K1053" s="227" t="n"/>
      <c r="L1053" s="227" t="n"/>
      <c r="M1053" s="227" t="n"/>
      <c r="N1053" s="127" t="n"/>
      <c r="O1053" s="227" t="n"/>
      <c r="P1053" s="227" t="n"/>
      <c r="Q1053" s="227" t="n"/>
      <c r="R1053" s="227" t="n"/>
      <c r="S1053" s="227" t="n"/>
      <c r="T1053" s="227" t="n"/>
    </row>
    <row r="1054">
      <c r="A1054" s="145">
        <f>IF($B1054="","",ROW()-5)</f>
        <v/>
      </c>
      <c r="B1054" s="127" t="n"/>
      <c r="C1054" s="223" t="n"/>
      <c r="D1054" s="127" t="n"/>
      <c r="E1054" s="227" t="n"/>
      <c r="F1054" s="227" t="n"/>
      <c r="G1054" s="227" t="n"/>
      <c r="H1054" s="227" t="n"/>
      <c r="I1054" s="227" t="n"/>
      <c r="J1054" s="227" t="n"/>
      <c r="K1054" s="227" t="n"/>
      <c r="L1054" s="227" t="n"/>
      <c r="M1054" s="227" t="n"/>
      <c r="N1054" s="127" t="n"/>
      <c r="O1054" s="227" t="n"/>
      <c r="P1054" s="227" t="n"/>
      <c r="Q1054" s="227" t="n"/>
      <c r="R1054" s="227" t="n"/>
      <c r="S1054" s="227" t="n"/>
      <c r="T1054" s="227" t="n"/>
    </row>
    <row r="1055">
      <c r="A1055" s="145">
        <f>IF($B1055="","",ROW()-5)</f>
        <v/>
      </c>
      <c r="B1055" s="127" t="n"/>
      <c r="C1055" s="223" t="n"/>
      <c r="D1055" s="127" t="n"/>
      <c r="E1055" s="227" t="n"/>
      <c r="F1055" s="227" t="n"/>
      <c r="G1055" s="227" t="n"/>
      <c r="H1055" s="227" t="n"/>
      <c r="I1055" s="227" t="n"/>
      <c r="J1055" s="227" t="n"/>
      <c r="K1055" s="227" t="n"/>
      <c r="L1055" s="227" t="n"/>
      <c r="M1055" s="227" t="n"/>
      <c r="N1055" s="127" t="n"/>
      <c r="O1055" s="227" t="n"/>
      <c r="P1055" s="227" t="n"/>
      <c r="Q1055" s="227" t="n"/>
      <c r="R1055" s="227" t="n"/>
      <c r="S1055" s="227" t="n"/>
      <c r="T1055" s="227" t="n"/>
    </row>
    <row r="1056">
      <c r="A1056" s="145">
        <f>IF($B1056="","",ROW()-5)</f>
        <v/>
      </c>
      <c r="B1056" s="127" t="n"/>
      <c r="C1056" s="223" t="n"/>
      <c r="D1056" s="127" t="n"/>
      <c r="E1056" s="227" t="n"/>
      <c r="F1056" s="227" t="n"/>
      <c r="G1056" s="227" t="n"/>
      <c r="H1056" s="227" t="n"/>
      <c r="I1056" s="227" t="n"/>
      <c r="J1056" s="227" t="n"/>
      <c r="K1056" s="227" t="n"/>
      <c r="L1056" s="227" t="n"/>
      <c r="M1056" s="227" t="n"/>
      <c r="N1056" s="127" t="n"/>
      <c r="O1056" s="227" t="n"/>
      <c r="P1056" s="227" t="n"/>
      <c r="Q1056" s="227" t="n"/>
      <c r="R1056" s="227" t="n"/>
      <c r="S1056" s="227" t="n"/>
      <c r="T1056" s="227" t="n"/>
    </row>
    <row r="1057">
      <c r="A1057" s="145">
        <f>IF($B1057="","",ROW()-5)</f>
        <v/>
      </c>
      <c r="B1057" s="127" t="n"/>
      <c r="C1057" s="223" t="n"/>
      <c r="D1057" s="127" t="n"/>
      <c r="E1057" s="227" t="n"/>
      <c r="F1057" s="227" t="n"/>
      <c r="G1057" s="227" t="n"/>
      <c r="H1057" s="227" t="n"/>
      <c r="I1057" s="227" t="n"/>
      <c r="J1057" s="227" t="n"/>
      <c r="K1057" s="227" t="n"/>
      <c r="L1057" s="227" t="n"/>
      <c r="M1057" s="227" t="n"/>
      <c r="N1057" s="127" t="n"/>
      <c r="O1057" s="227" t="n"/>
      <c r="P1057" s="227" t="n"/>
      <c r="Q1057" s="227" t="n"/>
      <c r="R1057" s="227" t="n"/>
      <c r="S1057" s="227" t="n"/>
      <c r="T1057" s="227" t="n"/>
    </row>
    <row r="1058">
      <c r="A1058" s="145">
        <f>IF($B1058="","",ROW()-5)</f>
        <v/>
      </c>
      <c r="B1058" s="127" t="n"/>
      <c r="C1058" s="223" t="n"/>
      <c r="D1058" s="127" t="n"/>
      <c r="E1058" s="227" t="n"/>
      <c r="F1058" s="227" t="n"/>
      <c r="G1058" s="227" t="n"/>
      <c r="H1058" s="227" t="n"/>
      <c r="I1058" s="227" t="n"/>
      <c r="J1058" s="227" t="n"/>
      <c r="K1058" s="227" t="n"/>
      <c r="L1058" s="227" t="n"/>
      <c r="M1058" s="227" t="n"/>
      <c r="N1058" s="127" t="n"/>
      <c r="O1058" s="227" t="n"/>
      <c r="P1058" s="227" t="n"/>
      <c r="Q1058" s="227" t="n"/>
      <c r="R1058" s="227" t="n"/>
      <c r="S1058" s="227" t="n"/>
      <c r="T1058" s="227" t="n"/>
    </row>
    <row r="1059">
      <c r="A1059" s="145">
        <f>IF($B1059="","",ROW()-5)</f>
        <v/>
      </c>
      <c r="B1059" s="127" t="n"/>
      <c r="C1059" s="223" t="n"/>
      <c r="D1059" s="127" t="n"/>
      <c r="E1059" s="227" t="n"/>
      <c r="F1059" s="227" t="n"/>
      <c r="G1059" s="227" t="n"/>
      <c r="H1059" s="227" t="n"/>
      <c r="I1059" s="227" t="n"/>
      <c r="J1059" s="227" t="n"/>
      <c r="K1059" s="227" t="n"/>
      <c r="L1059" s="227" t="n"/>
      <c r="M1059" s="227" t="n"/>
      <c r="N1059" s="127" t="n"/>
      <c r="O1059" s="227" t="n"/>
      <c r="P1059" s="227" t="n"/>
      <c r="Q1059" s="227" t="n"/>
      <c r="R1059" s="227" t="n"/>
      <c r="S1059" s="227" t="n"/>
      <c r="T1059" s="227" t="n"/>
    </row>
    <row r="1060">
      <c r="A1060" s="145">
        <f>IF($B1060="","",ROW()-5)</f>
        <v/>
      </c>
      <c r="B1060" s="127" t="n"/>
      <c r="C1060" s="223" t="n"/>
      <c r="D1060" s="127" t="n"/>
      <c r="E1060" s="227" t="n"/>
      <c r="F1060" s="227" t="n"/>
      <c r="G1060" s="227" t="n"/>
      <c r="H1060" s="227" t="n"/>
      <c r="I1060" s="227" t="n"/>
      <c r="J1060" s="227" t="n"/>
      <c r="K1060" s="227" t="n"/>
      <c r="L1060" s="227" t="n"/>
      <c r="M1060" s="227" t="n"/>
      <c r="N1060" s="127" t="n"/>
      <c r="O1060" s="227" t="n"/>
      <c r="P1060" s="227" t="n"/>
      <c r="Q1060" s="227" t="n"/>
      <c r="R1060" s="227" t="n"/>
      <c r="S1060" s="227" t="n"/>
      <c r="T1060" s="227" t="n"/>
    </row>
    <row r="1061">
      <c r="A1061" s="145">
        <f>IF($B1061="","",ROW()-5)</f>
        <v/>
      </c>
      <c r="B1061" s="127" t="n"/>
      <c r="C1061" s="223" t="n"/>
      <c r="D1061" s="127" t="n"/>
      <c r="E1061" s="227" t="n"/>
      <c r="F1061" s="227" t="n"/>
      <c r="G1061" s="227" t="n"/>
      <c r="H1061" s="227" t="n"/>
      <c r="I1061" s="227" t="n"/>
      <c r="J1061" s="227" t="n"/>
      <c r="K1061" s="227" t="n"/>
      <c r="L1061" s="227" t="n"/>
      <c r="M1061" s="227" t="n"/>
      <c r="N1061" s="127" t="n"/>
      <c r="O1061" s="227" t="n"/>
      <c r="P1061" s="227" t="n"/>
      <c r="Q1061" s="227" t="n"/>
      <c r="R1061" s="227" t="n"/>
      <c r="S1061" s="227" t="n"/>
      <c r="T1061" s="227" t="n"/>
    </row>
    <row r="1062">
      <c r="A1062" s="145">
        <f>IF($B1062="","",ROW()-5)</f>
        <v/>
      </c>
      <c r="B1062" s="127" t="n"/>
      <c r="C1062" s="223" t="n"/>
      <c r="D1062" s="127" t="n"/>
      <c r="E1062" s="227" t="n"/>
      <c r="F1062" s="227" t="n"/>
      <c r="G1062" s="227" t="n"/>
      <c r="H1062" s="227" t="n"/>
      <c r="I1062" s="227" t="n"/>
      <c r="J1062" s="227" t="n"/>
      <c r="K1062" s="227" t="n"/>
      <c r="L1062" s="227" t="n"/>
      <c r="M1062" s="227" t="n"/>
      <c r="N1062" s="127" t="n"/>
      <c r="O1062" s="227" t="n"/>
      <c r="P1062" s="227" t="n"/>
      <c r="Q1062" s="227" t="n"/>
      <c r="R1062" s="227" t="n"/>
      <c r="S1062" s="227" t="n"/>
      <c r="T1062" s="227" t="n"/>
    </row>
    <row r="1063">
      <c r="A1063" s="145">
        <f>IF($B1063="","",ROW()-5)</f>
        <v/>
      </c>
      <c r="B1063" s="127" t="n"/>
      <c r="C1063" s="223" t="n"/>
      <c r="D1063" s="127" t="n"/>
      <c r="E1063" s="227" t="n"/>
      <c r="F1063" s="227" t="n"/>
      <c r="G1063" s="227" t="n"/>
      <c r="H1063" s="227" t="n"/>
      <c r="I1063" s="227" t="n"/>
      <c r="J1063" s="227" t="n"/>
      <c r="K1063" s="227" t="n"/>
      <c r="L1063" s="227" t="n"/>
      <c r="M1063" s="227" t="n"/>
      <c r="N1063" s="127" t="n"/>
      <c r="O1063" s="227" t="n"/>
      <c r="P1063" s="227" t="n"/>
      <c r="Q1063" s="227" t="n"/>
      <c r="R1063" s="227" t="n"/>
      <c r="S1063" s="227" t="n"/>
      <c r="T1063" s="227" t="n"/>
    </row>
    <row r="1064">
      <c r="A1064" s="145">
        <f>IF($B1064="","",ROW()-5)</f>
        <v/>
      </c>
      <c r="B1064" s="127" t="n"/>
      <c r="C1064" s="223" t="n"/>
      <c r="D1064" s="127" t="n"/>
      <c r="E1064" s="227" t="n"/>
      <c r="F1064" s="227" t="n"/>
      <c r="G1064" s="227" t="n"/>
      <c r="H1064" s="227" t="n"/>
      <c r="I1064" s="227" t="n"/>
      <c r="J1064" s="227" t="n"/>
      <c r="K1064" s="227" t="n"/>
      <c r="L1064" s="227" t="n"/>
      <c r="M1064" s="227" t="n"/>
      <c r="N1064" s="127" t="n"/>
      <c r="O1064" s="227" t="n"/>
      <c r="P1064" s="227" t="n"/>
      <c r="Q1064" s="227" t="n"/>
      <c r="R1064" s="227" t="n"/>
      <c r="S1064" s="227" t="n"/>
      <c r="T1064" s="227" t="n"/>
    </row>
    <row r="1065">
      <c r="A1065" s="145">
        <f>IF($B1065="","",ROW()-5)</f>
        <v/>
      </c>
      <c r="B1065" s="127" t="n"/>
      <c r="C1065" s="223" t="n"/>
      <c r="D1065" s="127" t="n"/>
      <c r="E1065" s="227" t="n"/>
      <c r="F1065" s="227" t="n"/>
      <c r="G1065" s="227" t="n"/>
      <c r="H1065" s="227" t="n"/>
      <c r="I1065" s="227" t="n"/>
      <c r="J1065" s="227" t="n"/>
      <c r="K1065" s="227" t="n"/>
      <c r="L1065" s="227" t="n"/>
      <c r="M1065" s="227" t="n"/>
      <c r="N1065" s="127" t="n"/>
      <c r="O1065" s="227" t="n"/>
      <c r="P1065" s="227" t="n"/>
      <c r="Q1065" s="227" t="n"/>
      <c r="R1065" s="227" t="n"/>
      <c r="S1065" s="227" t="n"/>
      <c r="T1065" s="227" t="n"/>
    </row>
    <row r="1066">
      <c r="A1066" s="145">
        <f>IF($B1066="","",ROW()-5)</f>
        <v/>
      </c>
      <c r="B1066" s="127" t="n"/>
      <c r="C1066" s="223" t="n"/>
      <c r="D1066" s="127" t="n"/>
      <c r="E1066" s="227" t="n"/>
      <c r="F1066" s="227" t="n"/>
      <c r="G1066" s="227" t="n"/>
      <c r="H1066" s="227" t="n"/>
      <c r="I1066" s="227" t="n"/>
      <c r="J1066" s="227" t="n"/>
      <c r="K1066" s="227" t="n"/>
      <c r="L1066" s="227" t="n"/>
      <c r="M1066" s="227" t="n"/>
      <c r="N1066" s="127" t="n"/>
      <c r="O1066" s="227" t="n"/>
      <c r="P1066" s="227" t="n"/>
      <c r="Q1066" s="227" t="n"/>
      <c r="R1066" s="227" t="n"/>
      <c r="S1066" s="227" t="n"/>
      <c r="T1066" s="227" t="n"/>
    </row>
    <row r="1067">
      <c r="A1067" s="145">
        <f>IF($B1067="","",ROW()-5)</f>
        <v/>
      </c>
      <c r="B1067" s="127" t="n"/>
      <c r="C1067" s="223" t="n"/>
      <c r="D1067" s="127" t="n"/>
      <c r="E1067" s="227" t="n"/>
      <c r="F1067" s="227" t="n"/>
      <c r="G1067" s="227" t="n"/>
      <c r="H1067" s="227" t="n"/>
      <c r="I1067" s="227" t="n"/>
      <c r="J1067" s="227" t="n"/>
      <c r="K1067" s="227" t="n"/>
      <c r="L1067" s="227" t="n"/>
      <c r="M1067" s="227" t="n"/>
      <c r="N1067" s="127" t="n"/>
      <c r="O1067" s="227" t="n"/>
      <c r="P1067" s="227" t="n"/>
      <c r="Q1067" s="227" t="n"/>
      <c r="R1067" s="227" t="n"/>
      <c r="S1067" s="227" t="n"/>
      <c r="T1067" s="227" t="n"/>
    </row>
    <row r="1068">
      <c r="A1068" s="145">
        <f>IF($B1068="","",ROW()-5)</f>
        <v/>
      </c>
      <c r="B1068" s="127" t="n"/>
      <c r="C1068" s="223" t="n"/>
      <c r="D1068" s="127" t="n"/>
      <c r="E1068" s="227" t="n"/>
      <c r="F1068" s="227" t="n"/>
      <c r="G1068" s="227" t="n"/>
      <c r="H1068" s="227" t="n"/>
      <c r="I1068" s="227" t="n"/>
      <c r="J1068" s="227" t="n"/>
      <c r="K1068" s="227" t="n"/>
      <c r="L1068" s="227" t="n"/>
      <c r="M1068" s="227" t="n"/>
      <c r="N1068" s="127" t="n"/>
      <c r="O1068" s="227" t="n"/>
      <c r="P1068" s="227" t="n"/>
      <c r="Q1068" s="227" t="n"/>
      <c r="R1068" s="227" t="n"/>
      <c r="S1068" s="227" t="n"/>
      <c r="T1068" s="227" t="n"/>
    </row>
    <row r="1069">
      <c r="A1069" s="145">
        <f>IF($B1069="","",ROW()-5)</f>
        <v/>
      </c>
      <c r="B1069" s="127" t="n"/>
      <c r="C1069" s="223" t="n"/>
      <c r="D1069" s="127" t="n"/>
      <c r="E1069" s="227" t="n"/>
      <c r="F1069" s="227" t="n"/>
      <c r="G1069" s="227" t="n"/>
      <c r="H1069" s="227" t="n"/>
      <c r="I1069" s="227" t="n"/>
      <c r="J1069" s="227" t="n"/>
      <c r="K1069" s="227" t="n"/>
      <c r="L1069" s="227" t="n"/>
      <c r="M1069" s="227" t="n"/>
      <c r="N1069" s="127" t="n"/>
      <c r="O1069" s="227" t="n"/>
      <c r="P1069" s="227" t="n"/>
      <c r="Q1069" s="227" t="n"/>
      <c r="R1069" s="227" t="n"/>
      <c r="S1069" s="227" t="n"/>
      <c r="T1069" s="227" t="n"/>
    </row>
    <row r="1070">
      <c r="A1070" s="145">
        <f>IF($B1070="","",ROW()-5)</f>
        <v/>
      </c>
      <c r="B1070" s="127" t="n"/>
      <c r="C1070" s="223" t="n"/>
      <c r="D1070" s="127" t="n"/>
      <c r="E1070" s="227" t="n"/>
      <c r="F1070" s="227" t="n"/>
      <c r="G1070" s="227" t="n"/>
      <c r="H1070" s="227" t="n"/>
      <c r="I1070" s="227" t="n"/>
      <c r="J1070" s="227" t="n"/>
      <c r="K1070" s="227" t="n"/>
      <c r="L1070" s="227" t="n"/>
      <c r="M1070" s="227" t="n"/>
      <c r="N1070" s="127" t="n"/>
      <c r="O1070" s="227" t="n"/>
      <c r="P1070" s="227" t="n"/>
      <c r="Q1070" s="227" t="n"/>
      <c r="R1070" s="227" t="n"/>
      <c r="S1070" s="227" t="n"/>
      <c r="T1070" s="227" t="n"/>
    </row>
    <row r="1071">
      <c r="A1071" s="145">
        <f>IF($B1071="","",ROW()-5)</f>
        <v/>
      </c>
      <c r="B1071" s="127" t="n"/>
      <c r="C1071" s="223" t="n"/>
      <c r="D1071" s="127" t="n"/>
      <c r="E1071" s="227" t="n"/>
      <c r="F1071" s="227" t="n"/>
      <c r="G1071" s="227" t="n"/>
      <c r="H1071" s="227" t="n"/>
      <c r="I1071" s="227" t="n"/>
      <c r="J1071" s="227" t="n"/>
      <c r="K1071" s="227" t="n"/>
      <c r="L1071" s="227" t="n"/>
      <c r="M1071" s="227" t="n"/>
      <c r="N1071" s="127" t="n"/>
      <c r="O1071" s="227" t="n"/>
      <c r="P1071" s="227" t="n"/>
      <c r="Q1071" s="227" t="n"/>
      <c r="R1071" s="227" t="n"/>
      <c r="S1071" s="227" t="n"/>
      <c r="T1071" s="227" t="n"/>
    </row>
    <row r="1072">
      <c r="A1072" s="145">
        <f>IF($B1072="","",ROW()-5)</f>
        <v/>
      </c>
      <c r="B1072" s="127" t="n"/>
      <c r="C1072" s="223" t="n"/>
      <c r="D1072" s="127" t="n"/>
      <c r="E1072" s="227" t="n"/>
      <c r="F1072" s="227" t="n"/>
      <c r="G1072" s="227" t="n"/>
      <c r="H1072" s="227" t="n"/>
      <c r="I1072" s="227" t="n"/>
      <c r="J1072" s="227" t="n"/>
      <c r="K1072" s="227" t="n"/>
      <c r="L1072" s="227" t="n"/>
      <c r="M1072" s="227" t="n"/>
      <c r="N1072" s="127" t="n"/>
      <c r="O1072" s="227" t="n"/>
      <c r="P1072" s="227" t="n"/>
      <c r="Q1072" s="227" t="n"/>
      <c r="R1072" s="227" t="n"/>
      <c r="S1072" s="227" t="n"/>
      <c r="T1072" s="227" t="n"/>
    </row>
    <row r="1073">
      <c r="A1073" s="145">
        <f>IF($B1073="","",ROW()-5)</f>
        <v/>
      </c>
      <c r="B1073" s="127" t="n"/>
      <c r="C1073" s="223" t="n"/>
      <c r="D1073" s="127" t="n"/>
      <c r="E1073" s="227" t="n"/>
      <c r="F1073" s="227" t="n"/>
      <c r="G1073" s="227" t="n"/>
      <c r="H1073" s="227" t="n"/>
      <c r="I1073" s="227" t="n"/>
      <c r="J1073" s="227" t="n"/>
      <c r="K1073" s="227" t="n"/>
      <c r="L1073" s="227" t="n"/>
      <c r="M1073" s="227" t="n"/>
      <c r="N1073" s="127" t="n"/>
      <c r="O1073" s="227" t="n"/>
      <c r="P1073" s="227" t="n"/>
      <c r="Q1073" s="227" t="n"/>
      <c r="R1073" s="227" t="n"/>
      <c r="S1073" s="227" t="n"/>
      <c r="T1073" s="227" t="n"/>
    </row>
    <row r="1074">
      <c r="A1074" s="145">
        <f>IF($B1074="","",ROW()-5)</f>
        <v/>
      </c>
      <c r="B1074" s="127" t="n"/>
      <c r="C1074" s="223" t="n"/>
      <c r="D1074" s="127" t="n"/>
      <c r="E1074" s="227" t="n"/>
      <c r="F1074" s="227" t="n"/>
      <c r="G1074" s="227" t="n"/>
      <c r="H1074" s="227" t="n"/>
      <c r="I1074" s="227" t="n"/>
      <c r="J1074" s="227" t="n"/>
      <c r="K1074" s="227" t="n"/>
      <c r="L1074" s="227" t="n"/>
      <c r="M1074" s="227" t="n"/>
      <c r="N1074" s="127" t="n"/>
      <c r="O1074" s="227" t="n"/>
      <c r="P1074" s="227" t="n"/>
      <c r="Q1074" s="227" t="n"/>
      <c r="R1074" s="227" t="n"/>
      <c r="S1074" s="227" t="n"/>
      <c r="T1074" s="227" t="n"/>
    </row>
    <row r="1075">
      <c r="A1075" s="145">
        <f>IF($B1075="","",ROW()-5)</f>
        <v/>
      </c>
      <c r="B1075" s="127" t="n"/>
      <c r="C1075" s="223" t="n"/>
      <c r="D1075" s="127" t="n"/>
      <c r="E1075" s="227" t="n"/>
      <c r="F1075" s="227" t="n"/>
      <c r="G1075" s="227" t="n"/>
      <c r="H1075" s="227" t="n"/>
      <c r="I1075" s="227" t="n"/>
      <c r="J1075" s="227" t="n"/>
      <c r="K1075" s="227" t="n"/>
      <c r="L1075" s="227" t="n"/>
      <c r="M1075" s="227" t="n"/>
      <c r="N1075" s="127" t="n"/>
      <c r="O1075" s="227" t="n"/>
      <c r="P1075" s="227" t="n"/>
      <c r="Q1075" s="227" t="n"/>
      <c r="R1075" s="227" t="n"/>
      <c r="S1075" s="227" t="n"/>
      <c r="T1075" s="227" t="n"/>
    </row>
    <row r="1076">
      <c r="A1076" s="145">
        <f>IF($B1076="","",ROW()-5)</f>
        <v/>
      </c>
      <c r="B1076" s="127" t="n"/>
      <c r="C1076" s="223" t="n"/>
      <c r="D1076" s="127" t="n"/>
      <c r="E1076" s="227" t="n"/>
      <c r="F1076" s="227" t="n"/>
      <c r="G1076" s="227" t="n"/>
      <c r="H1076" s="227" t="n"/>
      <c r="I1076" s="227" t="n"/>
      <c r="J1076" s="227" t="n"/>
      <c r="K1076" s="227" t="n"/>
      <c r="L1076" s="227" t="n"/>
      <c r="M1076" s="227" t="n"/>
      <c r="N1076" s="127" t="n"/>
      <c r="O1076" s="227" t="n"/>
      <c r="P1076" s="227" t="n"/>
      <c r="Q1076" s="227" t="n"/>
      <c r="R1076" s="227" t="n"/>
      <c r="S1076" s="227" t="n"/>
      <c r="T1076" s="227" t="n"/>
    </row>
    <row r="1077">
      <c r="A1077" s="145">
        <f>IF($B1077="","",ROW()-5)</f>
        <v/>
      </c>
      <c r="B1077" s="127" t="n"/>
      <c r="C1077" s="223" t="n"/>
      <c r="D1077" s="127" t="n"/>
      <c r="E1077" s="227" t="n"/>
      <c r="F1077" s="227" t="n"/>
      <c r="G1077" s="227" t="n"/>
      <c r="H1077" s="227" t="n"/>
      <c r="I1077" s="227" t="n"/>
      <c r="J1077" s="227" t="n"/>
      <c r="K1077" s="227" t="n"/>
      <c r="L1077" s="227" t="n"/>
      <c r="M1077" s="227" t="n"/>
      <c r="N1077" s="127" t="n"/>
      <c r="O1077" s="227" t="n"/>
      <c r="P1077" s="227" t="n"/>
      <c r="Q1077" s="227" t="n"/>
      <c r="R1077" s="227" t="n"/>
      <c r="S1077" s="227" t="n"/>
      <c r="T1077" s="227" t="n"/>
    </row>
    <row r="1078">
      <c r="A1078" s="145">
        <f>IF($B1078="","",ROW()-5)</f>
        <v/>
      </c>
      <c r="B1078" s="127" t="n"/>
      <c r="C1078" s="223" t="n"/>
      <c r="D1078" s="127" t="n"/>
      <c r="E1078" s="227" t="n"/>
      <c r="F1078" s="227" t="n"/>
      <c r="G1078" s="227" t="n"/>
      <c r="H1078" s="227" t="n"/>
      <c r="I1078" s="227" t="n"/>
      <c r="J1078" s="227" t="n"/>
      <c r="K1078" s="227" t="n"/>
      <c r="L1078" s="227" t="n"/>
      <c r="M1078" s="227" t="n"/>
      <c r="N1078" s="127" t="n"/>
      <c r="O1078" s="227" t="n"/>
      <c r="P1078" s="227" t="n"/>
      <c r="Q1078" s="227" t="n"/>
      <c r="R1078" s="227" t="n"/>
      <c r="S1078" s="227" t="n"/>
      <c r="T1078" s="227" t="n"/>
    </row>
    <row r="1079">
      <c r="A1079" s="145">
        <f>IF($B1079="","",ROW()-5)</f>
        <v/>
      </c>
      <c r="B1079" s="127" t="n"/>
      <c r="C1079" s="223" t="n"/>
      <c r="D1079" s="127" t="n"/>
      <c r="E1079" s="227" t="n"/>
      <c r="F1079" s="227" t="n"/>
      <c r="G1079" s="227" t="n"/>
      <c r="H1079" s="227" t="n"/>
      <c r="I1079" s="227" t="n"/>
      <c r="J1079" s="227" t="n"/>
      <c r="K1079" s="227" t="n"/>
      <c r="L1079" s="227" t="n"/>
      <c r="M1079" s="227" t="n"/>
      <c r="N1079" s="127" t="n"/>
      <c r="O1079" s="227" t="n"/>
      <c r="P1079" s="227" t="n"/>
      <c r="Q1079" s="227" t="n"/>
      <c r="R1079" s="227" t="n"/>
      <c r="S1079" s="227" t="n"/>
      <c r="T1079" s="227" t="n"/>
    </row>
    <row r="1080">
      <c r="A1080" s="145">
        <f>IF($B1080="","",ROW()-5)</f>
        <v/>
      </c>
      <c r="B1080" s="127" t="n"/>
      <c r="C1080" s="223" t="n"/>
      <c r="D1080" s="127" t="n"/>
      <c r="E1080" s="227" t="n"/>
      <c r="F1080" s="227" t="n"/>
      <c r="G1080" s="227" t="n"/>
      <c r="H1080" s="227" t="n"/>
      <c r="I1080" s="227" t="n"/>
      <c r="J1080" s="227" t="n"/>
      <c r="K1080" s="227" t="n"/>
      <c r="L1080" s="227" t="n"/>
      <c r="M1080" s="227" t="n"/>
      <c r="N1080" s="127" t="n"/>
      <c r="O1080" s="227" t="n"/>
      <c r="P1080" s="227" t="n"/>
      <c r="Q1080" s="227" t="n"/>
      <c r="R1080" s="227" t="n"/>
      <c r="S1080" s="227" t="n"/>
      <c r="T1080" s="227" t="n"/>
    </row>
    <row r="1081">
      <c r="A1081" s="145">
        <f>IF($B1081="","",ROW()-5)</f>
        <v/>
      </c>
      <c r="B1081" s="127" t="n"/>
      <c r="C1081" s="223" t="n"/>
      <c r="D1081" s="127" t="n"/>
      <c r="E1081" s="227" t="n"/>
      <c r="F1081" s="227" t="n"/>
      <c r="G1081" s="227" t="n"/>
      <c r="H1081" s="227" t="n"/>
      <c r="I1081" s="227" t="n"/>
      <c r="J1081" s="227" t="n"/>
      <c r="K1081" s="227" t="n"/>
      <c r="L1081" s="227" t="n"/>
      <c r="M1081" s="227" t="n"/>
      <c r="N1081" s="127" t="n"/>
      <c r="O1081" s="227" t="n"/>
      <c r="P1081" s="227" t="n"/>
      <c r="Q1081" s="227" t="n"/>
      <c r="R1081" s="227" t="n"/>
      <c r="S1081" s="227" t="n"/>
      <c r="T1081" s="227" t="n"/>
    </row>
    <row r="1082">
      <c r="A1082" s="145">
        <f>IF($B1082="","",ROW()-5)</f>
        <v/>
      </c>
      <c r="B1082" s="127" t="n"/>
      <c r="C1082" s="223" t="n"/>
      <c r="D1082" s="127" t="n"/>
      <c r="E1082" s="227" t="n"/>
      <c r="F1082" s="227" t="n"/>
      <c r="G1082" s="227" t="n"/>
      <c r="H1082" s="227" t="n"/>
      <c r="I1082" s="227" t="n"/>
      <c r="J1082" s="227" t="n"/>
      <c r="K1082" s="227" t="n"/>
      <c r="L1082" s="227" t="n"/>
      <c r="M1082" s="227" t="n"/>
      <c r="N1082" s="127" t="n"/>
      <c r="O1082" s="227" t="n"/>
      <c r="P1082" s="227" t="n"/>
      <c r="Q1082" s="227" t="n"/>
      <c r="R1082" s="227" t="n"/>
      <c r="S1082" s="227" t="n"/>
      <c r="T1082" s="227" t="n"/>
    </row>
    <row r="1083">
      <c r="A1083" s="145">
        <f>IF($B1083="","",ROW()-5)</f>
        <v/>
      </c>
      <c r="B1083" s="127" t="n"/>
      <c r="C1083" s="223" t="n"/>
      <c r="D1083" s="127" t="n"/>
      <c r="E1083" s="227" t="n"/>
      <c r="F1083" s="227" t="n"/>
      <c r="G1083" s="227" t="n"/>
      <c r="H1083" s="227" t="n"/>
      <c r="I1083" s="227" t="n"/>
      <c r="J1083" s="227" t="n"/>
      <c r="K1083" s="227" t="n"/>
      <c r="L1083" s="227" t="n"/>
      <c r="M1083" s="227" t="n"/>
      <c r="N1083" s="127" t="n"/>
      <c r="O1083" s="227" t="n"/>
      <c r="P1083" s="227" t="n"/>
      <c r="Q1083" s="227" t="n"/>
      <c r="R1083" s="227" t="n"/>
      <c r="S1083" s="227" t="n"/>
      <c r="T1083" s="227" t="n"/>
    </row>
    <row r="1084">
      <c r="A1084" s="145">
        <f>IF($B1084="","",ROW()-5)</f>
        <v/>
      </c>
      <c r="B1084" s="127" t="n"/>
      <c r="C1084" s="223" t="n"/>
      <c r="D1084" s="127" t="n"/>
      <c r="E1084" s="227" t="n"/>
      <c r="F1084" s="227" t="n"/>
      <c r="G1084" s="227" t="n"/>
      <c r="H1084" s="227" t="n"/>
      <c r="I1084" s="227" t="n"/>
      <c r="J1084" s="227" t="n"/>
      <c r="K1084" s="227" t="n"/>
      <c r="L1084" s="227" t="n"/>
      <c r="M1084" s="227" t="n"/>
      <c r="N1084" s="127" t="n"/>
      <c r="O1084" s="227" t="n"/>
      <c r="P1084" s="227" t="n"/>
      <c r="Q1084" s="227" t="n"/>
      <c r="R1084" s="227" t="n"/>
      <c r="S1084" s="227" t="n"/>
      <c r="T1084" s="227" t="n"/>
    </row>
    <row r="1085">
      <c r="A1085" s="145">
        <f>IF($B1085="","",ROW()-5)</f>
        <v/>
      </c>
      <c r="B1085" s="127" t="n"/>
      <c r="C1085" s="223" t="n"/>
      <c r="D1085" s="127" t="n"/>
      <c r="E1085" s="227" t="n"/>
      <c r="F1085" s="227" t="n"/>
      <c r="G1085" s="227" t="n"/>
      <c r="H1085" s="227" t="n"/>
      <c r="I1085" s="227" t="n"/>
      <c r="J1085" s="227" t="n"/>
      <c r="K1085" s="227" t="n"/>
      <c r="L1085" s="227" t="n"/>
      <c r="M1085" s="227" t="n"/>
      <c r="N1085" s="127" t="n"/>
      <c r="O1085" s="227" t="n"/>
      <c r="P1085" s="227" t="n"/>
      <c r="Q1085" s="227" t="n"/>
      <c r="R1085" s="227" t="n"/>
      <c r="S1085" s="227" t="n"/>
      <c r="T1085" s="227" t="n"/>
    </row>
    <row r="1086">
      <c r="A1086" s="145">
        <f>IF($B1086="","",ROW()-5)</f>
        <v/>
      </c>
      <c r="B1086" s="127" t="n"/>
      <c r="C1086" s="223" t="n"/>
      <c r="D1086" s="127" t="n"/>
      <c r="E1086" s="227" t="n"/>
      <c r="F1086" s="227" t="n"/>
      <c r="G1086" s="227" t="n"/>
      <c r="H1086" s="227" t="n"/>
      <c r="I1086" s="227" t="n"/>
      <c r="J1086" s="227" t="n"/>
      <c r="K1086" s="227" t="n"/>
      <c r="L1086" s="227" t="n"/>
      <c r="M1086" s="227" t="n"/>
      <c r="N1086" s="127" t="n"/>
      <c r="O1086" s="227" t="n"/>
      <c r="P1086" s="227" t="n"/>
      <c r="Q1086" s="227" t="n"/>
      <c r="R1086" s="227" t="n"/>
      <c r="S1086" s="227" t="n"/>
      <c r="T1086" s="227" t="n"/>
    </row>
    <row r="1087">
      <c r="A1087" s="145">
        <f>IF($B1087="","",ROW()-5)</f>
        <v/>
      </c>
      <c r="B1087" s="127" t="n"/>
      <c r="C1087" s="223" t="n"/>
      <c r="D1087" s="127" t="n"/>
      <c r="E1087" s="227" t="n"/>
      <c r="F1087" s="227" t="n"/>
      <c r="G1087" s="227" t="n"/>
      <c r="H1087" s="227" t="n"/>
      <c r="I1087" s="227" t="n"/>
      <c r="J1087" s="227" t="n"/>
      <c r="K1087" s="227" t="n"/>
      <c r="L1087" s="227" t="n"/>
      <c r="M1087" s="227" t="n"/>
      <c r="N1087" s="127" t="n"/>
      <c r="O1087" s="227" t="n"/>
      <c r="P1087" s="227" t="n"/>
      <c r="Q1087" s="227" t="n"/>
      <c r="R1087" s="227" t="n"/>
      <c r="S1087" s="227" t="n"/>
      <c r="T1087" s="227" t="n"/>
    </row>
    <row r="1088">
      <c r="A1088" s="145">
        <f>IF($B1088="","",ROW()-5)</f>
        <v/>
      </c>
      <c r="B1088" s="127" t="n"/>
      <c r="C1088" s="223" t="n"/>
      <c r="D1088" s="127" t="n"/>
      <c r="E1088" s="227" t="n"/>
      <c r="F1088" s="227" t="n"/>
      <c r="G1088" s="227" t="n"/>
      <c r="H1088" s="227" t="n"/>
      <c r="I1088" s="227" t="n"/>
      <c r="J1088" s="227" t="n"/>
      <c r="K1088" s="227" t="n"/>
      <c r="L1088" s="227" t="n"/>
      <c r="M1088" s="227" t="n"/>
      <c r="N1088" s="127" t="n"/>
      <c r="O1088" s="227" t="n"/>
      <c r="P1088" s="227" t="n"/>
      <c r="Q1088" s="227" t="n"/>
      <c r="R1088" s="227" t="n"/>
      <c r="S1088" s="227" t="n"/>
      <c r="T1088" s="227" t="n"/>
    </row>
    <row r="1089">
      <c r="A1089" s="145">
        <f>IF($B1089="","",ROW()-5)</f>
        <v/>
      </c>
      <c r="B1089" s="127" t="n"/>
      <c r="C1089" s="223" t="n"/>
      <c r="D1089" s="127" t="n"/>
      <c r="E1089" s="227" t="n"/>
      <c r="F1089" s="227" t="n"/>
      <c r="G1089" s="227" t="n"/>
      <c r="H1089" s="227" t="n"/>
      <c r="I1089" s="227" t="n"/>
      <c r="J1089" s="227" t="n"/>
      <c r="K1089" s="227" t="n"/>
      <c r="L1089" s="227" t="n"/>
      <c r="M1089" s="227" t="n"/>
      <c r="N1089" s="127" t="n"/>
      <c r="O1089" s="227" t="n"/>
      <c r="P1089" s="227" t="n"/>
      <c r="Q1089" s="227" t="n"/>
      <c r="R1089" s="227" t="n"/>
      <c r="S1089" s="227" t="n"/>
      <c r="T1089" s="227" t="n"/>
    </row>
    <row r="1090">
      <c r="A1090" s="145">
        <f>IF($B1090="","",ROW()-5)</f>
        <v/>
      </c>
      <c r="B1090" s="127" t="n"/>
      <c r="C1090" s="223" t="n"/>
      <c r="D1090" s="127" t="n"/>
      <c r="E1090" s="227" t="n"/>
      <c r="F1090" s="227" t="n"/>
      <c r="G1090" s="227" t="n"/>
      <c r="H1090" s="227" t="n"/>
      <c r="I1090" s="227" t="n"/>
      <c r="J1090" s="227" t="n"/>
      <c r="K1090" s="227" t="n"/>
      <c r="L1090" s="227" t="n"/>
      <c r="M1090" s="227" t="n"/>
      <c r="N1090" s="127" t="n"/>
      <c r="O1090" s="227" t="n"/>
      <c r="P1090" s="227" t="n"/>
      <c r="Q1090" s="227" t="n"/>
      <c r="R1090" s="227" t="n"/>
      <c r="S1090" s="227" t="n"/>
      <c r="T1090" s="227" t="n"/>
    </row>
    <row r="1091">
      <c r="A1091" s="145">
        <f>IF($B1091="","",ROW()-5)</f>
        <v/>
      </c>
      <c r="B1091" s="127" t="n"/>
      <c r="C1091" s="223" t="n"/>
      <c r="D1091" s="127" t="n"/>
      <c r="E1091" s="227" t="n"/>
      <c r="F1091" s="227" t="n"/>
      <c r="G1091" s="227" t="n"/>
      <c r="H1091" s="227" t="n"/>
      <c r="I1091" s="227" t="n"/>
      <c r="J1091" s="227" t="n"/>
      <c r="K1091" s="227" t="n"/>
      <c r="L1091" s="227" t="n"/>
      <c r="M1091" s="227" t="n"/>
      <c r="N1091" s="127" t="n"/>
      <c r="O1091" s="227" t="n"/>
      <c r="P1091" s="227" t="n"/>
      <c r="Q1091" s="227" t="n"/>
      <c r="R1091" s="227" t="n"/>
      <c r="S1091" s="227" t="n"/>
      <c r="T1091" s="227" t="n"/>
    </row>
    <row r="1092">
      <c r="A1092" s="145">
        <f>IF($B1092="","",ROW()-5)</f>
        <v/>
      </c>
      <c r="B1092" s="127" t="n"/>
      <c r="C1092" s="223" t="n"/>
      <c r="D1092" s="127" t="n"/>
      <c r="E1092" s="227" t="n"/>
      <c r="F1092" s="227" t="n"/>
      <c r="G1092" s="227" t="n"/>
      <c r="H1092" s="227" t="n"/>
      <c r="I1092" s="227" t="n"/>
      <c r="J1092" s="227" t="n"/>
      <c r="K1092" s="227" t="n"/>
      <c r="L1092" s="227" t="n"/>
      <c r="M1092" s="227" t="n"/>
      <c r="N1092" s="127" t="n"/>
      <c r="O1092" s="227" t="n"/>
      <c r="P1092" s="227" t="n"/>
      <c r="Q1092" s="227" t="n"/>
      <c r="R1092" s="227" t="n"/>
      <c r="S1092" s="227" t="n"/>
      <c r="T1092" s="227" t="n"/>
    </row>
    <row r="1093">
      <c r="A1093" s="145">
        <f>IF($B1093="","",ROW()-5)</f>
        <v/>
      </c>
      <c r="B1093" s="127" t="n"/>
      <c r="C1093" s="223" t="n"/>
      <c r="D1093" s="127" t="n"/>
      <c r="E1093" s="227" t="n"/>
      <c r="F1093" s="227" t="n"/>
      <c r="G1093" s="227" t="n"/>
      <c r="H1093" s="227" t="n"/>
      <c r="I1093" s="227" t="n"/>
      <c r="J1093" s="227" t="n"/>
      <c r="K1093" s="227" t="n"/>
      <c r="L1093" s="227" t="n"/>
      <c r="M1093" s="227" t="n"/>
      <c r="N1093" s="127" t="n"/>
      <c r="O1093" s="227" t="n"/>
      <c r="P1093" s="227" t="n"/>
      <c r="Q1093" s="227" t="n"/>
      <c r="R1093" s="227" t="n"/>
      <c r="S1093" s="227" t="n"/>
      <c r="T1093" s="227" t="n"/>
    </row>
    <row r="1094">
      <c r="A1094" s="145">
        <f>IF($B1094="","",ROW()-5)</f>
        <v/>
      </c>
      <c r="B1094" s="127" t="n"/>
      <c r="C1094" s="223" t="n"/>
      <c r="D1094" s="127" t="n"/>
      <c r="E1094" s="227" t="n"/>
      <c r="F1094" s="227" t="n"/>
      <c r="G1094" s="227" t="n"/>
      <c r="H1094" s="227" t="n"/>
      <c r="I1094" s="227" t="n"/>
      <c r="J1094" s="227" t="n"/>
      <c r="K1094" s="227" t="n"/>
      <c r="L1094" s="227" t="n"/>
      <c r="M1094" s="227" t="n"/>
      <c r="N1094" s="127" t="n"/>
      <c r="O1094" s="227" t="n"/>
      <c r="P1094" s="227" t="n"/>
      <c r="Q1094" s="227" t="n"/>
      <c r="R1094" s="227" t="n"/>
      <c r="S1094" s="227" t="n"/>
      <c r="T1094" s="227" t="n"/>
    </row>
    <row r="1095">
      <c r="A1095" s="145">
        <f>IF($B1095="","",ROW()-5)</f>
        <v/>
      </c>
      <c r="B1095" s="127" t="n"/>
      <c r="C1095" s="223" t="n"/>
      <c r="D1095" s="127" t="n"/>
      <c r="E1095" s="227" t="n"/>
      <c r="F1095" s="227" t="n"/>
      <c r="G1095" s="227" t="n"/>
      <c r="H1095" s="227" t="n"/>
      <c r="I1095" s="227" t="n"/>
      <c r="J1095" s="227" t="n"/>
      <c r="K1095" s="227" t="n"/>
      <c r="L1095" s="227" t="n"/>
      <c r="M1095" s="227" t="n"/>
      <c r="N1095" s="127" t="n"/>
      <c r="O1095" s="227" t="n"/>
      <c r="P1095" s="227" t="n"/>
      <c r="Q1095" s="227" t="n"/>
      <c r="R1095" s="227" t="n"/>
      <c r="S1095" s="227" t="n"/>
      <c r="T1095" s="227" t="n"/>
    </row>
    <row r="1096">
      <c r="A1096" s="145">
        <f>IF($B1096="","",ROW()-5)</f>
        <v/>
      </c>
      <c r="B1096" s="127" t="n"/>
      <c r="C1096" s="223" t="n"/>
      <c r="D1096" s="127" t="n"/>
      <c r="E1096" s="227" t="n"/>
      <c r="F1096" s="227" t="n"/>
      <c r="G1096" s="227" t="n"/>
      <c r="H1096" s="227" t="n"/>
      <c r="I1096" s="227" t="n"/>
      <c r="J1096" s="227" t="n"/>
      <c r="K1096" s="227" t="n"/>
      <c r="L1096" s="227" t="n"/>
      <c r="M1096" s="227" t="n"/>
      <c r="N1096" s="127" t="n"/>
      <c r="O1096" s="227" t="n"/>
      <c r="P1096" s="227" t="n"/>
      <c r="Q1096" s="227" t="n"/>
      <c r="R1096" s="227" t="n"/>
      <c r="S1096" s="227" t="n"/>
      <c r="T1096" s="227" t="n"/>
    </row>
    <row r="1097">
      <c r="A1097" s="145">
        <f>IF($B1097="","",ROW()-5)</f>
        <v/>
      </c>
      <c r="B1097" s="127" t="n"/>
      <c r="C1097" s="223" t="n"/>
      <c r="D1097" s="127" t="n"/>
      <c r="E1097" s="227" t="n"/>
      <c r="F1097" s="227" t="n"/>
      <c r="G1097" s="227" t="n"/>
      <c r="H1097" s="227" t="n"/>
      <c r="I1097" s="227" t="n"/>
      <c r="J1097" s="227" t="n"/>
      <c r="K1097" s="227" t="n"/>
      <c r="L1097" s="227" t="n"/>
      <c r="M1097" s="227" t="n"/>
      <c r="N1097" s="127" t="n"/>
      <c r="O1097" s="227" t="n"/>
      <c r="P1097" s="227" t="n"/>
      <c r="Q1097" s="227" t="n"/>
      <c r="R1097" s="227" t="n"/>
      <c r="S1097" s="227" t="n"/>
      <c r="T1097" s="227" t="n"/>
    </row>
    <row r="1098">
      <c r="A1098" s="145">
        <f>IF($B1098="","",ROW()-5)</f>
        <v/>
      </c>
      <c r="B1098" s="127" t="n"/>
      <c r="C1098" s="223" t="n"/>
      <c r="D1098" s="127" t="n"/>
      <c r="E1098" s="227" t="n"/>
      <c r="F1098" s="227" t="n"/>
      <c r="G1098" s="227" t="n"/>
      <c r="H1098" s="227" t="n"/>
      <c r="I1098" s="227" t="n"/>
      <c r="J1098" s="227" t="n"/>
      <c r="K1098" s="227" t="n"/>
      <c r="L1098" s="227" t="n"/>
      <c r="M1098" s="227" t="n"/>
      <c r="N1098" s="127" t="n"/>
      <c r="O1098" s="227" t="n"/>
      <c r="P1098" s="227" t="n"/>
      <c r="Q1098" s="227" t="n"/>
      <c r="R1098" s="227" t="n"/>
      <c r="S1098" s="227" t="n"/>
      <c r="T1098" s="227" t="n"/>
    </row>
    <row r="1099">
      <c r="A1099" s="145">
        <f>IF($B1099="","",ROW()-5)</f>
        <v/>
      </c>
      <c r="B1099" s="127" t="n"/>
      <c r="C1099" s="223" t="n"/>
      <c r="D1099" s="127" t="n"/>
      <c r="E1099" s="227" t="n"/>
      <c r="F1099" s="227" t="n"/>
      <c r="G1099" s="227" t="n"/>
      <c r="H1099" s="227" t="n"/>
      <c r="I1099" s="227" t="n"/>
      <c r="J1099" s="227" t="n"/>
      <c r="K1099" s="227" t="n"/>
      <c r="L1099" s="227" t="n"/>
      <c r="M1099" s="227" t="n"/>
      <c r="N1099" s="127" t="n"/>
      <c r="O1099" s="227" t="n"/>
      <c r="P1099" s="227" t="n"/>
      <c r="Q1099" s="227" t="n"/>
      <c r="R1099" s="227" t="n"/>
      <c r="S1099" s="227" t="n"/>
      <c r="T1099" s="227" t="n"/>
    </row>
    <row r="1100">
      <c r="A1100" s="145">
        <f>IF($B1100="","",ROW()-5)</f>
        <v/>
      </c>
      <c r="B1100" s="127" t="n"/>
      <c r="C1100" s="223" t="n"/>
      <c r="D1100" s="127" t="n"/>
      <c r="E1100" s="227" t="n"/>
      <c r="F1100" s="227" t="n"/>
      <c r="G1100" s="227" t="n"/>
      <c r="H1100" s="227" t="n"/>
      <c r="I1100" s="227" t="n"/>
      <c r="J1100" s="227" t="n"/>
      <c r="K1100" s="227" t="n"/>
      <c r="L1100" s="227" t="n"/>
      <c r="M1100" s="227" t="n"/>
      <c r="N1100" s="127" t="n"/>
      <c r="O1100" s="227" t="n"/>
      <c r="P1100" s="227" t="n"/>
      <c r="Q1100" s="227" t="n"/>
      <c r="R1100" s="227" t="n"/>
      <c r="S1100" s="227" t="n"/>
      <c r="T1100" s="227" t="n"/>
    </row>
    <row r="1101">
      <c r="A1101" s="145">
        <f>IF($B1101="","",ROW()-5)</f>
        <v/>
      </c>
      <c r="B1101" s="127" t="n"/>
      <c r="C1101" s="223" t="n"/>
      <c r="D1101" s="127" t="n"/>
      <c r="E1101" s="227" t="n"/>
      <c r="F1101" s="227" t="n"/>
      <c r="G1101" s="227" t="n"/>
      <c r="H1101" s="227" t="n"/>
      <c r="I1101" s="227" t="n"/>
      <c r="J1101" s="227" t="n"/>
      <c r="K1101" s="227" t="n"/>
      <c r="L1101" s="227" t="n"/>
      <c r="M1101" s="227" t="n"/>
      <c r="N1101" s="127" t="n"/>
      <c r="O1101" s="227" t="n"/>
      <c r="P1101" s="227" t="n"/>
      <c r="Q1101" s="227" t="n"/>
      <c r="R1101" s="227" t="n"/>
      <c r="S1101" s="227" t="n"/>
      <c r="T1101" s="227" t="n"/>
    </row>
    <row r="1102">
      <c r="A1102" s="145">
        <f>IF($B1102="","",ROW()-5)</f>
        <v/>
      </c>
      <c r="B1102" s="127" t="n"/>
      <c r="C1102" s="223" t="n"/>
      <c r="D1102" s="127" t="n"/>
      <c r="E1102" s="227" t="n"/>
      <c r="F1102" s="227" t="n"/>
      <c r="G1102" s="227" t="n"/>
      <c r="H1102" s="227" t="n"/>
      <c r="I1102" s="227" t="n"/>
      <c r="J1102" s="227" t="n"/>
      <c r="K1102" s="227" t="n"/>
      <c r="L1102" s="227" t="n"/>
      <c r="M1102" s="227" t="n"/>
      <c r="N1102" s="127" t="n"/>
      <c r="O1102" s="227" t="n"/>
      <c r="P1102" s="227" t="n"/>
      <c r="Q1102" s="227" t="n"/>
      <c r="R1102" s="227" t="n"/>
      <c r="S1102" s="227" t="n"/>
      <c r="T1102" s="227" t="n"/>
    </row>
    <row r="1103">
      <c r="A1103" s="145">
        <f>IF($B1103="","",ROW()-5)</f>
        <v/>
      </c>
      <c r="B1103" s="127" t="n"/>
      <c r="C1103" s="223" t="n"/>
      <c r="D1103" s="127" t="n"/>
      <c r="E1103" s="227" t="n"/>
      <c r="F1103" s="227" t="n"/>
      <c r="G1103" s="227" t="n"/>
      <c r="H1103" s="227" t="n"/>
      <c r="I1103" s="227" t="n"/>
      <c r="J1103" s="227" t="n"/>
      <c r="K1103" s="227" t="n"/>
      <c r="L1103" s="227" t="n"/>
      <c r="M1103" s="227" t="n"/>
      <c r="N1103" s="127" t="n"/>
      <c r="O1103" s="227" t="n"/>
      <c r="P1103" s="227" t="n"/>
      <c r="Q1103" s="227" t="n"/>
      <c r="R1103" s="227" t="n"/>
      <c r="S1103" s="227" t="n"/>
      <c r="T1103" s="227" t="n"/>
    </row>
    <row r="1104">
      <c r="A1104" s="145">
        <f>IF($B1104="","",ROW()-5)</f>
        <v/>
      </c>
      <c r="B1104" s="127" t="n"/>
      <c r="C1104" s="223" t="n"/>
      <c r="D1104" s="127" t="n"/>
      <c r="E1104" s="227" t="n"/>
      <c r="F1104" s="227" t="n"/>
      <c r="G1104" s="227" t="n"/>
      <c r="H1104" s="227" t="n"/>
      <c r="I1104" s="227" t="n"/>
      <c r="J1104" s="227" t="n"/>
      <c r="K1104" s="227" t="n"/>
      <c r="L1104" s="227" t="n"/>
      <c r="M1104" s="227" t="n"/>
      <c r="N1104" s="127" t="n"/>
      <c r="O1104" s="227" t="n"/>
      <c r="P1104" s="227" t="n"/>
      <c r="Q1104" s="227" t="n"/>
      <c r="R1104" s="227" t="n"/>
      <c r="S1104" s="227" t="n"/>
      <c r="T1104" s="227" t="n"/>
    </row>
    <row r="1105">
      <c r="A1105" s="145">
        <f>IF($B1105="","",ROW()-5)</f>
        <v/>
      </c>
      <c r="B1105" s="127" t="n"/>
      <c r="C1105" s="223" t="n"/>
      <c r="D1105" s="127" t="n"/>
      <c r="E1105" s="227" t="n"/>
      <c r="F1105" s="227" t="n"/>
      <c r="G1105" s="227" t="n"/>
      <c r="H1105" s="227" t="n"/>
      <c r="I1105" s="227" t="n"/>
      <c r="J1105" s="227" t="n"/>
      <c r="K1105" s="227" t="n"/>
      <c r="L1105" s="227" t="n"/>
      <c r="M1105" s="227" t="n"/>
      <c r="N1105" s="127" t="n"/>
      <c r="O1105" s="227" t="n"/>
      <c r="P1105" s="227" t="n"/>
      <c r="Q1105" s="227" t="n"/>
      <c r="R1105" s="227" t="n"/>
      <c r="S1105" s="227" t="n"/>
      <c r="T1105" s="227" t="n"/>
    </row>
    <row r="1106">
      <c r="A1106" s="145">
        <f>IF($B1106="","",ROW()-5)</f>
        <v/>
      </c>
      <c r="B1106" s="127" t="n"/>
      <c r="C1106" s="223" t="n"/>
      <c r="D1106" s="127" t="n"/>
      <c r="E1106" s="227" t="n"/>
      <c r="F1106" s="227" t="n"/>
      <c r="G1106" s="227" t="n"/>
      <c r="H1106" s="227" t="n"/>
      <c r="I1106" s="227" t="n"/>
      <c r="J1106" s="227" t="n"/>
      <c r="K1106" s="227" t="n"/>
      <c r="L1106" s="227" t="n"/>
      <c r="M1106" s="227" t="n"/>
      <c r="N1106" s="127" t="n"/>
      <c r="O1106" s="227" t="n"/>
      <c r="P1106" s="227" t="n"/>
      <c r="Q1106" s="227" t="n"/>
      <c r="R1106" s="227" t="n"/>
      <c r="S1106" s="227" t="n"/>
      <c r="T1106" s="227" t="n"/>
    </row>
    <row r="1107">
      <c r="A1107" s="145">
        <f>IF($B1107="","",ROW()-5)</f>
        <v/>
      </c>
      <c r="B1107" s="127" t="n"/>
      <c r="C1107" s="223" t="n"/>
      <c r="D1107" s="127" t="n"/>
      <c r="E1107" s="227" t="n"/>
      <c r="F1107" s="227" t="n"/>
      <c r="G1107" s="227" t="n"/>
      <c r="H1107" s="227" t="n"/>
      <c r="I1107" s="227" t="n"/>
      <c r="J1107" s="227" t="n"/>
      <c r="K1107" s="227" t="n"/>
      <c r="L1107" s="227" t="n"/>
      <c r="M1107" s="227" t="n"/>
      <c r="N1107" s="127" t="n"/>
      <c r="O1107" s="227" t="n"/>
      <c r="P1107" s="227" t="n"/>
      <c r="Q1107" s="227" t="n"/>
      <c r="R1107" s="227" t="n"/>
      <c r="S1107" s="227" t="n"/>
      <c r="T1107" s="227" t="n"/>
    </row>
    <row r="1108">
      <c r="A1108" s="145">
        <f>IF($B1108="","",ROW()-5)</f>
        <v/>
      </c>
      <c r="B1108" s="127" t="n"/>
      <c r="C1108" s="223" t="n"/>
      <c r="D1108" s="127" t="n"/>
      <c r="E1108" s="227" t="n"/>
      <c r="F1108" s="227" t="n"/>
      <c r="G1108" s="227" t="n"/>
      <c r="H1108" s="227" t="n"/>
      <c r="I1108" s="227" t="n"/>
      <c r="J1108" s="227" t="n"/>
      <c r="K1108" s="227" t="n"/>
      <c r="L1108" s="227" t="n"/>
      <c r="M1108" s="227" t="n"/>
      <c r="N1108" s="127" t="n"/>
      <c r="O1108" s="227" t="n"/>
      <c r="P1108" s="227" t="n"/>
      <c r="Q1108" s="227" t="n"/>
      <c r="R1108" s="227" t="n"/>
      <c r="S1108" s="227" t="n"/>
      <c r="T1108" s="227" t="n"/>
    </row>
    <row r="1109">
      <c r="A1109" s="145">
        <f>IF($B1109="","",ROW()-5)</f>
        <v/>
      </c>
      <c r="B1109" s="127" t="n"/>
      <c r="C1109" s="223" t="n"/>
      <c r="D1109" s="127" t="n"/>
      <c r="E1109" s="227" t="n"/>
      <c r="F1109" s="227" t="n"/>
      <c r="G1109" s="227" t="n"/>
      <c r="H1109" s="227" t="n"/>
      <c r="I1109" s="227" t="n"/>
      <c r="J1109" s="227" t="n"/>
      <c r="K1109" s="227" t="n"/>
      <c r="L1109" s="227" t="n"/>
      <c r="M1109" s="227" t="n"/>
      <c r="N1109" s="127" t="n"/>
      <c r="O1109" s="227" t="n"/>
      <c r="P1109" s="227" t="n"/>
      <c r="Q1109" s="227" t="n"/>
      <c r="R1109" s="227" t="n"/>
      <c r="S1109" s="227" t="n"/>
      <c r="T1109" s="227" t="n"/>
    </row>
    <row r="1110">
      <c r="A1110" s="145">
        <f>IF($B1110="","",ROW()-5)</f>
        <v/>
      </c>
      <c r="B1110" s="127" t="n"/>
      <c r="C1110" s="223" t="n"/>
      <c r="D1110" s="127" t="n"/>
      <c r="E1110" s="227" t="n"/>
      <c r="F1110" s="227" t="n"/>
      <c r="G1110" s="227" t="n"/>
      <c r="H1110" s="227" t="n"/>
      <c r="I1110" s="227" t="n"/>
      <c r="J1110" s="227" t="n"/>
      <c r="K1110" s="227" t="n"/>
      <c r="L1110" s="227" t="n"/>
      <c r="M1110" s="227" t="n"/>
      <c r="N1110" s="127" t="n"/>
      <c r="O1110" s="227" t="n"/>
      <c r="P1110" s="227" t="n"/>
      <c r="Q1110" s="227" t="n"/>
      <c r="R1110" s="227" t="n"/>
      <c r="S1110" s="227" t="n"/>
      <c r="T1110" s="227" t="n"/>
    </row>
    <row r="1111">
      <c r="A1111" s="145">
        <f>IF($B1111="","",ROW()-5)</f>
        <v/>
      </c>
      <c r="B1111" s="127" t="n"/>
      <c r="C1111" s="223" t="n"/>
      <c r="D1111" s="127" t="n"/>
      <c r="E1111" s="227" t="n"/>
      <c r="F1111" s="227" t="n"/>
      <c r="G1111" s="227" t="n"/>
      <c r="H1111" s="227" t="n"/>
      <c r="I1111" s="227" t="n"/>
      <c r="J1111" s="227" t="n"/>
      <c r="K1111" s="227" t="n"/>
      <c r="L1111" s="227" t="n"/>
      <c r="M1111" s="227" t="n"/>
      <c r="N1111" s="127" t="n"/>
      <c r="O1111" s="227" t="n"/>
      <c r="P1111" s="227" t="n"/>
      <c r="Q1111" s="227" t="n"/>
      <c r="R1111" s="227" t="n"/>
      <c r="S1111" s="227" t="n"/>
      <c r="T1111" s="227" t="n"/>
    </row>
    <row r="1112">
      <c r="A1112" s="145">
        <f>IF($B1112="","",ROW()-5)</f>
        <v/>
      </c>
      <c r="B1112" s="127" t="n"/>
      <c r="C1112" s="223" t="n"/>
      <c r="D1112" s="127" t="n"/>
      <c r="E1112" s="227" t="n"/>
      <c r="F1112" s="227" t="n"/>
      <c r="G1112" s="227" t="n"/>
      <c r="H1112" s="227" t="n"/>
      <c r="I1112" s="227" t="n"/>
      <c r="J1112" s="227" t="n"/>
      <c r="K1112" s="227" t="n"/>
      <c r="L1112" s="227" t="n"/>
      <c r="M1112" s="227" t="n"/>
      <c r="N1112" s="127" t="n"/>
      <c r="O1112" s="227" t="n"/>
      <c r="P1112" s="227" t="n"/>
      <c r="Q1112" s="227" t="n"/>
      <c r="R1112" s="227" t="n"/>
      <c r="S1112" s="227" t="n"/>
      <c r="T1112" s="227" t="n"/>
    </row>
    <row r="1113">
      <c r="A1113" s="145">
        <f>IF($B1113="","",ROW()-5)</f>
        <v/>
      </c>
      <c r="B1113" s="127" t="n"/>
      <c r="C1113" s="223" t="n"/>
      <c r="D1113" s="127" t="n"/>
      <c r="E1113" s="227" t="n"/>
      <c r="F1113" s="227" t="n"/>
      <c r="G1113" s="227" t="n"/>
      <c r="H1113" s="227" t="n"/>
      <c r="I1113" s="227" t="n"/>
      <c r="J1113" s="227" t="n"/>
      <c r="K1113" s="227" t="n"/>
      <c r="L1113" s="227" t="n"/>
      <c r="M1113" s="227" t="n"/>
      <c r="N1113" s="127" t="n"/>
      <c r="O1113" s="227" t="n"/>
      <c r="P1113" s="227" t="n"/>
      <c r="Q1113" s="227" t="n"/>
      <c r="R1113" s="227" t="n"/>
      <c r="S1113" s="227" t="n"/>
      <c r="T1113" s="227" t="n"/>
    </row>
    <row r="1114">
      <c r="A1114" s="145">
        <f>IF($B1114="","",ROW()-5)</f>
        <v/>
      </c>
      <c r="B1114" s="127" t="n"/>
      <c r="C1114" s="223" t="n"/>
      <c r="D1114" s="127" t="n"/>
      <c r="E1114" s="227" t="n"/>
      <c r="F1114" s="227" t="n"/>
      <c r="G1114" s="227" t="n"/>
      <c r="H1114" s="227" t="n"/>
      <c r="I1114" s="227" t="n"/>
      <c r="J1114" s="227" t="n"/>
      <c r="K1114" s="227" t="n"/>
      <c r="L1114" s="227" t="n"/>
      <c r="M1114" s="227" t="n"/>
      <c r="N1114" s="127" t="n"/>
      <c r="O1114" s="227" t="n"/>
      <c r="P1114" s="227" t="n"/>
      <c r="Q1114" s="227" t="n"/>
      <c r="R1114" s="227" t="n"/>
      <c r="S1114" s="227" t="n"/>
      <c r="T1114" s="227" t="n"/>
    </row>
    <row r="1115">
      <c r="A1115" s="145">
        <f>IF($B1115="","",ROW()-5)</f>
        <v/>
      </c>
      <c r="B1115" s="127" t="n"/>
      <c r="C1115" s="223" t="n"/>
      <c r="D1115" s="127" t="n"/>
      <c r="E1115" s="227" t="n"/>
      <c r="F1115" s="227" t="n"/>
      <c r="G1115" s="227" t="n"/>
      <c r="H1115" s="227" t="n"/>
      <c r="I1115" s="227" t="n"/>
      <c r="J1115" s="227" t="n"/>
      <c r="K1115" s="227" t="n"/>
      <c r="L1115" s="227" t="n"/>
      <c r="M1115" s="227" t="n"/>
      <c r="N1115" s="127" t="n"/>
      <c r="O1115" s="227" t="n"/>
      <c r="P1115" s="227" t="n"/>
      <c r="Q1115" s="227" t="n"/>
      <c r="R1115" s="227" t="n"/>
      <c r="S1115" s="227" t="n"/>
      <c r="T1115" s="227" t="n"/>
    </row>
    <row r="1116">
      <c r="A1116" s="145">
        <f>IF($B1116="","",ROW()-5)</f>
        <v/>
      </c>
      <c r="B1116" s="127" t="n"/>
      <c r="C1116" s="223" t="n"/>
      <c r="D1116" s="127" t="n"/>
      <c r="E1116" s="227" t="n"/>
      <c r="F1116" s="227" t="n"/>
      <c r="G1116" s="227" t="n"/>
      <c r="H1116" s="227" t="n"/>
      <c r="I1116" s="227" t="n"/>
      <c r="J1116" s="227" t="n"/>
      <c r="K1116" s="227" t="n"/>
      <c r="L1116" s="227" t="n"/>
      <c r="M1116" s="227" t="n"/>
      <c r="N1116" s="127" t="n"/>
      <c r="O1116" s="227" t="n"/>
      <c r="P1116" s="227" t="n"/>
      <c r="Q1116" s="227" t="n"/>
      <c r="R1116" s="227" t="n"/>
      <c r="S1116" s="227" t="n"/>
      <c r="T1116" s="227" t="n"/>
    </row>
    <row r="1117">
      <c r="A1117" s="145">
        <f>IF($B1117="","",ROW()-5)</f>
        <v/>
      </c>
      <c r="B1117" s="127" t="n"/>
      <c r="C1117" s="223" t="n"/>
      <c r="D1117" s="127" t="n"/>
      <c r="E1117" s="227" t="n"/>
      <c r="F1117" s="227" t="n"/>
      <c r="G1117" s="227" t="n"/>
      <c r="H1117" s="227" t="n"/>
      <c r="I1117" s="227" t="n"/>
      <c r="J1117" s="227" t="n"/>
      <c r="K1117" s="227" t="n"/>
      <c r="L1117" s="227" t="n"/>
      <c r="M1117" s="227" t="n"/>
      <c r="N1117" s="127" t="n"/>
      <c r="O1117" s="227" t="n"/>
      <c r="P1117" s="227" t="n"/>
      <c r="Q1117" s="227" t="n"/>
      <c r="R1117" s="227" t="n"/>
      <c r="S1117" s="227" t="n"/>
      <c r="T1117" s="227" t="n"/>
    </row>
    <row r="1118">
      <c r="A1118" s="145">
        <f>IF($B1118="","",ROW()-5)</f>
        <v/>
      </c>
      <c r="B1118" s="127" t="n"/>
      <c r="C1118" s="223" t="n"/>
      <c r="D1118" s="127" t="n"/>
      <c r="E1118" s="227" t="n"/>
      <c r="F1118" s="227" t="n"/>
      <c r="G1118" s="227" t="n"/>
      <c r="H1118" s="227" t="n"/>
      <c r="I1118" s="227" t="n"/>
      <c r="J1118" s="227" t="n"/>
      <c r="K1118" s="227" t="n"/>
      <c r="L1118" s="227" t="n"/>
      <c r="M1118" s="227" t="n"/>
      <c r="N1118" s="127" t="n"/>
      <c r="O1118" s="227" t="n"/>
      <c r="P1118" s="227" t="n"/>
      <c r="Q1118" s="227" t="n"/>
      <c r="R1118" s="227" t="n"/>
      <c r="S1118" s="227" t="n"/>
      <c r="T1118" s="227" t="n"/>
    </row>
    <row r="1119">
      <c r="A1119" s="145">
        <f>IF($B1119="","",ROW()-5)</f>
        <v/>
      </c>
      <c r="B1119" s="127" t="n"/>
      <c r="C1119" s="223" t="n"/>
      <c r="D1119" s="127" t="n"/>
      <c r="E1119" s="227" t="n"/>
      <c r="F1119" s="227" t="n"/>
      <c r="G1119" s="227" t="n"/>
      <c r="H1119" s="227" t="n"/>
      <c r="I1119" s="227" t="n"/>
      <c r="J1119" s="227" t="n"/>
      <c r="K1119" s="227" t="n"/>
      <c r="L1119" s="227" t="n"/>
      <c r="M1119" s="227" t="n"/>
      <c r="N1119" s="127" t="n"/>
      <c r="O1119" s="227" t="n"/>
      <c r="P1119" s="227" t="n"/>
      <c r="Q1119" s="227" t="n"/>
      <c r="R1119" s="227" t="n"/>
      <c r="S1119" s="227" t="n"/>
      <c r="T1119" s="227" t="n"/>
    </row>
    <row r="1120">
      <c r="A1120" s="145">
        <f>IF($B1120="","",ROW()-5)</f>
        <v/>
      </c>
      <c r="B1120" s="127" t="n"/>
      <c r="C1120" s="223" t="n"/>
      <c r="D1120" s="127" t="n"/>
      <c r="E1120" s="227" t="n"/>
      <c r="F1120" s="227" t="n"/>
      <c r="G1120" s="227" t="n"/>
      <c r="H1120" s="227" t="n"/>
      <c r="I1120" s="227" t="n"/>
      <c r="J1120" s="227" t="n"/>
      <c r="K1120" s="227" t="n"/>
      <c r="L1120" s="227" t="n"/>
      <c r="M1120" s="227" t="n"/>
      <c r="N1120" s="127" t="n"/>
      <c r="O1120" s="227" t="n"/>
      <c r="P1120" s="227" t="n"/>
      <c r="Q1120" s="227" t="n"/>
      <c r="R1120" s="227" t="n"/>
      <c r="S1120" s="227" t="n"/>
      <c r="T1120" s="227" t="n"/>
    </row>
    <row r="1121">
      <c r="A1121" s="145">
        <f>IF($B1121="","",ROW()-5)</f>
        <v/>
      </c>
      <c r="B1121" s="127" t="n"/>
      <c r="C1121" s="223" t="n"/>
      <c r="D1121" s="127" t="n"/>
      <c r="E1121" s="227" t="n"/>
      <c r="F1121" s="227" t="n"/>
      <c r="G1121" s="227" t="n"/>
      <c r="H1121" s="227" t="n"/>
      <c r="I1121" s="227" t="n"/>
      <c r="J1121" s="227" t="n"/>
      <c r="K1121" s="227" t="n"/>
      <c r="L1121" s="227" t="n"/>
      <c r="M1121" s="227" t="n"/>
      <c r="N1121" s="127" t="n"/>
      <c r="O1121" s="227" t="n"/>
      <c r="P1121" s="227" t="n"/>
      <c r="Q1121" s="227" t="n"/>
      <c r="R1121" s="227" t="n"/>
      <c r="S1121" s="227" t="n"/>
      <c r="T1121" s="227" t="n"/>
    </row>
    <row r="1122">
      <c r="A1122" s="145">
        <f>IF($B1122="","",ROW()-5)</f>
        <v/>
      </c>
      <c r="B1122" s="127" t="n"/>
      <c r="C1122" s="223" t="n"/>
      <c r="D1122" s="127" t="n"/>
      <c r="E1122" s="227" t="n"/>
      <c r="F1122" s="227" t="n"/>
      <c r="G1122" s="227" t="n"/>
      <c r="H1122" s="227" t="n"/>
      <c r="I1122" s="227" t="n"/>
      <c r="J1122" s="227" t="n"/>
      <c r="K1122" s="227" t="n"/>
      <c r="L1122" s="227" t="n"/>
      <c r="M1122" s="227" t="n"/>
      <c r="N1122" s="127" t="n"/>
      <c r="O1122" s="227" t="n"/>
      <c r="P1122" s="227" t="n"/>
      <c r="Q1122" s="227" t="n"/>
      <c r="R1122" s="227" t="n"/>
      <c r="S1122" s="227" t="n"/>
      <c r="T1122" s="227" t="n"/>
    </row>
    <row r="1123">
      <c r="A1123" s="145">
        <f>IF($B1123="","",ROW()-5)</f>
        <v/>
      </c>
      <c r="B1123" s="127" t="n"/>
      <c r="C1123" s="223" t="n"/>
      <c r="D1123" s="127" t="n"/>
      <c r="E1123" s="227" t="n"/>
      <c r="F1123" s="227" t="n"/>
      <c r="G1123" s="227" t="n"/>
      <c r="H1123" s="227" t="n"/>
      <c r="I1123" s="227" t="n"/>
      <c r="J1123" s="227" t="n"/>
      <c r="K1123" s="227" t="n"/>
      <c r="L1123" s="227" t="n"/>
      <c r="M1123" s="227" t="n"/>
      <c r="N1123" s="127" t="n"/>
      <c r="O1123" s="227" t="n"/>
      <c r="P1123" s="227" t="n"/>
      <c r="Q1123" s="227" t="n"/>
      <c r="R1123" s="227" t="n"/>
      <c r="S1123" s="227" t="n"/>
      <c r="T1123" s="227" t="n"/>
    </row>
    <row r="1124">
      <c r="A1124" s="145">
        <f>IF($B1124="","",ROW()-5)</f>
        <v/>
      </c>
      <c r="B1124" s="127" t="n"/>
      <c r="C1124" s="223" t="n"/>
      <c r="D1124" s="127" t="n"/>
      <c r="E1124" s="227" t="n"/>
      <c r="F1124" s="227" t="n"/>
      <c r="G1124" s="227" t="n"/>
      <c r="H1124" s="227" t="n"/>
      <c r="I1124" s="227" t="n"/>
      <c r="J1124" s="227" t="n"/>
      <c r="K1124" s="227" t="n"/>
      <c r="L1124" s="227" t="n"/>
      <c r="M1124" s="227" t="n"/>
      <c r="N1124" s="127" t="n"/>
      <c r="O1124" s="227" t="n"/>
      <c r="P1124" s="227" t="n"/>
      <c r="Q1124" s="227" t="n"/>
      <c r="R1124" s="227" t="n"/>
      <c r="S1124" s="227" t="n"/>
      <c r="T1124" s="227" t="n"/>
    </row>
    <row r="1125">
      <c r="A1125" s="145">
        <f>IF($B1125="","",ROW()-5)</f>
        <v/>
      </c>
      <c r="B1125" s="127" t="n"/>
      <c r="C1125" s="223" t="n"/>
      <c r="D1125" s="127" t="n"/>
      <c r="E1125" s="227" t="n"/>
      <c r="F1125" s="227" t="n"/>
      <c r="G1125" s="227" t="n"/>
      <c r="H1125" s="227" t="n"/>
      <c r="I1125" s="227" t="n"/>
      <c r="J1125" s="227" t="n"/>
      <c r="K1125" s="227" t="n"/>
      <c r="L1125" s="227" t="n"/>
      <c r="M1125" s="227" t="n"/>
      <c r="N1125" s="127" t="n"/>
      <c r="O1125" s="227" t="n"/>
      <c r="P1125" s="227" t="n"/>
      <c r="Q1125" s="227" t="n"/>
      <c r="R1125" s="227" t="n"/>
      <c r="S1125" s="227" t="n"/>
      <c r="T1125" s="227" t="n"/>
    </row>
    <row r="1126">
      <c r="A1126" s="145">
        <f>IF($B1126="","",ROW()-5)</f>
        <v/>
      </c>
      <c r="B1126" s="127" t="n"/>
      <c r="C1126" s="223" t="n"/>
      <c r="D1126" s="127" t="n"/>
      <c r="E1126" s="227" t="n"/>
      <c r="F1126" s="227" t="n"/>
      <c r="G1126" s="227" t="n"/>
      <c r="H1126" s="227" t="n"/>
      <c r="I1126" s="227" t="n"/>
      <c r="J1126" s="227" t="n"/>
      <c r="K1126" s="227" t="n"/>
      <c r="L1126" s="227" t="n"/>
      <c r="M1126" s="227" t="n"/>
      <c r="N1126" s="127" t="n"/>
      <c r="O1126" s="227" t="n"/>
      <c r="P1126" s="227" t="n"/>
      <c r="Q1126" s="227" t="n"/>
      <c r="R1126" s="227" t="n"/>
      <c r="S1126" s="227" t="n"/>
      <c r="T1126" s="227" t="n"/>
    </row>
    <row r="1127">
      <c r="A1127" s="145">
        <f>IF($B1127="","",ROW()-5)</f>
        <v/>
      </c>
      <c r="B1127" s="127" t="n"/>
      <c r="C1127" s="223" t="n"/>
      <c r="D1127" s="127" t="n"/>
      <c r="E1127" s="227" t="n"/>
      <c r="F1127" s="227" t="n"/>
      <c r="G1127" s="227" t="n"/>
      <c r="H1127" s="227" t="n"/>
      <c r="I1127" s="227" t="n"/>
      <c r="J1127" s="227" t="n"/>
      <c r="K1127" s="227" t="n"/>
      <c r="L1127" s="227" t="n"/>
      <c r="M1127" s="227" t="n"/>
      <c r="N1127" s="127" t="n"/>
      <c r="O1127" s="227" t="n"/>
      <c r="P1127" s="227" t="n"/>
      <c r="Q1127" s="227" t="n"/>
      <c r="R1127" s="227" t="n"/>
      <c r="S1127" s="227" t="n"/>
      <c r="T1127" s="227" t="n"/>
    </row>
    <row r="1128">
      <c r="A1128" s="145">
        <f>IF($B1128="","",ROW()-5)</f>
        <v/>
      </c>
      <c r="B1128" s="127" t="n"/>
      <c r="C1128" s="223" t="n"/>
      <c r="D1128" s="127" t="n"/>
      <c r="E1128" s="227" t="n"/>
      <c r="F1128" s="227" t="n"/>
      <c r="G1128" s="227" t="n"/>
      <c r="H1128" s="227" t="n"/>
      <c r="I1128" s="227" t="n"/>
      <c r="J1128" s="227" t="n"/>
      <c r="K1128" s="227" t="n"/>
      <c r="L1128" s="227" t="n"/>
      <c r="M1128" s="227" t="n"/>
      <c r="N1128" s="127" t="n"/>
      <c r="O1128" s="227" t="n"/>
      <c r="P1128" s="227" t="n"/>
      <c r="Q1128" s="227" t="n"/>
      <c r="R1128" s="227" t="n"/>
      <c r="S1128" s="227" t="n"/>
      <c r="T1128" s="227" t="n"/>
    </row>
    <row r="1129">
      <c r="A1129" s="145">
        <f>IF($B1129="","",ROW()-5)</f>
        <v/>
      </c>
      <c r="B1129" s="127" t="n"/>
      <c r="C1129" s="223" t="n"/>
      <c r="D1129" s="127" t="n"/>
      <c r="E1129" s="227" t="n"/>
      <c r="F1129" s="227" t="n"/>
      <c r="G1129" s="227" t="n"/>
      <c r="H1129" s="227" t="n"/>
      <c r="I1129" s="227" t="n"/>
      <c r="J1129" s="227" t="n"/>
      <c r="K1129" s="227" t="n"/>
      <c r="L1129" s="227" t="n"/>
      <c r="M1129" s="227" t="n"/>
      <c r="N1129" s="127" t="n"/>
      <c r="O1129" s="227" t="n"/>
      <c r="P1129" s="227" t="n"/>
      <c r="Q1129" s="227" t="n"/>
      <c r="R1129" s="227" t="n"/>
      <c r="S1129" s="227" t="n"/>
      <c r="T1129" s="227" t="n"/>
    </row>
    <row r="1130">
      <c r="A1130" s="145">
        <f>IF($B1130="","",ROW()-5)</f>
        <v/>
      </c>
      <c r="B1130" s="127" t="n"/>
      <c r="C1130" s="223" t="n"/>
      <c r="D1130" s="127" t="n"/>
      <c r="E1130" s="227" t="n"/>
      <c r="F1130" s="227" t="n"/>
      <c r="G1130" s="227" t="n"/>
      <c r="H1130" s="227" t="n"/>
      <c r="I1130" s="227" t="n"/>
      <c r="J1130" s="227" t="n"/>
      <c r="K1130" s="227" t="n"/>
      <c r="L1130" s="227" t="n"/>
      <c r="M1130" s="227" t="n"/>
      <c r="N1130" s="127" t="n"/>
      <c r="O1130" s="227" t="n"/>
      <c r="P1130" s="227" t="n"/>
      <c r="Q1130" s="227" t="n"/>
      <c r="R1130" s="227" t="n"/>
      <c r="S1130" s="227" t="n"/>
      <c r="T1130" s="227" t="n"/>
    </row>
    <row r="1131">
      <c r="A1131" s="145">
        <f>IF($B1131="","",ROW()-5)</f>
        <v/>
      </c>
      <c r="B1131" s="127" t="n"/>
      <c r="C1131" s="223" t="n"/>
      <c r="D1131" s="127" t="n"/>
      <c r="E1131" s="227" t="n"/>
      <c r="F1131" s="227" t="n"/>
      <c r="G1131" s="227" t="n"/>
      <c r="H1131" s="227" t="n"/>
      <c r="I1131" s="227" t="n"/>
      <c r="J1131" s="227" t="n"/>
      <c r="K1131" s="227" t="n"/>
      <c r="L1131" s="227" t="n"/>
      <c r="M1131" s="227" t="n"/>
      <c r="N1131" s="127" t="n"/>
      <c r="O1131" s="227" t="n"/>
      <c r="P1131" s="227" t="n"/>
      <c r="Q1131" s="227" t="n"/>
      <c r="R1131" s="227" t="n"/>
      <c r="S1131" s="227" t="n"/>
      <c r="T1131" s="227" t="n"/>
    </row>
    <row r="1132">
      <c r="A1132" s="145">
        <f>IF($B1132="","",ROW()-5)</f>
        <v/>
      </c>
      <c r="B1132" s="127" t="n"/>
      <c r="C1132" s="223" t="n"/>
      <c r="D1132" s="127" t="n"/>
      <c r="E1132" s="227" t="n"/>
      <c r="F1132" s="227" t="n"/>
      <c r="G1132" s="227" t="n"/>
      <c r="H1132" s="227" t="n"/>
      <c r="I1132" s="227" t="n"/>
      <c r="J1132" s="227" t="n"/>
      <c r="K1132" s="227" t="n"/>
      <c r="L1132" s="227" t="n"/>
      <c r="M1132" s="227" t="n"/>
      <c r="N1132" s="127" t="n"/>
      <c r="O1132" s="227" t="n"/>
      <c r="P1132" s="227" t="n"/>
      <c r="Q1132" s="227" t="n"/>
      <c r="R1132" s="227" t="n"/>
      <c r="S1132" s="227" t="n"/>
      <c r="T1132" s="227" t="n"/>
    </row>
    <row r="1133">
      <c r="A1133" s="145">
        <f>IF($B1133="","",ROW()-5)</f>
        <v/>
      </c>
      <c r="B1133" s="127" t="n"/>
      <c r="C1133" s="223" t="n"/>
      <c r="D1133" s="127" t="n"/>
      <c r="E1133" s="227" t="n"/>
      <c r="F1133" s="227" t="n"/>
      <c r="G1133" s="227" t="n"/>
      <c r="H1133" s="227" t="n"/>
      <c r="I1133" s="227" t="n"/>
      <c r="J1133" s="227" t="n"/>
      <c r="K1133" s="227" t="n"/>
      <c r="L1133" s="227" t="n"/>
      <c r="M1133" s="227" t="n"/>
      <c r="N1133" s="127" t="n"/>
      <c r="O1133" s="227" t="n"/>
      <c r="P1133" s="227" t="n"/>
      <c r="Q1133" s="227" t="n"/>
      <c r="R1133" s="227" t="n"/>
      <c r="S1133" s="227" t="n"/>
      <c r="T1133" s="227" t="n"/>
    </row>
    <row r="1134">
      <c r="A1134" s="145">
        <f>IF($B1134="","",ROW()-5)</f>
        <v/>
      </c>
      <c r="B1134" s="127" t="n"/>
      <c r="C1134" s="223" t="n"/>
      <c r="D1134" s="127" t="n"/>
      <c r="E1134" s="227" t="n"/>
      <c r="F1134" s="227" t="n"/>
      <c r="G1134" s="227" t="n"/>
      <c r="H1134" s="227" t="n"/>
      <c r="I1134" s="227" t="n"/>
      <c r="J1134" s="227" t="n"/>
      <c r="K1134" s="227" t="n"/>
      <c r="L1134" s="227" t="n"/>
      <c r="M1134" s="227" t="n"/>
      <c r="N1134" s="127" t="n"/>
      <c r="O1134" s="227" t="n"/>
      <c r="P1134" s="227" t="n"/>
      <c r="Q1134" s="227" t="n"/>
      <c r="R1134" s="227" t="n"/>
      <c r="S1134" s="227" t="n"/>
      <c r="T1134" s="227" t="n"/>
    </row>
    <row r="1135">
      <c r="A1135" s="145">
        <f>IF($B1135="","",ROW()-5)</f>
        <v/>
      </c>
      <c r="B1135" s="127" t="n"/>
      <c r="C1135" s="223" t="n"/>
      <c r="D1135" s="127" t="n"/>
      <c r="E1135" s="227" t="n"/>
      <c r="F1135" s="227" t="n"/>
      <c r="G1135" s="227" t="n"/>
      <c r="H1135" s="227" t="n"/>
      <c r="I1135" s="227" t="n"/>
      <c r="J1135" s="227" t="n"/>
      <c r="K1135" s="227" t="n"/>
      <c r="L1135" s="227" t="n"/>
      <c r="M1135" s="227" t="n"/>
      <c r="N1135" s="127" t="n"/>
      <c r="O1135" s="227" t="n"/>
      <c r="P1135" s="227" t="n"/>
      <c r="Q1135" s="227" t="n"/>
      <c r="R1135" s="227" t="n"/>
      <c r="S1135" s="227" t="n"/>
      <c r="T1135" s="227" t="n"/>
    </row>
    <row r="1136">
      <c r="A1136" s="145">
        <f>IF($B1136="","",ROW()-5)</f>
        <v/>
      </c>
      <c r="B1136" s="127" t="n"/>
      <c r="C1136" s="223" t="n"/>
      <c r="D1136" s="127" t="n"/>
      <c r="E1136" s="227" t="n"/>
      <c r="F1136" s="227" t="n"/>
      <c r="G1136" s="227" t="n"/>
      <c r="H1136" s="227" t="n"/>
      <c r="I1136" s="227" t="n"/>
      <c r="J1136" s="227" t="n"/>
      <c r="K1136" s="227" t="n"/>
      <c r="L1136" s="227" t="n"/>
      <c r="M1136" s="227" t="n"/>
      <c r="N1136" s="127" t="n"/>
      <c r="O1136" s="227" t="n"/>
      <c r="P1136" s="227" t="n"/>
      <c r="Q1136" s="227" t="n"/>
      <c r="R1136" s="227" t="n"/>
      <c r="S1136" s="227" t="n"/>
      <c r="T1136" s="227" t="n"/>
    </row>
    <row r="1137">
      <c r="A1137" s="145">
        <f>IF($B1137="","",ROW()-5)</f>
        <v/>
      </c>
      <c r="B1137" s="127" t="n"/>
      <c r="C1137" s="223" t="n"/>
      <c r="D1137" s="127" t="n"/>
      <c r="E1137" s="227" t="n"/>
      <c r="F1137" s="227" t="n"/>
      <c r="G1137" s="227" t="n"/>
      <c r="H1137" s="227" t="n"/>
      <c r="I1137" s="227" t="n"/>
      <c r="J1137" s="227" t="n"/>
      <c r="K1137" s="227" t="n"/>
      <c r="L1137" s="227" t="n"/>
      <c r="M1137" s="227" t="n"/>
      <c r="N1137" s="127" t="n"/>
      <c r="O1137" s="227" t="n"/>
      <c r="P1137" s="227" t="n"/>
      <c r="Q1137" s="227" t="n"/>
      <c r="R1137" s="227" t="n"/>
      <c r="S1137" s="227" t="n"/>
      <c r="T1137" s="227" t="n"/>
    </row>
    <row r="1138">
      <c r="A1138" s="145">
        <f>IF($B1138="","",ROW()-5)</f>
        <v/>
      </c>
      <c r="B1138" s="127" t="n"/>
      <c r="C1138" s="223" t="n"/>
      <c r="D1138" s="127" t="n"/>
      <c r="E1138" s="227" t="n"/>
      <c r="F1138" s="227" t="n"/>
      <c r="G1138" s="227" t="n"/>
      <c r="H1138" s="227" t="n"/>
      <c r="I1138" s="227" t="n"/>
      <c r="J1138" s="227" t="n"/>
      <c r="K1138" s="227" t="n"/>
      <c r="L1138" s="227" t="n"/>
      <c r="M1138" s="227" t="n"/>
      <c r="N1138" s="127" t="n"/>
      <c r="O1138" s="227" t="n"/>
      <c r="P1138" s="227" t="n"/>
      <c r="Q1138" s="227" t="n"/>
      <c r="R1138" s="227" t="n"/>
      <c r="S1138" s="227" t="n"/>
      <c r="T1138" s="227" t="n"/>
    </row>
    <row r="1139">
      <c r="A1139" s="145">
        <f>IF($B1139="","",ROW()-5)</f>
        <v/>
      </c>
      <c r="B1139" s="127" t="n"/>
      <c r="C1139" s="223" t="n"/>
      <c r="D1139" s="127" t="n"/>
      <c r="E1139" s="227" t="n"/>
      <c r="F1139" s="227" t="n"/>
      <c r="G1139" s="227" t="n"/>
      <c r="H1139" s="227" t="n"/>
      <c r="I1139" s="227" t="n"/>
      <c r="J1139" s="227" t="n"/>
      <c r="K1139" s="227" t="n"/>
      <c r="L1139" s="227" t="n"/>
      <c r="M1139" s="227" t="n"/>
      <c r="N1139" s="127" t="n"/>
      <c r="O1139" s="227" t="n"/>
      <c r="P1139" s="227" t="n"/>
      <c r="Q1139" s="227" t="n"/>
      <c r="R1139" s="227" t="n"/>
      <c r="S1139" s="227" t="n"/>
      <c r="T1139" s="227" t="n"/>
    </row>
    <row r="1140">
      <c r="A1140" s="145">
        <f>IF($B1140="","",ROW()-5)</f>
        <v/>
      </c>
      <c r="B1140" s="127" t="n"/>
      <c r="C1140" s="223" t="n"/>
      <c r="D1140" s="127" t="n"/>
      <c r="E1140" s="227" t="n"/>
      <c r="F1140" s="227" t="n"/>
      <c r="G1140" s="227" t="n"/>
      <c r="H1140" s="227" t="n"/>
      <c r="I1140" s="227" t="n"/>
      <c r="J1140" s="227" t="n"/>
      <c r="K1140" s="227" t="n"/>
      <c r="L1140" s="227" t="n"/>
      <c r="M1140" s="227" t="n"/>
      <c r="N1140" s="127" t="n"/>
      <c r="O1140" s="227" t="n"/>
      <c r="P1140" s="227" t="n"/>
      <c r="Q1140" s="227" t="n"/>
      <c r="R1140" s="227" t="n"/>
      <c r="S1140" s="227" t="n"/>
      <c r="T1140" s="227" t="n"/>
    </row>
    <row r="1141">
      <c r="A1141" s="145">
        <f>IF($B1141="","",ROW()-5)</f>
        <v/>
      </c>
      <c r="B1141" s="127" t="n"/>
      <c r="C1141" s="223" t="n"/>
      <c r="D1141" s="127" t="n"/>
      <c r="E1141" s="227" t="n"/>
      <c r="F1141" s="227" t="n"/>
      <c r="G1141" s="227" t="n"/>
      <c r="H1141" s="227" t="n"/>
      <c r="I1141" s="227" t="n"/>
      <c r="J1141" s="227" t="n"/>
      <c r="K1141" s="227" t="n"/>
      <c r="L1141" s="227" t="n"/>
      <c r="M1141" s="227" t="n"/>
      <c r="N1141" s="127" t="n"/>
      <c r="O1141" s="227" t="n"/>
      <c r="P1141" s="227" t="n"/>
      <c r="Q1141" s="227" t="n"/>
      <c r="R1141" s="227" t="n"/>
      <c r="S1141" s="227" t="n"/>
      <c r="T1141" s="227" t="n"/>
    </row>
    <row r="1142">
      <c r="A1142" s="145">
        <f>IF($B1142="","",ROW()-5)</f>
        <v/>
      </c>
      <c r="B1142" s="127" t="n"/>
      <c r="C1142" s="223" t="n"/>
      <c r="D1142" s="127" t="n"/>
      <c r="E1142" s="227" t="n"/>
      <c r="F1142" s="227" t="n"/>
      <c r="G1142" s="227" t="n"/>
      <c r="H1142" s="227" t="n"/>
      <c r="I1142" s="227" t="n"/>
      <c r="J1142" s="227" t="n"/>
      <c r="K1142" s="227" t="n"/>
      <c r="L1142" s="227" t="n"/>
      <c r="M1142" s="227" t="n"/>
      <c r="N1142" s="127" t="n"/>
      <c r="O1142" s="227" t="n"/>
      <c r="P1142" s="227" t="n"/>
      <c r="Q1142" s="227" t="n"/>
      <c r="R1142" s="227" t="n"/>
      <c r="S1142" s="227" t="n"/>
      <c r="T1142" s="227" t="n"/>
    </row>
    <row r="1143">
      <c r="A1143" s="145">
        <f>IF($B1143="","",ROW()-5)</f>
        <v/>
      </c>
      <c r="B1143" s="127" t="n"/>
      <c r="C1143" s="223" t="n"/>
      <c r="D1143" s="127" t="n"/>
      <c r="E1143" s="227" t="n"/>
      <c r="F1143" s="227" t="n"/>
      <c r="G1143" s="227" t="n"/>
      <c r="H1143" s="227" t="n"/>
      <c r="I1143" s="227" t="n"/>
      <c r="J1143" s="227" t="n"/>
      <c r="K1143" s="227" t="n"/>
      <c r="L1143" s="227" t="n"/>
      <c r="M1143" s="227" t="n"/>
      <c r="N1143" s="127" t="n"/>
      <c r="O1143" s="227" t="n"/>
      <c r="P1143" s="227" t="n"/>
      <c r="Q1143" s="227" t="n"/>
      <c r="R1143" s="227" t="n"/>
      <c r="S1143" s="227" t="n"/>
      <c r="T1143" s="227" t="n"/>
    </row>
    <row r="1144">
      <c r="A1144" s="145">
        <f>IF($B1144="","",ROW()-5)</f>
        <v/>
      </c>
      <c r="B1144" s="127" t="n"/>
      <c r="C1144" s="223" t="n"/>
      <c r="D1144" s="127" t="n"/>
      <c r="E1144" s="227" t="n"/>
      <c r="F1144" s="227" t="n"/>
      <c r="G1144" s="227" t="n"/>
      <c r="H1144" s="227" t="n"/>
      <c r="I1144" s="227" t="n"/>
      <c r="J1144" s="227" t="n"/>
      <c r="K1144" s="227" t="n"/>
      <c r="L1144" s="227" t="n"/>
      <c r="M1144" s="227" t="n"/>
      <c r="N1144" s="127" t="n"/>
      <c r="O1144" s="227" t="n"/>
      <c r="P1144" s="227" t="n"/>
      <c r="Q1144" s="227" t="n"/>
      <c r="R1144" s="227" t="n"/>
      <c r="S1144" s="227" t="n"/>
      <c r="T1144" s="227" t="n"/>
    </row>
    <row r="1145">
      <c r="A1145" s="145">
        <f>IF($B1145="","",ROW()-5)</f>
        <v/>
      </c>
      <c r="B1145" s="127" t="n"/>
      <c r="C1145" s="223" t="n"/>
      <c r="D1145" s="127" t="n"/>
      <c r="E1145" s="227" t="n"/>
      <c r="F1145" s="227" t="n"/>
      <c r="G1145" s="227" t="n"/>
      <c r="H1145" s="227" t="n"/>
      <c r="I1145" s="227" t="n"/>
      <c r="J1145" s="227" t="n"/>
      <c r="K1145" s="227" t="n"/>
      <c r="L1145" s="227" t="n"/>
      <c r="M1145" s="227" t="n"/>
      <c r="N1145" s="127" t="n"/>
      <c r="O1145" s="227" t="n"/>
      <c r="P1145" s="227" t="n"/>
      <c r="Q1145" s="227" t="n"/>
      <c r="R1145" s="227" t="n"/>
      <c r="S1145" s="227" t="n"/>
      <c r="T1145" s="227" t="n"/>
    </row>
    <row r="1146">
      <c r="A1146" s="145">
        <f>IF($B1146="","",ROW()-5)</f>
        <v/>
      </c>
      <c r="B1146" s="127" t="n"/>
      <c r="C1146" s="223" t="n"/>
      <c r="D1146" s="127" t="n"/>
      <c r="E1146" s="227" t="n"/>
      <c r="F1146" s="227" t="n"/>
      <c r="G1146" s="227" t="n"/>
      <c r="H1146" s="227" t="n"/>
      <c r="I1146" s="227" t="n"/>
      <c r="J1146" s="227" t="n"/>
      <c r="K1146" s="227" t="n"/>
      <c r="L1146" s="227" t="n"/>
      <c r="M1146" s="227" t="n"/>
      <c r="N1146" s="127" t="n"/>
      <c r="O1146" s="227" t="n"/>
      <c r="P1146" s="227" t="n"/>
      <c r="Q1146" s="227" t="n"/>
      <c r="R1146" s="227" t="n"/>
      <c r="S1146" s="227" t="n"/>
      <c r="T1146" s="227" t="n"/>
    </row>
    <row r="1147">
      <c r="A1147" s="145">
        <f>IF($B1147="","",ROW()-5)</f>
        <v/>
      </c>
      <c r="B1147" s="127" t="n"/>
      <c r="C1147" s="223" t="n"/>
      <c r="D1147" s="127" t="n"/>
      <c r="E1147" s="227" t="n"/>
      <c r="F1147" s="227" t="n"/>
      <c r="G1147" s="227" t="n"/>
      <c r="H1147" s="227" t="n"/>
      <c r="I1147" s="227" t="n"/>
      <c r="J1147" s="227" t="n"/>
      <c r="K1147" s="227" t="n"/>
      <c r="L1147" s="227" t="n"/>
      <c r="M1147" s="227" t="n"/>
      <c r="N1147" s="127" t="n"/>
      <c r="O1147" s="227" t="n"/>
      <c r="P1147" s="227" t="n"/>
      <c r="Q1147" s="227" t="n"/>
      <c r="R1147" s="227" t="n"/>
      <c r="S1147" s="227" t="n"/>
      <c r="T1147" s="227" t="n"/>
    </row>
    <row r="1148">
      <c r="A1148" s="145">
        <f>IF($B1148="","",ROW()-5)</f>
        <v/>
      </c>
      <c r="B1148" s="127" t="n"/>
      <c r="C1148" s="223" t="n"/>
      <c r="D1148" s="127" t="n"/>
      <c r="E1148" s="227" t="n"/>
      <c r="F1148" s="227" t="n"/>
      <c r="G1148" s="227" t="n"/>
      <c r="H1148" s="227" t="n"/>
      <c r="I1148" s="227" t="n"/>
      <c r="J1148" s="227" t="n"/>
      <c r="K1148" s="227" t="n"/>
      <c r="L1148" s="227" t="n"/>
      <c r="M1148" s="227" t="n"/>
      <c r="N1148" s="127" t="n"/>
      <c r="O1148" s="227" t="n"/>
      <c r="P1148" s="227" t="n"/>
      <c r="Q1148" s="227" t="n"/>
      <c r="R1148" s="227" t="n"/>
      <c r="S1148" s="227" t="n"/>
      <c r="T1148" s="227" t="n"/>
    </row>
    <row r="1149">
      <c r="A1149" s="145">
        <f>IF($B1149="","",ROW()-5)</f>
        <v/>
      </c>
      <c r="B1149" s="127" t="n"/>
      <c r="C1149" s="223" t="n"/>
      <c r="D1149" s="127" t="n"/>
      <c r="E1149" s="227" t="n"/>
      <c r="F1149" s="227" t="n"/>
      <c r="G1149" s="227" t="n"/>
      <c r="H1149" s="227" t="n"/>
      <c r="I1149" s="227" t="n"/>
      <c r="J1149" s="227" t="n"/>
      <c r="K1149" s="227" t="n"/>
      <c r="L1149" s="227" t="n"/>
      <c r="M1149" s="227" t="n"/>
      <c r="N1149" s="127" t="n"/>
      <c r="O1149" s="227" t="n"/>
      <c r="P1149" s="227" t="n"/>
      <c r="Q1149" s="227" t="n"/>
      <c r="R1149" s="227" t="n"/>
      <c r="S1149" s="227" t="n"/>
      <c r="T1149" s="227" t="n"/>
    </row>
    <row r="1150">
      <c r="A1150" s="145">
        <f>IF($B1150="","",ROW()-5)</f>
        <v/>
      </c>
      <c r="B1150" s="127" t="n"/>
      <c r="C1150" s="223" t="n"/>
      <c r="D1150" s="127" t="n"/>
      <c r="E1150" s="227" t="n"/>
      <c r="F1150" s="227" t="n"/>
      <c r="G1150" s="227" t="n"/>
      <c r="H1150" s="227" t="n"/>
      <c r="I1150" s="227" t="n"/>
      <c r="J1150" s="227" t="n"/>
      <c r="K1150" s="227" t="n"/>
      <c r="L1150" s="227" t="n"/>
      <c r="M1150" s="227" t="n"/>
      <c r="N1150" s="127" t="n"/>
      <c r="O1150" s="227" t="n"/>
      <c r="P1150" s="227" t="n"/>
      <c r="Q1150" s="227" t="n"/>
      <c r="R1150" s="227" t="n"/>
      <c r="S1150" s="227" t="n"/>
      <c r="T1150" s="227" t="n"/>
    </row>
    <row r="1151">
      <c r="A1151" s="145">
        <f>IF($B1151="","",ROW()-5)</f>
        <v/>
      </c>
      <c r="B1151" s="127" t="n"/>
      <c r="C1151" s="223" t="n"/>
      <c r="D1151" s="127" t="n"/>
      <c r="E1151" s="227" t="n"/>
      <c r="F1151" s="227" t="n"/>
      <c r="G1151" s="227" t="n"/>
      <c r="H1151" s="227" t="n"/>
      <c r="I1151" s="227" t="n"/>
      <c r="J1151" s="227" t="n"/>
      <c r="K1151" s="227" t="n"/>
      <c r="L1151" s="227" t="n"/>
      <c r="M1151" s="227" t="n"/>
      <c r="N1151" s="127" t="n"/>
      <c r="O1151" s="227" t="n"/>
      <c r="P1151" s="227" t="n"/>
      <c r="Q1151" s="227" t="n"/>
      <c r="R1151" s="227" t="n"/>
      <c r="S1151" s="227" t="n"/>
      <c r="T1151" s="227" t="n"/>
    </row>
    <row r="1152">
      <c r="A1152" s="145">
        <f>IF($B1152="","",ROW()-5)</f>
        <v/>
      </c>
      <c r="B1152" s="127" t="n"/>
      <c r="C1152" s="223" t="n"/>
      <c r="D1152" s="127" t="n"/>
      <c r="E1152" s="227" t="n"/>
      <c r="F1152" s="227" t="n"/>
      <c r="G1152" s="227" t="n"/>
      <c r="H1152" s="227" t="n"/>
      <c r="I1152" s="227" t="n"/>
      <c r="J1152" s="227" t="n"/>
      <c r="K1152" s="227" t="n"/>
      <c r="L1152" s="227" t="n"/>
      <c r="M1152" s="227" t="n"/>
      <c r="N1152" s="127" t="n"/>
      <c r="O1152" s="227" t="n"/>
      <c r="P1152" s="227" t="n"/>
      <c r="Q1152" s="227" t="n"/>
      <c r="R1152" s="227" t="n"/>
      <c r="S1152" s="227" t="n"/>
      <c r="T1152" s="227" t="n"/>
    </row>
    <row r="1153">
      <c r="A1153" s="145">
        <f>IF($B1153="","",ROW()-5)</f>
        <v/>
      </c>
      <c r="B1153" s="127" t="n"/>
      <c r="C1153" s="223" t="n"/>
      <c r="D1153" s="127" t="n"/>
      <c r="E1153" s="227" t="n"/>
      <c r="F1153" s="227" t="n"/>
      <c r="G1153" s="227" t="n"/>
      <c r="H1153" s="227" t="n"/>
      <c r="I1153" s="227" t="n"/>
      <c r="J1153" s="227" t="n"/>
      <c r="K1153" s="227" t="n"/>
      <c r="L1153" s="227" t="n"/>
      <c r="M1153" s="227" t="n"/>
      <c r="N1153" s="127" t="n"/>
      <c r="O1153" s="227" t="n"/>
      <c r="P1153" s="227" t="n"/>
      <c r="Q1153" s="227" t="n"/>
      <c r="R1153" s="227" t="n"/>
      <c r="S1153" s="227" t="n"/>
      <c r="T1153" s="227" t="n"/>
    </row>
    <row r="1154">
      <c r="A1154" s="145">
        <f>IF($B1154="","",ROW()-5)</f>
        <v/>
      </c>
      <c r="B1154" s="127" t="n"/>
      <c r="C1154" s="223" t="n"/>
      <c r="D1154" s="127" t="n"/>
      <c r="E1154" s="227" t="n"/>
      <c r="F1154" s="227" t="n"/>
      <c r="G1154" s="227" t="n"/>
      <c r="H1154" s="227" t="n"/>
      <c r="I1154" s="227" t="n"/>
      <c r="J1154" s="227" t="n"/>
      <c r="K1154" s="227" t="n"/>
      <c r="L1154" s="227" t="n"/>
      <c r="M1154" s="227" t="n"/>
      <c r="N1154" s="127" t="n"/>
      <c r="O1154" s="227" t="n"/>
      <c r="P1154" s="227" t="n"/>
      <c r="Q1154" s="227" t="n"/>
      <c r="R1154" s="227" t="n"/>
      <c r="S1154" s="227" t="n"/>
      <c r="T1154" s="227" t="n"/>
    </row>
    <row r="1155">
      <c r="A1155" s="145">
        <f>IF($B1155="","",ROW()-5)</f>
        <v/>
      </c>
      <c r="B1155" s="127" t="n"/>
      <c r="C1155" s="223" t="n"/>
      <c r="D1155" s="127" t="n"/>
      <c r="E1155" s="227" t="n"/>
      <c r="F1155" s="227" t="n"/>
      <c r="G1155" s="227" t="n"/>
      <c r="H1155" s="227" t="n"/>
      <c r="I1155" s="227" t="n"/>
      <c r="J1155" s="227" t="n"/>
      <c r="K1155" s="227" t="n"/>
      <c r="L1155" s="227" t="n"/>
      <c r="M1155" s="227" t="n"/>
      <c r="N1155" s="127" t="n"/>
      <c r="O1155" s="227" t="n"/>
      <c r="P1155" s="227" t="n"/>
      <c r="Q1155" s="227" t="n"/>
      <c r="R1155" s="227" t="n"/>
      <c r="S1155" s="227" t="n"/>
      <c r="T1155" s="227" t="n"/>
    </row>
    <row r="1156">
      <c r="A1156" s="145">
        <f>IF($B1156="","",ROW()-5)</f>
        <v/>
      </c>
      <c r="B1156" s="127" t="n"/>
      <c r="C1156" s="223" t="n"/>
      <c r="D1156" s="127" t="n"/>
      <c r="E1156" s="227" t="n"/>
      <c r="F1156" s="227" t="n"/>
      <c r="G1156" s="227" t="n"/>
      <c r="H1156" s="227" t="n"/>
      <c r="I1156" s="227" t="n"/>
      <c r="J1156" s="227" t="n"/>
      <c r="K1156" s="227" t="n"/>
      <c r="L1156" s="227" t="n"/>
      <c r="M1156" s="227" t="n"/>
      <c r="N1156" s="127" t="n"/>
      <c r="O1156" s="227" t="n"/>
      <c r="P1156" s="227" t="n"/>
      <c r="Q1156" s="227" t="n"/>
      <c r="R1156" s="227" t="n"/>
      <c r="S1156" s="227" t="n"/>
      <c r="T1156" s="227" t="n"/>
    </row>
    <row r="1157">
      <c r="A1157" s="145">
        <f>IF($B1157="","",ROW()-5)</f>
        <v/>
      </c>
      <c r="B1157" s="127" t="n"/>
      <c r="C1157" s="223" t="n"/>
      <c r="D1157" s="127" t="n"/>
      <c r="E1157" s="227" t="n"/>
      <c r="F1157" s="227" t="n"/>
      <c r="G1157" s="227" t="n"/>
      <c r="H1157" s="227" t="n"/>
      <c r="I1157" s="227" t="n"/>
      <c r="J1157" s="227" t="n"/>
      <c r="K1157" s="227" t="n"/>
      <c r="L1157" s="227" t="n"/>
      <c r="M1157" s="227" t="n"/>
      <c r="N1157" s="127" t="n"/>
      <c r="O1157" s="227" t="n"/>
      <c r="P1157" s="227" t="n"/>
      <c r="Q1157" s="227" t="n"/>
      <c r="R1157" s="227" t="n"/>
      <c r="S1157" s="227" t="n"/>
      <c r="T1157" s="227" t="n"/>
    </row>
    <row r="1158">
      <c r="A1158" s="145">
        <f>IF($B1158="","",ROW()-5)</f>
        <v/>
      </c>
      <c r="B1158" s="127" t="n"/>
      <c r="C1158" s="223" t="n"/>
      <c r="D1158" s="127" t="n"/>
      <c r="E1158" s="227" t="n"/>
      <c r="F1158" s="227" t="n"/>
      <c r="G1158" s="227" t="n"/>
      <c r="H1158" s="227" t="n"/>
      <c r="I1158" s="227" t="n"/>
      <c r="J1158" s="227" t="n"/>
      <c r="K1158" s="227" t="n"/>
      <c r="L1158" s="227" t="n"/>
      <c r="M1158" s="227" t="n"/>
      <c r="N1158" s="127" t="n"/>
      <c r="O1158" s="227" t="n"/>
      <c r="P1158" s="227" t="n"/>
      <c r="Q1158" s="227" t="n"/>
      <c r="R1158" s="227" t="n"/>
      <c r="S1158" s="227" t="n"/>
      <c r="T1158" s="227" t="n"/>
    </row>
    <row r="1159">
      <c r="A1159" s="145">
        <f>IF($B1159="","",ROW()-5)</f>
        <v/>
      </c>
      <c r="B1159" s="127" t="n"/>
      <c r="C1159" s="223" t="n"/>
      <c r="D1159" s="127" t="n"/>
      <c r="E1159" s="227" t="n"/>
      <c r="F1159" s="227" t="n"/>
      <c r="G1159" s="227" t="n"/>
      <c r="H1159" s="227" t="n"/>
      <c r="I1159" s="227" t="n"/>
      <c r="J1159" s="227" t="n"/>
      <c r="K1159" s="227" t="n"/>
      <c r="L1159" s="227" t="n"/>
      <c r="M1159" s="227" t="n"/>
      <c r="N1159" s="127" t="n"/>
      <c r="O1159" s="227" t="n"/>
      <c r="P1159" s="227" t="n"/>
      <c r="Q1159" s="227" t="n"/>
      <c r="R1159" s="227" t="n"/>
      <c r="S1159" s="227" t="n"/>
      <c r="T1159" s="227" t="n"/>
    </row>
    <row r="1160">
      <c r="A1160" s="145">
        <f>IF($B1160="","",ROW()-5)</f>
        <v/>
      </c>
      <c r="B1160" s="127" t="n"/>
      <c r="C1160" s="223" t="n"/>
      <c r="D1160" s="127" t="n"/>
      <c r="E1160" s="227" t="n"/>
      <c r="F1160" s="227" t="n"/>
      <c r="G1160" s="227" t="n"/>
      <c r="H1160" s="227" t="n"/>
      <c r="I1160" s="227" t="n"/>
      <c r="J1160" s="227" t="n"/>
      <c r="K1160" s="227" t="n"/>
      <c r="L1160" s="227" t="n"/>
      <c r="M1160" s="227" t="n"/>
      <c r="N1160" s="127" t="n"/>
      <c r="O1160" s="227" t="n"/>
      <c r="P1160" s="227" t="n"/>
      <c r="Q1160" s="227" t="n"/>
      <c r="R1160" s="227" t="n"/>
      <c r="S1160" s="227" t="n"/>
      <c r="T1160" s="227" t="n"/>
    </row>
    <row r="1161">
      <c r="A1161" s="145">
        <f>IF($B1161="","",ROW()-5)</f>
        <v/>
      </c>
      <c r="B1161" s="127" t="n"/>
      <c r="C1161" s="223" t="n"/>
      <c r="D1161" s="127" t="n"/>
      <c r="E1161" s="227" t="n"/>
      <c r="F1161" s="227" t="n"/>
      <c r="G1161" s="227" t="n"/>
      <c r="H1161" s="227" t="n"/>
      <c r="I1161" s="227" t="n"/>
      <c r="J1161" s="227" t="n"/>
      <c r="K1161" s="227" t="n"/>
      <c r="L1161" s="227" t="n"/>
      <c r="M1161" s="227" t="n"/>
      <c r="N1161" s="127" t="n"/>
      <c r="O1161" s="227" t="n"/>
      <c r="P1161" s="227" t="n"/>
      <c r="Q1161" s="227" t="n"/>
      <c r="R1161" s="227" t="n"/>
      <c r="S1161" s="227" t="n"/>
      <c r="T1161" s="227" t="n"/>
    </row>
    <row r="1162">
      <c r="A1162" s="145">
        <f>IF($B1162="","",ROW()-5)</f>
        <v/>
      </c>
      <c r="B1162" s="127" t="n"/>
      <c r="C1162" s="223" t="n"/>
      <c r="D1162" s="127" t="n"/>
      <c r="E1162" s="227" t="n"/>
      <c r="F1162" s="227" t="n"/>
      <c r="G1162" s="227" t="n"/>
      <c r="H1162" s="227" t="n"/>
      <c r="I1162" s="227" t="n"/>
      <c r="J1162" s="227" t="n"/>
      <c r="K1162" s="227" t="n"/>
      <c r="L1162" s="227" t="n"/>
      <c r="M1162" s="227" t="n"/>
      <c r="N1162" s="127" t="n"/>
      <c r="O1162" s="227" t="n"/>
      <c r="P1162" s="227" t="n"/>
      <c r="Q1162" s="227" t="n"/>
      <c r="R1162" s="227" t="n"/>
      <c r="S1162" s="227" t="n"/>
      <c r="T1162" s="227" t="n"/>
    </row>
    <row r="1163">
      <c r="A1163" s="145">
        <f>IF($B1163="","",ROW()-5)</f>
        <v/>
      </c>
      <c r="B1163" s="127" t="n"/>
      <c r="C1163" s="223" t="n"/>
      <c r="D1163" s="127" t="n"/>
      <c r="E1163" s="227" t="n"/>
      <c r="F1163" s="227" t="n"/>
      <c r="G1163" s="227" t="n"/>
      <c r="H1163" s="227" t="n"/>
      <c r="I1163" s="227" t="n"/>
      <c r="J1163" s="227" t="n"/>
      <c r="K1163" s="227" t="n"/>
      <c r="L1163" s="227" t="n"/>
      <c r="M1163" s="227" t="n"/>
      <c r="N1163" s="127" t="n"/>
      <c r="O1163" s="227" t="n"/>
      <c r="P1163" s="227" t="n"/>
      <c r="Q1163" s="227" t="n"/>
      <c r="R1163" s="227" t="n"/>
      <c r="S1163" s="227" t="n"/>
      <c r="T1163" s="227" t="n"/>
    </row>
    <row r="1164">
      <c r="A1164" s="145">
        <f>IF($B1164="","",ROW()-5)</f>
        <v/>
      </c>
      <c r="B1164" s="127" t="n"/>
      <c r="C1164" s="223" t="n"/>
      <c r="D1164" s="127" t="n"/>
      <c r="E1164" s="227" t="n"/>
      <c r="F1164" s="227" t="n"/>
      <c r="G1164" s="227" t="n"/>
      <c r="H1164" s="227" t="n"/>
      <c r="I1164" s="227" t="n"/>
      <c r="J1164" s="227" t="n"/>
      <c r="K1164" s="227" t="n"/>
      <c r="L1164" s="227" t="n"/>
      <c r="M1164" s="227" t="n"/>
      <c r="N1164" s="127" t="n"/>
      <c r="O1164" s="227" t="n"/>
      <c r="P1164" s="227" t="n"/>
      <c r="Q1164" s="227" t="n"/>
      <c r="R1164" s="227" t="n"/>
      <c r="S1164" s="227" t="n"/>
      <c r="T1164" s="227" t="n"/>
    </row>
    <row r="1165">
      <c r="A1165" s="145">
        <f>IF($B1165="","",ROW()-5)</f>
        <v/>
      </c>
      <c r="B1165" s="127" t="n"/>
      <c r="C1165" s="223" t="n"/>
      <c r="D1165" s="127" t="n"/>
      <c r="E1165" s="227" t="n"/>
      <c r="F1165" s="227" t="n"/>
      <c r="G1165" s="227" t="n"/>
      <c r="H1165" s="227" t="n"/>
      <c r="I1165" s="227" t="n"/>
      <c r="J1165" s="227" t="n"/>
      <c r="K1165" s="227" t="n"/>
      <c r="L1165" s="227" t="n"/>
      <c r="M1165" s="227" t="n"/>
      <c r="N1165" s="127" t="n"/>
      <c r="O1165" s="227" t="n"/>
      <c r="P1165" s="227" t="n"/>
      <c r="Q1165" s="227" t="n"/>
      <c r="R1165" s="227" t="n"/>
      <c r="S1165" s="227" t="n"/>
      <c r="T1165" s="227" t="n"/>
    </row>
    <row r="1166">
      <c r="A1166" s="145">
        <f>IF($B1166="","",ROW()-5)</f>
        <v/>
      </c>
      <c r="B1166" s="127" t="n"/>
      <c r="C1166" s="223" t="n"/>
      <c r="D1166" s="127" t="n"/>
      <c r="E1166" s="227" t="n"/>
      <c r="F1166" s="227" t="n"/>
      <c r="G1166" s="227" t="n"/>
      <c r="H1166" s="227" t="n"/>
      <c r="I1166" s="227" t="n"/>
      <c r="J1166" s="227" t="n"/>
      <c r="K1166" s="227" t="n"/>
      <c r="L1166" s="227" t="n"/>
      <c r="M1166" s="227" t="n"/>
      <c r="N1166" s="127" t="n"/>
      <c r="O1166" s="227" t="n"/>
      <c r="P1166" s="227" t="n"/>
      <c r="Q1166" s="227" t="n"/>
      <c r="R1166" s="227" t="n"/>
      <c r="S1166" s="227" t="n"/>
      <c r="T1166" s="227" t="n"/>
    </row>
    <row r="1167">
      <c r="A1167" s="145">
        <f>IF($B1167="","",ROW()-5)</f>
        <v/>
      </c>
      <c r="B1167" s="127" t="n"/>
      <c r="C1167" s="223" t="n"/>
      <c r="D1167" s="127" t="n"/>
      <c r="E1167" s="227" t="n"/>
      <c r="F1167" s="227" t="n"/>
      <c r="G1167" s="227" t="n"/>
      <c r="H1167" s="227" t="n"/>
      <c r="I1167" s="227" t="n"/>
      <c r="J1167" s="227" t="n"/>
      <c r="K1167" s="227" t="n"/>
      <c r="L1167" s="227" t="n"/>
      <c r="M1167" s="227" t="n"/>
      <c r="N1167" s="127" t="n"/>
      <c r="O1167" s="227" t="n"/>
      <c r="P1167" s="227" t="n"/>
      <c r="Q1167" s="227" t="n"/>
      <c r="R1167" s="227" t="n"/>
      <c r="S1167" s="227" t="n"/>
      <c r="T1167" s="227" t="n"/>
    </row>
    <row r="1168">
      <c r="A1168" s="145">
        <f>IF($B1168="","",ROW()-5)</f>
        <v/>
      </c>
      <c r="B1168" s="127" t="n"/>
      <c r="C1168" s="223" t="n"/>
      <c r="D1168" s="127" t="n"/>
      <c r="E1168" s="227" t="n"/>
      <c r="F1168" s="227" t="n"/>
      <c r="G1168" s="227" t="n"/>
      <c r="H1168" s="227" t="n"/>
      <c r="I1168" s="227" t="n"/>
      <c r="J1168" s="227" t="n"/>
      <c r="K1168" s="227" t="n"/>
      <c r="L1168" s="227" t="n"/>
      <c r="M1168" s="227" t="n"/>
      <c r="N1168" s="127" t="n"/>
      <c r="O1168" s="227" t="n"/>
      <c r="P1168" s="227" t="n"/>
      <c r="Q1168" s="227" t="n"/>
      <c r="R1168" s="227" t="n"/>
      <c r="S1168" s="227" t="n"/>
      <c r="T1168" s="227" t="n"/>
    </row>
    <row r="1169">
      <c r="A1169" s="145">
        <f>IF($B1169="","",ROW()-5)</f>
        <v/>
      </c>
      <c r="B1169" s="127" t="n"/>
      <c r="C1169" s="223" t="n"/>
      <c r="D1169" s="127" t="n"/>
      <c r="E1169" s="227" t="n"/>
      <c r="F1169" s="227" t="n"/>
      <c r="G1169" s="227" t="n"/>
      <c r="H1169" s="227" t="n"/>
      <c r="I1169" s="227" t="n"/>
      <c r="J1169" s="227" t="n"/>
      <c r="K1169" s="227" t="n"/>
      <c r="L1169" s="227" t="n"/>
      <c r="M1169" s="227" t="n"/>
      <c r="N1169" s="127" t="n"/>
      <c r="O1169" s="227" t="n"/>
      <c r="P1169" s="227" t="n"/>
      <c r="Q1169" s="227" t="n"/>
      <c r="R1169" s="227" t="n"/>
      <c r="S1169" s="227" t="n"/>
      <c r="T1169" s="227" t="n"/>
    </row>
    <row r="1170">
      <c r="A1170" s="145">
        <f>IF($B1170="","",ROW()-5)</f>
        <v/>
      </c>
      <c r="B1170" s="127" t="n"/>
      <c r="C1170" s="223" t="n"/>
      <c r="D1170" s="127" t="n"/>
      <c r="E1170" s="227" t="n"/>
      <c r="F1170" s="227" t="n"/>
      <c r="G1170" s="227" t="n"/>
      <c r="H1170" s="227" t="n"/>
      <c r="I1170" s="227" t="n"/>
      <c r="J1170" s="227" t="n"/>
      <c r="K1170" s="227" t="n"/>
      <c r="L1170" s="227" t="n"/>
      <c r="M1170" s="227" t="n"/>
      <c r="N1170" s="127" t="n"/>
      <c r="O1170" s="227" t="n"/>
      <c r="P1170" s="227" t="n"/>
      <c r="Q1170" s="227" t="n"/>
      <c r="R1170" s="227" t="n"/>
      <c r="S1170" s="227" t="n"/>
      <c r="T1170" s="227" t="n"/>
    </row>
    <row r="1171">
      <c r="A1171" s="145">
        <f>IF($B1171="","",ROW()-5)</f>
        <v/>
      </c>
      <c r="B1171" s="127" t="n"/>
      <c r="C1171" s="223" t="n"/>
      <c r="D1171" s="127" t="n"/>
      <c r="E1171" s="227" t="n"/>
      <c r="F1171" s="227" t="n"/>
      <c r="G1171" s="227" t="n"/>
      <c r="H1171" s="227" t="n"/>
      <c r="I1171" s="227" t="n"/>
      <c r="J1171" s="227" t="n"/>
      <c r="K1171" s="227" t="n"/>
      <c r="L1171" s="227" t="n"/>
      <c r="M1171" s="227" t="n"/>
      <c r="N1171" s="127" t="n"/>
      <c r="O1171" s="227" t="n"/>
      <c r="P1171" s="227" t="n"/>
      <c r="Q1171" s="227" t="n"/>
      <c r="R1171" s="227" t="n"/>
      <c r="S1171" s="227" t="n"/>
      <c r="T1171" s="227" t="n"/>
    </row>
    <row r="1172">
      <c r="A1172" s="145">
        <f>IF($B1172="","",ROW()-5)</f>
        <v/>
      </c>
      <c r="B1172" s="127" t="n"/>
      <c r="C1172" s="223" t="n"/>
      <c r="D1172" s="127" t="n"/>
      <c r="E1172" s="227" t="n"/>
      <c r="F1172" s="227" t="n"/>
      <c r="G1172" s="227" t="n"/>
      <c r="H1172" s="227" t="n"/>
      <c r="I1172" s="227" t="n"/>
      <c r="J1172" s="227" t="n"/>
      <c r="K1172" s="227" t="n"/>
      <c r="L1172" s="227" t="n"/>
      <c r="M1172" s="227" t="n"/>
      <c r="N1172" s="127" t="n"/>
      <c r="O1172" s="227" t="n"/>
      <c r="P1172" s="227" t="n"/>
      <c r="Q1172" s="227" t="n"/>
      <c r="R1172" s="227" t="n"/>
      <c r="S1172" s="227" t="n"/>
      <c r="T1172" s="227" t="n"/>
    </row>
    <row r="1173">
      <c r="A1173" s="145">
        <f>IF($B1173="","",ROW()-5)</f>
        <v/>
      </c>
      <c r="B1173" s="127" t="n"/>
      <c r="C1173" s="223" t="n"/>
      <c r="D1173" s="127" t="n"/>
      <c r="E1173" s="227" t="n"/>
      <c r="F1173" s="227" t="n"/>
      <c r="G1173" s="227" t="n"/>
      <c r="H1173" s="227" t="n"/>
      <c r="I1173" s="227" t="n"/>
      <c r="J1173" s="227" t="n"/>
      <c r="K1173" s="227" t="n"/>
      <c r="L1173" s="227" t="n"/>
      <c r="M1173" s="227" t="n"/>
      <c r="N1173" s="127" t="n"/>
      <c r="O1173" s="227" t="n"/>
      <c r="P1173" s="227" t="n"/>
      <c r="Q1173" s="227" t="n"/>
      <c r="R1173" s="227" t="n"/>
      <c r="S1173" s="227" t="n"/>
      <c r="T1173" s="227" t="n"/>
    </row>
    <row r="1174">
      <c r="A1174" s="145">
        <f>IF($B1174="","",ROW()-5)</f>
        <v/>
      </c>
      <c r="B1174" s="127" t="n"/>
      <c r="C1174" s="223" t="n"/>
      <c r="D1174" s="127" t="n"/>
      <c r="E1174" s="227" t="n"/>
      <c r="F1174" s="227" t="n"/>
      <c r="G1174" s="227" t="n"/>
      <c r="H1174" s="227" t="n"/>
      <c r="I1174" s="227" t="n"/>
      <c r="J1174" s="227" t="n"/>
      <c r="K1174" s="227" t="n"/>
      <c r="L1174" s="227" t="n"/>
      <c r="M1174" s="227" t="n"/>
      <c r="N1174" s="127" t="n"/>
      <c r="O1174" s="227" t="n"/>
      <c r="P1174" s="227" t="n"/>
      <c r="Q1174" s="227" t="n"/>
      <c r="R1174" s="227" t="n"/>
      <c r="S1174" s="227" t="n"/>
      <c r="T1174" s="227" t="n"/>
    </row>
    <row r="1175">
      <c r="A1175" s="145">
        <f>IF($B1175="","",ROW()-5)</f>
        <v/>
      </c>
      <c r="B1175" s="127" t="n"/>
      <c r="C1175" s="223" t="n"/>
      <c r="D1175" s="127" t="n"/>
      <c r="E1175" s="227" t="n"/>
      <c r="F1175" s="227" t="n"/>
      <c r="G1175" s="227" t="n"/>
      <c r="H1175" s="227" t="n"/>
      <c r="I1175" s="227" t="n"/>
      <c r="J1175" s="227" t="n"/>
      <c r="K1175" s="227" t="n"/>
      <c r="L1175" s="227" t="n"/>
      <c r="M1175" s="227" t="n"/>
      <c r="N1175" s="127" t="n"/>
      <c r="O1175" s="227" t="n"/>
      <c r="P1175" s="227" t="n"/>
      <c r="Q1175" s="227" t="n"/>
      <c r="R1175" s="227" t="n"/>
      <c r="S1175" s="227" t="n"/>
      <c r="T1175" s="227" t="n"/>
    </row>
    <row r="1176">
      <c r="A1176" s="145">
        <f>IF($B1176="","",ROW()-5)</f>
        <v/>
      </c>
      <c r="B1176" s="127" t="n"/>
      <c r="C1176" s="223" t="n"/>
      <c r="D1176" s="127" t="n"/>
      <c r="E1176" s="227" t="n"/>
      <c r="F1176" s="227" t="n"/>
      <c r="G1176" s="227" t="n"/>
      <c r="H1176" s="227" t="n"/>
      <c r="I1176" s="227" t="n"/>
      <c r="J1176" s="227" t="n"/>
      <c r="K1176" s="227" t="n"/>
      <c r="L1176" s="227" t="n"/>
      <c r="M1176" s="227" t="n"/>
      <c r="N1176" s="127" t="n"/>
      <c r="O1176" s="227" t="n"/>
      <c r="P1176" s="227" t="n"/>
      <c r="Q1176" s="227" t="n"/>
      <c r="R1176" s="227" t="n"/>
      <c r="S1176" s="227" t="n"/>
      <c r="T1176" s="227" t="n"/>
    </row>
    <row r="1177">
      <c r="A1177" s="145">
        <f>IF($B1177="","",ROW()-5)</f>
        <v/>
      </c>
      <c r="B1177" s="127" t="n"/>
      <c r="C1177" s="223" t="n"/>
      <c r="D1177" s="127" t="n"/>
      <c r="E1177" s="227" t="n"/>
      <c r="F1177" s="227" t="n"/>
      <c r="G1177" s="227" t="n"/>
      <c r="H1177" s="227" t="n"/>
      <c r="I1177" s="227" t="n"/>
      <c r="J1177" s="227" t="n"/>
      <c r="K1177" s="227" t="n"/>
      <c r="L1177" s="227" t="n"/>
      <c r="M1177" s="227" t="n"/>
      <c r="N1177" s="127" t="n"/>
      <c r="O1177" s="227" t="n"/>
      <c r="P1177" s="227" t="n"/>
      <c r="Q1177" s="227" t="n"/>
      <c r="R1177" s="227" t="n"/>
      <c r="S1177" s="227" t="n"/>
      <c r="T1177" s="227" t="n"/>
    </row>
    <row r="1178">
      <c r="A1178" s="145">
        <f>IF($B1178="","",ROW()-5)</f>
        <v/>
      </c>
      <c r="B1178" s="127" t="n"/>
      <c r="C1178" s="223" t="n"/>
      <c r="D1178" s="127" t="n"/>
      <c r="E1178" s="227" t="n"/>
      <c r="F1178" s="227" t="n"/>
      <c r="G1178" s="227" t="n"/>
      <c r="H1178" s="227" t="n"/>
      <c r="I1178" s="227" t="n"/>
      <c r="J1178" s="227" t="n"/>
      <c r="K1178" s="227" t="n"/>
      <c r="L1178" s="227" t="n"/>
      <c r="M1178" s="227" t="n"/>
      <c r="N1178" s="127" t="n"/>
      <c r="O1178" s="227" t="n"/>
      <c r="P1178" s="227" t="n"/>
      <c r="Q1178" s="227" t="n"/>
      <c r="R1178" s="227" t="n"/>
      <c r="S1178" s="227" t="n"/>
      <c r="T1178" s="227" t="n"/>
    </row>
    <row r="1179">
      <c r="A1179" s="145">
        <f>IF($B1179="","",ROW()-5)</f>
        <v/>
      </c>
      <c r="B1179" s="127" t="n"/>
      <c r="C1179" s="223" t="n"/>
      <c r="D1179" s="127" t="n"/>
      <c r="E1179" s="227" t="n"/>
      <c r="F1179" s="227" t="n"/>
      <c r="G1179" s="227" t="n"/>
      <c r="H1179" s="227" t="n"/>
      <c r="I1179" s="227" t="n"/>
      <c r="J1179" s="227" t="n"/>
      <c r="K1179" s="227" t="n"/>
      <c r="L1179" s="227" t="n"/>
      <c r="M1179" s="227" t="n"/>
      <c r="N1179" s="127" t="n"/>
      <c r="O1179" s="227" t="n"/>
      <c r="P1179" s="227" t="n"/>
      <c r="Q1179" s="227" t="n"/>
      <c r="R1179" s="227" t="n"/>
      <c r="S1179" s="227" t="n"/>
      <c r="T1179" s="227" t="n"/>
    </row>
    <row r="1180">
      <c r="A1180" s="145">
        <f>IF($B1180="","",ROW()-5)</f>
        <v/>
      </c>
      <c r="B1180" s="127" t="n"/>
      <c r="C1180" s="223" t="n"/>
      <c r="D1180" s="127" t="n"/>
      <c r="E1180" s="227" t="n"/>
      <c r="F1180" s="227" t="n"/>
      <c r="G1180" s="227" t="n"/>
      <c r="H1180" s="227" t="n"/>
      <c r="I1180" s="227" t="n"/>
      <c r="J1180" s="227" t="n"/>
      <c r="K1180" s="227" t="n"/>
      <c r="L1180" s="227" t="n"/>
      <c r="M1180" s="227" t="n"/>
      <c r="N1180" s="127" t="n"/>
      <c r="O1180" s="227" t="n"/>
      <c r="P1180" s="227" t="n"/>
      <c r="Q1180" s="227" t="n"/>
      <c r="R1180" s="227" t="n"/>
      <c r="S1180" s="227" t="n"/>
      <c r="T1180" s="227" t="n"/>
    </row>
    <row r="1181">
      <c r="A1181" s="145">
        <f>IF($B1181="","",ROW()-5)</f>
        <v/>
      </c>
      <c r="B1181" s="127" t="n"/>
      <c r="C1181" s="223" t="n"/>
      <c r="D1181" s="127" t="n"/>
      <c r="E1181" s="227" t="n"/>
      <c r="F1181" s="227" t="n"/>
      <c r="G1181" s="227" t="n"/>
      <c r="H1181" s="227" t="n"/>
      <c r="I1181" s="227" t="n"/>
      <c r="J1181" s="227" t="n"/>
      <c r="K1181" s="227" t="n"/>
      <c r="L1181" s="227" t="n"/>
      <c r="M1181" s="227" t="n"/>
      <c r="N1181" s="127" t="n"/>
      <c r="O1181" s="227" t="n"/>
      <c r="P1181" s="227" t="n"/>
      <c r="Q1181" s="227" t="n"/>
      <c r="R1181" s="227" t="n"/>
      <c r="S1181" s="227" t="n"/>
      <c r="T1181" s="227" t="n"/>
    </row>
    <row r="1182">
      <c r="A1182" s="145">
        <f>IF($B1182="","",ROW()-5)</f>
        <v/>
      </c>
      <c r="B1182" s="127" t="n"/>
      <c r="C1182" s="223" t="n"/>
      <c r="D1182" s="127" t="n"/>
      <c r="E1182" s="227" t="n"/>
      <c r="F1182" s="227" t="n"/>
      <c r="G1182" s="227" t="n"/>
      <c r="H1182" s="227" t="n"/>
      <c r="I1182" s="227" t="n"/>
      <c r="J1182" s="227" t="n"/>
      <c r="K1182" s="227" t="n"/>
      <c r="L1182" s="227" t="n"/>
      <c r="M1182" s="227" t="n"/>
      <c r="N1182" s="127" t="n"/>
      <c r="O1182" s="227" t="n"/>
      <c r="P1182" s="227" t="n"/>
      <c r="Q1182" s="227" t="n"/>
      <c r="R1182" s="227" t="n"/>
      <c r="S1182" s="227" t="n"/>
      <c r="T1182" s="227" t="n"/>
    </row>
    <row r="1183">
      <c r="A1183" s="145">
        <f>IF($B1183="","",ROW()-5)</f>
        <v/>
      </c>
      <c r="B1183" s="127" t="n"/>
      <c r="C1183" s="223" t="n"/>
      <c r="D1183" s="127" t="n"/>
      <c r="E1183" s="227" t="n"/>
      <c r="F1183" s="227" t="n"/>
      <c r="G1183" s="227" t="n"/>
      <c r="H1183" s="227" t="n"/>
      <c r="I1183" s="227" t="n"/>
      <c r="J1183" s="227" t="n"/>
      <c r="K1183" s="227" t="n"/>
      <c r="L1183" s="227" t="n"/>
      <c r="M1183" s="227" t="n"/>
      <c r="N1183" s="127" t="n"/>
      <c r="O1183" s="227" t="n"/>
      <c r="P1183" s="227" t="n"/>
      <c r="Q1183" s="227" t="n"/>
      <c r="R1183" s="227" t="n"/>
      <c r="S1183" s="227" t="n"/>
      <c r="T1183" s="227" t="n"/>
    </row>
    <row r="1184">
      <c r="A1184" s="145">
        <f>IF($B1184="","",ROW()-5)</f>
        <v/>
      </c>
      <c r="B1184" s="127" t="n"/>
      <c r="C1184" s="223" t="n"/>
      <c r="D1184" s="127" t="n"/>
      <c r="E1184" s="227" t="n"/>
      <c r="F1184" s="227" t="n"/>
      <c r="G1184" s="227" t="n"/>
      <c r="H1184" s="227" t="n"/>
      <c r="I1184" s="227" t="n"/>
      <c r="J1184" s="227" t="n"/>
      <c r="K1184" s="227" t="n"/>
      <c r="L1184" s="227" t="n"/>
      <c r="M1184" s="227" t="n"/>
      <c r="N1184" s="127" t="n"/>
      <c r="O1184" s="227" t="n"/>
      <c r="P1184" s="227" t="n"/>
      <c r="Q1184" s="227" t="n"/>
      <c r="R1184" s="227" t="n"/>
      <c r="S1184" s="227" t="n"/>
      <c r="T1184" s="227" t="n"/>
    </row>
    <row r="1185">
      <c r="A1185" s="145">
        <f>IF($B1185="","",ROW()-5)</f>
        <v/>
      </c>
      <c r="B1185" s="127" t="n"/>
      <c r="C1185" s="223" t="n"/>
      <c r="D1185" s="127" t="n"/>
      <c r="E1185" s="227" t="n"/>
      <c r="F1185" s="227" t="n"/>
      <c r="G1185" s="227" t="n"/>
      <c r="H1185" s="227" t="n"/>
      <c r="I1185" s="227" t="n"/>
      <c r="J1185" s="227" t="n"/>
      <c r="K1185" s="227" t="n"/>
      <c r="L1185" s="227" t="n"/>
      <c r="M1185" s="227" t="n"/>
      <c r="N1185" s="127" t="n"/>
      <c r="O1185" s="227" t="n"/>
      <c r="P1185" s="227" t="n"/>
      <c r="Q1185" s="227" t="n"/>
      <c r="R1185" s="227" t="n"/>
      <c r="S1185" s="227" t="n"/>
      <c r="T1185" s="227" t="n"/>
    </row>
    <row r="1186">
      <c r="A1186" s="145">
        <f>IF($B1186="","",ROW()-5)</f>
        <v/>
      </c>
      <c r="B1186" s="127" t="n"/>
      <c r="C1186" s="223" t="n"/>
      <c r="D1186" s="127" t="n"/>
      <c r="E1186" s="227" t="n"/>
      <c r="F1186" s="227" t="n"/>
      <c r="G1186" s="227" t="n"/>
      <c r="H1186" s="227" t="n"/>
      <c r="I1186" s="227" t="n"/>
      <c r="J1186" s="227" t="n"/>
      <c r="K1186" s="227" t="n"/>
      <c r="L1186" s="227" t="n"/>
      <c r="M1186" s="227" t="n"/>
      <c r="N1186" s="127" t="n"/>
      <c r="O1186" s="227" t="n"/>
      <c r="P1186" s="227" t="n"/>
      <c r="Q1186" s="227" t="n"/>
      <c r="R1186" s="227" t="n"/>
      <c r="S1186" s="227" t="n"/>
      <c r="T1186" s="227" t="n"/>
    </row>
    <row r="1187">
      <c r="A1187" s="145">
        <f>IF($B1187="","",ROW()-5)</f>
        <v/>
      </c>
      <c r="B1187" s="127" t="n"/>
      <c r="C1187" s="223" t="n"/>
      <c r="D1187" s="127" t="n"/>
      <c r="E1187" s="227" t="n"/>
      <c r="F1187" s="227" t="n"/>
      <c r="G1187" s="227" t="n"/>
      <c r="H1187" s="227" t="n"/>
      <c r="I1187" s="227" t="n"/>
      <c r="J1187" s="227" t="n"/>
      <c r="K1187" s="227" t="n"/>
      <c r="L1187" s="227" t="n"/>
      <c r="M1187" s="227" t="n"/>
      <c r="N1187" s="127" t="n"/>
      <c r="O1187" s="227" t="n"/>
      <c r="P1187" s="227" t="n"/>
      <c r="Q1187" s="227" t="n"/>
      <c r="R1187" s="227" t="n"/>
      <c r="S1187" s="227" t="n"/>
      <c r="T1187" s="227" t="n"/>
    </row>
    <row r="1188">
      <c r="A1188" s="145">
        <f>IF($B1188="","",ROW()-5)</f>
        <v/>
      </c>
      <c r="B1188" s="127" t="n"/>
      <c r="C1188" s="223" t="n"/>
      <c r="D1188" s="127" t="n"/>
      <c r="E1188" s="227" t="n"/>
      <c r="F1188" s="227" t="n"/>
      <c r="G1188" s="227" t="n"/>
      <c r="H1188" s="227" t="n"/>
      <c r="I1188" s="227" t="n"/>
      <c r="J1188" s="227" t="n"/>
      <c r="K1188" s="227" t="n"/>
      <c r="L1188" s="227" t="n"/>
      <c r="M1188" s="227" t="n"/>
      <c r="N1188" s="127" t="n"/>
      <c r="O1188" s="227" t="n"/>
      <c r="P1188" s="227" t="n"/>
      <c r="Q1188" s="227" t="n"/>
      <c r="R1188" s="227" t="n"/>
      <c r="S1188" s="227" t="n"/>
      <c r="T1188" s="227" t="n"/>
    </row>
    <row r="1189">
      <c r="A1189" s="145">
        <f>IF($B1189="","",ROW()-5)</f>
        <v/>
      </c>
      <c r="B1189" s="127" t="n"/>
      <c r="C1189" s="223" t="n"/>
      <c r="D1189" s="127" t="n"/>
      <c r="E1189" s="227" t="n"/>
      <c r="F1189" s="227" t="n"/>
      <c r="G1189" s="227" t="n"/>
      <c r="H1189" s="227" t="n"/>
      <c r="I1189" s="227" t="n"/>
      <c r="J1189" s="227" t="n"/>
      <c r="K1189" s="227" t="n"/>
      <c r="L1189" s="227" t="n"/>
      <c r="M1189" s="227" t="n"/>
      <c r="N1189" s="127" t="n"/>
      <c r="O1189" s="227" t="n"/>
      <c r="P1189" s="227" t="n"/>
      <c r="Q1189" s="227" t="n"/>
      <c r="R1189" s="227" t="n"/>
      <c r="S1189" s="227" t="n"/>
      <c r="T1189" s="227" t="n"/>
    </row>
    <row r="1190">
      <c r="A1190" s="145">
        <f>IF($B1190="","",ROW()-5)</f>
        <v/>
      </c>
      <c r="B1190" s="127" t="n"/>
      <c r="C1190" s="223" t="n"/>
      <c r="D1190" s="127" t="n"/>
      <c r="E1190" s="227" t="n"/>
      <c r="F1190" s="227" t="n"/>
      <c r="G1190" s="227" t="n"/>
      <c r="H1190" s="227" t="n"/>
      <c r="I1190" s="227" t="n"/>
      <c r="J1190" s="227" t="n"/>
      <c r="K1190" s="227" t="n"/>
      <c r="L1190" s="227" t="n"/>
      <c r="M1190" s="227" t="n"/>
      <c r="N1190" s="127" t="n"/>
      <c r="O1190" s="227" t="n"/>
      <c r="P1190" s="227" t="n"/>
      <c r="Q1190" s="227" t="n"/>
      <c r="R1190" s="227" t="n"/>
      <c r="S1190" s="227" t="n"/>
      <c r="T1190" s="227" t="n"/>
    </row>
    <row r="1191">
      <c r="A1191" s="145">
        <f>IF($B1191="","",ROW()-5)</f>
        <v/>
      </c>
      <c r="B1191" s="127" t="n"/>
      <c r="C1191" s="223" t="n"/>
      <c r="D1191" s="127" t="n"/>
      <c r="E1191" s="227" t="n"/>
      <c r="F1191" s="227" t="n"/>
      <c r="G1191" s="227" t="n"/>
      <c r="H1191" s="227" t="n"/>
      <c r="I1191" s="227" t="n"/>
      <c r="J1191" s="227" t="n"/>
      <c r="K1191" s="227" t="n"/>
      <c r="L1191" s="227" t="n"/>
      <c r="M1191" s="227" t="n"/>
      <c r="N1191" s="127" t="n"/>
      <c r="O1191" s="227" t="n"/>
      <c r="P1191" s="227" t="n"/>
      <c r="Q1191" s="227" t="n"/>
      <c r="R1191" s="227" t="n"/>
      <c r="S1191" s="227" t="n"/>
      <c r="T1191" s="227" t="n"/>
    </row>
    <row r="1192">
      <c r="A1192" s="145">
        <f>IF($B1192="","",ROW()-5)</f>
        <v/>
      </c>
      <c r="B1192" s="127" t="n"/>
      <c r="C1192" s="223" t="n"/>
      <c r="D1192" s="127" t="n"/>
      <c r="E1192" s="227" t="n"/>
      <c r="F1192" s="227" t="n"/>
      <c r="G1192" s="227" t="n"/>
      <c r="H1192" s="227" t="n"/>
      <c r="I1192" s="227" t="n"/>
      <c r="J1192" s="227" t="n"/>
      <c r="K1192" s="227" t="n"/>
      <c r="L1192" s="227" t="n"/>
      <c r="M1192" s="227" t="n"/>
      <c r="N1192" s="127" t="n"/>
      <c r="O1192" s="227" t="n"/>
      <c r="P1192" s="227" t="n"/>
      <c r="Q1192" s="227" t="n"/>
      <c r="R1192" s="227" t="n"/>
      <c r="S1192" s="227" t="n"/>
      <c r="T1192" s="227" t="n"/>
    </row>
    <row r="1193">
      <c r="A1193" s="145">
        <f>IF($B1193="","",ROW()-5)</f>
        <v/>
      </c>
      <c r="B1193" s="127" t="n"/>
      <c r="C1193" s="223" t="n"/>
      <c r="D1193" s="127" t="n"/>
      <c r="E1193" s="227" t="n"/>
      <c r="F1193" s="227" t="n"/>
      <c r="G1193" s="227" t="n"/>
      <c r="H1193" s="227" t="n"/>
      <c r="I1193" s="227" t="n"/>
      <c r="J1193" s="227" t="n"/>
      <c r="K1193" s="227" t="n"/>
      <c r="L1193" s="227" t="n"/>
      <c r="M1193" s="227" t="n"/>
      <c r="N1193" s="127" t="n"/>
      <c r="O1193" s="227" t="n"/>
      <c r="P1193" s="227" t="n"/>
      <c r="Q1193" s="227" t="n"/>
      <c r="R1193" s="227" t="n"/>
      <c r="S1193" s="227" t="n"/>
      <c r="T1193" s="227" t="n"/>
    </row>
    <row r="1194">
      <c r="A1194" s="145">
        <f>IF($B1194="","",ROW()-5)</f>
        <v/>
      </c>
      <c r="B1194" s="127" t="n"/>
      <c r="C1194" s="223" t="n"/>
      <c r="D1194" s="127" t="n"/>
      <c r="E1194" s="227" t="n"/>
      <c r="F1194" s="227" t="n"/>
      <c r="G1194" s="227" t="n"/>
      <c r="H1194" s="227" t="n"/>
      <c r="I1194" s="227" t="n"/>
      <c r="J1194" s="227" t="n"/>
      <c r="K1194" s="227" t="n"/>
      <c r="L1194" s="227" t="n"/>
      <c r="M1194" s="227" t="n"/>
      <c r="N1194" s="127" t="n"/>
      <c r="O1194" s="227" t="n"/>
      <c r="P1194" s="227" t="n"/>
      <c r="Q1194" s="227" t="n"/>
      <c r="R1194" s="227" t="n"/>
      <c r="S1194" s="227" t="n"/>
      <c r="T1194" s="227" t="n"/>
    </row>
    <row r="1195">
      <c r="A1195" s="145">
        <f>IF($B1195="","",ROW()-5)</f>
        <v/>
      </c>
      <c r="B1195" s="127" t="n"/>
      <c r="C1195" s="223" t="n"/>
      <c r="D1195" s="127" t="n"/>
      <c r="E1195" s="227" t="n"/>
      <c r="F1195" s="227" t="n"/>
      <c r="G1195" s="227" t="n"/>
      <c r="H1195" s="227" t="n"/>
      <c r="I1195" s="227" t="n"/>
      <c r="J1195" s="227" t="n"/>
      <c r="K1195" s="227" t="n"/>
      <c r="L1195" s="227" t="n"/>
      <c r="M1195" s="227" t="n"/>
      <c r="N1195" s="127" t="n"/>
      <c r="O1195" s="227" t="n"/>
      <c r="P1195" s="227" t="n"/>
      <c r="Q1195" s="227" t="n"/>
      <c r="R1195" s="227" t="n"/>
      <c r="S1195" s="227" t="n"/>
      <c r="T1195" s="227" t="n"/>
    </row>
    <row r="1196">
      <c r="A1196" s="145">
        <f>IF($B1196="","",ROW()-5)</f>
        <v/>
      </c>
      <c r="B1196" s="127" t="n"/>
      <c r="C1196" s="223" t="n"/>
      <c r="D1196" s="127" t="n"/>
      <c r="E1196" s="227" t="n"/>
      <c r="F1196" s="227" t="n"/>
      <c r="G1196" s="227" t="n"/>
      <c r="H1196" s="227" t="n"/>
      <c r="I1196" s="227" t="n"/>
      <c r="J1196" s="227" t="n"/>
      <c r="K1196" s="227" t="n"/>
      <c r="L1196" s="227" t="n"/>
      <c r="M1196" s="227" t="n"/>
      <c r="N1196" s="127" t="n"/>
      <c r="O1196" s="227" t="n"/>
      <c r="P1196" s="227" t="n"/>
      <c r="Q1196" s="227" t="n"/>
      <c r="R1196" s="227" t="n"/>
      <c r="S1196" s="227" t="n"/>
      <c r="T1196" s="227" t="n"/>
    </row>
    <row r="1197">
      <c r="A1197" s="145">
        <f>IF($B1197="","",ROW()-5)</f>
        <v/>
      </c>
      <c r="B1197" s="127" t="n"/>
      <c r="C1197" s="223" t="n"/>
      <c r="D1197" s="127" t="n"/>
      <c r="E1197" s="227" t="n"/>
      <c r="F1197" s="227" t="n"/>
      <c r="G1197" s="227" t="n"/>
      <c r="H1197" s="227" t="n"/>
      <c r="I1197" s="227" t="n"/>
      <c r="J1197" s="227" t="n"/>
      <c r="K1197" s="227" t="n"/>
      <c r="L1197" s="227" t="n"/>
      <c r="M1197" s="227" t="n"/>
      <c r="N1197" s="127" t="n"/>
      <c r="O1197" s="227" t="n"/>
      <c r="P1197" s="227" t="n"/>
      <c r="Q1197" s="227" t="n"/>
      <c r="R1197" s="227" t="n"/>
      <c r="S1197" s="227" t="n"/>
      <c r="T1197" s="227" t="n"/>
    </row>
    <row r="1198">
      <c r="A1198" s="145">
        <f>IF($B1198="","",ROW()-5)</f>
        <v/>
      </c>
      <c r="B1198" s="127" t="n"/>
      <c r="C1198" s="223" t="n"/>
      <c r="D1198" s="127" t="n"/>
      <c r="E1198" s="227" t="n"/>
      <c r="F1198" s="227" t="n"/>
      <c r="G1198" s="227" t="n"/>
      <c r="H1198" s="227" t="n"/>
      <c r="I1198" s="227" t="n"/>
      <c r="J1198" s="227" t="n"/>
      <c r="K1198" s="227" t="n"/>
      <c r="L1198" s="227" t="n"/>
      <c r="M1198" s="227" t="n"/>
      <c r="N1198" s="127" t="n"/>
      <c r="O1198" s="227" t="n"/>
      <c r="P1198" s="227" t="n"/>
      <c r="Q1198" s="227" t="n"/>
      <c r="R1198" s="227" t="n"/>
      <c r="S1198" s="227" t="n"/>
      <c r="T1198" s="227" t="n"/>
    </row>
    <row r="1199">
      <c r="A1199" s="145">
        <f>IF($B1199="","",ROW()-5)</f>
        <v/>
      </c>
      <c r="B1199" s="127" t="n"/>
      <c r="C1199" s="223" t="n"/>
      <c r="D1199" s="127" t="n"/>
      <c r="E1199" s="227" t="n"/>
      <c r="F1199" s="227" t="n"/>
      <c r="G1199" s="227" t="n"/>
      <c r="H1199" s="227" t="n"/>
      <c r="I1199" s="227" t="n"/>
      <c r="J1199" s="227" t="n"/>
      <c r="K1199" s="227" t="n"/>
      <c r="L1199" s="227" t="n"/>
      <c r="M1199" s="227" t="n"/>
      <c r="N1199" s="127" t="n"/>
      <c r="O1199" s="227" t="n"/>
      <c r="P1199" s="227" t="n"/>
      <c r="Q1199" s="227" t="n"/>
      <c r="R1199" s="227" t="n"/>
      <c r="S1199" s="227" t="n"/>
      <c r="T1199" s="227" t="n"/>
    </row>
    <row r="1200">
      <c r="A1200" s="145">
        <f>IF($B1200="","",ROW()-5)</f>
        <v/>
      </c>
      <c r="B1200" s="127" t="n"/>
      <c r="C1200" s="223" t="n"/>
      <c r="D1200" s="127" t="n"/>
      <c r="E1200" s="227" t="n"/>
      <c r="F1200" s="227" t="n"/>
      <c r="G1200" s="227" t="n"/>
      <c r="H1200" s="227" t="n"/>
      <c r="I1200" s="227" t="n"/>
      <c r="J1200" s="227" t="n"/>
      <c r="K1200" s="227" t="n"/>
      <c r="L1200" s="227" t="n"/>
      <c r="M1200" s="227" t="n"/>
      <c r="N1200" s="127" t="n"/>
      <c r="O1200" s="227" t="n"/>
      <c r="P1200" s="227" t="n"/>
      <c r="Q1200" s="227" t="n"/>
      <c r="R1200" s="227" t="n"/>
      <c r="S1200" s="227" t="n"/>
      <c r="T1200" s="227" t="n"/>
    </row>
    <row r="1201">
      <c r="A1201" s="145">
        <f>IF($B1201="","",ROW()-5)</f>
        <v/>
      </c>
      <c r="B1201" s="127" t="n"/>
      <c r="C1201" s="223" t="n"/>
      <c r="D1201" s="127" t="n"/>
      <c r="E1201" s="227" t="n"/>
      <c r="F1201" s="227" t="n"/>
      <c r="G1201" s="227" t="n"/>
      <c r="H1201" s="227" t="n"/>
      <c r="I1201" s="227" t="n"/>
      <c r="J1201" s="227" t="n"/>
      <c r="K1201" s="227" t="n"/>
      <c r="L1201" s="227" t="n"/>
      <c r="M1201" s="227" t="n"/>
      <c r="N1201" s="127" t="n"/>
      <c r="O1201" s="227" t="n"/>
      <c r="P1201" s="227" t="n"/>
      <c r="Q1201" s="227" t="n"/>
      <c r="R1201" s="227" t="n"/>
      <c r="S1201" s="227" t="n"/>
      <c r="T1201" s="227" t="n"/>
    </row>
    <row r="1202">
      <c r="A1202" s="145">
        <f>IF($B1202="","",ROW()-5)</f>
        <v/>
      </c>
      <c r="B1202" s="127" t="n"/>
      <c r="C1202" s="223" t="n"/>
      <c r="D1202" s="127" t="n"/>
      <c r="E1202" s="227" t="n"/>
      <c r="F1202" s="227" t="n"/>
      <c r="G1202" s="227" t="n"/>
      <c r="H1202" s="227" t="n"/>
      <c r="I1202" s="227" t="n"/>
      <c r="J1202" s="227" t="n"/>
      <c r="K1202" s="227" t="n"/>
      <c r="L1202" s="227" t="n"/>
      <c r="M1202" s="227" t="n"/>
      <c r="N1202" s="127" t="n"/>
      <c r="O1202" s="227" t="n"/>
      <c r="P1202" s="227" t="n"/>
      <c r="Q1202" s="227" t="n"/>
      <c r="R1202" s="227" t="n"/>
      <c r="S1202" s="227" t="n"/>
      <c r="T1202" s="227" t="n"/>
    </row>
    <row r="1203">
      <c r="A1203" s="145">
        <f>IF($B1203="","",ROW()-5)</f>
        <v/>
      </c>
      <c r="B1203" s="127" t="n"/>
      <c r="C1203" s="223" t="n"/>
      <c r="D1203" s="127" t="n"/>
      <c r="E1203" s="227" t="n"/>
      <c r="F1203" s="227" t="n"/>
      <c r="G1203" s="227" t="n"/>
      <c r="H1203" s="227" t="n"/>
      <c r="I1203" s="227" t="n"/>
      <c r="J1203" s="227" t="n"/>
      <c r="K1203" s="227" t="n"/>
      <c r="L1203" s="227" t="n"/>
      <c r="M1203" s="227" t="n"/>
      <c r="N1203" s="127" t="n"/>
      <c r="O1203" s="227" t="n"/>
      <c r="P1203" s="227" t="n"/>
      <c r="Q1203" s="227" t="n"/>
      <c r="R1203" s="227" t="n"/>
      <c r="S1203" s="227" t="n"/>
      <c r="T1203" s="227" t="n"/>
    </row>
    <row r="1204">
      <c r="A1204" s="145">
        <f>IF($B1204="","",ROW()-5)</f>
        <v/>
      </c>
      <c r="B1204" s="127" t="n"/>
      <c r="C1204" s="223" t="n"/>
      <c r="D1204" s="127" t="n"/>
      <c r="E1204" s="227" t="n"/>
      <c r="F1204" s="227" t="n"/>
      <c r="G1204" s="227" t="n"/>
      <c r="H1204" s="227" t="n"/>
      <c r="I1204" s="227" t="n"/>
      <c r="J1204" s="227" t="n"/>
      <c r="K1204" s="227" t="n"/>
      <c r="L1204" s="227" t="n"/>
      <c r="M1204" s="227" t="n"/>
      <c r="N1204" s="127" t="n"/>
      <c r="O1204" s="227" t="n"/>
      <c r="P1204" s="227" t="n"/>
      <c r="Q1204" s="227" t="n"/>
      <c r="R1204" s="227" t="n"/>
      <c r="S1204" s="227" t="n"/>
      <c r="T1204" s="227" t="n"/>
    </row>
    <row r="1205">
      <c r="A1205" s="145">
        <f>IF($B1205="","",ROW()-5)</f>
        <v/>
      </c>
      <c r="B1205" s="127" t="n"/>
      <c r="C1205" s="223" t="n"/>
      <c r="D1205" s="127" t="n"/>
      <c r="E1205" s="227" t="n"/>
      <c r="F1205" s="227" t="n"/>
      <c r="G1205" s="227" t="n"/>
      <c r="H1205" s="227" t="n"/>
      <c r="I1205" s="227" t="n"/>
      <c r="J1205" s="227" t="n"/>
      <c r="K1205" s="227" t="n"/>
      <c r="L1205" s="227" t="n"/>
      <c r="M1205" s="227" t="n"/>
      <c r="N1205" s="127" t="n"/>
      <c r="O1205" s="227" t="n"/>
      <c r="P1205" s="227" t="n"/>
      <c r="Q1205" s="227" t="n"/>
      <c r="R1205" s="227" t="n"/>
      <c r="S1205" s="227" t="n"/>
      <c r="T1205" s="227" t="n"/>
    </row>
    <row r="1206">
      <c r="A1206" s="145">
        <f>IF($B1206="","",ROW()-5)</f>
        <v/>
      </c>
      <c r="B1206" s="127" t="n"/>
      <c r="C1206" s="223" t="n"/>
      <c r="D1206" s="127" t="n"/>
      <c r="E1206" s="227" t="n"/>
      <c r="F1206" s="227" t="n"/>
      <c r="G1206" s="227" t="n"/>
      <c r="H1206" s="227" t="n"/>
      <c r="I1206" s="227" t="n"/>
      <c r="J1206" s="227" t="n"/>
      <c r="K1206" s="227" t="n"/>
      <c r="L1206" s="227" t="n"/>
      <c r="M1206" s="227" t="n"/>
      <c r="N1206" s="127" t="n"/>
      <c r="O1206" s="227" t="n"/>
      <c r="P1206" s="227" t="n"/>
      <c r="Q1206" s="227" t="n"/>
      <c r="R1206" s="227" t="n"/>
      <c r="S1206" s="227" t="n"/>
      <c r="T1206" s="227" t="n"/>
    </row>
    <row r="1207">
      <c r="A1207" s="145">
        <f>IF($B1207="","",ROW()-5)</f>
        <v/>
      </c>
      <c r="B1207" s="127" t="n"/>
      <c r="C1207" s="223" t="n"/>
      <c r="D1207" s="127" t="n"/>
      <c r="E1207" s="227" t="n"/>
      <c r="F1207" s="227" t="n"/>
      <c r="G1207" s="227" t="n"/>
      <c r="H1207" s="227" t="n"/>
      <c r="I1207" s="227" t="n"/>
      <c r="J1207" s="227" t="n"/>
      <c r="K1207" s="227" t="n"/>
      <c r="L1207" s="227" t="n"/>
      <c r="M1207" s="227" t="n"/>
      <c r="N1207" s="127" t="n"/>
      <c r="O1207" s="227" t="n"/>
      <c r="P1207" s="227" t="n"/>
      <c r="Q1207" s="227" t="n"/>
      <c r="R1207" s="227" t="n"/>
      <c r="S1207" s="227" t="n"/>
      <c r="T1207" s="227" t="n"/>
    </row>
    <row r="1208">
      <c r="A1208" s="145">
        <f>IF($B1208="","",ROW()-5)</f>
        <v/>
      </c>
      <c r="B1208" s="127" t="n"/>
      <c r="C1208" s="223" t="n"/>
      <c r="D1208" s="127" t="n"/>
      <c r="E1208" s="227" t="n"/>
      <c r="F1208" s="227" t="n"/>
      <c r="G1208" s="227" t="n"/>
      <c r="H1208" s="227" t="n"/>
      <c r="I1208" s="227" t="n"/>
      <c r="J1208" s="227" t="n"/>
      <c r="K1208" s="227" t="n"/>
      <c r="L1208" s="227" t="n"/>
      <c r="M1208" s="227" t="n"/>
      <c r="N1208" s="127" t="n"/>
      <c r="O1208" s="227" t="n"/>
      <c r="P1208" s="227" t="n"/>
      <c r="Q1208" s="227" t="n"/>
      <c r="R1208" s="227" t="n"/>
      <c r="S1208" s="227" t="n"/>
      <c r="T1208" s="227" t="n"/>
    </row>
    <row r="1209">
      <c r="A1209" s="145">
        <f>IF($B1209="","",ROW()-5)</f>
        <v/>
      </c>
      <c r="B1209" s="127" t="n"/>
      <c r="C1209" s="223" t="n"/>
      <c r="D1209" s="127" t="n"/>
      <c r="E1209" s="227" t="n"/>
      <c r="F1209" s="227" t="n"/>
      <c r="G1209" s="227" t="n"/>
      <c r="H1209" s="227" t="n"/>
      <c r="I1209" s="227" t="n"/>
      <c r="J1209" s="227" t="n"/>
      <c r="K1209" s="227" t="n"/>
      <c r="L1209" s="227" t="n"/>
      <c r="M1209" s="227" t="n"/>
      <c r="N1209" s="127" t="n"/>
      <c r="O1209" s="227" t="n"/>
      <c r="P1209" s="227" t="n"/>
      <c r="Q1209" s="227" t="n"/>
      <c r="R1209" s="227" t="n"/>
      <c r="S1209" s="227" t="n"/>
      <c r="T1209" s="227" t="n"/>
    </row>
    <row r="1210">
      <c r="A1210" s="145">
        <f>IF($B1210="","",ROW()-5)</f>
        <v/>
      </c>
      <c r="B1210" s="127" t="n"/>
      <c r="C1210" s="223" t="n"/>
      <c r="D1210" s="127" t="n"/>
      <c r="E1210" s="227" t="n"/>
      <c r="F1210" s="227" t="n"/>
      <c r="G1210" s="227" t="n"/>
      <c r="H1210" s="227" t="n"/>
      <c r="I1210" s="227" t="n"/>
      <c r="J1210" s="227" t="n"/>
      <c r="K1210" s="227" t="n"/>
      <c r="L1210" s="227" t="n"/>
      <c r="M1210" s="227" t="n"/>
      <c r="N1210" s="127" t="n"/>
      <c r="O1210" s="227" t="n"/>
      <c r="P1210" s="227" t="n"/>
      <c r="Q1210" s="227" t="n"/>
      <c r="R1210" s="227" t="n"/>
      <c r="S1210" s="227" t="n"/>
      <c r="T1210" s="227" t="n"/>
    </row>
    <row r="1211">
      <c r="A1211" s="145">
        <f>IF($B1211="","",ROW()-5)</f>
        <v/>
      </c>
      <c r="B1211" s="127" t="n"/>
      <c r="C1211" s="223" t="n"/>
      <c r="D1211" s="127" t="n"/>
      <c r="E1211" s="227" t="n"/>
      <c r="F1211" s="227" t="n"/>
      <c r="G1211" s="227" t="n"/>
      <c r="H1211" s="227" t="n"/>
      <c r="I1211" s="227" t="n"/>
      <c r="J1211" s="227" t="n"/>
      <c r="K1211" s="227" t="n"/>
      <c r="L1211" s="227" t="n"/>
      <c r="M1211" s="227" t="n"/>
      <c r="N1211" s="127" t="n"/>
      <c r="O1211" s="227" t="n"/>
      <c r="P1211" s="227" t="n"/>
      <c r="Q1211" s="227" t="n"/>
      <c r="R1211" s="227" t="n"/>
      <c r="S1211" s="227" t="n"/>
      <c r="T1211" s="227" t="n"/>
    </row>
    <row r="1212">
      <c r="A1212" s="145">
        <f>IF($B1212="","",ROW()-5)</f>
        <v/>
      </c>
      <c r="B1212" s="127" t="n"/>
      <c r="C1212" s="223" t="n"/>
      <c r="D1212" s="127" t="n"/>
      <c r="E1212" s="227" t="n"/>
      <c r="F1212" s="227" t="n"/>
      <c r="G1212" s="227" t="n"/>
      <c r="H1212" s="227" t="n"/>
      <c r="I1212" s="227" t="n"/>
      <c r="J1212" s="227" t="n"/>
      <c r="K1212" s="227" t="n"/>
      <c r="L1212" s="227" t="n"/>
      <c r="M1212" s="227" t="n"/>
      <c r="N1212" s="127" t="n"/>
      <c r="O1212" s="227" t="n"/>
      <c r="P1212" s="227" t="n"/>
      <c r="Q1212" s="227" t="n"/>
      <c r="R1212" s="227" t="n"/>
      <c r="S1212" s="227" t="n"/>
      <c r="T1212" s="227" t="n"/>
    </row>
    <row r="1213">
      <c r="A1213" s="145">
        <f>IF($B1213="","",ROW()-5)</f>
        <v/>
      </c>
      <c r="B1213" s="127" t="n"/>
      <c r="C1213" s="223" t="n"/>
      <c r="D1213" s="127" t="n"/>
      <c r="E1213" s="227" t="n"/>
      <c r="F1213" s="227" t="n"/>
      <c r="G1213" s="227" t="n"/>
      <c r="H1213" s="227" t="n"/>
      <c r="I1213" s="227" t="n"/>
      <c r="J1213" s="227" t="n"/>
      <c r="K1213" s="227" t="n"/>
      <c r="L1213" s="227" t="n"/>
      <c r="M1213" s="227" t="n"/>
      <c r="N1213" s="127" t="n"/>
      <c r="O1213" s="227" t="n"/>
      <c r="P1213" s="227" t="n"/>
      <c r="Q1213" s="227" t="n"/>
      <c r="R1213" s="227" t="n"/>
      <c r="S1213" s="227" t="n"/>
      <c r="T1213" s="227" t="n"/>
    </row>
    <row r="1214">
      <c r="A1214" s="145">
        <f>IF($B1214="","",ROW()-5)</f>
        <v/>
      </c>
      <c r="B1214" s="127" t="n"/>
      <c r="C1214" s="223" t="n"/>
      <c r="D1214" s="127" t="n"/>
      <c r="E1214" s="227" t="n"/>
      <c r="F1214" s="227" t="n"/>
      <c r="G1214" s="227" t="n"/>
      <c r="H1214" s="227" t="n"/>
      <c r="I1214" s="227" t="n"/>
      <c r="J1214" s="227" t="n"/>
      <c r="K1214" s="227" t="n"/>
      <c r="L1214" s="227" t="n"/>
      <c r="M1214" s="227" t="n"/>
      <c r="N1214" s="127" t="n"/>
      <c r="O1214" s="227" t="n"/>
      <c r="P1214" s="227" t="n"/>
      <c r="Q1214" s="227" t="n"/>
      <c r="R1214" s="227" t="n"/>
      <c r="S1214" s="227" t="n"/>
      <c r="T1214" s="227" t="n"/>
    </row>
    <row r="1215">
      <c r="A1215" s="145">
        <f>IF($B1215="","",ROW()-5)</f>
        <v/>
      </c>
      <c r="B1215" s="127" t="n"/>
      <c r="C1215" s="223" t="n"/>
      <c r="D1215" s="127" t="n"/>
      <c r="E1215" s="227" t="n"/>
      <c r="F1215" s="227" t="n"/>
      <c r="G1215" s="227" t="n"/>
      <c r="H1215" s="227" t="n"/>
      <c r="I1215" s="227" t="n"/>
      <c r="J1215" s="227" t="n"/>
      <c r="K1215" s="227" t="n"/>
      <c r="L1215" s="227" t="n"/>
      <c r="M1215" s="227" t="n"/>
      <c r="N1215" s="127" t="n"/>
      <c r="O1215" s="227" t="n"/>
      <c r="P1215" s="227" t="n"/>
      <c r="Q1215" s="227" t="n"/>
      <c r="R1215" s="227" t="n"/>
      <c r="S1215" s="227" t="n"/>
      <c r="T1215" s="227" t="n"/>
    </row>
    <row r="1216">
      <c r="A1216" s="145">
        <f>IF($B1216="","",ROW()-5)</f>
        <v/>
      </c>
      <c r="B1216" s="127" t="n"/>
      <c r="C1216" s="223" t="n"/>
      <c r="D1216" s="127" t="n"/>
      <c r="E1216" s="227" t="n"/>
      <c r="F1216" s="227" t="n"/>
      <c r="G1216" s="227" t="n"/>
      <c r="H1216" s="227" t="n"/>
      <c r="I1216" s="227" t="n"/>
      <c r="J1216" s="227" t="n"/>
      <c r="K1216" s="227" t="n"/>
      <c r="L1216" s="227" t="n"/>
      <c r="M1216" s="227" t="n"/>
      <c r="N1216" s="127" t="n"/>
      <c r="O1216" s="227" t="n"/>
      <c r="P1216" s="227" t="n"/>
      <c r="Q1216" s="227" t="n"/>
      <c r="R1216" s="227" t="n"/>
      <c r="S1216" s="227" t="n"/>
      <c r="T1216" s="227" t="n"/>
    </row>
    <row r="1217">
      <c r="A1217" s="145">
        <f>IF($B1217="","",ROW()-5)</f>
        <v/>
      </c>
      <c r="B1217" s="127" t="n"/>
      <c r="C1217" s="223" t="n"/>
      <c r="D1217" s="127" t="n"/>
      <c r="E1217" s="227" t="n"/>
      <c r="F1217" s="227" t="n"/>
      <c r="G1217" s="227" t="n"/>
      <c r="H1217" s="227" t="n"/>
      <c r="I1217" s="227" t="n"/>
      <c r="J1217" s="227" t="n"/>
      <c r="K1217" s="227" t="n"/>
      <c r="L1217" s="227" t="n"/>
      <c r="M1217" s="227" t="n"/>
      <c r="N1217" s="127" t="n"/>
      <c r="O1217" s="227" t="n"/>
      <c r="P1217" s="227" t="n"/>
      <c r="Q1217" s="227" t="n"/>
      <c r="R1217" s="227" t="n"/>
      <c r="S1217" s="227" t="n"/>
      <c r="T1217" s="227" t="n"/>
    </row>
    <row r="1218">
      <c r="A1218" s="145">
        <f>IF($B1218="","",ROW()-5)</f>
        <v/>
      </c>
      <c r="B1218" s="127" t="n"/>
      <c r="C1218" s="223" t="n"/>
      <c r="D1218" s="127" t="n"/>
      <c r="E1218" s="227" t="n"/>
      <c r="F1218" s="227" t="n"/>
      <c r="G1218" s="227" t="n"/>
      <c r="H1218" s="227" t="n"/>
      <c r="I1218" s="227" t="n"/>
      <c r="J1218" s="227" t="n"/>
      <c r="K1218" s="227" t="n"/>
      <c r="L1218" s="227" t="n"/>
      <c r="M1218" s="227" t="n"/>
      <c r="N1218" s="127" t="n"/>
      <c r="O1218" s="227" t="n"/>
      <c r="P1218" s="227" t="n"/>
      <c r="Q1218" s="227" t="n"/>
      <c r="R1218" s="227" t="n"/>
      <c r="S1218" s="227" t="n"/>
      <c r="T1218" s="227" t="n"/>
    </row>
    <row r="1219">
      <c r="A1219" s="145">
        <f>IF($B1219="","",ROW()-5)</f>
        <v/>
      </c>
      <c r="B1219" s="127" t="n"/>
      <c r="C1219" s="223" t="n"/>
      <c r="D1219" s="127" t="n"/>
      <c r="E1219" s="227" t="n"/>
      <c r="F1219" s="227" t="n"/>
      <c r="G1219" s="227" t="n"/>
      <c r="H1219" s="227" t="n"/>
      <c r="I1219" s="227" t="n"/>
      <c r="J1219" s="227" t="n"/>
      <c r="K1219" s="227" t="n"/>
      <c r="L1219" s="227" t="n"/>
      <c r="M1219" s="227" t="n"/>
      <c r="N1219" s="127" t="n"/>
      <c r="O1219" s="227" t="n"/>
      <c r="P1219" s="227" t="n"/>
      <c r="Q1219" s="227" t="n"/>
      <c r="R1219" s="227" t="n"/>
      <c r="S1219" s="227" t="n"/>
      <c r="T1219" s="227" t="n"/>
    </row>
    <row r="1220">
      <c r="A1220" s="145">
        <f>IF($B1220="","",ROW()-5)</f>
        <v/>
      </c>
      <c r="B1220" s="127" t="n"/>
      <c r="C1220" s="223" t="n"/>
      <c r="D1220" s="127" t="n"/>
      <c r="E1220" s="227" t="n"/>
      <c r="F1220" s="227" t="n"/>
      <c r="G1220" s="227" t="n"/>
      <c r="H1220" s="227" t="n"/>
      <c r="I1220" s="227" t="n"/>
      <c r="J1220" s="227" t="n"/>
      <c r="K1220" s="227" t="n"/>
      <c r="L1220" s="227" t="n"/>
      <c r="M1220" s="227" t="n"/>
      <c r="N1220" s="127" t="n"/>
      <c r="O1220" s="227" t="n"/>
      <c r="P1220" s="227" t="n"/>
      <c r="Q1220" s="227" t="n"/>
      <c r="R1220" s="227" t="n"/>
      <c r="S1220" s="227" t="n"/>
      <c r="T1220" s="227" t="n"/>
    </row>
    <row r="1221">
      <c r="A1221" s="145">
        <f>IF($B1221="","",ROW()-5)</f>
        <v/>
      </c>
      <c r="B1221" s="127" t="n"/>
      <c r="C1221" s="223" t="n"/>
      <c r="D1221" s="127" t="n"/>
      <c r="E1221" s="227" t="n"/>
      <c r="F1221" s="227" t="n"/>
      <c r="G1221" s="227" t="n"/>
      <c r="H1221" s="227" t="n"/>
      <c r="I1221" s="227" t="n"/>
      <c r="J1221" s="227" t="n"/>
      <c r="K1221" s="227" t="n"/>
      <c r="L1221" s="227" t="n"/>
      <c r="M1221" s="227" t="n"/>
      <c r="N1221" s="127" t="n"/>
      <c r="O1221" s="227" t="n"/>
      <c r="P1221" s="227" t="n"/>
      <c r="Q1221" s="227" t="n"/>
      <c r="R1221" s="227" t="n"/>
      <c r="S1221" s="227" t="n"/>
      <c r="T1221" s="227" t="n"/>
    </row>
    <row r="1222">
      <c r="A1222" s="145">
        <f>IF($B1222="","",ROW()-5)</f>
        <v/>
      </c>
      <c r="B1222" s="127" t="n"/>
      <c r="C1222" s="223" t="n"/>
      <c r="D1222" s="127" t="n"/>
      <c r="E1222" s="227" t="n"/>
      <c r="F1222" s="227" t="n"/>
      <c r="G1222" s="227" t="n"/>
      <c r="H1222" s="227" t="n"/>
      <c r="I1222" s="227" t="n"/>
      <c r="J1222" s="227" t="n"/>
      <c r="K1222" s="227" t="n"/>
      <c r="L1222" s="227" t="n"/>
      <c r="M1222" s="227" t="n"/>
      <c r="N1222" s="127" t="n"/>
      <c r="O1222" s="227" t="n"/>
      <c r="P1222" s="227" t="n"/>
      <c r="Q1222" s="227" t="n"/>
      <c r="R1222" s="227" t="n"/>
      <c r="S1222" s="227" t="n"/>
      <c r="T1222" s="227" t="n"/>
    </row>
    <row r="1223">
      <c r="A1223" s="145">
        <f>IF($B1223="","",ROW()-5)</f>
        <v/>
      </c>
      <c r="B1223" s="127" t="n"/>
      <c r="C1223" s="223" t="n"/>
      <c r="D1223" s="127" t="n"/>
      <c r="E1223" s="227" t="n"/>
      <c r="F1223" s="227" t="n"/>
      <c r="G1223" s="227" t="n"/>
      <c r="H1223" s="227" t="n"/>
      <c r="I1223" s="227" t="n"/>
      <c r="J1223" s="227" t="n"/>
      <c r="K1223" s="227" t="n"/>
      <c r="L1223" s="227" t="n"/>
      <c r="M1223" s="227" t="n"/>
      <c r="N1223" s="127" t="n"/>
      <c r="O1223" s="227" t="n"/>
      <c r="P1223" s="227" t="n"/>
      <c r="Q1223" s="227" t="n"/>
      <c r="R1223" s="227" t="n"/>
      <c r="S1223" s="227" t="n"/>
      <c r="T1223" s="227" t="n"/>
    </row>
    <row r="1224">
      <c r="A1224" s="145">
        <f>IF($B1224="","",ROW()-5)</f>
        <v/>
      </c>
      <c r="B1224" s="127" t="n"/>
      <c r="C1224" s="223" t="n"/>
      <c r="D1224" s="127" t="n"/>
      <c r="E1224" s="227" t="n"/>
      <c r="F1224" s="227" t="n"/>
      <c r="G1224" s="227" t="n"/>
      <c r="H1224" s="227" t="n"/>
      <c r="I1224" s="227" t="n"/>
      <c r="J1224" s="227" t="n"/>
      <c r="K1224" s="227" t="n"/>
      <c r="L1224" s="227" t="n"/>
      <c r="M1224" s="227" t="n"/>
      <c r="N1224" s="127" t="n"/>
      <c r="O1224" s="227" t="n"/>
      <c r="P1224" s="227" t="n"/>
      <c r="Q1224" s="227" t="n"/>
      <c r="R1224" s="227" t="n"/>
      <c r="S1224" s="227" t="n"/>
      <c r="T1224" s="227" t="n"/>
    </row>
    <row r="1225">
      <c r="A1225" s="145">
        <f>IF($B1225="","",ROW()-5)</f>
        <v/>
      </c>
      <c r="B1225" s="127" t="n"/>
      <c r="C1225" s="223" t="n"/>
      <c r="D1225" s="127" t="n"/>
      <c r="E1225" s="227" t="n"/>
      <c r="F1225" s="227" t="n"/>
      <c r="G1225" s="227" t="n"/>
      <c r="H1225" s="227" t="n"/>
      <c r="I1225" s="227" t="n"/>
      <c r="J1225" s="227" t="n"/>
      <c r="K1225" s="227" t="n"/>
      <c r="L1225" s="227" t="n"/>
      <c r="M1225" s="227" t="n"/>
      <c r="N1225" s="127" t="n"/>
      <c r="O1225" s="227" t="n"/>
      <c r="P1225" s="227" t="n"/>
      <c r="Q1225" s="227" t="n"/>
      <c r="R1225" s="227" t="n"/>
      <c r="S1225" s="227" t="n"/>
      <c r="T1225" s="227" t="n"/>
    </row>
    <row r="1226">
      <c r="A1226" s="145">
        <f>IF($B1226="","",ROW()-5)</f>
        <v/>
      </c>
      <c r="B1226" s="127" t="n"/>
      <c r="C1226" s="223" t="n"/>
      <c r="D1226" s="127" t="n"/>
      <c r="E1226" s="227" t="n"/>
      <c r="F1226" s="227" t="n"/>
      <c r="G1226" s="227" t="n"/>
      <c r="H1226" s="227" t="n"/>
      <c r="I1226" s="227" t="n"/>
      <c r="J1226" s="227" t="n"/>
      <c r="K1226" s="227" t="n"/>
      <c r="L1226" s="227" t="n"/>
      <c r="M1226" s="227" t="n"/>
      <c r="N1226" s="127" t="n"/>
      <c r="O1226" s="227" t="n"/>
      <c r="P1226" s="227" t="n"/>
      <c r="Q1226" s="227" t="n"/>
      <c r="R1226" s="227" t="n"/>
      <c r="S1226" s="227" t="n"/>
      <c r="T1226" s="227" t="n"/>
    </row>
    <row r="1227">
      <c r="A1227" s="145">
        <f>IF($B1227="","",ROW()-5)</f>
        <v/>
      </c>
      <c r="B1227" s="127" t="n"/>
      <c r="C1227" s="223" t="n"/>
      <c r="D1227" s="127" t="n"/>
      <c r="E1227" s="227" t="n"/>
      <c r="F1227" s="227" t="n"/>
      <c r="G1227" s="227" t="n"/>
      <c r="H1227" s="227" t="n"/>
      <c r="I1227" s="227" t="n"/>
      <c r="J1227" s="227" t="n"/>
      <c r="K1227" s="227" t="n"/>
      <c r="L1227" s="227" t="n"/>
      <c r="M1227" s="227" t="n"/>
      <c r="N1227" s="127" t="n"/>
      <c r="O1227" s="227" t="n"/>
      <c r="P1227" s="227" t="n"/>
      <c r="Q1227" s="227" t="n"/>
      <c r="R1227" s="227" t="n"/>
      <c r="S1227" s="227" t="n"/>
      <c r="T1227" s="227" t="n"/>
    </row>
    <row r="1228">
      <c r="A1228" s="145">
        <f>IF($B1228="","",ROW()-5)</f>
        <v/>
      </c>
      <c r="B1228" s="127" t="n"/>
      <c r="C1228" s="223" t="n"/>
      <c r="D1228" s="127" t="n"/>
      <c r="E1228" s="227" t="n"/>
      <c r="F1228" s="227" t="n"/>
      <c r="G1228" s="227" t="n"/>
      <c r="H1228" s="227" t="n"/>
      <c r="I1228" s="227" t="n"/>
      <c r="J1228" s="227" t="n"/>
      <c r="K1228" s="227" t="n"/>
      <c r="L1228" s="227" t="n"/>
      <c r="M1228" s="227" t="n"/>
      <c r="N1228" s="127" t="n"/>
      <c r="O1228" s="227" t="n"/>
      <c r="P1228" s="227" t="n"/>
      <c r="Q1228" s="227" t="n"/>
      <c r="R1228" s="227" t="n"/>
      <c r="S1228" s="227" t="n"/>
      <c r="T1228" s="227" t="n"/>
    </row>
    <row r="1229">
      <c r="A1229" s="145">
        <f>IF($B1229="","",ROW()-5)</f>
        <v/>
      </c>
      <c r="B1229" s="127" t="n"/>
      <c r="C1229" s="223" t="n"/>
      <c r="D1229" s="127" t="n"/>
      <c r="E1229" s="227" t="n"/>
      <c r="F1229" s="227" t="n"/>
      <c r="G1229" s="227" t="n"/>
      <c r="H1229" s="227" t="n"/>
      <c r="I1229" s="227" t="n"/>
      <c r="J1229" s="227" t="n"/>
      <c r="K1229" s="227" t="n"/>
      <c r="L1229" s="227" t="n"/>
      <c r="M1229" s="227" t="n"/>
      <c r="N1229" s="127" t="n"/>
      <c r="O1229" s="227" t="n"/>
      <c r="P1229" s="227" t="n"/>
      <c r="Q1229" s="227" t="n"/>
      <c r="R1229" s="227" t="n"/>
      <c r="S1229" s="227" t="n"/>
      <c r="T1229" s="227" t="n"/>
    </row>
    <row r="1230">
      <c r="A1230" s="145">
        <f>IF($B1230="","",ROW()-5)</f>
        <v/>
      </c>
      <c r="B1230" s="127" t="n"/>
      <c r="C1230" s="223" t="n"/>
      <c r="D1230" s="127" t="n"/>
      <c r="E1230" s="227" t="n"/>
      <c r="F1230" s="227" t="n"/>
      <c r="G1230" s="227" t="n"/>
      <c r="H1230" s="227" t="n"/>
      <c r="I1230" s="227" t="n"/>
      <c r="J1230" s="227" t="n"/>
      <c r="K1230" s="227" t="n"/>
      <c r="L1230" s="227" t="n"/>
      <c r="M1230" s="227" t="n"/>
      <c r="N1230" s="127" t="n"/>
      <c r="O1230" s="227" t="n"/>
      <c r="P1230" s="227" t="n"/>
      <c r="Q1230" s="227" t="n"/>
      <c r="R1230" s="227" t="n"/>
      <c r="S1230" s="227" t="n"/>
      <c r="T1230" s="227" t="n"/>
    </row>
    <row r="1231">
      <c r="A1231" s="145">
        <f>IF($B1231="","",ROW()-5)</f>
        <v/>
      </c>
      <c r="B1231" s="127" t="n"/>
      <c r="C1231" s="223" t="n"/>
      <c r="D1231" s="127" t="n"/>
      <c r="E1231" s="227" t="n"/>
      <c r="F1231" s="227" t="n"/>
      <c r="G1231" s="227" t="n"/>
      <c r="H1231" s="227" t="n"/>
      <c r="I1231" s="227" t="n"/>
      <c r="J1231" s="227" t="n"/>
      <c r="K1231" s="227" t="n"/>
      <c r="L1231" s="227" t="n"/>
      <c r="M1231" s="227" t="n"/>
      <c r="N1231" s="127" t="n"/>
      <c r="O1231" s="227" t="n"/>
      <c r="P1231" s="227" t="n"/>
      <c r="Q1231" s="227" t="n"/>
      <c r="R1231" s="227" t="n"/>
      <c r="S1231" s="227" t="n"/>
      <c r="T1231" s="227" t="n"/>
    </row>
    <row r="1232">
      <c r="A1232" s="145">
        <f>IF($B1232="","",ROW()-5)</f>
        <v/>
      </c>
      <c r="B1232" s="127" t="n"/>
      <c r="C1232" s="223" t="n"/>
      <c r="D1232" s="127" t="n"/>
      <c r="E1232" s="227" t="n"/>
      <c r="F1232" s="227" t="n"/>
      <c r="G1232" s="227" t="n"/>
      <c r="H1232" s="227" t="n"/>
      <c r="I1232" s="227" t="n"/>
      <c r="J1232" s="227" t="n"/>
      <c r="K1232" s="227" t="n"/>
      <c r="L1232" s="227" t="n"/>
      <c r="M1232" s="227" t="n"/>
      <c r="N1232" s="127" t="n"/>
      <c r="O1232" s="227" t="n"/>
      <c r="P1232" s="227" t="n"/>
      <c r="Q1232" s="227" t="n"/>
      <c r="R1232" s="227" t="n"/>
      <c r="S1232" s="227" t="n"/>
      <c r="T1232" s="227" t="n"/>
    </row>
    <row r="1233">
      <c r="A1233" s="145">
        <f>IF($B1233="","",ROW()-5)</f>
        <v/>
      </c>
      <c r="B1233" s="127" t="n"/>
      <c r="C1233" s="223" t="n"/>
      <c r="D1233" s="127" t="n"/>
      <c r="E1233" s="227" t="n"/>
      <c r="F1233" s="227" t="n"/>
      <c r="G1233" s="227" t="n"/>
      <c r="H1233" s="227" t="n"/>
      <c r="I1233" s="227" t="n"/>
      <c r="J1233" s="227" t="n"/>
      <c r="K1233" s="227" t="n"/>
      <c r="L1233" s="227" t="n"/>
      <c r="M1233" s="227" t="n"/>
      <c r="N1233" s="127" t="n"/>
      <c r="O1233" s="227" t="n"/>
      <c r="P1233" s="227" t="n"/>
      <c r="Q1233" s="227" t="n"/>
      <c r="R1233" s="227" t="n"/>
      <c r="S1233" s="227" t="n"/>
      <c r="T1233" s="227" t="n"/>
    </row>
    <row r="1234">
      <c r="A1234" s="145">
        <f>IF($B1234="","",ROW()-5)</f>
        <v/>
      </c>
      <c r="B1234" s="127" t="n"/>
      <c r="C1234" s="223" t="n"/>
      <c r="D1234" s="127" t="n"/>
      <c r="E1234" s="227" t="n"/>
      <c r="F1234" s="227" t="n"/>
      <c r="G1234" s="227" t="n"/>
      <c r="H1234" s="227" t="n"/>
      <c r="I1234" s="227" t="n"/>
      <c r="J1234" s="227" t="n"/>
      <c r="K1234" s="227" t="n"/>
      <c r="L1234" s="227" t="n"/>
      <c r="M1234" s="227" t="n"/>
      <c r="N1234" s="127" t="n"/>
      <c r="O1234" s="227" t="n"/>
      <c r="P1234" s="227" t="n"/>
      <c r="Q1234" s="227" t="n"/>
      <c r="R1234" s="227" t="n"/>
      <c r="S1234" s="227" t="n"/>
      <c r="T1234" s="227" t="n"/>
    </row>
    <row r="1235">
      <c r="A1235" s="145">
        <f>IF($B1235="","",ROW()-5)</f>
        <v/>
      </c>
      <c r="B1235" s="127" t="n"/>
      <c r="C1235" s="223" t="n"/>
      <c r="D1235" s="127" t="n"/>
      <c r="E1235" s="227" t="n"/>
      <c r="F1235" s="227" t="n"/>
      <c r="G1235" s="227" t="n"/>
      <c r="H1235" s="227" t="n"/>
      <c r="I1235" s="227" t="n"/>
      <c r="J1235" s="227" t="n"/>
      <c r="K1235" s="227" t="n"/>
      <c r="L1235" s="227" t="n"/>
      <c r="M1235" s="227" t="n"/>
      <c r="N1235" s="127" t="n"/>
      <c r="O1235" s="227" t="n"/>
      <c r="P1235" s="227" t="n"/>
      <c r="Q1235" s="227" t="n"/>
      <c r="R1235" s="227" t="n"/>
      <c r="S1235" s="227" t="n"/>
      <c r="T1235" s="227" t="n"/>
    </row>
    <row r="1236">
      <c r="A1236" s="145">
        <f>IF($B1236="","",ROW()-5)</f>
        <v/>
      </c>
      <c r="B1236" s="127" t="n"/>
      <c r="C1236" s="223" t="n"/>
      <c r="D1236" s="127" t="n"/>
      <c r="E1236" s="227" t="n"/>
      <c r="F1236" s="227" t="n"/>
      <c r="G1236" s="227" t="n"/>
      <c r="H1236" s="227" t="n"/>
      <c r="I1236" s="227" t="n"/>
      <c r="J1236" s="227" t="n"/>
      <c r="K1236" s="227" t="n"/>
      <c r="L1236" s="227" t="n"/>
      <c r="M1236" s="227" t="n"/>
      <c r="N1236" s="127" t="n"/>
      <c r="O1236" s="227" t="n"/>
      <c r="P1236" s="227" t="n"/>
      <c r="Q1236" s="227" t="n"/>
      <c r="R1236" s="227" t="n"/>
      <c r="S1236" s="227" t="n"/>
      <c r="T1236" s="227" t="n"/>
    </row>
    <row r="1237">
      <c r="A1237" s="145">
        <f>IF($B1237="","",ROW()-5)</f>
        <v/>
      </c>
      <c r="B1237" s="127" t="n"/>
      <c r="C1237" s="223" t="n"/>
      <c r="D1237" s="127" t="n"/>
      <c r="E1237" s="227" t="n"/>
      <c r="F1237" s="227" t="n"/>
      <c r="G1237" s="227" t="n"/>
      <c r="H1237" s="227" t="n"/>
      <c r="I1237" s="227" t="n"/>
      <c r="J1237" s="227" t="n"/>
      <c r="K1237" s="227" t="n"/>
      <c r="L1237" s="227" t="n"/>
      <c r="M1237" s="227" t="n"/>
      <c r="N1237" s="127" t="n"/>
      <c r="O1237" s="227" t="n"/>
      <c r="P1237" s="227" t="n"/>
      <c r="Q1237" s="227" t="n"/>
      <c r="R1237" s="227" t="n"/>
      <c r="S1237" s="227" t="n"/>
      <c r="T1237" s="227" t="n"/>
    </row>
    <row r="1238">
      <c r="A1238" s="145">
        <f>IF($B1238="","",ROW()-5)</f>
        <v/>
      </c>
      <c r="B1238" s="127" t="n"/>
      <c r="C1238" s="223" t="n"/>
      <c r="D1238" s="127" t="n"/>
      <c r="E1238" s="227" t="n"/>
      <c r="F1238" s="227" t="n"/>
      <c r="G1238" s="227" t="n"/>
      <c r="H1238" s="227" t="n"/>
      <c r="I1238" s="227" t="n"/>
      <c r="J1238" s="227" t="n"/>
      <c r="K1238" s="227" t="n"/>
      <c r="L1238" s="227" t="n"/>
      <c r="M1238" s="227" t="n"/>
      <c r="N1238" s="127" t="n"/>
      <c r="O1238" s="227" t="n"/>
      <c r="P1238" s="227" t="n"/>
      <c r="Q1238" s="227" t="n"/>
      <c r="R1238" s="227" t="n"/>
      <c r="S1238" s="227" t="n"/>
      <c r="T1238" s="227" t="n"/>
    </row>
    <row r="1239">
      <c r="A1239" s="145">
        <f>IF($B1239="","",ROW()-5)</f>
        <v/>
      </c>
      <c r="B1239" s="127" t="n"/>
      <c r="C1239" s="223" t="n"/>
      <c r="D1239" s="127" t="n"/>
      <c r="E1239" s="227" t="n"/>
      <c r="F1239" s="227" t="n"/>
      <c r="G1239" s="227" t="n"/>
      <c r="H1239" s="227" t="n"/>
      <c r="I1239" s="227" t="n"/>
      <c r="J1239" s="227" t="n"/>
      <c r="K1239" s="227" t="n"/>
      <c r="L1239" s="227" t="n"/>
      <c r="M1239" s="227" t="n"/>
      <c r="N1239" s="127" t="n"/>
      <c r="O1239" s="227" t="n"/>
      <c r="P1239" s="227" t="n"/>
      <c r="Q1239" s="227" t="n"/>
      <c r="R1239" s="227" t="n"/>
      <c r="S1239" s="227" t="n"/>
      <c r="T1239" s="227" t="n"/>
    </row>
    <row r="1240">
      <c r="A1240" s="145">
        <f>IF($B1240="","",ROW()-5)</f>
        <v/>
      </c>
      <c r="B1240" s="127" t="n"/>
      <c r="C1240" s="223" t="n"/>
      <c r="D1240" s="127" t="n"/>
      <c r="E1240" s="227" t="n"/>
      <c r="F1240" s="227" t="n"/>
      <c r="G1240" s="227" t="n"/>
      <c r="H1240" s="227" t="n"/>
      <c r="I1240" s="227" t="n"/>
      <c r="J1240" s="227" t="n"/>
      <c r="K1240" s="227" t="n"/>
      <c r="L1240" s="227" t="n"/>
      <c r="M1240" s="227" t="n"/>
      <c r="N1240" s="127" t="n"/>
      <c r="O1240" s="227" t="n"/>
      <c r="P1240" s="227" t="n"/>
      <c r="Q1240" s="227" t="n"/>
      <c r="R1240" s="227" t="n"/>
      <c r="S1240" s="227" t="n"/>
      <c r="T1240" s="227" t="n"/>
    </row>
    <row r="1241">
      <c r="A1241" s="145">
        <f>IF($B1241="","",ROW()-5)</f>
        <v/>
      </c>
      <c r="B1241" s="127" t="n"/>
      <c r="C1241" s="223" t="n"/>
      <c r="D1241" s="127" t="n"/>
      <c r="E1241" s="227" t="n"/>
      <c r="F1241" s="227" t="n"/>
      <c r="G1241" s="227" t="n"/>
      <c r="H1241" s="227" t="n"/>
      <c r="I1241" s="227" t="n"/>
      <c r="J1241" s="227" t="n"/>
      <c r="K1241" s="227" t="n"/>
      <c r="L1241" s="227" t="n"/>
      <c r="M1241" s="227" t="n"/>
      <c r="N1241" s="127" t="n"/>
      <c r="O1241" s="227" t="n"/>
      <c r="P1241" s="227" t="n"/>
      <c r="Q1241" s="227" t="n"/>
      <c r="R1241" s="227" t="n"/>
      <c r="S1241" s="227" t="n"/>
      <c r="T1241" s="227" t="n"/>
    </row>
    <row r="1242">
      <c r="A1242" s="145">
        <f>IF($B1242="","",ROW()-5)</f>
        <v/>
      </c>
      <c r="B1242" s="127" t="n"/>
      <c r="C1242" s="223" t="n"/>
      <c r="D1242" s="127" t="n"/>
      <c r="E1242" s="227" t="n"/>
      <c r="F1242" s="227" t="n"/>
      <c r="G1242" s="227" t="n"/>
      <c r="H1242" s="227" t="n"/>
      <c r="I1242" s="227" t="n"/>
      <c r="J1242" s="227" t="n"/>
      <c r="K1242" s="227" t="n"/>
      <c r="L1242" s="227" t="n"/>
      <c r="M1242" s="227" t="n"/>
      <c r="N1242" s="127" t="n"/>
      <c r="O1242" s="227" t="n"/>
      <c r="P1242" s="227" t="n"/>
      <c r="Q1242" s="227" t="n"/>
      <c r="R1242" s="227" t="n"/>
      <c r="S1242" s="227" t="n"/>
      <c r="T1242" s="227" t="n"/>
    </row>
    <row r="1243">
      <c r="A1243" s="145">
        <f>IF($B1243="","",ROW()-5)</f>
        <v/>
      </c>
      <c r="B1243" s="127" t="n"/>
      <c r="C1243" s="223" t="n"/>
      <c r="D1243" s="127" t="n"/>
      <c r="E1243" s="227" t="n"/>
      <c r="F1243" s="227" t="n"/>
      <c r="G1243" s="227" t="n"/>
      <c r="H1243" s="227" t="n"/>
      <c r="I1243" s="227" t="n"/>
      <c r="J1243" s="227" t="n"/>
      <c r="K1243" s="227" t="n"/>
      <c r="L1243" s="227" t="n"/>
      <c r="M1243" s="227" t="n"/>
      <c r="N1243" s="127" t="n"/>
      <c r="O1243" s="227" t="n"/>
      <c r="P1243" s="227" t="n"/>
      <c r="Q1243" s="227" t="n"/>
      <c r="R1243" s="227" t="n"/>
      <c r="S1243" s="227" t="n"/>
      <c r="T1243" s="227" t="n"/>
    </row>
    <row r="1244">
      <c r="A1244" s="145">
        <f>IF($B1244="","",ROW()-5)</f>
        <v/>
      </c>
      <c r="B1244" s="127" t="n"/>
      <c r="C1244" s="223" t="n"/>
      <c r="D1244" s="127" t="n"/>
      <c r="E1244" s="227" t="n"/>
      <c r="F1244" s="227" t="n"/>
      <c r="G1244" s="227" t="n"/>
      <c r="H1244" s="227" t="n"/>
      <c r="I1244" s="227" t="n"/>
      <c r="J1244" s="227" t="n"/>
      <c r="K1244" s="227" t="n"/>
      <c r="L1244" s="227" t="n"/>
      <c r="M1244" s="227" t="n"/>
      <c r="N1244" s="127" t="n"/>
      <c r="O1244" s="227" t="n"/>
      <c r="P1244" s="227" t="n"/>
      <c r="Q1244" s="227" t="n"/>
      <c r="R1244" s="227" t="n"/>
      <c r="S1244" s="227" t="n"/>
      <c r="T1244" s="227" t="n"/>
    </row>
    <row r="1245">
      <c r="A1245" s="145">
        <f>IF($B1245="","",ROW()-5)</f>
        <v/>
      </c>
      <c r="B1245" s="127" t="n"/>
      <c r="C1245" s="223" t="n"/>
      <c r="D1245" s="127" t="n"/>
      <c r="E1245" s="227" t="n"/>
      <c r="F1245" s="227" t="n"/>
      <c r="G1245" s="227" t="n"/>
      <c r="H1245" s="227" t="n"/>
      <c r="I1245" s="227" t="n"/>
      <c r="J1245" s="227" t="n"/>
      <c r="K1245" s="227" t="n"/>
      <c r="L1245" s="227" t="n"/>
      <c r="M1245" s="227" t="n"/>
      <c r="N1245" s="127" t="n"/>
      <c r="O1245" s="227" t="n"/>
      <c r="P1245" s="227" t="n"/>
      <c r="Q1245" s="227" t="n"/>
      <c r="R1245" s="227" t="n"/>
      <c r="S1245" s="227" t="n"/>
      <c r="T1245" s="227" t="n"/>
    </row>
    <row r="1246">
      <c r="A1246" s="145">
        <f>IF($B1246="","",ROW()-5)</f>
        <v/>
      </c>
      <c r="B1246" s="127" t="n"/>
      <c r="C1246" s="223" t="n"/>
      <c r="D1246" s="127" t="n"/>
      <c r="E1246" s="227" t="n"/>
      <c r="F1246" s="227" t="n"/>
      <c r="G1246" s="227" t="n"/>
      <c r="H1246" s="227" t="n"/>
      <c r="I1246" s="227" t="n"/>
      <c r="J1246" s="227" t="n"/>
      <c r="K1246" s="227" t="n"/>
      <c r="L1246" s="227" t="n"/>
      <c r="M1246" s="227" t="n"/>
      <c r="N1246" s="127" t="n"/>
      <c r="O1246" s="227" t="n"/>
      <c r="P1246" s="227" t="n"/>
      <c r="Q1246" s="227" t="n"/>
      <c r="R1246" s="227" t="n"/>
      <c r="S1246" s="227" t="n"/>
      <c r="T1246" s="227" t="n"/>
    </row>
    <row r="1247">
      <c r="A1247" s="145">
        <f>IF($B1247="","",ROW()-5)</f>
        <v/>
      </c>
      <c r="B1247" s="127" t="n"/>
      <c r="C1247" s="223" t="n"/>
      <c r="D1247" s="127" t="n"/>
      <c r="E1247" s="227" t="n"/>
      <c r="F1247" s="227" t="n"/>
      <c r="G1247" s="227" t="n"/>
      <c r="H1247" s="227" t="n"/>
      <c r="I1247" s="227" t="n"/>
      <c r="J1247" s="227" t="n"/>
      <c r="K1247" s="227" t="n"/>
      <c r="L1247" s="227" t="n"/>
      <c r="M1247" s="227" t="n"/>
      <c r="N1247" s="127" t="n"/>
      <c r="O1247" s="227" t="n"/>
      <c r="P1247" s="227" t="n"/>
      <c r="Q1247" s="227" t="n"/>
      <c r="R1247" s="227" t="n"/>
      <c r="S1247" s="227" t="n"/>
      <c r="T1247" s="227" t="n"/>
    </row>
    <row r="1248">
      <c r="A1248" s="145">
        <f>IF($B1248="","",ROW()-5)</f>
        <v/>
      </c>
      <c r="B1248" s="127" t="n"/>
      <c r="C1248" s="223" t="n"/>
      <c r="D1248" s="127" t="n"/>
      <c r="E1248" s="227" t="n"/>
      <c r="F1248" s="227" t="n"/>
      <c r="G1248" s="227" t="n"/>
      <c r="H1248" s="227" t="n"/>
      <c r="I1248" s="227" t="n"/>
      <c r="J1248" s="227" t="n"/>
      <c r="K1248" s="227" t="n"/>
      <c r="L1248" s="227" t="n"/>
      <c r="M1248" s="227" t="n"/>
      <c r="N1248" s="127" t="n"/>
      <c r="O1248" s="227" t="n"/>
      <c r="P1248" s="227" t="n"/>
      <c r="Q1248" s="227" t="n"/>
      <c r="R1248" s="227" t="n"/>
      <c r="S1248" s="227" t="n"/>
      <c r="T1248" s="227" t="n"/>
    </row>
    <row r="1249">
      <c r="A1249" s="145">
        <f>IF($B1249="","",ROW()-5)</f>
        <v/>
      </c>
      <c r="B1249" s="127" t="n"/>
      <c r="C1249" s="223" t="n"/>
      <c r="D1249" s="127" t="n"/>
      <c r="E1249" s="227" t="n"/>
      <c r="F1249" s="227" t="n"/>
      <c r="G1249" s="227" t="n"/>
      <c r="H1249" s="227" t="n"/>
      <c r="I1249" s="227" t="n"/>
      <c r="J1249" s="227" t="n"/>
      <c r="K1249" s="227" t="n"/>
      <c r="L1249" s="227" t="n"/>
      <c r="M1249" s="227" t="n"/>
      <c r="N1249" s="127" t="n"/>
      <c r="O1249" s="227" t="n"/>
      <c r="P1249" s="227" t="n"/>
      <c r="Q1249" s="227" t="n"/>
      <c r="R1249" s="227" t="n"/>
      <c r="S1249" s="227" t="n"/>
      <c r="T1249" s="227" t="n"/>
    </row>
    <row r="1250">
      <c r="A1250" s="145">
        <f>IF($B1250="","",ROW()-5)</f>
        <v/>
      </c>
      <c r="B1250" s="127" t="n"/>
      <c r="C1250" s="223" t="n"/>
      <c r="D1250" s="127" t="n"/>
      <c r="E1250" s="227" t="n"/>
      <c r="F1250" s="227" t="n"/>
      <c r="G1250" s="227" t="n"/>
      <c r="H1250" s="227" t="n"/>
      <c r="I1250" s="227" t="n"/>
      <c r="J1250" s="227" t="n"/>
      <c r="K1250" s="227" t="n"/>
      <c r="L1250" s="227" t="n"/>
      <c r="M1250" s="227" t="n"/>
      <c r="N1250" s="127" t="n"/>
      <c r="O1250" s="227" t="n"/>
      <c r="P1250" s="227" t="n"/>
      <c r="Q1250" s="227" t="n"/>
      <c r="R1250" s="227" t="n"/>
      <c r="S1250" s="227" t="n"/>
      <c r="T1250" s="227" t="n"/>
    </row>
    <row r="1251">
      <c r="A1251" s="145">
        <f>IF($B1251="","",ROW()-5)</f>
        <v/>
      </c>
      <c r="B1251" s="127" t="n"/>
      <c r="C1251" s="223" t="n"/>
      <c r="D1251" s="127" t="n"/>
      <c r="E1251" s="227" t="n"/>
      <c r="F1251" s="227" t="n"/>
      <c r="G1251" s="227" t="n"/>
      <c r="H1251" s="227" t="n"/>
      <c r="I1251" s="227" t="n"/>
      <c r="J1251" s="227" t="n"/>
      <c r="K1251" s="227" t="n"/>
      <c r="L1251" s="227" t="n"/>
      <c r="M1251" s="227" t="n"/>
      <c r="N1251" s="127" t="n"/>
      <c r="O1251" s="227" t="n"/>
      <c r="P1251" s="227" t="n"/>
      <c r="Q1251" s="227" t="n"/>
      <c r="R1251" s="227" t="n"/>
      <c r="S1251" s="227" t="n"/>
      <c r="T1251" s="227" t="n"/>
    </row>
    <row r="1252">
      <c r="A1252" s="145">
        <f>IF($B1252="","",ROW()-5)</f>
        <v/>
      </c>
      <c r="B1252" s="127" t="n"/>
      <c r="C1252" s="223" t="n"/>
      <c r="D1252" s="127" t="n"/>
      <c r="E1252" s="227" t="n"/>
      <c r="F1252" s="227" t="n"/>
      <c r="G1252" s="227" t="n"/>
      <c r="H1252" s="227" t="n"/>
      <c r="I1252" s="227" t="n"/>
      <c r="J1252" s="227" t="n"/>
      <c r="K1252" s="227" t="n"/>
      <c r="L1252" s="227" t="n"/>
      <c r="M1252" s="227" t="n"/>
      <c r="N1252" s="127" t="n"/>
      <c r="O1252" s="227" t="n"/>
      <c r="P1252" s="227" t="n"/>
      <c r="Q1252" s="227" t="n"/>
      <c r="R1252" s="227" t="n"/>
      <c r="S1252" s="227" t="n"/>
      <c r="T1252" s="227" t="n"/>
    </row>
    <row r="1253">
      <c r="A1253" s="145">
        <f>IF($B1253="","",ROW()-5)</f>
        <v/>
      </c>
      <c r="B1253" s="127" t="n"/>
      <c r="C1253" s="223" t="n"/>
      <c r="D1253" s="127" t="n"/>
      <c r="E1253" s="227" t="n"/>
      <c r="F1253" s="227" t="n"/>
      <c r="G1253" s="227" t="n"/>
      <c r="H1253" s="227" t="n"/>
      <c r="I1253" s="227" t="n"/>
      <c r="J1253" s="227" t="n"/>
      <c r="K1253" s="227" t="n"/>
      <c r="L1253" s="227" t="n"/>
      <c r="M1253" s="227" t="n"/>
      <c r="N1253" s="127" t="n"/>
      <c r="O1253" s="227" t="n"/>
      <c r="P1253" s="227" t="n"/>
      <c r="Q1253" s="227" t="n"/>
      <c r="R1253" s="227" t="n"/>
      <c r="S1253" s="227" t="n"/>
      <c r="T1253" s="227" t="n"/>
    </row>
    <row r="1254">
      <c r="A1254" s="145">
        <f>IF($B1254="","",ROW()-5)</f>
        <v/>
      </c>
      <c r="B1254" s="127" t="n"/>
      <c r="C1254" s="223" t="n"/>
      <c r="D1254" s="127" t="n"/>
      <c r="E1254" s="227" t="n"/>
      <c r="F1254" s="227" t="n"/>
      <c r="G1254" s="227" t="n"/>
      <c r="H1254" s="227" t="n"/>
      <c r="I1254" s="227" t="n"/>
      <c r="J1254" s="227" t="n"/>
      <c r="K1254" s="227" t="n"/>
      <c r="L1254" s="227" t="n"/>
      <c r="M1254" s="227" t="n"/>
      <c r="N1254" s="127" t="n"/>
      <c r="O1254" s="227" t="n"/>
      <c r="P1254" s="227" t="n"/>
      <c r="Q1254" s="227" t="n"/>
      <c r="R1254" s="227" t="n"/>
      <c r="S1254" s="227" t="n"/>
      <c r="T1254" s="227" t="n"/>
    </row>
    <row r="1255">
      <c r="A1255" s="145">
        <f>IF($B1255="","",ROW()-5)</f>
        <v/>
      </c>
      <c r="B1255" s="127" t="n"/>
      <c r="C1255" s="223" t="n"/>
      <c r="D1255" s="127" t="n"/>
      <c r="E1255" s="227" t="n"/>
      <c r="F1255" s="227" t="n"/>
      <c r="G1255" s="227" t="n"/>
      <c r="H1255" s="227" t="n"/>
      <c r="I1255" s="227" t="n"/>
      <c r="J1255" s="227" t="n"/>
      <c r="K1255" s="227" t="n"/>
      <c r="L1255" s="227" t="n"/>
      <c r="M1255" s="227" t="n"/>
      <c r="N1255" s="127" t="n"/>
      <c r="O1255" s="227" t="n"/>
      <c r="P1255" s="227" t="n"/>
      <c r="Q1255" s="227" t="n"/>
      <c r="R1255" s="227" t="n"/>
      <c r="S1255" s="227" t="n"/>
      <c r="T1255" s="227" t="n"/>
    </row>
    <row r="1256">
      <c r="A1256" s="145">
        <f>IF($B1256="","",ROW()-5)</f>
        <v/>
      </c>
      <c r="B1256" s="127" t="n"/>
      <c r="C1256" s="223" t="n"/>
      <c r="D1256" s="127" t="n"/>
      <c r="E1256" s="227" t="n"/>
      <c r="F1256" s="227" t="n"/>
      <c r="G1256" s="227" t="n"/>
      <c r="H1256" s="227" t="n"/>
      <c r="I1256" s="227" t="n"/>
      <c r="J1256" s="227" t="n"/>
      <c r="K1256" s="227" t="n"/>
      <c r="L1256" s="227" t="n"/>
      <c r="M1256" s="227" t="n"/>
      <c r="N1256" s="127" t="n"/>
      <c r="O1256" s="227" t="n"/>
      <c r="P1256" s="227" t="n"/>
      <c r="Q1256" s="227" t="n"/>
      <c r="R1256" s="227" t="n"/>
      <c r="S1256" s="227" t="n"/>
      <c r="T1256" s="227" t="n"/>
    </row>
    <row r="1257">
      <c r="A1257" s="145">
        <f>IF($B1257="","",ROW()-5)</f>
        <v/>
      </c>
      <c r="B1257" s="127" t="n"/>
      <c r="C1257" s="223" t="n"/>
      <c r="D1257" s="127" t="n"/>
      <c r="E1257" s="227" t="n"/>
      <c r="F1257" s="227" t="n"/>
      <c r="G1257" s="227" t="n"/>
      <c r="H1257" s="227" t="n"/>
      <c r="I1257" s="227" t="n"/>
      <c r="J1257" s="227" t="n"/>
      <c r="K1257" s="227" t="n"/>
      <c r="L1257" s="227" t="n"/>
      <c r="M1257" s="227" t="n"/>
      <c r="N1257" s="127" t="n"/>
      <c r="O1257" s="227" t="n"/>
      <c r="P1257" s="227" t="n"/>
      <c r="Q1257" s="227" t="n"/>
      <c r="R1257" s="227" t="n"/>
      <c r="S1257" s="227" t="n"/>
      <c r="T1257" s="227" t="n"/>
    </row>
    <row r="1258">
      <c r="A1258" s="145">
        <f>IF($B1258="","",ROW()-5)</f>
        <v/>
      </c>
      <c r="B1258" s="127" t="n"/>
      <c r="C1258" s="223" t="n"/>
      <c r="D1258" s="127" t="n"/>
      <c r="E1258" s="227" t="n"/>
      <c r="F1258" s="227" t="n"/>
      <c r="G1258" s="227" t="n"/>
      <c r="H1258" s="227" t="n"/>
      <c r="I1258" s="227" t="n"/>
      <c r="J1258" s="227" t="n"/>
      <c r="K1258" s="227" t="n"/>
      <c r="L1258" s="227" t="n"/>
      <c r="M1258" s="227" t="n"/>
      <c r="N1258" s="127" t="n"/>
      <c r="O1258" s="227" t="n"/>
      <c r="P1258" s="227" t="n"/>
      <c r="Q1258" s="227" t="n"/>
      <c r="R1258" s="227" t="n"/>
      <c r="S1258" s="227" t="n"/>
      <c r="T1258" s="227" t="n"/>
    </row>
    <row r="1259">
      <c r="A1259" s="145">
        <f>IF($B1259="","",ROW()-5)</f>
        <v/>
      </c>
      <c r="B1259" s="127" t="n"/>
      <c r="C1259" s="223" t="n"/>
      <c r="D1259" s="127" t="n"/>
      <c r="E1259" s="227" t="n"/>
      <c r="F1259" s="227" t="n"/>
      <c r="G1259" s="227" t="n"/>
      <c r="H1259" s="227" t="n"/>
      <c r="I1259" s="227" t="n"/>
      <c r="J1259" s="227" t="n"/>
      <c r="K1259" s="227" t="n"/>
      <c r="L1259" s="227" t="n"/>
      <c r="M1259" s="227" t="n"/>
      <c r="N1259" s="127" t="n"/>
      <c r="O1259" s="227" t="n"/>
      <c r="P1259" s="227" t="n"/>
      <c r="Q1259" s="227" t="n"/>
      <c r="R1259" s="227" t="n"/>
      <c r="S1259" s="227" t="n"/>
      <c r="T1259" s="227" t="n"/>
    </row>
    <row r="1260">
      <c r="A1260" s="145">
        <f>IF($B1260="","",ROW()-5)</f>
        <v/>
      </c>
      <c r="B1260" s="127" t="n"/>
      <c r="C1260" s="223" t="n"/>
      <c r="D1260" s="127" t="n"/>
      <c r="E1260" s="227" t="n"/>
      <c r="F1260" s="227" t="n"/>
      <c r="G1260" s="227" t="n"/>
      <c r="H1260" s="227" t="n"/>
      <c r="I1260" s="227" t="n"/>
      <c r="J1260" s="227" t="n"/>
      <c r="K1260" s="227" t="n"/>
      <c r="L1260" s="227" t="n"/>
      <c r="M1260" s="227" t="n"/>
      <c r="N1260" s="127" t="n"/>
      <c r="O1260" s="227" t="n"/>
      <c r="P1260" s="227" t="n"/>
      <c r="Q1260" s="227" t="n"/>
      <c r="R1260" s="227" t="n"/>
      <c r="S1260" s="227" t="n"/>
      <c r="T1260" s="227" t="n"/>
    </row>
    <row r="1261">
      <c r="A1261" s="145">
        <f>IF($B1261="","",ROW()-5)</f>
        <v/>
      </c>
      <c r="B1261" s="127" t="n"/>
      <c r="C1261" s="223" t="n"/>
      <c r="D1261" s="127" t="n"/>
      <c r="E1261" s="227" t="n"/>
      <c r="F1261" s="227" t="n"/>
      <c r="G1261" s="227" t="n"/>
      <c r="H1261" s="227" t="n"/>
      <c r="I1261" s="227" t="n"/>
      <c r="J1261" s="227" t="n"/>
      <c r="K1261" s="227" t="n"/>
      <c r="L1261" s="227" t="n"/>
      <c r="M1261" s="227" t="n"/>
      <c r="N1261" s="127" t="n"/>
      <c r="O1261" s="227" t="n"/>
      <c r="P1261" s="227" t="n"/>
      <c r="Q1261" s="227" t="n"/>
      <c r="R1261" s="227" t="n"/>
      <c r="S1261" s="227" t="n"/>
      <c r="T1261" s="227" t="n"/>
    </row>
    <row r="1262">
      <c r="A1262" s="145">
        <f>IF($B1262="","",ROW()-5)</f>
        <v/>
      </c>
      <c r="B1262" s="127" t="n"/>
      <c r="C1262" s="223" t="n"/>
      <c r="D1262" s="127" t="n"/>
      <c r="E1262" s="227" t="n"/>
      <c r="F1262" s="227" t="n"/>
      <c r="G1262" s="227" t="n"/>
      <c r="H1262" s="227" t="n"/>
      <c r="I1262" s="227" t="n"/>
      <c r="J1262" s="227" t="n"/>
      <c r="K1262" s="227" t="n"/>
      <c r="L1262" s="227" t="n"/>
      <c r="M1262" s="227" t="n"/>
      <c r="N1262" s="127" t="n"/>
      <c r="O1262" s="227" t="n"/>
      <c r="P1262" s="227" t="n"/>
      <c r="Q1262" s="227" t="n"/>
      <c r="R1262" s="227" t="n"/>
      <c r="S1262" s="227" t="n"/>
      <c r="T1262" s="227" t="n"/>
    </row>
    <row r="1263">
      <c r="A1263" s="145">
        <f>IF($B1263="","",ROW()-5)</f>
        <v/>
      </c>
      <c r="B1263" s="127" t="n"/>
      <c r="C1263" s="223" t="n"/>
      <c r="D1263" s="127" t="n"/>
      <c r="E1263" s="227" t="n"/>
      <c r="F1263" s="227" t="n"/>
      <c r="G1263" s="227" t="n"/>
      <c r="H1263" s="227" t="n"/>
      <c r="I1263" s="227" t="n"/>
      <c r="J1263" s="227" t="n"/>
      <c r="K1263" s="227" t="n"/>
      <c r="L1263" s="227" t="n"/>
      <c r="M1263" s="227" t="n"/>
      <c r="N1263" s="127" t="n"/>
      <c r="O1263" s="227" t="n"/>
      <c r="P1263" s="227" t="n"/>
      <c r="Q1263" s="227" t="n"/>
      <c r="R1263" s="227" t="n"/>
      <c r="S1263" s="227" t="n"/>
      <c r="T1263" s="227" t="n"/>
    </row>
    <row r="1264">
      <c r="A1264" s="145">
        <f>IF($B1264="","",ROW()-5)</f>
        <v/>
      </c>
      <c r="B1264" s="127" t="n"/>
      <c r="C1264" s="223" t="n"/>
      <c r="D1264" s="127" t="n"/>
      <c r="E1264" s="227" t="n"/>
      <c r="F1264" s="227" t="n"/>
      <c r="G1264" s="227" t="n"/>
      <c r="H1264" s="227" t="n"/>
      <c r="I1264" s="227" t="n"/>
      <c r="J1264" s="227" t="n"/>
      <c r="K1264" s="227" t="n"/>
      <c r="L1264" s="227" t="n"/>
      <c r="M1264" s="227" t="n"/>
      <c r="N1264" s="127" t="n"/>
      <c r="O1264" s="227" t="n"/>
      <c r="P1264" s="227" t="n"/>
      <c r="Q1264" s="227" t="n"/>
      <c r="R1264" s="227" t="n"/>
      <c r="S1264" s="227" t="n"/>
      <c r="T1264" s="227" t="n"/>
    </row>
    <row r="1265">
      <c r="A1265" s="145">
        <f>IF($B1265="","",ROW()-5)</f>
        <v/>
      </c>
      <c r="B1265" s="127" t="n"/>
      <c r="C1265" s="223" t="n"/>
      <c r="D1265" s="127" t="n"/>
      <c r="E1265" s="227" t="n"/>
      <c r="F1265" s="227" t="n"/>
      <c r="G1265" s="227" t="n"/>
      <c r="H1265" s="227" t="n"/>
      <c r="I1265" s="227" t="n"/>
      <c r="J1265" s="227" t="n"/>
      <c r="K1265" s="227" t="n"/>
      <c r="L1265" s="227" t="n"/>
      <c r="M1265" s="227" t="n"/>
      <c r="N1265" s="127" t="n"/>
      <c r="O1265" s="227" t="n"/>
      <c r="P1265" s="227" t="n"/>
      <c r="Q1265" s="227" t="n"/>
      <c r="R1265" s="227" t="n"/>
      <c r="S1265" s="227" t="n"/>
      <c r="T1265" s="227" t="n"/>
    </row>
    <row r="1266">
      <c r="A1266" s="145">
        <f>IF($B1266="","",ROW()-5)</f>
        <v/>
      </c>
      <c r="B1266" s="127" t="n"/>
      <c r="C1266" s="223" t="n"/>
      <c r="D1266" s="127" t="n"/>
      <c r="E1266" s="227" t="n"/>
      <c r="F1266" s="227" t="n"/>
      <c r="G1266" s="227" t="n"/>
      <c r="H1266" s="227" t="n"/>
      <c r="I1266" s="227" t="n"/>
      <c r="J1266" s="227" t="n"/>
      <c r="K1266" s="227" t="n"/>
      <c r="L1266" s="227" t="n"/>
      <c r="M1266" s="227" t="n"/>
      <c r="N1266" s="127" t="n"/>
      <c r="O1266" s="227" t="n"/>
      <c r="P1266" s="227" t="n"/>
      <c r="Q1266" s="227" t="n"/>
      <c r="R1266" s="227" t="n"/>
      <c r="S1266" s="227" t="n"/>
      <c r="T1266" s="227" t="n"/>
    </row>
    <row r="1267">
      <c r="A1267" s="145">
        <f>IF($B1267="","",ROW()-5)</f>
        <v/>
      </c>
      <c r="B1267" s="127" t="n"/>
      <c r="C1267" s="223" t="n"/>
      <c r="D1267" s="127" t="n"/>
      <c r="E1267" s="227" t="n"/>
      <c r="F1267" s="227" t="n"/>
      <c r="G1267" s="227" t="n"/>
      <c r="H1267" s="227" t="n"/>
      <c r="I1267" s="227" t="n"/>
      <c r="J1267" s="227" t="n"/>
      <c r="K1267" s="227" t="n"/>
      <c r="L1267" s="227" t="n"/>
      <c r="M1267" s="227" t="n"/>
      <c r="N1267" s="127" t="n"/>
      <c r="O1267" s="227" t="n"/>
      <c r="P1267" s="227" t="n"/>
      <c r="Q1267" s="227" t="n"/>
      <c r="R1267" s="227" t="n"/>
      <c r="S1267" s="227" t="n"/>
      <c r="T1267" s="227" t="n"/>
    </row>
    <row r="1268">
      <c r="A1268" s="145">
        <f>IF($B1268="","",ROW()-5)</f>
        <v/>
      </c>
      <c r="B1268" s="127" t="n"/>
      <c r="C1268" s="223" t="n"/>
      <c r="D1268" s="127" t="n"/>
      <c r="E1268" s="227" t="n"/>
      <c r="F1268" s="227" t="n"/>
      <c r="G1268" s="227" t="n"/>
      <c r="H1268" s="227" t="n"/>
      <c r="I1268" s="227" t="n"/>
      <c r="J1268" s="227" t="n"/>
      <c r="K1268" s="227" t="n"/>
      <c r="L1268" s="227" t="n"/>
      <c r="M1268" s="227" t="n"/>
      <c r="N1268" s="127" t="n"/>
      <c r="O1268" s="227" t="n"/>
      <c r="P1268" s="227" t="n"/>
      <c r="Q1268" s="227" t="n"/>
      <c r="R1268" s="227" t="n"/>
      <c r="S1268" s="227" t="n"/>
      <c r="T1268" s="227" t="n"/>
    </row>
    <row r="1269">
      <c r="A1269" s="145">
        <f>IF($B1269="","",ROW()-5)</f>
        <v/>
      </c>
      <c r="B1269" s="127" t="n"/>
      <c r="C1269" s="223" t="n"/>
      <c r="D1269" s="127" t="n"/>
      <c r="E1269" s="227" t="n"/>
      <c r="F1269" s="227" t="n"/>
      <c r="G1269" s="227" t="n"/>
      <c r="H1269" s="227" t="n"/>
      <c r="I1269" s="227" t="n"/>
      <c r="J1269" s="227" t="n"/>
      <c r="K1269" s="227" t="n"/>
      <c r="L1269" s="227" t="n"/>
      <c r="M1269" s="227" t="n"/>
      <c r="N1269" s="127" t="n"/>
      <c r="O1269" s="227" t="n"/>
      <c r="P1269" s="227" t="n"/>
      <c r="Q1269" s="227" t="n"/>
      <c r="R1269" s="227" t="n"/>
      <c r="S1269" s="227" t="n"/>
      <c r="T1269" s="227" t="n"/>
    </row>
    <row r="1270">
      <c r="A1270" s="145">
        <f>IF($B1270="","",ROW()-5)</f>
        <v/>
      </c>
      <c r="B1270" s="127" t="n"/>
      <c r="C1270" s="223" t="n"/>
      <c r="D1270" s="127" t="n"/>
      <c r="E1270" s="227" t="n"/>
      <c r="F1270" s="227" t="n"/>
      <c r="G1270" s="227" t="n"/>
      <c r="H1270" s="227" t="n"/>
      <c r="I1270" s="227" t="n"/>
      <c r="J1270" s="227" t="n"/>
      <c r="K1270" s="227" t="n"/>
      <c r="L1270" s="227" t="n"/>
      <c r="M1270" s="227" t="n"/>
      <c r="N1270" s="127" t="n"/>
      <c r="O1270" s="227" t="n"/>
      <c r="P1270" s="227" t="n"/>
      <c r="Q1270" s="227" t="n"/>
      <c r="R1270" s="227" t="n"/>
      <c r="S1270" s="227" t="n"/>
      <c r="T1270" s="227" t="n"/>
    </row>
    <row r="1271">
      <c r="A1271" s="145">
        <f>IF($B1271="","",ROW()-5)</f>
        <v/>
      </c>
      <c r="B1271" s="127" t="n"/>
      <c r="C1271" s="223" t="n"/>
      <c r="D1271" s="127" t="n"/>
      <c r="E1271" s="227" t="n"/>
      <c r="F1271" s="227" t="n"/>
      <c r="G1271" s="227" t="n"/>
      <c r="H1271" s="227" t="n"/>
      <c r="I1271" s="227" t="n"/>
      <c r="J1271" s="227" t="n"/>
      <c r="K1271" s="227" t="n"/>
      <c r="L1271" s="227" t="n"/>
      <c r="M1271" s="227" t="n"/>
      <c r="N1271" s="127" t="n"/>
      <c r="O1271" s="227" t="n"/>
      <c r="P1271" s="227" t="n"/>
      <c r="Q1271" s="227" t="n"/>
      <c r="R1271" s="227" t="n"/>
      <c r="S1271" s="227" t="n"/>
      <c r="T1271" s="227" t="n"/>
    </row>
    <row r="1272">
      <c r="A1272" s="145">
        <f>IF($B1272="","",ROW()-5)</f>
        <v/>
      </c>
      <c r="B1272" s="127" t="n"/>
      <c r="C1272" s="223" t="n"/>
      <c r="D1272" s="127" t="n"/>
      <c r="E1272" s="227" t="n"/>
      <c r="F1272" s="227" t="n"/>
      <c r="G1272" s="227" t="n"/>
      <c r="H1272" s="227" t="n"/>
      <c r="I1272" s="227" t="n"/>
      <c r="J1272" s="227" t="n"/>
      <c r="K1272" s="227" t="n"/>
      <c r="L1272" s="227" t="n"/>
      <c r="M1272" s="227" t="n"/>
      <c r="N1272" s="127" t="n"/>
      <c r="O1272" s="227" t="n"/>
      <c r="P1272" s="227" t="n"/>
      <c r="Q1272" s="227" t="n"/>
      <c r="R1272" s="227" t="n"/>
      <c r="S1272" s="227" t="n"/>
      <c r="T1272" s="227" t="n"/>
    </row>
    <row r="1273">
      <c r="A1273" s="145">
        <f>IF($B1273="","",ROW()-5)</f>
        <v/>
      </c>
      <c r="B1273" s="127" t="n"/>
      <c r="C1273" s="223" t="n"/>
      <c r="D1273" s="127" t="n"/>
      <c r="E1273" s="227" t="n"/>
      <c r="F1273" s="227" t="n"/>
      <c r="G1273" s="227" t="n"/>
      <c r="H1273" s="227" t="n"/>
      <c r="I1273" s="227" t="n"/>
      <c r="J1273" s="227" t="n"/>
      <c r="K1273" s="227" t="n"/>
      <c r="L1273" s="227" t="n"/>
      <c r="M1273" s="227" t="n"/>
      <c r="N1273" s="127" t="n"/>
      <c r="O1273" s="227" t="n"/>
      <c r="P1273" s="227" t="n"/>
      <c r="Q1273" s="227" t="n"/>
      <c r="R1273" s="227" t="n"/>
      <c r="S1273" s="227" t="n"/>
      <c r="T1273" s="227" t="n"/>
    </row>
    <row r="1274">
      <c r="A1274" s="145">
        <f>IF($B1274="","",ROW()-5)</f>
        <v/>
      </c>
      <c r="B1274" s="127" t="n"/>
      <c r="C1274" s="223" t="n"/>
      <c r="D1274" s="127" t="n"/>
      <c r="E1274" s="227" t="n"/>
      <c r="F1274" s="227" t="n"/>
      <c r="G1274" s="227" t="n"/>
      <c r="H1274" s="227" t="n"/>
      <c r="I1274" s="227" t="n"/>
      <c r="J1274" s="227" t="n"/>
      <c r="K1274" s="227" t="n"/>
      <c r="L1274" s="227" t="n"/>
      <c r="M1274" s="227" t="n"/>
      <c r="N1274" s="127" t="n"/>
      <c r="O1274" s="227" t="n"/>
      <c r="P1274" s="227" t="n"/>
      <c r="Q1274" s="227" t="n"/>
      <c r="R1274" s="227" t="n"/>
      <c r="S1274" s="227" t="n"/>
      <c r="T1274" s="227" t="n"/>
    </row>
    <row r="1275">
      <c r="A1275" s="145">
        <f>IF($B1275="","",ROW()-5)</f>
        <v/>
      </c>
      <c r="B1275" s="127" t="n"/>
      <c r="C1275" s="223" t="n"/>
      <c r="D1275" s="127" t="n"/>
      <c r="E1275" s="227" t="n"/>
      <c r="F1275" s="227" t="n"/>
      <c r="G1275" s="227" t="n"/>
      <c r="H1275" s="227" t="n"/>
      <c r="I1275" s="227" t="n"/>
      <c r="J1275" s="227" t="n"/>
      <c r="K1275" s="227" t="n"/>
      <c r="L1275" s="227" t="n"/>
      <c r="M1275" s="227" t="n"/>
      <c r="N1275" s="127" t="n"/>
      <c r="O1275" s="227" t="n"/>
      <c r="P1275" s="227" t="n"/>
      <c r="Q1275" s="227" t="n"/>
      <c r="R1275" s="227" t="n"/>
      <c r="S1275" s="227" t="n"/>
      <c r="T1275" s="227" t="n"/>
    </row>
    <row r="1276">
      <c r="A1276" s="145">
        <f>IF($B1276="","",ROW()-5)</f>
        <v/>
      </c>
      <c r="B1276" s="127" t="n"/>
      <c r="C1276" s="223" t="n"/>
      <c r="D1276" s="127" t="n"/>
      <c r="E1276" s="227" t="n"/>
      <c r="F1276" s="227" t="n"/>
      <c r="G1276" s="227" t="n"/>
      <c r="H1276" s="227" t="n"/>
      <c r="I1276" s="227" t="n"/>
      <c r="J1276" s="227" t="n"/>
      <c r="K1276" s="227" t="n"/>
      <c r="L1276" s="227" t="n"/>
      <c r="M1276" s="227" t="n"/>
      <c r="N1276" s="127" t="n"/>
      <c r="O1276" s="227" t="n"/>
      <c r="P1276" s="227" t="n"/>
      <c r="Q1276" s="227" t="n"/>
      <c r="R1276" s="227" t="n"/>
      <c r="S1276" s="227" t="n"/>
      <c r="T1276" s="227" t="n"/>
    </row>
    <row r="1277">
      <c r="A1277" s="145">
        <f>IF($B1277="","",ROW()-5)</f>
        <v/>
      </c>
      <c r="B1277" s="127" t="n"/>
      <c r="C1277" s="223" t="n"/>
      <c r="D1277" s="127" t="n"/>
      <c r="E1277" s="227" t="n"/>
      <c r="F1277" s="227" t="n"/>
      <c r="G1277" s="227" t="n"/>
      <c r="H1277" s="227" t="n"/>
      <c r="I1277" s="227" t="n"/>
      <c r="J1277" s="227" t="n"/>
      <c r="K1277" s="227" t="n"/>
      <c r="L1277" s="227" t="n"/>
      <c r="M1277" s="227" t="n"/>
      <c r="N1277" s="127" t="n"/>
      <c r="O1277" s="227" t="n"/>
      <c r="P1277" s="227" t="n"/>
      <c r="Q1277" s="227" t="n"/>
      <c r="R1277" s="227" t="n"/>
      <c r="S1277" s="227" t="n"/>
      <c r="T1277" s="227" t="n"/>
    </row>
    <row r="1278">
      <c r="A1278" s="145">
        <f>IF($B1278="","",ROW()-5)</f>
        <v/>
      </c>
      <c r="B1278" s="127" t="n"/>
      <c r="C1278" s="223" t="n"/>
      <c r="D1278" s="127" t="n"/>
      <c r="E1278" s="227" t="n"/>
      <c r="F1278" s="227" t="n"/>
      <c r="G1278" s="227" t="n"/>
      <c r="H1278" s="227" t="n"/>
      <c r="I1278" s="227" t="n"/>
      <c r="J1278" s="227" t="n"/>
      <c r="K1278" s="227" t="n"/>
      <c r="L1278" s="227" t="n"/>
      <c r="M1278" s="227" t="n"/>
      <c r="N1278" s="127" t="n"/>
      <c r="O1278" s="227" t="n"/>
      <c r="P1278" s="227" t="n"/>
      <c r="Q1278" s="227" t="n"/>
      <c r="R1278" s="227" t="n"/>
      <c r="S1278" s="227" t="n"/>
      <c r="T1278" s="227" t="n"/>
    </row>
    <row r="1279">
      <c r="A1279" s="145">
        <f>IF($B1279="","",ROW()-5)</f>
        <v/>
      </c>
      <c r="B1279" s="127" t="n"/>
      <c r="C1279" s="223" t="n"/>
      <c r="D1279" s="127" t="n"/>
      <c r="E1279" s="227" t="n"/>
      <c r="F1279" s="227" t="n"/>
      <c r="G1279" s="227" t="n"/>
      <c r="H1279" s="227" t="n"/>
      <c r="I1279" s="227" t="n"/>
      <c r="J1279" s="227" t="n"/>
      <c r="K1279" s="227" t="n"/>
      <c r="L1279" s="227" t="n"/>
      <c r="M1279" s="227" t="n"/>
      <c r="N1279" s="127" t="n"/>
      <c r="O1279" s="227" t="n"/>
      <c r="P1279" s="227" t="n"/>
      <c r="Q1279" s="227" t="n"/>
      <c r="R1279" s="227" t="n"/>
      <c r="S1279" s="227" t="n"/>
      <c r="T1279" s="227" t="n"/>
    </row>
    <row r="1280">
      <c r="A1280" s="145">
        <f>IF($B1280="","",ROW()-5)</f>
        <v/>
      </c>
      <c r="B1280" s="127" t="n"/>
      <c r="C1280" s="223" t="n"/>
      <c r="D1280" s="127" t="n"/>
      <c r="E1280" s="227" t="n"/>
      <c r="F1280" s="227" t="n"/>
      <c r="G1280" s="227" t="n"/>
      <c r="H1280" s="227" t="n"/>
      <c r="I1280" s="227" t="n"/>
      <c r="J1280" s="227" t="n"/>
      <c r="K1280" s="227" t="n"/>
      <c r="L1280" s="227" t="n"/>
      <c r="M1280" s="227" t="n"/>
      <c r="N1280" s="127" t="n"/>
      <c r="O1280" s="227" t="n"/>
      <c r="P1280" s="227" t="n"/>
      <c r="Q1280" s="227" t="n"/>
      <c r="R1280" s="227" t="n"/>
      <c r="S1280" s="227" t="n"/>
      <c r="T1280" s="227" t="n"/>
    </row>
    <row r="1281">
      <c r="A1281" s="145">
        <f>IF($B1281="","",ROW()-5)</f>
        <v/>
      </c>
      <c r="B1281" s="127" t="n"/>
      <c r="C1281" s="223" t="n"/>
      <c r="D1281" s="127" t="n"/>
      <c r="E1281" s="227" t="n"/>
      <c r="F1281" s="227" t="n"/>
      <c r="G1281" s="227" t="n"/>
      <c r="H1281" s="227" t="n"/>
      <c r="I1281" s="227" t="n"/>
      <c r="J1281" s="227" t="n"/>
      <c r="K1281" s="227" t="n"/>
      <c r="L1281" s="227" t="n"/>
      <c r="M1281" s="227" t="n"/>
      <c r="N1281" s="127" t="n"/>
      <c r="O1281" s="227" t="n"/>
      <c r="P1281" s="227" t="n"/>
      <c r="Q1281" s="227" t="n"/>
      <c r="R1281" s="227" t="n"/>
      <c r="S1281" s="227" t="n"/>
      <c r="T1281" s="227" t="n"/>
    </row>
    <row r="1282">
      <c r="A1282" s="145">
        <f>IF($B1282="","",ROW()-5)</f>
        <v/>
      </c>
      <c r="B1282" s="127" t="n"/>
      <c r="C1282" s="223" t="n"/>
      <c r="D1282" s="127" t="n"/>
      <c r="E1282" s="227" t="n"/>
      <c r="F1282" s="227" t="n"/>
      <c r="G1282" s="227" t="n"/>
      <c r="H1282" s="227" t="n"/>
      <c r="I1282" s="227" t="n"/>
      <c r="J1282" s="227" t="n"/>
      <c r="K1282" s="227" t="n"/>
      <c r="L1282" s="227" t="n"/>
      <c r="M1282" s="227" t="n"/>
      <c r="N1282" s="127" t="n"/>
      <c r="O1282" s="227" t="n"/>
      <c r="P1282" s="227" t="n"/>
      <c r="Q1282" s="227" t="n"/>
      <c r="R1282" s="227" t="n"/>
      <c r="S1282" s="227" t="n"/>
      <c r="T1282" s="227" t="n"/>
    </row>
    <row r="1283">
      <c r="A1283" s="145">
        <f>IF($B1283="","",ROW()-5)</f>
        <v/>
      </c>
      <c r="B1283" s="127" t="n"/>
      <c r="C1283" s="223" t="n"/>
      <c r="D1283" s="127" t="n"/>
      <c r="E1283" s="227" t="n"/>
      <c r="F1283" s="227" t="n"/>
      <c r="G1283" s="227" t="n"/>
      <c r="H1283" s="227" t="n"/>
      <c r="I1283" s="227" t="n"/>
      <c r="J1283" s="227" t="n"/>
      <c r="K1283" s="227" t="n"/>
      <c r="L1283" s="227" t="n"/>
      <c r="M1283" s="227" t="n"/>
      <c r="N1283" s="127" t="n"/>
      <c r="O1283" s="227" t="n"/>
      <c r="P1283" s="227" t="n"/>
      <c r="Q1283" s="227" t="n"/>
      <c r="R1283" s="227" t="n"/>
      <c r="S1283" s="227" t="n"/>
      <c r="T1283" s="227" t="n"/>
    </row>
    <row r="1284">
      <c r="A1284" s="145">
        <f>IF($B1284="","",ROW()-5)</f>
        <v/>
      </c>
      <c r="B1284" s="127" t="n"/>
      <c r="C1284" s="223" t="n"/>
      <c r="D1284" s="127" t="n"/>
      <c r="E1284" s="227" t="n"/>
      <c r="F1284" s="227" t="n"/>
      <c r="G1284" s="227" t="n"/>
      <c r="H1284" s="227" t="n"/>
      <c r="I1284" s="227" t="n"/>
      <c r="J1284" s="227" t="n"/>
      <c r="K1284" s="227" t="n"/>
      <c r="L1284" s="227" t="n"/>
      <c r="M1284" s="227" t="n"/>
      <c r="N1284" s="127" t="n"/>
      <c r="O1284" s="227" t="n"/>
      <c r="P1284" s="227" t="n"/>
      <c r="Q1284" s="227" t="n"/>
      <c r="R1284" s="227" t="n"/>
      <c r="S1284" s="227" t="n"/>
      <c r="T1284" s="227" t="n"/>
    </row>
    <row r="1285">
      <c r="A1285" s="145">
        <f>IF($B1285="","",ROW()-5)</f>
        <v/>
      </c>
      <c r="B1285" s="127" t="n"/>
      <c r="C1285" s="223" t="n"/>
      <c r="D1285" s="127" t="n"/>
      <c r="E1285" s="227" t="n"/>
      <c r="F1285" s="227" t="n"/>
      <c r="G1285" s="227" t="n"/>
      <c r="H1285" s="227" t="n"/>
      <c r="I1285" s="227" t="n"/>
      <c r="J1285" s="227" t="n"/>
      <c r="K1285" s="227" t="n"/>
      <c r="L1285" s="227" t="n"/>
      <c r="M1285" s="227" t="n"/>
      <c r="N1285" s="127" t="n"/>
      <c r="O1285" s="227" t="n"/>
      <c r="P1285" s="227" t="n"/>
      <c r="Q1285" s="227" t="n"/>
      <c r="R1285" s="227" t="n"/>
      <c r="S1285" s="227" t="n"/>
      <c r="T1285" s="227" t="n"/>
    </row>
    <row r="1286">
      <c r="A1286" s="145">
        <f>IF($B1286="","",ROW()-5)</f>
        <v/>
      </c>
      <c r="B1286" s="127" t="n"/>
      <c r="C1286" s="223" t="n"/>
      <c r="D1286" s="127" t="n"/>
      <c r="E1286" s="227" t="n"/>
      <c r="F1286" s="227" t="n"/>
      <c r="G1286" s="227" t="n"/>
      <c r="H1286" s="227" t="n"/>
      <c r="I1286" s="227" t="n"/>
      <c r="J1286" s="227" t="n"/>
      <c r="K1286" s="227" t="n"/>
      <c r="L1286" s="227" t="n"/>
      <c r="M1286" s="227" t="n"/>
      <c r="N1286" s="127" t="n"/>
      <c r="O1286" s="227" t="n"/>
      <c r="P1286" s="227" t="n"/>
      <c r="Q1286" s="227" t="n"/>
      <c r="R1286" s="227" t="n"/>
      <c r="S1286" s="227" t="n"/>
      <c r="T1286" s="227" t="n"/>
    </row>
    <row r="1287">
      <c r="A1287" s="145">
        <f>IF($B1287="","",ROW()-5)</f>
        <v/>
      </c>
      <c r="B1287" s="127" t="n"/>
      <c r="C1287" s="223" t="n"/>
      <c r="D1287" s="127" t="n"/>
      <c r="E1287" s="227" t="n"/>
      <c r="F1287" s="227" t="n"/>
      <c r="G1287" s="227" t="n"/>
      <c r="H1287" s="227" t="n"/>
      <c r="I1287" s="227" t="n"/>
      <c r="J1287" s="227" t="n"/>
      <c r="K1287" s="227" t="n"/>
      <c r="L1287" s="227" t="n"/>
      <c r="M1287" s="227" t="n"/>
      <c r="N1287" s="127" t="n"/>
      <c r="O1287" s="227" t="n"/>
      <c r="P1287" s="227" t="n"/>
      <c r="Q1287" s="227" t="n"/>
      <c r="R1287" s="227" t="n"/>
      <c r="S1287" s="227" t="n"/>
      <c r="T1287" s="227" t="n"/>
    </row>
    <row r="1288">
      <c r="A1288" s="145">
        <f>IF($B1288="","",ROW()-5)</f>
        <v/>
      </c>
      <c r="B1288" s="127" t="n"/>
      <c r="C1288" s="223" t="n"/>
      <c r="D1288" s="127" t="n"/>
      <c r="E1288" s="227" t="n"/>
      <c r="F1288" s="227" t="n"/>
      <c r="G1288" s="227" t="n"/>
      <c r="H1288" s="227" t="n"/>
      <c r="I1288" s="227" t="n"/>
      <c r="J1288" s="227" t="n"/>
      <c r="K1288" s="227" t="n"/>
      <c r="L1288" s="227" t="n"/>
      <c r="M1288" s="227" t="n"/>
      <c r="N1288" s="127" t="n"/>
      <c r="O1288" s="227" t="n"/>
      <c r="P1288" s="227" t="n"/>
      <c r="Q1288" s="227" t="n"/>
      <c r="R1288" s="227" t="n"/>
      <c r="S1288" s="227" t="n"/>
      <c r="T1288" s="227" t="n"/>
    </row>
    <row r="1289">
      <c r="A1289" s="145">
        <f>IF($B1289="","",ROW()-5)</f>
        <v/>
      </c>
      <c r="B1289" s="127" t="n"/>
      <c r="C1289" s="223" t="n"/>
      <c r="D1289" s="127" t="n"/>
      <c r="E1289" s="227" t="n"/>
      <c r="F1289" s="227" t="n"/>
      <c r="G1289" s="227" t="n"/>
      <c r="H1289" s="227" t="n"/>
      <c r="I1289" s="227" t="n"/>
      <c r="J1289" s="227" t="n"/>
      <c r="K1289" s="227" t="n"/>
      <c r="L1289" s="227" t="n"/>
      <c r="M1289" s="227" t="n"/>
      <c r="N1289" s="127" t="n"/>
      <c r="O1289" s="227" t="n"/>
      <c r="P1289" s="227" t="n"/>
      <c r="Q1289" s="227" t="n"/>
      <c r="R1289" s="227" t="n"/>
      <c r="S1289" s="227" t="n"/>
      <c r="T1289" s="227" t="n"/>
    </row>
    <row r="1290">
      <c r="A1290" s="145">
        <f>IF($B1290="","",ROW()-5)</f>
        <v/>
      </c>
      <c r="B1290" s="127" t="n"/>
      <c r="C1290" s="223" t="n"/>
      <c r="D1290" s="127" t="n"/>
      <c r="E1290" s="227" t="n"/>
      <c r="F1290" s="227" t="n"/>
      <c r="G1290" s="227" t="n"/>
      <c r="H1290" s="227" t="n"/>
      <c r="I1290" s="227" t="n"/>
      <c r="J1290" s="227" t="n"/>
      <c r="K1290" s="227" t="n"/>
      <c r="L1290" s="227" t="n"/>
      <c r="M1290" s="227" t="n"/>
      <c r="N1290" s="127" t="n"/>
      <c r="O1290" s="227" t="n"/>
      <c r="P1290" s="227" t="n"/>
      <c r="Q1290" s="227" t="n"/>
      <c r="R1290" s="227" t="n"/>
      <c r="S1290" s="227" t="n"/>
      <c r="T1290" s="227" t="n"/>
    </row>
    <row r="1291">
      <c r="A1291" s="145">
        <f>IF($B1291="","",ROW()-5)</f>
        <v/>
      </c>
      <c r="B1291" s="127" t="n"/>
      <c r="C1291" s="223" t="n"/>
      <c r="D1291" s="127" t="n"/>
      <c r="E1291" s="227" t="n"/>
      <c r="F1291" s="227" t="n"/>
      <c r="G1291" s="227" t="n"/>
      <c r="H1291" s="227" t="n"/>
      <c r="I1291" s="227" t="n"/>
      <c r="J1291" s="227" t="n"/>
      <c r="K1291" s="227" t="n"/>
      <c r="L1291" s="227" t="n"/>
      <c r="M1291" s="227" t="n"/>
      <c r="N1291" s="127" t="n"/>
      <c r="O1291" s="227" t="n"/>
      <c r="P1291" s="227" t="n"/>
      <c r="Q1291" s="227" t="n"/>
      <c r="R1291" s="227" t="n"/>
      <c r="S1291" s="227" t="n"/>
      <c r="T1291" s="227" t="n"/>
    </row>
    <row r="1292">
      <c r="A1292" s="145">
        <f>IF($B1292="","",ROW()-5)</f>
        <v/>
      </c>
      <c r="B1292" s="127" t="n"/>
      <c r="C1292" s="223" t="n"/>
      <c r="D1292" s="127" t="n"/>
      <c r="E1292" s="227" t="n"/>
      <c r="F1292" s="227" t="n"/>
      <c r="G1292" s="227" t="n"/>
      <c r="H1292" s="227" t="n"/>
      <c r="I1292" s="227" t="n"/>
      <c r="J1292" s="227" t="n"/>
      <c r="K1292" s="227" t="n"/>
      <c r="L1292" s="227" t="n"/>
      <c r="M1292" s="227" t="n"/>
      <c r="N1292" s="127" t="n"/>
      <c r="O1292" s="227" t="n"/>
      <c r="P1292" s="227" t="n"/>
      <c r="Q1292" s="227" t="n"/>
      <c r="R1292" s="227" t="n"/>
      <c r="S1292" s="227" t="n"/>
      <c r="T1292" s="227" t="n"/>
    </row>
    <row r="1293">
      <c r="A1293" s="145">
        <f>IF($B1293="","",ROW()-5)</f>
        <v/>
      </c>
      <c r="B1293" s="127" t="n"/>
      <c r="C1293" s="223" t="n"/>
      <c r="D1293" s="127" t="n"/>
      <c r="E1293" s="227" t="n"/>
      <c r="F1293" s="227" t="n"/>
      <c r="G1293" s="227" t="n"/>
      <c r="H1293" s="227" t="n"/>
      <c r="I1293" s="227" t="n"/>
      <c r="J1293" s="227" t="n"/>
      <c r="K1293" s="227" t="n"/>
      <c r="L1293" s="227" t="n"/>
      <c r="M1293" s="227" t="n"/>
      <c r="N1293" s="127" t="n"/>
      <c r="O1293" s="227" t="n"/>
      <c r="P1293" s="227" t="n"/>
      <c r="Q1293" s="227" t="n"/>
      <c r="R1293" s="227" t="n"/>
      <c r="S1293" s="227" t="n"/>
      <c r="T1293" s="227" t="n"/>
    </row>
    <row r="1294">
      <c r="A1294" s="145">
        <f>IF($B1294="","",ROW()-5)</f>
        <v/>
      </c>
      <c r="B1294" s="127" t="n"/>
      <c r="C1294" s="223" t="n"/>
      <c r="D1294" s="127" t="n"/>
      <c r="E1294" s="227" t="n"/>
      <c r="F1294" s="227" t="n"/>
      <c r="G1294" s="227" t="n"/>
      <c r="H1294" s="227" t="n"/>
      <c r="I1294" s="227" t="n"/>
      <c r="J1294" s="227" t="n"/>
      <c r="K1294" s="227" t="n"/>
      <c r="L1294" s="227" t="n"/>
      <c r="M1294" s="227" t="n"/>
      <c r="N1294" s="127" t="n"/>
      <c r="O1294" s="227" t="n"/>
      <c r="P1294" s="227" t="n"/>
      <c r="Q1294" s="227" t="n"/>
      <c r="R1294" s="227" t="n"/>
      <c r="S1294" s="227" t="n"/>
      <c r="T1294" s="227" t="n"/>
    </row>
    <row r="1295">
      <c r="A1295" s="145">
        <f>IF($B1295="","",ROW()-5)</f>
        <v/>
      </c>
      <c r="B1295" s="127" t="n"/>
      <c r="C1295" s="223" t="n"/>
      <c r="D1295" s="127" t="n"/>
      <c r="E1295" s="227" t="n"/>
      <c r="F1295" s="227" t="n"/>
      <c r="G1295" s="227" t="n"/>
      <c r="H1295" s="227" t="n"/>
      <c r="I1295" s="227" t="n"/>
      <c r="J1295" s="227" t="n"/>
      <c r="K1295" s="227" t="n"/>
      <c r="L1295" s="227" t="n"/>
      <c r="M1295" s="227" t="n"/>
      <c r="N1295" s="127" t="n"/>
      <c r="O1295" s="227" t="n"/>
      <c r="P1295" s="227" t="n"/>
      <c r="Q1295" s="227" t="n"/>
      <c r="R1295" s="227" t="n"/>
      <c r="S1295" s="227" t="n"/>
      <c r="T1295" s="227" t="n"/>
    </row>
    <row r="1296">
      <c r="A1296" s="145">
        <f>IF($B1296="","",ROW()-5)</f>
        <v/>
      </c>
      <c r="B1296" s="127" t="n"/>
      <c r="C1296" s="223" t="n"/>
      <c r="D1296" s="127" t="n"/>
      <c r="E1296" s="227" t="n"/>
      <c r="F1296" s="227" t="n"/>
      <c r="G1296" s="227" t="n"/>
      <c r="H1296" s="227" t="n"/>
      <c r="I1296" s="227" t="n"/>
      <c r="J1296" s="227" t="n"/>
      <c r="K1296" s="227" t="n"/>
      <c r="L1296" s="227" t="n"/>
      <c r="M1296" s="227" t="n"/>
      <c r="N1296" s="127" t="n"/>
      <c r="O1296" s="227" t="n"/>
      <c r="P1296" s="227" t="n"/>
      <c r="Q1296" s="227" t="n"/>
      <c r="R1296" s="227" t="n"/>
      <c r="S1296" s="227" t="n"/>
      <c r="T1296" s="227" t="n"/>
    </row>
    <row r="1297">
      <c r="A1297" s="145">
        <f>IF($B1297="","",ROW()-5)</f>
        <v/>
      </c>
      <c r="B1297" s="127" t="n"/>
      <c r="C1297" s="223" t="n"/>
      <c r="D1297" s="127" t="n"/>
      <c r="E1297" s="227" t="n"/>
      <c r="F1297" s="227" t="n"/>
      <c r="G1297" s="227" t="n"/>
      <c r="H1297" s="227" t="n"/>
      <c r="I1297" s="227" t="n"/>
      <c r="J1297" s="227" t="n"/>
      <c r="K1297" s="227" t="n"/>
      <c r="L1297" s="227" t="n"/>
      <c r="M1297" s="227" t="n"/>
      <c r="N1297" s="127" t="n"/>
      <c r="O1297" s="227" t="n"/>
      <c r="P1297" s="227" t="n"/>
      <c r="Q1297" s="227" t="n"/>
      <c r="R1297" s="227" t="n"/>
      <c r="S1297" s="227" t="n"/>
      <c r="T1297" s="227" t="n"/>
    </row>
    <row r="1298">
      <c r="A1298" s="145">
        <f>IF($B1298="","",ROW()-5)</f>
        <v/>
      </c>
      <c r="B1298" s="127" t="n"/>
      <c r="C1298" s="223" t="n"/>
      <c r="D1298" s="127" t="n"/>
      <c r="E1298" s="227" t="n"/>
      <c r="F1298" s="227" t="n"/>
      <c r="G1298" s="227" t="n"/>
      <c r="H1298" s="227" t="n"/>
      <c r="I1298" s="227" t="n"/>
      <c r="J1298" s="227" t="n"/>
      <c r="K1298" s="227" t="n"/>
      <c r="L1298" s="227" t="n"/>
      <c r="M1298" s="227" t="n"/>
      <c r="N1298" s="127" t="n"/>
      <c r="O1298" s="227" t="n"/>
      <c r="P1298" s="227" t="n"/>
      <c r="Q1298" s="227" t="n"/>
      <c r="R1298" s="227" t="n"/>
      <c r="S1298" s="227" t="n"/>
      <c r="T1298" s="227" t="n"/>
    </row>
    <row r="1299">
      <c r="A1299" s="145">
        <f>IF($B1299="","",ROW()-5)</f>
        <v/>
      </c>
      <c r="B1299" s="127" t="n"/>
      <c r="C1299" s="223" t="n"/>
      <c r="D1299" s="127" t="n"/>
      <c r="E1299" s="227" t="n"/>
      <c r="F1299" s="227" t="n"/>
      <c r="G1299" s="227" t="n"/>
      <c r="H1299" s="227" t="n"/>
      <c r="I1299" s="227" t="n"/>
      <c r="J1299" s="227" t="n"/>
      <c r="K1299" s="227" t="n"/>
      <c r="L1299" s="227" t="n"/>
      <c r="M1299" s="227" t="n"/>
      <c r="N1299" s="127" t="n"/>
      <c r="O1299" s="227" t="n"/>
      <c r="P1299" s="227" t="n"/>
      <c r="Q1299" s="227" t="n"/>
      <c r="R1299" s="227" t="n"/>
      <c r="S1299" s="227" t="n"/>
      <c r="T1299" s="227" t="n"/>
    </row>
    <row r="1300">
      <c r="A1300" s="145">
        <f>IF($B1300="","",ROW()-5)</f>
        <v/>
      </c>
      <c r="B1300" s="127" t="n"/>
      <c r="C1300" s="223" t="n"/>
      <c r="D1300" s="127" t="n"/>
      <c r="E1300" s="227" t="n"/>
      <c r="F1300" s="227" t="n"/>
      <c r="G1300" s="227" t="n"/>
      <c r="H1300" s="227" t="n"/>
      <c r="I1300" s="227" t="n"/>
      <c r="J1300" s="227" t="n"/>
      <c r="K1300" s="227" t="n"/>
      <c r="L1300" s="227" t="n"/>
      <c r="M1300" s="227" t="n"/>
      <c r="N1300" s="127" t="n"/>
      <c r="O1300" s="227" t="n"/>
      <c r="P1300" s="227" t="n"/>
      <c r="Q1300" s="227" t="n"/>
      <c r="R1300" s="227" t="n"/>
      <c r="S1300" s="227" t="n"/>
      <c r="T1300" s="227" t="n"/>
    </row>
    <row r="1301">
      <c r="A1301" s="145">
        <f>IF($B1301="","",ROW()-5)</f>
        <v/>
      </c>
      <c r="B1301" s="127" t="n"/>
      <c r="C1301" s="223" t="n"/>
      <c r="D1301" s="127" t="n"/>
      <c r="E1301" s="227" t="n"/>
      <c r="F1301" s="227" t="n"/>
      <c r="G1301" s="227" t="n"/>
      <c r="H1301" s="227" t="n"/>
      <c r="I1301" s="227" t="n"/>
      <c r="J1301" s="227" t="n"/>
      <c r="K1301" s="227" t="n"/>
      <c r="L1301" s="227" t="n"/>
      <c r="M1301" s="227" t="n"/>
      <c r="N1301" s="127" t="n"/>
      <c r="O1301" s="227" t="n"/>
      <c r="P1301" s="227" t="n"/>
      <c r="Q1301" s="227" t="n"/>
      <c r="R1301" s="227" t="n"/>
      <c r="S1301" s="227" t="n"/>
      <c r="T1301" s="227" t="n"/>
    </row>
    <row r="1302">
      <c r="A1302" s="145">
        <f>IF($B1302="","",ROW()-5)</f>
        <v/>
      </c>
      <c r="B1302" s="127" t="n"/>
      <c r="C1302" s="223" t="n"/>
      <c r="D1302" s="127" t="n"/>
      <c r="E1302" s="227" t="n"/>
      <c r="F1302" s="227" t="n"/>
      <c r="G1302" s="227" t="n"/>
      <c r="H1302" s="227" t="n"/>
      <c r="I1302" s="227" t="n"/>
      <c r="J1302" s="227" t="n"/>
      <c r="K1302" s="227" t="n"/>
      <c r="L1302" s="227" t="n"/>
      <c r="M1302" s="227" t="n"/>
      <c r="N1302" s="127" t="n"/>
      <c r="O1302" s="227" t="n"/>
      <c r="P1302" s="227" t="n"/>
      <c r="Q1302" s="227" t="n"/>
      <c r="R1302" s="227" t="n"/>
      <c r="S1302" s="227" t="n"/>
      <c r="T1302" s="227" t="n"/>
    </row>
    <row r="1303">
      <c r="A1303" s="145">
        <f>IF($B1303="","",ROW()-5)</f>
        <v/>
      </c>
      <c r="B1303" s="127" t="n"/>
      <c r="C1303" s="223" t="n"/>
      <c r="D1303" s="127" t="n"/>
      <c r="E1303" s="227" t="n"/>
      <c r="F1303" s="227" t="n"/>
      <c r="G1303" s="227" t="n"/>
      <c r="H1303" s="227" t="n"/>
      <c r="I1303" s="227" t="n"/>
      <c r="J1303" s="227" t="n"/>
      <c r="K1303" s="227" t="n"/>
      <c r="L1303" s="227" t="n"/>
      <c r="M1303" s="227" t="n"/>
      <c r="N1303" s="127" t="n"/>
      <c r="O1303" s="227" t="n"/>
      <c r="P1303" s="227" t="n"/>
      <c r="Q1303" s="227" t="n"/>
      <c r="R1303" s="227" t="n"/>
      <c r="S1303" s="227" t="n"/>
      <c r="T1303" s="227" t="n"/>
    </row>
    <row r="1304">
      <c r="A1304" s="145">
        <f>IF($B1304="","",ROW()-5)</f>
        <v/>
      </c>
      <c r="B1304" s="127" t="n"/>
      <c r="C1304" s="223" t="n"/>
      <c r="D1304" s="127" t="n"/>
      <c r="E1304" s="227" t="n"/>
      <c r="F1304" s="227" t="n"/>
      <c r="G1304" s="227" t="n"/>
      <c r="H1304" s="227" t="n"/>
      <c r="I1304" s="227" t="n"/>
      <c r="J1304" s="227" t="n"/>
      <c r="K1304" s="227" t="n"/>
      <c r="L1304" s="227" t="n"/>
      <c r="M1304" s="227" t="n"/>
      <c r="N1304" s="127" t="n"/>
      <c r="O1304" s="227" t="n"/>
      <c r="P1304" s="227" t="n"/>
      <c r="Q1304" s="227" t="n"/>
      <c r="R1304" s="227" t="n"/>
      <c r="S1304" s="227" t="n"/>
      <c r="T1304" s="227" t="n"/>
    </row>
    <row r="1305">
      <c r="A1305" s="145">
        <f>IF($B1305="","",ROW()-5)</f>
        <v/>
      </c>
      <c r="B1305" s="127" t="n"/>
      <c r="C1305" s="223" t="n"/>
      <c r="D1305" s="127" t="n"/>
      <c r="E1305" s="227" t="n"/>
      <c r="F1305" s="227" t="n"/>
      <c r="G1305" s="227" t="n"/>
      <c r="H1305" s="227" t="n"/>
      <c r="I1305" s="227" t="n"/>
      <c r="J1305" s="227" t="n"/>
      <c r="K1305" s="227" t="n"/>
      <c r="L1305" s="227" t="n"/>
      <c r="M1305" s="227" t="n"/>
      <c r="N1305" s="127" t="n"/>
      <c r="O1305" s="227" t="n"/>
      <c r="P1305" s="227" t="n"/>
      <c r="Q1305" s="227" t="n"/>
      <c r="R1305" s="227" t="n"/>
      <c r="S1305" s="227" t="n"/>
      <c r="T1305" s="227" t="n"/>
    </row>
    <row r="1306">
      <c r="A1306" s="145">
        <f>IF($B1306="","",ROW()-5)</f>
        <v/>
      </c>
      <c r="B1306" s="127" t="n"/>
      <c r="C1306" s="223" t="n"/>
      <c r="D1306" s="127" t="n"/>
      <c r="E1306" s="227" t="n"/>
      <c r="F1306" s="227" t="n"/>
      <c r="G1306" s="227" t="n"/>
      <c r="H1306" s="227" t="n"/>
      <c r="I1306" s="227" t="n"/>
      <c r="J1306" s="227" t="n"/>
      <c r="K1306" s="227" t="n"/>
      <c r="L1306" s="227" t="n"/>
      <c r="M1306" s="227" t="n"/>
      <c r="N1306" s="127" t="n"/>
      <c r="O1306" s="227" t="n"/>
      <c r="P1306" s="227" t="n"/>
      <c r="Q1306" s="227" t="n"/>
      <c r="R1306" s="227" t="n"/>
      <c r="S1306" s="227" t="n"/>
      <c r="T1306" s="227" t="n"/>
    </row>
    <row r="1307">
      <c r="A1307" s="145">
        <f>IF($B1307="","",ROW()-5)</f>
        <v/>
      </c>
      <c r="B1307" s="127" t="n"/>
      <c r="C1307" s="223" t="n"/>
      <c r="D1307" s="127" t="n"/>
      <c r="E1307" s="227" t="n"/>
      <c r="F1307" s="227" t="n"/>
      <c r="G1307" s="227" t="n"/>
      <c r="H1307" s="227" t="n"/>
      <c r="I1307" s="227" t="n"/>
      <c r="J1307" s="227" t="n"/>
      <c r="K1307" s="227" t="n"/>
      <c r="L1307" s="227" t="n"/>
      <c r="M1307" s="227" t="n"/>
      <c r="N1307" s="127" t="n"/>
      <c r="O1307" s="227" t="n"/>
      <c r="P1307" s="227" t="n"/>
      <c r="Q1307" s="227" t="n"/>
      <c r="R1307" s="227" t="n"/>
      <c r="S1307" s="227" t="n"/>
      <c r="T1307" s="227" t="n"/>
    </row>
    <row r="1308">
      <c r="A1308" s="145">
        <f>IF($B1308="","",ROW()-5)</f>
        <v/>
      </c>
      <c r="B1308" s="127" t="n"/>
      <c r="C1308" s="223" t="n"/>
      <c r="D1308" s="127" t="n"/>
      <c r="E1308" s="227" t="n"/>
      <c r="F1308" s="227" t="n"/>
      <c r="G1308" s="227" t="n"/>
      <c r="H1308" s="227" t="n"/>
      <c r="I1308" s="227" t="n"/>
      <c r="J1308" s="227" t="n"/>
      <c r="K1308" s="227" t="n"/>
      <c r="L1308" s="227" t="n"/>
      <c r="M1308" s="227" t="n"/>
      <c r="N1308" s="127" t="n"/>
      <c r="O1308" s="227" t="n"/>
      <c r="P1308" s="227" t="n"/>
      <c r="Q1308" s="227" t="n"/>
      <c r="R1308" s="227" t="n"/>
      <c r="S1308" s="227" t="n"/>
      <c r="T1308" s="227" t="n"/>
    </row>
    <row r="1309">
      <c r="A1309" s="145">
        <f>IF($B1309="","",ROW()-5)</f>
        <v/>
      </c>
      <c r="B1309" s="127" t="n"/>
      <c r="C1309" s="223" t="n"/>
      <c r="D1309" s="127" t="n"/>
      <c r="E1309" s="227" t="n"/>
      <c r="F1309" s="227" t="n"/>
      <c r="G1309" s="227" t="n"/>
      <c r="H1309" s="227" t="n"/>
      <c r="I1309" s="227" t="n"/>
      <c r="J1309" s="227" t="n"/>
      <c r="K1309" s="227" t="n"/>
      <c r="L1309" s="227" t="n"/>
      <c r="M1309" s="227" t="n"/>
      <c r="N1309" s="127" t="n"/>
      <c r="O1309" s="227" t="n"/>
      <c r="P1309" s="227" t="n"/>
      <c r="Q1309" s="227" t="n"/>
      <c r="R1309" s="227" t="n"/>
      <c r="S1309" s="227" t="n"/>
      <c r="T1309" s="227" t="n"/>
    </row>
    <row r="1310">
      <c r="A1310" s="145">
        <f>IF($B1310="","",ROW()-5)</f>
        <v/>
      </c>
      <c r="B1310" s="127" t="n"/>
      <c r="C1310" s="223" t="n"/>
      <c r="D1310" s="127" t="n"/>
      <c r="E1310" s="227" t="n"/>
      <c r="F1310" s="227" t="n"/>
      <c r="G1310" s="227" t="n"/>
      <c r="H1310" s="227" t="n"/>
      <c r="I1310" s="227" t="n"/>
      <c r="J1310" s="227" t="n"/>
      <c r="K1310" s="227" t="n"/>
      <c r="L1310" s="227" t="n"/>
      <c r="M1310" s="227" t="n"/>
      <c r="N1310" s="127" t="n"/>
      <c r="O1310" s="227" t="n"/>
      <c r="P1310" s="227" t="n"/>
      <c r="Q1310" s="227" t="n"/>
      <c r="R1310" s="227" t="n"/>
      <c r="S1310" s="227" t="n"/>
      <c r="T1310" s="227" t="n"/>
    </row>
    <row r="1311">
      <c r="A1311" s="145">
        <f>IF($B1311="","",ROW()-5)</f>
        <v/>
      </c>
      <c r="B1311" s="127" t="n"/>
      <c r="C1311" s="223" t="n"/>
      <c r="D1311" s="127" t="n"/>
      <c r="E1311" s="227" t="n"/>
      <c r="F1311" s="227" t="n"/>
      <c r="G1311" s="227" t="n"/>
      <c r="H1311" s="227" t="n"/>
      <c r="I1311" s="227" t="n"/>
      <c r="J1311" s="227" t="n"/>
      <c r="K1311" s="227" t="n"/>
      <c r="L1311" s="227" t="n"/>
      <c r="M1311" s="227" t="n"/>
      <c r="N1311" s="127" t="n"/>
      <c r="O1311" s="227" t="n"/>
      <c r="P1311" s="227" t="n"/>
      <c r="Q1311" s="227" t="n"/>
      <c r="R1311" s="227" t="n"/>
      <c r="S1311" s="227" t="n"/>
      <c r="T1311" s="227" t="n"/>
    </row>
    <row r="1312">
      <c r="A1312" s="145">
        <f>IF($B1312="","",ROW()-5)</f>
        <v/>
      </c>
      <c r="B1312" s="127" t="n"/>
      <c r="C1312" s="223" t="n"/>
      <c r="D1312" s="127" t="n"/>
      <c r="E1312" s="227" t="n"/>
      <c r="F1312" s="227" t="n"/>
      <c r="G1312" s="227" t="n"/>
      <c r="H1312" s="227" t="n"/>
      <c r="I1312" s="227" t="n"/>
      <c r="J1312" s="227" t="n"/>
      <c r="K1312" s="227" t="n"/>
      <c r="L1312" s="227" t="n"/>
      <c r="M1312" s="227" t="n"/>
      <c r="N1312" s="127" t="n"/>
      <c r="O1312" s="227" t="n"/>
      <c r="P1312" s="227" t="n"/>
      <c r="Q1312" s="227" t="n"/>
      <c r="R1312" s="227" t="n"/>
      <c r="S1312" s="227" t="n"/>
      <c r="T1312" s="227" t="n"/>
    </row>
    <row r="1313">
      <c r="A1313" s="145">
        <f>IF($B1313="","",ROW()-5)</f>
        <v/>
      </c>
      <c r="B1313" s="127" t="n"/>
      <c r="C1313" s="223" t="n"/>
      <c r="D1313" s="127" t="n"/>
      <c r="E1313" s="227" t="n"/>
      <c r="F1313" s="227" t="n"/>
      <c r="G1313" s="227" t="n"/>
      <c r="H1313" s="227" t="n"/>
      <c r="I1313" s="227" t="n"/>
      <c r="J1313" s="227" t="n"/>
      <c r="K1313" s="227" t="n"/>
      <c r="L1313" s="227" t="n"/>
      <c r="M1313" s="227" t="n"/>
      <c r="N1313" s="127" t="n"/>
      <c r="O1313" s="227" t="n"/>
      <c r="P1313" s="227" t="n"/>
      <c r="Q1313" s="227" t="n"/>
      <c r="R1313" s="227" t="n"/>
      <c r="S1313" s="227" t="n"/>
      <c r="T1313" s="227" t="n"/>
    </row>
    <row r="1314">
      <c r="A1314" s="145">
        <f>IF($B1314="","",ROW()-5)</f>
        <v/>
      </c>
      <c r="B1314" s="127" t="n"/>
      <c r="C1314" s="223" t="n"/>
      <c r="D1314" s="127" t="n"/>
      <c r="E1314" s="227" t="n"/>
      <c r="F1314" s="227" t="n"/>
      <c r="G1314" s="227" t="n"/>
      <c r="H1314" s="227" t="n"/>
      <c r="I1314" s="227" t="n"/>
      <c r="J1314" s="227" t="n"/>
      <c r="K1314" s="227" t="n"/>
      <c r="L1314" s="227" t="n"/>
      <c r="M1314" s="227" t="n"/>
      <c r="N1314" s="127" t="n"/>
      <c r="O1314" s="227" t="n"/>
      <c r="P1314" s="227" t="n"/>
      <c r="Q1314" s="227" t="n"/>
      <c r="R1314" s="227" t="n"/>
      <c r="S1314" s="227" t="n"/>
      <c r="T1314" s="227" t="n"/>
    </row>
    <row r="1315">
      <c r="A1315" s="145">
        <f>IF($B1315="","",ROW()-5)</f>
        <v/>
      </c>
      <c r="B1315" s="127" t="n"/>
      <c r="C1315" s="223" t="n"/>
      <c r="D1315" s="127" t="n"/>
      <c r="E1315" s="227" t="n"/>
      <c r="F1315" s="227" t="n"/>
      <c r="G1315" s="227" t="n"/>
      <c r="H1315" s="227" t="n"/>
      <c r="I1315" s="227" t="n"/>
      <c r="J1315" s="227" t="n"/>
      <c r="K1315" s="227" t="n"/>
      <c r="L1315" s="227" t="n"/>
      <c r="M1315" s="227" t="n"/>
      <c r="N1315" s="127" t="n"/>
      <c r="O1315" s="227" t="n"/>
      <c r="P1315" s="227" t="n"/>
      <c r="Q1315" s="227" t="n"/>
      <c r="R1315" s="227" t="n"/>
      <c r="S1315" s="227" t="n"/>
      <c r="T1315" s="227" t="n"/>
    </row>
    <row r="1316">
      <c r="A1316" s="145">
        <f>IF($B1316="","",ROW()-5)</f>
        <v/>
      </c>
      <c r="B1316" s="127" t="n"/>
      <c r="C1316" s="223" t="n"/>
      <c r="D1316" s="127" t="n"/>
      <c r="E1316" s="227" t="n"/>
      <c r="F1316" s="227" t="n"/>
      <c r="G1316" s="227" t="n"/>
      <c r="H1316" s="227" t="n"/>
      <c r="I1316" s="227" t="n"/>
      <c r="J1316" s="227" t="n"/>
      <c r="K1316" s="227" t="n"/>
      <c r="L1316" s="227" t="n"/>
      <c r="M1316" s="227" t="n"/>
      <c r="N1316" s="127" t="n"/>
      <c r="O1316" s="227" t="n"/>
      <c r="P1316" s="227" t="n"/>
      <c r="Q1316" s="227" t="n"/>
      <c r="R1316" s="227" t="n"/>
      <c r="S1316" s="227" t="n"/>
      <c r="T1316" s="227" t="n"/>
    </row>
    <row r="1317">
      <c r="A1317" s="145">
        <f>IF($B1317="","",ROW()-5)</f>
        <v/>
      </c>
      <c r="B1317" s="127" t="n"/>
      <c r="C1317" s="223" t="n"/>
      <c r="D1317" s="127" t="n"/>
      <c r="E1317" s="227" t="n"/>
      <c r="F1317" s="227" t="n"/>
      <c r="G1317" s="227" t="n"/>
      <c r="H1317" s="227" t="n"/>
      <c r="I1317" s="227" t="n"/>
      <c r="J1317" s="227" t="n"/>
      <c r="K1317" s="227" t="n"/>
      <c r="L1317" s="227" t="n"/>
      <c r="M1317" s="227" t="n"/>
      <c r="N1317" s="127" t="n"/>
      <c r="O1317" s="227" t="n"/>
      <c r="P1317" s="227" t="n"/>
      <c r="Q1317" s="227" t="n"/>
      <c r="R1317" s="227" t="n"/>
      <c r="S1317" s="227" t="n"/>
      <c r="T1317" s="227" t="n"/>
    </row>
    <row r="1318">
      <c r="A1318" s="145">
        <f>IF($B1318="","",ROW()-5)</f>
        <v/>
      </c>
      <c r="B1318" s="127" t="n"/>
      <c r="C1318" s="223" t="n"/>
      <c r="D1318" s="127" t="n"/>
      <c r="E1318" s="227" t="n"/>
      <c r="F1318" s="227" t="n"/>
      <c r="G1318" s="227" t="n"/>
      <c r="H1318" s="227" t="n"/>
      <c r="I1318" s="227" t="n"/>
      <c r="J1318" s="227" t="n"/>
      <c r="K1318" s="227" t="n"/>
      <c r="L1318" s="227" t="n"/>
      <c r="M1318" s="227" t="n"/>
      <c r="N1318" s="127" t="n"/>
      <c r="O1318" s="227" t="n"/>
      <c r="P1318" s="227" t="n"/>
      <c r="Q1318" s="227" t="n"/>
      <c r="R1318" s="227" t="n"/>
      <c r="S1318" s="227" t="n"/>
      <c r="T1318" s="227" t="n"/>
    </row>
    <row r="1319">
      <c r="A1319" s="145">
        <f>IF($B1319="","",ROW()-5)</f>
        <v/>
      </c>
      <c r="B1319" s="127" t="n"/>
      <c r="C1319" s="223" t="n"/>
      <c r="D1319" s="127" t="n"/>
      <c r="E1319" s="227" t="n"/>
      <c r="F1319" s="227" t="n"/>
      <c r="G1319" s="227" t="n"/>
      <c r="H1319" s="227" t="n"/>
      <c r="I1319" s="227" t="n"/>
      <c r="J1319" s="227" t="n"/>
      <c r="K1319" s="227" t="n"/>
      <c r="L1319" s="227" t="n"/>
      <c r="M1319" s="227" t="n"/>
      <c r="N1319" s="127" t="n"/>
      <c r="O1319" s="227" t="n"/>
      <c r="P1319" s="227" t="n"/>
      <c r="Q1319" s="227" t="n"/>
      <c r="R1319" s="227" t="n"/>
      <c r="S1319" s="227" t="n"/>
      <c r="T1319" s="227" t="n"/>
    </row>
    <row r="1320">
      <c r="A1320" s="145">
        <f>IF($B1320="","",ROW()-5)</f>
        <v/>
      </c>
      <c r="B1320" s="127" t="n"/>
      <c r="C1320" s="223" t="n"/>
      <c r="D1320" s="127" t="n"/>
      <c r="E1320" s="227" t="n"/>
      <c r="F1320" s="227" t="n"/>
      <c r="G1320" s="227" t="n"/>
      <c r="H1320" s="227" t="n"/>
      <c r="I1320" s="227" t="n"/>
      <c r="J1320" s="227" t="n"/>
      <c r="K1320" s="227" t="n"/>
      <c r="L1320" s="227" t="n"/>
      <c r="M1320" s="227" t="n"/>
      <c r="N1320" s="127" t="n"/>
      <c r="O1320" s="227" t="n"/>
      <c r="P1320" s="227" t="n"/>
      <c r="Q1320" s="227" t="n"/>
      <c r="R1320" s="227" t="n"/>
      <c r="S1320" s="227" t="n"/>
      <c r="T1320" s="227" t="n"/>
    </row>
    <row r="1321">
      <c r="A1321" s="145">
        <f>IF($B1321="","",ROW()-5)</f>
        <v/>
      </c>
      <c r="B1321" s="127" t="n"/>
      <c r="C1321" s="223" t="n"/>
      <c r="D1321" s="127" t="n"/>
      <c r="E1321" s="227" t="n"/>
      <c r="F1321" s="227" t="n"/>
      <c r="G1321" s="227" t="n"/>
      <c r="H1321" s="227" t="n"/>
      <c r="I1321" s="227" t="n"/>
      <c r="J1321" s="227" t="n"/>
      <c r="K1321" s="227" t="n"/>
      <c r="L1321" s="227" t="n"/>
      <c r="M1321" s="227" t="n"/>
      <c r="N1321" s="127" t="n"/>
      <c r="O1321" s="227" t="n"/>
      <c r="P1321" s="227" t="n"/>
      <c r="Q1321" s="227" t="n"/>
      <c r="R1321" s="227" t="n"/>
      <c r="S1321" s="227" t="n"/>
      <c r="T1321" s="227" t="n"/>
    </row>
    <row r="1322">
      <c r="A1322" s="145">
        <f>IF($B1322="","",ROW()-5)</f>
        <v/>
      </c>
      <c r="B1322" s="127" t="n"/>
      <c r="C1322" s="223" t="n"/>
      <c r="D1322" s="127" t="n"/>
      <c r="E1322" s="227" t="n"/>
      <c r="F1322" s="227" t="n"/>
      <c r="G1322" s="227" t="n"/>
      <c r="H1322" s="227" t="n"/>
      <c r="I1322" s="227" t="n"/>
      <c r="J1322" s="227" t="n"/>
      <c r="K1322" s="227" t="n"/>
      <c r="L1322" s="227" t="n"/>
      <c r="M1322" s="227" t="n"/>
      <c r="N1322" s="127" t="n"/>
      <c r="O1322" s="227" t="n"/>
      <c r="P1322" s="227" t="n"/>
      <c r="Q1322" s="227" t="n"/>
      <c r="R1322" s="227" t="n"/>
      <c r="S1322" s="227" t="n"/>
      <c r="T1322" s="227" t="n"/>
    </row>
    <row r="1323">
      <c r="A1323" s="145">
        <f>IF($B1323="","",ROW()-5)</f>
        <v/>
      </c>
      <c r="B1323" s="127" t="n"/>
      <c r="C1323" s="223" t="n"/>
      <c r="D1323" s="127" t="n"/>
      <c r="E1323" s="227" t="n"/>
      <c r="F1323" s="227" t="n"/>
      <c r="G1323" s="227" t="n"/>
      <c r="H1323" s="227" t="n"/>
      <c r="I1323" s="227" t="n"/>
      <c r="J1323" s="227" t="n"/>
      <c r="K1323" s="227" t="n"/>
      <c r="L1323" s="227" t="n"/>
      <c r="M1323" s="227" t="n"/>
      <c r="N1323" s="127" t="n"/>
      <c r="O1323" s="227" t="n"/>
      <c r="P1323" s="227" t="n"/>
      <c r="Q1323" s="227" t="n"/>
      <c r="R1323" s="227" t="n"/>
      <c r="S1323" s="227" t="n"/>
      <c r="T1323" s="227" t="n"/>
    </row>
    <row r="1324">
      <c r="A1324" s="145">
        <f>IF($B1324="","",ROW()-5)</f>
        <v/>
      </c>
      <c r="B1324" s="127" t="n"/>
      <c r="C1324" s="223" t="n"/>
      <c r="D1324" s="127" t="n"/>
      <c r="E1324" s="227" t="n"/>
      <c r="F1324" s="227" t="n"/>
      <c r="G1324" s="227" t="n"/>
      <c r="H1324" s="227" t="n"/>
      <c r="I1324" s="227" t="n"/>
      <c r="J1324" s="227" t="n"/>
      <c r="K1324" s="227" t="n"/>
      <c r="L1324" s="227" t="n"/>
      <c r="M1324" s="227" t="n"/>
      <c r="N1324" s="127" t="n"/>
      <c r="O1324" s="227" t="n"/>
      <c r="P1324" s="227" t="n"/>
      <c r="Q1324" s="227" t="n"/>
      <c r="R1324" s="227" t="n"/>
      <c r="S1324" s="227" t="n"/>
      <c r="T1324" s="227" t="n"/>
    </row>
    <row r="1325">
      <c r="A1325" s="145">
        <f>IF($B1325="","",ROW()-5)</f>
        <v/>
      </c>
      <c r="B1325" s="127" t="n"/>
      <c r="C1325" s="223" t="n"/>
      <c r="D1325" s="127" t="n"/>
      <c r="E1325" s="227" t="n"/>
      <c r="F1325" s="227" t="n"/>
      <c r="G1325" s="227" t="n"/>
      <c r="H1325" s="227" t="n"/>
      <c r="I1325" s="227" t="n"/>
      <c r="J1325" s="227" t="n"/>
      <c r="K1325" s="227" t="n"/>
      <c r="L1325" s="227" t="n"/>
      <c r="M1325" s="227" t="n"/>
      <c r="N1325" s="127" t="n"/>
      <c r="O1325" s="227" t="n"/>
      <c r="P1325" s="227" t="n"/>
      <c r="Q1325" s="227" t="n"/>
      <c r="R1325" s="227" t="n"/>
      <c r="S1325" s="227" t="n"/>
      <c r="T1325" s="227" t="n"/>
    </row>
    <row r="1326">
      <c r="A1326" s="145">
        <f>IF($B1326="","",ROW()-5)</f>
        <v/>
      </c>
      <c r="B1326" s="127" t="n"/>
      <c r="C1326" s="223" t="n"/>
      <c r="D1326" s="127" t="n"/>
      <c r="E1326" s="227" t="n"/>
      <c r="F1326" s="227" t="n"/>
      <c r="G1326" s="227" t="n"/>
      <c r="H1326" s="227" t="n"/>
      <c r="I1326" s="227" t="n"/>
      <c r="J1326" s="227" t="n"/>
      <c r="K1326" s="227" t="n"/>
      <c r="L1326" s="227" t="n"/>
      <c r="M1326" s="227" t="n"/>
      <c r="N1326" s="127" t="n"/>
      <c r="O1326" s="227" t="n"/>
      <c r="P1326" s="227" t="n"/>
      <c r="Q1326" s="227" t="n"/>
      <c r="R1326" s="227" t="n"/>
      <c r="S1326" s="227" t="n"/>
      <c r="T1326" s="227" t="n"/>
    </row>
    <row r="1327">
      <c r="A1327" s="145">
        <f>IF($B1327="","",ROW()-5)</f>
        <v/>
      </c>
      <c r="B1327" s="127" t="n"/>
      <c r="C1327" s="223" t="n"/>
      <c r="D1327" s="127" t="n"/>
      <c r="E1327" s="227" t="n"/>
      <c r="F1327" s="227" t="n"/>
      <c r="G1327" s="227" t="n"/>
      <c r="H1327" s="227" t="n"/>
      <c r="I1327" s="227" t="n"/>
      <c r="J1327" s="227" t="n"/>
      <c r="K1327" s="227" t="n"/>
      <c r="L1327" s="227" t="n"/>
      <c r="M1327" s="227" t="n"/>
      <c r="N1327" s="127" t="n"/>
      <c r="O1327" s="227" t="n"/>
      <c r="P1327" s="227" t="n"/>
      <c r="Q1327" s="227" t="n"/>
      <c r="R1327" s="227" t="n"/>
      <c r="S1327" s="227" t="n"/>
      <c r="T1327" s="227" t="n"/>
    </row>
    <row r="1328">
      <c r="A1328" s="145">
        <f>IF($B1328="","",ROW()-5)</f>
        <v/>
      </c>
      <c r="B1328" s="127" t="n"/>
      <c r="C1328" s="223" t="n"/>
      <c r="D1328" s="127" t="n"/>
      <c r="E1328" s="227" t="n"/>
      <c r="F1328" s="227" t="n"/>
      <c r="G1328" s="227" t="n"/>
      <c r="H1328" s="227" t="n"/>
      <c r="I1328" s="227" t="n"/>
      <c r="J1328" s="227" t="n"/>
      <c r="K1328" s="227" t="n"/>
      <c r="L1328" s="227" t="n"/>
      <c r="M1328" s="227" t="n"/>
      <c r="N1328" s="127" t="n"/>
      <c r="O1328" s="227" t="n"/>
      <c r="P1328" s="227" t="n"/>
      <c r="Q1328" s="227" t="n"/>
      <c r="R1328" s="227" t="n"/>
      <c r="S1328" s="227" t="n"/>
      <c r="T1328" s="227" t="n"/>
    </row>
    <row r="1329">
      <c r="A1329" s="145">
        <f>IF($B1329="","",ROW()-5)</f>
        <v/>
      </c>
      <c r="B1329" s="127" t="n"/>
      <c r="C1329" s="223" t="n"/>
      <c r="D1329" s="127" t="n"/>
      <c r="E1329" s="227" t="n"/>
      <c r="F1329" s="227" t="n"/>
      <c r="G1329" s="227" t="n"/>
      <c r="H1329" s="227" t="n"/>
      <c r="I1329" s="227" t="n"/>
      <c r="J1329" s="227" t="n"/>
      <c r="K1329" s="227" t="n"/>
      <c r="L1329" s="227" t="n"/>
      <c r="M1329" s="227" t="n"/>
      <c r="N1329" s="127" t="n"/>
      <c r="O1329" s="227" t="n"/>
      <c r="P1329" s="227" t="n"/>
      <c r="Q1329" s="227" t="n"/>
      <c r="R1329" s="227" t="n"/>
      <c r="S1329" s="227" t="n"/>
      <c r="T1329" s="227" t="n"/>
    </row>
    <row r="1330">
      <c r="A1330" s="145">
        <f>IF($B1330="","",ROW()-5)</f>
        <v/>
      </c>
      <c r="B1330" s="127" t="n"/>
      <c r="C1330" s="223" t="n"/>
      <c r="D1330" s="127" t="n"/>
      <c r="E1330" s="227" t="n"/>
      <c r="F1330" s="227" t="n"/>
      <c r="G1330" s="227" t="n"/>
      <c r="H1330" s="227" t="n"/>
      <c r="I1330" s="227" t="n"/>
      <c r="J1330" s="227" t="n"/>
      <c r="K1330" s="227" t="n"/>
      <c r="L1330" s="227" t="n"/>
      <c r="M1330" s="227" t="n"/>
      <c r="N1330" s="127" t="n"/>
      <c r="O1330" s="227" t="n"/>
      <c r="P1330" s="227" t="n"/>
      <c r="Q1330" s="227" t="n"/>
      <c r="R1330" s="227" t="n"/>
      <c r="S1330" s="227" t="n"/>
      <c r="T1330" s="227" t="n"/>
    </row>
    <row r="1331">
      <c r="A1331" s="145">
        <f>IF($B1331="","",ROW()-5)</f>
        <v/>
      </c>
      <c r="B1331" s="127" t="n"/>
      <c r="C1331" s="223" t="n"/>
      <c r="D1331" s="127" t="n"/>
      <c r="E1331" s="227" t="n"/>
      <c r="F1331" s="227" t="n"/>
      <c r="G1331" s="227" t="n"/>
      <c r="H1331" s="227" t="n"/>
      <c r="I1331" s="227" t="n"/>
      <c r="J1331" s="227" t="n"/>
      <c r="K1331" s="227" t="n"/>
      <c r="L1331" s="227" t="n"/>
      <c r="M1331" s="227" t="n"/>
      <c r="N1331" s="127" t="n"/>
      <c r="O1331" s="227" t="n"/>
      <c r="P1331" s="227" t="n"/>
      <c r="Q1331" s="227" t="n"/>
      <c r="R1331" s="227" t="n"/>
      <c r="S1331" s="227" t="n"/>
      <c r="T1331" s="227" t="n"/>
    </row>
    <row r="1332">
      <c r="A1332" s="145">
        <f>IF($B1332="","",ROW()-5)</f>
        <v/>
      </c>
      <c r="B1332" s="127" t="n"/>
      <c r="C1332" s="223" t="n"/>
      <c r="D1332" s="127" t="n"/>
      <c r="E1332" s="227" t="n"/>
      <c r="F1332" s="227" t="n"/>
      <c r="G1332" s="227" t="n"/>
      <c r="H1332" s="227" t="n"/>
      <c r="I1332" s="227" t="n"/>
      <c r="J1332" s="227" t="n"/>
      <c r="K1332" s="227" t="n"/>
      <c r="L1332" s="227" t="n"/>
      <c r="M1332" s="227" t="n"/>
      <c r="N1332" s="127" t="n"/>
      <c r="O1332" s="227" t="n"/>
      <c r="P1332" s="227" t="n"/>
      <c r="Q1332" s="227" t="n"/>
      <c r="R1332" s="227" t="n"/>
      <c r="S1332" s="227" t="n"/>
      <c r="T1332" s="227" t="n"/>
    </row>
    <row r="1333">
      <c r="A1333" s="145">
        <f>IF($B1333="","",ROW()-5)</f>
        <v/>
      </c>
      <c r="B1333" s="127" t="n"/>
      <c r="C1333" s="223" t="n"/>
      <c r="D1333" s="127" t="n"/>
      <c r="E1333" s="227" t="n"/>
      <c r="F1333" s="227" t="n"/>
      <c r="G1333" s="227" t="n"/>
      <c r="H1333" s="227" t="n"/>
      <c r="I1333" s="227" t="n"/>
      <c r="J1333" s="227" t="n"/>
      <c r="K1333" s="227" t="n"/>
      <c r="L1333" s="227" t="n"/>
      <c r="M1333" s="227" t="n"/>
      <c r="N1333" s="127" t="n"/>
      <c r="O1333" s="227" t="n"/>
      <c r="P1333" s="227" t="n"/>
      <c r="Q1333" s="227" t="n"/>
      <c r="R1333" s="227" t="n"/>
      <c r="S1333" s="227" t="n"/>
      <c r="T1333" s="227" t="n"/>
    </row>
    <row r="1334">
      <c r="A1334" s="145">
        <f>IF($B1334="","",ROW()-5)</f>
        <v/>
      </c>
      <c r="B1334" s="127" t="n"/>
      <c r="C1334" s="223" t="n"/>
      <c r="D1334" s="127" t="n"/>
      <c r="E1334" s="227" t="n"/>
      <c r="F1334" s="227" t="n"/>
      <c r="G1334" s="227" t="n"/>
      <c r="H1334" s="227" t="n"/>
      <c r="I1334" s="227" t="n"/>
      <c r="J1334" s="227" t="n"/>
      <c r="K1334" s="227" t="n"/>
      <c r="L1334" s="227" t="n"/>
      <c r="M1334" s="227" t="n"/>
      <c r="N1334" s="127" t="n"/>
      <c r="O1334" s="227" t="n"/>
      <c r="P1334" s="227" t="n"/>
      <c r="Q1334" s="227" t="n"/>
      <c r="R1334" s="227" t="n"/>
      <c r="S1334" s="227" t="n"/>
      <c r="T1334" s="227" t="n"/>
    </row>
    <row r="1335">
      <c r="A1335" s="145">
        <f>IF($B1335="","",ROW()-5)</f>
        <v/>
      </c>
      <c r="B1335" s="127" t="n"/>
      <c r="C1335" s="223" t="n"/>
      <c r="D1335" s="127" t="n"/>
      <c r="E1335" s="227" t="n"/>
      <c r="F1335" s="227" t="n"/>
      <c r="G1335" s="227" t="n"/>
      <c r="H1335" s="227" t="n"/>
      <c r="I1335" s="227" t="n"/>
      <c r="J1335" s="227" t="n"/>
      <c r="K1335" s="227" t="n"/>
      <c r="L1335" s="227" t="n"/>
      <c r="M1335" s="227" t="n"/>
      <c r="N1335" s="127" t="n"/>
      <c r="O1335" s="227" t="n"/>
      <c r="P1335" s="227" t="n"/>
      <c r="Q1335" s="227" t="n"/>
      <c r="R1335" s="227" t="n"/>
      <c r="S1335" s="227" t="n"/>
      <c r="T1335" s="227" t="n"/>
    </row>
    <row r="1336">
      <c r="A1336" s="145">
        <f>IF($B1336="","",ROW()-5)</f>
        <v/>
      </c>
      <c r="B1336" s="127" t="n"/>
      <c r="C1336" s="223" t="n"/>
      <c r="D1336" s="127" t="n"/>
      <c r="E1336" s="227" t="n"/>
      <c r="F1336" s="227" t="n"/>
      <c r="G1336" s="227" t="n"/>
      <c r="H1336" s="227" t="n"/>
      <c r="I1336" s="227" t="n"/>
      <c r="J1336" s="227" t="n"/>
      <c r="K1336" s="227" t="n"/>
      <c r="L1336" s="227" t="n"/>
      <c r="M1336" s="227" t="n"/>
      <c r="N1336" s="127" t="n"/>
      <c r="O1336" s="227" t="n"/>
      <c r="P1336" s="227" t="n"/>
      <c r="Q1336" s="227" t="n"/>
      <c r="R1336" s="227" t="n"/>
      <c r="S1336" s="227" t="n"/>
      <c r="T1336" s="227" t="n"/>
    </row>
    <row r="1337">
      <c r="A1337" s="145">
        <f>IF($B1337="","",ROW()-5)</f>
        <v/>
      </c>
      <c r="B1337" s="127" t="n"/>
      <c r="C1337" s="223" t="n"/>
      <c r="D1337" s="127" t="n"/>
      <c r="E1337" s="227" t="n"/>
      <c r="F1337" s="227" t="n"/>
      <c r="G1337" s="227" t="n"/>
      <c r="H1337" s="227" t="n"/>
      <c r="I1337" s="227" t="n"/>
      <c r="J1337" s="227" t="n"/>
      <c r="K1337" s="227" t="n"/>
      <c r="L1337" s="227" t="n"/>
      <c r="M1337" s="227" t="n"/>
      <c r="N1337" s="127" t="n"/>
      <c r="O1337" s="227" t="n"/>
      <c r="P1337" s="227" t="n"/>
      <c r="Q1337" s="227" t="n"/>
      <c r="R1337" s="227" t="n"/>
      <c r="S1337" s="227" t="n"/>
      <c r="T1337" s="227" t="n"/>
    </row>
    <row r="1338">
      <c r="A1338" s="145">
        <f>IF($B1338="","",ROW()-5)</f>
        <v/>
      </c>
      <c r="B1338" s="127" t="n"/>
      <c r="C1338" s="223" t="n"/>
      <c r="D1338" s="127" t="n"/>
      <c r="E1338" s="227" t="n"/>
      <c r="F1338" s="227" t="n"/>
      <c r="G1338" s="227" t="n"/>
      <c r="H1338" s="227" t="n"/>
      <c r="I1338" s="227" t="n"/>
      <c r="J1338" s="227" t="n"/>
      <c r="K1338" s="227" t="n"/>
      <c r="L1338" s="227" t="n"/>
      <c r="M1338" s="227" t="n"/>
      <c r="N1338" s="127" t="n"/>
      <c r="O1338" s="227" t="n"/>
      <c r="P1338" s="227" t="n"/>
      <c r="Q1338" s="227" t="n"/>
      <c r="R1338" s="227" t="n"/>
      <c r="S1338" s="227" t="n"/>
      <c r="T1338" s="227" t="n"/>
    </row>
    <row r="1339">
      <c r="A1339" s="145">
        <f>IF($B1339="","",ROW()-5)</f>
        <v/>
      </c>
      <c r="B1339" s="127" t="n"/>
      <c r="C1339" s="223" t="n"/>
      <c r="D1339" s="127" t="n"/>
      <c r="E1339" s="227" t="n"/>
      <c r="F1339" s="227" t="n"/>
      <c r="G1339" s="227" t="n"/>
      <c r="H1339" s="227" t="n"/>
      <c r="I1339" s="227" t="n"/>
      <c r="J1339" s="227" t="n"/>
      <c r="K1339" s="227" t="n"/>
      <c r="L1339" s="227" t="n"/>
      <c r="M1339" s="227" t="n"/>
      <c r="N1339" s="127" t="n"/>
      <c r="O1339" s="227" t="n"/>
      <c r="P1339" s="227" t="n"/>
      <c r="Q1339" s="227" t="n"/>
      <c r="R1339" s="227" t="n"/>
      <c r="S1339" s="227" t="n"/>
      <c r="T1339" s="227" t="n"/>
    </row>
    <row r="1340">
      <c r="A1340" s="145">
        <f>IF($B1340="","",ROW()-5)</f>
        <v/>
      </c>
      <c r="B1340" s="127" t="n"/>
      <c r="C1340" s="223" t="n"/>
      <c r="D1340" s="127" t="n"/>
      <c r="E1340" s="227" t="n"/>
      <c r="F1340" s="227" t="n"/>
      <c r="G1340" s="227" t="n"/>
      <c r="H1340" s="227" t="n"/>
      <c r="I1340" s="227" t="n"/>
      <c r="J1340" s="227" t="n"/>
      <c r="K1340" s="227" t="n"/>
      <c r="L1340" s="227" t="n"/>
      <c r="M1340" s="227" t="n"/>
      <c r="N1340" s="127" t="n"/>
      <c r="O1340" s="227" t="n"/>
      <c r="P1340" s="227" t="n"/>
      <c r="Q1340" s="227" t="n"/>
      <c r="R1340" s="227" t="n"/>
      <c r="S1340" s="227" t="n"/>
      <c r="T1340" s="227" t="n"/>
    </row>
    <row r="1341">
      <c r="A1341" s="145">
        <f>IF($B1341="","",ROW()-5)</f>
        <v/>
      </c>
      <c r="B1341" s="127" t="n"/>
      <c r="C1341" s="223" t="n"/>
      <c r="D1341" s="127" t="n"/>
      <c r="E1341" s="227" t="n"/>
      <c r="F1341" s="227" t="n"/>
      <c r="G1341" s="227" t="n"/>
      <c r="H1341" s="227" t="n"/>
      <c r="I1341" s="227" t="n"/>
      <c r="J1341" s="227" t="n"/>
      <c r="K1341" s="227" t="n"/>
      <c r="L1341" s="227" t="n"/>
      <c r="M1341" s="227" t="n"/>
      <c r="N1341" s="127" t="n"/>
      <c r="O1341" s="227" t="n"/>
      <c r="P1341" s="227" t="n"/>
      <c r="Q1341" s="227" t="n"/>
      <c r="R1341" s="227" t="n"/>
      <c r="S1341" s="227" t="n"/>
      <c r="T1341" s="227" t="n"/>
    </row>
    <row r="1342">
      <c r="A1342" s="145">
        <f>IF($B1342="","",ROW()-5)</f>
        <v/>
      </c>
      <c r="B1342" s="127" t="n"/>
      <c r="C1342" s="223" t="n"/>
      <c r="D1342" s="127" t="n"/>
      <c r="E1342" s="227" t="n"/>
      <c r="F1342" s="227" t="n"/>
      <c r="G1342" s="227" t="n"/>
      <c r="H1342" s="227" t="n"/>
      <c r="I1342" s="227" t="n"/>
      <c r="J1342" s="227" t="n"/>
      <c r="K1342" s="227" t="n"/>
      <c r="L1342" s="227" t="n"/>
      <c r="M1342" s="227" t="n"/>
      <c r="N1342" s="127" t="n"/>
      <c r="O1342" s="227" t="n"/>
      <c r="P1342" s="227" t="n"/>
      <c r="Q1342" s="227" t="n"/>
      <c r="R1342" s="227" t="n"/>
      <c r="S1342" s="227" t="n"/>
      <c r="T1342" s="227" t="n"/>
    </row>
    <row r="1343">
      <c r="A1343" s="145">
        <f>IF($B1343="","",ROW()-5)</f>
        <v/>
      </c>
      <c r="B1343" s="127" t="n"/>
      <c r="C1343" s="223" t="n"/>
      <c r="D1343" s="127" t="n"/>
      <c r="E1343" s="227" t="n"/>
      <c r="F1343" s="227" t="n"/>
      <c r="G1343" s="227" t="n"/>
      <c r="H1343" s="227" t="n"/>
      <c r="I1343" s="227" t="n"/>
      <c r="J1343" s="227" t="n"/>
      <c r="K1343" s="227" t="n"/>
      <c r="L1343" s="227" t="n"/>
      <c r="M1343" s="227" t="n"/>
      <c r="N1343" s="127" t="n"/>
      <c r="O1343" s="227" t="n"/>
      <c r="P1343" s="227" t="n"/>
      <c r="Q1343" s="227" t="n"/>
      <c r="R1343" s="227" t="n"/>
      <c r="S1343" s="227" t="n"/>
      <c r="T1343" s="227" t="n"/>
    </row>
    <row r="1344">
      <c r="A1344" s="145">
        <f>IF($B1344="","",ROW()-5)</f>
        <v/>
      </c>
      <c r="B1344" s="127" t="n"/>
      <c r="C1344" s="223" t="n"/>
      <c r="D1344" s="127" t="n"/>
      <c r="E1344" s="227" t="n"/>
      <c r="F1344" s="227" t="n"/>
      <c r="G1344" s="227" t="n"/>
      <c r="H1344" s="227" t="n"/>
      <c r="I1344" s="227" t="n"/>
      <c r="J1344" s="227" t="n"/>
      <c r="K1344" s="227" t="n"/>
      <c r="L1344" s="227" t="n"/>
      <c r="M1344" s="227" t="n"/>
      <c r="N1344" s="127" t="n"/>
      <c r="O1344" s="227" t="n"/>
      <c r="P1344" s="227" t="n"/>
      <c r="Q1344" s="227" t="n"/>
      <c r="R1344" s="227" t="n"/>
      <c r="S1344" s="227" t="n"/>
      <c r="T1344" s="227" t="n"/>
    </row>
    <row r="1345">
      <c r="A1345" s="145">
        <f>IF($B1345="","",ROW()-5)</f>
        <v/>
      </c>
      <c r="B1345" s="127" t="n"/>
      <c r="C1345" s="223" t="n"/>
      <c r="D1345" s="127" t="n"/>
      <c r="E1345" s="227" t="n"/>
      <c r="F1345" s="227" t="n"/>
      <c r="G1345" s="227" t="n"/>
      <c r="H1345" s="227" t="n"/>
      <c r="I1345" s="227" t="n"/>
      <c r="J1345" s="227" t="n"/>
      <c r="K1345" s="227" t="n"/>
      <c r="L1345" s="227" t="n"/>
      <c r="M1345" s="227" t="n"/>
      <c r="N1345" s="127" t="n"/>
      <c r="O1345" s="227" t="n"/>
      <c r="P1345" s="227" t="n"/>
      <c r="Q1345" s="227" t="n"/>
      <c r="R1345" s="227" t="n"/>
      <c r="S1345" s="227" t="n"/>
      <c r="T1345" s="227" t="n"/>
    </row>
    <row r="1346">
      <c r="A1346" s="145">
        <f>IF($B1346="","",ROW()-5)</f>
        <v/>
      </c>
      <c r="B1346" s="127" t="n"/>
      <c r="C1346" s="223" t="n"/>
      <c r="D1346" s="127" t="n"/>
      <c r="E1346" s="227" t="n"/>
      <c r="F1346" s="227" t="n"/>
      <c r="G1346" s="227" t="n"/>
      <c r="H1346" s="227" t="n"/>
      <c r="I1346" s="227" t="n"/>
      <c r="J1346" s="227" t="n"/>
      <c r="K1346" s="227" t="n"/>
      <c r="L1346" s="227" t="n"/>
      <c r="M1346" s="227" t="n"/>
      <c r="N1346" s="127" t="n"/>
      <c r="O1346" s="227" t="n"/>
      <c r="P1346" s="227" t="n"/>
      <c r="Q1346" s="227" t="n"/>
      <c r="R1346" s="227" t="n"/>
      <c r="S1346" s="227" t="n"/>
      <c r="T1346" s="227" t="n"/>
    </row>
    <row r="1347">
      <c r="A1347" s="145">
        <f>IF($B1347="","",ROW()-5)</f>
        <v/>
      </c>
      <c r="B1347" s="127" t="n"/>
      <c r="C1347" s="223" t="n"/>
      <c r="D1347" s="127" t="n"/>
      <c r="E1347" s="227" t="n"/>
      <c r="F1347" s="227" t="n"/>
      <c r="G1347" s="227" t="n"/>
      <c r="H1347" s="227" t="n"/>
      <c r="I1347" s="227" t="n"/>
      <c r="J1347" s="227" t="n"/>
      <c r="K1347" s="227" t="n"/>
      <c r="L1347" s="227" t="n"/>
      <c r="M1347" s="227" t="n"/>
      <c r="N1347" s="127" t="n"/>
      <c r="O1347" s="227" t="n"/>
      <c r="P1347" s="227" t="n"/>
      <c r="Q1347" s="227" t="n"/>
      <c r="R1347" s="227" t="n"/>
      <c r="S1347" s="227" t="n"/>
      <c r="T1347" s="227" t="n"/>
    </row>
    <row r="1348">
      <c r="A1348" s="145">
        <f>IF($B1348="","",ROW()-5)</f>
        <v/>
      </c>
      <c r="B1348" s="127" t="n"/>
      <c r="C1348" s="223" t="n"/>
      <c r="D1348" s="127" t="n"/>
      <c r="E1348" s="227" t="n"/>
      <c r="F1348" s="227" t="n"/>
      <c r="G1348" s="227" t="n"/>
      <c r="H1348" s="227" t="n"/>
      <c r="I1348" s="227" t="n"/>
      <c r="J1348" s="227" t="n"/>
      <c r="K1348" s="227" t="n"/>
      <c r="L1348" s="227" t="n"/>
      <c r="M1348" s="227" t="n"/>
      <c r="N1348" s="127" t="n"/>
      <c r="O1348" s="227" t="n"/>
      <c r="P1348" s="227" t="n"/>
      <c r="Q1348" s="227" t="n"/>
      <c r="R1348" s="227" t="n"/>
      <c r="S1348" s="227" t="n"/>
      <c r="T1348" s="227" t="n"/>
    </row>
    <row r="1349">
      <c r="A1349" s="145">
        <f>IF($B1349="","",ROW()-5)</f>
        <v/>
      </c>
      <c r="B1349" s="127" t="n"/>
      <c r="C1349" s="223" t="n"/>
      <c r="D1349" s="127" t="n"/>
      <c r="E1349" s="227" t="n"/>
      <c r="F1349" s="227" t="n"/>
      <c r="G1349" s="227" t="n"/>
      <c r="H1349" s="227" t="n"/>
      <c r="I1349" s="227" t="n"/>
      <c r="J1349" s="227" t="n"/>
      <c r="K1349" s="227" t="n"/>
      <c r="L1349" s="227" t="n"/>
      <c r="M1349" s="227" t="n"/>
      <c r="N1349" s="127" t="n"/>
      <c r="O1349" s="227" t="n"/>
      <c r="P1349" s="227" t="n"/>
      <c r="Q1349" s="227" t="n"/>
      <c r="R1349" s="227" t="n"/>
      <c r="S1349" s="227" t="n"/>
      <c r="T1349" s="227" t="n"/>
    </row>
    <row r="1350">
      <c r="A1350" s="145">
        <f>IF($B1350="","",ROW()-5)</f>
        <v/>
      </c>
      <c r="B1350" s="127" t="n"/>
      <c r="C1350" s="223" t="n"/>
      <c r="D1350" s="127" t="n"/>
      <c r="E1350" s="227" t="n"/>
      <c r="F1350" s="227" t="n"/>
      <c r="G1350" s="227" t="n"/>
      <c r="H1350" s="227" t="n"/>
      <c r="I1350" s="227" t="n"/>
      <c r="J1350" s="227" t="n"/>
      <c r="K1350" s="227" t="n"/>
      <c r="L1350" s="227" t="n"/>
      <c r="M1350" s="227" t="n"/>
      <c r="N1350" s="127" t="n"/>
      <c r="O1350" s="227" t="n"/>
      <c r="P1350" s="227" t="n"/>
      <c r="Q1350" s="227" t="n"/>
      <c r="R1350" s="227" t="n"/>
      <c r="S1350" s="227" t="n"/>
      <c r="T1350" s="227" t="n"/>
    </row>
    <row r="1351">
      <c r="A1351" s="145">
        <f>IF($B1351="","",ROW()-5)</f>
        <v/>
      </c>
      <c r="B1351" s="127" t="n"/>
      <c r="C1351" s="223" t="n"/>
      <c r="D1351" s="127" t="n"/>
      <c r="E1351" s="227" t="n"/>
      <c r="F1351" s="227" t="n"/>
      <c r="G1351" s="227" t="n"/>
      <c r="H1351" s="227" t="n"/>
      <c r="I1351" s="227" t="n"/>
      <c r="J1351" s="227" t="n"/>
      <c r="K1351" s="227" t="n"/>
      <c r="L1351" s="227" t="n"/>
      <c r="M1351" s="227" t="n"/>
      <c r="N1351" s="127" t="n"/>
      <c r="O1351" s="227" t="n"/>
      <c r="P1351" s="227" t="n"/>
      <c r="Q1351" s="227" t="n"/>
      <c r="R1351" s="227" t="n"/>
      <c r="S1351" s="227" t="n"/>
      <c r="T1351" s="227" t="n"/>
    </row>
    <row r="1352">
      <c r="A1352" s="145">
        <f>IF($B1352="","",ROW()-5)</f>
        <v/>
      </c>
      <c r="B1352" s="127" t="n"/>
      <c r="C1352" s="223" t="n"/>
      <c r="D1352" s="127" t="n"/>
      <c r="E1352" s="227" t="n"/>
      <c r="F1352" s="227" t="n"/>
      <c r="G1352" s="227" t="n"/>
      <c r="H1352" s="227" t="n"/>
      <c r="I1352" s="227" t="n"/>
      <c r="J1352" s="227" t="n"/>
      <c r="K1352" s="227" t="n"/>
      <c r="L1352" s="227" t="n"/>
      <c r="M1352" s="227" t="n"/>
      <c r="N1352" s="127" t="n"/>
      <c r="O1352" s="227" t="n"/>
      <c r="P1352" s="227" t="n"/>
      <c r="Q1352" s="227" t="n"/>
      <c r="R1352" s="227" t="n"/>
      <c r="S1352" s="227" t="n"/>
      <c r="T1352" s="227" t="n"/>
    </row>
    <row r="1353">
      <c r="A1353" s="145">
        <f>IF($B1353="","",ROW()-5)</f>
        <v/>
      </c>
      <c r="B1353" s="127" t="n"/>
      <c r="C1353" s="223" t="n"/>
      <c r="D1353" s="127" t="n"/>
      <c r="E1353" s="227" t="n"/>
      <c r="F1353" s="227" t="n"/>
      <c r="G1353" s="227" t="n"/>
      <c r="H1353" s="227" t="n"/>
      <c r="I1353" s="227" t="n"/>
      <c r="J1353" s="227" t="n"/>
      <c r="K1353" s="227" t="n"/>
      <c r="L1353" s="227" t="n"/>
      <c r="M1353" s="227" t="n"/>
      <c r="N1353" s="127" t="n"/>
      <c r="O1353" s="227" t="n"/>
      <c r="P1353" s="227" t="n"/>
      <c r="Q1353" s="227" t="n"/>
      <c r="R1353" s="227" t="n"/>
      <c r="S1353" s="227" t="n"/>
      <c r="T1353" s="227" t="n"/>
    </row>
    <row r="1354">
      <c r="A1354" s="145">
        <f>IF($B1354="","",ROW()-5)</f>
        <v/>
      </c>
      <c r="B1354" s="127" t="n"/>
      <c r="C1354" s="223" t="n"/>
      <c r="D1354" s="127" t="n"/>
      <c r="E1354" s="227" t="n"/>
      <c r="F1354" s="227" t="n"/>
      <c r="G1354" s="227" t="n"/>
      <c r="H1354" s="227" t="n"/>
      <c r="I1354" s="227" t="n"/>
      <c r="J1354" s="227" t="n"/>
      <c r="K1354" s="227" t="n"/>
      <c r="L1354" s="227" t="n"/>
      <c r="M1354" s="227" t="n"/>
      <c r="N1354" s="127" t="n"/>
      <c r="O1354" s="227" t="n"/>
      <c r="P1354" s="227" t="n"/>
      <c r="Q1354" s="227" t="n"/>
      <c r="R1354" s="227" t="n"/>
      <c r="S1354" s="227" t="n"/>
      <c r="T1354" s="227" t="n"/>
    </row>
    <row r="1355">
      <c r="A1355" s="145">
        <f>IF($B1355="","",ROW()-5)</f>
        <v/>
      </c>
      <c r="B1355" s="127" t="n"/>
      <c r="C1355" s="223" t="n"/>
      <c r="D1355" s="127" t="n"/>
      <c r="E1355" s="227" t="n"/>
      <c r="F1355" s="227" t="n"/>
      <c r="G1355" s="227" t="n"/>
      <c r="H1355" s="227" t="n"/>
      <c r="I1355" s="227" t="n"/>
      <c r="J1355" s="227" t="n"/>
      <c r="K1355" s="227" t="n"/>
      <c r="L1355" s="227" t="n"/>
      <c r="M1355" s="227" t="n"/>
      <c r="N1355" s="127" t="n"/>
      <c r="O1355" s="227" t="n"/>
      <c r="P1355" s="227" t="n"/>
      <c r="Q1355" s="227" t="n"/>
      <c r="R1355" s="227" t="n"/>
      <c r="S1355" s="227" t="n"/>
      <c r="T1355" s="227" t="n"/>
    </row>
    <row r="1356">
      <c r="A1356" s="145">
        <f>IF($B1356="","",ROW()-5)</f>
        <v/>
      </c>
      <c r="B1356" s="127" t="n"/>
      <c r="C1356" s="223" t="n"/>
      <c r="D1356" s="127" t="n"/>
      <c r="E1356" s="227" t="n"/>
      <c r="F1356" s="227" t="n"/>
      <c r="G1356" s="227" t="n"/>
      <c r="H1356" s="227" t="n"/>
      <c r="I1356" s="227" t="n"/>
      <c r="J1356" s="227" t="n"/>
      <c r="K1356" s="227" t="n"/>
      <c r="L1356" s="227" t="n"/>
      <c r="M1356" s="227" t="n"/>
      <c r="N1356" s="127" t="n"/>
      <c r="O1356" s="227" t="n"/>
      <c r="P1356" s="227" t="n"/>
      <c r="Q1356" s="227" t="n"/>
      <c r="R1356" s="227" t="n"/>
      <c r="S1356" s="227" t="n"/>
      <c r="T1356" s="227" t="n"/>
    </row>
    <row r="1357">
      <c r="A1357" s="145">
        <f>IF($B1357="","",ROW()-5)</f>
        <v/>
      </c>
      <c r="B1357" s="127" t="n"/>
      <c r="C1357" s="223" t="n"/>
      <c r="D1357" s="127" t="n"/>
      <c r="E1357" s="227" t="n"/>
      <c r="F1357" s="227" t="n"/>
      <c r="G1357" s="227" t="n"/>
      <c r="H1357" s="227" t="n"/>
      <c r="I1357" s="227" t="n"/>
      <c r="J1357" s="227" t="n"/>
      <c r="K1357" s="227" t="n"/>
      <c r="L1357" s="227" t="n"/>
      <c r="M1357" s="227" t="n"/>
      <c r="N1357" s="127" t="n"/>
      <c r="O1357" s="227" t="n"/>
      <c r="P1357" s="227" t="n"/>
      <c r="Q1357" s="227" t="n"/>
      <c r="R1357" s="227" t="n"/>
      <c r="S1357" s="227" t="n"/>
      <c r="T1357" s="227" t="n"/>
    </row>
    <row r="1358">
      <c r="A1358" s="145">
        <f>IF($B1358="","",ROW()-5)</f>
        <v/>
      </c>
      <c r="B1358" s="127" t="n"/>
      <c r="C1358" s="223" t="n"/>
      <c r="D1358" s="127" t="n"/>
      <c r="E1358" s="227" t="n"/>
      <c r="F1358" s="227" t="n"/>
      <c r="G1358" s="227" t="n"/>
      <c r="H1358" s="227" t="n"/>
      <c r="I1358" s="227" t="n"/>
      <c r="J1358" s="227" t="n"/>
      <c r="K1358" s="227" t="n"/>
      <c r="L1358" s="227" t="n"/>
      <c r="M1358" s="227" t="n"/>
      <c r="N1358" s="127" t="n"/>
      <c r="O1358" s="227" t="n"/>
      <c r="P1358" s="227" t="n"/>
      <c r="Q1358" s="227" t="n"/>
      <c r="R1358" s="227" t="n"/>
      <c r="S1358" s="227" t="n"/>
      <c r="T1358" s="227" t="n"/>
    </row>
    <row r="1359">
      <c r="A1359" s="145">
        <f>IF($B1359="","",ROW()-5)</f>
        <v/>
      </c>
      <c r="B1359" s="127" t="n"/>
      <c r="C1359" s="223" t="n"/>
      <c r="D1359" s="127" t="n"/>
      <c r="E1359" s="227" t="n"/>
      <c r="F1359" s="227" t="n"/>
      <c r="G1359" s="227" t="n"/>
      <c r="H1359" s="227" t="n"/>
      <c r="I1359" s="227" t="n"/>
      <c r="J1359" s="227" t="n"/>
      <c r="K1359" s="227" t="n"/>
      <c r="L1359" s="227" t="n"/>
      <c r="M1359" s="227" t="n"/>
      <c r="N1359" s="127" t="n"/>
      <c r="O1359" s="227" t="n"/>
      <c r="P1359" s="227" t="n"/>
      <c r="Q1359" s="227" t="n"/>
      <c r="R1359" s="227" t="n"/>
      <c r="S1359" s="227" t="n"/>
      <c r="T1359" s="227" t="n"/>
    </row>
    <row r="1360">
      <c r="A1360" s="145">
        <f>IF($B1360="","",ROW()-5)</f>
        <v/>
      </c>
      <c r="B1360" s="127" t="n"/>
      <c r="C1360" s="223" t="n"/>
      <c r="D1360" s="127" t="n"/>
      <c r="E1360" s="227" t="n"/>
      <c r="F1360" s="227" t="n"/>
      <c r="G1360" s="227" t="n"/>
      <c r="H1360" s="227" t="n"/>
      <c r="I1360" s="227" t="n"/>
      <c r="J1360" s="227" t="n"/>
      <c r="K1360" s="227" t="n"/>
      <c r="L1360" s="227" t="n"/>
      <c r="M1360" s="227" t="n"/>
      <c r="N1360" s="127" t="n"/>
      <c r="O1360" s="227" t="n"/>
      <c r="P1360" s="227" t="n"/>
      <c r="Q1360" s="227" t="n"/>
      <c r="R1360" s="227" t="n"/>
      <c r="S1360" s="227" t="n"/>
      <c r="T1360" s="227" t="n"/>
    </row>
    <row r="1361">
      <c r="A1361" s="145">
        <f>IF($B1361="","",ROW()-5)</f>
        <v/>
      </c>
      <c r="B1361" s="127" t="n"/>
      <c r="C1361" s="223" t="n"/>
      <c r="D1361" s="127" t="n"/>
      <c r="E1361" s="227" t="n"/>
      <c r="F1361" s="227" t="n"/>
      <c r="G1361" s="227" t="n"/>
      <c r="H1361" s="227" t="n"/>
      <c r="I1361" s="227" t="n"/>
      <c r="J1361" s="227" t="n"/>
      <c r="K1361" s="227" t="n"/>
      <c r="L1361" s="227" t="n"/>
      <c r="M1361" s="227" t="n"/>
      <c r="N1361" s="127" t="n"/>
      <c r="O1361" s="227" t="n"/>
      <c r="P1361" s="227" t="n"/>
      <c r="Q1361" s="227" t="n"/>
      <c r="R1361" s="227" t="n"/>
      <c r="S1361" s="227" t="n"/>
      <c r="T1361" s="227" t="n"/>
    </row>
    <row r="1362">
      <c r="A1362" s="145">
        <f>IF($B1362="","",ROW()-5)</f>
        <v/>
      </c>
      <c r="B1362" s="127" t="n"/>
      <c r="C1362" s="223" t="n"/>
      <c r="D1362" s="127" t="n"/>
      <c r="E1362" s="227" t="n"/>
      <c r="F1362" s="227" t="n"/>
      <c r="G1362" s="227" t="n"/>
      <c r="H1362" s="227" t="n"/>
      <c r="I1362" s="227" t="n"/>
      <c r="J1362" s="227" t="n"/>
      <c r="K1362" s="227" t="n"/>
      <c r="L1362" s="227" t="n"/>
      <c r="M1362" s="227" t="n"/>
      <c r="N1362" s="127" t="n"/>
      <c r="O1362" s="227" t="n"/>
      <c r="P1362" s="227" t="n"/>
      <c r="Q1362" s="227" t="n"/>
      <c r="R1362" s="227" t="n"/>
      <c r="S1362" s="227" t="n"/>
      <c r="T1362" s="227" t="n"/>
    </row>
    <row r="1363">
      <c r="A1363" s="145">
        <f>IF($B1363="","",ROW()-5)</f>
        <v/>
      </c>
      <c r="B1363" s="127" t="n"/>
      <c r="C1363" s="223" t="n"/>
      <c r="D1363" s="127" t="n"/>
      <c r="E1363" s="227" t="n"/>
      <c r="F1363" s="227" t="n"/>
      <c r="G1363" s="227" t="n"/>
      <c r="H1363" s="227" t="n"/>
      <c r="I1363" s="227" t="n"/>
      <c r="J1363" s="227" t="n"/>
      <c r="K1363" s="227" t="n"/>
      <c r="L1363" s="227" t="n"/>
      <c r="M1363" s="227" t="n"/>
      <c r="N1363" s="127" t="n"/>
      <c r="O1363" s="227" t="n"/>
      <c r="P1363" s="227" t="n"/>
      <c r="Q1363" s="227" t="n"/>
      <c r="R1363" s="227" t="n"/>
      <c r="S1363" s="227" t="n"/>
      <c r="T1363" s="227" t="n"/>
    </row>
    <row r="1364">
      <c r="A1364" s="145">
        <f>IF($B1364="","",ROW()-5)</f>
        <v/>
      </c>
      <c r="B1364" s="127" t="n"/>
      <c r="C1364" s="223" t="n"/>
      <c r="D1364" s="127" t="n"/>
      <c r="E1364" s="227" t="n"/>
      <c r="F1364" s="227" t="n"/>
      <c r="G1364" s="227" t="n"/>
      <c r="H1364" s="227" t="n"/>
      <c r="I1364" s="227" t="n"/>
      <c r="J1364" s="227" t="n"/>
      <c r="K1364" s="227" t="n"/>
      <c r="L1364" s="227" t="n"/>
      <c r="M1364" s="227" t="n"/>
      <c r="N1364" s="127" t="n"/>
      <c r="O1364" s="227" t="n"/>
      <c r="P1364" s="227" t="n"/>
      <c r="Q1364" s="227" t="n"/>
      <c r="R1364" s="227" t="n"/>
      <c r="S1364" s="227" t="n"/>
      <c r="T1364" s="227" t="n"/>
    </row>
    <row r="1365">
      <c r="A1365" s="145">
        <f>IF($B1365="","",ROW()-5)</f>
        <v/>
      </c>
      <c r="B1365" s="127" t="n"/>
      <c r="C1365" s="223" t="n"/>
      <c r="D1365" s="127" t="n"/>
      <c r="E1365" s="227" t="n"/>
      <c r="F1365" s="227" t="n"/>
      <c r="G1365" s="227" t="n"/>
      <c r="H1365" s="227" t="n"/>
      <c r="I1365" s="227" t="n"/>
      <c r="J1365" s="227" t="n"/>
      <c r="K1365" s="227" t="n"/>
      <c r="L1365" s="227" t="n"/>
      <c r="M1365" s="227" t="n"/>
      <c r="N1365" s="127" t="n"/>
      <c r="O1365" s="227" t="n"/>
      <c r="P1365" s="227" t="n"/>
      <c r="Q1365" s="227" t="n"/>
      <c r="R1365" s="227" t="n"/>
      <c r="S1365" s="227" t="n"/>
      <c r="T1365" s="227" t="n"/>
    </row>
    <row r="1366">
      <c r="A1366" s="145">
        <f>IF($B1366="","",ROW()-5)</f>
        <v/>
      </c>
      <c r="B1366" s="127" t="n"/>
      <c r="C1366" s="223" t="n"/>
      <c r="D1366" s="127" t="n"/>
      <c r="E1366" s="227" t="n"/>
      <c r="F1366" s="227" t="n"/>
      <c r="G1366" s="227" t="n"/>
      <c r="H1366" s="227" t="n"/>
      <c r="I1366" s="227" t="n"/>
      <c r="J1366" s="227" t="n"/>
      <c r="K1366" s="227" t="n"/>
      <c r="L1366" s="227" t="n"/>
      <c r="M1366" s="227" t="n"/>
      <c r="N1366" s="127" t="n"/>
      <c r="O1366" s="227" t="n"/>
      <c r="P1366" s="227" t="n"/>
      <c r="Q1366" s="227" t="n"/>
      <c r="R1366" s="227" t="n"/>
      <c r="S1366" s="227" t="n"/>
      <c r="T1366" s="227" t="n"/>
    </row>
    <row r="1367">
      <c r="A1367" s="145">
        <f>IF($B1367="","",ROW()-5)</f>
        <v/>
      </c>
      <c r="B1367" s="127" t="n"/>
      <c r="C1367" s="223" t="n"/>
      <c r="D1367" s="127" t="n"/>
      <c r="E1367" s="227" t="n"/>
      <c r="F1367" s="227" t="n"/>
      <c r="G1367" s="227" t="n"/>
      <c r="H1367" s="227" t="n"/>
      <c r="I1367" s="227" t="n"/>
      <c r="J1367" s="227" t="n"/>
      <c r="K1367" s="227" t="n"/>
      <c r="L1367" s="227" t="n"/>
      <c r="M1367" s="227" t="n"/>
      <c r="N1367" s="127" t="n"/>
      <c r="O1367" s="227" t="n"/>
      <c r="P1367" s="227" t="n"/>
      <c r="Q1367" s="227" t="n"/>
      <c r="R1367" s="227" t="n"/>
      <c r="S1367" s="227" t="n"/>
      <c r="T1367" s="227" t="n"/>
    </row>
    <row r="1368">
      <c r="A1368" s="145">
        <f>IF($B1368="","",ROW()-5)</f>
        <v/>
      </c>
      <c r="B1368" s="127" t="n"/>
      <c r="C1368" s="223" t="n"/>
      <c r="D1368" s="127" t="n"/>
      <c r="E1368" s="227" t="n"/>
      <c r="F1368" s="227" t="n"/>
      <c r="G1368" s="227" t="n"/>
      <c r="H1368" s="227" t="n"/>
      <c r="I1368" s="227" t="n"/>
      <c r="J1368" s="227" t="n"/>
      <c r="K1368" s="227" t="n"/>
      <c r="L1368" s="227" t="n"/>
      <c r="M1368" s="227" t="n"/>
      <c r="N1368" s="127" t="n"/>
      <c r="O1368" s="227" t="n"/>
      <c r="P1368" s="227" t="n"/>
      <c r="Q1368" s="227" t="n"/>
      <c r="R1368" s="227" t="n"/>
      <c r="S1368" s="227" t="n"/>
      <c r="T1368" s="227" t="n"/>
    </row>
    <row r="1369">
      <c r="A1369" s="145">
        <f>IF($B1369="","",ROW()-5)</f>
        <v/>
      </c>
      <c r="B1369" s="127" t="n"/>
      <c r="C1369" s="223" t="n"/>
      <c r="D1369" s="127" t="n"/>
      <c r="E1369" s="227" t="n"/>
      <c r="F1369" s="227" t="n"/>
      <c r="G1369" s="227" t="n"/>
      <c r="H1369" s="227" t="n"/>
      <c r="I1369" s="227" t="n"/>
      <c r="J1369" s="227" t="n"/>
      <c r="K1369" s="227" t="n"/>
      <c r="L1369" s="227" t="n"/>
      <c r="M1369" s="227" t="n"/>
      <c r="N1369" s="127" t="n"/>
      <c r="O1369" s="227" t="n"/>
      <c r="P1369" s="227" t="n"/>
      <c r="Q1369" s="227" t="n"/>
      <c r="R1369" s="227" t="n"/>
      <c r="S1369" s="227" t="n"/>
      <c r="T1369" s="227" t="n"/>
    </row>
    <row r="1370">
      <c r="A1370" s="145">
        <f>IF($B1370="","",ROW()-5)</f>
        <v/>
      </c>
      <c r="B1370" s="127" t="n"/>
      <c r="C1370" s="223" t="n"/>
      <c r="D1370" s="127" t="n"/>
      <c r="E1370" s="227" t="n"/>
      <c r="F1370" s="227" t="n"/>
      <c r="G1370" s="227" t="n"/>
      <c r="H1370" s="227" t="n"/>
      <c r="I1370" s="227" t="n"/>
      <c r="J1370" s="227" t="n"/>
      <c r="K1370" s="227" t="n"/>
      <c r="L1370" s="227" t="n"/>
      <c r="M1370" s="227" t="n"/>
      <c r="N1370" s="127" t="n"/>
      <c r="O1370" s="227" t="n"/>
      <c r="P1370" s="227" t="n"/>
      <c r="Q1370" s="227" t="n"/>
      <c r="R1370" s="227" t="n"/>
      <c r="S1370" s="227" t="n"/>
      <c r="T1370" s="227" t="n"/>
    </row>
    <row r="1371">
      <c r="A1371" s="145">
        <f>IF($B1371="","",ROW()-5)</f>
        <v/>
      </c>
      <c r="B1371" s="127" t="n"/>
      <c r="C1371" s="223" t="n"/>
      <c r="D1371" s="127" t="n"/>
      <c r="E1371" s="227" t="n"/>
      <c r="F1371" s="227" t="n"/>
      <c r="G1371" s="227" t="n"/>
      <c r="H1371" s="227" t="n"/>
      <c r="I1371" s="227" t="n"/>
      <c r="J1371" s="227" t="n"/>
      <c r="K1371" s="227" t="n"/>
      <c r="L1371" s="227" t="n"/>
      <c r="M1371" s="227" t="n"/>
      <c r="N1371" s="127" t="n"/>
      <c r="O1371" s="227" t="n"/>
      <c r="P1371" s="227" t="n"/>
      <c r="Q1371" s="227" t="n"/>
      <c r="R1371" s="227" t="n"/>
      <c r="S1371" s="227" t="n"/>
      <c r="T1371" s="227" t="n"/>
    </row>
    <row r="1372">
      <c r="A1372" s="145">
        <f>IF($B1372="","",ROW()-5)</f>
        <v/>
      </c>
      <c r="B1372" s="127" t="n"/>
      <c r="C1372" s="223" t="n"/>
      <c r="D1372" s="127" t="n"/>
      <c r="E1372" s="227" t="n"/>
      <c r="F1372" s="227" t="n"/>
      <c r="G1372" s="227" t="n"/>
      <c r="H1372" s="227" t="n"/>
      <c r="I1372" s="227" t="n"/>
      <c r="J1372" s="227" t="n"/>
      <c r="K1372" s="227" t="n"/>
      <c r="L1372" s="227" t="n"/>
      <c r="M1372" s="227" t="n"/>
      <c r="N1372" s="127" t="n"/>
      <c r="O1372" s="227" t="n"/>
      <c r="P1372" s="227" t="n"/>
      <c r="Q1372" s="227" t="n"/>
      <c r="R1372" s="227" t="n"/>
      <c r="S1372" s="227" t="n"/>
      <c r="T1372" s="227" t="n"/>
    </row>
    <row r="1373">
      <c r="A1373" s="145">
        <f>IF($B1373="","",ROW()-5)</f>
        <v/>
      </c>
      <c r="B1373" s="127" t="n"/>
      <c r="C1373" s="223" t="n"/>
      <c r="D1373" s="127" t="n"/>
      <c r="E1373" s="227" t="n"/>
      <c r="F1373" s="227" t="n"/>
      <c r="G1373" s="227" t="n"/>
      <c r="H1373" s="227" t="n"/>
      <c r="I1373" s="227" t="n"/>
      <c r="J1373" s="227" t="n"/>
      <c r="K1373" s="227" t="n"/>
      <c r="L1373" s="227" t="n"/>
      <c r="M1373" s="227" t="n"/>
      <c r="N1373" s="127" t="n"/>
      <c r="O1373" s="227" t="n"/>
      <c r="P1373" s="227" t="n"/>
      <c r="Q1373" s="227" t="n"/>
      <c r="R1373" s="227" t="n"/>
      <c r="S1373" s="227" t="n"/>
      <c r="T1373" s="227" t="n"/>
    </row>
    <row r="1374">
      <c r="A1374" s="145">
        <f>IF($B1374="","",ROW()-5)</f>
        <v/>
      </c>
      <c r="B1374" s="127" t="n"/>
      <c r="C1374" s="223" t="n"/>
      <c r="D1374" s="127" t="n"/>
      <c r="E1374" s="227" t="n"/>
      <c r="F1374" s="227" t="n"/>
      <c r="G1374" s="227" t="n"/>
      <c r="H1374" s="227" t="n"/>
      <c r="I1374" s="227" t="n"/>
      <c r="J1374" s="227" t="n"/>
      <c r="K1374" s="227" t="n"/>
      <c r="L1374" s="227" t="n"/>
      <c r="M1374" s="227" t="n"/>
      <c r="N1374" s="127" t="n"/>
      <c r="O1374" s="227" t="n"/>
      <c r="P1374" s="227" t="n"/>
      <c r="Q1374" s="227" t="n"/>
      <c r="R1374" s="227" t="n"/>
      <c r="S1374" s="227" t="n"/>
      <c r="T1374" s="227" t="n"/>
    </row>
    <row r="1375">
      <c r="A1375" s="145">
        <f>IF($B1375="","",ROW()-5)</f>
        <v/>
      </c>
      <c r="B1375" s="127" t="n"/>
      <c r="C1375" s="223" t="n"/>
      <c r="D1375" s="127" t="n"/>
      <c r="E1375" s="227" t="n"/>
      <c r="F1375" s="227" t="n"/>
      <c r="G1375" s="227" t="n"/>
      <c r="H1375" s="227" t="n"/>
      <c r="I1375" s="227" t="n"/>
      <c r="J1375" s="227" t="n"/>
      <c r="K1375" s="227" t="n"/>
      <c r="L1375" s="227" t="n"/>
      <c r="M1375" s="227" t="n"/>
      <c r="N1375" s="127" t="n"/>
      <c r="O1375" s="227" t="n"/>
      <c r="P1375" s="227" t="n"/>
      <c r="Q1375" s="227" t="n"/>
      <c r="R1375" s="227" t="n"/>
      <c r="S1375" s="227" t="n"/>
      <c r="T1375" s="227" t="n"/>
    </row>
    <row r="1376">
      <c r="A1376" s="145">
        <f>IF($B1376="","",ROW()-5)</f>
        <v/>
      </c>
      <c r="B1376" s="127" t="n"/>
      <c r="C1376" s="223" t="n"/>
      <c r="D1376" s="127" t="n"/>
      <c r="E1376" s="227" t="n"/>
      <c r="F1376" s="227" t="n"/>
      <c r="G1376" s="227" t="n"/>
      <c r="H1376" s="227" t="n"/>
      <c r="I1376" s="227" t="n"/>
      <c r="J1376" s="227" t="n"/>
      <c r="K1376" s="227" t="n"/>
      <c r="L1376" s="227" t="n"/>
      <c r="M1376" s="227" t="n"/>
      <c r="N1376" s="127" t="n"/>
      <c r="O1376" s="227" t="n"/>
      <c r="P1376" s="227" t="n"/>
      <c r="Q1376" s="227" t="n"/>
      <c r="R1376" s="227" t="n"/>
      <c r="S1376" s="227" t="n"/>
      <c r="T1376" s="227" t="n"/>
    </row>
    <row r="1377">
      <c r="A1377" s="145">
        <f>IF($B1377="","",ROW()-5)</f>
        <v/>
      </c>
      <c r="B1377" s="127" t="n"/>
      <c r="C1377" s="223" t="n"/>
      <c r="D1377" s="127" t="n"/>
      <c r="E1377" s="227" t="n"/>
      <c r="F1377" s="227" t="n"/>
      <c r="G1377" s="227" t="n"/>
      <c r="H1377" s="227" t="n"/>
      <c r="I1377" s="227" t="n"/>
      <c r="J1377" s="227" t="n"/>
      <c r="K1377" s="227" t="n"/>
      <c r="L1377" s="227" t="n"/>
      <c r="M1377" s="227" t="n"/>
      <c r="N1377" s="127" t="n"/>
      <c r="O1377" s="227" t="n"/>
      <c r="P1377" s="227" t="n"/>
      <c r="Q1377" s="227" t="n"/>
      <c r="R1377" s="227" t="n"/>
      <c r="S1377" s="227" t="n"/>
      <c r="T1377" s="227" t="n"/>
    </row>
    <row r="1378">
      <c r="A1378" s="145">
        <f>IF($B1378="","",ROW()-5)</f>
        <v/>
      </c>
      <c r="B1378" s="127" t="n"/>
      <c r="C1378" s="223" t="n"/>
      <c r="D1378" s="127" t="n"/>
      <c r="E1378" s="227" t="n"/>
      <c r="F1378" s="227" t="n"/>
      <c r="G1378" s="227" t="n"/>
      <c r="H1378" s="227" t="n"/>
      <c r="I1378" s="227" t="n"/>
      <c r="J1378" s="227" t="n"/>
      <c r="K1378" s="227" t="n"/>
      <c r="L1378" s="227" t="n"/>
      <c r="M1378" s="227" t="n"/>
      <c r="N1378" s="127" t="n"/>
      <c r="O1378" s="227" t="n"/>
      <c r="P1378" s="227" t="n"/>
      <c r="Q1378" s="227" t="n"/>
      <c r="R1378" s="227" t="n"/>
      <c r="S1378" s="227" t="n"/>
      <c r="T1378" s="227" t="n"/>
    </row>
    <row r="1379">
      <c r="A1379" s="145">
        <f>IF($B1379="","",ROW()-5)</f>
        <v/>
      </c>
      <c r="B1379" s="127" t="n"/>
      <c r="C1379" s="223" t="n"/>
      <c r="D1379" s="127" t="n"/>
      <c r="E1379" s="227" t="n"/>
      <c r="F1379" s="227" t="n"/>
      <c r="G1379" s="227" t="n"/>
      <c r="H1379" s="227" t="n"/>
      <c r="I1379" s="227" t="n"/>
      <c r="J1379" s="227" t="n"/>
      <c r="K1379" s="227" t="n"/>
      <c r="L1379" s="227" t="n"/>
      <c r="M1379" s="227" t="n"/>
      <c r="N1379" s="127" t="n"/>
      <c r="O1379" s="227" t="n"/>
      <c r="P1379" s="227" t="n"/>
      <c r="Q1379" s="227" t="n"/>
      <c r="R1379" s="227" t="n"/>
      <c r="S1379" s="227" t="n"/>
      <c r="T1379" s="227" t="n"/>
    </row>
    <row r="1380">
      <c r="A1380" s="145">
        <f>IF($B1380="","",ROW()-5)</f>
        <v/>
      </c>
      <c r="B1380" s="127" t="n"/>
      <c r="C1380" s="223" t="n"/>
      <c r="D1380" s="127" t="n"/>
      <c r="E1380" s="227" t="n"/>
      <c r="F1380" s="227" t="n"/>
      <c r="G1380" s="227" t="n"/>
      <c r="H1380" s="227" t="n"/>
      <c r="I1380" s="227" t="n"/>
      <c r="J1380" s="227" t="n"/>
      <c r="K1380" s="227" t="n"/>
      <c r="L1380" s="227" t="n"/>
      <c r="M1380" s="227" t="n"/>
      <c r="N1380" s="127" t="n"/>
      <c r="O1380" s="227" t="n"/>
      <c r="P1380" s="227" t="n"/>
      <c r="Q1380" s="227" t="n"/>
      <c r="R1380" s="227" t="n"/>
      <c r="S1380" s="227" t="n"/>
      <c r="T1380" s="227" t="n"/>
    </row>
    <row r="1381">
      <c r="A1381" s="145">
        <f>IF($B1381="","",ROW()-5)</f>
        <v/>
      </c>
      <c r="B1381" s="127" t="n"/>
      <c r="C1381" s="223" t="n"/>
      <c r="D1381" s="127" t="n"/>
      <c r="E1381" s="227" t="n"/>
      <c r="F1381" s="227" t="n"/>
      <c r="G1381" s="227" t="n"/>
      <c r="H1381" s="227" t="n"/>
      <c r="I1381" s="227" t="n"/>
      <c r="J1381" s="227" t="n"/>
      <c r="K1381" s="227" t="n"/>
      <c r="L1381" s="227" t="n"/>
      <c r="M1381" s="227" t="n"/>
      <c r="N1381" s="127" t="n"/>
      <c r="O1381" s="227" t="n"/>
      <c r="P1381" s="227" t="n"/>
      <c r="Q1381" s="227" t="n"/>
      <c r="R1381" s="227" t="n"/>
      <c r="S1381" s="227" t="n"/>
      <c r="T1381" s="227" t="n"/>
    </row>
    <row r="1382">
      <c r="A1382" s="145">
        <f>IF($B1382="","",ROW()-5)</f>
        <v/>
      </c>
      <c r="B1382" s="127" t="n"/>
      <c r="C1382" s="223" t="n"/>
      <c r="D1382" s="127" t="n"/>
      <c r="E1382" s="227" t="n"/>
      <c r="F1382" s="227" t="n"/>
      <c r="G1382" s="227" t="n"/>
      <c r="H1382" s="227" t="n"/>
      <c r="I1382" s="227" t="n"/>
      <c r="J1382" s="227" t="n"/>
      <c r="K1382" s="227" t="n"/>
      <c r="L1382" s="227" t="n"/>
      <c r="M1382" s="227" t="n"/>
      <c r="N1382" s="127" t="n"/>
      <c r="O1382" s="227" t="n"/>
      <c r="P1382" s="227" t="n"/>
      <c r="Q1382" s="227" t="n"/>
      <c r="R1382" s="227" t="n"/>
      <c r="S1382" s="227" t="n"/>
      <c r="T1382" s="227" t="n"/>
    </row>
    <row r="1383">
      <c r="A1383" s="145">
        <f>IF($B1383="","",ROW()-5)</f>
        <v/>
      </c>
      <c r="B1383" s="127" t="n"/>
      <c r="C1383" s="223" t="n"/>
      <c r="D1383" s="127" t="n"/>
      <c r="E1383" s="227" t="n"/>
      <c r="F1383" s="227" t="n"/>
      <c r="G1383" s="227" t="n"/>
      <c r="H1383" s="227" t="n"/>
      <c r="I1383" s="227" t="n"/>
      <c r="J1383" s="227" t="n"/>
      <c r="K1383" s="227" t="n"/>
      <c r="L1383" s="227" t="n"/>
      <c r="M1383" s="227" t="n"/>
      <c r="N1383" s="127" t="n"/>
      <c r="O1383" s="227" t="n"/>
      <c r="P1383" s="227" t="n"/>
      <c r="Q1383" s="227" t="n"/>
      <c r="R1383" s="227" t="n"/>
      <c r="S1383" s="227" t="n"/>
      <c r="T1383" s="227" t="n"/>
    </row>
    <row r="1384">
      <c r="A1384" s="145">
        <f>IF($B1384="","",ROW()-5)</f>
        <v/>
      </c>
      <c r="B1384" s="127" t="n"/>
      <c r="C1384" s="223" t="n"/>
      <c r="D1384" s="127" t="n"/>
      <c r="E1384" s="227" t="n"/>
      <c r="F1384" s="227" t="n"/>
      <c r="G1384" s="227" t="n"/>
      <c r="H1384" s="227" t="n"/>
      <c r="I1384" s="227" t="n"/>
      <c r="J1384" s="227" t="n"/>
      <c r="K1384" s="227" t="n"/>
      <c r="L1384" s="227" t="n"/>
      <c r="M1384" s="227" t="n"/>
      <c r="N1384" s="127" t="n"/>
      <c r="O1384" s="227" t="n"/>
      <c r="P1384" s="227" t="n"/>
      <c r="Q1384" s="227" t="n"/>
      <c r="R1384" s="227" t="n"/>
      <c r="S1384" s="227" t="n"/>
      <c r="T1384" s="227" t="n"/>
    </row>
    <row r="1385">
      <c r="A1385" s="145">
        <f>IF($B1385="","",ROW()-5)</f>
        <v/>
      </c>
      <c r="B1385" s="127" t="n"/>
      <c r="C1385" s="223" t="n"/>
      <c r="D1385" s="127" t="n"/>
      <c r="E1385" s="227" t="n"/>
      <c r="F1385" s="227" t="n"/>
      <c r="G1385" s="227" t="n"/>
      <c r="H1385" s="227" t="n"/>
      <c r="I1385" s="227" t="n"/>
      <c r="J1385" s="227" t="n"/>
      <c r="K1385" s="227" t="n"/>
      <c r="L1385" s="227" t="n"/>
      <c r="M1385" s="227" t="n"/>
      <c r="N1385" s="127" t="n"/>
      <c r="O1385" s="227" t="n"/>
      <c r="P1385" s="227" t="n"/>
      <c r="Q1385" s="227" t="n"/>
      <c r="R1385" s="227" t="n"/>
      <c r="S1385" s="227" t="n"/>
      <c r="T1385" s="227" t="n"/>
    </row>
    <row r="1386">
      <c r="A1386" s="145">
        <f>IF($B1386="","",ROW()-5)</f>
        <v/>
      </c>
      <c r="B1386" s="127" t="n"/>
      <c r="C1386" s="223" t="n"/>
      <c r="D1386" s="127" t="n"/>
      <c r="E1386" s="227" t="n"/>
      <c r="F1386" s="227" t="n"/>
      <c r="G1386" s="227" t="n"/>
      <c r="H1386" s="227" t="n"/>
      <c r="I1386" s="227" t="n"/>
      <c r="J1386" s="227" t="n"/>
      <c r="K1386" s="227" t="n"/>
      <c r="L1386" s="227" t="n"/>
      <c r="M1386" s="227" t="n"/>
      <c r="N1386" s="127" t="n"/>
      <c r="O1386" s="227" t="n"/>
      <c r="P1386" s="227" t="n"/>
      <c r="Q1386" s="227" t="n"/>
      <c r="R1386" s="227" t="n"/>
      <c r="S1386" s="227" t="n"/>
      <c r="T1386" s="227" t="n"/>
    </row>
    <row r="1387">
      <c r="A1387" s="145">
        <f>IF($B1387="","",ROW()-5)</f>
        <v/>
      </c>
      <c r="B1387" s="127" t="n"/>
      <c r="C1387" s="223" t="n"/>
      <c r="D1387" s="127" t="n"/>
      <c r="E1387" s="227" t="n"/>
      <c r="F1387" s="227" t="n"/>
      <c r="G1387" s="227" t="n"/>
      <c r="H1387" s="227" t="n"/>
      <c r="I1387" s="227" t="n"/>
      <c r="J1387" s="227" t="n"/>
      <c r="K1387" s="227" t="n"/>
      <c r="L1387" s="227" t="n"/>
      <c r="M1387" s="227" t="n"/>
      <c r="N1387" s="127" t="n"/>
      <c r="O1387" s="227" t="n"/>
      <c r="P1387" s="227" t="n"/>
      <c r="Q1387" s="227" t="n"/>
      <c r="R1387" s="227" t="n"/>
      <c r="S1387" s="227" t="n"/>
      <c r="T1387" s="227" t="n"/>
    </row>
    <row r="1388">
      <c r="A1388" s="145">
        <f>IF($B1388="","",ROW()-5)</f>
        <v/>
      </c>
      <c r="B1388" s="127" t="n"/>
      <c r="C1388" s="223" t="n"/>
      <c r="D1388" s="127" t="n"/>
      <c r="E1388" s="227" t="n"/>
      <c r="F1388" s="227" t="n"/>
      <c r="G1388" s="227" t="n"/>
      <c r="H1388" s="227" t="n"/>
      <c r="I1388" s="227" t="n"/>
      <c r="J1388" s="227" t="n"/>
      <c r="K1388" s="227" t="n"/>
      <c r="L1388" s="227" t="n"/>
      <c r="M1388" s="227" t="n"/>
      <c r="N1388" s="127" t="n"/>
      <c r="O1388" s="227" t="n"/>
      <c r="P1388" s="227" t="n"/>
      <c r="Q1388" s="227" t="n"/>
      <c r="R1388" s="227" t="n"/>
      <c r="S1388" s="227" t="n"/>
      <c r="T1388" s="227" t="n"/>
    </row>
    <row r="1389">
      <c r="A1389" s="145">
        <f>IF($B1389="","",ROW()-5)</f>
        <v/>
      </c>
      <c r="B1389" s="127" t="n"/>
      <c r="C1389" s="223" t="n"/>
      <c r="D1389" s="127" t="n"/>
      <c r="E1389" s="227" t="n"/>
      <c r="F1389" s="227" t="n"/>
      <c r="G1389" s="227" t="n"/>
      <c r="H1389" s="227" t="n"/>
      <c r="I1389" s="227" t="n"/>
      <c r="J1389" s="227" t="n"/>
      <c r="K1389" s="227" t="n"/>
      <c r="L1389" s="227" t="n"/>
      <c r="M1389" s="227" t="n"/>
      <c r="N1389" s="127" t="n"/>
      <c r="O1389" s="227" t="n"/>
      <c r="P1389" s="227" t="n"/>
      <c r="Q1389" s="227" t="n"/>
      <c r="R1389" s="227" t="n"/>
      <c r="S1389" s="227" t="n"/>
      <c r="T1389" s="227" t="n"/>
    </row>
    <row r="1390">
      <c r="A1390" s="145">
        <f>IF($B1390="","",ROW()-5)</f>
        <v/>
      </c>
      <c r="B1390" s="127" t="n"/>
      <c r="C1390" s="223" t="n"/>
      <c r="D1390" s="127" t="n"/>
      <c r="E1390" s="227" t="n"/>
      <c r="F1390" s="227" t="n"/>
      <c r="G1390" s="227" t="n"/>
      <c r="H1390" s="227" t="n"/>
      <c r="I1390" s="227" t="n"/>
      <c r="J1390" s="227" t="n"/>
      <c r="K1390" s="227" t="n"/>
      <c r="L1390" s="227" t="n"/>
      <c r="M1390" s="227" t="n"/>
      <c r="N1390" s="127" t="n"/>
      <c r="O1390" s="227" t="n"/>
      <c r="P1390" s="227" t="n"/>
      <c r="Q1390" s="227" t="n"/>
      <c r="R1390" s="227" t="n"/>
      <c r="S1390" s="227" t="n"/>
      <c r="T1390" s="227" t="n"/>
    </row>
    <row r="1391">
      <c r="A1391" s="145">
        <f>IF($B1391="","",ROW()-5)</f>
        <v/>
      </c>
      <c r="B1391" s="127" t="n"/>
      <c r="C1391" s="223" t="n"/>
      <c r="D1391" s="127" t="n"/>
      <c r="E1391" s="227" t="n"/>
      <c r="F1391" s="227" t="n"/>
      <c r="G1391" s="227" t="n"/>
      <c r="H1391" s="227" t="n"/>
      <c r="I1391" s="227" t="n"/>
      <c r="J1391" s="227" t="n"/>
      <c r="K1391" s="227" t="n"/>
      <c r="L1391" s="227" t="n"/>
      <c r="M1391" s="227" t="n"/>
      <c r="N1391" s="127" t="n"/>
      <c r="O1391" s="227" t="n"/>
      <c r="P1391" s="227" t="n"/>
      <c r="Q1391" s="227" t="n"/>
      <c r="R1391" s="227" t="n"/>
      <c r="S1391" s="227" t="n"/>
      <c r="T1391" s="227" t="n"/>
    </row>
    <row r="1392">
      <c r="A1392" s="145">
        <f>IF($B1392="","",ROW()-5)</f>
        <v/>
      </c>
      <c r="B1392" s="127" t="n"/>
      <c r="C1392" s="223" t="n"/>
      <c r="D1392" s="127" t="n"/>
      <c r="E1392" s="227" t="n"/>
      <c r="F1392" s="227" t="n"/>
      <c r="G1392" s="227" t="n"/>
      <c r="H1392" s="227" t="n"/>
      <c r="I1392" s="227" t="n"/>
      <c r="J1392" s="227" t="n"/>
      <c r="K1392" s="227" t="n"/>
      <c r="L1392" s="227" t="n"/>
      <c r="M1392" s="227" t="n"/>
      <c r="N1392" s="127" t="n"/>
      <c r="O1392" s="227" t="n"/>
      <c r="P1392" s="227" t="n"/>
      <c r="Q1392" s="227" t="n"/>
      <c r="R1392" s="227" t="n"/>
      <c r="S1392" s="227" t="n"/>
      <c r="T1392" s="227" t="n"/>
    </row>
    <row r="1393">
      <c r="A1393" s="145">
        <f>IF($B1393="","",ROW()-5)</f>
        <v/>
      </c>
      <c r="B1393" s="127" t="n"/>
      <c r="C1393" s="223" t="n"/>
      <c r="D1393" s="127" t="n"/>
      <c r="E1393" s="227" t="n"/>
      <c r="F1393" s="227" t="n"/>
      <c r="G1393" s="227" t="n"/>
      <c r="H1393" s="227" t="n"/>
      <c r="I1393" s="227" t="n"/>
      <c r="J1393" s="227" t="n"/>
      <c r="K1393" s="227" t="n"/>
      <c r="L1393" s="227" t="n"/>
      <c r="M1393" s="227" t="n"/>
      <c r="N1393" s="127" t="n"/>
      <c r="O1393" s="227" t="n"/>
      <c r="P1393" s="227" t="n"/>
      <c r="Q1393" s="227" t="n"/>
      <c r="R1393" s="227" t="n"/>
      <c r="S1393" s="227" t="n"/>
      <c r="T1393" s="227" t="n"/>
    </row>
    <row r="1394">
      <c r="A1394" s="145">
        <f>IF($B1394="","",ROW()-5)</f>
        <v/>
      </c>
      <c r="B1394" s="127" t="n"/>
      <c r="C1394" s="223" t="n"/>
      <c r="D1394" s="127" t="n"/>
      <c r="E1394" s="227" t="n"/>
      <c r="F1394" s="227" t="n"/>
      <c r="G1394" s="227" t="n"/>
      <c r="H1394" s="227" t="n"/>
      <c r="I1394" s="227" t="n"/>
      <c r="J1394" s="227" t="n"/>
      <c r="K1394" s="227" t="n"/>
      <c r="L1394" s="227" t="n"/>
      <c r="M1394" s="227" t="n"/>
      <c r="N1394" s="127" t="n"/>
      <c r="O1394" s="227" t="n"/>
      <c r="P1394" s="227" t="n"/>
      <c r="Q1394" s="227" t="n"/>
      <c r="R1394" s="227" t="n"/>
      <c r="S1394" s="227" t="n"/>
      <c r="T1394" s="227" t="n"/>
    </row>
    <row r="1395">
      <c r="A1395" s="145">
        <f>IF($B1395="","",ROW()-5)</f>
        <v/>
      </c>
      <c r="B1395" s="127" t="n"/>
      <c r="C1395" s="223" t="n"/>
      <c r="D1395" s="127" t="n"/>
      <c r="E1395" s="227" t="n"/>
      <c r="F1395" s="227" t="n"/>
      <c r="G1395" s="227" t="n"/>
      <c r="H1395" s="227" t="n"/>
      <c r="I1395" s="227" t="n"/>
      <c r="J1395" s="227" t="n"/>
      <c r="K1395" s="227" t="n"/>
      <c r="L1395" s="227" t="n"/>
      <c r="M1395" s="227" t="n"/>
      <c r="N1395" s="127" t="n"/>
      <c r="O1395" s="227" t="n"/>
      <c r="P1395" s="227" t="n"/>
      <c r="Q1395" s="227" t="n"/>
      <c r="R1395" s="227" t="n"/>
      <c r="S1395" s="227" t="n"/>
      <c r="T1395" s="227" t="n"/>
    </row>
    <row r="1396">
      <c r="A1396" s="145">
        <f>IF($B1396="","",ROW()-5)</f>
        <v/>
      </c>
      <c r="B1396" s="127" t="n"/>
      <c r="C1396" s="223" t="n"/>
      <c r="D1396" s="127" t="n"/>
      <c r="E1396" s="227" t="n"/>
      <c r="F1396" s="227" t="n"/>
      <c r="G1396" s="227" t="n"/>
      <c r="H1396" s="227" t="n"/>
      <c r="I1396" s="227" t="n"/>
      <c r="J1396" s="227" t="n"/>
      <c r="K1396" s="227" t="n"/>
      <c r="L1396" s="227" t="n"/>
      <c r="M1396" s="227" t="n"/>
      <c r="N1396" s="127" t="n"/>
      <c r="O1396" s="227" t="n"/>
      <c r="P1396" s="227" t="n"/>
      <c r="Q1396" s="227" t="n"/>
      <c r="R1396" s="227" t="n"/>
      <c r="S1396" s="227" t="n"/>
      <c r="T1396" s="227" t="n"/>
    </row>
    <row r="1397">
      <c r="A1397" s="145">
        <f>IF($B1397="","",ROW()-5)</f>
        <v/>
      </c>
      <c r="B1397" s="127" t="n"/>
      <c r="C1397" s="223" t="n"/>
      <c r="D1397" s="127" t="n"/>
      <c r="E1397" s="227" t="n"/>
      <c r="F1397" s="227" t="n"/>
      <c r="G1397" s="227" t="n"/>
      <c r="H1397" s="227" t="n"/>
      <c r="I1397" s="227" t="n"/>
      <c r="J1397" s="227" t="n"/>
      <c r="K1397" s="227" t="n"/>
      <c r="L1397" s="227" t="n"/>
      <c r="M1397" s="227" t="n"/>
      <c r="N1397" s="127" t="n"/>
      <c r="O1397" s="227" t="n"/>
      <c r="P1397" s="227" t="n"/>
      <c r="Q1397" s="227" t="n"/>
      <c r="R1397" s="227" t="n"/>
      <c r="S1397" s="227" t="n"/>
      <c r="T1397" s="227" t="n"/>
    </row>
    <row r="1398">
      <c r="A1398" s="145">
        <f>IF($B1398="","",ROW()-5)</f>
        <v/>
      </c>
      <c r="B1398" s="127" t="n"/>
      <c r="C1398" s="223" t="n"/>
      <c r="D1398" s="127" t="n"/>
      <c r="E1398" s="227" t="n"/>
      <c r="F1398" s="227" t="n"/>
      <c r="G1398" s="227" t="n"/>
      <c r="H1398" s="227" t="n"/>
      <c r="I1398" s="227" t="n"/>
      <c r="J1398" s="227" t="n"/>
      <c r="K1398" s="227" t="n"/>
      <c r="L1398" s="227" t="n"/>
      <c r="M1398" s="227" t="n"/>
      <c r="N1398" s="127" t="n"/>
      <c r="O1398" s="227" t="n"/>
      <c r="P1398" s="227" t="n"/>
      <c r="Q1398" s="227" t="n"/>
      <c r="R1398" s="227" t="n"/>
      <c r="S1398" s="227" t="n"/>
      <c r="T1398" s="227" t="n"/>
    </row>
    <row r="1399">
      <c r="A1399" s="145">
        <f>IF($B1399="","",ROW()-5)</f>
        <v/>
      </c>
      <c r="B1399" s="127" t="n"/>
      <c r="C1399" s="223" t="n"/>
      <c r="D1399" s="127" t="n"/>
      <c r="E1399" s="227" t="n"/>
      <c r="F1399" s="227" t="n"/>
      <c r="G1399" s="227" t="n"/>
      <c r="H1399" s="227" t="n"/>
      <c r="I1399" s="227" t="n"/>
      <c r="J1399" s="227" t="n"/>
      <c r="K1399" s="227" t="n"/>
      <c r="L1399" s="227" t="n"/>
      <c r="M1399" s="227" t="n"/>
      <c r="N1399" s="127" t="n"/>
      <c r="O1399" s="227" t="n"/>
      <c r="P1399" s="227" t="n"/>
      <c r="Q1399" s="227" t="n"/>
      <c r="R1399" s="227" t="n"/>
      <c r="S1399" s="227" t="n"/>
      <c r="T1399" s="227" t="n"/>
    </row>
    <row r="1400">
      <c r="A1400" s="145">
        <f>IF($B1400="","",ROW()-5)</f>
        <v/>
      </c>
      <c r="B1400" s="127" t="n"/>
      <c r="C1400" s="223" t="n"/>
      <c r="D1400" s="127" t="n"/>
      <c r="E1400" s="227" t="n"/>
      <c r="F1400" s="227" t="n"/>
      <c r="G1400" s="227" t="n"/>
      <c r="H1400" s="227" t="n"/>
      <c r="I1400" s="227" t="n"/>
      <c r="J1400" s="227" t="n"/>
      <c r="K1400" s="227" t="n"/>
      <c r="L1400" s="227" t="n"/>
      <c r="M1400" s="227" t="n"/>
      <c r="N1400" s="127" t="n"/>
      <c r="O1400" s="227" t="n"/>
      <c r="P1400" s="227" t="n"/>
      <c r="Q1400" s="227" t="n"/>
      <c r="R1400" s="227" t="n"/>
      <c r="S1400" s="227" t="n"/>
      <c r="T1400" s="227" t="n"/>
    </row>
    <row r="1401">
      <c r="A1401" s="145">
        <f>IF($B1401="","",ROW()-5)</f>
        <v/>
      </c>
      <c r="B1401" s="127" t="n"/>
      <c r="C1401" s="223" t="n"/>
      <c r="D1401" s="127" t="n"/>
      <c r="E1401" s="227" t="n"/>
      <c r="F1401" s="227" t="n"/>
      <c r="G1401" s="227" t="n"/>
      <c r="H1401" s="227" t="n"/>
      <c r="I1401" s="227" t="n"/>
      <c r="J1401" s="227" t="n"/>
      <c r="K1401" s="227" t="n"/>
      <c r="L1401" s="227" t="n"/>
      <c r="M1401" s="227" t="n"/>
      <c r="N1401" s="127" t="n"/>
      <c r="O1401" s="227" t="n"/>
      <c r="P1401" s="227" t="n"/>
      <c r="Q1401" s="227" t="n"/>
      <c r="R1401" s="227" t="n"/>
      <c r="S1401" s="227" t="n"/>
      <c r="T1401" s="227" t="n"/>
    </row>
    <row r="1402">
      <c r="A1402" s="145">
        <f>IF($B1402="","",ROW()-5)</f>
        <v/>
      </c>
      <c r="B1402" s="127" t="n"/>
      <c r="C1402" s="223" t="n"/>
      <c r="D1402" s="127" t="n"/>
      <c r="E1402" s="227" t="n"/>
      <c r="F1402" s="227" t="n"/>
      <c r="G1402" s="227" t="n"/>
      <c r="H1402" s="227" t="n"/>
      <c r="I1402" s="227" t="n"/>
      <c r="J1402" s="227" t="n"/>
      <c r="K1402" s="227" t="n"/>
      <c r="L1402" s="227" t="n"/>
      <c r="M1402" s="227" t="n"/>
      <c r="N1402" s="127" t="n"/>
      <c r="O1402" s="227" t="n"/>
      <c r="P1402" s="227" t="n"/>
      <c r="Q1402" s="227" t="n"/>
      <c r="R1402" s="227" t="n"/>
      <c r="S1402" s="227" t="n"/>
      <c r="T1402" s="227" t="n"/>
    </row>
    <row r="1403">
      <c r="A1403" s="145">
        <f>IF($B1403="","",ROW()-5)</f>
        <v/>
      </c>
      <c r="B1403" s="127" t="n"/>
      <c r="C1403" s="223" t="n"/>
      <c r="D1403" s="127" t="n"/>
      <c r="E1403" s="227" t="n"/>
      <c r="F1403" s="227" t="n"/>
      <c r="G1403" s="227" t="n"/>
      <c r="H1403" s="227" t="n"/>
      <c r="I1403" s="227" t="n"/>
      <c r="J1403" s="227" t="n"/>
      <c r="K1403" s="227" t="n"/>
      <c r="L1403" s="227" t="n"/>
      <c r="M1403" s="227" t="n"/>
      <c r="N1403" s="127" t="n"/>
      <c r="O1403" s="227" t="n"/>
      <c r="P1403" s="227" t="n"/>
      <c r="Q1403" s="227" t="n"/>
      <c r="R1403" s="227" t="n"/>
      <c r="S1403" s="227" t="n"/>
      <c r="T1403" s="227" t="n"/>
    </row>
    <row r="1404">
      <c r="A1404" s="145">
        <f>IF($B1404="","",ROW()-5)</f>
        <v/>
      </c>
      <c r="B1404" s="127" t="n"/>
      <c r="C1404" s="223" t="n"/>
      <c r="D1404" s="127" t="n"/>
      <c r="E1404" s="227" t="n"/>
      <c r="F1404" s="227" t="n"/>
      <c r="G1404" s="227" t="n"/>
      <c r="H1404" s="227" t="n"/>
      <c r="I1404" s="227" t="n"/>
      <c r="J1404" s="227" t="n"/>
      <c r="K1404" s="227" t="n"/>
      <c r="L1404" s="227" t="n"/>
      <c r="M1404" s="227" t="n"/>
      <c r="N1404" s="127" t="n"/>
      <c r="O1404" s="227" t="n"/>
      <c r="P1404" s="227" t="n"/>
      <c r="Q1404" s="227" t="n"/>
      <c r="R1404" s="227" t="n"/>
      <c r="S1404" s="227" t="n"/>
      <c r="T1404" s="227" t="n"/>
    </row>
    <row r="1405">
      <c r="A1405" s="145">
        <f>IF($B1405="","",ROW()-5)</f>
        <v/>
      </c>
      <c r="B1405" s="127" t="n"/>
      <c r="C1405" s="223" t="n"/>
      <c r="D1405" s="127" t="n"/>
      <c r="E1405" s="227" t="n"/>
      <c r="F1405" s="227" t="n"/>
      <c r="G1405" s="227" t="n"/>
      <c r="H1405" s="227" t="n"/>
      <c r="I1405" s="227" t="n"/>
      <c r="J1405" s="227" t="n"/>
      <c r="K1405" s="227" t="n"/>
      <c r="L1405" s="227" t="n"/>
      <c r="M1405" s="227" t="n"/>
      <c r="N1405" s="127" t="n"/>
      <c r="O1405" s="227" t="n"/>
      <c r="P1405" s="227" t="n"/>
      <c r="Q1405" s="227" t="n"/>
      <c r="R1405" s="227" t="n"/>
      <c r="S1405" s="227" t="n"/>
      <c r="T1405" s="227" t="n"/>
    </row>
    <row r="1406">
      <c r="A1406" s="145">
        <f>IF($B1406="","",ROW()-5)</f>
        <v/>
      </c>
      <c r="B1406" s="127" t="n"/>
      <c r="C1406" s="223" t="n"/>
      <c r="D1406" s="127" t="n"/>
      <c r="E1406" s="227" t="n"/>
      <c r="F1406" s="227" t="n"/>
      <c r="G1406" s="227" t="n"/>
      <c r="H1406" s="227" t="n"/>
      <c r="I1406" s="227" t="n"/>
      <c r="J1406" s="227" t="n"/>
      <c r="K1406" s="227" t="n"/>
      <c r="L1406" s="227" t="n"/>
      <c r="M1406" s="227" t="n"/>
      <c r="N1406" s="127" t="n"/>
      <c r="O1406" s="227" t="n"/>
      <c r="P1406" s="227" t="n"/>
      <c r="Q1406" s="227" t="n"/>
      <c r="R1406" s="227" t="n"/>
      <c r="S1406" s="227" t="n"/>
      <c r="T1406" s="227" t="n"/>
    </row>
    <row r="1407">
      <c r="A1407" s="145">
        <f>IF($B1407="","",ROW()-5)</f>
        <v/>
      </c>
      <c r="B1407" s="127" t="n"/>
      <c r="C1407" s="223" t="n"/>
      <c r="D1407" s="127" t="n"/>
      <c r="E1407" s="227" t="n"/>
      <c r="F1407" s="227" t="n"/>
      <c r="G1407" s="227" t="n"/>
      <c r="H1407" s="227" t="n"/>
      <c r="I1407" s="227" t="n"/>
      <c r="J1407" s="227" t="n"/>
      <c r="K1407" s="227" t="n"/>
      <c r="L1407" s="227" t="n"/>
      <c r="M1407" s="227" t="n"/>
      <c r="N1407" s="127" t="n"/>
      <c r="O1407" s="227" t="n"/>
      <c r="P1407" s="227" t="n"/>
      <c r="Q1407" s="227" t="n"/>
      <c r="R1407" s="227" t="n"/>
      <c r="S1407" s="227" t="n"/>
      <c r="T1407" s="227" t="n"/>
    </row>
    <row r="1408">
      <c r="A1408" s="145">
        <f>IF($B1408="","",ROW()-5)</f>
        <v/>
      </c>
      <c r="B1408" s="127" t="n"/>
      <c r="C1408" s="223" t="n"/>
      <c r="D1408" s="127" t="n"/>
      <c r="E1408" s="227" t="n"/>
      <c r="F1408" s="227" t="n"/>
      <c r="G1408" s="227" t="n"/>
      <c r="H1408" s="227" t="n"/>
      <c r="I1408" s="227" t="n"/>
      <c r="J1408" s="227" t="n"/>
      <c r="K1408" s="227" t="n"/>
      <c r="L1408" s="227" t="n"/>
      <c r="M1408" s="227" t="n"/>
      <c r="N1408" s="127" t="n"/>
      <c r="O1408" s="227" t="n"/>
      <c r="P1408" s="227" t="n"/>
      <c r="Q1408" s="227" t="n"/>
      <c r="R1408" s="227" t="n"/>
      <c r="S1408" s="227" t="n"/>
      <c r="T1408" s="227" t="n"/>
    </row>
    <row r="1409">
      <c r="A1409" s="145">
        <f>IF($B1409="","",ROW()-5)</f>
        <v/>
      </c>
      <c r="B1409" s="127" t="n"/>
      <c r="C1409" s="223" t="n"/>
      <c r="D1409" s="127" t="n"/>
      <c r="E1409" s="227" t="n"/>
      <c r="F1409" s="227" t="n"/>
      <c r="G1409" s="227" t="n"/>
      <c r="H1409" s="227" t="n"/>
      <c r="I1409" s="227" t="n"/>
      <c r="J1409" s="227" t="n"/>
      <c r="K1409" s="227" t="n"/>
      <c r="L1409" s="227" t="n"/>
      <c r="M1409" s="227" t="n"/>
      <c r="N1409" s="127" t="n"/>
      <c r="O1409" s="227" t="n"/>
      <c r="P1409" s="227" t="n"/>
      <c r="Q1409" s="227" t="n"/>
      <c r="R1409" s="227" t="n"/>
      <c r="S1409" s="227" t="n"/>
      <c r="T1409" s="227" t="n"/>
    </row>
    <row r="1410">
      <c r="A1410" s="145">
        <f>IF($B1410="","",ROW()-5)</f>
        <v/>
      </c>
      <c r="B1410" s="127" t="n"/>
      <c r="C1410" s="223" t="n"/>
      <c r="D1410" s="127" t="n"/>
      <c r="E1410" s="227" t="n"/>
      <c r="F1410" s="227" t="n"/>
      <c r="G1410" s="227" t="n"/>
      <c r="H1410" s="227" t="n"/>
      <c r="I1410" s="227" t="n"/>
      <c r="J1410" s="227" t="n"/>
      <c r="K1410" s="227" t="n"/>
      <c r="L1410" s="227" t="n"/>
      <c r="M1410" s="227" t="n"/>
      <c r="N1410" s="127" t="n"/>
      <c r="O1410" s="227" t="n"/>
      <c r="P1410" s="227" t="n"/>
      <c r="Q1410" s="227" t="n"/>
      <c r="R1410" s="227" t="n"/>
      <c r="S1410" s="227" t="n"/>
      <c r="T1410" s="227" t="n"/>
    </row>
    <row r="1411">
      <c r="A1411" s="145">
        <f>IF($B1411="","",ROW()-5)</f>
        <v/>
      </c>
      <c r="B1411" s="127" t="n"/>
      <c r="C1411" s="223" t="n"/>
      <c r="D1411" s="127" t="n"/>
      <c r="E1411" s="227" t="n"/>
      <c r="F1411" s="227" t="n"/>
      <c r="G1411" s="227" t="n"/>
      <c r="H1411" s="227" t="n"/>
      <c r="I1411" s="227" t="n"/>
      <c r="J1411" s="227" t="n"/>
      <c r="K1411" s="227" t="n"/>
      <c r="L1411" s="227" t="n"/>
      <c r="M1411" s="227" t="n"/>
      <c r="N1411" s="127" t="n"/>
      <c r="O1411" s="227" t="n"/>
      <c r="P1411" s="227" t="n"/>
      <c r="Q1411" s="227" t="n"/>
      <c r="R1411" s="227" t="n"/>
      <c r="S1411" s="227" t="n"/>
      <c r="T1411" s="227" t="n"/>
    </row>
    <row r="1412">
      <c r="A1412" s="145">
        <f>IF($B1412="","",ROW()-5)</f>
        <v/>
      </c>
      <c r="B1412" s="127" t="n"/>
      <c r="C1412" s="223" t="n"/>
      <c r="D1412" s="127" t="n"/>
      <c r="E1412" s="227" t="n"/>
      <c r="F1412" s="227" t="n"/>
      <c r="G1412" s="227" t="n"/>
      <c r="H1412" s="227" t="n"/>
      <c r="I1412" s="227" t="n"/>
      <c r="J1412" s="227" t="n"/>
      <c r="K1412" s="227" t="n"/>
      <c r="L1412" s="227" t="n"/>
      <c r="M1412" s="227" t="n"/>
      <c r="N1412" s="127" t="n"/>
      <c r="O1412" s="227" t="n"/>
      <c r="P1412" s="227" t="n"/>
      <c r="Q1412" s="227" t="n"/>
      <c r="R1412" s="227" t="n"/>
      <c r="S1412" s="227" t="n"/>
      <c r="T1412" s="227" t="n"/>
    </row>
    <row r="1413">
      <c r="A1413" s="145">
        <f>IF($B1413="","",ROW()-5)</f>
        <v/>
      </c>
      <c r="B1413" s="127" t="n"/>
      <c r="C1413" s="223" t="n"/>
      <c r="D1413" s="127" t="n"/>
      <c r="E1413" s="227" t="n"/>
      <c r="F1413" s="227" t="n"/>
      <c r="G1413" s="227" t="n"/>
      <c r="H1413" s="227" t="n"/>
      <c r="I1413" s="227" t="n"/>
      <c r="J1413" s="227" t="n"/>
      <c r="K1413" s="227" t="n"/>
      <c r="L1413" s="227" t="n"/>
      <c r="M1413" s="227" t="n"/>
      <c r="N1413" s="127" t="n"/>
      <c r="O1413" s="227" t="n"/>
      <c r="P1413" s="227" t="n"/>
      <c r="Q1413" s="227" t="n"/>
      <c r="R1413" s="227" t="n"/>
      <c r="S1413" s="227" t="n"/>
      <c r="T1413" s="227" t="n"/>
    </row>
    <row r="1414">
      <c r="A1414" s="145">
        <f>IF($B1414="","",ROW()-5)</f>
        <v/>
      </c>
      <c r="B1414" s="127" t="n"/>
      <c r="C1414" s="223" t="n"/>
      <c r="D1414" s="127" t="n"/>
      <c r="E1414" s="227" t="n"/>
      <c r="F1414" s="227" t="n"/>
      <c r="G1414" s="227" t="n"/>
      <c r="H1414" s="227" t="n"/>
      <c r="I1414" s="227" t="n"/>
      <c r="J1414" s="227" t="n"/>
      <c r="K1414" s="227" t="n"/>
      <c r="L1414" s="227" t="n"/>
      <c r="M1414" s="227" t="n"/>
      <c r="N1414" s="127" t="n"/>
      <c r="O1414" s="227" t="n"/>
      <c r="P1414" s="227" t="n"/>
      <c r="Q1414" s="227" t="n"/>
      <c r="R1414" s="227" t="n"/>
      <c r="S1414" s="227" t="n"/>
      <c r="T1414" s="227" t="n"/>
    </row>
    <row r="1415">
      <c r="A1415" s="145">
        <f>IF($B1415="","",ROW()-5)</f>
        <v/>
      </c>
      <c r="B1415" s="127" t="n"/>
      <c r="C1415" s="223" t="n"/>
      <c r="D1415" s="127" t="n"/>
      <c r="E1415" s="227" t="n"/>
      <c r="F1415" s="227" t="n"/>
      <c r="G1415" s="227" t="n"/>
      <c r="H1415" s="227" t="n"/>
      <c r="I1415" s="227" t="n"/>
      <c r="J1415" s="227" t="n"/>
      <c r="K1415" s="227" t="n"/>
      <c r="L1415" s="227" t="n"/>
      <c r="M1415" s="227" t="n"/>
      <c r="N1415" s="127" t="n"/>
      <c r="O1415" s="227" t="n"/>
      <c r="P1415" s="227" t="n"/>
      <c r="Q1415" s="227" t="n"/>
      <c r="R1415" s="227" t="n"/>
      <c r="S1415" s="227" t="n"/>
      <c r="T1415" s="227" t="n"/>
    </row>
    <row r="1416">
      <c r="A1416" s="145">
        <f>IF($B1416="","",ROW()-5)</f>
        <v/>
      </c>
      <c r="B1416" s="127" t="n"/>
      <c r="C1416" s="223" t="n"/>
      <c r="D1416" s="127" t="n"/>
      <c r="E1416" s="227" t="n"/>
      <c r="F1416" s="227" t="n"/>
      <c r="G1416" s="227" t="n"/>
      <c r="H1416" s="227" t="n"/>
      <c r="I1416" s="227" t="n"/>
      <c r="J1416" s="227" t="n"/>
      <c r="K1416" s="227" t="n"/>
      <c r="L1416" s="227" t="n"/>
      <c r="M1416" s="227" t="n"/>
      <c r="N1416" s="127" t="n"/>
      <c r="O1416" s="227" t="n"/>
      <c r="P1416" s="227" t="n"/>
      <c r="Q1416" s="227" t="n"/>
      <c r="R1416" s="227" t="n"/>
      <c r="S1416" s="227" t="n"/>
      <c r="T1416" s="227" t="n"/>
    </row>
    <row r="1417">
      <c r="A1417" s="145">
        <f>IF($B1417="","",ROW()-5)</f>
        <v/>
      </c>
      <c r="B1417" s="127" t="n"/>
      <c r="C1417" s="223" t="n"/>
      <c r="D1417" s="127" t="n"/>
      <c r="E1417" s="227" t="n"/>
      <c r="F1417" s="227" t="n"/>
      <c r="G1417" s="227" t="n"/>
      <c r="H1417" s="227" t="n"/>
      <c r="I1417" s="227" t="n"/>
      <c r="J1417" s="227" t="n"/>
      <c r="K1417" s="227" t="n"/>
      <c r="L1417" s="227" t="n"/>
      <c r="M1417" s="227" t="n"/>
      <c r="N1417" s="127" t="n"/>
      <c r="O1417" s="227" t="n"/>
      <c r="P1417" s="227" t="n"/>
      <c r="Q1417" s="227" t="n"/>
      <c r="R1417" s="227" t="n"/>
      <c r="S1417" s="227" t="n"/>
      <c r="T1417" s="227" t="n"/>
    </row>
    <row r="1418">
      <c r="A1418" s="145">
        <f>IF($B1418="","",ROW()-5)</f>
        <v/>
      </c>
      <c r="B1418" s="127" t="n"/>
      <c r="C1418" s="223" t="n"/>
      <c r="D1418" s="127" t="n"/>
      <c r="E1418" s="227" t="n"/>
      <c r="F1418" s="227" t="n"/>
      <c r="G1418" s="227" t="n"/>
      <c r="H1418" s="227" t="n"/>
      <c r="I1418" s="227" t="n"/>
      <c r="J1418" s="227" t="n"/>
      <c r="K1418" s="227" t="n"/>
      <c r="L1418" s="227" t="n"/>
      <c r="M1418" s="227" t="n"/>
      <c r="N1418" s="127" t="n"/>
      <c r="O1418" s="227" t="n"/>
      <c r="P1418" s="227" t="n"/>
      <c r="Q1418" s="227" t="n"/>
      <c r="R1418" s="227" t="n"/>
      <c r="S1418" s="227" t="n"/>
      <c r="T1418" s="227" t="n"/>
    </row>
    <row r="1419">
      <c r="A1419" s="145">
        <f>IF($B1419="","",ROW()-5)</f>
        <v/>
      </c>
      <c r="B1419" s="127" t="n"/>
      <c r="C1419" s="223" t="n"/>
      <c r="D1419" s="127" t="n"/>
      <c r="E1419" s="227" t="n"/>
      <c r="F1419" s="227" t="n"/>
      <c r="G1419" s="227" t="n"/>
      <c r="H1419" s="227" t="n"/>
      <c r="I1419" s="227" t="n"/>
      <c r="J1419" s="227" t="n"/>
      <c r="K1419" s="227" t="n"/>
      <c r="L1419" s="227" t="n"/>
      <c r="M1419" s="227" t="n"/>
      <c r="N1419" s="127" t="n"/>
      <c r="O1419" s="227" t="n"/>
      <c r="P1419" s="227" t="n"/>
      <c r="Q1419" s="227" t="n"/>
      <c r="R1419" s="227" t="n"/>
      <c r="S1419" s="227" t="n"/>
      <c r="T1419" s="227" t="n"/>
    </row>
    <row r="1420">
      <c r="A1420" s="145">
        <f>IF($B1420="","",ROW()-5)</f>
        <v/>
      </c>
      <c r="B1420" s="127" t="n"/>
      <c r="C1420" s="223" t="n"/>
      <c r="D1420" s="127" t="n"/>
      <c r="E1420" s="227" t="n"/>
      <c r="F1420" s="227" t="n"/>
      <c r="G1420" s="227" t="n"/>
      <c r="H1420" s="227" t="n"/>
      <c r="I1420" s="227" t="n"/>
      <c r="J1420" s="227" t="n"/>
      <c r="K1420" s="227" t="n"/>
      <c r="L1420" s="227" t="n"/>
      <c r="M1420" s="227" t="n"/>
      <c r="N1420" s="127" t="n"/>
      <c r="O1420" s="227" t="n"/>
      <c r="P1420" s="227" t="n"/>
      <c r="Q1420" s="227" t="n"/>
      <c r="R1420" s="227" t="n"/>
      <c r="S1420" s="227" t="n"/>
      <c r="T1420" s="227" t="n"/>
    </row>
    <row r="1421">
      <c r="A1421" s="145">
        <f>IF($B1421="","",ROW()-5)</f>
        <v/>
      </c>
      <c r="B1421" s="127" t="n"/>
      <c r="C1421" s="223" t="n"/>
      <c r="D1421" s="127" t="n"/>
      <c r="E1421" s="227" t="n"/>
      <c r="F1421" s="227" t="n"/>
      <c r="G1421" s="227" t="n"/>
      <c r="H1421" s="227" t="n"/>
      <c r="I1421" s="227" t="n"/>
      <c r="J1421" s="227" t="n"/>
      <c r="K1421" s="227" t="n"/>
      <c r="L1421" s="227" t="n"/>
      <c r="M1421" s="227" t="n"/>
      <c r="N1421" s="127" t="n"/>
      <c r="O1421" s="227" t="n"/>
      <c r="P1421" s="227" t="n"/>
      <c r="Q1421" s="227" t="n"/>
      <c r="R1421" s="227" t="n"/>
      <c r="S1421" s="227" t="n"/>
      <c r="T1421" s="227" t="n"/>
    </row>
    <row r="1422">
      <c r="A1422" s="145">
        <f>IF($B1422="","",ROW()-5)</f>
        <v/>
      </c>
      <c r="B1422" s="127" t="n"/>
      <c r="C1422" s="223" t="n"/>
      <c r="D1422" s="127" t="n"/>
      <c r="E1422" s="227" t="n"/>
      <c r="F1422" s="227" t="n"/>
      <c r="G1422" s="227" t="n"/>
      <c r="H1422" s="227" t="n"/>
      <c r="I1422" s="227" t="n"/>
      <c r="J1422" s="227" t="n"/>
      <c r="K1422" s="227" t="n"/>
      <c r="L1422" s="227" t="n"/>
      <c r="M1422" s="227" t="n"/>
      <c r="N1422" s="127" t="n"/>
      <c r="O1422" s="227" t="n"/>
      <c r="P1422" s="227" t="n"/>
      <c r="Q1422" s="227" t="n"/>
      <c r="R1422" s="227" t="n"/>
      <c r="S1422" s="227" t="n"/>
      <c r="T1422" s="227" t="n"/>
    </row>
    <row r="1423">
      <c r="A1423" s="145">
        <f>IF($B1423="","",ROW()-5)</f>
        <v/>
      </c>
      <c r="B1423" s="127" t="n"/>
      <c r="C1423" s="223" t="n"/>
      <c r="D1423" s="127" t="n"/>
      <c r="E1423" s="227" t="n"/>
      <c r="F1423" s="227" t="n"/>
      <c r="G1423" s="227" t="n"/>
      <c r="H1423" s="227" t="n"/>
      <c r="I1423" s="227" t="n"/>
      <c r="J1423" s="227" t="n"/>
      <c r="K1423" s="227" t="n"/>
      <c r="L1423" s="227" t="n"/>
      <c r="M1423" s="227" t="n"/>
      <c r="N1423" s="127" t="n"/>
      <c r="O1423" s="227" t="n"/>
      <c r="P1423" s="227" t="n"/>
      <c r="Q1423" s="227" t="n"/>
      <c r="R1423" s="227" t="n"/>
      <c r="S1423" s="227" t="n"/>
      <c r="T1423" s="227" t="n"/>
    </row>
    <row r="1424">
      <c r="A1424" s="145">
        <f>IF($B1424="","",ROW()-5)</f>
        <v/>
      </c>
      <c r="B1424" s="127" t="n"/>
      <c r="C1424" s="223" t="n"/>
      <c r="D1424" s="127" t="n"/>
      <c r="E1424" s="227" t="n"/>
      <c r="F1424" s="227" t="n"/>
      <c r="G1424" s="227" t="n"/>
      <c r="H1424" s="227" t="n"/>
      <c r="I1424" s="227" t="n"/>
      <c r="J1424" s="227" t="n"/>
      <c r="K1424" s="227" t="n"/>
      <c r="L1424" s="227" t="n"/>
      <c r="M1424" s="227" t="n"/>
      <c r="N1424" s="127" t="n"/>
      <c r="O1424" s="227" t="n"/>
      <c r="P1424" s="227" t="n"/>
      <c r="Q1424" s="227" t="n"/>
      <c r="R1424" s="227" t="n"/>
      <c r="S1424" s="227" t="n"/>
      <c r="T1424" s="227" t="n"/>
    </row>
    <row r="1425">
      <c r="A1425" s="145">
        <f>IF($B1425="","",ROW()-5)</f>
        <v/>
      </c>
      <c r="B1425" s="127" t="n"/>
      <c r="C1425" s="223" t="n"/>
      <c r="D1425" s="127" t="n"/>
      <c r="E1425" s="227" t="n"/>
      <c r="F1425" s="227" t="n"/>
      <c r="G1425" s="227" t="n"/>
      <c r="H1425" s="227" t="n"/>
      <c r="I1425" s="227" t="n"/>
      <c r="J1425" s="227" t="n"/>
      <c r="K1425" s="227" t="n"/>
      <c r="L1425" s="227" t="n"/>
      <c r="M1425" s="227" t="n"/>
      <c r="N1425" s="127" t="n"/>
      <c r="O1425" s="227" t="n"/>
      <c r="P1425" s="227" t="n"/>
      <c r="Q1425" s="227" t="n"/>
      <c r="R1425" s="227" t="n"/>
      <c r="S1425" s="227" t="n"/>
      <c r="T1425" s="227" t="n"/>
    </row>
    <row r="1426">
      <c r="A1426" s="145">
        <f>IF($B1426="","",ROW()-5)</f>
        <v/>
      </c>
      <c r="B1426" s="127" t="n"/>
      <c r="C1426" s="223" t="n"/>
      <c r="D1426" s="127" t="n"/>
      <c r="E1426" s="227" t="n"/>
      <c r="F1426" s="227" t="n"/>
      <c r="G1426" s="227" t="n"/>
      <c r="H1426" s="227" t="n"/>
      <c r="I1426" s="227" t="n"/>
      <c r="J1426" s="227" t="n"/>
      <c r="K1426" s="227" t="n"/>
      <c r="L1426" s="227" t="n"/>
      <c r="M1426" s="227" t="n"/>
      <c r="N1426" s="127" t="n"/>
      <c r="O1426" s="227" t="n"/>
      <c r="P1426" s="227" t="n"/>
      <c r="Q1426" s="227" t="n"/>
      <c r="R1426" s="227" t="n"/>
      <c r="S1426" s="227" t="n"/>
      <c r="T1426" s="227" t="n"/>
    </row>
    <row r="1427">
      <c r="A1427" s="145">
        <f>IF($B1427="","",ROW()-5)</f>
        <v/>
      </c>
      <c r="B1427" s="127" t="n"/>
      <c r="C1427" s="223" t="n"/>
      <c r="D1427" s="127" t="n"/>
      <c r="E1427" s="227" t="n"/>
      <c r="F1427" s="227" t="n"/>
      <c r="G1427" s="227" t="n"/>
      <c r="H1427" s="227" t="n"/>
      <c r="I1427" s="227" t="n"/>
      <c r="J1427" s="227" t="n"/>
      <c r="K1427" s="227" t="n"/>
      <c r="L1427" s="227" t="n"/>
      <c r="M1427" s="227" t="n"/>
      <c r="N1427" s="127" t="n"/>
      <c r="O1427" s="227" t="n"/>
      <c r="P1427" s="227" t="n"/>
      <c r="Q1427" s="227" t="n"/>
      <c r="R1427" s="227" t="n"/>
      <c r="S1427" s="227" t="n"/>
      <c r="T1427" s="227" t="n"/>
    </row>
    <row r="1428">
      <c r="A1428" s="145">
        <f>IF($B1428="","",ROW()-5)</f>
        <v/>
      </c>
      <c r="B1428" s="127" t="n"/>
      <c r="C1428" s="223" t="n"/>
      <c r="D1428" s="127" t="n"/>
      <c r="E1428" s="227" t="n"/>
      <c r="F1428" s="227" t="n"/>
      <c r="G1428" s="227" t="n"/>
      <c r="H1428" s="227" t="n"/>
      <c r="I1428" s="227" t="n"/>
      <c r="J1428" s="227" t="n"/>
      <c r="K1428" s="227" t="n"/>
      <c r="L1428" s="227" t="n"/>
      <c r="M1428" s="227" t="n"/>
      <c r="N1428" s="127" t="n"/>
      <c r="O1428" s="227" t="n"/>
      <c r="P1428" s="227" t="n"/>
      <c r="Q1428" s="227" t="n"/>
      <c r="R1428" s="227" t="n"/>
      <c r="S1428" s="227" t="n"/>
      <c r="T1428" s="227" t="n"/>
    </row>
    <row r="1429">
      <c r="A1429" s="145">
        <f>IF($B1429="","",ROW()-5)</f>
        <v/>
      </c>
      <c r="B1429" s="127" t="n"/>
      <c r="C1429" s="223" t="n"/>
      <c r="D1429" s="127" t="n"/>
      <c r="E1429" s="227" t="n"/>
      <c r="F1429" s="227" t="n"/>
      <c r="G1429" s="227" t="n"/>
      <c r="H1429" s="227" t="n"/>
      <c r="I1429" s="227" t="n"/>
      <c r="J1429" s="227" t="n"/>
      <c r="K1429" s="227" t="n"/>
      <c r="L1429" s="227" t="n"/>
      <c r="M1429" s="227" t="n"/>
      <c r="N1429" s="127" t="n"/>
      <c r="O1429" s="227" t="n"/>
      <c r="P1429" s="227" t="n"/>
      <c r="Q1429" s="227" t="n"/>
      <c r="R1429" s="227" t="n"/>
      <c r="S1429" s="227" t="n"/>
      <c r="T1429" s="227" t="n"/>
    </row>
    <row r="1430">
      <c r="A1430" s="145">
        <f>IF($B1430="","",ROW()-5)</f>
        <v/>
      </c>
      <c r="B1430" s="127" t="n"/>
      <c r="C1430" s="223" t="n"/>
      <c r="D1430" s="127" t="n"/>
      <c r="E1430" s="227" t="n"/>
      <c r="F1430" s="227" t="n"/>
      <c r="G1430" s="227" t="n"/>
      <c r="H1430" s="227" t="n"/>
      <c r="I1430" s="227" t="n"/>
      <c r="J1430" s="227" t="n"/>
      <c r="K1430" s="227" t="n"/>
      <c r="L1430" s="227" t="n"/>
      <c r="M1430" s="227" t="n"/>
      <c r="N1430" s="127" t="n"/>
      <c r="O1430" s="227" t="n"/>
      <c r="P1430" s="227" t="n"/>
      <c r="Q1430" s="227" t="n"/>
      <c r="R1430" s="227" t="n"/>
      <c r="S1430" s="227" t="n"/>
      <c r="T1430" s="227" t="n"/>
    </row>
    <row r="1431">
      <c r="A1431" s="145">
        <f>IF($B1431="","",ROW()-5)</f>
        <v/>
      </c>
      <c r="B1431" s="127" t="n"/>
      <c r="C1431" s="223" t="n"/>
      <c r="D1431" s="127" t="n"/>
      <c r="E1431" s="227" t="n"/>
      <c r="F1431" s="227" t="n"/>
      <c r="G1431" s="227" t="n"/>
      <c r="H1431" s="227" t="n"/>
      <c r="I1431" s="227" t="n"/>
      <c r="J1431" s="227" t="n"/>
      <c r="K1431" s="227" t="n"/>
      <c r="L1431" s="227" t="n"/>
      <c r="M1431" s="227" t="n"/>
      <c r="N1431" s="127" t="n"/>
      <c r="O1431" s="227" t="n"/>
      <c r="P1431" s="227" t="n"/>
      <c r="Q1431" s="227" t="n"/>
      <c r="R1431" s="227" t="n"/>
      <c r="S1431" s="227" t="n"/>
      <c r="T1431" s="227" t="n"/>
    </row>
    <row r="1432">
      <c r="A1432" s="145">
        <f>IF($B1432="","",ROW()-5)</f>
        <v/>
      </c>
      <c r="B1432" s="127" t="n"/>
      <c r="C1432" s="223" t="n"/>
      <c r="D1432" s="127" t="n"/>
      <c r="E1432" s="227" t="n"/>
      <c r="F1432" s="227" t="n"/>
      <c r="G1432" s="227" t="n"/>
      <c r="H1432" s="227" t="n"/>
      <c r="I1432" s="227" t="n"/>
      <c r="J1432" s="227" t="n"/>
      <c r="K1432" s="227" t="n"/>
      <c r="L1432" s="227" t="n"/>
      <c r="M1432" s="227" t="n"/>
      <c r="N1432" s="127" t="n"/>
      <c r="O1432" s="227" t="n"/>
      <c r="P1432" s="227" t="n"/>
      <c r="Q1432" s="227" t="n"/>
      <c r="R1432" s="227" t="n"/>
      <c r="S1432" s="227" t="n"/>
      <c r="T1432" s="227" t="n"/>
    </row>
    <row r="1433">
      <c r="A1433" s="145">
        <f>IF($B1433="","",ROW()-5)</f>
        <v/>
      </c>
      <c r="B1433" s="127" t="n"/>
      <c r="C1433" s="223" t="n"/>
      <c r="D1433" s="127" t="n"/>
      <c r="E1433" s="227" t="n"/>
      <c r="F1433" s="227" t="n"/>
      <c r="G1433" s="227" t="n"/>
      <c r="H1433" s="227" t="n"/>
      <c r="I1433" s="227" t="n"/>
      <c r="J1433" s="227" t="n"/>
      <c r="K1433" s="227" t="n"/>
      <c r="L1433" s="227" t="n"/>
      <c r="M1433" s="227" t="n"/>
      <c r="N1433" s="127" t="n"/>
      <c r="O1433" s="227" t="n"/>
      <c r="P1433" s="227" t="n"/>
      <c r="Q1433" s="227" t="n"/>
      <c r="R1433" s="227" t="n"/>
      <c r="S1433" s="227" t="n"/>
      <c r="T1433" s="227" t="n"/>
    </row>
    <row r="1434">
      <c r="A1434" s="145">
        <f>IF($B1434="","",ROW()-5)</f>
        <v/>
      </c>
      <c r="B1434" s="127" t="n"/>
      <c r="C1434" s="223" t="n"/>
      <c r="D1434" s="127" t="n"/>
      <c r="E1434" s="227" t="n"/>
      <c r="F1434" s="227" t="n"/>
      <c r="G1434" s="227" t="n"/>
      <c r="H1434" s="227" t="n"/>
      <c r="I1434" s="227" t="n"/>
      <c r="J1434" s="227" t="n"/>
      <c r="K1434" s="227" t="n"/>
      <c r="L1434" s="227" t="n"/>
      <c r="M1434" s="227" t="n"/>
      <c r="N1434" s="127" t="n"/>
      <c r="O1434" s="227" t="n"/>
      <c r="P1434" s="227" t="n"/>
      <c r="Q1434" s="227" t="n"/>
      <c r="R1434" s="227" t="n"/>
      <c r="S1434" s="227" t="n"/>
      <c r="T1434" s="227" t="n"/>
    </row>
    <row r="1435">
      <c r="A1435" s="145">
        <f>IF($B1435="","",ROW()-5)</f>
        <v/>
      </c>
      <c r="B1435" s="127" t="n"/>
      <c r="C1435" s="223" t="n"/>
      <c r="D1435" s="127" t="n"/>
      <c r="E1435" s="227" t="n"/>
      <c r="F1435" s="227" t="n"/>
      <c r="G1435" s="227" t="n"/>
      <c r="H1435" s="227" t="n"/>
      <c r="I1435" s="227" t="n"/>
      <c r="J1435" s="227" t="n"/>
      <c r="K1435" s="227" t="n"/>
      <c r="L1435" s="227" t="n"/>
      <c r="M1435" s="227" t="n"/>
      <c r="N1435" s="127" t="n"/>
      <c r="O1435" s="227" t="n"/>
      <c r="P1435" s="227" t="n"/>
      <c r="Q1435" s="227" t="n"/>
      <c r="R1435" s="227" t="n"/>
      <c r="S1435" s="227" t="n"/>
      <c r="T1435" s="227" t="n"/>
    </row>
    <row r="1436">
      <c r="A1436" s="145">
        <f>IF($B1436="","",ROW()-5)</f>
        <v/>
      </c>
      <c r="B1436" s="127" t="n"/>
      <c r="C1436" s="223" t="n"/>
      <c r="D1436" s="127" t="n"/>
      <c r="E1436" s="227" t="n"/>
      <c r="F1436" s="227" t="n"/>
      <c r="G1436" s="227" t="n"/>
      <c r="H1436" s="227" t="n"/>
      <c r="I1436" s="227" t="n"/>
      <c r="J1436" s="227" t="n"/>
      <c r="K1436" s="227" t="n"/>
      <c r="L1436" s="227" t="n"/>
      <c r="M1436" s="227" t="n"/>
      <c r="N1436" s="127" t="n"/>
      <c r="O1436" s="227" t="n"/>
      <c r="P1436" s="227" t="n"/>
      <c r="Q1436" s="227" t="n"/>
      <c r="R1436" s="227" t="n"/>
      <c r="S1436" s="227" t="n"/>
      <c r="T1436" s="227" t="n"/>
    </row>
    <row r="1437">
      <c r="A1437" s="145">
        <f>IF($B1437="","",ROW()-5)</f>
        <v/>
      </c>
      <c r="B1437" s="127" t="n"/>
      <c r="C1437" s="223" t="n"/>
      <c r="D1437" s="127" t="n"/>
      <c r="E1437" s="227" t="n"/>
      <c r="F1437" s="227" t="n"/>
      <c r="G1437" s="227" t="n"/>
      <c r="H1437" s="227" t="n"/>
      <c r="I1437" s="227" t="n"/>
      <c r="J1437" s="227" t="n"/>
      <c r="K1437" s="227" t="n"/>
      <c r="L1437" s="227" t="n"/>
      <c r="M1437" s="227" t="n"/>
      <c r="N1437" s="127" t="n"/>
      <c r="O1437" s="227" t="n"/>
      <c r="P1437" s="227" t="n"/>
      <c r="Q1437" s="227" t="n"/>
      <c r="R1437" s="227" t="n"/>
      <c r="S1437" s="227" t="n"/>
      <c r="T1437" s="227" t="n"/>
    </row>
    <row r="1438">
      <c r="A1438" s="145">
        <f>IF($B1438="","",ROW()-5)</f>
        <v/>
      </c>
      <c r="B1438" s="127" t="n"/>
      <c r="C1438" s="223" t="n"/>
      <c r="D1438" s="127" t="n"/>
      <c r="E1438" s="227" t="n"/>
      <c r="F1438" s="227" t="n"/>
      <c r="G1438" s="227" t="n"/>
      <c r="H1438" s="227" t="n"/>
      <c r="I1438" s="227" t="n"/>
      <c r="J1438" s="227" t="n"/>
      <c r="K1438" s="227" t="n"/>
      <c r="L1438" s="227" t="n"/>
      <c r="M1438" s="227" t="n"/>
      <c r="N1438" s="127" t="n"/>
      <c r="O1438" s="227" t="n"/>
      <c r="P1438" s="227" t="n"/>
      <c r="Q1438" s="227" t="n"/>
      <c r="R1438" s="227" t="n"/>
      <c r="S1438" s="227" t="n"/>
      <c r="T1438" s="227" t="n"/>
    </row>
    <row r="1439">
      <c r="A1439" s="145">
        <f>IF($B1439="","",ROW()-5)</f>
        <v/>
      </c>
      <c r="B1439" s="127" t="n"/>
      <c r="C1439" s="223" t="n"/>
      <c r="D1439" s="127" t="n"/>
      <c r="E1439" s="227" t="n"/>
      <c r="F1439" s="227" t="n"/>
      <c r="G1439" s="227" t="n"/>
      <c r="H1439" s="227" t="n"/>
      <c r="I1439" s="227" t="n"/>
      <c r="J1439" s="227" t="n"/>
      <c r="K1439" s="227" t="n"/>
      <c r="L1439" s="227" t="n"/>
      <c r="M1439" s="227" t="n"/>
      <c r="N1439" s="127" t="n"/>
      <c r="O1439" s="227" t="n"/>
      <c r="P1439" s="227" t="n"/>
      <c r="Q1439" s="227" t="n"/>
      <c r="R1439" s="227" t="n"/>
      <c r="S1439" s="227" t="n"/>
      <c r="T1439" s="227" t="n"/>
    </row>
    <row r="1440">
      <c r="A1440" s="145">
        <f>IF($B1440="","",ROW()-5)</f>
        <v/>
      </c>
      <c r="B1440" s="127" t="n"/>
      <c r="C1440" s="223" t="n"/>
      <c r="D1440" s="127" t="n"/>
      <c r="E1440" s="227" t="n"/>
      <c r="F1440" s="227" t="n"/>
      <c r="G1440" s="227" t="n"/>
      <c r="H1440" s="227" t="n"/>
      <c r="I1440" s="227" t="n"/>
      <c r="J1440" s="227" t="n"/>
      <c r="K1440" s="227" t="n"/>
      <c r="L1440" s="227" t="n"/>
      <c r="M1440" s="227" t="n"/>
      <c r="N1440" s="127" t="n"/>
      <c r="O1440" s="227" t="n"/>
      <c r="P1440" s="227" t="n"/>
      <c r="Q1440" s="227" t="n"/>
      <c r="R1440" s="227" t="n"/>
      <c r="S1440" s="227" t="n"/>
      <c r="T1440" s="227" t="n"/>
    </row>
    <row r="1441">
      <c r="A1441" s="145">
        <f>IF($B1441="","",ROW()-5)</f>
        <v/>
      </c>
      <c r="B1441" s="127" t="n"/>
      <c r="C1441" s="223" t="n"/>
      <c r="D1441" s="127" t="n"/>
      <c r="E1441" s="227" t="n"/>
      <c r="F1441" s="227" t="n"/>
      <c r="G1441" s="227" t="n"/>
      <c r="H1441" s="227" t="n"/>
      <c r="I1441" s="227" t="n"/>
      <c r="J1441" s="227" t="n"/>
      <c r="K1441" s="227" t="n"/>
      <c r="L1441" s="227" t="n"/>
      <c r="M1441" s="227" t="n"/>
      <c r="N1441" s="127" t="n"/>
      <c r="O1441" s="227" t="n"/>
      <c r="P1441" s="227" t="n"/>
      <c r="Q1441" s="227" t="n"/>
      <c r="R1441" s="227" t="n"/>
      <c r="S1441" s="227" t="n"/>
      <c r="T1441" s="227" t="n"/>
    </row>
    <row r="1442">
      <c r="A1442" s="145">
        <f>IF($B1442="","",ROW()-5)</f>
        <v/>
      </c>
      <c r="B1442" s="127" t="n"/>
      <c r="C1442" s="223" t="n"/>
      <c r="D1442" s="127" t="n"/>
      <c r="E1442" s="227" t="n"/>
      <c r="F1442" s="227" t="n"/>
      <c r="G1442" s="227" t="n"/>
      <c r="H1442" s="227" t="n"/>
      <c r="I1442" s="227" t="n"/>
      <c r="J1442" s="227" t="n"/>
      <c r="K1442" s="227" t="n"/>
      <c r="L1442" s="227" t="n"/>
      <c r="M1442" s="227" t="n"/>
      <c r="N1442" s="127" t="n"/>
      <c r="O1442" s="227" t="n"/>
      <c r="P1442" s="227" t="n"/>
      <c r="Q1442" s="227" t="n"/>
      <c r="R1442" s="227" t="n"/>
      <c r="S1442" s="227" t="n"/>
      <c r="T1442" s="227" t="n"/>
    </row>
    <row r="1443">
      <c r="A1443" s="145">
        <f>IF($B1443="","",ROW()-5)</f>
        <v/>
      </c>
      <c r="B1443" s="127" t="n"/>
      <c r="C1443" s="223" t="n"/>
      <c r="D1443" s="127" t="n"/>
      <c r="E1443" s="227" t="n"/>
      <c r="F1443" s="227" t="n"/>
      <c r="G1443" s="227" t="n"/>
      <c r="H1443" s="227" t="n"/>
      <c r="I1443" s="227" t="n"/>
      <c r="J1443" s="227" t="n"/>
      <c r="K1443" s="227" t="n"/>
      <c r="L1443" s="227" t="n"/>
      <c r="M1443" s="227" t="n"/>
      <c r="N1443" s="127" t="n"/>
      <c r="O1443" s="227" t="n"/>
      <c r="P1443" s="227" t="n"/>
      <c r="Q1443" s="227" t="n"/>
      <c r="R1443" s="227" t="n"/>
      <c r="S1443" s="227" t="n"/>
      <c r="T1443" s="227" t="n"/>
    </row>
    <row r="1444">
      <c r="A1444" s="145">
        <f>IF($B1444="","",ROW()-5)</f>
        <v/>
      </c>
      <c r="B1444" s="127" t="n"/>
      <c r="C1444" s="223" t="n"/>
      <c r="D1444" s="127" t="n"/>
      <c r="E1444" s="227" t="n"/>
      <c r="F1444" s="227" t="n"/>
      <c r="G1444" s="227" t="n"/>
      <c r="H1444" s="227" t="n"/>
      <c r="I1444" s="227" t="n"/>
      <c r="J1444" s="227" t="n"/>
      <c r="K1444" s="227" t="n"/>
      <c r="L1444" s="227" t="n"/>
      <c r="M1444" s="227" t="n"/>
      <c r="N1444" s="127" t="n"/>
      <c r="O1444" s="227" t="n"/>
      <c r="P1444" s="227" t="n"/>
      <c r="Q1444" s="227" t="n"/>
      <c r="R1444" s="227" t="n"/>
      <c r="S1444" s="227" t="n"/>
      <c r="T1444" s="227" t="n"/>
    </row>
    <row r="1445">
      <c r="A1445" s="145">
        <f>IF($B1445="","",ROW()-5)</f>
        <v/>
      </c>
      <c r="B1445" s="127" t="n"/>
      <c r="C1445" s="223" t="n"/>
      <c r="D1445" s="127" t="n"/>
      <c r="E1445" s="227" t="n"/>
      <c r="F1445" s="227" t="n"/>
      <c r="G1445" s="227" t="n"/>
      <c r="H1445" s="227" t="n"/>
      <c r="I1445" s="227" t="n"/>
      <c r="J1445" s="227" t="n"/>
      <c r="K1445" s="227" t="n"/>
      <c r="L1445" s="227" t="n"/>
      <c r="M1445" s="227" t="n"/>
      <c r="N1445" s="127" t="n"/>
      <c r="O1445" s="227" t="n"/>
      <c r="P1445" s="227" t="n"/>
      <c r="Q1445" s="227" t="n"/>
      <c r="R1445" s="227" t="n"/>
      <c r="S1445" s="227" t="n"/>
      <c r="T1445" s="227" t="n"/>
    </row>
    <row r="1446">
      <c r="A1446" s="145">
        <f>IF($B1446="","",ROW()-5)</f>
        <v/>
      </c>
      <c r="B1446" s="127" t="n"/>
      <c r="C1446" s="223" t="n"/>
      <c r="D1446" s="127" t="n"/>
      <c r="E1446" s="227" t="n"/>
      <c r="F1446" s="227" t="n"/>
      <c r="G1446" s="227" t="n"/>
      <c r="H1446" s="227" t="n"/>
      <c r="I1446" s="227" t="n"/>
      <c r="J1446" s="227" t="n"/>
      <c r="K1446" s="227" t="n"/>
      <c r="L1446" s="227" t="n"/>
      <c r="M1446" s="227" t="n"/>
      <c r="N1446" s="127" t="n"/>
      <c r="O1446" s="227" t="n"/>
      <c r="P1446" s="227" t="n"/>
      <c r="Q1446" s="227" t="n"/>
      <c r="R1446" s="227" t="n"/>
      <c r="S1446" s="227" t="n"/>
      <c r="T1446" s="227" t="n"/>
    </row>
    <row r="1447">
      <c r="A1447" s="145">
        <f>IF($B1447="","",ROW()-5)</f>
        <v/>
      </c>
      <c r="B1447" s="127" t="n"/>
      <c r="C1447" s="223" t="n"/>
      <c r="D1447" s="127" t="n"/>
      <c r="E1447" s="227" t="n"/>
      <c r="F1447" s="227" t="n"/>
      <c r="G1447" s="227" t="n"/>
      <c r="H1447" s="227" t="n"/>
      <c r="I1447" s="227" t="n"/>
      <c r="J1447" s="227" t="n"/>
      <c r="K1447" s="227" t="n"/>
      <c r="L1447" s="227" t="n"/>
      <c r="M1447" s="227" t="n"/>
      <c r="N1447" s="127" t="n"/>
      <c r="O1447" s="227" t="n"/>
      <c r="P1447" s="227" t="n"/>
      <c r="Q1447" s="227" t="n"/>
      <c r="R1447" s="227" t="n"/>
      <c r="S1447" s="227" t="n"/>
      <c r="T1447" s="227" t="n"/>
    </row>
    <row r="1448">
      <c r="A1448" s="145">
        <f>IF($B1448="","",ROW()-5)</f>
        <v/>
      </c>
      <c r="B1448" s="127" t="n"/>
      <c r="C1448" s="223" t="n"/>
      <c r="D1448" s="127" t="n"/>
      <c r="E1448" s="227" t="n"/>
      <c r="F1448" s="227" t="n"/>
      <c r="G1448" s="227" t="n"/>
      <c r="H1448" s="227" t="n"/>
      <c r="I1448" s="227" t="n"/>
      <c r="J1448" s="227" t="n"/>
      <c r="K1448" s="227" t="n"/>
      <c r="L1448" s="227" t="n"/>
      <c r="M1448" s="227" t="n"/>
      <c r="N1448" s="127" t="n"/>
      <c r="O1448" s="227" t="n"/>
      <c r="P1448" s="227" t="n"/>
      <c r="Q1448" s="227" t="n"/>
      <c r="R1448" s="227" t="n"/>
      <c r="S1448" s="227" t="n"/>
      <c r="T1448" s="227" t="n"/>
    </row>
    <row r="1449">
      <c r="A1449" s="145">
        <f>IF($B1449="","",ROW()-5)</f>
        <v/>
      </c>
      <c r="B1449" s="127" t="n"/>
      <c r="C1449" s="223" t="n"/>
      <c r="D1449" s="127" t="n"/>
      <c r="E1449" s="227" t="n"/>
      <c r="F1449" s="227" t="n"/>
      <c r="G1449" s="227" t="n"/>
      <c r="H1449" s="227" t="n"/>
      <c r="I1449" s="227" t="n"/>
      <c r="J1449" s="227" t="n"/>
      <c r="K1449" s="227" t="n"/>
      <c r="L1449" s="227" t="n"/>
      <c r="M1449" s="227" t="n"/>
      <c r="N1449" s="127" t="n"/>
      <c r="O1449" s="227" t="n"/>
      <c r="P1449" s="227" t="n"/>
      <c r="Q1449" s="227" t="n"/>
      <c r="R1449" s="227" t="n"/>
      <c r="S1449" s="227" t="n"/>
      <c r="T1449" s="227" t="n"/>
    </row>
    <row r="1450">
      <c r="A1450" s="145">
        <f>IF($B1450="","",ROW()-5)</f>
        <v/>
      </c>
      <c r="B1450" s="127" t="n"/>
      <c r="C1450" s="223" t="n"/>
      <c r="D1450" s="127" t="n"/>
      <c r="E1450" s="227" t="n"/>
      <c r="F1450" s="227" t="n"/>
      <c r="G1450" s="227" t="n"/>
      <c r="H1450" s="227" t="n"/>
      <c r="I1450" s="227" t="n"/>
      <c r="J1450" s="227" t="n"/>
      <c r="K1450" s="227" t="n"/>
      <c r="L1450" s="227" t="n"/>
      <c r="M1450" s="227" t="n"/>
      <c r="N1450" s="127" t="n"/>
      <c r="O1450" s="227" t="n"/>
      <c r="P1450" s="227" t="n"/>
      <c r="Q1450" s="227" t="n"/>
      <c r="R1450" s="227" t="n"/>
      <c r="S1450" s="227" t="n"/>
      <c r="T1450" s="227" t="n"/>
    </row>
    <row r="1451">
      <c r="A1451" s="145">
        <f>IF($B1451="","",ROW()-5)</f>
        <v/>
      </c>
      <c r="B1451" s="127" t="n"/>
      <c r="C1451" s="223" t="n"/>
      <c r="D1451" s="127" t="n"/>
      <c r="E1451" s="227" t="n"/>
      <c r="F1451" s="227" t="n"/>
      <c r="G1451" s="227" t="n"/>
      <c r="H1451" s="227" t="n"/>
      <c r="I1451" s="227" t="n"/>
      <c r="J1451" s="227" t="n"/>
      <c r="K1451" s="227" t="n"/>
      <c r="L1451" s="227" t="n"/>
      <c r="M1451" s="227" t="n"/>
      <c r="N1451" s="127" t="n"/>
      <c r="O1451" s="227" t="n"/>
      <c r="P1451" s="227" t="n"/>
      <c r="Q1451" s="227" t="n"/>
      <c r="R1451" s="227" t="n"/>
      <c r="S1451" s="227" t="n"/>
      <c r="T1451" s="227" t="n"/>
    </row>
    <row r="1452">
      <c r="A1452" s="145">
        <f>IF($B1452="","",ROW()-5)</f>
        <v/>
      </c>
      <c r="B1452" s="127" t="n"/>
      <c r="C1452" s="223" t="n"/>
      <c r="D1452" s="127" t="n"/>
      <c r="E1452" s="227" t="n"/>
      <c r="F1452" s="227" t="n"/>
      <c r="G1452" s="227" t="n"/>
      <c r="H1452" s="227" t="n"/>
      <c r="I1452" s="227" t="n"/>
      <c r="J1452" s="227" t="n"/>
      <c r="K1452" s="227" t="n"/>
      <c r="L1452" s="227" t="n"/>
      <c r="M1452" s="227" t="n"/>
      <c r="N1452" s="127" t="n"/>
      <c r="O1452" s="227" t="n"/>
      <c r="P1452" s="227" t="n"/>
      <c r="Q1452" s="227" t="n"/>
      <c r="R1452" s="227" t="n"/>
      <c r="S1452" s="227" t="n"/>
      <c r="T1452" s="227" t="n"/>
    </row>
    <row r="1453">
      <c r="A1453" s="145">
        <f>IF($B1453="","",ROW()-5)</f>
        <v/>
      </c>
      <c r="B1453" s="127" t="n"/>
      <c r="C1453" s="223" t="n"/>
      <c r="D1453" s="127" t="n"/>
      <c r="E1453" s="227" t="n"/>
      <c r="F1453" s="227" t="n"/>
      <c r="G1453" s="227" t="n"/>
      <c r="H1453" s="227" t="n"/>
      <c r="I1453" s="227" t="n"/>
      <c r="J1453" s="227" t="n"/>
      <c r="K1453" s="227" t="n"/>
      <c r="L1453" s="227" t="n"/>
      <c r="M1453" s="227" t="n"/>
      <c r="N1453" s="127" t="n"/>
      <c r="O1453" s="227" t="n"/>
      <c r="P1453" s="227" t="n"/>
      <c r="Q1453" s="227" t="n"/>
      <c r="R1453" s="227" t="n"/>
      <c r="S1453" s="227" t="n"/>
      <c r="T1453" s="227" t="n"/>
    </row>
    <row r="1454">
      <c r="A1454" s="145">
        <f>IF($B1454="","",ROW()-5)</f>
        <v/>
      </c>
      <c r="B1454" s="127" t="n"/>
      <c r="C1454" s="223" t="n"/>
      <c r="D1454" s="127" t="n"/>
      <c r="E1454" s="227" t="n"/>
      <c r="F1454" s="227" t="n"/>
      <c r="G1454" s="227" t="n"/>
      <c r="H1454" s="227" t="n"/>
      <c r="I1454" s="227" t="n"/>
      <c r="J1454" s="227" t="n"/>
      <c r="K1454" s="227" t="n"/>
      <c r="L1454" s="227" t="n"/>
      <c r="M1454" s="227" t="n"/>
      <c r="N1454" s="127" t="n"/>
      <c r="O1454" s="227" t="n"/>
      <c r="P1454" s="227" t="n"/>
      <c r="Q1454" s="227" t="n"/>
      <c r="R1454" s="227" t="n"/>
      <c r="S1454" s="227" t="n"/>
      <c r="T1454" s="227" t="n"/>
    </row>
    <row r="1455">
      <c r="A1455" s="145">
        <f>IF($B1455="","",ROW()-5)</f>
        <v/>
      </c>
      <c r="B1455" s="127" t="n"/>
      <c r="C1455" s="223" t="n"/>
      <c r="D1455" s="127" t="n"/>
      <c r="E1455" s="227" t="n"/>
      <c r="F1455" s="227" t="n"/>
      <c r="G1455" s="227" t="n"/>
      <c r="H1455" s="227" t="n"/>
      <c r="I1455" s="227" t="n"/>
      <c r="J1455" s="227" t="n"/>
      <c r="K1455" s="227" t="n"/>
      <c r="L1455" s="227" t="n"/>
      <c r="M1455" s="227" t="n"/>
      <c r="N1455" s="127" t="n"/>
      <c r="O1455" s="227" t="n"/>
      <c r="P1455" s="227" t="n"/>
      <c r="Q1455" s="227" t="n"/>
      <c r="R1455" s="227" t="n"/>
      <c r="S1455" s="227" t="n"/>
      <c r="T1455" s="227" t="n"/>
    </row>
    <row r="1456">
      <c r="A1456" s="145">
        <f>IF($B1456="","",ROW()-5)</f>
        <v/>
      </c>
      <c r="B1456" s="127" t="n"/>
      <c r="C1456" s="223" t="n"/>
      <c r="D1456" s="127" t="n"/>
      <c r="E1456" s="227" t="n"/>
      <c r="F1456" s="227" t="n"/>
      <c r="G1456" s="227" t="n"/>
      <c r="H1456" s="227" t="n"/>
      <c r="I1456" s="227" t="n"/>
      <c r="J1456" s="227" t="n"/>
      <c r="K1456" s="227" t="n"/>
      <c r="L1456" s="227" t="n"/>
      <c r="M1456" s="227" t="n"/>
      <c r="N1456" s="127" t="n"/>
      <c r="O1456" s="227" t="n"/>
      <c r="P1456" s="227" t="n"/>
      <c r="Q1456" s="227" t="n"/>
      <c r="R1456" s="227" t="n"/>
      <c r="S1456" s="227" t="n"/>
      <c r="T1456" s="227" t="n"/>
    </row>
    <row r="1457">
      <c r="A1457" s="145">
        <f>IF($B1457="","",ROW()-5)</f>
        <v/>
      </c>
      <c r="B1457" s="127" t="n"/>
      <c r="C1457" s="223" t="n"/>
      <c r="D1457" s="127" t="n"/>
      <c r="E1457" s="227" t="n"/>
      <c r="F1457" s="227" t="n"/>
      <c r="G1457" s="227" t="n"/>
      <c r="H1457" s="227" t="n"/>
      <c r="I1457" s="227" t="n"/>
      <c r="J1457" s="227" t="n"/>
      <c r="K1457" s="227" t="n"/>
      <c r="L1457" s="227" t="n"/>
      <c r="M1457" s="227" t="n"/>
      <c r="N1457" s="127" t="n"/>
      <c r="O1457" s="227" t="n"/>
      <c r="P1457" s="227" t="n"/>
      <c r="Q1457" s="227" t="n"/>
      <c r="R1457" s="227" t="n"/>
      <c r="S1457" s="227" t="n"/>
      <c r="T1457" s="227" t="n"/>
    </row>
    <row r="1458">
      <c r="A1458" s="145">
        <f>IF($B1458="","",ROW()-5)</f>
        <v/>
      </c>
      <c r="B1458" s="127" t="n"/>
      <c r="C1458" s="223" t="n"/>
      <c r="D1458" s="127" t="n"/>
      <c r="E1458" s="227" t="n"/>
      <c r="F1458" s="227" t="n"/>
      <c r="G1458" s="227" t="n"/>
      <c r="H1458" s="227" t="n"/>
      <c r="I1458" s="227" t="n"/>
      <c r="J1458" s="227" t="n"/>
      <c r="K1458" s="227" t="n"/>
      <c r="L1458" s="227" t="n"/>
      <c r="M1458" s="227" t="n"/>
      <c r="N1458" s="127" t="n"/>
      <c r="O1458" s="227" t="n"/>
      <c r="P1458" s="227" t="n"/>
      <c r="Q1458" s="227" t="n"/>
      <c r="R1458" s="227" t="n"/>
      <c r="S1458" s="227" t="n"/>
      <c r="T1458" s="227" t="n"/>
    </row>
    <row r="1459">
      <c r="A1459" s="145">
        <f>IF($B1459="","",ROW()-5)</f>
        <v/>
      </c>
      <c r="B1459" s="127" t="n"/>
      <c r="C1459" s="223" t="n"/>
      <c r="D1459" s="127" t="n"/>
      <c r="E1459" s="227" t="n"/>
      <c r="F1459" s="227" t="n"/>
      <c r="G1459" s="227" t="n"/>
      <c r="H1459" s="227" t="n"/>
      <c r="I1459" s="227" t="n"/>
      <c r="J1459" s="227" t="n"/>
      <c r="K1459" s="227" t="n"/>
      <c r="L1459" s="227" t="n"/>
      <c r="M1459" s="227" t="n"/>
      <c r="N1459" s="127" t="n"/>
      <c r="O1459" s="227" t="n"/>
      <c r="P1459" s="227" t="n"/>
      <c r="Q1459" s="227" t="n"/>
      <c r="R1459" s="227" t="n"/>
      <c r="S1459" s="227" t="n"/>
      <c r="T1459" s="227" t="n"/>
    </row>
    <row r="1460">
      <c r="A1460" s="145">
        <f>IF($B1460="","",ROW()-5)</f>
        <v/>
      </c>
      <c r="B1460" s="127" t="n"/>
      <c r="C1460" s="223" t="n"/>
      <c r="D1460" s="127" t="n"/>
      <c r="E1460" s="227" t="n"/>
      <c r="F1460" s="227" t="n"/>
      <c r="G1460" s="227" t="n"/>
      <c r="H1460" s="227" t="n"/>
      <c r="I1460" s="227" t="n"/>
      <c r="J1460" s="227" t="n"/>
      <c r="K1460" s="227" t="n"/>
      <c r="L1460" s="227" t="n"/>
      <c r="M1460" s="227" t="n"/>
      <c r="N1460" s="127" t="n"/>
      <c r="O1460" s="227" t="n"/>
      <c r="P1460" s="227" t="n"/>
      <c r="Q1460" s="227" t="n"/>
      <c r="R1460" s="227" t="n"/>
      <c r="S1460" s="227" t="n"/>
      <c r="T1460" s="227" t="n"/>
    </row>
    <row r="1461">
      <c r="A1461" s="145">
        <f>IF($B1461="","",ROW()-5)</f>
        <v/>
      </c>
      <c r="B1461" s="127" t="n"/>
      <c r="C1461" s="223" t="n"/>
      <c r="D1461" s="127" t="n"/>
      <c r="E1461" s="227" t="n"/>
      <c r="F1461" s="227" t="n"/>
      <c r="G1461" s="227" t="n"/>
      <c r="H1461" s="227" t="n"/>
      <c r="I1461" s="227" t="n"/>
      <c r="J1461" s="227" t="n"/>
      <c r="K1461" s="227" t="n"/>
      <c r="L1461" s="227" t="n"/>
      <c r="M1461" s="227" t="n"/>
      <c r="N1461" s="127" t="n"/>
      <c r="O1461" s="227" t="n"/>
      <c r="P1461" s="227" t="n"/>
      <c r="Q1461" s="227" t="n"/>
      <c r="R1461" s="227" t="n"/>
      <c r="S1461" s="227" t="n"/>
      <c r="T1461" s="227" t="n"/>
    </row>
    <row r="1462">
      <c r="A1462" s="145">
        <f>IF($B1462="","",ROW()-5)</f>
        <v/>
      </c>
      <c r="B1462" s="127" t="n"/>
      <c r="C1462" s="223" t="n"/>
      <c r="D1462" s="127" t="n"/>
      <c r="E1462" s="227" t="n"/>
      <c r="F1462" s="227" t="n"/>
      <c r="G1462" s="227" t="n"/>
      <c r="H1462" s="227" t="n"/>
      <c r="I1462" s="227" t="n"/>
      <c r="J1462" s="227" t="n"/>
      <c r="K1462" s="227" t="n"/>
      <c r="L1462" s="227" t="n"/>
      <c r="M1462" s="227" t="n"/>
      <c r="N1462" s="127" t="n"/>
      <c r="O1462" s="227" t="n"/>
      <c r="P1462" s="227" t="n"/>
      <c r="Q1462" s="227" t="n"/>
      <c r="R1462" s="227" t="n"/>
      <c r="S1462" s="227" t="n"/>
      <c r="T1462" s="227" t="n"/>
    </row>
    <row r="1463">
      <c r="A1463" s="145">
        <f>IF($B1463="","",ROW()-5)</f>
        <v/>
      </c>
      <c r="B1463" s="127" t="n"/>
      <c r="C1463" s="223" t="n"/>
      <c r="D1463" s="127" t="n"/>
      <c r="E1463" s="227" t="n"/>
      <c r="F1463" s="227" t="n"/>
      <c r="G1463" s="227" t="n"/>
      <c r="H1463" s="227" t="n"/>
      <c r="I1463" s="227" t="n"/>
      <c r="J1463" s="227" t="n"/>
      <c r="K1463" s="227" t="n"/>
      <c r="L1463" s="227" t="n"/>
      <c r="M1463" s="227" t="n"/>
      <c r="N1463" s="127" t="n"/>
      <c r="O1463" s="227" t="n"/>
      <c r="P1463" s="227" t="n"/>
      <c r="Q1463" s="227" t="n"/>
      <c r="R1463" s="227" t="n"/>
      <c r="S1463" s="227" t="n"/>
      <c r="T1463" s="227" t="n"/>
    </row>
    <row r="1464">
      <c r="A1464" s="145">
        <f>IF($B1464="","",ROW()-5)</f>
        <v/>
      </c>
      <c r="B1464" s="127" t="n"/>
      <c r="C1464" s="223" t="n"/>
      <c r="D1464" s="127" t="n"/>
      <c r="E1464" s="227" t="n"/>
      <c r="F1464" s="227" t="n"/>
      <c r="G1464" s="227" t="n"/>
      <c r="H1464" s="227" t="n"/>
      <c r="I1464" s="227" t="n"/>
      <c r="J1464" s="227" t="n"/>
      <c r="K1464" s="227" t="n"/>
      <c r="L1464" s="227" t="n"/>
      <c r="M1464" s="227" t="n"/>
      <c r="N1464" s="127" t="n"/>
      <c r="O1464" s="227" t="n"/>
      <c r="P1464" s="227" t="n"/>
      <c r="Q1464" s="227" t="n"/>
      <c r="R1464" s="227" t="n"/>
      <c r="S1464" s="227" t="n"/>
      <c r="T1464" s="227" t="n"/>
    </row>
    <row r="1465">
      <c r="A1465" s="145">
        <f>IF($B1465="","",ROW()-5)</f>
        <v/>
      </c>
      <c r="B1465" s="127" t="n"/>
      <c r="C1465" s="223" t="n"/>
      <c r="D1465" s="127" t="n"/>
      <c r="E1465" s="227" t="n"/>
      <c r="F1465" s="227" t="n"/>
      <c r="G1465" s="227" t="n"/>
      <c r="H1465" s="227" t="n"/>
      <c r="I1465" s="227" t="n"/>
      <c r="J1465" s="227" t="n"/>
      <c r="K1465" s="227" t="n"/>
      <c r="L1465" s="227" t="n"/>
      <c r="M1465" s="227" t="n"/>
      <c r="N1465" s="127" t="n"/>
      <c r="O1465" s="227" t="n"/>
      <c r="P1465" s="227" t="n"/>
      <c r="Q1465" s="227" t="n"/>
      <c r="R1465" s="227" t="n"/>
      <c r="S1465" s="227" t="n"/>
      <c r="T1465" s="227" t="n"/>
    </row>
    <row r="1466">
      <c r="A1466" s="145">
        <f>IF($B1466="","",ROW()-5)</f>
        <v/>
      </c>
      <c r="B1466" s="127" t="n"/>
      <c r="C1466" s="223" t="n"/>
      <c r="D1466" s="127" t="n"/>
      <c r="E1466" s="227" t="n"/>
      <c r="F1466" s="227" t="n"/>
      <c r="G1466" s="227" t="n"/>
      <c r="H1466" s="227" t="n"/>
      <c r="I1466" s="227" t="n"/>
      <c r="J1466" s="227" t="n"/>
      <c r="K1466" s="227" t="n"/>
      <c r="L1466" s="227" t="n"/>
      <c r="M1466" s="227" t="n"/>
      <c r="N1466" s="127" t="n"/>
      <c r="O1466" s="227" t="n"/>
      <c r="P1466" s="227" t="n"/>
      <c r="Q1466" s="227" t="n"/>
      <c r="R1466" s="227" t="n"/>
      <c r="S1466" s="227" t="n"/>
      <c r="T1466" s="227" t="n"/>
    </row>
    <row r="1467">
      <c r="A1467" s="145">
        <f>IF($B1467="","",ROW()-5)</f>
        <v/>
      </c>
      <c r="B1467" s="127" t="n"/>
      <c r="C1467" s="223" t="n"/>
      <c r="D1467" s="127" t="n"/>
      <c r="E1467" s="227" t="n"/>
      <c r="F1467" s="227" t="n"/>
      <c r="G1467" s="227" t="n"/>
      <c r="H1467" s="227" t="n"/>
      <c r="I1467" s="227" t="n"/>
      <c r="J1467" s="227" t="n"/>
      <c r="K1467" s="227" t="n"/>
      <c r="L1467" s="227" t="n"/>
      <c r="M1467" s="227" t="n"/>
      <c r="N1467" s="127" t="n"/>
      <c r="O1467" s="227" t="n"/>
      <c r="P1467" s="227" t="n"/>
      <c r="Q1467" s="227" t="n"/>
      <c r="R1467" s="227" t="n"/>
      <c r="S1467" s="227" t="n"/>
      <c r="T1467" s="227" t="n"/>
    </row>
    <row r="1468">
      <c r="A1468" s="145">
        <f>IF($B1468="","",ROW()-5)</f>
        <v/>
      </c>
      <c r="B1468" s="127" t="n"/>
      <c r="C1468" s="223" t="n"/>
      <c r="D1468" s="127" t="n"/>
      <c r="E1468" s="227" t="n"/>
      <c r="F1468" s="227" t="n"/>
      <c r="G1468" s="227" t="n"/>
      <c r="H1468" s="227" t="n"/>
      <c r="I1468" s="227" t="n"/>
      <c r="J1468" s="227" t="n"/>
      <c r="K1468" s="227" t="n"/>
      <c r="L1468" s="227" t="n"/>
      <c r="M1468" s="227" t="n"/>
      <c r="N1468" s="127" t="n"/>
      <c r="O1468" s="227" t="n"/>
      <c r="P1468" s="227" t="n"/>
      <c r="Q1468" s="227" t="n"/>
      <c r="R1468" s="227" t="n"/>
      <c r="S1468" s="227" t="n"/>
      <c r="T1468" s="227" t="n"/>
    </row>
    <row r="1469">
      <c r="A1469" s="145">
        <f>IF($B1469="","",ROW()-5)</f>
        <v/>
      </c>
      <c r="B1469" s="127" t="n"/>
      <c r="C1469" s="223" t="n"/>
      <c r="D1469" s="127" t="n"/>
      <c r="E1469" s="227" t="n"/>
      <c r="F1469" s="227" t="n"/>
      <c r="G1469" s="227" t="n"/>
      <c r="H1469" s="227" t="n"/>
      <c r="I1469" s="227" t="n"/>
      <c r="J1469" s="227" t="n"/>
      <c r="K1469" s="227" t="n"/>
      <c r="L1469" s="227" t="n"/>
      <c r="M1469" s="227" t="n"/>
      <c r="N1469" s="127" t="n"/>
      <c r="O1469" s="227" t="n"/>
      <c r="P1469" s="227" t="n"/>
      <c r="Q1469" s="227" t="n"/>
      <c r="R1469" s="227" t="n"/>
      <c r="S1469" s="227" t="n"/>
      <c r="T1469" s="227" t="n"/>
    </row>
    <row r="1470">
      <c r="A1470" s="145">
        <f>IF($B1470="","",ROW()-5)</f>
        <v/>
      </c>
      <c r="B1470" s="127" t="n"/>
      <c r="C1470" s="223" t="n"/>
      <c r="D1470" s="127" t="n"/>
      <c r="E1470" s="227" t="n"/>
      <c r="F1470" s="227" t="n"/>
      <c r="G1470" s="227" t="n"/>
      <c r="H1470" s="227" t="n"/>
      <c r="I1470" s="227" t="n"/>
      <c r="J1470" s="227" t="n"/>
      <c r="K1470" s="227" t="n"/>
      <c r="L1470" s="227" t="n"/>
      <c r="M1470" s="227" t="n"/>
      <c r="N1470" s="127" t="n"/>
      <c r="O1470" s="227" t="n"/>
      <c r="P1470" s="227" t="n"/>
      <c r="Q1470" s="227" t="n"/>
      <c r="R1470" s="227" t="n"/>
      <c r="S1470" s="227" t="n"/>
      <c r="T1470" s="227" t="n"/>
    </row>
    <row r="1471">
      <c r="A1471" s="145">
        <f>IF($B1471="","",ROW()-5)</f>
        <v/>
      </c>
      <c r="B1471" s="127" t="n"/>
      <c r="C1471" s="223" t="n"/>
      <c r="D1471" s="127" t="n"/>
      <c r="E1471" s="227" t="n"/>
      <c r="F1471" s="227" t="n"/>
      <c r="G1471" s="227" t="n"/>
      <c r="H1471" s="227" t="n"/>
      <c r="I1471" s="227" t="n"/>
      <c r="J1471" s="227" t="n"/>
      <c r="K1471" s="227" t="n"/>
      <c r="L1471" s="227" t="n"/>
      <c r="M1471" s="227" t="n"/>
      <c r="N1471" s="127" t="n"/>
      <c r="O1471" s="227" t="n"/>
      <c r="P1471" s="227" t="n"/>
      <c r="Q1471" s="227" t="n"/>
      <c r="R1471" s="227" t="n"/>
      <c r="S1471" s="227" t="n"/>
      <c r="T1471" s="227" t="n"/>
    </row>
    <row r="1472">
      <c r="A1472" s="145">
        <f>IF($B1472="","",ROW()-5)</f>
        <v/>
      </c>
      <c r="B1472" s="127" t="n"/>
      <c r="C1472" s="223" t="n"/>
      <c r="D1472" s="127" t="n"/>
      <c r="E1472" s="227" t="n"/>
      <c r="F1472" s="227" t="n"/>
      <c r="G1472" s="227" t="n"/>
      <c r="H1472" s="227" t="n"/>
      <c r="I1472" s="227" t="n"/>
      <c r="J1472" s="227" t="n"/>
      <c r="K1472" s="227" t="n"/>
      <c r="L1472" s="227" t="n"/>
      <c r="M1472" s="227" t="n"/>
      <c r="N1472" s="127" t="n"/>
      <c r="O1472" s="227" t="n"/>
      <c r="P1472" s="227" t="n"/>
      <c r="Q1472" s="227" t="n"/>
      <c r="R1472" s="227" t="n"/>
      <c r="S1472" s="227" t="n"/>
      <c r="T1472" s="227" t="n"/>
    </row>
    <row r="1473">
      <c r="A1473" s="145">
        <f>IF($B1473="","",ROW()-5)</f>
        <v/>
      </c>
      <c r="B1473" s="127" t="n"/>
      <c r="C1473" s="223" t="n"/>
      <c r="D1473" s="127" t="n"/>
      <c r="E1473" s="227" t="n"/>
      <c r="F1473" s="227" t="n"/>
      <c r="G1473" s="227" t="n"/>
      <c r="H1473" s="227" t="n"/>
      <c r="I1473" s="227" t="n"/>
      <c r="J1473" s="227" t="n"/>
      <c r="K1473" s="227" t="n"/>
      <c r="L1473" s="227" t="n"/>
      <c r="M1473" s="227" t="n"/>
      <c r="N1473" s="127" t="n"/>
      <c r="O1473" s="227" t="n"/>
      <c r="P1473" s="227" t="n"/>
      <c r="Q1473" s="227" t="n"/>
      <c r="R1473" s="227" t="n"/>
      <c r="S1473" s="227" t="n"/>
      <c r="T1473" s="227" t="n"/>
    </row>
    <row r="1474">
      <c r="A1474" s="145">
        <f>IF($B1474="","",ROW()-5)</f>
        <v/>
      </c>
      <c r="B1474" s="127" t="n"/>
      <c r="C1474" s="223" t="n"/>
      <c r="D1474" s="127" t="n"/>
      <c r="E1474" s="227" t="n"/>
      <c r="F1474" s="227" t="n"/>
      <c r="G1474" s="227" t="n"/>
      <c r="H1474" s="227" t="n"/>
      <c r="I1474" s="227" t="n"/>
      <c r="J1474" s="227" t="n"/>
      <c r="K1474" s="227" t="n"/>
      <c r="L1474" s="227" t="n"/>
      <c r="M1474" s="227" t="n"/>
      <c r="N1474" s="127" t="n"/>
      <c r="O1474" s="227" t="n"/>
      <c r="P1474" s="227" t="n"/>
      <c r="Q1474" s="227" t="n"/>
      <c r="R1474" s="227" t="n"/>
      <c r="S1474" s="227" t="n"/>
      <c r="T1474" s="227" t="n"/>
    </row>
    <row r="1475">
      <c r="A1475" s="145">
        <f>IF($B1475="","",ROW()-5)</f>
        <v/>
      </c>
      <c r="B1475" s="127" t="n"/>
      <c r="C1475" s="223" t="n"/>
      <c r="D1475" s="127" t="n"/>
      <c r="E1475" s="227" t="n"/>
      <c r="F1475" s="227" t="n"/>
      <c r="G1475" s="227" t="n"/>
      <c r="H1475" s="227" t="n"/>
      <c r="I1475" s="227" t="n"/>
      <c r="J1475" s="227" t="n"/>
      <c r="K1475" s="227" t="n"/>
      <c r="L1475" s="227" t="n"/>
      <c r="M1475" s="227" t="n"/>
      <c r="N1475" s="127" t="n"/>
      <c r="O1475" s="227" t="n"/>
      <c r="P1475" s="227" t="n"/>
      <c r="Q1475" s="227" t="n"/>
      <c r="R1475" s="227" t="n"/>
      <c r="S1475" s="227" t="n"/>
      <c r="T1475" s="227" t="n"/>
    </row>
    <row r="1476">
      <c r="A1476" s="145">
        <f>IF($B1476="","",ROW()-5)</f>
        <v/>
      </c>
      <c r="B1476" s="127" t="n"/>
      <c r="C1476" s="223" t="n"/>
      <c r="D1476" s="127" t="n"/>
      <c r="E1476" s="227" t="n"/>
      <c r="F1476" s="227" t="n"/>
      <c r="G1476" s="227" t="n"/>
      <c r="H1476" s="227" t="n"/>
      <c r="I1476" s="227" t="n"/>
      <c r="J1476" s="227" t="n"/>
      <c r="K1476" s="227" t="n"/>
      <c r="L1476" s="227" t="n"/>
      <c r="M1476" s="227" t="n"/>
      <c r="N1476" s="127" t="n"/>
      <c r="O1476" s="227" t="n"/>
      <c r="P1476" s="227" t="n"/>
      <c r="Q1476" s="227" t="n"/>
      <c r="R1476" s="227" t="n"/>
      <c r="S1476" s="227" t="n"/>
      <c r="T1476" s="227" t="n"/>
    </row>
    <row r="1477">
      <c r="A1477" s="145">
        <f>IF($B1477="","",ROW()-5)</f>
        <v/>
      </c>
      <c r="B1477" s="127" t="n"/>
      <c r="C1477" s="223" t="n"/>
      <c r="D1477" s="127" t="n"/>
      <c r="E1477" s="227" t="n"/>
      <c r="F1477" s="227" t="n"/>
      <c r="G1477" s="227" t="n"/>
      <c r="H1477" s="227" t="n"/>
      <c r="I1477" s="227" t="n"/>
      <c r="J1477" s="227" t="n"/>
      <c r="K1477" s="227" t="n"/>
      <c r="L1477" s="227" t="n"/>
      <c r="M1477" s="227" t="n"/>
      <c r="N1477" s="127" t="n"/>
      <c r="O1477" s="227" t="n"/>
      <c r="P1477" s="227" t="n"/>
      <c r="Q1477" s="227" t="n"/>
      <c r="R1477" s="227" t="n"/>
      <c r="S1477" s="227" t="n"/>
      <c r="T1477" s="227" t="n"/>
    </row>
    <row r="1478">
      <c r="A1478" s="145">
        <f>IF($B1478="","",ROW()-5)</f>
        <v/>
      </c>
      <c r="B1478" s="127" t="n"/>
      <c r="C1478" s="223" t="n"/>
      <c r="D1478" s="127" t="n"/>
      <c r="E1478" s="227" t="n"/>
      <c r="F1478" s="227" t="n"/>
      <c r="G1478" s="227" t="n"/>
      <c r="H1478" s="227" t="n"/>
      <c r="I1478" s="227" t="n"/>
      <c r="J1478" s="227" t="n"/>
      <c r="K1478" s="227" t="n"/>
      <c r="L1478" s="227" t="n"/>
      <c r="M1478" s="227" t="n"/>
      <c r="N1478" s="127" t="n"/>
      <c r="O1478" s="227" t="n"/>
      <c r="P1478" s="227" t="n"/>
      <c r="Q1478" s="227" t="n"/>
      <c r="R1478" s="227" t="n"/>
      <c r="S1478" s="227" t="n"/>
      <c r="T1478" s="227" t="n"/>
    </row>
    <row r="1479">
      <c r="A1479" s="145">
        <f>IF($B1479="","",ROW()-5)</f>
        <v/>
      </c>
      <c r="B1479" s="127" t="n"/>
      <c r="C1479" s="223" t="n"/>
      <c r="D1479" s="127" t="n"/>
      <c r="E1479" s="227" t="n"/>
      <c r="F1479" s="227" t="n"/>
      <c r="G1479" s="227" t="n"/>
      <c r="H1479" s="227" t="n"/>
      <c r="I1479" s="227" t="n"/>
      <c r="J1479" s="227" t="n"/>
      <c r="K1479" s="227" t="n"/>
      <c r="L1479" s="227" t="n"/>
      <c r="M1479" s="227" t="n"/>
      <c r="N1479" s="127" t="n"/>
      <c r="O1479" s="227" t="n"/>
      <c r="P1479" s="227" t="n"/>
      <c r="Q1479" s="227" t="n"/>
      <c r="R1479" s="227" t="n"/>
      <c r="S1479" s="227" t="n"/>
      <c r="T1479" s="227" t="n"/>
    </row>
    <row r="1480">
      <c r="A1480" s="145">
        <f>IF($B1480="","",ROW()-5)</f>
        <v/>
      </c>
      <c r="B1480" s="127" t="n"/>
      <c r="C1480" s="223" t="n"/>
      <c r="D1480" s="127" t="n"/>
      <c r="E1480" s="227" t="n"/>
      <c r="F1480" s="227" t="n"/>
      <c r="G1480" s="227" t="n"/>
      <c r="H1480" s="227" t="n"/>
      <c r="I1480" s="227" t="n"/>
      <c r="J1480" s="227" t="n"/>
      <c r="K1480" s="227" t="n"/>
      <c r="L1480" s="227" t="n"/>
      <c r="M1480" s="227" t="n"/>
      <c r="N1480" s="127" t="n"/>
      <c r="O1480" s="227" t="n"/>
      <c r="P1480" s="227" t="n"/>
      <c r="Q1480" s="227" t="n"/>
      <c r="R1480" s="227" t="n"/>
      <c r="S1480" s="227" t="n"/>
      <c r="T1480" s="227" t="n"/>
    </row>
    <row r="1481">
      <c r="A1481" s="145">
        <f>IF($B1481="","",ROW()-5)</f>
        <v/>
      </c>
      <c r="B1481" s="127" t="n"/>
      <c r="C1481" s="223" t="n"/>
      <c r="D1481" s="127" t="n"/>
      <c r="E1481" s="227" t="n"/>
      <c r="F1481" s="227" t="n"/>
      <c r="G1481" s="227" t="n"/>
      <c r="H1481" s="227" t="n"/>
      <c r="I1481" s="227" t="n"/>
      <c r="J1481" s="227" t="n"/>
      <c r="K1481" s="227" t="n"/>
      <c r="L1481" s="227" t="n"/>
      <c r="M1481" s="227" t="n"/>
      <c r="N1481" s="127" t="n"/>
      <c r="O1481" s="227" t="n"/>
      <c r="P1481" s="227" t="n"/>
      <c r="Q1481" s="227" t="n"/>
      <c r="R1481" s="227" t="n"/>
      <c r="S1481" s="227" t="n"/>
      <c r="T1481" s="227" t="n"/>
    </row>
    <row r="1482">
      <c r="A1482" s="145">
        <f>IF($B1482="","",ROW()-5)</f>
        <v/>
      </c>
      <c r="B1482" s="127" t="n"/>
      <c r="C1482" s="223" t="n"/>
      <c r="D1482" s="127" t="n"/>
      <c r="E1482" s="227" t="n"/>
      <c r="F1482" s="227" t="n"/>
      <c r="G1482" s="227" t="n"/>
      <c r="H1482" s="227" t="n"/>
      <c r="I1482" s="227" t="n"/>
      <c r="J1482" s="227" t="n"/>
      <c r="K1482" s="227" t="n"/>
      <c r="L1482" s="227" t="n"/>
      <c r="M1482" s="227" t="n"/>
      <c r="N1482" s="127" t="n"/>
      <c r="O1482" s="227" t="n"/>
      <c r="P1482" s="227" t="n"/>
      <c r="Q1482" s="227" t="n"/>
      <c r="R1482" s="227" t="n"/>
      <c r="S1482" s="227" t="n"/>
      <c r="T1482" s="227" t="n"/>
    </row>
    <row r="1483">
      <c r="A1483" s="145">
        <f>IF($B1483="","",ROW()-5)</f>
        <v/>
      </c>
      <c r="B1483" s="127" t="n"/>
      <c r="C1483" s="223" t="n"/>
      <c r="D1483" s="127" t="n"/>
      <c r="E1483" s="227" t="n"/>
      <c r="F1483" s="227" t="n"/>
      <c r="G1483" s="227" t="n"/>
      <c r="H1483" s="227" t="n"/>
      <c r="I1483" s="227" t="n"/>
      <c r="J1483" s="227" t="n"/>
      <c r="K1483" s="227" t="n"/>
      <c r="L1483" s="227" t="n"/>
      <c r="M1483" s="227" t="n"/>
      <c r="N1483" s="127" t="n"/>
      <c r="O1483" s="227" t="n"/>
      <c r="P1483" s="227" t="n"/>
      <c r="Q1483" s="227" t="n"/>
      <c r="R1483" s="227" t="n"/>
      <c r="S1483" s="227" t="n"/>
      <c r="T1483" s="227" t="n"/>
    </row>
    <row r="1484">
      <c r="A1484" s="145">
        <f>IF($B1484="","",ROW()-5)</f>
        <v/>
      </c>
      <c r="B1484" s="127" t="n"/>
      <c r="C1484" s="223" t="n"/>
      <c r="D1484" s="127" t="n"/>
      <c r="E1484" s="227" t="n"/>
      <c r="F1484" s="227" t="n"/>
      <c r="G1484" s="227" t="n"/>
      <c r="H1484" s="227" t="n"/>
      <c r="I1484" s="227" t="n"/>
      <c r="J1484" s="227" t="n"/>
      <c r="K1484" s="227" t="n"/>
      <c r="L1484" s="227" t="n"/>
      <c r="M1484" s="227" t="n"/>
      <c r="N1484" s="127" t="n"/>
      <c r="O1484" s="227" t="n"/>
      <c r="P1484" s="227" t="n"/>
      <c r="Q1484" s="227" t="n"/>
      <c r="R1484" s="227" t="n"/>
      <c r="S1484" s="227" t="n"/>
      <c r="T1484" s="227" t="n"/>
    </row>
    <row r="1485">
      <c r="A1485" s="145">
        <f>IF($B1485="","",ROW()-5)</f>
        <v/>
      </c>
      <c r="B1485" s="127" t="n"/>
      <c r="C1485" s="223" t="n"/>
      <c r="D1485" s="127" t="n"/>
      <c r="E1485" s="227" t="n"/>
      <c r="F1485" s="227" t="n"/>
      <c r="G1485" s="227" t="n"/>
      <c r="H1485" s="227" t="n"/>
      <c r="I1485" s="227" t="n"/>
      <c r="J1485" s="227" t="n"/>
      <c r="K1485" s="227" t="n"/>
      <c r="L1485" s="227" t="n"/>
      <c r="M1485" s="227" t="n"/>
      <c r="N1485" s="127" t="n"/>
      <c r="O1485" s="227" t="n"/>
      <c r="P1485" s="227" t="n"/>
      <c r="Q1485" s="227" t="n"/>
      <c r="R1485" s="227" t="n"/>
      <c r="S1485" s="227" t="n"/>
      <c r="T1485" s="227" t="n"/>
    </row>
    <row r="1486">
      <c r="A1486" s="145">
        <f>IF($B1486="","",ROW()-5)</f>
        <v/>
      </c>
      <c r="B1486" s="127" t="n"/>
      <c r="C1486" s="223" t="n"/>
      <c r="D1486" s="127" t="n"/>
      <c r="E1486" s="227" t="n"/>
      <c r="F1486" s="227" t="n"/>
      <c r="G1486" s="227" t="n"/>
      <c r="H1486" s="227" t="n"/>
      <c r="I1486" s="227" t="n"/>
      <c r="J1486" s="227" t="n"/>
      <c r="K1486" s="227" t="n"/>
      <c r="L1486" s="227" t="n"/>
      <c r="M1486" s="227" t="n"/>
      <c r="N1486" s="127" t="n"/>
      <c r="O1486" s="227" t="n"/>
      <c r="P1486" s="227" t="n"/>
      <c r="Q1486" s="227" t="n"/>
      <c r="R1486" s="227" t="n"/>
      <c r="S1486" s="227" t="n"/>
      <c r="T1486" s="227" t="n"/>
    </row>
    <row r="1487">
      <c r="A1487" s="145">
        <f>IF($B1487="","",ROW()-5)</f>
        <v/>
      </c>
      <c r="B1487" s="127" t="n"/>
      <c r="C1487" s="223" t="n"/>
      <c r="D1487" s="127" t="n"/>
      <c r="E1487" s="227" t="n"/>
      <c r="F1487" s="227" t="n"/>
      <c r="G1487" s="227" t="n"/>
      <c r="H1487" s="227" t="n"/>
      <c r="I1487" s="227" t="n"/>
      <c r="J1487" s="227" t="n"/>
      <c r="K1487" s="227" t="n"/>
      <c r="L1487" s="227" t="n"/>
      <c r="M1487" s="227" t="n"/>
      <c r="N1487" s="127" t="n"/>
      <c r="O1487" s="227" t="n"/>
      <c r="P1487" s="227" t="n"/>
      <c r="Q1487" s="227" t="n"/>
      <c r="R1487" s="227" t="n"/>
      <c r="S1487" s="227" t="n"/>
      <c r="T1487" s="227" t="n"/>
    </row>
    <row r="1488">
      <c r="A1488" s="145">
        <f>IF($B1488="","",ROW()-5)</f>
        <v/>
      </c>
      <c r="B1488" s="127" t="n"/>
      <c r="C1488" s="223" t="n"/>
      <c r="D1488" s="127" t="n"/>
      <c r="E1488" s="227" t="n"/>
      <c r="F1488" s="227" t="n"/>
      <c r="G1488" s="227" t="n"/>
      <c r="H1488" s="227" t="n"/>
      <c r="I1488" s="227" t="n"/>
      <c r="J1488" s="227" t="n"/>
      <c r="K1488" s="227" t="n"/>
      <c r="L1488" s="227" t="n"/>
      <c r="M1488" s="227" t="n"/>
      <c r="N1488" s="127" t="n"/>
      <c r="O1488" s="227" t="n"/>
      <c r="P1488" s="227" t="n"/>
      <c r="Q1488" s="227" t="n"/>
      <c r="R1488" s="227" t="n"/>
      <c r="S1488" s="227" t="n"/>
      <c r="T1488" s="227" t="n"/>
    </row>
    <row r="1489">
      <c r="A1489" s="145">
        <f>IF($B1489="","",ROW()-5)</f>
        <v/>
      </c>
      <c r="B1489" s="127" t="n"/>
      <c r="C1489" s="223" t="n"/>
      <c r="D1489" s="127" t="n"/>
      <c r="E1489" s="227" t="n"/>
      <c r="F1489" s="227" t="n"/>
      <c r="G1489" s="227" t="n"/>
      <c r="H1489" s="227" t="n"/>
      <c r="I1489" s="227" t="n"/>
      <c r="J1489" s="227" t="n"/>
      <c r="K1489" s="227" t="n"/>
      <c r="L1489" s="227" t="n"/>
      <c r="M1489" s="227" t="n"/>
      <c r="N1489" s="127" t="n"/>
      <c r="O1489" s="227" t="n"/>
      <c r="P1489" s="227" t="n"/>
      <c r="Q1489" s="227" t="n"/>
      <c r="R1489" s="227" t="n"/>
      <c r="S1489" s="227" t="n"/>
      <c r="T1489" s="227" t="n"/>
    </row>
    <row r="1490">
      <c r="A1490" s="145">
        <f>IF($B1490="","",ROW()-5)</f>
        <v/>
      </c>
      <c r="B1490" s="127" t="n"/>
      <c r="C1490" s="223" t="n"/>
      <c r="D1490" s="127" t="n"/>
      <c r="E1490" s="227" t="n"/>
      <c r="F1490" s="227" t="n"/>
      <c r="G1490" s="227" t="n"/>
      <c r="H1490" s="227" t="n"/>
      <c r="I1490" s="227" t="n"/>
      <c r="J1490" s="227" t="n"/>
      <c r="K1490" s="227" t="n"/>
      <c r="L1490" s="227" t="n"/>
      <c r="M1490" s="227" t="n"/>
      <c r="N1490" s="127" t="n"/>
      <c r="O1490" s="227" t="n"/>
      <c r="P1490" s="227" t="n"/>
      <c r="Q1490" s="227" t="n"/>
      <c r="R1490" s="227" t="n"/>
      <c r="S1490" s="227" t="n"/>
      <c r="T1490" s="227" t="n"/>
    </row>
    <row r="1491">
      <c r="A1491" s="145">
        <f>IF($B1491="","",ROW()-5)</f>
        <v/>
      </c>
      <c r="B1491" s="127" t="n"/>
      <c r="C1491" s="223" t="n"/>
      <c r="D1491" s="127" t="n"/>
      <c r="E1491" s="227" t="n"/>
      <c r="F1491" s="227" t="n"/>
      <c r="G1491" s="227" t="n"/>
      <c r="H1491" s="227" t="n"/>
      <c r="I1491" s="227" t="n"/>
      <c r="J1491" s="227" t="n"/>
      <c r="K1491" s="227" t="n"/>
      <c r="L1491" s="227" t="n"/>
      <c r="M1491" s="227" t="n"/>
      <c r="N1491" s="127" t="n"/>
      <c r="O1491" s="227" t="n"/>
      <c r="P1491" s="227" t="n"/>
      <c r="Q1491" s="227" t="n"/>
      <c r="R1491" s="227" t="n"/>
      <c r="S1491" s="227" t="n"/>
      <c r="T1491" s="227" t="n"/>
    </row>
    <row r="1492">
      <c r="A1492" s="145">
        <f>IF($B1492="","",ROW()-5)</f>
        <v/>
      </c>
      <c r="B1492" s="127" t="n"/>
      <c r="C1492" s="223" t="n"/>
      <c r="D1492" s="127" t="n"/>
      <c r="E1492" s="227" t="n"/>
      <c r="F1492" s="227" t="n"/>
      <c r="G1492" s="227" t="n"/>
      <c r="H1492" s="227" t="n"/>
      <c r="I1492" s="227" t="n"/>
      <c r="J1492" s="227" t="n"/>
      <c r="K1492" s="227" t="n"/>
      <c r="L1492" s="227" t="n"/>
      <c r="M1492" s="227" t="n"/>
      <c r="N1492" s="127" t="n"/>
      <c r="O1492" s="227" t="n"/>
      <c r="P1492" s="227" t="n"/>
      <c r="Q1492" s="227" t="n"/>
      <c r="R1492" s="227" t="n"/>
      <c r="S1492" s="227" t="n"/>
      <c r="T1492" s="227" t="n"/>
    </row>
    <row r="1493">
      <c r="A1493" s="145">
        <f>IF($B1493="","",ROW()-5)</f>
        <v/>
      </c>
      <c r="B1493" s="127" t="n"/>
      <c r="C1493" s="223" t="n"/>
      <c r="D1493" s="127" t="n"/>
      <c r="E1493" s="227" t="n"/>
      <c r="F1493" s="227" t="n"/>
      <c r="G1493" s="227" t="n"/>
      <c r="H1493" s="227" t="n"/>
      <c r="I1493" s="227" t="n"/>
      <c r="J1493" s="227" t="n"/>
      <c r="K1493" s="227" t="n"/>
      <c r="L1493" s="227" t="n"/>
      <c r="M1493" s="227" t="n"/>
      <c r="N1493" s="127" t="n"/>
      <c r="O1493" s="227" t="n"/>
      <c r="P1493" s="227" t="n"/>
      <c r="Q1493" s="227" t="n"/>
      <c r="R1493" s="227" t="n"/>
      <c r="S1493" s="227" t="n"/>
      <c r="T1493" s="227" t="n"/>
    </row>
    <row r="1494">
      <c r="A1494" s="145">
        <f>IF($B1494="","",ROW()-5)</f>
        <v/>
      </c>
      <c r="B1494" s="127" t="n"/>
      <c r="C1494" s="223" t="n"/>
      <c r="D1494" s="127" t="n"/>
      <c r="E1494" s="227" t="n"/>
      <c r="F1494" s="227" t="n"/>
      <c r="G1494" s="227" t="n"/>
      <c r="H1494" s="227" t="n"/>
      <c r="I1494" s="227" t="n"/>
      <c r="J1494" s="227" t="n"/>
      <c r="K1494" s="227" t="n"/>
      <c r="L1494" s="227" t="n"/>
      <c r="M1494" s="227" t="n"/>
      <c r="N1494" s="127" t="n"/>
      <c r="O1494" s="227" t="n"/>
      <c r="P1494" s="227" t="n"/>
      <c r="Q1494" s="227" t="n"/>
      <c r="R1494" s="227" t="n"/>
      <c r="S1494" s="227" t="n"/>
      <c r="T1494" s="227" t="n"/>
    </row>
    <row r="1495">
      <c r="A1495" s="145">
        <f>IF($B1495="","",ROW()-5)</f>
        <v/>
      </c>
      <c r="B1495" s="127" t="n"/>
      <c r="C1495" s="223" t="n"/>
      <c r="D1495" s="127" t="n"/>
      <c r="E1495" s="227" t="n"/>
      <c r="F1495" s="227" t="n"/>
      <c r="G1495" s="227" t="n"/>
      <c r="H1495" s="227" t="n"/>
      <c r="I1495" s="227" t="n"/>
      <c r="J1495" s="227" t="n"/>
      <c r="K1495" s="227" t="n"/>
      <c r="L1495" s="227" t="n"/>
      <c r="M1495" s="227" t="n"/>
      <c r="N1495" s="127" t="n"/>
      <c r="O1495" s="227" t="n"/>
      <c r="P1495" s="227" t="n"/>
      <c r="Q1495" s="227" t="n"/>
      <c r="R1495" s="227" t="n"/>
      <c r="S1495" s="227" t="n"/>
      <c r="T1495" s="227" t="n"/>
    </row>
    <row r="1496">
      <c r="A1496" s="145">
        <f>IF($B1496="","",ROW()-5)</f>
        <v/>
      </c>
      <c r="B1496" s="127" t="n"/>
      <c r="C1496" s="223" t="n"/>
      <c r="D1496" s="127" t="n"/>
      <c r="E1496" s="227" t="n"/>
      <c r="F1496" s="227" t="n"/>
      <c r="G1496" s="227" t="n"/>
      <c r="H1496" s="227" t="n"/>
      <c r="I1496" s="227" t="n"/>
      <c r="J1496" s="227" t="n"/>
      <c r="K1496" s="227" t="n"/>
      <c r="L1496" s="227" t="n"/>
      <c r="M1496" s="227" t="n"/>
      <c r="N1496" s="127" t="n"/>
      <c r="O1496" s="227" t="n"/>
      <c r="P1496" s="227" t="n"/>
      <c r="Q1496" s="227" t="n"/>
      <c r="R1496" s="227" t="n"/>
      <c r="S1496" s="227" t="n"/>
      <c r="T1496" s="227" t="n"/>
    </row>
    <row r="1497">
      <c r="A1497" s="145">
        <f>IF($B1497="","",ROW()-5)</f>
        <v/>
      </c>
      <c r="B1497" s="127" t="n"/>
      <c r="C1497" s="223" t="n"/>
      <c r="D1497" s="127" t="n"/>
      <c r="E1497" s="227" t="n"/>
      <c r="F1497" s="227" t="n"/>
      <c r="G1497" s="227" t="n"/>
      <c r="H1497" s="227" t="n"/>
      <c r="I1497" s="227" t="n"/>
      <c r="J1497" s="227" t="n"/>
      <c r="K1497" s="227" t="n"/>
      <c r="L1497" s="227" t="n"/>
      <c r="M1497" s="227" t="n"/>
      <c r="N1497" s="127" t="n"/>
      <c r="O1497" s="227" t="n"/>
      <c r="P1497" s="227" t="n"/>
      <c r="Q1497" s="227" t="n"/>
      <c r="R1497" s="227" t="n"/>
      <c r="S1497" s="227" t="n"/>
      <c r="T1497" s="227" t="n"/>
    </row>
    <row r="1498">
      <c r="A1498" s="145">
        <f>IF($B1498="","",ROW()-5)</f>
        <v/>
      </c>
      <c r="B1498" s="127" t="n"/>
      <c r="C1498" s="223" t="n"/>
      <c r="D1498" s="127" t="n"/>
      <c r="E1498" s="227" t="n"/>
      <c r="F1498" s="227" t="n"/>
      <c r="G1498" s="227" t="n"/>
      <c r="H1498" s="227" t="n"/>
      <c r="I1498" s="227" t="n"/>
      <c r="J1498" s="227" t="n"/>
      <c r="K1498" s="227" t="n"/>
      <c r="L1498" s="227" t="n"/>
      <c r="M1498" s="227" t="n"/>
      <c r="N1498" s="127" t="n"/>
      <c r="O1498" s="227" t="n"/>
      <c r="P1498" s="227" t="n"/>
      <c r="Q1498" s="227" t="n"/>
      <c r="R1498" s="227" t="n"/>
      <c r="S1498" s="227" t="n"/>
      <c r="T1498" s="227" t="n"/>
    </row>
    <row r="1499">
      <c r="A1499" s="145">
        <f>IF($B1499="","",ROW()-5)</f>
        <v/>
      </c>
      <c r="B1499" s="127" t="n"/>
      <c r="C1499" s="223" t="n"/>
      <c r="D1499" s="127" t="n"/>
      <c r="E1499" s="227" t="n"/>
      <c r="F1499" s="227" t="n"/>
      <c r="G1499" s="227" t="n"/>
      <c r="H1499" s="227" t="n"/>
      <c r="I1499" s="227" t="n"/>
      <c r="J1499" s="227" t="n"/>
      <c r="K1499" s="227" t="n"/>
      <c r="L1499" s="227" t="n"/>
      <c r="M1499" s="227" t="n"/>
      <c r="N1499" s="127" t="n"/>
      <c r="O1499" s="227" t="n"/>
      <c r="P1499" s="227" t="n"/>
      <c r="Q1499" s="227" t="n"/>
      <c r="R1499" s="227" t="n"/>
      <c r="S1499" s="227" t="n"/>
      <c r="T1499" s="227" t="n"/>
    </row>
    <row r="1500">
      <c r="A1500" s="145">
        <f>IF($B1500="","",ROW()-5)</f>
        <v/>
      </c>
      <c r="B1500" s="127" t="n"/>
      <c r="C1500" s="223" t="n"/>
      <c r="D1500" s="127" t="n"/>
      <c r="E1500" s="227" t="n"/>
      <c r="F1500" s="227" t="n"/>
      <c r="G1500" s="227" t="n"/>
      <c r="H1500" s="227" t="n"/>
      <c r="I1500" s="227" t="n"/>
      <c r="J1500" s="227" t="n"/>
      <c r="K1500" s="227" t="n"/>
      <c r="L1500" s="227" t="n"/>
      <c r="M1500" s="227" t="n"/>
      <c r="N1500" s="127" t="n"/>
      <c r="O1500" s="227" t="n"/>
      <c r="P1500" s="227" t="n"/>
      <c r="Q1500" s="227" t="n"/>
      <c r="R1500" s="227" t="n"/>
      <c r="S1500" s="227" t="n"/>
      <c r="T1500" s="227" t="n"/>
    </row>
    <row r="1501">
      <c r="A1501" s="145">
        <f>IF($B1501="","",ROW()-5)</f>
        <v/>
      </c>
      <c r="B1501" s="127" t="n"/>
      <c r="C1501" s="223" t="n"/>
      <c r="D1501" s="127" t="n"/>
      <c r="E1501" s="227" t="n"/>
      <c r="F1501" s="227" t="n"/>
      <c r="G1501" s="227" t="n"/>
      <c r="H1501" s="227" t="n"/>
      <c r="I1501" s="227" t="n"/>
      <c r="J1501" s="227" t="n"/>
      <c r="K1501" s="227" t="n"/>
      <c r="L1501" s="227" t="n"/>
      <c r="M1501" s="227" t="n"/>
      <c r="N1501" s="127" t="n"/>
      <c r="O1501" s="227" t="n"/>
      <c r="P1501" s="227" t="n"/>
      <c r="Q1501" s="227" t="n"/>
      <c r="R1501" s="227" t="n"/>
      <c r="S1501" s="227" t="n"/>
      <c r="T1501" s="227" t="n"/>
    </row>
    <row r="1502">
      <c r="A1502" s="145">
        <f>IF($B1502="","",ROW()-5)</f>
        <v/>
      </c>
      <c r="B1502" s="127" t="n"/>
      <c r="C1502" s="223" t="n"/>
      <c r="D1502" s="127" t="n"/>
      <c r="E1502" s="227" t="n"/>
      <c r="F1502" s="227" t="n"/>
      <c r="G1502" s="227" t="n"/>
      <c r="H1502" s="227" t="n"/>
      <c r="I1502" s="227" t="n"/>
      <c r="J1502" s="227" t="n"/>
      <c r="K1502" s="227" t="n"/>
      <c r="L1502" s="227" t="n"/>
      <c r="M1502" s="227" t="n"/>
      <c r="N1502" s="127" t="n"/>
      <c r="O1502" s="227" t="n"/>
      <c r="P1502" s="227" t="n"/>
      <c r="Q1502" s="227" t="n"/>
      <c r="R1502" s="227" t="n"/>
      <c r="S1502" s="227" t="n"/>
      <c r="T1502" s="227" t="n"/>
    </row>
    <row r="1503">
      <c r="A1503" s="145">
        <f>IF($B1503="","",ROW()-5)</f>
        <v/>
      </c>
      <c r="B1503" s="127" t="n"/>
      <c r="C1503" s="223" t="n"/>
      <c r="D1503" s="127" t="n"/>
      <c r="E1503" s="227" t="n"/>
      <c r="F1503" s="227" t="n"/>
      <c r="G1503" s="227" t="n"/>
      <c r="H1503" s="227" t="n"/>
      <c r="I1503" s="227" t="n"/>
      <c r="J1503" s="227" t="n"/>
      <c r="K1503" s="227" t="n"/>
      <c r="L1503" s="227" t="n"/>
      <c r="M1503" s="227" t="n"/>
      <c r="N1503" s="127" t="n"/>
      <c r="O1503" s="227" t="n"/>
      <c r="P1503" s="227" t="n"/>
      <c r="Q1503" s="227" t="n"/>
      <c r="R1503" s="227" t="n"/>
      <c r="S1503" s="227" t="n"/>
      <c r="T1503" s="227" t="n"/>
    </row>
    <row r="1504">
      <c r="A1504" s="145">
        <f>IF($B1504="","",ROW()-5)</f>
        <v/>
      </c>
      <c r="B1504" s="127" t="n"/>
      <c r="C1504" s="223" t="n"/>
      <c r="D1504" s="127" t="n"/>
      <c r="E1504" s="227" t="n"/>
      <c r="F1504" s="227" t="n"/>
      <c r="G1504" s="227" t="n"/>
      <c r="H1504" s="227" t="n"/>
      <c r="I1504" s="227" t="n"/>
      <c r="J1504" s="227" t="n"/>
      <c r="K1504" s="227" t="n"/>
      <c r="L1504" s="227" t="n"/>
      <c r="M1504" s="227" t="n"/>
      <c r="N1504" s="127" t="n"/>
      <c r="O1504" s="227" t="n"/>
      <c r="P1504" s="227" t="n"/>
      <c r="Q1504" s="227" t="n"/>
      <c r="R1504" s="227" t="n"/>
      <c r="S1504" s="227" t="n"/>
      <c r="T1504" s="227" t="n"/>
    </row>
    <row r="1505">
      <c r="A1505" s="145">
        <f>IF($B1505="","",ROW()-5)</f>
        <v/>
      </c>
      <c r="B1505" s="127" t="n"/>
      <c r="C1505" s="223" t="n"/>
      <c r="D1505" s="127" t="n"/>
      <c r="E1505" s="227" t="n"/>
      <c r="F1505" s="227" t="n"/>
      <c r="G1505" s="227" t="n"/>
      <c r="H1505" s="227" t="n"/>
      <c r="I1505" s="227" t="n"/>
      <c r="J1505" s="227" t="n"/>
      <c r="K1505" s="227" t="n"/>
      <c r="L1505" s="227" t="n"/>
      <c r="M1505" s="227" t="n"/>
      <c r="N1505" s="127" t="n"/>
      <c r="O1505" s="227" t="n"/>
      <c r="P1505" s="227" t="n"/>
      <c r="Q1505" s="227" t="n"/>
      <c r="R1505" s="227" t="n"/>
      <c r="S1505" s="227" t="n"/>
      <c r="T1505" s="227" t="n"/>
    </row>
    <row r="1506">
      <c r="A1506" s="145">
        <f>IF($B1506="","",ROW()-5)</f>
        <v/>
      </c>
      <c r="B1506" s="127" t="n"/>
      <c r="C1506" s="223" t="n"/>
      <c r="D1506" s="127" t="n"/>
      <c r="E1506" s="227" t="n"/>
      <c r="F1506" s="227" t="n"/>
      <c r="G1506" s="227" t="n"/>
      <c r="H1506" s="227" t="n"/>
      <c r="I1506" s="227" t="n"/>
      <c r="J1506" s="227" t="n"/>
      <c r="K1506" s="227" t="n"/>
      <c r="L1506" s="227" t="n"/>
      <c r="M1506" s="227" t="n"/>
      <c r="N1506" s="127" t="n"/>
      <c r="O1506" s="227" t="n"/>
      <c r="P1506" s="227" t="n"/>
      <c r="Q1506" s="227" t="n"/>
      <c r="R1506" s="227" t="n"/>
      <c r="S1506" s="227" t="n"/>
      <c r="T1506" s="227" t="n"/>
    </row>
    <row r="1507">
      <c r="A1507" s="145">
        <f>IF($B1507="","",ROW()-5)</f>
        <v/>
      </c>
      <c r="B1507" s="127" t="n"/>
      <c r="C1507" s="223" t="n"/>
      <c r="D1507" s="127" t="n"/>
      <c r="E1507" s="227" t="n"/>
      <c r="F1507" s="227" t="n"/>
      <c r="G1507" s="227" t="n"/>
      <c r="H1507" s="227" t="n"/>
      <c r="I1507" s="227" t="n"/>
      <c r="J1507" s="227" t="n"/>
      <c r="K1507" s="227" t="n"/>
      <c r="L1507" s="227" t="n"/>
      <c r="M1507" s="227" t="n"/>
      <c r="N1507" s="127" t="n"/>
      <c r="O1507" s="227" t="n"/>
      <c r="P1507" s="227" t="n"/>
      <c r="Q1507" s="227" t="n"/>
      <c r="R1507" s="227" t="n"/>
      <c r="S1507" s="227" t="n"/>
      <c r="T1507" s="227" t="n"/>
    </row>
    <row r="1508">
      <c r="A1508" s="145">
        <f>IF($B1508="","",ROW()-5)</f>
        <v/>
      </c>
      <c r="B1508" s="127" t="n"/>
      <c r="C1508" s="223" t="n"/>
      <c r="D1508" s="127" t="n"/>
      <c r="E1508" s="227" t="n"/>
      <c r="F1508" s="227" t="n"/>
      <c r="G1508" s="227" t="n"/>
      <c r="H1508" s="227" t="n"/>
      <c r="I1508" s="227" t="n"/>
      <c r="J1508" s="227" t="n"/>
      <c r="K1508" s="227" t="n"/>
      <c r="L1508" s="227" t="n"/>
      <c r="M1508" s="227" t="n"/>
      <c r="N1508" s="127" t="n"/>
      <c r="O1508" s="227" t="n"/>
      <c r="P1508" s="227" t="n"/>
      <c r="Q1508" s="227" t="n"/>
      <c r="R1508" s="227" t="n"/>
      <c r="S1508" s="227" t="n"/>
      <c r="T1508" s="227" t="n"/>
    </row>
    <row r="1509">
      <c r="A1509" s="145">
        <f>IF($B1509="","",ROW()-5)</f>
        <v/>
      </c>
      <c r="B1509" s="127" t="n"/>
      <c r="C1509" s="223" t="n"/>
      <c r="D1509" s="127" t="n"/>
      <c r="E1509" s="227" t="n"/>
      <c r="F1509" s="227" t="n"/>
      <c r="G1509" s="227" t="n"/>
      <c r="H1509" s="227" t="n"/>
      <c r="I1509" s="227" t="n"/>
      <c r="J1509" s="227" t="n"/>
      <c r="K1509" s="227" t="n"/>
      <c r="L1509" s="227" t="n"/>
      <c r="M1509" s="227" t="n"/>
      <c r="N1509" s="127" t="n"/>
      <c r="O1509" s="227" t="n"/>
      <c r="P1509" s="227" t="n"/>
      <c r="Q1509" s="227" t="n"/>
      <c r="R1509" s="227" t="n"/>
      <c r="S1509" s="227" t="n"/>
      <c r="T1509" s="227" t="n"/>
    </row>
    <row r="1510">
      <c r="A1510" s="145">
        <f>IF($B1510="","",ROW()-5)</f>
        <v/>
      </c>
      <c r="B1510" s="127" t="n"/>
      <c r="C1510" s="223" t="n"/>
      <c r="D1510" s="127" t="n"/>
      <c r="E1510" s="227" t="n"/>
      <c r="F1510" s="227" t="n"/>
      <c r="G1510" s="227" t="n"/>
      <c r="H1510" s="227" t="n"/>
      <c r="I1510" s="227" t="n"/>
      <c r="J1510" s="227" t="n"/>
      <c r="K1510" s="227" t="n"/>
      <c r="L1510" s="227" t="n"/>
      <c r="M1510" s="227" t="n"/>
      <c r="N1510" s="127" t="n"/>
      <c r="O1510" s="227" t="n"/>
      <c r="P1510" s="227" t="n"/>
      <c r="Q1510" s="227" t="n"/>
      <c r="R1510" s="227" t="n"/>
      <c r="S1510" s="227" t="n"/>
      <c r="T1510" s="227" t="n"/>
    </row>
    <row r="1511">
      <c r="A1511" s="145">
        <f>IF($B1511="","",ROW()-5)</f>
        <v/>
      </c>
      <c r="B1511" s="127" t="n"/>
      <c r="C1511" s="223" t="n"/>
      <c r="D1511" s="127" t="n"/>
      <c r="E1511" s="227" t="n"/>
      <c r="F1511" s="227" t="n"/>
      <c r="G1511" s="227" t="n"/>
      <c r="H1511" s="227" t="n"/>
      <c r="I1511" s="227" t="n"/>
      <c r="J1511" s="227" t="n"/>
      <c r="K1511" s="227" t="n"/>
      <c r="L1511" s="227" t="n"/>
      <c r="M1511" s="227" t="n"/>
      <c r="N1511" s="127" t="n"/>
      <c r="O1511" s="227" t="n"/>
      <c r="P1511" s="227" t="n"/>
      <c r="Q1511" s="227" t="n"/>
      <c r="R1511" s="227" t="n"/>
      <c r="S1511" s="227" t="n"/>
      <c r="T1511" s="227" t="n"/>
    </row>
    <row r="1512">
      <c r="A1512" s="145">
        <f>IF($B1512="","",ROW()-5)</f>
        <v/>
      </c>
      <c r="B1512" s="127" t="n"/>
      <c r="C1512" s="223" t="n"/>
      <c r="D1512" s="127" t="n"/>
      <c r="E1512" s="227" t="n"/>
      <c r="F1512" s="227" t="n"/>
      <c r="G1512" s="227" t="n"/>
      <c r="H1512" s="227" t="n"/>
      <c r="I1512" s="227" t="n"/>
      <c r="J1512" s="227" t="n"/>
      <c r="K1512" s="227" t="n"/>
      <c r="L1512" s="227" t="n"/>
      <c r="M1512" s="227" t="n"/>
      <c r="N1512" s="127" t="n"/>
      <c r="O1512" s="227" t="n"/>
      <c r="P1512" s="227" t="n"/>
      <c r="Q1512" s="227" t="n"/>
      <c r="R1512" s="227" t="n"/>
      <c r="S1512" s="227" t="n"/>
      <c r="T1512" s="227" t="n"/>
    </row>
    <row r="1513">
      <c r="A1513" s="145">
        <f>IF($B1513="","",ROW()-5)</f>
        <v/>
      </c>
      <c r="B1513" s="127" t="n"/>
      <c r="C1513" s="223" t="n"/>
      <c r="D1513" s="127" t="n"/>
      <c r="E1513" s="227" t="n"/>
      <c r="F1513" s="227" t="n"/>
      <c r="G1513" s="227" t="n"/>
      <c r="H1513" s="227" t="n"/>
      <c r="I1513" s="227" t="n"/>
      <c r="J1513" s="227" t="n"/>
      <c r="K1513" s="227" t="n"/>
      <c r="L1513" s="227" t="n"/>
      <c r="M1513" s="227" t="n"/>
      <c r="N1513" s="127" t="n"/>
      <c r="O1513" s="227" t="n"/>
      <c r="P1513" s="227" t="n"/>
      <c r="Q1513" s="227" t="n"/>
      <c r="R1513" s="227" t="n"/>
      <c r="S1513" s="227" t="n"/>
      <c r="T1513" s="227" t="n"/>
    </row>
    <row r="1514">
      <c r="A1514" s="145">
        <f>IF($B1514="","",ROW()-5)</f>
        <v/>
      </c>
      <c r="B1514" s="127" t="n"/>
      <c r="C1514" s="223" t="n"/>
      <c r="D1514" s="127" t="n"/>
      <c r="E1514" s="227" t="n"/>
      <c r="F1514" s="227" t="n"/>
      <c r="G1514" s="227" t="n"/>
      <c r="H1514" s="227" t="n"/>
      <c r="I1514" s="227" t="n"/>
      <c r="J1514" s="227" t="n"/>
      <c r="K1514" s="227" t="n"/>
      <c r="L1514" s="227" t="n"/>
      <c r="M1514" s="227" t="n"/>
      <c r="N1514" s="127" t="n"/>
      <c r="O1514" s="227" t="n"/>
      <c r="P1514" s="227" t="n"/>
      <c r="Q1514" s="227" t="n"/>
      <c r="R1514" s="227" t="n"/>
      <c r="S1514" s="227" t="n"/>
      <c r="T1514" s="227" t="n"/>
    </row>
    <row r="1515">
      <c r="A1515" s="145">
        <f>IF($B1515="","",ROW()-5)</f>
        <v/>
      </c>
      <c r="B1515" s="127" t="n"/>
      <c r="C1515" s="223" t="n"/>
      <c r="D1515" s="127" t="n"/>
      <c r="E1515" s="227" t="n"/>
      <c r="F1515" s="227" t="n"/>
      <c r="G1515" s="227" t="n"/>
      <c r="H1515" s="227" t="n"/>
      <c r="I1515" s="227" t="n"/>
      <c r="J1515" s="227" t="n"/>
      <c r="K1515" s="227" t="n"/>
      <c r="L1515" s="227" t="n"/>
      <c r="M1515" s="227" t="n"/>
      <c r="N1515" s="127" t="n"/>
      <c r="O1515" s="227" t="n"/>
      <c r="P1515" s="227" t="n"/>
      <c r="Q1515" s="227" t="n"/>
      <c r="R1515" s="227" t="n"/>
      <c r="S1515" s="227" t="n"/>
      <c r="T1515" s="227" t="n"/>
    </row>
    <row r="1516">
      <c r="A1516" s="145">
        <f>IF($B1516="","",ROW()-5)</f>
        <v/>
      </c>
      <c r="B1516" s="127" t="n"/>
      <c r="C1516" s="223" t="n"/>
      <c r="D1516" s="127" t="n"/>
      <c r="E1516" s="227" t="n"/>
      <c r="F1516" s="227" t="n"/>
      <c r="G1516" s="227" t="n"/>
      <c r="H1516" s="227" t="n"/>
      <c r="I1516" s="227" t="n"/>
      <c r="J1516" s="227" t="n"/>
      <c r="K1516" s="227" t="n"/>
      <c r="L1516" s="227" t="n"/>
      <c r="M1516" s="227" t="n"/>
      <c r="N1516" s="127" t="n"/>
      <c r="O1516" s="227" t="n"/>
      <c r="P1516" s="227" t="n"/>
      <c r="Q1516" s="227" t="n"/>
      <c r="R1516" s="227" t="n"/>
      <c r="S1516" s="227" t="n"/>
      <c r="T1516" s="227" t="n"/>
    </row>
    <row r="1517">
      <c r="A1517" s="145">
        <f>IF($B1517="","",ROW()-5)</f>
        <v/>
      </c>
      <c r="B1517" s="127" t="n"/>
      <c r="C1517" s="223" t="n"/>
      <c r="D1517" s="127" t="n"/>
      <c r="E1517" s="227" t="n"/>
      <c r="F1517" s="227" t="n"/>
      <c r="G1517" s="227" t="n"/>
      <c r="H1517" s="227" t="n"/>
      <c r="I1517" s="227" t="n"/>
      <c r="J1517" s="227" t="n"/>
      <c r="K1517" s="227" t="n"/>
      <c r="L1517" s="227" t="n"/>
      <c r="M1517" s="227" t="n"/>
      <c r="N1517" s="127" t="n"/>
      <c r="O1517" s="227" t="n"/>
      <c r="P1517" s="227" t="n"/>
      <c r="Q1517" s="227" t="n"/>
      <c r="R1517" s="227" t="n"/>
      <c r="S1517" s="227" t="n"/>
      <c r="T1517" s="227" t="n"/>
    </row>
    <row r="1518">
      <c r="A1518" s="145">
        <f>IF($B1518="","",ROW()-5)</f>
        <v/>
      </c>
      <c r="B1518" s="127" t="n"/>
      <c r="C1518" s="223" t="n"/>
      <c r="D1518" s="127" t="n"/>
      <c r="E1518" s="227" t="n"/>
      <c r="F1518" s="227" t="n"/>
      <c r="G1518" s="227" t="n"/>
      <c r="H1518" s="227" t="n"/>
      <c r="I1518" s="227" t="n"/>
      <c r="J1518" s="227" t="n"/>
      <c r="K1518" s="227" t="n"/>
      <c r="L1518" s="227" t="n"/>
      <c r="M1518" s="227" t="n"/>
      <c r="N1518" s="127" t="n"/>
      <c r="O1518" s="227" t="n"/>
      <c r="P1518" s="227" t="n"/>
      <c r="Q1518" s="227" t="n"/>
      <c r="R1518" s="227" t="n"/>
      <c r="S1518" s="227" t="n"/>
      <c r="T1518" s="227" t="n"/>
    </row>
    <row r="1519">
      <c r="A1519" s="145">
        <f>IF($B1519="","",ROW()-5)</f>
        <v/>
      </c>
      <c r="B1519" s="127" t="n"/>
      <c r="C1519" s="223" t="n"/>
      <c r="D1519" s="127" t="n"/>
      <c r="E1519" s="227" t="n"/>
      <c r="F1519" s="227" t="n"/>
      <c r="G1519" s="227" t="n"/>
      <c r="H1519" s="227" t="n"/>
      <c r="I1519" s="227" t="n"/>
      <c r="J1519" s="227" t="n"/>
      <c r="K1519" s="227" t="n"/>
      <c r="L1519" s="227" t="n"/>
      <c r="M1519" s="227" t="n"/>
      <c r="N1519" s="127" t="n"/>
      <c r="O1519" s="227" t="n"/>
      <c r="P1519" s="227" t="n"/>
      <c r="Q1519" s="227" t="n"/>
      <c r="R1519" s="227" t="n"/>
      <c r="S1519" s="227" t="n"/>
      <c r="T1519" s="227" t="n"/>
    </row>
    <row r="1520">
      <c r="A1520" s="145">
        <f>IF($B1520="","",ROW()-5)</f>
        <v/>
      </c>
      <c r="B1520" s="127" t="n"/>
      <c r="C1520" s="223" t="n"/>
      <c r="D1520" s="127" t="n"/>
      <c r="E1520" s="227" t="n"/>
      <c r="F1520" s="227" t="n"/>
      <c r="G1520" s="227" t="n"/>
      <c r="H1520" s="227" t="n"/>
      <c r="I1520" s="227" t="n"/>
      <c r="J1520" s="227" t="n"/>
      <c r="K1520" s="227" t="n"/>
      <c r="L1520" s="227" t="n"/>
      <c r="M1520" s="227" t="n"/>
      <c r="N1520" s="127" t="n"/>
      <c r="O1520" s="227" t="n"/>
      <c r="P1520" s="227" t="n"/>
      <c r="Q1520" s="227" t="n"/>
      <c r="R1520" s="227" t="n"/>
      <c r="S1520" s="227" t="n"/>
      <c r="T1520" s="227" t="n"/>
    </row>
    <row r="1521">
      <c r="A1521" s="145">
        <f>IF($B1521="","",ROW()-5)</f>
        <v/>
      </c>
      <c r="B1521" s="127" t="n"/>
      <c r="C1521" s="223" t="n"/>
      <c r="D1521" s="127" t="n"/>
      <c r="E1521" s="227" t="n"/>
      <c r="F1521" s="227" t="n"/>
      <c r="G1521" s="227" t="n"/>
      <c r="H1521" s="227" t="n"/>
      <c r="I1521" s="227" t="n"/>
      <c r="J1521" s="227" t="n"/>
      <c r="K1521" s="227" t="n"/>
      <c r="L1521" s="227" t="n"/>
      <c r="M1521" s="227" t="n"/>
      <c r="N1521" s="127" t="n"/>
      <c r="O1521" s="227" t="n"/>
      <c r="P1521" s="227" t="n"/>
      <c r="Q1521" s="227" t="n"/>
      <c r="R1521" s="227" t="n"/>
      <c r="S1521" s="227" t="n"/>
      <c r="T1521" s="227" t="n"/>
    </row>
    <row r="1522">
      <c r="A1522" s="145">
        <f>IF($B1522="","",ROW()-5)</f>
        <v/>
      </c>
      <c r="B1522" s="127" t="n"/>
      <c r="C1522" s="223" t="n"/>
      <c r="D1522" s="127" t="n"/>
      <c r="E1522" s="227" t="n"/>
      <c r="F1522" s="227" t="n"/>
      <c r="G1522" s="227" t="n"/>
      <c r="H1522" s="227" t="n"/>
      <c r="I1522" s="227" t="n"/>
      <c r="J1522" s="227" t="n"/>
      <c r="K1522" s="227" t="n"/>
      <c r="L1522" s="227" t="n"/>
      <c r="M1522" s="227" t="n"/>
      <c r="N1522" s="127" t="n"/>
      <c r="O1522" s="227" t="n"/>
      <c r="P1522" s="227" t="n"/>
      <c r="Q1522" s="227" t="n"/>
      <c r="R1522" s="227" t="n"/>
      <c r="S1522" s="227" t="n"/>
      <c r="T1522" s="227" t="n"/>
    </row>
    <row r="1523">
      <c r="A1523" s="145">
        <f>IF($B1523="","",ROW()-5)</f>
        <v/>
      </c>
      <c r="B1523" s="127" t="n"/>
      <c r="C1523" s="223" t="n"/>
      <c r="D1523" s="127" t="n"/>
      <c r="E1523" s="227" t="n"/>
      <c r="F1523" s="227" t="n"/>
      <c r="G1523" s="227" t="n"/>
      <c r="H1523" s="227" t="n"/>
      <c r="I1523" s="227" t="n"/>
      <c r="J1523" s="227" t="n"/>
      <c r="K1523" s="227" t="n"/>
      <c r="L1523" s="227" t="n"/>
      <c r="M1523" s="227" t="n"/>
      <c r="N1523" s="127" t="n"/>
      <c r="O1523" s="227" t="n"/>
      <c r="P1523" s="227" t="n"/>
      <c r="Q1523" s="227" t="n"/>
      <c r="R1523" s="227" t="n"/>
      <c r="S1523" s="227" t="n"/>
      <c r="T1523" s="227" t="n"/>
    </row>
    <row r="1524">
      <c r="A1524" s="145">
        <f>IF($B1524="","",ROW()-5)</f>
        <v/>
      </c>
      <c r="B1524" s="127" t="n"/>
      <c r="C1524" s="223" t="n"/>
      <c r="D1524" s="127" t="n"/>
      <c r="E1524" s="227" t="n"/>
      <c r="F1524" s="227" t="n"/>
      <c r="G1524" s="227" t="n"/>
      <c r="H1524" s="227" t="n"/>
      <c r="I1524" s="227" t="n"/>
      <c r="J1524" s="227" t="n"/>
      <c r="K1524" s="227" t="n"/>
      <c r="L1524" s="227" t="n"/>
      <c r="M1524" s="227" t="n"/>
      <c r="N1524" s="127" t="n"/>
      <c r="O1524" s="227" t="n"/>
      <c r="P1524" s="227" t="n"/>
      <c r="Q1524" s="227" t="n"/>
      <c r="R1524" s="227" t="n"/>
      <c r="S1524" s="227" t="n"/>
      <c r="T1524" s="227" t="n"/>
    </row>
    <row r="1525">
      <c r="A1525" s="145">
        <f>IF($B1525="","",ROW()-5)</f>
        <v/>
      </c>
      <c r="B1525" s="127" t="n"/>
      <c r="C1525" s="223" t="n"/>
      <c r="D1525" s="127" t="n"/>
      <c r="E1525" s="227" t="n"/>
      <c r="F1525" s="227" t="n"/>
      <c r="G1525" s="227" t="n"/>
      <c r="H1525" s="227" t="n"/>
      <c r="I1525" s="227" t="n"/>
      <c r="J1525" s="227" t="n"/>
      <c r="K1525" s="227" t="n"/>
      <c r="L1525" s="227" t="n"/>
      <c r="M1525" s="227" t="n"/>
      <c r="N1525" s="127" t="n"/>
      <c r="O1525" s="227" t="n"/>
      <c r="P1525" s="227" t="n"/>
      <c r="Q1525" s="227" t="n"/>
      <c r="R1525" s="227" t="n"/>
      <c r="S1525" s="227" t="n"/>
      <c r="T1525" s="227" t="n"/>
    </row>
    <row r="1526">
      <c r="A1526" s="145">
        <f>IF($B1526="","",ROW()-5)</f>
        <v/>
      </c>
      <c r="B1526" s="127" t="n"/>
      <c r="C1526" s="223" t="n"/>
      <c r="D1526" s="127" t="n"/>
      <c r="E1526" s="227" t="n"/>
      <c r="F1526" s="227" t="n"/>
      <c r="G1526" s="227" t="n"/>
      <c r="H1526" s="227" t="n"/>
      <c r="I1526" s="227" t="n"/>
      <c r="J1526" s="227" t="n"/>
      <c r="K1526" s="227" t="n"/>
      <c r="L1526" s="227" t="n"/>
      <c r="M1526" s="227" t="n"/>
      <c r="N1526" s="127" t="n"/>
      <c r="O1526" s="227" t="n"/>
      <c r="P1526" s="227" t="n"/>
      <c r="Q1526" s="227" t="n"/>
      <c r="R1526" s="227" t="n"/>
      <c r="S1526" s="227" t="n"/>
      <c r="T1526" s="227" t="n"/>
    </row>
    <row r="1527">
      <c r="A1527" s="145">
        <f>IF($B1527="","",ROW()-5)</f>
        <v/>
      </c>
      <c r="B1527" s="127" t="n"/>
      <c r="C1527" s="223" t="n"/>
      <c r="D1527" s="127" t="n"/>
      <c r="E1527" s="227" t="n"/>
      <c r="F1527" s="227" t="n"/>
      <c r="G1527" s="227" t="n"/>
      <c r="H1527" s="227" t="n"/>
      <c r="I1527" s="227" t="n"/>
      <c r="J1527" s="227" t="n"/>
      <c r="K1527" s="227" t="n"/>
      <c r="L1527" s="227" t="n"/>
      <c r="M1527" s="227" t="n"/>
      <c r="N1527" s="127" t="n"/>
      <c r="O1527" s="227" t="n"/>
      <c r="P1527" s="227" t="n"/>
      <c r="Q1527" s="227" t="n"/>
      <c r="R1527" s="227" t="n"/>
      <c r="S1527" s="227" t="n"/>
      <c r="T1527" s="227" t="n"/>
    </row>
    <row r="1528">
      <c r="A1528" s="145">
        <f>IF($B1528="","",ROW()-5)</f>
        <v/>
      </c>
      <c r="B1528" s="127" t="n"/>
      <c r="C1528" s="223" t="n"/>
      <c r="D1528" s="127" t="n"/>
      <c r="E1528" s="227" t="n"/>
      <c r="F1528" s="227" t="n"/>
      <c r="G1528" s="227" t="n"/>
      <c r="H1528" s="227" t="n"/>
      <c r="I1528" s="227" t="n"/>
      <c r="J1528" s="227" t="n"/>
      <c r="K1528" s="227" t="n"/>
      <c r="L1528" s="227" t="n"/>
      <c r="M1528" s="227" t="n"/>
      <c r="N1528" s="127" t="n"/>
      <c r="O1528" s="227" t="n"/>
      <c r="P1528" s="227" t="n"/>
      <c r="Q1528" s="227" t="n"/>
      <c r="R1528" s="227" t="n"/>
      <c r="S1528" s="227" t="n"/>
      <c r="T1528" s="227" t="n"/>
    </row>
    <row r="1529">
      <c r="A1529" s="145">
        <f>IF($B1529="","",ROW()-5)</f>
        <v/>
      </c>
      <c r="B1529" s="127" t="n"/>
      <c r="C1529" s="223" t="n"/>
      <c r="D1529" s="127" t="n"/>
      <c r="E1529" s="227" t="n"/>
      <c r="F1529" s="227" t="n"/>
      <c r="G1529" s="227" t="n"/>
      <c r="H1529" s="227" t="n"/>
      <c r="I1529" s="227" t="n"/>
      <c r="J1529" s="227" t="n"/>
      <c r="K1529" s="227" t="n"/>
      <c r="L1529" s="227" t="n"/>
      <c r="M1529" s="227" t="n"/>
      <c r="N1529" s="127" t="n"/>
      <c r="O1529" s="227" t="n"/>
      <c r="P1529" s="227" t="n"/>
      <c r="Q1529" s="227" t="n"/>
      <c r="R1529" s="227" t="n"/>
      <c r="S1529" s="227" t="n"/>
      <c r="T1529" s="227" t="n"/>
    </row>
    <row r="1530">
      <c r="A1530" s="145">
        <f>IF($B1530="","",ROW()-5)</f>
        <v/>
      </c>
      <c r="B1530" s="127" t="n"/>
      <c r="C1530" s="223" t="n"/>
      <c r="D1530" s="127" t="n"/>
      <c r="E1530" s="227" t="n"/>
      <c r="F1530" s="227" t="n"/>
      <c r="G1530" s="227" t="n"/>
      <c r="H1530" s="227" t="n"/>
      <c r="I1530" s="227" t="n"/>
      <c r="J1530" s="227" t="n"/>
      <c r="K1530" s="227" t="n"/>
      <c r="L1530" s="227" t="n"/>
      <c r="M1530" s="227" t="n"/>
      <c r="N1530" s="127" t="n"/>
      <c r="O1530" s="227" t="n"/>
      <c r="P1530" s="227" t="n"/>
      <c r="Q1530" s="227" t="n"/>
      <c r="R1530" s="227" t="n"/>
      <c r="S1530" s="227" t="n"/>
      <c r="T1530" s="227" t="n"/>
    </row>
    <row r="1531">
      <c r="A1531" s="145">
        <f>IF($B1531="","",ROW()-5)</f>
        <v/>
      </c>
      <c r="B1531" s="127" t="n"/>
      <c r="C1531" s="223" t="n"/>
      <c r="D1531" s="127" t="n"/>
      <c r="E1531" s="227" t="n"/>
      <c r="F1531" s="227" t="n"/>
      <c r="G1531" s="227" t="n"/>
      <c r="H1531" s="227" t="n"/>
      <c r="I1531" s="227" t="n"/>
      <c r="J1531" s="227" t="n"/>
      <c r="K1531" s="227" t="n"/>
      <c r="L1531" s="227" t="n"/>
      <c r="M1531" s="227" t="n"/>
      <c r="N1531" s="127" t="n"/>
      <c r="O1531" s="227" t="n"/>
      <c r="P1531" s="227" t="n"/>
      <c r="Q1531" s="227" t="n"/>
      <c r="R1531" s="227" t="n"/>
      <c r="S1531" s="227" t="n"/>
      <c r="T1531" s="227" t="n"/>
    </row>
    <row r="1532">
      <c r="A1532" s="145">
        <f>IF($B1532="","",ROW()-5)</f>
        <v/>
      </c>
      <c r="B1532" s="127" t="n"/>
      <c r="C1532" s="223" t="n"/>
      <c r="D1532" s="127" t="n"/>
      <c r="E1532" s="227" t="n"/>
      <c r="F1532" s="227" t="n"/>
      <c r="G1532" s="227" t="n"/>
      <c r="H1532" s="227" t="n"/>
      <c r="I1532" s="227" t="n"/>
      <c r="J1532" s="227" t="n"/>
      <c r="K1532" s="227" t="n"/>
      <c r="L1532" s="227" t="n"/>
      <c r="M1532" s="227" t="n"/>
      <c r="N1532" s="127" t="n"/>
      <c r="O1532" s="227" t="n"/>
      <c r="P1532" s="227" t="n"/>
      <c r="Q1532" s="227" t="n"/>
      <c r="R1532" s="227" t="n"/>
      <c r="S1532" s="227" t="n"/>
      <c r="T1532" s="227" t="n"/>
    </row>
    <row r="1533">
      <c r="A1533" s="145">
        <f>IF($B1533="","",ROW()-5)</f>
        <v/>
      </c>
      <c r="B1533" s="127" t="n"/>
      <c r="C1533" s="223" t="n"/>
      <c r="D1533" s="127" t="n"/>
      <c r="E1533" s="227" t="n"/>
      <c r="F1533" s="227" t="n"/>
      <c r="G1533" s="227" t="n"/>
      <c r="H1533" s="227" t="n"/>
      <c r="I1533" s="227" t="n"/>
      <c r="J1533" s="227" t="n"/>
      <c r="K1533" s="227" t="n"/>
      <c r="L1533" s="227" t="n"/>
      <c r="M1533" s="227" t="n"/>
      <c r="N1533" s="127" t="n"/>
      <c r="O1533" s="227" t="n"/>
      <c r="P1533" s="227" t="n"/>
      <c r="Q1533" s="227" t="n"/>
      <c r="R1533" s="227" t="n"/>
      <c r="S1533" s="227" t="n"/>
      <c r="T1533" s="227" t="n"/>
    </row>
    <row r="1534">
      <c r="A1534" s="145">
        <f>IF($B1534="","",ROW()-5)</f>
        <v/>
      </c>
      <c r="B1534" s="127" t="n"/>
      <c r="C1534" s="223" t="n"/>
      <c r="D1534" s="127" t="n"/>
      <c r="E1534" s="227" t="n"/>
      <c r="F1534" s="227" t="n"/>
      <c r="G1534" s="227" t="n"/>
      <c r="H1534" s="227" t="n"/>
      <c r="I1534" s="227" t="n"/>
      <c r="J1534" s="227" t="n"/>
      <c r="K1534" s="227" t="n"/>
      <c r="L1534" s="227" t="n"/>
      <c r="M1534" s="227" t="n"/>
      <c r="N1534" s="127" t="n"/>
      <c r="O1534" s="227" t="n"/>
      <c r="P1534" s="227" t="n"/>
      <c r="Q1534" s="227" t="n"/>
      <c r="R1534" s="227" t="n"/>
      <c r="S1534" s="227" t="n"/>
      <c r="T1534" s="227" t="n"/>
    </row>
    <row r="1535">
      <c r="A1535" s="145">
        <f>IF($B1535="","",ROW()-5)</f>
        <v/>
      </c>
      <c r="B1535" s="127" t="n"/>
      <c r="C1535" s="223" t="n"/>
      <c r="D1535" s="127" t="n"/>
      <c r="E1535" s="227" t="n"/>
      <c r="F1535" s="227" t="n"/>
      <c r="G1535" s="227" t="n"/>
      <c r="H1535" s="227" t="n"/>
      <c r="I1535" s="227" t="n"/>
      <c r="J1535" s="227" t="n"/>
      <c r="K1535" s="227" t="n"/>
      <c r="L1535" s="227" t="n"/>
      <c r="M1535" s="227" t="n"/>
      <c r="N1535" s="127" t="n"/>
      <c r="O1535" s="227" t="n"/>
      <c r="P1535" s="227" t="n"/>
      <c r="Q1535" s="227" t="n"/>
      <c r="R1535" s="227" t="n"/>
      <c r="S1535" s="227" t="n"/>
      <c r="T1535" s="227" t="n"/>
    </row>
    <row r="1536">
      <c r="A1536" s="145">
        <f>IF($B1536="","",ROW()-5)</f>
        <v/>
      </c>
      <c r="B1536" s="127" t="n"/>
      <c r="C1536" s="223" t="n"/>
      <c r="D1536" s="127" t="n"/>
      <c r="E1536" s="227" t="n"/>
      <c r="F1536" s="227" t="n"/>
      <c r="G1536" s="227" t="n"/>
      <c r="H1536" s="227" t="n"/>
      <c r="I1536" s="227" t="n"/>
      <c r="J1536" s="227" t="n"/>
      <c r="K1536" s="227" t="n"/>
      <c r="L1536" s="227" t="n"/>
      <c r="M1536" s="227" t="n"/>
      <c r="N1536" s="127" t="n"/>
      <c r="O1536" s="227" t="n"/>
      <c r="P1536" s="227" t="n"/>
      <c r="Q1536" s="227" t="n"/>
      <c r="R1536" s="227" t="n"/>
      <c r="S1536" s="227" t="n"/>
      <c r="T1536" s="227" t="n"/>
    </row>
    <row r="1537">
      <c r="A1537" s="145">
        <f>IF($B1537="","",ROW()-5)</f>
        <v/>
      </c>
      <c r="B1537" s="127" t="n"/>
      <c r="C1537" s="223" t="n"/>
      <c r="D1537" s="127" t="n"/>
      <c r="E1537" s="227" t="n"/>
      <c r="F1537" s="227" t="n"/>
      <c r="G1537" s="227" t="n"/>
      <c r="H1537" s="227" t="n"/>
      <c r="I1537" s="227" t="n"/>
      <c r="J1537" s="227" t="n"/>
      <c r="K1537" s="227" t="n"/>
      <c r="L1537" s="227" t="n"/>
      <c r="M1537" s="227" t="n"/>
      <c r="N1537" s="127" t="n"/>
      <c r="O1537" s="227" t="n"/>
      <c r="P1537" s="227" t="n"/>
      <c r="Q1537" s="227" t="n"/>
      <c r="R1537" s="227" t="n"/>
      <c r="S1537" s="227" t="n"/>
      <c r="T1537" s="227" t="n"/>
    </row>
    <row r="1538">
      <c r="A1538" s="145">
        <f>IF($B1538="","",ROW()-5)</f>
        <v/>
      </c>
      <c r="B1538" s="127" t="n"/>
      <c r="C1538" s="223" t="n"/>
      <c r="D1538" s="127" t="n"/>
      <c r="E1538" s="227" t="n"/>
      <c r="F1538" s="227" t="n"/>
      <c r="G1538" s="227" t="n"/>
      <c r="H1538" s="227" t="n"/>
      <c r="I1538" s="227" t="n"/>
      <c r="J1538" s="227" t="n"/>
      <c r="K1538" s="227" t="n"/>
      <c r="L1538" s="227" t="n"/>
      <c r="M1538" s="227" t="n"/>
      <c r="N1538" s="127" t="n"/>
      <c r="O1538" s="227" t="n"/>
      <c r="P1538" s="227" t="n"/>
      <c r="Q1538" s="227" t="n"/>
      <c r="R1538" s="227" t="n"/>
      <c r="S1538" s="227" t="n"/>
      <c r="T1538" s="227" t="n"/>
    </row>
    <row r="1539">
      <c r="A1539" s="145">
        <f>IF($B1539="","",ROW()-5)</f>
        <v/>
      </c>
      <c r="B1539" s="127" t="n"/>
      <c r="C1539" s="223" t="n"/>
      <c r="D1539" s="127" t="n"/>
      <c r="E1539" s="227" t="n"/>
      <c r="F1539" s="227" t="n"/>
      <c r="G1539" s="227" t="n"/>
      <c r="H1539" s="227" t="n"/>
      <c r="I1539" s="227" t="n"/>
      <c r="J1539" s="227" t="n"/>
      <c r="K1539" s="227" t="n"/>
      <c r="L1539" s="227" t="n"/>
      <c r="M1539" s="227" t="n"/>
      <c r="N1539" s="127" t="n"/>
      <c r="O1539" s="227" t="n"/>
      <c r="P1539" s="227" t="n"/>
      <c r="Q1539" s="227" t="n"/>
      <c r="R1539" s="227" t="n"/>
      <c r="S1539" s="227" t="n"/>
      <c r="T1539" s="227" t="n"/>
    </row>
    <row r="1540">
      <c r="A1540" s="145">
        <f>IF($B1540="","",ROW()-5)</f>
        <v/>
      </c>
      <c r="B1540" s="127" t="n"/>
      <c r="C1540" s="223" t="n"/>
      <c r="D1540" s="127" t="n"/>
      <c r="E1540" s="227" t="n"/>
      <c r="F1540" s="227" t="n"/>
      <c r="G1540" s="227" t="n"/>
      <c r="H1540" s="227" t="n"/>
      <c r="I1540" s="227" t="n"/>
      <c r="J1540" s="227" t="n"/>
      <c r="K1540" s="227" t="n"/>
      <c r="L1540" s="227" t="n"/>
      <c r="M1540" s="227" t="n"/>
      <c r="N1540" s="127" t="n"/>
      <c r="O1540" s="227" t="n"/>
      <c r="P1540" s="227" t="n"/>
      <c r="Q1540" s="227" t="n"/>
      <c r="R1540" s="227" t="n"/>
      <c r="S1540" s="227" t="n"/>
      <c r="T1540" s="227" t="n"/>
    </row>
    <row r="1541">
      <c r="A1541" s="145">
        <f>IF($B1541="","",ROW()-5)</f>
        <v/>
      </c>
      <c r="B1541" s="127" t="n"/>
      <c r="C1541" s="223" t="n"/>
      <c r="D1541" s="127" t="n"/>
      <c r="E1541" s="227" t="n"/>
      <c r="F1541" s="227" t="n"/>
      <c r="G1541" s="227" t="n"/>
      <c r="H1541" s="227" t="n"/>
      <c r="I1541" s="227" t="n"/>
      <c r="J1541" s="227" t="n"/>
      <c r="K1541" s="227" t="n"/>
      <c r="L1541" s="227" t="n"/>
      <c r="M1541" s="227" t="n"/>
      <c r="N1541" s="127" t="n"/>
      <c r="O1541" s="227" t="n"/>
      <c r="P1541" s="227" t="n"/>
      <c r="Q1541" s="227" t="n"/>
      <c r="R1541" s="227" t="n"/>
      <c r="S1541" s="227" t="n"/>
      <c r="T1541" s="227" t="n"/>
    </row>
    <row r="1542">
      <c r="A1542" s="145">
        <f>IF($B1542="","",ROW()-5)</f>
        <v/>
      </c>
      <c r="B1542" s="127" t="n"/>
      <c r="C1542" s="223" t="n"/>
      <c r="D1542" s="127" t="n"/>
      <c r="E1542" s="227" t="n"/>
      <c r="F1542" s="227" t="n"/>
      <c r="G1542" s="227" t="n"/>
      <c r="H1542" s="227" t="n"/>
      <c r="I1542" s="227" t="n"/>
      <c r="J1542" s="227" t="n"/>
      <c r="K1542" s="227" t="n"/>
      <c r="L1542" s="227" t="n"/>
      <c r="M1542" s="227" t="n"/>
      <c r="N1542" s="127" t="n"/>
      <c r="O1542" s="227" t="n"/>
      <c r="P1542" s="227" t="n"/>
      <c r="Q1542" s="227" t="n"/>
      <c r="R1542" s="227" t="n"/>
      <c r="S1542" s="227" t="n"/>
      <c r="T1542" s="227" t="n"/>
    </row>
    <row r="1543">
      <c r="A1543" s="145">
        <f>IF($B1543="","",ROW()-5)</f>
        <v/>
      </c>
      <c r="B1543" s="127" t="n"/>
      <c r="C1543" s="223" t="n"/>
      <c r="D1543" s="127" t="n"/>
      <c r="E1543" s="227" t="n"/>
      <c r="F1543" s="227" t="n"/>
      <c r="G1543" s="227" t="n"/>
      <c r="H1543" s="227" t="n"/>
      <c r="I1543" s="227" t="n"/>
      <c r="J1543" s="227" t="n"/>
      <c r="K1543" s="227" t="n"/>
      <c r="L1543" s="227" t="n"/>
      <c r="M1543" s="227" t="n"/>
      <c r="N1543" s="127" t="n"/>
      <c r="O1543" s="227" t="n"/>
      <c r="P1543" s="227" t="n"/>
      <c r="Q1543" s="227" t="n"/>
      <c r="R1543" s="227" t="n"/>
      <c r="S1543" s="227" t="n"/>
      <c r="T1543" s="227" t="n"/>
    </row>
    <row r="1544">
      <c r="A1544" s="145">
        <f>IF($B1544="","",ROW()-5)</f>
        <v/>
      </c>
      <c r="B1544" s="127" t="n"/>
      <c r="C1544" s="223" t="n"/>
      <c r="D1544" s="127" t="n"/>
      <c r="E1544" s="227" t="n"/>
      <c r="F1544" s="227" t="n"/>
      <c r="G1544" s="227" t="n"/>
      <c r="H1544" s="227" t="n"/>
      <c r="I1544" s="227" t="n"/>
      <c r="J1544" s="227" t="n"/>
      <c r="K1544" s="227" t="n"/>
      <c r="L1544" s="227" t="n"/>
      <c r="M1544" s="227" t="n"/>
      <c r="N1544" s="127" t="n"/>
      <c r="O1544" s="227" t="n"/>
      <c r="P1544" s="227" t="n"/>
      <c r="Q1544" s="227" t="n"/>
      <c r="R1544" s="227" t="n"/>
      <c r="S1544" s="227" t="n"/>
      <c r="T1544" s="227" t="n"/>
    </row>
    <row r="1545">
      <c r="A1545" s="145">
        <f>IF($B1545="","",ROW()-5)</f>
        <v/>
      </c>
      <c r="B1545" s="127" t="n"/>
      <c r="C1545" s="223" t="n"/>
      <c r="D1545" s="127" t="n"/>
      <c r="E1545" s="227" t="n"/>
      <c r="F1545" s="227" t="n"/>
      <c r="G1545" s="227" t="n"/>
      <c r="H1545" s="227" t="n"/>
      <c r="I1545" s="227" t="n"/>
      <c r="J1545" s="227" t="n"/>
      <c r="K1545" s="227" t="n"/>
      <c r="L1545" s="227" t="n"/>
      <c r="M1545" s="227" t="n"/>
      <c r="N1545" s="127" t="n"/>
      <c r="O1545" s="227" t="n"/>
      <c r="P1545" s="227" t="n"/>
      <c r="Q1545" s="227" t="n"/>
      <c r="R1545" s="227" t="n"/>
      <c r="S1545" s="227" t="n"/>
      <c r="T1545" s="227" t="n"/>
    </row>
    <row r="1546">
      <c r="A1546" s="145">
        <f>IF($B1546="","",ROW()-5)</f>
        <v/>
      </c>
      <c r="B1546" s="127" t="n"/>
      <c r="C1546" s="223" t="n"/>
      <c r="D1546" s="127" t="n"/>
      <c r="E1546" s="227" t="n"/>
      <c r="F1546" s="227" t="n"/>
      <c r="G1546" s="227" t="n"/>
      <c r="H1546" s="227" t="n"/>
      <c r="I1546" s="227" t="n"/>
      <c r="J1546" s="227" t="n"/>
      <c r="K1546" s="227" t="n"/>
      <c r="L1546" s="227" t="n"/>
      <c r="M1546" s="227" t="n"/>
      <c r="N1546" s="127" t="n"/>
      <c r="O1546" s="227" t="n"/>
      <c r="P1546" s="227" t="n"/>
      <c r="Q1546" s="227" t="n"/>
      <c r="R1546" s="227" t="n"/>
      <c r="S1546" s="227" t="n"/>
      <c r="T1546" s="227" t="n"/>
    </row>
    <row r="1547">
      <c r="A1547" s="145">
        <f>IF($B1547="","",ROW()-5)</f>
        <v/>
      </c>
      <c r="B1547" s="127" t="n"/>
      <c r="C1547" s="223" t="n"/>
      <c r="D1547" s="127" t="n"/>
      <c r="E1547" s="227" t="n"/>
      <c r="F1547" s="227" t="n"/>
      <c r="G1547" s="227" t="n"/>
      <c r="H1547" s="227" t="n"/>
      <c r="I1547" s="227" t="n"/>
      <c r="J1547" s="227" t="n"/>
      <c r="K1547" s="227" t="n"/>
      <c r="L1547" s="227" t="n"/>
      <c r="M1547" s="227" t="n"/>
      <c r="N1547" s="127" t="n"/>
      <c r="O1547" s="227" t="n"/>
      <c r="P1547" s="227" t="n"/>
      <c r="Q1547" s="227" t="n"/>
      <c r="R1547" s="227" t="n"/>
      <c r="S1547" s="227" t="n"/>
      <c r="T1547" s="227" t="n"/>
    </row>
    <row r="1548">
      <c r="A1548" s="145">
        <f>IF($B1548="","",ROW()-5)</f>
        <v/>
      </c>
      <c r="B1548" s="127" t="n"/>
      <c r="C1548" s="223" t="n"/>
      <c r="D1548" s="127" t="n"/>
      <c r="E1548" s="227" t="n"/>
      <c r="F1548" s="227" t="n"/>
      <c r="G1548" s="227" t="n"/>
      <c r="H1548" s="227" t="n"/>
      <c r="I1548" s="227" t="n"/>
      <c r="J1548" s="227" t="n"/>
      <c r="K1548" s="227" t="n"/>
      <c r="L1548" s="227" t="n"/>
      <c r="M1548" s="227" t="n"/>
      <c r="N1548" s="127" t="n"/>
      <c r="O1548" s="227" t="n"/>
      <c r="P1548" s="227" t="n"/>
      <c r="Q1548" s="227" t="n"/>
      <c r="R1548" s="227" t="n"/>
      <c r="S1548" s="227" t="n"/>
      <c r="T1548" s="227" t="n"/>
    </row>
    <row r="1549">
      <c r="A1549" s="145">
        <f>IF($B1549="","",ROW()-5)</f>
        <v/>
      </c>
      <c r="B1549" s="127" t="n"/>
      <c r="C1549" s="223" t="n"/>
      <c r="D1549" s="127" t="n"/>
      <c r="E1549" s="227" t="n"/>
      <c r="F1549" s="227" t="n"/>
      <c r="G1549" s="227" t="n"/>
      <c r="H1549" s="227" t="n"/>
      <c r="I1549" s="227" t="n"/>
      <c r="J1549" s="227" t="n"/>
      <c r="K1549" s="227" t="n"/>
      <c r="L1549" s="227" t="n"/>
      <c r="M1549" s="227" t="n"/>
      <c r="N1549" s="127" t="n"/>
      <c r="O1549" s="227" t="n"/>
      <c r="P1549" s="227" t="n"/>
      <c r="Q1549" s="227" t="n"/>
      <c r="R1549" s="227" t="n"/>
      <c r="S1549" s="227" t="n"/>
      <c r="T1549" s="227" t="n"/>
    </row>
    <row r="1550">
      <c r="A1550" s="145">
        <f>IF($B1550="","",ROW()-5)</f>
        <v/>
      </c>
      <c r="B1550" s="127" t="n"/>
      <c r="C1550" s="223" t="n"/>
      <c r="D1550" s="127" t="n"/>
      <c r="E1550" s="227" t="n"/>
      <c r="F1550" s="227" t="n"/>
      <c r="G1550" s="227" t="n"/>
      <c r="H1550" s="227" t="n"/>
      <c r="I1550" s="227" t="n"/>
      <c r="J1550" s="227" t="n"/>
      <c r="K1550" s="227" t="n"/>
      <c r="L1550" s="227" t="n"/>
      <c r="M1550" s="227" t="n"/>
      <c r="N1550" s="127" t="n"/>
      <c r="O1550" s="227" t="n"/>
      <c r="P1550" s="227" t="n"/>
      <c r="Q1550" s="227" t="n"/>
      <c r="R1550" s="227" t="n"/>
      <c r="S1550" s="227" t="n"/>
      <c r="T1550" s="227" t="n"/>
    </row>
    <row r="1551">
      <c r="A1551" s="145">
        <f>IF($B1551="","",ROW()-5)</f>
        <v/>
      </c>
      <c r="B1551" s="127" t="n"/>
      <c r="C1551" s="223" t="n"/>
      <c r="D1551" s="127" t="n"/>
      <c r="E1551" s="227" t="n"/>
      <c r="F1551" s="227" t="n"/>
      <c r="G1551" s="227" t="n"/>
      <c r="H1551" s="227" t="n"/>
      <c r="I1551" s="227" t="n"/>
      <c r="J1551" s="227" t="n"/>
      <c r="K1551" s="227" t="n"/>
      <c r="L1551" s="227" t="n"/>
      <c r="M1551" s="227" t="n"/>
      <c r="N1551" s="127" t="n"/>
      <c r="O1551" s="227" t="n"/>
      <c r="P1551" s="227" t="n"/>
      <c r="Q1551" s="227" t="n"/>
      <c r="R1551" s="227" t="n"/>
      <c r="S1551" s="227" t="n"/>
      <c r="T1551" s="227" t="n"/>
    </row>
    <row r="1552">
      <c r="A1552" s="145">
        <f>IF($B1552="","",ROW()-5)</f>
        <v/>
      </c>
      <c r="B1552" s="127" t="n"/>
      <c r="C1552" s="223" t="n"/>
      <c r="D1552" s="127" t="n"/>
      <c r="E1552" s="227" t="n"/>
      <c r="F1552" s="227" t="n"/>
      <c r="G1552" s="227" t="n"/>
      <c r="H1552" s="227" t="n"/>
      <c r="I1552" s="227" t="n"/>
      <c r="J1552" s="227" t="n"/>
      <c r="K1552" s="227" t="n"/>
      <c r="L1552" s="227" t="n"/>
      <c r="M1552" s="227" t="n"/>
      <c r="N1552" s="127" t="n"/>
      <c r="O1552" s="227" t="n"/>
      <c r="P1552" s="227" t="n"/>
      <c r="Q1552" s="227" t="n"/>
      <c r="R1552" s="227" t="n"/>
      <c r="S1552" s="227" t="n"/>
      <c r="T1552" s="227" t="n"/>
    </row>
    <row r="1553">
      <c r="A1553" s="145">
        <f>IF($B1553="","",ROW()-5)</f>
        <v/>
      </c>
      <c r="B1553" s="127" t="n"/>
      <c r="C1553" s="223" t="n"/>
      <c r="D1553" s="127" t="n"/>
      <c r="E1553" s="227" t="n"/>
      <c r="F1553" s="227" t="n"/>
      <c r="G1553" s="227" t="n"/>
      <c r="H1553" s="227" t="n"/>
      <c r="I1553" s="227" t="n"/>
      <c r="J1553" s="227" t="n"/>
      <c r="K1553" s="227" t="n"/>
      <c r="L1553" s="227" t="n"/>
      <c r="M1553" s="227" t="n"/>
      <c r="N1553" s="127" t="n"/>
      <c r="O1553" s="227" t="n"/>
      <c r="P1553" s="227" t="n"/>
      <c r="Q1553" s="227" t="n"/>
      <c r="R1553" s="227" t="n"/>
      <c r="S1553" s="227" t="n"/>
      <c r="T1553" s="227" t="n"/>
    </row>
    <row r="1554">
      <c r="A1554" s="145">
        <f>IF($B1554="","",ROW()-5)</f>
        <v/>
      </c>
      <c r="B1554" s="127" t="n"/>
      <c r="C1554" s="223" t="n"/>
      <c r="D1554" s="127" t="n"/>
      <c r="E1554" s="227" t="n"/>
      <c r="F1554" s="227" t="n"/>
      <c r="G1554" s="227" t="n"/>
      <c r="H1554" s="227" t="n"/>
      <c r="I1554" s="227" t="n"/>
      <c r="J1554" s="227" t="n"/>
      <c r="K1554" s="227" t="n"/>
      <c r="L1554" s="227" t="n"/>
      <c r="M1554" s="227" t="n"/>
      <c r="N1554" s="127" t="n"/>
      <c r="O1554" s="227" t="n"/>
      <c r="P1554" s="227" t="n"/>
      <c r="Q1554" s="227" t="n"/>
      <c r="R1554" s="227" t="n"/>
      <c r="S1554" s="227" t="n"/>
      <c r="T1554" s="227" t="n"/>
    </row>
    <row r="1555">
      <c r="A1555" s="145">
        <f>IF($B1555="","",ROW()-5)</f>
        <v/>
      </c>
      <c r="B1555" s="127" t="n"/>
      <c r="C1555" s="223" t="n"/>
      <c r="D1555" s="127" t="n"/>
      <c r="E1555" s="227" t="n"/>
      <c r="F1555" s="227" t="n"/>
      <c r="G1555" s="227" t="n"/>
      <c r="H1555" s="227" t="n"/>
      <c r="I1555" s="227" t="n"/>
      <c r="J1555" s="227" t="n"/>
      <c r="K1555" s="227" t="n"/>
      <c r="L1555" s="227" t="n"/>
      <c r="M1555" s="227" t="n"/>
      <c r="N1555" s="127" t="n"/>
      <c r="O1555" s="227" t="n"/>
      <c r="P1555" s="227" t="n"/>
      <c r="Q1555" s="227" t="n"/>
      <c r="R1555" s="227" t="n"/>
      <c r="S1555" s="227" t="n"/>
      <c r="T1555" s="227" t="n"/>
    </row>
    <row r="1556">
      <c r="A1556" s="145">
        <f>IF($B1556="","",ROW()-5)</f>
        <v/>
      </c>
      <c r="B1556" s="127" t="n"/>
      <c r="C1556" s="223" t="n"/>
      <c r="D1556" s="127" t="n"/>
      <c r="E1556" s="227" t="n"/>
      <c r="F1556" s="227" t="n"/>
      <c r="G1556" s="227" t="n"/>
      <c r="H1556" s="227" t="n"/>
      <c r="I1556" s="227" t="n"/>
      <c r="J1556" s="227" t="n"/>
      <c r="K1556" s="227" t="n"/>
      <c r="L1556" s="227" t="n"/>
      <c r="M1556" s="227" t="n"/>
      <c r="N1556" s="127" t="n"/>
      <c r="O1556" s="227" t="n"/>
      <c r="P1556" s="227" t="n"/>
      <c r="Q1556" s="227" t="n"/>
      <c r="R1556" s="227" t="n"/>
      <c r="S1556" s="227" t="n"/>
      <c r="T1556" s="227" t="n"/>
    </row>
    <row r="1557">
      <c r="A1557" s="145">
        <f>IF($B1557="","",ROW()-5)</f>
        <v/>
      </c>
      <c r="B1557" s="127" t="n"/>
      <c r="C1557" s="223" t="n"/>
      <c r="D1557" s="127" t="n"/>
      <c r="E1557" s="227" t="n"/>
      <c r="F1557" s="227" t="n"/>
      <c r="G1557" s="227" t="n"/>
      <c r="H1557" s="227" t="n"/>
      <c r="I1557" s="227" t="n"/>
      <c r="J1557" s="227" t="n"/>
      <c r="K1557" s="227" t="n"/>
      <c r="L1557" s="227" t="n"/>
      <c r="M1557" s="227" t="n"/>
      <c r="N1557" s="127" t="n"/>
      <c r="O1557" s="227" t="n"/>
      <c r="P1557" s="227" t="n"/>
      <c r="Q1557" s="227" t="n"/>
      <c r="R1557" s="227" t="n"/>
      <c r="S1557" s="227" t="n"/>
      <c r="T1557" s="227" t="n"/>
    </row>
    <row r="1558">
      <c r="A1558" s="145">
        <f>IF($B1558="","",ROW()-5)</f>
        <v/>
      </c>
      <c r="B1558" s="127" t="n"/>
      <c r="C1558" s="223" t="n"/>
      <c r="D1558" s="127" t="n"/>
      <c r="E1558" s="227" t="n"/>
      <c r="F1558" s="227" t="n"/>
      <c r="G1558" s="227" t="n"/>
      <c r="H1558" s="227" t="n"/>
      <c r="I1558" s="227" t="n"/>
      <c r="J1558" s="227" t="n"/>
      <c r="K1558" s="227" t="n"/>
      <c r="L1558" s="227" t="n"/>
      <c r="M1558" s="227" t="n"/>
      <c r="N1558" s="127" t="n"/>
      <c r="O1558" s="227" t="n"/>
      <c r="P1558" s="227" t="n"/>
      <c r="Q1558" s="227" t="n"/>
      <c r="R1558" s="227" t="n"/>
      <c r="S1558" s="227" t="n"/>
      <c r="T1558" s="227" t="n"/>
    </row>
    <row r="1559">
      <c r="A1559" s="145">
        <f>IF($B1559="","",ROW()-5)</f>
        <v/>
      </c>
      <c r="B1559" s="127" t="n"/>
      <c r="C1559" s="223" t="n"/>
      <c r="D1559" s="127" t="n"/>
      <c r="E1559" s="227" t="n"/>
      <c r="F1559" s="227" t="n"/>
      <c r="G1559" s="227" t="n"/>
      <c r="H1559" s="227" t="n"/>
      <c r="I1559" s="227" t="n"/>
      <c r="J1559" s="227" t="n"/>
      <c r="K1559" s="227" t="n"/>
      <c r="L1559" s="227" t="n"/>
      <c r="M1559" s="227" t="n"/>
      <c r="N1559" s="127" t="n"/>
      <c r="O1559" s="227" t="n"/>
      <c r="P1559" s="227" t="n"/>
      <c r="Q1559" s="227" t="n"/>
      <c r="R1559" s="227" t="n"/>
      <c r="S1559" s="227" t="n"/>
      <c r="T1559" s="227" t="n"/>
    </row>
    <row r="1560">
      <c r="A1560" s="145">
        <f>IF($B1560="","",ROW()-5)</f>
        <v/>
      </c>
      <c r="B1560" s="127" t="n"/>
      <c r="C1560" s="223" t="n"/>
      <c r="D1560" s="127" t="n"/>
      <c r="E1560" s="227" t="n"/>
      <c r="F1560" s="227" t="n"/>
      <c r="G1560" s="227" t="n"/>
      <c r="H1560" s="227" t="n"/>
      <c r="I1560" s="227" t="n"/>
      <c r="J1560" s="227" t="n"/>
      <c r="K1560" s="227" t="n"/>
      <c r="L1560" s="227" t="n"/>
      <c r="M1560" s="227" t="n"/>
      <c r="N1560" s="127" t="n"/>
      <c r="O1560" s="227" t="n"/>
      <c r="P1560" s="227" t="n"/>
      <c r="Q1560" s="227" t="n"/>
      <c r="R1560" s="227" t="n"/>
      <c r="S1560" s="227" t="n"/>
      <c r="T1560" s="227" t="n"/>
    </row>
    <row r="1561">
      <c r="A1561" s="145">
        <f>IF($B1561="","",ROW()-5)</f>
        <v/>
      </c>
      <c r="B1561" s="127" t="n"/>
      <c r="C1561" s="223" t="n"/>
      <c r="D1561" s="127" t="n"/>
      <c r="E1561" s="227" t="n"/>
      <c r="F1561" s="227" t="n"/>
      <c r="G1561" s="227" t="n"/>
      <c r="H1561" s="227" t="n"/>
      <c r="I1561" s="227" t="n"/>
      <c r="J1561" s="227" t="n"/>
      <c r="K1561" s="227" t="n"/>
      <c r="L1561" s="227" t="n"/>
      <c r="M1561" s="227" t="n"/>
      <c r="N1561" s="127" t="n"/>
      <c r="O1561" s="227" t="n"/>
      <c r="P1561" s="227" t="n"/>
      <c r="Q1561" s="227" t="n"/>
      <c r="R1561" s="227" t="n"/>
      <c r="S1561" s="227" t="n"/>
      <c r="T1561" s="227" t="n"/>
    </row>
    <row r="1562">
      <c r="A1562" s="145">
        <f>IF($B1562="","",ROW()-5)</f>
        <v/>
      </c>
      <c r="B1562" s="127" t="n"/>
      <c r="C1562" s="223" t="n"/>
      <c r="D1562" s="127" t="n"/>
      <c r="E1562" s="227" t="n"/>
      <c r="F1562" s="227" t="n"/>
      <c r="G1562" s="227" t="n"/>
      <c r="H1562" s="227" t="n"/>
      <c r="I1562" s="227" t="n"/>
      <c r="J1562" s="227" t="n"/>
      <c r="K1562" s="227" t="n"/>
      <c r="L1562" s="227" t="n"/>
      <c r="M1562" s="227" t="n"/>
      <c r="N1562" s="127" t="n"/>
      <c r="O1562" s="227" t="n"/>
      <c r="P1562" s="227" t="n"/>
      <c r="Q1562" s="227" t="n"/>
      <c r="R1562" s="227" t="n"/>
      <c r="S1562" s="227" t="n"/>
      <c r="T1562" s="227" t="n"/>
    </row>
    <row r="1563">
      <c r="A1563" s="145">
        <f>IF($B1563="","",ROW()-5)</f>
        <v/>
      </c>
      <c r="B1563" s="127" t="n"/>
      <c r="C1563" s="223" t="n"/>
      <c r="D1563" s="127" t="n"/>
      <c r="E1563" s="227" t="n"/>
      <c r="F1563" s="227" t="n"/>
      <c r="G1563" s="227" t="n"/>
      <c r="H1563" s="227" t="n"/>
      <c r="I1563" s="227" t="n"/>
      <c r="J1563" s="227" t="n"/>
      <c r="K1563" s="227" t="n"/>
      <c r="L1563" s="227" t="n"/>
      <c r="M1563" s="227" t="n"/>
      <c r="N1563" s="127" t="n"/>
      <c r="O1563" s="227" t="n"/>
      <c r="P1563" s="227" t="n"/>
      <c r="Q1563" s="227" t="n"/>
      <c r="R1563" s="227" t="n"/>
      <c r="S1563" s="227" t="n"/>
      <c r="T1563" s="227" t="n"/>
    </row>
    <row r="1564">
      <c r="A1564" s="145">
        <f>IF($B1564="","",ROW()-5)</f>
        <v/>
      </c>
      <c r="B1564" s="127" t="n"/>
      <c r="C1564" s="223" t="n"/>
      <c r="D1564" s="127" t="n"/>
      <c r="E1564" s="227" t="n"/>
      <c r="F1564" s="227" t="n"/>
      <c r="G1564" s="227" t="n"/>
      <c r="H1564" s="227" t="n"/>
      <c r="I1564" s="227" t="n"/>
      <c r="J1564" s="227" t="n"/>
      <c r="K1564" s="227" t="n"/>
      <c r="L1564" s="227" t="n"/>
      <c r="M1564" s="227" t="n"/>
      <c r="N1564" s="127" t="n"/>
      <c r="O1564" s="227" t="n"/>
      <c r="P1564" s="227" t="n"/>
      <c r="Q1564" s="227" t="n"/>
      <c r="R1564" s="227" t="n"/>
      <c r="S1564" s="227" t="n"/>
      <c r="T1564" s="227" t="n"/>
    </row>
    <row r="1565">
      <c r="A1565" s="145">
        <f>IF($B1565="","",ROW()-5)</f>
        <v/>
      </c>
      <c r="B1565" s="127" t="n"/>
      <c r="C1565" s="223" t="n"/>
      <c r="D1565" s="127" t="n"/>
      <c r="E1565" s="227" t="n"/>
      <c r="F1565" s="227" t="n"/>
      <c r="G1565" s="227" t="n"/>
      <c r="H1565" s="227" t="n"/>
      <c r="I1565" s="227" t="n"/>
      <c r="J1565" s="227" t="n"/>
      <c r="K1565" s="227" t="n"/>
      <c r="L1565" s="227" t="n"/>
      <c r="M1565" s="227" t="n"/>
      <c r="N1565" s="127" t="n"/>
      <c r="O1565" s="227" t="n"/>
      <c r="P1565" s="227" t="n"/>
      <c r="Q1565" s="227" t="n"/>
      <c r="R1565" s="227" t="n"/>
      <c r="S1565" s="227" t="n"/>
      <c r="T1565" s="227" t="n"/>
    </row>
    <row r="1566">
      <c r="A1566" s="145">
        <f>IF($B1566="","",ROW()-5)</f>
        <v/>
      </c>
      <c r="B1566" s="127" t="n"/>
      <c r="C1566" s="223" t="n"/>
      <c r="D1566" s="127" t="n"/>
      <c r="E1566" s="227" t="n"/>
      <c r="F1566" s="227" t="n"/>
      <c r="G1566" s="227" t="n"/>
      <c r="H1566" s="227" t="n"/>
      <c r="I1566" s="227" t="n"/>
      <c r="J1566" s="227" t="n"/>
      <c r="K1566" s="227" t="n"/>
      <c r="L1566" s="227" t="n"/>
      <c r="M1566" s="227" t="n"/>
      <c r="N1566" s="127" t="n"/>
      <c r="O1566" s="227" t="n"/>
      <c r="P1566" s="227" t="n"/>
      <c r="Q1566" s="227" t="n"/>
      <c r="R1566" s="227" t="n"/>
      <c r="S1566" s="227" t="n"/>
      <c r="T1566" s="227" t="n"/>
    </row>
    <row r="1567">
      <c r="A1567" s="145">
        <f>IF($B1567="","",ROW()-5)</f>
        <v/>
      </c>
      <c r="B1567" s="127" t="n"/>
      <c r="C1567" s="223" t="n"/>
      <c r="D1567" s="127" t="n"/>
      <c r="E1567" s="227" t="n"/>
      <c r="F1567" s="227" t="n"/>
      <c r="G1567" s="227" t="n"/>
      <c r="H1567" s="227" t="n"/>
      <c r="I1567" s="227" t="n"/>
      <c r="J1567" s="227" t="n"/>
      <c r="K1567" s="227" t="n"/>
      <c r="L1567" s="227" t="n"/>
      <c r="M1567" s="227" t="n"/>
      <c r="N1567" s="127" t="n"/>
      <c r="O1567" s="227" t="n"/>
      <c r="P1567" s="227" t="n"/>
      <c r="Q1567" s="227" t="n"/>
      <c r="R1567" s="227" t="n"/>
      <c r="S1567" s="227" t="n"/>
      <c r="T1567" s="227" t="n"/>
    </row>
    <row r="1568">
      <c r="A1568" s="145">
        <f>IF($B1568="","",ROW()-5)</f>
        <v/>
      </c>
      <c r="B1568" s="127" t="n"/>
      <c r="C1568" s="223" t="n"/>
      <c r="D1568" s="127" t="n"/>
      <c r="E1568" s="227" t="n"/>
      <c r="F1568" s="227" t="n"/>
      <c r="G1568" s="227" t="n"/>
      <c r="H1568" s="227" t="n"/>
      <c r="I1568" s="227" t="n"/>
      <c r="J1568" s="227" t="n"/>
      <c r="K1568" s="227" t="n"/>
      <c r="L1568" s="227" t="n"/>
      <c r="M1568" s="227" t="n"/>
      <c r="N1568" s="127" t="n"/>
      <c r="O1568" s="227" t="n"/>
      <c r="P1568" s="227" t="n"/>
      <c r="Q1568" s="227" t="n"/>
      <c r="R1568" s="227" t="n"/>
      <c r="S1568" s="227" t="n"/>
      <c r="T1568" s="227" t="n"/>
    </row>
    <row r="1569">
      <c r="A1569" s="145">
        <f>IF($B1569="","",ROW()-5)</f>
        <v/>
      </c>
      <c r="B1569" s="127" t="n"/>
      <c r="C1569" s="223" t="n"/>
      <c r="D1569" s="127" t="n"/>
      <c r="E1569" s="227" t="n"/>
      <c r="F1569" s="227" t="n"/>
      <c r="G1569" s="227" t="n"/>
      <c r="H1569" s="227" t="n"/>
      <c r="I1569" s="227" t="n"/>
      <c r="J1569" s="227" t="n"/>
      <c r="K1569" s="227" t="n"/>
      <c r="L1569" s="227" t="n"/>
      <c r="M1569" s="227" t="n"/>
      <c r="N1569" s="127" t="n"/>
      <c r="O1569" s="227" t="n"/>
      <c r="P1569" s="227" t="n"/>
      <c r="Q1569" s="227" t="n"/>
      <c r="R1569" s="227" t="n"/>
      <c r="S1569" s="227" t="n"/>
      <c r="T1569" s="227" t="n"/>
    </row>
    <row r="1570">
      <c r="A1570" s="145">
        <f>IF($B1570="","",ROW()-5)</f>
        <v/>
      </c>
      <c r="B1570" s="127" t="n"/>
      <c r="C1570" s="223" t="n"/>
      <c r="D1570" s="127" t="n"/>
      <c r="E1570" s="227" t="n"/>
      <c r="F1570" s="227" t="n"/>
      <c r="G1570" s="227" t="n"/>
      <c r="H1570" s="227" t="n"/>
      <c r="I1570" s="227" t="n"/>
      <c r="J1570" s="227" t="n"/>
      <c r="K1570" s="227" t="n"/>
      <c r="L1570" s="227" t="n"/>
      <c r="M1570" s="227" t="n"/>
      <c r="N1570" s="127" t="n"/>
      <c r="O1570" s="227" t="n"/>
      <c r="P1570" s="227" t="n"/>
      <c r="Q1570" s="227" t="n"/>
      <c r="R1570" s="227" t="n"/>
      <c r="S1570" s="227" t="n"/>
      <c r="T1570" s="227" t="n"/>
    </row>
    <row r="1571">
      <c r="A1571" s="145">
        <f>IF($B1571="","",ROW()-5)</f>
        <v/>
      </c>
      <c r="B1571" s="127" t="n"/>
      <c r="C1571" s="223" t="n"/>
      <c r="D1571" s="127" t="n"/>
      <c r="E1571" s="227" t="n"/>
      <c r="F1571" s="227" t="n"/>
      <c r="G1571" s="227" t="n"/>
      <c r="H1571" s="227" t="n"/>
      <c r="I1571" s="227" t="n"/>
      <c r="J1571" s="227" t="n"/>
      <c r="K1571" s="227" t="n"/>
      <c r="L1571" s="227" t="n"/>
      <c r="M1571" s="227" t="n"/>
      <c r="N1571" s="127" t="n"/>
      <c r="O1571" s="227" t="n"/>
      <c r="P1571" s="227" t="n"/>
      <c r="Q1571" s="227" t="n"/>
      <c r="R1571" s="227" t="n"/>
      <c r="S1571" s="227" t="n"/>
      <c r="T1571" s="227" t="n"/>
    </row>
    <row r="1572">
      <c r="A1572" s="145">
        <f>IF($B1572="","",ROW()-5)</f>
        <v/>
      </c>
      <c r="B1572" s="127" t="n"/>
      <c r="C1572" s="223" t="n"/>
      <c r="D1572" s="127" t="n"/>
      <c r="E1572" s="227" t="n"/>
      <c r="F1572" s="227" t="n"/>
      <c r="G1572" s="227" t="n"/>
      <c r="H1572" s="227" t="n"/>
      <c r="I1572" s="227" t="n"/>
      <c r="J1572" s="227" t="n"/>
      <c r="K1572" s="227" t="n"/>
      <c r="L1572" s="227" t="n"/>
      <c r="M1572" s="227" t="n"/>
      <c r="N1572" s="127" t="n"/>
      <c r="O1572" s="227" t="n"/>
      <c r="P1572" s="227" t="n"/>
      <c r="Q1572" s="227" t="n"/>
      <c r="R1572" s="227" t="n"/>
      <c r="S1572" s="227" t="n"/>
      <c r="T1572" s="227" t="n"/>
    </row>
    <row r="1573">
      <c r="A1573" s="145">
        <f>IF($B1573="","",ROW()-5)</f>
        <v/>
      </c>
      <c r="B1573" s="127" t="n"/>
      <c r="C1573" s="223" t="n"/>
      <c r="D1573" s="127" t="n"/>
      <c r="E1573" s="227" t="n"/>
      <c r="F1573" s="227" t="n"/>
      <c r="G1573" s="227" t="n"/>
      <c r="H1573" s="227" t="n"/>
      <c r="I1573" s="227" t="n"/>
      <c r="J1573" s="227" t="n"/>
      <c r="K1573" s="227" t="n"/>
      <c r="L1573" s="227" t="n"/>
      <c r="M1573" s="227" t="n"/>
      <c r="N1573" s="127" t="n"/>
      <c r="O1573" s="227" t="n"/>
      <c r="P1573" s="227" t="n"/>
      <c r="Q1573" s="227" t="n"/>
      <c r="R1573" s="227" t="n"/>
      <c r="S1573" s="227" t="n"/>
      <c r="T1573" s="227" t="n"/>
    </row>
    <row r="1574">
      <c r="A1574" s="145">
        <f>IF($B1574="","",ROW()-5)</f>
        <v/>
      </c>
      <c r="B1574" s="127" t="n"/>
      <c r="C1574" s="223" t="n"/>
      <c r="D1574" s="127" t="n"/>
      <c r="E1574" s="227" t="n"/>
      <c r="F1574" s="227" t="n"/>
      <c r="G1574" s="227" t="n"/>
      <c r="H1574" s="227" t="n"/>
      <c r="I1574" s="227" t="n"/>
      <c r="J1574" s="227" t="n"/>
      <c r="K1574" s="227" t="n"/>
      <c r="L1574" s="227" t="n"/>
      <c r="M1574" s="227" t="n"/>
      <c r="N1574" s="127" t="n"/>
      <c r="O1574" s="227" t="n"/>
      <c r="P1574" s="227" t="n"/>
      <c r="Q1574" s="227" t="n"/>
      <c r="R1574" s="227" t="n"/>
      <c r="S1574" s="227" t="n"/>
      <c r="T1574" s="227" t="n"/>
    </row>
    <row r="1575">
      <c r="A1575" s="145">
        <f>IF($B1575="","",ROW()-5)</f>
        <v/>
      </c>
      <c r="B1575" s="127" t="n"/>
      <c r="C1575" s="223" t="n"/>
      <c r="D1575" s="127" t="n"/>
      <c r="E1575" s="227" t="n"/>
      <c r="F1575" s="227" t="n"/>
      <c r="G1575" s="227" t="n"/>
      <c r="H1575" s="227" t="n"/>
      <c r="I1575" s="227" t="n"/>
      <c r="J1575" s="227" t="n"/>
      <c r="K1575" s="227" t="n"/>
      <c r="L1575" s="227" t="n"/>
      <c r="M1575" s="227" t="n"/>
      <c r="N1575" s="127" t="n"/>
      <c r="O1575" s="227" t="n"/>
      <c r="P1575" s="227" t="n"/>
      <c r="Q1575" s="227" t="n"/>
      <c r="R1575" s="227" t="n"/>
      <c r="S1575" s="227" t="n"/>
      <c r="T1575" s="227" t="n"/>
    </row>
    <row r="1576">
      <c r="A1576" s="145">
        <f>IF($B1576="","",ROW()-5)</f>
        <v/>
      </c>
      <c r="B1576" s="127" t="n"/>
      <c r="C1576" s="223" t="n"/>
      <c r="D1576" s="127" t="n"/>
      <c r="E1576" s="227" t="n"/>
      <c r="F1576" s="227" t="n"/>
      <c r="G1576" s="227" t="n"/>
      <c r="H1576" s="227" t="n"/>
      <c r="I1576" s="227" t="n"/>
      <c r="J1576" s="227" t="n"/>
      <c r="K1576" s="227" t="n"/>
      <c r="L1576" s="227" t="n"/>
      <c r="M1576" s="227" t="n"/>
      <c r="N1576" s="127" t="n"/>
      <c r="O1576" s="227" t="n"/>
      <c r="P1576" s="227" t="n"/>
      <c r="Q1576" s="227" t="n"/>
      <c r="R1576" s="227" t="n"/>
      <c r="S1576" s="227" t="n"/>
      <c r="T1576" s="227" t="n"/>
    </row>
    <row r="1577">
      <c r="A1577" s="145">
        <f>IF($B1577="","",ROW()-5)</f>
        <v/>
      </c>
      <c r="B1577" s="127" t="n"/>
      <c r="C1577" s="223" t="n"/>
      <c r="D1577" s="127" t="n"/>
      <c r="E1577" s="227" t="n"/>
      <c r="F1577" s="227" t="n"/>
      <c r="G1577" s="227" t="n"/>
      <c r="H1577" s="227" t="n"/>
      <c r="I1577" s="227" t="n"/>
      <c r="J1577" s="227" t="n"/>
      <c r="K1577" s="227" t="n"/>
      <c r="L1577" s="227" t="n"/>
      <c r="M1577" s="227" t="n"/>
      <c r="N1577" s="127" t="n"/>
      <c r="O1577" s="227" t="n"/>
      <c r="P1577" s="227" t="n"/>
      <c r="Q1577" s="227" t="n"/>
      <c r="R1577" s="227" t="n"/>
      <c r="S1577" s="227" t="n"/>
      <c r="T1577" s="227" t="n"/>
    </row>
    <row r="1578">
      <c r="A1578" s="145">
        <f>IF($B1578="","",ROW()-5)</f>
        <v/>
      </c>
      <c r="B1578" s="127" t="n"/>
      <c r="C1578" s="223" t="n"/>
      <c r="D1578" s="127" t="n"/>
      <c r="E1578" s="227" t="n"/>
      <c r="F1578" s="227" t="n"/>
      <c r="G1578" s="227" t="n"/>
      <c r="H1578" s="227" t="n"/>
      <c r="I1578" s="227" t="n"/>
      <c r="J1578" s="227" t="n"/>
      <c r="K1578" s="227" t="n"/>
      <c r="L1578" s="227" t="n"/>
      <c r="M1578" s="227" t="n"/>
      <c r="N1578" s="127" t="n"/>
      <c r="O1578" s="227" t="n"/>
      <c r="P1578" s="227" t="n"/>
      <c r="Q1578" s="227" t="n"/>
      <c r="R1578" s="227" t="n"/>
      <c r="S1578" s="227" t="n"/>
      <c r="T1578" s="227" t="n"/>
    </row>
    <row r="1579">
      <c r="A1579" s="145">
        <f>IF($B1579="","",ROW()-5)</f>
        <v/>
      </c>
      <c r="B1579" s="127" t="n"/>
      <c r="C1579" s="223" t="n"/>
      <c r="D1579" s="127" t="n"/>
      <c r="E1579" s="227" t="n"/>
      <c r="F1579" s="227" t="n"/>
      <c r="G1579" s="227" t="n"/>
      <c r="H1579" s="227" t="n"/>
      <c r="I1579" s="227" t="n"/>
      <c r="J1579" s="227" t="n"/>
      <c r="K1579" s="227" t="n"/>
      <c r="L1579" s="227" t="n"/>
      <c r="M1579" s="227" t="n"/>
      <c r="N1579" s="127" t="n"/>
      <c r="O1579" s="227" t="n"/>
      <c r="P1579" s="227" t="n"/>
      <c r="Q1579" s="227" t="n"/>
      <c r="R1579" s="227" t="n"/>
      <c r="S1579" s="227" t="n"/>
      <c r="T1579" s="227" t="n"/>
    </row>
    <row r="1580">
      <c r="A1580" s="145">
        <f>IF($B1580="","",ROW()-5)</f>
        <v/>
      </c>
      <c r="B1580" s="127" t="n"/>
      <c r="C1580" s="223" t="n"/>
      <c r="D1580" s="127" t="n"/>
      <c r="E1580" s="227" t="n"/>
      <c r="F1580" s="227" t="n"/>
      <c r="G1580" s="227" t="n"/>
      <c r="H1580" s="227" t="n"/>
      <c r="I1580" s="227" t="n"/>
      <c r="J1580" s="227" t="n"/>
      <c r="K1580" s="227" t="n"/>
      <c r="L1580" s="227" t="n"/>
      <c r="M1580" s="227" t="n"/>
      <c r="N1580" s="127" t="n"/>
      <c r="O1580" s="227" t="n"/>
      <c r="P1580" s="227" t="n"/>
      <c r="Q1580" s="227" t="n"/>
      <c r="R1580" s="227" t="n"/>
      <c r="S1580" s="227" t="n"/>
      <c r="T1580" s="227" t="n"/>
    </row>
    <row r="1581">
      <c r="A1581" s="145">
        <f>IF($B1581="","",ROW()-5)</f>
        <v/>
      </c>
      <c r="B1581" s="127" t="n"/>
      <c r="C1581" s="223" t="n"/>
      <c r="D1581" s="127" t="n"/>
      <c r="E1581" s="227" t="n"/>
      <c r="F1581" s="227" t="n"/>
      <c r="G1581" s="227" t="n"/>
      <c r="H1581" s="227" t="n"/>
      <c r="I1581" s="227" t="n"/>
      <c r="J1581" s="227" t="n"/>
      <c r="K1581" s="227" t="n"/>
      <c r="L1581" s="227" t="n"/>
      <c r="M1581" s="227" t="n"/>
      <c r="N1581" s="127" t="n"/>
      <c r="O1581" s="227" t="n"/>
      <c r="P1581" s="227" t="n"/>
      <c r="Q1581" s="227" t="n"/>
      <c r="R1581" s="227" t="n"/>
      <c r="S1581" s="227" t="n"/>
      <c r="T1581" s="227" t="n"/>
    </row>
    <row r="1582">
      <c r="A1582" s="145">
        <f>IF($B1582="","",ROW()-5)</f>
        <v/>
      </c>
      <c r="B1582" s="127" t="n"/>
      <c r="C1582" s="223" t="n"/>
      <c r="D1582" s="127" t="n"/>
      <c r="E1582" s="227" t="n"/>
      <c r="F1582" s="227" t="n"/>
      <c r="G1582" s="227" t="n"/>
      <c r="H1582" s="227" t="n"/>
      <c r="I1582" s="227" t="n"/>
      <c r="J1582" s="227" t="n"/>
      <c r="K1582" s="227" t="n"/>
      <c r="L1582" s="227" t="n"/>
      <c r="M1582" s="227" t="n"/>
      <c r="N1582" s="127" t="n"/>
      <c r="O1582" s="227" t="n"/>
      <c r="P1582" s="227" t="n"/>
      <c r="Q1582" s="227" t="n"/>
      <c r="R1582" s="227" t="n"/>
      <c r="S1582" s="227" t="n"/>
      <c r="T1582" s="227" t="n"/>
    </row>
    <row r="1583">
      <c r="A1583" s="145">
        <f>IF($B1583="","",ROW()-5)</f>
        <v/>
      </c>
      <c r="B1583" s="127" t="n"/>
      <c r="C1583" s="223" t="n"/>
      <c r="D1583" s="127" t="n"/>
      <c r="E1583" s="227" t="n"/>
      <c r="F1583" s="227" t="n"/>
      <c r="G1583" s="227" t="n"/>
      <c r="H1583" s="227" t="n"/>
      <c r="I1583" s="227" t="n"/>
      <c r="J1583" s="227" t="n"/>
      <c r="K1583" s="227" t="n"/>
      <c r="L1583" s="227" t="n"/>
      <c r="M1583" s="227" t="n"/>
      <c r="N1583" s="127" t="n"/>
      <c r="O1583" s="227" t="n"/>
      <c r="P1583" s="227" t="n"/>
      <c r="Q1583" s="227" t="n"/>
      <c r="R1583" s="227" t="n"/>
      <c r="S1583" s="227" t="n"/>
      <c r="T1583" s="227" t="n"/>
    </row>
    <row r="1584">
      <c r="A1584" s="145">
        <f>IF($B1584="","",ROW()-5)</f>
        <v/>
      </c>
      <c r="B1584" s="127" t="n"/>
      <c r="C1584" s="223" t="n"/>
      <c r="D1584" s="127" t="n"/>
      <c r="E1584" s="227" t="n"/>
      <c r="F1584" s="227" t="n"/>
      <c r="G1584" s="227" t="n"/>
      <c r="H1584" s="227" t="n"/>
      <c r="I1584" s="227" t="n"/>
      <c r="J1584" s="227" t="n"/>
      <c r="K1584" s="227" t="n"/>
      <c r="L1584" s="227" t="n"/>
      <c r="M1584" s="227" t="n"/>
      <c r="N1584" s="127" t="n"/>
      <c r="O1584" s="227" t="n"/>
      <c r="P1584" s="227" t="n"/>
      <c r="Q1584" s="227" t="n"/>
      <c r="R1584" s="227" t="n"/>
      <c r="S1584" s="227" t="n"/>
      <c r="T1584" s="227" t="n"/>
    </row>
    <row r="1585">
      <c r="A1585" s="145">
        <f>IF($B1585="","",ROW()-5)</f>
        <v/>
      </c>
      <c r="B1585" s="127" t="n"/>
      <c r="C1585" s="223" t="n"/>
      <c r="D1585" s="127" t="n"/>
      <c r="E1585" s="227" t="n"/>
      <c r="F1585" s="227" t="n"/>
      <c r="G1585" s="227" t="n"/>
      <c r="H1585" s="227" t="n"/>
      <c r="I1585" s="227" t="n"/>
      <c r="J1585" s="227" t="n"/>
      <c r="K1585" s="227" t="n"/>
      <c r="L1585" s="227" t="n"/>
      <c r="M1585" s="227" t="n"/>
      <c r="N1585" s="127" t="n"/>
      <c r="O1585" s="227" t="n"/>
      <c r="P1585" s="227" t="n"/>
      <c r="Q1585" s="227" t="n"/>
      <c r="R1585" s="227" t="n"/>
      <c r="S1585" s="227" t="n"/>
      <c r="T1585" s="227" t="n"/>
    </row>
    <row r="1586">
      <c r="A1586" s="145">
        <f>IF($B1586="","",ROW()-5)</f>
        <v/>
      </c>
      <c r="B1586" s="127" t="n"/>
      <c r="C1586" s="223" t="n"/>
      <c r="D1586" s="127" t="n"/>
      <c r="E1586" s="227" t="n"/>
      <c r="F1586" s="227" t="n"/>
      <c r="G1586" s="227" t="n"/>
      <c r="H1586" s="227" t="n"/>
      <c r="I1586" s="227" t="n"/>
      <c r="J1586" s="227" t="n"/>
      <c r="K1586" s="227" t="n"/>
      <c r="L1586" s="227" t="n"/>
      <c r="M1586" s="227" t="n"/>
      <c r="N1586" s="127" t="n"/>
      <c r="O1586" s="227" t="n"/>
      <c r="P1586" s="227" t="n"/>
      <c r="Q1586" s="227" t="n"/>
      <c r="R1586" s="227" t="n"/>
      <c r="S1586" s="227" t="n"/>
      <c r="T1586" s="227" t="n"/>
    </row>
    <row r="1587">
      <c r="A1587" s="145">
        <f>IF($B1587="","",ROW()-5)</f>
        <v/>
      </c>
      <c r="B1587" s="127" t="n"/>
      <c r="C1587" s="223" t="n"/>
      <c r="D1587" s="127" t="n"/>
      <c r="E1587" s="227" t="n"/>
      <c r="F1587" s="227" t="n"/>
      <c r="G1587" s="227" t="n"/>
      <c r="H1587" s="227" t="n"/>
      <c r="I1587" s="227" t="n"/>
      <c r="J1587" s="227" t="n"/>
      <c r="K1587" s="227" t="n"/>
      <c r="L1587" s="227" t="n"/>
      <c r="M1587" s="227" t="n"/>
      <c r="N1587" s="127" t="n"/>
      <c r="O1587" s="227" t="n"/>
      <c r="P1587" s="227" t="n"/>
      <c r="Q1587" s="227" t="n"/>
      <c r="R1587" s="227" t="n"/>
      <c r="S1587" s="227" t="n"/>
      <c r="T1587" s="227" t="n"/>
    </row>
    <row r="1588">
      <c r="A1588" s="145">
        <f>IF($B1588="","",ROW()-5)</f>
        <v/>
      </c>
      <c r="B1588" s="127" t="n"/>
      <c r="C1588" s="223" t="n"/>
      <c r="D1588" s="127" t="n"/>
      <c r="E1588" s="227" t="n"/>
      <c r="F1588" s="227" t="n"/>
      <c r="G1588" s="227" t="n"/>
      <c r="H1588" s="227" t="n"/>
      <c r="I1588" s="227" t="n"/>
      <c r="J1588" s="227" t="n"/>
      <c r="K1588" s="227" t="n"/>
      <c r="L1588" s="227" t="n"/>
      <c r="M1588" s="227" t="n"/>
      <c r="N1588" s="127" t="n"/>
      <c r="O1588" s="227" t="n"/>
      <c r="P1588" s="227" t="n"/>
      <c r="Q1588" s="227" t="n"/>
      <c r="R1588" s="227" t="n"/>
      <c r="S1588" s="227" t="n"/>
      <c r="T1588" s="227" t="n"/>
    </row>
    <row r="1589">
      <c r="A1589" s="145">
        <f>IF($B1589="","",ROW()-5)</f>
        <v/>
      </c>
      <c r="B1589" s="127" t="n"/>
      <c r="C1589" s="223" t="n"/>
      <c r="D1589" s="127" t="n"/>
      <c r="E1589" s="227" t="n"/>
      <c r="F1589" s="227" t="n"/>
      <c r="G1589" s="227" t="n"/>
      <c r="H1589" s="227" t="n"/>
      <c r="I1589" s="227" t="n"/>
      <c r="J1589" s="227" t="n"/>
      <c r="K1589" s="227" t="n"/>
      <c r="L1589" s="227" t="n"/>
      <c r="M1589" s="227" t="n"/>
      <c r="N1589" s="127" t="n"/>
      <c r="O1589" s="227" t="n"/>
      <c r="P1589" s="227" t="n"/>
      <c r="Q1589" s="227" t="n"/>
      <c r="R1589" s="227" t="n"/>
      <c r="S1589" s="227" t="n"/>
      <c r="T1589" s="227" t="n"/>
    </row>
    <row r="1590">
      <c r="A1590" s="145">
        <f>IF($B1590="","",ROW()-5)</f>
        <v/>
      </c>
      <c r="B1590" s="127" t="n"/>
      <c r="C1590" s="223" t="n"/>
      <c r="D1590" s="127" t="n"/>
      <c r="E1590" s="227" t="n"/>
      <c r="F1590" s="227" t="n"/>
      <c r="G1590" s="227" t="n"/>
      <c r="H1590" s="227" t="n"/>
      <c r="I1590" s="227" t="n"/>
      <c r="J1590" s="227" t="n"/>
      <c r="K1590" s="227" t="n"/>
      <c r="L1590" s="227" t="n"/>
      <c r="M1590" s="227" t="n"/>
      <c r="N1590" s="127" t="n"/>
      <c r="O1590" s="227" t="n"/>
      <c r="P1590" s="227" t="n"/>
      <c r="Q1590" s="227" t="n"/>
      <c r="R1590" s="227" t="n"/>
      <c r="S1590" s="227" t="n"/>
      <c r="T1590" s="227" t="n"/>
    </row>
    <row r="1591">
      <c r="A1591" s="145">
        <f>IF($B1591="","",ROW()-5)</f>
        <v/>
      </c>
      <c r="B1591" s="127" t="n"/>
      <c r="C1591" s="223" t="n"/>
      <c r="D1591" s="127" t="n"/>
      <c r="E1591" s="227" t="n"/>
      <c r="F1591" s="227" t="n"/>
      <c r="G1591" s="227" t="n"/>
      <c r="H1591" s="227" t="n"/>
      <c r="I1591" s="227" t="n"/>
      <c r="J1591" s="227" t="n"/>
      <c r="K1591" s="227" t="n"/>
      <c r="L1591" s="227" t="n"/>
      <c r="M1591" s="227" t="n"/>
      <c r="N1591" s="127" t="n"/>
      <c r="O1591" s="227" t="n"/>
      <c r="P1591" s="227" t="n"/>
      <c r="Q1591" s="227" t="n"/>
      <c r="R1591" s="227" t="n"/>
      <c r="S1591" s="227" t="n"/>
      <c r="T1591" s="227" t="n"/>
    </row>
    <row r="1592">
      <c r="A1592" s="145">
        <f>IF($B1592="","",ROW()-5)</f>
        <v/>
      </c>
      <c r="B1592" s="127" t="n"/>
      <c r="C1592" s="223" t="n"/>
      <c r="D1592" s="127" t="n"/>
      <c r="E1592" s="227" t="n"/>
      <c r="F1592" s="227" t="n"/>
      <c r="G1592" s="227" t="n"/>
      <c r="H1592" s="227" t="n"/>
      <c r="I1592" s="227" t="n"/>
      <c r="J1592" s="227" t="n"/>
      <c r="K1592" s="227" t="n"/>
      <c r="L1592" s="227" t="n"/>
      <c r="M1592" s="227" t="n"/>
      <c r="N1592" s="127" t="n"/>
      <c r="O1592" s="227" t="n"/>
      <c r="P1592" s="227" t="n"/>
      <c r="Q1592" s="227" t="n"/>
      <c r="R1592" s="227" t="n"/>
      <c r="S1592" s="227" t="n"/>
      <c r="T1592" s="227" t="n"/>
    </row>
    <row r="1593">
      <c r="A1593" s="145">
        <f>IF($B1593="","",ROW()-5)</f>
        <v/>
      </c>
      <c r="B1593" s="127" t="n"/>
      <c r="C1593" s="223" t="n"/>
      <c r="D1593" s="127" t="n"/>
      <c r="E1593" s="227" t="n"/>
      <c r="F1593" s="227" t="n"/>
      <c r="G1593" s="227" t="n"/>
      <c r="H1593" s="227" t="n"/>
      <c r="I1593" s="227" t="n"/>
      <c r="J1593" s="227" t="n"/>
      <c r="K1593" s="227" t="n"/>
      <c r="L1593" s="227" t="n"/>
      <c r="M1593" s="227" t="n"/>
      <c r="N1593" s="127" t="n"/>
      <c r="O1593" s="227" t="n"/>
      <c r="P1593" s="227" t="n"/>
      <c r="Q1593" s="227" t="n"/>
      <c r="R1593" s="227" t="n"/>
      <c r="S1593" s="227" t="n"/>
      <c r="T1593" s="227" t="n"/>
    </row>
    <row r="1594">
      <c r="A1594" s="145">
        <f>IF($B1594="","",ROW()-5)</f>
        <v/>
      </c>
      <c r="B1594" s="127" t="n"/>
      <c r="C1594" s="223" t="n"/>
      <c r="D1594" s="127" t="n"/>
      <c r="E1594" s="227" t="n"/>
      <c r="F1594" s="227" t="n"/>
      <c r="G1594" s="227" t="n"/>
      <c r="H1594" s="227" t="n"/>
      <c r="I1594" s="227" t="n"/>
      <c r="J1594" s="227" t="n"/>
      <c r="K1594" s="227" t="n"/>
      <c r="L1594" s="227" t="n"/>
      <c r="M1594" s="227" t="n"/>
      <c r="N1594" s="127" t="n"/>
      <c r="O1594" s="227" t="n"/>
      <c r="P1594" s="227" t="n"/>
      <c r="Q1594" s="227" t="n"/>
      <c r="R1594" s="227" t="n"/>
      <c r="S1594" s="227" t="n"/>
      <c r="T1594" s="227" t="n"/>
    </row>
    <row r="1595">
      <c r="A1595" s="145">
        <f>IF($B1595="","",ROW()-5)</f>
        <v/>
      </c>
      <c r="B1595" s="127" t="n"/>
      <c r="C1595" s="223" t="n"/>
      <c r="D1595" s="127" t="n"/>
      <c r="E1595" s="227" t="n"/>
      <c r="F1595" s="227" t="n"/>
      <c r="G1595" s="227" t="n"/>
      <c r="H1595" s="227" t="n"/>
      <c r="I1595" s="227" t="n"/>
      <c r="J1595" s="227" t="n"/>
      <c r="K1595" s="227" t="n"/>
      <c r="L1595" s="227" t="n"/>
      <c r="M1595" s="227" t="n"/>
      <c r="N1595" s="127" t="n"/>
      <c r="O1595" s="227" t="n"/>
      <c r="P1595" s="227" t="n"/>
      <c r="Q1595" s="227" t="n"/>
      <c r="R1595" s="227" t="n"/>
      <c r="S1595" s="227" t="n"/>
      <c r="T1595" s="227" t="n"/>
    </row>
    <row r="1596">
      <c r="A1596" s="145">
        <f>IF($B1596="","",ROW()-5)</f>
        <v/>
      </c>
      <c r="B1596" s="127" t="n"/>
      <c r="C1596" s="223" t="n"/>
      <c r="D1596" s="127" t="n"/>
      <c r="E1596" s="227" t="n"/>
      <c r="F1596" s="227" t="n"/>
      <c r="G1596" s="227" t="n"/>
      <c r="H1596" s="227" t="n"/>
      <c r="I1596" s="227" t="n"/>
      <c r="J1596" s="227" t="n"/>
      <c r="K1596" s="227" t="n"/>
      <c r="L1596" s="227" t="n"/>
      <c r="M1596" s="227" t="n"/>
      <c r="N1596" s="127" t="n"/>
      <c r="O1596" s="227" t="n"/>
      <c r="P1596" s="227" t="n"/>
      <c r="Q1596" s="227" t="n"/>
      <c r="R1596" s="227" t="n"/>
      <c r="S1596" s="227" t="n"/>
      <c r="T1596" s="227" t="n"/>
    </row>
    <row r="1597">
      <c r="A1597" s="145">
        <f>IF($B1597="","",ROW()-5)</f>
        <v/>
      </c>
      <c r="B1597" s="127" t="n"/>
      <c r="C1597" s="223" t="n"/>
      <c r="D1597" s="127" t="n"/>
      <c r="E1597" s="227" t="n"/>
      <c r="F1597" s="227" t="n"/>
      <c r="G1597" s="227" t="n"/>
      <c r="H1597" s="227" t="n"/>
      <c r="I1597" s="227" t="n"/>
      <c r="J1597" s="227" t="n"/>
      <c r="K1597" s="227" t="n"/>
      <c r="L1597" s="227" t="n"/>
      <c r="M1597" s="227" t="n"/>
      <c r="N1597" s="127" t="n"/>
      <c r="O1597" s="227" t="n"/>
      <c r="P1597" s="227" t="n"/>
      <c r="Q1597" s="227" t="n"/>
      <c r="R1597" s="227" t="n"/>
      <c r="S1597" s="227" t="n"/>
      <c r="T1597" s="227" t="n"/>
    </row>
    <row r="1598">
      <c r="A1598" s="145">
        <f>IF($B1598="","",ROW()-5)</f>
        <v/>
      </c>
      <c r="B1598" s="127" t="n"/>
      <c r="C1598" s="223" t="n"/>
      <c r="D1598" s="127" t="n"/>
      <c r="E1598" s="227" t="n"/>
      <c r="F1598" s="227" t="n"/>
      <c r="G1598" s="227" t="n"/>
      <c r="H1598" s="227" t="n"/>
      <c r="I1598" s="227" t="n"/>
      <c r="J1598" s="227" t="n"/>
      <c r="K1598" s="227" t="n"/>
      <c r="L1598" s="227" t="n"/>
      <c r="M1598" s="227" t="n"/>
      <c r="N1598" s="127" t="n"/>
      <c r="O1598" s="227" t="n"/>
      <c r="P1598" s="227" t="n"/>
      <c r="Q1598" s="227" t="n"/>
      <c r="R1598" s="227" t="n"/>
      <c r="S1598" s="227" t="n"/>
      <c r="T1598" s="227" t="n"/>
    </row>
    <row r="1599">
      <c r="A1599" s="145">
        <f>IF($B1599="","",ROW()-5)</f>
        <v/>
      </c>
      <c r="B1599" s="127" t="n"/>
      <c r="C1599" s="223" t="n"/>
      <c r="D1599" s="127" t="n"/>
      <c r="E1599" s="227" t="n"/>
      <c r="F1599" s="227" t="n"/>
      <c r="G1599" s="227" t="n"/>
      <c r="H1599" s="227" t="n"/>
      <c r="I1599" s="227" t="n"/>
      <c r="J1599" s="227" t="n"/>
      <c r="K1599" s="227" t="n"/>
      <c r="L1599" s="227" t="n"/>
      <c r="M1599" s="227" t="n"/>
      <c r="N1599" s="127" t="n"/>
      <c r="O1599" s="227" t="n"/>
      <c r="P1599" s="227" t="n"/>
      <c r="Q1599" s="227" t="n"/>
      <c r="R1599" s="227" t="n"/>
      <c r="S1599" s="227" t="n"/>
      <c r="T1599" s="227" t="n"/>
    </row>
    <row r="1600">
      <c r="A1600" s="145">
        <f>IF($B1600="","",ROW()-5)</f>
        <v/>
      </c>
      <c r="B1600" s="127" t="n"/>
      <c r="C1600" s="223" t="n"/>
      <c r="D1600" s="127" t="n"/>
      <c r="E1600" s="227" t="n"/>
      <c r="F1600" s="227" t="n"/>
      <c r="G1600" s="227" t="n"/>
      <c r="H1600" s="227" t="n"/>
      <c r="I1600" s="227" t="n"/>
      <c r="J1600" s="227" t="n"/>
      <c r="K1600" s="227" t="n"/>
      <c r="L1600" s="227" t="n"/>
      <c r="M1600" s="227" t="n"/>
      <c r="N1600" s="127" t="n"/>
      <c r="O1600" s="227" t="n"/>
      <c r="P1600" s="227" t="n"/>
      <c r="Q1600" s="227" t="n"/>
      <c r="R1600" s="227" t="n"/>
      <c r="S1600" s="227" t="n"/>
      <c r="T1600" s="227" t="n"/>
    </row>
    <row r="1601">
      <c r="A1601" s="145">
        <f>IF($B1601="","",ROW()-5)</f>
        <v/>
      </c>
      <c r="B1601" s="127" t="n"/>
      <c r="C1601" s="223" t="n"/>
      <c r="D1601" s="127" t="n"/>
      <c r="E1601" s="227" t="n"/>
      <c r="F1601" s="227" t="n"/>
      <c r="G1601" s="227" t="n"/>
      <c r="H1601" s="227" t="n"/>
      <c r="I1601" s="227" t="n"/>
      <c r="J1601" s="227" t="n"/>
      <c r="K1601" s="227" t="n"/>
      <c r="L1601" s="227" t="n"/>
      <c r="M1601" s="227" t="n"/>
      <c r="N1601" s="127" t="n"/>
      <c r="O1601" s="227" t="n"/>
      <c r="P1601" s="227" t="n"/>
      <c r="Q1601" s="227" t="n"/>
      <c r="R1601" s="227" t="n"/>
      <c r="S1601" s="227" t="n"/>
      <c r="T1601" s="227" t="n"/>
    </row>
    <row r="1602">
      <c r="A1602" s="145">
        <f>IF($B1602="","",ROW()-5)</f>
        <v/>
      </c>
      <c r="B1602" s="127" t="n"/>
      <c r="C1602" s="223" t="n"/>
      <c r="D1602" s="127" t="n"/>
      <c r="E1602" s="227" t="n"/>
      <c r="F1602" s="227" t="n"/>
      <c r="G1602" s="227" t="n"/>
      <c r="H1602" s="227" t="n"/>
      <c r="I1602" s="227" t="n"/>
      <c r="J1602" s="227" t="n"/>
      <c r="K1602" s="227" t="n"/>
      <c r="L1602" s="227" t="n"/>
      <c r="M1602" s="227" t="n"/>
      <c r="N1602" s="127" t="n"/>
      <c r="O1602" s="227" t="n"/>
      <c r="P1602" s="227" t="n"/>
      <c r="Q1602" s="227" t="n"/>
      <c r="R1602" s="227" t="n"/>
      <c r="S1602" s="227" t="n"/>
      <c r="T1602" s="227" t="n"/>
    </row>
    <row r="1603">
      <c r="A1603" s="145">
        <f>IF($B1603="","",ROW()-5)</f>
        <v/>
      </c>
      <c r="B1603" s="127" t="n"/>
      <c r="C1603" s="223" t="n"/>
      <c r="D1603" s="127" t="n"/>
      <c r="E1603" s="227" t="n"/>
      <c r="F1603" s="227" t="n"/>
      <c r="G1603" s="227" t="n"/>
      <c r="H1603" s="227" t="n"/>
      <c r="I1603" s="227" t="n"/>
      <c r="J1603" s="227" t="n"/>
      <c r="K1603" s="227" t="n"/>
      <c r="L1603" s="227" t="n"/>
      <c r="M1603" s="227" t="n"/>
      <c r="N1603" s="127" t="n"/>
      <c r="O1603" s="227" t="n"/>
      <c r="P1603" s="227" t="n"/>
      <c r="Q1603" s="227" t="n"/>
      <c r="R1603" s="227" t="n"/>
      <c r="S1603" s="227" t="n"/>
      <c r="T1603" s="227" t="n"/>
    </row>
    <row r="1604">
      <c r="A1604" s="145">
        <f>IF($B1604="","",ROW()-5)</f>
        <v/>
      </c>
      <c r="B1604" s="127" t="n"/>
      <c r="C1604" s="223" t="n"/>
      <c r="D1604" s="127" t="n"/>
      <c r="E1604" s="227" t="n"/>
      <c r="F1604" s="227" t="n"/>
      <c r="G1604" s="227" t="n"/>
      <c r="H1604" s="227" t="n"/>
      <c r="I1604" s="227" t="n"/>
      <c r="J1604" s="227" t="n"/>
      <c r="K1604" s="227" t="n"/>
      <c r="L1604" s="227" t="n"/>
      <c r="M1604" s="227" t="n"/>
      <c r="N1604" s="127" t="n"/>
      <c r="O1604" s="227" t="n"/>
      <c r="P1604" s="227" t="n"/>
      <c r="Q1604" s="227" t="n"/>
      <c r="R1604" s="227" t="n"/>
      <c r="S1604" s="227" t="n"/>
      <c r="T1604" s="227" t="n"/>
    </row>
    <row r="1605">
      <c r="A1605" s="145">
        <f>IF($B1605="","",ROW()-5)</f>
        <v/>
      </c>
      <c r="B1605" s="127" t="n"/>
      <c r="C1605" s="223" t="n"/>
      <c r="D1605" s="127" t="n"/>
      <c r="E1605" s="227" t="n"/>
      <c r="F1605" s="227" t="n"/>
      <c r="G1605" s="227" t="n"/>
      <c r="H1605" s="227" t="n"/>
      <c r="I1605" s="227" t="n"/>
      <c r="J1605" s="227" t="n"/>
      <c r="K1605" s="227" t="n"/>
      <c r="L1605" s="227" t="n"/>
      <c r="M1605" s="227" t="n"/>
      <c r="N1605" s="127" t="n"/>
      <c r="O1605" s="227" t="n"/>
      <c r="P1605" s="227" t="n"/>
      <c r="Q1605" s="227" t="n"/>
      <c r="R1605" s="227" t="n"/>
      <c r="S1605" s="227" t="n"/>
      <c r="T1605" s="227" t="n"/>
    </row>
    <row r="1606">
      <c r="A1606" s="145">
        <f>IF($B1606="","",ROW()-5)</f>
        <v/>
      </c>
      <c r="B1606" s="127" t="n"/>
      <c r="C1606" s="223" t="n"/>
      <c r="D1606" s="127" t="n"/>
      <c r="E1606" s="227" t="n"/>
      <c r="F1606" s="227" t="n"/>
      <c r="G1606" s="227" t="n"/>
      <c r="H1606" s="227" t="n"/>
      <c r="I1606" s="227" t="n"/>
      <c r="J1606" s="227" t="n"/>
      <c r="K1606" s="227" t="n"/>
      <c r="L1606" s="227" t="n"/>
      <c r="M1606" s="227" t="n"/>
      <c r="N1606" s="127" t="n"/>
      <c r="O1606" s="227" t="n"/>
      <c r="P1606" s="227" t="n"/>
      <c r="Q1606" s="227" t="n"/>
      <c r="R1606" s="227" t="n"/>
      <c r="S1606" s="227" t="n"/>
      <c r="T1606" s="227" t="n"/>
    </row>
    <row r="1607">
      <c r="A1607" s="145">
        <f>IF($B1607="","",ROW()-5)</f>
        <v/>
      </c>
      <c r="B1607" s="127" t="n"/>
      <c r="C1607" s="223" t="n"/>
      <c r="D1607" s="127" t="n"/>
      <c r="E1607" s="227" t="n"/>
      <c r="F1607" s="227" t="n"/>
      <c r="G1607" s="227" t="n"/>
      <c r="H1607" s="227" t="n"/>
      <c r="I1607" s="227" t="n"/>
      <c r="J1607" s="227" t="n"/>
      <c r="K1607" s="227" t="n"/>
      <c r="L1607" s="227" t="n"/>
      <c r="M1607" s="227" t="n"/>
      <c r="N1607" s="127" t="n"/>
      <c r="O1607" s="227" t="n"/>
      <c r="P1607" s="227" t="n"/>
      <c r="Q1607" s="227" t="n"/>
      <c r="R1607" s="227" t="n"/>
      <c r="S1607" s="227" t="n"/>
      <c r="T1607" s="227" t="n"/>
    </row>
    <row r="1608">
      <c r="A1608" s="145">
        <f>IF($B1608="","",ROW()-5)</f>
        <v/>
      </c>
      <c r="B1608" s="127" t="n"/>
      <c r="C1608" s="223" t="n"/>
      <c r="D1608" s="127" t="n"/>
      <c r="E1608" s="227" t="n"/>
      <c r="F1608" s="227" t="n"/>
      <c r="G1608" s="227" t="n"/>
      <c r="H1608" s="227" t="n"/>
      <c r="I1608" s="227" t="n"/>
      <c r="J1608" s="227" t="n"/>
      <c r="K1608" s="227" t="n"/>
      <c r="L1608" s="227" t="n"/>
      <c r="M1608" s="227" t="n"/>
      <c r="N1608" s="127" t="n"/>
      <c r="O1608" s="227" t="n"/>
      <c r="P1608" s="227" t="n"/>
      <c r="Q1608" s="227" t="n"/>
      <c r="R1608" s="227" t="n"/>
      <c r="S1608" s="227" t="n"/>
      <c r="T1608" s="227" t="n"/>
    </row>
    <row r="1609">
      <c r="A1609" s="145">
        <f>IF($B1609="","",ROW()-5)</f>
        <v/>
      </c>
      <c r="B1609" s="127" t="n"/>
      <c r="C1609" s="223" t="n"/>
      <c r="D1609" s="127" t="n"/>
      <c r="E1609" s="227" t="n"/>
      <c r="F1609" s="227" t="n"/>
      <c r="G1609" s="227" t="n"/>
      <c r="H1609" s="227" t="n"/>
      <c r="I1609" s="227" t="n"/>
      <c r="J1609" s="227" t="n"/>
      <c r="K1609" s="227" t="n"/>
      <c r="L1609" s="227" t="n"/>
      <c r="M1609" s="227" t="n"/>
      <c r="N1609" s="127" t="n"/>
      <c r="O1609" s="227" t="n"/>
      <c r="P1609" s="227" t="n"/>
      <c r="Q1609" s="227" t="n"/>
      <c r="R1609" s="227" t="n"/>
      <c r="S1609" s="227" t="n"/>
      <c r="T1609" s="227" t="n"/>
    </row>
    <row r="1610">
      <c r="A1610" s="145">
        <f>IF($B1610="","",ROW()-5)</f>
        <v/>
      </c>
      <c r="B1610" s="127" t="n"/>
      <c r="C1610" s="223" t="n"/>
      <c r="D1610" s="127" t="n"/>
      <c r="E1610" s="227" t="n"/>
      <c r="F1610" s="227" t="n"/>
      <c r="G1610" s="227" t="n"/>
      <c r="H1610" s="227" t="n"/>
      <c r="I1610" s="227" t="n"/>
      <c r="J1610" s="227" t="n"/>
      <c r="K1610" s="227" t="n"/>
      <c r="L1610" s="227" t="n"/>
      <c r="M1610" s="227" t="n"/>
      <c r="N1610" s="127" t="n"/>
      <c r="O1610" s="227" t="n"/>
      <c r="P1610" s="227" t="n"/>
      <c r="Q1610" s="227" t="n"/>
      <c r="R1610" s="227" t="n"/>
      <c r="S1610" s="227" t="n"/>
      <c r="T1610" s="227" t="n"/>
    </row>
    <row r="1611">
      <c r="A1611" s="145">
        <f>IF($B1611="","",ROW()-5)</f>
        <v/>
      </c>
      <c r="B1611" s="127" t="n"/>
      <c r="C1611" s="223" t="n"/>
      <c r="D1611" s="127" t="n"/>
      <c r="E1611" s="227" t="n"/>
      <c r="F1611" s="227" t="n"/>
      <c r="G1611" s="227" t="n"/>
      <c r="H1611" s="227" t="n"/>
      <c r="I1611" s="227" t="n"/>
      <c r="J1611" s="227" t="n"/>
      <c r="K1611" s="227" t="n"/>
      <c r="L1611" s="227" t="n"/>
      <c r="M1611" s="227" t="n"/>
      <c r="N1611" s="127" t="n"/>
      <c r="O1611" s="227" t="n"/>
      <c r="P1611" s="227" t="n"/>
      <c r="Q1611" s="227" t="n"/>
      <c r="R1611" s="227" t="n"/>
      <c r="S1611" s="227" t="n"/>
      <c r="T1611" s="227" t="n"/>
    </row>
    <row r="1612">
      <c r="A1612" s="145">
        <f>IF($B1612="","",ROW()-5)</f>
        <v/>
      </c>
      <c r="B1612" s="127" t="n"/>
      <c r="C1612" s="223" t="n"/>
      <c r="D1612" s="127" t="n"/>
      <c r="E1612" s="227" t="n"/>
      <c r="F1612" s="227" t="n"/>
      <c r="G1612" s="227" t="n"/>
      <c r="H1612" s="227" t="n"/>
      <c r="I1612" s="227" t="n"/>
      <c r="J1612" s="227" t="n"/>
      <c r="K1612" s="227" t="n"/>
      <c r="L1612" s="227" t="n"/>
      <c r="M1612" s="227" t="n"/>
      <c r="N1612" s="127" t="n"/>
      <c r="O1612" s="227" t="n"/>
      <c r="P1612" s="227" t="n"/>
      <c r="Q1612" s="227" t="n"/>
      <c r="R1612" s="227" t="n"/>
      <c r="S1612" s="227" t="n"/>
      <c r="T1612" s="227" t="n"/>
    </row>
    <row r="1613">
      <c r="A1613" s="145">
        <f>IF($B1613="","",ROW()-5)</f>
        <v/>
      </c>
      <c r="B1613" s="127" t="n"/>
      <c r="C1613" s="223" t="n"/>
      <c r="D1613" s="127" t="n"/>
      <c r="E1613" s="227" t="n"/>
      <c r="F1613" s="227" t="n"/>
      <c r="G1613" s="227" t="n"/>
      <c r="H1613" s="227" t="n"/>
      <c r="I1613" s="227" t="n"/>
      <c r="J1613" s="227" t="n"/>
      <c r="K1613" s="227" t="n"/>
      <c r="L1613" s="227" t="n"/>
      <c r="M1613" s="227" t="n"/>
      <c r="N1613" s="127" t="n"/>
      <c r="O1613" s="227" t="n"/>
      <c r="P1613" s="227" t="n"/>
      <c r="Q1613" s="227" t="n"/>
      <c r="R1613" s="227" t="n"/>
      <c r="S1613" s="227" t="n"/>
      <c r="T1613" s="227" t="n"/>
    </row>
    <row r="1614">
      <c r="A1614" s="145">
        <f>IF($B1614="","",ROW()-5)</f>
        <v/>
      </c>
      <c r="B1614" s="127" t="n"/>
      <c r="C1614" s="223" t="n"/>
      <c r="D1614" s="127" t="n"/>
      <c r="E1614" s="227" t="n"/>
      <c r="F1614" s="227" t="n"/>
      <c r="G1614" s="227" t="n"/>
      <c r="H1614" s="227" t="n"/>
      <c r="I1614" s="227" t="n"/>
      <c r="J1614" s="227" t="n"/>
      <c r="K1614" s="227" t="n"/>
      <c r="L1614" s="227" t="n"/>
      <c r="M1614" s="227" t="n"/>
      <c r="N1614" s="127" t="n"/>
      <c r="O1614" s="227" t="n"/>
      <c r="P1614" s="227" t="n"/>
      <c r="Q1614" s="227" t="n"/>
      <c r="R1614" s="227" t="n"/>
      <c r="S1614" s="227" t="n"/>
      <c r="T1614" s="227" t="n"/>
    </row>
    <row r="1615">
      <c r="A1615" s="145">
        <f>IF($B1615="","",ROW()-5)</f>
        <v/>
      </c>
      <c r="B1615" s="127" t="n"/>
      <c r="C1615" s="223" t="n"/>
      <c r="D1615" s="127" t="n"/>
      <c r="E1615" s="227" t="n"/>
      <c r="F1615" s="227" t="n"/>
      <c r="G1615" s="227" t="n"/>
      <c r="H1615" s="227" t="n"/>
      <c r="I1615" s="227" t="n"/>
      <c r="J1615" s="227" t="n"/>
      <c r="K1615" s="227" t="n"/>
      <c r="L1615" s="227" t="n"/>
      <c r="M1615" s="227" t="n"/>
      <c r="N1615" s="127" t="n"/>
      <c r="O1615" s="227" t="n"/>
      <c r="P1615" s="227" t="n"/>
      <c r="Q1615" s="227" t="n"/>
      <c r="R1615" s="227" t="n"/>
      <c r="S1615" s="227" t="n"/>
      <c r="T1615" s="227" t="n"/>
    </row>
    <row r="1616">
      <c r="A1616" s="145">
        <f>IF($B1616="","",ROW()-5)</f>
        <v/>
      </c>
      <c r="B1616" s="127" t="n"/>
      <c r="C1616" s="223" t="n"/>
      <c r="D1616" s="127" t="n"/>
      <c r="E1616" s="227" t="n"/>
      <c r="F1616" s="227" t="n"/>
      <c r="G1616" s="227" t="n"/>
      <c r="H1616" s="227" t="n"/>
      <c r="I1616" s="227" t="n"/>
      <c r="J1616" s="227" t="n"/>
      <c r="K1616" s="227" t="n"/>
      <c r="L1616" s="227" t="n"/>
      <c r="M1616" s="227" t="n"/>
      <c r="N1616" s="127" t="n"/>
      <c r="O1616" s="227" t="n"/>
      <c r="P1616" s="227" t="n"/>
      <c r="Q1616" s="227" t="n"/>
      <c r="R1616" s="227" t="n"/>
      <c r="S1616" s="227" t="n"/>
      <c r="T1616" s="227" t="n"/>
    </row>
    <row r="1617">
      <c r="A1617" s="145">
        <f>IF($B1617="","",ROW()-5)</f>
        <v/>
      </c>
      <c r="B1617" s="127" t="n"/>
      <c r="C1617" s="223" t="n"/>
      <c r="D1617" s="127" t="n"/>
      <c r="E1617" s="227" t="n"/>
      <c r="F1617" s="227" t="n"/>
      <c r="G1617" s="227" t="n"/>
      <c r="H1617" s="227" t="n"/>
      <c r="I1617" s="227" t="n"/>
      <c r="J1617" s="227" t="n"/>
      <c r="K1617" s="227" t="n"/>
      <c r="L1617" s="227" t="n"/>
      <c r="M1617" s="227" t="n"/>
      <c r="N1617" s="127" t="n"/>
      <c r="O1617" s="227" t="n"/>
      <c r="P1617" s="227" t="n"/>
      <c r="Q1617" s="227" t="n"/>
      <c r="R1617" s="227" t="n"/>
      <c r="S1617" s="227" t="n"/>
      <c r="T1617" s="227" t="n"/>
    </row>
    <row r="1618">
      <c r="A1618" s="145">
        <f>IF($B1618="","",ROW()-5)</f>
        <v/>
      </c>
      <c r="B1618" s="127" t="n"/>
      <c r="C1618" s="223" t="n"/>
      <c r="D1618" s="127" t="n"/>
      <c r="E1618" s="227" t="n"/>
      <c r="F1618" s="227" t="n"/>
      <c r="G1618" s="227" t="n"/>
      <c r="H1618" s="227" t="n"/>
      <c r="I1618" s="227" t="n"/>
      <c r="J1618" s="227" t="n"/>
      <c r="K1618" s="227" t="n"/>
      <c r="L1618" s="227" t="n"/>
      <c r="M1618" s="227" t="n"/>
      <c r="N1618" s="127" t="n"/>
      <c r="O1618" s="227" t="n"/>
      <c r="P1618" s="227" t="n"/>
      <c r="Q1618" s="227" t="n"/>
      <c r="R1618" s="227" t="n"/>
      <c r="S1618" s="227" t="n"/>
      <c r="T1618" s="227" t="n"/>
    </row>
    <row r="1619">
      <c r="A1619" s="145">
        <f>IF($B1619="","",ROW()-5)</f>
        <v/>
      </c>
      <c r="B1619" s="127" t="n"/>
      <c r="C1619" s="223" t="n"/>
      <c r="D1619" s="127" t="n"/>
      <c r="E1619" s="227" t="n"/>
      <c r="F1619" s="227" t="n"/>
      <c r="G1619" s="227" t="n"/>
      <c r="H1619" s="227" t="n"/>
      <c r="I1619" s="227" t="n"/>
      <c r="J1619" s="227" t="n"/>
      <c r="K1619" s="227" t="n"/>
      <c r="L1619" s="227" t="n"/>
      <c r="M1619" s="227" t="n"/>
      <c r="N1619" s="127" t="n"/>
      <c r="O1619" s="227" t="n"/>
      <c r="P1619" s="227" t="n"/>
      <c r="Q1619" s="227" t="n"/>
      <c r="R1619" s="227" t="n"/>
      <c r="S1619" s="227" t="n"/>
      <c r="T1619" s="227" t="n"/>
    </row>
    <row r="1620">
      <c r="A1620" s="145">
        <f>IF($B1620="","",ROW()-5)</f>
        <v/>
      </c>
      <c r="B1620" s="127" t="n"/>
      <c r="C1620" s="223" t="n"/>
      <c r="D1620" s="127" t="n"/>
      <c r="E1620" s="227" t="n"/>
      <c r="F1620" s="227" t="n"/>
      <c r="G1620" s="227" t="n"/>
      <c r="H1620" s="227" t="n"/>
      <c r="I1620" s="227" t="n"/>
      <c r="J1620" s="227" t="n"/>
      <c r="K1620" s="227" t="n"/>
      <c r="L1620" s="227" t="n"/>
      <c r="M1620" s="227" t="n"/>
      <c r="N1620" s="127" t="n"/>
      <c r="O1620" s="227" t="n"/>
      <c r="P1620" s="227" t="n"/>
      <c r="Q1620" s="227" t="n"/>
      <c r="R1620" s="227" t="n"/>
      <c r="S1620" s="227" t="n"/>
      <c r="T1620" s="227" t="n"/>
    </row>
    <row r="1621">
      <c r="A1621" s="145">
        <f>IF($B1621="","",ROW()-5)</f>
        <v/>
      </c>
      <c r="B1621" s="127" t="n"/>
      <c r="C1621" s="223" t="n"/>
      <c r="D1621" s="127" t="n"/>
      <c r="E1621" s="227" t="n"/>
      <c r="F1621" s="227" t="n"/>
      <c r="G1621" s="227" t="n"/>
      <c r="H1621" s="227" t="n"/>
      <c r="I1621" s="227" t="n"/>
      <c r="J1621" s="227" t="n"/>
      <c r="K1621" s="227" t="n"/>
      <c r="L1621" s="227" t="n"/>
      <c r="M1621" s="227" t="n"/>
      <c r="N1621" s="127" t="n"/>
      <c r="O1621" s="227" t="n"/>
      <c r="P1621" s="227" t="n"/>
      <c r="Q1621" s="227" t="n"/>
      <c r="R1621" s="227" t="n"/>
      <c r="S1621" s="227" t="n"/>
      <c r="T1621" s="227" t="n"/>
    </row>
    <row r="1622">
      <c r="A1622" s="145">
        <f>IF($B1622="","",ROW()-5)</f>
        <v/>
      </c>
      <c r="B1622" s="127" t="n"/>
      <c r="C1622" s="223" t="n"/>
      <c r="D1622" s="127" t="n"/>
      <c r="E1622" s="227" t="n"/>
      <c r="F1622" s="227" t="n"/>
      <c r="G1622" s="227" t="n"/>
      <c r="H1622" s="227" t="n"/>
      <c r="I1622" s="227" t="n"/>
      <c r="J1622" s="227" t="n"/>
      <c r="K1622" s="227" t="n"/>
      <c r="L1622" s="227" t="n"/>
      <c r="M1622" s="227" t="n"/>
      <c r="N1622" s="127" t="n"/>
      <c r="O1622" s="227" t="n"/>
      <c r="P1622" s="227" t="n"/>
      <c r="Q1622" s="227" t="n"/>
      <c r="R1622" s="227" t="n"/>
      <c r="S1622" s="227" t="n"/>
      <c r="T1622" s="227" t="n"/>
    </row>
    <row r="1623">
      <c r="A1623" s="145">
        <f>IF($B1623="","",ROW()-5)</f>
        <v/>
      </c>
      <c r="B1623" s="127" t="n"/>
      <c r="C1623" s="223" t="n"/>
      <c r="D1623" s="127" t="n"/>
      <c r="E1623" s="227" t="n"/>
      <c r="F1623" s="227" t="n"/>
      <c r="G1623" s="227" t="n"/>
      <c r="H1623" s="227" t="n"/>
      <c r="I1623" s="227" t="n"/>
      <c r="J1623" s="227" t="n"/>
      <c r="K1623" s="227" t="n"/>
      <c r="L1623" s="227" t="n"/>
      <c r="M1623" s="227" t="n"/>
      <c r="N1623" s="127" t="n"/>
      <c r="O1623" s="227" t="n"/>
      <c r="P1623" s="227" t="n"/>
      <c r="Q1623" s="227" t="n"/>
      <c r="R1623" s="227" t="n"/>
      <c r="S1623" s="227" t="n"/>
      <c r="T1623" s="227" t="n"/>
    </row>
    <row r="1624">
      <c r="A1624" s="145">
        <f>IF($B1624="","",ROW()-5)</f>
        <v/>
      </c>
      <c r="B1624" s="127" t="n"/>
      <c r="C1624" s="223" t="n"/>
      <c r="D1624" s="127" t="n"/>
      <c r="E1624" s="227" t="n"/>
      <c r="F1624" s="227" t="n"/>
      <c r="G1624" s="227" t="n"/>
      <c r="H1624" s="227" t="n"/>
      <c r="I1624" s="227" t="n"/>
      <c r="J1624" s="227" t="n"/>
      <c r="K1624" s="227" t="n"/>
      <c r="L1624" s="227" t="n"/>
      <c r="M1624" s="227" t="n"/>
      <c r="N1624" s="127" t="n"/>
      <c r="O1624" s="227" t="n"/>
      <c r="P1624" s="227" t="n"/>
      <c r="Q1624" s="227" t="n"/>
      <c r="R1624" s="227" t="n"/>
      <c r="S1624" s="227" t="n"/>
      <c r="T1624" s="227" t="n"/>
    </row>
    <row r="1625">
      <c r="A1625" s="145">
        <f>IF($B1625="","",ROW()-5)</f>
        <v/>
      </c>
      <c r="B1625" s="127" t="n"/>
      <c r="C1625" s="223" t="n"/>
      <c r="D1625" s="127" t="n"/>
      <c r="E1625" s="227" t="n"/>
      <c r="F1625" s="227" t="n"/>
      <c r="G1625" s="227" t="n"/>
      <c r="H1625" s="227" t="n"/>
      <c r="I1625" s="227" t="n"/>
      <c r="J1625" s="227" t="n"/>
      <c r="K1625" s="227" t="n"/>
      <c r="L1625" s="227" t="n"/>
      <c r="M1625" s="227" t="n"/>
      <c r="N1625" s="127" t="n"/>
      <c r="O1625" s="227" t="n"/>
      <c r="P1625" s="227" t="n"/>
      <c r="Q1625" s="227" t="n"/>
      <c r="R1625" s="227" t="n"/>
      <c r="S1625" s="227" t="n"/>
      <c r="T1625" s="227" t="n"/>
    </row>
    <row r="1626">
      <c r="A1626" s="145">
        <f>IF($B1626="","",ROW()-5)</f>
        <v/>
      </c>
      <c r="B1626" s="127" t="n"/>
      <c r="C1626" s="223" t="n"/>
      <c r="D1626" s="127" t="n"/>
      <c r="E1626" s="227" t="n"/>
      <c r="F1626" s="227" t="n"/>
      <c r="G1626" s="227" t="n"/>
      <c r="H1626" s="227" t="n"/>
      <c r="I1626" s="227" t="n"/>
      <c r="J1626" s="227" t="n"/>
      <c r="K1626" s="227" t="n"/>
      <c r="L1626" s="227" t="n"/>
      <c r="M1626" s="227" t="n"/>
      <c r="N1626" s="127" t="n"/>
      <c r="O1626" s="227" t="n"/>
      <c r="P1626" s="227" t="n"/>
      <c r="Q1626" s="227" t="n"/>
      <c r="R1626" s="227" t="n"/>
      <c r="S1626" s="227" t="n"/>
      <c r="T1626" s="227" t="n"/>
    </row>
    <row r="1627">
      <c r="A1627" s="145">
        <f>IF($B1627="","",ROW()-5)</f>
        <v/>
      </c>
      <c r="B1627" s="127" t="n"/>
      <c r="C1627" s="223" t="n"/>
      <c r="D1627" s="127" t="n"/>
      <c r="E1627" s="227" t="n"/>
      <c r="F1627" s="227" t="n"/>
      <c r="G1627" s="227" t="n"/>
      <c r="H1627" s="227" t="n"/>
      <c r="I1627" s="227" t="n"/>
      <c r="J1627" s="227" t="n"/>
      <c r="K1627" s="227" t="n"/>
      <c r="L1627" s="227" t="n"/>
      <c r="M1627" s="227" t="n"/>
      <c r="N1627" s="127" t="n"/>
      <c r="O1627" s="227" t="n"/>
      <c r="P1627" s="227" t="n"/>
      <c r="Q1627" s="227" t="n"/>
      <c r="R1627" s="227" t="n"/>
      <c r="S1627" s="227" t="n"/>
      <c r="T1627" s="227" t="n"/>
    </row>
    <row r="1628">
      <c r="A1628" s="145">
        <f>IF($B1628="","",ROW()-5)</f>
        <v/>
      </c>
      <c r="B1628" s="127" t="n"/>
      <c r="C1628" s="223" t="n"/>
      <c r="D1628" s="127" t="n"/>
      <c r="E1628" s="227" t="n"/>
      <c r="F1628" s="227" t="n"/>
      <c r="G1628" s="227" t="n"/>
      <c r="H1628" s="227" t="n"/>
      <c r="I1628" s="227" t="n"/>
      <c r="J1628" s="227" t="n"/>
      <c r="K1628" s="227" t="n"/>
      <c r="L1628" s="227" t="n"/>
      <c r="M1628" s="227" t="n"/>
      <c r="N1628" s="127" t="n"/>
      <c r="O1628" s="227" t="n"/>
      <c r="P1628" s="227" t="n"/>
      <c r="Q1628" s="227" t="n"/>
      <c r="R1628" s="227" t="n"/>
      <c r="S1628" s="227" t="n"/>
      <c r="T1628" s="227" t="n"/>
    </row>
    <row r="1629">
      <c r="A1629" s="145">
        <f>IF($B1629="","",ROW()-5)</f>
        <v/>
      </c>
      <c r="B1629" s="127" t="n"/>
      <c r="C1629" s="223" t="n"/>
      <c r="D1629" s="127" t="n"/>
      <c r="E1629" s="227" t="n"/>
      <c r="F1629" s="227" t="n"/>
      <c r="G1629" s="227" t="n"/>
      <c r="H1629" s="227" t="n"/>
      <c r="I1629" s="227" t="n"/>
      <c r="J1629" s="227" t="n"/>
      <c r="K1629" s="227" t="n"/>
      <c r="L1629" s="227" t="n"/>
      <c r="M1629" s="227" t="n"/>
      <c r="N1629" s="127" t="n"/>
      <c r="O1629" s="227" t="n"/>
      <c r="P1629" s="227" t="n"/>
      <c r="Q1629" s="227" t="n"/>
      <c r="R1629" s="227" t="n"/>
      <c r="S1629" s="227" t="n"/>
      <c r="T1629" s="227" t="n"/>
    </row>
    <row r="1630">
      <c r="A1630" s="145">
        <f>IF($B1630="","",ROW()-5)</f>
        <v/>
      </c>
      <c r="B1630" s="127" t="n"/>
      <c r="C1630" s="223" t="n"/>
      <c r="D1630" s="127" t="n"/>
      <c r="E1630" s="227" t="n"/>
      <c r="F1630" s="227" t="n"/>
      <c r="G1630" s="227" t="n"/>
      <c r="H1630" s="227" t="n"/>
      <c r="I1630" s="227" t="n"/>
      <c r="J1630" s="227" t="n"/>
      <c r="K1630" s="227" t="n"/>
      <c r="L1630" s="227" t="n"/>
      <c r="M1630" s="227" t="n"/>
      <c r="N1630" s="127" t="n"/>
      <c r="O1630" s="227" t="n"/>
      <c r="P1630" s="227" t="n"/>
      <c r="Q1630" s="227" t="n"/>
      <c r="R1630" s="227" t="n"/>
      <c r="S1630" s="227" t="n"/>
      <c r="T1630" s="227" t="n"/>
    </row>
    <row r="1631">
      <c r="A1631" s="145">
        <f>IF($B1631="","",ROW()-5)</f>
        <v/>
      </c>
      <c r="B1631" s="127" t="n"/>
      <c r="C1631" s="223" t="n"/>
      <c r="D1631" s="127" t="n"/>
      <c r="E1631" s="227" t="n"/>
      <c r="F1631" s="227" t="n"/>
      <c r="G1631" s="227" t="n"/>
      <c r="H1631" s="227" t="n"/>
      <c r="I1631" s="227" t="n"/>
      <c r="J1631" s="227" t="n"/>
      <c r="K1631" s="227" t="n"/>
      <c r="L1631" s="227" t="n"/>
      <c r="M1631" s="227" t="n"/>
      <c r="N1631" s="127" t="n"/>
      <c r="O1631" s="227" t="n"/>
      <c r="P1631" s="227" t="n"/>
      <c r="Q1631" s="227" t="n"/>
      <c r="R1631" s="227" t="n"/>
      <c r="S1631" s="227" t="n"/>
      <c r="T1631" s="227" t="n"/>
    </row>
    <row r="1632">
      <c r="A1632" s="145">
        <f>IF($B1632="","",ROW()-5)</f>
        <v/>
      </c>
      <c r="B1632" s="127" t="n"/>
      <c r="C1632" s="223" t="n"/>
      <c r="D1632" s="127" t="n"/>
      <c r="E1632" s="227" t="n"/>
      <c r="F1632" s="227" t="n"/>
      <c r="G1632" s="227" t="n"/>
      <c r="H1632" s="227" t="n"/>
      <c r="I1632" s="227" t="n"/>
      <c r="J1632" s="227" t="n"/>
      <c r="K1632" s="227" t="n"/>
      <c r="L1632" s="227" t="n"/>
      <c r="M1632" s="227" t="n"/>
      <c r="N1632" s="127" t="n"/>
      <c r="O1632" s="227" t="n"/>
      <c r="P1632" s="227" t="n"/>
      <c r="Q1632" s="227" t="n"/>
      <c r="R1632" s="227" t="n"/>
      <c r="S1632" s="227" t="n"/>
      <c r="T1632" s="227" t="n"/>
    </row>
    <row r="1633">
      <c r="A1633" s="145">
        <f>IF($B1633="","",ROW()-5)</f>
        <v/>
      </c>
      <c r="B1633" s="127" t="n"/>
      <c r="C1633" s="223" t="n"/>
      <c r="D1633" s="127" t="n"/>
      <c r="E1633" s="227" t="n"/>
      <c r="F1633" s="227" t="n"/>
      <c r="G1633" s="227" t="n"/>
      <c r="H1633" s="227" t="n"/>
      <c r="I1633" s="227" t="n"/>
      <c r="J1633" s="227" t="n"/>
      <c r="K1633" s="227" t="n"/>
      <c r="L1633" s="227" t="n"/>
      <c r="M1633" s="227" t="n"/>
      <c r="N1633" s="127" t="n"/>
      <c r="O1633" s="227" t="n"/>
      <c r="P1633" s="227" t="n"/>
      <c r="Q1633" s="227" t="n"/>
      <c r="R1633" s="227" t="n"/>
      <c r="S1633" s="227" t="n"/>
      <c r="T1633" s="227" t="n"/>
    </row>
    <row r="1634">
      <c r="A1634" s="145">
        <f>IF($B1634="","",ROW()-5)</f>
        <v/>
      </c>
      <c r="B1634" s="127" t="n"/>
      <c r="C1634" s="223" t="n"/>
      <c r="D1634" s="127" t="n"/>
      <c r="E1634" s="227" t="n"/>
      <c r="F1634" s="227" t="n"/>
      <c r="G1634" s="227" t="n"/>
      <c r="H1634" s="227" t="n"/>
      <c r="I1634" s="227" t="n"/>
      <c r="J1634" s="227" t="n"/>
      <c r="K1634" s="227" t="n"/>
      <c r="L1634" s="227" t="n"/>
      <c r="M1634" s="227" t="n"/>
      <c r="N1634" s="127" t="n"/>
      <c r="O1634" s="227" t="n"/>
      <c r="P1634" s="227" t="n"/>
      <c r="Q1634" s="227" t="n"/>
      <c r="R1634" s="227" t="n"/>
      <c r="S1634" s="227" t="n"/>
      <c r="T1634" s="227" t="n"/>
    </row>
    <row r="1635">
      <c r="A1635" s="145">
        <f>IF($B1635="","",ROW()-5)</f>
        <v/>
      </c>
      <c r="B1635" s="127" t="n"/>
      <c r="C1635" s="223" t="n"/>
      <c r="D1635" s="127" t="n"/>
      <c r="E1635" s="227" t="n"/>
      <c r="F1635" s="227" t="n"/>
      <c r="G1635" s="227" t="n"/>
      <c r="H1635" s="227" t="n"/>
      <c r="I1635" s="227" t="n"/>
      <c r="J1635" s="227" t="n"/>
      <c r="K1635" s="227" t="n"/>
      <c r="L1635" s="227" t="n"/>
      <c r="M1635" s="227" t="n"/>
      <c r="N1635" s="127" t="n"/>
      <c r="O1635" s="227" t="n"/>
      <c r="P1635" s="227" t="n"/>
      <c r="Q1635" s="227" t="n"/>
      <c r="R1635" s="227" t="n"/>
      <c r="S1635" s="227" t="n"/>
      <c r="T1635" s="227" t="n"/>
    </row>
    <row r="1636">
      <c r="A1636" s="145">
        <f>IF($B1636="","",ROW()-5)</f>
        <v/>
      </c>
      <c r="B1636" s="127" t="n"/>
      <c r="C1636" s="223" t="n"/>
      <c r="D1636" s="127" t="n"/>
      <c r="E1636" s="227" t="n"/>
      <c r="F1636" s="227" t="n"/>
      <c r="G1636" s="227" t="n"/>
      <c r="H1636" s="227" t="n"/>
      <c r="I1636" s="227" t="n"/>
      <c r="J1636" s="227" t="n"/>
      <c r="K1636" s="227" t="n"/>
      <c r="L1636" s="227" t="n"/>
      <c r="M1636" s="227" t="n"/>
      <c r="N1636" s="127" t="n"/>
      <c r="O1636" s="227" t="n"/>
      <c r="P1636" s="227" t="n"/>
      <c r="Q1636" s="227" t="n"/>
      <c r="R1636" s="227" t="n"/>
      <c r="S1636" s="227" t="n"/>
      <c r="T1636" s="227" t="n"/>
    </row>
    <row r="1637">
      <c r="A1637" s="145">
        <f>IF($B1637="","",ROW()-5)</f>
        <v/>
      </c>
      <c r="B1637" s="127" t="n"/>
      <c r="C1637" s="223" t="n"/>
      <c r="D1637" s="127" t="n"/>
      <c r="E1637" s="227" t="n"/>
      <c r="F1637" s="227" t="n"/>
      <c r="G1637" s="227" t="n"/>
      <c r="H1637" s="227" t="n"/>
      <c r="I1637" s="227" t="n"/>
      <c r="J1637" s="227" t="n"/>
      <c r="K1637" s="227" t="n"/>
      <c r="L1637" s="227" t="n"/>
      <c r="M1637" s="227" t="n"/>
      <c r="N1637" s="127" t="n"/>
      <c r="O1637" s="227" t="n"/>
      <c r="P1637" s="227" t="n"/>
      <c r="Q1637" s="227" t="n"/>
      <c r="R1637" s="227" t="n"/>
      <c r="S1637" s="227" t="n"/>
      <c r="T1637" s="227" t="n"/>
    </row>
    <row r="1638">
      <c r="A1638" s="145">
        <f>IF($B1638="","",ROW()-5)</f>
        <v/>
      </c>
      <c r="B1638" s="127" t="n"/>
      <c r="C1638" s="223" t="n"/>
      <c r="D1638" s="127" t="n"/>
      <c r="E1638" s="227" t="n"/>
      <c r="F1638" s="227" t="n"/>
      <c r="G1638" s="227" t="n"/>
      <c r="H1638" s="227" t="n"/>
      <c r="I1638" s="227" t="n"/>
      <c r="J1638" s="227" t="n"/>
      <c r="K1638" s="227" t="n"/>
      <c r="L1638" s="227" t="n"/>
      <c r="M1638" s="227" t="n"/>
      <c r="N1638" s="127" t="n"/>
      <c r="O1638" s="227" t="n"/>
      <c r="P1638" s="227" t="n"/>
      <c r="Q1638" s="227" t="n"/>
      <c r="R1638" s="227" t="n"/>
      <c r="S1638" s="227" t="n"/>
      <c r="T1638" s="227" t="n"/>
    </row>
    <row r="1639">
      <c r="A1639" s="145">
        <f>IF($B1639="","",ROW()-5)</f>
        <v/>
      </c>
      <c r="B1639" s="127" t="n"/>
      <c r="C1639" s="223" t="n"/>
      <c r="D1639" s="127" t="n"/>
      <c r="E1639" s="227" t="n"/>
      <c r="F1639" s="227" t="n"/>
      <c r="G1639" s="227" t="n"/>
      <c r="H1639" s="227" t="n"/>
      <c r="I1639" s="227" t="n"/>
      <c r="J1639" s="227" t="n"/>
      <c r="K1639" s="227" t="n"/>
      <c r="L1639" s="227" t="n"/>
      <c r="M1639" s="227" t="n"/>
      <c r="N1639" s="127" t="n"/>
      <c r="O1639" s="227" t="n"/>
      <c r="P1639" s="227" t="n"/>
      <c r="Q1639" s="227" t="n"/>
      <c r="R1639" s="227" t="n"/>
      <c r="S1639" s="227" t="n"/>
      <c r="T1639" s="227" t="n"/>
    </row>
    <row r="1640">
      <c r="A1640" s="145">
        <f>IF($B1640="","",ROW()-5)</f>
        <v/>
      </c>
      <c r="B1640" s="127" t="n"/>
      <c r="C1640" s="223" t="n"/>
      <c r="D1640" s="127" t="n"/>
      <c r="E1640" s="227" t="n"/>
      <c r="F1640" s="227" t="n"/>
      <c r="G1640" s="227" t="n"/>
      <c r="H1640" s="227" t="n"/>
      <c r="I1640" s="227" t="n"/>
      <c r="J1640" s="227" t="n"/>
      <c r="K1640" s="227" t="n"/>
      <c r="L1640" s="227" t="n"/>
      <c r="M1640" s="227" t="n"/>
      <c r="N1640" s="127" t="n"/>
      <c r="O1640" s="227" t="n"/>
      <c r="P1640" s="227" t="n"/>
      <c r="Q1640" s="227" t="n"/>
      <c r="R1640" s="227" t="n"/>
      <c r="S1640" s="227" t="n"/>
      <c r="T1640" s="227" t="n"/>
    </row>
    <row r="1641">
      <c r="A1641" s="145">
        <f>IF($B1641="","",ROW()-5)</f>
        <v/>
      </c>
      <c r="B1641" s="127" t="n"/>
      <c r="C1641" s="223" t="n"/>
      <c r="D1641" s="127" t="n"/>
      <c r="E1641" s="227" t="n"/>
      <c r="F1641" s="227" t="n"/>
      <c r="G1641" s="227" t="n"/>
      <c r="H1641" s="227" t="n"/>
      <c r="I1641" s="227" t="n"/>
      <c r="J1641" s="227" t="n"/>
      <c r="K1641" s="227" t="n"/>
      <c r="L1641" s="227" t="n"/>
      <c r="M1641" s="227" t="n"/>
      <c r="N1641" s="127" t="n"/>
      <c r="O1641" s="227" t="n"/>
      <c r="P1641" s="227" t="n"/>
      <c r="Q1641" s="227" t="n"/>
      <c r="R1641" s="227" t="n"/>
      <c r="S1641" s="227" t="n"/>
      <c r="T1641" s="227" t="n"/>
    </row>
    <row r="1642">
      <c r="A1642" s="145">
        <f>IF($B1642="","",ROW()-5)</f>
        <v/>
      </c>
      <c r="B1642" s="127" t="n"/>
      <c r="C1642" s="223" t="n"/>
      <c r="D1642" s="127" t="n"/>
      <c r="E1642" s="227" t="n"/>
      <c r="F1642" s="227" t="n"/>
      <c r="G1642" s="227" t="n"/>
      <c r="H1642" s="227" t="n"/>
      <c r="I1642" s="227" t="n"/>
      <c r="J1642" s="227" t="n"/>
      <c r="K1642" s="227" t="n"/>
      <c r="L1642" s="227" t="n"/>
      <c r="M1642" s="227" t="n"/>
      <c r="N1642" s="127" t="n"/>
      <c r="O1642" s="227" t="n"/>
      <c r="P1642" s="227" t="n"/>
      <c r="Q1642" s="227" t="n"/>
      <c r="R1642" s="227" t="n"/>
      <c r="S1642" s="227" t="n"/>
      <c r="T1642" s="227" t="n"/>
    </row>
    <row r="1643">
      <c r="A1643" s="145">
        <f>IF($B1643="","",ROW()-5)</f>
        <v/>
      </c>
      <c r="B1643" s="127" t="n"/>
      <c r="C1643" s="223" t="n"/>
      <c r="D1643" s="127" t="n"/>
      <c r="E1643" s="227" t="n"/>
      <c r="F1643" s="227" t="n"/>
      <c r="G1643" s="227" t="n"/>
      <c r="H1643" s="227" t="n"/>
      <c r="I1643" s="227" t="n"/>
      <c r="J1643" s="227" t="n"/>
      <c r="K1643" s="227" t="n"/>
      <c r="L1643" s="227" t="n"/>
      <c r="M1643" s="227" t="n"/>
      <c r="N1643" s="127" t="n"/>
      <c r="O1643" s="227" t="n"/>
      <c r="P1643" s="227" t="n"/>
      <c r="Q1643" s="227" t="n"/>
      <c r="R1643" s="227" t="n"/>
      <c r="S1643" s="227" t="n"/>
      <c r="T1643" s="227" t="n"/>
    </row>
    <row r="1644">
      <c r="A1644" s="145">
        <f>IF($B1644="","",ROW()-5)</f>
        <v/>
      </c>
      <c r="B1644" s="127" t="n"/>
      <c r="C1644" s="223" t="n"/>
      <c r="D1644" s="127" t="n"/>
      <c r="E1644" s="227" t="n"/>
      <c r="F1644" s="227" t="n"/>
      <c r="G1644" s="227" t="n"/>
      <c r="H1644" s="227" t="n"/>
      <c r="I1644" s="227" t="n"/>
      <c r="J1644" s="227" t="n"/>
      <c r="K1644" s="227" t="n"/>
      <c r="L1644" s="227" t="n"/>
      <c r="M1644" s="227" t="n"/>
      <c r="N1644" s="127" t="n"/>
      <c r="O1644" s="227" t="n"/>
      <c r="P1644" s="227" t="n"/>
      <c r="Q1644" s="227" t="n"/>
      <c r="R1644" s="227" t="n"/>
      <c r="S1644" s="227" t="n"/>
      <c r="T1644" s="227" t="n"/>
    </row>
    <row r="1645">
      <c r="A1645" s="145">
        <f>IF($B1645="","",ROW()-5)</f>
        <v/>
      </c>
      <c r="B1645" s="127" t="n"/>
      <c r="C1645" s="223" t="n"/>
      <c r="D1645" s="127" t="n"/>
      <c r="E1645" s="227" t="n"/>
      <c r="F1645" s="227" t="n"/>
      <c r="G1645" s="227" t="n"/>
      <c r="H1645" s="227" t="n"/>
      <c r="I1645" s="227" t="n"/>
      <c r="J1645" s="227" t="n"/>
      <c r="K1645" s="227" t="n"/>
      <c r="L1645" s="227" t="n"/>
      <c r="M1645" s="227" t="n"/>
      <c r="N1645" s="127" t="n"/>
      <c r="O1645" s="227" t="n"/>
      <c r="P1645" s="227" t="n"/>
      <c r="Q1645" s="227" t="n"/>
      <c r="R1645" s="227" t="n"/>
      <c r="S1645" s="227" t="n"/>
      <c r="T1645" s="227" t="n"/>
    </row>
    <row r="1646">
      <c r="A1646" s="145">
        <f>IF($B1646="","",ROW()-5)</f>
        <v/>
      </c>
      <c r="B1646" s="127" t="n"/>
      <c r="C1646" s="223" t="n"/>
      <c r="D1646" s="127" t="n"/>
      <c r="E1646" s="227" t="n"/>
      <c r="F1646" s="227" t="n"/>
      <c r="G1646" s="227" t="n"/>
      <c r="H1646" s="227" t="n"/>
      <c r="I1646" s="227" t="n"/>
      <c r="J1646" s="227" t="n"/>
      <c r="K1646" s="227" t="n"/>
      <c r="L1646" s="227" t="n"/>
      <c r="M1646" s="227" t="n"/>
      <c r="N1646" s="127" t="n"/>
      <c r="O1646" s="227" t="n"/>
      <c r="P1646" s="227" t="n"/>
      <c r="Q1646" s="227" t="n"/>
      <c r="R1646" s="227" t="n"/>
      <c r="S1646" s="227" t="n"/>
      <c r="T1646" s="227" t="n"/>
    </row>
    <row r="1647">
      <c r="A1647" s="145">
        <f>IF($B1647="","",ROW()-5)</f>
        <v/>
      </c>
      <c r="B1647" s="127" t="n"/>
      <c r="C1647" s="223" t="n"/>
      <c r="D1647" s="127" t="n"/>
      <c r="E1647" s="227" t="n"/>
      <c r="F1647" s="227" t="n"/>
      <c r="G1647" s="227" t="n"/>
      <c r="H1647" s="227" t="n"/>
      <c r="I1647" s="227" t="n"/>
      <c r="J1647" s="227" t="n"/>
      <c r="K1647" s="227" t="n"/>
      <c r="L1647" s="227" t="n"/>
      <c r="M1647" s="227" t="n"/>
      <c r="N1647" s="127" t="n"/>
      <c r="O1647" s="227" t="n"/>
      <c r="P1647" s="227" t="n"/>
      <c r="Q1647" s="227" t="n"/>
      <c r="R1647" s="227" t="n"/>
      <c r="S1647" s="227" t="n"/>
      <c r="T1647" s="227" t="n"/>
    </row>
    <row r="1648">
      <c r="A1648" s="145">
        <f>IF($B1648="","",ROW()-5)</f>
        <v/>
      </c>
      <c r="B1648" s="127" t="n"/>
      <c r="C1648" s="223" t="n"/>
      <c r="D1648" s="127" t="n"/>
      <c r="E1648" s="227" t="n"/>
      <c r="F1648" s="227" t="n"/>
      <c r="G1648" s="227" t="n"/>
      <c r="H1648" s="227" t="n"/>
      <c r="I1648" s="227" t="n"/>
      <c r="J1648" s="227" t="n"/>
      <c r="K1648" s="227" t="n"/>
      <c r="L1648" s="227" t="n"/>
      <c r="M1648" s="227" t="n"/>
      <c r="N1648" s="127" t="n"/>
      <c r="O1648" s="227" t="n"/>
      <c r="P1648" s="227" t="n"/>
      <c r="Q1648" s="227" t="n"/>
      <c r="R1648" s="227" t="n"/>
      <c r="S1648" s="227" t="n"/>
      <c r="T1648" s="227" t="n"/>
    </row>
    <row r="1649">
      <c r="A1649" s="145">
        <f>IF($B1649="","",ROW()-5)</f>
        <v/>
      </c>
      <c r="B1649" s="127" t="n"/>
      <c r="C1649" s="223" t="n"/>
      <c r="D1649" s="127" t="n"/>
      <c r="E1649" s="227" t="n"/>
      <c r="F1649" s="227" t="n"/>
      <c r="G1649" s="227" t="n"/>
      <c r="H1649" s="227" t="n"/>
      <c r="I1649" s="227" t="n"/>
      <c r="J1649" s="227" t="n"/>
      <c r="K1649" s="227" t="n"/>
      <c r="L1649" s="227" t="n"/>
      <c r="M1649" s="227" t="n"/>
      <c r="N1649" s="127" t="n"/>
      <c r="O1649" s="227" t="n"/>
      <c r="P1649" s="227" t="n"/>
      <c r="Q1649" s="227" t="n"/>
      <c r="R1649" s="227" t="n"/>
      <c r="S1649" s="227" t="n"/>
      <c r="T1649" s="227" t="n"/>
    </row>
    <row r="1650">
      <c r="A1650" s="145">
        <f>IF($B1650="","",ROW()-5)</f>
        <v/>
      </c>
      <c r="B1650" s="127" t="n"/>
      <c r="C1650" s="223" t="n"/>
      <c r="D1650" s="127" t="n"/>
      <c r="E1650" s="227" t="n"/>
      <c r="F1650" s="227" t="n"/>
      <c r="G1650" s="227" t="n"/>
      <c r="H1650" s="227" t="n"/>
      <c r="I1650" s="227" t="n"/>
      <c r="J1650" s="227" t="n"/>
      <c r="K1650" s="227" t="n"/>
      <c r="L1650" s="227" t="n"/>
      <c r="M1650" s="227" t="n"/>
      <c r="N1650" s="127" t="n"/>
      <c r="O1650" s="227" t="n"/>
      <c r="P1650" s="227" t="n"/>
      <c r="Q1650" s="227" t="n"/>
      <c r="R1650" s="227" t="n"/>
      <c r="S1650" s="227" t="n"/>
      <c r="T1650" s="227" t="n"/>
    </row>
    <row r="1651">
      <c r="A1651" s="145">
        <f>IF($B1651="","",ROW()-5)</f>
        <v/>
      </c>
      <c r="B1651" s="127" t="n"/>
      <c r="C1651" s="223" t="n"/>
      <c r="D1651" s="127" t="n"/>
      <c r="E1651" s="227" t="n"/>
      <c r="F1651" s="227" t="n"/>
      <c r="G1651" s="227" t="n"/>
      <c r="H1651" s="227" t="n"/>
      <c r="I1651" s="227" t="n"/>
      <c r="J1651" s="227" t="n"/>
      <c r="K1651" s="227" t="n"/>
      <c r="L1651" s="227" t="n"/>
      <c r="M1651" s="227" t="n"/>
      <c r="N1651" s="127" t="n"/>
      <c r="O1651" s="227" t="n"/>
      <c r="P1651" s="227" t="n"/>
      <c r="Q1651" s="227" t="n"/>
      <c r="R1651" s="227" t="n"/>
      <c r="S1651" s="227" t="n"/>
      <c r="T1651" s="227" t="n"/>
    </row>
    <row r="1652">
      <c r="A1652" s="145">
        <f>IF($B1652="","",ROW()-5)</f>
        <v/>
      </c>
      <c r="B1652" s="127" t="n"/>
      <c r="C1652" s="223" t="n"/>
      <c r="D1652" s="127" t="n"/>
      <c r="E1652" s="227" t="n"/>
      <c r="F1652" s="227" t="n"/>
      <c r="G1652" s="227" t="n"/>
      <c r="H1652" s="227" t="n"/>
      <c r="I1652" s="227" t="n"/>
      <c r="J1652" s="227" t="n"/>
      <c r="K1652" s="227" t="n"/>
      <c r="L1652" s="227" t="n"/>
      <c r="M1652" s="227" t="n"/>
      <c r="N1652" s="127" t="n"/>
      <c r="O1652" s="227" t="n"/>
      <c r="P1652" s="227" t="n"/>
      <c r="Q1652" s="227" t="n"/>
      <c r="R1652" s="227" t="n"/>
      <c r="S1652" s="227" t="n"/>
      <c r="T1652" s="227" t="n"/>
    </row>
    <row r="1653">
      <c r="A1653" s="145">
        <f>IF($B1653="","",ROW()-5)</f>
        <v/>
      </c>
      <c r="B1653" s="127" t="n"/>
      <c r="C1653" s="223" t="n"/>
      <c r="D1653" s="127" t="n"/>
      <c r="E1653" s="227" t="n"/>
      <c r="F1653" s="227" t="n"/>
      <c r="G1653" s="227" t="n"/>
      <c r="H1653" s="227" t="n"/>
      <c r="I1653" s="227" t="n"/>
      <c r="J1653" s="227" t="n"/>
      <c r="K1653" s="227" t="n"/>
      <c r="L1653" s="227" t="n"/>
      <c r="M1653" s="227" t="n"/>
      <c r="N1653" s="127" t="n"/>
      <c r="O1653" s="227" t="n"/>
      <c r="P1653" s="227" t="n"/>
      <c r="Q1653" s="227" t="n"/>
      <c r="R1653" s="227" t="n"/>
      <c r="S1653" s="227" t="n"/>
      <c r="T1653" s="227" t="n"/>
    </row>
    <row r="1654">
      <c r="A1654" s="145">
        <f>IF($B1654="","",ROW()-5)</f>
        <v/>
      </c>
      <c r="B1654" s="127" t="n"/>
      <c r="C1654" s="223" t="n"/>
      <c r="D1654" s="127" t="n"/>
      <c r="E1654" s="227" t="n"/>
      <c r="F1654" s="227" t="n"/>
      <c r="G1654" s="227" t="n"/>
      <c r="H1654" s="227" t="n"/>
      <c r="I1654" s="227" t="n"/>
      <c r="J1654" s="227" t="n"/>
      <c r="K1654" s="227" t="n"/>
      <c r="L1654" s="227" t="n"/>
      <c r="M1654" s="227" t="n"/>
      <c r="N1654" s="127" t="n"/>
      <c r="O1654" s="227" t="n"/>
      <c r="P1654" s="227" t="n"/>
      <c r="Q1654" s="227" t="n"/>
      <c r="R1654" s="227" t="n"/>
      <c r="S1654" s="227" t="n"/>
      <c r="T1654" s="227" t="n"/>
    </row>
    <row r="1655">
      <c r="A1655" s="145">
        <f>IF($B1655="","",ROW()-5)</f>
        <v/>
      </c>
      <c r="B1655" s="127" t="n"/>
      <c r="C1655" s="223" t="n"/>
      <c r="D1655" s="127" t="n"/>
      <c r="E1655" s="227" t="n"/>
      <c r="F1655" s="227" t="n"/>
      <c r="G1655" s="227" t="n"/>
      <c r="H1655" s="227" t="n"/>
      <c r="I1655" s="227" t="n"/>
      <c r="J1655" s="227" t="n"/>
      <c r="K1655" s="227" t="n"/>
      <c r="L1655" s="227" t="n"/>
      <c r="M1655" s="227" t="n"/>
      <c r="N1655" s="127" t="n"/>
      <c r="O1655" s="227" t="n"/>
      <c r="P1655" s="227" t="n"/>
      <c r="Q1655" s="227" t="n"/>
      <c r="R1655" s="227" t="n"/>
      <c r="S1655" s="227" t="n"/>
      <c r="T1655" s="227" t="n"/>
    </row>
    <row r="1656">
      <c r="A1656" s="145">
        <f>IF($B1656="","",ROW()-5)</f>
        <v/>
      </c>
      <c r="B1656" s="127" t="n"/>
      <c r="C1656" s="223" t="n"/>
      <c r="D1656" s="127" t="n"/>
      <c r="E1656" s="227" t="n"/>
      <c r="F1656" s="227" t="n"/>
      <c r="G1656" s="227" t="n"/>
      <c r="H1656" s="227" t="n"/>
      <c r="I1656" s="227" t="n"/>
      <c r="J1656" s="227" t="n"/>
      <c r="K1656" s="227" t="n"/>
      <c r="L1656" s="227" t="n"/>
      <c r="M1656" s="227" t="n"/>
      <c r="N1656" s="127" t="n"/>
      <c r="O1656" s="227" t="n"/>
      <c r="P1656" s="227" t="n"/>
      <c r="Q1656" s="227" t="n"/>
      <c r="R1656" s="227" t="n"/>
      <c r="S1656" s="227" t="n"/>
      <c r="T1656" s="227" t="n"/>
    </row>
    <row r="1657">
      <c r="A1657" s="145">
        <f>IF($B1657="","",ROW()-5)</f>
        <v/>
      </c>
      <c r="B1657" s="127" t="n"/>
      <c r="C1657" s="223" t="n"/>
      <c r="D1657" s="127" t="n"/>
      <c r="E1657" s="227" t="n"/>
      <c r="F1657" s="227" t="n"/>
      <c r="G1657" s="227" t="n"/>
      <c r="H1657" s="227" t="n"/>
      <c r="I1657" s="227" t="n"/>
      <c r="J1657" s="227" t="n"/>
      <c r="K1657" s="227" t="n"/>
      <c r="L1657" s="227" t="n"/>
      <c r="M1657" s="227" t="n"/>
      <c r="N1657" s="127" t="n"/>
      <c r="O1657" s="227" t="n"/>
      <c r="P1657" s="227" t="n"/>
      <c r="Q1657" s="227" t="n"/>
      <c r="R1657" s="227" t="n"/>
      <c r="S1657" s="227" t="n"/>
      <c r="T1657" s="227" t="n"/>
    </row>
    <row r="1658">
      <c r="A1658" s="145">
        <f>IF($B1658="","",ROW()-5)</f>
        <v/>
      </c>
      <c r="B1658" s="127" t="n"/>
      <c r="C1658" s="223" t="n"/>
      <c r="D1658" s="127" t="n"/>
      <c r="E1658" s="227" t="n"/>
      <c r="F1658" s="227" t="n"/>
      <c r="G1658" s="227" t="n"/>
      <c r="H1658" s="227" t="n"/>
      <c r="I1658" s="227" t="n"/>
      <c r="J1658" s="227" t="n"/>
      <c r="K1658" s="227" t="n"/>
      <c r="L1658" s="227" t="n"/>
      <c r="M1658" s="227" t="n"/>
      <c r="N1658" s="127" t="n"/>
      <c r="O1658" s="227" t="n"/>
      <c r="P1658" s="227" t="n"/>
      <c r="Q1658" s="227" t="n"/>
      <c r="R1658" s="227" t="n"/>
      <c r="S1658" s="227" t="n"/>
      <c r="T1658" s="227" t="n"/>
    </row>
    <row r="1659">
      <c r="A1659" s="145">
        <f>IF($B1659="","",ROW()-5)</f>
        <v/>
      </c>
      <c r="B1659" s="127" t="n"/>
      <c r="C1659" s="223" t="n"/>
      <c r="D1659" s="127" t="n"/>
      <c r="E1659" s="227" t="n"/>
      <c r="F1659" s="227" t="n"/>
      <c r="G1659" s="227" t="n"/>
      <c r="H1659" s="227" t="n"/>
      <c r="I1659" s="227" t="n"/>
      <c r="J1659" s="227" t="n"/>
      <c r="K1659" s="227" t="n"/>
      <c r="L1659" s="227" t="n"/>
      <c r="M1659" s="227" t="n"/>
      <c r="N1659" s="127" t="n"/>
      <c r="O1659" s="227" t="n"/>
      <c r="P1659" s="227" t="n"/>
      <c r="Q1659" s="227" t="n"/>
      <c r="R1659" s="227" t="n"/>
      <c r="S1659" s="227" t="n"/>
      <c r="T1659" s="227" t="n"/>
    </row>
    <row r="1660">
      <c r="A1660" s="145">
        <f>IF($B1660="","",ROW()-5)</f>
        <v/>
      </c>
      <c r="B1660" s="127" t="n"/>
      <c r="C1660" s="223" t="n"/>
      <c r="D1660" s="127" t="n"/>
      <c r="E1660" s="227" t="n"/>
      <c r="F1660" s="227" t="n"/>
      <c r="G1660" s="227" t="n"/>
      <c r="H1660" s="227" t="n"/>
      <c r="I1660" s="227" t="n"/>
      <c r="J1660" s="227" t="n"/>
      <c r="K1660" s="227" t="n"/>
      <c r="L1660" s="227" t="n"/>
      <c r="M1660" s="227" t="n"/>
      <c r="N1660" s="127" t="n"/>
      <c r="O1660" s="227" t="n"/>
      <c r="P1660" s="227" t="n"/>
      <c r="Q1660" s="227" t="n"/>
      <c r="R1660" s="227" t="n"/>
      <c r="S1660" s="227" t="n"/>
      <c r="T1660" s="227" t="n"/>
    </row>
    <row r="1661">
      <c r="A1661" s="145">
        <f>IF($B1661="","",ROW()-5)</f>
        <v/>
      </c>
      <c r="B1661" s="127" t="n"/>
      <c r="C1661" s="223" t="n"/>
      <c r="D1661" s="127" t="n"/>
      <c r="E1661" s="227" t="n"/>
      <c r="F1661" s="227" t="n"/>
      <c r="G1661" s="227" t="n"/>
      <c r="H1661" s="227" t="n"/>
      <c r="I1661" s="227" t="n"/>
      <c r="J1661" s="227" t="n"/>
      <c r="K1661" s="227" t="n"/>
      <c r="L1661" s="227" t="n"/>
      <c r="M1661" s="227" t="n"/>
      <c r="N1661" s="127" t="n"/>
      <c r="O1661" s="227" t="n"/>
      <c r="P1661" s="227" t="n"/>
      <c r="Q1661" s="227" t="n"/>
      <c r="R1661" s="227" t="n"/>
      <c r="S1661" s="227" t="n"/>
      <c r="T1661" s="227" t="n"/>
    </row>
    <row r="1662">
      <c r="A1662" s="145">
        <f>IF($B1662="","",ROW()-5)</f>
        <v/>
      </c>
      <c r="B1662" s="127" t="n"/>
      <c r="C1662" s="223" t="n"/>
      <c r="D1662" s="127" t="n"/>
      <c r="E1662" s="227" t="n"/>
      <c r="F1662" s="227" t="n"/>
      <c r="G1662" s="227" t="n"/>
      <c r="H1662" s="227" t="n"/>
      <c r="I1662" s="227" t="n"/>
      <c r="J1662" s="227" t="n"/>
      <c r="K1662" s="227" t="n"/>
      <c r="L1662" s="227" t="n"/>
      <c r="M1662" s="227" t="n"/>
      <c r="N1662" s="127" t="n"/>
      <c r="O1662" s="227" t="n"/>
      <c r="P1662" s="227" t="n"/>
      <c r="Q1662" s="227" t="n"/>
      <c r="R1662" s="227" t="n"/>
      <c r="S1662" s="227" t="n"/>
      <c r="T1662" s="227" t="n"/>
    </row>
    <row r="1663">
      <c r="A1663" s="145">
        <f>IF($B1663="","",ROW()-5)</f>
        <v/>
      </c>
      <c r="B1663" s="127" t="n"/>
      <c r="C1663" s="223" t="n"/>
      <c r="D1663" s="127" t="n"/>
      <c r="E1663" s="227" t="n"/>
      <c r="F1663" s="227" t="n"/>
      <c r="G1663" s="227" t="n"/>
      <c r="H1663" s="227" t="n"/>
      <c r="I1663" s="227" t="n"/>
      <c r="J1663" s="227" t="n"/>
      <c r="K1663" s="227" t="n"/>
      <c r="L1663" s="227" t="n"/>
      <c r="M1663" s="227" t="n"/>
      <c r="N1663" s="127" t="n"/>
      <c r="O1663" s="227" t="n"/>
      <c r="P1663" s="227" t="n"/>
      <c r="Q1663" s="227" t="n"/>
      <c r="R1663" s="227" t="n"/>
      <c r="S1663" s="227" t="n"/>
      <c r="T1663" s="227" t="n"/>
    </row>
    <row r="1664">
      <c r="A1664" s="145">
        <f>IF($B1664="","",ROW()-5)</f>
        <v/>
      </c>
      <c r="B1664" s="127" t="n"/>
      <c r="C1664" s="223" t="n"/>
      <c r="D1664" s="127" t="n"/>
      <c r="E1664" s="227" t="n"/>
      <c r="F1664" s="227" t="n"/>
      <c r="G1664" s="227" t="n"/>
      <c r="H1664" s="227" t="n"/>
      <c r="I1664" s="227" t="n"/>
      <c r="J1664" s="227" t="n"/>
      <c r="K1664" s="227" t="n"/>
      <c r="L1664" s="227" t="n"/>
      <c r="M1664" s="227" t="n"/>
      <c r="N1664" s="127" t="n"/>
      <c r="O1664" s="227" t="n"/>
      <c r="P1664" s="227" t="n"/>
      <c r="Q1664" s="227" t="n"/>
      <c r="R1664" s="227" t="n"/>
      <c r="S1664" s="227" t="n"/>
      <c r="T1664" s="227" t="n"/>
    </row>
    <row r="1665">
      <c r="A1665" s="145">
        <f>IF($B1665="","",ROW()-5)</f>
        <v/>
      </c>
      <c r="B1665" s="127" t="n"/>
      <c r="C1665" s="223" t="n"/>
      <c r="D1665" s="127" t="n"/>
      <c r="E1665" s="227" t="n"/>
      <c r="F1665" s="227" t="n"/>
      <c r="G1665" s="227" t="n"/>
      <c r="H1665" s="227" t="n"/>
      <c r="I1665" s="227" t="n"/>
      <c r="J1665" s="227" t="n"/>
      <c r="K1665" s="227" t="n"/>
      <c r="L1665" s="227" t="n"/>
      <c r="M1665" s="227" t="n"/>
      <c r="N1665" s="127" t="n"/>
      <c r="O1665" s="227" t="n"/>
      <c r="P1665" s="227" t="n"/>
      <c r="Q1665" s="227" t="n"/>
      <c r="R1665" s="227" t="n"/>
      <c r="S1665" s="227" t="n"/>
      <c r="T1665" s="227" t="n"/>
    </row>
    <row r="1666">
      <c r="A1666" s="145">
        <f>IF($B1666="","",ROW()-5)</f>
        <v/>
      </c>
      <c r="B1666" s="127" t="n"/>
      <c r="C1666" s="223" t="n"/>
      <c r="D1666" s="127" t="n"/>
      <c r="E1666" s="227" t="n"/>
      <c r="F1666" s="227" t="n"/>
      <c r="G1666" s="227" t="n"/>
      <c r="H1666" s="227" t="n"/>
      <c r="I1666" s="227" t="n"/>
      <c r="J1666" s="227" t="n"/>
      <c r="K1666" s="227" t="n"/>
      <c r="L1666" s="227" t="n"/>
      <c r="M1666" s="227" t="n"/>
      <c r="N1666" s="127" t="n"/>
      <c r="O1666" s="227" t="n"/>
      <c r="P1666" s="227" t="n"/>
      <c r="Q1666" s="227" t="n"/>
      <c r="R1666" s="227" t="n"/>
      <c r="S1666" s="227" t="n"/>
      <c r="T1666" s="227" t="n"/>
    </row>
    <row r="1667">
      <c r="A1667" s="145">
        <f>IF($B1667="","",ROW()-5)</f>
        <v/>
      </c>
      <c r="B1667" s="127" t="n"/>
      <c r="C1667" s="223" t="n"/>
      <c r="D1667" s="127" t="n"/>
      <c r="E1667" s="227" t="n"/>
      <c r="F1667" s="227" t="n"/>
      <c r="G1667" s="227" t="n"/>
      <c r="H1667" s="227" t="n"/>
      <c r="I1667" s="227" t="n"/>
      <c r="J1667" s="227" t="n"/>
      <c r="K1667" s="227" t="n"/>
      <c r="L1667" s="227" t="n"/>
      <c r="M1667" s="227" t="n"/>
      <c r="N1667" s="127" t="n"/>
      <c r="O1667" s="227" t="n"/>
      <c r="P1667" s="227" t="n"/>
      <c r="Q1667" s="227" t="n"/>
      <c r="R1667" s="227" t="n"/>
      <c r="S1667" s="227" t="n"/>
      <c r="T1667" s="227" t="n"/>
    </row>
    <row r="1668">
      <c r="A1668" s="145">
        <f>IF($B1668="","",ROW()-5)</f>
        <v/>
      </c>
      <c r="B1668" s="127" t="n"/>
      <c r="C1668" s="223" t="n"/>
      <c r="D1668" s="127" t="n"/>
      <c r="E1668" s="227" t="n"/>
      <c r="F1668" s="227" t="n"/>
      <c r="G1668" s="227" t="n"/>
      <c r="H1668" s="227" t="n"/>
      <c r="I1668" s="227" t="n"/>
      <c r="J1668" s="227" t="n"/>
      <c r="K1668" s="227" t="n"/>
      <c r="L1668" s="227" t="n"/>
      <c r="M1668" s="227" t="n"/>
      <c r="N1668" s="127" t="n"/>
      <c r="O1668" s="227" t="n"/>
      <c r="P1668" s="227" t="n"/>
      <c r="Q1668" s="227" t="n"/>
      <c r="R1668" s="227" t="n"/>
      <c r="S1668" s="227" t="n"/>
      <c r="T1668" s="227" t="n"/>
    </row>
    <row r="1669">
      <c r="A1669" s="145">
        <f>IF($B1669="","",ROW()-5)</f>
        <v/>
      </c>
      <c r="B1669" s="127" t="n"/>
      <c r="C1669" s="223" t="n"/>
      <c r="D1669" s="127" t="n"/>
      <c r="E1669" s="227" t="n"/>
      <c r="F1669" s="227" t="n"/>
      <c r="G1669" s="227" t="n"/>
      <c r="H1669" s="227" t="n"/>
      <c r="I1669" s="227" t="n"/>
      <c r="J1669" s="227" t="n"/>
      <c r="K1669" s="227" t="n"/>
      <c r="L1669" s="227" t="n"/>
      <c r="M1669" s="227" t="n"/>
      <c r="N1669" s="127" t="n"/>
      <c r="O1669" s="227" t="n"/>
      <c r="P1669" s="227" t="n"/>
      <c r="Q1669" s="227" t="n"/>
      <c r="R1669" s="227" t="n"/>
      <c r="S1669" s="227" t="n"/>
      <c r="T1669" s="227" t="n"/>
    </row>
    <row r="1670">
      <c r="A1670" s="145">
        <f>IF($B1670="","",ROW()-5)</f>
        <v/>
      </c>
      <c r="B1670" s="127" t="n"/>
      <c r="C1670" s="223" t="n"/>
      <c r="D1670" s="127" t="n"/>
      <c r="E1670" s="227" t="n"/>
      <c r="F1670" s="227" t="n"/>
      <c r="G1670" s="227" t="n"/>
      <c r="H1670" s="227" t="n"/>
      <c r="I1670" s="227" t="n"/>
      <c r="J1670" s="227" t="n"/>
      <c r="K1670" s="227" t="n"/>
      <c r="L1670" s="227" t="n"/>
      <c r="M1670" s="227" t="n"/>
      <c r="N1670" s="127" t="n"/>
      <c r="O1670" s="227" t="n"/>
      <c r="P1670" s="227" t="n"/>
      <c r="Q1670" s="227" t="n"/>
      <c r="R1670" s="227" t="n"/>
      <c r="S1670" s="227" t="n"/>
      <c r="T1670" s="227" t="n"/>
    </row>
    <row r="1671">
      <c r="A1671" s="145">
        <f>IF($B1671="","",ROW()-5)</f>
        <v/>
      </c>
      <c r="B1671" s="127" t="n"/>
      <c r="C1671" s="223" t="n"/>
      <c r="D1671" s="127" t="n"/>
      <c r="E1671" s="227" t="n"/>
      <c r="F1671" s="227" t="n"/>
      <c r="G1671" s="227" t="n"/>
      <c r="H1671" s="227" t="n"/>
      <c r="I1671" s="227" t="n"/>
      <c r="J1671" s="227" t="n"/>
      <c r="K1671" s="227" t="n"/>
      <c r="L1671" s="227" t="n"/>
      <c r="M1671" s="227" t="n"/>
      <c r="N1671" s="127" t="n"/>
      <c r="O1671" s="227" t="n"/>
      <c r="P1671" s="227" t="n"/>
      <c r="Q1671" s="227" t="n"/>
      <c r="R1671" s="227" t="n"/>
      <c r="S1671" s="227" t="n"/>
      <c r="T1671" s="227" t="n"/>
    </row>
    <row r="1672">
      <c r="A1672" s="145">
        <f>IF($B1672="","",ROW()-5)</f>
        <v/>
      </c>
      <c r="B1672" s="127" t="n"/>
      <c r="C1672" s="223" t="n"/>
      <c r="D1672" s="127" t="n"/>
      <c r="E1672" s="227" t="n"/>
      <c r="F1672" s="227" t="n"/>
      <c r="G1672" s="227" t="n"/>
      <c r="H1672" s="227" t="n"/>
      <c r="I1672" s="227" t="n"/>
      <c r="J1672" s="227" t="n"/>
      <c r="K1672" s="227" t="n"/>
      <c r="L1672" s="227" t="n"/>
      <c r="M1672" s="227" t="n"/>
      <c r="N1672" s="127" t="n"/>
      <c r="O1672" s="227" t="n"/>
      <c r="P1672" s="227" t="n"/>
      <c r="Q1672" s="227" t="n"/>
      <c r="R1672" s="227" t="n"/>
      <c r="S1672" s="227" t="n"/>
      <c r="T1672" s="227" t="n"/>
    </row>
    <row r="1673">
      <c r="A1673" s="145">
        <f>IF($B1673="","",ROW()-5)</f>
        <v/>
      </c>
      <c r="B1673" s="127" t="n"/>
      <c r="C1673" s="223" t="n"/>
      <c r="D1673" s="127" t="n"/>
      <c r="E1673" s="227" t="n"/>
      <c r="F1673" s="227" t="n"/>
      <c r="G1673" s="227" t="n"/>
      <c r="H1673" s="227" t="n"/>
      <c r="I1673" s="227" t="n"/>
      <c r="J1673" s="227" t="n"/>
      <c r="K1673" s="227" t="n"/>
      <c r="L1673" s="227" t="n"/>
      <c r="M1673" s="227" t="n"/>
      <c r="N1673" s="127" t="n"/>
      <c r="O1673" s="227" t="n"/>
      <c r="P1673" s="227" t="n"/>
      <c r="Q1673" s="227" t="n"/>
      <c r="R1673" s="227" t="n"/>
      <c r="S1673" s="227" t="n"/>
      <c r="T1673" s="227" t="n"/>
    </row>
    <row r="1674">
      <c r="A1674" s="145">
        <f>IF($B1674="","",ROW()-5)</f>
        <v/>
      </c>
      <c r="B1674" s="127" t="n"/>
      <c r="C1674" s="223" t="n"/>
      <c r="D1674" s="127" t="n"/>
      <c r="E1674" s="227" t="n"/>
      <c r="F1674" s="227" t="n"/>
      <c r="G1674" s="227" t="n"/>
      <c r="H1674" s="227" t="n"/>
      <c r="I1674" s="227" t="n"/>
      <c r="J1674" s="227" t="n"/>
      <c r="K1674" s="227" t="n"/>
      <c r="L1674" s="227" t="n"/>
      <c r="M1674" s="227" t="n"/>
      <c r="N1674" s="127" t="n"/>
      <c r="O1674" s="227" t="n"/>
      <c r="P1674" s="227" t="n"/>
      <c r="Q1674" s="227" t="n"/>
      <c r="R1674" s="227" t="n"/>
      <c r="S1674" s="227" t="n"/>
      <c r="T1674" s="227" t="n"/>
    </row>
    <row r="1675">
      <c r="A1675" s="145">
        <f>IF($B1675="","",ROW()-5)</f>
        <v/>
      </c>
      <c r="B1675" s="127" t="n"/>
      <c r="C1675" s="223" t="n"/>
      <c r="D1675" s="127" t="n"/>
      <c r="E1675" s="227" t="n"/>
      <c r="F1675" s="227" t="n"/>
      <c r="G1675" s="227" t="n"/>
      <c r="H1675" s="227" t="n"/>
      <c r="I1675" s="227" t="n"/>
      <c r="J1675" s="227" t="n"/>
      <c r="K1675" s="227" t="n"/>
      <c r="L1675" s="227" t="n"/>
      <c r="M1675" s="227" t="n"/>
      <c r="N1675" s="127" t="n"/>
      <c r="O1675" s="227" t="n"/>
      <c r="P1675" s="227" t="n"/>
      <c r="Q1675" s="227" t="n"/>
      <c r="R1675" s="227" t="n"/>
      <c r="S1675" s="227" t="n"/>
      <c r="T1675" s="227" t="n"/>
    </row>
    <row r="1676">
      <c r="A1676" s="145">
        <f>IF($B1676="","",ROW()-5)</f>
        <v/>
      </c>
      <c r="B1676" s="127" t="n"/>
      <c r="C1676" s="223" t="n"/>
      <c r="D1676" s="127" t="n"/>
      <c r="E1676" s="227" t="n"/>
      <c r="F1676" s="227" t="n"/>
      <c r="G1676" s="227" t="n"/>
      <c r="H1676" s="227" t="n"/>
      <c r="I1676" s="227" t="n"/>
      <c r="J1676" s="227" t="n"/>
      <c r="K1676" s="227" t="n"/>
      <c r="L1676" s="227" t="n"/>
      <c r="M1676" s="227" t="n"/>
      <c r="N1676" s="127" t="n"/>
      <c r="O1676" s="227" t="n"/>
      <c r="P1676" s="227" t="n"/>
      <c r="Q1676" s="227" t="n"/>
      <c r="R1676" s="227" t="n"/>
      <c r="S1676" s="227" t="n"/>
      <c r="T1676" s="227" t="n"/>
    </row>
    <row r="1677">
      <c r="A1677" s="145">
        <f>IF($B1677="","",ROW()-5)</f>
        <v/>
      </c>
      <c r="B1677" s="127" t="n"/>
      <c r="C1677" s="223" t="n"/>
      <c r="D1677" s="127" t="n"/>
      <c r="E1677" s="227" t="n"/>
      <c r="F1677" s="227" t="n"/>
      <c r="G1677" s="227" t="n"/>
      <c r="H1677" s="227" t="n"/>
      <c r="I1677" s="227" t="n"/>
      <c r="J1677" s="227" t="n"/>
      <c r="K1677" s="227" t="n"/>
      <c r="L1677" s="227" t="n"/>
      <c r="M1677" s="227" t="n"/>
      <c r="N1677" s="127" t="n"/>
      <c r="O1677" s="227" t="n"/>
      <c r="P1677" s="227" t="n"/>
      <c r="Q1677" s="227" t="n"/>
      <c r="R1677" s="227" t="n"/>
      <c r="S1677" s="227" t="n"/>
      <c r="T1677" s="227" t="n"/>
    </row>
    <row r="1678">
      <c r="A1678" s="145">
        <f>IF($B1678="","",ROW()-5)</f>
        <v/>
      </c>
      <c r="B1678" s="127" t="n"/>
      <c r="C1678" s="223" t="n"/>
      <c r="D1678" s="127" t="n"/>
      <c r="E1678" s="227" t="n"/>
      <c r="F1678" s="227" t="n"/>
      <c r="G1678" s="227" t="n"/>
      <c r="H1678" s="227" t="n"/>
      <c r="I1678" s="227" t="n"/>
      <c r="J1678" s="227" t="n"/>
      <c r="K1678" s="227" t="n"/>
      <c r="L1678" s="227" t="n"/>
      <c r="M1678" s="227" t="n"/>
      <c r="N1678" s="127" t="n"/>
      <c r="O1678" s="227" t="n"/>
      <c r="P1678" s="227" t="n"/>
      <c r="Q1678" s="227" t="n"/>
      <c r="R1678" s="227" t="n"/>
      <c r="S1678" s="227" t="n"/>
      <c r="T1678" s="227" t="n"/>
    </row>
    <row r="1679">
      <c r="A1679" s="145">
        <f>IF($B1679="","",ROW()-5)</f>
        <v/>
      </c>
      <c r="B1679" s="127" t="n"/>
      <c r="C1679" s="223" t="n"/>
      <c r="D1679" s="127" t="n"/>
      <c r="E1679" s="227" t="n"/>
      <c r="F1679" s="227" t="n"/>
      <c r="G1679" s="227" t="n"/>
      <c r="H1679" s="227" t="n"/>
      <c r="I1679" s="227" t="n"/>
      <c r="J1679" s="227" t="n"/>
      <c r="K1679" s="227" t="n"/>
      <c r="L1679" s="227" t="n"/>
      <c r="M1679" s="227" t="n"/>
      <c r="N1679" s="127" t="n"/>
      <c r="O1679" s="227" t="n"/>
      <c r="P1679" s="227" t="n"/>
      <c r="Q1679" s="227" t="n"/>
      <c r="R1679" s="227" t="n"/>
      <c r="S1679" s="227" t="n"/>
      <c r="T1679" s="227" t="n"/>
    </row>
    <row r="1680">
      <c r="A1680" s="145">
        <f>IF($B1680="","",ROW()-5)</f>
        <v/>
      </c>
      <c r="B1680" s="127" t="n"/>
      <c r="C1680" s="223" t="n"/>
      <c r="D1680" s="127" t="n"/>
      <c r="E1680" s="227" t="n"/>
      <c r="F1680" s="227" t="n"/>
      <c r="G1680" s="227" t="n"/>
      <c r="H1680" s="227" t="n"/>
      <c r="I1680" s="227" t="n"/>
      <c r="J1680" s="227" t="n"/>
      <c r="K1680" s="227" t="n"/>
      <c r="L1680" s="227" t="n"/>
      <c r="M1680" s="227" t="n"/>
      <c r="N1680" s="127" t="n"/>
      <c r="O1680" s="227" t="n"/>
      <c r="P1680" s="227" t="n"/>
      <c r="Q1680" s="227" t="n"/>
      <c r="R1680" s="227" t="n"/>
      <c r="S1680" s="227" t="n"/>
      <c r="T1680" s="227" t="n"/>
    </row>
    <row r="1681">
      <c r="A1681" s="145">
        <f>IF($B1681="","",ROW()-5)</f>
        <v/>
      </c>
      <c r="B1681" s="127" t="n"/>
      <c r="C1681" s="223" t="n"/>
      <c r="D1681" s="127" t="n"/>
      <c r="E1681" s="227" t="n"/>
      <c r="F1681" s="227" t="n"/>
      <c r="G1681" s="227" t="n"/>
      <c r="H1681" s="227" t="n"/>
      <c r="I1681" s="227" t="n"/>
      <c r="J1681" s="227" t="n"/>
      <c r="K1681" s="227" t="n"/>
      <c r="L1681" s="227" t="n"/>
      <c r="M1681" s="227" t="n"/>
      <c r="N1681" s="127" t="n"/>
      <c r="O1681" s="227" t="n"/>
      <c r="P1681" s="227" t="n"/>
      <c r="Q1681" s="227" t="n"/>
      <c r="R1681" s="227" t="n"/>
      <c r="S1681" s="227" t="n"/>
      <c r="T1681" s="227" t="n"/>
    </row>
    <row r="1682">
      <c r="A1682" s="145">
        <f>IF($B1682="","",ROW()-5)</f>
        <v/>
      </c>
      <c r="B1682" s="127" t="n"/>
      <c r="C1682" s="223" t="n"/>
      <c r="D1682" s="127" t="n"/>
      <c r="E1682" s="227" t="n"/>
      <c r="F1682" s="227" t="n"/>
      <c r="G1682" s="227" t="n"/>
      <c r="H1682" s="227" t="n"/>
      <c r="I1682" s="227" t="n"/>
      <c r="J1682" s="227" t="n"/>
      <c r="K1682" s="227" t="n"/>
      <c r="L1682" s="227" t="n"/>
      <c r="M1682" s="227" t="n"/>
      <c r="N1682" s="127" t="n"/>
      <c r="O1682" s="227" t="n"/>
      <c r="P1682" s="227" t="n"/>
      <c r="Q1682" s="227" t="n"/>
      <c r="R1682" s="227" t="n"/>
      <c r="S1682" s="227" t="n"/>
      <c r="T1682" s="227" t="n"/>
    </row>
    <row r="1683">
      <c r="A1683" s="145">
        <f>IF($B1683="","",ROW()-5)</f>
        <v/>
      </c>
      <c r="B1683" s="127" t="n"/>
      <c r="C1683" s="223" t="n"/>
      <c r="D1683" s="127" t="n"/>
      <c r="E1683" s="227" t="n"/>
      <c r="F1683" s="227" t="n"/>
      <c r="G1683" s="227" t="n"/>
      <c r="H1683" s="227" t="n"/>
      <c r="I1683" s="227" t="n"/>
      <c r="J1683" s="227" t="n"/>
      <c r="K1683" s="227" t="n"/>
      <c r="L1683" s="227" t="n"/>
      <c r="M1683" s="227" t="n"/>
      <c r="N1683" s="127" t="n"/>
      <c r="O1683" s="227" t="n"/>
      <c r="P1683" s="227" t="n"/>
      <c r="Q1683" s="227" t="n"/>
      <c r="R1683" s="227" t="n"/>
      <c r="S1683" s="227" t="n"/>
      <c r="T1683" s="227" t="n"/>
    </row>
    <row r="1684">
      <c r="A1684" s="145">
        <f>IF($B1684="","",ROW()-5)</f>
        <v/>
      </c>
      <c r="B1684" s="127" t="n"/>
      <c r="C1684" s="223" t="n"/>
      <c r="D1684" s="127" t="n"/>
      <c r="E1684" s="227" t="n"/>
      <c r="F1684" s="227" t="n"/>
      <c r="G1684" s="227" t="n"/>
      <c r="H1684" s="227" t="n"/>
      <c r="I1684" s="227" t="n"/>
      <c r="J1684" s="227" t="n"/>
      <c r="K1684" s="227" t="n"/>
      <c r="L1684" s="227" t="n"/>
      <c r="M1684" s="227" t="n"/>
      <c r="N1684" s="127" t="n"/>
      <c r="O1684" s="227" t="n"/>
      <c r="P1684" s="227" t="n"/>
      <c r="Q1684" s="227" t="n"/>
      <c r="R1684" s="227" t="n"/>
      <c r="S1684" s="227" t="n"/>
      <c r="T1684" s="227" t="n"/>
    </row>
    <row r="1685">
      <c r="A1685" s="145">
        <f>IF($B1685="","",ROW()-5)</f>
        <v/>
      </c>
      <c r="B1685" s="127" t="n"/>
      <c r="C1685" s="223" t="n"/>
      <c r="D1685" s="127" t="n"/>
      <c r="E1685" s="227" t="n"/>
      <c r="F1685" s="227" t="n"/>
      <c r="G1685" s="227" t="n"/>
      <c r="H1685" s="227" t="n"/>
      <c r="I1685" s="227" t="n"/>
      <c r="J1685" s="227" t="n"/>
      <c r="K1685" s="227" t="n"/>
      <c r="L1685" s="227" t="n"/>
      <c r="M1685" s="227" t="n"/>
      <c r="N1685" s="127" t="n"/>
      <c r="O1685" s="227" t="n"/>
      <c r="P1685" s="227" t="n"/>
      <c r="Q1685" s="227" t="n"/>
      <c r="R1685" s="227" t="n"/>
      <c r="S1685" s="227" t="n"/>
      <c r="T1685" s="227" t="n"/>
    </row>
    <row r="1686">
      <c r="A1686" s="145">
        <f>IF($B1686="","",ROW()-5)</f>
        <v/>
      </c>
      <c r="B1686" s="127" t="n"/>
      <c r="C1686" s="223" t="n"/>
      <c r="D1686" s="127" t="n"/>
      <c r="E1686" s="227" t="n"/>
      <c r="F1686" s="227" t="n"/>
      <c r="G1686" s="227" t="n"/>
      <c r="H1686" s="227" t="n"/>
      <c r="I1686" s="227" t="n"/>
      <c r="J1686" s="227" t="n"/>
      <c r="K1686" s="227" t="n"/>
      <c r="L1686" s="227" t="n"/>
      <c r="M1686" s="227" t="n"/>
      <c r="N1686" s="127" t="n"/>
      <c r="O1686" s="227" t="n"/>
      <c r="P1686" s="227" t="n"/>
      <c r="Q1686" s="227" t="n"/>
      <c r="R1686" s="227" t="n"/>
      <c r="S1686" s="227" t="n"/>
      <c r="T1686" s="227" t="n"/>
    </row>
    <row r="1687">
      <c r="A1687" s="145">
        <f>IF($B1687="","",ROW()-5)</f>
        <v/>
      </c>
      <c r="B1687" s="127" t="n"/>
      <c r="C1687" s="223" t="n"/>
      <c r="D1687" s="127" t="n"/>
      <c r="E1687" s="227" t="n"/>
      <c r="F1687" s="227" t="n"/>
      <c r="G1687" s="227" t="n"/>
      <c r="H1687" s="227" t="n"/>
      <c r="I1687" s="227" t="n"/>
      <c r="J1687" s="227" t="n"/>
      <c r="K1687" s="227" t="n"/>
      <c r="L1687" s="227" t="n"/>
      <c r="M1687" s="227" t="n"/>
      <c r="N1687" s="127" t="n"/>
      <c r="O1687" s="227" t="n"/>
      <c r="P1687" s="227" t="n"/>
      <c r="Q1687" s="227" t="n"/>
      <c r="R1687" s="227" t="n"/>
      <c r="S1687" s="227" t="n"/>
      <c r="T1687" s="227" t="n"/>
    </row>
    <row r="1688">
      <c r="A1688" s="145">
        <f>IF($B1688="","",ROW()-5)</f>
        <v/>
      </c>
      <c r="B1688" s="127" t="n"/>
      <c r="C1688" s="223" t="n"/>
      <c r="D1688" s="127" t="n"/>
      <c r="E1688" s="227" t="n"/>
      <c r="F1688" s="227" t="n"/>
      <c r="G1688" s="227" t="n"/>
      <c r="H1688" s="227" t="n"/>
      <c r="I1688" s="227" t="n"/>
      <c r="J1688" s="227" t="n"/>
      <c r="K1688" s="227" t="n"/>
      <c r="L1688" s="227" t="n"/>
      <c r="M1688" s="227" t="n"/>
      <c r="N1688" s="127" t="n"/>
      <c r="O1688" s="227" t="n"/>
      <c r="P1688" s="227" t="n"/>
      <c r="Q1688" s="227" t="n"/>
      <c r="R1688" s="227" t="n"/>
      <c r="S1688" s="227" t="n"/>
      <c r="T1688" s="227" t="n"/>
    </row>
    <row r="1689">
      <c r="A1689" s="145">
        <f>IF($B1689="","",ROW()-5)</f>
        <v/>
      </c>
      <c r="B1689" s="127" t="n"/>
      <c r="C1689" s="223" t="n"/>
      <c r="D1689" s="127" t="n"/>
      <c r="E1689" s="227" t="n"/>
      <c r="F1689" s="227" t="n"/>
      <c r="G1689" s="227" t="n"/>
      <c r="H1689" s="227" t="n"/>
      <c r="I1689" s="227" t="n"/>
      <c r="J1689" s="227" t="n"/>
      <c r="K1689" s="227" t="n"/>
      <c r="L1689" s="227" t="n"/>
      <c r="M1689" s="227" t="n"/>
      <c r="N1689" s="127" t="n"/>
      <c r="O1689" s="227" t="n"/>
      <c r="P1689" s="227" t="n"/>
      <c r="Q1689" s="227" t="n"/>
      <c r="R1689" s="227" t="n"/>
      <c r="S1689" s="227" t="n"/>
      <c r="T1689" s="227" t="n"/>
    </row>
    <row r="1690">
      <c r="A1690" s="145">
        <f>IF($B1690="","",ROW()-5)</f>
        <v/>
      </c>
      <c r="B1690" s="127" t="n"/>
      <c r="C1690" s="223" t="n"/>
      <c r="D1690" s="127" t="n"/>
      <c r="E1690" s="227" t="n"/>
      <c r="F1690" s="227" t="n"/>
      <c r="G1690" s="227" t="n"/>
      <c r="H1690" s="227" t="n"/>
      <c r="I1690" s="227" t="n"/>
      <c r="J1690" s="227" t="n"/>
      <c r="K1690" s="227" t="n"/>
      <c r="L1690" s="227" t="n"/>
      <c r="M1690" s="227" t="n"/>
      <c r="N1690" s="127" t="n"/>
      <c r="O1690" s="227" t="n"/>
      <c r="P1690" s="227" t="n"/>
      <c r="Q1690" s="227" t="n"/>
      <c r="R1690" s="227" t="n"/>
      <c r="S1690" s="227" t="n"/>
      <c r="T1690" s="227" t="n"/>
    </row>
    <row r="1691">
      <c r="A1691" s="145">
        <f>IF($B1691="","",ROW()-5)</f>
        <v/>
      </c>
      <c r="B1691" s="127" t="n"/>
      <c r="C1691" s="223" t="n"/>
      <c r="D1691" s="127" t="n"/>
      <c r="E1691" s="227" t="n"/>
      <c r="F1691" s="227" t="n"/>
      <c r="G1691" s="227" t="n"/>
      <c r="H1691" s="227" t="n"/>
      <c r="I1691" s="227" t="n"/>
      <c r="J1691" s="227" t="n"/>
      <c r="K1691" s="227" t="n"/>
      <c r="L1691" s="227" t="n"/>
      <c r="M1691" s="227" t="n"/>
      <c r="N1691" s="127" t="n"/>
      <c r="O1691" s="227" t="n"/>
      <c r="P1691" s="227" t="n"/>
      <c r="Q1691" s="227" t="n"/>
      <c r="R1691" s="227" t="n"/>
      <c r="S1691" s="227" t="n"/>
      <c r="T1691" s="227" t="n"/>
    </row>
    <row r="1692">
      <c r="A1692" s="145">
        <f>IF($B1692="","",ROW()-5)</f>
        <v/>
      </c>
      <c r="B1692" s="127" t="n"/>
      <c r="C1692" s="223" t="n"/>
      <c r="D1692" s="127" t="n"/>
      <c r="E1692" s="227" t="n"/>
      <c r="F1692" s="227" t="n"/>
      <c r="G1692" s="227" t="n"/>
      <c r="H1692" s="227" t="n"/>
      <c r="I1692" s="227" t="n"/>
      <c r="J1692" s="227" t="n"/>
      <c r="K1692" s="227" t="n"/>
      <c r="L1692" s="227" t="n"/>
      <c r="M1692" s="227" t="n"/>
      <c r="N1692" s="127" t="n"/>
      <c r="O1692" s="227" t="n"/>
      <c r="P1692" s="227" t="n"/>
      <c r="Q1692" s="227" t="n"/>
      <c r="R1692" s="227" t="n"/>
      <c r="S1692" s="227" t="n"/>
      <c r="T1692" s="227" t="n"/>
    </row>
    <row r="1693">
      <c r="A1693" s="145">
        <f>IF($B1693="","",ROW()-5)</f>
        <v/>
      </c>
      <c r="B1693" s="127" t="n"/>
      <c r="C1693" s="223" t="n"/>
      <c r="D1693" s="127" t="n"/>
      <c r="E1693" s="227" t="n"/>
      <c r="F1693" s="227" t="n"/>
      <c r="G1693" s="227" t="n"/>
      <c r="H1693" s="227" t="n"/>
      <c r="I1693" s="227" t="n"/>
      <c r="J1693" s="227" t="n"/>
      <c r="K1693" s="227" t="n"/>
      <c r="L1693" s="227" t="n"/>
      <c r="M1693" s="227" t="n"/>
      <c r="N1693" s="127" t="n"/>
      <c r="O1693" s="227" t="n"/>
      <c r="P1693" s="227" t="n"/>
      <c r="Q1693" s="227" t="n"/>
      <c r="R1693" s="227" t="n"/>
      <c r="S1693" s="227" t="n"/>
      <c r="T1693" s="227" t="n"/>
    </row>
    <row r="1694">
      <c r="A1694" s="145">
        <f>IF($B1694="","",ROW()-5)</f>
        <v/>
      </c>
      <c r="B1694" s="127" t="n"/>
      <c r="C1694" s="223" t="n"/>
      <c r="D1694" s="127" t="n"/>
      <c r="E1694" s="227" t="n"/>
      <c r="F1694" s="227" t="n"/>
      <c r="G1694" s="227" t="n"/>
      <c r="H1694" s="227" t="n"/>
      <c r="I1694" s="227" t="n"/>
      <c r="J1694" s="227" t="n"/>
      <c r="K1694" s="227" t="n"/>
      <c r="L1694" s="227" t="n"/>
      <c r="M1694" s="227" t="n"/>
      <c r="N1694" s="127" t="n"/>
      <c r="O1694" s="227" t="n"/>
      <c r="P1694" s="227" t="n"/>
      <c r="Q1694" s="227" t="n"/>
      <c r="R1694" s="227" t="n"/>
      <c r="S1694" s="227" t="n"/>
      <c r="T1694" s="227" t="n"/>
    </row>
    <row r="1695">
      <c r="A1695" s="145">
        <f>IF($B1695="","",ROW()-5)</f>
        <v/>
      </c>
      <c r="B1695" s="127" t="n"/>
      <c r="C1695" s="223" t="n"/>
      <c r="D1695" s="127" t="n"/>
      <c r="E1695" s="227" t="n"/>
      <c r="F1695" s="227" t="n"/>
      <c r="G1695" s="227" t="n"/>
      <c r="H1695" s="227" t="n"/>
      <c r="I1695" s="227" t="n"/>
      <c r="J1695" s="227" t="n"/>
      <c r="K1695" s="227" t="n"/>
      <c r="L1695" s="227" t="n"/>
      <c r="M1695" s="227" t="n"/>
      <c r="N1695" s="127" t="n"/>
      <c r="O1695" s="227" t="n"/>
      <c r="P1695" s="227" t="n"/>
      <c r="Q1695" s="227" t="n"/>
      <c r="R1695" s="227" t="n"/>
      <c r="S1695" s="227" t="n"/>
      <c r="T1695" s="227" t="n"/>
    </row>
    <row r="1696">
      <c r="A1696" s="145">
        <f>IF($B1696="","",ROW()-5)</f>
        <v/>
      </c>
      <c r="B1696" s="127" t="n"/>
      <c r="C1696" s="223" t="n"/>
      <c r="D1696" s="127" t="n"/>
      <c r="E1696" s="227" t="n"/>
      <c r="F1696" s="227" t="n"/>
      <c r="G1696" s="227" t="n"/>
      <c r="H1696" s="227" t="n"/>
      <c r="I1696" s="227" t="n"/>
      <c r="J1696" s="227" t="n"/>
      <c r="K1696" s="227" t="n"/>
      <c r="L1696" s="227" t="n"/>
      <c r="M1696" s="227" t="n"/>
      <c r="N1696" s="127" t="n"/>
      <c r="O1696" s="227" t="n"/>
      <c r="P1696" s="227" t="n"/>
      <c r="Q1696" s="227" t="n"/>
      <c r="R1696" s="227" t="n"/>
      <c r="S1696" s="227" t="n"/>
      <c r="T1696" s="227" t="n"/>
    </row>
    <row r="1697">
      <c r="A1697" s="145">
        <f>IF($B1697="","",ROW()-5)</f>
        <v/>
      </c>
      <c r="B1697" s="127" t="n"/>
      <c r="C1697" s="223" t="n"/>
      <c r="D1697" s="127" t="n"/>
      <c r="E1697" s="227" t="n"/>
      <c r="F1697" s="227" t="n"/>
      <c r="G1697" s="227" t="n"/>
      <c r="H1697" s="227" t="n"/>
      <c r="I1697" s="227" t="n"/>
      <c r="J1697" s="227" t="n"/>
      <c r="K1697" s="227" t="n"/>
      <c r="L1697" s="227" t="n"/>
      <c r="M1697" s="227" t="n"/>
      <c r="N1697" s="127" t="n"/>
      <c r="O1697" s="227" t="n"/>
      <c r="P1697" s="227" t="n"/>
      <c r="Q1697" s="227" t="n"/>
      <c r="R1697" s="227" t="n"/>
      <c r="S1697" s="227" t="n"/>
      <c r="T1697" s="227" t="n"/>
    </row>
    <row r="1698">
      <c r="A1698" s="145">
        <f>IF($B1698="","",ROW()-5)</f>
        <v/>
      </c>
      <c r="B1698" s="127" t="n"/>
      <c r="C1698" s="223" t="n"/>
      <c r="D1698" s="127" t="n"/>
      <c r="E1698" s="227" t="n"/>
      <c r="F1698" s="227" t="n"/>
      <c r="G1698" s="227" t="n"/>
      <c r="H1698" s="227" t="n"/>
      <c r="I1698" s="227" t="n"/>
      <c r="J1698" s="227" t="n"/>
      <c r="K1698" s="227" t="n"/>
      <c r="L1698" s="227" t="n"/>
      <c r="M1698" s="227" t="n"/>
      <c r="N1698" s="127" t="n"/>
      <c r="O1698" s="227" t="n"/>
      <c r="P1698" s="227" t="n"/>
      <c r="Q1698" s="227" t="n"/>
      <c r="R1698" s="227" t="n"/>
      <c r="S1698" s="227" t="n"/>
      <c r="T1698" s="227" t="n"/>
    </row>
    <row r="1699">
      <c r="A1699" s="145">
        <f>IF($B1699="","",ROW()-5)</f>
        <v/>
      </c>
      <c r="B1699" s="127" t="n"/>
      <c r="C1699" s="223" t="n"/>
      <c r="D1699" s="127" t="n"/>
      <c r="E1699" s="227" t="n"/>
      <c r="F1699" s="227" t="n"/>
      <c r="G1699" s="227" t="n"/>
      <c r="H1699" s="227" t="n"/>
      <c r="I1699" s="227" t="n"/>
      <c r="J1699" s="227" t="n"/>
      <c r="K1699" s="227" t="n"/>
      <c r="L1699" s="227" t="n"/>
      <c r="M1699" s="227" t="n"/>
      <c r="N1699" s="127" t="n"/>
      <c r="O1699" s="227" t="n"/>
      <c r="P1699" s="227" t="n"/>
      <c r="Q1699" s="227" t="n"/>
      <c r="R1699" s="227" t="n"/>
      <c r="S1699" s="227" t="n"/>
      <c r="T1699" s="227" t="n"/>
    </row>
    <row r="1700">
      <c r="A1700" s="145">
        <f>IF($B1700="","",ROW()-5)</f>
        <v/>
      </c>
      <c r="B1700" s="127" t="n"/>
      <c r="C1700" s="223" t="n"/>
      <c r="D1700" s="127" t="n"/>
      <c r="E1700" s="227" t="n"/>
      <c r="F1700" s="227" t="n"/>
      <c r="G1700" s="227" t="n"/>
      <c r="H1700" s="227" t="n"/>
      <c r="I1700" s="227" t="n"/>
      <c r="J1700" s="227" t="n"/>
      <c r="K1700" s="227" t="n"/>
      <c r="L1700" s="227" t="n"/>
      <c r="M1700" s="227" t="n"/>
      <c r="N1700" s="127" t="n"/>
      <c r="O1700" s="227" t="n"/>
      <c r="P1700" s="227" t="n"/>
      <c r="Q1700" s="227" t="n"/>
      <c r="R1700" s="227" t="n"/>
      <c r="S1700" s="227" t="n"/>
      <c r="T1700" s="227" t="n"/>
    </row>
    <row r="1701">
      <c r="A1701" s="145">
        <f>IF($B1701="","",ROW()-5)</f>
        <v/>
      </c>
      <c r="B1701" s="127" t="n"/>
      <c r="C1701" s="223" t="n"/>
      <c r="D1701" s="127" t="n"/>
      <c r="E1701" s="227" t="n"/>
      <c r="F1701" s="227" t="n"/>
      <c r="G1701" s="227" t="n"/>
      <c r="H1701" s="227" t="n"/>
      <c r="I1701" s="227" t="n"/>
      <c r="J1701" s="227" t="n"/>
      <c r="K1701" s="227" t="n"/>
      <c r="L1701" s="227" t="n"/>
      <c r="M1701" s="227" t="n"/>
      <c r="N1701" s="127" t="n"/>
      <c r="O1701" s="227" t="n"/>
      <c r="P1701" s="227" t="n"/>
      <c r="Q1701" s="227" t="n"/>
      <c r="R1701" s="227" t="n"/>
      <c r="S1701" s="227" t="n"/>
      <c r="T1701" s="227" t="n"/>
    </row>
    <row r="1702">
      <c r="A1702" s="145">
        <f>IF($B1702="","",ROW()-5)</f>
        <v/>
      </c>
      <c r="B1702" s="127" t="n"/>
      <c r="C1702" s="223" t="n"/>
      <c r="D1702" s="127" t="n"/>
      <c r="E1702" s="227" t="n"/>
      <c r="F1702" s="227" t="n"/>
      <c r="G1702" s="227" t="n"/>
      <c r="H1702" s="227" t="n"/>
      <c r="I1702" s="227" t="n"/>
      <c r="J1702" s="227" t="n"/>
      <c r="K1702" s="227" t="n"/>
      <c r="L1702" s="227" t="n"/>
      <c r="M1702" s="227" t="n"/>
      <c r="N1702" s="127" t="n"/>
      <c r="O1702" s="227" t="n"/>
      <c r="P1702" s="227" t="n"/>
      <c r="Q1702" s="227" t="n"/>
      <c r="R1702" s="227" t="n"/>
      <c r="S1702" s="227" t="n"/>
      <c r="T1702" s="227" t="n"/>
    </row>
    <row r="1703">
      <c r="A1703" s="145">
        <f>IF($B1703="","",ROW()-5)</f>
        <v/>
      </c>
      <c r="B1703" s="127" t="n"/>
      <c r="C1703" s="223" t="n"/>
      <c r="D1703" s="127" t="n"/>
      <c r="E1703" s="227" t="n"/>
      <c r="F1703" s="227" t="n"/>
      <c r="G1703" s="227" t="n"/>
      <c r="H1703" s="227" t="n"/>
      <c r="I1703" s="227" t="n"/>
      <c r="J1703" s="227" t="n"/>
      <c r="K1703" s="227" t="n"/>
      <c r="L1703" s="227" t="n"/>
      <c r="M1703" s="227" t="n"/>
      <c r="N1703" s="127" t="n"/>
      <c r="O1703" s="227" t="n"/>
      <c r="P1703" s="227" t="n"/>
      <c r="Q1703" s="227" t="n"/>
      <c r="R1703" s="227" t="n"/>
      <c r="S1703" s="227" t="n"/>
      <c r="T1703" s="227" t="n"/>
    </row>
    <row r="1704">
      <c r="A1704" s="145">
        <f>IF($B1704="","",ROW()-5)</f>
        <v/>
      </c>
      <c r="B1704" s="127" t="n"/>
      <c r="C1704" s="223" t="n"/>
      <c r="D1704" s="127" t="n"/>
      <c r="E1704" s="227" t="n"/>
      <c r="F1704" s="227" t="n"/>
      <c r="G1704" s="227" t="n"/>
      <c r="H1704" s="227" t="n"/>
      <c r="I1704" s="227" t="n"/>
      <c r="J1704" s="227" t="n"/>
      <c r="K1704" s="227" t="n"/>
      <c r="L1704" s="227" t="n"/>
      <c r="M1704" s="227" t="n"/>
      <c r="N1704" s="127" t="n"/>
      <c r="O1704" s="227" t="n"/>
      <c r="P1704" s="227" t="n"/>
      <c r="Q1704" s="227" t="n"/>
      <c r="R1704" s="227" t="n"/>
      <c r="S1704" s="227" t="n"/>
      <c r="T1704" s="227" t="n"/>
    </row>
    <row r="1705">
      <c r="A1705" s="145">
        <f>IF($B1705="","",ROW()-5)</f>
        <v/>
      </c>
      <c r="B1705" s="127" t="n"/>
      <c r="C1705" s="223" t="n"/>
      <c r="D1705" s="127" t="n"/>
      <c r="E1705" s="227" t="n"/>
      <c r="F1705" s="227" t="n"/>
      <c r="G1705" s="227" t="n"/>
      <c r="H1705" s="227" t="n"/>
      <c r="I1705" s="227" t="n"/>
      <c r="J1705" s="227" t="n"/>
      <c r="K1705" s="227" t="n"/>
      <c r="L1705" s="227" t="n"/>
      <c r="M1705" s="227" t="n"/>
      <c r="N1705" s="127" t="n"/>
      <c r="O1705" s="227" t="n"/>
      <c r="P1705" s="227" t="n"/>
      <c r="Q1705" s="227" t="n"/>
      <c r="R1705" s="227" t="n"/>
      <c r="S1705" s="227" t="n"/>
      <c r="T1705" s="227" t="n"/>
    </row>
    <row r="1706">
      <c r="A1706" s="145">
        <f>IF($B1706="","",ROW()-5)</f>
        <v/>
      </c>
      <c r="B1706" s="127" t="n"/>
      <c r="C1706" s="223" t="n"/>
      <c r="D1706" s="127" t="n"/>
      <c r="E1706" s="227" t="n"/>
      <c r="F1706" s="227" t="n"/>
      <c r="G1706" s="227" t="n"/>
      <c r="H1706" s="227" t="n"/>
      <c r="I1706" s="227" t="n"/>
      <c r="J1706" s="227" t="n"/>
      <c r="K1706" s="227" t="n"/>
      <c r="L1706" s="227" t="n"/>
      <c r="M1706" s="227" t="n"/>
      <c r="N1706" s="127" t="n"/>
      <c r="O1706" s="227" t="n"/>
      <c r="P1706" s="227" t="n"/>
      <c r="Q1706" s="227" t="n"/>
      <c r="R1706" s="227" t="n"/>
      <c r="S1706" s="227" t="n"/>
      <c r="T1706" s="227" t="n"/>
    </row>
    <row r="1707">
      <c r="A1707" s="145">
        <f>IF($B1707="","",ROW()-5)</f>
        <v/>
      </c>
      <c r="B1707" s="127" t="n"/>
      <c r="C1707" s="223" t="n"/>
      <c r="D1707" s="127" t="n"/>
      <c r="E1707" s="227" t="n"/>
      <c r="F1707" s="227" t="n"/>
      <c r="G1707" s="227" t="n"/>
      <c r="H1707" s="227" t="n"/>
      <c r="I1707" s="227" t="n"/>
      <c r="J1707" s="227" t="n"/>
      <c r="K1707" s="227" t="n"/>
      <c r="L1707" s="227" t="n"/>
      <c r="M1707" s="227" t="n"/>
      <c r="N1707" s="127" t="n"/>
      <c r="O1707" s="227" t="n"/>
      <c r="P1707" s="227" t="n"/>
      <c r="Q1707" s="227" t="n"/>
      <c r="R1707" s="227" t="n"/>
      <c r="S1707" s="227" t="n"/>
      <c r="T1707" s="227" t="n"/>
    </row>
    <row r="1708">
      <c r="A1708" s="145">
        <f>IF($B1708="","",ROW()-5)</f>
        <v/>
      </c>
      <c r="B1708" s="127" t="n"/>
      <c r="C1708" s="223" t="n"/>
      <c r="D1708" s="127" t="n"/>
      <c r="E1708" s="227" t="n"/>
      <c r="F1708" s="227" t="n"/>
      <c r="G1708" s="227" t="n"/>
      <c r="H1708" s="227" t="n"/>
      <c r="I1708" s="227" t="n"/>
      <c r="J1708" s="227" t="n"/>
      <c r="K1708" s="227" t="n"/>
      <c r="L1708" s="227" t="n"/>
      <c r="M1708" s="227" t="n"/>
      <c r="N1708" s="127" t="n"/>
      <c r="O1708" s="227" t="n"/>
      <c r="P1708" s="227" t="n"/>
      <c r="Q1708" s="227" t="n"/>
      <c r="R1708" s="227" t="n"/>
      <c r="S1708" s="227" t="n"/>
      <c r="T1708" s="227" t="n"/>
    </row>
    <row r="1709">
      <c r="A1709" s="145">
        <f>IF($B1709="","",ROW()-5)</f>
        <v/>
      </c>
      <c r="B1709" s="127" t="n"/>
      <c r="C1709" s="223" t="n"/>
      <c r="D1709" s="127" t="n"/>
      <c r="E1709" s="227" t="n"/>
      <c r="F1709" s="227" t="n"/>
      <c r="G1709" s="227" t="n"/>
      <c r="H1709" s="227" t="n"/>
      <c r="I1709" s="227" t="n"/>
      <c r="J1709" s="227" t="n"/>
      <c r="K1709" s="227" t="n"/>
      <c r="L1709" s="227" t="n"/>
      <c r="M1709" s="227" t="n"/>
      <c r="N1709" s="127" t="n"/>
      <c r="O1709" s="227" t="n"/>
      <c r="P1709" s="227" t="n"/>
      <c r="Q1709" s="227" t="n"/>
      <c r="R1709" s="227" t="n"/>
      <c r="S1709" s="227" t="n"/>
      <c r="T1709" s="227" t="n"/>
    </row>
    <row r="1710">
      <c r="A1710" s="145">
        <f>IF($B1710="","",ROW()-5)</f>
        <v/>
      </c>
      <c r="B1710" s="127" t="n"/>
      <c r="C1710" s="223" t="n"/>
      <c r="D1710" s="127" t="n"/>
      <c r="E1710" s="227" t="n"/>
      <c r="F1710" s="227" t="n"/>
      <c r="G1710" s="227" t="n"/>
      <c r="H1710" s="227" t="n"/>
      <c r="I1710" s="227" t="n"/>
      <c r="J1710" s="227" t="n"/>
      <c r="K1710" s="227" t="n"/>
      <c r="L1710" s="227" t="n"/>
      <c r="M1710" s="227" t="n"/>
      <c r="N1710" s="127" t="n"/>
      <c r="O1710" s="227" t="n"/>
      <c r="P1710" s="227" t="n"/>
      <c r="Q1710" s="227" t="n"/>
      <c r="R1710" s="227" t="n"/>
      <c r="S1710" s="227" t="n"/>
      <c r="T1710" s="227" t="n"/>
    </row>
    <row r="1711">
      <c r="A1711" s="145">
        <f>IF($B1711="","",ROW()-5)</f>
        <v/>
      </c>
      <c r="B1711" s="127" t="n"/>
      <c r="C1711" s="223" t="n"/>
      <c r="D1711" s="127" t="n"/>
      <c r="E1711" s="227" t="n"/>
      <c r="F1711" s="227" t="n"/>
      <c r="G1711" s="227" t="n"/>
      <c r="H1711" s="227" t="n"/>
      <c r="I1711" s="227" t="n"/>
      <c r="J1711" s="227" t="n"/>
      <c r="K1711" s="227" t="n"/>
      <c r="L1711" s="227" t="n"/>
      <c r="M1711" s="227" t="n"/>
      <c r="N1711" s="127" t="n"/>
      <c r="O1711" s="227" t="n"/>
      <c r="P1711" s="227" t="n"/>
      <c r="Q1711" s="227" t="n"/>
      <c r="R1711" s="227" t="n"/>
      <c r="S1711" s="227" t="n"/>
      <c r="T1711" s="227" t="n"/>
    </row>
    <row r="1712">
      <c r="A1712" s="145">
        <f>IF($B1712="","",ROW()-5)</f>
        <v/>
      </c>
      <c r="B1712" s="127" t="n"/>
      <c r="C1712" s="223" t="n"/>
      <c r="D1712" s="127" t="n"/>
      <c r="E1712" s="227" t="n"/>
      <c r="F1712" s="227" t="n"/>
      <c r="G1712" s="227" t="n"/>
      <c r="H1712" s="227" t="n"/>
      <c r="I1712" s="227" t="n"/>
      <c r="J1712" s="227" t="n"/>
      <c r="K1712" s="227" t="n"/>
      <c r="L1712" s="227" t="n"/>
      <c r="M1712" s="227" t="n"/>
      <c r="N1712" s="127" t="n"/>
      <c r="O1712" s="227" t="n"/>
      <c r="P1712" s="227" t="n"/>
      <c r="Q1712" s="227" t="n"/>
      <c r="R1712" s="227" t="n"/>
      <c r="S1712" s="227" t="n"/>
      <c r="T1712" s="227" t="n"/>
    </row>
    <row r="1713">
      <c r="A1713" s="145">
        <f>IF($B1713="","",ROW()-5)</f>
        <v/>
      </c>
      <c r="B1713" s="127" t="n"/>
      <c r="C1713" s="223" t="n"/>
      <c r="D1713" s="127" t="n"/>
      <c r="E1713" s="227" t="n"/>
      <c r="F1713" s="227" t="n"/>
      <c r="G1713" s="227" t="n"/>
      <c r="H1713" s="227" t="n"/>
      <c r="I1713" s="227" t="n"/>
      <c r="J1713" s="227" t="n"/>
      <c r="K1713" s="227" t="n"/>
      <c r="L1713" s="227" t="n"/>
      <c r="M1713" s="227" t="n"/>
      <c r="N1713" s="127" t="n"/>
      <c r="O1713" s="227" t="n"/>
      <c r="P1713" s="227" t="n"/>
      <c r="Q1713" s="227" t="n"/>
      <c r="R1713" s="227" t="n"/>
      <c r="S1713" s="227" t="n"/>
      <c r="T1713" s="227" t="n"/>
    </row>
    <row r="1714">
      <c r="A1714" s="145">
        <f>IF($B1714="","",ROW()-5)</f>
        <v/>
      </c>
      <c r="B1714" s="127" t="n"/>
      <c r="C1714" s="223" t="n"/>
      <c r="D1714" s="127" t="n"/>
      <c r="E1714" s="227" t="n"/>
      <c r="F1714" s="227" t="n"/>
      <c r="G1714" s="227" t="n"/>
      <c r="H1714" s="227" t="n"/>
      <c r="I1714" s="227" t="n"/>
      <c r="J1714" s="227" t="n"/>
      <c r="K1714" s="227" t="n"/>
      <c r="L1714" s="227" t="n"/>
      <c r="M1714" s="227" t="n"/>
      <c r="N1714" s="127" t="n"/>
      <c r="O1714" s="227" t="n"/>
      <c r="P1714" s="227" t="n"/>
      <c r="Q1714" s="227" t="n"/>
      <c r="R1714" s="227" t="n"/>
      <c r="S1714" s="227" t="n"/>
      <c r="T1714" s="227" t="n"/>
    </row>
    <row r="1715">
      <c r="A1715" s="145">
        <f>IF($B1715="","",ROW()-5)</f>
        <v/>
      </c>
      <c r="B1715" s="127" t="n"/>
      <c r="C1715" s="223" t="n"/>
      <c r="D1715" s="127" t="n"/>
      <c r="E1715" s="227" t="n"/>
      <c r="F1715" s="227" t="n"/>
      <c r="G1715" s="227" t="n"/>
      <c r="H1715" s="227" t="n"/>
      <c r="I1715" s="227" t="n"/>
      <c r="J1715" s="227" t="n"/>
      <c r="K1715" s="227" t="n"/>
      <c r="L1715" s="227" t="n"/>
      <c r="M1715" s="227" t="n"/>
      <c r="N1715" s="127" t="n"/>
      <c r="O1715" s="227" t="n"/>
      <c r="P1715" s="227" t="n"/>
      <c r="Q1715" s="227" t="n"/>
      <c r="R1715" s="227" t="n"/>
      <c r="S1715" s="227" t="n"/>
      <c r="T1715" s="227" t="n"/>
    </row>
    <row r="1716">
      <c r="A1716" s="145">
        <f>IF($B1716="","",ROW()-5)</f>
        <v/>
      </c>
      <c r="B1716" s="127" t="n"/>
      <c r="C1716" s="223" t="n"/>
      <c r="D1716" s="127" t="n"/>
      <c r="E1716" s="227" t="n"/>
      <c r="F1716" s="227" t="n"/>
      <c r="G1716" s="227" t="n"/>
      <c r="H1716" s="227" t="n"/>
      <c r="I1716" s="227" t="n"/>
      <c r="J1716" s="227" t="n"/>
      <c r="K1716" s="227" t="n"/>
      <c r="L1716" s="227" t="n"/>
      <c r="M1716" s="227" t="n"/>
      <c r="N1716" s="127" t="n"/>
      <c r="O1716" s="227" t="n"/>
      <c r="P1716" s="227" t="n"/>
      <c r="Q1716" s="227" t="n"/>
      <c r="R1716" s="227" t="n"/>
      <c r="S1716" s="227" t="n"/>
      <c r="T1716" s="227" t="n"/>
    </row>
    <row r="1717">
      <c r="A1717" s="145">
        <f>IF($B1717="","",ROW()-5)</f>
        <v/>
      </c>
      <c r="B1717" s="127" t="n"/>
      <c r="C1717" s="223" t="n"/>
      <c r="D1717" s="127" t="n"/>
      <c r="E1717" s="227" t="n"/>
      <c r="F1717" s="227" t="n"/>
      <c r="G1717" s="227" t="n"/>
      <c r="H1717" s="227" t="n"/>
      <c r="I1717" s="227" t="n"/>
      <c r="J1717" s="227" t="n"/>
      <c r="K1717" s="227" t="n"/>
      <c r="L1717" s="227" t="n"/>
      <c r="M1717" s="227" t="n"/>
      <c r="N1717" s="127" t="n"/>
      <c r="O1717" s="227" t="n"/>
      <c r="P1717" s="227" t="n"/>
      <c r="Q1717" s="227" t="n"/>
      <c r="R1717" s="227" t="n"/>
      <c r="S1717" s="227" t="n"/>
      <c r="T1717" s="227" t="n"/>
    </row>
    <row r="1718">
      <c r="A1718" s="145">
        <f>IF($B1718="","",ROW()-5)</f>
        <v/>
      </c>
      <c r="B1718" s="127" t="n"/>
      <c r="C1718" s="223" t="n"/>
      <c r="D1718" s="127" t="n"/>
      <c r="E1718" s="227" t="n"/>
      <c r="F1718" s="227" t="n"/>
      <c r="G1718" s="227" t="n"/>
      <c r="H1718" s="227" t="n"/>
      <c r="I1718" s="227" t="n"/>
      <c r="J1718" s="227" t="n"/>
      <c r="K1718" s="227" t="n"/>
      <c r="L1718" s="227" t="n"/>
      <c r="M1718" s="227" t="n"/>
      <c r="N1718" s="127" t="n"/>
      <c r="O1718" s="227" t="n"/>
      <c r="P1718" s="227" t="n"/>
      <c r="Q1718" s="227" t="n"/>
      <c r="R1718" s="227" t="n"/>
      <c r="S1718" s="227" t="n"/>
      <c r="T1718" s="227" t="n"/>
    </row>
    <row r="1719">
      <c r="A1719" s="145">
        <f>IF($B1719="","",ROW()-5)</f>
        <v/>
      </c>
      <c r="B1719" s="127" t="n"/>
      <c r="C1719" s="223" t="n"/>
      <c r="D1719" s="127" t="n"/>
      <c r="E1719" s="227" t="n"/>
      <c r="F1719" s="227" t="n"/>
      <c r="G1719" s="227" t="n"/>
      <c r="H1719" s="227" t="n"/>
      <c r="I1719" s="227" t="n"/>
      <c r="J1719" s="227" t="n"/>
      <c r="K1719" s="227" t="n"/>
      <c r="L1719" s="227" t="n"/>
      <c r="M1719" s="227" t="n"/>
      <c r="N1719" s="127" t="n"/>
      <c r="O1719" s="227" t="n"/>
      <c r="P1719" s="227" t="n"/>
      <c r="Q1719" s="227" t="n"/>
      <c r="R1719" s="227" t="n"/>
      <c r="S1719" s="227" t="n"/>
      <c r="T1719" s="227" t="n"/>
    </row>
    <row r="1720">
      <c r="A1720" s="145">
        <f>IF($B1720="","",ROW()-5)</f>
        <v/>
      </c>
      <c r="B1720" s="127" t="n"/>
      <c r="C1720" s="223" t="n"/>
      <c r="D1720" s="127" t="n"/>
      <c r="E1720" s="227" t="n"/>
      <c r="F1720" s="227" t="n"/>
      <c r="G1720" s="227" t="n"/>
      <c r="H1720" s="227" t="n"/>
      <c r="I1720" s="227" t="n"/>
      <c r="J1720" s="227" t="n"/>
      <c r="K1720" s="227" t="n"/>
      <c r="L1720" s="227" t="n"/>
      <c r="M1720" s="227" t="n"/>
      <c r="N1720" s="127" t="n"/>
      <c r="O1720" s="227" t="n"/>
      <c r="P1720" s="227" t="n"/>
      <c r="Q1720" s="227" t="n"/>
      <c r="R1720" s="227" t="n"/>
      <c r="S1720" s="227" t="n"/>
      <c r="T1720" s="227" t="n"/>
    </row>
    <row r="1721">
      <c r="A1721" s="145">
        <f>IF($B1721="","",ROW()-5)</f>
        <v/>
      </c>
      <c r="B1721" s="127" t="n"/>
      <c r="C1721" s="223" t="n"/>
      <c r="D1721" s="127" t="n"/>
      <c r="E1721" s="227" t="n"/>
      <c r="F1721" s="227" t="n"/>
      <c r="G1721" s="227" t="n"/>
      <c r="H1721" s="227" t="n"/>
      <c r="I1721" s="227" t="n"/>
      <c r="J1721" s="227" t="n"/>
      <c r="K1721" s="227" t="n"/>
      <c r="L1721" s="227" t="n"/>
      <c r="M1721" s="227" t="n"/>
      <c r="N1721" s="127" t="n"/>
      <c r="O1721" s="227" t="n"/>
      <c r="P1721" s="227" t="n"/>
      <c r="Q1721" s="227" t="n"/>
      <c r="R1721" s="227" t="n"/>
      <c r="S1721" s="227" t="n"/>
      <c r="T1721" s="227" t="n"/>
    </row>
    <row r="1722">
      <c r="A1722" s="145">
        <f>IF($B1722="","",ROW()-5)</f>
        <v/>
      </c>
      <c r="B1722" s="127" t="n"/>
      <c r="C1722" s="223" t="n"/>
      <c r="D1722" s="127" t="n"/>
      <c r="E1722" s="227" t="n"/>
      <c r="F1722" s="227" t="n"/>
      <c r="G1722" s="227" t="n"/>
      <c r="H1722" s="227" t="n"/>
      <c r="I1722" s="227" t="n"/>
      <c r="J1722" s="227" t="n"/>
      <c r="K1722" s="227" t="n"/>
      <c r="L1722" s="227" t="n"/>
      <c r="M1722" s="227" t="n"/>
      <c r="N1722" s="127" t="n"/>
      <c r="O1722" s="227" t="n"/>
      <c r="P1722" s="227" t="n"/>
      <c r="Q1722" s="227" t="n"/>
      <c r="R1722" s="227" t="n"/>
      <c r="S1722" s="227" t="n"/>
      <c r="T1722" s="227" t="n"/>
    </row>
    <row r="1723">
      <c r="A1723" s="145">
        <f>IF($B1723="","",ROW()-5)</f>
        <v/>
      </c>
      <c r="B1723" s="127" t="n"/>
      <c r="C1723" s="223" t="n"/>
      <c r="D1723" s="127" t="n"/>
      <c r="E1723" s="227" t="n"/>
      <c r="F1723" s="227" t="n"/>
      <c r="G1723" s="227" t="n"/>
      <c r="H1723" s="227" t="n"/>
      <c r="I1723" s="227" t="n"/>
      <c r="J1723" s="227" t="n"/>
      <c r="K1723" s="227" t="n"/>
      <c r="L1723" s="227" t="n"/>
      <c r="M1723" s="227" t="n"/>
      <c r="N1723" s="127" t="n"/>
      <c r="O1723" s="227" t="n"/>
      <c r="P1723" s="227" t="n"/>
      <c r="Q1723" s="227" t="n"/>
      <c r="R1723" s="227" t="n"/>
      <c r="S1723" s="227" t="n"/>
      <c r="T1723" s="227" t="n"/>
    </row>
    <row r="1724">
      <c r="A1724" s="145">
        <f>IF($B1724="","",ROW()-5)</f>
        <v/>
      </c>
      <c r="B1724" s="127" t="n"/>
      <c r="C1724" s="223" t="n"/>
      <c r="D1724" s="127" t="n"/>
      <c r="E1724" s="227" t="n"/>
      <c r="F1724" s="227" t="n"/>
      <c r="G1724" s="227" t="n"/>
      <c r="H1724" s="227" t="n"/>
      <c r="I1724" s="227" t="n"/>
      <c r="J1724" s="227" t="n"/>
      <c r="K1724" s="227" t="n"/>
      <c r="L1724" s="227" t="n"/>
      <c r="M1724" s="227" t="n"/>
      <c r="N1724" s="127" t="n"/>
      <c r="O1724" s="227" t="n"/>
      <c r="P1724" s="227" t="n"/>
      <c r="Q1724" s="227" t="n"/>
      <c r="R1724" s="227" t="n"/>
      <c r="S1724" s="227" t="n"/>
      <c r="T1724" s="227" t="n"/>
    </row>
    <row r="1725">
      <c r="A1725" s="145">
        <f>IF($B1725="","",ROW()-5)</f>
        <v/>
      </c>
      <c r="B1725" s="127" t="n"/>
      <c r="C1725" s="223" t="n"/>
      <c r="D1725" s="127" t="n"/>
      <c r="E1725" s="227" t="n"/>
      <c r="F1725" s="227" t="n"/>
      <c r="G1725" s="227" t="n"/>
      <c r="H1725" s="227" t="n"/>
      <c r="I1725" s="227" t="n"/>
      <c r="J1725" s="227" t="n"/>
      <c r="K1725" s="227" t="n"/>
      <c r="L1725" s="227" t="n"/>
      <c r="M1725" s="227" t="n"/>
      <c r="N1725" s="127" t="n"/>
      <c r="O1725" s="227" t="n"/>
      <c r="P1725" s="227" t="n"/>
      <c r="Q1725" s="227" t="n"/>
      <c r="R1725" s="227" t="n"/>
      <c r="S1725" s="227" t="n"/>
      <c r="T1725" s="227" t="n"/>
    </row>
    <row r="1726">
      <c r="A1726" s="145">
        <f>IF($B1726="","",ROW()-5)</f>
        <v/>
      </c>
      <c r="B1726" s="127" t="n"/>
      <c r="C1726" s="223" t="n"/>
      <c r="D1726" s="127" t="n"/>
      <c r="E1726" s="227" t="n"/>
      <c r="F1726" s="227" t="n"/>
      <c r="G1726" s="227" t="n"/>
      <c r="H1726" s="227" t="n"/>
      <c r="I1726" s="227" t="n"/>
      <c r="J1726" s="227" t="n"/>
      <c r="K1726" s="227" t="n"/>
      <c r="L1726" s="227" t="n"/>
      <c r="M1726" s="227" t="n"/>
      <c r="N1726" s="127" t="n"/>
      <c r="O1726" s="227" t="n"/>
      <c r="P1726" s="227" t="n"/>
      <c r="Q1726" s="227" t="n"/>
      <c r="R1726" s="227" t="n"/>
      <c r="S1726" s="227" t="n"/>
      <c r="T1726" s="227" t="n"/>
    </row>
    <row r="1727">
      <c r="A1727" s="145">
        <f>IF($B1727="","",ROW()-5)</f>
        <v/>
      </c>
      <c r="B1727" s="127" t="n"/>
      <c r="C1727" s="223" t="n"/>
      <c r="D1727" s="127" t="n"/>
      <c r="E1727" s="227" t="n"/>
      <c r="F1727" s="227" t="n"/>
      <c r="G1727" s="227" t="n"/>
      <c r="H1727" s="227" t="n"/>
      <c r="I1727" s="227" t="n"/>
      <c r="J1727" s="227" t="n"/>
      <c r="K1727" s="227" t="n"/>
      <c r="L1727" s="227" t="n"/>
      <c r="M1727" s="227" t="n"/>
      <c r="N1727" s="127" t="n"/>
      <c r="O1727" s="227" t="n"/>
      <c r="P1727" s="227" t="n"/>
      <c r="Q1727" s="227" t="n"/>
      <c r="R1727" s="227" t="n"/>
      <c r="S1727" s="227" t="n"/>
      <c r="T1727" s="227" t="n"/>
    </row>
    <row r="1728">
      <c r="A1728" s="145">
        <f>IF($B1728="","",ROW()-5)</f>
        <v/>
      </c>
      <c r="B1728" s="127" t="n"/>
      <c r="C1728" s="223" t="n"/>
      <c r="D1728" s="127" t="n"/>
      <c r="E1728" s="227" t="n"/>
      <c r="F1728" s="227" t="n"/>
      <c r="G1728" s="227" t="n"/>
      <c r="H1728" s="227" t="n"/>
      <c r="I1728" s="227" t="n"/>
      <c r="J1728" s="227" t="n"/>
      <c r="K1728" s="227" t="n"/>
      <c r="L1728" s="227" t="n"/>
      <c r="M1728" s="227" t="n"/>
      <c r="N1728" s="127" t="n"/>
      <c r="O1728" s="227" t="n"/>
      <c r="P1728" s="227" t="n"/>
      <c r="Q1728" s="227" t="n"/>
      <c r="R1728" s="227" t="n"/>
      <c r="S1728" s="227" t="n"/>
      <c r="T1728" s="227" t="n"/>
    </row>
    <row r="1729">
      <c r="A1729" s="145">
        <f>IF($B1729="","",ROW()-5)</f>
        <v/>
      </c>
      <c r="B1729" s="127" t="n"/>
      <c r="C1729" s="223" t="n"/>
      <c r="D1729" s="127" t="n"/>
      <c r="E1729" s="227" t="n"/>
      <c r="F1729" s="227" t="n"/>
      <c r="G1729" s="227" t="n"/>
      <c r="H1729" s="227" t="n"/>
      <c r="I1729" s="227" t="n"/>
      <c r="J1729" s="227" t="n"/>
      <c r="K1729" s="227" t="n"/>
      <c r="L1729" s="227" t="n"/>
      <c r="M1729" s="227" t="n"/>
      <c r="N1729" s="127" t="n"/>
      <c r="O1729" s="227" t="n"/>
      <c r="P1729" s="227" t="n"/>
      <c r="Q1729" s="227" t="n"/>
      <c r="R1729" s="227" t="n"/>
      <c r="S1729" s="227" t="n"/>
      <c r="T1729" s="227" t="n"/>
    </row>
    <row r="1730">
      <c r="A1730" s="145">
        <f>IF($B1730="","",ROW()-5)</f>
        <v/>
      </c>
      <c r="B1730" s="127" t="n"/>
      <c r="C1730" s="223" t="n"/>
      <c r="D1730" s="127" t="n"/>
      <c r="E1730" s="227" t="n"/>
      <c r="F1730" s="227" t="n"/>
      <c r="G1730" s="227" t="n"/>
      <c r="H1730" s="227" t="n"/>
      <c r="I1730" s="227" t="n"/>
      <c r="J1730" s="227" t="n"/>
      <c r="K1730" s="227" t="n"/>
      <c r="L1730" s="227" t="n"/>
      <c r="M1730" s="227" t="n"/>
      <c r="N1730" s="127" t="n"/>
      <c r="O1730" s="227" t="n"/>
      <c r="P1730" s="227" t="n"/>
      <c r="Q1730" s="227" t="n"/>
      <c r="R1730" s="227" t="n"/>
      <c r="S1730" s="227" t="n"/>
      <c r="T1730" s="227" t="n"/>
    </row>
    <row r="1731">
      <c r="A1731" s="145">
        <f>IF($B1731="","",ROW()-5)</f>
        <v/>
      </c>
      <c r="B1731" s="127" t="n"/>
      <c r="C1731" s="223" t="n"/>
      <c r="D1731" s="127" t="n"/>
      <c r="E1731" s="227" t="n"/>
      <c r="F1731" s="227" t="n"/>
      <c r="G1731" s="227" t="n"/>
      <c r="H1731" s="227" t="n"/>
      <c r="I1731" s="227" t="n"/>
      <c r="J1731" s="227" t="n"/>
      <c r="K1731" s="227" t="n"/>
      <c r="L1731" s="227" t="n"/>
      <c r="M1731" s="227" t="n"/>
      <c r="N1731" s="127" t="n"/>
      <c r="O1731" s="227" t="n"/>
      <c r="P1731" s="227" t="n"/>
      <c r="Q1731" s="227" t="n"/>
      <c r="R1731" s="227" t="n"/>
      <c r="S1731" s="227" t="n"/>
      <c r="T1731" s="227" t="n"/>
    </row>
    <row r="1732">
      <c r="A1732" s="145">
        <f>IF($B1732="","",ROW()-5)</f>
        <v/>
      </c>
      <c r="B1732" s="127" t="n"/>
      <c r="C1732" s="223" t="n"/>
      <c r="D1732" s="127" t="n"/>
      <c r="E1732" s="227" t="n"/>
      <c r="F1732" s="227" t="n"/>
      <c r="G1732" s="227" t="n"/>
      <c r="H1732" s="227" t="n"/>
      <c r="I1732" s="227" t="n"/>
      <c r="J1732" s="227" t="n"/>
      <c r="K1732" s="227" t="n"/>
      <c r="L1732" s="227" t="n"/>
      <c r="M1732" s="227" t="n"/>
      <c r="N1732" s="127" t="n"/>
      <c r="O1732" s="227" t="n"/>
      <c r="P1732" s="227" t="n"/>
      <c r="Q1732" s="227" t="n"/>
      <c r="R1732" s="227" t="n"/>
      <c r="S1732" s="227" t="n"/>
      <c r="T1732" s="227" t="n"/>
    </row>
    <row r="1733">
      <c r="A1733" s="145">
        <f>IF($B1733="","",ROW()-5)</f>
        <v/>
      </c>
      <c r="B1733" s="127" t="n"/>
      <c r="C1733" s="223" t="n"/>
      <c r="D1733" s="127" t="n"/>
      <c r="E1733" s="227" t="n"/>
      <c r="F1733" s="227" t="n"/>
      <c r="G1733" s="227" t="n"/>
      <c r="H1733" s="227" t="n"/>
      <c r="I1733" s="227" t="n"/>
      <c r="J1733" s="227" t="n"/>
      <c r="K1733" s="227" t="n"/>
      <c r="L1733" s="227" t="n"/>
      <c r="M1733" s="227" t="n"/>
      <c r="N1733" s="127" t="n"/>
      <c r="O1733" s="227" t="n"/>
      <c r="P1733" s="227" t="n"/>
      <c r="Q1733" s="227" t="n"/>
      <c r="R1733" s="227" t="n"/>
      <c r="S1733" s="227" t="n"/>
      <c r="T1733" s="227" t="n"/>
    </row>
    <row r="1734">
      <c r="A1734" s="145">
        <f>IF($B1734="","",ROW()-5)</f>
        <v/>
      </c>
      <c r="B1734" s="127" t="n"/>
      <c r="C1734" s="223" t="n"/>
      <c r="D1734" s="127" t="n"/>
      <c r="E1734" s="227" t="n"/>
      <c r="F1734" s="227" t="n"/>
      <c r="G1734" s="227" t="n"/>
      <c r="H1734" s="227" t="n"/>
      <c r="I1734" s="227" t="n"/>
      <c r="J1734" s="227" t="n"/>
      <c r="K1734" s="227" t="n"/>
      <c r="L1734" s="227" t="n"/>
      <c r="M1734" s="227" t="n"/>
      <c r="N1734" s="127" t="n"/>
      <c r="O1734" s="227" t="n"/>
      <c r="P1734" s="227" t="n"/>
      <c r="Q1734" s="227" t="n"/>
      <c r="R1734" s="227" t="n"/>
      <c r="S1734" s="227" t="n"/>
      <c r="T1734" s="227" t="n"/>
    </row>
    <row r="1735">
      <c r="A1735" s="145">
        <f>IF($B1735="","",ROW()-5)</f>
        <v/>
      </c>
      <c r="B1735" s="127" t="n"/>
      <c r="C1735" s="223" t="n"/>
      <c r="D1735" s="127" t="n"/>
      <c r="E1735" s="227" t="n"/>
      <c r="F1735" s="227" t="n"/>
      <c r="G1735" s="227" t="n"/>
      <c r="H1735" s="227" t="n"/>
      <c r="I1735" s="227" t="n"/>
      <c r="J1735" s="227" t="n"/>
      <c r="K1735" s="227" t="n"/>
      <c r="L1735" s="227" t="n"/>
      <c r="M1735" s="227" t="n"/>
      <c r="N1735" s="127" t="n"/>
      <c r="O1735" s="227" t="n"/>
      <c r="P1735" s="227" t="n"/>
      <c r="Q1735" s="227" t="n"/>
      <c r="R1735" s="227" t="n"/>
      <c r="S1735" s="227" t="n"/>
      <c r="T1735" s="227" t="n"/>
    </row>
    <row r="1736">
      <c r="A1736" s="145">
        <f>IF($B1736="","",ROW()-5)</f>
        <v/>
      </c>
      <c r="B1736" s="127" t="n"/>
      <c r="C1736" s="223" t="n"/>
      <c r="D1736" s="127" t="n"/>
      <c r="E1736" s="227" t="n"/>
      <c r="F1736" s="227" t="n"/>
      <c r="G1736" s="227" t="n"/>
      <c r="H1736" s="227" t="n"/>
      <c r="I1736" s="227" t="n"/>
      <c r="J1736" s="227" t="n"/>
      <c r="K1736" s="227" t="n"/>
      <c r="L1736" s="227" t="n"/>
      <c r="M1736" s="227" t="n"/>
      <c r="N1736" s="127" t="n"/>
      <c r="O1736" s="227" t="n"/>
      <c r="P1736" s="227" t="n"/>
      <c r="Q1736" s="227" t="n"/>
      <c r="R1736" s="227" t="n"/>
      <c r="S1736" s="227" t="n"/>
      <c r="T1736" s="227" t="n"/>
    </row>
    <row r="1737">
      <c r="A1737" s="145">
        <f>IF($B1737="","",ROW()-5)</f>
        <v/>
      </c>
      <c r="B1737" s="127" t="n"/>
      <c r="C1737" s="223" t="n"/>
      <c r="D1737" s="127" t="n"/>
      <c r="E1737" s="227" t="n"/>
      <c r="F1737" s="227" t="n"/>
      <c r="G1737" s="227" t="n"/>
      <c r="H1737" s="227" t="n"/>
      <c r="I1737" s="227" t="n"/>
      <c r="J1737" s="227" t="n"/>
      <c r="K1737" s="227" t="n"/>
      <c r="L1737" s="227" t="n"/>
      <c r="M1737" s="227" t="n"/>
      <c r="N1737" s="127" t="n"/>
      <c r="O1737" s="227" t="n"/>
      <c r="P1737" s="227" t="n"/>
      <c r="Q1737" s="227" t="n"/>
      <c r="R1737" s="227" t="n"/>
      <c r="S1737" s="227" t="n"/>
      <c r="T1737" s="227" t="n"/>
    </row>
    <row r="1738">
      <c r="A1738" s="145">
        <f>IF($B1738="","",ROW()-5)</f>
        <v/>
      </c>
      <c r="B1738" s="127" t="n"/>
      <c r="C1738" s="223" t="n"/>
      <c r="D1738" s="127" t="n"/>
      <c r="E1738" s="227" t="n"/>
      <c r="F1738" s="227" t="n"/>
      <c r="G1738" s="227" t="n"/>
      <c r="H1738" s="227" t="n"/>
      <c r="I1738" s="227" t="n"/>
      <c r="J1738" s="227" t="n"/>
      <c r="K1738" s="227" t="n"/>
      <c r="L1738" s="227" t="n"/>
      <c r="M1738" s="227" t="n"/>
      <c r="N1738" s="127" t="n"/>
      <c r="O1738" s="227" t="n"/>
      <c r="P1738" s="227" t="n"/>
      <c r="Q1738" s="227" t="n"/>
      <c r="R1738" s="227" t="n"/>
      <c r="S1738" s="227" t="n"/>
      <c r="T1738" s="227" t="n"/>
    </row>
    <row r="1739">
      <c r="A1739" s="145">
        <f>IF($B1739="","",ROW()-5)</f>
        <v/>
      </c>
      <c r="B1739" s="127" t="n"/>
      <c r="C1739" s="223" t="n"/>
      <c r="D1739" s="127" t="n"/>
      <c r="E1739" s="227" t="n"/>
      <c r="F1739" s="227" t="n"/>
      <c r="G1739" s="227" t="n"/>
      <c r="H1739" s="227" t="n"/>
      <c r="I1739" s="227" t="n"/>
      <c r="J1739" s="227" t="n"/>
      <c r="K1739" s="227" t="n"/>
      <c r="L1739" s="227" t="n"/>
      <c r="M1739" s="227" t="n"/>
      <c r="N1739" s="127" t="n"/>
      <c r="O1739" s="227" t="n"/>
      <c r="P1739" s="227" t="n"/>
      <c r="Q1739" s="227" t="n"/>
      <c r="R1739" s="227" t="n"/>
      <c r="S1739" s="227" t="n"/>
      <c r="T1739" s="227" t="n"/>
    </row>
    <row r="1740">
      <c r="A1740" s="145">
        <f>IF($B1740="","",ROW()-5)</f>
        <v/>
      </c>
      <c r="B1740" s="127" t="n"/>
      <c r="C1740" s="223" t="n"/>
      <c r="D1740" s="127" t="n"/>
      <c r="E1740" s="227" t="n"/>
      <c r="F1740" s="227" t="n"/>
      <c r="G1740" s="227" t="n"/>
      <c r="H1740" s="227" t="n"/>
      <c r="I1740" s="227" t="n"/>
      <c r="J1740" s="227" t="n"/>
      <c r="K1740" s="227" t="n"/>
      <c r="L1740" s="227" t="n"/>
      <c r="M1740" s="227" t="n"/>
      <c r="N1740" s="127" t="n"/>
      <c r="O1740" s="227" t="n"/>
      <c r="P1740" s="227" t="n"/>
      <c r="Q1740" s="227" t="n"/>
      <c r="R1740" s="227" t="n"/>
      <c r="S1740" s="227" t="n"/>
      <c r="T1740" s="227" t="n"/>
    </row>
    <row r="1741">
      <c r="A1741" s="145">
        <f>IF($B1741="","",ROW()-5)</f>
        <v/>
      </c>
      <c r="B1741" s="127" t="n"/>
      <c r="C1741" s="223" t="n"/>
      <c r="D1741" s="127" t="n"/>
      <c r="E1741" s="227" t="n"/>
      <c r="F1741" s="227" t="n"/>
      <c r="G1741" s="227" t="n"/>
      <c r="H1741" s="227" t="n"/>
      <c r="I1741" s="227" t="n"/>
      <c r="J1741" s="227" t="n"/>
      <c r="K1741" s="227" t="n"/>
      <c r="L1741" s="227" t="n"/>
      <c r="M1741" s="227" t="n"/>
      <c r="N1741" s="127" t="n"/>
      <c r="O1741" s="227" t="n"/>
      <c r="P1741" s="227" t="n"/>
      <c r="Q1741" s="227" t="n"/>
      <c r="R1741" s="227" t="n"/>
      <c r="S1741" s="227" t="n"/>
      <c r="T1741" s="227" t="n"/>
    </row>
    <row r="1742">
      <c r="A1742" s="145">
        <f>IF($B1742="","",ROW()-5)</f>
        <v/>
      </c>
      <c r="B1742" s="127" t="n"/>
      <c r="C1742" s="223" t="n"/>
      <c r="D1742" s="127" t="n"/>
      <c r="E1742" s="227" t="n"/>
      <c r="F1742" s="227" t="n"/>
      <c r="G1742" s="227" t="n"/>
      <c r="H1742" s="227" t="n"/>
      <c r="I1742" s="227" t="n"/>
      <c r="J1742" s="227" t="n"/>
      <c r="K1742" s="227" t="n"/>
      <c r="L1742" s="227" t="n"/>
      <c r="M1742" s="227" t="n"/>
      <c r="N1742" s="127" t="n"/>
      <c r="O1742" s="227" t="n"/>
      <c r="P1742" s="227" t="n"/>
      <c r="Q1742" s="227" t="n"/>
      <c r="R1742" s="227" t="n"/>
      <c r="S1742" s="227" t="n"/>
      <c r="T1742" s="227" t="n"/>
    </row>
    <row r="1743">
      <c r="A1743" s="145">
        <f>IF($B1743="","",ROW()-5)</f>
        <v/>
      </c>
      <c r="B1743" s="127" t="n"/>
      <c r="C1743" s="223" t="n"/>
      <c r="D1743" s="127" t="n"/>
      <c r="E1743" s="227" t="n"/>
      <c r="F1743" s="227" t="n"/>
      <c r="G1743" s="227" t="n"/>
      <c r="H1743" s="227" t="n"/>
      <c r="I1743" s="227" t="n"/>
      <c r="J1743" s="227" t="n"/>
      <c r="K1743" s="227" t="n"/>
      <c r="L1743" s="227" t="n"/>
      <c r="M1743" s="227" t="n"/>
      <c r="N1743" s="127" t="n"/>
      <c r="O1743" s="227" t="n"/>
      <c r="P1743" s="227" t="n"/>
      <c r="Q1743" s="227" t="n"/>
      <c r="R1743" s="227" t="n"/>
      <c r="S1743" s="227" t="n"/>
      <c r="T1743" s="227" t="n"/>
    </row>
    <row r="1744">
      <c r="A1744" s="145">
        <f>IF($B1744="","",ROW()-5)</f>
        <v/>
      </c>
      <c r="B1744" s="127" t="n"/>
      <c r="C1744" s="223" t="n"/>
      <c r="D1744" s="127" t="n"/>
      <c r="E1744" s="227" t="n"/>
      <c r="F1744" s="227" t="n"/>
      <c r="G1744" s="227" t="n"/>
      <c r="H1744" s="227" t="n"/>
      <c r="I1744" s="227" t="n"/>
      <c r="J1744" s="227" t="n"/>
      <c r="K1744" s="227" t="n"/>
      <c r="L1744" s="227" t="n"/>
      <c r="M1744" s="227" t="n"/>
      <c r="N1744" s="127" t="n"/>
      <c r="O1744" s="227" t="n"/>
      <c r="P1744" s="227" t="n"/>
      <c r="Q1744" s="227" t="n"/>
      <c r="R1744" s="227" t="n"/>
      <c r="S1744" s="227" t="n"/>
      <c r="T1744" s="227" t="n"/>
    </row>
    <row r="1745">
      <c r="A1745" s="145">
        <f>IF($B1745="","",ROW()-5)</f>
        <v/>
      </c>
      <c r="B1745" s="127" t="n"/>
      <c r="C1745" s="223" t="n"/>
      <c r="D1745" s="127" t="n"/>
      <c r="E1745" s="227" t="n"/>
      <c r="F1745" s="227" t="n"/>
      <c r="G1745" s="227" t="n"/>
      <c r="H1745" s="227" t="n"/>
      <c r="I1745" s="227" t="n"/>
      <c r="J1745" s="227" t="n"/>
      <c r="K1745" s="227" t="n"/>
      <c r="L1745" s="227" t="n"/>
      <c r="M1745" s="227" t="n"/>
      <c r="N1745" s="127" t="n"/>
      <c r="O1745" s="227" t="n"/>
      <c r="P1745" s="227" t="n"/>
      <c r="Q1745" s="227" t="n"/>
      <c r="R1745" s="227" t="n"/>
      <c r="S1745" s="227" t="n"/>
      <c r="T1745" s="227" t="n"/>
    </row>
    <row r="1746">
      <c r="A1746" s="145">
        <f>IF($B1746="","",ROW()-5)</f>
        <v/>
      </c>
      <c r="B1746" s="127" t="n"/>
      <c r="C1746" s="223" t="n"/>
      <c r="D1746" s="127" t="n"/>
      <c r="E1746" s="227" t="n"/>
      <c r="F1746" s="227" t="n"/>
      <c r="G1746" s="227" t="n"/>
      <c r="H1746" s="227" t="n"/>
      <c r="I1746" s="227" t="n"/>
      <c r="J1746" s="227" t="n"/>
      <c r="K1746" s="227" t="n"/>
      <c r="L1746" s="227" t="n"/>
      <c r="M1746" s="227" t="n"/>
      <c r="N1746" s="127" t="n"/>
      <c r="O1746" s="227" t="n"/>
      <c r="P1746" s="227" t="n"/>
      <c r="Q1746" s="227" t="n"/>
      <c r="R1746" s="227" t="n"/>
      <c r="S1746" s="227" t="n"/>
      <c r="T1746" s="227" t="n"/>
    </row>
    <row r="1747">
      <c r="A1747" s="145">
        <f>IF($B1747="","",ROW()-5)</f>
        <v/>
      </c>
      <c r="B1747" s="127" t="n"/>
      <c r="C1747" s="223" t="n"/>
      <c r="D1747" s="127" t="n"/>
      <c r="E1747" s="227" t="n"/>
      <c r="F1747" s="227" t="n"/>
      <c r="G1747" s="227" t="n"/>
      <c r="H1747" s="227" t="n"/>
      <c r="I1747" s="227" t="n"/>
      <c r="J1747" s="227" t="n"/>
      <c r="K1747" s="227" t="n"/>
      <c r="L1747" s="227" t="n"/>
      <c r="M1747" s="227" t="n"/>
      <c r="N1747" s="127" t="n"/>
      <c r="O1747" s="227" t="n"/>
      <c r="P1747" s="227" t="n"/>
      <c r="Q1747" s="227" t="n"/>
      <c r="R1747" s="227" t="n"/>
      <c r="S1747" s="227" t="n"/>
      <c r="T1747" s="227" t="n"/>
    </row>
    <row r="1748">
      <c r="A1748" s="145">
        <f>IF($B1748="","",ROW()-5)</f>
        <v/>
      </c>
      <c r="B1748" s="127" t="n"/>
      <c r="C1748" s="223" t="n"/>
      <c r="D1748" s="127" t="n"/>
      <c r="E1748" s="227" t="n"/>
      <c r="F1748" s="227" t="n"/>
      <c r="G1748" s="227" t="n"/>
      <c r="H1748" s="227" t="n"/>
      <c r="I1748" s="227" t="n"/>
      <c r="J1748" s="227" t="n"/>
      <c r="K1748" s="227" t="n"/>
      <c r="L1748" s="227" t="n"/>
      <c r="M1748" s="227" t="n"/>
      <c r="N1748" s="127" t="n"/>
      <c r="O1748" s="227" t="n"/>
      <c r="P1748" s="227" t="n"/>
      <c r="Q1748" s="227" t="n"/>
      <c r="R1748" s="227" t="n"/>
      <c r="S1748" s="227" t="n"/>
      <c r="T1748" s="227" t="n"/>
    </row>
    <row r="1749">
      <c r="A1749" s="145">
        <f>IF($B1749="","",ROW()-5)</f>
        <v/>
      </c>
      <c r="B1749" s="127" t="n"/>
      <c r="C1749" s="223" t="n"/>
      <c r="D1749" s="127" t="n"/>
      <c r="E1749" s="227" t="n"/>
      <c r="F1749" s="227" t="n"/>
      <c r="G1749" s="227" t="n"/>
      <c r="H1749" s="227" t="n"/>
      <c r="I1749" s="227" t="n"/>
      <c r="J1749" s="227" t="n"/>
      <c r="K1749" s="227" t="n"/>
      <c r="L1749" s="227" t="n"/>
      <c r="M1749" s="227" t="n"/>
      <c r="N1749" s="127" t="n"/>
      <c r="O1749" s="227" t="n"/>
      <c r="P1749" s="227" t="n"/>
      <c r="Q1749" s="227" t="n"/>
      <c r="R1749" s="227" t="n"/>
      <c r="S1749" s="227" t="n"/>
      <c r="T1749" s="227" t="n"/>
    </row>
    <row r="1750">
      <c r="A1750" s="145">
        <f>IF($B1750="","",ROW()-5)</f>
        <v/>
      </c>
      <c r="B1750" s="127" t="n"/>
      <c r="C1750" s="223" t="n"/>
      <c r="D1750" s="127" t="n"/>
      <c r="E1750" s="227" t="n"/>
      <c r="F1750" s="227" t="n"/>
      <c r="G1750" s="227" t="n"/>
      <c r="H1750" s="227" t="n"/>
      <c r="I1750" s="227" t="n"/>
      <c r="J1750" s="227" t="n"/>
      <c r="K1750" s="227" t="n"/>
      <c r="L1750" s="227" t="n"/>
      <c r="M1750" s="227" t="n"/>
      <c r="N1750" s="127" t="n"/>
      <c r="O1750" s="227" t="n"/>
      <c r="P1750" s="227" t="n"/>
      <c r="Q1750" s="227" t="n"/>
      <c r="R1750" s="227" t="n"/>
      <c r="S1750" s="227" t="n"/>
      <c r="T1750" s="227" t="n"/>
    </row>
    <row r="1751">
      <c r="A1751" s="145">
        <f>IF($B1751="","",ROW()-5)</f>
        <v/>
      </c>
      <c r="B1751" s="127" t="n"/>
      <c r="C1751" s="223" t="n"/>
      <c r="D1751" s="127" t="n"/>
      <c r="E1751" s="227" t="n"/>
      <c r="F1751" s="227" t="n"/>
      <c r="G1751" s="227" t="n"/>
      <c r="H1751" s="227" t="n"/>
      <c r="I1751" s="227" t="n"/>
      <c r="J1751" s="227" t="n"/>
      <c r="K1751" s="227" t="n"/>
      <c r="L1751" s="227" t="n"/>
      <c r="M1751" s="227" t="n"/>
      <c r="N1751" s="127" t="n"/>
      <c r="O1751" s="227" t="n"/>
      <c r="P1751" s="227" t="n"/>
      <c r="Q1751" s="227" t="n"/>
      <c r="R1751" s="227" t="n"/>
      <c r="S1751" s="227" t="n"/>
      <c r="T1751" s="227" t="n"/>
    </row>
    <row r="1752">
      <c r="A1752" s="145">
        <f>IF($B1752="","",ROW()-5)</f>
        <v/>
      </c>
      <c r="B1752" s="127" t="n"/>
      <c r="C1752" s="223" t="n"/>
      <c r="D1752" s="127" t="n"/>
      <c r="E1752" s="227" t="n"/>
      <c r="F1752" s="227" t="n"/>
      <c r="G1752" s="227" t="n"/>
      <c r="H1752" s="227" t="n"/>
      <c r="I1752" s="227" t="n"/>
      <c r="J1752" s="227" t="n"/>
      <c r="K1752" s="227" t="n"/>
      <c r="L1752" s="227" t="n"/>
      <c r="M1752" s="227" t="n"/>
      <c r="N1752" s="127" t="n"/>
      <c r="O1752" s="227" t="n"/>
      <c r="P1752" s="227" t="n"/>
      <c r="Q1752" s="227" t="n"/>
      <c r="R1752" s="227" t="n"/>
      <c r="S1752" s="227" t="n"/>
      <c r="T1752" s="227" t="n"/>
    </row>
    <row r="1753">
      <c r="A1753" s="145">
        <f>IF($B1753="","",ROW()-5)</f>
        <v/>
      </c>
      <c r="B1753" s="127" t="n"/>
      <c r="C1753" s="223" t="n"/>
      <c r="D1753" s="127" t="n"/>
      <c r="E1753" s="227" t="n"/>
      <c r="F1753" s="227" t="n"/>
      <c r="G1753" s="227" t="n"/>
      <c r="H1753" s="227" t="n"/>
      <c r="I1753" s="227" t="n"/>
      <c r="J1753" s="227" t="n"/>
      <c r="K1753" s="227" t="n"/>
      <c r="L1753" s="227" t="n"/>
      <c r="M1753" s="227" t="n"/>
      <c r="N1753" s="127" t="n"/>
      <c r="O1753" s="227" t="n"/>
      <c r="P1753" s="227" t="n"/>
      <c r="Q1753" s="227" t="n"/>
      <c r="R1753" s="227" t="n"/>
      <c r="S1753" s="227" t="n"/>
      <c r="T1753" s="227" t="n"/>
    </row>
    <row r="1754">
      <c r="A1754" s="145">
        <f>IF($B1754="","",ROW()-5)</f>
        <v/>
      </c>
      <c r="B1754" s="127" t="n"/>
      <c r="C1754" s="223" t="n"/>
      <c r="D1754" s="127" t="n"/>
      <c r="E1754" s="227" t="n"/>
      <c r="F1754" s="227" t="n"/>
      <c r="G1754" s="227" t="n"/>
      <c r="H1754" s="227" t="n"/>
      <c r="I1754" s="227" t="n"/>
      <c r="J1754" s="227" t="n"/>
      <c r="K1754" s="227" t="n"/>
      <c r="L1754" s="227" t="n"/>
      <c r="M1754" s="227" t="n"/>
      <c r="N1754" s="127" t="n"/>
      <c r="O1754" s="227" t="n"/>
      <c r="P1754" s="227" t="n"/>
      <c r="Q1754" s="227" t="n"/>
      <c r="R1754" s="227" t="n"/>
      <c r="S1754" s="227" t="n"/>
      <c r="T1754" s="227" t="n"/>
    </row>
    <row r="1755">
      <c r="A1755" s="145">
        <f>IF($B1755="","",ROW()-5)</f>
        <v/>
      </c>
      <c r="B1755" s="127" t="n"/>
      <c r="C1755" s="223" t="n"/>
      <c r="D1755" s="127" t="n"/>
      <c r="E1755" s="227" t="n"/>
      <c r="F1755" s="227" t="n"/>
      <c r="G1755" s="227" t="n"/>
      <c r="H1755" s="227" t="n"/>
      <c r="I1755" s="227" t="n"/>
      <c r="J1755" s="227" t="n"/>
      <c r="K1755" s="227" t="n"/>
      <c r="L1755" s="227" t="n"/>
      <c r="M1755" s="227" t="n"/>
      <c r="N1755" s="127" t="n"/>
      <c r="O1755" s="227" t="n"/>
      <c r="P1755" s="227" t="n"/>
      <c r="Q1755" s="227" t="n"/>
      <c r="R1755" s="227" t="n"/>
      <c r="S1755" s="227" t="n"/>
      <c r="T1755" s="227" t="n"/>
    </row>
    <row r="1756">
      <c r="A1756" s="145">
        <f>IF($B1756="","",ROW()-5)</f>
        <v/>
      </c>
      <c r="B1756" s="127" t="n"/>
      <c r="C1756" s="223" t="n"/>
      <c r="D1756" s="127" t="n"/>
      <c r="E1756" s="227" t="n"/>
      <c r="F1756" s="227" t="n"/>
      <c r="G1756" s="227" t="n"/>
      <c r="H1756" s="227" t="n"/>
      <c r="I1756" s="227" t="n"/>
      <c r="J1756" s="227" t="n"/>
      <c r="K1756" s="227" t="n"/>
      <c r="L1756" s="227" t="n"/>
      <c r="M1756" s="227" t="n"/>
      <c r="N1756" s="127" t="n"/>
      <c r="O1756" s="227" t="n"/>
      <c r="P1756" s="227" t="n"/>
      <c r="Q1756" s="227" t="n"/>
      <c r="R1756" s="227" t="n"/>
      <c r="S1756" s="227" t="n"/>
      <c r="T1756" s="227" t="n"/>
    </row>
    <row r="1757">
      <c r="A1757" s="145">
        <f>IF($B1757="","",ROW()-5)</f>
        <v/>
      </c>
      <c r="B1757" s="127" t="n"/>
      <c r="C1757" s="223" t="n"/>
      <c r="D1757" s="127" t="n"/>
      <c r="E1757" s="227" t="n"/>
      <c r="F1757" s="227" t="n"/>
      <c r="G1757" s="227" t="n"/>
      <c r="H1757" s="227" t="n"/>
      <c r="I1757" s="227" t="n"/>
      <c r="J1757" s="227" t="n"/>
      <c r="K1757" s="227" t="n"/>
      <c r="L1757" s="227" t="n"/>
      <c r="M1757" s="227" t="n"/>
      <c r="N1757" s="127" t="n"/>
      <c r="O1757" s="227" t="n"/>
      <c r="P1757" s="227" t="n"/>
      <c r="Q1757" s="227" t="n"/>
      <c r="R1757" s="227" t="n"/>
      <c r="S1757" s="227" t="n"/>
      <c r="T1757" s="227" t="n"/>
    </row>
    <row r="1758">
      <c r="A1758" s="145">
        <f>IF($B1758="","",ROW()-5)</f>
        <v/>
      </c>
      <c r="B1758" s="127" t="n"/>
      <c r="C1758" s="223" t="n"/>
      <c r="D1758" s="127" t="n"/>
      <c r="E1758" s="227" t="n"/>
      <c r="F1758" s="227" t="n"/>
      <c r="G1758" s="227" t="n"/>
      <c r="H1758" s="227" t="n"/>
      <c r="I1758" s="227" t="n"/>
      <c r="J1758" s="227" t="n"/>
      <c r="K1758" s="227" t="n"/>
      <c r="L1758" s="227" t="n"/>
      <c r="M1758" s="227" t="n"/>
      <c r="N1758" s="127" t="n"/>
      <c r="O1758" s="227" t="n"/>
      <c r="P1758" s="227" t="n"/>
      <c r="Q1758" s="227" t="n"/>
      <c r="R1758" s="227" t="n"/>
      <c r="S1758" s="227" t="n"/>
      <c r="T1758" s="227" t="n"/>
    </row>
    <row r="1759">
      <c r="A1759" s="145">
        <f>IF($B1759="","",ROW()-5)</f>
        <v/>
      </c>
      <c r="B1759" s="127" t="n"/>
      <c r="C1759" s="223" t="n"/>
      <c r="D1759" s="127" t="n"/>
      <c r="E1759" s="227" t="n"/>
      <c r="F1759" s="227" t="n"/>
      <c r="G1759" s="227" t="n"/>
      <c r="H1759" s="227" t="n"/>
      <c r="I1759" s="227" t="n"/>
      <c r="J1759" s="227" t="n"/>
      <c r="K1759" s="227" t="n"/>
      <c r="L1759" s="227" t="n"/>
      <c r="M1759" s="227" t="n"/>
      <c r="N1759" s="127" t="n"/>
      <c r="O1759" s="227" t="n"/>
      <c r="P1759" s="227" t="n"/>
      <c r="Q1759" s="227" t="n"/>
      <c r="R1759" s="227" t="n"/>
      <c r="S1759" s="227" t="n"/>
      <c r="T1759" s="227" t="n"/>
    </row>
    <row r="1760">
      <c r="A1760" s="145">
        <f>IF($B1760="","",ROW()-5)</f>
        <v/>
      </c>
      <c r="B1760" s="127" t="n"/>
      <c r="C1760" s="223" t="n"/>
      <c r="D1760" s="127" t="n"/>
      <c r="E1760" s="227" t="n"/>
      <c r="F1760" s="227" t="n"/>
      <c r="G1760" s="227" t="n"/>
      <c r="H1760" s="227" t="n"/>
      <c r="I1760" s="227" t="n"/>
      <c r="J1760" s="227" t="n"/>
      <c r="K1760" s="227" t="n"/>
      <c r="L1760" s="227" t="n"/>
      <c r="M1760" s="227" t="n"/>
      <c r="N1760" s="127" t="n"/>
      <c r="O1760" s="227" t="n"/>
      <c r="P1760" s="227" t="n"/>
      <c r="Q1760" s="227" t="n"/>
      <c r="R1760" s="227" t="n"/>
      <c r="S1760" s="227" t="n"/>
      <c r="T1760" s="227" t="n"/>
    </row>
    <row r="1761">
      <c r="A1761" s="145">
        <f>IF($B1761="","",ROW()-5)</f>
        <v/>
      </c>
      <c r="B1761" s="127" t="n"/>
      <c r="C1761" s="223" t="n"/>
      <c r="D1761" s="127" t="n"/>
      <c r="E1761" s="227" t="n"/>
      <c r="F1761" s="227" t="n"/>
      <c r="G1761" s="227" t="n"/>
      <c r="H1761" s="227" t="n"/>
      <c r="I1761" s="227" t="n"/>
      <c r="J1761" s="227" t="n"/>
      <c r="K1761" s="227" t="n"/>
      <c r="L1761" s="227" t="n"/>
      <c r="M1761" s="227" t="n"/>
      <c r="N1761" s="127" t="n"/>
      <c r="O1761" s="227" t="n"/>
      <c r="P1761" s="227" t="n"/>
      <c r="Q1761" s="227" t="n"/>
      <c r="R1761" s="227" t="n"/>
      <c r="S1761" s="227" t="n"/>
      <c r="T1761" s="227" t="n"/>
    </row>
    <row r="1762">
      <c r="A1762" s="145">
        <f>IF($B1762="","",ROW()-5)</f>
        <v/>
      </c>
      <c r="B1762" s="127" t="n"/>
      <c r="C1762" s="223" t="n"/>
      <c r="D1762" s="127" t="n"/>
      <c r="E1762" s="227" t="n"/>
      <c r="F1762" s="227" t="n"/>
      <c r="G1762" s="227" t="n"/>
      <c r="H1762" s="227" t="n"/>
      <c r="I1762" s="227" t="n"/>
      <c r="J1762" s="227" t="n"/>
      <c r="K1762" s="227" t="n"/>
      <c r="L1762" s="227" t="n"/>
      <c r="M1762" s="227" t="n"/>
      <c r="N1762" s="127" t="n"/>
      <c r="O1762" s="227" t="n"/>
      <c r="P1762" s="227" t="n"/>
      <c r="Q1762" s="227" t="n"/>
      <c r="R1762" s="227" t="n"/>
      <c r="S1762" s="227" t="n"/>
      <c r="T1762" s="227" t="n"/>
    </row>
    <row r="1763">
      <c r="A1763" s="145">
        <f>IF($B1763="","",ROW()-5)</f>
        <v/>
      </c>
      <c r="B1763" s="127" t="n"/>
      <c r="C1763" s="223" t="n"/>
      <c r="D1763" s="127" t="n"/>
      <c r="E1763" s="227" t="n"/>
      <c r="F1763" s="227" t="n"/>
      <c r="G1763" s="227" t="n"/>
      <c r="H1763" s="227" t="n"/>
      <c r="I1763" s="227" t="n"/>
      <c r="J1763" s="227" t="n"/>
      <c r="K1763" s="227" t="n"/>
      <c r="L1763" s="227" t="n"/>
      <c r="M1763" s="227" t="n"/>
      <c r="N1763" s="127" t="n"/>
      <c r="O1763" s="227" t="n"/>
      <c r="P1763" s="227" t="n"/>
      <c r="Q1763" s="227" t="n"/>
      <c r="R1763" s="227" t="n"/>
      <c r="S1763" s="227" t="n"/>
      <c r="T1763" s="227" t="n"/>
    </row>
    <row r="1764">
      <c r="A1764" s="145">
        <f>IF($B1764="","",ROW()-5)</f>
        <v/>
      </c>
      <c r="B1764" s="127" t="n"/>
      <c r="C1764" s="223" t="n"/>
      <c r="D1764" s="127" t="n"/>
      <c r="E1764" s="227" t="n"/>
      <c r="F1764" s="227" t="n"/>
      <c r="G1764" s="227" t="n"/>
      <c r="H1764" s="227" t="n"/>
      <c r="I1764" s="227" t="n"/>
      <c r="J1764" s="227" t="n"/>
      <c r="K1764" s="227" t="n"/>
      <c r="L1764" s="227" t="n"/>
      <c r="M1764" s="227" t="n"/>
      <c r="N1764" s="127" t="n"/>
      <c r="O1764" s="227" t="n"/>
      <c r="P1764" s="227" t="n"/>
      <c r="Q1764" s="227" t="n"/>
      <c r="R1764" s="227" t="n"/>
      <c r="S1764" s="227" t="n"/>
      <c r="T1764" s="227" t="n"/>
    </row>
    <row r="1765">
      <c r="A1765" s="145">
        <f>IF($B1765="","",ROW()-5)</f>
        <v/>
      </c>
      <c r="B1765" s="127" t="n"/>
      <c r="C1765" s="223" t="n"/>
      <c r="D1765" s="127" t="n"/>
      <c r="E1765" s="227" t="n"/>
      <c r="F1765" s="227" t="n"/>
      <c r="G1765" s="227" t="n"/>
      <c r="H1765" s="227" t="n"/>
      <c r="I1765" s="227" t="n"/>
      <c r="J1765" s="227" t="n"/>
      <c r="K1765" s="227" t="n"/>
      <c r="L1765" s="227" t="n"/>
      <c r="M1765" s="227" t="n"/>
      <c r="N1765" s="127" t="n"/>
      <c r="O1765" s="227" t="n"/>
      <c r="P1765" s="227" t="n"/>
      <c r="Q1765" s="227" t="n"/>
      <c r="R1765" s="227" t="n"/>
      <c r="S1765" s="227" t="n"/>
      <c r="T1765" s="227" t="n"/>
    </row>
    <row r="1766">
      <c r="A1766" s="145">
        <f>IF($B1766="","",ROW()-5)</f>
        <v/>
      </c>
      <c r="B1766" s="127" t="n"/>
      <c r="C1766" s="223" t="n"/>
      <c r="D1766" s="127" t="n"/>
      <c r="E1766" s="227" t="n"/>
      <c r="F1766" s="227" t="n"/>
      <c r="G1766" s="227" t="n"/>
      <c r="H1766" s="227" t="n"/>
      <c r="I1766" s="227" t="n"/>
      <c r="J1766" s="227" t="n"/>
      <c r="K1766" s="227" t="n"/>
      <c r="L1766" s="227" t="n"/>
      <c r="M1766" s="227" t="n"/>
      <c r="N1766" s="127" t="n"/>
      <c r="O1766" s="227" t="n"/>
      <c r="P1766" s="227" t="n"/>
      <c r="Q1766" s="227" t="n"/>
      <c r="R1766" s="227" t="n"/>
      <c r="S1766" s="227" t="n"/>
      <c r="T1766" s="227" t="n"/>
    </row>
    <row r="1767">
      <c r="A1767" s="145">
        <f>IF($B1767="","",ROW()-5)</f>
        <v/>
      </c>
      <c r="B1767" s="127" t="n"/>
      <c r="C1767" s="223" t="n"/>
      <c r="D1767" s="127" t="n"/>
      <c r="E1767" s="227" t="n"/>
      <c r="F1767" s="227" t="n"/>
      <c r="G1767" s="227" t="n"/>
      <c r="H1767" s="227" t="n"/>
      <c r="I1767" s="227" t="n"/>
      <c r="J1767" s="227" t="n"/>
      <c r="K1767" s="227" t="n"/>
      <c r="L1767" s="227" t="n"/>
      <c r="M1767" s="227" t="n"/>
      <c r="N1767" s="127" t="n"/>
      <c r="O1767" s="227" t="n"/>
      <c r="P1767" s="227" t="n"/>
      <c r="Q1767" s="227" t="n"/>
      <c r="R1767" s="227" t="n"/>
      <c r="S1767" s="227" t="n"/>
      <c r="T1767" s="227" t="n"/>
    </row>
    <row r="1768">
      <c r="A1768" s="145">
        <f>IF($B1768="","",ROW()-5)</f>
        <v/>
      </c>
      <c r="B1768" s="127" t="n"/>
      <c r="C1768" s="223" t="n"/>
      <c r="D1768" s="127" t="n"/>
      <c r="E1768" s="227" t="n"/>
      <c r="F1768" s="227" t="n"/>
      <c r="G1768" s="227" t="n"/>
      <c r="H1768" s="227" t="n"/>
      <c r="I1768" s="227" t="n"/>
      <c r="J1768" s="227" t="n"/>
      <c r="K1768" s="227" t="n"/>
      <c r="L1768" s="227" t="n"/>
      <c r="M1768" s="227" t="n"/>
      <c r="N1768" s="127" t="n"/>
      <c r="O1768" s="227" t="n"/>
      <c r="P1768" s="227" t="n"/>
      <c r="Q1768" s="227" t="n"/>
      <c r="R1768" s="227" t="n"/>
      <c r="S1768" s="227" t="n"/>
      <c r="T1768" s="227" t="n"/>
    </row>
    <row r="1769">
      <c r="A1769" s="145">
        <f>IF($B1769="","",ROW()-5)</f>
        <v/>
      </c>
      <c r="B1769" s="127" t="n"/>
      <c r="C1769" s="223" t="n"/>
      <c r="D1769" s="127" t="n"/>
      <c r="E1769" s="227" t="n"/>
      <c r="F1769" s="227" t="n"/>
      <c r="G1769" s="227" t="n"/>
      <c r="H1769" s="227" t="n"/>
      <c r="I1769" s="227" t="n"/>
      <c r="J1769" s="227" t="n"/>
      <c r="K1769" s="227" t="n"/>
      <c r="L1769" s="227" t="n"/>
      <c r="M1769" s="227" t="n"/>
      <c r="N1769" s="127" t="n"/>
      <c r="O1769" s="227" t="n"/>
      <c r="P1769" s="227" t="n"/>
      <c r="Q1769" s="227" t="n"/>
      <c r="R1769" s="227" t="n"/>
      <c r="S1769" s="227" t="n"/>
      <c r="T1769" s="227" t="n"/>
    </row>
    <row r="1770">
      <c r="A1770" s="145">
        <f>IF($B1770="","",ROW()-5)</f>
        <v/>
      </c>
      <c r="B1770" s="127" t="n"/>
      <c r="C1770" s="223" t="n"/>
      <c r="D1770" s="127" t="n"/>
      <c r="E1770" s="227" t="n"/>
      <c r="F1770" s="227" t="n"/>
      <c r="G1770" s="227" t="n"/>
      <c r="H1770" s="227" t="n"/>
      <c r="I1770" s="227" t="n"/>
      <c r="J1770" s="227" t="n"/>
      <c r="K1770" s="227" t="n"/>
      <c r="L1770" s="227" t="n"/>
      <c r="M1770" s="227" t="n"/>
      <c r="N1770" s="127" t="n"/>
      <c r="O1770" s="227" t="n"/>
      <c r="P1770" s="227" t="n"/>
      <c r="Q1770" s="227" t="n"/>
      <c r="R1770" s="227" t="n"/>
      <c r="S1770" s="227" t="n"/>
      <c r="T1770" s="227" t="n"/>
    </row>
    <row r="1771">
      <c r="A1771" s="145">
        <f>IF($B1771="","",ROW()-5)</f>
        <v/>
      </c>
      <c r="B1771" s="127" t="n"/>
      <c r="C1771" s="223" t="n"/>
      <c r="D1771" s="127" t="n"/>
      <c r="E1771" s="227" t="n"/>
      <c r="F1771" s="227" t="n"/>
      <c r="G1771" s="227" t="n"/>
      <c r="H1771" s="227" t="n"/>
      <c r="I1771" s="227" t="n"/>
      <c r="J1771" s="227" t="n"/>
      <c r="K1771" s="227" t="n"/>
      <c r="L1771" s="227" t="n"/>
      <c r="M1771" s="227" t="n"/>
      <c r="N1771" s="127" t="n"/>
      <c r="O1771" s="227" t="n"/>
      <c r="P1771" s="227" t="n"/>
      <c r="Q1771" s="227" t="n"/>
      <c r="R1771" s="227" t="n"/>
      <c r="S1771" s="227" t="n"/>
      <c r="T1771" s="227" t="n"/>
    </row>
    <row r="1772">
      <c r="A1772" s="145">
        <f>IF($B1772="","",ROW()-5)</f>
        <v/>
      </c>
      <c r="B1772" s="127" t="n"/>
      <c r="C1772" s="223" t="n"/>
      <c r="D1772" s="127" t="n"/>
      <c r="E1772" s="227" t="n"/>
      <c r="F1772" s="227" t="n"/>
      <c r="G1772" s="227" t="n"/>
      <c r="H1772" s="227" t="n"/>
      <c r="I1772" s="227" t="n"/>
      <c r="J1772" s="227" t="n"/>
      <c r="K1772" s="227" t="n"/>
      <c r="L1772" s="227" t="n"/>
      <c r="M1772" s="227" t="n"/>
      <c r="N1772" s="127" t="n"/>
      <c r="O1772" s="227" t="n"/>
      <c r="P1772" s="227" t="n"/>
      <c r="Q1772" s="227" t="n"/>
      <c r="R1772" s="227" t="n"/>
      <c r="S1772" s="227" t="n"/>
      <c r="T1772" s="227" t="n"/>
    </row>
    <row r="1773">
      <c r="A1773" s="145">
        <f>IF($B1773="","",ROW()-5)</f>
        <v/>
      </c>
      <c r="B1773" s="127" t="n"/>
      <c r="C1773" s="223" t="n"/>
      <c r="D1773" s="127" t="n"/>
      <c r="E1773" s="227" t="n"/>
      <c r="F1773" s="227" t="n"/>
      <c r="G1773" s="227" t="n"/>
      <c r="H1773" s="227" t="n"/>
      <c r="I1773" s="227" t="n"/>
      <c r="J1773" s="227" t="n"/>
      <c r="K1773" s="227" t="n"/>
      <c r="L1773" s="227" t="n"/>
      <c r="M1773" s="227" t="n"/>
      <c r="N1773" s="127" t="n"/>
      <c r="O1773" s="227" t="n"/>
      <c r="P1773" s="227" t="n"/>
      <c r="Q1773" s="227" t="n"/>
      <c r="R1773" s="227" t="n"/>
      <c r="S1773" s="227" t="n"/>
      <c r="T1773" s="227" t="n"/>
    </row>
    <row r="1774">
      <c r="A1774" s="145">
        <f>IF($B1774="","",ROW()-5)</f>
        <v/>
      </c>
      <c r="B1774" s="127" t="n"/>
      <c r="C1774" s="223" t="n"/>
      <c r="D1774" s="127" t="n"/>
      <c r="E1774" s="227" t="n"/>
      <c r="F1774" s="227" t="n"/>
      <c r="G1774" s="227" t="n"/>
      <c r="H1774" s="227" t="n"/>
      <c r="I1774" s="227" t="n"/>
      <c r="J1774" s="227" t="n"/>
      <c r="K1774" s="227" t="n"/>
      <c r="L1774" s="227" t="n"/>
      <c r="M1774" s="227" t="n"/>
      <c r="N1774" s="127" t="n"/>
      <c r="O1774" s="227" t="n"/>
      <c r="P1774" s="227" t="n"/>
      <c r="Q1774" s="227" t="n"/>
      <c r="R1774" s="227" t="n"/>
      <c r="S1774" s="227" t="n"/>
      <c r="T1774" s="227" t="n"/>
    </row>
    <row r="1775">
      <c r="A1775" s="145">
        <f>IF($B1775="","",ROW()-5)</f>
        <v/>
      </c>
      <c r="B1775" s="127" t="n"/>
      <c r="C1775" s="223" t="n"/>
      <c r="D1775" s="127" t="n"/>
      <c r="E1775" s="227" t="n"/>
      <c r="F1775" s="227" t="n"/>
      <c r="G1775" s="227" t="n"/>
      <c r="H1775" s="227" t="n"/>
      <c r="I1775" s="227" t="n"/>
      <c r="J1775" s="227" t="n"/>
      <c r="K1775" s="227" t="n"/>
      <c r="L1775" s="227" t="n"/>
      <c r="M1775" s="227" t="n"/>
      <c r="N1775" s="127" t="n"/>
      <c r="O1775" s="227" t="n"/>
      <c r="P1775" s="227" t="n"/>
      <c r="Q1775" s="227" t="n"/>
      <c r="R1775" s="227" t="n"/>
      <c r="S1775" s="227" t="n"/>
      <c r="T1775" s="227" t="n"/>
    </row>
    <row r="1776">
      <c r="A1776" s="145">
        <f>IF($B1776="","",ROW()-5)</f>
        <v/>
      </c>
      <c r="B1776" s="127" t="n"/>
      <c r="C1776" s="223" t="n"/>
      <c r="D1776" s="127" t="n"/>
      <c r="E1776" s="227" t="n"/>
      <c r="F1776" s="227" t="n"/>
      <c r="G1776" s="227" t="n"/>
      <c r="H1776" s="227" t="n"/>
      <c r="I1776" s="227" t="n"/>
      <c r="J1776" s="227" t="n"/>
      <c r="K1776" s="227" t="n"/>
      <c r="L1776" s="227" t="n"/>
      <c r="M1776" s="227" t="n"/>
      <c r="N1776" s="127" t="n"/>
      <c r="O1776" s="227" t="n"/>
      <c r="P1776" s="227" t="n"/>
      <c r="Q1776" s="227" t="n"/>
      <c r="R1776" s="227" t="n"/>
      <c r="S1776" s="227" t="n"/>
      <c r="T1776" s="227" t="n"/>
    </row>
    <row r="1777">
      <c r="A1777" s="145">
        <f>IF($B1777="","",ROW()-5)</f>
        <v/>
      </c>
      <c r="B1777" s="127" t="n"/>
      <c r="C1777" s="223" t="n"/>
      <c r="D1777" s="127" t="n"/>
      <c r="E1777" s="227" t="n"/>
      <c r="F1777" s="227" t="n"/>
      <c r="G1777" s="227" t="n"/>
      <c r="H1777" s="227" t="n"/>
      <c r="I1777" s="227" t="n"/>
      <c r="J1777" s="227" t="n"/>
      <c r="K1777" s="227" t="n"/>
      <c r="L1777" s="227" t="n"/>
      <c r="M1777" s="227" t="n"/>
      <c r="N1777" s="127" t="n"/>
      <c r="O1777" s="227" t="n"/>
      <c r="P1777" s="227" t="n"/>
      <c r="Q1777" s="227" t="n"/>
      <c r="R1777" s="227" t="n"/>
      <c r="S1777" s="227" t="n"/>
      <c r="T1777" s="227" t="n"/>
    </row>
    <row r="1778">
      <c r="A1778" s="145">
        <f>IF($B1778="","",ROW()-5)</f>
        <v/>
      </c>
      <c r="B1778" s="127" t="n"/>
      <c r="C1778" s="223" t="n"/>
      <c r="D1778" s="127" t="n"/>
      <c r="E1778" s="227" t="n"/>
      <c r="F1778" s="227" t="n"/>
      <c r="G1778" s="227" t="n"/>
      <c r="H1778" s="227" t="n"/>
      <c r="I1778" s="227" t="n"/>
      <c r="J1778" s="227" t="n"/>
      <c r="K1778" s="227" t="n"/>
      <c r="L1778" s="227" t="n"/>
      <c r="M1778" s="227" t="n"/>
      <c r="N1778" s="127" t="n"/>
      <c r="O1778" s="227" t="n"/>
      <c r="P1778" s="227" t="n"/>
      <c r="Q1778" s="227" t="n"/>
      <c r="R1778" s="227" t="n"/>
      <c r="S1778" s="227" t="n"/>
      <c r="T1778" s="227" t="n"/>
    </row>
    <row r="1779">
      <c r="A1779" s="145">
        <f>IF($B1779="","",ROW()-5)</f>
        <v/>
      </c>
      <c r="B1779" s="127" t="n"/>
      <c r="C1779" s="223" t="n"/>
      <c r="D1779" s="127" t="n"/>
      <c r="E1779" s="227" t="n"/>
      <c r="F1779" s="227" t="n"/>
      <c r="G1779" s="227" t="n"/>
      <c r="H1779" s="227" t="n"/>
      <c r="I1779" s="227" t="n"/>
      <c r="J1779" s="227" t="n"/>
      <c r="K1779" s="227" t="n"/>
      <c r="L1779" s="227" t="n"/>
      <c r="M1779" s="227" t="n"/>
      <c r="N1779" s="127" t="n"/>
      <c r="O1779" s="227" t="n"/>
      <c r="P1779" s="227" t="n"/>
      <c r="Q1779" s="227" t="n"/>
      <c r="R1779" s="227" t="n"/>
      <c r="S1779" s="227" t="n"/>
      <c r="T1779" s="227" t="n"/>
    </row>
    <row r="1780">
      <c r="A1780" s="145">
        <f>IF($B1780="","",ROW()-5)</f>
        <v/>
      </c>
      <c r="B1780" s="127" t="n"/>
      <c r="C1780" s="223" t="n"/>
      <c r="D1780" s="127" t="n"/>
      <c r="E1780" s="227" t="n"/>
      <c r="F1780" s="227" t="n"/>
      <c r="G1780" s="227" t="n"/>
      <c r="H1780" s="227" t="n"/>
      <c r="I1780" s="227" t="n"/>
      <c r="J1780" s="227" t="n"/>
      <c r="K1780" s="227" t="n"/>
      <c r="L1780" s="227" t="n"/>
      <c r="M1780" s="227" t="n"/>
      <c r="N1780" s="127" t="n"/>
      <c r="O1780" s="227" t="n"/>
      <c r="P1780" s="227" t="n"/>
      <c r="Q1780" s="227" t="n"/>
      <c r="R1780" s="227" t="n"/>
      <c r="S1780" s="227" t="n"/>
      <c r="T1780" s="227" t="n"/>
    </row>
    <row r="1781">
      <c r="A1781" s="145">
        <f>IF($B1781="","",ROW()-5)</f>
        <v/>
      </c>
      <c r="B1781" s="127" t="n"/>
      <c r="C1781" s="223" t="n"/>
      <c r="D1781" s="127" t="n"/>
      <c r="E1781" s="227" t="n"/>
      <c r="F1781" s="227" t="n"/>
      <c r="G1781" s="227" t="n"/>
      <c r="H1781" s="227" t="n"/>
      <c r="I1781" s="227" t="n"/>
      <c r="J1781" s="227" t="n"/>
      <c r="K1781" s="227" t="n"/>
      <c r="L1781" s="227" t="n"/>
      <c r="M1781" s="227" t="n"/>
      <c r="N1781" s="127" t="n"/>
      <c r="O1781" s="227" t="n"/>
      <c r="P1781" s="227" t="n"/>
      <c r="Q1781" s="227" t="n"/>
      <c r="R1781" s="227" t="n"/>
      <c r="S1781" s="227" t="n"/>
      <c r="T1781" s="227" t="n"/>
    </row>
    <row r="1782">
      <c r="A1782" s="145">
        <f>IF($B1782="","",ROW()-5)</f>
        <v/>
      </c>
      <c r="B1782" s="127" t="n"/>
      <c r="C1782" s="223" t="n"/>
      <c r="D1782" s="127" t="n"/>
      <c r="E1782" s="227" t="n"/>
      <c r="F1782" s="227" t="n"/>
      <c r="G1782" s="227" t="n"/>
      <c r="H1782" s="227" t="n"/>
      <c r="I1782" s="227" t="n"/>
      <c r="J1782" s="227" t="n"/>
      <c r="K1782" s="227" t="n"/>
      <c r="L1782" s="227" t="n"/>
      <c r="M1782" s="227" t="n"/>
      <c r="N1782" s="127" t="n"/>
      <c r="O1782" s="227" t="n"/>
      <c r="P1782" s="227" t="n"/>
      <c r="Q1782" s="227" t="n"/>
      <c r="R1782" s="227" t="n"/>
      <c r="S1782" s="227" t="n"/>
      <c r="T1782" s="227" t="n"/>
    </row>
    <row r="1783">
      <c r="A1783" s="145">
        <f>IF($B1783="","",ROW()-5)</f>
        <v/>
      </c>
      <c r="B1783" s="127" t="n"/>
      <c r="C1783" s="223" t="n"/>
      <c r="D1783" s="127" t="n"/>
      <c r="E1783" s="227" t="n"/>
      <c r="F1783" s="227" t="n"/>
      <c r="G1783" s="227" t="n"/>
      <c r="H1783" s="227" t="n"/>
      <c r="I1783" s="227" t="n"/>
      <c r="J1783" s="227" t="n"/>
      <c r="K1783" s="227" t="n"/>
      <c r="L1783" s="227" t="n"/>
      <c r="M1783" s="227" t="n"/>
      <c r="N1783" s="127" t="n"/>
      <c r="O1783" s="227" t="n"/>
      <c r="P1783" s="227" t="n"/>
      <c r="Q1783" s="227" t="n"/>
      <c r="R1783" s="227" t="n"/>
      <c r="S1783" s="227" t="n"/>
      <c r="T1783" s="227" t="n"/>
    </row>
    <row r="1784">
      <c r="A1784" s="145">
        <f>IF($B1784="","",ROW()-5)</f>
        <v/>
      </c>
      <c r="B1784" s="127" t="n"/>
      <c r="C1784" s="223" t="n"/>
      <c r="D1784" s="127" t="n"/>
      <c r="E1784" s="227" t="n"/>
      <c r="F1784" s="227" t="n"/>
      <c r="G1784" s="227" t="n"/>
      <c r="H1784" s="227" t="n"/>
      <c r="I1784" s="227" t="n"/>
      <c r="J1784" s="227" t="n"/>
      <c r="K1784" s="227" t="n"/>
      <c r="L1784" s="227" t="n"/>
      <c r="M1784" s="227" t="n"/>
      <c r="N1784" s="127" t="n"/>
      <c r="O1784" s="227" t="n"/>
      <c r="P1784" s="227" t="n"/>
      <c r="Q1784" s="227" t="n"/>
      <c r="R1784" s="227" t="n"/>
      <c r="S1784" s="227" t="n"/>
      <c r="T1784" s="227" t="n"/>
    </row>
    <row r="1785">
      <c r="A1785" s="145">
        <f>IF($B1785="","",ROW()-5)</f>
        <v/>
      </c>
      <c r="B1785" s="127" t="n"/>
      <c r="C1785" s="223" t="n"/>
      <c r="D1785" s="127" t="n"/>
      <c r="E1785" s="227" t="n"/>
      <c r="F1785" s="227" t="n"/>
      <c r="G1785" s="227" t="n"/>
      <c r="H1785" s="227" t="n"/>
      <c r="I1785" s="227" t="n"/>
      <c r="J1785" s="227" t="n"/>
      <c r="K1785" s="227" t="n"/>
      <c r="L1785" s="227" t="n"/>
      <c r="M1785" s="227" t="n"/>
      <c r="N1785" s="127" t="n"/>
      <c r="O1785" s="227" t="n"/>
      <c r="P1785" s="227" t="n"/>
      <c r="Q1785" s="227" t="n"/>
      <c r="R1785" s="227" t="n"/>
      <c r="S1785" s="227" t="n"/>
      <c r="T1785" s="227" t="n"/>
    </row>
    <row r="1786">
      <c r="A1786" s="145">
        <f>IF($B1786="","",ROW()-5)</f>
        <v/>
      </c>
      <c r="B1786" s="127" t="n"/>
      <c r="C1786" s="223" t="n"/>
      <c r="D1786" s="127" t="n"/>
      <c r="E1786" s="227" t="n"/>
      <c r="F1786" s="227" t="n"/>
      <c r="G1786" s="227" t="n"/>
      <c r="H1786" s="227" t="n"/>
      <c r="I1786" s="227" t="n"/>
      <c r="J1786" s="227" t="n"/>
      <c r="K1786" s="227" t="n"/>
      <c r="L1786" s="227" t="n"/>
      <c r="M1786" s="227" t="n"/>
      <c r="N1786" s="127" t="n"/>
      <c r="O1786" s="227" t="n"/>
      <c r="P1786" s="227" t="n"/>
      <c r="Q1786" s="227" t="n"/>
      <c r="R1786" s="227" t="n"/>
      <c r="S1786" s="227" t="n"/>
      <c r="T1786" s="227" t="n"/>
    </row>
    <row r="1787">
      <c r="A1787" s="145">
        <f>IF($B1787="","",ROW()-5)</f>
        <v/>
      </c>
      <c r="B1787" s="127" t="n"/>
      <c r="C1787" s="223" t="n"/>
      <c r="D1787" s="127" t="n"/>
      <c r="E1787" s="227" t="n"/>
      <c r="F1787" s="227" t="n"/>
      <c r="G1787" s="227" t="n"/>
      <c r="H1787" s="227" t="n"/>
      <c r="I1787" s="227" t="n"/>
      <c r="J1787" s="227" t="n"/>
      <c r="K1787" s="227" t="n"/>
      <c r="L1787" s="227" t="n"/>
      <c r="M1787" s="227" t="n"/>
      <c r="N1787" s="127" t="n"/>
      <c r="O1787" s="227" t="n"/>
      <c r="P1787" s="227" t="n"/>
      <c r="Q1787" s="227" t="n"/>
      <c r="R1787" s="227" t="n"/>
      <c r="S1787" s="227" t="n"/>
      <c r="T1787" s="227" t="n"/>
    </row>
    <row r="1788">
      <c r="A1788" s="145">
        <f>IF($B1788="","",ROW()-5)</f>
        <v/>
      </c>
      <c r="B1788" s="127" t="n"/>
      <c r="C1788" s="223" t="n"/>
      <c r="D1788" s="127" t="n"/>
      <c r="E1788" s="227" t="n"/>
      <c r="F1788" s="227" t="n"/>
      <c r="G1788" s="227" t="n"/>
      <c r="H1788" s="227" t="n"/>
      <c r="I1788" s="227" t="n"/>
      <c r="J1788" s="227" t="n"/>
      <c r="K1788" s="227" t="n"/>
      <c r="L1788" s="227" t="n"/>
      <c r="M1788" s="227" t="n"/>
      <c r="N1788" s="127" t="n"/>
      <c r="O1788" s="227" t="n"/>
      <c r="P1788" s="227" t="n"/>
      <c r="Q1788" s="227" t="n"/>
      <c r="R1788" s="227" t="n"/>
      <c r="S1788" s="227" t="n"/>
      <c r="T1788" s="227" t="n"/>
    </row>
    <row r="1789">
      <c r="A1789" s="145">
        <f>IF($B1789="","",ROW()-5)</f>
        <v/>
      </c>
      <c r="B1789" s="127" t="n"/>
      <c r="C1789" s="223" t="n"/>
      <c r="D1789" s="127" t="n"/>
      <c r="E1789" s="227" t="n"/>
      <c r="F1789" s="227" t="n"/>
      <c r="G1789" s="227" t="n"/>
      <c r="H1789" s="227" t="n"/>
      <c r="I1789" s="227" t="n"/>
      <c r="J1789" s="227" t="n"/>
      <c r="K1789" s="227" t="n"/>
      <c r="L1789" s="227" t="n"/>
      <c r="M1789" s="227" t="n"/>
      <c r="N1789" s="127" t="n"/>
      <c r="O1789" s="227" t="n"/>
      <c r="P1789" s="227" t="n"/>
      <c r="Q1789" s="227" t="n"/>
      <c r="R1789" s="227" t="n"/>
      <c r="S1789" s="227" t="n"/>
      <c r="T1789" s="227" t="n"/>
    </row>
    <row r="1790">
      <c r="A1790" s="145">
        <f>IF($B1790="","",ROW()-5)</f>
        <v/>
      </c>
      <c r="B1790" s="127" t="n"/>
      <c r="C1790" s="223" t="n"/>
      <c r="D1790" s="127" t="n"/>
      <c r="E1790" s="227" t="n"/>
      <c r="F1790" s="227" t="n"/>
      <c r="G1790" s="227" t="n"/>
      <c r="H1790" s="227" t="n"/>
      <c r="I1790" s="227" t="n"/>
      <c r="J1790" s="227" t="n"/>
      <c r="K1790" s="227" t="n"/>
      <c r="L1790" s="227" t="n"/>
      <c r="M1790" s="227" t="n"/>
      <c r="N1790" s="127" t="n"/>
      <c r="O1790" s="227" t="n"/>
      <c r="P1790" s="227" t="n"/>
      <c r="Q1790" s="227" t="n"/>
      <c r="R1790" s="227" t="n"/>
      <c r="S1790" s="227" t="n"/>
      <c r="T1790" s="227" t="n"/>
    </row>
    <row r="1791">
      <c r="A1791" s="145">
        <f>IF($B1791="","",ROW()-5)</f>
        <v/>
      </c>
      <c r="B1791" s="127" t="n"/>
      <c r="C1791" s="223" t="n"/>
      <c r="D1791" s="127" t="n"/>
      <c r="E1791" s="227" t="n"/>
      <c r="F1791" s="227" t="n"/>
      <c r="G1791" s="227" t="n"/>
      <c r="H1791" s="227" t="n"/>
      <c r="I1791" s="227" t="n"/>
      <c r="J1791" s="227" t="n"/>
      <c r="K1791" s="227" t="n"/>
      <c r="L1791" s="227" t="n"/>
      <c r="M1791" s="227" t="n"/>
      <c r="N1791" s="127" t="n"/>
      <c r="O1791" s="227" t="n"/>
      <c r="P1791" s="227" t="n"/>
      <c r="Q1791" s="227" t="n"/>
      <c r="R1791" s="227" t="n"/>
      <c r="S1791" s="227" t="n"/>
      <c r="T1791" s="227" t="n"/>
    </row>
    <row r="1792">
      <c r="A1792" s="145">
        <f>IF($B1792="","",ROW()-5)</f>
        <v/>
      </c>
      <c r="B1792" s="127" t="n"/>
      <c r="C1792" s="223" t="n"/>
      <c r="D1792" s="127" t="n"/>
      <c r="E1792" s="227" t="n"/>
      <c r="F1792" s="227" t="n"/>
      <c r="G1792" s="227" t="n"/>
      <c r="H1792" s="227" t="n"/>
      <c r="I1792" s="227" t="n"/>
      <c r="J1792" s="227" t="n"/>
      <c r="K1792" s="227" t="n"/>
      <c r="L1792" s="227" t="n"/>
      <c r="M1792" s="227" t="n"/>
      <c r="N1792" s="127" t="n"/>
      <c r="O1792" s="227" t="n"/>
      <c r="P1792" s="227" t="n"/>
      <c r="Q1792" s="227" t="n"/>
      <c r="R1792" s="227" t="n"/>
      <c r="S1792" s="227" t="n"/>
      <c r="T1792" s="227" t="n"/>
    </row>
    <row r="1793">
      <c r="A1793" s="145">
        <f>IF($B1793="","",ROW()-5)</f>
        <v/>
      </c>
      <c r="B1793" s="127" t="n"/>
      <c r="C1793" s="223" t="n"/>
      <c r="D1793" s="127" t="n"/>
      <c r="E1793" s="227" t="n"/>
      <c r="F1793" s="227" t="n"/>
      <c r="G1793" s="227" t="n"/>
      <c r="H1793" s="227" t="n"/>
      <c r="I1793" s="227" t="n"/>
      <c r="J1793" s="227" t="n"/>
      <c r="K1793" s="227" t="n"/>
      <c r="L1793" s="227" t="n"/>
      <c r="M1793" s="227" t="n"/>
      <c r="N1793" s="127" t="n"/>
      <c r="O1793" s="227" t="n"/>
      <c r="P1793" s="227" t="n"/>
      <c r="Q1793" s="227" t="n"/>
      <c r="R1793" s="227" t="n"/>
      <c r="S1793" s="227" t="n"/>
      <c r="T1793" s="227" t="n"/>
    </row>
    <row r="1794">
      <c r="A1794" s="145">
        <f>IF($B1794="","",ROW()-5)</f>
        <v/>
      </c>
      <c r="B1794" s="127" t="n"/>
      <c r="C1794" s="223" t="n"/>
      <c r="D1794" s="127" t="n"/>
      <c r="E1794" s="227" t="n"/>
      <c r="F1794" s="227" t="n"/>
      <c r="G1794" s="227" t="n"/>
      <c r="H1794" s="227" t="n"/>
      <c r="I1794" s="227" t="n"/>
      <c r="J1794" s="227" t="n"/>
      <c r="K1794" s="227" t="n"/>
      <c r="L1794" s="227" t="n"/>
      <c r="M1794" s="227" t="n"/>
      <c r="N1794" s="127" t="n"/>
      <c r="O1794" s="227" t="n"/>
      <c r="P1794" s="227" t="n"/>
      <c r="Q1794" s="227" t="n"/>
      <c r="R1794" s="227" t="n"/>
      <c r="S1794" s="227" t="n"/>
      <c r="T1794" s="227" t="n"/>
    </row>
    <row r="1795">
      <c r="A1795" s="145">
        <f>IF($B1795="","",ROW()-5)</f>
        <v/>
      </c>
      <c r="B1795" s="127" t="n"/>
      <c r="C1795" s="223" t="n"/>
      <c r="D1795" s="127" t="n"/>
      <c r="E1795" s="227" t="n"/>
      <c r="F1795" s="227" t="n"/>
      <c r="G1795" s="227" t="n"/>
      <c r="H1795" s="227" t="n"/>
      <c r="I1795" s="227" t="n"/>
      <c r="J1795" s="227" t="n"/>
      <c r="K1795" s="227" t="n"/>
      <c r="L1795" s="227" t="n"/>
      <c r="M1795" s="227" t="n"/>
      <c r="N1795" s="127" t="n"/>
      <c r="O1795" s="227" t="n"/>
      <c r="P1795" s="227" t="n"/>
      <c r="Q1795" s="227" t="n"/>
      <c r="R1795" s="227" t="n"/>
      <c r="S1795" s="227" t="n"/>
      <c r="T1795" s="227" t="n"/>
    </row>
    <row r="1796">
      <c r="A1796" s="145">
        <f>IF($B1796="","",ROW()-5)</f>
        <v/>
      </c>
      <c r="B1796" s="127" t="n"/>
      <c r="C1796" s="223" t="n"/>
      <c r="D1796" s="127" t="n"/>
      <c r="E1796" s="227" t="n"/>
      <c r="F1796" s="227" t="n"/>
      <c r="G1796" s="227" t="n"/>
      <c r="H1796" s="227" t="n"/>
      <c r="I1796" s="227" t="n"/>
      <c r="J1796" s="227" t="n"/>
      <c r="K1796" s="227" t="n"/>
      <c r="L1796" s="227" t="n"/>
      <c r="M1796" s="227" t="n"/>
      <c r="N1796" s="127" t="n"/>
      <c r="O1796" s="227" t="n"/>
      <c r="P1796" s="227" t="n"/>
      <c r="Q1796" s="227" t="n"/>
      <c r="R1796" s="227" t="n"/>
      <c r="S1796" s="227" t="n"/>
      <c r="T1796" s="227" t="n"/>
    </row>
    <row r="1797">
      <c r="A1797" s="145">
        <f>IF($B1797="","",ROW()-5)</f>
        <v/>
      </c>
      <c r="B1797" s="127" t="n"/>
      <c r="C1797" s="223" t="n"/>
      <c r="D1797" s="127" t="n"/>
      <c r="E1797" s="227" t="n"/>
      <c r="F1797" s="227" t="n"/>
      <c r="G1797" s="227" t="n"/>
      <c r="H1797" s="227" t="n"/>
      <c r="I1797" s="227" t="n"/>
      <c r="J1797" s="227" t="n"/>
      <c r="K1797" s="227" t="n"/>
      <c r="L1797" s="227" t="n"/>
      <c r="M1797" s="227" t="n"/>
      <c r="N1797" s="127" t="n"/>
      <c r="O1797" s="227" t="n"/>
      <c r="P1797" s="227" t="n"/>
      <c r="Q1797" s="227" t="n"/>
      <c r="R1797" s="227" t="n"/>
      <c r="S1797" s="227" t="n"/>
      <c r="T1797" s="227" t="n"/>
    </row>
    <row r="1798">
      <c r="A1798" s="145">
        <f>IF($B1798="","",ROW()-5)</f>
        <v/>
      </c>
      <c r="B1798" s="127" t="n"/>
      <c r="C1798" s="223" t="n"/>
      <c r="D1798" s="127" t="n"/>
      <c r="E1798" s="227" t="n"/>
      <c r="F1798" s="227" t="n"/>
      <c r="G1798" s="227" t="n"/>
      <c r="H1798" s="227" t="n"/>
      <c r="I1798" s="227" t="n"/>
      <c r="J1798" s="227" t="n"/>
      <c r="K1798" s="227" t="n"/>
      <c r="L1798" s="227" t="n"/>
      <c r="M1798" s="227" t="n"/>
      <c r="N1798" s="127" t="n"/>
      <c r="O1798" s="227" t="n"/>
      <c r="P1798" s="227" t="n"/>
      <c r="Q1798" s="227" t="n"/>
      <c r="R1798" s="227" t="n"/>
      <c r="S1798" s="227" t="n"/>
      <c r="T1798" s="227" t="n"/>
    </row>
    <row r="1799">
      <c r="A1799" s="145">
        <f>IF($B1799="","",ROW()-5)</f>
        <v/>
      </c>
      <c r="B1799" s="127" t="n"/>
      <c r="C1799" s="223" t="n"/>
      <c r="D1799" s="127" t="n"/>
      <c r="E1799" s="227" t="n"/>
      <c r="F1799" s="227" t="n"/>
      <c r="G1799" s="227" t="n"/>
      <c r="H1799" s="227" t="n"/>
      <c r="I1799" s="227" t="n"/>
      <c r="J1799" s="227" t="n"/>
      <c r="K1799" s="227" t="n"/>
      <c r="L1799" s="227" t="n"/>
      <c r="M1799" s="227" t="n"/>
      <c r="N1799" s="127" t="n"/>
      <c r="O1799" s="227" t="n"/>
      <c r="P1799" s="227" t="n"/>
      <c r="Q1799" s="227" t="n"/>
      <c r="R1799" s="227" t="n"/>
      <c r="S1799" s="227" t="n"/>
      <c r="T1799" s="227" t="n"/>
    </row>
    <row r="1800">
      <c r="A1800" s="145">
        <f>IF($B1800="","",ROW()-5)</f>
        <v/>
      </c>
      <c r="B1800" s="127" t="n"/>
      <c r="C1800" s="223" t="n"/>
      <c r="D1800" s="127" t="n"/>
      <c r="E1800" s="227" t="n"/>
      <c r="F1800" s="227" t="n"/>
      <c r="G1800" s="227" t="n"/>
      <c r="H1800" s="227" t="n"/>
      <c r="I1800" s="227" t="n"/>
      <c r="J1800" s="227" t="n"/>
      <c r="K1800" s="227" t="n"/>
      <c r="L1800" s="227" t="n"/>
      <c r="M1800" s="227" t="n"/>
      <c r="N1800" s="127" t="n"/>
      <c r="O1800" s="227" t="n"/>
      <c r="P1800" s="227" t="n"/>
      <c r="Q1800" s="227" t="n"/>
      <c r="R1800" s="227" t="n"/>
      <c r="S1800" s="227" t="n"/>
      <c r="T1800" s="227" t="n"/>
    </row>
    <row r="1801">
      <c r="A1801" s="145">
        <f>IF($B1801="","",ROW()-5)</f>
        <v/>
      </c>
      <c r="B1801" s="127" t="n"/>
      <c r="C1801" s="223" t="n"/>
      <c r="D1801" s="127" t="n"/>
      <c r="E1801" s="227" t="n"/>
      <c r="F1801" s="227" t="n"/>
      <c r="G1801" s="227" t="n"/>
      <c r="H1801" s="227" t="n"/>
      <c r="I1801" s="227" t="n"/>
      <c r="J1801" s="227" t="n"/>
      <c r="K1801" s="227" t="n"/>
      <c r="L1801" s="227" t="n"/>
      <c r="M1801" s="227" t="n"/>
      <c r="N1801" s="127" t="n"/>
      <c r="O1801" s="227" t="n"/>
      <c r="P1801" s="227" t="n"/>
      <c r="Q1801" s="227" t="n"/>
      <c r="R1801" s="227" t="n"/>
      <c r="S1801" s="227" t="n"/>
      <c r="T1801" s="227" t="n"/>
    </row>
    <row r="1802">
      <c r="A1802" s="145">
        <f>IF($B1802="","",ROW()-5)</f>
        <v/>
      </c>
      <c r="B1802" s="127" t="n"/>
      <c r="C1802" s="223" t="n"/>
      <c r="D1802" s="127" t="n"/>
      <c r="E1802" s="227" t="n"/>
      <c r="F1802" s="227" t="n"/>
      <c r="G1802" s="227" t="n"/>
      <c r="H1802" s="227" t="n"/>
      <c r="I1802" s="227" t="n"/>
      <c r="J1802" s="227" t="n"/>
      <c r="K1802" s="227" t="n"/>
      <c r="L1802" s="227" t="n"/>
      <c r="M1802" s="227" t="n"/>
      <c r="N1802" s="127" t="n"/>
      <c r="O1802" s="227" t="n"/>
      <c r="P1802" s="227" t="n"/>
      <c r="Q1802" s="227" t="n"/>
      <c r="R1802" s="227" t="n"/>
      <c r="S1802" s="227" t="n"/>
      <c r="T1802" s="227" t="n"/>
    </row>
    <row r="1803">
      <c r="A1803" s="145">
        <f>IF($B1803="","",ROW()-5)</f>
        <v/>
      </c>
      <c r="B1803" s="127" t="n"/>
      <c r="C1803" s="223" t="n"/>
      <c r="D1803" s="127" t="n"/>
      <c r="E1803" s="227" t="n"/>
      <c r="F1803" s="227" t="n"/>
      <c r="G1803" s="227" t="n"/>
      <c r="H1803" s="227" t="n"/>
      <c r="I1803" s="227" t="n"/>
      <c r="J1803" s="227" t="n"/>
      <c r="K1803" s="227" t="n"/>
      <c r="L1803" s="227" t="n"/>
      <c r="M1803" s="227" t="n"/>
      <c r="N1803" s="127" t="n"/>
      <c r="O1803" s="227" t="n"/>
      <c r="P1803" s="227" t="n"/>
      <c r="Q1803" s="227" t="n"/>
      <c r="R1803" s="227" t="n"/>
      <c r="S1803" s="227" t="n"/>
      <c r="T1803" s="227" t="n"/>
    </row>
    <row r="1804">
      <c r="A1804" s="145">
        <f>IF($B1804="","",ROW()-5)</f>
        <v/>
      </c>
      <c r="B1804" s="127" t="n"/>
      <c r="C1804" s="223" t="n"/>
      <c r="D1804" s="127" t="n"/>
      <c r="E1804" s="227" t="n"/>
      <c r="F1804" s="227" t="n"/>
      <c r="G1804" s="227" t="n"/>
      <c r="H1804" s="227" t="n"/>
      <c r="I1804" s="227" t="n"/>
      <c r="J1804" s="227" t="n"/>
      <c r="K1804" s="227" t="n"/>
      <c r="L1804" s="227" t="n"/>
      <c r="M1804" s="227" t="n"/>
      <c r="N1804" s="127" t="n"/>
      <c r="O1804" s="227" t="n"/>
      <c r="P1804" s="227" t="n"/>
      <c r="Q1804" s="227" t="n"/>
      <c r="R1804" s="227" t="n"/>
      <c r="S1804" s="227" t="n"/>
      <c r="T1804" s="227" t="n"/>
    </row>
    <row r="1805">
      <c r="A1805" s="145">
        <f>IF($B1805="","",ROW()-5)</f>
        <v/>
      </c>
      <c r="B1805" s="127" t="n"/>
      <c r="C1805" s="223" t="n"/>
      <c r="D1805" s="127" t="n"/>
      <c r="E1805" s="227" t="n"/>
      <c r="F1805" s="227" t="n"/>
      <c r="G1805" s="227" t="n"/>
      <c r="H1805" s="227" t="n"/>
      <c r="I1805" s="227" t="n"/>
      <c r="J1805" s="227" t="n"/>
      <c r="K1805" s="227" t="n"/>
      <c r="L1805" s="227" t="n"/>
      <c r="M1805" s="227" t="n"/>
      <c r="N1805" s="127" t="n"/>
      <c r="O1805" s="227" t="n"/>
      <c r="P1805" s="227" t="n"/>
      <c r="Q1805" s="227" t="n"/>
      <c r="R1805" s="227" t="n"/>
      <c r="S1805" s="227" t="n"/>
      <c r="T1805" s="227" t="n"/>
    </row>
    <row r="1806">
      <c r="A1806" s="145">
        <f>IF($B1806="","",ROW()-5)</f>
        <v/>
      </c>
      <c r="B1806" s="127" t="n"/>
      <c r="C1806" s="223" t="n"/>
      <c r="D1806" s="127" t="n"/>
      <c r="E1806" s="227" t="n"/>
      <c r="F1806" s="227" t="n"/>
      <c r="G1806" s="227" t="n"/>
      <c r="H1806" s="227" t="n"/>
      <c r="I1806" s="227" t="n"/>
      <c r="J1806" s="227" t="n"/>
      <c r="K1806" s="227" t="n"/>
      <c r="L1806" s="227" t="n"/>
      <c r="M1806" s="227" t="n"/>
      <c r="N1806" s="127" t="n"/>
      <c r="O1806" s="227" t="n"/>
      <c r="P1806" s="227" t="n"/>
      <c r="Q1806" s="227" t="n"/>
      <c r="R1806" s="227" t="n"/>
      <c r="S1806" s="227" t="n"/>
      <c r="T1806" s="227" t="n"/>
    </row>
    <row r="1807">
      <c r="A1807" s="145">
        <f>IF($B1807="","",ROW()-5)</f>
        <v/>
      </c>
      <c r="B1807" s="127" t="n"/>
      <c r="C1807" s="223" t="n"/>
      <c r="D1807" s="127" t="n"/>
      <c r="E1807" s="227" t="n"/>
      <c r="F1807" s="227" t="n"/>
      <c r="G1807" s="227" t="n"/>
      <c r="H1807" s="227" t="n"/>
      <c r="I1807" s="227" t="n"/>
      <c r="J1807" s="227" t="n"/>
      <c r="K1807" s="227" t="n"/>
      <c r="L1807" s="227" t="n"/>
      <c r="M1807" s="227" t="n"/>
      <c r="N1807" s="127" t="n"/>
      <c r="O1807" s="227" t="n"/>
      <c r="P1807" s="227" t="n"/>
      <c r="Q1807" s="227" t="n"/>
      <c r="R1807" s="227" t="n"/>
      <c r="S1807" s="227" t="n"/>
      <c r="T1807" s="227" t="n"/>
    </row>
    <row r="1808">
      <c r="A1808" s="145">
        <f>IF($B1808="","",ROW()-5)</f>
        <v/>
      </c>
      <c r="B1808" s="127" t="n"/>
      <c r="C1808" s="223" t="n"/>
      <c r="D1808" s="127" t="n"/>
      <c r="E1808" s="227" t="n"/>
      <c r="F1808" s="227" t="n"/>
      <c r="G1808" s="227" t="n"/>
      <c r="H1808" s="227" t="n"/>
      <c r="I1808" s="227" t="n"/>
      <c r="J1808" s="227" t="n"/>
      <c r="K1808" s="227" t="n"/>
      <c r="L1808" s="227" t="n"/>
      <c r="M1808" s="227" t="n"/>
      <c r="N1808" s="127" t="n"/>
      <c r="O1808" s="227" t="n"/>
      <c r="P1808" s="227" t="n"/>
      <c r="Q1808" s="227" t="n"/>
      <c r="R1808" s="227" t="n"/>
      <c r="S1808" s="227" t="n"/>
      <c r="T1808" s="227" t="n"/>
    </row>
    <row r="1809">
      <c r="A1809" s="145">
        <f>IF($B1809="","",ROW()-5)</f>
        <v/>
      </c>
      <c r="B1809" s="127" t="n"/>
      <c r="C1809" s="223" t="n"/>
      <c r="D1809" s="127" t="n"/>
      <c r="E1809" s="227" t="n"/>
      <c r="F1809" s="227" t="n"/>
      <c r="G1809" s="227" t="n"/>
      <c r="H1809" s="227" t="n"/>
      <c r="I1809" s="227" t="n"/>
      <c r="J1809" s="227" t="n"/>
      <c r="K1809" s="227" t="n"/>
      <c r="L1809" s="227" t="n"/>
      <c r="M1809" s="227" t="n"/>
      <c r="N1809" s="127" t="n"/>
      <c r="O1809" s="227" t="n"/>
      <c r="P1809" s="227" t="n"/>
      <c r="Q1809" s="227" t="n"/>
      <c r="R1809" s="227" t="n"/>
      <c r="S1809" s="227" t="n"/>
      <c r="T1809" s="227" t="n"/>
    </row>
    <row r="1810">
      <c r="A1810" s="145">
        <f>IF($B1810="","",ROW()-5)</f>
        <v/>
      </c>
      <c r="B1810" s="127" t="n"/>
      <c r="C1810" s="223" t="n"/>
      <c r="D1810" s="127" t="n"/>
      <c r="E1810" s="227" t="n"/>
      <c r="F1810" s="227" t="n"/>
      <c r="G1810" s="227" t="n"/>
      <c r="H1810" s="227" t="n"/>
      <c r="I1810" s="227" t="n"/>
      <c r="J1810" s="227" t="n"/>
      <c r="K1810" s="227" t="n"/>
      <c r="L1810" s="227" t="n"/>
      <c r="M1810" s="227" t="n"/>
      <c r="N1810" s="127" t="n"/>
      <c r="O1810" s="227" t="n"/>
      <c r="P1810" s="227" t="n"/>
      <c r="Q1810" s="227" t="n"/>
      <c r="R1810" s="227" t="n"/>
      <c r="S1810" s="227" t="n"/>
      <c r="T1810" s="227" t="n"/>
    </row>
    <row r="1811">
      <c r="A1811" s="145">
        <f>IF($B1811="","",ROW()-5)</f>
        <v/>
      </c>
      <c r="B1811" s="127" t="n"/>
      <c r="C1811" s="223" t="n"/>
      <c r="D1811" s="127" t="n"/>
      <c r="E1811" s="227" t="n"/>
      <c r="F1811" s="227" t="n"/>
      <c r="G1811" s="227" t="n"/>
      <c r="H1811" s="227" t="n"/>
      <c r="I1811" s="227" t="n"/>
      <c r="J1811" s="227" t="n"/>
      <c r="K1811" s="227" t="n"/>
      <c r="L1811" s="227" t="n"/>
      <c r="M1811" s="227" t="n"/>
      <c r="N1811" s="127" t="n"/>
      <c r="O1811" s="227" t="n"/>
      <c r="P1811" s="227" t="n"/>
      <c r="Q1811" s="227" t="n"/>
      <c r="R1811" s="227" t="n"/>
      <c r="S1811" s="227" t="n"/>
      <c r="T1811" s="227" t="n"/>
    </row>
    <row r="1812">
      <c r="A1812" s="145">
        <f>IF($B1812="","",ROW()-5)</f>
        <v/>
      </c>
      <c r="B1812" s="127" t="n"/>
      <c r="C1812" s="223" t="n"/>
      <c r="D1812" s="127" t="n"/>
      <c r="E1812" s="227" t="n"/>
      <c r="F1812" s="227" t="n"/>
      <c r="G1812" s="227" t="n"/>
      <c r="H1812" s="227" t="n"/>
      <c r="I1812" s="227" t="n"/>
      <c r="J1812" s="227" t="n"/>
      <c r="K1812" s="227" t="n"/>
      <c r="L1812" s="227" t="n"/>
      <c r="M1812" s="227" t="n"/>
      <c r="N1812" s="127" t="n"/>
      <c r="O1812" s="227" t="n"/>
      <c r="P1812" s="227" t="n"/>
      <c r="Q1812" s="227" t="n"/>
      <c r="R1812" s="227" t="n"/>
      <c r="S1812" s="227" t="n"/>
      <c r="T1812" s="227" t="n"/>
    </row>
    <row r="1813">
      <c r="A1813" s="145">
        <f>IF($B1813="","",ROW()-5)</f>
        <v/>
      </c>
      <c r="B1813" s="127" t="n"/>
      <c r="C1813" s="223" t="n"/>
      <c r="D1813" s="127" t="n"/>
      <c r="E1813" s="227" t="n"/>
      <c r="F1813" s="227" t="n"/>
      <c r="G1813" s="227" t="n"/>
      <c r="H1813" s="227" t="n"/>
      <c r="I1813" s="227" t="n"/>
      <c r="J1813" s="227" t="n"/>
      <c r="K1813" s="227" t="n"/>
      <c r="L1813" s="227" t="n"/>
      <c r="M1813" s="227" t="n"/>
      <c r="N1813" s="127" t="n"/>
      <c r="O1813" s="227" t="n"/>
      <c r="P1813" s="227" t="n"/>
      <c r="Q1813" s="227" t="n"/>
      <c r="R1813" s="227" t="n"/>
      <c r="S1813" s="227" t="n"/>
      <c r="T1813" s="227" t="n"/>
    </row>
    <row r="1814">
      <c r="A1814" s="145">
        <f>IF($B1814="","",ROW()-5)</f>
        <v/>
      </c>
      <c r="B1814" s="127" t="n"/>
      <c r="C1814" s="223" t="n"/>
      <c r="D1814" s="127" t="n"/>
      <c r="E1814" s="227" t="n"/>
      <c r="F1814" s="227" t="n"/>
      <c r="G1814" s="227" t="n"/>
      <c r="H1814" s="227" t="n"/>
      <c r="I1814" s="227" t="n"/>
      <c r="J1814" s="227" t="n"/>
      <c r="K1814" s="227" t="n"/>
      <c r="L1814" s="227" t="n"/>
      <c r="M1814" s="227" t="n"/>
      <c r="N1814" s="127" t="n"/>
      <c r="O1814" s="227" t="n"/>
      <c r="P1814" s="227" t="n"/>
      <c r="Q1814" s="227" t="n"/>
      <c r="R1814" s="227" t="n"/>
      <c r="S1814" s="227" t="n"/>
      <c r="T1814" s="227" t="n"/>
    </row>
    <row r="1815">
      <c r="A1815" s="145">
        <f>IF($B1815="","",ROW()-5)</f>
        <v/>
      </c>
      <c r="B1815" s="127" t="n"/>
      <c r="C1815" s="223" t="n"/>
      <c r="D1815" s="127" t="n"/>
      <c r="E1815" s="227" t="n"/>
      <c r="F1815" s="227" t="n"/>
      <c r="G1815" s="227" t="n"/>
      <c r="H1815" s="227" t="n"/>
      <c r="I1815" s="227" t="n"/>
      <c r="J1815" s="227" t="n"/>
      <c r="K1815" s="227" t="n"/>
      <c r="L1815" s="227" t="n"/>
      <c r="M1815" s="227" t="n"/>
      <c r="N1815" s="127" t="n"/>
      <c r="O1815" s="227" t="n"/>
      <c r="P1815" s="227" t="n"/>
      <c r="Q1815" s="227" t="n"/>
      <c r="R1815" s="227" t="n"/>
      <c r="S1815" s="227" t="n"/>
      <c r="T1815" s="227" t="n"/>
    </row>
    <row r="1816">
      <c r="A1816" s="145">
        <f>IF($B1816="","",ROW()-5)</f>
        <v/>
      </c>
      <c r="B1816" s="127" t="n"/>
      <c r="C1816" s="223" t="n"/>
      <c r="D1816" s="127" t="n"/>
      <c r="E1816" s="227" t="n"/>
      <c r="F1816" s="227" t="n"/>
      <c r="G1816" s="227" t="n"/>
      <c r="H1816" s="227" t="n"/>
      <c r="I1816" s="227" t="n"/>
      <c r="J1816" s="227" t="n"/>
      <c r="K1816" s="227" t="n"/>
      <c r="L1816" s="227" t="n"/>
      <c r="M1816" s="227" t="n"/>
      <c r="N1816" s="127" t="n"/>
      <c r="O1816" s="227" t="n"/>
      <c r="P1816" s="227" t="n"/>
      <c r="Q1816" s="227" t="n"/>
      <c r="R1816" s="227" t="n"/>
      <c r="S1816" s="227" t="n"/>
      <c r="T1816" s="227" t="n"/>
    </row>
    <row r="1817">
      <c r="A1817" s="145">
        <f>IF($B1817="","",ROW()-5)</f>
        <v/>
      </c>
      <c r="B1817" s="127" t="n"/>
      <c r="C1817" s="223" t="n"/>
      <c r="D1817" s="127" t="n"/>
      <c r="E1817" s="227" t="n"/>
      <c r="F1817" s="227" t="n"/>
      <c r="G1817" s="227" t="n"/>
      <c r="H1817" s="227" t="n"/>
      <c r="I1817" s="227" t="n"/>
      <c r="J1817" s="227" t="n"/>
      <c r="K1817" s="227" t="n"/>
      <c r="L1817" s="227" t="n"/>
      <c r="M1817" s="227" t="n"/>
      <c r="N1817" s="127" t="n"/>
      <c r="O1817" s="227" t="n"/>
      <c r="P1817" s="227" t="n"/>
      <c r="Q1817" s="227" t="n"/>
      <c r="R1817" s="227" t="n"/>
      <c r="S1817" s="227" t="n"/>
      <c r="T1817" s="227" t="n"/>
    </row>
    <row r="1818">
      <c r="A1818" s="145">
        <f>IF($B1818="","",ROW()-5)</f>
        <v/>
      </c>
      <c r="B1818" s="127" t="n"/>
      <c r="C1818" s="223" t="n"/>
      <c r="D1818" s="127" t="n"/>
      <c r="E1818" s="227" t="n"/>
      <c r="F1818" s="227" t="n"/>
      <c r="G1818" s="227" t="n"/>
      <c r="H1818" s="227" t="n"/>
      <c r="I1818" s="227" t="n"/>
      <c r="J1818" s="227" t="n"/>
      <c r="K1818" s="227" t="n"/>
      <c r="L1818" s="227" t="n"/>
      <c r="M1818" s="227" t="n"/>
      <c r="N1818" s="127" t="n"/>
      <c r="O1818" s="227" t="n"/>
      <c r="P1818" s="227" t="n"/>
      <c r="Q1818" s="227" t="n"/>
      <c r="R1818" s="227" t="n"/>
      <c r="S1818" s="227" t="n"/>
      <c r="T1818" s="227" t="n"/>
    </row>
    <row r="1819">
      <c r="A1819" s="145">
        <f>IF($B1819="","",ROW()-5)</f>
        <v/>
      </c>
      <c r="B1819" s="127" t="n"/>
      <c r="C1819" s="223" t="n"/>
      <c r="D1819" s="127" t="n"/>
      <c r="E1819" s="227" t="n"/>
      <c r="F1819" s="227" t="n"/>
      <c r="G1819" s="227" t="n"/>
      <c r="H1819" s="227" t="n"/>
      <c r="I1819" s="227" t="n"/>
      <c r="J1819" s="227" t="n"/>
      <c r="K1819" s="227" t="n"/>
      <c r="L1819" s="227" t="n"/>
      <c r="M1819" s="227" t="n"/>
      <c r="N1819" s="127" t="n"/>
      <c r="O1819" s="227" t="n"/>
      <c r="P1819" s="227" t="n"/>
      <c r="Q1819" s="227" t="n"/>
      <c r="R1819" s="227" t="n"/>
      <c r="S1819" s="227" t="n"/>
      <c r="T1819" s="227" t="n"/>
    </row>
    <row r="1820">
      <c r="A1820" s="145">
        <f>IF($B1820="","",ROW()-5)</f>
        <v/>
      </c>
      <c r="B1820" s="127" t="n"/>
      <c r="C1820" s="223" t="n"/>
      <c r="D1820" s="127" t="n"/>
      <c r="E1820" s="227" t="n"/>
      <c r="F1820" s="227" t="n"/>
      <c r="G1820" s="227" t="n"/>
      <c r="H1820" s="227" t="n"/>
      <c r="I1820" s="227" t="n"/>
      <c r="J1820" s="227" t="n"/>
      <c r="K1820" s="227" t="n"/>
      <c r="L1820" s="227" t="n"/>
      <c r="M1820" s="227" t="n"/>
      <c r="N1820" s="127" t="n"/>
      <c r="O1820" s="227" t="n"/>
      <c r="P1820" s="227" t="n"/>
      <c r="Q1820" s="227" t="n"/>
      <c r="R1820" s="227" t="n"/>
      <c r="S1820" s="227" t="n"/>
      <c r="T1820" s="227" t="n"/>
    </row>
    <row r="1821">
      <c r="A1821" s="145">
        <f>IF($B1821="","",ROW()-5)</f>
        <v/>
      </c>
      <c r="B1821" s="127" t="n"/>
      <c r="C1821" s="223" t="n"/>
      <c r="D1821" s="127" t="n"/>
      <c r="E1821" s="227" t="n"/>
      <c r="F1821" s="227" t="n"/>
      <c r="G1821" s="227" t="n"/>
      <c r="H1821" s="227" t="n"/>
      <c r="I1821" s="227" t="n"/>
      <c r="J1821" s="227" t="n"/>
      <c r="K1821" s="227" t="n"/>
      <c r="L1821" s="227" t="n"/>
      <c r="M1821" s="227" t="n"/>
      <c r="N1821" s="127" t="n"/>
      <c r="O1821" s="227" t="n"/>
      <c r="P1821" s="227" t="n"/>
      <c r="Q1821" s="227" t="n"/>
      <c r="R1821" s="227" t="n"/>
      <c r="S1821" s="227" t="n"/>
      <c r="T1821" s="227" t="n"/>
    </row>
    <row r="1822">
      <c r="A1822" s="145">
        <f>IF($B1822="","",ROW()-5)</f>
        <v/>
      </c>
      <c r="B1822" s="127" t="n"/>
      <c r="C1822" s="223" t="n"/>
      <c r="D1822" s="127" t="n"/>
      <c r="E1822" s="227" t="n"/>
      <c r="F1822" s="227" t="n"/>
      <c r="G1822" s="227" t="n"/>
      <c r="H1822" s="227" t="n"/>
      <c r="I1822" s="227" t="n"/>
      <c r="J1822" s="227" t="n"/>
      <c r="K1822" s="227" t="n"/>
      <c r="L1822" s="227" t="n"/>
      <c r="M1822" s="227" t="n"/>
      <c r="N1822" s="127" t="n"/>
      <c r="O1822" s="227" t="n"/>
      <c r="P1822" s="227" t="n"/>
      <c r="Q1822" s="227" t="n"/>
      <c r="R1822" s="227" t="n"/>
      <c r="S1822" s="227" t="n"/>
      <c r="T1822" s="227" t="n"/>
    </row>
    <row r="1823">
      <c r="A1823" s="145">
        <f>IF($B1823="","",ROW()-5)</f>
        <v/>
      </c>
      <c r="B1823" s="127" t="n"/>
      <c r="C1823" s="223" t="n"/>
      <c r="D1823" s="127" t="n"/>
      <c r="E1823" s="227" t="n"/>
      <c r="F1823" s="227" t="n"/>
      <c r="G1823" s="227" t="n"/>
      <c r="H1823" s="227" t="n"/>
      <c r="I1823" s="227" t="n"/>
      <c r="J1823" s="227" t="n"/>
      <c r="K1823" s="227" t="n"/>
      <c r="L1823" s="227" t="n"/>
      <c r="M1823" s="227" t="n"/>
      <c r="N1823" s="127" t="n"/>
      <c r="O1823" s="227" t="n"/>
      <c r="P1823" s="227" t="n"/>
      <c r="Q1823" s="227" t="n"/>
      <c r="R1823" s="227" t="n"/>
      <c r="S1823" s="227" t="n"/>
      <c r="T1823" s="227" t="n"/>
    </row>
    <row r="1824">
      <c r="A1824" s="145">
        <f>IF($B1824="","",ROW()-5)</f>
        <v/>
      </c>
      <c r="B1824" s="127" t="n"/>
      <c r="C1824" s="223" t="n"/>
      <c r="D1824" s="127" t="n"/>
      <c r="E1824" s="227" t="n"/>
      <c r="F1824" s="227" t="n"/>
      <c r="G1824" s="227" t="n"/>
      <c r="H1824" s="227" t="n"/>
      <c r="I1824" s="227" t="n"/>
      <c r="J1824" s="227" t="n"/>
      <c r="K1824" s="227" t="n"/>
      <c r="L1824" s="227" t="n"/>
      <c r="M1824" s="227" t="n"/>
      <c r="N1824" s="127" t="n"/>
      <c r="O1824" s="227" t="n"/>
      <c r="P1824" s="227" t="n"/>
      <c r="Q1824" s="227" t="n"/>
      <c r="R1824" s="227" t="n"/>
      <c r="S1824" s="227" t="n"/>
      <c r="T1824" s="227" t="n"/>
    </row>
    <row r="1825">
      <c r="A1825" s="145">
        <f>IF($B1825="","",ROW()-5)</f>
        <v/>
      </c>
      <c r="B1825" s="127" t="n"/>
      <c r="C1825" s="223" t="n"/>
      <c r="D1825" s="127" t="n"/>
      <c r="E1825" s="227" t="n"/>
      <c r="F1825" s="227" t="n"/>
      <c r="G1825" s="227" t="n"/>
      <c r="H1825" s="227" t="n"/>
      <c r="I1825" s="227" t="n"/>
      <c r="J1825" s="227" t="n"/>
      <c r="K1825" s="227" t="n"/>
      <c r="L1825" s="227" t="n"/>
      <c r="M1825" s="227" t="n"/>
      <c r="N1825" s="127" t="n"/>
      <c r="O1825" s="227" t="n"/>
      <c r="P1825" s="227" t="n"/>
      <c r="Q1825" s="227" t="n"/>
      <c r="R1825" s="227" t="n"/>
      <c r="S1825" s="227" t="n"/>
      <c r="T1825" s="227" t="n"/>
    </row>
    <row r="1826">
      <c r="A1826" s="145">
        <f>IF($B1826="","",ROW()-5)</f>
        <v/>
      </c>
      <c r="B1826" s="127" t="n"/>
      <c r="C1826" s="223" t="n"/>
      <c r="D1826" s="127" t="n"/>
      <c r="E1826" s="227" t="n"/>
      <c r="F1826" s="227" t="n"/>
      <c r="G1826" s="227" t="n"/>
      <c r="H1826" s="227" t="n"/>
      <c r="I1826" s="227" t="n"/>
      <c r="J1826" s="227" t="n"/>
      <c r="K1826" s="227" t="n"/>
      <c r="L1826" s="227" t="n"/>
      <c r="M1826" s="227" t="n"/>
      <c r="N1826" s="127" t="n"/>
      <c r="O1826" s="227" t="n"/>
      <c r="P1826" s="227" t="n"/>
      <c r="Q1826" s="227" t="n"/>
      <c r="R1826" s="227" t="n"/>
      <c r="S1826" s="227" t="n"/>
      <c r="T1826" s="227" t="n"/>
    </row>
    <row r="1827">
      <c r="A1827" s="145">
        <f>IF($B1827="","",ROW()-5)</f>
        <v/>
      </c>
      <c r="B1827" s="127" t="n"/>
      <c r="C1827" s="223" t="n"/>
      <c r="D1827" s="127" t="n"/>
      <c r="E1827" s="227" t="n"/>
      <c r="F1827" s="227" t="n"/>
      <c r="G1827" s="227" t="n"/>
      <c r="H1827" s="227" t="n"/>
      <c r="I1827" s="227" t="n"/>
      <c r="J1827" s="227" t="n"/>
      <c r="K1827" s="227" t="n"/>
      <c r="L1827" s="227" t="n"/>
      <c r="M1827" s="227" t="n"/>
      <c r="N1827" s="127" t="n"/>
      <c r="O1827" s="227" t="n"/>
      <c r="P1827" s="227" t="n"/>
      <c r="Q1827" s="227" t="n"/>
      <c r="R1827" s="227" t="n"/>
      <c r="S1827" s="227" t="n"/>
      <c r="T1827" s="227" t="n"/>
    </row>
    <row r="1828">
      <c r="A1828" s="145">
        <f>IF($B1828="","",ROW()-5)</f>
        <v/>
      </c>
      <c r="B1828" s="127" t="n"/>
      <c r="C1828" s="223" t="n"/>
      <c r="D1828" s="127" t="n"/>
      <c r="E1828" s="227" t="n"/>
      <c r="F1828" s="227" t="n"/>
      <c r="G1828" s="227" t="n"/>
      <c r="H1828" s="227" t="n"/>
      <c r="I1828" s="227" t="n"/>
      <c r="J1828" s="227" t="n"/>
      <c r="K1828" s="227" t="n"/>
      <c r="L1828" s="227" t="n"/>
      <c r="M1828" s="227" t="n"/>
      <c r="N1828" s="127" t="n"/>
      <c r="O1828" s="227" t="n"/>
      <c r="P1828" s="227" t="n"/>
      <c r="Q1828" s="227" t="n"/>
      <c r="R1828" s="227" t="n"/>
      <c r="S1828" s="227" t="n"/>
      <c r="T1828" s="227" t="n"/>
    </row>
    <row r="1829">
      <c r="A1829" s="145">
        <f>IF($B1829="","",ROW()-5)</f>
        <v/>
      </c>
      <c r="B1829" s="127" t="n"/>
      <c r="C1829" s="223" t="n"/>
      <c r="D1829" s="127" t="n"/>
      <c r="E1829" s="227" t="n"/>
      <c r="F1829" s="227" t="n"/>
      <c r="G1829" s="227" t="n"/>
      <c r="H1829" s="227" t="n"/>
      <c r="I1829" s="227" t="n"/>
      <c r="J1829" s="227" t="n"/>
      <c r="K1829" s="227" t="n"/>
      <c r="L1829" s="227" t="n"/>
      <c r="M1829" s="227" t="n"/>
      <c r="N1829" s="127" t="n"/>
      <c r="O1829" s="227" t="n"/>
      <c r="P1829" s="227" t="n"/>
      <c r="Q1829" s="227" t="n"/>
      <c r="R1829" s="227" t="n"/>
      <c r="S1829" s="227" t="n"/>
      <c r="T1829" s="227" t="n"/>
    </row>
    <row r="1830">
      <c r="A1830" s="145">
        <f>IF($B1830="","",ROW()-5)</f>
        <v/>
      </c>
      <c r="B1830" s="127" t="n"/>
      <c r="C1830" s="223" t="n"/>
      <c r="D1830" s="127" t="n"/>
      <c r="E1830" s="227" t="n"/>
      <c r="F1830" s="227" t="n"/>
      <c r="G1830" s="227" t="n"/>
      <c r="H1830" s="227" t="n"/>
      <c r="I1830" s="227" t="n"/>
      <c r="J1830" s="227" t="n"/>
      <c r="K1830" s="227" t="n"/>
      <c r="L1830" s="227" t="n"/>
      <c r="M1830" s="227" t="n"/>
      <c r="N1830" s="127" t="n"/>
      <c r="O1830" s="227" t="n"/>
      <c r="P1830" s="227" t="n"/>
      <c r="Q1830" s="227" t="n"/>
      <c r="R1830" s="227" t="n"/>
      <c r="S1830" s="227" t="n"/>
      <c r="T1830" s="227" t="n"/>
    </row>
    <row r="1831">
      <c r="A1831" s="145">
        <f>IF($B1831="","",ROW()-5)</f>
        <v/>
      </c>
      <c r="B1831" s="127" t="n"/>
      <c r="C1831" s="223" t="n"/>
      <c r="D1831" s="127" t="n"/>
      <c r="E1831" s="227" t="n"/>
      <c r="F1831" s="227" t="n"/>
      <c r="G1831" s="227" t="n"/>
      <c r="H1831" s="227" t="n"/>
      <c r="I1831" s="227" t="n"/>
      <c r="J1831" s="227" t="n"/>
      <c r="K1831" s="227" t="n"/>
      <c r="L1831" s="227" t="n"/>
      <c r="M1831" s="227" t="n"/>
      <c r="N1831" s="127" t="n"/>
      <c r="O1831" s="227" t="n"/>
      <c r="P1831" s="227" t="n"/>
      <c r="Q1831" s="227" t="n"/>
      <c r="R1831" s="227" t="n"/>
      <c r="S1831" s="227" t="n"/>
      <c r="T1831" s="227" t="n"/>
    </row>
    <row r="1832">
      <c r="A1832" s="145">
        <f>IF($B1832="","",ROW()-5)</f>
        <v/>
      </c>
      <c r="B1832" s="127" t="n"/>
      <c r="C1832" s="223" t="n"/>
      <c r="D1832" s="127" t="n"/>
      <c r="E1832" s="227" t="n"/>
      <c r="F1832" s="227" t="n"/>
      <c r="G1832" s="227" t="n"/>
      <c r="H1832" s="227" t="n"/>
      <c r="I1832" s="227" t="n"/>
      <c r="J1832" s="227" t="n"/>
      <c r="K1832" s="227" t="n"/>
      <c r="L1832" s="227" t="n"/>
      <c r="M1832" s="227" t="n"/>
      <c r="N1832" s="127" t="n"/>
      <c r="O1832" s="227" t="n"/>
      <c r="P1832" s="227" t="n"/>
      <c r="Q1832" s="227" t="n"/>
      <c r="R1832" s="227" t="n"/>
      <c r="S1832" s="227" t="n"/>
      <c r="T1832" s="227" t="n"/>
    </row>
    <row r="1833">
      <c r="A1833" s="145">
        <f>IF($B1833="","",ROW()-5)</f>
        <v/>
      </c>
      <c r="B1833" s="127" t="n"/>
      <c r="C1833" s="223" t="n"/>
      <c r="D1833" s="127" t="n"/>
      <c r="E1833" s="227" t="n"/>
      <c r="F1833" s="227" t="n"/>
      <c r="G1833" s="227" t="n"/>
      <c r="H1833" s="227" t="n"/>
      <c r="I1833" s="227" t="n"/>
      <c r="J1833" s="227" t="n"/>
      <c r="K1833" s="227" t="n"/>
      <c r="L1833" s="227" t="n"/>
      <c r="M1833" s="227" t="n"/>
      <c r="N1833" s="127" t="n"/>
      <c r="O1833" s="227" t="n"/>
      <c r="P1833" s="227" t="n"/>
      <c r="Q1833" s="227" t="n"/>
      <c r="R1833" s="227" t="n"/>
      <c r="S1833" s="227" t="n"/>
      <c r="T1833" s="227" t="n"/>
    </row>
    <row r="1834">
      <c r="A1834" s="145">
        <f>IF($B1834="","",ROW()-5)</f>
        <v/>
      </c>
      <c r="B1834" s="127" t="n"/>
      <c r="C1834" s="223" t="n"/>
      <c r="D1834" s="127" t="n"/>
      <c r="E1834" s="227" t="n"/>
      <c r="F1834" s="227" t="n"/>
      <c r="G1834" s="227" t="n"/>
      <c r="H1834" s="227" t="n"/>
      <c r="I1834" s="227" t="n"/>
      <c r="J1834" s="227" t="n"/>
      <c r="K1834" s="227" t="n"/>
      <c r="L1834" s="227" t="n"/>
      <c r="M1834" s="227" t="n"/>
      <c r="N1834" s="127" t="n"/>
      <c r="O1834" s="227" t="n"/>
      <c r="P1834" s="227" t="n"/>
      <c r="Q1834" s="227" t="n"/>
      <c r="R1834" s="227" t="n"/>
      <c r="S1834" s="227" t="n"/>
      <c r="T1834" s="227" t="n"/>
    </row>
    <row r="1835">
      <c r="A1835" s="145">
        <f>IF($B1835="","",ROW()-5)</f>
        <v/>
      </c>
      <c r="B1835" s="127" t="n"/>
      <c r="C1835" s="223" t="n"/>
      <c r="D1835" s="127" t="n"/>
      <c r="E1835" s="227" t="n"/>
      <c r="F1835" s="227" t="n"/>
      <c r="G1835" s="227" t="n"/>
      <c r="H1835" s="227" t="n"/>
      <c r="I1835" s="227" t="n"/>
      <c r="J1835" s="227" t="n"/>
      <c r="K1835" s="227" t="n"/>
      <c r="L1835" s="227" t="n"/>
      <c r="M1835" s="227" t="n"/>
      <c r="N1835" s="127" t="n"/>
      <c r="O1835" s="227" t="n"/>
      <c r="P1835" s="227" t="n"/>
      <c r="Q1835" s="227" t="n"/>
      <c r="R1835" s="227" t="n"/>
      <c r="S1835" s="227" t="n"/>
      <c r="T1835" s="227" t="n"/>
    </row>
    <row r="1836">
      <c r="A1836" s="145">
        <f>IF($B1836="","",ROW()-5)</f>
        <v/>
      </c>
      <c r="B1836" s="127" t="n"/>
      <c r="C1836" s="223" t="n"/>
      <c r="D1836" s="127" t="n"/>
      <c r="E1836" s="227" t="n"/>
      <c r="F1836" s="227" t="n"/>
      <c r="G1836" s="227" t="n"/>
      <c r="H1836" s="227" t="n"/>
      <c r="I1836" s="227" t="n"/>
      <c r="J1836" s="227" t="n"/>
      <c r="K1836" s="227" t="n"/>
      <c r="L1836" s="227" t="n"/>
      <c r="M1836" s="227" t="n"/>
      <c r="N1836" s="127" t="n"/>
      <c r="O1836" s="227" t="n"/>
      <c r="P1836" s="227" t="n"/>
      <c r="Q1836" s="227" t="n"/>
      <c r="R1836" s="227" t="n"/>
      <c r="S1836" s="227" t="n"/>
      <c r="T1836" s="227" t="n"/>
    </row>
    <row r="1837">
      <c r="A1837" s="145">
        <f>IF($B1837="","",ROW()-5)</f>
        <v/>
      </c>
      <c r="B1837" s="127" t="n"/>
      <c r="C1837" s="223" t="n"/>
      <c r="D1837" s="127" t="n"/>
      <c r="E1837" s="227" t="n"/>
      <c r="F1837" s="227" t="n"/>
      <c r="G1837" s="227" t="n"/>
      <c r="H1837" s="227" t="n"/>
      <c r="I1837" s="227" t="n"/>
      <c r="J1837" s="227" t="n"/>
      <c r="K1837" s="227" t="n"/>
      <c r="L1837" s="227" t="n"/>
      <c r="M1837" s="227" t="n"/>
      <c r="N1837" s="127" t="n"/>
      <c r="O1837" s="227" t="n"/>
      <c r="P1837" s="227" t="n"/>
      <c r="Q1837" s="227" t="n"/>
      <c r="R1837" s="227" t="n"/>
      <c r="S1837" s="227" t="n"/>
      <c r="T1837" s="227" t="n"/>
    </row>
    <row r="1838">
      <c r="A1838" s="145">
        <f>IF($B1838="","",ROW()-5)</f>
        <v/>
      </c>
      <c r="B1838" s="127" t="n"/>
      <c r="C1838" s="223" t="n"/>
      <c r="D1838" s="127" t="n"/>
      <c r="E1838" s="227" t="n"/>
      <c r="F1838" s="227" t="n"/>
      <c r="G1838" s="227" t="n"/>
      <c r="H1838" s="227" t="n"/>
      <c r="I1838" s="227" t="n"/>
      <c r="J1838" s="227" t="n"/>
      <c r="K1838" s="227" t="n"/>
      <c r="L1838" s="227" t="n"/>
      <c r="M1838" s="227" t="n"/>
      <c r="N1838" s="127" t="n"/>
      <c r="O1838" s="227" t="n"/>
      <c r="P1838" s="227" t="n"/>
      <c r="Q1838" s="227" t="n"/>
      <c r="R1838" s="227" t="n"/>
      <c r="S1838" s="227" t="n"/>
      <c r="T1838" s="227" t="n"/>
    </row>
    <row r="1839">
      <c r="A1839" s="145">
        <f>IF($B1839="","",ROW()-5)</f>
        <v/>
      </c>
      <c r="B1839" s="127" t="n"/>
      <c r="C1839" s="223" t="n"/>
      <c r="D1839" s="127" t="n"/>
      <c r="E1839" s="227" t="n"/>
      <c r="F1839" s="227" t="n"/>
      <c r="G1839" s="227" t="n"/>
      <c r="H1839" s="227" t="n"/>
      <c r="I1839" s="227" t="n"/>
      <c r="J1839" s="227" t="n"/>
      <c r="K1839" s="227" t="n"/>
      <c r="L1839" s="227" t="n"/>
      <c r="M1839" s="227" t="n"/>
      <c r="N1839" s="127" t="n"/>
      <c r="O1839" s="227" t="n"/>
      <c r="P1839" s="227" t="n"/>
      <c r="Q1839" s="227" t="n"/>
      <c r="R1839" s="227" t="n"/>
      <c r="S1839" s="227" t="n"/>
      <c r="T1839" s="227" t="n"/>
    </row>
    <row r="1840">
      <c r="A1840" s="145">
        <f>IF($B1840="","",ROW()-5)</f>
        <v/>
      </c>
      <c r="B1840" s="127" t="n"/>
      <c r="C1840" s="223" t="n"/>
      <c r="D1840" s="127" t="n"/>
      <c r="E1840" s="227" t="n"/>
      <c r="F1840" s="227" t="n"/>
      <c r="G1840" s="227" t="n"/>
      <c r="H1840" s="227" t="n"/>
      <c r="I1840" s="227" t="n"/>
      <c r="J1840" s="227" t="n"/>
      <c r="K1840" s="227" t="n"/>
      <c r="L1840" s="227" t="n"/>
      <c r="M1840" s="227" t="n"/>
      <c r="N1840" s="127" t="n"/>
      <c r="O1840" s="227" t="n"/>
      <c r="P1840" s="227" t="n"/>
      <c r="Q1840" s="227" t="n"/>
      <c r="R1840" s="227" t="n"/>
      <c r="S1840" s="227" t="n"/>
      <c r="T1840" s="227" t="n"/>
    </row>
    <row r="1841">
      <c r="A1841" s="145">
        <f>IF($B1841="","",ROW()-5)</f>
        <v/>
      </c>
      <c r="B1841" s="127" t="n"/>
      <c r="C1841" s="223" t="n"/>
      <c r="D1841" s="127" t="n"/>
      <c r="E1841" s="227" t="n"/>
      <c r="F1841" s="227" t="n"/>
      <c r="G1841" s="227" t="n"/>
      <c r="H1841" s="227" t="n"/>
      <c r="I1841" s="227" t="n"/>
      <c r="J1841" s="227" t="n"/>
      <c r="K1841" s="227" t="n"/>
      <c r="L1841" s="227" t="n"/>
      <c r="M1841" s="227" t="n"/>
      <c r="N1841" s="127" t="n"/>
      <c r="O1841" s="227" t="n"/>
      <c r="P1841" s="227" t="n"/>
      <c r="Q1841" s="227" t="n"/>
      <c r="R1841" s="227" t="n"/>
      <c r="S1841" s="227" t="n"/>
      <c r="T1841" s="227" t="n"/>
    </row>
    <row r="1842">
      <c r="A1842" s="145">
        <f>IF($B1842="","",ROW()-5)</f>
        <v/>
      </c>
      <c r="B1842" s="127" t="n"/>
      <c r="C1842" s="223" t="n"/>
      <c r="D1842" s="127" t="n"/>
      <c r="E1842" s="227" t="n"/>
      <c r="F1842" s="227" t="n"/>
      <c r="G1842" s="227" t="n"/>
      <c r="H1842" s="227" t="n"/>
      <c r="I1842" s="227" t="n"/>
      <c r="J1842" s="227" t="n"/>
      <c r="K1842" s="227" t="n"/>
      <c r="L1842" s="227" t="n"/>
      <c r="M1842" s="227" t="n"/>
      <c r="N1842" s="127" t="n"/>
      <c r="O1842" s="227" t="n"/>
      <c r="P1842" s="227" t="n"/>
      <c r="Q1842" s="227" t="n"/>
      <c r="R1842" s="227" t="n"/>
      <c r="S1842" s="227" t="n"/>
      <c r="T1842" s="227" t="n"/>
    </row>
    <row r="1843">
      <c r="A1843" s="145">
        <f>IF($B1843="","",ROW()-5)</f>
        <v/>
      </c>
      <c r="B1843" s="127" t="n"/>
      <c r="C1843" s="223" t="n"/>
      <c r="D1843" s="127" t="n"/>
      <c r="E1843" s="227" t="n"/>
      <c r="F1843" s="227" t="n"/>
      <c r="G1843" s="227" t="n"/>
      <c r="H1843" s="227" t="n"/>
      <c r="I1843" s="227" t="n"/>
      <c r="J1843" s="227" t="n"/>
      <c r="K1843" s="227" t="n"/>
      <c r="L1843" s="227" t="n"/>
      <c r="M1843" s="227" t="n"/>
      <c r="N1843" s="127" t="n"/>
      <c r="O1843" s="227" t="n"/>
      <c r="P1843" s="227" t="n"/>
      <c r="Q1843" s="227" t="n"/>
      <c r="R1843" s="227" t="n"/>
      <c r="S1843" s="227" t="n"/>
      <c r="T1843" s="227" t="n"/>
    </row>
    <row r="1844">
      <c r="A1844" s="145">
        <f>IF($B1844="","",ROW()-5)</f>
        <v/>
      </c>
      <c r="B1844" s="127" t="n"/>
      <c r="C1844" s="223" t="n"/>
      <c r="D1844" s="127" t="n"/>
      <c r="E1844" s="227" t="n"/>
      <c r="F1844" s="227" t="n"/>
      <c r="G1844" s="227" t="n"/>
      <c r="H1844" s="227" t="n"/>
      <c r="I1844" s="227" t="n"/>
      <c r="J1844" s="227" t="n"/>
      <c r="K1844" s="227" t="n"/>
      <c r="L1844" s="227" t="n"/>
      <c r="M1844" s="227" t="n"/>
      <c r="N1844" s="127" t="n"/>
      <c r="O1844" s="227" t="n"/>
      <c r="P1844" s="227" t="n"/>
      <c r="Q1844" s="227" t="n"/>
      <c r="R1844" s="227" t="n"/>
      <c r="S1844" s="227" t="n"/>
      <c r="T1844" s="227" t="n"/>
    </row>
    <row r="1845">
      <c r="A1845" s="145">
        <f>IF($B1845="","",ROW()-5)</f>
        <v/>
      </c>
      <c r="B1845" s="127" t="n"/>
      <c r="C1845" s="223" t="n"/>
      <c r="D1845" s="127" t="n"/>
      <c r="E1845" s="227" t="n"/>
      <c r="F1845" s="227" t="n"/>
      <c r="G1845" s="227" t="n"/>
      <c r="H1845" s="227" t="n"/>
      <c r="I1845" s="227" t="n"/>
      <c r="J1845" s="227" t="n"/>
      <c r="K1845" s="227" t="n"/>
      <c r="L1845" s="227" t="n"/>
      <c r="M1845" s="227" t="n"/>
      <c r="N1845" s="127" t="n"/>
      <c r="O1845" s="227" t="n"/>
      <c r="P1845" s="227" t="n"/>
      <c r="Q1845" s="227" t="n"/>
      <c r="R1845" s="227" t="n"/>
      <c r="S1845" s="227" t="n"/>
      <c r="T1845" s="227" t="n"/>
    </row>
    <row r="1846">
      <c r="A1846" s="145">
        <f>IF($B1846="","",ROW()-5)</f>
        <v/>
      </c>
      <c r="B1846" s="127" t="n"/>
      <c r="C1846" s="223" t="n"/>
      <c r="D1846" s="127" t="n"/>
      <c r="E1846" s="227" t="n"/>
      <c r="F1846" s="227" t="n"/>
      <c r="G1846" s="227" t="n"/>
      <c r="H1846" s="227" t="n"/>
      <c r="I1846" s="227" t="n"/>
      <c r="J1846" s="227" t="n"/>
      <c r="K1846" s="227" t="n"/>
      <c r="L1846" s="227" t="n"/>
      <c r="M1846" s="227" t="n"/>
      <c r="N1846" s="127" t="n"/>
      <c r="O1846" s="227" t="n"/>
      <c r="P1846" s="227" t="n"/>
      <c r="Q1846" s="227" t="n"/>
      <c r="R1846" s="227" t="n"/>
      <c r="S1846" s="227" t="n"/>
      <c r="T1846" s="227" t="n"/>
    </row>
    <row r="1847">
      <c r="A1847" s="145">
        <f>IF($B1847="","",ROW()-5)</f>
        <v/>
      </c>
      <c r="B1847" s="127" t="n"/>
      <c r="C1847" s="223" t="n"/>
      <c r="D1847" s="127" t="n"/>
      <c r="E1847" s="227" t="n"/>
      <c r="F1847" s="227" t="n"/>
      <c r="G1847" s="227" t="n"/>
      <c r="H1847" s="227" t="n"/>
      <c r="I1847" s="227" t="n"/>
      <c r="J1847" s="227" t="n"/>
      <c r="K1847" s="227" t="n"/>
      <c r="L1847" s="227" t="n"/>
      <c r="M1847" s="227" t="n"/>
      <c r="N1847" s="127" t="n"/>
      <c r="O1847" s="227" t="n"/>
      <c r="P1847" s="227" t="n"/>
      <c r="Q1847" s="227" t="n"/>
      <c r="R1847" s="227" t="n"/>
      <c r="S1847" s="227" t="n"/>
      <c r="T1847" s="227" t="n"/>
    </row>
    <row r="1848">
      <c r="A1848" s="145">
        <f>IF($B1848="","",ROW()-5)</f>
        <v/>
      </c>
      <c r="B1848" s="127" t="n"/>
      <c r="C1848" s="223" t="n"/>
      <c r="D1848" s="127" t="n"/>
      <c r="E1848" s="227" t="n"/>
      <c r="F1848" s="227" t="n"/>
      <c r="G1848" s="227" t="n"/>
      <c r="H1848" s="227" t="n"/>
      <c r="I1848" s="227" t="n"/>
      <c r="J1848" s="227" t="n"/>
      <c r="K1848" s="227" t="n"/>
      <c r="L1848" s="227" t="n"/>
      <c r="M1848" s="227" t="n"/>
      <c r="N1848" s="127" t="n"/>
      <c r="O1848" s="227" t="n"/>
      <c r="P1848" s="227" t="n"/>
      <c r="Q1848" s="227" t="n"/>
      <c r="R1848" s="227" t="n"/>
      <c r="S1848" s="227" t="n"/>
      <c r="T1848" s="227" t="n"/>
    </row>
    <row r="1849">
      <c r="A1849" s="145">
        <f>IF($B1849="","",ROW()-5)</f>
        <v/>
      </c>
      <c r="B1849" s="127" t="n"/>
      <c r="C1849" s="223" t="n"/>
      <c r="D1849" s="127" t="n"/>
      <c r="E1849" s="227" t="n"/>
      <c r="F1849" s="227" t="n"/>
      <c r="G1849" s="227" t="n"/>
      <c r="H1849" s="227" t="n"/>
      <c r="I1849" s="227" t="n"/>
      <c r="J1849" s="227" t="n"/>
      <c r="K1849" s="227" t="n"/>
      <c r="L1849" s="227" t="n"/>
      <c r="M1849" s="227" t="n"/>
      <c r="N1849" s="127" t="n"/>
      <c r="O1849" s="227" t="n"/>
      <c r="P1849" s="227" t="n"/>
      <c r="Q1849" s="227" t="n"/>
      <c r="R1849" s="227" t="n"/>
      <c r="S1849" s="227" t="n"/>
      <c r="T1849" s="227" t="n"/>
    </row>
    <row r="1850">
      <c r="A1850" s="145">
        <f>IF($B1850="","",ROW()-5)</f>
        <v/>
      </c>
      <c r="B1850" s="127" t="n"/>
      <c r="C1850" s="223" t="n"/>
      <c r="D1850" s="127" t="n"/>
      <c r="E1850" s="227" t="n"/>
      <c r="F1850" s="227" t="n"/>
      <c r="G1850" s="227" t="n"/>
      <c r="H1850" s="227" t="n"/>
      <c r="I1850" s="227" t="n"/>
      <c r="J1850" s="227" t="n"/>
      <c r="K1850" s="227" t="n"/>
      <c r="L1850" s="227" t="n"/>
      <c r="M1850" s="227" t="n"/>
      <c r="N1850" s="127" t="n"/>
      <c r="O1850" s="227" t="n"/>
      <c r="P1850" s="227" t="n"/>
      <c r="Q1850" s="227" t="n"/>
      <c r="R1850" s="227" t="n"/>
      <c r="S1850" s="227" t="n"/>
      <c r="T1850" s="227" t="n"/>
    </row>
    <row r="1851">
      <c r="A1851" s="145">
        <f>IF($B1851="","",ROW()-5)</f>
        <v/>
      </c>
      <c r="B1851" s="127" t="n"/>
      <c r="C1851" s="223" t="n"/>
      <c r="D1851" s="127" t="n"/>
      <c r="E1851" s="227" t="n"/>
      <c r="F1851" s="227" t="n"/>
      <c r="G1851" s="227" t="n"/>
      <c r="H1851" s="227" t="n"/>
      <c r="I1851" s="227" t="n"/>
      <c r="J1851" s="227" t="n"/>
      <c r="K1851" s="227" t="n"/>
      <c r="L1851" s="227" t="n"/>
      <c r="M1851" s="227" t="n"/>
      <c r="N1851" s="127" t="n"/>
      <c r="O1851" s="227" t="n"/>
      <c r="P1851" s="227" t="n"/>
      <c r="Q1851" s="227" t="n"/>
      <c r="R1851" s="227" t="n"/>
      <c r="S1851" s="227" t="n"/>
      <c r="T1851" s="227" t="n"/>
    </row>
    <row r="1852">
      <c r="A1852" s="145">
        <f>IF($B1852="","",ROW()-5)</f>
        <v/>
      </c>
      <c r="B1852" s="127" t="n"/>
      <c r="C1852" s="223" t="n"/>
      <c r="D1852" s="127" t="n"/>
      <c r="E1852" s="227" t="n"/>
      <c r="F1852" s="227" t="n"/>
      <c r="G1852" s="227" t="n"/>
      <c r="H1852" s="227" t="n"/>
      <c r="I1852" s="227" t="n"/>
      <c r="J1852" s="227" t="n"/>
      <c r="K1852" s="227" t="n"/>
      <c r="L1852" s="227" t="n"/>
      <c r="M1852" s="227" t="n"/>
      <c r="N1852" s="127" t="n"/>
      <c r="O1852" s="227" t="n"/>
      <c r="P1852" s="227" t="n"/>
      <c r="Q1852" s="227" t="n"/>
      <c r="R1852" s="227" t="n"/>
      <c r="S1852" s="227" t="n"/>
      <c r="T1852" s="227" t="n"/>
    </row>
    <row r="1853">
      <c r="A1853" s="145">
        <f>IF($B1853="","",ROW()-5)</f>
        <v/>
      </c>
      <c r="B1853" s="127" t="n"/>
      <c r="C1853" s="223" t="n"/>
      <c r="D1853" s="127" t="n"/>
      <c r="E1853" s="227" t="n"/>
      <c r="F1853" s="227" t="n"/>
      <c r="G1853" s="227" t="n"/>
      <c r="H1853" s="227" t="n"/>
      <c r="I1853" s="227" t="n"/>
      <c r="J1853" s="227" t="n"/>
      <c r="K1853" s="227" t="n"/>
      <c r="L1853" s="227" t="n"/>
      <c r="M1853" s="227" t="n"/>
      <c r="N1853" s="127" t="n"/>
      <c r="O1853" s="227" t="n"/>
      <c r="P1853" s="227" t="n"/>
      <c r="Q1853" s="227" t="n"/>
      <c r="R1853" s="227" t="n"/>
      <c r="S1853" s="227" t="n"/>
      <c r="T1853" s="227" t="n"/>
    </row>
    <row r="1854">
      <c r="A1854" s="145">
        <f>IF($B1854="","",ROW()-5)</f>
        <v/>
      </c>
      <c r="B1854" s="127" t="n"/>
      <c r="C1854" s="223" t="n"/>
      <c r="D1854" s="127" t="n"/>
      <c r="E1854" s="227" t="n"/>
      <c r="F1854" s="227" t="n"/>
      <c r="G1854" s="227" t="n"/>
      <c r="H1854" s="227" t="n"/>
      <c r="I1854" s="227" t="n"/>
      <c r="J1854" s="227" t="n"/>
      <c r="K1854" s="227" t="n"/>
      <c r="L1854" s="227" t="n"/>
      <c r="M1854" s="227" t="n"/>
      <c r="N1854" s="127" t="n"/>
      <c r="O1854" s="227" t="n"/>
      <c r="P1854" s="227" t="n"/>
      <c r="Q1854" s="227" t="n"/>
      <c r="R1854" s="227" t="n"/>
      <c r="S1854" s="227" t="n"/>
      <c r="T1854" s="227" t="n"/>
    </row>
    <row r="1855">
      <c r="A1855" s="145">
        <f>IF($B1855="","",ROW()-5)</f>
        <v/>
      </c>
      <c r="B1855" s="127" t="n"/>
      <c r="C1855" s="223" t="n"/>
      <c r="D1855" s="127" t="n"/>
      <c r="E1855" s="227" t="n"/>
      <c r="F1855" s="227" t="n"/>
      <c r="G1855" s="227" t="n"/>
      <c r="H1855" s="227" t="n"/>
      <c r="I1855" s="227" t="n"/>
      <c r="J1855" s="227" t="n"/>
      <c r="K1855" s="227" t="n"/>
      <c r="L1855" s="227" t="n"/>
      <c r="M1855" s="227" t="n"/>
      <c r="N1855" s="127" t="n"/>
      <c r="O1855" s="227" t="n"/>
      <c r="P1855" s="227" t="n"/>
      <c r="Q1855" s="227" t="n"/>
      <c r="R1855" s="227" t="n"/>
      <c r="S1855" s="227" t="n"/>
      <c r="T1855" s="227" t="n"/>
    </row>
    <row r="1856">
      <c r="A1856" s="145">
        <f>IF($B1856="","",ROW()-5)</f>
        <v/>
      </c>
      <c r="B1856" s="127" t="n"/>
      <c r="C1856" s="223" t="n"/>
      <c r="D1856" s="127" t="n"/>
      <c r="E1856" s="227" t="n"/>
      <c r="F1856" s="227" t="n"/>
      <c r="G1856" s="227" t="n"/>
      <c r="H1856" s="227" t="n"/>
      <c r="I1856" s="227" t="n"/>
      <c r="J1856" s="227" t="n"/>
      <c r="K1856" s="227" t="n"/>
      <c r="L1856" s="227" t="n"/>
      <c r="M1856" s="227" t="n"/>
      <c r="N1856" s="127" t="n"/>
      <c r="O1856" s="227" t="n"/>
      <c r="P1856" s="227" t="n"/>
      <c r="Q1856" s="227" t="n"/>
      <c r="R1856" s="227" t="n"/>
      <c r="S1856" s="227" t="n"/>
      <c r="T1856" s="227" t="n"/>
    </row>
    <row r="1857">
      <c r="A1857" s="145">
        <f>IF($B1857="","",ROW()-5)</f>
        <v/>
      </c>
      <c r="B1857" s="127" t="n"/>
      <c r="C1857" s="223" t="n"/>
      <c r="D1857" s="127" t="n"/>
      <c r="E1857" s="227" t="n"/>
      <c r="F1857" s="227" t="n"/>
      <c r="G1857" s="227" t="n"/>
      <c r="H1857" s="227" t="n"/>
      <c r="I1857" s="227" t="n"/>
      <c r="J1857" s="227" t="n"/>
      <c r="K1857" s="227" t="n"/>
      <c r="L1857" s="227" t="n"/>
      <c r="M1857" s="227" t="n"/>
      <c r="N1857" s="127" t="n"/>
      <c r="O1857" s="227" t="n"/>
      <c r="P1857" s="227" t="n"/>
      <c r="Q1857" s="227" t="n"/>
      <c r="R1857" s="227" t="n"/>
      <c r="S1857" s="227" t="n"/>
      <c r="T1857" s="227" t="n"/>
    </row>
    <row r="1858">
      <c r="A1858" s="145">
        <f>IF($B1858="","",ROW()-5)</f>
        <v/>
      </c>
      <c r="B1858" s="127" t="n"/>
      <c r="C1858" s="223" t="n"/>
      <c r="D1858" s="127" t="n"/>
      <c r="E1858" s="227" t="n"/>
      <c r="F1858" s="227" t="n"/>
      <c r="G1858" s="227" t="n"/>
      <c r="H1858" s="227" t="n"/>
      <c r="I1858" s="227" t="n"/>
      <c r="J1858" s="227" t="n"/>
      <c r="K1858" s="227" t="n"/>
      <c r="L1858" s="227" t="n"/>
      <c r="M1858" s="227" t="n"/>
      <c r="N1858" s="127" t="n"/>
      <c r="O1858" s="227" t="n"/>
      <c r="P1858" s="227" t="n"/>
      <c r="Q1858" s="227" t="n"/>
      <c r="R1858" s="227" t="n"/>
      <c r="S1858" s="227" t="n"/>
      <c r="T1858" s="227" t="n"/>
    </row>
    <row r="1859">
      <c r="A1859" s="145">
        <f>IF($B1859="","",ROW()-5)</f>
        <v/>
      </c>
      <c r="B1859" s="127" t="n"/>
      <c r="C1859" s="223" t="n"/>
      <c r="D1859" s="127" t="n"/>
      <c r="E1859" s="227" t="n"/>
      <c r="F1859" s="227" t="n"/>
      <c r="G1859" s="227" t="n"/>
      <c r="H1859" s="227" t="n"/>
      <c r="I1859" s="227" t="n"/>
      <c r="J1859" s="227" t="n"/>
      <c r="K1859" s="227" t="n"/>
      <c r="L1859" s="227" t="n"/>
      <c r="M1859" s="227" t="n"/>
      <c r="N1859" s="127" t="n"/>
      <c r="O1859" s="227" t="n"/>
      <c r="P1859" s="227" t="n"/>
      <c r="Q1859" s="227" t="n"/>
      <c r="R1859" s="227" t="n"/>
      <c r="S1859" s="227" t="n"/>
      <c r="T1859" s="227" t="n"/>
    </row>
    <row r="1860">
      <c r="A1860" s="145">
        <f>IF($B1860="","",ROW()-5)</f>
        <v/>
      </c>
      <c r="B1860" s="127" t="n"/>
      <c r="C1860" s="223" t="n"/>
      <c r="D1860" s="127" t="n"/>
      <c r="E1860" s="227" t="n"/>
      <c r="F1860" s="227" t="n"/>
      <c r="G1860" s="227" t="n"/>
      <c r="H1860" s="227" t="n"/>
      <c r="I1860" s="227" t="n"/>
      <c r="J1860" s="227" t="n"/>
      <c r="K1860" s="227" t="n"/>
      <c r="L1860" s="227" t="n"/>
      <c r="M1860" s="227" t="n"/>
      <c r="N1860" s="127" t="n"/>
      <c r="O1860" s="227" t="n"/>
      <c r="P1860" s="227" t="n"/>
      <c r="Q1860" s="227" t="n"/>
      <c r="R1860" s="227" t="n"/>
      <c r="S1860" s="227" t="n"/>
      <c r="T1860" s="227" t="n"/>
    </row>
    <row r="1861">
      <c r="A1861" s="145">
        <f>IF($B1861="","",ROW()-5)</f>
        <v/>
      </c>
      <c r="B1861" s="127" t="n"/>
      <c r="C1861" s="223" t="n"/>
      <c r="D1861" s="127" t="n"/>
      <c r="E1861" s="227" t="n"/>
      <c r="F1861" s="227" t="n"/>
      <c r="G1861" s="227" t="n"/>
      <c r="H1861" s="227" t="n"/>
      <c r="I1861" s="227" t="n"/>
      <c r="J1861" s="227" t="n"/>
      <c r="K1861" s="227" t="n"/>
      <c r="L1861" s="227" t="n"/>
      <c r="M1861" s="227" t="n"/>
      <c r="N1861" s="127" t="n"/>
      <c r="O1861" s="227" t="n"/>
      <c r="P1861" s="227" t="n"/>
      <c r="Q1861" s="227" t="n"/>
      <c r="R1861" s="227" t="n"/>
      <c r="S1861" s="227" t="n"/>
      <c r="T1861" s="227" t="n"/>
    </row>
    <row r="1862">
      <c r="A1862" s="145">
        <f>IF($B1862="","",ROW()-5)</f>
        <v/>
      </c>
      <c r="B1862" s="127" t="n"/>
      <c r="C1862" s="223" t="n"/>
      <c r="D1862" s="127" t="n"/>
      <c r="E1862" s="227" t="n"/>
      <c r="F1862" s="227" t="n"/>
      <c r="G1862" s="227" t="n"/>
      <c r="H1862" s="227" t="n"/>
      <c r="I1862" s="227" t="n"/>
      <c r="J1862" s="227" t="n"/>
      <c r="K1862" s="227" t="n"/>
      <c r="L1862" s="227" t="n"/>
      <c r="M1862" s="227" t="n"/>
      <c r="N1862" s="127" t="n"/>
      <c r="O1862" s="227" t="n"/>
      <c r="P1862" s="227" t="n"/>
      <c r="Q1862" s="227" t="n"/>
      <c r="R1862" s="227" t="n"/>
      <c r="S1862" s="227" t="n"/>
      <c r="T1862" s="227" t="n"/>
    </row>
    <row r="1863">
      <c r="A1863" s="145">
        <f>IF($B1863="","",ROW()-5)</f>
        <v/>
      </c>
      <c r="B1863" s="127" t="n"/>
      <c r="C1863" s="223" t="n"/>
      <c r="D1863" s="127" t="n"/>
      <c r="E1863" s="227" t="n"/>
      <c r="F1863" s="227" t="n"/>
      <c r="G1863" s="227" t="n"/>
      <c r="H1863" s="227" t="n"/>
      <c r="I1863" s="227" t="n"/>
      <c r="J1863" s="227" t="n"/>
      <c r="K1863" s="227" t="n"/>
      <c r="L1863" s="227" t="n"/>
      <c r="M1863" s="227" t="n"/>
      <c r="N1863" s="127" t="n"/>
      <c r="O1863" s="227" t="n"/>
      <c r="P1863" s="227" t="n"/>
      <c r="Q1863" s="227" t="n"/>
      <c r="R1863" s="227" t="n"/>
      <c r="S1863" s="227" t="n"/>
      <c r="T1863" s="227" t="n"/>
    </row>
    <row r="1864">
      <c r="A1864" s="145">
        <f>IF($B1864="","",ROW()-5)</f>
        <v/>
      </c>
      <c r="B1864" s="127" t="n"/>
      <c r="C1864" s="223" t="n"/>
      <c r="D1864" s="127" t="n"/>
      <c r="E1864" s="227" t="n"/>
      <c r="F1864" s="227" t="n"/>
      <c r="G1864" s="227" t="n"/>
      <c r="H1864" s="227" t="n"/>
      <c r="I1864" s="227" t="n"/>
      <c r="J1864" s="227" t="n"/>
      <c r="K1864" s="227" t="n"/>
      <c r="L1864" s="227" t="n"/>
      <c r="M1864" s="227" t="n"/>
      <c r="N1864" s="127" t="n"/>
      <c r="O1864" s="227" t="n"/>
      <c r="P1864" s="227" t="n"/>
      <c r="Q1864" s="227" t="n"/>
      <c r="R1864" s="227" t="n"/>
      <c r="S1864" s="227" t="n"/>
      <c r="T1864" s="227" t="n"/>
    </row>
    <row r="1865">
      <c r="A1865" s="145">
        <f>IF($B1865="","",ROW()-5)</f>
        <v/>
      </c>
      <c r="B1865" s="127" t="n"/>
      <c r="C1865" s="223" t="n"/>
      <c r="D1865" s="127" t="n"/>
      <c r="E1865" s="227" t="n"/>
      <c r="F1865" s="227" t="n"/>
      <c r="G1865" s="227" t="n"/>
      <c r="H1865" s="227" t="n"/>
      <c r="I1865" s="227" t="n"/>
      <c r="J1865" s="227" t="n"/>
      <c r="K1865" s="227" t="n"/>
      <c r="L1865" s="227" t="n"/>
      <c r="M1865" s="227" t="n"/>
      <c r="N1865" s="127" t="n"/>
      <c r="O1865" s="227" t="n"/>
      <c r="P1865" s="227" t="n"/>
      <c r="Q1865" s="227" t="n"/>
      <c r="R1865" s="227" t="n"/>
      <c r="S1865" s="227" t="n"/>
      <c r="T1865" s="227" t="n"/>
    </row>
    <row r="1866">
      <c r="A1866" s="145">
        <f>IF($B1866="","",ROW()-5)</f>
        <v/>
      </c>
      <c r="B1866" s="127" t="n"/>
      <c r="C1866" s="223" t="n"/>
      <c r="D1866" s="127" t="n"/>
      <c r="E1866" s="227" t="n"/>
      <c r="F1866" s="227" t="n"/>
      <c r="G1866" s="227" t="n"/>
      <c r="H1866" s="227" t="n"/>
      <c r="I1866" s="227" t="n"/>
      <c r="J1866" s="227" t="n"/>
      <c r="K1866" s="227" t="n"/>
      <c r="L1866" s="227" t="n"/>
      <c r="M1866" s="227" t="n"/>
      <c r="N1866" s="127" t="n"/>
      <c r="O1866" s="227" t="n"/>
      <c r="P1866" s="227" t="n"/>
      <c r="Q1866" s="227" t="n"/>
      <c r="R1866" s="227" t="n"/>
      <c r="S1866" s="227" t="n"/>
      <c r="T1866" s="227" t="n"/>
    </row>
    <row r="1867">
      <c r="A1867" s="145">
        <f>IF($B1867="","",ROW()-5)</f>
        <v/>
      </c>
      <c r="B1867" s="127" t="n"/>
      <c r="C1867" s="223" t="n"/>
      <c r="D1867" s="127" t="n"/>
      <c r="E1867" s="227" t="n"/>
      <c r="F1867" s="227" t="n"/>
      <c r="G1867" s="227" t="n"/>
      <c r="H1867" s="227" t="n"/>
      <c r="I1867" s="227" t="n"/>
      <c r="J1867" s="227" t="n"/>
      <c r="K1867" s="227" t="n"/>
      <c r="L1867" s="227" t="n"/>
      <c r="M1867" s="227" t="n"/>
      <c r="N1867" s="127" t="n"/>
      <c r="O1867" s="227" t="n"/>
      <c r="P1867" s="227" t="n"/>
      <c r="Q1867" s="227" t="n"/>
      <c r="R1867" s="227" t="n"/>
      <c r="S1867" s="227" t="n"/>
      <c r="T1867" s="227" t="n"/>
    </row>
    <row r="1868">
      <c r="A1868" s="145">
        <f>IF($B1868="","",ROW()-5)</f>
        <v/>
      </c>
      <c r="B1868" s="127" t="n"/>
      <c r="C1868" s="223" t="n"/>
      <c r="D1868" s="127" t="n"/>
      <c r="E1868" s="227" t="n"/>
      <c r="F1868" s="227" t="n"/>
      <c r="G1868" s="227" t="n"/>
      <c r="H1868" s="227" t="n"/>
      <c r="I1868" s="227" t="n"/>
      <c r="J1868" s="227" t="n"/>
      <c r="K1868" s="227" t="n"/>
      <c r="L1868" s="227" t="n"/>
      <c r="M1868" s="227" t="n"/>
      <c r="N1868" s="127" t="n"/>
      <c r="O1868" s="227" t="n"/>
      <c r="P1868" s="227" t="n"/>
      <c r="Q1868" s="227" t="n"/>
      <c r="R1868" s="227" t="n"/>
      <c r="S1868" s="227" t="n"/>
      <c r="T1868" s="227" t="n"/>
    </row>
    <row r="1869">
      <c r="A1869" s="145">
        <f>IF($B1869="","",ROW()-5)</f>
        <v/>
      </c>
      <c r="B1869" s="127" t="n"/>
      <c r="C1869" s="223" t="n"/>
      <c r="D1869" s="127" t="n"/>
      <c r="E1869" s="227" t="n"/>
      <c r="F1869" s="227" t="n"/>
      <c r="G1869" s="227" t="n"/>
      <c r="H1869" s="227" t="n"/>
      <c r="I1869" s="227" t="n"/>
      <c r="J1869" s="227" t="n"/>
      <c r="K1869" s="227" t="n"/>
      <c r="L1869" s="227" t="n"/>
      <c r="M1869" s="227" t="n"/>
      <c r="N1869" s="127" t="n"/>
      <c r="O1869" s="227" t="n"/>
      <c r="P1869" s="227" t="n"/>
      <c r="Q1869" s="227" t="n"/>
      <c r="R1869" s="227" t="n"/>
      <c r="S1869" s="227" t="n"/>
      <c r="T1869" s="227" t="n"/>
    </row>
    <row r="1870">
      <c r="A1870" s="145">
        <f>IF($B1870="","",ROW()-5)</f>
        <v/>
      </c>
      <c r="B1870" s="127" t="n"/>
      <c r="C1870" s="223" t="n"/>
      <c r="D1870" s="127" t="n"/>
      <c r="E1870" s="227" t="n"/>
      <c r="F1870" s="227" t="n"/>
      <c r="G1870" s="227" t="n"/>
      <c r="H1870" s="227" t="n"/>
      <c r="I1870" s="227" t="n"/>
      <c r="J1870" s="227" t="n"/>
      <c r="K1870" s="227" t="n"/>
      <c r="L1870" s="227" t="n"/>
      <c r="M1870" s="227" t="n"/>
      <c r="N1870" s="127" t="n"/>
      <c r="O1870" s="227" t="n"/>
      <c r="P1870" s="227" t="n"/>
      <c r="Q1870" s="227" t="n"/>
      <c r="R1870" s="227" t="n"/>
      <c r="S1870" s="227" t="n"/>
      <c r="T1870" s="227" t="n"/>
    </row>
    <row r="1871">
      <c r="A1871" s="145">
        <f>IF($B1871="","",ROW()-5)</f>
        <v/>
      </c>
      <c r="B1871" s="127" t="n"/>
      <c r="C1871" s="223" t="n"/>
      <c r="D1871" s="127" t="n"/>
      <c r="E1871" s="227" t="n"/>
      <c r="F1871" s="227" t="n"/>
      <c r="G1871" s="227" t="n"/>
      <c r="H1871" s="227" t="n"/>
      <c r="I1871" s="227" t="n"/>
      <c r="J1871" s="227" t="n"/>
      <c r="K1871" s="227" t="n"/>
      <c r="L1871" s="227" t="n"/>
      <c r="M1871" s="227" t="n"/>
      <c r="N1871" s="127" t="n"/>
      <c r="O1871" s="227" t="n"/>
      <c r="P1871" s="227" t="n"/>
      <c r="Q1871" s="227" t="n"/>
      <c r="R1871" s="227" t="n"/>
      <c r="S1871" s="227" t="n"/>
      <c r="T1871" s="227" t="n"/>
    </row>
    <row r="1872">
      <c r="A1872" s="145">
        <f>IF($B1872="","",ROW()-5)</f>
        <v/>
      </c>
      <c r="B1872" s="127" t="n"/>
      <c r="C1872" s="223" t="n"/>
      <c r="D1872" s="127" t="n"/>
      <c r="E1872" s="227" t="n"/>
      <c r="F1872" s="227" t="n"/>
      <c r="G1872" s="227" t="n"/>
      <c r="H1872" s="227" t="n"/>
      <c r="I1872" s="227" t="n"/>
      <c r="J1872" s="227" t="n"/>
      <c r="K1872" s="227" t="n"/>
      <c r="L1872" s="227" t="n"/>
      <c r="M1872" s="227" t="n"/>
      <c r="N1872" s="127" t="n"/>
      <c r="O1872" s="227" t="n"/>
      <c r="P1872" s="227" t="n"/>
      <c r="Q1872" s="227" t="n"/>
      <c r="R1872" s="227" t="n"/>
      <c r="S1872" s="227" t="n"/>
      <c r="T1872" s="227" t="n"/>
    </row>
    <row r="1873">
      <c r="A1873" s="145">
        <f>IF($B1873="","",ROW()-5)</f>
        <v/>
      </c>
      <c r="B1873" s="127" t="n"/>
      <c r="C1873" s="223" t="n"/>
      <c r="D1873" s="127" t="n"/>
      <c r="E1873" s="227" t="n"/>
      <c r="F1873" s="227" t="n"/>
      <c r="G1873" s="227" t="n"/>
      <c r="H1873" s="227" t="n"/>
      <c r="I1873" s="227" t="n"/>
      <c r="J1873" s="227" t="n"/>
      <c r="K1873" s="227" t="n"/>
      <c r="L1873" s="227" t="n"/>
      <c r="M1873" s="227" t="n"/>
      <c r="N1873" s="127" t="n"/>
      <c r="O1873" s="227" t="n"/>
      <c r="P1873" s="227" t="n"/>
      <c r="Q1873" s="227" t="n"/>
      <c r="R1873" s="227" t="n"/>
      <c r="S1873" s="227" t="n"/>
      <c r="T1873" s="227" t="n"/>
    </row>
    <row r="1874">
      <c r="A1874" s="145">
        <f>IF($B1874="","",ROW()-5)</f>
        <v/>
      </c>
      <c r="B1874" s="127" t="n"/>
      <c r="C1874" s="223" t="n"/>
      <c r="D1874" s="127" t="n"/>
      <c r="E1874" s="227" t="n"/>
      <c r="F1874" s="227" t="n"/>
      <c r="G1874" s="227" t="n"/>
      <c r="H1874" s="227" t="n"/>
      <c r="I1874" s="227" t="n"/>
      <c r="J1874" s="227" t="n"/>
      <c r="K1874" s="227" t="n"/>
      <c r="L1874" s="227" t="n"/>
      <c r="M1874" s="227" t="n"/>
      <c r="N1874" s="127" t="n"/>
      <c r="O1874" s="227" t="n"/>
      <c r="P1874" s="227" t="n"/>
      <c r="Q1874" s="227" t="n"/>
      <c r="R1874" s="227" t="n"/>
      <c r="S1874" s="227" t="n"/>
      <c r="T1874" s="227" t="n"/>
    </row>
    <row r="1875">
      <c r="A1875" s="145">
        <f>IF($B1875="","",ROW()-5)</f>
        <v/>
      </c>
      <c r="B1875" s="127" t="n"/>
      <c r="C1875" s="223" t="n"/>
      <c r="D1875" s="127" t="n"/>
      <c r="E1875" s="227" t="n"/>
      <c r="F1875" s="227" t="n"/>
      <c r="G1875" s="227" t="n"/>
      <c r="H1875" s="227" t="n"/>
      <c r="I1875" s="227" t="n"/>
      <c r="J1875" s="227" t="n"/>
      <c r="K1875" s="227" t="n"/>
      <c r="L1875" s="227" t="n"/>
      <c r="M1875" s="227" t="n"/>
      <c r="N1875" s="127" t="n"/>
      <c r="O1875" s="227" t="n"/>
      <c r="P1875" s="227" t="n"/>
      <c r="Q1875" s="227" t="n"/>
      <c r="R1875" s="227" t="n"/>
      <c r="S1875" s="227" t="n"/>
      <c r="T1875" s="227" t="n"/>
    </row>
    <row r="1876">
      <c r="A1876" s="145">
        <f>IF($B1876="","",ROW()-5)</f>
        <v/>
      </c>
      <c r="B1876" s="127" t="n"/>
      <c r="C1876" s="223" t="n"/>
      <c r="D1876" s="127" t="n"/>
      <c r="E1876" s="227" t="n"/>
      <c r="F1876" s="227" t="n"/>
      <c r="G1876" s="227" t="n"/>
      <c r="H1876" s="227" t="n"/>
      <c r="I1876" s="227" t="n"/>
      <c r="J1876" s="227" t="n"/>
      <c r="K1876" s="227" t="n"/>
      <c r="L1876" s="227" t="n"/>
      <c r="M1876" s="227" t="n"/>
      <c r="N1876" s="127" t="n"/>
      <c r="O1876" s="227" t="n"/>
      <c r="P1876" s="227" t="n"/>
      <c r="Q1876" s="227" t="n"/>
      <c r="R1876" s="227" t="n"/>
      <c r="S1876" s="227" t="n"/>
      <c r="T1876" s="227" t="n"/>
    </row>
    <row r="1877">
      <c r="A1877" s="145">
        <f>IF($B1877="","",ROW()-5)</f>
        <v/>
      </c>
      <c r="B1877" s="127" t="n"/>
      <c r="C1877" s="223" t="n"/>
      <c r="D1877" s="127" t="n"/>
      <c r="E1877" s="227" t="n"/>
      <c r="F1877" s="227" t="n"/>
      <c r="G1877" s="227" t="n"/>
      <c r="H1877" s="227" t="n"/>
      <c r="I1877" s="227" t="n"/>
      <c r="J1877" s="227" t="n"/>
      <c r="K1877" s="227" t="n"/>
      <c r="L1877" s="227" t="n"/>
      <c r="M1877" s="227" t="n"/>
      <c r="N1877" s="127" t="n"/>
      <c r="O1877" s="227" t="n"/>
      <c r="P1877" s="227" t="n"/>
      <c r="Q1877" s="227" t="n"/>
      <c r="R1877" s="227" t="n"/>
      <c r="S1877" s="227" t="n"/>
      <c r="T1877" s="227" t="n"/>
    </row>
    <row r="1878">
      <c r="A1878" s="145">
        <f>IF($B1878="","",ROW()-5)</f>
        <v/>
      </c>
      <c r="B1878" s="127" t="n"/>
      <c r="C1878" s="223" t="n"/>
      <c r="D1878" s="127" t="n"/>
      <c r="E1878" s="227" t="n"/>
      <c r="F1878" s="227" t="n"/>
      <c r="G1878" s="227" t="n"/>
      <c r="H1878" s="227" t="n"/>
      <c r="I1878" s="227" t="n"/>
      <c r="J1878" s="227" t="n"/>
      <c r="K1878" s="227" t="n"/>
      <c r="L1878" s="227" t="n"/>
      <c r="M1878" s="227" t="n"/>
      <c r="N1878" s="127" t="n"/>
      <c r="O1878" s="227" t="n"/>
      <c r="P1878" s="227" t="n"/>
      <c r="Q1878" s="227" t="n"/>
      <c r="R1878" s="227" t="n"/>
      <c r="S1878" s="227" t="n"/>
      <c r="T1878" s="227" t="n"/>
    </row>
    <row r="1879">
      <c r="A1879" s="145">
        <f>IF($B1879="","",ROW()-5)</f>
        <v/>
      </c>
      <c r="B1879" s="127" t="n"/>
      <c r="C1879" s="223" t="n"/>
      <c r="D1879" s="127" t="n"/>
      <c r="E1879" s="227" t="n"/>
      <c r="F1879" s="227" t="n"/>
      <c r="G1879" s="227" t="n"/>
      <c r="H1879" s="227" t="n"/>
      <c r="I1879" s="227" t="n"/>
      <c r="J1879" s="227" t="n"/>
      <c r="K1879" s="227" t="n"/>
      <c r="L1879" s="227" t="n"/>
      <c r="M1879" s="227" t="n"/>
      <c r="N1879" s="127" t="n"/>
      <c r="O1879" s="227" t="n"/>
      <c r="P1879" s="227" t="n"/>
      <c r="Q1879" s="227" t="n"/>
      <c r="R1879" s="227" t="n"/>
      <c r="S1879" s="227" t="n"/>
      <c r="T1879" s="227" t="n"/>
    </row>
    <row r="1880">
      <c r="A1880" s="145">
        <f>IF($B1880="","",ROW()-5)</f>
        <v/>
      </c>
      <c r="B1880" s="127" t="n"/>
      <c r="C1880" s="223" t="n"/>
      <c r="D1880" s="127" t="n"/>
      <c r="E1880" s="227" t="n"/>
      <c r="F1880" s="227" t="n"/>
      <c r="G1880" s="227" t="n"/>
      <c r="H1880" s="227" t="n"/>
      <c r="I1880" s="227" t="n"/>
      <c r="J1880" s="227" t="n"/>
      <c r="K1880" s="227" t="n"/>
      <c r="L1880" s="227" t="n"/>
      <c r="M1880" s="227" t="n"/>
      <c r="N1880" s="127" t="n"/>
      <c r="O1880" s="227" t="n"/>
      <c r="P1880" s="227" t="n"/>
      <c r="Q1880" s="227" t="n"/>
      <c r="R1880" s="227" t="n"/>
      <c r="S1880" s="227" t="n"/>
      <c r="T1880" s="227" t="n"/>
    </row>
    <row r="1881">
      <c r="A1881" s="145">
        <f>IF($B1881="","",ROW()-5)</f>
        <v/>
      </c>
      <c r="B1881" s="127" t="n"/>
      <c r="C1881" s="223" t="n"/>
      <c r="D1881" s="127" t="n"/>
      <c r="E1881" s="227" t="n"/>
      <c r="F1881" s="227" t="n"/>
      <c r="G1881" s="227" t="n"/>
      <c r="H1881" s="227" t="n"/>
      <c r="I1881" s="227" t="n"/>
      <c r="J1881" s="227" t="n"/>
      <c r="K1881" s="227" t="n"/>
      <c r="L1881" s="227" t="n"/>
      <c r="M1881" s="227" t="n"/>
      <c r="N1881" s="127" t="n"/>
      <c r="O1881" s="227" t="n"/>
      <c r="P1881" s="227" t="n"/>
      <c r="Q1881" s="227" t="n"/>
      <c r="R1881" s="227" t="n"/>
      <c r="S1881" s="227" t="n"/>
      <c r="T1881" s="227" t="n"/>
    </row>
    <row r="1882">
      <c r="A1882" s="145">
        <f>IF($B1882="","",ROW()-5)</f>
        <v/>
      </c>
      <c r="B1882" s="127" t="n"/>
      <c r="C1882" s="223" t="n"/>
      <c r="D1882" s="127" t="n"/>
      <c r="E1882" s="227" t="n"/>
      <c r="F1882" s="227" t="n"/>
      <c r="G1882" s="227" t="n"/>
      <c r="H1882" s="227" t="n"/>
      <c r="I1882" s="227" t="n"/>
      <c r="J1882" s="227" t="n"/>
      <c r="K1882" s="227" t="n"/>
      <c r="L1882" s="227" t="n"/>
      <c r="M1882" s="227" t="n"/>
      <c r="N1882" s="127" t="n"/>
      <c r="O1882" s="227" t="n"/>
      <c r="P1882" s="227" t="n"/>
      <c r="Q1882" s="227" t="n"/>
      <c r="R1882" s="227" t="n"/>
      <c r="S1882" s="227" t="n"/>
      <c r="T1882" s="227" t="n"/>
    </row>
    <row r="1883">
      <c r="A1883" s="145">
        <f>IF($B1883="","",ROW()-5)</f>
        <v/>
      </c>
      <c r="B1883" s="127" t="n"/>
      <c r="C1883" s="223" t="n"/>
      <c r="D1883" s="127" t="n"/>
      <c r="E1883" s="227" t="n"/>
      <c r="F1883" s="227" t="n"/>
      <c r="G1883" s="227" t="n"/>
      <c r="H1883" s="227" t="n"/>
      <c r="I1883" s="227" t="n"/>
      <c r="J1883" s="227" t="n"/>
      <c r="K1883" s="227" t="n"/>
      <c r="L1883" s="227" t="n"/>
      <c r="M1883" s="227" t="n"/>
      <c r="N1883" s="127" t="n"/>
      <c r="O1883" s="227" t="n"/>
      <c r="P1883" s="227" t="n"/>
      <c r="Q1883" s="227" t="n"/>
      <c r="R1883" s="227" t="n"/>
      <c r="S1883" s="227" t="n"/>
      <c r="T1883" s="227" t="n"/>
    </row>
    <row r="1884">
      <c r="A1884" s="145">
        <f>IF($B1884="","",ROW()-5)</f>
        <v/>
      </c>
      <c r="B1884" s="127" t="n"/>
      <c r="C1884" s="223" t="n"/>
      <c r="D1884" s="127" t="n"/>
      <c r="E1884" s="227" t="n"/>
      <c r="F1884" s="227" t="n"/>
      <c r="G1884" s="227" t="n"/>
      <c r="H1884" s="227" t="n"/>
      <c r="I1884" s="227" t="n"/>
      <c r="J1884" s="227" t="n"/>
      <c r="K1884" s="227" t="n"/>
      <c r="L1884" s="227" t="n"/>
      <c r="M1884" s="227" t="n"/>
      <c r="N1884" s="127" t="n"/>
      <c r="O1884" s="227" t="n"/>
      <c r="P1884" s="227" t="n"/>
      <c r="Q1884" s="227" t="n"/>
      <c r="R1884" s="227" t="n"/>
      <c r="S1884" s="227" t="n"/>
      <c r="T1884" s="227" t="n"/>
    </row>
    <row r="1885">
      <c r="A1885" s="145">
        <f>IF($B1885="","",ROW()-5)</f>
        <v/>
      </c>
      <c r="B1885" s="127" t="n"/>
      <c r="C1885" s="223" t="n"/>
      <c r="D1885" s="127" t="n"/>
      <c r="E1885" s="227" t="n"/>
      <c r="F1885" s="227" t="n"/>
      <c r="G1885" s="227" t="n"/>
      <c r="H1885" s="227" t="n"/>
      <c r="I1885" s="227" t="n"/>
      <c r="J1885" s="227" t="n"/>
      <c r="K1885" s="227" t="n"/>
      <c r="L1885" s="227" t="n"/>
      <c r="M1885" s="227" t="n"/>
      <c r="N1885" s="127" t="n"/>
      <c r="O1885" s="227" t="n"/>
      <c r="P1885" s="227" t="n"/>
      <c r="Q1885" s="227" t="n"/>
      <c r="R1885" s="227" t="n"/>
      <c r="S1885" s="227" t="n"/>
      <c r="T1885" s="227" t="n"/>
    </row>
    <row r="1886">
      <c r="A1886" s="145">
        <f>IF($B1886="","",ROW()-5)</f>
        <v/>
      </c>
      <c r="B1886" s="127" t="n"/>
      <c r="C1886" s="223" t="n"/>
      <c r="D1886" s="127" t="n"/>
      <c r="E1886" s="227" t="n"/>
      <c r="F1886" s="227" t="n"/>
      <c r="G1886" s="227" t="n"/>
      <c r="H1886" s="227" t="n"/>
      <c r="I1886" s="227" t="n"/>
      <c r="J1886" s="227" t="n"/>
      <c r="K1886" s="227" t="n"/>
      <c r="L1886" s="227" t="n"/>
      <c r="M1886" s="227" t="n"/>
      <c r="N1886" s="127" t="n"/>
      <c r="O1886" s="227" t="n"/>
      <c r="P1886" s="227" t="n"/>
      <c r="Q1886" s="227" t="n"/>
      <c r="R1886" s="227" t="n"/>
      <c r="S1886" s="227" t="n"/>
      <c r="T1886" s="227" t="n"/>
    </row>
    <row r="1887">
      <c r="A1887" s="145">
        <f>IF($B1887="","",ROW()-5)</f>
        <v/>
      </c>
      <c r="B1887" s="127" t="n"/>
      <c r="C1887" s="223" t="n"/>
      <c r="D1887" s="127" t="n"/>
      <c r="E1887" s="227" t="n"/>
      <c r="F1887" s="227" t="n"/>
      <c r="G1887" s="227" t="n"/>
      <c r="H1887" s="227" t="n"/>
      <c r="I1887" s="227" t="n"/>
      <c r="J1887" s="227" t="n"/>
      <c r="K1887" s="227" t="n"/>
      <c r="L1887" s="227" t="n"/>
      <c r="M1887" s="227" t="n"/>
      <c r="N1887" s="127" t="n"/>
      <c r="O1887" s="227" t="n"/>
      <c r="P1887" s="227" t="n"/>
      <c r="Q1887" s="227" t="n"/>
      <c r="R1887" s="227" t="n"/>
      <c r="S1887" s="227" t="n"/>
      <c r="T1887" s="227" t="n"/>
    </row>
    <row r="1888">
      <c r="A1888" s="145">
        <f>IF($B1888="","",ROW()-5)</f>
        <v/>
      </c>
      <c r="B1888" s="127" t="n"/>
      <c r="C1888" s="223" t="n"/>
      <c r="D1888" s="127" t="n"/>
      <c r="E1888" s="227" t="n"/>
      <c r="F1888" s="227" t="n"/>
      <c r="G1888" s="227" t="n"/>
      <c r="H1888" s="227" t="n"/>
      <c r="I1888" s="227" t="n"/>
      <c r="J1888" s="227" t="n"/>
      <c r="K1888" s="227" t="n"/>
      <c r="L1888" s="227" t="n"/>
      <c r="M1888" s="227" t="n"/>
      <c r="N1888" s="127" t="n"/>
      <c r="O1888" s="227" t="n"/>
      <c r="P1888" s="227" t="n"/>
      <c r="Q1888" s="227" t="n"/>
      <c r="R1888" s="227" t="n"/>
      <c r="S1888" s="227" t="n"/>
      <c r="T1888" s="227" t="n"/>
    </row>
    <row r="1889">
      <c r="A1889" s="145">
        <f>IF($B1889="","",ROW()-5)</f>
        <v/>
      </c>
      <c r="B1889" s="127" t="n"/>
      <c r="C1889" s="223" t="n"/>
      <c r="D1889" s="127" t="n"/>
      <c r="E1889" s="227" t="n"/>
      <c r="F1889" s="227" t="n"/>
      <c r="G1889" s="227" t="n"/>
      <c r="H1889" s="227" t="n"/>
      <c r="I1889" s="227" t="n"/>
      <c r="J1889" s="227" t="n"/>
      <c r="K1889" s="227" t="n"/>
      <c r="L1889" s="227" t="n"/>
      <c r="M1889" s="227" t="n"/>
      <c r="N1889" s="127" t="n"/>
      <c r="O1889" s="227" t="n"/>
      <c r="P1889" s="227" t="n"/>
      <c r="Q1889" s="227" t="n"/>
      <c r="R1889" s="227" t="n"/>
      <c r="S1889" s="227" t="n"/>
      <c r="T1889" s="227" t="n"/>
    </row>
    <row r="1890">
      <c r="A1890" s="145">
        <f>IF($B1890="","",ROW()-5)</f>
        <v/>
      </c>
      <c r="B1890" s="127" t="n"/>
      <c r="C1890" s="223" t="n"/>
      <c r="D1890" s="127" t="n"/>
      <c r="E1890" s="227" t="n"/>
      <c r="F1890" s="227" t="n"/>
      <c r="G1890" s="227" t="n"/>
      <c r="H1890" s="227" t="n"/>
      <c r="I1890" s="227" t="n"/>
      <c r="J1890" s="227" t="n"/>
      <c r="K1890" s="227" t="n"/>
      <c r="L1890" s="227" t="n"/>
      <c r="M1890" s="227" t="n"/>
      <c r="N1890" s="127" t="n"/>
      <c r="O1890" s="227" t="n"/>
      <c r="P1890" s="227" t="n"/>
      <c r="Q1890" s="227" t="n"/>
      <c r="R1890" s="227" t="n"/>
      <c r="S1890" s="227" t="n"/>
      <c r="T1890" s="227" t="n"/>
    </row>
    <row r="1891">
      <c r="A1891" s="145">
        <f>IF($B1891="","",ROW()-5)</f>
        <v/>
      </c>
      <c r="B1891" s="127" t="n"/>
      <c r="C1891" s="223" t="n"/>
      <c r="D1891" s="127" t="n"/>
      <c r="E1891" s="227" t="n"/>
      <c r="F1891" s="227" t="n"/>
      <c r="G1891" s="227" t="n"/>
      <c r="H1891" s="227" t="n"/>
      <c r="I1891" s="227" t="n"/>
      <c r="J1891" s="227" t="n"/>
      <c r="K1891" s="227" t="n"/>
      <c r="L1891" s="227" t="n"/>
      <c r="M1891" s="227" t="n"/>
      <c r="N1891" s="127" t="n"/>
      <c r="O1891" s="227" t="n"/>
      <c r="P1891" s="227" t="n"/>
      <c r="Q1891" s="227" t="n"/>
      <c r="R1891" s="227" t="n"/>
      <c r="S1891" s="227" t="n"/>
      <c r="T1891" s="227" t="n"/>
    </row>
    <row r="1892">
      <c r="A1892" s="145">
        <f>IF($B1892="","",ROW()-5)</f>
        <v/>
      </c>
      <c r="B1892" s="127" t="n"/>
      <c r="C1892" s="223" t="n"/>
      <c r="D1892" s="127" t="n"/>
      <c r="E1892" s="227" t="n"/>
      <c r="F1892" s="227" t="n"/>
      <c r="G1892" s="227" t="n"/>
      <c r="H1892" s="227" t="n"/>
      <c r="I1892" s="227" t="n"/>
      <c r="J1892" s="227" t="n"/>
      <c r="K1892" s="227" t="n"/>
      <c r="L1892" s="227" t="n"/>
      <c r="M1892" s="227" t="n"/>
      <c r="N1892" s="127" t="n"/>
      <c r="O1892" s="227" t="n"/>
      <c r="P1892" s="227" t="n"/>
      <c r="Q1892" s="227" t="n"/>
      <c r="R1892" s="227" t="n"/>
      <c r="S1892" s="227" t="n"/>
      <c r="T1892" s="227" t="n"/>
    </row>
    <row r="1893">
      <c r="A1893" s="145">
        <f>IF($B1893="","",ROW()-5)</f>
        <v/>
      </c>
      <c r="B1893" s="127" t="n"/>
      <c r="C1893" s="223" t="n"/>
      <c r="D1893" s="127" t="n"/>
      <c r="E1893" s="227" t="n"/>
      <c r="F1893" s="227" t="n"/>
      <c r="G1893" s="227" t="n"/>
      <c r="H1893" s="227" t="n"/>
      <c r="I1893" s="227" t="n"/>
      <c r="J1893" s="227" t="n"/>
      <c r="K1893" s="227" t="n"/>
      <c r="L1893" s="227" t="n"/>
      <c r="M1893" s="227" t="n"/>
      <c r="N1893" s="127" t="n"/>
      <c r="O1893" s="227" t="n"/>
      <c r="P1893" s="227" t="n"/>
      <c r="Q1893" s="227" t="n"/>
      <c r="R1893" s="227" t="n"/>
      <c r="S1893" s="227" t="n"/>
      <c r="T1893" s="227" t="n"/>
    </row>
    <row r="1894">
      <c r="A1894" s="145">
        <f>IF($B1894="","",ROW()-5)</f>
        <v/>
      </c>
      <c r="B1894" s="127" t="n"/>
      <c r="C1894" s="223" t="n"/>
      <c r="D1894" s="127" t="n"/>
      <c r="E1894" s="227" t="n"/>
      <c r="F1894" s="227" t="n"/>
      <c r="G1894" s="227" t="n"/>
      <c r="H1894" s="227" t="n"/>
      <c r="I1894" s="227" t="n"/>
      <c r="J1894" s="227" t="n"/>
      <c r="K1894" s="227" t="n"/>
      <c r="L1894" s="227" t="n"/>
      <c r="M1894" s="227" t="n"/>
      <c r="N1894" s="127" t="n"/>
      <c r="O1894" s="227" t="n"/>
      <c r="P1894" s="227" t="n"/>
      <c r="Q1894" s="227" t="n"/>
      <c r="R1894" s="227" t="n"/>
      <c r="S1894" s="227" t="n"/>
      <c r="T1894" s="227" t="n"/>
    </row>
    <row r="1895">
      <c r="A1895" s="145">
        <f>IF($B1895="","",ROW()-5)</f>
        <v/>
      </c>
      <c r="B1895" s="127" t="n"/>
      <c r="C1895" s="223" t="n"/>
      <c r="D1895" s="127" t="n"/>
      <c r="E1895" s="227" t="n"/>
      <c r="F1895" s="227" t="n"/>
      <c r="G1895" s="227" t="n"/>
      <c r="H1895" s="227" t="n"/>
      <c r="I1895" s="227" t="n"/>
      <c r="J1895" s="227" t="n"/>
      <c r="K1895" s="227" t="n"/>
      <c r="L1895" s="227" t="n"/>
      <c r="M1895" s="227" t="n"/>
      <c r="N1895" s="127" t="n"/>
      <c r="O1895" s="227" t="n"/>
      <c r="P1895" s="227" t="n"/>
      <c r="Q1895" s="227" t="n"/>
      <c r="R1895" s="227" t="n"/>
      <c r="S1895" s="227" t="n"/>
      <c r="T1895" s="227" t="n"/>
    </row>
    <row r="1896">
      <c r="A1896" s="145">
        <f>IF($B1896="","",ROW()-5)</f>
        <v/>
      </c>
      <c r="B1896" s="127" t="n"/>
      <c r="C1896" s="223" t="n"/>
      <c r="D1896" s="127" t="n"/>
      <c r="E1896" s="227" t="n"/>
      <c r="F1896" s="227" t="n"/>
      <c r="G1896" s="227" t="n"/>
      <c r="H1896" s="227" t="n"/>
      <c r="I1896" s="227" t="n"/>
      <c r="J1896" s="227" t="n"/>
      <c r="K1896" s="227" t="n"/>
      <c r="L1896" s="227" t="n"/>
      <c r="M1896" s="227" t="n"/>
      <c r="N1896" s="127" t="n"/>
      <c r="O1896" s="227" t="n"/>
      <c r="P1896" s="227" t="n"/>
      <c r="Q1896" s="227" t="n"/>
      <c r="R1896" s="227" t="n"/>
      <c r="S1896" s="227" t="n"/>
      <c r="T1896" s="227" t="n"/>
    </row>
    <row r="1897">
      <c r="A1897" s="145">
        <f>IF($B1897="","",ROW()-5)</f>
        <v/>
      </c>
      <c r="B1897" s="127" t="n"/>
      <c r="C1897" s="223" t="n"/>
      <c r="D1897" s="127" t="n"/>
      <c r="E1897" s="227" t="n"/>
      <c r="F1897" s="227" t="n"/>
      <c r="G1897" s="227" t="n"/>
      <c r="H1897" s="227" t="n"/>
      <c r="I1897" s="227" t="n"/>
      <c r="J1897" s="227" t="n"/>
      <c r="K1897" s="227" t="n"/>
      <c r="L1897" s="227" t="n"/>
      <c r="M1897" s="227" t="n"/>
      <c r="N1897" s="127" t="n"/>
      <c r="O1897" s="227" t="n"/>
      <c r="P1897" s="227" t="n"/>
      <c r="Q1897" s="227" t="n"/>
      <c r="R1897" s="227" t="n"/>
      <c r="S1897" s="227" t="n"/>
      <c r="T1897" s="227" t="n"/>
    </row>
    <row r="1898">
      <c r="A1898" s="145">
        <f>IF($B1898="","",ROW()-5)</f>
        <v/>
      </c>
      <c r="B1898" s="127" t="n"/>
      <c r="C1898" s="223" t="n"/>
      <c r="D1898" s="127" t="n"/>
      <c r="E1898" s="227" t="n"/>
      <c r="F1898" s="227" t="n"/>
      <c r="G1898" s="227" t="n"/>
      <c r="H1898" s="227" t="n"/>
      <c r="I1898" s="227" t="n"/>
      <c r="J1898" s="227" t="n"/>
      <c r="K1898" s="227" t="n"/>
      <c r="L1898" s="227" t="n"/>
      <c r="M1898" s="227" t="n"/>
      <c r="N1898" s="127" t="n"/>
      <c r="O1898" s="227" t="n"/>
      <c r="P1898" s="227" t="n"/>
      <c r="Q1898" s="227" t="n"/>
      <c r="R1898" s="227" t="n"/>
      <c r="S1898" s="227" t="n"/>
      <c r="T1898" s="227" t="n"/>
    </row>
    <row r="1899">
      <c r="A1899" s="145">
        <f>IF($B1899="","",ROW()-5)</f>
        <v/>
      </c>
      <c r="B1899" s="127" t="n"/>
      <c r="C1899" s="223" t="n"/>
      <c r="D1899" s="127" t="n"/>
      <c r="E1899" s="227" t="n"/>
      <c r="F1899" s="227" t="n"/>
      <c r="G1899" s="227" t="n"/>
      <c r="H1899" s="227" t="n"/>
      <c r="I1899" s="227" t="n"/>
      <c r="J1899" s="227" t="n"/>
      <c r="K1899" s="227" t="n"/>
      <c r="L1899" s="227" t="n"/>
      <c r="M1899" s="227" t="n"/>
      <c r="N1899" s="127" t="n"/>
      <c r="O1899" s="227" t="n"/>
      <c r="P1899" s="227" t="n"/>
      <c r="Q1899" s="227" t="n"/>
      <c r="R1899" s="227" t="n"/>
      <c r="S1899" s="227" t="n"/>
      <c r="T1899" s="227" t="n"/>
    </row>
    <row r="1900">
      <c r="A1900" s="145">
        <f>IF($B1900="","",ROW()-5)</f>
        <v/>
      </c>
      <c r="B1900" s="127" t="n"/>
      <c r="C1900" s="223" t="n"/>
      <c r="D1900" s="127" t="n"/>
      <c r="E1900" s="227" t="n"/>
      <c r="F1900" s="227" t="n"/>
      <c r="G1900" s="227" t="n"/>
      <c r="H1900" s="227" t="n"/>
      <c r="I1900" s="227" t="n"/>
      <c r="J1900" s="227" t="n"/>
      <c r="K1900" s="227" t="n"/>
      <c r="L1900" s="227" t="n"/>
      <c r="M1900" s="227" t="n"/>
      <c r="N1900" s="127" t="n"/>
      <c r="O1900" s="227" t="n"/>
      <c r="P1900" s="227" t="n"/>
      <c r="Q1900" s="227" t="n"/>
      <c r="R1900" s="227" t="n"/>
      <c r="S1900" s="227" t="n"/>
      <c r="T1900" s="227" t="n"/>
    </row>
    <row r="1901">
      <c r="A1901" s="145">
        <f>IF($B1901="","",ROW()-5)</f>
        <v/>
      </c>
      <c r="B1901" s="127" t="n"/>
      <c r="C1901" s="223" t="n"/>
      <c r="D1901" s="127" t="n"/>
      <c r="E1901" s="227" t="n"/>
      <c r="F1901" s="227" t="n"/>
      <c r="G1901" s="227" t="n"/>
      <c r="H1901" s="227" t="n"/>
      <c r="I1901" s="227" t="n"/>
      <c r="J1901" s="227" t="n"/>
      <c r="K1901" s="227" t="n"/>
      <c r="L1901" s="227" t="n"/>
      <c r="M1901" s="227" t="n"/>
      <c r="N1901" s="127" t="n"/>
      <c r="O1901" s="227" t="n"/>
      <c r="P1901" s="227" t="n"/>
      <c r="Q1901" s="227" t="n"/>
      <c r="R1901" s="227" t="n"/>
      <c r="S1901" s="227" t="n"/>
      <c r="T1901" s="227" t="n"/>
    </row>
    <row r="1902">
      <c r="A1902" s="145">
        <f>IF($B1902="","",ROW()-5)</f>
        <v/>
      </c>
      <c r="B1902" s="127" t="n"/>
      <c r="C1902" s="223" t="n"/>
      <c r="D1902" s="127" t="n"/>
      <c r="E1902" s="227" t="n"/>
      <c r="F1902" s="227" t="n"/>
      <c r="G1902" s="227" t="n"/>
      <c r="H1902" s="227" t="n"/>
      <c r="I1902" s="227" t="n"/>
      <c r="J1902" s="227" t="n"/>
      <c r="K1902" s="227" t="n"/>
      <c r="L1902" s="227" t="n"/>
      <c r="M1902" s="227" t="n"/>
      <c r="N1902" s="127" t="n"/>
      <c r="O1902" s="227" t="n"/>
      <c r="P1902" s="227" t="n"/>
      <c r="Q1902" s="227" t="n"/>
      <c r="R1902" s="227" t="n"/>
      <c r="S1902" s="227" t="n"/>
      <c r="T1902" s="227" t="n"/>
    </row>
    <row r="1903">
      <c r="A1903" s="145">
        <f>IF($B1903="","",ROW()-5)</f>
        <v/>
      </c>
      <c r="B1903" s="127" t="n"/>
      <c r="C1903" s="223" t="n"/>
      <c r="D1903" s="127" t="n"/>
      <c r="E1903" s="227" t="n"/>
      <c r="F1903" s="227" t="n"/>
      <c r="G1903" s="227" t="n"/>
      <c r="H1903" s="227" t="n"/>
      <c r="I1903" s="227" t="n"/>
      <c r="J1903" s="227" t="n"/>
      <c r="K1903" s="227" t="n"/>
      <c r="L1903" s="227" t="n"/>
      <c r="M1903" s="227" t="n"/>
      <c r="N1903" s="127" t="n"/>
      <c r="O1903" s="227" t="n"/>
      <c r="P1903" s="227" t="n"/>
      <c r="Q1903" s="227" t="n"/>
      <c r="R1903" s="227" t="n"/>
      <c r="S1903" s="227" t="n"/>
      <c r="T1903" s="227" t="n"/>
    </row>
    <row r="1904">
      <c r="A1904" s="145">
        <f>IF($B1904="","",ROW()-5)</f>
        <v/>
      </c>
      <c r="B1904" s="127" t="n"/>
      <c r="C1904" s="223" t="n"/>
      <c r="D1904" s="127" t="n"/>
      <c r="E1904" s="227" t="n"/>
      <c r="F1904" s="227" t="n"/>
      <c r="G1904" s="227" t="n"/>
      <c r="H1904" s="227" t="n"/>
      <c r="I1904" s="227" t="n"/>
      <c r="J1904" s="227" t="n"/>
      <c r="K1904" s="227" t="n"/>
      <c r="L1904" s="227" t="n"/>
      <c r="M1904" s="227" t="n"/>
      <c r="N1904" s="127" t="n"/>
      <c r="O1904" s="227" t="n"/>
      <c r="P1904" s="227" t="n"/>
      <c r="Q1904" s="227" t="n"/>
      <c r="R1904" s="227" t="n"/>
      <c r="S1904" s="227" t="n"/>
      <c r="T1904" s="227" t="n"/>
    </row>
    <row r="1905">
      <c r="A1905" s="145">
        <f>IF($B1905="","",ROW()-5)</f>
        <v/>
      </c>
      <c r="B1905" s="127" t="n"/>
      <c r="C1905" s="223" t="n"/>
      <c r="D1905" s="127" t="n"/>
      <c r="E1905" s="227" t="n"/>
      <c r="F1905" s="227" t="n"/>
      <c r="G1905" s="227" t="n"/>
      <c r="H1905" s="227" t="n"/>
      <c r="I1905" s="227" t="n"/>
      <c r="J1905" s="227" t="n"/>
      <c r="K1905" s="227" t="n"/>
      <c r="L1905" s="227" t="n"/>
      <c r="M1905" s="227" t="n"/>
      <c r="N1905" s="127" t="n"/>
      <c r="O1905" s="227" t="n"/>
      <c r="P1905" s="227" t="n"/>
      <c r="Q1905" s="227" t="n"/>
      <c r="R1905" s="227" t="n"/>
      <c r="S1905" s="227" t="n"/>
      <c r="T1905" s="227" t="n"/>
    </row>
    <row r="1906">
      <c r="A1906" s="145">
        <f>IF($B1906="","",ROW()-5)</f>
        <v/>
      </c>
      <c r="B1906" s="127" t="n"/>
      <c r="C1906" s="223" t="n"/>
      <c r="D1906" s="127" t="n"/>
      <c r="E1906" s="227" t="n"/>
      <c r="F1906" s="227" t="n"/>
      <c r="G1906" s="227" t="n"/>
      <c r="H1906" s="227" t="n"/>
      <c r="I1906" s="227" t="n"/>
      <c r="J1906" s="227" t="n"/>
      <c r="K1906" s="227" t="n"/>
      <c r="L1906" s="227" t="n"/>
      <c r="M1906" s="227" t="n"/>
      <c r="N1906" s="127" t="n"/>
      <c r="O1906" s="227" t="n"/>
      <c r="P1906" s="227" t="n"/>
      <c r="Q1906" s="227" t="n"/>
      <c r="R1906" s="227" t="n"/>
      <c r="S1906" s="227" t="n"/>
      <c r="T1906" s="227" t="n"/>
    </row>
    <row r="1907">
      <c r="A1907" s="145">
        <f>IF($B1907="","",ROW()-5)</f>
        <v/>
      </c>
      <c r="B1907" s="127" t="n"/>
      <c r="C1907" s="223" t="n"/>
      <c r="D1907" s="127" t="n"/>
      <c r="E1907" s="227" t="n"/>
      <c r="F1907" s="227" t="n"/>
      <c r="G1907" s="227" t="n"/>
      <c r="H1907" s="227" t="n"/>
      <c r="I1907" s="227" t="n"/>
      <c r="J1907" s="227" t="n"/>
      <c r="K1907" s="227" t="n"/>
      <c r="L1907" s="227" t="n"/>
      <c r="M1907" s="227" t="n"/>
      <c r="N1907" s="127" t="n"/>
      <c r="O1907" s="227" t="n"/>
      <c r="P1907" s="227" t="n"/>
      <c r="Q1907" s="227" t="n"/>
      <c r="R1907" s="227" t="n"/>
      <c r="S1907" s="227" t="n"/>
      <c r="T1907" s="227" t="n"/>
    </row>
    <row r="1908">
      <c r="A1908" s="145">
        <f>IF($B1908="","",ROW()-5)</f>
        <v/>
      </c>
      <c r="B1908" s="127" t="n"/>
      <c r="C1908" s="223" t="n"/>
      <c r="D1908" s="127" t="n"/>
      <c r="E1908" s="227" t="n"/>
      <c r="F1908" s="227" t="n"/>
      <c r="G1908" s="227" t="n"/>
      <c r="H1908" s="227" t="n"/>
      <c r="I1908" s="227" t="n"/>
      <c r="J1908" s="227" t="n"/>
      <c r="K1908" s="227" t="n"/>
      <c r="L1908" s="227" t="n"/>
      <c r="M1908" s="227" t="n"/>
      <c r="N1908" s="127" t="n"/>
      <c r="O1908" s="227" t="n"/>
      <c r="P1908" s="227" t="n"/>
      <c r="Q1908" s="227" t="n"/>
      <c r="R1908" s="227" t="n"/>
      <c r="S1908" s="227" t="n"/>
      <c r="T1908" s="227" t="n"/>
    </row>
    <row r="1909">
      <c r="A1909" s="145">
        <f>IF($B1909="","",ROW()-5)</f>
        <v/>
      </c>
      <c r="B1909" s="127" t="n"/>
      <c r="C1909" s="223" t="n"/>
      <c r="D1909" s="127" t="n"/>
      <c r="E1909" s="227" t="n"/>
      <c r="F1909" s="227" t="n"/>
      <c r="G1909" s="227" t="n"/>
      <c r="H1909" s="227" t="n"/>
      <c r="I1909" s="227" t="n"/>
      <c r="J1909" s="227" t="n"/>
      <c r="K1909" s="227" t="n"/>
      <c r="L1909" s="227" t="n"/>
      <c r="M1909" s="227" t="n"/>
      <c r="N1909" s="127" t="n"/>
      <c r="O1909" s="227" t="n"/>
      <c r="P1909" s="227" t="n"/>
      <c r="Q1909" s="227" t="n"/>
      <c r="R1909" s="227" t="n"/>
      <c r="S1909" s="227" t="n"/>
      <c r="T1909" s="227" t="n"/>
    </row>
    <row r="1910">
      <c r="A1910" s="145">
        <f>IF($B1910="","",ROW()-5)</f>
        <v/>
      </c>
      <c r="B1910" s="127" t="n"/>
      <c r="C1910" s="223" t="n"/>
      <c r="D1910" s="127" t="n"/>
      <c r="E1910" s="227" t="n"/>
      <c r="F1910" s="227" t="n"/>
      <c r="G1910" s="227" t="n"/>
      <c r="H1910" s="227" t="n"/>
      <c r="I1910" s="227" t="n"/>
      <c r="J1910" s="227" t="n"/>
      <c r="K1910" s="227" t="n"/>
      <c r="L1910" s="227" t="n"/>
      <c r="M1910" s="227" t="n"/>
      <c r="N1910" s="127" t="n"/>
      <c r="O1910" s="227" t="n"/>
      <c r="P1910" s="227" t="n"/>
      <c r="Q1910" s="227" t="n"/>
      <c r="R1910" s="227" t="n"/>
      <c r="S1910" s="227" t="n"/>
      <c r="T1910" s="227" t="n"/>
    </row>
    <row r="1911">
      <c r="A1911" s="145">
        <f>IF($B1911="","",ROW()-5)</f>
        <v/>
      </c>
      <c r="B1911" s="127" t="n"/>
      <c r="C1911" s="223" t="n"/>
      <c r="D1911" s="127" t="n"/>
      <c r="E1911" s="227" t="n"/>
      <c r="F1911" s="227" t="n"/>
      <c r="G1911" s="227" t="n"/>
      <c r="H1911" s="227" t="n"/>
      <c r="I1911" s="227" t="n"/>
      <c r="J1911" s="227" t="n"/>
      <c r="K1911" s="227" t="n"/>
      <c r="L1911" s="227" t="n"/>
      <c r="M1911" s="227" t="n"/>
      <c r="N1911" s="127" t="n"/>
      <c r="O1911" s="227" t="n"/>
      <c r="P1911" s="227" t="n"/>
      <c r="Q1911" s="227" t="n"/>
      <c r="R1911" s="227" t="n"/>
      <c r="S1911" s="227" t="n"/>
      <c r="T1911" s="227" t="n"/>
    </row>
    <row r="1912">
      <c r="A1912" s="145">
        <f>IF($B1912="","",ROW()-5)</f>
        <v/>
      </c>
      <c r="B1912" s="127" t="n"/>
      <c r="C1912" s="223" t="n"/>
      <c r="D1912" s="127" t="n"/>
      <c r="E1912" s="227" t="n"/>
      <c r="F1912" s="227" t="n"/>
      <c r="G1912" s="227" t="n"/>
      <c r="H1912" s="227" t="n"/>
      <c r="I1912" s="227" t="n"/>
      <c r="J1912" s="227" t="n"/>
      <c r="K1912" s="227" t="n"/>
      <c r="L1912" s="227" t="n"/>
      <c r="M1912" s="227" t="n"/>
      <c r="N1912" s="127" t="n"/>
      <c r="O1912" s="227" t="n"/>
      <c r="P1912" s="227" t="n"/>
      <c r="Q1912" s="227" t="n"/>
      <c r="R1912" s="227" t="n"/>
      <c r="S1912" s="227" t="n"/>
      <c r="T1912" s="227" t="n"/>
    </row>
    <row r="1913">
      <c r="A1913" s="145">
        <f>IF($B1913="","",ROW()-5)</f>
        <v/>
      </c>
      <c r="B1913" s="127" t="n"/>
      <c r="C1913" s="223" t="n"/>
      <c r="D1913" s="127" t="n"/>
      <c r="E1913" s="227" t="n"/>
      <c r="F1913" s="227" t="n"/>
      <c r="G1913" s="227" t="n"/>
      <c r="H1913" s="227" t="n"/>
      <c r="I1913" s="227" t="n"/>
      <c r="J1913" s="227" t="n"/>
      <c r="K1913" s="227" t="n"/>
      <c r="L1913" s="227" t="n"/>
      <c r="M1913" s="227" t="n"/>
      <c r="N1913" s="127" t="n"/>
      <c r="O1913" s="227" t="n"/>
      <c r="P1913" s="227" t="n"/>
      <c r="Q1913" s="227" t="n"/>
      <c r="R1913" s="227" t="n"/>
      <c r="S1913" s="227" t="n"/>
      <c r="T1913" s="227" t="n"/>
    </row>
    <row r="1914">
      <c r="A1914" s="145">
        <f>IF($B1914="","",ROW()-5)</f>
        <v/>
      </c>
      <c r="B1914" s="127" t="n"/>
      <c r="C1914" s="223" t="n"/>
      <c r="D1914" s="127" t="n"/>
      <c r="E1914" s="227" t="n"/>
      <c r="F1914" s="227" t="n"/>
      <c r="G1914" s="227" t="n"/>
      <c r="H1914" s="227" t="n"/>
      <c r="I1914" s="227" t="n"/>
      <c r="J1914" s="227" t="n"/>
      <c r="K1914" s="227" t="n"/>
      <c r="L1914" s="227" t="n"/>
      <c r="M1914" s="227" t="n"/>
      <c r="N1914" s="127" t="n"/>
      <c r="O1914" s="227" t="n"/>
      <c r="P1914" s="227" t="n"/>
      <c r="Q1914" s="227" t="n"/>
      <c r="R1914" s="227" t="n"/>
      <c r="S1914" s="227" t="n"/>
      <c r="T1914" s="227" t="n"/>
    </row>
    <row r="1915">
      <c r="A1915" s="145">
        <f>IF($B1915="","",ROW()-5)</f>
        <v/>
      </c>
      <c r="B1915" s="127" t="n"/>
      <c r="C1915" s="223" t="n"/>
      <c r="D1915" s="127" t="n"/>
      <c r="E1915" s="227" t="n"/>
      <c r="F1915" s="227" t="n"/>
      <c r="G1915" s="227" t="n"/>
      <c r="H1915" s="227" t="n"/>
      <c r="I1915" s="227" t="n"/>
      <c r="J1915" s="227" t="n"/>
      <c r="K1915" s="227" t="n"/>
      <c r="L1915" s="227" t="n"/>
      <c r="M1915" s="227" t="n"/>
      <c r="N1915" s="127" t="n"/>
      <c r="O1915" s="227" t="n"/>
      <c r="P1915" s="227" t="n"/>
      <c r="Q1915" s="227" t="n"/>
      <c r="R1915" s="227" t="n"/>
      <c r="S1915" s="227" t="n"/>
      <c r="T1915" s="227" t="n"/>
    </row>
    <row r="1916">
      <c r="A1916" s="145">
        <f>IF($B1916="","",ROW()-5)</f>
        <v/>
      </c>
      <c r="B1916" s="127" t="n"/>
      <c r="C1916" s="223" t="n"/>
      <c r="D1916" s="127" t="n"/>
      <c r="E1916" s="227" t="n"/>
      <c r="F1916" s="227" t="n"/>
      <c r="G1916" s="227" t="n"/>
      <c r="H1916" s="227" t="n"/>
      <c r="I1916" s="227" t="n"/>
      <c r="J1916" s="227" t="n"/>
      <c r="K1916" s="227" t="n"/>
      <c r="L1916" s="227" t="n"/>
      <c r="M1916" s="227" t="n"/>
      <c r="N1916" s="127" t="n"/>
      <c r="O1916" s="227" t="n"/>
      <c r="P1916" s="227" t="n"/>
      <c r="Q1916" s="227" t="n"/>
      <c r="R1916" s="227" t="n"/>
      <c r="S1916" s="227" t="n"/>
      <c r="T1916" s="227" t="n"/>
    </row>
    <row r="1917">
      <c r="A1917" s="145">
        <f>IF($B1917="","",ROW()-5)</f>
        <v/>
      </c>
      <c r="B1917" s="127" t="n"/>
      <c r="C1917" s="223" t="n"/>
      <c r="D1917" s="127" t="n"/>
      <c r="E1917" s="227" t="n"/>
      <c r="F1917" s="227" t="n"/>
      <c r="G1917" s="227" t="n"/>
      <c r="H1917" s="227" t="n"/>
      <c r="I1917" s="227" t="n"/>
      <c r="J1917" s="227" t="n"/>
      <c r="K1917" s="227" t="n"/>
      <c r="L1917" s="227" t="n"/>
      <c r="M1917" s="227" t="n"/>
      <c r="N1917" s="127" t="n"/>
      <c r="O1917" s="227" t="n"/>
      <c r="P1917" s="227" t="n"/>
      <c r="Q1917" s="227" t="n"/>
      <c r="R1917" s="227" t="n"/>
      <c r="S1917" s="227" t="n"/>
      <c r="T1917" s="227" t="n"/>
    </row>
    <row r="1918">
      <c r="A1918" s="145">
        <f>IF($B1918="","",ROW()-5)</f>
        <v/>
      </c>
      <c r="B1918" s="127" t="n"/>
      <c r="C1918" s="223" t="n"/>
      <c r="D1918" s="127" t="n"/>
      <c r="E1918" s="227" t="n"/>
      <c r="F1918" s="227" t="n"/>
      <c r="G1918" s="227" t="n"/>
      <c r="H1918" s="227" t="n"/>
      <c r="I1918" s="227" t="n"/>
      <c r="J1918" s="227" t="n"/>
      <c r="K1918" s="227" t="n"/>
      <c r="L1918" s="227" t="n"/>
      <c r="M1918" s="227" t="n"/>
      <c r="N1918" s="127" t="n"/>
      <c r="O1918" s="227" t="n"/>
      <c r="P1918" s="227" t="n"/>
      <c r="Q1918" s="227" t="n"/>
      <c r="R1918" s="227" t="n"/>
      <c r="S1918" s="227" t="n"/>
      <c r="T1918" s="227" t="n"/>
    </row>
    <row r="1919">
      <c r="A1919" s="145">
        <f>IF($B1919="","",ROW()-5)</f>
        <v/>
      </c>
      <c r="B1919" s="127" t="n"/>
      <c r="C1919" s="223" t="n"/>
      <c r="D1919" s="127" t="n"/>
      <c r="E1919" s="227" t="n"/>
      <c r="F1919" s="227" t="n"/>
      <c r="G1919" s="227" t="n"/>
      <c r="H1919" s="227" t="n"/>
      <c r="I1919" s="227" t="n"/>
      <c r="J1919" s="227" t="n"/>
      <c r="K1919" s="227" t="n"/>
      <c r="L1919" s="227" t="n"/>
      <c r="M1919" s="227" t="n"/>
      <c r="N1919" s="127" t="n"/>
      <c r="O1919" s="227" t="n"/>
      <c r="P1919" s="227" t="n"/>
      <c r="Q1919" s="227" t="n"/>
      <c r="R1919" s="227" t="n"/>
      <c r="S1919" s="227" t="n"/>
      <c r="T1919" s="227" t="n"/>
    </row>
    <row r="1920">
      <c r="A1920" s="145">
        <f>IF($B1920="","",ROW()-5)</f>
        <v/>
      </c>
      <c r="B1920" s="127" t="n"/>
      <c r="C1920" s="223" t="n"/>
      <c r="D1920" s="127" t="n"/>
      <c r="E1920" s="227" t="n"/>
      <c r="F1920" s="227" t="n"/>
      <c r="G1920" s="227" t="n"/>
      <c r="H1920" s="227" t="n"/>
      <c r="I1920" s="227" t="n"/>
      <c r="J1920" s="227" t="n"/>
      <c r="K1920" s="227" t="n"/>
      <c r="L1920" s="227" t="n"/>
      <c r="M1920" s="227" t="n"/>
      <c r="N1920" s="127" t="n"/>
      <c r="O1920" s="227" t="n"/>
      <c r="P1920" s="227" t="n"/>
      <c r="Q1920" s="227" t="n"/>
      <c r="R1920" s="227" t="n"/>
      <c r="S1920" s="227" t="n"/>
      <c r="T1920" s="227" t="n"/>
    </row>
    <row r="1921">
      <c r="A1921" s="145">
        <f>IF($B1921="","",ROW()-5)</f>
        <v/>
      </c>
      <c r="B1921" s="127" t="n"/>
      <c r="C1921" s="223" t="n"/>
      <c r="D1921" s="127" t="n"/>
      <c r="E1921" s="227" t="n"/>
      <c r="F1921" s="227" t="n"/>
      <c r="G1921" s="227" t="n"/>
      <c r="H1921" s="227" t="n"/>
      <c r="I1921" s="227" t="n"/>
      <c r="J1921" s="227" t="n"/>
      <c r="K1921" s="227" t="n"/>
      <c r="L1921" s="227" t="n"/>
      <c r="M1921" s="227" t="n"/>
      <c r="N1921" s="127" t="n"/>
      <c r="O1921" s="227" t="n"/>
      <c r="P1921" s="227" t="n"/>
      <c r="Q1921" s="227" t="n"/>
      <c r="R1921" s="227" t="n"/>
      <c r="S1921" s="227" t="n"/>
      <c r="T1921" s="227" t="n"/>
    </row>
    <row r="1922">
      <c r="A1922" s="145">
        <f>IF($B1922="","",ROW()-5)</f>
        <v/>
      </c>
      <c r="B1922" s="127" t="n"/>
      <c r="C1922" s="223" t="n"/>
      <c r="D1922" s="127" t="n"/>
      <c r="E1922" s="227" t="n"/>
      <c r="F1922" s="227" t="n"/>
      <c r="G1922" s="227" t="n"/>
      <c r="H1922" s="227" t="n"/>
      <c r="I1922" s="227" t="n"/>
      <c r="J1922" s="227" t="n"/>
      <c r="K1922" s="227" t="n"/>
      <c r="L1922" s="227" t="n"/>
      <c r="M1922" s="227" t="n"/>
      <c r="N1922" s="127" t="n"/>
      <c r="O1922" s="227" t="n"/>
      <c r="P1922" s="227" t="n"/>
      <c r="Q1922" s="227" t="n"/>
      <c r="R1922" s="227" t="n"/>
      <c r="S1922" s="227" t="n"/>
      <c r="T1922" s="227" t="n"/>
    </row>
    <row r="1923">
      <c r="A1923" s="145">
        <f>IF($B1923="","",ROW()-5)</f>
        <v/>
      </c>
      <c r="B1923" s="127" t="n"/>
      <c r="C1923" s="223" t="n"/>
      <c r="D1923" s="127" t="n"/>
      <c r="E1923" s="227" t="n"/>
      <c r="F1923" s="227" t="n"/>
      <c r="G1923" s="227" t="n"/>
      <c r="H1923" s="227" t="n"/>
      <c r="I1923" s="227" t="n"/>
      <c r="J1923" s="227" t="n"/>
      <c r="K1923" s="227" t="n"/>
      <c r="L1923" s="227" t="n"/>
      <c r="M1923" s="227" t="n"/>
      <c r="N1923" s="127" t="n"/>
      <c r="O1923" s="227" t="n"/>
      <c r="P1923" s="227" t="n"/>
      <c r="Q1923" s="227" t="n"/>
      <c r="R1923" s="227" t="n"/>
      <c r="S1923" s="227" t="n"/>
      <c r="T1923" s="227" t="n"/>
    </row>
    <row r="1924">
      <c r="A1924" s="145">
        <f>IF($B1924="","",ROW()-5)</f>
        <v/>
      </c>
      <c r="B1924" s="127" t="n"/>
      <c r="C1924" s="223" t="n"/>
      <c r="D1924" s="127" t="n"/>
      <c r="E1924" s="227" t="n"/>
      <c r="F1924" s="227" t="n"/>
      <c r="G1924" s="227" t="n"/>
      <c r="H1924" s="227" t="n"/>
      <c r="I1924" s="227" t="n"/>
      <c r="J1924" s="227" t="n"/>
      <c r="K1924" s="227" t="n"/>
      <c r="L1924" s="227" t="n"/>
      <c r="M1924" s="227" t="n"/>
      <c r="N1924" s="127" t="n"/>
      <c r="O1924" s="227" t="n"/>
      <c r="P1924" s="227" t="n"/>
      <c r="Q1924" s="227" t="n"/>
      <c r="R1924" s="227" t="n"/>
      <c r="S1924" s="227" t="n"/>
      <c r="T1924" s="227" t="n"/>
    </row>
    <row r="1925">
      <c r="A1925" s="145">
        <f>IF($B1925="","",ROW()-5)</f>
        <v/>
      </c>
      <c r="B1925" s="127" t="n"/>
      <c r="C1925" s="223" t="n"/>
      <c r="D1925" s="127" t="n"/>
      <c r="E1925" s="227" t="n"/>
      <c r="F1925" s="227" t="n"/>
      <c r="G1925" s="227" t="n"/>
      <c r="H1925" s="227" t="n"/>
      <c r="I1925" s="227" t="n"/>
      <c r="J1925" s="227" t="n"/>
      <c r="K1925" s="227" t="n"/>
      <c r="L1925" s="227" t="n"/>
      <c r="M1925" s="227" t="n"/>
      <c r="N1925" s="127" t="n"/>
      <c r="O1925" s="227" t="n"/>
      <c r="P1925" s="227" t="n"/>
      <c r="Q1925" s="227" t="n"/>
      <c r="R1925" s="227" t="n"/>
      <c r="S1925" s="227" t="n"/>
      <c r="T1925" s="227" t="n"/>
    </row>
    <row r="1926">
      <c r="A1926" s="145">
        <f>IF($B1926="","",ROW()-5)</f>
        <v/>
      </c>
      <c r="B1926" s="127" t="n"/>
      <c r="C1926" s="223" t="n"/>
      <c r="D1926" s="127" t="n"/>
      <c r="E1926" s="227" t="n"/>
      <c r="F1926" s="227" t="n"/>
      <c r="G1926" s="227" t="n"/>
      <c r="H1926" s="227" t="n"/>
      <c r="I1926" s="227" t="n"/>
      <c r="J1926" s="227" t="n"/>
      <c r="K1926" s="227" t="n"/>
      <c r="L1926" s="227" t="n"/>
      <c r="M1926" s="227" t="n"/>
      <c r="N1926" s="127" t="n"/>
      <c r="O1926" s="227" t="n"/>
      <c r="P1926" s="227" t="n"/>
      <c r="Q1926" s="227" t="n"/>
      <c r="R1926" s="227" t="n"/>
      <c r="S1926" s="227" t="n"/>
      <c r="T1926" s="227" t="n"/>
    </row>
    <row r="1927">
      <c r="A1927" s="145">
        <f>IF($B1927="","",ROW()-5)</f>
        <v/>
      </c>
      <c r="B1927" s="127" t="n"/>
      <c r="C1927" s="223" t="n"/>
      <c r="D1927" s="127" t="n"/>
      <c r="E1927" s="227" t="n"/>
      <c r="F1927" s="227" t="n"/>
      <c r="G1927" s="227" t="n"/>
      <c r="H1927" s="227" t="n"/>
      <c r="I1927" s="227" t="n"/>
      <c r="J1927" s="227" t="n"/>
      <c r="K1927" s="227" t="n"/>
      <c r="L1927" s="227" t="n"/>
      <c r="M1927" s="227" t="n"/>
      <c r="N1927" s="127" t="n"/>
      <c r="O1927" s="227" t="n"/>
      <c r="P1927" s="227" t="n"/>
      <c r="Q1927" s="227" t="n"/>
      <c r="R1927" s="227" t="n"/>
      <c r="S1927" s="227" t="n"/>
      <c r="T1927" s="227" t="n"/>
    </row>
    <row r="1928">
      <c r="A1928" s="145">
        <f>IF($B1928="","",ROW()-5)</f>
        <v/>
      </c>
      <c r="B1928" s="127" t="n"/>
      <c r="C1928" s="223" t="n"/>
      <c r="D1928" s="127" t="n"/>
      <c r="E1928" s="227" t="n"/>
      <c r="F1928" s="227" t="n"/>
      <c r="G1928" s="227" t="n"/>
      <c r="H1928" s="227" t="n"/>
      <c r="I1928" s="227" t="n"/>
      <c r="J1928" s="227" t="n"/>
      <c r="K1928" s="227" t="n"/>
      <c r="L1928" s="227" t="n"/>
      <c r="M1928" s="227" t="n"/>
      <c r="N1928" s="127" t="n"/>
      <c r="O1928" s="227" t="n"/>
      <c r="P1928" s="227" t="n"/>
      <c r="Q1928" s="227" t="n"/>
      <c r="R1928" s="227" t="n"/>
      <c r="S1928" s="227" t="n"/>
      <c r="T1928" s="227" t="n"/>
    </row>
    <row r="1929">
      <c r="A1929" s="145">
        <f>IF($B1929="","",ROW()-5)</f>
        <v/>
      </c>
      <c r="B1929" s="127" t="n"/>
      <c r="C1929" s="223" t="n"/>
      <c r="D1929" s="127" t="n"/>
      <c r="E1929" s="227" t="n"/>
      <c r="F1929" s="227" t="n"/>
      <c r="G1929" s="227" t="n"/>
      <c r="H1929" s="227" t="n"/>
      <c r="I1929" s="227" t="n"/>
      <c r="J1929" s="227" t="n"/>
      <c r="K1929" s="227" t="n"/>
      <c r="L1929" s="227" t="n"/>
      <c r="M1929" s="227" t="n"/>
      <c r="N1929" s="127" t="n"/>
      <c r="O1929" s="227" t="n"/>
      <c r="P1929" s="227" t="n"/>
      <c r="Q1929" s="227" t="n"/>
      <c r="R1929" s="227" t="n"/>
      <c r="S1929" s="227" t="n"/>
      <c r="T1929" s="227" t="n"/>
    </row>
    <row r="1930">
      <c r="A1930" s="145">
        <f>IF($B1930="","",ROW()-5)</f>
        <v/>
      </c>
      <c r="B1930" s="127" t="n"/>
      <c r="C1930" s="223" t="n"/>
      <c r="D1930" s="127" t="n"/>
      <c r="E1930" s="227" t="n"/>
      <c r="F1930" s="227" t="n"/>
      <c r="G1930" s="227" t="n"/>
      <c r="H1930" s="227" t="n"/>
      <c r="I1930" s="227" t="n"/>
      <c r="J1930" s="227" t="n"/>
      <c r="K1930" s="227" t="n"/>
      <c r="L1930" s="227" t="n"/>
      <c r="M1930" s="227" t="n"/>
      <c r="N1930" s="127" t="n"/>
      <c r="O1930" s="227" t="n"/>
      <c r="P1930" s="227" t="n"/>
      <c r="Q1930" s="227" t="n"/>
      <c r="R1930" s="227" t="n"/>
      <c r="S1930" s="227" t="n"/>
      <c r="T1930" s="227" t="n"/>
    </row>
    <row r="1931">
      <c r="A1931" s="145">
        <f>IF($B1931="","",ROW()-5)</f>
        <v/>
      </c>
      <c r="B1931" s="127" t="n"/>
      <c r="C1931" s="223" t="n"/>
      <c r="D1931" s="127" t="n"/>
      <c r="E1931" s="227" t="n"/>
      <c r="F1931" s="227" t="n"/>
      <c r="G1931" s="227" t="n"/>
      <c r="H1931" s="227" t="n"/>
      <c r="I1931" s="227" t="n"/>
      <c r="J1931" s="227" t="n"/>
      <c r="K1931" s="227" t="n"/>
      <c r="L1931" s="227" t="n"/>
      <c r="M1931" s="227" t="n"/>
      <c r="N1931" s="127" t="n"/>
      <c r="O1931" s="227" t="n"/>
      <c r="P1931" s="227" t="n"/>
      <c r="Q1931" s="227" t="n"/>
      <c r="R1931" s="227" t="n"/>
      <c r="S1931" s="227" t="n"/>
      <c r="T1931" s="227" t="n"/>
    </row>
    <row r="1932">
      <c r="A1932" s="145">
        <f>IF($B1932="","",ROW()-5)</f>
        <v/>
      </c>
      <c r="B1932" s="127" t="n"/>
      <c r="C1932" s="223" t="n"/>
      <c r="D1932" s="127" t="n"/>
      <c r="E1932" s="227" t="n"/>
      <c r="F1932" s="227" t="n"/>
      <c r="G1932" s="227" t="n"/>
      <c r="H1932" s="227" t="n"/>
      <c r="I1932" s="227" t="n"/>
      <c r="J1932" s="227" t="n"/>
      <c r="K1932" s="227" t="n"/>
      <c r="L1932" s="227" t="n"/>
      <c r="M1932" s="227" t="n"/>
      <c r="N1932" s="127" t="n"/>
      <c r="O1932" s="227" t="n"/>
      <c r="P1932" s="227" t="n"/>
      <c r="Q1932" s="227" t="n"/>
      <c r="R1932" s="227" t="n"/>
      <c r="S1932" s="227" t="n"/>
      <c r="T1932" s="227" t="n"/>
    </row>
    <row r="1933">
      <c r="A1933" s="145">
        <f>IF($B1933="","",ROW()-5)</f>
        <v/>
      </c>
      <c r="B1933" s="127" t="n"/>
      <c r="C1933" s="223" t="n"/>
      <c r="D1933" s="127" t="n"/>
      <c r="E1933" s="227" t="n"/>
      <c r="F1933" s="227" t="n"/>
      <c r="G1933" s="227" t="n"/>
      <c r="H1933" s="227" t="n"/>
      <c r="I1933" s="227" t="n"/>
      <c r="J1933" s="227" t="n"/>
      <c r="K1933" s="227" t="n"/>
      <c r="L1933" s="227" t="n"/>
      <c r="M1933" s="227" t="n"/>
      <c r="N1933" s="127" t="n"/>
      <c r="O1933" s="227" t="n"/>
      <c r="P1933" s="227" t="n"/>
      <c r="Q1933" s="227" t="n"/>
      <c r="R1933" s="227" t="n"/>
      <c r="S1933" s="227" t="n"/>
      <c r="T1933" s="227" t="n"/>
    </row>
    <row r="1934">
      <c r="A1934" s="145">
        <f>IF($B1934="","",ROW()-5)</f>
        <v/>
      </c>
      <c r="B1934" s="127" t="n"/>
      <c r="C1934" s="223" t="n"/>
      <c r="D1934" s="127" t="n"/>
      <c r="E1934" s="227" t="n"/>
      <c r="F1934" s="227" t="n"/>
      <c r="G1934" s="227" t="n"/>
      <c r="H1934" s="227" t="n"/>
      <c r="I1934" s="227" t="n"/>
      <c r="J1934" s="227" t="n"/>
      <c r="K1934" s="227" t="n"/>
      <c r="L1934" s="227" t="n"/>
      <c r="M1934" s="227" t="n"/>
      <c r="N1934" s="127" t="n"/>
      <c r="O1934" s="227" t="n"/>
      <c r="P1934" s="227" t="n"/>
      <c r="Q1934" s="227" t="n"/>
      <c r="R1934" s="227" t="n"/>
      <c r="S1934" s="227" t="n"/>
      <c r="T1934" s="227" t="n"/>
    </row>
    <row r="1935">
      <c r="A1935" s="145">
        <f>IF($B1935="","",ROW()-5)</f>
        <v/>
      </c>
      <c r="B1935" s="127" t="n"/>
      <c r="C1935" s="223" t="n"/>
      <c r="D1935" s="127" t="n"/>
      <c r="E1935" s="227" t="n"/>
      <c r="F1935" s="227" t="n"/>
      <c r="G1935" s="227" t="n"/>
      <c r="H1935" s="227" t="n"/>
      <c r="I1935" s="227" t="n"/>
      <c r="J1935" s="227" t="n"/>
      <c r="K1935" s="227" t="n"/>
      <c r="L1935" s="227" t="n"/>
      <c r="M1935" s="227" t="n"/>
      <c r="N1935" s="127" t="n"/>
      <c r="O1935" s="227" t="n"/>
      <c r="P1935" s="227" t="n"/>
      <c r="Q1935" s="227" t="n"/>
      <c r="R1935" s="227" t="n"/>
      <c r="S1935" s="227" t="n"/>
      <c r="T1935" s="227" t="n"/>
    </row>
    <row r="1936">
      <c r="A1936" s="145">
        <f>IF($B1936="","",ROW()-5)</f>
        <v/>
      </c>
      <c r="B1936" s="127" t="n"/>
      <c r="C1936" s="223" t="n"/>
      <c r="D1936" s="127" t="n"/>
      <c r="E1936" s="227" t="n"/>
      <c r="F1936" s="227" t="n"/>
      <c r="G1936" s="227" t="n"/>
      <c r="H1936" s="227" t="n"/>
      <c r="I1936" s="227" t="n"/>
      <c r="J1936" s="227" t="n"/>
      <c r="K1936" s="227" t="n"/>
      <c r="L1936" s="227" t="n"/>
      <c r="M1936" s="227" t="n"/>
      <c r="N1936" s="127" t="n"/>
      <c r="O1936" s="227" t="n"/>
      <c r="P1936" s="227" t="n"/>
      <c r="Q1936" s="227" t="n"/>
      <c r="R1936" s="227" t="n"/>
      <c r="S1936" s="227" t="n"/>
      <c r="T1936" s="227" t="n"/>
    </row>
    <row r="1937">
      <c r="A1937" s="145">
        <f>IF($B1937="","",ROW()-5)</f>
        <v/>
      </c>
      <c r="B1937" s="127" t="n"/>
      <c r="C1937" s="223" t="n"/>
      <c r="D1937" s="127" t="n"/>
      <c r="E1937" s="227" t="n"/>
      <c r="F1937" s="227" t="n"/>
      <c r="G1937" s="227" t="n"/>
      <c r="H1937" s="227" t="n"/>
      <c r="I1937" s="227" t="n"/>
      <c r="J1937" s="227" t="n"/>
      <c r="K1937" s="227" t="n"/>
      <c r="L1937" s="227" t="n"/>
      <c r="M1937" s="227" t="n"/>
      <c r="N1937" s="127" t="n"/>
      <c r="O1937" s="227" t="n"/>
      <c r="P1937" s="227" t="n"/>
      <c r="Q1937" s="227" t="n"/>
      <c r="R1937" s="227" t="n"/>
      <c r="S1937" s="227" t="n"/>
      <c r="T1937" s="227" t="n"/>
    </row>
    <row r="1938">
      <c r="A1938" s="145">
        <f>IF($B1938="","",ROW()-5)</f>
        <v/>
      </c>
      <c r="B1938" s="127" t="n"/>
      <c r="C1938" s="223" t="n"/>
      <c r="D1938" s="127" t="n"/>
      <c r="E1938" s="227" t="n"/>
      <c r="F1938" s="227" t="n"/>
      <c r="G1938" s="227" t="n"/>
      <c r="H1938" s="227" t="n"/>
      <c r="I1938" s="227" t="n"/>
      <c r="J1938" s="227" t="n"/>
      <c r="K1938" s="227" t="n"/>
      <c r="L1938" s="227" t="n"/>
      <c r="M1938" s="227" t="n"/>
      <c r="N1938" s="127" t="n"/>
      <c r="O1938" s="227" t="n"/>
      <c r="P1938" s="227" t="n"/>
      <c r="Q1938" s="227" t="n"/>
      <c r="R1938" s="227" t="n"/>
      <c r="S1938" s="227" t="n"/>
      <c r="T1938" s="227" t="n"/>
    </row>
    <row r="1939">
      <c r="A1939" s="145">
        <f>IF($B1939="","",ROW()-5)</f>
        <v/>
      </c>
      <c r="B1939" s="127" t="n"/>
      <c r="C1939" s="223" t="n"/>
      <c r="D1939" s="127" t="n"/>
      <c r="E1939" s="227" t="n"/>
      <c r="F1939" s="227" t="n"/>
      <c r="G1939" s="227" t="n"/>
      <c r="H1939" s="227" t="n"/>
      <c r="I1939" s="227" t="n"/>
      <c r="J1939" s="227" t="n"/>
      <c r="K1939" s="227" t="n"/>
      <c r="L1939" s="227" t="n"/>
      <c r="M1939" s="227" t="n"/>
      <c r="N1939" s="127" t="n"/>
      <c r="O1939" s="227" t="n"/>
      <c r="P1939" s="227" t="n"/>
      <c r="Q1939" s="227" t="n"/>
      <c r="R1939" s="227" t="n"/>
      <c r="S1939" s="227" t="n"/>
      <c r="T1939" s="227" t="n"/>
    </row>
    <row r="1940">
      <c r="A1940" s="145">
        <f>IF($B1940="","",ROW()-5)</f>
        <v/>
      </c>
      <c r="B1940" s="127" t="n"/>
      <c r="C1940" s="223" t="n"/>
      <c r="D1940" s="127" t="n"/>
      <c r="E1940" s="227" t="n"/>
      <c r="F1940" s="227" t="n"/>
      <c r="G1940" s="227" t="n"/>
      <c r="H1940" s="227" t="n"/>
      <c r="I1940" s="227" t="n"/>
      <c r="J1940" s="227" t="n"/>
      <c r="K1940" s="227" t="n"/>
      <c r="L1940" s="227" t="n"/>
      <c r="M1940" s="227" t="n"/>
      <c r="N1940" s="127" t="n"/>
      <c r="O1940" s="227" t="n"/>
      <c r="P1940" s="227" t="n"/>
      <c r="Q1940" s="227" t="n"/>
      <c r="R1940" s="227" t="n"/>
      <c r="S1940" s="227" t="n"/>
      <c r="T1940" s="227" t="n"/>
    </row>
    <row r="1941">
      <c r="A1941" s="145">
        <f>IF($B1941="","",ROW()-5)</f>
        <v/>
      </c>
      <c r="B1941" s="127" t="n"/>
      <c r="C1941" s="223" t="n"/>
      <c r="D1941" s="127" t="n"/>
      <c r="E1941" s="227" t="n"/>
      <c r="F1941" s="227" t="n"/>
      <c r="G1941" s="227" t="n"/>
      <c r="H1941" s="227" t="n"/>
      <c r="I1941" s="227" t="n"/>
      <c r="J1941" s="227" t="n"/>
      <c r="K1941" s="227" t="n"/>
      <c r="L1941" s="227" t="n"/>
      <c r="M1941" s="227" t="n"/>
      <c r="N1941" s="127" t="n"/>
      <c r="O1941" s="227" t="n"/>
      <c r="P1941" s="227" t="n"/>
      <c r="Q1941" s="227" t="n"/>
      <c r="R1941" s="227" t="n"/>
      <c r="S1941" s="227" t="n"/>
      <c r="T1941" s="227" t="n"/>
    </row>
    <row r="1942">
      <c r="A1942" s="145">
        <f>IF($B1942="","",ROW()-5)</f>
        <v/>
      </c>
      <c r="B1942" s="127" t="n"/>
      <c r="C1942" s="223" t="n"/>
      <c r="D1942" s="127" t="n"/>
      <c r="E1942" s="227" t="n"/>
      <c r="F1942" s="227" t="n"/>
      <c r="G1942" s="227" t="n"/>
      <c r="H1942" s="227" t="n"/>
      <c r="I1942" s="227" t="n"/>
      <c r="J1942" s="227" t="n"/>
      <c r="K1942" s="227" t="n"/>
      <c r="L1942" s="227" t="n"/>
      <c r="M1942" s="227" t="n"/>
      <c r="N1942" s="127" t="n"/>
      <c r="O1942" s="227" t="n"/>
      <c r="P1942" s="227" t="n"/>
      <c r="Q1942" s="227" t="n"/>
      <c r="R1942" s="227" t="n"/>
      <c r="S1942" s="227" t="n"/>
      <c r="T1942" s="227" t="n"/>
    </row>
    <row r="1943">
      <c r="A1943" s="145">
        <f>IF($B1943="","",ROW()-5)</f>
        <v/>
      </c>
      <c r="B1943" s="127" t="n"/>
      <c r="C1943" s="223" t="n"/>
      <c r="D1943" s="127" t="n"/>
      <c r="E1943" s="227" t="n"/>
      <c r="F1943" s="227" t="n"/>
      <c r="G1943" s="227" t="n"/>
      <c r="H1943" s="227" t="n"/>
      <c r="I1943" s="227" t="n"/>
      <c r="J1943" s="227" t="n"/>
      <c r="K1943" s="227" t="n"/>
      <c r="L1943" s="227" t="n"/>
      <c r="M1943" s="227" t="n"/>
      <c r="N1943" s="127" t="n"/>
      <c r="O1943" s="227" t="n"/>
      <c r="P1943" s="227" t="n"/>
      <c r="Q1943" s="227" t="n"/>
      <c r="R1943" s="227" t="n"/>
      <c r="S1943" s="227" t="n"/>
      <c r="T1943" s="227" t="n"/>
    </row>
    <row r="1944">
      <c r="A1944" s="145">
        <f>IF($B1944="","",ROW()-5)</f>
        <v/>
      </c>
      <c r="B1944" s="127" t="n"/>
      <c r="C1944" s="223" t="n"/>
      <c r="D1944" s="127" t="n"/>
      <c r="E1944" s="227" t="n"/>
      <c r="F1944" s="227" t="n"/>
      <c r="G1944" s="227" t="n"/>
      <c r="H1944" s="227" t="n"/>
      <c r="I1944" s="227" t="n"/>
      <c r="J1944" s="227" t="n"/>
      <c r="K1944" s="227" t="n"/>
      <c r="L1944" s="227" t="n"/>
      <c r="M1944" s="227" t="n"/>
      <c r="N1944" s="127" t="n"/>
      <c r="O1944" s="227" t="n"/>
      <c r="P1944" s="227" t="n"/>
      <c r="Q1944" s="227" t="n"/>
      <c r="R1944" s="227" t="n"/>
      <c r="S1944" s="227" t="n"/>
      <c r="T1944" s="227" t="n"/>
    </row>
    <row r="1945">
      <c r="A1945" s="145">
        <f>IF($B1945="","",ROW()-5)</f>
        <v/>
      </c>
      <c r="B1945" s="127" t="n"/>
      <c r="C1945" s="223" t="n"/>
      <c r="D1945" s="127" t="n"/>
      <c r="E1945" s="227" t="n"/>
      <c r="F1945" s="227" t="n"/>
      <c r="G1945" s="227" t="n"/>
      <c r="H1945" s="227" t="n"/>
      <c r="I1945" s="227" t="n"/>
      <c r="J1945" s="227" t="n"/>
      <c r="K1945" s="227" t="n"/>
      <c r="L1945" s="227" t="n"/>
      <c r="M1945" s="227" t="n"/>
      <c r="N1945" s="127" t="n"/>
      <c r="O1945" s="227" t="n"/>
      <c r="P1945" s="227" t="n"/>
      <c r="Q1945" s="227" t="n"/>
      <c r="R1945" s="227" t="n"/>
      <c r="S1945" s="227" t="n"/>
      <c r="T1945" s="227" t="n"/>
    </row>
    <row r="1946">
      <c r="A1946" s="145">
        <f>IF($B1946="","",ROW()-5)</f>
        <v/>
      </c>
      <c r="B1946" s="127" t="n"/>
      <c r="C1946" s="223" t="n"/>
      <c r="D1946" s="127" t="n"/>
      <c r="E1946" s="227" t="n"/>
      <c r="F1946" s="227" t="n"/>
      <c r="G1946" s="227" t="n"/>
      <c r="H1946" s="227" t="n"/>
      <c r="I1946" s="227" t="n"/>
      <c r="J1946" s="227" t="n"/>
      <c r="K1946" s="227" t="n"/>
      <c r="L1946" s="227" t="n"/>
      <c r="M1946" s="227" t="n"/>
      <c r="N1946" s="127" t="n"/>
      <c r="O1946" s="227" t="n"/>
      <c r="P1946" s="227" t="n"/>
      <c r="Q1946" s="227" t="n"/>
      <c r="R1946" s="227" t="n"/>
      <c r="S1946" s="227" t="n"/>
      <c r="T1946" s="227" t="n"/>
    </row>
    <row r="1947">
      <c r="A1947" s="145">
        <f>IF($B1947="","",ROW()-5)</f>
        <v/>
      </c>
      <c r="B1947" s="127" t="n"/>
      <c r="C1947" s="223" t="n"/>
      <c r="D1947" s="127" t="n"/>
      <c r="E1947" s="227" t="n"/>
      <c r="F1947" s="227" t="n"/>
      <c r="G1947" s="227" t="n"/>
      <c r="H1947" s="227" t="n"/>
      <c r="I1947" s="227" t="n"/>
      <c r="J1947" s="227" t="n"/>
      <c r="K1947" s="227" t="n"/>
      <c r="L1947" s="227" t="n"/>
      <c r="M1947" s="227" t="n"/>
      <c r="N1947" s="127" t="n"/>
      <c r="O1947" s="227" t="n"/>
      <c r="P1947" s="227" t="n"/>
      <c r="Q1947" s="227" t="n"/>
      <c r="R1947" s="227" t="n"/>
      <c r="S1947" s="227" t="n"/>
      <c r="T1947" s="227" t="n"/>
    </row>
    <row r="1948">
      <c r="A1948" s="145">
        <f>IF($B1948="","",ROW()-5)</f>
        <v/>
      </c>
      <c r="B1948" s="127" t="n"/>
      <c r="C1948" s="223" t="n"/>
      <c r="D1948" s="127" t="n"/>
      <c r="E1948" s="227" t="n"/>
      <c r="F1948" s="227" t="n"/>
      <c r="G1948" s="227" t="n"/>
      <c r="H1948" s="227" t="n"/>
      <c r="I1948" s="227" t="n"/>
      <c r="J1948" s="227" t="n"/>
      <c r="K1948" s="227" t="n"/>
      <c r="L1948" s="227" t="n"/>
      <c r="M1948" s="227" t="n"/>
      <c r="N1948" s="127" t="n"/>
      <c r="O1948" s="227" t="n"/>
      <c r="P1948" s="227" t="n"/>
      <c r="Q1948" s="227" t="n"/>
      <c r="R1948" s="227" t="n"/>
      <c r="S1948" s="227" t="n"/>
      <c r="T1948" s="227" t="n"/>
    </row>
    <row r="1949">
      <c r="A1949" s="145">
        <f>IF($B1949="","",ROW()-5)</f>
        <v/>
      </c>
      <c r="B1949" s="127" t="n"/>
      <c r="C1949" s="223" t="n"/>
      <c r="D1949" s="127" t="n"/>
      <c r="E1949" s="227" t="n"/>
      <c r="F1949" s="227" t="n"/>
      <c r="G1949" s="227" t="n"/>
      <c r="H1949" s="227" t="n"/>
      <c r="I1949" s="227" t="n"/>
      <c r="J1949" s="227" t="n"/>
      <c r="K1949" s="227" t="n"/>
      <c r="L1949" s="227" t="n"/>
      <c r="M1949" s="227" t="n"/>
      <c r="N1949" s="127" t="n"/>
      <c r="O1949" s="227" t="n"/>
      <c r="P1949" s="227" t="n"/>
      <c r="Q1949" s="227" t="n"/>
      <c r="R1949" s="227" t="n"/>
      <c r="S1949" s="227" t="n"/>
      <c r="T1949" s="227" t="n"/>
    </row>
    <row r="1950">
      <c r="A1950" s="145">
        <f>IF($B1950="","",ROW()-5)</f>
        <v/>
      </c>
      <c r="B1950" s="127" t="n"/>
      <c r="C1950" s="223" t="n"/>
      <c r="D1950" s="127" t="n"/>
      <c r="E1950" s="227" t="n"/>
      <c r="F1950" s="227" t="n"/>
      <c r="G1950" s="227" t="n"/>
      <c r="H1950" s="227" t="n"/>
      <c r="I1950" s="227" t="n"/>
      <c r="J1950" s="227" t="n"/>
      <c r="K1950" s="227" t="n"/>
      <c r="L1950" s="227" t="n"/>
      <c r="M1950" s="227" t="n"/>
      <c r="N1950" s="127" t="n"/>
      <c r="O1950" s="227" t="n"/>
      <c r="P1950" s="227" t="n"/>
      <c r="Q1950" s="227" t="n"/>
      <c r="R1950" s="227" t="n"/>
      <c r="S1950" s="227" t="n"/>
      <c r="T1950" s="227" t="n"/>
    </row>
    <row r="1951">
      <c r="A1951" s="145">
        <f>IF($B1951="","",ROW()-5)</f>
        <v/>
      </c>
      <c r="B1951" s="127" t="n"/>
      <c r="C1951" s="223" t="n"/>
      <c r="D1951" s="127" t="n"/>
      <c r="E1951" s="227" t="n"/>
      <c r="F1951" s="227" t="n"/>
      <c r="G1951" s="227" t="n"/>
      <c r="H1951" s="227" t="n"/>
      <c r="I1951" s="227" t="n"/>
      <c r="J1951" s="227" t="n"/>
      <c r="K1951" s="227" t="n"/>
      <c r="L1951" s="227" t="n"/>
      <c r="M1951" s="227" t="n"/>
      <c r="N1951" s="127" t="n"/>
      <c r="O1951" s="227" t="n"/>
      <c r="P1951" s="227" t="n"/>
      <c r="Q1951" s="227" t="n"/>
      <c r="R1951" s="227" t="n"/>
      <c r="S1951" s="227" t="n"/>
      <c r="T1951" s="227" t="n"/>
    </row>
    <row r="1952">
      <c r="A1952" s="145">
        <f>IF($B1952="","",ROW()-5)</f>
        <v/>
      </c>
      <c r="B1952" s="127" t="n"/>
      <c r="C1952" s="223" t="n"/>
      <c r="D1952" s="127" t="n"/>
      <c r="E1952" s="227" t="n"/>
      <c r="F1952" s="227" t="n"/>
      <c r="G1952" s="227" t="n"/>
      <c r="H1952" s="227" t="n"/>
      <c r="I1952" s="227" t="n"/>
      <c r="J1952" s="227" t="n"/>
      <c r="K1952" s="227" t="n"/>
      <c r="L1952" s="227" t="n"/>
      <c r="M1952" s="227" t="n"/>
      <c r="N1952" s="127" t="n"/>
      <c r="O1952" s="227" t="n"/>
      <c r="P1952" s="227" t="n"/>
      <c r="Q1952" s="227" t="n"/>
      <c r="R1952" s="227" t="n"/>
      <c r="S1952" s="227" t="n"/>
      <c r="T1952" s="227" t="n"/>
    </row>
    <row r="1953">
      <c r="A1953" s="145">
        <f>IF($B1953="","",ROW()-5)</f>
        <v/>
      </c>
      <c r="B1953" s="127" t="n"/>
      <c r="C1953" s="223" t="n"/>
      <c r="D1953" s="127" t="n"/>
      <c r="E1953" s="227" t="n"/>
      <c r="F1953" s="227" t="n"/>
      <c r="G1953" s="227" t="n"/>
      <c r="H1953" s="227" t="n"/>
      <c r="I1953" s="227" t="n"/>
      <c r="J1953" s="227" t="n"/>
      <c r="K1953" s="227" t="n"/>
      <c r="L1953" s="227" t="n"/>
      <c r="M1953" s="227" t="n"/>
      <c r="N1953" s="127" t="n"/>
      <c r="O1953" s="227" t="n"/>
      <c r="P1953" s="227" t="n"/>
      <c r="Q1953" s="227" t="n"/>
      <c r="R1953" s="227" t="n"/>
      <c r="S1953" s="227" t="n"/>
      <c r="T1953" s="227" t="n"/>
    </row>
    <row r="1954">
      <c r="A1954" s="145">
        <f>IF($B1954="","",ROW()-5)</f>
        <v/>
      </c>
      <c r="B1954" s="127" t="n"/>
      <c r="C1954" s="223" t="n"/>
      <c r="D1954" s="127" t="n"/>
      <c r="E1954" s="227" t="n"/>
      <c r="F1954" s="227" t="n"/>
      <c r="G1954" s="227" t="n"/>
      <c r="H1954" s="227" t="n"/>
      <c r="I1954" s="227" t="n"/>
      <c r="J1954" s="227" t="n"/>
      <c r="K1954" s="227" t="n"/>
      <c r="L1954" s="227" t="n"/>
      <c r="M1954" s="227" t="n"/>
      <c r="N1954" s="127" t="n"/>
      <c r="O1954" s="227" t="n"/>
      <c r="P1954" s="227" t="n"/>
      <c r="Q1954" s="227" t="n"/>
      <c r="R1954" s="227" t="n"/>
      <c r="S1954" s="227" t="n"/>
      <c r="T1954" s="227" t="n"/>
    </row>
    <row r="1955">
      <c r="A1955" s="145">
        <f>IF($B1955="","",ROW()-5)</f>
        <v/>
      </c>
      <c r="B1955" s="127" t="n"/>
      <c r="C1955" s="223" t="n"/>
      <c r="D1955" s="127" t="n"/>
      <c r="E1955" s="227" t="n"/>
      <c r="F1955" s="227" t="n"/>
      <c r="G1955" s="227" t="n"/>
      <c r="H1955" s="227" t="n"/>
      <c r="I1955" s="227" t="n"/>
      <c r="J1955" s="227" t="n"/>
      <c r="K1955" s="227" t="n"/>
      <c r="L1955" s="227" t="n"/>
      <c r="M1955" s="227" t="n"/>
      <c r="N1955" s="127" t="n"/>
      <c r="O1955" s="227" t="n"/>
      <c r="P1955" s="227" t="n"/>
      <c r="Q1955" s="227" t="n"/>
      <c r="R1955" s="227" t="n"/>
      <c r="S1955" s="227" t="n"/>
      <c r="T1955" s="227" t="n"/>
    </row>
    <row r="1956">
      <c r="A1956" s="145">
        <f>IF($B1956="","",ROW()-5)</f>
        <v/>
      </c>
      <c r="B1956" s="127" t="n"/>
      <c r="C1956" s="223" t="n"/>
      <c r="D1956" s="127" t="n"/>
      <c r="E1956" s="227" t="n"/>
      <c r="F1956" s="227" t="n"/>
      <c r="G1956" s="227" t="n"/>
      <c r="H1956" s="227" t="n"/>
      <c r="I1956" s="227" t="n"/>
      <c r="J1956" s="227" t="n"/>
      <c r="K1956" s="227" t="n"/>
      <c r="L1956" s="227" t="n"/>
      <c r="M1956" s="227" t="n"/>
      <c r="N1956" s="127" t="n"/>
      <c r="O1956" s="227" t="n"/>
      <c r="P1956" s="227" t="n"/>
      <c r="Q1956" s="227" t="n"/>
      <c r="R1956" s="227" t="n"/>
      <c r="S1956" s="227" t="n"/>
      <c r="T1956" s="227" t="n"/>
    </row>
    <row r="1957">
      <c r="A1957" s="145">
        <f>IF($B1957="","",ROW()-5)</f>
        <v/>
      </c>
      <c r="B1957" s="127" t="n"/>
      <c r="C1957" s="223" t="n"/>
      <c r="D1957" s="127" t="n"/>
      <c r="E1957" s="227" t="n"/>
      <c r="F1957" s="227" t="n"/>
      <c r="G1957" s="227" t="n"/>
      <c r="H1957" s="227" t="n"/>
      <c r="I1957" s="227" t="n"/>
      <c r="J1957" s="227" t="n"/>
      <c r="K1957" s="227" t="n"/>
      <c r="L1957" s="227" t="n"/>
      <c r="M1957" s="227" t="n"/>
      <c r="N1957" s="127" t="n"/>
      <c r="O1957" s="227" t="n"/>
      <c r="P1957" s="227" t="n"/>
      <c r="Q1957" s="227" t="n"/>
      <c r="R1957" s="227" t="n"/>
      <c r="S1957" s="227" t="n"/>
      <c r="T1957" s="227" t="n"/>
    </row>
    <row r="1958">
      <c r="A1958" s="145">
        <f>IF($B1958="","",ROW()-5)</f>
        <v/>
      </c>
      <c r="B1958" s="127" t="n"/>
      <c r="C1958" s="223" t="n"/>
      <c r="D1958" s="127" t="n"/>
      <c r="E1958" s="227" t="n"/>
      <c r="F1958" s="227" t="n"/>
      <c r="G1958" s="227" t="n"/>
      <c r="H1958" s="227" t="n"/>
      <c r="I1958" s="227" t="n"/>
      <c r="J1958" s="227" t="n"/>
      <c r="K1958" s="227" t="n"/>
      <c r="L1958" s="227" t="n"/>
      <c r="M1958" s="227" t="n"/>
      <c r="N1958" s="127" t="n"/>
      <c r="O1958" s="227" t="n"/>
      <c r="P1958" s="227" t="n"/>
      <c r="Q1958" s="227" t="n"/>
      <c r="R1958" s="227" t="n"/>
      <c r="S1958" s="227" t="n"/>
      <c r="T1958" s="227" t="n"/>
    </row>
    <row r="1959">
      <c r="A1959" s="145">
        <f>IF($B1959="","",ROW()-5)</f>
        <v/>
      </c>
      <c r="B1959" s="127" t="n"/>
      <c r="C1959" s="223" t="n"/>
      <c r="D1959" s="127" t="n"/>
      <c r="E1959" s="227" t="n"/>
      <c r="F1959" s="227" t="n"/>
      <c r="G1959" s="227" t="n"/>
      <c r="H1959" s="227" t="n"/>
      <c r="I1959" s="227" t="n"/>
      <c r="J1959" s="227" t="n"/>
      <c r="K1959" s="227" t="n"/>
      <c r="L1959" s="227" t="n"/>
      <c r="M1959" s="227" t="n"/>
      <c r="N1959" s="127" t="n"/>
      <c r="O1959" s="227" t="n"/>
      <c r="P1959" s="227" t="n"/>
      <c r="Q1959" s="227" t="n"/>
      <c r="R1959" s="227" t="n"/>
      <c r="S1959" s="227" t="n"/>
      <c r="T1959" s="227" t="n"/>
    </row>
    <row r="1960">
      <c r="A1960" s="145">
        <f>IF($B1960="","",ROW()-5)</f>
        <v/>
      </c>
      <c r="B1960" s="127" t="n"/>
      <c r="C1960" s="223" t="n"/>
      <c r="D1960" s="127" t="n"/>
      <c r="E1960" s="227" t="n"/>
      <c r="F1960" s="227" t="n"/>
      <c r="G1960" s="227" t="n"/>
      <c r="H1960" s="227" t="n"/>
      <c r="I1960" s="227" t="n"/>
      <c r="J1960" s="227" t="n"/>
      <c r="K1960" s="227" t="n"/>
      <c r="L1960" s="227" t="n"/>
      <c r="M1960" s="227" t="n"/>
      <c r="N1960" s="127" t="n"/>
      <c r="O1960" s="227" t="n"/>
      <c r="P1960" s="227" t="n"/>
      <c r="Q1960" s="227" t="n"/>
      <c r="R1960" s="227" t="n"/>
      <c r="S1960" s="227" t="n"/>
      <c r="T1960" s="227" t="n"/>
    </row>
    <row r="1961">
      <c r="A1961" s="145">
        <f>IF($B1961="","",ROW()-5)</f>
        <v/>
      </c>
      <c r="B1961" s="127" t="n"/>
      <c r="C1961" s="223" t="n"/>
      <c r="D1961" s="127" t="n"/>
      <c r="E1961" s="227" t="n"/>
      <c r="F1961" s="227" t="n"/>
      <c r="G1961" s="227" t="n"/>
      <c r="H1961" s="227" t="n"/>
      <c r="I1961" s="227" t="n"/>
      <c r="J1961" s="227" t="n"/>
      <c r="K1961" s="227" t="n"/>
      <c r="L1961" s="227" t="n"/>
      <c r="M1961" s="227" t="n"/>
      <c r="N1961" s="127" t="n"/>
      <c r="O1961" s="227" t="n"/>
      <c r="P1961" s="227" t="n"/>
      <c r="Q1961" s="227" t="n"/>
      <c r="R1961" s="227" t="n"/>
      <c r="S1961" s="227" t="n"/>
      <c r="T1961" s="227" t="n"/>
    </row>
    <row r="1962">
      <c r="A1962" s="145">
        <f>IF($B1962="","",ROW()-5)</f>
        <v/>
      </c>
      <c r="B1962" s="127" t="n"/>
      <c r="C1962" s="223" t="n"/>
      <c r="D1962" s="127" t="n"/>
      <c r="E1962" s="227" t="n"/>
      <c r="F1962" s="227" t="n"/>
      <c r="G1962" s="227" t="n"/>
      <c r="H1962" s="227" t="n"/>
      <c r="I1962" s="227" t="n"/>
      <c r="J1962" s="227" t="n"/>
      <c r="K1962" s="227" t="n"/>
      <c r="L1962" s="227" t="n"/>
      <c r="M1962" s="227" t="n"/>
      <c r="N1962" s="127" t="n"/>
      <c r="O1962" s="227" t="n"/>
      <c r="P1962" s="227" t="n"/>
      <c r="Q1962" s="227" t="n"/>
      <c r="R1962" s="227" t="n"/>
      <c r="S1962" s="227" t="n"/>
      <c r="T1962" s="227" t="n"/>
    </row>
    <row r="1963">
      <c r="A1963" s="145">
        <f>IF($B1963="","",ROW()-5)</f>
        <v/>
      </c>
      <c r="B1963" s="127" t="n"/>
      <c r="C1963" s="223" t="n"/>
      <c r="D1963" s="127" t="n"/>
      <c r="E1963" s="227" t="n"/>
      <c r="F1963" s="227" t="n"/>
      <c r="G1963" s="227" t="n"/>
      <c r="H1963" s="227" t="n"/>
      <c r="I1963" s="227" t="n"/>
      <c r="J1963" s="227" t="n"/>
      <c r="K1963" s="227" t="n"/>
      <c r="L1963" s="227" t="n"/>
      <c r="M1963" s="227" t="n"/>
      <c r="N1963" s="127" t="n"/>
      <c r="O1963" s="227" t="n"/>
      <c r="P1963" s="227" t="n"/>
      <c r="Q1963" s="227" t="n"/>
      <c r="R1963" s="227" t="n"/>
      <c r="S1963" s="227" t="n"/>
      <c r="T1963" s="227" t="n"/>
    </row>
    <row r="1964">
      <c r="A1964" s="145">
        <f>IF($B1964="","",ROW()-5)</f>
        <v/>
      </c>
      <c r="B1964" s="127" t="n"/>
      <c r="C1964" s="223" t="n"/>
      <c r="D1964" s="127" t="n"/>
      <c r="E1964" s="227" t="n"/>
      <c r="F1964" s="227" t="n"/>
      <c r="G1964" s="227" t="n"/>
      <c r="H1964" s="227" t="n"/>
      <c r="I1964" s="227" t="n"/>
      <c r="J1964" s="227" t="n"/>
      <c r="K1964" s="227" t="n"/>
      <c r="L1964" s="227" t="n"/>
      <c r="M1964" s="227" t="n"/>
      <c r="N1964" s="127" t="n"/>
      <c r="O1964" s="227" t="n"/>
      <c r="P1964" s="227" t="n"/>
      <c r="Q1964" s="227" t="n"/>
      <c r="R1964" s="227" t="n"/>
      <c r="S1964" s="227" t="n"/>
      <c r="T1964" s="227" t="n"/>
    </row>
    <row r="1965">
      <c r="A1965" s="145">
        <f>IF($B1965="","",ROW()-5)</f>
        <v/>
      </c>
      <c r="B1965" s="127" t="n"/>
      <c r="C1965" s="223" t="n"/>
      <c r="D1965" s="127" t="n"/>
      <c r="E1965" s="227" t="n"/>
      <c r="F1965" s="227" t="n"/>
      <c r="G1965" s="227" t="n"/>
      <c r="H1965" s="227" t="n"/>
      <c r="I1965" s="227" t="n"/>
      <c r="J1965" s="227" t="n"/>
      <c r="K1965" s="227" t="n"/>
      <c r="L1965" s="227" t="n"/>
      <c r="M1965" s="227" t="n"/>
      <c r="N1965" s="127" t="n"/>
      <c r="O1965" s="227" t="n"/>
      <c r="P1965" s="227" t="n"/>
      <c r="Q1965" s="227" t="n"/>
      <c r="R1965" s="227" t="n"/>
      <c r="S1965" s="227" t="n"/>
      <c r="T1965" s="227" t="n"/>
    </row>
    <row r="1966">
      <c r="A1966" s="145">
        <f>IF($B1966="","",ROW()-5)</f>
        <v/>
      </c>
      <c r="B1966" s="127" t="n"/>
      <c r="C1966" s="223" t="n"/>
      <c r="D1966" s="127" t="n"/>
      <c r="E1966" s="227" t="n"/>
      <c r="F1966" s="227" t="n"/>
      <c r="G1966" s="227" t="n"/>
      <c r="H1966" s="227" t="n"/>
      <c r="I1966" s="227" t="n"/>
      <c r="J1966" s="227" t="n"/>
      <c r="K1966" s="227" t="n"/>
      <c r="L1966" s="227" t="n"/>
      <c r="M1966" s="227" t="n"/>
      <c r="N1966" s="127" t="n"/>
      <c r="O1966" s="227" t="n"/>
      <c r="P1966" s="227" t="n"/>
      <c r="Q1966" s="227" t="n"/>
      <c r="R1966" s="227" t="n"/>
      <c r="S1966" s="227" t="n"/>
      <c r="T1966" s="227" t="n"/>
    </row>
    <row r="1967">
      <c r="A1967" s="145">
        <f>IF($B1967="","",ROW()-5)</f>
        <v/>
      </c>
      <c r="B1967" s="127" t="n"/>
      <c r="C1967" s="223" t="n"/>
      <c r="D1967" s="127" t="n"/>
      <c r="E1967" s="227" t="n"/>
      <c r="F1967" s="227" t="n"/>
      <c r="G1967" s="227" t="n"/>
      <c r="H1967" s="227" t="n"/>
      <c r="I1967" s="227" t="n"/>
      <c r="J1967" s="227" t="n"/>
      <c r="K1967" s="227" t="n"/>
      <c r="L1967" s="227" t="n"/>
      <c r="M1967" s="227" t="n"/>
      <c r="N1967" s="127" t="n"/>
      <c r="O1967" s="227" t="n"/>
      <c r="P1967" s="227" t="n"/>
      <c r="Q1967" s="227" t="n"/>
      <c r="R1967" s="227" t="n"/>
      <c r="S1967" s="227" t="n"/>
      <c r="T1967" s="227" t="n"/>
    </row>
    <row r="1968">
      <c r="A1968" s="145">
        <f>IF($B1968="","",ROW()-5)</f>
        <v/>
      </c>
      <c r="B1968" s="127" t="n"/>
      <c r="C1968" s="223" t="n"/>
      <c r="D1968" s="127" t="n"/>
      <c r="E1968" s="227" t="n"/>
      <c r="F1968" s="227" t="n"/>
      <c r="G1968" s="227" t="n"/>
      <c r="H1968" s="227" t="n"/>
      <c r="I1968" s="227" t="n"/>
      <c r="J1968" s="227" t="n"/>
      <c r="K1968" s="227" t="n"/>
      <c r="L1968" s="227" t="n"/>
      <c r="M1968" s="227" t="n"/>
      <c r="N1968" s="127" t="n"/>
      <c r="O1968" s="227" t="n"/>
      <c r="P1968" s="227" t="n"/>
      <c r="Q1968" s="227" t="n"/>
      <c r="R1968" s="227" t="n"/>
      <c r="S1968" s="227" t="n"/>
      <c r="T1968" s="227" t="n"/>
    </row>
    <row r="1969">
      <c r="A1969" s="145">
        <f>IF($B1969="","",ROW()-5)</f>
        <v/>
      </c>
      <c r="B1969" s="127" t="n"/>
      <c r="C1969" s="223" t="n"/>
      <c r="D1969" s="127" t="n"/>
      <c r="E1969" s="227" t="n"/>
      <c r="F1969" s="227" t="n"/>
      <c r="G1969" s="227" t="n"/>
      <c r="H1969" s="227" t="n"/>
      <c r="I1969" s="227" t="n"/>
      <c r="J1969" s="227" t="n"/>
      <c r="K1969" s="227" t="n"/>
      <c r="L1969" s="227" t="n"/>
      <c r="M1969" s="227" t="n"/>
      <c r="N1969" s="127" t="n"/>
      <c r="O1969" s="227" t="n"/>
      <c r="P1969" s="227" t="n"/>
      <c r="Q1969" s="227" t="n"/>
      <c r="R1969" s="227" t="n"/>
      <c r="S1969" s="227" t="n"/>
      <c r="T1969" s="227" t="n"/>
    </row>
    <row r="1970">
      <c r="A1970" s="145">
        <f>IF($B1970="","",ROW()-5)</f>
        <v/>
      </c>
      <c r="B1970" s="127" t="n"/>
      <c r="C1970" s="223" t="n"/>
      <c r="D1970" s="127" t="n"/>
      <c r="E1970" s="227" t="n"/>
      <c r="F1970" s="227" t="n"/>
      <c r="G1970" s="227" t="n"/>
      <c r="H1970" s="227" t="n"/>
      <c r="I1970" s="227" t="n"/>
      <c r="J1970" s="227" t="n"/>
      <c r="K1970" s="227" t="n"/>
      <c r="L1970" s="227" t="n"/>
      <c r="M1970" s="227" t="n"/>
      <c r="N1970" s="127" t="n"/>
      <c r="O1970" s="227" t="n"/>
      <c r="P1970" s="227" t="n"/>
      <c r="Q1970" s="227" t="n"/>
      <c r="R1970" s="227" t="n"/>
      <c r="S1970" s="227" t="n"/>
      <c r="T1970" s="227" t="n"/>
    </row>
    <row r="1971">
      <c r="A1971" s="145">
        <f>IF($B1971="","",ROW()-5)</f>
        <v/>
      </c>
      <c r="B1971" s="127" t="n"/>
      <c r="C1971" s="223" t="n"/>
      <c r="D1971" s="127" t="n"/>
      <c r="E1971" s="227" t="n"/>
      <c r="F1971" s="227" t="n"/>
      <c r="G1971" s="227" t="n"/>
      <c r="H1971" s="227" t="n"/>
      <c r="I1971" s="227" t="n"/>
      <c r="J1971" s="227" t="n"/>
      <c r="K1971" s="227" t="n"/>
      <c r="L1971" s="227" t="n"/>
      <c r="M1971" s="227" t="n"/>
      <c r="N1971" s="127" t="n"/>
      <c r="O1971" s="227" t="n"/>
      <c r="P1971" s="227" t="n"/>
      <c r="Q1971" s="227" t="n"/>
      <c r="R1971" s="227" t="n"/>
      <c r="S1971" s="227" t="n"/>
      <c r="T1971" s="227" t="n"/>
    </row>
    <row r="1972">
      <c r="A1972" s="145">
        <f>IF($B1972="","",ROW()-5)</f>
        <v/>
      </c>
      <c r="B1972" s="127" t="n"/>
      <c r="C1972" s="223" t="n"/>
      <c r="D1972" s="127" t="n"/>
      <c r="E1972" s="227" t="n"/>
      <c r="F1972" s="227" t="n"/>
      <c r="G1972" s="227" t="n"/>
      <c r="H1972" s="227" t="n"/>
      <c r="I1972" s="227" t="n"/>
      <c r="J1972" s="227" t="n"/>
      <c r="K1972" s="227" t="n"/>
      <c r="L1972" s="227" t="n"/>
      <c r="M1972" s="227" t="n"/>
      <c r="N1972" s="127" t="n"/>
      <c r="O1972" s="227" t="n"/>
      <c r="P1972" s="227" t="n"/>
      <c r="Q1972" s="227" t="n"/>
      <c r="R1972" s="227" t="n"/>
      <c r="S1972" s="227" t="n"/>
      <c r="T1972" s="227" t="n"/>
    </row>
    <row r="1973">
      <c r="A1973" s="145">
        <f>IF($B1973="","",ROW()-5)</f>
        <v/>
      </c>
      <c r="B1973" s="127" t="n"/>
      <c r="C1973" s="223" t="n"/>
      <c r="D1973" s="127" t="n"/>
      <c r="E1973" s="227" t="n"/>
      <c r="F1973" s="227" t="n"/>
      <c r="G1973" s="227" t="n"/>
      <c r="H1973" s="227" t="n"/>
      <c r="I1973" s="227" t="n"/>
      <c r="J1973" s="227" t="n"/>
      <c r="K1973" s="227" t="n"/>
      <c r="L1973" s="227" t="n"/>
      <c r="M1973" s="227" t="n"/>
      <c r="N1973" s="127" t="n"/>
      <c r="O1973" s="227" t="n"/>
      <c r="P1973" s="227" t="n"/>
      <c r="Q1973" s="227" t="n"/>
      <c r="R1973" s="227" t="n"/>
      <c r="S1973" s="227" t="n"/>
      <c r="T1973" s="227" t="n"/>
    </row>
    <row r="1974">
      <c r="A1974" s="145">
        <f>IF($B1974="","",ROW()-5)</f>
        <v/>
      </c>
      <c r="B1974" s="127" t="n"/>
      <c r="C1974" s="223" t="n"/>
      <c r="D1974" s="127" t="n"/>
      <c r="E1974" s="227" t="n"/>
      <c r="F1974" s="227" t="n"/>
      <c r="G1974" s="227" t="n"/>
      <c r="H1974" s="227" t="n"/>
      <c r="I1974" s="227" t="n"/>
      <c r="J1974" s="227" t="n"/>
      <c r="K1974" s="227" t="n"/>
      <c r="L1974" s="227" t="n"/>
      <c r="M1974" s="227" t="n"/>
      <c r="N1974" s="127" t="n"/>
      <c r="O1974" s="227" t="n"/>
      <c r="P1974" s="227" t="n"/>
      <c r="Q1974" s="227" t="n"/>
      <c r="R1974" s="227" t="n"/>
      <c r="S1974" s="227" t="n"/>
      <c r="T1974" s="227" t="n"/>
    </row>
    <row r="1975">
      <c r="A1975" s="145">
        <f>IF($B1975="","",ROW()-5)</f>
        <v/>
      </c>
      <c r="B1975" s="127" t="n"/>
      <c r="C1975" s="223" t="n"/>
      <c r="D1975" s="127" t="n"/>
      <c r="E1975" s="227" t="n"/>
      <c r="F1975" s="227" t="n"/>
      <c r="G1975" s="227" t="n"/>
      <c r="H1975" s="227" t="n"/>
      <c r="I1975" s="227" t="n"/>
      <c r="J1975" s="227" t="n"/>
      <c r="K1975" s="227" t="n"/>
      <c r="L1975" s="227" t="n"/>
      <c r="M1975" s="227" t="n"/>
      <c r="N1975" s="127" t="n"/>
      <c r="O1975" s="227" t="n"/>
      <c r="P1975" s="227" t="n"/>
      <c r="Q1975" s="227" t="n"/>
      <c r="R1975" s="227" t="n"/>
      <c r="S1975" s="227" t="n"/>
      <c r="T1975" s="227" t="n"/>
    </row>
    <row r="1976">
      <c r="A1976" s="145">
        <f>IF($B1976="","",ROW()-5)</f>
        <v/>
      </c>
      <c r="B1976" s="127" t="n"/>
      <c r="C1976" s="223" t="n"/>
      <c r="D1976" s="127" t="n"/>
      <c r="E1976" s="227" t="n"/>
      <c r="F1976" s="227" t="n"/>
      <c r="G1976" s="227" t="n"/>
      <c r="H1976" s="227" t="n"/>
      <c r="I1976" s="227" t="n"/>
      <c r="J1976" s="227" t="n"/>
      <c r="K1976" s="227" t="n"/>
      <c r="L1976" s="227" t="n"/>
      <c r="M1976" s="227" t="n"/>
      <c r="N1976" s="127" t="n"/>
      <c r="O1976" s="227" t="n"/>
      <c r="P1976" s="227" t="n"/>
      <c r="Q1976" s="227" t="n"/>
      <c r="R1976" s="227" t="n"/>
      <c r="S1976" s="227" t="n"/>
      <c r="T1976" s="227" t="n"/>
    </row>
    <row r="1977">
      <c r="A1977" s="145">
        <f>IF($B1977="","",ROW()-5)</f>
        <v/>
      </c>
      <c r="B1977" s="127" t="n"/>
      <c r="C1977" s="223" t="n"/>
      <c r="D1977" s="127" t="n"/>
      <c r="E1977" s="227" t="n"/>
      <c r="F1977" s="227" t="n"/>
      <c r="G1977" s="227" t="n"/>
      <c r="H1977" s="227" t="n"/>
      <c r="I1977" s="227" t="n"/>
      <c r="J1977" s="227" t="n"/>
      <c r="K1977" s="227" t="n"/>
      <c r="L1977" s="227" t="n"/>
      <c r="M1977" s="227" t="n"/>
      <c r="N1977" s="127" t="n"/>
      <c r="O1977" s="227" t="n"/>
      <c r="P1977" s="227" t="n"/>
      <c r="Q1977" s="227" t="n"/>
      <c r="R1977" s="227" t="n"/>
      <c r="S1977" s="227" t="n"/>
      <c r="T1977" s="227" t="n"/>
    </row>
    <row r="1978">
      <c r="A1978" s="145">
        <f>IF($B1978="","",ROW()-5)</f>
        <v/>
      </c>
      <c r="B1978" s="127" t="n"/>
      <c r="C1978" s="223" t="n"/>
      <c r="D1978" s="127" t="n"/>
      <c r="E1978" s="227" t="n"/>
      <c r="F1978" s="227" t="n"/>
      <c r="G1978" s="227" t="n"/>
      <c r="H1978" s="227" t="n"/>
      <c r="I1978" s="227" t="n"/>
      <c r="J1978" s="227" t="n"/>
      <c r="K1978" s="227" t="n"/>
      <c r="L1978" s="227" t="n"/>
      <c r="M1978" s="227" t="n"/>
      <c r="N1978" s="127" t="n"/>
      <c r="O1978" s="227" t="n"/>
      <c r="P1978" s="227" t="n"/>
      <c r="Q1978" s="227" t="n"/>
      <c r="R1978" s="227" t="n"/>
      <c r="S1978" s="227" t="n"/>
      <c r="T1978" s="227" t="n"/>
    </row>
    <row r="1979">
      <c r="A1979" s="145">
        <f>IF($B1979="","",ROW()-5)</f>
        <v/>
      </c>
      <c r="B1979" s="127" t="n"/>
      <c r="C1979" s="223" t="n"/>
      <c r="D1979" s="127" t="n"/>
      <c r="E1979" s="227" t="n"/>
      <c r="F1979" s="227" t="n"/>
      <c r="G1979" s="227" t="n"/>
      <c r="H1979" s="227" t="n"/>
      <c r="I1979" s="227" t="n"/>
      <c r="J1979" s="227" t="n"/>
      <c r="K1979" s="227" t="n"/>
      <c r="L1979" s="227" t="n"/>
      <c r="M1979" s="227" t="n"/>
      <c r="N1979" s="127" t="n"/>
      <c r="O1979" s="227" t="n"/>
      <c r="P1979" s="227" t="n"/>
      <c r="Q1979" s="227" t="n"/>
      <c r="R1979" s="227" t="n"/>
      <c r="S1979" s="227" t="n"/>
      <c r="T1979" s="227" t="n"/>
    </row>
    <row r="1980">
      <c r="A1980" s="145">
        <f>IF($B1980="","",ROW()-5)</f>
        <v/>
      </c>
      <c r="B1980" s="127" t="n"/>
      <c r="C1980" s="223" t="n"/>
      <c r="D1980" s="127" t="n"/>
      <c r="E1980" s="227" t="n"/>
      <c r="F1980" s="227" t="n"/>
      <c r="G1980" s="227" t="n"/>
      <c r="H1980" s="227" t="n"/>
      <c r="I1980" s="227" t="n"/>
      <c r="J1980" s="227" t="n"/>
      <c r="K1980" s="227" t="n"/>
      <c r="L1980" s="227" t="n"/>
      <c r="M1980" s="227" t="n"/>
      <c r="N1980" s="127" t="n"/>
      <c r="O1980" s="227" t="n"/>
      <c r="P1980" s="227" t="n"/>
      <c r="Q1980" s="227" t="n"/>
      <c r="R1980" s="227" t="n"/>
      <c r="S1980" s="227" t="n"/>
      <c r="T1980" s="227" t="n"/>
    </row>
    <row r="1981">
      <c r="A1981" s="145">
        <f>IF($B1981="","",ROW()-5)</f>
        <v/>
      </c>
      <c r="B1981" s="127" t="n"/>
      <c r="C1981" s="223" t="n"/>
      <c r="D1981" s="127" t="n"/>
      <c r="E1981" s="227" t="n"/>
      <c r="F1981" s="227" t="n"/>
      <c r="G1981" s="227" t="n"/>
      <c r="H1981" s="227" t="n"/>
      <c r="I1981" s="227" t="n"/>
      <c r="J1981" s="227" t="n"/>
      <c r="K1981" s="227" t="n"/>
      <c r="L1981" s="227" t="n"/>
      <c r="M1981" s="227" t="n"/>
      <c r="N1981" s="127" t="n"/>
      <c r="O1981" s="227" t="n"/>
      <c r="P1981" s="227" t="n"/>
      <c r="Q1981" s="227" t="n"/>
      <c r="R1981" s="227" t="n"/>
      <c r="S1981" s="227" t="n"/>
      <c r="T1981" s="227" t="n"/>
    </row>
    <row r="1982">
      <c r="A1982" s="145">
        <f>IF($B1982="","",ROW()-5)</f>
        <v/>
      </c>
      <c r="B1982" s="127" t="n"/>
      <c r="C1982" s="223" t="n"/>
      <c r="D1982" s="127" t="n"/>
      <c r="E1982" s="227" t="n"/>
      <c r="F1982" s="227" t="n"/>
      <c r="G1982" s="227" t="n"/>
      <c r="H1982" s="227" t="n"/>
      <c r="I1982" s="227" t="n"/>
      <c r="J1982" s="227" t="n"/>
      <c r="K1982" s="227" t="n"/>
      <c r="L1982" s="227" t="n"/>
      <c r="M1982" s="227" t="n"/>
      <c r="N1982" s="127" t="n"/>
      <c r="O1982" s="227" t="n"/>
      <c r="P1982" s="227" t="n"/>
      <c r="Q1982" s="227" t="n"/>
      <c r="R1982" s="227" t="n"/>
      <c r="S1982" s="227" t="n"/>
      <c r="T1982" s="227" t="n"/>
    </row>
    <row r="1983">
      <c r="A1983" s="145">
        <f>IF($B1983="","",ROW()-5)</f>
        <v/>
      </c>
      <c r="B1983" s="127" t="n"/>
      <c r="C1983" s="223" t="n"/>
      <c r="D1983" s="127" t="n"/>
      <c r="E1983" s="227" t="n"/>
      <c r="F1983" s="227" t="n"/>
      <c r="G1983" s="227" t="n"/>
      <c r="H1983" s="227" t="n"/>
      <c r="I1983" s="227" t="n"/>
      <c r="J1983" s="227" t="n"/>
      <c r="K1983" s="227" t="n"/>
      <c r="L1983" s="227" t="n"/>
      <c r="M1983" s="227" t="n"/>
      <c r="N1983" s="127" t="n"/>
      <c r="O1983" s="227" t="n"/>
      <c r="P1983" s="227" t="n"/>
      <c r="Q1983" s="227" t="n"/>
      <c r="R1983" s="227" t="n"/>
      <c r="S1983" s="227" t="n"/>
      <c r="T1983" s="227" t="n"/>
    </row>
    <row r="1984">
      <c r="A1984" s="145">
        <f>IF($B1984="","",ROW()-5)</f>
        <v/>
      </c>
      <c r="B1984" s="127" t="n"/>
      <c r="C1984" s="223" t="n"/>
      <c r="D1984" s="127" t="n"/>
      <c r="E1984" s="227" t="n"/>
      <c r="F1984" s="227" t="n"/>
      <c r="G1984" s="227" t="n"/>
      <c r="H1984" s="227" t="n"/>
      <c r="I1984" s="227" t="n"/>
      <c r="J1984" s="227" t="n"/>
      <c r="K1984" s="227" t="n"/>
      <c r="L1984" s="227" t="n"/>
      <c r="M1984" s="227" t="n"/>
      <c r="N1984" s="127" t="n"/>
      <c r="O1984" s="227" t="n"/>
      <c r="P1984" s="227" t="n"/>
      <c r="Q1984" s="227" t="n"/>
      <c r="R1984" s="227" t="n"/>
      <c r="S1984" s="227" t="n"/>
      <c r="T1984" s="227" t="n"/>
    </row>
    <row r="1985">
      <c r="A1985" s="145">
        <f>IF($B1985="","",ROW()-5)</f>
        <v/>
      </c>
      <c r="B1985" s="127" t="n"/>
      <c r="C1985" s="223" t="n"/>
      <c r="D1985" s="127" t="n"/>
      <c r="E1985" s="227" t="n"/>
      <c r="F1985" s="227" t="n"/>
      <c r="G1985" s="227" t="n"/>
      <c r="H1985" s="227" t="n"/>
      <c r="I1985" s="227" t="n"/>
      <c r="J1985" s="227" t="n"/>
      <c r="K1985" s="227" t="n"/>
      <c r="L1985" s="227" t="n"/>
      <c r="M1985" s="227" t="n"/>
      <c r="N1985" s="127" t="n"/>
      <c r="O1985" s="227" t="n"/>
      <c r="P1985" s="227" t="n"/>
      <c r="Q1985" s="227" t="n"/>
      <c r="R1985" s="227" t="n"/>
      <c r="S1985" s="227" t="n"/>
      <c r="T1985" s="227" t="n"/>
    </row>
    <row r="1986">
      <c r="A1986" s="145">
        <f>IF($B1986="","",ROW()-5)</f>
        <v/>
      </c>
      <c r="B1986" s="127" t="n"/>
      <c r="C1986" s="223" t="n"/>
      <c r="D1986" s="127" t="n"/>
      <c r="E1986" s="227" t="n"/>
      <c r="F1986" s="227" t="n"/>
      <c r="G1986" s="227" t="n"/>
      <c r="H1986" s="227" t="n"/>
      <c r="I1986" s="227" t="n"/>
      <c r="J1986" s="227" t="n"/>
      <c r="K1986" s="227" t="n"/>
      <c r="L1986" s="227" t="n"/>
      <c r="M1986" s="227" t="n"/>
      <c r="N1986" s="127" t="n"/>
      <c r="O1986" s="227" t="n"/>
      <c r="P1986" s="227" t="n"/>
      <c r="Q1986" s="227" t="n"/>
      <c r="R1986" s="227" t="n"/>
      <c r="S1986" s="227" t="n"/>
      <c r="T1986" s="227" t="n"/>
    </row>
    <row r="1987">
      <c r="A1987" s="145">
        <f>IF($B1987="","",ROW()-5)</f>
        <v/>
      </c>
      <c r="B1987" s="127" t="n"/>
      <c r="C1987" s="223" t="n"/>
      <c r="D1987" s="127" t="n"/>
      <c r="E1987" s="227" t="n"/>
      <c r="F1987" s="227" t="n"/>
      <c r="G1987" s="227" t="n"/>
      <c r="H1987" s="227" t="n"/>
      <c r="I1987" s="227" t="n"/>
      <c r="J1987" s="227" t="n"/>
      <c r="K1987" s="227" t="n"/>
      <c r="L1987" s="227" t="n"/>
      <c r="M1987" s="227" t="n"/>
      <c r="N1987" s="127" t="n"/>
      <c r="O1987" s="227" t="n"/>
      <c r="P1987" s="227" t="n"/>
      <c r="Q1987" s="227" t="n"/>
      <c r="R1987" s="227" t="n"/>
      <c r="S1987" s="227" t="n"/>
      <c r="T1987" s="227" t="n"/>
    </row>
    <row r="1988">
      <c r="A1988" s="145">
        <f>IF($B1988="","",ROW()-5)</f>
        <v/>
      </c>
      <c r="B1988" s="127" t="n"/>
      <c r="C1988" s="223" t="n"/>
      <c r="D1988" s="127" t="n"/>
      <c r="E1988" s="227" t="n"/>
      <c r="F1988" s="227" t="n"/>
      <c r="G1988" s="227" t="n"/>
      <c r="H1988" s="227" t="n"/>
      <c r="I1988" s="227" t="n"/>
      <c r="J1988" s="227" t="n"/>
      <c r="K1988" s="227" t="n"/>
      <c r="L1988" s="227" t="n"/>
      <c r="M1988" s="227" t="n"/>
      <c r="N1988" s="127" t="n"/>
      <c r="O1988" s="227" t="n"/>
      <c r="P1988" s="227" t="n"/>
      <c r="Q1988" s="227" t="n"/>
      <c r="R1988" s="227" t="n"/>
      <c r="S1988" s="227" t="n"/>
      <c r="T1988" s="227" t="n"/>
    </row>
    <row r="1989">
      <c r="A1989" s="145">
        <f>IF($B1989="","",ROW()-5)</f>
        <v/>
      </c>
      <c r="B1989" s="127" t="n"/>
      <c r="C1989" s="223" t="n"/>
      <c r="D1989" s="127" t="n"/>
      <c r="E1989" s="227" t="n"/>
      <c r="F1989" s="227" t="n"/>
      <c r="G1989" s="227" t="n"/>
      <c r="H1989" s="227" t="n"/>
      <c r="I1989" s="227" t="n"/>
      <c r="J1989" s="227" t="n"/>
      <c r="K1989" s="227" t="n"/>
      <c r="L1989" s="227" t="n"/>
      <c r="M1989" s="227" t="n"/>
      <c r="N1989" s="127" t="n"/>
      <c r="O1989" s="227" t="n"/>
      <c r="P1989" s="227" t="n"/>
      <c r="Q1989" s="227" t="n"/>
      <c r="R1989" s="227" t="n"/>
      <c r="S1989" s="227" t="n"/>
      <c r="T1989" s="227" t="n"/>
    </row>
    <row r="1990">
      <c r="A1990" s="145">
        <f>IF($B1990="","",ROW()-5)</f>
        <v/>
      </c>
      <c r="B1990" s="127" t="n"/>
      <c r="C1990" s="223" t="n"/>
      <c r="D1990" s="127" t="n"/>
      <c r="E1990" s="227" t="n"/>
      <c r="F1990" s="227" t="n"/>
      <c r="G1990" s="227" t="n"/>
      <c r="H1990" s="227" t="n"/>
      <c r="I1990" s="227" t="n"/>
      <c r="J1990" s="227" t="n"/>
      <c r="K1990" s="227" t="n"/>
      <c r="L1990" s="227" t="n"/>
      <c r="M1990" s="227" t="n"/>
      <c r="N1990" s="127" t="n"/>
      <c r="O1990" s="227" t="n"/>
      <c r="P1990" s="227" t="n"/>
      <c r="Q1990" s="227" t="n"/>
      <c r="R1990" s="227" t="n"/>
      <c r="S1990" s="227" t="n"/>
      <c r="T1990" s="227" t="n"/>
    </row>
    <row r="1991">
      <c r="A1991" s="145">
        <f>IF($B1991="","",ROW()-5)</f>
        <v/>
      </c>
      <c r="B1991" s="127" t="n"/>
      <c r="C1991" s="223" t="n"/>
      <c r="D1991" s="127" t="n"/>
      <c r="E1991" s="227" t="n"/>
      <c r="F1991" s="227" t="n"/>
      <c r="G1991" s="227" t="n"/>
      <c r="H1991" s="227" t="n"/>
      <c r="I1991" s="227" t="n"/>
      <c r="J1991" s="227" t="n"/>
      <c r="K1991" s="227" t="n"/>
      <c r="L1991" s="227" t="n"/>
      <c r="M1991" s="227" t="n"/>
      <c r="N1991" s="127" t="n"/>
      <c r="O1991" s="227" t="n"/>
      <c r="P1991" s="227" t="n"/>
      <c r="Q1991" s="227" t="n"/>
      <c r="R1991" s="227" t="n"/>
      <c r="S1991" s="227" t="n"/>
      <c r="T1991" s="227" t="n"/>
    </row>
    <row r="1992">
      <c r="A1992" s="145">
        <f>IF($B1992="","",ROW()-5)</f>
        <v/>
      </c>
      <c r="B1992" s="127" t="n"/>
      <c r="C1992" s="223" t="n"/>
      <c r="D1992" s="127" t="n"/>
      <c r="E1992" s="227" t="n"/>
      <c r="F1992" s="227" t="n"/>
      <c r="G1992" s="227" t="n"/>
      <c r="H1992" s="227" t="n"/>
      <c r="I1992" s="227" t="n"/>
      <c r="J1992" s="227" t="n"/>
      <c r="K1992" s="227" t="n"/>
      <c r="L1992" s="227" t="n"/>
      <c r="M1992" s="227" t="n"/>
      <c r="N1992" s="127" t="n"/>
      <c r="O1992" s="227" t="n"/>
      <c r="P1992" s="227" t="n"/>
      <c r="Q1992" s="227" t="n"/>
      <c r="R1992" s="227" t="n"/>
      <c r="S1992" s="227" t="n"/>
      <c r="T1992" s="227" t="n"/>
    </row>
    <row r="1993">
      <c r="A1993" s="145">
        <f>IF($B1993="","",ROW()-5)</f>
        <v/>
      </c>
      <c r="B1993" s="127" t="n"/>
      <c r="C1993" s="223" t="n"/>
      <c r="D1993" s="127" t="n"/>
      <c r="E1993" s="227" t="n"/>
      <c r="F1993" s="227" t="n"/>
      <c r="G1993" s="227" t="n"/>
      <c r="H1993" s="227" t="n"/>
      <c r="I1993" s="227" t="n"/>
      <c r="J1993" s="227" t="n"/>
      <c r="K1993" s="227" t="n"/>
      <c r="L1993" s="227" t="n"/>
      <c r="M1993" s="227" t="n"/>
      <c r="N1993" s="127" t="n"/>
      <c r="O1993" s="227" t="n"/>
      <c r="P1993" s="227" t="n"/>
      <c r="Q1993" s="227" t="n"/>
      <c r="R1993" s="227" t="n"/>
      <c r="S1993" s="227" t="n"/>
      <c r="T1993" s="227" t="n"/>
    </row>
    <row r="1994">
      <c r="A1994" s="145">
        <f>IF($B1994="","",ROW()-5)</f>
        <v/>
      </c>
      <c r="B1994" s="127" t="n"/>
      <c r="C1994" s="223" t="n"/>
      <c r="D1994" s="127" t="n"/>
      <c r="E1994" s="227" t="n"/>
      <c r="F1994" s="227" t="n"/>
      <c r="G1994" s="227" t="n"/>
      <c r="H1994" s="227" t="n"/>
      <c r="I1994" s="227" t="n"/>
      <c r="J1994" s="227" t="n"/>
      <c r="K1994" s="227" t="n"/>
      <c r="L1994" s="227" t="n"/>
      <c r="M1994" s="227" t="n"/>
      <c r="N1994" s="127" t="n"/>
      <c r="O1994" s="227" t="n"/>
      <c r="P1994" s="227" t="n"/>
      <c r="Q1994" s="227" t="n"/>
      <c r="R1994" s="227" t="n"/>
      <c r="S1994" s="227" t="n"/>
      <c r="T1994" s="227" t="n"/>
    </row>
    <row r="1995">
      <c r="A1995" s="145">
        <f>IF($B1995="","",ROW()-5)</f>
        <v/>
      </c>
      <c r="B1995" s="127" t="n"/>
      <c r="C1995" s="223" t="n"/>
      <c r="D1995" s="127" t="n"/>
      <c r="E1995" s="227" t="n"/>
      <c r="F1995" s="227" t="n"/>
      <c r="G1995" s="227" t="n"/>
      <c r="H1995" s="227" t="n"/>
      <c r="I1995" s="227" t="n"/>
      <c r="J1995" s="227" t="n"/>
      <c r="K1995" s="227" t="n"/>
      <c r="L1995" s="227" t="n"/>
      <c r="M1995" s="227" t="n"/>
      <c r="N1995" s="127" t="n"/>
      <c r="O1995" s="227" t="n"/>
      <c r="P1995" s="227" t="n"/>
      <c r="Q1995" s="227" t="n"/>
      <c r="R1995" s="227" t="n"/>
      <c r="S1995" s="227" t="n"/>
      <c r="T1995" s="227" t="n"/>
    </row>
    <row r="1996">
      <c r="A1996" s="145">
        <f>IF($B1996="","",ROW()-5)</f>
        <v/>
      </c>
      <c r="B1996" s="127" t="n"/>
      <c r="C1996" s="223" t="n"/>
      <c r="D1996" s="127" t="n"/>
      <c r="E1996" s="227" t="n"/>
      <c r="F1996" s="227" t="n"/>
      <c r="G1996" s="227" t="n"/>
      <c r="H1996" s="227" t="n"/>
      <c r="I1996" s="227" t="n"/>
      <c r="J1996" s="227" t="n"/>
      <c r="K1996" s="227" t="n"/>
      <c r="L1996" s="227" t="n"/>
      <c r="M1996" s="227" t="n"/>
      <c r="N1996" s="127" t="n"/>
      <c r="O1996" s="227" t="n"/>
      <c r="P1996" s="227" t="n"/>
      <c r="Q1996" s="227" t="n"/>
      <c r="R1996" s="227" t="n"/>
      <c r="S1996" s="227" t="n"/>
      <c r="T1996" s="227" t="n"/>
    </row>
    <row r="1997">
      <c r="A1997" s="145">
        <f>IF($B1997="","",ROW()-5)</f>
        <v/>
      </c>
      <c r="B1997" s="127" t="n"/>
      <c r="C1997" s="223" t="n"/>
      <c r="D1997" s="127" t="n"/>
      <c r="E1997" s="227" t="n"/>
      <c r="F1997" s="227" t="n"/>
      <c r="G1997" s="227" t="n"/>
      <c r="H1997" s="227" t="n"/>
      <c r="I1997" s="227" t="n"/>
      <c r="J1997" s="227" t="n"/>
      <c r="K1997" s="227" t="n"/>
      <c r="L1997" s="227" t="n"/>
      <c r="M1997" s="227" t="n"/>
      <c r="N1997" s="127" t="n"/>
      <c r="O1997" s="227" t="n"/>
      <c r="P1997" s="227" t="n"/>
      <c r="Q1997" s="227" t="n"/>
      <c r="R1997" s="227" t="n"/>
      <c r="S1997" s="227" t="n"/>
      <c r="T1997" s="227" t="n"/>
    </row>
    <row r="1998">
      <c r="A1998" s="145">
        <f>IF($B1998="","",ROW()-5)</f>
        <v/>
      </c>
      <c r="B1998" s="127" t="n"/>
      <c r="C1998" s="223" t="n"/>
      <c r="D1998" s="127" t="n"/>
      <c r="E1998" s="227" t="n"/>
      <c r="F1998" s="227" t="n"/>
      <c r="G1998" s="227" t="n"/>
      <c r="H1998" s="227" t="n"/>
      <c r="I1998" s="227" t="n"/>
      <c r="J1998" s="227" t="n"/>
      <c r="K1998" s="227" t="n"/>
      <c r="L1998" s="227" t="n"/>
      <c r="M1998" s="227" t="n"/>
      <c r="N1998" s="127" t="n"/>
      <c r="O1998" s="227" t="n"/>
      <c r="P1998" s="227" t="n"/>
      <c r="Q1998" s="227" t="n"/>
      <c r="R1998" s="227" t="n"/>
      <c r="S1998" s="227" t="n"/>
      <c r="T1998" s="227" t="n"/>
    </row>
    <row r="1999">
      <c r="A1999" s="145">
        <f>IF($B1999="","",ROW()-5)</f>
        <v/>
      </c>
      <c r="B1999" s="127" t="n"/>
      <c r="C1999" s="223" t="n"/>
      <c r="D1999" s="127" t="n"/>
      <c r="E1999" s="227" t="n"/>
      <c r="F1999" s="227" t="n"/>
      <c r="G1999" s="227" t="n"/>
      <c r="H1999" s="227" t="n"/>
      <c r="I1999" s="227" t="n"/>
      <c r="J1999" s="227" t="n"/>
      <c r="K1999" s="227" t="n"/>
      <c r="L1999" s="227" t="n"/>
      <c r="M1999" s="227" t="n"/>
      <c r="N1999" s="127" t="n"/>
      <c r="O1999" s="227" t="n"/>
      <c r="P1999" s="227" t="n"/>
      <c r="Q1999" s="227" t="n"/>
      <c r="R1999" s="227" t="n"/>
      <c r="S1999" s="227" t="n"/>
      <c r="T1999" s="227" t="n"/>
    </row>
    <row r="2000">
      <c r="A2000" s="145">
        <f>IF($B2000="","",ROW()-5)</f>
        <v/>
      </c>
      <c r="B2000" s="127" t="n"/>
      <c r="C2000" s="223" t="n"/>
      <c r="D2000" s="127" t="n"/>
      <c r="E2000" s="227" t="n"/>
      <c r="F2000" s="227" t="n"/>
      <c r="G2000" s="227" t="n"/>
      <c r="H2000" s="227" t="n"/>
      <c r="I2000" s="227" t="n"/>
      <c r="J2000" s="227" t="n"/>
      <c r="K2000" s="227" t="n"/>
      <c r="L2000" s="227" t="n"/>
      <c r="M2000" s="227" t="n"/>
      <c r="N2000" s="127" t="n"/>
      <c r="O2000" s="227" t="n"/>
      <c r="P2000" s="227" t="n"/>
      <c r="Q2000" s="227" t="n"/>
      <c r="R2000" s="227" t="n"/>
      <c r="S2000" s="227" t="n"/>
      <c r="T2000" s="227" t="n"/>
    </row>
    <row r="2001">
      <c r="A2001" s="145">
        <f>IF($B2001="","",ROW()-5)</f>
        <v/>
      </c>
      <c r="B2001" s="127" t="n"/>
      <c r="C2001" s="223" t="n"/>
      <c r="D2001" s="127" t="n"/>
      <c r="E2001" s="227" t="n"/>
      <c r="F2001" s="227" t="n"/>
      <c r="G2001" s="227" t="n"/>
      <c r="H2001" s="227" t="n"/>
      <c r="I2001" s="227" t="n"/>
      <c r="J2001" s="227" t="n"/>
      <c r="K2001" s="227" t="n"/>
      <c r="L2001" s="227" t="n"/>
      <c r="M2001" s="227" t="n"/>
      <c r="N2001" s="127" t="n"/>
      <c r="O2001" s="227" t="n"/>
      <c r="P2001" s="227" t="n"/>
      <c r="Q2001" s="227" t="n"/>
      <c r="R2001" s="227" t="n"/>
      <c r="S2001" s="227" t="n"/>
      <c r="T2001" s="227" t="n"/>
    </row>
    <row r="2002">
      <c r="A2002" s="145">
        <f>IF($B2002="","",ROW()-5)</f>
        <v/>
      </c>
      <c r="B2002" s="127" t="n"/>
      <c r="C2002" s="223" t="n"/>
      <c r="D2002" s="127" t="n"/>
      <c r="E2002" s="227" t="n"/>
      <c r="F2002" s="227" t="n"/>
      <c r="G2002" s="227" t="n"/>
      <c r="H2002" s="227" t="n"/>
      <c r="I2002" s="227" t="n"/>
      <c r="J2002" s="227" t="n"/>
      <c r="K2002" s="227" t="n"/>
      <c r="L2002" s="227" t="n"/>
      <c r="M2002" s="227" t="n"/>
      <c r="N2002" s="127" t="n"/>
      <c r="O2002" s="227" t="n"/>
      <c r="P2002" s="227" t="n"/>
      <c r="Q2002" s="227" t="n"/>
      <c r="R2002" s="227" t="n"/>
      <c r="S2002" s="227" t="n"/>
      <c r="T2002" s="227" t="n"/>
    </row>
    <row r="2003">
      <c r="A2003" s="145">
        <f>IF($B2003="","",ROW()-5)</f>
        <v/>
      </c>
      <c r="B2003" s="127" t="n"/>
      <c r="C2003" s="223" t="n"/>
      <c r="D2003" s="127" t="n"/>
      <c r="E2003" s="227" t="n"/>
      <c r="F2003" s="227" t="n"/>
      <c r="G2003" s="227" t="n"/>
      <c r="H2003" s="227" t="n"/>
      <c r="I2003" s="227" t="n"/>
      <c r="J2003" s="227" t="n"/>
      <c r="K2003" s="227" t="n"/>
      <c r="L2003" s="227" t="n"/>
      <c r="M2003" s="227" t="n"/>
      <c r="N2003" s="127" t="n"/>
      <c r="O2003" s="227" t="n"/>
      <c r="P2003" s="227" t="n"/>
      <c r="Q2003" s="227" t="n"/>
      <c r="R2003" s="227" t="n"/>
      <c r="S2003" s="227" t="n"/>
      <c r="T2003" s="227" t="n"/>
    </row>
    <row r="2004">
      <c r="A2004" s="145">
        <f>IF($B2004="","",ROW()-5)</f>
        <v/>
      </c>
      <c r="B2004" s="127" t="n"/>
      <c r="C2004" s="223" t="n"/>
      <c r="D2004" s="127" t="n"/>
      <c r="E2004" s="227" t="n"/>
      <c r="F2004" s="227" t="n"/>
      <c r="G2004" s="227" t="n"/>
      <c r="H2004" s="227" t="n"/>
      <c r="I2004" s="227" t="n"/>
      <c r="J2004" s="227" t="n"/>
      <c r="K2004" s="227" t="n"/>
      <c r="L2004" s="227" t="n"/>
      <c r="M2004" s="227" t="n"/>
      <c r="N2004" s="127" t="n"/>
      <c r="O2004" s="227" t="n"/>
      <c r="P2004" s="227" t="n"/>
      <c r="Q2004" s="227" t="n"/>
      <c r="R2004" s="227" t="n"/>
      <c r="S2004" s="227" t="n"/>
      <c r="T2004" s="227" t="n"/>
    </row>
    <row r="2005">
      <c r="A2005" s="145">
        <f>IF($B2005="","",ROW()-5)</f>
        <v/>
      </c>
      <c r="B2005" s="127" t="n"/>
      <c r="C2005" s="223" t="n"/>
      <c r="D2005" s="127" t="n"/>
      <c r="E2005" s="227" t="n"/>
      <c r="F2005" s="227" t="n"/>
      <c r="G2005" s="227" t="n"/>
      <c r="H2005" s="227" t="n"/>
      <c r="I2005" s="227" t="n"/>
      <c r="J2005" s="227" t="n"/>
      <c r="K2005" s="227" t="n"/>
      <c r="L2005" s="227" t="n"/>
      <c r="M2005" s="227" t="n"/>
      <c r="N2005" s="127" t="n"/>
      <c r="O2005" s="227" t="n"/>
      <c r="P2005" s="227" t="n"/>
      <c r="Q2005" s="227" t="n"/>
      <c r="R2005" s="227" t="n"/>
      <c r="S2005" s="227" t="n"/>
      <c r="T2005" s="227" t="n"/>
    </row>
    <row r="2006">
      <c r="A2006" s="145">
        <f>IF($B2006="","",ROW()-5)</f>
        <v/>
      </c>
      <c r="B2006" s="127" t="n"/>
      <c r="C2006" s="223" t="n"/>
      <c r="D2006" s="127" t="n"/>
      <c r="E2006" s="227" t="n"/>
      <c r="F2006" s="227" t="n"/>
      <c r="G2006" s="227" t="n"/>
      <c r="H2006" s="227" t="n"/>
      <c r="I2006" s="227" t="n"/>
      <c r="J2006" s="227" t="n"/>
      <c r="K2006" s="227" t="n"/>
      <c r="L2006" s="227" t="n"/>
      <c r="M2006" s="227" t="n"/>
      <c r="N2006" s="127" t="n"/>
      <c r="O2006" s="227" t="n"/>
      <c r="P2006" s="227" t="n"/>
      <c r="Q2006" s="227" t="n"/>
      <c r="R2006" s="227" t="n"/>
      <c r="S2006" s="227" t="n"/>
      <c r="T2006" s="227" t="n"/>
    </row>
    <row r="2007">
      <c r="A2007" s="145">
        <f>IF($B2007="","",ROW()-5)</f>
        <v/>
      </c>
      <c r="B2007" s="127" t="n"/>
      <c r="C2007" s="223" t="n"/>
      <c r="D2007" s="127" t="n"/>
      <c r="E2007" s="227" t="n"/>
      <c r="F2007" s="227" t="n"/>
      <c r="G2007" s="227" t="n"/>
      <c r="H2007" s="227" t="n"/>
      <c r="I2007" s="227" t="n"/>
      <c r="J2007" s="227" t="n"/>
      <c r="K2007" s="227" t="n"/>
      <c r="L2007" s="227" t="n"/>
      <c r="M2007" s="227" t="n"/>
      <c r="N2007" s="127" t="n"/>
      <c r="O2007" s="227" t="n"/>
      <c r="P2007" s="227" t="n"/>
      <c r="Q2007" s="227" t="n"/>
      <c r="R2007" s="227" t="n"/>
      <c r="S2007" s="227" t="n"/>
      <c r="T2007" s="227" t="n"/>
    </row>
    <row r="2008">
      <c r="A2008" s="145">
        <f>IF($B2008="","",ROW()-5)</f>
        <v/>
      </c>
      <c r="B2008" s="127" t="n"/>
      <c r="C2008" s="223" t="n"/>
      <c r="D2008" s="127" t="n"/>
      <c r="E2008" s="227" t="n"/>
      <c r="F2008" s="227" t="n"/>
      <c r="G2008" s="227" t="n"/>
      <c r="H2008" s="227" t="n"/>
      <c r="I2008" s="227" t="n"/>
      <c r="J2008" s="227" t="n"/>
      <c r="K2008" s="227" t="n"/>
      <c r="L2008" s="227" t="n"/>
      <c r="M2008" s="227" t="n"/>
      <c r="N2008" s="127" t="n"/>
      <c r="O2008" s="227" t="n"/>
      <c r="P2008" s="227" t="n"/>
      <c r="Q2008" s="227" t="n"/>
      <c r="R2008" s="227" t="n"/>
      <c r="S2008" s="227" t="n"/>
      <c r="T2008" s="227" t="n"/>
    </row>
    <row r="2009">
      <c r="A2009" s="145">
        <f>IF($B2009="","",ROW()-5)</f>
        <v/>
      </c>
      <c r="B2009" s="127" t="n"/>
      <c r="C2009" s="223" t="n"/>
      <c r="D2009" s="127" t="n"/>
      <c r="E2009" s="227" t="n"/>
      <c r="F2009" s="227" t="n"/>
      <c r="G2009" s="227" t="n"/>
      <c r="H2009" s="227" t="n"/>
      <c r="I2009" s="227" t="n"/>
      <c r="J2009" s="227" t="n"/>
      <c r="K2009" s="227" t="n"/>
      <c r="L2009" s="227" t="n"/>
      <c r="M2009" s="227" t="n"/>
      <c r="N2009" s="127" t="n"/>
      <c r="O2009" s="227" t="n"/>
      <c r="P2009" s="227" t="n"/>
      <c r="Q2009" s="227" t="n"/>
      <c r="R2009" s="227" t="n"/>
      <c r="S2009" s="227" t="n"/>
      <c r="T2009" s="227" t="n"/>
    </row>
    <row r="2010">
      <c r="A2010" s="145">
        <f>IF($B2010="","",ROW()-5)</f>
        <v/>
      </c>
      <c r="B2010" s="127" t="n"/>
      <c r="C2010" s="223" t="n"/>
      <c r="D2010" s="127" t="n"/>
      <c r="E2010" s="227" t="n"/>
      <c r="F2010" s="227" t="n"/>
      <c r="G2010" s="227" t="n"/>
      <c r="H2010" s="227" t="n"/>
      <c r="I2010" s="227" t="n"/>
      <c r="J2010" s="227" t="n"/>
      <c r="K2010" s="227" t="n"/>
      <c r="L2010" s="227" t="n"/>
      <c r="M2010" s="227" t="n"/>
      <c r="N2010" s="127" t="n"/>
      <c r="O2010" s="227" t="n"/>
      <c r="P2010" s="227" t="n"/>
      <c r="Q2010" s="227" t="n"/>
      <c r="R2010" s="227" t="n"/>
      <c r="S2010" s="227" t="n"/>
      <c r="T2010" s="227" t="n"/>
    </row>
    <row r="2011">
      <c r="A2011" s="145">
        <f>IF($B2011="","",ROW()-5)</f>
        <v/>
      </c>
      <c r="B2011" s="127" t="n"/>
      <c r="C2011" s="223" t="n"/>
      <c r="D2011" s="127" t="n"/>
      <c r="E2011" s="227" t="n"/>
      <c r="F2011" s="227" t="n"/>
      <c r="G2011" s="227" t="n"/>
      <c r="H2011" s="227" t="n"/>
      <c r="I2011" s="227" t="n"/>
      <c r="J2011" s="227" t="n"/>
      <c r="K2011" s="227" t="n"/>
      <c r="L2011" s="227" t="n"/>
      <c r="M2011" s="227" t="n"/>
      <c r="N2011" s="127" t="n"/>
      <c r="O2011" s="227" t="n"/>
      <c r="P2011" s="227" t="n"/>
      <c r="Q2011" s="227" t="n"/>
      <c r="R2011" s="227" t="n"/>
      <c r="S2011" s="227" t="n"/>
      <c r="T2011" s="227" t="n"/>
    </row>
    <row r="2012">
      <c r="A2012" s="145">
        <f>IF($B2012="","",ROW()-5)</f>
        <v/>
      </c>
      <c r="B2012" s="127" t="n"/>
      <c r="C2012" s="223" t="n"/>
      <c r="D2012" s="127" t="n"/>
      <c r="E2012" s="227" t="n"/>
      <c r="F2012" s="227" t="n"/>
      <c r="G2012" s="227" t="n"/>
      <c r="H2012" s="227" t="n"/>
      <c r="I2012" s="227" t="n"/>
      <c r="J2012" s="227" t="n"/>
      <c r="K2012" s="227" t="n"/>
      <c r="L2012" s="227" t="n"/>
      <c r="M2012" s="227" t="n"/>
      <c r="N2012" s="127" t="n"/>
      <c r="O2012" s="227" t="n"/>
      <c r="P2012" s="227" t="n"/>
      <c r="Q2012" s="227" t="n"/>
      <c r="R2012" s="227" t="n"/>
      <c r="S2012" s="227" t="n"/>
      <c r="T2012" s="227" t="n"/>
    </row>
    <row r="2013">
      <c r="A2013" s="145">
        <f>IF($B2013="","",ROW()-5)</f>
        <v/>
      </c>
      <c r="B2013" s="127" t="n"/>
      <c r="C2013" s="223" t="n"/>
      <c r="D2013" s="127" t="n"/>
      <c r="E2013" s="227" t="n"/>
      <c r="F2013" s="227" t="n"/>
      <c r="G2013" s="227" t="n"/>
      <c r="H2013" s="227" t="n"/>
      <c r="I2013" s="227" t="n"/>
      <c r="J2013" s="227" t="n"/>
      <c r="K2013" s="227" t="n"/>
      <c r="L2013" s="227" t="n"/>
      <c r="M2013" s="227" t="n"/>
      <c r="N2013" s="127" t="n"/>
      <c r="O2013" s="227" t="n"/>
      <c r="P2013" s="227" t="n"/>
      <c r="Q2013" s="227" t="n"/>
      <c r="R2013" s="227" t="n"/>
      <c r="S2013" s="227" t="n"/>
      <c r="T2013" s="227" t="n"/>
    </row>
    <row r="2014">
      <c r="A2014" s="145">
        <f>IF($B2014="","",ROW()-5)</f>
        <v/>
      </c>
      <c r="B2014" s="127" t="n"/>
      <c r="C2014" s="223" t="n"/>
      <c r="D2014" s="127" t="n"/>
      <c r="E2014" s="227" t="n"/>
      <c r="F2014" s="227" t="n"/>
      <c r="G2014" s="227" t="n"/>
      <c r="H2014" s="227" t="n"/>
      <c r="I2014" s="227" t="n"/>
      <c r="J2014" s="227" t="n"/>
      <c r="K2014" s="227" t="n"/>
      <c r="L2014" s="227" t="n"/>
      <c r="M2014" s="227" t="n"/>
      <c r="N2014" s="127" t="n"/>
      <c r="O2014" s="227" t="n"/>
      <c r="P2014" s="227" t="n"/>
      <c r="Q2014" s="227" t="n"/>
      <c r="R2014" s="227" t="n"/>
      <c r="S2014" s="227" t="n"/>
      <c r="T2014" s="227" t="n"/>
    </row>
    <row r="2015">
      <c r="A2015" s="145">
        <f>IF($B2015="","",ROW()-5)</f>
        <v/>
      </c>
      <c r="B2015" s="127" t="n"/>
      <c r="C2015" s="223" t="n"/>
      <c r="D2015" s="127" t="n"/>
      <c r="E2015" s="227" t="n"/>
      <c r="F2015" s="227" t="n"/>
      <c r="G2015" s="227" t="n"/>
      <c r="H2015" s="227" t="n"/>
      <c r="I2015" s="227" t="n"/>
      <c r="J2015" s="227" t="n"/>
      <c r="K2015" s="227" t="n"/>
      <c r="L2015" s="227" t="n"/>
      <c r="M2015" s="227" t="n"/>
      <c r="N2015" s="127" t="n"/>
      <c r="O2015" s="227" t="n"/>
      <c r="P2015" s="227" t="n"/>
      <c r="Q2015" s="227" t="n"/>
      <c r="R2015" s="227" t="n"/>
      <c r="S2015" s="227" t="n"/>
      <c r="T2015" s="227" t="n"/>
    </row>
    <row r="2016">
      <c r="A2016" s="145">
        <f>IF($B2016="","",ROW()-5)</f>
        <v/>
      </c>
      <c r="B2016" s="127" t="n"/>
      <c r="C2016" s="223" t="n"/>
      <c r="D2016" s="127" t="n"/>
      <c r="E2016" s="227" t="n"/>
      <c r="F2016" s="227" t="n"/>
      <c r="G2016" s="227" t="n"/>
      <c r="H2016" s="227" t="n"/>
      <c r="I2016" s="227" t="n"/>
      <c r="J2016" s="227" t="n"/>
      <c r="K2016" s="227" t="n"/>
      <c r="L2016" s="227" t="n"/>
      <c r="M2016" s="227" t="n"/>
      <c r="N2016" s="127" t="n"/>
      <c r="O2016" s="227" t="n"/>
      <c r="P2016" s="227" t="n"/>
      <c r="Q2016" s="227" t="n"/>
      <c r="R2016" s="227" t="n"/>
      <c r="S2016" s="227" t="n"/>
      <c r="T2016" s="227" t="n"/>
    </row>
    <row r="2017">
      <c r="A2017" s="145">
        <f>IF($B2017="","",ROW()-5)</f>
        <v/>
      </c>
      <c r="B2017" s="127" t="n"/>
      <c r="C2017" s="223" t="n"/>
      <c r="D2017" s="127" t="n"/>
      <c r="E2017" s="227" t="n"/>
      <c r="F2017" s="227" t="n"/>
      <c r="G2017" s="227" t="n"/>
      <c r="H2017" s="227" t="n"/>
      <c r="I2017" s="227" t="n"/>
      <c r="J2017" s="227" t="n"/>
      <c r="K2017" s="227" t="n"/>
      <c r="L2017" s="227" t="n"/>
      <c r="M2017" s="227" t="n"/>
      <c r="N2017" s="127" t="n"/>
      <c r="O2017" s="227" t="n"/>
      <c r="P2017" s="227" t="n"/>
      <c r="Q2017" s="227" t="n"/>
      <c r="R2017" s="227" t="n"/>
      <c r="S2017" s="227" t="n"/>
      <c r="T2017" s="227" t="n"/>
    </row>
    <row r="2018">
      <c r="A2018" s="145">
        <f>IF($B2018="","",ROW()-5)</f>
        <v/>
      </c>
      <c r="B2018" s="127" t="n"/>
      <c r="C2018" s="223" t="n"/>
      <c r="D2018" s="127" t="n"/>
      <c r="E2018" s="227" t="n"/>
      <c r="F2018" s="227" t="n"/>
      <c r="G2018" s="227" t="n"/>
      <c r="H2018" s="227" t="n"/>
      <c r="I2018" s="227" t="n"/>
      <c r="J2018" s="227" t="n"/>
      <c r="K2018" s="227" t="n"/>
      <c r="L2018" s="227" t="n"/>
      <c r="M2018" s="227" t="n"/>
      <c r="N2018" s="127" t="n"/>
      <c r="O2018" s="227" t="n"/>
      <c r="P2018" s="227" t="n"/>
      <c r="Q2018" s="227" t="n"/>
      <c r="R2018" s="227" t="n"/>
      <c r="S2018" s="227" t="n"/>
      <c r="T2018" s="227" t="n"/>
    </row>
    <row r="2019">
      <c r="A2019" s="145">
        <f>IF($B2019="","",ROW()-5)</f>
        <v/>
      </c>
      <c r="B2019" s="127" t="n"/>
      <c r="C2019" s="223" t="n"/>
      <c r="D2019" s="127" t="n"/>
      <c r="E2019" s="227" t="n"/>
      <c r="F2019" s="227" t="n"/>
      <c r="G2019" s="227" t="n"/>
      <c r="H2019" s="227" t="n"/>
      <c r="I2019" s="227" t="n"/>
      <c r="J2019" s="227" t="n"/>
      <c r="K2019" s="227" t="n"/>
      <c r="L2019" s="227" t="n"/>
      <c r="M2019" s="227" t="n"/>
      <c r="N2019" s="127" t="n"/>
      <c r="O2019" s="227" t="n"/>
      <c r="P2019" s="227" t="n"/>
      <c r="Q2019" s="227" t="n"/>
      <c r="R2019" s="227" t="n"/>
      <c r="S2019" s="227" t="n"/>
      <c r="T2019" s="227" t="n"/>
    </row>
    <row r="2020">
      <c r="A2020" s="145">
        <f>IF($B2020="","",ROW()-5)</f>
        <v/>
      </c>
      <c r="B2020" s="127" t="n"/>
      <c r="C2020" s="223" t="n"/>
      <c r="D2020" s="127" t="n"/>
      <c r="E2020" s="227" t="n"/>
      <c r="F2020" s="227" t="n"/>
      <c r="G2020" s="227" t="n"/>
      <c r="H2020" s="227" t="n"/>
      <c r="I2020" s="227" t="n"/>
      <c r="J2020" s="227" t="n"/>
      <c r="K2020" s="227" t="n"/>
      <c r="L2020" s="227" t="n"/>
      <c r="M2020" s="227" t="n"/>
      <c r="N2020" s="127" t="n"/>
      <c r="O2020" s="227" t="n"/>
      <c r="P2020" s="227" t="n"/>
      <c r="Q2020" s="227" t="n"/>
      <c r="R2020" s="227" t="n"/>
      <c r="S2020" s="227" t="n"/>
      <c r="T2020" s="227" t="n"/>
    </row>
    <row r="2021">
      <c r="A2021" s="145">
        <f>IF($B2021="","",ROW()-5)</f>
        <v/>
      </c>
      <c r="B2021" s="127" t="n"/>
      <c r="C2021" s="223" t="n"/>
      <c r="D2021" s="127" t="n"/>
      <c r="E2021" s="227" t="n"/>
      <c r="F2021" s="227" t="n"/>
      <c r="G2021" s="227" t="n"/>
      <c r="H2021" s="227" t="n"/>
      <c r="I2021" s="227" t="n"/>
      <c r="J2021" s="227" t="n"/>
      <c r="K2021" s="227" t="n"/>
      <c r="L2021" s="227" t="n"/>
      <c r="M2021" s="227" t="n"/>
      <c r="N2021" s="127" t="n"/>
      <c r="O2021" s="227" t="n"/>
      <c r="P2021" s="227" t="n"/>
      <c r="Q2021" s="227" t="n"/>
      <c r="R2021" s="227" t="n"/>
      <c r="S2021" s="227" t="n"/>
      <c r="T2021" s="227" t="n"/>
    </row>
    <row r="2022">
      <c r="A2022" s="145">
        <f>IF($B2022="","",ROW()-5)</f>
        <v/>
      </c>
      <c r="B2022" s="127" t="n"/>
      <c r="C2022" s="223" t="n"/>
      <c r="D2022" s="127" t="n"/>
      <c r="E2022" s="227" t="n"/>
      <c r="F2022" s="227" t="n"/>
      <c r="G2022" s="227" t="n"/>
      <c r="H2022" s="227" t="n"/>
      <c r="I2022" s="227" t="n"/>
      <c r="J2022" s="227" t="n"/>
      <c r="K2022" s="227" t="n"/>
      <c r="L2022" s="227" t="n"/>
      <c r="M2022" s="227" t="n"/>
      <c r="N2022" s="127" t="n"/>
      <c r="O2022" s="227" t="n"/>
      <c r="P2022" s="227" t="n"/>
      <c r="Q2022" s="227" t="n"/>
      <c r="R2022" s="227" t="n"/>
      <c r="S2022" s="227" t="n"/>
      <c r="T2022" s="227" t="n"/>
    </row>
    <row r="2023">
      <c r="A2023" s="145">
        <f>IF($B2023="","",ROW()-5)</f>
        <v/>
      </c>
      <c r="B2023" s="127" t="n"/>
      <c r="C2023" s="223" t="n"/>
      <c r="D2023" s="127" t="n"/>
      <c r="E2023" s="227" t="n"/>
      <c r="F2023" s="227" t="n"/>
      <c r="G2023" s="227" t="n"/>
      <c r="H2023" s="227" t="n"/>
      <c r="I2023" s="227" t="n"/>
      <c r="J2023" s="227" t="n"/>
      <c r="K2023" s="227" t="n"/>
      <c r="L2023" s="227" t="n"/>
      <c r="M2023" s="227" t="n"/>
      <c r="N2023" s="127" t="n"/>
      <c r="O2023" s="227" t="n"/>
      <c r="P2023" s="227" t="n"/>
      <c r="Q2023" s="227" t="n"/>
      <c r="R2023" s="227" t="n"/>
      <c r="S2023" s="227" t="n"/>
      <c r="T2023" s="227" t="n"/>
    </row>
    <row r="2024">
      <c r="A2024" s="145">
        <f>IF($B2024="","",ROW()-5)</f>
        <v/>
      </c>
      <c r="B2024" s="127" t="n"/>
      <c r="C2024" s="223" t="n"/>
      <c r="D2024" s="127" t="n"/>
      <c r="E2024" s="227" t="n"/>
      <c r="F2024" s="227" t="n"/>
      <c r="G2024" s="227" t="n"/>
      <c r="H2024" s="227" t="n"/>
      <c r="I2024" s="227" t="n"/>
      <c r="J2024" s="227" t="n"/>
      <c r="K2024" s="227" t="n"/>
      <c r="L2024" s="227" t="n"/>
      <c r="M2024" s="227" t="n"/>
      <c r="N2024" s="127" t="n"/>
      <c r="O2024" s="227" t="n"/>
      <c r="P2024" s="227" t="n"/>
      <c r="Q2024" s="227" t="n"/>
      <c r="R2024" s="227" t="n"/>
      <c r="S2024" s="227" t="n"/>
      <c r="T2024" s="227" t="n"/>
    </row>
    <row r="2025">
      <c r="A2025" s="145">
        <f>IF($B2025="","",ROW()-5)</f>
        <v/>
      </c>
      <c r="B2025" s="127" t="n"/>
      <c r="C2025" s="223" t="n"/>
      <c r="D2025" s="127" t="n"/>
      <c r="E2025" s="227" t="n"/>
      <c r="F2025" s="227" t="n"/>
      <c r="G2025" s="227" t="n"/>
      <c r="H2025" s="227" t="n"/>
      <c r="I2025" s="227" t="n"/>
      <c r="J2025" s="227" t="n"/>
      <c r="K2025" s="227" t="n"/>
      <c r="L2025" s="227" t="n"/>
      <c r="M2025" s="227" t="n"/>
      <c r="N2025" s="127" t="n"/>
      <c r="O2025" s="227" t="n"/>
      <c r="P2025" s="227" t="n"/>
      <c r="Q2025" s="227" t="n"/>
      <c r="R2025" s="227" t="n"/>
      <c r="S2025" s="227" t="n"/>
      <c r="T2025" s="227" t="n"/>
    </row>
    <row r="2026">
      <c r="A2026" s="145">
        <f>IF($B2026="","",ROW()-5)</f>
        <v/>
      </c>
      <c r="B2026" s="127" t="n"/>
      <c r="C2026" s="223" t="n"/>
      <c r="D2026" s="127" t="n"/>
      <c r="E2026" s="227" t="n"/>
      <c r="F2026" s="227" t="n"/>
      <c r="G2026" s="227" t="n"/>
      <c r="H2026" s="227" t="n"/>
      <c r="I2026" s="227" t="n"/>
      <c r="J2026" s="227" t="n"/>
      <c r="K2026" s="227" t="n"/>
      <c r="L2026" s="227" t="n"/>
      <c r="M2026" s="227" t="n"/>
      <c r="N2026" s="127" t="n"/>
      <c r="O2026" s="227" t="n"/>
      <c r="P2026" s="227" t="n"/>
      <c r="Q2026" s="227" t="n"/>
      <c r="R2026" s="227" t="n"/>
      <c r="S2026" s="227" t="n"/>
      <c r="T2026" s="227" t="n"/>
    </row>
    <row r="2027">
      <c r="A2027" s="145">
        <f>IF($B2027="","",ROW()-5)</f>
        <v/>
      </c>
      <c r="B2027" s="127" t="n"/>
      <c r="C2027" s="223" t="n"/>
      <c r="D2027" s="127" t="n"/>
      <c r="E2027" s="227" t="n"/>
      <c r="F2027" s="227" t="n"/>
      <c r="G2027" s="227" t="n"/>
      <c r="H2027" s="227" t="n"/>
      <c r="I2027" s="227" t="n"/>
      <c r="J2027" s="227" t="n"/>
      <c r="K2027" s="227" t="n"/>
      <c r="L2027" s="227" t="n"/>
      <c r="M2027" s="227" t="n"/>
      <c r="N2027" s="127" t="n"/>
      <c r="O2027" s="227" t="n"/>
      <c r="P2027" s="227" t="n"/>
      <c r="Q2027" s="227" t="n"/>
      <c r="R2027" s="227" t="n"/>
      <c r="S2027" s="227" t="n"/>
      <c r="T2027" s="227" t="n"/>
    </row>
    <row r="2028">
      <c r="A2028" s="145">
        <f>IF($B2028="","",ROW()-5)</f>
        <v/>
      </c>
      <c r="B2028" s="127" t="n"/>
      <c r="C2028" s="223" t="n"/>
      <c r="D2028" s="127" t="n"/>
      <c r="E2028" s="227" t="n"/>
      <c r="F2028" s="227" t="n"/>
      <c r="G2028" s="227" t="n"/>
      <c r="H2028" s="227" t="n"/>
      <c r="I2028" s="227" t="n"/>
      <c r="J2028" s="227" t="n"/>
      <c r="K2028" s="227" t="n"/>
      <c r="L2028" s="227" t="n"/>
      <c r="M2028" s="227" t="n"/>
      <c r="N2028" s="127" t="n"/>
      <c r="O2028" s="227" t="n"/>
      <c r="P2028" s="227" t="n"/>
      <c r="Q2028" s="227" t="n"/>
      <c r="R2028" s="227" t="n"/>
      <c r="S2028" s="227" t="n"/>
      <c r="T2028" s="227" t="n"/>
    </row>
    <row r="2029">
      <c r="A2029" s="145">
        <f>IF($B2029="","",ROW()-5)</f>
        <v/>
      </c>
      <c r="B2029" s="127" t="n"/>
      <c r="C2029" s="223" t="n"/>
      <c r="D2029" s="127" t="n"/>
      <c r="E2029" s="227" t="n"/>
      <c r="F2029" s="227" t="n"/>
      <c r="G2029" s="227" t="n"/>
      <c r="H2029" s="227" t="n"/>
      <c r="I2029" s="227" t="n"/>
      <c r="J2029" s="227" t="n"/>
      <c r="K2029" s="227" t="n"/>
      <c r="L2029" s="227" t="n"/>
      <c r="M2029" s="227" t="n"/>
      <c r="N2029" s="127" t="n"/>
      <c r="O2029" s="227" t="n"/>
      <c r="P2029" s="227" t="n"/>
      <c r="Q2029" s="227" t="n"/>
      <c r="R2029" s="227" t="n"/>
      <c r="S2029" s="227" t="n"/>
      <c r="T2029" s="227" t="n"/>
    </row>
    <row r="2030">
      <c r="A2030" s="145">
        <f>IF($B2030="","",ROW()-5)</f>
        <v/>
      </c>
      <c r="B2030" s="127" t="n"/>
      <c r="C2030" s="223" t="n"/>
      <c r="D2030" s="127" t="n"/>
      <c r="E2030" s="227" t="n"/>
      <c r="F2030" s="227" t="n"/>
      <c r="G2030" s="227" t="n"/>
      <c r="H2030" s="227" t="n"/>
      <c r="I2030" s="227" t="n"/>
      <c r="J2030" s="227" t="n"/>
      <c r="K2030" s="227" t="n"/>
      <c r="L2030" s="227" t="n"/>
      <c r="M2030" s="227" t="n"/>
      <c r="N2030" s="127" t="n"/>
      <c r="O2030" s="227" t="n"/>
      <c r="P2030" s="227" t="n"/>
      <c r="Q2030" s="227" t="n"/>
      <c r="R2030" s="227" t="n"/>
      <c r="S2030" s="227" t="n"/>
      <c r="T2030" s="227" t="n"/>
    </row>
    <row r="2031">
      <c r="A2031" s="145">
        <f>IF($B2031="","",ROW()-5)</f>
        <v/>
      </c>
      <c r="B2031" s="127" t="n"/>
      <c r="C2031" s="223" t="n"/>
      <c r="D2031" s="127" t="n"/>
      <c r="E2031" s="227" t="n"/>
      <c r="F2031" s="227" t="n"/>
      <c r="G2031" s="227" t="n"/>
      <c r="H2031" s="227" t="n"/>
      <c r="I2031" s="227" t="n"/>
      <c r="J2031" s="227" t="n"/>
      <c r="K2031" s="227" t="n"/>
      <c r="L2031" s="227" t="n"/>
      <c r="M2031" s="227" t="n"/>
      <c r="N2031" s="127" t="n"/>
      <c r="O2031" s="227" t="n"/>
      <c r="P2031" s="227" t="n"/>
      <c r="Q2031" s="227" t="n"/>
      <c r="R2031" s="227" t="n"/>
      <c r="S2031" s="227" t="n"/>
      <c r="T2031" s="227" t="n"/>
    </row>
    <row r="2032">
      <c r="A2032" s="145">
        <f>IF($B2032="","",ROW()-5)</f>
        <v/>
      </c>
      <c r="B2032" s="127" t="n"/>
      <c r="C2032" s="223" t="n"/>
      <c r="D2032" s="127" t="n"/>
      <c r="E2032" s="227" t="n"/>
      <c r="F2032" s="227" t="n"/>
      <c r="G2032" s="227" t="n"/>
      <c r="H2032" s="227" t="n"/>
      <c r="I2032" s="227" t="n"/>
      <c r="J2032" s="227" t="n"/>
      <c r="K2032" s="227" t="n"/>
      <c r="L2032" s="227" t="n"/>
      <c r="M2032" s="227" t="n"/>
      <c r="N2032" s="127" t="n"/>
      <c r="O2032" s="227" t="n"/>
      <c r="P2032" s="227" t="n"/>
      <c r="Q2032" s="227" t="n"/>
      <c r="R2032" s="227" t="n"/>
      <c r="S2032" s="227" t="n"/>
      <c r="T2032" s="227" t="n"/>
    </row>
    <row r="2033">
      <c r="A2033" s="145">
        <f>IF($B2033="","",ROW()-5)</f>
        <v/>
      </c>
      <c r="B2033" s="127" t="n"/>
      <c r="C2033" s="223" t="n"/>
      <c r="D2033" s="127" t="n"/>
      <c r="E2033" s="227" t="n"/>
      <c r="F2033" s="227" t="n"/>
      <c r="G2033" s="227" t="n"/>
      <c r="H2033" s="227" t="n"/>
      <c r="I2033" s="227" t="n"/>
      <c r="J2033" s="227" t="n"/>
      <c r="K2033" s="227" t="n"/>
      <c r="L2033" s="227" t="n"/>
      <c r="M2033" s="227" t="n"/>
      <c r="N2033" s="127" t="n"/>
      <c r="O2033" s="227" t="n"/>
      <c r="P2033" s="227" t="n"/>
      <c r="Q2033" s="227" t="n"/>
      <c r="R2033" s="227" t="n"/>
      <c r="S2033" s="227" t="n"/>
      <c r="T2033" s="227" t="n"/>
    </row>
    <row r="2034">
      <c r="A2034" s="145">
        <f>IF($B2034="","",ROW()-5)</f>
        <v/>
      </c>
      <c r="B2034" s="127" t="n"/>
      <c r="C2034" s="223" t="n"/>
      <c r="D2034" s="127" t="n"/>
      <c r="E2034" s="227" t="n"/>
      <c r="F2034" s="227" t="n"/>
      <c r="G2034" s="227" t="n"/>
      <c r="H2034" s="227" t="n"/>
      <c r="I2034" s="227" t="n"/>
      <c r="J2034" s="227" t="n"/>
      <c r="K2034" s="227" t="n"/>
      <c r="L2034" s="227" t="n"/>
      <c r="M2034" s="227" t="n"/>
      <c r="N2034" s="127" t="n"/>
      <c r="O2034" s="227" t="n"/>
      <c r="P2034" s="227" t="n"/>
      <c r="Q2034" s="227" t="n"/>
      <c r="R2034" s="227" t="n"/>
      <c r="S2034" s="227" t="n"/>
      <c r="T2034" s="227" t="n"/>
    </row>
    <row r="2035">
      <c r="A2035" s="145">
        <f>IF($B2035="","",ROW()-5)</f>
        <v/>
      </c>
      <c r="B2035" s="127" t="n"/>
      <c r="C2035" s="223" t="n"/>
      <c r="D2035" s="127" t="n"/>
      <c r="E2035" s="227" t="n"/>
      <c r="F2035" s="227" t="n"/>
      <c r="G2035" s="227" t="n"/>
      <c r="H2035" s="227" t="n"/>
      <c r="I2035" s="227" t="n"/>
      <c r="J2035" s="227" t="n"/>
      <c r="K2035" s="227" t="n"/>
      <c r="L2035" s="227" t="n"/>
      <c r="M2035" s="227" t="n"/>
      <c r="N2035" s="127" t="n"/>
      <c r="O2035" s="227" t="n"/>
      <c r="P2035" s="227" t="n"/>
      <c r="Q2035" s="227" t="n"/>
      <c r="R2035" s="227" t="n"/>
      <c r="S2035" s="227" t="n"/>
      <c r="T2035" s="227" t="n"/>
    </row>
    <row r="2036">
      <c r="A2036" s="145">
        <f>IF($B2036="","",ROW()-5)</f>
        <v/>
      </c>
      <c r="B2036" s="127" t="n"/>
      <c r="C2036" s="223" t="n"/>
      <c r="D2036" s="127" t="n"/>
      <c r="E2036" s="227" t="n"/>
      <c r="F2036" s="227" t="n"/>
      <c r="G2036" s="227" t="n"/>
      <c r="H2036" s="227" t="n"/>
      <c r="I2036" s="227" t="n"/>
      <c r="J2036" s="227" t="n"/>
      <c r="K2036" s="227" t="n"/>
      <c r="L2036" s="227" t="n"/>
      <c r="M2036" s="227" t="n"/>
      <c r="N2036" s="127" t="n"/>
      <c r="O2036" s="227" t="n"/>
      <c r="P2036" s="227" t="n"/>
      <c r="Q2036" s="227" t="n"/>
      <c r="R2036" s="227" t="n"/>
      <c r="S2036" s="227" t="n"/>
      <c r="T2036" s="227" t="n"/>
    </row>
    <row r="2037">
      <c r="A2037" s="145">
        <f>IF($B2037="","",ROW()-5)</f>
        <v/>
      </c>
      <c r="B2037" s="127" t="n"/>
      <c r="C2037" s="223" t="n"/>
      <c r="D2037" s="127" t="n"/>
      <c r="E2037" s="227" t="n"/>
      <c r="F2037" s="227" t="n"/>
      <c r="G2037" s="227" t="n"/>
      <c r="H2037" s="227" t="n"/>
      <c r="I2037" s="227" t="n"/>
      <c r="J2037" s="227" t="n"/>
      <c r="K2037" s="227" t="n"/>
      <c r="L2037" s="227" t="n"/>
      <c r="M2037" s="227" t="n"/>
      <c r="N2037" s="127" t="n"/>
      <c r="O2037" s="227" t="n"/>
      <c r="P2037" s="227" t="n"/>
      <c r="Q2037" s="227" t="n"/>
      <c r="R2037" s="227" t="n"/>
      <c r="S2037" s="227" t="n"/>
      <c r="T2037" s="227" t="n"/>
    </row>
    <row r="2038">
      <c r="A2038" s="145">
        <f>IF($B2038="","",ROW()-5)</f>
        <v/>
      </c>
      <c r="B2038" s="127" t="n"/>
      <c r="C2038" s="223" t="n"/>
      <c r="D2038" s="127" t="n"/>
      <c r="E2038" s="227" t="n"/>
      <c r="F2038" s="227" t="n"/>
      <c r="G2038" s="227" t="n"/>
      <c r="H2038" s="227" t="n"/>
      <c r="I2038" s="227" t="n"/>
      <c r="J2038" s="227" t="n"/>
      <c r="K2038" s="227" t="n"/>
      <c r="L2038" s="227" t="n"/>
      <c r="M2038" s="227" t="n"/>
      <c r="N2038" s="127" t="n"/>
      <c r="O2038" s="227" t="n"/>
      <c r="P2038" s="227" t="n"/>
      <c r="Q2038" s="227" t="n"/>
      <c r="R2038" s="227" t="n"/>
      <c r="S2038" s="227" t="n"/>
      <c r="T2038" s="227" t="n"/>
    </row>
    <row r="2039">
      <c r="A2039" s="145">
        <f>IF($B2039="","",ROW()-5)</f>
        <v/>
      </c>
      <c r="B2039" s="127" t="n"/>
      <c r="C2039" s="223" t="n"/>
      <c r="D2039" s="127" t="n"/>
      <c r="E2039" s="227" t="n"/>
      <c r="F2039" s="227" t="n"/>
      <c r="G2039" s="227" t="n"/>
      <c r="H2039" s="227" t="n"/>
      <c r="I2039" s="227" t="n"/>
      <c r="J2039" s="227" t="n"/>
      <c r="K2039" s="227" t="n"/>
      <c r="L2039" s="227" t="n"/>
      <c r="M2039" s="227" t="n"/>
      <c r="N2039" s="127" t="n"/>
      <c r="O2039" s="227" t="n"/>
      <c r="P2039" s="227" t="n"/>
      <c r="Q2039" s="227" t="n"/>
      <c r="R2039" s="227" t="n"/>
      <c r="S2039" s="227" t="n"/>
      <c r="T2039" s="227" t="n"/>
    </row>
    <row r="2040">
      <c r="A2040" s="145">
        <f>IF($B2040="","",ROW()-5)</f>
        <v/>
      </c>
      <c r="B2040" s="127" t="n"/>
      <c r="C2040" s="223" t="n"/>
      <c r="D2040" s="127" t="n"/>
      <c r="E2040" s="227" t="n"/>
      <c r="F2040" s="227" t="n"/>
      <c r="G2040" s="227" t="n"/>
      <c r="H2040" s="227" t="n"/>
      <c r="I2040" s="227" t="n"/>
      <c r="J2040" s="227" t="n"/>
      <c r="K2040" s="227" t="n"/>
      <c r="L2040" s="227" t="n"/>
      <c r="M2040" s="227" t="n"/>
      <c r="N2040" s="127" t="n"/>
      <c r="O2040" s="227" t="n"/>
      <c r="P2040" s="227" t="n"/>
      <c r="Q2040" s="227" t="n"/>
      <c r="R2040" s="227" t="n"/>
      <c r="S2040" s="227" t="n"/>
      <c r="T2040" s="227" t="n"/>
    </row>
    <row r="2041">
      <c r="A2041" s="145">
        <f>IF($B2041="","",ROW()-5)</f>
        <v/>
      </c>
      <c r="B2041" s="127" t="n"/>
      <c r="C2041" s="223" t="n"/>
      <c r="D2041" s="127" t="n"/>
      <c r="E2041" s="227" t="n"/>
      <c r="F2041" s="227" t="n"/>
      <c r="G2041" s="227" t="n"/>
      <c r="H2041" s="227" t="n"/>
      <c r="I2041" s="227" t="n"/>
      <c r="J2041" s="227" t="n"/>
      <c r="K2041" s="227" t="n"/>
      <c r="L2041" s="227" t="n"/>
      <c r="M2041" s="227" t="n"/>
      <c r="N2041" s="127" t="n"/>
      <c r="O2041" s="227" t="n"/>
      <c r="P2041" s="227" t="n"/>
      <c r="Q2041" s="227" t="n"/>
      <c r="R2041" s="227" t="n"/>
      <c r="S2041" s="227" t="n"/>
      <c r="T2041" s="227" t="n"/>
    </row>
    <row r="2042">
      <c r="A2042" s="145">
        <f>IF($B2042="","",ROW()-5)</f>
        <v/>
      </c>
      <c r="B2042" s="127" t="n"/>
      <c r="C2042" s="223" t="n"/>
      <c r="D2042" s="127" t="n"/>
      <c r="E2042" s="227" t="n"/>
      <c r="F2042" s="227" t="n"/>
      <c r="G2042" s="227" t="n"/>
      <c r="H2042" s="227" t="n"/>
      <c r="I2042" s="227" t="n"/>
      <c r="J2042" s="227" t="n"/>
      <c r="K2042" s="227" t="n"/>
      <c r="L2042" s="227" t="n"/>
      <c r="M2042" s="227" t="n"/>
      <c r="N2042" s="127" t="n"/>
      <c r="O2042" s="227" t="n"/>
      <c r="P2042" s="227" t="n"/>
      <c r="Q2042" s="227" t="n"/>
      <c r="R2042" s="227" t="n"/>
      <c r="S2042" s="227" t="n"/>
      <c r="T2042" s="227" t="n"/>
    </row>
    <row r="2043">
      <c r="A2043" s="145">
        <f>IF($B2043="","",ROW()-5)</f>
        <v/>
      </c>
      <c r="B2043" s="127" t="n"/>
      <c r="C2043" s="223" t="n"/>
      <c r="D2043" s="127" t="n"/>
      <c r="E2043" s="227" t="n"/>
      <c r="F2043" s="227" t="n"/>
      <c r="G2043" s="227" t="n"/>
      <c r="H2043" s="227" t="n"/>
      <c r="I2043" s="227" t="n"/>
      <c r="J2043" s="227" t="n"/>
      <c r="K2043" s="227" t="n"/>
      <c r="L2043" s="227" t="n"/>
      <c r="M2043" s="227" t="n"/>
      <c r="N2043" s="127" t="n"/>
      <c r="O2043" s="227" t="n"/>
      <c r="P2043" s="227" t="n"/>
      <c r="Q2043" s="227" t="n"/>
      <c r="R2043" s="227" t="n"/>
      <c r="S2043" s="227" t="n"/>
      <c r="T2043" s="227" t="n"/>
    </row>
    <row r="2044">
      <c r="A2044" s="145">
        <f>IF($B2044="","",ROW()-5)</f>
        <v/>
      </c>
      <c r="B2044" s="127" t="n"/>
      <c r="C2044" s="223" t="n"/>
      <c r="D2044" s="127" t="n"/>
      <c r="E2044" s="227" t="n"/>
      <c r="F2044" s="227" t="n"/>
      <c r="G2044" s="227" t="n"/>
      <c r="H2044" s="227" t="n"/>
      <c r="I2044" s="227" t="n"/>
      <c r="J2044" s="227" t="n"/>
      <c r="K2044" s="227" t="n"/>
      <c r="L2044" s="227" t="n"/>
      <c r="M2044" s="227" t="n"/>
      <c r="N2044" s="127" t="n"/>
      <c r="O2044" s="227" t="n"/>
      <c r="P2044" s="227" t="n"/>
      <c r="Q2044" s="227" t="n"/>
      <c r="R2044" s="227" t="n"/>
      <c r="S2044" s="227" t="n"/>
      <c r="T2044" s="227" t="n"/>
    </row>
    <row r="2045">
      <c r="A2045" s="145">
        <f>IF($B2045="","",ROW()-5)</f>
        <v/>
      </c>
      <c r="B2045" s="127" t="n"/>
      <c r="C2045" s="223" t="n"/>
      <c r="D2045" s="127" t="n"/>
      <c r="E2045" s="227" t="n"/>
      <c r="F2045" s="227" t="n"/>
      <c r="G2045" s="227" t="n"/>
      <c r="H2045" s="227" t="n"/>
      <c r="I2045" s="227" t="n"/>
      <c r="J2045" s="227" t="n"/>
      <c r="K2045" s="227" t="n"/>
      <c r="L2045" s="227" t="n"/>
      <c r="M2045" s="227" t="n"/>
      <c r="N2045" s="127" t="n"/>
      <c r="O2045" s="227" t="n"/>
      <c r="P2045" s="227" t="n"/>
      <c r="Q2045" s="227" t="n"/>
      <c r="R2045" s="227" t="n"/>
      <c r="S2045" s="227" t="n"/>
      <c r="T2045" s="227" t="n"/>
    </row>
    <row r="2046">
      <c r="A2046" s="145">
        <f>IF($B2046="","",ROW()-5)</f>
        <v/>
      </c>
      <c r="B2046" s="127" t="n"/>
      <c r="C2046" s="223" t="n"/>
      <c r="D2046" s="127" t="n"/>
      <c r="E2046" s="227" t="n"/>
      <c r="F2046" s="227" t="n"/>
      <c r="G2046" s="227" t="n"/>
      <c r="H2046" s="227" t="n"/>
      <c r="I2046" s="227" t="n"/>
      <c r="J2046" s="227" t="n"/>
      <c r="K2046" s="227" t="n"/>
      <c r="L2046" s="227" t="n"/>
      <c r="M2046" s="227" t="n"/>
      <c r="N2046" s="127" t="n"/>
      <c r="O2046" s="227" t="n"/>
      <c r="P2046" s="227" t="n"/>
      <c r="Q2046" s="227" t="n"/>
      <c r="R2046" s="227" t="n"/>
      <c r="S2046" s="227" t="n"/>
      <c r="T2046" s="227" t="n"/>
    </row>
    <row r="2047">
      <c r="A2047" s="145">
        <f>IF($B2047="","",ROW()-5)</f>
        <v/>
      </c>
      <c r="B2047" s="127" t="n"/>
      <c r="C2047" s="223" t="n"/>
      <c r="D2047" s="127" t="n"/>
      <c r="E2047" s="227" t="n"/>
      <c r="F2047" s="227" t="n"/>
      <c r="G2047" s="227" t="n"/>
      <c r="H2047" s="227" t="n"/>
      <c r="I2047" s="227" t="n"/>
      <c r="J2047" s="227" t="n"/>
      <c r="K2047" s="227" t="n"/>
      <c r="L2047" s="227" t="n"/>
      <c r="M2047" s="227" t="n"/>
      <c r="N2047" s="127" t="n"/>
      <c r="O2047" s="227" t="n"/>
      <c r="P2047" s="227" t="n"/>
      <c r="Q2047" s="227" t="n"/>
      <c r="R2047" s="227" t="n"/>
      <c r="S2047" s="227" t="n"/>
      <c r="T2047" s="227" t="n"/>
    </row>
    <row r="2048">
      <c r="A2048" s="145">
        <f>IF($B2048="","",ROW()-5)</f>
        <v/>
      </c>
      <c r="B2048" s="127" t="n"/>
      <c r="C2048" s="223" t="n"/>
      <c r="D2048" s="127" t="n"/>
      <c r="E2048" s="227" t="n"/>
      <c r="F2048" s="227" t="n"/>
      <c r="G2048" s="227" t="n"/>
      <c r="H2048" s="227" t="n"/>
      <c r="I2048" s="227" t="n"/>
      <c r="J2048" s="227" t="n"/>
      <c r="K2048" s="227" t="n"/>
      <c r="L2048" s="227" t="n"/>
      <c r="M2048" s="227" t="n"/>
      <c r="N2048" s="127" t="n"/>
      <c r="O2048" s="227" t="n"/>
      <c r="P2048" s="227" t="n"/>
      <c r="Q2048" s="227" t="n"/>
      <c r="R2048" s="227" t="n"/>
      <c r="S2048" s="227" t="n"/>
      <c r="T2048" s="227" t="n"/>
    </row>
    <row r="2049">
      <c r="A2049" s="145">
        <f>IF($B2049="","",ROW()-5)</f>
        <v/>
      </c>
      <c r="B2049" s="127" t="n"/>
      <c r="C2049" s="223" t="n"/>
      <c r="D2049" s="127" t="n"/>
      <c r="E2049" s="227" t="n"/>
      <c r="F2049" s="227" t="n"/>
      <c r="G2049" s="227" t="n"/>
      <c r="H2049" s="227" t="n"/>
      <c r="I2049" s="227" t="n"/>
      <c r="J2049" s="227" t="n"/>
      <c r="K2049" s="227" t="n"/>
      <c r="L2049" s="227" t="n"/>
      <c r="M2049" s="227" t="n"/>
      <c r="N2049" s="127" t="n"/>
      <c r="O2049" s="227" t="n"/>
      <c r="P2049" s="227" t="n"/>
      <c r="Q2049" s="227" t="n"/>
      <c r="R2049" s="227" t="n"/>
      <c r="S2049" s="227" t="n"/>
      <c r="T2049" s="227" t="n"/>
    </row>
    <row r="2050">
      <c r="A2050" s="145">
        <f>IF($B2050="","",ROW()-5)</f>
        <v/>
      </c>
      <c r="B2050" s="127" t="n"/>
      <c r="C2050" s="223" t="n"/>
      <c r="D2050" s="127" t="n"/>
      <c r="E2050" s="227" t="n"/>
      <c r="F2050" s="227" t="n"/>
      <c r="G2050" s="227" t="n"/>
      <c r="H2050" s="227" t="n"/>
      <c r="I2050" s="227" t="n"/>
      <c r="J2050" s="227" t="n"/>
      <c r="K2050" s="227" t="n"/>
      <c r="L2050" s="227" t="n"/>
      <c r="M2050" s="227" t="n"/>
      <c r="N2050" s="127" t="n"/>
      <c r="O2050" s="227" t="n"/>
      <c r="P2050" s="227" t="n"/>
      <c r="Q2050" s="227" t="n"/>
      <c r="R2050" s="227" t="n"/>
      <c r="S2050" s="227" t="n"/>
      <c r="T2050" s="227" t="n"/>
    </row>
    <row r="2051">
      <c r="A2051" s="145">
        <f>IF($B2051="","",ROW()-5)</f>
        <v/>
      </c>
      <c r="B2051" s="127" t="n"/>
      <c r="C2051" s="223" t="n"/>
      <c r="D2051" s="127" t="n"/>
      <c r="E2051" s="227" t="n"/>
      <c r="F2051" s="227" t="n"/>
      <c r="G2051" s="227" t="n"/>
      <c r="H2051" s="227" t="n"/>
      <c r="I2051" s="227" t="n"/>
      <c r="J2051" s="227" t="n"/>
      <c r="K2051" s="227" t="n"/>
      <c r="L2051" s="227" t="n"/>
      <c r="M2051" s="227" t="n"/>
      <c r="N2051" s="127" t="n"/>
      <c r="O2051" s="227" t="n"/>
      <c r="P2051" s="227" t="n"/>
      <c r="Q2051" s="227" t="n"/>
      <c r="R2051" s="227" t="n"/>
      <c r="S2051" s="227" t="n"/>
      <c r="T2051" s="227" t="n"/>
    </row>
    <row r="2052">
      <c r="A2052" s="145">
        <f>IF($B2052="","",ROW()-5)</f>
        <v/>
      </c>
      <c r="B2052" s="127" t="n"/>
      <c r="C2052" s="223" t="n"/>
      <c r="D2052" s="127" t="n"/>
      <c r="E2052" s="227" t="n"/>
      <c r="F2052" s="227" t="n"/>
      <c r="G2052" s="227" t="n"/>
      <c r="H2052" s="227" t="n"/>
      <c r="I2052" s="227" t="n"/>
      <c r="J2052" s="227" t="n"/>
      <c r="K2052" s="227" t="n"/>
      <c r="L2052" s="227" t="n"/>
      <c r="M2052" s="227" t="n"/>
      <c r="N2052" s="127" t="n"/>
      <c r="O2052" s="227" t="n"/>
      <c r="P2052" s="227" t="n"/>
      <c r="Q2052" s="227" t="n"/>
      <c r="R2052" s="227" t="n"/>
      <c r="S2052" s="227" t="n"/>
      <c r="T2052" s="227" t="n"/>
    </row>
    <row r="2053">
      <c r="A2053" s="145">
        <f>IF($B2053="","",ROW()-5)</f>
        <v/>
      </c>
      <c r="B2053" s="127" t="n"/>
      <c r="C2053" s="223" t="n"/>
      <c r="D2053" s="127" t="n"/>
      <c r="E2053" s="227" t="n"/>
      <c r="F2053" s="227" t="n"/>
      <c r="G2053" s="227" t="n"/>
      <c r="H2053" s="227" t="n"/>
      <c r="I2053" s="227" t="n"/>
      <c r="J2053" s="227" t="n"/>
      <c r="K2053" s="227" t="n"/>
      <c r="L2053" s="227" t="n"/>
      <c r="M2053" s="227" t="n"/>
      <c r="N2053" s="127" t="n"/>
      <c r="O2053" s="227" t="n"/>
      <c r="P2053" s="227" t="n"/>
      <c r="Q2053" s="227" t="n"/>
      <c r="R2053" s="227" t="n"/>
      <c r="S2053" s="227" t="n"/>
      <c r="T2053" s="227" t="n"/>
    </row>
    <row r="2054">
      <c r="A2054" s="145">
        <f>IF($B2054="","",ROW()-5)</f>
        <v/>
      </c>
      <c r="B2054" s="127" t="n"/>
      <c r="C2054" s="223" t="n"/>
      <c r="D2054" s="127" t="n"/>
      <c r="E2054" s="227" t="n"/>
      <c r="F2054" s="227" t="n"/>
      <c r="G2054" s="227" t="n"/>
      <c r="H2054" s="227" t="n"/>
      <c r="I2054" s="227" t="n"/>
      <c r="J2054" s="227" t="n"/>
      <c r="K2054" s="227" t="n"/>
      <c r="L2054" s="227" t="n"/>
      <c r="M2054" s="227" t="n"/>
      <c r="N2054" s="127" t="n"/>
      <c r="O2054" s="227" t="n"/>
      <c r="P2054" s="227" t="n"/>
      <c r="Q2054" s="227" t="n"/>
      <c r="R2054" s="227" t="n"/>
      <c r="S2054" s="227" t="n"/>
      <c r="T2054" s="227" t="n"/>
    </row>
    <row r="2055">
      <c r="A2055" s="145">
        <f>IF($B2055="","",ROW()-5)</f>
        <v/>
      </c>
      <c r="B2055" s="127" t="n"/>
      <c r="C2055" s="223" t="n"/>
      <c r="D2055" s="127" t="n"/>
      <c r="E2055" s="227" t="n"/>
      <c r="F2055" s="227" t="n"/>
      <c r="G2055" s="227" t="n"/>
      <c r="H2055" s="227" t="n"/>
      <c r="I2055" s="227" t="n"/>
      <c r="J2055" s="227" t="n"/>
      <c r="K2055" s="227" t="n"/>
      <c r="L2055" s="227" t="n"/>
      <c r="M2055" s="227" t="n"/>
      <c r="N2055" s="127" t="n"/>
      <c r="O2055" s="227" t="n"/>
      <c r="P2055" s="227" t="n"/>
      <c r="Q2055" s="227" t="n"/>
      <c r="R2055" s="227" t="n"/>
      <c r="S2055" s="227" t="n"/>
      <c r="T2055" s="227" t="n"/>
    </row>
    <row r="2056">
      <c r="A2056" s="145">
        <f>IF($B2056="","",ROW()-5)</f>
        <v/>
      </c>
      <c r="B2056" s="127" t="n"/>
      <c r="C2056" s="223" t="n"/>
      <c r="D2056" s="127" t="n"/>
      <c r="E2056" s="227" t="n"/>
      <c r="F2056" s="227" t="n"/>
      <c r="G2056" s="227" t="n"/>
      <c r="H2056" s="227" t="n"/>
      <c r="I2056" s="227" t="n"/>
      <c r="J2056" s="227" t="n"/>
      <c r="K2056" s="227" t="n"/>
      <c r="L2056" s="227" t="n"/>
      <c r="M2056" s="227" t="n"/>
      <c r="N2056" s="127" t="n"/>
      <c r="O2056" s="227" t="n"/>
      <c r="P2056" s="227" t="n"/>
      <c r="Q2056" s="227" t="n"/>
      <c r="R2056" s="227" t="n"/>
      <c r="S2056" s="227" t="n"/>
      <c r="T2056" s="227" t="n"/>
    </row>
    <row r="2057">
      <c r="A2057" s="145">
        <f>IF($B2057="","",ROW()-5)</f>
        <v/>
      </c>
      <c r="B2057" s="127" t="n"/>
      <c r="C2057" s="223" t="n"/>
      <c r="D2057" s="127" t="n"/>
      <c r="E2057" s="227" t="n"/>
      <c r="F2057" s="227" t="n"/>
      <c r="G2057" s="227" t="n"/>
      <c r="H2057" s="227" t="n"/>
      <c r="I2057" s="227" t="n"/>
      <c r="J2057" s="227" t="n"/>
      <c r="K2057" s="227" t="n"/>
      <c r="L2057" s="227" t="n"/>
      <c r="M2057" s="227" t="n"/>
      <c r="N2057" s="127" t="n"/>
      <c r="O2057" s="227" t="n"/>
      <c r="P2057" s="227" t="n"/>
      <c r="Q2057" s="227" t="n"/>
      <c r="R2057" s="227" t="n"/>
      <c r="S2057" s="227" t="n"/>
      <c r="T2057" s="227" t="n"/>
    </row>
    <row r="2058">
      <c r="A2058" s="145">
        <f>IF($B2058="","",ROW()-5)</f>
        <v/>
      </c>
      <c r="B2058" s="127" t="n"/>
      <c r="C2058" s="223" t="n"/>
      <c r="D2058" s="127" t="n"/>
      <c r="E2058" s="227" t="n"/>
      <c r="F2058" s="227" t="n"/>
      <c r="G2058" s="227" t="n"/>
      <c r="H2058" s="227" t="n"/>
      <c r="I2058" s="227" t="n"/>
      <c r="J2058" s="227" t="n"/>
      <c r="K2058" s="227" t="n"/>
      <c r="L2058" s="227" t="n"/>
      <c r="M2058" s="227" t="n"/>
      <c r="N2058" s="127" t="n"/>
      <c r="O2058" s="227" t="n"/>
      <c r="P2058" s="227" t="n"/>
      <c r="Q2058" s="227" t="n"/>
      <c r="R2058" s="227" t="n"/>
      <c r="S2058" s="227" t="n"/>
      <c r="T2058" s="227" t="n"/>
    </row>
    <row r="2059">
      <c r="A2059" s="145">
        <f>IF($B2059="","",ROW()-5)</f>
        <v/>
      </c>
      <c r="B2059" s="127" t="n"/>
      <c r="C2059" s="223" t="n"/>
      <c r="D2059" s="127" t="n"/>
      <c r="E2059" s="227" t="n"/>
      <c r="F2059" s="227" t="n"/>
      <c r="G2059" s="227" t="n"/>
      <c r="H2059" s="227" t="n"/>
      <c r="I2059" s="227" t="n"/>
      <c r="J2059" s="227" t="n"/>
      <c r="K2059" s="227" t="n"/>
      <c r="L2059" s="227" t="n"/>
      <c r="M2059" s="227" t="n"/>
      <c r="N2059" s="127" t="n"/>
      <c r="O2059" s="227" t="n"/>
      <c r="P2059" s="227" t="n"/>
      <c r="Q2059" s="227" t="n"/>
      <c r="R2059" s="227" t="n"/>
      <c r="S2059" s="227" t="n"/>
      <c r="T2059" s="227" t="n"/>
    </row>
    <row r="2060">
      <c r="A2060" s="145">
        <f>IF($B2060="","",ROW()-5)</f>
        <v/>
      </c>
      <c r="B2060" s="127" t="n"/>
      <c r="C2060" s="223" t="n"/>
      <c r="D2060" s="127" t="n"/>
      <c r="E2060" s="227" t="n"/>
      <c r="F2060" s="227" t="n"/>
      <c r="G2060" s="227" t="n"/>
      <c r="H2060" s="227" t="n"/>
      <c r="I2060" s="227" t="n"/>
      <c r="J2060" s="227" t="n"/>
      <c r="K2060" s="227" t="n"/>
      <c r="L2060" s="227" t="n"/>
      <c r="M2060" s="227" t="n"/>
      <c r="N2060" s="127" t="n"/>
      <c r="O2060" s="227" t="n"/>
      <c r="P2060" s="227" t="n"/>
      <c r="Q2060" s="227" t="n"/>
      <c r="R2060" s="227" t="n"/>
      <c r="S2060" s="227" t="n"/>
      <c r="T2060" s="227" t="n"/>
    </row>
    <row r="2061">
      <c r="A2061" s="145">
        <f>IF($B2061="","",ROW()-5)</f>
        <v/>
      </c>
      <c r="B2061" s="127" t="n"/>
      <c r="C2061" s="223" t="n"/>
      <c r="D2061" s="127" t="n"/>
      <c r="E2061" s="227" t="n"/>
      <c r="F2061" s="227" t="n"/>
      <c r="G2061" s="227" t="n"/>
      <c r="H2061" s="227" t="n"/>
      <c r="I2061" s="227" t="n"/>
      <c r="J2061" s="227" t="n"/>
      <c r="K2061" s="227" t="n"/>
      <c r="L2061" s="227" t="n"/>
      <c r="M2061" s="227" t="n"/>
      <c r="N2061" s="127" t="n"/>
      <c r="O2061" s="227" t="n"/>
      <c r="P2061" s="227" t="n"/>
      <c r="Q2061" s="227" t="n"/>
      <c r="R2061" s="227" t="n"/>
      <c r="S2061" s="227" t="n"/>
      <c r="T2061" s="227" t="n"/>
    </row>
    <row r="2062">
      <c r="A2062" s="145">
        <f>IF($B2062="","",ROW()-5)</f>
        <v/>
      </c>
      <c r="B2062" s="127" t="n"/>
      <c r="C2062" s="223" t="n"/>
      <c r="D2062" s="127" t="n"/>
      <c r="E2062" s="227" t="n"/>
      <c r="F2062" s="227" t="n"/>
      <c r="G2062" s="227" t="n"/>
      <c r="H2062" s="227" t="n"/>
      <c r="I2062" s="227" t="n"/>
      <c r="J2062" s="227" t="n"/>
      <c r="K2062" s="227" t="n"/>
      <c r="L2062" s="227" t="n"/>
      <c r="M2062" s="227" t="n"/>
      <c r="N2062" s="127" t="n"/>
      <c r="O2062" s="227" t="n"/>
      <c r="P2062" s="227" t="n"/>
      <c r="Q2062" s="227" t="n"/>
      <c r="R2062" s="227" t="n"/>
      <c r="S2062" s="227" t="n"/>
      <c r="T2062" s="227" t="n"/>
    </row>
    <row r="2063">
      <c r="A2063" s="145">
        <f>IF($B2063="","",ROW()-5)</f>
        <v/>
      </c>
      <c r="B2063" s="127" t="n"/>
      <c r="C2063" s="223" t="n"/>
      <c r="D2063" s="127" t="n"/>
      <c r="E2063" s="227" t="n"/>
      <c r="F2063" s="227" t="n"/>
      <c r="G2063" s="227" t="n"/>
      <c r="H2063" s="227" t="n"/>
      <c r="I2063" s="227" t="n"/>
      <c r="J2063" s="227" t="n"/>
      <c r="K2063" s="227" t="n"/>
      <c r="L2063" s="227" t="n"/>
      <c r="M2063" s="227" t="n"/>
      <c r="N2063" s="127" t="n"/>
      <c r="O2063" s="227" t="n"/>
      <c r="P2063" s="227" t="n"/>
      <c r="Q2063" s="227" t="n"/>
      <c r="R2063" s="227" t="n"/>
      <c r="S2063" s="227" t="n"/>
      <c r="T2063" s="227" t="n"/>
    </row>
    <row r="2064">
      <c r="A2064" s="145">
        <f>IF($B2064="","",ROW()-5)</f>
        <v/>
      </c>
      <c r="B2064" s="127" t="n"/>
      <c r="C2064" s="223" t="n"/>
      <c r="D2064" s="127" t="n"/>
      <c r="E2064" s="227" t="n"/>
      <c r="F2064" s="227" t="n"/>
      <c r="G2064" s="227" t="n"/>
      <c r="H2064" s="227" t="n"/>
      <c r="I2064" s="227" t="n"/>
      <c r="J2064" s="227" t="n"/>
      <c r="K2064" s="227" t="n"/>
      <c r="L2064" s="227" t="n"/>
      <c r="M2064" s="227" t="n"/>
      <c r="N2064" s="127" t="n"/>
      <c r="O2064" s="227" t="n"/>
      <c r="P2064" s="227" t="n"/>
      <c r="Q2064" s="227" t="n"/>
      <c r="R2064" s="227" t="n"/>
      <c r="S2064" s="227" t="n"/>
      <c r="T2064" s="227" t="n"/>
    </row>
    <row r="2065">
      <c r="A2065" s="145">
        <f>IF($B2065="","",ROW()-5)</f>
        <v/>
      </c>
      <c r="B2065" s="127" t="n"/>
      <c r="C2065" s="223" t="n"/>
      <c r="D2065" s="127" t="n"/>
      <c r="E2065" s="227" t="n"/>
      <c r="F2065" s="227" t="n"/>
      <c r="G2065" s="227" t="n"/>
      <c r="H2065" s="227" t="n"/>
      <c r="I2065" s="227" t="n"/>
      <c r="J2065" s="227" t="n"/>
      <c r="K2065" s="227" t="n"/>
      <c r="L2065" s="227" t="n"/>
      <c r="M2065" s="227" t="n"/>
      <c r="N2065" s="127" t="n"/>
      <c r="O2065" s="227" t="n"/>
      <c r="P2065" s="227" t="n"/>
      <c r="Q2065" s="227" t="n"/>
      <c r="R2065" s="227" t="n"/>
      <c r="S2065" s="227" t="n"/>
      <c r="T2065" s="227" t="n"/>
    </row>
    <row r="2066">
      <c r="A2066" s="145">
        <f>IF($B2066="","",ROW()-5)</f>
        <v/>
      </c>
      <c r="B2066" s="127" t="n"/>
      <c r="C2066" s="223" t="n"/>
      <c r="D2066" s="127" t="n"/>
      <c r="E2066" s="227" t="n"/>
      <c r="F2066" s="227" t="n"/>
      <c r="G2066" s="227" t="n"/>
      <c r="H2066" s="227" t="n"/>
      <c r="I2066" s="227" t="n"/>
      <c r="J2066" s="227" t="n"/>
      <c r="K2066" s="227" t="n"/>
      <c r="L2066" s="227" t="n"/>
      <c r="M2066" s="227" t="n"/>
      <c r="N2066" s="127" t="n"/>
      <c r="O2066" s="227" t="n"/>
      <c r="P2066" s="227" t="n"/>
      <c r="Q2066" s="227" t="n"/>
      <c r="R2066" s="227" t="n"/>
      <c r="S2066" s="227" t="n"/>
      <c r="T2066" s="227" t="n"/>
    </row>
    <row r="2067">
      <c r="A2067" s="145">
        <f>IF($B2067="","",ROW()-5)</f>
        <v/>
      </c>
      <c r="B2067" s="127" t="n"/>
      <c r="C2067" s="223" t="n"/>
      <c r="D2067" s="127" t="n"/>
      <c r="E2067" s="227" t="n"/>
      <c r="F2067" s="227" t="n"/>
      <c r="G2067" s="227" t="n"/>
      <c r="H2067" s="227" t="n"/>
      <c r="I2067" s="227" t="n"/>
      <c r="J2067" s="227" t="n"/>
      <c r="K2067" s="227" t="n"/>
      <c r="L2067" s="227" t="n"/>
      <c r="M2067" s="227" t="n"/>
      <c r="N2067" s="127" t="n"/>
      <c r="O2067" s="227" t="n"/>
      <c r="P2067" s="227" t="n"/>
      <c r="Q2067" s="227" t="n"/>
      <c r="R2067" s="227" t="n"/>
      <c r="S2067" s="227" t="n"/>
      <c r="T2067" s="227" t="n"/>
    </row>
    <row r="2068">
      <c r="A2068" s="145">
        <f>IF($B2068="","",ROW()-5)</f>
        <v/>
      </c>
      <c r="B2068" s="127" t="n"/>
      <c r="C2068" s="223" t="n"/>
      <c r="D2068" s="127" t="n"/>
      <c r="E2068" s="227" t="n"/>
      <c r="F2068" s="227" t="n"/>
      <c r="G2068" s="227" t="n"/>
      <c r="H2068" s="227" t="n"/>
      <c r="I2068" s="227" t="n"/>
      <c r="J2068" s="227" t="n"/>
      <c r="K2068" s="227" t="n"/>
      <c r="L2068" s="227" t="n"/>
      <c r="M2068" s="227" t="n"/>
      <c r="N2068" s="127" t="n"/>
      <c r="O2068" s="227" t="n"/>
      <c r="P2068" s="227" t="n"/>
      <c r="Q2068" s="227" t="n"/>
      <c r="R2068" s="227" t="n"/>
      <c r="S2068" s="227" t="n"/>
      <c r="T2068" s="227" t="n"/>
    </row>
    <row r="2069">
      <c r="A2069" s="145">
        <f>IF($B2069="","",ROW()-5)</f>
        <v/>
      </c>
      <c r="B2069" s="127" t="n"/>
      <c r="C2069" s="223" t="n"/>
      <c r="D2069" s="127" t="n"/>
      <c r="E2069" s="227" t="n"/>
      <c r="F2069" s="227" t="n"/>
      <c r="G2069" s="227" t="n"/>
      <c r="H2069" s="227" t="n"/>
      <c r="I2069" s="227" t="n"/>
      <c r="J2069" s="227" t="n"/>
      <c r="K2069" s="227" t="n"/>
      <c r="L2069" s="227" t="n"/>
      <c r="M2069" s="227" t="n"/>
      <c r="N2069" s="127" t="n"/>
      <c r="O2069" s="227" t="n"/>
      <c r="P2069" s="227" t="n"/>
      <c r="Q2069" s="227" t="n"/>
      <c r="R2069" s="227" t="n"/>
      <c r="S2069" s="227" t="n"/>
      <c r="T2069" s="227" t="n"/>
    </row>
    <row r="2070">
      <c r="A2070" s="145">
        <f>IF($B2070="","",ROW()-5)</f>
        <v/>
      </c>
      <c r="B2070" s="127" t="n"/>
      <c r="C2070" s="223" t="n"/>
      <c r="D2070" s="127" t="n"/>
      <c r="E2070" s="227" t="n"/>
      <c r="F2070" s="227" t="n"/>
      <c r="G2070" s="227" t="n"/>
      <c r="H2070" s="227" t="n"/>
      <c r="I2070" s="227" t="n"/>
      <c r="J2070" s="227" t="n"/>
      <c r="K2070" s="227" t="n"/>
      <c r="L2070" s="227" t="n"/>
      <c r="M2070" s="227" t="n"/>
      <c r="N2070" s="127" t="n"/>
      <c r="O2070" s="227" t="n"/>
      <c r="P2070" s="227" t="n"/>
      <c r="Q2070" s="227" t="n"/>
      <c r="R2070" s="227" t="n"/>
      <c r="S2070" s="227" t="n"/>
      <c r="T2070" s="227" t="n"/>
    </row>
    <row r="2071">
      <c r="A2071" s="145">
        <f>IF($B2071="","",ROW()-5)</f>
        <v/>
      </c>
      <c r="B2071" s="127" t="n"/>
      <c r="C2071" s="223" t="n"/>
      <c r="D2071" s="127" t="n"/>
      <c r="E2071" s="227" t="n"/>
      <c r="F2071" s="227" t="n"/>
      <c r="G2071" s="227" t="n"/>
      <c r="H2071" s="227" t="n"/>
      <c r="I2071" s="227" t="n"/>
      <c r="J2071" s="227" t="n"/>
      <c r="K2071" s="227" t="n"/>
      <c r="L2071" s="227" t="n"/>
      <c r="M2071" s="227" t="n"/>
      <c r="N2071" s="127" t="n"/>
      <c r="O2071" s="227" t="n"/>
      <c r="P2071" s="227" t="n"/>
      <c r="Q2071" s="227" t="n"/>
      <c r="R2071" s="227" t="n"/>
      <c r="S2071" s="227" t="n"/>
      <c r="T2071" s="227" t="n"/>
    </row>
    <row r="2072">
      <c r="A2072" s="145">
        <f>IF($B2072="","",ROW()-5)</f>
        <v/>
      </c>
      <c r="B2072" s="127" t="n"/>
      <c r="C2072" s="223" t="n"/>
      <c r="D2072" s="127" t="n"/>
      <c r="E2072" s="227" t="n"/>
      <c r="F2072" s="227" t="n"/>
      <c r="G2072" s="227" t="n"/>
      <c r="H2072" s="227" t="n"/>
      <c r="I2072" s="227" t="n"/>
      <c r="J2072" s="227" t="n"/>
      <c r="K2072" s="227" t="n"/>
      <c r="L2072" s="227" t="n"/>
      <c r="M2072" s="227" t="n"/>
      <c r="N2072" s="127" t="n"/>
      <c r="O2072" s="227" t="n"/>
      <c r="P2072" s="227" t="n"/>
      <c r="Q2072" s="227" t="n"/>
      <c r="R2072" s="227" t="n"/>
      <c r="S2072" s="227" t="n"/>
      <c r="T2072" s="227" t="n"/>
    </row>
    <row r="2073">
      <c r="A2073" s="145">
        <f>IF($B2073="","",ROW()-5)</f>
        <v/>
      </c>
      <c r="B2073" s="127" t="n"/>
      <c r="C2073" s="223" t="n"/>
      <c r="D2073" s="127" t="n"/>
      <c r="E2073" s="227" t="n"/>
      <c r="F2073" s="227" t="n"/>
      <c r="G2073" s="227" t="n"/>
      <c r="H2073" s="227" t="n"/>
      <c r="I2073" s="227" t="n"/>
      <c r="J2073" s="227" t="n"/>
      <c r="K2073" s="227" t="n"/>
      <c r="L2073" s="227" t="n"/>
      <c r="M2073" s="227" t="n"/>
      <c r="N2073" s="127" t="n"/>
      <c r="O2073" s="227" t="n"/>
      <c r="P2073" s="227" t="n"/>
      <c r="Q2073" s="227" t="n"/>
      <c r="R2073" s="227" t="n"/>
      <c r="S2073" s="227" t="n"/>
      <c r="T2073" s="227" t="n"/>
    </row>
    <row r="2074">
      <c r="A2074" s="145">
        <f>IF($B2074="","",ROW()-5)</f>
        <v/>
      </c>
      <c r="B2074" s="127" t="n"/>
      <c r="C2074" s="223" t="n"/>
      <c r="D2074" s="127" t="n"/>
      <c r="E2074" s="227" t="n"/>
      <c r="F2074" s="227" t="n"/>
      <c r="G2074" s="227" t="n"/>
      <c r="H2074" s="227" t="n"/>
      <c r="I2074" s="227" t="n"/>
      <c r="J2074" s="227" t="n"/>
      <c r="K2074" s="227" t="n"/>
      <c r="L2074" s="227" t="n"/>
      <c r="M2074" s="227" t="n"/>
      <c r="N2074" s="127" t="n"/>
      <c r="O2074" s="227" t="n"/>
      <c r="P2074" s="227" t="n"/>
      <c r="Q2074" s="227" t="n"/>
      <c r="R2074" s="227" t="n"/>
      <c r="S2074" s="227" t="n"/>
      <c r="T2074" s="227" t="n"/>
    </row>
    <row r="2075">
      <c r="A2075" s="145">
        <f>IF($B2075="","",ROW()-5)</f>
        <v/>
      </c>
      <c r="B2075" s="127" t="n"/>
      <c r="C2075" s="223" t="n"/>
      <c r="D2075" s="127" t="n"/>
      <c r="E2075" s="227" t="n"/>
      <c r="F2075" s="227" t="n"/>
      <c r="G2075" s="227" t="n"/>
      <c r="H2075" s="227" t="n"/>
      <c r="I2075" s="227" t="n"/>
      <c r="J2075" s="227" t="n"/>
      <c r="K2075" s="227" t="n"/>
      <c r="L2075" s="227" t="n"/>
      <c r="M2075" s="227" t="n"/>
      <c r="N2075" s="127" t="n"/>
      <c r="O2075" s="227" t="n"/>
      <c r="P2075" s="227" t="n"/>
      <c r="Q2075" s="227" t="n"/>
      <c r="R2075" s="227" t="n"/>
      <c r="S2075" s="227" t="n"/>
      <c r="T2075" s="227" t="n"/>
    </row>
    <row r="2076">
      <c r="A2076" s="145">
        <f>IF($B2076="","",ROW()-5)</f>
        <v/>
      </c>
      <c r="B2076" s="127" t="n"/>
      <c r="C2076" s="223" t="n"/>
      <c r="D2076" s="127" t="n"/>
      <c r="E2076" s="227" t="n"/>
      <c r="F2076" s="227" t="n"/>
      <c r="G2076" s="227" t="n"/>
      <c r="H2076" s="227" t="n"/>
      <c r="I2076" s="227" t="n"/>
      <c r="J2076" s="227" t="n"/>
      <c r="K2076" s="227" t="n"/>
      <c r="L2076" s="227" t="n"/>
      <c r="M2076" s="227" t="n"/>
      <c r="N2076" s="127" t="n"/>
      <c r="O2076" s="227" t="n"/>
      <c r="P2076" s="227" t="n"/>
      <c r="Q2076" s="227" t="n"/>
      <c r="R2076" s="227" t="n"/>
      <c r="S2076" s="227" t="n"/>
      <c r="T2076" s="227" t="n"/>
    </row>
    <row r="2077">
      <c r="A2077" s="145">
        <f>IF($B2077="","",ROW()-5)</f>
        <v/>
      </c>
      <c r="B2077" s="127" t="n"/>
      <c r="C2077" s="223" t="n"/>
      <c r="D2077" s="127" t="n"/>
      <c r="E2077" s="227" t="n"/>
      <c r="F2077" s="227" t="n"/>
      <c r="G2077" s="227" t="n"/>
      <c r="H2077" s="227" t="n"/>
      <c r="I2077" s="227" t="n"/>
      <c r="J2077" s="227" t="n"/>
      <c r="K2077" s="227" t="n"/>
      <c r="L2077" s="227" t="n"/>
      <c r="M2077" s="227" t="n"/>
      <c r="N2077" s="127" t="n"/>
      <c r="O2077" s="227" t="n"/>
      <c r="P2077" s="227" t="n"/>
      <c r="Q2077" s="227" t="n"/>
      <c r="R2077" s="227" t="n"/>
      <c r="S2077" s="227" t="n"/>
      <c r="T2077" s="227" t="n"/>
    </row>
    <row r="2078">
      <c r="A2078" s="145">
        <f>IF($B2078="","",ROW()-5)</f>
        <v/>
      </c>
      <c r="B2078" s="127" t="n"/>
      <c r="C2078" s="223" t="n"/>
      <c r="D2078" s="127" t="n"/>
      <c r="E2078" s="227" t="n"/>
      <c r="F2078" s="227" t="n"/>
      <c r="G2078" s="227" t="n"/>
      <c r="H2078" s="227" t="n"/>
      <c r="I2078" s="227" t="n"/>
      <c r="J2078" s="227" t="n"/>
      <c r="K2078" s="227" t="n"/>
      <c r="L2078" s="227" t="n"/>
      <c r="M2078" s="227" t="n"/>
      <c r="N2078" s="127" t="n"/>
      <c r="O2078" s="227" t="n"/>
      <c r="P2078" s="227" t="n"/>
      <c r="Q2078" s="227" t="n"/>
      <c r="R2078" s="227" t="n"/>
      <c r="S2078" s="227" t="n"/>
      <c r="T2078" s="227" t="n"/>
    </row>
    <row r="2079">
      <c r="A2079" s="145">
        <f>IF($B2079="","",ROW()-5)</f>
        <v/>
      </c>
      <c r="B2079" s="127" t="n"/>
      <c r="C2079" s="223" t="n"/>
      <c r="D2079" s="127" t="n"/>
      <c r="E2079" s="227" t="n"/>
      <c r="F2079" s="227" t="n"/>
      <c r="G2079" s="227" t="n"/>
      <c r="H2079" s="227" t="n"/>
      <c r="I2079" s="227" t="n"/>
      <c r="J2079" s="227" t="n"/>
      <c r="K2079" s="227" t="n"/>
      <c r="L2079" s="227" t="n"/>
      <c r="M2079" s="227" t="n"/>
      <c r="N2079" s="127" t="n"/>
      <c r="O2079" s="227" t="n"/>
      <c r="P2079" s="227" t="n"/>
      <c r="Q2079" s="227" t="n"/>
      <c r="R2079" s="227" t="n"/>
      <c r="S2079" s="227" t="n"/>
      <c r="T2079" s="227" t="n"/>
    </row>
    <row r="2080">
      <c r="A2080" s="145">
        <f>IF($B2080="","",ROW()-5)</f>
        <v/>
      </c>
      <c r="B2080" s="127" t="n"/>
      <c r="C2080" s="223" t="n"/>
      <c r="D2080" s="127" t="n"/>
      <c r="E2080" s="227" t="n"/>
      <c r="F2080" s="227" t="n"/>
      <c r="G2080" s="227" t="n"/>
      <c r="H2080" s="227" t="n"/>
      <c r="I2080" s="227" t="n"/>
      <c r="J2080" s="227" t="n"/>
      <c r="K2080" s="227" t="n"/>
      <c r="L2080" s="227" t="n"/>
      <c r="M2080" s="227" t="n"/>
      <c r="N2080" s="127" t="n"/>
      <c r="O2080" s="227" t="n"/>
      <c r="P2080" s="227" t="n"/>
      <c r="Q2080" s="227" t="n"/>
      <c r="R2080" s="227" t="n"/>
      <c r="S2080" s="227" t="n"/>
      <c r="T2080" s="227" t="n"/>
    </row>
    <row r="2081">
      <c r="A2081" s="145">
        <f>IF($B2081="","",ROW()-5)</f>
        <v/>
      </c>
      <c r="B2081" s="127" t="n"/>
      <c r="C2081" s="223" t="n"/>
      <c r="D2081" s="127" t="n"/>
      <c r="E2081" s="227" t="n"/>
      <c r="F2081" s="227" t="n"/>
      <c r="G2081" s="227" t="n"/>
      <c r="H2081" s="227" t="n"/>
      <c r="I2081" s="227" t="n"/>
      <c r="J2081" s="227" t="n"/>
      <c r="K2081" s="227" t="n"/>
      <c r="L2081" s="227" t="n"/>
      <c r="M2081" s="227" t="n"/>
      <c r="N2081" s="127" t="n"/>
      <c r="O2081" s="227" t="n"/>
      <c r="P2081" s="227" t="n"/>
      <c r="Q2081" s="227" t="n"/>
      <c r="R2081" s="227" t="n"/>
      <c r="S2081" s="227" t="n"/>
      <c r="T2081" s="227" t="n"/>
    </row>
    <row r="2082">
      <c r="A2082" s="145">
        <f>IF($B2082="","",ROW()-5)</f>
        <v/>
      </c>
      <c r="B2082" s="127" t="n"/>
      <c r="C2082" s="223" t="n"/>
      <c r="D2082" s="127" t="n"/>
      <c r="E2082" s="227" t="n"/>
      <c r="F2082" s="227" t="n"/>
      <c r="G2082" s="227" t="n"/>
      <c r="H2082" s="227" t="n"/>
      <c r="I2082" s="227" t="n"/>
      <c r="J2082" s="227" t="n"/>
      <c r="K2082" s="227" t="n"/>
      <c r="L2082" s="227" t="n"/>
      <c r="M2082" s="227" t="n"/>
      <c r="N2082" s="127" t="n"/>
      <c r="O2082" s="227" t="n"/>
      <c r="P2082" s="227" t="n"/>
      <c r="Q2082" s="227" t="n"/>
      <c r="R2082" s="227" t="n"/>
      <c r="S2082" s="227" t="n"/>
      <c r="T2082" s="227" t="n"/>
    </row>
    <row r="2083">
      <c r="A2083" s="145">
        <f>IF($B2083="","",ROW()-5)</f>
        <v/>
      </c>
      <c r="B2083" s="127" t="n"/>
      <c r="C2083" s="223" t="n"/>
      <c r="D2083" s="127" t="n"/>
      <c r="E2083" s="227" t="n"/>
      <c r="F2083" s="227" t="n"/>
      <c r="G2083" s="227" t="n"/>
      <c r="H2083" s="227" t="n"/>
      <c r="I2083" s="227" t="n"/>
      <c r="J2083" s="227" t="n"/>
      <c r="K2083" s="227" t="n"/>
      <c r="L2083" s="227" t="n"/>
      <c r="M2083" s="227" t="n"/>
      <c r="N2083" s="127" t="n"/>
      <c r="O2083" s="227" t="n"/>
      <c r="P2083" s="227" t="n"/>
      <c r="Q2083" s="227" t="n"/>
      <c r="R2083" s="227" t="n"/>
      <c r="S2083" s="227" t="n"/>
      <c r="T2083" s="227" t="n"/>
    </row>
    <row r="2084">
      <c r="A2084" s="145">
        <f>IF($B2084="","",ROW()-5)</f>
        <v/>
      </c>
      <c r="B2084" s="127" t="n"/>
      <c r="C2084" s="223" t="n"/>
      <c r="D2084" s="127" t="n"/>
      <c r="E2084" s="227" t="n"/>
      <c r="F2084" s="227" t="n"/>
      <c r="G2084" s="227" t="n"/>
      <c r="H2084" s="227" t="n"/>
      <c r="I2084" s="227" t="n"/>
      <c r="J2084" s="227" t="n"/>
      <c r="K2084" s="227" t="n"/>
      <c r="L2084" s="227" t="n"/>
      <c r="M2084" s="227" t="n"/>
      <c r="N2084" s="127" t="n"/>
      <c r="O2084" s="227" t="n"/>
      <c r="P2084" s="227" t="n"/>
      <c r="Q2084" s="227" t="n"/>
      <c r="R2084" s="227" t="n"/>
      <c r="S2084" s="227" t="n"/>
      <c r="T2084" s="227" t="n"/>
    </row>
    <row r="2085">
      <c r="A2085" s="145">
        <f>IF($B2085="","",ROW()-5)</f>
        <v/>
      </c>
      <c r="B2085" s="127" t="n"/>
      <c r="C2085" s="223" t="n"/>
      <c r="D2085" s="127" t="n"/>
      <c r="E2085" s="227" t="n"/>
      <c r="F2085" s="227" t="n"/>
      <c r="G2085" s="227" t="n"/>
      <c r="H2085" s="227" t="n"/>
      <c r="I2085" s="227" t="n"/>
      <c r="J2085" s="227" t="n"/>
      <c r="K2085" s="227" t="n"/>
      <c r="L2085" s="227" t="n"/>
      <c r="M2085" s="227" t="n"/>
      <c r="N2085" s="127" t="n"/>
      <c r="O2085" s="227" t="n"/>
      <c r="P2085" s="227" t="n"/>
      <c r="Q2085" s="227" t="n"/>
      <c r="R2085" s="227" t="n"/>
      <c r="S2085" s="227" t="n"/>
      <c r="T2085" s="227" t="n"/>
    </row>
    <row r="2086">
      <c r="A2086" s="145">
        <f>IF($B2086="","",ROW()-5)</f>
        <v/>
      </c>
      <c r="B2086" s="127" t="n"/>
      <c r="C2086" s="223" t="n"/>
      <c r="D2086" s="127" t="n"/>
      <c r="E2086" s="227" t="n"/>
      <c r="F2086" s="227" t="n"/>
      <c r="G2086" s="227" t="n"/>
      <c r="H2086" s="227" t="n"/>
      <c r="I2086" s="227" t="n"/>
      <c r="J2086" s="227" t="n"/>
      <c r="K2086" s="227" t="n"/>
      <c r="L2086" s="227" t="n"/>
      <c r="M2086" s="227" t="n"/>
      <c r="N2086" s="127" t="n"/>
      <c r="O2086" s="227" t="n"/>
      <c r="P2086" s="227" t="n"/>
      <c r="Q2086" s="227" t="n"/>
      <c r="R2086" s="227" t="n"/>
      <c r="S2086" s="227" t="n"/>
      <c r="T2086" s="227" t="n"/>
    </row>
    <row r="2087">
      <c r="A2087" s="145">
        <f>IF($B2087="","",ROW()-5)</f>
        <v/>
      </c>
      <c r="B2087" s="127" t="n"/>
      <c r="C2087" s="223" t="n"/>
      <c r="D2087" s="127" t="n"/>
      <c r="E2087" s="227" t="n"/>
      <c r="F2087" s="227" t="n"/>
      <c r="G2087" s="227" t="n"/>
      <c r="H2087" s="227" t="n"/>
      <c r="I2087" s="227" t="n"/>
      <c r="J2087" s="227" t="n"/>
      <c r="K2087" s="227" t="n"/>
      <c r="L2087" s="227" t="n"/>
      <c r="M2087" s="227" t="n"/>
      <c r="N2087" s="127" t="n"/>
      <c r="O2087" s="227" t="n"/>
      <c r="P2087" s="227" t="n"/>
      <c r="Q2087" s="227" t="n"/>
      <c r="R2087" s="227" t="n"/>
      <c r="S2087" s="227" t="n"/>
      <c r="T2087" s="227" t="n"/>
    </row>
    <row r="2088">
      <c r="A2088" s="145">
        <f>IF($B2088="","",ROW()-5)</f>
        <v/>
      </c>
      <c r="B2088" s="127" t="n"/>
      <c r="C2088" s="223" t="n"/>
      <c r="D2088" s="127" t="n"/>
      <c r="E2088" s="227" t="n"/>
      <c r="F2088" s="227" t="n"/>
      <c r="G2088" s="227" t="n"/>
      <c r="H2088" s="227" t="n"/>
      <c r="I2088" s="227" t="n"/>
      <c r="J2088" s="227" t="n"/>
      <c r="K2088" s="227" t="n"/>
      <c r="L2088" s="227" t="n"/>
      <c r="M2088" s="227" t="n"/>
      <c r="N2088" s="127" t="n"/>
      <c r="O2088" s="227" t="n"/>
      <c r="P2088" s="227" t="n"/>
      <c r="Q2088" s="227" t="n"/>
      <c r="R2088" s="227" t="n"/>
      <c r="S2088" s="227" t="n"/>
      <c r="T2088" s="227" t="n"/>
    </row>
    <row r="2089">
      <c r="A2089" s="145">
        <f>IF($B2089="","",ROW()-5)</f>
        <v/>
      </c>
      <c r="B2089" s="127" t="n"/>
      <c r="C2089" s="223" t="n"/>
      <c r="D2089" s="127" t="n"/>
      <c r="E2089" s="227" t="n"/>
      <c r="F2089" s="227" t="n"/>
      <c r="G2089" s="227" t="n"/>
      <c r="H2089" s="227" t="n"/>
      <c r="I2089" s="227" t="n"/>
      <c r="J2089" s="227" t="n"/>
      <c r="K2089" s="227" t="n"/>
      <c r="L2089" s="227" t="n"/>
      <c r="M2089" s="227" t="n"/>
      <c r="N2089" s="127" t="n"/>
      <c r="O2089" s="227" t="n"/>
      <c r="P2089" s="227" t="n"/>
      <c r="Q2089" s="227" t="n"/>
      <c r="R2089" s="227" t="n"/>
      <c r="S2089" s="227" t="n"/>
      <c r="T2089" s="227" t="n"/>
    </row>
    <row r="2090">
      <c r="A2090" s="145">
        <f>IF($B2090="","",ROW()-5)</f>
        <v/>
      </c>
      <c r="B2090" s="127" t="n"/>
      <c r="C2090" s="223" t="n"/>
      <c r="D2090" s="127" t="n"/>
      <c r="E2090" s="227" t="n"/>
      <c r="F2090" s="227" t="n"/>
      <c r="G2090" s="227" t="n"/>
      <c r="H2090" s="227" t="n"/>
      <c r="I2090" s="227" t="n"/>
      <c r="J2090" s="227" t="n"/>
      <c r="K2090" s="227" t="n"/>
      <c r="L2090" s="227" t="n"/>
      <c r="M2090" s="227" t="n"/>
      <c r="N2090" s="127" t="n"/>
      <c r="O2090" s="227" t="n"/>
      <c r="P2090" s="227" t="n"/>
      <c r="Q2090" s="227" t="n"/>
      <c r="R2090" s="227" t="n"/>
      <c r="S2090" s="227" t="n"/>
      <c r="T2090" s="227" t="n"/>
    </row>
    <row r="2091">
      <c r="A2091" s="145">
        <f>IF($B2091="","",ROW()-5)</f>
        <v/>
      </c>
      <c r="B2091" s="127" t="n"/>
      <c r="C2091" s="223" t="n"/>
      <c r="D2091" s="127" t="n"/>
      <c r="E2091" s="227" t="n"/>
      <c r="F2091" s="227" t="n"/>
      <c r="G2091" s="227" t="n"/>
      <c r="H2091" s="227" t="n"/>
      <c r="I2091" s="227" t="n"/>
      <c r="J2091" s="227" t="n"/>
      <c r="K2091" s="227" t="n"/>
      <c r="L2091" s="227" t="n"/>
      <c r="M2091" s="227" t="n"/>
      <c r="N2091" s="127" t="n"/>
      <c r="O2091" s="227" t="n"/>
      <c r="P2091" s="227" t="n"/>
      <c r="Q2091" s="227" t="n"/>
      <c r="R2091" s="227" t="n"/>
      <c r="S2091" s="227" t="n"/>
      <c r="T2091" s="227" t="n"/>
    </row>
    <row r="2092">
      <c r="A2092" s="145">
        <f>IF($B2092="","",ROW()-5)</f>
        <v/>
      </c>
      <c r="B2092" s="127" t="n"/>
      <c r="C2092" s="223" t="n"/>
      <c r="D2092" s="127" t="n"/>
      <c r="E2092" s="227" t="n"/>
      <c r="F2092" s="227" t="n"/>
      <c r="G2092" s="227" t="n"/>
      <c r="H2092" s="227" t="n"/>
      <c r="I2092" s="227" t="n"/>
      <c r="J2092" s="227" t="n"/>
      <c r="K2092" s="227" t="n"/>
      <c r="L2092" s="227" t="n"/>
      <c r="M2092" s="227" t="n"/>
      <c r="N2092" s="127" t="n"/>
      <c r="O2092" s="227" t="n"/>
      <c r="P2092" s="227" t="n"/>
      <c r="Q2092" s="227" t="n"/>
      <c r="R2092" s="227" t="n"/>
      <c r="S2092" s="227" t="n"/>
      <c r="T2092" s="227" t="n"/>
    </row>
    <row r="2093">
      <c r="A2093" s="145">
        <f>IF($B2093="","",ROW()-5)</f>
        <v/>
      </c>
      <c r="B2093" s="127" t="n"/>
      <c r="C2093" s="223" t="n"/>
      <c r="D2093" s="127" t="n"/>
      <c r="E2093" s="227" t="n"/>
      <c r="F2093" s="227" t="n"/>
      <c r="G2093" s="227" t="n"/>
      <c r="H2093" s="227" t="n"/>
      <c r="I2093" s="227" t="n"/>
      <c r="J2093" s="227" t="n"/>
      <c r="K2093" s="227" t="n"/>
      <c r="L2093" s="227" t="n"/>
      <c r="M2093" s="227" t="n"/>
      <c r="N2093" s="127" t="n"/>
      <c r="O2093" s="227" t="n"/>
      <c r="P2093" s="227" t="n"/>
      <c r="Q2093" s="227" t="n"/>
      <c r="R2093" s="227" t="n"/>
      <c r="S2093" s="227" t="n"/>
      <c r="T2093" s="227" t="n"/>
    </row>
    <row r="2094">
      <c r="A2094" s="145">
        <f>IF($B2094="","",ROW()-5)</f>
        <v/>
      </c>
      <c r="B2094" s="127" t="n"/>
      <c r="C2094" s="223" t="n"/>
      <c r="D2094" s="127" t="n"/>
      <c r="E2094" s="227" t="n"/>
      <c r="F2094" s="227" t="n"/>
      <c r="G2094" s="227" t="n"/>
      <c r="H2094" s="227" t="n"/>
      <c r="I2094" s="227" t="n"/>
      <c r="J2094" s="227" t="n"/>
      <c r="K2094" s="227" t="n"/>
      <c r="L2094" s="227" t="n"/>
      <c r="M2094" s="227" t="n"/>
      <c r="N2094" s="127" t="n"/>
      <c r="O2094" s="227" t="n"/>
      <c r="P2094" s="227" t="n"/>
      <c r="Q2094" s="227" t="n"/>
      <c r="R2094" s="227" t="n"/>
      <c r="S2094" s="227" t="n"/>
      <c r="T2094" s="227" t="n"/>
    </row>
    <row r="2095">
      <c r="A2095" s="145">
        <f>IF($B2095="","",ROW()-5)</f>
        <v/>
      </c>
      <c r="B2095" s="127" t="n"/>
      <c r="C2095" s="223" t="n"/>
      <c r="D2095" s="127" t="n"/>
      <c r="E2095" s="227" t="n"/>
      <c r="F2095" s="227" t="n"/>
      <c r="G2095" s="227" t="n"/>
      <c r="H2095" s="227" t="n"/>
      <c r="I2095" s="227" t="n"/>
      <c r="J2095" s="227" t="n"/>
      <c r="K2095" s="227" t="n"/>
      <c r="L2095" s="227" t="n"/>
      <c r="M2095" s="227" t="n"/>
      <c r="N2095" s="127" t="n"/>
      <c r="O2095" s="227" t="n"/>
      <c r="P2095" s="227" t="n"/>
      <c r="Q2095" s="227" t="n"/>
      <c r="R2095" s="227" t="n"/>
      <c r="S2095" s="227" t="n"/>
      <c r="T2095" s="227" t="n"/>
    </row>
    <row r="2096">
      <c r="A2096" s="145">
        <f>IF($B2096="","",ROW()-5)</f>
        <v/>
      </c>
      <c r="B2096" s="127" t="n"/>
      <c r="C2096" s="223" t="n"/>
      <c r="D2096" s="127" t="n"/>
      <c r="E2096" s="227" t="n"/>
      <c r="F2096" s="227" t="n"/>
      <c r="G2096" s="227" t="n"/>
      <c r="H2096" s="227" t="n"/>
      <c r="I2096" s="227" t="n"/>
      <c r="J2096" s="227" t="n"/>
      <c r="K2096" s="227" t="n"/>
      <c r="L2096" s="227" t="n"/>
      <c r="M2096" s="227" t="n"/>
      <c r="N2096" s="127" t="n"/>
      <c r="O2096" s="227" t="n"/>
      <c r="P2096" s="227" t="n"/>
      <c r="Q2096" s="227" t="n"/>
      <c r="R2096" s="227" t="n"/>
      <c r="S2096" s="227" t="n"/>
      <c r="T2096" s="227" t="n"/>
    </row>
    <row r="2097">
      <c r="A2097" s="145">
        <f>IF($B2097="","",ROW()-5)</f>
        <v/>
      </c>
      <c r="B2097" s="127" t="n"/>
      <c r="C2097" s="223" t="n"/>
      <c r="D2097" s="127" t="n"/>
      <c r="E2097" s="227" t="n"/>
      <c r="F2097" s="227" t="n"/>
      <c r="G2097" s="227" t="n"/>
      <c r="H2097" s="227" t="n"/>
      <c r="I2097" s="227" t="n"/>
      <c r="J2097" s="227" t="n"/>
      <c r="K2097" s="227" t="n"/>
      <c r="L2097" s="227" t="n"/>
      <c r="M2097" s="227" t="n"/>
      <c r="N2097" s="127" t="n"/>
      <c r="O2097" s="227" t="n"/>
      <c r="P2097" s="227" t="n"/>
      <c r="Q2097" s="227" t="n"/>
      <c r="R2097" s="227" t="n"/>
      <c r="S2097" s="227" t="n"/>
      <c r="T2097" s="227" t="n"/>
    </row>
    <row r="2098">
      <c r="A2098" s="145">
        <f>IF($B2098="","",ROW()-5)</f>
        <v/>
      </c>
      <c r="B2098" s="127" t="n"/>
      <c r="C2098" s="223" t="n"/>
      <c r="D2098" s="127" t="n"/>
      <c r="E2098" s="227" t="n"/>
      <c r="F2098" s="227" t="n"/>
      <c r="G2098" s="227" t="n"/>
      <c r="H2098" s="227" t="n"/>
      <c r="I2098" s="227" t="n"/>
      <c r="J2098" s="227" t="n"/>
      <c r="K2098" s="227" t="n"/>
      <c r="L2098" s="227" t="n"/>
      <c r="M2098" s="227" t="n"/>
      <c r="N2098" s="127" t="n"/>
      <c r="O2098" s="227" t="n"/>
      <c r="P2098" s="227" t="n"/>
      <c r="Q2098" s="227" t="n"/>
      <c r="R2098" s="227" t="n"/>
      <c r="S2098" s="227" t="n"/>
      <c r="T2098" s="227" t="n"/>
    </row>
    <row r="2099">
      <c r="A2099" s="145">
        <f>IF($B2099="","",ROW()-5)</f>
        <v/>
      </c>
      <c r="B2099" s="127" t="n"/>
      <c r="C2099" s="223" t="n"/>
      <c r="D2099" s="127" t="n"/>
      <c r="E2099" s="227" t="n"/>
      <c r="F2099" s="227" t="n"/>
      <c r="G2099" s="227" t="n"/>
      <c r="H2099" s="227" t="n"/>
      <c r="I2099" s="227" t="n"/>
      <c r="J2099" s="227" t="n"/>
      <c r="K2099" s="227" t="n"/>
      <c r="L2099" s="227" t="n"/>
      <c r="M2099" s="227" t="n"/>
      <c r="N2099" s="127" t="n"/>
      <c r="O2099" s="227" t="n"/>
      <c r="P2099" s="227" t="n"/>
      <c r="Q2099" s="227" t="n"/>
      <c r="R2099" s="227" t="n"/>
      <c r="S2099" s="227" t="n"/>
      <c r="T2099" s="227" t="n"/>
    </row>
    <row r="2100">
      <c r="A2100" s="145">
        <f>IF($B2100="","",ROW()-5)</f>
        <v/>
      </c>
      <c r="B2100" s="127" t="n"/>
      <c r="C2100" s="223" t="n"/>
      <c r="D2100" s="127" t="n"/>
      <c r="E2100" s="227" t="n"/>
      <c r="F2100" s="227" t="n"/>
      <c r="G2100" s="227" t="n"/>
      <c r="H2100" s="227" t="n"/>
      <c r="I2100" s="227" t="n"/>
      <c r="J2100" s="227" t="n"/>
      <c r="K2100" s="227" t="n"/>
      <c r="L2100" s="227" t="n"/>
      <c r="M2100" s="227" t="n"/>
      <c r="N2100" s="127" t="n"/>
      <c r="O2100" s="227" t="n"/>
      <c r="P2100" s="227" t="n"/>
      <c r="Q2100" s="227" t="n"/>
      <c r="R2100" s="227" t="n"/>
      <c r="S2100" s="227" t="n"/>
      <c r="T2100" s="227" t="n"/>
    </row>
    <row r="2101">
      <c r="A2101" s="145">
        <f>IF($B2101="","",ROW()-5)</f>
        <v/>
      </c>
      <c r="B2101" s="127" t="n"/>
      <c r="C2101" s="223" t="n"/>
      <c r="D2101" s="127" t="n"/>
      <c r="E2101" s="227" t="n"/>
      <c r="F2101" s="227" t="n"/>
      <c r="G2101" s="227" t="n"/>
      <c r="H2101" s="227" t="n"/>
      <c r="I2101" s="227" t="n"/>
      <c r="J2101" s="227" t="n"/>
      <c r="K2101" s="227" t="n"/>
      <c r="L2101" s="227" t="n"/>
      <c r="M2101" s="227" t="n"/>
      <c r="N2101" s="127" t="n"/>
      <c r="O2101" s="227" t="n"/>
      <c r="P2101" s="227" t="n"/>
      <c r="Q2101" s="227" t="n"/>
      <c r="R2101" s="227" t="n"/>
      <c r="S2101" s="227" t="n"/>
      <c r="T2101" s="227" t="n"/>
    </row>
    <row r="2102">
      <c r="A2102" s="145">
        <f>IF($B2102="","",ROW()-5)</f>
        <v/>
      </c>
      <c r="B2102" s="127" t="n"/>
      <c r="C2102" s="223" t="n"/>
      <c r="D2102" s="127" t="n"/>
      <c r="E2102" s="227" t="n"/>
      <c r="F2102" s="227" t="n"/>
      <c r="G2102" s="227" t="n"/>
      <c r="H2102" s="227" t="n"/>
      <c r="I2102" s="227" t="n"/>
      <c r="J2102" s="227" t="n"/>
      <c r="K2102" s="227" t="n"/>
      <c r="L2102" s="227" t="n"/>
      <c r="M2102" s="227" t="n"/>
      <c r="N2102" s="127" t="n"/>
      <c r="O2102" s="227" t="n"/>
      <c r="P2102" s="227" t="n"/>
      <c r="Q2102" s="227" t="n"/>
      <c r="R2102" s="227" t="n"/>
      <c r="S2102" s="227" t="n"/>
      <c r="T2102" s="227" t="n"/>
    </row>
    <row r="2103">
      <c r="A2103" s="145">
        <f>IF($B2103="","",ROW()-5)</f>
        <v/>
      </c>
      <c r="B2103" s="127" t="n"/>
      <c r="C2103" s="223" t="n"/>
      <c r="D2103" s="127" t="n"/>
      <c r="E2103" s="227" t="n"/>
      <c r="F2103" s="227" t="n"/>
      <c r="G2103" s="227" t="n"/>
      <c r="H2103" s="227" t="n"/>
      <c r="I2103" s="227" t="n"/>
      <c r="J2103" s="227" t="n"/>
      <c r="K2103" s="227" t="n"/>
      <c r="L2103" s="227" t="n"/>
      <c r="M2103" s="227" t="n"/>
      <c r="N2103" s="127" t="n"/>
      <c r="O2103" s="227" t="n"/>
      <c r="P2103" s="227" t="n"/>
      <c r="Q2103" s="227" t="n"/>
      <c r="R2103" s="227" t="n"/>
      <c r="S2103" s="227" t="n"/>
      <c r="T2103" s="227" t="n"/>
    </row>
    <row r="2104">
      <c r="A2104" s="145">
        <f>IF($B2104="","",ROW()-5)</f>
        <v/>
      </c>
      <c r="B2104" s="127" t="n"/>
      <c r="C2104" s="223" t="n"/>
      <c r="D2104" s="127" t="n"/>
      <c r="E2104" s="227" t="n"/>
      <c r="F2104" s="227" t="n"/>
      <c r="G2104" s="227" t="n"/>
      <c r="H2104" s="227" t="n"/>
      <c r="I2104" s="227" t="n"/>
      <c r="J2104" s="227" t="n"/>
      <c r="K2104" s="227" t="n"/>
      <c r="L2104" s="227" t="n"/>
      <c r="M2104" s="227" t="n"/>
      <c r="N2104" s="127" t="n"/>
      <c r="O2104" s="227" t="n"/>
      <c r="P2104" s="227" t="n"/>
      <c r="Q2104" s="227" t="n"/>
      <c r="R2104" s="227" t="n"/>
      <c r="S2104" s="227" t="n"/>
      <c r="T2104" s="227" t="n"/>
    </row>
    <row r="2105">
      <c r="A2105" s="145">
        <f>IF($B2105="","",ROW()-5)</f>
        <v/>
      </c>
      <c r="B2105" s="127" t="n"/>
      <c r="C2105" s="223" t="n"/>
      <c r="D2105" s="127" t="n"/>
      <c r="E2105" s="227" t="n"/>
      <c r="F2105" s="227" t="n"/>
      <c r="G2105" s="227" t="n"/>
      <c r="H2105" s="227" t="n"/>
      <c r="I2105" s="227" t="n"/>
      <c r="J2105" s="227" t="n"/>
      <c r="K2105" s="227" t="n"/>
      <c r="L2105" s="227" t="n"/>
      <c r="M2105" s="227" t="n"/>
      <c r="N2105" s="127" t="n"/>
      <c r="O2105" s="227" t="n"/>
      <c r="P2105" s="227" t="n"/>
      <c r="Q2105" s="227" t="n"/>
      <c r="R2105" s="227" t="n"/>
      <c r="S2105" s="227" t="n"/>
      <c r="T2105" s="227" t="n"/>
    </row>
    <row r="2106">
      <c r="A2106" s="145">
        <f>IF($B2106="","",ROW()-5)</f>
        <v/>
      </c>
      <c r="B2106" s="127" t="n"/>
      <c r="C2106" s="223" t="n"/>
      <c r="D2106" s="127" t="n"/>
      <c r="E2106" s="227" t="n"/>
      <c r="F2106" s="227" t="n"/>
      <c r="G2106" s="227" t="n"/>
      <c r="H2106" s="227" t="n"/>
      <c r="I2106" s="227" t="n"/>
      <c r="J2106" s="227" t="n"/>
      <c r="K2106" s="227" t="n"/>
      <c r="L2106" s="227" t="n"/>
      <c r="M2106" s="227" t="n"/>
      <c r="N2106" s="127" t="n"/>
      <c r="O2106" s="227" t="n"/>
      <c r="P2106" s="227" t="n"/>
      <c r="Q2106" s="227" t="n"/>
      <c r="R2106" s="227" t="n"/>
      <c r="S2106" s="227" t="n"/>
      <c r="T2106" s="227" t="n"/>
    </row>
    <row r="2107">
      <c r="A2107" s="145">
        <f>IF($B2107="","",ROW()-5)</f>
        <v/>
      </c>
      <c r="B2107" s="127" t="n"/>
      <c r="C2107" s="223" t="n"/>
      <c r="D2107" s="127" t="n"/>
      <c r="E2107" s="227" t="n"/>
      <c r="F2107" s="227" t="n"/>
      <c r="G2107" s="227" t="n"/>
      <c r="H2107" s="227" t="n"/>
      <c r="I2107" s="227" t="n"/>
      <c r="J2107" s="227" t="n"/>
      <c r="K2107" s="227" t="n"/>
      <c r="L2107" s="227" t="n"/>
      <c r="M2107" s="227" t="n"/>
      <c r="N2107" s="127" t="n"/>
      <c r="O2107" s="227" t="n"/>
      <c r="P2107" s="227" t="n"/>
      <c r="Q2107" s="227" t="n"/>
      <c r="R2107" s="227" t="n"/>
      <c r="S2107" s="227" t="n"/>
      <c r="T2107" s="227" t="n"/>
    </row>
    <row r="2108">
      <c r="A2108" s="145">
        <f>IF($B2108="","",ROW()-5)</f>
        <v/>
      </c>
      <c r="B2108" s="127" t="n"/>
      <c r="C2108" s="223" t="n"/>
      <c r="D2108" s="127" t="n"/>
      <c r="E2108" s="227" t="n"/>
      <c r="F2108" s="227" t="n"/>
      <c r="G2108" s="227" t="n"/>
      <c r="H2108" s="227" t="n"/>
      <c r="I2108" s="227" t="n"/>
      <c r="J2108" s="227" t="n"/>
      <c r="K2108" s="227" t="n"/>
      <c r="L2108" s="227" t="n"/>
      <c r="M2108" s="227" t="n"/>
      <c r="N2108" s="127" t="n"/>
      <c r="O2108" s="227" t="n"/>
      <c r="P2108" s="227" t="n"/>
      <c r="Q2108" s="227" t="n"/>
      <c r="R2108" s="227" t="n"/>
      <c r="S2108" s="227" t="n"/>
      <c r="T2108" s="227" t="n"/>
    </row>
    <row r="2109">
      <c r="A2109" s="145">
        <f>IF($B2109="","",ROW()-5)</f>
        <v/>
      </c>
      <c r="B2109" s="127" t="n"/>
      <c r="C2109" s="223" t="n"/>
      <c r="D2109" s="127" t="n"/>
      <c r="E2109" s="227" t="n"/>
      <c r="F2109" s="227" t="n"/>
      <c r="G2109" s="227" t="n"/>
      <c r="H2109" s="227" t="n"/>
      <c r="I2109" s="227" t="n"/>
      <c r="J2109" s="227" t="n"/>
      <c r="K2109" s="227" t="n"/>
      <c r="L2109" s="227" t="n"/>
      <c r="M2109" s="227" t="n"/>
      <c r="N2109" s="127" t="n"/>
      <c r="O2109" s="227" t="n"/>
      <c r="P2109" s="227" t="n"/>
      <c r="Q2109" s="227" t="n"/>
      <c r="R2109" s="227" t="n"/>
      <c r="S2109" s="227" t="n"/>
      <c r="T2109" s="227" t="n"/>
    </row>
    <row r="2110">
      <c r="A2110" s="145">
        <f>IF($B2110="","",ROW()-5)</f>
        <v/>
      </c>
      <c r="B2110" s="127" t="n"/>
      <c r="C2110" s="223" t="n"/>
      <c r="D2110" s="127" t="n"/>
      <c r="E2110" s="227" t="n"/>
      <c r="F2110" s="227" t="n"/>
      <c r="G2110" s="227" t="n"/>
      <c r="H2110" s="227" t="n"/>
      <c r="I2110" s="227" t="n"/>
      <c r="J2110" s="227" t="n"/>
      <c r="K2110" s="227" t="n"/>
      <c r="L2110" s="227" t="n"/>
      <c r="M2110" s="227" t="n"/>
      <c r="N2110" s="127" t="n"/>
      <c r="O2110" s="227" t="n"/>
      <c r="P2110" s="227" t="n"/>
      <c r="Q2110" s="227" t="n"/>
      <c r="R2110" s="227" t="n"/>
      <c r="S2110" s="227" t="n"/>
      <c r="T2110" s="227" t="n"/>
    </row>
    <row r="2111">
      <c r="A2111" s="145">
        <f>IF($B2111="","",ROW()-5)</f>
        <v/>
      </c>
      <c r="B2111" s="127" t="n"/>
      <c r="C2111" s="223" t="n"/>
      <c r="D2111" s="127" t="n"/>
      <c r="E2111" s="227" t="n"/>
      <c r="F2111" s="227" t="n"/>
      <c r="G2111" s="227" t="n"/>
      <c r="H2111" s="227" t="n"/>
      <c r="I2111" s="227" t="n"/>
      <c r="J2111" s="227" t="n"/>
      <c r="K2111" s="227" t="n"/>
      <c r="L2111" s="227" t="n"/>
      <c r="M2111" s="227" t="n"/>
      <c r="N2111" s="127" t="n"/>
      <c r="O2111" s="227" t="n"/>
      <c r="P2111" s="227" t="n"/>
      <c r="Q2111" s="227" t="n"/>
      <c r="R2111" s="227" t="n"/>
      <c r="S2111" s="227" t="n"/>
      <c r="T2111" s="227" t="n"/>
    </row>
    <row r="2112">
      <c r="A2112" s="145">
        <f>IF($B2112="","",ROW()-5)</f>
        <v/>
      </c>
      <c r="B2112" s="127" t="n"/>
      <c r="C2112" s="223" t="n"/>
      <c r="D2112" s="127" t="n"/>
      <c r="E2112" s="227" t="n"/>
      <c r="F2112" s="227" t="n"/>
      <c r="G2112" s="227" t="n"/>
      <c r="H2112" s="227" t="n"/>
      <c r="I2112" s="227" t="n"/>
      <c r="J2112" s="227" t="n"/>
      <c r="K2112" s="227" t="n"/>
      <c r="L2112" s="227" t="n"/>
      <c r="M2112" s="227" t="n"/>
      <c r="N2112" s="127" t="n"/>
      <c r="O2112" s="227" t="n"/>
      <c r="P2112" s="227" t="n"/>
      <c r="Q2112" s="227" t="n"/>
      <c r="R2112" s="227" t="n"/>
      <c r="S2112" s="227" t="n"/>
      <c r="T2112" s="227" t="n"/>
    </row>
    <row r="2113">
      <c r="A2113" s="145">
        <f>IF($B2113="","",ROW()-5)</f>
        <v/>
      </c>
      <c r="B2113" s="127" t="n"/>
      <c r="C2113" s="223" t="n"/>
      <c r="D2113" s="127" t="n"/>
      <c r="E2113" s="227" t="n"/>
      <c r="F2113" s="227" t="n"/>
      <c r="G2113" s="227" t="n"/>
      <c r="H2113" s="227" t="n"/>
      <c r="I2113" s="227" t="n"/>
      <c r="J2113" s="227" t="n"/>
      <c r="K2113" s="227" t="n"/>
      <c r="L2113" s="227" t="n"/>
      <c r="M2113" s="227" t="n"/>
      <c r="N2113" s="127" t="n"/>
      <c r="O2113" s="227" t="n"/>
      <c r="P2113" s="227" t="n"/>
      <c r="Q2113" s="227" t="n"/>
      <c r="R2113" s="227" t="n"/>
      <c r="S2113" s="227" t="n"/>
      <c r="T2113" s="227" t="n"/>
    </row>
    <row r="2114">
      <c r="A2114" s="145">
        <f>IF($B2114="","",ROW()-5)</f>
        <v/>
      </c>
      <c r="B2114" s="127" t="n"/>
      <c r="C2114" s="223" t="n"/>
      <c r="D2114" s="127" t="n"/>
      <c r="E2114" s="227" t="n"/>
      <c r="F2114" s="227" t="n"/>
      <c r="G2114" s="227" t="n"/>
      <c r="H2114" s="227" t="n"/>
      <c r="I2114" s="227" t="n"/>
      <c r="J2114" s="227" t="n"/>
      <c r="K2114" s="227" t="n"/>
      <c r="L2114" s="227" t="n"/>
      <c r="M2114" s="227" t="n"/>
      <c r="N2114" s="127" t="n"/>
      <c r="O2114" s="227" t="n"/>
      <c r="P2114" s="227" t="n"/>
      <c r="Q2114" s="227" t="n"/>
      <c r="R2114" s="227" t="n"/>
      <c r="S2114" s="227" t="n"/>
      <c r="T2114" s="227" t="n"/>
    </row>
    <row r="2115">
      <c r="A2115" s="145">
        <f>IF($B2115="","",ROW()-5)</f>
        <v/>
      </c>
      <c r="B2115" s="127" t="n"/>
      <c r="C2115" s="223" t="n"/>
      <c r="D2115" s="127" t="n"/>
      <c r="E2115" s="227" t="n"/>
      <c r="F2115" s="227" t="n"/>
      <c r="G2115" s="227" t="n"/>
      <c r="H2115" s="227" t="n"/>
      <c r="I2115" s="227" t="n"/>
      <c r="J2115" s="227" t="n"/>
      <c r="K2115" s="227" t="n"/>
      <c r="L2115" s="227" t="n"/>
      <c r="M2115" s="227" t="n"/>
      <c r="N2115" s="127" t="n"/>
      <c r="O2115" s="227" t="n"/>
      <c r="P2115" s="227" t="n"/>
      <c r="Q2115" s="227" t="n"/>
      <c r="R2115" s="227" t="n"/>
      <c r="S2115" s="227" t="n"/>
      <c r="T2115" s="227" t="n"/>
    </row>
    <row r="2116">
      <c r="A2116" s="145">
        <f>IF($B2116="","",ROW()-5)</f>
        <v/>
      </c>
      <c r="B2116" s="127" t="n"/>
      <c r="C2116" s="223" t="n"/>
      <c r="D2116" s="127" t="n"/>
      <c r="E2116" s="227" t="n"/>
      <c r="F2116" s="227" t="n"/>
      <c r="G2116" s="227" t="n"/>
      <c r="H2116" s="227" t="n"/>
      <c r="I2116" s="227" t="n"/>
      <c r="J2116" s="227" t="n"/>
      <c r="K2116" s="227" t="n"/>
      <c r="L2116" s="227" t="n"/>
      <c r="M2116" s="227" t="n"/>
      <c r="N2116" s="127" t="n"/>
      <c r="O2116" s="227" t="n"/>
      <c r="P2116" s="227" t="n"/>
      <c r="Q2116" s="227" t="n"/>
      <c r="R2116" s="227" t="n"/>
      <c r="S2116" s="227" t="n"/>
      <c r="T2116" s="227" t="n"/>
    </row>
    <row r="2117">
      <c r="A2117" s="145">
        <f>IF($B2117="","",ROW()-5)</f>
        <v/>
      </c>
      <c r="B2117" s="127" t="n"/>
      <c r="C2117" s="223" t="n"/>
      <c r="D2117" s="127" t="n"/>
      <c r="E2117" s="227" t="n"/>
      <c r="F2117" s="227" t="n"/>
      <c r="G2117" s="227" t="n"/>
      <c r="H2117" s="227" t="n"/>
      <c r="I2117" s="227" t="n"/>
      <c r="J2117" s="227" t="n"/>
      <c r="K2117" s="227" t="n"/>
      <c r="L2117" s="227" t="n"/>
      <c r="M2117" s="227" t="n"/>
      <c r="N2117" s="127" t="n"/>
      <c r="O2117" s="227" t="n"/>
      <c r="P2117" s="227" t="n"/>
      <c r="Q2117" s="227" t="n"/>
      <c r="R2117" s="227" t="n"/>
      <c r="S2117" s="227" t="n"/>
      <c r="T2117" s="227" t="n"/>
    </row>
    <row r="2118">
      <c r="A2118" s="145">
        <f>IF($B2118="","",ROW()-5)</f>
        <v/>
      </c>
      <c r="B2118" s="127" t="n"/>
      <c r="C2118" s="223" t="n"/>
      <c r="D2118" s="127" t="n"/>
      <c r="E2118" s="227" t="n"/>
      <c r="F2118" s="227" t="n"/>
      <c r="G2118" s="227" t="n"/>
      <c r="H2118" s="227" t="n"/>
      <c r="I2118" s="227" t="n"/>
      <c r="J2118" s="227" t="n"/>
      <c r="K2118" s="227" t="n"/>
      <c r="L2118" s="227" t="n"/>
      <c r="M2118" s="227" t="n"/>
      <c r="N2118" s="127" t="n"/>
      <c r="O2118" s="227" t="n"/>
      <c r="P2118" s="227" t="n"/>
      <c r="Q2118" s="227" t="n"/>
      <c r="R2118" s="227" t="n"/>
      <c r="S2118" s="227" t="n"/>
      <c r="T2118" s="227" t="n"/>
    </row>
    <row r="2119">
      <c r="A2119" s="145">
        <f>IF($B2119="","",ROW()-5)</f>
        <v/>
      </c>
      <c r="B2119" s="127" t="n"/>
      <c r="C2119" s="223" t="n"/>
      <c r="D2119" s="127" t="n"/>
      <c r="E2119" s="227" t="n"/>
      <c r="F2119" s="227" t="n"/>
      <c r="G2119" s="227" t="n"/>
      <c r="H2119" s="227" t="n"/>
      <c r="I2119" s="227" t="n"/>
      <c r="J2119" s="227" t="n"/>
      <c r="K2119" s="227" t="n"/>
      <c r="L2119" s="227" t="n"/>
      <c r="M2119" s="227" t="n"/>
      <c r="N2119" s="127" t="n"/>
      <c r="O2119" s="227" t="n"/>
      <c r="P2119" s="227" t="n"/>
      <c r="Q2119" s="227" t="n"/>
      <c r="R2119" s="227" t="n"/>
      <c r="S2119" s="227" t="n"/>
      <c r="T2119" s="227" t="n"/>
    </row>
    <row r="2120">
      <c r="A2120" s="145">
        <f>IF($B2120="","",ROW()-5)</f>
        <v/>
      </c>
      <c r="B2120" s="127" t="n"/>
      <c r="C2120" s="223" t="n"/>
      <c r="D2120" s="127" t="n"/>
      <c r="E2120" s="227" t="n"/>
      <c r="F2120" s="227" t="n"/>
      <c r="G2120" s="227" t="n"/>
      <c r="H2120" s="227" t="n"/>
      <c r="I2120" s="227" t="n"/>
      <c r="J2120" s="227" t="n"/>
      <c r="K2120" s="227" t="n"/>
      <c r="L2120" s="227" t="n"/>
      <c r="M2120" s="227" t="n"/>
      <c r="N2120" s="127" t="n"/>
      <c r="O2120" s="227" t="n"/>
      <c r="P2120" s="227" t="n"/>
      <c r="Q2120" s="227" t="n"/>
      <c r="R2120" s="227" t="n"/>
      <c r="S2120" s="227" t="n"/>
      <c r="T2120" s="227" t="n"/>
    </row>
    <row r="2121">
      <c r="A2121" s="145">
        <f>IF($B2121="","",ROW()-5)</f>
        <v/>
      </c>
      <c r="B2121" s="127" t="n"/>
      <c r="C2121" s="223" t="n"/>
      <c r="D2121" s="127" t="n"/>
      <c r="E2121" s="227" t="n"/>
      <c r="F2121" s="227" t="n"/>
      <c r="G2121" s="227" t="n"/>
      <c r="H2121" s="227" t="n"/>
      <c r="I2121" s="227" t="n"/>
      <c r="J2121" s="227" t="n"/>
      <c r="K2121" s="227" t="n"/>
      <c r="L2121" s="227" t="n"/>
      <c r="M2121" s="227" t="n"/>
      <c r="N2121" s="127" t="n"/>
      <c r="O2121" s="227" t="n"/>
      <c r="P2121" s="227" t="n"/>
      <c r="Q2121" s="227" t="n"/>
      <c r="R2121" s="227" t="n"/>
      <c r="S2121" s="227" t="n"/>
      <c r="T2121" s="227" t="n"/>
    </row>
    <row r="2122">
      <c r="A2122" s="145">
        <f>IF($B2122="","",ROW()-5)</f>
        <v/>
      </c>
      <c r="B2122" s="127" t="n"/>
      <c r="C2122" s="223" t="n"/>
      <c r="D2122" s="127" t="n"/>
      <c r="E2122" s="227" t="n"/>
      <c r="F2122" s="227" t="n"/>
      <c r="G2122" s="227" t="n"/>
      <c r="H2122" s="227" t="n"/>
      <c r="I2122" s="227" t="n"/>
      <c r="J2122" s="227" t="n"/>
      <c r="K2122" s="227" t="n"/>
      <c r="L2122" s="227" t="n"/>
      <c r="M2122" s="227" t="n"/>
      <c r="N2122" s="127" t="n"/>
      <c r="O2122" s="227" t="n"/>
      <c r="P2122" s="227" t="n"/>
      <c r="Q2122" s="227" t="n"/>
      <c r="R2122" s="227" t="n"/>
      <c r="S2122" s="227" t="n"/>
      <c r="T2122" s="227" t="n"/>
    </row>
    <row r="2123">
      <c r="A2123" s="145">
        <f>IF($B2123="","",ROW()-5)</f>
        <v/>
      </c>
      <c r="B2123" s="127" t="n"/>
      <c r="C2123" s="223" t="n"/>
      <c r="D2123" s="127" t="n"/>
      <c r="E2123" s="227" t="n"/>
      <c r="F2123" s="227" t="n"/>
      <c r="G2123" s="227" t="n"/>
      <c r="H2123" s="227" t="n"/>
      <c r="I2123" s="227" t="n"/>
      <c r="J2123" s="227" t="n"/>
      <c r="K2123" s="227" t="n"/>
      <c r="L2123" s="227" t="n"/>
      <c r="M2123" s="227" t="n"/>
      <c r="N2123" s="127" t="n"/>
      <c r="O2123" s="227" t="n"/>
      <c r="P2123" s="227" t="n"/>
      <c r="Q2123" s="227" t="n"/>
      <c r="R2123" s="227" t="n"/>
      <c r="S2123" s="227" t="n"/>
      <c r="T2123" s="227" t="n"/>
    </row>
    <row r="2124">
      <c r="A2124" s="145">
        <f>IF($B2124="","",ROW()-5)</f>
        <v/>
      </c>
      <c r="B2124" s="127" t="n"/>
      <c r="C2124" s="223" t="n"/>
      <c r="D2124" s="127" t="n"/>
      <c r="E2124" s="227" t="n"/>
      <c r="F2124" s="227" t="n"/>
      <c r="G2124" s="227" t="n"/>
      <c r="H2124" s="227" t="n"/>
      <c r="I2124" s="227" t="n"/>
      <c r="J2124" s="227" t="n"/>
      <c r="K2124" s="227" t="n"/>
      <c r="L2124" s="227" t="n"/>
      <c r="M2124" s="227" t="n"/>
      <c r="N2124" s="127" t="n"/>
      <c r="O2124" s="227" t="n"/>
      <c r="P2124" s="227" t="n"/>
      <c r="Q2124" s="227" t="n"/>
      <c r="R2124" s="227" t="n"/>
      <c r="S2124" s="227" t="n"/>
      <c r="T2124" s="227" t="n"/>
    </row>
    <row r="2125">
      <c r="A2125" s="145">
        <f>IF($B2125="","",ROW()-5)</f>
        <v/>
      </c>
      <c r="B2125" s="127" t="n"/>
      <c r="C2125" s="223" t="n"/>
      <c r="D2125" s="127" t="n"/>
      <c r="E2125" s="227" t="n"/>
      <c r="F2125" s="227" t="n"/>
      <c r="G2125" s="227" t="n"/>
      <c r="H2125" s="227" t="n"/>
      <c r="I2125" s="227" t="n"/>
      <c r="J2125" s="227" t="n"/>
      <c r="K2125" s="227" t="n"/>
      <c r="L2125" s="227" t="n"/>
      <c r="M2125" s="227" t="n"/>
      <c r="N2125" s="127" t="n"/>
      <c r="O2125" s="227" t="n"/>
      <c r="P2125" s="227" t="n"/>
      <c r="Q2125" s="227" t="n"/>
      <c r="R2125" s="227" t="n"/>
      <c r="S2125" s="227" t="n"/>
      <c r="T2125" s="227" t="n"/>
    </row>
    <row r="2126">
      <c r="A2126" s="145">
        <f>IF($B2126="","",ROW()-5)</f>
        <v/>
      </c>
      <c r="B2126" s="127" t="n"/>
      <c r="C2126" s="223" t="n"/>
      <c r="D2126" s="127" t="n"/>
      <c r="E2126" s="227" t="n"/>
      <c r="F2126" s="227" t="n"/>
      <c r="G2126" s="227" t="n"/>
      <c r="H2126" s="227" t="n"/>
      <c r="I2126" s="227" t="n"/>
      <c r="J2126" s="227" t="n"/>
      <c r="K2126" s="227" t="n"/>
      <c r="L2126" s="227" t="n"/>
      <c r="M2126" s="227" t="n"/>
      <c r="N2126" s="127" t="n"/>
      <c r="O2126" s="227" t="n"/>
      <c r="P2126" s="227" t="n"/>
      <c r="Q2126" s="227" t="n"/>
      <c r="R2126" s="227" t="n"/>
      <c r="S2126" s="227" t="n"/>
      <c r="T2126" s="227" t="n"/>
    </row>
    <row r="2127">
      <c r="A2127" s="145">
        <f>IF($B2127="","",ROW()-5)</f>
        <v/>
      </c>
      <c r="B2127" s="127" t="n"/>
      <c r="C2127" s="223" t="n"/>
      <c r="D2127" s="127" t="n"/>
      <c r="E2127" s="227" t="n"/>
      <c r="F2127" s="227" t="n"/>
      <c r="G2127" s="227" t="n"/>
      <c r="H2127" s="227" t="n"/>
      <c r="I2127" s="227" t="n"/>
      <c r="J2127" s="227" t="n"/>
      <c r="K2127" s="227" t="n"/>
      <c r="L2127" s="227" t="n"/>
      <c r="M2127" s="227" t="n"/>
      <c r="N2127" s="127" t="n"/>
      <c r="O2127" s="227" t="n"/>
      <c r="P2127" s="227" t="n"/>
      <c r="Q2127" s="227" t="n"/>
      <c r="R2127" s="227" t="n"/>
      <c r="S2127" s="227" t="n"/>
      <c r="T2127" s="227" t="n"/>
    </row>
    <row r="2128">
      <c r="A2128" s="145">
        <f>IF($B2128="","",ROW()-5)</f>
        <v/>
      </c>
      <c r="B2128" s="127" t="n"/>
      <c r="C2128" s="223" t="n"/>
      <c r="D2128" s="127" t="n"/>
      <c r="E2128" s="227" t="n"/>
      <c r="F2128" s="227" t="n"/>
      <c r="G2128" s="227" t="n"/>
      <c r="H2128" s="227" t="n"/>
      <c r="I2128" s="227" t="n"/>
      <c r="J2128" s="227" t="n"/>
      <c r="K2128" s="227" t="n"/>
      <c r="L2128" s="227" t="n"/>
      <c r="M2128" s="227" t="n"/>
      <c r="N2128" s="127" t="n"/>
      <c r="O2128" s="227" t="n"/>
      <c r="P2128" s="227" t="n"/>
      <c r="Q2128" s="227" t="n"/>
      <c r="R2128" s="227" t="n"/>
      <c r="S2128" s="227" t="n"/>
      <c r="T2128" s="227" t="n"/>
    </row>
    <row r="2129">
      <c r="A2129" s="145">
        <f>IF($B2129="","",ROW()-5)</f>
        <v/>
      </c>
      <c r="B2129" s="127" t="n"/>
      <c r="C2129" s="223" t="n"/>
      <c r="D2129" s="127" t="n"/>
      <c r="E2129" s="227" t="n"/>
      <c r="F2129" s="227" t="n"/>
      <c r="G2129" s="227" t="n"/>
      <c r="H2129" s="227" t="n"/>
      <c r="I2129" s="227" t="n"/>
      <c r="J2129" s="227" t="n"/>
      <c r="K2129" s="227" t="n"/>
      <c r="L2129" s="227" t="n"/>
      <c r="M2129" s="227" t="n"/>
      <c r="N2129" s="127" t="n"/>
      <c r="O2129" s="227" t="n"/>
      <c r="P2129" s="227" t="n"/>
      <c r="Q2129" s="227" t="n"/>
      <c r="R2129" s="227" t="n"/>
      <c r="S2129" s="227" t="n"/>
      <c r="T2129" s="227" t="n"/>
    </row>
    <row r="2130">
      <c r="A2130" s="145">
        <f>IF($B2130="","",ROW()-5)</f>
        <v/>
      </c>
      <c r="B2130" s="127" t="n"/>
      <c r="C2130" s="223" t="n"/>
      <c r="D2130" s="127" t="n"/>
      <c r="E2130" s="227" t="n"/>
      <c r="F2130" s="227" t="n"/>
      <c r="G2130" s="227" t="n"/>
      <c r="H2130" s="227" t="n"/>
      <c r="I2130" s="227" t="n"/>
      <c r="J2130" s="227" t="n"/>
      <c r="K2130" s="227" t="n"/>
      <c r="L2130" s="227" t="n"/>
      <c r="M2130" s="227" t="n"/>
      <c r="N2130" s="127" t="n"/>
      <c r="O2130" s="227" t="n"/>
      <c r="P2130" s="227" t="n"/>
      <c r="Q2130" s="227" t="n"/>
      <c r="R2130" s="227" t="n"/>
      <c r="S2130" s="227" t="n"/>
      <c r="T2130" s="227" t="n"/>
    </row>
    <row r="2131">
      <c r="A2131" s="145">
        <f>IF($B2131="","",ROW()-5)</f>
        <v/>
      </c>
      <c r="B2131" s="127" t="n"/>
      <c r="C2131" s="223" t="n"/>
      <c r="D2131" s="127" t="n"/>
      <c r="E2131" s="227" t="n"/>
      <c r="F2131" s="227" t="n"/>
      <c r="G2131" s="227" t="n"/>
      <c r="H2131" s="227" t="n"/>
      <c r="I2131" s="227" t="n"/>
      <c r="J2131" s="227" t="n"/>
      <c r="K2131" s="227" t="n"/>
      <c r="L2131" s="227" t="n"/>
      <c r="M2131" s="227" t="n"/>
      <c r="N2131" s="127" t="n"/>
      <c r="O2131" s="227" t="n"/>
      <c r="P2131" s="227" t="n"/>
      <c r="Q2131" s="227" t="n"/>
      <c r="R2131" s="227" t="n"/>
      <c r="S2131" s="227" t="n"/>
      <c r="T2131" s="227" t="n"/>
    </row>
    <row r="2132">
      <c r="A2132" s="145">
        <f>IF($B2132="","",ROW()-5)</f>
        <v/>
      </c>
      <c r="B2132" s="127" t="n"/>
      <c r="C2132" s="223" t="n"/>
      <c r="D2132" s="127" t="n"/>
      <c r="E2132" s="227" t="n"/>
      <c r="F2132" s="227" t="n"/>
      <c r="G2132" s="227" t="n"/>
      <c r="H2132" s="227" t="n"/>
      <c r="I2132" s="227" t="n"/>
      <c r="J2132" s="227" t="n"/>
      <c r="K2132" s="227" t="n"/>
      <c r="L2132" s="227" t="n"/>
      <c r="M2132" s="227" t="n"/>
      <c r="N2132" s="127" t="n"/>
      <c r="O2132" s="227" t="n"/>
      <c r="P2132" s="227" t="n"/>
      <c r="Q2132" s="227" t="n"/>
      <c r="R2132" s="227" t="n"/>
      <c r="S2132" s="227" t="n"/>
      <c r="T2132" s="227" t="n"/>
    </row>
    <row r="2133">
      <c r="A2133" s="145">
        <f>IF($B2133="","",ROW()-5)</f>
        <v/>
      </c>
      <c r="B2133" s="127" t="n"/>
      <c r="C2133" s="223" t="n"/>
      <c r="D2133" s="127" t="n"/>
      <c r="E2133" s="227" t="n"/>
      <c r="F2133" s="227" t="n"/>
      <c r="G2133" s="227" t="n"/>
      <c r="H2133" s="227" t="n"/>
      <c r="I2133" s="227" t="n"/>
      <c r="J2133" s="227" t="n"/>
      <c r="K2133" s="227" t="n"/>
      <c r="L2133" s="227" t="n"/>
      <c r="M2133" s="227" t="n"/>
      <c r="N2133" s="127" t="n"/>
      <c r="O2133" s="227" t="n"/>
      <c r="P2133" s="227" t="n"/>
      <c r="Q2133" s="227" t="n"/>
      <c r="R2133" s="227" t="n"/>
      <c r="S2133" s="227" t="n"/>
      <c r="T2133" s="227" t="n"/>
    </row>
    <row r="2134">
      <c r="A2134" s="145">
        <f>IF($B2134="","",ROW()-5)</f>
        <v/>
      </c>
      <c r="B2134" s="127" t="n"/>
      <c r="C2134" s="223" t="n"/>
      <c r="D2134" s="127" t="n"/>
      <c r="E2134" s="227" t="n"/>
      <c r="F2134" s="227" t="n"/>
      <c r="G2134" s="227" t="n"/>
      <c r="H2134" s="227" t="n"/>
      <c r="I2134" s="227" t="n"/>
      <c r="J2134" s="227" t="n"/>
      <c r="K2134" s="227" t="n"/>
      <c r="L2134" s="227" t="n"/>
      <c r="M2134" s="227" t="n"/>
      <c r="N2134" s="127" t="n"/>
      <c r="O2134" s="227" t="n"/>
      <c r="P2134" s="227" t="n"/>
      <c r="Q2134" s="227" t="n"/>
      <c r="R2134" s="227" t="n"/>
      <c r="S2134" s="227" t="n"/>
      <c r="T2134" s="227" t="n"/>
    </row>
    <row r="2135">
      <c r="A2135" s="145">
        <f>IF($B2135="","",ROW()-5)</f>
        <v/>
      </c>
      <c r="B2135" s="127" t="n"/>
      <c r="C2135" s="223" t="n"/>
      <c r="D2135" s="127" t="n"/>
      <c r="E2135" s="227" t="n"/>
      <c r="F2135" s="227" t="n"/>
      <c r="G2135" s="227" t="n"/>
      <c r="H2135" s="227" t="n"/>
      <c r="I2135" s="227" t="n"/>
      <c r="J2135" s="227" t="n"/>
      <c r="K2135" s="227" t="n"/>
      <c r="L2135" s="227" t="n"/>
      <c r="M2135" s="227" t="n"/>
      <c r="N2135" s="127" t="n"/>
      <c r="O2135" s="227" t="n"/>
      <c r="P2135" s="227" t="n"/>
      <c r="Q2135" s="227" t="n"/>
      <c r="R2135" s="227" t="n"/>
      <c r="S2135" s="227" t="n"/>
      <c r="T2135" s="227" t="n"/>
    </row>
    <row r="2136">
      <c r="A2136" s="145">
        <f>IF($B2136="","",ROW()-5)</f>
        <v/>
      </c>
      <c r="B2136" s="127" t="n"/>
      <c r="C2136" s="223" t="n"/>
      <c r="D2136" s="127" t="n"/>
      <c r="E2136" s="227" t="n"/>
      <c r="F2136" s="227" t="n"/>
      <c r="G2136" s="227" t="n"/>
      <c r="H2136" s="227" t="n"/>
      <c r="I2136" s="227" t="n"/>
      <c r="J2136" s="227" t="n"/>
      <c r="K2136" s="227" t="n"/>
      <c r="L2136" s="227" t="n"/>
      <c r="M2136" s="227" t="n"/>
      <c r="N2136" s="127" t="n"/>
      <c r="O2136" s="227" t="n"/>
      <c r="P2136" s="227" t="n"/>
      <c r="Q2136" s="227" t="n"/>
      <c r="R2136" s="227" t="n"/>
      <c r="S2136" s="227" t="n"/>
      <c r="T2136" s="227" t="n"/>
    </row>
    <row r="2137">
      <c r="A2137" s="145">
        <f>IF($B2137="","",ROW()-5)</f>
        <v/>
      </c>
      <c r="B2137" s="127" t="n"/>
      <c r="C2137" s="223" t="n"/>
      <c r="D2137" s="127" t="n"/>
      <c r="E2137" s="227" t="n"/>
      <c r="F2137" s="227" t="n"/>
      <c r="G2137" s="227" t="n"/>
      <c r="H2137" s="227" t="n"/>
      <c r="I2137" s="227" t="n"/>
      <c r="J2137" s="227" t="n"/>
      <c r="K2137" s="227" t="n"/>
      <c r="L2137" s="227" t="n"/>
      <c r="M2137" s="227" t="n"/>
      <c r="N2137" s="127" t="n"/>
      <c r="O2137" s="227" t="n"/>
      <c r="P2137" s="227" t="n"/>
      <c r="Q2137" s="227" t="n"/>
      <c r="R2137" s="227" t="n"/>
      <c r="S2137" s="227" t="n"/>
      <c r="T2137" s="227" t="n"/>
    </row>
    <row r="2138">
      <c r="A2138" s="145">
        <f>IF($B2138="","",ROW()-5)</f>
        <v/>
      </c>
      <c r="B2138" s="127" t="n"/>
      <c r="C2138" s="223" t="n"/>
      <c r="D2138" s="127" t="n"/>
      <c r="E2138" s="227" t="n"/>
      <c r="F2138" s="227" t="n"/>
      <c r="G2138" s="227" t="n"/>
      <c r="H2138" s="227" t="n"/>
      <c r="I2138" s="227" t="n"/>
      <c r="J2138" s="227" t="n"/>
      <c r="K2138" s="227" t="n"/>
      <c r="L2138" s="227" t="n"/>
      <c r="M2138" s="227" t="n"/>
      <c r="N2138" s="127" t="n"/>
      <c r="O2138" s="227" t="n"/>
      <c r="P2138" s="227" t="n"/>
      <c r="Q2138" s="227" t="n"/>
      <c r="R2138" s="227" t="n"/>
      <c r="S2138" s="227" t="n"/>
      <c r="T2138" s="227" t="n"/>
    </row>
    <row r="2139">
      <c r="A2139" s="145">
        <f>IF($B2139="","",ROW()-5)</f>
        <v/>
      </c>
      <c r="B2139" s="127" t="n"/>
      <c r="C2139" s="223" t="n"/>
      <c r="D2139" s="127" t="n"/>
      <c r="E2139" s="227" t="n"/>
      <c r="F2139" s="227" t="n"/>
      <c r="G2139" s="227" t="n"/>
      <c r="H2139" s="227" t="n"/>
      <c r="I2139" s="227" t="n"/>
      <c r="J2139" s="227" t="n"/>
      <c r="K2139" s="227" t="n"/>
      <c r="L2139" s="227" t="n"/>
      <c r="M2139" s="227" t="n"/>
      <c r="N2139" s="127" t="n"/>
      <c r="O2139" s="227" t="n"/>
      <c r="P2139" s="227" t="n"/>
      <c r="Q2139" s="227" t="n"/>
      <c r="R2139" s="227" t="n"/>
      <c r="S2139" s="227" t="n"/>
      <c r="T2139" s="227" t="n"/>
    </row>
    <row r="2140">
      <c r="A2140" s="145">
        <f>IF($B2140="","",ROW()-5)</f>
        <v/>
      </c>
      <c r="B2140" s="127" t="n"/>
      <c r="C2140" s="223" t="n"/>
      <c r="D2140" s="127" t="n"/>
      <c r="E2140" s="227" t="n"/>
      <c r="F2140" s="227" t="n"/>
      <c r="G2140" s="227" t="n"/>
      <c r="H2140" s="227" t="n"/>
      <c r="I2140" s="227" t="n"/>
      <c r="J2140" s="227" t="n"/>
      <c r="K2140" s="227" t="n"/>
      <c r="L2140" s="227" t="n"/>
      <c r="M2140" s="227" t="n"/>
      <c r="N2140" s="127" t="n"/>
      <c r="O2140" s="227" t="n"/>
      <c r="P2140" s="227" t="n"/>
      <c r="Q2140" s="227" t="n"/>
      <c r="R2140" s="227" t="n"/>
      <c r="S2140" s="227" t="n"/>
      <c r="T2140" s="227" t="n"/>
    </row>
    <row r="2141">
      <c r="A2141" s="145">
        <f>IF($B2141="","",ROW()-5)</f>
        <v/>
      </c>
      <c r="B2141" s="127" t="n"/>
      <c r="C2141" s="223" t="n"/>
      <c r="D2141" s="127" t="n"/>
      <c r="E2141" s="227" t="n"/>
      <c r="F2141" s="227" t="n"/>
      <c r="G2141" s="227" t="n"/>
      <c r="H2141" s="227" t="n"/>
      <c r="I2141" s="227" t="n"/>
      <c r="J2141" s="227" t="n"/>
      <c r="K2141" s="227" t="n"/>
      <c r="L2141" s="227" t="n"/>
      <c r="M2141" s="227" t="n"/>
      <c r="N2141" s="127" t="n"/>
      <c r="O2141" s="227" t="n"/>
      <c r="P2141" s="227" t="n"/>
      <c r="Q2141" s="227" t="n"/>
      <c r="R2141" s="227" t="n"/>
      <c r="S2141" s="227" t="n"/>
      <c r="T2141" s="227" t="n"/>
    </row>
    <row r="2142">
      <c r="A2142" s="145">
        <f>IF($B2142="","",ROW()-5)</f>
        <v/>
      </c>
      <c r="B2142" s="127" t="n"/>
      <c r="C2142" s="223" t="n"/>
      <c r="D2142" s="127" t="n"/>
      <c r="E2142" s="227" t="n"/>
      <c r="F2142" s="227" t="n"/>
      <c r="G2142" s="227" t="n"/>
      <c r="H2142" s="227" t="n"/>
      <c r="I2142" s="227" t="n"/>
      <c r="J2142" s="227" t="n"/>
      <c r="K2142" s="227" t="n"/>
      <c r="L2142" s="227" t="n"/>
      <c r="M2142" s="227" t="n"/>
      <c r="N2142" s="127" t="n"/>
      <c r="O2142" s="227" t="n"/>
      <c r="P2142" s="227" t="n"/>
      <c r="Q2142" s="227" t="n"/>
      <c r="R2142" s="227" t="n"/>
      <c r="S2142" s="227" t="n"/>
      <c r="T2142" s="227" t="n"/>
    </row>
    <row r="2143">
      <c r="A2143" s="145">
        <f>IF($B2143="","",ROW()-5)</f>
        <v/>
      </c>
      <c r="B2143" s="127" t="n"/>
      <c r="C2143" s="223" t="n"/>
      <c r="D2143" s="127" t="n"/>
      <c r="E2143" s="227" t="n"/>
      <c r="F2143" s="227" t="n"/>
      <c r="G2143" s="227" t="n"/>
      <c r="H2143" s="227" t="n"/>
      <c r="I2143" s="227" t="n"/>
      <c r="J2143" s="227" t="n"/>
      <c r="K2143" s="227" t="n"/>
      <c r="L2143" s="227" t="n"/>
      <c r="M2143" s="227" t="n"/>
      <c r="N2143" s="127" t="n"/>
      <c r="O2143" s="227" t="n"/>
      <c r="P2143" s="227" t="n"/>
      <c r="Q2143" s="227" t="n"/>
      <c r="R2143" s="227" t="n"/>
      <c r="S2143" s="227" t="n"/>
      <c r="T2143" s="227" t="n"/>
    </row>
    <row r="2144">
      <c r="A2144" s="145">
        <f>IF($B2144="","",ROW()-5)</f>
        <v/>
      </c>
      <c r="B2144" s="127" t="n"/>
      <c r="C2144" s="223" t="n"/>
      <c r="D2144" s="127" t="n"/>
      <c r="E2144" s="227" t="n"/>
      <c r="F2144" s="227" t="n"/>
      <c r="G2144" s="227" t="n"/>
      <c r="H2144" s="227" t="n"/>
      <c r="I2144" s="227" t="n"/>
      <c r="J2144" s="227" t="n"/>
      <c r="K2144" s="227" t="n"/>
      <c r="L2144" s="227" t="n"/>
      <c r="M2144" s="227" t="n"/>
      <c r="N2144" s="127" t="n"/>
      <c r="O2144" s="227" t="n"/>
      <c r="P2144" s="227" t="n"/>
      <c r="Q2144" s="227" t="n"/>
      <c r="R2144" s="227" t="n"/>
      <c r="S2144" s="227" t="n"/>
      <c r="T2144" s="227" t="n"/>
    </row>
    <row r="2145">
      <c r="A2145" s="145">
        <f>IF($B2145="","",ROW()-5)</f>
        <v/>
      </c>
      <c r="B2145" s="127" t="n"/>
      <c r="C2145" s="223" t="n"/>
      <c r="D2145" s="127" t="n"/>
      <c r="E2145" s="227" t="n"/>
      <c r="F2145" s="227" t="n"/>
      <c r="G2145" s="227" t="n"/>
      <c r="H2145" s="227" t="n"/>
      <c r="I2145" s="227" t="n"/>
      <c r="J2145" s="227" t="n"/>
      <c r="K2145" s="227" t="n"/>
      <c r="L2145" s="227" t="n"/>
      <c r="M2145" s="227" t="n"/>
      <c r="N2145" s="127" t="n"/>
      <c r="O2145" s="227" t="n"/>
      <c r="P2145" s="227" t="n"/>
      <c r="Q2145" s="227" t="n"/>
      <c r="R2145" s="227" t="n"/>
      <c r="S2145" s="227" t="n"/>
      <c r="T2145" s="227" t="n"/>
    </row>
    <row r="2146">
      <c r="A2146" s="145">
        <f>IF($B2146="","",ROW()-5)</f>
        <v/>
      </c>
      <c r="B2146" s="127" t="n"/>
      <c r="C2146" s="223" t="n"/>
      <c r="D2146" s="127" t="n"/>
      <c r="E2146" s="227" t="n"/>
      <c r="F2146" s="227" t="n"/>
      <c r="G2146" s="227" t="n"/>
      <c r="H2146" s="227" t="n"/>
      <c r="I2146" s="227" t="n"/>
      <c r="J2146" s="227" t="n"/>
      <c r="K2146" s="227" t="n"/>
      <c r="L2146" s="227" t="n"/>
      <c r="M2146" s="227" t="n"/>
      <c r="N2146" s="127" t="n"/>
      <c r="O2146" s="227" t="n"/>
      <c r="P2146" s="227" t="n"/>
      <c r="Q2146" s="227" t="n"/>
      <c r="R2146" s="227" t="n"/>
      <c r="S2146" s="227" t="n"/>
      <c r="T2146" s="227" t="n"/>
    </row>
    <row r="2147">
      <c r="A2147" s="145">
        <f>IF($B2147="","",ROW()-5)</f>
        <v/>
      </c>
      <c r="B2147" s="127" t="n"/>
      <c r="C2147" s="223" t="n"/>
      <c r="D2147" s="127" t="n"/>
      <c r="E2147" s="227" t="n"/>
      <c r="F2147" s="227" t="n"/>
      <c r="G2147" s="227" t="n"/>
      <c r="H2147" s="227" t="n"/>
      <c r="I2147" s="227" t="n"/>
      <c r="J2147" s="227" t="n"/>
      <c r="K2147" s="227" t="n"/>
      <c r="L2147" s="227" t="n"/>
      <c r="M2147" s="227" t="n"/>
      <c r="N2147" s="127" t="n"/>
      <c r="O2147" s="227" t="n"/>
      <c r="P2147" s="227" t="n"/>
      <c r="Q2147" s="227" t="n"/>
      <c r="R2147" s="227" t="n"/>
      <c r="S2147" s="227" t="n"/>
      <c r="T2147" s="227" t="n"/>
    </row>
    <row r="2148">
      <c r="A2148" s="145">
        <f>IF($B2148="","",ROW()-5)</f>
        <v/>
      </c>
      <c r="B2148" s="127" t="n"/>
      <c r="C2148" s="223" t="n"/>
      <c r="D2148" s="127" t="n"/>
      <c r="E2148" s="227" t="n"/>
      <c r="F2148" s="227" t="n"/>
      <c r="G2148" s="227" t="n"/>
      <c r="H2148" s="227" t="n"/>
      <c r="I2148" s="227" t="n"/>
      <c r="J2148" s="227" t="n"/>
      <c r="K2148" s="227" t="n"/>
      <c r="L2148" s="227" t="n"/>
      <c r="M2148" s="227" t="n"/>
      <c r="N2148" s="127" t="n"/>
      <c r="O2148" s="227" t="n"/>
      <c r="P2148" s="227" t="n"/>
      <c r="Q2148" s="227" t="n"/>
      <c r="R2148" s="227" t="n"/>
      <c r="S2148" s="227" t="n"/>
      <c r="T2148" s="227" t="n"/>
    </row>
    <row r="2149">
      <c r="A2149" s="145">
        <f>IF($B2149="","",ROW()-5)</f>
        <v/>
      </c>
      <c r="B2149" s="127" t="n"/>
      <c r="C2149" s="223" t="n"/>
      <c r="D2149" s="127" t="n"/>
      <c r="E2149" s="227" t="n"/>
      <c r="F2149" s="227" t="n"/>
      <c r="G2149" s="227" t="n"/>
      <c r="H2149" s="227" t="n"/>
      <c r="I2149" s="227" t="n"/>
      <c r="J2149" s="227" t="n"/>
      <c r="K2149" s="227" t="n"/>
      <c r="L2149" s="227" t="n"/>
      <c r="M2149" s="227" t="n"/>
      <c r="N2149" s="127" t="n"/>
      <c r="O2149" s="227" t="n"/>
      <c r="P2149" s="227" t="n"/>
      <c r="Q2149" s="227" t="n"/>
      <c r="R2149" s="227" t="n"/>
      <c r="S2149" s="227" t="n"/>
      <c r="T2149" s="227" t="n"/>
    </row>
    <row r="2150">
      <c r="A2150" s="145">
        <f>IF($B2150="","",ROW()-5)</f>
        <v/>
      </c>
      <c r="B2150" s="127" t="n"/>
      <c r="C2150" s="223" t="n"/>
      <c r="D2150" s="127" t="n"/>
      <c r="E2150" s="227" t="n"/>
      <c r="F2150" s="227" t="n"/>
      <c r="G2150" s="227" t="n"/>
      <c r="H2150" s="227" t="n"/>
      <c r="I2150" s="227" t="n"/>
      <c r="J2150" s="227" t="n"/>
      <c r="K2150" s="227" t="n"/>
      <c r="L2150" s="227" t="n"/>
      <c r="M2150" s="227" t="n"/>
      <c r="N2150" s="127" t="n"/>
      <c r="O2150" s="227" t="n"/>
      <c r="P2150" s="227" t="n"/>
      <c r="Q2150" s="227" t="n"/>
      <c r="R2150" s="227" t="n"/>
      <c r="S2150" s="227" t="n"/>
      <c r="T2150" s="227" t="n"/>
    </row>
    <row r="2151">
      <c r="A2151" s="145">
        <f>IF($B2151="","",ROW()-5)</f>
        <v/>
      </c>
      <c r="B2151" s="127" t="n"/>
      <c r="C2151" s="223" t="n"/>
      <c r="D2151" s="127" t="n"/>
      <c r="E2151" s="227" t="n"/>
      <c r="F2151" s="227" t="n"/>
      <c r="G2151" s="227" t="n"/>
      <c r="H2151" s="227" t="n"/>
      <c r="I2151" s="227" t="n"/>
      <c r="J2151" s="227" t="n"/>
      <c r="K2151" s="227" t="n"/>
      <c r="L2151" s="227" t="n"/>
      <c r="M2151" s="227" t="n"/>
      <c r="N2151" s="127" t="n"/>
      <c r="O2151" s="227" t="n"/>
      <c r="P2151" s="227" t="n"/>
      <c r="Q2151" s="227" t="n"/>
      <c r="R2151" s="227" t="n"/>
      <c r="S2151" s="227" t="n"/>
      <c r="T2151" s="227" t="n"/>
    </row>
    <row r="2152">
      <c r="A2152" s="145">
        <f>IF($B2152="","",ROW()-5)</f>
        <v/>
      </c>
      <c r="B2152" s="127" t="n"/>
      <c r="C2152" s="223" t="n"/>
      <c r="D2152" s="127" t="n"/>
      <c r="E2152" s="227" t="n"/>
      <c r="F2152" s="227" t="n"/>
      <c r="G2152" s="227" t="n"/>
      <c r="H2152" s="227" t="n"/>
      <c r="I2152" s="227" t="n"/>
      <c r="J2152" s="227" t="n"/>
      <c r="K2152" s="227" t="n"/>
      <c r="L2152" s="227" t="n"/>
      <c r="M2152" s="227" t="n"/>
      <c r="N2152" s="127" t="n"/>
      <c r="O2152" s="227" t="n"/>
      <c r="P2152" s="227" t="n"/>
      <c r="Q2152" s="227" t="n"/>
      <c r="R2152" s="227" t="n"/>
      <c r="S2152" s="227" t="n"/>
      <c r="T2152" s="227" t="n"/>
    </row>
    <row r="2153">
      <c r="A2153" s="145">
        <f>IF($B2153="","",ROW()-5)</f>
        <v/>
      </c>
      <c r="B2153" s="127" t="n"/>
      <c r="C2153" s="223" t="n"/>
      <c r="D2153" s="127" t="n"/>
      <c r="E2153" s="227" t="n"/>
      <c r="F2153" s="227" t="n"/>
      <c r="G2153" s="227" t="n"/>
      <c r="H2153" s="227" t="n"/>
      <c r="I2153" s="227" t="n"/>
      <c r="J2153" s="227" t="n"/>
      <c r="K2153" s="227" t="n"/>
      <c r="L2153" s="227" t="n"/>
      <c r="M2153" s="227" t="n"/>
      <c r="N2153" s="127" t="n"/>
      <c r="O2153" s="227" t="n"/>
      <c r="P2153" s="227" t="n"/>
      <c r="Q2153" s="227" t="n"/>
      <c r="R2153" s="227" t="n"/>
      <c r="S2153" s="227" t="n"/>
      <c r="T2153" s="227" t="n"/>
    </row>
    <row r="2154">
      <c r="A2154" s="145">
        <f>IF($B2154="","",ROW()-5)</f>
        <v/>
      </c>
      <c r="B2154" s="127" t="n"/>
      <c r="C2154" s="223" t="n"/>
      <c r="D2154" s="127" t="n"/>
      <c r="E2154" s="227" t="n"/>
      <c r="F2154" s="227" t="n"/>
      <c r="G2154" s="227" t="n"/>
      <c r="H2154" s="227" t="n"/>
      <c r="I2154" s="227" t="n"/>
      <c r="J2154" s="227" t="n"/>
      <c r="K2154" s="227" t="n"/>
      <c r="L2154" s="227" t="n"/>
      <c r="M2154" s="227" t="n"/>
      <c r="N2154" s="127" t="n"/>
      <c r="O2154" s="227" t="n"/>
      <c r="P2154" s="227" t="n"/>
      <c r="Q2154" s="227" t="n"/>
      <c r="R2154" s="227" t="n"/>
      <c r="S2154" s="227" t="n"/>
      <c r="T2154" s="227" t="n"/>
    </row>
    <row r="2155">
      <c r="A2155" s="145">
        <f>IF($B2155="","",ROW()-5)</f>
        <v/>
      </c>
      <c r="B2155" s="127" t="n"/>
      <c r="C2155" s="223" t="n"/>
      <c r="D2155" s="127" t="n"/>
      <c r="E2155" s="227" t="n"/>
      <c r="F2155" s="227" t="n"/>
      <c r="G2155" s="227" t="n"/>
      <c r="H2155" s="227" t="n"/>
      <c r="I2155" s="227" t="n"/>
      <c r="J2155" s="227" t="n"/>
      <c r="K2155" s="227" t="n"/>
      <c r="L2155" s="227" t="n"/>
      <c r="M2155" s="227" t="n"/>
      <c r="N2155" s="127" t="n"/>
      <c r="O2155" s="227" t="n"/>
      <c r="P2155" s="227" t="n"/>
      <c r="Q2155" s="227" t="n"/>
      <c r="R2155" s="227" t="n"/>
      <c r="S2155" s="227" t="n"/>
      <c r="T2155" s="227" t="n"/>
    </row>
    <row r="2156">
      <c r="A2156" s="145">
        <f>IF($B2156="","",ROW()-5)</f>
        <v/>
      </c>
      <c r="B2156" s="127" t="n"/>
      <c r="C2156" s="223" t="n"/>
      <c r="D2156" s="127" t="n"/>
      <c r="E2156" s="227" t="n"/>
      <c r="F2156" s="227" t="n"/>
      <c r="G2156" s="227" t="n"/>
      <c r="H2156" s="227" t="n"/>
      <c r="I2156" s="227" t="n"/>
      <c r="J2156" s="227" t="n"/>
      <c r="K2156" s="227" t="n"/>
      <c r="L2156" s="227" t="n"/>
      <c r="M2156" s="227" t="n"/>
      <c r="N2156" s="127" t="n"/>
      <c r="O2156" s="227" t="n"/>
      <c r="P2156" s="227" t="n"/>
      <c r="Q2156" s="227" t="n"/>
      <c r="R2156" s="227" t="n"/>
      <c r="S2156" s="227" t="n"/>
      <c r="T2156" s="227" t="n"/>
    </row>
    <row r="2157">
      <c r="A2157" s="145">
        <f>IF($B2157="","",ROW()-5)</f>
        <v/>
      </c>
      <c r="B2157" s="127" t="n"/>
      <c r="C2157" s="223" t="n"/>
      <c r="D2157" s="127" t="n"/>
      <c r="E2157" s="227" t="n"/>
      <c r="F2157" s="227" t="n"/>
      <c r="G2157" s="227" t="n"/>
      <c r="H2157" s="227" t="n"/>
      <c r="I2157" s="227" t="n"/>
      <c r="J2157" s="227" t="n"/>
      <c r="K2157" s="227" t="n"/>
      <c r="L2157" s="227" t="n"/>
      <c r="M2157" s="227" t="n"/>
      <c r="N2157" s="127" t="n"/>
      <c r="O2157" s="227" t="n"/>
      <c r="P2157" s="227" t="n"/>
      <c r="Q2157" s="227" t="n"/>
      <c r="R2157" s="227" t="n"/>
      <c r="S2157" s="227" t="n"/>
      <c r="T2157" s="227" t="n"/>
    </row>
    <row r="2158">
      <c r="A2158" s="145">
        <f>IF($B2158="","",ROW()-5)</f>
        <v/>
      </c>
      <c r="B2158" s="127" t="n"/>
      <c r="C2158" s="223" t="n"/>
      <c r="D2158" s="127" t="n"/>
      <c r="E2158" s="227" t="n"/>
      <c r="F2158" s="227" t="n"/>
      <c r="G2158" s="227" t="n"/>
      <c r="H2158" s="227" t="n"/>
      <c r="I2158" s="227" t="n"/>
      <c r="J2158" s="227" t="n"/>
      <c r="K2158" s="227" t="n"/>
      <c r="L2158" s="227" t="n"/>
      <c r="M2158" s="227" t="n"/>
      <c r="N2158" s="127" t="n"/>
      <c r="O2158" s="227" t="n"/>
      <c r="P2158" s="227" t="n"/>
      <c r="Q2158" s="227" t="n"/>
      <c r="R2158" s="227" t="n"/>
      <c r="S2158" s="227" t="n"/>
      <c r="T2158" s="227" t="n"/>
    </row>
    <row r="2159">
      <c r="A2159" s="145">
        <f>IF($B2159="","",ROW()-5)</f>
        <v/>
      </c>
      <c r="B2159" s="127" t="n"/>
      <c r="C2159" s="223" t="n"/>
      <c r="D2159" s="127" t="n"/>
      <c r="E2159" s="227" t="n"/>
      <c r="F2159" s="227" t="n"/>
      <c r="G2159" s="227" t="n"/>
      <c r="H2159" s="227" t="n"/>
      <c r="I2159" s="227" t="n"/>
      <c r="J2159" s="227" t="n"/>
      <c r="K2159" s="227" t="n"/>
      <c r="L2159" s="227" t="n"/>
      <c r="M2159" s="227" t="n"/>
      <c r="N2159" s="127" t="n"/>
      <c r="O2159" s="227" t="n"/>
      <c r="P2159" s="227" t="n"/>
      <c r="Q2159" s="227" t="n"/>
      <c r="R2159" s="227" t="n"/>
      <c r="S2159" s="227" t="n"/>
      <c r="T2159" s="227" t="n"/>
    </row>
    <row r="2160">
      <c r="A2160" s="145">
        <f>IF($B2160="","",ROW()-5)</f>
        <v/>
      </c>
      <c r="B2160" s="127" t="n"/>
      <c r="C2160" s="223" t="n"/>
      <c r="D2160" s="127" t="n"/>
      <c r="E2160" s="227" t="n"/>
      <c r="F2160" s="227" t="n"/>
      <c r="G2160" s="227" t="n"/>
      <c r="H2160" s="227" t="n"/>
      <c r="I2160" s="227" t="n"/>
      <c r="J2160" s="227" t="n"/>
      <c r="K2160" s="227" t="n"/>
      <c r="L2160" s="227" t="n"/>
      <c r="M2160" s="227" t="n"/>
      <c r="N2160" s="127" t="n"/>
      <c r="O2160" s="227" t="n"/>
      <c r="P2160" s="227" t="n"/>
      <c r="Q2160" s="227" t="n"/>
      <c r="R2160" s="227" t="n"/>
      <c r="S2160" s="227" t="n"/>
      <c r="T2160" s="227" t="n"/>
    </row>
    <row r="2161">
      <c r="A2161" s="145">
        <f>IF($B2161="","",ROW()-5)</f>
        <v/>
      </c>
      <c r="B2161" s="127" t="n"/>
      <c r="C2161" s="223" t="n"/>
      <c r="D2161" s="127" t="n"/>
      <c r="E2161" s="227" t="n"/>
      <c r="F2161" s="227" t="n"/>
      <c r="G2161" s="227" t="n"/>
      <c r="H2161" s="227" t="n"/>
      <c r="I2161" s="227" t="n"/>
      <c r="J2161" s="227" t="n"/>
      <c r="K2161" s="227" t="n"/>
      <c r="L2161" s="227" t="n"/>
      <c r="M2161" s="227" t="n"/>
      <c r="N2161" s="127" t="n"/>
      <c r="O2161" s="227" t="n"/>
      <c r="P2161" s="227" t="n"/>
      <c r="Q2161" s="227" t="n"/>
      <c r="R2161" s="227" t="n"/>
      <c r="S2161" s="227" t="n"/>
      <c r="T2161" s="227" t="n"/>
    </row>
    <row r="2162">
      <c r="A2162" s="145">
        <f>IF($B2162="","",ROW()-5)</f>
        <v/>
      </c>
      <c r="B2162" s="127" t="n"/>
      <c r="C2162" s="223" t="n"/>
      <c r="D2162" s="127" t="n"/>
      <c r="E2162" s="227" t="n"/>
      <c r="F2162" s="227" t="n"/>
      <c r="G2162" s="227" t="n"/>
      <c r="H2162" s="227" t="n"/>
      <c r="I2162" s="227" t="n"/>
      <c r="J2162" s="227" t="n"/>
      <c r="K2162" s="227" t="n"/>
      <c r="L2162" s="227" t="n"/>
      <c r="M2162" s="227" t="n"/>
      <c r="N2162" s="127" t="n"/>
      <c r="O2162" s="227" t="n"/>
      <c r="P2162" s="227" t="n"/>
      <c r="Q2162" s="227" t="n"/>
      <c r="R2162" s="227" t="n"/>
      <c r="S2162" s="227" t="n"/>
      <c r="T2162" s="227" t="n"/>
    </row>
    <row r="2163">
      <c r="A2163" s="145">
        <f>IF($B2163="","",ROW()-5)</f>
        <v/>
      </c>
      <c r="B2163" s="127" t="n"/>
      <c r="C2163" s="223" t="n"/>
      <c r="D2163" s="127" t="n"/>
      <c r="E2163" s="227" t="n"/>
      <c r="F2163" s="227" t="n"/>
      <c r="G2163" s="227" t="n"/>
      <c r="H2163" s="227" t="n"/>
      <c r="I2163" s="227" t="n"/>
      <c r="J2163" s="227" t="n"/>
      <c r="K2163" s="227" t="n"/>
      <c r="L2163" s="227" t="n"/>
      <c r="M2163" s="227" t="n"/>
      <c r="N2163" s="127" t="n"/>
      <c r="O2163" s="227" t="n"/>
      <c r="P2163" s="227" t="n"/>
      <c r="Q2163" s="227" t="n"/>
      <c r="R2163" s="227" t="n"/>
      <c r="S2163" s="227" t="n"/>
      <c r="T2163" s="227" t="n"/>
    </row>
    <row r="2164">
      <c r="A2164" s="145">
        <f>IF($B2164="","",ROW()-5)</f>
        <v/>
      </c>
      <c r="B2164" s="127" t="n"/>
      <c r="C2164" s="223" t="n"/>
      <c r="D2164" s="127" t="n"/>
      <c r="E2164" s="227" t="n"/>
      <c r="F2164" s="227" t="n"/>
      <c r="G2164" s="227" t="n"/>
      <c r="H2164" s="227" t="n"/>
      <c r="I2164" s="227" t="n"/>
      <c r="J2164" s="227" t="n"/>
      <c r="K2164" s="227" t="n"/>
      <c r="L2164" s="227" t="n"/>
      <c r="M2164" s="227" t="n"/>
      <c r="N2164" s="127" t="n"/>
      <c r="O2164" s="227" t="n"/>
      <c r="P2164" s="227" t="n"/>
      <c r="Q2164" s="227" t="n"/>
      <c r="R2164" s="227" t="n"/>
      <c r="S2164" s="227" t="n"/>
      <c r="T2164" s="227" t="n"/>
    </row>
    <row r="2165">
      <c r="A2165" s="145">
        <f>IF($B2165="","",ROW()-5)</f>
        <v/>
      </c>
      <c r="B2165" s="127" t="n"/>
      <c r="C2165" s="223" t="n"/>
      <c r="D2165" s="127" t="n"/>
      <c r="E2165" s="227" t="n"/>
      <c r="F2165" s="227" t="n"/>
      <c r="G2165" s="227" t="n"/>
      <c r="H2165" s="227" t="n"/>
      <c r="I2165" s="227" t="n"/>
      <c r="J2165" s="227" t="n"/>
      <c r="K2165" s="227" t="n"/>
      <c r="L2165" s="227" t="n"/>
      <c r="M2165" s="227" t="n"/>
      <c r="N2165" s="127" t="n"/>
      <c r="O2165" s="227" t="n"/>
      <c r="P2165" s="227" t="n"/>
      <c r="Q2165" s="227" t="n"/>
      <c r="R2165" s="227" t="n"/>
      <c r="S2165" s="227" t="n"/>
      <c r="T2165" s="227" t="n"/>
    </row>
    <row r="2166">
      <c r="A2166" s="145">
        <f>IF($B2166="","",ROW()-5)</f>
        <v/>
      </c>
      <c r="B2166" s="127" t="n"/>
      <c r="C2166" s="223" t="n"/>
      <c r="D2166" s="127" t="n"/>
      <c r="E2166" s="227" t="n"/>
      <c r="F2166" s="227" t="n"/>
      <c r="G2166" s="227" t="n"/>
      <c r="H2166" s="227" t="n"/>
      <c r="I2166" s="227" t="n"/>
      <c r="J2166" s="227" t="n"/>
      <c r="K2166" s="227" t="n"/>
      <c r="L2166" s="227" t="n"/>
      <c r="M2166" s="227" t="n"/>
      <c r="N2166" s="127" t="n"/>
      <c r="O2166" s="227" t="n"/>
      <c r="P2166" s="227" t="n"/>
      <c r="Q2166" s="227" t="n"/>
      <c r="R2166" s="227" t="n"/>
      <c r="S2166" s="227" t="n"/>
      <c r="T2166" s="227" t="n"/>
    </row>
    <row r="2167">
      <c r="A2167" s="145">
        <f>IF($B2167="","",ROW()-5)</f>
        <v/>
      </c>
      <c r="B2167" s="127" t="n"/>
      <c r="C2167" s="223" t="n"/>
      <c r="D2167" s="127" t="n"/>
      <c r="E2167" s="227" t="n"/>
      <c r="F2167" s="227" t="n"/>
      <c r="G2167" s="227" t="n"/>
      <c r="H2167" s="227" t="n"/>
      <c r="I2167" s="227" t="n"/>
      <c r="J2167" s="227" t="n"/>
      <c r="K2167" s="227" t="n"/>
      <c r="L2167" s="227" t="n"/>
      <c r="M2167" s="227" t="n"/>
      <c r="N2167" s="127" t="n"/>
      <c r="O2167" s="227" t="n"/>
      <c r="P2167" s="227" t="n"/>
      <c r="Q2167" s="227" t="n"/>
      <c r="R2167" s="227" t="n"/>
      <c r="S2167" s="227" t="n"/>
      <c r="T2167" s="227" t="n"/>
    </row>
    <row r="2168">
      <c r="A2168" s="145">
        <f>IF($B2168="","",ROW()-5)</f>
        <v/>
      </c>
      <c r="B2168" s="127" t="n"/>
      <c r="C2168" s="223" t="n"/>
      <c r="D2168" s="127" t="n"/>
      <c r="E2168" s="227" t="n"/>
      <c r="F2168" s="227" t="n"/>
      <c r="G2168" s="227" t="n"/>
      <c r="H2168" s="227" t="n"/>
      <c r="I2168" s="227" t="n"/>
      <c r="J2168" s="227" t="n"/>
      <c r="K2168" s="227" t="n"/>
      <c r="L2168" s="227" t="n"/>
      <c r="M2168" s="227" t="n"/>
      <c r="N2168" s="127" t="n"/>
      <c r="O2168" s="227" t="n"/>
      <c r="P2168" s="227" t="n"/>
      <c r="Q2168" s="227" t="n"/>
      <c r="R2168" s="227" t="n"/>
      <c r="S2168" s="227" t="n"/>
      <c r="T2168" s="227" t="n"/>
    </row>
    <row r="2169">
      <c r="A2169" s="145">
        <f>IF($B2169="","",ROW()-5)</f>
        <v/>
      </c>
      <c r="B2169" s="127" t="n"/>
      <c r="C2169" s="223" t="n"/>
      <c r="D2169" s="127" t="n"/>
      <c r="E2169" s="227" t="n"/>
      <c r="F2169" s="227" t="n"/>
      <c r="G2169" s="227" t="n"/>
      <c r="H2169" s="227" t="n"/>
      <c r="I2169" s="227" t="n"/>
      <c r="J2169" s="227" t="n"/>
      <c r="K2169" s="227" t="n"/>
      <c r="L2169" s="227" t="n"/>
      <c r="M2169" s="227" t="n"/>
      <c r="N2169" s="127" t="n"/>
      <c r="O2169" s="227" t="n"/>
      <c r="P2169" s="227" t="n"/>
      <c r="Q2169" s="227" t="n"/>
      <c r="R2169" s="227" t="n"/>
      <c r="S2169" s="227" t="n"/>
      <c r="T2169" s="227" t="n"/>
    </row>
    <row r="2170">
      <c r="A2170" s="145">
        <f>IF($B2170="","",ROW()-5)</f>
        <v/>
      </c>
      <c r="B2170" s="127" t="n"/>
      <c r="C2170" s="223" t="n"/>
      <c r="D2170" s="127" t="n"/>
      <c r="E2170" s="227" t="n"/>
      <c r="F2170" s="227" t="n"/>
      <c r="G2170" s="227" t="n"/>
      <c r="H2170" s="227" t="n"/>
      <c r="I2170" s="227" t="n"/>
      <c r="J2170" s="227" t="n"/>
      <c r="K2170" s="227" t="n"/>
      <c r="L2170" s="227" t="n"/>
      <c r="M2170" s="227" t="n"/>
      <c r="N2170" s="127" t="n"/>
      <c r="O2170" s="227" t="n"/>
      <c r="P2170" s="227" t="n"/>
      <c r="Q2170" s="227" t="n"/>
      <c r="R2170" s="227" t="n"/>
      <c r="S2170" s="227" t="n"/>
      <c r="T2170" s="227" t="n"/>
    </row>
    <row r="2171">
      <c r="A2171" s="145">
        <f>IF($B2171="","",ROW()-5)</f>
        <v/>
      </c>
      <c r="B2171" s="127" t="n"/>
      <c r="C2171" s="223" t="n"/>
      <c r="D2171" s="127" t="n"/>
      <c r="E2171" s="227" t="n"/>
      <c r="F2171" s="227" t="n"/>
      <c r="G2171" s="227" t="n"/>
      <c r="H2171" s="227" t="n"/>
      <c r="I2171" s="227" t="n"/>
      <c r="J2171" s="227" t="n"/>
      <c r="K2171" s="227" t="n"/>
      <c r="L2171" s="227" t="n"/>
      <c r="M2171" s="227" t="n"/>
      <c r="N2171" s="127" t="n"/>
      <c r="O2171" s="227" t="n"/>
      <c r="P2171" s="227" t="n"/>
      <c r="Q2171" s="227" t="n"/>
      <c r="R2171" s="227" t="n"/>
      <c r="S2171" s="227" t="n"/>
      <c r="T2171" s="227" t="n"/>
    </row>
    <row r="2172">
      <c r="A2172" s="145">
        <f>IF($B2172="","",ROW()-5)</f>
        <v/>
      </c>
      <c r="B2172" s="127" t="n"/>
      <c r="C2172" s="223" t="n"/>
      <c r="D2172" s="127" t="n"/>
      <c r="E2172" s="227" t="n"/>
      <c r="F2172" s="227" t="n"/>
      <c r="G2172" s="227" t="n"/>
      <c r="H2172" s="227" t="n"/>
      <c r="I2172" s="227" t="n"/>
      <c r="J2172" s="227" t="n"/>
      <c r="K2172" s="227" t="n"/>
      <c r="L2172" s="227" t="n"/>
      <c r="M2172" s="227" t="n"/>
      <c r="N2172" s="127" t="n"/>
      <c r="O2172" s="227" t="n"/>
      <c r="P2172" s="227" t="n"/>
      <c r="Q2172" s="227" t="n"/>
      <c r="R2172" s="227" t="n"/>
      <c r="S2172" s="227" t="n"/>
      <c r="T2172" s="227" t="n"/>
    </row>
    <row r="2173">
      <c r="A2173" s="145">
        <f>IF($B2173="","",ROW()-5)</f>
        <v/>
      </c>
      <c r="B2173" s="127" t="n"/>
      <c r="C2173" s="223" t="n"/>
      <c r="D2173" s="127" t="n"/>
      <c r="E2173" s="227" t="n"/>
      <c r="F2173" s="227" t="n"/>
      <c r="G2173" s="227" t="n"/>
      <c r="H2173" s="227" t="n"/>
      <c r="I2173" s="227" t="n"/>
      <c r="J2173" s="227" t="n"/>
      <c r="K2173" s="227" t="n"/>
      <c r="L2173" s="227" t="n"/>
      <c r="M2173" s="227" t="n"/>
      <c r="N2173" s="127" t="n"/>
      <c r="O2173" s="227" t="n"/>
      <c r="P2173" s="227" t="n"/>
      <c r="Q2173" s="227" t="n"/>
      <c r="R2173" s="227" t="n"/>
      <c r="S2173" s="227" t="n"/>
      <c r="T2173" s="227" t="n"/>
    </row>
    <row r="2174">
      <c r="A2174" s="145">
        <f>IF($B2174="","",ROW()-5)</f>
        <v/>
      </c>
      <c r="B2174" s="127" t="n"/>
      <c r="C2174" s="223" t="n"/>
      <c r="D2174" s="127" t="n"/>
      <c r="E2174" s="227" t="n"/>
      <c r="F2174" s="227" t="n"/>
      <c r="G2174" s="227" t="n"/>
      <c r="H2174" s="227" t="n"/>
      <c r="I2174" s="227" t="n"/>
      <c r="J2174" s="227" t="n"/>
      <c r="K2174" s="227" t="n"/>
      <c r="L2174" s="227" t="n"/>
      <c r="M2174" s="227" t="n"/>
      <c r="N2174" s="127" t="n"/>
      <c r="O2174" s="227" t="n"/>
      <c r="P2174" s="227" t="n"/>
      <c r="Q2174" s="227" t="n"/>
      <c r="R2174" s="227" t="n"/>
      <c r="S2174" s="227" t="n"/>
      <c r="T2174" s="227" t="n"/>
    </row>
    <row r="2175">
      <c r="A2175" s="145">
        <f>IF($B2175="","",ROW()-5)</f>
        <v/>
      </c>
      <c r="B2175" s="127" t="n"/>
      <c r="C2175" s="223" t="n"/>
      <c r="D2175" s="127" t="n"/>
      <c r="E2175" s="227" t="n"/>
      <c r="F2175" s="227" t="n"/>
      <c r="G2175" s="227" t="n"/>
      <c r="H2175" s="227" t="n"/>
      <c r="I2175" s="227" t="n"/>
      <c r="J2175" s="227" t="n"/>
      <c r="K2175" s="227" t="n"/>
      <c r="L2175" s="227" t="n"/>
      <c r="M2175" s="227" t="n"/>
      <c r="N2175" s="127" t="n"/>
      <c r="O2175" s="227" t="n"/>
      <c r="P2175" s="227" t="n"/>
      <c r="Q2175" s="227" t="n"/>
      <c r="R2175" s="227" t="n"/>
      <c r="S2175" s="227" t="n"/>
      <c r="T2175" s="227" t="n"/>
    </row>
    <row r="2176">
      <c r="A2176" s="145">
        <f>IF($B2176="","",ROW()-5)</f>
        <v/>
      </c>
      <c r="B2176" s="127" t="n"/>
      <c r="C2176" s="223" t="n"/>
      <c r="D2176" s="127" t="n"/>
      <c r="E2176" s="227" t="n"/>
      <c r="F2176" s="227" t="n"/>
      <c r="G2176" s="227" t="n"/>
      <c r="H2176" s="227" t="n"/>
      <c r="I2176" s="227" t="n"/>
      <c r="J2176" s="227" t="n"/>
      <c r="K2176" s="227" t="n"/>
      <c r="L2176" s="227" t="n"/>
      <c r="M2176" s="227" t="n"/>
      <c r="N2176" s="127" t="n"/>
      <c r="O2176" s="227" t="n"/>
      <c r="P2176" s="227" t="n"/>
      <c r="Q2176" s="227" t="n"/>
      <c r="R2176" s="227" t="n"/>
      <c r="S2176" s="227" t="n"/>
      <c r="T2176" s="227" t="n"/>
    </row>
    <row r="2177">
      <c r="A2177" s="145">
        <f>IF($B2177="","",ROW()-5)</f>
        <v/>
      </c>
      <c r="B2177" s="127" t="n"/>
      <c r="C2177" s="223" t="n"/>
      <c r="D2177" s="127" t="n"/>
      <c r="E2177" s="227" t="n"/>
      <c r="F2177" s="227" t="n"/>
      <c r="G2177" s="227" t="n"/>
      <c r="H2177" s="227" t="n"/>
      <c r="I2177" s="227" t="n"/>
      <c r="J2177" s="227" t="n"/>
      <c r="K2177" s="227" t="n"/>
      <c r="L2177" s="227" t="n"/>
      <c r="M2177" s="227" t="n"/>
      <c r="N2177" s="127" t="n"/>
      <c r="O2177" s="227" t="n"/>
      <c r="P2177" s="227" t="n"/>
      <c r="Q2177" s="227" t="n"/>
      <c r="R2177" s="227" t="n"/>
      <c r="S2177" s="227" t="n"/>
      <c r="T2177" s="227" t="n"/>
    </row>
    <row r="2178">
      <c r="A2178" s="145">
        <f>IF($B2178="","",ROW()-5)</f>
        <v/>
      </c>
      <c r="B2178" s="127" t="n"/>
      <c r="C2178" s="223" t="n"/>
      <c r="D2178" s="127" t="n"/>
      <c r="E2178" s="227" t="n"/>
      <c r="F2178" s="227" t="n"/>
      <c r="G2178" s="227" t="n"/>
      <c r="H2178" s="227" t="n"/>
      <c r="I2178" s="227" t="n"/>
      <c r="J2178" s="227" t="n"/>
      <c r="K2178" s="227" t="n"/>
      <c r="L2178" s="227" t="n"/>
      <c r="M2178" s="227" t="n"/>
      <c r="N2178" s="127" t="n"/>
      <c r="O2178" s="227" t="n"/>
      <c r="P2178" s="227" t="n"/>
      <c r="Q2178" s="227" t="n"/>
      <c r="R2178" s="227" t="n"/>
      <c r="S2178" s="227" t="n"/>
      <c r="T2178" s="227" t="n"/>
    </row>
    <row r="2179">
      <c r="A2179" s="145">
        <f>IF($B2179="","",ROW()-5)</f>
        <v/>
      </c>
      <c r="B2179" s="127" t="n"/>
      <c r="C2179" s="223" t="n"/>
      <c r="D2179" s="127" t="n"/>
      <c r="E2179" s="227" t="n"/>
      <c r="F2179" s="227" t="n"/>
      <c r="G2179" s="227" t="n"/>
      <c r="H2179" s="227" t="n"/>
      <c r="I2179" s="227" t="n"/>
      <c r="J2179" s="227" t="n"/>
      <c r="K2179" s="227" t="n"/>
      <c r="L2179" s="227" t="n"/>
      <c r="M2179" s="227" t="n"/>
      <c r="N2179" s="127" t="n"/>
      <c r="O2179" s="227" t="n"/>
      <c r="P2179" s="227" t="n"/>
      <c r="Q2179" s="227" t="n"/>
      <c r="R2179" s="227" t="n"/>
      <c r="S2179" s="227" t="n"/>
      <c r="T2179" s="227" t="n"/>
    </row>
    <row r="2180">
      <c r="A2180" s="145">
        <f>IF($B2180="","",ROW()-5)</f>
        <v/>
      </c>
      <c r="B2180" s="127" t="n"/>
      <c r="C2180" s="223" t="n"/>
      <c r="D2180" s="127" t="n"/>
      <c r="E2180" s="227" t="n"/>
      <c r="F2180" s="227" t="n"/>
      <c r="G2180" s="227" t="n"/>
      <c r="H2180" s="227" t="n"/>
      <c r="I2180" s="227" t="n"/>
      <c r="J2180" s="227" t="n"/>
      <c r="K2180" s="227" t="n"/>
      <c r="L2180" s="227" t="n"/>
      <c r="M2180" s="227" t="n"/>
      <c r="N2180" s="127" t="n"/>
      <c r="O2180" s="227" t="n"/>
      <c r="P2180" s="227" t="n"/>
      <c r="Q2180" s="227" t="n"/>
      <c r="R2180" s="227" t="n"/>
      <c r="S2180" s="227" t="n"/>
      <c r="T2180" s="227" t="n"/>
    </row>
    <row r="2181">
      <c r="A2181" s="145">
        <f>IF($B2181="","",ROW()-5)</f>
        <v/>
      </c>
      <c r="B2181" s="127" t="n"/>
      <c r="C2181" s="223" t="n"/>
      <c r="D2181" s="127" t="n"/>
      <c r="E2181" s="227" t="n"/>
      <c r="F2181" s="227" t="n"/>
      <c r="G2181" s="227" t="n"/>
      <c r="H2181" s="227" t="n"/>
      <c r="I2181" s="227" t="n"/>
      <c r="J2181" s="227" t="n"/>
      <c r="K2181" s="227" t="n"/>
      <c r="L2181" s="227" t="n"/>
      <c r="M2181" s="227" t="n"/>
      <c r="N2181" s="127" t="n"/>
      <c r="O2181" s="227" t="n"/>
      <c r="P2181" s="227" t="n"/>
      <c r="Q2181" s="227" t="n"/>
      <c r="R2181" s="227" t="n"/>
      <c r="S2181" s="227" t="n"/>
      <c r="T2181" s="227" t="n"/>
    </row>
    <row r="2182">
      <c r="A2182" s="145">
        <f>IF($B2182="","",ROW()-5)</f>
        <v/>
      </c>
      <c r="B2182" s="127" t="n"/>
      <c r="C2182" s="223" t="n"/>
      <c r="D2182" s="127" t="n"/>
      <c r="E2182" s="227" t="n"/>
      <c r="F2182" s="227" t="n"/>
      <c r="G2182" s="227" t="n"/>
      <c r="H2182" s="227" t="n"/>
      <c r="I2182" s="227" t="n"/>
      <c r="J2182" s="227" t="n"/>
      <c r="K2182" s="227" t="n"/>
      <c r="L2182" s="227" t="n"/>
      <c r="M2182" s="227" t="n"/>
      <c r="N2182" s="127" t="n"/>
      <c r="O2182" s="227" t="n"/>
      <c r="P2182" s="227" t="n"/>
      <c r="Q2182" s="227" t="n"/>
      <c r="R2182" s="227" t="n"/>
      <c r="S2182" s="227" t="n"/>
      <c r="T2182" s="227" t="n"/>
    </row>
    <row r="2183">
      <c r="A2183" s="145">
        <f>IF($B2183="","",ROW()-5)</f>
        <v/>
      </c>
      <c r="B2183" s="127" t="n"/>
      <c r="C2183" s="223" t="n"/>
      <c r="D2183" s="127" t="n"/>
      <c r="E2183" s="227" t="n"/>
      <c r="F2183" s="227" t="n"/>
      <c r="G2183" s="227" t="n"/>
      <c r="H2183" s="227" t="n"/>
      <c r="I2183" s="227" t="n"/>
      <c r="J2183" s="227" t="n"/>
      <c r="K2183" s="227" t="n"/>
      <c r="L2183" s="227" t="n"/>
      <c r="M2183" s="227" t="n"/>
      <c r="N2183" s="127" t="n"/>
      <c r="O2183" s="227" t="n"/>
      <c r="P2183" s="227" t="n"/>
      <c r="Q2183" s="227" t="n"/>
      <c r="R2183" s="227" t="n"/>
      <c r="S2183" s="227" t="n"/>
      <c r="T2183" s="227" t="n"/>
    </row>
    <row r="2184">
      <c r="A2184" s="145">
        <f>IF($B2184="","",ROW()-5)</f>
        <v/>
      </c>
      <c r="B2184" s="127" t="n"/>
      <c r="C2184" s="223" t="n"/>
      <c r="D2184" s="127" t="n"/>
      <c r="E2184" s="227" t="n"/>
      <c r="F2184" s="227" t="n"/>
      <c r="G2184" s="227" t="n"/>
      <c r="H2184" s="227" t="n"/>
      <c r="I2184" s="227" t="n"/>
      <c r="J2184" s="227" t="n"/>
      <c r="K2184" s="227" t="n"/>
      <c r="L2184" s="227" t="n"/>
      <c r="M2184" s="227" t="n"/>
      <c r="N2184" s="127" t="n"/>
      <c r="O2184" s="227" t="n"/>
      <c r="P2184" s="227" t="n"/>
      <c r="Q2184" s="227" t="n"/>
      <c r="R2184" s="227" t="n"/>
      <c r="S2184" s="227" t="n"/>
      <c r="T2184" s="227" t="n"/>
    </row>
    <row r="2185">
      <c r="A2185" s="145">
        <f>IF($B2185="","",ROW()-5)</f>
        <v/>
      </c>
      <c r="B2185" s="127" t="n"/>
      <c r="C2185" s="223" t="n"/>
      <c r="D2185" s="127" t="n"/>
      <c r="E2185" s="227" t="n"/>
      <c r="F2185" s="227" t="n"/>
      <c r="G2185" s="227" t="n"/>
      <c r="H2185" s="227" t="n"/>
      <c r="I2185" s="227" t="n"/>
      <c r="J2185" s="227" t="n"/>
      <c r="K2185" s="227" t="n"/>
      <c r="L2185" s="227" t="n"/>
      <c r="M2185" s="227" t="n"/>
      <c r="N2185" s="127" t="n"/>
      <c r="O2185" s="227" t="n"/>
      <c r="P2185" s="227" t="n"/>
      <c r="Q2185" s="227" t="n"/>
      <c r="R2185" s="227" t="n"/>
      <c r="S2185" s="227" t="n"/>
      <c r="T2185" s="227" t="n"/>
    </row>
    <row r="2186">
      <c r="A2186" s="145">
        <f>IF($B2186="","",ROW()-5)</f>
        <v/>
      </c>
      <c r="B2186" s="127" t="n"/>
      <c r="C2186" s="223" t="n"/>
      <c r="D2186" s="127" t="n"/>
      <c r="E2186" s="227" t="n"/>
      <c r="F2186" s="227" t="n"/>
      <c r="G2186" s="227" t="n"/>
      <c r="H2186" s="227" t="n"/>
      <c r="I2186" s="227" t="n"/>
      <c r="J2186" s="227" t="n"/>
      <c r="K2186" s="227" t="n"/>
      <c r="L2186" s="227" t="n"/>
      <c r="M2186" s="227" t="n"/>
      <c r="N2186" s="127" t="n"/>
      <c r="O2186" s="227" t="n"/>
      <c r="P2186" s="227" t="n"/>
      <c r="Q2186" s="227" t="n"/>
      <c r="R2186" s="227" t="n"/>
      <c r="S2186" s="227" t="n"/>
      <c r="T2186" s="227" t="n"/>
    </row>
    <row r="2187">
      <c r="A2187" s="145">
        <f>IF($B2187="","",ROW()-5)</f>
        <v/>
      </c>
      <c r="B2187" s="127" t="n"/>
      <c r="C2187" s="223" t="n"/>
      <c r="D2187" s="127" t="n"/>
      <c r="E2187" s="227" t="n"/>
      <c r="F2187" s="227" t="n"/>
      <c r="G2187" s="227" t="n"/>
      <c r="H2187" s="227" t="n"/>
      <c r="I2187" s="227" t="n"/>
      <c r="J2187" s="227" t="n"/>
      <c r="K2187" s="227" t="n"/>
      <c r="L2187" s="227" t="n"/>
      <c r="M2187" s="227" t="n"/>
      <c r="N2187" s="127" t="n"/>
      <c r="O2187" s="227" t="n"/>
      <c r="P2187" s="227" t="n"/>
      <c r="Q2187" s="227" t="n"/>
      <c r="R2187" s="227" t="n"/>
      <c r="S2187" s="227" t="n"/>
      <c r="T2187" s="227" t="n"/>
    </row>
    <row r="2188">
      <c r="A2188" s="145">
        <f>IF($B2188="","",ROW()-5)</f>
        <v/>
      </c>
      <c r="B2188" s="127" t="n"/>
      <c r="C2188" s="223" t="n"/>
      <c r="D2188" s="127" t="n"/>
      <c r="E2188" s="227" t="n"/>
      <c r="F2188" s="227" t="n"/>
      <c r="G2188" s="227" t="n"/>
      <c r="H2188" s="227" t="n"/>
      <c r="I2188" s="227" t="n"/>
      <c r="J2188" s="227" t="n"/>
      <c r="K2188" s="227" t="n"/>
      <c r="L2188" s="227" t="n"/>
      <c r="M2188" s="227" t="n"/>
      <c r="N2188" s="127" t="n"/>
      <c r="O2188" s="227" t="n"/>
      <c r="P2188" s="227" t="n"/>
      <c r="Q2188" s="227" t="n"/>
      <c r="R2188" s="227" t="n"/>
      <c r="S2188" s="227" t="n"/>
      <c r="T2188" s="227" t="n"/>
    </row>
    <row r="2189">
      <c r="A2189" s="145">
        <f>IF($B2189="","",ROW()-5)</f>
        <v/>
      </c>
      <c r="B2189" s="127" t="n"/>
      <c r="C2189" s="223" t="n"/>
      <c r="D2189" s="127" t="n"/>
      <c r="E2189" s="227" t="n"/>
      <c r="F2189" s="227" t="n"/>
      <c r="G2189" s="227" t="n"/>
      <c r="H2189" s="227" t="n"/>
      <c r="I2189" s="227" t="n"/>
      <c r="J2189" s="227" t="n"/>
      <c r="K2189" s="227" t="n"/>
      <c r="L2189" s="227" t="n"/>
      <c r="M2189" s="227" t="n"/>
      <c r="N2189" s="127" t="n"/>
      <c r="O2189" s="227" t="n"/>
      <c r="P2189" s="227" t="n"/>
      <c r="Q2189" s="227" t="n"/>
      <c r="R2189" s="227" t="n"/>
      <c r="S2189" s="227" t="n"/>
      <c r="T2189" s="227" t="n"/>
    </row>
    <row r="2190">
      <c r="A2190" s="145">
        <f>IF($B2190="","",ROW()-5)</f>
        <v/>
      </c>
      <c r="B2190" s="127" t="n"/>
      <c r="C2190" s="223" t="n"/>
      <c r="D2190" s="127" t="n"/>
      <c r="E2190" s="227" t="n"/>
      <c r="F2190" s="227" t="n"/>
      <c r="G2190" s="227" t="n"/>
      <c r="H2190" s="227" t="n"/>
      <c r="I2190" s="227" t="n"/>
      <c r="J2190" s="227" t="n"/>
      <c r="K2190" s="227" t="n"/>
      <c r="L2190" s="227" t="n"/>
      <c r="M2190" s="227" t="n"/>
      <c r="N2190" s="127" t="n"/>
      <c r="O2190" s="227" t="n"/>
      <c r="P2190" s="227" t="n"/>
      <c r="Q2190" s="227" t="n"/>
      <c r="R2190" s="227" t="n"/>
      <c r="S2190" s="227" t="n"/>
      <c r="T2190" s="227" t="n"/>
    </row>
    <row r="2191">
      <c r="A2191" s="145">
        <f>IF($B2191="","",ROW()-5)</f>
        <v/>
      </c>
      <c r="B2191" s="127" t="n"/>
      <c r="C2191" s="223" t="n"/>
      <c r="D2191" s="127" t="n"/>
      <c r="E2191" s="227" t="n"/>
      <c r="F2191" s="227" t="n"/>
      <c r="G2191" s="227" t="n"/>
      <c r="H2191" s="227" t="n"/>
      <c r="I2191" s="227" t="n"/>
      <c r="J2191" s="227" t="n"/>
      <c r="K2191" s="227" t="n"/>
      <c r="L2191" s="227" t="n"/>
      <c r="M2191" s="227" t="n"/>
      <c r="N2191" s="127" t="n"/>
      <c r="O2191" s="227" t="n"/>
      <c r="P2191" s="227" t="n"/>
      <c r="Q2191" s="227" t="n"/>
      <c r="R2191" s="227" t="n"/>
      <c r="S2191" s="227" t="n"/>
      <c r="T2191" s="227" t="n"/>
    </row>
    <row r="2192">
      <c r="A2192" s="145">
        <f>IF($B2192="","",ROW()-5)</f>
        <v/>
      </c>
      <c r="B2192" s="127" t="n"/>
      <c r="C2192" s="223" t="n"/>
      <c r="D2192" s="127" t="n"/>
      <c r="E2192" s="227" t="n"/>
      <c r="F2192" s="227" t="n"/>
      <c r="G2192" s="227" t="n"/>
      <c r="H2192" s="227" t="n"/>
      <c r="I2192" s="227" t="n"/>
      <c r="J2192" s="227" t="n"/>
      <c r="K2192" s="227" t="n"/>
      <c r="L2192" s="227" t="n"/>
      <c r="M2192" s="227" t="n"/>
      <c r="N2192" s="127" t="n"/>
      <c r="O2192" s="227" t="n"/>
      <c r="P2192" s="227" t="n"/>
      <c r="Q2192" s="227" t="n"/>
      <c r="R2192" s="227" t="n"/>
      <c r="S2192" s="227" t="n"/>
      <c r="T2192" s="227" t="n"/>
    </row>
    <row r="2193">
      <c r="A2193" s="145">
        <f>IF($B2193="","",ROW()-5)</f>
        <v/>
      </c>
      <c r="B2193" s="127" t="n"/>
      <c r="C2193" s="223" t="n"/>
      <c r="D2193" s="127" t="n"/>
      <c r="E2193" s="227" t="n"/>
      <c r="F2193" s="227" t="n"/>
      <c r="G2193" s="227" t="n"/>
      <c r="H2193" s="227" t="n"/>
      <c r="I2193" s="227" t="n"/>
      <c r="J2193" s="227" t="n"/>
      <c r="K2193" s="227" t="n"/>
      <c r="L2193" s="227" t="n"/>
      <c r="M2193" s="227" t="n"/>
      <c r="N2193" s="127" t="n"/>
      <c r="O2193" s="227" t="n"/>
      <c r="P2193" s="227" t="n"/>
      <c r="Q2193" s="227" t="n"/>
      <c r="R2193" s="227" t="n"/>
      <c r="S2193" s="227" t="n"/>
      <c r="T2193" s="227" t="n"/>
    </row>
    <row r="2194">
      <c r="A2194" s="145">
        <f>IF($B2194="","",ROW()-5)</f>
        <v/>
      </c>
      <c r="B2194" s="127" t="n"/>
      <c r="C2194" s="223" t="n"/>
      <c r="D2194" s="127" t="n"/>
      <c r="E2194" s="227" t="n"/>
      <c r="F2194" s="227" t="n"/>
      <c r="G2194" s="227" t="n"/>
      <c r="H2194" s="227" t="n"/>
      <c r="I2194" s="227" t="n"/>
      <c r="J2194" s="227" t="n"/>
      <c r="K2194" s="227" t="n"/>
      <c r="L2194" s="227" t="n"/>
      <c r="M2194" s="227" t="n"/>
      <c r="N2194" s="127" t="n"/>
      <c r="O2194" s="227" t="n"/>
      <c r="P2194" s="227" t="n"/>
      <c r="Q2194" s="227" t="n"/>
      <c r="R2194" s="227" t="n"/>
      <c r="S2194" s="227" t="n"/>
      <c r="T2194" s="227" t="n"/>
    </row>
    <row r="2195">
      <c r="A2195" s="145">
        <f>IF($B2195="","",ROW()-5)</f>
        <v/>
      </c>
      <c r="B2195" s="127" t="n"/>
      <c r="C2195" s="223" t="n"/>
      <c r="D2195" s="127" t="n"/>
      <c r="E2195" s="227" t="n"/>
      <c r="F2195" s="227" t="n"/>
      <c r="G2195" s="227" t="n"/>
      <c r="H2195" s="227" t="n"/>
      <c r="I2195" s="227" t="n"/>
      <c r="J2195" s="227" t="n"/>
      <c r="K2195" s="227" t="n"/>
      <c r="L2195" s="227" t="n"/>
      <c r="M2195" s="227" t="n"/>
      <c r="N2195" s="127" t="n"/>
      <c r="O2195" s="227" t="n"/>
      <c r="P2195" s="227" t="n"/>
      <c r="Q2195" s="227" t="n"/>
      <c r="R2195" s="227" t="n"/>
      <c r="S2195" s="227" t="n"/>
      <c r="T2195" s="227" t="n"/>
    </row>
    <row r="2196">
      <c r="A2196" s="145">
        <f>IF($B2196="","",ROW()-5)</f>
        <v/>
      </c>
      <c r="B2196" s="127" t="n"/>
      <c r="C2196" s="223" t="n"/>
      <c r="D2196" s="127" t="n"/>
      <c r="E2196" s="227" t="n"/>
      <c r="F2196" s="227" t="n"/>
      <c r="G2196" s="227" t="n"/>
      <c r="H2196" s="227" t="n"/>
      <c r="I2196" s="227" t="n"/>
      <c r="J2196" s="227" t="n"/>
      <c r="K2196" s="227" t="n"/>
      <c r="L2196" s="227" t="n"/>
      <c r="M2196" s="227" t="n"/>
      <c r="N2196" s="127" t="n"/>
      <c r="O2196" s="227" t="n"/>
      <c r="P2196" s="227" t="n"/>
      <c r="Q2196" s="227" t="n"/>
      <c r="R2196" s="227" t="n"/>
      <c r="S2196" s="227" t="n"/>
      <c r="T2196" s="227" t="n"/>
    </row>
    <row r="2197">
      <c r="A2197" s="145">
        <f>IF($B2197="","",ROW()-5)</f>
        <v/>
      </c>
      <c r="B2197" s="127" t="n"/>
      <c r="C2197" s="223" t="n"/>
      <c r="D2197" s="127" t="n"/>
      <c r="E2197" s="227" t="n"/>
      <c r="F2197" s="227" t="n"/>
      <c r="G2197" s="227" t="n"/>
      <c r="H2197" s="227" t="n"/>
      <c r="I2197" s="227" t="n"/>
      <c r="J2197" s="227" t="n"/>
      <c r="K2197" s="227" t="n"/>
      <c r="L2197" s="227" t="n"/>
      <c r="M2197" s="227" t="n"/>
      <c r="N2197" s="127" t="n"/>
      <c r="O2197" s="227" t="n"/>
      <c r="P2197" s="227" t="n"/>
      <c r="Q2197" s="227" t="n"/>
      <c r="R2197" s="227" t="n"/>
      <c r="S2197" s="227" t="n"/>
      <c r="T2197" s="227" t="n"/>
    </row>
    <row r="2198">
      <c r="A2198" s="145">
        <f>IF($B2198="","",ROW()-5)</f>
        <v/>
      </c>
      <c r="B2198" s="127" t="n"/>
      <c r="C2198" s="223" t="n"/>
      <c r="D2198" s="127" t="n"/>
      <c r="E2198" s="227" t="n"/>
      <c r="F2198" s="227" t="n"/>
      <c r="G2198" s="227" t="n"/>
      <c r="H2198" s="227" t="n"/>
      <c r="I2198" s="227" t="n"/>
      <c r="J2198" s="227" t="n"/>
      <c r="K2198" s="227" t="n"/>
      <c r="L2198" s="227" t="n"/>
      <c r="M2198" s="227" t="n"/>
      <c r="N2198" s="127" t="n"/>
      <c r="O2198" s="227" t="n"/>
      <c r="P2198" s="227" t="n"/>
      <c r="Q2198" s="227" t="n"/>
      <c r="R2198" s="227" t="n"/>
      <c r="S2198" s="227" t="n"/>
      <c r="T2198" s="227" t="n"/>
    </row>
    <row r="2199">
      <c r="A2199" s="145">
        <f>IF($B2199="","",ROW()-5)</f>
        <v/>
      </c>
      <c r="B2199" s="127" t="n"/>
      <c r="C2199" s="223" t="n"/>
      <c r="D2199" s="127" t="n"/>
      <c r="E2199" s="227" t="n"/>
      <c r="F2199" s="227" t="n"/>
      <c r="G2199" s="227" t="n"/>
      <c r="H2199" s="227" t="n"/>
      <c r="I2199" s="227" t="n"/>
      <c r="J2199" s="227" t="n"/>
      <c r="K2199" s="227" t="n"/>
      <c r="L2199" s="227" t="n"/>
      <c r="M2199" s="227" t="n"/>
      <c r="N2199" s="127" t="n"/>
      <c r="O2199" s="227" t="n"/>
      <c r="P2199" s="227" t="n"/>
      <c r="Q2199" s="227" t="n"/>
      <c r="R2199" s="227" t="n"/>
      <c r="S2199" s="227" t="n"/>
      <c r="T2199" s="227" t="n"/>
    </row>
    <row r="2200">
      <c r="A2200" s="145">
        <f>IF($B2200="","",ROW()-5)</f>
        <v/>
      </c>
      <c r="B2200" s="127" t="n"/>
      <c r="C2200" s="223" t="n"/>
      <c r="D2200" s="127" t="n"/>
      <c r="E2200" s="227" t="n"/>
      <c r="F2200" s="227" t="n"/>
      <c r="G2200" s="227" t="n"/>
      <c r="H2200" s="227" t="n"/>
      <c r="I2200" s="227" t="n"/>
      <c r="J2200" s="227" t="n"/>
      <c r="K2200" s="227" t="n"/>
      <c r="L2200" s="227" t="n"/>
      <c r="M2200" s="227" t="n"/>
      <c r="N2200" s="127" t="n"/>
      <c r="O2200" s="227" t="n"/>
      <c r="P2200" s="227" t="n"/>
      <c r="Q2200" s="227" t="n"/>
      <c r="R2200" s="227" t="n"/>
      <c r="S2200" s="227" t="n"/>
      <c r="T2200" s="227" t="n"/>
    </row>
    <row r="2201">
      <c r="A2201" s="145">
        <f>IF($B2201="","",ROW()-5)</f>
        <v/>
      </c>
      <c r="B2201" s="127" t="n"/>
      <c r="C2201" s="223" t="n"/>
      <c r="D2201" s="127" t="n"/>
      <c r="E2201" s="227" t="n"/>
      <c r="F2201" s="227" t="n"/>
      <c r="G2201" s="227" t="n"/>
      <c r="H2201" s="227" t="n"/>
      <c r="I2201" s="227" t="n"/>
      <c r="J2201" s="227" t="n"/>
      <c r="K2201" s="227" t="n"/>
      <c r="L2201" s="227" t="n"/>
      <c r="M2201" s="227" t="n"/>
      <c r="N2201" s="127" t="n"/>
      <c r="O2201" s="227" t="n"/>
      <c r="P2201" s="227" t="n"/>
      <c r="Q2201" s="227" t="n"/>
      <c r="R2201" s="227" t="n"/>
      <c r="S2201" s="227" t="n"/>
      <c r="T2201" s="227" t="n"/>
    </row>
    <row r="2202">
      <c r="A2202" s="145">
        <f>IF($B2202="","",ROW()-5)</f>
        <v/>
      </c>
      <c r="B2202" s="127" t="n"/>
      <c r="C2202" s="223" t="n"/>
      <c r="D2202" s="127" t="n"/>
      <c r="E2202" s="227" t="n"/>
      <c r="F2202" s="227" t="n"/>
      <c r="G2202" s="227" t="n"/>
      <c r="H2202" s="227" t="n"/>
      <c r="I2202" s="227" t="n"/>
      <c r="J2202" s="227" t="n"/>
      <c r="K2202" s="227" t="n"/>
      <c r="L2202" s="227" t="n"/>
      <c r="M2202" s="227" t="n"/>
      <c r="N2202" s="127" t="n"/>
      <c r="O2202" s="227" t="n"/>
      <c r="P2202" s="227" t="n"/>
      <c r="Q2202" s="227" t="n"/>
      <c r="R2202" s="227" t="n"/>
      <c r="S2202" s="227" t="n"/>
      <c r="T2202" s="227" t="n"/>
    </row>
    <row r="2203">
      <c r="A2203" s="145">
        <f>IF($B2203="","",ROW()-5)</f>
        <v/>
      </c>
      <c r="B2203" s="127" t="n"/>
      <c r="C2203" s="223" t="n"/>
      <c r="D2203" s="127" t="n"/>
      <c r="E2203" s="227" t="n"/>
      <c r="F2203" s="227" t="n"/>
      <c r="G2203" s="227" t="n"/>
      <c r="H2203" s="227" t="n"/>
      <c r="I2203" s="227" t="n"/>
      <c r="J2203" s="227" t="n"/>
      <c r="K2203" s="227" t="n"/>
      <c r="L2203" s="227" t="n"/>
      <c r="M2203" s="227" t="n"/>
      <c r="N2203" s="127" t="n"/>
      <c r="O2203" s="227" t="n"/>
      <c r="P2203" s="227" t="n"/>
      <c r="Q2203" s="227" t="n"/>
      <c r="R2203" s="227" t="n"/>
      <c r="S2203" s="227" t="n"/>
      <c r="T2203" s="227" t="n"/>
    </row>
    <row r="2204">
      <c r="A2204" s="145">
        <f>IF($B2204="","",ROW()-5)</f>
        <v/>
      </c>
      <c r="B2204" s="127" t="n"/>
      <c r="C2204" s="223" t="n"/>
      <c r="D2204" s="127" t="n"/>
      <c r="E2204" s="227" t="n"/>
      <c r="F2204" s="227" t="n"/>
      <c r="G2204" s="227" t="n"/>
      <c r="H2204" s="227" t="n"/>
      <c r="I2204" s="227" t="n"/>
      <c r="J2204" s="227" t="n"/>
      <c r="K2204" s="227" t="n"/>
      <c r="L2204" s="227" t="n"/>
      <c r="M2204" s="227" t="n"/>
      <c r="N2204" s="127" t="n"/>
      <c r="O2204" s="227" t="n"/>
      <c r="P2204" s="227" t="n"/>
      <c r="Q2204" s="227" t="n"/>
      <c r="R2204" s="227" t="n"/>
      <c r="S2204" s="227" t="n"/>
      <c r="T2204" s="227" t="n"/>
    </row>
    <row r="2205">
      <c r="A2205" s="145">
        <f>IF($B2205="","",ROW()-5)</f>
        <v/>
      </c>
      <c r="B2205" s="127" t="n"/>
      <c r="C2205" s="223" t="n"/>
      <c r="D2205" s="127" t="n"/>
      <c r="E2205" s="227" t="n"/>
      <c r="F2205" s="227" t="n"/>
      <c r="G2205" s="227" t="n"/>
      <c r="H2205" s="227" t="n"/>
      <c r="I2205" s="227" t="n"/>
      <c r="J2205" s="227" t="n"/>
      <c r="K2205" s="227" t="n"/>
      <c r="L2205" s="227" t="n"/>
      <c r="M2205" s="227" t="n"/>
      <c r="N2205" s="127" t="n"/>
      <c r="O2205" s="227" t="n"/>
      <c r="P2205" s="227" t="n"/>
      <c r="Q2205" s="227" t="n"/>
      <c r="R2205" s="227" t="n"/>
      <c r="S2205" s="227" t="n"/>
      <c r="T2205" s="227" t="n"/>
    </row>
    <row r="2206">
      <c r="A2206" s="145">
        <f>IF($B2206="","",ROW()-5)</f>
        <v/>
      </c>
      <c r="B2206" s="127" t="n"/>
      <c r="C2206" s="223" t="n"/>
      <c r="D2206" s="127" t="n"/>
      <c r="E2206" s="227" t="n"/>
      <c r="F2206" s="227" t="n"/>
      <c r="G2206" s="227" t="n"/>
      <c r="H2206" s="227" t="n"/>
      <c r="I2206" s="227" t="n"/>
      <c r="J2206" s="227" t="n"/>
      <c r="K2206" s="227" t="n"/>
      <c r="L2206" s="227" t="n"/>
      <c r="M2206" s="227" t="n"/>
      <c r="N2206" s="127" t="n"/>
      <c r="O2206" s="227" t="n"/>
      <c r="P2206" s="227" t="n"/>
      <c r="Q2206" s="227" t="n"/>
      <c r="R2206" s="227" t="n"/>
      <c r="S2206" s="227" t="n"/>
      <c r="T2206" s="227" t="n"/>
    </row>
    <row r="2207">
      <c r="A2207" s="145">
        <f>IF($B2207="","",ROW()-5)</f>
        <v/>
      </c>
      <c r="B2207" s="127" t="n"/>
      <c r="C2207" s="223" t="n"/>
      <c r="D2207" s="127" t="n"/>
      <c r="E2207" s="227" t="n"/>
      <c r="F2207" s="227" t="n"/>
      <c r="G2207" s="227" t="n"/>
      <c r="H2207" s="227" t="n"/>
      <c r="I2207" s="227" t="n"/>
      <c r="J2207" s="227" t="n"/>
      <c r="K2207" s="227" t="n"/>
      <c r="L2207" s="227" t="n"/>
      <c r="M2207" s="227" t="n"/>
      <c r="N2207" s="127" t="n"/>
      <c r="O2207" s="227" t="n"/>
      <c r="P2207" s="227" t="n"/>
      <c r="Q2207" s="227" t="n"/>
      <c r="R2207" s="227" t="n"/>
      <c r="S2207" s="227" t="n"/>
      <c r="T2207" s="227" t="n"/>
    </row>
    <row r="2208">
      <c r="A2208" s="145">
        <f>IF($B2208="","",ROW()-5)</f>
        <v/>
      </c>
      <c r="B2208" s="127" t="n"/>
      <c r="C2208" s="223" t="n"/>
      <c r="D2208" s="127" t="n"/>
      <c r="E2208" s="227" t="n"/>
      <c r="F2208" s="227" t="n"/>
      <c r="G2208" s="227" t="n"/>
      <c r="H2208" s="227" t="n"/>
      <c r="I2208" s="227" t="n"/>
      <c r="J2208" s="227" t="n"/>
      <c r="K2208" s="227" t="n"/>
      <c r="L2208" s="227" t="n"/>
      <c r="M2208" s="227" t="n"/>
      <c r="N2208" s="127" t="n"/>
      <c r="O2208" s="227" t="n"/>
      <c r="P2208" s="227" t="n"/>
      <c r="Q2208" s="227" t="n"/>
      <c r="R2208" s="227" t="n"/>
      <c r="S2208" s="227" t="n"/>
      <c r="T2208" s="227" t="n"/>
    </row>
    <row r="2209">
      <c r="A2209" s="145">
        <f>IF($B2209="","",ROW()-5)</f>
        <v/>
      </c>
      <c r="B2209" s="127" t="n"/>
      <c r="C2209" s="223" t="n"/>
      <c r="D2209" s="127" t="n"/>
      <c r="E2209" s="227" t="n"/>
      <c r="F2209" s="227" t="n"/>
      <c r="G2209" s="227" t="n"/>
      <c r="H2209" s="227" t="n"/>
      <c r="I2209" s="227" t="n"/>
      <c r="J2209" s="227" t="n"/>
      <c r="K2209" s="227" t="n"/>
      <c r="L2209" s="227" t="n"/>
      <c r="M2209" s="227" t="n"/>
      <c r="N2209" s="127" t="n"/>
      <c r="O2209" s="227" t="n"/>
      <c r="P2209" s="227" t="n"/>
      <c r="Q2209" s="227" t="n"/>
      <c r="R2209" s="227" t="n"/>
      <c r="S2209" s="227" t="n"/>
      <c r="T2209" s="227" t="n"/>
    </row>
    <row r="2210">
      <c r="A2210" s="145">
        <f>IF($B2210="","",ROW()-5)</f>
        <v/>
      </c>
      <c r="B2210" s="127" t="n"/>
      <c r="C2210" s="223" t="n"/>
      <c r="D2210" s="127" t="n"/>
      <c r="E2210" s="227" t="n"/>
      <c r="F2210" s="227" t="n"/>
      <c r="G2210" s="227" t="n"/>
      <c r="H2210" s="227" t="n"/>
      <c r="I2210" s="227" t="n"/>
      <c r="J2210" s="227" t="n"/>
      <c r="K2210" s="227" t="n"/>
      <c r="L2210" s="227" t="n"/>
      <c r="M2210" s="227" t="n"/>
      <c r="N2210" s="127" t="n"/>
      <c r="O2210" s="227" t="n"/>
      <c r="P2210" s="227" t="n"/>
      <c r="Q2210" s="227" t="n"/>
      <c r="R2210" s="227" t="n"/>
      <c r="S2210" s="227" t="n"/>
      <c r="T2210" s="227" t="n"/>
    </row>
    <row r="2211">
      <c r="A2211" s="145">
        <f>IF($B2211="","",ROW()-5)</f>
        <v/>
      </c>
      <c r="B2211" s="127" t="n"/>
      <c r="C2211" s="223" t="n"/>
      <c r="D2211" s="127" t="n"/>
      <c r="E2211" s="227" t="n"/>
      <c r="F2211" s="227" t="n"/>
      <c r="G2211" s="227" t="n"/>
      <c r="H2211" s="227" t="n"/>
      <c r="I2211" s="227" t="n"/>
      <c r="J2211" s="227" t="n"/>
      <c r="K2211" s="227" t="n"/>
      <c r="L2211" s="227" t="n"/>
      <c r="M2211" s="227" t="n"/>
      <c r="N2211" s="127" t="n"/>
      <c r="O2211" s="227" t="n"/>
      <c r="P2211" s="227" t="n"/>
      <c r="Q2211" s="227" t="n"/>
      <c r="R2211" s="227" t="n"/>
      <c r="S2211" s="227" t="n"/>
      <c r="T2211" s="227" t="n"/>
    </row>
    <row r="2212">
      <c r="A2212" s="145">
        <f>IF($B2212="","",ROW()-5)</f>
        <v/>
      </c>
      <c r="B2212" s="127" t="n"/>
      <c r="C2212" s="223" t="n"/>
      <c r="D2212" s="127" t="n"/>
      <c r="E2212" s="227" t="n"/>
      <c r="F2212" s="227" t="n"/>
      <c r="G2212" s="227" t="n"/>
      <c r="H2212" s="227" t="n"/>
      <c r="I2212" s="227" t="n"/>
      <c r="J2212" s="227" t="n"/>
      <c r="K2212" s="227" t="n"/>
      <c r="L2212" s="227" t="n"/>
      <c r="M2212" s="227" t="n"/>
      <c r="N2212" s="127" t="n"/>
      <c r="O2212" s="227" t="n"/>
      <c r="P2212" s="227" t="n"/>
      <c r="Q2212" s="227" t="n"/>
      <c r="R2212" s="227" t="n"/>
      <c r="S2212" s="227" t="n"/>
      <c r="T2212" s="227" t="n"/>
    </row>
    <row r="2213">
      <c r="A2213" s="145">
        <f>IF($B2213="","",ROW()-5)</f>
        <v/>
      </c>
      <c r="B2213" s="127" t="n"/>
      <c r="C2213" s="223" t="n"/>
      <c r="D2213" s="127" t="n"/>
      <c r="E2213" s="227" t="n"/>
      <c r="F2213" s="227" t="n"/>
      <c r="G2213" s="227" t="n"/>
      <c r="H2213" s="227" t="n"/>
      <c r="I2213" s="227" t="n"/>
      <c r="J2213" s="227" t="n"/>
      <c r="K2213" s="227" t="n"/>
      <c r="L2213" s="227" t="n"/>
      <c r="M2213" s="227" t="n"/>
      <c r="N2213" s="127" t="n"/>
      <c r="O2213" s="227" t="n"/>
      <c r="P2213" s="227" t="n"/>
      <c r="Q2213" s="227" t="n"/>
      <c r="R2213" s="227" t="n"/>
      <c r="S2213" s="227" t="n"/>
      <c r="T2213" s="227" t="n"/>
    </row>
    <row r="2214">
      <c r="A2214" s="145">
        <f>IF($B2214="","",ROW()-5)</f>
        <v/>
      </c>
      <c r="B2214" s="127" t="n"/>
      <c r="C2214" s="223" t="n"/>
      <c r="D2214" s="127" t="n"/>
      <c r="E2214" s="227" t="n"/>
      <c r="F2214" s="227" t="n"/>
      <c r="G2214" s="227" t="n"/>
      <c r="H2214" s="227" t="n"/>
      <c r="I2214" s="227" t="n"/>
      <c r="J2214" s="227" t="n"/>
      <c r="K2214" s="227" t="n"/>
      <c r="L2214" s="227" t="n"/>
      <c r="M2214" s="227" t="n"/>
      <c r="N2214" s="127" t="n"/>
      <c r="O2214" s="227" t="n"/>
      <c r="P2214" s="227" t="n"/>
      <c r="Q2214" s="227" t="n"/>
      <c r="R2214" s="227" t="n"/>
      <c r="S2214" s="227" t="n"/>
      <c r="T2214" s="227" t="n"/>
    </row>
    <row r="2215">
      <c r="A2215" s="145">
        <f>IF($B2215="","",ROW()-5)</f>
        <v/>
      </c>
      <c r="B2215" s="127" t="n"/>
      <c r="C2215" s="223" t="n"/>
      <c r="D2215" s="127" t="n"/>
      <c r="E2215" s="227" t="n"/>
      <c r="F2215" s="227" t="n"/>
      <c r="G2215" s="227" t="n"/>
      <c r="H2215" s="227" t="n"/>
      <c r="I2215" s="227" t="n"/>
      <c r="J2215" s="227" t="n"/>
      <c r="K2215" s="227" t="n"/>
      <c r="L2215" s="227" t="n"/>
      <c r="M2215" s="227" t="n"/>
      <c r="N2215" s="127" t="n"/>
      <c r="O2215" s="227" t="n"/>
      <c r="P2215" s="227" t="n"/>
      <c r="Q2215" s="227" t="n"/>
      <c r="R2215" s="227" t="n"/>
      <c r="S2215" s="227" t="n"/>
      <c r="T2215" s="227" t="n"/>
    </row>
    <row r="2216">
      <c r="A2216" s="145">
        <f>IF($B2216="","",ROW()-5)</f>
        <v/>
      </c>
      <c r="B2216" s="127" t="n"/>
      <c r="C2216" s="223" t="n"/>
      <c r="D2216" s="127" t="n"/>
      <c r="E2216" s="227" t="n"/>
      <c r="F2216" s="227" t="n"/>
      <c r="G2216" s="227" t="n"/>
      <c r="H2216" s="227" t="n"/>
      <c r="I2216" s="227" t="n"/>
      <c r="J2216" s="227" t="n"/>
      <c r="K2216" s="227" t="n"/>
      <c r="L2216" s="227" t="n"/>
      <c r="M2216" s="227" t="n"/>
      <c r="N2216" s="127" t="n"/>
      <c r="O2216" s="227" t="n"/>
      <c r="P2216" s="227" t="n"/>
      <c r="Q2216" s="227" t="n"/>
      <c r="R2216" s="227" t="n"/>
      <c r="S2216" s="227" t="n"/>
      <c r="T2216" s="227" t="n"/>
    </row>
    <row r="2217">
      <c r="A2217" s="145">
        <f>IF($B2217="","",ROW()-5)</f>
        <v/>
      </c>
      <c r="B2217" s="127" t="n"/>
      <c r="C2217" s="223" t="n"/>
      <c r="D2217" s="127" t="n"/>
      <c r="E2217" s="227" t="n"/>
      <c r="F2217" s="227" t="n"/>
      <c r="G2217" s="227" t="n"/>
      <c r="H2217" s="227" t="n"/>
      <c r="I2217" s="227" t="n"/>
      <c r="J2217" s="227" t="n"/>
      <c r="K2217" s="227" t="n"/>
      <c r="L2217" s="227" t="n"/>
      <c r="M2217" s="227" t="n"/>
      <c r="N2217" s="127" t="n"/>
      <c r="O2217" s="227" t="n"/>
      <c r="P2217" s="227" t="n"/>
      <c r="Q2217" s="227" t="n"/>
      <c r="R2217" s="227" t="n"/>
      <c r="S2217" s="227" t="n"/>
      <c r="T2217" s="227" t="n"/>
    </row>
    <row r="2218">
      <c r="A2218" s="145">
        <f>IF($B2218="","",ROW()-5)</f>
        <v/>
      </c>
      <c r="B2218" s="127" t="n"/>
      <c r="C2218" s="223" t="n"/>
      <c r="D2218" s="127" t="n"/>
      <c r="E2218" s="227" t="n"/>
      <c r="F2218" s="227" t="n"/>
      <c r="G2218" s="227" t="n"/>
      <c r="H2218" s="227" t="n"/>
      <c r="I2218" s="227" t="n"/>
      <c r="J2218" s="227" t="n"/>
      <c r="K2218" s="227" t="n"/>
      <c r="L2218" s="227" t="n"/>
      <c r="M2218" s="227" t="n"/>
      <c r="N2218" s="127" t="n"/>
      <c r="O2218" s="227" t="n"/>
      <c r="P2218" s="227" t="n"/>
      <c r="Q2218" s="227" t="n"/>
      <c r="R2218" s="227" t="n"/>
      <c r="S2218" s="227" t="n"/>
      <c r="T2218" s="227" t="n"/>
    </row>
    <row r="2219">
      <c r="A2219" s="145">
        <f>IF($B2219="","",ROW()-5)</f>
        <v/>
      </c>
      <c r="B2219" s="127" t="n"/>
      <c r="C2219" s="223" t="n"/>
      <c r="D2219" s="127" t="n"/>
      <c r="E2219" s="227" t="n"/>
      <c r="F2219" s="227" t="n"/>
      <c r="G2219" s="227" t="n"/>
      <c r="H2219" s="227" t="n"/>
      <c r="I2219" s="227" t="n"/>
      <c r="J2219" s="227" t="n"/>
      <c r="K2219" s="227" t="n"/>
      <c r="L2219" s="227" t="n"/>
      <c r="M2219" s="227" t="n"/>
      <c r="N2219" s="127" t="n"/>
      <c r="O2219" s="227" t="n"/>
      <c r="P2219" s="227" t="n"/>
      <c r="Q2219" s="227" t="n"/>
      <c r="R2219" s="227" t="n"/>
      <c r="S2219" s="227" t="n"/>
      <c r="T2219" s="227" t="n"/>
    </row>
    <row r="2220">
      <c r="A2220" s="145">
        <f>IF($B2220="","",ROW()-5)</f>
        <v/>
      </c>
      <c r="B2220" s="127" t="n"/>
      <c r="C2220" s="223" t="n"/>
      <c r="D2220" s="127" t="n"/>
      <c r="E2220" s="227" t="n"/>
      <c r="F2220" s="227" t="n"/>
      <c r="G2220" s="227" t="n"/>
      <c r="H2220" s="227" t="n"/>
      <c r="I2220" s="227" t="n"/>
      <c r="J2220" s="227" t="n"/>
      <c r="K2220" s="227" t="n"/>
      <c r="L2220" s="227" t="n"/>
      <c r="M2220" s="227" t="n"/>
      <c r="N2220" s="127" t="n"/>
      <c r="O2220" s="227" t="n"/>
      <c r="P2220" s="227" t="n"/>
      <c r="Q2220" s="227" t="n"/>
      <c r="R2220" s="227" t="n"/>
      <c r="S2220" s="227" t="n"/>
      <c r="T2220" s="227" t="n"/>
    </row>
    <row r="2221">
      <c r="A2221" s="145">
        <f>IF($B2221="","",ROW()-5)</f>
        <v/>
      </c>
      <c r="B2221" s="127" t="n"/>
      <c r="C2221" s="223" t="n"/>
      <c r="D2221" s="127" t="n"/>
      <c r="E2221" s="227" t="n"/>
      <c r="F2221" s="227" t="n"/>
      <c r="G2221" s="227" t="n"/>
      <c r="H2221" s="227" t="n"/>
      <c r="I2221" s="227" t="n"/>
      <c r="J2221" s="227" t="n"/>
      <c r="K2221" s="227" t="n"/>
      <c r="L2221" s="227" t="n"/>
      <c r="M2221" s="227" t="n"/>
      <c r="N2221" s="127" t="n"/>
      <c r="O2221" s="227" t="n"/>
      <c r="P2221" s="227" t="n"/>
      <c r="Q2221" s="227" t="n"/>
      <c r="R2221" s="227" t="n"/>
      <c r="S2221" s="227" t="n"/>
      <c r="T2221" s="227" t="n"/>
    </row>
    <row r="2222">
      <c r="A2222" s="145">
        <f>IF($B2222="","",ROW()-5)</f>
        <v/>
      </c>
      <c r="B2222" s="127" t="n"/>
      <c r="C2222" s="223" t="n"/>
      <c r="D2222" s="127" t="n"/>
      <c r="E2222" s="227" t="n"/>
      <c r="F2222" s="227" t="n"/>
      <c r="G2222" s="227" t="n"/>
      <c r="H2222" s="227" t="n"/>
      <c r="I2222" s="227" t="n"/>
      <c r="J2222" s="227" t="n"/>
      <c r="K2222" s="227" t="n"/>
      <c r="L2222" s="227" t="n"/>
      <c r="M2222" s="227" t="n"/>
      <c r="N2222" s="127" t="n"/>
      <c r="O2222" s="227" t="n"/>
      <c r="P2222" s="227" t="n"/>
      <c r="Q2222" s="227" t="n"/>
      <c r="R2222" s="227" t="n"/>
      <c r="S2222" s="227" t="n"/>
      <c r="T2222" s="227" t="n"/>
    </row>
    <row r="2223">
      <c r="A2223" s="145">
        <f>IF($B2223="","",ROW()-5)</f>
        <v/>
      </c>
      <c r="B2223" s="127" t="n"/>
      <c r="C2223" s="223" t="n"/>
      <c r="D2223" s="127" t="n"/>
      <c r="E2223" s="227" t="n"/>
      <c r="F2223" s="227" t="n"/>
      <c r="G2223" s="227" t="n"/>
      <c r="H2223" s="227" t="n"/>
      <c r="I2223" s="227" t="n"/>
      <c r="J2223" s="227" t="n"/>
      <c r="K2223" s="227" t="n"/>
      <c r="L2223" s="227" t="n"/>
      <c r="M2223" s="227" t="n"/>
      <c r="N2223" s="127" t="n"/>
      <c r="O2223" s="227" t="n"/>
      <c r="P2223" s="227" t="n"/>
      <c r="Q2223" s="227" t="n"/>
      <c r="R2223" s="227" t="n"/>
      <c r="S2223" s="227" t="n"/>
      <c r="T2223" s="227" t="n"/>
    </row>
    <row r="2224">
      <c r="A2224" s="145">
        <f>IF($B2224="","",ROW()-5)</f>
        <v/>
      </c>
      <c r="B2224" s="127" t="n"/>
      <c r="C2224" s="223" t="n"/>
      <c r="D2224" s="127" t="n"/>
      <c r="E2224" s="227" t="n"/>
      <c r="F2224" s="227" t="n"/>
      <c r="G2224" s="227" t="n"/>
      <c r="H2224" s="227" t="n"/>
      <c r="I2224" s="227" t="n"/>
      <c r="J2224" s="227" t="n"/>
      <c r="K2224" s="227" t="n"/>
      <c r="L2224" s="227" t="n"/>
      <c r="M2224" s="227" t="n"/>
      <c r="N2224" s="127" t="n"/>
      <c r="O2224" s="227" t="n"/>
      <c r="P2224" s="227" t="n"/>
      <c r="Q2224" s="227" t="n"/>
      <c r="R2224" s="227" t="n"/>
      <c r="S2224" s="227" t="n"/>
      <c r="T2224" s="227" t="n"/>
    </row>
    <row r="2225">
      <c r="A2225" s="145">
        <f>IF($B2225="","",ROW()-5)</f>
        <v/>
      </c>
      <c r="B2225" s="127" t="n"/>
      <c r="C2225" s="223" t="n"/>
      <c r="D2225" s="127" t="n"/>
      <c r="E2225" s="227" t="n"/>
      <c r="F2225" s="227" t="n"/>
      <c r="G2225" s="227" t="n"/>
      <c r="H2225" s="227" t="n"/>
      <c r="I2225" s="227" t="n"/>
      <c r="J2225" s="227" t="n"/>
      <c r="K2225" s="227" t="n"/>
      <c r="L2225" s="227" t="n"/>
      <c r="M2225" s="227" t="n"/>
      <c r="N2225" s="127" t="n"/>
      <c r="O2225" s="227" t="n"/>
      <c r="P2225" s="227" t="n"/>
      <c r="Q2225" s="227" t="n"/>
      <c r="R2225" s="227" t="n"/>
      <c r="S2225" s="227" t="n"/>
      <c r="T2225" s="227" t="n"/>
    </row>
    <row r="2226">
      <c r="A2226" s="145">
        <f>IF($B2226="","",ROW()-5)</f>
        <v/>
      </c>
      <c r="B2226" s="127" t="n"/>
      <c r="C2226" s="223" t="n"/>
      <c r="D2226" s="127" t="n"/>
      <c r="E2226" s="227" t="n"/>
      <c r="F2226" s="227" t="n"/>
      <c r="G2226" s="227" t="n"/>
      <c r="H2226" s="227" t="n"/>
      <c r="I2226" s="227" t="n"/>
      <c r="J2226" s="227" t="n"/>
      <c r="K2226" s="227" t="n"/>
      <c r="L2226" s="227" t="n"/>
      <c r="M2226" s="227" t="n"/>
      <c r="N2226" s="127" t="n"/>
      <c r="O2226" s="227" t="n"/>
      <c r="P2226" s="227" t="n"/>
      <c r="Q2226" s="227" t="n"/>
      <c r="R2226" s="227" t="n"/>
      <c r="S2226" s="227" t="n"/>
      <c r="T2226" s="227" t="n"/>
    </row>
    <row r="2227">
      <c r="A2227" s="145">
        <f>IF($B2227="","",ROW()-5)</f>
        <v/>
      </c>
      <c r="B2227" s="127" t="n"/>
      <c r="C2227" s="223" t="n"/>
      <c r="D2227" s="127" t="n"/>
      <c r="E2227" s="227" t="n"/>
      <c r="F2227" s="227" t="n"/>
      <c r="G2227" s="227" t="n"/>
      <c r="H2227" s="227" t="n"/>
      <c r="I2227" s="227" t="n"/>
      <c r="J2227" s="227" t="n"/>
      <c r="K2227" s="227" t="n"/>
      <c r="L2227" s="227" t="n"/>
      <c r="M2227" s="227" t="n"/>
      <c r="N2227" s="127" t="n"/>
      <c r="O2227" s="227" t="n"/>
      <c r="P2227" s="227" t="n"/>
      <c r="Q2227" s="227" t="n"/>
      <c r="R2227" s="227" t="n"/>
      <c r="S2227" s="227" t="n"/>
      <c r="T2227" s="227" t="n"/>
    </row>
    <row r="2228">
      <c r="A2228" s="145">
        <f>IF($B2228="","",ROW()-5)</f>
        <v/>
      </c>
      <c r="B2228" s="127" t="n"/>
      <c r="C2228" s="223" t="n"/>
      <c r="D2228" s="127" t="n"/>
      <c r="E2228" s="227" t="n"/>
      <c r="F2228" s="227" t="n"/>
      <c r="G2228" s="227" t="n"/>
      <c r="H2228" s="227" t="n"/>
      <c r="I2228" s="227" t="n"/>
      <c r="J2228" s="227" t="n"/>
      <c r="K2228" s="227" t="n"/>
      <c r="L2228" s="227" t="n"/>
      <c r="M2228" s="227" t="n"/>
      <c r="N2228" s="127" t="n"/>
      <c r="O2228" s="227" t="n"/>
      <c r="P2228" s="227" t="n"/>
      <c r="Q2228" s="227" t="n"/>
      <c r="R2228" s="227" t="n"/>
      <c r="S2228" s="227" t="n"/>
      <c r="T2228" s="227" t="n"/>
    </row>
    <row r="2229">
      <c r="A2229" s="145">
        <f>IF($B2229="","",ROW()-5)</f>
        <v/>
      </c>
      <c r="B2229" s="127" t="n"/>
      <c r="C2229" s="223" t="n"/>
      <c r="D2229" s="127" t="n"/>
      <c r="E2229" s="227" t="n"/>
      <c r="F2229" s="227" t="n"/>
      <c r="G2229" s="227" t="n"/>
      <c r="H2229" s="227" t="n"/>
      <c r="I2229" s="227" t="n"/>
      <c r="J2229" s="227" t="n"/>
      <c r="K2229" s="227" t="n"/>
      <c r="L2229" s="227" t="n"/>
      <c r="M2229" s="227" t="n"/>
      <c r="N2229" s="127" t="n"/>
      <c r="O2229" s="227" t="n"/>
      <c r="P2229" s="227" t="n"/>
      <c r="Q2229" s="227" t="n"/>
      <c r="R2229" s="227" t="n"/>
      <c r="S2229" s="227" t="n"/>
      <c r="T2229" s="227" t="n"/>
    </row>
    <row r="2230">
      <c r="A2230" s="145">
        <f>IF($B2230="","",ROW()-5)</f>
        <v/>
      </c>
      <c r="B2230" s="127" t="n"/>
      <c r="C2230" s="223" t="n"/>
      <c r="D2230" s="127" t="n"/>
      <c r="E2230" s="227" t="n"/>
      <c r="F2230" s="227" t="n"/>
      <c r="G2230" s="227" t="n"/>
      <c r="H2230" s="227" t="n"/>
      <c r="I2230" s="227" t="n"/>
      <c r="J2230" s="227" t="n"/>
      <c r="K2230" s="227" t="n"/>
      <c r="L2230" s="227" t="n"/>
      <c r="M2230" s="227" t="n"/>
      <c r="N2230" s="127" t="n"/>
      <c r="O2230" s="227" t="n"/>
      <c r="P2230" s="227" t="n"/>
      <c r="Q2230" s="227" t="n"/>
      <c r="R2230" s="227" t="n"/>
      <c r="S2230" s="227" t="n"/>
      <c r="T2230" s="227" t="n"/>
    </row>
    <row r="2231">
      <c r="A2231" s="145">
        <f>IF($B2231="","",ROW()-5)</f>
        <v/>
      </c>
      <c r="B2231" s="127" t="n"/>
      <c r="C2231" s="223" t="n"/>
      <c r="D2231" s="127" t="n"/>
      <c r="E2231" s="227" t="n"/>
      <c r="F2231" s="227" t="n"/>
      <c r="G2231" s="227" t="n"/>
      <c r="H2231" s="227" t="n"/>
      <c r="I2231" s="227" t="n"/>
      <c r="J2231" s="227" t="n"/>
      <c r="K2231" s="227" t="n"/>
      <c r="L2231" s="227" t="n"/>
      <c r="M2231" s="227" t="n"/>
      <c r="N2231" s="127" t="n"/>
      <c r="O2231" s="227" t="n"/>
      <c r="P2231" s="227" t="n"/>
      <c r="Q2231" s="227" t="n"/>
      <c r="R2231" s="227" t="n"/>
      <c r="S2231" s="227" t="n"/>
      <c r="T2231" s="227" t="n"/>
    </row>
    <row r="2232">
      <c r="A2232" s="145">
        <f>IF($B2232="","",ROW()-5)</f>
        <v/>
      </c>
      <c r="B2232" s="127" t="n"/>
      <c r="C2232" s="223" t="n"/>
      <c r="D2232" s="127" t="n"/>
      <c r="E2232" s="227" t="n"/>
      <c r="F2232" s="227" t="n"/>
      <c r="G2232" s="227" t="n"/>
      <c r="H2232" s="227" t="n"/>
      <c r="I2232" s="227" t="n"/>
      <c r="J2232" s="227" t="n"/>
      <c r="K2232" s="227" t="n"/>
      <c r="L2232" s="227" t="n"/>
      <c r="M2232" s="227" t="n"/>
      <c r="N2232" s="127" t="n"/>
      <c r="O2232" s="227" t="n"/>
      <c r="P2232" s="227" t="n"/>
      <c r="Q2232" s="227" t="n"/>
      <c r="R2232" s="227" t="n"/>
      <c r="S2232" s="227" t="n"/>
      <c r="T2232" s="227" t="n"/>
    </row>
    <row r="2233">
      <c r="A2233" s="145">
        <f>IF($B2233="","",ROW()-5)</f>
        <v/>
      </c>
      <c r="B2233" s="127" t="n"/>
      <c r="C2233" s="223" t="n"/>
      <c r="D2233" s="127" t="n"/>
      <c r="E2233" s="227" t="n"/>
      <c r="F2233" s="227" t="n"/>
      <c r="G2233" s="227" t="n"/>
      <c r="H2233" s="227" t="n"/>
      <c r="I2233" s="227" t="n"/>
      <c r="J2233" s="227" t="n"/>
      <c r="K2233" s="227" t="n"/>
      <c r="L2233" s="227" t="n"/>
      <c r="M2233" s="227" t="n"/>
      <c r="N2233" s="127" t="n"/>
      <c r="O2233" s="227" t="n"/>
      <c r="P2233" s="227" t="n"/>
      <c r="Q2233" s="227" t="n"/>
      <c r="R2233" s="227" t="n"/>
      <c r="S2233" s="227" t="n"/>
      <c r="T2233" s="227" t="n"/>
    </row>
    <row r="2234">
      <c r="A2234" s="145">
        <f>IF($B2234="","",ROW()-5)</f>
        <v/>
      </c>
      <c r="B2234" s="127" t="n"/>
      <c r="C2234" s="223" t="n"/>
      <c r="D2234" s="127" t="n"/>
      <c r="E2234" s="227" t="n"/>
      <c r="F2234" s="227" t="n"/>
      <c r="G2234" s="227" t="n"/>
      <c r="H2234" s="227" t="n"/>
      <c r="I2234" s="227" t="n"/>
      <c r="J2234" s="227" t="n"/>
      <c r="K2234" s="227" t="n"/>
      <c r="L2234" s="227" t="n"/>
      <c r="M2234" s="227" t="n"/>
      <c r="N2234" s="127" t="n"/>
      <c r="O2234" s="227" t="n"/>
      <c r="P2234" s="227" t="n"/>
      <c r="Q2234" s="227" t="n"/>
      <c r="R2234" s="227" t="n"/>
      <c r="S2234" s="227" t="n"/>
      <c r="T2234" s="227" t="n"/>
    </row>
    <row r="2235">
      <c r="A2235" s="145">
        <f>IF($B2235="","",ROW()-5)</f>
        <v/>
      </c>
      <c r="B2235" s="127" t="n"/>
      <c r="C2235" s="223" t="n"/>
      <c r="D2235" s="127" t="n"/>
      <c r="E2235" s="227" t="n"/>
      <c r="F2235" s="227" t="n"/>
      <c r="G2235" s="227" t="n"/>
      <c r="H2235" s="227" t="n"/>
      <c r="I2235" s="227" t="n"/>
      <c r="J2235" s="227" t="n"/>
      <c r="K2235" s="227" t="n"/>
      <c r="L2235" s="227" t="n"/>
      <c r="M2235" s="227" t="n"/>
      <c r="N2235" s="127" t="n"/>
      <c r="O2235" s="227" t="n"/>
      <c r="P2235" s="227" t="n"/>
      <c r="Q2235" s="227" t="n"/>
      <c r="R2235" s="227" t="n"/>
      <c r="S2235" s="227" t="n"/>
      <c r="T2235" s="227" t="n"/>
    </row>
    <row r="2236">
      <c r="A2236" s="145">
        <f>IF($B2236="","",ROW()-5)</f>
        <v/>
      </c>
      <c r="B2236" s="127" t="n"/>
      <c r="C2236" s="223" t="n"/>
      <c r="D2236" s="127" t="n"/>
      <c r="E2236" s="227" t="n"/>
      <c r="F2236" s="227" t="n"/>
      <c r="G2236" s="227" t="n"/>
      <c r="H2236" s="227" t="n"/>
      <c r="I2236" s="227" t="n"/>
      <c r="J2236" s="227" t="n"/>
      <c r="K2236" s="227" t="n"/>
      <c r="L2236" s="227" t="n"/>
      <c r="M2236" s="227" t="n"/>
      <c r="N2236" s="127" t="n"/>
      <c r="O2236" s="227" t="n"/>
      <c r="P2236" s="227" t="n"/>
      <c r="Q2236" s="227" t="n"/>
      <c r="R2236" s="227" t="n"/>
      <c r="S2236" s="227" t="n"/>
      <c r="T2236" s="227" t="n"/>
    </row>
    <row r="2237">
      <c r="A2237" s="145">
        <f>IF($B2237="","",ROW()-5)</f>
        <v/>
      </c>
      <c r="B2237" s="127" t="n"/>
      <c r="C2237" s="223" t="n"/>
      <c r="D2237" s="127" t="n"/>
      <c r="E2237" s="227" t="n"/>
      <c r="F2237" s="227" t="n"/>
      <c r="G2237" s="227" t="n"/>
      <c r="H2237" s="227" t="n"/>
      <c r="I2237" s="227" t="n"/>
      <c r="J2237" s="227" t="n"/>
      <c r="K2237" s="227" t="n"/>
      <c r="L2237" s="227" t="n"/>
      <c r="M2237" s="227" t="n"/>
      <c r="N2237" s="127" t="n"/>
      <c r="O2237" s="227" t="n"/>
      <c r="P2237" s="227" t="n"/>
      <c r="Q2237" s="227" t="n"/>
      <c r="R2237" s="227" t="n"/>
      <c r="S2237" s="227" t="n"/>
      <c r="T2237" s="227" t="n"/>
    </row>
    <row r="2238">
      <c r="A2238" s="145">
        <f>IF($B2238="","",ROW()-5)</f>
        <v/>
      </c>
      <c r="B2238" s="127" t="n"/>
      <c r="C2238" s="223" t="n"/>
      <c r="D2238" s="127" t="n"/>
      <c r="E2238" s="227" t="n"/>
      <c r="F2238" s="227" t="n"/>
      <c r="G2238" s="227" t="n"/>
      <c r="H2238" s="227" t="n"/>
      <c r="I2238" s="227" t="n"/>
      <c r="J2238" s="227" t="n"/>
      <c r="K2238" s="227" t="n"/>
      <c r="L2238" s="227" t="n"/>
      <c r="M2238" s="227" t="n"/>
      <c r="N2238" s="127" t="n"/>
      <c r="O2238" s="227" t="n"/>
      <c r="P2238" s="227" t="n"/>
      <c r="Q2238" s="227" t="n"/>
      <c r="R2238" s="227" t="n"/>
      <c r="S2238" s="227" t="n"/>
      <c r="T2238" s="227" t="n"/>
    </row>
    <row r="2239">
      <c r="A2239" s="145">
        <f>IF($B2239="","",ROW()-5)</f>
        <v/>
      </c>
      <c r="B2239" s="127" t="n"/>
      <c r="C2239" s="223" t="n"/>
      <c r="D2239" s="127" t="n"/>
      <c r="E2239" s="227" t="n"/>
      <c r="F2239" s="227" t="n"/>
      <c r="G2239" s="227" t="n"/>
      <c r="H2239" s="227" t="n"/>
      <c r="I2239" s="227" t="n"/>
      <c r="J2239" s="227" t="n"/>
      <c r="K2239" s="227" t="n"/>
      <c r="L2239" s="227" t="n"/>
      <c r="M2239" s="227" t="n"/>
      <c r="N2239" s="127" t="n"/>
      <c r="O2239" s="227" t="n"/>
      <c r="P2239" s="227" t="n"/>
      <c r="Q2239" s="227" t="n"/>
      <c r="R2239" s="227" t="n"/>
      <c r="S2239" s="227" t="n"/>
      <c r="T2239" s="227" t="n"/>
    </row>
    <row r="2240">
      <c r="A2240" s="145">
        <f>IF($B2240="","",ROW()-5)</f>
        <v/>
      </c>
      <c r="B2240" s="127" t="n"/>
      <c r="C2240" s="223" t="n"/>
      <c r="D2240" s="127" t="n"/>
      <c r="E2240" s="227" t="n"/>
      <c r="F2240" s="227" t="n"/>
      <c r="G2240" s="227" t="n"/>
      <c r="H2240" s="227" t="n"/>
      <c r="I2240" s="227" t="n"/>
      <c r="J2240" s="227" t="n"/>
      <c r="K2240" s="227" t="n"/>
      <c r="L2240" s="227" t="n"/>
      <c r="M2240" s="227" t="n"/>
      <c r="N2240" s="127" t="n"/>
      <c r="O2240" s="227" t="n"/>
      <c r="P2240" s="227" t="n"/>
      <c r="Q2240" s="227" t="n"/>
      <c r="R2240" s="227" t="n"/>
      <c r="S2240" s="227" t="n"/>
      <c r="T2240" s="227" t="n"/>
    </row>
    <row r="2241">
      <c r="A2241" s="145">
        <f>IF($B2241="","",ROW()-5)</f>
        <v/>
      </c>
      <c r="B2241" s="127" t="n"/>
      <c r="C2241" s="223" t="n"/>
      <c r="D2241" s="127" t="n"/>
      <c r="E2241" s="227" t="n"/>
      <c r="F2241" s="227" t="n"/>
      <c r="G2241" s="227" t="n"/>
      <c r="H2241" s="227" t="n"/>
      <c r="I2241" s="227" t="n"/>
      <c r="J2241" s="227" t="n"/>
      <c r="K2241" s="227" t="n"/>
      <c r="L2241" s="227" t="n"/>
      <c r="M2241" s="227" t="n"/>
      <c r="N2241" s="127" t="n"/>
      <c r="O2241" s="227" t="n"/>
      <c r="P2241" s="227" t="n"/>
      <c r="Q2241" s="227" t="n"/>
      <c r="R2241" s="227" t="n"/>
      <c r="S2241" s="227" t="n"/>
      <c r="T2241" s="227" t="n"/>
    </row>
    <row r="2242">
      <c r="A2242" s="145">
        <f>IF($B2242="","",ROW()-5)</f>
        <v/>
      </c>
      <c r="B2242" s="127" t="n"/>
      <c r="C2242" s="223" t="n"/>
      <c r="D2242" s="127" t="n"/>
      <c r="E2242" s="227" t="n"/>
      <c r="F2242" s="227" t="n"/>
      <c r="G2242" s="227" t="n"/>
      <c r="H2242" s="227" t="n"/>
      <c r="I2242" s="227" t="n"/>
      <c r="J2242" s="227" t="n"/>
      <c r="K2242" s="227" t="n"/>
      <c r="L2242" s="227" t="n"/>
      <c r="M2242" s="227" t="n"/>
      <c r="N2242" s="127" t="n"/>
      <c r="O2242" s="227" t="n"/>
      <c r="P2242" s="227" t="n"/>
      <c r="Q2242" s="227" t="n"/>
      <c r="R2242" s="227" t="n"/>
      <c r="S2242" s="227" t="n"/>
      <c r="T2242" s="227" t="n"/>
    </row>
    <row r="2243">
      <c r="A2243" s="145">
        <f>IF($B2243="","",ROW()-5)</f>
        <v/>
      </c>
      <c r="B2243" s="127" t="n"/>
      <c r="C2243" s="223" t="n"/>
      <c r="D2243" s="127" t="n"/>
      <c r="E2243" s="227" t="n"/>
      <c r="F2243" s="227" t="n"/>
      <c r="G2243" s="227" t="n"/>
      <c r="H2243" s="227" t="n"/>
      <c r="I2243" s="227" t="n"/>
      <c r="J2243" s="227" t="n"/>
      <c r="K2243" s="227" t="n"/>
      <c r="L2243" s="227" t="n"/>
      <c r="M2243" s="227" t="n"/>
      <c r="N2243" s="127" t="n"/>
      <c r="O2243" s="227" t="n"/>
      <c r="P2243" s="227" t="n"/>
      <c r="Q2243" s="227" t="n"/>
      <c r="R2243" s="227" t="n"/>
      <c r="S2243" s="227" t="n"/>
      <c r="T2243" s="227" t="n"/>
    </row>
    <row r="2244">
      <c r="A2244" s="145">
        <f>IF($B2244="","",ROW()-5)</f>
        <v/>
      </c>
      <c r="B2244" s="127" t="n"/>
      <c r="C2244" s="223" t="n"/>
      <c r="D2244" s="127" t="n"/>
      <c r="E2244" s="227" t="n"/>
      <c r="F2244" s="227" t="n"/>
      <c r="G2244" s="227" t="n"/>
      <c r="H2244" s="227" t="n"/>
      <c r="I2244" s="227" t="n"/>
      <c r="J2244" s="227" t="n"/>
      <c r="K2244" s="227" t="n"/>
      <c r="L2244" s="227" t="n"/>
      <c r="M2244" s="227" t="n"/>
      <c r="N2244" s="127" t="n"/>
      <c r="O2244" s="227" t="n"/>
      <c r="P2244" s="227" t="n"/>
      <c r="Q2244" s="227" t="n"/>
      <c r="R2244" s="227" t="n"/>
      <c r="S2244" s="227" t="n"/>
      <c r="T2244" s="227" t="n"/>
    </row>
    <row r="2245">
      <c r="A2245" s="145">
        <f>IF($B2245="","",ROW()-5)</f>
        <v/>
      </c>
      <c r="B2245" s="127" t="n"/>
      <c r="C2245" s="223" t="n"/>
      <c r="D2245" s="127" t="n"/>
      <c r="E2245" s="227" t="n"/>
      <c r="F2245" s="227" t="n"/>
      <c r="G2245" s="227" t="n"/>
      <c r="H2245" s="227" t="n"/>
      <c r="I2245" s="227" t="n"/>
      <c r="J2245" s="227" t="n"/>
      <c r="K2245" s="227" t="n"/>
      <c r="L2245" s="227" t="n"/>
      <c r="M2245" s="227" t="n"/>
      <c r="N2245" s="127" t="n"/>
      <c r="O2245" s="227" t="n"/>
      <c r="P2245" s="227" t="n"/>
      <c r="Q2245" s="227" t="n"/>
      <c r="R2245" s="227" t="n"/>
      <c r="S2245" s="227" t="n"/>
      <c r="T2245" s="227" t="n"/>
    </row>
    <row r="2246">
      <c r="A2246" s="145">
        <f>IF($B2246="","",ROW()-5)</f>
        <v/>
      </c>
      <c r="B2246" s="127" t="n"/>
      <c r="C2246" s="223" t="n"/>
      <c r="D2246" s="127" t="n"/>
      <c r="E2246" s="227" t="n"/>
      <c r="F2246" s="227" t="n"/>
      <c r="G2246" s="227" t="n"/>
      <c r="H2246" s="227" t="n"/>
      <c r="I2246" s="227" t="n"/>
      <c r="J2246" s="227" t="n"/>
      <c r="K2246" s="227" t="n"/>
      <c r="L2246" s="227" t="n"/>
      <c r="M2246" s="227" t="n"/>
      <c r="N2246" s="127" t="n"/>
      <c r="O2246" s="227" t="n"/>
      <c r="P2246" s="227" t="n"/>
      <c r="Q2246" s="227" t="n"/>
      <c r="R2246" s="227" t="n"/>
      <c r="S2246" s="227" t="n"/>
      <c r="T2246" s="227" t="n"/>
    </row>
    <row r="2247">
      <c r="A2247" s="145">
        <f>IF($B2247="","",ROW()-5)</f>
        <v/>
      </c>
      <c r="B2247" s="127" t="n"/>
      <c r="C2247" s="223" t="n"/>
      <c r="D2247" s="127" t="n"/>
      <c r="E2247" s="227" t="n"/>
      <c r="F2247" s="227" t="n"/>
      <c r="G2247" s="227" t="n"/>
      <c r="H2247" s="227" t="n"/>
      <c r="I2247" s="227" t="n"/>
      <c r="J2247" s="227" t="n"/>
      <c r="K2247" s="227" t="n"/>
      <c r="L2247" s="227" t="n"/>
      <c r="M2247" s="227" t="n"/>
      <c r="N2247" s="127" t="n"/>
      <c r="O2247" s="227" t="n"/>
      <c r="P2247" s="227" t="n"/>
      <c r="Q2247" s="227" t="n"/>
      <c r="R2247" s="227" t="n"/>
      <c r="S2247" s="227" t="n"/>
      <c r="T2247" s="227" t="n"/>
    </row>
    <row r="2248">
      <c r="A2248" s="145">
        <f>IF($B2248="","",ROW()-5)</f>
        <v/>
      </c>
      <c r="B2248" s="127" t="n"/>
      <c r="C2248" s="223" t="n"/>
      <c r="D2248" s="127" t="n"/>
      <c r="E2248" s="227" t="n"/>
      <c r="F2248" s="227" t="n"/>
      <c r="G2248" s="227" t="n"/>
      <c r="H2248" s="227" t="n"/>
      <c r="I2248" s="227" t="n"/>
      <c r="J2248" s="227" t="n"/>
      <c r="K2248" s="227" t="n"/>
      <c r="L2248" s="227" t="n"/>
      <c r="M2248" s="227" t="n"/>
      <c r="N2248" s="127" t="n"/>
      <c r="O2248" s="227" t="n"/>
      <c r="P2248" s="227" t="n"/>
      <c r="Q2248" s="227" t="n"/>
      <c r="R2248" s="227" t="n"/>
      <c r="S2248" s="227" t="n"/>
      <c r="T2248" s="227" t="n"/>
    </row>
    <row r="2249">
      <c r="A2249" s="145">
        <f>IF($B2249="","",ROW()-5)</f>
        <v/>
      </c>
      <c r="B2249" s="127" t="n"/>
      <c r="C2249" s="223" t="n"/>
      <c r="D2249" s="127" t="n"/>
      <c r="E2249" s="227" t="n"/>
      <c r="F2249" s="227" t="n"/>
      <c r="G2249" s="227" t="n"/>
      <c r="H2249" s="227" t="n"/>
      <c r="I2249" s="227" t="n"/>
      <c r="J2249" s="227" t="n"/>
      <c r="K2249" s="227" t="n"/>
      <c r="L2249" s="227" t="n"/>
      <c r="M2249" s="227" t="n"/>
      <c r="N2249" s="127" t="n"/>
      <c r="O2249" s="227" t="n"/>
      <c r="P2249" s="227" t="n"/>
      <c r="Q2249" s="227" t="n"/>
      <c r="R2249" s="227" t="n"/>
      <c r="S2249" s="227" t="n"/>
      <c r="T2249" s="227" t="n"/>
    </row>
    <row r="2250">
      <c r="A2250" s="145">
        <f>IF($B2250="","",ROW()-5)</f>
        <v/>
      </c>
      <c r="B2250" s="127" t="n"/>
      <c r="C2250" s="223" t="n"/>
      <c r="D2250" s="127" t="n"/>
      <c r="E2250" s="227" t="n"/>
      <c r="F2250" s="227" t="n"/>
      <c r="G2250" s="227" t="n"/>
      <c r="H2250" s="227" t="n"/>
      <c r="I2250" s="227" t="n"/>
      <c r="J2250" s="227" t="n"/>
      <c r="K2250" s="227" t="n"/>
      <c r="L2250" s="227" t="n"/>
      <c r="M2250" s="227" t="n"/>
      <c r="N2250" s="127" t="n"/>
      <c r="O2250" s="227" t="n"/>
      <c r="P2250" s="227" t="n"/>
      <c r="Q2250" s="227" t="n"/>
      <c r="R2250" s="227" t="n"/>
      <c r="S2250" s="227" t="n"/>
      <c r="T2250" s="227" t="n"/>
    </row>
    <row r="2251">
      <c r="A2251" s="145">
        <f>IF($B2251="","",ROW()-5)</f>
        <v/>
      </c>
      <c r="B2251" s="127" t="n"/>
      <c r="C2251" s="223" t="n"/>
      <c r="D2251" s="127" t="n"/>
      <c r="E2251" s="227" t="n"/>
      <c r="F2251" s="227" t="n"/>
      <c r="G2251" s="227" t="n"/>
      <c r="H2251" s="227" t="n"/>
      <c r="I2251" s="227" t="n"/>
      <c r="J2251" s="227" t="n"/>
      <c r="K2251" s="227" t="n"/>
      <c r="L2251" s="227" t="n"/>
      <c r="M2251" s="227" t="n"/>
      <c r="N2251" s="127" t="n"/>
      <c r="O2251" s="227" t="n"/>
      <c r="P2251" s="227" t="n"/>
      <c r="Q2251" s="227" t="n"/>
      <c r="R2251" s="227" t="n"/>
      <c r="S2251" s="227" t="n"/>
      <c r="T2251" s="227" t="n"/>
    </row>
    <row r="2252">
      <c r="A2252" s="145">
        <f>IF($B2252="","",ROW()-5)</f>
        <v/>
      </c>
      <c r="B2252" s="127" t="n"/>
      <c r="C2252" s="223" t="n"/>
      <c r="D2252" s="127" t="n"/>
      <c r="E2252" s="227" t="n"/>
      <c r="F2252" s="227" t="n"/>
      <c r="G2252" s="227" t="n"/>
      <c r="H2252" s="227" t="n"/>
      <c r="I2252" s="227" t="n"/>
      <c r="J2252" s="227" t="n"/>
      <c r="K2252" s="227" t="n"/>
      <c r="L2252" s="227" t="n"/>
      <c r="M2252" s="227" t="n"/>
      <c r="N2252" s="127" t="n"/>
      <c r="O2252" s="227" t="n"/>
      <c r="P2252" s="227" t="n"/>
      <c r="Q2252" s="227" t="n"/>
      <c r="R2252" s="227" t="n"/>
      <c r="S2252" s="227" t="n"/>
      <c r="T2252" s="227" t="n"/>
    </row>
    <row r="2253">
      <c r="A2253" s="145">
        <f>IF($B2253="","",ROW()-5)</f>
        <v/>
      </c>
      <c r="B2253" s="127" t="n"/>
      <c r="C2253" s="223" t="n"/>
      <c r="D2253" s="127" t="n"/>
      <c r="E2253" s="227" t="n"/>
      <c r="F2253" s="227" t="n"/>
      <c r="G2253" s="227" t="n"/>
      <c r="H2253" s="227" t="n"/>
      <c r="I2253" s="227" t="n"/>
      <c r="J2253" s="227" t="n"/>
      <c r="K2253" s="227" t="n"/>
      <c r="L2253" s="227" t="n"/>
      <c r="M2253" s="227" t="n"/>
      <c r="N2253" s="127" t="n"/>
      <c r="O2253" s="227" t="n"/>
      <c r="P2253" s="227" t="n"/>
      <c r="Q2253" s="227" t="n"/>
      <c r="R2253" s="227" t="n"/>
      <c r="S2253" s="227" t="n"/>
      <c r="T2253" s="227" t="n"/>
    </row>
    <row r="2254">
      <c r="A2254" s="145">
        <f>IF($B2254="","",ROW()-5)</f>
        <v/>
      </c>
      <c r="B2254" s="127" t="n"/>
      <c r="C2254" s="223" t="n"/>
      <c r="D2254" s="127" t="n"/>
      <c r="E2254" s="227" t="n"/>
      <c r="F2254" s="227" t="n"/>
      <c r="G2254" s="227" t="n"/>
      <c r="H2254" s="227" t="n"/>
      <c r="I2254" s="227" t="n"/>
      <c r="J2254" s="227" t="n"/>
      <c r="K2254" s="227" t="n"/>
      <c r="L2254" s="227" t="n"/>
      <c r="M2254" s="227" t="n"/>
      <c r="N2254" s="127" t="n"/>
      <c r="O2254" s="227" t="n"/>
      <c r="P2254" s="227" t="n"/>
      <c r="Q2254" s="227" t="n"/>
      <c r="R2254" s="227" t="n"/>
      <c r="S2254" s="227" t="n"/>
      <c r="T2254" s="227" t="n"/>
    </row>
    <row r="2255">
      <c r="A2255" s="145">
        <f>IF($B2255="","",ROW()-5)</f>
        <v/>
      </c>
      <c r="B2255" s="127" t="n"/>
      <c r="C2255" s="223" t="n"/>
      <c r="D2255" s="127" t="n"/>
      <c r="E2255" s="227" t="n"/>
      <c r="F2255" s="227" t="n"/>
      <c r="G2255" s="227" t="n"/>
      <c r="H2255" s="227" t="n"/>
      <c r="I2255" s="227" t="n"/>
      <c r="J2255" s="227" t="n"/>
      <c r="K2255" s="227" t="n"/>
      <c r="L2255" s="227" t="n"/>
      <c r="M2255" s="227" t="n"/>
      <c r="N2255" s="127" t="n"/>
      <c r="O2255" s="227" t="n"/>
      <c r="P2255" s="227" t="n"/>
      <c r="Q2255" s="227" t="n"/>
      <c r="R2255" s="227" t="n"/>
      <c r="S2255" s="227" t="n"/>
      <c r="T2255" s="227" t="n"/>
    </row>
    <row r="2256">
      <c r="A2256" s="145">
        <f>IF($B2256="","",ROW()-5)</f>
        <v/>
      </c>
      <c r="B2256" s="127" t="n"/>
      <c r="C2256" s="223" t="n"/>
      <c r="D2256" s="127" t="n"/>
      <c r="E2256" s="227" t="n"/>
      <c r="F2256" s="227" t="n"/>
      <c r="G2256" s="227" t="n"/>
      <c r="H2256" s="227" t="n"/>
      <c r="I2256" s="227" t="n"/>
      <c r="J2256" s="227" t="n"/>
      <c r="K2256" s="227" t="n"/>
      <c r="L2256" s="227" t="n"/>
      <c r="M2256" s="227" t="n"/>
      <c r="N2256" s="127" t="n"/>
      <c r="O2256" s="227" t="n"/>
      <c r="P2256" s="227" t="n"/>
      <c r="Q2256" s="227" t="n"/>
      <c r="R2256" s="227" t="n"/>
      <c r="S2256" s="227" t="n"/>
      <c r="T2256" s="227" t="n"/>
    </row>
    <row r="2257">
      <c r="A2257" s="145">
        <f>IF($B2257="","",ROW()-5)</f>
        <v/>
      </c>
      <c r="B2257" s="127" t="n"/>
      <c r="C2257" s="223" t="n"/>
      <c r="D2257" s="127" t="n"/>
      <c r="E2257" s="227" t="n"/>
      <c r="F2257" s="227" t="n"/>
      <c r="G2257" s="227" t="n"/>
      <c r="H2257" s="227" t="n"/>
      <c r="I2257" s="227" t="n"/>
      <c r="J2257" s="227" t="n"/>
      <c r="K2257" s="227" t="n"/>
      <c r="L2257" s="227" t="n"/>
      <c r="M2257" s="227" t="n"/>
      <c r="N2257" s="127" t="n"/>
      <c r="O2257" s="227" t="n"/>
      <c r="P2257" s="227" t="n"/>
      <c r="Q2257" s="227" t="n"/>
      <c r="R2257" s="227" t="n"/>
      <c r="S2257" s="227" t="n"/>
      <c r="T2257" s="227" t="n"/>
    </row>
    <row r="2258">
      <c r="A2258" s="145">
        <f>IF($B2258="","",ROW()-5)</f>
        <v/>
      </c>
      <c r="B2258" s="127" t="n"/>
      <c r="C2258" s="223" t="n"/>
      <c r="D2258" s="127" t="n"/>
      <c r="E2258" s="227" t="n"/>
      <c r="F2258" s="227" t="n"/>
      <c r="G2258" s="227" t="n"/>
      <c r="H2258" s="227" t="n"/>
      <c r="I2258" s="227" t="n"/>
      <c r="J2258" s="227" t="n"/>
      <c r="K2258" s="227" t="n"/>
      <c r="L2258" s="227" t="n"/>
      <c r="M2258" s="227" t="n"/>
      <c r="N2258" s="127" t="n"/>
      <c r="O2258" s="227" t="n"/>
      <c r="P2258" s="227" t="n"/>
      <c r="Q2258" s="227" t="n"/>
      <c r="R2258" s="227" t="n"/>
      <c r="S2258" s="227" t="n"/>
      <c r="T2258" s="227" t="n"/>
    </row>
    <row r="2259">
      <c r="A2259" s="145">
        <f>IF($B2259="","",ROW()-5)</f>
        <v/>
      </c>
      <c r="B2259" s="127" t="n"/>
      <c r="C2259" s="223" t="n"/>
      <c r="D2259" s="127" t="n"/>
      <c r="E2259" s="227" t="n"/>
      <c r="F2259" s="227" t="n"/>
      <c r="G2259" s="227" t="n"/>
      <c r="H2259" s="227" t="n"/>
      <c r="I2259" s="227" t="n"/>
      <c r="J2259" s="227" t="n"/>
      <c r="K2259" s="227" t="n"/>
      <c r="L2259" s="227" t="n"/>
      <c r="M2259" s="227" t="n"/>
      <c r="N2259" s="127" t="n"/>
      <c r="O2259" s="227" t="n"/>
      <c r="P2259" s="227" t="n"/>
      <c r="Q2259" s="227" t="n"/>
      <c r="R2259" s="227" t="n"/>
      <c r="S2259" s="227" t="n"/>
      <c r="T2259" s="227" t="n"/>
    </row>
    <row r="2260">
      <c r="A2260" s="145">
        <f>IF($B2260="","",ROW()-5)</f>
        <v/>
      </c>
      <c r="B2260" s="127" t="n"/>
      <c r="C2260" s="223" t="n"/>
      <c r="D2260" s="127" t="n"/>
      <c r="E2260" s="227" t="n"/>
      <c r="F2260" s="227" t="n"/>
      <c r="G2260" s="227" t="n"/>
      <c r="H2260" s="227" t="n"/>
      <c r="I2260" s="227" t="n"/>
      <c r="J2260" s="227" t="n"/>
      <c r="K2260" s="227" t="n"/>
      <c r="L2260" s="227" t="n"/>
      <c r="M2260" s="227" t="n"/>
      <c r="N2260" s="127" t="n"/>
      <c r="O2260" s="227" t="n"/>
      <c r="P2260" s="227" t="n"/>
      <c r="Q2260" s="227" t="n"/>
      <c r="R2260" s="227" t="n"/>
      <c r="S2260" s="227" t="n"/>
      <c r="T2260" s="227" t="n"/>
    </row>
    <row r="2261">
      <c r="A2261" s="145">
        <f>IF($B2261="","",ROW()-5)</f>
        <v/>
      </c>
      <c r="B2261" s="127" t="n"/>
      <c r="C2261" s="223" t="n"/>
      <c r="D2261" s="127" t="n"/>
      <c r="E2261" s="227" t="n"/>
      <c r="F2261" s="227" t="n"/>
      <c r="G2261" s="227" t="n"/>
      <c r="H2261" s="227" t="n"/>
      <c r="I2261" s="227" t="n"/>
      <c r="J2261" s="227" t="n"/>
      <c r="K2261" s="227" t="n"/>
      <c r="L2261" s="227" t="n"/>
      <c r="M2261" s="227" t="n"/>
      <c r="N2261" s="127" t="n"/>
      <c r="O2261" s="227" t="n"/>
      <c r="P2261" s="227" t="n"/>
      <c r="Q2261" s="227" t="n"/>
      <c r="R2261" s="227" t="n"/>
      <c r="S2261" s="227" t="n"/>
      <c r="T2261" s="227" t="n"/>
    </row>
    <row r="2262">
      <c r="A2262" s="145">
        <f>IF($B2262="","",ROW()-5)</f>
        <v/>
      </c>
      <c r="B2262" s="127" t="n"/>
      <c r="C2262" s="223" t="n"/>
      <c r="D2262" s="127" t="n"/>
      <c r="E2262" s="227" t="n"/>
      <c r="F2262" s="227" t="n"/>
      <c r="G2262" s="227" t="n"/>
      <c r="H2262" s="227" t="n"/>
      <c r="I2262" s="227" t="n"/>
      <c r="J2262" s="227" t="n"/>
      <c r="K2262" s="227" t="n"/>
      <c r="L2262" s="227" t="n"/>
      <c r="M2262" s="227" t="n"/>
      <c r="N2262" s="127" t="n"/>
      <c r="O2262" s="227" t="n"/>
      <c r="P2262" s="227" t="n"/>
      <c r="Q2262" s="227" t="n"/>
      <c r="R2262" s="227" t="n"/>
      <c r="S2262" s="227" t="n"/>
      <c r="T2262" s="227" t="n"/>
    </row>
    <row r="2263">
      <c r="A2263" s="145">
        <f>IF($B2263="","",ROW()-5)</f>
        <v/>
      </c>
      <c r="B2263" s="127" t="n"/>
      <c r="C2263" s="223" t="n"/>
      <c r="D2263" s="127" t="n"/>
      <c r="E2263" s="227" t="n"/>
      <c r="F2263" s="227" t="n"/>
      <c r="G2263" s="227" t="n"/>
      <c r="H2263" s="227" t="n"/>
      <c r="I2263" s="227" t="n"/>
      <c r="J2263" s="227" t="n"/>
      <c r="K2263" s="227" t="n"/>
      <c r="L2263" s="227" t="n"/>
      <c r="M2263" s="227" t="n"/>
      <c r="N2263" s="127" t="n"/>
      <c r="O2263" s="227" t="n"/>
      <c r="P2263" s="227" t="n"/>
      <c r="Q2263" s="227" t="n"/>
      <c r="R2263" s="227" t="n"/>
      <c r="S2263" s="227" t="n"/>
      <c r="T2263" s="227" t="n"/>
    </row>
    <row r="2264">
      <c r="A2264" s="145">
        <f>IF($B2264="","",ROW()-5)</f>
        <v/>
      </c>
      <c r="B2264" s="127" t="n"/>
      <c r="C2264" s="223" t="n"/>
      <c r="D2264" s="127" t="n"/>
      <c r="E2264" s="227" t="n"/>
      <c r="F2264" s="227" t="n"/>
      <c r="G2264" s="227" t="n"/>
      <c r="H2264" s="227" t="n"/>
      <c r="I2264" s="227" t="n"/>
      <c r="J2264" s="227" t="n"/>
      <c r="K2264" s="227" t="n"/>
      <c r="L2264" s="227" t="n"/>
      <c r="M2264" s="227" t="n"/>
      <c r="N2264" s="127" t="n"/>
      <c r="O2264" s="227" t="n"/>
      <c r="P2264" s="227" t="n"/>
      <c r="Q2264" s="227" t="n"/>
      <c r="R2264" s="227" t="n"/>
      <c r="S2264" s="227" t="n"/>
      <c r="T2264" s="227" t="n"/>
    </row>
    <row r="2265">
      <c r="A2265" s="145">
        <f>IF($B2265="","",ROW()-5)</f>
        <v/>
      </c>
      <c r="B2265" s="127" t="n"/>
      <c r="C2265" s="223" t="n"/>
      <c r="D2265" s="127" t="n"/>
      <c r="E2265" s="227" t="n"/>
      <c r="F2265" s="227" t="n"/>
      <c r="G2265" s="227" t="n"/>
      <c r="H2265" s="227" t="n"/>
      <c r="I2265" s="227" t="n"/>
      <c r="J2265" s="227" t="n"/>
      <c r="K2265" s="227" t="n"/>
      <c r="L2265" s="227" t="n"/>
      <c r="M2265" s="227" t="n"/>
      <c r="N2265" s="127" t="n"/>
      <c r="O2265" s="227" t="n"/>
      <c r="P2265" s="227" t="n"/>
      <c r="Q2265" s="227" t="n"/>
      <c r="R2265" s="227" t="n"/>
      <c r="S2265" s="227" t="n"/>
      <c r="T2265" s="227" t="n"/>
    </row>
    <row r="2266">
      <c r="A2266" s="145">
        <f>IF($B2266="","",ROW()-5)</f>
        <v/>
      </c>
      <c r="B2266" s="127" t="n"/>
      <c r="C2266" s="223" t="n"/>
      <c r="D2266" s="127" t="n"/>
      <c r="E2266" s="227" t="n"/>
      <c r="F2266" s="227" t="n"/>
      <c r="G2266" s="227" t="n"/>
      <c r="H2266" s="227" t="n"/>
      <c r="I2266" s="227" t="n"/>
      <c r="J2266" s="227" t="n"/>
      <c r="K2266" s="227" t="n"/>
      <c r="L2266" s="227" t="n"/>
      <c r="M2266" s="227" t="n"/>
      <c r="N2266" s="127" t="n"/>
      <c r="O2266" s="227" t="n"/>
      <c r="P2266" s="227" t="n"/>
      <c r="Q2266" s="227" t="n"/>
      <c r="R2266" s="227" t="n"/>
      <c r="S2266" s="227" t="n"/>
      <c r="T2266" s="227" t="n"/>
    </row>
    <row r="2267">
      <c r="A2267" s="145">
        <f>IF($B2267="","",ROW()-5)</f>
        <v/>
      </c>
      <c r="B2267" s="127" t="n"/>
      <c r="C2267" s="223" t="n"/>
      <c r="D2267" s="127" t="n"/>
      <c r="E2267" s="227" t="n"/>
      <c r="F2267" s="227" t="n"/>
      <c r="G2267" s="227" t="n"/>
      <c r="H2267" s="227" t="n"/>
      <c r="I2267" s="227" t="n"/>
      <c r="J2267" s="227" t="n"/>
      <c r="K2267" s="227" t="n"/>
      <c r="L2267" s="227" t="n"/>
      <c r="M2267" s="227" t="n"/>
      <c r="N2267" s="127" t="n"/>
      <c r="O2267" s="227" t="n"/>
      <c r="P2267" s="227" t="n"/>
      <c r="Q2267" s="227" t="n"/>
      <c r="R2267" s="227" t="n"/>
      <c r="S2267" s="227" t="n"/>
      <c r="T2267" s="227" t="n"/>
    </row>
    <row r="2268">
      <c r="A2268" s="145">
        <f>IF($B2268="","",ROW()-5)</f>
        <v/>
      </c>
      <c r="B2268" s="127" t="n"/>
      <c r="C2268" s="223" t="n"/>
      <c r="D2268" s="127" t="n"/>
      <c r="E2268" s="227" t="n"/>
      <c r="F2268" s="227" t="n"/>
      <c r="G2268" s="227" t="n"/>
      <c r="H2268" s="227" t="n"/>
      <c r="I2268" s="227" t="n"/>
      <c r="J2268" s="227" t="n"/>
      <c r="K2268" s="227" t="n"/>
      <c r="L2268" s="227" t="n"/>
      <c r="M2268" s="227" t="n"/>
      <c r="N2268" s="127" t="n"/>
      <c r="O2268" s="227" t="n"/>
      <c r="P2268" s="227" t="n"/>
      <c r="Q2268" s="227" t="n"/>
      <c r="R2268" s="227" t="n"/>
      <c r="S2268" s="227" t="n"/>
      <c r="T2268" s="227" t="n"/>
    </row>
    <row r="2269">
      <c r="A2269" s="145">
        <f>IF($B2269="","",ROW()-5)</f>
        <v/>
      </c>
      <c r="B2269" s="127" t="n"/>
      <c r="C2269" s="223" t="n"/>
      <c r="D2269" s="127" t="n"/>
      <c r="E2269" s="227" t="n"/>
      <c r="F2269" s="227" t="n"/>
      <c r="G2269" s="227" t="n"/>
      <c r="H2269" s="227" t="n"/>
      <c r="I2269" s="227" t="n"/>
      <c r="J2269" s="227" t="n"/>
      <c r="K2269" s="227" t="n"/>
      <c r="L2269" s="227" t="n"/>
      <c r="M2269" s="227" t="n"/>
      <c r="N2269" s="127" t="n"/>
      <c r="O2269" s="227" t="n"/>
      <c r="P2269" s="227" t="n"/>
      <c r="Q2269" s="227" t="n"/>
      <c r="R2269" s="227" t="n"/>
      <c r="S2269" s="227" t="n"/>
      <c r="T2269" s="227" t="n"/>
    </row>
    <row r="2270">
      <c r="A2270" s="145">
        <f>IF($B2270="","",ROW()-5)</f>
        <v/>
      </c>
      <c r="B2270" s="127" t="n"/>
      <c r="C2270" s="223" t="n"/>
      <c r="D2270" s="127" t="n"/>
      <c r="E2270" s="227" t="n"/>
      <c r="F2270" s="227" t="n"/>
      <c r="G2270" s="227" t="n"/>
      <c r="H2270" s="227" t="n"/>
      <c r="I2270" s="227" t="n"/>
      <c r="J2270" s="227" t="n"/>
      <c r="K2270" s="227" t="n"/>
      <c r="L2270" s="227" t="n"/>
      <c r="M2270" s="227" t="n"/>
      <c r="N2270" s="127" t="n"/>
      <c r="O2270" s="227" t="n"/>
      <c r="P2270" s="227" t="n"/>
      <c r="Q2270" s="227" t="n"/>
      <c r="R2270" s="227" t="n"/>
      <c r="S2270" s="227" t="n"/>
      <c r="T2270" s="227" t="n"/>
    </row>
    <row r="2271">
      <c r="A2271" s="145">
        <f>IF($B2271="","",ROW()-5)</f>
        <v/>
      </c>
      <c r="B2271" s="127" t="n"/>
      <c r="C2271" s="223" t="n"/>
      <c r="D2271" s="127" t="n"/>
      <c r="E2271" s="227" t="n"/>
      <c r="F2271" s="227" t="n"/>
      <c r="G2271" s="227" t="n"/>
      <c r="H2271" s="227" t="n"/>
      <c r="I2271" s="227" t="n"/>
      <c r="J2271" s="227" t="n"/>
      <c r="K2271" s="227" t="n"/>
      <c r="L2271" s="227" t="n"/>
      <c r="M2271" s="227" t="n"/>
      <c r="N2271" s="127" t="n"/>
      <c r="O2271" s="227" t="n"/>
      <c r="P2271" s="227" t="n"/>
      <c r="Q2271" s="227" t="n"/>
      <c r="R2271" s="227" t="n"/>
      <c r="S2271" s="227" t="n"/>
      <c r="T2271" s="227" t="n"/>
    </row>
    <row r="2272">
      <c r="A2272" s="145">
        <f>IF($B2272="","",ROW()-5)</f>
        <v/>
      </c>
      <c r="B2272" s="127" t="n"/>
      <c r="C2272" s="223" t="n"/>
      <c r="D2272" s="127" t="n"/>
      <c r="E2272" s="227" t="n"/>
      <c r="F2272" s="227" t="n"/>
      <c r="G2272" s="227" t="n"/>
      <c r="H2272" s="227" t="n"/>
      <c r="I2272" s="227" t="n"/>
      <c r="J2272" s="227" t="n"/>
      <c r="K2272" s="227" t="n"/>
      <c r="L2272" s="227" t="n"/>
      <c r="M2272" s="227" t="n"/>
      <c r="N2272" s="127" t="n"/>
      <c r="O2272" s="227" t="n"/>
      <c r="P2272" s="227" t="n"/>
      <c r="Q2272" s="227" t="n"/>
      <c r="R2272" s="227" t="n"/>
      <c r="S2272" s="227" t="n"/>
      <c r="T2272" s="227" t="n"/>
    </row>
    <row r="2273">
      <c r="A2273" s="145">
        <f>IF($B2273="","",ROW()-5)</f>
        <v/>
      </c>
      <c r="B2273" s="127" t="n"/>
      <c r="C2273" s="223" t="n"/>
      <c r="D2273" s="127" t="n"/>
      <c r="E2273" s="227" t="n"/>
      <c r="F2273" s="227" t="n"/>
      <c r="G2273" s="227" t="n"/>
      <c r="H2273" s="227" t="n"/>
      <c r="I2273" s="227" t="n"/>
      <c r="J2273" s="227" t="n"/>
      <c r="K2273" s="227" t="n"/>
      <c r="L2273" s="227" t="n"/>
      <c r="M2273" s="227" t="n"/>
      <c r="N2273" s="127" t="n"/>
      <c r="O2273" s="227" t="n"/>
      <c r="P2273" s="227" t="n"/>
      <c r="Q2273" s="227" t="n"/>
      <c r="R2273" s="227" t="n"/>
      <c r="S2273" s="227" t="n"/>
      <c r="T2273" s="227" t="n"/>
    </row>
    <row r="2274">
      <c r="A2274" s="145">
        <f>IF($B2274="","",ROW()-5)</f>
        <v/>
      </c>
      <c r="B2274" s="127" t="n"/>
      <c r="C2274" s="223" t="n"/>
      <c r="D2274" s="127" t="n"/>
      <c r="E2274" s="227" t="n"/>
      <c r="F2274" s="227" t="n"/>
      <c r="G2274" s="227" t="n"/>
      <c r="H2274" s="227" t="n"/>
      <c r="I2274" s="227" t="n"/>
      <c r="J2274" s="227" t="n"/>
      <c r="K2274" s="227" t="n"/>
      <c r="L2274" s="227" t="n"/>
      <c r="M2274" s="227" t="n"/>
      <c r="N2274" s="127" t="n"/>
      <c r="O2274" s="227" t="n"/>
      <c r="P2274" s="227" t="n"/>
      <c r="Q2274" s="227" t="n"/>
      <c r="R2274" s="227" t="n"/>
      <c r="S2274" s="227" t="n"/>
      <c r="T2274" s="227" t="n"/>
    </row>
    <row r="2275">
      <c r="A2275" s="145">
        <f>IF($B2275="","",ROW()-5)</f>
        <v/>
      </c>
      <c r="B2275" s="127" t="n"/>
      <c r="C2275" s="223" t="n"/>
      <c r="D2275" s="127" t="n"/>
      <c r="E2275" s="227" t="n"/>
      <c r="F2275" s="227" t="n"/>
      <c r="G2275" s="227" t="n"/>
      <c r="H2275" s="227" t="n"/>
      <c r="I2275" s="227" t="n"/>
      <c r="J2275" s="227" t="n"/>
      <c r="K2275" s="227" t="n"/>
      <c r="L2275" s="227" t="n"/>
      <c r="M2275" s="227" t="n"/>
      <c r="N2275" s="127" t="n"/>
      <c r="O2275" s="227" t="n"/>
      <c r="P2275" s="227" t="n"/>
      <c r="Q2275" s="227" t="n"/>
      <c r="R2275" s="227" t="n"/>
      <c r="S2275" s="227" t="n"/>
      <c r="T2275" s="227" t="n"/>
    </row>
    <row r="2276">
      <c r="A2276" s="145">
        <f>IF($B2276="","",ROW()-5)</f>
        <v/>
      </c>
      <c r="B2276" s="127" t="n"/>
      <c r="C2276" s="223" t="n"/>
      <c r="D2276" s="127" t="n"/>
      <c r="E2276" s="227" t="n"/>
      <c r="F2276" s="227" t="n"/>
      <c r="G2276" s="227" t="n"/>
      <c r="H2276" s="227" t="n"/>
      <c r="I2276" s="227" t="n"/>
      <c r="J2276" s="227" t="n"/>
      <c r="K2276" s="227" t="n"/>
      <c r="L2276" s="227" t="n"/>
      <c r="M2276" s="227" t="n"/>
      <c r="N2276" s="127" t="n"/>
      <c r="O2276" s="227" t="n"/>
      <c r="P2276" s="227" t="n"/>
      <c r="Q2276" s="227" t="n"/>
      <c r="R2276" s="227" t="n"/>
      <c r="S2276" s="227" t="n"/>
      <c r="T2276" s="227" t="n"/>
    </row>
    <row r="2277">
      <c r="A2277" s="145">
        <f>IF($B2277="","",ROW()-5)</f>
        <v/>
      </c>
      <c r="B2277" s="127" t="n"/>
      <c r="C2277" s="223" t="n"/>
      <c r="D2277" s="127" t="n"/>
      <c r="E2277" s="227" t="n"/>
      <c r="F2277" s="227" t="n"/>
      <c r="G2277" s="227" t="n"/>
      <c r="H2277" s="227" t="n"/>
      <c r="I2277" s="227" t="n"/>
      <c r="J2277" s="227" t="n"/>
      <c r="K2277" s="227" t="n"/>
      <c r="L2277" s="227" t="n"/>
      <c r="M2277" s="227" t="n"/>
      <c r="N2277" s="127" t="n"/>
      <c r="O2277" s="227" t="n"/>
      <c r="P2277" s="227" t="n"/>
      <c r="Q2277" s="227" t="n"/>
      <c r="R2277" s="227" t="n"/>
      <c r="S2277" s="227" t="n"/>
      <c r="T2277" s="227" t="n"/>
    </row>
    <row r="2278">
      <c r="A2278" s="145">
        <f>IF($B2278="","",ROW()-5)</f>
        <v/>
      </c>
      <c r="B2278" s="127" t="n"/>
      <c r="C2278" s="223" t="n"/>
      <c r="D2278" s="127" t="n"/>
      <c r="E2278" s="227" t="n"/>
      <c r="F2278" s="227" t="n"/>
      <c r="G2278" s="227" t="n"/>
      <c r="H2278" s="227" t="n"/>
      <c r="I2278" s="227" t="n"/>
      <c r="J2278" s="227" t="n"/>
      <c r="K2278" s="227" t="n"/>
      <c r="L2278" s="227" t="n"/>
      <c r="M2278" s="227" t="n"/>
      <c r="N2278" s="127" t="n"/>
      <c r="O2278" s="227" t="n"/>
      <c r="P2278" s="227" t="n"/>
      <c r="Q2278" s="227" t="n"/>
      <c r="R2278" s="227" t="n"/>
      <c r="S2278" s="227" t="n"/>
      <c r="T2278" s="227" t="n"/>
    </row>
    <row r="2279">
      <c r="A2279" s="145">
        <f>IF($B2279="","",ROW()-5)</f>
        <v/>
      </c>
      <c r="B2279" s="127" t="n"/>
      <c r="C2279" s="223" t="n"/>
      <c r="D2279" s="127" t="n"/>
      <c r="E2279" s="227" t="n"/>
      <c r="F2279" s="227" t="n"/>
      <c r="G2279" s="227" t="n"/>
      <c r="H2279" s="227" t="n"/>
      <c r="I2279" s="227" t="n"/>
      <c r="J2279" s="227" t="n"/>
      <c r="K2279" s="227" t="n"/>
      <c r="L2279" s="227" t="n"/>
      <c r="M2279" s="227" t="n"/>
      <c r="N2279" s="127" t="n"/>
      <c r="O2279" s="227" t="n"/>
      <c r="P2279" s="227" t="n"/>
      <c r="Q2279" s="227" t="n"/>
      <c r="R2279" s="227" t="n"/>
      <c r="S2279" s="227" t="n"/>
      <c r="T2279" s="227" t="n"/>
    </row>
    <row r="2280">
      <c r="A2280" s="145">
        <f>IF($B2280="","",ROW()-5)</f>
        <v/>
      </c>
      <c r="B2280" s="127" t="n"/>
      <c r="C2280" s="223" t="n"/>
      <c r="D2280" s="127" t="n"/>
      <c r="E2280" s="227" t="n"/>
      <c r="F2280" s="227" t="n"/>
      <c r="G2280" s="227" t="n"/>
      <c r="H2280" s="227" t="n"/>
      <c r="I2280" s="227" t="n"/>
      <c r="J2280" s="227" t="n"/>
      <c r="K2280" s="227" t="n"/>
      <c r="L2280" s="227" t="n"/>
      <c r="M2280" s="227" t="n"/>
      <c r="N2280" s="127" t="n"/>
      <c r="O2280" s="227" t="n"/>
      <c r="P2280" s="227" t="n"/>
      <c r="Q2280" s="227" t="n"/>
      <c r="R2280" s="227" t="n"/>
      <c r="S2280" s="227" t="n"/>
      <c r="T2280" s="227" t="n"/>
    </row>
    <row r="2281">
      <c r="A2281" s="145">
        <f>IF($B2281="","",ROW()-5)</f>
        <v/>
      </c>
      <c r="B2281" s="127" t="n"/>
      <c r="C2281" s="223" t="n"/>
      <c r="D2281" s="127" t="n"/>
      <c r="E2281" s="227" t="n"/>
      <c r="F2281" s="227" t="n"/>
      <c r="G2281" s="227" t="n"/>
      <c r="H2281" s="227" t="n"/>
      <c r="I2281" s="227" t="n"/>
      <c r="J2281" s="227" t="n"/>
      <c r="K2281" s="227" t="n"/>
      <c r="L2281" s="227" t="n"/>
      <c r="M2281" s="227" t="n"/>
      <c r="N2281" s="127" t="n"/>
      <c r="O2281" s="227" t="n"/>
      <c r="P2281" s="227" t="n"/>
      <c r="Q2281" s="227" t="n"/>
      <c r="R2281" s="227" t="n"/>
      <c r="S2281" s="227" t="n"/>
      <c r="T2281" s="227" t="n"/>
    </row>
    <row r="2282">
      <c r="A2282" s="145">
        <f>IF($B2282="","",ROW()-5)</f>
        <v/>
      </c>
      <c r="B2282" s="127" t="n"/>
      <c r="C2282" s="223" t="n"/>
      <c r="D2282" s="127" t="n"/>
      <c r="E2282" s="227" t="n"/>
      <c r="F2282" s="227" t="n"/>
      <c r="G2282" s="227" t="n"/>
      <c r="H2282" s="227" t="n"/>
      <c r="I2282" s="227" t="n"/>
      <c r="J2282" s="227" t="n"/>
      <c r="K2282" s="227" t="n"/>
      <c r="L2282" s="227" t="n"/>
      <c r="M2282" s="227" t="n"/>
      <c r="N2282" s="127" t="n"/>
      <c r="O2282" s="227" t="n"/>
      <c r="P2282" s="227" t="n"/>
      <c r="Q2282" s="227" t="n"/>
      <c r="R2282" s="227" t="n"/>
      <c r="S2282" s="227" t="n"/>
      <c r="T2282" s="227" t="n"/>
    </row>
    <row r="2283">
      <c r="A2283" s="145">
        <f>IF($B2283="","",ROW()-5)</f>
        <v/>
      </c>
      <c r="B2283" s="127" t="n"/>
      <c r="C2283" s="223" t="n"/>
      <c r="D2283" s="127" t="n"/>
      <c r="E2283" s="227" t="n"/>
      <c r="F2283" s="227" t="n"/>
      <c r="G2283" s="227" t="n"/>
      <c r="H2283" s="227" t="n"/>
      <c r="I2283" s="227" t="n"/>
      <c r="J2283" s="227" t="n"/>
      <c r="K2283" s="227" t="n"/>
      <c r="L2283" s="227" t="n"/>
      <c r="M2283" s="227" t="n"/>
      <c r="N2283" s="127" t="n"/>
      <c r="O2283" s="227" t="n"/>
      <c r="P2283" s="227" t="n"/>
      <c r="Q2283" s="227" t="n"/>
      <c r="R2283" s="227" t="n"/>
      <c r="S2283" s="227" t="n"/>
      <c r="T2283" s="227" t="n"/>
    </row>
    <row r="2284">
      <c r="A2284" s="145">
        <f>IF($B2284="","",ROW()-5)</f>
        <v/>
      </c>
      <c r="B2284" s="127" t="n"/>
      <c r="C2284" s="223" t="n"/>
      <c r="D2284" s="127" t="n"/>
      <c r="E2284" s="227" t="n"/>
      <c r="F2284" s="227" t="n"/>
      <c r="G2284" s="227" t="n"/>
      <c r="H2284" s="227" t="n"/>
      <c r="I2284" s="227" t="n"/>
      <c r="J2284" s="227" t="n"/>
      <c r="K2284" s="227" t="n"/>
      <c r="L2284" s="227" t="n"/>
      <c r="M2284" s="227" t="n"/>
      <c r="N2284" s="127" t="n"/>
      <c r="O2284" s="227" t="n"/>
      <c r="P2284" s="227" t="n"/>
      <c r="Q2284" s="227" t="n"/>
      <c r="R2284" s="227" t="n"/>
      <c r="S2284" s="227" t="n"/>
      <c r="T2284" s="227" t="n"/>
    </row>
    <row r="2285">
      <c r="A2285" s="145">
        <f>IF($B2285="","",ROW()-5)</f>
        <v/>
      </c>
      <c r="B2285" s="127" t="n"/>
      <c r="C2285" s="223" t="n"/>
      <c r="D2285" s="127" t="n"/>
      <c r="E2285" s="227" t="n"/>
      <c r="F2285" s="227" t="n"/>
      <c r="G2285" s="227" t="n"/>
      <c r="H2285" s="227" t="n"/>
      <c r="I2285" s="227" t="n"/>
      <c r="J2285" s="227" t="n"/>
      <c r="K2285" s="227" t="n"/>
      <c r="L2285" s="227" t="n"/>
      <c r="M2285" s="227" t="n"/>
      <c r="N2285" s="127" t="n"/>
      <c r="O2285" s="227" t="n"/>
      <c r="P2285" s="227" t="n"/>
      <c r="Q2285" s="227" t="n"/>
      <c r="R2285" s="227" t="n"/>
      <c r="S2285" s="227" t="n"/>
      <c r="T2285" s="227" t="n"/>
    </row>
    <row r="2286">
      <c r="A2286" s="145">
        <f>IF($B2286="","",ROW()-5)</f>
        <v/>
      </c>
      <c r="B2286" s="127" t="n"/>
      <c r="C2286" s="223" t="n"/>
      <c r="D2286" s="127" t="n"/>
      <c r="E2286" s="227" t="n"/>
      <c r="F2286" s="227" t="n"/>
      <c r="G2286" s="227" t="n"/>
      <c r="H2286" s="227" t="n"/>
      <c r="I2286" s="227" t="n"/>
      <c r="J2286" s="227" t="n"/>
      <c r="K2286" s="227" t="n"/>
      <c r="L2286" s="227" t="n"/>
      <c r="M2286" s="227" t="n"/>
      <c r="N2286" s="127" t="n"/>
      <c r="O2286" s="227" t="n"/>
      <c r="P2286" s="227" t="n"/>
      <c r="Q2286" s="227" t="n"/>
      <c r="R2286" s="227" t="n"/>
      <c r="S2286" s="227" t="n"/>
      <c r="T2286" s="227" t="n"/>
    </row>
    <row r="2287">
      <c r="A2287" s="145">
        <f>IF($B2287="","",ROW()-5)</f>
        <v/>
      </c>
      <c r="B2287" s="127" t="n"/>
      <c r="C2287" s="223" t="n"/>
      <c r="D2287" s="127" t="n"/>
      <c r="E2287" s="227" t="n"/>
      <c r="F2287" s="227" t="n"/>
      <c r="G2287" s="227" t="n"/>
      <c r="H2287" s="227" t="n"/>
      <c r="I2287" s="227" t="n"/>
      <c r="J2287" s="227" t="n"/>
      <c r="K2287" s="227" t="n"/>
      <c r="L2287" s="227" t="n"/>
      <c r="M2287" s="227" t="n"/>
      <c r="N2287" s="127" t="n"/>
      <c r="O2287" s="227" t="n"/>
      <c r="P2287" s="227" t="n"/>
      <c r="Q2287" s="227" t="n"/>
      <c r="R2287" s="227" t="n"/>
      <c r="S2287" s="227" t="n"/>
      <c r="T2287" s="227" t="n"/>
    </row>
    <row r="2288">
      <c r="A2288" s="145">
        <f>IF($B2288="","",ROW()-5)</f>
        <v/>
      </c>
      <c r="B2288" s="127" t="n"/>
      <c r="C2288" s="223" t="n"/>
      <c r="D2288" s="127" t="n"/>
      <c r="E2288" s="227" t="n"/>
      <c r="F2288" s="227" t="n"/>
      <c r="G2288" s="227" t="n"/>
      <c r="H2288" s="227" t="n"/>
      <c r="I2288" s="227" t="n"/>
      <c r="J2288" s="227" t="n"/>
      <c r="K2288" s="227" t="n"/>
      <c r="L2288" s="227" t="n"/>
      <c r="M2288" s="227" t="n"/>
      <c r="N2288" s="127" t="n"/>
      <c r="O2288" s="227" t="n"/>
      <c r="P2288" s="227" t="n"/>
      <c r="Q2288" s="227" t="n"/>
      <c r="R2288" s="227" t="n"/>
      <c r="S2288" s="227" t="n"/>
      <c r="T2288" s="227" t="n"/>
    </row>
    <row r="2289">
      <c r="A2289" s="145">
        <f>IF($B2289="","",ROW()-5)</f>
        <v/>
      </c>
      <c r="B2289" s="127" t="n"/>
      <c r="C2289" s="223" t="n"/>
      <c r="D2289" s="127" t="n"/>
      <c r="E2289" s="227" t="n"/>
      <c r="F2289" s="227" t="n"/>
      <c r="G2289" s="227" t="n"/>
      <c r="H2289" s="227" t="n"/>
      <c r="I2289" s="227" t="n"/>
      <c r="J2289" s="227" t="n"/>
      <c r="K2289" s="227" t="n"/>
      <c r="L2289" s="227" t="n"/>
      <c r="M2289" s="227" t="n"/>
      <c r="N2289" s="127" t="n"/>
      <c r="O2289" s="227" t="n"/>
      <c r="P2289" s="227" t="n"/>
      <c r="Q2289" s="227" t="n"/>
      <c r="R2289" s="227" t="n"/>
      <c r="S2289" s="227" t="n"/>
      <c r="T2289" s="227" t="n"/>
    </row>
    <row r="2290">
      <c r="A2290" s="145">
        <f>IF($B2290="","",ROW()-5)</f>
        <v/>
      </c>
      <c r="B2290" s="127" t="n"/>
      <c r="C2290" s="223" t="n"/>
      <c r="D2290" s="127" t="n"/>
      <c r="E2290" s="227" t="n"/>
      <c r="F2290" s="227" t="n"/>
      <c r="G2290" s="227" t="n"/>
      <c r="H2290" s="227" t="n"/>
      <c r="I2290" s="227" t="n"/>
      <c r="J2290" s="227" t="n"/>
      <c r="K2290" s="227" t="n"/>
      <c r="L2290" s="227" t="n"/>
      <c r="M2290" s="227" t="n"/>
      <c r="N2290" s="127" t="n"/>
      <c r="O2290" s="227" t="n"/>
      <c r="P2290" s="227" t="n"/>
      <c r="Q2290" s="227" t="n"/>
      <c r="R2290" s="227" t="n"/>
      <c r="S2290" s="227" t="n"/>
      <c r="T2290" s="227" t="n"/>
    </row>
    <row r="2291">
      <c r="A2291" s="145">
        <f>IF($B2291="","",ROW()-5)</f>
        <v/>
      </c>
      <c r="B2291" s="127" t="n"/>
      <c r="C2291" s="223" t="n"/>
      <c r="D2291" s="127" t="n"/>
      <c r="E2291" s="227" t="n"/>
      <c r="F2291" s="227" t="n"/>
      <c r="G2291" s="227" t="n"/>
      <c r="H2291" s="227" t="n"/>
      <c r="I2291" s="227" t="n"/>
      <c r="J2291" s="227" t="n"/>
      <c r="K2291" s="227" t="n"/>
      <c r="L2291" s="227" t="n"/>
      <c r="M2291" s="227" t="n"/>
      <c r="N2291" s="127" t="n"/>
      <c r="O2291" s="227" t="n"/>
      <c r="P2291" s="227" t="n"/>
      <c r="Q2291" s="227" t="n"/>
      <c r="R2291" s="227" t="n"/>
      <c r="S2291" s="227" t="n"/>
      <c r="T2291" s="227" t="n"/>
    </row>
    <row r="2292">
      <c r="A2292" s="145">
        <f>IF($B2292="","",ROW()-5)</f>
        <v/>
      </c>
      <c r="B2292" s="127" t="n"/>
      <c r="C2292" s="223" t="n"/>
      <c r="D2292" s="127" t="n"/>
      <c r="E2292" s="227" t="n"/>
      <c r="F2292" s="227" t="n"/>
      <c r="G2292" s="227" t="n"/>
      <c r="H2292" s="227" t="n"/>
      <c r="I2292" s="227" t="n"/>
      <c r="J2292" s="227" t="n"/>
      <c r="K2292" s="227" t="n"/>
      <c r="L2292" s="227" t="n"/>
      <c r="M2292" s="227" t="n"/>
      <c r="N2292" s="127" t="n"/>
      <c r="O2292" s="227" t="n"/>
      <c r="P2292" s="227" t="n"/>
      <c r="Q2292" s="227" t="n"/>
      <c r="R2292" s="227" t="n"/>
      <c r="S2292" s="227" t="n"/>
      <c r="T2292" s="227" t="n"/>
    </row>
    <row r="2293">
      <c r="A2293" s="145">
        <f>IF($B2293="","",ROW()-5)</f>
        <v/>
      </c>
      <c r="B2293" s="127" t="n"/>
      <c r="C2293" s="223" t="n"/>
      <c r="D2293" s="127" t="n"/>
      <c r="E2293" s="227" t="n"/>
      <c r="F2293" s="227" t="n"/>
      <c r="G2293" s="227" t="n"/>
      <c r="H2293" s="227" t="n"/>
      <c r="I2293" s="227" t="n"/>
      <c r="J2293" s="227" t="n"/>
      <c r="K2293" s="227" t="n"/>
      <c r="L2293" s="227" t="n"/>
      <c r="M2293" s="227" t="n"/>
      <c r="N2293" s="127" t="n"/>
      <c r="O2293" s="227" t="n"/>
      <c r="P2293" s="227" t="n"/>
      <c r="Q2293" s="227" t="n"/>
      <c r="R2293" s="227" t="n"/>
      <c r="S2293" s="227" t="n"/>
      <c r="T2293" s="227" t="n"/>
    </row>
    <row r="2294">
      <c r="A2294" s="145">
        <f>IF($B2294="","",ROW()-5)</f>
        <v/>
      </c>
      <c r="B2294" s="127" t="n"/>
      <c r="C2294" s="223" t="n"/>
      <c r="D2294" s="127" t="n"/>
      <c r="E2294" s="227" t="n"/>
      <c r="F2294" s="227" t="n"/>
      <c r="G2294" s="227" t="n"/>
      <c r="H2294" s="227" t="n"/>
      <c r="I2294" s="227" t="n"/>
      <c r="J2294" s="227" t="n"/>
      <c r="K2294" s="227" t="n"/>
      <c r="L2294" s="227" t="n"/>
      <c r="M2294" s="227" t="n"/>
      <c r="N2294" s="127" t="n"/>
      <c r="O2294" s="227" t="n"/>
      <c r="P2294" s="227" t="n"/>
      <c r="Q2294" s="227" t="n"/>
      <c r="R2294" s="227" t="n"/>
      <c r="S2294" s="227" t="n"/>
      <c r="T2294" s="227" t="n"/>
    </row>
    <row r="2295">
      <c r="A2295" s="145">
        <f>IF($B2295="","",ROW()-5)</f>
        <v/>
      </c>
      <c r="B2295" s="127" t="n"/>
      <c r="C2295" s="223" t="n"/>
      <c r="D2295" s="127" t="n"/>
      <c r="E2295" s="227" t="n"/>
      <c r="F2295" s="227" t="n"/>
      <c r="G2295" s="227" t="n"/>
      <c r="H2295" s="227" t="n"/>
      <c r="I2295" s="227" t="n"/>
      <c r="J2295" s="227" t="n"/>
      <c r="K2295" s="227" t="n"/>
      <c r="L2295" s="227" t="n"/>
      <c r="M2295" s="227" t="n"/>
      <c r="N2295" s="127" t="n"/>
      <c r="O2295" s="227" t="n"/>
      <c r="P2295" s="227" t="n"/>
      <c r="Q2295" s="227" t="n"/>
      <c r="R2295" s="227" t="n"/>
      <c r="S2295" s="227" t="n"/>
      <c r="T2295" s="227" t="n"/>
    </row>
    <row r="2296">
      <c r="A2296" s="145">
        <f>IF($B2296="","",ROW()-5)</f>
        <v/>
      </c>
      <c r="B2296" s="127" t="n"/>
      <c r="C2296" s="223" t="n"/>
      <c r="D2296" s="127" t="n"/>
      <c r="E2296" s="227" t="n"/>
      <c r="F2296" s="227" t="n"/>
      <c r="G2296" s="227" t="n"/>
      <c r="H2296" s="227" t="n"/>
      <c r="I2296" s="227" t="n"/>
      <c r="J2296" s="227" t="n"/>
      <c r="K2296" s="227" t="n"/>
      <c r="L2296" s="227" t="n"/>
      <c r="M2296" s="227" t="n"/>
      <c r="N2296" s="127" t="n"/>
      <c r="O2296" s="227" t="n"/>
      <c r="P2296" s="227" t="n"/>
      <c r="Q2296" s="227" t="n"/>
      <c r="R2296" s="227" t="n"/>
      <c r="S2296" s="227" t="n"/>
      <c r="T2296" s="227" t="n"/>
    </row>
    <row r="2297">
      <c r="A2297" s="145">
        <f>IF($B2297="","",ROW()-5)</f>
        <v/>
      </c>
      <c r="B2297" s="127" t="n"/>
      <c r="C2297" s="223" t="n"/>
      <c r="D2297" s="127" t="n"/>
      <c r="E2297" s="227" t="n"/>
      <c r="F2297" s="227" t="n"/>
      <c r="G2297" s="227" t="n"/>
      <c r="H2297" s="227" t="n"/>
      <c r="I2297" s="227" t="n"/>
      <c r="J2297" s="227" t="n"/>
      <c r="K2297" s="227" t="n"/>
      <c r="L2297" s="227" t="n"/>
      <c r="M2297" s="227" t="n"/>
      <c r="N2297" s="127" t="n"/>
      <c r="O2297" s="227" t="n"/>
      <c r="P2297" s="227" t="n"/>
      <c r="Q2297" s="227" t="n"/>
      <c r="R2297" s="227" t="n"/>
      <c r="S2297" s="227" t="n"/>
      <c r="T2297" s="227" t="n"/>
    </row>
    <row r="2298">
      <c r="A2298" s="145">
        <f>IF($B2298="","",ROW()-5)</f>
        <v/>
      </c>
      <c r="B2298" s="127" t="n"/>
      <c r="C2298" s="223" t="n"/>
      <c r="D2298" s="127" t="n"/>
      <c r="E2298" s="227" t="n"/>
      <c r="F2298" s="227" t="n"/>
      <c r="G2298" s="227" t="n"/>
      <c r="H2298" s="227" t="n"/>
      <c r="I2298" s="227" t="n"/>
      <c r="J2298" s="227" t="n"/>
      <c r="K2298" s="227" t="n"/>
      <c r="L2298" s="227" t="n"/>
      <c r="M2298" s="227" t="n"/>
      <c r="N2298" s="127" t="n"/>
      <c r="O2298" s="227" t="n"/>
      <c r="P2298" s="227" t="n"/>
      <c r="Q2298" s="227" t="n"/>
      <c r="R2298" s="227" t="n"/>
      <c r="S2298" s="227" t="n"/>
      <c r="T2298" s="227" t="n"/>
    </row>
    <row r="2299">
      <c r="A2299" s="145">
        <f>IF($B2299="","",ROW()-5)</f>
        <v/>
      </c>
      <c r="B2299" s="127" t="n"/>
      <c r="C2299" s="223" t="n"/>
      <c r="D2299" s="127" t="n"/>
      <c r="E2299" s="227" t="n"/>
      <c r="F2299" s="227" t="n"/>
      <c r="G2299" s="227" t="n"/>
      <c r="H2299" s="227" t="n"/>
      <c r="I2299" s="227" t="n"/>
      <c r="J2299" s="227" t="n"/>
      <c r="K2299" s="227" t="n"/>
      <c r="L2299" s="227" t="n"/>
      <c r="M2299" s="227" t="n"/>
      <c r="N2299" s="127" t="n"/>
      <c r="O2299" s="227" t="n"/>
      <c r="P2299" s="227" t="n"/>
      <c r="Q2299" s="227" t="n"/>
      <c r="R2299" s="227" t="n"/>
      <c r="S2299" s="227" t="n"/>
      <c r="T2299" s="227" t="n"/>
    </row>
    <row r="2300">
      <c r="A2300" s="145">
        <f>IF($B2300="","",ROW()-5)</f>
        <v/>
      </c>
      <c r="B2300" s="127" t="n"/>
      <c r="C2300" s="223" t="n"/>
      <c r="D2300" s="127" t="n"/>
      <c r="E2300" s="227" t="n"/>
      <c r="F2300" s="227" t="n"/>
      <c r="G2300" s="227" t="n"/>
      <c r="H2300" s="227" t="n"/>
      <c r="I2300" s="227" t="n"/>
      <c r="J2300" s="227" t="n"/>
      <c r="K2300" s="227" t="n"/>
      <c r="L2300" s="227" t="n"/>
      <c r="M2300" s="227" t="n"/>
      <c r="N2300" s="127" t="n"/>
      <c r="O2300" s="227" t="n"/>
      <c r="P2300" s="227" t="n"/>
      <c r="Q2300" s="227" t="n"/>
      <c r="R2300" s="227" t="n"/>
      <c r="S2300" s="227" t="n"/>
      <c r="T2300" s="227" t="n"/>
    </row>
    <row r="2301">
      <c r="A2301" s="145">
        <f>IF($B2301="","",ROW()-5)</f>
        <v/>
      </c>
      <c r="B2301" s="127" t="n"/>
      <c r="C2301" s="223" t="n"/>
      <c r="D2301" s="127" t="n"/>
      <c r="E2301" s="227" t="n"/>
      <c r="F2301" s="227" t="n"/>
      <c r="G2301" s="227" t="n"/>
      <c r="H2301" s="227" t="n"/>
      <c r="I2301" s="227" t="n"/>
      <c r="J2301" s="227" t="n"/>
      <c r="K2301" s="227" t="n"/>
      <c r="L2301" s="227" t="n"/>
      <c r="M2301" s="227" t="n"/>
      <c r="N2301" s="127" t="n"/>
      <c r="O2301" s="227" t="n"/>
      <c r="P2301" s="227" t="n"/>
      <c r="Q2301" s="227" t="n"/>
      <c r="R2301" s="227" t="n"/>
      <c r="S2301" s="227" t="n"/>
      <c r="T2301" s="227" t="n"/>
    </row>
    <row r="2302">
      <c r="A2302" s="145">
        <f>IF($B2302="","",ROW()-5)</f>
        <v/>
      </c>
      <c r="B2302" s="127" t="n"/>
      <c r="C2302" s="223" t="n"/>
      <c r="D2302" s="127" t="n"/>
      <c r="E2302" s="227" t="n"/>
      <c r="F2302" s="227" t="n"/>
      <c r="G2302" s="227" t="n"/>
      <c r="H2302" s="227" t="n"/>
      <c r="I2302" s="227" t="n"/>
      <c r="J2302" s="227" t="n"/>
      <c r="K2302" s="227" t="n"/>
      <c r="L2302" s="227" t="n"/>
      <c r="M2302" s="227" t="n"/>
      <c r="N2302" s="127" t="n"/>
      <c r="O2302" s="227" t="n"/>
      <c r="P2302" s="227" t="n"/>
      <c r="Q2302" s="227" t="n"/>
      <c r="R2302" s="227" t="n"/>
      <c r="S2302" s="227" t="n"/>
      <c r="T2302" s="227" t="n"/>
    </row>
    <row r="2303">
      <c r="A2303" s="145">
        <f>IF($B2303="","",ROW()-5)</f>
        <v/>
      </c>
      <c r="B2303" s="127" t="n"/>
      <c r="C2303" s="223" t="n"/>
      <c r="D2303" s="127" t="n"/>
      <c r="E2303" s="227" t="n"/>
      <c r="F2303" s="227" t="n"/>
      <c r="G2303" s="227" t="n"/>
      <c r="H2303" s="227" t="n"/>
      <c r="I2303" s="227" t="n"/>
      <c r="J2303" s="227" t="n"/>
      <c r="K2303" s="227" t="n"/>
      <c r="L2303" s="227" t="n"/>
      <c r="M2303" s="227" t="n"/>
      <c r="N2303" s="127" t="n"/>
      <c r="O2303" s="227" t="n"/>
      <c r="P2303" s="227" t="n"/>
      <c r="Q2303" s="227" t="n"/>
      <c r="R2303" s="227" t="n"/>
      <c r="S2303" s="227" t="n"/>
      <c r="T2303" s="227" t="n"/>
    </row>
    <row r="2304">
      <c r="A2304" s="145">
        <f>IF($B2304="","",ROW()-5)</f>
        <v/>
      </c>
      <c r="B2304" s="127" t="n"/>
      <c r="C2304" s="223" t="n"/>
      <c r="D2304" s="127" t="n"/>
      <c r="E2304" s="227" t="n"/>
      <c r="F2304" s="227" t="n"/>
      <c r="G2304" s="227" t="n"/>
      <c r="H2304" s="227" t="n"/>
      <c r="I2304" s="227" t="n"/>
      <c r="J2304" s="227" t="n"/>
      <c r="K2304" s="227" t="n"/>
      <c r="L2304" s="227" t="n"/>
      <c r="M2304" s="227" t="n"/>
      <c r="N2304" s="127" t="n"/>
      <c r="O2304" s="227" t="n"/>
      <c r="P2304" s="227" t="n"/>
      <c r="Q2304" s="227" t="n"/>
      <c r="R2304" s="227" t="n"/>
      <c r="S2304" s="227" t="n"/>
      <c r="T2304" s="227" t="n"/>
    </row>
    <row r="2305">
      <c r="A2305" s="145">
        <f>IF($B2305="","",ROW()-5)</f>
        <v/>
      </c>
      <c r="B2305" s="127" t="n"/>
      <c r="C2305" s="223" t="n"/>
      <c r="D2305" s="127" t="n"/>
      <c r="E2305" s="227" t="n"/>
      <c r="F2305" s="227" t="n"/>
      <c r="G2305" s="227" t="n"/>
      <c r="H2305" s="227" t="n"/>
      <c r="I2305" s="227" t="n"/>
      <c r="J2305" s="227" t="n"/>
      <c r="K2305" s="227" t="n"/>
      <c r="L2305" s="227" t="n"/>
      <c r="M2305" s="227" t="n"/>
      <c r="N2305" s="127" t="n"/>
      <c r="O2305" s="227" t="n"/>
      <c r="P2305" s="227" t="n"/>
      <c r="Q2305" s="227" t="n"/>
      <c r="R2305" s="227" t="n"/>
      <c r="S2305" s="227" t="n"/>
      <c r="T2305" s="227" t="n"/>
    </row>
    <row r="2306">
      <c r="A2306" s="145">
        <f>IF($B2306="","",ROW()-5)</f>
        <v/>
      </c>
      <c r="B2306" s="127" t="n"/>
      <c r="C2306" s="223" t="n"/>
      <c r="D2306" s="127" t="n"/>
      <c r="E2306" s="227" t="n"/>
      <c r="F2306" s="227" t="n"/>
      <c r="G2306" s="227" t="n"/>
      <c r="H2306" s="227" t="n"/>
      <c r="I2306" s="227" t="n"/>
      <c r="J2306" s="227" t="n"/>
      <c r="K2306" s="227" t="n"/>
      <c r="L2306" s="227" t="n"/>
      <c r="M2306" s="227" t="n"/>
      <c r="N2306" s="127" t="n"/>
      <c r="O2306" s="227" t="n"/>
      <c r="P2306" s="227" t="n"/>
      <c r="Q2306" s="227" t="n"/>
      <c r="R2306" s="227" t="n"/>
      <c r="S2306" s="227" t="n"/>
      <c r="T2306" s="227" t="n"/>
    </row>
    <row r="2307">
      <c r="A2307" s="145">
        <f>IF($B2307="","",ROW()-5)</f>
        <v/>
      </c>
      <c r="B2307" s="127" t="n"/>
      <c r="C2307" s="223" t="n"/>
      <c r="D2307" s="127" t="n"/>
      <c r="E2307" s="227" t="n"/>
      <c r="F2307" s="227" t="n"/>
      <c r="G2307" s="227" t="n"/>
      <c r="H2307" s="227" t="n"/>
      <c r="I2307" s="227" t="n"/>
      <c r="J2307" s="227" t="n"/>
      <c r="K2307" s="227" t="n"/>
      <c r="L2307" s="227" t="n"/>
      <c r="M2307" s="227" t="n"/>
      <c r="N2307" s="127" t="n"/>
      <c r="O2307" s="227" t="n"/>
      <c r="P2307" s="227" t="n"/>
      <c r="Q2307" s="227" t="n"/>
      <c r="R2307" s="227" t="n"/>
      <c r="S2307" s="227" t="n"/>
      <c r="T2307" s="227" t="n"/>
    </row>
    <row r="2308">
      <c r="A2308" s="145">
        <f>IF($B2308="","",ROW()-5)</f>
        <v/>
      </c>
      <c r="B2308" s="127" t="n"/>
      <c r="C2308" s="223" t="n"/>
      <c r="D2308" s="127" t="n"/>
      <c r="E2308" s="227" t="n"/>
      <c r="F2308" s="227" t="n"/>
      <c r="G2308" s="227" t="n"/>
      <c r="H2308" s="227" t="n"/>
      <c r="I2308" s="227" t="n"/>
      <c r="J2308" s="227" t="n"/>
      <c r="K2308" s="227" t="n"/>
      <c r="L2308" s="227" t="n"/>
      <c r="M2308" s="227" t="n"/>
      <c r="N2308" s="127" t="n"/>
      <c r="O2308" s="227" t="n"/>
      <c r="P2308" s="227" t="n"/>
      <c r="Q2308" s="227" t="n"/>
      <c r="R2308" s="227" t="n"/>
      <c r="S2308" s="227" t="n"/>
      <c r="T2308" s="227" t="n"/>
    </row>
    <row r="2309">
      <c r="A2309" s="145">
        <f>IF($B2309="","",ROW()-5)</f>
        <v/>
      </c>
      <c r="B2309" s="127" t="n"/>
      <c r="C2309" s="223" t="n"/>
      <c r="D2309" s="127" t="n"/>
      <c r="E2309" s="227" t="n"/>
      <c r="F2309" s="227" t="n"/>
      <c r="G2309" s="227" t="n"/>
      <c r="H2309" s="227" t="n"/>
      <c r="I2309" s="227" t="n"/>
      <c r="J2309" s="227" t="n"/>
      <c r="K2309" s="227" t="n"/>
      <c r="L2309" s="227" t="n"/>
      <c r="M2309" s="227" t="n"/>
      <c r="N2309" s="127" t="n"/>
      <c r="O2309" s="227" t="n"/>
      <c r="P2309" s="227" t="n"/>
      <c r="Q2309" s="227" t="n"/>
      <c r="R2309" s="227" t="n"/>
      <c r="S2309" s="227" t="n"/>
      <c r="T2309" s="227" t="n"/>
    </row>
    <row r="2310">
      <c r="A2310" s="145">
        <f>IF($B2310="","",ROW()-5)</f>
        <v/>
      </c>
      <c r="B2310" s="127" t="n"/>
      <c r="C2310" s="223" t="n"/>
      <c r="D2310" s="127" t="n"/>
      <c r="E2310" s="227" t="n"/>
      <c r="F2310" s="227" t="n"/>
      <c r="G2310" s="227" t="n"/>
      <c r="H2310" s="227" t="n"/>
      <c r="I2310" s="227" t="n"/>
      <c r="J2310" s="227" t="n"/>
      <c r="K2310" s="227" t="n"/>
      <c r="L2310" s="227" t="n"/>
      <c r="M2310" s="227" t="n"/>
      <c r="N2310" s="127" t="n"/>
      <c r="O2310" s="227" t="n"/>
      <c r="P2310" s="227" t="n"/>
      <c r="Q2310" s="227" t="n"/>
      <c r="R2310" s="227" t="n"/>
      <c r="S2310" s="227" t="n"/>
      <c r="T2310" s="227" t="n"/>
    </row>
    <row r="2311">
      <c r="A2311" s="145">
        <f>IF($B2311="","",ROW()-5)</f>
        <v/>
      </c>
      <c r="B2311" s="127" t="n"/>
      <c r="C2311" s="223" t="n"/>
      <c r="D2311" s="127" t="n"/>
      <c r="E2311" s="227" t="n"/>
      <c r="F2311" s="227" t="n"/>
      <c r="G2311" s="227" t="n"/>
      <c r="H2311" s="227" t="n"/>
      <c r="I2311" s="227" t="n"/>
      <c r="J2311" s="227" t="n"/>
      <c r="K2311" s="227" t="n"/>
      <c r="L2311" s="227" t="n"/>
      <c r="M2311" s="227" t="n"/>
      <c r="N2311" s="127" t="n"/>
      <c r="O2311" s="227" t="n"/>
      <c r="P2311" s="227" t="n"/>
      <c r="Q2311" s="227" t="n"/>
      <c r="R2311" s="227" t="n"/>
      <c r="S2311" s="227" t="n"/>
      <c r="T2311" s="227" t="n"/>
    </row>
    <row r="2312">
      <c r="A2312" s="145">
        <f>IF($B2312="","",ROW()-5)</f>
        <v/>
      </c>
      <c r="B2312" s="127" t="n"/>
      <c r="C2312" s="223" t="n"/>
      <c r="D2312" s="127" t="n"/>
      <c r="E2312" s="227" t="n"/>
      <c r="F2312" s="227" t="n"/>
      <c r="G2312" s="227" t="n"/>
      <c r="H2312" s="227" t="n"/>
      <c r="I2312" s="227" t="n"/>
      <c r="J2312" s="227" t="n"/>
      <c r="K2312" s="227" t="n"/>
      <c r="L2312" s="227" t="n"/>
      <c r="M2312" s="227" t="n"/>
      <c r="N2312" s="127" t="n"/>
      <c r="O2312" s="227" t="n"/>
      <c r="P2312" s="227" t="n"/>
      <c r="Q2312" s="227" t="n"/>
      <c r="R2312" s="227" t="n"/>
      <c r="S2312" s="227" t="n"/>
      <c r="T2312" s="227" t="n"/>
    </row>
    <row r="2313">
      <c r="A2313" s="145">
        <f>IF($B2313="","",ROW()-5)</f>
        <v/>
      </c>
      <c r="B2313" s="127" t="n"/>
      <c r="C2313" s="223" t="n"/>
      <c r="D2313" s="127" t="n"/>
      <c r="E2313" s="227" t="n"/>
      <c r="F2313" s="227" t="n"/>
      <c r="G2313" s="227" t="n"/>
      <c r="H2313" s="227" t="n"/>
      <c r="I2313" s="227" t="n"/>
      <c r="J2313" s="227" t="n"/>
      <c r="K2313" s="227" t="n"/>
      <c r="L2313" s="227" t="n"/>
      <c r="M2313" s="227" t="n"/>
      <c r="N2313" s="127" t="n"/>
      <c r="O2313" s="227" t="n"/>
      <c r="P2313" s="227" t="n"/>
      <c r="Q2313" s="227" t="n"/>
      <c r="R2313" s="227" t="n"/>
      <c r="S2313" s="227" t="n"/>
      <c r="T2313" s="227" t="n"/>
    </row>
    <row r="2314">
      <c r="A2314" s="145">
        <f>IF($B2314="","",ROW()-5)</f>
        <v/>
      </c>
      <c r="B2314" s="127" t="n"/>
      <c r="C2314" s="223" t="n"/>
      <c r="D2314" s="127" t="n"/>
      <c r="E2314" s="227" t="n"/>
      <c r="F2314" s="227" t="n"/>
      <c r="G2314" s="227" t="n"/>
      <c r="H2314" s="227" t="n"/>
      <c r="I2314" s="227" t="n"/>
      <c r="J2314" s="227" t="n"/>
      <c r="K2314" s="227" t="n"/>
      <c r="L2314" s="227" t="n"/>
      <c r="M2314" s="227" t="n"/>
      <c r="N2314" s="127" t="n"/>
      <c r="O2314" s="227" t="n"/>
      <c r="P2314" s="227" t="n"/>
      <c r="Q2314" s="227" t="n"/>
      <c r="R2314" s="227" t="n"/>
      <c r="S2314" s="227" t="n"/>
      <c r="T2314" s="227" t="n"/>
    </row>
    <row r="2315">
      <c r="A2315" s="145">
        <f>IF($B2315="","",ROW()-5)</f>
        <v/>
      </c>
      <c r="B2315" s="127" t="n"/>
      <c r="C2315" s="223" t="n"/>
      <c r="D2315" s="127" t="n"/>
      <c r="E2315" s="227" t="n"/>
      <c r="F2315" s="227" t="n"/>
      <c r="G2315" s="227" t="n"/>
      <c r="H2315" s="227" t="n"/>
      <c r="I2315" s="227" t="n"/>
      <c r="J2315" s="227" t="n"/>
      <c r="K2315" s="227" t="n"/>
      <c r="L2315" s="227" t="n"/>
      <c r="M2315" s="227" t="n"/>
      <c r="N2315" s="127" t="n"/>
      <c r="O2315" s="227" t="n"/>
      <c r="P2315" s="227" t="n"/>
      <c r="Q2315" s="227" t="n"/>
      <c r="R2315" s="227" t="n"/>
      <c r="S2315" s="227" t="n"/>
      <c r="T2315" s="227" t="n"/>
    </row>
    <row r="2316">
      <c r="A2316" s="145">
        <f>IF($B2316="","",ROW()-5)</f>
        <v/>
      </c>
      <c r="B2316" s="127" t="n"/>
      <c r="C2316" s="223" t="n"/>
      <c r="D2316" s="127" t="n"/>
      <c r="E2316" s="227" t="n"/>
      <c r="F2316" s="227" t="n"/>
      <c r="G2316" s="227" t="n"/>
      <c r="H2316" s="227" t="n"/>
      <c r="I2316" s="227" t="n"/>
      <c r="J2316" s="227" t="n"/>
      <c r="K2316" s="227" t="n"/>
      <c r="L2316" s="227" t="n"/>
      <c r="M2316" s="227" t="n"/>
      <c r="N2316" s="127" t="n"/>
      <c r="O2316" s="227" t="n"/>
      <c r="P2316" s="227" t="n"/>
      <c r="Q2316" s="227" t="n"/>
      <c r="R2316" s="227" t="n"/>
      <c r="S2316" s="227" t="n"/>
      <c r="T2316" s="227" t="n"/>
    </row>
    <row r="2317">
      <c r="A2317" s="145">
        <f>IF($B2317="","",ROW()-5)</f>
        <v/>
      </c>
      <c r="B2317" s="127" t="n"/>
      <c r="C2317" s="223" t="n"/>
      <c r="D2317" s="127" t="n"/>
      <c r="E2317" s="227" t="n"/>
      <c r="F2317" s="227" t="n"/>
      <c r="G2317" s="227" t="n"/>
      <c r="H2317" s="227" t="n"/>
      <c r="I2317" s="227" t="n"/>
      <c r="J2317" s="227" t="n"/>
      <c r="K2317" s="227" t="n"/>
      <c r="L2317" s="227" t="n"/>
      <c r="M2317" s="227" t="n"/>
      <c r="N2317" s="127" t="n"/>
      <c r="O2317" s="227" t="n"/>
      <c r="P2317" s="227" t="n"/>
      <c r="Q2317" s="227" t="n"/>
      <c r="R2317" s="227" t="n"/>
      <c r="S2317" s="227" t="n"/>
      <c r="T2317" s="227" t="n"/>
    </row>
    <row r="2318">
      <c r="A2318" s="145">
        <f>IF($B2318="","",ROW()-5)</f>
        <v/>
      </c>
      <c r="B2318" s="127" t="n"/>
      <c r="C2318" s="223" t="n"/>
      <c r="D2318" s="127" t="n"/>
      <c r="E2318" s="227" t="n"/>
      <c r="F2318" s="227" t="n"/>
      <c r="G2318" s="227" t="n"/>
      <c r="H2318" s="227" t="n"/>
      <c r="I2318" s="227" t="n"/>
      <c r="J2318" s="227" t="n"/>
      <c r="K2318" s="227" t="n"/>
      <c r="L2318" s="227" t="n"/>
      <c r="M2318" s="227" t="n"/>
      <c r="N2318" s="127" t="n"/>
      <c r="O2318" s="227" t="n"/>
      <c r="P2318" s="227" t="n"/>
      <c r="Q2318" s="227" t="n"/>
      <c r="R2318" s="227" t="n"/>
      <c r="S2318" s="227" t="n"/>
      <c r="T2318" s="227" t="n"/>
    </row>
    <row r="2319">
      <c r="A2319" s="145">
        <f>IF($B2319="","",ROW()-5)</f>
        <v/>
      </c>
      <c r="B2319" s="127" t="n"/>
      <c r="C2319" s="223" t="n"/>
      <c r="D2319" s="127" t="n"/>
      <c r="E2319" s="227" t="n"/>
      <c r="F2319" s="227" t="n"/>
      <c r="G2319" s="227" t="n"/>
      <c r="H2319" s="227" t="n"/>
      <c r="I2319" s="227" t="n"/>
      <c r="J2319" s="227" t="n"/>
      <c r="K2319" s="227" t="n"/>
      <c r="L2319" s="227" t="n"/>
      <c r="M2319" s="227" t="n"/>
      <c r="N2319" s="127" t="n"/>
      <c r="O2319" s="227" t="n"/>
      <c r="P2319" s="227" t="n"/>
      <c r="Q2319" s="227" t="n"/>
      <c r="R2319" s="227" t="n"/>
      <c r="S2319" s="227" t="n"/>
      <c r="T2319" s="227" t="n"/>
    </row>
    <row r="2320">
      <c r="A2320" s="145">
        <f>IF($B2320="","",ROW()-5)</f>
        <v/>
      </c>
      <c r="B2320" s="127" t="n"/>
      <c r="C2320" s="223" t="n"/>
      <c r="D2320" s="127" t="n"/>
      <c r="E2320" s="227" t="n"/>
      <c r="F2320" s="227" t="n"/>
      <c r="G2320" s="227" t="n"/>
      <c r="H2320" s="227" t="n"/>
      <c r="I2320" s="227" t="n"/>
      <c r="J2320" s="227" t="n"/>
      <c r="K2320" s="227" t="n"/>
      <c r="L2320" s="227" t="n"/>
      <c r="M2320" s="227" t="n"/>
      <c r="N2320" s="127" t="n"/>
      <c r="O2320" s="227" t="n"/>
      <c r="P2320" s="227" t="n"/>
      <c r="Q2320" s="227" t="n"/>
      <c r="R2320" s="227" t="n"/>
      <c r="S2320" s="227" t="n"/>
      <c r="T2320" s="227" t="n"/>
    </row>
    <row r="2321">
      <c r="A2321" s="145">
        <f>IF($B2321="","",ROW()-5)</f>
        <v/>
      </c>
      <c r="B2321" s="127" t="n"/>
      <c r="C2321" s="223" t="n"/>
      <c r="D2321" s="127" t="n"/>
      <c r="E2321" s="227" t="n"/>
      <c r="F2321" s="227" t="n"/>
      <c r="G2321" s="227" t="n"/>
      <c r="H2321" s="227" t="n"/>
      <c r="I2321" s="227" t="n"/>
      <c r="J2321" s="227" t="n"/>
      <c r="K2321" s="227" t="n"/>
      <c r="L2321" s="227" t="n"/>
      <c r="M2321" s="227" t="n"/>
      <c r="N2321" s="127" t="n"/>
      <c r="O2321" s="227" t="n"/>
      <c r="P2321" s="227" t="n"/>
      <c r="Q2321" s="227" t="n"/>
      <c r="R2321" s="227" t="n"/>
      <c r="S2321" s="227" t="n"/>
      <c r="T2321" s="227" t="n"/>
    </row>
    <row r="2322">
      <c r="A2322" s="145">
        <f>IF($B2322="","",ROW()-5)</f>
        <v/>
      </c>
      <c r="B2322" s="127" t="n"/>
      <c r="C2322" s="223" t="n"/>
      <c r="D2322" s="127" t="n"/>
      <c r="E2322" s="227" t="n"/>
      <c r="F2322" s="227" t="n"/>
      <c r="G2322" s="227" t="n"/>
      <c r="H2322" s="227" t="n"/>
      <c r="I2322" s="227" t="n"/>
      <c r="J2322" s="227" t="n"/>
      <c r="K2322" s="227" t="n"/>
      <c r="L2322" s="227" t="n"/>
      <c r="M2322" s="227" t="n"/>
      <c r="N2322" s="127" t="n"/>
      <c r="O2322" s="227" t="n"/>
      <c r="P2322" s="227" t="n"/>
      <c r="Q2322" s="227" t="n"/>
      <c r="R2322" s="227" t="n"/>
      <c r="S2322" s="227" t="n"/>
      <c r="T2322" s="227" t="n"/>
    </row>
    <row r="2323">
      <c r="A2323" s="145">
        <f>IF($B2323="","",ROW()-5)</f>
        <v/>
      </c>
      <c r="B2323" s="127" t="n"/>
      <c r="C2323" s="223" t="n"/>
      <c r="D2323" s="127" t="n"/>
      <c r="E2323" s="227" t="n"/>
      <c r="F2323" s="227" t="n"/>
      <c r="G2323" s="227" t="n"/>
      <c r="H2323" s="227" t="n"/>
      <c r="I2323" s="227" t="n"/>
      <c r="J2323" s="227" t="n"/>
      <c r="K2323" s="227" t="n"/>
      <c r="L2323" s="227" t="n"/>
      <c r="M2323" s="227" t="n"/>
      <c r="N2323" s="127" t="n"/>
      <c r="O2323" s="227" t="n"/>
      <c r="P2323" s="227" t="n"/>
      <c r="Q2323" s="227" t="n"/>
      <c r="R2323" s="227" t="n"/>
      <c r="S2323" s="227" t="n"/>
      <c r="T2323" s="227" t="n"/>
    </row>
    <row r="2324">
      <c r="A2324" s="145">
        <f>IF($B2324="","",ROW()-5)</f>
        <v/>
      </c>
      <c r="B2324" s="127" t="n"/>
      <c r="C2324" s="223" t="n"/>
      <c r="D2324" s="127" t="n"/>
      <c r="E2324" s="227" t="n"/>
      <c r="F2324" s="227" t="n"/>
      <c r="G2324" s="227" t="n"/>
      <c r="H2324" s="227" t="n"/>
      <c r="I2324" s="227" t="n"/>
      <c r="J2324" s="227" t="n"/>
      <c r="K2324" s="227" t="n"/>
      <c r="L2324" s="227" t="n"/>
      <c r="M2324" s="227" t="n"/>
      <c r="N2324" s="127" t="n"/>
      <c r="O2324" s="227" t="n"/>
      <c r="P2324" s="227" t="n"/>
      <c r="Q2324" s="227" t="n"/>
      <c r="R2324" s="227" t="n"/>
      <c r="S2324" s="227" t="n"/>
      <c r="T2324" s="227" t="n"/>
    </row>
    <row r="2325">
      <c r="A2325" s="145">
        <f>IF($B2325="","",ROW()-5)</f>
        <v/>
      </c>
      <c r="B2325" s="127" t="n"/>
      <c r="C2325" s="223" t="n"/>
      <c r="D2325" s="127" t="n"/>
      <c r="E2325" s="227" t="n"/>
      <c r="F2325" s="227" t="n"/>
      <c r="G2325" s="227" t="n"/>
      <c r="H2325" s="227" t="n"/>
      <c r="I2325" s="227" t="n"/>
      <c r="J2325" s="227" t="n"/>
      <c r="K2325" s="227" t="n"/>
      <c r="L2325" s="227" t="n"/>
      <c r="M2325" s="227" t="n"/>
      <c r="N2325" s="127" t="n"/>
      <c r="O2325" s="227" t="n"/>
      <c r="P2325" s="227" t="n"/>
      <c r="Q2325" s="227" t="n"/>
      <c r="R2325" s="227" t="n"/>
      <c r="S2325" s="227" t="n"/>
      <c r="T2325" s="227" t="n"/>
    </row>
    <row r="2326">
      <c r="A2326" s="145">
        <f>IF($B2326="","",ROW()-5)</f>
        <v/>
      </c>
      <c r="B2326" s="127" t="n"/>
      <c r="C2326" s="223" t="n"/>
      <c r="D2326" s="127" t="n"/>
      <c r="E2326" s="227" t="n"/>
      <c r="F2326" s="227" t="n"/>
      <c r="G2326" s="227" t="n"/>
      <c r="H2326" s="227" t="n"/>
      <c r="I2326" s="227" t="n"/>
      <c r="J2326" s="227" t="n"/>
      <c r="K2326" s="227" t="n"/>
      <c r="L2326" s="227" t="n"/>
      <c r="M2326" s="227" t="n"/>
      <c r="N2326" s="127" t="n"/>
      <c r="O2326" s="227" t="n"/>
      <c r="P2326" s="227" t="n"/>
      <c r="Q2326" s="227" t="n"/>
      <c r="R2326" s="227" t="n"/>
      <c r="S2326" s="227" t="n"/>
      <c r="T2326" s="227" t="n"/>
    </row>
    <row r="2327">
      <c r="A2327" s="145">
        <f>IF($B2327="","",ROW()-5)</f>
        <v/>
      </c>
      <c r="B2327" s="127" t="n"/>
      <c r="C2327" s="223" t="n"/>
      <c r="D2327" s="127" t="n"/>
      <c r="E2327" s="227" t="n"/>
      <c r="F2327" s="227" t="n"/>
      <c r="G2327" s="227" t="n"/>
      <c r="H2327" s="227" t="n"/>
      <c r="I2327" s="227" t="n"/>
      <c r="J2327" s="227" t="n"/>
      <c r="K2327" s="227" t="n"/>
      <c r="L2327" s="227" t="n"/>
      <c r="M2327" s="227" t="n"/>
      <c r="N2327" s="127" t="n"/>
      <c r="O2327" s="227" t="n"/>
      <c r="P2327" s="227" t="n"/>
      <c r="Q2327" s="227" t="n"/>
      <c r="R2327" s="227" t="n"/>
      <c r="S2327" s="227" t="n"/>
      <c r="T2327" s="227" t="n"/>
    </row>
    <row r="2328">
      <c r="A2328" s="145">
        <f>IF($B2328="","",ROW()-5)</f>
        <v/>
      </c>
      <c r="B2328" s="127" t="n"/>
      <c r="C2328" s="223" t="n"/>
      <c r="D2328" s="127" t="n"/>
      <c r="E2328" s="227" t="n"/>
      <c r="F2328" s="227" t="n"/>
      <c r="G2328" s="227" t="n"/>
      <c r="H2328" s="227" t="n"/>
      <c r="I2328" s="227" t="n"/>
      <c r="J2328" s="227" t="n"/>
      <c r="K2328" s="227" t="n"/>
      <c r="L2328" s="227" t="n"/>
      <c r="M2328" s="227" t="n"/>
      <c r="N2328" s="127" t="n"/>
      <c r="O2328" s="227" t="n"/>
      <c r="P2328" s="227" t="n"/>
      <c r="Q2328" s="227" t="n"/>
      <c r="R2328" s="227" t="n"/>
      <c r="S2328" s="227" t="n"/>
      <c r="T2328" s="227" t="n"/>
    </row>
    <row r="2329">
      <c r="A2329" s="145">
        <f>IF($B2329="","",ROW()-5)</f>
        <v/>
      </c>
      <c r="B2329" s="127" t="n"/>
      <c r="C2329" s="223" t="n"/>
      <c r="D2329" s="127" t="n"/>
      <c r="E2329" s="227" t="n"/>
      <c r="F2329" s="227" t="n"/>
      <c r="G2329" s="227" t="n"/>
      <c r="H2329" s="227" t="n"/>
      <c r="I2329" s="227" t="n"/>
      <c r="J2329" s="227" t="n"/>
      <c r="K2329" s="227" t="n"/>
      <c r="L2329" s="227" t="n"/>
      <c r="M2329" s="227" t="n"/>
      <c r="N2329" s="127" t="n"/>
      <c r="O2329" s="227" t="n"/>
      <c r="P2329" s="227" t="n"/>
      <c r="Q2329" s="227" t="n"/>
      <c r="R2329" s="227" t="n"/>
      <c r="S2329" s="227" t="n"/>
      <c r="T2329" s="227" t="n"/>
    </row>
    <row r="2330">
      <c r="A2330" s="145">
        <f>IF($B2330="","",ROW()-5)</f>
        <v/>
      </c>
      <c r="B2330" s="127" t="n"/>
      <c r="C2330" s="223" t="n"/>
      <c r="D2330" s="127" t="n"/>
      <c r="E2330" s="227" t="n"/>
      <c r="F2330" s="227" t="n"/>
      <c r="G2330" s="227" t="n"/>
      <c r="H2330" s="227" t="n"/>
      <c r="I2330" s="227" t="n"/>
      <c r="J2330" s="227" t="n"/>
      <c r="K2330" s="227" t="n"/>
      <c r="L2330" s="227" t="n"/>
      <c r="M2330" s="227" t="n"/>
      <c r="N2330" s="127" t="n"/>
      <c r="O2330" s="227" t="n"/>
      <c r="P2330" s="227" t="n"/>
      <c r="Q2330" s="227" t="n"/>
      <c r="R2330" s="227" t="n"/>
      <c r="S2330" s="227" t="n"/>
      <c r="T2330" s="227" t="n"/>
    </row>
    <row r="2331">
      <c r="A2331" s="145">
        <f>IF($B2331="","",ROW()-5)</f>
        <v/>
      </c>
      <c r="B2331" s="127" t="n"/>
      <c r="C2331" s="223" t="n"/>
      <c r="D2331" s="127" t="n"/>
      <c r="E2331" s="227" t="n"/>
      <c r="F2331" s="227" t="n"/>
      <c r="G2331" s="227" t="n"/>
      <c r="H2331" s="227" t="n"/>
      <c r="I2331" s="227" t="n"/>
      <c r="J2331" s="227" t="n"/>
      <c r="K2331" s="227" t="n"/>
      <c r="L2331" s="227" t="n"/>
      <c r="M2331" s="227" t="n"/>
      <c r="N2331" s="127" t="n"/>
      <c r="O2331" s="227" t="n"/>
      <c r="P2331" s="227" t="n"/>
      <c r="Q2331" s="227" t="n"/>
      <c r="R2331" s="227" t="n"/>
      <c r="S2331" s="227" t="n"/>
      <c r="T2331" s="227" t="n"/>
    </row>
    <row r="2332">
      <c r="A2332" s="145">
        <f>IF($B2332="","",ROW()-5)</f>
        <v/>
      </c>
      <c r="B2332" s="127" t="n"/>
      <c r="C2332" s="223" t="n"/>
      <c r="D2332" s="127" t="n"/>
      <c r="E2332" s="227" t="n"/>
      <c r="F2332" s="227" t="n"/>
      <c r="G2332" s="227" t="n"/>
      <c r="H2332" s="227" t="n"/>
      <c r="I2332" s="227" t="n"/>
      <c r="J2332" s="227" t="n"/>
      <c r="K2332" s="227" t="n"/>
      <c r="L2332" s="227" t="n"/>
      <c r="M2332" s="227" t="n"/>
      <c r="N2332" s="127" t="n"/>
      <c r="O2332" s="227" t="n"/>
      <c r="P2332" s="227" t="n"/>
      <c r="Q2332" s="227" t="n"/>
      <c r="R2332" s="227" t="n"/>
      <c r="S2332" s="227" t="n"/>
      <c r="T2332" s="227" t="n"/>
    </row>
    <row r="2333">
      <c r="A2333" s="145">
        <f>IF($B2333="","",ROW()-5)</f>
        <v/>
      </c>
      <c r="B2333" s="127" t="n"/>
      <c r="C2333" s="223" t="n"/>
      <c r="D2333" s="127" t="n"/>
      <c r="E2333" s="227" t="n"/>
      <c r="F2333" s="227" t="n"/>
      <c r="G2333" s="227" t="n"/>
      <c r="H2333" s="227" t="n"/>
      <c r="I2333" s="227" t="n"/>
      <c r="J2333" s="227" t="n"/>
      <c r="K2333" s="227" t="n"/>
      <c r="L2333" s="227" t="n"/>
      <c r="M2333" s="227" t="n"/>
      <c r="N2333" s="127" t="n"/>
      <c r="O2333" s="227" t="n"/>
      <c r="P2333" s="227" t="n"/>
      <c r="Q2333" s="227" t="n"/>
      <c r="R2333" s="227" t="n"/>
      <c r="S2333" s="227" t="n"/>
      <c r="T2333" s="227" t="n"/>
    </row>
    <row r="2334">
      <c r="A2334" s="145">
        <f>IF($B2334="","",ROW()-5)</f>
        <v/>
      </c>
      <c r="B2334" s="127" t="n"/>
      <c r="C2334" s="223" t="n"/>
      <c r="D2334" s="127" t="n"/>
      <c r="E2334" s="227" t="n"/>
      <c r="F2334" s="227" t="n"/>
      <c r="G2334" s="227" t="n"/>
      <c r="H2334" s="227" t="n"/>
      <c r="I2334" s="227" t="n"/>
      <c r="J2334" s="227" t="n"/>
      <c r="K2334" s="227" t="n"/>
      <c r="L2334" s="227" t="n"/>
      <c r="M2334" s="227" t="n"/>
      <c r="N2334" s="127" t="n"/>
      <c r="O2334" s="227" t="n"/>
      <c r="P2334" s="227" t="n"/>
      <c r="Q2334" s="227" t="n"/>
      <c r="R2334" s="227" t="n"/>
      <c r="S2334" s="227" t="n"/>
      <c r="T2334" s="227" t="n"/>
    </row>
    <row r="2335">
      <c r="A2335" s="145">
        <f>IF($B2335="","",ROW()-5)</f>
        <v/>
      </c>
      <c r="B2335" s="127" t="n"/>
      <c r="C2335" s="223" t="n"/>
      <c r="D2335" s="127" t="n"/>
      <c r="E2335" s="227" t="n"/>
      <c r="F2335" s="227" t="n"/>
      <c r="G2335" s="227" t="n"/>
      <c r="H2335" s="227" t="n"/>
      <c r="I2335" s="227" t="n"/>
      <c r="J2335" s="227" t="n"/>
      <c r="K2335" s="227" t="n"/>
      <c r="L2335" s="227" t="n"/>
      <c r="M2335" s="227" t="n"/>
      <c r="N2335" s="127" t="n"/>
      <c r="O2335" s="227" t="n"/>
      <c r="P2335" s="227" t="n"/>
      <c r="Q2335" s="227" t="n"/>
      <c r="R2335" s="227" t="n"/>
      <c r="S2335" s="227" t="n"/>
      <c r="T2335" s="227" t="n"/>
    </row>
    <row r="2336">
      <c r="A2336" s="145">
        <f>IF($B2336="","",ROW()-5)</f>
        <v/>
      </c>
      <c r="B2336" s="127" t="n"/>
      <c r="C2336" s="223" t="n"/>
      <c r="D2336" s="127" t="n"/>
      <c r="E2336" s="227" t="n"/>
      <c r="F2336" s="227" t="n"/>
      <c r="G2336" s="227" t="n"/>
      <c r="H2336" s="227" t="n"/>
      <c r="I2336" s="227" t="n"/>
      <c r="J2336" s="227" t="n"/>
      <c r="K2336" s="227" t="n"/>
      <c r="L2336" s="227" t="n"/>
      <c r="M2336" s="227" t="n"/>
      <c r="N2336" s="127" t="n"/>
      <c r="O2336" s="227" t="n"/>
      <c r="P2336" s="227" t="n"/>
      <c r="Q2336" s="227" t="n"/>
      <c r="R2336" s="227" t="n"/>
      <c r="S2336" s="227" t="n"/>
      <c r="T2336" s="227" t="n"/>
    </row>
    <row r="2337">
      <c r="A2337" s="145">
        <f>IF($B2337="","",ROW()-5)</f>
        <v/>
      </c>
      <c r="B2337" s="127" t="n"/>
      <c r="C2337" s="223" t="n"/>
      <c r="D2337" s="127" t="n"/>
      <c r="E2337" s="227" t="n"/>
      <c r="F2337" s="227" t="n"/>
      <c r="G2337" s="227" t="n"/>
      <c r="H2337" s="227" t="n"/>
      <c r="I2337" s="227" t="n"/>
      <c r="J2337" s="227" t="n"/>
      <c r="K2337" s="227" t="n"/>
      <c r="L2337" s="227" t="n"/>
      <c r="M2337" s="227" t="n"/>
      <c r="N2337" s="127" t="n"/>
      <c r="O2337" s="227" t="n"/>
      <c r="P2337" s="227" t="n"/>
      <c r="Q2337" s="227" t="n"/>
      <c r="R2337" s="227" t="n"/>
      <c r="S2337" s="227" t="n"/>
      <c r="T2337" s="227" t="n"/>
    </row>
    <row r="2338">
      <c r="A2338" s="145">
        <f>IF($B2338="","",ROW()-5)</f>
        <v/>
      </c>
      <c r="B2338" s="127" t="n"/>
      <c r="C2338" s="223" t="n"/>
      <c r="D2338" s="127" t="n"/>
      <c r="E2338" s="227" t="n"/>
      <c r="F2338" s="227" t="n"/>
      <c r="G2338" s="227" t="n"/>
      <c r="H2338" s="227" t="n"/>
      <c r="I2338" s="227" t="n"/>
      <c r="J2338" s="227" t="n"/>
      <c r="K2338" s="227" t="n"/>
      <c r="L2338" s="227" t="n"/>
      <c r="M2338" s="227" t="n"/>
      <c r="N2338" s="127" t="n"/>
      <c r="O2338" s="227" t="n"/>
      <c r="P2338" s="227" t="n"/>
      <c r="Q2338" s="227" t="n"/>
      <c r="R2338" s="227" t="n"/>
      <c r="S2338" s="227" t="n"/>
      <c r="T2338" s="227" t="n"/>
    </row>
    <row r="2339">
      <c r="A2339" s="145">
        <f>IF($B2339="","",ROW()-5)</f>
        <v/>
      </c>
      <c r="B2339" s="127" t="n"/>
      <c r="C2339" s="223" t="n"/>
      <c r="D2339" s="127" t="n"/>
      <c r="E2339" s="227" t="n"/>
      <c r="F2339" s="227" t="n"/>
      <c r="G2339" s="227" t="n"/>
      <c r="H2339" s="227" t="n"/>
      <c r="I2339" s="227" t="n"/>
      <c r="J2339" s="227" t="n"/>
      <c r="K2339" s="227" t="n"/>
      <c r="L2339" s="227" t="n"/>
      <c r="M2339" s="227" t="n"/>
      <c r="N2339" s="127" t="n"/>
      <c r="O2339" s="227" t="n"/>
      <c r="P2339" s="227" t="n"/>
      <c r="Q2339" s="227" t="n"/>
      <c r="R2339" s="227" t="n"/>
      <c r="S2339" s="227" t="n"/>
      <c r="T2339" s="227" t="n"/>
    </row>
    <row r="2340">
      <c r="A2340" s="145">
        <f>IF($B2340="","",ROW()-5)</f>
        <v/>
      </c>
      <c r="B2340" s="127" t="n"/>
      <c r="C2340" s="223" t="n"/>
      <c r="D2340" s="127" t="n"/>
      <c r="E2340" s="227" t="n"/>
      <c r="F2340" s="227" t="n"/>
      <c r="G2340" s="227" t="n"/>
      <c r="H2340" s="227" t="n"/>
      <c r="I2340" s="227" t="n"/>
      <c r="J2340" s="227" t="n"/>
      <c r="K2340" s="227" t="n"/>
      <c r="L2340" s="227" t="n"/>
      <c r="M2340" s="227" t="n"/>
      <c r="N2340" s="127" t="n"/>
      <c r="O2340" s="227" t="n"/>
      <c r="P2340" s="227" t="n"/>
      <c r="Q2340" s="227" t="n"/>
      <c r="R2340" s="227" t="n"/>
      <c r="S2340" s="227" t="n"/>
      <c r="T2340" s="227" t="n"/>
    </row>
    <row r="2341">
      <c r="A2341" s="145">
        <f>IF($B2341="","",ROW()-5)</f>
        <v/>
      </c>
      <c r="B2341" s="127" t="n"/>
      <c r="C2341" s="223" t="n"/>
      <c r="D2341" s="127" t="n"/>
      <c r="E2341" s="227" t="n"/>
      <c r="F2341" s="227" t="n"/>
      <c r="G2341" s="227" t="n"/>
      <c r="H2341" s="227" t="n"/>
      <c r="I2341" s="227" t="n"/>
      <c r="J2341" s="227" t="n"/>
      <c r="K2341" s="227" t="n"/>
      <c r="L2341" s="227" t="n"/>
      <c r="M2341" s="227" t="n"/>
      <c r="N2341" s="127" t="n"/>
      <c r="O2341" s="227" t="n"/>
      <c r="P2341" s="227" t="n"/>
      <c r="Q2341" s="227" t="n"/>
      <c r="R2341" s="227" t="n"/>
      <c r="S2341" s="227" t="n"/>
      <c r="T2341" s="227" t="n"/>
    </row>
    <row r="2342">
      <c r="A2342" s="145">
        <f>IF($B2342="","",ROW()-5)</f>
        <v/>
      </c>
      <c r="B2342" s="127" t="n"/>
      <c r="C2342" s="223" t="n"/>
      <c r="D2342" s="127" t="n"/>
      <c r="E2342" s="227" t="n"/>
      <c r="F2342" s="227" t="n"/>
      <c r="G2342" s="227" t="n"/>
      <c r="H2342" s="227" t="n"/>
      <c r="I2342" s="227" t="n"/>
      <c r="J2342" s="227" t="n"/>
      <c r="K2342" s="227" t="n"/>
      <c r="L2342" s="227" t="n"/>
      <c r="M2342" s="227" t="n"/>
      <c r="N2342" s="127" t="n"/>
      <c r="O2342" s="227" t="n"/>
      <c r="P2342" s="227" t="n"/>
      <c r="Q2342" s="227" t="n"/>
      <c r="R2342" s="227" t="n"/>
      <c r="S2342" s="227" t="n"/>
      <c r="T2342" s="227" t="n"/>
    </row>
    <row r="2343">
      <c r="A2343" s="145">
        <f>IF($B2343="","",ROW()-5)</f>
        <v/>
      </c>
      <c r="B2343" s="127" t="n"/>
      <c r="C2343" s="223" t="n"/>
      <c r="D2343" s="127" t="n"/>
      <c r="E2343" s="227" t="n"/>
      <c r="F2343" s="227" t="n"/>
      <c r="G2343" s="227" t="n"/>
      <c r="H2343" s="227" t="n"/>
      <c r="I2343" s="227" t="n"/>
      <c r="J2343" s="227" t="n"/>
      <c r="K2343" s="227" t="n"/>
      <c r="L2343" s="227" t="n"/>
      <c r="M2343" s="227" t="n"/>
      <c r="N2343" s="127" t="n"/>
      <c r="O2343" s="227" t="n"/>
      <c r="P2343" s="227" t="n"/>
      <c r="Q2343" s="227" t="n"/>
      <c r="R2343" s="227" t="n"/>
      <c r="S2343" s="227" t="n"/>
      <c r="T2343" s="227" t="n"/>
    </row>
    <row r="2344">
      <c r="A2344" s="145">
        <f>IF($B2344="","",ROW()-5)</f>
        <v/>
      </c>
      <c r="B2344" s="127" t="n"/>
      <c r="C2344" s="223" t="n"/>
      <c r="D2344" s="127" t="n"/>
      <c r="E2344" s="227" t="n"/>
      <c r="F2344" s="227" t="n"/>
      <c r="G2344" s="227" t="n"/>
      <c r="H2344" s="227" t="n"/>
      <c r="I2344" s="227" t="n"/>
      <c r="J2344" s="227" t="n"/>
      <c r="K2344" s="227" t="n"/>
      <c r="L2344" s="227" t="n"/>
      <c r="M2344" s="227" t="n"/>
      <c r="N2344" s="127" t="n"/>
      <c r="O2344" s="227" t="n"/>
      <c r="P2344" s="227" t="n"/>
      <c r="Q2344" s="227" t="n"/>
      <c r="R2344" s="227" t="n"/>
      <c r="S2344" s="227" t="n"/>
      <c r="T2344" s="227" t="n"/>
    </row>
    <row r="2345">
      <c r="A2345" s="145">
        <f>IF($B2345="","",ROW()-5)</f>
        <v/>
      </c>
      <c r="B2345" s="127" t="n"/>
      <c r="C2345" s="223" t="n"/>
      <c r="D2345" s="127" t="n"/>
      <c r="E2345" s="227" t="n"/>
      <c r="F2345" s="227" t="n"/>
      <c r="G2345" s="227" t="n"/>
      <c r="H2345" s="227" t="n"/>
      <c r="I2345" s="227" t="n"/>
      <c r="J2345" s="227" t="n"/>
      <c r="K2345" s="227" t="n"/>
      <c r="L2345" s="227" t="n"/>
      <c r="M2345" s="227" t="n"/>
      <c r="N2345" s="127" t="n"/>
      <c r="O2345" s="227" t="n"/>
      <c r="P2345" s="227" t="n"/>
      <c r="Q2345" s="227" t="n"/>
      <c r="R2345" s="227" t="n"/>
      <c r="S2345" s="227" t="n"/>
      <c r="T2345" s="227" t="n"/>
    </row>
    <row r="2346">
      <c r="A2346" s="145">
        <f>IF($B2346="","",ROW()-5)</f>
        <v/>
      </c>
      <c r="B2346" s="127" t="n"/>
      <c r="C2346" s="223" t="n"/>
      <c r="D2346" s="127" t="n"/>
      <c r="E2346" s="227" t="n"/>
      <c r="F2346" s="227" t="n"/>
      <c r="G2346" s="227" t="n"/>
      <c r="H2346" s="227" t="n"/>
      <c r="I2346" s="227" t="n"/>
      <c r="J2346" s="227" t="n"/>
      <c r="K2346" s="227" t="n"/>
      <c r="L2346" s="227" t="n"/>
      <c r="M2346" s="227" t="n"/>
      <c r="N2346" s="127" t="n"/>
      <c r="O2346" s="227" t="n"/>
      <c r="P2346" s="227" t="n"/>
      <c r="Q2346" s="227" t="n"/>
      <c r="R2346" s="227" t="n"/>
      <c r="S2346" s="227" t="n"/>
      <c r="T2346" s="227" t="n"/>
    </row>
    <row r="2347">
      <c r="A2347" s="145">
        <f>IF($B2347="","",ROW()-5)</f>
        <v/>
      </c>
      <c r="B2347" s="127" t="n"/>
      <c r="C2347" s="223" t="n"/>
      <c r="D2347" s="127" t="n"/>
      <c r="E2347" s="227" t="n"/>
      <c r="F2347" s="227" t="n"/>
      <c r="G2347" s="227" t="n"/>
      <c r="H2347" s="227" t="n"/>
      <c r="I2347" s="227" t="n"/>
      <c r="J2347" s="227" t="n"/>
      <c r="K2347" s="227" t="n"/>
      <c r="L2347" s="227" t="n"/>
      <c r="M2347" s="227" t="n"/>
      <c r="N2347" s="127" t="n"/>
      <c r="O2347" s="227" t="n"/>
      <c r="P2347" s="227" t="n"/>
      <c r="Q2347" s="227" t="n"/>
      <c r="R2347" s="227" t="n"/>
      <c r="S2347" s="227" t="n"/>
      <c r="T2347" s="227" t="n"/>
    </row>
    <row r="2348">
      <c r="A2348" s="145">
        <f>IF($B2348="","",ROW()-5)</f>
        <v/>
      </c>
      <c r="B2348" s="127" t="n"/>
      <c r="C2348" s="223" t="n"/>
      <c r="D2348" s="127" t="n"/>
      <c r="E2348" s="227" t="n"/>
      <c r="F2348" s="227" t="n"/>
      <c r="G2348" s="227" t="n"/>
      <c r="H2348" s="227" t="n"/>
      <c r="I2348" s="227" t="n"/>
      <c r="J2348" s="227" t="n"/>
      <c r="K2348" s="227" t="n"/>
      <c r="L2348" s="227" t="n"/>
      <c r="M2348" s="227" t="n"/>
      <c r="N2348" s="127" t="n"/>
      <c r="O2348" s="227" t="n"/>
      <c r="P2348" s="227" t="n"/>
      <c r="Q2348" s="227" t="n"/>
      <c r="R2348" s="227" t="n"/>
      <c r="S2348" s="227" t="n"/>
      <c r="T2348" s="227" t="n"/>
    </row>
    <row r="2349">
      <c r="A2349" s="145">
        <f>IF($B2349="","",ROW()-5)</f>
        <v/>
      </c>
      <c r="B2349" s="127" t="n"/>
      <c r="C2349" s="223" t="n"/>
      <c r="D2349" s="127" t="n"/>
      <c r="E2349" s="227" t="n"/>
      <c r="F2349" s="227" t="n"/>
      <c r="G2349" s="227" t="n"/>
      <c r="H2349" s="227" t="n"/>
      <c r="I2349" s="227" t="n"/>
      <c r="J2349" s="227" t="n"/>
      <c r="K2349" s="227" t="n"/>
      <c r="L2349" s="227" t="n"/>
      <c r="M2349" s="227" t="n"/>
      <c r="N2349" s="127" t="n"/>
      <c r="O2349" s="227" t="n"/>
      <c r="P2349" s="227" t="n"/>
      <c r="Q2349" s="227" t="n"/>
      <c r="R2349" s="227" t="n"/>
      <c r="S2349" s="227" t="n"/>
      <c r="T2349" s="227" t="n"/>
    </row>
    <row r="2350">
      <c r="A2350" s="145">
        <f>IF($B2350="","",ROW()-5)</f>
        <v/>
      </c>
      <c r="B2350" s="127" t="n"/>
      <c r="C2350" s="223" t="n"/>
      <c r="D2350" s="127" t="n"/>
      <c r="E2350" s="227" t="n"/>
      <c r="F2350" s="227" t="n"/>
      <c r="G2350" s="227" t="n"/>
      <c r="H2350" s="227" t="n"/>
      <c r="I2350" s="227" t="n"/>
      <c r="J2350" s="227" t="n"/>
      <c r="K2350" s="227" t="n"/>
      <c r="L2350" s="227" t="n"/>
      <c r="M2350" s="227" t="n"/>
      <c r="N2350" s="127" t="n"/>
      <c r="O2350" s="227" t="n"/>
      <c r="P2350" s="227" t="n"/>
      <c r="Q2350" s="227" t="n"/>
      <c r="R2350" s="227" t="n"/>
      <c r="S2350" s="227" t="n"/>
      <c r="T2350" s="227" t="n"/>
    </row>
    <row r="2351">
      <c r="A2351" s="145">
        <f>IF($B2351="","",ROW()-5)</f>
        <v/>
      </c>
      <c r="B2351" s="127" t="n"/>
      <c r="C2351" s="223" t="n"/>
      <c r="D2351" s="127" t="n"/>
      <c r="E2351" s="227" t="n"/>
      <c r="F2351" s="227" t="n"/>
      <c r="G2351" s="227" t="n"/>
      <c r="H2351" s="227" t="n"/>
      <c r="I2351" s="227" t="n"/>
      <c r="J2351" s="227" t="n"/>
      <c r="K2351" s="227" t="n"/>
      <c r="L2351" s="227" t="n"/>
      <c r="M2351" s="227" t="n"/>
      <c r="N2351" s="127" t="n"/>
      <c r="O2351" s="227" t="n"/>
      <c r="P2351" s="227" t="n"/>
      <c r="Q2351" s="227" t="n"/>
      <c r="R2351" s="227" t="n"/>
      <c r="S2351" s="227" t="n"/>
      <c r="T2351" s="227" t="n"/>
    </row>
    <row r="2352">
      <c r="A2352" s="145">
        <f>IF($B2352="","",ROW()-5)</f>
        <v/>
      </c>
      <c r="B2352" s="127" t="n"/>
      <c r="C2352" s="223" t="n"/>
      <c r="D2352" s="127" t="n"/>
      <c r="E2352" s="227" t="n"/>
      <c r="F2352" s="227" t="n"/>
      <c r="G2352" s="227" t="n"/>
      <c r="H2352" s="227" t="n"/>
      <c r="I2352" s="227" t="n"/>
      <c r="J2352" s="227" t="n"/>
      <c r="K2352" s="227" t="n"/>
      <c r="L2352" s="227" t="n"/>
      <c r="M2352" s="227" t="n"/>
      <c r="N2352" s="127" t="n"/>
      <c r="O2352" s="227" t="n"/>
      <c r="P2352" s="227" t="n"/>
      <c r="Q2352" s="227" t="n"/>
      <c r="R2352" s="227" t="n"/>
      <c r="S2352" s="227" t="n"/>
      <c r="T2352" s="227" t="n"/>
    </row>
    <row r="2353">
      <c r="A2353" s="145">
        <f>IF($B2353="","",ROW()-5)</f>
        <v/>
      </c>
      <c r="B2353" s="127" t="n"/>
      <c r="C2353" s="223" t="n"/>
      <c r="D2353" s="127" t="n"/>
      <c r="E2353" s="227" t="n"/>
      <c r="F2353" s="227" t="n"/>
      <c r="G2353" s="227" t="n"/>
      <c r="H2353" s="227" t="n"/>
      <c r="I2353" s="227" t="n"/>
      <c r="J2353" s="227" t="n"/>
      <c r="K2353" s="227" t="n"/>
      <c r="L2353" s="227" t="n"/>
      <c r="M2353" s="227" t="n"/>
      <c r="N2353" s="127" t="n"/>
      <c r="O2353" s="227" t="n"/>
      <c r="P2353" s="227" t="n"/>
      <c r="Q2353" s="227" t="n"/>
      <c r="R2353" s="227" t="n"/>
      <c r="S2353" s="227" t="n"/>
      <c r="T2353" s="227" t="n"/>
    </row>
    <row r="2354">
      <c r="A2354" s="145">
        <f>IF($B2354="","",ROW()-5)</f>
        <v/>
      </c>
      <c r="B2354" s="127" t="n"/>
      <c r="C2354" s="223" t="n"/>
      <c r="D2354" s="127" t="n"/>
      <c r="E2354" s="227" t="n"/>
      <c r="F2354" s="227" t="n"/>
      <c r="G2354" s="227" t="n"/>
      <c r="H2354" s="227" t="n"/>
      <c r="I2354" s="227" t="n"/>
      <c r="J2354" s="227" t="n"/>
      <c r="K2354" s="227" t="n"/>
      <c r="L2354" s="227" t="n"/>
      <c r="M2354" s="227" t="n"/>
      <c r="N2354" s="127" t="n"/>
      <c r="O2354" s="227" t="n"/>
      <c r="P2354" s="227" t="n"/>
      <c r="Q2354" s="227" t="n"/>
      <c r="R2354" s="227" t="n"/>
      <c r="S2354" s="227" t="n"/>
      <c r="T2354" s="227" t="n"/>
    </row>
    <row r="2355">
      <c r="A2355" s="145">
        <f>IF($B2355="","",ROW()-5)</f>
        <v/>
      </c>
      <c r="B2355" s="127" t="n"/>
      <c r="C2355" s="223" t="n"/>
      <c r="D2355" s="127" t="n"/>
      <c r="E2355" s="227" t="n"/>
      <c r="F2355" s="227" t="n"/>
      <c r="G2355" s="227" t="n"/>
      <c r="H2355" s="227" t="n"/>
      <c r="I2355" s="227" t="n"/>
      <c r="J2355" s="227" t="n"/>
      <c r="K2355" s="227" t="n"/>
      <c r="L2355" s="227" t="n"/>
      <c r="M2355" s="227" t="n"/>
      <c r="N2355" s="127" t="n"/>
      <c r="O2355" s="227" t="n"/>
      <c r="P2355" s="227" t="n"/>
      <c r="Q2355" s="227" t="n"/>
      <c r="R2355" s="227" t="n"/>
      <c r="S2355" s="227" t="n"/>
      <c r="T2355" s="227" t="n"/>
    </row>
    <row r="2356">
      <c r="A2356" s="145">
        <f>IF($B2356="","",ROW()-5)</f>
        <v/>
      </c>
      <c r="B2356" s="127" t="n"/>
      <c r="C2356" s="223" t="n"/>
      <c r="D2356" s="127" t="n"/>
      <c r="E2356" s="227" t="n"/>
      <c r="F2356" s="227" t="n"/>
      <c r="G2356" s="227" t="n"/>
      <c r="H2356" s="227" t="n"/>
      <c r="I2356" s="227" t="n"/>
      <c r="J2356" s="227" t="n"/>
      <c r="K2356" s="227" t="n"/>
      <c r="L2356" s="227" t="n"/>
      <c r="M2356" s="227" t="n"/>
      <c r="N2356" s="127" t="n"/>
      <c r="O2356" s="227" t="n"/>
      <c r="P2356" s="227" t="n"/>
      <c r="Q2356" s="227" t="n"/>
      <c r="R2356" s="227" t="n"/>
      <c r="S2356" s="227" t="n"/>
      <c r="T2356" s="227" t="n"/>
    </row>
    <row r="2357">
      <c r="A2357" s="145">
        <f>IF($B2357="","",ROW()-5)</f>
        <v/>
      </c>
      <c r="B2357" s="127" t="n"/>
      <c r="C2357" s="223" t="n"/>
      <c r="D2357" s="127" t="n"/>
      <c r="E2357" s="227" t="n"/>
      <c r="F2357" s="227" t="n"/>
      <c r="G2357" s="227" t="n"/>
      <c r="H2357" s="227" t="n"/>
      <c r="I2357" s="227" t="n"/>
      <c r="J2357" s="227" t="n"/>
      <c r="K2357" s="227" t="n"/>
      <c r="L2357" s="227" t="n"/>
      <c r="M2357" s="227" t="n"/>
      <c r="N2357" s="127" t="n"/>
      <c r="O2357" s="227" t="n"/>
      <c r="P2357" s="227" t="n"/>
      <c r="Q2357" s="227" t="n"/>
      <c r="R2357" s="227" t="n"/>
      <c r="S2357" s="227" t="n"/>
      <c r="T2357" s="227" t="n"/>
    </row>
    <row r="2358">
      <c r="A2358" s="145">
        <f>IF($B2358="","",ROW()-5)</f>
        <v/>
      </c>
      <c r="B2358" s="127" t="n"/>
      <c r="C2358" s="223" t="n"/>
      <c r="D2358" s="127" t="n"/>
      <c r="E2358" s="227" t="n"/>
      <c r="F2358" s="227" t="n"/>
      <c r="G2358" s="227" t="n"/>
      <c r="H2358" s="227" t="n"/>
      <c r="I2358" s="227" t="n"/>
      <c r="J2358" s="227" t="n"/>
      <c r="K2358" s="227" t="n"/>
      <c r="L2358" s="227" t="n"/>
      <c r="M2358" s="227" t="n"/>
      <c r="N2358" s="127" t="n"/>
      <c r="O2358" s="227" t="n"/>
      <c r="P2358" s="227" t="n"/>
      <c r="Q2358" s="227" t="n"/>
      <c r="R2358" s="227" t="n"/>
      <c r="S2358" s="227" t="n"/>
      <c r="T2358" s="227" t="n"/>
    </row>
    <row r="2359">
      <c r="A2359" s="145">
        <f>IF($B2359="","",ROW()-5)</f>
        <v/>
      </c>
      <c r="B2359" s="127" t="n"/>
      <c r="C2359" s="223" t="n"/>
      <c r="D2359" s="127" t="n"/>
      <c r="E2359" s="227" t="n"/>
      <c r="F2359" s="227" t="n"/>
      <c r="G2359" s="227" t="n"/>
      <c r="H2359" s="227" t="n"/>
      <c r="I2359" s="227" t="n"/>
      <c r="J2359" s="227" t="n"/>
      <c r="K2359" s="227" t="n"/>
      <c r="L2359" s="227" t="n"/>
      <c r="M2359" s="227" t="n"/>
      <c r="N2359" s="127" t="n"/>
      <c r="O2359" s="227" t="n"/>
      <c r="P2359" s="227" t="n"/>
      <c r="Q2359" s="227" t="n"/>
      <c r="R2359" s="227" t="n"/>
      <c r="S2359" s="227" t="n"/>
      <c r="T2359" s="227" t="n"/>
    </row>
    <row r="2360">
      <c r="A2360" s="145">
        <f>IF($B2360="","",ROW()-5)</f>
        <v/>
      </c>
      <c r="B2360" s="127" t="n"/>
      <c r="C2360" s="223" t="n"/>
      <c r="D2360" s="127" t="n"/>
      <c r="E2360" s="227" t="n"/>
      <c r="F2360" s="227" t="n"/>
      <c r="G2360" s="227" t="n"/>
      <c r="H2360" s="227" t="n"/>
      <c r="I2360" s="227" t="n"/>
      <c r="J2360" s="227" t="n"/>
      <c r="K2360" s="227" t="n"/>
      <c r="L2360" s="227" t="n"/>
      <c r="M2360" s="227" t="n"/>
      <c r="N2360" s="127" t="n"/>
      <c r="O2360" s="227" t="n"/>
      <c r="P2360" s="227" t="n"/>
      <c r="Q2360" s="227" t="n"/>
      <c r="R2360" s="227" t="n"/>
      <c r="S2360" s="227" t="n"/>
      <c r="T2360" s="227" t="n"/>
    </row>
    <row r="2361">
      <c r="A2361" s="145">
        <f>IF($B2361="","",ROW()-5)</f>
        <v/>
      </c>
      <c r="B2361" s="127" t="n"/>
      <c r="C2361" s="223" t="n"/>
      <c r="D2361" s="127" t="n"/>
      <c r="E2361" s="227" t="n"/>
      <c r="F2361" s="227" t="n"/>
      <c r="G2361" s="227" t="n"/>
      <c r="H2361" s="227" t="n"/>
      <c r="I2361" s="227" t="n"/>
      <c r="J2361" s="227" t="n"/>
      <c r="K2361" s="227" t="n"/>
      <c r="L2361" s="227" t="n"/>
      <c r="M2361" s="227" t="n"/>
      <c r="N2361" s="127" t="n"/>
      <c r="O2361" s="227" t="n"/>
      <c r="P2361" s="227" t="n"/>
      <c r="Q2361" s="227" t="n"/>
      <c r="R2361" s="227" t="n"/>
      <c r="S2361" s="227" t="n"/>
      <c r="T2361" s="227" t="n"/>
    </row>
    <row r="2362">
      <c r="A2362" s="145">
        <f>IF($B2362="","",ROW()-5)</f>
        <v/>
      </c>
      <c r="B2362" s="127" t="n"/>
      <c r="C2362" s="223" t="n"/>
      <c r="D2362" s="127" t="n"/>
      <c r="E2362" s="227" t="n"/>
      <c r="F2362" s="227" t="n"/>
      <c r="G2362" s="227" t="n"/>
      <c r="H2362" s="227" t="n"/>
      <c r="I2362" s="227" t="n"/>
      <c r="J2362" s="227" t="n"/>
      <c r="K2362" s="227" t="n"/>
      <c r="L2362" s="227" t="n"/>
      <c r="M2362" s="227" t="n"/>
      <c r="N2362" s="127" t="n"/>
      <c r="O2362" s="227" t="n"/>
      <c r="P2362" s="227" t="n"/>
      <c r="Q2362" s="227" t="n"/>
      <c r="R2362" s="227" t="n"/>
      <c r="S2362" s="227" t="n"/>
      <c r="T2362" s="227" t="n"/>
    </row>
    <row r="2363">
      <c r="A2363" s="145">
        <f>IF($B2363="","",ROW()-5)</f>
        <v/>
      </c>
      <c r="B2363" s="127" t="n"/>
      <c r="C2363" s="223" t="n"/>
      <c r="D2363" s="127" t="n"/>
      <c r="E2363" s="227" t="n"/>
      <c r="F2363" s="227" t="n"/>
      <c r="G2363" s="227" t="n"/>
      <c r="H2363" s="227" t="n"/>
      <c r="I2363" s="227" t="n"/>
      <c r="J2363" s="227" t="n"/>
      <c r="K2363" s="227" t="n"/>
      <c r="L2363" s="227" t="n"/>
      <c r="M2363" s="227" t="n"/>
      <c r="N2363" s="127" t="n"/>
      <c r="O2363" s="227" t="n"/>
      <c r="P2363" s="227" t="n"/>
      <c r="Q2363" s="227" t="n"/>
      <c r="R2363" s="227" t="n"/>
      <c r="S2363" s="227" t="n"/>
      <c r="T2363" s="227" t="n"/>
    </row>
    <row r="2364">
      <c r="A2364" s="145">
        <f>IF($B2364="","",ROW()-5)</f>
        <v/>
      </c>
      <c r="B2364" s="127" t="n"/>
      <c r="C2364" s="223" t="n"/>
      <c r="D2364" s="127" t="n"/>
      <c r="E2364" s="227" t="n"/>
      <c r="F2364" s="227" t="n"/>
      <c r="G2364" s="227" t="n"/>
      <c r="H2364" s="227" t="n"/>
      <c r="I2364" s="227" t="n"/>
      <c r="J2364" s="227" t="n"/>
      <c r="K2364" s="227" t="n"/>
      <c r="L2364" s="227" t="n"/>
      <c r="M2364" s="227" t="n"/>
      <c r="N2364" s="127" t="n"/>
      <c r="O2364" s="227" t="n"/>
      <c r="P2364" s="227" t="n"/>
      <c r="Q2364" s="227" t="n"/>
      <c r="R2364" s="227" t="n"/>
      <c r="S2364" s="227" t="n"/>
      <c r="T2364" s="227" t="n"/>
    </row>
    <row r="2365">
      <c r="A2365" s="145">
        <f>IF($B2365="","",ROW()-5)</f>
        <v/>
      </c>
      <c r="B2365" s="127" t="n"/>
      <c r="C2365" s="223" t="n"/>
      <c r="D2365" s="127" t="n"/>
      <c r="E2365" s="227" t="n"/>
      <c r="F2365" s="227" t="n"/>
      <c r="G2365" s="227" t="n"/>
      <c r="H2365" s="227" t="n"/>
      <c r="I2365" s="227" t="n"/>
      <c r="J2365" s="227" t="n"/>
      <c r="K2365" s="227" t="n"/>
      <c r="L2365" s="227" t="n"/>
      <c r="M2365" s="227" t="n"/>
      <c r="N2365" s="127" t="n"/>
      <c r="O2365" s="227" t="n"/>
      <c r="P2365" s="227" t="n"/>
      <c r="Q2365" s="227" t="n"/>
      <c r="R2365" s="227" t="n"/>
      <c r="S2365" s="227" t="n"/>
      <c r="T2365" s="227" t="n"/>
    </row>
    <row r="2366">
      <c r="A2366" s="145">
        <f>IF($B2366="","",ROW()-5)</f>
        <v/>
      </c>
      <c r="B2366" s="127" t="n"/>
      <c r="C2366" s="223" t="n"/>
      <c r="D2366" s="127" t="n"/>
      <c r="E2366" s="227" t="n"/>
      <c r="F2366" s="227" t="n"/>
      <c r="G2366" s="227" t="n"/>
      <c r="H2366" s="227" t="n"/>
      <c r="I2366" s="227" t="n"/>
      <c r="J2366" s="227" t="n"/>
      <c r="K2366" s="227" t="n"/>
      <c r="L2366" s="227" t="n"/>
      <c r="M2366" s="227" t="n"/>
      <c r="N2366" s="127" t="n"/>
      <c r="O2366" s="227" t="n"/>
      <c r="P2366" s="227" t="n"/>
      <c r="Q2366" s="227" t="n"/>
      <c r="R2366" s="227" t="n"/>
      <c r="S2366" s="227" t="n"/>
      <c r="T2366" s="227" t="n"/>
    </row>
    <row r="2367">
      <c r="A2367" s="145">
        <f>IF($B2367="","",ROW()-5)</f>
        <v/>
      </c>
      <c r="B2367" s="127" t="n"/>
      <c r="C2367" s="223" t="n"/>
      <c r="D2367" s="127" t="n"/>
      <c r="E2367" s="227" t="n"/>
      <c r="F2367" s="227" t="n"/>
      <c r="G2367" s="227" t="n"/>
      <c r="H2367" s="227" t="n"/>
      <c r="I2367" s="227" t="n"/>
      <c r="J2367" s="227" t="n"/>
      <c r="K2367" s="227" t="n"/>
      <c r="L2367" s="227" t="n"/>
      <c r="M2367" s="227" t="n"/>
      <c r="N2367" s="127" t="n"/>
      <c r="O2367" s="227" t="n"/>
      <c r="P2367" s="227" t="n"/>
      <c r="Q2367" s="227" t="n"/>
      <c r="R2367" s="227" t="n"/>
      <c r="S2367" s="227" t="n"/>
      <c r="T2367" s="227" t="n"/>
    </row>
    <row r="2368">
      <c r="A2368" s="145">
        <f>IF($B2368="","",ROW()-5)</f>
        <v/>
      </c>
      <c r="B2368" s="127" t="n"/>
      <c r="C2368" s="223" t="n"/>
      <c r="D2368" s="127" t="n"/>
      <c r="E2368" s="227" t="n"/>
      <c r="F2368" s="227" t="n"/>
      <c r="G2368" s="227" t="n"/>
      <c r="H2368" s="227" t="n"/>
      <c r="I2368" s="227" t="n"/>
      <c r="J2368" s="227" t="n"/>
      <c r="K2368" s="227" t="n"/>
      <c r="L2368" s="227" t="n"/>
      <c r="M2368" s="227" t="n"/>
      <c r="N2368" s="127" t="n"/>
      <c r="O2368" s="227" t="n"/>
      <c r="P2368" s="227" t="n"/>
      <c r="Q2368" s="227" t="n"/>
      <c r="R2368" s="227" t="n"/>
      <c r="S2368" s="227" t="n"/>
      <c r="T2368" s="227" t="n"/>
    </row>
    <row r="2369">
      <c r="A2369" s="145">
        <f>IF($B2369="","",ROW()-5)</f>
        <v/>
      </c>
      <c r="B2369" s="127" t="n"/>
      <c r="C2369" s="223" t="n"/>
      <c r="D2369" s="127" t="n"/>
      <c r="E2369" s="227" t="n"/>
      <c r="F2369" s="227" t="n"/>
      <c r="G2369" s="227" t="n"/>
      <c r="H2369" s="227" t="n"/>
      <c r="I2369" s="227" t="n"/>
      <c r="J2369" s="227" t="n"/>
      <c r="K2369" s="227" t="n"/>
      <c r="L2369" s="227" t="n"/>
      <c r="M2369" s="227" t="n"/>
      <c r="N2369" s="127" t="n"/>
      <c r="O2369" s="227" t="n"/>
      <c r="P2369" s="227" t="n"/>
      <c r="Q2369" s="227" t="n"/>
      <c r="R2369" s="227" t="n"/>
      <c r="S2369" s="227" t="n"/>
      <c r="T2369" s="227" t="n"/>
    </row>
    <row r="2370">
      <c r="A2370" s="145">
        <f>IF($B2370="","",ROW()-5)</f>
        <v/>
      </c>
      <c r="B2370" s="127" t="n"/>
      <c r="C2370" s="223" t="n"/>
      <c r="D2370" s="127" t="n"/>
      <c r="E2370" s="227" t="n"/>
      <c r="F2370" s="227" t="n"/>
      <c r="G2370" s="227" t="n"/>
      <c r="H2370" s="227" t="n"/>
      <c r="I2370" s="227" t="n"/>
      <c r="J2370" s="227" t="n"/>
      <c r="K2370" s="227" t="n"/>
      <c r="L2370" s="227" t="n"/>
      <c r="M2370" s="227" t="n"/>
      <c r="N2370" s="127" t="n"/>
      <c r="O2370" s="227" t="n"/>
      <c r="P2370" s="227" t="n"/>
      <c r="Q2370" s="227" t="n"/>
      <c r="R2370" s="227" t="n"/>
      <c r="S2370" s="227" t="n"/>
      <c r="T2370" s="227" t="n"/>
    </row>
    <row r="2371">
      <c r="A2371" s="145">
        <f>IF($B2371="","",ROW()-5)</f>
        <v/>
      </c>
      <c r="B2371" s="127" t="n"/>
      <c r="C2371" s="223" t="n"/>
      <c r="D2371" s="127" t="n"/>
      <c r="E2371" s="227" t="n"/>
      <c r="F2371" s="227" t="n"/>
      <c r="G2371" s="227" t="n"/>
      <c r="H2371" s="227" t="n"/>
      <c r="I2371" s="227" t="n"/>
      <c r="J2371" s="227" t="n"/>
      <c r="K2371" s="227" t="n"/>
      <c r="L2371" s="227" t="n"/>
      <c r="M2371" s="227" t="n"/>
      <c r="N2371" s="127" t="n"/>
      <c r="O2371" s="227" t="n"/>
      <c r="P2371" s="227" t="n"/>
      <c r="Q2371" s="227" t="n"/>
      <c r="R2371" s="227" t="n"/>
      <c r="S2371" s="227" t="n"/>
      <c r="T2371" s="227" t="n"/>
    </row>
    <row r="2372">
      <c r="A2372" s="145">
        <f>IF($B2372="","",ROW()-5)</f>
        <v/>
      </c>
      <c r="B2372" s="127" t="n"/>
      <c r="C2372" s="223" t="n"/>
      <c r="D2372" s="127" t="n"/>
      <c r="E2372" s="227" t="n"/>
      <c r="F2372" s="227" t="n"/>
      <c r="G2372" s="227" t="n"/>
      <c r="H2372" s="227" t="n"/>
      <c r="I2372" s="227" t="n"/>
      <c r="J2372" s="227" t="n"/>
      <c r="K2372" s="227" t="n"/>
      <c r="L2372" s="227" t="n"/>
      <c r="M2372" s="227" t="n"/>
      <c r="N2372" s="127" t="n"/>
      <c r="O2372" s="227" t="n"/>
      <c r="P2372" s="227" t="n"/>
      <c r="Q2372" s="227" t="n"/>
      <c r="R2372" s="227" t="n"/>
      <c r="S2372" s="227" t="n"/>
      <c r="T2372" s="227" t="n"/>
    </row>
    <row r="2373">
      <c r="A2373" s="145">
        <f>IF($B2373="","",ROW()-5)</f>
        <v/>
      </c>
      <c r="B2373" s="127" t="n"/>
      <c r="C2373" s="223" t="n"/>
      <c r="D2373" s="127" t="n"/>
      <c r="E2373" s="227" t="n"/>
      <c r="F2373" s="227" t="n"/>
      <c r="G2373" s="227" t="n"/>
      <c r="H2373" s="227" t="n"/>
      <c r="I2373" s="227" t="n"/>
      <c r="J2373" s="227" t="n"/>
      <c r="K2373" s="227" t="n"/>
      <c r="L2373" s="227" t="n"/>
      <c r="M2373" s="227" t="n"/>
      <c r="N2373" s="127" t="n"/>
      <c r="O2373" s="227" t="n"/>
      <c r="P2373" s="227" t="n"/>
      <c r="Q2373" s="227" t="n"/>
      <c r="R2373" s="227" t="n"/>
      <c r="S2373" s="227" t="n"/>
      <c r="T2373" s="227" t="n"/>
    </row>
    <row r="2374">
      <c r="A2374" s="145">
        <f>IF($B2374="","",ROW()-5)</f>
        <v/>
      </c>
      <c r="B2374" s="127" t="n"/>
      <c r="C2374" s="223" t="n"/>
      <c r="D2374" s="127" t="n"/>
      <c r="E2374" s="227" t="n"/>
      <c r="F2374" s="227" t="n"/>
      <c r="G2374" s="227" t="n"/>
      <c r="H2374" s="227" t="n"/>
      <c r="I2374" s="227" t="n"/>
      <c r="J2374" s="227" t="n"/>
      <c r="K2374" s="227" t="n"/>
      <c r="L2374" s="227" t="n"/>
      <c r="M2374" s="227" t="n"/>
      <c r="N2374" s="127" t="n"/>
      <c r="O2374" s="227" t="n"/>
      <c r="P2374" s="227" t="n"/>
      <c r="Q2374" s="227" t="n"/>
      <c r="R2374" s="227" t="n"/>
      <c r="S2374" s="227" t="n"/>
      <c r="T2374" s="227" t="n"/>
    </row>
    <row r="2375">
      <c r="A2375" s="145">
        <f>IF($B2375="","",ROW()-5)</f>
        <v/>
      </c>
      <c r="B2375" s="127" t="n"/>
      <c r="C2375" s="223" t="n"/>
      <c r="D2375" s="127" t="n"/>
      <c r="E2375" s="227" t="n"/>
      <c r="F2375" s="227" t="n"/>
      <c r="G2375" s="227" t="n"/>
      <c r="H2375" s="227" t="n"/>
      <c r="I2375" s="227" t="n"/>
      <c r="J2375" s="227" t="n"/>
      <c r="K2375" s="227" t="n"/>
      <c r="L2375" s="227" t="n"/>
      <c r="M2375" s="227" t="n"/>
      <c r="N2375" s="127" t="n"/>
      <c r="O2375" s="227" t="n"/>
      <c r="P2375" s="227" t="n"/>
      <c r="Q2375" s="227" t="n"/>
      <c r="R2375" s="227" t="n"/>
      <c r="S2375" s="227" t="n"/>
      <c r="T2375" s="227" t="n"/>
    </row>
    <row r="2376">
      <c r="A2376" s="145">
        <f>IF($B2376="","",ROW()-5)</f>
        <v/>
      </c>
      <c r="B2376" s="127" t="n"/>
      <c r="C2376" s="223" t="n"/>
      <c r="D2376" s="127" t="n"/>
      <c r="E2376" s="227" t="n"/>
      <c r="F2376" s="227" t="n"/>
      <c r="G2376" s="227" t="n"/>
      <c r="H2376" s="227" t="n"/>
      <c r="I2376" s="227" t="n"/>
      <c r="J2376" s="227" t="n"/>
      <c r="K2376" s="227" t="n"/>
      <c r="L2376" s="227" t="n"/>
      <c r="M2376" s="227" t="n"/>
      <c r="N2376" s="127" t="n"/>
      <c r="O2376" s="227" t="n"/>
      <c r="P2376" s="227" t="n"/>
      <c r="Q2376" s="227" t="n"/>
      <c r="R2376" s="227" t="n"/>
      <c r="S2376" s="227" t="n"/>
      <c r="T2376" s="227" t="n"/>
    </row>
    <row r="2377">
      <c r="A2377" s="145">
        <f>IF($B2377="","",ROW()-5)</f>
        <v/>
      </c>
      <c r="B2377" s="127" t="n"/>
      <c r="C2377" s="223" t="n"/>
      <c r="D2377" s="127" t="n"/>
      <c r="E2377" s="227" t="n"/>
      <c r="F2377" s="227" t="n"/>
      <c r="G2377" s="227" t="n"/>
      <c r="H2377" s="227" t="n"/>
      <c r="I2377" s="227" t="n"/>
      <c r="J2377" s="227" t="n"/>
      <c r="K2377" s="227" t="n"/>
      <c r="L2377" s="227" t="n"/>
      <c r="M2377" s="227" t="n"/>
      <c r="N2377" s="127" t="n"/>
      <c r="O2377" s="227" t="n"/>
      <c r="P2377" s="227" t="n"/>
      <c r="Q2377" s="227" t="n"/>
      <c r="R2377" s="227" t="n"/>
      <c r="S2377" s="227" t="n"/>
      <c r="T2377" s="227" t="n"/>
    </row>
    <row r="2378">
      <c r="A2378" s="145">
        <f>IF($B2378="","",ROW()-5)</f>
        <v/>
      </c>
      <c r="B2378" s="127" t="n"/>
      <c r="C2378" s="223" t="n"/>
      <c r="D2378" s="127" t="n"/>
      <c r="E2378" s="227" t="n"/>
      <c r="F2378" s="227" t="n"/>
      <c r="G2378" s="227" t="n"/>
      <c r="H2378" s="227" t="n"/>
      <c r="I2378" s="227" t="n"/>
      <c r="J2378" s="227" t="n"/>
      <c r="K2378" s="227" t="n"/>
      <c r="L2378" s="227" t="n"/>
      <c r="M2378" s="227" t="n"/>
      <c r="N2378" s="127" t="n"/>
      <c r="O2378" s="227" t="n"/>
      <c r="P2378" s="227" t="n"/>
      <c r="Q2378" s="227" t="n"/>
      <c r="R2378" s="227" t="n"/>
      <c r="S2378" s="227" t="n"/>
      <c r="T2378" s="227" t="n"/>
    </row>
    <row r="2379">
      <c r="A2379" s="145">
        <f>IF($B2379="","",ROW()-5)</f>
        <v/>
      </c>
      <c r="B2379" s="127" t="n"/>
      <c r="C2379" s="223" t="n"/>
      <c r="D2379" s="127" t="n"/>
      <c r="E2379" s="227" t="n"/>
      <c r="F2379" s="227" t="n"/>
      <c r="G2379" s="227" t="n"/>
      <c r="H2379" s="227" t="n"/>
      <c r="I2379" s="227" t="n"/>
      <c r="J2379" s="227" t="n"/>
      <c r="K2379" s="227" t="n"/>
      <c r="L2379" s="227" t="n"/>
      <c r="M2379" s="227" t="n"/>
      <c r="N2379" s="127" t="n"/>
      <c r="O2379" s="227" t="n"/>
      <c r="P2379" s="227" t="n"/>
      <c r="Q2379" s="227" t="n"/>
      <c r="R2379" s="227" t="n"/>
      <c r="S2379" s="227" t="n"/>
      <c r="T2379" s="227" t="n"/>
    </row>
    <row r="2380">
      <c r="A2380" s="145">
        <f>IF($B2380="","",ROW()-5)</f>
        <v/>
      </c>
      <c r="B2380" s="127" t="n"/>
      <c r="C2380" s="223" t="n"/>
      <c r="D2380" s="127" t="n"/>
      <c r="E2380" s="227" t="n"/>
      <c r="F2380" s="227" t="n"/>
      <c r="G2380" s="227" t="n"/>
      <c r="H2380" s="227" t="n"/>
      <c r="I2380" s="227" t="n"/>
      <c r="J2380" s="227" t="n"/>
      <c r="K2380" s="227" t="n"/>
      <c r="L2380" s="227" t="n"/>
      <c r="M2380" s="227" t="n"/>
      <c r="N2380" s="127" t="n"/>
      <c r="O2380" s="227" t="n"/>
      <c r="P2380" s="227" t="n"/>
      <c r="Q2380" s="227" t="n"/>
      <c r="R2380" s="227" t="n"/>
      <c r="S2380" s="227" t="n"/>
      <c r="T2380" s="227" t="n"/>
    </row>
    <row r="2381">
      <c r="A2381" s="145">
        <f>IF($B2381="","",ROW()-5)</f>
        <v/>
      </c>
      <c r="B2381" s="127" t="n"/>
      <c r="C2381" s="223" t="n"/>
      <c r="D2381" s="127" t="n"/>
      <c r="E2381" s="227" t="n"/>
      <c r="F2381" s="227" t="n"/>
      <c r="G2381" s="227" t="n"/>
      <c r="H2381" s="227" t="n"/>
      <c r="I2381" s="227" t="n"/>
      <c r="J2381" s="227" t="n"/>
      <c r="K2381" s="227" t="n"/>
      <c r="L2381" s="227" t="n"/>
      <c r="M2381" s="227" t="n"/>
      <c r="N2381" s="127" t="n"/>
      <c r="O2381" s="227" t="n"/>
      <c r="P2381" s="227" t="n"/>
      <c r="Q2381" s="227" t="n"/>
      <c r="R2381" s="227" t="n"/>
      <c r="S2381" s="227" t="n"/>
      <c r="T2381" s="227" t="n"/>
    </row>
    <row r="2382">
      <c r="A2382" s="145">
        <f>IF($B2382="","",ROW()-5)</f>
        <v/>
      </c>
      <c r="B2382" s="127" t="n"/>
      <c r="C2382" s="223" t="n"/>
      <c r="D2382" s="127" t="n"/>
      <c r="E2382" s="227" t="n"/>
      <c r="F2382" s="227" t="n"/>
      <c r="G2382" s="227" t="n"/>
      <c r="H2382" s="227" t="n"/>
      <c r="I2382" s="227" t="n"/>
      <c r="J2382" s="227" t="n"/>
      <c r="K2382" s="227" t="n"/>
      <c r="L2382" s="227" t="n"/>
      <c r="M2382" s="227" t="n"/>
      <c r="N2382" s="127" t="n"/>
      <c r="O2382" s="227" t="n"/>
      <c r="P2382" s="227" t="n"/>
      <c r="Q2382" s="227" t="n"/>
      <c r="R2382" s="227" t="n"/>
      <c r="S2382" s="227" t="n"/>
      <c r="T2382" s="227" t="n"/>
    </row>
    <row r="2383">
      <c r="A2383" s="145">
        <f>IF($B2383="","",ROW()-5)</f>
        <v/>
      </c>
      <c r="B2383" s="127" t="n"/>
      <c r="C2383" s="223" t="n"/>
      <c r="D2383" s="127" t="n"/>
      <c r="E2383" s="227" t="n"/>
      <c r="F2383" s="227" t="n"/>
      <c r="G2383" s="227" t="n"/>
      <c r="H2383" s="227" t="n"/>
      <c r="I2383" s="227" t="n"/>
      <c r="J2383" s="227" t="n"/>
      <c r="K2383" s="227" t="n"/>
      <c r="L2383" s="227" t="n"/>
      <c r="M2383" s="227" t="n"/>
      <c r="N2383" s="127" t="n"/>
      <c r="O2383" s="227" t="n"/>
      <c r="P2383" s="227" t="n"/>
      <c r="Q2383" s="227" t="n"/>
      <c r="R2383" s="227" t="n"/>
      <c r="S2383" s="227" t="n"/>
      <c r="T2383" s="227" t="n"/>
    </row>
    <row r="2384">
      <c r="A2384" s="145">
        <f>IF($B2384="","",ROW()-5)</f>
        <v/>
      </c>
      <c r="B2384" s="127" t="n"/>
      <c r="C2384" s="223" t="n"/>
      <c r="D2384" s="127" t="n"/>
      <c r="E2384" s="227" t="n"/>
      <c r="F2384" s="227" t="n"/>
      <c r="G2384" s="227" t="n"/>
      <c r="H2384" s="227" t="n"/>
      <c r="I2384" s="227" t="n"/>
      <c r="J2384" s="227" t="n"/>
      <c r="K2384" s="227" t="n"/>
      <c r="L2384" s="227" t="n"/>
      <c r="M2384" s="227" t="n"/>
      <c r="N2384" s="127" t="n"/>
      <c r="O2384" s="227" t="n"/>
      <c r="P2384" s="227" t="n"/>
      <c r="Q2384" s="227" t="n"/>
      <c r="R2384" s="227" t="n"/>
      <c r="S2384" s="227" t="n"/>
      <c r="T2384" s="227" t="n"/>
    </row>
    <row r="2385">
      <c r="A2385" s="145">
        <f>IF($B2385="","",ROW()-5)</f>
        <v/>
      </c>
      <c r="B2385" s="127" t="n"/>
      <c r="C2385" s="223" t="n"/>
      <c r="D2385" s="127" t="n"/>
      <c r="E2385" s="227" t="n"/>
      <c r="F2385" s="227" t="n"/>
      <c r="G2385" s="227" t="n"/>
      <c r="H2385" s="227" t="n"/>
      <c r="I2385" s="227" t="n"/>
      <c r="J2385" s="227" t="n"/>
      <c r="K2385" s="227" t="n"/>
      <c r="L2385" s="227" t="n"/>
      <c r="M2385" s="227" t="n"/>
      <c r="N2385" s="127" t="n"/>
      <c r="O2385" s="227" t="n"/>
      <c r="P2385" s="227" t="n"/>
      <c r="Q2385" s="227" t="n"/>
      <c r="R2385" s="227" t="n"/>
      <c r="S2385" s="227" t="n"/>
      <c r="T2385" s="227" t="n"/>
    </row>
    <row r="2386">
      <c r="A2386" s="145">
        <f>IF($B2386="","",ROW()-5)</f>
        <v/>
      </c>
      <c r="B2386" s="127" t="n"/>
      <c r="C2386" s="223" t="n"/>
      <c r="D2386" s="127" t="n"/>
      <c r="E2386" s="227" t="n"/>
      <c r="F2386" s="227" t="n"/>
      <c r="G2386" s="227" t="n"/>
      <c r="H2386" s="227" t="n"/>
      <c r="I2386" s="227" t="n"/>
      <c r="J2386" s="227" t="n"/>
      <c r="K2386" s="227" t="n"/>
      <c r="L2386" s="227" t="n"/>
      <c r="M2386" s="227" t="n"/>
      <c r="N2386" s="127" t="n"/>
      <c r="O2386" s="227" t="n"/>
      <c r="P2386" s="227" t="n"/>
      <c r="Q2386" s="227" t="n"/>
      <c r="R2386" s="227" t="n"/>
      <c r="S2386" s="227" t="n"/>
      <c r="T2386" s="227" t="n"/>
    </row>
    <row r="2387">
      <c r="A2387" s="145">
        <f>IF($B2387="","",ROW()-5)</f>
        <v/>
      </c>
      <c r="B2387" s="127" t="n"/>
      <c r="C2387" s="223" t="n"/>
      <c r="D2387" s="127" t="n"/>
      <c r="E2387" s="227" t="n"/>
      <c r="F2387" s="227" t="n"/>
      <c r="G2387" s="227" t="n"/>
      <c r="H2387" s="227" t="n"/>
      <c r="I2387" s="227" t="n"/>
      <c r="J2387" s="227" t="n"/>
      <c r="K2387" s="227" t="n"/>
      <c r="L2387" s="227" t="n"/>
      <c r="M2387" s="227" t="n"/>
      <c r="N2387" s="127" t="n"/>
      <c r="O2387" s="227" t="n"/>
      <c r="P2387" s="227" t="n"/>
      <c r="Q2387" s="227" t="n"/>
      <c r="R2387" s="227" t="n"/>
      <c r="S2387" s="227" t="n"/>
      <c r="T2387" s="227" t="n"/>
    </row>
    <row r="2388">
      <c r="A2388" s="145">
        <f>IF($B2388="","",ROW()-5)</f>
        <v/>
      </c>
      <c r="B2388" s="127" t="n"/>
      <c r="C2388" s="223" t="n"/>
      <c r="D2388" s="127" t="n"/>
      <c r="E2388" s="227" t="n"/>
      <c r="F2388" s="227" t="n"/>
      <c r="G2388" s="227" t="n"/>
      <c r="H2388" s="227" t="n"/>
      <c r="I2388" s="227" t="n"/>
      <c r="J2388" s="227" t="n"/>
      <c r="K2388" s="227" t="n"/>
      <c r="L2388" s="227" t="n"/>
      <c r="M2388" s="227" t="n"/>
      <c r="N2388" s="127" t="n"/>
      <c r="O2388" s="227" t="n"/>
      <c r="P2388" s="227" t="n"/>
      <c r="Q2388" s="227" t="n"/>
      <c r="R2388" s="227" t="n"/>
      <c r="S2388" s="227" t="n"/>
      <c r="T2388" s="227" t="n"/>
    </row>
    <row r="2389">
      <c r="A2389" s="145">
        <f>IF($B2389="","",ROW()-5)</f>
        <v/>
      </c>
      <c r="B2389" s="127" t="n"/>
      <c r="C2389" s="223" t="n"/>
      <c r="D2389" s="127" t="n"/>
      <c r="E2389" s="227" t="n"/>
      <c r="F2389" s="227" t="n"/>
      <c r="G2389" s="227" t="n"/>
      <c r="H2389" s="227" t="n"/>
      <c r="I2389" s="227" t="n"/>
      <c r="J2389" s="227" t="n"/>
      <c r="K2389" s="227" t="n"/>
      <c r="L2389" s="227" t="n"/>
      <c r="M2389" s="227" t="n"/>
      <c r="N2389" s="127" t="n"/>
      <c r="O2389" s="227" t="n"/>
      <c r="P2389" s="227" t="n"/>
      <c r="Q2389" s="227" t="n"/>
      <c r="R2389" s="227" t="n"/>
      <c r="S2389" s="227" t="n"/>
      <c r="T2389" s="227" t="n"/>
    </row>
    <row r="2390">
      <c r="A2390" s="145">
        <f>IF($B2390="","",ROW()-5)</f>
        <v/>
      </c>
      <c r="B2390" s="127" t="n"/>
      <c r="C2390" s="223" t="n"/>
      <c r="D2390" s="127" t="n"/>
      <c r="E2390" s="227" t="n"/>
      <c r="F2390" s="227" t="n"/>
      <c r="G2390" s="227" t="n"/>
      <c r="H2390" s="227" t="n"/>
      <c r="I2390" s="227" t="n"/>
      <c r="J2390" s="227" t="n"/>
      <c r="K2390" s="227" t="n"/>
      <c r="L2390" s="227" t="n"/>
      <c r="M2390" s="227" t="n"/>
      <c r="N2390" s="127" t="n"/>
      <c r="O2390" s="227" t="n"/>
      <c r="P2390" s="227" t="n"/>
      <c r="Q2390" s="227" t="n"/>
      <c r="R2390" s="227" t="n"/>
      <c r="S2390" s="227" t="n"/>
      <c r="T2390" s="227" t="n"/>
    </row>
    <row r="2391">
      <c r="A2391" s="145">
        <f>IF($B2391="","",ROW()-5)</f>
        <v/>
      </c>
      <c r="B2391" s="127" t="n"/>
      <c r="C2391" s="223" t="n"/>
      <c r="D2391" s="127" t="n"/>
      <c r="E2391" s="227" t="n"/>
      <c r="F2391" s="227" t="n"/>
      <c r="G2391" s="227" t="n"/>
      <c r="H2391" s="227" t="n"/>
      <c r="I2391" s="227" t="n"/>
      <c r="J2391" s="227" t="n"/>
      <c r="K2391" s="227" t="n"/>
      <c r="L2391" s="227" t="n"/>
      <c r="M2391" s="227" t="n"/>
      <c r="N2391" s="127" t="n"/>
      <c r="O2391" s="227" t="n"/>
      <c r="P2391" s="227" t="n"/>
      <c r="Q2391" s="227" t="n"/>
      <c r="R2391" s="227" t="n"/>
      <c r="S2391" s="227" t="n"/>
      <c r="T2391" s="227" t="n"/>
    </row>
    <row r="2392">
      <c r="A2392" s="145">
        <f>IF($B2392="","",ROW()-5)</f>
        <v/>
      </c>
      <c r="B2392" s="127" t="n"/>
      <c r="C2392" s="223" t="n"/>
      <c r="D2392" s="127" t="n"/>
      <c r="E2392" s="227" t="n"/>
      <c r="F2392" s="227" t="n"/>
      <c r="G2392" s="227" t="n"/>
      <c r="H2392" s="227" t="n"/>
      <c r="I2392" s="227" t="n"/>
      <c r="J2392" s="227" t="n"/>
      <c r="K2392" s="227" t="n"/>
      <c r="L2392" s="227" t="n"/>
      <c r="M2392" s="227" t="n"/>
      <c r="N2392" s="127" t="n"/>
      <c r="O2392" s="227" t="n"/>
      <c r="P2392" s="227" t="n"/>
      <c r="Q2392" s="227" t="n"/>
      <c r="R2392" s="227" t="n"/>
      <c r="S2392" s="227" t="n"/>
      <c r="T2392" s="227" t="n"/>
    </row>
    <row r="2393">
      <c r="A2393" s="145">
        <f>IF($B2393="","",ROW()-5)</f>
        <v/>
      </c>
      <c r="B2393" s="127" t="n"/>
      <c r="C2393" s="223" t="n"/>
      <c r="D2393" s="127" t="n"/>
      <c r="E2393" s="227" t="n"/>
      <c r="F2393" s="227" t="n"/>
      <c r="G2393" s="227" t="n"/>
      <c r="H2393" s="227" t="n"/>
      <c r="I2393" s="227" t="n"/>
      <c r="J2393" s="227" t="n"/>
      <c r="K2393" s="227" t="n"/>
      <c r="L2393" s="227" t="n"/>
      <c r="M2393" s="227" t="n"/>
      <c r="N2393" s="127" t="n"/>
      <c r="O2393" s="227" t="n"/>
      <c r="P2393" s="227" t="n"/>
      <c r="Q2393" s="227" t="n"/>
      <c r="R2393" s="227" t="n"/>
      <c r="S2393" s="227" t="n"/>
      <c r="T2393" s="227" t="n"/>
    </row>
    <row r="2394">
      <c r="A2394" s="145">
        <f>IF($B2394="","",ROW()-5)</f>
        <v/>
      </c>
      <c r="B2394" s="127" t="n"/>
      <c r="C2394" s="223" t="n"/>
      <c r="D2394" s="127" t="n"/>
      <c r="E2394" s="227" t="n"/>
      <c r="F2394" s="227" t="n"/>
      <c r="G2394" s="227" t="n"/>
      <c r="H2394" s="227" t="n"/>
      <c r="I2394" s="227" t="n"/>
      <c r="J2394" s="227" t="n"/>
      <c r="K2394" s="227" t="n"/>
      <c r="L2394" s="227" t="n"/>
      <c r="M2394" s="227" t="n"/>
      <c r="N2394" s="127" t="n"/>
      <c r="O2394" s="227" t="n"/>
      <c r="P2394" s="227" t="n"/>
      <c r="Q2394" s="227" t="n"/>
      <c r="R2394" s="227" t="n"/>
      <c r="S2394" s="227" t="n"/>
      <c r="T2394" s="227" t="n"/>
    </row>
    <row r="2395">
      <c r="A2395" s="145">
        <f>IF($B2395="","",ROW()-5)</f>
        <v/>
      </c>
      <c r="B2395" s="127" t="n"/>
      <c r="C2395" s="223" t="n"/>
      <c r="D2395" s="127" t="n"/>
      <c r="E2395" s="227" t="n"/>
      <c r="F2395" s="227" t="n"/>
      <c r="G2395" s="227" t="n"/>
      <c r="H2395" s="227" t="n"/>
      <c r="I2395" s="227" t="n"/>
      <c r="J2395" s="227" t="n"/>
      <c r="K2395" s="227" t="n"/>
      <c r="L2395" s="227" t="n"/>
      <c r="M2395" s="227" t="n"/>
      <c r="N2395" s="127" t="n"/>
      <c r="O2395" s="227" t="n"/>
      <c r="P2395" s="227" t="n"/>
      <c r="Q2395" s="227" t="n"/>
      <c r="R2395" s="227" t="n"/>
      <c r="S2395" s="227" t="n"/>
      <c r="T2395" s="227" t="n"/>
    </row>
    <row r="2396">
      <c r="A2396" s="145">
        <f>IF($B2396="","",ROW()-5)</f>
        <v/>
      </c>
      <c r="B2396" s="127" t="n"/>
      <c r="C2396" s="223" t="n"/>
      <c r="D2396" s="127" t="n"/>
      <c r="E2396" s="227" t="n"/>
      <c r="F2396" s="227" t="n"/>
      <c r="G2396" s="227" t="n"/>
      <c r="H2396" s="227" t="n"/>
      <c r="I2396" s="227" t="n"/>
      <c r="J2396" s="227" t="n"/>
      <c r="K2396" s="227" t="n"/>
      <c r="L2396" s="227" t="n"/>
      <c r="M2396" s="227" t="n"/>
      <c r="N2396" s="127" t="n"/>
      <c r="O2396" s="227" t="n"/>
      <c r="P2396" s="227" t="n"/>
      <c r="Q2396" s="227" t="n"/>
      <c r="R2396" s="227" t="n"/>
      <c r="S2396" s="227" t="n"/>
      <c r="T2396" s="227" t="n"/>
    </row>
    <row r="2397">
      <c r="A2397" s="145">
        <f>IF($B2397="","",ROW()-5)</f>
        <v/>
      </c>
      <c r="B2397" s="127" t="n"/>
      <c r="C2397" s="223" t="n"/>
      <c r="D2397" s="127" t="n"/>
      <c r="E2397" s="227" t="n"/>
      <c r="F2397" s="227" t="n"/>
      <c r="G2397" s="227" t="n"/>
      <c r="H2397" s="227" t="n"/>
      <c r="I2397" s="227" t="n"/>
      <c r="J2397" s="227" t="n"/>
      <c r="K2397" s="227" t="n"/>
      <c r="L2397" s="227" t="n"/>
      <c r="M2397" s="227" t="n"/>
      <c r="N2397" s="127" t="n"/>
      <c r="O2397" s="227" t="n"/>
      <c r="P2397" s="227" t="n"/>
      <c r="Q2397" s="227" t="n"/>
      <c r="R2397" s="227" t="n"/>
      <c r="S2397" s="227" t="n"/>
      <c r="T2397" s="227" t="n"/>
    </row>
    <row r="2398">
      <c r="A2398" s="145">
        <f>IF($B2398="","",ROW()-5)</f>
        <v/>
      </c>
      <c r="B2398" s="127" t="n"/>
      <c r="C2398" s="223" t="n"/>
      <c r="D2398" s="127" t="n"/>
      <c r="E2398" s="227" t="n"/>
      <c r="F2398" s="227" t="n"/>
      <c r="G2398" s="227" t="n"/>
      <c r="H2398" s="227" t="n"/>
      <c r="I2398" s="227" t="n"/>
      <c r="J2398" s="227" t="n"/>
      <c r="K2398" s="227" t="n"/>
      <c r="L2398" s="227" t="n"/>
      <c r="M2398" s="227" t="n"/>
      <c r="N2398" s="127" t="n"/>
      <c r="O2398" s="227" t="n"/>
      <c r="P2398" s="227" t="n"/>
      <c r="Q2398" s="227" t="n"/>
      <c r="R2398" s="227" t="n"/>
      <c r="S2398" s="227" t="n"/>
      <c r="T2398" s="227" t="n"/>
    </row>
    <row r="2399">
      <c r="A2399" s="145">
        <f>IF($B2399="","",ROW()-5)</f>
        <v/>
      </c>
      <c r="B2399" s="127" t="n"/>
      <c r="C2399" s="223" t="n"/>
      <c r="D2399" s="127" t="n"/>
      <c r="E2399" s="227" t="n"/>
      <c r="F2399" s="227" t="n"/>
      <c r="G2399" s="227" t="n"/>
      <c r="H2399" s="227" t="n"/>
      <c r="I2399" s="227" t="n"/>
      <c r="J2399" s="227" t="n"/>
      <c r="K2399" s="227" t="n"/>
      <c r="L2399" s="227" t="n"/>
      <c r="M2399" s="227" t="n"/>
      <c r="N2399" s="127" t="n"/>
      <c r="O2399" s="227" t="n"/>
      <c r="P2399" s="227" t="n"/>
      <c r="Q2399" s="227" t="n"/>
      <c r="R2399" s="227" t="n"/>
      <c r="S2399" s="227" t="n"/>
      <c r="T2399" s="227" t="n"/>
    </row>
    <row r="2400">
      <c r="A2400" s="145">
        <f>IF($B2400="","",ROW()-5)</f>
        <v/>
      </c>
      <c r="B2400" s="127" t="n"/>
      <c r="C2400" s="223" t="n"/>
      <c r="D2400" s="127" t="n"/>
      <c r="E2400" s="227" t="n"/>
      <c r="F2400" s="227" t="n"/>
      <c r="G2400" s="227" t="n"/>
      <c r="H2400" s="227" t="n"/>
      <c r="I2400" s="227" t="n"/>
      <c r="J2400" s="227" t="n"/>
      <c r="K2400" s="227" t="n"/>
      <c r="L2400" s="227" t="n"/>
      <c r="M2400" s="227" t="n"/>
      <c r="N2400" s="127" t="n"/>
      <c r="O2400" s="227" t="n"/>
      <c r="P2400" s="227" t="n"/>
      <c r="Q2400" s="227" t="n"/>
      <c r="R2400" s="227" t="n"/>
      <c r="S2400" s="227" t="n"/>
      <c r="T2400" s="227" t="n"/>
    </row>
    <row r="2401">
      <c r="A2401" s="145">
        <f>IF($B2401="","",ROW()-5)</f>
        <v/>
      </c>
      <c r="B2401" s="127" t="n"/>
      <c r="C2401" s="223" t="n"/>
      <c r="D2401" s="127" t="n"/>
      <c r="E2401" s="227" t="n"/>
      <c r="F2401" s="227" t="n"/>
      <c r="G2401" s="227" t="n"/>
      <c r="H2401" s="227" t="n"/>
      <c r="I2401" s="227" t="n"/>
      <c r="J2401" s="227" t="n"/>
      <c r="K2401" s="227" t="n"/>
      <c r="L2401" s="227" t="n"/>
      <c r="M2401" s="227" t="n"/>
      <c r="N2401" s="127" t="n"/>
      <c r="O2401" s="227" t="n"/>
      <c r="P2401" s="227" t="n"/>
      <c r="Q2401" s="227" t="n"/>
      <c r="R2401" s="227" t="n"/>
      <c r="S2401" s="227" t="n"/>
      <c r="T2401" s="227" t="n"/>
    </row>
    <row r="2402">
      <c r="A2402" s="145">
        <f>IF($B2402="","",ROW()-5)</f>
        <v/>
      </c>
      <c r="B2402" s="127" t="n"/>
      <c r="C2402" s="223" t="n"/>
      <c r="D2402" s="127" t="n"/>
      <c r="E2402" s="227" t="n"/>
      <c r="F2402" s="227" t="n"/>
      <c r="G2402" s="227" t="n"/>
      <c r="H2402" s="227" t="n"/>
      <c r="I2402" s="227" t="n"/>
      <c r="J2402" s="227" t="n"/>
      <c r="K2402" s="227" t="n"/>
      <c r="L2402" s="227" t="n"/>
      <c r="M2402" s="227" t="n"/>
      <c r="N2402" s="127" t="n"/>
      <c r="O2402" s="227" t="n"/>
      <c r="P2402" s="227" t="n"/>
      <c r="Q2402" s="227" t="n"/>
      <c r="R2402" s="227" t="n"/>
      <c r="S2402" s="227" t="n"/>
      <c r="T2402" s="227" t="n"/>
    </row>
    <row r="2403">
      <c r="A2403" s="145">
        <f>IF($B2403="","",ROW()-5)</f>
        <v/>
      </c>
      <c r="B2403" s="127" t="n"/>
      <c r="C2403" s="223" t="n"/>
      <c r="D2403" s="127" t="n"/>
      <c r="E2403" s="227" t="n"/>
      <c r="F2403" s="227" t="n"/>
      <c r="G2403" s="227" t="n"/>
      <c r="H2403" s="227" t="n"/>
      <c r="I2403" s="227" t="n"/>
      <c r="J2403" s="227" t="n"/>
      <c r="K2403" s="227" t="n"/>
      <c r="L2403" s="227" t="n"/>
      <c r="M2403" s="227" t="n"/>
      <c r="N2403" s="127" t="n"/>
      <c r="O2403" s="227" t="n"/>
      <c r="P2403" s="227" t="n"/>
      <c r="Q2403" s="227" t="n"/>
      <c r="R2403" s="227" t="n"/>
      <c r="S2403" s="227" t="n"/>
      <c r="T2403" s="227" t="n"/>
    </row>
    <row r="2404">
      <c r="A2404" s="145">
        <f>IF($B2404="","",ROW()-5)</f>
        <v/>
      </c>
      <c r="B2404" s="127" t="n"/>
      <c r="C2404" s="223" t="n"/>
      <c r="D2404" s="127" t="n"/>
      <c r="E2404" s="227" t="n"/>
      <c r="F2404" s="227" t="n"/>
      <c r="G2404" s="227" t="n"/>
      <c r="H2404" s="227" t="n"/>
      <c r="I2404" s="227" t="n"/>
      <c r="J2404" s="227" t="n"/>
      <c r="K2404" s="227" t="n"/>
      <c r="L2404" s="227" t="n"/>
      <c r="M2404" s="227" t="n"/>
      <c r="N2404" s="127" t="n"/>
      <c r="O2404" s="227" t="n"/>
      <c r="P2404" s="227" t="n"/>
      <c r="Q2404" s="227" t="n"/>
      <c r="R2404" s="227" t="n"/>
      <c r="S2404" s="227" t="n"/>
      <c r="T2404" s="227" t="n"/>
    </row>
    <row r="2405">
      <c r="A2405" s="145">
        <f>IF($B2405="","",ROW()-5)</f>
        <v/>
      </c>
      <c r="B2405" s="127" t="n"/>
      <c r="C2405" s="223" t="n"/>
      <c r="D2405" s="127" t="n"/>
      <c r="E2405" s="227" t="n"/>
      <c r="F2405" s="227" t="n"/>
      <c r="G2405" s="227" t="n"/>
      <c r="H2405" s="227" t="n"/>
      <c r="I2405" s="227" t="n"/>
      <c r="J2405" s="227" t="n"/>
      <c r="K2405" s="227" t="n"/>
      <c r="L2405" s="227" t="n"/>
      <c r="M2405" s="227" t="n"/>
      <c r="N2405" s="127" t="n"/>
      <c r="O2405" s="227" t="n"/>
      <c r="P2405" s="227" t="n"/>
      <c r="Q2405" s="227" t="n"/>
      <c r="R2405" s="227" t="n"/>
      <c r="S2405" s="227" t="n"/>
      <c r="T2405" s="227" t="n"/>
    </row>
    <row r="2406">
      <c r="A2406" s="145">
        <f>IF($B2406="","",ROW()-5)</f>
        <v/>
      </c>
      <c r="B2406" s="127" t="n"/>
      <c r="C2406" s="223" t="n"/>
      <c r="D2406" s="127" t="n"/>
      <c r="E2406" s="227" t="n"/>
      <c r="F2406" s="227" t="n"/>
      <c r="G2406" s="227" t="n"/>
      <c r="H2406" s="227" t="n"/>
      <c r="I2406" s="227" t="n"/>
      <c r="J2406" s="227" t="n"/>
      <c r="K2406" s="227" t="n"/>
      <c r="L2406" s="227" t="n"/>
      <c r="M2406" s="227" t="n"/>
      <c r="N2406" s="127" t="n"/>
      <c r="O2406" s="227" t="n"/>
      <c r="P2406" s="227" t="n"/>
      <c r="Q2406" s="227" t="n"/>
      <c r="R2406" s="227" t="n"/>
      <c r="S2406" s="227" t="n"/>
      <c r="T2406" s="227" t="n"/>
    </row>
    <row r="2407">
      <c r="A2407" s="145">
        <f>IF($B2407="","",ROW()-5)</f>
        <v/>
      </c>
      <c r="B2407" s="127" t="n"/>
      <c r="C2407" s="223" t="n"/>
      <c r="D2407" s="127" t="n"/>
      <c r="E2407" s="227" t="n"/>
      <c r="F2407" s="227" t="n"/>
      <c r="G2407" s="227" t="n"/>
      <c r="H2407" s="227" t="n"/>
      <c r="I2407" s="227" t="n"/>
      <c r="J2407" s="227" t="n"/>
      <c r="K2407" s="227" t="n"/>
      <c r="L2407" s="227" t="n"/>
      <c r="M2407" s="227" t="n"/>
      <c r="N2407" s="127" t="n"/>
      <c r="O2407" s="227" t="n"/>
      <c r="P2407" s="227" t="n"/>
      <c r="Q2407" s="227" t="n"/>
      <c r="R2407" s="227" t="n"/>
      <c r="S2407" s="227" t="n"/>
      <c r="T2407" s="227" t="n"/>
    </row>
    <row r="2408">
      <c r="A2408" s="145">
        <f>IF($B2408="","",ROW()-5)</f>
        <v/>
      </c>
      <c r="B2408" s="127" t="n"/>
      <c r="C2408" s="223" t="n"/>
      <c r="D2408" s="127" t="n"/>
      <c r="E2408" s="227" t="n"/>
      <c r="F2408" s="227" t="n"/>
      <c r="G2408" s="227" t="n"/>
      <c r="H2408" s="227" t="n"/>
      <c r="I2408" s="227" t="n"/>
      <c r="J2408" s="227" t="n"/>
      <c r="K2408" s="227" t="n"/>
      <c r="L2408" s="227" t="n"/>
      <c r="M2408" s="227" t="n"/>
      <c r="N2408" s="127" t="n"/>
      <c r="O2408" s="227" t="n"/>
      <c r="P2408" s="227" t="n"/>
      <c r="Q2408" s="227" t="n"/>
      <c r="R2408" s="227" t="n"/>
      <c r="S2408" s="227" t="n"/>
      <c r="T2408" s="227" t="n"/>
    </row>
    <row r="2409">
      <c r="A2409" s="145">
        <f>IF($B2409="","",ROW()-5)</f>
        <v/>
      </c>
      <c r="B2409" s="127" t="n"/>
      <c r="C2409" s="223" t="n"/>
      <c r="D2409" s="127" t="n"/>
      <c r="E2409" s="227" t="n"/>
      <c r="F2409" s="227" t="n"/>
      <c r="G2409" s="227" t="n"/>
      <c r="H2409" s="227" t="n"/>
      <c r="I2409" s="227" t="n"/>
      <c r="J2409" s="227" t="n"/>
      <c r="K2409" s="227" t="n"/>
      <c r="L2409" s="227" t="n"/>
      <c r="M2409" s="227" t="n"/>
      <c r="N2409" s="127" t="n"/>
      <c r="O2409" s="227" t="n"/>
      <c r="P2409" s="227" t="n"/>
      <c r="Q2409" s="227" t="n"/>
      <c r="R2409" s="227" t="n"/>
      <c r="S2409" s="227" t="n"/>
      <c r="T2409" s="227" t="n"/>
    </row>
    <row r="2410">
      <c r="A2410" s="145">
        <f>IF($B2410="","",ROW()-5)</f>
        <v/>
      </c>
      <c r="B2410" s="127" t="n"/>
      <c r="C2410" s="223" t="n"/>
      <c r="D2410" s="127" t="n"/>
      <c r="E2410" s="227" t="n"/>
      <c r="F2410" s="227" t="n"/>
      <c r="G2410" s="227" t="n"/>
      <c r="H2410" s="227" t="n"/>
      <c r="I2410" s="227" t="n"/>
      <c r="J2410" s="227" t="n"/>
      <c r="K2410" s="227" t="n"/>
      <c r="L2410" s="227" t="n"/>
      <c r="M2410" s="227" t="n"/>
      <c r="N2410" s="127" t="n"/>
      <c r="O2410" s="227" t="n"/>
      <c r="P2410" s="227" t="n"/>
      <c r="Q2410" s="227" t="n"/>
      <c r="R2410" s="227" t="n"/>
      <c r="S2410" s="227" t="n"/>
      <c r="T2410" s="227" t="n"/>
    </row>
    <row r="2411">
      <c r="A2411" s="145">
        <f>IF($B2411="","",ROW()-5)</f>
        <v/>
      </c>
      <c r="B2411" s="127" t="n"/>
      <c r="C2411" s="223" t="n"/>
      <c r="D2411" s="127" t="n"/>
      <c r="E2411" s="227" t="n"/>
      <c r="F2411" s="227" t="n"/>
      <c r="G2411" s="227" t="n"/>
      <c r="H2411" s="227" t="n"/>
      <c r="I2411" s="227" t="n"/>
      <c r="J2411" s="227" t="n"/>
      <c r="K2411" s="227" t="n"/>
      <c r="L2411" s="227" t="n"/>
      <c r="M2411" s="227" t="n"/>
      <c r="N2411" s="127" t="n"/>
      <c r="O2411" s="227" t="n"/>
      <c r="P2411" s="227" t="n"/>
      <c r="Q2411" s="227" t="n"/>
      <c r="R2411" s="227" t="n"/>
      <c r="S2411" s="227" t="n"/>
      <c r="T2411" s="227" t="n"/>
    </row>
    <row r="2412">
      <c r="A2412" s="145">
        <f>IF($B2412="","",ROW()-5)</f>
        <v/>
      </c>
      <c r="B2412" s="127" t="n"/>
      <c r="C2412" s="223" t="n"/>
      <c r="D2412" s="127" t="n"/>
      <c r="E2412" s="227" t="n"/>
      <c r="F2412" s="227" t="n"/>
      <c r="G2412" s="227" t="n"/>
      <c r="H2412" s="227" t="n"/>
      <c r="I2412" s="227" t="n"/>
      <c r="J2412" s="227" t="n"/>
      <c r="K2412" s="227" t="n"/>
      <c r="L2412" s="227" t="n"/>
      <c r="M2412" s="227" t="n"/>
      <c r="N2412" s="127" t="n"/>
      <c r="O2412" s="227" t="n"/>
      <c r="P2412" s="227" t="n"/>
      <c r="Q2412" s="227" t="n"/>
      <c r="R2412" s="227" t="n"/>
      <c r="S2412" s="227" t="n"/>
      <c r="T2412" s="227" t="n"/>
    </row>
    <row r="2413">
      <c r="A2413" s="145">
        <f>IF($B2413="","",ROW()-5)</f>
        <v/>
      </c>
      <c r="B2413" s="127" t="n"/>
      <c r="C2413" s="223" t="n"/>
      <c r="D2413" s="127" t="n"/>
      <c r="E2413" s="227" t="n"/>
      <c r="F2413" s="227" t="n"/>
      <c r="G2413" s="227" t="n"/>
      <c r="H2413" s="227" t="n"/>
      <c r="I2413" s="227" t="n"/>
      <c r="J2413" s="227" t="n"/>
      <c r="K2413" s="227" t="n"/>
      <c r="L2413" s="227" t="n"/>
      <c r="M2413" s="227" t="n"/>
      <c r="N2413" s="127" t="n"/>
      <c r="O2413" s="227" t="n"/>
      <c r="P2413" s="227" t="n"/>
      <c r="Q2413" s="227" t="n"/>
      <c r="R2413" s="227" t="n"/>
      <c r="S2413" s="227" t="n"/>
      <c r="T2413" s="227" t="n"/>
    </row>
    <row r="2414">
      <c r="A2414" s="145">
        <f>IF($B2414="","",ROW()-5)</f>
        <v/>
      </c>
      <c r="B2414" s="127" t="n"/>
      <c r="C2414" s="223" t="n"/>
      <c r="D2414" s="127" t="n"/>
      <c r="E2414" s="227" t="n"/>
      <c r="F2414" s="227" t="n"/>
      <c r="G2414" s="227" t="n"/>
      <c r="H2414" s="227" t="n"/>
      <c r="I2414" s="227" t="n"/>
      <c r="J2414" s="227" t="n"/>
      <c r="K2414" s="227" t="n"/>
      <c r="L2414" s="227" t="n"/>
      <c r="M2414" s="227" t="n"/>
      <c r="N2414" s="127" t="n"/>
      <c r="O2414" s="227" t="n"/>
      <c r="P2414" s="227" t="n"/>
      <c r="Q2414" s="227" t="n"/>
      <c r="R2414" s="227" t="n"/>
      <c r="S2414" s="227" t="n"/>
      <c r="T2414" s="227" t="n"/>
    </row>
    <row r="2415">
      <c r="A2415" s="145">
        <f>IF($B2415="","",ROW()-5)</f>
        <v/>
      </c>
      <c r="B2415" s="127" t="n"/>
      <c r="C2415" s="223" t="n"/>
      <c r="D2415" s="127" t="n"/>
      <c r="E2415" s="227" t="n"/>
      <c r="F2415" s="227" t="n"/>
      <c r="G2415" s="227" t="n"/>
      <c r="H2415" s="227" t="n"/>
      <c r="I2415" s="227" t="n"/>
      <c r="J2415" s="227" t="n"/>
      <c r="K2415" s="227" t="n"/>
      <c r="L2415" s="227" t="n"/>
      <c r="M2415" s="227" t="n"/>
      <c r="N2415" s="127" t="n"/>
      <c r="O2415" s="227" t="n"/>
      <c r="P2415" s="227" t="n"/>
      <c r="Q2415" s="227" t="n"/>
      <c r="R2415" s="227" t="n"/>
      <c r="S2415" s="227" t="n"/>
      <c r="T2415" s="227" t="n"/>
    </row>
    <row r="2416">
      <c r="A2416" s="145">
        <f>IF($B2416="","",ROW()-5)</f>
        <v/>
      </c>
      <c r="B2416" s="127" t="n"/>
      <c r="C2416" s="223" t="n"/>
      <c r="D2416" s="127" t="n"/>
      <c r="E2416" s="227" t="n"/>
      <c r="F2416" s="227" t="n"/>
      <c r="G2416" s="227" t="n"/>
      <c r="H2416" s="227" t="n"/>
      <c r="I2416" s="227" t="n"/>
      <c r="J2416" s="227" t="n"/>
      <c r="K2416" s="227" t="n"/>
      <c r="L2416" s="227" t="n"/>
      <c r="M2416" s="227" t="n"/>
      <c r="N2416" s="127" t="n"/>
      <c r="O2416" s="227" t="n"/>
      <c r="P2416" s="227" t="n"/>
      <c r="Q2416" s="227" t="n"/>
      <c r="R2416" s="227" t="n"/>
      <c r="S2416" s="227" t="n"/>
      <c r="T2416" s="227" t="n"/>
    </row>
    <row r="2417">
      <c r="A2417" s="145">
        <f>IF($B2417="","",ROW()-5)</f>
        <v/>
      </c>
      <c r="B2417" s="127" t="n"/>
      <c r="C2417" s="223" t="n"/>
      <c r="D2417" s="127" t="n"/>
      <c r="E2417" s="227" t="n"/>
      <c r="F2417" s="227" t="n"/>
      <c r="G2417" s="227" t="n"/>
      <c r="H2417" s="227" t="n"/>
      <c r="I2417" s="227" t="n"/>
      <c r="J2417" s="227" t="n"/>
      <c r="K2417" s="227" t="n"/>
      <c r="L2417" s="227" t="n"/>
      <c r="M2417" s="227" t="n"/>
      <c r="N2417" s="127" t="n"/>
      <c r="O2417" s="227" t="n"/>
      <c r="P2417" s="227" t="n"/>
      <c r="Q2417" s="227" t="n"/>
      <c r="R2417" s="227" t="n"/>
      <c r="S2417" s="227" t="n"/>
      <c r="T2417" s="227" t="n"/>
    </row>
    <row r="2418">
      <c r="A2418" s="145">
        <f>IF($B2418="","",ROW()-5)</f>
        <v/>
      </c>
      <c r="B2418" s="127" t="n"/>
      <c r="C2418" s="223" t="n"/>
      <c r="D2418" s="127" t="n"/>
      <c r="E2418" s="227" t="n"/>
      <c r="F2418" s="227" t="n"/>
      <c r="G2418" s="227" t="n"/>
      <c r="H2418" s="227" t="n"/>
      <c r="I2418" s="227" t="n"/>
      <c r="J2418" s="227" t="n"/>
      <c r="K2418" s="227" t="n"/>
      <c r="L2418" s="227" t="n"/>
      <c r="M2418" s="227" t="n"/>
      <c r="N2418" s="127" t="n"/>
      <c r="O2418" s="227" t="n"/>
      <c r="P2418" s="227" t="n"/>
      <c r="Q2418" s="227" t="n"/>
      <c r="R2418" s="227" t="n"/>
      <c r="S2418" s="227" t="n"/>
      <c r="T2418" s="227" t="n"/>
    </row>
    <row r="2419">
      <c r="A2419" s="145">
        <f>IF($B2419="","",ROW()-5)</f>
        <v/>
      </c>
      <c r="B2419" s="127" t="n"/>
      <c r="C2419" s="223" t="n"/>
      <c r="D2419" s="127" t="n"/>
      <c r="E2419" s="227" t="n"/>
      <c r="F2419" s="227" t="n"/>
      <c r="G2419" s="227" t="n"/>
      <c r="H2419" s="227" t="n"/>
      <c r="I2419" s="227" t="n"/>
      <c r="J2419" s="227" t="n"/>
      <c r="K2419" s="227" t="n"/>
      <c r="L2419" s="227" t="n"/>
      <c r="M2419" s="227" t="n"/>
      <c r="N2419" s="127" t="n"/>
      <c r="O2419" s="227" t="n"/>
      <c r="P2419" s="227" t="n"/>
      <c r="Q2419" s="227" t="n"/>
      <c r="R2419" s="227" t="n"/>
      <c r="S2419" s="227" t="n"/>
      <c r="T2419" s="227" t="n"/>
    </row>
    <row r="2420">
      <c r="A2420" s="145">
        <f>IF($B2420="","",ROW()-5)</f>
        <v/>
      </c>
      <c r="B2420" s="127" t="n"/>
      <c r="C2420" s="223" t="n"/>
      <c r="D2420" s="127" t="n"/>
      <c r="E2420" s="227" t="n"/>
      <c r="F2420" s="227" t="n"/>
      <c r="G2420" s="227" t="n"/>
      <c r="H2420" s="227" t="n"/>
      <c r="I2420" s="227" t="n"/>
      <c r="J2420" s="227" t="n"/>
      <c r="K2420" s="227" t="n"/>
      <c r="L2420" s="227" t="n"/>
      <c r="M2420" s="227" t="n"/>
      <c r="N2420" s="127" t="n"/>
      <c r="O2420" s="227" t="n"/>
      <c r="P2420" s="227" t="n"/>
      <c r="Q2420" s="227" t="n"/>
      <c r="R2420" s="227" t="n"/>
      <c r="S2420" s="227" t="n"/>
      <c r="T2420" s="227" t="n"/>
    </row>
    <row r="2421">
      <c r="A2421" s="145">
        <f>IF($B2421="","",ROW()-5)</f>
        <v/>
      </c>
      <c r="B2421" s="127" t="n"/>
      <c r="C2421" s="223" t="n"/>
      <c r="D2421" s="127" t="n"/>
      <c r="E2421" s="227" t="n"/>
      <c r="F2421" s="227" t="n"/>
      <c r="G2421" s="227" t="n"/>
      <c r="H2421" s="227" t="n"/>
      <c r="I2421" s="227" t="n"/>
      <c r="J2421" s="227" t="n"/>
      <c r="K2421" s="227" t="n"/>
      <c r="L2421" s="227" t="n"/>
      <c r="M2421" s="227" t="n"/>
      <c r="N2421" s="127" t="n"/>
      <c r="O2421" s="227" t="n"/>
      <c r="P2421" s="227" t="n"/>
      <c r="Q2421" s="227" t="n"/>
      <c r="R2421" s="227" t="n"/>
      <c r="S2421" s="227" t="n"/>
      <c r="T2421" s="227" t="n"/>
    </row>
    <row r="2422">
      <c r="A2422" s="145">
        <f>IF($B2422="","",ROW()-5)</f>
        <v/>
      </c>
      <c r="B2422" s="127" t="n"/>
      <c r="C2422" s="223" t="n"/>
      <c r="D2422" s="127" t="n"/>
      <c r="E2422" s="227" t="n"/>
      <c r="F2422" s="227" t="n"/>
      <c r="G2422" s="227" t="n"/>
      <c r="H2422" s="227" t="n"/>
      <c r="I2422" s="227" t="n"/>
      <c r="J2422" s="227" t="n"/>
      <c r="K2422" s="227" t="n"/>
      <c r="L2422" s="227" t="n"/>
      <c r="M2422" s="227" t="n"/>
      <c r="N2422" s="127" t="n"/>
      <c r="O2422" s="227" t="n"/>
      <c r="P2422" s="227" t="n"/>
      <c r="Q2422" s="227" t="n"/>
      <c r="R2422" s="227" t="n"/>
      <c r="S2422" s="227" t="n"/>
      <c r="T2422" s="227" t="n"/>
    </row>
    <row r="2423">
      <c r="A2423" s="145">
        <f>IF($B2423="","",ROW()-5)</f>
        <v/>
      </c>
      <c r="B2423" s="127" t="n"/>
      <c r="C2423" s="223" t="n"/>
      <c r="D2423" s="127" t="n"/>
      <c r="E2423" s="227" t="n"/>
      <c r="F2423" s="227" t="n"/>
      <c r="G2423" s="227" t="n"/>
      <c r="H2423" s="227" t="n"/>
      <c r="I2423" s="227" t="n"/>
      <c r="J2423" s="227" t="n"/>
      <c r="K2423" s="227" t="n"/>
      <c r="L2423" s="227" t="n"/>
      <c r="M2423" s="227" t="n"/>
      <c r="N2423" s="127" t="n"/>
      <c r="O2423" s="227" t="n"/>
      <c r="P2423" s="227" t="n"/>
      <c r="Q2423" s="227" t="n"/>
      <c r="R2423" s="227" t="n"/>
      <c r="S2423" s="227" t="n"/>
      <c r="T2423" s="227" t="n"/>
    </row>
    <row r="2424">
      <c r="A2424" s="145">
        <f>IF($B2424="","",ROW()-5)</f>
        <v/>
      </c>
      <c r="B2424" s="127" t="n"/>
      <c r="C2424" s="223" t="n"/>
      <c r="D2424" s="127" t="n"/>
      <c r="E2424" s="227" t="n"/>
      <c r="F2424" s="227" t="n"/>
      <c r="G2424" s="227" t="n"/>
      <c r="H2424" s="227" t="n"/>
      <c r="I2424" s="227" t="n"/>
      <c r="J2424" s="227" t="n"/>
      <c r="K2424" s="227" t="n"/>
      <c r="L2424" s="227" t="n"/>
      <c r="M2424" s="227" t="n"/>
      <c r="N2424" s="127" t="n"/>
      <c r="O2424" s="227" t="n"/>
      <c r="P2424" s="227" t="n"/>
      <c r="Q2424" s="227" t="n"/>
      <c r="R2424" s="227" t="n"/>
      <c r="S2424" s="227" t="n"/>
      <c r="T2424" s="227" t="n"/>
    </row>
    <row r="2425">
      <c r="A2425" s="145">
        <f>IF($B2425="","",ROW()-5)</f>
        <v/>
      </c>
      <c r="B2425" s="127" t="n"/>
      <c r="C2425" s="223" t="n"/>
      <c r="D2425" s="127" t="n"/>
      <c r="E2425" s="227" t="n"/>
      <c r="F2425" s="227" t="n"/>
      <c r="G2425" s="227" t="n"/>
      <c r="H2425" s="227" t="n"/>
      <c r="I2425" s="227" t="n"/>
      <c r="J2425" s="227" t="n"/>
      <c r="K2425" s="227" t="n"/>
      <c r="L2425" s="227" t="n"/>
      <c r="M2425" s="227" t="n"/>
      <c r="N2425" s="127" t="n"/>
      <c r="O2425" s="227" t="n"/>
      <c r="P2425" s="227" t="n"/>
      <c r="Q2425" s="227" t="n"/>
      <c r="R2425" s="227" t="n"/>
      <c r="S2425" s="227" t="n"/>
      <c r="T2425" s="227" t="n"/>
    </row>
    <row r="2426">
      <c r="A2426" s="145">
        <f>IF($B2426="","",ROW()-5)</f>
        <v/>
      </c>
      <c r="B2426" s="127" t="n"/>
      <c r="C2426" s="223" t="n"/>
      <c r="D2426" s="127" t="n"/>
      <c r="E2426" s="227" t="n"/>
      <c r="F2426" s="227" t="n"/>
      <c r="G2426" s="227" t="n"/>
      <c r="H2426" s="227" t="n"/>
      <c r="I2426" s="227" t="n"/>
      <c r="J2426" s="227" t="n"/>
      <c r="K2426" s="227" t="n"/>
      <c r="L2426" s="227" t="n"/>
      <c r="M2426" s="227" t="n"/>
      <c r="N2426" s="127" t="n"/>
      <c r="O2426" s="227" t="n"/>
      <c r="P2426" s="227" t="n"/>
      <c r="Q2426" s="227" t="n"/>
      <c r="R2426" s="227" t="n"/>
      <c r="S2426" s="227" t="n"/>
      <c r="T2426" s="227" t="n"/>
    </row>
    <row r="2427">
      <c r="A2427" s="145">
        <f>IF($B2427="","",ROW()-5)</f>
        <v/>
      </c>
      <c r="B2427" s="127" t="n"/>
      <c r="C2427" s="223" t="n"/>
      <c r="D2427" s="127" t="n"/>
      <c r="E2427" s="227" t="n"/>
      <c r="F2427" s="227" t="n"/>
      <c r="G2427" s="227" t="n"/>
      <c r="H2427" s="227" t="n"/>
      <c r="I2427" s="227" t="n"/>
      <c r="J2427" s="227" t="n"/>
      <c r="K2427" s="227" t="n"/>
      <c r="L2427" s="227" t="n"/>
      <c r="M2427" s="227" t="n"/>
      <c r="N2427" s="127" t="n"/>
      <c r="O2427" s="227" t="n"/>
      <c r="P2427" s="227" t="n"/>
      <c r="Q2427" s="227" t="n"/>
      <c r="R2427" s="227" t="n"/>
      <c r="S2427" s="227" t="n"/>
      <c r="T2427" s="227" t="n"/>
    </row>
    <row r="2428">
      <c r="A2428" s="145">
        <f>IF($B2428="","",ROW()-5)</f>
        <v/>
      </c>
      <c r="B2428" s="127" t="n"/>
      <c r="C2428" s="223" t="n"/>
      <c r="D2428" s="127" t="n"/>
      <c r="E2428" s="227" t="n"/>
      <c r="F2428" s="227" t="n"/>
      <c r="G2428" s="227" t="n"/>
      <c r="H2428" s="227" t="n"/>
      <c r="I2428" s="227" t="n"/>
      <c r="J2428" s="227" t="n"/>
      <c r="K2428" s="227" t="n"/>
      <c r="L2428" s="227" t="n"/>
      <c r="M2428" s="227" t="n"/>
      <c r="N2428" s="127" t="n"/>
      <c r="O2428" s="227" t="n"/>
      <c r="P2428" s="227" t="n"/>
      <c r="Q2428" s="227" t="n"/>
      <c r="R2428" s="227" t="n"/>
      <c r="S2428" s="227" t="n"/>
      <c r="T2428" s="227" t="n"/>
    </row>
    <row r="2429">
      <c r="A2429" s="145">
        <f>IF($B2429="","",ROW()-5)</f>
        <v/>
      </c>
      <c r="B2429" s="127" t="n"/>
      <c r="C2429" s="223" t="n"/>
      <c r="D2429" s="127" t="n"/>
      <c r="E2429" s="227" t="n"/>
      <c r="F2429" s="227" t="n"/>
      <c r="G2429" s="227" t="n"/>
      <c r="H2429" s="227" t="n"/>
      <c r="I2429" s="227" t="n"/>
      <c r="J2429" s="227" t="n"/>
      <c r="K2429" s="227" t="n"/>
      <c r="L2429" s="227" t="n"/>
      <c r="M2429" s="227" t="n"/>
      <c r="N2429" s="127" t="n"/>
      <c r="O2429" s="227" t="n"/>
      <c r="P2429" s="227" t="n"/>
      <c r="Q2429" s="227" t="n"/>
      <c r="R2429" s="227" t="n"/>
      <c r="S2429" s="227" t="n"/>
      <c r="T2429" s="227" t="n"/>
    </row>
    <row r="2430">
      <c r="A2430" s="145">
        <f>IF($B2430="","",ROW()-5)</f>
        <v/>
      </c>
      <c r="B2430" s="127" t="n"/>
      <c r="C2430" s="223" t="n"/>
      <c r="D2430" s="127" t="n"/>
      <c r="E2430" s="227" t="n"/>
      <c r="F2430" s="227" t="n"/>
      <c r="G2430" s="227" t="n"/>
      <c r="H2430" s="227" t="n"/>
      <c r="I2430" s="227" t="n"/>
      <c r="J2430" s="227" t="n"/>
      <c r="K2430" s="227" t="n"/>
      <c r="L2430" s="227" t="n"/>
      <c r="M2430" s="227" t="n"/>
      <c r="N2430" s="127" t="n"/>
      <c r="O2430" s="227" t="n"/>
      <c r="P2430" s="227" t="n"/>
      <c r="Q2430" s="227" t="n"/>
      <c r="R2430" s="227" t="n"/>
      <c r="S2430" s="227" t="n"/>
      <c r="T2430" s="227" t="n"/>
    </row>
    <row r="2431">
      <c r="A2431" s="145">
        <f>IF($B2431="","",ROW()-5)</f>
        <v/>
      </c>
      <c r="B2431" s="127" t="n"/>
      <c r="C2431" s="223" t="n"/>
      <c r="D2431" s="127" t="n"/>
      <c r="E2431" s="227" t="n"/>
      <c r="F2431" s="227" t="n"/>
      <c r="G2431" s="227" t="n"/>
      <c r="H2431" s="227" t="n"/>
      <c r="I2431" s="227" t="n"/>
      <c r="J2431" s="227" t="n"/>
      <c r="K2431" s="227" t="n"/>
      <c r="L2431" s="227" t="n"/>
      <c r="M2431" s="227" t="n"/>
      <c r="N2431" s="127" t="n"/>
      <c r="O2431" s="227" t="n"/>
      <c r="P2431" s="227" t="n"/>
      <c r="Q2431" s="227" t="n"/>
      <c r="R2431" s="227" t="n"/>
      <c r="S2431" s="227" t="n"/>
      <c r="T2431" s="227" t="n"/>
    </row>
    <row r="2432">
      <c r="A2432" s="145">
        <f>IF($B2432="","",ROW()-5)</f>
        <v/>
      </c>
      <c r="B2432" s="127" t="n"/>
      <c r="C2432" s="223" t="n"/>
      <c r="D2432" s="127" t="n"/>
      <c r="E2432" s="227" t="n"/>
      <c r="F2432" s="227" t="n"/>
      <c r="G2432" s="227" t="n"/>
      <c r="H2432" s="227" t="n"/>
      <c r="I2432" s="227" t="n"/>
      <c r="J2432" s="227" t="n"/>
      <c r="K2432" s="227" t="n"/>
      <c r="L2432" s="227" t="n"/>
      <c r="M2432" s="227" t="n"/>
      <c r="N2432" s="127" t="n"/>
      <c r="O2432" s="227" t="n"/>
      <c r="P2432" s="227" t="n"/>
      <c r="Q2432" s="227" t="n"/>
      <c r="R2432" s="227" t="n"/>
      <c r="S2432" s="227" t="n"/>
      <c r="T2432" s="227" t="n"/>
    </row>
    <row r="2433">
      <c r="A2433" s="145">
        <f>IF($B2433="","",ROW()-5)</f>
        <v/>
      </c>
      <c r="B2433" s="127" t="n"/>
      <c r="C2433" s="223" t="n"/>
      <c r="D2433" s="127" t="n"/>
      <c r="E2433" s="227" t="n"/>
      <c r="F2433" s="227" t="n"/>
      <c r="G2433" s="227" t="n"/>
      <c r="H2433" s="227" t="n"/>
      <c r="I2433" s="227" t="n"/>
      <c r="J2433" s="227" t="n"/>
      <c r="K2433" s="227" t="n"/>
      <c r="L2433" s="227" t="n"/>
      <c r="M2433" s="227" t="n"/>
      <c r="N2433" s="127" t="n"/>
      <c r="O2433" s="227" t="n"/>
      <c r="P2433" s="227" t="n"/>
      <c r="Q2433" s="227" t="n"/>
      <c r="R2433" s="227" t="n"/>
      <c r="S2433" s="227" t="n"/>
      <c r="T2433" s="227" t="n"/>
    </row>
    <row r="2434">
      <c r="A2434" s="145">
        <f>IF($B2434="","",ROW()-5)</f>
        <v/>
      </c>
      <c r="B2434" s="127" t="n"/>
      <c r="C2434" s="223" t="n"/>
      <c r="D2434" s="127" t="n"/>
      <c r="E2434" s="227" t="n"/>
      <c r="F2434" s="227" t="n"/>
      <c r="G2434" s="227" t="n"/>
      <c r="H2434" s="227" t="n"/>
      <c r="I2434" s="227" t="n"/>
      <c r="J2434" s="227" t="n"/>
      <c r="K2434" s="227" t="n"/>
      <c r="L2434" s="227" t="n"/>
      <c r="M2434" s="227" t="n"/>
      <c r="N2434" s="127" t="n"/>
      <c r="O2434" s="227" t="n"/>
      <c r="P2434" s="227" t="n"/>
      <c r="Q2434" s="227" t="n"/>
      <c r="R2434" s="227" t="n"/>
      <c r="S2434" s="227" t="n"/>
      <c r="T2434" s="227" t="n"/>
    </row>
    <row r="2435">
      <c r="A2435" s="145">
        <f>IF($B2435="","",ROW()-5)</f>
        <v/>
      </c>
      <c r="B2435" s="127" t="n"/>
      <c r="C2435" s="223" t="n"/>
      <c r="D2435" s="127" t="n"/>
      <c r="E2435" s="227" t="n"/>
      <c r="F2435" s="227" t="n"/>
      <c r="G2435" s="227" t="n"/>
      <c r="H2435" s="227" t="n"/>
      <c r="I2435" s="227" t="n"/>
      <c r="J2435" s="227" t="n"/>
      <c r="K2435" s="227" t="n"/>
      <c r="L2435" s="227" t="n"/>
      <c r="M2435" s="227" t="n"/>
      <c r="N2435" s="127" t="n"/>
      <c r="O2435" s="227" t="n"/>
      <c r="P2435" s="227" t="n"/>
      <c r="Q2435" s="227" t="n"/>
      <c r="R2435" s="227" t="n"/>
      <c r="S2435" s="227" t="n"/>
      <c r="T2435" s="227" t="n"/>
    </row>
    <row r="2436">
      <c r="A2436" s="145">
        <f>IF($B2436="","",ROW()-5)</f>
        <v/>
      </c>
      <c r="B2436" s="127" t="n"/>
      <c r="C2436" s="223" t="n"/>
      <c r="D2436" s="127" t="n"/>
      <c r="E2436" s="227" t="n"/>
      <c r="F2436" s="227" t="n"/>
      <c r="G2436" s="227" t="n"/>
      <c r="H2436" s="227" t="n"/>
      <c r="I2436" s="227" t="n"/>
      <c r="J2436" s="227" t="n"/>
      <c r="K2436" s="227" t="n"/>
      <c r="L2436" s="227" t="n"/>
      <c r="M2436" s="227" t="n"/>
      <c r="N2436" s="127" t="n"/>
      <c r="O2436" s="227" t="n"/>
      <c r="P2436" s="227" t="n"/>
      <c r="Q2436" s="227" t="n"/>
      <c r="R2436" s="227" t="n"/>
      <c r="S2436" s="227" t="n"/>
      <c r="T2436" s="227" t="n"/>
    </row>
    <row r="2437">
      <c r="A2437" s="145">
        <f>IF($B2437="","",ROW()-5)</f>
        <v/>
      </c>
      <c r="B2437" s="127" t="n"/>
      <c r="C2437" s="223" t="n"/>
      <c r="D2437" s="127" t="n"/>
      <c r="E2437" s="227" t="n"/>
      <c r="F2437" s="227" t="n"/>
      <c r="G2437" s="227" t="n"/>
      <c r="H2437" s="227" t="n"/>
      <c r="I2437" s="227" t="n"/>
      <c r="J2437" s="227" t="n"/>
      <c r="K2437" s="227" t="n"/>
      <c r="L2437" s="227" t="n"/>
      <c r="M2437" s="227" t="n"/>
      <c r="N2437" s="127" t="n"/>
      <c r="O2437" s="227" t="n"/>
      <c r="P2437" s="227" t="n"/>
      <c r="Q2437" s="227" t="n"/>
      <c r="R2437" s="227" t="n"/>
      <c r="S2437" s="227" t="n"/>
      <c r="T2437" s="227" t="n"/>
    </row>
    <row r="2438">
      <c r="A2438" s="145">
        <f>IF($B2438="","",ROW()-5)</f>
        <v/>
      </c>
      <c r="B2438" s="127" t="n"/>
      <c r="C2438" s="223" t="n"/>
      <c r="D2438" s="127" t="n"/>
      <c r="E2438" s="227" t="n"/>
      <c r="F2438" s="227" t="n"/>
      <c r="G2438" s="227" t="n"/>
      <c r="H2438" s="227" t="n"/>
      <c r="I2438" s="227" t="n"/>
      <c r="J2438" s="227" t="n"/>
      <c r="K2438" s="227" t="n"/>
      <c r="L2438" s="227" t="n"/>
      <c r="M2438" s="227" t="n"/>
      <c r="N2438" s="127" t="n"/>
      <c r="O2438" s="227" t="n"/>
      <c r="P2438" s="227" t="n"/>
      <c r="Q2438" s="227" t="n"/>
      <c r="R2438" s="227" t="n"/>
      <c r="S2438" s="227" t="n"/>
      <c r="T2438" s="227" t="n"/>
    </row>
    <row r="2439">
      <c r="A2439" s="145">
        <f>IF($B2439="","",ROW()-5)</f>
        <v/>
      </c>
      <c r="B2439" s="127" t="n"/>
      <c r="C2439" s="223" t="n"/>
      <c r="D2439" s="127" t="n"/>
      <c r="E2439" s="227" t="n"/>
      <c r="F2439" s="227" t="n"/>
      <c r="G2439" s="227" t="n"/>
      <c r="H2439" s="227" t="n"/>
      <c r="I2439" s="227" t="n"/>
      <c r="J2439" s="227" t="n"/>
      <c r="K2439" s="227" t="n"/>
      <c r="L2439" s="227" t="n"/>
      <c r="M2439" s="227" t="n"/>
      <c r="N2439" s="127" t="n"/>
      <c r="O2439" s="227" t="n"/>
      <c r="P2439" s="227" t="n"/>
      <c r="Q2439" s="227" t="n"/>
      <c r="R2439" s="227" t="n"/>
      <c r="S2439" s="227" t="n"/>
      <c r="T2439" s="227" t="n"/>
    </row>
    <row r="2440">
      <c r="A2440" s="145">
        <f>IF($B2440="","",ROW()-5)</f>
        <v/>
      </c>
      <c r="B2440" s="127" t="n"/>
      <c r="C2440" s="223" t="n"/>
      <c r="D2440" s="127" t="n"/>
      <c r="E2440" s="227" t="n"/>
      <c r="F2440" s="227" t="n"/>
      <c r="G2440" s="227" t="n"/>
      <c r="H2440" s="227" t="n"/>
      <c r="I2440" s="227" t="n"/>
      <c r="J2440" s="227" t="n"/>
      <c r="K2440" s="227" t="n"/>
      <c r="L2440" s="227" t="n"/>
      <c r="M2440" s="227" t="n"/>
      <c r="N2440" s="127" t="n"/>
      <c r="O2440" s="227" t="n"/>
      <c r="P2440" s="227" t="n"/>
      <c r="Q2440" s="227" t="n"/>
      <c r="R2440" s="227" t="n"/>
      <c r="S2440" s="227" t="n"/>
      <c r="T2440" s="227" t="n"/>
    </row>
    <row r="2441">
      <c r="A2441" s="145">
        <f>IF($B2441="","",ROW()-5)</f>
        <v/>
      </c>
      <c r="B2441" s="127" t="n"/>
      <c r="C2441" s="223" t="n"/>
      <c r="D2441" s="127" t="n"/>
      <c r="E2441" s="227" t="n"/>
      <c r="F2441" s="227" t="n"/>
      <c r="G2441" s="227" t="n"/>
      <c r="H2441" s="227" t="n"/>
      <c r="I2441" s="227" t="n"/>
      <c r="J2441" s="227" t="n"/>
      <c r="K2441" s="227" t="n"/>
      <c r="L2441" s="227" t="n"/>
      <c r="M2441" s="227" t="n"/>
      <c r="N2441" s="127" t="n"/>
      <c r="O2441" s="227" t="n"/>
      <c r="P2441" s="227" t="n"/>
      <c r="Q2441" s="227" t="n"/>
      <c r="R2441" s="227" t="n"/>
      <c r="S2441" s="227" t="n"/>
      <c r="T2441" s="227" t="n"/>
    </row>
    <row r="2442">
      <c r="A2442" s="145">
        <f>IF($B2442="","",ROW()-5)</f>
        <v/>
      </c>
      <c r="B2442" s="127" t="n"/>
      <c r="C2442" s="223" t="n"/>
      <c r="D2442" s="127" t="n"/>
      <c r="E2442" s="227" t="n"/>
      <c r="F2442" s="227" t="n"/>
      <c r="G2442" s="227" t="n"/>
      <c r="H2442" s="227" t="n"/>
      <c r="I2442" s="227" t="n"/>
      <c r="J2442" s="227" t="n"/>
      <c r="K2442" s="227" t="n"/>
      <c r="L2442" s="227" t="n"/>
      <c r="M2442" s="227" t="n"/>
      <c r="N2442" s="127" t="n"/>
      <c r="O2442" s="227" t="n"/>
      <c r="P2442" s="227" t="n"/>
      <c r="Q2442" s="227" t="n"/>
      <c r="R2442" s="227" t="n"/>
      <c r="S2442" s="227" t="n"/>
      <c r="T2442" s="227" t="n"/>
    </row>
    <row r="2443">
      <c r="A2443" s="145">
        <f>IF($B2443="","",ROW()-5)</f>
        <v/>
      </c>
      <c r="B2443" s="127" t="n"/>
      <c r="C2443" s="223" t="n"/>
      <c r="D2443" s="127" t="n"/>
      <c r="E2443" s="227" t="n"/>
      <c r="F2443" s="227" t="n"/>
      <c r="G2443" s="227" t="n"/>
      <c r="H2443" s="227" t="n"/>
      <c r="I2443" s="227" t="n"/>
      <c r="J2443" s="227" t="n"/>
      <c r="K2443" s="227" t="n"/>
      <c r="L2443" s="227" t="n"/>
      <c r="M2443" s="227" t="n"/>
      <c r="N2443" s="127" t="n"/>
      <c r="O2443" s="227" t="n"/>
      <c r="P2443" s="227" t="n"/>
      <c r="Q2443" s="227" t="n"/>
      <c r="R2443" s="227" t="n"/>
      <c r="S2443" s="227" t="n"/>
      <c r="T2443" s="227" t="n"/>
    </row>
    <row r="2444">
      <c r="A2444" s="145">
        <f>IF($B2444="","",ROW()-5)</f>
        <v/>
      </c>
      <c r="B2444" s="127" t="n"/>
      <c r="C2444" s="223" t="n"/>
      <c r="D2444" s="127" t="n"/>
      <c r="E2444" s="227" t="n"/>
      <c r="F2444" s="227" t="n"/>
      <c r="G2444" s="227" t="n"/>
      <c r="H2444" s="227" t="n"/>
      <c r="I2444" s="227" t="n"/>
      <c r="J2444" s="227" t="n"/>
      <c r="K2444" s="227" t="n"/>
      <c r="L2444" s="227" t="n"/>
      <c r="M2444" s="227" t="n"/>
      <c r="N2444" s="127" t="n"/>
      <c r="O2444" s="227" t="n"/>
      <c r="P2444" s="227" t="n"/>
      <c r="Q2444" s="227" t="n"/>
      <c r="R2444" s="227" t="n"/>
      <c r="S2444" s="227" t="n"/>
      <c r="T2444" s="227" t="n"/>
    </row>
    <row r="2445">
      <c r="A2445" s="145">
        <f>IF($B2445="","",ROW()-5)</f>
        <v/>
      </c>
      <c r="B2445" s="127" t="n"/>
      <c r="C2445" s="223" t="n"/>
      <c r="D2445" s="127" t="n"/>
      <c r="E2445" s="227" t="n"/>
      <c r="F2445" s="227" t="n"/>
      <c r="G2445" s="227" t="n"/>
      <c r="H2445" s="227" t="n"/>
      <c r="I2445" s="227" t="n"/>
      <c r="J2445" s="227" t="n"/>
      <c r="K2445" s="227" t="n"/>
      <c r="L2445" s="227" t="n"/>
      <c r="M2445" s="227" t="n"/>
      <c r="N2445" s="127" t="n"/>
      <c r="O2445" s="227" t="n"/>
      <c r="P2445" s="227" t="n"/>
      <c r="Q2445" s="227" t="n"/>
      <c r="R2445" s="227" t="n"/>
      <c r="S2445" s="227" t="n"/>
      <c r="T2445" s="227" t="n"/>
    </row>
    <row r="2446">
      <c r="A2446" s="145">
        <f>IF($B2446="","",ROW()-5)</f>
        <v/>
      </c>
      <c r="B2446" s="127" t="n"/>
      <c r="C2446" s="223" t="n"/>
      <c r="D2446" s="127" t="n"/>
      <c r="E2446" s="227" t="n"/>
      <c r="F2446" s="227" t="n"/>
      <c r="G2446" s="227" t="n"/>
      <c r="H2446" s="227" t="n"/>
      <c r="I2446" s="227" t="n"/>
      <c r="J2446" s="227" t="n"/>
      <c r="K2446" s="227" t="n"/>
      <c r="L2446" s="227" t="n"/>
      <c r="M2446" s="227" t="n"/>
      <c r="N2446" s="127" t="n"/>
      <c r="O2446" s="227" t="n"/>
      <c r="P2446" s="227" t="n"/>
      <c r="Q2446" s="227" t="n"/>
      <c r="R2446" s="227" t="n"/>
      <c r="S2446" s="227" t="n"/>
      <c r="T2446" s="227" t="n"/>
    </row>
    <row r="2447">
      <c r="A2447" s="145">
        <f>IF($B2447="","",ROW()-5)</f>
        <v/>
      </c>
      <c r="B2447" s="127" t="n"/>
      <c r="C2447" s="223" t="n"/>
      <c r="D2447" s="127" t="n"/>
      <c r="E2447" s="227" t="n"/>
      <c r="F2447" s="227" t="n"/>
      <c r="G2447" s="227" t="n"/>
      <c r="H2447" s="227" t="n"/>
      <c r="I2447" s="227" t="n"/>
      <c r="J2447" s="227" t="n"/>
      <c r="K2447" s="227" t="n"/>
      <c r="L2447" s="227" t="n"/>
      <c r="M2447" s="227" t="n"/>
      <c r="N2447" s="127" t="n"/>
      <c r="O2447" s="227" t="n"/>
      <c r="P2447" s="227" t="n"/>
      <c r="Q2447" s="227" t="n"/>
      <c r="R2447" s="227" t="n"/>
      <c r="S2447" s="227" t="n"/>
      <c r="T2447" s="227" t="n"/>
    </row>
    <row r="2448">
      <c r="A2448" s="145">
        <f>IF($B2448="","",ROW()-5)</f>
        <v/>
      </c>
      <c r="B2448" s="127" t="n"/>
      <c r="C2448" s="223" t="n"/>
      <c r="D2448" s="127" t="n"/>
      <c r="E2448" s="227" t="n"/>
      <c r="F2448" s="227" t="n"/>
      <c r="G2448" s="227" t="n"/>
      <c r="H2448" s="227" t="n"/>
      <c r="I2448" s="227" t="n"/>
      <c r="J2448" s="227" t="n"/>
      <c r="K2448" s="227" t="n"/>
      <c r="L2448" s="227" t="n"/>
      <c r="M2448" s="227" t="n"/>
      <c r="N2448" s="127" t="n"/>
      <c r="O2448" s="227" t="n"/>
      <c r="P2448" s="227" t="n"/>
      <c r="Q2448" s="227" t="n"/>
      <c r="R2448" s="227" t="n"/>
      <c r="S2448" s="227" t="n"/>
      <c r="T2448" s="227" t="n"/>
    </row>
    <row r="2449">
      <c r="A2449" s="145">
        <f>IF($B2449="","",ROW()-5)</f>
        <v/>
      </c>
      <c r="B2449" s="127" t="n"/>
      <c r="C2449" s="223" t="n"/>
      <c r="D2449" s="127" t="n"/>
      <c r="E2449" s="227" t="n"/>
      <c r="F2449" s="227" t="n"/>
      <c r="G2449" s="227" t="n"/>
      <c r="H2449" s="227" t="n"/>
      <c r="I2449" s="227" t="n"/>
      <c r="J2449" s="227" t="n"/>
      <c r="K2449" s="227" t="n"/>
      <c r="L2449" s="227" t="n"/>
      <c r="M2449" s="227" t="n"/>
      <c r="N2449" s="127" t="n"/>
      <c r="O2449" s="227" t="n"/>
      <c r="P2449" s="227" t="n"/>
      <c r="Q2449" s="227" t="n"/>
      <c r="R2449" s="227" t="n"/>
      <c r="S2449" s="227" t="n"/>
      <c r="T2449" s="227" t="n"/>
    </row>
    <row r="2450">
      <c r="A2450" s="145">
        <f>IF($B2450="","",ROW()-5)</f>
        <v/>
      </c>
      <c r="B2450" s="127" t="n"/>
      <c r="C2450" s="223" t="n"/>
      <c r="D2450" s="127" t="n"/>
      <c r="E2450" s="227" t="n"/>
      <c r="F2450" s="227" t="n"/>
      <c r="G2450" s="227" t="n"/>
      <c r="H2450" s="227" t="n"/>
      <c r="I2450" s="227" t="n"/>
      <c r="J2450" s="227" t="n"/>
      <c r="K2450" s="227" t="n"/>
      <c r="L2450" s="227" t="n"/>
      <c r="M2450" s="227" t="n"/>
      <c r="N2450" s="127" t="n"/>
      <c r="O2450" s="227" t="n"/>
      <c r="P2450" s="227" t="n"/>
      <c r="Q2450" s="227" t="n"/>
      <c r="R2450" s="227" t="n"/>
      <c r="S2450" s="227" t="n"/>
      <c r="T2450" s="227" t="n"/>
    </row>
    <row r="2451">
      <c r="A2451" s="145">
        <f>IF($B2451="","",ROW()-5)</f>
        <v/>
      </c>
      <c r="B2451" s="127" t="n"/>
      <c r="C2451" s="223" t="n"/>
      <c r="D2451" s="127" t="n"/>
      <c r="E2451" s="227" t="n"/>
      <c r="F2451" s="227" t="n"/>
      <c r="G2451" s="227" t="n"/>
      <c r="H2451" s="227" t="n"/>
      <c r="I2451" s="227" t="n"/>
      <c r="J2451" s="227" t="n"/>
      <c r="K2451" s="227" t="n"/>
      <c r="L2451" s="227" t="n"/>
      <c r="M2451" s="227" t="n"/>
      <c r="N2451" s="127" t="n"/>
      <c r="O2451" s="227" t="n"/>
      <c r="P2451" s="227" t="n"/>
      <c r="Q2451" s="227" t="n"/>
      <c r="R2451" s="227" t="n"/>
      <c r="S2451" s="227" t="n"/>
      <c r="T2451" s="227" t="n"/>
    </row>
    <row r="2452">
      <c r="A2452" s="145">
        <f>IF($B2452="","",ROW()-5)</f>
        <v/>
      </c>
      <c r="B2452" s="127" t="n"/>
      <c r="C2452" s="223" t="n"/>
      <c r="D2452" s="127" t="n"/>
      <c r="E2452" s="227" t="n"/>
      <c r="F2452" s="227" t="n"/>
      <c r="G2452" s="227" t="n"/>
      <c r="H2452" s="227" t="n"/>
      <c r="I2452" s="227" t="n"/>
      <c r="J2452" s="227" t="n"/>
      <c r="K2452" s="227" t="n"/>
      <c r="L2452" s="227" t="n"/>
      <c r="M2452" s="227" t="n"/>
      <c r="N2452" s="127" t="n"/>
      <c r="O2452" s="227" t="n"/>
      <c r="P2452" s="227" t="n"/>
      <c r="Q2452" s="227" t="n"/>
      <c r="R2452" s="227" t="n"/>
      <c r="S2452" s="227" t="n"/>
      <c r="T2452" s="227" t="n"/>
    </row>
    <row r="2453">
      <c r="A2453" s="145">
        <f>IF($B2453="","",ROW()-5)</f>
        <v/>
      </c>
      <c r="B2453" s="127" t="n"/>
      <c r="C2453" s="223" t="n"/>
      <c r="D2453" s="127" t="n"/>
      <c r="E2453" s="227" t="n"/>
      <c r="F2453" s="227" t="n"/>
      <c r="G2453" s="227" t="n"/>
      <c r="H2453" s="227" t="n"/>
      <c r="I2453" s="227" t="n"/>
      <c r="J2453" s="227" t="n"/>
      <c r="K2453" s="227" t="n"/>
      <c r="L2453" s="227" t="n"/>
      <c r="M2453" s="227" t="n"/>
      <c r="N2453" s="127" t="n"/>
      <c r="O2453" s="227" t="n"/>
      <c r="P2453" s="227" t="n"/>
      <c r="Q2453" s="227" t="n"/>
      <c r="R2453" s="227" t="n"/>
      <c r="S2453" s="227" t="n"/>
      <c r="T2453" s="227" t="n"/>
    </row>
    <row r="2454">
      <c r="A2454" s="145">
        <f>IF($B2454="","",ROW()-5)</f>
        <v/>
      </c>
      <c r="B2454" s="127" t="n"/>
      <c r="C2454" s="223" t="n"/>
      <c r="D2454" s="127" t="n"/>
      <c r="E2454" s="227" t="n"/>
      <c r="F2454" s="227" t="n"/>
      <c r="G2454" s="227" t="n"/>
      <c r="H2454" s="227" t="n"/>
      <c r="I2454" s="227" t="n"/>
      <c r="J2454" s="227" t="n"/>
      <c r="K2454" s="227" t="n"/>
      <c r="L2454" s="227" t="n"/>
      <c r="M2454" s="227" t="n"/>
      <c r="N2454" s="127" t="n"/>
      <c r="O2454" s="227" t="n"/>
      <c r="P2454" s="227" t="n"/>
      <c r="Q2454" s="227" t="n"/>
      <c r="R2454" s="227" t="n"/>
      <c r="S2454" s="227" t="n"/>
      <c r="T2454" s="227" t="n"/>
    </row>
    <row r="2455">
      <c r="A2455" s="145">
        <f>IF($B2455="","",ROW()-5)</f>
        <v/>
      </c>
      <c r="B2455" s="127" t="n"/>
      <c r="C2455" s="223" t="n"/>
      <c r="D2455" s="127" t="n"/>
      <c r="E2455" s="227" t="n"/>
      <c r="F2455" s="227" t="n"/>
      <c r="G2455" s="227" t="n"/>
      <c r="H2455" s="227" t="n"/>
      <c r="I2455" s="227" t="n"/>
      <c r="J2455" s="227" t="n"/>
      <c r="K2455" s="227" t="n"/>
      <c r="L2455" s="227" t="n"/>
      <c r="M2455" s="227" t="n"/>
      <c r="N2455" s="127" t="n"/>
      <c r="O2455" s="227" t="n"/>
      <c r="P2455" s="227" t="n"/>
      <c r="Q2455" s="227" t="n"/>
      <c r="R2455" s="227" t="n"/>
      <c r="S2455" s="227" t="n"/>
      <c r="T2455" s="227" t="n"/>
    </row>
    <row r="2456">
      <c r="A2456" s="145">
        <f>IF($B2456="","",ROW()-5)</f>
        <v/>
      </c>
      <c r="B2456" s="127" t="n"/>
      <c r="C2456" s="223" t="n"/>
      <c r="D2456" s="127" t="n"/>
      <c r="E2456" s="227" t="n"/>
      <c r="F2456" s="227" t="n"/>
      <c r="G2456" s="227" t="n"/>
      <c r="H2456" s="227" t="n"/>
      <c r="I2456" s="227" t="n"/>
      <c r="J2456" s="227" t="n"/>
      <c r="K2456" s="227" t="n"/>
      <c r="L2456" s="227" t="n"/>
      <c r="M2456" s="227" t="n"/>
      <c r="N2456" s="127" t="n"/>
      <c r="O2456" s="227" t="n"/>
      <c r="P2456" s="227" t="n"/>
      <c r="Q2456" s="227" t="n"/>
      <c r="R2456" s="227" t="n"/>
      <c r="S2456" s="227" t="n"/>
      <c r="T2456" s="227" t="n"/>
    </row>
    <row r="2457">
      <c r="A2457" s="145">
        <f>IF($B2457="","",ROW()-5)</f>
        <v/>
      </c>
      <c r="B2457" s="127" t="n"/>
      <c r="C2457" s="223" t="n"/>
      <c r="D2457" s="127" t="n"/>
      <c r="E2457" s="227" t="n"/>
      <c r="F2457" s="227" t="n"/>
      <c r="G2457" s="227" t="n"/>
      <c r="H2457" s="227" t="n"/>
      <c r="I2457" s="227" t="n"/>
      <c r="J2457" s="227" t="n"/>
      <c r="K2457" s="227" t="n"/>
      <c r="L2457" s="227" t="n"/>
      <c r="M2457" s="227" t="n"/>
      <c r="N2457" s="127" t="n"/>
      <c r="O2457" s="227" t="n"/>
      <c r="P2457" s="227" t="n"/>
      <c r="Q2457" s="227" t="n"/>
      <c r="R2457" s="227" t="n"/>
      <c r="S2457" s="227" t="n"/>
      <c r="T2457" s="227" t="n"/>
    </row>
    <row r="2458">
      <c r="A2458" s="145">
        <f>IF($B2458="","",ROW()-5)</f>
        <v/>
      </c>
      <c r="B2458" s="127" t="n"/>
      <c r="C2458" s="223" t="n"/>
      <c r="D2458" s="127" t="n"/>
      <c r="E2458" s="227" t="n"/>
      <c r="F2458" s="227" t="n"/>
      <c r="G2458" s="227" t="n"/>
      <c r="H2458" s="227" t="n"/>
      <c r="I2458" s="227" t="n"/>
      <c r="J2458" s="227" t="n"/>
      <c r="K2458" s="227" t="n"/>
      <c r="L2458" s="227" t="n"/>
      <c r="M2458" s="227" t="n"/>
      <c r="N2458" s="127" t="n"/>
      <c r="O2458" s="227" t="n"/>
      <c r="P2458" s="227" t="n"/>
      <c r="Q2458" s="227" t="n"/>
      <c r="R2458" s="227" t="n"/>
      <c r="S2458" s="227" t="n"/>
      <c r="T2458" s="227" t="n"/>
    </row>
    <row r="2459">
      <c r="A2459" s="145">
        <f>IF($B2459="","",ROW()-5)</f>
        <v/>
      </c>
      <c r="B2459" s="127" t="n"/>
      <c r="C2459" s="223" t="n"/>
      <c r="D2459" s="127" t="n"/>
      <c r="E2459" s="227" t="n"/>
      <c r="F2459" s="227" t="n"/>
      <c r="G2459" s="227" t="n"/>
      <c r="H2459" s="227" t="n"/>
      <c r="I2459" s="227" t="n"/>
      <c r="J2459" s="227" t="n"/>
      <c r="K2459" s="227" t="n"/>
      <c r="L2459" s="227" t="n"/>
      <c r="M2459" s="227" t="n"/>
      <c r="N2459" s="127" t="n"/>
      <c r="O2459" s="227" t="n"/>
      <c r="P2459" s="227" t="n"/>
      <c r="Q2459" s="227" t="n"/>
      <c r="R2459" s="227" t="n"/>
      <c r="S2459" s="227" t="n"/>
      <c r="T2459" s="227" t="n"/>
    </row>
    <row r="2460">
      <c r="A2460" s="145">
        <f>IF($B2460="","",ROW()-5)</f>
        <v/>
      </c>
      <c r="B2460" s="127" t="n"/>
      <c r="C2460" s="223" t="n"/>
      <c r="D2460" s="127" t="n"/>
      <c r="E2460" s="227" t="n"/>
      <c r="F2460" s="227" t="n"/>
      <c r="G2460" s="227" t="n"/>
      <c r="H2460" s="227" t="n"/>
      <c r="I2460" s="227" t="n"/>
      <c r="J2460" s="227" t="n"/>
      <c r="K2460" s="227" t="n"/>
      <c r="L2460" s="227" t="n"/>
      <c r="M2460" s="227" t="n"/>
      <c r="N2460" s="127" t="n"/>
      <c r="O2460" s="227" t="n"/>
      <c r="P2460" s="227" t="n"/>
      <c r="Q2460" s="227" t="n"/>
      <c r="R2460" s="227" t="n"/>
      <c r="S2460" s="227" t="n"/>
      <c r="T2460" s="227" t="n"/>
    </row>
    <row r="2461">
      <c r="A2461" s="145">
        <f>IF($B2461="","",ROW()-5)</f>
        <v/>
      </c>
      <c r="B2461" s="127" t="n"/>
      <c r="C2461" s="223" t="n"/>
      <c r="D2461" s="127" t="n"/>
      <c r="E2461" s="227" t="n"/>
      <c r="F2461" s="227" t="n"/>
      <c r="G2461" s="227" t="n"/>
      <c r="H2461" s="227" t="n"/>
      <c r="I2461" s="227" t="n"/>
      <c r="J2461" s="227" t="n"/>
      <c r="K2461" s="227" t="n"/>
      <c r="L2461" s="227" t="n"/>
      <c r="M2461" s="227" t="n"/>
      <c r="N2461" s="127" t="n"/>
      <c r="O2461" s="227" t="n"/>
      <c r="P2461" s="227" t="n"/>
      <c r="Q2461" s="227" t="n"/>
      <c r="R2461" s="227" t="n"/>
      <c r="S2461" s="227" t="n"/>
      <c r="T2461" s="227" t="n"/>
    </row>
    <row r="2462">
      <c r="A2462" s="145">
        <f>IF($B2462="","",ROW()-5)</f>
        <v/>
      </c>
      <c r="B2462" s="127" t="n"/>
      <c r="C2462" s="223" t="n"/>
      <c r="D2462" s="127" t="n"/>
      <c r="E2462" s="227" t="n"/>
      <c r="F2462" s="227" t="n"/>
      <c r="G2462" s="227" t="n"/>
      <c r="H2462" s="227" t="n"/>
      <c r="I2462" s="227" t="n"/>
      <c r="J2462" s="227" t="n"/>
      <c r="K2462" s="227" t="n"/>
      <c r="L2462" s="227" t="n"/>
      <c r="M2462" s="227" t="n"/>
      <c r="N2462" s="127" t="n"/>
      <c r="O2462" s="227" t="n"/>
      <c r="P2462" s="227" t="n"/>
      <c r="Q2462" s="227" t="n"/>
      <c r="R2462" s="227" t="n"/>
      <c r="S2462" s="227" t="n"/>
      <c r="T2462" s="227" t="n"/>
    </row>
    <row r="2463">
      <c r="A2463" s="145">
        <f>IF($B2463="","",ROW()-5)</f>
        <v/>
      </c>
      <c r="B2463" s="127" t="n"/>
      <c r="C2463" s="223" t="n"/>
      <c r="D2463" s="127" t="n"/>
      <c r="E2463" s="227" t="n"/>
      <c r="F2463" s="227" t="n"/>
      <c r="G2463" s="227" t="n"/>
      <c r="H2463" s="227" t="n"/>
      <c r="I2463" s="227" t="n"/>
      <c r="J2463" s="227" t="n"/>
      <c r="K2463" s="227" t="n"/>
      <c r="L2463" s="227" t="n"/>
      <c r="M2463" s="227" t="n"/>
      <c r="N2463" s="127" t="n"/>
      <c r="O2463" s="227" t="n"/>
      <c r="P2463" s="227" t="n"/>
      <c r="Q2463" s="227" t="n"/>
      <c r="R2463" s="227" t="n"/>
      <c r="S2463" s="227" t="n"/>
      <c r="T2463" s="227" t="n"/>
    </row>
    <row r="2464">
      <c r="A2464" s="145">
        <f>IF($B2464="","",ROW()-5)</f>
        <v/>
      </c>
      <c r="B2464" s="127" t="n"/>
      <c r="C2464" s="223" t="n"/>
      <c r="D2464" s="127" t="n"/>
      <c r="E2464" s="227" t="n"/>
      <c r="F2464" s="227" t="n"/>
      <c r="G2464" s="227" t="n"/>
      <c r="H2464" s="227" t="n"/>
      <c r="I2464" s="227" t="n"/>
      <c r="J2464" s="227" t="n"/>
      <c r="K2464" s="227" t="n"/>
      <c r="L2464" s="227" t="n"/>
      <c r="M2464" s="227" t="n"/>
      <c r="N2464" s="127" t="n"/>
      <c r="O2464" s="227" t="n"/>
      <c r="P2464" s="227" t="n"/>
      <c r="Q2464" s="227" t="n"/>
      <c r="R2464" s="227" t="n"/>
      <c r="S2464" s="227" t="n"/>
      <c r="T2464" s="227" t="n"/>
    </row>
    <row r="2465">
      <c r="A2465" s="145">
        <f>IF($B2465="","",ROW()-5)</f>
        <v/>
      </c>
      <c r="B2465" s="127" t="n"/>
      <c r="C2465" s="223" t="n"/>
      <c r="D2465" s="127" t="n"/>
      <c r="E2465" s="227" t="n"/>
      <c r="F2465" s="227" t="n"/>
      <c r="G2465" s="227" t="n"/>
      <c r="H2465" s="227" t="n"/>
      <c r="I2465" s="227" t="n"/>
      <c r="J2465" s="227" t="n"/>
      <c r="K2465" s="227" t="n"/>
      <c r="L2465" s="227" t="n"/>
      <c r="M2465" s="227" t="n"/>
      <c r="N2465" s="127" t="n"/>
      <c r="O2465" s="227" t="n"/>
      <c r="P2465" s="227" t="n"/>
      <c r="Q2465" s="227" t="n"/>
      <c r="R2465" s="227" t="n"/>
      <c r="S2465" s="227" t="n"/>
      <c r="T2465" s="227" t="n"/>
    </row>
    <row r="2466">
      <c r="A2466" s="145">
        <f>IF($B2466="","",ROW()-5)</f>
        <v/>
      </c>
      <c r="B2466" s="127" t="n"/>
      <c r="C2466" s="223" t="n"/>
      <c r="D2466" s="127" t="n"/>
      <c r="E2466" s="227" t="n"/>
      <c r="F2466" s="227" t="n"/>
      <c r="G2466" s="227" t="n"/>
      <c r="H2466" s="227" t="n"/>
      <c r="I2466" s="227" t="n"/>
      <c r="J2466" s="227" t="n"/>
      <c r="K2466" s="227" t="n"/>
      <c r="L2466" s="227" t="n"/>
      <c r="M2466" s="227" t="n"/>
      <c r="N2466" s="127" t="n"/>
      <c r="O2466" s="227" t="n"/>
      <c r="P2466" s="227" t="n"/>
      <c r="Q2466" s="227" t="n"/>
      <c r="R2466" s="227" t="n"/>
      <c r="S2466" s="227" t="n"/>
      <c r="T2466" s="227" t="n"/>
    </row>
    <row r="2467">
      <c r="A2467" s="145">
        <f>IF($B2467="","",ROW()-5)</f>
        <v/>
      </c>
      <c r="B2467" s="127" t="n"/>
      <c r="C2467" s="223" t="n"/>
      <c r="D2467" s="127" t="n"/>
      <c r="E2467" s="227" t="n"/>
      <c r="F2467" s="227" t="n"/>
      <c r="G2467" s="227" t="n"/>
      <c r="H2467" s="227" t="n"/>
      <c r="I2467" s="227" t="n"/>
      <c r="J2467" s="227" t="n"/>
      <c r="K2467" s="227" t="n"/>
      <c r="L2467" s="227" t="n"/>
      <c r="M2467" s="227" t="n"/>
      <c r="N2467" s="127" t="n"/>
      <c r="O2467" s="227" t="n"/>
      <c r="P2467" s="227" t="n"/>
      <c r="Q2467" s="227" t="n"/>
      <c r="R2467" s="227" t="n"/>
      <c r="S2467" s="227" t="n"/>
      <c r="T2467" s="227" t="n"/>
    </row>
    <row r="2468">
      <c r="A2468" s="145">
        <f>IF($B2468="","",ROW()-5)</f>
        <v/>
      </c>
      <c r="B2468" s="127" t="n"/>
      <c r="C2468" s="223" t="n"/>
      <c r="D2468" s="127" t="n"/>
      <c r="E2468" s="227" t="n"/>
      <c r="F2468" s="227" t="n"/>
      <c r="G2468" s="227" t="n"/>
      <c r="H2468" s="227" t="n"/>
      <c r="I2468" s="227" t="n"/>
      <c r="J2468" s="227" t="n"/>
      <c r="K2468" s="227" t="n"/>
      <c r="L2468" s="227" t="n"/>
      <c r="M2468" s="227" t="n"/>
      <c r="N2468" s="127" t="n"/>
      <c r="O2468" s="227" t="n"/>
      <c r="P2468" s="227" t="n"/>
      <c r="Q2468" s="227" t="n"/>
      <c r="R2468" s="227" t="n"/>
      <c r="S2468" s="227" t="n"/>
      <c r="T2468" s="227" t="n"/>
    </row>
    <row r="2469">
      <c r="A2469" s="145">
        <f>IF($B2469="","",ROW()-5)</f>
        <v/>
      </c>
      <c r="B2469" s="127" t="n"/>
      <c r="C2469" s="223" t="n"/>
      <c r="D2469" s="127" t="n"/>
      <c r="E2469" s="227" t="n"/>
      <c r="F2469" s="227" t="n"/>
      <c r="G2469" s="227" t="n"/>
      <c r="H2469" s="227" t="n"/>
      <c r="I2469" s="227" t="n"/>
      <c r="J2469" s="227" t="n"/>
      <c r="K2469" s="227" t="n"/>
      <c r="L2469" s="227" t="n"/>
      <c r="M2469" s="227" t="n"/>
      <c r="N2469" s="127" t="n"/>
      <c r="O2469" s="227" t="n"/>
      <c r="P2469" s="227" t="n"/>
      <c r="Q2469" s="227" t="n"/>
      <c r="R2469" s="227" t="n"/>
      <c r="S2469" s="227" t="n"/>
      <c r="T2469" s="227" t="n"/>
    </row>
    <row r="2470">
      <c r="A2470" s="145">
        <f>IF($B2470="","",ROW()-5)</f>
        <v/>
      </c>
      <c r="B2470" s="127" t="n"/>
      <c r="C2470" s="223" t="n"/>
      <c r="D2470" s="127" t="n"/>
      <c r="E2470" s="227" t="n"/>
      <c r="F2470" s="227" t="n"/>
      <c r="G2470" s="227" t="n"/>
      <c r="H2470" s="227" t="n"/>
      <c r="I2470" s="227" t="n"/>
      <c r="J2470" s="227" t="n"/>
      <c r="K2470" s="227" t="n"/>
      <c r="L2470" s="227" t="n"/>
      <c r="M2470" s="227" t="n"/>
      <c r="N2470" s="127" t="n"/>
      <c r="O2470" s="227" t="n"/>
      <c r="P2470" s="227" t="n"/>
      <c r="Q2470" s="227" t="n"/>
      <c r="R2470" s="227" t="n"/>
      <c r="S2470" s="227" t="n"/>
      <c r="T2470" s="227" t="n"/>
    </row>
    <row r="2471">
      <c r="A2471" s="145">
        <f>IF($B2471="","",ROW()-5)</f>
        <v/>
      </c>
      <c r="B2471" s="127" t="n"/>
      <c r="C2471" s="223" t="n"/>
      <c r="D2471" s="127" t="n"/>
      <c r="E2471" s="227" t="n"/>
      <c r="F2471" s="227" t="n"/>
      <c r="G2471" s="227" t="n"/>
      <c r="H2471" s="227" t="n"/>
      <c r="I2471" s="227" t="n"/>
      <c r="J2471" s="227" t="n"/>
      <c r="K2471" s="227" t="n"/>
      <c r="L2471" s="227" t="n"/>
      <c r="M2471" s="227" t="n"/>
      <c r="N2471" s="127" t="n"/>
      <c r="O2471" s="227" t="n"/>
      <c r="P2471" s="227" t="n"/>
      <c r="Q2471" s="227" t="n"/>
      <c r="R2471" s="227" t="n"/>
      <c r="S2471" s="227" t="n"/>
      <c r="T2471" s="227" t="n"/>
    </row>
    <row r="2472">
      <c r="A2472" s="145">
        <f>IF($B2472="","",ROW()-5)</f>
        <v/>
      </c>
      <c r="B2472" s="127" t="n"/>
      <c r="C2472" s="223" t="n"/>
      <c r="D2472" s="127" t="n"/>
      <c r="E2472" s="227" t="n"/>
      <c r="F2472" s="227" t="n"/>
      <c r="G2472" s="227" t="n"/>
      <c r="H2472" s="227" t="n"/>
      <c r="I2472" s="227" t="n"/>
      <c r="J2472" s="227" t="n"/>
      <c r="K2472" s="227" t="n"/>
      <c r="L2472" s="227" t="n"/>
      <c r="M2472" s="227" t="n"/>
      <c r="N2472" s="127" t="n"/>
      <c r="O2472" s="227" t="n"/>
      <c r="P2472" s="227" t="n"/>
      <c r="Q2472" s="227" t="n"/>
      <c r="R2472" s="227" t="n"/>
      <c r="S2472" s="227" t="n"/>
      <c r="T2472" s="227" t="n"/>
    </row>
    <row r="2473">
      <c r="A2473" s="145">
        <f>IF($B2473="","",ROW()-5)</f>
        <v/>
      </c>
      <c r="B2473" s="127" t="n"/>
      <c r="C2473" s="223" t="n"/>
      <c r="D2473" s="127" t="n"/>
      <c r="E2473" s="227" t="n"/>
      <c r="F2473" s="227" t="n"/>
      <c r="G2473" s="227" t="n"/>
      <c r="H2473" s="227" t="n"/>
      <c r="I2473" s="227" t="n"/>
      <c r="J2473" s="227" t="n"/>
      <c r="K2473" s="227" t="n"/>
      <c r="L2473" s="227" t="n"/>
      <c r="M2473" s="227" t="n"/>
      <c r="N2473" s="127" t="n"/>
      <c r="O2473" s="227" t="n"/>
      <c r="P2473" s="227" t="n"/>
      <c r="Q2473" s="227" t="n"/>
      <c r="R2473" s="227" t="n"/>
      <c r="S2473" s="227" t="n"/>
      <c r="T2473" s="227" t="n"/>
    </row>
    <row r="2474">
      <c r="A2474" s="145">
        <f>IF($B2474="","",ROW()-5)</f>
        <v/>
      </c>
      <c r="B2474" s="127" t="n"/>
      <c r="C2474" s="223" t="n"/>
      <c r="D2474" s="127" t="n"/>
      <c r="E2474" s="227" t="n"/>
      <c r="F2474" s="227" t="n"/>
      <c r="G2474" s="227" t="n"/>
      <c r="H2474" s="227" t="n"/>
      <c r="I2474" s="227" t="n"/>
      <c r="J2474" s="227" t="n"/>
      <c r="K2474" s="227" t="n"/>
      <c r="L2474" s="227" t="n"/>
      <c r="M2474" s="227" t="n"/>
      <c r="N2474" s="127" t="n"/>
      <c r="O2474" s="227" t="n"/>
      <c r="P2474" s="227" t="n"/>
      <c r="Q2474" s="227" t="n"/>
      <c r="R2474" s="227" t="n"/>
      <c r="S2474" s="227" t="n"/>
      <c r="T2474" s="227" t="n"/>
    </row>
    <row r="2475">
      <c r="A2475" s="145">
        <f>IF($B2475="","",ROW()-5)</f>
        <v/>
      </c>
      <c r="B2475" s="127" t="n"/>
      <c r="C2475" s="223" t="n"/>
      <c r="D2475" s="127" t="n"/>
      <c r="E2475" s="227" t="n"/>
      <c r="F2475" s="227" t="n"/>
      <c r="G2475" s="227" t="n"/>
      <c r="H2475" s="227" t="n"/>
      <c r="I2475" s="227" t="n"/>
      <c r="J2475" s="227" t="n"/>
      <c r="K2475" s="227" t="n"/>
      <c r="L2475" s="227" t="n"/>
      <c r="M2475" s="227" t="n"/>
      <c r="N2475" s="127" t="n"/>
      <c r="O2475" s="227" t="n"/>
      <c r="P2475" s="227" t="n"/>
      <c r="Q2475" s="227" t="n"/>
      <c r="R2475" s="227" t="n"/>
      <c r="S2475" s="227" t="n"/>
      <c r="T2475" s="227" t="n"/>
    </row>
    <row r="2476">
      <c r="A2476" s="145">
        <f>IF($B2476="","",ROW()-5)</f>
        <v/>
      </c>
      <c r="B2476" s="127" t="n"/>
      <c r="C2476" s="223" t="n"/>
      <c r="D2476" s="127" t="n"/>
      <c r="E2476" s="227" t="n"/>
      <c r="F2476" s="227" t="n"/>
      <c r="G2476" s="227" t="n"/>
      <c r="H2476" s="227" t="n"/>
      <c r="I2476" s="227" t="n"/>
      <c r="J2476" s="227" t="n"/>
      <c r="K2476" s="227" t="n"/>
      <c r="L2476" s="227" t="n"/>
      <c r="M2476" s="227" t="n"/>
      <c r="N2476" s="127" t="n"/>
      <c r="O2476" s="227" t="n"/>
      <c r="P2476" s="227" t="n"/>
      <c r="Q2476" s="227" t="n"/>
      <c r="R2476" s="227" t="n"/>
      <c r="S2476" s="227" t="n"/>
      <c r="T2476" s="227" t="n"/>
    </row>
    <row r="2477">
      <c r="A2477" s="145">
        <f>IF($B2477="","",ROW()-5)</f>
        <v/>
      </c>
      <c r="B2477" s="127" t="n"/>
      <c r="C2477" s="223" t="n"/>
      <c r="D2477" s="127" t="n"/>
      <c r="E2477" s="227" t="n"/>
      <c r="F2477" s="227" t="n"/>
      <c r="G2477" s="227" t="n"/>
      <c r="H2477" s="227" t="n"/>
      <c r="I2477" s="227" t="n"/>
      <c r="J2477" s="227" t="n"/>
      <c r="K2477" s="227" t="n"/>
      <c r="L2477" s="227" t="n"/>
      <c r="M2477" s="227" t="n"/>
      <c r="N2477" s="127" t="n"/>
      <c r="O2477" s="227" t="n"/>
      <c r="P2477" s="227" t="n"/>
      <c r="Q2477" s="227" t="n"/>
      <c r="R2477" s="227" t="n"/>
      <c r="S2477" s="227" t="n"/>
      <c r="T2477" s="227" t="n"/>
    </row>
    <row r="2478">
      <c r="A2478" s="145">
        <f>IF($B2478="","",ROW()-5)</f>
        <v/>
      </c>
      <c r="B2478" s="127" t="n"/>
      <c r="C2478" s="223" t="n"/>
      <c r="D2478" s="127" t="n"/>
      <c r="E2478" s="227" t="n"/>
      <c r="F2478" s="227" t="n"/>
      <c r="G2478" s="227" t="n"/>
      <c r="H2478" s="227" t="n"/>
      <c r="I2478" s="227" t="n"/>
      <c r="J2478" s="227" t="n"/>
      <c r="K2478" s="227" t="n"/>
      <c r="L2478" s="227" t="n"/>
      <c r="M2478" s="227" t="n"/>
      <c r="N2478" s="127" t="n"/>
      <c r="O2478" s="227" t="n"/>
      <c r="P2478" s="227" t="n"/>
      <c r="Q2478" s="227" t="n"/>
      <c r="R2478" s="227" t="n"/>
      <c r="S2478" s="227" t="n"/>
      <c r="T2478" s="227" t="n"/>
    </row>
    <row r="2479">
      <c r="A2479" s="145">
        <f>IF($B2479="","",ROW()-5)</f>
        <v/>
      </c>
      <c r="B2479" s="127" t="n"/>
      <c r="C2479" s="223" t="n"/>
      <c r="D2479" s="127" t="n"/>
      <c r="E2479" s="227" t="n"/>
      <c r="F2479" s="227" t="n"/>
      <c r="G2479" s="227" t="n"/>
      <c r="H2479" s="227" t="n"/>
      <c r="I2479" s="227" t="n"/>
      <c r="J2479" s="227" t="n"/>
      <c r="K2479" s="227" t="n"/>
      <c r="L2479" s="227" t="n"/>
      <c r="M2479" s="227" t="n"/>
      <c r="N2479" s="127" t="n"/>
      <c r="O2479" s="227" t="n"/>
      <c r="P2479" s="227" t="n"/>
      <c r="Q2479" s="227" t="n"/>
      <c r="R2479" s="227" t="n"/>
      <c r="S2479" s="227" t="n"/>
      <c r="T2479" s="227" t="n"/>
    </row>
    <row r="2480">
      <c r="A2480" s="145">
        <f>IF($B2480="","",ROW()-5)</f>
        <v/>
      </c>
      <c r="B2480" s="127" t="n"/>
      <c r="C2480" s="223" t="n"/>
      <c r="D2480" s="127" t="n"/>
      <c r="E2480" s="227" t="n"/>
      <c r="F2480" s="227" t="n"/>
      <c r="G2480" s="227" t="n"/>
      <c r="H2480" s="227" t="n"/>
      <c r="I2480" s="227" t="n"/>
      <c r="J2480" s="227" t="n"/>
      <c r="K2480" s="227" t="n"/>
      <c r="L2480" s="227" t="n"/>
      <c r="M2480" s="227" t="n"/>
      <c r="N2480" s="127" t="n"/>
      <c r="O2480" s="227" t="n"/>
      <c r="P2480" s="227" t="n"/>
      <c r="Q2480" s="227" t="n"/>
      <c r="R2480" s="227" t="n"/>
      <c r="S2480" s="227" t="n"/>
      <c r="T2480" s="227" t="n"/>
    </row>
    <row r="2481">
      <c r="A2481" s="145">
        <f>IF($B2481="","",ROW()-5)</f>
        <v/>
      </c>
      <c r="B2481" s="127" t="n"/>
      <c r="C2481" s="223" t="n"/>
      <c r="D2481" s="127" t="n"/>
      <c r="E2481" s="227" t="n"/>
      <c r="F2481" s="227" t="n"/>
      <c r="G2481" s="227" t="n"/>
      <c r="H2481" s="227" t="n"/>
      <c r="I2481" s="227" t="n"/>
      <c r="J2481" s="227" t="n"/>
      <c r="K2481" s="227" t="n"/>
      <c r="L2481" s="227" t="n"/>
      <c r="M2481" s="227" t="n"/>
      <c r="N2481" s="127" t="n"/>
      <c r="O2481" s="227" t="n"/>
      <c r="P2481" s="227" t="n"/>
      <c r="Q2481" s="227" t="n"/>
      <c r="R2481" s="227" t="n"/>
      <c r="S2481" s="227" t="n"/>
      <c r="T2481" s="227" t="n"/>
    </row>
    <row r="2482">
      <c r="A2482" s="145">
        <f>IF($B2482="","",ROW()-5)</f>
        <v/>
      </c>
      <c r="B2482" s="127" t="n"/>
      <c r="C2482" s="223" t="n"/>
      <c r="D2482" s="127" t="n"/>
      <c r="E2482" s="227" t="n"/>
      <c r="F2482" s="227" t="n"/>
      <c r="G2482" s="227" t="n"/>
      <c r="H2482" s="227" t="n"/>
      <c r="I2482" s="227" t="n"/>
      <c r="J2482" s="227" t="n"/>
      <c r="K2482" s="227" t="n"/>
      <c r="L2482" s="227" t="n"/>
      <c r="M2482" s="227" t="n"/>
      <c r="N2482" s="127" t="n"/>
      <c r="O2482" s="227" t="n"/>
      <c r="P2482" s="227" t="n"/>
      <c r="Q2482" s="227" t="n"/>
      <c r="R2482" s="227" t="n"/>
      <c r="S2482" s="227" t="n"/>
      <c r="T2482" s="227" t="n"/>
    </row>
    <row r="2483">
      <c r="A2483" s="145">
        <f>IF($B2483="","",ROW()-5)</f>
        <v/>
      </c>
      <c r="B2483" s="127" t="n"/>
      <c r="C2483" s="223" t="n"/>
      <c r="D2483" s="127" t="n"/>
      <c r="E2483" s="227" t="n"/>
      <c r="F2483" s="227" t="n"/>
      <c r="G2483" s="227" t="n"/>
      <c r="H2483" s="227" t="n"/>
      <c r="I2483" s="227" t="n"/>
      <c r="J2483" s="227" t="n"/>
      <c r="K2483" s="227" t="n"/>
      <c r="L2483" s="227" t="n"/>
      <c r="M2483" s="227" t="n"/>
      <c r="N2483" s="127" t="n"/>
      <c r="O2483" s="227" t="n"/>
      <c r="P2483" s="227" t="n"/>
      <c r="Q2483" s="227" t="n"/>
      <c r="R2483" s="227" t="n"/>
      <c r="S2483" s="227" t="n"/>
      <c r="T2483" s="227" t="n"/>
    </row>
    <row r="2484">
      <c r="A2484" s="145">
        <f>IF($B2484="","",ROW()-5)</f>
        <v/>
      </c>
      <c r="B2484" s="127" t="n"/>
      <c r="C2484" s="223" t="n"/>
      <c r="D2484" s="127" t="n"/>
      <c r="E2484" s="227" t="n"/>
      <c r="F2484" s="227" t="n"/>
      <c r="G2484" s="227" t="n"/>
      <c r="H2484" s="227" t="n"/>
      <c r="I2484" s="227" t="n"/>
      <c r="J2484" s="227" t="n"/>
      <c r="K2484" s="227" t="n"/>
      <c r="L2484" s="227" t="n"/>
      <c r="M2484" s="227" t="n"/>
      <c r="N2484" s="127" t="n"/>
      <c r="O2484" s="227" t="n"/>
      <c r="P2484" s="227" t="n"/>
      <c r="Q2484" s="227" t="n"/>
      <c r="R2484" s="227" t="n"/>
      <c r="S2484" s="227" t="n"/>
      <c r="T2484" s="227" t="n"/>
    </row>
    <row r="2485">
      <c r="A2485" s="145">
        <f>IF($B2485="","",ROW()-5)</f>
        <v/>
      </c>
      <c r="B2485" s="127" t="n"/>
      <c r="C2485" s="223" t="n"/>
      <c r="D2485" s="127" t="n"/>
      <c r="E2485" s="227" t="n"/>
      <c r="F2485" s="227" t="n"/>
      <c r="G2485" s="227" t="n"/>
      <c r="H2485" s="227" t="n"/>
      <c r="I2485" s="227" t="n"/>
      <c r="J2485" s="227" t="n"/>
      <c r="K2485" s="227" t="n"/>
      <c r="L2485" s="227" t="n"/>
      <c r="M2485" s="227" t="n"/>
      <c r="N2485" s="127" t="n"/>
      <c r="O2485" s="227" t="n"/>
      <c r="P2485" s="227" t="n"/>
      <c r="Q2485" s="227" t="n"/>
      <c r="R2485" s="227" t="n"/>
      <c r="S2485" s="227" t="n"/>
      <c r="T2485" s="227" t="n"/>
    </row>
    <row r="2486">
      <c r="A2486" s="145">
        <f>IF($B2486="","",ROW()-5)</f>
        <v/>
      </c>
      <c r="B2486" s="127" t="n"/>
      <c r="C2486" s="223" t="n"/>
      <c r="D2486" s="127" t="n"/>
      <c r="E2486" s="227" t="n"/>
      <c r="F2486" s="227" t="n"/>
      <c r="G2486" s="227" t="n"/>
      <c r="H2486" s="227" t="n"/>
      <c r="I2486" s="227" t="n"/>
      <c r="J2486" s="227" t="n"/>
      <c r="K2486" s="227" t="n"/>
      <c r="L2486" s="227" t="n"/>
      <c r="M2486" s="227" t="n"/>
      <c r="N2486" s="127" t="n"/>
      <c r="O2486" s="227" t="n"/>
      <c r="P2486" s="227" t="n"/>
      <c r="Q2486" s="227" t="n"/>
      <c r="R2486" s="227" t="n"/>
      <c r="S2486" s="227" t="n"/>
      <c r="T2486" s="227" t="n"/>
    </row>
    <row r="2487">
      <c r="A2487" s="145">
        <f>IF($B2487="","",ROW()-5)</f>
        <v/>
      </c>
      <c r="B2487" s="127" t="n"/>
      <c r="C2487" s="223" t="n"/>
      <c r="D2487" s="127" t="n"/>
      <c r="E2487" s="227" t="n"/>
      <c r="F2487" s="227" t="n"/>
      <c r="G2487" s="227" t="n"/>
      <c r="H2487" s="227" t="n"/>
      <c r="I2487" s="227" t="n"/>
      <c r="J2487" s="227" t="n"/>
      <c r="K2487" s="227" t="n"/>
      <c r="L2487" s="227" t="n"/>
      <c r="M2487" s="227" t="n"/>
      <c r="N2487" s="127" t="n"/>
      <c r="O2487" s="227" t="n"/>
      <c r="P2487" s="227" t="n"/>
      <c r="Q2487" s="227" t="n"/>
      <c r="R2487" s="227" t="n"/>
      <c r="S2487" s="227" t="n"/>
      <c r="T2487" s="227" t="n"/>
    </row>
    <row r="2488">
      <c r="A2488" s="145">
        <f>IF($B2488="","",ROW()-5)</f>
        <v/>
      </c>
      <c r="B2488" s="127" t="n"/>
      <c r="C2488" s="223" t="n"/>
      <c r="D2488" s="127" t="n"/>
      <c r="E2488" s="227" t="n"/>
      <c r="F2488" s="227" t="n"/>
      <c r="G2488" s="227" t="n"/>
      <c r="H2488" s="227" t="n"/>
      <c r="I2488" s="227" t="n"/>
      <c r="J2488" s="227" t="n"/>
      <c r="K2488" s="227" t="n"/>
      <c r="L2488" s="227" t="n"/>
      <c r="M2488" s="227" t="n"/>
      <c r="N2488" s="127" t="n"/>
      <c r="O2488" s="227" t="n"/>
      <c r="P2488" s="227" t="n"/>
      <c r="Q2488" s="227" t="n"/>
      <c r="R2488" s="227" t="n"/>
      <c r="S2488" s="227" t="n"/>
      <c r="T2488" s="227" t="n"/>
    </row>
    <row r="2489">
      <c r="A2489" s="145">
        <f>IF($B2489="","",ROW()-5)</f>
        <v/>
      </c>
      <c r="B2489" s="127" t="n"/>
      <c r="C2489" s="223" t="n"/>
      <c r="D2489" s="127" t="n"/>
      <c r="E2489" s="227" t="n"/>
      <c r="F2489" s="227" t="n"/>
      <c r="G2489" s="227" t="n"/>
      <c r="H2489" s="227" t="n"/>
      <c r="I2489" s="227" t="n"/>
      <c r="J2489" s="227" t="n"/>
      <c r="K2489" s="227" t="n"/>
      <c r="L2489" s="227" t="n"/>
      <c r="M2489" s="227" t="n"/>
      <c r="N2489" s="127" t="n"/>
      <c r="O2489" s="227" t="n"/>
      <c r="P2489" s="227" t="n"/>
      <c r="Q2489" s="227" t="n"/>
      <c r="R2489" s="227" t="n"/>
      <c r="S2489" s="227" t="n"/>
      <c r="T2489" s="227" t="n"/>
    </row>
    <row r="2490">
      <c r="A2490" s="145">
        <f>IF($B2490="","",ROW()-5)</f>
        <v/>
      </c>
      <c r="B2490" s="127" t="n"/>
      <c r="C2490" s="223" t="n"/>
      <c r="D2490" s="127" t="n"/>
      <c r="E2490" s="227" t="n"/>
      <c r="F2490" s="227" t="n"/>
      <c r="G2490" s="227" t="n"/>
      <c r="H2490" s="227" t="n"/>
      <c r="I2490" s="227" t="n"/>
      <c r="J2490" s="227" t="n"/>
      <c r="K2490" s="227" t="n"/>
      <c r="L2490" s="227" t="n"/>
      <c r="M2490" s="227" t="n"/>
      <c r="N2490" s="127" t="n"/>
      <c r="O2490" s="227" t="n"/>
      <c r="P2490" s="227" t="n"/>
      <c r="Q2490" s="227" t="n"/>
      <c r="R2490" s="227" t="n"/>
      <c r="S2490" s="227" t="n"/>
      <c r="T2490" s="227" t="n"/>
    </row>
    <row r="2491">
      <c r="A2491" s="145">
        <f>IF($B2491="","",ROW()-5)</f>
        <v/>
      </c>
      <c r="B2491" s="127" t="n"/>
      <c r="C2491" s="223" t="n"/>
      <c r="D2491" s="127" t="n"/>
      <c r="E2491" s="227" t="n"/>
      <c r="F2491" s="227" t="n"/>
      <c r="G2491" s="227" t="n"/>
      <c r="H2491" s="227" t="n"/>
      <c r="I2491" s="227" t="n"/>
      <c r="J2491" s="227" t="n"/>
      <c r="K2491" s="227" t="n"/>
      <c r="L2491" s="227" t="n"/>
      <c r="M2491" s="227" t="n"/>
      <c r="N2491" s="127" t="n"/>
      <c r="O2491" s="227" t="n"/>
      <c r="P2491" s="227" t="n"/>
      <c r="Q2491" s="227" t="n"/>
      <c r="R2491" s="227" t="n"/>
      <c r="S2491" s="227" t="n"/>
      <c r="T2491" s="227" t="n"/>
    </row>
    <row r="2492">
      <c r="A2492" s="145">
        <f>IF($B2492="","",ROW()-5)</f>
        <v/>
      </c>
      <c r="B2492" s="127" t="n"/>
      <c r="C2492" s="223" t="n"/>
      <c r="D2492" s="127" t="n"/>
      <c r="E2492" s="227" t="n"/>
      <c r="F2492" s="227" t="n"/>
      <c r="G2492" s="227" t="n"/>
      <c r="H2492" s="227" t="n"/>
      <c r="I2492" s="227" t="n"/>
      <c r="J2492" s="227" t="n"/>
      <c r="K2492" s="227" t="n"/>
      <c r="L2492" s="227" t="n"/>
      <c r="M2492" s="227" t="n"/>
      <c r="N2492" s="127" t="n"/>
      <c r="O2492" s="227" t="n"/>
      <c r="P2492" s="227" t="n"/>
      <c r="Q2492" s="227" t="n"/>
      <c r="R2492" s="227" t="n"/>
      <c r="S2492" s="227" t="n"/>
      <c r="T2492" s="227" t="n"/>
    </row>
    <row r="2493">
      <c r="A2493" s="145">
        <f>IF($B2493="","",ROW()-5)</f>
        <v/>
      </c>
      <c r="B2493" s="127" t="n"/>
      <c r="C2493" s="223" t="n"/>
      <c r="D2493" s="127" t="n"/>
      <c r="E2493" s="227" t="n"/>
      <c r="F2493" s="227" t="n"/>
      <c r="G2493" s="227" t="n"/>
      <c r="H2493" s="227" t="n"/>
      <c r="I2493" s="227" t="n"/>
      <c r="J2493" s="227" t="n"/>
      <c r="K2493" s="227" t="n"/>
      <c r="L2493" s="227" t="n"/>
      <c r="M2493" s="227" t="n"/>
      <c r="N2493" s="127" t="n"/>
      <c r="O2493" s="227" t="n"/>
      <c r="P2493" s="227" t="n"/>
      <c r="Q2493" s="227" t="n"/>
      <c r="R2493" s="227" t="n"/>
      <c r="S2493" s="227" t="n"/>
      <c r="T2493" s="227" t="n"/>
    </row>
    <row r="2494">
      <c r="A2494" s="145">
        <f>IF($B2494="","",ROW()-5)</f>
        <v/>
      </c>
      <c r="B2494" s="127" t="n"/>
      <c r="C2494" s="223" t="n"/>
      <c r="D2494" s="127" t="n"/>
      <c r="E2494" s="227" t="n"/>
      <c r="F2494" s="227" t="n"/>
      <c r="G2494" s="227" t="n"/>
      <c r="H2494" s="227" t="n"/>
      <c r="I2494" s="227" t="n"/>
      <c r="J2494" s="227" t="n"/>
      <c r="K2494" s="227" t="n"/>
      <c r="L2494" s="227" t="n"/>
      <c r="M2494" s="227" t="n"/>
      <c r="N2494" s="127" t="n"/>
      <c r="O2494" s="227" t="n"/>
      <c r="P2494" s="227" t="n"/>
      <c r="Q2494" s="227" t="n"/>
      <c r="R2494" s="227" t="n"/>
      <c r="S2494" s="227" t="n"/>
      <c r="T2494" s="227" t="n"/>
    </row>
    <row r="2495">
      <c r="A2495" s="145">
        <f>IF($B2495="","",ROW()-5)</f>
        <v/>
      </c>
      <c r="B2495" s="127" t="n"/>
      <c r="C2495" s="223" t="n"/>
      <c r="D2495" s="127" t="n"/>
      <c r="E2495" s="227" t="n"/>
      <c r="F2495" s="227" t="n"/>
      <c r="G2495" s="227" t="n"/>
      <c r="H2495" s="227" t="n"/>
      <c r="I2495" s="227" t="n"/>
      <c r="J2495" s="227" t="n"/>
      <c r="K2495" s="227" t="n"/>
      <c r="L2495" s="227" t="n"/>
      <c r="M2495" s="227" t="n"/>
      <c r="N2495" s="127" t="n"/>
      <c r="O2495" s="227" t="n"/>
      <c r="P2495" s="227" t="n"/>
      <c r="Q2495" s="227" t="n"/>
      <c r="R2495" s="227" t="n"/>
      <c r="S2495" s="227" t="n"/>
      <c r="T2495" s="227" t="n"/>
    </row>
    <row r="2496">
      <c r="A2496" s="145">
        <f>IF($B2496="","",ROW()-5)</f>
        <v/>
      </c>
      <c r="B2496" s="127" t="n"/>
      <c r="C2496" s="223" t="n"/>
      <c r="D2496" s="127" t="n"/>
      <c r="E2496" s="227" t="n"/>
      <c r="F2496" s="227" t="n"/>
      <c r="G2496" s="227" t="n"/>
      <c r="H2496" s="227" t="n"/>
      <c r="I2496" s="227" t="n"/>
      <c r="J2496" s="227" t="n"/>
      <c r="K2496" s="227" t="n"/>
      <c r="L2496" s="227" t="n"/>
      <c r="M2496" s="227" t="n"/>
      <c r="N2496" s="127" t="n"/>
      <c r="O2496" s="227" t="n"/>
      <c r="P2496" s="227" t="n"/>
      <c r="Q2496" s="227" t="n"/>
      <c r="R2496" s="227" t="n"/>
      <c r="S2496" s="227" t="n"/>
      <c r="T2496" s="227" t="n"/>
    </row>
    <row r="2497">
      <c r="A2497" s="145">
        <f>IF($B2497="","",ROW()-5)</f>
        <v/>
      </c>
      <c r="B2497" s="127" t="n"/>
      <c r="C2497" s="223" t="n"/>
      <c r="D2497" s="127" t="n"/>
      <c r="E2497" s="227" t="n"/>
      <c r="F2497" s="227" t="n"/>
      <c r="G2497" s="227" t="n"/>
      <c r="H2497" s="227" t="n"/>
      <c r="I2497" s="227" t="n"/>
      <c r="J2497" s="227" t="n"/>
      <c r="K2497" s="227" t="n"/>
      <c r="L2497" s="227" t="n"/>
      <c r="M2497" s="227" t="n"/>
      <c r="N2497" s="127" t="n"/>
      <c r="O2497" s="227" t="n"/>
      <c r="P2497" s="227" t="n"/>
      <c r="Q2497" s="227" t="n"/>
      <c r="R2497" s="227" t="n"/>
      <c r="S2497" s="227" t="n"/>
      <c r="T2497" s="227" t="n"/>
    </row>
    <row r="2498">
      <c r="A2498" s="145">
        <f>IF($B2498="","",ROW()-5)</f>
        <v/>
      </c>
      <c r="B2498" s="127" t="n"/>
      <c r="C2498" s="223" t="n"/>
      <c r="D2498" s="127" t="n"/>
      <c r="E2498" s="227" t="n"/>
      <c r="F2498" s="227" t="n"/>
      <c r="G2498" s="227" t="n"/>
      <c r="H2498" s="227" t="n"/>
      <c r="I2498" s="227" t="n"/>
      <c r="J2498" s="227" t="n"/>
      <c r="K2498" s="227" t="n"/>
      <c r="L2498" s="227" t="n"/>
      <c r="M2498" s="227" t="n"/>
      <c r="N2498" s="127" t="n"/>
      <c r="O2498" s="227" t="n"/>
      <c r="P2498" s="227" t="n"/>
      <c r="Q2498" s="227" t="n"/>
      <c r="R2498" s="227" t="n"/>
      <c r="S2498" s="227" t="n"/>
      <c r="T2498" s="227" t="n"/>
    </row>
    <row r="2499">
      <c r="A2499" s="145">
        <f>IF($B2499="","",ROW()-5)</f>
        <v/>
      </c>
      <c r="B2499" s="127" t="n"/>
      <c r="C2499" s="223" t="n"/>
      <c r="D2499" s="127" t="n"/>
      <c r="E2499" s="227" t="n"/>
      <c r="F2499" s="227" t="n"/>
      <c r="G2499" s="227" t="n"/>
      <c r="H2499" s="227" t="n"/>
      <c r="I2499" s="227" t="n"/>
      <c r="J2499" s="227" t="n"/>
      <c r="K2499" s="227" t="n"/>
      <c r="L2499" s="227" t="n"/>
      <c r="M2499" s="227" t="n"/>
      <c r="N2499" s="127" t="n"/>
      <c r="O2499" s="227" t="n"/>
      <c r="P2499" s="227" t="n"/>
      <c r="Q2499" s="227" t="n"/>
      <c r="R2499" s="227" t="n"/>
      <c r="S2499" s="227" t="n"/>
      <c r="T2499" s="227" t="n"/>
    </row>
    <row r="2500">
      <c r="A2500" s="145">
        <f>IF($B2500="","",ROW()-5)</f>
        <v/>
      </c>
      <c r="B2500" s="127" t="n"/>
      <c r="C2500" s="223" t="n"/>
      <c r="D2500" s="127" t="n"/>
      <c r="E2500" s="227" t="n"/>
      <c r="F2500" s="227" t="n"/>
      <c r="G2500" s="227" t="n"/>
      <c r="H2500" s="227" t="n"/>
      <c r="I2500" s="227" t="n"/>
      <c r="J2500" s="227" t="n"/>
      <c r="K2500" s="227" t="n"/>
      <c r="L2500" s="227" t="n"/>
      <c r="M2500" s="227" t="n"/>
      <c r="N2500" s="127" t="n"/>
      <c r="O2500" s="227" t="n"/>
      <c r="P2500" s="227" t="n"/>
      <c r="Q2500" s="227" t="n"/>
      <c r="R2500" s="227" t="n"/>
      <c r="S2500" s="227" t="n"/>
      <c r="T2500" s="227" t="n"/>
    </row>
    <row r="2501">
      <c r="A2501" s="145">
        <f>IF($B2501="","",ROW()-5)</f>
        <v/>
      </c>
      <c r="B2501" s="127" t="n"/>
      <c r="C2501" s="223" t="n"/>
      <c r="D2501" s="127" t="n"/>
      <c r="E2501" s="227" t="n"/>
      <c r="F2501" s="227" t="n"/>
      <c r="G2501" s="227" t="n"/>
      <c r="H2501" s="227" t="n"/>
      <c r="I2501" s="227" t="n"/>
      <c r="J2501" s="227" t="n"/>
      <c r="K2501" s="227" t="n"/>
      <c r="L2501" s="227" t="n"/>
      <c r="M2501" s="227" t="n"/>
      <c r="N2501" s="127" t="n"/>
      <c r="O2501" s="227" t="n"/>
      <c r="P2501" s="227" t="n"/>
      <c r="Q2501" s="227" t="n"/>
      <c r="R2501" s="227" t="n"/>
      <c r="S2501" s="227" t="n"/>
      <c r="T2501" s="227" t="n"/>
    </row>
    <row r="2502">
      <c r="A2502" s="145">
        <f>IF($B2502="","",ROW()-5)</f>
        <v/>
      </c>
      <c r="B2502" s="127" t="n"/>
      <c r="C2502" s="223" t="n"/>
      <c r="D2502" s="127" t="n"/>
      <c r="E2502" s="227" t="n"/>
      <c r="F2502" s="227" t="n"/>
      <c r="G2502" s="227" t="n"/>
      <c r="H2502" s="227" t="n"/>
      <c r="I2502" s="227" t="n"/>
      <c r="J2502" s="227" t="n"/>
      <c r="K2502" s="227" t="n"/>
      <c r="L2502" s="227" t="n"/>
      <c r="M2502" s="227" t="n"/>
      <c r="N2502" s="127" t="n"/>
      <c r="O2502" s="227" t="n"/>
      <c r="P2502" s="227" t="n"/>
      <c r="Q2502" s="227" t="n"/>
      <c r="R2502" s="227" t="n"/>
      <c r="S2502" s="227" t="n"/>
      <c r="T2502" s="227" t="n"/>
    </row>
    <row r="2503">
      <c r="A2503" s="145">
        <f>IF($B2503="","",ROW()-5)</f>
        <v/>
      </c>
      <c r="B2503" s="127" t="n"/>
      <c r="C2503" s="223" t="n"/>
      <c r="D2503" s="127" t="n"/>
      <c r="E2503" s="227" t="n"/>
      <c r="F2503" s="227" t="n"/>
      <c r="G2503" s="227" t="n"/>
      <c r="H2503" s="227" t="n"/>
      <c r="I2503" s="227" t="n"/>
      <c r="J2503" s="227" t="n"/>
      <c r="K2503" s="227" t="n"/>
      <c r="L2503" s="227" t="n"/>
      <c r="M2503" s="227" t="n"/>
      <c r="N2503" s="127" t="n"/>
      <c r="O2503" s="227" t="n"/>
      <c r="P2503" s="227" t="n"/>
      <c r="Q2503" s="227" t="n"/>
      <c r="R2503" s="227" t="n"/>
      <c r="S2503" s="227" t="n"/>
      <c r="T2503" s="227" t="n"/>
    </row>
    <row r="2504">
      <c r="A2504" s="145">
        <f>IF($B2504="","",ROW()-5)</f>
        <v/>
      </c>
      <c r="B2504" s="127" t="n"/>
      <c r="C2504" s="223" t="n"/>
      <c r="D2504" s="127" t="n"/>
      <c r="E2504" s="227" t="n"/>
      <c r="F2504" s="227" t="n"/>
      <c r="G2504" s="227" t="n"/>
      <c r="H2504" s="227" t="n"/>
      <c r="I2504" s="227" t="n"/>
      <c r="J2504" s="227" t="n"/>
      <c r="K2504" s="227" t="n"/>
      <c r="L2504" s="227" t="n"/>
      <c r="M2504" s="227" t="n"/>
      <c r="N2504" s="127" t="n"/>
      <c r="O2504" s="227" t="n"/>
      <c r="P2504" s="227" t="n"/>
      <c r="Q2504" s="227" t="n"/>
      <c r="R2504" s="227" t="n"/>
      <c r="S2504" s="227" t="n"/>
      <c r="T2504" s="227" t="n"/>
    </row>
    <row r="2505">
      <c r="A2505" s="145">
        <f>IF($B2505="","",ROW()-5)</f>
        <v/>
      </c>
      <c r="B2505" s="127" t="n"/>
      <c r="C2505" s="223" t="n"/>
      <c r="D2505" s="127" t="n"/>
      <c r="E2505" s="227" t="n"/>
      <c r="F2505" s="227" t="n"/>
      <c r="G2505" s="227" t="n"/>
      <c r="H2505" s="227" t="n"/>
      <c r="I2505" s="227" t="n"/>
      <c r="J2505" s="227" t="n"/>
      <c r="K2505" s="227" t="n"/>
      <c r="L2505" s="227" t="n"/>
      <c r="M2505" s="227" t="n"/>
      <c r="N2505" s="127" t="n"/>
      <c r="O2505" s="227" t="n"/>
      <c r="P2505" s="227" t="n"/>
      <c r="Q2505" s="227" t="n"/>
      <c r="R2505" s="227" t="n"/>
      <c r="S2505" s="227" t="n"/>
      <c r="T2505" s="227" t="n"/>
    </row>
    <row r="2506">
      <c r="A2506" s="145">
        <f>IF($B2506="","",ROW()-5)</f>
        <v/>
      </c>
      <c r="B2506" s="127" t="n"/>
      <c r="C2506" s="223" t="n"/>
      <c r="D2506" s="127" t="n"/>
      <c r="E2506" s="227" t="n"/>
      <c r="F2506" s="227" t="n"/>
      <c r="G2506" s="227" t="n"/>
      <c r="H2506" s="227" t="n"/>
      <c r="I2506" s="227" t="n"/>
      <c r="J2506" s="227" t="n"/>
      <c r="K2506" s="227" t="n"/>
      <c r="L2506" s="227" t="n"/>
      <c r="M2506" s="227" t="n"/>
      <c r="N2506" s="127" t="n"/>
      <c r="O2506" s="227" t="n"/>
      <c r="P2506" s="227" t="n"/>
      <c r="Q2506" s="227" t="n"/>
      <c r="R2506" s="227" t="n"/>
      <c r="S2506" s="227" t="n"/>
      <c r="T2506" s="227" t="n"/>
    </row>
    <row r="2507">
      <c r="A2507" s="145">
        <f>IF($B2507="","",ROW()-5)</f>
        <v/>
      </c>
      <c r="B2507" s="127" t="n"/>
      <c r="C2507" s="223" t="n"/>
      <c r="D2507" s="127" t="n"/>
      <c r="E2507" s="227" t="n"/>
      <c r="F2507" s="227" t="n"/>
      <c r="G2507" s="227" t="n"/>
      <c r="H2507" s="227" t="n"/>
      <c r="I2507" s="227" t="n"/>
      <c r="J2507" s="227" t="n"/>
      <c r="K2507" s="227" t="n"/>
      <c r="L2507" s="227" t="n"/>
      <c r="M2507" s="227" t="n"/>
      <c r="N2507" s="127" t="n"/>
      <c r="O2507" s="227" t="n"/>
      <c r="P2507" s="227" t="n"/>
      <c r="Q2507" s="227" t="n"/>
      <c r="R2507" s="227" t="n"/>
      <c r="S2507" s="227" t="n"/>
      <c r="T2507" s="227" t="n"/>
    </row>
    <row r="2508">
      <c r="A2508" s="145">
        <f>IF($B2508="","",ROW()-5)</f>
        <v/>
      </c>
      <c r="B2508" s="127" t="n"/>
      <c r="C2508" s="223" t="n"/>
      <c r="D2508" s="127" t="n"/>
      <c r="E2508" s="227" t="n"/>
      <c r="F2508" s="227" t="n"/>
      <c r="G2508" s="227" t="n"/>
      <c r="H2508" s="227" t="n"/>
      <c r="I2508" s="227" t="n"/>
      <c r="J2508" s="227" t="n"/>
      <c r="K2508" s="227" t="n"/>
      <c r="L2508" s="227" t="n"/>
      <c r="M2508" s="227" t="n"/>
      <c r="N2508" s="127" t="n"/>
      <c r="O2508" s="227" t="n"/>
      <c r="P2508" s="227" t="n"/>
      <c r="Q2508" s="227" t="n"/>
      <c r="R2508" s="227" t="n"/>
      <c r="S2508" s="227" t="n"/>
      <c r="T2508" s="227" t="n"/>
    </row>
    <row r="2509">
      <c r="A2509" s="145">
        <f>IF($B2509="","",ROW()-5)</f>
        <v/>
      </c>
      <c r="B2509" s="127" t="n"/>
      <c r="C2509" s="223" t="n"/>
      <c r="D2509" s="127" t="n"/>
      <c r="E2509" s="227" t="n"/>
      <c r="F2509" s="227" t="n"/>
      <c r="G2509" s="227" t="n"/>
      <c r="H2509" s="227" t="n"/>
      <c r="I2509" s="227" t="n"/>
      <c r="J2509" s="227" t="n"/>
      <c r="K2509" s="227" t="n"/>
      <c r="L2509" s="227" t="n"/>
      <c r="M2509" s="227" t="n"/>
      <c r="N2509" s="127" t="n"/>
      <c r="O2509" s="227" t="n"/>
      <c r="P2509" s="227" t="n"/>
      <c r="Q2509" s="227" t="n"/>
      <c r="R2509" s="227" t="n"/>
      <c r="S2509" s="227" t="n"/>
      <c r="T2509" s="227" t="n"/>
    </row>
    <row r="2510">
      <c r="A2510" s="145">
        <f>IF($B2510="","",ROW()-5)</f>
        <v/>
      </c>
      <c r="B2510" s="127" t="n"/>
      <c r="C2510" s="223" t="n"/>
      <c r="D2510" s="127" t="n"/>
      <c r="E2510" s="227" t="n"/>
      <c r="F2510" s="227" t="n"/>
      <c r="G2510" s="227" t="n"/>
      <c r="H2510" s="227" t="n"/>
      <c r="I2510" s="227" t="n"/>
      <c r="J2510" s="227" t="n"/>
      <c r="K2510" s="227" t="n"/>
      <c r="L2510" s="227" t="n"/>
      <c r="M2510" s="227" t="n"/>
      <c r="N2510" s="127" t="n"/>
      <c r="O2510" s="227" t="n"/>
      <c r="P2510" s="227" t="n"/>
      <c r="Q2510" s="227" t="n"/>
      <c r="R2510" s="227" t="n"/>
      <c r="S2510" s="227" t="n"/>
      <c r="T2510" s="227" t="n"/>
    </row>
    <row r="2511">
      <c r="A2511" s="145">
        <f>IF($B2511="","",ROW()-5)</f>
        <v/>
      </c>
      <c r="B2511" s="127" t="n"/>
      <c r="C2511" s="223" t="n"/>
      <c r="D2511" s="127" t="n"/>
      <c r="E2511" s="227" t="n"/>
      <c r="F2511" s="227" t="n"/>
      <c r="G2511" s="227" t="n"/>
      <c r="H2511" s="227" t="n"/>
      <c r="I2511" s="227" t="n"/>
      <c r="J2511" s="227" t="n"/>
      <c r="K2511" s="227" t="n"/>
      <c r="L2511" s="227" t="n"/>
      <c r="M2511" s="227" t="n"/>
      <c r="N2511" s="127" t="n"/>
      <c r="O2511" s="227" t="n"/>
      <c r="P2511" s="227" t="n"/>
      <c r="Q2511" s="227" t="n"/>
      <c r="R2511" s="227" t="n"/>
      <c r="S2511" s="227" t="n"/>
      <c r="T2511" s="227" t="n"/>
    </row>
    <row r="2512">
      <c r="A2512" s="145">
        <f>IF($B2512="","",ROW()-5)</f>
        <v/>
      </c>
      <c r="B2512" s="127" t="n"/>
      <c r="C2512" s="223" t="n"/>
      <c r="D2512" s="127" t="n"/>
      <c r="E2512" s="227" t="n"/>
      <c r="F2512" s="227" t="n"/>
      <c r="G2512" s="227" t="n"/>
      <c r="H2512" s="227" t="n"/>
      <c r="I2512" s="227" t="n"/>
      <c r="J2512" s="227" t="n"/>
      <c r="K2512" s="227" t="n"/>
      <c r="L2512" s="227" t="n"/>
      <c r="M2512" s="227" t="n"/>
      <c r="N2512" s="127" t="n"/>
      <c r="O2512" s="227" t="n"/>
      <c r="P2512" s="227" t="n"/>
      <c r="Q2512" s="227" t="n"/>
      <c r="R2512" s="227" t="n"/>
      <c r="S2512" s="227" t="n"/>
      <c r="T2512" s="227" t="n"/>
    </row>
    <row r="2513">
      <c r="A2513" s="145">
        <f>IF($B2513="","",ROW()-5)</f>
        <v/>
      </c>
      <c r="B2513" s="127" t="n"/>
      <c r="C2513" s="223" t="n"/>
      <c r="D2513" s="127" t="n"/>
      <c r="E2513" s="227" t="n"/>
      <c r="F2513" s="227" t="n"/>
      <c r="G2513" s="227" t="n"/>
      <c r="H2513" s="227" t="n"/>
      <c r="I2513" s="227" t="n"/>
      <c r="J2513" s="227" t="n"/>
      <c r="K2513" s="227" t="n"/>
      <c r="L2513" s="227" t="n"/>
      <c r="M2513" s="227" t="n"/>
      <c r="N2513" s="127" t="n"/>
      <c r="O2513" s="227" t="n"/>
      <c r="P2513" s="227" t="n"/>
      <c r="Q2513" s="227" t="n"/>
      <c r="R2513" s="227" t="n"/>
      <c r="S2513" s="227" t="n"/>
      <c r="T2513" s="227" t="n"/>
    </row>
    <row r="2514">
      <c r="A2514" s="145">
        <f>IF($B2514="","",ROW()-5)</f>
        <v/>
      </c>
      <c r="B2514" s="127" t="n"/>
      <c r="C2514" s="223" t="n"/>
      <c r="D2514" s="127" t="n"/>
      <c r="E2514" s="227" t="n"/>
      <c r="F2514" s="227" t="n"/>
      <c r="G2514" s="227" t="n"/>
      <c r="H2514" s="227" t="n"/>
      <c r="I2514" s="227" t="n"/>
      <c r="J2514" s="227" t="n"/>
      <c r="K2514" s="227" t="n"/>
      <c r="L2514" s="227" t="n"/>
      <c r="M2514" s="227" t="n"/>
      <c r="N2514" s="127" t="n"/>
      <c r="O2514" s="227" t="n"/>
      <c r="P2514" s="227" t="n"/>
      <c r="Q2514" s="227" t="n"/>
      <c r="R2514" s="227" t="n"/>
      <c r="S2514" s="227" t="n"/>
      <c r="T2514" s="227" t="n"/>
    </row>
    <row r="2515">
      <c r="A2515" s="145">
        <f>IF($B2515="","",ROW()-5)</f>
        <v/>
      </c>
      <c r="B2515" s="127" t="n"/>
      <c r="C2515" s="223" t="n"/>
      <c r="D2515" s="127" t="n"/>
      <c r="E2515" s="227" t="n"/>
      <c r="F2515" s="227" t="n"/>
      <c r="G2515" s="227" t="n"/>
      <c r="H2515" s="227" t="n"/>
      <c r="I2515" s="227" t="n"/>
      <c r="J2515" s="227" t="n"/>
      <c r="K2515" s="227" t="n"/>
      <c r="L2515" s="227" t="n"/>
      <c r="M2515" s="227" t="n"/>
      <c r="N2515" s="127" t="n"/>
      <c r="O2515" s="227" t="n"/>
      <c r="P2515" s="227" t="n"/>
      <c r="Q2515" s="227" t="n"/>
      <c r="R2515" s="227" t="n"/>
      <c r="S2515" s="227" t="n"/>
      <c r="T2515" s="227" t="n"/>
    </row>
    <row r="2516">
      <c r="A2516" s="145">
        <f>IF($B2516="","",ROW()-5)</f>
        <v/>
      </c>
      <c r="B2516" s="127" t="n"/>
      <c r="C2516" s="223" t="n"/>
      <c r="D2516" s="127" t="n"/>
      <c r="E2516" s="227" t="n"/>
      <c r="F2516" s="227" t="n"/>
      <c r="G2516" s="227" t="n"/>
      <c r="H2516" s="227" t="n"/>
      <c r="I2516" s="227" t="n"/>
      <c r="J2516" s="227" t="n"/>
      <c r="K2516" s="227" t="n"/>
      <c r="L2516" s="227" t="n"/>
      <c r="M2516" s="227" t="n"/>
      <c r="N2516" s="127" t="n"/>
      <c r="O2516" s="227" t="n"/>
      <c r="P2516" s="227" t="n"/>
      <c r="Q2516" s="227" t="n"/>
      <c r="R2516" s="227" t="n"/>
      <c r="S2516" s="227" t="n"/>
      <c r="T2516" s="227" t="n"/>
    </row>
    <row r="2517">
      <c r="A2517" s="145">
        <f>IF($B2517="","",ROW()-5)</f>
        <v/>
      </c>
      <c r="B2517" s="127" t="n"/>
      <c r="C2517" s="223" t="n"/>
      <c r="D2517" s="127" t="n"/>
      <c r="E2517" s="227" t="n"/>
      <c r="F2517" s="227" t="n"/>
      <c r="G2517" s="227" t="n"/>
      <c r="H2517" s="227" t="n"/>
      <c r="I2517" s="227" t="n"/>
      <c r="J2517" s="227" t="n"/>
      <c r="K2517" s="227" t="n"/>
      <c r="L2517" s="227" t="n"/>
      <c r="M2517" s="227" t="n"/>
      <c r="N2517" s="127" t="n"/>
      <c r="O2517" s="227" t="n"/>
      <c r="P2517" s="227" t="n"/>
      <c r="Q2517" s="227" t="n"/>
      <c r="R2517" s="227" t="n"/>
      <c r="S2517" s="227" t="n"/>
      <c r="T2517" s="227" t="n"/>
    </row>
    <row r="2518">
      <c r="A2518" s="145">
        <f>IF($B2518="","",ROW()-5)</f>
        <v/>
      </c>
      <c r="B2518" s="127" t="n"/>
      <c r="C2518" s="223" t="n"/>
      <c r="D2518" s="127" t="n"/>
      <c r="E2518" s="227" t="n"/>
      <c r="F2518" s="227" t="n"/>
      <c r="G2518" s="227" t="n"/>
      <c r="H2518" s="227" t="n"/>
      <c r="I2518" s="227" t="n"/>
      <c r="J2518" s="227" t="n"/>
      <c r="K2518" s="227" t="n"/>
      <c r="L2518" s="227" t="n"/>
      <c r="M2518" s="227" t="n"/>
      <c r="N2518" s="127" t="n"/>
      <c r="O2518" s="227" t="n"/>
      <c r="P2518" s="227" t="n"/>
      <c r="Q2518" s="227" t="n"/>
      <c r="R2518" s="227" t="n"/>
      <c r="S2518" s="227" t="n"/>
      <c r="T2518" s="227" t="n"/>
    </row>
    <row r="2519">
      <c r="A2519" s="145">
        <f>IF($B2519="","",ROW()-5)</f>
        <v/>
      </c>
      <c r="B2519" s="127" t="n"/>
      <c r="C2519" s="223" t="n"/>
      <c r="D2519" s="127" t="n"/>
      <c r="E2519" s="227" t="n"/>
      <c r="F2519" s="227" t="n"/>
      <c r="G2519" s="227" t="n"/>
      <c r="H2519" s="227" t="n"/>
      <c r="I2519" s="227" t="n"/>
      <c r="J2519" s="227" t="n"/>
      <c r="K2519" s="227" t="n"/>
      <c r="L2519" s="227" t="n"/>
      <c r="M2519" s="227" t="n"/>
      <c r="N2519" s="127" t="n"/>
      <c r="O2519" s="227" t="n"/>
      <c r="P2519" s="227" t="n"/>
      <c r="Q2519" s="227" t="n"/>
      <c r="R2519" s="227" t="n"/>
      <c r="S2519" s="227" t="n"/>
      <c r="T2519" s="227" t="n"/>
    </row>
    <row r="2520">
      <c r="A2520" s="145">
        <f>IF($B2520="","",ROW()-5)</f>
        <v/>
      </c>
      <c r="B2520" s="127" t="n"/>
      <c r="C2520" s="223" t="n"/>
      <c r="D2520" s="127" t="n"/>
      <c r="E2520" s="227" t="n"/>
      <c r="F2520" s="227" t="n"/>
      <c r="G2520" s="227" t="n"/>
      <c r="H2520" s="227" t="n"/>
      <c r="I2520" s="227" t="n"/>
      <c r="J2520" s="227" t="n"/>
      <c r="K2520" s="227" t="n"/>
      <c r="L2520" s="227" t="n"/>
      <c r="M2520" s="227" t="n"/>
      <c r="N2520" s="127" t="n"/>
      <c r="O2520" s="227" t="n"/>
      <c r="P2520" s="227" t="n"/>
      <c r="Q2520" s="227" t="n"/>
      <c r="R2520" s="227" t="n"/>
      <c r="S2520" s="227" t="n"/>
      <c r="T2520" s="227" t="n"/>
    </row>
    <row r="2521">
      <c r="A2521" s="145">
        <f>IF($B2521="","",ROW()-5)</f>
        <v/>
      </c>
      <c r="B2521" s="127" t="n"/>
      <c r="C2521" s="223" t="n"/>
      <c r="D2521" s="127" t="n"/>
      <c r="E2521" s="227" t="n"/>
      <c r="F2521" s="227" t="n"/>
      <c r="G2521" s="227" t="n"/>
      <c r="H2521" s="227" t="n"/>
      <c r="I2521" s="227" t="n"/>
      <c r="J2521" s="227" t="n"/>
      <c r="K2521" s="227" t="n"/>
      <c r="L2521" s="227" t="n"/>
      <c r="M2521" s="227" t="n"/>
      <c r="N2521" s="127" t="n"/>
      <c r="O2521" s="227" t="n"/>
      <c r="P2521" s="227" t="n"/>
      <c r="Q2521" s="227" t="n"/>
      <c r="R2521" s="227" t="n"/>
      <c r="S2521" s="227" t="n"/>
      <c r="T2521" s="227" t="n"/>
    </row>
    <row r="2522">
      <c r="A2522" s="145">
        <f>IF($B2522="","",ROW()-5)</f>
        <v/>
      </c>
      <c r="B2522" s="127" t="n"/>
      <c r="C2522" s="223" t="n"/>
      <c r="D2522" s="127" t="n"/>
      <c r="E2522" s="227" t="n"/>
      <c r="F2522" s="227" t="n"/>
      <c r="G2522" s="227" t="n"/>
      <c r="H2522" s="227" t="n"/>
      <c r="I2522" s="227" t="n"/>
      <c r="J2522" s="227" t="n"/>
      <c r="K2522" s="227" t="n"/>
      <c r="L2522" s="227" t="n"/>
      <c r="M2522" s="227" t="n"/>
      <c r="N2522" s="127" t="n"/>
      <c r="O2522" s="227" t="n"/>
      <c r="P2522" s="227" t="n"/>
      <c r="Q2522" s="227" t="n"/>
      <c r="R2522" s="227" t="n"/>
      <c r="S2522" s="227" t="n"/>
      <c r="T2522" s="227" t="n"/>
    </row>
    <row r="2523">
      <c r="A2523" s="145">
        <f>IF($B2523="","",ROW()-5)</f>
        <v/>
      </c>
      <c r="B2523" s="127" t="n"/>
      <c r="C2523" s="223" t="n"/>
      <c r="D2523" s="127" t="n"/>
      <c r="E2523" s="227" t="n"/>
      <c r="F2523" s="227" t="n"/>
      <c r="G2523" s="227" t="n"/>
      <c r="H2523" s="227" t="n"/>
      <c r="I2523" s="227" t="n"/>
      <c r="J2523" s="227" t="n"/>
      <c r="K2523" s="227" t="n"/>
      <c r="L2523" s="227" t="n"/>
      <c r="M2523" s="227" t="n"/>
      <c r="N2523" s="127" t="n"/>
      <c r="O2523" s="227" t="n"/>
      <c r="P2523" s="227" t="n"/>
      <c r="Q2523" s="227" t="n"/>
      <c r="R2523" s="227" t="n"/>
      <c r="S2523" s="227" t="n"/>
      <c r="T2523" s="227" t="n"/>
    </row>
    <row r="2524">
      <c r="A2524" s="145">
        <f>IF($B2524="","",ROW()-5)</f>
        <v/>
      </c>
      <c r="B2524" s="127" t="n"/>
      <c r="C2524" s="223" t="n"/>
      <c r="D2524" s="127" t="n"/>
      <c r="E2524" s="227" t="n"/>
      <c r="F2524" s="227" t="n"/>
      <c r="G2524" s="227" t="n"/>
      <c r="H2524" s="227" t="n"/>
      <c r="I2524" s="227" t="n"/>
      <c r="J2524" s="227" t="n"/>
      <c r="K2524" s="227" t="n"/>
      <c r="L2524" s="227" t="n"/>
      <c r="M2524" s="227" t="n"/>
      <c r="N2524" s="127" t="n"/>
      <c r="O2524" s="227" t="n"/>
      <c r="P2524" s="227" t="n"/>
      <c r="Q2524" s="227" t="n"/>
      <c r="R2524" s="227" t="n"/>
      <c r="S2524" s="227" t="n"/>
      <c r="T2524" s="227" t="n"/>
    </row>
    <row r="2525">
      <c r="A2525" s="145">
        <f>IF($B2525="","",ROW()-5)</f>
        <v/>
      </c>
      <c r="B2525" s="127" t="n"/>
      <c r="C2525" s="223" t="n"/>
      <c r="D2525" s="127" t="n"/>
      <c r="E2525" s="227" t="n"/>
      <c r="F2525" s="227" t="n"/>
      <c r="G2525" s="227" t="n"/>
      <c r="H2525" s="227" t="n"/>
      <c r="I2525" s="227" t="n"/>
      <c r="J2525" s="227" t="n"/>
      <c r="K2525" s="227" t="n"/>
      <c r="L2525" s="227" t="n"/>
      <c r="M2525" s="227" t="n"/>
      <c r="N2525" s="127" t="n"/>
      <c r="O2525" s="227" t="n"/>
      <c r="P2525" s="227" t="n"/>
      <c r="Q2525" s="227" t="n"/>
      <c r="R2525" s="227" t="n"/>
      <c r="S2525" s="227" t="n"/>
      <c r="T2525" s="227" t="n"/>
    </row>
    <row r="2526">
      <c r="A2526" s="145">
        <f>IF($B2526="","",ROW()-5)</f>
        <v/>
      </c>
      <c r="B2526" s="127" t="n"/>
      <c r="C2526" s="223" t="n"/>
      <c r="D2526" s="127" t="n"/>
      <c r="E2526" s="227" t="n"/>
      <c r="F2526" s="227" t="n"/>
      <c r="G2526" s="227" t="n"/>
      <c r="H2526" s="227" t="n"/>
      <c r="I2526" s="227" t="n"/>
      <c r="J2526" s="227" t="n"/>
      <c r="K2526" s="227" t="n"/>
      <c r="L2526" s="227" t="n"/>
      <c r="M2526" s="227" t="n"/>
      <c r="N2526" s="127" t="n"/>
      <c r="O2526" s="227" t="n"/>
      <c r="P2526" s="227" t="n"/>
      <c r="Q2526" s="227" t="n"/>
      <c r="R2526" s="227" t="n"/>
      <c r="S2526" s="227" t="n"/>
      <c r="T2526" s="227" t="n"/>
    </row>
    <row r="2527">
      <c r="A2527" s="145">
        <f>IF($B2527="","",ROW()-5)</f>
        <v/>
      </c>
      <c r="B2527" s="127" t="n"/>
      <c r="C2527" s="223" t="n"/>
      <c r="D2527" s="127" t="n"/>
      <c r="E2527" s="227" t="n"/>
      <c r="F2527" s="227" t="n"/>
      <c r="G2527" s="227" t="n"/>
      <c r="H2527" s="227" t="n"/>
      <c r="I2527" s="227" t="n"/>
      <c r="J2527" s="227" t="n"/>
      <c r="K2527" s="227" t="n"/>
      <c r="L2527" s="227" t="n"/>
      <c r="M2527" s="227" t="n"/>
      <c r="N2527" s="127" t="n"/>
      <c r="O2527" s="227" t="n"/>
      <c r="P2527" s="227" t="n"/>
      <c r="Q2527" s="227" t="n"/>
      <c r="R2527" s="227" t="n"/>
      <c r="S2527" s="227" t="n"/>
      <c r="T2527" s="227" t="n"/>
    </row>
    <row r="2528">
      <c r="A2528" s="145">
        <f>IF($B2528="","",ROW()-5)</f>
        <v/>
      </c>
      <c r="B2528" s="127" t="n"/>
      <c r="C2528" s="223" t="n"/>
      <c r="D2528" s="127" t="n"/>
      <c r="E2528" s="227" t="n"/>
      <c r="F2528" s="227" t="n"/>
      <c r="G2528" s="227" t="n"/>
      <c r="H2528" s="227" t="n"/>
      <c r="I2528" s="227" t="n"/>
      <c r="J2528" s="227" t="n"/>
      <c r="K2528" s="227" t="n"/>
      <c r="L2528" s="227" t="n"/>
      <c r="M2528" s="227" t="n"/>
      <c r="N2528" s="127" t="n"/>
      <c r="O2528" s="227" t="n"/>
      <c r="P2528" s="227" t="n"/>
      <c r="Q2528" s="227" t="n"/>
      <c r="R2528" s="227" t="n"/>
      <c r="S2528" s="227" t="n"/>
      <c r="T2528" s="227" t="n"/>
    </row>
    <row r="2529">
      <c r="A2529" s="145">
        <f>IF($B2529="","",ROW()-5)</f>
        <v/>
      </c>
      <c r="B2529" s="127" t="n"/>
      <c r="C2529" s="223" t="n"/>
      <c r="D2529" s="127" t="n"/>
      <c r="E2529" s="227" t="n"/>
      <c r="F2529" s="227" t="n"/>
      <c r="G2529" s="227" t="n"/>
      <c r="H2529" s="227" t="n"/>
      <c r="I2529" s="227" t="n"/>
      <c r="J2529" s="227" t="n"/>
      <c r="K2529" s="227" t="n"/>
      <c r="L2529" s="227" t="n"/>
      <c r="M2529" s="227" t="n"/>
      <c r="N2529" s="127" t="n"/>
      <c r="O2529" s="227" t="n"/>
      <c r="P2529" s="227" t="n"/>
      <c r="Q2529" s="227" t="n"/>
      <c r="R2529" s="227" t="n"/>
      <c r="S2529" s="227" t="n"/>
      <c r="T2529" s="227" t="n"/>
    </row>
    <row r="2530">
      <c r="A2530" s="145">
        <f>IF($B2530="","",ROW()-5)</f>
        <v/>
      </c>
      <c r="B2530" s="127" t="n"/>
      <c r="C2530" s="223" t="n"/>
      <c r="D2530" s="127" t="n"/>
      <c r="E2530" s="227" t="n"/>
      <c r="F2530" s="227" t="n"/>
      <c r="G2530" s="227" t="n"/>
      <c r="H2530" s="227" t="n"/>
      <c r="I2530" s="227" t="n"/>
      <c r="J2530" s="227" t="n"/>
      <c r="K2530" s="227" t="n"/>
      <c r="L2530" s="227" t="n"/>
      <c r="M2530" s="227" t="n"/>
      <c r="N2530" s="127" t="n"/>
      <c r="O2530" s="227" t="n"/>
      <c r="P2530" s="227" t="n"/>
      <c r="Q2530" s="227" t="n"/>
      <c r="R2530" s="227" t="n"/>
      <c r="S2530" s="227" t="n"/>
      <c r="T2530" s="227" t="n"/>
    </row>
    <row r="2531">
      <c r="A2531" s="145">
        <f>IF($B2531="","",ROW()-5)</f>
        <v/>
      </c>
      <c r="B2531" s="127" t="n"/>
      <c r="C2531" s="223" t="n"/>
      <c r="D2531" s="127" t="n"/>
      <c r="E2531" s="227" t="n"/>
      <c r="F2531" s="227" t="n"/>
      <c r="G2531" s="227" t="n"/>
      <c r="H2531" s="227" t="n"/>
      <c r="I2531" s="227" t="n"/>
      <c r="J2531" s="227" t="n"/>
      <c r="K2531" s="227" t="n"/>
      <c r="L2531" s="227" t="n"/>
      <c r="M2531" s="227" t="n"/>
      <c r="N2531" s="127" t="n"/>
      <c r="O2531" s="227" t="n"/>
      <c r="P2531" s="227" t="n"/>
      <c r="Q2531" s="227" t="n"/>
      <c r="R2531" s="227" t="n"/>
      <c r="S2531" s="227" t="n"/>
      <c r="T2531" s="227" t="n"/>
    </row>
    <row r="2532">
      <c r="A2532" s="145">
        <f>IF($B2532="","",ROW()-5)</f>
        <v/>
      </c>
      <c r="B2532" s="127" t="n"/>
      <c r="C2532" s="223" t="n"/>
      <c r="D2532" s="127" t="n"/>
      <c r="E2532" s="227" t="n"/>
      <c r="F2532" s="227" t="n"/>
      <c r="G2532" s="227" t="n"/>
      <c r="H2532" s="227" t="n"/>
      <c r="I2532" s="227" t="n"/>
      <c r="J2532" s="227" t="n"/>
      <c r="K2532" s="227" t="n"/>
      <c r="L2532" s="227" t="n"/>
      <c r="M2532" s="227" t="n"/>
      <c r="N2532" s="127" t="n"/>
      <c r="O2532" s="227" t="n"/>
      <c r="P2532" s="227" t="n"/>
      <c r="Q2532" s="227" t="n"/>
      <c r="R2532" s="227" t="n"/>
      <c r="S2532" s="227" t="n"/>
      <c r="T2532" s="227" t="n"/>
    </row>
    <row r="2533">
      <c r="A2533" s="145">
        <f>IF($B2533="","",ROW()-5)</f>
        <v/>
      </c>
      <c r="B2533" s="127" t="n"/>
      <c r="C2533" s="223" t="n"/>
      <c r="D2533" s="127" t="n"/>
      <c r="E2533" s="227" t="n"/>
      <c r="F2533" s="227" t="n"/>
      <c r="G2533" s="227" t="n"/>
      <c r="H2533" s="227" t="n"/>
      <c r="I2533" s="227" t="n"/>
      <c r="J2533" s="227" t="n"/>
      <c r="K2533" s="227" t="n"/>
      <c r="L2533" s="227" t="n"/>
      <c r="M2533" s="227" t="n"/>
      <c r="N2533" s="127" t="n"/>
      <c r="O2533" s="227" t="n"/>
      <c r="P2533" s="227" t="n"/>
      <c r="Q2533" s="227" t="n"/>
      <c r="R2533" s="227" t="n"/>
      <c r="S2533" s="227" t="n"/>
      <c r="T2533" s="227" t="n"/>
    </row>
    <row r="2534">
      <c r="A2534" s="145">
        <f>IF($B2534="","",ROW()-5)</f>
        <v/>
      </c>
      <c r="B2534" s="127" t="n"/>
      <c r="C2534" s="223" t="n"/>
      <c r="D2534" s="127" t="n"/>
      <c r="E2534" s="227" t="n"/>
      <c r="F2534" s="227" t="n"/>
      <c r="G2534" s="227" t="n"/>
      <c r="H2534" s="227" t="n"/>
      <c r="I2534" s="227" t="n"/>
      <c r="J2534" s="227" t="n"/>
      <c r="K2534" s="227" t="n"/>
      <c r="L2534" s="227" t="n"/>
      <c r="M2534" s="227" t="n"/>
      <c r="N2534" s="127" t="n"/>
      <c r="O2534" s="227" t="n"/>
      <c r="P2534" s="227" t="n"/>
      <c r="Q2534" s="227" t="n"/>
      <c r="R2534" s="227" t="n"/>
      <c r="S2534" s="227" t="n"/>
      <c r="T2534" s="227" t="n"/>
    </row>
    <row r="2535">
      <c r="A2535" s="145">
        <f>IF($B2535="","",ROW()-5)</f>
        <v/>
      </c>
      <c r="B2535" s="127" t="n"/>
      <c r="C2535" s="223" t="n"/>
      <c r="D2535" s="127" t="n"/>
      <c r="E2535" s="227" t="n"/>
      <c r="F2535" s="227" t="n"/>
      <c r="G2535" s="227" t="n"/>
      <c r="H2535" s="227" t="n"/>
      <c r="I2535" s="227" t="n"/>
      <c r="J2535" s="227" t="n"/>
      <c r="K2535" s="227" t="n"/>
      <c r="L2535" s="227" t="n"/>
      <c r="M2535" s="227" t="n"/>
      <c r="N2535" s="127" t="n"/>
      <c r="O2535" s="227" t="n"/>
      <c r="P2535" s="227" t="n"/>
      <c r="Q2535" s="227" t="n"/>
      <c r="R2535" s="227" t="n"/>
      <c r="S2535" s="227" t="n"/>
      <c r="T2535" s="227" t="n"/>
    </row>
    <row r="2536">
      <c r="A2536" s="145">
        <f>IF($B2536="","",ROW()-5)</f>
        <v/>
      </c>
      <c r="B2536" s="127" t="n"/>
      <c r="C2536" s="223" t="n"/>
      <c r="D2536" s="127" t="n"/>
      <c r="E2536" s="227" t="n"/>
      <c r="F2536" s="227" t="n"/>
      <c r="G2536" s="227" t="n"/>
      <c r="H2536" s="227" t="n"/>
      <c r="I2536" s="227" t="n"/>
      <c r="J2536" s="227" t="n"/>
      <c r="K2536" s="227" t="n"/>
      <c r="L2536" s="227" t="n"/>
      <c r="M2536" s="227" t="n"/>
      <c r="N2536" s="127" t="n"/>
      <c r="O2536" s="227" t="n"/>
      <c r="P2536" s="227" t="n"/>
      <c r="Q2536" s="227" t="n"/>
      <c r="R2536" s="227" t="n"/>
      <c r="S2536" s="227" t="n"/>
      <c r="T2536" s="227" t="n"/>
    </row>
    <row r="2537">
      <c r="A2537" s="145">
        <f>IF($B2537="","",ROW()-5)</f>
        <v/>
      </c>
      <c r="B2537" s="127" t="n"/>
      <c r="C2537" s="223" t="n"/>
      <c r="D2537" s="127" t="n"/>
      <c r="E2537" s="227" t="n"/>
      <c r="F2537" s="227" t="n"/>
      <c r="G2537" s="227" t="n"/>
      <c r="H2537" s="227" t="n"/>
      <c r="I2537" s="227" t="n"/>
      <c r="J2537" s="227" t="n"/>
      <c r="K2537" s="227" t="n"/>
      <c r="L2537" s="227" t="n"/>
      <c r="M2537" s="227" t="n"/>
      <c r="N2537" s="127" t="n"/>
      <c r="O2537" s="227" t="n"/>
      <c r="P2537" s="227" t="n"/>
      <c r="Q2537" s="227" t="n"/>
      <c r="R2537" s="227" t="n"/>
      <c r="S2537" s="227" t="n"/>
      <c r="T2537" s="227" t="n"/>
    </row>
    <row r="2538">
      <c r="A2538" s="145">
        <f>IF($B2538="","",ROW()-5)</f>
        <v/>
      </c>
      <c r="B2538" s="127" t="n"/>
      <c r="C2538" s="223" t="n"/>
      <c r="D2538" s="127" t="n"/>
      <c r="E2538" s="227" t="n"/>
      <c r="F2538" s="227" t="n"/>
      <c r="G2538" s="227" t="n"/>
      <c r="H2538" s="227" t="n"/>
      <c r="I2538" s="227" t="n"/>
      <c r="J2538" s="227" t="n"/>
      <c r="K2538" s="227" t="n"/>
      <c r="L2538" s="227" t="n"/>
      <c r="M2538" s="227" t="n"/>
      <c r="N2538" s="127" t="n"/>
      <c r="O2538" s="227" t="n"/>
      <c r="P2538" s="227" t="n"/>
      <c r="Q2538" s="227" t="n"/>
      <c r="R2538" s="227" t="n"/>
      <c r="S2538" s="227" t="n"/>
      <c r="T2538" s="227" t="n"/>
    </row>
    <row r="2539">
      <c r="A2539" s="145">
        <f>IF($B2539="","",ROW()-5)</f>
        <v/>
      </c>
      <c r="B2539" s="127" t="n"/>
      <c r="C2539" s="223" t="n"/>
      <c r="D2539" s="127" t="n"/>
      <c r="E2539" s="227" t="n"/>
      <c r="F2539" s="227" t="n"/>
      <c r="G2539" s="227" t="n"/>
      <c r="H2539" s="227" t="n"/>
      <c r="I2539" s="227" t="n"/>
      <c r="J2539" s="227" t="n"/>
      <c r="K2539" s="227" t="n"/>
      <c r="L2539" s="227" t="n"/>
      <c r="M2539" s="227" t="n"/>
      <c r="N2539" s="127" t="n"/>
      <c r="O2539" s="227" t="n"/>
      <c r="P2539" s="227" t="n"/>
      <c r="Q2539" s="227" t="n"/>
      <c r="R2539" s="227" t="n"/>
      <c r="S2539" s="227" t="n"/>
      <c r="T2539" s="227" t="n"/>
    </row>
    <row r="2540">
      <c r="A2540" s="145">
        <f>IF($B2540="","",ROW()-5)</f>
        <v/>
      </c>
      <c r="B2540" s="127" t="n"/>
      <c r="C2540" s="223" t="n"/>
      <c r="D2540" s="127" t="n"/>
      <c r="E2540" s="227" t="n"/>
      <c r="F2540" s="227" t="n"/>
      <c r="G2540" s="227" t="n"/>
      <c r="H2540" s="227" t="n"/>
      <c r="I2540" s="227" t="n"/>
      <c r="J2540" s="227" t="n"/>
      <c r="K2540" s="227" t="n"/>
      <c r="L2540" s="227" t="n"/>
      <c r="M2540" s="227" t="n"/>
      <c r="N2540" s="127" t="n"/>
      <c r="O2540" s="227" t="n"/>
      <c r="P2540" s="227" t="n"/>
      <c r="Q2540" s="227" t="n"/>
      <c r="R2540" s="227" t="n"/>
      <c r="S2540" s="227" t="n"/>
      <c r="T2540" s="227" t="n"/>
    </row>
    <row r="2541">
      <c r="A2541" s="145">
        <f>IF($B2541="","",ROW()-5)</f>
        <v/>
      </c>
      <c r="B2541" s="127" t="n"/>
      <c r="C2541" s="223" t="n"/>
      <c r="D2541" s="127" t="n"/>
      <c r="E2541" s="227" t="n"/>
      <c r="F2541" s="227" t="n"/>
      <c r="G2541" s="227" t="n"/>
      <c r="H2541" s="227" t="n"/>
      <c r="I2541" s="227" t="n"/>
      <c r="J2541" s="227" t="n"/>
      <c r="K2541" s="227" t="n"/>
      <c r="L2541" s="227" t="n"/>
      <c r="M2541" s="227" t="n"/>
      <c r="N2541" s="127" t="n"/>
      <c r="O2541" s="227" t="n"/>
      <c r="P2541" s="227" t="n"/>
      <c r="Q2541" s="227" t="n"/>
      <c r="R2541" s="227" t="n"/>
      <c r="S2541" s="227" t="n"/>
      <c r="T2541" s="227" t="n"/>
    </row>
    <row r="2542">
      <c r="A2542" s="145">
        <f>IF($B2542="","",ROW()-5)</f>
        <v/>
      </c>
      <c r="B2542" s="127" t="n"/>
      <c r="C2542" s="223" t="n"/>
      <c r="D2542" s="127" t="n"/>
      <c r="E2542" s="227" t="n"/>
      <c r="F2542" s="227" t="n"/>
      <c r="G2542" s="227" t="n"/>
      <c r="H2542" s="227" t="n"/>
      <c r="I2542" s="227" t="n"/>
      <c r="J2542" s="227" t="n"/>
      <c r="K2542" s="227" t="n"/>
      <c r="L2542" s="227" t="n"/>
      <c r="M2542" s="227" t="n"/>
      <c r="N2542" s="127" t="n"/>
      <c r="O2542" s="227" t="n"/>
      <c r="P2542" s="227" t="n"/>
      <c r="Q2542" s="227" t="n"/>
      <c r="R2542" s="227" t="n"/>
      <c r="S2542" s="227" t="n"/>
      <c r="T2542" s="227" t="n"/>
    </row>
    <row r="2543">
      <c r="A2543" s="145">
        <f>IF($B2543="","",ROW()-5)</f>
        <v/>
      </c>
      <c r="B2543" s="127" t="n"/>
      <c r="C2543" s="223" t="n"/>
      <c r="D2543" s="127" t="n"/>
      <c r="E2543" s="227" t="n"/>
      <c r="F2543" s="227" t="n"/>
      <c r="G2543" s="227" t="n"/>
      <c r="H2543" s="227" t="n"/>
      <c r="I2543" s="227" t="n"/>
      <c r="J2543" s="227" t="n"/>
      <c r="K2543" s="227" t="n"/>
      <c r="L2543" s="227" t="n"/>
      <c r="M2543" s="227" t="n"/>
      <c r="N2543" s="127" t="n"/>
      <c r="O2543" s="227" t="n"/>
      <c r="P2543" s="227" t="n"/>
      <c r="Q2543" s="227" t="n"/>
      <c r="R2543" s="227" t="n"/>
      <c r="S2543" s="227" t="n"/>
      <c r="T2543" s="227" t="n"/>
    </row>
    <row r="2544">
      <c r="A2544" s="145">
        <f>IF($B2544="","",ROW()-5)</f>
        <v/>
      </c>
      <c r="B2544" s="127" t="n"/>
      <c r="C2544" s="223" t="n"/>
      <c r="D2544" s="127" t="n"/>
      <c r="E2544" s="227" t="n"/>
      <c r="F2544" s="227" t="n"/>
      <c r="G2544" s="227" t="n"/>
      <c r="H2544" s="227" t="n"/>
      <c r="I2544" s="227" t="n"/>
      <c r="J2544" s="227" t="n"/>
      <c r="K2544" s="227" t="n"/>
      <c r="L2544" s="227" t="n"/>
      <c r="M2544" s="227" t="n"/>
      <c r="N2544" s="127" t="n"/>
      <c r="O2544" s="227" t="n"/>
      <c r="P2544" s="227" t="n"/>
      <c r="Q2544" s="227" t="n"/>
      <c r="R2544" s="227" t="n"/>
      <c r="S2544" s="227" t="n"/>
      <c r="T2544" s="227" t="n"/>
    </row>
    <row r="2545">
      <c r="A2545" s="145">
        <f>IF($B2545="","",ROW()-5)</f>
        <v/>
      </c>
      <c r="B2545" s="127" t="n"/>
      <c r="C2545" s="223" t="n"/>
      <c r="D2545" s="127" t="n"/>
      <c r="E2545" s="227" t="n"/>
      <c r="F2545" s="227" t="n"/>
      <c r="G2545" s="227" t="n"/>
      <c r="H2545" s="227" t="n"/>
      <c r="I2545" s="227" t="n"/>
      <c r="J2545" s="227" t="n"/>
      <c r="K2545" s="227" t="n"/>
      <c r="L2545" s="227" t="n"/>
      <c r="M2545" s="227" t="n"/>
      <c r="N2545" s="127" t="n"/>
      <c r="O2545" s="227" t="n"/>
      <c r="P2545" s="227" t="n"/>
      <c r="Q2545" s="227" t="n"/>
      <c r="R2545" s="227" t="n"/>
      <c r="S2545" s="227" t="n"/>
      <c r="T2545" s="227" t="n"/>
    </row>
    <row r="2546">
      <c r="A2546" s="145">
        <f>IF($B2546="","",ROW()-5)</f>
        <v/>
      </c>
      <c r="B2546" s="127" t="n"/>
      <c r="C2546" s="223" t="n"/>
      <c r="D2546" s="127" t="n"/>
      <c r="E2546" s="227" t="n"/>
      <c r="F2546" s="227" t="n"/>
      <c r="G2546" s="227" t="n"/>
      <c r="H2546" s="227" t="n"/>
      <c r="I2546" s="227" t="n"/>
      <c r="J2546" s="227" t="n"/>
      <c r="K2546" s="227" t="n"/>
      <c r="L2546" s="227" t="n"/>
      <c r="M2546" s="227" t="n"/>
      <c r="N2546" s="127" t="n"/>
      <c r="O2546" s="227" t="n"/>
      <c r="P2546" s="227" t="n"/>
      <c r="Q2546" s="227" t="n"/>
      <c r="R2546" s="227" t="n"/>
      <c r="S2546" s="227" t="n"/>
      <c r="T2546" s="227" t="n"/>
    </row>
    <row r="2547">
      <c r="A2547" s="145">
        <f>IF($B2547="","",ROW()-5)</f>
        <v/>
      </c>
      <c r="B2547" s="127" t="n"/>
      <c r="C2547" s="223" t="n"/>
      <c r="D2547" s="127" t="n"/>
      <c r="E2547" s="227" t="n"/>
      <c r="F2547" s="227" t="n"/>
      <c r="G2547" s="227" t="n"/>
      <c r="H2547" s="227" t="n"/>
      <c r="I2547" s="227" t="n"/>
      <c r="J2547" s="227" t="n"/>
      <c r="K2547" s="227" t="n"/>
      <c r="L2547" s="227" t="n"/>
      <c r="M2547" s="227" t="n"/>
      <c r="N2547" s="127" t="n"/>
      <c r="O2547" s="227" t="n"/>
      <c r="P2547" s="227" t="n"/>
      <c r="Q2547" s="227" t="n"/>
      <c r="R2547" s="227" t="n"/>
      <c r="S2547" s="227" t="n"/>
      <c r="T2547" s="227" t="n"/>
    </row>
    <row r="2548">
      <c r="A2548" s="145">
        <f>IF($B2548="","",ROW()-5)</f>
        <v/>
      </c>
      <c r="B2548" s="127" t="n"/>
      <c r="C2548" s="223" t="n"/>
      <c r="D2548" s="127" t="n"/>
      <c r="E2548" s="227" t="n"/>
      <c r="F2548" s="227" t="n"/>
      <c r="G2548" s="227" t="n"/>
      <c r="H2548" s="227" t="n"/>
      <c r="I2548" s="227" t="n"/>
      <c r="J2548" s="227" t="n"/>
      <c r="K2548" s="227" t="n"/>
      <c r="L2548" s="227" t="n"/>
      <c r="M2548" s="227" t="n"/>
      <c r="N2548" s="127" t="n"/>
      <c r="O2548" s="227" t="n"/>
      <c r="P2548" s="227" t="n"/>
      <c r="Q2548" s="227" t="n"/>
      <c r="R2548" s="227" t="n"/>
      <c r="S2548" s="227" t="n"/>
      <c r="T2548" s="227" t="n"/>
    </row>
    <row r="2549">
      <c r="A2549" s="145">
        <f>IF($B2549="","",ROW()-5)</f>
        <v/>
      </c>
      <c r="B2549" s="127" t="n"/>
      <c r="C2549" s="223" t="n"/>
      <c r="D2549" s="127" t="n"/>
      <c r="E2549" s="227" t="n"/>
      <c r="F2549" s="227" t="n"/>
      <c r="G2549" s="227" t="n"/>
      <c r="H2549" s="227" t="n"/>
      <c r="I2549" s="227" t="n"/>
      <c r="J2549" s="227" t="n"/>
      <c r="K2549" s="227" t="n"/>
      <c r="L2549" s="227" t="n"/>
      <c r="M2549" s="227" t="n"/>
      <c r="N2549" s="127" t="n"/>
      <c r="O2549" s="227" t="n"/>
      <c r="P2549" s="227" t="n"/>
      <c r="Q2549" s="227" t="n"/>
      <c r="R2549" s="227" t="n"/>
      <c r="S2549" s="227" t="n"/>
      <c r="T2549" s="227" t="n"/>
    </row>
    <row r="2550">
      <c r="A2550" s="145">
        <f>IF($B2550="","",ROW()-5)</f>
        <v/>
      </c>
      <c r="B2550" s="127" t="n"/>
      <c r="C2550" s="223" t="n"/>
      <c r="D2550" s="127" t="n"/>
      <c r="E2550" s="227" t="n"/>
      <c r="F2550" s="227" t="n"/>
      <c r="G2550" s="227" t="n"/>
      <c r="H2550" s="227" t="n"/>
      <c r="I2550" s="227" t="n"/>
      <c r="J2550" s="227" t="n"/>
      <c r="K2550" s="227" t="n"/>
      <c r="L2550" s="227" t="n"/>
      <c r="M2550" s="227" t="n"/>
      <c r="N2550" s="127" t="n"/>
      <c r="O2550" s="227" t="n"/>
      <c r="P2550" s="227" t="n"/>
      <c r="Q2550" s="227" t="n"/>
      <c r="R2550" s="227" t="n"/>
      <c r="S2550" s="227" t="n"/>
      <c r="T2550" s="227" t="n"/>
    </row>
    <row r="2551">
      <c r="A2551" s="145">
        <f>IF($B2551="","",ROW()-5)</f>
        <v/>
      </c>
      <c r="B2551" s="127" t="n"/>
      <c r="C2551" s="223" t="n"/>
      <c r="D2551" s="127" t="n"/>
      <c r="E2551" s="227" t="n"/>
      <c r="F2551" s="227" t="n"/>
      <c r="G2551" s="227" t="n"/>
      <c r="H2551" s="227" t="n"/>
      <c r="I2551" s="227" t="n"/>
      <c r="J2551" s="227" t="n"/>
      <c r="K2551" s="227" t="n"/>
      <c r="L2551" s="227" t="n"/>
      <c r="M2551" s="227" t="n"/>
      <c r="N2551" s="127" t="n"/>
      <c r="O2551" s="227" t="n"/>
      <c r="P2551" s="227" t="n"/>
      <c r="Q2551" s="227" t="n"/>
      <c r="R2551" s="227" t="n"/>
      <c r="S2551" s="227" t="n"/>
      <c r="T2551" s="227" t="n"/>
    </row>
    <row r="2552">
      <c r="A2552" s="145">
        <f>IF($B2552="","",ROW()-5)</f>
        <v/>
      </c>
      <c r="B2552" s="127" t="n"/>
      <c r="C2552" s="223" t="n"/>
      <c r="D2552" s="127" t="n"/>
      <c r="E2552" s="227" t="n"/>
      <c r="F2552" s="227" t="n"/>
      <c r="G2552" s="227" t="n"/>
      <c r="H2552" s="227" t="n"/>
      <c r="I2552" s="227" t="n"/>
      <c r="J2552" s="227" t="n"/>
      <c r="K2552" s="227" t="n"/>
      <c r="L2552" s="227" t="n"/>
      <c r="M2552" s="227" t="n"/>
      <c r="N2552" s="127" t="n"/>
      <c r="O2552" s="227" t="n"/>
      <c r="P2552" s="227" t="n"/>
      <c r="Q2552" s="227" t="n"/>
      <c r="R2552" s="227" t="n"/>
      <c r="S2552" s="227" t="n"/>
      <c r="T2552" s="227" t="n"/>
    </row>
    <row r="2553">
      <c r="A2553" s="145">
        <f>IF($B2553="","",ROW()-5)</f>
        <v/>
      </c>
      <c r="B2553" s="127" t="n"/>
      <c r="C2553" s="223" t="n"/>
      <c r="D2553" s="127" t="n"/>
      <c r="E2553" s="227" t="n"/>
      <c r="F2553" s="227" t="n"/>
      <c r="G2553" s="227" t="n"/>
      <c r="H2553" s="227" t="n"/>
      <c r="I2553" s="227" t="n"/>
      <c r="J2553" s="227" t="n"/>
      <c r="K2553" s="227" t="n"/>
      <c r="L2553" s="227" t="n"/>
      <c r="M2553" s="227" t="n"/>
      <c r="N2553" s="127" t="n"/>
      <c r="O2553" s="227" t="n"/>
      <c r="P2553" s="227" t="n"/>
      <c r="Q2553" s="227" t="n"/>
      <c r="R2553" s="227" t="n"/>
      <c r="S2553" s="227" t="n"/>
      <c r="T2553" s="227" t="n"/>
    </row>
    <row r="2554">
      <c r="A2554" s="145">
        <f>IF($B2554="","",ROW()-5)</f>
        <v/>
      </c>
      <c r="B2554" s="127" t="n"/>
      <c r="C2554" s="223" t="n"/>
      <c r="D2554" s="127" t="n"/>
      <c r="E2554" s="227" t="n"/>
      <c r="F2554" s="227" t="n"/>
      <c r="G2554" s="227" t="n"/>
      <c r="H2554" s="227" t="n"/>
      <c r="I2554" s="227" t="n"/>
      <c r="J2554" s="227" t="n"/>
      <c r="K2554" s="227" t="n"/>
      <c r="L2554" s="227" t="n"/>
      <c r="M2554" s="227" t="n"/>
      <c r="N2554" s="127" t="n"/>
      <c r="O2554" s="227" t="n"/>
      <c r="P2554" s="227" t="n"/>
      <c r="Q2554" s="227" t="n"/>
      <c r="R2554" s="227" t="n"/>
      <c r="S2554" s="227" t="n"/>
      <c r="T2554" s="227" t="n"/>
    </row>
    <row r="2555">
      <c r="A2555" s="145">
        <f>IF($B2555="","",ROW()-5)</f>
        <v/>
      </c>
      <c r="B2555" s="127" t="n"/>
      <c r="C2555" s="223" t="n"/>
      <c r="D2555" s="127" t="n"/>
      <c r="E2555" s="227" t="n"/>
      <c r="F2555" s="227" t="n"/>
      <c r="G2555" s="227" t="n"/>
      <c r="H2555" s="227" t="n"/>
      <c r="I2555" s="227" t="n"/>
      <c r="J2555" s="227" t="n"/>
      <c r="K2555" s="227" t="n"/>
      <c r="L2555" s="227" t="n"/>
      <c r="M2555" s="227" t="n"/>
      <c r="N2555" s="127" t="n"/>
      <c r="O2555" s="227" t="n"/>
      <c r="P2555" s="227" t="n"/>
      <c r="Q2555" s="227" t="n"/>
      <c r="R2555" s="227" t="n"/>
      <c r="S2555" s="227" t="n"/>
      <c r="T2555" s="227" t="n"/>
    </row>
    <row r="2556">
      <c r="A2556" s="145">
        <f>IF($B2556="","",ROW()-5)</f>
        <v/>
      </c>
      <c r="B2556" s="127" t="n"/>
      <c r="C2556" s="223" t="n"/>
      <c r="D2556" s="127" t="n"/>
      <c r="E2556" s="227" t="n"/>
      <c r="F2556" s="227" t="n"/>
      <c r="G2556" s="227" t="n"/>
      <c r="H2556" s="227" t="n"/>
      <c r="I2556" s="227" t="n"/>
      <c r="J2556" s="227" t="n"/>
      <c r="K2556" s="227" t="n"/>
      <c r="L2556" s="227" t="n"/>
      <c r="M2556" s="227" t="n"/>
      <c r="N2556" s="127" t="n"/>
      <c r="O2556" s="227" t="n"/>
      <c r="P2556" s="227" t="n"/>
      <c r="Q2556" s="227" t="n"/>
      <c r="R2556" s="227" t="n"/>
      <c r="S2556" s="227" t="n"/>
      <c r="T2556" s="227" t="n"/>
    </row>
    <row r="2557">
      <c r="A2557" s="145">
        <f>IF($B2557="","",ROW()-5)</f>
        <v/>
      </c>
      <c r="B2557" s="127" t="n"/>
      <c r="C2557" s="223" t="n"/>
      <c r="D2557" s="127" t="n"/>
      <c r="E2557" s="227" t="n"/>
      <c r="F2557" s="227" t="n"/>
      <c r="G2557" s="227" t="n"/>
      <c r="H2557" s="227" t="n"/>
      <c r="I2557" s="227" t="n"/>
      <c r="J2557" s="227" t="n"/>
      <c r="K2557" s="227" t="n"/>
      <c r="L2557" s="227" t="n"/>
      <c r="M2557" s="227" t="n"/>
      <c r="N2557" s="127" t="n"/>
      <c r="O2557" s="227" t="n"/>
      <c r="P2557" s="227" t="n"/>
      <c r="Q2557" s="227" t="n"/>
      <c r="R2557" s="227" t="n"/>
      <c r="S2557" s="227" t="n"/>
      <c r="T2557" s="227" t="n"/>
    </row>
    <row r="2558">
      <c r="A2558" s="145">
        <f>IF($B2558="","",ROW()-5)</f>
        <v/>
      </c>
      <c r="B2558" s="127" t="n"/>
      <c r="C2558" s="223" t="n"/>
      <c r="D2558" s="127" t="n"/>
      <c r="E2558" s="227" t="n"/>
      <c r="F2558" s="227" t="n"/>
      <c r="G2558" s="227" t="n"/>
      <c r="H2558" s="227" t="n"/>
      <c r="I2558" s="227" t="n"/>
      <c r="J2558" s="227" t="n"/>
      <c r="K2558" s="227" t="n"/>
      <c r="L2558" s="227" t="n"/>
      <c r="M2558" s="227" t="n"/>
      <c r="N2558" s="127" t="n"/>
      <c r="O2558" s="227" t="n"/>
      <c r="P2558" s="227" t="n"/>
      <c r="Q2558" s="227" t="n"/>
      <c r="R2558" s="227" t="n"/>
      <c r="S2558" s="227" t="n"/>
      <c r="T2558" s="227" t="n"/>
    </row>
    <row r="2559">
      <c r="A2559" s="145">
        <f>IF($B2559="","",ROW()-5)</f>
        <v/>
      </c>
      <c r="B2559" s="127" t="n"/>
      <c r="C2559" s="223" t="n"/>
      <c r="D2559" s="127" t="n"/>
      <c r="E2559" s="227" t="n"/>
      <c r="F2559" s="227" t="n"/>
      <c r="G2559" s="227" t="n"/>
      <c r="H2559" s="227" t="n"/>
      <c r="I2559" s="227" t="n"/>
      <c r="J2559" s="227" t="n"/>
      <c r="K2559" s="227" t="n"/>
      <c r="L2559" s="227" t="n"/>
      <c r="M2559" s="227" t="n"/>
      <c r="N2559" s="127" t="n"/>
      <c r="O2559" s="227" t="n"/>
      <c r="P2559" s="227" t="n"/>
      <c r="Q2559" s="227" t="n"/>
      <c r="R2559" s="227" t="n"/>
      <c r="S2559" s="227" t="n"/>
      <c r="T2559" s="227" t="n"/>
    </row>
    <row r="2560">
      <c r="A2560" s="145">
        <f>IF($B2560="","",ROW()-5)</f>
        <v/>
      </c>
      <c r="B2560" s="127" t="n"/>
      <c r="C2560" s="223" t="n"/>
      <c r="D2560" s="127" t="n"/>
      <c r="E2560" s="227" t="n"/>
      <c r="F2560" s="227" t="n"/>
      <c r="G2560" s="227" t="n"/>
      <c r="H2560" s="227" t="n"/>
      <c r="I2560" s="227" t="n"/>
      <c r="J2560" s="227" t="n"/>
      <c r="K2560" s="227" t="n"/>
      <c r="L2560" s="227" t="n"/>
      <c r="M2560" s="227" t="n"/>
      <c r="N2560" s="127" t="n"/>
      <c r="O2560" s="227" t="n"/>
      <c r="P2560" s="227" t="n"/>
      <c r="Q2560" s="227" t="n"/>
      <c r="R2560" s="227" t="n"/>
      <c r="S2560" s="227" t="n"/>
      <c r="T2560" s="227" t="n"/>
    </row>
    <row r="2561">
      <c r="A2561" s="145">
        <f>IF($B2561="","",ROW()-5)</f>
        <v/>
      </c>
      <c r="B2561" s="127" t="n"/>
      <c r="C2561" s="223" t="n"/>
      <c r="D2561" s="127" t="n"/>
      <c r="E2561" s="227" t="n"/>
      <c r="F2561" s="227" t="n"/>
      <c r="G2561" s="227" t="n"/>
      <c r="H2561" s="227" t="n"/>
      <c r="I2561" s="227" t="n"/>
      <c r="J2561" s="227" t="n"/>
      <c r="K2561" s="227" t="n"/>
      <c r="L2561" s="227" t="n"/>
      <c r="M2561" s="227" t="n"/>
      <c r="N2561" s="127" t="n"/>
      <c r="O2561" s="227" t="n"/>
      <c r="P2561" s="227" t="n"/>
      <c r="Q2561" s="227" t="n"/>
      <c r="R2561" s="227" t="n"/>
      <c r="S2561" s="227" t="n"/>
      <c r="T2561" s="227" t="n"/>
    </row>
    <row r="2562">
      <c r="A2562" s="145">
        <f>IF($B2562="","",ROW()-5)</f>
        <v/>
      </c>
      <c r="B2562" s="127" t="n"/>
      <c r="C2562" s="223" t="n"/>
      <c r="D2562" s="127" t="n"/>
      <c r="E2562" s="227" t="n"/>
      <c r="F2562" s="227" t="n"/>
      <c r="G2562" s="227" t="n"/>
      <c r="H2562" s="227" t="n"/>
      <c r="I2562" s="227" t="n"/>
      <c r="J2562" s="227" t="n"/>
      <c r="K2562" s="227" t="n"/>
      <c r="L2562" s="227" t="n"/>
      <c r="M2562" s="227" t="n"/>
      <c r="N2562" s="127" t="n"/>
      <c r="O2562" s="227" t="n"/>
      <c r="P2562" s="227" t="n"/>
      <c r="Q2562" s="227" t="n"/>
      <c r="R2562" s="227" t="n"/>
      <c r="S2562" s="227" t="n"/>
      <c r="T2562" s="227" t="n"/>
    </row>
    <row r="2563">
      <c r="A2563" s="145">
        <f>IF($B2563="","",ROW()-5)</f>
        <v/>
      </c>
      <c r="B2563" s="127" t="n"/>
      <c r="C2563" s="223" t="n"/>
      <c r="D2563" s="127" t="n"/>
      <c r="E2563" s="227" t="n"/>
      <c r="F2563" s="227" t="n"/>
      <c r="G2563" s="227" t="n"/>
      <c r="H2563" s="227" t="n"/>
      <c r="I2563" s="227" t="n"/>
      <c r="J2563" s="227" t="n"/>
      <c r="K2563" s="227" t="n"/>
      <c r="L2563" s="227" t="n"/>
      <c r="M2563" s="227" t="n"/>
      <c r="N2563" s="127" t="n"/>
      <c r="O2563" s="227" t="n"/>
      <c r="P2563" s="227" t="n"/>
      <c r="Q2563" s="227" t="n"/>
      <c r="R2563" s="227" t="n"/>
      <c r="S2563" s="227" t="n"/>
      <c r="T2563" s="227" t="n"/>
    </row>
    <row r="2564">
      <c r="A2564" s="145">
        <f>IF($B2564="","",ROW()-5)</f>
        <v/>
      </c>
      <c r="B2564" s="127" t="n"/>
      <c r="C2564" s="223" t="n"/>
      <c r="D2564" s="127" t="n"/>
      <c r="E2564" s="227" t="n"/>
      <c r="F2564" s="227" t="n"/>
      <c r="G2564" s="227" t="n"/>
      <c r="H2564" s="227" t="n"/>
      <c r="I2564" s="227" t="n"/>
      <c r="J2564" s="227" t="n"/>
      <c r="K2564" s="227" t="n"/>
      <c r="L2564" s="227" t="n"/>
      <c r="M2564" s="227" t="n"/>
      <c r="N2564" s="127" t="n"/>
      <c r="O2564" s="227" t="n"/>
      <c r="P2564" s="227" t="n"/>
      <c r="Q2564" s="227" t="n"/>
      <c r="R2564" s="227" t="n"/>
      <c r="S2564" s="227" t="n"/>
      <c r="T2564" s="227" t="n"/>
    </row>
    <row r="2565">
      <c r="A2565" s="145">
        <f>IF($B2565="","",ROW()-5)</f>
        <v/>
      </c>
      <c r="B2565" s="127" t="n"/>
      <c r="C2565" s="223" t="n"/>
      <c r="D2565" s="127" t="n"/>
      <c r="E2565" s="227" t="n"/>
      <c r="F2565" s="227" t="n"/>
      <c r="G2565" s="227" t="n"/>
      <c r="H2565" s="227" t="n"/>
      <c r="I2565" s="227" t="n"/>
      <c r="J2565" s="227" t="n"/>
      <c r="K2565" s="227" t="n"/>
      <c r="L2565" s="227" t="n"/>
      <c r="M2565" s="227" t="n"/>
      <c r="N2565" s="127" t="n"/>
      <c r="O2565" s="227" t="n"/>
      <c r="P2565" s="227" t="n"/>
      <c r="Q2565" s="227" t="n"/>
      <c r="R2565" s="227" t="n"/>
      <c r="S2565" s="227" t="n"/>
      <c r="T2565" s="227" t="n"/>
    </row>
    <row r="2566">
      <c r="A2566" s="145">
        <f>IF($B2566="","",ROW()-5)</f>
        <v/>
      </c>
      <c r="B2566" s="127" t="n"/>
      <c r="C2566" s="223" t="n"/>
      <c r="D2566" s="127" t="n"/>
      <c r="E2566" s="227" t="n"/>
      <c r="F2566" s="227" t="n"/>
      <c r="G2566" s="227" t="n"/>
      <c r="H2566" s="227" t="n"/>
      <c r="I2566" s="227" t="n"/>
      <c r="J2566" s="227" t="n"/>
      <c r="K2566" s="227" t="n"/>
      <c r="L2566" s="227" t="n"/>
      <c r="M2566" s="227" t="n"/>
      <c r="N2566" s="127" t="n"/>
      <c r="O2566" s="227" t="n"/>
      <c r="P2566" s="227" t="n"/>
      <c r="Q2566" s="227" t="n"/>
      <c r="R2566" s="227" t="n"/>
      <c r="S2566" s="227" t="n"/>
      <c r="T2566" s="227" t="n"/>
    </row>
    <row r="2567">
      <c r="A2567" s="145">
        <f>IF($B2567="","",ROW()-5)</f>
        <v/>
      </c>
      <c r="B2567" s="127" t="n"/>
      <c r="C2567" s="223" t="n"/>
      <c r="D2567" s="127" t="n"/>
      <c r="E2567" s="227" t="n"/>
      <c r="F2567" s="227" t="n"/>
      <c r="G2567" s="227" t="n"/>
      <c r="H2567" s="227" t="n"/>
      <c r="I2567" s="227" t="n"/>
      <c r="J2567" s="227" t="n"/>
      <c r="K2567" s="227" t="n"/>
      <c r="L2567" s="227" t="n"/>
      <c r="M2567" s="227" t="n"/>
      <c r="N2567" s="127" t="n"/>
      <c r="O2567" s="227" t="n"/>
      <c r="P2567" s="227" t="n"/>
      <c r="Q2567" s="227" t="n"/>
      <c r="R2567" s="227" t="n"/>
      <c r="S2567" s="227" t="n"/>
      <c r="T2567" s="227" t="n"/>
    </row>
    <row r="2568">
      <c r="A2568" s="145">
        <f>IF($B2568="","",ROW()-5)</f>
        <v/>
      </c>
      <c r="B2568" s="127" t="n"/>
      <c r="C2568" s="223" t="n"/>
      <c r="D2568" s="127" t="n"/>
      <c r="E2568" s="227" t="n"/>
      <c r="F2568" s="227" t="n"/>
      <c r="G2568" s="227" t="n"/>
      <c r="H2568" s="227" t="n"/>
      <c r="I2568" s="227" t="n"/>
      <c r="J2568" s="227" t="n"/>
      <c r="K2568" s="227" t="n"/>
      <c r="L2568" s="227" t="n"/>
      <c r="M2568" s="227" t="n"/>
      <c r="N2568" s="127" t="n"/>
      <c r="O2568" s="227" t="n"/>
      <c r="P2568" s="227" t="n"/>
      <c r="Q2568" s="227" t="n"/>
      <c r="R2568" s="227" t="n"/>
      <c r="S2568" s="227" t="n"/>
      <c r="T2568" s="227" t="n"/>
    </row>
    <row r="2569">
      <c r="A2569" s="145">
        <f>IF($B2569="","",ROW()-5)</f>
        <v/>
      </c>
      <c r="B2569" s="127" t="n"/>
      <c r="C2569" s="223" t="n"/>
      <c r="D2569" s="127" t="n"/>
      <c r="E2569" s="227" t="n"/>
      <c r="F2569" s="227" t="n"/>
      <c r="G2569" s="227" t="n"/>
      <c r="H2569" s="227" t="n"/>
      <c r="I2569" s="227" t="n"/>
      <c r="J2569" s="227" t="n"/>
      <c r="K2569" s="227" t="n"/>
      <c r="L2569" s="227" t="n"/>
      <c r="M2569" s="227" t="n"/>
      <c r="N2569" s="127" t="n"/>
      <c r="O2569" s="227" t="n"/>
      <c r="P2569" s="227" t="n"/>
      <c r="Q2569" s="227" t="n"/>
      <c r="R2569" s="227" t="n"/>
      <c r="S2569" s="227" t="n"/>
      <c r="T2569" s="227" t="n"/>
    </row>
    <row r="2570">
      <c r="A2570" s="145">
        <f>IF($B2570="","",ROW()-5)</f>
        <v/>
      </c>
      <c r="B2570" s="127" t="n"/>
      <c r="C2570" s="223" t="n"/>
      <c r="D2570" s="127" t="n"/>
      <c r="E2570" s="227" t="n"/>
      <c r="F2570" s="227" t="n"/>
      <c r="G2570" s="227" t="n"/>
      <c r="H2570" s="227" t="n"/>
      <c r="I2570" s="227" t="n"/>
      <c r="J2570" s="227" t="n"/>
      <c r="K2570" s="227" t="n"/>
      <c r="L2570" s="227" t="n"/>
      <c r="M2570" s="227" t="n"/>
      <c r="N2570" s="127" t="n"/>
      <c r="O2570" s="227" t="n"/>
      <c r="P2570" s="227" t="n"/>
      <c r="Q2570" s="227" t="n"/>
      <c r="R2570" s="227" t="n"/>
      <c r="S2570" s="227" t="n"/>
      <c r="T2570" s="227" t="n"/>
    </row>
    <row r="2571">
      <c r="A2571" s="145">
        <f>IF($B2571="","",ROW()-5)</f>
        <v/>
      </c>
      <c r="B2571" s="127" t="n"/>
      <c r="C2571" s="223" t="n"/>
      <c r="D2571" s="127" t="n"/>
      <c r="E2571" s="227" t="n"/>
      <c r="F2571" s="227" t="n"/>
      <c r="G2571" s="227" t="n"/>
      <c r="H2571" s="227" t="n"/>
      <c r="I2571" s="227" t="n"/>
      <c r="J2571" s="227" t="n"/>
      <c r="K2571" s="227" t="n"/>
      <c r="L2571" s="227" t="n"/>
      <c r="M2571" s="227" t="n"/>
      <c r="N2571" s="127" t="n"/>
      <c r="O2571" s="227" t="n"/>
      <c r="P2571" s="227" t="n"/>
      <c r="Q2571" s="227" t="n"/>
      <c r="R2571" s="227" t="n"/>
      <c r="S2571" s="227" t="n"/>
      <c r="T2571" s="227" t="n"/>
    </row>
    <row r="2572">
      <c r="A2572" s="145">
        <f>IF($B2572="","",ROW()-5)</f>
        <v/>
      </c>
      <c r="B2572" s="127" t="n"/>
      <c r="C2572" s="223" t="n"/>
      <c r="D2572" s="127" t="n"/>
      <c r="E2572" s="227" t="n"/>
      <c r="F2572" s="227" t="n"/>
      <c r="G2572" s="227" t="n"/>
      <c r="H2572" s="227" t="n"/>
      <c r="I2572" s="227" t="n"/>
      <c r="J2572" s="227" t="n"/>
      <c r="K2572" s="227" t="n"/>
      <c r="L2572" s="227" t="n"/>
      <c r="M2572" s="227" t="n"/>
      <c r="N2572" s="127" t="n"/>
      <c r="O2572" s="227" t="n"/>
      <c r="P2572" s="227" t="n"/>
      <c r="Q2572" s="227" t="n"/>
      <c r="R2572" s="227" t="n"/>
      <c r="S2572" s="227" t="n"/>
      <c r="T2572" s="227" t="n"/>
    </row>
    <row r="2573">
      <c r="A2573" s="145">
        <f>IF($B2573="","",ROW()-5)</f>
        <v/>
      </c>
      <c r="B2573" s="127" t="n"/>
      <c r="C2573" s="223" t="n"/>
      <c r="D2573" s="127" t="n"/>
      <c r="E2573" s="227" t="n"/>
      <c r="F2573" s="227" t="n"/>
      <c r="G2573" s="227" t="n"/>
      <c r="H2573" s="227" t="n"/>
      <c r="I2573" s="227" t="n"/>
      <c r="J2573" s="227" t="n"/>
      <c r="K2573" s="227" t="n"/>
      <c r="L2573" s="227" t="n"/>
      <c r="M2573" s="227" t="n"/>
      <c r="N2573" s="127" t="n"/>
      <c r="O2573" s="227" t="n"/>
      <c r="P2573" s="227" t="n"/>
      <c r="Q2573" s="227" t="n"/>
      <c r="R2573" s="227" t="n"/>
      <c r="S2573" s="227" t="n"/>
      <c r="T2573" s="227" t="n"/>
    </row>
    <row r="2574">
      <c r="A2574" s="145">
        <f>IF($B2574="","",ROW()-5)</f>
        <v/>
      </c>
      <c r="B2574" s="127" t="n"/>
      <c r="C2574" s="223" t="n"/>
      <c r="D2574" s="127" t="n"/>
      <c r="E2574" s="227" t="n"/>
      <c r="F2574" s="227" t="n"/>
      <c r="G2574" s="227" t="n"/>
      <c r="H2574" s="227" t="n"/>
      <c r="I2574" s="227" t="n"/>
      <c r="J2574" s="227" t="n"/>
      <c r="K2574" s="227" t="n"/>
      <c r="L2574" s="227" t="n"/>
      <c r="M2574" s="227" t="n"/>
      <c r="N2574" s="127" t="n"/>
      <c r="O2574" s="227" t="n"/>
      <c r="P2574" s="227" t="n"/>
      <c r="Q2574" s="227" t="n"/>
      <c r="R2574" s="227" t="n"/>
      <c r="S2574" s="227" t="n"/>
      <c r="T2574" s="227" t="n"/>
    </row>
    <row r="2575">
      <c r="A2575" s="145">
        <f>IF($B2575="","",ROW()-5)</f>
        <v/>
      </c>
      <c r="B2575" s="127" t="n"/>
      <c r="C2575" s="223" t="n"/>
      <c r="D2575" s="127" t="n"/>
      <c r="E2575" s="227" t="n"/>
      <c r="F2575" s="227" t="n"/>
      <c r="G2575" s="227" t="n"/>
      <c r="H2575" s="227" t="n"/>
      <c r="I2575" s="227" t="n"/>
      <c r="J2575" s="227" t="n"/>
      <c r="K2575" s="227" t="n"/>
      <c r="L2575" s="227" t="n"/>
      <c r="M2575" s="227" t="n"/>
      <c r="N2575" s="127" t="n"/>
      <c r="O2575" s="227" t="n"/>
      <c r="P2575" s="227" t="n"/>
      <c r="Q2575" s="227" t="n"/>
      <c r="R2575" s="227" t="n"/>
      <c r="S2575" s="227" t="n"/>
      <c r="T2575" s="227" t="n"/>
    </row>
    <row r="2576">
      <c r="A2576" s="145">
        <f>IF($B2576="","",ROW()-5)</f>
        <v/>
      </c>
      <c r="B2576" s="127" t="n"/>
      <c r="C2576" s="223" t="n"/>
      <c r="D2576" s="127" t="n"/>
      <c r="E2576" s="227" t="n"/>
      <c r="F2576" s="227" t="n"/>
      <c r="G2576" s="227" t="n"/>
      <c r="H2576" s="227" t="n"/>
      <c r="I2576" s="227" t="n"/>
      <c r="J2576" s="227" t="n"/>
      <c r="K2576" s="227" t="n"/>
      <c r="L2576" s="227" t="n"/>
      <c r="M2576" s="227" t="n"/>
      <c r="N2576" s="127" t="n"/>
      <c r="O2576" s="227" t="n"/>
      <c r="P2576" s="227" t="n"/>
      <c r="Q2576" s="227" t="n"/>
      <c r="R2576" s="227" t="n"/>
      <c r="S2576" s="227" t="n"/>
      <c r="T2576" s="227" t="n"/>
    </row>
    <row r="2577">
      <c r="A2577" s="145">
        <f>IF($B2577="","",ROW()-5)</f>
        <v/>
      </c>
      <c r="B2577" s="127" t="n"/>
      <c r="C2577" s="223" t="n"/>
      <c r="D2577" s="127" t="n"/>
      <c r="E2577" s="227" t="n"/>
      <c r="F2577" s="227" t="n"/>
      <c r="G2577" s="227" t="n"/>
      <c r="H2577" s="227" t="n"/>
      <c r="I2577" s="227" t="n"/>
      <c r="J2577" s="227" t="n"/>
      <c r="K2577" s="227" t="n"/>
      <c r="L2577" s="227" t="n"/>
      <c r="M2577" s="227" t="n"/>
      <c r="N2577" s="127" t="n"/>
      <c r="O2577" s="227" t="n"/>
      <c r="P2577" s="227" t="n"/>
      <c r="Q2577" s="227" t="n"/>
      <c r="R2577" s="227" t="n"/>
      <c r="S2577" s="227" t="n"/>
      <c r="T2577" s="227" t="n"/>
    </row>
    <row r="2578">
      <c r="A2578" s="145">
        <f>IF($B2578="","",ROW()-5)</f>
        <v/>
      </c>
      <c r="B2578" s="127" t="n"/>
      <c r="C2578" s="223" t="n"/>
      <c r="D2578" s="127" t="n"/>
      <c r="E2578" s="227" t="n"/>
      <c r="F2578" s="227" t="n"/>
      <c r="G2578" s="227" t="n"/>
      <c r="H2578" s="227" t="n"/>
      <c r="I2578" s="227" t="n"/>
      <c r="J2578" s="227" t="n"/>
      <c r="K2578" s="227" t="n"/>
      <c r="L2578" s="227" t="n"/>
      <c r="M2578" s="227" t="n"/>
      <c r="N2578" s="127" t="n"/>
      <c r="O2578" s="227" t="n"/>
      <c r="P2578" s="227" t="n"/>
      <c r="Q2578" s="227" t="n"/>
      <c r="R2578" s="227" t="n"/>
      <c r="S2578" s="227" t="n"/>
      <c r="T2578" s="227" t="n"/>
    </row>
    <row r="2579">
      <c r="A2579" s="145">
        <f>IF($B2579="","",ROW()-5)</f>
        <v/>
      </c>
      <c r="B2579" s="127" t="n"/>
      <c r="C2579" s="223" t="n"/>
      <c r="D2579" s="127" t="n"/>
      <c r="E2579" s="227" t="n"/>
      <c r="F2579" s="227" t="n"/>
      <c r="G2579" s="227" t="n"/>
      <c r="H2579" s="227" t="n"/>
      <c r="I2579" s="227" t="n"/>
      <c r="J2579" s="227" t="n"/>
      <c r="K2579" s="227" t="n"/>
      <c r="L2579" s="227" t="n"/>
      <c r="M2579" s="227" t="n"/>
      <c r="N2579" s="127" t="n"/>
      <c r="O2579" s="227" t="n"/>
      <c r="P2579" s="227" t="n"/>
      <c r="Q2579" s="227" t="n"/>
      <c r="R2579" s="227" t="n"/>
      <c r="S2579" s="227" t="n"/>
      <c r="T2579" s="227" t="n"/>
    </row>
    <row r="2580">
      <c r="A2580" s="145">
        <f>IF($B2580="","",ROW()-5)</f>
        <v/>
      </c>
      <c r="B2580" s="127" t="n"/>
      <c r="C2580" s="223" t="n"/>
      <c r="D2580" s="127" t="n"/>
      <c r="E2580" s="227" t="n"/>
      <c r="F2580" s="227" t="n"/>
      <c r="G2580" s="227" t="n"/>
      <c r="H2580" s="227" t="n"/>
      <c r="I2580" s="227" t="n"/>
      <c r="J2580" s="227" t="n"/>
      <c r="K2580" s="227" t="n"/>
      <c r="L2580" s="227" t="n"/>
      <c r="M2580" s="227" t="n"/>
      <c r="N2580" s="127" t="n"/>
      <c r="O2580" s="227" t="n"/>
      <c r="P2580" s="227" t="n"/>
      <c r="Q2580" s="227" t="n"/>
      <c r="R2580" s="227" t="n"/>
      <c r="S2580" s="227" t="n"/>
      <c r="T2580" s="227" t="n"/>
    </row>
    <row r="2581">
      <c r="A2581" s="145">
        <f>IF($B2581="","",ROW()-5)</f>
        <v/>
      </c>
      <c r="B2581" s="127" t="n"/>
      <c r="C2581" s="223" t="n"/>
      <c r="D2581" s="127" t="n"/>
      <c r="E2581" s="227" t="n"/>
      <c r="F2581" s="227" t="n"/>
      <c r="G2581" s="227" t="n"/>
      <c r="H2581" s="227" t="n"/>
      <c r="I2581" s="227" t="n"/>
      <c r="J2581" s="227" t="n"/>
      <c r="K2581" s="227" t="n"/>
      <c r="L2581" s="227" t="n"/>
      <c r="M2581" s="227" t="n"/>
      <c r="N2581" s="127" t="n"/>
      <c r="O2581" s="227" t="n"/>
      <c r="P2581" s="227" t="n"/>
      <c r="Q2581" s="227" t="n"/>
      <c r="R2581" s="227" t="n"/>
      <c r="S2581" s="227" t="n"/>
      <c r="T2581" s="227" t="n"/>
    </row>
    <row r="2582">
      <c r="A2582" s="145">
        <f>IF($B2582="","",ROW()-5)</f>
        <v/>
      </c>
      <c r="B2582" s="127" t="n"/>
      <c r="C2582" s="223" t="n"/>
      <c r="D2582" s="127" t="n"/>
      <c r="E2582" s="227" t="n"/>
      <c r="F2582" s="227" t="n"/>
      <c r="G2582" s="227" t="n"/>
      <c r="H2582" s="227" t="n"/>
      <c r="I2582" s="227" t="n"/>
      <c r="J2582" s="227" t="n"/>
      <c r="K2582" s="227" t="n"/>
      <c r="L2582" s="227" t="n"/>
      <c r="M2582" s="227" t="n"/>
      <c r="N2582" s="127" t="n"/>
      <c r="O2582" s="227" t="n"/>
      <c r="P2582" s="227" t="n"/>
      <c r="Q2582" s="227" t="n"/>
      <c r="R2582" s="227" t="n"/>
      <c r="S2582" s="227" t="n"/>
      <c r="T2582" s="227" t="n"/>
    </row>
    <row r="2583">
      <c r="A2583" s="145">
        <f>IF($B2583="","",ROW()-5)</f>
        <v/>
      </c>
      <c r="B2583" s="127" t="n"/>
      <c r="C2583" s="223" t="n"/>
      <c r="D2583" s="127" t="n"/>
      <c r="E2583" s="227" t="n"/>
      <c r="F2583" s="227" t="n"/>
      <c r="G2583" s="227" t="n"/>
      <c r="H2583" s="227" t="n"/>
      <c r="I2583" s="227" t="n"/>
      <c r="J2583" s="227" t="n"/>
      <c r="K2583" s="227" t="n"/>
      <c r="L2583" s="227" t="n"/>
      <c r="M2583" s="227" t="n"/>
      <c r="N2583" s="127" t="n"/>
      <c r="O2583" s="227" t="n"/>
      <c r="P2583" s="227" t="n"/>
      <c r="Q2583" s="227" t="n"/>
      <c r="R2583" s="227" t="n"/>
      <c r="S2583" s="227" t="n"/>
      <c r="T2583" s="227" t="n"/>
    </row>
    <row r="2584">
      <c r="A2584" s="145">
        <f>IF($B2584="","",ROW()-5)</f>
        <v/>
      </c>
      <c r="B2584" s="127" t="n"/>
      <c r="C2584" s="223" t="n"/>
      <c r="D2584" s="127" t="n"/>
      <c r="E2584" s="227" t="n"/>
      <c r="F2584" s="227" t="n"/>
      <c r="G2584" s="227" t="n"/>
      <c r="H2584" s="227" t="n"/>
      <c r="I2584" s="227" t="n"/>
      <c r="J2584" s="227" t="n"/>
      <c r="K2584" s="227" t="n"/>
      <c r="L2584" s="227" t="n"/>
      <c r="M2584" s="227" t="n"/>
      <c r="N2584" s="127" t="n"/>
      <c r="O2584" s="227" t="n"/>
      <c r="P2584" s="227" t="n"/>
      <c r="Q2584" s="227" t="n"/>
      <c r="R2584" s="227" t="n"/>
      <c r="S2584" s="227" t="n"/>
      <c r="T2584" s="227" t="n"/>
    </row>
    <row r="2585">
      <c r="A2585" s="145">
        <f>IF($B2585="","",ROW()-5)</f>
        <v/>
      </c>
      <c r="B2585" s="127" t="n"/>
      <c r="C2585" s="223" t="n"/>
      <c r="D2585" s="127" t="n"/>
      <c r="E2585" s="227" t="n"/>
      <c r="F2585" s="227" t="n"/>
      <c r="G2585" s="227" t="n"/>
      <c r="H2585" s="227" t="n"/>
      <c r="I2585" s="227" t="n"/>
      <c r="J2585" s="227" t="n"/>
      <c r="K2585" s="227" t="n"/>
      <c r="L2585" s="227" t="n"/>
      <c r="M2585" s="227" t="n"/>
      <c r="N2585" s="127" t="n"/>
      <c r="O2585" s="227" t="n"/>
      <c r="P2585" s="227" t="n"/>
      <c r="Q2585" s="227" t="n"/>
      <c r="R2585" s="227" t="n"/>
      <c r="S2585" s="227" t="n"/>
      <c r="T2585" s="227" t="n"/>
    </row>
    <row r="2586">
      <c r="A2586" s="145">
        <f>IF($B2586="","",ROW()-5)</f>
        <v/>
      </c>
      <c r="B2586" s="127" t="n"/>
      <c r="C2586" s="223" t="n"/>
      <c r="D2586" s="127" t="n"/>
      <c r="E2586" s="227" t="n"/>
      <c r="F2586" s="227" t="n"/>
      <c r="G2586" s="227" t="n"/>
      <c r="H2586" s="227" t="n"/>
      <c r="I2586" s="227" t="n"/>
      <c r="J2586" s="227" t="n"/>
      <c r="K2586" s="227" t="n"/>
      <c r="L2586" s="227" t="n"/>
      <c r="M2586" s="227" t="n"/>
      <c r="N2586" s="127" t="n"/>
      <c r="O2586" s="227" t="n"/>
      <c r="P2586" s="227" t="n"/>
      <c r="Q2586" s="227" t="n"/>
      <c r="R2586" s="227" t="n"/>
      <c r="S2586" s="227" t="n"/>
      <c r="T2586" s="227" t="n"/>
    </row>
    <row r="2587">
      <c r="A2587" s="145">
        <f>IF($B2587="","",ROW()-5)</f>
        <v/>
      </c>
      <c r="B2587" s="127" t="n"/>
      <c r="C2587" s="223" t="n"/>
      <c r="D2587" s="127" t="n"/>
      <c r="E2587" s="227" t="n"/>
      <c r="F2587" s="227" t="n"/>
      <c r="G2587" s="227" t="n"/>
      <c r="H2587" s="227" t="n"/>
      <c r="I2587" s="227" t="n"/>
      <c r="J2587" s="227" t="n"/>
      <c r="K2587" s="227" t="n"/>
      <c r="L2587" s="227" t="n"/>
      <c r="M2587" s="227" t="n"/>
      <c r="N2587" s="127" t="n"/>
      <c r="O2587" s="227" t="n"/>
      <c r="P2587" s="227" t="n"/>
      <c r="Q2587" s="227" t="n"/>
      <c r="R2587" s="227" t="n"/>
      <c r="S2587" s="227" t="n"/>
      <c r="T2587" s="227" t="n"/>
    </row>
    <row r="2588">
      <c r="A2588" s="145">
        <f>IF($B2588="","",ROW()-5)</f>
        <v/>
      </c>
      <c r="B2588" s="127" t="n"/>
      <c r="C2588" s="223" t="n"/>
      <c r="D2588" s="127" t="n"/>
      <c r="E2588" s="227" t="n"/>
      <c r="F2588" s="227" t="n"/>
      <c r="G2588" s="227" t="n"/>
      <c r="H2588" s="227" t="n"/>
      <c r="I2588" s="227" t="n"/>
      <c r="J2588" s="227" t="n"/>
      <c r="K2588" s="227" t="n"/>
      <c r="L2588" s="227" t="n"/>
      <c r="M2588" s="227" t="n"/>
      <c r="N2588" s="127" t="n"/>
      <c r="O2588" s="227" t="n"/>
      <c r="P2588" s="227" t="n"/>
      <c r="Q2588" s="227" t="n"/>
      <c r="R2588" s="227" t="n"/>
      <c r="S2588" s="227" t="n"/>
      <c r="T2588" s="227" t="n"/>
    </row>
    <row r="2589">
      <c r="A2589" s="145">
        <f>IF($B2589="","",ROW()-5)</f>
        <v/>
      </c>
      <c r="B2589" s="127" t="n"/>
      <c r="C2589" s="223" t="n"/>
      <c r="D2589" s="127" t="n"/>
      <c r="E2589" s="227" t="n"/>
      <c r="F2589" s="227" t="n"/>
      <c r="G2589" s="227" t="n"/>
      <c r="H2589" s="227" t="n"/>
      <c r="I2589" s="227" t="n"/>
      <c r="J2589" s="227" t="n"/>
      <c r="K2589" s="227" t="n"/>
      <c r="L2589" s="227" t="n"/>
      <c r="M2589" s="227" t="n"/>
      <c r="N2589" s="127" t="n"/>
      <c r="O2589" s="227" t="n"/>
      <c r="P2589" s="227" t="n"/>
      <c r="Q2589" s="227" t="n"/>
      <c r="R2589" s="227" t="n"/>
      <c r="S2589" s="227" t="n"/>
      <c r="T2589" s="227" t="n"/>
    </row>
    <row r="2590">
      <c r="A2590" s="145">
        <f>IF($B2590="","",ROW()-5)</f>
        <v/>
      </c>
      <c r="B2590" s="127" t="n"/>
      <c r="C2590" s="223" t="n"/>
      <c r="D2590" s="127" t="n"/>
      <c r="E2590" s="227" t="n"/>
      <c r="F2590" s="227" t="n"/>
      <c r="G2590" s="227" t="n"/>
      <c r="H2590" s="227" t="n"/>
      <c r="I2590" s="227" t="n"/>
      <c r="J2590" s="227" t="n"/>
      <c r="K2590" s="227" t="n"/>
      <c r="L2590" s="227" t="n"/>
      <c r="M2590" s="227" t="n"/>
      <c r="N2590" s="127" t="n"/>
      <c r="O2590" s="227" t="n"/>
      <c r="P2590" s="227" t="n"/>
      <c r="Q2590" s="227" t="n"/>
      <c r="R2590" s="227" t="n"/>
      <c r="S2590" s="227" t="n"/>
      <c r="T2590" s="227" t="n"/>
    </row>
    <row r="2591">
      <c r="A2591" s="145">
        <f>IF($B2591="","",ROW()-5)</f>
        <v/>
      </c>
      <c r="B2591" s="127" t="n"/>
      <c r="C2591" s="223" t="n"/>
      <c r="D2591" s="127" t="n"/>
      <c r="E2591" s="227" t="n"/>
      <c r="F2591" s="227" t="n"/>
      <c r="G2591" s="227" t="n"/>
      <c r="H2591" s="227" t="n"/>
      <c r="I2591" s="227" t="n"/>
      <c r="J2591" s="227" t="n"/>
      <c r="K2591" s="227" t="n"/>
      <c r="L2591" s="227" t="n"/>
      <c r="M2591" s="227" t="n"/>
      <c r="N2591" s="127" t="n"/>
      <c r="O2591" s="227" t="n"/>
      <c r="P2591" s="227" t="n"/>
      <c r="Q2591" s="227" t="n"/>
      <c r="R2591" s="227" t="n"/>
      <c r="S2591" s="227" t="n"/>
      <c r="T2591" s="227" t="n"/>
    </row>
    <row r="2592">
      <c r="A2592" s="145">
        <f>IF($B2592="","",ROW()-5)</f>
        <v/>
      </c>
      <c r="B2592" s="127" t="n"/>
      <c r="C2592" s="223" t="n"/>
      <c r="D2592" s="127" t="n"/>
      <c r="E2592" s="227" t="n"/>
      <c r="F2592" s="227" t="n"/>
      <c r="G2592" s="227" t="n"/>
      <c r="H2592" s="227" t="n"/>
      <c r="I2592" s="227" t="n"/>
      <c r="J2592" s="227" t="n"/>
      <c r="K2592" s="227" t="n"/>
      <c r="L2592" s="227" t="n"/>
      <c r="M2592" s="227" t="n"/>
      <c r="N2592" s="127" t="n"/>
      <c r="O2592" s="227" t="n"/>
      <c r="P2592" s="227" t="n"/>
      <c r="Q2592" s="227" t="n"/>
      <c r="R2592" s="227" t="n"/>
      <c r="S2592" s="227" t="n"/>
      <c r="T2592" s="227" t="n"/>
    </row>
    <row r="2593">
      <c r="A2593" s="145">
        <f>IF($B2593="","",ROW()-5)</f>
        <v/>
      </c>
      <c r="B2593" s="127" t="n"/>
      <c r="C2593" s="223" t="n"/>
      <c r="D2593" s="127" t="n"/>
      <c r="E2593" s="227" t="n"/>
      <c r="F2593" s="227" t="n"/>
      <c r="G2593" s="227" t="n"/>
      <c r="H2593" s="227" t="n"/>
      <c r="I2593" s="227" t="n"/>
      <c r="J2593" s="227" t="n"/>
      <c r="K2593" s="227" t="n"/>
      <c r="L2593" s="227" t="n"/>
      <c r="M2593" s="227" t="n"/>
      <c r="N2593" s="127" t="n"/>
      <c r="O2593" s="227" t="n"/>
      <c r="P2593" s="227" t="n"/>
      <c r="Q2593" s="227" t="n"/>
      <c r="R2593" s="227" t="n"/>
      <c r="S2593" s="227" t="n"/>
      <c r="T2593" s="227" t="n"/>
    </row>
    <row r="2594">
      <c r="A2594" s="145">
        <f>IF($B2594="","",ROW()-5)</f>
        <v/>
      </c>
      <c r="B2594" s="127" t="n"/>
      <c r="C2594" s="223" t="n"/>
      <c r="D2594" s="127" t="n"/>
      <c r="E2594" s="227" t="n"/>
      <c r="F2594" s="227" t="n"/>
      <c r="G2594" s="227" t="n"/>
      <c r="H2594" s="227" t="n"/>
      <c r="I2594" s="227" t="n"/>
      <c r="J2594" s="227" t="n"/>
      <c r="K2594" s="227" t="n"/>
      <c r="L2594" s="227" t="n"/>
      <c r="M2594" s="227" t="n"/>
      <c r="N2594" s="127" t="n"/>
      <c r="O2594" s="227" t="n"/>
      <c r="P2594" s="227" t="n"/>
      <c r="Q2594" s="227" t="n"/>
      <c r="R2594" s="227" t="n"/>
      <c r="S2594" s="227" t="n"/>
      <c r="T2594" s="227" t="n"/>
    </row>
    <row r="2595">
      <c r="A2595" s="145">
        <f>IF($B2595="","",ROW()-5)</f>
        <v/>
      </c>
      <c r="B2595" s="127" t="n"/>
      <c r="C2595" s="223" t="n"/>
      <c r="D2595" s="127" t="n"/>
      <c r="E2595" s="227" t="n"/>
      <c r="F2595" s="227" t="n"/>
      <c r="G2595" s="227" t="n"/>
      <c r="H2595" s="227" t="n"/>
      <c r="I2595" s="227" t="n"/>
      <c r="J2595" s="227" t="n"/>
      <c r="K2595" s="227" t="n"/>
      <c r="L2595" s="227" t="n"/>
      <c r="M2595" s="227" t="n"/>
      <c r="N2595" s="127" t="n"/>
      <c r="O2595" s="227" t="n"/>
      <c r="P2595" s="227" t="n"/>
      <c r="Q2595" s="227" t="n"/>
      <c r="R2595" s="227" t="n"/>
      <c r="S2595" s="227" t="n"/>
      <c r="T2595" s="227" t="n"/>
    </row>
    <row r="2596">
      <c r="A2596" s="145">
        <f>IF($B2596="","",ROW()-5)</f>
        <v/>
      </c>
      <c r="B2596" s="127" t="n"/>
      <c r="C2596" s="223" t="n"/>
      <c r="D2596" s="127" t="n"/>
      <c r="E2596" s="227" t="n"/>
      <c r="F2596" s="227" t="n"/>
      <c r="G2596" s="227" t="n"/>
      <c r="H2596" s="227" t="n"/>
      <c r="I2596" s="227" t="n"/>
      <c r="J2596" s="227" t="n"/>
      <c r="K2596" s="227" t="n"/>
      <c r="L2596" s="227" t="n"/>
      <c r="M2596" s="227" t="n"/>
      <c r="N2596" s="127" t="n"/>
      <c r="O2596" s="227" t="n"/>
      <c r="P2596" s="227" t="n"/>
      <c r="Q2596" s="227" t="n"/>
      <c r="R2596" s="227" t="n"/>
      <c r="S2596" s="227" t="n"/>
      <c r="T2596" s="227" t="n"/>
    </row>
    <row r="2597">
      <c r="A2597" s="145">
        <f>IF($B2597="","",ROW()-5)</f>
        <v/>
      </c>
      <c r="B2597" s="127" t="n"/>
      <c r="C2597" s="223" t="n"/>
      <c r="D2597" s="127" t="n"/>
      <c r="E2597" s="227" t="n"/>
      <c r="F2597" s="227" t="n"/>
      <c r="G2597" s="227" t="n"/>
      <c r="H2597" s="227" t="n"/>
      <c r="I2597" s="227" t="n"/>
      <c r="J2597" s="227" t="n"/>
      <c r="K2597" s="227" t="n"/>
      <c r="L2597" s="227" t="n"/>
      <c r="M2597" s="227" t="n"/>
      <c r="N2597" s="127" t="n"/>
      <c r="O2597" s="227" t="n"/>
      <c r="P2597" s="227" t="n"/>
      <c r="Q2597" s="227" t="n"/>
      <c r="R2597" s="227" t="n"/>
      <c r="S2597" s="227" t="n"/>
      <c r="T2597" s="227" t="n"/>
    </row>
    <row r="2598">
      <c r="A2598" s="145">
        <f>IF($B2598="","",ROW()-5)</f>
        <v/>
      </c>
      <c r="B2598" s="127" t="n"/>
      <c r="C2598" s="223" t="n"/>
      <c r="D2598" s="127" t="n"/>
      <c r="E2598" s="227" t="n"/>
      <c r="F2598" s="227" t="n"/>
      <c r="G2598" s="227" t="n"/>
      <c r="H2598" s="227" t="n"/>
      <c r="I2598" s="227" t="n"/>
      <c r="J2598" s="227" t="n"/>
      <c r="K2598" s="227" t="n"/>
      <c r="L2598" s="227" t="n"/>
      <c r="M2598" s="227" t="n"/>
      <c r="N2598" s="127" t="n"/>
      <c r="O2598" s="227" t="n"/>
      <c r="P2598" s="227" t="n"/>
      <c r="Q2598" s="227" t="n"/>
      <c r="R2598" s="227" t="n"/>
      <c r="S2598" s="227" t="n"/>
      <c r="T2598" s="227" t="n"/>
    </row>
    <row r="2599">
      <c r="A2599" s="145">
        <f>IF($B2599="","",ROW()-5)</f>
        <v/>
      </c>
      <c r="B2599" s="127" t="n"/>
      <c r="C2599" s="223" t="n"/>
      <c r="D2599" s="127" t="n"/>
      <c r="E2599" s="227" t="n"/>
      <c r="F2599" s="227" t="n"/>
      <c r="G2599" s="227" t="n"/>
      <c r="H2599" s="227" t="n"/>
      <c r="I2599" s="227" t="n"/>
      <c r="J2599" s="227" t="n"/>
      <c r="K2599" s="227" t="n"/>
      <c r="L2599" s="227" t="n"/>
      <c r="M2599" s="227" t="n"/>
      <c r="N2599" s="127" t="n"/>
      <c r="O2599" s="227" t="n"/>
      <c r="P2599" s="227" t="n"/>
      <c r="Q2599" s="227" t="n"/>
      <c r="R2599" s="227" t="n"/>
      <c r="S2599" s="227" t="n"/>
      <c r="T2599" s="227" t="n"/>
    </row>
    <row r="2600">
      <c r="A2600" s="145">
        <f>IF($B2600="","",ROW()-5)</f>
        <v/>
      </c>
      <c r="B2600" s="127" t="n"/>
      <c r="C2600" s="223" t="n"/>
      <c r="D2600" s="127" t="n"/>
      <c r="E2600" s="227" t="n"/>
      <c r="F2600" s="227" t="n"/>
      <c r="G2600" s="227" t="n"/>
      <c r="H2600" s="227" t="n"/>
      <c r="I2600" s="227" t="n"/>
      <c r="J2600" s="227" t="n"/>
      <c r="K2600" s="227" t="n"/>
      <c r="L2600" s="227" t="n"/>
      <c r="M2600" s="227" t="n"/>
      <c r="N2600" s="127" t="n"/>
      <c r="O2600" s="227" t="n"/>
      <c r="P2600" s="227" t="n"/>
      <c r="Q2600" s="227" t="n"/>
      <c r="R2600" s="227" t="n"/>
      <c r="S2600" s="227" t="n"/>
      <c r="T2600" s="227" t="n"/>
    </row>
    <row r="2601">
      <c r="A2601" s="145">
        <f>IF($B2601="","",ROW()-5)</f>
        <v/>
      </c>
      <c r="B2601" s="127" t="n"/>
      <c r="C2601" s="223" t="n"/>
      <c r="D2601" s="127" t="n"/>
      <c r="E2601" s="227" t="n"/>
      <c r="F2601" s="227" t="n"/>
      <c r="G2601" s="227" t="n"/>
      <c r="H2601" s="227" t="n"/>
      <c r="I2601" s="227" t="n"/>
      <c r="J2601" s="227" t="n"/>
      <c r="K2601" s="227" t="n"/>
      <c r="L2601" s="227" t="n"/>
      <c r="M2601" s="227" t="n"/>
      <c r="N2601" s="127" t="n"/>
      <c r="O2601" s="227" t="n"/>
      <c r="P2601" s="227" t="n"/>
      <c r="Q2601" s="227" t="n"/>
      <c r="R2601" s="227" t="n"/>
      <c r="S2601" s="227" t="n"/>
      <c r="T2601" s="227" t="n"/>
    </row>
    <row r="2602">
      <c r="A2602" s="145">
        <f>IF($B2602="","",ROW()-5)</f>
        <v/>
      </c>
      <c r="B2602" s="127" t="n"/>
      <c r="C2602" s="223" t="n"/>
      <c r="D2602" s="127" t="n"/>
      <c r="E2602" s="227" t="n"/>
      <c r="F2602" s="227" t="n"/>
      <c r="G2602" s="227" t="n"/>
      <c r="H2602" s="227" t="n"/>
      <c r="I2602" s="227" t="n"/>
      <c r="J2602" s="227" t="n"/>
      <c r="K2602" s="227" t="n"/>
      <c r="L2602" s="227" t="n"/>
      <c r="M2602" s="227" t="n"/>
      <c r="N2602" s="127" t="n"/>
      <c r="O2602" s="227" t="n"/>
      <c r="P2602" s="227" t="n"/>
      <c r="Q2602" s="227" t="n"/>
      <c r="R2602" s="227" t="n"/>
      <c r="S2602" s="227" t="n"/>
      <c r="T2602" s="227" t="n"/>
    </row>
    <row r="2603">
      <c r="A2603" s="145">
        <f>IF($B2603="","",ROW()-5)</f>
        <v/>
      </c>
      <c r="B2603" s="127" t="n"/>
      <c r="C2603" s="223" t="n"/>
      <c r="D2603" s="127" t="n"/>
      <c r="E2603" s="227" t="n"/>
      <c r="F2603" s="227" t="n"/>
      <c r="G2603" s="227" t="n"/>
      <c r="H2603" s="227" t="n"/>
      <c r="I2603" s="227" t="n"/>
      <c r="J2603" s="227" t="n"/>
      <c r="K2603" s="227" t="n"/>
      <c r="L2603" s="227" t="n"/>
      <c r="M2603" s="227" t="n"/>
      <c r="N2603" s="127" t="n"/>
      <c r="O2603" s="227" t="n"/>
      <c r="P2603" s="227" t="n"/>
      <c r="Q2603" s="227" t="n"/>
      <c r="R2603" s="227" t="n"/>
      <c r="S2603" s="227" t="n"/>
      <c r="T2603" s="227" t="n"/>
    </row>
    <row r="2604">
      <c r="A2604" s="145">
        <f>IF($B2604="","",ROW()-5)</f>
        <v/>
      </c>
      <c r="B2604" s="127" t="n"/>
      <c r="C2604" s="223" t="n"/>
      <c r="D2604" s="127" t="n"/>
      <c r="E2604" s="227" t="n"/>
      <c r="F2604" s="227" t="n"/>
      <c r="G2604" s="227" t="n"/>
      <c r="H2604" s="227" t="n"/>
      <c r="I2604" s="227" t="n"/>
      <c r="J2604" s="227" t="n"/>
      <c r="K2604" s="227" t="n"/>
      <c r="L2604" s="227" t="n"/>
      <c r="M2604" s="227" t="n"/>
      <c r="N2604" s="127" t="n"/>
      <c r="O2604" s="227" t="n"/>
      <c r="P2604" s="227" t="n"/>
      <c r="Q2604" s="227" t="n"/>
      <c r="R2604" s="227" t="n"/>
      <c r="S2604" s="227" t="n"/>
      <c r="T2604" s="227" t="n"/>
    </row>
    <row r="2605">
      <c r="A2605" s="145">
        <f>IF($B2605="","",ROW()-5)</f>
        <v/>
      </c>
      <c r="B2605" s="127" t="n"/>
      <c r="C2605" s="223" t="n"/>
      <c r="D2605" s="127" t="n"/>
      <c r="E2605" s="227" t="n"/>
      <c r="F2605" s="227" t="n"/>
      <c r="G2605" s="227" t="n"/>
      <c r="H2605" s="227" t="n"/>
      <c r="I2605" s="227" t="n"/>
      <c r="J2605" s="227" t="n"/>
      <c r="K2605" s="227" t="n"/>
      <c r="L2605" s="227" t="n"/>
      <c r="M2605" s="227" t="n"/>
      <c r="N2605" s="127" t="n"/>
      <c r="O2605" s="227" t="n"/>
      <c r="P2605" s="227" t="n"/>
      <c r="Q2605" s="227" t="n"/>
      <c r="R2605" s="227" t="n"/>
      <c r="S2605" s="227" t="n"/>
      <c r="T2605" s="227" t="n"/>
    </row>
    <row r="2606">
      <c r="A2606" s="145">
        <f>IF($B2606="","",ROW()-5)</f>
        <v/>
      </c>
      <c r="B2606" s="127" t="n"/>
      <c r="C2606" s="223" t="n"/>
      <c r="D2606" s="127" t="n"/>
      <c r="E2606" s="227" t="n"/>
      <c r="F2606" s="227" t="n"/>
      <c r="G2606" s="227" t="n"/>
      <c r="H2606" s="227" t="n"/>
      <c r="I2606" s="227" t="n"/>
      <c r="J2606" s="227" t="n"/>
      <c r="K2606" s="227" t="n"/>
      <c r="L2606" s="227" t="n"/>
      <c r="M2606" s="227" t="n"/>
      <c r="N2606" s="127" t="n"/>
      <c r="O2606" s="227" t="n"/>
      <c r="P2606" s="227" t="n"/>
      <c r="Q2606" s="227" t="n"/>
      <c r="R2606" s="227" t="n"/>
      <c r="S2606" s="227" t="n"/>
      <c r="T2606" s="227" t="n"/>
    </row>
    <row r="2607">
      <c r="A2607" s="145">
        <f>IF($B2607="","",ROW()-5)</f>
        <v/>
      </c>
      <c r="B2607" s="127" t="n"/>
      <c r="C2607" s="223" t="n"/>
      <c r="D2607" s="127" t="n"/>
      <c r="E2607" s="227" t="n"/>
      <c r="F2607" s="227" t="n"/>
      <c r="G2607" s="227" t="n"/>
      <c r="H2607" s="227" t="n"/>
      <c r="I2607" s="227" t="n"/>
      <c r="J2607" s="227" t="n"/>
      <c r="K2607" s="227" t="n"/>
      <c r="L2607" s="227" t="n"/>
      <c r="M2607" s="227" t="n"/>
      <c r="N2607" s="127" t="n"/>
      <c r="O2607" s="227" t="n"/>
      <c r="P2607" s="227" t="n"/>
      <c r="Q2607" s="227" t="n"/>
      <c r="R2607" s="227" t="n"/>
      <c r="S2607" s="227" t="n"/>
      <c r="T2607" s="227" t="n"/>
    </row>
    <row r="2608">
      <c r="A2608" s="145">
        <f>IF($B2608="","",ROW()-5)</f>
        <v/>
      </c>
      <c r="B2608" s="127" t="n"/>
      <c r="C2608" s="223" t="n"/>
      <c r="D2608" s="127" t="n"/>
      <c r="E2608" s="227" t="n"/>
      <c r="F2608" s="227" t="n"/>
      <c r="G2608" s="227" t="n"/>
      <c r="H2608" s="227" t="n"/>
      <c r="I2608" s="227" t="n"/>
      <c r="J2608" s="227" t="n"/>
      <c r="K2608" s="227" t="n"/>
      <c r="L2608" s="227" t="n"/>
      <c r="M2608" s="227" t="n"/>
      <c r="N2608" s="127" t="n"/>
      <c r="O2608" s="227" t="n"/>
      <c r="P2608" s="227" t="n"/>
      <c r="Q2608" s="227" t="n"/>
      <c r="R2608" s="227" t="n"/>
      <c r="S2608" s="227" t="n"/>
      <c r="T2608" s="227" t="n"/>
    </row>
    <row r="2609">
      <c r="A2609" s="145">
        <f>IF($B2609="","",ROW()-5)</f>
        <v/>
      </c>
      <c r="B2609" s="127" t="n"/>
      <c r="C2609" s="223" t="n"/>
      <c r="D2609" s="127" t="n"/>
      <c r="E2609" s="227" t="n"/>
      <c r="F2609" s="227" t="n"/>
      <c r="G2609" s="227" t="n"/>
      <c r="H2609" s="227" t="n"/>
      <c r="I2609" s="227" t="n"/>
      <c r="J2609" s="227" t="n"/>
      <c r="K2609" s="227" t="n"/>
      <c r="L2609" s="227" t="n"/>
      <c r="M2609" s="227" t="n"/>
      <c r="N2609" s="127" t="n"/>
      <c r="O2609" s="227" t="n"/>
      <c r="P2609" s="227" t="n"/>
      <c r="Q2609" s="227" t="n"/>
      <c r="R2609" s="227" t="n"/>
      <c r="S2609" s="227" t="n"/>
      <c r="T2609" s="227" t="n"/>
    </row>
    <row r="2610">
      <c r="A2610" s="145">
        <f>IF($B2610="","",ROW()-5)</f>
        <v/>
      </c>
      <c r="B2610" s="127" t="n"/>
      <c r="C2610" s="223" t="n"/>
      <c r="D2610" s="127" t="n"/>
      <c r="E2610" s="227" t="n"/>
      <c r="F2610" s="227" t="n"/>
      <c r="G2610" s="227" t="n"/>
      <c r="H2610" s="227" t="n"/>
      <c r="I2610" s="227" t="n"/>
      <c r="J2610" s="227" t="n"/>
      <c r="K2610" s="227" t="n"/>
      <c r="L2610" s="227" t="n"/>
      <c r="M2610" s="227" t="n"/>
      <c r="N2610" s="127" t="n"/>
      <c r="O2610" s="227" t="n"/>
      <c r="P2610" s="227" t="n"/>
      <c r="Q2610" s="227" t="n"/>
      <c r="R2610" s="227" t="n"/>
      <c r="S2610" s="227" t="n"/>
      <c r="T2610" s="227" t="n"/>
    </row>
    <row r="2611">
      <c r="A2611" s="145">
        <f>IF($B2611="","",ROW()-5)</f>
        <v/>
      </c>
      <c r="B2611" s="127" t="n"/>
      <c r="C2611" s="223" t="n"/>
      <c r="D2611" s="127" t="n"/>
      <c r="E2611" s="227" t="n"/>
      <c r="F2611" s="227" t="n"/>
      <c r="G2611" s="227" t="n"/>
      <c r="H2611" s="227" t="n"/>
      <c r="I2611" s="227" t="n"/>
      <c r="J2611" s="227" t="n"/>
      <c r="K2611" s="227" t="n"/>
      <c r="L2611" s="227" t="n"/>
      <c r="M2611" s="227" t="n"/>
      <c r="N2611" s="127" t="n"/>
      <c r="O2611" s="227" t="n"/>
      <c r="P2611" s="227" t="n"/>
      <c r="Q2611" s="227" t="n"/>
      <c r="R2611" s="227" t="n"/>
      <c r="S2611" s="227" t="n"/>
      <c r="T2611" s="227" t="n"/>
    </row>
    <row r="2612">
      <c r="A2612" s="145">
        <f>IF($B2612="","",ROW()-5)</f>
        <v/>
      </c>
      <c r="B2612" s="127" t="n"/>
      <c r="C2612" s="223" t="n"/>
      <c r="D2612" s="127" t="n"/>
      <c r="E2612" s="227" t="n"/>
      <c r="F2612" s="227" t="n"/>
      <c r="G2612" s="227" t="n"/>
      <c r="H2612" s="227" t="n"/>
      <c r="I2612" s="227" t="n"/>
      <c r="J2612" s="227" t="n"/>
      <c r="K2612" s="227" t="n"/>
      <c r="L2612" s="227" t="n"/>
      <c r="M2612" s="227" t="n"/>
      <c r="N2612" s="127" t="n"/>
      <c r="O2612" s="227" t="n"/>
      <c r="P2612" s="227" t="n"/>
      <c r="Q2612" s="227" t="n"/>
      <c r="R2612" s="227" t="n"/>
      <c r="S2612" s="227" t="n"/>
      <c r="T2612" s="227" t="n"/>
    </row>
    <row r="2613">
      <c r="A2613" s="145">
        <f>IF($B2613="","",ROW()-5)</f>
        <v/>
      </c>
      <c r="B2613" s="127" t="n"/>
      <c r="C2613" s="223" t="n"/>
      <c r="D2613" s="127" t="n"/>
      <c r="E2613" s="227" t="n"/>
      <c r="F2613" s="227" t="n"/>
      <c r="G2613" s="227" t="n"/>
      <c r="H2613" s="227" t="n"/>
      <c r="I2613" s="227" t="n"/>
      <c r="J2613" s="227" t="n"/>
      <c r="K2613" s="227" t="n"/>
      <c r="L2613" s="227" t="n"/>
      <c r="M2613" s="227" t="n"/>
      <c r="N2613" s="127" t="n"/>
      <c r="O2613" s="227" t="n"/>
      <c r="P2613" s="227" t="n"/>
      <c r="Q2613" s="227" t="n"/>
      <c r="R2613" s="227" t="n"/>
      <c r="S2613" s="227" t="n"/>
      <c r="T2613" s="227" t="n"/>
    </row>
    <row r="2614">
      <c r="A2614" s="145">
        <f>IF($B2614="","",ROW()-5)</f>
        <v/>
      </c>
      <c r="B2614" s="127" t="n"/>
      <c r="C2614" s="223" t="n"/>
      <c r="D2614" s="127" t="n"/>
      <c r="E2614" s="227" t="n"/>
      <c r="F2614" s="227" t="n"/>
      <c r="G2614" s="227" t="n"/>
      <c r="H2614" s="227" t="n"/>
      <c r="I2614" s="227" t="n"/>
      <c r="J2614" s="227" t="n"/>
      <c r="K2614" s="227" t="n"/>
      <c r="L2614" s="227" t="n"/>
      <c r="M2614" s="227" t="n"/>
      <c r="N2614" s="127" t="n"/>
      <c r="O2614" s="227" t="n"/>
      <c r="P2614" s="227" t="n"/>
      <c r="Q2614" s="227" t="n"/>
      <c r="R2614" s="227" t="n"/>
      <c r="S2614" s="227" t="n"/>
      <c r="T2614" s="227" t="n"/>
    </row>
    <row r="2615">
      <c r="A2615" s="145">
        <f>IF($B2615="","",ROW()-5)</f>
        <v/>
      </c>
      <c r="B2615" s="127" t="n"/>
      <c r="C2615" s="223" t="n"/>
      <c r="D2615" s="127" t="n"/>
      <c r="E2615" s="227" t="n"/>
      <c r="F2615" s="227" t="n"/>
      <c r="G2615" s="227" t="n"/>
      <c r="H2615" s="227" t="n"/>
      <c r="I2615" s="227" t="n"/>
      <c r="J2615" s="227" t="n"/>
      <c r="K2615" s="227" t="n"/>
      <c r="L2615" s="227" t="n"/>
      <c r="M2615" s="227" t="n"/>
      <c r="N2615" s="127" t="n"/>
      <c r="O2615" s="227" t="n"/>
      <c r="P2615" s="227" t="n"/>
      <c r="Q2615" s="227" t="n"/>
      <c r="R2615" s="227" t="n"/>
      <c r="S2615" s="227" t="n"/>
      <c r="T2615" s="227" t="n"/>
    </row>
    <row r="2616">
      <c r="A2616" s="145">
        <f>IF($B2616="","",ROW()-5)</f>
        <v/>
      </c>
      <c r="B2616" s="127" t="n"/>
      <c r="C2616" s="223" t="n"/>
      <c r="D2616" s="127" t="n"/>
      <c r="E2616" s="227" t="n"/>
      <c r="F2616" s="227" t="n"/>
      <c r="G2616" s="227" t="n"/>
      <c r="H2616" s="227" t="n"/>
      <c r="I2616" s="227" t="n"/>
      <c r="J2616" s="227" t="n"/>
      <c r="K2616" s="227" t="n"/>
      <c r="L2616" s="227" t="n"/>
      <c r="M2616" s="227" t="n"/>
      <c r="N2616" s="127" t="n"/>
      <c r="O2616" s="227" t="n"/>
      <c r="P2616" s="227" t="n"/>
      <c r="Q2616" s="227" t="n"/>
      <c r="R2616" s="227" t="n"/>
      <c r="S2616" s="227" t="n"/>
      <c r="T2616" s="227" t="n"/>
    </row>
    <row r="2617">
      <c r="A2617" s="145">
        <f>IF($B2617="","",ROW()-5)</f>
        <v/>
      </c>
      <c r="B2617" s="127" t="n"/>
      <c r="C2617" s="223" t="n"/>
      <c r="D2617" s="127" t="n"/>
      <c r="E2617" s="227" t="n"/>
      <c r="F2617" s="227" t="n"/>
      <c r="G2617" s="227" t="n"/>
      <c r="H2617" s="227" t="n"/>
      <c r="I2617" s="227" t="n"/>
      <c r="J2617" s="227" t="n"/>
      <c r="K2617" s="227" t="n"/>
      <c r="L2617" s="227" t="n"/>
      <c r="M2617" s="227" t="n"/>
      <c r="N2617" s="127" t="n"/>
      <c r="O2617" s="227" t="n"/>
      <c r="P2617" s="227" t="n"/>
      <c r="Q2617" s="227" t="n"/>
      <c r="R2617" s="227" t="n"/>
      <c r="S2617" s="227" t="n"/>
      <c r="T2617" s="227" t="n"/>
    </row>
    <row r="2618">
      <c r="A2618" s="145">
        <f>IF($B2618="","",ROW()-5)</f>
        <v/>
      </c>
      <c r="B2618" s="127" t="n"/>
      <c r="C2618" s="223" t="n"/>
      <c r="D2618" s="127" t="n"/>
      <c r="E2618" s="227" t="n"/>
      <c r="F2618" s="227" t="n"/>
      <c r="G2618" s="227" t="n"/>
      <c r="H2618" s="227" t="n"/>
      <c r="I2618" s="227" t="n"/>
      <c r="J2618" s="227" t="n"/>
      <c r="K2618" s="227" t="n"/>
      <c r="L2618" s="227" t="n"/>
      <c r="M2618" s="227" t="n"/>
      <c r="N2618" s="127" t="n"/>
      <c r="O2618" s="227" t="n"/>
      <c r="P2618" s="227" t="n"/>
      <c r="Q2618" s="227" t="n"/>
      <c r="R2618" s="227" t="n"/>
      <c r="S2618" s="227" t="n"/>
      <c r="T2618" s="227" t="n"/>
    </row>
    <row r="2619">
      <c r="A2619" s="145">
        <f>IF($B2619="","",ROW()-5)</f>
        <v/>
      </c>
      <c r="B2619" s="127" t="n"/>
      <c r="C2619" s="223" t="n"/>
      <c r="D2619" s="127" t="n"/>
      <c r="E2619" s="227" t="n"/>
      <c r="F2619" s="227" t="n"/>
      <c r="G2619" s="227" t="n"/>
      <c r="H2619" s="227" t="n"/>
      <c r="I2619" s="227" t="n"/>
      <c r="J2619" s="227" t="n"/>
      <c r="K2619" s="227" t="n"/>
      <c r="L2619" s="227" t="n"/>
      <c r="M2619" s="227" t="n"/>
      <c r="N2619" s="127" t="n"/>
      <c r="O2619" s="227" t="n"/>
      <c r="P2619" s="227" t="n"/>
      <c r="Q2619" s="227" t="n"/>
      <c r="R2619" s="227" t="n"/>
      <c r="S2619" s="227" t="n"/>
      <c r="T2619" s="227" t="n"/>
    </row>
    <row r="2620">
      <c r="A2620" s="145">
        <f>IF($B2620="","",ROW()-5)</f>
        <v/>
      </c>
      <c r="B2620" s="127" t="n"/>
      <c r="C2620" s="223" t="n"/>
      <c r="D2620" s="127" t="n"/>
      <c r="E2620" s="227" t="n"/>
      <c r="F2620" s="227" t="n"/>
      <c r="G2620" s="227" t="n"/>
      <c r="H2620" s="227" t="n"/>
      <c r="I2620" s="227" t="n"/>
      <c r="J2620" s="227" t="n"/>
      <c r="K2620" s="227" t="n"/>
      <c r="L2620" s="227" t="n"/>
      <c r="M2620" s="227" t="n"/>
      <c r="N2620" s="127" t="n"/>
      <c r="O2620" s="227" t="n"/>
      <c r="P2620" s="227" t="n"/>
      <c r="Q2620" s="227" t="n"/>
      <c r="R2620" s="227" t="n"/>
      <c r="S2620" s="227" t="n"/>
      <c r="T2620" s="227" t="n"/>
    </row>
    <row r="2621">
      <c r="A2621" s="145">
        <f>IF($B2621="","",ROW()-5)</f>
        <v/>
      </c>
      <c r="B2621" s="127" t="n"/>
      <c r="C2621" s="223" t="n"/>
      <c r="D2621" s="127" t="n"/>
      <c r="E2621" s="227" t="n"/>
      <c r="F2621" s="227" t="n"/>
      <c r="G2621" s="227" t="n"/>
      <c r="H2621" s="227" t="n"/>
      <c r="I2621" s="227" t="n"/>
      <c r="J2621" s="227" t="n"/>
      <c r="K2621" s="227" t="n"/>
      <c r="L2621" s="227" t="n"/>
      <c r="M2621" s="227" t="n"/>
      <c r="N2621" s="127" t="n"/>
      <c r="O2621" s="227" t="n"/>
      <c r="P2621" s="227" t="n"/>
      <c r="Q2621" s="227" t="n"/>
      <c r="R2621" s="227" t="n"/>
      <c r="S2621" s="227" t="n"/>
      <c r="T2621" s="227" t="n"/>
    </row>
    <row r="2622">
      <c r="A2622" s="145">
        <f>IF($B2622="","",ROW()-5)</f>
        <v/>
      </c>
      <c r="B2622" s="127" t="n"/>
      <c r="C2622" s="223" t="n"/>
      <c r="D2622" s="127" t="n"/>
      <c r="E2622" s="227" t="n"/>
      <c r="F2622" s="227" t="n"/>
      <c r="G2622" s="227" t="n"/>
      <c r="H2622" s="227" t="n"/>
      <c r="I2622" s="227" t="n"/>
      <c r="J2622" s="227" t="n"/>
      <c r="K2622" s="227" t="n"/>
      <c r="L2622" s="227" t="n"/>
      <c r="M2622" s="227" t="n"/>
      <c r="N2622" s="127" t="n"/>
      <c r="O2622" s="227" t="n"/>
      <c r="P2622" s="227" t="n"/>
      <c r="Q2622" s="227" t="n"/>
      <c r="R2622" s="227" t="n"/>
      <c r="S2622" s="227" t="n"/>
      <c r="T2622" s="227" t="n"/>
    </row>
    <row r="2623">
      <c r="A2623" s="145">
        <f>IF($B2623="","",ROW()-5)</f>
        <v/>
      </c>
      <c r="B2623" s="127" t="n"/>
      <c r="C2623" s="223" t="n"/>
      <c r="D2623" s="127" t="n"/>
      <c r="E2623" s="227" t="n"/>
      <c r="F2623" s="227" t="n"/>
      <c r="G2623" s="227" t="n"/>
      <c r="H2623" s="227" t="n"/>
      <c r="I2623" s="227" t="n"/>
      <c r="J2623" s="227" t="n"/>
      <c r="K2623" s="227" t="n"/>
      <c r="L2623" s="227" t="n"/>
      <c r="M2623" s="227" t="n"/>
      <c r="N2623" s="127" t="n"/>
      <c r="O2623" s="227" t="n"/>
      <c r="P2623" s="227" t="n"/>
      <c r="Q2623" s="227" t="n"/>
      <c r="R2623" s="227" t="n"/>
      <c r="S2623" s="227" t="n"/>
      <c r="T2623" s="227" t="n"/>
    </row>
    <row r="2624">
      <c r="A2624" s="145">
        <f>IF($B2624="","",ROW()-5)</f>
        <v/>
      </c>
      <c r="B2624" s="127" t="n"/>
      <c r="C2624" s="223" t="n"/>
      <c r="D2624" s="127" t="n"/>
      <c r="E2624" s="227" t="n"/>
      <c r="F2624" s="227" t="n"/>
      <c r="G2624" s="227" t="n"/>
      <c r="H2624" s="227" t="n"/>
      <c r="I2624" s="227" t="n"/>
      <c r="J2624" s="227" t="n"/>
      <c r="K2624" s="227" t="n"/>
      <c r="L2624" s="227" t="n"/>
      <c r="M2624" s="227" t="n"/>
      <c r="N2624" s="127" t="n"/>
      <c r="O2624" s="227" t="n"/>
      <c r="P2624" s="227" t="n"/>
      <c r="Q2624" s="227" t="n"/>
      <c r="R2624" s="227" t="n"/>
      <c r="S2624" s="227" t="n"/>
      <c r="T2624" s="227" t="n"/>
    </row>
    <row r="2625">
      <c r="A2625" s="145">
        <f>IF($B2625="","",ROW()-5)</f>
        <v/>
      </c>
      <c r="B2625" s="127" t="n"/>
      <c r="C2625" s="223" t="n"/>
      <c r="D2625" s="127" t="n"/>
      <c r="E2625" s="227" t="n"/>
      <c r="F2625" s="227" t="n"/>
      <c r="G2625" s="227" t="n"/>
      <c r="H2625" s="227" t="n"/>
      <c r="I2625" s="227" t="n"/>
      <c r="J2625" s="227" t="n"/>
      <c r="K2625" s="227" t="n"/>
      <c r="L2625" s="227" t="n"/>
      <c r="M2625" s="227" t="n"/>
      <c r="N2625" s="127" t="n"/>
      <c r="O2625" s="227" t="n"/>
      <c r="P2625" s="227" t="n"/>
      <c r="Q2625" s="227" t="n"/>
      <c r="R2625" s="227" t="n"/>
      <c r="S2625" s="227" t="n"/>
      <c r="T2625" s="227" t="n"/>
    </row>
    <row r="2626">
      <c r="A2626" s="145">
        <f>IF($B2626="","",ROW()-5)</f>
        <v/>
      </c>
      <c r="B2626" s="127" t="n"/>
      <c r="C2626" s="223" t="n"/>
      <c r="D2626" s="127" t="n"/>
      <c r="E2626" s="227" t="n"/>
      <c r="F2626" s="227" t="n"/>
      <c r="G2626" s="227" t="n"/>
      <c r="H2626" s="227" t="n"/>
      <c r="I2626" s="227" t="n"/>
      <c r="J2626" s="227" t="n"/>
      <c r="K2626" s="227" t="n"/>
      <c r="L2626" s="227" t="n"/>
      <c r="M2626" s="227" t="n"/>
      <c r="N2626" s="127" t="n"/>
      <c r="O2626" s="227" t="n"/>
      <c r="P2626" s="227" t="n"/>
      <c r="Q2626" s="227" t="n"/>
      <c r="R2626" s="227" t="n"/>
      <c r="S2626" s="227" t="n"/>
      <c r="T2626" s="227" t="n"/>
    </row>
    <row r="2627">
      <c r="A2627" s="145">
        <f>IF($B2627="","",ROW()-5)</f>
        <v/>
      </c>
      <c r="B2627" s="127" t="n"/>
      <c r="C2627" s="223" t="n"/>
      <c r="D2627" s="127" t="n"/>
      <c r="E2627" s="227" t="n"/>
      <c r="F2627" s="227" t="n"/>
      <c r="G2627" s="227" t="n"/>
      <c r="H2627" s="227" t="n"/>
      <c r="I2627" s="227" t="n"/>
      <c r="J2627" s="227" t="n"/>
      <c r="K2627" s="227" t="n"/>
      <c r="L2627" s="227" t="n"/>
      <c r="M2627" s="227" t="n"/>
      <c r="N2627" s="127" t="n"/>
      <c r="O2627" s="227" t="n"/>
      <c r="P2627" s="227" t="n"/>
      <c r="Q2627" s="227" t="n"/>
      <c r="R2627" s="227" t="n"/>
      <c r="S2627" s="227" t="n"/>
      <c r="T2627" s="227" t="n"/>
    </row>
    <row r="2628">
      <c r="A2628" s="145">
        <f>IF($B2628="","",ROW()-5)</f>
        <v/>
      </c>
      <c r="B2628" s="127" t="n"/>
      <c r="C2628" s="223" t="n"/>
      <c r="D2628" s="127" t="n"/>
      <c r="E2628" s="227" t="n"/>
      <c r="F2628" s="227" t="n"/>
      <c r="G2628" s="227" t="n"/>
      <c r="H2628" s="227" t="n"/>
      <c r="I2628" s="227" t="n"/>
      <c r="J2628" s="227" t="n"/>
      <c r="K2628" s="227" t="n"/>
      <c r="L2628" s="227" t="n"/>
      <c r="M2628" s="227" t="n"/>
      <c r="N2628" s="127" t="n"/>
      <c r="O2628" s="227" t="n"/>
      <c r="P2628" s="227" t="n"/>
      <c r="Q2628" s="227" t="n"/>
      <c r="R2628" s="227" t="n"/>
      <c r="S2628" s="227" t="n"/>
      <c r="T2628" s="227" t="n"/>
    </row>
    <row r="2629">
      <c r="A2629" s="145">
        <f>IF($B2629="","",ROW()-5)</f>
        <v/>
      </c>
      <c r="B2629" s="127" t="n"/>
      <c r="C2629" s="223" t="n"/>
      <c r="D2629" s="127" t="n"/>
      <c r="E2629" s="227" t="n"/>
      <c r="F2629" s="227" t="n"/>
      <c r="G2629" s="227" t="n"/>
      <c r="H2629" s="227" t="n"/>
      <c r="I2629" s="227" t="n"/>
      <c r="J2629" s="227" t="n"/>
      <c r="K2629" s="227" t="n"/>
      <c r="L2629" s="227" t="n"/>
      <c r="M2629" s="227" t="n"/>
      <c r="N2629" s="127" t="n"/>
      <c r="O2629" s="227" t="n"/>
      <c r="P2629" s="227" t="n"/>
      <c r="Q2629" s="227" t="n"/>
      <c r="R2629" s="227" t="n"/>
      <c r="S2629" s="227" t="n"/>
      <c r="T2629" s="227" t="n"/>
    </row>
    <row r="2630">
      <c r="A2630" s="145">
        <f>IF($B2630="","",ROW()-5)</f>
        <v/>
      </c>
      <c r="B2630" s="127" t="n"/>
      <c r="C2630" s="223" t="n"/>
      <c r="D2630" s="127" t="n"/>
      <c r="E2630" s="227" t="n"/>
      <c r="F2630" s="227" t="n"/>
      <c r="G2630" s="227" t="n"/>
      <c r="H2630" s="227" t="n"/>
      <c r="I2630" s="227" t="n"/>
      <c r="J2630" s="227" t="n"/>
      <c r="K2630" s="227" t="n"/>
      <c r="L2630" s="227" t="n"/>
      <c r="M2630" s="227" t="n"/>
      <c r="N2630" s="127" t="n"/>
      <c r="O2630" s="227" t="n"/>
      <c r="P2630" s="227" t="n"/>
      <c r="Q2630" s="227" t="n"/>
      <c r="R2630" s="227" t="n"/>
      <c r="S2630" s="227" t="n"/>
      <c r="T2630" s="227" t="n"/>
    </row>
    <row r="2631">
      <c r="A2631" s="145">
        <f>IF($B2631="","",ROW()-5)</f>
        <v/>
      </c>
      <c r="B2631" s="127" t="n"/>
      <c r="C2631" s="223" t="n"/>
      <c r="D2631" s="127" t="n"/>
      <c r="E2631" s="227" t="n"/>
      <c r="F2631" s="227" t="n"/>
      <c r="G2631" s="227" t="n"/>
      <c r="H2631" s="227" t="n"/>
      <c r="I2631" s="227" t="n"/>
      <c r="J2631" s="227" t="n"/>
      <c r="K2631" s="227" t="n"/>
      <c r="L2631" s="227" t="n"/>
      <c r="M2631" s="227" t="n"/>
      <c r="N2631" s="127" t="n"/>
      <c r="O2631" s="227" t="n"/>
      <c r="P2631" s="227" t="n"/>
      <c r="Q2631" s="227" t="n"/>
      <c r="R2631" s="227" t="n"/>
      <c r="S2631" s="227" t="n"/>
      <c r="T2631" s="227" t="n"/>
    </row>
    <row r="2632">
      <c r="A2632" s="145">
        <f>IF($B2632="","",ROW()-5)</f>
        <v/>
      </c>
      <c r="B2632" s="127" t="n"/>
      <c r="C2632" s="223" t="n"/>
      <c r="D2632" s="127" t="n"/>
      <c r="E2632" s="227" t="n"/>
      <c r="F2632" s="227" t="n"/>
      <c r="G2632" s="227" t="n"/>
      <c r="H2632" s="227" t="n"/>
      <c r="I2632" s="227" t="n"/>
      <c r="J2632" s="227" t="n"/>
      <c r="K2632" s="227" t="n"/>
      <c r="L2632" s="227" t="n"/>
      <c r="M2632" s="227" t="n"/>
      <c r="N2632" s="127" t="n"/>
      <c r="O2632" s="227" t="n"/>
      <c r="P2632" s="227" t="n"/>
      <c r="Q2632" s="227" t="n"/>
      <c r="R2632" s="227" t="n"/>
      <c r="S2632" s="227" t="n"/>
      <c r="T2632" s="227" t="n"/>
    </row>
    <row r="2633">
      <c r="A2633" s="145">
        <f>IF($B2633="","",ROW()-5)</f>
        <v/>
      </c>
      <c r="B2633" s="127" t="n"/>
      <c r="C2633" s="223" t="n"/>
      <c r="D2633" s="127" t="n"/>
      <c r="E2633" s="227" t="n"/>
      <c r="F2633" s="227" t="n"/>
      <c r="G2633" s="227" t="n"/>
      <c r="H2633" s="227" t="n"/>
      <c r="I2633" s="227" t="n"/>
      <c r="J2633" s="227" t="n"/>
      <c r="K2633" s="227" t="n"/>
      <c r="L2633" s="227" t="n"/>
      <c r="M2633" s="227" t="n"/>
      <c r="N2633" s="127" t="n"/>
      <c r="O2633" s="227" t="n"/>
      <c r="P2633" s="227" t="n"/>
      <c r="Q2633" s="227" t="n"/>
      <c r="R2633" s="227" t="n"/>
      <c r="S2633" s="227" t="n"/>
      <c r="T2633" s="227" t="n"/>
    </row>
    <row r="2634">
      <c r="A2634" s="145">
        <f>IF($B2634="","",ROW()-5)</f>
        <v/>
      </c>
      <c r="B2634" s="127" t="n"/>
      <c r="C2634" s="223" t="n"/>
      <c r="D2634" s="127" t="n"/>
      <c r="E2634" s="227" t="n"/>
      <c r="F2634" s="227" t="n"/>
      <c r="G2634" s="227" t="n"/>
      <c r="H2634" s="227" t="n"/>
      <c r="I2634" s="227" t="n"/>
      <c r="J2634" s="227" t="n"/>
      <c r="K2634" s="227" t="n"/>
      <c r="L2634" s="227" t="n"/>
      <c r="M2634" s="227" t="n"/>
      <c r="N2634" s="127" t="n"/>
      <c r="O2634" s="227" t="n"/>
      <c r="P2634" s="227" t="n"/>
      <c r="Q2634" s="227" t="n"/>
      <c r="R2634" s="227" t="n"/>
      <c r="S2634" s="227" t="n"/>
      <c r="T2634" s="227" t="n"/>
    </row>
    <row r="2635">
      <c r="A2635" s="145">
        <f>IF($B2635="","",ROW()-5)</f>
        <v/>
      </c>
      <c r="B2635" s="127" t="n"/>
      <c r="C2635" s="223" t="n"/>
      <c r="D2635" s="127" t="n"/>
      <c r="E2635" s="227" t="n"/>
      <c r="F2635" s="227" t="n"/>
      <c r="G2635" s="227" t="n"/>
      <c r="H2635" s="227" t="n"/>
      <c r="I2635" s="227" t="n"/>
      <c r="J2635" s="227" t="n"/>
      <c r="K2635" s="227" t="n"/>
      <c r="L2635" s="227" t="n"/>
      <c r="M2635" s="227" t="n"/>
      <c r="N2635" s="127" t="n"/>
      <c r="O2635" s="227" t="n"/>
      <c r="P2635" s="227" t="n"/>
      <c r="Q2635" s="227" t="n"/>
      <c r="R2635" s="227" t="n"/>
      <c r="S2635" s="227" t="n"/>
      <c r="T2635" s="227" t="n"/>
    </row>
    <row r="2636">
      <c r="A2636" s="145">
        <f>IF($B2636="","",ROW()-5)</f>
        <v/>
      </c>
      <c r="B2636" s="127" t="n"/>
      <c r="C2636" s="223" t="n"/>
      <c r="D2636" s="127" t="n"/>
      <c r="E2636" s="227" t="n"/>
      <c r="F2636" s="227" t="n"/>
      <c r="G2636" s="227" t="n"/>
      <c r="H2636" s="227" t="n"/>
      <c r="I2636" s="227" t="n"/>
      <c r="J2636" s="227" t="n"/>
      <c r="K2636" s="227" t="n"/>
      <c r="L2636" s="227" t="n"/>
      <c r="M2636" s="227" t="n"/>
      <c r="N2636" s="127" t="n"/>
      <c r="O2636" s="227" t="n"/>
      <c r="P2636" s="227" t="n"/>
      <c r="Q2636" s="227" t="n"/>
      <c r="R2636" s="227" t="n"/>
      <c r="S2636" s="227" t="n"/>
      <c r="T2636" s="227" t="n"/>
    </row>
    <row r="2637">
      <c r="A2637" s="145">
        <f>IF($B2637="","",ROW()-5)</f>
        <v/>
      </c>
      <c r="B2637" s="127" t="n"/>
      <c r="C2637" s="223" t="n"/>
      <c r="D2637" s="127" t="n"/>
      <c r="E2637" s="227" t="n"/>
      <c r="F2637" s="227" t="n"/>
      <c r="G2637" s="227" t="n"/>
      <c r="H2637" s="227" t="n"/>
      <c r="I2637" s="227" t="n"/>
      <c r="J2637" s="227" t="n"/>
      <c r="K2637" s="227" t="n"/>
      <c r="L2637" s="227" t="n"/>
      <c r="M2637" s="227" t="n"/>
      <c r="N2637" s="127" t="n"/>
      <c r="O2637" s="227" t="n"/>
      <c r="P2637" s="227" t="n"/>
      <c r="Q2637" s="227" t="n"/>
      <c r="R2637" s="227" t="n"/>
      <c r="S2637" s="227" t="n"/>
      <c r="T2637" s="227" t="n"/>
    </row>
    <row r="2638">
      <c r="A2638" s="145">
        <f>IF($B2638="","",ROW()-5)</f>
        <v/>
      </c>
      <c r="B2638" s="127" t="n"/>
      <c r="C2638" s="223" t="n"/>
      <c r="D2638" s="127" t="n"/>
      <c r="E2638" s="227" t="n"/>
      <c r="F2638" s="227" t="n"/>
      <c r="G2638" s="227" t="n"/>
      <c r="H2638" s="227" t="n"/>
      <c r="I2638" s="227" t="n"/>
      <c r="J2638" s="227" t="n"/>
      <c r="K2638" s="227" t="n"/>
      <c r="L2638" s="227" t="n"/>
      <c r="M2638" s="227" t="n"/>
      <c r="N2638" s="127" t="n"/>
      <c r="O2638" s="227" t="n"/>
      <c r="P2638" s="227" t="n"/>
      <c r="Q2638" s="227" t="n"/>
      <c r="R2638" s="227" t="n"/>
      <c r="S2638" s="227" t="n"/>
      <c r="T2638" s="227" t="n"/>
    </row>
    <row r="2639">
      <c r="A2639" s="145">
        <f>IF($B2639="","",ROW()-5)</f>
        <v/>
      </c>
      <c r="B2639" s="127" t="n"/>
      <c r="C2639" s="223" t="n"/>
      <c r="D2639" s="127" t="n"/>
      <c r="E2639" s="227" t="n"/>
      <c r="F2639" s="227" t="n"/>
      <c r="G2639" s="227" t="n"/>
      <c r="H2639" s="227" t="n"/>
      <c r="I2639" s="227" t="n"/>
      <c r="J2639" s="227" t="n"/>
      <c r="K2639" s="227" t="n"/>
      <c r="L2639" s="227" t="n"/>
      <c r="M2639" s="227" t="n"/>
      <c r="N2639" s="127" t="n"/>
      <c r="O2639" s="227" t="n"/>
      <c r="P2639" s="227" t="n"/>
      <c r="Q2639" s="227" t="n"/>
      <c r="R2639" s="227" t="n"/>
      <c r="S2639" s="227" t="n"/>
      <c r="T2639" s="227" t="n"/>
    </row>
    <row r="2640">
      <c r="A2640" s="145">
        <f>IF($B2640="","",ROW()-5)</f>
        <v/>
      </c>
      <c r="B2640" s="127" t="n"/>
      <c r="C2640" s="223" t="n"/>
      <c r="D2640" s="127" t="n"/>
      <c r="E2640" s="227" t="n"/>
      <c r="F2640" s="227" t="n"/>
      <c r="G2640" s="227" t="n"/>
      <c r="H2640" s="227" t="n"/>
      <c r="I2640" s="227" t="n"/>
      <c r="J2640" s="227" t="n"/>
      <c r="K2640" s="227" t="n"/>
      <c r="L2640" s="227" t="n"/>
      <c r="M2640" s="227" t="n"/>
      <c r="N2640" s="127" t="n"/>
      <c r="O2640" s="227" t="n"/>
      <c r="P2640" s="227" t="n"/>
      <c r="Q2640" s="227" t="n"/>
      <c r="R2640" s="227" t="n"/>
      <c r="S2640" s="227" t="n"/>
      <c r="T2640" s="227" t="n"/>
    </row>
    <row r="2641">
      <c r="A2641" s="145">
        <f>IF($B2641="","",ROW()-5)</f>
        <v/>
      </c>
      <c r="B2641" s="127" t="n"/>
      <c r="C2641" s="223" t="n"/>
      <c r="D2641" s="127" t="n"/>
      <c r="E2641" s="227" t="n"/>
      <c r="F2641" s="227" t="n"/>
      <c r="G2641" s="227" t="n"/>
      <c r="H2641" s="227" t="n"/>
      <c r="I2641" s="227" t="n"/>
      <c r="J2641" s="227" t="n"/>
      <c r="K2641" s="227" t="n"/>
      <c r="L2641" s="227" t="n"/>
      <c r="M2641" s="227" t="n"/>
      <c r="N2641" s="127" t="n"/>
      <c r="O2641" s="227" t="n"/>
      <c r="P2641" s="227" t="n"/>
      <c r="Q2641" s="227" t="n"/>
      <c r="R2641" s="227" t="n"/>
      <c r="S2641" s="227" t="n"/>
      <c r="T2641" s="227" t="n"/>
    </row>
    <row r="2642">
      <c r="A2642" s="145">
        <f>IF($B2642="","",ROW()-5)</f>
        <v/>
      </c>
      <c r="B2642" s="127" t="n"/>
      <c r="C2642" s="223" t="n"/>
      <c r="D2642" s="127" t="n"/>
      <c r="E2642" s="227" t="n"/>
      <c r="F2642" s="227" t="n"/>
      <c r="G2642" s="227" t="n"/>
      <c r="H2642" s="227" t="n"/>
      <c r="I2642" s="227" t="n"/>
      <c r="J2642" s="227" t="n"/>
      <c r="K2642" s="227" t="n"/>
      <c r="L2642" s="227" t="n"/>
      <c r="M2642" s="227" t="n"/>
      <c r="N2642" s="127" t="n"/>
      <c r="O2642" s="227" t="n"/>
      <c r="P2642" s="227" t="n"/>
      <c r="Q2642" s="227" t="n"/>
      <c r="R2642" s="227" t="n"/>
      <c r="S2642" s="227" t="n"/>
      <c r="T2642" s="227" t="n"/>
    </row>
    <row r="2643">
      <c r="A2643" s="145">
        <f>IF($B2643="","",ROW()-5)</f>
        <v/>
      </c>
      <c r="B2643" s="127" t="n"/>
      <c r="C2643" s="223" t="n"/>
      <c r="D2643" s="127" t="n"/>
      <c r="E2643" s="227" t="n"/>
      <c r="F2643" s="227" t="n"/>
      <c r="G2643" s="227" t="n"/>
      <c r="H2643" s="227" t="n"/>
      <c r="I2643" s="227" t="n"/>
      <c r="J2643" s="227" t="n"/>
      <c r="K2643" s="227" t="n"/>
      <c r="L2643" s="227" t="n"/>
      <c r="M2643" s="227" t="n"/>
      <c r="N2643" s="127" t="n"/>
      <c r="O2643" s="227" t="n"/>
      <c r="P2643" s="227" t="n"/>
      <c r="Q2643" s="227" t="n"/>
      <c r="R2643" s="227" t="n"/>
      <c r="S2643" s="227" t="n"/>
      <c r="T2643" s="227" t="n"/>
    </row>
    <row r="2644">
      <c r="A2644" s="145">
        <f>IF($B2644="","",ROW()-5)</f>
        <v/>
      </c>
      <c r="B2644" s="127" t="n"/>
      <c r="C2644" s="223" t="n"/>
      <c r="D2644" s="127" t="n"/>
      <c r="E2644" s="227" t="n"/>
      <c r="F2644" s="227" t="n"/>
      <c r="G2644" s="227" t="n"/>
      <c r="H2644" s="227" t="n"/>
      <c r="I2644" s="227" t="n"/>
      <c r="J2644" s="227" t="n"/>
      <c r="K2644" s="227" t="n"/>
      <c r="L2644" s="227" t="n"/>
      <c r="M2644" s="227" t="n"/>
      <c r="N2644" s="127" t="n"/>
      <c r="O2644" s="227" t="n"/>
      <c r="P2644" s="227" t="n"/>
      <c r="Q2644" s="227" t="n"/>
      <c r="R2644" s="227" t="n"/>
      <c r="S2644" s="227" t="n"/>
      <c r="T2644" s="227" t="n"/>
    </row>
    <row r="2645">
      <c r="A2645" s="145">
        <f>IF($B2645="","",ROW()-5)</f>
        <v/>
      </c>
      <c r="B2645" s="127" t="n"/>
      <c r="C2645" s="223" t="n"/>
      <c r="D2645" s="127" t="n"/>
      <c r="E2645" s="227" t="n"/>
      <c r="F2645" s="227" t="n"/>
      <c r="G2645" s="227" t="n"/>
      <c r="H2645" s="227" t="n"/>
      <c r="I2645" s="227" t="n"/>
      <c r="J2645" s="227" t="n"/>
      <c r="K2645" s="227" t="n"/>
      <c r="L2645" s="227" t="n"/>
      <c r="M2645" s="227" t="n"/>
      <c r="N2645" s="127" t="n"/>
      <c r="O2645" s="227" t="n"/>
      <c r="P2645" s="227" t="n"/>
      <c r="Q2645" s="227" t="n"/>
      <c r="R2645" s="227" t="n"/>
      <c r="S2645" s="227" t="n"/>
      <c r="T2645" s="227" t="n"/>
    </row>
    <row r="2646">
      <c r="A2646" s="145">
        <f>IF($B2646="","",ROW()-5)</f>
        <v/>
      </c>
      <c r="B2646" s="127" t="n"/>
      <c r="C2646" s="223" t="n"/>
      <c r="D2646" s="127" t="n"/>
      <c r="E2646" s="227" t="n"/>
      <c r="F2646" s="227" t="n"/>
      <c r="G2646" s="227" t="n"/>
      <c r="H2646" s="227" t="n"/>
      <c r="I2646" s="227" t="n"/>
      <c r="J2646" s="227" t="n"/>
      <c r="K2646" s="227" t="n"/>
      <c r="L2646" s="227" t="n"/>
      <c r="M2646" s="227" t="n"/>
      <c r="N2646" s="127" t="n"/>
      <c r="O2646" s="227" t="n"/>
      <c r="P2646" s="227" t="n"/>
      <c r="Q2646" s="227" t="n"/>
      <c r="R2646" s="227" t="n"/>
      <c r="S2646" s="227" t="n"/>
      <c r="T2646" s="227" t="n"/>
    </row>
    <row r="2647">
      <c r="A2647" s="145">
        <f>IF($B2647="","",ROW()-5)</f>
        <v/>
      </c>
      <c r="B2647" s="127" t="n"/>
      <c r="C2647" s="223" t="n"/>
      <c r="D2647" s="127" t="n"/>
      <c r="E2647" s="227" t="n"/>
      <c r="F2647" s="227" t="n"/>
      <c r="G2647" s="227" t="n"/>
      <c r="H2647" s="227" t="n"/>
      <c r="I2647" s="227" t="n"/>
      <c r="J2647" s="227" t="n"/>
      <c r="K2647" s="227" t="n"/>
      <c r="L2647" s="227" t="n"/>
      <c r="M2647" s="227" t="n"/>
      <c r="N2647" s="127" t="n"/>
      <c r="O2647" s="227" t="n"/>
      <c r="P2647" s="227" t="n"/>
      <c r="Q2647" s="227" t="n"/>
      <c r="R2647" s="227" t="n"/>
      <c r="S2647" s="227" t="n"/>
      <c r="T2647" s="227" t="n"/>
    </row>
    <row r="2648">
      <c r="A2648" s="145">
        <f>IF($B2648="","",ROW()-5)</f>
        <v/>
      </c>
      <c r="B2648" s="127" t="n"/>
      <c r="C2648" s="223" t="n"/>
      <c r="D2648" s="127" t="n"/>
      <c r="E2648" s="227" t="n"/>
      <c r="F2648" s="227" t="n"/>
      <c r="G2648" s="227" t="n"/>
      <c r="H2648" s="227" t="n"/>
      <c r="I2648" s="227" t="n"/>
      <c r="J2648" s="227" t="n"/>
      <c r="K2648" s="227" t="n"/>
      <c r="L2648" s="227" t="n"/>
      <c r="M2648" s="227" t="n"/>
      <c r="N2648" s="127" t="n"/>
      <c r="O2648" s="227" t="n"/>
      <c r="P2648" s="227" t="n"/>
      <c r="Q2648" s="227" t="n"/>
      <c r="R2648" s="227" t="n"/>
      <c r="S2648" s="227" t="n"/>
      <c r="T2648" s="227" t="n"/>
    </row>
    <row r="2649">
      <c r="A2649" s="145">
        <f>IF($B2649="","",ROW()-5)</f>
        <v/>
      </c>
      <c r="B2649" s="127" t="n"/>
      <c r="C2649" s="223" t="n"/>
      <c r="D2649" s="127" t="n"/>
      <c r="E2649" s="227" t="n"/>
      <c r="F2649" s="227" t="n"/>
      <c r="G2649" s="227" t="n"/>
      <c r="H2649" s="227" t="n"/>
      <c r="I2649" s="227" t="n"/>
      <c r="J2649" s="227" t="n"/>
      <c r="K2649" s="227" t="n"/>
      <c r="L2649" s="227" t="n"/>
      <c r="M2649" s="227" t="n"/>
      <c r="N2649" s="127" t="n"/>
      <c r="O2649" s="227" t="n"/>
      <c r="P2649" s="227" t="n"/>
      <c r="Q2649" s="227" t="n"/>
      <c r="R2649" s="227" t="n"/>
      <c r="S2649" s="227" t="n"/>
      <c r="T2649" s="227" t="n"/>
    </row>
    <row r="2650">
      <c r="A2650" s="145">
        <f>IF($B2650="","",ROW()-5)</f>
        <v/>
      </c>
      <c r="B2650" s="127" t="n"/>
      <c r="C2650" s="223" t="n"/>
      <c r="D2650" s="127" t="n"/>
      <c r="E2650" s="227" t="n"/>
      <c r="F2650" s="227" t="n"/>
      <c r="G2650" s="227" t="n"/>
      <c r="H2650" s="227" t="n"/>
      <c r="I2650" s="227" t="n"/>
      <c r="J2650" s="227" t="n"/>
      <c r="K2650" s="227" t="n"/>
      <c r="L2650" s="227" t="n"/>
      <c r="M2650" s="227" t="n"/>
      <c r="N2650" s="127" t="n"/>
      <c r="O2650" s="227" t="n"/>
      <c r="P2650" s="227" t="n"/>
      <c r="Q2650" s="227" t="n"/>
      <c r="R2650" s="227" t="n"/>
      <c r="S2650" s="227" t="n"/>
      <c r="T2650" s="227" t="n"/>
    </row>
    <row r="2651">
      <c r="A2651" s="145">
        <f>IF($B2651="","",ROW()-5)</f>
        <v/>
      </c>
      <c r="B2651" s="127" t="n"/>
      <c r="C2651" s="223" t="n"/>
      <c r="D2651" s="127" t="n"/>
      <c r="E2651" s="227" t="n"/>
      <c r="F2651" s="227" t="n"/>
      <c r="G2651" s="227" t="n"/>
      <c r="H2651" s="227" t="n"/>
      <c r="I2651" s="227" t="n"/>
      <c r="J2651" s="227" t="n"/>
      <c r="K2651" s="227" t="n"/>
      <c r="L2651" s="227" t="n"/>
      <c r="M2651" s="227" t="n"/>
      <c r="N2651" s="127" t="n"/>
      <c r="O2651" s="227" t="n"/>
      <c r="P2651" s="227" t="n"/>
      <c r="Q2651" s="227" t="n"/>
      <c r="R2651" s="227" t="n"/>
      <c r="S2651" s="227" t="n"/>
      <c r="T2651" s="227" t="n"/>
    </row>
    <row r="2652">
      <c r="A2652" s="145">
        <f>IF($B2652="","",ROW()-5)</f>
        <v/>
      </c>
      <c r="B2652" s="127" t="n"/>
      <c r="C2652" s="223" t="n"/>
      <c r="D2652" s="127" t="n"/>
      <c r="E2652" s="227" t="n"/>
      <c r="F2652" s="227" t="n"/>
      <c r="G2652" s="227" t="n"/>
      <c r="H2652" s="227" t="n"/>
      <c r="I2652" s="227" t="n"/>
      <c r="J2652" s="227" t="n"/>
      <c r="K2652" s="227" t="n"/>
      <c r="L2652" s="227" t="n"/>
      <c r="M2652" s="227" t="n"/>
      <c r="N2652" s="127" t="n"/>
      <c r="O2652" s="227" t="n"/>
      <c r="P2652" s="227" t="n"/>
      <c r="Q2652" s="227" t="n"/>
      <c r="R2652" s="227" t="n"/>
      <c r="S2652" s="227" t="n"/>
      <c r="T2652" s="227" t="n"/>
    </row>
    <row r="2653">
      <c r="A2653" s="145">
        <f>IF($B2653="","",ROW()-5)</f>
        <v/>
      </c>
      <c r="B2653" s="127" t="n"/>
      <c r="C2653" s="223" t="n"/>
      <c r="D2653" s="127" t="n"/>
      <c r="E2653" s="227" t="n"/>
      <c r="F2653" s="227" t="n"/>
      <c r="G2653" s="227" t="n"/>
      <c r="H2653" s="227" t="n"/>
      <c r="I2653" s="227" t="n"/>
      <c r="J2653" s="227" t="n"/>
      <c r="K2653" s="227" t="n"/>
      <c r="L2653" s="227" t="n"/>
      <c r="M2653" s="227" t="n"/>
      <c r="N2653" s="127" t="n"/>
      <c r="O2653" s="227" t="n"/>
      <c r="P2653" s="227" t="n"/>
      <c r="Q2653" s="227" t="n"/>
      <c r="R2653" s="227" t="n"/>
      <c r="S2653" s="227" t="n"/>
      <c r="T2653" s="227" t="n"/>
    </row>
    <row r="2654">
      <c r="A2654" s="145">
        <f>IF($B2654="","",ROW()-5)</f>
        <v/>
      </c>
      <c r="B2654" s="127" t="n"/>
      <c r="C2654" s="223" t="n"/>
      <c r="D2654" s="127" t="n"/>
      <c r="E2654" s="227" t="n"/>
      <c r="F2654" s="227" t="n"/>
      <c r="G2654" s="227" t="n"/>
      <c r="H2654" s="227" t="n"/>
      <c r="I2654" s="227" t="n"/>
      <c r="J2654" s="227" t="n"/>
      <c r="K2654" s="227" t="n"/>
      <c r="L2654" s="227" t="n"/>
      <c r="M2654" s="227" t="n"/>
      <c r="N2654" s="127" t="n"/>
      <c r="O2654" s="227" t="n"/>
      <c r="P2654" s="227" t="n"/>
      <c r="Q2654" s="227" t="n"/>
      <c r="R2654" s="227" t="n"/>
      <c r="S2654" s="227" t="n"/>
      <c r="T2654" s="227" t="n"/>
    </row>
    <row r="2655">
      <c r="A2655" s="145">
        <f>IF($B2655="","",ROW()-5)</f>
        <v/>
      </c>
      <c r="B2655" s="127" t="n"/>
      <c r="C2655" s="223" t="n"/>
      <c r="D2655" s="127" t="n"/>
      <c r="E2655" s="227" t="n"/>
      <c r="F2655" s="227" t="n"/>
      <c r="G2655" s="227" t="n"/>
      <c r="H2655" s="227" t="n"/>
      <c r="I2655" s="227" t="n"/>
      <c r="J2655" s="227" t="n"/>
      <c r="K2655" s="227" t="n"/>
      <c r="L2655" s="227" t="n"/>
      <c r="M2655" s="227" t="n"/>
      <c r="N2655" s="127" t="n"/>
      <c r="O2655" s="227" t="n"/>
      <c r="P2655" s="227" t="n"/>
      <c r="Q2655" s="227" t="n"/>
      <c r="R2655" s="227" t="n"/>
      <c r="S2655" s="227" t="n"/>
      <c r="T2655" s="227" t="n"/>
    </row>
    <row r="2656">
      <c r="A2656" s="145">
        <f>IF($B2656="","",ROW()-5)</f>
        <v/>
      </c>
      <c r="B2656" s="127" t="n"/>
      <c r="C2656" s="223" t="n"/>
      <c r="D2656" s="127" t="n"/>
      <c r="E2656" s="227" t="n"/>
      <c r="F2656" s="227" t="n"/>
      <c r="G2656" s="227" t="n"/>
      <c r="H2656" s="227" t="n"/>
      <c r="I2656" s="227" t="n"/>
      <c r="J2656" s="227" t="n"/>
      <c r="K2656" s="227" t="n"/>
      <c r="L2656" s="227" t="n"/>
      <c r="M2656" s="227" t="n"/>
      <c r="N2656" s="127" t="n"/>
      <c r="O2656" s="227" t="n"/>
      <c r="P2656" s="227" t="n"/>
      <c r="Q2656" s="227" t="n"/>
      <c r="R2656" s="227" t="n"/>
      <c r="S2656" s="227" t="n"/>
      <c r="T2656" s="227" t="n"/>
    </row>
    <row r="2657">
      <c r="A2657" s="145">
        <f>IF($B2657="","",ROW()-5)</f>
        <v/>
      </c>
      <c r="B2657" s="127" t="n"/>
      <c r="C2657" s="223" t="n"/>
      <c r="D2657" s="127" t="n"/>
      <c r="E2657" s="227" t="n"/>
      <c r="F2657" s="227" t="n"/>
      <c r="G2657" s="227" t="n"/>
      <c r="H2657" s="227" t="n"/>
      <c r="I2657" s="227" t="n"/>
      <c r="J2657" s="227" t="n"/>
      <c r="K2657" s="227" t="n"/>
      <c r="L2657" s="227" t="n"/>
      <c r="M2657" s="227" t="n"/>
      <c r="N2657" s="127" t="n"/>
      <c r="O2657" s="227" t="n"/>
      <c r="P2657" s="227" t="n"/>
      <c r="Q2657" s="227" t="n"/>
      <c r="R2657" s="227" t="n"/>
      <c r="S2657" s="227" t="n"/>
      <c r="T2657" s="227" t="n"/>
    </row>
    <row r="2658">
      <c r="A2658" s="145">
        <f>IF($B2658="","",ROW()-5)</f>
        <v/>
      </c>
      <c r="B2658" s="127" t="n"/>
      <c r="C2658" s="223" t="n"/>
      <c r="D2658" s="127" t="n"/>
      <c r="E2658" s="227" t="n"/>
      <c r="F2658" s="227" t="n"/>
      <c r="G2658" s="227" t="n"/>
      <c r="H2658" s="227" t="n"/>
      <c r="I2658" s="227" t="n"/>
      <c r="J2658" s="227" t="n"/>
      <c r="K2658" s="227" t="n"/>
      <c r="L2658" s="227" t="n"/>
      <c r="M2658" s="227" t="n"/>
      <c r="N2658" s="127" t="n"/>
      <c r="O2658" s="227" t="n"/>
      <c r="P2658" s="227" t="n"/>
      <c r="Q2658" s="227" t="n"/>
      <c r="R2658" s="227" t="n"/>
      <c r="S2658" s="227" t="n"/>
      <c r="T2658" s="227" t="n"/>
    </row>
    <row r="2659">
      <c r="A2659" s="145">
        <f>IF($B2659="","",ROW()-5)</f>
        <v/>
      </c>
      <c r="B2659" s="127" t="n"/>
      <c r="C2659" s="223" t="n"/>
      <c r="D2659" s="127" t="n"/>
      <c r="E2659" s="227" t="n"/>
      <c r="F2659" s="227" t="n"/>
      <c r="G2659" s="227" t="n"/>
      <c r="H2659" s="227" t="n"/>
      <c r="I2659" s="227" t="n"/>
      <c r="J2659" s="227" t="n"/>
      <c r="K2659" s="227" t="n"/>
      <c r="L2659" s="227" t="n"/>
      <c r="M2659" s="227" t="n"/>
      <c r="N2659" s="127" t="n"/>
      <c r="O2659" s="227" t="n"/>
      <c r="P2659" s="227" t="n"/>
      <c r="Q2659" s="227" t="n"/>
      <c r="R2659" s="227" t="n"/>
      <c r="S2659" s="227" t="n"/>
      <c r="T2659" s="227" t="n"/>
    </row>
    <row r="2660">
      <c r="A2660" s="145">
        <f>IF($B2660="","",ROW()-5)</f>
        <v/>
      </c>
      <c r="B2660" s="127" t="n"/>
      <c r="C2660" s="223" t="n"/>
      <c r="D2660" s="127" t="n"/>
      <c r="E2660" s="227" t="n"/>
      <c r="F2660" s="227" t="n"/>
      <c r="G2660" s="227" t="n"/>
      <c r="H2660" s="227" t="n"/>
      <c r="I2660" s="227" t="n"/>
      <c r="J2660" s="227" t="n"/>
      <c r="K2660" s="227" t="n"/>
      <c r="L2660" s="227" t="n"/>
      <c r="M2660" s="227" t="n"/>
      <c r="N2660" s="127" t="n"/>
      <c r="O2660" s="227" t="n"/>
      <c r="P2660" s="227" t="n"/>
      <c r="Q2660" s="227" t="n"/>
      <c r="R2660" s="227" t="n"/>
      <c r="S2660" s="227" t="n"/>
      <c r="T2660" s="227" t="n"/>
    </row>
    <row r="2661">
      <c r="A2661" s="145">
        <f>IF($B2661="","",ROW()-5)</f>
        <v/>
      </c>
      <c r="B2661" s="127" t="n"/>
      <c r="C2661" s="223" t="n"/>
      <c r="D2661" s="127" t="n"/>
      <c r="E2661" s="227" t="n"/>
      <c r="F2661" s="227" t="n"/>
      <c r="G2661" s="227" t="n"/>
      <c r="H2661" s="227" t="n"/>
      <c r="I2661" s="227" t="n"/>
      <c r="J2661" s="227" t="n"/>
      <c r="K2661" s="227" t="n"/>
      <c r="L2661" s="227" t="n"/>
      <c r="M2661" s="227" t="n"/>
      <c r="N2661" s="127" t="n"/>
      <c r="O2661" s="227" t="n"/>
      <c r="P2661" s="227" t="n"/>
      <c r="Q2661" s="227" t="n"/>
      <c r="R2661" s="227" t="n"/>
      <c r="S2661" s="227" t="n"/>
      <c r="T2661" s="227" t="n"/>
    </row>
    <row r="2662">
      <c r="A2662" s="145">
        <f>IF($B2662="","",ROW()-5)</f>
        <v/>
      </c>
      <c r="B2662" s="127" t="n"/>
      <c r="C2662" s="223" t="n"/>
      <c r="D2662" s="127" t="n"/>
      <c r="E2662" s="227" t="n"/>
      <c r="F2662" s="227" t="n"/>
      <c r="G2662" s="227" t="n"/>
      <c r="H2662" s="227" t="n"/>
      <c r="I2662" s="227" t="n"/>
      <c r="J2662" s="227" t="n"/>
      <c r="K2662" s="227" t="n"/>
      <c r="L2662" s="227" t="n"/>
      <c r="M2662" s="227" t="n"/>
      <c r="N2662" s="127" t="n"/>
      <c r="O2662" s="227" t="n"/>
      <c r="P2662" s="227" t="n"/>
      <c r="Q2662" s="227" t="n"/>
      <c r="R2662" s="227" t="n"/>
      <c r="S2662" s="227" t="n"/>
      <c r="T2662" s="227" t="n"/>
    </row>
    <row r="2663">
      <c r="A2663" s="145">
        <f>IF($B2663="","",ROW()-5)</f>
        <v/>
      </c>
      <c r="B2663" s="127" t="n"/>
      <c r="C2663" s="223" t="n"/>
      <c r="D2663" s="127" t="n"/>
      <c r="E2663" s="227" t="n"/>
      <c r="F2663" s="227" t="n"/>
      <c r="G2663" s="227" t="n"/>
      <c r="H2663" s="227" t="n"/>
      <c r="I2663" s="227" t="n"/>
      <c r="J2663" s="227" t="n"/>
      <c r="K2663" s="227" t="n"/>
      <c r="L2663" s="227" t="n"/>
      <c r="M2663" s="227" t="n"/>
      <c r="N2663" s="127" t="n"/>
      <c r="O2663" s="227" t="n"/>
      <c r="P2663" s="227" t="n"/>
      <c r="Q2663" s="227" t="n"/>
      <c r="R2663" s="227" t="n"/>
      <c r="S2663" s="227" t="n"/>
      <c r="T2663" s="227" t="n"/>
    </row>
    <row r="2664">
      <c r="A2664" s="145">
        <f>IF($B2664="","",ROW()-5)</f>
        <v/>
      </c>
      <c r="B2664" s="127" t="n"/>
      <c r="C2664" s="223" t="n"/>
      <c r="D2664" s="127" t="n"/>
      <c r="E2664" s="227" t="n"/>
      <c r="F2664" s="227" t="n"/>
      <c r="G2664" s="227" t="n"/>
      <c r="H2664" s="227" t="n"/>
      <c r="I2664" s="227" t="n"/>
      <c r="J2664" s="227" t="n"/>
      <c r="K2664" s="227" t="n"/>
      <c r="L2664" s="227" t="n"/>
      <c r="M2664" s="227" t="n"/>
      <c r="N2664" s="127" t="n"/>
      <c r="O2664" s="227" t="n"/>
      <c r="P2664" s="227" t="n"/>
      <c r="Q2664" s="227" t="n"/>
      <c r="R2664" s="227" t="n"/>
      <c r="S2664" s="227" t="n"/>
      <c r="T2664" s="227" t="n"/>
    </row>
    <row r="2665">
      <c r="A2665" s="145">
        <f>IF($B2665="","",ROW()-5)</f>
        <v/>
      </c>
      <c r="B2665" s="127" t="n"/>
      <c r="C2665" s="223" t="n"/>
      <c r="D2665" s="127" t="n"/>
      <c r="E2665" s="227" t="n"/>
      <c r="F2665" s="227" t="n"/>
      <c r="G2665" s="227" t="n"/>
      <c r="H2665" s="227" t="n"/>
      <c r="I2665" s="227" t="n"/>
      <c r="J2665" s="227" t="n"/>
      <c r="K2665" s="227" t="n"/>
      <c r="L2665" s="227" t="n"/>
      <c r="M2665" s="227" t="n"/>
      <c r="N2665" s="127" t="n"/>
      <c r="O2665" s="227" t="n"/>
      <c r="P2665" s="227" t="n"/>
      <c r="Q2665" s="227" t="n"/>
      <c r="R2665" s="227" t="n"/>
      <c r="S2665" s="227" t="n"/>
      <c r="T2665" s="227" t="n"/>
    </row>
    <row r="2666">
      <c r="A2666" s="145">
        <f>IF($B2666="","",ROW()-5)</f>
        <v/>
      </c>
      <c r="B2666" s="127" t="n"/>
      <c r="C2666" s="223" t="n"/>
      <c r="D2666" s="127" t="n"/>
      <c r="E2666" s="227" t="n"/>
      <c r="F2666" s="227" t="n"/>
      <c r="G2666" s="227" t="n"/>
      <c r="H2666" s="227" t="n"/>
      <c r="I2666" s="227" t="n"/>
      <c r="J2666" s="227" t="n"/>
      <c r="K2666" s="227" t="n"/>
      <c r="L2666" s="227" t="n"/>
      <c r="M2666" s="227" t="n"/>
      <c r="N2666" s="127" t="n"/>
      <c r="O2666" s="227" t="n"/>
      <c r="P2666" s="227" t="n"/>
      <c r="Q2666" s="227" t="n"/>
      <c r="R2666" s="227" t="n"/>
      <c r="S2666" s="227" t="n"/>
      <c r="T2666" s="227" t="n"/>
    </row>
    <row r="2667">
      <c r="A2667" s="145">
        <f>IF($B2667="","",ROW()-5)</f>
        <v/>
      </c>
      <c r="B2667" s="127" t="n"/>
      <c r="C2667" s="223" t="n"/>
      <c r="D2667" s="127" t="n"/>
      <c r="E2667" s="227" t="n"/>
      <c r="F2667" s="227" t="n"/>
      <c r="G2667" s="227" t="n"/>
      <c r="H2667" s="227" t="n"/>
      <c r="I2667" s="227" t="n"/>
      <c r="J2667" s="227" t="n"/>
      <c r="K2667" s="227" t="n"/>
      <c r="L2667" s="227" t="n"/>
      <c r="M2667" s="227" t="n"/>
      <c r="N2667" s="127" t="n"/>
      <c r="O2667" s="227" t="n"/>
      <c r="P2667" s="227" t="n"/>
      <c r="Q2667" s="227" t="n"/>
      <c r="R2667" s="227" t="n"/>
      <c r="S2667" s="227" t="n"/>
      <c r="T2667" s="227" t="n"/>
    </row>
    <row r="2668">
      <c r="A2668" s="145">
        <f>IF($B2668="","",ROW()-5)</f>
        <v/>
      </c>
      <c r="B2668" s="127" t="n"/>
      <c r="C2668" s="223" t="n"/>
      <c r="D2668" s="127" t="n"/>
      <c r="E2668" s="227" t="n"/>
      <c r="F2668" s="227" t="n"/>
      <c r="G2668" s="227" t="n"/>
      <c r="H2668" s="227" t="n"/>
      <c r="I2668" s="227" t="n"/>
      <c r="J2668" s="227" t="n"/>
      <c r="K2668" s="227" t="n"/>
      <c r="L2668" s="227" t="n"/>
      <c r="M2668" s="227" t="n"/>
      <c r="N2668" s="127" t="n"/>
      <c r="O2668" s="227" t="n"/>
      <c r="P2668" s="227" t="n"/>
      <c r="Q2668" s="227" t="n"/>
      <c r="R2668" s="227" t="n"/>
      <c r="S2668" s="227" t="n"/>
      <c r="T2668" s="227" t="n"/>
    </row>
    <row r="2669">
      <c r="A2669" s="145">
        <f>IF($B2669="","",ROW()-5)</f>
        <v/>
      </c>
      <c r="B2669" s="127" t="n"/>
      <c r="C2669" s="223" t="n"/>
      <c r="D2669" s="127" t="n"/>
      <c r="E2669" s="227" t="n"/>
      <c r="F2669" s="227" t="n"/>
      <c r="G2669" s="227" t="n"/>
      <c r="H2669" s="227" t="n"/>
      <c r="I2669" s="227" t="n"/>
      <c r="J2669" s="227" t="n"/>
      <c r="K2669" s="227" t="n"/>
      <c r="L2669" s="227" t="n"/>
      <c r="M2669" s="227" t="n"/>
      <c r="N2669" s="127" t="n"/>
      <c r="O2669" s="227" t="n"/>
      <c r="P2669" s="227" t="n"/>
      <c r="Q2669" s="227" t="n"/>
      <c r="R2669" s="227" t="n"/>
      <c r="S2669" s="227" t="n"/>
      <c r="T2669" s="227" t="n"/>
    </row>
    <row r="2670">
      <c r="A2670" s="145">
        <f>IF($B2670="","",ROW()-5)</f>
        <v/>
      </c>
      <c r="B2670" s="127" t="n"/>
      <c r="C2670" s="223" t="n"/>
      <c r="D2670" s="127" t="n"/>
      <c r="E2670" s="227" t="n"/>
      <c r="F2670" s="227" t="n"/>
      <c r="G2670" s="227" t="n"/>
      <c r="H2670" s="227" t="n"/>
      <c r="I2670" s="227" t="n"/>
      <c r="J2670" s="227" t="n"/>
      <c r="K2670" s="227" t="n"/>
      <c r="L2670" s="227" t="n"/>
      <c r="M2670" s="227" t="n"/>
      <c r="N2670" s="127" t="n"/>
      <c r="O2670" s="227" t="n"/>
      <c r="P2670" s="227" t="n"/>
      <c r="Q2670" s="227" t="n"/>
      <c r="R2670" s="227" t="n"/>
      <c r="S2670" s="227" t="n"/>
      <c r="T2670" s="227" t="n"/>
    </row>
    <row r="2671">
      <c r="A2671" s="145">
        <f>IF($B2671="","",ROW()-5)</f>
        <v/>
      </c>
      <c r="B2671" s="127" t="n"/>
      <c r="C2671" s="223" t="n"/>
      <c r="D2671" s="127" t="n"/>
      <c r="E2671" s="227" t="n"/>
      <c r="F2671" s="227" t="n"/>
      <c r="G2671" s="227" t="n"/>
      <c r="H2671" s="227" t="n"/>
      <c r="I2671" s="227" t="n"/>
      <c r="J2671" s="227" t="n"/>
      <c r="K2671" s="227" t="n"/>
      <c r="L2671" s="227" t="n"/>
      <c r="M2671" s="227" t="n"/>
      <c r="N2671" s="127" t="n"/>
      <c r="O2671" s="227" t="n"/>
      <c r="P2671" s="227" t="n"/>
      <c r="Q2671" s="227" t="n"/>
      <c r="R2671" s="227" t="n"/>
      <c r="S2671" s="227" t="n"/>
      <c r="T2671" s="227" t="n"/>
    </row>
    <row r="2672">
      <c r="A2672" s="145">
        <f>IF($B2672="","",ROW()-5)</f>
        <v/>
      </c>
      <c r="B2672" s="127" t="n"/>
      <c r="C2672" s="223" t="n"/>
      <c r="D2672" s="127" t="n"/>
      <c r="E2672" s="227" t="n"/>
      <c r="F2672" s="227" t="n"/>
      <c r="G2672" s="227" t="n"/>
      <c r="H2672" s="227" t="n"/>
      <c r="I2672" s="227" t="n"/>
      <c r="J2672" s="227" t="n"/>
      <c r="K2672" s="227" t="n"/>
      <c r="L2672" s="227" t="n"/>
      <c r="M2672" s="227" t="n"/>
      <c r="N2672" s="127" t="n"/>
      <c r="O2672" s="227" t="n"/>
      <c r="P2672" s="227" t="n"/>
      <c r="Q2672" s="227" t="n"/>
      <c r="R2672" s="227" t="n"/>
      <c r="S2672" s="227" t="n"/>
      <c r="T2672" s="227" t="n"/>
    </row>
    <row r="2673">
      <c r="A2673" s="145">
        <f>IF($B2673="","",ROW()-5)</f>
        <v/>
      </c>
      <c r="B2673" s="127" t="n"/>
      <c r="C2673" s="223" t="n"/>
      <c r="D2673" s="127" t="n"/>
      <c r="E2673" s="227" t="n"/>
      <c r="F2673" s="227" t="n"/>
      <c r="G2673" s="227" t="n"/>
      <c r="H2673" s="227" t="n"/>
      <c r="I2673" s="227" t="n"/>
      <c r="J2673" s="227" t="n"/>
      <c r="K2673" s="227" t="n"/>
      <c r="L2673" s="227" t="n"/>
      <c r="M2673" s="227" t="n"/>
      <c r="N2673" s="127" t="n"/>
      <c r="O2673" s="227" t="n"/>
      <c r="P2673" s="227" t="n"/>
      <c r="Q2673" s="227" t="n"/>
      <c r="R2673" s="227" t="n"/>
      <c r="S2673" s="227" t="n"/>
      <c r="T2673" s="227" t="n"/>
    </row>
    <row r="2674">
      <c r="A2674" s="145">
        <f>IF($B2674="","",ROW()-5)</f>
        <v/>
      </c>
      <c r="B2674" s="127" t="n"/>
      <c r="C2674" s="223" t="n"/>
      <c r="D2674" s="127" t="n"/>
      <c r="E2674" s="227" t="n"/>
      <c r="F2674" s="227" t="n"/>
      <c r="G2674" s="227" t="n"/>
      <c r="H2674" s="227" t="n"/>
      <c r="I2674" s="227" t="n"/>
      <c r="J2674" s="227" t="n"/>
      <c r="K2674" s="227" t="n"/>
      <c r="L2674" s="227" t="n"/>
      <c r="M2674" s="227" t="n"/>
      <c r="N2674" s="127" t="n"/>
      <c r="O2674" s="227" t="n"/>
      <c r="P2674" s="227" t="n"/>
      <c r="Q2674" s="227" t="n"/>
      <c r="R2674" s="227" t="n"/>
      <c r="S2674" s="227" t="n"/>
      <c r="T2674" s="227" t="n"/>
    </row>
    <row r="2675">
      <c r="A2675" s="145">
        <f>IF($B2675="","",ROW()-5)</f>
        <v/>
      </c>
      <c r="B2675" s="127" t="n"/>
      <c r="C2675" s="223" t="n"/>
      <c r="D2675" s="127" t="n"/>
      <c r="E2675" s="227" t="n"/>
      <c r="F2675" s="227" t="n"/>
      <c r="G2675" s="227" t="n"/>
      <c r="H2675" s="227" t="n"/>
      <c r="I2675" s="227" t="n"/>
      <c r="J2675" s="227" t="n"/>
      <c r="K2675" s="227" t="n"/>
      <c r="L2675" s="227" t="n"/>
      <c r="M2675" s="227" t="n"/>
      <c r="N2675" s="127" t="n"/>
      <c r="O2675" s="227" t="n"/>
      <c r="P2675" s="227" t="n"/>
      <c r="Q2675" s="227" t="n"/>
      <c r="R2675" s="227" t="n"/>
      <c r="S2675" s="227" t="n"/>
      <c r="T2675" s="227" t="n"/>
    </row>
    <row r="2676">
      <c r="A2676" s="145">
        <f>IF($B2676="","",ROW()-5)</f>
        <v/>
      </c>
      <c r="B2676" s="127" t="n"/>
      <c r="C2676" s="223" t="n"/>
      <c r="D2676" s="127" t="n"/>
      <c r="E2676" s="227" t="n"/>
      <c r="F2676" s="227" t="n"/>
      <c r="G2676" s="227" t="n"/>
      <c r="H2676" s="227" t="n"/>
      <c r="I2676" s="227" t="n"/>
      <c r="J2676" s="227" t="n"/>
      <c r="K2676" s="227" t="n"/>
      <c r="L2676" s="227" t="n"/>
      <c r="M2676" s="227" t="n"/>
      <c r="N2676" s="127" t="n"/>
      <c r="O2676" s="227" t="n"/>
      <c r="P2676" s="227" t="n"/>
      <c r="Q2676" s="227" t="n"/>
      <c r="R2676" s="227" t="n"/>
      <c r="S2676" s="227" t="n"/>
      <c r="T2676" s="227" t="n"/>
    </row>
    <row r="2677">
      <c r="A2677" s="145">
        <f>IF($B2677="","",ROW()-5)</f>
        <v/>
      </c>
      <c r="B2677" s="127" t="n"/>
      <c r="C2677" s="223" t="n"/>
      <c r="D2677" s="127" t="n"/>
      <c r="E2677" s="227" t="n"/>
      <c r="F2677" s="227" t="n"/>
      <c r="G2677" s="227" t="n"/>
      <c r="H2677" s="227" t="n"/>
      <c r="I2677" s="227" t="n"/>
      <c r="J2677" s="227" t="n"/>
      <c r="K2677" s="227" t="n"/>
      <c r="L2677" s="227" t="n"/>
      <c r="M2677" s="227" t="n"/>
      <c r="N2677" s="127" t="n"/>
      <c r="O2677" s="227" t="n"/>
      <c r="P2677" s="227" t="n"/>
      <c r="Q2677" s="227" t="n"/>
      <c r="R2677" s="227" t="n"/>
      <c r="S2677" s="227" t="n"/>
      <c r="T2677" s="227" t="n"/>
    </row>
    <row r="2678">
      <c r="A2678" s="145">
        <f>IF($B2678="","",ROW()-5)</f>
        <v/>
      </c>
      <c r="B2678" s="127" t="n"/>
      <c r="C2678" s="223" t="n"/>
      <c r="D2678" s="127" t="n"/>
      <c r="E2678" s="227" t="n"/>
      <c r="F2678" s="227" t="n"/>
      <c r="G2678" s="227" t="n"/>
      <c r="H2678" s="227" t="n"/>
      <c r="I2678" s="227" t="n"/>
      <c r="J2678" s="227" t="n"/>
      <c r="K2678" s="227" t="n"/>
      <c r="L2678" s="227" t="n"/>
      <c r="M2678" s="227" t="n"/>
      <c r="N2678" s="127" t="n"/>
      <c r="O2678" s="227" t="n"/>
      <c r="P2678" s="227" t="n"/>
      <c r="Q2678" s="227" t="n"/>
      <c r="R2678" s="227" t="n"/>
      <c r="S2678" s="227" t="n"/>
      <c r="T2678" s="227" t="n"/>
    </row>
    <row r="2679">
      <c r="A2679" s="145">
        <f>IF($B2679="","",ROW()-5)</f>
        <v/>
      </c>
      <c r="B2679" s="127" t="n"/>
      <c r="C2679" s="223" t="n"/>
      <c r="D2679" s="127" t="n"/>
      <c r="E2679" s="227" t="n"/>
      <c r="F2679" s="227" t="n"/>
      <c r="G2679" s="227" t="n"/>
      <c r="H2679" s="227" t="n"/>
      <c r="I2679" s="227" t="n"/>
      <c r="J2679" s="227" t="n"/>
      <c r="K2679" s="227" t="n"/>
      <c r="L2679" s="227" t="n"/>
      <c r="M2679" s="227" t="n"/>
      <c r="N2679" s="127" t="n"/>
      <c r="O2679" s="227" t="n"/>
      <c r="P2679" s="227" t="n"/>
      <c r="Q2679" s="227" t="n"/>
      <c r="R2679" s="227" t="n"/>
      <c r="S2679" s="227" t="n"/>
      <c r="T2679" s="227" t="n"/>
    </row>
    <row r="2680">
      <c r="A2680" s="145">
        <f>IF($B2680="","",ROW()-5)</f>
        <v/>
      </c>
      <c r="B2680" s="127" t="n"/>
      <c r="C2680" s="223" t="n"/>
      <c r="D2680" s="127" t="n"/>
      <c r="E2680" s="227" t="n"/>
      <c r="F2680" s="227" t="n"/>
      <c r="G2680" s="227" t="n"/>
      <c r="H2680" s="227" t="n"/>
      <c r="I2680" s="227" t="n"/>
      <c r="J2680" s="227" t="n"/>
      <c r="K2680" s="227" t="n"/>
      <c r="L2680" s="227" t="n"/>
      <c r="M2680" s="227" t="n"/>
      <c r="N2680" s="127" t="n"/>
      <c r="O2680" s="227" t="n"/>
      <c r="P2680" s="227" t="n"/>
      <c r="Q2680" s="227" t="n"/>
      <c r="R2680" s="227" t="n"/>
      <c r="S2680" s="227" t="n"/>
      <c r="T2680" s="227" t="n"/>
    </row>
    <row r="2681">
      <c r="A2681" s="145">
        <f>IF($B2681="","",ROW()-5)</f>
        <v/>
      </c>
      <c r="B2681" s="127" t="n"/>
      <c r="C2681" s="223" t="n"/>
      <c r="D2681" s="127" t="n"/>
      <c r="E2681" s="227" t="n"/>
      <c r="F2681" s="227" t="n"/>
      <c r="G2681" s="227" t="n"/>
      <c r="H2681" s="227" t="n"/>
      <c r="I2681" s="227" t="n"/>
      <c r="J2681" s="227" t="n"/>
      <c r="K2681" s="227" t="n"/>
      <c r="L2681" s="227" t="n"/>
      <c r="M2681" s="227" t="n"/>
      <c r="N2681" s="127" t="n"/>
      <c r="O2681" s="227" t="n"/>
      <c r="P2681" s="227" t="n"/>
      <c r="Q2681" s="227" t="n"/>
      <c r="R2681" s="227" t="n"/>
      <c r="S2681" s="227" t="n"/>
      <c r="T2681" s="227" t="n"/>
    </row>
    <row r="2682">
      <c r="A2682" s="145">
        <f>IF($B2682="","",ROW()-5)</f>
        <v/>
      </c>
      <c r="B2682" s="127" t="n"/>
      <c r="C2682" s="223" t="n"/>
      <c r="D2682" s="127" t="n"/>
      <c r="E2682" s="227" t="n"/>
      <c r="F2682" s="227" t="n"/>
      <c r="G2682" s="227" t="n"/>
      <c r="H2682" s="227" t="n"/>
      <c r="I2682" s="227" t="n"/>
      <c r="J2682" s="227" t="n"/>
      <c r="K2682" s="227" t="n"/>
      <c r="L2682" s="227" t="n"/>
      <c r="M2682" s="227" t="n"/>
      <c r="N2682" s="127" t="n"/>
      <c r="O2682" s="227" t="n"/>
      <c r="P2682" s="227" t="n"/>
      <c r="Q2682" s="227" t="n"/>
      <c r="R2682" s="227" t="n"/>
      <c r="S2682" s="227" t="n"/>
      <c r="T2682" s="227" t="n"/>
    </row>
    <row r="2683">
      <c r="A2683" s="145">
        <f>IF($B2683="","",ROW()-5)</f>
        <v/>
      </c>
      <c r="B2683" s="127" t="n"/>
      <c r="C2683" s="223" t="n"/>
      <c r="D2683" s="127" t="n"/>
      <c r="E2683" s="227" t="n"/>
      <c r="F2683" s="227" t="n"/>
      <c r="G2683" s="227" t="n"/>
      <c r="H2683" s="227" t="n"/>
      <c r="I2683" s="227" t="n"/>
      <c r="J2683" s="227" t="n"/>
      <c r="K2683" s="227" t="n"/>
      <c r="L2683" s="227" t="n"/>
      <c r="M2683" s="227" t="n"/>
      <c r="N2683" s="127" t="n"/>
      <c r="O2683" s="227" t="n"/>
      <c r="P2683" s="227" t="n"/>
      <c r="Q2683" s="227" t="n"/>
      <c r="R2683" s="227" t="n"/>
      <c r="S2683" s="227" t="n"/>
      <c r="T2683" s="227" t="n"/>
    </row>
    <row r="2684">
      <c r="A2684" s="145">
        <f>IF($B2684="","",ROW()-5)</f>
        <v/>
      </c>
      <c r="B2684" s="127" t="n"/>
      <c r="C2684" s="223" t="n"/>
      <c r="D2684" s="127" t="n"/>
      <c r="E2684" s="227" t="n"/>
      <c r="F2684" s="227" t="n"/>
      <c r="G2684" s="227" t="n"/>
      <c r="H2684" s="227" t="n"/>
      <c r="I2684" s="227" t="n"/>
      <c r="J2684" s="227" t="n"/>
      <c r="K2684" s="227" t="n"/>
      <c r="L2684" s="227" t="n"/>
      <c r="M2684" s="227" t="n"/>
      <c r="N2684" s="127" t="n"/>
      <c r="O2684" s="227" t="n"/>
      <c r="P2684" s="227" t="n"/>
      <c r="Q2684" s="227" t="n"/>
      <c r="R2684" s="227" t="n"/>
      <c r="S2684" s="227" t="n"/>
      <c r="T2684" s="227" t="n"/>
    </row>
    <row r="2685">
      <c r="A2685" s="145">
        <f>IF($B2685="","",ROW()-5)</f>
        <v/>
      </c>
      <c r="B2685" s="127" t="n"/>
      <c r="C2685" s="223" t="n"/>
      <c r="D2685" s="127" t="n"/>
      <c r="E2685" s="227" t="n"/>
      <c r="F2685" s="227" t="n"/>
      <c r="G2685" s="227" t="n"/>
      <c r="H2685" s="227" t="n"/>
      <c r="I2685" s="227" t="n"/>
      <c r="J2685" s="227" t="n"/>
      <c r="K2685" s="227" t="n"/>
      <c r="L2685" s="227" t="n"/>
      <c r="M2685" s="227" t="n"/>
      <c r="N2685" s="127" t="n"/>
      <c r="O2685" s="227" t="n"/>
      <c r="P2685" s="227" t="n"/>
      <c r="Q2685" s="227" t="n"/>
      <c r="R2685" s="227" t="n"/>
      <c r="S2685" s="227" t="n"/>
      <c r="T2685" s="227" t="n"/>
    </row>
    <row r="2686">
      <c r="A2686" s="145">
        <f>IF($B2686="","",ROW()-5)</f>
        <v/>
      </c>
      <c r="B2686" s="127" t="n"/>
      <c r="C2686" s="223" t="n"/>
      <c r="D2686" s="127" t="n"/>
      <c r="E2686" s="227" t="n"/>
      <c r="F2686" s="227" t="n"/>
      <c r="G2686" s="227" t="n"/>
      <c r="H2686" s="227" t="n"/>
      <c r="I2686" s="227" t="n"/>
      <c r="J2686" s="227" t="n"/>
      <c r="K2686" s="227" t="n"/>
      <c r="L2686" s="227" t="n"/>
      <c r="M2686" s="227" t="n"/>
      <c r="N2686" s="127" t="n"/>
      <c r="O2686" s="227" t="n"/>
      <c r="P2686" s="227" t="n"/>
      <c r="Q2686" s="227" t="n"/>
      <c r="R2686" s="227" t="n"/>
      <c r="S2686" s="227" t="n"/>
      <c r="T2686" s="227" t="n"/>
    </row>
    <row r="2687">
      <c r="A2687" s="145">
        <f>IF($B2687="","",ROW()-5)</f>
        <v/>
      </c>
      <c r="B2687" s="127" t="n"/>
      <c r="C2687" s="223" t="n"/>
      <c r="D2687" s="127" t="n"/>
      <c r="E2687" s="227" t="n"/>
      <c r="F2687" s="227" t="n"/>
      <c r="G2687" s="227" t="n"/>
      <c r="H2687" s="227" t="n"/>
      <c r="I2687" s="227" t="n"/>
      <c r="J2687" s="227" t="n"/>
      <c r="K2687" s="227" t="n"/>
      <c r="L2687" s="227" t="n"/>
      <c r="M2687" s="227" t="n"/>
      <c r="N2687" s="127" t="n"/>
      <c r="O2687" s="227" t="n"/>
      <c r="P2687" s="227" t="n"/>
      <c r="Q2687" s="227" t="n"/>
      <c r="R2687" s="227" t="n"/>
      <c r="S2687" s="227" t="n"/>
      <c r="T2687" s="227" t="n"/>
    </row>
    <row r="2688">
      <c r="A2688" s="145">
        <f>IF($B2688="","",ROW()-5)</f>
        <v/>
      </c>
      <c r="B2688" s="127" t="n"/>
      <c r="C2688" s="223" t="n"/>
      <c r="D2688" s="127" t="n"/>
      <c r="E2688" s="227" t="n"/>
      <c r="F2688" s="227" t="n"/>
      <c r="G2688" s="227" t="n"/>
      <c r="H2688" s="227" t="n"/>
      <c r="I2688" s="227" t="n"/>
      <c r="J2688" s="227" t="n"/>
      <c r="K2688" s="227" t="n"/>
      <c r="L2688" s="227" t="n"/>
      <c r="M2688" s="227" t="n"/>
      <c r="N2688" s="127" t="n"/>
      <c r="O2688" s="227" t="n"/>
      <c r="P2688" s="227" t="n"/>
      <c r="Q2688" s="227" t="n"/>
      <c r="R2688" s="227" t="n"/>
      <c r="S2688" s="227" t="n"/>
      <c r="T2688" s="227" t="n"/>
    </row>
    <row r="2689">
      <c r="A2689" s="145">
        <f>IF($B2689="","",ROW()-5)</f>
        <v/>
      </c>
      <c r="B2689" s="127" t="n"/>
      <c r="C2689" s="223" t="n"/>
      <c r="D2689" s="127" t="n"/>
      <c r="E2689" s="227" t="n"/>
      <c r="F2689" s="227" t="n"/>
      <c r="G2689" s="227" t="n"/>
      <c r="H2689" s="227" t="n"/>
      <c r="I2689" s="227" t="n"/>
      <c r="J2689" s="227" t="n"/>
      <c r="K2689" s="227" t="n"/>
      <c r="L2689" s="227" t="n"/>
      <c r="M2689" s="227" t="n"/>
      <c r="N2689" s="127" t="n"/>
      <c r="O2689" s="227" t="n"/>
      <c r="P2689" s="227" t="n"/>
      <c r="Q2689" s="227" t="n"/>
      <c r="R2689" s="227" t="n"/>
      <c r="S2689" s="227" t="n"/>
      <c r="T2689" s="227" t="n"/>
    </row>
    <row r="2690">
      <c r="A2690" s="145">
        <f>IF($B2690="","",ROW()-5)</f>
        <v/>
      </c>
      <c r="B2690" s="127" t="n"/>
      <c r="C2690" s="223" t="n"/>
      <c r="D2690" s="127" t="n"/>
      <c r="E2690" s="227" t="n"/>
      <c r="F2690" s="227" t="n"/>
      <c r="G2690" s="227" t="n"/>
      <c r="H2690" s="227" t="n"/>
      <c r="I2690" s="227" t="n"/>
      <c r="J2690" s="227" t="n"/>
      <c r="K2690" s="227" t="n"/>
      <c r="L2690" s="227" t="n"/>
      <c r="M2690" s="227" t="n"/>
      <c r="N2690" s="127" t="n"/>
      <c r="O2690" s="227" t="n"/>
      <c r="P2690" s="227" t="n"/>
      <c r="Q2690" s="227" t="n"/>
      <c r="R2690" s="227" t="n"/>
      <c r="S2690" s="227" t="n"/>
      <c r="T2690" s="227" t="n"/>
    </row>
    <row r="2691">
      <c r="A2691" s="145">
        <f>IF($B2691="","",ROW()-5)</f>
        <v/>
      </c>
      <c r="B2691" s="127" t="n"/>
      <c r="C2691" s="223" t="n"/>
      <c r="D2691" s="127" t="n"/>
      <c r="E2691" s="227" t="n"/>
      <c r="F2691" s="227" t="n"/>
      <c r="G2691" s="227" t="n"/>
      <c r="H2691" s="227" t="n"/>
      <c r="I2691" s="227" t="n"/>
      <c r="J2691" s="227" t="n"/>
      <c r="K2691" s="227" t="n"/>
      <c r="L2691" s="227" t="n"/>
      <c r="M2691" s="227" t="n"/>
      <c r="N2691" s="127" t="n"/>
      <c r="O2691" s="227" t="n"/>
      <c r="P2691" s="227" t="n"/>
      <c r="Q2691" s="227" t="n"/>
      <c r="R2691" s="227" t="n"/>
      <c r="S2691" s="227" t="n"/>
      <c r="T2691" s="227" t="n"/>
    </row>
    <row r="2692">
      <c r="A2692" s="145">
        <f>IF($B2692="","",ROW()-5)</f>
        <v/>
      </c>
      <c r="B2692" s="127" t="n"/>
      <c r="C2692" s="223" t="n"/>
      <c r="D2692" s="127" t="n"/>
      <c r="E2692" s="227" t="n"/>
      <c r="F2692" s="227" t="n"/>
      <c r="G2692" s="227" t="n"/>
      <c r="H2692" s="227" t="n"/>
      <c r="I2692" s="227" t="n"/>
      <c r="J2692" s="227" t="n"/>
      <c r="K2692" s="227" t="n"/>
      <c r="L2692" s="227" t="n"/>
      <c r="M2692" s="227" t="n"/>
      <c r="N2692" s="127" t="n"/>
      <c r="O2692" s="227" t="n"/>
      <c r="P2692" s="227" t="n"/>
      <c r="Q2692" s="227" t="n"/>
      <c r="R2692" s="227" t="n"/>
      <c r="S2692" s="227" t="n"/>
      <c r="T2692" s="227" t="n"/>
    </row>
    <row r="2693">
      <c r="A2693" s="145">
        <f>IF($B2693="","",ROW()-5)</f>
        <v/>
      </c>
      <c r="B2693" s="127" t="n"/>
      <c r="C2693" s="223" t="n"/>
      <c r="D2693" s="127" t="n"/>
      <c r="E2693" s="227" t="n"/>
      <c r="F2693" s="227" t="n"/>
      <c r="G2693" s="227" t="n"/>
      <c r="H2693" s="227" t="n"/>
      <c r="I2693" s="227" t="n"/>
      <c r="J2693" s="227" t="n"/>
      <c r="K2693" s="227" t="n"/>
      <c r="L2693" s="227" t="n"/>
      <c r="M2693" s="227" t="n"/>
      <c r="N2693" s="127" t="n"/>
      <c r="O2693" s="227" t="n"/>
      <c r="P2693" s="227" t="n"/>
      <c r="Q2693" s="227" t="n"/>
      <c r="R2693" s="227" t="n"/>
      <c r="S2693" s="227" t="n"/>
      <c r="T2693" s="227" t="n"/>
    </row>
    <row r="2694">
      <c r="A2694" s="145">
        <f>IF($B2694="","",ROW()-5)</f>
        <v/>
      </c>
      <c r="B2694" s="127" t="n"/>
      <c r="C2694" s="223" t="n"/>
      <c r="D2694" s="127" t="n"/>
      <c r="E2694" s="227" t="n"/>
      <c r="F2694" s="227" t="n"/>
      <c r="G2694" s="227" t="n"/>
      <c r="H2694" s="227" t="n"/>
      <c r="I2694" s="227" t="n"/>
      <c r="J2694" s="227" t="n"/>
      <c r="K2694" s="227" t="n"/>
      <c r="L2694" s="227" t="n"/>
      <c r="M2694" s="227" t="n"/>
      <c r="N2694" s="127" t="n"/>
      <c r="O2694" s="227" t="n"/>
      <c r="P2694" s="227" t="n"/>
      <c r="Q2694" s="227" t="n"/>
      <c r="R2694" s="227" t="n"/>
      <c r="S2694" s="227" t="n"/>
      <c r="T2694" s="227" t="n"/>
    </row>
    <row r="2695">
      <c r="A2695" s="145">
        <f>IF($B2695="","",ROW()-5)</f>
        <v/>
      </c>
      <c r="B2695" s="127" t="n"/>
      <c r="C2695" s="223" t="n"/>
      <c r="D2695" s="127" t="n"/>
      <c r="E2695" s="227" t="n"/>
      <c r="F2695" s="227" t="n"/>
      <c r="G2695" s="227" t="n"/>
      <c r="H2695" s="227" t="n"/>
      <c r="I2695" s="227" t="n"/>
      <c r="J2695" s="227" t="n"/>
      <c r="K2695" s="227" t="n"/>
      <c r="L2695" s="227" t="n"/>
      <c r="M2695" s="227" t="n"/>
      <c r="N2695" s="127" t="n"/>
      <c r="O2695" s="227" t="n"/>
      <c r="P2695" s="227" t="n"/>
      <c r="Q2695" s="227" t="n"/>
      <c r="R2695" s="227" t="n"/>
      <c r="S2695" s="227" t="n"/>
      <c r="T2695" s="227" t="n"/>
    </row>
    <row r="2696">
      <c r="A2696" s="145">
        <f>IF($B2696="","",ROW()-5)</f>
        <v/>
      </c>
      <c r="B2696" s="127" t="n"/>
      <c r="C2696" s="223" t="n"/>
      <c r="D2696" s="127" t="n"/>
      <c r="E2696" s="227" t="n"/>
      <c r="F2696" s="227" t="n"/>
      <c r="G2696" s="227" t="n"/>
      <c r="H2696" s="227" t="n"/>
      <c r="I2696" s="227" t="n"/>
      <c r="J2696" s="227" t="n"/>
      <c r="K2696" s="227" t="n"/>
      <c r="L2696" s="227" t="n"/>
      <c r="M2696" s="227" t="n"/>
      <c r="N2696" s="127" t="n"/>
      <c r="O2696" s="227" t="n"/>
      <c r="P2696" s="227" t="n"/>
      <c r="Q2696" s="227" t="n"/>
      <c r="R2696" s="227" t="n"/>
      <c r="S2696" s="227" t="n"/>
      <c r="T2696" s="227" t="n"/>
    </row>
    <row r="2697">
      <c r="A2697" s="145">
        <f>IF($B2697="","",ROW()-5)</f>
        <v/>
      </c>
      <c r="B2697" s="127" t="n"/>
      <c r="C2697" s="223" t="n"/>
      <c r="D2697" s="127" t="n"/>
      <c r="E2697" s="227" t="n"/>
      <c r="F2697" s="227" t="n"/>
      <c r="G2697" s="227" t="n"/>
      <c r="H2697" s="227" t="n"/>
      <c r="I2697" s="227" t="n"/>
      <c r="J2697" s="227" t="n"/>
      <c r="K2697" s="227" t="n"/>
      <c r="L2697" s="227" t="n"/>
      <c r="M2697" s="227" t="n"/>
      <c r="N2697" s="127" t="n"/>
      <c r="O2697" s="227" t="n"/>
      <c r="P2697" s="227" t="n"/>
      <c r="Q2697" s="227" t="n"/>
      <c r="R2697" s="227" t="n"/>
      <c r="S2697" s="227" t="n"/>
      <c r="T2697" s="227" t="n"/>
    </row>
    <row r="2698">
      <c r="A2698" s="145">
        <f>IF($B2698="","",ROW()-5)</f>
        <v/>
      </c>
      <c r="B2698" s="127" t="n"/>
      <c r="C2698" s="223" t="n"/>
      <c r="D2698" s="127" t="n"/>
      <c r="E2698" s="227" t="n"/>
      <c r="F2698" s="227" t="n"/>
      <c r="G2698" s="227" t="n"/>
      <c r="H2698" s="227" t="n"/>
      <c r="I2698" s="227" t="n"/>
      <c r="J2698" s="227" t="n"/>
      <c r="K2698" s="227" t="n"/>
      <c r="L2698" s="227" t="n"/>
      <c r="M2698" s="227" t="n"/>
      <c r="N2698" s="127" t="n"/>
      <c r="O2698" s="227" t="n"/>
      <c r="P2698" s="227" t="n"/>
      <c r="Q2698" s="227" t="n"/>
      <c r="R2698" s="227" t="n"/>
      <c r="S2698" s="227" t="n"/>
      <c r="T2698" s="227" t="n"/>
    </row>
    <row r="2699">
      <c r="A2699" s="145">
        <f>IF($B2699="","",ROW()-5)</f>
        <v/>
      </c>
      <c r="B2699" s="127" t="n"/>
      <c r="C2699" s="223" t="n"/>
      <c r="D2699" s="127" t="n"/>
      <c r="E2699" s="227" t="n"/>
      <c r="F2699" s="227" t="n"/>
      <c r="G2699" s="227" t="n"/>
      <c r="H2699" s="227" t="n"/>
      <c r="I2699" s="227" t="n"/>
      <c r="J2699" s="227" t="n"/>
      <c r="K2699" s="227" t="n"/>
      <c r="L2699" s="227" t="n"/>
      <c r="M2699" s="227" t="n"/>
      <c r="N2699" s="127" t="n"/>
      <c r="O2699" s="227" t="n"/>
      <c r="P2699" s="227" t="n"/>
      <c r="Q2699" s="227" t="n"/>
      <c r="R2699" s="227" t="n"/>
      <c r="S2699" s="227" t="n"/>
      <c r="T2699" s="227" t="n"/>
    </row>
    <row r="2700">
      <c r="A2700" s="145">
        <f>IF($B2700="","",ROW()-5)</f>
        <v/>
      </c>
      <c r="B2700" s="127" t="n"/>
      <c r="C2700" s="223" t="n"/>
      <c r="D2700" s="127" t="n"/>
      <c r="E2700" s="227" t="n"/>
      <c r="F2700" s="227" t="n"/>
      <c r="G2700" s="227" t="n"/>
      <c r="H2700" s="227" t="n"/>
      <c r="I2700" s="227" t="n"/>
      <c r="J2700" s="227" t="n"/>
      <c r="K2700" s="227" t="n"/>
      <c r="L2700" s="227" t="n"/>
      <c r="M2700" s="227" t="n"/>
      <c r="N2700" s="127" t="n"/>
      <c r="O2700" s="227" t="n"/>
      <c r="P2700" s="227" t="n"/>
      <c r="Q2700" s="227" t="n"/>
      <c r="R2700" s="227" t="n"/>
      <c r="S2700" s="227" t="n"/>
      <c r="T2700" s="227" t="n"/>
    </row>
    <row r="2701">
      <c r="A2701" s="145">
        <f>IF($B2701="","",ROW()-5)</f>
        <v/>
      </c>
      <c r="B2701" s="127" t="n"/>
      <c r="C2701" s="223" t="n"/>
      <c r="D2701" s="127" t="n"/>
      <c r="E2701" s="227" t="n"/>
      <c r="F2701" s="227" t="n"/>
      <c r="G2701" s="227" t="n"/>
      <c r="H2701" s="227" t="n"/>
      <c r="I2701" s="227" t="n"/>
      <c r="J2701" s="227" t="n"/>
      <c r="K2701" s="227" t="n"/>
      <c r="L2701" s="227" t="n"/>
      <c r="M2701" s="227" t="n"/>
      <c r="N2701" s="127" t="n"/>
      <c r="O2701" s="227" t="n"/>
      <c r="P2701" s="227" t="n"/>
      <c r="Q2701" s="227" t="n"/>
      <c r="R2701" s="227" t="n"/>
      <c r="S2701" s="227" t="n"/>
      <c r="T2701" s="227" t="n"/>
    </row>
    <row r="2702">
      <c r="A2702" s="145">
        <f>IF($B2702="","",ROW()-5)</f>
        <v/>
      </c>
      <c r="B2702" s="127" t="n"/>
      <c r="C2702" s="223" t="n"/>
      <c r="D2702" s="127" t="n"/>
      <c r="E2702" s="227" t="n"/>
      <c r="F2702" s="227" t="n"/>
      <c r="G2702" s="227" t="n"/>
      <c r="H2702" s="227" t="n"/>
      <c r="I2702" s="227" t="n"/>
      <c r="J2702" s="227" t="n"/>
      <c r="K2702" s="227" t="n"/>
      <c r="L2702" s="227" t="n"/>
      <c r="M2702" s="227" t="n"/>
      <c r="N2702" s="127" t="n"/>
      <c r="O2702" s="227" t="n"/>
      <c r="P2702" s="227" t="n"/>
      <c r="Q2702" s="227" t="n"/>
      <c r="R2702" s="227" t="n"/>
      <c r="S2702" s="227" t="n"/>
      <c r="T2702" s="227" t="n"/>
    </row>
    <row r="2703">
      <c r="A2703" s="145">
        <f>IF($B2703="","",ROW()-5)</f>
        <v/>
      </c>
      <c r="B2703" s="127" t="n"/>
      <c r="C2703" s="223" t="n"/>
      <c r="D2703" s="127" t="n"/>
      <c r="E2703" s="227" t="n"/>
      <c r="F2703" s="227" t="n"/>
      <c r="G2703" s="227" t="n"/>
      <c r="H2703" s="227" t="n"/>
      <c r="I2703" s="227" t="n"/>
      <c r="J2703" s="227" t="n"/>
      <c r="K2703" s="227" t="n"/>
      <c r="L2703" s="227" t="n"/>
      <c r="M2703" s="227" t="n"/>
      <c r="N2703" s="127" t="n"/>
      <c r="O2703" s="227" t="n"/>
      <c r="P2703" s="227" t="n"/>
      <c r="Q2703" s="227" t="n"/>
      <c r="R2703" s="227" t="n"/>
      <c r="S2703" s="227" t="n"/>
      <c r="T2703" s="227" t="n"/>
    </row>
    <row r="2704">
      <c r="A2704" s="145">
        <f>IF($B2704="","",ROW()-5)</f>
        <v/>
      </c>
      <c r="B2704" s="127" t="n"/>
      <c r="C2704" s="223" t="n"/>
      <c r="D2704" s="127" t="n"/>
      <c r="E2704" s="227" t="n"/>
      <c r="F2704" s="227" t="n"/>
      <c r="G2704" s="227" t="n"/>
      <c r="H2704" s="227" t="n"/>
      <c r="I2704" s="227" t="n"/>
      <c r="J2704" s="227" t="n"/>
      <c r="K2704" s="227" t="n"/>
      <c r="L2704" s="227" t="n"/>
      <c r="M2704" s="227" t="n"/>
      <c r="N2704" s="127" t="n"/>
      <c r="O2704" s="227" t="n"/>
      <c r="P2704" s="227" t="n"/>
      <c r="Q2704" s="227" t="n"/>
      <c r="R2704" s="227" t="n"/>
      <c r="S2704" s="227" t="n"/>
      <c r="T2704" s="227" t="n"/>
    </row>
    <row r="2705">
      <c r="A2705" s="145">
        <f>IF($B2705="","",ROW()-5)</f>
        <v/>
      </c>
      <c r="B2705" s="127" t="n"/>
      <c r="C2705" s="223" t="n"/>
      <c r="D2705" s="127" t="n"/>
      <c r="E2705" s="227" t="n"/>
      <c r="F2705" s="227" t="n"/>
      <c r="G2705" s="227" t="n"/>
      <c r="H2705" s="227" t="n"/>
      <c r="I2705" s="227" t="n"/>
      <c r="J2705" s="227" t="n"/>
      <c r="K2705" s="227" t="n"/>
      <c r="L2705" s="227" t="n"/>
      <c r="M2705" s="227" t="n"/>
      <c r="N2705" s="127" t="n"/>
      <c r="O2705" s="227" t="n"/>
      <c r="P2705" s="227" t="n"/>
      <c r="Q2705" s="227" t="n"/>
      <c r="R2705" s="227" t="n"/>
      <c r="S2705" s="227" t="n"/>
      <c r="T2705" s="227" t="n"/>
    </row>
    <row r="2706">
      <c r="A2706" s="145">
        <f>IF($B2706="","",ROW()-5)</f>
        <v/>
      </c>
      <c r="B2706" s="127" t="n"/>
      <c r="C2706" s="223" t="n"/>
      <c r="D2706" s="127" t="n"/>
      <c r="E2706" s="227" t="n"/>
      <c r="F2706" s="227" t="n"/>
      <c r="G2706" s="227" t="n"/>
      <c r="H2706" s="227" t="n"/>
      <c r="I2706" s="227" t="n"/>
      <c r="J2706" s="227" t="n"/>
      <c r="K2706" s="227" t="n"/>
      <c r="L2706" s="227" t="n"/>
      <c r="M2706" s="227" t="n"/>
      <c r="N2706" s="127" t="n"/>
      <c r="O2706" s="227" t="n"/>
      <c r="P2706" s="227" t="n"/>
      <c r="Q2706" s="227" t="n"/>
      <c r="R2706" s="227" t="n"/>
      <c r="S2706" s="227" t="n"/>
      <c r="T2706" s="227" t="n"/>
    </row>
    <row r="2707">
      <c r="A2707" s="145">
        <f>IF($B2707="","",ROW()-5)</f>
        <v/>
      </c>
      <c r="B2707" s="127" t="n"/>
      <c r="C2707" s="223" t="n"/>
      <c r="D2707" s="127" t="n"/>
      <c r="E2707" s="227" t="n"/>
      <c r="F2707" s="227" t="n"/>
      <c r="G2707" s="227" t="n"/>
      <c r="H2707" s="227" t="n"/>
      <c r="I2707" s="227" t="n"/>
      <c r="J2707" s="227" t="n"/>
      <c r="K2707" s="227" t="n"/>
      <c r="L2707" s="227" t="n"/>
      <c r="M2707" s="227" t="n"/>
      <c r="N2707" s="127" t="n"/>
      <c r="O2707" s="227" t="n"/>
      <c r="P2707" s="227" t="n"/>
      <c r="Q2707" s="227" t="n"/>
      <c r="R2707" s="227" t="n"/>
      <c r="S2707" s="227" t="n"/>
      <c r="T2707" s="227" t="n"/>
    </row>
    <row r="2708">
      <c r="A2708" s="145">
        <f>IF($B2708="","",ROW()-5)</f>
        <v/>
      </c>
      <c r="B2708" s="127" t="n"/>
      <c r="C2708" s="223" t="n"/>
      <c r="D2708" s="127" t="n"/>
      <c r="E2708" s="227" t="n"/>
      <c r="F2708" s="227" t="n"/>
      <c r="G2708" s="227" t="n"/>
      <c r="H2708" s="227" t="n"/>
      <c r="I2708" s="227" t="n"/>
      <c r="J2708" s="227" t="n"/>
      <c r="K2708" s="227" t="n"/>
      <c r="L2708" s="227" t="n"/>
      <c r="M2708" s="227" t="n"/>
      <c r="N2708" s="127" t="n"/>
      <c r="O2708" s="227" t="n"/>
      <c r="P2708" s="227" t="n"/>
      <c r="Q2708" s="227" t="n"/>
      <c r="R2708" s="227" t="n"/>
      <c r="S2708" s="227" t="n"/>
      <c r="T2708" s="227" t="n"/>
    </row>
    <row r="2709">
      <c r="A2709" s="145">
        <f>IF($B2709="","",ROW()-5)</f>
        <v/>
      </c>
      <c r="B2709" s="127" t="n"/>
      <c r="C2709" s="223" t="n"/>
      <c r="D2709" s="127" t="n"/>
      <c r="E2709" s="227" t="n"/>
      <c r="F2709" s="227" t="n"/>
      <c r="G2709" s="227" t="n"/>
      <c r="H2709" s="227" t="n"/>
      <c r="I2709" s="227" t="n"/>
      <c r="J2709" s="227" t="n"/>
      <c r="K2709" s="227" t="n"/>
      <c r="L2709" s="227" t="n"/>
      <c r="M2709" s="227" t="n"/>
      <c r="N2709" s="127" t="n"/>
      <c r="O2709" s="227" t="n"/>
      <c r="P2709" s="227" t="n"/>
      <c r="Q2709" s="227" t="n"/>
      <c r="R2709" s="227" t="n"/>
      <c r="S2709" s="227" t="n"/>
      <c r="T2709" s="227" t="n"/>
    </row>
    <row r="2710">
      <c r="A2710" s="145">
        <f>IF($B2710="","",ROW()-5)</f>
        <v/>
      </c>
      <c r="B2710" s="127" t="n"/>
      <c r="C2710" s="223" t="n"/>
      <c r="D2710" s="127" t="n"/>
      <c r="E2710" s="227" t="n"/>
      <c r="F2710" s="227" t="n"/>
      <c r="G2710" s="227" t="n"/>
      <c r="H2710" s="227" t="n"/>
      <c r="I2710" s="227" t="n"/>
      <c r="J2710" s="227" t="n"/>
      <c r="K2710" s="227" t="n"/>
      <c r="L2710" s="227" t="n"/>
      <c r="M2710" s="227" t="n"/>
      <c r="N2710" s="127" t="n"/>
      <c r="O2710" s="227" t="n"/>
      <c r="P2710" s="227" t="n"/>
      <c r="Q2710" s="227" t="n"/>
      <c r="R2710" s="227" t="n"/>
      <c r="S2710" s="227" t="n"/>
      <c r="T2710" s="227" t="n"/>
    </row>
    <row r="2711">
      <c r="A2711" s="145">
        <f>IF($B2711="","",ROW()-5)</f>
        <v/>
      </c>
      <c r="B2711" s="127" t="n"/>
      <c r="C2711" s="223" t="n"/>
      <c r="D2711" s="127" t="n"/>
      <c r="E2711" s="227" t="n"/>
      <c r="F2711" s="227" t="n"/>
      <c r="G2711" s="227" t="n"/>
      <c r="H2711" s="227" t="n"/>
      <c r="I2711" s="227" t="n"/>
      <c r="J2711" s="227" t="n"/>
      <c r="K2711" s="227" t="n"/>
      <c r="L2711" s="227" t="n"/>
      <c r="M2711" s="227" t="n"/>
      <c r="N2711" s="127" t="n"/>
      <c r="O2711" s="227" t="n"/>
      <c r="P2711" s="227" t="n"/>
      <c r="Q2711" s="227" t="n"/>
      <c r="R2711" s="227" t="n"/>
      <c r="S2711" s="227" t="n"/>
      <c r="T2711" s="227" t="n"/>
    </row>
    <row r="2712">
      <c r="A2712" s="145">
        <f>IF($B2712="","",ROW()-5)</f>
        <v/>
      </c>
      <c r="B2712" s="127" t="n"/>
      <c r="C2712" s="223" t="n"/>
      <c r="D2712" s="127" t="n"/>
      <c r="E2712" s="227" t="n"/>
      <c r="F2712" s="227" t="n"/>
      <c r="G2712" s="227" t="n"/>
      <c r="H2712" s="227" t="n"/>
      <c r="I2712" s="227" t="n"/>
      <c r="J2712" s="227" t="n"/>
      <c r="K2712" s="227" t="n"/>
      <c r="L2712" s="227" t="n"/>
      <c r="M2712" s="227" t="n"/>
      <c r="N2712" s="127" t="n"/>
      <c r="O2712" s="227" t="n"/>
      <c r="P2712" s="227" t="n"/>
      <c r="Q2712" s="227" t="n"/>
      <c r="R2712" s="227" t="n"/>
      <c r="S2712" s="227" t="n"/>
      <c r="T2712" s="227" t="n"/>
    </row>
    <row r="2713">
      <c r="A2713" s="145">
        <f>IF($B2713="","",ROW()-5)</f>
        <v/>
      </c>
      <c r="B2713" s="127" t="n"/>
      <c r="C2713" s="223" t="n"/>
      <c r="D2713" s="127" t="n"/>
      <c r="E2713" s="227" t="n"/>
      <c r="F2713" s="227" t="n"/>
      <c r="G2713" s="227" t="n"/>
      <c r="H2713" s="227" t="n"/>
      <c r="I2713" s="227" t="n"/>
      <c r="J2713" s="227" t="n"/>
      <c r="K2713" s="227" t="n"/>
      <c r="L2713" s="227" t="n"/>
      <c r="M2713" s="227" t="n"/>
      <c r="N2713" s="127" t="n"/>
      <c r="O2713" s="227" t="n"/>
      <c r="P2713" s="227" t="n"/>
      <c r="Q2713" s="227" t="n"/>
      <c r="R2713" s="227" t="n"/>
      <c r="S2713" s="227" t="n"/>
      <c r="T2713" s="227" t="n"/>
    </row>
    <row r="2714">
      <c r="A2714" s="145">
        <f>IF($B2714="","",ROW()-5)</f>
        <v/>
      </c>
      <c r="B2714" s="127" t="n"/>
      <c r="C2714" s="223" t="n"/>
      <c r="D2714" s="127" t="n"/>
      <c r="E2714" s="227" t="n"/>
      <c r="F2714" s="227" t="n"/>
      <c r="G2714" s="227" t="n"/>
      <c r="H2714" s="227" t="n"/>
      <c r="I2714" s="227" t="n"/>
      <c r="J2714" s="227" t="n"/>
      <c r="K2714" s="227" t="n"/>
      <c r="L2714" s="227" t="n"/>
      <c r="M2714" s="227" t="n"/>
      <c r="N2714" s="127" t="n"/>
      <c r="O2714" s="227" t="n"/>
      <c r="P2714" s="227" t="n"/>
      <c r="Q2714" s="227" t="n"/>
      <c r="R2714" s="227" t="n"/>
      <c r="S2714" s="227" t="n"/>
      <c r="T2714" s="227" t="n"/>
    </row>
    <row r="2715">
      <c r="A2715" s="145">
        <f>IF($B2715="","",ROW()-5)</f>
        <v/>
      </c>
      <c r="B2715" s="127" t="n"/>
      <c r="C2715" s="223" t="n"/>
      <c r="D2715" s="127" t="n"/>
      <c r="E2715" s="227" t="n"/>
      <c r="F2715" s="227" t="n"/>
      <c r="G2715" s="227" t="n"/>
      <c r="H2715" s="227" t="n"/>
      <c r="I2715" s="227" t="n"/>
      <c r="J2715" s="227" t="n"/>
      <c r="K2715" s="227" t="n"/>
      <c r="L2715" s="227" t="n"/>
      <c r="M2715" s="227" t="n"/>
      <c r="N2715" s="127" t="n"/>
      <c r="O2715" s="227" t="n"/>
      <c r="P2715" s="227" t="n"/>
      <c r="Q2715" s="227" t="n"/>
      <c r="R2715" s="227" t="n"/>
      <c r="S2715" s="227" t="n"/>
      <c r="T2715" s="227" t="n"/>
    </row>
    <row r="2716">
      <c r="A2716" s="145">
        <f>IF($B2716="","",ROW()-5)</f>
        <v/>
      </c>
      <c r="B2716" s="127" t="n"/>
      <c r="C2716" s="223" t="n"/>
      <c r="D2716" s="127" t="n"/>
      <c r="E2716" s="227" t="n"/>
      <c r="F2716" s="227" t="n"/>
      <c r="G2716" s="227" t="n"/>
      <c r="H2716" s="227" t="n"/>
      <c r="I2716" s="227" t="n"/>
      <c r="J2716" s="227" t="n"/>
      <c r="K2716" s="227" t="n"/>
      <c r="L2716" s="227" t="n"/>
      <c r="M2716" s="227" t="n"/>
      <c r="N2716" s="127" t="n"/>
      <c r="O2716" s="227" t="n"/>
      <c r="P2716" s="227" t="n"/>
      <c r="Q2716" s="227" t="n"/>
      <c r="R2716" s="227" t="n"/>
      <c r="S2716" s="227" t="n"/>
      <c r="T2716" s="227" t="n"/>
    </row>
    <row r="2717">
      <c r="A2717" s="145">
        <f>IF($B2717="","",ROW()-5)</f>
        <v/>
      </c>
      <c r="B2717" s="127" t="n"/>
      <c r="C2717" s="223" t="n"/>
      <c r="D2717" s="127" t="n"/>
      <c r="E2717" s="227" t="n"/>
      <c r="F2717" s="227" t="n"/>
      <c r="G2717" s="227" t="n"/>
      <c r="H2717" s="227" t="n"/>
      <c r="I2717" s="227" t="n"/>
      <c r="J2717" s="227" t="n"/>
      <c r="K2717" s="227" t="n"/>
      <c r="L2717" s="227" t="n"/>
      <c r="M2717" s="227" t="n"/>
      <c r="N2717" s="127" t="n"/>
      <c r="O2717" s="227" t="n"/>
      <c r="P2717" s="227" t="n"/>
      <c r="Q2717" s="227" t="n"/>
      <c r="R2717" s="227" t="n"/>
      <c r="S2717" s="227" t="n"/>
      <c r="T2717" s="227" t="n"/>
    </row>
    <row r="2718">
      <c r="A2718" s="145">
        <f>IF($B2718="","",ROW()-5)</f>
        <v/>
      </c>
      <c r="B2718" s="127" t="n"/>
      <c r="C2718" s="223" t="n"/>
      <c r="D2718" s="127" t="n"/>
      <c r="E2718" s="227" t="n"/>
      <c r="F2718" s="227" t="n"/>
      <c r="G2718" s="227" t="n"/>
      <c r="H2718" s="227" t="n"/>
      <c r="I2718" s="227" t="n"/>
      <c r="J2718" s="227" t="n"/>
      <c r="K2718" s="227" t="n"/>
      <c r="L2718" s="227" t="n"/>
      <c r="M2718" s="227" t="n"/>
      <c r="N2718" s="127" t="n"/>
      <c r="O2718" s="227" t="n"/>
      <c r="P2718" s="227" t="n"/>
      <c r="Q2718" s="227" t="n"/>
      <c r="R2718" s="227" t="n"/>
      <c r="S2718" s="227" t="n"/>
      <c r="T2718" s="227" t="n"/>
    </row>
    <row r="2719">
      <c r="A2719" s="145">
        <f>IF($B2719="","",ROW()-5)</f>
        <v/>
      </c>
      <c r="B2719" s="127" t="n"/>
      <c r="C2719" s="223" t="n"/>
      <c r="D2719" s="127" t="n"/>
      <c r="E2719" s="227" t="n"/>
      <c r="F2719" s="227" t="n"/>
      <c r="G2719" s="227" t="n"/>
      <c r="H2719" s="227" t="n"/>
      <c r="I2719" s="227" t="n"/>
      <c r="J2719" s="227" t="n"/>
      <c r="K2719" s="227" t="n"/>
      <c r="L2719" s="227" t="n"/>
      <c r="M2719" s="227" t="n"/>
      <c r="N2719" s="127" t="n"/>
      <c r="O2719" s="227" t="n"/>
      <c r="P2719" s="227" t="n"/>
      <c r="Q2719" s="227" t="n"/>
      <c r="R2719" s="227" t="n"/>
      <c r="S2719" s="227" t="n"/>
      <c r="T2719" s="227" t="n"/>
    </row>
    <row r="2720">
      <c r="A2720" s="145">
        <f>IF($B2720="","",ROW()-5)</f>
        <v/>
      </c>
      <c r="B2720" s="127" t="n"/>
      <c r="C2720" s="223" t="n"/>
      <c r="D2720" s="127" t="n"/>
      <c r="E2720" s="227" t="n"/>
      <c r="F2720" s="227" t="n"/>
      <c r="G2720" s="227" t="n"/>
      <c r="H2720" s="227" t="n"/>
      <c r="I2720" s="227" t="n"/>
      <c r="J2720" s="227" t="n"/>
      <c r="K2720" s="227" t="n"/>
      <c r="L2720" s="227" t="n"/>
      <c r="M2720" s="227" t="n"/>
      <c r="N2720" s="127" t="n"/>
      <c r="O2720" s="227" t="n"/>
      <c r="P2720" s="227" t="n"/>
      <c r="Q2720" s="227" t="n"/>
      <c r="R2720" s="227" t="n"/>
      <c r="S2720" s="227" t="n"/>
      <c r="T2720" s="227" t="n"/>
    </row>
    <row r="2721">
      <c r="A2721" s="145">
        <f>IF($B2721="","",ROW()-5)</f>
        <v/>
      </c>
      <c r="B2721" s="127" t="n"/>
      <c r="C2721" s="223" t="n"/>
      <c r="D2721" s="127" t="n"/>
      <c r="E2721" s="227" t="n"/>
      <c r="F2721" s="227" t="n"/>
      <c r="G2721" s="227" t="n"/>
      <c r="H2721" s="227" t="n"/>
      <c r="I2721" s="227" t="n"/>
      <c r="J2721" s="227" t="n"/>
      <c r="K2721" s="227" t="n"/>
      <c r="L2721" s="227" t="n"/>
      <c r="M2721" s="227" t="n"/>
      <c r="N2721" s="127" t="n"/>
      <c r="O2721" s="227" t="n"/>
      <c r="P2721" s="227" t="n"/>
      <c r="Q2721" s="227" t="n"/>
      <c r="R2721" s="227" t="n"/>
      <c r="S2721" s="227" t="n"/>
      <c r="T2721" s="227" t="n"/>
    </row>
    <row r="2722">
      <c r="A2722" s="145">
        <f>IF($B2722="","",ROW()-5)</f>
        <v/>
      </c>
      <c r="B2722" s="127" t="n"/>
      <c r="C2722" s="223" t="n"/>
      <c r="D2722" s="127" t="n"/>
      <c r="E2722" s="227" t="n"/>
      <c r="F2722" s="227" t="n"/>
      <c r="G2722" s="227" t="n"/>
      <c r="H2722" s="227" t="n"/>
      <c r="I2722" s="227" t="n"/>
      <c r="J2722" s="227" t="n"/>
      <c r="K2722" s="227" t="n"/>
      <c r="L2722" s="227" t="n"/>
      <c r="M2722" s="227" t="n"/>
      <c r="N2722" s="127" t="n"/>
      <c r="O2722" s="227" t="n"/>
      <c r="P2722" s="227" t="n"/>
      <c r="Q2722" s="227" t="n"/>
      <c r="R2722" s="227" t="n"/>
      <c r="S2722" s="227" t="n"/>
      <c r="T2722" s="227" t="n"/>
    </row>
    <row r="2723">
      <c r="A2723" s="145">
        <f>IF($B2723="","",ROW()-5)</f>
        <v/>
      </c>
      <c r="B2723" s="127" t="n"/>
      <c r="C2723" s="223" t="n"/>
      <c r="D2723" s="127" t="n"/>
      <c r="E2723" s="227" t="n"/>
      <c r="F2723" s="227" t="n"/>
      <c r="G2723" s="227" t="n"/>
      <c r="H2723" s="227" t="n"/>
      <c r="I2723" s="227" t="n"/>
      <c r="J2723" s="227" t="n"/>
      <c r="K2723" s="227" t="n"/>
      <c r="L2723" s="227" t="n"/>
      <c r="M2723" s="227" t="n"/>
      <c r="N2723" s="127" t="n"/>
      <c r="O2723" s="227" t="n"/>
      <c r="P2723" s="227" t="n"/>
      <c r="Q2723" s="227" t="n"/>
      <c r="R2723" s="227" t="n"/>
      <c r="S2723" s="227" t="n"/>
      <c r="T2723" s="227" t="n"/>
    </row>
    <row r="2724">
      <c r="A2724" s="145">
        <f>IF($B2724="","",ROW()-5)</f>
        <v/>
      </c>
      <c r="B2724" s="127" t="n"/>
      <c r="C2724" s="223" t="n"/>
      <c r="D2724" s="127" t="n"/>
      <c r="E2724" s="227" t="n"/>
      <c r="F2724" s="227" t="n"/>
      <c r="G2724" s="227" t="n"/>
      <c r="H2724" s="227" t="n"/>
      <c r="I2724" s="227" t="n"/>
      <c r="J2724" s="227" t="n"/>
      <c r="K2724" s="227" t="n"/>
      <c r="L2724" s="227" t="n"/>
      <c r="M2724" s="227" t="n"/>
      <c r="N2724" s="127" t="n"/>
      <c r="O2724" s="227" t="n"/>
      <c r="P2724" s="227" t="n"/>
      <c r="Q2724" s="227" t="n"/>
      <c r="R2724" s="227" t="n"/>
      <c r="S2724" s="227" t="n"/>
      <c r="T2724" s="227" t="n"/>
    </row>
    <row r="2725">
      <c r="A2725" s="145">
        <f>IF($B2725="","",ROW()-5)</f>
        <v/>
      </c>
      <c r="B2725" s="127" t="n"/>
      <c r="C2725" s="223" t="n"/>
      <c r="D2725" s="127" t="n"/>
      <c r="E2725" s="227" t="n"/>
      <c r="F2725" s="227" t="n"/>
      <c r="G2725" s="227" t="n"/>
      <c r="H2725" s="227" t="n"/>
      <c r="I2725" s="227" t="n"/>
      <c r="J2725" s="227" t="n"/>
      <c r="K2725" s="227" t="n"/>
      <c r="L2725" s="227" t="n"/>
      <c r="M2725" s="227" t="n"/>
      <c r="N2725" s="127" t="n"/>
      <c r="O2725" s="227" t="n"/>
      <c r="P2725" s="227" t="n"/>
      <c r="Q2725" s="227" t="n"/>
      <c r="R2725" s="227" t="n"/>
      <c r="S2725" s="227" t="n"/>
      <c r="T2725" s="227" t="n"/>
    </row>
    <row r="2726">
      <c r="A2726" s="145">
        <f>IF($B2726="","",ROW()-5)</f>
        <v/>
      </c>
      <c r="B2726" s="127" t="n"/>
      <c r="C2726" s="223" t="n"/>
      <c r="D2726" s="127" t="n"/>
      <c r="E2726" s="227" t="n"/>
      <c r="F2726" s="227" t="n"/>
      <c r="G2726" s="227" t="n"/>
      <c r="H2726" s="227" t="n"/>
      <c r="I2726" s="227" t="n"/>
      <c r="J2726" s="227" t="n"/>
      <c r="K2726" s="227" t="n"/>
      <c r="L2726" s="227" t="n"/>
      <c r="M2726" s="227" t="n"/>
      <c r="N2726" s="127" t="n"/>
      <c r="O2726" s="227" t="n"/>
      <c r="P2726" s="227" t="n"/>
      <c r="Q2726" s="227" t="n"/>
      <c r="R2726" s="227" t="n"/>
      <c r="S2726" s="227" t="n"/>
      <c r="T2726" s="227" t="n"/>
    </row>
    <row r="2727">
      <c r="A2727" s="145">
        <f>IF($B2727="","",ROW()-5)</f>
        <v/>
      </c>
      <c r="B2727" s="127" t="n"/>
      <c r="C2727" s="223" t="n"/>
      <c r="D2727" s="127" t="n"/>
      <c r="E2727" s="227" t="n"/>
      <c r="F2727" s="227" t="n"/>
      <c r="G2727" s="227" t="n"/>
      <c r="H2727" s="227" t="n"/>
      <c r="I2727" s="227" t="n"/>
      <c r="J2727" s="227" t="n"/>
      <c r="K2727" s="227" t="n"/>
      <c r="L2727" s="227" t="n"/>
      <c r="M2727" s="227" t="n"/>
      <c r="N2727" s="127" t="n"/>
      <c r="O2727" s="227" t="n"/>
      <c r="P2727" s="227" t="n"/>
      <c r="Q2727" s="227" t="n"/>
      <c r="R2727" s="227" t="n"/>
      <c r="S2727" s="227" t="n"/>
      <c r="T2727" s="227" t="n"/>
    </row>
    <row r="2728">
      <c r="A2728" s="145">
        <f>IF($B2728="","",ROW()-5)</f>
        <v/>
      </c>
      <c r="B2728" s="127" t="n"/>
      <c r="C2728" s="223" t="n"/>
      <c r="D2728" s="127" t="n"/>
      <c r="E2728" s="227" t="n"/>
      <c r="F2728" s="227" t="n"/>
      <c r="G2728" s="227" t="n"/>
      <c r="H2728" s="227" t="n"/>
      <c r="I2728" s="227" t="n"/>
      <c r="J2728" s="227" t="n"/>
      <c r="K2728" s="227" t="n"/>
      <c r="L2728" s="227" t="n"/>
      <c r="M2728" s="227" t="n"/>
      <c r="N2728" s="127" t="n"/>
      <c r="O2728" s="227" t="n"/>
      <c r="P2728" s="227" t="n"/>
      <c r="Q2728" s="227" t="n"/>
      <c r="R2728" s="227" t="n"/>
      <c r="S2728" s="227" t="n"/>
      <c r="T2728" s="227" t="n"/>
    </row>
    <row r="2729">
      <c r="A2729" s="145">
        <f>IF($B2729="","",ROW()-5)</f>
        <v/>
      </c>
      <c r="B2729" s="127" t="n"/>
      <c r="C2729" s="223" t="n"/>
      <c r="D2729" s="127" t="n"/>
      <c r="E2729" s="227" t="n"/>
      <c r="F2729" s="227" t="n"/>
      <c r="G2729" s="227" t="n"/>
      <c r="H2729" s="227" t="n"/>
      <c r="I2729" s="227" t="n"/>
      <c r="J2729" s="227" t="n"/>
      <c r="K2729" s="227" t="n"/>
      <c r="L2729" s="227" t="n"/>
      <c r="M2729" s="227" t="n"/>
      <c r="N2729" s="127" t="n"/>
      <c r="O2729" s="227" t="n"/>
      <c r="P2729" s="227" t="n"/>
      <c r="Q2729" s="227" t="n"/>
      <c r="R2729" s="227" t="n"/>
      <c r="S2729" s="227" t="n"/>
      <c r="T2729" s="227" t="n"/>
    </row>
    <row r="2730">
      <c r="A2730" s="145">
        <f>IF($B2730="","",ROW()-5)</f>
        <v/>
      </c>
      <c r="B2730" s="127" t="n"/>
      <c r="C2730" s="223" t="n"/>
      <c r="D2730" s="127" t="n"/>
      <c r="E2730" s="227" t="n"/>
      <c r="F2730" s="227" t="n"/>
      <c r="G2730" s="227" t="n"/>
      <c r="H2730" s="227" t="n"/>
      <c r="I2730" s="227" t="n"/>
      <c r="J2730" s="227" t="n"/>
      <c r="K2730" s="227" t="n"/>
      <c r="L2730" s="227" t="n"/>
      <c r="M2730" s="227" t="n"/>
      <c r="N2730" s="127" t="n"/>
      <c r="O2730" s="227" t="n"/>
      <c r="P2730" s="227" t="n"/>
      <c r="Q2730" s="227" t="n"/>
      <c r="R2730" s="227" t="n"/>
      <c r="S2730" s="227" t="n"/>
      <c r="T2730" s="227" t="n"/>
    </row>
    <row r="2731">
      <c r="A2731" s="145">
        <f>IF($B2731="","",ROW()-5)</f>
        <v/>
      </c>
      <c r="B2731" s="127" t="n"/>
      <c r="C2731" s="223" t="n"/>
      <c r="D2731" s="127" t="n"/>
      <c r="E2731" s="227" t="n"/>
      <c r="F2731" s="227" t="n"/>
      <c r="G2731" s="227" t="n"/>
      <c r="H2731" s="227" t="n"/>
      <c r="I2731" s="227" t="n"/>
      <c r="J2731" s="227" t="n"/>
      <c r="K2731" s="227" t="n"/>
      <c r="L2731" s="227" t="n"/>
      <c r="M2731" s="227" t="n"/>
      <c r="N2731" s="127" t="n"/>
      <c r="O2731" s="227" t="n"/>
      <c r="P2731" s="227" t="n"/>
      <c r="Q2731" s="227" t="n"/>
      <c r="R2731" s="227" t="n"/>
      <c r="S2731" s="227" t="n"/>
      <c r="T2731" s="227" t="n"/>
    </row>
    <row r="2732">
      <c r="A2732" s="145">
        <f>IF($B2732="","",ROW()-5)</f>
        <v/>
      </c>
      <c r="B2732" s="127" t="n"/>
      <c r="C2732" s="223" t="n"/>
      <c r="D2732" s="127" t="n"/>
      <c r="E2732" s="227" t="n"/>
      <c r="F2732" s="227" t="n"/>
      <c r="G2732" s="227" t="n"/>
      <c r="H2732" s="227" t="n"/>
      <c r="I2732" s="227" t="n"/>
      <c r="J2732" s="227" t="n"/>
      <c r="K2732" s="227" t="n"/>
      <c r="L2732" s="227" t="n"/>
      <c r="M2732" s="227" t="n"/>
      <c r="N2732" s="127" t="n"/>
      <c r="O2732" s="227" t="n"/>
      <c r="P2732" s="227" t="n"/>
      <c r="Q2732" s="227" t="n"/>
      <c r="R2732" s="227" t="n"/>
      <c r="S2732" s="227" t="n"/>
      <c r="T2732" s="227" t="n"/>
    </row>
    <row r="2733">
      <c r="A2733" s="145">
        <f>IF($B2733="","",ROW()-5)</f>
        <v/>
      </c>
      <c r="B2733" s="127" t="n"/>
      <c r="C2733" s="223" t="n"/>
      <c r="D2733" s="127" t="n"/>
      <c r="E2733" s="227" t="n"/>
      <c r="F2733" s="227" t="n"/>
      <c r="G2733" s="227" t="n"/>
      <c r="H2733" s="227" t="n"/>
      <c r="I2733" s="227" t="n"/>
      <c r="J2733" s="227" t="n"/>
      <c r="K2733" s="227" t="n"/>
      <c r="L2733" s="227" t="n"/>
      <c r="M2733" s="227" t="n"/>
      <c r="N2733" s="127" t="n"/>
      <c r="O2733" s="227" t="n"/>
      <c r="P2733" s="227" t="n"/>
      <c r="Q2733" s="227" t="n"/>
      <c r="R2733" s="227" t="n"/>
      <c r="S2733" s="227" t="n"/>
      <c r="T2733" s="227" t="n"/>
    </row>
    <row r="2734">
      <c r="A2734" s="145">
        <f>IF($B2734="","",ROW()-5)</f>
        <v/>
      </c>
      <c r="B2734" s="127" t="n"/>
      <c r="C2734" s="223" t="n"/>
      <c r="D2734" s="127" t="n"/>
      <c r="E2734" s="227" t="n"/>
      <c r="F2734" s="227" t="n"/>
      <c r="G2734" s="227" t="n"/>
      <c r="H2734" s="227" t="n"/>
      <c r="I2734" s="227" t="n"/>
      <c r="J2734" s="227" t="n"/>
      <c r="K2734" s="227" t="n"/>
      <c r="L2734" s="227" t="n"/>
      <c r="M2734" s="227" t="n"/>
      <c r="N2734" s="127" t="n"/>
      <c r="O2734" s="227" t="n"/>
      <c r="P2734" s="227" t="n"/>
      <c r="Q2734" s="227" t="n"/>
      <c r="R2734" s="227" t="n"/>
      <c r="S2734" s="227" t="n"/>
      <c r="T2734" s="227" t="n"/>
    </row>
    <row r="2735">
      <c r="A2735" s="145">
        <f>IF($B2735="","",ROW()-5)</f>
        <v/>
      </c>
      <c r="B2735" s="127" t="n"/>
      <c r="C2735" s="223" t="n"/>
      <c r="D2735" s="127" t="n"/>
      <c r="E2735" s="227" t="n"/>
      <c r="F2735" s="227" t="n"/>
      <c r="G2735" s="227" t="n"/>
      <c r="H2735" s="227" t="n"/>
      <c r="I2735" s="227" t="n"/>
      <c r="J2735" s="227" t="n"/>
      <c r="K2735" s="227" t="n"/>
      <c r="L2735" s="227" t="n"/>
      <c r="M2735" s="227" t="n"/>
      <c r="N2735" s="127" t="n"/>
      <c r="O2735" s="227" t="n"/>
      <c r="P2735" s="227" t="n"/>
      <c r="Q2735" s="227" t="n"/>
      <c r="R2735" s="227" t="n"/>
      <c r="S2735" s="227" t="n"/>
      <c r="T2735" s="227" t="n"/>
    </row>
    <row r="2736">
      <c r="A2736" s="145">
        <f>IF($B2736="","",ROW()-5)</f>
        <v/>
      </c>
      <c r="B2736" s="127" t="n"/>
      <c r="C2736" s="223" t="n"/>
      <c r="D2736" s="127" t="n"/>
      <c r="E2736" s="227" t="n"/>
      <c r="F2736" s="227" t="n"/>
      <c r="G2736" s="227" t="n"/>
      <c r="H2736" s="227" t="n"/>
      <c r="I2736" s="227" t="n"/>
      <c r="J2736" s="227" t="n"/>
      <c r="K2736" s="227" t="n"/>
      <c r="L2736" s="227" t="n"/>
      <c r="M2736" s="227" t="n"/>
      <c r="N2736" s="127" t="n"/>
      <c r="O2736" s="227" t="n"/>
      <c r="P2736" s="227" t="n"/>
      <c r="Q2736" s="227" t="n"/>
      <c r="R2736" s="227" t="n"/>
      <c r="S2736" s="227" t="n"/>
      <c r="T2736" s="227" t="n"/>
    </row>
    <row r="2737">
      <c r="A2737" s="145">
        <f>IF($B2737="","",ROW()-5)</f>
        <v/>
      </c>
      <c r="B2737" s="127" t="n"/>
      <c r="C2737" s="223" t="n"/>
      <c r="D2737" s="127" t="n"/>
      <c r="E2737" s="227" t="n"/>
      <c r="F2737" s="227" t="n"/>
      <c r="G2737" s="227" t="n"/>
      <c r="H2737" s="227" t="n"/>
      <c r="I2737" s="227" t="n"/>
      <c r="J2737" s="227" t="n"/>
      <c r="K2737" s="227" t="n"/>
      <c r="L2737" s="227" t="n"/>
      <c r="M2737" s="227" t="n"/>
      <c r="N2737" s="127" t="n"/>
      <c r="O2737" s="227" t="n"/>
      <c r="P2737" s="227" t="n"/>
      <c r="Q2737" s="227" t="n"/>
      <c r="R2737" s="227" t="n"/>
      <c r="S2737" s="227" t="n"/>
      <c r="T2737" s="227" t="n"/>
    </row>
    <row r="2738">
      <c r="A2738" s="145">
        <f>IF($B2738="","",ROW()-5)</f>
        <v/>
      </c>
      <c r="B2738" s="127" t="n"/>
      <c r="C2738" s="223" t="n"/>
      <c r="D2738" s="127" t="n"/>
      <c r="E2738" s="227" t="n"/>
      <c r="F2738" s="227" t="n"/>
      <c r="G2738" s="227" t="n"/>
      <c r="H2738" s="227" t="n"/>
      <c r="I2738" s="227" t="n"/>
      <c r="J2738" s="227" t="n"/>
      <c r="K2738" s="227" t="n"/>
      <c r="L2738" s="227" t="n"/>
      <c r="M2738" s="227" t="n"/>
      <c r="N2738" s="127" t="n"/>
      <c r="O2738" s="227" t="n"/>
      <c r="P2738" s="227" t="n"/>
      <c r="Q2738" s="227" t="n"/>
      <c r="R2738" s="227" t="n"/>
      <c r="S2738" s="227" t="n"/>
      <c r="T2738" s="227" t="n"/>
    </row>
    <row r="2739">
      <c r="A2739" s="145">
        <f>IF($B2739="","",ROW()-5)</f>
        <v/>
      </c>
      <c r="B2739" s="127" t="n"/>
      <c r="C2739" s="223" t="n"/>
      <c r="D2739" s="127" t="n"/>
      <c r="E2739" s="227" t="n"/>
      <c r="F2739" s="227" t="n"/>
      <c r="G2739" s="227" t="n"/>
      <c r="H2739" s="227" t="n"/>
      <c r="I2739" s="227" t="n"/>
      <c r="J2739" s="227" t="n"/>
      <c r="K2739" s="227" t="n"/>
      <c r="L2739" s="227" t="n"/>
      <c r="M2739" s="227" t="n"/>
      <c r="N2739" s="127" t="n"/>
      <c r="O2739" s="227" t="n"/>
      <c r="P2739" s="227" t="n"/>
      <c r="Q2739" s="227" t="n"/>
      <c r="R2739" s="227" t="n"/>
      <c r="S2739" s="227" t="n"/>
      <c r="T2739" s="227" t="n"/>
    </row>
    <row r="2740">
      <c r="A2740" s="145">
        <f>IF($B2740="","",ROW()-5)</f>
        <v/>
      </c>
      <c r="B2740" s="127" t="n"/>
      <c r="C2740" s="223" t="n"/>
      <c r="D2740" s="127" t="n"/>
      <c r="E2740" s="227" t="n"/>
      <c r="F2740" s="227" t="n"/>
      <c r="G2740" s="227" t="n"/>
      <c r="H2740" s="227" t="n"/>
      <c r="I2740" s="227" t="n"/>
      <c r="J2740" s="227" t="n"/>
      <c r="K2740" s="227" t="n"/>
      <c r="L2740" s="227" t="n"/>
      <c r="M2740" s="227" t="n"/>
      <c r="N2740" s="127" t="n"/>
      <c r="O2740" s="227" t="n"/>
      <c r="P2740" s="227" t="n"/>
      <c r="Q2740" s="227" t="n"/>
      <c r="R2740" s="227" t="n"/>
      <c r="S2740" s="227" t="n"/>
      <c r="T2740" s="227" t="n"/>
    </row>
    <row r="2741">
      <c r="A2741" s="145">
        <f>IF($B2741="","",ROW()-5)</f>
        <v/>
      </c>
      <c r="B2741" s="127" t="n"/>
      <c r="C2741" s="223" t="n"/>
      <c r="D2741" s="127" t="n"/>
      <c r="E2741" s="227" t="n"/>
      <c r="F2741" s="227" t="n"/>
      <c r="G2741" s="227" t="n"/>
      <c r="H2741" s="227" t="n"/>
      <c r="I2741" s="227" t="n"/>
      <c r="J2741" s="227" t="n"/>
      <c r="K2741" s="227" t="n"/>
      <c r="L2741" s="227" t="n"/>
      <c r="M2741" s="227" t="n"/>
      <c r="N2741" s="127" t="n"/>
      <c r="O2741" s="227" t="n"/>
      <c r="P2741" s="227" t="n"/>
      <c r="Q2741" s="227" t="n"/>
      <c r="R2741" s="227" t="n"/>
      <c r="S2741" s="227" t="n"/>
      <c r="T2741" s="227" t="n"/>
    </row>
    <row r="2742">
      <c r="A2742" s="145">
        <f>IF($B2742="","",ROW()-5)</f>
        <v/>
      </c>
      <c r="B2742" s="127" t="n"/>
      <c r="C2742" s="223" t="n"/>
      <c r="D2742" s="127" t="n"/>
      <c r="E2742" s="227" t="n"/>
      <c r="F2742" s="227" t="n"/>
      <c r="G2742" s="227" t="n"/>
      <c r="H2742" s="227" t="n"/>
      <c r="I2742" s="227" t="n"/>
      <c r="J2742" s="227" t="n"/>
      <c r="K2742" s="227" t="n"/>
      <c r="L2742" s="227" t="n"/>
      <c r="M2742" s="227" t="n"/>
      <c r="N2742" s="127" t="n"/>
      <c r="O2742" s="227" t="n"/>
      <c r="P2742" s="227" t="n"/>
      <c r="Q2742" s="227" t="n"/>
      <c r="R2742" s="227" t="n"/>
      <c r="S2742" s="227" t="n"/>
      <c r="T2742" s="227" t="n"/>
    </row>
    <row r="2743">
      <c r="A2743" s="145">
        <f>IF($B2743="","",ROW()-5)</f>
        <v/>
      </c>
      <c r="B2743" s="127" t="n"/>
      <c r="C2743" s="223" t="n"/>
      <c r="D2743" s="127" t="n"/>
      <c r="E2743" s="227" t="n"/>
      <c r="F2743" s="227" t="n"/>
      <c r="G2743" s="227" t="n"/>
      <c r="H2743" s="227" t="n"/>
      <c r="I2743" s="227" t="n"/>
      <c r="J2743" s="227" t="n"/>
      <c r="K2743" s="227" t="n"/>
      <c r="L2743" s="227" t="n"/>
      <c r="M2743" s="227" t="n"/>
      <c r="N2743" s="127" t="n"/>
      <c r="O2743" s="227" t="n"/>
      <c r="P2743" s="227" t="n"/>
      <c r="Q2743" s="227" t="n"/>
      <c r="R2743" s="227" t="n"/>
      <c r="S2743" s="227" t="n"/>
      <c r="T2743" s="227" t="n"/>
    </row>
    <row r="2744">
      <c r="A2744" s="145">
        <f>IF($B2744="","",ROW()-5)</f>
        <v/>
      </c>
      <c r="B2744" s="127" t="n"/>
      <c r="C2744" s="223" t="n"/>
      <c r="D2744" s="127" t="n"/>
      <c r="E2744" s="227" t="n"/>
      <c r="F2744" s="227" t="n"/>
      <c r="G2744" s="227" t="n"/>
      <c r="H2744" s="227" t="n"/>
      <c r="I2744" s="227" t="n"/>
      <c r="J2744" s="227" t="n"/>
      <c r="K2744" s="227" t="n"/>
      <c r="L2744" s="227" t="n"/>
      <c r="M2744" s="227" t="n"/>
      <c r="N2744" s="127" t="n"/>
      <c r="O2744" s="227" t="n"/>
      <c r="P2744" s="227" t="n"/>
      <c r="Q2744" s="227" t="n"/>
      <c r="R2744" s="227" t="n"/>
      <c r="S2744" s="227" t="n"/>
      <c r="T2744" s="227" t="n"/>
    </row>
    <row r="2745">
      <c r="A2745" s="145">
        <f>IF($B2745="","",ROW()-5)</f>
        <v/>
      </c>
      <c r="B2745" s="127" t="n"/>
      <c r="C2745" s="223" t="n"/>
      <c r="D2745" s="127" t="n"/>
      <c r="E2745" s="227" t="n"/>
      <c r="F2745" s="227" t="n"/>
      <c r="G2745" s="227" t="n"/>
      <c r="H2745" s="227" t="n"/>
      <c r="I2745" s="227" t="n"/>
      <c r="J2745" s="227" t="n"/>
      <c r="K2745" s="227" t="n"/>
      <c r="L2745" s="227" t="n"/>
      <c r="M2745" s="227" t="n"/>
      <c r="N2745" s="127" t="n"/>
      <c r="O2745" s="227" t="n"/>
      <c r="P2745" s="227" t="n"/>
      <c r="Q2745" s="227" t="n"/>
      <c r="R2745" s="227" t="n"/>
      <c r="S2745" s="227" t="n"/>
      <c r="T2745" s="227" t="n"/>
    </row>
    <row r="2746">
      <c r="A2746" s="145">
        <f>IF($B2746="","",ROW()-5)</f>
        <v/>
      </c>
      <c r="B2746" s="127" t="n"/>
      <c r="C2746" s="223" t="n"/>
      <c r="D2746" s="127" t="n"/>
      <c r="E2746" s="227" t="n"/>
      <c r="F2746" s="227" t="n"/>
      <c r="G2746" s="227" t="n"/>
      <c r="H2746" s="227" t="n"/>
      <c r="I2746" s="227" t="n"/>
      <c r="J2746" s="227" t="n"/>
      <c r="K2746" s="227" t="n"/>
      <c r="L2746" s="227" t="n"/>
      <c r="M2746" s="227" t="n"/>
      <c r="N2746" s="127" t="n"/>
      <c r="O2746" s="227" t="n"/>
      <c r="P2746" s="227" t="n"/>
      <c r="Q2746" s="227" t="n"/>
      <c r="R2746" s="227" t="n"/>
      <c r="S2746" s="227" t="n"/>
      <c r="T2746" s="227" t="n"/>
    </row>
    <row r="2747">
      <c r="A2747" s="145">
        <f>IF($B2747="","",ROW()-5)</f>
        <v/>
      </c>
      <c r="B2747" s="127" t="n"/>
      <c r="C2747" s="223" t="n"/>
      <c r="D2747" s="127" t="n"/>
      <c r="E2747" s="227" t="n"/>
      <c r="F2747" s="227" t="n"/>
      <c r="G2747" s="227" t="n"/>
      <c r="H2747" s="227" t="n"/>
      <c r="I2747" s="227" t="n"/>
      <c r="J2747" s="227" t="n"/>
      <c r="K2747" s="227" t="n"/>
      <c r="L2747" s="227" t="n"/>
      <c r="M2747" s="227" t="n"/>
      <c r="N2747" s="127" t="n"/>
      <c r="O2747" s="227" t="n"/>
      <c r="P2747" s="227" t="n"/>
      <c r="Q2747" s="227" t="n"/>
      <c r="R2747" s="227" t="n"/>
      <c r="S2747" s="227" t="n"/>
      <c r="T2747" s="227" t="n"/>
    </row>
    <row r="2748">
      <c r="A2748" s="145">
        <f>IF($B2748="","",ROW()-5)</f>
        <v/>
      </c>
      <c r="B2748" s="127" t="n"/>
      <c r="C2748" s="223" t="n"/>
      <c r="D2748" s="127" t="n"/>
      <c r="E2748" s="227" t="n"/>
      <c r="F2748" s="227" t="n"/>
      <c r="G2748" s="227" t="n"/>
      <c r="H2748" s="227" t="n"/>
      <c r="I2748" s="227" t="n"/>
      <c r="J2748" s="227" t="n"/>
      <c r="K2748" s="227" t="n"/>
      <c r="L2748" s="227" t="n"/>
      <c r="M2748" s="227" t="n"/>
      <c r="N2748" s="127" t="n"/>
      <c r="O2748" s="227" t="n"/>
      <c r="P2748" s="227" t="n"/>
      <c r="Q2748" s="227" t="n"/>
      <c r="R2748" s="227" t="n"/>
      <c r="S2748" s="227" t="n"/>
      <c r="T2748" s="227" t="n"/>
    </row>
    <row r="2749">
      <c r="A2749" s="145">
        <f>IF($B2749="","",ROW()-5)</f>
        <v/>
      </c>
      <c r="B2749" s="127" t="n"/>
      <c r="C2749" s="223" t="n"/>
      <c r="D2749" s="127" t="n"/>
      <c r="E2749" s="227" t="n"/>
      <c r="F2749" s="227" t="n"/>
      <c r="G2749" s="227" t="n"/>
      <c r="H2749" s="227" t="n"/>
      <c r="I2749" s="227" t="n"/>
      <c r="J2749" s="227" t="n"/>
      <c r="K2749" s="227" t="n"/>
      <c r="L2749" s="227" t="n"/>
      <c r="M2749" s="227" t="n"/>
      <c r="N2749" s="127" t="n"/>
      <c r="O2749" s="227" t="n"/>
      <c r="P2749" s="227" t="n"/>
      <c r="Q2749" s="227" t="n"/>
      <c r="R2749" s="227" t="n"/>
      <c r="S2749" s="227" t="n"/>
      <c r="T2749" s="227" t="n"/>
    </row>
    <row r="2750">
      <c r="A2750" s="145">
        <f>IF($B2750="","",ROW()-5)</f>
        <v/>
      </c>
      <c r="B2750" s="127" t="n"/>
      <c r="C2750" s="223" t="n"/>
      <c r="D2750" s="127" t="n"/>
      <c r="E2750" s="227" t="n"/>
      <c r="F2750" s="227" t="n"/>
      <c r="G2750" s="227" t="n"/>
      <c r="H2750" s="227" t="n"/>
      <c r="I2750" s="227" t="n"/>
      <c r="J2750" s="227" t="n"/>
      <c r="K2750" s="227" t="n"/>
      <c r="L2750" s="227" t="n"/>
      <c r="M2750" s="227" t="n"/>
      <c r="N2750" s="127" t="n"/>
      <c r="O2750" s="227" t="n"/>
      <c r="P2750" s="227" t="n"/>
      <c r="Q2750" s="227" t="n"/>
      <c r="R2750" s="227" t="n"/>
      <c r="S2750" s="227" t="n"/>
      <c r="T2750" s="227" t="n"/>
    </row>
    <row r="2751">
      <c r="A2751" s="145">
        <f>IF($B2751="","",ROW()-5)</f>
        <v/>
      </c>
      <c r="B2751" s="127" t="n"/>
      <c r="C2751" s="223" t="n"/>
      <c r="D2751" s="127" t="n"/>
      <c r="E2751" s="227" t="n"/>
      <c r="F2751" s="227" t="n"/>
      <c r="G2751" s="227" t="n"/>
      <c r="H2751" s="227" t="n"/>
      <c r="I2751" s="227" t="n"/>
      <c r="J2751" s="227" t="n"/>
      <c r="K2751" s="227" t="n"/>
      <c r="L2751" s="227" t="n"/>
      <c r="M2751" s="227" t="n"/>
      <c r="N2751" s="127" t="n"/>
      <c r="O2751" s="227" t="n"/>
      <c r="P2751" s="227" t="n"/>
      <c r="Q2751" s="227" t="n"/>
      <c r="R2751" s="227" t="n"/>
      <c r="S2751" s="227" t="n"/>
      <c r="T2751" s="227" t="n"/>
    </row>
    <row r="2752">
      <c r="A2752" s="145">
        <f>IF($B2752="","",ROW()-5)</f>
        <v/>
      </c>
      <c r="B2752" s="127" t="n"/>
      <c r="C2752" s="223" t="n"/>
      <c r="D2752" s="127" t="n"/>
      <c r="E2752" s="227" t="n"/>
      <c r="F2752" s="227" t="n"/>
      <c r="G2752" s="227" t="n"/>
      <c r="H2752" s="227" t="n"/>
      <c r="I2752" s="227" t="n"/>
      <c r="J2752" s="227" t="n"/>
      <c r="K2752" s="227" t="n"/>
      <c r="L2752" s="227" t="n"/>
      <c r="M2752" s="227" t="n"/>
      <c r="N2752" s="127" t="n"/>
      <c r="O2752" s="227" t="n"/>
      <c r="P2752" s="227" t="n"/>
      <c r="Q2752" s="227" t="n"/>
      <c r="R2752" s="227" t="n"/>
      <c r="S2752" s="227" t="n"/>
      <c r="T2752" s="227" t="n"/>
    </row>
    <row r="2753">
      <c r="A2753" s="145">
        <f>IF($B2753="","",ROW()-5)</f>
        <v/>
      </c>
      <c r="B2753" s="127" t="n"/>
      <c r="C2753" s="223" t="n"/>
      <c r="D2753" s="127" t="n"/>
      <c r="E2753" s="227" t="n"/>
      <c r="F2753" s="227" t="n"/>
      <c r="G2753" s="227" t="n"/>
      <c r="H2753" s="227" t="n"/>
      <c r="I2753" s="227" t="n"/>
      <c r="J2753" s="227" t="n"/>
      <c r="K2753" s="227" t="n"/>
      <c r="L2753" s="227" t="n"/>
      <c r="M2753" s="227" t="n"/>
      <c r="N2753" s="127" t="n"/>
      <c r="O2753" s="227" t="n"/>
      <c r="P2753" s="227" t="n"/>
      <c r="Q2753" s="227" t="n"/>
      <c r="R2753" s="227" t="n"/>
      <c r="S2753" s="227" t="n"/>
      <c r="T2753" s="227" t="n"/>
    </row>
    <row r="2754">
      <c r="A2754" s="145">
        <f>IF($B2754="","",ROW()-5)</f>
        <v/>
      </c>
      <c r="B2754" s="127" t="n"/>
      <c r="C2754" s="223" t="n"/>
      <c r="D2754" s="127" t="n"/>
      <c r="E2754" s="227" t="n"/>
      <c r="F2754" s="227" t="n"/>
      <c r="G2754" s="227" t="n"/>
      <c r="H2754" s="227" t="n"/>
      <c r="I2754" s="227" t="n"/>
      <c r="J2754" s="227" t="n"/>
      <c r="K2754" s="227" t="n"/>
      <c r="L2754" s="227" t="n"/>
      <c r="M2754" s="227" t="n"/>
      <c r="N2754" s="127" t="n"/>
      <c r="O2754" s="227" t="n"/>
      <c r="P2754" s="227" t="n"/>
      <c r="Q2754" s="227" t="n"/>
      <c r="R2754" s="227" t="n"/>
      <c r="S2754" s="227" t="n"/>
      <c r="T2754" s="227" t="n"/>
    </row>
    <row r="2755">
      <c r="A2755" s="145">
        <f>IF($B2755="","",ROW()-5)</f>
        <v/>
      </c>
      <c r="B2755" s="127" t="n"/>
      <c r="C2755" s="223" t="n"/>
      <c r="D2755" s="127" t="n"/>
      <c r="E2755" s="227" t="n"/>
      <c r="F2755" s="227" t="n"/>
      <c r="G2755" s="227" t="n"/>
      <c r="H2755" s="227" t="n"/>
      <c r="I2755" s="227" t="n"/>
      <c r="J2755" s="227" t="n"/>
      <c r="K2755" s="227" t="n"/>
      <c r="L2755" s="227" t="n"/>
      <c r="M2755" s="227" t="n"/>
      <c r="N2755" s="127" t="n"/>
      <c r="O2755" s="227" t="n"/>
      <c r="P2755" s="227" t="n"/>
      <c r="Q2755" s="227" t="n"/>
      <c r="R2755" s="227" t="n"/>
      <c r="S2755" s="227" t="n"/>
      <c r="T2755" s="227" t="n"/>
    </row>
    <row r="2756">
      <c r="A2756" s="145">
        <f>IF($B2756="","",ROW()-5)</f>
        <v/>
      </c>
      <c r="B2756" s="127" t="n"/>
      <c r="C2756" s="223" t="n"/>
      <c r="D2756" s="127" t="n"/>
      <c r="E2756" s="227" t="n"/>
      <c r="F2756" s="227" t="n"/>
      <c r="G2756" s="227" t="n"/>
      <c r="H2756" s="227" t="n"/>
      <c r="I2756" s="227" t="n"/>
      <c r="J2756" s="227" t="n"/>
      <c r="K2756" s="227" t="n"/>
      <c r="L2756" s="227" t="n"/>
      <c r="M2756" s="227" t="n"/>
      <c r="N2756" s="127" t="n"/>
      <c r="O2756" s="227" t="n"/>
      <c r="P2756" s="227" t="n"/>
      <c r="Q2756" s="227" t="n"/>
      <c r="R2756" s="227" t="n"/>
      <c r="S2756" s="227" t="n"/>
      <c r="T2756" s="227" t="n"/>
    </row>
    <row r="2757">
      <c r="A2757" s="145">
        <f>IF($B2757="","",ROW()-5)</f>
        <v/>
      </c>
      <c r="B2757" s="127" t="n"/>
      <c r="C2757" s="223" t="n"/>
      <c r="D2757" s="127" t="n"/>
      <c r="E2757" s="227" t="n"/>
      <c r="F2757" s="227" t="n"/>
      <c r="G2757" s="227" t="n"/>
      <c r="H2757" s="227" t="n"/>
      <c r="I2757" s="227" t="n"/>
      <c r="J2757" s="227" t="n"/>
      <c r="K2757" s="227" t="n"/>
      <c r="L2757" s="227" t="n"/>
      <c r="M2757" s="227" t="n"/>
      <c r="N2757" s="127" t="n"/>
      <c r="O2757" s="227" t="n"/>
      <c r="P2757" s="227" t="n"/>
      <c r="Q2757" s="227" t="n"/>
      <c r="R2757" s="227" t="n"/>
      <c r="S2757" s="227" t="n"/>
      <c r="T2757" s="227" t="n"/>
    </row>
    <row r="2758">
      <c r="A2758" s="145">
        <f>IF($B2758="","",ROW()-5)</f>
        <v/>
      </c>
      <c r="B2758" s="127" t="n"/>
      <c r="C2758" s="223" t="n"/>
      <c r="D2758" s="127" t="n"/>
      <c r="E2758" s="227" t="n"/>
      <c r="F2758" s="227" t="n"/>
      <c r="G2758" s="227" t="n"/>
      <c r="H2758" s="227" t="n"/>
      <c r="I2758" s="227" t="n"/>
      <c r="J2758" s="227" t="n"/>
      <c r="K2758" s="227" t="n"/>
      <c r="L2758" s="227" t="n"/>
      <c r="M2758" s="227" t="n"/>
      <c r="N2758" s="127" t="n"/>
      <c r="O2758" s="227" t="n"/>
      <c r="P2758" s="227" t="n"/>
      <c r="Q2758" s="227" t="n"/>
      <c r="R2758" s="227" t="n"/>
      <c r="S2758" s="227" t="n"/>
      <c r="T2758" s="227" t="n"/>
    </row>
    <row r="2759">
      <c r="A2759" s="145">
        <f>IF($B2759="","",ROW()-5)</f>
        <v/>
      </c>
      <c r="B2759" s="127" t="n"/>
      <c r="C2759" s="223" t="n"/>
      <c r="D2759" s="127" t="n"/>
      <c r="E2759" s="227" t="n"/>
      <c r="F2759" s="227" t="n"/>
      <c r="G2759" s="227" t="n"/>
      <c r="H2759" s="227" t="n"/>
      <c r="I2759" s="227" t="n"/>
      <c r="J2759" s="227" t="n"/>
      <c r="K2759" s="227" t="n"/>
      <c r="L2759" s="227" t="n"/>
      <c r="M2759" s="227" t="n"/>
      <c r="N2759" s="127" t="n"/>
      <c r="O2759" s="227" t="n"/>
      <c r="P2759" s="227" t="n"/>
      <c r="Q2759" s="227" t="n"/>
      <c r="R2759" s="227" t="n"/>
      <c r="S2759" s="227" t="n"/>
      <c r="T2759" s="227" t="n"/>
    </row>
    <row r="2760">
      <c r="A2760" s="145">
        <f>IF($B2760="","",ROW()-5)</f>
        <v/>
      </c>
      <c r="B2760" s="127" t="n"/>
      <c r="C2760" s="223" t="n"/>
      <c r="D2760" s="127" t="n"/>
      <c r="E2760" s="227" t="n"/>
      <c r="F2760" s="227" t="n"/>
      <c r="G2760" s="227" t="n"/>
      <c r="H2760" s="227" t="n"/>
      <c r="I2760" s="227" t="n"/>
      <c r="J2760" s="227" t="n"/>
      <c r="K2760" s="227" t="n"/>
      <c r="L2760" s="227" t="n"/>
      <c r="M2760" s="227" t="n"/>
      <c r="N2760" s="127" t="n"/>
      <c r="O2760" s="227" t="n"/>
      <c r="P2760" s="227" t="n"/>
      <c r="Q2760" s="227" t="n"/>
      <c r="R2760" s="227" t="n"/>
      <c r="S2760" s="227" t="n"/>
      <c r="T2760" s="227" t="n"/>
    </row>
    <row r="2761">
      <c r="A2761" s="145">
        <f>IF($B2761="","",ROW()-5)</f>
        <v/>
      </c>
      <c r="B2761" s="127" t="n"/>
      <c r="C2761" s="223" t="n"/>
      <c r="D2761" s="127" t="n"/>
      <c r="E2761" s="227" t="n"/>
      <c r="F2761" s="227" t="n"/>
      <c r="G2761" s="227" t="n"/>
      <c r="H2761" s="227" t="n"/>
      <c r="I2761" s="227" t="n"/>
      <c r="J2761" s="227" t="n"/>
      <c r="K2761" s="227" t="n"/>
      <c r="L2761" s="227" t="n"/>
      <c r="M2761" s="227" t="n"/>
      <c r="N2761" s="127" t="n"/>
      <c r="O2761" s="227" t="n"/>
      <c r="P2761" s="227" t="n"/>
      <c r="Q2761" s="227" t="n"/>
      <c r="R2761" s="227" t="n"/>
      <c r="S2761" s="227" t="n"/>
      <c r="T2761" s="227" t="n"/>
    </row>
    <row r="2762">
      <c r="A2762" s="145">
        <f>IF($B2762="","",ROW()-5)</f>
        <v/>
      </c>
      <c r="B2762" s="127" t="n"/>
      <c r="C2762" s="223" t="n"/>
      <c r="D2762" s="127" t="n"/>
      <c r="E2762" s="227" t="n"/>
      <c r="F2762" s="227" t="n"/>
      <c r="G2762" s="227" t="n"/>
      <c r="H2762" s="227" t="n"/>
      <c r="I2762" s="227" t="n"/>
      <c r="J2762" s="227" t="n"/>
      <c r="K2762" s="227" t="n"/>
      <c r="L2762" s="227" t="n"/>
      <c r="M2762" s="227" t="n"/>
      <c r="N2762" s="127" t="n"/>
      <c r="O2762" s="227" t="n"/>
      <c r="P2762" s="227" t="n"/>
      <c r="Q2762" s="227" t="n"/>
      <c r="R2762" s="227" t="n"/>
      <c r="S2762" s="227" t="n"/>
      <c r="T2762" s="227" t="n"/>
    </row>
    <row r="2763">
      <c r="A2763" s="145">
        <f>IF($B2763="","",ROW()-5)</f>
        <v/>
      </c>
      <c r="B2763" s="127" t="n"/>
      <c r="C2763" s="223" t="n"/>
      <c r="D2763" s="127" t="n"/>
      <c r="E2763" s="227" t="n"/>
      <c r="F2763" s="227" t="n"/>
      <c r="G2763" s="227" t="n"/>
      <c r="H2763" s="227" t="n"/>
      <c r="I2763" s="227" t="n"/>
      <c r="J2763" s="227" t="n"/>
      <c r="K2763" s="227" t="n"/>
      <c r="L2763" s="227" t="n"/>
      <c r="M2763" s="227" t="n"/>
      <c r="N2763" s="127" t="n"/>
      <c r="O2763" s="227" t="n"/>
      <c r="P2763" s="227" t="n"/>
      <c r="Q2763" s="227" t="n"/>
      <c r="R2763" s="227" t="n"/>
      <c r="S2763" s="227" t="n"/>
      <c r="T2763" s="227" t="n"/>
    </row>
    <row r="2764">
      <c r="A2764" s="145">
        <f>IF($B2764="","",ROW()-5)</f>
        <v/>
      </c>
      <c r="B2764" s="127" t="n"/>
      <c r="C2764" s="223" t="n"/>
      <c r="D2764" s="127" t="n"/>
      <c r="E2764" s="227" t="n"/>
      <c r="F2764" s="227" t="n"/>
      <c r="G2764" s="227" t="n"/>
      <c r="H2764" s="227" t="n"/>
      <c r="I2764" s="227" t="n"/>
      <c r="J2764" s="227" t="n"/>
      <c r="K2764" s="227" t="n"/>
      <c r="L2764" s="227" t="n"/>
      <c r="M2764" s="227" t="n"/>
      <c r="N2764" s="127" t="n"/>
      <c r="O2764" s="227" t="n"/>
      <c r="P2764" s="227" t="n"/>
      <c r="Q2764" s="227" t="n"/>
      <c r="R2764" s="227" t="n"/>
      <c r="S2764" s="227" t="n"/>
      <c r="T2764" s="227" t="n"/>
    </row>
    <row r="2765">
      <c r="A2765" s="145">
        <f>IF($B2765="","",ROW()-5)</f>
        <v/>
      </c>
      <c r="B2765" s="127" t="n"/>
      <c r="C2765" s="223" t="n"/>
      <c r="D2765" s="127" t="n"/>
      <c r="E2765" s="227" t="n"/>
      <c r="F2765" s="227" t="n"/>
      <c r="G2765" s="227" t="n"/>
      <c r="H2765" s="227" t="n"/>
      <c r="I2765" s="227" t="n"/>
      <c r="J2765" s="227" t="n"/>
      <c r="K2765" s="227" t="n"/>
      <c r="L2765" s="227" t="n"/>
      <c r="M2765" s="227" t="n"/>
      <c r="N2765" s="127" t="n"/>
      <c r="O2765" s="227" t="n"/>
      <c r="P2765" s="227" t="n"/>
      <c r="Q2765" s="227" t="n"/>
      <c r="R2765" s="227" t="n"/>
      <c r="S2765" s="227" t="n"/>
      <c r="T2765" s="227" t="n"/>
    </row>
    <row r="2766">
      <c r="A2766" s="145">
        <f>IF($B2766="","",ROW()-5)</f>
        <v/>
      </c>
      <c r="B2766" s="127" t="n"/>
      <c r="C2766" s="223" t="n"/>
      <c r="D2766" s="127" t="n"/>
      <c r="E2766" s="227" t="n"/>
      <c r="F2766" s="227" t="n"/>
      <c r="G2766" s="227" t="n"/>
      <c r="H2766" s="227" t="n"/>
      <c r="I2766" s="227" t="n"/>
      <c r="J2766" s="227" t="n"/>
      <c r="K2766" s="227" t="n"/>
      <c r="L2766" s="227" t="n"/>
      <c r="M2766" s="227" t="n"/>
      <c r="N2766" s="127" t="n"/>
      <c r="O2766" s="227" t="n"/>
      <c r="P2766" s="227" t="n"/>
      <c r="Q2766" s="227" t="n"/>
      <c r="R2766" s="227" t="n"/>
      <c r="S2766" s="227" t="n"/>
      <c r="T2766" s="227" t="n"/>
    </row>
    <row r="2767">
      <c r="A2767" s="145">
        <f>IF($B2767="","",ROW()-5)</f>
        <v/>
      </c>
      <c r="B2767" s="127" t="n"/>
      <c r="C2767" s="223" t="n"/>
      <c r="D2767" s="127" t="n"/>
      <c r="E2767" s="227" t="n"/>
      <c r="F2767" s="227" t="n"/>
      <c r="G2767" s="227" t="n"/>
      <c r="H2767" s="227" t="n"/>
      <c r="I2767" s="227" t="n"/>
      <c r="J2767" s="227" t="n"/>
      <c r="K2767" s="227" t="n"/>
      <c r="L2767" s="227" t="n"/>
      <c r="M2767" s="227" t="n"/>
      <c r="N2767" s="127" t="n"/>
      <c r="O2767" s="227" t="n"/>
      <c r="P2767" s="227" t="n"/>
      <c r="Q2767" s="227" t="n"/>
      <c r="R2767" s="227" t="n"/>
      <c r="S2767" s="227" t="n"/>
      <c r="T2767" s="227" t="n"/>
    </row>
    <row r="2768">
      <c r="A2768" s="145">
        <f>IF($B2768="","",ROW()-5)</f>
        <v/>
      </c>
      <c r="B2768" s="127" t="n"/>
      <c r="C2768" s="223" t="n"/>
      <c r="D2768" s="127" t="n"/>
      <c r="E2768" s="227" t="n"/>
      <c r="F2768" s="227" t="n"/>
      <c r="G2768" s="227" t="n"/>
      <c r="H2768" s="227" t="n"/>
      <c r="I2768" s="227" t="n"/>
      <c r="J2768" s="227" t="n"/>
      <c r="K2768" s="227" t="n"/>
      <c r="L2768" s="227" t="n"/>
      <c r="M2768" s="227" t="n"/>
      <c r="N2768" s="127" t="n"/>
      <c r="O2768" s="227" t="n"/>
      <c r="P2768" s="227" t="n"/>
      <c r="Q2768" s="227" t="n"/>
      <c r="R2768" s="227" t="n"/>
      <c r="S2768" s="227" t="n"/>
      <c r="T2768" s="227" t="n"/>
    </row>
    <row r="2769">
      <c r="A2769" s="145">
        <f>IF($B2769="","",ROW()-5)</f>
        <v/>
      </c>
      <c r="B2769" s="127" t="n"/>
      <c r="C2769" s="223" t="n"/>
      <c r="D2769" s="127" t="n"/>
      <c r="E2769" s="227" t="n"/>
      <c r="F2769" s="227" t="n"/>
      <c r="G2769" s="227" t="n"/>
      <c r="H2769" s="227" t="n"/>
      <c r="I2769" s="227" t="n"/>
      <c r="J2769" s="227" t="n"/>
      <c r="K2769" s="227" t="n"/>
      <c r="L2769" s="227" t="n"/>
      <c r="M2769" s="227" t="n"/>
      <c r="N2769" s="127" t="n"/>
      <c r="O2769" s="227" t="n"/>
      <c r="P2769" s="227" t="n"/>
      <c r="Q2769" s="227" t="n"/>
      <c r="R2769" s="227" t="n"/>
      <c r="S2769" s="227" t="n"/>
      <c r="T2769" s="227" t="n"/>
    </row>
    <row r="2770">
      <c r="A2770" s="145">
        <f>IF($B2770="","",ROW()-5)</f>
        <v/>
      </c>
      <c r="B2770" s="127" t="n"/>
      <c r="C2770" s="223" t="n"/>
      <c r="D2770" s="127" t="n"/>
      <c r="E2770" s="227" t="n"/>
      <c r="F2770" s="227" t="n"/>
      <c r="G2770" s="227" t="n"/>
      <c r="H2770" s="227" t="n"/>
      <c r="I2770" s="227" t="n"/>
      <c r="J2770" s="227" t="n"/>
      <c r="K2770" s="227" t="n"/>
      <c r="L2770" s="227" t="n"/>
      <c r="M2770" s="227" t="n"/>
      <c r="N2770" s="127" t="n"/>
      <c r="O2770" s="227" t="n"/>
      <c r="P2770" s="227" t="n"/>
      <c r="Q2770" s="227" t="n"/>
      <c r="R2770" s="227" t="n"/>
      <c r="S2770" s="227" t="n"/>
      <c r="T2770" s="227" t="n"/>
    </row>
    <row r="2771">
      <c r="A2771" s="145">
        <f>IF($B2771="","",ROW()-5)</f>
        <v/>
      </c>
      <c r="B2771" s="127" t="n"/>
      <c r="C2771" s="223" t="n"/>
      <c r="D2771" s="127" t="n"/>
      <c r="E2771" s="227" t="n"/>
      <c r="F2771" s="227" t="n"/>
      <c r="G2771" s="227" t="n"/>
      <c r="H2771" s="227" t="n"/>
      <c r="I2771" s="227" t="n"/>
      <c r="J2771" s="227" t="n"/>
      <c r="K2771" s="227" t="n"/>
      <c r="L2771" s="227" t="n"/>
      <c r="M2771" s="227" t="n"/>
      <c r="N2771" s="127" t="n"/>
      <c r="O2771" s="227" t="n"/>
      <c r="P2771" s="227" t="n"/>
      <c r="Q2771" s="227" t="n"/>
      <c r="R2771" s="227" t="n"/>
      <c r="S2771" s="227" t="n"/>
      <c r="T2771" s="227" t="n"/>
    </row>
    <row r="2772">
      <c r="A2772" s="145">
        <f>IF($B2772="","",ROW()-5)</f>
        <v/>
      </c>
      <c r="B2772" s="127" t="n"/>
      <c r="C2772" s="223" t="n"/>
      <c r="D2772" s="127" t="n"/>
      <c r="E2772" s="227" t="n"/>
      <c r="F2772" s="227" t="n"/>
      <c r="G2772" s="227" t="n"/>
      <c r="H2772" s="227" t="n"/>
      <c r="I2772" s="227" t="n"/>
      <c r="J2772" s="227" t="n"/>
      <c r="K2772" s="227" t="n"/>
      <c r="L2772" s="227" t="n"/>
      <c r="M2772" s="227" t="n"/>
      <c r="N2772" s="127" t="n"/>
      <c r="O2772" s="227" t="n"/>
      <c r="P2772" s="227" t="n"/>
      <c r="Q2772" s="227" t="n"/>
      <c r="R2772" s="227" t="n"/>
      <c r="S2772" s="227" t="n"/>
      <c r="T2772" s="227" t="n"/>
    </row>
    <row r="2773">
      <c r="A2773" s="145">
        <f>IF($B2773="","",ROW()-5)</f>
        <v/>
      </c>
      <c r="B2773" s="127" t="n"/>
      <c r="C2773" s="223" t="n"/>
      <c r="D2773" s="127" t="n"/>
      <c r="E2773" s="227" t="n"/>
      <c r="F2773" s="227" t="n"/>
      <c r="G2773" s="227" t="n"/>
      <c r="H2773" s="227" t="n"/>
      <c r="I2773" s="227" t="n"/>
      <c r="J2773" s="227" t="n"/>
      <c r="K2773" s="227" t="n"/>
      <c r="L2773" s="227" t="n"/>
      <c r="M2773" s="227" t="n"/>
      <c r="N2773" s="127" t="n"/>
      <c r="O2773" s="227" t="n"/>
      <c r="P2773" s="227" t="n"/>
      <c r="Q2773" s="227" t="n"/>
      <c r="R2773" s="227" t="n"/>
      <c r="S2773" s="227" t="n"/>
      <c r="T2773" s="227" t="n"/>
    </row>
    <row r="2774">
      <c r="A2774" s="145">
        <f>IF($B2774="","",ROW()-5)</f>
        <v/>
      </c>
      <c r="B2774" s="127" t="n"/>
      <c r="C2774" s="223" t="n"/>
      <c r="D2774" s="127" t="n"/>
      <c r="E2774" s="227" t="n"/>
      <c r="F2774" s="227" t="n"/>
      <c r="G2774" s="227" t="n"/>
      <c r="H2774" s="227" t="n"/>
      <c r="I2774" s="227" t="n"/>
      <c r="J2774" s="227" t="n"/>
      <c r="K2774" s="227" t="n"/>
      <c r="L2774" s="227" t="n"/>
      <c r="M2774" s="227" t="n"/>
      <c r="N2774" s="127" t="n"/>
      <c r="O2774" s="227" t="n"/>
      <c r="P2774" s="227" t="n"/>
      <c r="Q2774" s="227" t="n"/>
      <c r="R2774" s="227" t="n"/>
      <c r="S2774" s="227" t="n"/>
      <c r="T2774" s="227" t="n"/>
    </row>
    <row r="2775">
      <c r="A2775" s="145">
        <f>IF($B2775="","",ROW()-5)</f>
        <v/>
      </c>
      <c r="B2775" s="127" t="n"/>
      <c r="C2775" s="223" t="n"/>
      <c r="D2775" s="127" t="n"/>
      <c r="E2775" s="227" t="n"/>
      <c r="F2775" s="227" t="n"/>
      <c r="G2775" s="227" t="n"/>
      <c r="H2775" s="227" t="n"/>
      <c r="I2775" s="227" t="n"/>
      <c r="J2775" s="227" t="n"/>
      <c r="K2775" s="227" t="n"/>
      <c r="L2775" s="227" t="n"/>
      <c r="M2775" s="227" t="n"/>
      <c r="N2775" s="127" t="n"/>
      <c r="O2775" s="227" t="n"/>
      <c r="P2775" s="227" t="n"/>
      <c r="Q2775" s="227" t="n"/>
      <c r="R2775" s="227" t="n"/>
      <c r="S2775" s="227" t="n"/>
      <c r="T2775" s="227" t="n"/>
    </row>
    <row r="2776">
      <c r="A2776" s="145">
        <f>IF($B2776="","",ROW()-5)</f>
        <v/>
      </c>
      <c r="B2776" s="127" t="n"/>
      <c r="C2776" s="223" t="n"/>
      <c r="D2776" s="127" t="n"/>
      <c r="E2776" s="227" t="n"/>
      <c r="F2776" s="227" t="n"/>
      <c r="G2776" s="227" t="n"/>
      <c r="H2776" s="227" t="n"/>
      <c r="I2776" s="227" t="n"/>
      <c r="J2776" s="227" t="n"/>
      <c r="K2776" s="227" t="n"/>
      <c r="L2776" s="227" t="n"/>
      <c r="M2776" s="227" t="n"/>
      <c r="N2776" s="127" t="n"/>
      <c r="O2776" s="227" t="n"/>
      <c r="P2776" s="227" t="n"/>
      <c r="Q2776" s="227" t="n"/>
      <c r="R2776" s="227" t="n"/>
      <c r="S2776" s="227" t="n"/>
      <c r="T2776" s="227" t="n"/>
    </row>
    <row r="2777">
      <c r="A2777" s="145">
        <f>IF($B2777="","",ROW()-5)</f>
        <v/>
      </c>
      <c r="B2777" s="127" t="n"/>
      <c r="C2777" s="223" t="n"/>
      <c r="D2777" s="127" t="n"/>
      <c r="E2777" s="227" t="n"/>
      <c r="F2777" s="227" t="n"/>
      <c r="G2777" s="227" t="n"/>
      <c r="H2777" s="227" t="n"/>
      <c r="I2777" s="227" t="n"/>
      <c r="J2777" s="227" t="n"/>
      <c r="K2777" s="227" t="n"/>
      <c r="L2777" s="227" t="n"/>
      <c r="M2777" s="227" t="n"/>
      <c r="N2777" s="127" t="n"/>
      <c r="O2777" s="227" t="n"/>
      <c r="P2777" s="227" t="n"/>
      <c r="Q2777" s="227" t="n"/>
      <c r="R2777" s="227" t="n"/>
      <c r="S2777" s="227" t="n"/>
      <c r="T2777" s="227" t="n"/>
    </row>
    <row r="2778">
      <c r="A2778" s="145">
        <f>IF($B2778="","",ROW()-5)</f>
        <v/>
      </c>
      <c r="B2778" s="127" t="n"/>
      <c r="C2778" s="223" t="n"/>
      <c r="D2778" s="127" t="n"/>
      <c r="E2778" s="227" t="n"/>
      <c r="F2778" s="227" t="n"/>
      <c r="G2778" s="227" t="n"/>
      <c r="H2778" s="227" t="n"/>
      <c r="I2778" s="227" t="n"/>
      <c r="J2778" s="227" t="n"/>
      <c r="K2778" s="227" t="n"/>
      <c r="L2778" s="227" t="n"/>
      <c r="M2778" s="227" t="n"/>
      <c r="N2778" s="127" t="n"/>
      <c r="O2778" s="227" t="n"/>
      <c r="P2778" s="227" t="n"/>
      <c r="Q2778" s="227" t="n"/>
      <c r="R2778" s="227" t="n"/>
      <c r="S2778" s="227" t="n"/>
      <c r="T2778" s="227" t="n"/>
    </row>
    <row r="2779">
      <c r="A2779" s="145">
        <f>IF($B2779="","",ROW()-5)</f>
        <v/>
      </c>
      <c r="B2779" s="127" t="n"/>
      <c r="C2779" s="223" t="n"/>
      <c r="D2779" s="127" t="n"/>
      <c r="E2779" s="227" t="n"/>
      <c r="F2779" s="227" t="n"/>
      <c r="G2779" s="227" t="n"/>
      <c r="H2779" s="227" t="n"/>
      <c r="I2779" s="227" t="n"/>
      <c r="J2779" s="227" t="n"/>
      <c r="K2779" s="227" t="n"/>
      <c r="L2779" s="227" t="n"/>
      <c r="M2779" s="227" t="n"/>
      <c r="N2779" s="127" t="n"/>
      <c r="O2779" s="227" t="n"/>
      <c r="P2779" s="227" t="n"/>
      <c r="Q2779" s="227" t="n"/>
      <c r="R2779" s="227" t="n"/>
      <c r="S2779" s="227" t="n"/>
      <c r="T2779" s="227" t="n"/>
    </row>
    <row r="2780">
      <c r="A2780" s="145">
        <f>IF($B2780="","",ROW()-5)</f>
        <v/>
      </c>
      <c r="B2780" s="127" t="n"/>
      <c r="C2780" s="223" t="n"/>
      <c r="D2780" s="127" t="n"/>
      <c r="E2780" s="227" t="n"/>
      <c r="F2780" s="227" t="n"/>
      <c r="G2780" s="227" t="n"/>
      <c r="H2780" s="227" t="n"/>
      <c r="I2780" s="227" t="n"/>
      <c r="J2780" s="227" t="n"/>
      <c r="K2780" s="227" t="n"/>
      <c r="L2780" s="227" t="n"/>
      <c r="M2780" s="227" t="n"/>
      <c r="N2780" s="127" t="n"/>
      <c r="O2780" s="227" t="n"/>
      <c r="P2780" s="227" t="n"/>
      <c r="Q2780" s="227" t="n"/>
      <c r="R2780" s="227" t="n"/>
      <c r="S2780" s="227" t="n"/>
      <c r="T2780" s="227" t="n"/>
    </row>
    <row r="2781">
      <c r="A2781" s="145">
        <f>IF($B2781="","",ROW()-5)</f>
        <v/>
      </c>
      <c r="B2781" s="127" t="n"/>
      <c r="C2781" s="223" t="n"/>
      <c r="D2781" s="127" t="n"/>
      <c r="E2781" s="227" t="n"/>
      <c r="F2781" s="227" t="n"/>
      <c r="G2781" s="227" t="n"/>
      <c r="H2781" s="227" t="n"/>
      <c r="I2781" s="227" t="n"/>
      <c r="J2781" s="227" t="n"/>
      <c r="K2781" s="227" t="n"/>
      <c r="L2781" s="227" t="n"/>
      <c r="M2781" s="227" t="n"/>
      <c r="N2781" s="127" t="n"/>
      <c r="O2781" s="227" t="n"/>
      <c r="P2781" s="227" t="n"/>
      <c r="Q2781" s="227" t="n"/>
      <c r="R2781" s="227" t="n"/>
      <c r="S2781" s="227" t="n"/>
      <c r="T2781" s="227" t="n"/>
    </row>
    <row r="2782">
      <c r="A2782" s="145">
        <f>IF($B2782="","",ROW()-5)</f>
        <v/>
      </c>
      <c r="B2782" s="127" t="n"/>
      <c r="C2782" s="223" t="n"/>
      <c r="D2782" s="127" t="n"/>
      <c r="E2782" s="227" t="n"/>
      <c r="F2782" s="227" t="n"/>
      <c r="G2782" s="227" t="n"/>
      <c r="H2782" s="227" t="n"/>
      <c r="I2782" s="227" t="n"/>
      <c r="J2782" s="227" t="n"/>
      <c r="K2782" s="227" t="n"/>
      <c r="L2782" s="227" t="n"/>
      <c r="M2782" s="227" t="n"/>
      <c r="N2782" s="127" t="n"/>
      <c r="O2782" s="227" t="n"/>
      <c r="P2782" s="227" t="n"/>
      <c r="Q2782" s="227" t="n"/>
      <c r="R2782" s="227" t="n"/>
      <c r="S2782" s="227" t="n"/>
      <c r="T2782" s="227" t="n"/>
    </row>
    <row r="2783">
      <c r="A2783" s="145">
        <f>IF($B2783="","",ROW()-5)</f>
        <v/>
      </c>
      <c r="B2783" s="127" t="n"/>
      <c r="C2783" s="223" t="n"/>
      <c r="D2783" s="127" t="n"/>
      <c r="E2783" s="227" t="n"/>
      <c r="F2783" s="227" t="n"/>
      <c r="G2783" s="227" t="n"/>
      <c r="H2783" s="227" t="n"/>
      <c r="I2783" s="227" t="n"/>
      <c r="J2783" s="227" t="n"/>
      <c r="K2783" s="227" t="n"/>
      <c r="L2783" s="227" t="n"/>
      <c r="M2783" s="227" t="n"/>
      <c r="N2783" s="127" t="n"/>
      <c r="O2783" s="227" t="n"/>
      <c r="P2783" s="227" t="n"/>
      <c r="Q2783" s="227" t="n"/>
      <c r="R2783" s="227" t="n"/>
      <c r="S2783" s="227" t="n"/>
      <c r="T2783" s="227" t="n"/>
    </row>
    <row r="2784">
      <c r="A2784" s="145">
        <f>IF($B2784="","",ROW()-5)</f>
        <v/>
      </c>
      <c r="B2784" s="127" t="n"/>
      <c r="C2784" s="223" t="n"/>
      <c r="D2784" s="127" t="n"/>
      <c r="E2784" s="227" t="n"/>
      <c r="F2784" s="227" t="n"/>
      <c r="G2784" s="227" t="n"/>
      <c r="H2784" s="227" t="n"/>
      <c r="I2784" s="227" t="n"/>
      <c r="J2784" s="227" t="n"/>
      <c r="K2784" s="227" t="n"/>
      <c r="L2784" s="227" t="n"/>
      <c r="M2784" s="227" t="n"/>
      <c r="N2784" s="127" t="n"/>
      <c r="O2784" s="227" t="n"/>
      <c r="P2784" s="227" t="n"/>
      <c r="Q2784" s="227" t="n"/>
      <c r="R2784" s="227" t="n"/>
      <c r="S2784" s="227" t="n"/>
      <c r="T2784" s="227" t="n"/>
    </row>
    <row r="2785">
      <c r="A2785" s="145">
        <f>IF($B2785="","",ROW()-5)</f>
        <v/>
      </c>
      <c r="B2785" s="127" t="n"/>
      <c r="C2785" s="223" t="n"/>
      <c r="D2785" s="127" t="n"/>
      <c r="E2785" s="227" t="n"/>
      <c r="F2785" s="227" t="n"/>
      <c r="G2785" s="227" t="n"/>
      <c r="H2785" s="227" t="n"/>
      <c r="I2785" s="227" t="n"/>
      <c r="J2785" s="227" t="n"/>
      <c r="K2785" s="227" t="n"/>
      <c r="L2785" s="227" t="n"/>
      <c r="M2785" s="227" t="n"/>
      <c r="N2785" s="127" t="n"/>
      <c r="O2785" s="227" t="n"/>
      <c r="P2785" s="227" t="n"/>
      <c r="Q2785" s="227" t="n"/>
      <c r="R2785" s="227" t="n"/>
      <c r="S2785" s="227" t="n"/>
      <c r="T2785" s="227" t="n"/>
    </row>
    <row r="2786">
      <c r="A2786" s="145">
        <f>IF($B2786="","",ROW()-5)</f>
        <v/>
      </c>
      <c r="B2786" s="127" t="n"/>
      <c r="C2786" s="223" t="n"/>
      <c r="D2786" s="127" t="n"/>
      <c r="E2786" s="227" t="n"/>
      <c r="F2786" s="227" t="n"/>
      <c r="G2786" s="227" t="n"/>
      <c r="H2786" s="227" t="n"/>
      <c r="I2786" s="227" t="n"/>
      <c r="J2786" s="227" t="n"/>
      <c r="K2786" s="227" t="n"/>
      <c r="L2786" s="227" t="n"/>
      <c r="M2786" s="227" t="n"/>
      <c r="N2786" s="127" t="n"/>
      <c r="O2786" s="227" t="n"/>
      <c r="P2786" s="227" t="n"/>
      <c r="Q2786" s="227" t="n"/>
      <c r="R2786" s="227" t="n"/>
      <c r="S2786" s="227" t="n"/>
      <c r="T2786" s="227" t="n"/>
    </row>
    <row r="2787">
      <c r="A2787" s="145">
        <f>IF($B2787="","",ROW()-5)</f>
        <v/>
      </c>
      <c r="B2787" s="127" t="n"/>
      <c r="C2787" s="223" t="n"/>
      <c r="D2787" s="127" t="n"/>
      <c r="E2787" s="227" t="n"/>
      <c r="F2787" s="227" t="n"/>
      <c r="G2787" s="227" t="n"/>
      <c r="H2787" s="227" t="n"/>
      <c r="I2787" s="227" t="n"/>
      <c r="J2787" s="227" t="n"/>
      <c r="K2787" s="227" t="n"/>
      <c r="L2787" s="227" t="n"/>
      <c r="M2787" s="227" t="n"/>
      <c r="N2787" s="127" t="n"/>
      <c r="O2787" s="227" t="n"/>
      <c r="P2787" s="227" t="n"/>
      <c r="Q2787" s="227" t="n"/>
      <c r="R2787" s="227" t="n"/>
      <c r="S2787" s="227" t="n"/>
      <c r="T2787" s="227" t="n"/>
    </row>
    <row r="2788">
      <c r="A2788" s="145">
        <f>IF($B2788="","",ROW()-5)</f>
        <v/>
      </c>
      <c r="B2788" s="127" t="n"/>
      <c r="C2788" s="223" t="n"/>
      <c r="D2788" s="127" t="n"/>
      <c r="E2788" s="227" t="n"/>
      <c r="F2788" s="227" t="n"/>
      <c r="G2788" s="227" t="n"/>
      <c r="H2788" s="227" t="n"/>
      <c r="I2788" s="227" t="n"/>
      <c r="J2788" s="227" t="n"/>
      <c r="K2788" s="227" t="n"/>
      <c r="L2788" s="227" t="n"/>
      <c r="M2788" s="227" t="n"/>
      <c r="N2788" s="127" t="n"/>
      <c r="O2788" s="227" t="n"/>
      <c r="P2788" s="227" t="n"/>
      <c r="Q2788" s="227" t="n"/>
      <c r="R2788" s="227" t="n"/>
      <c r="S2788" s="227" t="n"/>
      <c r="T2788" s="227" t="n"/>
    </row>
    <row r="2789">
      <c r="A2789" s="145">
        <f>IF($B2789="","",ROW()-5)</f>
        <v/>
      </c>
      <c r="B2789" s="127" t="n"/>
      <c r="C2789" s="223" t="n"/>
      <c r="D2789" s="127" t="n"/>
      <c r="E2789" s="227" t="n"/>
      <c r="F2789" s="227" t="n"/>
      <c r="G2789" s="227" t="n"/>
      <c r="H2789" s="227" t="n"/>
      <c r="I2789" s="227" t="n"/>
      <c r="J2789" s="227" t="n"/>
      <c r="K2789" s="227" t="n"/>
      <c r="L2789" s="227" t="n"/>
      <c r="M2789" s="227" t="n"/>
      <c r="N2789" s="127" t="n"/>
      <c r="O2789" s="227" t="n"/>
      <c r="P2789" s="227" t="n"/>
      <c r="Q2789" s="227" t="n"/>
      <c r="R2789" s="227" t="n"/>
      <c r="S2789" s="227" t="n"/>
      <c r="T2789" s="227" t="n"/>
    </row>
    <row r="2790">
      <c r="A2790" s="145">
        <f>IF($B2790="","",ROW()-5)</f>
        <v/>
      </c>
      <c r="B2790" s="127" t="n"/>
      <c r="C2790" s="223" t="n"/>
      <c r="D2790" s="127" t="n"/>
      <c r="E2790" s="227" t="n"/>
      <c r="F2790" s="227" t="n"/>
      <c r="G2790" s="227" t="n"/>
      <c r="H2790" s="227" t="n"/>
      <c r="I2790" s="227" t="n"/>
      <c r="J2790" s="227" t="n"/>
      <c r="K2790" s="227" t="n"/>
      <c r="L2790" s="227" t="n"/>
      <c r="M2790" s="227" t="n"/>
      <c r="N2790" s="127" t="n"/>
      <c r="O2790" s="227" t="n"/>
      <c r="P2790" s="227" t="n"/>
      <c r="Q2790" s="227" t="n"/>
      <c r="R2790" s="227" t="n"/>
      <c r="S2790" s="227" t="n"/>
      <c r="T2790" s="227" t="n"/>
    </row>
    <row r="2791">
      <c r="A2791" s="145">
        <f>IF($B2791="","",ROW()-5)</f>
        <v/>
      </c>
      <c r="B2791" s="127" t="n"/>
      <c r="C2791" s="223" t="n"/>
      <c r="D2791" s="127" t="n"/>
      <c r="E2791" s="227" t="n"/>
      <c r="F2791" s="227" t="n"/>
      <c r="G2791" s="227" t="n"/>
      <c r="H2791" s="227" t="n"/>
      <c r="I2791" s="227" t="n"/>
      <c r="J2791" s="227" t="n"/>
      <c r="K2791" s="227" t="n"/>
      <c r="L2791" s="227" t="n"/>
      <c r="M2791" s="227" t="n"/>
      <c r="N2791" s="127" t="n"/>
      <c r="O2791" s="227" t="n"/>
      <c r="P2791" s="227" t="n"/>
      <c r="Q2791" s="227" t="n"/>
      <c r="R2791" s="227" t="n"/>
      <c r="S2791" s="227" t="n"/>
      <c r="T2791" s="227" t="n"/>
    </row>
    <row r="2792">
      <c r="A2792" s="145">
        <f>IF($B2792="","",ROW()-5)</f>
        <v/>
      </c>
      <c r="B2792" s="127" t="n"/>
      <c r="C2792" s="223" t="n"/>
      <c r="D2792" s="127" t="n"/>
      <c r="E2792" s="227" t="n"/>
      <c r="F2792" s="227" t="n"/>
      <c r="G2792" s="227" t="n"/>
      <c r="H2792" s="227" t="n"/>
      <c r="I2792" s="227" t="n"/>
      <c r="J2792" s="227" t="n"/>
      <c r="K2792" s="227" t="n"/>
      <c r="L2792" s="227" t="n"/>
      <c r="M2792" s="227" t="n"/>
      <c r="N2792" s="127" t="n"/>
      <c r="O2792" s="227" t="n"/>
      <c r="P2792" s="227" t="n"/>
      <c r="Q2792" s="227" t="n"/>
      <c r="R2792" s="227" t="n"/>
      <c r="S2792" s="227" t="n"/>
      <c r="T2792" s="227" t="n"/>
    </row>
    <row r="2793">
      <c r="A2793" s="145">
        <f>IF($B2793="","",ROW()-5)</f>
        <v/>
      </c>
      <c r="B2793" s="127" t="n"/>
      <c r="C2793" s="223" t="n"/>
      <c r="D2793" s="127" t="n"/>
      <c r="E2793" s="227" t="n"/>
      <c r="F2793" s="227" t="n"/>
      <c r="G2793" s="227" t="n"/>
      <c r="H2793" s="227" t="n"/>
      <c r="I2793" s="227" t="n"/>
      <c r="J2793" s="227" t="n"/>
      <c r="K2793" s="227" t="n"/>
      <c r="L2793" s="227" t="n"/>
      <c r="M2793" s="227" t="n"/>
      <c r="N2793" s="127" t="n"/>
      <c r="O2793" s="227" t="n"/>
      <c r="P2793" s="227" t="n"/>
      <c r="Q2793" s="227" t="n"/>
      <c r="R2793" s="227" t="n"/>
      <c r="S2793" s="227" t="n"/>
      <c r="T2793" s="227" t="n"/>
    </row>
    <row r="2794">
      <c r="A2794" s="145">
        <f>IF($B2794="","",ROW()-5)</f>
        <v/>
      </c>
      <c r="B2794" s="127" t="n"/>
      <c r="C2794" s="223" t="n"/>
      <c r="D2794" s="127" t="n"/>
      <c r="E2794" s="227" t="n"/>
      <c r="F2794" s="227" t="n"/>
      <c r="G2794" s="227" t="n"/>
      <c r="H2794" s="227" t="n"/>
      <c r="I2794" s="227" t="n"/>
      <c r="J2794" s="227" t="n"/>
      <c r="K2794" s="227" t="n"/>
      <c r="L2794" s="227" t="n"/>
      <c r="M2794" s="227" t="n"/>
      <c r="N2794" s="127" t="n"/>
      <c r="O2794" s="227" t="n"/>
      <c r="P2794" s="227" t="n"/>
      <c r="Q2794" s="227" t="n"/>
      <c r="R2794" s="227" t="n"/>
      <c r="S2794" s="227" t="n"/>
      <c r="T2794" s="227" t="n"/>
    </row>
    <row r="2795">
      <c r="A2795" s="145">
        <f>IF($B2795="","",ROW()-5)</f>
        <v/>
      </c>
      <c r="B2795" s="127" t="n"/>
      <c r="C2795" s="223" t="n"/>
      <c r="D2795" s="127" t="n"/>
      <c r="E2795" s="227" t="n"/>
      <c r="F2795" s="227" t="n"/>
      <c r="G2795" s="227" t="n"/>
      <c r="H2795" s="227" t="n"/>
      <c r="I2795" s="227" t="n"/>
      <c r="J2795" s="227" t="n"/>
      <c r="K2795" s="227" t="n"/>
      <c r="L2795" s="227" t="n"/>
      <c r="M2795" s="227" t="n"/>
      <c r="N2795" s="127" t="n"/>
      <c r="O2795" s="227" t="n"/>
      <c r="P2795" s="227" t="n"/>
      <c r="Q2795" s="227" t="n"/>
      <c r="R2795" s="227" t="n"/>
      <c r="S2795" s="227" t="n"/>
      <c r="T2795" s="227" t="n"/>
    </row>
    <row r="2796">
      <c r="A2796" s="145">
        <f>IF($B2796="","",ROW()-5)</f>
        <v/>
      </c>
      <c r="B2796" s="127" t="n"/>
      <c r="C2796" s="223" t="n"/>
      <c r="D2796" s="127" t="n"/>
      <c r="E2796" s="227" t="n"/>
      <c r="F2796" s="227" t="n"/>
      <c r="G2796" s="227" t="n"/>
      <c r="H2796" s="227" t="n"/>
      <c r="I2796" s="227" t="n"/>
      <c r="J2796" s="227" t="n"/>
      <c r="K2796" s="227" t="n"/>
      <c r="L2796" s="227" t="n"/>
      <c r="M2796" s="227" t="n"/>
      <c r="N2796" s="127" t="n"/>
      <c r="O2796" s="227" t="n"/>
      <c r="P2796" s="227" t="n"/>
      <c r="Q2796" s="227" t="n"/>
      <c r="R2796" s="227" t="n"/>
      <c r="S2796" s="227" t="n"/>
      <c r="T2796" s="227" t="n"/>
    </row>
    <row r="2797">
      <c r="A2797" s="145">
        <f>IF($B2797="","",ROW()-5)</f>
        <v/>
      </c>
      <c r="B2797" s="127" t="n"/>
      <c r="C2797" s="223" t="n"/>
      <c r="D2797" s="127" t="n"/>
      <c r="E2797" s="227" t="n"/>
      <c r="F2797" s="227" t="n"/>
      <c r="G2797" s="227" t="n"/>
      <c r="H2797" s="227" t="n"/>
      <c r="I2797" s="227" t="n"/>
      <c r="J2797" s="227" t="n"/>
      <c r="K2797" s="227" t="n"/>
      <c r="L2797" s="227" t="n"/>
      <c r="M2797" s="227" t="n"/>
      <c r="N2797" s="127" t="n"/>
      <c r="O2797" s="227" t="n"/>
      <c r="P2797" s="227" t="n"/>
      <c r="Q2797" s="227" t="n"/>
      <c r="R2797" s="227" t="n"/>
      <c r="S2797" s="227" t="n"/>
      <c r="T2797" s="227" t="n"/>
    </row>
    <row r="2798">
      <c r="A2798" s="145">
        <f>IF($B2798="","",ROW()-5)</f>
        <v/>
      </c>
      <c r="B2798" s="127" t="n"/>
      <c r="C2798" s="223" t="n"/>
      <c r="D2798" s="127" t="n"/>
      <c r="E2798" s="227" t="n"/>
      <c r="F2798" s="227" t="n"/>
      <c r="G2798" s="227" t="n"/>
      <c r="H2798" s="227" t="n"/>
      <c r="I2798" s="227" t="n"/>
      <c r="J2798" s="227" t="n"/>
      <c r="K2798" s="227" t="n"/>
      <c r="L2798" s="227" t="n"/>
      <c r="M2798" s="227" t="n"/>
      <c r="N2798" s="127" t="n"/>
      <c r="O2798" s="227" t="n"/>
      <c r="P2798" s="227" t="n"/>
      <c r="Q2798" s="227" t="n"/>
      <c r="R2798" s="227" t="n"/>
      <c r="S2798" s="227" t="n"/>
      <c r="T2798" s="227" t="n"/>
    </row>
    <row r="2799">
      <c r="A2799" s="145">
        <f>IF($B2799="","",ROW()-5)</f>
        <v/>
      </c>
      <c r="B2799" s="127" t="n"/>
      <c r="C2799" s="223" t="n"/>
      <c r="D2799" s="127" t="n"/>
      <c r="E2799" s="227" t="n"/>
      <c r="F2799" s="227" t="n"/>
      <c r="G2799" s="227" t="n"/>
      <c r="H2799" s="227" t="n"/>
      <c r="I2799" s="227" t="n"/>
      <c r="J2799" s="227" t="n"/>
      <c r="K2799" s="227" t="n"/>
      <c r="L2799" s="227" t="n"/>
      <c r="M2799" s="227" t="n"/>
      <c r="N2799" s="127" t="n"/>
      <c r="O2799" s="227" t="n"/>
      <c r="P2799" s="227" t="n"/>
      <c r="Q2799" s="227" t="n"/>
      <c r="R2799" s="227" t="n"/>
      <c r="S2799" s="227" t="n"/>
      <c r="T2799" s="227" t="n"/>
    </row>
    <row r="2800">
      <c r="A2800" s="145">
        <f>IF($B2800="","",ROW()-5)</f>
        <v/>
      </c>
      <c r="B2800" s="127" t="n"/>
      <c r="C2800" s="223" t="n"/>
      <c r="D2800" s="127" t="n"/>
      <c r="E2800" s="227" t="n"/>
      <c r="F2800" s="227" t="n"/>
      <c r="G2800" s="227" t="n"/>
      <c r="H2800" s="227" t="n"/>
      <c r="I2800" s="227" t="n"/>
      <c r="J2800" s="227" t="n"/>
      <c r="K2800" s="227" t="n"/>
      <c r="L2800" s="227" t="n"/>
      <c r="M2800" s="227" t="n"/>
      <c r="N2800" s="127" t="n"/>
      <c r="O2800" s="227" t="n"/>
      <c r="P2800" s="227" t="n"/>
      <c r="Q2800" s="227" t="n"/>
      <c r="R2800" s="227" t="n"/>
      <c r="S2800" s="227" t="n"/>
      <c r="T2800" s="227" t="n"/>
    </row>
    <row r="2801">
      <c r="A2801" s="145">
        <f>IF($B2801="","",ROW()-5)</f>
        <v/>
      </c>
      <c r="B2801" s="127" t="n"/>
      <c r="C2801" s="223" t="n"/>
      <c r="D2801" s="127" t="n"/>
      <c r="E2801" s="227" t="n"/>
      <c r="F2801" s="227" t="n"/>
      <c r="G2801" s="227" t="n"/>
      <c r="H2801" s="227" t="n"/>
      <c r="I2801" s="227" t="n"/>
      <c r="J2801" s="227" t="n"/>
      <c r="K2801" s="227" t="n"/>
      <c r="L2801" s="227" t="n"/>
      <c r="M2801" s="227" t="n"/>
      <c r="N2801" s="127" t="n"/>
      <c r="O2801" s="227" t="n"/>
      <c r="P2801" s="227" t="n"/>
      <c r="Q2801" s="227" t="n"/>
      <c r="R2801" s="227" t="n"/>
      <c r="S2801" s="227" t="n"/>
      <c r="T2801" s="227" t="n"/>
    </row>
    <row r="2802">
      <c r="A2802" s="145">
        <f>IF($B2802="","",ROW()-5)</f>
        <v/>
      </c>
      <c r="B2802" s="127" t="n"/>
      <c r="C2802" s="223" t="n"/>
      <c r="D2802" s="127" t="n"/>
      <c r="E2802" s="227" t="n"/>
      <c r="F2802" s="227" t="n"/>
      <c r="G2802" s="227" t="n"/>
      <c r="H2802" s="227" t="n"/>
      <c r="I2802" s="227" t="n"/>
      <c r="J2802" s="227" t="n"/>
      <c r="K2802" s="227" t="n"/>
      <c r="L2802" s="227" t="n"/>
      <c r="M2802" s="227" t="n"/>
      <c r="N2802" s="127" t="n"/>
      <c r="O2802" s="227" t="n"/>
      <c r="P2802" s="227" t="n"/>
      <c r="Q2802" s="227" t="n"/>
      <c r="R2802" s="227" t="n"/>
      <c r="S2802" s="227" t="n"/>
      <c r="T2802" s="227" t="n"/>
    </row>
    <row r="2803">
      <c r="A2803" s="145">
        <f>IF($B2803="","",ROW()-5)</f>
        <v/>
      </c>
      <c r="B2803" s="127" t="n"/>
      <c r="C2803" s="223" t="n"/>
      <c r="D2803" s="127" t="n"/>
      <c r="E2803" s="227" t="n"/>
      <c r="F2803" s="227" t="n"/>
      <c r="G2803" s="227" t="n"/>
      <c r="H2803" s="227" t="n"/>
      <c r="I2803" s="227" t="n"/>
      <c r="J2803" s="227" t="n"/>
      <c r="K2803" s="227" t="n"/>
      <c r="L2803" s="227" t="n"/>
      <c r="M2803" s="227" t="n"/>
      <c r="N2803" s="127" t="n"/>
      <c r="O2803" s="227" t="n"/>
      <c r="P2803" s="227" t="n"/>
      <c r="Q2803" s="227" t="n"/>
      <c r="R2803" s="227" t="n"/>
      <c r="S2803" s="227" t="n"/>
      <c r="T2803" s="227" t="n"/>
    </row>
    <row r="2804">
      <c r="A2804" s="145">
        <f>IF($B2804="","",ROW()-5)</f>
        <v/>
      </c>
      <c r="B2804" s="127" t="n"/>
      <c r="C2804" s="223" t="n"/>
      <c r="D2804" s="127" t="n"/>
      <c r="E2804" s="227" t="n"/>
      <c r="F2804" s="227" t="n"/>
      <c r="G2804" s="227" t="n"/>
      <c r="H2804" s="227" t="n"/>
      <c r="I2804" s="227" t="n"/>
      <c r="J2804" s="227" t="n"/>
      <c r="K2804" s="227" t="n"/>
      <c r="L2804" s="227" t="n"/>
      <c r="M2804" s="227" t="n"/>
      <c r="N2804" s="127" t="n"/>
      <c r="O2804" s="227" t="n"/>
      <c r="P2804" s="227" t="n"/>
      <c r="Q2804" s="227" t="n"/>
      <c r="R2804" s="227" t="n"/>
      <c r="S2804" s="227" t="n"/>
      <c r="T2804" s="227" t="n"/>
    </row>
    <row r="2805">
      <c r="A2805" s="145">
        <f>IF($B2805="","",ROW()-5)</f>
        <v/>
      </c>
      <c r="B2805" s="127" t="n"/>
      <c r="C2805" s="223" t="n"/>
      <c r="D2805" s="127" t="n"/>
      <c r="E2805" s="227" t="n"/>
      <c r="F2805" s="227" t="n"/>
      <c r="G2805" s="227" t="n"/>
      <c r="H2805" s="227" t="n"/>
      <c r="I2805" s="227" t="n"/>
      <c r="J2805" s="227" t="n"/>
      <c r="K2805" s="227" t="n"/>
      <c r="L2805" s="227" t="n"/>
      <c r="M2805" s="227" t="n"/>
      <c r="N2805" s="127" t="n"/>
      <c r="O2805" s="227" t="n"/>
      <c r="P2805" s="227" t="n"/>
      <c r="Q2805" s="227" t="n"/>
      <c r="R2805" s="227" t="n"/>
      <c r="S2805" s="227" t="n"/>
      <c r="T2805" s="227" t="n"/>
    </row>
    <row r="2806">
      <c r="A2806" s="145">
        <f>IF($B2806="","",ROW()-5)</f>
        <v/>
      </c>
      <c r="B2806" s="127" t="n"/>
      <c r="C2806" s="223" t="n"/>
      <c r="D2806" s="127" t="n"/>
      <c r="E2806" s="227" t="n"/>
      <c r="F2806" s="227" t="n"/>
      <c r="G2806" s="227" t="n"/>
      <c r="H2806" s="227" t="n"/>
      <c r="I2806" s="227" t="n"/>
      <c r="J2806" s="227" t="n"/>
      <c r="K2806" s="227" t="n"/>
      <c r="L2806" s="227" t="n"/>
      <c r="M2806" s="227" t="n"/>
      <c r="N2806" s="127" t="n"/>
      <c r="O2806" s="227" t="n"/>
      <c r="P2806" s="227" t="n"/>
      <c r="Q2806" s="227" t="n"/>
      <c r="R2806" s="227" t="n"/>
      <c r="S2806" s="227" t="n"/>
      <c r="T2806" s="227" t="n"/>
    </row>
    <row r="2807">
      <c r="A2807" s="145">
        <f>IF($B2807="","",ROW()-5)</f>
        <v/>
      </c>
      <c r="B2807" s="127" t="n"/>
      <c r="C2807" s="223" t="n"/>
      <c r="D2807" s="127" t="n"/>
      <c r="E2807" s="227" t="n"/>
      <c r="F2807" s="227" t="n"/>
      <c r="G2807" s="227" t="n"/>
      <c r="H2807" s="227" t="n"/>
      <c r="I2807" s="227" t="n"/>
      <c r="J2807" s="227" t="n"/>
      <c r="K2807" s="227" t="n"/>
      <c r="L2807" s="227" t="n"/>
      <c r="M2807" s="227" t="n"/>
      <c r="N2807" s="127" t="n"/>
      <c r="O2807" s="227" t="n"/>
      <c r="P2807" s="227" t="n"/>
      <c r="Q2807" s="227" t="n"/>
      <c r="R2807" s="227" t="n"/>
      <c r="S2807" s="227" t="n"/>
      <c r="T2807" s="227" t="n"/>
    </row>
    <row r="2808">
      <c r="A2808" s="145">
        <f>IF($B2808="","",ROW()-5)</f>
        <v/>
      </c>
      <c r="B2808" s="127" t="n"/>
      <c r="C2808" s="223" t="n"/>
      <c r="D2808" s="127" t="n"/>
      <c r="E2808" s="227" t="n"/>
      <c r="F2808" s="227" t="n"/>
      <c r="G2808" s="227" t="n"/>
      <c r="H2808" s="227" t="n"/>
      <c r="I2808" s="227" t="n"/>
      <c r="J2808" s="227" t="n"/>
      <c r="K2808" s="227" t="n"/>
      <c r="L2808" s="227" t="n"/>
      <c r="M2808" s="227" t="n"/>
      <c r="N2808" s="127" t="n"/>
      <c r="O2808" s="227" t="n"/>
      <c r="P2808" s="227" t="n"/>
      <c r="Q2808" s="227" t="n"/>
      <c r="R2808" s="227" t="n"/>
      <c r="S2808" s="227" t="n"/>
      <c r="T2808" s="227" t="n"/>
    </row>
    <row r="2809">
      <c r="A2809" s="145">
        <f>IF($B2809="","",ROW()-5)</f>
        <v/>
      </c>
      <c r="B2809" s="127" t="n"/>
      <c r="C2809" s="223" t="n"/>
      <c r="D2809" s="127" t="n"/>
      <c r="E2809" s="227" t="n"/>
      <c r="F2809" s="227" t="n"/>
      <c r="G2809" s="227" t="n"/>
      <c r="H2809" s="227" t="n"/>
      <c r="I2809" s="227" t="n"/>
      <c r="J2809" s="227" t="n"/>
      <c r="K2809" s="227" t="n"/>
      <c r="L2809" s="227" t="n"/>
      <c r="M2809" s="227" t="n"/>
      <c r="N2809" s="127" t="n"/>
      <c r="O2809" s="227" t="n"/>
      <c r="P2809" s="227" t="n"/>
      <c r="Q2809" s="227" t="n"/>
      <c r="R2809" s="227" t="n"/>
      <c r="S2809" s="227" t="n"/>
      <c r="T2809" s="227" t="n"/>
    </row>
    <row r="2810">
      <c r="A2810" s="145">
        <f>IF($B2810="","",ROW()-5)</f>
        <v/>
      </c>
      <c r="B2810" s="127" t="n"/>
      <c r="C2810" s="223" t="n"/>
      <c r="D2810" s="127" t="n"/>
      <c r="E2810" s="227" t="n"/>
      <c r="F2810" s="227" t="n"/>
      <c r="G2810" s="227" t="n"/>
      <c r="H2810" s="227" t="n"/>
      <c r="I2810" s="227" t="n"/>
      <c r="J2810" s="227" t="n"/>
      <c r="K2810" s="227" t="n"/>
      <c r="L2810" s="227" t="n"/>
      <c r="M2810" s="227" t="n"/>
      <c r="N2810" s="127" t="n"/>
      <c r="O2810" s="227" t="n"/>
      <c r="P2810" s="227" t="n"/>
      <c r="Q2810" s="227" t="n"/>
      <c r="R2810" s="227" t="n"/>
      <c r="S2810" s="227" t="n"/>
      <c r="T2810" s="227" t="n"/>
    </row>
    <row r="2811">
      <c r="A2811" s="145">
        <f>IF($B2811="","",ROW()-5)</f>
        <v/>
      </c>
      <c r="B2811" s="127" t="n"/>
      <c r="C2811" s="223" t="n"/>
      <c r="D2811" s="127" t="n"/>
      <c r="E2811" s="227" t="n"/>
      <c r="F2811" s="227" t="n"/>
      <c r="G2811" s="227" t="n"/>
      <c r="H2811" s="227" t="n"/>
      <c r="I2811" s="227" t="n"/>
      <c r="J2811" s="227" t="n"/>
      <c r="K2811" s="227" t="n"/>
      <c r="L2811" s="227" t="n"/>
      <c r="M2811" s="227" t="n"/>
      <c r="N2811" s="127" t="n"/>
      <c r="O2811" s="227" t="n"/>
      <c r="P2811" s="227" t="n"/>
      <c r="Q2811" s="227" t="n"/>
      <c r="R2811" s="227" t="n"/>
      <c r="S2811" s="227" t="n"/>
      <c r="T2811" s="227" t="n"/>
    </row>
    <row r="2812">
      <c r="A2812" s="145">
        <f>IF($B2812="","",ROW()-5)</f>
        <v/>
      </c>
      <c r="B2812" s="127" t="n"/>
      <c r="C2812" s="223" t="n"/>
      <c r="D2812" s="127" t="n"/>
      <c r="E2812" s="227" t="n"/>
      <c r="F2812" s="227" t="n"/>
      <c r="G2812" s="227" t="n"/>
      <c r="H2812" s="227" t="n"/>
      <c r="I2812" s="227" t="n"/>
      <c r="J2812" s="227" t="n"/>
      <c r="K2812" s="227" t="n"/>
      <c r="L2812" s="227" t="n"/>
      <c r="M2812" s="227" t="n"/>
      <c r="N2812" s="127" t="n"/>
      <c r="O2812" s="227" t="n"/>
      <c r="P2812" s="227" t="n"/>
      <c r="Q2812" s="227" t="n"/>
      <c r="R2812" s="227" t="n"/>
      <c r="S2812" s="227" t="n"/>
      <c r="T2812" s="227" t="n"/>
    </row>
    <row r="2813">
      <c r="A2813" s="145">
        <f>IF($B2813="","",ROW()-5)</f>
        <v/>
      </c>
      <c r="B2813" s="127" t="n"/>
      <c r="C2813" s="223" t="n"/>
      <c r="D2813" s="127" t="n"/>
      <c r="E2813" s="227" t="n"/>
      <c r="F2813" s="227" t="n"/>
      <c r="G2813" s="227" t="n"/>
      <c r="H2813" s="227" t="n"/>
      <c r="I2813" s="227" t="n"/>
      <c r="J2813" s="227" t="n"/>
      <c r="K2813" s="227" t="n"/>
      <c r="L2813" s="227" t="n"/>
      <c r="M2813" s="227" t="n"/>
      <c r="N2813" s="127" t="n"/>
      <c r="O2813" s="227" t="n"/>
      <c r="P2813" s="227" t="n"/>
      <c r="Q2813" s="227" t="n"/>
      <c r="R2813" s="227" t="n"/>
      <c r="S2813" s="227" t="n"/>
      <c r="T2813" s="227" t="n"/>
    </row>
    <row r="2814">
      <c r="A2814" s="145">
        <f>IF($B2814="","",ROW()-5)</f>
        <v/>
      </c>
      <c r="B2814" s="127" t="n"/>
      <c r="C2814" s="223" t="n"/>
      <c r="D2814" s="127" t="n"/>
      <c r="E2814" s="227" t="n"/>
      <c r="F2814" s="227" t="n"/>
      <c r="G2814" s="227" t="n"/>
      <c r="H2814" s="227" t="n"/>
      <c r="I2814" s="227" t="n"/>
      <c r="J2814" s="227" t="n"/>
      <c r="K2814" s="227" t="n"/>
      <c r="L2814" s="227" t="n"/>
      <c r="M2814" s="227" t="n"/>
      <c r="N2814" s="127" t="n"/>
      <c r="O2814" s="227" t="n"/>
      <c r="P2814" s="227" t="n"/>
      <c r="Q2814" s="227" t="n"/>
      <c r="R2814" s="227" t="n"/>
      <c r="S2814" s="227" t="n"/>
      <c r="T2814" s="227" t="n"/>
    </row>
    <row r="2815">
      <c r="A2815" s="145">
        <f>IF($B2815="","",ROW()-5)</f>
        <v/>
      </c>
      <c r="B2815" s="127" t="n"/>
      <c r="C2815" s="223" t="n"/>
      <c r="D2815" s="127" t="n"/>
      <c r="E2815" s="227" t="n"/>
      <c r="F2815" s="227" t="n"/>
      <c r="G2815" s="227" t="n"/>
      <c r="H2815" s="227" t="n"/>
      <c r="I2815" s="227" t="n"/>
      <c r="J2815" s="227" t="n"/>
      <c r="K2815" s="227" t="n"/>
      <c r="L2815" s="227" t="n"/>
      <c r="M2815" s="227" t="n"/>
      <c r="N2815" s="127" t="n"/>
      <c r="O2815" s="227" t="n"/>
      <c r="P2815" s="227" t="n"/>
      <c r="Q2815" s="227" t="n"/>
      <c r="R2815" s="227" t="n"/>
      <c r="S2815" s="227" t="n"/>
      <c r="T2815" s="227" t="n"/>
    </row>
    <row r="2816">
      <c r="A2816" s="145">
        <f>IF($B2816="","",ROW()-5)</f>
        <v/>
      </c>
      <c r="B2816" s="127" t="n"/>
      <c r="C2816" s="223" t="n"/>
      <c r="D2816" s="127" t="n"/>
      <c r="E2816" s="227" t="n"/>
      <c r="F2816" s="227" t="n"/>
      <c r="G2816" s="227" t="n"/>
      <c r="H2816" s="227" t="n"/>
      <c r="I2816" s="227" t="n"/>
      <c r="J2816" s="227" t="n"/>
      <c r="K2816" s="227" t="n"/>
      <c r="L2816" s="227" t="n"/>
      <c r="M2816" s="227" t="n"/>
      <c r="N2816" s="127" t="n"/>
      <c r="O2816" s="227" t="n"/>
      <c r="P2816" s="227" t="n"/>
      <c r="Q2816" s="227" t="n"/>
      <c r="R2816" s="227" t="n"/>
      <c r="S2816" s="227" t="n"/>
      <c r="T2816" s="227" t="n"/>
    </row>
    <row r="2817">
      <c r="A2817" s="145">
        <f>IF($B2817="","",ROW()-5)</f>
        <v/>
      </c>
      <c r="B2817" s="127" t="n"/>
      <c r="C2817" s="223" t="n"/>
      <c r="D2817" s="127" t="n"/>
      <c r="E2817" s="227" t="n"/>
      <c r="F2817" s="227" t="n"/>
      <c r="G2817" s="227" t="n"/>
      <c r="H2817" s="227" t="n"/>
      <c r="I2817" s="227" t="n"/>
      <c r="J2817" s="227" t="n"/>
      <c r="K2817" s="227" t="n"/>
      <c r="L2817" s="227" t="n"/>
      <c r="M2817" s="227" t="n"/>
      <c r="N2817" s="127" t="n"/>
      <c r="O2817" s="227" t="n"/>
      <c r="P2817" s="227" t="n"/>
      <c r="Q2817" s="227" t="n"/>
      <c r="R2817" s="227" t="n"/>
      <c r="S2817" s="227" t="n"/>
      <c r="T2817" s="227" t="n"/>
    </row>
    <row r="2818">
      <c r="A2818" s="145">
        <f>IF($B2818="","",ROW()-5)</f>
        <v/>
      </c>
      <c r="B2818" s="127" t="n"/>
      <c r="C2818" s="223" t="n"/>
      <c r="D2818" s="127" t="n"/>
      <c r="E2818" s="227" t="n"/>
      <c r="F2818" s="227" t="n"/>
      <c r="G2818" s="227" t="n"/>
      <c r="H2818" s="227" t="n"/>
      <c r="I2818" s="227" t="n"/>
      <c r="J2818" s="227" t="n"/>
      <c r="K2818" s="227" t="n"/>
      <c r="L2818" s="227" t="n"/>
      <c r="M2818" s="227" t="n"/>
      <c r="N2818" s="127" t="n"/>
      <c r="O2818" s="227" t="n"/>
      <c r="P2818" s="227" t="n"/>
      <c r="Q2818" s="227" t="n"/>
      <c r="R2818" s="227" t="n"/>
      <c r="S2818" s="227" t="n"/>
      <c r="T2818" s="227" t="n"/>
    </row>
    <row r="2819">
      <c r="A2819" s="145">
        <f>IF($B2819="","",ROW()-5)</f>
        <v/>
      </c>
      <c r="B2819" s="127" t="n"/>
      <c r="C2819" s="223" t="n"/>
      <c r="D2819" s="127" t="n"/>
      <c r="E2819" s="227" t="n"/>
      <c r="F2819" s="227" t="n"/>
      <c r="G2819" s="227" t="n"/>
      <c r="H2819" s="227" t="n"/>
      <c r="I2819" s="227" t="n"/>
      <c r="J2819" s="227" t="n"/>
      <c r="K2819" s="227" t="n"/>
      <c r="L2819" s="227" t="n"/>
      <c r="M2819" s="227" t="n"/>
      <c r="N2819" s="127" t="n"/>
      <c r="O2819" s="227" t="n"/>
      <c r="P2819" s="227" t="n"/>
      <c r="Q2819" s="227" t="n"/>
      <c r="R2819" s="227" t="n"/>
      <c r="S2819" s="227" t="n"/>
      <c r="T2819" s="227" t="n"/>
    </row>
    <row r="2820">
      <c r="A2820" s="145">
        <f>IF($B2820="","",ROW()-5)</f>
        <v/>
      </c>
      <c r="B2820" s="127" t="n"/>
      <c r="C2820" s="223" t="n"/>
      <c r="D2820" s="127" t="n"/>
      <c r="E2820" s="227" t="n"/>
      <c r="F2820" s="227" t="n"/>
      <c r="G2820" s="227" t="n"/>
      <c r="H2820" s="227" t="n"/>
      <c r="I2820" s="227" t="n"/>
      <c r="J2820" s="227" t="n"/>
      <c r="K2820" s="227" t="n"/>
      <c r="L2820" s="227" t="n"/>
      <c r="M2820" s="227" t="n"/>
      <c r="N2820" s="127" t="n"/>
      <c r="O2820" s="227" t="n"/>
      <c r="P2820" s="227" t="n"/>
      <c r="Q2820" s="227" t="n"/>
      <c r="R2820" s="227" t="n"/>
      <c r="S2820" s="227" t="n"/>
      <c r="T2820" s="227" t="n"/>
    </row>
    <row r="2821">
      <c r="A2821" s="145">
        <f>IF($B2821="","",ROW()-5)</f>
        <v/>
      </c>
      <c r="B2821" s="127" t="n"/>
      <c r="C2821" s="223" t="n"/>
      <c r="D2821" s="127" t="n"/>
      <c r="E2821" s="227" t="n"/>
      <c r="F2821" s="227" t="n"/>
      <c r="G2821" s="227" t="n"/>
      <c r="H2821" s="227" t="n"/>
      <c r="I2821" s="227" t="n"/>
      <c r="J2821" s="227" t="n"/>
      <c r="K2821" s="227" t="n"/>
      <c r="L2821" s="227" t="n"/>
      <c r="M2821" s="227" t="n"/>
      <c r="N2821" s="127" t="n"/>
      <c r="O2821" s="227" t="n"/>
      <c r="P2821" s="227" t="n"/>
      <c r="Q2821" s="227" t="n"/>
      <c r="R2821" s="227" t="n"/>
      <c r="S2821" s="227" t="n"/>
      <c r="T2821" s="227" t="n"/>
    </row>
    <row r="2822">
      <c r="A2822" s="145">
        <f>IF($B2822="","",ROW()-5)</f>
        <v/>
      </c>
      <c r="B2822" s="127" t="n"/>
      <c r="C2822" s="223" t="n"/>
      <c r="D2822" s="127" t="n"/>
      <c r="E2822" s="227" t="n"/>
      <c r="F2822" s="227" t="n"/>
      <c r="G2822" s="227" t="n"/>
      <c r="H2822" s="227" t="n"/>
      <c r="I2822" s="227" t="n"/>
      <c r="J2822" s="227" t="n"/>
      <c r="K2822" s="227" t="n"/>
      <c r="L2822" s="227" t="n"/>
      <c r="M2822" s="227" t="n"/>
      <c r="N2822" s="127" t="n"/>
      <c r="O2822" s="227" t="n"/>
      <c r="P2822" s="227" t="n"/>
      <c r="Q2822" s="227" t="n"/>
      <c r="R2822" s="227" t="n"/>
      <c r="S2822" s="227" t="n"/>
      <c r="T2822" s="227" t="n"/>
    </row>
    <row r="2823">
      <c r="A2823" s="145">
        <f>IF($B2823="","",ROW()-5)</f>
        <v/>
      </c>
      <c r="B2823" s="127" t="n"/>
      <c r="C2823" s="223" t="n"/>
      <c r="D2823" s="127" t="n"/>
      <c r="E2823" s="227" t="n"/>
      <c r="F2823" s="227" t="n"/>
      <c r="G2823" s="227" t="n"/>
      <c r="H2823" s="227" t="n"/>
      <c r="I2823" s="227" t="n"/>
      <c r="J2823" s="227" t="n"/>
      <c r="K2823" s="227" t="n"/>
      <c r="L2823" s="227" t="n"/>
      <c r="M2823" s="227" t="n"/>
      <c r="N2823" s="127" t="n"/>
      <c r="O2823" s="227" t="n"/>
      <c r="P2823" s="227" t="n"/>
      <c r="Q2823" s="227" t="n"/>
      <c r="R2823" s="227" t="n"/>
      <c r="S2823" s="227" t="n"/>
      <c r="T2823" s="227" t="n"/>
    </row>
    <row r="2824">
      <c r="A2824" s="145">
        <f>IF($B2824="","",ROW()-5)</f>
        <v/>
      </c>
      <c r="B2824" s="127" t="n"/>
      <c r="C2824" s="223" t="n"/>
      <c r="D2824" s="127" t="n"/>
      <c r="E2824" s="227" t="n"/>
      <c r="F2824" s="227" t="n"/>
      <c r="G2824" s="227" t="n"/>
      <c r="H2824" s="227" t="n"/>
      <c r="I2824" s="227" t="n"/>
      <c r="J2824" s="227" t="n"/>
      <c r="K2824" s="227" t="n"/>
      <c r="L2824" s="227" t="n"/>
      <c r="M2824" s="227" t="n"/>
      <c r="N2824" s="127" t="n"/>
      <c r="O2824" s="227" t="n"/>
      <c r="P2824" s="227" t="n"/>
      <c r="Q2824" s="227" t="n"/>
      <c r="R2824" s="227" t="n"/>
      <c r="S2824" s="227" t="n"/>
      <c r="T2824" s="227" t="n"/>
    </row>
    <row r="2825">
      <c r="A2825" s="145">
        <f>IF($B2825="","",ROW()-5)</f>
        <v/>
      </c>
      <c r="B2825" s="127" t="n"/>
      <c r="C2825" s="223" t="n"/>
      <c r="D2825" s="127" t="n"/>
      <c r="E2825" s="227" t="n"/>
      <c r="F2825" s="227" t="n"/>
      <c r="G2825" s="227" t="n"/>
      <c r="H2825" s="227" t="n"/>
      <c r="I2825" s="227" t="n"/>
      <c r="J2825" s="227" t="n"/>
      <c r="K2825" s="227" t="n"/>
      <c r="L2825" s="227" t="n"/>
      <c r="M2825" s="227" t="n"/>
      <c r="N2825" s="127" t="n"/>
      <c r="O2825" s="227" t="n"/>
      <c r="P2825" s="227" t="n"/>
      <c r="Q2825" s="227" t="n"/>
      <c r="R2825" s="227" t="n"/>
      <c r="S2825" s="227" t="n"/>
      <c r="T2825" s="227" t="n"/>
    </row>
    <row r="2826">
      <c r="A2826" s="145">
        <f>IF($B2826="","",ROW()-5)</f>
        <v/>
      </c>
      <c r="B2826" s="127" t="n"/>
      <c r="C2826" s="223" t="n"/>
      <c r="D2826" s="127" t="n"/>
      <c r="E2826" s="227" t="n"/>
      <c r="F2826" s="227" t="n"/>
      <c r="G2826" s="227" t="n"/>
      <c r="H2826" s="227" t="n"/>
      <c r="I2826" s="227" t="n"/>
      <c r="J2826" s="227" t="n"/>
      <c r="K2826" s="227" t="n"/>
      <c r="L2826" s="227" t="n"/>
      <c r="M2826" s="227" t="n"/>
      <c r="N2826" s="127" t="n"/>
      <c r="O2826" s="227" t="n"/>
      <c r="P2826" s="227" t="n"/>
      <c r="Q2826" s="227" t="n"/>
      <c r="R2826" s="227" t="n"/>
      <c r="S2826" s="227" t="n"/>
      <c r="T2826" s="227" t="n"/>
    </row>
    <row r="2827">
      <c r="A2827" s="145">
        <f>IF($B2827="","",ROW()-5)</f>
        <v/>
      </c>
      <c r="B2827" s="127" t="n"/>
      <c r="C2827" s="223" t="n"/>
      <c r="D2827" s="127" t="n"/>
      <c r="E2827" s="227" t="n"/>
      <c r="F2827" s="227" t="n"/>
      <c r="G2827" s="227" t="n"/>
      <c r="H2827" s="227" t="n"/>
      <c r="I2827" s="227" t="n"/>
      <c r="J2827" s="227" t="n"/>
      <c r="K2827" s="227" t="n"/>
      <c r="L2827" s="227" t="n"/>
      <c r="M2827" s="227" t="n"/>
      <c r="N2827" s="127" t="n"/>
      <c r="O2827" s="227" t="n"/>
      <c r="P2827" s="227" t="n"/>
      <c r="Q2827" s="227" t="n"/>
      <c r="R2827" s="227" t="n"/>
      <c r="S2827" s="227" t="n"/>
      <c r="T2827" s="227" t="n"/>
    </row>
    <row r="2828">
      <c r="A2828" s="145">
        <f>IF($B2828="","",ROW()-5)</f>
        <v/>
      </c>
      <c r="B2828" s="127" t="n"/>
      <c r="C2828" s="223" t="n"/>
      <c r="D2828" s="127" t="n"/>
      <c r="E2828" s="227" t="n"/>
      <c r="F2828" s="227" t="n"/>
      <c r="G2828" s="227" t="n"/>
      <c r="H2828" s="227" t="n"/>
      <c r="I2828" s="227" t="n"/>
      <c r="J2828" s="227" t="n"/>
      <c r="K2828" s="227" t="n"/>
      <c r="L2828" s="227" t="n"/>
      <c r="M2828" s="227" t="n"/>
      <c r="N2828" s="127" t="n"/>
      <c r="O2828" s="227" t="n"/>
      <c r="P2828" s="227" t="n"/>
      <c r="Q2828" s="227" t="n"/>
      <c r="R2828" s="227" t="n"/>
      <c r="S2828" s="227" t="n"/>
      <c r="T2828" s="227" t="n"/>
    </row>
    <row r="2829">
      <c r="A2829" s="145">
        <f>IF($B2829="","",ROW()-5)</f>
        <v/>
      </c>
      <c r="B2829" s="127" t="n"/>
      <c r="C2829" s="223" t="n"/>
      <c r="D2829" s="127" t="n"/>
      <c r="E2829" s="227" t="n"/>
      <c r="F2829" s="227" t="n"/>
      <c r="G2829" s="227" t="n"/>
      <c r="H2829" s="227" t="n"/>
      <c r="I2829" s="227" t="n"/>
      <c r="J2829" s="227" t="n"/>
      <c r="K2829" s="227" t="n"/>
      <c r="L2829" s="227" t="n"/>
      <c r="M2829" s="227" t="n"/>
      <c r="N2829" s="127" t="n"/>
      <c r="O2829" s="227" t="n"/>
      <c r="P2829" s="227" t="n"/>
      <c r="Q2829" s="227" t="n"/>
      <c r="R2829" s="227" t="n"/>
      <c r="S2829" s="227" t="n"/>
      <c r="T2829" s="227" t="n"/>
    </row>
    <row r="2830">
      <c r="A2830" s="145">
        <f>IF($B2830="","",ROW()-5)</f>
        <v/>
      </c>
      <c r="B2830" s="127" t="n"/>
      <c r="C2830" s="223" t="n"/>
      <c r="D2830" s="127" t="n"/>
      <c r="E2830" s="227" t="n"/>
      <c r="F2830" s="227" t="n"/>
      <c r="G2830" s="227" t="n"/>
      <c r="H2830" s="227" t="n"/>
      <c r="I2830" s="227" t="n"/>
      <c r="J2830" s="227" t="n"/>
      <c r="K2830" s="227" t="n"/>
      <c r="L2830" s="227" t="n"/>
      <c r="M2830" s="227" t="n"/>
      <c r="N2830" s="127" t="n"/>
      <c r="O2830" s="227" t="n"/>
      <c r="P2830" s="227" t="n"/>
      <c r="Q2830" s="227" t="n"/>
      <c r="R2830" s="227" t="n"/>
      <c r="S2830" s="227" t="n"/>
      <c r="T2830" s="227" t="n"/>
    </row>
    <row r="2831">
      <c r="A2831" s="145">
        <f>IF($B2831="","",ROW()-5)</f>
        <v/>
      </c>
      <c r="B2831" s="127" t="n"/>
      <c r="C2831" s="223" t="n"/>
      <c r="D2831" s="127" t="n"/>
      <c r="E2831" s="227" t="n"/>
      <c r="F2831" s="227" t="n"/>
      <c r="G2831" s="227" t="n"/>
      <c r="H2831" s="227" t="n"/>
      <c r="I2831" s="227" t="n"/>
      <c r="J2831" s="227" t="n"/>
      <c r="K2831" s="227" t="n"/>
      <c r="L2831" s="227" t="n"/>
      <c r="M2831" s="227" t="n"/>
      <c r="N2831" s="127" t="n"/>
      <c r="O2831" s="227" t="n"/>
      <c r="P2831" s="227" t="n"/>
      <c r="Q2831" s="227" t="n"/>
      <c r="R2831" s="227" t="n"/>
      <c r="S2831" s="227" t="n"/>
      <c r="T2831" s="227" t="n"/>
    </row>
    <row r="2832">
      <c r="A2832" s="145">
        <f>IF($B2832="","",ROW()-5)</f>
        <v/>
      </c>
      <c r="B2832" s="127" t="n"/>
      <c r="C2832" s="223" t="n"/>
      <c r="D2832" s="127" t="n"/>
      <c r="E2832" s="227" t="n"/>
      <c r="F2832" s="227" t="n"/>
      <c r="G2832" s="227" t="n"/>
      <c r="H2832" s="227" t="n"/>
      <c r="I2832" s="227" t="n"/>
      <c r="J2832" s="227" t="n"/>
      <c r="K2832" s="227" t="n"/>
      <c r="L2832" s="227" t="n"/>
      <c r="M2832" s="227" t="n"/>
      <c r="N2832" s="127" t="n"/>
      <c r="O2832" s="227" t="n"/>
      <c r="P2832" s="227" t="n"/>
      <c r="Q2832" s="227" t="n"/>
      <c r="R2832" s="227" t="n"/>
      <c r="S2832" s="227" t="n"/>
      <c r="T2832" s="227" t="n"/>
    </row>
    <row r="2833">
      <c r="A2833" s="145">
        <f>IF($B2833="","",ROW()-5)</f>
        <v/>
      </c>
      <c r="B2833" s="127" t="n"/>
      <c r="C2833" s="223" t="n"/>
      <c r="D2833" s="127" t="n"/>
      <c r="E2833" s="227" t="n"/>
      <c r="F2833" s="227" t="n"/>
      <c r="G2833" s="227" t="n"/>
      <c r="H2833" s="227" t="n"/>
      <c r="I2833" s="227" t="n"/>
      <c r="J2833" s="227" t="n"/>
      <c r="K2833" s="227" t="n"/>
      <c r="L2833" s="227" t="n"/>
      <c r="M2833" s="227" t="n"/>
      <c r="N2833" s="127" t="n"/>
      <c r="O2833" s="227" t="n"/>
      <c r="P2833" s="227" t="n"/>
      <c r="Q2833" s="227" t="n"/>
      <c r="R2833" s="227" t="n"/>
      <c r="S2833" s="227" t="n"/>
      <c r="T2833" s="227" t="n"/>
    </row>
    <row r="2834">
      <c r="A2834" s="145">
        <f>IF($B2834="","",ROW()-5)</f>
        <v/>
      </c>
      <c r="B2834" s="127" t="n"/>
      <c r="C2834" s="223" t="n"/>
      <c r="D2834" s="127" t="n"/>
      <c r="E2834" s="227" t="n"/>
      <c r="F2834" s="227" t="n"/>
      <c r="G2834" s="227" t="n"/>
      <c r="H2834" s="227" t="n"/>
      <c r="I2834" s="227" t="n"/>
      <c r="J2834" s="227" t="n"/>
      <c r="K2834" s="227" t="n"/>
      <c r="L2834" s="227" t="n"/>
      <c r="M2834" s="227" t="n"/>
      <c r="N2834" s="127" t="n"/>
      <c r="O2834" s="227" t="n"/>
      <c r="P2834" s="227" t="n"/>
      <c r="Q2834" s="227" t="n"/>
      <c r="R2834" s="227" t="n"/>
      <c r="S2834" s="227" t="n"/>
      <c r="T2834" s="227" t="n"/>
    </row>
    <row r="2835">
      <c r="A2835" s="145">
        <f>IF($B2835="","",ROW()-5)</f>
        <v/>
      </c>
      <c r="B2835" s="127" t="n"/>
      <c r="C2835" s="223" t="n"/>
      <c r="D2835" s="127" t="n"/>
      <c r="E2835" s="227" t="n"/>
      <c r="F2835" s="227" t="n"/>
      <c r="G2835" s="227" t="n"/>
      <c r="H2835" s="227" t="n"/>
      <c r="I2835" s="227" t="n"/>
      <c r="J2835" s="227" t="n"/>
      <c r="K2835" s="227" t="n"/>
      <c r="L2835" s="227" t="n"/>
      <c r="M2835" s="227" t="n"/>
      <c r="N2835" s="127" t="n"/>
      <c r="O2835" s="227" t="n"/>
      <c r="P2835" s="227" t="n"/>
      <c r="Q2835" s="227" t="n"/>
      <c r="R2835" s="227" t="n"/>
      <c r="S2835" s="227" t="n"/>
      <c r="T2835" s="227" t="n"/>
    </row>
    <row r="2836">
      <c r="A2836" s="145">
        <f>IF($B2836="","",ROW()-5)</f>
        <v/>
      </c>
      <c r="B2836" s="127" t="n"/>
      <c r="C2836" s="223" t="n"/>
      <c r="D2836" s="127" t="n"/>
      <c r="E2836" s="227" t="n"/>
      <c r="F2836" s="227" t="n"/>
      <c r="G2836" s="227" t="n"/>
      <c r="H2836" s="227" t="n"/>
      <c r="I2836" s="227" t="n"/>
      <c r="J2836" s="227" t="n"/>
      <c r="K2836" s="227" t="n"/>
      <c r="L2836" s="227" t="n"/>
      <c r="M2836" s="227" t="n"/>
      <c r="N2836" s="127" t="n"/>
      <c r="O2836" s="227" t="n"/>
      <c r="P2836" s="227" t="n"/>
      <c r="Q2836" s="227" t="n"/>
      <c r="R2836" s="227" t="n"/>
      <c r="S2836" s="227" t="n"/>
      <c r="T2836" s="227" t="n"/>
    </row>
    <row r="2837">
      <c r="A2837" s="145">
        <f>IF($B2837="","",ROW()-5)</f>
        <v/>
      </c>
      <c r="B2837" s="127" t="n"/>
      <c r="C2837" s="223" t="n"/>
      <c r="D2837" s="127" t="n"/>
      <c r="E2837" s="227" t="n"/>
      <c r="F2837" s="227" t="n"/>
      <c r="G2837" s="227" t="n"/>
      <c r="H2837" s="227" t="n"/>
      <c r="I2837" s="227" t="n"/>
      <c r="J2837" s="227" t="n"/>
      <c r="K2837" s="227" t="n"/>
      <c r="L2837" s="227" t="n"/>
      <c r="M2837" s="227" t="n"/>
      <c r="N2837" s="127" t="n"/>
      <c r="O2837" s="227" t="n"/>
      <c r="P2837" s="227" t="n"/>
      <c r="Q2837" s="227" t="n"/>
      <c r="R2837" s="227" t="n"/>
      <c r="S2837" s="227" t="n"/>
      <c r="T2837" s="227" t="n"/>
    </row>
    <row r="2838">
      <c r="A2838" s="145">
        <f>IF($B2838="","",ROW()-5)</f>
        <v/>
      </c>
      <c r="B2838" s="127" t="n"/>
      <c r="C2838" s="223" t="n"/>
      <c r="D2838" s="127" t="n"/>
      <c r="E2838" s="227" t="n"/>
      <c r="F2838" s="227" t="n"/>
      <c r="G2838" s="227" t="n"/>
      <c r="H2838" s="227" t="n"/>
      <c r="I2838" s="227" t="n"/>
      <c r="J2838" s="227" t="n"/>
      <c r="K2838" s="227" t="n"/>
      <c r="L2838" s="227" t="n"/>
      <c r="M2838" s="227" t="n"/>
      <c r="N2838" s="127" t="n"/>
      <c r="O2838" s="227" t="n"/>
      <c r="P2838" s="227" t="n"/>
      <c r="Q2838" s="227" t="n"/>
      <c r="R2838" s="227" t="n"/>
      <c r="S2838" s="227" t="n"/>
      <c r="T2838" s="227" t="n"/>
    </row>
    <row r="2839">
      <c r="A2839" s="145">
        <f>IF($B2839="","",ROW()-5)</f>
        <v/>
      </c>
      <c r="B2839" s="127" t="n"/>
      <c r="C2839" s="223" t="n"/>
      <c r="D2839" s="127" t="n"/>
      <c r="E2839" s="227" t="n"/>
      <c r="F2839" s="227" t="n"/>
      <c r="G2839" s="227" t="n"/>
      <c r="H2839" s="227" t="n"/>
      <c r="I2839" s="227" t="n"/>
      <c r="J2839" s="227" t="n"/>
      <c r="K2839" s="227" t="n"/>
      <c r="L2839" s="227" t="n"/>
      <c r="M2839" s="227" t="n"/>
      <c r="N2839" s="127" t="n"/>
      <c r="O2839" s="227" t="n"/>
      <c r="P2839" s="227" t="n"/>
      <c r="Q2839" s="227" t="n"/>
      <c r="R2839" s="227" t="n"/>
      <c r="S2839" s="227" t="n"/>
      <c r="T2839" s="227" t="n"/>
    </row>
    <row r="2840">
      <c r="A2840" s="145">
        <f>IF($B2840="","",ROW()-5)</f>
        <v/>
      </c>
      <c r="B2840" s="127" t="n"/>
      <c r="C2840" s="223" t="n"/>
      <c r="D2840" s="127" t="n"/>
      <c r="E2840" s="227" t="n"/>
      <c r="F2840" s="227" t="n"/>
      <c r="G2840" s="227" t="n"/>
      <c r="H2840" s="227" t="n"/>
      <c r="I2840" s="227" t="n"/>
      <c r="J2840" s="227" t="n"/>
      <c r="K2840" s="227" t="n"/>
      <c r="L2840" s="227" t="n"/>
      <c r="M2840" s="227" t="n"/>
      <c r="N2840" s="127" t="n"/>
      <c r="O2840" s="227" t="n"/>
      <c r="P2840" s="227" t="n"/>
      <c r="Q2840" s="227" t="n"/>
      <c r="R2840" s="227" t="n"/>
      <c r="S2840" s="227" t="n"/>
      <c r="T2840" s="227" t="n"/>
    </row>
    <row r="2841">
      <c r="A2841" s="145">
        <f>IF($B2841="","",ROW()-5)</f>
        <v/>
      </c>
      <c r="B2841" s="127" t="n"/>
      <c r="C2841" s="223" t="n"/>
      <c r="D2841" s="127" t="n"/>
      <c r="E2841" s="227" t="n"/>
      <c r="F2841" s="227" t="n"/>
      <c r="G2841" s="227" t="n"/>
      <c r="H2841" s="227" t="n"/>
      <c r="I2841" s="227" t="n"/>
      <c r="J2841" s="227" t="n"/>
      <c r="K2841" s="227" t="n"/>
      <c r="L2841" s="227" t="n"/>
      <c r="M2841" s="227" t="n"/>
      <c r="N2841" s="127" t="n"/>
      <c r="O2841" s="227" t="n"/>
      <c r="P2841" s="227" t="n"/>
      <c r="Q2841" s="227" t="n"/>
      <c r="R2841" s="227" t="n"/>
      <c r="S2841" s="227" t="n"/>
      <c r="T2841" s="227" t="n"/>
    </row>
    <row r="2842">
      <c r="A2842" s="145">
        <f>IF($B2842="","",ROW()-5)</f>
        <v/>
      </c>
      <c r="B2842" s="127" t="n"/>
      <c r="C2842" s="223" t="n"/>
      <c r="D2842" s="127" t="n"/>
      <c r="E2842" s="227" t="n"/>
      <c r="F2842" s="227" t="n"/>
      <c r="G2842" s="227" t="n"/>
      <c r="H2842" s="227" t="n"/>
      <c r="I2842" s="227" t="n"/>
      <c r="J2842" s="227" t="n"/>
      <c r="K2842" s="227" t="n"/>
      <c r="L2842" s="227" t="n"/>
      <c r="M2842" s="227" t="n"/>
      <c r="N2842" s="127" t="n"/>
      <c r="O2842" s="227" t="n"/>
      <c r="P2842" s="227" t="n"/>
      <c r="Q2842" s="227" t="n"/>
      <c r="R2842" s="227" t="n"/>
      <c r="S2842" s="227" t="n"/>
      <c r="T2842" s="227" t="n"/>
    </row>
    <row r="2843">
      <c r="A2843" s="145">
        <f>IF($B2843="","",ROW()-5)</f>
        <v/>
      </c>
      <c r="B2843" s="127" t="n"/>
      <c r="C2843" s="223" t="n"/>
      <c r="D2843" s="127" t="n"/>
      <c r="E2843" s="227" t="n"/>
      <c r="F2843" s="227" t="n"/>
      <c r="G2843" s="227" t="n"/>
      <c r="H2843" s="227" t="n"/>
      <c r="I2843" s="227" t="n"/>
      <c r="J2843" s="227" t="n"/>
      <c r="K2843" s="227" t="n"/>
      <c r="L2843" s="227" t="n"/>
      <c r="M2843" s="227" t="n"/>
      <c r="N2843" s="127" t="n"/>
      <c r="O2843" s="227" t="n"/>
      <c r="P2843" s="227" t="n"/>
      <c r="Q2843" s="227" t="n"/>
      <c r="R2843" s="227" t="n"/>
      <c r="S2843" s="227" t="n"/>
      <c r="T2843" s="227" t="n"/>
    </row>
    <row r="2844">
      <c r="A2844" s="145">
        <f>IF($B2844="","",ROW()-5)</f>
        <v/>
      </c>
      <c r="B2844" s="127" t="n"/>
      <c r="C2844" s="223" t="n"/>
      <c r="D2844" s="127" t="n"/>
      <c r="E2844" s="227" t="n"/>
      <c r="F2844" s="227" t="n"/>
      <c r="G2844" s="227" t="n"/>
      <c r="H2844" s="227" t="n"/>
      <c r="I2844" s="227" t="n"/>
      <c r="J2844" s="227" t="n"/>
      <c r="K2844" s="227" t="n"/>
      <c r="L2844" s="227" t="n"/>
      <c r="M2844" s="227" t="n"/>
      <c r="N2844" s="127" t="n"/>
      <c r="O2844" s="227" t="n"/>
      <c r="P2844" s="227" t="n"/>
      <c r="Q2844" s="227" t="n"/>
      <c r="R2844" s="227" t="n"/>
      <c r="S2844" s="227" t="n"/>
      <c r="T2844" s="227" t="n"/>
    </row>
    <row r="2845">
      <c r="A2845" s="145">
        <f>IF($B2845="","",ROW()-5)</f>
        <v/>
      </c>
      <c r="B2845" s="127" t="n"/>
      <c r="C2845" s="223" t="n"/>
      <c r="D2845" s="127" t="n"/>
      <c r="E2845" s="227" t="n"/>
      <c r="F2845" s="227" t="n"/>
      <c r="G2845" s="227" t="n"/>
      <c r="H2845" s="227" t="n"/>
      <c r="I2845" s="227" t="n"/>
      <c r="J2845" s="227" t="n"/>
      <c r="K2845" s="227" t="n"/>
      <c r="L2845" s="227" t="n"/>
      <c r="M2845" s="227" t="n"/>
      <c r="N2845" s="127" t="n"/>
      <c r="O2845" s="227" t="n"/>
      <c r="P2845" s="227" t="n"/>
      <c r="Q2845" s="227" t="n"/>
      <c r="R2845" s="227" t="n"/>
      <c r="S2845" s="227" t="n"/>
      <c r="T2845" s="227" t="n"/>
    </row>
    <row r="2846">
      <c r="A2846" s="145">
        <f>IF($B2846="","",ROW()-5)</f>
        <v/>
      </c>
      <c r="B2846" s="127" t="n"/>
      <c r="C2846" s="223" t="n"/>
      <c r="D2846" s="127" t="n"/>
      <c r="E2846" s="227" t="n"/>
      <c r="F2846" s="227" t="n"/>
      <c r="G2846" s="227" t="n"/>
      <c r="H2846" s="227" t="n"/>
      <c r="I2846" s="227" t="n"/>
      <c r="J2846" s="227" t="n"/>
      <c r="K2846" s="227" t="n"/>
      <c r="L2846" s="227" t="n"/>
      <c r="M2846" s="227" t="n"/>
      <c r="N2846" s="127" t="n"/>
      <c r="O2846" s="227" t="n"/>
      <c r="P2846" s="227" t="n"/>
      <c r="Q2846" s="227" t="n"/>
      <c r="R2846" s="227" t="n"/>
      <c r="S2846" s="227" t="n"/>
      <c r="T2846" s="227" t="n"/>
    </row>
    <row r="2847">
      <c r="A2847" s="145">
        <f>IF($B2847="","",ROW()-5)</f>
        <v/>
      </c>
      <c r="B2847" s="127" t="n"/>
      <c r="C2847" s="223" t="n"/>
      <c r="D2847" s="127" t="n"/>
      <c r="E2847" s="227" t="n"/>
      <c r="F2847" s="227" t="n"/>
      <c r="G2847" s="227" t="n"/>
      <c r="H2847" s="227" t="n"/>
      <c r="I2847" s="227" t="n"/>
      <c r="J2847" s="227" t="n"/>
      <c r="K2847" s="227" t="n"/>
      <c r="L2847" s="227" t="n"/>
      <c r="M2847" s="227" t="n"/>
      <c r="N2847" s="127" t="n"/>
      <c r="O2847" s="227" t="n"/>
      <c r="P2847" s="227" t="n"/>
      <c r="Q2847" s="227" t="n"/>
      <c r="R2847" s="227" t="n"/>
      <c r="S2847" s="227" t="n"/>
      <c r="T2847" s="227" t="n"/>
    </row>
    <row r="2848">
      <c r="A2848" s="145">
        <f>IF($B2848="","",ROW()-5)</f>
        <v/>
      </c>
      <c r="B2848" s="127" t="n"/>
      <c r="C2848" s="223" t="n"/>
      <c r="D2848" s="127" t="n"/>
      <c r="E2848" s="227" t="n"/>
      <c r="F2848" s="227" t="n"/>
      <c r="G2848" s="227" t="n"/>
      <c r="H2848" s="227" t="n"/>
      <c r="I2848" s="227" t="n"/>
      <c r="J2848" s="227" t="n"/>
      <c r="K2848" s="227" t="n"/>
      <c r="L2848" s="227" t="n"/>
      <c r="M2848" s="227" t="n"/>
      <c r="N2848" s="127" t="n"/>
      <c r="O2848" s="227" t="n"/>
      <c r="P2848" s="227" t="n"/>
      <c r="Q2848" s="227" t="n"/>
      <c r="R2848" s="227" t="n"/>
      <c r="S2848" s="227" t="n"/>
      <c r="T2848" s="227" t="n"/>
    </row>
    <row r="2849">
      <c r="A2849" s="145">
        <f>IF($B2849="","",ROW()-5)</f>
        <v/>
      </c>
      <c r="B2849" s="127" t="n"/>
      <c r="C2849" s="223" t="n"/>
      <c r="D2849" s="127" t="n"/>
      <c r="E2849" s="227" t="n"/>
      <c r="F2849" s="227" t="n"/>
      <c r="G2849" s="227" t="n"/>
      <c r="H2849" s="227" t="n"/>
      <c r="I2849" s="227" t="n"/>
      <c r="J2849" s="227" t="n"/>
      <c r="K2849" s="227" t="n"/>
      <c r="L2849" s="227" t="n"/>
      <c r="M2849" s="227" t="n"/>
      <c r="N2849" s="127" t="n"/>
      <c r="O2849" s="227" t="n"/>
      <c r="P2849" s="227" t="n"/>
      <c r="Q2849" s="227" t="n"/>
      <c r="R2849" s="227" t="n"/>
      <c r="S2849" s="227" t="n"/>
      <c r="T2849" s="227" t="n"/>
    </row>
    <row r="2850">
      <c r="A2850" s="145">
        <f>IF($B2850="","",ROW()-5)</f>
        <v/>
      </c>
      <c r="B2850" s="127" t="n"/>
      <c r="C2850" s="223" t="n"/>
      <c r="D2850" s="127" t="n"/>
      <c r="E2850" s="227" t="n"/>
      <c r="F2850" s="227" t="n"/>
      <c r="G2850" s="227" t="n"/>
      <c r="H2850" s="227" t="n"/>
      <c r="I2850" s="227" t="n"/>
      <c r="J2850" s="227" t="n"/>
      <c r="K2850" s="227" t="n"/>
      <c r="L2850" s="227" t="n"/>
      <c r="M2850" s="227" t="n"/>
      <c r="N2850" s="127" t="n"/>
      <c r="O2850" s="227" t="n"/>
      <c r="P2850" s="227" t="n"/>
      <c r="Q2850" s="227" t="n"/>
      <c r="R2850" s="227" t="n"/>
      <c r="S2850" s="227" t="n"/>
      <c r="T2850" s="227" t="n"/>
    </row>
    <row r="2851">
      <c r="A2851" s="145">
        <f>IF($B2851="","",ROW()-5)</f>
        <v/>
      </c>
      <c r="B2851" s="127" t="n"/>
      <c r="C2851" s="223" t="n"/>
      <c r="D2851" s="127" t="n"/>
      <c r="E2851" s="227" t="n"/>
      <c r="F2851" s="227" t="n"/>
      <c r="G2851" s="227" t="n"/>
      <c r="H2851" s="227" t="n"/>
      <c r="I2851" s="227" t="n"/>
      <c r="J2851" s="227" t="n"/>
      <c r="K2851" s="227" t="n"/>
      <c r="L2851" s="227" t="n"/>
      <c r="M2851" s="227" t="n"/>
      <c r="N2851" s="127" t="n"/>
      <c r="O2851" s="227" t="n"/>
      <c r="P2851" s="227" t="n"/>
      <c r="Q2851" s="227" t="n"/>
      <c r="R2851" s="227" t="n"/>
      <c r="S2851" s="227" t="n"/>
      <c r="T2851" s="227" t="n"/>
    </row>
    <row r="2852">
      <c r="A2852" s="145">
        <f>IF($B2852="","",ROW()-5)</f>
        <v/>
      </c>
      <c r="B2852" s="127" t="n"/>
      <c r="C2852" s="223" t="n"/>
      <c r="D2852" s="127" t="n"/>
      <c r="E2852" s="227" t="n"/>
      <c r="F2852" s="227" t="n"/>
      <c r="G2852" s="227" t="n"/>
      <c r="H2852" s="227" t="n"/>
      <c r="I2852" s="227" t="n"/>
      <c r="J2852" s="227" t="n"/>
      <c r="K2852" s="227" t="n"/>
      <c r="L2852" s="227" t="n"/>
      <c r="M2852" s="227" t="n"/>
      <c r="N2852" s="127" t="n"/>
      <c r="O2852" s="227" t="n"/>
      <c r="P2852" s="227" t="n"/>
      <c r="Q2852" s="227" t="n"/>
      <c r="R2852" s="227" t="n"/>
      <c r="S2852" s="227" t="n"/>
      <c r="T2852" s="227" t="n"/>
    </row>
    <row r="2853">
      <c r="A2853" s="145">
        <f>IF($B2853="","",ROW()-5)</f>
        <v/>
      </c>
      <c r="B2853" s="127" t="n"/>
      <c r="C2853" s="223" t="n"/>
      <c r="D2853" s="127" t="n"/>
      <c r="E2853" s="227" t="n"/>
      <c r="F2853" s="227" t="n"/>
      <c r="G2853" s="227" t="n"/>
      <c r="H2853" s="227" t="n"/>
      <c r="I2853" s="227" t="n"/>
      <c r="J2853" s="227" t="n"/>
      <c r="K2853" s="227" t="n"/>
      <c r="L2853" s="227" t="n"/>
      <c r="M2853" s="227" t="n"/>
      <c r="N2853" s="127" t="n"/>
      <c r="O2853" s="227" t="n"/>
      <c r="P2853" s="227" t="n"/>
      <c r="Q2853" s="227" t="n"/>
      <c r="R2853" s="227" t="n"/>
      <c r="S2853" s="227" t="n"/>
      <c r="T2853" s="227" t="n"/>
    </row>
    <row r="2854">
      <c r="A2854" s="145">
        <f>IF($B2854="","",ROW()-5)</f>
        <v/>
      </c>
      <c r="B2854" s="127" t="n"/>
      <c r="C2854" s="223" t="n"/>
      <c r="D2854" s="127" t="n"/>
      <c r="E2854" s="227" t="n"/>
      <c r="F2854" s="227" t="n"/>
      <c r="G2854" s="227" t="n"/>
      <c r="H2854" s="227" t="n"/>
      <c r="I2854" s="227" t="n"/>
      <c r="J2854" s="227" t="n"/>
      <c r="K2854" s="227" t="n"/>
      <c r="L2854" s="227" t="n"/>
      <c r="M2854" s="227" t="n"/>
      <c r="N2854" s="127" t="n"/>
      <c r="O2854" s="227" t="n"/>
      <c r="P2854" s="227" t="n"/>
      <c r="Q2854" s="227" t="n"/>
      <c r="R2854" s="227" t="n"/>
      <c r="S2854" s="227" t="n"/>
      <c r="T2854" s="227" t="n"/>
    </row>
    <row r="2855">
      <c r="A2855" s="145">
        <f>IF($B2855="","",ROW()-5)</f>
        <v/>
      </c>
      <c r="B2855" s="127" t="n"/>
      <c r="C2855" s="223" t="n"/>
      <c r="D2855" s="127" t="n"/>
      <c r="E2855" s="227" t="n"/>
      <c r="F2855" s="227" t="n"/>
      <c r="G2855" s="227" t="n"/>
      <c r="H2855" s="227" t="n"/>
      <c r="I2855" s="227" t="n"/>
      <c r="J2855" s="227" t="n"/>
      <c r="K2855" s="227" t="n"/>
      <c r="L2855" s="227" t="n"/>
      <c r="M2855" s="227" t="n"/>
      <c r="N2855" s="127" t="n"/>
      <c r="O2855" s="227" t="n"/>
      <c r="P2855" s="227" t="n"/>
      <c r="Q2855" s="227" t="n"/>
      <c r="R2855" s="227" t="n"/>
      <c r="S2855" s="227" t="n"/>
      <c r="T2855" s="227" t="n"/>
    </row>
    <row r="2856">
      <c r="A2856" s="145">
        <f>IF($B2856="","",ROW()-5)</f>
        <v/>
      </c>
      <c r="B2856" s="127" t="n"/>
      <c r="C2856" s="223" t="n"/>
      <c r="D2856" s="127" t="n"/>
      <c r="E2856" s="227" t="n"/>
      <c r="F2856" s="227" t="n"/>
      <c r="G2856" s="227" t="n"/>
      <c r="H2856" s="227" t="n"/>
      <c r="I2856" s="227" t="n"/>
      <c r="J2856" s="227" t="n"/>
      <c r="K2856" s="227" t="n"/>
      <c r="L2856" s="227" t="n"/>
      <c r="M2856" s="227" t="n"/>
      <c r="N2856" s="127" t="n"/>
      <c r="O2856" s="227" t="n"/>
      <c r="P2856" s="227" t="n"/>
      <c r="Q2856" s="227" t="n"/>
      <c r="R2856" s="227" t="n"/>
      <c r="S2856" s="227" t="n"/>
      <c r="T2856" s="227" t="n"/>
    </row>
    <row r="2857">
      <c r="A2857" s="145">
        <f>IF($B2857="","",ROW()-5)</f>
        <v/>
      </c>
      <c r="B2857" s="127" t="n"/>
      <c r="C2857" s="223" t="n"/>
      <c r="D2857" s="127" t="n"/>
      <c r="E2857" s="227" t="n"/>
      <c r="F2857" s="227" t="n"/>
      <c r="G2857" s="227" t="n"/>
      <c r="H2857" s="227" t="n"/>
      <c r="I2857" s="227" t="n"/>
      <c r="J2857" s="227" t="n"/>
      <c r="K2857" s="227" t="n"/>
      <c r="L2857" s="227" t="n"/>
      <c r="M2857" s="227" t="n"/>
      <c r="N2857" s="127" t="n"/>
      <c r="O2857" s="227" t="n"/>
      <c r="P2857" s="227" t="n"/>
      <c r="Q2857" s="227" t="n"/>
      <c r="R2857" s="227" t="n"/>
      <c r="S2857" s="227" t="n"/>
      <c r="T2857" s="227" t="n"/>
    </row>
    <row r="2858">
      <c r="A2858" s="145">
        <f>IF($B2858="","",ROW()-5)</f>
        <v/>
      </c>
      <c r="B2858" s="127" t="n"/>
      <c r="C2858" s="223" t="n"/>
      <c r="D2858" s="127" t="n"/>
      <c r="E2858" s="227" t="n"/>
      <c r="F2858" s="227" t="n"/>
      <c r="G2858" s="227" t="n"/>
      <c r="H2858" s="227" t="n"/>
      <c r="I2858" s="227" t="n"/>
      <c r="J2858" s="227" t="n"/>
      <c r="K2858" s="227" t="n"/>
      <c r="L2858" s="227" t="n"/>
      <c r="M2858" s="227" t="n"/>
      <c r="N2858" s="127" t="n"/>
      <c r="O2858" s="227" t="n"/>
      <c r="P2858" s="227" t="n"/>
      <c r="Q2858" s="227" t="n"/>
      <c r="R2858" s="227" t="n"/>
      <c r="S2858" s="227" t="n"/>
      <c r="T2858" s="227" t="n"/>
    </row>
    <row r="2859">
      <c r="A2859" s="145">
        <f>IF($B2859="","",ROW()-5)</f>
        <v/>
      </c>
      <c r="B2859" s="127" t="n"/>
      <c r="C2859" s="223" t="n"/>
      <c r="D2859" s="127" t="n"/>
      <c r="E2859" s="227" t="n"/>
      <c r="F2859" s="227" t="n"/>
      <c r="G2859" s="227" t="n"/>
      <c r="H2859" s="227" t="n"/>
      <c r="I2859" s="227" t="n"/>
      <c r="J2859" s="227" t="n"/>
      <c r="K2859" s="227" t="n"/>
      <c r="L2859" s="227" t="n"/>
      <c r="M2859" s="227" t="n"/>
      <c r="N2859" s="127" t="n"/>
      <c r="O2859" s="227" t="n"/>
      <c r="P2859" s="227" t="n"/>
      <c r="Q2859" s="227" t="n"/>
      <c r="R2859" s="227" t="n"/>
      <c r="S2859" s="227" t="n"/>
      <c r="T2859" s="227" t="n"/>
    </row>
    <row r="2860">
      <c r="A2860" s="145">
        <f>IF($B2860="","",ROW()-5)</f>
        <v/>
      </c>
      <c r="B2860" s="127" t="n"/>
      <c r="C2860" s="223" t="n"/>
      <c r="D2860" s="127" t="n"/>
      <c r="E2860" s="227" t="n"/>
      <c r="F2860" s="227" t="n"/>
      <c r="G2860" s="227" t="n"/>
      <c r="H2860" s="227" t="n"/>
      <c r="I2860" s="227" t="n"/>
      <c r="J2860" s="227" t="n"/>
      <c r="K2860" s="227" t="n"/>
      <c r="L2860" s="227" t="n"/>
      <c r="M2860" s="227" t="n"/>
      <c r="N2860" s="127" t="n"/>
      <c r="O2860" s="227" t="n"/>
      <c r="P2860" s="227" t="n"/>
      <c r="Q2860" s="227" t="n"/>
      <c r="R2860" s="227" t="n"/>
      <c r="S2860" s="227" t="n"/>
      <c r="T2860" s="227" t="n"/>
    </row>
    <row r="2861">
      <c r="A2861" s="145">
        <f>IF($B2861="","",ROW()-5)</f>
        <v/>
      </c>
      <c r="B2861" s="127" t="n"/>
      <c r="C2861" s="223" t="n"/>
      <c r="D2861" s="127" t="n"/>
      <c r="E2861" s="227" t="n"/>
      <c r="F2861" s="227" t="n"/>
      <c r="G2861" s="227" t="n"/>
      <c r="H2861" s="227" t="n"/>
      <c r="I2861" s="227" t="n"/>
      <c r="J2861" s="227" t="n"/>
      <c r="K2861" s="227" t="n"/>
      <c r="L2861" s="227" t="n"/>
      <c r="M2861" s="227" t="n"/>
      <c r="N2861" s="127" t="n"/>
      <c r="O2861" s="227" t="n"/>
      <c r="P2861" s="227" t="n"/>
      <c r="Q2861" s="227" t="n"/>
      <c r="R2861" s="227" t="n"/>
      <c r="S2861" s="227" t="n"/>
      <c r="T2861" s="227" t="n"/>
    </row>
    <row r="2862">
      <c r="A2862" s="145">
        <f>IF($B2862="","",ROW()-5)</f>
        <v/>
      </c>
      <c r="B2862" s="127" t="n"/>
      <c r="C2862" s="223" t="n"/>
      <c r="D2862" s="127" t="n"/>
      <c r="E2862" s="227" t="n"/>
      <c r="F2862" s="227" t="n"/>
      <c r="G2862" s="227" t="n"/>
      <c r="H2862" s="227" t="n"/>
      <c r="I2862" s="227" t="n"/>
      <c r="J2862" s="227" t="n"/>
      <c r="K2862" s="227" t="n"/>
      <c r="L2862" s="227" t="n"/>
      <c r="M2862" s="227" t="n"/>
      <c r="N2862" s="127" t="n"/>
      <c r="O2862" s="227" t="n"/>
      <c r="P2862" s="227" t="n"/>
      <c r="Q2862" s="227" t="n"/>
      <c r="R2862" s="227" t="n"/>
      <c r="S2862" s="227" t="n"/>
      <c r="T2862" s="227" t="n"/>
    </row>
    <row r="2863">
      <c r="A2863" s="145">
        <f>IF($B2863="","",ROW()-5)</f>
        <v/>
      </c>
      <c r="B2863" s="127" t="n"/>
      <c r="C2863" s="223" t="n"/>
      <c r="D2863" s="127" t="n"/>
      <c r="E2863" s="227" t="n"/>
      <c r="F2863" s="227" t="n"/>
      <c r="G2863" s="227" t="n"/>
      <c r="H2863" s="227" t="n"/>
      <c r="I2863" s="227" t="n"/>
      <c r="J2863" s="227" t="n"/>
      <c r="K2863" s="227" t="n"/>
      <c r="L2863" s="227" t="n"/>
      <c r="M2863" s="227" t="n"/>
      <c r="N2863" s="127" t="n"/>
      <c r="O2863" s="227" t="n"/>
      <c r="P2863" s="227" t="n"/>
      <c r="Q2863" s="227" t="n"/>
      <c r="R2863" s="227" t="n"/>
      <c r="S2863" s="227" t="n"/>
      <c r="T2863" s="227" t="n"/>
    </row>
    <row r="2864">
      <c r="A2864" s="145">
        <f>IF($B2864="","",ROW()-5)</f>
        <v/>
      </c>
      <c r="B2864" s="127" t="n"/>
      <c r="C2864" s="223" t="n"/>
      <c r="D2864" s="127" t="n"/>
      <c r="E2864" s="227" t="n"/>
      <c r="F2864" s="227" t="n"/>
      <c r="G2864" s="227" t="n"/>
      <c r="H2864" s="227" t="n"/>
      <c r="I2864" s="227" t="n"/>
      <c r="J2864" s="227" t="n"/>
      <c r="K2864" s="227" t="n"/>
      <c r="L2864" s="227" t="n"/>
      <c r="M2864" s="227" t="n"/>
      <c r="N2864" s="127" t="n"/>
      <c r="O2864" s="227" t="n"/>
      <c r="P2864" s="227" t="n"/>
      <c r="Q2864" s="227" t="n"/>
      <c r="R2864" s="227" t="n"/>
      <c r="S2864" s="227" t="n"/>
      <c r="T2864" s="227" t="n"/>
    </row>
    <row r="2865">
      <c r="A2865" s="145">
        <f>IF($B2865="","",ROW()-5)</f>
        <v/>
      </c>
      <c r="B2865" s="127" t="n"/>
      <c r="C2865" s="223" t="n"/>
      <c r="D2865" s="127" t="n"/>
      <c r="E2865" s="227" t="n"/>
      <c r="F2865" s="227" t="n"/>
      <c r="G2865" s="227" t="n"/>
      <c r="H2865" s="227" t="n"/>
      <c r="I2865" s="227" t="n"/>
      <c r="J2865" s="227" t="n"/>
      <c r="K2865" s="227" t="n"/>
      <c r="L2865" s="227" t="n"/>
      <c r="M2865" s="227" t="n"/>
      <c r="N2865" s="127" t="n"/>
      <c r="O2865" s="227" t="n"/>
      <c r="P2865" s="227" t="n"/>
      <c r="Q2865" s="227" t="n"/>
      <c r="R2865" s="227" t="n"/>
      <c r="S2865" s="227" t="n"/>
      <c r="T2865" s="227" t="n"/>
    </row>
    <row r="2866">
      <c r="A2866" s="145">
        <f>IF($B2866="","",ROW()-5)</f>
        <v/>
      </c>
      <c r="B2866" s="127" t="n"/>
      <c r="C2866" s="223" t="n"/>
      <c r="D2866" s="127" t="n"/>
      <c r="E2866" s="227" t="n"/>
      <c r="F2866" s="227" t="n"/>
      <c r="G2866" s="227" t="n"/>
      <c r="H2866" s="227" t="n"/>
      <c r="I2866" s="227" t="n"/>
      <c r="J2866" s="227" t="n"/>
      <c r="K2866" s="227" t="n"/>
      <c r="L2866" s="227" t="n"/>
      <c r="M2866" s="227" t="n"/>
      <c r="N2866" s="127" t="n"/>
      <c r="O2866" s="227" t="n"/>
      <c r="P2866" s="227" t="n"/>
      <c r="Q2866" s="227" t="n"/>
      <c r="R2866" s="227" t="n"/>
      <c r="S2866" s="227" t="n"/>
      <c r="T2866" s="227" t="n"/>
    </row>
    <row r="2867">
      <c r="A2867" s="145">
        <f>IF($B2867="","",ROW()-5)</f>
        <v/>
      </c>
      <c r="B2867" s="127" t="n"/>
      <c r="C2867" s="223" t="n"/>
      <c r="D2867" s="127" t="n"/>
      <c r="E2867" s="227" t="n"/>
      <c r="F2867" s="227" t="n"/>
      <c r="G2867" s="227" t="n"/>
      <c r="H2867" s="227" t="n"/>
      <c r="I2867" s="227" t="n"/>
      <c r="J2867" s="227" t="n"/>
      <c r="K2867" s="227" t="n"/>
      <c r="L2867" s="227" t="n"/>
      <c r="M2867" s="227" t="n"/>
      <c r="N2867" s="127" t="n"/>
      <c r="O2867" s="227" t="n"/>
      <c r="P2867" s="227" t="n"/>
      <c r="Q2867" s="227" t="n"/>
      <c r="R2867" s="227" t="n"/>
      <c r="S2867" s="227" t="n"/>
      <c r="T2867" s="227" t="n"/>
    </row>
    <row r="2868">
      <c r="A2868" s="145">
        <f>IF($B2868="","",ROW()-5)</f>
        <v/>
      </c>
      <c r="B2868" s="127" t="n"/>
      <c r="C2868" s="223" t="n"/>
      <c r="D2868" s="127" t="n"/>
      <c r="E2868" s="227" t="n"/>
      <c r="F2868" s="227" t="n"/>
      <c r="G2868" s="227" t="n"/>
      <c r="H2868" s="227" t="n"/>
      <c r="I2868" s="227" t="n"/>
      <c r="J2868" s="227" t="n"/>
      <c r="K2868" s="227" t="n"/>
      <c r="L2868" s="227" t="n"/>
      <c r="M2868" s="227" t="n"/>
      <c r="N2868" s="127" t="n"/>
      <c r="O2868" s="227" t="n"/>
      <c r="P2868" s="227" t="n"/>
      <c r="Q2868" s="227" t="n"/>
      <c r="R2868" s="227" t="n"/>
      <c r="S2868" s="227" t="n"/>
      <c r="T2868" s="227" t="n"/>
    </row>
    <row r="2869">
      <c r="A2869" s="145">
        <f>IF($B2869="","",ROW()-5)</f>
        <v/>
      </c>
      <c r="B2869" s="127" t="n"/>
      <c r="C2869" s="223" t="n"/>
      <c r="D2869" s="127" t="n"/>
      <c r="E2869" s="227" t="n"/>
      <c r="F2869" s="227" t="n"/>
      <c r="G2869" s="227" t="n"/>
      <c r="H2869" s="227" t="n"/>
      <c r="I2869" s="227" t="n"/>
      <c r="J2869" s="227" t="n"/>
      <c r="K2869" s="227" t="n"/>
      <c r="L2869" s="227" t="n"/>
      <c r="M2869" s="227" t="n"/>
      <c r="N2869" s="127" t="n"/>
      <c r="O2869" s="227" t="n"/>
      <c r="P2869" s="227" t="n"/>
      <c r="Q2869" s="227" t="n"/>
      <c r="R2869" s="227" t="n"/>
      <c r="S2869" s="227" t="n"/>
      <c r="T2869" s="227" t="n"/>
    </row>
    <row r="2870">
      <c r="A2870" s="145">
        <f>IF($B2870="","",ROW()-5)</f>
        <v/>
      </c>
      <c r="B2870" s="127" t="n"/>
      <c r="C2870" s="223" t="n"/>
      <c r="D2870" s="127" t="n"/>
      <c r="E2870" s="227" t="n"/>
      <c r="F2870" s="227" t="n"/>
      <c r="G2870" s="227" t="n"/>
      <c r="H2870" s="227" t="n"/>
      <c r="I2870" s="227" t="n"/>
      <c r="J2870" s="227" t="n"/>
      <c r="K2870" s="227" t="n"/>
      <c r="L2870" s="227" t="n"/>
      <c r="M2870" s="227" t="n"/>
      <c r="N2870" s="127" t="n"/>
      <c r="O2870" s="227" t="n"/>
      <c r="P2870" s="227" t="n"/>
      <c r="Q2870" s="227" t="n"/>
      <c r="R2870" s="227" t="n"/>
      <c r="S2870" s="227" t="n"/>
      <c r="T2870" s="227" t="n"/>
    </row>
    <row r="2871">
      <c r="A2871" s="145">
        <f>IF($B2871="","",ROW()-5)</f>
        <v/>
      </c>
      <c r="B2871" s="127" t="n"/>
      <c r="C2871" s="223" t="n"/>
      <c r="D2871" s="127" t="n"/>
      <c r="E2871" s="227" t="n"/>
      <c r="F2871" s="227" t="n"/>
      <c r="G2871" s="227" t="n"/>
      <c r="H2871" s="227" t="n"/>
      <c r="I2871" s="227" t="n"/>
      <c r="J2871" s="227" t="n"/>
      <c r="K2871" s="227" t="n"/>
      <c r="L2871" s="227" t="n"/>
      <c r="M2871" s="227" t="n"/>
      <c r="N2871" s="127" t="n"/>
      <c r="O2871" s="227" t="n"/>
      <c r="P2871" s="227" t="n"/>
      <c r="Q2871" s="227" t="n"/>
      <c r="R2871" s="227" t="n"/>
      <c r="S2871" s="227" t="n"/>
      <c r="T2871" s="227" t="n"/>
    </row>
    <row r="2872">
      <c r="A2872" s="145">
        <f>IF($B2872="","",ROW()-5)</f>
        <v/>
      </c>
      <c r="B2872" s="127" t="n"/>
      <c r="C2872" s="223" t="n"/>
      <c r="D2872" s="127" t="n"/>
      <c r="E2872" s="227" t="n"/>
      <c r="F2872" s="227" t="n"/>
      <c r="G2872" s="227" t="n"/>
      <c r="H2872" s="227" t="n"/>
      <c r="I2872" s="227" t="n"/>
      <c r="J2872" s="227" t="n"/>
      <c r="K2872" s="227" t="n"/>
      <c r="L2872" s="227" t="n"/>
      <c r="M2872" s="227" t="n"/>
      <c r="N2872" s="127" t="n"/>
      <c r="O2872" s="227" t="n"/>
      <c r="P2872" s="227" t="n"/>
      <c r="Q2872" s="227" t="n"/>
      <c r="R2872" s="227" t="n"/>
      <c r="S2872" s="227" t="n"/>
      <c r="T2872" s="227" t="n"/>
    </row>
    <row r="2873">
      <c r="A2873" s="145">
        <f>IF($B2873="","",ROW()-5)</f>
        <v/>
      </c>
      <c r="B2873" s="127" t="n"/>
      <c r="C2873" s="223" t="n"/>
      <c r="D2873" s="127" t="n"/>
      <c r="E2873" s="227" t="n"/>
      <c r="F2873" s="227" t="n"/>
      <c r="G2873" s="227" t="n"/>
      <c r="H2873" s="227" t="n"/>
      <c r="I2873" s="227" t="n"/>
      <c r="J2873" s="227" t="n"/>
      <c r="K2873" s="227" t="n"/>
      <c r="L2873" s="227" t="n"/>
      <c r="M2873" s="227" t="n"/>
      <c r="N2873" s="127" t="n"/>
      <c r="O2873" s="227" t="n"/>
      <c r="P2873" s="227" t="n"/>
      <c r="Q2873" s="227" t="n"/>
      <c r="R2873" s="227" t="n"/>
      <c r="S2873" s="227" t="n"/>
      <c r="T2873" s="227" t="n"/>
    </row>
    <row r="2874">
      <c r="A2874" s="145">
        <f>IF($B2874="","",ROW()-5)</f>
        <v/>
      </c>
      <c r="B2874" s="127" t="n"/>
      <c r="C2874" s="223" t="n"/>
      <c r="D2874" s="127" t="n"/>
      <c r="E2874" s="227" t="n"/>
      <c r="F2874" s="227" t="n"/>
      <c r="G2874" s="227" t="n"/>
      <c r="H2874" s="227" t="n"/>
      <c r="I2874" s="227" t="n"/>
      <c r="J2874" s="227" t="n"/>
      <c r="K2874" s="227" t="n"/>
      <c r="L2874" s="227" t="n"/>
      <c r="M2874" s="227" t="n"/>
      <c r="N2874" s="127" t="n"/>
      <c r="O2874" s="227" t="n"/>
      <c r="P2874" s="227" t="n"/>
      <c r="Q2874" s="227" t="n"/>
      <c r="R2874" s="227" t="n"/>
      <c r="S2874" s="227" t="n"/>
      <c r="T2874" s="227" t="n"/>
    </row>
    <row r="2875">
      <c r="A2875" s="145">
        <f>IF($B2875="","",ROW()-5)</f>
        <v/>
      </c>
      <c r="B2875" s="127" t="n"/>
      <c r="C2875" s="223" t="n"/>
      <c r="D2875" s="127" t="n"/>
      <c r="E2875" s="227" t="n"/>
      <c r="F2875" s="227" t="n"/>
      <c r="G2875" s="227" t="n"/>
      <c r="H2875" s="227" t="n"/>
      <c r="I2875" s="227" t="n"/>
      <c r="J2875" s="227" t="n"/>
      <c r="K2875" s="227" t="n"/>
      <c r="L2875" s="227" t="n"/>
      <c r="M2875" s="227" t="n"/>
      <c r="N2875" s="127" t="n"/>
      <c r="O2875" s="227" t="n"/>
      <c r="P2875" s="227" t="n"/>
      <c r="Q2875" s="227" t="n"/>
      <c r="R2875" s="227" t="n"/>
      <c r="S2875" s="227" t="n"/>
      <c r="T2875" s="227" t="n"/>
    </row>
    <row r="2876">
      <c r="A2876" s="145">
        <f>IF($B2876="","",ROW()-5)</f>
        <v/>
      </c>
      <c r="B2876" s="127" t="n"/>
      <c r="C2876" s="223" t="n"/>
      <c r="D2876" s="127" t="n"/>
      <c r="E2876" s="227" t="n"/>
      <c r="F2876" s="227" t="n"/>
      <c r="G2876" s="227" t="n"/>
      <c r="H2876" s="227" t="n"/>
      <c r="I2876" s="227" t="n"/>
      <c r="J2876" s="227" t="n"/>
      <c r="K2876" s="227" t="n"/>
      <c r="L2876" s="227" t="n"/>
      <c r="M2876" s="227" t="n"/>
      <c r="N2876" s="127" t="n"/>
      <c r="O2876" s="227" t="n"/>
      <c r="P2876" s="227" t="n"/>
      <c r="Q2876" s="227" t="n"/>
      <c r="R2876" s="227" t="n"/>
      <c r="S2876" s="227" t="n"/>
      <c r="T2876" s="227" t="n"/>
    </row>
    <row r="2877">
      <c r="A2877" s="145">
        <f>IF($B2877="","",ROW()-5)</f>
        <v/>
      </c>
      <c r="B2877" s="127" t="n"/>
      <c r="C2877" s="223" t="n"/>
      <c r="D2877" s="127" t="n"/>
      <c r="E2877" s="227" t="n"/>
      <c r="F2877" s="227" t="n"/>
      <c r="G2877" s="227" t="n"/>
      <c r="H2877" s="227" t="n"/>
      <c r="I2877" s="227" t="n"/>
      <c r="J2877" s="227" t="n"/>
      <c r="K2877" s="227" t="n"/>
      <c r="L2877" s="227" t="n"/>
      <c r="M2877" s="227" t="n"/>
      <c r="N2877" s="127" t="n"/>
      <c r="O2877" s="227" t="n"/>
      <c r="P2877" s="227" t="n"/>
      <c r="Q2877" s="227" t="n"/>
      <c r="R2877" s="227" t="n"/>
      <c r="S2877" s="227" t="n"/>
      <c r="T2877" s="227" t="n"/>
    </row>
    <row r="2878">
      <c r="A2878" s="145">
        <f>IF($B2878="","",ROW()-5)</f>
        <v/>
      </c>
      <c r="B2878" s="127" t="n"/>
      <c r="C2878" s="223" t="n"/>
      <c r="D2878" s="127" t="n"/>
      <c r="E2878" s="227" t="n"/>
      <c r="F2878" s="227" t="n"/>
      <c r="G2878" s="227" t="n"/>
      <c r="H2878" s="227" t="n"/>
      <c r="I2878" s="227" t="n"/>
      <c r="J2878" s="227" t="n"/>
      <c r="K2878" s="227" t="n"/>
      <c r="L2878" s="227" t="n"/>
      <c r="M2878" s="227" t="n"/>
      <c r="N2878" s="127" t="n"/>
      <c r="O2878" s="227" t="n"/>
      <c r="P2878" s="227" t="n"/>
      <c r="Q2878" s="227" t="n"/>
      <c r="R2878" s="227" t="n"/>
      <c r="S2878" s="227" t="n"/>
      <c r="T2878" s="227" t="n"/>
    </row>
    <row r="2879">
      <c r="A2879" s="145">
        <f>IF($B2879="","",ROW()-5)</f>
        <v/>
      </c>
      <c r="B2879" s="127" t="n"/>
      <c r="C2879" s="223" t="n"/>
      <c r="D2879" s="127" t="n"/>
      <c r="E2879" s="227" t="n"/>
      <c r="F2879" s="227" t="n"/>
      <c r="G2879" s="227" t="n"/>
      <c r="H2879" s="227" t="n"/>
      <c r="I2879" s="227" t="n"/>
      <c r="J2879" s="227" t="n"/>
      <c r="K2879" s="227" t="n"/>
      <c r="L2879" s="227" t="n"/>
      <c r="M2879" s="227" t="n"/>
      <c r="N2879" s="127" t="n"/>
      <c r="O2879" s="227" t="n"/>
      <c r="P2879" s="227" t="n"/>
      <c r="Q2879" s="227" t="n"/>
      <c r="R2879" s="227" t="n"/>
      <c r="S2879" s="227" t="n"/>
      <c r="T2879" s="227" t="n"/>
    </row>
    <row r="2880">
      <c r="A2880" s="145">
        <f>IF($B2880="","",ROW()-5)</f>
        <v/>
      </c>
      <c r="B2880" s="127" t="n"/>
      <c r="C2880" s="223" t="n"/>
      <c r="D2880" s="127" t="n"/>
      <c r="E2880" s="227" t="n"/>
      <c r="F2880" s="227" t="n"/>
      <c r="G2880" s="227" t="n"/>
      <c r="H2880" s="227" t="n"/>
      <c r="I2880" s="227" t="n"/>
      <c r="J2880" s="227" t="n"/>
      <c r="K2880" s="227" t="n"/>
      <c r="L2880" s="227" t="n"/>
      <c r="M2880" s="227" t="n"/>
      <c r="N2880" s="127" t="n"/>
      <c r="O2880" s="227" t="n"/>
      <c r="P2880" s="227" t="n"/>
      <c r="Q2880" s="227" t="n"/>
      <c r="R2880" s="227" t="n"/>
      <c r="S2880" s="227" t="n"/>
      <c r="T2880" s="227" t="n"/>
    </row>
    <row r="2881">
      <c r="A2881" s="145">
        <f>IF($B2881="","",ROW()-5)</f>
        <v/>
      </c>
      <c r="B2881" s="127" t="n"/>
      <c r="C2881" s="223" t="n"/>
      <c r="D2881" s="127" t="n"/>
      <c r="E2881" s="227" t="n"/>
      <c r="F2881" s="227" t="n"/>
      <c r="G2881" s="227" t="n"/>
      <c r="H2881" s="227" t="n"/>
      <c r="I2881" s="227" t="n"/>
      <c r="J2881" s="227" t="n"/>
      <c r="K2881" s="227" t="n"/>
      <c r="L2881" s="227" t="n"/>
      <c r="M2881" s="227" t="n"/>
      <c r="N2881" s="127" t="n"/>
      <c r="O2881" s="227" t="n"/>
      <c r="P2881" s="227" t="n"/>
      <c r="Q2881" s="227" t="n"/>
      <c r="R2881" s="227" t="n"/>
      <c r="S2881" s="227" t="n"/>
      <c r="T2881" s="227" t="n"/>
    </row>
    <row r="2882">
      <c r="A2882" s="145">
        <f>IF($B2882="","",ROW()-5)</f>
        <v/>
      </c>
      <c r="B2882" s="127" t="n"/>
      <c r="C2882" s="223" t="n"/>
      <c r="D2882" s="127" t="n"/>
      <c r="E2882" s="227" t="n"/>
      <c r="F2882" s="227" t="n"/>
      <c r="G2882" s="227" t="n"/>
      <c r="H2882" s="227" t="n"/>
      <c r="I2882" s="227" t="n"/>
      <c r="J2882" s="227" t="n"/>
      <c r="K2882" s="227" t="n"/>
      <c r="L2882" s="227" t="n"/>
      <c r="M2882" s="227" t="n"/>
      <c r="N2882" s="127" t="n"/>
      <c r="O2882" s="227" t="n"/>
      <c r="P2882" s="227" t="n"/>
      <c r="Q2882" s="227" t="n"/>
      <c r="R2882" s="227" t="n"/>
      <c r="S2882" s="227" t="n"/>
      <c r="T2882" s="227" t="n"/>
    </row>
    <row r="2883">
      <c r="A2883" s="145">
        <f>IF($B2883="","",ROW()-5)</f>
        <v/>
      </c>
      <c r="B2883" s="127" t="n"/>
      <c r="C2883" s="223" t="n"/>
      <c r="D2883" s="127" t="n"/>
      <c r="E2883" s="227" t="n"/>
      <c r="F2883" s="227" t="n"/>
      <c r="G2883" s="227" t="n"/>
      <c r="H2883" s="227" t="n"/>
      <c r="I2883" s="227" t="n"/>
      <c r="J2883" s="227" t="n"/>
      <c r="K2883" s="227" t="n"/>
      <c r="L2883" s="227" t="n"/>
      <c r="M2883" s="227" t="n"/>
      <c r="N2883" s="127" t="n"/>
      <c r="O2883" s="227" t="n"/>
      <c r="P2883" s="227" t="n"/>
      <c r="Q2883" s="227" t="n"/>
      <c r="R2883" s="227" t="n"/>
      <c r="S2883" s="227" t="n"/>
      <c r="T2883" s="227" t="n"/>
    </row>
    <row r="2884">
      <c r="A2884" s="145">
        <f>IF($B2884="","",ROW()-5)</f>
        <v/>
      </c>
      <c r="B2884" s="127" t="n"/>
      <c r="C2884" s="223" t="n"/>
      <c r="D2884" s="127" t="n"/>
      <c r="E2884" s="227" t="n"/>
      <c r="F2884" s="227" t="n"/>
      <c r="G2884" s="227" t="n"/>
      <c r="H2884" s="227" t="n"/>
      <c r="I2884" s="227" t="n"/>
      <c r="J2884" s="227" t="n"/>
      <c r="K2884" s="227" t="n"/>
      <c r="L2884" s="227" t="n"/>
      <c r="M2884" s="227" t="n"/>
      <c r="N2884" s="127" t="n"/>
      <c r="O2884" s="227" t="n"/>
      <c r="P2884" s="227" t="n"/>
      <c r="Q2884" s="227" t="n"/>
      <c r="R2884" s="227" t="n"/>
      <c r="S2884" s="227" t="n"/>
      <c r="T2884" s="227" t="n"/>
    </row>
    <row r="2885">
      <c r="A2885" s="145">
        <f>IF($B2885="","",ROW()-5)</f>
        <v/>
      </c>
      <c r="B2885" s="127" t="n"/>
      <c r="C2885" s="223" t="n"/>
      <c r="D2885" s="127" t="n"/>
      <c r="E2885" s="227" t="n"/>
      <c r="F2885" s="227" t="n"/>
      <c r="G2885" s="227" t="n"/>
      <c r="H2885" s="227" t="n"/>
      <c r="I2885" s="227" t="n"/>
      <c r="J2885" s="227" t="n"/>
      <c r="K2885" s="227" t="n"/>
      <c r="L2885" s="227" t="n"/>
      <c r="M2885" s="227" t="n"/>
      <c r="N2885" s="127" t="n"/>
      <c r="O2885" s="227" t="n"/>
      <c r="P2885" s="227" t="n"/>
      <c r="Q2885" s="227" t="n"/>
      <c r="R2885" s="227" t="n"/>
      <c r="S2885" s="227" t="n"/>
      <c r="T2885" s="227" t="n"/>
    </row>
    <row r="2886">
      <c r="A2886" s="145">
        <f>IF($B2886="","",ROW()-5)</f>
        <v/>
      </c>
      <c r="B2886" s="127" t="n"/>
      <c r="C2886" s="223" t="n"/>
      <c r="D2886" s="127" t="n"/>
      <c r="E2886" s="227" t="n"/>
      <c r="F2886" s="227" t="n"/>
      <c r="G2886" s="227" t="n"/>
      <c r="H2886" s="227" t="n"/>
      <c r="I2886" s="227" t="n"/>
      <c r="J2886" s="227" t="n"/>
      <c r="K2886" s="227" t="n"/>
      <c r="L2886" s="227" t="n"/>
      <c r="M2886" s="227" t="n"/>
      <c r="N2886" s="127" t="n"/>
      <c r="O2886" s="227" t="n"/>
      <c r="P2886" s="227" t="n"/>
      <c r="Q2886" s="227" t="n"/>
      <c r="R2886" s="227" t="n"/>
      <c r="S2886" s="227" t="n"/>
      <c r="T2886" s="227" t="n"/>
    </row>
    <row r="2887">
      <c r="A2887" s="145">
        <f>IF($B2887="","",ROW()-5)</f>
        <v/>
      </c>
      <c r="B2887" s="127" t="n"/>
      <c r="C2887" s="223" t="n"/>
      <c r="D2887" s="127" t="n"/>
      <c r="E2887" s="227" t="n"/>
      <c r="F2887" s="227" t="n"/>
      <c r="G2887" s="227" t="n"/>
      <c r="H2887" s="227" t="n"/>
      <c r="I2887" s="227" t="n"/>
      <c r="J2887" s="227" t="n"/>
      <c r="K2887" s="227" t="n"/>
      <c r="L2887" s="227" t="n"/>
      <c r="M2887" s="227" t="n"/>
      <c r="N2887" s="127" t="n"/>
      <c r="O2887" s="227" t="n"/>
      <c r="P2887" s="227" t="n"/>
      <c r="Q2887" s="227" t="n"/>
      <c r="R2887" s="227" t="n"/>
      <c r="S2887" s="227" t="n"/>
      <c r="T2887" s="227" t="n"/>
    </row>
    <row r="2888">
      <c r="A2888" s="145">
        <f>IF($B2888="","",ROW()-5)</f>
        <v/>
      </c>
      <c r="B2888" s="127" t="n"/>
      <c r="C2888" s="223" t="n"/>
      <c r="D2888" s="127" t="n"/>
      <c r="E2888" s="227" t="n"/>
      <c r="F2888" s="227" t="n"/>
      <c r="G2888" s="227" t="n"/>
      <c r="H2888" s="227" t="n"/>
      <c r="I2888" s="227" t="n"/>
      <c r="J2888" s="227" t="n"/>
      <c r="K2888" s="227" t="n"/>
      <c r="L2888" s="227" t="n"/>
      <c r="M2888" s="227" t="n"/>
      <c r="N2888" s="127" t="n"/>
      <c r="O2888" s="227" t="n"/>
      <c r="P2888" s="227" t="n"/>
      <c r="Q2888" s="227" t="n"/>
      <c r="R2888" s="227" t="n"/>
      <c r="S2888" s="227" t="n"/>
      <c r="T2888" s="227" t="n"/>
    </row>
    <row r="2889">
      <c r="A2889" s="145">
        <f>IF($B2889="","",ROW()-5)</f>
        <v/>
      </c>
      <c r="B2889" s="127" t="n"/>
      <c r="C2889" s="223" t="n"/>
      <c r="D2889" s="127" t="n"/>
      <c r="E2889" s="227" t="n"/>
      <c r="F2889" s="227" t="n"/>
      <c r="G2889" s="227" t="n"/>
      <c r="H2889" s="227" t="n"/>
      <c r="I2889" s="227" t="n"/>
      <c r="J2889" s="227" t="n"/>
      <c r="K2889" s="227" t="n"/>
      <c r="L2889" s="227" t="n"/>
      <c r="M2889" s="227" t="n"/>
      <c r="N2889" s="127" t="n"/>
      <c r="O2889" s="227" t="n"/>
      <c r="P2889" s="227" t="n"/>
      <c r="Q2889" s="227" t="n"/>
      <c r="R2889" s="227" t="n"/>
      <c r="S2889" s="227" t="n"/>
      <c r="T2889" s="227" t="n"/>
    </row>
    <row r="2890">
      <c r="A2890" s="145">
        <f>IF($B2890="","",ROW()-5)</f>
        <v/>
      </c>
      <c r="B2890" s="127" t="n"/>
      <c r="C2890" s="223" t="n"/>
      <c r="D2890" s="127" t="n"/>
      <c r="E2890" s="227" t="n"/>
      <c r="F2890" s="227" t="n"/>
      <c r="G2890" s="227" t="n"/>
      <c r="H2890" s="227" t="n"/>
      <c r="I2890" s="227" t="n"/>
      <c r="J2890" s="227" t="n"/>
      <c r="K2890" s="227" t="n"/>
      <c r="L2890" s="227" t="n"/>
      <c r="M2890" s="227" t="n"/>
      <c r="N2890" s="127" t="n"/>
      <c r="O2890" s="227" t="n"/>
      <c r="P2890" s="227" t="n"/>
      <c r="Q2890" s="227" t="n"/>
      <c r="R2890" s="227" t="n"/>
      <c r="S2890" s="227" t="n"/>
      <c r="T2890" s="227" t="n"/>
    </row>
    <row r="2891">
      <c r="A2891" s="145">
        <f>IF($B2891="","",ROW()-5)</f>
        <v/>
      </c>
      <c r="B2891" s="127" t="n"/>
      <c r="C2891" s="223" t="n"/>
      <c r="D2891" s="127" t="n"/>
      <c r="E2891" s="227" t="n"/>
      <c r="F2891" s="227" t="n"/>
      <c r="G2891" s="227" t="n"/>
      <c r="H2891" s="227" t="n"/>
      <c r="I2891" s="227" t="n"/>
      <c r="J2891" s="227" t="n"/>
      <c r="K2891" s="227" t="n"/>
      <c r="L2891" s="227" t="n"/>
      <c r="M2891" s="227" t="n"/>
      <c r="N2891" s="127" t="n"/>
      <c r="O2891" s="227" t="n"/>
      <c r="P2891" s="227" t="n"/>
      <c r="Q2891" s="227" t="n"/>
      <c r="R2891" s="227" t="n"/>
      <c r="S2891" s="227" t="n"/>
      <c r="T2891" s="227" t="n"/>
    </row>
    <row r="2892">
      <c r="A2892" s="145">
        <f>IF($B2892="","",ROW()-5)</f>
        <v/>
      </c>
      <c r="B2892" s="127" t="n"/>
      <c r="C2892" s="223" t="n"/>
      <c r="D2892" s="127" t="n"/>
      <c r="E2892" s="227" t="n"/>
      <c r="F2892" s="227" t="n"/>
      <c r="G2892" s="227" t="n"/>
      <c r="H2892" s="227" t="n"/>
      <c r="I2892" s="227" t="n"/>
      <c r="J2892" s="227" t="n"/>
      <c r="K2892" s="227" t="n"/>
      <c r="L2892" s="227" t="n"/>
      <c r="M2892" s="227" t="n"/>
      <c r="N2892" s="127" t="n"/>
      <c r="O2892" s="227" t="n"/>
      <c r="P2892" s="227" t="n"/>
      <c r="Q2892" s="227" t="n"/>
      <c r="R2892" s="227" t="n"/>
      <c r="S2892" s="227" t="n"/>
      <c r="T2892" s="227" t="n"/>
    </row>
    <row r="2893">
      <c r="A2893" s="145">
        <f>IF($B2893="","",ROW()-5)</f>
        <v/>
      </c>
      <c r="B2893" s="127" t="n"/>
      <c r="C2893" s="223" t="n"/>
      <c r="D2893" s="127" t="n"/>
      <c r="E2893" s="227" t="n"/>
      <c r="F2893" s="227" t="n"/>
      <c r="G2893" s="227" t="n"/>
      <c r="H2893" s="227" t="n"/>
      <c r="I2893" s="227" t="n"/>
      <c r="J2893" s="227" t="n"/>
      <c r="K2893" s="227" t="n"/>
      <c r="L2893" s="227" t="n"/>
      <c r="M2893" s="227" t="n"/>
      <c r="N2893" s="127" t="n"/>
      <c r="O2893" s="227" t="n"/>
      <c r="P2893" s="227" t="n"/>
      <c r="Q2893" s="227" t="n"/>
      <c r="R2893" s="227" t="n"/>
      <c r="S2893" s="227" t="n"/>
      <c r="T2893" s="227" t="n"/>
    </row>
    <row r="2894">
      <c r="A2894" s="145">
        <f>IF($B2894="","",ROW()-5)</f>
        <v/>
      </c>
      <c r="B2894" s="127" t="n"/>
      <c r="C2894" s="223" t="n"/>
      <c r="D2894" s="127" t="n"/>
      <c r="E2894" s="227" t="n"/>
      <c r="F2894" s="227" t="n"/>
      <c r="G2894" s="227" t="n"/>
      <c r="H2894" s="227" t="n"/>
      <c r="I2894" s="227" t="n"/>
      <c r="J2894" s="227" t="n"/>
      <c r="K2894" s="227" t="n"/>
      <c r="L2894" s="227" t="n"/>
      <c r="M2894" s="227" t="n"/>
      <c r="N2894" s="127" t="n"/>
      <c r="O2894" s="227" t="n"/>
      <c r="P2894" s="227" t="n"/>
      <c r="Q2894" s="227" t="n"/>
      <c r="R2894" s="227" t="n"/>
      <c r="S2894" s="227" t="n"/>
      <c r="T2894" s="227" t="n"/>
    </row>
    <row r="2895">
      <c r="A2895" s="145">
        <f>IF($B2895="","",ROW()-5)</f>
        <v/>
      </c>
      <c r="B2895" s="127" t="n"/>
      <c r="C2895" s="223" t="n"/>
      <c r="D2895" s="127" t="n"/>
      <c r="E2895" s="227" t="n"/>
      <c r="F2895" s="227" t="n"/>
      <c r="G2895" s="227" t="n"/>
      <c r="H2895" s="227" t="n"/>
      <c r="I2895" s="227" t="n"/>
      <c r="J2895" s="227" t="n"/>
      <c r="K2895" s="227" t="n"/>
      <c r="L2895" s="227" t="n"/>
      <c r="M2895" s="227" t="n"/>
      <c r="N2895" s="127" t="n"/>
      <c r="O2895" s="227" t="n"/>
      <c r="P2895" s="227" t="n"/>
      <c r="Q2895" s="227" t="n"/>
      <c r="R2895" s="227" t="n"/>
      <c r="S2895" s="227" t="n"/>
      <c r="T2895" s="227" t="n"/>
    </row>
    <row r="2896">
      <c r="A2896" s="145">
        <f>IF($B2896="","",ROW()-5)</f>
        <v/>
      </c>
      <c r="B2896" s="127" t="n"/>
      <c r="C2896" s="223" t="n"/>
      <c r="D2896" s="127" t="n"/>
      <c r="E2896" s="227" t="n"/>
      <c r="F2896" s="227" t="n"/>
      <c r="G2896" s="227" t="n"/>
      <c r="H2896" s="227" t="n"/>
      <c r="I2896" s="227" t="n"/>
      <c r="J2896" s="227" t="n"/>
      <c r="K2896" s="227" t="n"/>
      <c r="L2896" s="227" t="n"/>
      <c r="M2896" s="227" t="n"/>
      <c r="N2896" s="127" t="n"/>
      <c r="O2896" s="227" t="n"/>
      <c r="P2896" s="227" t="n"/>
      <c r="Q2896" s="227" t="n"/>
      <c r="R2896" s="227" t="n"/>
      <c r="S2896" s="227" t="n"/>
      <c r="T2896" s="227" t="n"/>
    </row>
    <row r="2897">
      <c r="A2897" s="145">
        <f>IF($B2897="","",ROW()-5)</f>
        <v/>
      </c>
      <c r="B2897" s="127" t="n"/>
      <c r="C2897" s="223" t="n"/>
      <c r="D2897" s="127" t="n"/>
      <c r="E2897" s="227" t="n"/>
      <c r="F2897" s="227" t="n"/>
      <c r="G2897" s="227" t="n"/>
      <c r="H2897" s="227" t="n"/>
      <c r="I2897" s="227" t="n"/>
      <c r="J2897" s="227" t="n"/>
      <c r="K2897" s="227" t="n"/>
      <c r="L2897" s="227" t="n"/>
      <c r="M2897" s="227" t="n"/>
      <c r="N2897" s="127" t="n"/>
      <c r="O2897" s="227" t="n"/>
      <c r="P2897" s="227" t="n"/>
      <c r="Q2897" s="227" t="n"/>
      <c r="R2897" s="227" t="n"/>
      <c r="S2897" s="227" t="n"/>
      <c r="T2897" s="227" t="n"/>
    </row>
    <row r="2898">
      <c r="A2898" s="145">
        <f>IF($B2898="","",ROW()-5)</f>
        <v/>
      </c>
      <c r="B2898" s="127" t="n"/>
      <c r="C2898" s="223" t="n"/>
      <c r="D2898" s="127" t="n"/>
      <c r="E2898" s="227" t="n"/>
      <c r="F2898" s="227" t="n"/>
      <c r="G2898" s="227" t="n"/>
      <c r="H2898" s="227" t="n"/>
      <c r="I2898" s="227" t="n"/>
      <c r="J2898" s="227" t="n"/>
      <c r="K2898" s="227" t="n"/>
      <c r="L2898" s="227" t="n"/>
      <c r="M2898" s="227" t="n"/>
      <c r="N2898" s="127" t="n"/>
      <c r="O2898" s="227" t="n"/>
      <c r="P2898" s="227" t="n"/>
      <c r="Q2898" s="227" t="n"/>
      <c r="R2898" s="227" t="n"/>
      <c r="S2898" s="227" t="n"/>
      <c r="T2898" s="227" t="n"/>
    </row>
    <row r="2899">
      <c r="A2899" s="145">
        <f>IF($B2899="","",ROW()-5)</f>
        <v/>
      </c>
      <c r="B2899" s="127" t="n"/>
      <c r="C2899" s="223" t="n"/>
      <c r="D2899" s="127" t="n"/>
      <c r="E2899" s="227" t="n"/>
      <c r="F2899" s="227" t="n"/>
      <c r="G2899" s="227" t="n"/>
      <c r="H2899" s="227" t="n"/>
      <c r="I2899" s="227" t="n"/>
      <c r="J2899" s="227" t="n"/>
      <c r="K2899" s="227" t="n"/>
      <c r="L2899" s="227" t="n"/>
      <c r="M2899" s="227" t="n"/>
      <c r="N2899" s="127" t="n"/>
      <c r="O2899" s="227" t="n"/>
      <c r="P2899" s="227" t="n"/>
      <c r="Q2899" s="227" t="n"/>
      <c r="R2899" s="227" t="n"/>
      <c r="S2899" s="227" t="n"/>
      <c r="T2899" s="227" t="n"/>
    </row>
    <row r="2900">
      <c r="A2900" s="145">
        <f>IF($B2900="","",ROW()-5)</f>
        <v/>
      </c>
      <c r="B2900" s="127" t="n"/>
      <c r="C2900" s="223" t="n"/>
      <c r="D2900" s="127" t="n"/>
      <c r="E2900" s="227" t="n"/>
      <c r="F2900" s="227" t="n"/>
      <c r="G2900" s="227" t="n"/>
      <c r="H2900" s="227" t="n"/>
      <c r="I2900" s="227" t="n"/>
      <c r="J2900" s="227" t="n"/>
      <c r="K2900" s="227" t="n"/>
      <c r="L2900" s="227" t="n"/>
      <c r="M2900" s="227" t="n"/>
      <c r="N2900" s="127" t="n"/>
      <c r="O2900" s="227" t="n"/>
      <c r="P2900" s="227" t="n"/>
      <c r="Q2900" s="227" t="n"/>
      <c r="R2900" s="227" t="n"/>
      <c r="S2900" s="227" t="n"/>
      <c r="T2900" s="227" t="n"/>
    </row>
    <row r="2901">
      <c r="A2901" s="145">
        <f>IF($B2901="","",ROW()-5)</f>
        <v/>
      </c>
      <c r="B2901" s="127" t="n"/>
      <c r="C2901" s="223" t="n"/>
      <c r="D2901" s="127" t="n"/>
      <c r="E2901" s="227" t="n"/>
      <c r="F2901" s="227" t="n"/>
      <c r="G2901" s="227" t="n"/>
      <c r="H2901" s="227" t="n"/>
      <c r="I2901" s="227" t="n"/>
      <c r="J2901" s="227" t="n"/>
      <c r="K2901" s="227" t="n"/>
      <c r="L2901" s="227" t="n"/>
      <c r="M2901" s="227" t="n"/>
      <c r="N2901" s="127" t="n"/>
      <c r="O2901" s="227" t="n"/>
      <c r="P2901" s="227" t="n"/>
      <c r="Q2901" s="227" t="n"/>
      <c r="R2901" s="227" t="n"/>
      <c r="S2901" s="227" t="n"/>
      <c r="T2901" s="227" t="n"/>
    </row>
    <row r="2902">
      <c r="A2902" s="145">
        <f>IF($B2902="","",ROW()-5)</f>
        <v/>
      </c>
      <c r="B2902" s="127" t="n"/>
      <c r="C2902" s="223" t="n"/>
      <c r="D2902" s="127" t="n"/>
      <c r="E2902" s="227" t="n"/>
      <c r="F2902" s="227" t="n"/>
      <c r="G2902" s="227" t="n"/>
      <c r="H2902" s="227" t="n"/>
      <c r="I2902" s="227" t="n"/>
      <c r="J2902" s="227" t="n"/>
      <c r="K2902" s="227" t="n"/>
      <c r="L2902" s="227" t="n"/>
      <c r="M2902" s="227" t="n"/>
      <c r="N2902" s="127" t="n"/>
      <c r="O2902" s="227" t="n"/>
      <c r="P2902" s="227" t="n"/>
      <c r="Q2902" s="227" t="n"/>
      <c r="R2902" s="227" t="n"/>
      <c r="S2902" s="227" t="n"/>
      <c r="T2902" s="227" t="n"/>
    </row>
    <row r="2903">
      <c r="A2903" s="145">
        <f>IF($B2903="","",ROW()-5)</f>
        <v/>
      </c>
      <c r="B2903" s="127" t="n"/>
      <c r="C2903" s="223" t="n"/>
      <c r="D2903" s="127" t="n"/>
      <c r="E2903" s="227" t="n"/>
      <c r="F2903" s="227" t="n"/>
      <c r="G2903" s="227" t="n"/>
      <c r="H2903" s="227" t="n"/>
      <c r="I2903" s="227" t="n"/>
      <c r="J2903" s="227" t="n"/>
      <c r="K2903" s="227" t="n"/>
      <c r="L2903" s="227" t="n"/>
      <c r="M2903" s="227" t="n"/>
      <c r="N2903" s="127" t="n"/>
      <c r="O2903" s="227" t="n"/>
      <c r="P2903" s="227" t="n"/>
      <c r="Q2903" s="227" t="n"/>
      <c r="R2903" s="227" t="n"/>
      <c r="S2903" s="227" t="n"/>
      <c r="T2903" s="227" t="n"/>
    </row>
    <row r="2904">
      <c r="A2904" s="145">
        <f>IF($B2904="","",ROW()-5)</f>
        <v/>
      </c>
      <c r="B2904" s="127" t="n"/>
      <c r="C2904" s="223" t="n"/>
      <c r="D2904" s="127" t="n"/>
      <c r="E2904" s="227" t="n"/>
      <c r="F2904" s="227" t="n"/>
      <c r="G2904" s="227" t="n"/>
      <c r="H2904" s="227" t="n"/>
      <c r="I2904" s="227" t="n"/>
      <c r="J2904" s="227" t="n"/>
      <c r="K2904" s="227" t="n"/>
      <c r="L2904" s="227" t="n"/>
      <c r="M2904" s="227" t="n"/>
      <c r="N2904" s="127" t="n"/>
      <c r="O2904" s="227" t="n"/>
      <c r="P2904" s="227" t="n"/>
      <c r="Q2904" s="227" t="n"/>
      <c r="R2904" s="227" t="n"/>
      <c r="S2904" s="227" t="n"/>
      <c r="T2904" s="227" t="n"/>
    </row>
    <row r="2905">
      <c r="A2905" s="145">
        <f>IF($B2905="","",ROW()-5)</f>
        <v/>
      </c>
      <c r="B2905" s="127" t="n"/>
      <c r="C2905" s="223" t="n"/>
      <c r="D2905" s="127" t="n"/>
      <c r="E2905" s="227" t="n"/>
      <c r="F2905" s="227" t="n"/>
      <c r="G2905" s="227" t="n"/>
      <c r="H2905" s="227" t="n"/>
      <c r="I2905" s="227" t="n"/>
      <c r="J2905" s="227" t="n"/>
      <c r="K2905" s="227" t="n"/>
      <c r="L2905" s="227" t="n"/>
      <c r="M2905" s="227" t="n"/>
      <c r="N2905" s="127" t="n"/>
      <c r="O2905" s="227" t="n"/>
      <c r="P2905" s="227" t="n"/>
      <c r="Q2905" s="227" t="n"/>
      <c r="R2905" s="227" t="n"/>
      <c r="S2905" s="227" t="n"/>
      <c r="T2905" s="227" t="n"/>
    </row>
    <row r="2906">
      <c r="A2906" s="145">
        <f>IF($B2906="","",ROW()-5)</f>
        <v/>
      </c>
      <c r="B2906" s="127" t="n"/>
      <c r="C2906" s="223" t="n"/>
      <c r="D2906" s="127" t="n"/>
      <c r="E2906" s="227" t="n"/>
      <c r="F2906" s="227" t="n"/>
      <c r="G2906" s="227" t="n"/>
      <c r="H2906" s="227" t="n"/>
      <c r="I2906" s="227" t="n"/>
      <c r="J2906" s="227" t="n"/>
      <c r="K2906" s="227" t="n"/>
      <c r="L2906" s="227" t="n"/>
      <c r="M2906" s="227" t="n"/>
      <c r="N2906" s="127" t="n"/>
      <c r="O2906" s="227" t="n"/>
      <c r="P2906" s="227" t="n"/>
      <c r="Q2906" s="227" t="n"/>
      <c r="R2906" s="227" t="n"/>
      <c r="S2906" s="227" t="n"/>
      <c r="T2906" s="227" t="n"/>
    </row>
    <row r="2907">
      <c r="A2907" s="145">
        <f>IF($B2907="","",ROW()-5)</f>
        <v/>
      </c>
      <c r="B2907" s="127" t="n"/>
      <c r="C2907" s="223" t="n"/>
      <c r="D2907" s="127" t="n"/>
      <c r="E2907" s="227" t="n"/>
      <c r="F2907" s="227" t="n"/>
      <c r="G2907" s="227" t="n"/>
      <c r="H2907" s="227" t="n"/>
      <c r="I2907" s="227" t="n"/>
      <c r="J2907" s="227" t="n"/>
      <c r="K2907" s="227" t="n"/>
      <c r="L2907" s="227" t="n"/>
      <c r="M2907" s="227" t="n"/>
      <c r="N2907" s="127" t="n"/>
      <c r="O2907" s="227" t="n"/>
      <c r="P2907" s="227" t="n"/>
      <c r="Q2907" s="227" t="n"/>
      <c r="R2907" s="227" t="n"/>
      <c r="S2907" s="227" t="n"/>
      <c r="T2907" s="227" t="n"/>
    </row>
    <row r="2908">
      <c r="A2908" s="145">
        <f>IF($B2908="","",ROW()-5)</f>
        <v/>
      </c>
      <c r="B2908" s="127" t="n"/>
      <c r="C2908" s="223" t="n"/>
      <c r="D2908" s="127" t="n"/>
      <c r="E2908" s="227" t="n"/>
      <c r="F2908" s="227" t="n"/>
      <c r="G2908" s="227" t="n"/>
      <c r="H2908" s="227" t="n"/>
      <c r="I2908" s="227" t="n"/>
      <c r="J2908" s="227" t="n"/>
      <c r="K2908" s="227" t="n"/>
      <c r="L2908" s="227" t="n"/>
      <c r="M2908" s="227" t="n"/>
      <c r="N2908" s="127" t="n"/>
      <c r="O2908" s="227" t="n"/>
      <c r="P2908" s="227" t="n"/>
      <c r="Q2908" s="227" t="n"/>
      <c r="R2908" s="227" t="n"/>
      <c r="S2908" s="227" t="n"/>
      <c r="T2908" s="227" t="n"/>
    </row>
    <row r="2909">
      <c r="A2909" s="145">
        <f>IF($B2909="","",ROW()-5)</f>
        <v/>
      </c>
      <c r="B2909" s="127" t="n"/>
      <c r="C2909" s="223" t="n"/>
      <c r="D2909" s="127" t="n"/>
      <c r="E2909" s="227" t="n"/>
      <c r="F2909" s="227" t="n"/>
      <c r="G2909" s="227" t="n"/>
      <c r="H2909" s="227" t="n"/>
      <c r="I2909" s="227" t="n"/>
      <c r="J2909" s="227" t="n"/>
      <c r="K2909" s="227" t="n"/>
      <c r="L2909" s="227" t="n"/>
      <c r="M2909" s="227" t="n"/>
      <c r="N2909" s="127" t="n"/>
      <c r="O2909" s="227" t="n"/>
      <c r="P2909" s="227" t="n"/>
      <c r="Q2909" s="227" t="n"/>
      <c r="R2909" s="227" t="n"/>
      <c r="S2909" s="227" t="n"/>
      <c r="T2909" s="227" t="n"/>
    </row>
    <row r="2910">
      <c r="A2910" s="145">
        <f>IF($B2910="","",ROW()-5)</f>
        <v/>
      </c>
      <c r="B2910" s="127" t="n"/>
      <c r="C2910" s="223" t="n"/>
      <c r="D2910" s="127" t="n"/>
      <c r="E2910" s="227" t="n"/>
      <c r="F2910" s="227" t="n"/>
      <c r="G2910" s="227" t="n"/>
      <c r="H2910" s="227" t="n"/>
      <c r="I2910" s="227" t="n"/>
      <c r="J2910" s="227" t="n"/>
      <c r="K2910" s="227" t="n"/>
      <c r="L2910" s="227" t="n"/>
      <c r="M2910" s="227" t="n"/>
      <c r="N2910" s="127" t="n"/>
      <c r="O2910" s="227" t="n"/>
      <c r="P2910" s="227" t="n"/>
      <c r="Q2910" s="227" t="n"/>
      <c r="R2910" s="227" t="n"/>
      <c r="S2910" s="227" t="n"/>
      <c r="T2910" s="227" t="n"/>
    </row>
    <row r="2911">
      <c r="A2911" s="145">
        <f>IF($B2911="","",ROW()-5)</f>
        <v/>
      </c>
      <c r="B2911" s="127" t="n"/>
      <c r="C2911" s="223" t="n"/>
      <c r="D2911" s="127" t="n"/>
      <c r="E2911" s="227" t="n"/>
      <c r="F2911" s="227" t="n"/>
      <c r="G2911" s="227" t="n"/>
      <c r="H2911" s="227" t="n"/>
      <c r="I2911" s="227" t="n"/>
      <c r="J2911" s="227" t="n"/>
      <c r="K2911" s="227" t="n"/>
      <c r="L2911" s="227" t="n"/>
      <c r="M2911" s="227" t="n"/>
      <c r="N2911" s="127" t="n"/>
      <c r="O2911" s="227" t="n"/>
      <c r="P2911" s="227" t="n"/>
      <c r="Q2911" s="227" t="n"/>
      <c r="R2911" s="227" t="n"/>
      <c r="S2911" s="227" t="n"/>
      <c r="T2911" s="227" t="n"/>
    </row>
    <row r="2912">
      <c r="A2912" s="145">
        <f>IF($B2912="","",ROW()-5)</f>
        <v/>
      </c>
      <c r="B2912" s="127" t="n"/>
      <c r="C2912" s="223" t="n"/>
      <c r="D2912" s="127" t="n"/>
      <c r="E2912" s="227" t="n"/>
      <c r="F2912" s="227" t="n"/>
      <c r="G2912" s="227" t="n"/>
      <c r="H2912" s="227" t="n"/>
      <c r="I2912" s="227" t="n"/>
      <c r="J2912" s="227" t="n"/>
      <c r="K2912" s="227" t="n"/>
      <c r="L2912" s="227" t="n"/>
      <c r="M2912" s="227" t="n"/>
      <c r="N2912" s="127" t="n"/>
      <c r="O2912" s="227" t="n"/>
      <c r="P2912" s="227" t="n"/>
      <c r="Q2912" s="227" t="n"/>
      <c r="R2912" s="227" t="n"/>
      <c r="S2912" s="227" t="n"/>
      <c r="T2912" s="227" t="n"/>
    </row>
    <row r="2913">
      <c r="A2913" s="145">
        <f>IF($B2913="","",ROW()-5)</f>
        <v/>
      </c>
      <c r="B2913" s="127" t="n"/>
      <c r="C2913" s="223" t="n"/>
      <c r="D2913" s="127" t="n"/>
      <c r="E2913" s="227" t="n"/>
      <c r="F2913" s="227" t="n"/>
      <c r="G2913" s="227" t="n"/>
      <c r="H2913" s="227" t="n"/>
      <c r="I2913" s="227" t="n"/>
      <c r="J2913" s="227" t="n"/>
      <c r="K2913" s="227" t="n"/>
      <c r="L2913" s="227" t="n"/>
      <c r="M2913" s="227" t="n"/>
      <c r="N2913" s="127" t="n"/>
      <c r="O2913" s="227" t="n"/>
      <c r="P2913" s="227" t="n"/>
      <c r="Q2913" s="227" t="n"/>
      <c r="R2913" s="227" t="n"/>
      <c r="S2913" s="227" t="n"/>
      <c r="T2913" s="227" t="n"/>
    </row>
    <row r="2914">
      <c r="A2914" s="145">
        <f>IF($B2914="","",ROW()-5)</f>
        <v/>
      </c>
      <c r="B2914" s="127" t="n"/>
      <c r="C2914" s="223" t="n"/>
      <c r="D2914" s="127" t="n"/>
      <c r="E2914" s="227" t="n"/>
      <c r="F2914" s="227" t="n"/>
      <c r="G2914" s="227" t="n"/>
      <c r="H2914" s="227" t="n"/>
      <c r="I2914" s="227" t="n"/>
      <c r="J2914" s="227" t="n"/>
      <c r="K2914" s="227" t="n"/>
      <c r="L2914" s="227" t="n"/>
      <c r="M2914" s="227" t="n"/>
      <c r="N2914" s="127" t="n"/>
      <c r="O2914" s="227" t="n"/>
      <c r="P2914" s="227" t="n"/>
      <c r="Q2914" s="227" t="n"/>
      <c r="R2914" s="227" t="n"/>
      <c r="S2914" s="227" t="n"/>
      <c r="T2914" s="227" t="n"/>
    </row>
    <row r="2915">
      <c r="A2915" s="145">
        <f>IF($B2915="","",ROW()-5)</f>
        <v/>
      </c>
      <c r="B2915" s="127" t="n"/>
      <c r="C2915" s="223" t="n"/>
      <c r="D2915" s="127" t="n"/>
      <c r="E2915" s="227" t="n"/>
      <c r="F2915" s="227" t="n"/>
      <c r="G2915" s="227" t="n"/>
      <c r="H2915" s="227" t="n"/>
      <c r="I2915" s="227" t="n"/>
      <c r="J2915" s="227" t="n"/>
      <c r="K2915" s="227" t="n"/>
      <c r="L2915" s="227" t="n"/>
      <c r="M2915" s="227" t="n"/>
      <c r="N2915" s="127" t="n"/>
      <c r="O2915" s="227" t="n"/>
      <c r="P2915" s="227" t="n"/>
      <c r="Q2915" s="227" t="n"/>
      <c r="R2915" s="227" t="n"/>
      <c r="S2915" s="227" t="n"/>
      <c r="T2915" s="227" t="n"/>
    </row>
    <row r="2916">
      <c r="A2916" s="145">
        <f>IF($B2916="","",ROW()-5)</f>
        <v/>
      </c>
      <c r="B2916" s="127" t="n"/>
      <c r="C2916" s="223" t="n"/>
      <c r="D2916" s="127" t="n"/>
      <c r="E2916" s="227" t="n"/>
      <c r="F2916" s="227" t="n"/>
      <c r="G2916" s="227" t="n"/>
      <c r="H2916" s="227" t="n"/>
      <c r="I2916" s="227" t="n"/>
      <c r="J2916" s="227" t="n"/>
      <c r="K2916" s="227" t="n"/>
      <c r="L2916" s="227" t="n"/>
      <c r="M2916" s="227" t="n"/>
      <c r="N2916" s="127" t="n"/>
      <c r="O2916" s="227" t="n"/>
      <c r="P2916" s="227" t="n"/>
      <c r="Q2916" s="227" t="n"/>
      <c r="R2916" s="227" t="n"/>
      <c r="S2916" s="227" t="n"/>
      <c r="T2916" s="227" t="n"/>
    </row>
    <row r="2917">
      <c r="A2917" s="145">
        <f>IF($B2917="","",ROW()-5)</f>
        <v/>
      </c>
      <c r="B2917" s="127" t="n"/>
      <c r="C2917" s="223" t="n"/>
      <c r="D2917" s="127" t="n"/>
      <c r="E2917" s="227" t="n"/>
      <c r="F2917" s="227" t="n"/>
      <c r="G2917" s="227" t="n"/>
      <c r="H2917" s="227" t="n"/>
      <c r="I2917" s="227" t="n"/>
      <c r="J2917" s="227" t="n"/>
      <c r="K2917" s="227" t="n"/>
      <c r="L2917" s="227" t="n"/>
      <c r="M2917" s="227" t="n"/>
      <c r="N2917" s="127" t="n"/>
      <c r="O2917" s="227" t="n"/>
      <c r="P2917" s="227" t="n"/>
      <c r="Q2917" s="227" t="n"/>
      <c r="R2917" s="227" t="n"/>
      <c r="S2917" s="227" t="n"/>
      <c r="T2917" s="227" t="n"/>
    </row>
    <row r="2918">
      <c r="A2918" s="145">
        <f>IF($B2918="","",ROW()-5)</f>
        <v/>
      </c>
      <c r="B2918" s="127" t="n"/>
      <c r="C2918" s="223" t="n"/>
      <c r="D2918" s="127" t="n"/>
      <c r="E2918" s="227" t="n"/>
      <c r="F2918" s="227" t="n"/>
      <c r="G2918" s="227" t="n"/>
      <c r="H2918" s="227" t="n"/>
      <c r="I2918" s="227" t="n"/>
      <c r="J2918" s="227" t="n"/>
      <c r="K2918" s="227" t="n"/>
      <c r="L2918" s="227" t="n"/>
      <c r="M2918" s="227" t="n"/>
      <c r="N2918" s="127" t="n"/>
      <c r="O2918" s="227" t="n"/>
      <c r="P2918" s="227" t="n"/>
      <c r="Q2918" s="227" t="n"/>
      <c r="R2918" s="227" t="n"/>
      <c r="S2918" s="227" t="n"/>
      <c r="T2918" s="227" t="n"/>
    </row>
    <row r="2919">
      <c r="A2919" s="145">
        <f>IF($B2919="","",ROW()-5)</f>
        <v/>
      </c>
      <c r="B2919" s="127" t="n"/>
      <c r="C2919" s="223" t="n"/>
      <c r="D2919" s="127" t="n"/>
      <c r="E2919" s="227" t="n"/>
      <c r="F2919" s="227" t="n"/>
      <c r="G2919" s="227" t="n"/>
      <c r="H2919" s="227" t="n"/>
      <c r="I2919" s="227" t="n"/>
      <c r="J2919" s="227" t="n"/>
      <c r="K2919" s="227" t="n"/>
      <c r="L2919" s="227" t="n"/>
      <c r="M2919" s="227" t="n"/>
      <c r="N2919" s="127" t="n"/>
      <c r="O2919" s="227" t="n"/>
      <c r="P2919" s="227" t="n"/>
      <c r="Q2919" s="227" t="n"/>
      <c r="R2919" s="227" t="n"/>
      <c r="S2919" s="227" t="n"/>
      <c r="T2919" s="227" t="n"/>
    </row>
    <row r="2920">
      <c r="A2920" s="145">
        <f>IF($B2920="","",ROW()-5)</f>
        <v/>
      </c>
      <c r="B2920" s="127" t="n"/>
      <c r="C2920" s="223" t="n"/>
      <c r="D2920" s="127" t="n"/>
      <c r="E2920" s="227" t="n"/>
      <c r="F2920" s="227" t="n"/>
      <c r="G2920" s="227" t="n"/>
      <c r="H2920" s="227" t="n"/>
      <c r="I2920" s="227" t="n"/>
      <c r="J2920" s="227" t="n"/>
      <c r="K2920" s="227" t="n"/>
      <c r="L2920" s="227" t="n"/>
      <c r="M2920" s="227" t="n"/>
      <c r="N2920" s="127" t="n"/>
      <c r="O2920" s="227" t="n"/>
      <c r="P2920" s="227" t="n"/>
      <c r="Q2920" s="227" t="n"/>
      <c r="R2920" s="227" t="n"/>
      <c r="S2920" s="227" t="n"/>
      <c r="T2920" s="227" t="n"/>
    </row>
    <row r="2921">
      <c r="A2921" s="145">
        <f>IF($B2921="","",ROW()-5)</f>
        <v/>
      </c>
      <c r="B2921" s="127" t="n"/>
      <c r="C2921" s="223" t="n"/>
      <c r="D2921" s="127" t="n"/>
      <c r="E2921" s="227" t="n"/>
      <c r="F2921" s="227" t="n"/>
      <c r="G2921" s="227" t="n"/>
      <c r="H2921" s="227" t="n"/>
      <c r="I2921" s="227" t="n"/>
      <c r="J2921" s="227" t="n"/>
      <c r="K2921" s="227" t="n"/>
      <c r="L2921" s="227" t="n"/>
      <c r="M2921" s="227" t="n"/>
      <c r="N2921" s="127" t="n"/>
      <c r="O2921" s="227" t="n"/>
      <c r="P2921" s="227" t="n"/>
      <c r="Q2921" s="227" t="n"/>
      <c r="R2921" s="227" t="n"/>
      <c r="S2921" s="227" t="n"/>
      <c r="T2921" s="227" t="n"/>
    </row>
    <row r="2922">
      <c r="A2922" s="145">
        <f>IF($B2922="","",ROW()-5)</f>
        <v/>
      </c>
      <c r="B2922" s="127" t="n"/>
      <c r="C2922" s="223" t="n"/>
      <c r="D2922" s="127" t="n"/>
      <c r="E2922" s="227" t="n"/>
      <c r="F2922" s="227" t="n"/>
      <c r="G2922" s="227" t="n"/>
      <c r="H2922" s="227" t="n"/>
      <c r="I2922" s="227" t="n"/>
      <c r="J2922" s="227" t="n"/>
      <c r="K2922" s="227" t="n"/>
      <c r="L2922" s="227" t="n"/>
      <c r="M2922" s="227" t="n"/>
      <c r="N2922" s="127" t="n"/>
      <c r="O2922" s="227" t="n"/>
      <c r="P2922" s="227" t="n"/>
      <c r="Q2922" s="227" t="n"/>
      <c r="R2922" s="227" t="n"/>
      <c r="S2922" s="227" t="n"/>
      <c r="T2922" s="227" t="n"/>
    </row>
    <row r="2923">
      <c r="A2923" s="145">
        <f>IF($B2923="","",ROW()-5)</f>
        <v/>
      </c>
      <c r="B2923" s="127" t="n"/>
      <c r="C2923" s="223" t="n"/>
      <c r="D2923" s="127" t="n"/>
      <c r="E2923" s="227" t="n"/>
      <c r="F2923" s="227" t="n"/>
      <c r="G2923" s="227" t="n"/>
      <c r="H2923" s="227" t="n"/>
      <c r="I2923" s="227" t="n"/>
      <c r="J2923" s="227" t="n"/>
      <c r="K2923" s="227" t="n"/>
      <c r="L2923" s="227" t="n"/>
      <c r="M2923" s="227" t="n"/>
      <c r="N2923" s="127" t="n"/>
      <c r="O2923" s="227" t="n"/>
      <c r="P2923" s="227" t="n"/>
      <c r="Q2923" s="227" t="n"/>
      <c r="R2923" s="227" t="n"/>
      <c r="S2923" s="227" t="n"/>
      <c r="T2923" s="227" t="n"/>
    </row>
    <row r="2924">
      <c r="A2924" s="145">
        <f>IF($B2924="","",ROW()-5)</f>
        <v/>
      </c>
      <c r="B2924" s="127" t="n"/>
      <c r="C2924" s="223" t="n"/>
      <c r="D2924" s="127" t="n"/>
      <c r="E2924" s="227" t="n"/>
      <c r="F2924" s="227" t="n"/>
      <c r="G2924" s="227" t="n"/>
      <c r="H2924" s="227" t="n"/>
      <c r="I2924" s="227" t="n"/>
      <c r="J2924" s="227" t="n"/>
      <c r="K2924" s="227" t="n"/>
      <c r="L2924" s="227" t="n"/>
      <c r="M2924" s="227" t="n"/>
      <c r="N2924" s="127" t="n"/>
      <c r="O2924" s="227" t="n"/>
      <c r="P2924" s="227" t="n"/>
      <c r="Q2924" s="227" t="n"/>
      <c r="R2924" s="227" t="n"/>
      <c r="S2924" s="227" t="n"/>
      <c r="T2924" s="227" t="n"/>
    </row>
    <row r="2925">
      <c r="A2925" s="145">
        <f>IF($B2925="","",ROW()-5)</f>
        <v/>
      </c>
      <c r="B2925" s="127" t="n"/>
      <c r="C2925" s="223" t="n"/>
      <c r="D2925" s="127" t="n"/>
      <c r="E2925" s="227" t="n"/>
      <c r="F2925" s="227" t="n"/>
      <c r="G2925" s="227" t="n"/>
      <c r="H2925" s="227" t="n"/>
      <c r="I2925" s="227" t="n"/>
      <c r="J2925" s="227" t="n"/>
      <c r="K2925" s="227" t="n"/>
      <c r="L2925" s="227" t="n"/>
      <c r="M2925" s="227" t="n"/>
      <c r="N2925" s="127" t="n"/>
      <c r="O2925" s="227" t="n"/>
      <c r="P2925" s="227" t="n"/>
      <c r="Q2925" s="227" t="n"/>
      <c r="R2925" s="227" t="n"/>
      <c r="S2925" s="227" t="n"/>
      <c r="T2925" s="227" t="n"/>
    </row>
    <row r="2926">
      <c r="A2926" s="145">
        <f>IF($B2926="","",ROW()-5)</f>
        <v/>
      </c>
      <c r="B2926" s="127" t="n"/>
      <c r="C2926" s="223" t="n"/>
      <c r="D2926" s="127" t="n"/>
      <c r="E2926" s="227" t="n"/>
      <c r="F2926" s="227" t="n"/>
      <c r="G2926" s="227" t="n"/>
      <c r="H2926" s="227" t="n"/>
      <c r="I2926" s="227" t="n"/>
      <c r="J2926" s="227" t="n"/>
      <c r="K2926" s="227" t="n"/>
      <c r="L2926" s="227" t="n"/>
      <c r="M2926" s="227" t="n"/>
      <c r="N2926" s="127" t="n"/>
      <c r="O2926" s="227" t="n"/>
      <c r="P2926" s="227" t="n"/>
      <c r="Q2926" s="227" t="n"/>
      <c r="R2926" s="227" t="n"/>
      <c r="S2926" s="227" t="n"/>
      <c r="T2926" s="227" t="n"/>
    </row>
    <row r="2927">
      <c r="A2927" s="145">
        <f>IF($B2927="","",ROW()-5)</f>
        <v/>
      </c>
      <c r="B2927" s="127" t="n"/>
      <c r="C2927" s="223" t="n"/>
      <c r="D2927" s="127" t="n"/>
      <c r="E2927" s="227" t="n"/>
      <c r="F2927" s="227" t="n"/>
      <c r="G2927" s="227" t="n"/>
      <c r="H2927" s="227" t="n"/>
      <c r="I2927" s="227" t="n"/>
      <c r="J2927" s="227" t="n"/>
      <c r="K2927" s="227" t="n"/>
      <c r="L2927" s="227" t="n"/>
      <c r="M2927" s="227" t="n"/>
      <c r="N2927" s="127" t="n"/>
      <c r="O2927" s="227" t="n"/>
      <c r="P2927" s="227" t="n"/>
      <c r="Q2927" s="227" t="n"/>
      <c r="R2927" s="227" t="n"/>
      <c r="S2927" s="227" t="n"/>
      <c r="T2927" s="227" t="n"/>
    </row>
    <row r="2928">
      <c r="A2928" s="145">
        <f>IF($B2928="","",ROW()-5)</f>
        <v/>
      </c>
      <c r="B2928" s="127" t="n"/>
      <c r="C2928" s="223" t="n"/>
      <c r="D2928" s="127" t="n"/>
      <c r="E2928" s="227" t="n"/>
      <c r="F2928" s="227" t="n"/>
      <c r="G2928" s="227" t="n"/>
      <c r="H2928" s="227" t="n"/>
      <c r="I2928" s="227" t="n"/>
      <c r="J2928" s="227" t="n"/>
      <c r="K2928" s="227" t="n"/>
      <c r="L2928" s="227" t="n"/>
      <c r="M2928" s="227" t="n"/>
      <c r="N2928" s="127" t="n"/>
      <c r="O2928" s="227" t="n"/>
      <c r="P2928" s="227" t="n"/>
      <c r="Q2928" s="227" t="n"/>
      <c r="R2928" s="227" t="n"/>
      <c r="S2928" s="227" t="n"/>
      <c r="T2928" s="227" t="n"/>
    </row>
    <row r="2929">
      <c r="A2929" s="145">
        <f>IF($B2929="","",ROW()-5)</f>
        <v/>
      </c>
      <c r="B2929" s="127" t="n"/>
      <c r="C2929" s="223" t="n"/>
      <c r="D2929" s="127" t="n"/>
      <c r="E2929" s="227" t="n"/>
      <c r="F2929" s="227" t="n"/>
      <c r="G2929" s="227" t="n"/>
      <c r="H2929" s="227" t="n"/>
      <c r="I2929" s="227" t="n"/>
      <c r="J2929" s="227" t="n"/>
      <c r="K2929" s="227" t="n"/>
      <c r="L2929" s="227" t="n"/>
      <c r="M2929" s="227" t="n"/>
      <c r="N2929" s="127" t="n"/>
      <c r="O2929" s="227" t="n"/>
      <c r="P2929" s="227" t="n"/>
      <c r="Q2929" s="227" t="n"/>
      <c r="R2929" s="227" t="n"/>
      <c r="S2929" s="227" t="n"/>
      <c r="T2929" s="227" t="n"/>
    </row>
    <row r="2930">
      <c r="A2930" s="145">
        <f>IF($B2930="","",ROW()-5)</f>
        <v/>
      </c>
      <c r="B2930" s="127" t="n"/>
      <c r="C2930" s="223" t="n"/>
      <c r="D2930" s="127" t="n"/>
      <c r="E2930" s="227" t="n"/>
      <c r="F2930" s="227" t="n"/>
      <c r="G2930" s="227" t="n"/>
      <c r="H2930" s="227" t="n"/>
      <c r="I2930" s="227" t="n"/>
      <c r="J2930" s="227" t="n"/>
      <c r="K2930" s="227" t="n"/>
      <c r="L2930" s="227" t="n"/>
      <c r="M2930" s="227" t="n"/>
      <c r="N2930" s="127" t="n"/>
      <c r="O2930" s="227" t="n"/>
      <c r="P2930" s="227" t="n"/>
      <c r="Q2930" s="227" t="n"/>
      <c r="R2930" s="227" t="n"/>
      <c r="S2930" s="227" t="n"/>
      <c r="T2930" s="227" t="n"/>
    </row>
    <row r="2931">
      <c r="A2931" s="145">
        <f>IF($B2931="","",ROW()-5)</f>
        <v/>
      </c>
      <c r="B2931" s="127" t="n"/>
      <c r="C2931" s="223" t="n"/>
      <c r="D2931" s="127" t="n"/>
      <c r="E2931" s="227" t="n"/>
      <c r="F2931" s="227" t="n"/>
      <c r="G2931" s="227" t="n"/>
      <c r="H2931" s="227" t="n"/>
      <c r="I2931" s="227" t="n"/>
      <c r="J2931" s="227" t="n"/>
      <c r="K2931" s="227" t="n"/>
      <c r="L2931" s="227" t="n"/>
      <c r="M2931" s="227" t="n"/>
      <c r="N2931" s="127" t="n"/>
      <c r="O2931" s="227" t="n"/>
      <c r="P2931" s="227" t="n"/>
      <c r="Q2931" s="227" t="n"/>
      <c r="R2931" s="227" t="n"/>
      <c r="S2931" s="227" t="n"/>
      <c r="T2931" s="227" t="n"/>
    </row>
    <row r="2932">
      <c r="A2932" s="145">
        <f>IF($B2932="","",ROW()-5)</f>
        <v/>
      </c>
      <c r="B2932" s="127" t="n"/>
      <c r="C2932" s="223" t="n"/>
      <c r="D2932" s="127" t="n"/>
      <c r="E2932" s="227" t="n"/>
      <c r="F2932" s="227" t="n"/>
      <c r="G2932" s="227" t="n"/>
      <c r="H2932" s="227" t="n"/>
      <c r="I2932" s="227" t="n"/>
      <c r="J2932" s="227" t="n"/>
      <c r="K2932" s="227" t="n"/>
      <c r="L2932" s="227" t="n"/>
      <c r="M2932" s="227" t="n"/>
      <c r="N2932" s="127" t="n"/>
      <c r="O2932" s="227" t="n"/>
      <c r="P2932" s="227" t="n"/>
      <c r="Q2932" s="227" t="n"/>
      <c r="R2932" s="227" t="n"/>
      <c r="S2932" s="227" t="n"/>
      <c r="T2932" s="227" t="n"/>
    </row>
    <row r="2933">
      <c r="A2933" s="145">
        <f>IF($B2933="","",ROW()-5)</f>
        <v/>
      </c>
      <c r="B2933" s="127" t="n"/>
      <c r="C2933" s="223" t="n"/>
      <c r="D2933" s="127" t="n"/>
      <c r="E2933" s="227" t="n"/>
      <c r="F2933" s="227" t="n"/>
      <c r="G2933" s="227" t="n"/>
      <c r="H2933" s="227" t="n"/>
      <c r="I2933" s="227" t="n"/>
      <c r="J2933" s="227" t="n"/>
      <c r="K2933" s="227" t="n"/>
      <c r="L2933" s="227" t="n"/>
      <c r="M2933" s="227" t="n"/>
      <c r="N2933" s="127" t="n"/>
      <c r="O2933" s="227" t="n"/>
      <c r="P2933" s="227" t="n"/>
      <c r="Q2933" s="227" t="n"/>
      <c r="R2933" s="227" t="n"/>
      <c r="S2933" s="227" t="n"/>
      <c r="T2933" s="227" t="n"/>
    </row>
    <row r="2934">
      <c r="A2934" s="145">
        <f>IF($B2934="","",ROW()-5)</f>
        <v/>
      </c>
      <c r="B2934" s="127" t="n"/>
      <c r="C2934" s="223" t="n"/>
      <c r="D2934" s="127" t="n"/>
      <c r="E2934" s="227" t="n"/>
      <c r="F2934" s="227" t="n"/>
      <c r="G2934" s="227" t="n"/>
      <c r="H2934" s="227" t="n"/>
      <c r="I2934" s="227" t="n"/>
      <c r="J2934" s="227" t="n"/>
      <c r="K2934" s="227" t="n"/>
      <c r="L2934" s="227" t="n"/>
      <c r="M2934" s="227" t="n"/>
      <c r="N2934" s="127" t="n"/>
      <c r="O2934" s="227" t="n"/>
      <c r="P2934" s="227" t="n"/>
      <c r="Q2934" s="227" t="n"/>
      <c r="R2934" s="227" t="n"/>
      <c r="S2934" s="227" t="n"/>
      <c r="T2934" s="227" t="n"/>
    </row>
    <row r="2935">
      <c r="A2935" s="145">
        <f>IF($B2935="","",ROW()-5)</f>
        <v/>
      </c>
      <c r="B2935" s="127" t="n"/>
      <c r="C2935" s="223" t="n"/>
      <c r="D2935" s="127" t="n"/>
      <c r="E2935" s="227" t="n"/>
      <c r="F2935" s="227" t="n"/>
      <c r="G2935" s="227" t="n"/>
      <c r="H2935" s="227" t="n"/>
      <c r="I2935" s="227" t="n"/>
      <c r="J2935" s="227" t="n"/>
      <c r="K2935" s="227" t="n"/>
      <c r="L2935" s="227" t="n"/>
      <c r="M2935" s="227" t="n"/>
      <c r="N2935" s="127" t="n"/>
      <c r="O2935" s="227" t="n"/>
      <c r="P2935" s="227" t="n"/>
      <c r="Q2935" s="227" t="n"/>
      <c r="R2935" s="227" t="n"/>
      <c r="S2935" s="227" t="n"/>
      <c r="T2935" s="227" t="n"/>
    </row>
    <row r="2936">
      <c r="A2936" s="145">
        <f>IF($B2936="","",ROW()-5)</f>
        <v/>
      </c>
      <c r="B2936" s="127" t="n"/>
      <c r="C2936" s="223" t="n"/>
      <c r="D2936" s="127" t="n"/>
      <c r="E2936" s="227" t="n"/>
      <c r="F2936" s="227" t="n"/>
      <c r="G2936" s="227" t="n"/>
      <c r="H2936" s="227" t="n"/>
      <c r="I2936" s="227" t="n"/>
      <c r="J2936" s="227" t="n"/>
      <c r="K2936" s="227" t="n"/>
      <c r="L2936" s="227" t="n"/>
      <c r="M2936" s="227" t="n"/>
      <c r="N2936" s="127" t="n"/>
      <c r="O2936" s="227" t="n"/>
      <c r="P2936" s="227" t="n"/>
      <c r="Q2936" s="227" t="n"/>
      <c r="R2936" s="227" t="n"/>
      <c r="S2936" s="227" t="n"/>
      <c r="T2936" s="227" t="n"/>
    </row>
    <row r="2937">
      <c r="A2937" s="145">
        <f>IF($B2937="","",ROW()-5)</f>
        <v/>
      </c>
      <c r="B2937" s="127" t="n"/>
      <c r="C2937" s="223" t="n"/>
      <c r="D2937" s="127" t="n"/>
      <c r="E2937" s="227" t="n"/>
      <c r="F2937" s="227" t="n"/>
      <c r="G2937" s="227" t="n"/>
      <c r="H2937" s="227" t="n"/>
      <c r="I2937" s="227" t="n"/>
      <c r="J2937" s="227" t="n"/>
      <c r="K2937" s="227" t="n"/>
      <c r="L2937" s="227" t="n"/>
      <c r="M2937" s="227" t="n"/>
      <c r="N2937" s="127" t="n"/>
      <c r="O2937" s="227" t="n"/>
      <c r="P2937" s="227" t="n"/>
      <c r="Q2937" s="227" t="n"/>
      <c r="R2937" s="227" t="n"/>
      <c r="S2937" s="227" t="n"/>
      <c r="T2937" s="227" t="n"/>
    </row>
    <row r="2938">
      <c r="A2938" s="145">
        <f>IF($B2938="","",ROW()-5)</f>
        <v/>
      </c>
      <c r="B2938" s="127" t="n"/>
      <c r="C2938" s="223" t="n"/>
      <c r="D2938" s="127" t="n"/>
      <c r="E2938" s="227" t="n"/>
      <c r="F2938" s="227" t="n"/>
      <c r="G2938" s="227" t="n"/>
      <c r="H2938" s="227" t="n"/>
      <c r="I2938" s="227" t="n"/>
      <c r="J2938" s="227" t="n"/>
      <c r="K2938" s="227" t="n"/>
      <c r="L2938" s="227" t="n"/>
      <c r="M2938" s="227" t="n"/>
      <c r="N2938" s="127" t="n"/>
      <c r="O2938" s="227" t="n"/>
      <c r="P2938" s="227" t="n"/>
      <c r="Q2938" s="227" t="n"/>
      <c r="R2938" s="227" t="n"/>
      <c r="S2938" s="227" t="n"/>
      <c r="T2938" s="227" t="n"/>
    </row>
    <row r="2939">
      <c r="A2939" s="145">
        <f>IF($B2939="","",ROW()-5)</f>
        <v/>
      </c>
      <c r="B2939" s="127" t="n"/>
      <c r="C2939" s="223" t="n"/>
      <c r="D2939" s="127" t="n"/>
      <c r="E2939" s="227" t="n"/>
      <c r="F2939" s="227" t="n"/>
      <c r="G2939" s="227" t="n"/>
      <c r="H2939" s="227" t="n"/>
      <c r="I2939" s="227" t="n"/>
      <c r="J2939" s="227" t="n"/>
      <c r="K2939" s="227" t="n"/>
      <c r="L2939" s="227" t="n"/>
      <c r="M2939" s="227" t="n"/>
      <c r="N2939" s="127" t="n"/>
      <c r="O2939" s="227" t="n"/>
      <c r="P2939" s="227" t="n"/>
      <c r="Q2939" s="227" t="n"/>
      <c r="R2939" s="227" t="n"/>
      <c r="S2939" s="227" t="n"/>
      <c r="T2939" s="227" t="n"/>
    </row>
    <row r="2940">
      <c r="A2940" s="145">
        <f>IF($B2940="","",ROW()-5)</f>
        <v/>
      </c>
      <c r="B2940" s="127" t="n"/>
      <c r="C2940" s="223" t="n"/>
      <c r="D2940" s="127" t="n"/>
      <c r="E2940" s="227" t="n"/>
      <c r="F2940" s="227" t="n"/>
      <c r="G2940" s="227" t="n"/>
      <c r="H2940" s="227" t="n"/>
      <c r="I2940" s="227" t="n"/>
      <c r="J2940" s="227" t="n"/>
      <c r="K2940" s="227" t="n"/>
      <c r="L2940" s="227" t="n"/>
      <c r="M2940" s="227" t="n"/>
      <c r="N2940" s="127" t="n"/>
      <c r="O2940" s="227" t="n"/>
      <c r="P2940" s="227" t="n"/>
      <c r="Q2940" s="227" t="n"/>
      <c r="R2940" s="227" t="n"/>
      <c r="S2940" s="227" t="n"/>
      <c r="T2940" s="227" t="n"/>
    </row>
    <row r="2941">
      <c r="A2941" s="145">
        <f>IF($B2941="","",ROW()-5)</f>
        <v/>
      </c>
      <c r="B2941" s="127" t="n"/>
      <c r="C2941" s="223" t="n"/>
      <c r="D2941" s="127" t="n"/>
      <c r="E2941" s="227" t="n"/>
      <c r="F2941" s="227" t="n"/>
      <c r="G2941" s="227" t="n"/>
      <c r="H2941" s="227" t="n"/>
      <c r="I2941" s="227" t="n"/>
      <c r="J2941" s="227" t="n"/>
      <c r="K2941" s="227" t="n"/>
      <c r="L2941" s="227" t="n"/>
      <c r="M2941" s="227" t="n"/>
      <c r="N2941" s="127" t="n"/>
      <c r="O2941" s="227" t="n"/>
      <c r="P2941" s="227" t="n"/>
      <c r="Q2941" s="227" t="n"/>
      <c r="R2941" s="227" t="n"/>
      <c r="S2941" s="227" t="n"/>
      <c r="T2941" s="227" t="n"/>
    </row>
    <row r="2942">
      <c r="A2942" s="145">
        <f>IF($B2942="","",ROW()-5)</f>
        <v/>
      </c>
      <c r="B2942" s="127" t="n"/>
      <c r="C2942" s="223" t="n"/>
      <c r="D2942" s="127" t="n"/>
      <c r="E2942" s="227" t="n"/>
      <c r="F2942" s="227" t="n"/>
      <c r="G2942" s="227" t="n"/>
      <c r="H2942" s="227" t="n"/>
      <c r="I2942" s="227" t="n"/>
      <c r="J2942" s="227" t="n"/>
      <c r="K2942" s="227" t="n"/>
      <c r="L2942" s="227" t="n"/>
      <c r="M2942" s="227" t="n"/>
      <c r="N2942" s="127" t="n"/>
      <c r="O2942" s="227" t="n"/>
      <c r="P2942" s="227" t="n"/>
      <c r="Q2942" s="227" t="n"/>
      <c r="R2942" s="227" t="n"/>
      <c r="S2942" s="227" t="n"/>
      <c r="T2942" s="227" t="n"/>
    </row>
    <row r="2943">
      <c r="A2943" s="145">
        <f>IF($B2943="","",ROW()-5)</f>
        <v/>
      </c>
      <c r="B2943" s="127" t="n"/>
      <c r="C2943" s="223" t="n"/>
      <c r="D2943" s="127" t="n"/>
      <c r="E2943" s="227" t="n"/>
      <c r="F2943" s="227" t="n"/>
      <c r="G2943" s="227" t="n"/>
      <c r="H2943" s="227" t="n"/>
      <c r="I2943" s="227" t="n"/>
      <c r="J2943" s="227" t="n"/>
      <c r="K2943" s="227" t="n"/>
      <c r="L2943" s="227" t="n"/>
      <c r="M2943" s="227" t="n"/>
      <c r="N2943" s="127" t="n"/>
      <c r="O2943" s="227" t="n"/>
      <c r="P2943" s="227" t="n"/>
      <c r="Q2943" s="227" t="n"/>
      <c r="R2943" s="227" t="n"/>
      <c r="S2943" s="227" t="n"/>
      <c r="T2943" s="227" t="n"/>
    </row>
    <row r="2944">
      <c r="A2944" s="145">
        <f>IF($B2944="","",ROW()-5)</f>
        <v/>
      </c>
      <c r="B2944" s="127" t="n"/>
      <c r="C2944" s="223" t="n"/>
      <c r="D2944" s="127" t="n"/>
      <c r="E2944" s="227" t="n"/>
      <c r="F2944" s="227" t="n"/>
      <c r="G2944" s="227" t="n"/>
      <c r="H2944" s="227" t="n"/>
      <c r="I2944" s="227" t="n"/>
      <c r="J2944" s="227" t="n"/>
      <c r="K2944" s="227" t="n"/>
      <c r="L2944" s="227" t="n"/>
      <c r="M2944" s="227" t="n"/>
      <c r="N2944" s="127" t="n"/>
      <c r="O2944" s="227" t="n"/>
      <c r="P2944" s="227" t="n"/>
      <c r="Q2944" s="227" t="n"/>
      <c r="R2944" s="227" t="n"/>
      <c r="S2944" s="227" t="n"/>
      <c r="T2944" s="227" t="n"/>
    </row>
    <row r="2945">
      <c r="A2945" s="145">
        <f>IF($B2945="","",ROW()-5)</f>
        <v/>
      </c>
      <c r="B2945" s="127" t="n"/>
      <c r="C2945" s="223" t="n"/>
      <c r="D2945" s="127" t="n"/>
      <c r="E2945" s="227" t="n"/>
      <c r="F2945" s="227" t="n"/>
      <c r="G2945" s="227" t="n"/>
      <c r="H2945" s="227" t="n"/>
      <c r="I2945" s="227" t="n"/>
      <c r="J2945" s="227" t="n"/>
      <c r="K2945" s="227" t="n"/>
      <c r="L2945" s="227" t="n"/>
      <c r="M2945" s="227" t="n"/>
      <c r="N2945" s="127" t="n"/>
      <c r="O2945" s="227" t="n"/>
      <c r="P2945" s="227" t="n"/>
      <c r="Q2945" s="227" t="n"/>
      <c r="R2945" s="227" t="n"/>
      <c r="S2945" s="227" t="n"/>
      <c r="T2945" s="227" t="n"/>
    </row>
    <row r="2946">
      <c r="A2946" s="145">
        <f>IF($B2946="","",ROW()-5)</f>
        <v/>
      </c>
      <c r="B2946" s="127" t="n"/>
      <c r="C2946" s="223" t="n"/>
      <c r="D2946" s="127" t="n"/>
      <c r="E2946" s="227" t="n"/>
      <c r="F2946" s="227" t="n"/>
      <c r="G2946" s="227" t="n"/>
      <c r="H2946" s="227" t="n"/>
      <c r="I2946" s="227" t="n"/>
      <c r="J2946" s="227" t="n"/>
      <c r="K2946" s="227" t="n"/>
      <c r="L2946" s="227" t="n"/>
      <c r="M2946" s="227" t="n"/>
      <c r="N2946" s="127" t="n"/>
      <c r="O2946" s="227" t="n"/>
      <c r="P2946" s="227" t="n"/>
      <c r="Q2946" s="227" t="n"/>
      <c r="R2946" s="227" t="n"/>
      <c r="S2946" s="227" t="n"/>
      <c r="T2946" s="227" t="n"/>
    </row>
    <row r="2947">
      <c r="A2947" s="145">
        <f>IF($B2947="","",ROW()-5)</f>
        <v/>
      </c>
      <c r="B2947" s="127" t="n"/>
      <c r="C2947" s="223" t="n"/>
      <c r="D2947" s="127" t="n"/>
      <c r="E2947" s="227" t="n"/>
      <c r="F2947" s="227" t="n"/>
      <c r="G2947" s="227" t="n"/>
      <c r="H2947" s="227" t="n"/>
      <c r="I2947" s="227" t="n"/>
      <c r="J2947" s="227" t="n"/>
      <c r="K2947" s="227" t="n"/>
      <c r="L2947" s="227" t="n"/>
      <c r="M2947" s="227" t="n"/>
      <c r="N2947" s="127" t="n"/>
      <c r="O2947" s="227" t="n"/>
      <c r="P2947" s="227" t="n"/>
      <c r="Q2947" s="227" t="n"/>
      <c r="R2947" s="227" t="n"/>
      <c r="S2947" s="227" t="n"/>
      <c r="T2947" s="227" t="n"/>
    </row>
    <row r="2948">
      <c r="A2948" s="145">
        <f>IF($B2948="","",ROW()-5)</f>
        <v/>
      </c>
      <c r="B2948" s="127" t="n"/>
      <c r="C2948" s="223" t="n"/>
      <c r="D2948" s="127" t="n"/>
      <c r="E2948" s="227" t="n"/>
      <c r="F2948" s="227" t="n"/>
      <c r="G2948" s="227" t="n"/>
      <c r="H2948" s="227" t="n"/>
      <c r="I2948" s="227" t="n"/>
      <c r="J2948" s="227" t="n"/>
      <c r="K2948" s="227" t="n"/>
      <c r="L2948" s="227" t="n"/>
      <c r="M2948" s="227" t="n"/>
      <c r="N2948" s="127" t="n"/>
      <c r="O2948" s="227" t="n"/>
      <c r="P2948" s="227" t="n"/>
      <c r="Q2948" s="227" t="n"/>
      <c r="R2948" s="227" t="n"/>
      <c r="S2948" s="227" t="n"/>
      <c r="T2948" s="227" t="n"/>
    </row>
    <row r="2949">
      <c r="A2949" s="145">
        <f>IF($B2949="","",ROW()-5)</f>
        <v/>
      </c>
      <c r="B2949" s="127" t="n"/>
      <c r="C2949" s="223" t="n"/>
      <c r="D2949" s="127" t="n"/>
      <c r="E2949" s="227" t="n"/>
      <c r="F2949" s="227" t="n"/>
      <c r="G2949" s="227" t="n"/>
      <c r="H2949" s="227" t="n"/>
      <c r="I2949" s="227" t="n"/>
      <c r="J2949" s="227" t="n"/>
      <c r="K2949" s="227" t="n"/>
      <c r="L2949" s="227" t="n"/>
      <c r="M2949" s="227" t="n"/>
      <c r="N2949" s="127" t="n"/>
      <c r="O2949" s="227" t="n"/>
      <c r="P2949" s="227" t="n"/>
      <c r="Q2949" s="227" t="n"/>
      <c r="R2949" s="227" t="n"/>
      <c r="S2949" s="227" t="n"/>
      <c r="T2949" s="227" t="n"/>
    </row>
    <row r="2950">
      <c r="A2950" s="145">
        <f>IF($B2950="","",ROW()-5)</f>
        <v/>
      </c>
      <c r="B2950" s="127" t="n"/>
      <c r="C2950" s="223" t="n"/>
      <c r="D2950" s="127" t="n"/>
      <c r="E2950" s="227" t="n"/>
      <c r="F2950" s="227" t="n"/>
      <c r="G2950" s="227" t="n"/>
      <c r="H2950" s="227" t="n"/>
      <c r="I2950" s="227" t="n"/>
      <c r="J2950" s="227" t="n"/>
      <c r="K2950" s="227" t="n"/>
      <c r="L2950" s="227" t="n"/>
      <c r="M2950" s="227" t="n"/>
      <c r="N2950" s="127" t="n"/>
      <c r="O2950" s="227" t="n"/>
      <c r="P2950" s="227" t="n"/>
      <c r="Q2950" s="227" t="n"/>
      <c r="R2950" s="227" t="n"/>
      <c r="S2950" s="227" t="n"/>
      <c r="T2950" s="227" t="n"/>
    </row>
    <row r="2951">
      <c r="A2951" s="145">
        <f>IF($B2951="","",ROW()-5)</f>
        <v/>
      </c>
      <c r="B2951" s="127" t="n"/>
      <c r="C2951" s="223" t="n"/>
      <c r="D2951" s="127" t="n"/>
      <c r="E2951" s="227" t="n"/>
      <c r="F2951" s="227" t="n"/>
      <c r="G2951" s="227" t="n"/>
      <c r="H2951" s="227" t="n"/>
      <c r="I2951" s="227" t="n"/>
      <c r="J2951" s="227" t="n"/>
      <c r="K2951" s="227" t="n"/>
      <c r="L2951" s="227" t="n"/>
      <c r="M2951" s="227" t="n"/>
      <c r="N2951" s="127" t="n"/>
      <c r="O2951" s="227" t="n"/>
      <c r="P2951" s="227" t="n"/>
      <c r="Q2951" s="227" t="n"/>
      <c r="R2951" s="227" t="n"/>
      <c r="S2951" s="227" t="n"/>
      <c r="T2951" s="227" t="n"/>
    </row>
    <row r="2952">
      <c r="A2952" s="145">
        <f>IF($B2952="","",ROW()-5)</f>
        <v/>
      </c>
      <c r="B2952" s="127" t="n"/>
      <c r="C2952" s="223" t="n"/>
      <c r="D2952" s="127" t="n"/>
      <c r="E2952" s="227" t="n"/>
      <c r="F2952" s="227" t="n"/>
      <c r="G2952" s="227" t="n"/>
      <c r="H2952" s="227" t="n"/>
      <c r="I2952" s="227" t="n"/>
      <c r="J2952" s="227" t="n"/>
      <c r="K2952" s="227" t="n"/>
      <c r="L2952" s="227" t="n"/>
      <c r="M2952" s="227" t="n"/>
      <c r="N2952" s="127" t="n"/>
      <c r="O2952" s="227" t="n"/>
      <c r="P2952" s="227" t="n"/>
      <c r="Q2952" s="227" t="n"/>
      <c r="R2952" s="227" t="n"/>
      <c r="S2952" s="227" t="n"/>
      <c r="T2952" s="227" t="n"/>
    </row>
    <row r="2953">
      <c r="A2953" s="145">
        <f>IF($B2953="","",ROW()-5)</f>
        <v/>
      </c>
      <c r="B2953" s="127" t="n"/>
      <c r="C2953" s="223" t="n"/>
      <c r="D2953" s="127" t="n"/>
      <c r="E2953" s="227" t="n"/>
      <c r="F2953" s="227" t="n"/>
      <c r="G2953" s="227" t="n"/>
      <c r="H2953" s="227" t="n"/>
      <c r="I2953" s="227" t="n"/>
      <c r="J2953" s="227" t="n"/>
      <c r="K2953" s="227" t="n"/>
      <c r="L2953" s="227" t="n"/>
      <c r="M2953" s="227" t="n"/>
      <c r="N2953" s="127" t="n"/>
      <c r="O2953" s="227" t="n"/>
      <c r="P2953" s="227" t="n"/>
      <c r="Q2953" s="227" t="n"/>
      <c r="R2953" s="227" t="n"/>
      <c r="S2953" s="227" t="n"/>
      <c r="T2953" s="227" t="n"/>
    </row>
    <row r="2954">
      <c r="A2954" s="145">
        <f>IF($B2954="","",ROW()-5)</f>
        <v/>
      </c>
      <c r="B2954" s="127" t="n"/>
      <c r="C2954" s="223" t="n"/>
      <c r="D2954" s="127" t="n"/>
      <c r="E2954" s="227" t="n"/>
      <c r="F2954" s="227" t="n"/>
      <c r="G2954" s="227" t="n"/>
      <c r="H2954" s="227" t="n"/>
      <c r="I2954" s="227" t="n"/>
      <c r="J2954" s="227" t="n"/>
      <c r="K2954" s="227" t="n"/>
      <c r="L2954" s="227" t="n"/>
      <c r="M2954" s="227" t="n"/>
      <c r="N2954" s="127" t="n"/>
      <c r="O2954" s="227" t="n"/>
      <c r="P2954" s="227" t="n"/>
      <c r="Q2954" s="227" t="n"/>
      <c r="R2954" s="227" t="n"/>
      <c r="S2954" s="227" t="n"/>
      <c r="T2954" s="227" t="n"/>
    </row>
    <row r="2955">
      <c r="A2955" s="145">
        <f>IF($B2955="","",ROW()-5)</f>
        <v/>
      </c>
      <c r="B2955" s="127" t="n"/>
      <c r="C2955" s="223" t="n"/>
      <c r="D2955" s="127" t="n"/>
      <c r="E2955" s="227" t="n"/>
      <c r="F2955" s="227" t="n"/>
      <c r="G2955" s="227" t="n"/>
      <c r="H2955" s="227" t="n"/>
      <c r="I2955" s="227" t="n"/>
      <c r="J2955" s="227" t="n"/>
      <c r="K2955" s="227" t="n"/>
      <c r="L2955" s="227" t="n"/>
      <c r="M2955" s="227" t="n"/>
      <c r="N2955" s="127" t="n"/>
      <c r="O2955" s="227" t="n"/>
      <c r="P2955" s="227" t="n"/>
      <c r="Q2955" s="227" t="n"/>
      <c r="R2955" s="227" t="n"/>
      <c r="S2955" s="227" t="n"/>
      <c r="T2955" s="227" t="n"/>
    </row>
    <row r="2956">
      <c r="A2956" s="145">
        <f>IF($B2956="","",ROW()-5)</f>
        <v/>
      </c>
      <c r="B2956" s="127" t="n"/>
      <c r="C2956" s="223" t="n"/>
      <c r="D2956" s="127" t="n"/>
      <c r="E2956" s="227" t="n"/>
      <c r="F2956" s="227" t="n"/>
      <c r="G2956" s="227" t="n"/>
      <c r="H2956" s="227" t="n"/>
      <c r="I2956" s="227" t="n"/>
      <c r="J2956" s="227" t="n"/>
      <c r="K2956" s="227" t="n"/>
      <c r="L2956" s="227" t="n"/>
      <c r="M2956" s="227" t="n"/>
      <c r="N2956" s="127" t="n"/>
      <c r="O2956" s="227" t="n"/>
      <c r="P2956" s="227" t="n"/>
      <c r="Q2956" s="227" t="n"/>
      <c r="R2956" s="227" t="n"/>
      <c r="S2956" s="227" t="n"/>
      <c r="T2956" s="227" t="n"/>
    </row>
    <row r="2957">
      <c r="A2957" s="145">
        <f>IF($B2957="","",ROW()-5)</f>
        <v/>
      </c>
      <c r="B2957" s="127" t="n"/>
      <c r="C2957" s="223" t="n"/>
      <c r="D2957" s="127" t="n"/>
      <c r="E2957" s="227" t="n"/>
      <c r="F2957" s="227" t="n"/>
      <c r="G2957" s="227" t="n"/>
      <c r="H2957" s="227" t="n"/>
      <c r="I2957" s="227" t="n"/>
      <c r="J2957" s="227" t="n"/>
      <c r="K2957" s="227" t="n"/>
      <c r="L2957" s="227" t="n"/>
      <c r="M2957" s="227" t="n"/>
      <c r="N2957" s="127" t="n"/>
      <c r="O2957" s="227" t="n"/>
      <c r="P2957" s="227" t="n"/>
      <c r="Q2957" s="227" t="n"/>
      <c r="R2957" s="227" t="n"/>
      <c r="S2957" s="227" t="n"/>
      <c r="T2957" s="227" t="n"/>
    </row>
    <row r="2958">
      <c r="A2958" s="145">
        <f>IF($B2958="","",ROW()-5)</f>
        <v/>
      </c>
      <c r="B2958" s="127" t="n"/>
      <c r="C2958" s="223" t="n"/>
      <c r="D2958" s="127" t="n"/>
      <c r="E2958" s="227" t="n"/>
      <c r="F2958" s="227" t="n"/>
      <c r="G2958" s="227" t="n"/>
      <c r="H2958" s="227" t="n"/>
      <c r="I2958" s="227" t="n"/>
      <c r="J2958" s="227" t="n"/>
      <c r="K2958" s="227" t="n"/>
      <c r="L2958" s="227" t="n"/>
      <c r="M2958" s="227" t="n"/>
      <c r="N2958" s="127" t="n"/>
      <c r="O2958" s="227" t="n"/>
      <c r="P2958" s="227" t="n"/>
      <c r="Q2958" s="227" t="n"/>
      <c r="R2958" s="227" t="n"/>
      <c r="S2958" s="227" t="n"/>
      <c r="T2958" s="227" t="n"/>
    </row>
    <row r="2959">
      <c r="A2959" s="145">
        <f>IF($B2959="","",ROW()-5)</f>
        <v/>
      </c>
      <c r="B2959" s="127" t="n"/>
      <c r="C2959" s="223" t="n"/>
      <c r="D2959" s="127" t="n"/>
      <c r="E2959" s="227" t="n"/>
      <c r="F2959" s="227" t="n"/>
      <c r="G2959" s="227" t="n"/>
      <c r="H2959" s="227" t="n"/>
      <c r="I2959" s="227" t="n"/>
      <c r="J2959" s="227" t="n"/>
      <c r="K2959" s="227" t="n"/>
      <c r="L2959" s="227" t="n"/>
      <c r="M2959" s="227" t="n"/>
      <c r="N2959" s="127" t="n"/>
      <c r="O2959" s="227" t="n"/>
      <c r="P2959" s="227" t="n"/>
      <c r="Q2959" s="227" t="n"/>
      <c r="R2959" s="227" t="n"/>
      <c r="S2959" s="227" t="n"/>
      <c r="T2959" s="227" t="n"/>
    </row>
    <row r="2960">
      <c r="A2960" s="145">
        <f>IF($B2960="","",ROW()-5)</f>
        <v/>
      </c>
      <c r="B2960" s="127" t="n"/>
      <c r="C2960" s="223" t="n"/>
      <c r="D2960" s="127" t="n"/>
      <c r="E2960" s="227" t="n"/>
      <c r="F2960" s="227" t="n"/>
      <c r="G2960" s="227" t="n"/>
      <c r="H2960" s="227" t="n"/>
      <c r="I2960" s="227" t="n"/>
      <c r="J2960" s="227" t="n"/>
      <c r="K2960" s="227" t="n"/>
      <c r="L2960" s="227" t="n"/>
      <c r="M2960" s="227" t="n"/>
      <c r="N2960" s="127" t="n"/>
      <c r="O2960" s="227" t="n"/>
      <c r="P2960" s="227" t="n"/>
      <c r="Q2960" s="227" t="n"/>
      <c r="R2960" s="227" t="n"/>
      <c r="S2960" s="227" t="n"/>
      <c r="T2960" s="227" t="n"/>
    </row>
    <row r="2961">
      <c r="A2961" s="145">
        <f>IF($B2961="","",ROW()-5)</f>
        <v/>
      </c>
      <c r="B2961" s="127" t="n"/>
      <c r="C2961" s="223" t="n"/>
      <c r="D2961" s="127" t="n"/>
      <c r="E2961" s="227" t="n"/>
      <c r="F2961" s="227" t="n"/>
      <c r="G2961" s="227" t="n"/>
      <c r="H2961" s="227" t="n"/>
      <c r="I2961" s="227" t="n"/>
      <c r="J2961" s="227" t="n"/>
      <c r="K2961" s="227" t="n"/>
      <c r="L2961" s="227" t="n"/>
      <c r="M2961" s="227" t="n"/>
      <c r="N2961" s="127" t="n"/>
      <c r="O2961" s="227" t="n"/>
      <c r="P2961" s="227" t="n"/>
      <c r="Q2961" s="227" t="n"/>
      <c r="R2961" s="227" t="n"/>
      <c r="S2961" s="227" t="n"/>
      <c r="T2961" s="227" t="n"/>
    </row>
    <row r="2962">
      <c r="A2962" s="145">
        <f>IF($B2962="","",ROW()-5)</f>
        <v/>
      </c>
      <c r="B2962" s="127" t="n"/>
      <c r="C2962" s="223" t="n"/>
      <c r="D2962" s="127" t="n"/>
      <c r="E2962" s="227" t="n"/>
      <c r="F2962" s="227" t="n"/>
      <c r="G2962" s="227" t="n"/>
      <c r="H2962" s="227" t="n"/>
      <c r="I2962" s="227" t="n"/>
      <c r="J2962" s="227" t="n"/>
      <c r="K2962" s="227" t="n"/>
      <c r="L2962" s="227" t="n"/>
      <c r="M2962" s="227" t="n"/>
      <c r="N2962" s="127" t="n"/>
      <c r="O2962" s="227" t="n"/>
      <c r="P2962" s="227" t="n"/>
      <c r="Q2962" s="227" t="n"/>
      <c r="R2962" s="227" t="n"/>
      <c r="S2962" s="227" t="n"/>
      <c r="T2962" s="227" t="n"/>
    </row>
    <row r="2963">
      <c r="A2963" s="145">
        <f>IF($B2963="","",ROW()-5)</f>
        <v/>
      </c>
      <c r="B2963" s="127" t="n"/>
      <c r="C2963" s="223" t="n"/>
      <c r="D2963" s="127" t="n"/>
      <c r="E2963" s="227" t="n"/>
      <c r="F2963" s="227" t="n"/>
      <c r="G2963" s="227" t="n"/>
      <c r="H2963" s="227" t="n"/>
      <c r="I2963" s="227" t="n"/>
      <c r="J2963" s="227" t="n"/>
      <c r="K2963" s="227" t="n"/>
      <c r="L2963" s="227" t="n"/>
      <c r="M2963" s="227" t="n"/>
      <c r="N2963" s="127" t="n"/>
      <c r="O2963" s="227" t="n"/>
      <c r="P2963" s="227" t="n"/>
      <c r="Q2963" s="227" t="n"/>
      <c r="R2963" s="227" t="n"/>
      <c r="S2963" s="227" t="n"/>
      <c r="T2963" s="227" t="n"/>
    </row>
    <row r="2964">
      <c r="A2964" s="145">
        <f>IF($B2964="","",ROW()-5)</f>
        <v/>
      </c>
      <c r="B2964" s="127" t="n"/>
      <c r="C2964" s="223" t="n"/>
      <c r="D2964" s="127" t="n"/>
      <c r="E2964" s="227" t="n"/>
      <c r="F2964" s="227" t="n"/>
      <c r="G2964" s="227" t="n"/>
      <c r="H2964" s="227" t="n"/>
      <c r="I2964" s="227" t="n"/>
      <c r="J2964" s="227" t="n"/>
      <c r="K2964" s="227" t="n"/>
      <c r="L2964" s="227" t="n"/>
      <c r="M2964" s="227" t="n"/>
      <c r="N2964" s="127" t="n"/>
      <c r="O2964" s="227" t="n"/>
      <c r="P2964" s="227" t="n"/>
      <c r="Q2964" s="227" t="n"/>
      <c r="R2964" s="227" t="n"/>
      <c r="S2964" s="227" t="n"/>
      <c r="T2964" s="227" t="n"/>
    </row>
    <row r="2965">
      <c r="A2965" s="145">
        <f>IF($B2965="","",ROW()-5)</f>
        <v/>
      </c>
      <c r="B2965" s="127" t="n"/>
      <c r="C2965" s="223" t="n"/>
      <c r="D2965" s="127" t="n"/>
      <c r="E2965" s="227" t="n"/>
      <c r="F2965" s="227" t="n"/>
      <c r="G2965" s="227" t="n"/>
      <c r="H2965" s="227" t="n"/>
      <c r="I2965" s="227" t="n"/>
      <c r="J2965" s="227" t="n"/>
      <c r="K2965" s="227" t="n"/>
      <c r="L2965" s="227" t="n"/>
      <c r="M2965" s="227" t="n"/>
      <c r="N2965" s="127" t="n"/>
      <c r="O2965" s="227" t="n"/>
      <c r="P2965" s="227" t="n"/>
      <c r="Q2965" s="227" t="n"/>
      <c r="R2965" s="227" t="n"/>
      <c r="S2965" s="227" t="n"/>
      <c r="T2965" s="227" t="n"/>
    </row>
    <row r="2966">
      <c r="A2966" s="145">
        <f>IF($B2966="","",ROW()-5)</f>
        <v/>
      </c>
      <c r="B2966" s="127" t="n"/>
      <c r="C2966" s="223" t="n"/>
      <c r="D2966" s="127" t="n"/>
      <c r="E2966" s="227" t="n"/>
      <c r="F2966" s="227" t="n"/>
      <c r="G2966" s="227" t="n"/>
      <c r="H2966" s="227" t="n"/>
      <c r="I2966" s="227" t="n"/>
      <c r="J2966" s="227" t="n"/>
      <c r="K2966" s="227" t="n"/>
      <c r="L2966" s="227" t="n"/>
      <c r="M2966" s="227" t="n"/>
      <c r="N2966" s="127" t="n"/>
      <c r="O2966" s="227" t="n"/>
      <c r="P2966" s="227" t="n"/>
      <c r="Q2966" s="227" t="n"/>
      <c r="R2966" s="227" t="n"/>
      <c r="S2966" s="227" t="n"/>
      <c r="T2966" s="227" t="n"/>
    </row>
    <row r="2967">
      <c r="A2967" s="145">
        <f>IF($B2967="","",ROW()-5)</f>
        <v/>
      </c>
      <c r="B2967" s="127" t="n"/>
      <c r="C2967" s="223" t="n"/>
      <c r="D2967" s="127" t="n"/>
      <c r="E2967" s="227" t="n"/>
      <c r="F2967" s="227" t="n"/>
      <c r="G2967" s="227" t="n"/>
      <c r="H2967" s="227" t="n"/>
      <c r="I2967" s="227" t="n"/>
      <c r="J2967" s="227" t="n"/>
      <c r="K2967" s="227" t="n"/>
      <c r="L2967" s="227" t="n"/>
      <c r="M2967" s="227" t="n"/>
      <c r="N2967" s="127" t="n"/>
      <c r="O2967" s="227" t="n"/>
      <c r="P2967" s="227" t="n"/>
      <c r="Q2967" s="227" t="n"/>
      <c r="R2967" s="227" t="n"/>
      <c r="S2967" s="227" t="n"/>
      <c r="T2967" s="227" t="n"/>
    </row>
    <row r="2968">
      <c r="A2968" s="145">
        <f>IF($B2968="","",ROW()-5)</f>
        <v/>
      </c>
      <c r="B2968" s="127" t="n"/>
      <c r="C2968" s="223" t="n"/>
      <c r="D2968" s="127" t="n"/>
      <c r="E2968" s="227" t="n"/>
      <c r="F2968" s="227" t="n"/>
      <c r="G2968" s="227" t="n"/>
      <c r="H2968" s="227" t="n"/>
      <c r="I2968" s="227" t="n"/>
      <c r="J2968" s="227" t="n"/>
      <c r="K2968" s="227" t="n"/>
      <c r="L2968" s="227" t="n"/>
      <c r="M2968" s="227" t="n"/>
      <c r="N2968" s="127" t="n"/>
      <c r="O2968" s="227" t="n"/>
      <c r="P2968" s="227" t="n"/>
      <c r="Q2968" s="227" t="n"/>
      <c r="R2968" s="227" t="n"/>
      <c r="S2968" s="227" t="n"/>
      <c r="T2968" s="227" t="n"/>
    </row>
    <row r="2969">
      <c r="A2969" s="145">
        <f>IF($B2969="","",ROW()-5)</f>
        <v/>
      </c>
      <c r="B2969" s="127" t="n"/>
      <c r="C2969" s="223" t="n"/>
      <c r="D2969" s="127" t="n"/>
      <c r="E2969" s="227" t="n"/>
      <c r="F2969" s="227" t="n"/>
      <c r="G2969" s="227" t="n"/>
      <c r="H2969" s="227" t="n"/>
      <c r="I2969" s="227" t="n"/>
      <c r="J2969" s="227" t="n"/>
      <c r="K2969" s="227" t="n"/>
      <c r="L2969" s="227" t="n"/>
      <c r="M2969" s="227" t="n"/>
      <c r="N2969" s="127" t="n"/>
      <c r="O2969" s="227" t="n"/>
      <c r="P2969" s="227" t="n"/>
      <c r="Q2969" s="227" t="n"/>
      <c r="R2969" s="227" t="n"/>
      <c r="S2969" s="227" t="n"/>
      <c r="T2969" s="227" t="n"/>
    </row>
    <row r="2970">
      <c r="A2970" s="145">
        <f>IF($B2970="","",ROW()-5)</f>
        <v/>
      </c>
      <c r="B2970" s="127" t="n"/>
      <c r="C2970" s="223" t="n"/>
      <c r="D2970" s="127" t="n"/>
      <c r="E2970" s="227" t="n"/>
      <c r="F2970" s="227" t="n"/>
      <c r="G2970" s="227" t="n"/>
      <c r="H2970" s="227" t="n"/>
      <c r="I2970" s="227" t="n"/>
      <c r="J2970" s="227" t="n"/>
      <c r="K2970" s="227" t="n"/>
      <c r="L2970" s="227" t="n"/>
      <c r="M2970" s="227" t="n"/>
      <c r="N2970" s="127" t="n"/>
      <c r="O2970" s="227" t="n"/>
      <c r="P2970" s="227" t="n"/>
      <c r="Q2970" s="227" t="n"/>
      <c r="R2970" s="227" t="n"/>
      <c r="S2970" s="227" t="n"/>
      <c r="T2970" s="227" t="n"/>
    </row>
    <row r="2971">
      <c r="A2971" s="145">
        <f>IF($B2971="","",ROW()-5)</f>
        <v/>
      </c>
      <c r="B2971" s="127" t="n"/>
      <c r="C2971" s="223" t="n"/>
      <c r="D2971" s="127" t="n"/>
      <c r="E2971" s="227" t="n"/>
      <c r="F2971" s="227" t="n"/>
      <c r="G2971" s="227" t="n"/>
      <c r="H2971" s="227" t="n"/>
      <c r="I2971" s="227" t="n"/>
      <c r="J2971" s="227" t="n"/>
      <c r="K2971" s="227" t="n"/>
      <c r="L2971" s="227" t="n"/>
      <c r="M2971" s="227" t="n"/>
      <c r="N2971" s="127" t="n"/>
      <c r="O2971" s="227" t="n"/>
      <c r="P2971" s="227" t="n"/>
      <c r="Q2971" s="227" t="n"/>
      <c r="R2971" s="227" t="n"/>
      <c r="S2971" s="227" t="n"/>
      <c r="T2971" s="227" t="n"/>
    </row>
    <row r="2972">
      <c r="A2972" s="145">
        <f>IF($B2972="","",ROW()-5)</f>
        <v/>
      </c>
      <c r="B2972" s="127" t="n"/>
      <c r="C2972" s="223" t="n"/>
      <c r="D2972" s="127" t="n"/>
      <c r="E2972" s="227" t="n"/>
      <c r="F2972" s="227" t="n"/>
      <c r="G2972" s="227" t="n"/>
      <c r="H2972" s="227" t="n"/>
      <c r="I2972" s="227" t="n"/>
      <c r="J2972" s="227" t="n"/>
      <c r="K2972" s="227" t="n"/>
      <c r="L2972" s="227" t="n"/>
      <c r="M2972" s="227" t="n"/>
      <c r="N2972" s="127" t="n"/>
      <c r="O2972" s="227" t="n"/>
      <c r="P2972" s="227" t="n"/>
      <c r="Q2972" s="227" t="n"/>
      <c r="R2972" s="227" t="n"/>
      <c r="S2972" s="227" t="n"/>
      <c r="T2972" s="227" t="n"/>
    </row>
    <row r="2973">
      <c r="A2973" s="145">
        <f>IF($B2973="","",ROW()-5)</f>
        <v/>
      </c>
      <c r="B2973" s="127" t="n"/>
      <c r="C2973" s="223" t="n"/>
      <c r="D2973" s="127" t="n"/>
      <c r="E2973" s="227" t="n"/>
      <c r="F2973" s="227" t="n"/>
      <c r="G2973" s="227" t="n"/>
      <c r="H2973" s="227" t="n"/>
      <c r="I2973" s="227" t="n"/>
      <c r="J2973" s="227" t="n"/>
      <c r="K2973" s="227" t="n"/>
      <c r="L2973" s="227" t="n"/>
      <c r="M2973" s="227" t="n"/>
      <c r="N2973" s="127" t="n"/>
      <c r="O2973" s="227" t="n"/>
      <c r="P2973" s="227" t="n"/>
      <c r="Q2973" s="227" t="n"/>
      <c r="R2973" s="227" t="n"/>
      <c r="S2973" s="227" t="n"/>
      <c r="T2973" s="227" t="n"/>
    </row>
    <row r="2974">
      <c r="A2974" s="145">
        <f>IF($B2974="","",ROW()-5)</f>
        <v/>
      </c>
      <c r="B2974" s="127" t="n"/>
      <c r="C2974" s="223" t="n"/>
      <c r="D2974" s="127" t="n"/>
      <c r="E2974" s="227" t="n"/>
      <c r="F2974" s="227" t="n"/>
      <c r="G2974" s="227" t="n"/>
      <c r="H2974" s="227" t="n"/>
      <c r="I2974" s="227" t="n"/>
      <c r="J2974" s="227" t="n"/>
      <c r="K2974" s="227" t="n"/>
      <c r="L2974" s="227" t="n"/>
      <c r="M2974" s="227" t="n"/>
      <c r="N2974" s="127" t="n"/>
      <c r="O2974" s="227" t="n"/>
      <c r="P2974" s="227" t="n"/>
      <c r="Q2974" s="227" t="n"/>
      <c r="R2974" s="227" t="n"/>
      <c r="S2974" s="227" t="n"/>
      <c r="T2974" s="227" t="n"/>
    </row>
    <row r="2975">
      <c r="A2975" s="145">
        <f>IF($B2975="","",ROW()-5)</f>
        <v/>
      </c>
      <c r="B2975" s="127" t="n"/>
      <c r="C2975" s="223" t="n"/>
      <c r="D2975" s="127" t="n"/>
      <c r="E2975" s="227" t="n"/>
      <c r="F2975" s="227" t="n"/>
      <c r="G2975" s="227" t="n"/>
      <c r="H2975" s="227" t="n"/>
      <c r="I2975" s="227" t="n"/>
      <c r="J2975" s="227" t="n"/>
      <c r="K2975" s="227" t="n"/>
      <c r="L2975" s="227" t="n"/>
      <c r="M2975" s="227" t="n"/>
      <c r="N2975" s="127" t="n"/>
      <c r="O2975" s="227" t="n"/>
      <c r="P2975" s="227" t="n"/>
      <c r="Q2975" s="227" t="n"/>
      <c r="R2975" s="227" t="n"/>
      <c r="S2975" s="227" t="n"/>
      <c r="T2975" s="227" t="n"/>
    </row>
    <row r="2976">
      <c r="A2976" s="145">
        <f>IF($B2976="","",ROW()-5)</f>
        <v/>
      </c>
      <c r="B2976" s="127" t="n"/>
      <c r="C2976" s="223" t="n"/>
      <c r="D2976" s="127" t="n"/>
      <c r="E2976" s="227" t="n"/>
      <c r="F2976" s="227" t="n"/>
      <c r="G2976" s="227" t="n"/>
      <c r="H2976" s="227" t="n"/>
      <c r="I2976" s="227" t="n"/>
      <c r="J2976" s="227" t="n"/>
      <c r="K2976" s="227" t="n"/>
      <c r="L2976" s="227" t="n"/>
      <c r="M2976" s="227" t="n"/>
      <c r="N2976" s="127" t="n"/>
      <c r="O2976" s="227" t="n"/>
      <c r="P2976" s="227" t="n"/>
      <c r="Q2976" s="227" t="n"/>
      <c r="R2976" s="227" t="n"/>
      <c r="S2976" s="227" t="n"/>
      <c r="T2976" s="227" t="n"/>
    </row>
    <row r="2977">
      <c r="A2977" s="145">
        <f>IF($B2977="","",ROW()-5)</f>
        <v/>
      </c>
      <c r="B2977" s="127" t="n"/>
      <c r="C2977" s="223" t="n"/>
      <c r="D2977" s="127" t="n"/>
      <c r="E2977" s="227" t="n"/>
      <c r="F2977" s="227" t="n"/>
      <c r="G2977" s="227" t="n"/>
      <c r="H2977" s="227" t="n"/>
      <c r="I2977" s="227" t="n"/>
      <c r="J2977" s="227" t="n"/>
      <c r="K2977" s="227" t="n"/>
      <c r="L2977" s="227" t="n"/>
      <c r="M2977" s="227" t="n"/>
      <c r="N2977" s="127" t="n"/>
      <c r="O2977" s="227" t="n"/>
      <c r="P2977" s="227" t="n"/>
      <c r="Q2977" s="227" t="n"/>
      <c r="R2977" s="227" t="n"/>
      <c r="S2977" s="227" t="n"/>
      <c r="T2977" s="227" t="n"/>
    </row>
    <row r="2978">
      <c r="A2978" s="145">
        <f>IF($B2978="","",ROW()-5)</f>
        <v/>
      </c>
      <c r="B2978" s="127" t="n"/>
      <c r="C2978" s="223" t="n"/>
      <c r="D2978" s="127" t="n"/>
      <c r="E2978" s="227" t="n"/>
      <c r="F2978" s="227" t="n"/>
      <c r="G2978" s="227" t="n"/>
      <c r="H2978" s="227" t="n"/>
      <c r="I2978" s="227" t="n"/>
      <c r="J2978" s="227" t="n"/>
      <c r="K2978" s="227" t="n"/>
      <c r="L2978" s="227" t="n"/>
      <c r="M2978" s="227" t="n"/>
      <c r="N2978" s="127" t="n"/>
      <c r="O2978" s="227" t="n"/>
      <c r="P2978" s="227" t="n"/>
      <c r="Q2978" s="227" t="n"/>
      <c r="R2978" s="227" t="n"/>
      <c r="S2978" s="227" t="n"/>
      <c r="T2978" s="227" t="n"/>
    </row>
    <row r="2979">
      <c r="A2979" s="145">
        <f>IF($B2979="","",ROW()-5)</f>
        <v/>
      </c>
      <c r="B2979" s="127" t="n"/>
      <c r="C2979" s="223" t="n"/>
      <c r="D2979" s="127" t="n"/>
      <c r="E2979" s="227" t="n"/>
      <c r="F2979" s="227" t="n"/>
      <c r="G2979" s="227" t="n"/>
      <c r="H2979" s="227" t="n"/>
      <c r="I2979" s="227" t="n"/>
      <c r="J2979" s="227" t="n"/>
      <c r="K2979" s="227" t="n"/>
      <c r="L2979" s="227" t="n"/>
      <c r="M2979" s="227" t="n"/>
      <c r="N2979" s="127" t="n"/>
      <c r="O2979" s="227" t="n"/>
      <c r="P2979" s="227" t="n"/>
      <c r="Q2979" s="227" t="n"/>
      <c r="R2979" s="227" t="n"/>
      <c r="S2979" s="227" t="n"/>
      <c r="T2979" s="227" t="n"/>
    </row>
    <row r="2980">
      <c r="A2980" s="145">
        <f>IF($B2980="","",ROW()-5)</f>
        <v/>
      </c>
      <c r="B2980" s="127" t="n"/>
      <c r="C2980" s="223" t="n"/>
      <c r="D2980" s="127" t="n"/>
      <c r="E2980" s="227" t="n"/>
      <c r="F2980" s="227" t="n"/>
      <c r="G2980" s="227" t="n"/>
      <c r="H2980" s="227" t="n"/>
      <c r="I2980" s="227" t="n"/>
      <c r="J2980" s="227" t="n"/>
      <c r="K2980" s="227" t="n"/>
      <c r="L2980" s="227" t="n"/>
      <c r="M2980" s="227" t="n"/>
      <c r="N2980" s="127" t="n"/>
      <c r="O2980" s="227" t="n"/>
      <c r="P2980" s="227" t="n"/>
      <c r="Q2980" s="227" t="n"/>
      <c r="R2980" s="227" t="n"/>
      <c r="S2980" s="227" t="n"/>
      <c r="T2980" s="227" t="n"/>
    </row>
    <row r="2981">
      <c r="A2981" s="145">
        <f>IF($B2981="","",ROW()-5)</f>
        <v/>
      </c>
      <c r="B2981" s="127" t="n"/>
      <c r="C2981" s="223" t="n"/>
      <c r="D2981" s="127" t="n"/>
      <c r="E2981" s="227" t="n"/>
      <c r="F2981" s="227" t="n"/>
      <c r="G2981" s="227" t="n"/>
      <c r="H2981" s="227" t="n"/>
      <c r="I2981" s="227" t="n"/>
      <c r="J2981" s="227" t="n"/>
      <c r="K2981" s="227" t="n"/>
      <c r="L2981" s="227" t="n"/>
      <c r="M2981" s="227" t="n"/>
      <c r="N2981" s="127" t="n"/>
      <c r="O2981" s="227" t="n"/>
      <c r="P2981" s="227" t="n"/>
      <c r="Q2981" s="227" t="n"/>
      <c r="R2981" s="227" t="n"/>
      <c r="S2981" s="227" t="n"/>
      <c r="T2981" s="227" t="n"/>
    </row>
    <row r="2982">
      <c r="A2982" s="145">
        <f>IF($B2982="","",ROW()-5)</f>
        <v/>
      </c>
      <c r="B2982" s="127" t="n"/>
      <c r="C2982" s="223" t="n"/>
      <c r="D2982" s="127" t="n"/>
      <c r="E2982" s="227" t="n"/>
      <c r="F2982" s="227" t="n"/>
      <c r="G2982" s="227" t="n"/>
      <c r="H2982" s="227" t="n"/>
      <c r="I2982" s="227" t="n"/>
      <c r="J2982" s="227" t="n"/>
      <c r="K2982" s="227" t="n"/>
      <c r="L2982" s="227" t="n"/>
      <c r="M2982" s="227" t="n"/>
      <c r="N2982" s="127" t="n"/>
      <c r="O2982" s="227" t="n"/>
      <c r="P2982" s="227" t="n"/>
      <c r="Q2982" s="227" t="n"/>
      <c r="R2982" s="227" t="n"/>
      <c r="S2982" s="227" t="n"/>
      <c r="T2982" s="227" t="n"/>
    </row>
    <row r="2983">
      <c r="A2983" s="145">
        <f>IF($B2983="","",ROW()-5)</f>
        <v/>
      </c>
      <c r="B2983" s="127" t="n"/>
      <c r="C2983" s="223" t="n"/>
      <c r="D2983" s="127" t="n"/>
      <c r="E2983" s="227" t="n"/>
      <c r="F2983" s="227" t="n"/>
      <c r="G2983" s="227" t="n"/>
      <c r="H2983" s="227" t="n"/>
      <c r="I2983" s="227" t="n"/>
      <c r="J2983" s="227" t="n"/>
      <c r="K2983" s="227" t="n"/>
      <c r="L2983" s="227" t="n"/>
      <c r="M2983" s="227" t="n"/>
      <c r="N2983" s="127" t="n"/>
      <c r="O2983" s="227" t="n"/>
      <c r="P2983" s="227" t="n"/>
      <c r="Q2983" s="227" t="n"/>
      <c r="R2983" s="227" t="n"/>
      <c r="S2983" s="227" t="n"/>
      <c r="T2983" s="227" t="n"/>
    </row>
    <row r="2984">
      <c r="A2984" s="145">
        <f>IF($B2984="","",ROW()-5)</f>
        <v/>
      </c>
      <c r="B2984" s="127" t="n"/>
      <c r="C2984" s="223" t="n"/>
      <c r="D2984" s="127" t="n"/>
      <c r="E2984" s="227" t="n"/>
      <c r="F2984" s="227" t="n"/>
      <c r="G2984" s="227" t="n"/>
      <c r="H2984" s="227" t="n"/>
      <c r="I2984" s="227" t="n"/>
      <c r="J2984" s="227" t="n"/>
      <c r="K2984" s="227" t="n"/>
      <c r="L2984" s="227" t="n"/>
      <c r="M2984" s="227" t="n"/>
      <c r="N2984" s="127" t="n"/>
      <c r="O2984" s="227" t="n"/>
      <c r="P2984" s="227" t="n"/>
      <c r="Q2984" s="227" t="n"/>
      <c r="R2984" s="227" t="n"/>
      <c r="S2984" s="227" t="n"/>
      <c r="T2984" s="227" t="n"/>
    </row>
    <row r="2985">
      <c r="A2985" s="145">
        <f>IF($B2985="","",ROW()-5)</f>
        <v/>
      </c>
      <c r="B2985" s="127" t="n"/>
      <c r="C2985" s="223" t="n"/>
      <c r="D2985" s="127" t="n"/>
      <c r="E2985" s="227" t="n"/>
      <c r="F2985" s="227" t="n"/>
      <c r="G2985" s="227" t="n"/>
      <c r="H2985" s="227" t="n"/>
      <c r="I2985" s="227" t="n"/>
      <c r="J2985" s="227" t="n"/>
      <c r="K2985" s="227" t="n"/>
      <c r="L2985" s="227" t="n"/>
      <c r="M2985" s="227" t="n"/>
      <c r="N2985" s="127" t="n"/>
      <c r="O2985" s="227" t="n"/>
      <c r="P2985" s="227" t="n"/>
      <c r="Q2985" s="227" t="n"/>
      <c r="R2985" s="227" t="n"/>
      <c r="S2985" s="227" t="n"/>
      <c r="T2985" s="227" t="n"/>
    </row>
    <row r="2986">
      <c r="A2986" s="145">
        <f>IF($B2986="","",ROW()-5)</f>
        <v/>
      </c>
      <c r="B2986" s="127" t="n"/>
      <c r="C2986" s="223" t="n"/>
      <c r="D2986" s="127" t="n"/>
      <c r="E2986" s="227" t="n"/>
      <c r="F2986" s="227" t="n"/>
      <c r="G2986" s="227" t="n"/>
      <c r="H2986" s="227" t="n"/>
      <c r="I2986" s="227" t="n"/>
      <c r="J2986" s="227" t="n"/>
      <c r="K2986" s="227" t="n"/>
      <c r="L2986" s="227" t="n"/>
      <c r="M2986" s="227" t="n"/>
      <c r="N2986" s="127" t="n"/>
      <c r="O2986" s="227" t="n"/>
      <c r="P2986" s="227" t="n"/>
      <c r="Q2986" s="227" t="n"/>
      <c r="R2986" s="227" t="n"/>
      <c r="S2986" s="227" t="n"/>
      <c r="T2986" s="227" t="n"/>
    </row>
    <row r="2987">
      <c r="A2987" s="145">
        <f>IF($B2987="","",ROW()-5)</f>
        <v/>
      </c>
      <c r="B2987" s="127" t="n"/>
      <c r="C2987" s="223" t="n"/>
      <c r="D2987" s="127" t="n"/>
      <c r="E2987" s="227" t="n"/>
      <c r="F2987" s="227" t="n"/>
      <c r="G2987" s="227" t="n"/>
      <c r="H2987" s="227" t="n"/>
      <c r="I2987" s="227" t="n"/>
      <c r="J2987" s="227" t="n"/>
      <c r="K2987" s="227" t="n"/>
      <c r="L2987" s="227" t="n"/>
      <c r="M2987" s="227" t="n"/>
      <c r="N2987" s="127" t="n"/>
      <c r="O2987" s="227" t="n"/>
      <c r="P2987" s="227" t="n"/>
      <c r="Q2987" s="227" t="n"/>
      <c r="R2987" s="227" t="n"/>
      <c r="S2987" s="227" t="n"/>
      <c r="T2987" s="227" t="n"/>
    </row>
    <row r="2988">
      <c r="A2988" s="145">
        <f>IF($B2988="","",ROW()-5)</f>
        <v/>
      </c>
      <c r="B2988" s="127" t="n"/>
      <c r="C2988" s="223" t="n"/>
      <c r="D2988" s="127" t="n"/>
      <c r="E2988" s="227" t="n"/>
      <c r="F2988" s="227" t="n"/>
      <c r="G2988" s="227" t="n"/>
      <c r="H2988" s="227" t="n"/>
      <c r="I2988" s="227" t="n"/>
      <c r="J2988" s="227" t="n"/>
      <c r="K2988" s="227" t="n"/>
      <c r="L2988" s="227" t="n"/>
      <c r="M2988" s="227" t="n"/>
      <c r="N2988" s="127" t="n"/>
      <c r="O2988" s="227" t="n"/>
      <c r="P2988" s="227" t="n"/>
      <c r="Q2988" s="227" t="n"/>
      <c r="R2988" s="227" t="n"/>
      <c r="S2988" s="227" t="n"/>
      <c r="T2988" s="227" t="n"/>
    </row>
    <row r="2989">
      <c r="A2989" s="145">
        <f>IF($B2989="","",ROW()-5)</f>
        <v/>
      </c>
      <c r="B2989" s="127" t="n"/>
      <c r="C2989" s="223" t="n"/>
      <c r="D2989" s="127" t="n"/>
      <c r="E2989" s="227" t="n"/>
      <c r="F2989" s="227" t="n"/>
      <c r="G2989" s="227" t="n"/>
      <c r="H2989" s="227" t="n"/>
      <c r="I2989" s="227" t="n"/>
      <c r="J2989" s="227" t="n"/>
      <c r="K2989" s="227" t="n"/>
      <c r="L2989" s="227" t="n"/>
      <c r="M2989" s="227" t="n"/>
      <c r="N2989" s="127" t="n"/>
      <c r="O2989" s="227" t="n"/>
      <c r="P2989" s="227" t="n"/>
      <c r="Q2989" s="227" t="n"/>
      <c r="R2989" s="227" t="n"/>
      <c r="S2989" s="227" t="n"/>
      <c r="T2989" s="227" t="n"/>
    </row>
    <row r="2990">
      <c r="A2990" s="145">
        <f>IF($B2990="","",ROW()-5)</f>
        <v/>
      </c>
      <c r="B2990" s="127" t="n"/>
      <c r="C2990" s="223" t="n"/>
      <c r="D2990" s="127" t="n"/>
      <c r="E2990" s="227" t="n"/>
      <c r="F2990" s="227" t="n"/>
      <c r="G2990" s="227" t="n"/>
      <c r="H2990" s="227" t="n"/>
      <c r="I2990" s="227" t="n"/>
      <c r="J2990" s="227" t="n"/>
      <c r="K2990" s="227" t="n"/>
      <c r="L2990" s="227" t="n"/>
      <c r="M2990" s="227" t="n"/>
      <c r="N2990" s="127" t="n"/>
      <c r="O2990" s="227" t="n"/>
      <c r="P2990" s="227" t="n"/>
      <c r="Q2990" s="227" t="n"/>
      <c r="R2990" s="227" t="n"/>
      <c r="S2990" s="227" t="n"/>
      <c r="T2990" s="227" t="n"/>
    </row>
    <row r="2991">
      <c r="A2991" s="145">
        <f>IF($B2991="","",ROW()-5)</f>
        <v/>
      </c>
      <c r="B2991" s="127" t="n"/>
      <c r="C2991" s="223" t="n"/>
      <c r="D2991" s="127" t="n"/>
      <c r="E2991" s="227" t="n"/>
      <c r="F2991" s="227" t="n"/>
      <c r="G2991" s="227" t="n"/>
      <c r="H2991" s="227" t="n"/>
      <c r="I2991" s="227" t="n"/>
      <c r="J2991" s="227" t="n"/>
      <c r="K2991" s="227" t="n"/>
      <c r="L2991" s="227" t="n"/>
      <c r="M2991" s="227" t="n"/>
      <c r="N2991" s="127" t="n"/>
      <c r="O2991" s="227" t="n"/>
      <c r="P2991" s="227" t="n"/>
      <c r="Q2991" s="227" t="n"/>
      <c r="R2991" s="227" t="n"/>
      <c r="S2991" s="227" t="n"/>
      <c r="T2991" s="227" t="n"/>
    </row>
    <row r="2992">
      <c r="A2992" s="145">
        <f>IF($B2992="","",ROW()-5)</f>
        <v/>
      </c>
      <c r="B2992" s="127" t="n"/>
      <c r="C2992" s="223" t="n"/>
      <c r="D2992" s="127" t="n"/>
      <c r="E2992" s="227" t="n"/>
      <c r="F2992" s="227" t="n"/>
      <c r="G2992" s="227" t="n"/>
      <c r="H2992" s="227" t="n"/>
      <c r="I2992" s="227" t="n"/>
      <c r="J2992" s="227" t="n"/>
      <c r="K2992" s="227" t="n"/>
      <c r="L2992" s="227" t="n"/>
      <c r="M2992" s="227" t="n"/>
      <c r="N2992" s="127" t="n"/>
      <c r="O2992" s="227" t="n"/>
      <c r="P2992" s="227" t="n"/>
      <c r="Q2992" s="227" t="n"/>
      <c r="R2992" s="227" t="n"/>
      <c r="S2992" s="227" t="n"/>
      <c r="T2992" s="227" t="n"/>
    </row>
    <row r="2993">
      <c r="A2993" s="145">
        <f>IF($B2993="","",ROW()-5)</f>
        <v/>
      </c>
      <c r="B2993" s="127" t="n"/>
      <c r="C2993" s="223" t="n"/>
      <c r="D2993" s="127" t="n"/>
      <c r="E2993" s="227" t="n"/>
      <c r="F2993" s="227" t="n"/>
      <c r="G2993" s="227" t="n"/>
      <c r="H2993" s="227" t="n"/>
      <c r="I2993" s="227" t="n"/>
      <c r="J2993" s="227" t="n"/>
      <c r="K2993" s="227" t="n"/>
      <c r="L2993" s="227" t="n"/>
      <c r="M2993" s="227" t="n"/>
      <c r="N2993" s="127" t="n"/>
      <c r="O2993" s="227" t="n"/>
      <c r="P2993" s="227" t="n"/>
      <c r="Q2993" s="227" t="n"/>
      <c r="R2993" s="227" t="n"/>
      <c r="S2993" s="227" t="n"/>
      <c r="T2993" s="227" t="n"/>
    </row>
    <row r="2994">
      <c r="A2994" s="145">
        <f>IF($B2994="","",ROW()-5)</f>
        <v/>
      </c>
      <c r="B2994" s="127" t="n"/>
      <c r="C2994" s="223" t="n"/>
      <c r="D2994" s="127" t="n"/>
      <c r="E2994" s="227" t="n"/>
      <c r="F2994" s="227" t="n"/>
      <c r="G2994" s="227" t="n"/>
      <c r="H2994" s="227" t="n"/>
      <c r="I2994" s="227" t="n"/>
      <c r="J2994" s="227" t="n"/>
      <c r="K2994" s="227" t="n"/>
      <c r="L2994" s="227" t="n"/>
      <c r="M2994" s="227" t="n"/>
      <c r="N2994" s="127" t="n"/>
      <c r="O2994" s="227" t="n"/>
      <c r="P2994" s="227" t="n"/>
      <c r="Q2994" s="227" t="n"/>
      <c r="R2994" s="227" t="n"/>
      <c r="S2994" s="227" t="n"/>
      <c r="T2994" s="227" t="n"/>
    </row>
    <row r="2995">
      <c r="A2995" s="145">
        <f>IF($B2995="","",ROW()-5)</f>
        <v/>
      </c>
      <c r="B2995" s="127" t="n"/>
      <c r="C2995" s="223" t="n"/>
      <c r="D2995" s="127" t="n"/>
      <c r="E2995" s="227" t="n"/>
      <c r="F2995" s="227" t="n"/>
      <c r="G2995" s="227" t="n"/>
      <c r="H2995" s="227" t="n"/>
      <c r="I2995" s="227" t="n"/>
      <c r="J2995" s="227" t="n"/>
      <c r="K2995" s="227" t="n"/>
      <c r="L2995" s="227" t="n"/>
      <c r="M2995" s="227" t="n"/>
      <c r="N2995" s="127" t="n"/>
      <c r="O2995" s="227" t="n"/>
      <c r="P2995" s="227" t="n"/>
      <c r="Q2995" s="227" t="n"/>
      <c r="R2995" s="227" t="n"/>
      <c r="S2995" s="227" t="n"/>
      <c r="T2995" s="227" t="n"/>
    </row>
    <row r="2996">
      <c r="A2996" s="145">
        <f>IF($B2996="","",ROW()-5)</f>
        <v/>
      </c>
      <c r="B2996" s="127" t="n"/>
      <c r="C2996" s="223" t="n"/>
      <c r="D2996" s="127" t="n"/>
      <c r="E2996" s="227" t="n"/>
      <c r="F2996" s="227" t="n"/>
      <c r="G2996" s="227" t="n"/>
      <c r="H2996" s="227" t="n"/>
      <c r="I2996" s="227" t="n"/>
      <c r="J2996" s="227" t="n"/>
      <c r="K2996" s="227" t="n"/>
      <c r="L2996" s="227" t="n"/>
      <c r="M2996" s="227" t="n"/>
      <c r="N2996" s="127" t="n"/>
      <c r="O2996" s="227" t="n"/>
      <c r="P2996" s="227" t="n"/>
      <c r="Q2996" s="227" t="n"/>
      <c r="R2996" s="227" t="n"/>
      <c r="S2996" s="227" t="n"/>
      <c r="T2996" s="227" t="n"/>
    </row>
    <row r="2997">
      <c r="A2997" s="145">
        <f>IF($B2997="","",ROW()-5)</f>
        <v/>
      </c>
      <c r="B2997" s="127" t="n"/>
      <c r="C2997" s="223" t="n"/>
      <c r="D2997" s="127" t="n"/>
      <c r="E2997" s="227" t="n"/>
      <c r="F2997" s="227" t="n"/>
      <c r="G2997" s="227" t="n"/>
      <c r="H2997" s="227" t="n"/>
      <c r="I2997" s="227" t="n"/>
      <c r="J2997" s="227" t="n"/>
      <c r="K2997" s="227" t="n"/>
      <c r="L2997" s="227" t="n"/>
      <c r="M2997" s="227" t="n"/>
      <c r="N2997" s="127" t="n"/>
      <c r="O2997" s="227" t="n"/>
      <c r="P2997" s="227" t="n"/>
      <c r="Q2997" s="227" t="n"/>
      <c r="R2997" s="227" t="n"/>
      <c r="S2997" s="227" t="n"/>
      <c r="T2997" s="227" t="n"/>
    </row>
    <row r="2998">
      <c r="A2998" s="145">
        <f>IF($B2998="","",ROW()-5)</f>
        <v/>
      </c>
      <c r="B2998" s="127" t="n"/>
      <c r="C2998" s="223" t="n"/>
      <c r="D2998" s="127" t="n"/>
      <c r="E2998" s="227" t="n"/>
      <c r="F2998" s="227" t="n"/>
      <c r="G2998" s="227" t="n"/>
      <c r="H2998" s="227" t="n"/>
      <c r="I2998" s="227" t="n"/>
      <c r="J2998" s="227" t="n"/>
      <c r="K2998" s="227" t="n"/>
      <c r="L2998" s="227" t="n"/>
      <c r="M2998" s="227" t="n"/>
      <c r="N2998" s="127" t="n"/>
      <c r="O2998" s="227" t="n"/>
      <c r="P2998" s="227" t="n"/>
      <c r="Q2998" s="227" t="n"/>
      <c r="R2998" s="227" t="n"/>
      <c r="S2998" s="227" t="n"/>
      <c r="T2998" s="227" t="n"/>
    </row>
    <row r="2999">
      <c r="A2999" s="145">
        <f>IF($B2999="","",ROW()-5)</f>
        <v/>
      </c>
      <c r="B2999" s="127" t="n"/>
      <c r="C2999" s="223" t="n"/>
      <c r="D2999" s="127" t="n"/>
      <c r="E2999" s="227" t="n"/>
      <c r="F2999" s="227" t="n"/>
      <c r="G2999" s="227" t="n"/>
      <c r="H2999" s="227" t="n"/>
      <c r="I2999" s="227" t="n"/>
      <c r="J2999" s="227" t="n"/>
      <c r="K2999" s="227" t="n"/>
      <c r="L2999" s="227" t="n"/>
      <c r="M2999" s="227" t="n"/>
      <c r="N2999" s="127" t="n"/>
      <c r="O2999" s="227" t="n"/>
      <c r="P2999" s="227" t="n"/>
      <c r="Q2999" s="227" t="n"/>
      <c r="R2999" s="227" t="n"/>
      <c r="S2999" s="227" t="n"/>
      <c r="T2999" s="227" t="n"/>
    </row>
    <row r="3000">
      <c r="A3000" s="145">
        <f>IF($B3000="","",ROW()-5)</f>
        <v/>
      </c>
      <c r="B3000" s="127" t="n"/>
      <c r="C3000" s="223" t="n"/>
      <c r="D3000" s="127" t="n"/>
      <c r="E3000" s="227" t="n"/>
      <c r="F3000" s="227" t="n"/>
      <c r="G3000" s="227" t="n"/>
      <c r="H3000" s="227" t="n"/>
      <c r="I3000" s="227" t="n"/>
      <c r="J3000" s="227" t="n"/>
      <c r="K3000" s="227" t="n"/>
      <c r="L3000" s="227" t="n"/>
      <c r="M3000" s="227" t="n"/>
      <c r="N3000" s="127" t="n"/>
      <c r="O3000" s="227" t="n"/>
      <c r="P3000" s="227" t="n"/>
      <c r="Q3000" s="227" t="n"/>
      <c r="R3000" s="227" t="n"/>
      <c r="S3000" s="227" t="n"/>
      <c r="T3000" s="227" t="n"/>
    </row>
    <row r="3001">
      <c r="A3001" s="145">
        <f>IF($B3001="","",ROW()-5)</f>
        <v/>
      </c>
      <c r="B3001" s="127" t="n"/>
      <c r="C3001" s="223" t="n"/>
      <c r="D3001" s="127" t="n"/>
      <c r="E3001" s="227" t="n"/>
      <c r="F3001" s="227" t="n"/>
      <c r="G3001" s="227" t="n"/>
      <c r="H3001" s="227" t="n"/>
      <c r="I3001" s="227" t="n"/>
      <c r="J3001" s="227" t="n"/>
      <c r="K3001" s="227" t="n"/>
      <c r="L3001" s="227" t="n"/>
      <c r="M3001" s="227" t="n"/>
      <c r="N3001" s="127" t="n"/>
      <c r="O3001" s="227" t="n"/>
      <c r="P3001" s="227" t="n"/>
      <c r="Q3001" s="227" t="n"/>
      <c r="R3001" s="227" t="n"/>
      <c r="S3001" s="227" t="n"/>
      <c r="T3001" s="227" t="n"/>
    </row>
    <row r="3002">
      <c r="A3002" s="145">
        <f>IF($B3002="","",ROW()-5)</f>
        <v/>
      </c>
      <c r="B3002" s="127" t="n"/>
      <c r="C3002" s="223" t="n"/>
      <c r="D3002" s="127" t="n"/>
      <c r="E3002" s="227" t="n"/>
      <c r="F3002" s="227" t="n"/>
      <c r="G3002" s="227" t="n"/>
      <c r="H3002" s="227" t="n"/>
      <c r="I3002" s="227" t="n"/>
      <c r="J3002" s="227" t="n"/>
      <c r="K3002" s="227" t="n"/>
      <c r="L3002" s="227" t="n"/>
      <c r="M3002" s="227" t="n"/>
      <c r="N3002" s="127" t="n"/>
      <c r="O3002" s="227" t="n"/>
      <c r="P3002" s="227" t="n"/>
      <c r="Q3002" s="227" t="n"/>
      <c r="R3002" s="227" t="n"/>
      <c r="S3002" s="227" t="n"/>
      <c r="T3002" s="227" t="n"/>
    </row>
    <row r="3003">
      <c r="A3003" s="145">
        <f>IF($B3003="","",ROW()-5)</f>
        <v/>
      </c>
      <c r="B3003" s="127" t="n"/>
      <c r="C3003" s="223" t="n"/>
      <c r="D3003" s="127" t="n"/>
      <c r="E3003" s="227" t="n"/>
      <c r="F3003" s="227" t="n"/>
      <c r="G3003" s="227" t="n"/>
      <c r="H3003" s="227" t="n"/>
      <c r="I3003" s="227" t="n"/>
      <c r="J3003" s="227" t="n"/>
      <c r="K3003" s="227" t="n"/>
      <c r="L3003" s="227" t="n"/>
      <c r="M3003" s="227" t="n"/>
      <c r="N3003" s="127" t="n"/>
      <c r="O3003" s="227" t="n"/>
      <c r="P3003" s="227" t="n"/>
      <c r="Q3003" s="227" t="n"/>
      <c r="R3003" s="227" t="n"/>
      <c r="S3003" s="227" t="n"/>
      <c r="T3003" s="227" t="n"/>
    </row>
    <row r="3004">
      <c r="A3004" s="145">
        <f>IF($B3004="","",ROW()-5)</f>
        <v/>
      </c>
      <c r="B3004" s="127" t="n"/>
      <c r="C3004" s="223" t="n"/>
      <c r="D3004" s="127" t="n"/>
      <c r="E3004" s="227" t="n"/>
      <c r="F3004" s="227" t="n"/>
      <c r="G3004" s="227" t="n"/>
      <c r="H3004" s="227" t="n"/>
      <c r="I3004" s="227" t="n"/>
      <c r="J3004" s="227" t="n"/>
      <c r="K3004" s="227" t="n"/>
      <c r="L3004" s="227" t="n"/>
      <c r="M3004" s="227" t="n"/>
      <c r="N3004" s="127" t="n"/>
      <c r="O3004" s="227" t="n"/>
      <c r="P3004" s="227" t="n"/>
      <c r="Q3004" s="227" t="n"/>
      <c r="R3004" s="227" t="n"/>
      <c r="S3004" s="227" t="n"/>
      <c r="T3004" s="227" t="n"/>
    </row>
    <row r="3005">
      <c r="A3005" s="145">
        <f>IF($B3005="","",ROW()-5)</f>
        <v/>
      </c>
      <c r="B3005" s="127" t="n"/>
      <c r="C3005" s="223" t="n"/>
      <c r="D3005" s="127" t="n"/>
      <c r="E3005" s="227" t="n"/>
      <c r="F3005" s="227" t="n"/>
      <c r="G3005" s="227" t="n"/>
      <c r="H3005" s="227" t="n"/>
      <c r="I3005" s="227" t="n"/>
      <c r="J3005" s="227" t="n"/>
      <c r="K3005" s="227" t="n"/>
      <c r="L3005" s="227" t="n"/>
      <c r="M3005" s="227" t="n"/>
      <c r="N3005" s="127" t="n"/>
      <c r="O3005" s="227" t="n"/>
      <c r="P3005" s="227" t="n"/>
      <c r="Q3005" s="227" t="n"/>
      <c r="R3005" s="227" t="n"/>
      <c r="S3005" s="227" t="n"/>
      <c r="T3005" s="227" t="n"/>
    </row>
    <row r="3006">
      <c r="A3006" s="145">
        <f>IF($B3006="","",ROW()-5)</f>
        <v/>
      </c>
      <c r="B3006" s="127" t="n"/>
      <c r="C3006" s="223" t="n"/>
      <c r="D3006" s="127" t="n"/>
      <c r="E3006" s="227" t="n"/>
      <c r="F3006" s="227" t="n"/>
      <c r="G3006" s="227" t="n"/>
      <c r="H3006" s="227" t="n"/>
      <c r="I3006" s="227" t="n"/>
      <c r="J3006" s="227" t="n"/>
      <c r="K3006" s="227" t="n"/>
      <c r="L3006" s="227" t="n"/>
      <c r="M3006" s="227" t="n"/>
      <c r="N3006" s="127" t="n"/>
      <c r="O3006" s="227" t="n"/>
      <c r="P3006" s="227" t="n"/>
      <c r="Q3006" s="227" t="n"/>
      <c r="R3006" s="227" t="n"/>
      <c r="S3006" s="227" t="n"/>
      <c r="T3006" s="227" t="n"/>
    </row>
    <row r="3007">
      <c r="A3007" s="145">
        <f>IF($B3007="","",ROW()-5)</f>
        <v/>
      </c>
      <c r="B3007" s="127" t="n"/>
      <c r="C3007" s="223" t="n"/>
      <c r="D3007" s="127" t="n"/>
      <c r="E3007" s="227" t="n"/>
      <c r="F3007" s="227" t="n"/>
      <c r="G3007" s="227" t="n"/>
      <c r="H3007" s="227" t="n"/>
      <c r="I3007" s="227" t="n"/>
      <c r="J3007" s="227" t="n"/>
      <c r="K3007" s="227" t="n"/>
      <c r="L3007" s="227" t="n"/>
      <c r="M3007" s="227" t="n"/>
      <c r="N3007" s="127" t="n"/>
      <c r="O3007" s="227" t="n"/>
      <c r="P3007" s="227" t="n"/>
      <c r="Q3007" s="227" t="n"/>
      <c r="R3007" s="227" t="n"/>
      <c r="S3007" s="227" t="n"/>
      <c r="T3007" s="227" t="n"/>
    </row>
    <row r="3008">
      <c r="A3008" s="145">
        <f>IF($B3008="","",ROW()-5)</f>
        <v/>
      </c>
      <c r="B3008" s="127" t="n"/>
      <c r="C3008" s="223" t="n"/>
      <c r="D3008" s="127" t="n"/>
      <c r="E3008" s="227" t="n"/>
      <c r="F3008" s="227" t="n"/>
      <c r="G3008" s="227" t="n"/>
      <c r="H3008" s="227" t="n"/>
      <c r="I3008" s="227" t="n"/>
      <c r="J3008" s="227" t="n"/>
      <c r="K3008" s="227" t="n"/>
      <c r="L3008" s="227" t="n"/>
      <c r="M3008" s="227" t="n"/>
      <c r="N3008" s="127" t="n"/>
      <c r="O3008" s="227" t="n"/>
      <c r="P3008" s="227" t="n"/>
      <c r="Q3008" s="227" t="n"/>
      <c r="R3008" s="227" t="n"/>
      <c r="S3008" s="227" t="n"/>
      <c r="T3008" s="227" t="n"/>
    </row>
    <row r="3009">
      <c r="A3009" s="145">
        <f>IF($B3009="","",ROW()-5)</f>
        <v/>
      </c>
      <c r="B3009" s="127" t="n"/>
      <c r="C3009" s="223" t="n"/>
      <c r="D3009" s="127" t="n"/>
      <c r="E3009" s="227" t="n"/>
      <c r="F3009" s="227" t="n"/>
      <c r="G3009" s="227" t="n"/>
      <c r="H3009" s="227" t="n"/>
      <c r="I3009" s="227" t="n"/>
      <c r="J3009" s="227" t="n"/>
      <c r="K3009" s="227" t="n"/>
      <c r="L3009" s="227" t="n"/>
      <c r="M3009" s="227" t="n"/>
      <c r="N3009" s="127" t="n"/>
      <c r="O3009" s="227" t="n"/>
      <c r="P3009" s="227" t="n"/>
      <c r="Q3009" s="227" t="n"/>
      <c r="R3009" s="227" t="n"/>
      <c r="S3009" s="227" t="n"/>
      <c r="T3009" s="227" t="n"/>
    </row>
    <row r="3010">
      <c r="A3010" s="145">
        <f>IF($B3010="","",ROW()-5)</f>
        <v/>
      </c>
      <c r="B3010" s="127" t="n"/>
      <c r="C3010" s="223" t="n"/>
      <c r="D3010" s="127" t="n"/>
      <c r="E3010" s="227" t="n"/>
      <c r="F3010" s="227" t="n"/>
      <c r="G3010" s="227" t="n"/>
      <c r="H3010" s="227" t="n"/>
      <c r="I3010" s="227" t="n"/>
      <c r="J3010" s="227" t="n"/>
      <c r="K3010" s="227" t="n"/>
      <c r="L3010" s="227" t="n"/>
      <c r="M3010" s="227" t="n"/>
      <c r="N3010" s="127" t="n"/>
      <c r="O3010" s="227" t="n"/>
      <c r="P3010" s="227" t="n"/>
      <c r="Q3010" s="227" t="n"/>
      <c r="R3010" s="227" t="n"/>
      <c r="S3010" s="227" t="n"/>
      <c r="T3010" s="227" t="n"/>
    </row>
    <row r="3011">
      <c r="A3011" s="145">
        <f>IF($B3011="","",ROW()-5)</f>
        <v/>
      </c>
      <c r="B3011" s="127" t="n"/>
      <c r="C3011" s="223" t="n"/>
      <c r="D3011" s="127" t="n"/>
      <c r="E3011" s="227" t="n"/>
      <c r="F3011" s="227" t="n"/>
      <c r="G3011" s="227" t="n"/>
      <c r="H3011" s="227" t="n"/>
      <c r="I3011" s="227" t="n"/>
      <c r="J3011" s="227" t="n"/>
      <c r="K3011" s="227" t="n"/>
      <c r="L3011" s="227" t="n"/>
      <c r="M3011" s="227" t="n"/>
      <c r="N3011" s="127" t="n"/>
      <c r="O3011" s="227" t="n"/>
      <c r="P3011" s="227" t="n"/>
      <c r="Q3011" s="227" t="n"/>
      <c r="R3011" s="227" t="n"/>
      <c r="S3011" s="227" t="n"/>
      <c r="T3011" s="227" t="n"/>
    </row>
    <row r="3012">
      <c r="A3012" s="145">
        <f>IF($B3012="","",ROW()-5)</f>
        <v/>
      </c>
      <c r="B3012" s="127" t="n"/>
      <c r="C3012" s="223" t="n"/>
      <c r="D3012" s="127" t="n"/>
      <c r="E3012" s="227" t="n"/>
      <c r="F3012" s="227" t="n"/>
      <c r="G3012" s="227" t="n"/>
      <c r="H3012" s="227" t="n"/>
      <c r="I3012" s="227" t="n"/>
      <c r="J3012" s="227" t="n"/>
      <c r="K3012" s="227" t="n"/>
      <c r="L3012" s="227" t="n"/>
      <c r="M3012" s="227" t="n"/>
      <c r="N3012" s="127" t="n"/>
      <c r="O3012" s="227" t="n"/>
      <c r="P3012" s="227" t="n"/>
      <c r="Q3012" s="227" t="n"/>
      <c r="R3012" s="227" t="n"/>
      <c r="S3012" s="227" t="n"/>
      <c r="T3012" s="227" t="n"/>
    </row>
    <row r="3013">
      <c r="A3013" s="145">
        <f>IF($B3013="","",ROW()-5)</f>
        <v/>
      </c>
      <c r="B3013" s="127" t="n"/>
      <c r="C3013" s="223" t="n"/>
      <c r="D3013" s="127" t="n"/>
      <c r="E3013" s="227" t="n"/>
      <c r="F3013" s="227" t="n"/>
      <c r="G3013" s="227" t="n"/>
      <c r="H3013" s="227" t="n"/>
      <c r="I3013" s="227" t="n"/>
      <c r="J3013" s="227" t="n"/>
      <c r="K3013" s="227" t="n"/>
      <c r="L3013" s="227" t="n"/>
      <c r="M3013" s="227" t="n"/>
      <c r="N3013" s="127" t="n"/>
      <c r="O3013" s="227" t="n"/>
      <c r="P3013" s="227" t="n"/>
      <c r="Q3013" s="227" t="n"/>
      <c r="R3013" s="227" t="n"/>
      <c r="S3013" s="227" t="n"/>
      <c r="T3013" s="227" t="n"/>
    </row>
    <row r="3014">
      <c r="A3014" s="145">
        <f>IF($B3014="","",ROW()-5)</f>
        <v/>
      </c>
      <c r="B3014" s="127" t="n"/>
      <c r="C3014" s="223" t="n"/>
      <c r="D3014" s="127" t="n"/>
      <c r="E3014" s="227" t="n"/>
      <c r="F3014" s="227" t="n"/>
      <c r="G3014" s="227" t="n"/>
      <c r="H3014" s="227" t="n"/>
      <c r="I3014" s="227" t="n"/>
      <c r="J3014" s="227" t="n"/>
      <c r="K3014" s="227" t="n"/>
      <c r="L3014" s="227" t="n"/>
      <c r="M3014" s="227" t="n"/>
      <c r="N3014" s="127" t="n"/>
      <c r="O3014" s="227" t="n"/>
      <c r="P3014" s="227" t="n"/>
      <c r="Q3014" s="227" t="n"/>
      <c r="R3014" s="227" t="n"/>
      <c r="S3014" s="227" t="n"/>
      <c r="T3014" s="227" t="n"/>
    </row>
    <row r="3015">
      <c r="A3015" s="145">
        <f>IF($B3015="","",ROW()-5)</f>
        <v/>
      </c>
      <c r="B3015" s="127" t="n"/>
      <c r="C3015" s="223" t="n"/>
      <c r="D3015" s="127" t="n"/>
      <c r="E3015" s="227" t="n"/>
      <c r="F3015" s="227" t="n"/>
      <c r="G3015" s="227" t="n"/>
      <c r="H3015" s="227" t="n"/>
      <c r="I3015" s="227" t="n"/>
      <c r="J3015" s="227" t="n"/>
      <c r="K3015" s="227" t="n"/>
      <c r="L3015" s="227" t="n"/>
      <c r="M3015" s="227" t="n"/>
      <c r="N3015" s="127" t="n"/>
      <c r="O3015" s="227" t="n"/>
      <c r="P3015" s="227" t="n"/>
      <c r="Q3015" s="227" t="n"/>
      <c r="R3015" s="227" t="n"/>
      <c r="S3015" s="227" t="n"/>
      <c r="T3015" s="227" t="n"/>
    </row>
    <row r="3016">
      <c r="A3016" s="145">
        <f>IF($B3016="","",ROW()-5)</f>
        <v/>
      </c>
      <c r="B3016" s="127" t="n"/>
      <c r="C3016" s="223" t="n"/>
      <c r="D3016" s="127" t="n"/>
      <c r="E3016" s="227" t="n"/>
      <c r="F3016" s="227" t="n"/>
      <c r="G3016" s="227" t="n"/>
      <c r="H3016" s="227" t="n"/>
      <c r="I3016" s="227" t="n"/>
      <c r="J3016" s="227" t="n"/>
      <c r="K3016" s="227" t="n"/>
      <c r="L3016" s="227" t="n"/>
      <c r="M3016" s="227" t="n"/>
      <c r="N3016" s="127" t="n"/>
      <c r="O3016" s="227" t="n"/>
      <c r="P3016" s="227" t="n"/>
      <c r="Q3016" s="227" t="n"/>
      <c r="R3016" s="227" t="n"/>
      <c r="S3016" s="227" t="n"/>
      <c r="T3016" s="227" t="n"/>
    </row>
    <row r="3017">
      <c r="A3017" s="145">
        <f>IF($B3017="","",ROW()-5)</f>
        <v/>
      </c>
      <c r="B3017" s="127" t="n"/>
      <c r="C3017" s="223" t="n"/>
      <c r="D3017" s="127" t="n"/>
      <c r="E3017" s="227" t="n"/>
      <c r="F3017" s="227" t="n"/>
      <c r="G3017" s="227" t="n"/>
      <c r="H3017" s="227" t="n"/>
      <c r="I3017" s="227" t="n"/>
      <c r="J3017" s="227" t="n"/>
      <c r="K3017" s="227" t="n"/>
      <c r="L3017" s="227" t="n"/>
      <c r="M3017" s="227" t="n"/>
      <c r="N3017" s="127" t="n"/>
      <c r="O3017" s="227" t="n"/>
      <c r="P3017" s="227" t="n"/>
      <c r="Q3017" s="227" t="n"/>
      <c r="R3017" s="227" t="n"/>
      <c r="S3017" s="227" t="n"/>
      <c r="T3017" s="227" t="n"/>
    </row>
    <row r="3018">
      <c r="A3018" s="145">
        <f>IF($B3018="","",ROW()-5)</f>
        <v/>
      </c>
      <c r="B3018" s="127" t="n"/>
      <c r="C3018" s="223" t="n"/>
      <c r="D3018" s="127" t="n"/>
      <c r="E3018" s="227" t="n"/>
      <c r="F3018" s="227" t="n"/>
      <c r="G3018" s="227" t="n"/>
      <c r="H3018" s="227" t="n"/>
      <c r="I3018" s="227" t="n"/>
      <c r="J3018" s="227" t="n"/>
      <c r="K3018" s="227" t="n"/>
      <c r="L3018" s="227" t="n"/>
      <c r="M3018" s="227" t="n"/>
      <c r="N3018" s="127" t="n"/>
      <c r="O3018" s="227" t="n"/>
      <c r="P3018" s="227" t="n"/>
      <c r="Q3018" s="227" t="n"/>
      <c r="R3018" s="227" t="n"/>
      <c r="S3018" s="227" t="n"/>
      <c r="T3018" s="227" t="n"/>
    </row>
    <row r="3019">
      <c r="A3019" s="145">
        <f>IF($B3019="","",ROW()-5)</f>
        <v/>
      </c>
      <c r="B3019" s="127" t="n"/>
      <c r="C3019" s="223" t="n"/>
      <c r="D3019" s="127" t="n"/>
      <c r="E3019" s="227" t="n"/>
      <c r="F3019" s="227" t="n"/>
      <c r="G3019" s="227" t="n"/>
      <c r="H3019" s="227" t="n"/>
      <c r="I3019" s="227" t="n"/>
      <c r="J3019" s="227" t="n"/>
      <c r="K3019" s="227" t="n"/>
      <c r="L3019" s="227" t="n"/>
      <c r="M3019" s="227" t="n"/>
      <c r="N3019" s="127" t="n"/>
      <c r="O3019" s="227" t="n"/>
      <c r="P3019" s="227" t="n"/>
      <c r="Q3019" s="227" t="n"/>
      <c r="R3019" s="227" t="n"/>
      <c r="S3019" s="227" t="n"/>
      <c r="T3019" s="227" t="n"/>
    </row>
    <row r="3020">
      <c r="A3020" s="145">
        <f>IF($B3020="","",ROW()-5)</f>
        <v/>
      </c>
      <c r="B3020" s="127" t="n"/>
      <c r="C3020" s="223" t="n"/>
      <c r="D3020" s="127" t="n"/>
      <c r="E3020" s="227" t="n"/>
      <c r="F3020" s="227" t="n"/>
      <c r="G3020" s="227" t="n"/>
      <c r="H3020" s="227" t="n"/>
      <c r="I3020" s="227" t="n"/>
      <c r="J3020" s="227" t="n"/>
      <c r="K3020" s="227" t="n"/>
      <c r="L3020" s="227" t="n"/>
      <c r="M3020" s="227" t="n"/>
      <c r="N3020" s="127" t="n"/>
      <c r="O3020" s="227" t="n"/>
      <c r="P3020" s="227" t="n"/>
      <c r="Q3020" s="227" t="n"/>
      <c r="R3020" s="227" t="n"/>
      <c r="S3020" s="227" t="n"/>
      <c r="T3020" s="227" t="n"/>
    </row>
    <row r="3021">
      <c r="A3021" s="145">
        <f>IF($B3021="","",ROW()-5)</f>
        <v/>
      </c>
      <c r="B3021" s="127" t="n"/>
      <c r="C3021" s="223" t="n"/>
      <c r="D3021" s="127" t="n"/>
      <c r="E3021" s="227" t="n"/>
      <c r="F3021" s="227" t="n"/>
      <c r="G3021" s="227" t="n"/>
      <c r="H3021" s="227" t="n"/>
      <c r="I3021" s="227" t="n"/>
      <c r="J3021" s="227" t="n"/>
      <c r="K3021" s="227" t="n"/>
      <c r="L3021" s="227" t="n"/>
      <c r="M3021" s="227" t="n"/>
      <c r="N3021" s="127" t="n"/>
      <c r="O3021" s="227" t="n"/>
      <c r="P3021" s="227" t="n"/>
      <c r="Q3021" s="227" t="n"/>
      <c r="R3021" s="227" t="n"/>
      <c r="S3021" s="227" t="n"/>
      <c r="T3021" s="227" t="n"/>
    </row>
    <row r="3022">
      <c r="A3022" s="145">
        <f>IF($B3022="","",ROW()-5)</f>
        <v/>
      </c>
      <c r="B3022" s="127" t="n"/>
      <c r="C3022" s="223" t="n"/>
      <c r="D3022" s="127" t="n"/>
      <c r="E3022" s="227" t="n"/>
      <c r="F3022" s="227" t="n"/>
      <c r="G3022" s="227" t="n"/>
      <c r="H3022" s="227" t="n"/>
      <c r="I3022" s="227" t="n"/>
      <c r="J3022" s="227" t="n"/>
      <c r="K3022" s="227" t="n"/>
      <c r="L3022" s="227" t="n"/>
      <c r="M3022" s="227" t="n"/>
      <c r="N3022" s="127" t="n"/>
      <c r="O3022" s="227" t="n"/>
      <c r="P3022" s="227" t="n"/>
      <c r="Q3022" s="227" t="n"/>
      <c r="R3022" s="227" t="n"/>
      <c r="S3022" s="227" t="n"/>
      <c r="T3022" s="227" t="n"/>
    </row>
    <row r="3023">
      <c r="A3023" s="145">
        <f>IF($B3023="","",ROW()-5)</f>
        <v/>
      </c>
      <c r="B3023" s="127" t="n"/>
      <c r="C3023" s="223" t="n"/>
      <c r="D3023" s="127" t="n"/>
      <c r="E3023" s="227" t="n"/>
      <c r="F3023" s="227" t="n"/>
      <c r="G3023" s="227" t="n"/>
      <c r="H3023" s="227" t="n"/>
      <c r="I3023" s="227" t="n"/>
      <c r="J3023" s="227" t="n"/>
      <c r="K3023" s="227" t="n"/>
      <c r="L3023" s="227" t="n"/>
      <c r="M3023" s="227" t="n"/>
      <c r="N3023" s="127" t="n"/>
      <c r="O3023" s="227" t="n"/>
      <c r="P3023" s="227" t="n"/>
      <c r="Q3023" s="227" t="n"/>
      <c r="R3023" s="227" t="n"/>
      <c r="S3023" s="227" t="n"/>
      <c r="T3023" s="227" t="n"/>
    </row>
    <row r="3024">
      <c r="A3024" s="145">
        <f>IF($B3024="","",ROW()-5)</f>
        <v/>
      </c>
      <c r="B3024" s="127" t="n"/>
      <c r="C3024" s="223" t="n"/>
      <c r="D3024" s="127" t="n"/>
      <c r="E3024" s="227" t="n"/>
      <c r="F3024" s="227" t="n"/>
      <c r="G3024" s="227" t="n"/>
      <c r="H3024" s="227" t="n"/>
      <c r="I3024" s="227" t="n"/>
      <c r="J3024" s="227" t="n"/>
      <c r="K3024" s="227" t="n"/>
      <c r="L3024" s="227" t="n"/>
      <c r="M3024" s="227" t="n"/>
      <c r="N3024" s="127" t="n"/>
      <c r="O3024" s="227" t="n"/>
      <c r="P3024" s="227" t="n"/>
      <c r="Q3024" s="227" t="n"/>
      <c r="R3024" s="227" t="n"/>
      <c r="S3024" s="227" t="n"/>
      <c r="T3024" s="227" t="n"/>
    </row>
    <row r="3025">
      <c r="A3025" s="145">
        <f>IF($B3025="","",ROW()-5)</f>
        <v/>
      </c>
      <c r="B3025" s="127" t="n"/>
      <c r="C3025" s="223" t="n"/>
      <c r="D3025" s="127" t="n"/>
      <c r="E3025" s="227" t="n"/>
      <c r="F3025" s="227" t="n"/>
      <c r="G3025" s="227" t="n"/>
      <c r="H3025" s="227" t="n"/>
      <c r="I3025" s="227" t="n"/>
      <c r="J3025" s="227" t="n"/>
      <c r="K3025" s="227" t="n"/>
      <c r="L3025" s="227" t="n"/>
      <c r="M3025" s="227" t="n"/>
      <c r="N3025" s="127" t="n"/>
      <c r="O3025" s="227" t="n"/>
      <c r="P3025" s="227" t="n"/>
      <c r="Q3025" s="227" t="n"/>
      <c r="R3025" s="227" t="n"/>
      <c r="S3025" s="227" t="n"/>
      <c r="T3025" s="227" t="n"/>
    </row>
    <row r="3026">
      <c r="A3026" s="145">
        <f>IF($B3026="","",ROW()-5)</f>
        <v/>
      </c>
      <c r="B3026" s="127" t="n"/>
      <c r="C3026" s="223" t="n"/>
      <c r="D3026" s="127" t="n"/>
      <c r="E3026" s="227" t="n"/>
      <c r="F3026" s="227" t="n"/>
      <c r="G3026" s="227" t="n"/>
      <c r="H3026" s="227" t="n"/>
      <c r="I3026" s="227" t="n"/>
      <c r="J3026" s="227" t="n"/>
      <c r="K3026" s="227" t="n"/>
      <c r="L3026" s="227" t="n"/>
      <c r="M3026" s="227" t="n"/>
      <c r="N3026" s="127" t="n"/>
      <c r="O3026" s="227" t="n"/>
      <c r="P3026" s="227" t="n"/>
      <c r="Q3026" s="227" t="n"/>
      <c r="R3026" s="227" t="n"/>
      <c r="S3026" s="227" t="n"/>
      <c r="T3026" s="227" t="n"/>
    </row>
    <row r="3027">
      <c r="A3027" s="145">
        <f>IF($B3027="","",ROW()-5)</f>
        <v/>
      </c>
      <c r="B3027" s="127" t="n"/>
      <c r="C3027" s="223" t="n"/>
      <c r="D3027" s="127" t="n"/>
      <c r="E3027" s="227" t="n"/>
      <c r="F3027" s="227" t="n"/>
      <c r="G3027" s="227" t="n"/>
      <c r="H3027" s="227" t="n"/>
      <c r="I3027" s="227" t="n"/>
      <c r="J3027" s="227" t="n"/>
      <c r="K3027" s="227" t="n"/>
      <c r="L3027" s="227" t="n"/>
      <c r="M3027" s="227" t="n"/>
      <c r="N3027" s="127" t="n"/>
      <c r="O3027" s="227" t="n"/>
      <c r="P3027" s="227" t="n"/>
      <c r="Q3027" s="227" t="n"/>
      <c r="R3027" s="227" t="n"/>
      <c r="S3027" s="227" t="n"/>
      <c r="T3027" s="227" t="n"/>
    </row>
    <row r="3028">
      <c r="A3028" s="145">
        <f>IF($B3028="","",ROW()-5)</f>
        <v/>
      </c>
      <c r="B3028" s="127" t="n"/>
      <c r="C3028" s="223" t="n"/>
      <c r="D3028" s="127" t="n"/>
      <c r="E3028" s="227" t="n"/>
      <c r="F3028" s="227" t="n"/>
      <c r="G3028" s="227" t="n"/>
      <c r="H3028" s="227" t="n"/>
      <c r="I3028" s="227" t="n"/>
      <c r="J3028" s="227" t="n"/>
      <c r="K3028" s="227" t="n"/>
      <c r="L3028" s="227" t="n"/>
      <c r="M3028" s="227" t="n"/>
      <c r="N3028" s="127" t="n"/>
      <c r="O3028" s="227" t="n"/>
      <c r="P3028" s="227" t="n"/>
      <c r="Q3028" s="227" t="n"/>
      <c r="R3028" s="227" t="n"/>
      <c r="S3028" s="227" t="n"/>
      <c r="T3028" s="227" t="n"/>
    </row>
    <row r="3029">
      <c r="A3029" s="145">
        <f>IF($B3029="","",ROW()-5)</f>
        <v/>
      </c>
      <c r="B3029" s="127" t="n"/>
      <c r="C3029" s="223" t="n"/>
      <c r="D3029" s="127" t="n"/>
      <c r="E3029" s="227" t="n"/>
      <c r="F3029" s="227" t="n"/>
      <c r="G3029" s="227" t="n"/>
      <c r="H3029" s="227" t="n"/>
      <c r="I3029" s="227" t="n"/>
      <c r="J3029" s="227" t="n"/>
      <c r="K3029" s="227" t="n"/>
      <c r="L3029" s="227" t="n"/>
      <c r="M3029" s="227" t="n"/>
      <c r="N3029" s="127" t="n"/>
      <c r="O3029" s="227" t="n"/>
      <c r="P3029" s="227" t="n"/>
      <c r="Q3029" s="227" t="n"/>
      <c r="R3029" s="227" t="n"/>
      <c r="S3029" s="227" t="n"/>
      <c r="T3029" s="227" t="n"/>
    </row>
    <row r="3030">
      <c r="A3030" s="145">
        <f>IF($B3030="","",ROW()-5)</f>
        <v/>
      </c>
      <c r="B3030" s="127" t="n"/>
      <c r="C3030" s="223" t="n"/>
      <c r="D3030" s="127" t="n"/>
      <c r="E3030" s="227" t="n"/>
      <c r="F3030" s="227" t="n"/>
      <c r="G3030" s="227" t="n"/>
      <c r="H3030" s="227" t="n"/>
      <c r="I3030" s="227" t="n"/>
      <c r="J3030" s="227" t="n"/>
      <c r="K3030" s="227" t="n"/>
      <c r="L3030" s="227" t="n"/>
      <c r="M3030" s="227" t="n"/>
      <c r="N3030" s="127" t="n"/>
      <c r="O3030" s="227" t="n"/>
      <c r="P3030" s="227" t="n"/>
      <c r="Q3030" s="227" t="n"/>
      <c r="R3030" s="227" t="n"/>
      <c r="S3030" s="227" t="n"/>
      <c r="T3030" s="227" t="n"/>
    </row>
    <row r="3031">
      <c r="A3031" s="145">
        <f>IF($B3031="","",ROW()-5)</f>
        <v/>
      </c>
      <c r="B3031" s="127" t="n"/>
      <c r="C3031" s="223" t="n"/>
      <c r="D3031" s="127" t="n"/>
      <c r="E3031" s="227" t="n"/>
      <c r="F3031" s="227" t="n"/>
      <c r="G3031" s="227" t="n"/>
      <c r="H3031" s="227" t="n"/>
      <c r="I3031" s="227" t="n"/>
      <c r="J3031" s="227" t="n"/>
      <c r="K3031" s="227" t="n"/>
      <c r="L3031" s="227" t="n"/>
      <c r="M3031" s="227" t="n"/>
      <c r="N3031" s="127" t="n"/>
      <c r="O3031" s="227" t="n"/>
      <c r="P3031" s="227" t="n"/>
      <c r="Q3031" s="227" t="n"/>
      <c r="R3031" s="227" t="n"/>
      <c r="S3031" s="227" t="n"/>
      <c r="T3031" s="227" t="n"/>
    </row>
    <row r="3032">
      <c r="A3032" s="145">
        <f>IF($B3032="","",ROW()-5)</f>
        <v/>
      </c>
      <c r="B3032" s="127" t="n"/>
      <c r="C3032" s="223" t="n"/>
      <c r="D3032" s="127" t="n"/>
      <c r="E3032" s="227" t="n"/>
      <c r="F3032" s="227" t="n"/>
      <c r="G3032" s="227" t="n"/>
      <c r="H3032" s="227" t="n"/>
      <c r="I3032" s="227" t="n"/>
      <c r="J3032" s="227" t="n"/>
      <c r="K3032" s="227" t="n"/>
      <c r="L3032" s="227" t="n"/>
      <c r="M3032" s="227" t="n"/>
      <c r="N3032" s="127" t="n"/>
      <c r="O3032" s="227" t="n"/>
      <c r="P3032" s="227" t="n"/>
      <c r="Q3032" s="227" t="n"/>
      <c r="R3032" s="227" t="n"/>
      <c r="S3032" s="227" t="n"/>
      <c r="T3032" s="227" t="n"/>
    </row>
    <row r="3033">
      <c r="A3033" s="145">
        <f>IF($B3033="","",ROW()-5)</f>
        <v/>
      </c>
      <c r="B3033" s="127" t="n"/>
      <c r="C3033" s="223" t="n"/>
      <c r="D3033" s="127" t="n"/>
      <c r="E3033" s="227" t="n"/>
      <c r="F3033" s="227" t="n"/>
      <c r="G3033" s="227" t="n"/>
      <c r="H3033" s="227" t="n"/>
      <c r="I3033" s="227" t="n"/>
      <c r="J3033" s="227" t="n"/>
      <c r="K3033" s="227" t="n"/>
      <c r="L3033" s="227" t="n"/>
      <c r="M3033" s="227" t="n"/>
      <c r="N3033" s="127" t="n"/>
      <c r="O3033" s="227" t="n"/>
      <c r="P3033" s="227" t="n"/>
      <c r="Q3033" s="227" t="n"/>
      <c r="R3033" s="227" t="n"/>
      <c r="S3033" s="227" t="n"/>
      <c r="T3033" s="227" t="n"/>
    </row>
    <row r="3034">
      <c r="A3034" s="145">
        <f>IF($B3034="","",ROW()-5)</f>
        <v/>
      </c>
      <c r="B3034" s="127" t="n"/>
      <c r="C3034" s="223" t="n"/>
      <c r="D3034" s="127" t="n"/>
      <c r="E3034" s="227" t="n"/>
      <c r="F3034" s="227" t="n"/>
      <c r="G3034" s="227" t="n"/>
      <c r="H3034" s="227" t="n"/>
      <c r="I3034" s="227" t="n"/>
      <c r="J3034" s="227" t="n"/>
      <c r="K3034" s="227" t="n"/>
      <c r="L3034" s="227" t="n"/>
      <c r="M3034" s="227" t="n"/>
      <c r="N3034" s="127" t="n"/>
      <c r="O3034" s="227" t="n"/>
      <c r="P3034" s="227" t="n"/>
      <c r="Q3034" s="227" t="n"/>
      <c r="R3034" s="227" t="n"/>
      <c r="S3034" s="227" t="n"/>
      <c r="T3034" s="227" t="n"/>
    </row>
    <row r="3035">
      <c r="A3035" s="145">
        <f>IF($B3035="","",ROW()-5)</f>
        <v/>
      </c>
      <c r="B3035" s="127" t="n"/>
      <c r="C3035" s="223" t="n"/>
      <c r="D3035" s="127" t="n"/>
      <c r="E3035" s="227" t="n"/>
      <c r="F3035" s="227" t="n"/>
      <c r="G3035" s="227" t="n"/>
      <c r="H3035" s="227" t="n"/>
      <c r="I3035" s="227" t="n"/>
      <c r="J3035" s="227" t="n"/>
      <c r="K3035" s="227" t="n"/>
      <c r="L3035" s="227" t="n"/>
      <c r="M3035" s="227" t="n"/>
      <c r="N3035" s="127" t="n"/>
      <c r="O3035" s="227" t="n"/>
      <c r="P3035" s="227" t="n"/>
      <c r="Q3035" s="227" t="n"/>
      <c r="R3035" s="227" t="n"/>
      <c r="S3035" s="227" t="n"/>
      <c r="T3035" s="227" t="n"/>
    </row>
    <row r="3036">
      <c r="A3036" s="145">
        <f>IF($B3036="","",ROW()-5)</f>
        <v/>
      </c>
      <c r="B3036" s="127" t="n"/>
      <c r="C3036" s="223" t="n"/>
      <c r="D3036" s="127" t="n"/>
      <c r="E3036" s="227" t="n"/>
      <c r="F3036" s="227" t="n"/>
      <c r="G3036" s="227" t="n"/>
      <c r="H3036" s="227" t="n"/>
      <c r="I3036" s="227" t="n"/>
      <c r="J3036" s="227" t="n"/>
      <c r="K3036" s="227" t="n"/>
      <c r="L3036" s="227" t="n"/>
      <c r="M3036" s="227" t="n"/>
      <c r="N3036" s="127" t="n"/>
      <c r="O3036" s="227" t="n"/>
      <c r="P3036" s="227" t="n"/>
      <c r="Q3036" s="227" t="n"/>
      <c r="R3036" s="227" t="n"/>
      <c r="S3036" s="227" t="n"/>
      <c r="T3036" s="227" t="n"/>
    </row>
    <row r="3037">
      <c r="A3037" s="145">
        <f>IF($B3037="","",ROW()-5)</f>
        <v/>
      </c>
      <c r="B3037" s="127" t="n"/>
      <c r="C3037" s="223" t="n"/>
      <c r="D3037" s="127" t="n"/>
      <c r="E3037" s="227" t="n"/>
      <c r="F3037" s="227" t="n"/>
      <c r="G3037" s="227" t="n"/>
      <c r="H3037" s="227" t="n"/>
      <c r="I3037" s="227" t="n"/>
      <c r="J3037" s="227" t="n"/>
      <c r="K3037" s="227" t="n"/>
      <c r="L3037" s="227" t="n"/>
      <c r="M3037" s="227" t="n"/>
      <c r="N3037" s="127" t="n"/>
      <c r="O3037" s="227" t="n"/>
      <c r="P3037" s="227" t="n"/>
      <c r="Q3037" s="227" t="n"/>
      <c r="R3037" s="227" t="n"/>
      <c r="S3037" s="227" t="n"/>
      <c r="T3037" s="227" t="n"/>
    </row>
    <row r="3038">
      <c r="A3038" s="145">
        <f>IF($B3038="","",ROW()-5)</f>
        <v/>
      </c>
      <c r="B3038" s="127" t="n"/>
      <c r="C3038" s="223" t="n"/>
      <c r="D3038" s="127" t="n"/>
      <c r="E3038" s="227" t="n"/>
      <c r="F3038" s="227" t="n"/>
      <c r="G3038" s="227" t="n"/>
      <c r="H3038" s="227" t="n"/>
      <c r="I3038" s="227" t="n"/>
      <c r="J3038" s="227" t="n"/>
      <c r="K3038" s="227" t="n"/>
      <c r="L3038" s="227" t="n"/>
      <c r="M3038" s="227" t="n"/>
      <c r="N3038" s="127" t="n"/>
      <c r="O3038" s="227" t="n"/>
      <c r="P3038" s="227" t="n"/>
      <c r="Q3038" s="227" t="n"/>
      <c r="R3038" s="227" t="n"/>
      <c r="S3038" s="227" t="n"/>
      <c r="T3038" s="227" t="n"/>
    </row>
    <row r="3039">
      <c r="A3039" s="145">
        <f>IF($B3039="","",ROW()-5)</f>
        <v/>
      </c>
      <c r="B3039" s="127" t="n"/>
      <c r="C3039" s="223" t="n"/>
      <c r="D3039" s="127" t="n"/>
      <c r="E3039" s="227" t="n"/>
      <c r="F3039" s="227" t="n"/>
      <c r="G3039" s="227" t="n"/>
      <c r="H3039" s="227" t="n"/>
      <c r="I3039" s="227" t="n"/>
      <c r="J3039" s="227" t="n"/>
      <c r="K3039" s="227" t="n"/>
      <c r="L3039" s="227" t="n"/>
      <c r="M3039" s="227" t="n"/>
      <c r="N3039" s="127" t="n"/>
      <c r="O3039" s="227" t="n"/>
      <c r="P3039" s="227" t="n"/>
      <c r="Q3039" s="227" t="n"/>
      <c r="R3039" s="227" t="n"/>
      <c r="S3039" s="227" t="n"/>
      <c r="T3039" s="227" t="n"/>
    </row>
    <row r="3040">
      <c r="A3040" s="145">
        <f>IF($B3040="","",ROW()-5)</f>
        <v/>
      </c>
      <c r="B3040" s="127" t="n"/>
      <c r="C3040" s="223" t="n"/>
      <c r="D3040" s="127" t="n"/>
      <c r="E3040" s="227" t="n"/>
      <c r="F3040" s="227" t="n"/>
      <c r="G3040" s="227" t="n"/>
      <c r="H3040" s="227" t="n"/>
      <c r="I3040" s="227" t="n"/>
      <c r="J3040" s="227" t="n"/>
      <c r="K3040" s="227" t="n"/>
      <c r="L3040" s="227" t="n"/>
      <c r="M3040" s="227" t="n"/>
      <c r="N3040" s="127" t="n"/>
      <c r="O3040" s="227" t="n"/>
      <c r="P3040" s="227" t="n"/>
      <c r="Q3040" s="227" t="n"/>
      <c r="R3040" s="227" t="n"/>
      <c r="S3040" s="227" t="n"/>
      <c r="T3040" s="227" t="n"/>
    </row>
    <row r="3041">
      <c r="A3041" s="145">
        <f>IF($B3041="","",ROW()-5)</f>
        <v/>
      </c>
      <c r="B3041" s="127" t="n"/>
      <c r="C3041" s="223" t="n"/>
      <c r="D3041" s="127" t="n"/>
      <c r="E3041" s="227" t="n"/>
      <c r="F3041" s="227" t="n"/>
      <c r="G3041" s="227" t="n"/>
      <c r="H3041" s="227" t="n"/>
      <c r="I3041" s="227" t="n"/>
      <c r="J3041" s="227" t="n"/>
      <c r="K3041" s="227" t="n"/>
      <c r="L3041" s="227" t="n"/>
      <c r="M3041" s="227" t="n"/>
      <c r="N3041" s="127" t="n"/>
      <c r="O3041" s="227" t="n"/>
      <c r="P3041" s="227" t="n"/>
      <c r="Q3041" s="227" t="n"/>
      <c r="R3041" s="227" t="n"/>
      <c r="S3041" s="227" t="n"/>
      <c r="T3041" s="227" t="n"/>
    </row>
    <row r="3042">
      <c r="A3042" s="145">
        <f>IF($B3042="","",ROW()-5)</f>
        <v/>
      </c>
      <c r="B3042" s="127" t="n"/>
      <c r="C3042" s="223" t="n"/>
      <c r="D3042" s="127" t="n"/>
      <c r="E3042" s="227" t="n"/>
      <c r="F3042" s="227" t="n"/>
      <c r="G3042" s="227" t="n"/>
      <c r="H3042" s="227" t="n"/>
      <c r="I3042" s="227" t="n"/>
      <c r="J3042" s="227" t="n"/>
      <c r="K3042" s="227" t="n"/>
      <c r="L3042" s="227" t="n"/>
      <c r="M3042" s="227" t="n"/>
      <c r="N3042" s="127" t="n"/>
      <c r="O3042" s="227" t="n"/>
      <c r="P3042" s="227" t="n"/>
      <c r="Q3042" s="227" t="n"/>
      <c r="R3042" s="227" t="n"/>
      <c r="S3042" s="227" t="n"/>
      <c r="T3042" s="227" t="n"/>
    </row>
    <row r="3043">
      <c r="A3043" s="145">
        <f>IF($B3043="","",ROW()-5)</f>
        <v/>
      </c>
      <c r="B3043" s="127" t="n"/>
      <c r="C3043" s="223" t="n"/>
      <c r="D3043" s="127" t="n"/>
      <c r="E3043" s="227" t="n"/>
      <c r="F3043" s="227" t="n"/>
      <c r="G3043" s="227" t="n"/>
      <c r="H3043" s="227" t="n"/>
      <c r="I3043" s="227" t="n"/>
      <c r="J3043" s="227" t="n"/>
      <c r="K3043" s="227" t="n"/>
      <c r="L3043" s="227" t="n"/>
      <c r="M3043" s="227" t="n"/>
      <c r="N3043" s="127" t="n"/>
      <c r="O3043" s="227" t="n"/>
      <c r="P3043" s="227" t="n"/>
      <c r="Q3043" s="227" t="n"/>
      <c r="R3043" s="227" t="n"/>
      <c r="S3043" s="227" t="n"/>
      <c r="T3043" s="227" t="n"/>
    </row>
    <row r="3044">
      <c r="A3044" s="145">
        <f>IF($B3044="","",ROW()-5)</f>
        <v/>
      </c>
      <c r="B3044" s="127" t="n"/>
      <c r="C3044" s="223" t="n"/>
      <c r="D3044" s="127" t="n"/>
      <c r="E3044" s="227" t="n"/>
      <c r="F3044" s="227" t="n"/>
      <c r="G3044" s="227" t="n"/>
      <c r="H3044" s="227" t="n"/>
      <c r="I3044" s="227" t="n"/>
      <c r="J3044" s="227" t="n"/>
      <c r="K3044" s="227" t="n"/>
      <c r="L3044" s="227" t="n"/>
      <c r="M3044" s="227" t="n"/>
      <c r="N3044" s="127" t="n"/>
      <c r="O3044" s="227" t="n"/>
      <c r="P3044" s="227" t="n"/>
      <c r="Q3044" s="227" t="n"/>
      <c r="R3044" s="227" t="n"/>
      <c r="S3044" s="227" t="n"/>
      <c r="T3044" s="227" t="n"/>
    </row>
    <row r="3045">
      <c r="A3045" s="145">
        <f>IF($B3045="","",ROW()-5)</f>
        <v/>
      </c>
      <c r="B3045" s="127" t="n"/>
      <c r="C3045" s="223" t="n"/>
      <c r="D3045" s="127" t="n"/>
      <c r="E3045" s="227" t="n"/>
      <c r="F3045" s="227" t="n"/>
      <c r="G3045" s="227" t="n"/>
      <c r="H3045" s="227" t="n"/>
      <c r="I3045" s="227" t="n"/>
      <c r="J3045" s="227" t="n"/>
      <c r="K3045" s="227" t="n"/>
      <c r="L3045" s="227" t="n"/>
      <c r="M3045" s="227" t="n"/>
      <c r="N3045" s="127" t="n"/>
      <c r="O3045" s="227" t="n"/>
      <c r="P3045" s="227" t="n"/>
      <c r="Q3045" s="227" t="n"/>
      <c r="R3045" s="227" t="n"/>
      <c r="S3045" s="227" t="n"/>
      <c r="T3045" s="227" t="n"/>
    </row>
    <row r="3046">
      <c r="A3046" s="145">
        <f>IF($B3046="","",ROW()-5)</f>
        <v/>
      </c>
      <c r="B3046" s="127" t="n"/>
      <c r="C3046" s="223" t="n"/>
      <c r="D3046" s="127" t="n"/>
      <c r="E3046" s="227" t="n"/>
      <c r="F3046" s="227" t="n"/>
      <c r="G3046" s="227" t="n"/>
      <c r="H3046" s="227" t="n"/>
      <c r="I3046" s="227" t="n"/>
      <c r="J3046" s="227" t="n"/>
      <c r="K3046" s="227" t="n"/>
      <c r="L3046" s="227" t="n"/>
      <c r="M3046" s="227" t="n"/>
      <c r="N3046" s="127" t="n"/>
      <c r="O3046" s="227" t="n"/>
      <c r="P3046" s="227" t="n"/>
      <c r="Q3046" s="227" t="n"/>
      <c r="R3046" s="227" t="n"/>
      <c r="S3046" s="227" t="n"/>
      <c r="T3046" s="227" t="n"/>
    </row>
    <row r="3047">
      <c r="A3047" s="145">
        <f>IF($B3047="","",ROW()-5)</f>
        <v/>
      </c>
      <c r="B3047" s="127" t="n"/>
      <c r="C3047" s="223" t="n"/>
      <c r="D3047" s="127" t="n"/>
      <c r="E3047" s="227" t="n"/>
      <c r="F3047" s="227" t="n"/>
      <c r="G3047" s="227" t="n"/>
      <c r="H3047" s="227" t="n"/>
      <c r="I3047" s="227" t="n"/>
      <c r="J3047" s="227" t="n"/>
      <c r="K3047" s="227" t="n"/>
      <c r="L3047" s="227" t="n"/>
      <c r="M3047" s="227" t="n"/>
      <c r="N3047" s="127" t="n"/>
      <c r="O3047" s="227" t="n"/>
      <c r="P3047" s="227" t="n"/>
      <c r="Q3047" s="227" t="n"/>
      <c r="R3047" s="227" t="n"/>
      <c r="S3047" s="227" t="n"/>
      <c r="T3047" s="227" t="n"/>
    </row>
    <row r="3048">
      <c r="A3048" s="145">
        <f>IF($B3048="","",ROW()-5)</f>
        <v/>
      </c>
      <c r="B3048" s="127" t="n"/>
      <c r="C3048" s="223" t="n"/>
      <c r="D3048" s="127" t="n"/>
      <c r="E3048" s="227" t="n"/>
      <c r="F3048" s="227" t="n"/>
      <c r="G3048" s="227" t="n"/>
      <c r="H3048" s="227" t="n"/>
      <c r="I3048" s="227" t="n"/>
      <c r="J3048" s="227" t="n"/>
      <c r="K3048" s="227" t="n"/>
      <c r="L3048" s="227" t="n"/>
      <c r="M3048" s="227" t="n"/>
      <c r="N3048" s="127" t="n"/>
      <c r="O3048" s="227" t="n"/>
      <c r="P3048" s="227" t="n"/>
      <c r="Q3048" s="227" t="n"/>
      <c r="R3048" s="227" t="n"/>
      <c r="S3048" s="227" t="n"/>
      <c r="T3048" s="227" t="n"/>
    </row>
    <row r="3049">
      <c r="A3049" s="145">
        <f>IF($B3049="","",ROW()-5)</f>
        <v/>
      </c>
      <c r="B3049" s="127" t="n"/>
      <c r="C3049" s="223" t="n"/>
      <c r="D3049" s="127" t="n"/>
      <c r="E3049" s="227" t="n"/>
      <c r="F3049" s="227" t="n"/>
      <c r="G3049" s="227" t="n"/>
      <c r="H3049" s="227" t="n"/>
      <c r="I3049" s="227" t="n"/>
      <c r="J3049" s="227" t="n"/>
      <c r="K3049" s="227" t="n"/>
      <c r="L3049" s="227" t="n"/>
      <c r="M3049" s="227" t="n"/>
      <c r="N3049" s="127" t="n"/>
      <c r="O3049" s="227" t="n"/>
      <c r="P3049" s="227" t="n"/>
      <c r="Q3049" s="227" t="n"/>
      <c r="R3049" s="227" t="n"/>
      <c r="S3049" s="227" t="n"/>
      <c r="T3049" s="227" t="n"/>
    </row>
    <row r="3050">
      <c r="A3050" s="145">
        <f>IF($B3050="","",ROW()-5)</f>
        <v/>
      </c>
      <c r="B3050" s="127" t="n"/>
      <c r="C3050" s="223" t="n"/>
      <c r="D3050" s="127" t="n"/>
      <c r="E3050" s="227" t="n"/>
      <c r="F3050" s="227" t="n"/>
      <c r="G3050" s="227" t="n"/>
      <c r="H3050" s="227" t="n"/>
      <c r="I3050" s="227" t="n"/>
      <c r="J3050" s="227" t="n"/>
      <c r="K3050" s="227" t="n"/>
      <c r="L3050" s="227" t="n"/>
      <c r="M3050" s="227" t="n"/>
      <c r="N3050" s="127" t="n"/>
      <c r="O3050" s="227" t="n"/>
      <c r="P3050" s="227" t="n"/>
      <c r="Q3050" s="227" t="n"/>
      <c r="R3050" s="227" t="n"/>
      <c r="S3050" s="227" t="n"/>
      <c r="T3050" s="227" t="n"/>
    </row>
    <row r="3051">
      <c r="A3051" s="145">
        <f>IF($B3051="","",ROW()-5)</f>
        <v/>
      </c>
      <c r="B3051" s="127" t="n"/>
      <c r="C3051" s="223" t="n"/>
      <c r="D3051" s="127" t="n"/>
      <c r="E3051" s="227" t="n"/>
      <c r="F3051" s="227" t="n"/>
      <c r="G3051" s="227" t="n"/>
      <c r="H3051" s="227" t="n"/>
      <c r="I3051" s="227" t="n"/>
      <c r="J3051" s="227" t="n"/>
      <c r="K3051" s="227" t="n"/>
      <c r="L3051" s="227" t="n"/>
      <c r="M3051" s="227" t="n"/>
      <c r="N3051" s="127" t="n"/>
      <c r="O3051" s="227" t="n"/>
      <c r="P3051" s="227" t="n"/>
      <c r="Q3051" s="227" t="n"/>
      <c r="R3051" s="227" t="n"/>
      <c r="S3051" s="227" t="n"/>
      <c r="T3051" s="227" t="n"/>
    </row>
    <row r="3052">
      <c r="A3052" s="145">
        <f>IF($B3052="","",ROW()-5)</f>
        <v/>
      </c>
      <c r="B3052" s="127" t="n"/>
      <c r="C3052" s="223" t="n"/>
      <c r="D3052" s="127" t="n"/>
      <c r="E3052" s="227" t="n"/>
      <c r="F3052" s="227" t="n"/>
      <c r="G3052" s="227" t="n"/>
      <c r="H3052" s="227" t="n"/>
      <c r="I3052" s="227" t="n"/>
      <c r="J3052" s="227" t="n"/>
      <c r="K3052" s="227" t="n"/>
      <c r="L3052" s="227" t="n"/>
      <c r="M3052" s="227" t="n"/>
      <c r="N3052" s="127" t="n"/>
      <c r="O3052" s="227" t="n"/>
      <c r="P3052" s="227" t="n"/>
      <c r="Q3052" s="227" t="n"/>
      <c r="R3052" s="227" t="n"/>
      <c r="S3052" s="227" t="n"/>
      <c r="T3052" s="227" t="n"/>
    </row>
    <row r="3053">
      <c r="A3053" s="145">
        <f>IF($B3053="","",ROW()-5)</f>
        <v/>
      </c>
      <c r="B3053" s="127" t="n"/>
      <c r="C3053" s="223" t="n"/>
      <c r="D3053" s="127" t="n"/>
      <c r="E3053" s="227" t="n"/>
      <c r="F3053" s="227" t="n"/>
      <c r="G3053" s="227" t="n"/>
      <c r="H3053" s="227" t="n"/>
      <c r="I3053" s="227" t="n"/>
      <c r="J3053" s="227" t="n"/>
      <c r="K3053" s="227" t="n"/>
      <c r="L3053" s="227" t="n"/>
      <c r="M3053" s="227" t="n"/>
      <c r="N3053" s="127" t="n"/>
      <c r="O3053" s="227" t="n"/>
      <c r="P3053" s="227" t="n"/>
      <c r="Q3053" s="227" t="n"/>
      <c r="R3053" s="227" t="n"/>
      <c r="S3053" s="227" t="n"/>
      <c r="T3053" s="227" t="n"/>
    </row>
    <row r="3054">
      <c r="A3054" s="145">
        <f>IF($B3054="","",ROW()-5)</f>
        <v/>
      </c>
      <c r="B3054" s="127" t="n"/>
      <c r="C3054" s="223" t="n"/>
      <c r="D3054" s="127" t="n"/>
      <c r="E3054" s="227" t="n"/>
      <c r="F3054" s="227" t="n"/>
      <c r="G3054" s="227" t="n"/>
      <c r="H3054" s="227" t="n"/>
      <c r="I3054" s="227" t="n"/>
      <c r="J3054" s="227" t="n"/>
      <c r="K3054" s="227" t="n"/>
      <c r="L3054" s="227" t="n"/>
      <c r="M3054" s="227" t="n"/>
      <c r="N3054" s="127" t="n"/>
      <c r="O3054" s="227" t="n"/>
      <c r="P3054" s="227" t="n"/>
      <c r="Q3054" s="227" t="n"/>
      <c r="R3054" s="227" t="n"/>
      <c r="S3054" s="227" t="n"/>
      <c r="T3054" s="227" t="n"/>
    </row>
    <row r="3055">
      <c r="A3055" s="145">
        <f>IF($B3055="","",ROW()-5)</f>
        <v/>
      </c>
      <c r="B3055" s="127" t="n"/>
      <c r="C3055" s="223" t="n"/>
      <c r="D3055" s="127" t="n"/>
      <c r="E3055" s="227" t="n"/>
      <c r="F3055" s="227" t="n"/>
      <c r="G3055" s="227" t="n"/>
      <c r="H3055" s="227" t="n"/>
      <c r="I3055" s="227" t="n"/>
      <c r="J3055" s="227" t="n"/>
      <c r="K3055" s="227" t="n"/>
      <c r="L3055" s="227" t="n"/>
      <c r="M3055" s="227" t="n"/>
      <c r="N3055" s="127" t="n"/>
      <c r="O3055" s="227" t="n"/>
      <c r="P3055" s="227" t="n"/>
      <c r="Q3055" s="227" t="n"/>
      <c r="R3055" s="227" t="n"/>
      <c r="S3055" s="227" t="n"/>
      <c r="T3055" s="227" t="n"/>
    </row>
    <row r="3056">
      <c r="A3056" s="145">
        <f>IF($B3056="","",ROW()-5)</f>
        <v/>
      </c>
      <c r="B3056" s="127" t="n"/>
      <c r="C3056" s="223" t="n"/>
      <c r="D3056" s="127" t="n"/>
      <c r="E3056" s="227" t="n"/>
      <c r="F3056" s="227" t="n"/>
      <c r="G3056" s="227" t="n"/>
      <c r="H3056" s="227" t="n"/>
      <c r="I3056" s="227" t="n"/>
      <c r="J3056" s="227" t="n"/>
      <c r="K3056" s="227" t="n"/>
      <c r="L3056" s="227" t="n"/>
      <c r="M3056" s="227" t="n"/>
      <c r="N3056" s="127" t="n"/>
      <c r="O3056" s="227" t="n"/>
      <c r="P3056" s="227" t="n"/>
      <c r="Q3056" s="227" t="n"/>
      <c r="R3056" s="227" t="n"/>
      <c r="S3056" s="227" t="n"/>
      <c r="T3056" s="227" t="n"/>
    </row>
    <row r="3057">
      <c r="A3057" s="145">
        <f>IF($B3057="","",ROW()-5)</f>
        <v/>
      </c>
      <c r="B3057" s="127" t="n"/>
      <c r="C3057" s="223" t="n"/>
      <c r="D3057" s="127" t="n"/>
      <c r="E3057" s="227" t="n"/>
      <c r="F3057" s="227" t="n"/>
      <c r="G3057" s="227" t="n"/>
      <c r="H3057" s="227" t="n"/>
      <c r="I3057" s="227" t="n"/>
      <c r="J3057" s="227" t="n"/>
      <c r="K3057" s="227" t="n"/>
      <c r="L3057" s="227" t="n"/>
      <c r="M3057" s="227" t="n"/>
      <c r="N3057" s="127" t="n"/>
      <c r="O3057" s="227" t="n"/>
      <c r="P3057" s="227" t="n"/>
      <c r="Q3057" s="227" t="n"/>
      <c r="R3057" s="227" t="n"/>
      <c r="S3057" s="227" t="n"/>
      <c r="T3057" s="227" t="n"/>
    </row>
    <row r="3058">
      <c r="A3058" s="145">
        <f>IF($B3058="","",ROW()-5)</f>
        <v/>
      </c>
      <c r="B3058" s="127" t="n"/>
      <c r="C3058" s="223" t="n"/>
      <c r="D3058" s="127" t="n"/>
      <c r="E3058" s="227" t="n"/>
      <c r="F3058" s="227" t="n"/>
      <c r="G3058" s="227" t="n"/>
      <c r="H3058" s="227" t="n"/>
      <c r="I3058" s="227" t="n"/>
      <c r="J3058" s="227" t="n"/>
      <c r="K3058" s="227" t="n"/>
      <c r="L3058" s="227" t="n"/>
      <c r="M3058" s="227" t="n"/>
      <c r="N3058" s="127" t="n"/>
      <c r="O3058" s="227" t="n"/>
      <c r="P3058" s="227" t="n"/>
      <c r="Q3058" s="227" t="n"/>
      <c r="R3058" s="227" t="n"/>
      <c r="S3058" s="227" t="n"/>
      <c r="T3058" s="227" t="n"/>
    </row>
    <row r="3059">
      <c r="A3059" s="145">
        <f>IF($B3059="","",ROW()-5)</f>
        <v/>
      </c>
      <c r="B3059" s="127" t="n"/>
      <c r="C3059" s="223" t="n"/>
      <c r="D3059" s="127" t="n"/>
      <c r="E3059" s="227" t="n"/>
      <c r="F3059" s="227" t="n"/>
      <c r="G3059" s="227" t="n"/>
      <c r="H3059" s="227" t="n"/>
      <c r="I3059" s="227" t="n"/>
      <c r="J3059" s="227" t="n"/>
      <c r="K3059" s="227" t="n"/>
      <c r="L3059" s="227" t="n"/>
      <c r="M3059" s="227" t="n"/>
      <c r="N3059" s="127" t="n"/>
      <c r="O3059" s="227" t="n"/>
      <c r="P3059" s="227" t="n"/>
      <c r="Q3059" s="227" t="n"/>
      <c r="R3059" s="227" t="n"/>
      <c r="S3059" s="227" t="n"/>
      <c r="T3059" s="227" t="n"/>
    </row>
    <row r="3060">
      <c r="A3060" s="145">
        <f>IF($B3060="","",ROW()-5)</f>
        <v/>
      </c>
      <c r="B3060" s="127" t="n"/>
      <c r="C3060" s="223" t="n"/>
      <c r="D3060" s="127" t="n"/>
      <c r="E3060" s="227" t="n"/>
      <c r="F3060" s="227" t="n"/>
      <c r="G3060" s="227" t="n"/>
      <c r="H3060" s="227" t="n"/>
      <c r="I3060" s="227" t="n"/>
      <c r="J3060" s="227" t="n"/>
      <c r="K3060" s="227" t="n"/>
      <c r="L3060" s="227" t="n"/>
      <c r="M3060" s="227" t="n"/>
      <c r="N3060" s="127" t="n"/>
      <c r="O3060" s="227" t="n"/>
      <c r="P3060" s="227" t="n"/>
      <c r="Q3060" s="227" t="n"/>
      <c r="R3060" s="227" t="n"/>
      <c r="S3060" s="227" t="n"/>
      <c r="T3060" s="227" t="n"/>
    </row>
    <row r="3061">
      <c r="A3061" s="145">
        <f>IF($B3061="","",ROW()-5)</f>
        <v/>
      </c>
      <c r="B3061" s="127" t="n"/>
      <c r="C3061" s="223" t="n"/>
      <c r="D3061" s="127" t="n"/>
      <c r="E3061" s="227" t="n"/>
      <c r="F3061" s="227" t="n"/>
      <c r="G3061" s="227" t="n"/>
      <c r="H3061" s="227" t="n"/>
      <c r="I3061" s="227" t="n"/>
      <c r="J3061" s="227" t="n"/>
      <c r="K3061" s="227" t="n"/>
      <c r="L3061" s="227" t="n"/>
      <c r="M3061" s="227" t="n"/>
      <c r="N3061" s="127" t="n"/>
      <c r="O3061" s="227" t="n"/>
      <c r="P3061" s="227" t="n"/>
      <c r="Q3061" s="227" t="n"/>
      <c r="R3061" s="227" t="n"/>
      <c r="S3061" s="227" t="n"/>
      <c r="T3061" s="227" t="n"/>
    </row>
    <row r="3062">
      <c r="A3062" s="145">
        <f>IF($B3062="","",ROW()-5)</f>
        <v/>
      </c>
      <c r="B3062" s="127" t="n"/>
      <c r="C3062" s="223" t="n"/>
      <c r="D3062" s="127" t="n"/>
      <c r="E3062" s="227" t="n"/>
      <c r="F3062" s="227" t="n"/>
      <c r="G3062" s="227" t="n"/>
      <c r="H3062" s="227" t="n"/>
      <c r="I3062" s="227" t="n"/>
      <c r="J3062" s="227" t="n"/>
      <c r="K3062" s="227" t="n"/>
      <c r="L3062" s="227" t="n"/>
      <c r="M3062" s="227" t="n"/>
      <c r="N3062" s="127" t="n"/>
      <c r="O3062" s="227" t="n"/>
      <c r="P3062" s="227" t="n"/>
      <c r="Q3062" s="227" t="n"/>
      <c r="R3062" s="227" t="n"/>
      <c r="S3062" s="227" t="n"/>
      <c r="T3062" s="227" t="n"/>
    </row>
    <row r="3063">
      <c r="A3063" s="145">
        <f>IF($B3063="","",ROW()-5)</f>
        <v/>
      </c>
      <c r="B3063" s="127" t="n"/>
      <c r="C3063" s="223" t="n"/>
      <c r="D3063" s="127" t="n"/>
      <c r="E3063" s="227" t="n"/>
      <c r="F3063" s="227" t="n"/>
      <c r="G3063" s="227" t="n"/>
      <c r="H3063" s="227" t="n"/>
      <c r="I3063" s="227" t="n"/>
      <c r="J3063" s="227" t="n"/>
      <c r="K3063" s="227" t="n"/>
      <c r="L3063" s="227" t="n"/>
      <c r="M3063" s="227" t="n"/>
      <c r="N3063" s="127" t="n"/>
      <c r="O3063" s="227" t="n"/>
      <c r="P3063" s="227" t="n"/>
      <c r="Q3063" s="227" t="n"/>
      <c r="R3063" s="227" t="n"/>
      <c r="S3063" s="227" t="n"/>
      <c r="T3063" s="227" t="n"/>
    </row>
    <row r="3064">
      <c r="A3064" s="145">
        <f>IF($B3064="","",ROW()-5)</f>
        <v/>
      </c>
      <c r="B3064" s="127" t="n"/>
      <c r="C3064" s="223" t="n"/>
      <c r="D3064" s="127" t="n"/>
      <c r="E3064" s="227" t="n"/>
      <c r="F3064" s="227" t="n"/>
      <c r="G3064" s="227" t="n"/>
      <c r="H3064" s="227" t="n"/>
      <c r="I3064" s="227" t="n"/>
      <c r="J3064" s="227" t="n"/>
      <c r="K3064" s="227" t="n"/>
      <c r="L3064" s="227" t="n"/>
      <c r="M3064" s="227" t="n"/>
      <c r="N3064" s="127" t="n"/>
      <c r="O3064" s="227" t="n"/>
      <c r="P3064" s="227" t="n"/>
      <c r="Q3064" s="227" t="n"/>
      <c r="R3064" s="227" t="n"/>
      <c r="S3064" s="227" t="n"/>
      <c r="T3064" s="227" t="n"/>
    </row>
    <row r="3065">
      <c r="A3065" s="145">
        <f>IF($B3065="","",ROW()-5)</f>
        <v/>
      </c>
      <c r="B3065" s="127" t="n"/>
      <c r="C3065" s="223" t="n"/>
      <c r="D3065" s="127" t="n"/>
      <c r="E3065" s="227" t="n"/>
      <c r="F3065" s="227" t="n"/>
      <c r="G3065" s="227" t="n"/>
      <c r="H3065" s="227" t="n"/>
      <c r="I3065" s="227" t="n"/>
      <c r="J3065" s="227" t="n"/>
      <c r="K3065" s="227" t="n"/>
      <c r="L3065" s="227" t="n"/>
      <c r="M3065" s="227" t="n"/>
      <c r="N3065" s="127" t="n"/>
      <c r="O3065" s="227" t="n"/>
      <c r="P3065" s="227" t="n"/>
      <c r="Q3065" s="227" t="n"/>
      <c r="R3065" s="227" t="n"/>
      <c r="S3065" s="227" t="n"/>
      <c r="T3065" s="227" t="n"/>
    </row>
    <row r="3066">
      <c r="A3066" s="145">
        <f>IF($B3066="","",ROW()-5)</f>
        <v/>
      </c>
      <c r="B3066" s="127" t="n"/>
      <c r="C3066" s="223" t="n"/>
      <c r="D3066" s="127" t="n"/>
      <c r="E3066" s="227" t="n"/>
      <c r="F3066" s="227" t="n"/>
      <c r="G3066" s="227" t="n"/>
      <c r="H3066" s="227" t="n"/>
      <c r="I3066" s="227" t="n"/>
      <c r="J3066" s="227" t="n"/>
      <c r="K3066" s="227" t="n"/>
      <c r="L3066" s="227" t="n"/>
      <c r="M3066" s="227" t="n"/>
      <c r="N3066" s="127" t="n"/>
      <c r="O3066" s="227" t="n"/>
      <c r="P3066" s="227" t="n"/>
      <c r="Q3066" s="227" t="n"/>
      <c r="R3066" s="227" t="n"/>
      <c r="S3066" s="227" t="n"/>
      <c r="T3066" s="227" t="n"/>
    </row>
    <row r="3067">
      <c r="A3067" s="145">
        <f>IF($B3067="","",ROW()-5)</f>
        <v/>
      </c>
      <c r="B3067" s="127" t="n"/>
      <c r="C3067" s="223" t="n"/>
      <c r="D3067" s="127" t="n"/>
      <c r="E3067" s="227" t="n"/>
      <c r="F3067" s="227" t="n"/>
      <c r="G3067" s="227" t="n"/>
      <c r="H3067" s="227" t="n"/>
      <c r="I3067" s="227" t="n"/>
      <c r="J3067" s="227" t="n"/>
      <c r="K3067" s="227" t="n"/>
      <c r="L3067" s="227" t="n"/>
      <c r="M3067" s="227" t="n"/>
      <c r="N3067" s="127" t="n"/>
      <c r="O3067" s="227" t="n"/>
      <c r="P3067" s="227" t="n"/>
      <c r="Q3067" s="227" t="n"/>
      <c r="R3067" s="227" t="n"/>
      <c r="S3067" s="227" t="n"/>
      <c r="T3067" s="227" t="n"/>
    </row>
    <row r="3068">
      <c r="A3068" s="145">
        <f>IF($B3068="","",ROW()-5)</f>
        <v/>
      </c>
      <c r="B3068" s="127" t="n"/>
      <c r="C3068" s="223" t="n"/>
      <c r="D3068" s="127" t="n"/>
      <c r="E3068" s="227" t="n"/>
      <c r="F3068" s="227" t="n"/>
      <c r="G3068" s="227" t="n"/>
      <c r="H3068" s="227" t="n"/>
      <c r="I3068" s="227" t="n"/>
      <c r="J3068" s="227" t="n"/>
      <c r="K3068" s="227" t="n"/>
      <c r="L3068" s="227" t="n"/>
      <c r="M3068" s="227" t="n"/>
      <c r="N3068" s="127" t="n"/>
      <c r="O3068" s="227" t="n"/>
      <c r="P3068" s="227" t="n"/>
      <c r="Q3068" s="227" t="n"/>
      <c r="R3068" s="227" t="n"/>
      <c r="S3068" s="227" t="n"/>
      <c r="T3068" s="227" t="n"/>
    </row>
    <row r="3069">
      <c r="A3069" s="145">
        <f>IF($B3069="","",ROW()-5)</f>
        <v/>
      </c>
      <c r="B3069" s="127" t="n"/>
      <c r="C3069" s="223" t="n"/>
      <c r="D3069" s="127" t="n"/>
      <c r="E3069" s="227" t="n"/>
      <c r="F3069" s="227" t="n"/>
      <c r="G3069" s="227" t="n"/>
      <c r="H3069" s="227" t="n"/>
      <c r="I3069" s="227" t="n"/>
      <c r="J3069" s="227" t="n"/>
      <c r="K3069" s="227" t="n"/>
      <c r="L3069" s="227" t="n"/>
      <c r="M3069" s="227" t="n"/>
      <c r="N3069" s="127" t="n"/>
      <c r="O3069" s="227" t="n"/>
      <c r="P3069" s="227" t="n"/>
      <c r="Q3069" s="227" t="n"/>
      <c r="R3069" s="227" t="n"/>
      <c r="S3069" s="227" t="n"/>
      <c r="T3069" s="227" t="n"/>
    </row>
    <row r="3070">
      <c r="A3070" s="145">
        <f>IF($B3070="","",ROW()-5)</f>
        <v/>
      </c>
      <c r="B3070" s="127" t="n"/>
      <c r="C3070" s="223" t="n"/>
      <c r="D3070" s="127" t="n"/>
      <c r="E3070" s="227" t="n"/>
      <c r="F3070" s="227" t="n"/>
      <c r="G3070" s="227" t="n"/>
      <c r="H3070" s="227" t="n"/>
      <c r="I3070" s="227" t="n"/>
      <c r="J3070" s="227" t="n"/>
      <c r="K3070" s="227" t="n"/>
      <c r="L3070" s="227" t="n"/>
      <c r="M3070" s="227" t="n"/>
      <c r="N3070" s="127" t="n"/>
      <c r="O3070" s="227" t="n"/>
      <c r="P3070" s="227" t="n"/>
      <c r="Q3070" s="227" t="n"/>
      <c r="R3070" s="227" t="n"/>
      <c r="S3070" s="227" t="n"/>
      <c r="T3070" s="227" t="n"/>
    </row>
    <row r="3071">
      <c r="A3071" s="145">
        <f>IF($B3071="","",ROW()-5)</f>
        <v/>
      </c>
      <c r="B3071" s="127" t="n"/>
      <c r="C3071" s="223" t="n"/>
      <c r="D3071" s="127" t="n"/>
      <c r="E3071" s="227" t="n"/>
      <c r="F3071" s="227" t="n"/>
      <c r="G3071" s="227" t="n"/>
      <c r="H3071" s="227" t="n"/>
      <c r="I3071" s="227" t="n"/>
      <c r="J3071" s="227" t="n"/>
      <c r="K3071" s="227" t="n"/>
      <c r="L3071" s="227" t="n"/>
      <c r="M3071" s="227" t="n"/>
      <c r="N3071" s="127" t="n"/>
      <c r="O3071" s="227" t="n"/>
      <c r="P3071" s="227" t="n"/>
      <c r="Q3071" s="227" t="n"/>
      <c r="R3071" s="227" t="n"/>
      <c r="S3071" s="227" t="n"/>
      <c r="T3071" s="227" t="n"/>
    </row>
    <row r="3072">
      <c r="A3072" s="145">
        <f>IF($B3072="","",ROW()-5)</f>
        <v/>
      </c>
      <c r="B3072" s="127" t="n"/>
      <c r="C3072" s="223" t="n"/>
      <c r="D3072" s="127" t="n"/>
      <c r="E3072" s="227" t="n"/>
      <c r="F3072" s="227" t="n"/>
      <c r="G3072" s="227" t="n"/>
      <c r="H3072" s="227" t="n"/>
      <c r="I3072" s="227" t="n"/>
      <c r="J3072" s="227" t="n"/>
      <c r="K3072" s="227" t="n"/>
      <c r="L3072" s="227" t="n"/>
      <c r="M3072" s="227" t="n"/>
      <c r="N3072" s="127" t="n"/>
      <c r="O3072" s="227" t="n"/>
      <c r="P3072" s="227" t="n"/>
      <c r="Q3072" s="227" t="n"/>
      <c r="R3072" s="227" t="n"/>
      <c r="S3072" s="227" t="n"/>
      <c r="T3072" s="227" t="n"/>
    </row>
    <row r="3073">
      <c r="A3073" s="145">
        <f>IF($B3073="","",ROW()-5)</f>
        <v/>
      </c>
      <c r="B3073" s="127" t="n"/>
      <c r="C3073" s="223" t="n"/>
      <c r="D3073" s="127" t="n"/>
      <c r="E3073" s="227" t="n"/>
      <c r="F3073" s="227" t="n"/>
      <c r="G3073" s="227" t="n"/>
      <c r="H3073" s="227" t="n"/>
      <c r="I3073" s="227" t="n"/>
      <c r="J3073" s="227" t="n"/>
      <c r="K3073" s="227" t="n"/>
      <c r="L3073" s="227" t="n"/>
      <c r="M3073" s="227" t="n"/>
      <c r="N3073" s="127" t="n"/>
      <c r="O3073" s="227" t="n"/>
      <c r="P3073" s="227" t="n"/>
      <c r="Q3073" s="227" t="n"/>
      <c r="R3073" s="227" t="n"/>
      <c r="S3073" s="227" t="n"/>
      <c r="T3073" s="227" t="n"/>
    </row>
    <row r="3074">
      <c r="A3074" s="145">
        <f>IF($B3074="","",ROW()-5)</f>
        <v/>
      </c>
      <c r="B3074" s="127" t="n"/>
      <c r="C3074" s="223" t="n"/>
      <c r="D3074" s="127" t="n"/>
      <c r="E3074" s="227" t="n"/>
      <c r="F3074" s="227" t="n"/>
      <c r="G3074" s="227" t="n"/>
      <c r="H3074" s="227" t="n"/>
      <c r="I3074" s="227" t="n"/>
      <c r="J3074" s="227" t="n"/>
      <c r="K3074" s="227" t="n"/>
      <c r="L3074" s="227" t="n"/>
      <c r="M3074" s="227" t="n"/>
      <c r="N3074" s="127" t="n"/>
      <c r="O3074" s="227" t="n"/>
      <c r="P3074" s="227" t="n"/>
      <c r="Q3074" s="227" t="n"/>
      <c r="R3074" s="227" t="n"/>
      <c r="S3074" s="227" t="n"/>
      <c r="T3074" s="227" t="n"/>
    </row>
    <row r="3075">
      <c r="A3075" s="145">
        <f>IF($B3075="","",ROW()-5)</f>
        <v/>
      </c>
      <c r="B3075" s="127" t="n"/>
      <c r="C3075" s="223" t="n"/>
      <c r="D3075" s="127" t="n"/>
      <c r="E3075" s="227" t="n"/>
      <c r="F3075" s="227" t="n"/>
      <c r="G3075" s="227" t="n"/>
      <c r="H3075" s="227" t="n"/>
      <c r="I3075" s="227" t="n"/>
      <c r="J3075" s="227" t="n"/>
      <c r="K3075" s="227" t="n"/>
      <c r="L3075" s="227" t="n"/>
      <c r="M3075" s="227" t="n"/>
      <c r="N3075" s="127" t="n"/>
      <c r="O3075" s="227" t="n"/>
      <c r="P3075" s="227" t="n"/>
      <c r="Q3075" s="227" t="n"/>
      <c r="R3075" s="227" t="n"/>
      <c r="S3075" s="227" t="n"/>
      <c r="T3075" s="227" t="n"/>
    </row>
    <row r="3076">
      <c r="A3076" s="145">
        <f>IF($B3076="","",ROW()-5)</f>
        <v/>
      </c>
      <c r="B3076" s="127" t="n"/>
      <c r="C3076" s="223" t="n"/>
      <c r="D3076" s="127" t="n"/>
      <c r="E3076" s="227" t="n"/>
      <c r="F3076" s="227" t="n"/>
      <c r="G3076" s="227" t="n"/>
      <c r="H3076" s="227" t="n"/>
      <c r="I3076" s="227" t="n"/>
      <c r="J3076" s="227" t="n"/>
      <c r="K3076" s="227" t="n"/>
      <c r="L3076" s="227" t="n"/>
      <c r="M3076" s="227" t="n"/>
      <c r="N3076" s="127" t="n"/>
      <c r="O3076" s="227" t="n"/>
      <c r="P3076" s="227" t="n"/>
      <c r="Q3076" s="227" t="n"/>
      <c r="R3076" s="227" t="n"/>
      <c r="S3076" s="227" t="n"/>
      <c r="T3076" s="227" t="n"/>
    </row>
    <row r="3077">
      <c r="A3077" s="145">
        <f>IF($B3077="","",ROW()-5)</f>
        <v/>
      </c>
      <c r="B3077" s="127" t="n"/>
      <c r="C3077" s="223" t="n"/>
      <c r="D3077" s="127" t="n"/>
      <c r="E3077" s="227" t="n"/>
      <c r="F3077" s="227" t="n"/>
      <c r="G3077" s="227" t="n"/>
      <c r="H3077" s="227" t="n"/>
      <c r="I3077" s="227" t="n"/>
      <c r="J3077" s="227" t="n"/>
      <c r="K3077" s="227" t="n"/>
      <c r="L3077" s="227" t="n"/>
      <c r="M3077" s="227" t="n"/>
      <c r="N3077" s="127" t="n"/>
      <c r="O3077" s="227" t="n"/>
      <c r="P3077" s="227" t="n"/>
      <c r="Q3077" s="227" t="n"/>
      <c r="R3077" s="227" t="n"/>
      <c r="S3077" s="227" t="n"/>
      <c r="T3077" s="227" t="n"/>
    </row>
    <row r="3078">
      <c r="A3078" s="145">
        <f>IF($B3078="","",ROW()-5)</f>
        <v/>
      </c>
      <c r="B3078" s="127" t="n"/>
      <c r="C3078" s="223" t="n"/>
      <c r="D3078" s="127" t="n"/>
      <c r="E3078" s="227" t="n"/>
      <c r="F3078" s="227" t="n"/>
      <c r="G3078" s="227" t="n"/>
      <c r="H3078" s="227" t="n"/>
      <c r="I3078" s="227" t="n"/>
      <c r="J3078" s="227" t="n"/>
      <c r="K3078" s="227" t="n"/>
      <c r="L3078" s="227" t="n"/>
      <c r="M3078" s="227" t="n"/>
      <c r="N3078" s="127" t="n"/>
      <c r="O3078" s="227" t="n"/>
      <c r="P3078" s="227" t="n"/>
      <c r="Q3078" s="227" t="n"/>
      <c r="R3078" s="227" t="n"/>
      <c r="S3078" s="227" t="n"/>
      <c r="T3078" s="227" t="n"/>
    </row>
    <row r="3079">
      <c r="A3079" s="145">
        <f>IF($B3079="","",ROW()-5)</f>
        <v/>
      </c>
      <c r="B3079" s="127" t="n"/>
      <c r="C3079" s="223" t="n"/>
      <c r="D3079" s="127" t="n"/>
      <c r="E3079" s="227" t="n"/>
      <c r="F3079" s="227" t="n"/>
      <c r="G3079" s="227" t="n"/>
      <c r="H3079" s="227" t="n"/>
      <c r="I3079" s="227" t="n"/>
      <c r="J3079" s="227" t="n"/>
      <c r="K3079" s="227" t="n"/>
      <c r="L3079" s="227" t="n"/>
      <c r="M3079" s="227" t="n"/>
      <c r="N3079" s="127" t="n"/>
      <c r="O3079" s="227" t="n"/>
      <c r="P3079" s="227" t="n"/>
      <c r="Q3079" s="227" t="n"/>
      <c r="R3079" s="227" t="n"/>
      <c r="S3079" s="227" t="n"/>
      <c r="T3079" s="227" t="n"/>
    </row>
    <row r="3080">
      <c r="A3080" s="145">
        <f>IF($B3080="","",ROW()-5)</f>
        <v/>
      </c>
      <c r="B3080" s="127" t="n"/>
      <c r="C3080" s="223" t="n"/>
      <c r="D3080" s="127" t="n"/>
      <c r="E3080" s="227" t="n"/>
      <c r="F3080" s="227" t="n"/>
      <c r="G3080" s="227" t="n"/>
      <c r="H3080" s="227" t="n"/>
      <c r="I3080" s="227" t="n"/>
      <c r="J3080" s="227" t="n"/>
      <c r="K3080" s="227" t="n"/>
      <c r="L3080" s="227" t="n"/>
      <c r="M3080" s="227" t="n"/>
      <c r="N3080" s="127" t="n"/>
      <c r="O3080" s="227" t="n"/>
      <c r="P3080" s="227" t="n"/>
      <c r="Q3080" s="227" t="n"/>
      <c r="R3080" s="227" t="n"/>
      <c r="S3080" s="227" t="n"/>
      <c r="T3080" s="227" t="n"/>
    </row>
    <row r="3081">
      <c r="A3081" s="145">
        <f>IF($B3081="","",ROW()-5)</f>
        <v/>
      </c>
      <c r="B3081" s="127" t="n"/>
      <c r="C3081" s="223" t="n"/>
      <c r="D3081" s="127" t="n"/>
      <c r="E3081" s="227" t="n"/>
      <c r="F3081" s="227" t="n"/>
      <c r="G3081" s="227" t="n"/>
      <c r="H3081" s="227" t="n"/>
      <c r="I3081" s="227" t="n"/>
      <c r="J3081" s="227" t="n"/>
      <c r="K3081" s="227" t="n"/>
      <c r="L3081" s="227" t="n"/>
      <c r="M3081" s="227" t="n"/>
      <c r="N3081" s="127" t="n"/>
      <c r="O3081" s="227" t="n"/>
      <c r="P3081" s="227" t="n"/>
      <c r="Q3081" s="227" t="n"/>
      <c r="R3081" s="227" t="n"/>
      <c r="S3081" s="227" t="n"/>
      <c r="T3081" s="227" t="n"/>
    </row>
    <row r="3082">
      <c r="A3082" s="145">
        <f>IF($B3082="","",ROW()-5)</f>
        <v/>
      </c>
      <c r="B3082" s="127" t="n"/>
      <c r="C3082" s="223" t="n"/>
      <c r="D3082" s="127" t="n"/>
      <c r="E3082" s="227" t="n"/>
      <c r="F3082" s="227" t="n"/>
      <c r="G3082" s="227" t="n"/>
      <c r="H3082" s="227" t="n"/>
      <c r="I3082" s="227" t="n"/>
      <c r="J3082" s="227" t="n"/>
      <c r="K3082" s="227" t="n"/>
      <c r="L3082" s="227" t="n"/>
      <c r="M3082" s="227" t="n"/>
      <c r="N3082" s="127" t="n"/>
      <c r="O3082" s="227" t="n"/>
      <c r="P3082" s="227" t="n"/>
      <c r="Q3082" s="227" t="n"/>
      <c r="R3082" s="227" t="n"/>
      <c r="S3082" s="227" t="n"/>
      <c r="T3082" s="227" t="n"/>
    </row>
    <row r="3083">
      <c r="A3083" s="145">
        <f>IF($B3083="","",ROW()-5)</f>
        <v/>
      </c>
      <c r="B3083" s="127" t="n"/>
      <c r="C3083" s="223" t="n"/>
      <c r="D3083" s="127" t="n"/>
      <c r="E3083" s="227" t="n"/>
      <c r="F3083" s="227" t="n"/>
      <c r="G3083" s="227" t="n"/>
      <c r="H3083" s="227" t="n"/>
      <c r="I3083" s="227" t="n"/>
      <c r="J3083" s="227" t="n"/>
      <c r="K3083" s="227" t="n"/>
      <c r="L3083" s="227" t="n"/>
      <c r="M3083" s="227" t="n"/>
      <c r="N3083" s="127" t="n"/>
      <c r="O3083" s="227" t="n"/>
      <c r="P3083" s="227" t="n"/>
      <c r="Q3083" s="227" t="n"/>
      <c r="R3083" s="227" t="n"/>
      <c r="S3083" s="227" t="n"/>
      <c r="T3083" s="227" t="n"/>
    </row>
    <row r="3084">
      <c r="A3084" s="145">
        <f>IF($B3084="","",ROW()-5)</f>
        <v/>
      </c>
      <c r="B3084" s="127" t="n"/>
      <c r="C3084" s="223" t="n"/>
      <c r="D3084" s="127" t="n"/>
      <c r="E3084" s="227" t="n"/>
      <c r="F3084" s="227" t="n"/>
      <c r="G3084" s="227" t="n"/>
      <c r="H3084" s="227" t="n"/>
      <c r="I3084" s="227" t="n"/>
      <c r="J3084" s="227" t="n"/>
      <c r="K3084" s="227" t="n"/>
      <c r="L3084" s="227" t="n"/>
      <c r="M3084" s="227" t="n"/>
      <c r="N3084" s="127" t="n"/>
      <c r="O3084" s="227" t="n"/>
      <c r="P3084" s="227" t="n"/>
      <c r="Q3084" s="227" t="n"/>
      <c r="R3084" s="227" t="n"/>
      <c r="S3084" s="227" t="n"/>
      <c r="T3084" s="227" t="n"/>
    </row>
    <row r="3085">
      <c r="A3085" s="145">
        <f>IF($B3085="","",ROW()-5)</f>
        <v/>
      </c>
      <c r="B3085" s="127" t="n"/>
      <c r="C3085" s="223" t="n"/>
      <c r="D3085" s="127" t="n"/>
      <c r="E3085" s="227" t="n"/>
      <c r="F3085" s="227" t="n"/>
      <c r="G3085" s="227" t="n"/>
      <c r="H3085" s="227" t="n"/>
      <c r="I3085" s="227" t="n"/>
      <c r="J3085" s="227" t="n"/>
      <c r="K3085" s="227" t="n"/>
      <c r="L3085" s="227" t="n"/>
      <c r="M3085" s="227" t="n"/>
      <c r="N3085" s="127" t="n"/>
      <c r="O3085" s="227" t="n"/>
      <c r="P3085" s="227" t="n"/>
      <c r="Q3085" s="227" t="n"/>
      <c r="R3085" s="227" t="n"/>
      <c r="S3085" s="227" t="n"/>
      <c r="T3085" s="227" t="n"/>
    </row>
    <row r="3086">
      <c r="A3086" s="145">
        <f>IF($B3086="","",ROW()-5)</f>
        <v/>
      </c>
      <c r="B3086" s="127" t="n"/>
      <c r="C3086" s="223" t="n"/>
      <c r="D3086" s="127" t="n"/>
      <c r="E3086" s="227" t="n"/>
      <c r="F3086" s="227" t="n"/>
      <c r="G3086" s="227" t="n"/>
      <c r="H3086" s="227" t="n"/>
      <c r="I3086" s="227" t="n"/>
      <c r="J3086" s="227" t="n"/>
      <c r="K3086" s="227" t="n"/>
      <c r="L3086" s="227" t="n"/>
      <c r="M3086" s="227" t="n"/>
      <c r="N3086" s="127" t="n"/>
      <c r="O3086" s="227" t="n"/>
      <c r="P3086" s="227" t="n"/>
      <c r="Q3086" s="227" t="n"/>
      <c r="R3086" s="227" t="n"/>
      <c r="S3086" s="227" t="n"/>
      <c r="T3086" s="227" t="n"/>
    </row>
    <row r="3087">
      <c r="A3087" s="145">
        <f>IF($B3087="","",ROW()-5)</f>
        <v/>
      </c>
      <c r="B3087" s="127" t="n"/>
      <c r="C3087" s="223" t="n"/>
      <c r="D3087" s="127" t="n"/>
      <c r="E3087" s="227" t="n"/>
      <c r="F3087" s="227" t="n"/>
      <c r="G3087" s="227" t="n"/>
      <c r="H3087" s="227" t="n"/>
      <c r="I3087" s="227" t="n"/>
      <c r="J3087" s="227" t="n"/>
      <c r="K3087" s="227" t="n"/>
      <c r="L3087" s="227" t="n"/>
      <c r="M3087" s="227" t="n"/>
      <c r="N3087" s="127" t="n"/>
      <c r="O3087" s="227" t="n"/>
      <c r="P3087" s="227" t="n"/>
      <c r="Q3087" s="227" t="n"/>
      <c r="R3087" s="227" t="n"/>
      <c r="S3087" s="227" t="n"/>
      <c r="T3087" s="227" t="n"/>
    </row>
    <row r="3088">
      <c r="A3088" s="145">
        <f>IF($B3088="","",ROW()-5)</f>
        <v/>
      </c>
      <c r="B3088" s="127" t="n"/>
      <c r="C3088" s="223" t="n"/>
      <c r="D3088" s="127" t="n"/>
      <c r="E3088" s="227" t="n"/>
      <c r="F3088" s="227" t="n"/>
      <c r="G3088" s="227" t="n"/>
      <c r="H3088" s="227" t="n"/>
      <c r="I3088" s="227" t="n"/>
      <c r="J3088" s="227" t="n"/>
      <c r="K3088" s="227" t="n"/>
      <c r="L3088" s="227" t="n"/>
      <c r="M3088" s="227" t="n"/>
      <c r="N3088" s="127" t="n"/>
      <c r="O3088" s="227" t="n"/>
      <c r="P3088" s="227" t="n"/>
      <c r="Q3088" s="227" t="n"/>
      <c r="R3088" s="227" t="n"/>
      <c r="S3088" s="227" t="n"/>
      <c r="T3088" s="227" t="n"/>
    </row>
    <row r="3089">
      <c r="A3089" s="145">
        <f>IF($B3089="","",ROW()-5)</f>
        <v/>
      </c>
      <c r="B3089" s="127" t="n"/>
      <c r="C3089" s="223" t="n"/>
      <c r="D3089" s="127" t="n"/>
      <c r="E3089" s="227" t="n"/>
      <c r="F3089" s="227" t="n"/>
      <c r="G3089" s="227" t="n"/>
      <c r="H3089" s="227" t="n"/>
      <c r="I3089" s="227" t="n"/>
      <c r="J3089" s="227" t="n"/>
      <c r="K3089" s="227" t="n"/>
      <c r="L3089" s="227" t="n"/>
      <c r="M3089" s="227" t="n"/>
      <c r="N3089" s="127" t="n"/>
      <c r="O3089" s="227" t="n"/>
      <c r="P3089" s="227" t="n"/>
      <c r="Q3089" s="227" t="n"/>
      <c r="R3089" s="227" t="n"/>
      <c r="S3089" s="227" t="n"/>
      <c r="T3089" s="227" t="n"/>
    </row>
    <row r="3090">
      <c r="A3090" s="145">
        <f>IF($B3090="","",ROW()-5)</f>
        <v/>
      </c>
      <c r="B3090" s="127" t="n"/>
      <c r="C3090" s="223" t="n"/>
      <c r="D3090" s="127" t="n"/>
      <c r="E3090" s="227" t="n"/>
      <c r="F3090" s="227" t="n"/>
      <c r="G3090" s="227" t="n"/>
      <c r="H3090" s="227" t="n"/>
      <c r="I3090" s="227" t="n"/>
      <c r="J3090" s="227" t="n"/>
      <c r="K3090" s="227" t="n"/>
      <c r="L3090" s="227" t="n"/>
      <c r="M3090" s="227" t="n"/>
      <c r="N3090" s="127" t="n"/>
      <c r="O3090" s="227" t="n"/>
      <c r="P3090" s="227" t="n"/>
      <c r="Q3090" s="227" t="n"/>
      <c r="R3090" s="227" t="n"/>
      <c r="S3090" s="227" t="n"/>
      <c r="T3090" s="227" t="n"/>
    </row>
    <row r="3091">
      <c r="A3091" s="145">
        <f>IF($B3091="","",ROW()-5)</f>
        <v/>
      </c>
      <c r="B3091" s="127" t="n"/>
      <c r="C3091" s="223" t="n"/>
      <c r="D3091" s="127" t="n"/>
      <c r="E3091" s="227" t="n"/>
      <c r="F3091" s="227" t="n"/>
      <c r="G3091" s="227" t="n"/>
      <c r="H3091" s="227" t="n"/>
      <c r="I3091" s="227" t="n"/>
      <c r="J3091" s="227" t="n"/>
      <c r="K3091" s="227" t="n"/>
      <c r="L3091" s="227" t="n"/>
      <c r="M3091" s="227" t="n"/>
      <c r="N3091" s="127" t="n"/>
      <c r="O3091" s="227" t="n"/>
      <c r="P3091" s="227" t="n"/>
      <c r="Q3091" s="227" t="n"/>
      <c r="R3091" s="227" t="n"/>
      <c r="S3091" s="227" t="n"/>
      <c r="T3091" s="227" t="n"/>
    </row>
    <row r="3092">
      <c r="A3092" s="145">
        <f>IF($B3092="","",ROW()-5)</f>
        <v/>
      </c>
      <c r="B3092" s="127" t="n"/>
      <c r="C3092" s="223" t="n"/>
      <c r="D3092" s="127" t="n"/>
      <c r="E3092" s="227" t="n"/>
      <c r="F3092" s="227" t="n"/>
      <c r="G3092" s="227" t="n"/>
      <c r="H3092" s="227" t="n"/>
      <c r="I3092" s="227" t="n"/>
      <c r="J3092" s="227" t="n"/>
      <c r="K3092" s="227" t="n"/>
      <c r="L3092" s="227" t="n"/>
      <c r="M3092" s="227" t="n"/>
      <c r="N3092" s="127" t="n"/>
      <c r="O3092" s="227" t="n"/>
      <c r="P3092" s="227" t="n"/>
      <c r="Q3092" s="227" t="n"/>
      <c r="R3092" s="227" t="n"/>
      <c r="S3092" s="227" t="n"/>
      <c r="T3092" s="227" t="n"/>
    </row>
    <row r="3093">
      <c r="A3093" s="145">
        <f>IF($B3093="","",ROW()-5)</f>
        <v/>
      </c>
      <c r="B3093" s="127" t="n"/>
      <c r="C3093" s="223" t="n"/>
      <c r="D3093" s="127" t="n"/>
      <c r="E3093" s="227" t="n"/>
      <c r="F3093" s="227" t="n"/>
      <c r="G3093" s="227" t="n"/>
      <c r="H3093" s="227" t="n"/>
      <c r="I3093" s="227" t="n"/>
      <c r="J3093" s="227" t="n"/>
      <c r="K3093" s="227" t="n"/>
      <c r="L3093" s="227" t="n"/>
      <c r="M3093" s="227" t="n"/>
      <c r="N3093" s="127" t="n"/>
      <c r="O3093" s="227" t="n"/>
      <c r="P3093" s="227" t="n"/>
      <c r="Q3093" s="227" t="n"/>
      <c r="R3093" s="227" t="n"/>
      <c r="S3093" s="227" t="n"/>
      <c r="T3093" s="227" t="n"/>
    </row>
    <row r="3094">
      <c r="A3094" s="145">
        <f>IF($B3094="","",ROW()-5)</f>
        <v/>
      </c>
      <c r="B3094" s="127" t="n"/>
      <c r="C3094" s="223" t="n"/>
      <c r="D3094" s="127" t="n"/>
      <c r="E3094" s="227" t="n"/>
      <c r="F3094" s="227" t="n"/>
      <c r="G3094" s="227" t="n"/>
      <c r="H3094" s="227" t="n"/>
      <c r="I3094" s="227" t="n"/>
      <c r="J3094" s="227" t="n"/>
      <c r="K3094" s="227" t="n"/>
      <c r="L3094" s="227" t="n"/>
      <c r="M3094" s="227" t="n"/>
      <c r="N3094" s="127" t="n"/>
      <c r="O3094" s="227" t="n"/>
      <c r="P3094" s="227" t="n"/>
      <c r="Q3094" s="227" t="n"/>
      <c r="R3094" s="227" t="n"/>
      <c r="S3094" s="227" t="n"/>
      <c r="T3094" s="227" t="n"/>
    </row>
    <row r="3095">
      <c r="A3095" s="145">
        <f>IF($B3095="","",ROW()-5)</f>
        <v/>
      </c>
      <c r="B3095" s="127" t="n"/>
      <c r="C3095" s="223" t="n"/>
      <c r="D3095" s="127" t="n"/>
      <c r="E3095" s="227" t="n"/>
      <c r="F3095" s="227" t="n"/>
      <c r="G3095" s="227" t="n"/>
      <c r="H3095" s="227" t="n"/>
      <c r="I3095" s="227" t="n"/>
      <c r="J3095" s="227" t="n"/>
      <c r="K3095" s="227" t="n"/>
      <c r="L3095" s="227" t="n"/>
      <c r="M3095" s="227" t="n"/>
      <c r="N3095" s="127" t="n"/>
      <c r="O3095" s="227" t="n"/>
      <c r="P3095" s="227" t="n"/>
      <c r="Q3095" s="227" t="n"/>
      <c r="R3095" s="227" t="n"/>
      <c r="S3095" s="227" t="n"/>
      <c r="T3095" s="227" t="n"/>
    </row>
    <row r="3096">
      <c r="A3096" s="145">
        <f>IF($B3096="","",ROW()-5)</f>
        <v/>
      </c>
      <c r="B3096" s="127" t="n"/>
      <c r="C3096" s="223" t="n"/>
      <c r="D3096" s="127" t="n"/>
      <c r="E3096" s="227" t="n"/>
      <c r="F3096" s="227" t="n"/>
      <c r="G3096" s="227" t="n"/>
      <c r="H3096" s="227" t="n"/>
      <c r="I3096" s="227" t="n"/>
      <c r="J3096" s="227" t="n"/>
      <c r="K3096" s="227" t="n"/>
      <c r="L3096" s="227" t="n"/>
      <c r="M3096" s="227" t="n"/>
      <c r="N3096" s="127" t="n"/>
      <c r="O3096" s="227" t="n"/>
      <c r="P3096" s="227" t="n"/>
      <c r="Q3096" s="227" t="n"/>
      <c r="R3096" s="227" t="n"/>
      <c r="S3096" s="227" t="n"/>
      <c r="T3096" s="227" t="n"/>
    </row>
    <row r="3097">
      <c r="A3097" s="145">
        <f>IF($B3097="","",ROW()-5)</f>
        <v/>
      </c>
      <c r="B3097" s="127" t="n"/>
      <c r="C3097" s="223" t="n"/>
      <c r="D3097" s="127" t="n"/>
      <c r="E3097" s="227" t="n"/>
      <c r="F3097" s="227" t="n"/>
      <c r="G3097" s="227" t="n"/>
      <c r="H3097" s="227" t="n"/>
      <c r="I3097" s="227" t="n"/>
      <c r="J3097" s="227" t="n"/>
      <c r="K3097" s="227" t="n"/>
      <c r="L3097" s="227" t="n"/>
      <c r="M3097" s="227" t="n"/>
      <c r="N3097" s="127" t="n"/>
      <c r="O3097" s="227" t="n"/>
      <c r="P3097" s="227" t="n"/>
      <c r="Q3097" s="227" t="n"/>
      <c r="R3097" s="227" t="n"/>
      <c r="S3097" s="227" t="n"/>
      <c r="T3097" s="227" t="n"/>
    </row>
    <row r="3098">
      <c r="A3098" s="145">
        <f>IF($B3098="","",ROW()-5)</f>
        <v/>
      </c>
      <c r="B3098" s="127" t="n"/>
      <c r="C3098" s="223" t="n"/>
      <c r="D3098" s="127" t="n"/>
      <c r="E3098" s="227" t="n"/>
      <c r="F3098" s="227" t="n"/>
      <c r="G3098" s="227" t="n"/>
      <c r="H3098" s="227" t="n"/>
      <c r="I3098" s="227" t="n"/>
      <c r="J3098" s="227" t="n"/>
      <c r="K3098" s="227" t="n"/>
      <c r="L3098" s="227" t="n"/>
      <c r="M3098" s="227" t="n"/>
      <c r="N3098" s="127" t="n"/>
      <c r="O3098" s="227" t="n"/>
      <c r="P3098" s="227" t="n"/>
      <c r="Q3098" s="227" t="n"/>
      <c r="R3098" s="227" t="n"/>
      <c r="S3098" s="227" t="n"/>
      <c r="T3098" s="227" t="n"/>
    </row>
    <row r="3099">
      <c r="A3099" s="145">
        <f>IF($B3099="","",ROW()-5)</f>
        <v/>
      </c>
      <c r="B3099" s="127" t="n"/>
      <c r="C3099" s="223" t="n"/>
      <c r="D3099" s="127" t="n"/>
      <c r="E3099" s="227" t="n"/>
      <c r="F3099" s="227" t="n"/>
      <c r="G3099" s="227" t="n"/>
      <c r="H3099" s="227" t="n"/>
      <c r="I3099" s="227" t="n"/>
      <c r="J3099" s="227" t="n"/>
      <c r="K3099" s="227" t="n"/>
      <c r="L3099" s="227" t="n"/>
      <c r="M3099" s="227" t="n"/>
      <c r="N3099" s="127" t="n"/>
      <c r="O3099" s="227" t="n"/>
      <c r="P3099" s="227" t="n"/>
      <c r="Q3099" s="227" t="n"/>
      <c r="R3099" s="227" t="n"/>
      <c r="S3099" s="227" t="n"/>
      <c r="T3099" s="227" t="n"/>
    </row>
    <row r="3100">
      <c r="A3100" s="145">
        <f>IF($B3100="","",ROW()-5)</f>
        <v/>
      </c>
      <c r="B3100" s="127" t="n"/>
      <c r="C3100" s="223" t="n"/>
      <c r="D3100" s="127" t="n"/>
      <c r="E3100" s="227" t="n"/>
      <c r="F3100" s="227" t="n"/>
      <c r="G3100" s="227" t="n"/>
      <c r="H3100" s="227" t="n"/>
      <c r="I3100" s="227" t="n"/>
      <c r="J3100" s="227" t="n"/>
      <c r="K3100" s="227" t="n"/>
      <c r="L3100" s="227" t="n"/>
      <c r="M3100" s="227" t="n"/>
      <c r="N3100" s="127" t="n"/>
      <c r="O3100" s="227" t="n"/>
      <c r="P3100" s="227" t="n"/>
      <c r="Q3100" s="227" t="n"/>
      <c r="R3100" s="227" t="n"/>
      <c r="S3100" s="227" t="n"/>
      <c r="T3100" s="227" t="n"/>
    </row>
    <row r="3101">
      <c r="A3101" s="145">
        <f>IF($B3101="","",ROW()-5)</f>
        <v/>
      </c>
      <c r="B3101" s="127" t="n"/>
      <c r="C3101" s="223" t="n"/>
      <c r="D3101" s="127" t="n"/>
      <c r="E3101" s="227" t="n"/>
      <c r="F3101" s="227" t="n"/>
      <c r="G3101" s="227" t="n"/>
      <c r="H3101" s="227" t="n"/>
      <c r="I3101" s="227" t="n"/>
      <c r="J3101" s="227" t="n"/>
      <c r="K3101" s="227" t="n"/>
      <c r="L3101" s="227" t="n"/>
      <c r="M3101" s="227" t="n"/>
      <c r="N3101" s="127" t="n"/>
      <c r="O3101" s="227" t="n"/>
      <c r="P3101" s="227" t="n"/>
      <c r="Q3101" s="227" t="n"/>
      <c r="R3101" s="227" t="n"/>
      <c r="S3101" s="227" t="n"/>
      <c r="T3101" s="227" t="n"/>
    </row>
    <row r="3102">
      <c r="A3102" s="145">
        <f>IF($B3102="","",ROW()-5)</f>
        <v/>
      </c>
      <c r="B3102" s="127" t="n"/>
      <c r="C3102" s="223" t="n"/>
      <c r="D3102" s="127" t="n"/>
      <c r="E3102" s="227" t="n"/>
      <c r="F3102" s="227" t="n"/>
      <c r="G3102" s="227" t="n"/>
      <c r="H3102" s="227" t="n"/>
      <c r="I3102" s="227" t="n"/>
      <c r="J3102" s="227" t="n"/>
      <c r="K3102" s="227" t="n"/>
      <c r="L3102" s="227" t="n"/>
      <c r="M3102" s="227" t="n"/>
      <c r="N3102" s="127" t="n"/>
      <c r="O3102" s="227" t="n"/>
      <c r="P3102" s="227" t="n"/>
      <c r="Q3102" s="227" t="n"/>
      <c r="R3102" s="227" t="n"/>
      <c r="S3102" s="227" t="n"/>
      <c r="T3102" s="227" t="n"/>
    </row>
    <row r="3103">
      <c r="A3103" s="145">
        <f>IF($B3103="","",ROW()-5)</f>
        <v/>
      </c>
      <c r="B3103" s="127" t="n"/>
      <c r="C3103" s="223" t="n"/>
      <c r="D3103" s="127" t="n"/>
      <c r="E3103" s="227" t="n"/>
      <c r="F3103" s="227" t="n"/>
      <c r="G3103" s="227" t="n"/>
      <c r="H3103" s="227" t="n"/>
      <c r="I3103" s="227" t="n"/>
      <c r="J3103" s="227" t="n"/>
      <c r="K3103" s="227" t="n"/>
      <c r="L3103" s="227" t="n"/>
      <c r="M3103" s="227" t="n"/>
      <c r="N3103" s="127" t="n"/>
      <c r="O3103" s="227" t="n"/>
      <c r="P3103" s="227" t="n"/>
      <c r="Q3103" s="227" t="n"/>
      <c r="R3103" s="227" t="n"/>
      <c r="S3103" s="227" t="n"/>
      <c r="T3103" s="227" t="n"/>
    </row>
    <row r="3104">
      <c r="A3104" s="145">
        <f>IF($B3104="","",ROW()-5)</f>
        <v/>
      </c>
      <c r="B3104" s="127" t="n"/>
      <c r="C3104" s="223" t="n"/>
      <c r="D3104" s="127" t="n"/>
      <c r="E3104" s="227" t="n"/>
      <c r="F3104" s="227" t="n"/>
      <c r="G3104" s="227" t="n"/>
      <c r="H3104" s="227" t="n"/>
      <c r="I3104" s="227" t="n"/>
      <c r="J3104" s="227" t="n"/>
      <c r="K3104" s="227" t="n"/>
      <c r="L3104" s="227" t="n"/>
      <c r="M3104" s="227" t="n"/>
      <c r="N3104" s="127" t="n"/>
      <c r="O3104" s="227" t="n"/>
      <c r="P3104" s="227" t="n"/>
      <c r="Q3104" s="227" t="n"/>
      <c r="R3104" s="227" t="n"/>
      <c r="S3104" s="227" t="n"/>
      <c r="T3104" s="227" t="n"/>
    </row>
    <row r="3105">
      <c r="A3105" s="145">
        <f>IF($B3105="","",ROW()-5)</f>
        <v/>
      </c>
      <c r="B3105" s="127" t="n"/>
      <c r="C3105" s="223" t="n"/>
      <c r="D3105" s="127" t="n"/>
      <c r="E3105" s="227" t="n"/>
      <c r="F3105" s="227" t="n"/>
      <c r="G3105" s="227" t="n"/>
      <c r="H3105" s="227" t="n"/>
      <c r="I3105" s="227" t="n"/>
      <c r="J3105" s="227" t="n"/>
      <c r="K3105" s="227" t="n"/>
      <c r="L3105" s="227" t="n"/>
      <c r="M3105" s="227" t="n"/>
      <c r="N3105" s="127" t="n"/>
      <c r="O3105" s="227" t="n"/>
      <c r="P3105" s="227" t="n"/>
      <c r="Q3105" s="227" t="n"/>
      <c r="R3105" s="227" t="n"/>
      <c r="S3105" s="227" t="n"/>
      <c r="T3105" s="227" t="n"/>
    </row>
    <row r="3106">
      <c r="A3106" s="145">
        <f>IF($B3106="","",ROW()-5)</f>
        <v/>
      </c>
      <c r="B3106" s="127" t="n"/>
      <c r="C3106" s="223" t="n"/>
      <c r="D3106" s="127" t="n"/>
      <c r="E3106" s="227" t="n"/>
      <c r="F3106" s="227" t="n"/>
      <c r="G3106" s="227" t="n"/>
      <c r="H3106" s="227" t="n"/>
      <c r="I3106" s="227" t="n"/>
      <c r="J3106" s="227" t="n"/>
      <c r="K3106" s="227" t="n"/>
      <c r="L3106" s="227" t="n"/>
      <c r="M3106" s="227" t="n"/>
      <c r="N3106" s="127" t="n"/>
      <c r="O3106" s="227" t="n"/>
      <c r="P3106" s="227" t="n"/>
      <c r="Q3106" s="227" t="n"/>
      <c r="R3106" s="227" t="n"/>
      <c r="S3106" s="227" t="n"/>
      <c r="T3106" s="227" t="n"/>
    </row>
    <row r="3107">
      <c r="A3107" s="145">
        <f>IF($B3107="","",ROW()-5)</f>
        <v/>
      </c>
      <c r="B3107" s="127" t="n"/>
      <c r="C3107" s="223" t="n"/>
      <c r="D3107" s="127" t="n"/>
      <c r="E3107" s="227" t="n"/>
      <c r="F3107" s="227" t="n"/>
      <c r="G3107" s="227" t="n"/>
      <c r="H3107" s="227" t="n"/>
      <c r="I3107" s="227" t="n"/>
      <c r="J3107" s="227" t="n"/>
      <c r="K3107" s="227" t="n"/>
      <c r="L3107" s="227" t="n"/>
      <c r="M3107" s="227" t="n"/>
      <c r="N3107" s="127" t="n"/>
      <c r="O3107" s="227" t="n"/>
      <c r="P3107" s="227" t="n"/>
      <c r="Q3107" s="227" t="n"/>
      <c r="R3107" s="227" t="n"/>
      <c r="S3107" s="227" t="n"/>
      <c r="T3107" s="227" t="n"/>
    </row>
    <row r="3108">
      <c r="A3108" s="145">
        <f>IF($B3108="","",ROW()-5)</f>
        <v/>
      </c>
      <c r="B3108" s="127" t="n"/>
      <c r="C3108" s="223" t="n"/>
      <c r="D3108" s="127" t="n"/>
      <c r="E3108" s="227" t="n"/>
      <c r="F3108" s="227" t="n"/>
      <c r="G3108" s="227" t="n"/>
      <c r="H3108" s="227" t="n"/>
      <c r="I3108" s="227" t="n"/>
      <c r="J3108" s="227" t="n"/>
      <c r="K3108" s="227" t="n"/>
      <c r="L3108" s="227" t="n"/>
      <c r="M3108" s="227" t="n"/>
      <c r="N3108" s="127" t="n"/>
      <c r="O3108" s="227" t="n"/>
      <c r="P3108" s="227" t="n"/>
      <c r="Q3108" s="227" t="n"/>
      <c r="R3108" s="227" t="n"/>
      <c r="S3108" s="227" t="n"/>
      <c r="T3108" s="227" t="n"/>
    </row>
    <row r="3109">
      <c r="A3109" s="145">
        <f>IF($B3109="","",ROW()-5)</f>
        <v/>
      </c>
      <c r="B3109" s="127" t="n"/>
      <c r="C3109" s="223" t="n"/>
      <c r="D3109" s="127" t="n"/>
      <c r="E3109" s="227" t="n"/>
      <c r="F3109" s="227" t="n"/>
      <c r="G3109" s="227" t="n"/>
      <c r="H3109" s="227" t="n"/>
      <c r="I3109" s="227" t="n"/>
      <c r="J3109" s="227" t="n"/>
      <c r="K3109" s="227" t="n"/>
      <c r="L3109" s="227" t="n"/>
      <c r="M3109" s="227" t="n"/>
      <c r="N3109" s="127" t="n"/>
      <c r="O3109" s="227" t="n"/>
      <c r="P3109" s="227" t="n"/>
      <c r="Q3109" s="227" t="n"/>
      <c r="R3109" s="227" t="n"/>
      <c r="S3109" s="227" t="n"/>
      <c r="T3109" s="227" t="n"/>
    </row>
    <row r="3110">
      <c r="A3110" s="145">
        <f>IF($B3110="","",ROW()-5)</f>
        <v/>
      </c>
      <c r="B3110" s="127" t="n"/>
      <c r="C3110" s="223" t="n"/>
      <c r="D3110" s="127" t="n"/>
      <c r="E3110" s="227" t="n"/>
      <c r="F3110" s="227" t="n"/>
      <c r="G3110" s="227" t="n"/>
      <c r="H3110" s="227" t="n"/>
      <c r="I3110" s="227" t="n"/>
      <c r="J3110" s="227" t="n"/>
      <c r="K3110" s="227" t="n"/>
      <c r="L3110" s="227" t="n"/>
      <c r="M3110" s="227" t="n"/>
      <c r="N3110" s="127" t="n"/>
      <c r="O3110" s="227" t="n"/>
      <c r="P3110" s="227" t="n"/>
      <c r="Q3110" s="227" t="n"/>
      <c r="R3110" s="227" t="n"/>
      <c r="S3110" s="227" t="n"/>
      <c r="T3110" s="227" t="n"/>
    </row>
    <row r="3111">
      <c r="A3111" s="145">
        <f>IF($B3111="","",ROW()-5)</f>
        <v/>
      </c>
      <c r="B3111" s="127" t="n"/>
      <c r="C3111" s="223" t="n"/>
      <c r="D3111" s="127" t="n"/>
      <c r="E3111" s="227" t="n"/>
      <c r="F3111" s="227" t="n"/>
      <c r="G3111" s="227" t="n"/>
      <c r="H3111" s="227" t="n"/>
      <c r="I3111" s="227" t="n"/>
      <c r="J3111" s="227" t="n"/>
      <c r="K3111" s="227" t="n"/>
      <c r="L3111" s="227" t="n"/>
      <c r="M3111" s="227" t="n"/>
      <c r="N3111" s="127" t="n"/>
      <c r="O3111" s="227" t="n"/>
      <c r="P3111" s="227" t="n"/>
      <c r="Q3111" s="227" t="n"/>
      <c r="R3111" s="227" t="n"/>
      <c r="S3111" s="227" t="n"/>
      <c r="T3111" s="227" t="n"/>
    </row>
    <row r="3112">
      <c r="A3112" s="145">
        <f>IF($B3112="","",ROW()-5)</f>
        <v/>
      </c>
      <c r="B3112" s="127" t="n"/>
      <c r="C3112" s="223" t="n"/>
      <c r="D3112" s="127" t="n"/>
      <c r="E3112" s="227" t="n"/>
      <c r="F3112" s="227" t="n"/>
      <c r="G3112" s="227" t="n"/>
      <c r="H3112" s="227" t="n"/>
      <c r="I3112" s="227" t="n"/>
      <c r="J3112" s="227" t="n"/>
      <c r="K3112" s="227" t="n"/>
      <c r="L3112" s="227" t="n"/>
      <c r="M3112" s="227" t="n"/>
      <c r="N3112" s="127" t="n"/>
      <c r="O3112" s="227" t="n"/>
      <c r="P3112" s="227" t="n"/>
      <c r="Q3112" s="227" t="n"/>
      <c r="R3112" s="227" t="n"/>
      <c r="S3112" s="227" t="n"/>
      <c r="T3112" s="227" t="n"/>
    </row>
    <row r="3113">
      <c r="A3113" s="145">
        <f>IF($B3113="","",ROW()-5)</f>
        <v/>
      </c>
      <c r="B3113" s="127" t="n"/>
      <c r="C3113" s="223" t="n"/>
      <c r="D3113" s="127" t="n"/>
      <c r="E3113" s="227" t="n"/>
      <c r="F3113" s="227" t="n"/>
      <c r="G3113" s="227" t="n"/>
      <c r="H3113" s="227" t="n"/>
      <c r="I3113" s="227" t="n"/>
      <c r="J3113" s="227" t="n"/>
      <c r="K3113" s="227" t="n"/>
      <c r="L3113" s="227" t="n"/>
      <c r="M3113" s="227" t="n"/>
      <c r="N3113" s="127" t="n"/>
      <c r="O3113" s="227" t="n"/>
      <c r="P3113" s="227" t="n"/>
      <c r="Q3113" s="227" t="n"/>
      <c r="R3113" s="227" t="n"/>
      <c r="S3113" s="227" t="n"/>
      <c r="T3113" s="227" t="n"/>
    </row>
    <row r="3114">
      <c r="A3114" s="145">
        <f>IF($B3114="","",ROW()-5)</f>
        <v/>
      </c>
      <c r="B3114" s="127" t="n"/>
      <c r="C3114" s="223" t="n"/>
      <c r="D3114" s="127" t="n"/>
      <c r="E3114" s="227" t="n"/>
      <c r="F3114" s="227" t="n"/>
      <c r="G3114" s="227" t="n"/>
      <c r="H3114" s="227" t="n"/>
      <c r="I3114" s="227" t="n"/>
      <c r="J3114" s="227" t="n"/>
      <c r="K3114" s="227" t="n"/>
      <c r="L3114" s="227" t="n"/>
      <c r="M3114" s="227" t="n"/>
      <c r="N3114" s="127" t="n"/>
      <c r="O3114" s="227" t="n"/>
      <c r="P3114" s="227" t="n"/>
      <c r="Q3114" s="227" t="n"/>
      <c r="R3114" s="227" t="n"/>
      <c r="S3114" s="227" t="n"/>
      <c r="T3114" s="227" t="n"/>
    </row>
    <row r="3115">
      <c r="A3115" s="145">
        <f>IF($B3115="","",ROW()-5)</f>
        <v/>
      </c>
      <c r="B3115" s="127" t="n"/>
      <c r="C3115" s="223" t="n"/>
      <c r="D3115" s="127" t="n"/>
      <c r="E3115" s="227" t="n"/>
      <c r="F3115" s="227" t="n"/>
      <c r="G3115" s="227" t="n"/>
      <c r="H3115" s="227" t="n"/>
      <c r="I3115" s="227" t="n"/>
      <c r="J3115" s="227" t="n"/>
      <c r="K3115" s="227" t="n"/>
      <c r="L3115" s="227" t="n"/>
      <c r="M3115" s="227" t="n"/>
      <c r="N3115" s="127" t="n"/>
      <c r="O3115" s="227" t="n"/>
      <c r="P3115" s="227" t="n"/>
      <c r="Q3115" s="227" t="n"/>
      <c r="R3115" s="227" t="n"/>
      <c r="S3115" s="227" t="n"/>
      <c r="T3115" s="227" t="n"/>
    </row>
    <row r="3116">
      <c r="A3116" s="145">
        <f>IF($B3116="","",ROW()-5)</f>
        <v/>
      </c>
      <c r="B3116" s="127" t="n"/>
      <c r="C3116" s="223" t="n"/>
      <c r="D3116" s="127" t="n"/>
      <c r="E3116" s="227" t="n"/>
      <c r="F3116" s="227" t="n"/>
      <c r="G3116" s="227" t="n"/>
      <c r="H3116" s="227" t="n"/>
      <c r="I3116" s="227" t="n"/>
      <c r="J3116" s="227" t="n"/>
      <c r="K3116" s="227" t="n"/>
      <c r="L3116" s="227" t="n"/>
      <c r="M3116" s="227" t="n"/>
      <c r="N3116" s="127" t="n"/>
      <c r="O3116" s="227" t="n"/>
      <c r="P3116" s="227" t="n"/>
      <c r="Q3116" s="227" t="n"/>
      <c r="R3116" s="227" t="n"/>
      <c r="S3116" s="227" t="n"/>
      <c r="T3116" s="227" t="n"/>
    </row>
    <row r="3117">
      <c r="A3117" s="145">
        <f>IF($B3117="","",ROW()-5)</f>
        <v/>
      </c>
      <c r="B3117" s="127" t="n"/>
      <c r="C3117" s="223" t="n"/>
      <c r="D3117" s="127" t="n"/>
      <c r="E3117" s="227" t="n"/>
      <c r="F3117" s="227" t="n"/>
      <c r="G3117" s="227" t="n"/>
      <c r="H3117" s="227" t="n"/>
      <c r="I3117" s="227" t="n"/>
      <c r="J3117" s="227" t="n"/>
      <c r="K3117" s="227" t="n"/>
      <c r="L3117" s="227" t="n"/>
      <c r="M3117" s="227" t="n"/>
      <c r="N3117" s="127" t="n"/>
      <c r="O3117" s="227" t="n"/>
      <c r="P3117" s="227" t="n"/>
      <c r="Q3117" s="227" t="n"/>
      <c r="R3117" s="227" t="n"/>
      <c r="S3117" s="227" t="n"/>
      <c r="T3117" s="227" t="n"/>
    </row>
    <row r="3118">
      <c r="A3118" s="145">
        <f>IF($B3118="","",ROW()-5)</f>
        <v/>
      </c>
      <c r="B3118" s="127" t="n"/>
      <c r="C3118" s="223" t="n"/>
      <c r="D3118" s="127" t="n"/>
      <c r="E3118" s="227" t="n"/>
      <c r="F3118" s="227" t="n"/>
      <c r="G3118" s="227" t="n"/>
      <c r="H3118" s="227" t="n"/>
      <c r="I3118" s="227" t="n"/>
      <c r="J3118" s="227" t="n"/>
      <c r="K3118" s="227" t="n"/>
      <c r="L3118" s="227" t="n"/>
      <c r="M3118" s="227" t="n"/>
      <c r="N3118" s="127" t="n"/>
      <c r="O3118" s="227" t="n"/>
      <c r="P3118" s="227" t="n"/>
      <c r="Q3118" s="227" t="n"/>
      <c r="R3118" s="227" t="n"/>
      <c r="S3118" s="227" t="n"/>
      <c r="T3118" s="227" t="n"/>
    </row>
    <row r="3119">
      <c r="A3119" s="145">
        <f>IF($B3119="","",ROW()-5)</f>
        <v/>
      </c>
      <c r="B3119" s="127" t="n"/>
      <c r="C3119" s="223" t="n"/>
      <c r="D3119" s="127" t="n"/>
      <c r="E3119" s="227" t="n"/>
      <c r="F3119" s="227" t="n"/>
      <c r="G3119" s="227" t="n"/>
      <c r="H3119" s="227" t="n"/>
      <c r="I3119" s="227" t="n"/>
      <c r="J3119" s="227" t="n"/>
      <c r="K3119" s="227" t="n"/>
      <c r="L3119" s="227" t="n"/>
      <c r="M3119" s="227" t="n"/>
      <c r="N3119" s="127" t="n"/>
      <c r="O3119" s="227" t="n"/>
      <c r="P3119" s="227" t="n"/>
      <c r="Q3119" s="227" t="n"/>
      <c r="R3119" s="227" t="n"/>
      <c r="S3119" s="227" t="n"/>
      <c r="T3119" s="227" t="n"/>
    </row>
    <row r="3120">
      <c r="A3120" s="145">
        <f>IF($B3120="","",ROW()-5)</f>
        <v/>
      </c>
      <c r="B3120" s="127" t="n"/>
      <c r="C3120" s="223" t="n"/>
      <c r="D3120" s="127" t="n"/>
      <c r="E3120" s="227" t="n"/>
      <c r="F3120" s="227" t="n"/>
      <c r="G3120" s="227" t="n"/>
      <c r="H3120" s="227" t="n"/>
      <c r="I3120" s="227" t="n"/>
      <c r="J3120" s="227" t="n"/>
      <c r="K3120" s="227" t="n"/>
      <c r="L3120" s="227" t="n"/>
      <c r="M3120" s="227" t="n"/>
      <c r="N3120" s="127" t="n"/>
      <c r="O3120" s="227" t="n"/>
      <c r="P3120" s="227" t="n"/>
      <c r="Q3120" s="227" t="n"/>
      <c r="R3120" s="227" t="n"/>
      <c r="S3120" s="227" t="n"/>
      <c r="T3120" s="227" t="n"/>
    </row>
    <row r="3121">
      <c r="A3121" s="145">
        <f>IF($B3121="","",ROW()-5)</f>
        <v/>
      </c>
      <c r="B3121" s="127" t="n"/>
      <c r="C3121" s="223" t="n"/>
      <c r="D3121" s="127" t="n"/>
      <c r="E3121" s="227" t="n"/>
      <c r="F3121" s="227" t="n"/>
      <c r="G3121" s="227" t="n"/>
      <c r="H3121" s="227" t="n"/>
      <c r="I3121" s="227" t="n"/>
      <c r="J3121" s="227" t="n"/>
      <c r="K3121" s="227" t="n"/>
      <c r="L3121" s="227" t="n"/>
      <c r="M3121" s="227" t="n"/>
      <c r="N3121" s="127" t="n"/>
      <c r="O3121" s="227" t="n"/>
      <c r="P3121" s="227" t="n"/>
      <c r="Q3121" s="227" t="n"/>
      <c r="R3121" s="227" t="n"/>
      <c r="S3121" s="227" t="n"/>
      <c r="T3121" s="227" t="n"/>
    </row>
    <row r="3122">
      <c r="A3122" s="145">
        <f>IF($B3122="","",ROW()-5)</f>
        <v/>
      </c>
      <c r="B3122" s="127" t="n"/>
      <c r="C3122" s="223" t="n"/>
      <c r="D3122" s="127" t="n"/>
      <c r="E3122" s="227" t="n"/>
      <c r="F3122" s="227" t="n"/>
      <c r="G3122" s="227" t="n"/>
      <c r="H3122" s="227" t="n"/>
      <c r="I3122" s="227" t="n"/>
      <c r="J3122" s="227" t="n"/>
      <c r="K3122" s="227" t="n"/>
      <c r="L3122" s="227" t="n"/>
      <c r="M3122" s="227" t="n"/>
      <c r="N3122" s="127" t="n"/>
      <c r="O3122" s="227" t="n"/>
      <c r="P3122" s="227" t="n"/>
      <c r="Q3122" s="227" t="n"/>
      <c r="R3122" s="227" t="n"/>
      <c r="S3122" s="227" t="n"/>
      <c r="T3122" s="227" t="n"/>
    </row>
    <row r="3123">
      <c r="A3123" s="145">
        <f>IF($B3123="","",ROW()-5)</f>
        <v/>
      </c>
      <c r="B3123" s="127" t="n"/>
      <c r="C3123" s="223" t="n"/>
      <c r="D3123" s="127" t="n"/>
      <c r="E3123" s="227" t="n"/>
      <c r="F3123" s="227" t="n"/>
      <c r="G3123" s="227" t="n"/>
      <c r="H3123" s="227" t="n"/>
      <c r="I3123" s="227" t="n"/>
      <c r="J3123" s="227" t="n"/>
      <c r="K3123" s="227" t="n"/>
      <c r="L3123" s="227" t="n"/>
      <c r="M3123" s="227" t="n"/>
      <c r="N3123" s="127" t="n"/>
      <c r="O3123" s="227" t="n"/>
      <c r="P3123" s="227" t="n"/>
      <c r="Q3123" s="227" t="n"/>
      <c r="R3123" s="227" t="n"/>
      <c r="S3123" s="227" t="n"/>
      <c r="T3123" s="227" t="n"/>
    </row>
    <row r="3124">
      <c r="A3124" s="145">
        <f>IF($B3124="","",ROW()-5)</f>
        <v/>
      </c>
      <c r="B3124" s="127" t="n"/>
      <c r="C3124" s="223" t="n"/>
      <c r="D3124" s="127" t="n"/>
      <c r="E3124" s="227" t="n"/>
      <c r="F3124" s="227" t="n"/>
      <c r="G3124" s="227" t="n"/>
      <c r="H3124" s="227" t="n"/>
      <c r="I3124" s="227" t="n"/>
      <c r="J3124" s="227" t="n"/>
      <c r="K3124" s="227" t="n"/>
      <c r="L3124" s="227" t="n"/>
      <c r="M3124" s="227" t="n"/>
      <c r="N3124" s="127" t="n"/>
      <c r="O3124" s="227" t="n"/>
      <c r="P3124" s="227" t="n"/>
      <c r="Q3124" s="227" t="n"/>
      <c r="R3124" s="227" t="n"/>
      <c r="S3124" s="227" t="n"/>
      <c r="T3124" s="227" t="n"/>
    </row>
    <row r="3125">
      <c r="A3125" s="145">
        <f>IF($B3125="","",ROW()-5)</f>
        <v/>
      </c>
      <c r="B3125" s="127" t="n"/>
      <c r="C3125" s="223" t="n"/>
      <c r="D3125" s="127" t="n"/>
      <c r="E3125" s="227" t="n"/>
      <c r="F3125" s="227" t="n"/>
      <c r="G3125" s="227" t="n"/>
      <c r="H3125" s="227" t="n"/>
      <c r="I3125" s="227" t="n"/>
      <c r="J3125" s="227" t="n"/>
      <c r="K3125" s="227" t="n"/>
      <c r="L3125" s="227" t="n"/>
      <c r="M3125" s="227" t="n"/>
      <c r="N3125" s="127" t="n"/>
      <c r="O3125" s="227" t="n"/>
      <c r="P3125" s="227" t="n"/>
      <c r="Q3125" s="227" t="n"/>
      <c r="R3125" s="227" t="n"/>
      <c r="S3125" s="227" t="n"/>
      <c r="T3125" s="227" t="n"/>
    </row>
    <row r="3126">
      <c r="A3126" s="145">
        <f>IF($B3126="","",ROW()-5)</f>
        <v/>
      </c>
      <c r="B3126" s="127" t="n"/>
      <c r="C3126" s="223" t="n"/>
      <c r="D3126" s="127" t="n"/>
      <c r="E3126" s="227" t="n"/>
      <c r="F3126" s="227" t="n"/>
      <c r="G3126" s="227" t="n"/>
      <c r="H3126" s="227" t="n"/>
      <c r="I3126" s="227" t="n"/>
      <c r="J3126" s="227" t="n"/>
      <c r="K3126" s="227" t="n"/>
      <c r="L3126" s="227" t="n"/>
      <c r="M3126" s="227" t="n"/>
      <c r="N3126" s="127" t="n"/>
      <c r="O3126" s="227" t="n"/>
      <c r="P3126" s="227" t="n"/>
      <c r="Q3126" s="227" t="n"/>
      <c r="R3126" s="227" t="n"/>
      <c r="S3126" s="227" t="n"/>
      <c r="T3126" s="227" t="n"/>
    </row>
    <row r="3127">
      <c r="A3127" s="145">
        <f>IF($B3127="","",ROW()-5)</f>
        <v/>
      </c>
      <c r="B3127" s="127" t="n"/>
      <c r="C3127" s="223" t="n"/>
      <c r="D3127" s="127" t="n"/>
      <c r="E3127" s="227" t="n"/>
      <c r="F3127" s="227" t="n"/>
      <c r="G3127" s="227" t="n"/>
      <c r="H3127" s="227" t="n"/>
      <c r="I3127" s="227" t="n"/>
      <c r="J3127" s="227" t="n"/>
      <c r="K3127" s="227" t="n"/>
      <c r="L3127" s="227" t="n"/>
      <c r="M3127" s="227" t="n"/>
      <c r="N3127" s="127" t="n"/>
      <c r="O3127" s="227" t="n"/>
      <c r="P3127" s="227" t="n"/>
      <c r="Q3127" s="227" t="n"/>
      <c r="R3127" s="227" t="n"/>
      <c r="S3127" s="227" t="n"/>
      <c r="T3127" s="227" t="n"/>
    </row>
    <row r="3128">
      <c r="A3128" s="145">
        <f>IF($B3128="","",ROW()-5)</f>
        <v/>
      </c>
      <c r="B3128" s="127" t="n"/>
      <c r="C3128" s="223" t="n"/>
      <c r="D3128" s="127" t="n"/>
      <c r="E3128" s="227" t="n"/>
      <c r="F3128" s="227" t="n"/>
      <c r="G3128" s="227" t="n"/>
      <c r="H3128" s="227" t="n"/>
      <c r="I3128" s="227" t="n"/>
      <c r="J3128" s="227" t="n"/>
      <c r="K3128" s="227" t="n"/>
      <c r="L3128" s="227" t="n"/>
      <c r="M3128" s="227" t="n"/>
      <c r="N3128" s="127" t="n"/>
      <c r="O3128" s="227" t="n"/>
      <c r="P3128" s="227" t="n"/>
      <c r="Q3128" s="227" t="n"/>
      <c r="R3128" s="227" t="n"/>
      <c r="S3128" s="227" t="n"/>
      <c r="T3128" s="227" t="n"/>
    </row>
    <row r="3129">
      <c r="A3129" s="145">
        <f>IF($B3129="","",ROW()-5)</f>
        <v/>
      </c>
      <c r="B3129" s="127" t="n"/>
      <c r="C3129" s="223" t="n"/>
      <c r="D3129" s="127" t="n"/>
      <c r="E3129" s="227" t="n"/>
      <c r="F3129" s="227" t="n"/>
      <c r="G3129" s="227" t="n"/>
      <c r="H3129" s="227" t="n"/>
      <c r="I3129" s="227" t="n"/>
      <c r="J3129" s="227" t="n"/>
      <c r="K3129" s="227" t="n"/>
      <c r="L3129" s="227" t="n"/>
      <c r="M3129" s="227" t="n"/>
      <c r="N3129" s="127" t="n"/>
      <c r="O3129" s="227" t="n"/>
      <c r="P3129" s="227" t="n"/>
      <c r="Q3129" s="227" t="n"/>
      <c r="R3129" s="227" t="n"/>
      <c r="S3129" s="227" t="n"/>
      <c r="T3129" s="227" t="n"/>
    </row>
    <row r="3130">
      <c r="A3130" s="145">
        <f>IF($B3130="","",ROW()-5)</f>
        <v/>
      </c>
      <c r="B3130" s="127" t="n"/>
      <c r="C3130" s="223" t="n"/>
      <c r="D3130" s="127" t="n"/>
      <c r="E3130" s="227" t="n"/>
      <c r="F3130" s="227" t="n"/>
      <c r="G3130" s="227" t="n"/>
      <c r="H3130" s="227" t="n"/>
      <c r="I3130" s="227" t="n"/>
      <c r="J3130" s="227" t="n"/>
      <c r="K3130" s="227" t="n"/>
      <c r="L3130" s="227" t="n"/>
      <c r="M3130" s="227" t="n"/>
      <c r="N3130" s="127" t="n"/>
      <c r="O3130" s="227" t="n"/>
      <c r="P3130" s="227" t="n"/>
      <c r="Q3130" s="227" t="n"/>
      <c r="R3130" s="227" t="n"/>
      <c r="S3130" s="227" t="n"/>
      <c r="T3130" s="227" t="n"/>
    </row>
    <row r="3131">
      <c r="A3131" s="145">
        <f>IF($B3131="","",ROW()-5)</f>
        <v/>
      </c>
      <c r="B3131" s="127" t="n"/>
      <c r="C3131" s="223" t="n"/>
      <c r="D3131" s="127" t="n"/>
      <c r="E3131" s="227" t="n"/>
      <c r="F3131" s="227" t="n"/>
      <c r="G3131" s="227" t="n"/>
      <c r="H3131" s="227" t="n"/>
      <c r="I3131" s="227" t="n"/>
      <c r="J3131" s="227" t="n"/>
      <c r="K3131" s="227" t="n"/>
      <c r="L3131" s="227" t="n"/>
      <c r="M3131" s="227" t="n"/>
      <c r="N3131" s="127" t="n"/>
      <c r="O3131" s="227" t="n"/>
      <c r="P3131" s="227" t="n"/>
      <c r="Q3131" s="227" t="n"/>
      <c r="R3131" s="227" t="n"/>
      <c r="S3131" s="227" t="n"/>
      <c r="T3131" s="227" t="n"/>
    </row>
    <row r="3132">
      <c r="A3132" s="145">
        <f>IF($B3132="","",ROW()-5)</f>
        <v/>
      </c>
      <c r="B3132" s="127" t="n"/>
      <c r="C3132" s="223" t="n"/>
      <c r="D3132" s="127" t="n"/>
      <c r="E3132" s="227" t="n"/>
      <c r="F3132" s="227" t="n"/>
      <c r="G3132" s="227" t="n"/>
      <c r="H3132" s="227" t="n"/>
      <c r="I3132" s="227" t="n"/>
      <c r="J3132" s="227" t="n"/>
      <c r="K3132" s="227" t="n"/>
      <c r="L3132" s="227" t="n"/>
      <c r="M3132" s="227" t="n"/>
      <c r="N3132" s="127" t="n"/>
      <c r="O3132" s="227" t="n"/>
      <c r="P3132" s="227" t="n"/>
      <c r="Q3132" s="227" t="n"/>
      <c r="R3132" s="227" t="n"/>
      <c r="S3132" s="227" t="n"/>
      <c r="T3132" s="227" t="n"/>
    </row>
    <row r="3133">
      <c r="A3133" s="145">
        <f>IF($B3133="","",ROW()-5)</f>
        <v/>
      </c>
      <c r="B3133" s="127" t="n"/>
      <c r="C3133" s="223" t="n"/>
      <c r="D3133" s="127" t="n"/>
      <c r="E3133" s="227" t="n"/>
      <c r="F3133" s="227" t="n"/>
      <c r="G3133" s="227" t="n"/>
      <c r="H3133" s="227" t="n"/>
      <c r="I3133" s="227" t="n"/>
      <c r="J3133" s="227" t="n"/>
      <c r="K3133" s="227" t="n"/>
      <c r="L3133" s="227" t="n"/>
      <c r="M3133" s="227" t="n"/>
      <c r="N3133" s="127" t="n"/>
      <c r="O3133" s="227" t="n"/>
      <c r="P3133" s="227" t="n"/>
      <c r="Q3133" s="227" t="n"/>
      <c r="R3133" s="227" t="n"/>
      <c r="S3133" s="227" t="n"/>
      <c r="T3133" s="227" t="n"/>
    </row>
    <row r="3134">
      <c r="A3134" s="145">
        <f>IF($B3134="","",ROW()-5)</f>
        <v/>
      </c>
      <c r="B3134" s="127" t="n"/>
      <c r="C3134" s="223" t="n"/>
      <c r="D3134" s="127" t="n"/>
      <c r="E3134" s="227" t="n"/>
      <c r="F3134" s="227" t="n"/>
      <c r="G3134" s="227" t="n"/>
      <c r="H3134" s="227" t="n"/>
      <c r="I3134" s="227" t="n"/>
      <c r="J3134" s="227" t="n"/>
      <c r="K3134" s="227" t="n"/>
      <c r="L3134" s="227" t="n"/>
      <c r="M3134" s="227" t="n"/>
      <c r="N3134" s="127" t="n"/>
      <c r="O3134" s="227" t="n"/>
      <c r="P3134" s="227" t="n"/>
      <c r="Q3134" s="227" t="n"/>
      <c r="R3134" s="227" t="n"/>
      <c r="S3134" s="227" t="n"/>
      <c r="T3134" s="227" t="n"/>
    </row>
    <row r="3135">
      <c r="A3135" s="145">
        <f>IF($B3135="","",ROW()-5)</f>
        <v/>
      </c>
      <c r="B3135" s="127" t="n"/>
      <c r="C3135" s="223" t="n"/>
      <c r="D3135" s="127" t="n"/>
      <c r="E3135" s="227" t="n"/>
      <c r="F3135" s="227" t="n"/>
      <c r="G3135" s="227" t="n"/>
      <c r="H3135" s="227" t="n"/>
      <c r="I3135" s="227" t="n"/>
      <c r="J3135" s="227" t="n"/>
      <c r="K3135" s="227" t="n"/>
      <c r="L3135" s="227" t="n"/>
      <c r="M3135" s="227" t="n"/>
      <c r="N3135" s="127" t="n"/>
      <c r="O3135" s="227" t="n"/>
      <c r="P3135" s="227" t="n"/>
      <c r="Q3135" s="227" t="n"/>
      <c r="R3135" s="227" t="n"/>
      <c r="S3135" s="227" t="n"/>
      <c r="T3135" s="227" t="n"/>
    </row>
    <row r="3136">
      <c r="A3136" s="145">
        <f>IF($B3136="","",ROW()-5)</f>
        <v/>
      </c>
      <c r="B3136" s="127" t="n"/>
      <c r="C3136" s="223" t="n"/>
      <c r="D3136" s="127" t="n"/>
      <c r="E3136" s="227" t="n"/>
      <c r="F3136" s="227" t="n"/>
      <c r="G3136" s="227" t="n"/>
      <c r="H3136" s="227" t="n"/>
      <c r="I3136" s="227" t="n"/>
      <c r="J3136" s="227" t="n"/>
      <c r="K3136" s="227" t="n"/>
      <c r="L3136" s="227" t="n"/>
      <c r="M3136" s="227" t="n"/>
      <c r="N3136" s="127" t="n"/>
      <c r="O3136" s="227" t="n"/>
      <c r="P3136" s="227" t="n"/>
      <c r="Q3136" s="227" t="n"/>
      <c r="R3136" s="227" t="n"/>
      <c r="S3136" s="227" t="n"/>
      <c r="T3136" s="227" t="n"/>
    </row>
    <row r="3137">
      <c r="A3137" s="145">
        <f>IF($B3137="","",ROW()-5)</f>
        <v/>
      </c>
      <c r="B3137" s="127" t="n"/>
      <c r="C3137" s="223" t="n"/>
      <c r="D3137" s="127" t="n"/>
      <c r="E3137" s="227" t="n"/>
      <c r="F3137" s="227" t="n"/>
      <c r="G3137" s="227" t="n"/>
      <c r="H3137" s="227" t="n"/>
      <c r="I3137" s="227" t="n"/>
      <c r="J3137" s="227" t="n"/>
      <c r="K3137" s="227" t="n"/>
      <c r="L3137" s="227" t="n"/>
      <c r="M3137" s="227" t="n"/>
      <c r="N3137" s="127" t="n"/>
      <c r="O3137" s="227" t="n"/>
      <c r="P3137" s="227" t="n"/>
      <c r="Q3137" s="227" t="n"/>
      <c r="R3137" s="227" t="n"/>
      <c r="S3137" s="227" t="n"/>
      <c r="T3137" s="227" t="n"/>
    </row>
    <row r="3138">
      <c r="A3138" s="145">
        <f>IF($B3138="","",ROW()-5)</f>
        <v/>
      </c>
      <c r="B3138" s="127" t="n"/>
      <c r="C3138" s="223" t="n"/>
      <c r="D3138" s="127" t="n"/>
      <c r="E3138" s="227" t="n"/>
      <c r="F3138" s="227" t="n"/>
      <c r="G3138" s="227" t="n"/>
      <c r="H3138" s="227" t="n"/>
      <c r="I3138" s="227" t="n"/>
      <c r="J3138" s="227" t="n"/>
      <c r="K3138" s="227" t="n"/>
      <c r="L3138" s="227" t="n"/>
      <c r="M3138" s="227" t="n"/>
      <c r="N3138" s="127" t="n"/>
      <c r="O3138" s="227" t="n"/>
      <c r="P3138" s="227" t="n"/>
      <c r="Q3138" s="227" t="n"/>
      <c r="R3138" s="227" t="n"/>
      <c r="S3138" s="227" t="n"/>
      <c r="T3138" s="227" t="n"/>
    </row>
    <row r="3139">
      <c r="A3139" s="145">
        <f>IF($B3139="","",ROW()-5)</f>
        <v/>
      </c>
      <c r="B3139" s="127" t="n"/>
      <c r="C3139" s="223" t="n"/>
      <c r="D3139" s="127" t="n"/>
      <c r="E3139" s="227" t="n"/>
      <c r="F3139" s="227" t="n"/>
      <c r="G3139" s="227" t="n"/>
      <c r="H3139" s="227" t="n"/>
      <c r="I3139" s="227" t="n"/>
      <c r="J3139" s="227" t="n"/>
      <c r="K3139" s="227" t="n"/>
      <c r="L3139" s="227" t="n"/>
      <c r="M3139" s="227" t="n"/>
      <c r="N3139" s="127" t="n"/>
      <c r="O3139" s="227" t="n"/>
      <c r="P3139" s="227" t="n"/>
      <c r="Q3139" s="227" t="n"/>
      <c r="R3139" s="227" t="n"/>
      <c r="S3139" s="227" t="n"/>
      <c r="T3139" s="227" t="n"/>
    </row>
    <row r="3140">
      <c r="A3140" s="145">
        <f>IF($B3140="","",ROW()-5)</f>
        <v/>
      </c>
      <c r="B3140" s="127" t="n"/>
      <c r="C3140" s="223" t="n"/>
      <c r="D3140" s="127" t="n"/>
      <c r="E3140" s="227" t="n"/>
      <c r="F3140" s="227" t="n"/>
      <c r="G3140" s="227" t="n"/>
      <c r="H3140" s="227" t="n"/>
      <c r="I3140" s="227" t="n"/>
      <c r="J3140" s="227" t="n"/>
      <c r="K3140" s="227" t="n"/>
      <c r="L3140" s="227" t="n"/>
      <c r="M3140" s="227" t="n"/>
      <c r="N3140" s="127" t="n"/>
      <c r="O3140" s="227" t="n"/>
      <c r="P3140" s="227" t="n"/>
      <c r="Q3140" s="227" t="n"/>
      <c r="R3140" s="227" t="n"/>
      <c r="S3140" s="227" t="n"/>
      <c r="T3140" s="227" t="n"/>
    </row>
    <row r="3141">
      <c r="A3141" s="145">
        <f>IF($B3141="","",ROW()-5)</f>
        <v/>
      </c>
      <c r="B3141" s="127" t="n"/>
      <c r="C3141" s="223" t="n"/>
      <c r="D3141" s="127" t="n"/>
      <c r="E3141" s="227" t="n"/>
      <c r="F3141" s="227" t="n"/>
      <c r="G3141" s="227" t="n"/>
      <c r="H3141" s="227" t="n"/>
      <c r="I3141" s="227" t="n"/>
      <c r="J3141" s="227" t="n"/>
      <c r="K3141" s="227" t="n"/>
      <c r="L3141" s="227" t="n"/>
      <c r="M3141" s="227" t="n"/>
      <c r="N3141" s="127" t="n"/>
      <c r="O3141" s="227" t="n"/>
      <c r="P3141" s="227" t="n"/>
      <c r="Q3141" s="227" t="n"/>
      <c r="R3141" s="227" t="n"/>
      <c r="S3141" s="227" t="n"/>
      <c r="T3141" s="227" t="n"/>
    </row>
    <row r="3142">
      <c r="A3142" s="145">
        <f>IF($B3142="","",ROW()-5)</f>
        <v/>
      </c>
      <c r="B3142" s="127" t="n"/>
      <c r="C3142" s="223" t="n"/>
      <c r="D3142" s="127" t="n"/>
      <c r="E3142" s="227" t="n"/>
      <c r="F3142" s="227" t="n"/>
      <c r="G3142" s="227" t="n"/>
      <c r="H3142" s="227" t="n"/>
      <c r="I3142" s="227" t="n"/>
      <c r="J3142" s="227" t="n"/>
      <c r="K3142" s="227" t="n"/>
      <c r="L3142" s="227" t="n"/>
      <c r="M3142" s="227" t="n"/>
      <c r="N3142" s="127" t="n"/>
      <c r="O3142" s="227" t="n"/>
      <c r="P3142" s="227" t="n"/>
      <c r="Q3142" s="227" t="n"/>
      <c r="R3142" s="227" t="n"/>
      <c r="S3142" s="227" t="n"/>
      <c r="T3142" s="227" t="n"/>
    </row>
    <row r="3143">
      <c r="A3143" s="145">
        <f>IF($B3143="","",ROW()-5)</f>
        <v/>
      </c>
      <c r="B3143" s="127" t="n"/>
      <c r="C3143" s="223" t="n"/>
      <c r="D3143" s="127" t="n"/>
      <c r="E3143" s="227" t="n"/>
      <c r="F3143" s="227" t="n"/>
      <c r="G3143" s="227" t="n"/>
      <c r="H3143" s="227" t="n"/>
      <c r="I3143" s="227" t="n"/>
      <c r="J3143" s="227" t="n"/>
      <c r="K3143" s="227" t="n"/>
      <c r="L3143" s="227" t="n"/>
      <c r="M3143" s="227" t="n"/>
      <c r="N3143" s="127" t="n"/>
      <c r="O3143" s="227" t="n"/>
      <c r="P3143" s="227" t="n"/>
      <c r="Q3143" s="227" t="n"/>
      <c r="R3143" s="227" t="n"/>
      <c r="S3143" s="227" t="n"/>
      <c r="T3143" s="227" t="n"/>
    </row>
    <row r="3144">
      <c r="A3144" s="145">
        <f>IF($B3144="","",ROW()-5)</f>
        <v/>
      </c>
      <c r="B3144" s="127" t="n"/>
      <c r="C3144" s="223" t="n"/>
      <c r="D3144" s="127" t="n"/>
      <c r="E3144" s="227" t="n"/>
      <c r="F3144" s="227" t="n"/>
      <c r="G3144" s="227" t="n"/>
      <c r="H3144" s="227" t="n"/>
      <c r="I3144" s="227" t="n"/>
      <c r="J3144" s="227" t="n"/>
      <c r="K3144" s="227" t="n"/>
      <c r="L3144" s="227" t="n"/>
      <c r="M3144" s="227" t="n"/>
      <c r="N3144" s="127" t="n"/>
      <c r="O3144" s="227" t="n"/>
      <c r="P3144" s="227" t="n"/>
      <c r="Q3144" s="227" t="n"/>
      <c r="R3144" s="227" t="n"/>
      <c r="S3144" s="227" t="n"/>
      <c r="T3144" s="227" t="n"/>
    </row>
    <row r="3145">
      <c r="A3145" s="145">
        <f>IF($B3145="","",ROW()-5)</f>
        <v/>
      </c>
      <c r="B3145" s="127" t="n"/>
      <c r="C3145" s="223" t="n"/>
      <c r="D3145" s="127" t="n"/>
      <c r="E3145" s="227" t="n"/>
      <c r="F3145" s="227" t="n"/>
      <c r="G3145" s="227" t="n"/>
      <c r="H3145" s="227" t="n"/>
      <c r="I3145" s="227" t="n"/>
      <c r="J3145" s="227" t="n"/>
      <c r="K3145" s="227" t="n"/>
      <c r="L3145" s="227" t="n"/>
      <c r="M3145" s="227" t="n"/>
      <c r="N3145" s="127" t="n"/>
      <c r="O3145" s="227" t="n"/>
      <c r="P3145" s="227" t="n"/>
      <c r="Q3145" s="227" t="n"/>
      <c r="R3145" s="227" t="n"/>
      <c r="S3145" s="227" t="n"/>
      <c r="T3145" s="227" t="n"/>
    </row>
    <row r="3146">
      <c r="A3146" s="145">
        <f>IF($B3146="","",ROW()-5)</f>
        <v/>
      </c>
      <c r="B3146" s="127" t="n"/>
      <c r="C3146" s="223" t="n"/>
      <c r="D3146" s="127" t="n"/>
      <c r="E3146" s="227" t="n"/>
      <c r="F3146" s="227" t="n"/>
      <c r="G3146" s="227" t="n"/>
      <c r="H3146" s="227" t="n"/>
      <c r="I3146" s="227" t="n"/>
      <c r="J3146" s="227" t="n"/>
      <c r="K3146" s="227" t="n"/>
      <c r="L3146" s="227" t="n"/>
      <c r="M3146" s="227" t="n"/>
      <c r="N3146" s="127" t="n"/>
      <c r="O3146" s="227" t="n"/>
      <c r="P3146" s="227" t="n"/>
      <c r="Q3146" s="227" t="n"/>
      <c r="R3146" s="227" t="n"/>
      <c r="S3146" s="227" t="n"/>
      <c r="T3146" s="227" t="n"/>
    </row>
    <row r="3147">
      <c r="A3147" s="145">
        <f>IF($B3147="","",ROW()-5)</f>
        <v/>
      </c>
      <c r="B3147" s="127" t="n"/>
      <c r="C3147" s="223" t="n"/>
      <c r="D3147" s="127" t="n"/>
      <c r="E3147" s="227" t="n"/>
      <c r="F3147" s="227" t="n"/>
      <c r="G3147" s="227" t="n"/>
      <c r="H3147" s="227" t="n"/>
      <c r="I3147" s="227" t="n"/>
      <c r="J3147" s="227" t="n"/>
      <c r="K3147" s="227" t="n"/>
      <c r="L3147" s="227" t="n"/>
      <c r="M3147" s="227" t="n"/>
      <c r="N3147" s="127" t="n"/>
      <c r="O3147" s="227" t="n"/>
      <c r="P3147" s="227" t="n"/>
      <c r="Q3147" s="227" t="n"/>
      <c r="R3147" s="227" t="n"/>
      <c r="S3147" s="227" t="n"/>
      <c r="T3147" s="227" t="n"/>
    </row>
    <row r="3148">
      <c r="A3148" s="145">
        <f>IF($B3148="","",ROW()-5)</f>
        <v/>
      </c>
      <c r="B3148" s="127" t="n"/>
      <c r="C3148" s="223" t="n"/>
      <c r="D3148" s="127" t="n"/>
      <c r="E3148" s="227" t="n"/>
      <c r="F3148" s="227" t="n"/>
      <c r="G3148" s="227" t="n"/>
      <c r="H3148" s="227" t="n"/>
      <c r="I3148" s="227" t="n"/>
      <c r="J3148" s="227" t="n"/>
      <c r="K3148" s="227" t="n"/>
      <c r="L3148" s="227" t="n"/>
      <c r="M3148" s="227" t="n"/>
      <c r="N3148" s="127" t="n"/>
      <c r="O3148" s="227" t="n"/>
      <c r="P3148" s="227" t="n"/>
      <c r="Q3148" s="227" t="n"/>
      <c r="R3148" s="227" t="n"/>
      <c r="S3148" s="227" t="n"/>
      <c r="T3148" s="227" t="n"/>
    </row>
    <row r="3149">
      <c r="A3149" s="145">
        <f>IF($B3149="","",ROW()-5)</f>
        <v/>
      </c>
      <c r="B3149" s="127" t="n"/>
      <c r="C3149" s="223" t="n"/>
      <c r="D3149" s="127" t="n"/>
      <c r="E3149" s="227" t="n"/>
      <c r="F3149" s="227" t="n"/>
      <c r="G3149" s="227" t="n"/>
      <c r="H3149" s="227" t="n"/>
      <c r="I3149" s="227" t="n"/>
      <c r="J3149" s="227" t="n"/>
      <c r="K3149" s="227" t="n"/>
      <c r="L3149" s="227" t="n"/>
      <c r="M3149" s="227" t="n"/>
      <c r="N3149" s="127" t="n"/>
      <c r="O3149" s="227" t="n"/>
      <c r="P3149" s="227" t="n"/>
      <c r="Q3149" s="227" t="n"/>
      <c r="R3149" s="227" t="n"/>
      <c r="S3149" s="227" t="n"/>
      <c r="T3149" s="227" t="n"/>
    </row>
    <row r="3150">
      <c r="A3150" s="145">
        <f>IF($B3150="","",ROW()-5)</f>
        <v/>
      </c>
      <c r="B3150" s="127" t="n"/>
      <c r="C3150" s="223" t="n"/>
      <c r="D3150" s="127" t="n"/>
      <c r="E3150" s="227" t="n"/>
      <c r="F3150" s="227" t="n"/>
      <c r="G3150" s="227" t="n"/>
      <c r="H3150" s="227" t="n"/>
      <c r="I3150" s="227" t="n"/>
      <c r="J3150" s="227" t="n"/>
      <c r="K3150" s="227" t="n"/>
      <c r="L3150" s="227" t="n"/>
      <c r="M3150" s="227" t="n"/>
      <c r="N3150" s="127" t="n"/>
      <c r="O3150" s="227" t="n"/>
      <c r="P3150" s="227" t="n"/>
      <c r="Q3150" s="227" t="n"/>
      <c r="R3150" s="227" t="n"/>
      <c r="S3150" s="227" t="n"/>
      <c r="T3150" s="227" t="n"/>
    </row>
    <row r="3151">
      <c r="A3151" s="145">
        <f>IF($B3151="","",ROW()-5)</f>
        <v/>
      </c>
      <c r="B3151" s="127" t="n"/>
      <c r="C3151" s="223" t="n"/>
      <c r="D3151" s="127" t="n"/>
      <c r="E3151" s="227" t="n"/>
      <c r="F3151" s="227" t="n"/>
      <c r="G3151" s="227" t="n"/>
      <c r="H3151" s="227" t="n"/>
      <c r="I3151" s="227" t="n"/>
      <c r="J3151" s="227" t="n"/>
      <c r="K3151" s="227" t="n"/>
      <c r="L3151" s="227" t="n"/>
      <c r="M3151" s="227" t="n"/>
      <c r="N3151" s="127" t="n"/>
      <c r="O3151" s="227" t="n"/>
      <c r="P3151" s="227" t="n"/>
      <c r="Q3151" s="227" t="n"/>
      <c r="R3151" s="227" t="n"/>
      <c r="S3151" s="227" t="n"/>
      <c r="T3151" s="227" t="n"/>
    </row>
    <row r="3152">
      <c r="A3152" s="145">
        <f>IF($B3152="","",ROW()-5)</f>
        <v/>
      </c>
      <c r="B3152" s="127" t="n"/>
      <c r="C3152" s="223" t="n"/>
      <c r="D3152" s="127" t="n"/>
      <c r="E3152" s="227" t="n"/>
      <c r="F3152" s="227" t="n"/>
      <c r="G3152" s="227" t="n"/>
      <c r="H3152" s="227" t="n"/>
      <c r="I3152" s="227" t="n"/>
      <c r="J3152" s="227" t="n"/>
      <c r="K3152" s="227" t="n"/>
      <c r="L3152" s="227" t="n"/>
      <c r="M3152" s="227" t="n"/>
      <c r="N3152" s="127" t="n"/>
      <c r="O3152" s="227" t="n"/>
      <c r="P3152" s="227" t="n"/>
      <c r="Q3152" s="227" t="n"/>
      <c r="R3152" s="227" t="n"/>
      <c r="S3152" s="227" t="n"/>
      <c r="T3152" s="227" t="n"/>
    </row>
    <row r="3153">
      <c r="A3153" s="145">
        <f>IF($B3153="","",ROW()-5)</f>
        <v/>
      </c>
      <c r="B3153" s="127" t="n"/>
      <c r="C3153" s="223" t="n"/>
      <c r="D3153" s="127" t="n"/>
      <c r="E3153" s="227" t="n"/>
      <c r="F3153" s="227" t="n"/>
      <c r="G3153" s="227" t="n"/>
      <c r="H3153" s="227" t="n"/>
      <c r="I3153" s="227" t="n"/>
      <c r="J3153" s="227" t="n"/>
      <c r="K3153" s="227" t="n"/>
      <c r="L3153" s="227" t="n"/>
      <c r="M3153" s="227" t="n"/>
      <c r="N3153" s="127" t="n"/>
      <c r="O3153" s="227" t="n"/>
      <c r="P3153" s="227" t="n"/>
      <c r="Q3153" s="227" t="n"/>
      <c r="R3153" s="227" t="n"/>
      <c r="S3153" s="227" t="n"/>
      <c r="T3153" s="227" t="n"/>
    </row>
    <row r="3154">
      <c r="A3154" s="145">
        <f>IF($B3154="","",ROW()-5)</f>
        <v/>
      </c>
      <c r="B3154" s="127" t="n"/>
      <c r="C3154" s="223" t="n"/>
      <c r="D3154" s="127" t="n"/>
      <c r="E3154" s="227" t="n"/>
      <c r="F3154" s="227" t="n"/>
      <c r="G3154" s="227" t="n"/>
      <c r="H3154" s="227" t="n"/>
      <c r="I3154" s="227" t="n"/>
      <c r="J3154" s="227" t="n"/>
      <c r="K3154" s="227" t="n"/>
      <c r="L3154" s="227" t="n"/>
      <c r="M3154" s="227" t="n"/>
      <c r="N3154" s="127" t="n"/>
      <c r="O3154" s="227" t="n"/>
      <c r="P3154" s="227" t="n"/>
      <c r="Q3154" s="227" t="n"/>
      <c r="R3154" s="227" t="n"/>
      <c r="S3154" s="227" t="n"/>
      <c r="T3154" s="227" t="n"/>
    </row>
    <row r="3155">
      <c r="A3155" s="145">
        <f>IF($B3155="","",ROW()-5)</f>
        <v/>
      </c>
      <c r="B3155" s="127" t="n"/>
      <c r="C3155" s="223" t="n"/>
      <c r="D3155" s="127" t="n"/>
      <c r="E3155" s="227" t="n"/>
      <c r="F3155" s="227" t="n"/>
      <c r="G3155" s="227" t="n"/>
      <c r="H3155" s="227" t="n"/>
      <c r="I3155" s="227" t="n"/>
      <c r="J3155" s="227" t="n"/>
      <c r="K3155" s="227" t="n"/>
      <c r="L3155" s="227" t="n"/>
      <c r="M3155" s="227" t="n"/>
      <c r="N3155" s="127" t="n"/>
      <c r="O3155" s="227" t="n"/>
      <c r="P3155" s="227" t="n"/>
      <c r="Q3155" s="227" t="n"/>
      <c r="R3155" s="227" t="n"/>
      <c r="S3155" s="227" t="n"/>
      <c r="T3155" s="227" t="n"/>
    </row>
    <row r="3156">
      <c r="A3156" s="145">
        <f>IF($B3156="","",ROW()-5)</f>
        <v/>
      </c>
      <c r="B3156" s="127" t="n"/>
      <c r="C3156" s="223" t="n"/>
      <c r="D3156" s="127" t="n"/>
      <c r="E3156" s="227" t="n"/>
      <c r="F3156" s="227" t="n"/>
      <c r="G3156" s="227" t="n"/>
      <c r="H3156" s="227" t="n"/>
      <c r="I3156" s="227" t="n"/>
      <c r="J3156" s="227" t="n"/>
      <c r="K3156" s="227" t="n"/>
      <c r="L3156" s="227" t="n"/>
      <c r="M3156" s="227" t="n"/>
      <c r="N3156" s="127" t="n"/>
      <c r="O3156" s="227" t="n"/>
      <c r="P3156" s="227" t="n"/>
      <c r="Q3156" s="227" t="n"/>
      <c r="R3156" s="227" t="n"/>
      <c r="S3156" s="227" t="n"/>
      <c r="T3156" s="227" t="n"/>
    </row>
    <row r="3157">
      <c r="A3157" s="145">
        <f>IF($B3157="","",ROW()-5)</f>
        <v/>
      </c>
      <c r="B3157" s="127" t="n"/>
      <c r="C3157" s="223" t="n"/>
      <c r="D3157" s="127" t="n"/>
      <c r="E3157" s="227" t="n"/>
      <c r="F3157" s="227" t="n"/>
      <c r="G3157" s="227" t="n"/>
      <c r="H3157" s="227" t="n"/>
      <c r="I3157" s="227" t="n"/>
      <c r="J3157" s="227" t="n"/>
      <c r="K3157" s="227" t="n"/>
      <c r="L3157" s="227" t="n"/>
      <c r="M3157" s="227" t="n"/>
      <c r="N3157" s="127" t="n"/>
      <c r="O3157" s="227" t="n"/>
      <c r="P3157" s="227" t="n"/>
      <c r="Q3157" s="227" t="n"/>
      <c r="R3157" s="227" t="n"/>
      <c r="S3157" s="227" t="n"/>
      <c r="T3157" s="227" t="n"/>
    </row>
    <row r="3158">
      <c r="A3158" s="145">
        <f>IF($B3158="","",ROW()-5)</f>
        <v/>
      </c>
      <c r="B3158" s="127" t="n"/>
      <c r="C3158" s="223" t="n"/>
      <c r="D3158" s="127" t="n"/>
      <c r="E3158" s="227" t="n"/>
      <c r="F3158" s="227" t="n"/>
      <c r="G3158" s="227" t="n"/>
      <c r="H3158" s="227" t="n"/>
      <c r="I3158" s="227" t="n"/>
      <c r="J3158" s="227" t="n"/>
      <c r="K3158" s="227" t="n"/>
      <c r="L3158" s="227" t="n"/>
      <c r="M3158" s="227" t="n"/>
      <c r="N3158" s="127" t="n"/>
      <c r="O3158" s="227" t="n"/>
      <c r="P3158" s="227" t="n"/>
      <c r="Q3158" s="227" t="n"/>
      <c r="R3158" s="227" t="n"/>
      <c r="S3158" s="227" t="n"/>
      <c r="T3158" s="227" t="n"/>
    </row>
    <row r="3159">
      <c r="A3159" s="145">
        <f>IF($B3159="","",ROW()-5)</f>
        <v/>
      </c>
      <c r="B3159" s="127" t="n"/>
      <c r="C3159" s="223" t="n"/>
      <c r="D3159" s="127" t="n"/>
      <c r="E3159" s="227" t="n"/>
      <c r="F3159" s="227" t="n"/>
      <c r="G3159" s="227" t="n"/>
      <c r="H3159" s="227" t="n"/>
      <c r="I3159" s="227" t="n"/>
      <c r="J3159" s="227" t="n"/>
      <c r="K3159" s="227" t="n"/>
      <c r="L3159" s="227" t="n"/>
      <c r="M3159" s="227" t="n"/>
      <c r="N3159" s="127" t="n"/>
      <c r="O3159" s="227" t="n"/>
      <c r="P3159" s="227" t="n"/>
      <c r="Q3159" s="227" t="n"/>
      <c r="R3159" s="227" t="n"/>
      <c r="S3159" s="227" t="n"/>
      <c r="T3159" s="227" t="n"/>
    </row>
    <row r="3160">
      <c r="A3160" s="145">
        <f>IF($B3160="","",ROW()-5)</f>
        <v/>
      </c>
      <c r="B3160" s="127" t="n"/>
      <c r="C3160" s="223" t="n"/>
      <c r="D3160" s="127" t="n"/>
      <c r="E3160" s="227" t="n"/>
      <c r="F3160" s="227" t="n"/>
      <c r="G3160" s="227" t="n"/>
      <c r="H3160" s="227" t="n"/>
      <c r="I3160" s="227" t="n"/>
      <c r="J3160" s="227" t="n"/>
      <c r="K3160" s="227" t="n"/>
      <c r="L3160" s="227" t="n"/>
      <c r="M3160" s="227" t="n"/>
      <c r="N3160" s="127" t="n"/>
      <c r="O3160" s="227" t="n"/>
      <c r="P3160" s="227" t="n"/>
      <c r="Q3160" s="227" t="n"/>
      <c r="R3160" s="227" t="n"/>
      <c r="S3160" s="227" t="n"/>
      <c r="T3160" s="227" t="n"/>
    </row>
    <row r="3161">
      <c r="A3161" s="145">
        <f>IF($B3161="","",ROW()-5)</f>
        <v/>
      </c>
      <c r="B3161" s="127" t="n"/>
      <c r="C3161" s="223" t="n"/>
      <c r="D3161" s="127" t="n"/>
      <c r="E3161" s="227" t="n"/>
      <c r="F3161" s="227" t="n"/>
      <c r="G3161" s="227" t="n"/>
      <c r="H3161" s="227" t="n"/>
      <c r="I3161" s="227" t="n"/>
      <c r="J3161" s="227" t="n"/>
      <c r="K3161" s="227" t="n"/>
      <c r="L3161" s="227" t="n"/>
      <c r="M3161" s="227" t="n"/>
      <c r="N3161" s="127" t="n"/>
      <c r="O3161" s="227" t="n"/>
      <c r="P3161" s="227" t="n"/>
      <c r="Q3161" s="227" t="n"/>
      <c r="R3161" s="227" t="n"/>
      <c r="S3161" s="227" t="n"/>
      <c r="T3161" s="227" t="n"/>
    </row>
    <row r="3162">
      <c r="A3162" s="145">
        <f>IF($B3162="","",ROW()-5)</f>
        <v/>
      </c>
      <c r="B3162" s="127" t="n"/>
      <c r="C3162" s="223" t="n"/>
      <c r="D3162" s="127" t="n"/>
      <c r="E3162" s="227" t="n"/>
      <c r="F3162" s="227" t="n"/>
      <c r="G3162" s="227" t="n"/>
      <c r="H3162" s="227" t="n"/>
      <c r="I3162" s="227" t="n"/>
      <c r="J3162" s="227" t="n"/>
      <c r="K3162" s="227" t="n"/>
      <c r="L3162" s="227" t="n"/>
      <c r="M3162" s="227" t="n"/>
      <c r="N3162" s="127" t="n"/>
      <c r="O3162" s="227" t="n"/>
      <c r="P3162" s="227" t="n"/>
      <c r="Q3162" s="227" t="n"/>
      <c r="R3162" s="227" t="n"/>
      <c r="S3162" s="227" t="n"/>
      <c r="T3162" s="227" t="n"/>
    </row>
    <row r="3163">
      <c r="A3163" s="145">
        <f>IF($B3163="","",ROW()-5)</f>
        <v/>
      </c>
      <c r="B3163" s="127" t="n"/>
      <c r="C3163" s="223" t="n"/>
      <c r="D3163" s="127" t="n"/>
      <c r="E3163" s="227" t="n"/>
      <c r="F3163" s="227" t="n"/>
      <c r="G3163" s="227" t="n"/>
      <c r="H3163" s="227" t="n"/>
      <c r="I3163" s="227" t="n"/>
      <c r="J3163" s="227" t="n"/>
      <c r="K3163" s="227" t="n"/>
      <c r="L3163" s="227" t="n"/>
      <c r="M3163" s="227" t="n"/>
      <c r="N3163" s="127" t="n"/>
      <c r="O3163" s="227" t="n"/>
      <c r="P3163" s="227" t="n"/>
      <c r="Q3163" s="227" t="n"/>
      <c r="R3163" s="227" t="n"/>
      <c r="S3163" s="227" t="n"/>
      <c r="T3163" s="227" t="n"/>
    </row>
    <row r="3164">
      <c r="A3164" s="145">
        <f>IF($B3164="","",ROW()-5)</f>
        <v/>
      </c>
      <c r="B3164" s="127" t="n"/>
      <c r="C3164" s="223" t="n"/>
      <c r="D3164" s="127" t="n"/>
      <c r="E3164" s="227" t="n"/>
      <c r="F3164" s="227" t="n"/>
      <c r="G3164" s="227" t="n"/>
      <c r="H3164" s="227" t="n"/>
      <c r="I3164" s="227" t="n"/>
      <c r="J3164" s="227" t="n"/>
      <c r="K3164" s="227" t="n"/>
      <c r="L3164" s="227" t="n"/>
      <c r="M3164" s="227" t="n"/>
      <c r="N3164" s="127" t="n"/>
      <c r="O3164" s="227" t="n"/>
      <c r="P3164" s="227" t="n"/>
      <c r="Q3164" s="227" t="n"/>
      <c r="R3164" s="227" t="n"/>
      <c r="S3164" s="227" t="n"/>
      <c r="T3164" s="227" t="n"/>
    </row>
    <row r="3165">
      <c r="A3165" s="145">
        <f>IF($B3165="","",ROW()-5)</f>
        <v/>
      </c>
      <c r="B3165" s="127" t="n"/>
      <c r="C3165" s="223" t="n"/>
      <c r="D3165" s="127" t="n"/>
      <c r="E3165" s="227" t="n"/>
      <c r="F3165" s="227" t="n"/>
      <c r="G3165" s="227" t="n"/>
      <c r="H3165" s="227" t="n"/>
      <c r="I3165" s="227" t="n"/>
      <c r="J3165" s="227" t="n"/>
      <c r="K3165" s="227" t="n"/>
      <c r="L3165" s="227" t="n"/>
      <c r="M3165" s="227" t="n"/>
      <c r="N3165" s="127" t="n"/>
      <c r="O3165" s="227" t="n"/>
      <c r="P3165" s="227" t="n"/>
      <c r="Q3165" s="227" t="n"/>
      <c r="R3165" s="227" t="n"/>
      <c r="S3165" s="227" t="n"/>
      <c r="T3165" s="227" t="n"/>
    </row>
    <row r="3166">
      <c r="A3166" s="145">
        <f>IF($B3166="","",ROW()-5)</f>
        <v/>
      </c>
      <c r="B3166" s="127" t="n"/>
      <c r="C3166" s="223" t="n"/>
      <c r="D3166" s="127" t="n"/>
      <c r="E3166" s="227" t="n"/>
      <c r="F3166" s="227" t="n"/>
      <c r="G3166" s="227" t="n"/>
      <c r="H3166" s="227" t="n"/>
      <c r="I3166" s="227" t="n"/>
      <c r="J3166" s="227" t="n"/>
      <c r="K3166" s="227" t="n"/>
      <c r="L3166" s="227" t="n"/>
      <c r="M3166" s="227" t="n"/>
      <c r="N3166" s="127" t="n"/>
      <c r="O3166" s="227" t="n"/>
      <c r="P3166" s="227" t="n"/>
      <c r="Q3166" s="227" t="n"/>
      <c r="R3166" s="227" t="n"/>
      <c r="S3166" s="227" t="n"/>
      <c r="T3166" s="227" t="n"/>
    </row>
    <row r="3167">
      <c r="A3167" s="145">
        <f>IF($B3167="","",ROW()-5)</f>
        <v/>
      </c>
      <c r="B3167" s="127" t="n"/>
      <c r="C3167" s="223" t="n"/>
      <c r="D3167" s="127" t="n"/>
      <c r="E3167" s="227" t="n"/>
      <c r="F3167" s="227" t="n"/>
      <c r="G3167" s="227" t="n"/>
      <c r="H3167" s="227" t="n"/>
      <c r="I3167" s="227" t="n"/>
      <c r="J3167" s="227" t="n"/>
      <c r="K3167" s="227" t="n"/>
      <c r="L3167" s="227" t="n"/>
      <c r="M3167" s="227" t="n"/>
      <c r="N3167" s="127" t="n"/>
      <c r="O3167" s="227" t="n"/>
      <c r="P3167" s="227" t="n"/>
      <c r="Q3167" s="227" t="n"/>
      <c r="R3167" s="227" t="n"/>
      <c r="S3167" s="227" t="n"/>
      <c r="T3167" s="227" t="n"/>
    </row>
    <row r="3168">
      <c r="A3168" s="145">
        <f>IF($B3168="","",ROW()-5)</f>
        <v/>
      </c>
      <c r="B3168" s="127" t="n"/>
      <c r="C3168" s="223" t="n"/>
      <c r="D3168" s="127" t="n"/>
      <c r="E3168" s="227" t="n"/>
      <c r="F3168" s="227" t="n"/>
      <c r="G3168" s="227" t="n"/>
      <c r="H3168" s="227" t="n"/>
      <c r="I3168" s="227" t="n"/>
      <c r="J3168" s="227" t="n"/>
      <c r="K3168" s="227" t="n"/>
      <c r="L3168" s="227" t="n"/>
      <c r="M3168" s="227" t="n"/>
      <c r="N3168" s="127" t="n"/>
      <c r="O3168" s="227" t="n"/>
      <c r="P3168" s="227" t="n"/>
      <c r="Q3168" s="227" t="n"/>
      <c r="R3168" s="227" t="n"/>
      <c r="S3168" s="227" t="n"/>
      <c r="T3168" s="227" t="n"/>
    </row>
    <row r="3169">
      <c r="A3169" s="145">
        <f>IF($B3169="","",ROW()-5)</f>
        <v/>
      </c>
      <c r="B3169" s="127" t="n"/>
      <c r="C3169" s="223" t="n"/>
      <c r="D3169" s="127" t="n"/>
      <c r="E3169" s="227" t="n"/>
      <c r="F3169" s="227" t="n"/>
      <c r="G3169" s="227" t="n"/>
      <c r="H3169" s="227" t="n"/>
      <c r="I3169" s="227" t="n"/>
      <c r="J3169" s="227" t="n"/>
      <c r="K3169" s="227" t="n"/>
      <c r="L3169" s="227" t="n"/>
      <c r="M3169" s="227" t="n"/>
      <c r="N3169" s="127" t="n"/>
      <c r="O3169" s="227" t="n"/>
      <c r="P3169" s="227" t="n"/>
      <c r="Q3169" s="227" t="n"/>
      <c r="R3169" s="227" t="n"/>
      <c r="S3169" s="227" t="n"/>
      <c r="T3169" s="227" t="n"/>
    </row>
    <row r="3170">
      <c r="A3170" s="145">
        <f>IF($B3170="","",ROW()-5)</f>
        <v/>
      </c>
      <c r="B3170" s="127" t="n"/>
      <c r="C3170" s="223" t="n"/>
      <c r="D3170" s="127" t="n"/>
      <c r="E3170" s="227" t="n"/>
      <c r="F3170" s="227" t="n"/>
      <c r="G3170" s="227" t="n"/>
      <c r="H3170" s="227" t="n"/>
      <c r="I3170" s="227" t="n"/>
      <c r="J3170" s="227" t="n"/>
      <c r="K3170" s="227" t="n"/>
      <c r="L3170" s="227" t="n"/>
      <c r="M3170" s="227" t="n"/>
      <c r="N3170" s="127" t="n"/>
      <c r="O3170" s="227" t="n"/>
      <c r="P3170" s="227" t="n"/>
      <c r="Q3170" s="227" t="n"/>
      <c r="R3170" s="227" t="n"/>
      <c r="S3170" s="227" t="n"/>
      <c r="T3170" s="227" t="n"/>
    </row>
    <row r="3171">
      <c r="A3171" s="145">
        <f>IF($B3171="","",ROW()-5)</f>
        <v/>
      </c>
      <c r="B3171" s="127" t="n"/>
      <c r="C3171" s="223" t="n"/>
      <c r="D3171" s="127" t="n"/>
      <c r="E3171" s="227" t="n"/>
      <c r="F3171" s="227" t="n"/>
      <c r="G3171" s="227" t="n"/>
      <c r="H3171" s="227" t="n"/>
      <c r="I3171" s="227" t="n"/>
      <c r="J3171" s="227" t="n"/>
      <c r="K3171" s="227" t="n"/>
      <c r="L3171" s="227" t="n"/>
      <c r="M3171" s="227" t="n"/>
      <c r="N3171" s="127" t="n"/>
      <c r="O3171" s="227" t="n"/>
      <c r="P3171" s="227" t="n"/>
      <c r="Q3171" s="227" t="n"/>
      <c r="R3171" s="227" t="n"/>
      <c r="S3171" s="227" t="n"/>
      <c r="T3171" s="227" t="n"/>
    </row>
    <row r="3172">
      <c r="A3172" s="145">
        <f>IF($B3172="","",ROW()-5)</f>
        <v/>
      </c>
      <c r="B3172" s="127" t="n"/>
      <c r="C3172" s="223" t="n"/>
      <c r="D3172" s="127" t="n"/>
      <c r="E3172" s="227" t="n"/>
      <c r="F3172" s="227" t="n"/>
      <c r="G3172" s="227" t="n"/>
      <c r="H3172" s="227" t="n"/>
      <c r="I3172" s="227" t="n"/>
      <c r="J3172" s="227" t="n"/>
      <c r="K3172" s="227" t="n"/>
      <c r="L3172" s="227" t="n"/>
      <c r="M3172" s="227" t="n"/>
      <c r="N3172" s="127" t="n"/>
      <c r="O3172" s="227" t="n"/>
      <c r="P3172" s="227" t="n"/>
      <c r="Q3172" s="227" t="n"/>
      <c r="R3172" s="227" t="n"/>
      <c r="S3172" s="227" t="n"/>
      <c r="T3172" s="227" t="n"/>
    </row>
    <row r="3173">
      <c r="A3173" s="145">
        <f>IF($B3173="","",ROW()-5)</f>
        <v/>
      </c>
      <c r="B3173" s="127" t="n"/>
      <c r="C3173" s="223" t="n"/>
      <c r="D3173" s="127" t="n"/>
      <c r="E3173" s="227" t="n"/>
      <c r="F3173" s="227" t="n"/>
      <c r="G3173" s="227" t="n"/>
      <c r="H3173" s="227" t="n"/>
      <c r="I3173" s="227" t="n"/>
      <c r="J3173" s="227" t="n"/>
      <c r="K3173" s="227" t="n"/>
      <c r="L3173" s="227" t="n"/>
      <c r="M3173" s="227" t="n"/>
      <c r="N3173" s="127" t="n"/>
      <c r="O3173" s="227" t="n"/>
      <c r="P3173" s="227" t="n"/>
      <c r="Q3173" s="227" t="n"/>
      <c r="R3173" s="227" t="n"/>
      <c r="S3173" s="227" t="n"/>
      <c r="T3173" s="227" t="n"/>
    </row>
    <row r="3174">
      <c r="A3174" s="145">
        <f>IF($B3174="","",ROW()-5)</f>
        <v/>
      </c>
      <c r="B3174" s="127" t="n"/>
      <c r="C3174" s="223" t="n"/>
      <c r="D3174" s="127" t="n"/>
      <c r="E3174" s="227" t="n"/>
      <c r="F3174" s="227" t="n"/>
      <c r="G3174" s="227" t="n"/>
      <c r="H3174" s="227" t="n"/>
      <c r="I3174" s="227" t="n"/>
      <c r="J3174" s="227" t="n"/>
      <c r="K3174" s="227" t="n"/>
      <c r="L3174" s="227" t="n"/>
      <c r="M3174" s="227" t="n"/>
      <c r="N3174" s="127" t="n"/>
      <c r="O3174" s="227" t="n"/>
      <c r="P3174" s="227" t="n"/>
      <c r="Q3174" s="227" t="n"/>
      <c r="R3174" s="227" t="n"/>
      <c r="S3174" s="227" t="n"/>
      <c r="T3174" s="227" t="n"/>
    </row>
    <row r="3175">
      <c r="A3175" s="145">
        <f>IF($B3175="","",ROW()-5)</f>
        <v/>
      </c>
      <c r="B3175" s="127" t="n"/>
      <c r="C3175" s="223" t="n"/>
      <c r="D3175" s="127" t="n"/>
      <c r="E3175" s="227" t="n"/>
      <c r="F3175" s="227" t="n"/>
      <c r="G3175" s="227" t="n"/>
      <c r="H3175" s="227" t="n"/>
      <c r="I3175" s="227" t="n"/>
      <c r="J3175" s="227" t="n"/>
      <c r="K3175" s="227" t="n"/>
      <c r="L3175" s="227" t="n"/>
      <c r="M3175" s="227" t="n"/>
      <c r="N3175" s="127" t="n"/>
      <c r="O3175" s="227" t="n"/>
      <c r="P3175" s="227" t="n"/>
      <c r="Q3175" s="227" t="n"/>
      <c r="R3175" s="227" t="n"/>
      <c r="S3175" s="227" t="n"/>
      <c r="T3175" s="227" t="n"/>
    </row>
    <row r="3176">
      <c r="A3176" s="145">
        <f>IF($B3176="","",ROW()-5)</f>
        <v/>
      </c>
      <c r="B3176" s="127" t="n"/>
      <c r="C3176" s="223" t="n"/>
      <c r="D3176" s="127" t="n"/>
      <c r="E3176" s="227" t="n"/>
      <c r="F3176" s="227" t="n"/>
      <c r="G3176" s="227" t="n"/>
      <c r="H3176" s="227" t="n"/>
      <c r="I3176" s="227" t="n"/>
      <c r="J3176" s="227" t="n"/>
      <c r="K3176" s="227" t="n"/>
      <c r="L3176" s="227" t="n"/>
      <c r="M3176" s="227" t="n"/>
      <c r="N3176" s="127" t="n"/>
      <c r="O3176" s="227" t="n"/>
      <c r="P3176" s="227" t="n"/>
      <c r="Q3176" s="227" t="n"/>
      <c r="R3176" s="227" t="n"/>
      <c r="S3176" s="227" t="n"/>
      <c r="T3176" s="227" t="n"/>
    </row>
    <row r="3177">
      <c r="A3177" s="145">
        <f>IF($B3177="","",ROW()-5)</f>
        <v/>
      </c>
      <c r="B3177" s="127" t="n"/>
      <c r="C3177" s="223" t="n"/>
      <c r="D3177" s="127" t="n"/>
      <c r="E3177" s="227" t="n"/>
      <c r="F3177" s="227" t="n"/>
      <c r="G3177" s="227" t="n"/>
      <c r="H3177" s="227" t="n"/>
      <c r="I3177" s="227" t="n"/>
      <c r="J3177" s="227" t="n"/>
      <c r="K3177" s="227" t="n"/>
      <c r="L3177" s="227" t="n"/>
      <c r="M3177" s="227" t="n"/>
      <c r="N3177" s="127" t="n"/>
      <c r="O3177" s="227" t="n"/>
      <c r="P3177" s="227" t="n"/>
      <c r="Q3177" s="227" t="n"/>
      <c r="R3177" s="227" t="n"/>
      <c r="S3177" s="227" t="n"/>
      <c r="T3177" s="227" t="n"/>
    </row>
    <row r="3178">
      <c r="A3178" s="145">
        <f>IF($B3178="","",ROW()-5)</f>
        <v/>
      </c>
      <c r="B3178" s="127" t="n"/>
      <c r="C3178" s="223" t="n"/>
      <c r="D3178" s="127" t="n"/>
      <c r="E3178" s="227" t="n"/>
      <c r="F3178" s="227" t="n"/>
      <c r="G3178" s="227" t="n"/>
      <c r="H3178" s="227" t="n"/>
      <c r="I3178" s="227" t="n"/>
      <c r="J3178" s="227" t="n"/>
      <c r="K3178" s="227" t="n"/>
      <c r="L3178" s="227" t="n"/>
      <c r="M3178" s="227" t="n"/>
      <c r="N3178" s="127" t="n"/>
      <c r="O3178" s="227" t="n"/>
      <c r="P3178" s="227" t="n"/>
      <c r="Q3178" s="227" t="n"/>
      <c r="R3178" s="227" t="n"/>
      <c r="S3178" s="227" t="n"/>
      <c r="T3178" s="227" t="n"/>
    </row>
    <row r="3179">
      <c r="A3179" s="145">
        <f>IF($B3179="","",ROW()-5)</f>
        <v/>
      </c>
      <c r="B3179" s="127" t="n"/>
      <c r="C3179" s="223" t="n"/>
      <c r="D3179" s="127" t="n"/>
      <c r="E3179" s="227" t="n"/>
      <c r="F3179" s="227" t="n"/>
      <c r="G3179" s="227" t="n"/>
      <c r="H3179" s="227" t="n"/>
      <c r="I3179" s="227" t="n"/>
      <c r="J3179" s="227" t="n"/>
      <c r="K3179" s="227" t="n"/>
      <c r="L3179" s="227" t="n"/>
      <c r="M3179" s="227" t="n"/>
      <c r="N3179" s="127" t="n"/>
      <c r="O3179" s="227" t="n"/>
      <c r="P3179" s="227" t="n"/>
      <c r="Q3179" s="227" t="n"/>
      <c r="R3179" s="227" t="n"/>
      <c r="S3179" s="227" t="n"/>
      <c r="T3179" s="227" t="n"/>
    </row>
    <row r="3180">
      <c r="A3180" s="145">
        <f>IF($B3180="","",ROW()-5)</f>
        <v/>
      </c>
      <c r="B3180" s="127" t="n"/>
      <c r="C3180" s="223" t="n"/>
      <c r="D3180" s="127" t="n"/>
      <c r="E3180" s="227" t="n"/>
      <c r="F3180" s="227" t="n"/>
      <c r="G3180" s="227" t="n"/>
      <c r="H3180" s="227" t="n"/>
      <c r="I3180" s="227" t="n"/>
      <c r="J3180" s="227" t="n"/>
      <c r="K3180" s="227" t="n"/>
      <c r="L3180" s="227" t="n"/>
      <c r="M3180" s="227" t="n"/>
      <c r="N3180" s="127" t="n"/>
      <c r="O3180" s="227" t="n"/>
      <c r="P3180" s="227" t="n"/>
      <c r="Q3180" s="227" t="n"/>
      <c r="R3180" s="227" t="n"/>
      <c r="S3180" s="227" t="n"/>
      <c r="T3180" s="227" t="n"/>
    </row>
    <row r="3181">
      <c r="A3181" s="145">
        <f>IF($B3181="","",ROW()-5)</f>
        <v/>
      </c>
      <c r="B3181" s="127" t="n"/>
      <c r="C3181" s="223" t="n"/>
      <c r="D3181" s="127" t="n"/>
      <c r="E3181" s="227" t="n"/>
      <c r="F3181" s="227" t="n"/>
      <c r="G3181" s="227" t="n"/>
      <c r="H3181" s="227" t="n"/>
      <c r="I3181" s="227" t="n"/>
      <c r="J3181" s="227" t="n"/>
      <c r="K3181" s="227" t="n"/>
      <c r="L3181" s="227" t="n"/>
      <c r="M3181" s="227" t="n"/>
      <c r="N3181" s="127" t="n"/>
      <c r="O3181" s="227" t="n"/>
      <c r="P3181" s="227" t="n"/>
      <c r="Q3181" s="227" t="n"/>
      <c r="R3181" s="227" t="n"/>
      <c r="S3181" s="227" t="n"/>
      <c r="T3181" s="227" t="n"/>
    </row>
    <row r="3182">
      <c r="A3182" s="145">
        <f>IF($B3182="","",ROW()-5)</f>
        <v/>
      </c>
      <c r="B3182" s="127" t="n"/>
      <c r="C3182" s="223" t="n"/>
      <c r="D3182" s="127" t="n"/>
      <c r="E3182" s="227" t="n"/>
      <c r="F3182" s="227" t="n"/>
      <c r="G3182" s="227" t="n"/>
      <c r="H3182" s="227" t="n"/>
      <c r="I3182" s="227" t="n"/>
      <c r="J3182" s="227" t="n"/>
      <c r="K3182" s="227" t="n"/>
      <c r="L3182" s="227" t="n"/>
      <c r="M3182" s="227" t="n"/>
      <c r="N3182" s="127" t="n"/>
      <c r="O3182" s="227" t="n"/>
      <c r="P3182" s="227" t="n"/>
      <c r="Q3182" s="227" t="n"/>
      <c r="R3182" s="227" t="n"/>
      <c r="S3182" s="227" t="n"/>
      <c r="T3182" s="227" t="n"/>
    </row>
    <row r="3183">
      <c r="A3183" s="145">
        <f>IF($B3183="","",ROW()-5)</f>
        <v/>
      </c>
      <c r="B3183" s="127" t="n"/>
      <c r="C3183" s="223" t="n"/>
      <c r="D3183" s="127" t="n"/>
      <c r="E3183" s="227" t="n"/>
      <c r="F3183" s="227" t="n"/>
      <c r="G3183" s="227" t="n"/>
      <c r="H3183" s="227" t="n"/>
      <c r="I3183" s="227" t="n"/>
      <c r="J3183" s="227" t="n"/>
      <c r="K3183" s="227" t="n"/>
      <c r="L3183" s="227" t="n"/>
      <c r="M3183" s="227" t="n"/>
      <c r="N3183" s="127" t="n"/>
      <c r="O3183" s="227" t="n"/>
      <c r="P3183" s="227" t="n"/>
      <c r="Q3183" s="227" t="n"/>
      <c r="R3183" s="227" t="n"/>
      <c r="S3183" s="227" t="n"/>
      <c r="T3183" s="227" t="n"/>
    </row>
    <row r="3184">
      <c r="A3184" s="145">
        <f>IF($B3184="","",ROW()-5)</f>
        <v/>
      </c>
      <c r="B3184" s="127" t="n"/>
      <c r="C3184" s="223" t="n"/>
      <c r="D3184" s="127" t="n"/>
      <c r="E3184" s="227" t="n"/>
      <c r="F3184" s="227" t="n"/>
      <c r="G3184" s="227" t="n"/>
      <c r="H3184" s="227" t="n"/>
      <c r="I3184" s="227" t="n"/>
      <c r="J3184" s="227" t="n"/>
      <c r="K3184" s="227" t="n"/>
      <c r="L3184" s="227" t="n"/>
      <c r="M3184" s="227" t="n"/>
      <c r="N3184" s="127" t="n"/>
      <c r="O3184" s="227" t="n"/>
      <c r="P3184" s="227" t="n"/>
      <c r="Q3184" s="227" t="n"/>
      <c r="R3184" s="227" t="n"/>
      <c r="S3184" s="227" t="n"/>
      <c r="T3184" s="227" t="n"/>
    </row>
    <row r="3185">
      <c r="A3185" s="145">
        <f>IF($B3185="","",ROW()-5)</f>
        <v/>
      </c>
      <c r="B3185" s="127" t="n"/>
      <c r="C3185" s="223" t="n"/>
      <c r="D3185" s="127" t="n"/>
      <c r="E3185" s="227" t="n"/>
      <c r="F3185" s="227" t="n"/>
      <c r="G3185" s="227" t="n"/>
      <c r="H3185" s="227" t="n"/>
      <c r="I3185" s="227" t="n"/>
      <c r="J3185" s="227" t="n"/>
      <c r="K3185" s="227" t="n"/>
      <c r="L3185" s="227" t="n"/>
      <c r="M3185" s="227" t="n"/>
      <c r="N3185" s="127" t="n"/>
      <c r="O3185" s="227" t="n"/>
      <c r="P3185" s="227" t="n"/>
      <c r="Q3185" s="227" t="n"/>
      <c r="R3185" s="227" t="n"/>
      <c r="S3185" s="227" t="n"/>
      <c r="T3185" s="227" t="n"/>
    </row>
    <row r="3186">
      <c r="A3186" s="145">
        <f>IF($B3186="","",ROW()-5)</f>
        <v/>
      </c>
      <c r="B3186" s="127" t="n"/>
      <c r="C3186" s="223" t="n"/>
      <c r="D3186" s="127" t="n"/>
      <c r="E3186" s="227" t="n"/>
      <c r="F3186" s="227" t="n"/>
      <c r="G3186" s="227" t="n"/>
      <c r="H3186" s="227" t="n"/>
      <c r="I3186" s="227" t="n"/>
      <c r="J3186" s="227" t="n"/>
      <c r="K3186" s="227" t="n"/>
      <c r="L3186" s="227" t="n"/>
      <c r="M3186" s="227" t="n"/>
      <c r="N3186" s="127" t="n"/>
      <c r="O3186" s="227" t="n"/>
      <c r="P3186" s="227" t="n"/>
      <c r="Q3186" s="227" t="n"/>
      <c r="R3186" s="227" t="n"/>
      <c r="S3186" s="227" t="n"/>
      <c r="T3186" s="227" t="n"/>
    </row>
    <row r="3187">
      <c r="A3187" s="145">
        <f>IF($B3187="","",ROW()-5)</f>
        <v/>
      </c>
      <c r="B3187" s="127" t="n"/>
      <c r="C3187" s="223" t="n"/>
      <c r="D3187" s="127" t="n"/>
      <c r="E3187" s="227" t="n"/>
      <c r="F3187" s="227" t="n"/>
      <c r="G3187" s="227" t="n"/>
      <c r="H3187" s="227" t="n"/>
      <c r="I3187" s="227" t="n"/>
      <c r="J3187" s="227" t="n"/>
      <c r="K3187" s="227" t="n"/>
      <c r="L3187" s="227" t="n"/>
      <c r="M3187" s="227" t="n"/>
      <c r="N3187" s="127" t="n"/>
      <c r="O3187" s="227" t="n"/>
      <c r="P3187" s="227" t="n"/>
      <c r="Q3187" s="227" t="n"/>
      <c r="R3187" s="227" t="n"/>
      <c r="S3187" s="227" t="n"/>
      <c r="T3187" s="227" t="n"/>
    </row>
    <row r="3188">
      <c r="A3188" s="145">
        <f>IF($B3188="","",ROW()-5)</f>
        <v/>
      </c>
      <c r="B3188" s="127" t="n"/>
      <c r="C3188" s="223" t="n"/>
      <c r="D3188" s="127" t="n"/>
      <c r="E3188" s="227" t="n"/>
      <c r="F3188" s="227" t="n"/>
      <c r="G3188" s="227" t="n"/>
      <c r="H3188" s="227" t="n"/>
      <c r="I3188" s="227" t="n"/>
      <c r="J3188" s="227" t="n"/>
      <c r="K3188" s="227" t="n"/>
      <c r="L3188" s="227" t="n"/>
      <c r="M3188" s="227" t="n"/>
      <c r="N3188" s="127" t="n"/>
      <c r="O3188" s="227" t="n"/>
      <c r="P3188" s="227" t="n"/>
      <c r="Q3188" s="227" t="n"/>
      <c r="R3188" s="227" t="n"/>
      <c r="S3188" s="227" t="n"/>
      <c r="T3188" s="227" t="n"/>
    </row>
    <row r="3189">
      <c r="A3189" s="145">
        <f>IF($B3189="","",ROW()-5)</f>
        <v/>
      </c>
      <c r="B3189" s="127" t="n"/>
      <c r="C3189" s="223" t="n"/>
      <c r="D3189" s="127" t="n"/>
      <c r="E3189" s="227" t="n"/>
      <c r="F3189" s="227" t="n"/>
      <c r="G3189" s="227" t="n"/>
      <c r="H3189" s="227" t="n"/>
      <c r="I3189" s="227" t="n"/>
      <c r="J3189" s="227" t="n"/>
      <c r="K3189" s="227" t="n"/>
      <c r="L3189" s="227" t="n"/>
      <c r="M3189" s="227" t="n"/>
      <c r="N3189" s="127" t="n"/>
      <c r="O3189" s="227" t="n"/>
      <c r="P3189" s="227" t="n"/>
      <c r="Q3189" s="227" t="n"/>
      <c r="R3189" s="227" t="n"/>
      <c r="S3189" s="227" t="n"/>
      <c r="T3189" s="227" t="n"/>
    </row>
    <row r="3190">
      <c r="A3190" s="145">
        <f>IF($B3190="","",ROW()-5)</f>
        <v/>
      </c>
      <c r="B3190" s="127" t="n"/>
      <c r="C3190" s="223" t="n"/>
      <c r="D3190" s="127" t="n"/>
      <c r="E3190" s="227" t="n"/>
      <c r="F3190" s="227" t="n"/>
      <c r="G3190" s="227" t="n"/>
      <c r="H3190" s="227" t="n"/>
      <c r="I3190" s="227" t="n"/>
      <c r="J3190" s="227" t="n"/>
      <c r="K3190" s="227" t="n"/>
      <c r="L3190" s="227" t="n"/>
      <c r="M3190" s="227" t="n"/>
      <c r="N3190" s="127" t="n"/>
      <c r="O3190" s="227" t="n"/>
      <c r="P3190" s="227" t="n"/>
      <c r="Q3190" s="227" t="n"/>
      <c r="R3190" s="227" t="n"/>
      <c r="S3190" s="227" t="n"/>
      <c r="T3190" s="227" t="n"/>
    </row>
    <row r="3191">
      <c r="A3191" s="145">
        <f>IF($B3191="","",ROW()-5)</f>
        <v/>
      </c>
      <c r="B3191" s="127" t="n"/>
      <c r="C3191" s="223" t="n"/>
      <c r="D3191" s="127" t="n"/>
      <c r="E3191" s="227" t="n"/>
      <c r="F3191" s="227" t="n"/>
      <c r="G3191" s="227" t="n"/>
      <c r="H3191" s="227" t="n"/>
      <c r="I3191" s="227" t="n"/>
      <c r="J3191" s="227" t="n"/>
      <c r="K3191" s="227" t="n"/>
      <c r="L3191" s="227" t="n"/>
      <c r="M3191" s="227" t="n"/>
      <c r="N3191" s="127" t="n"/>
      <c r="O3191" s="227" t="n"/>
      <c r="P3191" s="227" t="n"/>
      <c r="Q3191" s="227" t="n"/>
      <c r="R3191" s="227" t="n"/>
      <c r="S3191" s="227" t="n"/>
      <c r="T3191" s="227" t="n"/>
    </row>
    <row r="3192">
      <c r="A3192" s="145">
        <f>IF($B3192="","",ROW()-5)</f>
        <v/>
      </c>
      <c r="B3192" s="127" t="n"/>
      <c r="C3192" s="223" t="n"/>
      <c r="D3192" s="127" t="n"/>
      <c r="E3192" s="227" t="n"/>
      <c r="F3192" s="227" t="n"/>
      <c r="G3192" s="227" t="n"/>
      <c r="H3192" s="227" t="n"/>
      <c r="I3192" s="227" t="n"/>
      <c r="J3192" s="227" t="n"/>
      <c r="K3192" s="227" t="n"/>
      <c r="L3192" s="227" t="n"/>
      <c r="M3192" s="227" t="n"/>
      <c r="N3192" s="127" t="n"/>
      <c r="O3192" s="227" t="n"/>
      <c r="P3192" s="227" t="n"/>
      <c r="Q3192" s="227" t="n"/>
      <c r="R3192" s="227" t="n"/>
      <c r="S3192" s="227" t="n"/>
      <c r="T3192" s="227" t="n"/>
    </row>
    <row r="3193">
      <c r="A3193" s="145">
        <f>IF($B3193="","",ROW()-5)</f>
        <v/>
      </c>
      <c r="B3193" s="127" t="n"/>
      <c r="C3193" s="223" t="n"/>
      <c r="D3193" s="127" t="n"/>
      <c r="E3193" s="227" t="n"/>
      <c r="F3193" s="227" t="n"/>
      <c r="G3193" s="227" t="n"/>
      <c r="H3193" s="227" t="n"/>
      <c r="I3193" s="227" t="n"/>
      <c r="J3193" s="227" t="n"/>
      <c r="K3193" s="227" t="n"/>
      <c r="L3193" s="227" t="n"/>
      <c r="M3193" s="227" t="n"/>
      <c r="N3193" s="127" t="n"/>
      <c r="O3193" s="227" t="n"/>
      <c r="P3193" s="227" t="n"/>
      <c r="Q3193" s="227" t="n"/>
      <c r="R3193" s="227" t="n"/>
      <c r="S3193" s="227" t="n"/>
      <c r="T3193" s="227" t="n"/>
    </row>
    <row r="3194">
      <c r="A3194" s="145">
        <f>IF($B3194="","",ROW()-5)</f>
        <v/>
      </c>
      <c r="B3194" s="127" t="n"/>
      <c r="C3194" s="223" t="n"/>
      <c r="D3194" s="127" t="n"/>
      <c r="E3194" s="227" t="n"/>
      <c r="F3194" s="227" t="n"/>
      <c r="G3194" s="227" t="n"/>
      <c r="H3194" s="227" t="n"/>
      <c r="I3194" s="227" t="n"/>
      <c r="J3194" s="227" t="n"/>
      <c r="K3194" s="227" t="n"/>
      <c r="L3194" s="227" t="n"/>
      <c r="M3194" s="227" t="n"/>
      <c r="N3194" s="127" t="n"/>
      <c r="O3194" s="227" t="n"/>
      <c r="P3194" s="227" t="n"/>
      <c r="Q3194" s="227" t="n"/>
      <c r="R3194" s="227" t="n"/>
      <c r="S3194" s="227" t="n"/>
      <c r="T3194" s="227" t="n"/>
    </row>
    <row r="3195">
      <c r="A3195" s="145">
        <f>IF($B3195="","",ROW()-5)</f>
        <v/>
      </c>
      <c r="B3195" s="127" t="n"/>
      <c r="C3195" s="223" t="n"/>
      <c r="D3195" s="127" t="n"/>
      <c r="E3195" s="227" t="n"/>
      <c r="F3195" s="227" t="n"/>
      <c r="G3195" s="227" t="n"/>
      <c r="H3195" s="227" t="n"/>
      <c r="I3195" s="227" t="n"/>
      <c r="J3195" s="227" t="n"/>
      <c r="K3195" s="227" t="n"/>
      <c r="L3195" s="227" t="n"/>
      <c r="M3195" s="227" t="n"/>
      <c r="N3195" s="127" t="n"/>
      <c r="O3195" s="227" t="n"/>
      <c r="P3195" s="227" t="n"/>
      <c r="Q3195" s="227" t="n"/>
      <c r="R3195" s="227" t="n"/>
      <c r="S3195" s="227" t="n"/>
      <c r="T3195" s="227" t="n"/>
    </row>
    <row r="3196">
      <c r="A3196" s="145">
        <f>IF($B3196="","",ROW()-5)</f>
        <v/>
      </c>
      <c r="B3196" s="127" t="n"/>
      <c r="C3196" s="223" t="n"/>
      <c r="D3196" s="127" t="n"/>
      <c r="E3196" s="227" t="n"/>
      <c r="F3196" s="227" t="n"/>
      <c r="G3196" s="227" t="n"/>
      <c r="H3196" s="227" t="n"/>
      <c r="I3196" s="227" t="n"/>
      <c r="J3196" s="227" t="n"/>
      <c r="K3196" s="227" t="n"/>
      <c r="L3196" s="227" t="n"/>
      <c r="M3196" s="227" t="n"/>
      <c r="N3196" s="127" t="n"/>
      <c r="O3196" s="227" t="n"/>
      <c r="P3196" s="227" t="n"/>
      <c r="Q3196" s="227" t="n"/>
      <c r="R3196" s="227" t="n"/>
      <c r="S3196" s="227" t="n"/>
      <c r="T3196" s="227" t="n"/>
    </row>
    <row r="3197">
      <c r="A3197" s="145">
        <f>IF($B3197="","",ROW()-5)</f>
        <v/>
      </c>
      <c r="B3197" s="127" t="n"/>
      <c r="C3197" s="223" t="n"/>
      <c r="D3197" s="127" t="n"/>
      <c r="E3197" s="227" t="n"/>
      <c r="F3197" s="227" t="n"/>
      <c r="G3197" s="227" t="n"/>
      <c r="H3197" s="227" t="n"/>
      <c r="I3197" s="227" t="n"/>
      <c r="J3197" s="227" t="n"/>
      <c r="K3197" s="227" t="n"/>
      <c r="L3197" s="227" t="n"/>
      <c r="M3197" s="227" t="n"/>
      <c r="N3197" s="127" t="n"/>
      <c r="O3197" s="227" t="n"/>
      <c r="P3197" s="227" t="n"/>
      <c r="Q3197" s="227" t="n"/>
      <c r="R3197" s="227" t="n"/>
      <c r="S3197" s="227" t="n"/>
      <c r="T3197" s="227" t="n"/>
    </row>
    <row r="3198">
      <c r="A3198" s="145">
        <f>IF($B3198="","",ROW()-5)</f>
        <v/>
      </c>
      <c r="B3198" s="127" t="n"/>
      <c r="C3198" s="223" t="n"/>
      <c r="D3198" s="127" t="n"/>
      <c r="E3198" s="227" t="n"/>
      <c r="F3198" s="227" t="n"/>
      <c r="G3198" s="227" t="n"/>
      <c r="H3198" s="227" t="n"/>
      <c r="I3198" s="227" t="n"/>
      <c r="J3198" s="227" t="n"/>
      <c r="K3198" s="227" t="n"/>
      <c r="L3198" s="227" t="n"/>
      <c r="M3198" s="227" t="n"/>
      <c r="N3198" s="127" t="n"/>
      <c r="O3198" s="227" t="n"/>
      <c r="P3198" s="227" t="n"/>
      <c r="Q3198" s="227" t="n"/>
      <c r="R3198" s="227" t="n"/>
      <c r="S3198" s="227" t="n"/>
      <c r="T3198" s="227" t="n"/>
    </row>
    <row r="3199">
      <c r="A3199" s="145">
        <f>IF($B3199="","",ROW()-5)</f>
        <v/>
      </c>
      <c r="B3199" s="127" t="n"/>
      <c r="C3199" s="223" t="n"/>
      <c r="D3199" s="127" t="n"/>
      <c r="E3199" s="227" t="n"/>
      <c r="F3199" s="227" t="n"/>
      <c r="G3199" s="227" t="n"/>
      <c r="H3199" s="227" t="n"/>
      <c r="I3199" s="227" t="n"/>
      <c r="J3199" s="227" t="n"/>
      <c r="K3199" s="227" t="n"/>
      <c r="L3199" s="227" t="n"/>
      <c r="M3199" s="227" t="n"/>
      <c r="N3199" s="127" t="n"/>
      <c r="O3199" s="227" t="n"/>
      <c r="P3199" s="227" t="n"/>
      <c r="Q3199" s="227" t="n"/>
      <c r="R3199" s="227" t="n"/>
      <c r="S3199" s="227" t="n"/>
      <c r="T3199" s="227" t="n"/>
    </row>
    <row r="3200">
      <c r="A3200" s="145">
        <f>IF($B3200="","",ROW()-5)</f>
        <v/>
      </c>
      <c r="B3200" s="127" t="n"/>
      <c r="C3200" s="223" t="n"/>
      <c r="D3200" s="127" t="n"/>
      <c r="E3200" s="227" t="n"/>
      <c r="F3200" s="227" t="n"/>
      <c r="G3200" s="227" t="n"/>
      <c r="H3200" s="227" t="n"/>
      <c r="I3200" s="227" t="n"/>
      <c r="J3200" s="227" t="n"/>
      <c r="K3200" s="227" t="n"/>
      <c r="L3200" s="227" t="n"/>
      <c r="M3200" s="227" t="n"/>
      <c r="N3200" s="127" t="n"/>
      <c r="O3200" s="227" t="n"/>
      <c r="P3200" s="227" t="n"/>
      <c r="Q3200" s="227" t="n"/>
      <c r="R3200" s="227" t="n"/>
      <c r="S3200" s="227" t="n"/>
      <c r="T3200" s="227" t="n"/>
    </row>
    <row r="3201">
      <c r="A3201" s="145">
        <f>IF($B3201="","",ROW()-5)</f>
        <v/>
      </c>
      <c r="B3201" s="127" t="n"/>
      <c r="C3201" s="223" t="n"/>
      <c r="D3201" s="127" t="n"/>
      <c r="E3201" s="227" t="n"/>
      <c r="F3201" s="227" t="n"/>
      <c r="G3201" s="227" t="n"/>
      <c r="H3201" s="227" t="n"/>
      <c r="I3201" s="227" t="n"/>
      <c r="J3201" s="227" t="n"/>
      <c r="K3201" s="227" t="n"/>
      <c r="L3201" s="227" t="n"/>
      <c r="M3201" s="227" t="n"/>
      <c r="N3201" s="127" t="n"/>
      <c r="O3201" s="227" t="n"/>
      <c r="P3201" s="227" t="n"/>
      <c r="Q3201" s="227" t="n"/>
      <c r="R3201" s="227" t="n"/>
      <c r="S3201" s="227" t="n"/>
      <c r="T3201" s="227" t="n"/>
    </row>
    <row r="3202">
      <c r="A3202" s="145">
        <f>IF($B3202="","",ROW()-5)</f>
        <v/>
      </c>
      <c r="B3202" s="127" t="n"/>
      <c r="C3202" s="223" t="n"/>
      <c r="D3202" s="127" t="n"/>
      <c r="E3202" s="227" t="n"/>
      <c r="F3202" s="227" t="n"/>
      <c r="G3202" s="227" t="n"/>
      <c r="H3202" s="227" t="n"/>
      <c r="I3202" s="227" t="n"/>
      <c r="J3202" s="227" t="n"/>
      <c r="K3202" s="227" t="n"/>
      <c r="L3202" s="227" t="n"/>
      <c r="M3202" s="227" t="n"/>
      <c r="N3202" s="127" t="n"/>
      <c r="O3202" s="227" t="n"/>
      <c r="P3202" s="227" t="n"/>
      <c r="Q3202" s="227" t="n"/>
      <c r="R3202" s="227" t="n"/>
      <c r="S3202" s="227" t="n"/>
      <c r="T3202" s="227" t="n"/>
    </row>
    <row r="3203">
      <c r="A3203" s="145">
        <f>IF($B3203="","",ROW()-5)</f>
        <v/>
      </c>
      <c r="B3203" s="127" t="n"/>
      <c r="C3203" s="223" t="n"/>
      <c r="D3203" s="127" t="n"/>
      <c r="E3203" s="227" t="n"/>
      <c r="F3203" s="227" t="n"/>
      <c r="G3203" s="227" t="n"/>
      <c r="H3203" s="227" t="n"/>
      <c r="I3203" s="227" t="n"/>
      <c r="J3203" s="227" t="n"/>
      <c r="K3203" s="227" t="n"/>
      <c r="L3203" s="227" t="n"/>
      <c r="M3203" s="227" t="n"/>
      <c r="N3203" s="127" t="n"/>
      <c r="O3203" s="227" t="n"/>
      <c r="P3203" s="227" t="n"/>
      <c r="Q3203" s="227" t="n"/>
      <c r="R3203" s="227" t="n"/>
      <c r="S3203" s="227" t="n"/>
      <c r="T3203" s="227" t="n"/>
    </row>
    <row r="3204">
      <c r="A3204" s="145">
        <f>IF($B3204="","",ROW()-5)</f>
        <v/>
      </c>
      <c r="B3204" s="127" t="n"/>
      <c r="C3204" s="223" t="n"/>
      <c r="D3204" s="127" t="n"/>
      <c r="E3204" s="227" t="n"/>
      <c r="F3204" s="227" t="n"/>
      <c r="G3204" s="227" t="n"/>
      <c r="H3204" s="227" t="n"/>
      <c r="I3204" s="227" t="n"/>
      <c r="J3204" s="227" t="n"/>
      <c r="K3204" s="227" t="n"/>
      <c r="L3204" s="227" t="n"/>
      <c r="M3204" s="227" t="n"/>
      <c r="N3204" s="127" t="n"/>
      <c r="O3204" s="227" t="n"/>
      <c r="P3204" s="227" t="n"/>
      <c r="Q3204" s="227" t="n"/>
      <c r="R3204" s="227" t="n"/>
      <c r="S3204" s="227" t="n"/>
      <c r="T3204" s="227" t="n"/>
    </row>
    <row r="3205">
      <c r="A3205" s="145">
        <f>IF($B3205="","",ROW()-5)</f>
        <v/>
      </c>
      <c r="B3205" s="127" t="n"/>
      <c r="C3205" s="223" t="n"/>
      <c r="D3205" s="127" t="n"/>
      <c r="E3205" s="227" t="n"/>
      <c r="F3205" s="227" t="n"/>
      <c r="G3205" s="227" t="n"/>
      <c r="H3205" s="227" t="n"/>
      <c r="I3205" s="227" t="n"/>
      <c r="J3205" s="227" t="n"/>
      <c r="K3205" s="227" t="n"/>
      <c r="L3205" s="227" t="n"/>
      <c r="M3205" s="227" t="n"/>
      <c r="N3205" s="127" t="n"/>
      <c r="O3205" s="227" t="n"/>
      <c r="P3205" s="227" t="n"/>
      <c r="Q3205" s="227" t="n"/>
      <c r="R3205" s="227" t="n"/>
      <c r="S3205" s="227" t="n"/>
      <c r="T3205" s="227" t="n"/>
    </row>
    <row r="3206">
      <c r="A3206" s="145">
        <f>IF($B3206="","",ROW()-5)</f>
        <v/>
      </c>
      <c r="B3206" s="127" t="n"/>
      <c r="C3206" s="223" t="n"/>
      <c r="D3206" s="127" t="n"/>
      <c r="E3206" s="227" t="n"/>
      <c r="F3206" s="227" t="n"/>
      <c r="G3206" s="227" t="n"/>
      <c r="H3206" s="227" t="n"/>
      <c r="I3206" s="227" t="n"/>
      <c r="J3206" s="227" t="n"/>
      <c r="K3206" s="227" t="n"/>
      <c r="L3206" s="227" t="n"/>
      <c r="M3206" s="227" t="n"/>
      <c r="N3206" s="127" t="n"/>
      <c r="O3206" s="227" t="n"/>
      <c r="P3206" s="227" t="n"/>
      <c r="Q3206" s="227" t="n"/>
      <c r="R3206" s="227" t="n"/>
      <c r="S3206" s="227" t="n"/>
      <c r="T3206" s="227" t="n"/>
    </row>
    <row r="3207">
      <c r="A3207" s="145">
        <f>IF($B3207="","",ROW()-5)</f>
        <v/>
      </c>
      <c r="B3207" s="127" t="n"/>
      <c r="C3207" s="223" t="n"/>
      <c r="D3207" s="127" t="n"/>
      <c r="E3207" s="227" t="n"/>
      <c r="F3207" s="227" t="n"/>
      <c r="G3207" s="227" t="n"/>
      <c r="H3207" s="227" t="n"/>
      <c r="I3207" s="227" t="n"/>
      <c r="J3207" s="227" t="n"/>
      <c r="K3207" s="227" t="n"/>
      <c r="L3207" s="227" t="n"/>
      <c r="M3207" s="227" t="n"/>
      <c r="N3207" s="127" t="n"/>
      <c r="O3207" s="227" t="n"/>
      <c r="P3207" s="227" t="n"/>
      <c r="Q3207" s="227" t="n"/>
      <c r="R3207" s="227" t="n"/>
      <c r="S3207" s="227" t="n"/>
      <c r="T3207" s="227" t="n"/>
    </row>
    <row r="3208">
      <c r="A3208" s="145">
        <f>IF($B3208="","",ROW()-5)</f>
        <v/>
      </c>
      <c r="B3208" s="127" t="n"/>
      <c r="C3208" s="223" t="n"/>
      <c r="D3208" s="127" t="n"/>
      <c r="E3208" s="227" t="n"/>
      <c r="F3208" s="227" t="n"/>
      <c r="G3208" s="227" t="n"/>
      <c r="H3208" s="227" t="n"/>
      <c r="I3208" s="227" t="n"/>
      <c r="J3208" s="227" t="n"/>
      <c r="K3208" s="227" t="n"/>
      <c r="L3208" s="227" t="n"/>
      <c r="M3208" s="227" t="n"/>
      <c r="N3208" s="127" t="n"/>
      <c r="O3208" s="227" t="n"/>
      <c r="P3208" s="227" t="n"/>
      <c r="Q3208" s="227" t="n"/>
      <c r="R3208" s="227" t="n"/>
      <c r="S3208" s="227" t="n"/>
      <c r="T3208" s="227" t="n"/>
    </row>
    <row r="3209">
      <c r="A3209" s="145">
        <f>IF($B3209="","",ROW()-5)</f>
        <v/>
      </c>
      <c r="B3209" s="127" t="n"/>
      <c r="C3209" s="223" t="n"/>
      <c r="D3209" s="127" t="n"/>
      <c r="E3209" s="227" t="n"/>
      <c r="F3209" s="227" t="n"/>
      <c r="G3209" s="227" t="n"/>
      <c r="H3209" s="227" t="n"/>
      <c r="I3209" s="227" t="n"/>
      <c r="J3209" s="227" t="n"/>
      <c r="K3209" s="227" t="n"/>
      <c r="L3209" s="227" t="n"/>
      <c r="M3209" s="227" t="n"/>
      <c r="N3209" s="127" t="n"/>
      <c r="O3209" s="227" t="n"/>
      <c r="P3209" s="227" t="n"/>
      <c r="Q3209" s="227" t="n"/>
      <c r="R3209" s="227" t="n"/>
      <c r="S3209" s="227" t="n"/>
      <c r="T3209" s="227" t="n"/>
    </row>
    <row r="3210">
      <c r="A3210" s="145">
        <f>IF($B3210="","",ROW()-5)</f>
        <v/>
      </c>
      <c r="B3210" s="127" t="n"/>
      <c r="C3210" s="223" t="n"/>
      <c r="D3210" s="127" t="n"/>
      <c r="E3210" s="227" t="n"/>
      <c r="F3210" s="227" t="n"/>
      <c r="G3210" s="227" t="n"/>
      <c r="H3210" s="227" t="n"/>
      <c r="I3210" s="227" t="n"/>
      <c r="J3210" s="227" t="n"/>
      <c r="K3210" s="227" t="n"/>
      <c r="L3210" s="227" t="n"/>
      <c r="M3210" s="227" t="n"/>
      <c r="N3210" s="127" t="n"/>
      <c r="O3210" s="227" t="n"/>
      <c r="P3210" s="227" t="n"/>
      <c r="Q3210" s="227" t="n"/>
      <c r="R3210" s="227" t="n"/>
      <c r="S3210" s="227" t="n"/>
      <c r="T3210" s="227" t="n"/>
    </row>
    <row r="3211">
      <c r="A3211" s="145">
        <f>IF($B3211="","",ROW()-5)</f>
        <v/>
      </c>
      <c r="B3211" s="127" t="n"/>
      <c r="C3211" s="223" t="n"/>
      <c r="D3211" s="127" t="n"/>
      <c r="E3211" s="227" t="n"/>
      <c r="F3211" s="227" t="n"/>
      <c r="G3211" s="227" t="n"/>
      <c r="H3211" s="227" t="n"/>
      <c r="I3211" s="227" t="n"/>
      <c r="J3211" s="227" t="n"/>
      <c r="K3211" s="227" t="n"/>
      <c r="L3211" s="227" t="n"/>
      <c r="M3211" s="227" t="n"/>
      <c r="N3211" s="127" t="n"/>
      <c r="O3211" s="227" t="n"/>
      <c r="P3211" s="227" t="n"/>
      <c r="Q3211" s="227" t="n"/>
      <c r="R3211" s="227" t="n"/>
      <c r="S3211" s="227" t="n"/>
      <c r="T3211" s="227" t="n"/>
    </row>
    <row r="3212">
      <c r="A3212" s="145">
        <f>IF($B3212="","",ROW()-5)</f>
        <v/>
      </c>
      <c r="B3212" s="127" t="n"/>
      <c r="C3212" s="223" t="n"/>
      <c r="D3212" s="127" t="n"/>
      <c r="E3212" s="227" t="n"/>
      <c r="F3212" s="227" t="n"/>
      <c r="G3212" s="227" t="n"/>
      <c r="H3212" s="227" t="n"/>
      <c r="I3212" s="227" t="n"/>
      <c r="J3212" s="227" t="n"/>
      <c r="K3212" s="227" t="n"/>
      <c r="L3212" s="227" t="n"/>
      <c r="M3212" s="227" t="n"/>
      <c r="N3212" s="127" t="n"/>
      <c r="O3212" s="227" t="n"/>
      <c r="P3212" s="227" t="n"/>
      <c r="Q3212" s="227" t="n"/>
      <c r="R3212" s="227" t="n"/>
      <c r="S3212" s="227" t="n"/>
      <c r="T3212" s="227" t="n"/>
    </row>
    <row r="3213">
      <c r="A3213" s="145">
        <f>IF($B3213="","",ROW()-5)</f>
        <v/>
      </c>
      <c r="B3213" s="127" t="n"/>
      <c r="C3213" s="223" t="n"/>
      <c r="D3213" s="127" t="n"/>
      <c r="E3213" s="227" t="n"/>
      <c r="F3213" s="227" t="n"/>
      <c r="G3213" s="227" t="n"/>
      <c r="H3213" s="227" t="n"/>
      <c r="I3213" s="227" t="n"/>
      <c r="J3213" s="227" t="n"/>
      <c r="K3213" s="227" t="n"/>
      <c r="L3213" s="227" t="n"/>
      <c r="M3213" s="227" t="n"/>
      <c r="N3213" s="127" t="n"/>
      <c r="O3213" s="227" t="n"/>
      <c r="P3213" s="227" t="n"/>
      <c r="Q3213" s="227" t="n"/>
      <c r="R3213" s="227" t="n"/>
      <c r="S3213" s="227" t="n"/>
      <c r="T3213" s="227" t="n"/>
    </row>
    <row r="3214">
      <c r="A3214" s="145">
        <f>IF($B3214="","",ROW()-5)</f>
        <v/>
      </c>
      <c r="B3214" s="127" t="n"/>
      <c r="C3214" s="223" t="n"/>
      <c r="D3214" s="127" t="n"/>
      <c r="E3214" s="227" t="n"/>
      <c r="F3214" s="227" t="n"/>
      <c r="G3214" s="227" t="n"/>
      <c r="H3214" s="227" t="n"/>
      <c r="I3214" s="227" t="n"/>
      <c r="J3214" s="227" t="n"/>
      <c r="K3214" s="227" t="n"/>
      <c r="L3214" s="227" t="n"/>
      <c r="M3214" s="227" t="n"/>
      <c r="N3214" s="127" t="n"/>
      <c r="O3214" s="227" t="n"/>
      <c r="P3214" s="227" t="n"/>
      <c r="Q3214" s="227" t="n"/>
      <c r="R3214" s="227" t="n"/>
      <c r="S3214" s="227" t="n"/>
      <c r="T3214" s="227" t="n"/>
    </row>
    <row r="3215">
      <c r="A3215" s="145">
        <f>IF($B3215="","",ROW()-5)</f>
        <v/>
      </c>
      <c r="B3215" s="127" t="n"/>
      <c r="C3215" s="223" t="n"/>
      <c r="D3215" s="127" t="n"/>
      <c r="E3215" s="227" t="n"/>
      <c r="F3215" s="227" t="n"/>
      <c r="G3215" s="227" t="n"/>
      <c r="H3215" s="227" t="n"/>
      <c r="I3215" s="227" t="n"/>
      <c r="J3215" s="227" t="n"/>
      <c r="K3215" s="227" t="n"/>
      <c r="L3215" s="227" t="n"/>
      <c r="M3215" s="227" t="n"/>
      <c r="N3215" s="127" t="n"/>
      <c r="O3215" s="227" t="n"/>
      <c r="P3215" s="227" t="n"/>
      <c r="Q3215" s="227" t="n"/>
      <c r="R3215" s="227" t="n"/>
      <c r="S3215" s="227" t="n"/>
      <c r="T3215" s="227" t="n"/>
    </row>
    <row r="3216">
      <c r="A3216" s="145">
        <f>IF($B3216="","",ROW()-5)</f>
        <v/>
      </c>
      <c r="B3216" s="127" t="n"/>
      <c r="C3216" s="223" t="n"/>
      <c r="D3216" s="127" t="n"/>
      <c r="E3216" s="227" t="n"/>
      <c r="F3216" s="227" t="n"/>
      <c r="G3216" s="227" t="n"/>
      <c r="H3216" s="227" t="n"/>
      <c r="I3216" s="227" t="n"/>
      <c r="J3216" s="227" t="n"/>
      <c r="K3216" s="227" t="n"/>
      <c r="L3216" s="227" t="n"/>
      <c r="M3216" s="227" t="n"/>
      <c r="N3216" s="127" t="n"/>
      <c r="O3216" s="227" t="n"/>
      <c r="P3216" s="227" t="n"/>
      <c r="Q3216" s="227" t="n"/>
      <c r="R3216" s="227" t="n"/>
      <c r="S3216" s="227" t="n"/>
      <c r="T3216" s="227" t="n"/>
    </row>
    <row r="3217">
      <c r="A3217" s="145">
        <f>IF($B3217="","",ROW()-5)</f>
        <v/>
      </c>
      <c r="B3217" s="127" t="n"/>
      <c r="C3217" s="223" t="n"/>
      <c r="D3217" s="127" t="n"/>
      <c r="E3217" s="227" t="n"/>
      <c r="F3217" s="227" t="n"/>
      <c r="G3217" s="227" t="n"/>
      <c r="H3217" s="227" t="n"/>
      <c r="I3217" s="227" t="n"/>
      <c r="J3217" s="227" t="n"/>
      <c r="K3217" s="227" t="n"/>
      <c r="L3217" s="227" t="n"/>
      <c r="M3217" s="227" t="n"/>
      <c r="N3217" s="127" t="n"/>
      <c r="O3217" s="227" t="n"/>
      <c r="P3217" s="227" t="n"/>
      <c r="Q3217" s="227" t="n"/>
      <c r="R3217" s="227" t="n"/>
      <c r="S3217" s="227" t="n"/>
      <c r="T3217" s="227" t="n"/>
    </row>
    <row r="3218">
      <c r="A3218" s="145">
        <f>IF($B3218="","",ROW()-5)</f>
        <v/>
      </c>
      <c r="B3218" s="127" t="n"/>
      <c r="C3218" s="223" t="n"/>
      <c r="D3218" s="127" t="n"/>
      <c r="E3218" s="227" t="n"/>
      <c r="F3218" s="227" t="n"/>
      <c r="G3218" s="227" t="n"/>
      <c r="H3218" s="227" t="n"/>
      <c r="I3218" s="227" t="n"/>
      <c r="J3218" s="227" t="n"/>
      <c r="K3218" s="227" t="n"/>
      <c r="L3218" s="227" t="n"/>
      <c r="M3218" s="227" t="n"/>
      <c r="N3218" s="127" t="n"/>
      <c r="O3218" s="227" t="n"/>
      <c r="P3218" s="227" t="n"/>
      <c r="Q3218" s="227" t="n"/>
      <c r="R3218" s="227" t="n"/>
      <c r="S3218" s="227" t="n"/>
      <c r="T3218" s="227" t="n"/>
    </row>
    <row r="3219">
      <c r="A3219" s="145">
        <f>IF($B3219="","",ROW()-5)</f>
        <v/>
      </c>
      <c r="B3219" s="127" t="n"/>
      <c r="C3219" s="223" t="n"/>
      <c r="D3219" s="127" t="n"/>
      <c r="E3219" s="227" t="n"/>
      <c r="F3219" s="227" t="n"/>
      <c r="G3219" s="227" t="n"/>
      <c r="H3219" s="227" t="n"/>
      <c r="I3219" s="227" t="n"/>
      <c r="J3219" s="227" t="n"/>
      <c r="K3219" s="227" t="n"/>
      <c r="L3219" s="227" t="n"/>
      <c r="M3219" s="227" t="n"/>
      <c r="N3219" s="127" t="n"/>
      <c r="O3219" s="227" t="n"/>
      <c r="P3219" s="227" t="n"/>
      <c r="Q3219" s="227" t="n"/>
      <c r="R3219" s="227" t="n"/>
      <c r="S3219" s="227" t="n"/>
      <c r="T3219" s="227" t="n"/>
    </row>
    <row r="3220">
      <c r="A3220" s="145">
        <f>IF($B3220="","",ROW()-5)</f>
        <v/>
      </c>
      <c r="B3220" s="127" t="n"/>
      <c r="C3220" s="223" t="n"/>
      <c r="D3220" s="127" t="n"/>
      <c r="E3220" s="227" t="n"/>
      <c r="F3220" s="227" t="n"/>
      <c r="G3220" s="227" t="n"/>
      <c r="H3220" s="227" t="n"/>
      <c r="I3220" s="227" t="n"/>
      <c r="J3220" s="227" t="n"/>
      <c r="K3220" s="227" t="n"/>
      <c r="L3220" s="227" t="n"/>
      <c r="M3220" s="227" t="n"/>
      <c r="N3220" s="127" t="n"/>
      <c r="O3220" s="227" t="n"/>
      <c r="P3220" s="227" t="n"/>
      <c r="Q3220" s="227" t="n"/>
      <c r="R3220" s="227" t="n"/>
      <c r="S3220" s="227" t="n"/>
      <c r="T3220" s="227" t="n"/>
    </row>
    <row r="3221">
      <c r="A3221" s="145">
        <f>IF($B3221="","",ROW()-5)</f>
        <v/>
      </c>
      <c r="B3221" s="127" t="n"/>
      <c r="C3221" s="223" t="n"/>
      <c r="D3221" s="127" t="n"/>
      <c r="E3221" s="227" t="n"/>
      <c r="F3221" s="227" t="n"/>
      <c r="G3221" s="227" t="n"/>
      <c r="H3221" s="227" t="n"/>
      <c r="I3221" s="227" t="n"/>
      <c r="J3221" s="227" t="n"/>
      <c r="K3221" s="227" t="n"/>
      <c r="L3221" s="227" t="n"/>
      <c r="M3221" s="227" t="n"/>
      <c r="N3221" s="127" t="n"/>
      <c r="O3221" s="227" t="n"/>
      <c r="P3221" s="227" t="n"/>
      <c r="Q3221" s="227" t="n"/>
      <c r="R3221" s="227" t="n"/>
      <c r="S3221" s="227" t="n"/>
      <c r="T3221" s="227" t="n"/>
    </row>
    <row r="3222">
      <c r="A3222" s="145">
        <f>IF($B3222="","",ROW()-5)</f>
        <v/>
      </c>
      <c r="B3222" s="127" t="n"/>
      <c r="C3222" s="223" t="n"/>
      <c r="D3222" s="127" t="n"/>
      <c r="E3222" s="227" t="n"/>
      <c r="F3222" s="227" t="n"/>
      <c r="G3222" s="227" t="n"/>
      <c r="H3222" s="227" t="n"/>
      <c r="I3222" s="227" t="n"/>
      <c r="J3222" s="227" t="n"/>
      <c r="K3222" s="227" t="n"/>
      <c r="L3222" s="227" t="n"/>
      <c r="M3222" s="227" t="n"/>
      <c r="N3222" s="127" t="n"/>
      <c r="O3222" s="227" t="n"/>
      <c r="P3222" s="227" t="n"/>
      <c r="Q3222" s="227" t="n"/>
      <c r="R3222" s="227" t="n"/>
      <c r="S3222" s="227" t="n"/>
      <c r="T3222" s="227" t="n"/>
    </row>
    <row r="3223">
      <c r="A3223" s="145">
        <f>IF($B3223="","",ROW()-5)</f>
        <v/>
      </c>
      <c r="B3223" s="127" t="n"/>
      <c r="C3223" s="223" t="n"/>
      <c r="D3223" s="127" t="n"/>
      <c r="E3223" s="227" t="n"/>
      <c r="F3223" s="227" t="n"/>
      <c r="G3223" s="227" t="n"/>
      <c r="H3223" s="227" t="n"/>
      <c r="I3223" s="227" t="n"/>
      <c r="J3223" s="227" t="n"/>
      <c r="K3223" s="227" t="n"/>
      <c r="L3223" s="227" t="n"/>
      <c r="M3223" s="227" t="n"/>
      <c r="N3223" s="127" t="n"/>
      <c r="O3223" s="227" t="n"/>
      <c r="P3223" s="227" t="n"/>
      <c r="Q3223" s="227" t="n"/>
      <c r="R3223" s="227" t="n"/>
      <c r="S3223" s="227" t="n"/>
      <c r="T3223" s="227" t="n"/>
    </row>
    <row r="3224">
      <c r="A3224" s="145">
        <f>IF($B3224="","",ROW()-5)</f>
        <v/>
      </c>
      <c r="B3224" s="127" t="n"/>
      <c r="C3224" s="223" t="n"/>
      <c r="D3224" s="127" t="n"/>
      <c r="E3224" s="227" t="n"/>
      <c r="F3224" s="227" t="n"/>
      <c r="G3224" s="227" t="n"/>
      <c r="H3224" s="227" t="n"/>
      <c r="I3224" s="227" t="n"/>
      <c r="J3224" s="227" t="n"/>
      <c r="K3224" s="227" t="n"/>
      <c r="L3224" s="227" t="n"/>
      <c r="M3224" s="227" t="n"/>
      <c r="N3224" s="127" t="n"/>
      <c r="O3224" s="227" t="n"/>
      <c r="P3224" s="227" t="n"/>
      <c r="Q3224" s="227" t="n"/>
      <c r="R3224" s="227" t="n"/>
      <c r="S3224" s="227" t="n"/>
      <c r="T3224" s="227" t="n"/>
    </row>
    <row r="3225">
      <c r="A3225" s="145">
        <f>IF($B3225="","",ROW()-5)</f>
        <v/>
      </c>
      <c r="B3225" s="127" t="n"/>
      <c r="C3225" s="223" t="n"/>
      <c r="D3225" s="127" t="n"/>
      <c r="E3225" s="227" t="n"/>
      <c r="F3225" s="227" t="n"/>
      <c r="G3225" s="227" t="n"/>
      <c r="H3225" s="227" t="n"/>
      <c r="I3225" s="227" t="n"/>
      <c r="J3225" s="227" t="n"/>
      <c r="K3225" s="227" t="n"/>
      <c r="L3225" s="227" t="n"/>
      <c r="M3225" s="227" t="n"/>
      <c r="N3225" s="127" t="n"/>
      <c r="O3225" s="227" t="n"/>
      <c r="P3225" s="227" t="n"/>
      <c r="Q3225" s="227" t="n"/>
      <c r="R3225" s="227" t="n"/>
      <c r="S3225" s="227" t="n"/>
      <c r="T3225" s="227" t="n"/>
    </row>
    <row r="3226">
      <c r="A3226" s="145">
        <f>IF($B3226="","",ROW()-5)</f>
        <v/>
      </c>
      <c r="B3226" s="127" t="n"/>
      <c r="C3226" s="223" t="n"/>
      <c r="D3226" s="127" t="n"/>
      <c r="E3226" s="227" t="n"/>
      <c r="F3226" s="227" t="n"/>
      <c r="G3226" s="227" t="n"/>
      <c r="H3226" s="227" t="n"/>
      <c r="I3226" s="227" t="n"/>
      <c r="J3226" s="227" t="n"/>
      <c r="K3226" s="227" t="n"/>
      <c r="L3226" s="227" t="n"/>
      <c r="M3226" s="227" t="n"/>
      <c r="N3226" s="127" t="n"/>
      <c r="O3226" s="227" t="n"/>
      <c r="P3226" s="227" t="n"/>
      <c r="Q3226" s="227" t="n"/>
      <c r="R3226" s="227" t="n"/>
      <c r="S3226" s="227" t="n"/>
      <c r="T3226" s="227" t="n"/>
    </row>
    <row r="3227">
      <c r="A3227" s="145">
        <f>IF($B3227="","",ROW()-5)</f>
        <v/>
      </c>
      <c r="B3227" s="127" t="n"/>
      <c r="C3227" s="223" t="n"/>
      <c r="D3227" s="127" t="n"/>
      <c r="E3227" s="227" t="n"/>
      <c r="F3227" s="227" t="n"/>
      <c r="G3227" s="227" t="n"/>
      <c r="H3227" s="227" t="n"/>
      <c r="I3227" s="227" t="n"/>
      <c r="J3227" s="227" t="n"/>
      <c r="K3227" s="227" t="n"/>
      <c r="L3227" s="227" t="n"/>
      <c r="M3227" s="227" t="n"/>
      <c r="N3227" s="127" t="n"/>
      <c r="O3227" s="227" t="n"/>
      <c r="P3227" s="227" t="n"/>
      <c r="Q3227" s="227" t="n"/>
      <c r="R3227" s="227" t="n"/>
      <c r="S3227" s="227" t="n"/>
      <c r="T3227" s="227" t="n"/>
    </row>
    <row r="3228">
      <c r="A3228" s="145">
        <f>IF($B3228="","",ROW()-5)</f>
        <v/>
      </c>
      <c r="B3228" s="127" t="n"/>
      <c r="C3228" s="223" t="n"/>
      <c r="D3228" s="127" t="n"/>
      <c r="E3228" s="227" t="n"/>
      <c r="F3228" s="227" t="n"/>
      <c r="G3228" s="227" t="n"/>
      <c r="H3228" s="227" t="n"/>
      <c r="I3228" s="227" t="n"/>
      <c r="J3228" s="227" t="n"/>
      <c r="K3228" s="227" t="n"/>
      <c r="L3228" s="227" t="n"/>
      <c r="M3228" s="227" t="n"/>
      <c r="N3228" s="127" t="n"/>
      <c r="O3228" s="227" t="n"/>
      <c r="P3228" s="227" t="n"/>
      <c r="Q3228" s="227" t="n"/>
      <c r="R3228" s="227" t="n"/>
      <c r="S3228" s="227" t="n"/>
      <c r="T3228" s="227" t="n"/>
    </row>
    <row r="3229">
      <c r="A3229" s="145">
        <f>IF($B3229="","",ROW()-5)</f>
        <v/>
      </c>
      <c r="B3229" s="127" t="n"/>
      <c r="C3229" s="223" t="n"/>
      <c r="D3229" s="127" t="n"/>
      <c r="E3229" s="227" t="n"/>
      <c r="F3229" s="227" t="n"/>
      <c r="G3229" s="227" t="n"/>
      <c r="H3229" s="227" t="n"/>
      <c r="I3229" s="227" t="n"/>
      <c r="J3229" s="227" t="n"/>
      <c r="K3229" s="227" t="n"/>
      <c r="L3229" s="227" t="n"/>
      <c r="M3229" s="227" t="n"/>
      <c r="N3229" s="127" t="n"/>
      <c r="O3229" s="227" t="n"/>
      <c r="P3229" s="227" t="n"/>
      <c r="Q3229" s="227" t="n"/>
      <c r="R3229" s="227" t="n"/>
      <c r="S3229" s="227" t="n"/>
      <c r="T3229" s="227" t="n"/>
    </row>
    <row r="3230">
      <c r="A3230" s="145">
        <f>IF($B3230="","",ROW()-5)</f>
        <v/>
      </c>
      <c r="B3230" s="127" t="n"/>
      <c r="C3230" s="223" t="n"/>
      <c r="D3230" s="127" t="n"/>
      <c r="E3230" s="227" t="n"/>
      <c r="F3230" s="227" t="n"/>
      <c r="G3230" s="227" t="n"/>
      <c r="H3230" s="227" t="n"/>
      <c r="I3230" s="227" t="n"/>
      <c r="J3230" s="227" t="n"/>
      <c r="K3230" s="227" t="n"/>
      <c r="L3230" s="227" t="n"/>
      <c r="M3230" s="227" t="n"/>
      <c r="N3230" s="127" t="n"/>
      <c r="O3230" s="227" t="n"/>
      <c r="P3230" s="227" t="n"/>
      <c r="Q3230" s="227" t="n"/>
      <c r="R3230" s="227" t="n"/>
      <c r="S3230" s="227" t="n"/>
      <c r="T3230" s="227" t="n"/>
    </row>
    <row r="3231">
      <c r="A3231" s="145">
        <f>IF($B3231="","",ROW()-5)</f>
        <v/>
      </c>
      <c r="B3231" s="127" t="n"/>
      <c r="C3231" s="223" t="n"/>
      <c r="D3231" s="127" t="n"/>
      <c r="E3231" s="227" t="n"/>
      <c r="F3231" s="227" t="n"/>
      <c r="G3231" s="227" t="n"/>
      <c r="H3231" s="227" t="n"/>
      <c r="I3231" s="227" t="n"/>
      <c r="J3231" s="227" t="n"/>
      <c r="K3231" s="227" t="n"/>
      <c r="L3231" s="227" t="n"/>
      <c r="M3231" s="227" t="n"/>
      <c r="N3231" s="127" t="n"/>
      <c r="O3231" s="227" t="n"/>
      <c r="P3231" s="227" t="n"/>
      <c r="Q3231" s="227" t="n"/>
      <c r="R3231" s="227" t="n"/>
      <c r="S3231" s="227" t="n"/>
      <c r="T3231" s="227" t="n"/>
    </row>
    <row r="3232">
      <c r="A3232" s="145">
        <f>IF($B3232="","",ROW()-5)</f>
        <v/>
      </c>
      <c r="B3232" s="127" t="n"/>
      <c r="C3232" s="223" t="n"/>
      <c r="D3232" s="127" t="n"/>
      <c r="E3232" s="227" t="n"/>
      <c r="F3232" s="227" t="n"/>
      <c r="G3232" s="227" t="n"/>
      <c r="H3232" s="227" t="n"/>
      <c r="I3232" s="227" t="n"/>
      <c r="J3232" s="227" t="n"/>
      <c r="K3232" s="227" t="n"/>
      <c r="L3232" s="227" t="n"/>
      <c r="M3232" s="227" t="n"/>
      <c r="N3232" s="127" t="n"/>
      <c r="O3232" s="227" t="n"/>
      <c r="P3232" s="227" t="n"/>
      <c r="Q3232" s="227" t="n"/>
      <c r="R3232" s="227" t="n"/>
      <c r="S3232" s="227" t="n"/>
      <c r="T3232" s="227" t="n"/>
    </row>
    <row r="3233">
      <c r="A3233" s="145">
        <f>IF($B3233="","",ROW()-5)</f>
        <v/>
      </c>
      <c r="B3233" s="127" t="n"/>
      <c r="C3233" s="223" t="n"/>
      <c r="D3233" s="127" t="n"/>
      <c r="E3233" s="227" t="n"/>
      <c r="F3233" s="227" t="n"/>
      <c r="G3233" s="227" t="n"/>
      <c r="H3233" s="227" t="n"/>
      <c r="I3233" s="227" t="n"/>
      <c r="J3233" s="227" t="n"/>
      <c r="K3233" s="227" t="n"/>
      <c r="L3233" s="227" t="n"/>
      <c r="M3233" s="227" t="n"/>
      <c r="N3233" s="127" t="n"/>
      <c r="O3233" s="227" t="n"/>
      <c r="P3233" s="227" t="n"/>
      <c r="Q3233" s="227" t="n"/>
      <c r="R3233" s="227" t="n"/>
      <c r="S3233" s="227" t="n"/>
      <c r="T3233" s="227" t="n"/>
    </row>
    <row r="3234">
      <c r="A3234" s="145">
        <f>IF($B3234="","",ROW()-5)</f>
        <v/>
      </c>
      <c r="B3234" s="127" t="n"/>
      <c r="C3234" s="223" t="n"/>
      <c r="D3234" s="127" t="n"/>
      <c r="E3234" s="227" t="n"/>
      <c r="F3234" s="227" t="n"/>
      <c r="G3234" s="227" t="n"/>
      <c r="H3234" s="227" t="n"/>
      <c r="I3234" s="227" t="n"/>
      <c r="J3234" s="227" t="n"/>
      <c r="K3234" s="227" t="n"/>
      <c r="L3234" s="227" t="n"/>
      <c r="M3234" s="227" t="n"/>
      <c r="N3234" s="127" t="n"/>
      <c r="O3234" s="227" t="n"/>
      <c r="P3234" s="227" t="n"/>
      <c r="Q3234" s="227" t="n"/>
      <c r="R3234" s="227" t="n"/>
      <c r="S3234" s="227" t="n"/>
      <c r="T3234" s="227" t="n"/>
    </row>
    <row r="3235">
      <c r="A3235" s="145">
        <f>IF($B3235="","",ROW()-5)</f>
        <v/>
      </c>
      <c r="B3235" s="127" t="n"/>
      <c r="C3235" s="223" t="n"/>
      <c r="D3235" s="127" t="n"/>
      <c r="E3235" s="227" t="n"/>
      <c r="F3235" s="227" t="n"/>
      <c r="G3235" s="227" t="n"/>
      <c r="H3235" s="227" t="n"/>
      <c r="I3235" s="227" t="n"/>
      <c r="J3235" s="227" t="n"/>
      <c r="K3235" s="227" t="n"/>
      <c r="L3235" s="227" t="n"/>
      <c r="M3235" s="227" t="n"/>
      <c r="N3235" s="127" t="n"/>
      <c r="O3235" s="227" t="n"/>
      <c r="P3235" s="227" t="n"/>
      <c r="Q3235" s="227" t="n"/>
      <c r="R3235" s="227" t="n"/>
      <c r="S3235" s="227" t="n"/>
      <c r="T3235" s="227" t="n"/>
    </row>
    <row r="3236">
      <c r="A3236" s="145">
        <f>IF($B3236="","",ROW()-5)</f>
        <v/>
      </c>
      <c r="B3236" s="127" t="n"/>
      <c r="C3236" s="223" t="n"/>
      <c r="D3236" s="127" t="n"/>
      <c r="E3236" s="227" t="n"/>
      <c r="F3236" s="227" t="n"/>
      <c r="G3236" s="227" t="n"/>
      <c r="H3236" s="227" t="n"/>
      <c r="I3236" s="227" t="n"/>
      <c r="J3236" s="227" t="n"/>
      <c r="K3236" s="227" t="n"/>
      <c r="L3236" s="227" t="n"/>
      <c r="M3236" s="227" t="n"/>
      <c r="N3236" s="127" t="n"/>
      <c r="O3236" s="227" t="n"/>
      <c r="P3236" s="227" t="n"/>
      <c r="Q3236" s="227" t="n"/>
      <c r="R3236" s="227" t="n"/>
      <c r="S3236" s="227" t="n"/>
      <c r="T3236" s="227" t="n"/>
    </row>
    <row r="3237">
      <c r="A3237" s="145">
        <f>IF($B3237="","",ROW()-5)</f>
        <v/>
      </c>
      <c r="B3237" s="127" t="n"/>
      <c r="C3237" s="223" t="n"/>
      <c r="D3237" s="127" t="n"/>
      <c r="E3237" s="227" t="n"/>
      <c r="F3237" s="227" t="n"/>
      <c r="G3237" s="227" t="n"/>
      <c r="H3237" s="227" t="n"/>
      <c r="I3237" s="227" t="n"/>
      <c r="J3237" s="227" t="n"/>
      <c r="K3237" s="227" t="n"/>
      <c r="L3237" s="227" t="n"/>
      <c r="M3237" s="227" t="n"/>
      <c r="N3237" s="127" t="n"/>
      <c r="O3237" s="227" t="n"/>
      <c r="P3237" s="227" t="n"/>
      <c r="Q3237" s="227" t="n"/>
      <c r="R3237" s="227" t="n"/>
      <c r="S3237" s="227" t="n"/>
      <c r="T3237" s="227" t="n"/>
    </row>
    <row r="3238">
      <c r="A3238" s="145">
        <f>IF($B3238="","",ROW()-5)</f>
        <v/>
      </c>
      <c r="B3238" s="127" t="n"/>
      <c r="C3238" s="223" t="n"/>
      <c r="D3238" s="127" t="n"/>
      <c r="E3238" s="227" t="n"/>
      <c r="F3238" s="227" t="n"/>
      <c r="G3238" s="227" t="n"/>
      <c r="H3238" s="227" t="n"/>
      <c r="I3238" s="227" t="n"/>
      <c r="J3238" s="227" t="n"/>
      <c r="K3238" s="227" t="n"/>
      <c r="L3238" s="227" t="n"/>
      <c r="M3238" s="227" t="n"/>
      <c r="N3238" s="127" t="n"/>
      <c r="O3238" s="227" t="n"/>
      <c r="P3238" s="227" t="n"/>
      <c r="Q3238" s="227" t="n"/>
      <c r="R3238" s="227" t="n"/>
      <c r="S3238" s="227" t="n"/>
      <c r="T3238" s="227" t="n"/>
    </row>
    <row r="3239">
      <c r="A3239" s="145">
        <f>IF($B3239="","",ROW()-5)</f>
        <v/>
      </c>
      <c r="B3239" s="127" t="n"/>
      <c r="C3239" s="223" t="n"/>
      <c r="D3239" s="127" t="n"/>
      <c r="E3239" s="227" t="n"/>
      <c r="F3239" s="227" t="n"/>
      <c r="G3239" s="227" t="n"/>
      <c r="H3239" s="227" t="n"/>
      <c r="I3239" s="227" t="n"/>
      <c r="J3239" s="227" t="n"/>
      <c r="K3239" s="227" t="n"/>
      <c r="L3239" s="227" t="n"/>
      <c r="M3239" s="227" t="n"/>
      <c r="N3239" s="127" t="n"/>
      <c r="O3239" s="227" t="n"/>
      <c r="P3239" s="227" t="n"/>
      <c r="Q3239" s="227" t="n"/>
      <c r="R3239" s="227" t="n"/>
      <c r="S3239" s="227" t="n"/>
      <c r="T3239" s="227" t="n"/>
    </row>
    <row r="3240">
      <c r="A3240" s="145">
        <f>IF($B3240="","",ROW()-5)</f>
        <v/>
      </c>
      <c r="B3240" s="127" t="n"/>
      <c r="C3240" s="223" t="n"/>
      <c r="D3240" s="127" t="n"/>
      <c r="E3240" s="227" t="n"/>
      <c r="F3240" s="227" t="n"/>
      <c r="G3240" s="227" t="n"/>
      <c r="H3240" s="227" t="n"/>
      <c r="I3240" s="227" t="n"/>
      <c r="J3240" s="227" t="n"/>
      <c r="K3240" s="227" t="n"/>
      <c r="L3240" s="227" t="n"/>
      <c r="M3240" s="227" t="n"/>
      <c r="N3240" s="127" t="n"/>
      <c r="O3240" s="227" t="n"/>
      <c r="P3240" s="227" t="n"/>
      <c r="Q3240" s="227" t="n"/>
      <c r="R3240" s="227" t="n"/>
      <c r="S3240" s="227" t="n"/>
      <c r="T3240" s="227" t="n"/>
    </row>
    <row r="3241">
      <c r="A3241" s="145">
        <f>IF($B3241="","",ROW()-5)</f>
        <v/>
      </c>
      <c r="B3241" s="127" t="n"/>
      <c r="C3241" s="223" t="n"/>
      <c r="D3241" s="127" t="n"/>
      <c r="E3241" s="227" t="n"/>
      <c r="F3241" s="227" t="n"/>
      <c r="G3241" s="227" t="n"/>
      <c r="H3241" s="227" t="n"/>
      <c r="I3241" s="227" t="n"/>
      <c r="J3241" s="227" t="n"/>
      <c r="K3241" s="227" t="n"/>
      <c r="L3241" s="227" t="n"/>
      <c r="M3241" s="227" t="n"/>
      <c r="N3241" s="127" t="n"/>
      <c r="O3241" s="227" t="n"/>
      <c r="P3241" s="227" t="n"/>
      <c r="Q3241" s="227" t="n"/>
      <c r="R3241" s="227" t="n"/>
      <c r="S3241" s="227" t="n"/>
      <c r="T3241" s="227" t="n"/>
    </row>
    <row r="3242">
      <c r="A3242" s="145">
        <f>IF($B3242="","",ROW()-5)</f>
        <v/>
      </c>
      <c r="B3242" s="127" t="n"/>
      <c r="C3242" s="223" t="n"/>
      <c r="D3242" s="127" t="n"/>
      <c r="E3242" s="227" t="n"/>
      <c r="F3242" s="227" t="n"/>
      <c r="G3242" s="227" t="n"/>
      <c r="H3242" s="227" t="n"/>
      <c r="I3242" s="227" t="n"/>
      <c r="J3242" s="227" t="n"/>
      <c r="K3242" s="227" t="n"/>
      <c r="L3242" s="227" t="n"/>
      <c r="M3242" s="227" t="n"/>
      <c r="N3242" s="127" t="n"/>
      <c r="O3242" s="227" t="n"/>
      <c r="P3242" s="227" t="n"/>
      <c r="Q3242" s="227" t="n"/>
      <c r="R3242" s="227" t="n"/>
      <c r="S3242" s="227" t="n"/>
      <c r="T3242" s="227" t="n"/>
    </row>
    <row r="3243">
      <c r="A3243" s="145">
        <f>IF($B3243="","",ROW()-5)</f>
        <v/>
      </c>
      <c r="B3243" s="127" t="n"/>
      <c r="C3243" s="223" t="n"/>
      <c r="D3243" s="127" t="n"/>
      <c r="E3243" s="227" t="n"/>
      <c r="F3243" s="227" t="n"/>
      <c r="G3243" s="227" t="n"/>
      <c r="H3243" s="227" t="n"/>
      <c r="I3243" s="227" t="n"/>
      <c r="J3243" s="227" t="n"/>
      <c r="K3243" s="227" t="n"/>
      <c r="L3243" s="227" t="n"/>
      <c r="M3243" s="227" t="n"/>
      <c r="N3243" s="127" t="n"/>
      <c r="O3243" s="227" t="n"/>
      <c r="P3243" s="227" t="n"/>
      <c r="Q3243" s="227" t="n"/>
      <c r="R3243" s="227" t="n"/>
      <c r="S3243" s="227" t="n"/>
      <c r="T3243" s="227" t="n"/>
    </row>
    <row r="3244">
      <c r="A3244" s="145">
        <f>IF($B3244="","",ROW()-5)</f>
        <v/>
      </c>
      <c r="B3244" s="127" t="n"/>
      <c r="C3244" s="223" t="n"/>
      <c r="D3244" s="127" t="n"/>
      <c r="E3244" s="227" t="n"/>
      <c r="F3244" s="227" t="n"/>
      <c r="G3244" s="227" t="n"/>
      <c r="H3244" s="227" t="n"/>
      <c r="I3244" s="227" t="n"/>
      <c r="J3244" s="227" t="n"/>
      <c r="K3244" s="227" t="n"/>
      <c r="L3244" s="227" t="n"/>
      <c r="M3244" s="227" t="n"/>
      <c r="N3244" s="127" t="n"/>
      <c r="O3244" s="227" t="n"/>
      <c r="P3244" s="227" t="n"/>
      <c r="Q3244" s="227" t="n"/>
      <c r="R3244" s="227" t="n"/>
      <c r="S3244" s="227" t="n"/>
      <c r="T3244" s="227" t="n"/>
    </row>
    <row r="3245">
      <c r="A3245" s="145">
        <f>IF($B3245="","",ROW()-5)</f>
        <v/>
      </c>
      <c r="B3245" s="127" t="n"/>
      <c r="C3245" s="223" t="n"/>
      <c r="D3245" s="127" t="n"/>
      <c r="E3245" s="227" t="n"/>
      <c r="F3245" s="227" t="n"/>
      <c r="G3245" s="227" t="n"/>
      <c r="H3245" s="227" t="n"/>
      <c r="I3245" s="227" t="n"/>
      <c r="J3245" s="227" t="n"/>
      <c r="K3245" s="227" t="n"/>
      <c r="L3245" s="227" t="n"/>
      <c r="M3245" s="227" t="n"/>
      <c r="N3245" s="127" t="n"/>
      <c r="O3245" s="227" t="n"/>
      <c r="P3245" s="227" t="n"/>
      <c r="Q3245" s="227" t="n"/>
      <c r="R3245" s="227" t="n"/>
      <c r="S3245" s="227" t="n"/>
      <c r="T3245" s="227" t="n"/>
    </row>
    <row r="3246">
      <c r="A3246" s="145">
        <f>IF($B3246="","",ROW()-5)</f>
        <v/>
      </c>
      <c r="B3246" s="127" t="n"/>
      <c r="C3246" s="223" t="n"/>
      <c r="D3246" s="127" t="n"/>
      <c r="E3246" s="227" t="n"/>
      <c r="F3246" s="227" t="n"/>
      <c r="G3246" s="227" t="n"/>
      <c r="H3246" s="227" t="n"/>
      <c r="I3246" s="227" t="n"/>
      <c r="J3246" s="227" t="n"/>
      <c r="K3246" s="227" t="n"/>
      <c r="L3246" s="227" t="n"/>
      <c r="M3246" s="227" t="n"/>
      <c r="N3246" s="127" t="n"/>
      <c r="O3246" s="227" t="n"/>
      <c r="P3246" s="227" t="n"/>
      <c r="Q3246" s="227" t="n"/>
      <c r="R3246" s="227" t="n"/>
      <c r="S3246" s="227" t="n"/>
      <c r="T3246" s="227" t="n"/>
    </row>
    <row r="3247">
      <c r="A3247" s="145">
        <f>IF($B3247="","",ROW()-5)</f>
        <v/>
      </c>
      <c r="B3247" s="127" t="n"/>
      <c r="C3247" s="223" t="n"/>
      <c r="D3247" s="127" t="n"/>
      <c r="E3247" s="227" t="n"/>
      <c r="F3247" s="227" t="n"/>
      <c r="G3247" s="227" t="n"/>
      <c r="H3247" s="227" t="n"/>
      <c r="I3247" s="227" t="n"/>
      <c r="J3247" s="227" t="n"/>
      <c r="K3247" s="227" t="n"/>
      <c r="L3247" s="227" t="n"/>
      <c r="M3247" s="227" t="n"/>
      <c r="N3247" s="127" t="n"/>
      <c r="O3247" s="227" t="n"/>
      <c r="P3247" s="227" t="n"/>
      <c r="Q3247" s="227" t="n"/>
      <c r="R3247" s="227" t="n"/>
      <c r="S3247" s="227" t="n"/>
      <c r="T3247" s="227" t="n"/>
    </row>
    <row r="3248">
      <c r="A3248" s="145">
        <f>IF($B3248="","",ROW()-5)</f>
        <v/>
      </c>
      <c r="B3248" s="127" t="n"/>
      <c r="C3248" s="223" t="n"/>
      <c r="D3248" s="127" t="n"/>
      <c r="E3248" s="227" t="n"/>
      <c r="F3248" s="227" t="n"/>
      <c r="G3248" s="227" t="n"/>
      <c r="H3248" s="227" t="n"/>
      <c r="I3248" s="227" t="n"/>
      <c r="J3248" s="227" t="n"/>
      <c r="K3248" s="227" t="n"/>
      <c r="L3248" s="227" t="n"/>
      <c r="M3248" s="227" t="n"/>
      <c r="N3248" s="127" t="n"/>
      <c r="O3248" s="227" t="n"/>
      <c r="P3248" s="227" t="n"/>
      <c r="Q3248" s="227" t="n"/>
      <c r="R3248" s="227" t="n"/>
      <c r="S3248" s="227" t="n"/>
      <c r="T3248" s="227" t="n"/>
    </row>
    <row r="3249">
      <c r="A3249" s="145">
        <f>IF($B3249="","",ROW()-5)</f>
        <v/>
      </c>
      <c r="B3249" s="127" t="n"/>
      <c r="C3249" s="223" t="n"/>
      <c r="D3249" s="127" t="n"/>
      <c r="E3249" s="227" t="n"/>
      <c r="F3249" s="227" t="n"/>
      <c r="G3249" s="227" t="n"/>
      <c r="H3249" s="227" t="n"/>
      <c r="I3249" s="227" t="n"/>
      <c r="J3249" s="227" t="n"/>
      <c r="K3249" s="227" t="n"/>
      <c r="L3249" s="227" t="n"/>
      <c r="M3249" s="227" t="n"/>
      <c r="N3249" s="127" t="n"/>
      <c r="O3249" s="227" t="n"/>
      <c r="P3249" s="227" t="n"/>
      <c r="Q3249" s="227" t="n"/>
      <c r="R3249" s="227" t="n"/>
      <c r="S3249" s="227" t="n"/>
      <c r="T3249" s="227" t="n"/>
    </row>
    <row r="3250">
      <c r="A3250" s="145">
        <f>IF($B3250="","",ROW()-5)</f>
        <v/>
      </c>
      <c r="B3250" s="127" t="n"/>
      <c r="C3250" s="223" t="n"/>
      <c r="D3250" s="127" t="n"/>
      <c r="E3250" s="227" t="n"/>
      <c r="F3250" s="227" t="n"/>
      <c r="G3250" s="227" t="n"/>
      <c r="H3250" s="227" t="n"/>
      <c r="I3250" s="227" t="n"/>
      <c r="J3250" s="227" t="n"/>
      <c r="K3250" s="227" t="n"/>
      <c r="L3250" s="227" t="n"/>
      <c r="M3250" s="227" t="n"/>
      <c r="N3250" s="127" t="n"/>
      <c r="O3250" s="227" t="n"/>
      <c r="P3250" s="227" t="n"/>
      <c r="Q3250" s="227" t="n"/>
      <c r="R3250" s="227" t="n"/>
      <c r="S3250" s="227" t="n"/>
      <c r="T3250" s="227" t="n"/>
    </row>
    <row r="3251">
      <c r="A3251" s="145">
        <f>IF($B3251="","",ROW()-5)</f>
        <v/>
      </c>
      <c r="B3251" s="127" t="n"/>
      <c r="C3251" s="223" t="n"/>
      <c r="D3251" s="127" t="n"/>
      <c r="E3251" s="227" t="n"/>
      <c r="F3251" s="227" t="n"/>
      <c r="G3251" s="227" t="n"/>
      <c r="H3251" s="227" t="n"/>
      <c r="I3251" s="227" t="n"/>
      <c r="J3251" s="227" t="n"/>
      <c r="K3251" s="227" t="n"/>
      <c r="L3251" s="227" t="n"/>
      <c r="M3251" s="227" t="n"/>
      <c r="N3251" s="127" t="n"/>
      <c r="O3251" s="227" t="n"/>
      <c r="P3251" s="227" t="n"/>
      <c r="Q3251" s="227" t="n"/>
      <c r="R3251" s="227" t="n"/>
      <c r="S3251" s="227" t="n"/>
      <c r="T3251" s="227" t="n"/>
    </row>
    <row r="3252">
      <c r="A3252" s="145">
        <f>IF($B3252="","",ROW()-5)</f>
        <v/>
      </c>
      <c r="B3252" s="127" t="n"/>
      <c r="C3252" s="223" t="n"/>
      <c r="D3252" s="127" t="n"/>
      <c r="E3252" s="227" t="n"/>
      <c r="F3252" s="227" t="n"/>
      <c r="G3252" s="227" t="n"/>
      <c r="H3252" s="227" t="n"/>
      <c r="I3252" s="227" t="n"/>
      <c r="J3252" s="227" t="n"/>
      <c r="K3252" s="227" t="n"/>
      <c r="L3252" s="227" t="n"/>
      <c r="M3252" s="227" t="n"/>
      <c r="N3252" s="127" t="n"/>
      <c r="O3252" s="227" t="n"/>
      <c r="P3252" s="227" t="n"/>
      <c r="Q3252" s="227" t="n"/>
      <c r="R3252" s="227" t="n"/>
      <c r="S3252" s="227" t="n"/>
      <c r="T3252" s="227" t="n"/>
    </row>
    <row r="3253">
      <c r="A3253" s="145">
        <f>IF($B3253="","",ROW()-5)</f>
        <v/>
      </c>
      <c r="B3253" s="127" t="n"/>
      <c r="C3253" s="223" t="n"/>
      <c r="D3253" s="127" t="n"/>
      <c r="E3253" s="227" t="n"/>
      <c r="F3253" s="227" t="n"/>
      <c r="G3253" s="227" t="n"/>
      <c r="H3253" s="227" t="n"/>
      <c r="I3253" s="227" t="n"/>
      <c r="J3253" s="227" t="n"/>
      <c r="K3253" s="227" t="n"/>
      <c r="L3253" s="227" t="n"/>
      <c r="M3253" s="227" t="n"/>
      <c r="N3253" s="127" t="n"/>
      <c r="O3253" s="227" t="n"/>
      <c r="P3253" s="227" t="n"/>
      <c r="Q3253" s="227" t="n"/>
      <c r="R3253" s="227" t="n"/>
      <c r="S3253" s="227" t="n"/>
      <c r="T3253" s="227" t="n"/>
    </row>
    <row r="3254">
      <c r="A3254" s="145">
        <f>IF($B3254="","",ROW()-5)</f>
        <v/>
      </c>
      <c r="B3254" s="127" t="n"/>
      <c r="C3254" s="223" t="n"/>
      <c r="D3254" s="127" t="n"/>
      <c r="E3254" s="227" t="n"/>
      <c r="F3254" s="227" t="n"/>
      <c r="G3254" s="227" t="n"/>
      <c r="H3254" s="227" t="n"/>
      <c r="I3254" s="227" t="n"/>
      <c r="J3254" s="227" t="n"/>
      <c r="K3254" s="227" t="n"/>
      <c r="L3254" s="227" t="n"/>
      <c r="M3254" s="227" t="n"/>
      <c r="N3254" s="127" t="n"/>
      <c r="O3254" s="227" t="n"/>
      <c r="P3254" s="227" t="n"/>
      <c r="Q3254" s="227" t="n"/>
      <c r="R3254" s="227" t="n"/>
      <c r="S3254" s="227" t="n"/>
      <c r="T3254" s="227" t="n"/>
    </row>
    <row r="3255">
      <c r="A3255" s="145">
        <f>IF($B3255="","",ROW()-5)</f>
        <v/>
      </c>
      <c r="B3255" s="127" t="n"/>
      <c r="C3255" s="223" t="n"/>
      <c r="D3255" s="127" t="n"/>
      <c r="E3255" s="227" t="n"/>
      <c r="F3255" s="227" t="n"/>
      <c r="G3255" s="227" t="n"/>
      <c r="H3255" s="227" t="n"/>
      <c r="I3255" s="227" t="n"/>
      <c r="J3255" s="227" t="n"/>
      <c r="K3255" s="227" t="n"/>
      <c r="L3255" s="227" t="n"/>
      <c r="M3255" s="227" t="n"/>
      <c r="N3255" s="127" t="n"/>
      <c r="O3255" s="227" t="n"/>
      <c r="P3255" s="227" t="n"/>
      <c r="Q3255" s="227" t="n"/>
      <c r="R3255" s="227" t="n"/>
      <c r="S3255" s="227" t="n"/>
      <c r="T3255" s="227" t="n"/>
    </row>
    <row r="3256">
      <c r="A3256" s="145">
        <f>IF($B3256="","",ROW()-5)</f>
        <v/>
      </c>
      <c r="B3256" s="127" t="n"/>
      <c r="C3256" s="223" t="n"/>
      <c r="D3256" s="127" t="n"/>
      <c r="E3256" s="227" t="n"/>
      <c r="F3256" s="227" t="n"/>
      <c r="G3256" s="227" t="n"/>
      <c r="H3256" s="227" t="n"/>
      <c r="I3256" s="227" t="n"/>
      <c r="J3256" s="227" t="n"/>
      <c r="K3256" s="227" t="n"/>
      <c r="L3256" s="227" t="n"/>
      <c r="M3256" s="227" t="n"/>
      <c r="N3256" s="127" t="n"/>
      <c r="O3256" s="227" t="n"/>
      <c r="P3256" s="227" t="n"/>
      <c r="Q3256" s="227" t="n"/>
      <c r="R3256" s="227" t="n"/>
      <c r="S3256" s="227" t="n"/>
      <c r="T3256" s="227" t="n"/>
    </row>
    <row r="3257">
      <c r="A3257" s="145">
        <f>IF($B3257="","",ROW()-5)</f>
        <v/>
      </c>
      <c r="B3257" s="127" t="n"/>
      <c r="C3257" s="223" t="n"/>
      <c r="D3257" s="127" t="n"/>
      <c r="E3257" s="227" t="n"/>
      <c r="F3257" s="227" t="n"/>
      <c r="G3257" s="227" t="n"/>
      <c r="H3257" s="227" t="n"/>
      <c r="I3257" s="227" t="n"/>
      <c r="J3257" s="227" t="n"/>
      <c r="K3257" s="227" t="n"/>
      <c r="L3257" s="227" t="n"/>
      <c r="M3257" s="227" t="n"/>
      <c r="N3257" s="127" t="n"/>
      <c r="O3257" s="227" t="n"/>
      <c r="P3257" s="227" t="n"/>
      <c r="Q3257" s="227" t="n"/>
      <c r="R3257" s="227" t="n"/>
      <c r="S3257" s="227" t="n"/>
      <c r="T3257" s="227" t="n"/>
    </row>
    <row r="3258">
      <c r="A3258" s="145">
        <f>IF($B3258="","",ROW()-5)</f>
        <v/>
      </c>
      <c r="B3258" s="127" t="n"/>
      <c r="C3258" s="223" t="n"/>
      <c r="D3258" s="127" t="n"/>
      <c r="E3258" s="227" t="n"/>
      <c r="F3258" s="227" t="n"/>
      <c r="G3258" s="227" t="n"/>
      <c r="H3258" s="227" t="n"/>
      <c r="I3258" s="227" t="n"/>
      <c r="J3258" s="227" t="n"/>
      <c r="K3258" s="227" t="n"/>
      <c r="L3258" s="227" t="n"/>
      <c r="M3258" s="227" t="n"/>
      <c r="N3258" s="127" t="n"/>
      <c r="O3258" s="227" t="n"/>
      <c r="P3258" s="227" t="n"/>
      <c r="Q3258" s="227" t="n"/>
      <c r="R3258" s="227" t="n"/>
      <c r="S3258" s="227" t="n"/>
      <c r="T3258" s="227" t="n"/>
    </row>
    <row r="3259">
      <c r="A3259" s="145">
        <f>IF($B3259="","",ROW()-5)</f>
        <v/>
      </c>
      <c r="B3259" s="127" t="n"/>
      <c r="C3259" s="223" t="n"/>
      <c r="D3259" s="127" t="n"/>
      <c r="E3259" s="227" t="n"/>
      <c r="F3259" s="227" t="n"/>
      <c r="G3259" s="227" t="n"/>
      <c r="H3259" s="227" t="n"/>
      <c r="I3259" s="227" t="n"/>
      <c r="J3259" s="227" t="n"/>
      <c r="K3259" s="227" t="n"/>
      <c r="L3259" s="227" t="n"/>
      <c r="M3259" s="227" t="n"/>
      <c r="N3259" s="127" t="n"/>
      <c r="O3259" s="227" t="n"/>
      <c r="P3259" s="227" t="n"/>
      <c r="Q3259" s="227" t="n"/>
      <c r="R3259" s="227" t="n"/>
      <c r="S3259" s="227" t="n"/>
      <c r="T3259" s="227" t="n"/>
    </row>
    <row r="3260">
      <c r="A3260" s="145">
        <f>IF($B3260="","",ROW()-5)</f>
        <v/>
      </c>
      <c r="B3260" s="127" t="n"/>
      <c r="C3260" s="223" t="n"/>
      <c r="D3260" s="127" t="n"/>
      <c r="E3260" s="227" t="n"/>
      <c r="F3260" s="227" t="n"/>
      <c r="G3260" s="227" t="n"/>
      <c r="H3260" s="227" t="n"/>
      <c r="I3260" s="227" t="n"/>
      <c r="J3260" s="227" t="n"/>
      <c r="K3260" s="227" t="n"/>
      <c r="L3260" s="227" t="n"/>
      <c r="M3260" s="227" t="n"/>
      <c r="N3260" s="127" t="n"/>
      <c r="O3260" s="227" t="n"/>
      <c r="P3260" s="227" t="n"/>
      <c r="Q3260" s="227" t="n"/>
      <c r="R3260" s="227" t="n"/>
      <c r="S3260" s="227" t="n"/>
      <c r="T3260" s="227" t="n"/>
    </row>
    <row r="3261">
      <c r="A3261" s="145">
        <f>IF($B3261="","",ROW()-5)</f>
        <v/>
      </c>
      <c r="B3261" s="127" t="n"/>
      <c r="C3261" s="223" t="n"/>
      <c r="D3261" s="127" t="n"/>
      <c r="E3261" s="227" t="n"/>
      <c r="F3261" s="227" t="n"/>
      <c r="G3261" s="227" t="n"/>
      <c r="H3261" s="227" t="n"/>
      <c r="I3261" s="227" t="n"/>
      <c r="J3261" s="227" t="n"/>
      <c r="K3261" s="227" t="n"/>
      <c r="L3261" s="227" t="n"/>
      <c r="M3261" s="227" t="n"/>
      <c r="N3261" s="127" t="n"/>
      <c r="O3261" s="227" t="n"/>
      <c r="P3261" s="227" t="n"/>
      <c r="Q3261" s="227" t="n"/>
      <c r="R3261" s="227" t="n"/>
      <c r="S3261" s="227" t="n"/>
      <c r="T3261" s="227" t="n"/>
    </row>
    <row r="3262">
      <c r="A3262" s="145">
        <f>IF($B3262="","",ROW()-5)</f>
        <v/>
      </c>
      <c r="B3262" s="127" t="n"/>
      <c r="C3262" s="223" t="n"/>
      <c r="D3262" s="127" t="n"/>
      <c r="E3262" s="227" t="n"/>
      <c r="F3262" s="227" t="n"/>
      <c r="G3262" s="227" t="n"/>
      <c r="H3262" s="227" t="n"/>
      <c r="I3262" s="227" t="n"/>
      <c r="J3262" s="227" t="n"/>
      <c r="K3262" s="227" t="n"/>
      <c r="L3262" s="227" t="n"/>
      <c r="M3262" s="227" t="n"/>
      <c r="N3262" s="127" t="n"/>
      <c r="O3262" s="227" t="n"/>
      <c r="P3262" s="227" t="n"/>
      <c r="Q3262" s="227" t="n"/>
      <c r="R3262" s="227" t="n"/>
      <c r="S3262" s="227" t="n"/>
      <c r="T3262" s="227" t="n"/>
    </row>
    <row r="3263">
      <c r="A3263" s="145">
        <f>IF($B3263="","",ROW()-5)</f>
        <v/>
      </c>
      <c r="B3263" s="127" t="n"/>
      <c r="C3263" s="223" t="n"/>
      <c r="D3263" s="127" t="n"/>
      <c r="E3263" s="227" t="n"/>
      <c r="F3263" s="227" t="n"/>
      <c r="G3263" s="227" t="n"/>
      <c r="H3263" s="227" t="n"/>
      <c r="I3263" s="227" t="n"/>
      <c r="J3263" s="227" t="n"/>
      <c r="K3263" s="227" t="n"/>
      <c r="L3263" s="227" t="n"/>
      <c r="M3263" s="227" t="n"/>
      <c r="N3263" s="127" t="n"/>
      <c r="O3263" s="227" t="n"/>
      <c r="P3263" s="227" t="n"/>
      <c r="Q3263" s="227" t="n"/>
      <c r="R3263" s="227" t="n"/>
      <c r="S3263" s="227" t="n"/>
      <c r="T3263" s="227" t="n"/>
    </row>
    <row r="3264">
      <c r="A3264" s="145">
        <f>IF($B3264="","",ROW()-5)</f>
        <v/>
      </c>
      <c r="B3264" s="127" t="n"/>
      <c r="C3264" s="223" t="n"/>
      <c r="D3264" s="127" t="n"/>
      <c r="E3264" s="227" t="n"/>
      <c r="F3264" s="227" t="n"/>
      <c r="G3264" s="227" t="n"/>
      <c r="H3264" s="227" t="n"/>
      <c r="I3264" s="227" t="n"/>
      <c r="J3264" s="227" t="n"/>
      <c r="K3264" s="227" t="n"/>
      <c r="L3264" s="227" t="n"/>
      <c r="M3264" s="227" t="n"/>
      <c r="N3264" s="127" t="n"/>
      <c r="O3264" s="227" t="n"/>
      <c r="P3264" s="227" t="n"/>
      <c r="Q3264" s="227" t="n"/>
      <c r="R3264" s="227" t="n"/>
      <c r="S3264" s="227" t="n"/>
      <c r="T3264" s="227" t="n"/>
    </row>
    <row r="3265">
      <c r="A3265" s="145">
        <f>IF($B3265="","",ROW()-5)</f>
        <v/>
      </c>
      <c r="B3265" s="127" t="n"/>
      <c r="C3265" s="223" t="n"/>
      <c r="D3265" s="127" t="n"/>
      <c r="E3265" s="227" t="n"/>
      <c r="F3265" s="227" t="n"/>
      <c r="G3265" s="227" t="n"/>
      <c r="H3265" s="227" t="n"/>
      <c r="I3265" s="227" t="n"/>
      <c r="J3265" s="227" t="n"/>
      <c r="K3265" s="227" t="n"/>
      <c r="L3265" s="227" t="n"/>
      <c r="M3265" s="227" t="n"/>
      <c r="N3265" s="127" t="n"/>
      <c r="O3265" s="227" t="n"/>
      <c r="P3265" s="227" t="n"/>
      <c r="Q3265" s="227" t="n"/>
      <c r="R3265" s="227" t="n"/>
      <c r="S3265" s="227" t="n"/>
      <c r="T3265" s="227" t="n"/>
    </row>
    <row r="3266">
      <c r="A3266" s="145">
        <f>IF($B3266="","",ROW()-5)</f>
        <v/>
      </c>
      <c r="B3266" s="127" t="n"/>
      <c r="C3266" s="223" t="n"/>
      <c r="D3266" s="127" t="n"/>
      <c r="E3266" s="227" t="n"/>
      <c r="F3266" s="227" t="n"/>
      <c r="G3266" s="227" t="n"/>
      <c r="H3266" s="227" t="n"/>
      <c r="I3266" s="227" t="n"/>
      <c r="J3266" s="227" t="n"/>
      <c r="K3266" s="227" t="n"/>
      <c r="L3266" s="227" t="n"/>
      <c r="M3266" s="227" t="n"/>
      <c r="N3266" s="127" t="n"/>
      <c r="O3266" s="227" t="n"/>
      <c r="P3266" s="227" t="n"/>
      <c r="Q3266" s="227" t="n"/>
      <c r="R3266" s="227" t="n"/>
      <c r="S3266" s="227" t="n"/>
      <c r="T3266" s="227" t="n"/>
    </row>
    <row r="3267">
      <c r="A3267" s="145">
        <f>IF($B3267="","",ROW()-5)</f>
        <v/>
      </c>
      <c r="B3267" s="127" t="n"/>
      <c r="C3267" s="223" t="n"/>
      <c r="D3267" s="127" t="n"/>
      <c r="E3267" s="227" t="n"/>
      <c r="F3267" s="227" t="n"/>
      <c r="G3267" s="227" t="n"/>
      <c r="H3267" s="227" t="n"/>
      <c r="I3267" s="227" t="n"/>
      <c r="J3267" s="227" t="n"/>
      <c r="K3267" s="227" t="n"/>
      <c r="L3267" s="227" t="n"/>
      <c r="M3267" s="227" t="n"/>
      <c r="N3267" s="127" t="n"/>
      <c r="O3267" s="227" t="n"/>
      <c r="P3267" s="227" t="n"/>
      <c r="Q3267" s="227" t="n"/>
      <c r="R3267" s="227" t="n"/>
      <c r="S3267" s="227" t="n"/>
      <c r="T3267" s="227" t="n"/>
    </row>
    <row r="3268">
      <c r="A3268" s="145">
        <f>IF($B3268="","",ROW()-5)</f>
        <v/>
      </c>
      <c r="B3268" s="127" t="n"/>
      <c r="C3268" s="223" t="n"/>
      <c r="D3268" s="127" t="n"/>
      <c r="E3268" s="227" t="n"/>
      <c r="F3268" s="227" t="n"/>
      <c r="G3268" s="227" t="n"/>
      <c r="H3268" s="227" t="n"/>
      <c r="I3268" s="227" t="n"/>
      <c r="J3268" s="227" t="n"/>
      <c r="K3268" s="227" t="n"/>
      <c r="L3268" s="227" t="n"/>
      <c r="M3268" s="227" t="n"/>
      <c r="N3268" s="127" t="n"/>
      <c r="O3268" s="227" t="n"/>
      <c r="P3268" s="227" t="n"/>
      <c r="Q3268" s="227" t="n"/>
      <c r="R3268" s="227" t="n"/>
      <c r="S3268" s="227" t="n"/>
      <c r="T3268" s="227" t="n"/>
    </row>
    <row r="3269">
      <c r="A3269" s="145">
        <f>IF($B3269="","",ROW()-5)</f>
        <v/>
      </c>
      <c r="B3269" s="127" t="n"/>
      <c r="C3269" s="223" t="n"/>
      <c r="D3269" s="127" t="n"/>
      <c r="E3269" s="227" t="n"/>
      <c r="F3269" s="227" t="n"/>
      <c r="G3269" s="227" t="n"/>
      <c r="H3269" s="227" t="n"/>
      <c r="I3269" s="227" t="n"/>
      <c r="J3269" s="227" t="n"/>
      <c r="K3269" s="227" t="n"/>
      <c r="L3269" s="227" t="n"/>
      <c r="M3269" s="227" t="n"/>
      <c r="N3269" s="127" t="n"/>
      <c r="O3269" s="227" t="n"/>
      <c r="P3269" s="227" t="n"/>
      <c r="Q3269" s="227" t="n"/>
      <c r="R3269" s="227" t="n"/>
      <c r="S3269" s="227" t="n"/>
      <c r="T3269" s="227" t="n"/>
    </row>
    <row r="3270">
      <c r="A3270" s="145">
        <f>IF($B3270="","",ROW()-5)</f>
        <v/>
      </c>
      <c r="B3270" s="127" t="n"/>
      <c r="C3270" s="223" t="n"/>
      <c r="D3270" s="127" t="n"/>
      <c r="E3270" s="227" t="n"/>
      <c r="F3270" s="227" t="n"/>
      <c r="G3270" s="227" t="n"/>
      <c r="H3270" s="227" t="n"/>
      <c r="I3270" s="227" t="n"/>
      <c r="J3270" s="227" t="n"/>
      <c r="K3270" s="227" t="n"/>
      <c r="L3270" s="227" t="n"/>
      <c r="M3270" s="227" t="n"/>
      <c r="N3270" s="127" t="n"/>
      <c r="O3270" s="227" t="n"/>
      <c r="P3270" s="227" t="n"/>
      <c r="Q3270" s="227" t="n"/>
      <c r="R3270" s="227" t="n"/>
      <c r="S3270" s="227" t="n"/>
      <c r="T3270" s="227" t="n"/>
    </row>
    <row r="3271">
      <c r="A3271" s="145">
        <f>IF($B3271="","",ROW()-5)</f>
        <v/>
      </c>
      <c r="B3271" s="127" t="n"/>
      <c r="C3271" s="223" t="n"/>
      <c r="D3271" s="127" t="n"/>
      <c r="E3271" s="227" t="n"/>
      <c r="F3271" s="227" t="n"/>
      <c r="G3271" s="227" t="n"/>
      <c r="H3271" s="227" t="n"/>
      <c r="I3271" s="227" t="n"/>
      <c r="J3271" s="227" t="n"/>
      <c r="K3271" s="227" t="n"/>
      <c r="L3271" s="227" t="n"/>
      <c r="M3271" s="227" t="n"/>
      <c r="N3271" s="127" t="n"/>
      <c r="O3271" s="227" t="n"/>
      <c r="P3271" s="227" t="n"/>
      <c r="Q3271" s="227" t="n"/>
      <c r="R3271" s="227" t="n"/>
      <c r="S3271" s="227" t="n"/>
      <c r="T3271" s="227" t="n"/>
    </row>
    <row r="3272">
      <c r="A3272" s="145">
        <f>IF($B3272="","",ROW()-5)</f>
        <v/>
      </c>
      <c r="B3272" s="127" t="n"/>
      <c r="C3272" s="223" t="n"/>
      <c r="D3272" s="127" t="n"/>
      <c r="E3272" s="227" t="n"/>
      <c r="F3272" s="227" t="n"/>
      <c r="G3272" s="227" t="n"/>
      <c r="H3272" s="227" t="n"/>
      <c r="I3272" s="227" t="n"/>
      <c r="J3272" s="227" t="n"/>
      <c r="K3272" s="227" t="n"/>
      <c r="L3272" s="227" t="n"/>
      <c r="M3272" s="227" t="n"/>
      <c r="N3272" s="127" t="n"/>
      <c r="O3272" s="227" t="n"/>
      <c r="P3272" s="227" t="n"/>
      <c r="Q3272" s="227" t="n"/>
      <c r="R3272" s="227" t="n"/>
      <c r="S3272" s="227" t="n"/>
      <c r="T3272" s="227" t="n"/>
    </row>
    <row r="3273">
      <c r="A3273" s="145">
        <f>IF($B3273="","",ROW()-5)</f>
        <v/>
      </c>
      <c r="B3273" s="127" t="n"/>
      <c r="C3273" s="223" t="n"/>
      <c r="D3273" s="127" t="n"/>
      <c r="E3273" s="227" t="n"/>
      <c r="F3273" s="227" t="n"/>
      <c r="G3273" s="227" t="n"/>
      <c r="H3273" s="227" t="n"/>
      <c r="I3273" s="227" t="n"/>
      <c r="J3273" s="227" t="n"/>
      <c r="K3273" s="227" t="n"/>
      <c r="L3273" s="227" t="n"/>
      <c r="M3273" s="227" t="n"/>
      <c r="N3273" s="127" t="n"/>
      <c r="O3273" s="227" t="n"/>
      <c r="P3273" s="227" t="n"/>
      <c r="Q3273" s="227" t="n"/>
      <c r="R3273" s="227" t="n"/>
      <c r="S3273" s="227" t="n"/>
      <c r="T3273" s="227" t="n"/>
    </row>
    <row r="3274">
      <c r="A3274" s="145">
        <f>IF($B3274="","",ROW()-5)</f>
        <v/>
      </c>
      <c r="B3274" s="127" t="n"/>
      <c r="C3274" s="223" t="n"/>
      <c r="D3274" s="127" t="n"/>
      <c r="E3274" s="227" t="n"/>
      <c r="F3274" s="227" t="n"/>
      <c r="G3274" s="227" t="n"/>
      <c r="H3274" s="227" t="n"/>
      <c r="I3274" s="227" t="n"/>
      <c r="J3274" s="227" t="n"/>
      <c r="K3274" s="227" t="n"/>
      <c r="L3274" s="227" t="n"/>
      <c r="M3274" s="227" t="n"/>
      <c r="N3274" s="127" t="n"/>
      <c r="O3274" s="227" t="n"/>
      <c r="P3274" s="227" t="n"/>
      <c r="Q3274" s="227" t="n"/>
      <c r="R3274" s="227" t="n"/>
      <c r="S3274" s="227" t="n"/>
      <c r="T3274" s="227" t="n"/>
    </row>
    <row r="3275">
      <c r="A3275" s="145">
        <f>IF($B3275="","",ROW()-5)</f>
        <v/>
      </c>
      <c r="B3275" s="127" t="n"/>
      <c r="C3275" s="223" t="n"/>
      <c r="D3275" s="127" t="n"/>
      <c r="E3275" s="227" t="n"/>
      <c r="F3275" s="227" t="n"/>
      <c r="G3275" s="227" t="n"/>
      <c r="H3275" s="227" t="n"/>
      <c r="I3275" s="227" t="n"/>
      <c r="J3275" s="227" t="n"/>
      <c r="K3275" s="227" t="n"/>
      <c r="L3275" s="227" t="n"/>
      <c r="M3275" s="227" t="n"/>
      <c r="N3275" s="127" t="n"/>
      <c r="O3275" s="227" t="n"/>
      <c r="P3275" s="227" t="n"/>
      <c r="Q3275" s="227" t="n"/>
      <c r="R3275" s="227" t="n"/>
      <c r="S3275" s="227" t="n"/>
      <c r="T3275" s="227" t="n"/>
    </row>
    <row r="3276">
      <c r="A3276" s="145">
        <f>IF($B3276="","",ROW()-5)</f>
        <v/>
      </c>
      <c r="B3276" s="127" t="n"/>
      <c r="C3276" s="223" t="n"/>
      <c r="D3276" s="127" t="n"/>
      <c r="E3276" s="227" t="n"/>
      <c r="F3276" s="227" t="n"/>
      <c r="G3276" s="227" t="n"/>
      <c r="H3276" s="227" t="n"/>
      <c r="I3276" s="227" t="n"/>
      <c r="J3276" s="227" t="n"/>
      <c r="K3276" s="227" t="n"/>
      <c r="L3276" s="227" t="n"/>
      <c r="M3276" s="227" t="n"/>
      <c r="N3276" s="127" t="n"/>
      <c r="O3276" s="227" t="n"/>
      <c r="P3276" s="227" t="n"/>
      <c r="Q3276" s="227" t="n"/>
      <c r="R3276" s="227" t="n"/>
      <c r="S3276" s="227" t="n"/>
      <c r="T3276" s="227" t="n"/>
    </row>
    <row r="3277">
      <c r="A3277" s="145">
        <f>IF($B3277="","",ROW()-5)</f>
        <v/>
      </c>
      <c r="B3277" s="127" t="n"/>
      <c r="C3277" s="223" t="n"/>
      <c r="D3277" s="127" t="n"/>
      <c r="E3277" s="227" t="n"/>
      <c r="F3277" s="227" t="n"/>
      <c r="G3277" s="227" t="n"/>
      <c r="H3277" s="227" t="n"/>
      <c r="I3277" s="227" t="n"/>
      <c r="J3277" s="227" t="n"/>
      <c r="K3277" s="227" t="n"/>
      <c r="L3277" s="227" t="n"/>
      <c r="M3277" s="227" t="n"/>
      <c r="N3277" s="127" t="n"/>
      <c r="O3277" s="227" t="n"/>
      <c r="P3277" s="227" t="n"/>
      <c r="Q3277" s="227" t="n"/>
      <c r="R3277" s="227" t="n"/>
      <c r="S3277" s="227" t="n"/>
      <c r="T3277" s="227" t="n"/>
    </row>
    <row r="3278">
      <c r="A3278" s="145">
        <f>IF($B3278="","",ROW()-5)</f>
        <v/>
      </c>
      <c r="B3278" s="127" t="n"/>
      <c r="C3278" s="223" t="n"/>
      <c r="D3278" s="127" t="n"/>
      <c r="E3278" s="227" t="n"/>
      <c r="F3278" s="227" t="n"/>
      <c r="G3278" s="227" t="n"/>
      <c r="H3278" s="227" t="n"/>
      <c r="I3278" s="227" t="n"/>
      <c r="J3278" s="227" t="n"/>
      <c r="K3278" s="227" t="n"/>
      <c r="L3278" s="227" t="n"/>
      <c r="M3278" s="227" t="n"/>
      <c r="N3278" s="127" t="n"/>
      <c r="O3278" s="227" t="n"/>
      <c r="P3278" s="227" t="n"/>
      <c r="Q3278" s="227" t="n"/>
      <c r="R3278" s="227" t="n"/>
      <c r="S3278" s="227" t="n"/>
      <c r="T3278" s="227" t="n"/>
    </row>
    <row r="3279">
      <c r="A3279" s="145">
        <f>IF($B3279="","",ROW()-5)</f>
        <v/>
      </c>
      <c r="B3279" s="127" t="n"/>
      <c r="C3279" s="223" t="n"/>
      <c r="D3279" s="127" t="n"/>
      <c r="E3279" s="227" t="n"/>
      <c r="F3279" s="227" t="n"/>
      <c r="G3279" s="227" t="n"/>
      <c r="H3279" s="227" t="n"/>
      <c r="I3279" s="227" t="n"/>
      <c r="J3279" s="227" t="n"/>
      <c r="K3279" s="227" t="n"/>
      <c r="L3279" s="227" t="n"/>
      <c r="M3279" s="227" t="n"/>
      <c r="N3279" s="127" t="n"/>
      <c r="O3279" s="227" t="n"/>
      <c r="P3279" s="227" t="n"/>
      <c r="Q3279" s="227" t="n"/>
      <c r="R3279" s="227" t="n"/>
      <c r="S3279" s="227" t="n"/>
      <c r="T3279" s="227" t="n"/>
    </row>
    <row r="3280">
      <c r="A3280" s="145">
        <f>IF($B3280="","",ROW()-5)</f>
        <v/>
      </c>
      <c r="B3280" s="127" t="n"/>
      <c r="C3280" s="223" t="n"/>
      <c r="D3280" s="127" t="n"/>
      <c r="E3280" s="227" t="n"/>
      <c r="F3280" s="227" t="n"/>
      <c r="G3280" s="227" t="n"/>
      <c r="H3280" s="227" t="n"/>
      <c r="I3280" s="227" t="n"/>
      <c r="J3280" s="227" t="n"/>
      <c r="K3280" s="227" t="n"/>
      <c r="L3280" s="227" t="n"/>
      <c r="M3280" s="227" t="n"/>
      <c r="N3280" s="127" t="n"/>
      <c r="O3280" s="227" t="n"/>
      <c r="P3280" s="227" t="n"/>
      <c r="Q3280" s="227" t="n"/>
      <c r="R3280" s="227" t="n"/>
      <c r="S3280" s="227" t="n"/>
      <c r="T3280" s="227" t="n"/>
    </row>
    <row r="3281">
      <c r="A3281" s="145">
        <f>IF($B3281="","",ROW()-5)</f>
        <v/>
      </c>
      <c r="B3281" s="127" t="n"/>
      <c r="C3281" s="223" t="n"/>
      <c r="D3281" s="127" t="n"/>
      <c r="E3281" s="227" t="n"/>
      <c r="F3281" s="227" t="n"/>
      <c r="G3281" s="227" t="n"/>
      <c r="H3281" s="227" t="n"/>
      <c r="I3281" s="227" t="n"/>
      <c r="J3281" s="227" t="n"/>
      <c r="K3281" s="227" t="n"/>
      <c r="L3281" s="227" t="n"/>
      <c r="M3281" s="227" t="n"/>
      <c r="N3281" s="127" t="n"/>
      <c r="O3281" s="227" t="n"/>
      <c r="P3281" s="227" t="n"/>
      <c r="Q3281" s="227" t="n"/>
      <c r="R3281" s="227" t="n"/>
      <c r="S3281" s="227" t="n"/>
      <c r="T3281" s="227" t="n"/>
    </row>
    <row r="3282">
      <c r="A3282" s="145">
        <f>IF($B3282="","",ROW()-5)</f>
        <v/>
      </c>
      <c r="B3282" s="127" t="n"/>
      <c r="C3282" s="223" t="n"/>
      <c r="D3282" s="127" t="n"/>
      <c r="E3282" s="227" t="n"/>
      <c r="F3282" s="227" t="n"/>
      <c r="G3282" s="227" t="n"/>
      <c r="H3282" s="227" t="n"/>
      <c r="I3282" s="227" t="n"/>
      <c r="J3282" s="227" t="n"/>
      <c r="K3282" s="227" t="n"/>
      <c r="L3282" s="227" t="n"/>
      <c r="M3282" s="227" t="n"/>
      <c r="N3282" s="127" t="n"/>
      <c r="O3282" s="227" t="n"/>
      <c r="P3282" s="227" t="n"/>
      <c r="Q3282" s="227" t="n"/>
      <c r="R3282" s="227" t="n"/>
      <c r="S3282" s="227" t="n"/>
      <c r="T3282" s="227" t="n"/>
    </row>
    <row r="3283">
      <c r="A3283" s="145">
        <f>IF($B3283="","",ROW()-5)</f>
        <v/>
      </c>
      <c r="B3283" s="127" t="n"/>
      <c r="C3283" s="223" t="n"/>
      <c r="D3283" s="127" t="n"/>
      <c r="E3283" s="227" t="n"/>
      <c r="F3283" s="227" t="n"/>
      <c r="G3283" s="227" t="n"/>
      <c r="H3283" s="227" t="n"/>
      <c r="I3283" s="227" t="n"/>
      <c r="J3283" s="227" t="n"/>
      <c r="K3283" s="227" t="n"/>
      <c r="L3283" s="227" t="n"/>
      <c r="M3283" s="227" t="n"/>
      <c r="N3283" s="127" t="n"/>
      <c r="O3283" s="227" t="n"/>
      <c r="P3283" s="227" t="n"/>
      <c r="Q3283" s="227" t="n"/>
      <c r="R3283" s="227" t="n"/>
      <c r="S3283" s="227" t="n"/>
      <c r="T3283" s="227" t="n"/>
    </row>
    <row r="3284">
      <c r="A3284" s="145">
        <f>IF($B3284="","",ROW()-5)</f>
        <v/>
      </c>
      <c r="B3284" s="127" t="n"/>
      <c r="C3284" s="223" t="n"/>
      <c r="D3284" s="127" t="n"/>
      <c r="E3284" s="227" t="n"/>
      <c r="F3284" s="227" t="n"/>
      <c r="G3284" s="227" t="n"/>
      <c r="H3284" s="227" t="n"/>
      <c r="I3284" s="227" t="n"/>
      <c r="J3284" s="227" t="n"/>
      <c r="K3284" s="227" t="n"/>
      <c r="L3284" s="227" t="n"/>
      <c r="M3284" s="227" t="n"/>
      <c r="N3284" s="127" t="n"/>
      <c r="O3284" s="227" t="n"/>
      <c r="P3284" s="227" t="n"/>
      <c r="Q3284" s="227" t="n"/>
      <c r="R3284" s="227" t="n"/>
      <c r="S3284" s="227" t="n"/>
      <c r="T3284" s="227" t="n"/>
    </row>
    <row r="3285">
      <c r="A3285" s="145">
        <f>IF($B3285="","",ROW()-5)</f>
        <v/>
      </c>
      <c r="B3285" s="127" t="n"/>
      <c r="C3285" s="223" t="n"/>
      <c r="D3285" s="127" t="n"/>
      <c r="E3285" s="227" t="n"/>
      <c r="F3285" s="227" t="n"/>
      <c r="G3285" s="227" t="n"/>
      <c r="H3285" s="227" t="n"/>
      <c r="I3285" s="227" t="n"/>
      <c r="J3285" s="227" t="n"/>
      <c r="K3285" s="227" t="n"/>
      <c r="L3285" s="227" t="n"/>
      <c r="M3285" s="227" t="n"/>
      <c r="N3285" s="127" t="n"/>
      <c r="O3285" s="227" t="n"/>
      <c r="P3285" s="227" t="n"/>
      <c r="Q3285" s="227" t="n"/>
      <c r="R3285" s="227" t="n"/>
      <c r="S3285" s="227" t="n"/>
      <c r="T3285" s="227" t="n"/>
    </row>
    <row r="3286">
      <c r="A3286" s="145">
        <f>IF($B3286="","",ROW()-5)</f>
        <v/>
      </c>
      <c r="B3286" s="127" t="n"/>
      <c r="C3286" s="223" t="n"/>
      <c r="D3286" s="127" t="n"/>
      <c r="E3286" s="227" t="n"/>
      <c r="F3286" s="227" t="n"/>
      <c r="G3286" s="227" t="n"/>
      <c r="H3286" s="227" t="n"/>
      <c r="I3286" s="227" t="n"/>
      <c r="J3286" s="227" t="n"/>
      <c r="K3286" s="227" t="n"/>
      <c r="L3286" s="227" t="n"/>
      <c r="M3286" s="227" t="n"/>
      <c r="N3286" s="127" t="n"/>
      <c r="O3286" s="227" t="n"/>
      <c r="P3286" s="227" t="n"/>
      <c r="Q3286" s="227" t="n"/>
      <c r="R3286" s="227" t="n"/>
      <c r="S3286" s="227" t="n"/>
      <c r="T3286" s="227" t="n"/>
    </row>
    <row r="3287">
      <c r="A3287" s="145">
        <f>IF($B3287="","",ROW()-5)</f>
        <v/>
      </c>
      <c r="B3287" s="127" t="n"/>
      <c r="C3287" s="223" t="n"/>
      <c r="D3287" s="127" t="n"/>
      <c r="E3287" s="227" t="n"/>
      <c r="F3287" s="227" t="n"/>
      <c r="G3287" s="227" t="n"/>
      <c r="H3287" s="227" t="n"/>
      <c r="I3287" s="227" t="n"/>
      <c r="J3287" s="227" t="n"/>
      <c r="K3287" s="227" t="n"/>
      <c r="L3287" s="227" t="n"/>
      <c r="M3287" s="227" t="n"/>
      <c r="N3287" s="127" t="n"/>
      <c r="O3287" s="227" t="n"/>
      <c r="P3287" s="227" t="n"/>
      <c r="Q3287" s="227" t="n"/>
      <c r="R3287" s="227" t="n"/>
      <c r="S3287" s="227" t="n"/>
      <c r="T3287" s="227" t="n"/>
    </row>
    <row r="3288">
      <c r="A3288" s="145">
        <f>IF($B3288="","",ROW()-5)</f>
        <v/>
      </c>
      <c r="B3288" s="127" t="n"/>
      <c r="C3288" s="223" t="n"/>
      <c r="D3288" s="127" t="n"/>
      <c r="E3288" s="227" t="n"/>
      <c r="F3288" s="227" t="n"/>
      <c r="G3288" s="227" t="n"/>
      <c r="H3288" s="227" t="n"/>
      <c r="I3288" s="227" t="n"/>
      <c r="J3288" s="227" t="n"/>
      <c r="K3288" s="227" t="n"/>
      <c r="L3288" s="227" t="n"/>
      <c r="M3288" s="227" t="n"/>
      <c r="N3288" s="127" t="n"/>
      <c r="O3288" s="227" t="n"/>
      <c r="P3288" s="227" t="n"/>
      <c r="Q3288" s="227" t="n"/>
      <c r="R3288" s="227" t="n"/>
      <c r="S3288" s="227" t="n"/>
      <c r="T3288" s="227" t="n"/>
    </row>
    <row r="3289">
      <c r="A3289" s="145">
        <f>IF($B3289="","",ROW()-5)</f>
        <v/>
      </c>
      <c r="B3289" s="127" t="n"/>
      <c r="C3289" s="223" t="n"/>
      <c r="D3289" s="127" t="n"/>
      <c r="E3289" s="227" t="n"/>
      <c r="F3289" s="227" t="n"/>
      <c r="G3289" s="227" t="n"/>
      <c r="H3289" s="227" t="n"/>
      <c r="I3289" s="227" t="n"/>
      <c r="J3289" s="227" t="n"/>
      <c r="K3289" s="227" t="n"/>
      <c r="L3289" s="227" t="n"/>
      <c r="M3289" s="227" t="n"/>
      <c r="N3289" s="127" t="n"/>
      <c r="O3289" s="227" t="n"/>
      <c r="P3289" s="227" t="n"/>
      <c r="Q3289" s="227" t="n"/>
      <c r="R3289" s="227" t="n"/>
      <c r="S3289" s="227" t="n"/>
      <c r="T3289" s="227" t="n"/>
    </row>
    <row r="3290">
      <c r="A3290" s="145">
        <f>IF($B3290="","",ROW()-5)</f>
        <v/>
      </c>
      <c r="B3290" s="127" t="n"/>
      <c r="C3290" s="223" t="n"/>
      <c r="D3290" s="127" t="n"/>
      <c r="E3290" s="227" t="n"/>
      <c r="F3290" s="227" t="n"/>
      <c r="G3290" s="227" t="n"/>
      <c r="H3290" s="227" t="n"/>
      <c r="I3290" s="227" t="n"/>
      <c r="J3290" s="227" t="n"/>
      <c r="K3290" s="227" t="n"/>
      <c r="L3290" s="227" t="n"/>
      <c r="M3290" s="227" t="n"/>
      <c r="N3290" s="127" t="n"/>
      <c r="O3290" s="227" t="n"/>
      <c r="P3290" s="227" t="n"/>
      <c r="Q3290" s="227" t="n"/>
      <c r="R3290" s="227" t="n"/>
      <c r="S3290" s="227" t="n"/>
      <c r="T3290" s="227" t="n"/>
    </row>
    <row r="3291">
      <c r="A3291" s="145">
        <f>IF($B3291="","",ROW()-5)</f>
        <v/>
      </c>
      <c r="B3291" s="127" t="n"/>
      <c r="C3291" s="223" t="n"/>
      <c r="D3291" s="127" t="n"/>
      <c r="E3291" s="227" t="n"/>
      <c r="F3291" s="227" t="n"/>
      <c r="G3291" s="227" t="n"/>
      <c r="H3291" s="227" t="n"/>
      <c r="I3291" s="227" t="n"/>
      <c r="J3291" s="227" t="n"/>
      <c r="K3291" s="227" t="n"/>
      <c r="L3291" s="227" t="n"/>
      <c r="M3291" s="227" t="n"/>
      <c r="N3291" s="127" t="n"/>
      <c r="O3291" s="227" t="n"/>
      <c r="P3291" s="227" t="n"/>
      <c r="Q3291" s="227" t="n"/>
      <c r="R3291" s="227" t="n"/>
      <c r="S3291" s="227" t="n"/>
      <c r="T3291" s="227" t="n"/>
    </row>
    <row r="3292">
      <c r="A3292" s="145">
        <f>IF($B3292="","",ROW()-5)</f>
        <v/>
      </c>
      <c r="B3292" s="127" t="n"/>
      <c r="C3292" s="223" t="n"/>
      <c r="D3292" s="127" t="n"/>
      <c r="E3292" s="227" t="n"/>
      <c r="F3292" s="227" t="n"/>
      <c r="G3292" s="227" t="n"/>
      <c r="H3292" s="227" t="n"/>
      <c r="I3292" s="227" t="n"/>
      <c r="J3292" s="227" t="n"/>
      <c r="K3292" s="227" t="n"/>
      <c r="L3292" s="227" t="n"/>
      <c r="M3292" s="227" t="n"/>
      <c r="N3292" s="127" t="n"/>
      <c r="O3292" s="227" t="n"/>
      <c r="P3292" s="227" t="n"/>
      <c r="Q3292" s="227" t="n"/>
      <c r="R3292" s="227" t="n"/>
      <c r="S3292" s="227" t="n"/>
      <c r="T3292" s="227" t="n"/>
    </row>
    <row r="3293">
      <c r="A3293" s="145">
        <f>IF($B3293="","",ROW()-5)</f>
        <v/>
      </c>
      <c r="B3293" s="127" t="n"/>
      <c r="C3293" s="223" t="n"/>
      <c r="D3293" s="127" t="n"/>
      <c r="E3293" s="227" t="n"/>
      <c r="F3293" s="227" t="n"/>
      <c r="G3293" s="227" t="n"/>
      <c r="H3293" s="227" t="n"/>
      <c r="I3293" s="227" t="n"/>
      <c r="J3293" s="227" t="n"/>
      <c r="K3293" s="227" t="n"/>
      <c r="L3293" s="227" t="n"/>
      <c r="M3293" s="227" t="n"/>
      <c r="N3293" s="127" t="n"/>
      <c r="O3293" s="227" t="n"/>
      <c r="P3293" s="227" t="n"/>
      <c r="Q3293" s="227" t="n"/>
      <c r="R3293" s="227" t="n"/>
      <c r="S3293" s="227" t="n"/>
      <c r="T3293" s="227" t="n"/>
    </row>
    <row r="3294">
      <c r="A3294" s="145">
        <f>IF($B3294="","",ROW()-5)</f>
        <v/>
      </c>
      <c r="B3294" s="127" t="n"/>
      <c r="C3294" s="223" t="n"/>
      <c r="D3294" s="127" t="n"/>
      <c r="E3294" s="227" t="n"/>
      <c r="F3294" s="227" t="n"/>
      <c r="G3294" s="227" t="n"/>
      <c r="H3294" s="227" t="n"/>
      <c r="I3294" s="227" t="n"/>
      <c r="J3294" s="227" t="n"/>
      <c r="K3294" s="227" t="n"/>
      <c r="L3294" s="227" t="n"/>
      <c r="M3294" s="227" t="n"/>
      <c r="N3294" s="127" t="n"/>
      <c r="O3294" s="227" t="n"/>
      <c r="P3294" s="227" t="n"/>
      <c r="Q3294" s="227" t="n"/>
      <c r="R3294" s="227" t="n"/>
      <c r="S3294" s="227" t="n"/>
      <c r="T3294" s="227" t="n"/>
    </row>
    <row r="3295">
      <c r="A3295" s="145">
        <f>IF($B3295="","",ROW()-5)</f>
        <v/>
      </c>
      <c r="B3295" s="127" t="n"/>
      <c r="C3295" s="223" t="n"/>
      <c r="D3295" s="127" t="n"/>
      <c r="E3295" s="227" t="n"/>
      <c r="F3295" s="227" t="n"/>
      <c r="G3295" s="227" t="n"/>
      <c r="H3295" s="227" t="n"/>
      <c r="I3295" s="227" t="n"/>
      <c r="J3295" s="227" t="n"/>
      <c r="K3295" s="227" t="n"/>
      <c r="L3295" s="227" t="n"/>
      <c r="M3295" s="227" t="n"/>
      <c r="N3295" s="127" t="n"/>
      <c r="O3295" s="227" t="n"/>
      <c r="P3295" s="227" t="n"/>
      <c r="Q3295" s="227" t="n"/>
      <c r="R3295" s="227" t="n"/>
      <c r="S3295" s="227" t="n"/>
      <c r="T3295" s="227" t="n"/>
    </row>
    <row r="3296">
      <c r="A3296" s="145">
        <f>IF($B3296="","",ROW()-5)</f>
        <v/>
      </c>
      <c r="B3296" s="127" t="n"/>
      <c r="C3296" s="223" t="n"/>
      <c r="D3296" s="127" t="n"/>
      <c r="E3296" s="227" t="n"/>
      <c r="F3296" s="227" t="n"/>
      <c r="G3296" s="227" t="n"/>
      <c r="H3296" s="227" t="n"/>
      <c r="I3296" s="227" t="n"/>
      <c r="J3296" s="227" t="n"/>
      <c r="K3296" s="227" t="n"/>
      <c r="L3296" s="227" t="n"/>
      <c r="M3296" s="227" t="n"/>
      <c r="N3296" s="127" t="n"/>
      <c r="O3296" s="227" t="n"/>
      <c r="P3296" s="227" t="n"/>
      <c r="Q3296" s="227" t="n"/>
      <c r="R3296" s="227" t="n"/>
      <c r="S3296" s="227" t="n"/>
      <c r="T3296" s="227" t="n"/>
    </row>
    <row r="3297">
      <c r="A3297" s="145">
        <f>IF($B3297="","",ROW()-5)</f>
        <v/>
      </c>
      <c r="B3297" s="127" t="n"/>
      <c r="C3297" s="223" t="n"/>
      <c r="D3297" s="127" t="n"/>
      <c r="E3297" s="227" t="n"/>
      <c r="F3297" s="227" t="n"/>
      <c r="G3297" s="227" t="n"/>
      <c r="H3297" s="227" t="n"/>
      <c r="I3297" s="227" t="n"/>
      <c r="J3297" s="227" t="n"/>
      <c r="K3297" s="227" t="n"/>
      <c r="L3297" s="227" t="n"/>
      <c r="M3297" s="227" t="n"/>
      <c r="N3297" s="127" t="n"/>
      <c r="O3297" s="227" t="n"/>
      <c r="P3297" s="227" t="n"/>
      <c r="Q3297" s="227" t="n"/>
      <c r="R3297" s="227" t="n"/>
      <c r="S3297" s="227" t="n"/>
      <c r="T3297" s="227" t="n"/>
    </row>
    <row r="3298">
      <c r="A3298" s="145">
        <f>IF($B3298="","",ROW()-5)</f>
        <v/>
      </c>
      <c r="B3298" s="127" t="n"/>
      <c r="C3298" s="223" t="n"/>
      <c r="D3298" s="127" t="n"/>
      <c r="E3298" s="227" t="n"/>
      <c r="F3298" s="227" t="n"/>
      <c r="G3298" s="227" t="n"/>
      <c r="H3298" s="227" t="n"/>
      <c r="I3298" s="227" t="n"/>
      <c r="J3298" s="227" t="n"/>
      <c r="K3298" s="227" t="n"/>
      <c r="L3298" s="227" t="n"/>
      <c r="M3298" s="227" t="n"/>
      <c r="N3298" s="127" t="n"/>
      <c r="O3298" s="227" t="n"/>
      <c r="P3298" s="227" t="n"/>
      <c r="Q3298" s="227" t="n"/>
      <c r="R3298" s="227" t="n"/>
      <c r="S3298" s="227" t="n"/>
      <c r="T3298" s="227" t="n"/>
    </row>
    <row r="3299">
      <c r="A3299" s="145">
        <f>IF($B3299="","",ROW()-5)</f>
        <v/>
      </c>
      <c r="B3299" s="127" t="n"/>
      <c r="C3299" s="223" t="n"/>
      <c r="D3299" s="127" t="n"/>
      <c r="E3299" s="227" t="n"/>
      <c r="F3299" s="227" t="n"/>
      <c r="G3299" s="227" t="n"/>
      <c r="H3299" s="227" t="n"/>
      <c r="I3299" s="227" t="n"/>
      <c r="J3299" s="227" t="n"/>
      <c r="K3299" s="227" t="n"/>
      <c r="L3299" s="227" t="n"/>
      <c r="M3299" s="227" t="n"/>
      <c r="N3299" s="127" t="n"/>
      <c r="O3299" s="227" t="n"/>
      <c r="P3299" s="227" t="n"/>
      <c r="Q3299" s="227" t="n"/>
      <c r="R3299" s="227" t="n"/>
      <c r="S3299" s="227" t="n"/>
      <c r="T3299" s="227" t="n"/>
    </row>
    <row r="3300">
      <c r="A3300" s="145">
        <f>IF($B3300="","",ROW()-5)</f>
        <v/>
      </c>
      <c r="B3300" s="127" t="n"/>
      <c r="C3300" s="223" t="n"/>
      <c r="D3300" s="127" t="n"/>
      <c r="E3300" s="227" t="n"/>
      <c r="F3300" s="227" t="n"/>
      <c r="G3300" s="227" t="n"/>
      <c r="H3300" s="227" t="n"/>
      <c r="I3300" s="227" t="n"/>
      <c r="J3300" s="227" t="n"/>
      <c r="K3300" s="227" t="n"/>
      <c r="L3300" s="227" t="n"/>
      <c r="M3300" s="227" t="n"/>
      <c r="N3300" s="127" t="n"/>
      <c r="O3300" s="227" t="n"/>
      <c r="P3300" s="227" t="n"/>
      <c r="Q3300" s="227" t="n"/>
      <c r="R3300" s="227" t="n"/>
      <c r="S3300" s="227" t="n"/>
      <c r="T3300" s="227" t="n"/>
    </row>
    <row r="3301">
      <c r="A3301" s="145">
        <f>IF($B3301="","",ROW()-5)</f>
        <v/>
      </c>
      <c r="B3301" s="127" t="n"/>
      <c r="C3301" s="223" t="n"/>
      <c r="D3301" s="127" t="n"/>
      <c r="E3301" s="227" t="n"/>
      <c r="F3301" s="227" t="n"/>
      <c r="G3301" s="227" t="n"/>
      <c r="H3301" s="227" t="n"/>
      <c r="I3301" s="227" t="n"/>
      <c r="J3301" s="227" t="n"/>
      <c r="K3301" s="227" t="n"/>
      <c r="L3301" s="227" t="n"/>
      <c r="M3301" s="227" t="n"/>
      <c r="N3301" s="127" t="n"/>
      <c r="O3301" s="227" t="n"/>
      <c r="P3301" s="227" t="n"/>
      <c r="Q3301" s="227" t="n"/>
      <c r="R3301" s="227" t="n"/>
      <c r="S3301" s="227" t="n"/>
      <c r="T3301" s="227" t="n"/>
    </row>
    <row r="3302">
      <c r="A3302" s="145">
        <f>IF($B3302="","",ROW()-5)</f>
        <v/>
      </c>
      <c r="B3302" s="127" t="n"/>
      <c r="C3302" s="223" t="n"/>
      <c r="D3302" s="127" t="n"/>
      <c r="E3302" s="227" t="n"/>
      <c r="F3302" s="227" t="n"/>
      <c r="G3302" s="227" t="n"/>
      <c r="H3302" s="227" t="n"/>
      <c r="I3302" s="227" t="n"/>
      <c r="J3302" s="227" t="n"/>
      <c r="K3302" s="227" t="n"/>
      <c r="L3302" s="227" t="n"/>
      <c r="M3302" s="227" t="n"/>
      <c r="N3302" s="127" t="n"/>
      <c r="O3302" s="227" t="n"/>
      <c r="P3302" s="227" t="n"/>
      <c r="Q3302" s="227" t="n"/>
      <c r="R3302" s="227" t="n"/>
      <c r="S3302" s="227" t="n"/>
      <c r="T3302" s="227" t="n"/>
    </row>
    <row r="3303">
      <c r="A3303" s="145">
        <f>IF($B3303="","",ROW()-5)</f>
        <v/>
      </c>
      <c r="B3303" s="127" t="n"/>
      <c r="C3303" s="223" t="n"/>
      <c r="D3303" s="127" t="n"/>
      <c r="E3303" s="227" t="n"/>
      <c r="F3303" s="227" t="n"/>
      <c r="G3303" s="227" t="n"/>
      <c r="H3303" s="227" t="n"/>
      <c r="I3303" s="227" t="n"/>
      <c r="J3303" s="227" t="n"/>
      <c r="K3303" s="227" t="n"/>
      <c r="L3303" s="227" t="n"/>
      <c r="M3303" s="227" t="n"/>
      <c r="N3303" s="127" t="n"/>
      <c r="O3303" s="227" t="n"/>
      <c r="P3303" s="227" t="n"/>
      <c r="Q3303" s="227" t="n"/>
      <c r="R3303" s="227" t="n"/>
      <c r="S3303" s="227" t="n"/>
      <c r="T3303" s="227" t="n"/>
    </row>
    <row r="3304">
      <c r="A3304" s="145">
        <f>IF($B3304="","",ROW()-5)</f>
        <v/>
      </c>
      <c r="B3304" s="127" t="n"/>
      <c r="C3304" s="223" t="n"/>
      <c r="D3304" s="127" t="n"/>
      <c r="E3304" s="227" t="n"/>
      <c r="F3304" s="227" t="n"/>
      <c r="G3304" s="227" t="n"/>
      <c r="H3304" s="227" t="n"/>
      <c r="I3304" s="227" t="n"/>
      <c r="J3304" s="227" t="n"/>
      <c r="K3304" s="227" t="n"/>
      <c r="L3304" s="227" t="n"/>
      <c r="M3304" s="227" t="n"/>
      <c r="N3304" s="127" t="n"/>
      <c r="O3304" s="227" t="n"/>
      <c r="P3304" s="227" t="n"/>
      <c r="Q3304" s="227" t="n"/>
      <c r="R3304" s="227" t="n"/>
      <c r="S3304" s="227" t="n"/>
      <c r="T3304" s="227" t="n"/>
    </row>
    <row r="3305">
      <c r="A3305" s="145">
        <f>IF($B3305="","",ROW()-5)</f>
        <v/>
      </c>
      <c r="B3305" s="127" t="n"/>
      <c r="C3305" s="223" t="n"/>
      <c r="D3305" s="127" t="n"/>
      <c r="E3305" s="227" t="n"/>
      <c r="F3305" s="227" t="n"/>
      <c r="G3305" s="227" t="n"/>
      <c r="H3305" s="227" t="n"/>
      <c r="I3305" s="227" t="n"/>
      <c r="J3305" s="227" t="n"/>
      <c r="K3305" s="227" t="n"/>
      <c r="L3305" s="227" t="n"/>
      <c r="M3305" s="227" t="n"/>
      <c r="N3305" s="127" t="n"/>
      <c r="O3305" s="227" t="n"/>
      <c r="P3305" s="227" t="n"/>
      <c r="Q3305" s="227" t="n"/>
      <c r="R3305" s="227" t="n"/>
      <c r="S3305" s="227" t="n"/>
      <c r="T3305" s="227" t="n"/>
    </row>
    <row r="3306">
      <c r="A3306" s="145">
        <f>IF($B3306="","",ROW()-5)</f>
        <v/>
      </c>
      <c r="B3306" s="127" t="n"/>
      <c r="C3306" s="223" t="n"/>
      <c r="D3306" s="127" t="n"/>
      <c r="E3306" s="227" t="n"/>
      <c r="F3306" s="227" t="n"/>
      <c r="G3306" s="227" t="n"/>
      <c r="H3306" s="227" t="n"/>
      <c r="I3306" s="227" t="n"/>
      <c r="J3306" s="227" t="n"/>
      <c r="K3306" s="227" t="n"/>
      <c r="L3306" s="227" t="n"/>
      <c r="M3306" s="227" t="n"/>
      <c r="N3306" s="127" t="n"/>
      <c r="O3306" s="227" t="n"/>
      <c r="P3306" s="227" t="n"/>
      <c r="Q3306" s="227" t="n"/>
      <c r="R3306" s="227" t="n"/>
      <c r="S3306" s="227" t="n"/>
      <c r="T3306" s="227" t="n"/>
    </row>
    <row r="3307">
      <c r="A3307" s="145">
        <f>IF($B3307="","",ROW()-5)</f>
        <v/>
      </c>
      <c r="B3307" s="127" t="n"/>
      <c r="C3307" s="223" t="n"/>
      <c r="D3307" s="127" t="n"/>
      <c r="E3307" s="227" t="n"/>
      <c r="F3307" s="227" t="n"/>
      <c r="G3307" s="227" t="n"/>
      <c r="H3307" s="227" t="n"/>
      <c r="I3307" s="227" t="n"/>
      <c r="J3307" s="227" t="n"/>
      <c r="K3307" s="227" t="n"/>
      <c r="L3307" s="227" t="n"/>
      <c r="M3307" s="227" t="n"/>
      <c r="N3307" s="127" t="n"/>
      <c r="O3307" s="227" t="n"/>
      <c r="P3307" s="227" t="n"/>
      <c r="Q3307" s="227" t="n"/>
      <c r="R3307" s="227" t="n"/>
      <c r="S3307" s="227" t="n"/>
      <c r="T3307" s="227" t="n"/>
    </row>
    <row r="3308">
      <c r="A3308" s="145">
        <f>IF($B3308="","",ROW()-5)</f>
        <v/>
      </c>
      <c r="B3308" s="127" t="n"/>
      <c r="C3308" s="223" t="n"/>
      <c r="D3308" s="127" t="n"/>
      <c r="E3308" s="227" t="n"/>
      <c r="F3308" s="227" t="n"/>
      <c r="G3308" s="227" t="n"/>
      <c r="H3308" s="227" t="n"/>
      <c r="I3308" s="227" t="n"/>
      <c r="J3308" s="227" t="n"/>
      <c r="K3308" s="227" t="n"/>
      <c r="L3308" s="227" t="n"/>
      <c r="M3308" s="227" t="n"/>
      <c r="N3308" s="127" t="n"/>
      <c r="O3308" s="227" t="n"/>
      <c r="P3308" s="227" t="n"/>
      <c r="Q3308" s="227" t="n"/>
      <c r="R3308" s="227" t="n"/>
      <c r="S3308" s="227" t="n"/>
      <c r="T3308" s="227" t="n"/>
    </row>
    <row r="3309">
      <c r="A3309" s="145">
        <f>IF($B3309="","",ROW()-5)</f>
        <v/>
      </c>
      <c r="B3309" s="127" t="n"/>
      <c r="C3309" s="223" t="n"/>
      <c r="D3309" s="127" t="n"/>
      <c r="E3309" s="227" t="n"/>
      <c r="F3309" s="227" t="n"/>
      <c r="G3309" s="227" t="n"/>
      <c r="H3309" s="227" t="n"/>
      <c r="I3309" s="227" t="n"/>
      <c r="J3309" s="227" t="n"/>
      <c r="K3309" s="227" t="n"/>
      <c r="L3309" s="227" t="n"/>
      <c r="M3309" s="227" t="n"/>
      <c r="N3309" s="127" t="n"/>
      <c r="O3309" s="227" t="n"/>
      <c r="P3309" s="227" t="n"/>
      <c r="Q3309" s="227" t="n"/>
      <c r="R3309" s="227" t="n"/>
      <c r="S3309" s="227" t="n"/>
      <c r="T3309" s="227" t="n"/>
    </row>
    <row r="3310">
      <c r="A3310" s="145">
        <f>IF($B3310="","",ROW()-5)</f>
        <v/>
      </c>
      <c r="B3310" s="127" t="n"/>
      <c r="C3310" s="223" t="n"/>
      <c r="D3310" s="127" t="n"/>
      <c r="E3310" s="227" t="n"/>
      <c r="F3310" s="227" t="n"/>
      <c r="G3310" s="227" t="n"/>
      <c r="H3310" s="227" t="n"/>
      <c r="I3310" s="227" t="n"/>
      <c r="J3310" s="227" t="n"/>
      <c r="K3310" s="227" t="n"/>
      <c r="L3310" s="227" t="n"/>
      <c r="M3310" s="227" t="n"/>
      <c r="N3310" s="127" t="n"/>
      <c r="O3310" s="227" t="n"/>
      <c r="P3310" s="227" t="n"/>
      <c r="Q3310" s="227" t="n"/>
      <c r="R3310" s="227" t="n"/>
      <c r="S3310" s="227" t="n"/>
      <c r="T3310" s="227" t="n"/>
    </row>
    <row r="3311">
      <c r="A3311" s="145">
        <f>IF($B3311="","",ROW()-5)</f>
        <v/>
      </c>
      <c r="B3311" s="127" t="n"/>
      <c r="C3311" s="223" t="n"/>
      <c r="D3311" s="127" t="n"/>
      <c r="E3311" s="227" t="n"/>
      <c r="F3311" s="227" t="n"/>
      <c r="G3311" s="227" t="n"/>
      <c r="H3311" s="227" t="n"/>
      <c r="I3311" s="227" t="n"/>
      <c r="J3311" s="227" t="n"/>
      <c r="K3311" s="227" t="n"/>
      <c r="L3311" s="227" t="n"/>
      <c r="M3311" s="227" t="n"/>
      <c r="N3311" s="127" t="n"/>
      <c r="O3311" s="227" t="n"/>
      <c r="P3311" s="227" t="n"/>
      <c r="Q3311" s="227" t="n"/>
      <c r="R3311" s="227" t="n"/>
      <c r="S3311" s="227" t="n"/>
      <c r="T3311" s="227" t="n"/>
    </row>
    <row r="3312">
      <c r="A3312" s="145">
        <f>IF($B3312="","",ROW()-5)</f>
        <v/>
      </c>
      <c r="B3312" s="127" t="n"/>
      <c r="C3312" s="223" t="n"/>
      <c r="D3312" s="127" t="n"/>
      <c r="E3312" s="227" t="n"/>
      <c r="F3312" s="227" t="n"/>
      <c r="G3312" s="227" t="n"/>
      <c r="H3312" s="227" t="n"/>
      <c r="I3312" s="227" t="n"/>
      <c r="J3312" s="227" t="n"/>
      <c r="K3312" s="227" t="n"/>
      <c r="L3312" s="227" t="n"/>
      <c r="M3312" s="227" t="n"/>
      <c r="N3312" s="127" t="n"/>
      <c r="O3312" s="227" t="n"/>
      <c r="P3312" s="227" t="n"/>
      <c r="Q3312" s="227" t="n"/>
      <c r="R3312" s="227" t="n"/>
      <c r="S3312" s="227" t="n"/>
      <c r="T3312" s="227" t="n"/>
    </row>
    <row r="3313">
      <c r="A3313" s="145">
        <f>IF($B3313="","",ROW()-5)</f>
        <v/>
      </c>
      <c r="B3313" s="127" t="n"/>
      <c r="C3313" s="223" t="n"/>
      <c r="D3313" s="127" t="n"/>
      <c r="E3313" s="227" t="n"/>
      <c r="F3313" s="227" t="n"/>
      <c r="G3313" s="227" t="n"/>
      <c r="H3313" s="227" t="n"/>
      <c r="I3313" s="227" t="n"/>
      <c r="J3313" s="227" t="n"/>
      <c r="K3313" s="227" t="n"/>
      <c r="L3313" s="227" t="n"/>
      <c r="M3313" s="227" t="n"/>
      <c r="N3313" s="127" t="n"/>
      <c r="O3313" s="227" t="n"/>
      <c r="P3313" s="227" t="n"/>
      <c r="Q3313" s="227" t="n"/>
      <c r="R3313" s="227" t="n"/>
      <c r="S3313" s="227" t="n"/>
      <c r="T3313" s="227" t="n"/>
    </row>
    <row r="3314">
      <c r="A3314" s="145">
        <f>IF($B3314="","",ROW()-5)</f>
        <v/>
      </c>
      <c r="B3314" s="127" t="n"/>
      <c r="C3314" s="223" t="n"/>
      <c r="D3314" s="127" t="n"/>
      <c r="E3314" s="227" t="n"/>
      <c r="F3314" s="227" t="n"/>
      <c r="G3314" s="227" t="n"/>
      <c r="H3314" s="227" t="n"/>
      <c r="I3314" s="227" t="n"/>
      <c r="J3314" s="227" t="n"/>
      <c r="K3314" s="227" t="n"/>
      <c r="L3314" s="227" t="n"/>
      <c r="M3314" s="227" t="n"/>
      <c r="N3314" s="127" t="n"/>
      <c r="O3314" s="227" t="n"/>
      <c r="P3314" s="227" t="n"/>
      <c r="Q3314" s="227" t="n"/>
      <c r="R3314" s="227" t="n"/>
      <c r="S3314" s="227" t="n"/>
      <c r="T3314" s="227" t="n"/>
    </row>
    <row r="3315">
      <c r="A3315" s="145">
        <f>IF($B3315="","",ROW()-5)</f>
        <v/>
      </c>
      <c r="B3315" s="127" t="n"/>
      <c r="C3315" s="223" t="n"/>
      <c r="D3315" s="127" t="n"/>
      <c r="E3315" s="227" t="n"/>
      <c r="F3315" s="227" t="n"/>
      <c r="G3315" s="227" t="n"/>
      <c r="H3315" s="227" t="n"/>
      <c r="I3315" s="227" t="n"/>
      <c r="J3315" s="227" t="n"/>
      <c r="K3315" s="227" t="n"/>
      <c r="L3315" s="227" t="n"/>
      <c r="M3315" s="227" t="n"/>
      <c r="N3315" s="127" t="n"/>
      <c r="O3315" s="227" t="n"/>
      <c r="P3315" s="227" t="n"/>
      <c r="Q3315" s="227" t="n"/>
      <c r="R3315" s="227" t="n"/>
      <c r="S3315" s="227" t="n"/>
      <c r="T3315" s="227" t="n"/>
    </row>
    <row r="3316">
      <c r="A3316" s="145">
        <f>IF($B3316="","",ROW()-5)</f>
        <v/>
      </c>
      <c r="B3316" s="127" t="n"/>
      <c r="C3316" s="223" t="n"/>
      <c r="D3316" s="127" t="n"/>
      <c r="E3316" s="227" t="n"/>
      <c r="F3316" s="227" t="n"/>
      <c r="G3316" s="227" t="n"/>
      <c r="H3316" s="227" t="n"/>
      <c r="I3316" s="227" t="n"/>
      <c r="J3316" s="227" t="n"/>
      <c r="K3316" s="227" t="n"/>
      <c r="L3316" s="227" t="n"/>
      <c r="M3316" s="227" t="n"/>
      <c r="N3316" s="127" t="n"/>
      <c r="O3316" s="227" t="n"/>
      <c r="P3316" s="227" t="n"/>
      <c r="Q3316" s="227" t="n"/>
      <c r="R3316" s="227" t="n"/>
      <c r="S3316" s="227" t="n"/>
      <c r="T3316" s="227" t="n"/>
    </row>
    <row r="3317">
      <c r="A3317" s="145">
        <f>IF($B3317="","",ROW()-5)</f>
        <v/>
      </c>
      <c r="B3317" s="127" t="n"/>
      <c r="C3317" s="223" t="n"/>
      <c r="D3317" s="127" t="n"/>
      <c r="E3317" s="227" t="n"/>
      <c r="F3317" s="227" t="n"/>
      <c r="G3317" s="227" t="n"/>
      <c r="H3317" s="227" t="n"/>
      <c r="I3317" s="227" t="n"/>
      <c r="J3317" s="227" t="n"/>
      <c r="K3317" s="227" t="n"/>
      <c r="L3317" s="227" t="n"/>
      <c r="M3317" s="227" t="n"/>
      <c r="N3317" s="127" t="n"/>
      <c r="O3317" s="227" t="n"/>
      <c r="P3317" s="227" t="n"/>
      <c r="Q3317" s="227" t="n"/>
      <c r="R3317" s="227" t="n"/>
      <c r="S3317" s="227" t="n"/>
      <c r="T3317" s="227" t="n"/>
    </row>
    <row r="3318">
      <c r="A3318" s="145">
        <f>IF($B3318="","",ROW()-5)</f>
        <v/>
      </c>
      <c r="B3318" s="127" t="n"/>
      <c r="C3318" s="223" t="n"/>
      <c r="D3318" s="127" t="n"/>
      <c r="E3318" s="227" t="n"/>
      <c r="F3318" s="227" t="n"/>
      <c r="G3318" s="227" t="n"/>
      <c r="H3318" s="227" t="n"/>
      <c r="I3318" s="227" t="n"/>
      <c r="J3318" s="227" t="n"/>
      <c r="K3318" s="227" t="n"/>
      <c r="L3318" s="227" t="n"/>
      <c r="M3318" s="227" t="n"/>
      <c r="N3318" s="127" t="n"/>
      <c r="O3318" s="227" t="n"/>
      <c r="P3318" s="227" t="n"/>
      <c r="Q3318" s="227" t="n"/>
      <c r="R3318" s="227" t="n"/>
      <c r="S3318" s="227" t="n"/>
      <c r="T3318" s="227" t="n"/>
    </row>
    <row r="3319">
      <c r="A3319" s="145">
        <f>IF($B3319="","",ROW()-5)</f>
        <v/>
      </c>
      <c r="B3319" s="127" t="n"/>
      <c r="C3319" s="223" t="n"/>
      <c r="D3319" s="127" t="n"/>
      <c r="E3319" s="227" t="n"/>
      <c r="F3319" s="227" t="n"/>
      <c r="G3319" s="227" t="n"/>
      <c r="H3319" s="227" t="n"/>
      <c r="I3319" s="227" t="n"/>
      <c r="J3319" s="227" t="n"/>
      <c r="K3319" s="227" t="n"/>
      <c r="L3319" s="227" t="n"/>
      <c r="M3319" s="227" t="n"/>
      <c r="N3319" s="127" t="n"/>
      <c r="O3319" s="227" t="n"/>
      <c r="P3319" s="227" t="n"/>
      <c r="Q3319" s="227" t="n"/>
      <c r="R3319" s="227" t="n"/>
      <c r="S3319" s="227" t="n"/>
      <c r="T3319" s="227" t="n"/>
    </row>
    <row r="3320">
      <c r="A3320" s="145">
        <f>IF($B3320="","",ROW()-5)</f>
        <v/>
      </c>
      <c r="B3320" s="127" t="n"/>
      <c r="C3320" s="223" t="n"/>
      <c r="D3320" s="127" t="n"/>
      <c r="E3320" s="227" t="n"/>
      <c r="F3320" s="227" t="n"/>
      <c r="G3320" s="227" t="n"/>
      <c r="H3320" s="227" t="n"/>
      <c r="I3320" s="227" t="n"/>
      <c r="J3320" s="227" t="n"/>
      <c r="K3320" s="227" t="n"/>
      <c r="L3320" s="227" t="n"/>
      <c r="M3320" s="227" t="n"/>
      <c r="N3320" s="127" t="n"/>
      <c r="O3320" s="227" t="n"/>
      <c r="P3320" s="227" t="n"/>
      <c r="Q3320" s="227" t="n"/>
      <c r="R3320" s="227" t="n"/>
      <c r="S3320" s="227" t="n"/>
      <c r="T3320" s="227" t="n"/>
    </row>
    <row r="3321">
      <c r="A3321" s="145">
        <f>IF($B3321="","",ROW()-5)</f>
        <v/>
      </c>
      <c r="B3321" s="127" t="n"/>
      <c r="C3321" s="223" t="n"/>
      <c r="D3321" s="127" t="n"/>
      <c r="E3321" s="227" t="n"/>
      <c r="F3321" s="227" t="n"/>
      <c r="G3321" s="227" t="n"/>
      <c r="H3321" s="227" t="n"/>
      <c r="I3321" s="227" t="n"/>
      <c r="J3321" s="227" t="n"/>
      <c r="K3321" s="227" t="n"/>
      <c r="L3321" s="227" t="n"/>
      <c r="M3321" s="227" t="n"/>
      <c r="N3321" s="127" t="n"/>
      <c r="O3321" s="227" t="n"/>
      <c r="P3321" s="227" t="n"/>
      <c r="Q3321" s="227" t="n"/>
      <c r="R3321" s="227" t="n"/>
      <c r="S3321" s="227" t="n"/>
      <c r="T3321" s="227" t="n"/>
    </row>
    <row r="3322">
      <c r="A3322" s="145">
        <f>IF($B3322="","",ROW()-5)</f>
        <v/>
      </c>
      <c r="B3322" s="127" t="n"/>
      <c r="C3322" s="223" t="n"/>
      <c r="D3322" s="127" t="n"/>
      <c r="E3322" s="227" t="n"/>
      <c r="F3322" s="227" t="n"/>
      <c r="G3322" s="227" t="n"/>
      <c r="H3322" s="227" t="n"/>
      <c r="I3322" s="227" t="n"/>
      <c r="J3322" s="227" t="n"/>
      <c r="K3322" s="227" t="n"/>
      <c r="L3322" s="227" t="n"/>
      <c r="M3322" s="227" t="n"/>
      <c r="N3322" s="127" t="n"/>
      <c r="O3322" s="227" t="n"/>
      <c r="P3322" s="227" t="n"/>
      <c r="Q3322" s="227" t="n"/>
      <c r="R3322" s="227" t="n"/>
      <c r="S3322" s="227" t="n"/>
      <c r="T3322" s="227" t="n"/>
    </row>
    <row r="3323">
      <c r="A3323" s="145">
        <f>IF($B3323="","",ROW()-5)</f>
        <v/>
      </c>
      <c r="B3323" s="127" t="n"/>
      <c r="C3323" s="223" t="n"/>
      <c r="D3323" s="127" t="n"/>
      <c r="E3323" s="227" t="n"/>
      <c r="F3323" s="227" t="n"/>
      <c r="G3323" s="227" t="n"/>
      <c r="H3323" s="227" t="n"/>
      <c r="I3323" s="227" t="n"/>
      <c r="J3323" s="227" t="n"/>
      <c r="K3323" s="227" t="n"/>
      <c r="L3323" s="227" t="n"/>
      <c r="M3323" s="227" t="n"/>
      <c r="N3323" s="127" t="n"/>
      <c r="O3323" s="227" t="n"/>
      <c r="P3323" s="227" t="n"/>
      <c r="Q3323" s="227" t="n"/>
      <c r="R3323" s="227" t="n"/>
      <c r="S3323" s="227" t="n"/>
      <c r="T3323" s="227" t="n"/>
    </row>
    <row r="3324">
      <c r="A3324" s="145">
        <f>IF($B3324="","",ROW()-5)</f>
        <v/>
      </c>
      <c r="B3324" s="127" t="n"/>
      <c r="C3324" s="223" t="n"/>
      <c r="D3324" s="127" t="n"/>
      <c r="E3324" s="227" t="n"/>
      <c r="F3324" s="227" t="n"/>
      <c r="G3324" s="227" t="n"/>
      <c r="H3324" s="227" t="n"/>
      <c r="I3324" s="227" t="n"/>
      <c r="J3324" s="227" t="n"/>
      <c r="K3324" s="227" t="n"/>
      <c r="L3324" s="227" t="n"/>
      <c r="M3324" s="227" t="n"/>
      <c r="N3324" s="127" t="n"/>
      <c r="O3324" s="227" t="n"/>
      <c r="P3324" s="227" t="n"/>
      <c r="Q3324" s="227" t="n"/>
      <c r="R3324" s="227" t="n"/>
      <c r="S3324" s="227" t="n"/>
      <c r="T3324" s="227" t="n"/>
    </row>
    <row r="3325">
      <c r="A3325" s="145">
        <f>IF($B3325="","",ROW()-5)</f>
        <v/>
      </c>
      <c r="B3325" s="127" t="n"/>
      <c r="C3325" s="223" t="n"/>
      <c r="D3325" s="127" t="n"/>
      <c r="E3325" s="227" t="n"/>
      <c r="F3325" s="227" t="n"/>
      <c r="G3325" s="227" t="n"/>
      <c r="H3325" s="227" t="n"/>
      <c r="I3325" s="227" t="n"/>
      <c r="J3325" s="227" t="n"/>
      <c r="K3325" s="227" t="n"/>
      <c r="L3325" s="227" t="n"/>
      <c r="M3325" s="227" t="n"/>
      <c r="N3325" s="127" t="n"/>
      <c r="O3325" s="227" t="n"/>
      <c r="P3325" s="227" t="n"/>
      <c r="Q3325" s="227" t="n"/>
      <c r="R3325" s="227" t="n"/>
      <c r="S3325" s="227" t="n"/>
      <c r="T3325" s="227" t="n"/>
    </row>
    <row r="3326">
      <c r="A3326" s="145">
        <f>IF($B3326="","",ROW()-5)</f>
        <v/>
      </c>
      <c r="B3326" s="127" t="n"/>
      <c r="C3326" s="223" t="n"/>
      <c r="D3326" s="127" t="n"/>
      <c r="E3326" s="227" t="n"/>
      <c r="F3326" s="227" t="n"/>
      <c r="G3326" s="227" t="n"/>
      <c r="H3326" s="227" t="n"/>
      <c r="I3326" s="227" t="n"/>
      <c r="J3326" s="227" t="n"/>
      <c r="K3326" s="227" t="n"/>
      <c r="L3326" s="227" t="n"/>
      <c r="M3326" s="227" t="n"/>
      <c r="N3326" s="127" t="n"/>
      <c r="O3326" s="227" t="n"/>
      <c r="P3326" s="227" t="n"/>
      <c r="Q3326" s="227" t="n"/>
      <c r="R3326" s="227" t="n"/>
      <c r="S3326" s="227" t="n"/>
      <c r="T3326" s="227" t="n"/>
    </row>
    <row r="3327">
      <c r="A3327" s="145">
        <f>IF($B3327="","",ROW()-5)</f>
        <v/>
      </c>
      <c r="B3327" s="127" t="n"/>
      <c r="C3327" s="223" t="n"/>
      <c r="D3327" s="127" t="n"/>
      <c r="E3327" s="227" t="n"/>
      <c r="F3327" s="227" t="n"/>
      <c r="G3327" s="227" t="n"/>
      <c r="H3327" s="227" t="n"/>
      <c r="I3327" s="227" t="n"/>
      <c r="J3327" s="227" t="n"/>
      <c r="K3327" s="227" t="n"/>
      <c r="L3327" s="227" t="n"/>
      <c r="M3327" s="227" t="n"/>
      <c r="N3327" s="127" t="n"/>
      <c r="O3327" s="227" t="n"/>
      <c r="P3327" s="227" t="n"/>
      <c r="Q3327" s="227" t="n"/>
      <c r="R3327" s="227" t="n"/>
      <c r="S3327" s="227" t="n"/>
      <c r="T3327" s="227" t="n"/>
    </row>
    <row r="3328">
      <c r="A3328" s="145">
        <f>IF($B3328="","",ROW()-5)</f>
        <v/>
      </c>
      <c r="B3328" s="127" t="n"/>
      <c r="C3328" s="223" t="n"/>
      <c r="D3328" s="127" t="n"/>
      <c r="E3328" s="227" t="n"/>
      <c r="F3328" s="227" t="n"/>
      <c r="G3328" s="227" t="n"/>
      <c r="H3328" s="227" t="n"/>
      <c r="I3328" s="227" t="n"/>
      <c r="J3328" s="227" t="n"/>
      <c r="K3328" s="227" t="n"/>
      <c r="L3328" s="227" t="n"/>
      <c r="M3328" s="227" t="n"/>
      <c r="N3328" s="127" t="n"/>
      <c r="O3328" s="227" t="n"/>
      <c r="P3328" s="227" t="n"/>
      <c r="Q3328" s="227" t="n"/>
      <c r="R3328" s="227" t="n"/>
      <c r="S3328" s="227" t="n"/>
      <c r="T3328" s="227" t="n"/>
    </row>
    <row r="3329">
      <c r="A3329" s="145">
        <f>IF($B3329="","",ROW()-5)</f>
        <v/>
      </c>
      <c r="B3329" s="127" t="n"/>
      <c r="C3329" s="223" t="n"/>
      <c r="D3329" s="127" t="n"/>
      <c r="E3329" s="227" t="n"/>
      <c r="F3329" s="227" t="n"/>
      <c r="G3329" s="227" t="n"/>
      <c r="H3329" s="227" t="n"/>
      <c r="I3329" s="227" t="n"/>
      <c r="J3329" s="227" t="n"/>
      <c r="K3329" s="227" t="n"/>
      <c r="L3329" s="227" t="n"/>
      <c r="M3329" s="227" t="n"/>
      <c r="N3329" s="127" t="n"/>
      <c r="O3329" s="227" t="n"/>
      <c r="P3329" s="227" t="n"/>
      <c r="Q3329" s="227" t="n"/>
      <c r="R3329" s="227" t="n"/>
      <c r="S3329" s="227" t="n"/>
      <c r="T3329" s="227" t="n"/>
    </row>
    <row r="3330">
      <c r="A3330" s="145">
        <f>IF($B3330="","",ROW()-5)</f>
        <v/>
      </c>
      <c r="B3330" s="127" t="n"/>
      <c r="C3330" s="223" t="n"/>
      <c r="D3330" s="127" t="n"/>
      <c r="E3330" s="227" t="n"/>
      <c r="F3330" s="227" t="n"/>
      <c r="G3330" s="227" t="n"/>
      <c r="H3330" s="227" t="n"/>
      <c r="I3330" s="227" t="n"/>
      <c r="J3330" s="227" t="n"/>
      <c r="K3330" s="227" t="n"/>
      <c r="L3330" s="227" t="n"/>
      <c r="M3330" s="227" t="n"/>
      <c r="N3330" s="127" t="n"/>
      <c r="O3330" s="227" t="n"/>
      <c r="P3330" s="227" t="n"/>
      <c r="Q3330" s="227" t="n"/>
      <c r="R3330" s="227" t="n"/>
      <c r="S3330" s="227" t="n"/>
      <c r="T3330" s="227" t="n"/>
    </row>
    <row r="3331">
      <c r="A3331" s="145">
        <f>IF($B3331="","",ROW()-5)</f>
        <v/>
      </c>
      <c r="B3331" s="127" t="n"/>
      <c r="C3331" s="223" t="n"/>
      <c r="D3331" s="127" t="n"/>
      <c r="E3331" s="227" t="n"/>
      <c r="F3331" s="227" t="n"/>
      <c r="G3331" s="227" t="n"/>
      <c r="H3331" s="227" t="n"/>
      <c r="I3331" s="227" t="n"/>
      <c r="J3331" s="227" t="n"/>
      <c r="K3331" s="227" t="n"/>
      <c r="L3331" s="227" t="n"/>
      <c r="M3331" s="227" t="n"/>
      <c r="N3331" s="127" t="n"/>
      <c r="O3331" s="227" t="n"/>
      <c r="P3331" s="227" t="n"/>
      <c r="Q3331" s="227" t="n"/>
      <c r="R3331" s="227" t="n"/>
      <c r="S3331" s="227" t="n"/>
      <c r="T3331" s="227" t="n"/>
    </row>
    <row r="3332">
      <c r="A3332" s="145">
        <f>IF($B3332="","",ROW()-5)</f>
        <v/>
      </c>
      <c r="B3332" s="127" t="n"/>
      <c r="C3332" s="223" t="n"/>
      <c r="D3332" s="127" t="n"/>
      <c r="E3332" s="227" t="n"/>
      <c r="F3332" s="227" t="n"/>
      <c r="G3332" s="227" t="n"/>
      <c r="H3332" s="227" t="n"/>
      <c r="I3332" s="227" t="n"/>
      <c r="J3332" s="227" t="n"/>
      <c r="K3332" s="227" t="n"/>
      <c r="L3332" s="227" t="n"/>
      <c r="M3332" s="227" t="n"/>
      <c r="N3332" s="127" t="n"/>
      <c r="O3332" s="227" t="n"/>
      <c r="P3332" s="227" t="n"/>
      <c r="Q3332" s="227" t="n"/>
      <c r="R3332" s="227" t="n"/>
      <c r="S3332" s="227" t="n"/>
      <c r="T3332" s="227" t="n"/>
    </row>
    <row r="3333">
      <c r="A3333" s="145">
        <f>IF($B3333="","",ROW()-5)</f>
        <v/>
      </c>
      <c r="B3333" s="127" t="n"/>
      <c r="C3333" s="223" t="n"/>
      <c r="D3333" s="127" t="n"/>
      <c r="E3333" s="227" t="n"/>
      <c r="F3333" s="227" t="n"/>
      <c r="G3333" s="227" t="n"/>
      <c r="H3333" s="227" t="n"/>
      <c r="I3333" s="227" t="n"/>
      <c r="J3333" s="227" t="n"/>
      <c r="K3333" s="227" t="n"/>
      <c r="L3333" s="227" t="n"/>
      <c r="M3333" s="227" t="n"/>
      <c r="N3333" s="127" t="n"/>
      <c r="O3333" s="227" t="n"/>
      <c r="P3333" s="227" t="n"/>
      <c r="Q3333" s="227" t="n"/>
      <c r="R3333" s="227" t="n"/>
      <c r="S3333" s="227" t="n"/>
      <c r="T3333" s="227" t="n"/>
    </row>
    <row r="3334">
      <c r="A3334" s="145">
        <f>IF($B3334="","",ROW()-5)</f>
        <v/>
      </c>
      <c r="B3334" s="127" t="n"/>
      <c r="C3334" s="223" t="n"/>
      <c r="D3334" s="127" t="n"/>
      <c r="E3334" s="227" t="n"/>
      <c r="F3334" s="227" t="n"/>
      <c r="G3334" s="227" t="n"/>
      <c r="H3334" s="227" t="n"/>
      <c r="I3334" s="227" t="n"/>
      <c r="J3334" s="227" t="n"/>
      <c r="K3334" s="227" t="n"/>
      <c r="L3334" s="227" t="n"/>
      <c r="M3334" s="227" t="n"/>
      <c r="N3334" s="127" t="n"/>
      <c r="O3334" s="227" t="n"/>
      <c r="P3334" s="227" t="n"/>
      <c r="Q3334" s="227" t="n"/>
      <c r="R3334" s="227" t="n"/>
      <c r="S3334" s="227" t="n"/>
      <c r="T3334" s="227" t="n"/>
    </row>
    <row r="3335">
      <c r="A3335" s="145">
        <f>IF($B3335="","",ROW()-5)</f>
        <v/>
      </c>
      <c r="B3335" s="127" t="n"/>
      <c r="C3335" s="223" t="n"/>
      <c r="D3335" s="127" t="n"/>
      <c r="E3335" s="227" t="n"/>
      <c r="F3335" s="227" t="n"/>
      <c r="G3335" s="227" t="n"/>
      <c r="H3335" s="227" t="n"/>
      <c r="I3335" s="227" t="n"/>
      <c r="J3335" s="227" t="n"/>
      <c r="K3335" s="227" t="n"/>
      <c r="L3335" s="227" t="n"/>
      <c r="M3335" s="227" t="n"/>
      <c r="N3335" s="127" t="n"/>
      <c r="O3335" s="227" t="n"/>
      <c r="P3335" s="227" t="n"/>
      <c r="Q3335" s="227" t="n"/>
      <c r="R3335" s="227" t="n"/>
      <c r="S3335" s="227" t="n"/>
      <c r="T3335" s="227" t="n"/>
    </row>
    <row r="3336">
      <c r="A3336" s="145">
        <f>IF($B3336="","",ROW()-5)</f>
        <v/>
      </c>
      <c r="B3336" s="127" t="n"/>
      <c r="C3336" s="223" t="n"/>
      <c r="D3336" s="127" t="n"/>
      <c r="E3336" s="227" t="n"/>
      <c r="F3336" s="227" t="n"/>
      <c r="G3336" s="227" t="n"/>
      <c r="H3336" s="227" t="n"/>
      <c r="I3336" s="227" t="n"/>
      <c r="J3336" s="227" t="n"/>
      <c r="K3336" s="227" t="n"/>
      <c r="L3336" s="227" t="n"/>
      <c r="M3336" s="227" t="n"/>
      <c r="N3336" s="127" t="n"/>
      <c r="O3336" s="227" t="n"/>
      <c r="P3336" s="227" t="n"/>
      <c r="Q3336" s="227" t="n"/>
      <c r="R3336" s="227" t="n"/>
      <c r="S3336" s="227" t="n"/>
      <c r="T3336" s="227" t="n"/>
    </row>
    <row r="3337">
      <c r="A3337" s="145">
        <f>IF($B3337="","",ROW()-5)</f>
        <v/>
      </c>
      <c r="B3337" s="127" t="n"/>
      <c r="C3337" s="223" t="n"/>
      <c r="D3337" s="127" t="n"/>
      <c r="E3337" s="227" t="n"/>
      <c r="F3337" s="227" t="n"/>
      <c r="G3337" s="227" t="n"/>
      <c r="H3337" s="227" t="n"/>
      <c r="I3337" s="227" t="n"/>
      <c r="J3337" s="227" t="n"/>
      <c r="K3337" s="227" t="n"/>
      <c r="L3337" s="227" t="n"/>
      <c r="M3337" s="227" t="n"/>
      <c r="N3337" s="127" t="n"/>
      <c r="O3337" s="227" t="n"/>
      <c r="P3337" s="227" t="n"/>
      <c r="Q3337" s="227" t="n"/>
      <c r="R3337" s="227" t="n"/>
      <c r="S3337" s="227" t="n"/>
      <c r="T3337" s="227" t="n"/>
    </row>
    <row r="3338">
      <c r="A3338" s="145">
        <f>IF($B3338="","",ROW()-5)</f>
        <v/>
      </c>
      <c r="B3338" s="127" t="n"/>
      <c r="C3338" s="223" t="n"/>
      <c r="D3338" s="127" t="n"/>
      <c r="E3338" s="227" t="n"/>
      <c r="F3338" s="227" t="n"/>
      <c r="G3338" s="227" t="n"/>
      <c r="H3338" s="227" t="n"/>
      <c r="I3338" s="227" t="n"/>
      <c r="J3338" s="227" t="n"/>
      <c r="K3338" s="227" t="n"/>
      <c r="L3338" s="227" t="n"/>
      <c r="M3338" s="227" t="n"/>
      <c r="N3338" s="127" t="n"/>
      <c r="O3338" s="227" t="n"/>
      <c r="P3338" s="227" t="n"/>
      <c r="Q3338" s="227" t="n"/>
      <c r="R3338" s="227" t="n"/>
      <c r="S3338" s="227" t="n"/>
      <c r="T3338" s="227" t="n"/>
    </row>
    <row r="3339">
      <c r="A3339" s="145">
        <f>IF($B3339="","",ROW()-5)</f>
        <v/>
      </c>
      <c r="B3339" s="127" t="n"/>
      <c r="C3339" s="223" t="n"/>
      <c r="D3339" s="127" t="n"/>
      <c r="E3339" s="227" t="n"/>
      <c r="F3339" s="227" t="n"/>
      <c r="G3339" s="227" t="n"/>
      <c r="H3339" s="227" t="n"/>
      <c r="I3339" s="227" t="n"/>
      <c r="J3339" s="227" t="n"/>
      <c r="K3339" s="227" t="n"/>
      <c r="L3339" s="227" t="n"/>
      <c r="M3339" s="227" t="n"/>
      <c r="N3339" s="127" t="n"/>
      <c r="O3339" s="227" t="n"/>
      <c r="P3339" s="227" t="n"/>
      <c r="Q3339" s="227" t="n"/>
      <c r="R3339" s="227" t="n"/>
      <c r="S3339" s="227" t="n"/>
      <c r="T3339" s="227" t="n"/>
    </row>
    <row r="3340">
      <c r="A3340" s="145">
        <f>IF($B3340="","",ROW()-5)</f>
        <v/>
      </c>
      <c r="B3340" s="127" t="n"/>
      <c r="C3340" s="223" t="n"/>
      <c r="D3340" s="127" t="n"/>
      <c r="E3340" s="227" t="n"/>
      <c r="F3340" s="227" t="n"/>
      <c r="G3340" s="227" t="n"/>
      <c r="H3340" s="227" t="n"/>
      <c r="I3340" s="227" t="n"/>
      <c r="J3340" s="227" t="n"/>
      <c r="K3340" s="227" t="n"/>
      <c r="L3340" s="227" t="n"/>
      <c r="M3340" s="227" t="n"/>
      <c r="N3340" s="127" t="n"/>
      <c r="O3340" s="227" t="n"/>
      <c r="P3340" s="227" t="n"/>
      <c r="Q3340" s="227" t="n"/>
      <c r="R3340" s="227" t="n"/>
      <c r="S3340" s="227" t="n"/>
      <c r="T3340" s="227" t="n"/>
    </row>
    <row r="3341">
      <c r="A3341" s="145">
        <f>IF($B3341="","",ROW()-5)</f>
        <v/>
      </c>
      <c r="B3341" s="127" t="n"/>
      <c r="C3341" s="223" t="n"/>
      <c r="D3341" s="127" t="n"/>
      <c r="E3341" s="227" t="n"/>
      <c r="F3341" s="227" t="n"/>
      <c r="G3341" s="227" t="n"/>
      <c r="H3341" s="227" t="n"/>
      <c r="I3341" s="227" t="n"/>
      <c r="J3341" s="227" t="n"/>
      <c r="K3341" s="227" t="n"/>
      <c r="L3341" s="227" t="n"/>
      <c r="M3341" s="227" t="n"/>
      <c r="N3341" s="127" t="n"/>
      <c r="O3341" s="227" t="n"/>
      <c r="P3341" s="227" t="n"/>
      <c r="Q3341" s="227" t="n"/>
      <c r="R3341" s="227" t="n"/>
      <c r="S3341" s="227" t="n"/>
      <c r="T3341" s="227" t="n"/>
    </row>
    <row r="3342">
      <c r="A3342" s="145">
        <f>IF($B3342="","",ROW()-5)</f>
        <v/>
      </c>
      <c r="B3342" s="127" t="n"/>
      <c r="C3342" s="223" t="n"/>
      <c r="D3342" s="127" t="n"/>
      <c r="E3342" s="227" t="n"/>
      <c r="F3342" s="227" t="n"/>
      <c r="G3342" s="227" t="n"/>
      <c r="H3342" s="227" t="n"/>
      <c r="I3342" s="227" t="n"/>
      <c r="J3342" s="227" t="n"/>
      <c r="K3342" s="227" t="n"/>
      <c r="L3342" s="227" t="n"/>
      <c r="M3342" s="227" t="n"/>
      <c r="N3342" s="127" t="n"/>
      <c r="O3342" s="227" t="n"/>
      <c r="P3342" s="227" t="n"/>
      <c r="Q3342" s="227" t="n"/>
      <c r="R3342" s="227" t="n"/>
      <c r="S3342" s="227" t="n"/>
      <c r="T3342" s="227" t="n"/>
    </row>
    <row r="3343">
      <c r="A3343" s="145">
        <f>IF($B3343="","",ROW()-5)</f>
        <v/>
      </c>
      <c r="B3343" s="127" t="n"/>
      <c r="C3343" s="223" t="n"/>
      <c r="D3343" s="127" t="n"/>
      <c r="E3343" s="227" t="n"/>
      <c r="F3343" s="227" t="n"/>
      <c r="G3343" s="227" t="n"/>
      <c r="H3343" s="227" t="n"/>
      <c r="I3343" s="227" t="n"/>
      <c r="J3343" s="227" t="n"/>
      <c r="K3343" s="227" t="n"/>
      <c r="L3343" s="227" t="n"/>
      <c r="M3343" s="227" t="n"/>
      <c r="N3343" s="127" t="n"/>
      <c r="O3343" s="227" t="n"/>
      <c r="P3343" s="227" t="n"/>
      <c r="Q3343" s="227" t="n"/>
      <c r="R3343" s="227" t="n"/>
      <c r="S3343" s="227" t="n"/>
      <c r="T3343" s="227" t="n"/>
    </row>
    <row r="3344">
      <c r="A3344" s="145">
        <f>IF($B3344="","",ROW()-5)</f>
        <v/>
      </c>
      <c r="B3344" s="127" t="n"/>
      <c r="C3344" s="223" t="n"/>
      <c r="D3344" s="127" t="n"/>
      <c r="E3344" s="227" t="n"/>
      <c r="F3344" s="227" t="n"/>
      <c r="G3344" s="227" t="n"/>
      <c r="H3344" s="227" t="n"/>
      <c r="I3344" s="227" t="n"/>
      <c r="J3344" s="227" t="n"/>
      <c r="K3344" s="227" t="n"/>
      <c r="L3344" s="227" t="n"/>
      <c r="M3344" s="227" t="n"/>
      <c r="N3344" s="127" t="n"/>
      <c r="O3344" s="227" t="n"/>
      <c r="P3344" s="227" t="n"/>
      <c r="Q3344" s="227" t="n"/>
      <c r="R3344" s="227" t="n"/>
      <c r="S3344" s="227" t="n"/>
      <c r="T3344" s="227" t="n"/>
    </row>
    <row r="3345">
      <c r="A3345" s="145">
        <f>IF($B3345="","",ROW()-5)</f>
        <v/>
      </c>
      <c r="B3345" s="127" t="n"/>
      <c r="C3345" s="223" t="n"/>
      <c r="D3345" s="127" t="n"/>
      <c r="E3345" s="227" t="n"/>
      <c r="F3345" s="227" t="n"/>
      <c r="G3345" s="227" t="n"/>
      <c r="H3345" s="227" t="n"/>
      <c r="I3345" s="227" t="n"/>
      <c r="J3345" s="227" t="n"/>
      <c r="K3345" s="227" t="n"/>
      <c r="L3345" s="227" t="n"/>
      <c r="M3345" s="227" t="n"/>
      <c r="N3345" s="127" t="n"/>
      <c r="O3345" s="227" t="n"/>
      <c r="P3345" s="227" t="n"/>
      <c r="Q3345" s="227" t="n"/>
      <c r="R3345" s="227" t="n"/>
      <c r="S3345" s="227" t="n"/>
      <c r="T3345" s="227" t="n"/>
    </row>
    <row r="3346">
      <c r="A3346" s="145">
        <f>IF($B3346="","",ROW()-5)</f>
        <v/>
      </c>
      <c r="B3346" s="127" t="n"/>
      <c r="C3346" s="223" t="n"/>
      <c r="D3346" s="127" t="n"/>
      <c r="E3346" s="227" t="n"/>
      <c r="F3346" s="227" t="n"/>
      <c r="G3346" s="227" t="n"/>
      <c r="H3346" s="227" t="n"/>
      <c r="I3346" s="227" t="n"/>
      <c r="J3346" s="227" t="n"/>
      <c r="K3346" s="227" t="n"/>
      <c r="L3346" s="227" t="n"/>
      <c r="M3346" s="227" t="n"/>
      <c r="N3346" s="127" t="n"/>
      <c r="O3346" s="227" t="n"/>
      <c r="P3346" s="227" t="n"/>
      <c r="Q3346" s="227" t="n"/>
      <c r="R3346" s="227" t="n"/>
      <c r="S3346" s="227" t="n"/>
      <c r="T3346" s="227" t="n"/>
    </row>
    <row r="3347">
      <c r="A3347" s="145">
        <f>IF($B3347="","",ROW()-5)</f>
        <v/>
      </c>
      <c r="B3347" s="127" t="n"/>
      <c r="C3347" s="223" t="n"/>
      <c r="D3347" s="127" t="n"/>
      <c r="E3347" s="227" t="n"/>
      <c r="F3347" s="227" t="n"/>
      <c r="G3347" s="227" t="n"/>
      <c r="H3347" s="227" t="n"/>
      <c r="I3347" s="227" t="n"/>
      <c r="J3347" s="227" t="n"/>
      <c r="K3347" s="227" t="n"/>
      <c r="L3347" s="227" t="n"/>
      <c r="M3347" s="227" t="n"/>
      <c r="N3347" s="127" t="n"/>
      <c r="O3347" s="227" t="n"/>
      <c r="P3347" s="227" t="n"/>
      <c r="Q3347" s="227" t="n"/>
      <c r="R3347" s="227" t="n"/>
      <c r="S3347" s="227" t="n"/>
      <c r="T3347" s="227" t="n"/>
    </row>
    <row r="3348">
      <c r="A3348" s="145">
        <f>IF($B3348="","",ROW()-5)</f>
        <v/>
      </c>
      <c r="B3348" s="127" t="n"/>
      <c r="C3348" s="223" t="n"/>
      <c r="D3348" s="127" t="n"/>
      <c r="E3348" s="227" t="n"/>
      <c r="F3348" s="227" t="n"/>
      <c r="G3348" s="227" t="n"/>
      <c r="H3348" s="227" t="n"/>
      <c r="I3348" s="227" t="n"/>
      <c r="J3348" s="227" t="n"/>
      <c r="K3348" s="227" t="n"/>
      <c r="L3348" s="227" t="n"/>
      <c r="M3348" s="227" t="n"/>
      <c r="N3348" s="127" t="n"/>
      <c r="O3348" s="227" t="n"/>
      <c r="P3348" s="227" t="n"/>
      <c r="Q3348" s="227" t="n"/>
      <c r="R3348" s="227" t="n"/>
      <c r="S3348" s="227" t="n"/>
      <c r="T3348" s="227" t="n"/>
    </row>
    <row r="3349">
      <c r="A3349" s="145">
        <f>IF($B3349="","",ROW()-5)</f>
        <v/>
      </c>
      <c r="B3349" s="127" t="n"/>
      <c r="C3349" s="223" t="n"/>
      <c r="D3349" s="127" t="n"/>
      <c r="E3349" s="227" t="n"/>
      <c r="F3349" s="227" t="n"/>
      <c r="G3349" s="227" t="n"/>
      <c r="H3349" s="227" t="n"/>
      <c r="I3349" s="227" t="n"/>
      <c r="J3349" s="227" t="n"/>
      <c r="K3349" s="227" t="n"/>
      <c r="L3349" s="227" t="n"/>
      <c r="M3349" s="227" t="n"/>
      <c r="N3349" s="127" t="n"/>
      <c r="O3349" s="227" t="n"/>
      <c r="P3349" s="227" t="n"/>
      <c r="Q3349" s="227" t="n"/>
      <c r="R3349" s="227" t="n"/>
      <c r="S3349" s="227" t="n"/>
      <c r="T3349" s="227" t="n"/>
    </row>
    <row r="3350">
      <c r="A3350" s="145">
        <f>IF($B3350="","",ROW()-5)</f>
        <v/>
      </c>
      <c r="B3350" s="127" t="n"/>
      <c r="C3350" s="223" t="n"/>
      <c r="D3350" s="127" t="n"/>
      <c r="E3350" s="227" t="n"/>
      <c r="F3350" s="227" t="n"/>
      <c r="G3350" s="227" t="n"/>
      <c r="H3350" s="227" t="n"/>
      <c r="I3350" s="227" t="n"/>
      <c r="J3350" s="227" t="n"/>
      <c r="K3350" s="227" t="n"/>
      <c r="L3350" s="227" t="n"/>
      <c r="M3350" s="227" t="n"/>
      <c r="N3350" s="127" t="n"/>
      <c r="O3350" s="227" t="n"/>
      <c r="P3350" s="227" t="n"/>
      <c r="Q3350" s="227" t="n"/>
      <c r="R3350" s="227" t="n"/>
      <c r="S3350" s="227" t="n"/>
      <c r="T3350" s="227" t="n"/>
    </row>
    <row r="3351">
      <c r="A3351" s="145">
        <f>IF($B3351="","",ROW()-5)</f>
        <v/>
      </c>
      <c r="B3351" s="127" t="n"/>
      <c r="C3351" s="223" t="n"/>
      <c r="D3351" s="127" t="n"/>
      <c r="E3351" s="227" t="n"/>
      <c r="F3351" s="227" t="n"/>
      <c r="G3351" s="227" t="n"/>
      <c r="H3351" s="227" t="n"/>
      <c r="I3351" s="227" t="n"/>
      <c r="J3351" s="227" t="n"/>
      <c r="K3351" s="227" t="n"/>
      <c r="L3351" s="227" t="n"/>
      <c r="M3351" s="227" t="n"/>
      <c r="N3351" s="127" t="n"/>
      <c r="O3351" s="227" t="n"/>
      <c r="P3351" s="227" t="n"/>
      <c r="Q3351" s="227" t="n"/>
      <c r="R3351" s="227" t="n"/>
      <c r="S3351" s="227" t="n"/>
      <c r="T3351" s="227" t="n"/>
    </row>
    <row r="3352">
      <c r="A3352" s="145">
        <f>IF($B3352="","",ROW()-5)</f>
        <v/>
      </c>
      <c r="B3352" s="127" t="n"/>
      <c r="C3352" s="223" t="n"/>
      <c r="D3352" s="127" t="n"/>
      <c r="E3352" s="227" t="n"/>
      <c r="F3352" s="227" t="n"/>
      <c r="G3352" s="227" t="n"/>
      <c r="H3352" s="227" t="n"/>
      <c r="I3352" s="227" t="n"/>
      <c r="J3352" s="227" t="n"/>
      <c r="K3352" s="227" t="n"/>
      <c r="L3352" s="227" t="n"/>
      <c r="M3352" s="227" t="n"/>
      <c r="N3352" s="127" t="n"/>
      <c r="O3352" s="227" t="n"/>
      <c r="P3352" s="227" t="n"/>
      <c r="Q3352" s="227" t="n"/>
      <c r="R3352" s="227" t="n"/>
      <c r="S3352" s="227" t="n"/>
      <c r="T3352" s="227" t="n"/>
    </row>
    <row r="3353">
      <c r="A3353" s="145">
        <f>IF($B3353="","",ROW()-5)</f>
        <v/>
      </c>
      <c r="B3353" s="127" t="n"/>
      <c r="C3353" s="223" t="n"/>
      <c r="D3353" s="127" t="n"/>
      <c r="E3353" s="227" t="n"/>
      <c r="F3353" s="227" t="n"/>
      <c r="G3353" s="227" t="n"/>
      <c r="H3353" s="227" t="n"/>
      <c r="I3353" s="227" t="n"/>
      <c r="J3353" s="227" t="n"/>
      <c r="K3353" s="227" t="n"/>
      <c r="L3353" s="227" t="n"/>
      <c r="M3353" s="227" t="n"/>
      <c r="N3353" s="127" t="n"/>
      <c r="O3353" s="227" t="n"/>
      <c r="P3353" s="227" t="n"/>
      <c r="Q3353" s="227" t="n"/>
      <c r="R3353" s="227" t="n"/>
      <c r="S3353" s="227" t="n"/>
      <c r="T3353" s="227" t="n"/>
    </row>
    <row r="3354">
      <c r="A3354" s="145">
        <f>IF($B3354="","",ROW()-5)</f>
        <v/>
      </c>
      <c r="B3354" s="127" t="n"/>
      <c r="C3354" s="223" t="n"/>
      <c r="D3354" s="127" t="n"/>
      <c r="E3354" s="227" t="n"/>
      <c r="F3354" s="227" t="n"/>
      <c r="G3354" s="227" t="n"/>
      <c r="H3354" s="227" t="n"/>
      <c r="I3354" s="227" t="n"/>
      <c r="J3354" s="227" t="n"/>
      <c r="K3354" s="227" t="n"/>
      <c r="L3354" s="227" t="n"/>
      <c r="M3354" s="227" t="n"/>
      <c r="N3354" s="127" t="n"/>
      <c r="O3354" s="227" t="n"/>
      <c r="P3354" s="227" t="n"/>
      <c r="Q3354" s="227" t="n"/>
      <c r="R3354" s="227" t="n"/>
      <c r="S3354" s="227" t="n"/>
      <c r="T3354" s="227" t="n"/>
    </row>
    <row r="3355">
      <c r="A3355" s="145">
        <f>IF($B3355="","",ROW()-5)</f>
        <v/>
      </c>
      <c r="B3355" s="127" t="n"/>
      <c r="C3355" s="223" t="n"/>
      <c r="D3355" s="127" t="n"/>
      <c r="E3355" s="227" t="n"/>
      <c r="F3355" s="227" t="n"/>
      <c r="G3355" s="227" t="n"/>
      <c r="H3355" s="227" t="n"/>
      <c r="I3355" s="227" t="n"/>
      <c r="J3355" s="227" t="n"/>
      <c r="K3355" s="227" t="n"/>
      <c r="L3355" s="227" t="n"/>
      <c r="M3355" s="227" t="n"/>
      <c r="N3355" s="127" t="n"/>
      <c r="O3355" s="227" t="n"/>
      <c r="P3355" s="227" t="n"/>
      <c r="Q3355" s="227" t="n"/>
      <c r="R3355" s="227" t="n"/>
      <c r="S3355" s="227" t="n"/>
      <c r="T3355" s="227" t="n"/>
    </row>
    <row r="3356">
      <c r="A3356" s="145">
        <f>IF($B3356="","",ROW()-5)</f>
        <v/>
      </c>
      <c r="B3356" s="127" t="n"/>
      <c r="C3356" s="223" t="n"/>
      <c r="D3356" s="127" t="n"/>
      <c r="E3356" s="227" t="n"/>
      <c r="F3356" s="227" t="n"/>
      <c r="G3356" s="227" t="n"/>
      <c r="H3356" s="227" t="n"/>
      <c r="I3356" s="227" t="n"/>
      <c r="J3356" s="227" t="n"/>
      <c r="K3356" s="227" t="n"/>
      <c r="L3356" s="227" t="n"/>
      <c r="M3356" s="227" t="n"/>
      <c r="N3356" s="127" t="n"/>
      <c r="O3356" s="227" t="n"/>
      <c r="P3356" s="227" t="n"/>
      <c r="Q3356" s="227" t="n"/>
      <c r="R3356" s="227" t="n"/>
      <c r="S3356" s="227" t="n"/>
      <c r="T3356" s="227" t="n"/>
    </row>
    <row r="3357">
      <c r="A3357" s="145">
        <f>IF($B3357="","",ROW()-5)</f>
        <v/>
      </c>
      <c r="B3357" s="127" t="n"/>
      <c r="C3357" s="223" t="n"/>
      <c r="D3357" s="127" t="n"/>
      <c r="E3357" s="227" t="n"/>
      <c r="F3357" s="227" t="n"/>
      <c r="G3357" s="227" t="n"/>
      <c r="H3357" s="227" t="n"/>
      <c r="I3357" s="227" t="n"/>
      <c r="J3357" s="227" t="n"/>
      <c r="K3357" s="227" t="n"/>
      <c r="L3357" s="227" t="n"/>
      <c r="M3357" s="227" t="n"/>
      <c r="N3357" s="127" t="n"/>
      <c r="O3357" s="227" t="n"/>
      <c r="P3357" s="227" t="n"/>
      <c r="Q3357" s="227" t="n"/>
      <c r="R3357" s="227" t="n"/>
      <c r="S3357" s="227" t="n"/>
      <c r="T3357" s="227" t="n"/>
    </row>
    <row r="3358">
      <c r="A3358" s="145">
        <f>IF($B3358="","",ROW()-5)</f>
        <v/>
      </c>
      <c r="B3358" s="127" t="n"/>
      <c r="C3358" s="223" t="n"/>
      <c r="D3358" s="127" t="n"/>
      <c r="E3358" s="227" t="n"/>
      <c r="F3358" s="227" t="n"/>
      <c r="G3358" s="227" t="n"/>
      <c r="H3358" s="227" t="n"/>
      <c r="I3358" s="227" t="n"/>
      <c r="J3358" s="227" t="n"/>
      <c r="K3358" s="227" t="n"/>
      <c r="L3358" s="227" t="n"/>
      <c r="M3358" s="227" t="n"/>
      <c r="N3358" s="127" t="n"/>
      <c r="O3358" s="227" t="n"/>
      <c r="P3358" s="227" t="n"/>
      <c r="Q3358" s="227" t="n"/>
      <c r="R3358" s="227" t="n"/>
      <c r="S3358" s="227" t="n"/>
      <c r="T3358" s="227" t="n"/>
    </row>
    <row r="3359">
      <c r="A3359" s="145">
        <f>IF($B3359="","",ROW()-5)</f>
        <v/>
      </c>
      <c r="B3359" s="127" t="n"/>
      <c r="C3359" s="223" t="n"/>
      <c r="D3359" s="127" t="n"/>
      <c r="E3359" s="227" t="n"/>
      <c r="F3359" s="227" t="n"/>
      <c r="G3359" s="227" t="n"/>
      <c r="H3359" s="227" t="n"/>
      <c r="I3359" s="227" t="n"/>
      <c r="J3359" s="227" t="n"/>
      <c r="K3359" s="227" t="n"/>
      <c r="L3359" s="227" t="n"/>
      <c r="M3359" s="227" t="n"/>
      <c r="N3359" s="127" t="n"/>
      <c r="O3359" s="227" t="n"/>
      <c r="P3359" s="227" t="n"/>
      <c r="Q3359" s="227" t="n"/>
      <c r="R3359" s="227" t="n"/>
      <c r="S3359" s="227" t="n"/>
      <c r="T3359" s="227" t="n"/>
    </row>
    <row r="3360">
      <c r="A3360" s="145">
        <f>IF($B3360="","",ROW()-5)</f>
        <v/>
      </c>
      <c r="B3360" s="127" t="n"/>
      <c r="C3360" s="223" t="n"/>
      <c r="D3360" s="127" t="n"/>
      <c r="E3360" s="227" t="n"/>
      <c r="F3360" s="227" t="n"/>
      <c r="G3360" s="227" t="n"/>
      <c r="H3360" s="227" t="n"/>
      <c r="I3360" s="227" t="n"/>
      <c r="J3360" s="227" t="n"/>
      <c r="K3360" s="227" t="n"/>
      <c r="L3360" s="227" t="n"/>
      <c r="M3360" s="227" t="n"/>
      <c r="N3360" s="127" t="n"/>
      <c r="O3360" s="227" t="n"/>
      <c r="P3360" s="227" t="n"/>
      <c r="Q3360" s="227" t="n"/>
      <c r="R3360" s="227" t="n"/>
      <c r="S3360" s="227" t="n"/>
      <c r="T3360" s="227" t="n"/>
    </row>
    <row r="3361">
      <c r="A3361" s="145">
        <f>IF($B3361="","",ROW()-5)</f>
        <v/>
      </c>
      <c r="B3361" s="127" t="n"/>
      <c r="C3361" s="223" t="n"/>
      <c r="D3361" s="127" t="n"/>
      <c r="E3361" s="227" t="n"/>
      <c r="F3361" s="227" t="n"/>
      <c r="G3361" s="227" t="n"/>
      <c r="H3361" s="227" t="n"/>
      <c r="I3361" s="227" t="n"/>
      <c r="J3361" s="227" t="n"/>
      <c r="K3361" s="227" t="n"/>
      <c r="L3361" s="227" t="n"/>
      <c r="M3361" s="227" t="n"/>
      <c r="N3361" s="127" t="n"/>
      <c r="O3361" s="227" t="n"/>
      <c r="P3361" s="227" t="n"/>
      <c r="Q3361" s="227" t="n"/>
      <c r="R3361" s="227" t="n"/>
      <c r="S3361" s="227" t="n"/>
      <c r="T3361" s="227" t="n"/>
    </row>
    <row r="3362">
      <c r="A3362" s="145">
        <f>IF($B3362="","",ROW()-5)</f>
        <v/>
      </c>
      <c r="B3362" s="127" t="n"/>
      <c r="C3362" s="223" t="n"/>
      <c r="D3362" s="127" t="n"/>
      <c r="E3362" s="227" t="n"/>
      <c r="F3362" s="227" t="n"/>
      <c r="G3362" s="227" t="n"/>
      <c r="H3362" s="227" t="n"/>
      <c r="I3362" s="227" t="n"/>
      <c r="J3362" s="227" t="n"/>
      <c r="K3362" s="227" t="n"/>
      <c r="L3362" s="227" t="n"/>
      <c r="M3362" s="227" t="n"/>
      <c r="N3362" s="127" t="n"/>
      <c r="O3362" s="227" t="n"/>
      <c r="P3362" s="227" t="n"/>
      <c r="Q3362" s="227" t="n"/>
      <c r="R3362" s="227" t="n"/>
      <c r="S3362" s="227" t="n"/>
      <c r="T3362" s="227" t="n"/>
    </row>
    <row r="3363">
      <c r="A3363" s="145">
        <f>IF($B3363="","",ROW()-5)</f>
        <v/>
      </c>
      <c r="B3363" s="127" t="n"/>
      <c r="C3363" s="223" t="n"/>
      <c r="D3363" s="127" t="n"/>
      <c r="E3363" s="227" t="n"/>
      <c r="F3363" s="227" t="n"/>
      <c r="G3363" s="227" t="n"/>
      <c r="H3363" s="227" t="n"/>
      <c r="I3363" s="227" t="n"/>
      <c r="J3363" s="227" t="n"/>
      <c r="K3363" s="227" t="n"/>
      <c r="L3363" s="227" t="n"/>
      <c r="M3363" s="227" t="n"/>
      <c r="N3363" s="127" t="n"/>
      <c r="O3363" s="227" t="n"/>
      <c r="P3363" s="227" t="n"/>
      <c r="Q3363" s="227" t="n"/>
      <c r="R3363" s="227" t="n"/>
      <c r="S3363" s="227" t="n"/>
      <c r="T3363" s="227" t="n"/>
    </row>
    <row r="3364">
      <c r="A3364" s="145">
        <f>IF($B3364="","",ROW()-5)</f>
        <v/>
      </c>
      <c r="B3364" s="127" t="n"/>
      <c r="C3364" s="223" t="n"/>
      <c r="D3364" s="127" t="n"/>
      <c r="E3364" s="227" t="n"/>
      <c r="F3364" s="227" t="n"/>
      <c r="G3364" s="227" t="n"/>
      <c r="H3364" s="227" t="n"/>
      <c r="I3364" s="227" t="n"/>
      <c r="J3364" s="227" t="n"/>
      <c r="K3364" s="227" t="n"/>
      <c r="L3364" s="227" t="n"/>
      <c r="M3364" s="227" t="n"/>
      <c r="N3364" s="127" t="n"/>
      <c r="O3364" s="227" t="n"/>
      <c r="P3364" s="227" t="n"/>
      <c r="Q3364" s="227" t="n"/>
      <c r="R3364" s="227" t="n"/>
      <c r="S3364" s="227" t="n"/>
      <c r="T3364" s="227" t="n"/>
    </row>
    <row r="3365">
      <c r="A3365" s="145">
        <f>IF($B3365="","",ROW()-5)</f>
        <v/>
      </c>
      <c r="B3365" s="127" t="n"/>
      <c r="C3365" s="223" t="n"/>
      <c r="D3365" s="127" t="n"/>
      <c r="E3365" s="227" t="n"/>
      <c r="F3365" s="227" t="n"/>
      <c r="G3365" s="227" t="n"/>
      <c r="H3365" s="227" t="n"/>
      <c r="I3365" s="227" t="n"/>
      <c r="J3365" s="227" t="n"/>
      <c r="K3365" s="227" t="n"/>
      <c r="L3365" s="227" t="n"/>
      <c r="M3365" s="227" t="n"/>
      <c r="N3365" s="127" t="n"/>
      <c r="O3365" s="227" t="n"/>
      <c r="P3365" s="227" t="n"/>
      <c r="Q3365" s="227" t="n"/>
      <c r="R3365" s="227" t="n"/>
      <c r="S3365" s="227" t="n"/>
      <c r="T3365" s="227" t="n"/>
    </row>
    <row r="3366">
      <c r="A3366" s="145">
        <f>IF($B3366="","",ROW()-5)</f>
        <v/>
      </c>
      <c r="B3366" s="127" t="n"/>
      <c r="C3366" s="223" t="n"/>
      <c r="D3366" s="127" t="n"/>
      <c r="E3366" s="227" t="n"/>
      <c r="F3366" s="227" t="n"/>
      <c r="G3366" s="227" t="n"/>
      <c r="H3366" s="227" t="n"/>
      <c r="I3366" s="227" t="n"/>
      <c r="J3366" s="227" t="n"/>
      <c r="K3366" s="227" t="n"/>
      <c r="L3366" s="227" t="n"/>
      <c r="M3366" s="227" t="n"/>
      <c r="N3366" s="127" t="n"/>
      <c r="O3366" s="227" t="n"/>
      <c r="P3366" s="227" t="n"/>
      <c r="Q3366" s="227" t="n"/>
      <c r="R3366" s="227" t="n"/>
      <c r="S3366" s="227" t="n"/>
      <c r="T3366" s="227" t="n"/>
    </row>
    <row r="3367">
      <c r="A3367" s="145">
        <f>IF($B3367="","",ROW()-5)</f>
        <v/>
      </c>
      <c r="B3367" s="127" t="n"/>
      <c r="C3367" s="223" t="n"/>
      <c r="D3367" s="127" t="n"/>
      <c r="E3367" s="227" t="n"/>
      <c r="F3367" s="227" t="n"/>
      <c r="G3367" s="227" t="n"/>
      <c r="H3367" s="227" t="n"/>
      <c r="I3367" s="227" t="n"/>
      <c r="J3367" s="227" t="n"/>
      <c r="K3367" s="227" t="n"/>
      <c r="L3367" s="227" t="n"/>
      <c r="M3367" s="227" t="n"/>
      <c r="N3367" s="127" t="n"/>
      <c r="O3367" s="227" t="n"/>
      <c r="P3367" s="227" t="n"/>
      <c r="Q3367" s="227" t="n"/>
      <c r="R3367" s="227" t="n"/>
      <c r="S3367" s="227" t="n"/>
      <c r="T3367" s="227" t="n"/>
    </row>
    <row r="3368">
      <c r="A3368" s="145">
        <f>IF($B3368="","",ROW()-5)</f>
        <v/>
      </c>
      <c r="B3368" s="127" t="n"/>
      <c r="C3368" s="223" t="n"/>
      <c r="D3368" s="127" t="n"/>
      <c r="E3368" s="227" t="n"/>
      <c r="F3368" s="227" t="n"/>
      <c r="G3368" s="227" t="n"/>
      <c r="H3368" s="227" t="n"/>
      <c r="I3368" s="227" t="n"/>
      <c r="J3368" s="227" t="n"/>
      <c r="K3368" s="227" t="n"/>
      <c r="L3368" s="227" t="n"/>
      <c r="M3368" s="227" t="n"/>
      <c r="N3368" s="127" t="n"/>
      <c r="O3368" s="227" t="n"/>
      <c r="P3368" s="227" t="n"/>
      <c r="Q3368" s="227" t="n"/>
      <c r="R3368" s="227" t="n"/>
      <c r="S3368" s="227" t="n"/>
      <c r="T3368" s="227" t="n"/>
    </row>
    <row r="3369">
      <c r="A3369" s="145">
        <f>IF($B3369="","",ROW()-5)</f>
        <v/>
      </c>
      <c r="B3369" s="127" t="n"/>
      <c r="C3369" s="223" t="n"/>
      <c r="D3369" s="127" t="n"/>
      <c r="E3369" s="227" t="n"/>
      <c r="F3369" s="227" t="n"/>
      <c r="G3369" s="227" t="n"/>
      <c r="H3369" s="227" t="n"/>
      <c r="I3369" s="227" t="n"/>
      <c r="J3369" s="227" t="n"/>
      <c r="K3369" s="227" t="n"/>
      <c r="L3369" s="227" t="n"/>
      <c r="M3369" s="227" t="n"/>
      <c r="N3369" s="127" t="n"/>
      <c r="O3369" s="227" t="n"/>
      <c r="P3369" s="227" t="n"/>
      <c r="Q3369" s="227" t="n"/>
      <c r="R3369" s="227" t="n"/>
      <c r="S3369" s="227" t="n"/>
      <c r="T3369" s="227" t="n"/>
    </row>
    <row r="3370">
      <c r="A3370" s="145">
        <f>IF($B3370="","",ROW()-5)</f>
        <v/>
      </c>
      <c r="B3370" s="127" t="n"/>
      <c r="C3370" s="223" t="n"/>
      <c r="D3370" s="127" t="n"/>
      <c r="E3370" s="227" t="n"/>
      <c r="F3370" s="227" t="n"/>
      <c r="G3370" s="227" t="n"/>
      <c r="H3370" s="227" t="n"/>
      <c r="I3370" s="227" t="n"/>
      <c r="J3370" s="227" t="n"/>
      <c r="K3370" s="227" t="n"/>
      <c r="L3370" s="227" t="n"/>
      <c r="M3370" s="227" t="n"/>
      <c r="N3370" s="127" t="n"/>
      <c r="O3370" s="227" t="n"/>
      <c r="P3370" s="227" t="n"/>
      <c r="Q3370" s="227" t="n"/>
      <c r="R3370" s="227" t="n"/>
      <c r="S3370" s="227" t="n"/>
      <c r="T3370" s="227" t="n"/>
    </row>
    <row r="3371">
      <c r="A3371" s="145">
        <f>IF($B3371="","",ROW()-5)</f>
        <v/>
      </c>
      <c r="B3371" s="127" t="n"/>
      <c r="C3371" s="223" t="n"/>
      <c r="D3371" s="127" t="n"/>
      <c r="E3371" s="227" t="n"/>
      <c r="F3371" s="227" t="n"/>
      <c r="G3371" s="227" t="n"/>
      <c r="H3371" s="227" t="n"/>
      <c r="I3371" s="227" t="n"/>
      <c r="J3371" s="227" t="n"/>
      <c r="K3371" s="227" t="n"/>
      <c r="L3371" s="227" t="n"/>
      <c r="M3371" s="227" t="n"/>
      <c r="N3371" s="127" t="n"/>
      <c r="O3371" s="227" t="n"/>
      <c r="P3371" s="227" t="n"/>
      <c r="Q3371" s="227" t="n"/>
      <c r="R3371" s="227" t="n"/>
      <c r="S3371" s="227" t="n"/>
      <c r="T3371" s="227" t="n"/>
    </row>
    <row r="3372">
      <c r="A3372" s="145">
        <f>IF($B3372="","",ROW()-5)</f>
        <v/>
      </c>
      <c r="B3372" s="127" t="n"/>
      <c r="C3372" s="223" t="n"/>
      <c r="D3372" s="127" t="n"/>
      <c r="E3372" s="227" t="n"/>
      <c r="F3372" s="227" t="n"/>
      <c r="G3372" s="227" t="n"/>
      <c r="H3372" s="227" t="n"/>
      <c r="I3372" s="227" t="n"/>
      <c r="J3372" s="227" t="n"/>
      <c r="K3372" s="227" t="n"/>
      <c r="L3372" s="227" t="n"/>
      <c r="M3372" s="227" t="n"/>
      <c r="N3372" s="127" t="n"/>
      <c r="O3372" s="227" t="n"/>
      <c r="P3372" s="227" t="n"/>
      <c r="Q3372" s="227" t="n"/>
      <c r="R3372" s="227" t="n"/>
      <c r="S3372" s="227" t="n"/>
      <c r="T3372" s="227" t="n"/>
    </row>
    <row r="3373">
      <c r="A3373" s="145">
        <f>IF($B3373="","",ROW()-5)</f>
        <v/>
      </c>
      <c r="B3373" s="127" t="n"/>
      <c r="C3373" s="223" t="n"/>
      <c r="D3373" s="127" t="n"/>
      <c r="E3373" s="227" t="n"/>
      <c r="F3373" s="227" t="n"/>
      <c r="G3373" s="227" t="n"/>
      <c r="H3373" s="227" t="n"/>
      <c r="I3373" s="227" t="n"/>
      <c r="J3373" s="227" t="n"/>
      <c r="K3373" s="227" t="n"/>
      <c r="L3373" s="227" t="n"/>
      <c r="M3373" s="227" t="n"/>
      <c r="N3373" s="127" t="n"/>
      <c r="O3373" s="227" t="n"/>
      <c r="P3373" s="227" t="n"/>
      <c r="Q3373" s="227" t="n"/>
      <c r="R3373" s="227" t="n"/>
      <c r="S3373" s="227" t="n"/>
      <c r="T3373" s="227" t="n"/>
    </row>
    <row r="3374">
      <c r="A3374" s="145">
        <f>IF($B3374="","",ROW()-5)</f>
        <v/>
      </c>
      <c r="B3374" s="127" t="n"/>
      <c r="C3374" s="223" t="n"/>
      <c r="D3374" s="127" t="n"/>
      <c r="E3374" s="227" t="n"/>
      <c r="F3374" s="227" t="n"/>
      <c r="G3374" s="227" t="n"/>
      <c r="H3374" s="227" t="n"/>
      <c r="I3374" s="227" t="n"/>
      <c r="J3374" s="227" t="n"/>
      <c r="K3374" s="227" t="n"/>
      <c r="L3374" s="227" t="n"/>
      <c r="M3374" s="227" t="n"/>
      <c r="N3374" s="127" t="n"/>
      <c r="O3374" s="227" t="n"/>
      <c r="P3374" s="227" t="n"/>
      <c r="Q3374" s="227" t="n"/>
      <c r="R3374" s="227" t="n"/>
      <c r="S3374" s="227" t="n"/>
      <c r="T3374" s="227" t="n"/>
    </row>
    <row r="3375">
      <c r="A3375" s="145">
        <f>IF($B3375="","",ROW()-5)</f>
        <v/>
      </c>
      <c r="B3375" s="127" t="n"/>
      <c r="C3375" s="223" t="n"/>
      <c r="D3375" s="127" t="n"/>
      <c r="E3375" s="227" t="n"/>
      <c r="F3375" s="227" t="n"/>
      <c r="G3375" s="227" t="n"/>
      <c r="H3375" s="227" t="n"/>
      <c r="I3375" s="227" t="n"/>
      <c r="J3375" s="227" t="n"/>
      <c r="K3375" s="227" t="n"/>
      <c r="L3375" s="227" t="n"/>
      <c r="M3375" s="227" t="n"/>
      <c r="N3375" s="127" t="n"/>
      <c r="O3375" s="227" t="n"/>
      <c r="P3375" s="227" t="n"/>
      <c r="Q3375" s="227" t="n"/>
      <c r="R3375" s="227" t="n"/>
      <c r="S3375" s="227" t="n"/>
      <c r="T3375" s="227" t="n"/>
    </row>
    <row r="3376">
      <c r="A3376" s="145">
        <f>IF($B3376="","",ROW()-5)</f>
        <v/>
      </c>
      <c r="B3376" s="127" t="n"/>
      <c r="C3376" s="223" t="n"/>
      <c r="D3376" s="127" t="n"/>
      <c r="E3376" s="227" t="n"/>
      <c r="F3376" s="227" t="n"/>
      <c r="G3376" s="227" t="n"/>
      <c r="H3376" s="227" t="n"/>
      <c r="I3376" s="227" t="n"/>
      <c r="J3376" s="227" t="n"/>
      <c r="K3376" s="227" t="n"/>
      <c r="L3376" s="227" t="n"/>
      <c r="M3376" s="227" t="n"/>
      <c r="N3376" s="127" t="n"/>
      <c r="O3376" s="227" t="n"/>
      <c r="P3376" s="227" t="n"/>
      <c r="Q3376" s="227" t="n"/>
      <c r="R3376" s="227" t="n"/>
      <c r="S3376" s="227" t="n"/>
      <c r="T3376" s="227" t="n"/>
    </row>
    <row r="3377">
      <c r="A3377" s="145">
        <f>IF($B3377="","",ROW()-5)</f>
        <v/>
      </c>
      <c r="B3377" s="127" t="n"/>
      <c r="C3377" s="223" t="n"/>
      <c r="D3377" s="127" t="n"/>
      <c r="E3377" s="227" t="n"/>
      <c r="F3377" s="227" t="n"/>
      <c r="G3377" s="227" t="n"/>
      <c r="H3377" s="227" t="n"/>
      <c r="I3377" s="227" t="n"/>
      <c r="J3377" s="227" t="n"/>
      <c r="K3377" s="227" t="n"/>
      <c r="L3377" s="227" t="n"/>
      <c r="M3377" s="227" t="n"/>
      <c r="N3377" s="127" t="n"/>
      <c r="O3377" s="227" t="n"/>
      <c r="P3377" s="227" t="n"/>
      <c r="Q3377" s="227" t="n"/>
      <c r="R3377" s="227" t="n"/>
      <c r="S3377" s="227" t="n"/>
      <c r="T3377" s="227" t="n"/>
    </row>
    <row r="3378">
      <c r="A3378" s="145">
        <f>IF($B3378="","",ROW()-5)</f>
        <v/>
      </c>
      <c r="B3378" s="127" t="n"/>
      <c r="C3378" s="223" t="n"/>
      <c r="D3378" s="127" t="n"/>
      <c r="E3378" s="227" t="n"/>
      <c r="F3378" s="227" t="n"/>
      <c r="G3378" s="227" t="n"/>
      <c r="H3378" s="227" t="n"/>
      <c r="I3378" s="227" t="n"/>
      <c r="J3378" s="227" t="n"/>
      <c r="K3378" s="227" t="n"/>
      <c r="L3378" s="227" t="n"/>
      <c r="M3378" s="227" t="n"/>
      <c r="N3378" s="127" t="n"/>
      <c r="O3378" s="227" t="n"/>
      <c r="P3378" s="227" t="n"/>
      <c r="Q3378" s="227" t="n"/>
      <c r="R3378" s="227" t="n"/>
      <c r="S3378" s="227" t="n"/>
      <c r="T3378" s="227" t="n"/>
    </row>
    <row r="3379">
      <c r="A3379" s="145">
        <f>IF($B3379="","",ROW()-5)</f>
        <v/>
      </c>
      <c r="B3379" s="127" t="n"/>
      <c r="C3379" s="223" t="n"/>
      <c r="D3379" s="127" t="n"/>
      <c r="E3379" s="227" t="n"/>
      <c r="F3379" s="227" t="n"/>
      <c r="G3379" s="227" t="n"/>
      <c r="H3379" s="227" t="n"/>
      <c r="I3379" s="227" t="n"/>
      <c r="J3379" s="227" t="n"/>
      <c r="K3379" s="227" t="n"/>
      <c r="L3379" s="227" t="n"/>
      <c r="M3379" s="227" t="n"/>
      <c r="N3379" s="127" t="n"/>
      <c r="O3379" s="227" t="n"/>
      <c r="P3379" s="227" t="n"/>
      <c r="Q3379" s="227" t="n"/>
      <c r="R3379" s="227" t="n"/>
      <c r="S3379" s="227" t="n"/>
      <c r="T3379" s="227" t="n"/>
    </row>
    <row r="3380">
      <c r="A3380" s="145">
        <f>IF($B3380="","",ROW()-5)</f>
        <v/>
      </c>
      <c r="B3380" s="127" t="n"/>
      <c r="C3380" s="223" t="n"/>
      <c r="D3380" s="127" t="n"/>
      <c r="E3380" s="227" t="n"/>
      <c r="F3380" s="227" t="n"/>
      <c r="G3380" s="227" t="n"/>
      <c r="H3380" s="227" t="n"/>
      <c r="I3380" s="227" t="n"/>
      <c r="J3380" s="227" t="n"/>
      <c r="K3380" s="227" t="n"/>
      <c r="L3380" s="227" t="n"/>
      <c r="M3380" s="227" t="n"/>
      <c r="N3380" s="127" t="n"/>
      <c r="O3380" s="227" t="n"/>
      <c r="P3380" s="227" t="n"/>
      <c r="Q3380" s="227" t="n"/>
      <c r="R3380" s="227" t="n"/>
      <c r="S3380" s="227" t="n"/>
      <c r="T3380" s="227" t="n"/>
    </row>
    <row r="3381">
      <c r="A3381" s="145">
        <f>IF($B3381="","",ROW()-5)</f>
        <v/>
      </c>
      <c r="B3381" s="127" t="n"/>
      <c r="C3381" s="223" t="n"/>
      <c r="D3381" s="127" t="n"/>
      <c r="E3381" s="227" t="n"/>
      <c r="F3381" s="227" t="n"/>
      <c r="G3381" s="227" t="n"/>
      <c r="H3381" s="227" t="n"/>
      <c r="I3381" s="227" t="n"/>
      <c r="J3381" s="227" t="n"/>
      <c r="K3381" s="227" t="n"/>
      <c r="L3381" s="227" t="n"/>
      <c r="M3381" s="227" t="n"/>
      <c r="N3381" s="127" t="n"/>
      <c r="O3381" s="227" t="n"/>
      <c r="P3381" s="227" t="n"/>
      <c r="Q3381" s="227" t="n"/>
      <c r="R3381" s="227" t="n"/>
      <c r="S3381" s="227" t="n"/>
      <c r="T3381" s="227" t="n"/>
    </row>
    <row r="3382">
      <c r="A3382" s="145">
        <f>IF($B3382="","",ROW()-5)</f>
        <v/>
      </c>
      <c r="B3382" s="127" t="n"/>
      <c r="C3382" s="223" t="n"/>
      <c r="D3382" s="127" t="n"/>
      <c r="E3382" s="227" t="n"/>
      <c r="F3382" s="227" t="n"/>
      <c r="G3382" s="227" t="n"/>
      <c r="H3382" s="227" t="n"/>
      <c r="I3382" s="227" t="n"/>
      <c r="J3382" s="227" t="n"/>
      <c r="K3382" s="227" t="n"/>
      <c r="L3382" s="227" t="n"/>
      <c r="M3382" s="227" t="n"/>
      <c r="N3382" s="127" t="n"/>
      <c r="O3382" s="227" t="n"/>
      <c r="P3382" s="227" t="n"/>
      <c r="Q3382" s="227" t="n"/>
      <c r="R3382" s="227" t="n"/>
      <c r="S3382" s="227" t="n"/>
      <c r="T3382" s="227" t="n"/>
    </row>
    <row r="3383">
      <c r="A3383" s="145">
        <f>IF($B3383="","",ROW()-5)</f>
        <v/>
      </c>
      <c r="B3383" s="127" t="n"/>
      <c r="C3383" s="223" t="n"/>
      <c r="D3383" s="127" t="n"/>
      <c r="E3383" s="227" t="n"/>
      <c r="F3383" s="227" t="n"/>
      <c r="G3383" s="227" t="n"/>
      <c r="H3383" s="227" t="n"/>
      <c r="I3383" s="227" t="n"/>
      <c r="J3383" s="227" t="n"/>
      <c r="K3383" s="227" t="n"/>
      <c r="L3383" s="227" t="n"/>
      <c r="M3383" s="227" t="n"/>
      <c r="N3383" s="127" t="n"/>
      <c r="O3383" s="227" t="n"/>
      <c r="P3383" s="227" t="n"/>
      <c r="Q3383" s="227" t="n"/>
      <c r="R3383" s="227" t="n"/>
      <c r="S3383" s="227" t="n"/>
      <c r="T3383" s="227" t="n"/>
    </row>
    <row r="3384">
      <c r="A3384" s="145">
        <f>IF($B3384="","",ROW()-5)</f>
        <v/>
      </c>
      <c r="B3384" s="127" t="n"/>
      <c r="C3384" s="223" t="n"/>
      <c r="D3384" s="127" t="n"/>
      <c r="E3384" s="227" t="n"/>
      <c r="F3384" s="227" t="n"/>
      <c r="G3384" s="227" t="n"/>
      <c r="H3384" s="227" t="n"/>
      <c r="I3384" s="227" t="n"/>
      <c r="J3384" s="227" t="n"/>
      <c r="K3384" s="227" t="n"/>
      <c r="L3384" s="227" t="n"/>
      <c r="M3384" s="227" t="n"/>
      <c r="N3384" s="127" t="n"/>
      <c r="O3384" s="227" t="n"/>
      <c r="P3384" s="227" t="n"/>
      <c r="Q3384" s="227" t="n"/>
      <c r="R3384" s="227" t="n"/>
      <c r="S3384" s="227" t="n"/>
      <c r="T3384" s="227" t="n"/>
    </row>
    <row r="3385">
      <c r="A3385" s="145">
        <f>IF($B3385="","",ROW()-5)</f>
        <v/>
      </c>
      <c r="B3385" s="127" t="n"/>
      <c r="C3385" s="223" t="n"/>
      <c r="D3385" s="127" t="n"/>
      <c r="E3385" s="227" t="n"/>
      <c r="F3385" s="227" t="n"/>
      <c r="G3385" s="227" t="n"/>
      <c r="H3385" s="227" t="n"/>
      <c r="I3385" s="227" t="n"/>
      <c r="J3385" s="227" t="n"/>
      <c r="K3385" s="227" t="n"/>
      <c r="L3385" s="227" t="n"/>
      <c r="M3385" s="227" t="n"/>
      <c r="N3385" s="127" t="n"/>
      <c r="O3385" s="227" t="n"/>
      <c r="P3385" s="227" t="n"/>
      <c r="Q3385" s="227" t="n"/>
      <c r="R3385" s="227" t="n"/>
      <c r="S3385" s="227" t="n"/>
      <c r="T3385" s="227" t="n"/>
    </row>
    <row r="3386">
      <c r="A3386" s="145">
        <f>IF($B3386="","",ROW()-5)</f>
        <v/>
      </c>
      <c r="B3386" s="127" t="n"/>
      <c r="C3386" s="223" t="n"/>
      <c r="D3386" s="127" t="n"/>
      <c r="E3386" s="227" t="n"/>
      <c r="F3386" s="227" t="n"/>
      <c r="G3386" s="227" t="n"/>
      <c r="H3386" s="227" t="n"/>
      <c r="I3386" s="227" t="n"/>
      <c r="J3386" s="227" t="n"/>
      <c r="K3386" s="227" t="n"/>
      <c r="L3386" s="227" t="n"/>
      <c r="M3386" s="227" t="n"/>
      <c r="N3386" s="127" t="n"/>
      <c r="O3386" s="227" t="n"/>
      <c r="P3386" s="227" t="n"/>
      <c r="Q3386" s="227" t="n"/>
      <c r="R3386" s="227" t="n"/>
      <c r="S3386" s="227" t="n"/>
      <c r="T3386" s="227" t="n"/>
    </row>
    <row r="3387">
      <c r="A3387" s="145">
        <f>IF($B3387="","",ROW()-5)</f>
        <v/>
      </c>
      <c r="B3387" s="127" t="n"/>
      <c r="C3387" s="223" t="n"/>
      <c r="D3387" s="127" t="n"/>
      <c r="E3387" s="227" t="n"/>
      <c r="F3387" s="227" t="n"/>
      <c r="G3387" s="227" t="n"/>
      <c r="H3387" s="227" t="n"/>
      <c r="I3387" s="227" t="n"/>
      <c r="J3387" s="227" t="n"/>
      <c r="K3387" s="227" t="n"/>
      <c r="L3387" s="227" t="n"/>
      <c r="M3387" s="227" t="n"/>
      <c r="N3387" s="127" t="n"/>
      <c r="O3387" s="227" t="n"/>
      <c r="P3387" s="227" t="n"/>
      <c r="Q3387" s="227" t="n"/>
      <c r="R3387" s="227" t="n"/>
      <c r="S3387" s="227" t="n"/>
      <c r="T3387" s="227" t="n"/>
    </row>
    <row r="3388">
      <c r="A3388" s="145">
        <f>IF($B3388="","",ROW()-5)</f>
        <v/>
      </c>
      <c r="B3388" s="127" t="n"/>
      <c r="C3388" s="223" t="n"/>
      <c r="D3388" s="127" t="n"/>
      <c r="E3388" s="227" t="n"/>
      <c r="F3388" s="227" t="n"/>
      <c r="G3388" s="227" t="n"/>
      <c r="H3388" s="227" t="n"/>
      <c r="I3388" s="227" t="n"/>
      <c r="J3388" s="227" t="n"/>
      <c r="K3388" s="227" t="n"/>
      <c r="L3388" s="227" t="n"/>
      <c r="M3388" s="227" t="n"/>
      <c r="N3388" s="127" t="n"/>
      <c r="O3388" s="227" t="n"/>
      <c r="P3388" s="227" t="n"/>
      <c r="Q3388" s="227" t="n"/>
      <c r="R3388" s="227" t="n"/>
      <c r="S3388" s="227" t="n"/>
      <c r="T3388" s="227" t="n"/>
    </row>
    <row r="3389">
      <c r="A3389" s="145">
        <f>IF($B3389="","",ROW()-5)</f>
        <v/>
      </c>
      <c r="B3389" s="127" t="n"/>
      <c r="C3389" s="223" t="n"/>
      <c r="D3389" s="127" t="n"/>
      <c r="E3389" s="227" t="n"/>
      <c r="F3389" s="227" t="n"/>
      <c r="G3389" s="227" t="n"/>
      <c r="H3389" s="227" t="n"/>
      <c r="I3389" s="227" t="n"/>
      <c r="J3389" s="227" t="n"/>
      <c r="K3389" s="227" t="n"/>
      <c r="L3389" s="227" t="n"/>
      <c r="M3389" s="227" t="n"/>
      <c r="N3389" s="127" t="n"/>
      <c r="O3389" s="227" t="n"/>
      <c r="P3389" s="227" t="n"/>
      <c r="Q3389" s="227" t="n"/>
      <c r="R3389" s="227" t="n"/>
      <c r="S3389" s="227" t="n"/>
      <c r="T3389" s="227" t="n"/>
    </row>
    <row r="3390">
      <c r="A3390" s="145">
        <f>IF($B3390="","",ROW()-5)</f>
        <v/>
      </c>
      <c r="B3390" s="127" t="n"/>
      <c r="C3390" s="223" t="n"/>
      <c r="D3390" s="127" t="n"/>
      <c r="E3390" s="227" t="n"/>
      <c r="F3390" s="227" t="n"/>
      <c r="G3390" s="227" t="n"/>
      <c r="H3390" s="227" t="n"/>
      <c r="I3390" s="227" t="n"/>
      <c r="J3390" s="227" t="n"/>
      <c r="K3390" s="227" t="n"/>
      <c r="L3390" s="227" t="n"/>
      <c r="M3390" s="227" t="n"/>
      <c r="N3390" s="127" t="n"/>
      <c r="O3390" s="227" t="n"/>
      <c r="P3390" s="227" t="n"/>
      <c r="Q3390" s="227" t="n"/>
      <c r="R3390" s="227" t="n"/>
      <c r="S3390" s="227" t="n"/>
      <c r="T3390" s="227" t="n"/>
    </row>
    <row r="3391">
      <c r="A3391" s="145">
        <f>IF($B3391="","",ROW()-5)</f>
        <v/>
      </c>
      <c r="B3391" s="127" t="n"/>
      <c r="C3391" s="223" t="n"/>
      <c r="D3391" s="127" t="n"/>
      <c r="E3391" s="227" t="n"/>
      <c r="F3391" s="227" t="n"/>
      <c r="G3391" s="227" t="n"/>
      <c r="H3391" s="227" t="n"/>
      <c r="I3391" s="227" t="n"/>
      <c r="J3391" s="227" t="n"/>
      <c r="K3391" s="227" t="n"/>
      <c r="L3391" s="227" t="n"/>
      <c r="M3391" s="227" t="n"/>
      <c r="N3391" s="127" t="n"/>
      <c r="O3391" s="227" t="n"/>
      <c r="P3391" s="227" t="n"/>
      <c r="Q3391" s="227" t="n"/>
      <c r="R3391" s="227" t="n"/>
      <c r="S3391" s="227" t="n"/>
      <c r="T3391" s="227" t="n"/>
    </row>
    <row r="3392">
      <c r="A3392" s="145">
        <f>IF($B3392="","",ROW()-5)</f>
        <v/>
      </c>
      <c r="B3392" s="127" t="n"/>
      <c r="C3392" s="223" t="n"/>
      <c r="D3392" s="127" t="n"/>
      <c r="E3392" s="227" t="n"/>
      <c r="F3392" s="227" t="n"/>
      <c r="G3392" s="227" t="n"/>
      <c r="H3392" s="227" t="n"/>
      <c r="I3392" s="227" t="n"/>
      <c r="J3392" s="227" t="n"/>
      <c r="K3392" s="227" t="n"/>
      <c r="L3392" s="227" t="n"/>
      <c r="M3392" s="227" t="n"/>
      <c r="N3392" s="127" t="n"/>
      <c r="O3392" s="227" t="n"/>
      <c r="P3392" s="227" t="n"/>
      <c r="Q3392" s="227" t="n"/>
      <c r="R3392" s="227" t="n"/>
      <c r="S3392" s="227" t="n"/>
      <c r="T3392" s="227" t="n"/>
    </row>
    <row r="3393">
      <c r="A3393" s="145">
        <f>IF($B3393="","",ROW()-5)</f>
        <v/>
      </c>
      <c r="B3393" s="127" t="n"/>
      <c r="C3393" s="223" t="n"/>
      <c r="D3393" s="127" t="n"/>
      <c r="E3393" s="227" t="n"/>
      <c r="F3393" s="227" t="n"/>
      <c r="G3393" s="227" t="n"/>
      <c r="H3393" s="227" t="n"/>
      <c r="I3393" s="227" t="n"/>
      <c r="J3393" s="227" t="n"/>
      <c r="K3393" s="227" t="n"/>
      <c r="L3393" s="227" t="n"/>
      <c r="M3393" s="227" t="n"/>
      <c r="N3393" s="127" t="n"/>
      <c r="O3393" s="227" t="n"/>
      <c r="P3393" s="227" t="n"/>
      <c r="Q3393" s="227" t="n"/>
      <c r="R3393" s="227" t="n"/>
      <c r="S3393" s="227" t="n"/>
      <c r="T3393" s="227" t="n"/>
    </row>
    <row r="3394">
      <c r="A3394" s="145">
        <f>IF($B3394="","",ROW()-5)</f>
        <v/>
      </c>
      <c r="B3394" s="127" t="n"/>
      <c r="C3394" s="223" t="n"/>
      <c r="D3394" s="127" t="n"/>
      <c r="E3394" s="227" t="n"/>
      <c r="F3394" s="227" t="n"/>
      <c r="G3394" s="227" t="n"/>
      <c r="H3394" s="227" t="n"/>
      <c r="I3394" s="227" t="n"/>
      <c r="J3394" s="227" t="n"/>
      <c r="K3394" s="227" t="n"/>
      <c r="L3394" s="227" t="n"/>
      <c r="M3394" s="227" t="n"/>
      <c r="N3394" s="127" t="n"/>
      <c r="O3394" s="227" t="n"/>
      <c r="P3394" s="227" t="n"/>
      <c r="Q3394" s="227" t="n"/>
      <c r="R3394" s="227" t="n"/>
      <c r="S3394" s="227" t="n"/>
      <c r="T3394" s="227" t="n"/>
    </row>
    <row r="3395">
      <c r="A3395" s="145">
        <f>IF($B3395="","",ROW()-5)</f>
        <v/>
      </c>
      <c r="B3395" s="127" t="n"/>
      <c r="C3395" s="223" t="n"/>
      <c r="D3395" s="127" t="n"/>
      <c r="E3395" s="227" t="n"/>
      <c r="F3395" s="227" t="n"/>
      <c r="G3395" s="227" t="n"/>
      <c r="H3395" s="227" t="n"/>
      <c r="I3395" s="227" t="n"/>
      <c r="J3395" s="227" t="n"/>
      <c r="K3395" s="227" t="n"/>
      <c r="L3395" s="227" t="n"/>
      <c r="M3395" s="227" t="n"/>
      <c r="N3395" s="127" t="n"/>
      <c r="O3395" s="227" t="n"/>
      <c r="P3395" s="227" t="n"/>
      <c r="Q3395" s="227" t="n"/>
      <c r="R3395" s="227" t="n"/>
      <c r="S3395" s="227" t="n"/>
      <c r="T3395" s="227" t="n"/>
    </row>
    <row r="3396">
      <c r="A3396" s="145">
        <f>IF($B3396="","",ROW()-5)</f>
        <v/>
      </c>
      <c r="B3396" s="127" t="n"/>
      <c r="C3396" s="223" t="n"/>
      <c r="D3396" s="127" t="n"/>
      <c r="E3396" s="227" t="n"/>
      <c r="F3396" s="227" t="n"/>
      <c r="G3396" s="227" t="n"/>
      <c r="H3396" s="227" t="n"/>
      <c r="I3396" s="227" t="n"/>
      <c r="J3396" s="227" t="n"/>
      <c r="K3396" s="227" t="n"/>
      <c r="L3396" s="227" t="n"/>
      <c r="M3396" s="227" t="n"/>
      <c r="N3396" s="127" t="n"/>
      <c r="O3396" s="227" t="n"/>
      <c r="P3396" s="227" t="n"/>
      <c r="Q3396" s="227" t="n"/>
      <c r="R3396" s="227" t="n"/>
      <c r="S3396" s="227" t="n"/>
      <c r="T3396" s="227" t="n"/>
    </row>
    <row r="3397">
      <c r="A3397" s="145">
        <f>IF($B3397="","",ROW()-5)</f>
        <v/>
      </c>
      <c r="B3397" s="127" t="n"/>
      <c r="C3397" s="223" t="n"/>
      <c r="D3397" s="127" t="n"/>
      <c r="E3397" s="227" t="n"/>
      <c r="F3397" s="227" t="n"/>
      <c r="G3397" s="227" t="n"/>
      <c r="H3397" s="227" t="n"/>
      <c r="I3397" s="227" t="n"/>
      <c r="J3397" s="227" t="n"/>
      <c r="K3397" s="227" t="n"/>
      <c r="L3397" s="227" t="n"/>
      <c r="M3397" s="227" t="n"/>
      <c r="N3397" s="127" t="n"/>
      <c r="O3397" s="227" t="n"/>
      <c r="P3397" s="227" t="n"/>
      <c r="Q3397" s="227" t="n"/>
      <c r="R3397" s="227" t="n"/>
      <c r="S3397" s="227" t="n"/>
      <c r="T3397" s="227" t="n"/>
    </row>
    <row r="3398">
      <c r="A3398" s="145">
        <f>IF($B3398="","",ROW()-5)</f>
        <v/>
      </c>
      <c r="B3398" s="127" t="n"/>
      <c r="C3398" s="223" t="n"/>
      <c r="D3398" s="127" t="n"/>
      <c r="E3398" s="227" t="n"/>
      <c r="F3398" s="227" t="n"/>
      <c r="G3398" s="227" t="n"/>
      <c r="H3398" s="227" t="n"/>
      <c r="I3398" s="227" t="n"/>
      <c r="J3398" s="227" t="n"/>
      <c r="K3398" s="227" t="n"/>
      <c r="L3398" s="227" t="n"/>
      <c r="M3398" s="227" t="n"/>
      <c r="N3398" s="127" t="n"/>
      <c r="O3398" s="227" t="n"/>
      <c r="P3398" s="227" t="n"/>
      <c r="Q3398" s="227" t="n"/>
      <c r="R3398" s="227" t="n"/>
      <c r="S3398" s="227" t="n"/>
      <c r="T3398" s="227" t="n"/>
    </row>
    <row r="3399">
      <c r="A3399" s="145">
        <f>IF($B3399="","",ROW()-5)</f>
        <v/>
      </c>
      <c r="B3399" s="127" t="n"/>
      <c r="C3399" s="223" t="n"/>
      <c r="D3399" s="127" t="n"/>
      <c r="E3399" s="227" t="n"/>
      <c r="F3399" s="227" t="n"/>
      <c r="G3399" s="227" t="n"/>
      <c r="H3399" s="227" t="n"/>
      <c r="I3399" s="227" t="n"/>
      <c r="J3399" s="227" t="n"/>
      <c r="K3399" s="227" t="n"/>
      <c r="L3399" s="227" t="n"/>
      <c r="M3399" s="227" t="n"/>
      <c r="N3399" s="127" t="n"/>
      <c r="O3399" s="227" t="n"/>
      <c r="P3399" s="227" t="n"/>
      <c r="Q3399" s="227" t="n"/>
      <c r="R3399" s="227" t="n"/>
      <c r="S3399" s="227" t="n"/>
      <c r="T3399" s="227" t="n"/>
    </row>
    <row r="3400">
      <c r="A3400" s="145">
        <f>IF($B3400="","",ROW()-5)</f>
        <v/>
      </c>
      <c r="B3400" s="127" t="n"/>
      <c r="C3400" s="223" t="n"/>
      <c r="D3400" s="127" t="n"/>
      <c r="E3400" s="227" t="n"/>
      <c r="F3400" s="227" t="n"/>
      <c r="G3400" s="227" t="n"/>
      <c r="H3400" s="227" t="n"/>
      <c r="I3400" s="227" t="n"/>
      <c r="J3400" s="227" t="n"/>
      <c r="K3400" s="227" t="n"/>
      <c r="L3400" s="227" t="n"/>
      <c r="M3400" s="227" t="n"/>
      <c r="N3400" s="127" t="n"/>
      <c r="O3400" s="227" t="n"/>
      <c r="P3400" s="227" t="n"/>
      <c r="Q3400" s="227" t="n"/>
      <c r="R3400" s="227" t="n"/>
      <c r="S3400" s="227" t="n"/>
      <c r="T3400" s="227" t="n"/>
    </row>
    <row r="3401">
      <c r="A3401" s="145">
        <f>IF($B3401="","",ROW()-5)</f>
        <v/>
      </c>
      <c r="B3401" s="127" t="n"/>
      <c r="C3401" s="223" t="n"/>
      <c r="D3401" s="127" t="n"/>
      <c r="E3401" s="227" t="n"/>
      <c r="F3401" s="227" t="n"/>
      <c r="G3401" s="227" t="n"/>
      <c r="H3401" s="227" t="n"/>
      <c r="I3401" s="227" t="n"/>
      <c r="J3401" s="227" t="n"/>
      <c r="K3401" s="227" t="n"/>
      <c r="L3401" s="227" t="n"/>
      <c r="M3401" s="227" t="n"/>
      <c r="N3401" s="127" t="n"/>
      <c r="O3401" s="227" t="n"/>
      <c r="P3401" s="227" t="n"/>
      <c r="Q3401" s="227" t="n"/>
      <c r="R3401" s="227" t="n"/>
      <c r="S3401" s="227" t="n"/>
      <c r="T3401" s="227" t="n"/>
    </row>
    <row r="3402">
      <c r="A3402" s="145">
        <f>IF($B3402="","",ROW()-5)</f>
        <v/>
      </c>
      <c r="B3402" s="127" t="n"/>
      <c r="C3402" s="223" t="n"/>
      <c r="D3402" s="127" t="n"/>
      <c r="E3402" s="227" t="n"/>
      <c r="F3402" s="227" t="n"/>
      <c r="G3402" s="227" t="n"/>
      <c r="H3402" s="227" t="n"/>
      <c r="I3402" s="227" t="n"/>
      <c r="J3402" s="227" t="n"/>
      <c r="K3402" s="227" t="n"/>
      <c r="L3402" s="227" t="n"/>
      <c r="M3402" s="227" t="n"/>
      <c r="N3402" s="127" t="n"/>
      <c r="O3402" s="227" t="n"/>
      <c r="P3402" s="227" t="n"/>
      <c r="Q3402" s="227" t="n"/>
      <c r="R3402" s="227" t="n"/>
      <c r="S3402" s="227" t="n"/>
      <c r="T3402" s="227" t="n"/>
    </row>
    <row r="3403">
      <c r="A3403" s="145">
        <f>IF($B3403="","",ROW()-5)</f>
        <v/>
      </c>
      <c r="B3403" s="127" t="n"/>
      <c r="C3403" s="223" t="n"/>
      <c r="D3403" s="127" t="n"/>
      <c r="E3403" s="227" t="n"/>
      <c r="F3403" s="227" t="n"/>
      <c r="G3403" s="227" t="n"/>
      <c r="H3403" s="227" t="n"/>
      <c r="I3403" s="227" t="n"/>
      <c r="J3403" s="227" t="n"/>
      <c r="K3403" s="227" t="n"/>
      <c r="L3403" s="227" t="n"/>
      <c r="M3403" s="227" t="n"/>
      <c r="N3403" s="127" t="n"/>
      <c r="O3403" s="227" t="n"/>
      <c r="P3403" s="227" t="n"/>
      <c r="Q3403" s="227" t="n"/>
      <c r="R3403" s="227" t="n"/>
      <c r="S3403" s="227" t="n"/>
      <c r="T3403" s="227" t="n"/>
    </row>
    <row r="3404">
      <c r="A3404" s="145">
        <f>IF($B3404="","",ROW()-5)</f>
        <v/>
      </c>
      <c r="B3404" s="127" t="n"/>
      <c r="C3404" s="223" t="n"/>
      <c r="D3404" s="127" t="n"/>
      <c r="E3404" s="227" t="n"/>
      <c r="F3404" s="227" t="n"/>
      <c r="G3404" s="227" t="n"/>
      <c r="H3404" s="227" t="n"/>
      <c r="I3404" s="227" t="n"/>
      <c r="J3404" s="227" t="n"/>
      <c r="K3404" s="227" t="n"/>
      <c r="L3404" s="227" t="n"/>
      <c r="M3404" s="227" t="n"/>
      <c r="N3404" s="127" t="n"/>
      <c r="O3404" s="227" t="n"/>
      <c r="P3404" s="227" t="n"/>
      <c r="Q3404" s="227" t="n"/>
      <c r="R3404" s="227" t="n"/>
      <c r="S3404" s="227" t="n"/>
      <c r="T3404" s="227" t="n"/>
    </row>
    <row r="3405">
      <c r="A3405" s="145">
        <f>IF($B3405="","",ROW()-5)</f>
        <v/>
      </c>
      <c r="B3405" s="127" t="n"/>
      <c r="C3405" s="223" t="n"/>
      <c r="D3405" s="127" t="n"/>
      <c r="E3405" s="227" t="n"/>
      <c r="F3405" s="227" t="n"/>
      <c r="G3405" s="227" t="n"/>
      <c r="H3405" s="227" t="n"/>
      <c r="I3405" s="227" t="n"/>
      <c r="J3405" s="227" t="n"/>
      <c r="K3405" s="227" t="n"/>
      <c r="L3405" s="227" t="n"/>
      <c r="M3405" s="227" t="n"/>
      <c r="N3405" s="127" t="n"/>
      <c r="O3405" s="227" t="n"/>
      <c r="P3405" s="227" t="n"/>
      <c r="Q3405" s="227" t="n"/>
      <c r="R3405" s="227" t="n"/>
      <c r="S3405" s="227" t="n"/>
      <c r="T3405" s="227" t="n"/>
    </row>
    <row r="3406">
      <c r="A3406" s="145">
        <f>IF($B3406="","",ROW()-5)</f>
        <v/>
      </c>
      <c r="B3406" s="127" t="n"/>
      <c r="C3406" s="223" t="n"/>
      <c r="D3406" s="127" t="n"/>
      <c r="E3406" s="227" t="n"/>
      <c r="F3406" s="227" t="n"/>
      <c r="G3406" s="227" t="n"/>
      <c r="H3406" s="227" t="n"/>
      <c r="I3406" s="227" t="n"/>
      <c r="J3406" s="227" t="n"/>
      <c r="K3406" s="227" t="n"/>
      <c r="L3406" s="227" t="n"/>
      <c r="M3406" s="227" t="n"/>
      <c r="N3406" s="127" t="n"/>
      <c r="O3406" s="227" t="n"/>
      <c r="P3406" s="227" t="n"/>
      <c r="Q3406" s="227" t="n"/>
      <c r="R3406" s="227" t="n"/>
      <c r="S3406" s="227" t="n"/>
      <c r="T3406" s="227" t="n"/>
    </row>
    <row r="3407">
      <c r="A3407" s="145">
        <f>IF($B3407="","",ROW()-5)</f>
        <v/>
      </c>
      <c r="B3407" s="127" t="n"/>
      <c r="C3407" s="223" t="n"/>
      <c r="D3407" s="127" t="n"/>
      <c r="E3407" s="227" t="n"/>
      <c r="F3407" s="227" t="n"/>
      <c r="G3407" s="227" t="n"/>
      <c r="H3407" s="227" t="n"/>
      <c r="I3407" s="227" t="n"/>
      <c r="J3407" s="227" t="n"/>
      <c r="K3407" s="227" t="n"/>
      <c r="L3407" s="227" t="n"/>
      <c r="M3407" s="227" t="n"/>
      <c r="N3407" s="127" t="n"/>
      <c r="O3407" s="227" t="n"/>
      <c r="P3407" s="227" t="n"/>
      <c r="Q3407" s="227" t="n"/>
      <c r="R3407" s="227" t="n"/>
      <c r="S3407" s="227" t="n"/>
      <c r="T3407" s="227" t="n"/>
    </row>
    <row r="3408">
      <c r="A3408" s="145">
        <f>IF($B3408="","",ROW()-5)</f>
        <v/>
      </c>
      <c r="B3408" s="127" t="n"/>
      <c r="C3408" s="223" t="n"/>
      <c r="D3408" s="127" t="n"/>
      <c r="E3408" s="227" t="n"/>
      <c r="F3408" s="227" t="n"/>
      <c r="G3408" s="227" t="n"/>
      <c r="H3408" s="227" t="n"/>
      <c r="I3408" s="227" t="n"/>
      <c r="J3408" s="227" t="n"/>
      <c r="K3408" s="227" t="n"/>
      <c r="L3408" s="227" t="n"/>
      <c r="M3408" s="227" t="n"/>
      <c r="N3408" s="127" t="n"/>
      <c r="O3408" s="227" t="n"/>
      <c r="P3408" s="227" t="n"/>
      <c r="Q3408" s="227" t="n"/>
      <c r="R3408" s="227" t="n"/>
      <c r="S3408" s="227" t="n"/>
      <c r="T3408" s="227" t="n"/>
    </row>
    <row r="3409">
      <c r="A3409" s="145">
        <f>IF($B3409="","",ROW()-5)</f>
        <v/>
      </c>
      <c r="B3409" s="127" t="n"/>
      <c r="C3409" s="223" t="n"/>
      <c r="D3409" s="127" t="n"/>
      <c r="E3409" s="227" t="n"/>
      <c r="F3409" s="227" t="n"/>
      <c r="G3409" s="227" t="n"/>
      <c r="H3409" s="227" t="n"/>
      <c r="I3409" s="227" t="n"/>
      <c r="J3409" s="227" t="n"/>
      <c r="K3409" s="227" t="n"/>
      <c r="L3409" s="227" t="n"/>
      <c r="M3409" s="227" t="n"/>
      <c r="N3409" s="127" t="n"/>
      <c r="O3409" s="227" t="n"/>
      <c r="P3409" s="227" t="n"/>
      <c r="Q3409" s="227" t="n"/>
      <c r="R3409" s="227" t="n"/>
      <c r="S3409" s="227" t="n"/>
      <c r="T3409" s="227" t="n"/>
    </row>
    <row r="3410">
      <c r="A3410" s="145">
        <f>IF($B3410="","",ROW()-5)</f>
        <v/>
      </c>
      <c r="B3410" s="127" t="n"/>
      <c r="C3410" s="223" t="n"/>
      <c r="D3410" s="127" t="n"/>
      <c r="E3410" s="227" t="n"/>
      <c r="F3410" s="227" t="n"/>
      <c r="G3410" s="227" t="n"/>
      <c r="H3410" s="227" t="n"/>
      <c r="I3410" s="227" t="n"/>
      <c r="J3410" s="227" t="n"/>
      <c r="K3410" s="227" t="n"/>
      <c r="L3410" s="227" t="n"/>
      <c r="M3410" s="227" t="n"/>
      <c r="N3410" s="127" t="n"/>
      <c r="O3410" s="227" t="n"/>
      <c r="P3410" s="227" t="n"/>
      <c r="Q3410" s="227" t="n"/>
      <c r="R3410" s="227" t="n"/>
      <c r="S3410" s="227" t="n"/>
      <c r="T3410" s="227" t="n"/>
    </row>
    <row r="3411">
      <c r="A3411" s="145">
        <f>IF($B3411="","",ROW()-5)</f>
        <v/>
      </c>
      <c r="B3411" s="127" t="n"/>
      <c r="C3411" s="223" t="n"/>
      <c r="D3411" s="127" t="n"/>
      <c r="E3411" s="227" t="n"/>
      <c r="F3411" s="227" t="n"/>
      <c r="G3411" s="227" t="n"/>
      <c r="H3411" s="227" t="n"/>
      <c r="I3411" s="227" t="n"/>
      <c r="J3411" s="227" t="n"/>
      <c r="K3411" s="227" t="n"/>
      <c r="L3411" s="227" t="n"/>
      <c r="M3411" s="227" t="n"/>
      <c r="N3411" s="127" t="n"/>
      <c r="O3411" s="227" t="n"/>
      <c r="P3411" s="227" t="n"/>
      <c r="Q3411" s="227" t="n"/>
      <c r="R3411" s="227" t="n"/>
      <c r="S3411" s="227" t="n"/>
      <c r="T3411" s="227" t="n"/>
    </row>
    <row r="3412">
      <c r="A3412" s="145">
        <f>IF($B3412="","",ROW()-5)</f>
        <v/>
      </c>
      <c r="B3412" s="127" t="n"/>
      <c r="C3412" s="223" t="n"/>
      <c r="D3412" s="127" t="n"/>
      <c r="E3412" s="227" t="n"/>
      <c r="F3412" s="227" t="n"/>
      <c r="G3412" s="227" t="n"/>
      <c r="H3412" s="227" t="n"/>
      <c r="I3412" s="227" t="n"/>
      <c r="J3412" s="227" t="n"/>
      <c r="K3412" s="227" t="n"/>
      <c r="L3412" s="227" t="n"/>
      <c r="M3412" s="227" t="n"/>
      <c r="N3412" s="127" t="n"/>
      <c r="O3412" s="227" t="n"/>
      <c r="P3412" s="227" t="n"/>
      <c r="Q3412" s="227" t="n"/>
      <c r="R3412" s="227" t="n"/>
      <c r="S3412" s="227" t="n"/>
      <c r="T3412" s="227" t="n"/>
    </row>
    <row r="3413">
      <c r="A3413" s="145">
        <f>IF($B3413="","",ROW()-5)</f>
        <v/>
      </c>
      <c r="B3413" s="127" t="n"/>
      <c r="C3413" s="223" t="n"/>
      <c r="D3413" s="127" t="n"/>
      <c r="E3413" s="227" t="n"/>
      <c r="F3413" s="227" t="n"/>
      <c r="G3413" s="227" t="n"/>
      <c r="H3413" s="227" t="n"/>
      <c r="I3413" s="227" t="n"/>
      <c r="J3413" s="227" t="n"/>
      <c r="K3413" s="227" t="n"/>
      <c r="L3413" s="227" t="n"/>
      <c r="M3413" s="227" t="n"/>
      <c r="N3413" s="127" t="n"/>
      <c r="O3413" s="227" t="n"/>
      <c r="P3413" s="227" t="n"/>
      <c r="Q3413" s="227" t="n"/>
      <c r="R3413" s="227" t="n"/>
      <c r="S3413" s="227" t="n"/>
      <c r="T3413" s="227" t="n"/>
    </row>
    <row r="3414">
      <c r="A3414" s="145">
        <f>IF($B3414="","",ROW()-5)</f>
        <v/>
      </c>
      <c r="B3414" s="127" t="n"/>
      <c r="C3414" s="223" t="n"/>
      <c r="D3414" s="127" t="n"/>
      <c r="E3414" s="227" t="n"/>
      <c r="F3414" s="227" t="n"/>
      <c r="G3414" s="227" t="n"/>
      <c r="H3414" s="227" t="n"/>
      <c r="I3414" s="227" t="n"/>
      <c r="J3414" s="227" t="n"/>
      <c r="K3414" s="227" t="n"/>
      <c r="L3414" s="227" t="n"/>
      <c r="M3414" s="227" t="n"/>
      <c r="N3414" s="127" t="n"/>
      <c r="O3414" s="227" t="n"/>
      <c r="P3414" s="227" t="n"/>
      <c r="Q3414" s="227" t="n"/>
      <c r="R3414" s="227" t="n"/>
      <c r="S3414" s="227" t="n"/>
      <c r="T3414" s="227" t="n"/>
    </row>
    <row r="3415">
      <c r="A3415" s="145">
        <f>IF($B3415="","",ROW()-5)</f>
        <v/>
      </c>
      <c r="B3415" s="127" t="n"/>
      <c r="C3415" s="223" t="n"/>
      <c r="D3415" s="127" t="n"/>
      <c r="E3415" s="227" t="n"/>
      <c r="F3415" s="227" t="n"/>
      <c r="G3415" s="227" t="n"/>
      <c r="H3415" s="227" t="n"/>
      <c r="I3415" s="227" t="n"/>
      <c r="J3415" s="227" t="n"/>
      <c r="K3415" s="227" t="n"/>
      <c r="L3415" s="227" t="n"/>
      <c r="M3415" s="227" t="n"/>
      <c r="N3415" s="127" t="n"/>
      <c r="O3415" s="227" t="n"/>
      <c r="P3415" s="227" t="n"/>
      <c r="Q3415" s="227" t="n"/>
      <c r="R3415" s="227" t="n"/>
      <c r="S3415" s="227" t="n"/>
      <c r="T3415" s="227" t="n"/>
    </row>
    <row r="3416">
      <c r="A3416" s="145">
        <f>IF($B3416="","",ROW()-5)</f>
        <v/>
      </c>
      <c r="B3416" s="127" t="n"/>
      <c r="C3416" s="223" t="n"/>
      <c r="D3416" s="127" t="n"/>
      <c r="E3416" s="227" t="n"/>
      <c r="F3416" s="227" t="n"/>
      <c r="G3416" s="227" t="n"/>
      <c r="H3416" s="227" t="n"/>
      <c r="I3416" s="227" t="n"/>
      <c r="J3416" s="227" t="n"/>
      <c r="K3416" s="227" t="n"/>
      <c r="L3416" s="227" t="n"/>
      <c r="M3416" s="227" t="n"/>
      <c r="N3416" s="127" t="n"/>
      <c r="O3416" s="227" t="n"/>
      <c r="P3416" s="227" t="n"/>
      <c r="Q3416" s="227" t="n"/>
      <c r="R3416" s="227" t="n"/>
      <c r="S3416" s="227" t="n"/>
      <c r="T3416" s="227" t="n"/>
    </row>
    <row r="3417">
      <c r="A3417" s="145">
        <f>IF($B3417="","",ROW()-5)</f>
        <v/>
      </c>
      <c r="B3417" s="127" t="n"/>
      <c r="C3417" s="223" t="n"/>
      <c r="D3417" s="127" t="n"/>
      <c r="E3417" s="227" t="n"/>
      <c r="F3417" s="227" t="n"/>
      <c r="G3417" s="227" t="n"/>
      <c r="H3417" s="227" t="n"/>
      <c r="I3417" s="227" t="n"/>
      <c r="J3417" s="227" t="n"/>
      <c r="K3417" s="227" t="n"/>
      <c r="L3417" s="227" t="n"/>
      <c r="M3417" s="227" t="n"/>
      <c r="N3417" s="127" t="n"/>
      <c r="O3417" s="227" t="n"/>
      <c r="P3417" s="227" t="n"/>
      <c r="Q3417" s="227" t="n"/>
      <c r="R3417" s="227" t="n"/>
      <c r="S3417" s="227" t="n"/>
      <c r="T3417" s="227" t="n"/>
    </row>
    <row r="3418">
      <c r="A3418" s="145">
        <f>IF($B3418="","",ROW()-5)</f>
        <v/>
      </c>
      <c r="B3418" s="127" t="n"/>
      <c r="C3418" s="223" t="n"/>
      <c r="D3418" s="127" t="n"/>
      <c r="E3418" s="227" t="n"/>
      <c r="F3418" s="227" t="n"/>
      <c r="G3418" s="227" t="n"/>
      <c r="H3418" s="227" t="n"/>
      <c r="I3418" s="227" t="n"/>
      <c r="J3418" s="227" t="n"/>
      <c r="K3418" s="227" t="n"/>
      <c r="L3418" s="227" t="n"/>
      <c r="M3418" s="227" t="n"/>
      <c r="N3418" s="127" t="n"/>
      <c r="O3418" s="227" t="n"/>
      <c r="P3418" s="227" t="n"/>
      <c r="Q3418" s="227" t="n"/>
      <c r="R3418" s="227" t="n"/>
      <c r="S3418" s="227" t="n"/>
      <c r="T3418" s="227" t="n"/>
    </row>
    <row r="3419">
      <c r="A3419" s="145">
        <f>IF($B3419="","",ROW()-5)</f>
        <v/>
      </c>
      <c r="B3419" s="127" t="n"/>
      <c r="C3419" s="223" t="n"/>
      <c r="D3419" s="127" t="n"/>
      <c r="E3419" s="227" t="n"/>
      <c r="F3419" s="227" t="n"/>
      <c r="G3419" s="227" t="n"/>
      <c r="H3419" s="227" t="n"/>
      <c r="I3419" s="227" t="n"/>
      <c r="J3419" s="227" t="n"/>
      <c r="K3419" s="227" t="n"/>
      <c r="L3419" s="227" t="n"/>
      <c r="M3419" s="227" t="n"/>
      <c r="N3419" s="127" t="n"/>
      <c r="O3419" s="227" t="n"/>
      <c r="P3419" s="227" t="n"/>
      <c r="Q3419" s="227" t="n"/>
      <c r="R3419" s="227" t="n"/>
      <c r="S3419" s="227" t="n"/>
      <c r="T3419" s="227" t="n"/>
    </row>
    <row r="3420">
      <c r="A3420" s="145">
        <f>IF($B3420="","",ROW()-5)</f>
        <v/>
      </c>
      <c r="B3420" s="127" t="n"/>
      <c r="C3420" s="223" t="n"/>
      <c r="D3420" s="127" t="n"/>
      <c r="E3420" s="227" t="n"/>
      <c r="F3420" s="227" t="n"/>
      <c r="G3420" s="227" t="n"/>
      <c r="H3420" s="227" t="n"/>
      <c r="I3420" s="227" t="n"/>
      <c r="J3420" s="227" t="n"/>
      <c r="K3420" s="227" t="n"/>
      <c r="L3420" s="227" t="n"/>
      <c r="M3420" s="227" t="n"/>
      <c r="N3420" s="127" t="n"/>
      <c r="O3420" s="227" t="n"/>
      <c r="P3420" s="227" t="n"/>
      <c r="Q3420" s="227" t="n"/>
      <c r="R3420" s="227" t="n"/>
      <c r="S3420" s="227" t="n"/>
      <c r="T3420" s="227" t="n"/>
    </row>
    <row r="3421">
      <c r="A3421" s="145">
        <f>IF($B3421="","",ROW()-5)</f>
        <v/>
      </c>
      <c r="B3421" s="127" t="n"/>
      <c r="C3421" s="223" t="n"/>
      <c r="D3421" s="127" t="n"/>
      <c r="E3421" s="227" t="n"/>
      <c r="F3421" s="227" t="n"/>
      <c r="G3421" s="227" t="n"/>
      <c r="H3421" s="227" t="n"/>
      <c r="I3421" s="227" t="n"/>
      <c r="J3421" s="227" t="n"/>
      <c r="K3421" s="227" t="n"/>
      <c r="L3421" s="227" t="n"/>
      <c r="M3421" s="227" t="n"/>
      <c r="N3421" s="127" t="n"/>
      <c r="O3421" s="227" t="n"/>
      <c r="P3421" s="227" t="n"/>
      <c r="Q3421" s="227" t="n"/>
      <c r="R3421" s="227" t="n"/>
      <c r="S3421" s="227" t="n"/>
      <c r="T3421" s="227" t="n"/>
    </row>
    <row r="3422">
      <c r="A3422" s="145">
        <f>IF($B3422="","",ROW()-5)</f>
        <v/>
      </c>
      <c r="B3422" s="127" t="n"/>
      <c r="C3422" s="223" t="n"/>
      <c r="D3422" s="127" t="n"/>
      <c r="E3422" s="227" t="n"/>
      <c r="F3422" s="227" t="n"/>
      <c r="G3422" s="227" t="n"/>
      <c r="H3422" s="227" t="n"/>
      <c r="I3422" s="227" t="n"/>
      <c r="J3422" s="227" t="n"/>
      <c r="K3422" s="227" t="n"/>
      <c r="L3422" s="227" t="n"/>
      <c r="M3422" s="227" t="n"/>
      <c r="N3422" s="127" t="n"/>
      <c r="O3422" s="227" t="n"/>
      <c r="P3422" s="227" t="n"/>
      <c r="Q3422" s="227" t="n"/>
      <c r="R3422" s="227" t="n"/>
      <c r="S3422" s="227" t="n"/>
      <c r="T3422" s="227" t="n"/>
    </row>
    <row r="3423">
      <c r="A3423" s="145">
        <f>IF($B3423="","",ROW()-5)</f>
        <v/>
      </c>
      <c r="B3423" s="127" t="n"/>
      <c r="C3423" s="223" t="n"/>
      <c r="D3423" s="127" t="n"/>
      <c r="E3423" s="227" t="n"/>
      <c r="F3423" s="227" t="n"/>
      <c r="G3423" s="227" t="n"/>
      <c r="H3423" s="227" t="n"/>
      <c r="I3423" s="227" t="n"/>
      <c r="J3423" s="227" t="n"/>
      <c r="K3423" s="227" t="n"/>
      <c r="L3423" s="227" t="n"/>
      <c r="M3423" s="227" t="n"/>
      <c r="N3423" s="127" t="n"/>
      <c r="O3423" s="227" t="n"/>
      <c r="P3423" s="227" t="n"/>
      <c r="Q3423" s="227" t="n"/>
      <c r="R3423" s="227" t="n"/>
      <c r="S3423" s="227" t="n"/>
      <c r="T3423" s="227" t="n"/>
    </row>
    <row r="3424">
      <c r="A3424" s="145">
        <f>IF($B3424="","",ROW()-5)</f>
        <v/>
      </c>
      <c r="B3424" s="127" t="n"/>
      <c r="C3424" s="223" t="n"/>
      <c r="D3424" s="127" t="n"/>
      <c r="E3424" s="227" t="n"/>
      <c r="F3424" s="227" t="n"/>
      <c r="G3424" s="227" t="n"/>
      <c r="H3424" s="227" t="n"/>
      <c r="I3424" s="227" t="n"/>
      <c r="J3424" s="227" t="n"/>
      <c r="K3424" s="227" t="n"/>
      <c r="L3424" s="227" t="n"/>
      <c r="M3424" s="227" t="n"/>
      <c r="N3424" s="127" t="n"/>
      <c r="O3424" s="227" t="n"/>
      <c r="P3424" s="227" t="n"/>
      <c r="Q3424" s="227" t="n"/>
      <c r="R3424" s="227" t="n"/>
      <c r="S3424" s="227" t="n"/>
      <c r="T3424" s="227" t="n"/>
    </row>
    <row r="3425">
      <c r="A3425" s="145">
        <f>IF($B3425="","",ROW()-5)</f>
        <v/>
      </c>
      <c r="B3425" s="127" t="n"/>
      <c r="C3425" s="223" t="n"/>
      <c r="D3425" s="127" t="n"/>
      <c r="E3425" s="227" t="n"/>
      <c r="F3425" s="227" t="n"/>
      <c r="G3425" s="227" t="n"/>
      <c r="H3425" s="227" t="n"/>
      <c r="I3425" s="227" t="n"/>
      <c r="J3425" s="227" t="n"/>
      <c r="K3425" s="227" t="n"/>
      <c r="L3425" s="227" t="n"/>
      <c r="M3425" s="227" t="n"/>
      <c r="N3425" s="127" t="n"/>
      <c r="O3425" s="227" t="n"/>
      <c r="P3425" s="227" t="n"/>
      <c r="Q3425" s="227" t="n"/>
      <c r="R3425" s="227" t="n"/>
      <c r="S3425" s="227" t="n"/>
      <c r="T3425" s="227" t="n"/>
    </row>
    <row r="3426">
      <c r="A3426" s="145">
        <f>IF($B3426="","",ROW()-5)</f>
        <v/>
      </c>
      <c r="B3426" s="127" t="n"/>
      <c r="C3426" s="223" t="n"/>
      <c r="D3426" s="127" t="n"/>
      <c r="E3426" s="227" t="n"/>
      <c r="F3426" s="227" t="n"/>
      <c r="G3426" s="227" t="n"/>
      <c r="H3426" s="227" t="n"/>
      <c r="I3426" s="227" t="n"/>
      <c r="J3426" s="227" t="n"/>
      <c r="K3426" s="227" t="n"/>
      <c r="L3426" s="227" t="n"/>
      <c r="M3426" s="227" t="n"/>
      <c r="N3426" s="127" t="n"/>
      <c r="O3426" s="227" t="n"/>
      <c r="P3426" s="227" t="n"/>
      <c r="Q3426" s="227" t="n"/>
      <c r="R3426" s="227" t="n"/>
      <c r="S3426" s="227" t="n"/>
      <c r="T3426" s="227" t="n"/>
    </row>
    <row r="3427">
      <c r="A3427" s="145">
        <f>IF($B3427="","",ROW()-5)</f>
        <v/>
      </c>
      <c r="B3427" s="127" t="n"/>
      <c r="C3427" s="223" t="n"/>
      <c r="D3427" s="127" t="n"/>
      <c r="E3427" s="227" t="n"/>
      <c r="F3427" s="227" t="n"/>
      <c r="G3427" s="227" t="n"/>
      <c r="H3427" s="227" t="n"/>
      <c r="I3427" s="227" t="n"/>
      <c r="J3427" s="227" t="n"/>
      <c r="K3427" s="227" t="n"/>
      <c r="L3427" s="227" t="n"/>
      <c r="M3427" s="227" t="n"/>
      <c r="N3427" s="127" t="n"/>
      <c r="O3427" s="227" t="n"/>
      <c r="P3427" s="227" t="n"/>
      <c r="Q3427" s="227" t="n"/>
      <c r="R3427" s="227" t="n"/>
      <c r="S3427" s="227" t="n"/>
      <c r="T3427" s="227" t="n"/>
    </row>
    <row r="3428">
      <c r="A3428" s="145">
        <f>IF($B3428="","",ROW()-5)</f>
        <v/>
      </c>
      <c r="B3428" s="127" t="n"/>
      <c r="C3428" s="223" t="n"/>
      <c r="D3428" s="127" t="n"/>
      <c r="E3428" s="227" t="n"/>
      <c r="F3428" s="227" t="n"/>
      <c r="G3428" s="227" t="n"/>
      <c r="H3428" s="227" t="n"/>
      <c r="I3428" s="227" t="n"/>
      <c r="J3428" s="227" t="n"/>
      <c r="K3428" s="227" t="n"/>
      <c r="L3428" s="227" t="n"/>
      <c r="M3428" s="227" t="n"/>
      <c r="N3428" s="127" t="n"/>
      <c r="O3428" s="227" t="n"/>
      <c r="P3428" s="227" t="n"/>
      <c r="Q3428" s="227" t="n"/>
      <c r="R3428" s="227" t="n"/>
      <c r="S3428" s="227" t="n"/>
      <c r="T3428" s="227" t="n"/>
    </row>
    <row r="3429">
      <c r="A3429" s="145">
        <f>IF($B3429="","",ROW()-5)</f>
        <v/>
      </c>
      <c r="B3429" s="127" t="n"/>
      <c r="C3429" s="223" t="n"/>
      <c r="D3429" s="127" t="n"/>
      <c r="E3429" s="227" t="n"/>
      <c r="F3429" s="227" t="n"/>
      <c r="G3429" s="227" t="n"/>
      <c r="H3429" s="227" t="n"/>
      <c r="I3429" s="227" t="n"/>
      <c r="J3429" s="227" t="n"/>
      <c r="K3429" s="227" t="n"/>
      <c r="L3429" s="227" t="n"/>
      <c r="M3429" s="227" t="n"/>
      <c r="N3429" s="127" t="n"/>
      <c r="O3429" s="227" t="n"/>
      <c r="P3429" s="227" t="n"/>
      <c r="Q3429" s="227" t="n"/>
      <c r="R3429" s="227" t="n"/>
      <c r="S3429" s="227" t="n"/>
      <c r="T3429" s="227" t="n"/>
    </row>
    <row r="3430">
      <c r="A3430" s="145">
        <f>IF($B3430="","",ROW()-5)</f>
        <v/>
      </c>
      <c r="B3430" s="127" t="n"/>
      <c r="C3430" s="223" t="n"/>
      <c r="D3430" s="127" t="n"/>
      <c r="E3430" s="227" t="n"/>
      <c r="F3430" s="227" t="n"/>
      <c r="G3430" s="227" t="n"/>
      <c r="H3430" s="227" t="n"/>
      <c r="I3430" s="227" t="n"/>
      <c r="J3430" s="227" t="n"/>
      <c r="K3430" s="227" t="n"/>
      <c r="L3430" s="227" t="n"/>
      <c r="M3430" s="227" t="n"/>
      <c r="N3430" s="127" t="n"/>
      <c r="O3430" s="227" t="n"/>
      <c r="P3430" s="227" t="n"/>
      <c r="Q3430" s="227" t="n"/>
      <c r="R3430" s="227" t="n"/>
      <c r="S3430" s="227" t="n"/>
      <c r="T3430" s="227" t="n"/>
    </row>
    <row r="3431">
      <c r="A3431" s="145">
        <f>IF($B3431="","",ROW()-5)</f>
        <v/>
      </c>
      <c r="B3431" s="127" t="n"/>
      <c r="C3431" s="223" t="n"/>
      <c r="D3431" s="127" t="n"/>
      <c r="E3431" s="227" t="n"/>
      <c r="F3431" s="227" t="n"/>
      <c r="G3431" s="227" t="n"/>
      <c r="H3431" s="227" t="n"/>
      <c r="I3431" s="227" t="n"/>
      <c r="J3431" s="227" t="n"/>
      <c r="K3431" s="227" t="n"/>
      <c r="L3431" s="227" t="n"/>
      <c r="M3431" s="227" t="n"/>
      <c r="N3431" s="127" t="n"/>
      <c r="O3431" s="227" t="n"/>
      <c r="P3431" s="227" t="n"/>
      <c r="Q3431" s="227" t="n"/>
      <c r="R3431" s="227" t="n"/>
      <c r="S3431" s="227" t="n"/>
      <c r="T3431" s="227" t="n"/>
    </row>
    <row r="3432">
      <c r="A3432" s="145">
        <f>IF($B3432="","",ROW()-5)</f>
        <v/>
      </c>
      <c r="B3432" s="127" t="n"/>
      <c r="C3432" s="223" t="n"/>
      <c r="D3432" s="127" t="n"/>
      <c r="E3432" s="227" t="n"/>
      <c r="F3432" s="227" t="n"/>
      <c r="G3432" s="227" t="n"/>
      <c r="H3432" s="227" t="n"/>
      <c r="I3432" s="227" t="n"/>
      <c r="J3432" s="227" t="n"/>
      <c r="K3432" s="227" t="n"/>
      <c r="L3432" s="227" t="n"/>
      <c r="M3432" s="227" t="n"/>
      <c r="N3432" s="127" t="n"/>
      <c r="O3432" s="227" t="n"/>
      <c r="P3432" s="227" t="n"/>
      <c r="Q3432" s="227" t="n"/>
      <c r="R3432" s="227" t="n"/>
      <c r="S3432" s="227" t="n"/>
      <c r="T3432" s="227" t="n"/>
    </row>
    <row r="3433">
      <c r="A3433" s="145">
        <f>IF($B3433="","",ROW()-5)</f>
        <v/>
      </c>
      <c r="B3433" s="127" t="n"/>
      <c r="C3433" s="223" t="n"/>
      <c r="D3433" s="127" t="n"/>
      <c r="E3433" s="227" t="n"/>
      <c r="F3433" s="227" t="n"/>
      <c r="G3433" s="227" t="n"/>
      <c r="H3433" s="227" t="n"/>
      <c r="I3433" s="227" t="n"/>
      <c r="J3433" s="227" t="n"/>
      <c r="K3433" s="227" t="n"/>
      <c r="L3433" s="227" t="n"/>
      <c r="M3433" s="227" t="n"/>
      <c r="N3433" s="127" t="n"/>
      <c r="O3433" s="227" t="n"/>
      <c r="P3433" s="227" t="n"/>
      <c r="Q3433" s="227" t="n"/>
      <c r="R3433" s="227" t="n"/>
      <c r="S3433" s="227" t="n"/>
      <c r="T3433" s="227" t="n"/>
    </row>
    <row r="3434">
      <c r="A3434" s="145">
        <f>IF($B3434="","",ROW()-5)</f>
        <v/>
      </c>
      <c r="B3434" s="127" t="n"/>
      <c r="C3434" s="223" t="n"/>
      <c r="D3434" s="127" t="n"/>
      <c r="E3434" s="227" t="n"/>
      <c r="F3434" s="227" t="n"/>
      <c r="G3434" s="227" t="n"/>
      <c r="H3434" s="227" t="n"/>
      <c r="I3434" s="227" t="n"/>
      <c r="J3434" s="227" t="n"/>
      <c r="K3434" s="227" t="n"/>
      <c r="L3434" s="227" t="n"/>
      <c r="M3434" s="227" t="n"/>
      <c r="N3434" s="127" t="n"/>
      <c r="O3434" s="227" t="n"/>
      <c r="P3434" s="227" t="n"/>
      <c r="Q3434" s="227" t="n"/>
      <c r="R3434" s="227" t="n"/>
      <c r="S3434" s="227" t="n"/>
      <c r="T3434" s="227" t="n"/>
    </row>
    <row r="3435">
      <c r="A3435" s="145">
        <f>IF($B3435="","",ROW()-5)</f>
        <v/>
      </c>
      <c r="B3435" s="127" t="n"/>
      <c r="C3435" s="223" t="n"/>
      <c r="D3435" s="127" t="n"/>
      <c r="E3435" s="227" t="n"/>
      <c r="F3435" s="227" t="n"/>
      <c r="G3435" s="227" t="n"/>
      <c r="H3435" s="227" t="n"/>
      <c r="I3435" s="227" t="n"/>
      <c r="J3435" s="227" t="n"/>
      <c r="K3435" s="227" t="n"/>
      <c r="L3435" s="227" t="n"/>
      <c r="M3435" s="227" t="n"/>
      <c r="N3435" s="127" t="n"/>
      <c r="O3435" s="227" t="n"/>
      <c r="P3435" s="227" t="n"/>
      <c r="Q3435" s="227" t="n"/>
      <c r="R3435" s="227" t="n"/>
      <c r="S3435" s="227" t="n"/>
      <c r="T3435" s="227" t="n"/>
    </row>
    <row r="3436">
      <c r="A3436" s="145">
        <f>IF($B3436="","",ROW()-5)</f>
        <v/>
      </c>
      <c r="B3436" s="127" t="n"/>
      <c r="C3436" s="223" t="n"/>
      <c r="D3436" s="127" t="n"/>
      <c r="E3436" s="227" t="n"/>
      <c r="F3436" s="227" t="n"/>
      <c r="G3436" s="227" t="n"/>
      <c r="H3436" s="227" t="n"/>
      <c r="I3436" s="227" t="n"/>
      <c r="J3436" s="227" t="n"/>
      <c r="K3436" s="227" t="n"/>
      <c r="L3436" s="227" t="n"/>
      <c r="M3436" s="227" t="n"/>
      <c r="N3436" s="127" t="n"/>
      <c r="O3436" s="227" t="n"/>
      <c r="P3436" s="227" t="n"/>
      <c r="Q3436" s="227" t="n"/>
      <c r="R3436" s="227" t="n"/>
      <c r="S3436" s="227" t="n"/>
      <c r="T3436" s="227" t="n"/>
    </row>
    <row r="3437">
      <c r="A3437" s="145">
        <f>IF($B3437="","",ROW()-5)</f>
        <v/>
      </c>
      <c r="B3437" s="127" t="n"/>
      <c r="C3437" s="223" t="n"/>
      <c r="D3437" s="127" t="n"/>
      <c r="E3437" s="227" t="n"/>
      <c r="F3437" s="227" t="n"/>
      <c r="G3437" s="227" t="n"/>
      <c r="H3437" s="227" t="n"/>
      <c r="I3437" s="227" t="n"/>
      <c r="J3437" s="227" t="n"/>
      <c r="K3437" s="227" t="n"/>
      <c r="L3437" s="227" t="n"/>
      <c r="M3437" s="227" t="n"/>
      <c r="N3437" s="127" t="n"/>
      <c r="O3437" s="227" t="n"/>
      <c r="P3437" s="227" t="n"/>
      <c r="Q3437" s="227" t="n"/>
      <c r="R3437" s="227" t="n"/>
      <c r="S3437" s="227" t="n"/>
      <c r="T3437" s="227" t="n"/>
    </row>
    <row r="3438">
      <c r="A3438" s="145">
        <f>IF($B3438="","",ROW()-5)</f>
        <v/>
      </c>
      <c r="B3438" s="127" t="n"/>
      <c r="C3438" s="223" t="n"/>
      <c r="D3438" s="127" t="n"/>
      <c r="E3438" s="227" t="n"/>
      <c r="F3438" s="227" t="n"/>
      <c r="G3438" s="227" t="n"/>
      <c r="H3438" s="227" t="n"/>
      <c r="I3438" s="227" t="n"/>
      <c r="J3438" s="227" t="n"/>
      <c r="K3438" s="227" t="n"/>
      <c r="L3438" s="227" t="n"/>
      <c r="M3438" s="227" t="n"/>
      <c r="N3438" s="127" t="n"/>
      <c r="O3438" s="227" t="n"/>
      <c r="P3438" s="227" t="n"/>
      <c r="Q3438" s="227" t="n"/>
      <c r="R3438" s="227" t="n"/>
      <c r="S3438" s="227" t="n"/>
      <c r="T3438" s="227" t="n"/>
    </row>
    <row r="3439">
      <c r="A3439" s="145">
        <f>IF($B3439="","",ROW()-5)</f>
        <v/>
      </c>
      <c r="B3439" s="127" t="n"/>
      <c r="C3439" s="223" t="n"/>
      <c r="D3439" s="127" t="n"/>
      <c r="E3439" s="227" t="n"/>
      <c r="F3439" s="227" t="n"/>
      <c r="G3439" s="227" t="n"/>
      <c r="H3439" s="227" t="n"/>
      <c r="I3439" s="227" t="n"/>
      <c r="J3439" s="227" t="n"/>
      <c r="K3439" s="227" t="n"/>
      <c r="L3439" s="227" t="n"/>
      <c r="M3439" s="227" t="n"/>
      <c r="N3439" s="127" t="n"/>
      <c r="O3439" s="227" t="n"/>
      <c r="P3439" s="227" t="n"/>
      <c r="Q3439" s="227" t="n"/>
      <c r="R3439" s="227" t="n"/>
      <c r="S3439" s="227" t="n"/>
      <c r="T3439" s="227" t="n"/>
    </row>
    <row r="3440">
      <c r="A3440" s="145">
        <f>IF($B3440="","",ROW()-5)</f>
        <v/>
      </c>
      <c r="B3440" s="127" t="n"/>
      <c r="C3440" s="223" t="n"/>
      <c r="D3440" s="127" t="n"/>
      <c r="E3440" s="227" t="n"/>
      <c r="F3440" s="227" t="n"/>
      <c r="G3440" s="227" t="n"/>
      <c r="H3440" s="227" t="n"/>
      <c r="I3440" s="227" t="n"/>
      <c r="J3440" s="227" t="n"/>
      <c r="K3440" s="227" t="n"/>
      <c r="L3440" s="227" t="n"/>
      <c r="M3440" s="227" t="n"/>
      <c r="N3440" s="127" t="n"/>
      <c r="O3440" s="227" t="n"/>
      <c r="P3440" s="227" t="n"/>
      <c r="Q3440" s="227" t="n"/>
      <c r="R3440" s="227" t="n"/>
      <c r="S3440" s="227" t="n"/>
      <c r="T3440" s="227" t="n"/>
    </row>
    <row r="3441">
      <c r="A3441" s="145">
        <f>IF($B3441="","",ROW()-5)</f>
        <v/>
      </c>
      <c r="B3441" s="127" t="n"/>
      <c r="C3441" s="223" t="n"/>
      <c r="D3441" s="127" t="n"/>
      <c r="E3441" s="227" t="n"/>
      <c r="F3441" s="227" t="n"/>
      <c r="G3441" s="227" t="n"/>
      <c r="H3441" s="227" t="n"/>
      <c r="I3441" s="227" t="n"/>
      <c r="J3441" s="227" t="n"/>
      <c r="K3441" s="227" t="n"/>
      <c r="L3441" s="227" t="n"/>
      <c r="M3441" s="227" t="n"/>
      <c r="N3441" s="127" t="n"/>
      <c r="O3441" s="227" t="n"/>
      <c r="P3441" s="227" t="n"/>
      <c r="Q3441" s="227" t="n"/>
      <c r="R3441" s="227" t="n"/>
      <c r="S3441" s="227" t="n"/>
      <c r="T3441" s="227" t="n"/>
    </row>
    <row r="3442">
      <c r="A3442" s="145">
        <f>IF($B3442="","",ROW()-5)</f>
        <v/>
      </c>
      <c r="B3442" s="127" t="n"/>
      <c r="C3442" s="223" t="n"/>
      <c r="D3442" s="127" t="n"/>
      <c r="E3442" s="227" t="n"/>
      <c r="F3442" s="227" t="n"/>
      <c r="G3442" s="227" t="n"/>
      <c r="H3442" s="227" t="n"/>
      <c r="I3442" s="227" t="n"/>
      <c r="J3442" s="227" t="n"/>
      <c r="K3442" s="227" t="n"/>
      <c r="L3442" s="227" t="n"/>
      <c r="M3442" s="227" t="n"/>
      <c r="N3442" s="127" t="n"/>
      <c r="O3442" s="227" t="n"/>
      <c r="P3442" s="227" t="n"/>
      <c r="Q3442" s="227" t="n"/>
      <c r="R3442" s="227" t="n"/>
      <c r="S3442" s="227" t="n"/>
      <c r="T3442" s="227" t="n"/>
    </row>
    <row r="3443">
      <c r="A3443" s="145">
        <f>IF($B3443="","",ROW()-5)</f>
        <v/>
      </c>
      <c r="B3443" s="127" t="n"/>
      <c r="C3443" s="223" t="n"/>
      <c r="D3443" s="127" t="n"/>
      <c r="E3443" s="227" t="n"/>
      <c r="F3443" s="227" t="n"/>
      <c r="G3443" s="227" t="n"/>
      <c r="H3443" s="227" t="n"/>
      <c r="I3443" s="227" t="n"/>
      <c r="J3443" s="227" t="n"/>
      <c r="K3443" s="227" t="n"/>
      <c r="L3443" s="227" t="n"/>
      <c r="M3443" s="227" t="n"/>
      <c r="N3443" s="127" t="n"/>
      <c r="O3443" s="227" t="n"/>
      <c r="P3443" s="227" t="n"/>
      <c r="Q3443" s="227" t="n"/>
      <c r="R3443" s="227" t="n"/>
      <c r="S3443" s="227" t="n"/>
      <c r="T3443" s="227" t="n"/>
    </row>
    <row r="3444">
      <c r="A3444" s="145">
        <f>IF($B3444="","",ROW()-5)</f>
        <v/>
      </c>
      <c r="B3444" s="127" t="n"/>
      <c r="C3444" s="223" t="n"/>
      <c r="D3444" s="127" t="n"/>
      <c r="E3444" s="227" t="n"/>
      <c r="F3444" s="227" t="n"/>
      <c r="G3444" s="227" t="n"/>
      <c r="H3444" s="227" t="n"/>
      <c r="I3444" s="227" t="n"/>
      <c r="J3444" s="227" t="n"/>
      <c r="K3444" s="227" t="n"/>
      <c r="L3444" s="227" t="n"/>
      <c r="M3444" s="227" t="n"/>
      <c r="N3444" s="127" t="n"/>
      <c r="O3444" s="227" t="n"/>
      <c r="P3444" s="227" t="n"/>
      <c r="Q3444" s="227" t="n"/>
      <c r="R3444" s="227" t="n"/>
      <c r="S3444" s="227" t="n"/>
      <c r="T3444" s="227" t="n"/>
    </row>
    <row r="3445">
      <c r="A3445" s="145">
        <f>IF($B3445="","",ROW()-5)</f>
        <v/>
      </c>
      <c r="B3445" s="127" t="n"/>
      <c r="C3445" s="223" t="n"/>
      <c r="D3445" s="127" t="n"/>
      <c r="E3445" s="227" t="n"/>
      <c r="F3445" s="227" t="n"/>
      <c r="G3445" s="227" t="n"/>
      <c r="H3445" s="227" t="n"/>
      <c r="I3445" s="227" t="n"/>
      <c r="J3445" s="227" t="n"/>
      <c r="K3445" s="227" t="n"/>
      <c r="L3445" s="227" t="n"/>
      <c r="M3445" s="227" t="n"/>
      <c r="N3445" s="127" t="n"/>
      <c r="O3445" s="227" t="n"/>
      <c r="P3445" s="227" t="n"/>
      <c r="Q3445" s="227" t="n"/>
      <c r="R3445" s="227" t="n"/>
      <c r="S3445" s="227" t="n"/>
      <c r="T3445" s="227" t="n"/>
    </row>
    <row r="3446">
      <c r="A3446" s="145">
        <f>IF($B3446="","",ROW()-5)</f>
        <v/>
      </c>
      <c r="B3446" s="127" t="n"/>
      <c r="C3446" s="223" t="n"/>
      <c r="D3446" s="127" t="n"/>
      <c r="E3446" s="227" t="n"/>
      <c r="F3446" s="227" t="n"/>
      <c r="G3446" s="227" t="n"/>
      <c r="H3446" s="227" t="n"/>
      <c r="I3446" s="227" t="n"/>
      <c r="J3446" s="227" t="n"/>
      <c r="K3446" s="227" t="n"/>
      <c r="L3446" s="227" t="n"/>
      <c r="M3446" s="227" t="n"/>
      <c r="N3446" s="127" t="n"/>
      <c r="O3446" s="227" t="n"/>
      <c r="P3446" s="227" t="n"/>
      <c r="Q3446" s="227" t="n"/>
      <c r="R3446" s="227" t="n"/>
      <c r="S3446" s="227" t="n"/>
      <c r="T3446" s="227" t="n"/>
    </row>
    <row r="3447">
      <c r="A3447" s="145">
        <f>IF($B3447="","",ROW()-5)</f>
        <v/>
      </c>
      <c r="B3447" s="127" t="n"/>
      <c r="C3447" s="223" t="n"/>
      <c r="D3447" s="127" t="n"/>
      <c r="E3447" s="227" t="n"/>
      <c r="F3447" s="227" t="n"/>
      <c r="G3447" s="227" t="n"/>
      <c r="H3447" s="227" t="n"/>
      <c r="I3447" s="227" t="n"/>
      <c r="J3447" s="227" t="n"/>
      <c r="K3447" s="227" t="n"/>
      <c r="L3447" s="227" t="n"/>
      <c r="M3447" s="227" t="n"/>
      <c r="N3447" s="127" t="n"/>
      <c r="O3447" s="227" t="n"/>
      <c r="P3447" s="227" t="n"/>
      <c r="Q3447" s="227" t="n"/>
      <c r="R3447" s="227" t="n"/>
      <c r="S3447" s="227" t="n"/>
      <c r="T3447" s="227" t="n"/>
    </row>
    <row r="3448">
      <c r="A3448" s="145">
        <f>IF($B3448="","",ROW()-5)</f>
        <v/>
      </c>
      <c r="B3448" s="127" t="n"/>
      <c r="C3448" s="223" t="n"/>
      <c r="D3448" s="127" t="n"/>
      <c r="E3448" s="227" t="n"/>
      <c r="F3448" s="227" t="n"/>
      <c r="G3448" s="227" t="n"/>
      <c r="H3448" s="227" t="n"/>
      <c r="I3448" s="227" t="n"/>
      <c r="J3448" s="227" t="n"/>
      <c r="K3448" s="227" t="n"/>
      <c r="L3448" s="227" t="n"/>
      <c r="M3448" s="227" t="n"/>
      <c r="N3448" s="127" t="n"/>
      <c r="O3448" s="227" t="n"/>
      <c r="P3448" s="227" t="n"/>
      <c r="Q3448" s="227" t="n"/>
      <c r="R3448" s="227" t="n"/>
      <c r="S3448" s="227" t="n"/>
      <c r="T3448" s="227" t="n"/>
    </row>
    <row r="3449">
      <c r="A3449" s="145">
        <f>IF($B3449="","",ROW()-5)</f>
        <v/>
      </c>
      <c r="B3449" s="127" t="n"/>
      <c r="C3449" s="223" t="n"/>
      <c r="D3449" s="127" t="n"/>
      <c r="E3449" s="227" t="n"/>
      <c r="F3449" s="227" t="n"/>
      <c r="G3449" s="227" t="n"/>
      <c r="H3449" s="227" t="n"/>
      <c r="I3449" s="227" t="n"/>
      <c r="J3449" s="227" t="n"/>
      <c r="K3449" s="227" t="n"/>
      <c r="L3449" s="227" t="n"/>
      <c r="M3449" s="227" t="n"/>
      <c r="N3449" s="127" t="n"/>
      <c r="O3449" s="227" t="n"/>
      <c r="P3449" s="227" t="n"/>
      <c r="Q3449" s="227" t="n"/>
      <c r="R3449" s="227" t="n"/>
      <c r="S3449" s="227" t="n"/>
      <c r="T3449" s="227" t="n"/>
    </row>
    <row r="3450">
      <c r="A3450" s="145">
        <f>IF($B3450="","",ROW()-5)</f>
        <v/>
      </c>
      <c r="B3450" s="127" t="n"/>
      <c r="C3450" s="223" t="n"/>
      <c r="D3450" s="127" t="n"/>
      <c r="E3450" s="227" t="n"/>
      <c r="F3450" s="227" t="n"/>
      <c r="G3450" s="227" t="n"/>
      <c r="H3450" s="227" t="n"/>
      <c r="I3450" s="227" t="n"/>
      <c r="J3450" s="227" t="n"/>
      <c r="K3450" s="227" t="n"/>
      <c r="L3450" s="227" t="n"/>
      <c r="M3450" s="227" t="n"/>
      <c r="N3450" s="127" t="n"/>
      <c r="O3450" s="227" t="n"/>
      <c r="P3450" s="227" t="n"/>
      <c r="Q3450" s="227" t="n"/>
      <c r="R3450" s="227" t="n"/>
      <c r="S3450" s="227" t="n"/>
      <c r="T3450" s="227" t="n"/>
    </row>
    <row r="3451">
      <c r="A3451" s="145">
        <f>IF($B3451="","",ROW()-5)</f>
        <v/>
      </c>
      <c r="B3451" s="127" t="n"/>
      <c r="C3451" s="223" t="n"/>
      <c r="D3451" s="127" t="n"/>
      <c r="E3451" s="227" t="n"/>
      <c r="F3451" s="227" t="n"/>
      <c r="G3451" s="227" t="n"/>
      <c r="H3451" s="227" t="n"/>
      <c r="I3451" s="227" t="n"/>
      <c r="J3451" s="227" t="n"/>
      <c r="K3451" s="227" t="n"/>
      <c r="L3451" s="227" t="n"/>
      <c r="M3451" s="227" t="n"/>
      <c r="N3451" s="127" t="n"/>
      <c r="O3451" s="227" t="n"/>
      <c r="P3451" s="227" t="n"/>
      <c r="Q3451" s="227" t="n"/>
      <c r="R3451" s="227" t="n"/>
      <c r="S3451" s="227" t="n"/>
      <c r="T3451" s="227" t="n"/>
    </row>
    <row r="3452">
      <c r="A3452" s="145">
        <f>IF($B3452="","",ROW()-5)</f>
        <v/>
      </c>
      <c r="B3452" s="127" t="n"/>
      <c r="C3452" s="223" t="n"/>
      <c r="D3452" s="127" t="n"/>
      <c r="E3452" s="227" t="n"/>
      <c r="F3452" s="227" t="n"/>
      <c r="G3452" s="227" t="n"/>
      <c r="H3452" s="227" t="n"/>
      <c r="I3452" s="227" t="n"/>
      <c r="J3452" s="227" t="n"/>
      <c r="K3452" s="227" t="n"/>
      <c r="L3452" s="227" t="n"/>
      <c r="M3452" s="227" t="n"/>
      <c r="N3452" s="127" t="n"/>
      <c r="O3452" s="227" t="n"/>
      <c r="P3452" s="227" t="n"/>
      <c r="Q3452" s="227" t="n"/>
      <c r="R3452" s="227" t="n"/>
      <c r="S3452" s="227" t="n"/>
      <c r="T3452" s="227" t="n"/>
    </row>
    <row r="3453">
      <c r="A3453" s="145">
        <f>IF($B3453="","",ROW()-5)</f>
        <v/>
      </c>
      <c r="B3453" s="127" t="n"/>
      <c r="C3453" s="223" t="n"/>
      <c r="D3453" s="127" t="n"/>
      <c r="E3453" s="227" t="n"/>
      <c r="F3453" s="227" t="n"/>
      <c r="G3453" s="227" t="n"/>
      <c r="H3453" s="227" t="n"/>
      <c r="I3453" s="227" t="n"/>
      <c r="J3453" s="227" t="n"/>
      <c r="K3453" s="227" t="n"/>
      <c r="L3453" s="227" t="n"/>
      <c r="M3453" s="227" t="n"/>
      <c r="N3453" s="127" t="n"/>
      <c r="O3453" s="227" t="n"/>
      <c r="P3453" s="227" t="n"/>
      <c r="Q3453" s="227" t="n"/>
      <c r="R3453" s="227" t="n"/>
      <c r="S3453" s="227" t="n"/>
      <c r="T3453" s="227" t="n"/>
    </row>
    <row r="3454">
      <c r="A3454" s="145">
        <f>IF($B3454="","",ROW()-5)</f>
        <v/>
      </c>
      <c r="B3454" s="127" t="n"/>
      <c r="C3454" s="223" t="n"/>
      <c r="D3454" s="127" t="n"/>
      <c r="E3454" s="227" t="n"/>
      <c r="F3454" s="227" t="n"/>
      <c r="G3454" s="227" t="n"/>
      <c r="H3454" s="227" t="n"/>
      <c r="I3454" s="227" t="n"/>
      <c r="J3454" s="227" t="n"/>
      <c r="K3454" s="227" t="n"/>
      <c r="L3454" s="227" t="n"/>
      <c r="M3454" s="227" t="n"/>
      <c r="N3454" s="127" t="n"/>
      <c r="O3454" s="227" t="n"/>
      <c r="P3454" s="227" t="n"/>
      <c r="Q3454" s="227" t="n"/>
      <c r="R3454" s="227" t="n"/>
      <c r="S3454" s="227" t="n"/>
      <c r="T3454" s="227" t="n"/>
    </row>
    <row r="3455">
      <c r="A3455" s="145">
        <f>IF($B3455="","",ROW()-5)</f>
        <v/>
      </c>
      <c r="B3455" s="127" t="n"/>
      <c r="C3455" s="223" t="n"/>
      <c r="D3455" s="127" t="n"/>
      <c r="E3455" s="227" t="n"/>
      <c r="F3455" s="227" t="n"/>
      <c r="G3455" s="227" t="n"/>
      <c r="H3455" s="227" t="n"/>
      <c r="I3455" s="227" t="n"/>
      <c r="J3455" s="227" t="n"/>
      <c r="K3455" s="227" t="n"/>
      <c r="L3455" s="227" t="n"/>
      <c r="M3455" s="227" t="n"/>
      <c r="N3455" s="127" t="n"/>
      <c r="O3455" s="227" t="n"/>
      <c r="P3455" s="227" t="n"/>
      <c r="Q3455" s="227" t="n"/>
      <c r="R3455" s="227" t="n"/>
      <c r="S3455" s="227" t="n"/>
      <c r="T3455" s="227" t="n"/>
    </row>
    <row r="3456">
      <c r="A3456" s="145">
        <f>IF($B3456="","",ROW()-5)</f>
        <v/>
      </c>
      <c r="B3456" s="127" t="n"/>
      <c r="C3456" s="223" t="n"/>
      <c r="D3456" s="127" t="n"/>
      <c r="E3456" s="227" t="n"/>
      <c r="F3456" s="227" t="n"/>
      <c r="G3456" s="227" t="n"/>
      <c r="H3456" s="227" t="n"/>
      <c r="I3456" s="227" t="n"/>
      <c r="J3456" s="227" t="n"/>
      <c r="K3456" s="227" t="n"/>
      <c r="L3456" s="227" t="n"/>
      <c r="M3456" s="227" t="n"/>
      <c r="N3456" s="127" t="n"/>
      <c r="O3456" s="227" t="n"/>
      <c r="P3456" s="227" t="n"/>
      <c r="Q3456" s="227" t="n"/>
      <c r="R3456" s="227" t="n"/>
      <c r="S3456" s="227" t="n"/>
      <c r="T3456" s="227" t="n"/>
    </row>
    <row r="3457">
      <c r="A3457" s="145">
        <f>IF($B3457="","",ROW()-5)</f>
        <v/>
      </c>
      <c r="B3457" s="127" t="n"/>
      <c r="C3457" s="223" t="n"/>
      <c r="D3457" s="127" t="n"/>
      <c r="E3457" s="227" t="n"/>
      <c r="F3457" s="227" t="n"/>
      <c r="G3457" s="227" t="n"/>
      <c r="H3457" s="227" t="n"/>
      <c r="I3457" s="227" t="n"/>
      <c r="J3457" s="227" t="n"/>
      <c r="K3457" s="227" t="n"/>
      <c r="L3457" s="227" t="n"/>
      <c r="M3457" s="227" t="n"/>
      <c r="N3457" s="127" t="n"/>
      <c r="O3457" s="227" t="n"/>
      <c r="P3457" s="227" t="n"/>
      <c r="Q3457" s="227" t="n"/>
      <c r="R3457" s="227" t="n"/>
      <c r="S3457" s="227" t="n"/>
      <c r="T3457" s="227" t="n"/>
    </row>
    <row r="3458">
      <c r="A3458" s="145">
        <f>IF($B3458="","",ROW()-5)</f>
        <v/>
      </c>
      <c r="B3458" s="127" t="n"/>
      <c r="C3458" s="223" t="n"/>
      <c r="D3458" s="127" t="n"/>
      <c r="E3458" s="227" t="n"/>
      <c r="F3458" s="227" t="n"/>
      <c r="G3458" s="227" t="n"/>
      <c r="H3458" s="227" t="n"/>
      <c r="I3458" s="227" t="n"/>
      <c r="J3458" s="227" t="n"/>
      <c r="K3458" s="227" t="n"/>
      <c r="L3458" s="227" t="n"/>
      <c r="M3458" s="227" t="n"/>
      <c r="N3458" s="127" t="n"/>
      <c r="O3458" s="227" t="n"/>
      <c r="P3458" s="227" t="n"/>
      <c r="Q3458" s="227" t="n"/>
      <c r="R3458" s="227" t="n"/>
      <c r="S3458" s="227" t="n"/>
      <c r="T3458" s="227" t="n"/>
    </row>
    <row r="3459">
      <c r="A3459" s="145">
        <f>IF($B3459="","",ROW()-5)</f>
        <v/>
      </c>
      <c r="B3459" s="127" t="n"/>
      <c r="C3459" s="223" t="n"/>
      <c r="D3459" s="127" t="n"/>
      <c r="E3459" s="227" t="n"/>
      <c r="F3459" s="227" t="n"/>
      <c r="G3459" s="227" t="n"/>
      <c r="H3459" s="227" t="n"/>
      <c r="I3459" s="227" t="n"/>
      <c r="J3459" s="227" t="n"/>
      <c r="K3459" s="227" t="n"/>
      <c r="L3459" s="227" t="n"/>
      <c r="M3459" s="227" t="n"/>
      <c r="N3459" s="127" t="n"/>
      <c r="O3459" s="227" t="n"/>
      <c r="P3459" s="227" t="n"/>
      <c r="Q3459" s="227" t="n"/>
      <c r="R3459" s="227" t="n"/>
      <c r="S3459" s="227" t="n"/>
      <c r="T3459" s="227" t="n"/>
    </row>
    <row r="3460">
      <c r="A3460" s="145">
        <f>IF($B3460="","",ROW()-5)</f>
        <v/>
      </c>
      <c r="B3460" s="127" t="n"/>
      <c r="C3460" s="223" t="n"/>
      <c r="D3460" s="127" t="n"/>
      <c r="E3460" s="227" t="n"/>
      <c r="F3460" s="227" t="n"/>
      <c r="G3460" s="227" t="n"/>
      <c r="H3460" s="227" t="n"/>
      <c r="I3460" s="227" t="n"/>
      <c r="J3460" s="227" t="n"/>
      <c r="K3460" s="227" t="n"/>
      <c r="L3460" s="227" t="n"/>
      <c r="M3460" s="227" t="n"/>
      <c r="N3460" s="127" t="n"/>
      <c r="O3460" s="227" t="n"/>
      <c r="P3460" s="227" t="n"/>
      <c r="Q3460" s="227" t="n"/>
      <c r="R3460" s="227" t="n"/>
      <c r="S3460" s="227" t="n"/>
      <c r="T3460" s="227" t="n"/>
    </row>
    <row r="3461">
      <c r="A3461" s="145">
        <f>IF($B3461="","",ROW()-5)</f>
        <v/>
      </c>
      <c r="B3461" s="127" t="n"/>
      <c r="C3461" s="223" t="n"/>
      <c r="D3461" s="127" t="n"/>
      <c r="E3461" s="227" t="n"/>
      <c r="F3461" s="227" t="n"/>
      <c r="G3461" s="227" t="n"/>
      <c r="H3461" s="227" t="n"/>
      <c r="I3461" s="227" t="n"/>
      <c r="J3461" s="227" t="n"/>
      <c r="K3461" s="227" t="n"/>
      <c r="L3461" s="227" t="n"/>
      <c r="M3461" s="227" t="n"/>
      <c r="N3461" s="127" t="n"/>
      <c r="O3461" s="227" t="n"/>
      <c r="P3461" s="227" t="n"/>
      <c r="Q3461" s="227" t="n"/>
      <c r="R3461" s="227" t="n"/>
      <c r="S3461" s="227" t="n"/>
      <c r="T3461" s="227" t="n"/>
    </row>
    <row r="3462">
      <c r="A3462" s="145">
        <f>IF($B3462="","",ROW()-5)</f>
        <v/>
      </c>
      <c r="B3462" s="127" t="n"/>
      <c r="C3462" s="223" t="n"/>
      <c r="D3462" s="127" t="n"/>
      <c r="E3462" s="227" t="n"/>
      <c r="F3462" s="227" t="n"/>
      <c r="G3462" s="227" t="n"/>
      <c r="H3462" s="227" t="n"/>
      <c r="I3462" s="227" t="n"/>
      <c r="J3462" s="227" t="n"/>
      <c r="K3462" s="227" t="n"/>
      <c r="L3462" s="227" t="n"/>
      <c r="M3462" s="227" t="n"/>
      <c r="N3462" s="127" t="n"/>
      <c r="O3462" s="227" t="n"/>
      <c r="P3462" s="227" t="n"/>
      <c r="Q3462" s="227" t="n"/>
      <c r="R3462" s="227" t="n"/>
      <c r="S3462" s="227" t="n"/>
      <c r="T3462" s="227" t="n"/>
    </row>
    <row r="3463">
      <c r="A3463" s="145">
        <f>IF($B3463="","",ROW()-5)</f>
        <v/>
      </c>
      <c r="B3463" s="127" t="n"/>
      <c r="C3463" s="223" t="n"/>
      <c r="D3463" s="127" t="n"/>
      <c r="E3463" s="227" t="n"/>
      <c r="F3463" s="227" t="n"/>
      <c r="G3463" s="227" t="n"/>
      <c r="H3463" s="227" t="n"/>
      <c r="I3463" s="227" t="n"/>
      <c r="J3463" s="227" t="n"/>
      <c r="K3463" s="227" t="n"/>
      <c r="L3463" s="227" t="n"/>
      <c r="M3463" s="227" t="n"/>
      <c r="N3463" s="127" t="n"/>
      <c r="O3463" s="227" t="n"/>
      <c r="P3463" s="227" t="n"/>
      <c r="Q3463" s="227" t="n"/>
      <c r="R3463" s="227" t="n"/>
      <c r="S3463" s="227" t="n"/>
      <c r="T3463" s="227" t="n"/>
    </row>
    <row r="3464">
      <c r="A3464" s="145">
        <f>IF($B3464="","",ROW()-5)</f>
        <v/>
      </c>
      <c r="B3464" s="127" t="n"/>
      <c r="C3464" s="223" t="n"/>
      <c r="D3464" s="127" t="n"/>
      <c r="E3464" s="227" t="n"/>
      <c r="F3464" s="227" t="n"/>
      <c r="G3464" s="227" t="n"/>
      <c r="H3464" s="227" t="n"/>
      <c r="I3464" s="227" t="n"/>
      <c r="J3464" s="227" t="n"/>
      <c r="K3464" s="227" t="n"/>
      <c r="L3464" s="227" t="n"/>
      <c r="M3464" s="227" t="n"/>
      <c r="N3464" s="127" t="n"/>
      <c r="O3464" s="227" t="n"/>
      <c r="P3464" s="227" t="n"/>
      <c r="Q3464" s="227" t="n"/>
      <c r="R3464" s="227" t="n"/>
      <c r="S3464" s="227" t="n"/>
      <c r="T3464" s="227" t="n"/>
    </row>
    <row r="3465">
      <c r="A3465" s="145">
        <f>IF($B3465="","",ROW()-5)</f>
        <v/>
      </c>
      <c r="B3465" s="127" t="n"/>
      <c r="C3465" s="223" t="n"/>
      <c r="D3465" s="127" t="n"/>
      <c r="E3465" s="227" t="n"/>
      <c r="F3465" s="227" t="n"/>
      <c r="G3465" s="227" t="n"/>
      <c r="H3465" s="227" t="n"/>
      <c r="I3465" s="227" t="n"/>
      <c r="J3465" s="227" t="n"/>
      <c r="K3465" s="227" t="n"/>
      <c r="L3465" s="227" t="n"/>
      <c r="M3465" s="227" t="n"/>
      <c r="N3465" s="127" t="n"/>
      <c r="O3465" s="227" t="n"/>
      <c r="P3465" s="227" t="n"/>
      <c r="Q3465" s="227" t="n"/>
      <c r="R3465" s="227" t="n"/>
      <c r="S3465" s="227" t="n"/>
      <c r="T3465" s="227" t="n"/>
    </row>
    <row r="3466">
      <c r="A3466" s="145">
        <f>IF($B3466="","",ROW()-5)</f>
        <v/>
      </c>
      <c r="B3466" s="127" t="n"/>
      <c r="C3466" s="223" t="n"/>
      <c r="D3466" s="127" t="n"/>
      <c r="E3466" s="227" t="n"/>
      <c r="F3466" s="227" t="n"/>
      <c r="G3466" s="227" t="n"/>
      <c r="H3466" s="227" t="n"/>
      <c r="I3466" s="227" t="n"/>
      <c r="J3466" s="227" t="n"/>
      <c r="K3466" s="227" t="n"/>
      <c r="L3466" s="227" t="n"/>
      <c r="M3466" s="227" t="n"/>
      <c r="N3466" s="127" t="n"/>
      <c r="O3466" s="227" t="n"/>
      <c r="P3466" s="227" t="n"/>
      <c r="Q3466" s="227" t="n"/>
      <c r="R3466" s="227" t="n"/>
      <c r="S3466" s="227" t="n"/>
      <c r="T3466" s="227" t="n"/>
    </row>
    <row r="3467">
      <c r="A3467" s="145">
        <f>IF($B3467="","",ROW()-5)</f>
        <v/>
      </c>
      <c r="B3467" s="127" t="n"/>
      <c r="C3467" s="223" t="n"/>
      <c r="D3467" s="127" t="n"/>
      <c r="E3467" s="227" t="n"/>
      <c r="F3467" s="227" t="n"/>
      <c r="G3467" s="227" t="n"/>
      <c r="H3467" s="227" t="n"/>
      <c r="I3467" s="227" t="n"/>
      <c r="J3467" s="227" t="n"/>
      <c r="K3467" s="227" t="n"/>
      <c r="L3467" s="227" t="n"/>
      <c r="M3467" s="227" t="n"/>
      <c r="N3467" s="127" t="n"/>
      <c r="O3467" s="227" t="n"/>
      <c r="P3467" s="227" t="n"/>
      <c r="Q3467" s="227" t="n"/>
      <c r="R3467" s="227" t="n"/>
      <c r="S3467" s="227" t="n"/>
      <c r="T3467" s="227" t="n"/>
    </row>
    <row r="3468">
      <c r="A3468" s="145">
        <f>IF($B3468="","",ROW()-5)</f>
        <v/>
      </c>
      <c r="B3468" s="127" t="n"/>
      <c r="C3468" s="223" t="n"/>
      <c r="D3468" s="127" t="n"/>
      <c r="E3468" s="227" t="n"/>
      <c r="F3468" s="227" t="n"/>
      <c r="G3468" s="227" t="n"/>
      <c r="H3468" s="227" t="n"/>
      <c r="I3468" s="227" t="n"/>
      <c r="J3468" s="227" t="n"/>
      <c r="K3468" s="227" t="n"/>
      <c r="L3468" s="227" t="n"/>
      <c r="M3468" s="227" t="n"/>
      <c r="N3468" s="127" t="n"/>
      <c r="O3468" s="227" t="n"/>
      <c r="P3468" s="227" t="n"/>
      <c r="Q3468" s="227" t="n"/>
      <c r="R3468" s="227" t="n"/>
      <c r="S3468" s="227" t="n"/>
      <c r="T3468" s="227" t="n"/>
    </row>
    <row r="3469">
      <c r="A3469" s="145">
        <f>IF($B3469="","",ROW()-5)</f>
        <v/>
      </c>
      <c r="B3469" s="127" t="n"/>
      <c r="C3469" s="223" t="n"/>
      <c r="D3469" s="127" t="n"/>
      <c r="E3469" s="227" t="n"/>
      <c r="F3469" s="227" t="n"/>
      <c r="G3469" s="227" t="n"/>
      <c r="H3469" s="227" t="n"/>
      <c r="I3469" s="227" t="n"/>
      <c r="J3469" s="227" t="n"/>
      <c r="K3469" s="227" t="n"/>
      <c r="L3469" s="227" t="n"/>
      <c r="M3469" s="227" t="n"/>
      <c r="N3469" s="127" t="n"/>
      <c r="O3469" s="227" t="n"/>
      <c r="P3469" s="227" t="n"/>
      <c r="Q3469" s="227" t="n"/>
      <c r="R3469" s="227" t="n"/>
      <c r="S3469" s="227" t="n"/>
      <c r="T3469" s="227" t="n"/>
    </row>
    <row r="3470">
      <c r="A3470" s="145">
        <f>IF($B3470="","",ROW()-5)</f>
        <v/>
      </c>
      <c r="B3470" s="127" t="n"/>
      <c r="C3470" s="223" t="n"/>
      <c r="D3470" s="127" t="n"/>
      <c r="E3470" s="227" t="n"/>
      <c r="F3470" s="227" t="n"/>
      <c r="G3470" s="227" t="n"/>
      <c r="H3470" s="227" t="n"/>
      <c r="I3470" s="227" t="n"/>
      <c r="J3470" s="227" t="n"/>
      <c r="K3470" s="227" t="n"/>
      <c r="L3470" s="227" t="n"/>
      <c r="M3470" s="227" t="n"/>
      <c r="N3470" s="127" t="n"/>
      <c r="O3470" s="227" t="n"/>
      <c r="P3470" s="227" t="n"/>
      <c r="Q3470" s="227" t="n"/>
      <c r="R3470" s="227" t="n"/>
      <c r="S3470" s="227" t="n"/>
      <c r="T3470" s="227" t="n"/>
    </row>
    <row r="3471">
      <c r="A3471" s="145">
        <f>IF($B3471="","",ROW()-5)</f>
        <v/>
      </c>
      <c r="B3471" s="127" t="n"/>
      <c r="C3471" s="223" t="n"/>
      <c r="D3471" s="127" t="n"/>
      <c r="E3471" s="227" t="n"/>
      <c r="F3471" s="227" t="n"/>
      <c r="G3471" s="227" t="n"/>
      <c r="H3471" s="227" t="n"/>
      <c r="I3471" s="227" t="n"/>
      <c r="J3471" s="227" t="n"/>
      <c r="K3471" s="227" t="n"/>
      <c r="L3471" s="227" t="n"/>
      <c r="M3471" s="227" t="n"/>
      <c r="N3471" s="127" t="n"/>
      <c r="O3471" s="227" t="n"/>
      <c r="P3471" s="227" t="n"/>
      <c r="Q3471" s="227" t="n"/>
      <c r="R3471" s="227" t="n"/>
      <c r="S3471" s="227" t="n"/>
      <c r="T3471" s="227" t="n"/>
    </row>
    <row r="3472">
      <c r="A3472" s="145">
        <f>IF($B3472="","",ROW()-5)</f>
        <v/>
      </c>
      <c r="B3472" s="127" t="n"/>
      <c r="C3472" s="223" t="n"/>
      <c r="D3472" s="127" t="n"/>
      <c r="E3472" s="227" t="n"/>
      <c r="F3472" s="227" t="n"/>
      <c r="G3472" s="227" t="n"/>
      <c r="H3472" s="227" t="n"/>
      <c r="I3472" s="227" t="n"/>
      <c r="J3472" s="227" t="n"/>
      <c r="K3472" s="227" t="n"/>
      <c r="L3472" s="227" t="n"/>
      <c r="M3472" s="227" t="n"/>
      <c r="N3472" s="127" t="n"/>
      <c r="O3472" s="227" t="n"/>
      <c r="P3472" s="227" t="n"/>
      <c r="Q3472" s="227" t="n"/>
      <c r="R3472" s="227" t="n"/>
      <c r="S3472" s="227" t="n"/>
      <c r="T3472" s="227" t="n"/>
    </row>
    <row r="3473">
      <c r="A3473" s="145">
        <f>IF($B3473="","",ROW()-5)</f>
        <v/>
      </c>
      <c r="B3473" s="127" t="n"/>
      <c r="C3473" s="223" t="n"/>
      <c r="D3473" s="127" t="n"/>
      <c r="E3473" s="227" t="n"/>
      <c r="F3473" s="227" t="n"/>
      <c r="G3473" s="227" t="n"/>
      <c r="H3473" s="227" t="n"/>
      <c r="I3473" s="227" t="n"/>
      <c r="J3473" s="227" t="n"/>
      <c r="K3473" s="227" t="n"/>
      <c r="L3473" s="227" t="n"/>
      <c r="M3473" s="227" t="n"/>
      <c r="N3473" s="127" t="n"/>
      <c r="O3473" s="227" t="n"/>
      <c r="P3473" s="227" t="n"/>
      <c r="Q3473" s="227" t="n"/>
      <c r="R3473" s="227" t="n"/>
      <c r="S3473" s="227" t="n"/>
      <c r="T3473" s="227" t="n"/>
    </row>
    <row r="3474">
      <c r="A3474" s="145">
        <f>IF($B3474="","",ROW()-5)</f>
        <v/>
      </c>
      <c r="B3474" s="127" t="n"/>
      <c r="C3474" s="223" t="n"/>
      <c r="D3474" s="127" t="n"/>
      <c r="E3474" s="227" t="n"/>
      <c r="F3474" s="227" t="n"/>
      <c r="G3474" s="227" t="n"/>
      <c r="H3474" s="227" t="n"/>
      <c r="I3474" s="227" t="n"/>
      <c r="J3474" s="227" t="n"/>
      <c r="K3474" s="227" t="n"/>
      <c r="L3474" s="227" t="n"/>
      <c r="M3474" s="227" t="n"/>
      <c r="N3474" s="127" t="n"/>
      <c r="O3474" s="227" t="n"/>
      <c r="P3474" s="227" t="n"/>
      <c r="Q3474" s="227" t="n"/>
      <c r="R3474" s="227" t="n"/>
      <c r="S3474" s="227" t="n"/>
      <c r="T3474" s="227" t="n"/>
    </row>
    <row r="3475">
      <c r="A3475" s="145">
        <f>IF($B3475="","",ROW()-5)</f>
        <v/>
      </c>
      <c r="B3475" s="127" t="n"/>
      <c r="C3475" s="223" t="n"/>
      <c r="D3475" s="127" t="n"/>
      <c r="E3475" s="227" t="n"/>
      <c r="F3475" s="227" t="n"/>
      <c r="G3475" s="227" t="n"/>
      <c r="H3475" s="227" t="n"/>
      <c r="I3475" s="227" t="n"/>
      <c r="J3475" s="227" t="n"/>
      <c r="K3475" s="227" t="n"/>
      <c r="L3475" s="227" t="n"/>
      <c r="M3475" s="227" t="n"/>
      <c r="N3475" s="127" t="n"/>
      <c r="O3475" s="227" t="n"/>
      <c r="P3475" s="227" t="n"/>
      <c r="Q3475" s="227" t="n"/>
      <c r="R3475" s="227" t="n"/>
      <c r="S3475" s="227" t="n"/>
      <c r="T3475" s="227" t="n"/>
    </row>
    <row r="3476">
      <c r="A3476" s="145">
        <f>IF($B3476="","",ROW()-5)</f>
        <v/>
      </c>
      <c r="B3476" s="127" t="n"/>
      <c r="C3476" s="223" t="n"/>
      <c r="D3476" s="127" t="n"/>
      <c r="E3476" s="227" t="n"/>
      <c r="F3476" s="227" t="n"/>
      <c r="G3476" s="227" t="n"/>
      <c r="H3476" s="227" t="n"/>
      <c r="I3476" s="227" t="n"/>
      <c r="J3476" s="227" t="n"/>
      <c r="K3476" s="227" t="n"/>
      <c r="L3476" s="227" t="n"/>
      <c r="M3476" s="227" t="n"/>
      <c r="N3476" s="127" t="n"/>
      <c r="O3476" s="227" t="n"/>
      <c r="P3476" s="227" t="n"/>
      <c r="Q3476" s="227" t="n"/>
      <c r="R3476" s="227" t="n"/>
      <c r="S3476" s="227" t="n"/>
      <c r="T3476" s="227" t="n"/>
    </row>
    <row r="3477">
      <c r="A3477" s="145">
        <f>IF($B3477="","",ROW()-5)</f>
        <v/>
      </c>
      <c r="B3477" s="127" t="n"/>
      <c r="C3477" s="223" t="n"/>
      <c r="D3477" s="127" t="n"/>
      <c r="E3477" s="227" t="n"/>
      <c r="F3477" s="227" t="n"/>
      <c r="G3477" s="227" t="n"/>
      <c r="H3477" s="227" t="n"/>
      <c r="I3477" s="227" t="n"/>
      <c r="J3477" s="227" t="n"/>
      <c r="K3477" s="227" t="n"/>
      <c r="L3477" s="227" t="n"/>
      <c r="M3477" s="227" t="n"/>
      <c r="N3477" s="127" t="n"/>
      <c r="O3477" s="227" t="n"/>
      <c r="P3477" s="227" t="n"/>
      <c r="Q3477" s="227" t="n"/>
      <c r="R3477" s="227" t="n"/>
      <c r="S3477" s="227" t="n"/>
      <c r="T3477" s="227" t="n"/>
    </row>
    <row r="3478">
      <c r="A3478" s="145">
        <f>IF($B3478="","",ROW()-5)</f>
        <v/>
      </c>
      <c r="B3478" s="127" t="n"/>
      <c r="C3478" s="223" t="n"/>
      <c r="D3478" s="127" t="n"/>
      <c r="E3478" s="227" t="n"/>
      <c r="F3478" s="227" t="n"/>
      <c r="G3478" s="227" t="n"/>
      <c r="H3478" s="227" t="n"/>
      <c r="I3478" s="227" t="n"/>
      <c r="J3478" s="227" t="n"/>
      <c r="K3478" s="227" t="n"/>
      <c r="L3478" s="227" t="n"/>
      <c r="M3478" s="227" t="n"/>
      <c r="N3478" s="127" t="n"/>
      <c r="O3478" s="227" t="n"/>
      <c r="P3478" s="227" t="n"/>
      <c r="Q3478" s="227" t="n"/>
      <c r="R3478" s="227" t="n"/>
      <c r="S3478" s="227" t="n"/>
      <c r="T3478" s="227" t="n"/>
    </row>
    <row r="3479">
      <c r="A3479" s="145">
        <f>IF($B3479="","",ROW()-5)</f>
        <v/>
      </c>
      <c r="B3479" s="127" t="n"/>
      <c r="C3479" s="223" t="n"/>
      <c r="D3479" s="127" t="n"/>
      <c r="E3479" s="227" t="n"/>
      <c r="F3479" s="227" t="n"/>
      <c r="G3479" s="227" t="n"/>
      <c r="H3479" s="227" t="n"/>
      <c r="I3479" s="227" t="n"/>
      <c r="J3479" s="227" t="n"/>
      <c r="K3479" s="227" t="n"/>
      <c r="L3479" s="227" t="n"/>
      <c r="M3479" s="227" t="n"/>
      <c r="N3479" s="127" t="n"/>
      <c r="O3479" s="227" t="n"/>
      <c r="P3479" s="227" t="n"/>
      <c r="Q3479" s="227" t="n"/>
      <c r="R3479" s="227" t="n"/>
      <c r="S3479" s="227" t="n"/>
      <c r="T3479" s="227" t="n"/>
    </row>
    <row r="3480">
      <c r="A3480" s="145">
        <f>IF($B3480="","",ROW()-5)</f>
        <v/>
      </c>
      <c r="B3480" s="127" t="n"/>
      <c r="C3480" s="223" t="n"/>
      <c r="D3480" s="127" t="n"/>
      <c r="E3480" s="227" t="n"/>
      <c r="F3480" s="227" t="n"/>
      <c r="G3480" s="227" t="n"/>
      <c r="H3480" s="227" t="n"/>
      <c r="I3480" s="227" t="n"/>
      <c r="J3480" s="227" t="n"/>
      <c r="K3480" s="227" t="n"/>
      <c r="L3480" s="227" t="n"/>
      <c r="M3480" s="227" t="n"/>
      <c r="N3480" s="127" t="n"/>
      <c r="O3480" s="227" t="n"/>
      <c r="P3480" s="227" t="n"/>
      <c r="Q3480" s="227" t="n"/>
      <c r="R3480" s="227" t="n"/>
      <c r="S3480" s="227" t="n"/>
      <c r="T3480" s="227" t="n"/>
    </row>
    <row r="3481">
      <c r="A3481" s="145">
        <f>IF($B3481="","",ROW()-5)</f>
        <v/>
      </c>
      <c r="B3481" s="127" t="n"/>
      <c r="C3481" s="223" t="n"/>
      <c r="D3481" s="127" t="n"/>
      <c r="E3481" s="227" t="n"/>
      <c r="F3481" s="227" t="n"/>
      <c r="G3481" s="227" t="n"/>
      <c r="H3481" s="227" t="n"/>
      <c r="I3481" s="227" t="n"/>
      <c r="J3481" s="227" t="n"/>
      <c r="K3481" s="227" t="n"/>
      <c r="L3481" s="227" t="n"/>
      <c r="M3481" s="227" t="n"/>
      <c r="N3481" s="127" t="n"/>
      <c r="O3481" s="227" t="n"/>
      <c r="P3481" s="227" t="n"/>
      <c r="Q3481" s="227" t="n"/>
      <c r="R3481" s="227" t="n"/>
      <c r="S3481" s="227" t="n"/>
      <c r="T3481" s="227" t="n"/>
    </row>
    <row r="3482">
      <c r="A3482" s="145">
        <f>IF($B3482="","",ROW()-5)</f>
        <v/>
      </c>
      <c r="B3482" s="127" t="n"/>
      <c r="C3482" s="223" t="n"/>
      <c r="D3482" s="127" t="n"/>
      <c r="E3482" s="227" t="n"/>
      <c r="F3482" s="227" t="n"/>
      <c r="G3482" s="227" t="n"/>
      <c r="H3482" s="227" t="n"/>
      <c r="I3482" s="227" t="n"/>
      <c r="J3482" s="227" t="n"/>
      <c r="K3482" s="227" t="n"/>
      <c r="L3482" s="227" t="n"/>
      <c r="M3482" s="227" t="n"/>
      <c r="N3482" s="127" t="n"/>
      <c r="O3482" s="227" t="n"/>
      <c r="P3482" s="227" t="n"/>
      <c r="Q3482" s="227" t="n"/>
      <c r="R3482" s="227" t="n"/>
      <c r="S3482" s="227" t="n"/>
      <c r="T3482" s="227" t="n"/>
    </row>
    <row r="3483">
      <c r="A3483" s="145">
        <f>IF($B3483="","",ROW()-5)</f>
        <v/>
      </c>
      <c r="B3483" s="127" t="n"/>
      <c r="C3483" s="223" t="n"/>
      <c r="D3483" s="127" t="n"/>
      <c r="E3483" s="227" t="n"/>
      <c r="F3483" s="227" t="n"/>
      <c r="G3483" s="227" t="n"/>
      <c r="H3483" s="227" t="n"/>
      <c r="I3483" s="227" t="n"/>
      <c r="J3483" s="227" t="n"/>
      <c r="K3483" s="227" t="n"/>
      <c r="L3483" s="227" t="n"/>
      <c r="M3483" s="227" t="n"/>
      <c r="N3483" s="127" t="n"/>
      <c r="O3483" s="227" t="n"/>
      <c r="P3483" s="227" t="n"/>
      <c r="Q3483" s="227" t="n"/>
      <c r="R3483" s="227" t="n"/>
      <c r="S3483" s="227" t="n"/>
      <c r="T3483" s="227" t="n"/>
    </row>
    <row r="3484">
      <c r="A3484" s="145">
        <f>IF($B3484="","",ROW()-5)</f>
        <v/>
      </c>
      <c r="B3484" s="127" t="n"/>
      <c r="C3484" s="223" t="n"/>
      <c r="D3484" s="127" t="n"/>
      <c r="E3484" s="227" t="n"/>
      <c r="F3484" s="227" t="n"/>
      <c r="G3484" s="227" t="n"/>
      <c r="H3484" s="227" t="n"/>
      <c r="I3484" s="227" t="n"/>
      <c r="J3484" s="227" t="n"/>
      <c r="K3484" s="227" t="n"/>
      <c r="L3484" s="227" t="n"/>
      <c r="M3484" s="227" t="n"/>
      <c r="N3484" s="127" t="n"/>
      <c r="O3484" s="227" t="n"/>
      <c r="P3484" s="227" t="n"/>
      <c r="Q3484" s="227" t="n"/>
      <c r="R3484" s="227" t="n"/>
      <c r="S3484" s="227" t="n"/>
      <c r="T3484" s="227" t="n"/>
    </row>
    <row r="3485">
      <c r="A3485" s="145">
        <f>IF($B3485="","",ROW()-5)</f>
        <v/>
      </c>
      <c r="B3485" s="127" t="n"/>
      <c r="C3485" s="223" t="n"/>
      <c r="D3485" s="127" t="n"/>
      <c r="E3485" s="227" t="n"/>
      <c r="F3485" s="227" t="n"/>
      <c r="G3485" s="227" t="n"/>
      <c r="H3485" s="227" t="n"/>
      <c r="I3485" s="227" t="n"/>
      <c r="J3485" s="227" t="n"/>
      <c r="K3485" s="227" t="n"/>
      <c r="L3485" s="227" t="n"/>
      <c r="M3485" s="227" t="n"/>
      <c r="N3485" s="127" t="n"/>
      <c r="O3485" s="227" t="n"/>
      <c r="P3485" s="227" t="n"/>
      <c r="Q3485" s="227" t="n"/>
      <c r="R3485" s="227" t="n"/>
      <c r="S3485" s="227" t="n"/>
      <c r="T3485" s="227" t="n"/>
    </row>
    <row r="3486">
      <c r="A3486" s="145">
        <f>IF($B3486="","",ROW()-5)</f>
        <v/>
      </c>
      <c r="B3486" s="127" t="n"/>
      <c r="C3486" s="223" t="n"/>
      <c r="D3486" s="127" t="n"/>
      <c r="E3486" s="227" t="n"/>
      <c r="F3486" s="227" t="n"/>
      <c r="G3486" s="227" t="n"/>
      <c r="H3486" s="227" t="n"/>
      <c r="I3486" s="227" t="n"/>
      <c r="J3486" s="227" t="n"/>
      <c r="K3486" s="227" t="n"/>
      <c r="L3486" s="227" t="n"/>
      <c r="M3486" s="227" t="n"/>
      <c r="N3486" s="127" t="n"/>
      <c r="O3486" s="227" t="n"/>
      <c r="P3486" s="227" t="n"/>
      <c r="Q3486" s="227" t="n"/>
      <c r="R3486" s="227" t="n"/>
      <c r="S3486" s="227" t="n"/>
      <c r="T3486" s="227" t="n"/>
    </row>
    <row r="3487">
      <c r="A3487" s="145">
        <f>IF($B3487="","",ROW()-5)</f>
        <v/>
      </c>
      <c r="B3487" s="127" t="n"/>
      <c r="C3487" s="223" t="n"/>
      <c r="D3487" s="127" t="n"/>
      <c r="E3487" s="227" t="n"/>
      <c r="F3487" s="227" t="n"/>
      <c r="G3487" s="227" t="n"/>
      <c r="H3487" s="227" t="n"/>
      <c r="I3487" s="227" t="n"/>
      <c r="J3487" s="227" t="n"/>
      <c r="K3487" s="227" t="n"/>
      <c r="L3487" s="227" t="n"/>
      <c r="M3487" s="227" t="n"/>
      <c r="N3487" s="127" t="n"/>
      <c r="O3487" s="227" t="n"/>
      <c r="P3487" s="227" t="n"/>
      <c r="Q3487" s="227" t="n"/>
      <c r="R3487" s="227" t="n"/>
      <c r="S3487" s="227" t="n"/>
      <c r="T3487" s="227" t="n"/>
    </row>
    <row r="3488">
      <c r="A3488" s="145">
        <f>IF($B3488="","",ROW()-5)</f>
        <v/>
      </c>
      <c r="B3488" s="127" t="n"/>
      <c r="C3488" s="223" t="n"/>
      <c r="D3488" s="127" t="n"/>
      <c r="E3488" s="227" t="n"/>
      <c r="F3488" s="227" t="n"/>
      <c r="G3488" s="227" t="n"/>
      <c r="H3488" s="227" t="n"/>
      <c r="I3488" s="227" t="n"/>
      <c r="J3488" s="227" t="n"/>
      <c r="K3488" s="227" t="n"/>
      <c r="L3488" s="227" t="n"/>
      <c r="M3488" s="227" t="n"/>
      <c r="N3488" s="127" t="n"/>
      <c r="O3488" s="227" t="n"/>
      <c r="P3488" s="227" t="n"/>
      <c r="Q3488" s="227" t="n"/>
      <c r="R3488" s="227" t="n"/>
      <c r="S3488" s="227" t="n"/>
      <c r="T3488" s="227" t="n"/>
    </row>
    <row r="3489">
      <c r="A3489" s="145">
        <f>IF($B3489="","",ROW()-5)</f>
        <v/>
      </c>
      <c r="B3489" s="127" t="n"/>
      <c r="C3489" s="223" t="n"/>
      <c r="D3489" s="127" t="n"/>
      <c r="E3489" s="227" t="n"/>
      <c r="F3489" s="227" t="n"/>
      <c r="G3489" s="227" t="n"/>
      <c r="H3489" s="227" t="n"/>
      <c r="I3489" s="227" t="n"/>
      <c r="J3489" s="227" t="n"/>
      <c r="K3489" s="227" t="n"/>
      <c r="L3489" s="227" t="n"/>
      <c r="M3489" s="227" t="n"/>
      <c r="N3489" s="127" t="n"/>
      <c r="O3489" s="227" t="n"/>
      <c r="P3489" s="227" t="n"/>
      <c r="Q3489" s="227" t="n"/>
      <c r="R3489" s="227" t="n"/>
      <c r="S3489" s="227" t="n"/>
      <c r="T3489" s="227" t="n"/>
    </row>
    <row r="3490">
      <c r="A3490" s="145">
        <f>IF($B3490="","",ROW()-5)</f>
        <v/>
      </c>
      <c r="B3490" s="127" t="n"/>
      <c r="C3490" s="223" t="n"/>
      <c r="D3490" s="127" t="n"/>
      <c r="E3490" s="227" t="n"/>
      <c r="F3490" s="227" t="n"/>
      <c r="G3490" s="227" t="n"/>
      <c r="H3490" s="227" t="n"/>
      <c r="I3490" s="227" t="n"/>
      <c r="J3490" s="227" t="n"/>
      <c r="K3490" s="227" t="n"/>
      <c r="L3490" s="227" t="n"/>
      <c r="M3490" s="227" t="n"/>
      <c r="N3490" s="127" t="n"/>
      <c r="O3490" s="227" t="n"/>
      <c r="P3490" s="227" t="n"/>
      <c r="Q3490" s="227" t="n"/>
      <c r="R3490" s="227" t="n"/>
      <c r="S3490" s="227" t="n"/>
      <c r="T3490" s="227" t="n"/>
    </row>
    <row r="3491">
      <c r="A3491" s="145">
        <f>IF($B3491="","",ROW()-5)</f>
        <v/>
      </c>
      <c r="B3491" s="127" t="n"/>
      <c r="C3491" s="223" t="n"/>
      <c r="D3491" s="127" t="n"/>
      <c r="E3491" s="227" t="n"/>
      <c r="F3491" s="227" t="n"/>
      <c r="G3491" s="227" t="n"/>
      <c r="H3491" s="227" t="n"/>
      <c r="I3491" s="227" t="n"/>
      <c r="J3491" s="227" t="n"/>
      <c r="K3491" s="227" t="n"/>
      <c r="L3491" s="227" t="n"/>
      <c r="M3491" s="227" t="n"/>
      <c r="N3491" s="127" t="n"/>
      <c r="O3491" s="227" t="n"/>
      <c r="P3491" s="227" t="n"/>
      <c r="Q3491" s="227" t="n"/>
      <c r="R3491" s="227" t="n"/>
      <c r="S3491" s="227" t="n"/>
      <c r="T3491" s="227" t="n"/>
    </row>
    <row r="3492">
      <c r="A3492" s="145">
        <f>IF($B3492="","",ROW()-5)</f>
        <v/>
      </c>
      <c r="B3492" s="127" t="n"/>
      <c r="C3492" s="223" t="n"/>
      <c r="D3492" s="127" t="n"/>
      <c r="E3492" s="227" t="n"/>
      <c r="F3492" s="227" t="n"/>
      <c r="G3492" s="227" t="n"/>
      <c r="H3492" s="227" t="n"/>
      <c r="I3492" s="227" t="n"/>
      <c r="J3492" s="227" t="n"/>
      <c r="K3492" s="227" t="n"/>
      <c r="L3492" s="227" t="n"/>
      <c r="M3492" s="227" t="n"/>
      <c r="N3492" s="127" t="n"/>
      <c r="O3492" s="227" t="n"/>
      <c r="P3492" s="227" t="n"/>
      <c r="Q3492" s="227" t="n"/>
      <c r="R3492" s="227" t="n"/>
      <c r="S3492" s="227" t="n"/>
      <c r="T3492" s="227" t="n"/>
    </row>
    <row r="3493">
      <c r="A3493" s="145">
        <f>IF($B3493="","",ROW()-5)</f>
        <v/>
      </c>
      <c r="B3493" s="127" t="n"/>
      <c r="C3493" s="223" t="n"/>
      <c r="D3493" s="127" t="n"/>
      <c r="E3493" s="227" t="n"/>
      <c r="F3493" s="227" t="n"/>
      <c r="G3493" s="227" t="n"/>
      <c r="H3493" s="227" t="n"/>
      <c r="I3493" s="227" t="n"/>
      <c r="J3493" s="227" t="n"/>
      <c r="K3493" s="227" t="n"/>
      <c r="L3493" s="227" t="n"/>
      <c r="M3493" s="227" t="n"/>
      <c r="N3493" s="127" t="n"/>
      <c r="O3493" s="227" t="n"/>
      <c r="P3493" s="227" t="n"/>
      <c r="Q3493" s="227" t="n"/>
      <c r="R3493" s="227" t="n"/>
      <c r="S3493" s="227" t="n"/>
      <c r="T3493" s="227" t="n"/>
    </row>
    <row r="3494">
      <c r="A3494" s="145">
        <f>IF($B3494="","",ROW()-5)</f>
        <v/>
      </c>
      <c r="B3494" s="127" t="n"/>
      <c r="C3494" s="223" t="n"/>
      <c r="D3494" s="127" t="n"/>
      <c r="E3494" s="227" t="n"/>
      <c r="F3494" s="227" t="n"/>
      <c r="G3494" s="227" t="n"/>
      <c r="H3494" s="227" t="n"/>
      <c r="I3494" s="227" t="n"/>
      <c r="J3494" s="227" t="n"/>
      <c r="K3494" s="227" t="n"/>
      <c r="L3494" s="227" t="n"/>
      <c r="M3494" s="227" t="n"/>
      <c r="N3494" s="127" t="n"/>
      <c r="O3494" s="227" t="n"/>
      <c r="P3494" s="227" t="n"/>
      <c r="Q3494" s="227" t="n"/>
      <c r="R3494" s="227" t="n"/>
      <c r="S3494" s="227" t="n"/>
      <c r="T3494" s="227" t="n"/>
    </row>
    <row r="3495">
      <c r="A3495" s="145">
        <f>IF($B3495="","",ROW()-5)</f>
        <v/>
      </c>
      <c r="B3495" s="127" t="n"/>
      <c r="C3495" s="223" t="n"/>
      <c r="D3495" s="127" t="n"/>
      <c r="E3495" s="227" t="n"/>
      <c r="F3495" s="227" t="n"/>
      <c r="G3495" s="227" t="n"/>
      <c r="H3495" s="227" t="n"/>
      <c r="I3495" s="227" t="n"/>
      <c r="J3495" s="227" t="n"/>
      <c r="K3495" s="227" t="n"/>
      <c r="L3495" s="227" t="n"/>
      <c r="M3495" s="227" t="n"/>
      <c r="N3495" s="127" t="n"/>
      <c r="O3495" s="227" t="n"/>
      <c r="P3495" s="227" t="n"/>
      <c r="Q3495" s="227" t="n"/>
      <c r="R3495" s="227" t="n"/>
      <c r="S3495" s="227" t="n"/>
      <c r="T3495" s="227" t="n"/>
    </row>
    <row r="3496">
      <c r="A3496" s="145">
        <f>IF($B3496="","",ROW()-5)</f>
        <v/>
      </c>
      <c r="B3496" s="127" t="n"/>
      <c r="C3496" s="223" t="n"/>
      <c r="D3496" s="127" t="n"/>
      <c r="E3496" s="227" t="n"/>
      <c r="F3496" s="227" t="n"/>
      <c r="G3496" s="227" t="n"/>
      <c r="H3496" s="227" t="n"/>
      <c r="I3496" s="227" t="n"/>
      <c r="J3496" s="227" t="n"/>
      <c r="K3496" s="227" t="n"/>
      <c r="L3496" s="227" t="n"/>
      <c r="M3496" s="227" t="n"/>
      <c r="N3496" s="127" t="n"/>
      <c r="O3496" s="227" t="n"/>
      <c r="P3496" s="227" t="n"/>
      <c r="Q3496" s="227" t="n"/>
      <c r="R3496" s="227" t="n"/>
      <c r="S3496" s="227" t="n"/>
      <c r="T3496" s="227" t="n"/>
    </row>
    <row r="3497">
      <c r="A3497" s="145">
        <f>IF($B3497="","",ROW()-5)</f>
        <v/>
      </c>
      <c r="B3497" s="127" t="n"/>
      <c r="C3497" s="223" t="n"/>
      <c r="D3497" s="127" t="n"/>
      <c r="E3497" s="227" t="n"/>
      <c r="F3497" s="227" t="n"/>
      <c r="G3497" s="227" t="n"/>
      <c r="H3497" s="227" t="n"/>
      <c r="I3497" s="227" t="n"/>
      <c r="J3497" s="227" t="n"/>
      <c r="K3497" s="227" t="n"/>
      <c r="L3497" s="227" t="n"/>
      <c r="M3497" s="227" t="n"/>
      <c r="N3497" s="127" t="n"/>
      <c r="O3497" s="227" t="n"/>
      <c r="P3497" s="227" t="n"/>
      <c r="Q3497" s="227" t="n"/>
      <c r="R3497" s="227" t="n"/>
      <c r="S3497" s="227" t="n"/>
      <c r="T3497" s="227" t="n"/>
    </row>
    <row r="3498">
      <c r="A3498" s="145">
        <f>IF($B3498="","",ROW()-5)</f>
        <v/>
      </c>
      <c r="B3498" s="127" t="n"/>
      <c r="C3498" s="223" t="n"/>
      <c r="D3498" s="127" t="n"/>
      <c r="E3498" s="227" t="n"/>
      <c r="F3498" s="227" t="n"/>
      <c r="G3498" s="227" t="n"/>
      <c r="H3498" s="227" t="n"/>
      <c r="I3498" s="227" t="n"/>
      <c r="J3498" s="227" t="n"/>
      <c r="K3498" s="227" t="n"/>
      <c r="L3498" s="227" t="n"/>
      <c r="M3498" s="227" t="n"/>
      <c r="N3498" s="127" t="n"/>
      <c r="O3498" s="227" t="n"/>
      <c r="P3498" s="227" t="n"/>
      <c r="Q3498" s="227" t="n"/>
      <c r="R3498" s="227" t="n"/>
      <c r="S3498" s="227" t="n"/>
      <c r="T3498" s="227" t="n"/>
    </row>
    <row r="3499">
      <c r="A3499" s="145">
        <f>IF($B3499="","",ROW()-5)</f>
        <v/>
      </c>
      <c r="B3499" s="127" t="n"/>
      <c r="C3499" s="223" t="n"/>
      <c r="D3499" s="127" t="n"/>
      <c r="E3499" s="227" t="n"/>
      <c r="F3499" s="227" t="n"/>
      <c r="G3499" s="227" t="n"/>
      <c r="H3499" s="227" t="n"/>
      <c r="I3499" s="227" t="n"/>
      <c r="J3499" s="227" t="n"/>
      <c r="K3499" s="227" t="n"/>
      <c r="L3499" s="227" t="n"/>
      <c r="M3499" s="227" t="n"/>
      <c r="N3499" s="127" t="n"/>
      <c r="O3499" s="227" t="n"/>
      <c r="P3499" s="227" t="n"/>
      <c r="Q3499" s="227" t="n"/>
      <c r="R3499" s="227" t="n"/>
      <c r="S3499" s="227" t="n"/>
      <c r="T3499" s="227" t="n"/>
    </row>
    <row r="3500">
      <c r="A3500" s="145">
        <f>IF($B3500="","",ROW()-5)</f>
        <v/>
      </c>
      <c r="B3500" s="127" t="n"/>
      <c r="C3500" s="223" t="n"/>
      <c r="D3500" s="127" t="n"/>
      <c r="E3500" s="227" t="n"/>
      <c r="F3500" s="227" t="n"/>
      <c r="G3500" s="227" t="n"/>
      <c r="H3500" s="227" t="n"/>
      <c r="I3500" s="227" t="n"/>
      <c r="J3500" s="227" t="n"/>
      <c r="K3500" s="227" t="n"/>
      <c r="L3500" s="227" t="n"/>
      <c r="M3500" s="227" t="n"/>
      <c r="N3500" s="127" t="n"/>
      <c r="O3500" s="227" t="n"/>
      <c r="P3500" s="227" t="n"/>
      <c r="Q3500" s="227" t="n"/>
      <c r="R3500" s="227" t="n"/>
      <c r="S3500" s="227" t="n"/>
      <c r="T3500" s="227" t="n"/>
    </row>
    <row r="3501">
      <c r="A3501" s="145">
        <f>IF($B3501="","",ROW()-5)</f>
        <v/>
      </c>
      <c r="B3501" s="127" t="n"/>
      <c r="C3501" s="223" t="n"/>
      <c r="D3501" s="127" t="n"/>
      <c r="E3501" s="227" t="n"/>
      <c r="F3501" s="227" t="n"/>
      <c r="G3501" s="227" t="n"/>
      <c r="H3501" s="227" t="n"/>
      <c r="I3501" s="227" t="n"/>
      <c r="J3501" s="227" t="n"/>
      <c r="K3501" s="227" t="n"/>
      <c r="L3501" s="227" t="n"/>
      <c r="M3501" s="227" t="n"/>
      <c r="N3501" s="127" t="n"/>
      <c r="O3501" s="227" t="n"/>
      <c r="P3501" s="227" t="n"/>
      <c r="Q3501" s="227" t="n"/>
      <c r="R3501" s="227" t="n"/>
      <c r="S3501" s="227" t="n"/>
      <c r="T3501" s="227" t="n"/>
    </row>
    <row r="3502">
      <c r="A3502" s="145">
        <f>IF($B3502="","",ROW()-5)</f>
        <v/>
      </c>
      <c r="B3502" s="127" t="n"/>
      <c r="C3502" s="223" t="n"/>
      <c r="D3502" s="127" t="n"/>
      <c r="E3502" s="227" t="n"/>
      <c r="F3502" s="227" t="n"/>
      <c r="G3502" s="227" t="n"/>
      <c r="H3502" s="227" t="n"/>
      <c r="I3502" s="227" t="n"/>
      <c r="J3502" s="227" t="n"/>
      <c r="K3502" s="227" t="n"/>
      <c r="L3502" s="227" t="n"/>
      <c r="M3502" s="227" t="n"/>
      <c r="N3502" s="127" t="n"/>
      <c r="O3502" s="227" t="n"/>
      <c r="P3502" s="227" t="n"/>
      <c r="Q3502" s="227" t="n"/>
      <c r="R3502" s="227" t="n"/>
      <c r="S3502" s="227" t="n"/>
      <c r="T3502" s="227" t="n"/>
    </row>
    <row r="3503">
      <c r="A3503" s="145">
        <f>IF($B3503="","",ROW()-5)</f>
        <v/>
      </c>
      <c r="B3503" s="127" t="n"/>
      <c r="C3503" s="223" t="n"/>
      <c r="D3503" s="127" t="n"/>
      <c r="E3503" s="227" t="n"/>
      <c r="F3503" s="227" t="n"/>
      <c r="G3503" s="227" t="n"/>
      <c r="H3503" s="227" t="n"/>
      <c r="I3503" s="227" t="n"/>
      <c r="J3503" s="227" t="n"/>
      <c r="K3503" s="227" t="n"/>
      <c r="L3503" s="227" t="n"/>
      <c r="M3503" s="227" t="n"/>
      <c r="N3503" s="127" t="n"/>
      <c r="O3503" s="227" t="n"/>
      <c r="P3503" s="227" t="n"/>
      <c r="Q3503" s="227" t="n"/>
      <c r="R3503" s="227" t="n"/>
      <c r="S3503" s="227" t="n"/>
      <c r="T3503" s="227" t="n"/>
    </row>
    <row r="3504">
      <c r="A3504" s="145">
        <f>IF($B3504="","",ROW()-5)</f>
        <v/>
      </c>
      <c r="B3504" s="127" t="n"/>
      <c r="C3504" s="223" t="n"/>
      <c r="D3504" s="127" t="n"/>
      <c r="E3504" s="227" t="n"/>
      <c r="F3504" s="227" t="n"/>
      <c r="G3504" s="227" t="n"/>
      <c r="H3504" s="227" t="n"/>
      <c r="I3504" s="227" t="n"/>
      <c r="J3504" s="227" t="n"/>
      <c r="K3504" s="227" t="n"/>
      <c r="L3504" s="227" t="n"/>
      <c r="M3504" s="227" t="n"/>
      <c r="N3504" s="127" t="n"/>
      <c r="O3504" s="227" t="n"/>
      <c r="P3504" s="227" t="n"/>
      <c r="Q3504" s="227" t="n"/>
      <c r="R3504" s="227" t="n"/>
      <c r="S3504" s="227" t="n"/>
      <c r="T3504" s="227" t="n"/>
    </row>
    <row r="3505">
      <c r="A3505" s="145">
        <f>IF($B3505="","",ROW()-5)</f>
        <v/>
      </c>
      <c r="B3505" s="127" t="n"/>
      <c r="C3505" s="223" t="n"/>
      <c r="D3505" s="127" t="n"/>
      <c r="E3505" s="227" t="n"/>
      <c r="F3505" s="227" t="n"/>
      <c r="G3505" s="227" t="n"/>
      <c r="H3505" s="227" t="n"/>
      <c r="I3505" s="227" t="n"/>
      <c r="J3505" s="227" t="n"/>
      <c r="K3505" s="227" t="n"/>
      <c r="L3505" s="227" t="n"/>
      <c r="M3505" s="227" t="n"/>
      <c r="N3505" s="127" t="n"/>
      <c r="O3505" s="227" t="n"/>
      <c r="P3505" s="227" t="n"/>
      <c r="Q3505" s="227" t="n"/>
      <c r="R3505" s="227" t="n"/>
      <c r="S3505" s="227" t="n"/>
      <c r="T3505" s="227" t="n"/>
    </row>
    <row r="3506">
      <c r="A3506" s="145">
        <f>IF($B3506="","",ROW()-5)</f>
        <v/>
      </c>
      <c r="B3506" s="127" t="n"/>
      <c r="C3506" s="223" t="n"/>
      <c r="D3506" s="127" t="n"/>
      <c r="E3506" s="227" t="n"/>
      <c r="F3506" s="227" t="n"/>
      <c r="G3506" s="227" t="n"/>
      <c r="H3506" s="227" t="n"/>
      <c r="I3506" s="227" t="n"/>
      <c r="J3506" s="227" t="n"/>
      <c r="K3506" s="227" t="n"/>
      <c r="L3506" s="227" t="n"/>
      <c r="M3506" s="227" t="n"/>
      <c r="N3506" s="127" t="n"/>
      <c r="O3506" s="227" t="n"/>
      <c r="P3506" s="227" t="n"/>
      <c r="Q3506" s="227" t="n"/>
      <c r="R3506" s="227" t="n"/>
      <c r="S3506" s="227" t="n"/>
      <c r="T3506" s="227" t="n"/>
    </row>
    <row r="3507">
      <c r="A3507" s="145">
        <f>IF($B3507="","",ROW()-5)</f>
        <v/>
      </c>
      <c r="B3507" s="127" t="n"/>
      <c r="C3507" s="223" t="n"/>
      <c r="D3507" s="127" t="n"/>
      <c r="E3507" s="227" t="n"/>
      <c r="F3507" s="227" t="n"/>
      <c r="G3507" s="227" t="n"/>
      <c r="H3507" s="227" t="n"/>
      <c r="I3507" s="227" t="n"/>
      <c r="J3507" s="227" t="n"/>
      <c r="K3507" s="227" t="n"/>
      <c r="L3507" s="227" t="n"/>
      <c r="M3507" s="227" t="n"/>
      <c r="N3507" s="127" t="n"/>
      <c r="O3507" s="227" t="n"/>
      <c r="P3507" s="227" t="n"/>
      <c r="Q3507" s="227" t="n"/>
      <c r="R3507" s="227" t="n"/>
      <c r="S3507" s="227" t="n"/>
      <c r="T3507" s="227" t="n"/>
    </row>
    <row r="3508">
      <c r="A3508" s="145">
        <f>IF($B3508="","",ROW()-5)</f>
        <v/>
      </c>
      <c r="B3508" s="127" t="n"/>
      <c r="C3508" s="223" t="n"/>
      <c r="D3508" s="127" t="n"/>
      <c r="E3508" s="227" t="n"/>
      <c r="F3508" s="227" t="n"/>
      <c r="G3508" s="227" t="n"/>
      <c r="H3508" s="227" t="n"/>
      <c r="I3508" s="227" t="n"/>
      <c r="J3508" s="227" t="n"/>
      <c r="K3508" s="227" t="n"/>
      <c r="L3508" s="227" t="n"/>
      <c r="M3508" s="227" t="n"/>
      <c r="N3508" s="127" t="n"/>
      <c r="O3508" s="227" t="n"/>
      <c r="P3508" s="227" t="n"/>
      <c r="Q3508" s="227" t="n"/>
      <c r="R3508" s="227" t="n"/>
      <c r="S3508" s="227" t="n"/>
      <c r="T3508" s="227" t="n"/>
    </row>
    <row r="3509">
      <c r="A3509" s="145">
        <f>IF($B3509="","",ROW()-5)</f>
        <v/>
      </c>
      <c r="B3509" s="127" t="n"/>
      <c r="C3509" s="223" t="n"/>
      <c r="D3509" s="127" t="n"/>
      <c r="E3509" s="227" t="n"/>
      <c r="F3509" s="227" t="n"/>
      <c r="G3509" s="227" t="n"/>
      <c r="H3509" s="227" t="n"/>
      <c r="I3509" s="227" t="n"/>
      <c r="J3509" s="227" t="n"/>
      <c r="K3509" s="227" t="n"/>
      <c r="L3509" s="227" t="n"/>
      <c r="M3509" s="227" t="n"/>
      <c r="N3509" s="127" t="n"/>
      <c r="O3509" s="227" t="n"/>
      <c r="P3509" s="227" t="n"/>
      <c r="Q3509" s="227" t="n"/>
      <c r="R3509" s="227" t="n"/>
      <c r="S3509" s="227" t="n"/>
      <c r="T3509" s="227" t="n"/>
    </row>
    <row r="3510">
      <c r="A3510" s="145">
        <f>IF($B3510="","",ROW()-5)</f>
        <v/>
      </c>
      <c r="B3510" s="127" t="n"/>
      <c r="C3510" s="223" t="n"/>
      <c r="D3510" s="127" t="n"/>
      <c r="E3510" s="227" t="n"/>
      <c r="F3510" s="227" t="n"/>
      <c r="G3510" s="227" t="n"/>
      <c r="H3510" s="227" t="n"/>
      <c r="I3510" s="227" t="n"/>
      <c r="J3510" s="227" t="n"/>
      <c r="K3510" s="227" t="n"/>
      <c r="L3510" s="227" t="n"/>
      <c r="M3510" s="227" t="n"/>
      <c r="N3510" s="127" t="n"/>
      <c r="O3510" s="227" t="n"/>
      <c r="P3510" s="227" t="n"/>
      <c r="Q3510" s="227" t="n"/>
      <c r="R3510" s="227" t="n"/>
      <c r="S3510" s="227" t="n"/>
      <c r="T3510" s="227" t="n"/>
    </row>
    <row r="3511">
      <c r="A3511" s="145">
        <f>IF($B3511="","",ROW()-5)</f>
        <v/>
      </c>
      <c r="B3511" s="127" t="n"/>
      <c r="C3511" s="223" t="n"/>
      <c r="D3511" s="127" t="n"/>
      <c r="E3511" s="227" t="n"/>
      <c r="F3511" s="227" t="n"/>
      <c r="G3511" s="227" t="n"/>
      <c r="H3511" s="227" t="n"/>
      <c r="I3511" s="227" t="n"/>
      <c r="J3511" s="227" t="n"/>
      <c r="K3511" s="227" t="n"/>
      <c r="L3511" s="227" t="n"/>
      <c r="M3511" s="227" t="n"/>
      <c r="N3511" s="127" t="n"/>
      <c r="O3511" s="227" t="n"/>
      <c r="P3511" s="227" t="n"/>
      <c r="Q3511" s="227" t="n"/>
      <c r="R3511" s="227" t="n"/>
      <c r="S3511" s="227" t="n"/>
      <c r="T3511" s="227" t="n"/>
    </row>
    <row r="3512">
      <c r="A3512" s="145">
        <f>IF($B3512="","",ROW()-5)</f>
        <v/>
      </c>
      <c r="B3512" s="127" t="n"/>
      <c r="C3512" s="223" t="n"/>
      <c r="D3512" s="127" t="n"/>
      <c r="E3512" s="227" t="n"/>
      <c r="F3512" s="227" t="n"/>
      <c r="G3512" s="227" t="n"/>
      <c r="H3512" s="227" t="n"/>
      <c r="I3512" s="227" t="n"/>
      <c r="J3512" s="227" t="n"/>
      <c r="K3512" s="227" t="n"/>
      <c r="L3512" s="227" t="n"/>
      <c r="M3512" s="227" t="n"/>
      <c r="N3512" s="127" t="n"/>
      <c r="O3512" s="227" t="n"/>
      <c r="P3512" s="227" t="n"/>
      <c r="Q3512" s="227" t="n"/>
      <c r="R3512" s="227" t="n"/>
      <c r="S3512" s="227" t="n"/>
      <c r="T3512" s="227" t="n"/>
    </row>
    <row r="3513">
      <c r="A3513" s="145">
        <f>IF($B3513="","",ROW()-5)</f>
        <v/>
      </c>
      <c r="B3513" s="127" t="n"/>
      <c r="C3513" s="223" t="n"/>
      <c r="D3513" s="127" t="n"/>
      <c r="E3513" s="227" t="n"/>
      <c r="F3513" s="227" t="n"/>
      <c r="G3513" s="227" t="n"/>
      <c r="H3513" s="227" t="n"/>
      <c r="I3513" s="227" t="n"/>
      <c r="J3513" s="227" t="n"/>
      <c r="K3513" s="227" t="n"/>
      <c r="L3513" s="227" t="n"/>
      <c r="M3513" s="227" t="n"/>
      <c r="N3513" s="127" t="n"/>
      <c r="O3513" s="227" t="n"/>
      <c r="P3513" s="227" t="n"/>
      <c r="Q3513" s="227" t="n"/>
      <c r="R3513" s="227" t="n"/>
      <c r="S3513" s="227" t="n"/>
      <c r="T3513" s="227" t="n"/>
    </row>
    <row r="3514">
      <c r="A3514" s="145">
        <f>IF($B3514="","",ROW()-5)</f>
        <v/>
      </c>
      <c r="B3514" s="127" t="n"/>
      <c r="C3514" s="223" t="n"/>
      <c r="D3514" s="127" t="n"/>
      <c r="E3514" s="227" t="n"/>
      <c r="F3514" s="227" t="n"/>
      <c r="G3514" s="227" t="n"/>
      <c r="H3514" s="227" t="n"/>
      <c r="I3514" s="227" t="n"/>
      <c r="J3514" s="227" t="n"/>
      <c r="K3514" s="227" t="n"/>
      <c r="L3514" s="227" t="n"/>
      <c r="M3514" s="227" t="n"/>
      <c r="N3514" s="127" t="n"/>
      <c r="O3514" s="227" t="n"/>
      <c r="P3514" s="227" t="n"/>
      <c r="Q3514" s="227" t="n"/>
      <c r="R3514" s="227" t="n"/>
      <c r="S3514" s="227" t="n"/>
      <c r="T3514" s="227" t="n"/>
    </row>
    <row r="3515">
      <c r="A3515" s="145">
        <f>IF($B3515="","",ROW()-5)</f>
        <v/>
      </c>
      <c r="B3515" s="127" t="n"/>
      <c r="C3515" s="223" t="n"/>
      <c r="D3515" s="127" t="n"/>
      <c r="E3515" s="227" t="n"/>
      <c r="F3515" s="227" t="n"/>
      <c r="G3515" s="227" t="n"/>
      <c r="H3515" s="227" t="n"/>
      <c r="I3515" s="227" t="n"/>
      <c r="J3515" s="227" t="n"/>
      <c r="K3515" s="227" t="n"/>
      <c r="L3515" s="227" t="n"/>
      <c r="M3515" s="227" t="n"/>
      <c r="N3515" s="127" t="n"/>
      <c r="O3515" s="227" t="n"/>
      <c r="P3515" s="227" t="n"/>
      <c r="Q3515" s="227" t="n"/>
      <c r="R3515" s="227" t="n"/>
      <c r="S3515" s="227" t="n"/>
      <c r="T3515" s="227" t="n"/>
    </row>
    <row r="3516">
      <c r="A3516" s="145">
        <f>IF($B3516="","",ROW()-5)</f>
        <v/>
      </c>
      <c r="B3516" s="127" t="n"/>
      <c r="C3516" s="223" t="n"/>
      <c r="D3516" s="127" t="n"/>
      <c r="E3516" s="227" t="n"/>
      <c r="F3516" s="227" t="n"/>
      <c r="G3516" s="227" t="n"/>
      <c r="H3516" s="227" t="n"/>
      <c r="I3516" s="227" t="n"/>
      <c r="J3516" s="227" t="n"/>
      <c r="K3516" s="227" t="n"/>
      <c r="L3516" s="227" t="n"/>
      <c r="M3516" s="227" t="n"/>
      <c r="N3516" s="127" t="n"/>
      <c r="O3516" s="227" t="n"/>
      <c r="P3516" s="227" t="n"/>
      <c r="Q3516" s="227" t="n"/>
      <c r="R3516" s="227" t="n"/>
      <c r="S3516" s="227" t="n"/>
      <c r="T3516" s="227" t="n"/>
    </row>
    <row r="3517">
      <c r="A3517" s="145">
        <f>IF($B3517="","",ROW()-5)</f>
        <v/>
      </c>
      <c r="B3517" s="127" t="n"/>
      <c r="C3517" s="223" t="n"/>
      <c r="D3517" s="127" t="n"/>
      <c r="E3517" s="227" t="n"/>
      <c r="F3517" s="227" t="n"/>
      <c r="G3517" s="227" t="n"/>
      <c r="H3517" s="227" t="n"/>
      <c r="I3517" s="227" t="n"/>
      <c r="J3517" s="227" t="n"/>
      <c r="K3517" s="227" t="n"/>
      <c r="L3517" s="227" t="n"/>
      <c r="M3517" s="227" t="n"/>
      <c r="N3517" s="127" t="n"/>
      <c r="O3517" s="227" t="n"/>
      <c r="P3517" s="227" t="n"/>
      <c r="Q3517" s="227" t="n"/>
      <c r="R3517" s="227" t="n"/>
      <c r="S3517" s="227" t="n"/>
      <c r="T3517" s="227" t="n"/>
    </row>
    <row r="3518">
      <c r="A3518" s="145">
        <f>IF($B3518="","",ROW()-5)</f>
        <v/>
      </c>
      <c r="B3518" s="127" t="n"/>
      <c r="C3518" s="223" t="n"/>
      <c r="D3518" s="127" t="n"/>
      <c r="E3518" s="227" t="n"/>
      <c r="F3518" s="227" t="n"/>
      <c r="G3518" s="227" t="n"/>
      <c r="H3518" s="227" t="n"/>
      <c r="I3518" s="227" t="n"/>
      <c r="J3518" s="227" t="n"/>
      <c r="K3518" s="227" t="n"/>
      <c r="L3518" s="227" t="n"/>
      <c r="M3518" s="227" t="n"/>
      <c r="N3518" s="127" t="n"/>
      <c r="O3518" s="227" t="n"/>
      <c r="P3518" s="227" t="n"/>
      <c r="Q3518" s="227" t="n"/>
      <c r="R3518" s="227" t="n"/>
      <c r="S3518" s="227" t="n"/>
      <c r="T3518" s="227" t="n"/>
    </row>
    <row r="3519">
      <c r="A3519" s="145">
        <f>IF($B3519="","",ROW()-5)</f>
        <v/>
      </c>
      <c r="B3519" s="127" t="n"/>
      <c r="C3519" s="223" t="n"/>
      <c r="D3519" s="127" t="n"/>
      <c r="E3519" s="227" t="n"/>
      <c r="F3519" s="227" t="n"/>
      <c r="G3519" s="227" t="n"/>
      <c r="H3519" s="227" t="n"/>
      <c r="I3519" s="227" t="n"/>
      <c r="J3519" s="227" t="n"/>
      <c r="K3519" s="227" t="n"/>
      <c r="L3519" s="227" t="n"/>
      <c r="M3519" s="227" t="n"/>
      <c r="N3519" s="127" t="n"/>
      <c r="O3519" s="227" t="n"/>
      <c r="P3519" s="227" t="n"/>
      <c r="Q3519" s="227" t="n"/>
      <c r="R3519" s="227" t="n"/>
      <c r="S3519" s="227" t="n"/>
      <c r="T3519" s="227" t="n"/>
    </row>
    <row r="3520">
      <c r="A3520" s="145">
        <f>IF($B3520="","",ROW()-5)</f>
        <v/>
      </c>
      <c r="B3520" s="127" t="n"/>
      <c r="C3520" s="223" t="n"/>
      <c r="D3520" s="127" t="n"/>
      <c r="E3520" s="227" t="n"/>
      <c r="F3520" s="227" t="n"/>
      <c r="G3520" s="227" t="n"/>
      <c r="H3520" s="227" t="n"/>
      <c r="I3520" s="227" t="n"/>
      <c r="J3520" s="227" t="n"/>
      <c r="K3520" s="227" t="n"/>
      <c r="L3520" s="227" t="n"/>
      <c r="M3520" s="227" t="n"/>
      <c r="N3520" s="127" t="n"/>
      <c r="O3520" s="227" t="n"/>
      <c r="P3520" s="227" t="n"/>
      <c r="Q3520" s="227" t="n"/>
      <c r="R3520" s="227" t="n"/>
      <c r="S3520" s="227" t="n"/>
      <c r="T3520" s="227" t="n"/>
    </row>
    <row r="3521">
      <c r="A3521" s="145">
        <f>IF($B3521="","",ROW()-5)</f>
        <v/>
      </c>
      <c r="B3521" s="127" t="n"/>
      <c r="C3521" s="223" t="n"/>
      <c r="D3521" s="127" t="n"/>
      <c r="E3521" s="227" t="n"/>
      <c r="F3521" s="227" t="n"/>
      <c r="G3521" s="227" t="n"/>
      <c r="H3521" s="227" t="n"/>
      <c r="I3521" s="227" t="n"/>
      <c r="J3521" s="227" t="n"/>
      <c r="K3521" s="227" t="n"/>
      <c r="L3521" s="227" t="n"/>
      <c r="M3521" s="227" t="n"/>
      <c r="N3521" s="127" t="n"/>
      <c r="O3521" s="227" t="n"/>
      <c r="P3521" s="227" t="n"/>
      <c r="Q3521" s="227" t="n"/>
      <c r="R3521" s="227" t="n"/>
      <c r="S3521" s="227" t="n"/>
      <c r="T3521" s="227" t="n"/>
    </row>
    <row r="3522">
      <c r="A3522" s="145">
        <f>IF($B3522="","",ROW()-5)</f>
        <v/>
      </c>
      <c r="B3522" s="127" t="n"/>
      <c r="C3522" s="223" t="n"/>
      <c r="D3522" s="127" t="n"/>
      <c r="E3522" s="227" t="n"/>
      <c r="F3522" s="227" t="n"/>
      <c r="G3522" s="227" t="n"/>
      <c r="H3522" s="227" t="n"/>
      <c r="I3522" s="227" t="n"/>
      <c r="J3522" s="227" t="n"/>
      <c r="K3522" s="227" t="n"/>
      <c r="L3522" s="227" t="n"/>
      <c r="M3522" s="227" t="n"/>
      <c r="N3522" s="127" t="n"/>
      <c r="O3522" s="227" t="n"/>
      <c r="P3522" s="227" t="n"/>
      <c r="Q3522" s="227" t="n"/>
      <c r="R3522" s="227" t="n"/>
      <c r="S3522" s="227" t="n"/>
      <c r="T3522" s="227" t="n"/>
    </row>
    <row r="3523">
      <c r="A3523" s="145">
        <f>IF($B3523="","",ROW()-5)</f>
        <v/>
      </c>
      <c r="B3523" s="127" t="n"/>
      <c r="C3523" s="223" t="n"/>
      <c r="D3523" s="127" t="n"/>
      <c r="E3523" s="227" t="n"/>
      <c r="F3523" s="227" t="n"/>
      <c r="G3523" s="227" t="n"/>
      <c r="H3523" s="227" t="n"/>
      <c r="I3523" s="227" t="n"/>
      <c r="J3523" s="227" t="n"/>
      <c r="K3523" s="227" t="n"/>
      <c r="L3523" s="227" t="n"/>
      <c r="M3523" s="227" t="n"/>
      <c r="N3523" s="127" t="n"/>
      <c r="O3523" s="227" t="n"/>
      <c r="P3523" s="227" t="n"/>
      <c r="Q3523" s="227" t="n"/>
      <c r="R3523" s="227" t="n"/>
      <c r="S3523" s="227" t="n"/>
      <c r="T3523" s="227" t="n"/>
    </row>
    <row r="3524">
      <c r="A3524" s="145">
        <f>IF($B3524="","",ROW()-5)</f>
        <v/>
      </c>
      <c r="B3524" s="127" t="n"/>
      <c r="C3524" s="223" t="n"/>
      <c r="D3524" s="127" t="n"/>
      <c r="E3524" s="227" t="n"/>
      <c r="F3524" s="227" t="n"/>
      <c r="G3524" s="227" t="n"/>
      <c r="H3524" s="227" t="n"/>
      <c r="I3524" s="227" t="n"/>
      <c r="J3524" s="227" t="n"/>
      <c r="K3524" s="227" t="n"/>
      <c r="L3524" s="227" t="n"/>
      <c r="M3524" s="227" t="n"/>
      <c r="N3524" s="127" t="n"/>
      <c r="O3524" s="227" t="n"/>
      <c r="P3524" s="227" t="n"/>
      <c r="Q3524" s="227" t="n"/>
      <c r="R3524" s="227" t="n"/>
      <c r="S3524" s="227" t="n"/>
      <c r="T3524" s="227" t="n"/>
    </row>
    <row r="3525">
      <c r="A3525" s="145">
        <f>IF($B3525="","",ROW()-5)</f>
        <v/>
      </c>
      <c r="B3525" s="127" t="n"/>
      <c r="C3525" s="223" t="n"/>
      <c r="D3525" s="127" t="n"/>
      <c r="E3525" s="227" t="n"/>
      <c r="F3525" s="227" t="n"/>
      <c r="G3525" s="227" t="n"/>
      <c r="H3525" s="227" t="n"/>
      <c r="I3525" s="227" t="n"/>
      <c r="J3525" s="227" t="n"/>
      <c r="K3525" s="227" t="n"/>
      <c r="L3525" s="227" t="n"/>
      <c r="M3525" s="227" t="n"/>
      <c r="N3525" s="127" t="n"/>
      <c r="O3525" s="227" t="n"/>
      <c r="P3525" s="227" t="n"/>
      <c r="Q3525" s="227" t="n"/>
      <c r="R3525" s="227" t="n"/>
      <c r="S3525" s="227" t="n"/>
      <c r="T3525" s="227" t="n"/>
    </row>
    <row r="3526">
      <c r="A3526" s="145">
        <f>IF($B3526="","",ROW()-5)</f>
        <v/>
      </c>
      <c r="B3526" s="127" t="n"/>
      <c r="C3526" s="223" t="n"/>
      <c r="D3526" s="127" t="n"/>
      <c r="E3526" s="227" t="n"/>
      <c r="F3526" s="227" t="n"/>
      <c r="G3526" s="227" t="n"/>
      <c r="H3526" s="227" t="n"/>
      <c r="I3526" s="227" t="n"/>
      <c r="J3526" s="227" t="n"/>
      <c r="K3526" s="227" t="n"/>
      <c r="L3526" s="227" t="n"/>
      <c r="M3526" s="227" t="n"/>
      <c r="N3526" s="127" t="n"/>
      <c r="O3526" s="227" t="n"/>
      <c r="P3526" s="227" t="n"/>
      <c r="Q3526" s="227" t="n"/>
      <c r="R3526" s="227" t="n"/>
      <c r="S3526" s="227" t="n"/>
      <c r="T3526" s="227" t="n"/>
    </row>
    <row r="3527">
      <c r="A3527" s="145">
        <f>IF($B3527="","",ROW()-5)</f>
        <v/>
      </c>
      <c r="B3527" s="127" t="n"/>
      <c r="C3527" s="223" t="n"/>
      <c r="D3527" s="127" t="n"/>
      <c r="E3527" s="227" t="n"/>
      <c r="F3527" s="227" t="n"/>
      <c r="G3527" s="227" t="n"/>
      <c r="H3527" s="227" t="n"/>
      <c r="I3527" s="227" t="n"/>
      <c r="J3527" s="227" t="n"/>
      <c r="K3527" s="227" t="n"/>
      <c r="L3527" s="227" t="n"/>
      <c r="M3527" s="227" t="n"/>
      <c r="N3527" s="127" t="n"/>
      <c r="O3527" s="227" t="n"/>
      <c r="P3527" s="227" t="n"/>
      <c r="Q3527" s="227" t="n"/>
      <c r="R3527" s="227" t="n"/>
      <c r="S3527" s="227" t="n"/>
      <c r="T3527" s="227" t="n"/>
    </row>
    <row r="3528">
      <c r="A3528" s="145">
        <f>IF($B3528="","",ROW()-5)</f>
        <v/>
      </c>
      <c r="B3528" s="127" t="n"/>
      <c r="C3528" s="223" t="n"/>
      <c r="D3528" s="127" t="n"/>
      <c r="E3528" s="227" t="n"/>
      <c r="F3528" s="227" t="n"/>
      <c r="G3528" s="227" t="n"/>
      <c r="H3528" s="227" t="n"/>
      <c r="I3528" s="227" t="n"/>
      <c r="J3528" s="227" t="n"/>
      <c r="K3528" s="227" t="n"/>
      <c r="L3528" s="227" t="n"/>
      <c r="M3528" s="227" t="n"/>
      <c r="N3528" s="127" t="n"/>
      <c r="O3528" s="227" t="n"/>
      <c r="P3528" s="227" t="n"/>
      <c r="Q3528" s="227" t="n"/>
      <c r="R3528" s="227" t="n"/>
      <c r="S3528" s="227" t="n"/>
      <c r="T3528" s="227" t="n"/>
    </row>
    <row r="3529">
      <c r="A3529" s="145">
        <f>IF($B3529="","",ROW()-5)</f>
        <v/>
      </c>
      <c r="B3529" s="127" t="n"/>
      <c r="C3529" s="223" t="n"/>
      <c r="D3529" s="127" t="n"/>
      <c r="E3529" s="227" t="n"/>
      <c r="F3529" s="227" t="n"/>
      <c r="G3529" s="227" t="n"/>
      <c r="H3529" s="227" t="n"/>
      <c r="I3529" s="227" t="n"/>
      <c r="J3529" s="227" t="n"/>
      <c r="K3529" s="227" t="n"/>
      <c r="L3529" s="227" t="n"/>
      <c r="M3529" s="227" t="n"/>
      <c r="N3529" s="127" t="n"/>
      <c r="O3529" s="227" t="n"/>
      <c r="P3529" s="227" t="n"/>
      <c r="Q3529" s="227" t="n"/>
      <c r="R3529" s="227" t="n"/>
      <c r="S3529" s="227" t="n"/>
      <c r="T3529" s="227" t="n"/>
    </row>
    <row r="3530">
      <c r="A3530" s="145">
        <f>IF($B3530="","",ROW()-5)</f>
        <v/>
      </c>
      <c r="B3530" s="127" t="n"/>
      <c r="C3530" s="223" t="n"/>
      <c r="D3530" s="127" t="n"/>
      <c r="E3530" s="227" t="n"/>
      <c r="F3530" s="227" t="n"/>
      <c r="G3530" s="227" t="n"/>
      <c r="H3530" s="227" t="n"/>
      <c r="I3530" s="227" t="n"/>
      <c r="J3530" s="227" t="n"/>
      <c r="K3530" s="227" t="n"/>
      <c r="L3530" s="227" t="n"/>
      <c r="M3530" s="227" t="n"/>
      <c r="N3530" s="127" t="n"/>
      <c r="O3530" s="227" t="n"/>
      <c r="P3530" s="227" t="n"/>
      <c r="Q3530" s="227" t="n"/>
      <c r="R3530" s="227" t="n"/>
      <c r="S3530" s="227" t="n"/>
      <c r="T3530" s="227" t="n"/>
    </row>
    <row r="3531">
      <c r="A3531" s="145">
        <f>IF($B3531="","",ROW()-5)</f>
        <v/>
      </c>
      <c r="B3531" s="127" t="n"/>
      <c r="C3531" s="223" t="n"/>
      <c r="D3531" s="127" t="n"/>
      <c r="E3531" s="227" t="n"/>
      <c r="F3531" s="227" t="n"/>
      <c r="G3531" s="227" t="n"/>
      <c r="H3531" s="227" t="n"/>
      <c r="I3531" s="227" t="n"/>
      <c r="J3531" s="227" t="n"/>
      <c r="K3531" s="227" t="n"/>
      <c r="L3531" s="227" t="n"/>
      <c r="M3531" s="227" t="n"/>
      <c r="N3531" s="127" t="n"/>
      <c r="O3531" s="227" t="n"/>
      <c r="P3531" s="227" t="n"/>
      <c r="Q3531" s="227" t="n"/>
      <c r="R3531" s="227" t="n"/>
      <c r="S3531" s="227" t="n"/>
      <c r="T3531" s="227" t="n"/>
    </row>
    <row r="3532">
      <c r="A3532" s="145">
        <f>IF($B3532="","",ROW()-5)</f>
        <v/>
      </c>
      <c r="B3532" s="127" t="n"/>
      <c r="C3532" s="223" t="n"/>
      <c r="D3532" s="127" t="n"/>
      <c r="E3532" s="227" t="n"/>
      <c r="F3532" s="227" t="n"/>
      <c r="G3532" s="227" t="n"/>
      <c r="H3532" s="227" t="n"/>
      <c r="I3532" s="227" t="n"/>
      <c r="J3532" s="227" t="n"/>
      <c r="K3532" s="227" t="n"/>
      <c r="L3532" s="227" t="n"/>
      <c r="M3532" s="227" t="n"/>
      <c r="N3532" s="127" t="n"/>
      <c r="O3532" s="227" t="n"/>
      <c r="P3532" s="227" t="n"/>
      <c r="Q3532" s="227" t="n"/>
      <c r="R3532" s="227" t="n"/>
      <c r="S3532" s="227" t="n"/>
      <c r="T3532" s="227" t="n"/>
    </row>
    <row r="3533">
      <c r="A3533" s="145">
        <f>IF($B3533="","",ROW()-5)</f>
        <v/>
      </c>
      <c r="B3533" s="127" t="n"/>
      <c r="C3533" s="223" t="n"/>
      <c r="D3533" s="127" t="n"/>
      <c r="E3533" s="227" t="n"/>
      <c r="F3533" s="227" t="n"/>
      <c r="G3533" s="227" t="n"/>
      <c r="H3533" s="227" t="n"/>
      <c r="I3533" s="227" t="n"/>
      <c r="J3533" s="227" t="n"/>
      <c r="K3533" s="227" t="n"/>
      <c r="L3533" s="227" t="n"/>
      <c r="M3533" s="227" t="n"/>
      <c r="N3533" s="127" t="n"/>
      <c r="O3533" s="227" t="n"/>
      <c r="P3533" s="227" t="n"/>
      <c r="Q3533" s="227" t="n"/>
      <c r="R3533" s="227" t="n"/>
      <c r="S3533" s="227" t="n"/>
      <c r="T3533" s="227" t="n"/>
    </row>
    <row r="3534">
      <c r="A3534" s="145">
        <f>IF($B3534="","",ROW()-5)</f>
        <v/>
      </c>
      <c r="B3534" s="127" t="n"/>
      <c r="C3534" s="223" t="n"/>
      <c r="D3534" s="127" t="n"/>
      <c r="E3534" s="227" t="n"/>
      <c r="F3534" s="227" t="n"/>
      <c r="G3534" s="227" t="n"/>
      <c r="H3534" s="227" t="n"/>
      <c r="I3534" s="227" t="n"/>
      <c r="J3534" s="227" t="n"/>
      <c r="K3534" s="227" t="n"/>
      <c r="L3534" s="227" t="n"/>
      <c r="M3534" s="227" t="n"/>
      <c r="N3534" s="127" t="n"/>
      <c r="O3534" s="227" t="n"/>
      <c r="P3534" s="227" t="n"/>
      <c r="Q3534" s="227" t="n"/>
      <c r="R3534" s="227" t="n"/>
      <c r="S3534" s="227" t="n"/>
      <c r="T3534" s="227" t="n"/>
    </row>
    <row r="3535">
      <c r="A3535" s="145">
        <f>IF($B3535="","",ROW()-5)</f>
        <v/>
      </c>
      <c r="B3535" s="127" t="n"/>
      <c r="C3535" s="223" t="n"/>
      <c r="D3535" s="127" t="n"/>
      <c r="E3535" s="227" t="n"/>
      <c r="F3535" s="227" t="n"/>
      <c r="G3535" s="227" t="n"/>
      <c r="H3535" s="227" t="n"/>
      <c r="I3535" s="227" t="n"/>
      <c r="J3535" s="227" t="n"/>
      <c r="K3535" s="227" t="n"/>
      <c r="L3535" s="227" t="n"/>
      <c r="M3535" s="227" t="n"/>
      <c r="N3535" s="127" t="n"/>
      <c r="O3535" s="227" t="n"/>
      <c r="P3535" s="227" t="n"/>
      <c r="Q3535" s="227" t="n"/>
      <c r="R3535" s="227" t="n"/>
      <c r="S3535" s="227" t="n"/>
      <c r="T3535" s="227" t="n"/>
    </row>
    <row r="3536">
      <c r="A3536" s="145">
        <f>IF($B3536="","",ROW()-5)</f>
        <v/>
      </c>
      <c r="B3536" s="127" t="n"/>
      <c r="C3536" s="223" t="n"/>
      <c r="D3536" s="127" t="n"/>
      <c r="E3536" s="227" t="n"/>
      <c r="F3536" s="227" t="n"/>
      <c r="G3536" s="227" t="n"/>
      <c r="H3536" s="227" t="n"/>
      <c r="I3536" s="227" t="n"/>
      <c r="J3536" s="227" t="n"/>
      <c r="K3536" s="227" t="n"/>
      <c r="L3536" s="227" t="n"/>
      <c r="M3536" s="227" t="n"/>
      <c r="N3536" s="127" t="n"/>
      <c r="O3536" s="227" t="n"/>
      <c r="P3536" s="227" t="n"/>
      <c r="Q3536" s="227" t="n"/>
      <c r="R3536" s="227" t="n"/>
      <c r="S3536" s="227" t="n"/>
      <c r="T3536" s="227" t="n"/>
    </row>
    <row r="3537">
      <c r="A3537" s="145">
        <f>IF($B3537="","",ROW()-5)</f>
        <v/>
      </c>
      <c r="B3537" s="127" t="n"/>
      <c r="C3537" s="223" t="n"/>
      <c r="D3537" s="127" t="n"/>
      <c r="E3537" s="227" t="n"/>
      <c r="F3537" s="227" t="n"/>
      <c r="G3537" s="227" t="n"/>
      <c r="H3537" s="227" t="n"/>
      <c r="I3537" s="227" t="n"/>
      <c r="J3537" s="227" t="n"/>
      <c r="K3537" s="227" t="n"/>
      <c r="L3537" s="227" t="n"/>
      <c r="M3537" s="227" t="n"/>
      <c r="N3537" s="127" t="n"/>
      <c r="O3537" s="227" t="n"/>
      <c r="P3537" s="227" t="n"/>
      <c r="Q3537" s="227" t="n"/>
      <c r="R3537" s="227" t="n"/>
      <c r="S3537" s="227" t="n"/>
      <c r="T3537" s="227" t="n"/>
    </row>
    <row r="3538">
      <c r="A3538" s="145">
        <f>IF($B3538="","",ROW()-5)</f>
        <v/>
      </c>
      <c r="B3538" s="127" t="n"/>
      <c r="C3538" s="223" t="n"/>
      <c r="D3538" s="127" t="n"/>
      <c r="E3538" s="227" t="n"/>
      <c r="F3538" s="227" t="n"/>
      <c r="G3538" s="227" t="n"/>
      <c r="H3538" s="227" t="n"/>
      <c r="I3538" s="227" t="n"/>
      <c r="J3538" s="227" t="n"/>
      <c r="K3538" s="227" t="n"/>
      <c r="L3538" s="227" t="n"/>
      <c r="M3538" s="227" t="n"/>
      <c r="N3538" s="127" t="n"/>
      <c r="O3538" s="227" t="n"/>
      <c r="P3538" s="227" t="n"/>
      <c r="Q3538" s="227" t="n"/>
      <c r="R3538" s="227" t="n"/>
      <c r="S3538" s="227" t="n"/>
      <c r="T3538" s="227" t="n"/>
    </row>
    <row r="3539">
      <c r="A3539" s="145">
        <f>IF($B3539="","",ROW()-5)</f>
        <v/>
      </c>
      <c r="B3539" s="127" t="n"/>
      <c r="C3539" s="223" t="n"/>
      <c r="D3539" s="127" t="n"/>
      <c r="E3539" s="227" t="n"/>
      <c r="F3539" s="227" t="n"/>
      <c r="G3539" s="227" t="n"/>
      <c r="H3539" s="227" t="n"/>
      <c r="I3539" s="227" t="n"/>
      <c r="J3539" s="227" t="n"/>
      <c r="K3539" s="227" t="n"/>
      <c r="L3539" s="227" t="n"/>
      <c r="M3539" s="227" t="n"/>
      <c r="N3539" s="127" t="n"/>
      <c r="O3539" s="227" t="n"/>
      <c r="P3539" s="227" t="n"/>
      <c r="Q3539" s="227" t="n"/>
      <c r="R3539" s="227" t="n"/>
      <c r="S3539" s="227" t="n"/>
      <c r="T3539" s="227" t="n"/>
    </row>
    <row r="3540">
      <c r="A3540" s="145">
        <f>IF($B3540="","",ROW()-5)</f>
        <v/>
      </c>
      <c r="B3540" s="127" t="n"/>
      <c r="C3540" s="223" t="n"/>
      <c r="D3540" s="127" t="n"/>
      <c r="E3540" s="227" t="n"/>
      <c r="F3540" s="227" t="n"/>
      <c r="G3540" s="227" t="n"/>
      <c r="H3540" s="227" t="n"/>
      <c r="I3540" s="227" t="n"/>
      <c r="J3540" s="227" t="n"/>
      <c r="K3540" s="227" t="n"/>
      <c r="L3540" s="227" t="n"/>
      <c r="M3540" s="227" t="n"/>
      <c r="N3540" s="127" t="n"/>
      <c r="O3540" s="227" t="n"/>
      <c r="P3540" s="227" t="n"/>
      <c r="Q3540" s="227" t="n"/>
      <c r="R3540" s="227" t="n"/>
      <c r="S3540" s="227" t="n"/>
      <c r="T3540" s="227" t="n"/>
    </row>
    <row r="3541">
      <c r="A3541" s="145">
        <f>IF($B3541="","",ROW()-5)</f>
        <v/>
      </c>
      <c r="B3541" s="127" t="n"/>
      <c r="C3541" s="223" t="n"/>
      <c r="D3541" s="127" t="n"/>
      <c r="E3541" s="227" t="n"/>
      <c r="F3541" s="227" t="n"/>
      <c r="G3541" s="227" t="n"/>
      <c r="H3541" s="227" t="n"/>
      <c r="I3541" s="227" t="n"/>
      <c r="J3541" s="227" t="n"/>
      <c r="K3541" s="227" t="n"/>
      <c r="L3541" s="227" t="n"/>
      <c r="M3541" s="227" t="n"/>
      <c r="N3541" s="127" t="n"/>
      <c r="O3541" s="227" t="n"/>
      <c r="P3541" s="227" t="n"/>
      <c r="Q3541" s="227" t="n"/>
      <c r="R3541" s="227" t="n"/>
      <c r="S3541" s="227" t="n"/>
      <c r="T3541" s="227" t="n"/>
    </row>
    <row r="3542">
      <c r="A3542" s="145">
        <f>IF($B3542="","",ROW()-5)</f>
        <v/>
      </c>
      <c r="B3542" s="127" t="n"/>
      <c r="C3542" s="223" t="n"/>
      <c r="D3542" s="127" t="n"/>
      <c r="E3542" s="227" t="n"/>
      <c r="F3542" s="227" t="n"/>
      <c r="G3542" s="227" t="n"/>
      <c r="H3542" s="227" t="n"/>
      <c r="I3542" s="227" t="n"/>
      <c r="J3542" s="227" t="n"/>
      <c r="K3542" s="227" t="n"/>
      <c r="L3542" s="227" t="n"/>
      <c r="M3542" s="227" t="n"/>
      <c r="N3542" s="127" t="n"/>
      <c r="O3542" s="227" t="n"/>
      <c r="P3542" s="227" t="n"/>
      <c r="Q3542" s="227" t="n"/>
      <c r="R3542" s="227" t="n"/>
      <c r="S3542" s="227" t="n"/>
      <c r="T3542" s="227" t="n"/>
    </row>
    <row r="3543">
      <c r="A3543" s="145">
        <f>IF($B3543="","",ROW()-5)</f>
        <v/>
      </c>
      <c r="B3543" s="127" t="n"/>
      <c r="C3543" s="223" t="n"/>
      <c r="D3543" s="127" t="n"/>
      <c r="E3543" s="227" t="n"/>
      <c r="F3543" s="227" t="n"/>
      <c r="G3543" s="227" t="n"/>
      <c r="H3543" s="227" t="n"/>
      <c r="I3543" s="227" t="n"/>
      <c r="J3543" s="227" t="n"/>
      <c r="K3543" s="227" t="n"/>
      <c r="L3543" s="227" t="n"/>
      <c r="M3543" s="227" t="n"/>
      <c r="N3543" s="127" t="n"/>
      <c r="O3543" s="227" t="n"/>
      <c r="P3543" s="227" t="n"/>
      <c r="Q3543" s="227" t="n"/>
      <c r="R3543" s="227" t="n"/>
      <c r="S3543" s="227" t="n"/>
      <c r="T3543" s="227" t="n"/>
    </row>
    <row r="3544">
      <c r="A3544" s="145">
        <f>IF($B3544="","",ROW()-5)</f>
        <v/>
      </c>
      <c r="B3544" s="127" t="n"/>
      <c r="C3544" s="223" t="n"/>
      <c r="D3544" s="127" t="n"/>
      <c r="E3544" s="227" t="n"/>
      <c r="F3544" s="227" t="n"/>
      <c r="G3544" s="227" t="n"/>
      <c r="H3544" s="227" t="n"/>
      <c r="I3544" s="227" t="n"/>
      <c r="J3544" s="227" t="n"/>
      <c r="K3544" s="227" t="n"/>
      <c r="L3544" s="227" t="n"/>
      <c r="M3544" s="227" t="n"/>
      <c r="N3544" s="127" t="n"/>
      <c r="O3544" s="227" t="n"/>
      <c r="P3544" s="227" t="n"/>
      <c r="Q3544" s="227" t="n"/>
      <c r="R3544" s="227" t="n"/>
      <c r="S3544" s="227" t="n"/>
      <c r="T3544" s="227" t="n"/>
    </row>
    <row r="3545">
      <c r="A3545" s="145">
        <f>IF($B3545="","",ROW()-5)</f>
        <v/>
      </c>
      <c r="B3545" s="127" t="n"/>
      <c r="C3545" s="223" t="n"/>
      <c r="D3545" s="127" t="n"/>
      <c r="E3545" s="227" t="n"/>
      <c r="F3545" s="227" t="n"/>
      <c r="G3545" s="227" t="n"/>
      <c r="H3545" s="227" t="n"/>
      <c r="I3545" s="227" t="n"/>
      <c r="J3545" s="227" t="n"/>
      <c r="K3545" s="227" t="n"/>
      <c r="L3545" s="227" t="n"/>
      <c r="M3545" s="227" t="n"/>
      <c r="N3545" s="127" t="n"/>
      <c r="O3545" s="227" t="n"/>
      <c r="P3545" s="227" t="n"/>
      <c r="Q3545" s="227" t="n"/>
      <c r="R3545" s="227" t="n"/>
      <c r="S3545" s="227" t="n"/>
      <c r="T3545" s="227" t="n"/>
    </row>
    <row r="3546">
      <c r="A3546" s="145">
        <f>IF($B3546="","",ROW()-5)</f>
        <v/>
      </c>
      <c r="B3546" s="127" t="n"/>
      <c r="C3546" s="223" t="n"/>
      <c r="D3546" s="127" t="n"/>
      <c r="E3546" s="227" t="n"/>
      <c r="F3546" s="227" t="n"/>
      <c r="G3546" s="227" t="n"/>
      <c r="H3546" s="227" t="n"/>
      <c r="I3546" s="227" t="n"/>
      <c r="J3546" s="227" t="n"/>
      <c r="K3546" s="227" t="n"/>
      <c r="L3546" s="227" t="n"/>
      <c r="M3546" s="227" t="n"/>
      <c r="N3546" s="127" t="n"/>
      <c r="O3546" s="227" t="n"/>
      <c r="P3546" s="227" t="n"/>
      <c r="Q3546" s="227" t="n"/>
      <c r="R3546" s="227" t="n"/>
      <c r="S3546" s="227" t="n"/>
      <c r="T3546" s="227" t="n"/>
    </row>
    <row r="3547">
      <c r="A3547" s="145">
        <f>IF($B3547="","",ROW()-5)</f>
        <v/>
      </c>
      <c r="B3547" s="127" t="n"/>
      <c r="C3547" s="223" t="n"/>
      <c r="D3547" s="127" t="n"/>
      <c r="E3547" s="227" t="n"/>
      <c r="F3547" s="227" t="n"/>
      <c r="G3547" s="227" t="n"/>
      <c r="H3547" s="227" t="n"/>
      <c r="I3547" s="227" t="n"/>
      <c r="J3547" s="227" t="n"/>
      <c r="K3547" s="227" t="n"/>
      <c r="L3547" s="227" t="n"/>
      <c r="M3547" s="227" t="n"/>
      <c r="N3547" s="127" t="n"/>
      <c r="O3547" s="227" t="n"/>
      <c r="P3547" s="227" t="n"/>
      <c r="Q3547" s="227" t="n"/>
      <c r="R3547" s="227" t="n"/>
      <c r="S3547" s="227" t="n"/>
      <c r="T3547" s="227" t="n"/>
    </row>
    <row r="3548">
      <c r="A3548" s="145">
        <f>IF($B3548="","",ROW()-5)</f>
        <v/>
      </c>
      <c r="B3548" s="127" t="n"/>
      <c r="C3548" s="223" t="n"/>
      <c r="D3548" s="127" t="n"/>
      <c r="E3548" s="227" t="n"/>
      <c r="F3548" s="227" t="n"/>
      <c r="G3548" s="227" t="n"/>
      <c r="H3548" s="227" t="n"/>
      <c r="I3548" s="227" t="n"/>
      <c r="J3548" s="227" t="n"/>
      <c r="K3548" s="227" t="n"/>
      <c r="L3548" s="227" t="n"/>
      <c r="M3548" s="227" t="n"/>
      <c r="N3548" s="127" t="n"/>
      <c r="O3548" s="227" t="n"/>
      <c r="P3548" s="227" t="n"/>
      <c r="Q3548" s="227" t="n"/>
      <c r="R3548" s="227" t="n"/>
      <c r="S3548" s="227" t="n"/>
      <c r="T3548" s="227" t="n"/>
    </row>
    <row r="3549">
      <c r="A3549" s="145">
        <f>IF($B3549="","",ROW()-5)</f>
        <v/>
      </c>
      <c r="B3549" s="127" t="n"/>
      <c r="C3549" s="223" t="n"/>
      <c r="D3549" s="127" t="n"/>
      <c r="E3549" s="227" t="n"/>
      <c r="F3549" s="227" t="n"/>
      <c r="G3549" s="227" t="n"/>
      <c r="H3549" s="227" t="n"/>
      <c r="I3549" s="227" t="n"/>
      <c r="J3549" s="227" t="n"/>
      <c r="K3549" s="227" t="n"/>
      <c r="L3549" s="227" t="n"/>
      <c r="M3549" s="227" t="n"/>
      <c r="N3549" s="127" t="n"/>
      <c r="O3549" s="227" t="n"/>
      <c r="P3549" s="227" t="n"/>
      <c r="Q3549" s="227" t="n"/>
      <c r="R3549" s="227" t="n"/>
      <c r="S3549" s="227" t="n"/>
      <c r="T3549" s="227" t="n"/>
    </row>
    <row r="3550">
      <c r="A3550" s="145">
        <f>IF($B3550="","",ROW()-5)</f>
        <v/>
      </c>
      <c r="B3550" s="127" t="n"/>
      <c r="C3550" s="223" t="n"/>
      <c r="D3550" s="127" t="n"/>
      <c r="E3550" s="227" t="n"/>
      <c r="F3550" s="227" t="n"/>
      <c r="G3550" s="227" t="n"/>
      <c r="H3550" s="227" t="n"/>
      <c r="I3550" s="227" t="n"/>
      <c r="J3550" s="227" t="n"/>
      <c r="K3550" s="227" t="n"/>
      <c r="L3550" s="227" t="n"/>
      <c r="M3550" s="227" t="n"/>
      <c r="N3550" s="127" t="n"/>
      <c r="O3550" s="227" t="n"/>
      <c r="P3550" s="227" t="n"/>
      <c r="Q3550" s="227" t="n"/>
      <c r="R3550" s="227" t="n"/>
      <c r="S3550" s="227" t="n"/>
      <c r="T3550" s="227" t="n"/>
    </row>
    <row r="3551">
      <c r="A3551" s="145">
        <f>IF($B3551="","",ROW()-5)</f>
        <v/>
      </c>
      <c r="B3551" s="127" t="n"/>
      <c r="C3551" s="223" t="n"/>
      <c r="D3551" s="127" t="n"/>
      <c r="E3551" s="227" t="n"/>
      <c r="F3551" s="227" t="n"/>
      <c r="G3551" s="227" t="n"/>
      <c r="H3551" s="227" t="n"/>
      <c r="I3551" s="227" t="n"/>
      <c r="J3551" s="227" t="n"/>
      <c r="K3551" s="227" t="n"/>
      <c r="L3551" s="227" t="n"/>
      <c r="M3551" s="227" t="n"/>
      <c r="N3551" s="127" t="n"/>
      <c r="O3551" s="227" t="n"/>
      <c r="P3551" s="227" t="n"/>
      <c r="Q3551" s="227" t="n"/>
      <c r="R3551" s="227" t="n"/>
      <c r="S3551" s="227" t="n"/>
      <c r="T3551" s="227" t="n"/>
    </row>
    <row r="3552">
      <c r="A3552" s="145">
        <f>IF($B3552="","",ROW()-5)</f>
        <v/>
      </c>
      <c r="B3552" s="127" t="n"/>
      <c r="C3552" s="223" t="n"/>
      <c r="D3552" s="127" t="n"/>
      <c r="E3552" s="227" t="n"/>
      <c r="F3552" s="227" t="n"/>
      <c r="G3552" s="227" t="n"/>
      <c r="H3552" s="227" t="n"/>
      <c r="I3552" s="227" t="n"/>
      <c r="J3552" s="227" t="n"/>
      <c r="K3552" s="227" t="n"/>
      <c r="L3552" s="227" t="n"/>
      <c r="M3552" s="227" t="n"/>
      <c r="N3552" s="127" t="n"/>
      <c r="O3552" s="227" t="n"/>
      <c r="P3552" s="227" t="n"/>
      <c r="Q3552" s="227" t="n"/>
      <c r="R3552" s="227" t="n"/>
      <c r="S3552" s="227" t="n"/>
      <c r="T3552" s="227" t="n"/>
    </row>
    <row r="3553">
      <c r="A3553" s="145">
        <f>IF($B3553="","",ROW()-5)</f>
        <v/>
      </c>
      <c r="B3553" s="127" t="n"/>
      <c r="C3553" s="223" t="n"/>
      <c r="D3553" s="127" t="n"/>
      <c r="E3553" s="227" t="n"/>
      <c r="F3553" s="227" t="n"/>
      <c r="G3553" s="227" t="n"/>
      <c r="H3553" s="227" t="n"/>
      <c r="I3553" s="227" t="n"/>
      <c r="J3553" s="227" t="n"/>
      <c r="K3553" s="227" t="n"/>
      <c r="L3553" s="227" t="n"/>
      <c r="M3553" s="227" t="n"/>
      <c r="N3553" s="127" t="n"/>
      <c r="O3553" s="227" t="n"/>
      <c r="P3553" s="227" t="n"/>
      <c r="Q3553" s="227" t="n"/>
      <c r="R3553" s="227" t="n"/>
      <c r="S3553" s="227" t="n"/>
      <c r="T3553" s="227" t="n"/>
    </row>
    <row r="3554">
      <c r="A3554" s="145">
        <f>IF($B3554="","",ROW()-5)</f>
        <v/>
      </c>
      <c r="B3554" s="127" t="n"/>
      <c r="C3554" s="223" t="n"/>
      <c r="D3554" s="127" t="n"/>
      <c r="E3554" s="227" t="n"/>
      <c r="F3554" s="227" t="n"/>
      <c r="G3554" s="227" t="n"/>
      <c r="H3554" s="227" t="n"/>
      <c r="I3554" s="227" t="n"/>
      <c r="J3554" s="227" t="n"/>
      <c r="K3554" s="227" t="n"/>
      <c r="L3554" s="227" t="n"/>
      <c r="M3554" s="227" t="n"/>
      <c r="N3554" s="127" t="n"/>
      <c r="O3554" s="227" t="n"/>
      <c r="P3554" s="227" t="n"/>
      <c r="Q3554" s="227" t="n"/>
      <c r="R3554" s="227" t="n"/>
      <c r="S3554" s="227" t="n"/>
      <c r="T3554" s="227" t="n"/>
    </row>
    <row r="3555">
      <c r="A3555" s="145">
        <f>IF($B3555="","",ROW()-5)</f>
        <v/>
      </c>
      <c r="B3555" s="127" t="n"/>
      <c r="C3555" s="223" t="n"/>
      <c r="D3555" s="127" t="n"/>
      <c r="E3555" s="227" t="n"/>
      <c r="F3555" s="227" t="n"/>
      <c r="G3555" s="227" t="n"/>
      <c r="H3555" s="227" t="n"/>
      <c r="I3555" s="227" t="n"/>
      <c r="J3555" s="227" t="n"/>
      <c r="K3555" s="227" t="n"/>
      <c r="L3555" s="227" t="n"/>
      <c r="M3555" s="227" t="n"/>
      <c r="N3555" s="127" t="n"/>
      <c r="O3555" s="227" t="n"/>
      <c r="P3555" s="227" t="n"/>
      <c r="Q3555" s="227" t="n"/>
      <c r="R3555" s="227" t="n"/>
      <c r="S3555" s="227" t="n"/>
      <c r="T3555" s="227" t="n"/>
    </row>
    <row r="3556">
      <c r="A3556" s="145">
        <f>IF($B3556="","",ROW()-5)</f>
        <v/>
      </c>
      <c r="B3556" s="127" t="n"/>
      <c r="C3556" s="223" t="n"/>
      <c r="D3556" s="127" t="n"/>
      <c r="E3556" s="227" t="n"/>
      <c r="F3556" s="227" t="n"/>
      <c r="G3556" s="227" t="n"/>
      <c r="H3556" s="227" t="n"/>
      <c r="I3556" s="227" t="n"/>
      <c r="J3556" s="227" t="n"/>
      <c r="K3556" s="227" t="n"/>
      <c r="L3556" s="227" t="n"/>
      <c r="M3556" s="227" t="n"/>
      <c r="N3556" s="127" t="n"/>
      <c r="O3556" s="227" t="n"/>
      <c r="P3556" s="227" t="n"/>
      <c r="Q3556" s="227" t="n"/>
      <c r="R3556" s="227" t="n"/>
      <c r="S3556" s="227" t="n"/>
      <c r="T3556" s="227" t="n"/>
    </row>
    <row r="3557">
      <c r="A3557" s="145">
        <f>IF($B3557="","",ROW()-5)</f>
        <v/>
      </c>
      <c r="B3557" s="127" t="n"/>
      <c r="C3557" s="223" t="n"/>
      <c r="D3557" s="127" t="n"/>
      <c r="E3557" s="227" t="n"/>
      <c r="F3557" s="227" t="n"/>
      <c r="G3557" s="227" t="n"/>
      <c r="H3557" s="227" t="n"/>
      <c r="I3557" s="227" t="n"/>
      <c r="J3557" s="227" t="n"/>
      <c r="K3557" s="227" t="n"/>
      <c r="L3557" s="227" t="n"/>
      <c r="M3557" s="227" t="n"/>
      <c r="N3557" s="127" t="n"/>
      <c r="O3557" s="227" t="n"/>
      <c r="P3557" s="227" t="n"/>
      <c r="Q3557" s="227" t="n"/>
      <c r="R3557" s="227" t="n"/>
      <c r="S3557" s="227" t="n"/>
      <c r="T3557" s="227" t="n"/>
    </row>
    <row r="3558">
      <c r="A3558" s="145">
        <f>IF($B3558="","",ROW()-5)</f>
        <v/>
      </c>
      <c r="B3558" s="127" t="n"/>
      <c r="C3558" s="223" t="n"/>
      <c r="D3558" s="127" t="n"/>
      <c r="E3558" s="227" t="n"/>
      <c r="F3558" s="227" t="n"/>
      <c r="G3558" s="227" t="n"/>
      <c r="H3558" s="227" t="n"/>
      <c r="I3558" s="227" t="n"/>
      <c r="J3558" s="227" t="n"/>
      <c r="K3558" s="227" t="n"/>
      <c r="L3558" s="227" t="n"/>
      <c r="M3558" s="227" t="n"/>
      <c r="N3558" s="127" t="n"/>
      <c r="O3558" s="227" t="n"/>
      <c r="P3558" s="227" t="n"/>
      <c r="Q3558" s="227" t="n"/>
      <c r="R3558" s="227" t="n"/>
      <c r="S3558" s="227" t="n"/>
      <c r="T3558" s="227" t="n"/>
    </row>
    <row r="3559">
      <c r="A3559" s="145">
        <f>IF($B3559="","",ROW()-5)</f>
        <v/>
      </c>
      <c r="B3559" s="127" t="n"/>
      <c r="C3559" s="223" t="n"/>
      <c r="D3559" s="127" t="n"/>
      <c r="E3559" s="227" t="n"/>
      <c r="F3559" s="227" t="n"/>
      <c r="G3559" s="227" t="n"/>
      <c r="H3559" s="227" t="n"/>
      <c r="I3559" s="227" t="n"/>
      <c r="J3559" s="227" t="n"/>
      <c r="K3559" s="227" t="n"/>
      <c r="L3559" s="227" t="n"/>
      <c r="M3559" s="227" t="n"/>
      <c r="N3559" s="127" t="n"/>
      <c r="O3559" s="227" t="n"/>
      <c r="P3559" s="227" t="n"/>
      <c r="Q3559" s="227" t="n"/>
      <c r="R3559" s="227" t="n"/>
      <c r="S3559" s="227" t="n"/>
      <c r="T3559" s="227" t="n"/>
    </row>
    <row r="3560">
      <c r="A3560" s="145">
        <f>IF($B3560="","",ROW()-5)</f>
        <v/>
      </c>
      <c r="B3560" s="127" t="n"/>
      <c r="C3560" s="223" t="n"/>
      <c r="D3560" s="127" t="n"/>
      <c r="E3560" s="227" t="n"/>
      <c r="F3560" s="227" t="n"/>
      <c r="G3560" s="227" t="n"/>
      <c r="H3560" s="227" t="n"/>
      <c r="I3560" s="227" t="n"/>
      <c r="J3560" s="227" t="n"/>
      <c r="K3560" s="227" t="n"/>
      <c r="L3560" s="227" t="n"/>
      <c r="M3560" s="227" t="n"/>
      <c r="N3560" s="127" t="n"/>
      <c r="O3560" s="227" t="n"/>
      <c r="P3560" s="227" t="n"/>
      <c r="Q3560" s="227" t="n"/>
      <c r="R3560" s="227" t="n"/>
      <c r="S3560" s="227" t="n"/>
      <c r="T3560" s="227" t="n"/>
    </row>
    <row r="3561">
      <c r="A3561" s="145">
        <f>IF($B3561="","",ROW()-5)</f>
        <v/>
      </c>
      <c r="B3561" s="127" t="n"/>
      <c r="C3561" s="223" t="n"/>
      <c r="D3561" s="127" t="n"/>
      <c r="E3561" s="227" t="n"/>
      <c r="F3561" s="227" t="n"/>
      <c r="G3561" s="227" t="n"/>
      <c r="H3561" s="227" t="n"/>
      <c r="I3561" s="227" t="n"/>
      <c r="J3561" s="227" t="n"/>
      <c r="K3561" s="227" t="n"/>
      <c r="L3561" s="227" t="n"/>
      <c r="M3561" s="227" t="n"/>
      <c r="N3561" s="127" t="n"/>
      <c r="O3561" s="227" t="n"/>
      <c r="P3561" s="227" t="n"/>
      <c r="Q3561" s="227" t="n"/>
      <c r="R3561" s="227" t="n"/>
      <c r="S3561" s="227" t="n"/>
      <c r="T3561" s="227" t="n"/>
    </row>
    <row r="3562">
      <c r="A3562" s="145">
        <f>IF($B3562="","",ROW()-5)</f>
        <v/>
      </c>
      <c r="B3562" s="127" t="n"/>
      <c r="C3562" s="223" t="n"/>
      <c r="D3562" s="127" t="n"/>
      <c r="E3562" s="227" t="n"/>
      <c r="F3562" s="227" t="n"/>
      <c r="G3562" s="227" t="n"/>
      <c r="H3562" s="227" t="n"/>
      <c r="I3562" s="227" t="n"/>
      <c r="J3562" s="227" t="n"/>
      <c r="K3562" s="227" t="n"/>
      <c r="L3562" s="227" t="n"/>
      <c r="M3562" s="227" t="n"/>
      <c r="N3562" s="127" t="n"/>
      <c r="O3562" s="227" t="n"/>
      <c r="P3562" s="227" t="n"/>
      <c r="Q3562" s="227" t="n"/>
      <c r="R3562" s="227" t="n"/>
      <c r="S3562" s="227" t="n"/>
      <c r="T3562" s="227" t="n"/>
    </row>
    <row r="3563">
      <c r="A3563" s="145">
        <f>IF($B3563="","",ROW()-5)</f>
        <v/>
      </c>
      <c r="B3563" s="127" t="n"/>
      <c r="C3563" s="223" t="n"/>
      <c r="D3563" s="127" t="n"/>
      <c r="E3563" s="227" t="n"/>
      <c r="F3563" s="227" t="n"/>
      <c r="G3563" s="227" t="n"/>
      <c r="H3563" s="227" t="n"/>
      <c r="I3563" s="227" t="n"/>
      <c r="J3563" s="227" t="n"/>
      <c r="K3563" s="227" t="n"/>
      <c r="L3563" s="227" t="n"/>
      <c r="M3563" s="227" t="n"/>
      <c r="N3563" s="127" t="n"/>
      <c r="O3563" s="227" t="n"/>
      <c r="P3563" s="227" t="n"/>
      <c r="Q3563" s="227" t="n"/>
      <c r="R3563" s="227" t="n"/>
      <c r="S3563" s="227" t="n"/>
      <c r="T3563" s="227" t="n"/>
    </row>
    <row r="3564">
      <c r="A3564" s="145">
        <f>IF($B3564="","",ROW()-5)</f>
        <v/>
      </c>
      <c r="B3564" s="127" t="n"/>
      <c r="C3564" s="223" t="n"/>
      <c r="D3564" s="127" t="n"/>
      <c r="E3564" s="227" t="n"/>
      <c r="F3564" s="227" t="n"/>
      <c r="G3564" s="227" t="n"/>
      <c r="H3564" s="227" t="n"/>
      <c r="I3564" s="227" t="n"/>
      <c r="J3564" s="227" t="n"/>
      <c r="K3564" s="227" t="n"/>
      <c r="L3564" s="227" t="n"/>
      <c r="M3564" s="227" t="n"/>
      <c r="N3564" s="127" t="n"/>
      <c r="O3564" s="227" t="n"/>
      <c r="P3564" s="227" t="n"/>
      <c r="Q3564" s="227" t="n"/>
      <c r="R3564" s="227" t="n"/>
      <c r="S3564" s="227" t="n"/>
      <c r="T3564" s="227" t="n"/>
    </row>
    <row r="3565">
      <c r="A3565" s="145">
        <f>IF($B3565="","",ROW()-5)</f>
        <v/>
      </c>
      <c r="B3565" s="127" t="n"/>
      <c r="C3565" s="223" t="n"/>
      <c r="D3565" s="127" t="n"/>
      <c r="E3565" s="227" t="n"/>
      <c r="F3565" s="227" t="n"/>
      <c r="G3565" s="227" t="n"/>
      <c r="H3565" s="227" t="n"/>
      <c r="I3565" s="227" t="n"/>
      <c r="J3565" s="227" t="n"/>
      <c r="K3565" s="227" t="n"/>
      <c r="L3565" s="227" t="n"/>
      <c r="M3565" s="227" t="n"/>
      <c r="N3565" s="127" t="n"/>
      <c r="O3565" s="227" t="n"/>
      <c r="P3565" s="227" t="n"/>
      <c r="Q3565" s="227" t="n"/>
      <c r="R3565" s="227" t="n"/>
      <c r="S3565" s="227" t="n"/>
      <c r="T3565" s="227" t="n"/>
    </row>
    <row r="3566">
      <c r="A3566" s="145">
        <f>IF($B3566="","",ROW()-5)</f>
        <v/>
      </c>
      <c r="B3566" s="127" t="n"/>
      <c r="C3566" s="223" t="n"/>
      <c r="D3566" s="127" t="n"/>
      <c r="E3566" s="227" t="n"/>
      <c r="F3566" s="227" t="n"/>
      <c r="G3566" s="227" t="n"/>
      <c r="H3566" s="227" t="n"/>
      <c r="I3566" s="227" t="n"/>
      <c r="J3566" s="227" t="n"/>
      <c r="K3566" s="227" t="n"/>
      <c r="L3566" s="227" t="n"/>
      <c r="M3566" s="227" t="n"/>
      <c r="N3566" s="127" t="n"/>
      <c r="O3566" s="227" t="n"/>
      <c r="P3566" s="227" t="n"/>
      <c r="Q3566" s="227" t="n"/>
      <c r="R3566" s="227" t="n"/>
      <c r="S3566" s="227" t="n"/>
      <c r="T3566" s="227" t="n"/>
    </row>
    <row r="3567">
      <c r="A3567" s="145">
        <f>IF($B3567="","",ROW()-5)</f>
        <v/>
      </c>
      <c r="B3567" s="127" t="n"/>
      <c r="C3567" s="223" t="n"/>
      <c r="D3567" s="127" t="n"/>
      <c r="E3567" s="227" t="n"/>
      <c r="F3567" s="227" t="n"/>
      <c r="G3567" s="227" t="n"/>
      <c r="H3567" s="227" t="n"/>
      <c r="I3567" s="227" t="n"/>
      <c r="J3567" s="227" t="n"/>
      <c r="K3567" s="227" t="n"/>
      <c r="L3567" s="227" t="n"/>
      <c r="M3567" s="227" t="n"/>
      <c r="N3567" s="127" t="n"/>
      <c r="O3567" s="227" t="n"/>
      <c r="P3567" s="227" t="n"/>
      <c r="Q3567" s="227" t="n"/>
      <c r="R3567" s="227" t="n"/>
      <c r="S3567" s="227" t="n"/>
      <c r="T3567" s="227" t="n"/>
    </row>
    <row r="3568">
      <c r="A3568" s="145">
        <f>IF($B3568="","",ROW()-5)</f>
        <v/>
      </c>
      <c r="B3568" s="127" t="n"/>
      <c r="C3568" s="223" t="n"/>
      <c r="D3568" s="127" t="n"/>
      <c r="E3568" s="227" t="n"/>
      <c r="F3568" s="227" t="n"/>
      <c r="G3568" s="227" t="n"/>
      <c r="H3568" s="227" t="n"/>
      <c r="I3568" s="227" t="n"/>
      <c r="J3568" s="227" t="n"/>
      <c r="K3568" s="227" t="n"/>
      <c r="L3568" s="227" t="n"/>
      <c r="M3568" s="227" t="n"/>
      <c r="N3568" s="127" t="n"/>
      <c r="O3568" s="227" t="n"/>
      <c r="P3568" s="227" t="n"/>
      <c r="Q3568" s="227" t="n"/>
      <c r="R3568" s="227" t="n"/>
      <c r="S3568" s="227" t="n"/>
      <c r="T3568" s="227" t="n"/>
    </row>
    <row r="3569">
      <c r="A3569" s="145">
        <f>IF($B3569="","",ROW()-5)</f>
        <v/>
      </c>
      <c r="B3569" s="127" t="n"/>
      <c r="C3569" s="223" t="n"/>
      <c r="D3569" s="127" t="n"/>
      <c r="E3569" s="227" t="n"/>
      <c r="F3569" s="227" t="n"/>
      <c r="G3569" s="227" t="n"/>
      <c r="H3569" s="227" t="n"/>
      <c r="I3569" s="227" t="n"/>
      <c r="J3569" s="227" t="n"/>
      <c r="K3569" s="227" t="n"/>
      <c r="L3569" s="227" t="n"/>
      <c r="M3569" s="227" t="n"/>
      <c r="N3569" s="127" t="n"/>
      <c r="O3569" s="227" t="n"/>
      <c r="P3569" s="227" t="n"/>
      <c r="Q3569" s="227" t="n"/>
      <c r="R3569" s="227" t="n"/>
      <c r="S3569" s="227" t="n"/>
      <c r="T3569" s="227" t="n"/>
    </row>
    <row r="3570">
      <c r="A3570" s="145">
        <f>IF($B3570="","",ROW()-5)</f>
        <v/>
      </c>
      <c r="B3570" s="127" t="n"/>
      <c r="C3570" s="223" t="n"/>
      <c r="D3570" s="127" t="n"/>
      <c r="E3570" s="227" t="n"/>
      <c r="F3570" s="227" t="n"/>
      <c r="G3570" s="227" t="n"/>
      <c r="H3570" s="227" t="n"/>
      <c r="I3570" s="227" t="n"/>
      <c r="J3570" s="227" t="n"/>
      <c r="K3570" s="227" t="n"/>
      <c r="L3570" s="227" t="n"/>
      <c r="M3570" s="227" t="n"/>
      <c r="N3570" s="127" t="n"/>
      <c r="O3570" s="227" t="n"/>
      <c r="P3570" s="227" t="n"/>
      <c r="Q3570" s="227" t="n"/>
      <c r="R3570" s="227" t="n"/>
      <c r="S3570" s="227" t="n"/>
      <c r="T3570" s="227" t="n"/>
    </row>
    <row r="3571">
      <c r="A3571" s="145">
        <f>IF($B3571="","",ROW()-5)</f>
        <v/>
      </c>
      <c r="B3571" s="127" t="n"/>
      <c r="C3571" s="223" t="n"/>
      <c r="D3571" s="127" t="n"/>
      <c r="E3571" s="227" t="n"/>
      <c r="F3571" s="227" t="n"/>
      <c r="G3571" s="227" t="n"/>
      <c r="H3571" s="227" t="n"/>
      <c r="I3571" s="227" t="n"/>
      <c r="J3571" s="227" t="n"/>
      <c r="K3571" s="227" t="n"/>
      <c r="L3571" s="227" t="n"/>
      <c r="M3571" s="227" t="n"/>
      <c r="N3571" s="127" t="n"/>
      <c r="O3571" s="227" t="n"/>
      <c r="P3571" s="227" t="n"/>
      <c r="Q3571" s="227" t="n"/>
      <c r="R3571" s="227" t="n"/>
      <c r="S3571" s="227" t="n"/>
      <c r="T3571" s="227" t="n"/>
    </row>
    <row r="3572">
      <c r="A3572" s="145">
        <f>IF($B3572="","",ROW()-5)</f>
        <v/>
      </c>
      <c r="B3572" s="127" t="n"/>
      <c r="C3572" s="223" t="n"/>
      <c r="D3572" s="127" t="n"/>
      <c r="E3572" s="227" t="n"/>
      <c r="F3572" s="227" t="n"/>
      <c r="G3572" s="227" t="n"/>
      <c r="H3572" s="227" t="n"/>
      <c r="I3572" s="227" t="n"/>
      <c r="J3572" s="227" t="n"/>
      <c r="K3572" s="227" t="n"/>
      <c r="L3572" s="227" t="n"/>
      <c r="M3572" s="227" t="n"/>
      <c r="N3572" s="127" t="n"/>
      <c r="O3572" s="227" t="n"/>
      <c r="P3572" s="227" t="n"/>
      <c r="Q3572" s="227" t="n"/>
      <c r="R3572" s="227" t="n"/>
      <c r="S3572" s="227" t="n"/>
      <c r="T3572" s="227" t="n"/>
    </row>
    <row r="3573">
      <c r="A3573" s="145">
        <f>IF($B3573="","",ROW()-5)</f>
        <v/>
      </c>
      <c r="B3573" s="127" t="n"/>
      <c r="C3573" s="223" t="n"/>
      <c r="D3573" s="127" t="n"/>
      <c r="E3573" s="227" t="n"/>
      <c r="F3573" s="227" t="n"/>
      <c r="G3573" s="227" t="n"/>
      <c r="H3573" s="227" t="n"/>
      <c r="I3573" s="227" t="n"/>
      <c r="J3573" s="227" t="n"/>
      <c r="K3573" s="227" t="n"/>
      <c r="L3573" s="227" t="n"/>
      <c r="M3573" s="227" t="n"/>
      <c r="N3573" s="127" t="n"/>
      <c r="O3573" s="227" t="n"/>
      <c r="P3573" s="227" t="n"/>
      <c r="Q3573" s="227" t="n"/>
      <c r="R3573" s="227" t="n"/>
      <c r="S3573" s="227" t="n"/>
      <c r="T3573" s="227" t="n"/>
    </row>
    <row r="3574">
      <c r="A3574" s="145">
        <f>IF($B3574="","",ROW()-5)</f>
        <v/>
      </c>
      <c r="B3574" s="127" t="n"/>
      <c r="C3574" s="223" t="n"/>
      <c r="D3574" s="127" t="n"/>
      <c r="E3574" s="227" t="n"/>
      <c r="F3574" s="227" t="n"/>
      <c r="G3574" s="227" t="n"/>
      <c r="H3574" s="227" t="n"/>
      <c r="I3574" s="227" t="n"/>
      <c r="J3574" s="227" t="n"/>
      <c r="K3574" s="227" t="n"/>
      <c r="L3574" s="227" t="n"/>
      <c r="M3574" s="227" t="n"/>
      <c r="N3574" s="127" t="n"/>
      <c r="O3574" s="227" t="n"/>
      <c r="P3574" s="227" t="n"/>
      <c r="Q3574" s="227" t="n"/>
      <c r="R3574" s="227" t="n"/>
      <c r="S3574" s="227" t="n"/>
      <c r="T3574" s="227" t="n"/>
    </row>
    <row r="3575">
      <c r="A3575" s="145">
        <f>IF($B3575="","",ROW()-5)</f>
        <v/>
      </c>
      <c r="B3575" s="127" t="n"/>
      <c r="C3575" s="223" t="n"/>
      <c r="D3575" s="127" t="n"/>
      <c r="E3575" s="227" t="n"/>
      <c r="F3575" s="227" t="n"/>
      <c r="G3575" s="227" t="n"/>
      <c r="H3575" s="227" t="n"/>
      <c r="I3575" s="227" t="n"/>
      <c r="J3575" s="227" t="n"/>
      <c r="K3575" s="227" t="n"/>
      <c r="L3575" s="227" t="n"/>
      <c r="M3575" s="227" t="n"/>
      <c r="N3575" s="127" t="n"/>
      <c r="O3575" s="227" t="n"/>
      <c r="P3575" s="227" t="n"/>
      <c r="Q3575" s="227" t="n"/>
      <c r="R3575" s="227" t="n"/>
      <c r="S3575" s="227" t="n"/>
      <c r="T3575" s="227" t="n"/>
    </row>
    <row r="3576">
      <c r="A3576" s="145">
        <f>IF($B3576="","",ROW()-5)</f>
        <v/>
      </c>
      <c r="B3576" s="127" t="n"/>
      <c r="C3576" s="223" t="n"/>
      <c r="D3576" s="127" t="n"/>
      <c r="E3576" s="227" t="n"/>
      <c r="F3576" s="227" t="n"/>
      <c r="G3576" s="227" t="n"/>
      <c r="H3576" s="227" t="n"/>
      <c r="I3576" s="227" t="n"/>
      <c r="J3576" s="227" t="n"/>
      <c r="K3576" s="227" t="n"/>
      <c r="L3576" s="227" t="n"/>
      <c r="M3576" s="227" t="n"/>
      <c r="N3576" s="127" t="n"/>
      <c r="O3576" s="227" t="n"/>
      <c r="P3576" s="227" t="n"/>
      <c r="Q3576" s="227" t="n"/>
      <c r="R3576" s="227" t="n"/>
      <c r="S3576" s="227" t="n"/>
      <c r="T3576" s="227" t="n"/>
    </row>
    <row r="3577">
      <c r="A3577" s="145">
        <f>IF($B3577="","",ROW()-5)</f>
        <v/>
      </c>
      <c r="B3577" s="127" t="n"/>
      <c r="C3577" s="223" t="n"/>
      <c r="D3577" s="127" t="n"/>
      <c r="E3577" s="227" t="n"/>
      <c r="F3577" s="227" t="n"/>
      <c r="G3577" s="227" t="n"/>
      <c r="H3577" s="227" t="n"/>
      <c r="I3577" s="227" t="n"/>
      <c r="J3577" s="227" t="n"/>
      <c r="K3577" s="227" t="n"/>
      <c r="L3577" s="227" t="n"/>
      <c r="M3577" s="227" t="n"/>
      <c r="N3577" s="127" t="n"/>
      <c r="O3577" s="227" t="n"/>
      <c r="P3577" s="227" t="n"/>
      <c r="Q3577" s="227" t="n"/>
      <c r="R3577" s="227" t="n"/>
      <c r="S3577" s="227" t="n"/>
      <c r="T3577" s="227" t="n"/>
    </row>
    <row r="3578">
      <c r="A3578" s="145">
        <f>IF($B3578="","",ROW()-5)</f>
        <v/>
      </c>
      <c r="B3578" s="127" t="n"/>
      <c r="C3578" s="223" t="n"/>
      <c r="D3578" s="127" t="n"/>
      <c r="E3578" s="227" t="n"/>
      <c r="F3578" s="227" t="n"/>
      <c r="G3578" s="227" t="n"/>
      <c r="H3578" s="227" t="n"/>
      <c r="I3578" s="227" t="n"/>
      <c r="J3578" s="227" t="n"/>
      <c r="K3578" s="227" t="n"/>
      <c r="L3578" s="227" t="n"/>
      <c r="M3578" s="227" t="n"/>
      <c r="N3578" s="127" t="n"/>
      <c r="O3578" s="227" t="n"/>
      <c r="P3578" s="227" t="n"/>
      <c r="Q3578" s="227" t="n"/>
      <c r="R3578" s="227" t="n"/>
      <c r="S3578" s="227" t="n"/>
      <c r="T3578" s="227" t="n"/>
    </row>
    <row r="3579">
      <c r="A3579" s="145">
        <f>IF($B3579="","",ROW()-5)</f>
        <v/>
      </c>
      <c r="B3579" s="127" t="n"/>
      <c r="C3579" s="223" t="n"/>
      <c r="D3579" s="127" t="n"/>
      <c r="E3579" s="227" t="n"/>
      <c r="F3579" s="227" t="n"/>
      <c r="G3579" s="227" t="n"/>
      <c r="H3579" s="227" t="n"/>
      <c r="I3579" s="227" t="n"/>
      <c r="J3579" s="227" t="n"/>
      <c r="K3579" s="227" t="n"/>
      <c r="L3579" s="227" t="n"/>
      <c r="M3579" s="227" t="n"/>
      <c r="N3579" s="127" t="n"/>
      <c r="O3579" s="227" t="n"/>
      <c r="P3579" s="227" t="n"/>
      <c r="Q3579" s="227" t="n"/>
      <c r="R3579" s="227" t="n"/>
      <c r="S3579" s="227" t="n"/>
      <c r="T3579" s="227" t="n"/>
    </row>
    <row r="3580">
      <c r="A3580" s="145">
        <f>IF($B3580="","",ROW()-5)</f>
        <v/>
      </c>
      <c r="B3580" s="127" t="n"/>
      <c r="C3580" s="223" t="n"/>
      <c r="D3580" s="127" t="n"/>
      <c r="E3580" s="227" t="n"/>
      <c r="F3580" s="227" t="n"/>
      <c r="G3580" s="227" t="n"/>
      <c r="H3580" s="227" t="n"/>
      <c r="I3580" s="227" t="n"/>
      <c r="J3580" s="227" t="n"/>
      <c r="K3580" s="227" t="n"/>
      <c r="L3580" s="227" t="n"/>
      <c r="M3580" s="227" t="n"/>
      <c r="N3580" s="127" t="n"/>
      <c r="O3580" s="227" t="n"/>
      <c r="P3580" s="227" t="n"/>
      <c r="Q3580" s="227" t="n"/>
      <c r="R3580" s="227" t="n"/>
      <c r="S3580" s="227" t="n"/>
      <c r="T3580" s="227" t="n"/>
    </row>
    <row r="3581">
      <c r="A3581" s="145">
        <f>IF($B3581="","",ROW()-5)</f>
        <v/>
      </c>
      <c r="B3581" s="127" t="n"/>
      <c r="C3581" s="223" t="n"/>
      <c r="D3581" s="127" t="n"/>
      <c r="E3581" s="227" t="n"/>
      <c r="F3581" s="227" t="n"/>
      <c r="G3581" s="227" t="n"/>
      <c r="H3581" s="227" t="n"/>
      <c r="I3581" s="227" t="n"/>
      <c r="J3581" s="227" t="n"/>
      <c r="K3581" s="227" t="n"/>
      <c r="L3581" s="227" t="n"/>
      <c r="M3581" s="227" t="n"/>
      <c r="N3581" s="127" t="n"/>
      <c r="O3581" s="227" t="n"/>
      <c r="P3581" s="227" t="n"/>
      <c r="Q3581" s="227" t="n"/>
      <c r="R3581" s="227" t="n"/>
      <c r="S3581" s="227" t="n"/>
      <c r="T3581" s="227" t="n"/>
    </row>
    <row r="3582">
      <c r="A3582" s="145">
        <f>IF($B3582="","",ROW()-5)</f>
        <v/>
      </c>
      <c r="B3582" s="127" t="n"/>
      <c r="C3582" s="223" t="n"/>
      <c r="D3582" s="127" t="n"/>
      <c r="E3582" s="227" t="n"/>
      <c r="F3582" s="227" t="n"/>
      <c r="G3582" s="227" t="n"/>
      <c r="H3582" s="227" t="n"/>
      <c r="I3582" s="227" t="n"/>
      <c r="J3582" s="227" t="n"/>
      <c r="K3582" s="227" t="n"/>
      <c r="L3582" s="227" t="n"/>
      <c r="M3582" s="227" t="n"/>
      <c r="N3582" s="127" t="n"/>
      <c r="O3582" s="227" t="n"/>
      <c r="P3582" s="227" t="n"/>
      <c r="Q3582" s="227" t="n"/>
      <c r="R3582" s="227" t="n"/>
      <c r="S3582" s="227" t="n"/>
      <c r="T3582" s="227" t="n"/>
    </row>
    <row r="3583">
      <c r="A3583" s="145">
        <f>IF($B3583="","",ROW()-5)</f>
        <v/>
      </c>
      <c r="B3583" s="127" t="n"/>
      <c r="C3583" s="223" t="n"/>
      <c r="D3583" s="127" t="n"/>
      <c r="E3583" s="227" t="n"/>
      <c r="F3583" s="227" t="n"/>
      <c r="G3583" s="227" t="n"/>
      <c r="H3583" s="227" t="n"/>
      <c r="I3583" s="227" t="n"/>
      <c r="J3583" s="227" t="n"/>
      <c r="K3583" s="227" t="n"/>
      <c r="L3583" s="227" t="n"/>
      <c r="M3583" s="227" t="n"/>
      <c r="N3583" s="127" t="n"/>
      <c r="O3583" s="227" t="n"/>
      <c r="P3583" s="227" t="n"/>
      <c r="Q3583" s="227" t="n"/>
      <c r="R3583" s="227" t="n"/>
      <c r="S3583" s="227" t="n"/>
      <c r="T3583" s="227" t="n"/>
    </row>
    <row r="3584">
      <c r="A3584" s="145">
        <f>IF($B3584="","",ROW()-5)</f>
        <v/>
      </c>
      <c r="B3584" s="127" t="n"/>
      <c r="C3584" s="223" t="n"/>
      <c r="D3584" s="127" t="n"/>
      <c r="E3584" s="227" t="n"/>
      <c r="F3584" s="227" t="n"/>
      <c r="G3584" s="227" t="n"/>
      <c r="H3584" s="227" t="n"/>
      <c r="I3584" s="227" t="n"/>
      <c r="J3584" s="227" t="n"/>
      <c r="K3584" s="227" t="n"/>
      <c r="L3584" s="227" t="n"/>
      <c r="M3584" s="227" t="n"/>
      <c r="N3584" s="127" t="n"/>
      <c r="O3584" s="227" t="n"/>
      <c r="P3584" s="227" t="n"/>
      <c r="Q3584" s="227" t="n"/>
      <c r="R3584" s="227" t="n"/>
      <c r="S3584" s="227" t="n"/>
      <c r="T3584" s="227" t="n"/>
    </row>
    <row r="3585">
      <c r="A3585" s="145">
        <f>IF($B3585="","",ROW()-5)</f>
        <v/>
      </c>
      <c r="B3585" s="127" t="n"/>
      <c r="C3585" s="223" t="n"/>
      <c r="D3585" s="127" t="n"/>
      <c r="E3585" s="227" t="n"/>
      <c r="F3585" s="227" t="n"/>
      <c r="G3585" s="227" t="n"/>
      <c r="H3585" s="227" t="n"/>
      <c r="I3585" s="227" t="n"/>
      <c r="J3585" s="227" t="n"/>
      <c r="K3585" s="227" t="n"/>
      <c r="L3585" s="227" t="n"/>
      <c r="M3585" s="227" t="n"/>
      <c r="N3585" s="127" t="n"/>
      <c r="O3585" s="227" t="n"/>
      <c r="P3585" s="227" t="n"/>
      <c r="Q3585" s="227" t="n"/>
      <c r="R3585" s="227" t="n"/>
      <c r="S3585" s="227" t="n"/>
      <c r="T3585" s="227" t="n"/>
    </row>
    <row r="3586">
      <c r="A3586" s="145">
        <f>IF($B3586="","",ROW()-5)</f>
        <v/>
      </c>
      <c r="B3586" s="127" t="n"/>
      <c r="C3586" s="223" t="n"/>
      <c r="D3586" s="127" t="n"/>
      <c r="E3586" s="227" t="n"/>
      <c r="F3586" s="227" t="n"/>
      <c r="G3586" s="227" t="n"/>
      <c r="H3586" s="227" t="n"/>
      <c r="I3586" s="227" t="n"/>
      <c r="J3586" s="227" t="n"/>
      <c r="K3586" s="227" t="n"/>
      <c r="L3586" s="227" t="n"/>
      <c r="M3586" s="227" t="n"/>
      <c r="N3586" s="127" t="n"/>
      <c r="O3586" s="227" t="n"/>
      <c r="P3586" s="227" t="n"/>
      <c r="Q3586" s="227" t="n"/>
      <c r="R3586" s="227" t="n"/>
      <c r="S3586" s="227" t="n"/>
      <c r="T3586" s="227" t="n"/>
    </row>
    <row r="3587">
      <c r="A3587" s="145">
        <f>IF($B3587="","",ROW()-5)</f>
        <v/>
      </c>
      <c r="B3587" s="127" t="n"/>
      <c r="C3587" s="223" t="n"/>
      <c r="D3587" s="127" t="n"/>
      <c r="E3587" s="227" t="n"/>
      <c r="F3587" s="227" t="n"/>
      <c r="G3587" s="227" t="n"/>
      <c r="H3587" s="227" t="n"/>
      <c r="I3587" s="227" t="n"/>
      <c r="J3587" s="227" t="n"/>
      <c r="K3587" s="227" t="n"/>
      <c r="L3587" s="227" t="n"/>
      <c r="M3587" s="227" t="n"/>
      <c r="N3587" s="127" t="n"/>
      <c r="O3587" s="227" t="n"/>
      <c r="P3587" s="227" t="n"/>
      <c r="Q3587" s="227" t="n"/>
      <c r="R3587" s="227" t="n"/>
      <c r="S3587" s="227" t="n"/>
      <c r="T3587" s="227" t="n"/>
    </row>
    <row r="3588">
      <c r="A3588" s="145">
        <f>IF($B3588="","",ROW()-5)</f>
        <v/>
      </c>
      <c r="B3588" s="127" t="n"/>
      <c r="C3588" s="223" t="n"/>
      <c r="D3588" s="127" t="n"/>
      <c r="E3588" s="227" t="n"/>
      <c r="F3588" s="227" t="n"/>
      <c r="G3588" s="227" t="n"/>
      <c r="H3588" s="227" t="n"/>
      <c r="I3588" s="227" t="n"/>
      <c r="J3588" s="227" t="n"/>
      <c r="K3588" s="227" t="n"/>
      <c r="L3588" s="227" t="n"/>
      <c r="M3588" s="227" t="n"/>
      <c r="N3588" s="127" t="n"/>
      <c r="O3588" s="227" t="n"/>
      <c r="P3588" s="227" t="n"/>
      <c r="Q3588" s="227" t="n"/>
      <c r="R3588" s="227" t="n"/>
      <c r="S3588" s="227" t="n"/>
      <c r="T3588" s="227" t="n"/>
    </row>
    <row r="3589">
      <c r="A3589" s="145">
        <f>IF($B3589="","",ROW()-5)</f>
        <v/>
      </c>
      <c r="B3589" s="127" t="n"/>
      <c r="C3589" s="223" t="n"/>
      <c r="D3589" s="127" t="n"/>
      <c r="E3589" s="227" t="n"/>
      <c r="F3589" s="227" t="n"/>
      <c r="G3589" s="227" t="n"/>
      <c r="H3589" s="227" t="n"/>
      <c r="I3589" s="227" t="n"/>
      <c r="J3589" s="227" t="n"/>
      <c r="K3589" s="227" t="n"/>
      <c r="L3589" s="227" t="n"/>
      <c r="M3589" s="227" t="n"/>
      <c r="N3589" s="127" t="n"/>
      <c r="O3589" s="227" t="n"/>
      <c r="P3589" s="227" t="n"/>
      <c r="Q3589" s="227" t="n"/>
      <c r="R3589" s="227" t="n"/>
      <c r="S3589" s="227" t="n"/>
      <c r="T3589" s="227" t="n"/>
    </row>
    <row r="3590">
      <c r="A3590" s="145">
        <f>IF($B3590="","",ROW()-5)</f>
        <v/>
      </c>
      <c r="B3590" s="127" t="n"/>
      <c r="C3590" s="223" t="n"/>
      <c r="D3590" s="127" t="n"/>
      <c r="E3590" s="227" t="n"/>
      <c r="F3590" s="227" t="n"/>
      <c r="G3590" s="227" t="n"/>
      <c r="H3590" s="227" t="n"/>
      <c r="I3590" s="227" t="n"/>
      <c r="J3590" s="227" t="n"/>
      <c r="K3590" s="227" t="n"/>
      <c r="L3590" s="227" t="n"/>
      <c r="M3590" s="227" t="n"/>
      <c r="N3590" s="127" t="n"/>
      <c r="O3590" s="227" t="n"/>
      <c r="P3590" s="227" t="n"/>
      <c r="Q3590" s="227" t="n"/>
      <c r="R3590" s="227" t="n"/>
      <c r="S3590" s="227" t="n"/>
      <c r="T3590" s="227" t="n"/>
    </row>
    <row r="3591">
      <c r="A3591" s="145">
        <f>IF($B3591="","",ROW()-5)</f>
        <v/>
      </c>
      <c r="B3591" s="127" t="n"/>
      <c r="C3591" s="223" t="n"/>
      <c r="D3591" s="127" t="n"/>
      <c r="E3591" s="227" t="n"/>
      <c r="F3591" s="227" t="n"/>
      <c r="G3591" s="227" t="n"/>
      <c r="H3591" s="227" t="n"/>
      <c r="I3591" s="227" t="n"/>
      <c r="J3591" s="227" t="n"/>
      <c r="K3591" s="227" t="n"/>
      <c r="L3591" s="227" t="n"/>
      <c r="M3591" s="227" t="n"/>
      <c r="N3591" s="127" t="n"/>
      <c r="O3591" s="227" t="n"/>
      <c r="P3591" s="227" t="n"/>
      <c r="Q3591" s="227" t="n"/>
      <c r="R3591" s="227" t="n"/>
      <c r="S3591" s="227" t="n"/>
      <c r="T3591" s="227" t="n"/>
    </row>
    <row r="3592">
      <c r="A3592" s="145">
        <f>IF($B3592="","",ROW()-5)</f>
        <v/>
      </c>
      <c r="B3592" s="127" t="n"/>
      <c r="C3592" s="223" t="n"/>
      <c r="D3592" s="127" t="n"/>
      <c r="E3592" s="227" t="n"/>
      <c r="F3592" s="227" t="n"/>
      <c r="G3592" s="227" t="n"/>
      <c r="H3592" s="227" t="n"/>
      <c r="I3592" s="227" t="n"/>
      <c r="J3592" s="227" t="n"/>
      <c r="K3592" s="227" t="n"/>
      <c r="L3592" s="227" t="n"/>
      <c r="M3592" s="227" t="n"/>
      <c r="N3592" s="127" t="n"/>
      <c r="O3592" s="227" t="n"/>
      <c r="P3592" s="227" t="n"/>
      <c r="Q3592" s="227" t="n"/>
      <c r="R3592" s="227" t="n"/>
      <c r="S3592" s="227" t="n"/>
      <c r="T3592" s="227" t="n"/>
    </row>
    <row r="3593">
      <c r="A3593" s="145">
        <f>IF($B3593="","",ROW()-5)</f>
        <v/>
      </c>
      <c r="B3593" s="127" t="n"/>
      <c r="C3593" s="223" t="n"/>
      <c r="D3593" s="127" t="n"/>
      <c r="E3593" s="227" t="n"/>
      <c r="F3593" s="227" t="n"/>
      <c r="G3593" s="227" t="n"/>
      <c r="H3593" s="227" t="n"/>
      <c r="I3593" s="227" t="n"/>
      <c r="J3593" s="227" t="n"/>
      <c r="K3593" s="227" t="n"/>
      <c r="L3593" s="227" t="n"/>
      <c r="M3593" s="227" t="n"/>
      <c r="N3593" s="127" t="n"/>
      <c r="O3593" s="227" t="n"/>
      <c r="P3593" s="227" t="n"/>
      <c r="Q3593" s="227" t="n"/>
      <c r="R3593" s="227" t="n"/>
      <c r="S3593" s="227" t="n"/>
      <c r="T3593" s="227" t="n"/>
    </row>
    <row r="3594">
      <c r="A3594" s="145">
        <f>IF($B3594="","",ROW()-5)</f>
        <v/>
      </c>
      <c r="B3594" s="127" t="n"/>
      <c r="C3594" s="223" t="n"/>
      <c r="D3594" s="127" t="n"/>
      <c r="E3594" s="227" t="n"/>
      <c r="F3594" s="227" t="n"/>
      <c r="G3594" s="227" t="n"/>
      <c r="H3594" s="227" t="n"/>
      <c r="I3594" s="227" t="n"/>
      <c r="J3594" s="227" t="n"/>
      <c r="K3594" s="227" t="n"/>
      <c r="L3594" s="227" t="n"/>
      <c r="M3594" s="227" t="n"/>
      <c r="N3594" s="127" t="n"/>
      <c r="O3594" s="227" t="n"/>
      <c r="P3594" s="227" t="n"/>
      <c r="Q3594" s="227" t="n"/>
      <c r="R3594" s="227" t="n"/>
      <c r="S3594" s="227" t="n"/>
      <c r="T3594" s="227" t="n"/>
    </row>
    <row r="3595">
      <c r="A3595" s="145">
        <f>IF($B3595="","",ROW()-5)</f>
        <v/>
      </c>
      <c r="B3595" s="127" t="n"/>
      <c r="C3595" s="223" t="n"/>
      <c r="D3595" s="127" t="n"/>
      <c r="E3595" s="227" t="n"/>
      <c r="F3595" s="227" t="n"/>
      <c r="G3595" s="227" t="n"/>
      <c r="H3595" s="227" t="n"/>
      <c r="I3595" s="227" t="n"/>
      <c r="J3595" s="227" t="n"/>
      <c r="K3595" s="227" t="n"/>
      <c r="L3595" s="227" t="n"/>
      <c r="M3595" s="227" t="n"/>
      <c r="N3595" s="127" t="n"/>
      <c r="O3595" s="227" t="n"/>
      <c r="P3595" s="227" t="n"/>
      <c r="Q3595" s="227" t="n"/>
      <c r="R3595" s="227" t="n"/>
      <c r="S3595" s="227" t="n"/>
      <c r="T3595" s="227" t="n"/>
    </row>
    <row r="3596">
      <c r="A3596" s="145">
        <f>IF($B3596="","",ROW()-5)</f>
        <v/>
      </c>
      <c r="B3596" s="127" t="n"/>
      <c r="C3596" s="223" t="n"/>
      <c r="D3596" s="127" t="n"/>
      <c r="E3596" s="227" t="n"/>
      <c r="F3596" s="227" t="n"/>
      <c r="G3596" s="227" t="n"/>
      <c r="H3596" s="227" t="n"/>
      <c r="I3596" s="227" t="n"/>
      <c r="J3596" s="227" t="n"/>
      <c r="K3596" s="227" t="n"/>
      <c r="L3596" s="227" t="n"/>
      <c r="M3596" s="227" t="n"/>
      <c r="N3596" s="127" t="n"/>
      <c r="O3596" s="227" t="n"/>
      <c r="P3596" s="227" t="n"/>
      <c r="Q3596" s="227" t="n"/>
      <c r="R3596" s="227" t="n"/>
      <c r="S3596" s="227" t="n"/>
      <c r="T3596" s="227" t="n"/>
    </row>
    <row r="3597">
      <c r="A3597" s="145">
        <f>IF($B3597="","",ROW()-5)</f>
        <v/>
      </c>
      <c r="B3597" s="127" t="n"/>
      <c r="C3597" s="223" t="n"/>
      <c r="D3597" s="127" t="n"/>
      <c r="E3597" s="227" t="n"/>
      <c r="F3597" s="227" t="n"/>
      <c r="G3597" s="227" t="n"/>
      <c r="H3597" s="227" t="n"/>
      <c r="I3597" s="227" t="n"/>
      <c r="J3597" s="227" t="n"/>
      <c r="K3597" s="227" t="n"/>
      <c r="L3597" s="227" t="n"/>
      <c r="M3597" s="227" t="n"/>
      <c r="N3597" s="127" t="n"/>
      <c r="O3597" s="227" t="n"/>
      <c r="P3597" s="227" t="n"/>
      <c r="Q3597" s="227" t="n"/>
      <c r="R3597" s="227" t="n"/>
      <c r="S3597" s="227" t="n"/>
      <c r="T3597" s="227" t="n"/>
    </row>
    <row r="3598">
      <c r="A3598" s="145">
        <f>IF($B3598="","",ROW()-5)</f>
        <v/>
      </c>
      <c r="B3598" s="127" t="n"/>
      <c r="C3598" s="223" t="n"/>
      <c r="D3598" s="127" t="n"/>
      <c r="E3598" s="227" t="n"/>
      <c r="F3598" s="227" t="n"/>
      <c r="G3598" s="227" t="n"/>
      <c r="H3598" s="227" t="n"/>
      <c r="I3598" s="227" t="n"/>
      <c r="J3598" s="227" t="n"/>
      <c r="K3598" s="227" t="n"/>
      <c r="L3598" s="227" t="n"/>
      <c r="M3598" s="227" t="n"/>
      <c r="N3598" s="127" t="n"/>
      <c r="O3598" s="227" t="n"/>
      <c r="P3598" s="227" t="n"/>
      <c r="Q3598" s="227" t="n"/>
      <c r="R3598" s="227" t="n"/>
      <c r="S3598" s="227" t="n"/>
      <c r="T3598" s="227" t="n"/>
    </row>
    <row r="3599">
      <c r="A3599" s="145">
        <f>IF($B3599="","",ROW()-5)</f>
        <v/>
      </c>
      <c r="B3599" s="127" t="n"/>
      <c r="C3599" s="223" t="n"/>
      <c r="D3599" s="127" t="n"/>
      <c r="E3599" s="227" t="n"/>
      <c r="F3599" s="227" t="n"/>
      <c r="G3599" s="227" t="n"/>
      <c r="H3599" s="227" t="n"/>
      <c r="I3599" s="227" t="n"/>
      <c r="J3599" s="227" t="n"/>
      <c r="K3599" s="227" t="n"/>
      <c r="L3599" s="227" t="n"/>
      <c r="M3599" s="227" t="n"/>
      <c r="N3599" s="127" t="n"/>
      <c r="O3599" s="227" t="n"/>
      <c r="P3599" s="227" t="n"/>
      <c r="Q3599" s="227" t="n"/>
      <c r="R3599" s="227" t="n"/>
      <c r="S3599" s="227" t="n"/>
      <c r="T3599" s="227" t="n"/>
    </row>
    <row r="3600">
      <c r="A3600" s="145">
        <f>IF($B3600="","",ROW()-5)</f>
        <v/>
      </c>
      <c r="B3600" s="127" t="n"/>
      <c r="C3600" s="223" t="n"/>
      <c r="D3600" s="127" t="n"/>
      <c r="E3600" s="227" t="n"/>
      <c r="F3600" s="227" t="n"/>
      <c r="G3600" s="227" t="n"/>
      <c r="H3600" s="227" t="n"/>
      <c r="I3600" s="227" t="n"/>
      <c r="J3600" s="227" t="n"/>
      <c r="K3600" s="227" t="n"/>
      <c r="L3600" s="227" t="n"/>
      <c r="M3600" s="227" t="n"/>
      <c r="N3600" s="127" t="n"/>
      <c r="O3600" s="227" t="n"/>
      <c r="P3600" s="227" t="n"/>
      <c r="Q3600" s="227" t="n"/>
      <c r="R3600" s="227" t="n"/>
      <c r="S3600" s="227" t="n"/>
      <c r="T3600" s="227" t="n"/>
    </row>
    <row r="3601">
      <c r="A3601" s="145">
        <f>IF($B3601="","",ROW()-5)</f>
        <v/>
      </c>
      <c r="B3601" s="127" t="n"/>
      <c r="C3601" s="223" t="n"/>
      <c r="D3601" s="127" t="n"/>
      <c r="E3601" s="227" t="n"/>
      <c r="F3601" s="227" t="n"/>
      <c r="G3601" s="227" t="n"/>
      <c r="H3601" s="227" t="n"/>
      <c r="I3601" s="227" t="n"/>
      <c r="J3601" s="227" t="n"/>
      <c r="K3601" s="227" t="n"/>
      <c r="L3601" s="227" t="n"/>
      <c r="M3601" s="227" t="n"/>
      <c r="N3601" s="127" t="n"/>
      <c r="O3601" s="227" t="n"/>
      <c r="P3601" s="227" t="n"/>
      <c r="Q3601" s="227" t="n"/>
      <c r="R3601" s="227" t="n"/>
      <c r="S3601" s="227" t="n"/>
      <c r="T3601" s="227" t="n"/>
    </row>
    <row r="3602">
      <c r="A3602" s="145">
        <f>IF($B3602="","",ROW()-5)</f>
        <v/>
      </c>
      <c r="B3602" s="127" t="n"/>
      <c r="C3602" s="223" t="n"/>
      <c r="D3602" s="127" t="n"/>
      <c r="E3602" s="227" t="n"/>
      <c r="F3602" s="227" t="n"/>
      <c r="G3602" s="227" t="n"/>
      <c r="H3602" s="227" t="n"/>
      <c r="I3602" s="227" t="n"/>
      <c r="J3602" s="227" t="n"/>
      <c r="K3602" s="227" t="n"/>
      <c r="L3602" s="227" t="n"/>
      <c r="M3602" s="227" t="n"/>
      <c r="N3602" s="127" t="n"/>
      <c r="O3602" s="227" t="n"/>
      <c r="P3602" s="227" t="n"/>
      <c r="Q3602" s="227" t="n"/>
      <c r="R3602" s="227" t="n"/>
      <c r="S3602" s="227" t="n"/>
      <c r="T3602" s="227" t="n"/>
    </row>
    <row r="3603">
      <c r="A3603" s="145">
        <f>IF($B3603="","",ROW()-5)</f>
        <v/>
      </c>
      <c r="B3603" s="127" t="n"/>
      <c r="C3603" s="223" t="n"/>
      <c r="D3603" s="127" t="n"/>
      <c r="E3603" s="227" t="n"/>
      <c r="F3603" s="227" t="n"/>
      <c r="G3603" s="227" t="n"/>
      <c r="H3603" s="227" t="n"/>
      <c r="I3603" s="227" t="n"/>
      <c r="J3603" s="227" t="n"/>
      <c r="K3603" s="227" t="n"/>
      <c r="L3603" s="227" t="n"/>
      <c r="M3603" s="227" t="n"/>
      <c r="N3603" s="127" t="n"/>
      <c r="O3603" s="227" t="n"/>
      <c r="P3603" s="227" t="n"/>
      <c r="Q3603" s="227" t="n"/>
      <c r="R3603" s="227" t="n"/>
      <c r="S3603" s="227" t="n"/>
      <c r="T3603" s="227" t="n"/>
    </row>
    <row r="3604">
      <c r="A3604" s="145">
        <f>IF($B3604="","",ROW()-5)</f>
        <v/>
      </c>
      <c r="B3604" s="127" t="n"/>
      <c r="C3604" s="223" t="n"/>
      <c r="D3604" s="127" t="n"/>
      <c r="E3604" s="227" t="n"/>
      <c r="F3604" s="227" t="n"/>
      <c r="G3604" s="227" t="n"/>
      <c r="H3604" s="227" t="n"/>
      <c r="I3604" s="227" t="n"/>
      <c r="J3604" s="227" t="n"/>
      <c r="K3604" s="227" t="n"/>
      <c r="L3604" s="227" t="n"/>
      <c r="M3604" s="227" t="n"/>
      <c r="N3604" s="127" t="n"/>
      <c r="O3604" s="227" t="n"/>
      <c r="P3604" s="227" t="n"/>
      <c r="Q3604" s="227" t="n"/>
      <c r="R3604" s="227" t="n"/>
      <c r="S3604" s="227" t="n"/>
      <c r="T3604" s="227" t="n"/>
    </row>
    <row r="3605">
      <c r="A3605" s="145">
        <f>IF($B3605="","",ROW()-5)</f>
        <v/>
      </c>
      <c r="B3605" s="127" t="n"/>
      <c r="C3605" s="223" t="n"/>
      <c r="D3605" s="127" t="n"/>
      <c r="E3605" s="227" t="n"/>
      <c r="F3605" s="227" t="n"/>
      <c r="G3605" s="227" t="n"/>
      <c r="H3605" s="227" t="n"/>
      <c r="I3605" s="227" t="n"/>
      <c r="J3605" s="227" t="n"/>
      <c r="K3605" s="227" t="n"/>
      <c r="L3605" s="227" t="n"/>
      <c r="M3605" s="227" t="n"/>
      <c r="N3605" s="127" t="n"/>
      <c r="O3605" s="227" t="n"/>
      <c r="P3605" s="227" t="n"/>
      <c r="Q3605" s="227" t="n"/>
      <c r="R3605" s="227" t="n"/>
      <c r="S3605" s="227" t="n"/>
      <c r="T3605" s="227" t="n"/>
    </row>
    <row r="3606">
      <c r="A3606" s="145">
        <f>IF($B3606="","",ROW()-5)</f>
        <v/>
      </c>
      <c r="B3606" s="127" t="n"/>
      <c r="C3606" s="223" t="n"/>
      <c r="D3606" s="127" t="n"/>
      <c r="E3606" s="227" t="n"/>
      <c r="F3606" s="227" t="n"/>
      <c r="G3606" s="227" t="n"/>
      <c r="H3606" s="227" t="n"/>
      <c r="I3606" s="227" t="n"/>
      <c r="J3606" s="227" t="n"/>
      <c r="K3606" s="227" t="n"/>
      <c r="L3606" s="227" t="n"/>
      <c r="M3606" s="227" t="n"/>
      <c r="N3606" s="127" t="n"/>
      <c r="O3606" s="227" t="n"/>
      <c r="P3606" s="227" t="n"/>
      <c r="Q3606" s="227" t="n"/>
      <c r="R3606" s="227" t="n"/>
      <c r="S3606" s="227" t="n"/>
      <c r="T3606" s="227" t="n"/>
    </row>
    <row r="3607">
      <c r="A3607" s="145">
        <f>IF($B3607="","",ROW()-5)</f>
        <v/>
      </c>
      <c r="B3607" s="127" t="n"/>
      <c r="C3607" s="223" t="n"/>
      <c r="D3607" s="127" t="n"/>
      <c r="E3607" s="227" t="n"/>
      <c r="F3607" s="227" t="n"/>
      <c r="G3607" s="227" t="n"/>
      <c r="H3607" s="227" t="n"/>
      <c r="I3607" s="227" t="n"/>
      <c r="J3607" s="227" t="n"/>
      <c r="K3607" s="227" t="n"/>
      <c r="L3607" s="227" t="n"/>
      <c r="M3607" s="227" t="n"/>
      <c r="N3607" s="127" t="n"/>
      <c r="O3607" s="227" t="n"/>
      <c r="P3607" s="227" t="n"/>
      <c r="Q3607" s="227" t="n"/>
      <c r="R3607" s="227" t="n"/>
      <c r="S3607" s="227" t="n"/>
      <c r="T3607" s="227" t="n"/>
    </row>
    <row r="3608">
      <c r="A3608" s="145">
        <f>IF($B3608="","",ROW()-5)</f>
        <v/>
      </c>
      <c r="B3608" s="127" t="n"/>
      <c r="C3608" s="223" t="n"/>
      <c r="D3608" s="127" t="n"/>
      <c r="E3608" s="227" t="n"/>
      <c r="F3608" s="227" t="n"/>
      <c r="G3608" s="227" t="n"/>
      <c r="H3608" s="227" t="n"/>
      <c r="I3608" s="227" t="n"/>
      <c r="J3608" s="227" t="n"/>
      <c r="K3608" s="227" t="n"/>
      <c r="L3608" s="227" t="n"/>
      <c r="M3608" s="227" t="n"/>
      <c r="N3608" s="127" t="n"/>
      <c r="O3608" s="227" t="n"/>
      <c r="P3608" s="227" t="n"/>
      <c r="Q3608" s="227" t="n"/>
      <c r="R3608" s="227" t="n"/>
      <c r="S3608" s="227" t="n"/>
      <c r="T3608" s="227" t="n"/>
    </row>
    <row r="3609">
      <c r="A3609" s="145">
        <f>IF($B3609="","",ROW()-5)</f>
        <v/>
      </c>
      <c r="B3609" s="127" t="n"/>
      <c r="C3609" s="223" t="n"/>
      <c r="D3609" s="127" t="n"/>
      <c r="E3609" s="227" t="n"/>
      <c r="F3609" s="227" t="n"/>
      <c r="G3609" s="227" t="n"/>
      <c r="H3609" s="227" t="n"/>
      <c r="I3609" s="227" t="n"/>
      <c r="J3609" s="227" t="n"/>
      <c r="K3609" s="227" t="n"/>
      <c r="L3609" s="227" t="n"/>
      <c r="M3609" s="227" t="n"/>
      <c r="N3609" s="127" t="n"/>
      <c r="O3609" s="227" t="n"/>
      <c r="P3609" s="227" t="n"/>
      <c r="Q3609" s="227" t="n"/>
      <c r="R3609" s="227" t="n"/>
      <c r="S3609" s="227" t="n"/>
      <c r="T3609" s="227" t="n"/>
    </row>
    <row r="3610">
      <c r="A3610" s="145">
        <f>IF($B3610="","",ROW()-5)</f>
        <v/>
      </c>
      <c r="B3610" s="127" t="n"/>
      <c r="C3610" s="223" t="n"/>
      <c r="D3610" s="127" t="n"/>
      <c r="E3610" s="227" t="n"/>
      <c r="F3610" s="227" t="n"/>
      <c r="G3610" s="227" t="n"/>
      <c r="H3610" s="227" t="n"/>
      <c r="I3610" s="227" t="n"/>
      <c r="J3610" s="227" t="n"/>
      <c r="K3610" s="227" t="n"/>
      <c r="L3610" s="227" t="n"/>
      <c r="M3610" s="227" t="n"/>
      <c r="N3610" s="127" t="n"/>
      <c r="O3610" s="227" t="n"/>
      <c r="P3610" s="227" t="n"/>
      <c r="Q3610" s="227" t="n"/>
      <c r="R3610" s="227" t="n"/>
      <c r="S3610" s="227" t="n"/>
      <c r="T3610" s="227" t="n"/>
    </row>
    <row r="3611">
      <c r="A3611" s="145">
        <f>IF($B3611="","",ROW()-5)</f>
        <v/>
      </c>
      <c r="B3611" s="127" t="n"/>
      <c r="C3611" s="223" t="n"/>
      <c r="D3611" s="127" t="n"/>
      <c r="E3611" s="227" t="n"/>
      <c r="F3611" s="227" t="n"/>
      <c r="G3611" s="227" t="n"/>
      <c r="H3611" s="227" t="n"/>
      <c r="I3611" s="227" t="n"/>
      <c r="J3611" s="227" t="n"/>
      <c r="K3611" s="227" t="n"/>
      <c r="L3611" s="227" t="n"/>
      <c r="M3611" s="227" t="n"/>
      <c r="N3611" s="127" t="n"/>
      <c r="O3611" s="227" t="n"/>
      <c r="P3611" s="227" t="n"/>
      <c r="Q3611" s="227" t="n"/>
      <c r="R3611" s="227" t="n"/>
      <c r="S3611" s="227" t="n"/>
      <c r="T3611" s="227" t="n"/>
    </row>
    <row r="3612">
      <c r="A3612" s="145">
        <f>IF($B3612="","",ROW()-5)</f>
        <v/>
      </c>
      <c r="B3612" s="127" t="n"/>
      <c r="C3612" s="223" t="n"/>
      <c r="D3612" s="127" t="n"/>
      <c r="E3612" s="227" t="n"/>
      <c r="F3612" s="227" t="n"/>
      <c r="G3612" s="227" t="n"/>
      <c r="H3612" s="227" t="n"/>
      <c r="I3612" s="227" t="n"/>
      <c r="J3612" s="227" t="n"/>
      <c r="K3612" s="227" t="n"/>
      <c r="L3612" s="227" t="n"/>
      <c r="M3612" s="227" t="n"/>
      <c r="N3612" s="127" t="n"/>
      <c r="O3612" s="227" t="n"/>
      <c r="P3612" s="227" t="n"/>
      <c r="Q3612" s="227" t="n"/>
      <c r="R3612" s="227" t="n"/>
      <c r="S3612" s="227" t="n"/>
      <c r="T3612" s="227" t="n"/>
    </row>
    <row r="3613">
      <c r="A3613" s="145">
        <f>IF($B3613="","",ROW()-5)</f>
        <v/>
      </c>
      <c r="B3613" s="127" t="n"/>
      <c r="C3613" s="223" t="n"/>
      <c r="D3613" s="127" t="n"/>
      <c r="E3613" s="227" t="n"/>
      <c r="F3613" s="227" t="n"/>
      <c r="G3613" s="227" t="n"/>
      <c r="H3613" s="227" t="n"/>
      <c r="I3613" s="227" t="n"/>
      <c r="J3613" s="227" t="n"/>
      <c r="K3613" s="227" t="n"/>
      <c r="L3613" s="227" t="n"/>
      <c r="M3613" s="227" t="n"/>
      <c r="N3613" s="127" t="n"/>
      <c r="O3613" s="227" t="n"/>
      <c r="P3613" s="227" t="n"/>
      <c r="Q3613" s="227" t="n"/>
      <c r="R3613" s="227" t="n"/>
      <c r="S3613" s="227" t="n"/>
      <c r="T3613" s="227" t="n"/>
    </row>
    <row r="3614">
      <c r="A3614" s="145">
        <f>IF($B3614="","",ROW()-5)</f>
        <v/>
      </c>
      <c r="B3614" s="127" t="n"/>
      <c r="C3614" s="223" t="n"/>
      <c r="D3614" s="127" t="n"/>
      <c r="E3614" s="227" t="n"/>
      <c r="F3614" s="227" t="n"/>
      <c r="G3614" s="227" t="n"/>
      <c r="H3614" s="227" t="n"/>
      <c r="I3614" s="227" t="n"/>
      <c r="J3614" s="227" t="n"/>
      <c r="K3614" s="227" t="n"/>
      <c r="L3614" s="227" t="n"/>
      <c r="M3614" s="227" t="n"/>
      <c r="N3614" s="127" t="n"/>
      <c r="O3614" s="227" t="n"/>
      <c r="P3614" s="227" t="n"/>
      <c r="Q3614" s="227" t="n"/>
      <c r="R3614" s="227" t="n"/>
      <c r="S3614" s="227" t="n"/>
      <c r="T3614" s="227" t="n"/>
    </row>
    <row r="3615">
      <c r="A3615" s="145">
        <f>IF($B3615="","",ROW()-5)</f>
        <v/>
      </c>
      <c r="B3615" s="127" t="n"/>
      <c r="C3615" s="223" t="n"/>
      <c r="D3615" s="127" t="n"/>
      <c r="E3615" s="227" t="n"/>
      <c r="F3615" s="227" t="n"/>
      <c r="G3615" s="227" t="n"/>
      <c r="H3615" s="227" t="n"/>
      <c r="I3615" s="227" t="n"/>
      <c r="J3615" s="227" t="n"/>
      <c r="K3615" s="227" t="n"/>
      <c r="L3615" s="227" t="n"/>
      <c r="M3615" s="227" t="n"/>
      <c r="N3615" s="127" t="n"/>
      <c r="O3615" s="227" t="n"/>
      <c r="P3615" s="227" t="n"/>
      <c r="Q3615" s="227" t="n"/>
      <c r="R3615" s="227" t="n"/>
      <c r="S3615" s="227" t="n"/>
      <c r="T3615" s="227" t="n"/>
    </row>
    <row r="3616">
      <c r="A3616" s="145">
        <f>IF($B3616="","",ROW()-5)</f>
        <v/>
      </c>
      <c r="B3616" s="127" t="n"/>
      <c r="C3616" s="223" t="n"/>
      <c r="D3616" s="127" t="n"/>
      <c r="E3616" s="227" t="n"/>
      <c r="F3616" s="227" t="n"/>
      <c r="G3616" s="227" t="n"/>
      <c r="H3616" s="227" t="n"/>
      <c r="I3616" s="227" t="n"/>
      <c r="J3616" s="227" t="n"/>
      <c r="K3616" s="227" t="n"/>
      <c r="L3616" s="227" t="n"/>
      <c r="M3616" s="227" t="n"/>
      <c r="N3616" s="127" t="n"/>
      <c r="O3616" s="227" t="n"/>
      <c r="P3616" s="227" t="n"/>
      <c r="Q3616" s="227" t="n"/>
      <c r="R3616" s="227" t="n"/>
      <c r="S3616" s="227" t="n"/>
      <c r="T3616" s="227" t="n"/>
    </row>
    <row r="3617">
      <c r="A3617" s="145">
        <f>IF($B3617="","",ROW()-5)</f>
        <v/>
      </c>
      <c r="B3617" s="127" t="n"/>
      <c r="C3617" s="223" t="n"/>
      <c r="D3617" s="127" t="n"/>
      <c r="E3617" s="227" t="n"/>
      <c r="F3617" s="227" t="n"/>
      <c r="G3617" s="227" t="n"/>
      <c r="H3617" s="227" t="n"/>
      <c r="I3617" s="227" t="n"/>
      <c r="J3617" s="227" t="n"/>
      <c r="K3617" s="227" t="n"/>
      <c r="L3617" s="227" t="n"/>
      <c r="M3617" s="227" t="n"/>
      <c r="N3617" s="127" t="n"/>
      <c r="O3617" s="227" t="n"/>
      <c r="P3617" s="227" t="n"/>
      <c r="Q3617" s="227" t="n"/>
      <c r="R3617" s="227" t="n"/>
      <c r="S3617" s="227" t="n"/>
      <c r="T3617" s="227" t="n"/>
    </row>
    <row r="3618">
      <c r="A3618" s="145">
        <f>IF($B3618="","",ROW()-5)</f>
        <v/>
      </c>
      <c r="B3618" s="127" t="n"/>
      <c r="C3618" s="223" t="n"/>
      <c r="D3618" s="127" t="n"/>
      <c r="E3618" s="227" t="n"/>
      <c r="F3618" s="227" t="n"/>
      <c r="G3618" s="227" t="n"/>
      <c r="H3618" s="227" t="n"/>
      <c r="I3618" s="227" t="n"/>
      <c r="J3618" s="227" t="n"/>
      <c r="K3618" s="227" t="n"/>
      <c r="L3618" s="227" t="n"/>
      <c r="M3618" s="227" t="n"/>
      <c r="N3618" s="127" t="n"/>
      <c r="O3618" s="227" t="n"/>
      <c r="P3618" s="227" t="n"/>
      <c r="Q3618" s="227" t="n"/>
      <c r="R3618" s="227" t="n"/>
      <c r="S3618" s="227" t="n"/>
      <c r="T3618" s="227" t="n"/>
    </row>
    <row r="3619">
      <c r="A3619" s="145">
        <f>IF($B3619="","",ROW()-5)</f>
        <v/>
      </c>
      <c r="B3619" s="127" t="n"/>
      <c r="C3619" s="223" t="n"/>
      <c r="D3619" s="127" t="n"/>
      <c r="E3619" s="227" t="n"/>
      <c r="F3619" s="227" t="n"/>
      <c r="G3619" s="227" t="n"/>
      <c r="H3619" s="227" t="n"/>
      <c r="I3619" s="227" t="n"/>
      <c r="J3619" s="227" t="n"/>
      <c r="K3619" s="227" t="n"/>
      <c r="L3619" s="227" t="n"/>
      <c r="M3619" s="227" t="n"/>
      <c r="N3619" s="127" t="n"/>
      <c r="O3619" s="227" t="n"/>
      <c r="P3619" s="227" t="n"/>
      <c r="Q3619" s="227" t="n"/>
      <c r="R3619" s="227" t="n"/>
      <c r="S3619" s="227" t="n"/>
      <c r="T3619" s="227" t="n"/>
    </row>
    <row r="3620">
      <c r="A3620" s="145">
        <f>IF($B3620="","",ROW()-5)</f>
        <v/>
      </c>
      <c r="B3620" s="127" t="n"/>
      <c r="C3620" s="223" t="n"/>
      <c r="D3620" s="127" t="n"/>
      <c r="E3620" s="227" t="n"/>
      <c r="F3620" s="227" t="n"/>
      <c r="G3620" s="227" t="n"/>
      <c r="H3620" s="227" t="n"/>
      <c r="I3620" s="227" t="n"/>
      <c r="J3620" s="227" t="n"/>
      <c r="K3620" s="227" t="n"/>
      <c r="L3620" s="227" t="n"/>
      <c r="M3620" s="227" t="n"/>
      <c r="N3620" s="127" t="n"/>
      <c r="O3620" s="227" t="n"/>
      <c r="P3620" s="227" t="n"/>
      <c r="Q3620" s="227" t="n"/>
      <c r="R3620" s="227" t="n"/>
      <c r="S3620" s="227" t="n"/>
      <c r="T3620" s="227" t="n"/>
    </row>
    <row r="3621">
      <c r="A3621" s="145">
        <f>IF($B3621="","",ROW()-5)</f>
        <v/>
      </c>
      <c r="B3621" s="127" t="n"/>
      <c r="C3621" s="223" t="n"/>
      <c r="D3621" s="127" t="n"/>
      <c r="E3621" s="227" t="n"/>
      <c r="F3621" s="227" t="n"/>
      <c r="G3621" s="227" t="n"/>
      <c r="H3621" s="227" t="n"/>
      <c r="I3621" s="227" t="n"/>
      <c r="J3621" s="227" t="n"/>
      <c r="K3621" s="227" t="n"/>
      <c r="L3621" s="227" t="n"/>
      <c r="M3621" s="227" t="n"/>
      <c r="N3621" s="127" t="n"/>
      <c r="O3621" s="227" t="n"/>
      <c r="P3621" s="227" t="n"/>
      <c r="Q3621" s="227" t="n"/>
      <c r="R3621" s="227" t="n"/>
      <c r="S3621" s="227" t="n"/>
      <c r="T3621" s="227" t="n"/>
    </row>
    <row r="3622">
      <c r="A3622" s="145">
        <f>IF($B3622="","",ROW()-5)</f>
        <v/>
      </c>
      <c r="B3622" s="127" t="n"/>
      <c r="C3622" s="223" t="n"/>
      <c r="D3622" s="127" t="n"/>
      <c r="E3622" s="227" t="n"/>
      <c r="F3622" s="227" t="n"/>
      <c r="G3622" s="227" t="n"/>
      <c r="H3622" s="227" t="n"/>
      <c r="I3622" s="227" t="n"/>
      <c r="J3622" s="227" t="n"/>
      <c r="K3622" s="227" t="n"/>
      <c r="L3622" s="227" t="n"/>
      <c r="M3622" s="227" t="n"/>
      <c r="N3622" s="127" t="n"/>
      <c r="O3622" s="227" t="n"/>
      <c r="P3622" s="227" t="n"/>
      <c r="Q3622" s="227" t="n"/>
      <c r="R3622" s="227" t="n"/>
      <c r="S3622" s="227" t="n"/>
      <c r="T3622" s="227" t="n"/>
    </row>
    <row r="3623">
      <c r="A3623" s="145">
        <f>IF($B3623="","",ROW()-5)</f>
        <v/>
      </c>
      <c r="B3623" s="127" t="n"/>
      <c r="C3623" s="223" t="n"/>
      <c r="D3623" s="127" t="n"/>
      <c r="E3623" s="227" t="n"/>
      <c r="F3623" s="227" t="n"/>
      <c r="G3623" s="227" t="n"/>
      <c r="H3623" s="227" t="n"/>
      <c r="I3623" s="227" t="n"/>
      <c r="J3623" s="227" t="n"/>
      <c r="K3623" s="227" t="n"/>
      <c r="L3623" s="227" t="n"/>
      <c r="M3623" s="227" t="n"/>
      <c r="N3623" s="127" t="n"/>
      <c r="O3623" s="227" t="n"/>
      <c r="P3623" s="227" t="n"/>
      <c r="Q3623" s="227" t="n"/>
      <c r="R3623" s="227" t="n"/>
      <c r="S3623" s="227" t="n"/>
      <c r="T3623" s="227" t="n"/>
    </row>
    <row r="3624">
      <c r="A3624" s="145">
        <f>IF($B3624="","",ROW()-5)</f>
        <v/>
      </c>
      <c r="B3624" s="127" t="n"/>
      <c r="C3624" s="223" t="n"/>
      <c r="D3624" s="127" t="n"/>
      <c r="E3624" s="227" t="n"/>
      <c r="F3624" s="227" t="n"/>
      <c r="G3624" s="227" t="n"/>
      <c r="H3624" s="227" t="n"/>
      <c r="I3624" s="227" t="n"/>
      <c r="J3624" s="227" t="n"/>
      <c r="K3624" s="227" t="n"/>
      <c r="L3624" s="227" t="n"/>
      <c r="M3624" s="227" t="n"/>
      <c r="N3624" s="127" t="n"/>
      <c r="O3624" s="227" t="n"/>
      <c r="P3624" s="227" t="n"/>
      <c r="Q3624" s="227" t="n"/>
      <c r="R3624" s="227" t="n"/>
      <c r="S3624" s="227" t="n"/>
      <c r="T3624" s="227" t="n"/>
    </row>
    <row r="3625">
      <c r="A3625" s="145">
        <f>IF($B3625="","",ROW()-5)</f>
        <v/>
      </c>
      <c r="B3625" s="127" t="n"/>
      <c r="C3625" s="223" t="n"/>
      <c r="D3625" s="127" t="n"/>
      <c r="E3625" s="227" t="n"/>
      <c r="F3625" s="227" t="n"/>
      <c r="G3625" s="227" t="n"/>
      <c r="H3625" s="227" t="n"/>
      <c r="I3625" s="227" t="n"/>
      <c r="J3625" s="227" t="n"/>
      <c r="K3625" s="227" t="n"/>
      <c r="L3625" s="227" t="n"/>
      <c r="M3625" s="227" t="n"/>
      <c r="N3625" s="127" t="n"/>
      <c r="O3625" s="227" t="n"/>
      <c r="P3625" s="227" t="n"/>
      <c r="Q3625" s="227" t="n"/>
      <c r="R3625" s="227" t="n"/>
      <c r="S3625" s="227" t="n"/>
      <c r="T3625" s="227" t="n"/>
    </row>
    <row r="3626">
      <c r="A3626" s="145">
        <f>IF($B3626="","",ROW()-5)</f>
        <v/>
      </c>
      <c r="B3626" s="127" t="n"/>
      <c r="C3626" s="223" t="n"/>
      <c r="D3626" s="127" t="n"/>
      <c r="E3626" s="227" t="n"/>
      <c r="F3626" s="227" t="n"/>
      <c r="G3626" s="227" t="n"/>
      <c r="H3626" s="227" t="n"/>
      <c r="I3626" s="227" t="n"/>
      <c r="J3626" s="227" t="n"/>
      <c r="K3626" s="227" t="n"/>
      <c r="L3626" s="227" t="n"/>
      <c r="M3626" s="227" t="n"/>
      <c r="N3626" s="127" t="n"/>
      <c r="O3626" s="227" t="n"/>
      <c r="P3626" s="227" t="n"/>
      <c r="Q3626" s="227" t="n"/>
      <c r="R3626" s="227" t="n"/>
      <c r="S3626" s="227" t="n"/>
      <c r="T3626" s="227" t="n"/>
    </row>
    <row r="3627">
      <c r="A3627" s="145">
        <f>IF($B3627="","",ROW()-5)</f>
        <v/>
      </c>
      <c r="B3627" s="127" t="n"/>
      <c r="C3627" s="223" t="n"/>
      <c r="D3627" s="127" t="n"/>
      <c r="E3627" s="227" t="n"/>
      <c r="F3627" s="227" t="n"/>
      <c r="G3627" s="227" t="n"/>
      <c r="H3627" s="227" t="n"/>
      <c r="I3627" s="227" t="n"/>
      <c r="J3627" s="227" t="n"/>
      <c r="K3627" s="227" t="n"/>
      <c r="L3627" s="227" t="n"/>
      <c r="M3627" s="227" t="n"/>
      <c r="N3627" s="127" t="n"/>
      <c r="O3627" s="227" t="n"/>
      <c r="P3627" s="227" t="n"/>
      <c r="Q3627" s="227" t="n"/>
      <c r="R3627" s="227" t="n"/>
      <c r="S3627" s="227" t="n"/>
      <c r="T3627" s="227" t="n"/>
    </row>
    <row r="3628">
      <c r="A3628" s="145">
        <f>IF($B3628="","",ROW()-5)</f>
        <v/>
      </c>
      <c r="B3628" s="127" t="n"/>
      <c r="C3628" s="223" t="n"/>
      <c r="D3628" s="127" t="n"/>
      <c r="E3628" s="227" t="n"/>
      <c r="F3628" s="227" t="n"/>
      <c r="G3628" s="227" t="n"/>
      <c r="H3628" s="227" t="n"/>
      <c r="I3628" s="227" t="n"/>
      <c r="J3628" s="227" t="n"/>
      <c r="K3628" s="227" t="n"/>
      <c r="L3628" s="227" t="n"/>
      <c r="M3628" s="227" t="n"/>
      <c r="N3628" s="127" t="n"/>
      <c r="O3628" s="227" t="n"/>
      <c r="P3628" s="227" t="n"/>
      <c r="Q3628" s="227" t="n"/>
      <c r="R3628" s="227" t="n"/>
      <c r="S3628" s="227" t="n"/>
      <c r="T3628" s="227" t="n"/>
    </row>
    <row r="3629">
      <c r="A3629" s="145">
        <f>IF($B3629="","",ROW()-5)</f>
        <v/>
      </c>
      <c r="B3629" s="127" t="n"/>
      <c r="C3629" s="223" t="n"/>
      <c r="D3629" s="127" t="n"/>
      <c r="E3629" s="227" t="n"/>
      <c r="F3629" s="227" t="n"/>
      <c r="G3629" s="227" t="n"/>
      <c r="H3629" s="227" t="n"/>
      <c r="I3629" s="227" t="n"/>
      <c r="J3629" s="227" t="n"/>
      <c r="K3629" s="227" t="n"/>
      <c r="L3629" s="227" t="n"/>
      <c r="M3629" s="227" t="n"/>
      <c r="N3629" s="127" t="n"/>
      <c r="O3629" s="227" t="n"/>
      <c r="P3629" s="227" t="n"/>
      <c r="Q3629" s="227" t="n"/>
      <c r="R3629" s="227" t="n"/>
      <c r="S3629" s="227" t="n"/>
      <c r="T3629" s="227" t="n"/>
    </row>
    <row r="3630">
      <c r="A3630" s="145">
        <f>IF($B3630="","",ROW()-5)</f>
        <v/>
      </c>
      <c r="B3630" s="127" t="n"/>
      <c r="C3630" s="223" t="n"/>
      <c r="D3630" s="127" t="n"/>
      <c r="E3630" s="227" t="n"/>
      <c r="F3630" s="227" t="n"/>
      <c r="G3630" s="227" t="n"/>
      <c r="H3630" s="227" t="n"/>
      <c r="I3630" s="227" t="n"/>
      <c r="J3630" s="227" t="n"/>
      <c r="K3630" s="227" t="n"/>
      <c r="L3630" s="227" t="n"/>
      <c r="M3630" s="227" t="n"/>
      <c r="N3630" s="127" t="n"/>
      <c r="O3630" s="227" t="n"/>
      <c r="P3630" s="227" t="n"/>
      <c r="Q3630" s="227" t="n"/>
      <c r="R3630" s="227" t="n"/>
      <c r="S3630" s="227" t="n"/>
      <c r="T3630" s="227" t="n"/>
    </row>
    <row r="3631">
      <c r="A3631" s="145">
        <f>IF($B3631="","",ROW()-5)</f>
        <v/>
      </c>
      <c r="B3631" s="127" t="n"/>
      <c r="C3631" s="223" t="n"/>
      <c r="D3631" s="127" t="n"/>
      <c r="E3631" s="227" t="n"/>
      <c r="F3631" s="227" t="n"/>
      <c r="G3631" s="227" t="n"/>
      <c r="H3631" s="227" t="n"/>
      <c r="I3631" s="227" t="n"/>
      <c r="J3631" s="227" t="n"/>
      <c r="K3631" s="227" t="n"/>
      <c r="L3631" s="227" t="n"/>
      <c r="M3631" s="227" t="n"/>
      <c r="N3631" s="127" t="n"/>
      <c r="O3631" s="227" t="n"/>
      <c r="P3631" s="227" t="n"/>
      <c r="Q3631" s="227" t="n"/>
      <c r="R3631" s="227" t="n"/>
      <c r="S3631" s="227" t="n"/>
      <c r="T3631" s="227" t="n"/>
    </row>
    <row r="3632">
      <c r="A3632" s="145">
        <f>IF($B3632="","",ROW()-5)</f>
        <v/>
      </c>
      <c r="B3632" s="127" t="n"/>
      <c r="C3632" s="223" t="n"/>
      <c r="D3632" s="127" t="n"/>
      <c r="E3632" s="227" t="n"/>
      <c r="F3632" s="227" t="n"/>
      <c r="G3632" s="227" t="n"/>
      <c r="H3632" s="227" t="n"/>
      <c r="I3632" s="227" t="n"/>
      <c r="J3632" s="227" t="n"/>
      <c r="K3632" s="227" t="n"/>
      <c r="L3632" s="227" t="n"/>
      <c r="M3632" s="227" t="n"/>
      <c r="N3632" s="127" t="n"/>
      <c r="O3632" s="227" t="n"/>
      <c r="P3632" s="227" t="n"/>
      <c r="Q3632" s="227" t="n"/>
      <c r="R3632" s="227" t="n"/>
      <c r="S3632" s="227" t="n"/>
      <c r="T3632" s="227" t="n"/>
    </row>
    <row r="3633">
      <c r="A3633" s="145">
        <f>IF($B3633="","",ROW()-5)</f>
        <v/>
      </c>
      <c r="B3633" s="127" t="n"/>
      <c r="C3633" s="223" t="n"/>
      <c r="D3633" s="127" t="n"/>
      <c r="E3633" s="227" t="n"/>
      <c r="F3633" s="227" t="n"/>
      <c r="G3633" s="227" t="n"/>
      <c r="H3633" s="227" t="n"/>
      <c r="I3633" s="227" t="n"/>
      <c r="J3633" s="227" t="n"/>
      <c r="K3633" s="227" t="n"/>
      <c r="L3633" s="227" t="n"/>
      <c r="M3633" s="227" t="n"/>
      <c r="N3633" s="127" t="n"/>
      <c r="O3633" s="227" t="n"/>
      <c r="P3633" s="227" t="n"/>
      <c r="Q3633" s="227" t="n"/>
      <c r="R3633" s="227" t="n"/>
      <c r="S3633" s="227" t="n"/>
      <c r="T3633" s="227" t="n"/>
    </row>
    <row r="3634">
      <c r="A3634" s="145">
        <f>IF($B3634="","",ROW()-5)</f>
        <v/>
      </c>
      <c r="B3634" s="127" t="n"/>
      <c r="C3634" s="223" t="n"/>
      <c r="D3634" s="127" t="n"/>
      <c r="E3634" s="227" t="n"/>
      <c r="F3634" s="227" t="n"/>
      <c r="G3634" s="227" t="n"/>
      <c r="H3634" s="227" t="n"/>
      <c r="I3634" s="227" t="n"/>
      <c r="J3634" s="227" t="n"/>
      <c r="K3634" s="227" t="n"/>
      <c r="L3634" s="227" t="n"/>
      <c r="M3634" s="227" t="n"/>
      <c r="N3634" s="127" t="n"/>
      <c r="O3634" s="227" t="n"/>
      <c r="P3634" s="227" t="n"/>
      <c r="Q3634" s="227" t="n"/>
      <c r="R3634" s="227" t="n"/>
      <c r="S3634" s="227" t="n"/>
      <c r="T3634" s="227" t="n"/>
    </row>
    <row r="3635">
      <c r="A3635" s="145">
        <f>IF($B3635="","",ROW()-5)</f>
        <v/>
      </c>
      <c r="B3635" s="127" t="n"/>
      <c r="C3635" s="223" t="n"/>
      <c r="D3635" s="127" t="n"/>
      <c r="E3635" s="227" t="n"/>
      <c r="F3635" s="227" t="n"/>
      <c r="G3635" s="227" t="n"/>
      <c r="H3635" s="227" t="n"/>
      <c r="I3635" s="227" t="n"/>
      <c r="J3635" s="227" t="n"/>
      <c r="K3635" s="227" t="n"/>
      <c r="L3635" s="227" t="n"/>
      <c r="M3635" s="227" t="n"/>
      <c r="N3635" s="127" t="n"/>
      <c r="O3635" s="227" t="n"/>
      <c r="P3635" s="227" t="n"/>
      <c r="Q3635" s="227" t="n"/>
      <c r="R3635" s="227" t="n"/>
      <c r="S3635" s="227" t="n"/>
      <c r="T3635" s="227" t="n"/>
    </row>
    <row r="3636">
      <c r="A3636" s="145">
        <f>IF($B3636="","",ROW()-5)</f>
        <v/>
      </c>
      <c r="B3636" s="127" t="n"/>
      <c r="C3636" s="223" t="n"/>
      <c r="D3636" s="127" t="n"/>
      <c r="E3636" s="227" t="n"/>
      <c r="F3636" s="227" t="n"/>
      <c r="G3636" s="227" t="n"/>
      <c r="H3636" s="227" t="n"/>
      <c r="I3636" s="227" t="n"/>
      <c r="J3636" s="227" t="n"/>
      <c r="K3636" s="227" t="n"/>
      <c r="L3636" s="227" t="n"/>
      <c r="M3636" s="227" t="n"/>
      <c r="N3636" s="127" t="n"/>
      <c r="O3636" s="227" t="n"/>
      <c r="P3636" s="227" t="n"/>
      <c r="Q3636" s="227" t="n"/>
      <c r="R3636" s="227" t="n"/>
      <c r="S3636" s="227" t="n"/>
      <c r="T3636" s="227" t="n"/>
    </row>
    <row r="3637">
      <c r="A3637" s="145">
        <f>IF($B3637="","",ROW()-5)</f>
        <v/>
      </c>
      <c r="B3637" s="127" t="n"/>
      <c r="C3637" s="223" t="n"/>
      <c r="D3637" s="127" t="n"/>
      <c r="E3637" s="227" t="n"/>
      <c r="F3637" s="227" t="n"/>
      <c r="G3637" s="227" t="n"/>
      <c r="H3637" s="227" t="n"/>
      <c r="I3637" s="227" t="n"/>
      <c r="J3637" s="227" t="n"/>
      <c r="K3637" s="227" t="n"/>
      <c r="L3637" s="227" t="n"/>
      <c r="M3637" s="227" t="n"/>
      <c r="N3637" s="127" t="n"/>
      <c r="O3637" s="227" t="n"/>
      <c r="P3637" s="227" t="n"/>
      <c r="Q3637" s="227" t="n"/>
      <c r="R3637" s="227" t="n"/>
      <c r="S3637" s="227" t="n"/>
      <c r="T3637" s="227" t="n"/>
    </row>
    <row r="3638">
      <c r="A3638" s="145">
        <f>IF($B3638="","",ROW()-5)</f>
        <v/>
      </c>
      <c r="B3638" s="127" t="n"/>
      <c r="C3638" s="223" t="n"/>
      <c r="D3638" s="127" t="n"/>
      <c r="E3638" s="227" t="n"/>
      <c r="F3638" s="227" t="n"/>
      <c r="G3638" s="227" t="n"/>
      <c r="H3638" s="227" t="n"/>
      <c r="I3638" s="227" t="n"/>
      <c r="J3638" s="227" t="n"/>
      <c r="K3638" s="227" t="n"/>
      <c r="L3638" s="227" t="n"/>
      <c r="M3638" s="227" t="n"/>
      <c r="N3638" s="127" t="n"/>
      <c r="O3638" s="227" t="n"/>
      <c r="P3638" s="227" t="n"/>
      <c r="Q3638" s="227" t="n"/>
      <c r="R3638" s="227" t="n"/>
      <c r="S3638" s="227" t="n"/>
      <c r="T3638" s="227" t="n"/>
    </row>
    <row r="3639">
      <c r="A3639" s="145">
        <f>IF($B3639="","",ROW()-5)</f>
        <v/>
      </c>
      <c r="B3639" s="127" t="n"/>
      <c r="C3639" s="223" t="n"/>
      <c r="D3639" s="127" t="n"/>
      <c r="E3639" s="227" t="n"/>
      <c r="F3639" s="227" t="n"/>
      <c r="G3639" s="227" t="n"/>
      <c r="H3639" s="227" t="n"/>
      <c r="I3639" s="227" t="n"/>
      <c r="J3639" s="227" t="n"/>
      <c r="K3639" s="227" t="n"/>
      <c r="L3639" s="227" t="n"/>
      <c r="M3639" s="227" t="n"/>
      <c r="N3639" s="127" t="n"/>
      <c r="O3639" s="227" t="n"/>
      <c r="P3639" s="227" t="n"/>
      <c r="Q3639" s="227" t="n"/>
      <c r="R3639" s="227" t="n"/>
      <c r="S3639" s="227" t="n"/>
      <c r="T3639" s="227" t="n"/>
    </row>
    <row r="3640">
      <c r="A3640" s="145">
        <f>IF($B3640="","",ROW()-5)</f>
        <v/>
      </c>
      <c r="B3640" s="127" t="n"/>
      <c r="C3640" s="223" t="n"/>
      <c r="D3640" s="127" t="n"/>
      <c r="E3640" s="227" t="n"/>
      <c r="F3640" s="227" t="n"/>
      <c r="G3640" s="227" t="n"/>
      <c r="H3640" s="227" t="n"/>
      <c r="I3640" s="227" t="n"/>
      <c r="J3640" s="227" t="n"/>
      <c r="K3640" s="227" t="n"/>
      <c r="L3640" s="227" t="n"/>
      <c r="M3640" s="227" t="n"/>
      <c r="N3640" s="127" t="n"/>
      <c r="O3640" s="227" t="n"/>
      <c r="P3640" s="227" t="n"/>
      <c r="Q3640" s="227" t="n"/>
      <c r="R3640" s="227" t="n"/>
      <c r="S3640" s="227" t="n"/>
      <c r="T3640" s="227" t="n"/>
    </row>
    <row r="3641">
      <c r="A3641" s="145">
        <f>IF($B3641="","",ROW()-5)</f>
        <v/>
      </c>
      <c r="B3641" s="127" t="n"/>
      <c r="C3641" s="223" t="n"/>
      <c r="D3641" s="127" t="n"/>
      <c r="E3641" s="227" t="n"/>
      <c r="F3641" s="227" t="n"/>
      <c r="G3641" s="227" t="n"/>
      <c r="H3641" s="227" t="n"/>
      <c r="I3641" s="227" t="n"/>
      <c r="J3641" s="227" t="n"/>
      <c r="K3641" s="227" t="n"/>
      <c r="L3641" s="227" t="n"/>
      <c r="M3641" s="227" t="n"/>
      <c r="N3641" s="127" t="n"/>
      <c r="O3641" s="227" t="n"/>
      <c r="P3641" s="227" t="n"/>
      <c r="Q3641" s="227" t="n"/>
      <c r="R3641" s="227" t="n"/>
      <c r="S3641" s="227" t="n"/>
      <c r="T3641" s="227" t="n"/>
    </row>
    <row r="3642">
      <c r="A3642" s="145">
        <f>IF($B3642="","",ROW()-5)</f>
        <v/>
      </c>
      <c r="B3642" s="127" t="n"/>
      <c r="C3642" s="223" t="n"/>
      <c r="D3642" s="127" t="n"/>
      <c r="E3642" s="227" t="n"/>
      <c r="F3642" s="227" t="n"/>
      <c r="G3642" s="227" t="n"/>
      <c r="H3642" s="227" t="n"/>
      <c r="I3642" s="227" t="n"/>
      <c r="J3642" s="227" t="n"/>
      <c r="K3642" s="227" t="n"/>
      <c r="L3642" s="227" t="n"/>
      <c r="M3642" s="227" t="n"/>
      <c r="N3642" s="127" t="n"/>
      <c r="O3642" s="227" t="n"/>
      <c r="P3642" s="227" t="n"/>
      <c r="Q3642" s="227" t="n"/>
      <c r="R3642" s="227" t="n"/>
      <c r="S3642" s="227" t="n"/>
      <c r="T3642" s="227" t="n"/>
    </row>
    <row r="3643">
      <c r="A3643" s="145">
        <f>IF($B3643="","",ROW()-5)</f>
        <v/>
      </c>
      <c r="B3643" s="127" t="n"/>
      <c r="C3643" s="223" t="n"/>
      <c r="D3643" s="127" t="n"/>
      <c r="E3643" s="227" t="n"/>
      <c r="F3643" s="227" t="n"/>
      <c r="G3643" s="227" t="n"/>
      <c r="H3643" s="227" t="n"/>
      <c r="I3643" s="227" t="n"/>
      <c r="J3643" s="227" t="n"/>
      <c r="K3643" s="227" t="n"/>
      <c r="L3643" s="227" t="n"/>
      <c r="M3643" s="227" t="n"/>
      <c r="N3643" s="127" t="n"/>
      <c r="O3643" s="227" t="n"/>
      <c r="P3643" s="227" t="n"/>
      <c r="Q3643" s="227" t="n"/>
      <c r="R3643" s="227" t="n"/>
      <c r="S3643" s="227" t="n"/>
      <c r="T3643" s="227" t="n"/>
    </row>
    <row r="3644">
      <c r="A3644" s="145">
        <f>IF($B3644="","",ROW()-5)</f>
        <v/>
      </c>
      <c r="B3644" s="127" t="n"/>
      <c r="C3644" s="223" t="n"/>
      <c r="D3644" s="127" t="n"/>
      <c r="E3644" s="227" t="n"/>
      <c r="F3644" s="227" t="n"/>
      <c r="G3644" s="227" t="n"/>
      <c r="H3644" s="227" t="n"/>
      <c r="I3644" s="227" t="n"/>
      <c r="J3644" s="227" t="n"/>
      <c r="K3644" s="227" t="n"/>
      <c r="L3644" s="227" t="n"/>
      <c r="M3644" s="227" t="n"/>
      <c r="N3644" s="127" t="n"/>
      <c r="O3644" s="227" t="n"/>
      <c r="P3644" s="227" t="n"/>
      <c r="Q3644" s="227" t="n"/>
      <c r="R3644" s="227" t="n"/>
      <c r="S3644" s="227" t="n"/>
      <c r="T3644" s="227" t="n"/>
    </row>
    <row r="3645">
      <c r="A3645" s="145">
        <f>IF($B3645="","",ROW()-5)</f>
        <v/>
      </c>
      <c r="B3645" s="127" t="n"/>
      <c r="C3645" s="223" t="n"/>
      <c r="D3645" s="127" t="n"/>
      <c r="E3645" s="227" t="n"/>
      <c r="F3645" s="227" t="n"/>
      <c r="G3645" s="227" t="n"/>
      <c r="H3645" s="227" t="n"/>
      <c r="I3645" s="227" t="n"/>
      <c r="J3645" s="227" t="n"/>
      <c r="K3645" s="227" t="n"/>
      <c r="L3645" s="227" t="n"/>
      <c r="M3645" s="227" t="n"/>
      <c r="N3645" s="127" t="n"/>
      <c r="O3645" s="227" t="n"/>
      <c r="P3645" s="227" t="n"/>
      <c r="Q3645" s="227" t="n"/>
      <c r="R3645" s="227" t="n"/>
      <c r="S3645" s="227" t="n"/>
      <c r="T3645" s="227" t="n"/>
    </row>
    <row r="3646">
      <c r="A3646" s="145">
        <f>IF($B3646="","",ROW()-5)</f>
        <v/>
      </c>
      <c r="B3646" s="127" t="n"/>
      <c r="C3646" s="223" t="n"/>
      <c r="D3646" s="127" t="n"/>
      <c r="E3646" s="227" t="n"/>
      <c r="F3646" s="227" t="n"/>
      <c r="G3646" s="227" t="n"/>
      <c r="H3646" s="227" t="n"/>
      <c r="I3646" s="227" t="n"/>
      <c r="J3646" s="227" t="n"/>
      <c r="K3646" s="227" t="n"/>
      <c r="L3646" s="227" t="n"/>
      <c r="M3646" s="227" t="n"/>
      <c r="N3646" s="127" t="n"/>
      <c r="O3646" s="227" t="n"/>
      <c r="P3646" s="227" t="n"/>
      <c r="Q3646" s="227" t="n"/>
      <c r="R3646" s="227" t="n"/>
      <c r="S3646" s="227" t="n"/>
      <c r="T3646" s="227" t="n"/>
    </row>
    <row r="3647">
      <c r="A3647" s="145">
        <f>IF($B3647="","",ROW()-5)</f>
        <v/>
      </c>
      <c r="B3647" s="127" t="n"/>
      <c r="C3647" s="223" t="n"/>
      <c r="D3647" s="127" t="n"/>
      <c r="E3647" s="227" t="n"/>
      <c r="F3647" s="227" t="n"/>
      <c r="G3647" s="227" t="n"/>
      <c r="H3647" s="227" t="n"/>
      <c r="I3647" s="227" t="n"/>
      <c r="J3647" s="227" t="n"/>
      <c r="K3647" s="227" t="n"/>
      <c r="L3647" s="227" t="n"/>
      <c r="M3647" s="227" t="n"/>
      <c r="N3647" s="127" t="n"/>
      <c r="O3647" s="227" t="n"/>
      <c r="P3647" s="227" t="n"/>
      <c r="Q3647" s="227" t="n"/>
      <c r="R3647" s="227" t="n"/>
      <c r="S3647" s="227" t="n"/>
      <c r="T3647" s="227" t="n"/>
    </row>
    <row r="3648">
      <c r="A3648" s="145">
        <f>IF($B3648="","",ROW()-5)</f>
        <v/>
      </c>
      <c r="B3648" s="127" t="n"/>
      <c r="C3648" s="223" t="n"/>
      <c r="D3648" s="127" t="n"/>
      <c r="E3648" s="227" t="n"/>
      <c r="F3648" s="227" t="n"/>
      <c r="G3648" s="227" t="n"/>
      <c r="H3648" s="227" t="n"/>
      <c r="I3648" s="227" t="n"/>
      <c r="J3648" s="227" t="n"/>
      <c r="K3648" s="227" t="n"/>
      <c r="L3648" s="227" t="n"/>
      <c r="M3648" s="227" t="n"/>
      <c r="N3648" s="127" t="n"/>
      <c r="O3648" s="227" t="n"/>
      <c r="P3648" s="227" t="n"/>
      <c r="Q3648" s="227" t="n"/>
      <c r="R3648" s="227" t="n"/>
      <c r="S3648" s="227" t="n"/>
      <c r="T3648" s="227" t="n"/>
    </row>
    <row r="3649">
      <c r="A3649" s="145">
        <f>IF($B3649="","",ROW()-5)</f>
        <v/>
      </c>
      <c r="B3649" s="127" t="n"/>
      <c r="C3649" s="223" t="n"/>
      <c r="D3649" s="127" t="n"/>
      <c r="E3649" s="227" t="n"/>
      <c r="F3649" s="227" t="n"/>
      <c r="G3649" s="227" t="n"/>
      <c r="H3649" s="227" t="n"/>
      <c r="I3649" s="227" t="n"/>
      <c r="J3649" s="227" t="n"/>
      <c r="K3649" s="227" t="n"/>
      <c r="L3649" s="227" t="n"/>
      <c r="M3649" s="227" t="n"/>
      <c r="N3649" s="127" t="n"/>
      <c r="O3649" s="227" t="n"/>
      <c r="P3649" s="227" t="n"/>
      <c r="Q3649" s="227" t="n"/>
      <c r="R3649" s="227" t="n"/>
      <c r="S3649" s="227" t="n"/>
      <c r="T3649" s="227" t="n"/>
    </row>
    <row r="3650">
      <c r="A3650" s="145">
        <f>IF($B3650="","",ROW()-5)</f>
        <v/>
      </c>
      <c r="B3650" s="127" t="n"/>
      <c r="C3650" s="223" t="n"/>
      <c r="D3650" s="127" t="n"/>
      <c r="E3650" s="227" t="n"/>
      <c r="F3650" s="227" t="n"/>
      <c r="G3650" s="227" t="n"/>
      <c r="H3650" s="227" t="n"/>
      <c r="I3650" s="227" t="n"/>
      <c r="J3650" s="227" t="n"/>
      <c r="K3650" s="227" t="n"/>
      <c r="L3650" s="227" t="n"/>
      <c r="M3650" s="227" t="n"/>
      <c r="N3650" s="127" t="n"/>
      <c r="O3650" s="227" t="n"/>
      <c r="P3650" s="227" t="n"/>
      <c r="Q3650" s="227" t="n"/>
      <c r="R3650" s="227" t="n"/>
      <c r="S3650" s="227" t="n"/>
      <c r="T3650" s="227" t="n"/>
    </row>
    <row r="3651">
      <c r="A3651" s="145">
        <f>IF($B3651="","",ROW()-5)</f>
        <v/>
      </c>
      <c r="B3651" s="127" t="n"/>
      <c r="C3651" s="223" t="n"/>
      <c r="D3651" s="127" t="n"/>
      <c r="E3651" s="227" t="n"/>
      <c r="F3651" s="227" t="n"/>
      <c r="G3651" s="227" t="n"/>
      <c r="H3651" s="227" t="n"/>
      <c r="I3651" s="227" t="n"/>
      <c r="J3651" s="227" t="n"/>
      <c r="K3651" s="227" t="n"/>
      <c r="L3651" s="227" t="n"/>
      <c r="M3651" s="227" t="n"/>
      <c r="N3651" s="127" t="n"/>
      <c r="O3651" s="227" t="n"/>
      <c r="P3651" s="227" t="n"/>
      <c r="Q3651" s="227" t="n"/>
      <c r="R3651" s="227" t="n"/>
      <c r="S3651" s="227" t="n"/>
      <c r="T3651" s="227" t="n"/>
    </row>
    <row r="3652">
      <c r="A3652" s="145">
        <f>IF($B3652="","",ROW()-5)</f>
        <v/>
      </c>
      <c r="B3652" s="127" t="n"/>
      <c r="C3652" s="223" t="n"/>
      <c r="D3652" s="127" t="n"/>
      <c r="E3652" s="227" t="n"/>
      <c r="F3652" s="227" t="n"/>
      <c r="G3652" s="227" t="n"/>
      <c r="H3652" s="227" t="n"/>
      <c r="I3652" s="227" t="n"/>
      <c r="J3652" s="227" t="n"/>
      <c r="K3652" s="227" t="n"/>
      <c r="L3652" s="227" t="n"/>
      <c r="M3652" s="227" t="n"/>
      <c r="N3652" s="127" t="n"/>
      <c r="O3652" s="227" t="n"/>
      <c r="P3652" s="227" t="n"/>
      <c r="Q3652" s="227" t="n"/>
      <c r="R3652" s="227" t="n"/>
      <c r="S3652" s="227" t="n"/>
      <c r="T3652" s="227" t="n"/>
    </row>
    <row r="3653">
      <c r="A3653" s="145">
        <f>IF($B3653="","",ROW()-5)</f>
        <v/>
      </c>
      <c r="B3653" s="127" t="n"/>
      <c r="C3653" s="223" t="n"/>
      <c r="D3653" s="127" t="n"/>
      <c r="E3653" s="227" t="n"/>
      <c r="F3653" s="227" t="n"/>
      <c r="G3653" s="227" t="n"/>
      <c r="H3653" s="227" t="n"/>
      <c r="I3653" s="227" t="n"/>
      <c r="J3653" s="227" t="n"/>
      <c r="K3653" s="227" t="n"/>
      <c r="L3653" s="227" t="n"/>
      <c r="M3653" s="227" t="n"/>
      <c r="N3653" s="127" t="n"/>
      <c r="O3653" s="227" t="n"/>
      <c r="P3653" s="227" t="n"/>
      <c r="Q3653" s="227" t="n"/>
      <c r="R3653" s="227" t="n"/>
      <c r="S3653" s="227" t="n"/>
      <c r="T3653" s="227" t="n"/>
    </row>
    <row r="3654">
      <c r="A3654" s="145">
        <f>IF($B3654="","",ROW()-5)</f>
        <v/>
      </c>
      <c r="B3654" s="127" t="n"/>
      <c r="C3654" s="223" t="n"/>
      <c r="D3654" s="127" t="n"/>
      <c r="E3654" s="227" t="n"/>
      <c r="F3654" s="227" t="n"/>
      <c r="G3654" s="227" t="n"/>
      <c r="H3654" s="227" t="n"/>
      <c r="I3654" s="227" t="n"/>
      <c r="J3654" s="227" t="n"/>
      <c r="K3654" s="227" t="n"/>
      <c r="L3654" s="227" t="n"/>
      <c r="M3654" s="227" t="n"/>
      <c r="N3654" s="127" t="n"/>
      <c r="O3654" s="227" t="n"/>
      <c r="P3654" s="227" t="n"/>
      <c r="Q3654" s="227" t="n"/>
      <c r="R3654" s="227" t="n"/>
      <c r="S3654" s="227" t="n"/>
      <c r="T3654" s="227" t="n"/>
    </row>
    <row r="3655">
      <c r="A3655" s="145">
        <f>IF($B3655="","",ROW()-5)</f>
        <v/>
      </c>
      <c r="B3655" s="127" t="n"/>
      <c r="C3655" s="223" t="n"/>
      <c r="D3655" s="127" t="n"/>
      <c r="E3655" s="227" t="n"/>
      <c r="F3655" s="227" t="n"/>
      <c r="G3655" s="227" t="n"/>
      <c r="H3655" s="227" t="n"/>
      <c r="I3655" s="227" t="n"/>
      <c r="J3655" s="227" t="n"/>
      <c r="K3655" s="227" t="n"/>
      <c r="L3655" s="227" t="n"/>
      <c r="M3655" s="227" t="n"/>
      <c r="N3655" s="127" t="n"/>
      <c r="O3655" s="227" t="n"/>
      <c r="P3655" s="227" t="n"/>
      <c r="Q3655" s="227" t="n"/>
      <c r="R3655" s="227" t="n"/>
      <c r="S3655" s="227" t="n"/>
      <c r="T3655" s="227" t="n"/>
    </row>
    <row r="3656">
      <c r="A3656" s="145">
        <f>IF($B3656="","",ROW()-5)</f>
        <v/>
      </c>
      <c r="B3656" s="127" t="n"/>
      <c r="C3656" s="223" t="n"/>
      <c r="D3656" s="127" t="n"/>
      <c r="E3656" s="227" t="n"/>
      <c r="F3656" s="227" t="n"/>
      <c r="G3656" s="227" t="n"/>
      <c r="H3656" s="227" t="n"/>
      <c r="I3656" s="227" t="n"/>
      <c r="J3656" s="227" t="n"/>
      <c r="K3656" s="227" t="n"/>
      <c r="L3656" s="227" t="n"/>
      <c r="M3656" s="227" t="n"/>
      <c r="N3656" s="127" t="n"/>
      <c r="O3656" s="227" t="n"/>
      <c r="P3656" s="227" t="n"/>
      <c r="Q3656" s="227" t="n"/>
      <c r="R3656" s="227" t="n"/>
      <c r="S3656" s="227" t="n"/>
      <c r="T3656" s="227" t="n"/>
    </row>
    <row r="3657">
      <c r="A3657" s="145">
        <f>IF($B3657="","",ROW()-5)</f>
        <v/>
      </c>
      <c r="B3657" s="127" t="n"/>
      <c r="C3657" s="223" t="n"/>
      <c r="D3657" s="127" t="n"/>
      <c r="E3657" s="227" t="n"/>
      <c r="F3657" s="227" t="n"/>
      <c r="G3657" s="227" t="n"/>
      <c r="H3657" s="227" t="n"/>
      <c r="I3657" s="227" t="n"/>
      <c r="J3657" s="227" t="n"/>
      <c r="K3657" s="227" t="n"/>
      <c r="L3657" s="227" t="n"/>
      <c r="M3657" s="227" t="n"/>
      <c r="N3657" s="127" t="n"/>
      <c r="O3657" s="227" t="n"/>
      <c r="P3657" s="227" t="n"/>
      <c r="Q3657" s="227" t="n"/>
      <c r="R3657" s="227" t="n"/>
      <c r="S3657" s="227" t="n"/>
      <c r="T3657" s="227" t="n"/>
    </row>
    <row r="3658">
      <c r="A3658" s="145">
        <f>IF($B3658="","",ROW()-5)</f>
        <v/>
      </c>
      <c r="B3658" s="127" t="n"/>
      <c r="C3658" s="223" t="n"/>
      <c r="D3658" s="127" t="n"/>
      <c r="E3658" s="227" t="n"/>
      <c r="F3658" s="227" t="n"/>
      <c r="G3658" s="227" t="n"/>
      <c r="H3658" s="227" t="n"/>
      <c r="I3658" s="227" t="n"/>
      <c r="J3658" s="227" t="n"/>
      <c r="K3658" s="227" t="n"/>
      <c r="L3658" s="227" t="n"/>
      <c r="M3658" s="227" t="n"/>
      <c r="N3658" s="127" t="n"/>
      <c r="O3658" s="227" t="n"/>
      <c r="P3658" s="227" t="n"/>
      <c r="Q3658" s="227" t="n"/>
      <c r="R3658" s="227" t="n"/>
      <c r="S3658" s="227" t="n"/>
      <c r="T3658" s="227" t="n"/>
    </row>
    <row r="3659">
      <c r="A3659" s="145">
        <f>IF($B3659="","",ROW()-5)</f>
        <v/>
      </c>
      <c r="B3659" s="127" t="n"/>
      <c r="C3659" s="223" t="n"/>
      <c r="D3659" s="127" t="n"/>
      <c r="E3659" s="227" t="n"/>
      <c r="F3659" s="227" t="n"/>
      <c r="G3659" s="227" t="n"/>
      <c r="H3659" s="227" t="n"/>
      <c r="I3659" s="227" t="n"/>
      <c r="J3659" s="227" t="n"/>
      <c r="K3659" s="227" t="n"/>
      <c r="L3659" s="227" t="n"/>
      <c r="M3659" s="227" t="n"/>
      <c r="N3659" s="127" t="n"/>
      <c r="O3659" s="227" t="n"/>
      <c r="P3659" s="227" t="n"/>
      <c r="Q3659" s="227" t="n"/>
      <c r="R3659" s="227" t="n"/>
      <c r="S3659" s="227" t="n"/>
      <c r="T3659" s="227" t="n"/>
    </row>
    <row r="3660">
      <c r="A3660" s="145">
        <f>IF($B3660="","",ROW()-5)</f>
        <v/>
      </c>
      <c r="B3660" s="127" t="n"/>
      <c r="C3660" s="223" t="n"/>
      <c r="D3660" s="127" t="n"/>
      <c r="E3660" s="227" t="n"/>
      <c r="F3660" s="227" t="n"/>
      <c r="G3660" s="227" t="n"/>
      <c r="H3660" s="227" t="n"/>
      <c r="I3660" s="227" t="n"/>
      <c r="J3660" s="227" t="n"/>
      <c r="K3660" s="227" t="n"/>
      <c r="L3660" s="227" t="n"/>
      <c r="M3660" s="227" t="n"/>
      <c r="N3660" s="127" t="n"/>
      <c r="O3660" s="227" t="n"/>
      <c r="P3660" s="227" t="n"/>
      <c r="Q3660" s="227" t="n"/>
      <c r="R3660" s="227" t="n"/>
      <c r="S3660" s="227" t="n"/>
      <c r="T3660" s="227" t="n"/>
    </row>
    <row r="3661">
      <c r="A3661" s="145">
        <f>IF($B3661="","",ROW()-5)</f>
        <v/>
      </c>
      <c r="B3661" s="127" t="n"/>
      <c r="C3661" s="223" t="n"/>
      <c r="D3661" s="127" t="n"/>
      <c r="E3661" s="227" t="n"/>
      <c r="F3661" s="227" t="n"/>
      <c r="G3661" s="227" t="n"/>
      <c r="H3661" s="227" t="n"/>
      <c r="I3661" s="227" t="n"/>
      <c r="J3661" s="227" t="n"/>
      <c r="K3661" s="227" t="n"/>
      <c r="L3661" s="227" t="n"/>
      <c r="M3661" s="227" t="n"/>
      <c r="N3661" s="127" t="n"/>
      <c r="O3661" s="227" t="n"/>
      <c r="P3661" s="227" t="n"/>
      <c r="Q3661" s="227" t="n"/>
      <c r="R3661" s="227" t="n"/>
      <c r="S3661" s="227" t="n"/>
      <c r="T3661" s="227" t="n"/>
    </row>
    <row r="3662">
      <c r="A3662" s="145">
        <f>IF($B3662="","",ROW()-5)</f>
        <v/>
      </c>
      <c r="B3662" s="127" t="n"/>
      <c r="C3662" s="223" t="n"/>
      <c r="D3662" s="127" t="n"/>
      <c r="E3662" s="227" t="n"/>
      <c r="F3662" s="227" t="n"/>
      <c r="G3662" s="227" t="n"/>
      <c r="H3662" s="227" t="n"/>
      <c r="I3662" s="227" t="n"/>
      <c r="J3662" s="227" t="n"/>
      <c r="K3662" s="227" t="n"/>
      <c r="L3662" s="227" t="n"/>
      <c r="M3662" s="227" t="n"/>
      <c r="N3662" s="127" t="n"/>
      <c r="O3662" s="227" t="n"/>
      <c r="P3662" s="227" t="n"/>
      <c r="Q3662" s="227" t="n"/>
      <c r="R3662" s="227" t="n"/>
      <c r="S3662" s="227" t="n"/>
      <c r="T3662" s="227" t="n"/>
    </row>
    <row r="3663">
      <c r="A3663" s="145">
        <f>IF($B3663="","",ROW()-5)</f>
        <v/>
      </c>
      <c r="B3663" s="127" t="n"/>
      <c r="C3663" s="223" t="n"/>
      <c r="D3663" s="127" t="n"/>
      <c r="E3663" s="227" t="n"/>
      <c r="F3663" s="227" t="n"/>
      <c r="G3663" s="227" t="n"/>
      <c r="H3663" s="227" t="n"/>
      <c r="I3663" s="227" t="n"/>
      <c r="J3663" s="227" t="n"/>
      <c r="K3663" s="227" t="n"/>
      <c r="L3663" s="227" t="n"/>
      <c r="M3663" s="227" t="n"/>
      <c r="N3663" s="127" t="n"/>
      <c r="O3663" s="227" t="n"/>
      <c r="P3663" s="227" t="n"/>
      <c r="Q3663" s="227" t="n"/>
      <c r="R3663" s="227" t="n"/>
      <c r="S3663" s="227" t="n"/>
      <c r="T3663" s="227" t="n"/>
    </row>
    <row r="3664">
      <c r="A3664" s="145">
        <f>IF($B3664="","",ROW()-5)</f>
        <v/>
      </c>
      <c r="B3664" s="127" t="n"/>
      <c r="C3664" s="223" t="n"/>
      <c r="D3664" s="127" t="n"/>
      <c r="E3664" s="227" t="n"/>
      <c r="F3664" s="227" t="n"/>
      <c r="G3664" s="227" t="n"/>
      <c r="H3664" s="227" t="n"/>
      <c r="I3664" s="227" t="n"/>
      <c r="J3664" s="227" t="n"/>
      <c r="K3664" s="227" t="n"/>
      <c r="L3664" s="227" t="n"/>
      <c r="M3664" s="227" t="n"/>
      <c r="N3664" s="127" t="n"/>
      <c r="O3664" s="227" t="n"/>
      <c r="P3664" s="227" t="n"/>
      <c r="Q3664" s="227" t="n"/>
      <c r="R3664" s="227" t="n"/>
      <c r="S3664" s="227" t="n"/>
      <c r="T3664" s="227" t="n"/>
    </row>
    <row r="3665">
      <c r="A3665" s="145">
        <f>IF($B3665="","",ROW()-5)</f>
        <v/>
      </c>
      <c r="B3665" s="127" t="n"/>
      <c r="C3665" s="223" t="n"/>
      <c r="D3665" s="127" t="n"/>
      <c r="E3665" s="227" t="n"/>
      <c r="F3665" s="227" t="n"/>
      <c r="G3665" s="227" t="n"/>
      <c r="H3665" s="227" t="n"/>
      <c r="I3665" s="227" t="n"/>
      <c r="J3665" s="227" t="n"/>
      <c r="K3665" s="227" t="n"/>
      <c r="L3665" s="227" t="n"/>
      <c r="M3665" s="227" t="n"/>
      <c r="N3665" s="127" t="n"/>
      <c r="O3665" s="227" t="n"/>
      <c r="P3665" s="227" t="n"/>
      <c r="Q3665" s="227" t="n"/>
      <c r="R3665" s="227" t="n"/>
      <c r="S3665" s="227" t="n"/>
      <c r="T3665" s="227" t="n"/>
    </row>
    <row r="3666">
      <c r="A3666" s="145">
        <f>IF($B3666="","",ROW()-5)</f>
        <v/>
      </c>
      <c r="B3666" s="127" t="n"/>
      <c r="C3666" s="223" t="n"/>
      <c r="D3666" s="127" t="n"/>
      <c r="E3666" s="227" t="n"/>
      <c r="F3666" s="227" t="n"/>
      <c r="G3666" s="227" t="n"/>
      <c r="H3666" s="227" t="n"/>
      <c r="I3666" s="227" t="n"/>
      <c r="J3666" s="227" t="n"/>
      <c r="K3666" s="227" t="n"/>
      <c r="L3666" s="227" t="n"/>
      <c r="M3666" s="227" t="n"/>
      <c r="N3666" s="127" t="n"/>
      <c r="O3666" s="227" t="n"/>
      <c r="P3666" s="227" t="n"/>
      <c r="Q3666" s="227" t="n"/>
      <c r="R3666" s="227" t="n"/>
      <c r="S3666" s="227" t="n"/>
      <c r="T3666" s="227" t="n"/>
    </row>
    <row r="3667">
      <c r="A3667" s="145">
        <f>IF($B3667="","",ROW()-5)</f>
        <v/>
      </c>
      <c r="B3667" s="127" t="n"/>
      <c r="C3667" s="223" t="n"/>
      <c r="D3667" s="127" t="n"/>
      <c r="E3667" s="227" t="n"/>
      <c r="F3667" s="227" t="n"/>
      <c r="G3667" s="227" t="n"/>
      <c r="H3667" s="227" t="n"/>
      <c r="I3667" s="227" t="n"/>
      <c r="J3667" s="227" t="n"/>
      <c r="K3667" s="227" t="n"/>
      <c r="L3667" s="227" t="n"/>
      <c r="M3667" s="227" t="n"/>
      <c r="N3667" s="127" t="n"/>
      <c r="O3667" s="227" t="n"/>
      <c r="P3667" s="227" t="n"/>
      <c r="Q3667" s="227" t="n"/>
      <c r="R3667" s="227" t="n"/>
      <c r="S3667" s="227" t="n"/>
      <c r="T3667" s="227" t="n"/>
    </row>
    <row r="3668">
      <c r="A3668" s="145">
        <f>IF($B3668="","",ROW()-5)</f>
        <v/>
      </c>
      <c r="B3668" s="127" t="n"/>
      <c r="C3668" s="223" t="n"/>
      <c r="D3668" s="127" t="n"/>
      <c r="E3668" s="227" t="n"/>
      <c r="F3668" s="227" t="n"/>
      <c r="G3668" s="227" t="n"/>
      <c r="H3668" s="227" t="n"/>
      <c r="I3668" s="227" t="n"/>
      <c r="J3668" s="227" t="n"/>
      <c r="K3668" s="227" t="n"/>
      <c r="L3668" s="227" t="n"/>
      <c r="M3668" s="227" t="n"/>
      <c r="N3668" s="127" t="n"/>
      <c r="O3668" s="227" t="n"/>
      <c r="P3668" s="227" t="n"/>
      <c r="Q3668" s="227" t="n"/>
      <c r="R3668" s="227" t="n"/>
      <c r="S3668" s="227" t="n"/>
      <c r="T3668" s="227" t="n"/>
    </row>
    <row r="3669">
      <c r="A3669" s="145">
        <f>IF($B3669="","",ROW()-5)</f>
        <v/>
      </c>
      <c r="B3669" s="127" t="n"/>
      <c r="C3669" s="223" t="n"/>
      <c r="D3669" s="127" t="n"/>
      <c r="E3669" s="227" t="n"/>
      <c r="F3669" s="227" t="n"/>
      <c r="G3669" s="227" t="n"/>
      <c r="H3669" s="227" t="n"/>
      <c r="I3669" s="227" t="n"/>
      <c r="J3669" s="227" t="n"/>
      <c r="K3669" s="227" t="n"/>
      <c r="L3669" s="227" t="n"/>
      <c r="M3669" s="227" t="n"/>
      <c r="N3669" s="127" t="n"/>
      <c r="O3669" s="227" t="n"/>
      <c r="P3669" s="227" t="n"/>
      <c r="Q3669" s="227" t="n"/>
      <c r="R3669" s="227" t="n"/>
      <c r="S3669" s="227" t="n"/>
      <c r="T3669" s="227" t="n"/>
    </row>
    <row r="3670">
      <c r="A3670" s="145">
        <f>IF($B3670="","",ROW()-5)</f>
        <v/>
      </c>
      <c r="B3670" s="127" t="n"/>
      <c r="C3670" s="223" t="n"/>
      <c r="D3670" s="127" t="n"/>
      <c r="E3670" s="227" t="n"/>
      <c r="F3670" s="227" t="n"/>
      <c r="G3670" s="227" t="n"/>
      <c r="H3670" s="227" t="n"/>
      <c r="I3670" s="227" t="n"/>
      <c r="J3670" s="227" t="n"/>
      <c r="K3670" s="227" t="n"/>
      <c r="L3670" s="227" t="n"/>
      <c r="M3670" s="227" t="n"/>
      <c r="N3670" s="127" t="n"/>
      <c r="O3670" s="227" t="n"/>
      <c r="P3670" s="227" t="n"/>
      <c r="Q3670" s="227" t="n"/>
      <c r="R3670" s="227" t="n"/>
      <c r="S3670" s="227" t="n"/>
      <c r="T3670" s="227" t="n"/>
    </row>
    <row r="3671">
      <c r="A3671" s="145">
        <f>IF($B3671="","",ROW()-5)</f>
        <v/>
      </c>
      <c r="B3671" s="127" t="n"/>
      <c r="C3671" s="223" t="n"/>
      <c r="D3671" s="127" t="n"/>
      <c r="E3671" s="227" t="n"/>
      <c r="F3671" s="227" t="n"/>
      <c r="G3671" s="227" t="n"/>
      <c r="H3671" s="227" t="n"/>
      <c r="I3671" s="227" t="n"/>
      <c r="J3671" s="227" t="n"/>
      <c r="K3671" s="227" t="n"/>
      <c r="L3671" s="227" t="n"/>
      <c r="M3671" s="227" t="n"/>
      <c r="N3671" s="127" t="n"/>
      <c r="O3671" s="227" t="n"/>
      <c r="P3671" s="227" t="n"/>
      <c r="Q3671" s="227" t="n"/>
      <c r="R3671" s="227" t="n"/>
      <c r="S3671" s="227" t="n"/>
      <c r="T3671" s="227" t="n"/>
    </row>
    <row r="3672">
      <c r="A3672" s="145">
        <f>IF($B3672="","",ROW()-5)</f>
        <v/>
      </c>
      <c r="B3672" s="127" t="n"/>
      <c r="C3672" s="223" t="n"/>
      <c r="D3672" s="127" t="n"/>
      <c r="E3672" s="227" t="n"/>
      <c r="F3672" s="227" t="n"/>
      <c r="G3672" s="227" t="n"/>
      <c r="H3672" s="227" t="n"/>
      <c r="I3672" s="227" t="n"/>
      <c r="J3672" s="227" t="n"/>
      <c r="K3672" s="227" t="n"/>
      <c r="L3672" s="227" t="n"/>
      <c r="M3672" s="227" t="n"/>
      <c r="N3672" s="127" t="n"/>
      <c r="O3672" s="227" t="n"/>
      <c r="P3672" s="227" t="n"/>
      <c r="Q3672" s="227" t="n"/>
      <c r="R3672" s="227" t="n"/>
      <c r="S3672" s="227" t="n"/>
      <c r="T3672" s="227" t="n"/>
    </row>
    <row r="3673">
      <c r="A3673" s="145">
        <f>IF($B3673="","",ROW()-5)</f>
        <v/>
      </c>
      <c r="B3673" s="127" t="n"/>
      <c r="C3673" s="223" t="n"/>
      <c r="D3673" s="127" t="n"/>
      <c r="E3673" s="227" t="n"/>
      <c r="F3673" s="227" t="n"/>
      <c r="G3673" s="227" t="n"/>
      <c r="H3673" s="227" t="n"/>
      <c r="I3673" s="227" t="n"/>
      <c r="J3673" s="227" t="n"/>
      <c r="K3673" s="227" t="n"/>
      <c r="L3673" s="227" t="n"/>
      <c r="M3673" s="227" t="n"/>
      <c r="N3673" s="127" t="n"/>
      <c r="O3673" s="227" t="n"/>
      <c r="P3673" s="227" t="n"/>
      <c r="Q3673" s="227" t="n"/>
      <c r="R3673" s="227" t="n"/>
      <c r="S3673" s="227" t="n"/>
      <c r="T3673" s="227" t="n"/>
    </row>
    <row r="3674">
      <c r="A3674" s="145">
        <f>IF($B3674="","",ROW()-5)</f>
        <v/>
      </c>
      <c r="B3674" s="127" t="n"/>
      <c r="C3674" s="223" t="n"/>
      <c r="D3674" s="127" t="n"/>
      <c r="E3674" s="227" t="n"/>
      <c r="F3674" s="227" t="n"/>
      <c r="G3674" s="227" t="n"/>
      <c r="H3674" s="227" t="n"/>
      <c r="I3674" s="227" t="n"/>
      <c r="J3674" s="227" t="n"/>
      <c r="K3674" s="227" t="n"/>
      <c r="L3674" s="227" t="n"/>
      <c r="M3674" s="227" t="n"/>
      <c r="N3674" s="127" t="n"/>
      <c r="O3674" s="227" t="n"/>
      <c r="P3674" s="227" t="n"/>
      <c r="Q3674" s="227" t="n"/>
      <c r="R3674" s="227" t="n"/>
      <c r="S3674" s="227" t="n"/>
      <c r="T3674" s="227" t="n"/>
    </row>
    <row r="3675">
      <c r="A3675" s="145">
        <f>IF($B3675="","",ROW()-5)</f>
        <v/>
      </c>
      <c r="B3675" s="127" t="n"/>
      <c r="C3675" s="223" t="n"/>
      <c r="D3675" s="127" t="n"/>
      <c r="E3675" s="227" t="n"/>
      <c r="F3675" s="227" t="n"/>
      <c r="G3675" s="227" t="n"/>
      <c r="H3675" s="227" t="n"/>
      <c r="I3675" s="227" t="n"/>
      <c r="J3675" s="227" t="n"/>
      <c r="K3675" s="227" t="n"/>
      <c r="L3675" s="227" t="n"/>
      <c r="M3675" s="227" t="n"/>
      <c r="N3675" s="127" t="n"/>
      <c r="O3675" s="227" t="n"/>
      <c r="P3675" s="227" t="n"/>
      <c r="Q3675" s="227" t="n"/>
      <c r="R3675" s="227" t="n"/>
      <c r="S3675" s="227" t="n"/>
      <c r="T3675" s="227" t="n"/>
    </row>
    <row r="3676">
      <c r="A3676" s="145">
        <f>IF($B3676="","",ROW()-5)</f>
        <v/>
      </c>
      <c r="B3676" s="127" t="n"/>
      <c r="C3676" s="223" t="n"/>
      <c r="D3676" s="127" t="n"/>
      <c r="E3676" s="227" t="n"/>
      <c r="F3676" s="227" t="n"/>
      <c r="G3676" s="227" t="n"/>
      <c r="H3676" s="227" t="n"/>
      <c r="I3676" s="227" t="n"/>
      <c r="J3676" s="227" t="n"/>
      <c r="K3676" s="227" t="n"/>
      <c r="L3676" s="227" t="n"/>
      <c r="M3676" s="227" t="n"/>
      <c r="N3676" s="127" t="n"/>
      <c r="O3676" s="227" t="n"/>
      <c r="P3676" s="227" t="n"/>
      <c r="Q3676" s="227" t="n"/>
      <c r="R3676" s="227" t="n"/>
      <c r="S3676" s="227" t="n"/>
      <c r="T3676" s="227" t="n"/>
    </row>
    <row r="3677">
      <c r="A3677" s="145">
        <f>IF($B3677="","",ROW()-5)</f>
        <v/>
      </c>
      <c r="B3677" s="127" t="n"/>
      <c r="C3677" s="223" t="n"/>
      <c r="D3677" s="127" t="n"/>
      <c r="E3677" s="227" t="n"/>
      <c r="F3677" s="227" t="n"/>
      <c r="G3677" s="227" t="n"/>
      <c r="H3677" s="227" t="n"/>
      <c r="I3677" s="227" t="n"/>
      <c r="J3677" s="227" t="n"/>
      <c r="K3677" s="227" t="n"/>
      <c r="L3677" s="227" t="n"/>
      <c r="M3677" s="227" t="n"/>
      <c r="N3677" s="127" t="n"/>
      <c r="O3677" s="227" t="n"/>
      <c r="P3677" s="227" t="n"/>
      <c r="Q3677" s="227" t="n"/>
      <c r="R3677" s="227" t="n"/>
      <c r="S3677" s="227" t="n"/>
      <c r="T3677" s="227" t="n"/>
    </row>
    <row r="3678">
      <c r="A3678" s="145">
        <f>IF($B3678="","",ROW()-5)</f>
        <v/>
      </c>
      <c r="B3678" s="127" t="n"/>
      <c r="C3678" s="223" t="n"/>
      <c r="D3678" s="127" t="n"/>
      <c r="E3678" s="227" t="n"/>
      <c r="F3678" s="227" t="n"/>
      <c r="G3678" s="227" t="n"/>
      <c r="H3678" s="227" t="n"/>
      <c r="I3678" s="227" t="n"/>
      <c r="J3678" s="227" t="n"/>
      <c r="K3678" s="227" t="n"/>
      <c r="L3678" s="227" t="n"/>
      <c r="M3678" s="227" t="n"/>
      <c r="N3678" s="127" t="n"/>
      <c r="O3678" s="227" t="n"/>
      <c r="P3678" s="227" t="n"/>
      <c r="Q3678" s="227" t="n"/>
      <c r="R3678" s="227" t="n"/>
      <c r="S3678" s="227" t="n"/>
      <c r="T3678" s="227" t="n"/>
    </row>
    <row r="3679">
      <c r="A3679" s="145">
        <f>IF($B3679="","",ROW()-5)</f>
        <v/>
      </c>
      <c r="B3679" s="127" t="n"/>
      <c r="C3679" s="223" t="n"/>
      <c r="D3679" s="127" t="n"/>
      <c r="E3679" s="227" t="n"/>
      <c r="F3679" s="227" t="n"/>
      <c r="G3679" s="227" t="n"/>
      <c r="H3679" s="227" t="n"/>
      <c r="I3679" s="227" t="n"/>
      <c r="J3679" s="227" t="n"/>
      <c r="K3679" s="227" t="n"/>
      <c r="L3679" s="227" t="n"/>
      <c r="M3679" s="227" t="n"/>
      <c r="N3679" s="127" t="n"/>
      <c r="O3679" s="227" t="n"/>
      <c r="P3679" s="227" t="n"/>
      <c r="Q3679" s="227" t="n"/>
      <c r="R3679" s="227" t="n"/>
      <c r="S3679" s="227" t="n"/>
      <c r="T3679" s="227" t="n"/>
    </row>
    <row r="3680">
      <c r="A3680" s="145">
        <f>IF($B3680="","",ROW()-5)</f>
        <v/>
      </c>
      <c r="B3680" s="127" t="n"/>
      <c r="C3680" s="223" t="n"/>
      <c r="D3680" s="127" t="n"/>
      <c r="E3680" s="227" t="n"/>
      <c r="F3680" s="227" t="n"/>
      <c r="G3680" s="227" t="n"/>
      <c r="H3680" s="227" t="n"/>
      <c r="I3680" s="227" t="n"/>
      <c r="J3680" s="227" t="n"/>
      <c r="K3680" s="227" t="n"/>
      <c r="L3680" s="227" t="n"/>
      <c r="M3680" s="227" t="n"/>
      <c r="N3680" s="127" t="n"/>
      <c r="O3680" s="227" t="n"/>
      <c r="P3680" s="227" t="n"/>
      <c r="Q3680" s="227" t="n"/>
      <c r="R3680" s="227" t="n"/>
      <c r="S3680" s="227" t="n"/>
      <c r="T3680" s="227" t="n"/>
    </row>
    <row r="3681">
      <c r="A3681" s="145">
        <f>IF($B3681="","",ROW()-5)</f>
        <v/>
      </c>
      <c r="B3681" s="127" t="n"/>
      <c r="C3681" s="223" t="n"/>
      <c r="D3681" s="127" t="n"/>
      <c r="E3681" s="227" t="n"/>
      <c r="F3681" s="227" t="n"/>
      <c r="G3681" s="227" t="n"/>
      <c r="H3681" s="227" t="n"/>
      <c r="I3681" s="227" t="n"/>
      <c r="J3681" s="227" t="n"/>
      <c r="K3681" s="227" t="n"/>
      <c r="L3681" s="227" t="n"/>
      <c r="M3681" s="227" t="n"/>
      <c r="N3681" s="127" t="n"/>
      <c r="O3681" s="227" t="n"/>
      <c r="P3681" s="227" t="n"/>
      <c r="Q3681" s="227" t="n"/>
      <c r="R3681" s="227" t="n"/>
      <c r="S3681" s="227" t="n"/>
      <c r="T3681" s="227" t="n"/>
    </row>
    <row r="3682">
      <c r="A3682" s="145">
        <f>IF($B3682="","",ROW()-5)</f>
        <v/>
      </c>
      <c r="B3682" s="127" t="n"/>
      <c r="C3682" s="223" t="n"/>
      <c r="D3682" s="127" t="n"/>
      <c r="E3682" s="227" t="n"/>
      <c r="F3682" s="227" t="n"/>
      <c r="G3682" s="227" t="n"/>
      <c r="H3682" s="227" t="n"/>
      <c r="I3682" s="227" t="n"/>
      <c r="J3682" s="227" t="n"/>
      <c r="K3682" s="227" t="n"/>
      <c r="L3682" s="227" t="n"/>
      <c r="M3682" s="227" t="n"/>
      <c r="N3682" s="127" t="n"/>
      <c r="O3682" s="227" t="n"/>
      <c r="P3682" s="227" t="n"/>
      <c r="Q3682" s="227" t="n"/>
      <c r="R3682" s="227" t="n"/>
      <c r="S3682" s="227" t="n"/>
      <c r="T3682" s="227" t="n"/>
    </row>
    <row r="3683">
      <c r="A3683" s="145">
        <f>IF($B3683="","",ROW()-5)</f>
        <v/>
      </c>
      <c r="B3683" s="127" t="n"/>
      <c r="C3683" s="223" t="n"/>
      <c r="D3683" s="127" t="n"/>
      <c r="E3683" s="227" t="n"/>
      <c r="F3683" s="227" t="n"/>
      <c r="G3683" s="227" t="n"/>
      <c r="H3683" s="227" t="n"/>
      <c r="I3683" s="227" t="n"/>
      <c r="J3683" s="227" t="n"/>
      <c r="K3683" s="227" t="n"/>
      <c r="L3683" s="227" t="n"/>
      <c r="M3683" s="227" t="n"/>
      <c r="N3683" s="127" t="n"/>
      <c r="O3683" s="227" t="n"/>
      <c r="P3683" s="227" t="n"/>
      <c r="Q3683" s="227" t="n"/>
      <c r="R3683" s="227" t="n"/>
      <c r="S3683" s="227" t="n"/>
      <c r="T3683" s="227" t="n"/>
    </row>
    <row r="3684">
      <c r="A3684" s="145">
        <f>IF($B3684="","",ROW()-5)</f>
        <v/>
      </c>
      <c r="B3684" s="127" t="n"/>
      <c r="C3684" s="223" t="n"/>
      <c r="D3684" s="127" t="n"/>
      <c r="E3684" s="227" t="n"/>
      <c r="F3684" s="227" t="n"/>
      <c r="G3684" s="227" t="n"/>
      <c r="H3684" s="227" t="n"/>
      <c r="I3684" s="227" t="n"/>
      <c r="J3684" s="227" t="n"/>
      <c r="K3684" s="227" t="n"/>
      <c r="L3684" s="227" t="n"/>
      <c r="M3684" s="227" t="n"/>
      <c r="N3684" s="127" t="n"/>
      <c r="O3684" s="227" t="n"/>
      <c r="P3684" s="227" t="n"/>
      <c r="Q3684" s="227" t="n"/>
      <c r="R3684" s="227" t="n"/>
      <c r="S3684" s="227" t="n"/>
      <c r="T3684" s="227" t="n"/>
    </row>
    <row r="3685">
      <c r="A3685" s="145">
        <f>IF($B3685="","",ROW()-5)</f>
        <v/>
      </c>
      <c r="B3685" s="127" t="n"/>
      <c r="C3685" s="223" t="n"/>
      <c r="D3685" s="127" t="n"/>
      <c r="E3685" s="227" t="n"/>
      <c r="F3685" s="227" t="n"/>
      <c r="G3685" s="227" t="n"/>
      <c r="H3685" s="227" t="n"/>
      <c r="I3685" s="227" t="n"/>
      <c r="J3685" s="227" t="n"/>
      <c r="K3685" s="227" t="n"/>
      <c r="L3685" s="227" t="n"/>
      <c r="M3685" s="227" t="n"/>
      <c r="N3685" s="127" t="n"/>
      <c r="O3685" s="227" t="n"/>
      <c r="P3685" s="227" t="n"/>
      <c r="Q3685" s="227" t="n"/>
      <c r="R3685" s="227" t="n"/>
      <c r="S3685" s="227" t="n"/>
      <c r="T3685" s="227" t="n"/>
    </row>
    <row r="3686">
      <c r="A3686" s="145">
        <f>IF($B3686="","",ROW()-5)</f>
        <v/>
      </c>
      <c r="B3686" s="127" t="n"/>
      <c r="C3686" s="223" t="n"/>
      <c r="D3686" s="127" t="n"/>
      <c r="E3686" s="227" t="n"/>
      <c r="F3686" s="227" t="n"/>
      <c r="G3686" s="227" t="n"/>
      <c r="H3686" s="227" t="n"/>
      <c r="I3686" s="227" t="n"/>
      <c r="J3686" s="227" t="n"/>
      <c r="K3686" s="227" t="n"/>
      <c r="L3686" s="227" t="n"/>
      <c r="M3686" s="227" t="n"/>
      <c r="N3686" s="127" t="n"/>
      <c r="O3686" s="227" t="n"/>
      <c r="P3686" s="227" t="n"/>
      <c r="Q3686" s="227" t="n"/>
      <c r="R3686" s="227" t="n"/>
      <c r="S3686" s="227" t="n"/>
      <c r="T3686" s="227" t="n"/>
    </row>
    <row r="3687">
      <c r="A3687" s="145">
        <f>IF($B3687="","",ROW()-5)</f>
        <v/>
      </c>
      <c r="B3687" s="127" t="n"/>
      <c r="C3687" s="223" t="n"/>
      <c r="D3687" s="127" t="n"/>
      <c r="E3687" s="227" t="n"/>
      <c r="F3687" s="227" t="n"/>
      <c r="G3687" s="227" t="n"/>
      <c r="H3687" s="227" t="n"/>
      <c r="I3687" s="227" t="n"/>
      <c r="J3687" s="227" t="n"/>
      <c r="K3687" s="227" t="n"/>
      <c r="L3687" s="227" t="n"/>
      <c r="M3687" s="227" t="n"/>
      <c r="N3687" s="127" t="n"/>
      <c r="O3687" s="227" t="n"/>
      <c r="P3687" s="227" t="n"/>
      <c r="Q3687" s="227" t="n"/>
      <c r="R3687" s="227" t="n"/>
      <c r="S3687" s="227" t="n"/>
      <c r="T3687" s="227" t="n"/>
    </row>
    <row r="3688">
      <c r="A3688" s="145">
        <f>IF($B3688="","",ROW()-5)</f>
        <v/>
      </c>
      <c r="B3688" s="127" t="n"/>
      <c r="C3688" s="223" t="n"/>
      <c r="D3688" s="127" t="n"/>
      <c r="E3688" s="227" t="n"/>
      <c r="F3688" s="227" t="n"/>
      <c r="G3688" s="227" t="n"/>
      <c r="H3688" s="227" t="n"/>
      <c r="I3688" s="227" t="n"/>
      <c r="J3688" s="227" t="n"/>
      <c r="K3688" s="227" t="n"/>
      <c r="L3688" s="227" t="n"/>
      <c r="M3688" s="227" t="n"/>
      <c r="N3688" s="127" t="n"/>
      <c r="O3688" s="227" t="n"/>
      <c r="P3688" s="227" t="n"/>
      <c r="Q3688" s="227" t="n"/>
      <c r="R3688" s="227" t="n"/>
      <c r="S3688" s="227" t="n"/>
      <c r="T3688" s="227" t="n"/>
    </row>
    <row r="3689">
      <c r="A3689" s="145">
        <f>IF($B3689="","",ROW()-5)</f>
        <v/>
      </c>
      <c r="B3689" s="127" t="n"/>
      <c r="C3689" s="223" t="n"/>
      <c r="D3689" s="127" t="n"/>
      <c r="E3689" s="227" t="n"/>
      <c r="F3689" s="227" t="n"/>
      <c r="G3689" s="227" t="n"/>
      <c r="H3689" s="227" t="n"/>
      <c r="I3689" s="227" t="n"/>
      <c r="J3689" s="227" t="n"/>
      <c r="K3689" s="227" t="n"/>
      <c r="L3689" s="227" t="n"/>
      <c r="M3689" s="227" t="n"/>
      <c r="N3689" s="127" t="n"/>
      <c r="O3689" s="227" t="n"/>
      <c r="P3689" s="227" t="n"/>
      <c r="Q3689" s="227" t="n"/>
      <c r="R3689" s="227" t="n"/>
      <c r="S3689" s="227" t="n"/>
      <c r="T3689" s="227" t="n"/>
    </row>
    <row r="3690">
      <c r="A3690" s="145">
        <f>IF($B3690="","",ROW()-5)</f>
        <v/>
      </c>
      <c r="B3690" s="127" t="n"/>
      <c r="C3690" s="223" t="n"/>
      <c r="D3690" s="127" t="n"/>
      <c r="E3690" s="227" t="n"/>
      <c r="F3690" s="227" t="n"/>
      <c r="G3690" s="227" t="n"/>
      <c r="H3690" s="227" t="n"/>
      <c r="I3690" s="227" t="n"/>
      <c r="J3690" s="227" t="n"/>
      <c r="K3690" s="227" t="n"/>
      <c r="L3690" s="227" t="n"/>
      <c r="M3690" s="227" t="n"/>
      <c r="N3690" s="127" t="n"/>
      <c r="O3690" s="227" t="n"/>
      <c r="P3690" s="227" t="n"/>
      <c r="Q3690" s="227" t="n"/>
      <c r="R3690" s="227" t="n"/>
      <c r="S3690" s="227" t="n"/>
      <c r="T3690" s="227" t="n"/>
    </row>
    <row r="3691">
      <c r="A3691" s="145">
        <f>IF($B3691="","",ROW()-5)</f>
        <v/>
      </c>
      <c r="B3691" s="127" t="n"/>
      <c r="C3691" s="223" t="n"/>
      <c r="D3691" s="127" t="n"/>
      <c r="E3691" s="227" t="n"/>
      <c r="F3691" s="227" t="n"/>
      <c r="G3691" s="227" t="n"/>
      <c r="H3691" s="227" t="n"/>
      <c r="I3691" s="227" t="n"/>
      <c r="J3691" s="227" t="n"/>
      <c r="K3691" s="227" t="n"/>
      <c r="L3691" s="227" t="n"/>
      <c r="M3691" s="227" t="n"/>
      <c r="N3691" s="127" t="n"/>
      <c r="O3691" s="227" t="n"/>
      <c r="P3691" s="227" t="n"/>
      <c r="Q3691" s="227" t="n"/>
      <c r="R3691" s="227" t="n"/>
      <c r="S3691" s="227" t="n"/>
      <c r="T3691" s="227" t="n"/>
    </row>
    <row r="3692">
      <c r="A3692" s="145">
        <f>IF($B3692="","",ROW()-5)</f>
        <v/>
      </c>
      <c r="B3692" s="127" t="n"/>
      <c r="C3692" s="223" t="n"/>
      <c r="D3692" s="127" t="n"/>
      <c r="E3692" s="227" t="n"/>
      <c r="F3692" s="227" t="n"/>
      <c r="G3692" s="227" t="n"/>
      <c r="H3692" s="227" t="n"/>
      <c r="I3692" s="227" t="n"/>
      <c r="J3692" s="227" t="n"/>
      <c r="K3692" s="227" t="n"/>
      <c r="L3692" s="227" t="n"/>
      <c r="M3692" s="227" t="n"/>
      <c r="N3692" s="127" t="n"/>
      <c r="O3692" s="227" t="n"/>
      <c r="P3692" s="227" t="n"/>
      <c r="Q3692" s="227" t="n"/>
      <c r="R3692" s="227" t="n"/>
      <c r="S3692" s="227" t="n"/>
      <c r="T3692" s="227" t="n"/>
    </row>
    <row r="3693">
      <c r="A3693" s="145">
        <f>IF($B3693="","",ROW()-5)</f>
        <v/>
      </c>
      <c r="B3693" s="127" t="n"/>
      <c r="C3693" s="223" t="n"/>
      <c r="D3693" s="127" t="n"/>
      <c r="E3693" s="227" t="n"/>
      <c r="F3693" s="227" t="n"/>
      <c r="G3693" s="227" t="n"/>
      <c r="H3693" s="227" t="n"/>
      <c r="I3693" s="227" t="n"/>
      <c r="J3693" s="227" t="n"/>
      <c r="K3693" s="227" t="n"/>
      <c r="L3693" s="227" t="n"/>
      <c r="M3693" s="227" t="n"/>
      <c r="N3693" s="127" t="n"/>
      <c r="O3693" s="227" t="n"/>
      <c r="P3693" s="227" t="n"/>
      <c r="Q3693" s="227" t="n"/>
      <c r="R3693" s="227" t="n"/>
      <c r="S3693" s="227" t="n"/>
      <c r="T3693" s="227" t="n"/>
    </row>
    <row r="3694">
      <c r="A3694" s="145">
        <f>IF($B3694="","",ROW()-5)</f>
        <v/>
      </c>
      <c r="B3694" s="127" t="n"/>
      <c r="C3694" s="223" t="n"/>
      <c r="D3694" s="127" t="n"/>
      <c r="E3694" s="227" t="n"/>
      <c r="F3694" s="227" t="n"/>
      <c r="G3694" s="227" t="n"/>
      <c r="H3694" s="227" t="n"/>
      <c r="I3694" s="227" t="n"/>
      <c r="J3694" s="227" t="n"/>
      <c r="K3694" s="227" t="n"/>
      <c r="L3694" s="227" t="n"/>
      <c r="M3694" s="227" t="n"/>
      <c r="N3694" s="127" t="n"/>
      <c r="O3694" s="227" t="n"/>
      <c r="P3694" s="227" t="n"/>
      <c r="Q3694" s="227" t="n"/>
      <c r="R3694" s="227" t="n"/>
      <c r="S3694" s="227" t="n"/>
      <c r="T3694" s="227" t="n"/>
    </row>
    <row r="3695">
      <c r="A3695" s="145">
        <f>IF($B3695="","",ROW()-5)</f>
        <v/>
      </c>
      <c r="B3695" s="127" t="n"/>
      <c r="C3695" s="223" t="n"/>
      <c r="D3695" s="127" t="n"/>
      <c r="E3695" s="227" t="n"/>
      <c r="F3695" s="227" t="n"/>
      <c r="G3695" s="227" t="n"/>
      <c r="H3695" s="227" t="n"/>
      <c r="I3695" s="227" t="n"/>
      <c r="J3695" s="227" t="n"/>
      <c r="K3695" s="227" t="n"/>
      <c r="L3695" s="227" t="n"/>
      <c r="M3695" s="227" t="n"/>
      <c r="N3695" s="127" t="n"/>
      <c r="O3695" s="227" t="n"/>
      <c r="P3695" s="227" t="n"/>
      <c r="Q3695" s="227" t="n"/>
      <c r="R3695" s="227" t="n"/>
      <c r="S3695" s="227" t="n"/>
      <c r="T3695" s="227" t="n"/>
    </row>
    <row r="3696">
      <c r="A3696" s="145">
        <f>IF($B3696="","",ROW()-5)</f>
        <v/>
      </c>
      <c r="B3696" s="127" t="n"/>
      <c r="C3696" s="223" t="n"/>
      <c r="D3696" s="127" t="n"/>
      <c r="E3696" s="227" t="n"/>
      <c r="F3696" s="227" t="n"/>
      <c r="G3696" s="227" t="n"/>
      <c r="H3696" s="227" t="n"/>
      <c r="I3696" s="227" t="n"/>
      <c r="J3696" s="227" t="n"/>
      <c r="K3696" s="227" t="n"/>
      <c r="L3696" s="227" t="n"/>
      <c r="M3696" s="227" t="n"/>
      <c r="N3696" s="127" t="n"/>
      <c r="O3696" s="227" t="n"/>
      <c r="P3696" s="227" t="n"/>
      <c r="Q3696" s="227" t="n"/>
      <c r="R3696" s="227" t="n"/>
      <c r="S3696" s="227" t="n"/>
      <c r="T3696" s="227" t="n"/>
    </row>
    <row r="3697">
      <c r="A3697" s="145">
        <f>IF($B3697="","",ROW()-5)</f>
        <v/>
      </c>
      <c r="B3697" s="127" t="n"/>
      <c r="C3697" s="223" t="n"/>
      <c r="D3697" s="127" t="n"/>
      <c r="E3697" s="227" t="n"/>
      <c r="F3697" s="227" t="n"/>
      <c r="G3697" s="227" t="n"/>
      <c r="H3697" s="227" t="n"/>
      <c r="I3697" s="227" t="n"/>
      <c r="J3697" s="227" t="n"/>
      <c r="K3697" s="227" t="n"/>
      <c r="L3697" s="227" t="n"/>
      <c r="M3697" s="227" t="n"/>
      <c r="N3697" s="127" t="n"/>
      <c r="O3697" s="227" t="n"/>
      <c r="P3697" s="227" t="n"/>
      <c r="Q3697" s="227" t="n"/>
      <c r="R3697" s="227" t="n"/>
      <c r="S3697" s="227" t="n"/>
      <c r="T3697" s="227" t="n"/>
    </row>
    <row r="3698">
      <c r="A3698" s="145">
        <f>IF($B3698="","",ROW()-5)</f>
        <v/>
      </c>
      <c r="B3698" s="127" t="n"/>
      <c r="C3698" s="223" t="n"/>
      <c r="D3698" s="127" t="n"/>
      <c r="E3698" s="227" t="n"/>
      <c r="F3698" s="227" t="n"/>
      <c r="G3698" s="227" t="n"/>
      <c r="H3698" s="227" t="n"/>
      <c r="I3698" s="227" t="n"/>
      <c r="J3698" s="227" t="n"/>
      <c r="K3698" s="227" t="n"/>
      <c r="L3698" s="227" t="n"/>
      <c r="M3698" s="227" t="n"/>
      <c r="N3698" s="127" t="n"/>
      <c r="O3698" s="227" t="n"/>
      <c r="P3698" s="227" t="n"/>
      <c r="Q3698" s="227" t="n"/>
      <c r="R3698" s="227" t="n"/>
      <c r="S3698" s="227" t="n"/>
      <c r="T3698" s="227" t="n"/>
    </row>
    <row r="3699">
      <c r="A3699" s="145">
        <f>IF($B3699="","",ROW()-5)</f>
        <v/>
      </c>
      <c r="B3699" s="127" t="n"/>
      <c r="C3699" s="223" t="n"/>
      <c r="D3699" s="127" t="n"/>
      <c r="E3699" s="227" t="n"/>
      <c r="F3699" s="227" t="n"/>
      <c r="G3699" s="227" t="n"/>
      <c r="H3699" s="227" t="n"/>
      <c r="I3699" s="227" t="n"/>
      <c r="J3699" s="227" t="n"/>
      <c r="K3699" s="227" t="n"/>
      <c r="L3699" s="227" t="n"/>
      <c r="M3699" s="227" t="n"/>
      <c r="N3699" s="127" t="n"/>
      <c r="O3699" s="227" t="n"/>
      <c r="P3699" s="227" t="n"/>
      <c r="Q3699" s="227" t="n"/>
      <c r="R3699" s="227" t="n"/>
      <c r="S3699" s="227" t="n"/>
      <c r="T3699" s="227" t="n"/>
    </row>
    <row r="3700">
      <c r="A3700" s="145">
        <f>IF($B3700="","",ROW()-5)</f>
        <v/>
      </c>
      <c r="B3700" s="127" t="n"/>
      <c r="C3700" s="223" t="n"/>
      <c r="D3700" s="127" t="n"/>
      <c r="E3700" s="227" t="n"/>
      <c r="F3700" s="227" t="n"/>
      <c r="G3700" s="227" t="n"/>
      <c r="H3700" s="227" t="n"/>
      <c r="I3700" s="227" t="n"/>
      <c r="J3700" s="227" t="n"/>
      <c r="K3700" s="227" t="n"/>
      <c r="L3700" s="227" t="n"/>
      <c r="M3700" s="227" t="n"/>
      <c r="N3700" s="127" t="n"/>
      <c r="O3700" s="227" t="n"/>
      <c r="P3700" s="227" t="n"/>
      <c r="Q3700" s="227" t="n"/>
      <c r="R3700" s="227" t="n"/>
      <c r="S3700" s="227" t="n"/>
      <c r="T3700" s="227" t="n"/>
    </row>
    <row r="3701">
      <c r="A3701" s="145">
        <f>IF($B3701="","",ROW()-5)</f>
        <v/>
      </c>
      <c r="B3701" s="127" t="n"/>
      <c r="C3701" s="223" t="n"/>
      <c r="D3701" s="127" t="n"/>
      <c r="E3701" s="227" t="n"/>
      <c r="F3701" s="227" t="n"/>
      <c r="G3701" s="227" t="n"/>
      <c r="H3701" s="227" t="n"/>
      <c r="I3701" s="227" t="n"/>
      <c r="J3701" s="227" t="n"/>
      <c r="K3701" s="227" t="n"/>
      <c r="L3701" s="227" t="n"/>
      <c r="M3701" s="227" t="n"/>
      <c r="N3701" s="127" t="n"/>
      <c r="O3701" s="227" t="n"/>
      <c r="P3701" s="227" t="n"/>
      <c r="Q3701" s="227" t="n"/>
      <c r="R3701" s="227" t="n"/>
      <c r="S3701" s="227" t="n"/>
      <c r="T3701" s="227" t="n"/>
    </row>
    <row r="3702">
      <c r="A3702" s="145">
        <f>IF($B3702="","",ROW()-5)</f>
        <v/>
      </c>
      <c r="B3702" s="127" t="n"/>
      <c r="C3702" s="223" t="n"/>
      <c r="D3702" s="127" t="n"/>
      <c r="E3702" s="227" t="n"/>
      <c r="F3702" s="227" t="n"/>
      <c r="G3702" s="227" t="n"/>
      <c r="H3702" s="227" t="n"/>
      <c r="I3702" s="227" t="n"/>
      <c r="J3702" s="227" t="n"/>
      <c r="K3702" s="227" t="n"/>
      <c r="L3702" s="227" t="n"/>
      <c r="M3702" s="227" t="n"/>
      <c r="N3702" s="127" t="n"/>
      <c r="O3702" s="227" t="n"/>
      <c r="P3702" s="227" t="n"/>
      <c r="Q3702" s="227" t="n"/>
      <c r="R3702" s="227" t="n"/>
      <c r="S3702" s="227" t="n"/>
      <c r="T3702" s="227" t="n"/>
    </row>
    <row r="3703">
      <c r="A3703" s="145">
        <f>IF($B3703="","",ROW()-5)</f>
        <v/>
      </c>
      <c r="B3703" s="127" t="n"/>
      <c r="C3703" s="223" t="n"/>
      <c r="D3703" s="127" t="n"/>
      <c r="E3703" s="227" t="n"/>
      <c r="F3703" s="227" t="n"/>
      <c r="G3703" s="227" t="n"/>
      <c r="H3703" s="227" t="n"/>
      <c r="I3703" s="227" t="n"/>
      <c r="J3703" s="227" t="n"/>
      <c r="K3703" s="227" t="n"/>
      <c r="L3703" s="227" t="n"/>
      <c r="M3703" s="227" t="n"/>
      <c r="N3703" s="127" t="n"/>
      <c r="O3703" s="227" t="n"/>
      <c r="P3703" s="227" t="n"/>
      <c r="Q3703" s="227" t="n"/>
      <c r="R3703" s="227" t="n"/>
      <c r="S3703" s="227" t="n"/>
      <c r="T3703" s="227" t="n"/>
    </row>
    <row r="3704">
      <c r="A3704" s="145">
        <f>IF($B3704="","",ROW()-5)</f>
        <v/>
      </c>
      <c r="B3704" s="127" t="n"/>
      <c r="C3704" s="223" t="n"/>
      <c r="D3704" s="127" t="n"/>
      <c r="E3704" s="227" t="n"/>
      <c r="F3704" s="227" t="n"/>
      <c r="G3704" s="227" t="n"/>
      <c r="H3704" s="227" t="n"/>
      <c r="I3704" s="227" t="n"/>
      <c r="J3704" s="227" t="n"/>
      <c r="K3704" s="227" t="n"/>
      <c r="L3704" s="227" t="n"/>
      <c r="M3704" s="227" t="n"/>
      <c r="N3704" s="127" t="n"/>
      <c r="O3704" s="227" t="n"/>
      <c r="P3704" s="227" t="n"/>
      <c r="Q3704" s="227" t="n"/>
      <c r="R3704" s="227" t="n"/>
      <c r="S3704" s="227" t="n"/>
      <c r="T3704" s="227" t="n"/>
    </row>
    <row r="3705">
      <c r="A3705" s="145">
        <f>IF($B3705="","",ROW()-5)</f>
        <v/>
      </c>
      <c r="B3705" s="127" t="n"/>
      <c r="C3705" s="223" t="n"/>
      <c r="D3705" s="127" t="n"/>
      <c r="E3705" s="227" t="n"/>
      <c r="F3705" s="227" t="n"/>
      <c r="G3705" s="227" t="n"/>
      <c r="H3705" s="227" t="n"/>
      <c r="I3705" s="227" t="n"/>
      <c r="J3705" s="227" t="n"/>
      <c r="K3705" s="227" t="n"/>
      <c r="L3705" s="227" t="n"/>
      <c r="M3705" s="227" t="n"/>
      <c r="N3705" s="127" t="n"/>
      <c r="O3705" s="227" t="n"/>
      <c r="P3705" s="227" t="n"/>
      <c r="Q3705" s="227" t="n"/>
      <c r="R3705" s="227" t="n"/>
      <c r="S3705" s="227" t="n"/>
      <c r="T3705" s="227" t="n"/>
    </row>
    <row r="3706">
      <c r="A3706" s="145">
        <f>IF($B3706="","",ROW()-5)</f>
        <v/>
      </c>
      <c r="B3706" s="127" t="n"/>
      <c r="C3706" s="223" t="n"/>
      <c r="D3706" s="127" t="n"/>
      <c r="E3706" s="227" t="n"/>
      <c r="F3706" s="227" t="n"/>
      <c r="G3706" s="227" t="n"/>
      <c r="H3706" s="227" t="n"/>
      <c r="I3706" s="227" t="n"/>
      <c r="J3706" s="227" t="n"/>
      <c r="K3706" s="227" t="n"/>
      <c r="L3706" s="227" t="n"/>
      <c r="M3706" s="227" t="n"/>
      <c r="N3706" s="127" t="n"/>
      <c r="O3706" s="227" t="n"/>
      <c r="P3706" s="227" t="n"/>
      <c r="Q3706" s="227" t="n"/>
      <c r="R3706" s="227" t="n"/>
      <c r="S3706" s="227" t="n"/>
      <c r="T3706" s="227" t="n"/>
    </row>
    <row r="3707">
      <c r="A3707" s="145">
        <f>IF($B3707="","",ROW()-5)</f>
        <v/>
      </c>
      <c r="B3707" s="127" t="n"/>
      <c r="C3707" s="223" t="n"/>
      <c r="D3707" s="127" t="n"/>
      <c r="E3707" s="227" t="n"/>
      <c r="F3707" s="227" t="n"/>
      <c r="G3707" s="227" t="n"/>
      <c r="H3707" s="227" t="n"/>
      <c r="I3707" s="227" t="n"/>
      <c r="J3707" s="227" t="n"/>
      <c r="K3707" s="227" t="n"/>
      <c r="L3707" s="227" t="n"/>
      <c r="M3707" s="227" t="n"/>
      <c r="N3707" s="127" t="n"/>
      <c r="O3707" s="227" t="n"/>
      <c r="P3707" s="227" t="n"/>
      <c r="Q3707" s="227" t="n"/>
      <c r="R3707" s="227" t="n"/>
      <c r="S3707" s="227" t="n"/>
      <c r="T3707" s="227" t="n"/>
    </row>
    <row r="3708">
      <c r="A3708" s="145">
        <f>IF($B3708="","",ROW()-5)</f>
        <v/>
      </c>
      <c r="B3708" s="127" t="n"/>
      <c r="C3708" s="223" t="n"/>
      <c r="D3708" s="127" t="n"/>
      <c r="E3708" s="227" t="n"/>
      <c r="F3708" s="227" t="n"/>
      <c r="G3708" s="227" t="n"/>
      <c r="H3708" s="227" t="n"/>
      <c r="I3708" s="227" t="n"/>
      <c r="J3708" s="227" t="n"/>
      <c r="K3708" s="227" t="n"/>
      <c r="L3708" s="227" t="n"/>
      <c r="M3708" s="227" t="n"/>
      <c r="N3708" s="127" t="n"/>
      <c r="O3708" s="227" t="n"/>
      <c r="P3708" s="227" t="n"/>
      <c r="Q3708" s="227" t="n"/>
      <c r="R3708" s="227" t="n"/>
      <c r="S3708" s="227" t="n"/>
      <c r="T3708" s="227" t="n"/>
    </row>
    <row r="3709">
      <c r="A3709" s="145">
        <f>IF($B3709="","",ROW()-5)</f>
        <v/>
      </c>
      <c r="B3709" s="127" t="n"/>
      <c r="C3709" s="223" t="n"/>
      <c r="D3709" s="127" t="n"/>
      <c r="E3709" s="227" t="n"/>
      <c r="F3709" s="227" t="n"/>
      <c r="G3709" s="227" t="n"/>
      <c r="H3709" s="227" t="n"/>
      <c r="I3709" s="227" t="n"/>
      <c r="J3709" s="227" t="n"/>
      <c r="K3709" s="227" t="n"/>
      <c r="L3709" s="227" t="n"/>
      <c r="M3709" s="227" t="n"/>
      <c r="N3709" s="127" t="n"/>
      <c r="O3709" s="227" t="n"/>
      <c r="P3709" s="227" t="n"/>
      <c r="Q3709" s="227" t="n"/>
      <c r="R3709" s="227" t="n"/>
      <c r="S3709" s="227" t="n"/>
      <c r="T3709" s="227" t="n"/>
    </row>
    <row r="3710">
      <c r="A3710" s="145">
        <f>IF($B3710="","",ROW()-5)</f>
        <v/>
      </c>
      <c r="B3710" s="127" t="n"/>
      <c r="C3710" s="223" t="n"/>
      <c r="D3710" s="127" t="n"/>
      <c r="E3710" s="227" t="n"/>
      <c r="F3710" s="227" t="n"/>
      <c r="G3710" s="227" t="n"/>
      <c r="H3710" s="227" t="n"/>
      <c r="I3710" s="227" t="n"/>
      <c r="J3710" s="227" t="n"/>
      <c r="K3710" s="227" t="n"/>
      <c r="L3710" s="227" t="n"/>
      <c r="M3710" s="227" t="n"/>
      <c r="N3710" s="127" t="n"/>
      <c r="O3710" s="227" t="n"/>
      <c r="P3710" s="227" t="n"/>
      <c r="Q3710" s="227" t="n"/>
      <c r="R3710" s="227" t="n"/>
      <c r="S3710" s="227" t="n"/>
      <c r="T3710" s="227" t="n"/>
    </row>
    <row r="3711">
      <c r="A3711" s="145">
        <f>IF($B3711="","",ROW()-5)</f>
        <v/>
      </c>
      <c r="B3711" s="127" t="n"/>
      <c r="C3711" s="223" t="n"/>
      <c r="D3711" s="127" t="n"/>
      <c r="E3711" s="227" t="n"/>
      <c r="F3711" s="227" t="n"/>
      <c r="G3711" s="227" t="n"/>
      <c r="H3711" s="227" t="n"/>
      <c r="I3711" s="227" t="n"/>
      <c r="J3711" s="227" t="n"/>
      <c r="K3711" s="227" t="n"/>
      <c r="L3711" s="227" t="n"/>
      <c r="M3711" s="227" t="n"/>
      <c r="N3711" s="127" t="n"/>
      <c r="O3711" s="227" t="n"/>
      <c r="P3711" s="227" t="n"/>
      <c r="Q3711" s="227" t="n"/>
      <c r="R3711" s="227" t="n"/>
      <c r="S3711" s="227" t="n"/>
      <c r="T3711" s="227" t="n"/>
    </row>
    <row r="3712">
      <c r="A3712" s="145">
        <f>IF($B3712="","",ROW()-5)</f>
        <v/>
      </c>
      <c r="B3712" s="127" t="n"/>
      <c r="C3712" s="223" t="n"/>
      <c r="D3712" s="127" t="n"/>
      <c r="E3712" s="227" t="n"/>
      <c r="F3712" s="227" t="n"/>
      <c r="G3712" s="227" t="n"/>
      <c r="H3712" s="227" t="n"/>
      <c r="I3712" s="227" t="n"/>
      <c r="J3712" s="227" t="n"/>
      <c r="K3712" s="227" t="n"/>
      <c r="L3712" s="227" t="n"/>
      <c r="M3712" s="227" t="n"/>
      <c r="N3712" s="127" t="n"/>
      <c r="O3712" s="227" t="n"/>
      <c r="P3712" s="227" t="n"/>
      <c r="Q3712" s="227" t="n"/>
      <c r="R3712" s="227" t="n"/>
      <c r="S3712" s="227" t="n"/>
      <c r="T3712" s="227" t="n"/>
    </row>
    <row r="3713">
      <c r="A3713" s="145">
        <f>IF($B3713="","",ROW()-5)</f>
        <v/>
      </c>
      <c r="B3713" s="127" t="n"/>
      <c r="C3713" s="223" t="n"/>
      <c r="D3713" s="127" t="n"/>
      <c r="E3713" s="227" t="n"/>
      <c r="F3713" s="227" t="n"/>
      <c r="G3713" s="227" t="n"/>
      <c r="H3713" s="227" t="n"/>
      <c r="I3713" s="227" t="n"/>
      <c r="J3713" s="227" t="n"/>
      <c r="K3713" s="227" t="n"/>
      <c r="L3713" s="227" t="n"/>
      <c r="M3713" s="227" t="n"/>
      <c r="N3713" s="127" t="n"/>
      <c r="O3713" s="227" t="n"/>
      <c r="P3713" s="227" t="n"/>
      <c r="Q3713" s="227" t="n"/>
      <c r="R3713" s="227" t="n"/>
      <c r="S3713" s="227" t="n"/>
      <c r="T3713" s="227" t="n"/>
    </row>
    <row r="3714">
      <c r="A3714" s="145">
        <f>IF($B3714="","",ROW()-5)</f>
        <v/>
      </c>
      <c r="B3714" s="127" t="n"/>
      <c r="C3714" s="223" t="n"/>
      <c r="D3714" s="127" t="n"/>
      <c r="E3714" s="227" t="n"/>
      <c r="F3714" s="227" t="n"/>
      <c r="G3714" s="227" t="n"/>
      <c r="H3714" s="227" t="n"/>
      <c r="I3714" s="227" t="n"/>
      <c r="J3714" s="227" t="n"/>
      <c r="K3714" s="227" t="n"/>
      <c r="L3714" s="227" t="n"/>
      <c r="M3714" s="227" t="n"/>
      <c r="N3714" s="127" t="n"/>
      <c r="O3714" s="227" t="n"/>
      <c r="P3714" s="227" t="n"/>
      <c r="Q3714" s="227" t="n"/>
      <c r="R3714" s="227" t="n"/>
      <c r="S3714" s="227" t="n"/>
      <c r="T3714" s="227" t="n"/>
    </row>
    <row r="3715">
      <c r="A3715" s="145">
        <f>IF($B3715="","",ROW()-5)</f>
        <v/>
      </c>
      <c r="B3715" s="127" t="n"/>
      <c r="C3715" s="223" t="n"/>
      <c r="D3715" s="127" t="n"/>
      <c r="E3715" s="227" t="n"/>
      <c r="F3715" s="227" t="n"/>
      <c r="G3715" s="227" t="n"/>
      <c r="H3715" s="227" t="n"/>
      <c r="I3715" s="227" t="n"/>
      <c r="J3715" s="227" t="n"/>
      <c r="K3715" s="227" t="n"/>
      <c r="L3715" s="227" t="n"/>
      <c r="M3715" s="227" t="n"/>
      <c r="N3715" s="127" t="n"/>
      <c r="O3715" s="227" t="n"/>
      <c r="P3715" s="227" t="n"/>
      <c r="Q3715" s="227" t="n"/>
      <c r="R3715" s="227" t="n"/>
      <c r="S3715" s="227" t="n"/>
      <c r="T3715" s="227" t="n"/>
    </row>
    <row r="3716">
      <c r="A3716" s="145">
        <f>IF($B3716="","",ROW()-5)</f>
        <v/>
      </c>
      <c r="B3716" s="127" t="n"/>
      <c r="C3716" s="223" t="n"/>
      <c r="D3716" s="127" t="n"/>
      <c r="E3716" s="227" t="n"/>
      <c r="F3716" s="227" t="n"/>
      <c r="G3716" s="227" t="n"/>
      <c r="H3716" s="227" t="n"/>
      <c r="I3716" s="227" t="n"/>
      <c r="J3716" s="227" t="n"/>
      <c r="K3716" s="227" t="n"/>
      <c r="L3716" s="227" t="n"/>
      <c r="M3716" s="227" t="n"/>
      <c r="N3716" s="127" t="n"/>
      <c r="O3716" s="227" t="n"/>
      <c r="P3716" s="227" t="n"/>
      <c r="Q3716" s="227" t="n"/>
      <c r="R3716" s="227" t="n"/>
      <c r="S3716" s="227" t="n"/>
      <c r="T3716" s="227" t="n"/>
    </row>
    <row r="3717">
      <c r="A3717" s="145">
        <f>IF($B3717="","",ROW()-5)</f>
        <v/>
      </c>
      <c r="B3717" s="127" t="n"/>
      <c r="C3717" s="223" t="n"/>
      <c r="D3717" s="127" t="n"/>
      <c r="E3717" s="227" t="n"/>
      <c r="F3717" s="227" t="n"/>
      <c r="G3717" s="227" t="n"/>
      <c r="H3717" s="227" t="n"/>
      <c r="I3717" s="227" t="n"/>
      <c r="J3717" s="227" t="n"/>
      <c r="K3717" s="227" t="n"/>
      <c r="L3717" s="227" t="n"/>
      <c r="M3717" s="227" t="n"/>
      <c r="N3717" s="127" t="n"/>
      <c r="O3717" s="227" t="n"/>
      <c r="P3717" s="227" t="n"/>
      <c r="Q3717" s="227" t="n"/>
      <c r="R3717" s="227" t="n"/>
      <c r="S3717" s="227" t="n"/>
      <c r="T3717" s="227" t="n"/>
    </row>
    <row r="3718">
      <c r="A3718" s="145">
        <f>IF($B3718="","",ROW()-5)</f>
        <v/>
      </c>
      <c r="B3718" s="127" t="n"/>
      <c r="C3718" s="223" t="n"/>
      <c r="D3718" s="127" t="n"/>
      <c r="E3718" s="227" t="n"/>
      <c r="F3718" s="227" t="n"/>
      <c r="G3718" s="227" t="n"/>
      <c r="H3718" s="227" t="n"/>
      <c r="I3718" s="227" t="n"/>
      <c r="J3718" s="227" t="n"/>
      <c r="K3718" s="227" t="n"/>
      <c r="L3718" s="227" t="n"/>
      <c r="M3718" s="227" t="n"/>
      <c r="N3718" s="127" t="n"/>
      <c r="O3718" s="227" t="n"/>
      <c r="P3718" s="227" t="n"/>
      <c r="Q3718" s="227" t="n"/>
      <c r="R3718" s="227" t="n"/>
      <c r="S3718" s="227" t="n"/>
      <c r="T3718" s="227" t="n"/>
    </row>
    <row r="3719">
      <c r="A3719" s="145">
        <f>IF($B3719="","",ROW()-5)</f>
        <v/>
      </c>
      <c r="B3719" s="127" t="n"/>
      <c r="C3719" s="223" t="n"/>
      <c r="D3719" s="127" t="n"/>
      <c r="E3719" s="227" t="n"/>
      <c r="F3719" s="227" t="n"/>
      <c r="G3719" s="227" t="n"/>
      <c r="H3719" s="227" t="n"/>
      <c r="I3719" s="227" t="n"/>
      <c r="J3719" s="227" t="n"/>
      <c r="K3719" s="227" t="n"/>
      <c r="L3719" s="227" t="n"/>
      <c r="M3719" s="227" t="n"/>
      <c r="N3719" s="127" t="n"/>
      <c r="O3719" s="227" t="n"/>
      <c r="P3719" s="227" t="n"/>
      <c r="Q3719" s="227" t="n"/>
      <c r="R3719" s="227" t="n"/>
      <c r="S3719" s="227" t="n"/>
      <c r="T3719" s="227" t="n"/>
    </row>
    <row r="3720">
      <c r="A3720" s="145">
        <f>IF($B3720="","",ROW()-5)</f>
        <v/>
      </c>
      <c r="B3720" s="127" t="n"/>
      <c r="C3720" s="223" t="n"/>
      <c r="D3720" s="127" t="n"/>
      <c r="E3720" s="227" t="n"/>
      <c r="F3720" s="227" t="n"/>
      <c r="G3720" s="227" t="n"/>
      <c r="H3720" s="227" t="n"/>
      <c r="I3720" s="227" t="n"/>
      <c r="J3720" s="227" t="n"/>
      <c r="K3720" s="227" t="n"/>
      <c r="L3720" s="227" t="n"/>
      <c r="M3720" s="227" t="n"/>
      <c r="N3720" s="127" t="n"/>
      <c r="O3720" s="227" t="n"/>
      <c r="P3720" s="227" t="n"/>
      <c r="Q3720" s="227" t="n"/>
      <c r="R3720" s="227" t="n"/>
      <c r="S3720" s="227" t="n"/>
      <c r="T3720" s="227" t="n"/>
    </row>
    <row r="3721">
      <c r="A3721" s="145">
        <f>IF($B3721="","",ROW()-5)</f>
        <v/>
      </c>
      <c r="B3721" s="127" t="n"/>
      <c r="C3721" s="223" t="n"/>
      <c r="D3721" s="127" t="n"/>
      <c r="E3721" s="227" t="n"/>
      <c r="F3721" s="227" t="n"/>
      <c r="G3721" s="227" t="n"/>
      <c r="H3721" s="227" t="n"/>
      <c r="I3721" s="227" t="n"/>
      <c r="J3721" s="227" t="n"/>
      <c r="K3721" s="227" t="n"/>
      <c r="L3721" s="227" t="n"/>
      <c r="M3721" s="227" t="n"/>
      <c r="N3721" s="127" t="n"/>
      <c r="O3721" s="227" t="n"/>
      <c r="P3721" s="227" t="n"/>
      <c r="Q3721" s="227" t="n"/>
      <c r="R3721" s="227" t="n"/>
      <c r="S3721" s="227" t="n"/>
      <c r="T3721" s="227" t="n"/>
    </row>
    <row r="3722">
      <c r="A3722" s="145">
        <f>IF($B3722="","",ROW()-5)</f>
        <v/>
      </c>
      <c r="B3722" s="127" t="n"/>
      <c r="C3722" s="223" t="n"/>
      <c r="D3722" s="127" t="n"/>
      <c r="E3722" s="227" t="n"/>
      <c r="F3722" s="227" t="n"/>
      <c r="G3722" s="227" t="n"/>
      <c r="H3722" s="227" t="n"/>
      <c r="I3722" s="227" t="n"/>
      <c r="J3722" s="227" t="n"/>
      <c r="K3722" s="227" t="n"/>
      <c r="L3722" s="227" t="n"/>
      <c r="M3722" s="227" t="n"/>
      <c r="N3722" s="127" t="n"/>
      <c r="O3722" s="227" t="n"/>
      <c r="P3722" s="227" t="n"/>
      <c r="Q3722" s="227" t="n"/>
      <c r="R3722" s="227" t="n"/>
      <c r="S3722" s="227" t="n"/>
      <c r="T3722" s="227" t="n"/>
    </row>
    <row r="3723">
      <c r="A3723" s="145">
        <f>IF($B3723="","",ROW()-5)</f>
        <v/>
      </c>
      <c r="B3723" s="127" t="n"/>
      <c r="C3723" s="223" t="n"/>
      <c r="D3723" s="127" t="n"/>
      <c r="E3723" s="227" t="n"/>
      <c r="F3723" s="227" t="n"/>
      <c r="G3723" s="227" t="n"/>
      <c r="H3723" s="227" t="n"/>
      <c r="I3723" s="227" t="n"/>
      <c r="J3723" s="227" t="n"/>
      <c r="K3723" s="227" t="n"/>
      <c r="L3723" s="227" t="n"/>
      <c r="M3723" s="227" t="n"/>
      <c r="N3723" s="127" t="n"/>
      <c r="O3723" s="227" t="n"/>
      <c r="P3723" s="227" t="n"/>
      <c r="Q3723" s="227" t="n"/>
      <c r="R3723" s="227" t="n"/>
      <c r="S3723" s="227" t="n"/>
      <c r="T3723" s="227" t="n"/>
    </row>
    <row r="3724">
      <c r="A3724" s="145">
        <f>IF($B3724="","",ROW()-5)</f>
        <v/>
      </c>
      <c r="B3724" s="127" t="n"/>
      <c r="C3724" s="223" t="n"/>
      <c r="D3724" s="127" t="n"/>
      <c r="E3724" s="227" t="n"/>
      <c r="F3724" s="227" t="n"/>
      <c r="G3724" s="227" t="n"/>
      <c r="H3724" s="227" t="n"/>
      <c r="I3724" s="227" t="n"/>
      <c r="J3724" s="227" t="n"/>
      <c r="K3724" s="227" t="n"/>
      <c r="L3724" s="227" t="n"/>
      <c r="M3724" s="227" t="n"/>
      <c r="N3724" s="127" t="n"/>
      <c r="O3724" s="227" t="n"/>
      <c r="P3724" s="227" t="n"/>
      <c r="Q3724" s="227" t="n"/>
      <c r="R3724" s="227" t="n"/>
      <c r="S3724" s="227" t="n"/>
      <c r="T3724" s="227" t="n"/>
    </row>
    <row r="3725">
      <c r="A3725" s="145">
        <f>IF($B3725="","",ROW()-5)</f>
        <v/>
      </c>
      <c r="B3725" s="127" t="n"/>
      <c r="C3725" s="223" t="n"/>
      <c r="D3725" s="127" t="n"/>
      <c r="E3725" s="227" t="n"/>
      <c r="F3725" s="227" t="n"/>
      <c r="G3725" s="227" t="n"/>
      <c r="H3725" s="227" t="n"/>
      <c r="I3725" s="227" t="n"/>
      <c r="J3725" s="227" t="n"/>
      <c r="K3725" s="227" t="n"/>
      <c r="L3725" s="227" t="n"/>
      <c r="M3725" s="227" t="n"/>
      <c r="N3725" s="127" t="n"/>
      <c r="O3725" s="227" t="n"/>
      <c r="P3725" s="227" t="n"/>
      <c r="Q3725" s="227" t="n"/>
      <c r="R3725" s="227" t="n"/>
      <c r="S3725" s="227" t="n"/>
      <c r="T3725" s="227" t="n"/>
    </row>
    <row r="3726">
      <c r="A3726" s="145">
        <f>IF($B3726="","",ROW()-5)</f>
        <v/>
      </c>
      <c r="B3726" s="127" t="n"/>
      <c r="C3726" s="223" t="n"/>
      <c r="D3726" s="127" t="n"/>
      <c r="E3726" s="227" t="n"/>
      <c r="F3726" s="227" t="n"/>
      <c r="G3726" s="227" t="n"/>
      <c r="H3726" s="227" t="n"/>
      <c r="I3726" s="227" t="n"/>
      <c r="J3726" s="227" t="n"/>
      <c r="K3726" s="227" t="n"/>
      <c r="L3726" s="227" t="n"/>
      <c r="M3726" s="227" t="n"/>
      <c r="N3726" s="127" t="n"/>
      <c r="O3726" s="227" t="n"/>
      <c r="P3726" s="227" t="n"/>
      <c r="Q3726" s="227" t="n"/>
      <c r="R3726" s="227" t="n"/>
      <c r="S3726" s="227" t="n"/>
      <c r="T3726" s="227" t="n"/>
    </row>
    <row r="3727">
      <c r="A3727" s="145">
        <f>IF($B3727="","",ROW()-5)</f>
        <v/>
      </c>
      <c r="B3727" s="127" t="n"/>
      <c r="C3727" s="223" t="n"/>
      <c r="D3727" s="127" t="n"/>
      <c r="E3727" s="227" t="n"/>
      <c r="F3727" s="227" t="n"/>
      <c r="G3727" s="227" t="n"/>
      <c r="H3727" s="227" t="n"/>
      <c r="I3727" s="227" t="n"/>
      <c r="J3727" s="227" t="n"/>
      <c r="K3727" s="227" t="n"/>
      <c r="L3727" s="227" t="n"/>
      <c r="M3727" s="227" t="n"/>
      <c r="N3727" s="127" t="n"/>
      <c r="O3727" s="227" t="n"/>
      <c r="P3727" s="227" t="n"/>
      <c r="Q3727" s="227" t="n"/>
      <c r="R3727" s="227" t="n"/>
      <c r="S3727" s="227" t="n"/>
      <c r="T3727" s="227" t="n"/>
    </row>
    <row r="3728">
      <c r="A3728" s="145">
        <f>IF($B3728="","",ROW()-5)</f>
        <v/>
      </c>
      <c r="B3728" s="127" t="n"/>
      <c r="C3728" s="223" t="n"/>
      <c r="D3728" s="127" t="n"/>
      <c r="E3728" s="227" t="n"/>
      <c r="F3728" s="227" t="n"/>
      <c r="G3728" s="227" t="n"/>
      <c r="H3728" s="227" t="n"/>
      <c r="I3728" s="227" t="n"/>
      <c r="J3728" s="227" t="n"/>
      <c r="K3728" s="227" t="n"/>
      <c r="L3728" s="227" t="n"/>
      <c r="M3728" s="227" t="n"/>
      <c r="N3728" s="127" t="n"/>
      <c r="O3728" s="227" t="n"/>
      <c r="P3728" s="227" t="n"/>
      <c r="Q3728" s="227" t="n"/>
      <c r="R3728" s="227" t="n"/>
      <c r="S3728" s="227" t="n"/>
      <c r="T3728" s="227" t="n"/>
    </row>
    <row r="3729">
      <c r="A3729" s="145">
        <f>IF($B3729="","",ROW()-5)</f>
        <v/>
      </c>
      <c r="B3729" s="127" t="n"/>
      <c r="C3729" s="223" t="n"/>
      <c r="D3729" s="127" t="n"/>
      <c r="E3729" s="227" t="n"/>
      <c r="F3729" s="227" t="n"/>
      <c r="G3729" s="227" t="n"/>
      <c r="H3729" s="227" t="n"/>
      <c r="I3729" s="227" t="n"/>
      <c r="J3729" s="227" t="n"/>
      <c r="K3729" s="227" t="n"/>
      <c r="L3729" s="227" t="n"/>
      <c r="M3729" s="227" t="n"/>
      <c r="N3729" s="127" t="n"/>
      <c r="O3729" s="227" t="n"/>
      <c r="P3729" s="227" t="n"/>
      <c r="Q3729" s="227" t="n"/>
      <c r="R3729" s="227" t="n"/>
      <c r="S3729" s="227" t="n"/>
      <c r="T3729" s="227" t="n"/>
    </row>
    <row r="3730">
      <c r="A3730" s="145">
        <f>IF($B3730="","",ROW()-5)</f>
        <v/>
      </c>
      <c r="B3730" s="127" t="n"/>
      <c r="C3730" s="223" t="n"/>
      <c r="D3730" s="127" t="n"/>
      <c r="E3730" s="227" t="n"/>
      <c r="F3730" s="227" t="n"/>
      <c r="G3730" s="227" t="n"/>
      <c r="H3730" s="227" t="n"/>
      <c r="I3730" s="227" t="n"/>
      <c r="J3730" s="227" t="n"/>
      <c r="K3730" s="227" t="n"/>
      <c r="L3730" s="227" t="n"/>
      <c r="M3730" s="227" t="n"/>
      <c r="N3730" s="127" t="n"/>
      <c r="O3730" s="227" t="n"/>
      <c r="P3730" s="227" t="n"/>
      <c r="Q3730" s="227" t="n"/>
      <c r="R3730" s="227" t="n"/>
      <c r="S3730" s="227" t="n"/>
      <c r="T3730" s="227" t="n"/>
    </row>
    <row r="3731">
      <c r="A3731" s="145">
        <f>IF($B3731="","",ROW()-5)</f>
        <v/>
      </c>
      <c r="B3731" s="127" t="n"/>
      <c r="C3731" s="223" t="n"/>
      <c r="D3731" s="127" t="n"/>
      <c r="E3731" s="227" t="n"/>
      <c r="F3731" s="227" t="n"/>
      <c r="G3731" s="227" t="n"/>
      <c r="H3731" s="227" t="n"/>
      <c r="I3731" s="227" t="n"/>
      <c r="J3731" s="227" t="n"/>
      <c r="K3731" s="227" t="n"/>
      <c r="L3731" s="227" t="n"/>
      <c r="M3731" s="227" t="n"/>
      <c r="N3731" s="127" t="n"/>
      <c r="O3731" s="227" t="n"/>
      <c r="P3731" s="227" t="n"/>
      <c r="Q3731" s="227" t="n"/>
      <c r="R3731" s="227" t="n"/>
      <c r="S3731" s="227" t="n"/>
      <c r="T3731" s="227" t="n"/>
    </row>
    <row r="3732">
      <c r="A3732" s="145">
        <f>IF($B3732="","",ROW()-5)</f>
        <v/>
      </c>
      <c r="B3732" s="127" t="n"/>
      <c r="C3732" s="223" t="n"/>
      <c r="D3732" s="127" t="n"/>
      <c r="E3732" s="227" t="n"/>
      <c r="F3732" s="227" t="n"/>
      <c r="G3732" s="227" t="n"/>
      <c r="H3732" s="227" t="n"/>
      <c r="I3732" s="227" t="n"/>
      <c r="J3732" s="227" t="n"/>
      <c r="K3732" s="227" t="n"/>
      <c r="L3732" s="227" t="n"/>
      <c r="M3732" s="227" t="n"/>
      <c r="N3732" s="127" t="n"/>
      <c r="O3732" s="227" t="n"/>
      <c r="P3732" s="227" t="n"/>
      <c r="Q3732" s="227" t="n"/>
      <c r="R3732" s="227" t="n"/>
      <c r="S3732" s="227" t="n"/>
      <c r="T3732" s="227" t="n"/>
    </row>
    <row r="3733">
      <c r="A3733" s="145">
        <f>IF($B3733="","",ROW()-5)</f>
        <v/>
      </c>
      <c r="B3733" s="127" t="n"/>
      <c r="C3733" s="223" t="n"/>
      <c r="D3733" s="127" t="n"/>
      <c r="E3733" s="227" t="n"/>
      <c r="F3733" s="227" t="n"/>
      <c r="G3733" s="227" t="n"/>
      <c r="H3733" s="227" t="n"/>
      <c r="I3733" s="227" t="n"/>
      <c r="J3733" s="227" t="n"/>
      <c r="K3733" s="227" t="n"/>
      <c r="L3733" s="227" t="n"/>
      <c r="M3733" s="227" t="n"/>
      <c r="N3733" s="127" t="n"/>
      <c r="O3733" s="227" t="n"/>
      <c r="P3733" s="227" t="n"/>
      <c r="Q3733" s="227" t="n"/>
      <c r="R3733" s="227" t="n"/>
      <c r="S3733" s="227" t="n"/>
      <c r="T3733" s="227" t="n"/>
    </row>
    <row r="3734">
      <c r="A3734" s="145">
        <f>IF($B3734="","",ROW()-5)</f>
        <v/>
      </c>
      <c r="B3734" s="127" t="n"/>
      <c r="C3734" s="223" t="n"/>
      <c r="D3734" s="127" t="n"/>
      <c r="E3734" s="227" t="n"/>
      <c r="F3734" s="227" t="n"/>
      <c r="G3734" s="227" t="n"/>
      <c r="H3734" s="227" t="n"/>
      <c r="I3734" s="227" t="n"/>
      <c r="J3734" s="227" t="n"/>
      <c r="K3734" s="227" t="n"/>
      <c r="L3734" s="227" t="n"/>
      <c r="M3734" s="227" t="n"/>
      <c r="N3734" s="127" t="n"/>
      <c r="O3734" s="227" t="n"/>
      <c r="P3734" s="227" t="n"/>
      <c r="Q3734" s="227" t="n"/>
      <c r="R3734" s="227" t="n"/>
      <c r="S3734" s="227" t="n"/>
      <c r="T3734" s="227" t="n"/>
    </row>
    <row r="3735">
      <c r="A3735" s="145">
        <f>IF($B3735="","",ROW()-5)</f>
        <v/>
      </c>
      <c r="B3735" s="127" t="n"/>
      <c r="C3735" s="223" t="n"/>
      <c r="D3735" s="127" t="n"/>
      <c r="E3735" s="227" t="n"/>
      <c r="F3735" s="227" t="n"/>
      <c r="G3735" s="227" t="n"/>
      <c r="H3735" s="227" t="n"/>
      <c r="I3735" s="227" t="n"/>
      <c r="J3735" s="227" t="n"/>
      <c r="K3735" s="227" t="n"/>
      <c r="L3735" s="227" t="n"/>
      <c r="M3735" s="227" t="n"/>
      <c r="N3735" s="127" t="n"/>
      <c r="O3735" s="227" t="n"/>
      <c r="P3735" s="227" t="n"/>
      <c r="Q3735" s="227" t="n"/>
      <c r="R3735" s="227" t="n"/>
      <c r="S3735" s="227" t="n"/>
      <c r="T3735" s="227" t="n"/>
    </row>
    <row r="3736">
      <c r="A3736" s="145">
        <f>IF($B3736="","",ROW()-5)</f>
        <v/>
      </c>
      <c r="B3736" s="127" t="n"/>
      <c r="C3736" s="223" t="n"/>
      <c r="D3736" s="127" t="n"/>
      <c r="E3736" s="227" t="n"/>
      <c r="F3736" s="227" t="n"/>
      <c r="G3736" s="227" t="n"/>
      <c r="H3736" s="227" t="n"/>
      <c r="I3736" s="227" t="n"/>
      <c r="J3736" s="227" t="n"/>
      <c r="K3736" s="227" t="n"/>
      <c r="L3736" s="227" t="n"/>
      <c r="M3736" s="227" t="n"/>
      <c r="N3736" s="127" t="n"/>
      <c r="O3736" s="227" t="n"/>
      <c r="P3736" s="227" t="n"/>
      <c r="Q3736" s="227" t="n"/>
      <c r="R3736" s="227" t="n"/>
      <c r="S3736" s="227" t="n"/>
      <c r="T3736" s="227" t="n"/>
    </row>
    <row r="3737">
      <c r="A3737" s="145">
        <f>IF($B3737="","",ROW()-5)</f>
        <v/>
      </c>
      <c r="B3737" s="127" t="n"/>
      <c r="C3737" s="223" t="n"/>
      <c r="D3737" s="127" t="n"/>
      <c r="E3737" s="227" t="n"/>
      <c r="F3737" s="227" t="n"/>
      <c r="G3737" s="227" t="n"/>
      <c r="H3737" s="227" t="n"/>
      <c r="I3737" s="227" t="n"/>
      <c r="J3737" s="227" t="n"/>
      <c r="K3737" s="227" t="n"/>
      <c r="L3737" s="227" t="n"/>
      <c r="M3737" s="227" t="n"/>
      <c r="N3737" s="127" t="n"/>
      <c r="O3737" s="227" t="n"/>
      <c r="P3737" s="227" t="n"/>
      <c r="Q3737" s="227" t="n"/>
      <c r="R3737" s="227" t="n"/>
      <c r="S3737" s="227" t="n"/>
      <c r="T3737" s="227" t="n"/>
    </row>
    <row r="3738">
      <c r="A3738" s="145">
        <f>IF($B3738="","",ROW()-5)</f>
        <v/>
      </c>
      <c r="B3738" s="127" t="n"/>
      <c r="C3738" s="223" t="n"/>
      <c r="D3738" s="127" t="n"/>
      <c r="E3738" s="227" t="n"/>
      <c r="F3738" s="227" t="n"/>
      <c r="G3738" s="227" t="n"/>
      <c r="H3738" s="227" t="n"/>
      <c r="I3738" s="227" t="n"/>
      <c r="J3738" s="227" t="n"/>
      <c r="K3738" s="227" t="n"/>
      <c r="L3738" s="227" t="n"/>
      <c r="M3738" s="227" t="n"/>
      <c r="N3738" s="127" t="n"/>
      <c r="O3738" s="227" t="n"/>
      <c r="P3738" s="227" t="n"/>
      <c r="Q3738" s="227" t="n"/>
      <c r="R3738" s="227" t="n"/>
      <c r="S3738" s="227" t="n"/>
      <c r="T3738" s="227" t="n"/>
    </row>
    <row r="3739">
      <c r="A3739" s="145">
        <f>IF($B3739="","",ROW()-5)</f>
        <v/>
      </c>
      <c r="B3739" s="127" t="n"/>
      <c r="C3739" s="223" t="n"/>
      <c r="D3739" s="127" t="n"/>
      <c r="E3739" s="227" t="n"/>
      <c r="F3739" s="227" t="n"/>
      <c r="G3739" s="227" t="n"/>
      <c r="H3739" s="227" t="n"/>
      <c r="I3739" s="227" t="n"/>
      <c r="J3739" s="227" t="n"/>
      <c r="K3739" s="227" t="n"/>
      <c r="L3739" s="227" t="n"/>
      <c r="M3739" s="227" t="n"/>
      <c r="N3739" s="127" t="n"/>
      <c r="O3739" s="227" t="n"/>
      <c r="P3739" s="227" t="n"/>
      <c r="Q3739" s="227" t="n"/>
      <c r="R3739" s="227" t="n"/>
      <c r="S3739" s="227" t="n"/>
      <c r="T3739" s="227" t="n"/>
    </row>
    <row r="3740">
      <c r="A3740" s="145">
        <f>IF($B3740="","",ROW()-5)</f>
        <v/>
      </c>
      <c r="B3740" s="127" t="n"/>
      <c r="C3740" s="223" t="n"/>
      <c r="D3740" s="127" t="n"/>
      <c r="E3740" s="227" t="n"/>
      <c r="F3740" s="227" t="n"/>
      <c r="G3740" s="227" t="n"/>
      <c r="H3740" s="227" t="n"/>
      <c r="I3740" s="227" t="n"/>
      <c r="J3740" s="227" t="n"/>
      <c r="K3740" s="227" t="n"/>
      <c r="L3740" s="227" t="n"/>
      <c r="M3740" s="227" t="n"/>
      <c r="N3740" s="127" t="n"/>
      <c r="O3740" s="227" t="n"/>
      <c r="P3740" s="227" t="n"/>
      <c r="Q3740" s="227" t="n"/>
      <c r="R3740" s="227" t="n"/>
      <c r="S3740" s="227" t="n"/>
      <c r="T3740" s="227" t="n"/>
    </row>
    <row r="3741">
      <c r="A3741" s="145">
        <f>IF($B3741="","",ROW()-5)</f>
        <v/>
      </c>
      <c r="B3741" s="127" t="n"/>
      <c r="C3741" s="223" t="n"/>
      <c r="D3741" s="127" t="n"/>
      <c r="E3741" s="227" t="n"/>
      <c r="F3741" s="227" t="n"/>
      <c r="G3741" s="227" t="n"/>
      <c r="H3741" s="227" t="n"/>
      <c r="I3741" s="227" t="n"/>
      <c r="J3741" s="227" t="n"/>
      <c r="K3741" s="227" t="n"/>
      <c r="L3741" s="227" t="n"/>
      <c r="M3741" s="227" t="n"/>
      <c r="N3741" s="127" t="n"/>
      <c r="O3741" s="227" t="n"/>
      <c r="P3741" s="227" t="n"/>
      <c r="Q3741" s="227" t="n"/>
      <c r="R3741" s="227" t="n"/>
      <c r="S3741" s="227" t="n"/>
      <c r="T3741" s="227" t="n"/>
    </row>
    <row r="3742">
      <c r="A3742" s="145">
        <f>IF($B3742="","",ROW()-5)</f>
        <v/>
      </c>
      <c r="B3742" s="127" t="n"/>
      <c r="C3742" s="223" t="n"/>
      <c r="D3742" s="127" t="n"/>
      <c r="E3742" s="227" t="n"/>
      <c r="F3742" s="227" t="n"/>
      <c r="G3742" s="227" t="n"/>
      <c r="H3742" s="227" t="n"/>
      <c r="I3742" s="227" t="n"/>
      <c r="J3742" s="227" t="n"/>
      <c r="K3742" s="227" t="n"/>
      <c r="L3742" s="227" t="n"/>
      <c r="M3742" s="227" t="n"/>
      <c r="N3742" s="127" t="n"/>
      <c r="O3742" s="227" t="n"/>
      <c r="P3742" s="227" t="n"/>
      <c r="Q3742" s="227" t="n"/>
      <c r="R3742" s="227" t="n"/>
      <c r="S3742" s="227" t="n"/>
      <c r="T3742" s="227" t="n"/>
    </row>
    <row r="3743">
      <c r="A3743" s="145">
        <f>IF($B3743="","",ROW()-5)</f>
        <v/>
      </c>
      <c r="B3743" s="127" t="n"/>
      <c r="C3743" s="223" t="n"/>
      <c r="D3743" s="127" t="n"/>
      <c r="E3743" s="227" t="n"/>
      <c r="F3743" s="227" t="n"/>
      <c r="G3743" s="227" t="n"/>
      <c r="H3743" s="227" t="n"/>
      <c r="I3743" s="227" t="n"/>
      <c r="J3743" s="227" t="n"/>
      <c r="K3743" s="227" t="n"/>
      <c r="L3743" s="227" t="n"/>
      <c r="M3743" s="227" t="n"/>
      <c r="N3743" s="127" t="n"/>
      <c r="O3743" s="227" t="n"/>
      <c r="P3743" s="227" t="n"/>
      <c r="Q3743" s="227" t="n"/>
      <c r="R3743" s="227" t="n"/>
      <c r="S3743" s="227" t="n"/>
      <c r="T3743" s="227" t="n"/>
    </row>
    <row r="3744">
      <c r="A3744" s="145">
        <f>IF($B3744="","",ROW()-5)</f>
        <v/>
      </c>
      <c r="B3744" s="127" t="n"/>
      <c r="C3744" s="223" t="n"/>
      <c r="D3744" s="127" t="n"/>
      <c r="E3744" s="227" t="n"/>
      <c r="F3744" s="227" t="n"/>
      <c r="G3744" s="227" t="n"/>
      <c r="H3744" s="227" t="n"/>
      <c r="I3744" s="227" t="n"/>
      <c r="J3744" s="227" t="n"/>
      <c r="K3744" s="227" t="n"/>
      <c r="L3744" s="227" t="n"/>
      <c r="M3744" s="227" t="n"/>
      <c r="N3744" s="127" t="n"/>
      <c r="O3744" s="227" t="n"/>
      <c r="P3744" s="227" t="n"/>
      <c r="Q3744" s="227" t="n"/>
      <c r="R3744" s="227" t="n"/>
      <c r="S3744" s="227" t="n"/>
      <c r="T3744" s="227" t="n"/>
    </row>
    <row r="3745">
      <c r="A3745" s="145">
        <f>IF($B3745="","",ROW()-5)</f>
        <v/>
      </c>
      <c r="B3745" s="127" t="n"/>
      <c r="C3745" s="223" t="n"/>
      <c r="D3745" s="127" t="n"/>
      <c r="E3745" s="227" t="n"/>
      <c r="F3745" s="227" t="n"/>
      <c r="G3745" s="227" t="n"/>
      <c r="H3745" s="227" t="n"/>
      <c r="I3745" s="227" t="n"/>
      <c r="J3745" s="227" t="n"/>
      <c r="K3745" s="227" t="n"/>
      <c r="L3745" s="227" t="n"/>
      <c r="M3745" s="227" t="n"/>
      <c r="N3745" s="127" t="n"/>
      <c r="O3745" s="227" t="n"/>
      <c r="P3745" s="227" t="n"/>
      <c r="Q3745" s="227" t="n"/>
      <c r="R3745" s="227" t="n"/>
      <c r="S3745" s="227" t="n"/>
      <c r="T3745" s="227" t="n"/>
    </row>
    <row r="3746">
      <c r="A3746" s="145">
        <f>IF($B3746="","",ROW()-5)</f>
        <v/>
      </c>
      <c r="B3746" s="127" t="n"/>
      <c r="C3746" s="223" t="n"/>
      <c r="D3746" s="127" t="n"/>
      <c r="E3746" s="227" t="n"/>
      <c r="F3746" s="227" t="n"/>
      <c r="G3746" s="227" t="n"/>
      <c r="H3746" s="227" t="n"/>
      <c r="I3746" s="227" t="n"/>
      <c r="J3746" s="227" t="n"/>
      <c r="K3746" s="227" t="n"/>
      <c r="L3746" s="227" t="n"/>
      <c r="M3746" s="227" t="n"/>
      <c r="N3746" s="127" t="n"/>
      <c r="O3746" s="227" t="n"/>
      <c r="P3746" s="227" t="n"/>
      <c r="Q3746" s="227" t="n"/>
      <c r="R3746" s="227" t="n"/>
      <c r="S3746" s="227" t="n"/>
      <c r="T3746" s="227" t="n"/>
    </row>
    <row r="3747">
      <c r="A3747" s="145">
        <f>IF($B3747="","",ROW()-5)</f>
        <v/>
      </c>
      <c r="B3747" s="127" t="n"/>
      <c r="C3747" s="223" t="n"/>
      <c r="D3747" s="127" t="n"/>
      <c r="E3747" s="227" t="n"/>
      <c r="F3747" s="227" t="n"/>
      <c r="G3747" s="227" t="n"/>
      <c r="H3747" s="227" t="n"/>
      <c r="I3747" s="227" t="n"/>
      <c r="J3747" s="227" t="n"/>
      <c r="K3747" s="227" t="n"/>
      <c r="L3747" s="227" t="n"/>
      <c r="M3747" s="227" t="n"/>
      <c r="N3747" s="127" t="n"/>
      <c r="O3747" s="227" t="n"/>
      <c r="P3747" s="227" t="n"/>
      <c r="Q3747" s="227" t="n"/>
      <c r="R3747" s="227" t="n"/>
      <c r="S3747" s="227" t="n"/>
      <c r="T3747" s="227" t="n"/>
    </row>
    <row r="3748">
      <c r="A3748" s="145">
        <f>IF($B3748="","",ROW()-5)</f>
        <v/>
      </c>
      <c r="B3748" s="127" t="n"/>
      <c r="C3748" s="223" t="n"/>
      <c r="D3748" s="127" t="n"/>
      <c r="E3748" s="227" t="n"/>
      <c r="F3748" s="227" t="n"/>
      <c r="G3748" s="227" t="n"/>
      <c r="H3748" s="227" t="n"/>
      <c r="I3748" s="227" t="n"/>
      <c r="J3748" s="227" t="n"/>
      <c r="K3748" s="227" t="n"/>
      <c r="L3748" s="227" t="n"/>
      <c r="M3748" s="227" t="n"/>
      <c r="N3748" s="127" t="n"/>
      <c r="O3748" s="227" t="n"/>
      <c r="P3748" s="227" t="n"/>
      <c r="Q3748" s="227" t="n"/>
      <c r="R3748" s="227" t="n"/>
      <c r="S3748" s="227" t="n"/>
      <c r="T3748" s="227" t="n"/>
    </row>
    <row r="3749">
      <c r="A3749" s="145">
        <f>IF($B3749="","",ROW()-5)</f>
        <v/>
      </c>
      <c r="B3749" s="127" t="n"/>
      <c r="C3749" s="223" t="n"/>
      <c r="D3749" s="127" t="n"/>
      <c r="E3749" s="227" t="n"/>
      <c r="F3749" s="227" t="n"/>
      <c r="G3749" s="227" t="n"/>
      <c r="H3749" s="227" t="n"/>
      <c r="I3749" s="227" t="n"/>
      <c r="J3749" s="227" t="n"/>
      <c r="K3749" s="227" t="n"/>
      <c r="L3749" s="227" t="n"/>
      <c r="M3749" s="227" t="n"/>
      <c r="N3749" s="127" t="n"/>
      <c r="O3749" s="227" t="n"/>
      <c r="P3749" s="227" t="n"/>
      <c r="Q3749" s="227" t="n"/>
      <c r="R3749" s="227" t="n"/>
      <c r="S3749" s="227" t="n"/>
      <c r="T3749" s="227" t="n"/>
    </row>
    <row r="3750">
      <c r="A3750" s="145">
        <f>IF($B3750="","",ROW()-5)</f>
        <v/>
      </c>
      <c r="B3750" s="127" t="n"/>
      <c r="C3750" s="223" t="n"/>
      <c r="D3750" s="127" t="n"/>
      <c r="E3750" s="227" t="n"/>
      <c r="F3750" s="227" t="n"/>
      <c r="G3750" s="227" t="n"/>
      <c r="H3750" s="227" t="n"/>
      <c r="I3750" s="227" t="n"/>
      <c r="J3750" s="227" t="n"/>
      <c r="K3750" s="227" t="n"/>
      <c r="L3750" s="227" t="n"/>
      <c r="M3750" s="227" t="n"/>
      <c r="N3750" s="127" t="n"/>
      <c r="O3750" s="227" t="n"/>
      <c r="P3750" s="227" t="n"/>
      <c r="Q3750" s="227" t="n"/>
      <c r="R3750" s="227" t="n"/>
      <c r="S3750" s="227" t="n"/>
      <c r="T3750" s="227" t="n"/>
    </row>
    <row r="3751">
      <c r="A3751" s="145">
        <f>IF($B3751="","",ROW()-5)</f>
        <v/>
      </c>
      <c r="B3751" s="127" t="n"/>
      <c r="C3751" s="223" t="n"/>
      <c r="D3751" s="127" t="n"/>
      <c r="E3751" s="227" t="n"/>
      <c r="F3751" s="227" t="n"/>
      <c r="G3751" s="227" t="n"/>
      <c r="H3751" s="227" t="n"/>
      <c r="I3751" s="227" t="n"/>
      <c r="J3751" s="227" t="n"/>
      <c r="K3751" s="227" t="n"/>
      <c r="L3751" s="227" t="n"/>
      <c r="M3751" s="227" t="n"/>
      <c r="N3751" s="127" t="n"/>
      <c r="O3751" s="227" t="n"/>
      <c r="P3751" s="227" t="n"/>
      <c r="Q3751" s="227" t="n"/>
      <c r="R3751" s="227" t="n"/>
      <c r="S3751" s="227" t="n"/>
      <c r="T3751" s="227" t="n"/>
    </row>
    <row r="3752">
      <c r="A3752" s="145">
        <f>IF($B3752="","",ROW()-5)</f>
        <v/>
      </c>
      <c r="B3752" s="127" t="n"/>
      <c r="C3752" s="223" t="n"/>
      <c r="D3752" s="127" t="n"/>
      <c r="E3752" s="227" t="n"/>
      <c r="F3752" s="227" t="n"/>
      <c r="G3752" s="227" t="n"/>
      <c r="H3752" s="227" t="n"/>
      <c r="I3752" s="227" t="n"/>
      <c r="J3752" s="227" t="n"/>
      <c r="K3752" s="227" t="n"/>
      <c r="L3752" s="227" t="n"/>
      <c r="M3752" s="227" t="n"/>
      <c r="N3752" s="127" t="n"/>
      <c r="O3752" s="227" t="n"/>
      <c r="P3752" s="227" t="n"/>
      <c r="Q3752" s="227" t="n"/>
      <c r="R3752" s="227" t="n"/>
      <c r="S3752" s="227" t="n"/>
      <c r="T3752" s="227" t="n"/>
    </row>
    <row r="3753">
      <c r="A3753" s="145">
        <f>IF($B3753="","",ROW()-5)</f>
        <v/>
      </c>
      <c r="B3753" s="127" t="n"/>
      <c r="C3753" s="223" t="n"/>
      <c r="D3753" s="127" t="n"/>
      <c r="E3753" s="227" t="n"/>
      <c r="F3753" s="227" t="n"/>
      <c r="G3753" s="227" t="n"/>
      <c r="H3753" s="227" t="n"/>
      <c r="I3753" s="227" t="n"/>
      <c r="J3753" s="227" t="n"/>
      <c r="K3753" s="227" t="n"/>
      <c r="L3753" s="227" t="n"/>
      <c r="M3753" s="227" t="n"/>
      <c r="N3753" s="127" t="n"/>
      <c r="O3753" s="227" t="n"/>
      <c r="P3753" s="227" t="n"/>
      <c r="Q3753" s="227" t="n"/>
      <c r="R3753" s="227" t="n"/>
      <c r="S3753" s="227" t="n"/>
      <c r="T3753" s="227" t="n"/>
    </row>
    <row r="3754">
      <c r="A3754" s="145">
        <f>IF($B3754="","",ROW()-5)</f>
        <v/>
      </c>
      <c r="B3754" s="127" t="n"/>
      <c r="C3754" s="223" t="n"/>
      <c r="D3754" s="127" t="n"/>
      <c r="E3754" s="227" t="n"/>
      <c r="F3754" s="227" t="n"/>
      <c r="G3754" s="227" t="n"/>
      <c r="H3754" s="227" t="n"/>
      <c r="I3754" s="227" t="n"/>
      <c r="J3754" s="227" t="n"/>
      <c r="K3754" s="227" t="n"/>
      <c r="L3754" s="227" t="n"/>
      <c r="M3754" s="227" t="n"/>
      <c r="N3754" s="127" t="n"/>
      <c r="O3754" s="227" t="n"/>
      <c r="P3754" s="227" t="n"/>
      <c r="Q3754" s="227" t="n"/>
      <c r="R3754" s="227" t="n"/>
      <c r="S3754" s="227" t="n"/>
      <c r="T3754" s="227" t="n"/>
    </row>
    <row r="3755">
      <c r="A3755" s="145">
        <f>IF($B3755="","",ROW()-5)</f>
        <v/>
      </c>
      <c r="B3755" s="127" t="n"/>
      <c r="C3755" s="223" t="n"/>
      <c r="D3755" s="127" t="n"/>
      <c r="E3755" s="227" t="n"/>
      <c r="F3755" s="227" t="n"/>
      <c r="G3755" s="227" t="n"/>
      <c r="H3755" s="227" t="n"/>
      <c r="I3755" s="227" t="n"/>
      <c r="J3755" s="227" t="n"/>
      <c r="K3755" s="227" t="n"/>
      <c r="L3755" s="227" t="n"/>
      <c r="M3755" s="227" t="n"/>
      <c r="N3755" s="127" t="n"/>
      <c r="O3755" s="227" t="n"/>
      <c r="P3755" s="227" t="n"/>
      <c r="Q3755" s="227" t="n"/>
      <c r="R3755" s="227" t="n"/>
      <c r="S3755" s="227" t="n"/>
      <c r="T3755" s="227" t="n"/>
    </row>
    <row r="3756">
      <c r="A3756" s="145">
        <f>IF($B3756="","",ROW()-5)</f>
        <v/>
      </c>
      <c r="B3756" s="127" t="n"/>
      <c r="C3756" s="223" t="n"/>
      <c r="D3756" s="127" t="n"/>
      <c r="E3756" s="227" t="n"/>
      <c r="F3756" s="227" t="n"/>
      <c r="G3756" s="227" t="n"/>
      <c r="H3756" s="227" t="n"/>
      <c r="I3756" s="227" t="n"/>
      <c r="J3756" s="227" t="n"/>
      <c r="K3756" s="227" t="n"/>
      <c r="L3756" s="227" t="n"/>
      <c r="M3756" s="227" t="n"/>
      <c r="N3756" s="127" t="n"/>
      <c r="O3756" s="227" t="n"/>
      <c r="P3756" s="227" t="n"/>
      <c r="Q3756" s="227" t="n"/>
      <c r="R3756" s="227" t="n"/>
      <c r="S3756" s="227" t="n"/>
      <c r="T3756" s="227" t="n"/>
    </row>
    <row r="3757">
      <c r="A3757" s="145">
        <f>IF($B3757="","",ROW()-5)</f>
        <v/>
      </c>
      <c r="B3757" s="127" t="n"/>
      <c r="C3757" s="223" t="n"/>
      <c r="D3757" s="127" t="n"/>
      <c r="E3757" s="227" t="n"/>
      <c r="F3757" s="227" t="n"/>
      <c r="G3757" s="227" t="n"/>
      <c r="H3757" s="227" t="n"/>
      <c r="I3757" s="227" t="n"/>
      <c r="J3757" s="227" t="n"/>
      <c r="K3757" s="227" t="n"/>
      <c r="L3757" s="227" t="n"/>
      <c r="M3757" s="227" t="n"/>
      <c r="N3757" s="127" t="n"/>
      <c r="O3757" s="227" t="n"/>
      <c r="P3757" s="227" t="n"/>
      <c r="Q3757" s="227" t="n"/>
      <c r="R3757" s="227" t="n"/>
      <c r="S3757" s="227" t="n"/>
      <c r="T3757" s="227" t="n"/>
    </row>
    <row r="3758">
      <c r="A3758" s="145">
        <f>IF($B3758="","",ROW()-5)</f>
        <v/>
      </c>
      <c r="B3758" s="127" t="n"/>
      <c r="C3758" s="223" t="n"/>
      <c r="D3758" s="127" t="n"/>
      <c r="E3758" s="227" t="n"/>
      <c r="F3758" s="227" t="n"/>
      <c r="G3758" s="227" t="n"/>
      <c r="H3758" s="227" t="n"/>
      <c r="I3758" s="227" t="n"/>
      <c r="J3758" s="227" t="n"/>
      <c r="K3758" s="227" t="n"/>
      <c r="L3758" s="227" t="n"/>
      <c r="M3758" s="227" t="n"/>
      <c r="N3758" s="127" t="n"/>
      <c r="O3758" s="227" t="n"/>
      <c r="P3758" s="227" t="n"/>
      <c r="Q3758" s="227" t="n"/>
      <c r="R3758" s="227" t="n"/>
      <c r="S3758" s="227" t="n"/>
      <c r="T3758" s="227" t="n"/>
    </row>
    <row r="3759">
      <c r="A3759" s="145">
        <f>IF($B3759="","",ROW()-5)</f>
        <v/>
      </c>
      <c r="B3759" s="127" t="n"/>
      <c r="C3759" s="223" t="n"/>
      <c r="D3759" s="127" t="n"/>
      <c r="E3759" s="227" t="n"/>
      <c r="F3759" s="227" t="n"/>
      <c r="G3759" s="227" t="n"/>
      <c r="H3759" s="227" t="n"/>
      <c r="I3759" s="227" t="n"/>
      <c r="J3759" s="227" t="n"/>
      <c r="K3759" s="227" t="n"/>
      <c r="L3759" s="227" t="n"/>
      <c r="M3759" s="227" t="n"/>
      <c r="N3759" s="127" t="n"/>
      <c r="O3759" s="227" t="n"/>
      <c r="P3759" s="227" t="n"/>
      <c r="Q3759" s="227" t="n"/>
      <c r="R3759" s="227" t="n"/>
      <c r="S3759" s="227" t="n"/>
      <c r="T3759" s="227" t="n"/>
    </row>
    <row r="3760">
      <c r="A3760" s="145">
        <f>IF($B3760="","",ROW()-5)</f>
        <v/>
      </c>
      <c r="B3760" s="127" t="n"/>
      <c r="C3760" s="223" t="n"/>
      <c r="D3760" s="127" t="n"/>
      <c r="E3760" s="227" t="n"/>
      <c r="F3760" s="227" t="n"/>
      <c r="G3760" s="227" t="n"/>
      <c r="H3760" s="227" t="n"/>
      <c r="I3760" s="227" t="n"/>
      <c r="J3760" s="227" t="n"/>
      <c r="K3760" s="227" t="n"/>
      <c r="L3760" s="227" t="n"/>
      <c r="M3760" s="227" t="n"/>
      <c r="N3760" s="127" t="n"/>
      <c r="O3760" s="227" t="n"/>
      <c r="P3760" s="227" t="n"/>
      <c r="Q3760" s="227" t="n"/>
      <c r="R3760" s="227" t="n"/>
      <c r="S3760" s="227" t="n"/>
      <c r="T3760" s="227" t="n"/>
    </row>
    <row r="3761">
      <c r="A3761" s="145">
        <f>IF($B3761="","",ROW()-5)</f>
        <v/>
      </c>
      <c r="B3761" s="127" t="n"/>
      <c r="C3761" s="223" t="n"/>
      <c r="D3761" s="127" t="n"/>
      <c r="E3761" s="227" t="n"/>
      <c r="F3761" s="227" t="n"/>
      <c r="G3761" s="227" t="n"/>
      <c r="H3761" s="227" t="n"/>
      <c r="I3761" s="227" t="n"/>
      <c r="J3761" s="227" t="n"/>
      <c r="K3761" s="227" t="n"/>
      <c r="L3761" s="227" t="n"/>
      <c r="M3761" s="227" t="n"/>
      <c r="N3761" s="127" t="n"/>
      <c r="O3761" s="227" t="n"/>
      <c r="P3761" s="227" t="n"/>
      <c r="Q3761" s="227" t="n"/>
      <c r="R3761" s="227" t="n"/>
      <c r="S3761" s="227" t="n"/>
      <c r="T3761" s="227" t="n"/>
    </row>
    <row r="3762">
      <c r="A3762" s="145">
        <f>IF($B3762="","",ROW()-5)</f>
        <v/>
      </c>
      <c r="B3762" s="127" t="n"/>
      <c r="C3762" s="223" t="n"/>
      <c r="D3762" s="127" t="n"/>
      <c r="E3762" s="227" t="n"/>
      <c r="F3762" s="227" t="n"/>
      <c r="G3762" s="227" t="n"/>
      <c r="H3762" s="227" t="n"/>
      <c r="I3762" s="227" t="n"/>
      <c r="J3762" s="227" t="n"/>
      <c r="K3762" s="227" t="n"/>
      <c r="L3762" s="227" t="n"/>
      <c r="M3762" s="227" t="n"/>
      <c r="N3762" s="127" t="n"/>
      <c r="O3762" s="227" t="n"/>
      <c r="P3762" s="227" t="n"/>
      <c r="Q3762" s="227" t="n"/>
      <c r="R3762" s="227" t="n"/>
      <c r="S3762" s="227" t="n"/>
      <c r="T3762" s="227" t="n"/>
    </row>
    <row r="3763">
      <c r="A3763" s="145">
        <f>IF($B3763="","",ROW()-5)</f>
        <v/>
      </c>
      <c r="B3763" s="127" t="n"/>
      <c r="C3763" s="223" t="n"/>
      <c r="D3763" s="127" t="n"/>
      <c r="E3763" s="227" t="n"/>
      <c r="F3763" s="227" t="n"/>
      <c r="G3763" s="227" t="n"/>
      <c r="H3763" s="227" t="n"/>
      <c r="I3763" s="227" t="n"/>
      <c r="J3763" s="227" t="n"/>
      <c r="K3763" s="227" t="n"/>
      <c r="L3763" s="227" t="n"/>
      <c r="M3763" s="227" t="n"/>
      <c r="N3763" s="127" t="n"/>
      <c r="O3763" s="227" t="n"/>
      <c r="P3763" s="227" t="n"/>
      <c r="Q3763" s="227" t="n"/>
      <c r="R3763" s="227" t="n"/>
      <c r="S3763" s="227" t="n"/>
      <c r="T3763" s="227" t="n"/>
    </row>
    <row r="3764">
      <c r="A3764" s="145">
        <f>IF($B3764="","",ROW()-5)</f>
        <v/>
      </c>
      <c r="B3764" s="127" t="n"/>
      <c r="C3764" s="223" t="n"/>
      <c r="D3764" s="127" t="n"/>
      <c r="E3764" s="227" t="n"/>
      <c r="F3764" s="227" t="n"/>
      <c r="G3764" s="227" t="n"/>
      <c r="H3764" s="227" t="n"/>
      <c r="I3764" s="227" t="n"/>
      <c r="J3764" s="227" t="n"/>
      <c r="K3764" s="227" t="n"/>
      <c r="L3764" s="227" t="n"/>
      <c r="M3764" s="227" t="n"/>
      <c r="N3764" s="127" t="n"/>
      <c r="O3764" s="227" t="n"/>
      <c r="P3764" s="227" t="n"/>
      <c r="Q3764" s="227" t="n"/>
      <c r="R3764" s="227" t="n"/>
      <c r="S3764" s="227" t="n"/>
      <c r="T3764" s="227" t="n"/>
    </row>
    <row r="3765">
      <c r="A3765" s="145">
        <f>IF($B3765="","",ROW()-5)</f>
        <v/>
      </c>
      <c r="B3765" s="127" t="n"/>
      <c r="C3765" s="223" t="n"/>
      <c r="D3765" s="127" t="n"/>
      <c r="E3765" s="227" t="n"/>
      <c r="F3765" s="227" t="n"/>
      <c r="G3765" s="227" t="n"/>
      <c r="H3765" s="227" t="n"/>
      <c r="I3765" s="227" t="n"/>
      <c r="J3765" s="227" t="n"/>
      <c r="K3765" s="227" t="n"/>
      <c r="L3765" s="227" t="n"/>
      <c r="M3765" s="227" t="n"/>
      <c r="N3765" s="127" t="n"/>
      <c r="O3765" s="227" t="n"/>
      <c r="P3765" s="227" t="n"/>
      <c r="Q3765" s="227" t="n"/>
      <c r="R3765" s="227" t="n"/>
      <c r="S3765" s="227" t="n"/>
      <c r="T3765" s="227" t="n"/>
    </row>
    <row r="3766">
      <c r="A3766" s="145">
        <f>IF($B3766="","",ROW()-5)</f>
        <v/>
      </c>
      <c r="B3766" s="127" t="n"/>
      <c r="C3766" s="223" t="n"/>
      <c r="D3766" s="127" t="n"/>
      <c r="E3766" s="227" t="n"/>
      <c r="F3766" s="227" t="n"/>
      <c r="G3766" s="227" t="n"/>
      <c r="H3766" s="227" t="n"/>
      <c r="I3766" s="227" t="n"/>
      <c r="J3766" s="227" t="n"/>
      <c r="K3766" s="227" t="n"/>
      <c r="L3766" s="227" t="n"/>
      <c r="M3766" s="227" t="n"/>
      <c r="N3766" s="127" t="n"/>
      <c r="O3766" s="227" t="n"/>
      <c r="P3766" s="227" t="n"/>
      <c r="Q3766" s="227" t="n"/>
      <c r="R3766" s="227" t="n"/>
      <c r="S3766" s="227" t="n"/>
      <c r="T3766" s="227" t="n"/>
    </row>
    <row r="3767">
      <c r="A3767" s="145">
        <f>IF($B3767="","",ROW()-5)</f>
        <v/>
      </c>
      <c r="B3767" s="127" t="n"/>
      <c r="C3767" s="223" t="n"/>
      <c r="D3767" s="127" t="n"/>
      <c r="E3767" s="227" t="n"/>
      <c r="F3767" s="227" t="n"/>
      <c r="G3767" s="227" t="n"/>
      <c r="H3767" s="227" t="n"/>
      <c r="I3767" s="227" t="n"/>
      <c r="J3767" s="227" t="n"/>
      <c r="K3767" s="227" t="n"/>
      <c r="L3767" s="227" t="n"/>
      <c r="M3767" s="227" t="n"/>
      <c r="N3767" s="127" t="n"/>
      <c r="O3767" s="227" t="n"/>
      <c r="P3767" s="227" t="n"/>
      <c r="Q3767" s="227" t="n"/>
      <c r="R3767" s="227" t="n"/>
      <c r="S3767" s="227" t="n"/>
      <c r="T3767" s="227" t="n"/>
    </row>
    <row r="3768">
      <c r="A3768" s="145">
        <f>IF($B3768="","",ROW()-5)</f>
        <v/>
      </c>
      <c r="B3768" s="127" t="n"/>
      <c r="C3768" s="223" t="n"/>
      <c r="D3768" s="127" t="n"/>
      <c r="E3768" s="227" t="n"/>
      <c r="F3768" s="227" t="n"/>
      <c r="G3768" s="227" t="n"/>
      <c r="H3768" s="227" t="n"/>
      <c r="I3768" s="227" t="n"/>
      <c r="J3768" s="227" t="n"/>
      <c r="K3768" s="227" t="n"/>
      <c r="L3768" s="227" t="n"/>
      <c r="M3768" s="227" t="n"/>
      <c r="N3768" s="127" t="n"/>
      <c r="O3768" s="227" t="n"/>
      <c r="P3768" s="227" t="n"/>
      <c r="Q3768" s="227" t="n"/>
      <c r="R3768" s="227" t="n"/>
      <c r="S3768" s="227" t="n"/>
      <c r="T3768" s="227" t="n"/>
    </row>
    <row r="3769">
      <c r="A3769" s="145">
        <f>IF($B3769="","",ROW()-5)</f>
        <v/>
      </c>
      <c r="B3769" s="127" t="n"/>
      <c r="C3769" s="223" t="n"/>
      <c r="D3769" s="127" t="n"/>
      <c r="E3769" s="227" t="n"/>
      <c r="F3769" s="227" t="n"/>
      <c r="G3769" s="227" t="n"/>
      <c r="H3769" s="227" t="n"/>
      <c r="I3769" s="227" t="n"/>
      <c r="J3769" s="227" t="n"/>
      <c r="K3769" s="227" t="n"/>
      <c r="L3769" s="227" t="n"/>
      <c r="M3769" s="227" t="n"/>
      <c r="N3769" s="127" t="n"/>
      <c r="O3769" s="227" t="n"/>
      <c r="P3769" s="227" t="n"/>
      <c r="Q3769" s="227" t="n"/>
      <c r="R3769" s="227" t="n"/>
      <c r="S3769" s="227" t="n"/>
      <c r="T3769" s="227" t="n"/>
    </row>
    <row r="3770">
      <c r="A3770" s="145">
        <f>IF($B3770="","",ROW()-5)</f>
        <v/>
      </c>
      <c r="B3770" s="127" t="n"/>
      <c r="C3770" s="223" t="n"/>
      <c r="D3770" s="127" t="n"/>
      <c r="E3770" s="227" t="n"/>
      <c r="F3770" s="227" t="n"/>
      <c r="G3770" s="227" t="n"/>
      <c r="H3770" s="227" t="n"/>
      <c r="I3770" s="227" t="n"/>
      <c r="J3770" s="227" t="n"/>
      <c r="K3770" s="227" t="n"/>
      <c r="L3770" s="227" t="n"/>
      <c r="M3770" s="227" t="n"/>
      <c r="N3770" s="127" t="n"/>
      <c r="O3770" s="227" t="n"/>
      <c r="P3770" s="227" t="n"/>
      <c r="Q3770" s="227" t="n"/>
      <c r="R3770" s="227" t="n"/>
      <c r="S3770" s="227" t="n"/>
      <c r="T3770" s="227" t="n"/>
    </row>
    <row r="3771">
      <c r="A3771" s="145">
        <f>IF($B3771="","",ROW()-5)</f>
        <v/>
      </c>
      <c r="B3771" s="127" t="n"/>
      <c r="C3771" s="223" t="n"/>
      <c r="D3771" s="127" t="n"/>
      <c r="E3771" s="227" t="n"/>
      <c r="F3771" s="227" t="n"/>
      <c r="G3771" s="227" t="n"/>
      <c r="H3771" s="227" t="n"/>
      <c r="I3771" s="227" t="n"/>
      <c r="J3771" s="227" t="n"/>
      <c r="K3771" s="227" t="n"/>
      <c r="L3771" s="227" t="n"/>
      <c r="M3771" s="227" t="n"/>
      <c r="N3771" s="127" t="n"/>
      <c r="O3771" s="227" t="n"/>
      <c r="P3771" s="227" t="n"/>
      <c r="Q3771" s="227" t="n"/>
      <c r="R3771" s="227" t="n"/>
      <c r="S3771" s="227" t="n"/>
      <c r="T3771" s="227" t="n"/>
    </row>
    <row r="3772">
      <c r="A3772" s="145">
        <f>IF($B3772="","",ROW()-5)</f>
        <v/>
      </c>
      <c r="B3772" s="127" t="n"/>
      <c r="C3772" s="223" t="n"/>
      <c r="D3772" s="127" t="n"/>
      <c r="E3772" s="227" t="n"/>
      <c r="F3772" s="227" t="n"/>
      <c r="G3772" s="227" t="n"/>
      <c r="H3772" s="227" t="n"/>
      <c r="I3772" s="227" t="n"/>
      <c r="J3772" s="227" t="n"/>
      <c r="K3772" s="227" t="n"/>
      <c r="L3772" s="227" t="n"/>
      <c r="M3772" s="227" t="n"/>
      <c r="N3772" s="127" t="n"/>
      <c r="O3772" s="227" t="n"/>
      <c r="P3772" s="227" t="n"/>
      <c r="Q3772" s="227" t="n"/>
      <c r="R3772" s="227" t="n"/>
      <c r="S3772" s="227" t="n"/>
      <c r="T3772" s="227" t="n"/>
    </row>
    <row r="3773">
      <c r="A3773" s="145">
        <f>IF($B3773="","",ROW()-5)</f>
        <v/>
      </c>
      <c r="B3773" s="127" t="n"/>
      <c r="C3773" s="223" t="n"/>
      <c r="D3773" s="127" t="n"/>
      <c r="E3773" s="227" t="n"/>
      <c r="F3773" s="227" t="n"/>
      <c r="G3773" s="227" t="n"/>
      <c r="H3773" s="227" t="n"/>
      <c r="I3773" s="227" t="n"/>
      <c r="J3773" s="227" t="n"/>
      <c r="K3773" s="227" t="n"/>
      <c r="L3773" s="227" t="n"/>
      <c r="M3773" s="227" t="n"/>
      <c r="N3773" s="127" t="n"/>
      <c r="O3773" s="227" t="n"/>
      <c r="P3773" s="227" t="n"/>
      <c r="Q3773" s="227" t="n"/>
      <c r="R3773" s="227" t="n"/>
      <c r="S3773" s="227" t="n"/>
      <c r="T3773" s="227" t="n"/>
    </row>
    <row r="3774">
      <c r="A3774" s="145">
        <f>IF($B3774="","",ROW()-5)</f>
        <v/>
      </c>
      <c r="B3774" s="127" t="n"/>
      <c r="C3774" s="223" t="n"/>
      <c r="D3774" s="127" t="n"/>
      <c r="E3774" s="227" t="n"/>
      <c r="F3774" s="227" t="n"/>
      <c r="G3774" s="227" t="n"/>
      <c r="H3774" s="227" t="n"/>
      <c r="I3774" s="227" t="n"/>
      <c r="J3774" s="227" t="n"/>
      <c r="K3774" s="227" t="n"/>
      <c r="L3774" s="227" t="n"/>
      <c r="M3774" s="227" t="n"/>
      <c r="N3774" s="127" t="n"/>
      <c r="O3774" s="227" t="n"/>
      <c r="P3774" s="227" t="n"/>
      <c r="Q3774" s="227" t="n"/>
      <c r="R3774" s="227" t="n"/>
      <c r="S3774" s="227" t="n"/>
      <c r="T3774" s="227" t="n"/>
    </row>
    <row r="3775">
      <c r="A3775" s="145">
        <f>IF($B3775="","",ROW()-5)</f>
        <v/>
      </c>
      <c r="B3775" s="127" t="n"/>
      <c r="C3775" s="223" t="n"/>
      <c r="D3775" s="127" t="n"/>
      <c r="E3775" s="227" t="n"/>
      <c r="F3775" s="227" t="n"/>
      <c r="G3775" s="227" t="n"/>
      <c r="H3775" s="227" t="n"/>
      <c r="I3775" s="227" t="n"/>
      <c r="J3775" s="227" t="n"/>
      <c r="K3775" s="227" t="n"/>
      <c r="L3775" s="227" t="n"/>
      <c r="M3775" s="227" t="n"/>
      <c r="N3775" s="127" t="n"/>
      <c r="O3775" s="227" t="n"/>
      <c r="P3775" s="227" t="n"/>
      <c r="Q3775" s="227" t="n"/>
      <c r="R3775" s="227" t="n"/>
      <c r="S3775" s="227" t="n"/>
      <c r="T3775" s="227" t="n"/>
    </row>
    <row r="3776">
      <c r="A3776" s="145">
        <f>IF($B3776="","",ROW()-5)</f>
        <v/>
      </c>
      <c r="B3776" s="127" t="n"/>
      <c r="C3776" s="223" t="n"/>
      <c r="D3776" s="127" t="n"/>
      <c r="E3776" s="227" t="n"/>
      <c r="F3776" s="227" t="n"/>
      <c r="G3776" s="227" t="n"/>
      <c r="H3776" s="227" t="n"/>
      <c r="I3776" s="227" t="n"/>
      <c r="J3776" s="227" t="n"/>
      <c r="K3776" s="227" t="n"/>
      <c r="L3776" s="227" t="n"/>
      <c r="M3776" s="227" t="n"/>
      <c r="N3776" s="127" t="n"/>
      <c r="O3776" s="227" t="n"/>
      <c r="P3776" s="227" t="n"/>
      <c r="Q3776" s="227" t="n"/>
      <c r="R3776" s="227" t="n"/>
      <c r="S3776" s="227" t="n"/>
      <c r="T3776" s="227" t="n"/>
    </row>
    <row r="3777">
      <c r="A3777" s="145">
        <f>IF($B3777="","",ROW()-5)</f>
        <v/>
      </c>
      <c r="B3777" s="127" t="n"/>
      <c r="C3777" s="223" t="n"/>
      <c r="D3777" s="127" t="n"/>
      <c r="E3777" s="227" t="n"/>
      <c r="F3777" s="227" t="n"/>
      <c r="G3777" s="227" t="n"/>
      <c r="H3777" s="227" t="n"/>
      <c r="I3777" s="227" t="n"/>
      <c r="J3777" s="227" t="n"/>
      <c r="K3777" s="227" t="n"/>
      <c r="L3777" s="227" t="n"/>
      <c r="M3777" s="227" t="n"/>
      <c r="N3777" s="127" t="n"/>
      <c r="O3777" s="227" t="n"/>
      <c r="P3777" s="227" t="n"/>
      <c r="Q3777" s="227" t="n"/>
      <c r="R3777" s="227" t="n"/>
      <c r="S3777" s="227" t="n"/>
      <c r="T3777" s="227" t="n"/>
    </row>
    <row r="3778">
      <c r="A3778" s="145">
        <f>IF($B3778="","",ROW()-5)</f>
        <v/>
      </c>
      <c r="B3778" s="127" t="n"/>
      <c r="C3778" s="223" t="n"/>
      <c r="D3778" s="127" t="n"/>
      <c r="E3778" s="227" t="n"/>
      <c r="F3778" s="227" t="n"/>
      <c r="G3778" s="227" t="n"/>
      <c r="H3778" s="227" t="n"/>
      <c r="I3778" s="227" t="n"/>
      <c r="J3778" s="227" t="n"/>
      <c r="K3778" s="227" t="n"/>
      <c r="L3778" s="227" t="n"/>
      <c r="M3778" s="227" t="n"/>
      <c r="N3778" s="127" t="n"/>
      <c r="O3778" s="227" t="n"/>
      <c r="P3778" s="227" t="n"/>
      <c r="Q3778" s="227" t="n"/>
      <c r="R3778" s="227" t="n"/>
      <c r="S3778" s="227" t="n"/>
      <c r="T3778" s="227" t="n"/>
    </row>
    <row r="3779">
      <c r="A3779" s="145">
        <f>IF($B3779="","",ROW()-5)</f>
        <v/>
      </c>
      <c r="B3779" s="127" t="n"/>
      <c r="C3779" s="223" t="n"/>
      <c r="D3779" s="127" t="n"/>
      <c r="E3779" s="227" t="n"/>
      <c r="F3779" s="227" t="n"/>
      <c r="G3779" s="227" t="n"/>
      <c r="H3779" s="227" t="n"/>
      <c r="I3779" s="227" t="n"/>
      <c r="J3779" s="227" t="n"/>
      <c r="K3779" s="227" t="n"/>
      <c r="L3779" s="227" t="n"/>
      <c r="M3779" s="227" t="n"/>
      <c r="N3779" s="127" t="n"/>
      <c r="O3779" s="227" t="n"/>
      <c r="P3779" s="227" t="n"/>
      <c r="Q3779" s="227" t="n"/>
      <c r="R3779" s="227" t="n"/>
      <c r="S3779" s="227" t="n"/>
      <c r="T3779" s="227" t="n"/>
    </row>
    <row r="3780">
      <c r="A3780" s="145">
        <f>IF($B3780="","",ROW()-5)</f>
        <v/>
      </c>
      <c r="B3780" s="127" t="n"/>
      <c r="C3780" s="223" t="n"/>
      <c r="D3780" s="127" t="n"/>
      <c r="E3780" s="227" t="n"/>
      <c r="F3780" s="227" t="n"/>
      <c r="G3780" s="227" t="n"/>
      <c r="H3780" s="227" t="n"/>
      <c r="I3780" s="227" t="n"/>
      <c r="J3780" s="227" t="n"/>
      <c r="K3780" s="227" t="n"/>
      <c r="L3780" s="227" t="n"/>
      <c r="M3780" s="227" t="n"/>
      <c r="N3780" s="127" t="n"/>
      <c r="O3780" s="227" t="n"/>
      <c r="P3780" s="227" t="n"/>
      <c r="Q3780" s="227" t="n"/>
      <c r="R3780" s="227" t="n"/>
      <c r="S3780" s="227" t="n"/>
      <c r="T3780" s="227" t="n"/>
    </row>
    <row r="3781">
      <c r="A3781" s="145">
        <f>IF($B3781="","",ROW()-5)</f>
        <v/>
      </c>
      <c r="B3781" s="127" t="n"/>
      <c r="C3781" s="223" t="n"/>
      <c r="D3781" s="127" t="n"/>
      <c r="E3781" s="227" t="n"/>
      <c r="F3781" s="227" t="n"/>
      <c r="G3781" s="227" t="n"/>
      <c r="H3781" s="227" t="n"/>
      <c r="I3781" s="227" t="n"/>
      <c r="J3781" s="227" t="n"/>
      <c r="K3781" s="227" t="n"/>
      <c r="L3781" s="227" t="n"/>
      <c r="M3781" s="227" t="n"/>
      <c r="N3781" s="127" t="n"/>
      <c r="O3781" s="227" t="n"/>
      <c r="P3781" s="227" t="n"/>
      <c r="Q3781" s="227" t="n"/>
      <c r="R3781" s="227" t="n"/>
      <c r="S3781" s="227" t="n"/>
      <c r="T3781" s="227" t="n"/>
    </row>
    <row r="3782">
      <c r="A3782" s="145">
        <f>IF($B3782="","",ROW()-5)</f>
        <v/>
      </c>
      <c r="B3782" s="127" t="n"/>
      <c r="C3782" s="223" t="n"/>
      <c r="D3782" s="127" t="n"/>
      <c r="E3782" s="227" t="n"/>
      <c r="F3782" s="227" t="n"/>
      <c r="G3782" s="227" t="n"/>
      <c r="H3782" s="227" t="n"/>
      <c r="I3782" s="227" t="n"/>
      <c r="J3782" s="227" t="n"/>
      <c r="K3782" s="227" t="n"/>
      <c r="L3782" s="227" t="n"/>
      <c r="M3782" s="227" t="n"/>
      <c r="N3782" s="127" t="n"/>
      <c r="O3782" s="227" t="n"/>
      <c r="P3782" s="227" t="n"/>
      <c r="Q3782" s="227" t="n"/>
      <c r="R3782" s="227" t="n"/>
      <c r="S3782" s="227" t="n"/>
      <c r="T3782" s="227" t="n"/>
    </row>
    <row r="3783">
      <c r="A3783" s="145">
        <f>IF($B3783="","",ROW()-5)</f>
        <v/>
      </c>
      <c r="B3783" s="127" t="n"/>
      <c r="C3783" s="223" t="n"/>
      <c r="D3783" s="127" t="n"/>
      <c r="E3783" s="227" t="n"/>
      <c r="F3783" s="227" t="n"/>
      <c r="G3783" s="227" t="n"/>
      <c r="H3783" s="227" t="n"/>
      <c r="I3783" s="227" t="n"/>
      <c r="J3783" s="227" t="n"/>
      <c r="K3783" s="227" t="n"/>
      <c r="L3783" s="227" t="n"/>
      <c r="M3783" s="227" t="n"/>
      <c r="N3783" s="127" t="n"/>
      <c r="O3783" s="227" t="n"/>
      <c r="P3783" s="227" t="n"/>
      <c r="Q3783" s="227" t="n"/>
      <c r="R3783" s="227" t="n"/>
      <c r="S3783" s="227" t="n"/>
      <c r="T3783" s="227" t="n"/>
    </row>
    <row r="3784">
      <c r="A3784" s="145">
        <f>IF($B3784="","",ROW()-5)</f>
        <v/>
      </c>
      <c r="B3784" s="127" t="n"/>
      <c r="C3784" s="223" t="n"/>
      <c r="D3784" s="127" t="n"/>
      <c r="E3784" s="227" t="n"/>
      <c r="F3784" s="227" t="n"/>
      <c r="G3784" s="227" t="n"/>
      <c r="H3784" s="227" t="n"/>
      <c r="I3784" s="227" t="n"/>
      <c r="J3784" s="227" t="n"/>
      <c r="K3784" s="227" t="n"/>
      <c r="L3784" s="227" t="n"/>
      <c r="M3784" s="227" t="n"/>
      <c r="N3784" s="127" t="n"/>
      <c r="O3784" s="227" t="n"/>
      <c r="P3784" s="227" t="n"/>
      <c r="Q3784" s="227" t="n"/>
      <c r="R3784" s="227" t="n"/>
      <c r="S3784" s="227" t="n"/>
      <c r="T3784" s="227" t="n"/>
    </row>
    <row r="3785">
      <c r="A3785" s="145">
        <f>IF($B3785="","",ROW()-5)</f>
        <v/>
      </c>
      <c r="B3785" s="127" t="n"/>
      <c r="C3785" s="223" t="n"/>
      <c r="D3785" s="127" t="n"/>
      <c r="E3785" s="227" t="n"/>
      <c r="F3785" s="227" t="n"/>
      <c r="G3785" s="227" t="n"/>
      <c r="H3785" s="227" t="n"/>
      <c r="I3785" s="227" t="n"/>
      <c r="J3785" s="227" t="n"/>
      <c r="K3785" s="227" t="n"/>
      <c r="L3785" s="227" t="n"/>
      <c r="M3785" s="227" t="n"/>
      <c r="N3785" s="127" t="n"/>
      <c r="O3785" s="227" t="n"/>
      <c r="P3785" s="227" t="n"/>
      <c r="Q3785" s="227" t="n"/>
      <c r="R3785" s="227" t="n"/>
      <c r="S3785" s="227" t="n"/>
      <c r="T3785" s="227" t="n"/>
    </row>
    <row r="3786">
      <c r="A3786" s="145">
        <f>IF($B3786="","",ROW()-5)</f>
        <v/>
      </c>
      <c r="B3786" s="127" t="n"/>
      <c r="C3786" s="223" t="n"/>
      <c r="D3786" s="127" t="n"/>
      <c r="E3786" s="227" t="n"/>
      <c r="F3786" s="227" t="n"/>
      <c r="G3786" s="227" t="n"/>
      <c r="H3786" s="227" t="n"/>
      <c r="I3786" s="227" t="n"/>
      <c r="J3786" s="227" t="n"/>
      <c r="K3786" s="227" t="n"/>
      <c r="L3786" s="227" t="n"/>
      <c r="M3786" s="227" t="n"/>
      <c r="N3786" s="127" t="n"/>
      <c r="O3786" s="227" t="n"/>
      <c r="P3786" s="227" t="n"/>
      <c r="Q3786" s="227" t="n"/>
      <c r="R3786" s="227" t="n"/>
      <c r="S3786" s="227" t="n"/>
      <c r="T3786" s="227" t="n"/>
    </row>
    <row r="3787">
      <c r="A3787" s="145">
        <f>IF($B3787="","",ROW()-5)</f>
        <v/>
      </c>
      <c r="B3787" s="127" t="n"/>
      <c r="C3787" s="223" t="n"/>
      <c r="D3787" s="127" t="n"/>
      <c r="E3787" s="227" t="n"/>
      <c r="F3787" s="227" t="n"/>
      <c r="G3787" s="227" t="n"/>
      <c r="H3787" s="227" t="n"/>
      <c r="I3787" s="227" t="n"/>
      <c r="J3787" s="227" t="n"/>
      <c r="K3787" s="227" t="n"/>
      <c r="L3787" s="227" t="n"/>
      <c r="M3787" s="227" t="n"/>
      <c r="N3787" s="127" t="n"/>
      <c r="O3787" s="227" t="n"/>
      <c r="P3787" s="227" t="n"/>
      <c r="Q3787" s="227" t="n"/>
      <c r="R3787" s="227" t="n"/>
      <c r="S3787" s="227" t="n"/>
      <c r="T3787" s="227" t="n"/>
    </row>
    <row r="3788">
      <c r="A3788" s="145">
        <f>IF($B3788="","",ROW()-5)</f>
        <v/>
      </c>
      <c r="B3788" s="127" t="n"/>
      <c r="C3788" s="223" t="n"/>
      <c r="D3788" s="127" t="n"/>
      <c r="E3788" s="227" t="n"/>
      <c r="F3788" s="227" t="n"/>
      <c r="G3788" s="227" t="n"/>
      <c r="H3788" s="227" t="n"/>
      <c r="I3788" s="227" t="n"/>
      <c r="J3788" s="227" t="n"/>
      <c r="K3788" s="227" t="n"/>
      <c r="L3788" s="227" t="n"/>
      <c r="M3788" s="227" t="n"/>
      <c r="N3788" s="127" t="n"/>
      <c r="O3788" s="227" t="n"/>
      <c r="P3788" s="227" t="n"/>
      <c r="Q3788" s="227" t="n"/>
      <c r="R3788" s="227" t="n"/>
      <c r="S3788" s="227" t="n"/>
      <c r="T3788" s="227" t="n"/>
    </row>
    <row r="3789">
      <c r="A3789" s="145">
        <f>IF($B3789="","",ROW()-5)</f>
        <v/>
      </c>
      <c r="B3789" s="127" t="n"/>
      <c r="C3789" s="223" t="n"/>
      <c r="D3789" s="127" t="n"/>
      <c r="E3789" s="227" t="n"/>
      <c r="F3789" s="227" t="n"/>
      <c r="G3789" s="227" t="n"/>
      <c r="H3789" s="227" t="n"/>
      <c r="I3789" s="227" t="n"/>
      <c r="J3789" s="227" t="n"/>
      <c r="K3789" s="227" t="n"/>
      <c r="L3789" s="227" t="n"/>
      <c r="M3789" s="227" t="n"/>
      <c r="N3789" s="127" t="n"/>
      <c r="O3789" s="227" t="n"/>
      <c r="P3789" s="227" t="n"/>
      <c r="Q3789" s="227" t="n"/>
      <c r="R3789" s="227" t="n"/>
      <c r="S3789" s="227" t="n"/>
      <c r="T3789" s="227" t="n"/>
    </row>
    <row r="3790">
      <c r="A3790" s="145">
        <f>IF($B3790="","",ROW()-5)</f>
        <v/>
      </c>
      <c r="B3790" s="127" t="n"/>
      <c r="C3790" s="223" t="n"/>
      <c r="D3790" s="127" t="n"/>
      <c r="E3790" s="227" t="n"/>
      <c r="F3790" s="227" t="n"/>
      <c r="G3790" s="227" t="n"/>
      <c r="H3790" s="227" t="n"/>
      <c r="I3790" s="227" t="n"/>
      <c r="J3790" s="227" t="n"/>
      <c r="K3790" s="227" t="n"/>
      <c r="L3790" s="227" t="n"/>
      <c r="M3790" s="227" t="n"/>
      <c r="N3790" s="127" t="n"/>
      <c r="O3790" s="227" t="n"/>
      <c r="P3790" s="227" t="n"/>
      <c r="Q3790" s="227" t="n"/>
      <c r="R3790" s="227" t="n"/>
      <c r="S3790" s="227" t="n"/>
      <c r="T3790" s="227" t="n"/>
    </row>
    <row r="3791">
      <c r="A3791" s="145">
        <f>IF($B3791="","",ROW()-5)</f>
        <v/>
      </c>
      <c r="B3791" s="127" t="n"/>
      <c r="C3791" s="223" t="n"/>
      <c r="D3791" s="127" t="n"/>
      <c r="E3791" s="227" t="n"/>
      <c r="F3791" s="227" t="n"/>
      <c r="G3791" s="227" t="n"/>
      <c r="H3791" s="227" t="n"/>
      <c r="I3791" s="227" t="n"/>
      <c r="J3791" s="227" t="n"/>
      <c r="K3791" s="227" t="n"/>
      <c r="L3791" s="227" t="n"/>
      <c r="M3791" s="227" t="n"/>
      <c r="N3791" s="127" t="n"/>
      <c r="O3791" s="227" t="n"/>
      <c r="P3791" s="227" t="n"/>
      <c r="Q3791" s="227" t="n"/>
      <c r="R3791" s="227" t="n"/>
      <c r="S3791" s="227" t="n"/>
      <c r="T3791" s="227" t="n"/>
    </row>
    <row r="3792">
      <c r="A3792" s="145">
        <f>IF($B3792="","",ROW()-5)</f>
        <v/>
      </c>
      <c r="B3792" s="127" t="n"/>
      <c r="C3792" s="223" t="n"/>
      <c r="D3792" s="127" t="n"/>
      <c r="E3792" s="227" t="n"/>
      <c r="F3792" s="227" t="n"/>
      <c r="G3792" s="227" t="n"/>
      <c r="H3792" s="227" t="n"/>
      <c r="I3792" s="227" t="n"/>
      <c r="J3792" s="227" t="n"/>
      <c r="K3792" s="227" t="n"/>
      <c r="L3792" s="227" t="n"/>
      <c r="M3792" s="227" t="n"/>
      <c r="N3792" s="127" t="n"/>
      <c r="O3792" s="227" t="n"/>
      <c r="P3792" s="227" t="n"/>
      <c r="Q3792" s="227" t="n"/>
      <c r="R3792" s="227" t="n"/>
      <c r="S3792" s="227" t="n"/>
      <c r="T3792" s="227" t="n"/>
    </row>
    <row r="3793">
      <c r="A3793" s="145">
        <f>IF($B3793="","",ROW()-5)</f>
        <v/>
      </c>
      <c r="B3793" s="127" t="n"/>
      <c r="C3793" s="223" t="n"/>
      <c r="D3793" s="127" t="n"/>
      <c r="E3793" s="227" t="n"/>
      <c r="F3793" s="227" t="n"/>
      <c r="G3793" s="227" t="n"/>
      <c r="H3793" s="227" t="n"/>
      <c r="I3793" s="227" t="n"/>
      <c r="J3793" s="227" t="n"/>
      <c r="K3793" s="227" t="n"/>
      <c r="L3793" s="227" t="n"/>
      <c r="M3793" s="227" t="n"/>
      <c r="N3793" s="127" t="n"/>
      <c r="O3793" s="227" t="n"/>
      <c r="P3793" s="227" t="n"/>
      <c r="Q3793" s="227" t="n"/>
      <c r="R3793" s="227" t="n"/>
      <c r="S3793" s="227" t="n"/>
      <c r="T3793" s="227" t="n"/>
    </row>
    <row r="3794">
      <c r="A3794" s="145">
        <f>IF($B3794="","",ROW()-5)</f>
        <v/>
      </c>
      <c r="B3794" s="127" t="n"/>
      <c r="C3794" s="223" t="n"/>
      <c r="D3794" s="127" t="n"/>
      <c r="E3794" s="227" t="n"/>
      <c r="F3794" s="227" t="n"/>
      <c r="G3794" s="227" t="n"/>
      <c r="H3794" s="227" t="n"/>
      <c r="I3794" s="227" t="n"/>
      <c r="J3794" s="227" t="n"/>
      <c r="K3794" s="227" t="n"/>
      <c r="L3794" s="227" t="n"/>
      <c r="M3794" s="227" t="n"/>
      <c r="N3794" s="127" t="n"/>
      <c r="O3794" s="227" t="n"/>
      <c r="P3794" s="227" t="n"/>
      <c r="Q3794" s="227" t="n"/>
      <c r="R3794" s="227" t="n"/>
      <c r="S3794" s="227" t="n"/>
      <c r="T3794" s="227" t="n"/>
    </row>
    <row r="3795">
      <c r="A3795" s="145">
        <f>IF($B3795="","",ROW()-5)</f>
        <v/>
      </c>
      <c r="B3795" s="127" t="n"/>
      <c r="C3795" s="223" t="n"/>
      <c r="D3795" s="127" t="n"/>
      <c r="E3795" s="227" t="n"/>
      <c r="F3795" s="227" t="n"/>
      <c r="G3795" s="227" t="n"/>
      <c r="H3795" s="227" t="n"/>
      <c r="I3795" s="227" t="n"/>
      <c r="J3795" s="227" t="n"/>
      <c r="K3795" s="227" t="n"/>
      <c r="L3795" s="227" t="n"/>
      <c r="M3795" s="227" t="n"/>
      <c r="N3795" s="127" t="n"/>
      <c r="O3795" s="227" t="n"/>
      <c r="P3795" s="227" t="n"/>
      <c r="Q3795" s="227" t="n"/>
      <c r="R3795" s="227" t="n"/>
      <c r="S3795" s="227" t="n"/>
      <c r="T3795" s="227" t="n"/>
    </row>
    <row r="3796">
      <c r="A3796" s="145">
        <f>IF($B3796="","",ROW()-5)</f>
        <v/>
      </c>
      <c r="B3796" s="127" t="n"/>
      <c r="C3796" s="223" t="n"/>
      <c r="D3796" s="127" t="n"/>
      <c r="E3796" s="227" t="n"/>
      <c r="F3796" s="227" t="n"/>
      <c r="G3796" s="227" t="n"/>
      <c r="H3796" s="227" t="n"/>
      <c r="I3796" s="227" t="n"/>
      <c r="J3796" s="227" t="n"/>
      <c r="K3796" s="227" t="n"/>
      <c r="L3796" s="227" t="n"/>
      <c r="M3796" s="227" t="n"/>
      <c r="N3796" s="127" t="n"/>
      <c r="O3796" s="227" t="n"/>
      <c r="P3796" s="227" t="n"/>
      <c r="Q3796" s="227" t="n"/>
      <c r="R3796" s="227" t="n"/>
      <c r="S3796" s="227" t="n"/>
      <c r="T3796" s="227" t="n"/>
    </row>
    <row r="3797">
      <c r="A3797" s="145">
        <f>IF($B3797="","",ROW()-5)</f>
        <v/>
      </c>
      <c r="B3797" s="127" t="n"/>
      <c r="C3797" s="223" t="n"/>
      <c r="D3797" s="127" t="n"/>
      <c r="E3797" s="227" t="n"/>
      <c r="F3797" s="227" t="n"/>
      <c r="G3797" s="227" t="n"/>
      <c r="H3797" s="227" t="n"/>
      <c r="I3797" s="227" t="n"/>
      <c r="J3797" s="227" t="n"/>
      <c r="K3797" s="227" t="n"/>
      <c r="L3797" s="227" t="n"/>
      <c r="M3797" s="227" t="n"/>
      <c r="N3797" s="127" t="n"/>
      <c r="O3797" s="227" t="n"/>
      <c r="P3797" s="227" t="n"/>
      <c r="Q3797" s="227" t="n"/>
      <c r="R3797" s="227" t="n"/>
      <c r="S3797" s="227" t="n"/>
      <c r="T3797" s="227" t="n"/>
    </row>
    <row r="3798">
      <c r="A3798" s="145">
        <f>IF($B3798="","",ROW()-5)</f>
        <v/>
      </c>
      <c r="B3798" s="127" t="n"/>
      <c r="C3798" s="223" t="n"/>
      <c r="D3798" s="127" t="n"/>
      <c r="E3798" s="227" t="n"/>
      <c r="F3798" s="227" t="n"/>
      <c r="G3798" s="227" t="n"/>
      <c r="H3798" s="227" t="n"/>
      <c r="I3798" s="227" t="n"/>
      <c r="J3798" s="227" t="n"/>
      <c r="K3798" s="227" t="n"/>
      <c r="L3798" s="227" t="n"/>
      <c r="M3798" s="227" t="n"/>
      <c r="N3798" s="127" t="n"/>
      <c r="O3798" s="227" t="n"/>
      <c r="P3798" s="227" t="n"/>
      <c r="Q3798" s="227" t="n"/>
      <c r="R3798" s="227" t="n"/>
      <c r="S3798" s="227" t="n"/>
      <c r="T3798" s="227" t="n"/>
    </row>
    <row r="3799">
      <c r="A3799" s="145">
        <f>IF($B3799="","",ROW()-5)</f>
        <v/>
      </c>
      <c r="B3799" s="127" t="n"/>
      <c r="C3799" s="223" t="n"/>
      <c r="D3799" s="127" t="n"/>
      <c r="E3799" s="227" t="n"/>
      <c r="F3799" s="227" t="n"/>
      <c r="G3799" s="227" t="n"/>
      <c r="H3799" s="227" t="n"/>
      <c r="I3799" s="227" t="n"/>
      <c r="J3799" s="227" t="n"/>
      <c r="K3799" s="227" t="n"/>
      <c r="L3799" s="227" t="n"/>
      <c r="M3799" s="227" t="n"/>
      <c r="N3799" s="127" t="n"/>
      <c r="O3799" s="227" t="n"/>
      <c r="P3799" s="227" t="n"/>
      <c r="Q3799" s="227" t="n"/>
      <c r="R3799" s="227" t="n"/>
      <c r="S3799" s="227" t="n"/>
      <c r="T3799" s="227" t="n"/>
    </row>
    <row r="3800">
      <c r="A3800" s="145">
        <f>IF($B3800="","",ROW()-5)</f>
        <v/>
      </c>
      <c r="B3800" s="127" t="n"/>
      <c r="C3800" s="223" t="n"/>
      <c r="D3800" s="127" t="n"/>
      <c r="E3800" s="227" t="n"/>
      <c r="F3800" s="227" t="n"/>
      <c r="G3800" s="227" t="n"/>
      <c r="H3800" s="227" t="n"/>
      <c r="I3800" s="227" t="n"/>
      <c r="J3800" s="227" t="n"/>
      <c r="K3800" s="227" t="n"/>
      <c r="L3800" s="227" t="n"/>
      <c r="M3800" s="227" t="n"/>
      <c r="N3800" s="127" t="n"/>
      <c r="O3800" s="227" t="n"/>
      <c r="P3800" s="227" t="n"/>
      <c r="Q3800" s="227" t="n"/>
      <c r="R3800" s="227" t="n"/>
      <c r="S3800" s="227" t="n"/>
      <c r="T3800" s="227" t="n"/>
    </row>
    <row r="3801">
      <c r="A3801" s="145">
        <f>IF($B3801="","",ROW()-5)</f>
        <v/>
      </c>
      <c r="B3801" s="127" t="n"/>
      <c r="C3801" s="223" t="n"/>
      <c r="D3801" s="127" t="n"/>
      <c r="E3801" s="227" t="n"/>
      <c r="F3801" s="227" t="n"/>
      <c r="G3801" s="227" t="n"/>
      <c r="H3801" s="227" t="n"/>
      <c r="I3801" s="227" t="n"/>
      <c r="J3801" s="227" t="n"/>
      <c r="K3801" s="227" t="n"/>
      <c r="L3801" s="227" t="n"/>
      <c r="M3801" s="227" t="n"/>
      <c r="N3801" s="127" t="n"/>
      <c r="O3801" s="227" t="n"/>
      <c r="P3801" s="227" t="n"/>
      <c r="Q3801" s="227" t="n"/>
      <c r="R3801" s="227" t="n"/>
      <c r="S3801" s="227" t="n"/>
      <c r="T3801" s="227" t="n"/>
    </row>
    <row r="3802">
      <c r="A3802" s="145">
        <f>IF($B3802="","",ROW()-5)</f>
        <v/>
      </c>
      <c r="B3802" s="127" t="n"/>
      <c r="C3802" s="223" t="n"/>
      <c r="D3802" s="127" t="n"/>
      <c r="E3802" s="227" t="n"/>
      <c r="F3802" s="227" t="n"/>
      <c r="G3802" s="227" t="n"/>
      <c r="H3802" s="227" t="n"/>
      <c r="I3802" s="227" t="n"/>
      <c r="J3802" s="227" t="n"/>
      <c r="K3802" s="227" t="n"/>
      <c r="L3802" s="227" t="n"/>
      <c r="M3802" s="227" t="n"/>
      <c r="N3802" s="127" t="n"/>
      <c r="O3802" s="227" t="n"/>
      <c r="P3802" s="227" t="n"/>
      <c r="Q3802" s="227" t="n"/>
      <c r="R3802" s="227" t="n"/>
      <c r="S3802" s="227" t="n"/>
      <c r="T3802" s="227" t="n"/>
    </row>
    <row r="3803">
      <c r="A3803" s="145">
        <f>IF($B3803="","",ROW()-5)</f>
        <v/>
      </c>
      <c r="B3803" s="127" t="n"/>
      <c r="C3803" s="223" t="n"/>
      <c r="D3803" s="127" t="n"/>
      <c r="E3803" s="227" t="n"/>
      <c r="F3803" s="227" t="n"/>
      <c r="G3803" s="227" t="n"/>
      <c r="H3803" s="227" t="n"/>
      <c r="I3803" s="227" t="n"/>
      <c r="J3803" s="227" t="n"/>
      <c r="K3803" s="227" t="n"/>
      <c r="L3803" s="227" t="n"/>
      <c r="M3803" s="227" t="n"/>
      <c r="N3803" s="127" t="n"/>
      <c r="O3803" s="227" t="n"/>
      <c r="P3803" s="227" t="n"/>
      <c r="Q3803" s="227" t="n"/>
      <c r="R3803" s="227" t="n"/>
      <c r="S3803" s="227" t="n"/>
      <c r="T3803" s="227" t="n"/>
    </row>
    <row r="3804">
      <c r="A3804" s="145">
        <f>IF($B3804="","",ROW()-5)</f>
        <v/>
      </c>
      <c r="B3804" s="127" t="n"/>
      <c r="C3804" s="223" t="n"/>
      <c r="D3804" s="127" t="n"/>
      <c r="E3804" s="227" t="n"/>
      <c r="F3804" s="227" t="n"/>
      <c r="G3804" s="227" t="n"/>
      <c r="H3804" s="227" t="n"/>
      <c r="I3804" s="227" t="n"/>
      <c r="J3804" s="227" t="n"/>
      <c r="K3804" s="227" t="n"/>
      <c r="L3804" s="227" t="n"/>
      <c r="M3804" s="227" t="n"/>
      <c r="N3804" s="127" t="n"/>
      <c r="O3804" s="227" t="n"/>
      <c r="P3804" s="227" t="n"/>
      <c r="Q3804" s="227" t="n"/>
      <c r="R3804" s="227" t="n"/>
      <c r="S3804" s="227" t="n"/>
      <c r="T3804" s="227" t="n"/>
    </row>
    <row r="3805">
      <c r="A3805" s="145">
        <f>IF($B3805="","",ROW()-5)</f>
        <v/>
      </c>
      <c r="B3805" s="127" t="n"/>
      <c r="C3805" s="223" t="n"/>
      <c r="D3805" s="127" t="n"/>
      <c r="E3805" s="227" t="n"/>
      <c r="F3805" s="227" t="n"/>
      <c r="G3805" s="227" t="n"/>
      <c r="H3805" s="227" t="n"/>
      <c r="I3805" s="227" t="n"/>
      <c r="J3805" s="227" t="n"/>
      <c r="K3805" s="227" t="n"/>
      <c r="L3805" s="227" t="n"/>
      <c r="M3805" s="227" t="n"/>
      <c r="N3805" s="127" t="n"/>
      <c r="O3805" s="227" t="n"/>
      <c r="P3805" s="227" t="n"/>
      <c r="Q3805" s="227" t="n"/>
      <c r="R3805" s="227" t="n"/>
      <c r="S3805" s="227" t="n"/>
      <c r="T3805" s="227" t="n"/>
    </row>
    <row r="3806">
      <c r="A3806" s="145">
        <f>IF($B3806="","",ROW()-5)</f>
        <v/>
      </c>
      <c r="B3806" s="127" t="n"/>
      <c r="C3806" s="223" t="n"/>
      <c r="D3806" s="127" t="n"/>
      <c r="E3806" s="227" t="n"/>
      <c r="F3806" s="227" t="n"/>
      <c r="G3806" s="227" t="n"/>
      <c r="H3806" s="227" t="n"/>
      <c r="I3806" s="227" t="n"/>
      <c r="J3806" s="227" t="n"/>
      <c r="K3806" s="227" t="n"/>
      <c r="L3806" s="227" t="n"/>
      <c r="M3806" s="227" t="n"/>
      <c r="N3806" s="127" t="n"/>
      <c r="O3806" s="227" t="n"/>
      <c r="P3806" s="227" t="n"/>
      <c r="Q3806" s="227" t="n"/>
      <c r="R3806" s="227" t="n"/>
      <c r="S3806" s="227" t="n"/>
      <c r="T3806" s="227" t="n"/>
    </row>
    <row r="3807">
      <c r="A3807" s="145">
        <f>IF($B3807="","",ROW()-5)</f>
        <v/>
      </c>
      <c r="B3807" s="127" t="n"/>
      <c r="C3807" s="223" t="n"/>
      <c r="D3807" s="127" t="n"/>
      <c r="E3807" s="227" t="n"/>
      <c r="F3807" s="227" t="n"/>
      <c r="G3807" s="227" t="n"/>
      <c r="H3807" s="227" t="n"/>
      <c r="I3807" s="227" t="n"/>
      <c r="J3807" s="227" t="n"/>
      <c r="K3807" s="227" t="n"/>
      <c r="L3807" s="227" t="n"/>
      <c r="M3807" s="227" t="n"/>
      <c r="N3807" s="127" t="n"/>
      <c r="O3807" s="227" t="n"/>
      <c r="P3807" s="227" t="n"/>
      <c r="Q3807" s="227" t="n"/>
      <c r="R3807" s="227" t="n"/>
      <c r="S3807" s="227" t="n"/>
      <c r="T3807" s="227" t="n"/>
    </row>
    <row r="3808">
      <c r="A3808" s="145">
        <f>IF($B3808="","",ROW()-5)</f>
        <v/>
      </c>
      <c r="B3808" s="127" t="n"/>
      <c r="C3808" s="223" t="n"/>
      <c r="D3808" s="127" t="n"/>
      <c r="E3808" s="227" t="n"/>
      <c r="F3808" s="227" t="n"/>
      <c r="G3808" s="227" t="n"/>
      <c r="H3808" s="227" t="n"/>
      <c r="I3808" s="227" t="n"/>
      <c r="J3808" s="227" t="n"/>
      <c r="K3808" s="227" t="n"/>
      <c r="L3808" s="227" t="n"/>
      <c r="M3808" s="227" t="n"/>
      <c r="N3808" s="127" t="n"/>
      <c r="O3808" s="227" t="n"/>
      <c r="P3808" s="227" t="n"/>
      <c r="Q3808" s="227" t="n"/>
      <c r="R3808" s="227" t="n"/>
      <c r="S3808" s="227" t="n"/>
      <c r="T3808" s="227" t="n"/>
    </row>
    <row r="3809">
      <c r="A3809" s="145">
        <f>IF($B3809="","",ROW()-5)</f>
        <v/>
      </c>
      <c r="B3809" s="127" t="n"/>
      <c r="C3809" s="223" t="n"/>
      <c r="D3809" s="127" t="n"/>
      <c r="E3809" s="227" t="n"/>
      <c r="F3809" s="227" t="n"/>
      <c r="G3809" s="227" t="n"/>
      <c r="H3809" s="227" t="n"/>
      <c r="I3809" s="227" t="n"/>
      <c r="J3809" s="227" t="n"/>
      <c r="K3809" s="227" t="n"/>
      <c r="L3809" s="227" t="n"/>
      <c r="M3809" s="227" t="n"/>
      <c r="N3809" s="127" t="n"/>
      <c r="O3809" s="227" t="n"/>
      <c r="P3809" s="227" t="n"/>
      <c r="Q3809" s="227" t="n"/>
      <c r="R3809" s="227" t="n"/>
      <c r="S3809" s="227" t="n"/>
      <c r="T3809" s="227" t="n"/>
    </row>
    <row r="3810">
      <c r="A3810" s="145">
        <f>IF($B3810="","",ROW()-5)</f>
        <v/>
      </c>
      <c r="B3810" s="127" t="n"/>
      <c r="C3810" s="223" t="n"/>
      <c r="D3810" s="127" t="n"/>
      <c r="E3810" s="227" t="n"/>
      <c r="F3810" s="227" t="n"/>
      <c r="G3810" s="227" t="n"/>
      <c r="H3810" s="227" t="n"/>
      <c r="I3810" s="227" t="n"/>
      <c r="J3810" s="227" t="n"/>
      <c r="K3810" s="227" t="n"/>
      <c r="L3810" s="227" t="n"/>
      <c r="M3810" s="227" t="n"/>
      <c r="N3810" s="127" t="n"/>
      <c r="O3810" s="227" t="n"/>
      <c r="P3810" s="227" t="n"/>
      <c r="Q3810" s="227" t="n"/>
      <c r="R3810" s="227" t="n"/>
      <c r="S3810" s="227" t="n"/>
      <c r="T3810" s="227" t="n"/>
    </row>
    <row r="3811">
      <c r="A3811" s="145">
        <f>IF($B3811="","",ROW()-5)</f>
        <v/>
      </c>
      <c r="B3811" s="127" t="n"/>
      <c r="C3811" s="223" t="n"/>
      <c r="D3811" s="127" t="n"/>
      <c r="E3811" s="227" t="n"/>
      <c r="F3811" s="227" t="n"/>
      <c r="G3811" s="227" t="n"/>
      <c r="H3811" s="227" t="n"/>
      <c r="I3811" s="227" t="n"/>
      <c r="J3811" s="227" t="n"/>
      <c r="K3811" s="227" t="n"/>
      <c r="L3811" s="227" t="n"/>
      <c r="M3811" s="227" t="n"/>
      <c r="N3811" s="127" t="n"/>
      <c r="O3811" s="227" t="n"/>
      <c r="P3811" s="227" t="n"/>
      <c r="Q3811" s="227" t="n"/>
      <c r="R3811" s="227" t="n"/>
      <c r="S3811" s="227" t="n"/>
      <c r="T3811" s="227" t="n"/>
    </row>
    <row r="3812">
      <c r="A3812" s="145">
        <f>IF($B3812="","",ROW()-5)</f>
        <v/>
      </c>
      <c r="B3812" s="127" t="n"/>
      <c r="C3812" s="223" t="n"/>
      <c r="D3812" s="127" t="n"/>
      <c r="E3812" s="227" t="n"/>
      <c r="F3812" s="227" t="n"/>
      <c r="G3812" s="227" t="n"/>
      <c r="H3812" s="227" t="n"/>
      <c r="I3812" s="227" t="n"/>
      <c r="J3812" s="227" t="n"/>
      <c r="K3812" s="227" t="n"/>
      <c r="L3812" s="227" t="n"/>
      <c r="M3812" s="227" t="n"/>
      <c r="N3812" s="127" t="n"/>
      <c r="O3812" s="227" t="n"/>
      <c r="P3812" s="227" t="n"/>
      <c r="Q3812" s="227" t="n"/>
      <c r="R3812" s="227" t="n"/>
      <c r="S3812" s="227" t="n"/>
      <c r="T3812" s="227" t="n"/>
    </row>
    <row r="3813">
      <c r="A3813" s="145">
        <f>IF($B3813="","",ROW()-5)</f>
        <v/>
      </c>
      <c r="B3813" s="127" t="n"/>
      <c r="C3813" s="223" t="n"/>
      <c r="D3813" s="127" t="n"/>
      <c r="E3813" s="227" t="n"/>
      <c r="F3813" s="227" t="n"/>
      <c r="G3813" s="227" t="n"/>
      <c r="H3813" s="227" t="n"/>
      <c r="I3813" s="227" t="n"/>
      <c r="J3813" s="227" t="n"/>
      <c r="K3813" s="227" t="n"/>
      <c r="L3813" s="227" t="n"/>
      <c r="M3813" s="227" t="n"/>
      <c r="N3813" s="127" t="n"/>
      <c r="O3813" s="227" t="n"/>
      <c r="P3813" s="227" t="n"/>
      <c r="Q3813" s="227" t="n"/>
      <c r="R3813" s="227" t="n"/>
      <c r="S3813" s="227" t="n"/>
      <c r="T3813" s="227" t="n"/>
    </row>
    <row r="3814">
      <c r="A3814" s="145">
        <f>IF($B3814="","",ROW()-5)</f>
        <v/>
      </c>
      <c r="B3814" s="127" t="n"/>
      <c r="C3814" s="223" t="n"/>
      <c r="D3814" s="127" t="n"/>
      <c r="E3814" s="227" t="n"/>
      <c r="F3814" s="227" t="n"/>
      <c r="G3814" s="227" t="n"/>
      <c r="H3814" s="227" t="n"/>
      <c r="I3814" s="227" t="n"/>
      <c r="J3814" s="227" t="n"/>
      <c r="K3814" s="227" t="n"/>
      <c r="L3814" s="227" t="n"/>
      <c r="M3814" s="227" t="n"/>
      <c r="N3814" s="127" t="n"/>
      <c r="O3814" s="227" t="n"/>
      <c r="P3814" s="227" t="n"/>
      <c r="Q3814" s="227" t="n"/>
      <c r="R3814" s="227" t="n"/>
      <c r="S3814" s="227" t="n"/>
      <c r="T3814" s="227" t="n"/>
    </row>
    <row r="3815">
      <c r="A3815" s="145">
        <f>IF($B3815="","",ROW()-5)</f>
        <v/>
      </c>
      <c r="B3815" s="127" t="n"/>
      <c r="C3815" s="223" t="n"/>
      <c r="D3815" s="127" t="n"/>
      <c r="E3815" s="227" t="n"/>
      <c r="F3815" s="227" t="n"/>
      <c r="G3815" s="227" t="n"/>
      <c r="H3815" s="227" t="n"/>
      <c r="I3815" s="227" t="n"/>
      <c r="J3815" s="227" t="n"/>
      <c r="K3815" s="227" t="n"/>
      <c r="L3815" s="227" t="n"/>
      <c r="M3815" s="227" t="n"/>
      <c r="N3815" s="127" t="n"/>
      <c r="O3815" s="227" t="n"/>
      <c r="P3815" s="227" t="n"/>
      <c r="Q3815" s="227" t="n"/>
      <c r="R3815" s="227" t="n"/>
      <c r="S3815" s="227" t="n"/>
      <c r="T3815" s="227" t="n"/>
    </row>
    <row r="3816">
      <c r="A3816" s="145">
        <f>IF($B3816="","",ROW()-5)</f>
        <v/>
      </c>
      <c r="B3816" s="127" t="n"/>
      <c r="C3816" s="223" t="n"/>
      <c r="D3816" s="127" t="n"/>
      <c r="E3816" s="227" t="n"/>
      <c r="F3816" s="227" t="n"/>
      <c r="G3816" s="227" t="n"/>
      <c r="H3816" s="227" t="n"/>
      <c r="I3816" s="227" t="n"/>
      <c r="J3816" s="227" t="n"/>
      <c r="K3816" s="227" t="n"/>
      <c r="L3816" s="227" t="n"/>
      <c r="M3816" s="227" t="n"/>
      <c r="N3816" s="127" t="n"/>
      <c r="O3816" s="227" t="n"/>
      <c r="P3816" s="227" t="n"/>
      <c r="Q3816" s="227" t="n"/>
      <c r="R3816" s="227" t="n"/>
      <c r="S3816" s="227" t="n"/>
      <c r="T3816" s="227" t="n"/>
    </row>
    <row r="3817">
      <c r="A3817" s="145">
        <f>IF($B3817="","",ROW()-5)</f>
        <v/>
      </c>
      <c r="B3817" s="127" t="n"/>
      <c r="C3817" s="223" t="n"/>
      <c r="D3817" s="127" t="n"/>
      <c r="E3817" s="227" t="n"/>
      <c r="F3817" s="227" t="n"/>
      <c r="G3817" s="227" t="n"/>
      <c r="H3817" s="227" t="n"/>
      <c r="I3817" s="227" t="n"/>
      <c r="J3817" s="227" t="n"/>
      <c r="K3817" s="227" t="n"/>
      <c r="L3817" s="227" t="n"/>
      <c r="M3817" s="227" t="n"/>
      <c r="N3817" s="127" t="n"/>
      <c r="O3817" s="227" t="n"/>
      <c r="P3817" s="227" t="n"/>
      <c r="Q3817" s="227" t="n"/>
      <c r="R3817" s="227" t="n"/>
      <c r="S3817" s="227" t="n"/>
      <c r="T3817" s="227" t="n"/>
    </row>
    <row r="3818">
      <c r="A3818" s="145">
        <f>IF($B3818="","",ROW()-5)</f>
        <v/>
      </c>
      <c r="B3818" s="127" t="n"/>
      <c r="C3818" s="223" t="n"/>
      <c r="D3818" s="127" t="n"/>
      <c r="E3818" s="227" t="n"/>
      <c r="F3818" s="227" t="n"/>
      <c r="G3818" s="227" t="n"/>
      <c r="H3818" s="227" t="n"/>
      <c r="I3818" s="227" t="n"/>
      <c r="J3818" s="227" t="n"/>
      <c r="K3818" s="227" t="n"/>
      <c r="L3818" s="227" t="n"/>
      <c r="M3818" s="227" t="n"/>
      <c r="N3818" s="127" t="n"/>
      <c r="O3818" s="227" t="n"/>
      <c r="P3818" s="227" t="n"/>
      <c r="Q3818" s="227" t="n"/>
      <c r="R3818" s="227" t="n"/>
      <c r="S3818" s="227" t="n"/>
      <c r="T3818" s="227" t="n"/>
    </row>
    <row r="3819">
      <c r="A3819" s="145">
        <f>IF($B3819="","",ROW()-5)</f>
        <v/>
      </c>
      <c r="B3819" s="127" t="n"/>
      <c r="C3819" s="223" t="n"/>
      <c r="D3819" s="127" t="n"/>
      <c r="E3819" s="227" t="n"/>
      <c r="F3819" s="227" t="n"/>
      <c r="G3819" s="227" t="n"/>
      <c r="H3819" s="227" t="n"/>
      <c r="I3819" s="227" t="n"/>
      <c r="J3819" s="227" t="n"/>
      <c r="K3819" s="227" t="n"/>
      <c r="L3819" s="227" t="n"/>
      <c r="M3819" s="227" t="n"/>
      <c r="N3819" s="127" t="n"/>
      <c r="O3819" s="227" t="n"/>
      <c r="P3819" s="227" t="n"/>
      <c r="Q3819" s="227" t="n"/>
      <c r="R3819" s="227" t="n"/>
      <c r="S3819" s="227" t="n"/>
      <c r="T3819" s="227" t="n"/>
    </row>
    <row r="3820">
      <c r="A3820" s="145">
        <f>IF($B3820="","",ROW()-5)</f>
        <v/>
      </c>
      <c r="B3820" s="127" t="n"/>
      <c r="C3820" s="223" t="n"/>
      <c r="D3820" s="127" t="n"/>
      <c r="E3820" s="227" t="n"/>
      <c r="F3820" s="227" t="n"/>
      <c r="G3820" s="227" t="n"/>
      <c r="H3820" s="227" t="n"/>
      <c r="I3820" s="227" t="n"/>
      <c r="J3820" s="227" t="n"/>
      <c r="K3820" s="227" t="n"/>
      <c r="L3820" s="227" t="n"/>
      <c r="M3820" s="227" t="n"/>
      <c r="N3820" s="127" t="n"/>
      <c r="O3820" s="227" t="n"/>
      <c r="P3820" s="227" t="n"/>
      <c r="Q3820" s="227" t="n"/>
      <c r="R3820" s="227" t="n"/>
      <c r="S3820" s="227" t="n"/>
      <c r="T3820" s="227" t="n"/>
    </row>
    <row r="3821">
      <c r="A3821" s="145">
        <f>IF($B3821="","",ROW()-5)</f>
        <v/>
      </c>
      <c r="B3821" s="127" t="n"/>
      <c r="C3821" s="223" t="n"/>
      <c r="D3821" s="127" t="n"/>
      <c r="E3821" s="227" t="n"/>
      <c r="F3821" s="227" t="n"/>
      <c r="G3821" s="227" t="n"/>
      <c r="H3821" s="227" t="n"/>
      <c r="I3821" s="227" t="n"/>
      <c r="J3821" s="227" t="n"/>
      <c r="K3821" s="227" t="n"/>
      <c r="L3821" s="227" t="n"/>
      <c r="M3821" s="227" t="n"/>
      <c r="N3821" s="127" t="n"/>
      <c r="O3821" s="227" t="n"/>
      <c r="P3821" s="227" t="n"/>
      <c r="Q3821" s="227" t="n"/>
      <c r="R3821" s="227" t="n"/>
      <c r="S3821" s="227" t="n"/>
      <c r="T3821" s="227" t="n"/>
    </row>
    <row r="3822">
      <c r="A3822" s="145">
        <f>IF($B3822="","",ROW()-5)</f>
        <v/>
      </c>
      <c r="B3822" s="127" t="n"/>
      <c r="C3822" s="223" t="n"/>
      <c r="D3822" s="127" t="n"/>
      <c r="E3822" s="227" t="n"/>
      <c r="F3822" s="227" t="n"/>
      <c r="G3822" s="227" t="n"/>
      <c r="H3822" s="227" t="n"/>
      <c r="I3822" s="227" t="n"/>
      <c r="J3822" s="227" t="n"/>
      <c r="K3822" s="227" t="n"/>
      <c r="L3822" s="227" t="n"/>
      <c r="M3822" s="227" t="n"/>
      <c r="N3822" s="127" t="n"/>
      <c r="O3822" s="227" t="n"/>
      <c r="P3822" s="227" t="n"/>
      <c r="Q3822" s="227" t="n"/>
      <c r="R3822" s="227" t="n"/>
      <c r="S3822" s="227" t="n"/>
      <c r="T3822" s="227" t="n"/>
    </row>
    <row r="3823">
      <c r="A3823" s="145">
        <f>IF($B3823="","",ROW()-5)</f>
        <v/>
      </c>
      <c r="B3823" s="127" t="n"/>
      <c r="C3823" s="223" t="n"/>
      <c r="D3823" s="127" t="n"/>
      <c r="E3823" s="227" t="n"/>
      <c r="F3823" s="227" t="n"/>
      <c r="G3823" s="227" t="n"/>
      <c r="H3823" s="227" t="n"/>
      <c r="I3823" s="227" t="n"/>
      <c r="J3823" s="227" t="n"/>
      <c r="K3823" s="227" t="n"/>
      <c r="L3823" s="227" t="n"/>
      <c r="M3823" s="227" t="n"/>
      <c r="N3823" s="127" t="n"/>
      <c r="O3823" s="227" t="n"/>
      <c r="P3823" s="227" t="n"/>
      <c r="Q3823" s="227" t="n"/>
      <c r="R3823" s="227" t="n"/>
      <c r="S3823" s="227" t="n"/>
      <c r="T3823" s="227" t="n"/>
    </row>
    <row r="3824">
      <c r="A3824" s="145">
        <f>IF($B3824="","",ROW()-5)</f>
        <v/>
      </c>
      <c r="B3824" s="127" t="n"/>
      <c r="C3824" s="223" t="n"/>
      <c r="D3824" s="127" t="n"/>
      <c r="E3824" s="227" t="n"/>
      <c r="F3824" s="227" t="n"/>
      <c r="G3824" s="227" t="n"/>
      <c r="H3824" s="227" t="n"/>
      <c r="I3824" s="227" t="n"/>
      <c r="J3824" s="227" t="n"/>
      <c r="K3824" s="227" t="n"/>
      <c r="L3824" s="227" t="n"/>
      <c r="M3824" s="227" t="n"/>
      <c r="N3824" s="127" t="n"/>
      <c r="O3824" s="227" t="n"/>
      <c r="P3824" s="227" t="n"/>
      <c r="Q3824" s="227" t="n"/>
      <c r="R3824" s="227" t="n"/>
      <c r="S3824" s="227" t="n"/>
      <c r="T3824" s="227" t="n"/>
    </row>
    <row r="3825">
      <c r="A3825" s="145">
        <f>IF($B3825="","",ROW()-5)</f>
        <v/>
      </c>
      <c r="B3825" s="127" t="n"/>
      <c r="C3825" s="223" t="n"/>
      <c r="D3825" s="127" t="n"/>
      <c r="E3825" s="227" t="n"/>
      <c r="F3825" s="227" t="n"/>
      <c r="G3825" s="227" t="n"/>
      <c r="H3825" s="227" t="n"/>
      <c r="I3825" s="227" t="n"/>
      <c r="J3825" s="227" t="n"/>
      <c r="K3825" s="227" t="n"/>
      <c r="L3825" s="227" t="n"/>
      <c r="M3825" s="227" t="n"/>
      <c r="N3825" s="127" t="n"/>
      <c r="O3825" s="227" t="n"/>
      <c r="P3825" s="227" t="n"/>
      <c r="Q3825" s="227" t="n"/>
      <c r="R3825" s="227" t="n"/>
      <c r="S3825" s="227" t="n"/>
      <c r="T3825" s="227" t="n"/>
    </row>
    <row r="3826">
      <c r="A3826" s="145">
        <f>IF($B3826="","",ROW()-5)</f>
        <v/>
      </c>
      <c r="B3826" s="127" t="n"/>
      <c r="C3826" s="223" t="n"/>
      <c r="D3826" s="127" t="n"/>
      <c r="E3826" s="227" t="n"/>
      <c r="F3826" s="227" t="n"/>
      <c r="G3826" s="227" t="n"/>
      <c r="H3826" s="227" t="n"/>
      <c r="I3826" s="227" t="n"/>
      <c r="J3826" s="227" t="n"/>
      <c r="K3826" s="227" t="n"/>
      <c r="L3826" s="227" t="n"/>
      <c r="M3826" s="227" t="n"/>
      <c r="N3826" s="127" t="n"/>
      <c r="O3826" s="227" t="n"/>
      <c r="P3826" s="227" t="n"/>
      <c r="Q3826" s="227" t="n"/>
      <c r="R3826" s="227" t="n"/>
      <c r="S3826" s="227" t="n"/>
      <c r="T3826" s="227" t="n"/>
    </row>
    <row r="3827">
      <c r="A3827" s="145">
        <f>IF($B3827="","",ROW()-5)</f>
        <v/>
      </c>
      <c r="B3827" s="127" t="n"/>
      <c r="C3827" s="223" t="n"/>
      <c r="D3827" s="127" t="n"/>
      <c r="E3827" s="227" t="n"/>
      <c r="F3827" s="227" t="n"/>
      <c r="G3827" s="227" t="n"/>
      <c r="H3827" s="227" t="n"/>
      <c r="I3827" s="227" t="n"/>
      <c r="J3827" s="227" t="n"/>
      <c r="K3827" s="227" t="n"/>
      <c r="L3827" s="227" t="n"/>
      <c r="M3827" s="227" t="n"/>
      <c r="N3827" s="127" t="n"/>
      <c r="O3827" s="227" t="n"/>
      <c r="P3827" s="227" t="n"/>
      <c r="Q3827" s="227" t="n"/>
      <c r="R3827" s="227" t="n"/>
      <c r="S3827" s="227" t="n"/>
      <c r="T3827" s="227" t="n"/>
    </row>
    <row r="3828">
      <c r="A3828" s="145">
        <f>IF($B3828="","",ROW()-5)</f>
        <v/>
      </c>
      <c r="B3828" s="127" t="n"/>
      <c r="C3828" s="223" t="n"/>
      <c r="D3828" s="127" t="n"/>
      <c r="E3828" s="227" t="n"/>
      <c r="F3828" s="227" t="n"/>
      <c r="G3828" s="227" t="n"/>
      <c r="H3828" s="227" t="n"/>
      <c r="I3828" s="227" t="n"/>
      <c r="J3828" s="227" t="n"/>
      <c r="K3828" s="227" t="n"/>
      <c r="L3828" s="227" t="n"/>
      <c r="M3828" s="227" t="n"/>
      <c r="N3828" s="127" t="n"/>
      <c r="O3828" s="227" t="n"/>
      <c r="P3828" s="227" t="n"/>
      <c r="Q3828" s="227" t="n"/>
      <c r="R3828" s="227" t="n"/>
      <c r="S3828" s="227" t="n"/>
      <c r="T3828" s="227" t="n"/>
    </row>
    <row r="3829">
      <c r="A3829" s="145">
        <f>IF($B3829="","",ROW()-5)</f>
        <v/>
      </c>
      <c r="B3829" s="127" t="n"/>
      <c r="C3829" s="223" t="n"/>
      <c r="D3829" s="127" t="n"/>
      <c r="E3829" s="227" t="n"/>
      <c r="F3829" s="227" t="n"/>
      <c r="G3829" s="227" t="n"/>
      <c r="H3829" s="227" t="n"/>
      <c r="I3829" s="227" t="n"/>
      <c r="J3829" s="227" t="n"/>
      <c r="K3829" s="227" t="n"/>
      <c r="L3829" s="227" t="n"/>
      <c r="M3829" s="227" t="n"/>
      <c r="N3829" s="127" t="n"/>
      <c r="O3829" s="227" t="n"/>
      <c r="P3829" s="227" t="n"/>
      <c r="Q3829" s="227" t="n"/>
      <c r="R3829" s="227" t="n"/>
      <c r="S3829" s="227" t="n"/>
      <c r="T3829" s="227" t="n"/>
    </row>
    <row r="3830">
      <c r="A3830" s="145">
        <f>IF($B3830="","",ROW()-5)</f>
        <v/>
      </c>
      <c r="B3830" s="127" t="n"/>
      <c r="C3830" s="223" t="n"/>
      <c r="D3830" s="127" t="n"/>
      <c r="E3830" s="227" t="n"/>
      <c r="F3830" s="227" t="n"/>
      <c r="G3830" s="227" t="n"/>
      <c r="H3830" s="227" t="n"/>
      <c r="I3830" s="227" t="n"/>
      <c r="J3830" s="227" t="n"/>
      <c r="K3830" s="227" t="n"/>
      <c r="L3830" s="227" t="n"/>
      <c r="M3830" s="227" t="n"/>
      <c r="N3830" s="127" t="n"/>
      <c r="O3830" s="227" t="n"/>
      <c r="P3830" s="227" t="n"/>
      <c r="Q3830" s="227" t="n"/>
      <c r="R3830" s="227" t="n"/>
      <c r="S3830" s="227" t="n"/>
      <c r="T3830" s="227" t="n"/>
    </row>
    <row r="3831">
      <c r="A3831" s="145">
        <f>IF($B3831="","",ROW()-5)</f>
        <v/>
      </c>
      <c r="B3831" s="127" t="n"/>
      <c r="C3831" s="223" t="n"/>
      <c r="D3831" s="127" t="n"/>
      <c r="E3831" s="227" t="n"/>
      <c r="F3831" s="227" t="n"/>
      <c r="G3831" s="227" t="n"/>
      <c r="H3831" s="227" t="n"/>
      <c r="I3831" s="227" t="n"/>
      <c r="J3831" s="227" t="n"/>
      <c r="K3831" s="227" t="n"/>
      <c r="L3831" s="227" t="n"/>
      <c r="M3831" s="227" t="n"/>
      <c r="N3831" s="127" t="n"/>
      <c r="O3831" s="227" t="n"/>
      <c r="P3831" s="227" t="n"/>
      <c r="Q3831" s="227" t="n"/>
      <c r="R3831" s="227" t="n"/>
      <c r="S3831" s="227" t="n"/>
      <c r="T3831" s="227" t="n"/>
    </row>
    <row r="3832">
      <c r="A3832" s="145">
        <f>IF($B3832="","",ROW()-5)</f>
        <v/>
      </c>
      <c r="B3832" s="127" t="n"/>
      <c r="C3832" s="223" t="n"/>
      <c r="D3832" s="127" t="n"/>
      <c r="E3832" s="227" t="n"/>
      <c r="F3832" s="227" t="n"/>
      <c r="G3832" s="227" t="n"/>
      <c r="H3832" s="227" t="n"/>
      <c r="I3832" s="227" t="n"/>
      <c r="J3832" s="227" t="n"/>
      <c r="K3832" s="227" t="n"/>
      <c r="L3832" s="227" t="n"/>
      <c r="M3832" s="227" t="n"/>
      <c r="N3832" s="127" t="n"/>
      <c r="O3832" s="227" t="n"/>
      <c r="P3832" s="227" t="n"/>
      <c r="Q3832" s="227" t="n"/>
      <c r="R3832" s="227" t="n"/>
      <c r="S3832" s="227" t="n"/>
      <c r="T3832" s="227" t="n"/>
    </row>
    <row r="3833">
      <c r="A3833" s="145">
        <f>IF($B3833="","",ROW()-5)</f>
        <v/>
      </c>
      <c r="B3833" s="127" t="n"/>
      <c r="C3833" s="223" t="n"/>
      <c r="D3833" s="127" t="n"/>
      <c r="E3833" s="227" t="n"/>
      <c r="F3833" s="227" t="n"/>
      <c r="G3833" s="227" t="n"/>
      <c r="H3833" s="227" t="n"/>
      <c r="I3833" s="227" t="n"/>
      <c r="J3833" s="227" t="n"/>
      <c r="K3833" s="227" t="n"/>
      <c r="L3833" s="227" t="n"/>
      <c r="M3833" s="227" t="n"/>
      <c r="N3833" s="127" t="n"/>
      <c r="O3833" s="227" t="n"/>
      <c r="P3833" s="227" t="n"/>
      <c r="Q3833" s="227" t="n"/>
      <c r="R3833" s="227" t="n"/>
      <c r="S3833" s="227" t="n"/>
      <c r="T3833" s="227" t="n"/>
    </row>
    <row r="3834">
      <c r="A3834" s="145">
        <f>IF($B3834="","",ROW()-5)</f>
        <v/>
      </c>
      <c r="B3834" s="127" t="n"/>
      <c r="C3834" s="223" t="n"/>
      <c r="D3834" s="127" t="n"/>
      <c r="E3834" s="227" t="n"/>
      <c r="F3834" s="227" t="n"/>
      <c r="G3834" s="227" t="n"/>
      <c r="H3834" s="227" t="n"/>
      <c r="I3834" s="227" t="n"/>
      <c r="J3834" s="227" t="n"/>
      <c r="K3834" s="227" t="n"/>
      <c r="L3834" s="227" t="n"/>
      <c r="M3834" s="227" t="n"/>
      <c r="N3834" s="127" t="n"/>
      <c r="O3834" s="227" t="n"/>
      <c r="P3834" s="227" t="n"/>
      <c r="Q3834" s="227" t="n"/>
      <c r="R3834" s="227" t="n"/>
      <c r="S3834" s="227" t="n"/>
      <c r="T3834" s="227" t="n"/>
    </row>
    <row r="3835">
      <c r="A3835" s="145">
        <f>IF($B3835="","",ROW()-5)</f>
        <v/>
      </c>
      <c r="B3835" s="127" t="n"/>
      <c r="C3835" s="223" t="n"/>
      <c r="D3835" s="127" t="n"/>
      <c r="E3835" s="227" t="n"/>
      <c r="F3835" s="227" t="n"/>
      <c r="G3835" s="227" t="n"/>
      <c r="H3835" s="227" t="n"/>
      <c r="I3835" s="227" t="n"/>
      <c r="J3835" s="227" t="n"/>
      <c r="K3835" s="227" t="n"/>
      <c r="L3835" s="227" t="n"/>
      <c r="M3835" s="227" t="n"/>
      <c r="N3835" s="127" t="n"/>
      <c r="O3835" s="227" t="n"/>
      <c r="P3835" s="227" t="n"/>
      <c r="Q3835" s="227" t="n"/>
      <c r="R3835" s="227" t="n"/>
      <c r="S3835" s="227" t="n"/>
      <c r="T3835" s="227" t="n"/>
    </row>
    <row r="3836">
      <c r="A3836" s="145">
        <f>IF($B3836="","",ROW()-5)</f>
        <v/>
      </c>
      <c r="B3836" s="127" t="n"/>
      <c r="C3836" s="223" t="n"/>
      <c r="D3836" s="127" t="n"/>
      <c r="E3836" s="227" t="n"/>
      <c r="F3836" s="227" t="n"/>
      <c r="G3836" s="227" t="n"/>
      <c r="H3836" s="227" t="n"/>
      <c r="I3836" s="227" t="n"/>
      <c r="J3836" s="227" t="n"/>
      <c r="K3836" s="227" t="n"/>
      <c r="L3836" s="227" t="n"/>
      <c r="M3836" s="227" t="n"/>
      <c r="N3836" s="127" t="n"/>
      <c r="O3836" s="227" t="n"/>
      <c r="P3836" s="227" t="n"/>
      <c r="Q3836" s="227" t="n"/>
      <c r="R3836" s="227" t="n"/>
      <c r="S3836" s="227" t="n"/>
      <c r="T3836" s="227" t="n"/>
    </row>
    <row r="3837">
      <c r="A3837" s="145">
        <f>IF($B3837="","",ROW()-5)</f>
        <v/>
      </c>
      <c r="B3837" s="127" t="n"/>
      <c r="C3837" s="223" t="n"/>
      <c r="D3837" s="127" t="n"/>
      <c r="E3837" s="227" t="n"/>
      <c r="F3837" s="227" t="n"/>
      <c r="G3837" s="227" t="n"/>
      <c r="H3837" s="227" t="n"/>
      <c r="I3837" s="227" t="n"/>
      <c r="J3837" s="227" t="n"/>
      <c r="K3837" s="227" t="n"/>
      <c r="L3837" s="227" t="n"/>
      <c r="M3837" s="227" t="n"/>
      <c r="N3837" s="127" t="n"/>
      <c r="O3837" s="227" t="n"/>
      <c r="P3837" s="227" t="n"/>
      <c r="Q3837" s="227" t="n"/>
      <c r="R3837" s="227" t="n"/>
      <c r="S3837" s="227" t="n"/>
      <c r="T3837" s="227" t="n"/>
    </row>
    <row r="3838">
      <c r="A3838" s="145">
        <f>IF($B3838="","",ROW()-5)</f>
        <v/>
      </c>
      <c r="B3838" s="127" t="n"/>
      <c r="C3838" s="223" t="n"/>
      <c r="D3838" s="127" t="n"/>
      <c r="E3838" s="227" t="n"/>
      <c r="F3838" s="227" t="n"/>
      <c r="G3838" s="227" t="n"/>
      <c r="H3838" s="227" t="n"/>
      <c r="I3838" s="227" t="n"/>
      <c r="J3838" s="227" t="n"/>
      <c r="K3838" s="227" t="n"/>
      <c r="L3838" s="227" t="n"/>
      <c r="M3838" s="227" t="n"/>
      <c r="N3838" s="127" t="n"/>
      <c r="O3838" s="227" t="n"/>
      <c r="P3838" s="227" t="n"/>
      <c r="Q3838" s="227" t="n"/>
      <c r="R3838" s="227" t="n"/>
      <c r="S3838" s="227" t="n"/>
      <c r="T3838" s="227" t="n"/>
    </row>
    <row r="3839">
      <c r="A3839" s="145">
        <f>IF($B3839="","",ROW()-5)</f>
        <v/>
      </c>
      <c r="B3839" s="127" t="n"/>
      <c r="C3839" s="223" t="n"/>
      <c r="D3839" s="127" t="n"/>
      <c r="E3839" s="227" t="n"/>
      <c r="F3839" s="227" t="n"/>
      <c r="G3839" s="227" t="n"/>
      <c r="H3839" s="227" t="n"/>
      <c r="I3839" s="227" t="n"/>
      <c r="J3839" s="227" t="n"/>
      <c r="K3839" s="227" t="n"/>
      <c r="L3839" s="227" t="n"/>
      <c r="M3839" s="227" t="n"/>
      <c r="N3839" s="127" t="n"/>
      <c r="O3839" s="227" t="n"/>
      <c r="P3839" s="227" t="n"/>
      <c r="Q3839" s="227" t="n"/>
      <c r="R3839" s="227" t="n"/>
      <c r="S3839" s="227" t="n"/>
      <c r="T3839" s="227" t="n"/>
    </row>
    <row r="3840">
      <c r="A3840" s="145">
        <f>IF($B3840="","",ROW()-5)</f>
        <v/>
      </c>
      <c r="B3840" s="127" t="n"/>
      <c r="C3840" s="223" t="n"/>
      <c r="D3840" s="127" t="n"/>
      <c r="E3840" s="227" t="n"/>
      <c r="F3840" s="227" t="n"/>
      <c r="G3840" s="227" t="n"/>
      <c r="H3840" s="227" t="n"/>
      <c r="I3840" s="227" t="n"/>
      <c r="J3840" s="227" t="n"/>
      <c r="K3840" s="227" t="n"/>
      <c r="L3840" s="227" t="n"/>
      <c r="M3840" s="227" t="n"/>
      <c r="N3840" s="127" t="n"/>
      <c r="O3840" s="227" t="n"/>
      <c r="P3840" s="227" t="n"/>
      <c r="Q3840" s="227" t="n"/>
      <c r="R3840" s="227" t="n"/>
      <c r="S3840" s="227" t="n"/>
      <c r="T3840" s="227" t="n"/>
    </row>
    <row r="3841">
      <c r="A3841" s="145">
        <f>IF($B3841="","",ROW()-5)</f>
        <v/>
      </c>
      <c r="B3841" s="127" t="n"/>
      <c r="C3841" s="223" t="n"/>
      <c r="D3841" s="127" t="n"/>
      <c r="E3841" s="227" t="n"/>
      <c r="F3841" s="227" t="n"/>
      <c r="G3841" s="227" t="n"/>
      <c r="H3841" s="227" t="n"/>
      <c r="I3841" s="227" t="n"/>
      <c r="J3841" s="227" t="n"/>
      <c r="K3841" s="227" t="n"/>
      <c r="L3841" s="227" t="n"/>
      <c r="M3841" s="227" t="n"/>
      <c r="N3841" s="127" t="n"/>
      <c r="O3841" s="227" t="n"/>
      <c r="P3841" s="227" t="n"/>
      <c r="Q3841" s="227" t="n"/>
      <c r="R3841" s="227" t="n"/>
      <c r="S3841" s="227" t="n"/>
      <c r="T3841" s="227" t="n"/>
    </row>
    <row r="3842">
      <c r="A3842" s="145">
        <f>IF($B3842="","",ROW()-5)</f>
        <v/>
      </c>
      <c r="B3842" s="127" t="n"/>
      <c r="C3842" s="223" t="n"/>
      <c r="D3842" s="127" t="n"/>
      <c r="E3842" s="227" t="n"/>
      <c r="F3842" s="227" t="n"/>
      <c r="G3842" s="227" t="n"/>
      <c r="H3842" s="227" t="n"/>
      <c r="I3842" s="227" t="n"/>
      <c r="J3842" s="227" t="n"/>
      <c r="K3842" s="227" t="n"/>
      <c r="L3842" s="227" t="n"/>
      <c r="M3842" s="227" t="n"/>
      <c r="N3842" s="127" t="n"/>
      <c r="O3842" s="227" t="n"/>
      <c r="P3842" s="227" t="n"/>
      <c r="Q3842" s="227" t="n"/>
      <c r="R3842" s="227" t="n"/>
      <c r="S3842" s="227" t="n"/>
      <c r="T3842" s="227" t="n"/>
    </row>
    <row r="3843">
      <c r="A3843" s="145">
        <f>IF($B3843="","",ROW()-5)</f>
        <v/>
      </c>
      <c r="B3843" s="127" t="n"/>
      <c r="C3843" s="223" t="n"/>
      <c r="D3843" s="127" t="n"/>
      <c r="E3843" s="227" t="n"/>
      <c r="F3843" s="227" t="n"/>
      <c r="G3843" s="227" t="n"/>
      <c r="H3843" s="227" t="n"/>
      <c r="I3843" s="227" t="n"/>
      <c r="J3843" s="227" t="n"/>
      <c r="K3843" s="227" t="n"/>
      <c r="L3843" s="227" t="n"/>
      <c r="M3843" s="227" t="n"/>
      <c r="N3843" s="127" t="n"/>
      <c r="O3843" s="227" t="n"/>
      <c r="P3843" s="227" t="n"/>
      <c r="Q3843" s="227" t="n"/>
      <c r="R3843" s="227" t="n"/>
      <c r="S3843" s="227" t="n"/>
      <c r="T3843" s="227" t="n"/>
    </row>
    <row r="3844">
      <c r="A3844" s="145">
        <f>IF($B3844="","",ROW()-5)</f>
        <v/>
      </c>
      <c r="B3844" s="127" t="n"/>
      <c r="C3844" s="223" t="n"/>
      <c r="D3844" s="127" t="n"/>
      <c r="E3844" s="227" t="n"/>
      <c r="F3844" s="227" t="n"/>
      <c r="G3844" s="227" t="n"/>
      <c r="H3844" s="227" t="n"/>
      <c r="I3844" s="227" t="n"/>
      <c r="J3844" s="227" t="n"/>
      <c r="K3844" s="227" t="n"/>
      <c r="L3844" s="227" t="n"/>
      <c r="M3844" s="227" t="n"/>
      <c r="N3844" s="127" t="n"/>
      <c r="O3844" s="227" t="n"/>
      <c r="P3844" s="227" t="n"/>
      <c r="Q3844" s="227" t="n"/>
      <c r="R3844" s="227" t="n"/>
      <c r="S3844" s="227" t="n"/>
      <c r="T3844" s="227" t="n"/>
    </row>
    <row r="3845">
      <c r="A3845" s="145">
        <f>IF($B3845="","",ROW()-5)</f>
        <v/>
      </c>
      <c r="B3845" s="127" t="n"/>
      <c r="C3845" s="223" t="n"/>
      <c r="D3845" s="127" t="n"/>
      <c r="E3845" s="227" t="n"/>
      <c r="F3845" s="227" t="n"/>
      <c r="G3845" s="227" t="n"/>
      <c r="H3845" s="227" t="n"/>
      <c r="I3845" s="227" t="n"/>
      <c r="J3845" s="227" t="n"/>
      <c r="K3845" s="227" t="n"/>
      <c r="L3845" s="227" t="n"/>
      <c r="M3845" s="227" t="n"/>
      <c r="N3845" s="127" t="n"/>
      <c r="O3845" s="227" t="n"/>
      <c r="P3845" s="227" t="n"/>
      <c r="Q3845" s="227" t="n"/>
      <c r="R3845" s="227" t="n"/>
      <c r="S3845" s="227" t="n"/>
      <c r="T3845" s="227" t="n"/>
    </row>
    <row r="3846">
      <c r="A3846" s="145">
        <f>IF($B3846="","",ROW()-5)</f>
        <v/>
      </c>
      <c r="B3846" s="127" t="n"/>
      <c r="C3846" s="223" t="n"/>
      <c r="D3846" s="127" t="n"/>
      <c r="E3846" s="227" t="n"/>
      <c r="F3846" s="227" t="n"/>
      <c r="G3846" s="227" t="n"/>
      <c r="H3846" s="227" t="n"/>
      <c r="I3846" s="227" t="n"/>
      <c r="J3846" s="227" t="n"/>
      <c r="K3846" s="227" t="n"/>
      <c r="L3846" s="227" t="n"/>
      <c r="M3846" s="227" t="n"/>
      <c r="N3846" s="127" t="n"/>
      <c r="O3846" s="227" t="n"/>
      <c r="P3846" s="227" t="n"/>
      <c r="Q3846" s="227" t="n"/>
      <c r="R3846" s="227" t="n"/>
      <c r="S3846" s="227" t="n"/>
      <c r="T3846" s="227" t="n"/>
    </row>
    <row r="3847">
      <c r="A3847" s="145">
        <f>IF($B3847="","",ROW()-5)</f>
        <v/>
      </c>
      <c r="B3847" s="127" t="n"/>
      <c r="C3847" s="223" t="n"/>
      <c r="D3847" s="127" t="n"/>
      <c r="E3847" s="227" t="n"/>
      <c r="F3847" s="227" t="n"/>
      <c r="G3847" s="227" t="n"/>
      <c r="H3847" s="227" t="n"/>
      <c r="I3847" s="227" t="n"/>
      <c r="J3847" s="227" t="n"/>
      <c r="K3847" s="227" t="n"/>
      <c r="L3847" s="227" t="n"/>
      <c r="M3847" s="227" t="n"/>
      <c r="N3847" s="127" t="n"/>
      <c r="O3847" s="227" t="n"/>
      <c r="P3847" s="227" t="n"/>
      <c r="Q3847" s="227" t="n"/>
      <c r="R3847" s="227" t="n"/>
      <c r="S3847" s="227" t="n"/>
      <c r="T3847" s="227" t="n"/>
    </row>
    <row r="3848">
      <c r="A3848" s="145">
        <f>IF($B3848="","",ROW()-5)</f>
        <v/>
      </c>
      <c r="B3848" s="127" t="n"/>
      <c r="C3848" s="223" t="n"/>
      <c r="D3848" s="127" t="n"/>
      <c r="E3848" s="227" t="n"/>
      <c r="F3848" s="227" t="n"/>
      <c r="G3848" s="227" t="n"/>
      <c r="H3848" s="227" t="n"/>
      <c r="I3848" s="227" t="n"/>
      <c r="J3848" s="227" t="n"/>
      <c r="K3848" s="227" t="n"/>
      <c r="L3848" s="227" t="n"/>
      <c r="M3848" s="227" t="n"/>
      <c r="N3848" s="127" t="n"/>
      <c r="O3848" s="227" t="n"/>
      <c r="P3848" s="227" t="n"/>
      <c r="Q3848" s="227" t="n"/>
      <c r="R3848" s="227" t="n"/>
      <c r="S3848" s="227" t="n"/>
      <c r="T3848" s="227" t="n"/>
    </row>
    <row r="3849">
      <c r="A3849" s="145">
        <f>IF($B3849="","",ROW()-5)</f>
        <v/>
      </c>
      <c r="B3849" s="127" t="n"/>
      <c r="C3849" s="223" t="n"/>
      <c r="D3849" s="127" t="n"/>
      <c r="E3849" s="227" t="n"/>
      <c r="F3849" s="227" t="n"/>
      <c r="G3849" s="227" t="n"/>
      <c r="H3849" s="227" t="n"/>
      <c r="I3849" s="227" t="n"/>
      <c r="J3849" s="227" t="n"/>
      <c r="K3849" s="227" t="n"/>
      <c r="L3849" s="227" t="n"/>
      <c r="M3849" s="227" t="n"/>
      <c r="N3849" s="127" t="n"/>
      <c r="O3849" s="227" t="n"/>
      <c r="P3849" s="227" t="n"/>
      <c r="Q3849" s="227" t="n"/>
      <c r="R3849" s="227" t="n"/>
      <c r="S3849" s="227" t="n"/>
      <c r="T3849" s="227" t="n"/>
    </row>
    <row r="3850">
      <c r="A3850" s="145">
        <f>IF($B3850="","",ROW()-5)</f>
        <v/>
      </c>
      <c r="B3850" s="127" t="n"/>
      <c r="C3850" s="223" t="n"/>
      <c r="D3850" s="127" t="n"/>
      <c r="E3850" s="227" t="n"/>
      <c r="F3850" s="227" t="n"/>
      <c r="G3850" s="227" t="n"/>
      <c r="H3850" s="227" t="n"/>
      <c r="I3850" s="227" t="n"/>
      <c r="J3850" s="227" t="n"/>
      <c r="K3850" s="227" t="n"/>
      <c r="L3850" s="227" t="n"/>
      <c r="M3850" s="227" t="n"/>
      <c r="N3850" s="127" t="n"/>
      <c r="O3850" s="227" t="n"/>
      <c r="P3850" s="227" t="n"/>
      <c r="Q3850" s="227" t="n"/>
      <c r="R3850" s="227" t="n"/>
      <c r="S3850" s="227" t="n"/>
      <c r="T3850" s="227" t="n"/>
    </row>
    <row r="3851">
      <c r="A3851" s="145">
        <f>IF($B3851="","",ROW()-5)</f>
        <v/>
      </c>
      <c r="B3851" s="127" t="n"/>
      <c r="C3851" s="223" t="n"/>
      <c r="D3851" s="127" t="n"/>
      <c r="E3851" s="227" t="n"/>
      <c r="F3851" s="227" t="n"/>
      <c r="G3851" s="227" t="n"/>
      <c r="H3851" s="227" t="n"/>
      <c r="I3851" s="227" t="n"/>
      <c r="J3851" s="227" t="n"/>
      <c r="K3851" s="227" t="n"/>
      <c r="L3851" s="227" t="n"/>
      <c r="M3851" s="227" t="n"/>
      <c r="N3851" s="127" t="n"/>
      <c r="O3851" s="227" t="n"/>
      <c r="P3851" s="227" t="n"/>
      <c r="Q3851" s="227" t="n"/>
      <c r="R3851" s="227" t="n"/>
      <c r="S3851" s="227" t="n"/>
      <c r="T3851" s="227" t="n"/>
    </row>
    <row r="3852">
      <c r="A3852" s="145">
        <f>IF($B3852="","",ROW()-5)</f>
        <v/>
      </c>
      <c r="B3852" s="127" t="n"/>
      <c r="C3852" s="223" t="n"/>
      <c r="D3852" s="127" t="n"/>
      <c r="E3852" s="227" t="n"/>
      <c r="F3852" s="227" t="n"/>
      <c r="G3852" s="227" t="n"/>
      <c r="H3852" s="227" t="n"/>
      <c r="I3852" s="227" t="n"/>
      <c r="J3852" s="227" t="n"/>
      <c r="K3852" s="227" t="n"/>
      <c r="L3852" s="227" t="n"/>
      <c r="M3852" s="227" t="n"/>
      <c r="N3852" s="127" t="n"/>
      <c r="O3852" s="227" t="n"/>
      <c r="P3852" s="227" t="n"/>
      <c r="Q3852" s="227" t="n"/>
      <c r="R3852" s="227" t="n"/>
      <c r="S3852" s="227" t="n"/>
      <c r="T3852" s="227" t="n"/>
    </row>
    <row r="3853">
      <c r="A3853" s="145">
        <f>IF($B3853="","",ROW()-5)</f>
        <v/>
      </c>
      <c r="B3853" s="127" t="n"/>
      <c r="C3853" s="223" t="n"/>
      <c r="D3853" s="127" t="n"/>
      <c r="E3853" s="227" t="n"/>
      <c r="F3853" s="227" t="n"/>
      <c r="G3853" s="227" t="n"/>
      <c r="H3853" s="227" t="n"/>
      <c r="I3853" s="227" t="n"/>
      <c r="J3853" s="227" t="n"/>
      <c r="K3853" s="227" t="n"/>
      <c r="L3853" s="227" t="n"/>
      <c r="M3853" s="227" t="n"/>
      <c r="N3853" s="127" t="n"/>
      <c r="O3853" s="227" t="n"/>
      <c r="P3853" s="227" t="n"/>
      <c r="Q3853" s="227" t="n"/>
      <c r="R3853" s="227" t="n"/>
      <c r="S3853" s="227" t="n"/>
      <c r="T3853" s="227" t="n"/>
    </row>
    <row r="3854">
      <c r="A3854" s="145">
        <f>IF($B3854="","",ROW()-5)</f>
        <v/>
      </c>
      <c r="B3854" s="127" t="n"/>
      <c r="C3854" s="223" t="n"/>
      <c r="D3854" s="127" t="n"/>
      <c r="E3854" s="227" t="n"/>
      <c r="F3854" s="227" t="n"/>
      <c r="G3854" s="227" t="n"/>
      <c r="H3854" s="227" t="n"/>
      <c r="I3854" s="227" t="n"/>
      <c r="J3854" s="227" t="n"/>
      <c r="K3854" s="227" t="n"/>
      <c r="L3854" s="227" t="n"/>
      <c r="M3854" s="227" t="n"/>
      <c r="N3854" s="127" t="n"/>
      <c r="O3854" s="227" t="n"/>
      <c r="P3854" s="227" t="n"/>
      <c r="Q3854" s="227" t="n"/>
      <c r="R3854" s="227" t="n"/>
      <c r="S3854" s="227" t="n"/>
      <c r="T3854" s="227" t="n"/>
    </row>
    <row r="3855">
      <c r="A3855" s="145">
        <f>IF($B3855="","",ROW()-5)</f>
        <v/>
      </c>
      <c r="B3855" s="127" t="n"/>
      <c r="C3855" s="223" t="n"/>
      <c r="D3855" s="127" t="n"/>
      <c r="E3855" s="227" t="n"/>
      <c r="F3855" s="227" t="n"/>
      <c r="G3855" s="227" t="n"/>
      <c r="H3855" s="227" t="n"/>
      <c r="I3855" s="227" t="n"/>
      <c r="J3855" s="227" t="n"/>
      <c r="K3855" s="227" t="n"/>
      <c r="L3855" s="227" t="n"/>
      <c r="M3855" s="227" t="n"/>
      <c r="N3855" s="127" t="n"/>
      <c r="O3855" s="227" t="n"/>
      <c r="P3855" s="227" t="n"/>
      <c r="Q3855" s="227" t="n"/>
      <c r="R3855" s="227" t="n"/>
      <c r="S3855" s="227" t="n"/>
      <c r="T3855" s="227" t="n"/>
    </row>
    <row r="3856">
      <c r="A3856" s="145">
        <f>IF($B3856="","",ROW()-5)</f>
        <v/>
      </c>
      <c r="B3856" s="127" t="n"/>
      <c r="C3856" s="223" t="n"/>
      <c r="D3856" s="127" t="n"/>
      <c r="E3856" s="227" t="n"/>
      <c r="F3856" s="227" t="n"/>
      <c r="G3856" s="227" t="n"/>
      <c r="H3856" s="227" t="n"/>
      <c r="I3856" s="227" t="n"/>
      <c r="J3856" s="227" t="n"/>
      <c r="K3856" s="227" t="n"/>
      <c r="L3856" s="227" t="n"/>
      <c r="M3856" s="227" t="n"/>
      <c r="N3856" s="127" t="n"/>
      <c r="O3856" s="227" t="n"/>
      <c r="P3856" s="227" t="n"/>
      <c r="Q3856" s="227" t="n"/>
      <c r="R3856" s="227" t="n"/>
      <c r="S3856" s="227" t="n"/>
      <c r="T3856" s="227" t="n"/>
    </row>
    <row r="3857">
      <c r="A3857" s="145">
        <f>IF($B3857="","",ROW()-5)</f>
        <v/>
      </c>
      <c r="B3857" s="127" t="n"/>
      <c r="C3857" s="223" t="n"/>
      <c r="D3857" s="127" t="n"/>
      <c r="E3857" s="227" t="n"/>
      <c r="F3857" s="227" t="n"/>
      <c r="G3857" s="227" t="n"/>
      <c r="H3857" s="227" t="n"/>
      <c r="I3857" s="227" t="n"/>
      <c r="J3857" s="227" t="n"/>
      <c r="K3857" s="227" t="n"/>
      <c r="L3857" s="227" t="n"/>
      <c r="M3857" s="227" t="n"/>
      <c r="N3857" s="127" t="n"/>
      <c r="O3857" s="227" t="n"/>
      <c r="P3857" s="227" t="n"/>
      <c r="Q3857" s="227" t="n"/>
      <c r="R3857" s="227" t="n"/>
      <c r="S3857" s="227" t="n"/>
      <c r="T3857" s="227" t="n"/>
    </row>
    <row r="3858">
      <c r="A3858" s="145">
        <f>IF($B3858="","",ROW()-5)</f>
        <v/>
      </c>
      <c r="B3858" s="127" t="n"/>
      <c r="C3858" s="223" t="n"/>
      <c r="D3858" s="127" t="n"/>
      <c r="E3858" s="227" t="n"/>
      <c r="F3858" s="227" t="n"/>
      <c r="G3858" s="227" t="n"/>
      <c r="H3858" s="227" t="n"/>
      <c r="I3858" s="227" t="n"/>
      <c r="J3858" s="227" t="n"/>
      <c r="K3858" s="227" t="n"/>
      <c r="L3858" s="227" t="n"/>
      <c r="M3858" s="227" t="n"/>
      <c r="N3858" s="127" t="n"/>
      <c r="O3858" s="227" t="n"/>
      <c r="P3858" s="227" t="n"/>
      <c r="Q3858" s="227" t="n"/>
      <c r="R3858" s="227" t="n"/>
      <c r="S3858" s="227" t="n"/>
      <c r="T3858" s="227" t="n"/>
    </row>
    <row r="3859">
      <c r="A3859" s="145">
        <f>IF($B3859="","",ROW()-5)</f>
        <v/>
      </c>
      <c r="B3859" s="127" t="n"/>
      <c r="C3859" s="223" t="n"/>
      <c r="D3859" s="127" t="n"/>
      <c r="E3859" s="227" t="n"/>
      <c r="F3859" s="227" t="n"/>
      <c r="G3859" s="227" t="n"/>
      <c r="H3859" s="227" t="n"/>
      <c r="I3859" s="227" t="n"/>
      <c r="J3859" s="227" t="n"/>
      <c r="K3859" s="227" t="n"/>
      <c r="L3859" s="227" t="n"/>
      <c r="M3859" s="227" t="n"/>
      <c r="N3859" s="127" t="n"/>
      <c r="O3859" s="227" t="n"/>
      <c r="P3859" s="227" t="n"/>
      <c r="Q3859" s="227" t="n"/>
      <c r="R3859" s="227" t="n"/>
      <c r="S3859" s="227" t="n"/>
      <c r="T3859" s="227" t="n"/>
    </row>
    <row r="3860">
      <c r="A3860" s="145">
        <f>IF($B3860="","",ROW()-5)</f>
        <v/>
      </c>
      <c r="B3860" s="127" t="n"/>
      <c r="C3860" s="223" t="n"/>
      <c r="D3860" s="127" t="n"/>
      <c r="E3860" s="227" t="n"/>
      <c r="F3860" s="227" t="n"/>
      <c r="G3860" s="227" t="n"/>
      <c r="H3860" s="227" t="n"/>
      <c r="I3860" s="227" t="n"/>
      <c r="J3860" s="227" t="n"/>
      <c r="K3860" s="227" t="n"/>
      <c r="L3860" s="227" t="n"/>
      <c r="M3860" s="227" t="n"/>
      <c r="N3860" s="127" t="n"/>
      <c r="O3860" s="227" t="n"/>
      <c r="P3860" s="227" t="n"/>
      <c r="Q3860" s="227" t="n"/>
      <c r="R3860" s="227" t="n"/>
      <c r="S3860" s="227" t="n"/>
      <c r="T3860" s="227" t="n"/>
    </row>
    <row r="3861">
      <c r="A3861" s="145">
        <f>IF($B3861="","",ROW()-5)</f>
        <v/>
      </c>
      <c r="B3861" s="127" t="n"/>
      <c r="C3861" s="223" t="n"/>
      <c r="D3861" s="127" t="n"/>
      <c r="E3861" s="227" t="n"/>
      <c r="F3861" s="227" t="n"/>
      <c r="G3861" s="227" t="n"/>
      <c r="H3861" s="227" t="n"/>
      <c r="I3861" s="227" t="n"/>
      <c r="J3861" s="227" t="n"/>
      <c r="K3861" s="227" t="n"/>
      <c r="L3861" s="227" t="n"/>
      <c r="M3861" s="227" t="n"/>
      <c r="N3861" s="127" t="n"/>
      <c r="O3861" s="227" t="n"/>
      <c r="P3861" s="227" t="n"/>
      <c r="Q3861" s="227" t="n"/>
      <c r="R3861" s="227" t="n"/>
      <c r="S3861" s="227" t="n"/>
      <c r="T3861" s="227" t="n"/>
    </row>
    <row r="3862">
      <c r="A3862" s="145">
        <f>IF($B3862="","",ROW()-5)</f>
        <v/>
      </c>
      <c r="B3862" s="127" t="n"/>
      <c r="C3862" s="223" t="n"/>
      <c r="D3862" s="127" t="n"/>
      <c r="E3862" s="227" t="n"/>
      <c r="F3862" s="227" t="n"/>
      <c r="G3862" s="227" t="n"/>
      <c r="H3862" s="227" t="n"/>
      <c r="I3862" s="227" t="n"/>
      <c r="J3862" s="227" t="n"/>
      <c r="K3862" s="227" t="n"/>
      <c r="L3862" s="227" t="n"/>
      <c r="M3862" s="227" t="n"/>
      <c r="N3862" s="127" t="n"/>
      <c r="O3862" s="227" t="n"/>
      <c r="P3862" s="227" t="n"/>
      <c r="Q3862" s="227" t="n"/>
      <c r="R3862" s="227" t="n"/>
      <c r="S3862" s="227" t="n"/>
      <c r="T3862" s="227" t="n"/>
    </row>
    <row r="3863">
      <c r="A3863" s="145">
        <f>IF($B3863="","",ROW()-5)</f>
        <v/>
      </c>
      <c r="B3863" s="127" t="n"/>
      <c r="C3863" s="223" t="n"/>
      <c r="D3863" s="127" t="n"/>
      <c r="E3863" s="227" t="n"/>
      <c r="F3863" s="227" t="n"/>
      <c r="G3863" s="227" t="n"/>
      <c r="H3863" s="227" t="n"/>
      <c r="I3863" s="227" t="n"/>
      <c r="J3863" s="227" t="n"/>
      <c r="K3863" s="227" t="n"/>
      <c r="L3863" s="227" t="n"/>
      <c r="M3863" s="227" t="n"/>
      <c r="N3863" s="127" t="n"/>
      <c r="O3863" s="227" t="n"/>
      <c r="P3863" s="227" t="n"/>
      <c r="Q3863" s="227" t="n"/>
      <c r="R3863" s="227" t="n"/>
      <c r="S3863" s="227" t="n"/>
      <c r="T3863" s="227" t="n"/>
    </row>
    <row r="3864">
      <c r="A3864" s="145">
        <f>IF($B3864="","",ROW()-5)</f>
        <v/>
      </c>
      <c r="B3864" s="127" t="n"/>
      <c r="C3864" s="223" t="n"/>
      <c r="D3864" s="127" t="n"/>
      <c r="E3864" s="227" t="n"/>
      <c r="F3864" s="227" t="n"/>
      <c r="G3864" s="227" t="n"/>
      <c r="H3864" s="227" t="n"/>
      <c r="I3864" s="227" t="n"/>
      <c r="J3864" s="227" t="n"/>
      <c r="K3864" s="227" t="n"/>
      <c r="L3864" s="227" t="n"/>
      <c r="M3864" s="227" t="n"/>
      <c r="N3864" s="127" t="n"/>
      <c r="O3864" s="227" t="n"/>
      <c r="P3864" s="227" t="n"/>
      <c r="Q3864" s="227" t="n"/>
      <c r="R3864" s="227" t="n"/>
      <c r="S3864" s="227" t="n"/>
      <c r="T3864" s="227" t="n"/>
    </row>
    <row r="3865">
      <c r="A3865" s="145">
        <f>IF($B3865="","",ROW()-5)</f>
        <v/>
      </c>
      <c r="B3865" s="127" t="n"/>
      <c r="C3865" s="223" t="n"/>
      <c r="D3865" s="127" t="n"/>
      <c r="E3865" s="227" t="n"/>
      <c r="F3865" s="227" t="n"/>
      <c r="G3865" s="227" t="n"/>
      <c r="H3865" s="227" t="n"/>
      <c r="I3865" s="227" t="n"/>
      <c r="J3865" s="227" t="n"/>
      <c r="K3865" s="227" t="n"/>
      <c r="L3865" s="227" t="n"/>
      <c r="M3865" s="227" t="n"/>
      <c r="N3865" s="127" t="n"/>
      <c r="O3865" s="227" t="n"/>
      <c r="P3865" s="227" t="n"/>
      <c r="Q3865" s="227" t="n"/>
      <c r="R3865" s="227" t="n"/>
      <c r="S3865" s="227" t="n"/>
      <c r="T3865" s="227" t="n"/>
    </row>
    <row r="3866">
      <c r="A3866" s="145">
        <f>IF($B3866="","",ROW()-5)</f>
        <v/>
      </c>
      <c r="B3866" s="127" t="n"/>
      <c r="C3866" s="223" t="n"/>
      <c r="D3866" s="127" t="n"/>
      <c r="E3866" s="227" t="n"/>
      <c r="F3866" s="227" t="n"/>
      <c r="G3866" s="227" t="n"/>
      <c r="H3866" s="227" t="n"/>
      <c r="I3866" s="227" t="n"/>
      <c r="J3866" s="227" t="n"/>
      <c r="K3866" s="227" t="n"/>
      <c r="L3866" s="227" t="n"/>
      <c r="M3866" s="227" t="n"/>
      <c r="N3866" s="127" t="n"/>
      <c r="O3866" s="227" t="n"/>
      <c r="P3866" s="227" t="n"/>
      <c r="Q3866" s="227" t="n"/>
      <c r="R3866" s="227" t="n"/>
      <c r="S3866" s="227" t="n"/>
      <c r="T3866" s="227" t="n"/>
    </row>
    <row r="3867">
      <c r="A3867" s="145">
        <f>IF($B3867="","",ROW()-5)</f>
        <v/>
      </c>
      <c r="B3867" s="127" t="n"/>
      <c r="C3867" s="223" t="n"/>
      <c r="D3867" s="127" t="n"/>
      <c r="E3867" s="227" t="n"/>
      <c r="F3867" s="227" t="n"/>
      <c r="G3867" s="227" t="n"/>
      <c r="H3867" s="227" t="n"/>
      <c r="I3867" s="227" t="n"/>
      <c r="J3867" s="227" t="n"/>
      <c r="K3867" s="227" t="n"/>
      <c r="L3867" s="227" t="n"/>
      <c r="M3867" s="227" t="n"/>
      <c r="N3867" s="127" t="n"/>
      <c r="O3867" s="227" t="n"/>
      <c r="P3867" s="227" t="n"/>
      <c r="Q3867" s="227" t="n"/>
      <c r="R3867" s="227" t="n"/>
      <c r="S3867" s="227" t="n"/>
      <c r="T3867" s="227" t="n"/>
    </row>
    <row r="3868">
      <c r="A3868" s="145">
        <f>IF($B3868="","",ROW()-5)</f>
        <v/>
      </c>
      <c r="B3868" s="127" t="n"/>
      <c r="C3868" s="223" t="n"/>
      <c r="D3868" s="127" t="n"/>
      <c r="E3868" s="227" t="n"/>
      <c r="F3868" s="227" t="n"/>
      <c r="G3868" s="227" t="n"/>
      <c r="H3868" s="227" t="n"/>
      <c r="I3868" s="227" t="n"/>
      <c r="J3868" s="227" t="n"/>
      <c r="K3868" s="227" t="n"/>
      <c r="L3868" s="227" t="n"/>
      <c r="M3868" s="227" t="n"/>
      <c r="N3868" s="127" t="n"/>
      <c r="O3868" s="227" t="n"/>
      <c r="P3868" s="227" t="n"/>
      <c r="Q3868" s="227" t="n"/>
      <c r="R3868" s="227" t="n"/>
      <c r="S3868" s="227" t="n"/>
      <c r="T3868" s="227" t="n"/>
    </row>
    <row r="3869">
      <c r="A3869" s="145">
        <f>IF($B3869="","",ROW()-5)</f>
        <v/>
      </c>
      <c r="B3869" s="127" t="n"/>
      <c r="C3869" s="223" t="n"/>
      <c r="D3869" s="127" t="n"/>
      <c r="E3869" s="227" t="n"/>
      <c r="F3869" s="227" t="n"/>
      <c r="G3869" s="227" t="n"/>
      <c r="H3869" s="227" t="n"/>
      <c r="I3869" s="227" t="n"/>
      <c r="J3869" s="227" t="n"/>
      <c r="K3869" s="227" t="n"/>
      <c r="L3869" s="227" t="n"/>
      <c r="M3869" s="227" t="n"/>
      <c r="N3869" s="127" t="n"/>
      <c r="O3869" s="227" t="n"/>
      <c r="P3869" s="227" t="n"/>
      <c r="Q3869" s="227" t="n"/>
      <c r="R3869" s="227" t="n"/>
      <c r="S3869" s="227" t="n"/>
      <c r="T3869" s="227" t="n"/>
    </row>
    <row r="3870">
      <c r="A3870" s="145">
        <f>IF($B3870="","",ROW()-5)</f>
        <v/>
      </c>
      <c r="B3870" s="127" t="n"/>
      <c r="C3870" s="223" t="n"/>
      <c r="D3870" s="127" t="n"/>
      <c r="E3870" s="227" t="n"/>
      <c r="F3870" s="227" t="n"/>
      <c r="G3870" s="227" t="n"/>
      <c r="H3870" s="227" t="n"/>
      <c r="I3870" s="227" t="n"/>
      <c r="J3870" s="227" t="n"/>
      <c r="K3870" s="227" t="n"/>
      <c r="L3870" s="227" t="n"/>
      <c r="M3870" s="227" t="n"/>
      <c r="N3870" s="127" t="n"/>
      <c r="O3870" s="227" t="n"/>
      <c r="P3870" s="227" t="n"/>
      <c r="Q3870" s="227" t="n"/>
      <c r="R3870" s="227" t="n"/>
      <c r="S3870" s="227" t="n"/>
      <c r="T3870" s="227" t="n"/>
    </row>
    <row r="3871">
      <c r="A3871" s="145">
        <f>IF($B3871="","",ROW()-5)</f>
        <v/>
      </c>
      <c r="B3871" s="127" t="n"/>
      <c r="C3871" s="223" t="n"/>
      <c r="D3871" s="127" t="n"/>
      <c r="E3871" s="227" t="n"/>
      <c r="F3871" s="227" t="n"/>
      <c r="G3871" s="227" t="n"/>
      <c r="H3871" s="227" t="n"/>
      <c r="I3871" s="227" t="n"/>
      <c r="J3871" s="227" t="n"/>
      <c r="K3871" s="227" t="n"/>
      <c r="L3871" s="227" t="n"/>
      <c r="M3871" s="227" t="n"/>
      <c r="N3871" s="127" t="n"/>
      <c r="O3871" s="227" t="n"/>
      <c r="P3871" s="227" t="n"/>
      <c r="Q3871" s="227" t="n"/>
      <c r="R3871" s="227" t="n"/>
      <c r="S3871" s="227" t="n"/>
      <c r="T3871" s="227" t="n"/>
    </row>
    <row r="3872">
      <c r="A3872" s="145">
        <f>IF($B3872="","",ROW()-5)</f>
        <v/>
      </c>
      <c r="B3872" s="127" t="n"/>
      <c r="C3872" s="223" t="n"/>
      <c r="D3872" s="127" t="n"/>
      <c r="E3872" s="227" t="n"/>
      <c r="F3872" s="227" t="n"/>
      <c r="G3872" s="227" t="n"/>
      <c r="H3872" s="227" t="n"/>
      <c r="I3872" s="227" t="n"/>
      <c r="J3872" s="227" t="n"/>
      <c r="K3872" s="227" t="n"/>
      <c r="L3872" s="227" t="n"/>
      <c r="M3872" s="227" t="n"/>
      <c r="N3872" s="127" t="n"/>
      <c r="O3872" s="227" t="n"/>
      <c r="P3872" s="227" t="n"/>
      <c r="Q3872" s="227" t="n"/>
      <c r="R3872" s="227" t="n"/>
      <c r="S3872" s="227" t="n"/>
      <c r="T3872" s="227" t="n"/>
    </row>
    <row r="3873">
      <c r="A3873" s="145">
        <f>IF($B3873="","",ROW()-5)</f>
        <v/>
      </c>
      <c r="B3873" s="127" t="n"/>
      <c r="C3873" s="223" t="n"/>
      <c r="D3873" s="127" t="n"/>
      <c r="E3873" s="227" t="n"/>
      <c r="F3873" s="227" t="n"/>
      <c r="G3873" s="227" t="n"/>
      <c r="H3873" s="227" t="n"/>
      <c r="I3873" s="227" t="n"/>
      <c r="J3873" s="227" t="n"/>
      <c r="K3873" s="227" t="n"/>
      <c r="L3873" s="227" t="n"/>
      <c r="M3873" s="227" t="n"/>
      <c r="N3873" s="127" t="n"/>
      <c r="O3873" s="227" t="n"/>
      <c r="P3873" s="227" t="n"/>
      <c r="Q3873" s="227" t="n"/>
      <c r="R3873" s="227" t="n"/>
      <c r="S3873" s="227" t="n"/>
      <c r="T3873" s="227" t="n"/>
    </row>
    <row r="3874">
      <c r="A3874" s="145">
        <f>IF($B3874="","",ROW()-5)</f>
        <v/>
      </c>
      <c r="B3874" s="127" t="n"/>
      <c r="C3874" s="223" t="n"/>
      <c r="D3874" s="127" t="n"/>
      <c r="E3874" s="227" t="n"/>
      <c r="F3874" s="227" t="n"/>
      <c r="G3874" s="227" t="n"/>
      <c r="H3874" s="227" t="n"/>
      <c r="I3874" s="227" t="n"/>
      <c r="J3874" s="227" t="n"/>
      <c r="K3874" s="227" t="n"/>
      <c r="L3874" s="227" t="n"/>
      <c r="M3874" s="227" t="n"/>
      <c r="N3874" s="127" t="n"/>
      <c r="O3874" s="227" t="n"/>
      <c r="P3874" s="227" t="n"/>
      <c r="Q3874" s="227" t="n"/>
      <c r="R3874" s="227" t="n"/>
      <c r="S3874" s="227" t="n"/>
      <c r="T3874" s="227" t="n"/>
    </row>
    <row r="3875">
      <c r="A3875" s="145">
        <f>IF($B3875="","",ROW()-5)</f>
        <v/>
      </c>
      <c r="B3875" s="127" t="n"/>
      <c r="C3875" s="223" t="n"/>
      <c r="D3875" s="127" t="n"/>
      <c r="E3875" s="227" t="n"/>
      <c r="F3875" s="227" t="n"/>
      <c r="G3875" s="227" t="n"/>
      <c r="H3875" s="227" t="n"/>
      <c r="I3875" s="227" t="n"/>
      <c r="J3875" s="227" t="n"/>
      <c r="K3875" s="227" t="n"/>
      <c r="L3875" s="227" t="n"/>
      <c r="M3875" s="227" t="n"/>
      <c r="N3875" s="127" t="n"/>
      <c r="O3875" s="227" t="n"/>
      <c r="P3875" s="227" t="n"/>
      <c r="Q3875" s="227" t="n"/>
      <c r="R3875" s="227" t="n"/>
      <c r="S3875" s="227" t="n"/>
      <c r="T3875" s="227" t="n"/>
    </row>
    <row r="3876">
      <c r="A3876" s="145">
        <f>IF($B3876="","",ROW()-5)</f>
        <v/>
      </c>
      <c r="B3876" s="127" t="n"/>
      <c r="C3876" s="223" t="n"/>
      <c r="D3876" s="127" t="n"/>
      <c r="E3876" s="227" t="n"/>
      <c r="F3876" s="227" t="n"/>
      <c r="G3876" s="227" t="n"/>
      <c r="H3876" s="227" t="n"/>
      <c r="I3876" s="227" t="n"/>
      <c r="J3876" s="227" t="n"/>
      <c r="K3876" s="227" t="n"/>
      <c r="L3876" s="227" t="n"/>
      <c r="M3876" s="227" t="n"/>
      <c r="N3876" s="127" t="n"/>
      <c r="O3876" s="227" t="n"/>
      <c r="P3876" s="227" t="n"/>
      <c r="Q3876" s="227" t="n"/>
      <c r="R3876" s="227" t="n"/>
      <c r="S3876" s="227" t="n"/>
      <c r="T3876" s="227" t="n"/>
    </row>
    <row r="3877">
      <c r="A3877" s="145">
        <f>IF($B3877="","",ROW()-5)</f>
        <v/>
      </c>
      <c r="B3877" s="127" t="n"/>
      <c r="C3877" s="223" t="n"/>
      <c r="D3877" s="127" t="n"/>
      <c r="E3877" s="227" t="n"/>
      <c r="F3877" s="227" t="n"/>
      <c r="G3877" s="227" t="n"/>
      <c r="H3877" s="227" t="n"/>
      <c r="I3877" s="227" t="n"/>
      <c r="J3877" s="227" t="n"/>
      <c r="K3877" s="227" t="n"/>
      <c r="L3877" s="227" t="n"/>
      <c r="M3877" s="227" t="n"/>
      <c r="N3877" s="127" t="n"/>
      <c r="O3877" s="227" t="n"/>
      <c r="P3877" s="227" t="n"/>
      <c r="Q3877" s="227" t="n"/>
      <c r="R3877" s="227" t="n"/>
      <c r="S3877" s="227" t="n"/>
      <c r="T3877" s="227" t="n"/>
    </row>
    <row r="3878">
      <c r="A3878" s="145">
        <f>IF($B3878="","",ROW()-5)</f>
        <v/>
      </c>
      <c r="B3878" s="127" t="n"/>
      <c r="C3878" s="223" t="n"/>
      <c r="D3878" s="127" t="n"/>
      <c r="E3878" s="227" t="n"/>
      <c r="F3878" s="227" t="n"/>
      <c r="G3878" s="227" t="n"/>
      <c r="H3878" s="227" t="n"/>
      <c r="I3878" s="227" t="n"/>
      <c r="J3878" s="227" t="n"/>
      <c r="K3878" s="227" t="n"/>
      <c r="L3878" s="227" t="n"/>
      <c r="M3878" s="227" t="n"/>
      <c r="N3878" s="127" t="n"/>
      <c r="O3878" s="227" t="n"/>
      <c r="P3878" s="227" t="n"/>
      <c r="Q3878" s="227" t="n"/>
      <c r="R3878" s="227" t="n"/>
      <c r="S3878" s="227" t="n"/>
      <c r="T3878" s="227" t="n"/>
    </row>
    <row r="3879">
      <c r="A3879" s="145">
        <f>IF($B3879="","",ROW()-5)</f>
        <v/>
      </c>
      <c r="B3879" s="127" t="n"/>
      <c r="C3879" s="223" t="n"/>
      <c r="D3879" s="127" t="n"/>
      <c r="E3879" s="227" t="n"/>
      <c r="F3879" s="227" t="n"/>
      <c r="G3879" s="227" t="n"/>
      <c r="H3879" s="227" t="n"/>
      <c r="I3879" s="227" t="n"/>
      <c r="J3879" s="227" t="n"/>
      <c r="K3879" s="227" t="n"/>
      <c r="L3879" s="227" t="n"/>
      <c r="M3879" s="227" t="n"/>
      <c r="N3879" s="127" t="n"/>
      <c r="O3879" s="227" t="n"/>
      <c r="P3879" s="227" t="n"/>
      <c r="Q3879" s="227" t="n"/>
      <c r="R3879" s="227" t="n"/>
      <c r="S3879" s="227" t="n"/>
      <c r="T3879" s="227" t="n"/>
    </row>
    <row r="3880">
      <c r="A3880" s="145">
        <f>IF($B3880="","",ROW()-5)</f>
        <v/>
      </c>
      <c r="B3880" s="127" t="n"/>
      <c r="C3880" s="223" t="n"/>
      <c r="D3880" s="127" t="n"/>
      <c r="E3880" s="227" t="n"/>
      <c r="F3880" s="227" t="n"/>
      <c r="G3880" s="227" t="n"/>
      <c r="H3880" s="227" t="n"/>
      <c r="I3880" s="227" t="n"/>
      <c r="J3880" s="227" t="n"/>
      <c r="K3880" s="227" t="n"/>
      <c r="L3880" s="227" t="n"/>
      <c r="M3880" s="227" t="n"/>
      <c r="N3880" s="127" t="n"/>
      <c r="O3880" s="227" t="n"/>
      <c r="P3880" s="227" t="n"/>
      <c r="Q3880" s="227" t="n"/>
      <c r="R3880" s="227" t="n"/>
      <c r="S3880" s="227" t="n"/>
      <c r="T3880" s="227" t="n"/>
    </row>
    <row r="3881">
      <c r="A3881" s="145">
        <f>IF($B3881="","",ROW()-5)</f>
        <v/>
      </c>
      <c r="B3881" s="127" t="n"/>
      <c r="C3881" s="223" t="n"/>
      <c r="D3881" s="127" t="n"/>
      <c r="E3881" s="227" t="n"/>
      <c r="F3881" s="227" t="n"/>
      <c r="G3881" s="227" t="n"/>
      <c r="H3881" s="227" t="n"/>
      <c r="I3881" s="227" t="n"/>
      <c r="J3881" s="227" t="n"/>
      <c r="K3881" s="227" t="n"/>
      <c r="L3881" s="227" t="n"/>
      <c r="M3881" s="227" t="n"/>
      <c r="N3881" s="127" t="n"/>
      <c r="O3881" s="227" t="n"/>
      <c r="P3881" s="227" t="n"/>
      <c r="Q3881" s="227" t="n"/>
      <c r="R3881" s="227" t="n"/>
      <c r="S3881" s="227" t="n"/>
      <c r="T3881" s="227" t="n"/>
    </row>
    <row r="3882">
      <c r="A3882" s="145">
        <f>IF($B3882="","",ROW()-5)</f>
        <v/>
      </c>
      <c r="B3882" s="127" t="n"/>
      <c r="C3882" s="223" t="n"/>
      <c r="D3882" s="127" t="n"/>
      <c r="E3882" s="227" t="n"/>
      <c r="F3882" s="227" t="n"/>
      <c r="G3882" s="227" t="n"/>
      <c r="H3882" s="227" t="n"/>
      <c r="I3882" s="227" t="n"/>
      <c r="J3882" s="227" t="n"/>
      <c r="K3882" s="227" t="n"/>
      <c r="L3882" s="227" t="n"/>
      <c r="M3882" s="227" t="n"/>
      <c r="N3882" s="127" t="n"/>
      <c r="O3882" s="227" t="n"/>
      <c r="P3882" s="227" t="n"/>
      <c r="Q3882" s="227" t="n"/>
      <c r="R3882" s="227" t="n"/>
      <c r="S3882" s="227" t="n"/>
      <c r="T3882" s="227" t="n"/>
    </row>
    <row r="3883">
      <c r="A3883" s="145">
        <f>IF($B3883="","",ROW()-5)</f>
        <v/>
      </c>
      <c r="B3883" s="127" t="n"/>
      <c r="C3883" s="223" t="n"/>
      <c r="D3883" s="127" t="n"/>
      <c r="E3883" s="227" t="n"/>
      <c r="F3883" s="227" t="n"/>
      <c r="G3883" s="227" t="n"/>
      <c r="H3883" s="227" t="n"/>
      <c r="I3883" s="227" t="n"/>
      <c r="J3883" s="227" t="n"/>
      <c r="K3883" s="227" t="n"/>
      <c r="L3883" s="227" t="n"/>
      <c r="M3883" s="227" t="n"/>
      <c r="N3883" s="127" t="n"/>
      <c r="O3883" s="227" t="n"/>
      <c r="P3883" s="227" t="n"/>
      <c r="Q3883" s="227" t="n"/>
      <c r="R3883" s="227" t="n"/>
      <c r="S3883" s="227" t="n"/>
      <c r="T3883" s="227" t="n"/>
    </row>
    <row r="3884">
      <c r="A3884" s="145">
        <f>IF($B3884="","",ROW()-5)</f>
        <v/>
      </c>
      <c r="B3884" s="127" t="n"/>
      <c r="C3884" s="223" t="n"/>
      <c r="D3884" s="127" t="n"/>
      <c r="E3884" s="227" t="n"/>
      <c r="F3884" s="227" t="n"/>
      <c r="G3884" s="227" t="n"/>
      <c r="H3884" s="227" t="n"/>
      <c r="I3884" s="227" t="n"/>
      <c r="J3884" s="227" t="n"/>
      <c r="K3884" s="227" t="n"/>
      <c r="L3884" s="227" t="n"/>
      <c r="M3884" s="227" t="n"/>
      <c r="N3884" s="127" t="n"/>
      <c r="O3884" s="227" t="n"/>
      <c r="P3884" s="227" t="n"/>
      <c r="Q3884" s="227" t="n"/>
      <c r="R3884" s="227" t="n"/>
      <c r="S3884" s="227" t="n"/>
      <c r="T3884" s="227" t="n"/>
    </row>
    <row r="3885">
      <c r="A3885" s="145">
        <f>IF($B3885="","",ROW()-5)</f>
        <v/>
      </c>
      <c r="B3885" s="127" t="n"/>
      <c r="C3885" s="223" t="n"/>
      <c r="D3885" s="127" t="n"/>
      <c r="E3885" s="227" t="n"/>
      <c r="F3885" s="227" t="n"/>
      <c r="G3885" s="227" t="n"/>
      <c r="H3885" s="227" t="n"/>
      <c r="I3885" s="227" t="n"/>
      <c r="J3885" s="227" t="n"/>
      <c r="K3885" s="227" t="n"/>
      <c r="L3885" s="227" t="n"/>
      <c r="M3885" s="227" t="n"/>
      <c r="N3885" s="127" t="n"/>
      <c r="O3885" s="227" t="n"/>
      <c r="P3885" s="227" t="n"/>
      <c r="Q3885" s="227" t="n"/>
      <c r="R3885" s="227" t="n"/>
      <c r="S3885" s="227" t="n"/>
      <c r="T3885" s="227" t="n"/>
    </row>
    <row r="3886">
      <c r="A3886" s="145">
        <f>IF($B3886="","",ROW()-5)</f>
        <v/>
      </c>
      <c r="B3886" s="127" t="n"/>
      <c r="C3886" s="223" t="n"/>
      <c r="D3886" s="127" t="n"/>
      <c r="E3886" s="227" t="n"/>
      <c r="F3886" s="227" t="n"/>
      <c r="G3886" s="227" t="n"/>
      <c r="H3886" s="227" t="n"/>
      <c r="I3886" s="227" t="n"/>
      <c r="J3886" s="227" t="n"/>
      <c r="K3886" s="227" t="n"/>
      <c r="L3886" s="227" t="n"/>
      <c r="M3886" s="227" t="n"/>
      <c r="N3886" s="127" t="n"/>
      <c r="O3886" s="227" t="n"/>
      <c r="P3886" s="227" t="n"/>
      <c r="Q3886" s="227" t="n"/>
      <c r="R3886" s="227" t="n"/>
      <c r="S3886" s="227" t="n"/>
      <c r="T3886" s="227" t="n"/>
    </row>
    <row r="3887">
      <c r="A3887" s="145">
        <f>IF($B3887="","",ROW()-5)</f>
        <v/>
      </c>
      <c r="B3887" s="127" t="n"/>
      <c r="C3887" s="223" t="n"/>
      <c r="D3887" s="127" t="n"/>
      <c r="E3887" s="227" t="n"/>
      <c r="F3887" s="227" t="n"/>
      <c r="G3887" s="227" t="n"/>
      <c r="H3887" s="227" t="n"/>
      <c r="I3887" s="227" t="n"/>
      <c r="J3887" s="227" t="n"/>
      <c r="K3887" s="227" t="n"/>
      <c r="L3887" s="227" t="n"/>
      <c r="M3887" s="227" t="n"/>
      <c r="N3887" s="127" t="n"/>
      <c r="O3887" s="227" t="n"/>
      <c r="P3887" s="227" t="n"/>
      <c r="Q3887" s="227" t="n"/>
      <c r="R3887" s="227" t="n"/>
      <c r="S3887" s="227" t="n"/>
      <c r="T3887" s="227" t="n"/>
    </row>
    <row r="3888">
      <c r="A3888" s="145">
        <f>IF($B3888="","",ROW()-5)</f>
        <v/>
      </c>
      <c r="B3888" s="127" t="n"/>
      <c r="C3888" s="223" t="n"/>
      <c r="D3888" s="127" t="n"/>
      <c r="E3888" s="227" t="n"/>
      <c r="F3888" s="227" t="n"/>
      <c r="G3888" s="227" t="n"/>
      <c r="H3888" s="227" t="n"/>
      <c r="I3888" s="227" t="n"/>
      <c r="J3888" s="227" t="n"/>
      <c r="K3888" s="227" t="n"/>
      <c r="L3888" s="227" t="n"/>
      <c r="M3888" s="227" t="n"/>
      <c r="N3888" s="127" t="n"/>
      <c r="O3888" s="227" t="n"/>
      <c r="P3888" s="227" t="n"/>
      <c r="Q3888" s="227" t="n"/>
      <c r="R3888" s="227" t="n"/>
      <c r="S3888" s="227" t="n"/>
      <c r="T3888" s="227" t="n"/>
    </row>
    <row r="3889">
      <c r="A3889" s="145">
        <f>IF($B3889="","",ROW()-5)</f>
        <v/>
      </c>
      <c r="B3889" s="127" t="n"/>
      <c r="C3889" s="223" t="n"/>
      <c r="D3889" s="127" t="n"/>
      <c r="E3889" s="227" t="n"/>
      <c r="F3889" s="227" t="n"/>
      <c r="G3889" s="227" t="n"/>
      <c r="H3889" s="227" t="n"/>
      <c r="I3889" s="227" t="n"/>
      <c r="J3889" s="227" t="n"/>
      <c r="K3889" s="227" t="n"/>
      <c r="L3889" s="227" t="n"/>
      <c r="M3889" s="227" t="n"/>
      <c r="N3889" s="127" t="n"/>
      <c r="O3889" s="227" t="n"/>
      <c r="P3889" s="227" t="n"/>
      <c r="Q3889" s="227" t="n"/>
      <c r="R3889" s="227" t="n"/>
      <c r="S3889" s="227" t="n"/>
      <c r="T3889" s="227" t="n"/>
    </row>
    <row r="3890">
      <c r="A3890" s="145">
        <f>IF($B3890="","",ROW()-5)</f>
        <v/>
      </c>
      <c r="B3890" s="127" t="n"/>
      <c r="C3890" s="223" t="n"/>
      <c r="D3890" s="127" t="n"/>
      <c r="E3890" s="227" t="n"/>
      <c r="F3890" s="227" t="n"/>
      <c r="G3890" s="227" t="n"/>
      <c r="H3890" s="227" t="n"/>
      <c r="I3890" s="227" t="n"/>
      <c r="J3890" s="227" t="n"/>
      <c r="K3890" s="227" t="n"/>
      <c r="L3890" s="227" t="n"/>
      <c r="M3890" s="227" t="n"/>
      <c r="N3890" s="127" t="n"/>
      <c r="O3890" s="227" t="n"/>
      <c r="P3890" s="227" t="n"/>
      <c r="Q3890" s="227" t="n"/>
      <c r="R3890" s="227" t="n"/>
      <c r="S3890" s="227" t="n"/>
      <c r="T3890" s="227" t="n"/>
    </row>
    <row r="3891">
      <c r="A3891" s="145">
        <f>IF($B3891="","",ROW()-5)</f>
        <v/>
      </c>
      <c r="B3891" s="127" t="n"/>
      <c r="C3891" s="223" t="n"/>
      <c r="D3891" s="127" t="n"/>
      <c r="E3891" s="227" t="n"/>
      <c r="F3891" s="227" t="n"/>
      <c r="G3891" s="227" t="n"/>
      <c r="H3891" s="227" t="n"/>
      <c r="I3891" s="227" t="n"/>
      <c r="J3891" s="227" t="n"/>
      <c r="K3891" s="227" t="n"/>
      <c r="L3891" s="227" t="n"/>
      <c r="M3891" s="227" t="n"/>
      <c r="N3891" s="127" t="n"/>
      <c r="O3891" s="227" t="n"/>
      <c r="P3891" s="227" t="n"/>
      <c r="Q3891" s="227" t="n"/>
      <c r="R3891" s="227" t="n"/>
      <c r="S3891" s="227" t="n"/>
      <c r="T3891" s="227" t="n"/>
    </row>
    <row r="3892">
      <c r="A3892" s="145">
        <f>IF($B3892="","",ROW()-5)</f>
        <v/>
      </c>
      <c r="B3892" s="127" t="n"/>
      <c r="C3892" s="223" t="n"/>
      <c r="D3892" s="127" t="n"/>
      <c r="E3892" s="227" t="n"/>
      <c r="F3892" s="227" t="n"/>
      <c r="G3892" s="227" t="n"/>
      <c r="H3892" s="227" t="n"/>
      <c r="I3892" s="227" t="n"/>
      <c r="J3892" s="227" t="n"/>
      <c r="K3892" s="227" t="n"/>
      <c r="L3892" s="227" t="n"/>
      <c r="M3892" s="227" t="n"/>
      <c r="N3892" s="127" t="n"/>
      <c r="O3892" s="227" t="n"/>
      <c r="P3892" s="227" t="n"/>
      <c r="Q3892" s="227" t="n"/>
      <c r="R3892" s="227" t="n"/>
      <c r="S3892" s="227" t="n"/>
      <c r="T3892" s="227" t="n"/>
    </row>
    <row r="3893">
      <c r="A3893" s="145">
        <f>IF($B3893="","",ROW()-5)</f>
        <v/>
      </c>
      <c r="B3893" s="127" t="n"/>
      <c r="C3893" s="223" t="n"/>
      <c r="D3893" s="127" t="n"/>
      <c r="E3893" s="227" t="n"/>
      <c r="F3893" s="227" t="n"/>
      <c r="G3893" s="227" t="n"/>
      <c r="H3893" s="227" t="n"/>
      <c r="I3893" s="227" t="n"/>
      <c r="J3893" s="227" t="n"/>
      <c r="K3893" s="227" t="n"/>
      <c r="L3893" s="227" t="n"/>
      <c r="M3893" s="227" t="n"/>
      <c r="N3893" s="127" t="n"/>
      <c r="O3893" s="227" t="n"/>
      <c r="P3893" s="227" t="n"/>
      <c r="Q3893" s="227" t="n"/>
      <c r="R3893" s="227" t="n"/>
      <c r="S3893" s="227" t="n"/>
      <c r="T3893" s="227" t="n"/>
    </row>
    <row r="3894">
      <c r="A3894" s="145">
        <f>IF($B3894="","",ROW()-5)</f>
        <v/>
      </c>
      <c r="B3894" s="127" t="n"/>
      <c r="C3894" s="223" t="n"/>
      <c r="D3894" s="127" t="n"/>
      <c r="E3894" s="227" t="n"/>
      <c r="F3894" s="227" t="n"/>
      <c r="G3894" s="227" t="n"/>
      <c r="H3894" s="227" t="n"/>
      <c r="I3894" s="227" t="n"/>
      <c r="J3894" s="227" t="n"/>
      <c r="K3894" s="227" t="n"/>
      <c r="L3894" s="227" t="n"/>
      <c r="M3894" s="227" t="n"/>
      <c r="N3894" s="127" t="n"/>
      <c r="O3894" s="227" t="n"/>
      <c r="P3894" s="227" t="n"/>
      <c r="Q3894" s="227" t="n"/>
      <c r="R3894" s="227" t="n"/>
      <c r="S3894" s="227" t="n"/>
      <c r="T3894" s="227" t="n"/>
    </row>
    <row r="3895">
      <c r="A3895" s="145">
        <f>IF($B3895="","",ROW()-5)</f>
        <v/>
      </c>
      <c r="B3895" s="127" t="n"/>
      <c r="C3895" s="223" t="n"/>
      <c r="D3895" s="127" t="n"/>
      <c r="E3895" s="227" t="n"/>
      <c r="F3895" s="227" t="n"/>
      <c r="G3895" s="227" t="n"/>
      <c r="H3895" s="227" t="n"/>
      <c r="I3895" s="227" t="n"/>
      <c r="J3895" s="227" t="n"/>
      <c r="K3895" s="227" t="n"/>
      <c r="L3895" s="227" t="n"/>
      <c r="M3895" s="227" t="n"/>
      <c r="N3895" s="127" t="n"/>
      <c r="O3895" s="227" t="n"/>
      <c r="P3895" s="227" t="n"/>
      <c r="Q3895" s="227" t="n"/>
      <c r="R3895" s="227" t="n"/>
      <c r="S3895" s="227" t="n"/>
      <c r="T3895" s="227" t="n"/>
    </row>
    <row r="3896">
      <c r="A3896" s="145">
        <f>IF($B3896="","",ROW()-5)</f>
        <v/>
      </c>
      <c r="B3896" s="127" t="n"/>
      <c r="C3896" s="223" t="n"/>
      <c r="D3896" s="127" t="n"/>
      <c r="E3896" s="227" t="n"/>
      <c r="F3896" s="227" t="n"/>
      <c r="G3896" s="227" t="n"/>
      <c r="H3896" s="227" t="n"/>
      <c r="I3896" s="227" t="n"/>
      <c r="J3896" s="227" t="n"/>
      <c r="K3896" s="227" t="n"/>
      <c r="L3896" s="227" t="n"/>
      <c r="M3896" s="227" t="n"/>
      <c r="N3896" s="127" t="n"/>
      <c r="O3896" s="227" t="n"/>
      <c r="P3896" s="227" t="n"/>
      <c r="Q3896" s="227" t="n"/>
      <c r="R3896" s="227" t="n"/>
      <c r="S3896" s="227" t="n"/>
      <c r="T3896" s="227" t="n"/>
    </row>
    <row r="3897">
      <c r="A3897" s="145">
        <f>IF($B3897="","",ROW()-5)</f>
        <v/>
      </c>
      <c r="B3897" s="127" t="n"/>
      <c r="C3897" s="223" t="n"/>
      <c r="D3897" s="127" t="n"/>
      <c r="E3897" s="227" t="n"/>
      <c r="F3897" s="227" t="n"/>
      <c r="G3897" s="227" t="n"/>
      <c r="H3897" s="227" t="n"/>
      <c r="I3897" s="227" t="n"/>
      <c r="J3897" s="227" t="n"/>
      <c r="K3897" s="227" t="n"/>
      <c r="L3897" s="227" t="n"/>
      <c r="M3897" s="227" t="n"/>
      <c r="N3897" s="127" t="n"/>
      <c r="O3897" s="227" t="n"/>
      <c r="P3897" s="227" t="n"/>
      <c r="Q3897" s="227" t="n"/>
      <c r="R3897" s="227" t="n"/>
      <c r="S3897" s="227" t="n"/>
      <c r="T3897" s="227" t="n"/>
    </row>
    <row r="3898">
      <c r="A3898" s="145">
        <f>IF($B3898="","",ROW()-5)</f>
        <v/>
      </c>
      <c r="B3898" s="127" t="n"/>
      <c r="C3898" s="223" t="n"/>
      <c r="D3898" s="127" t="n"/>
      <c r="E3898" s="227" t="n"/>
      <c r="F3898" s="227" t="n"/>
      <c r="G3898" s="227" t="n"/>
      <c r="H3898" s="227" t="n"/>
      <c r="I3898" s="227" t="n"/>
      <c r="J3898" s="227" t="n"/>
      <c r="K3898" s="227" t="n"/>
      <c r="L3898" s="227" t="n"/>
      <c r="M3898" s="227" t="n"/>
      <c r="N3898" s="127" t="n"/>
      <c r="O3898" s="227" t="n"/>
      <c r="P3898" s="227" t="n"/>
      <c r="Q3898" s="227" t="n"/>
      <c r="R3898" s="227" t="n"/>
      <c r="S3898" s="227" t="n"/>
      <c r="T3898" s="227" t="n"/>
    </row>
    <row r="3899">
      <c r="A3899" s="145">
        <f>IF($B3899="","",ROW()-5)</f>
        <v/>
      </c>
      <c r="B3899" s="127" t="n"/>
      <c r="C3899" s="223" t="n"/>
      <c r="D3899" s="127" t="n"/>
      <c r="E3899" s="227" t="n"/>
      <c r="F3899" s="227" t="n"/>
      <c r="G3899" s="227" t="n"/>
      <c r="H3899" s="227" t="n"/>
      <c r="I3899" s="227" t="n"/>
      <c r="J3899" s="227" t="n"/>
      <c r="K3899" s="227" t="n"/>
      <c r="L3899" s="227" t="n"/>
      <c r="M3899" s="227" t="n"/>
      <c r="N3899" s="127" t="n"/>
      <c r="O3899" s="227" t="n"/>
      <c r="P3899" s="227" t="n"/>
      <c r="Q3899" s="227" t="n"/>
      <c r="R3899" s="227" t="n"/>
      <c r="S3899" s="227" t="n"/>
      <c r="T3899" s="227" t="n"/>
    </row>
    <row r="3900">
      <c r="A3900" s="145">
        <f>IF($B3900="","",ROW()-5)</f>
        <v/>
      </c>
      <c r="B3900" s="127" t="n"/>
      <c r="C3900" s="223" t="n"/>
      <c r="D3900" s="127" t="n"/>
      <c r="E3900" s="227" t="n"/>
      <c r="F3900" s="227" t="n"/>
      <c r="G3900" s="227" t="n"/>
      <c r="H3900" s="227" t="n"/>
      <c r="I3900" s="227" t="n"/>
      <c r="J3900" s="227" t="n"/>
      <c r="K3900" s="227" t="n"/>
      <c r="L3900" s="227" t="n"/>
      <c r="M3900" s="227" t="n"/>
      <c r="N3900" s="127" t="n"/>
      <c r="O3900" s="227" t="n"/>
      <c r="P3900" s="227" t="n"/>
      <c r="Q3900" s="227" t="n"/>
      <c r="R3900" s="227" t="n"/>
      <c r="S3900" s="227" t="n"/>
      <c r="T3900" s="227" t="n"/>
    </row>
    <row r="3901">
      <c r="A3901" s="145">
        <f>IF($B3901="","",ROW()-5)</f>
        <v/>
      </c>
      <c r="B3901" s="127" t="n"/>
      <c r="C3901" s="223" t="n"/>
      <c r="D3901" s="127" t="n"/>
      <c r="E3901" s="227" t="n"/>
      <c r="F3901" s="227" t="n"/>
      <c r="G3901" s="227" t="n"/>
      <c r="H3901" s="227" t="n"/>
      <c r="I3901" s="227" t="n"/>
      <c r="J3901" s="227" t="n"/>
      <c r="K3901" s="227" t="n"/>
      <c r="L3901" s="227" t="n"/>
      <c r="M3901" s="227" t="n"/>
      <c r="N3901" s="127" t="n"/>
      <c r="O3901" s="227" t="n"/>
      <c r="P3901" s="227" t="n"/>
      <c r="Q3901" s="227" t="n"/>
      <c r="R3901" s="227" t="n"/>
      <c r="S3901" s="227" t="n"/>
      <c r="T3901" s="227" t="n"/>
    </row>
    <row r="3902">
      <c r="A3902" s="145">
        <f>IF($B3902="","",ROW()-5)</f>
        <v/>
      </c>
      <c r="B3902" s="127" t="n"/>
      <c r="C3902" s="223" t="n"/>
      <c r="D3902" s="127" t="n"/>
      <c r="E3902" s="227" t="n"/>
      <c r="F3902" s="227" t="n"/>
      <c r="G3902" s="227" t="n"/>
      <c r="H3902" s="227" t="n"/>
      <c r="I3902" s="227" t="n"/>
      <c r="J3902" s="227" t="n"/>
      <c r="K3902" s="227" t="n"/>
      <c r="L3902" s="227" t="n"/>
      <c r="M3902" s="227" t="n"/>
      <c r="N3902" s="127" t="n"/>
      <c r="O3902" s="227" t="n"/>
      <c r="P3902" s="227" t="n"/>
      <c r="Q3902" s="227" t="n"/>
      <c r="R3902" s="227" t="n"/>
      <c r="S3902" s="227" t="n"/>
      <c r="T3902" s="227" t="n"/>
    </row>
    <row r="3903">
      <c r="A3903" s="145">
        <f>IF($B3903="","",ROW()-5)</f>
        <v/>
      </c>
      <c r="B3903" s="127" t="n"/>
      <c r="C3903" s="223" t="n"/>
      <c r="D3903" s="127" t="n"/>
      <c r="E3903" s="227" t="n"/>
      <c r="F3903" s="227" t="n"/>
      <c r="G3903" s="227" t="n"/>
      <c r="H3903" s="227" t="n"/>
      <c r="I3903" s="227" t="n"/>
      <c r="J3903" s="227" t="n"/>
      <c r="K3903" s="227" t="n"/>
      <c r="L3903" s="227" t="n"/>
      <c r="M3903" s="227" t="n"/>
      <c r="N3903" s="127" t="n"/>
      <c r="O3903" s="227" t="n"/>
      <c r="P3903" s="227" t="n"/>
      <c r="Q3903" s="227" t="n"/>
      <c r="R3903" s="227" t="n"/>
      <c r="S3903" s="227" t="n"/>
      <c r="T3903" s="227" t="n"/>
    </row>
    <row r="3904">
      <c r="A3904" s="145">
        <f>IF($B3904="","",ROW()-5)</f>
        <v/>
      </c>
      <c r="B3904" s="127" t="n"/>
      <c r="C3904" s="223" t="n"/>
      <c r="D3904" s="127" t="n"/>
      <c r="E3904" s="227" t="n"/>
      <c r="F3904" s="227" t="n"/>
      <c r="G3904" s="227" t="n"/>
      <c r="H3904" s="227" t="n"/>
      <c r="I3904" s="227" t="n"/>
      <c r="J3904" s="227" t="n"/>
      <c r="K3904" s="227" t="n"/>
      <c r="L3904" s="227" t="n"/>
      <c r="M3904" s="227" t="n"/>
      <c r="N3904" s="127" t="n"/>
      <c r="O3904" s="227" t="n"/>
      <c r="P3904" s="227" t="n"/>
      <c r="Q3904" s="227" t="n"/>
      <c r="R3904" s="227" t="n"/>
      <c r="S3904" s="227" t="n"/>
      <c r="T3904" s="227" t="n"/>
    </row>
    <row r="3905">
      <c r="A3905" s="145">
        <f>IF($B3905="","",ROW()-5)</f>
        <v/>
      </c>
      <c r="B3905" s="127" t="n"/>
      <c r="C3905" s="223" t="n"/>
      <c r="D3905" s="127" t="n"/>
      <c r="E3905" s="227" t="n"/>
      <c r="F3905" s="227" t="n"/>
      <c r="G3905" s="227" t="n"/>
      <c r="H3905" s="227" t="n"/>
      <c r="I3905" s="227" t="n"/>
      <c r="J3905" s="227" t="n"/>
      <c r="K3905" s="227" t="n"/>
      <c r="L3905" s="227" t="n"/>
      <c r="M3905" s="227" t="n"/>
      <c r="N3905" s="127" t="n"/>
      <c r="O3905" s="227" t="n"/>
      <c r="P3905" s="227" t="n"/>
      <c r="Q3905" s="227" t="n"/>
      <c r="R3905" s="227" t="n"/>
      <c r="S3905" s="227" t="n"/>
      <c r="T3905" s="227" t="n"/>
    </row>
    <row r="3906">
      <c r="A3906" s="145">
        <f>IF($B3906="","",ROW()-5)</f>
        <v/>
      </c>
      <c r="B3906" s="127" t="n"/>
      <c r="C3906" s="223" t="n"/>
      <c r="D3906" s="127" t="n"/>
      <c r="E3906" s="227" t="n"/>
      <c r="F3906" s="227" t="n"/>
      <c r="G3906" s="227" t="n"/>
      <c r="H3906" s="227" t="n"/>
      <c r="I3906" s="227" t="n"/>
      <c r="J3906" s="227" t="n"/>
      <c r="K3906" s="227" t="n"/>
      <c r="L3906" s="227" t="n"/>
      <c r="M3906" s="227" t="n"/>
      <c r="N3906" s="127" t="n"/>
      <c r="O3906" s="227" t="n"/>
      <c r="P3906" s="227" t="n"/>
      <c r="Q3906" s="227" t="n"/>
      <c r="R3906" s="227" t="n"/>
      <c r="S3906" s="227" t="n"/>
      <c r="T3906" s="227" t="n"/>
    </row>
    <row r="3907">
      <c r="A3907" s="145">
        <f>IF($B3907="","",ROW()-5)</f>
        <v/>
      </c>
      <c r="B3907" s="127" t="n"/>
      <c r="C3907" s="223" t="n"/>
      <c r="D3907" s="127" t="n"/>
      <c r="E3907" s="227" t="n"/>
      <c r="F3907" s="227" t="n"/>
      <c r="G3907" s="227" t="n"/>
      <c r="H3907" s="227" t="n"/>
      <c r="I3907" s="227" t="n"/>
      <c r="J3907" s="227" t="n"/>
      <c r="K3907" s="227" t="n"/>
      <c r="L3907" s="227" t="n"/>
      <c r="M3907" s="227" t="n"/>
      <c r="N3907" s="127" t="n"/>
      <c r="O3907" s="227" t="n"/>
      <c r="P3907" s="227" t="n"/>
      <c r="Q3907" s="227" t="n"/>
      <c r="R3907" s="227" t="n"/>
      <c r="S3907" s="227" t="n"/>
      <c r="T3907" s="227" t="n"/>
    </row>
    <row r="3908">
      <c r="A3908" s="145">
        <f>IF($B3908="","",ROW()-5)</f>
        <v/>
      </c>
      <c r="B3908" s="127" t="n"/>
      <c r="C3908" s="223" t="n"/>
      <c r="D3908" s="127" t="n"/>
      <c r="E3908" s="227" t="n"/>
      <c r="F3908" s="227" t="n"/>
      <c r="G3908" s="227" t="n"/>
      <c r="H3908" s="227" t="n"/>
      <c r="I3908" s="227" t="n"/>
      <c r="J3908" s="227" t="n"/>
      <c r="K3908" s="227" t="n"/>
      <c r="L3908" s="227" t="n"/>
      <c r="M3908" s="227" t="n"/>
      <c r="N3908" s="127" t="n"/>
      <c r="O3908" s="227" t="n"/>
      <c r="P3908" s="227" t="n"/>
      <c r="Q3908" s="227" t="n"/>
      <c r="R3908" s="227" t="n"/>
      <c r="S3908" s="227" t="n"/>
      <c r="T3908" s="227" t="n"/>
    </row>
    <row r="3909">
      <c r="A3909" s="145">
        <f>IF($B3909="","",ROW()-5)</f>
        <v/>
      </c>
      <c r="B3909" s="127" t="n"/>
      <c r="C3909" s="223" t="n"/>
      <c r="D3909" s="127" t="n"/>
      <c r="E3909" s="227" t="n"/>
      <c r="F3909" s="227" t="n"/>
      <c r="G3909" s="227" t="n"/>
      <c r="H3909" s="227" t="n"/>
      <c r="I3909" s="227" t="n"/>
      <c r="J3909" s="227" t="n"/>
      <c r="K3909" s="227" t="n"/>
      <c r="L3909" s="227" t="n"/>
      <c r="M3909" s="227" t="n"/>
      <c r="N3909" s="127" t="n"/>
      <c r="O3909" s="227" t="n"/>
      <c r="P3909" s="227" t="n"/>
      <c r="Q3909" s="227" t="n"/>
      <c r="R3909" s="227" t="n"/>
      <c r="S3909" s="227" t="n"/>
      <c r="T3909" s="227" t="n"/>
    </row>
    <row r="3910">
      <c r="A3910" s="145">
        <f>IF($B3910="","",ROW()-5)</f>
        <v/>
      </c>
      <c r="B3910" s="127" t="n"/>
      <c r="C3910" s="223" t="n"/>
      <c r="D3910" s="127" t="n"/>
      <c r="E3910" s="227" t="n"/>
      <c r="F3910" s="227" t="n"/>
      <c r="G3910" s="227" t="n"/>
      <c r="H3910" s="227" t="n"/>
      <c r="I3910" s="227" t="n"/>
      <c r="J3910" s="227" t="n"/>
      <c r="K3910" s="227" t="n"/>
      <c r="L3910" s="227" t="n"/>
      <c r="M3910" s="227" t="n"/>
      <c r="N3910" s="127" t="n"/>
      <c r="O3910" s="227" t="n"/>
      <c r="P3910" s="227" t="n"/>
      <c r="Q3910" s="227" t="n"/>
      <c r="R3910" s="227" t="n"/>
      <c r="S3910" s="227" t="n"/>
      <c r="T3910" s="227" t="n"/>
    </row>
    <row r="3911">
      <c r="A3911" s="145">
        <f>IF($B3911="","",ROW()-5)</f>
        <v/>
      </c>
      <c r="B3911" s="127" t="n"/>
      <c r="C3911" s="223" t="n"/>
      <c r="D3911" s="127" t="n"/>
      <c r="E3911" s="227" t="n"/>
      <c r="F3911" s="227" t="n"/>
      <c r="G3911" s="227" t="n"/>
      <c r="H3911" s="227" t="n"/>
      <c r="I3911" s="227" t="n"/>
      <c r="J3911" s="227" t="n"/>
      <c r="K3911" s="227" t="n"/>
      <c r="L3911" s="227" t="n"/>
      <c r="M3911" s="227" t="n"/>
      <c r="N3911" s="127" t="n"/>
      <c r="O3911" s="227" t="n"/>
      <c r="P3911" s="227" t="n"/>
      <c r="Q3911" s="227" t="n"/>
      <c r="R3911" s="227" t="n"/>
      <c r="S3911" s="227" t="n"/>
      <c r="T3911" s="227" t="n"/>
    </row>
    <row r="3912">
      <c r="A3912" s="145">
        <f>IF($B3912="","",ROW()-5)</f>
        <v/>
      </c>
      <c r="B3912" s="127" t="n"/>
      <c r="C3912" s="223" t="n"/>
      <c r="D3912" s="127" t="n"/>
      <c r="E3912" s="227" t="n"/>
      <c r="F3912" s="227" t="n"/>
      <c r="G3912" s="227" t="n"/>
      <c r="H3912" s="227" t="n"/>
      <c r="I3912" s="227" t="n"/>
      <c r="J3912" s="227" t="n"/>
      <c r="K3912" s="227" t="n"/>
      <c r="L3912" s="227" t="n"/>
      <c r="M3912" s="227" t="n"/>
      <c r="N3912" s="127" t="n"/>
      <c r="O3912" s="227" t="n"/>
      <c r="P3912" s="227" t="n"/>
      <c r="Q3912" s="227" t="n"/>
      <c r="R3912" s="227" t="n"/>
      <c r="S3912" s="227" t="n"/>
      <c r="T3912" s="227" t="n"/>
    </row>
    <row r="3913">
      <c r="A3913" s="145">
        <f>IF($B3913="","",ROW()-5)</f>
        <v/>
      </c>
      <c r="B3913" s="127" t="n"/>
      <c r="C3913" s="223" t="n"/>
      <c r="D3913" s="127" t="n"/>
      <c r="E3913" s="227" t="n"/>
      <c r="F3913" s="227" t="n"/>
      <c r="G3913" s="227" t="n"/>
      <c r="H3913" s="227" t="n"/>
      <c r="I3913" s="227" t="n"/>
      <c r="J3913" s="227" t="n"/>
      <c r="K3913" s="227" t="n"/>
      <c r="L3913" s="227" t="n"/>
      <c r="M3913" s="227" t="n"/>
      <c r="N3913" s="127" t="n"/>
      <c r="O3913" s="227" t="n"/>
      <c r="P3913" s="227" t="n"/>
      <c r="Q3913" s="227" t="n"/>
      <c r="R3913" s="227" t="n"/>
      <c r="S3913" s="227" t="n"/>
      <c r="T3913" s="227" t="n"/>
    </row>
    <row r="3914">
      <c r="A3914" s="145">
        <f>IF($B3914="","",ROW()-5)</f>
        <v/>
      </c>
      <c r="B3914" s="127" t="n"/>
      <c r="C3914" s="223" t="n"/>
      <c r="D3914" s="127" t="n"/>
      <c r="E3914" s="227" t="n"/>
      <c r="F3914" s="227" t="n"/>
      <c r="G3914" s="227" t="n"/>
      <c r="H3914" s="227" t="n"/>
      <c r="I3914" s="227" t="n"/>
      <c r="J3914" s="227" t="n"/>
      <c r="K3914" s="227" t="n"/>
      <c r="L3914" s="227" t="n"/>
      <c r="M3914" s="227" t="n"/>
      <c r="N3914" s="127" t="n"/>
      <c r="O3914" s="227" t="n"/>
      <c r="P3914" s="227" t="n"/>
      <c r="Q3914" s="227" t="n"/>
      <c r="R3914" s="227" t="n"/>
      <c r="S3914" s="227" t="n"/>
      <c r="T3914" s="227" t="n"/>
    </row>
    <row r="3915">
      <c r="A3915" s="145">
        <f>IF($B3915="","",ROW()-5)</f>
        <v/>
      </c>
      <c r="B3915" s="127" t="n"/>
      <c r="C3915" s="223" t="n"/>
      <c r="D3915" s="127" t="n"/>
      <c r="E3915" s="227" t="n"/>
      <c r="F3915" s="227" t="n"/>
      <c r="G3915" s="227" t="n"/>
      <c r="H3915" s="227" t="n"/>
      <c r="I3915" s="227" t="n"/>
      <c r="J3915" s="227" t="n"/>
      <c r="K3915" s="227" t="n"/>
      <c r="L3915" s="227" t="n"/>
      <c r="M3915" s="227" t="n"/>
      <c r="N3915" s="127" t="n"/>
      <c r="O3915" s="227" t="n"/>
      <c r="P3915" s="227" t="n"/>
      <c r="Q3915" s="227" t="n"/>
      <c r="R3915" s="227" t="n"/>
      <c r="S3915" s="227" t="n"/>
      <c r="T3915" s="227" t="n"/>
    </row>
    <row r="3916">
      <c r="A3916" s="145">
        <f>IF($B3916="","",ROW()-5)</f>
        <v/>
      </c>
      <c r="B3916" s="127" t="n"/>
      <c r="C3916" s="223" t="n"/>
      <c r="D3916" s="127" t="n"/>
      <c r="E3916" s="227" t="n"/>
      <c r="F3916" s="227" t="n"/>
      <c r="G3916" s="227" t="n"/>
      <c r="H3916" s="227" t="n"/>
      <c r="I3916" s="227" t="n"/>
      <c r="J3916" s="227" t="n"/>
      <c r="K3916" s="227" t="n"/>
      <c r="L3916" s="227" t="n"/>
      <c r="M3916" s="227" t="n"/>
      <c r="N3916" s="127" t="n"/>
      <c r="O3916" s="227" t="n"/>
      <c r="P3916" s="227" t="n"/>
      <c r="Q3916" s="227" t="n"/>
      <c r="R3916" s="227" t="n"/>
      <c r="S3916" s="227" t="n"/>
      <c r="T3916" s="227" t="n"/>
    </row>
    <row r="3917">
      <c r="A3917" s="145">
        <f>IF($B3917="","",ROW()-5)</f>
        <v/>
      </c>
      <c r="B3917" s="127" t="n"/>
      <c r="C3917" s="223" t="n"/>
      <c r="D3917" s="127" t="n"/>
      <c r="E3917" s="227" t="n"/>
      <c r="F3917" s="227" t="n"/>
      <c r="G3917" s="227" t="n"/>
      <c r="H3917" s="227" t="n"/>
      <c r="I3917" s="227" t="n"/>
      <c r="J3917" s="227" t="n"/>
      <c r="K3917" s="227" t="n"/>
      <c r="L3917" s="227" t="n"/>
      <c r="M3917" s="227" t="n"/>
      <c r="N3917" s="127" t="n"/>
      <c r="O3917" s="227" t="n"/>
      <c r="P3917" s="227" t="n"/>
      <c r="Q3917" s="227" t="n"/>
      <c r="R3917" s="227" t="n"/>
      <c r="S3917" s="227" t="n"/>
      <c r="T3917" s="227" t="n"/>
    </row>
    <row r="3918">
      <c r="A3918" s="145">
        <f>IF($B3918="","",ROW()-5)</f>
        <v/>
      </c>
      <c r="B3918" s="127" t="n"/>
      <c r="C3918" s="223" t="n"/>
      <c r="D3918" s="127" t="n"/>
      <c r="E3918" s="227" t="n"/>
      <c r="F3918" s="227" t="n"/>
      <c r="G3918" s="227" t="n"/>
      <c r="H3918" s="227" t="n"/>
      <c r="I3918" s="227" t="n"/>
      <c r="J3918" s="227" t="n"/>
      <c r="K3918" s="227" t="n"/>
      <c r="L3918" s="227" t="n"/>
      <c r="M3918" s="227" t="n"/>
      <c r="N3918" s="127" t="n"/>
      <c r="O3918" s="227" t="n"/>
      <c r="P3918" s="227" t="n"/>
      <c r="Q3918" s="227" t="n"/>
      <c r="R3918" s="227" t="n"/>
      <c r="S3918" s="227" t="n"/>
      <c r="T3918" s="227" t="n"/>
    </row>
    <row r="3919">
      <c r="A3919" s="145">
        <f>IF($B3919="","",ROW()-5)</f>
        <v/>
      </c>
      <c r="B3919" s="127" t="n"/>
      <c r="C3919" s="223" t="n"/>
      <c r="D3919" s="127" t="n"/>
      <c r="E3919" s="227" t="n"/>
      <c r="F3919" s="227" t="n"/>
      <c r="G3919" s="227" t="n"/>
      <c r="H3919" s="227" t="n"/>
      <c r="I3919" s="227" t="n"/>
      <c r="J3919" s="227" t="n"/>
      <c r="K3919" s="227" t="n"/>
      <c r="L3919" s="227" t="n"/>
      <c r="M3919" s="227" t="n"/>
      <c r="N3919" s="127" t="n"/>
      <c r="O3919" s="227" t="n"/>
      <c r="P3919" s="227" t="n"/>
      <c r="Q3919" s="227" t="n"/>
      <c r="R3919" s="227" t="n"/>
      <c r="S3919" s="227" t="n"/>
      <c r="T3919" s="227" t="n"/>
    </row>
    <row r="3920">
      <c r="A3920" s="145">
        <f>IF($B3920="","",ROW()-5)</f>
        <v/>
      </c>
      <c r="B3920" s="127" t="n"/>
      <c r="C3920" s="223" t="n"/>
      <c r="D3920" s="127" t="n"/>
      <c r="E3920" s="227" t="n"/>
      <c r="F3920" s="227" t="n"/>
      <c r="G3920" s="227" t="n"/>
      <c r="H3920" s="227" t="n"/>
      <c r="I3920" s="227" t="n"/>
      <c r="J3920" s="227" t="n"/>
      <c r="K3920" s="227" t="n"/>
      <c r="L3920" s="227" t="n"/>
      <c r="M3920" s="227" t="n"/>
      <c r="N3920" s="127" t="n"/>
      <c r="O3920" s="227" t="n"/>
      <c r="P3920" s="227" t="n"/>
      <c r="Q3920" s="227" t="n"/>
      <c r="R3920" s="227" t="n"/>
      <c r="S3920" s="227" t="n"/>
      <c r="T3920" s="227" t="n"/>
    </row>
    <row r="3921">
      <c r="A3921" s="145">
        <f>IF($B3921="","",ROW()-5)</f>
        <v/>
      </c>
      <c r="B3921" s="127" t="n"/>
      <c r="C3921" s="223" t="n"/>
      <c r="D3921" s="127" t="n"/>
      <c r="E3921" s="227" t="n"/>
      <c r="F3921" s="227" t="n"/>
      <c r="G3921" s="227" t="n"/>
      <c r="H3921" s="227" t="n"/>
      <c r="I3921" s="227" t="n"/>
      <c r="J3921" s="227" t="n"/>
      <c r="K3921" s="227" t="n"/>
      <c r="L3921" s="227" t="n"/>
      <c r="M3921" s="227" t="n"/>
      <c r="N3921" s="127" t="n"/>
      <c r="O3921" s="227" t="n"/>
      <c r="P3921" s="227" t="n"/>
      <c r="Q3921" s="227" t="n"/>
      <c r="R3921" s="227" t="n"/>
      <c r="S3921" s="227" t="n"/>
      <c r="T3921" s="227" t="n"/>
    </row>
    <row r="3922">
      <c r="A3922" s="145">
        <f>IF($B3922="","",ROW()-5)</f>
        <v/>
      </c>
      <c r="B3922" s="127" t="n"/>
      <c r="C3922" s="223" t="n"/>
      <c r="D3922" s="127" t="n"/>
      <c r="E3922" s="227" t="n"/>
      <c r="F3922" s="227" t="n"/>
      <c r="G3922" s="227" t="n"/>
      <c r="H3922" s="227" t="n"/>
      <c r="I3922" s="227" t="n"/>
      <c r="J3922" s="227" t="n"/>
      <c r="K3922" s="227" t="n"/>
      <c r="L3922" s="227" t="n"/>
      <c r="M3922" s="227" t="n"/>
      <c r="N3922" s="127" t="n"/>
      <c r="O3922" s="227" t="n"/>
      <c r="P3922" s="227" t="n"/>
      <c r="Q3922" s="227" t="n"/>
      <c r="R3922" s="227" t="n"/>
      <c r="S3922" s="227" t="n"/>
      <c r="T3922" s="227" t="n"/>
    </row>
    <row r="3923">
      <c r="A3923" s="145">
        <f>IF($B3923="","",ROW()-5)</f>
        <v/>
      </c>
      <c r="B3923" s="127" t="n"/>
      <c r="C3923" s="223" t="n"/>
      <c r="D3923" s="127" t="n"/>
      <c r="E3923" s="227" t="n"/>
      <c r="F3923" s="227" t="n"/>
      <c r="G3923" s="227" t="n"/>
      <c r="H3923" s="227" t="n"/>
      <c r="I3923" s="227" t="n"/>
      <c r="J3923" s="227" t="n"/>
      <c r="K3923" s="227" t="n"/>
      <c r="L3923" s="227" t="n"/>
      <c r="M3923" s="227" t="n"/>
      <c r="N3923" s="127" t="n"/>
      <c r="O3923" s="227" t="n"/>
      <c r="P3923" s="227" t="n"/>
      <c r="Q3923" s="227" t="n"/>
      <c r="R3923" s="227" t="n"/>
      <c r="S3923" s="227" t="n"/>
      <c r="T3923" s="227" t="n"/>
    </row>
    <row r="3924">
      <c r="A3924" s="145">
        <f>IF($B3924="","",ROW()-5)</f>
        <v/>
      </c>
      <c r="B3924" s="127" t="n"/>
      <c r="C3924" s="223" t="n"/>
      <c r="D3924" s="127" t="n"/>
      <c r="E3924" s="227" t="n"/>
      <c r="F3924" s="227" t="n"/>
      <c r="G3924" s="227" t="n"/>
      <c r="H3924" s="227" t="n"/>
      <c r="I3924" s="227" t="n"/>
      <c r="J3924" s="227" t="n"/>
      <c r="K3924" s="227" t="n"/>
      <c r="L3924" s="227" t="n"/>
      <c r="M3924" s="227" t="n"/>
      <c r="N3924" s="127" t="n"/>
      <c r="O3924" s="227" t="n"/>
      <c r="P3924" s="227" t="n"/>
      <c r="Q3924" s="227" t="n"/>
      <c r="R3924" s="227" t="n"/>
      <c r="S3924" s="227" t="n"/>
      <c r="T3924" s="227" t="n"/>
    </row>
    <row r="3925">
      <c r="A3925" s="145">
        <f>IF($B3925="","",ROW()-5)</f>
        <v/>
      </c>
      <c r="B3925" s="127" t="n"/>
      <c r="C3925" s="223" t="n"/>
      <c r="D3925" s="127" t="n"/>
      <c r="E3925" s="227" t="n"/>
      <c r="F3925" s="227" t="n"/>
      <c r="G3925" s="227" t="n"/>
      <c r="H3925" s="227" t="n"/>
      <c r="I3925" s="227" t="n"/>
      <c r="J3925" s="227" t="n"/>
      <c r="K3925" s="227" t="n"/>
      <c r="L3925" s="227" t="n"/>
      <c r="M3925" s="227" t="n"/>
      <c r="N3925" s="127" t="n"/>
      <c r="O3925" s="227" t="n"/>
      <c r="P3925" s="227" t="n"/>
      <c r="Q3925" s="227" t="n"/>
      <c r="R3925" s="227" t="n"/>
      <c r="S3925" s="227" t="n"/>
      <c r="T3925" s="227" t="n"/>
    </row>
    <row r="3926">
      <c r="A3926" s="145">
        <f>IF($B3926="","",ROW()-5)</f>
        <v/>
      </c>
      <c r="B3926" s="127" t="n"/>
      <c r="C3926" s="223" t="n"/>
      <c r="D3926" s="127" t="n"/>
      <c r="E3926" s="227" t="n"/>
      <c r="F3926" s="227" t="n"/>
      <c r="G3926" s="227" t="n"/>
      <c r="H3926" s="227" t="n"/>
      <c r="I3926" s="227" t="n"/>
      <c r="J3926" s="227" t="n"/>
      <c r="K3926" s="227" t="n"/>
      <c r="L3926" s="227" t="n"/>
      <c r="M3926" s="227" t="n"/>
      <c r="N3926" s="127" t="n"/>
      <c r="O3926" s="227" t="n"/>
      <c r="P3926" s="227" t="n"/>
      <c r="Q3926" s="227" t="n"/>
      <c r="R3926" s="227" t="n"/>
      <c r="S3926" s="227" t="n"/>
      <c r="T3926" s="227" t="n"/>
    </row>
    <row r="3927">
      <c r="A3927" s="145">
        <f>IF($B3927="","",ROW()-5)</f>
        <v/>
      </c>
      <c r="B3927" s="127" t="n"/>
      <c r="C3927" s="223" t="n"/>
      <c r="D3927" s="127" t="n"/>
      <c r="E3927" s="227" t="n"/>
      <c r="F3927" s="227" t="n"/>
      <c r="G3927" s="227" t="n"/>
      <c r="H3927" s="227" t="n"/>
      <c r="I3927" s="227" t="n"/>
      <c r="J3927" s="227" t="n"/>
      <c r="K3927" s="227" t="n"/>
      <c r="L3927" s="227" t="n"/>
      <c r="M3927" s="227" t="n"/>
      <c r="N3927" s="127" t="n"/>
      <c r="O3927" s="227" t="n"/>
      <c r="P3927" s="227" t="n"/>
      <c r="Q3927" s="227" t="n"/>
      <c r="R3927" s="227" t="n"/>
      <c r="S3927" s="227" t="n"/>
      <c r="T3927" s="227" t="n"/>
    </row>
    <row r="3928">
      <c r="A3928" s="145">
        <f>IF($B3928="","",ROW()-5)</f>
        <v/>
      </c>
      <c r="B3928" s="127" t="n"/>
      <c r="C3928" s="223" t="n"/>
      <c r="D3928" s="127" t="n"/>
      <c r="E3928" s="227" t="n"/>
      <c r="F3928" s="227" t="n"/>
      <c r="G3928" s="227" t="n"/>
      <c r="H3928" s="227" t="n"/>
      <c r="I3928" s="227" t="n"/>
      <c r="J3928" s="227" t="n"/>
      <c r="K3928" s="227" t="n"/>
      <c r="L3928" s="227" t="n"/>
      <c r="M3928" s="227" t="n"/>
      <c r="N3928" s="127" t="n"/>
      <c r="O3928" s="227" t="n"/>
      <c r="P3928" s="227" t="n"/>
      <c r="Q3928" s="227" t="n"/>
      <c r="R3928" s="227" t="n"/>
      <c r="S3928" s="227" t="n"/>
      <c r="T3928" s="227" t="n"/>
    </row>
    <row r="3929">
      <c r="A3929" s="145">
        <f>IF($B3929="","",ROW()-5)</f>
        <v/>
      </c>
      <c r="B3929" s="127" t="n"/>
      <c r="C3929" s="223" t="n"/>
      <c r="D3929" s="127" t="n"/>
      <c r="E3929" s="227" t="n"/>
      <c r="F3929" s="227" t="n"/>
      <c r="G3929" s="227" t="n"/>
      <c r="H3929" s="227" t="n"/>
      <c r="I3929" s="227" t="n"/>
      <c r="J3929" s="227" t="n"/>
      <c r="K3929" s="227" t="n"/>
      <c r="L3929" s="227" t="n"/>
      <c r="M3929" s="227" t="n"/>
      <c r="N3929" s="127" t="n"/>
      <c r="O3929" s="227" t="n"/>
      <c r="P3929" s="227" t="n"/>
      <c r="Q3929" s="227" t="n"/>
      <c r="R3929" s="227" t="n"/>
      <c r="S3929" s="227" t="n"/>
      <c r="T3929" s="227" t="n"/>
    </row>
    <row r="3930">
      <c r="A3930" s="145">
        <f>IF($B3930="","",ROW()-5)</f>
        <v/>
      </c>
      <c r="B3930" s="127" t="n"/>
      <c r="C3930" s="223" t="n"/>
      <c r="D3930" s="127" t="n"/>
      <c r="E3930" s="227" t="n"/>
      <c r="F3930" s="227" t="n"/>
      <c r="G3930" s="227" t="n"/>
      <c r="H3930" s="227" t="n"/>
      <c r="I3930" s="227" t="n"/>
      <c r="J3930" s="227" t="n"/>
      <c r="K3930" s="227" t="n"/>
      <c r="L3930" s="227" t="n"/>
      <c r="M3930" s="227" t="n"/>
      <c r="N3930" s="127" t="n"/>
      <c r="O3930" s="227" t="n"/>
      <c r="P3930" s="227" t="n"/>
      <c r="Q3930" s="227" t="n"/>
      <c r="R3930" s="227" t="n"/>
      <c r="S3930" s="227" t="n"/>
      <c r="T3930" s="227" t="n"/>
    </row>
    <row r="3931">
      <c r="A3931" s="145">
        <f>IF($B3931="","",ROW()-5)</f>
        <v/>
      </c>
      <c r="B3931" s="127" t="n"/>
      <c r="C3931" s="223" t="n"/>
      <c r="D3931" s="127" t="n"/>
      <c r="E3931" s="227" t="n"/>
      <c r="F3931" s="227" t="n"/>
      <c r="G3931" s="227" t="n"/>
      <c r="H3931" s="227" t="n"/>
      <c r="I3931" s="227" t="n"/>
      <c r="J3931" s="227" t="n"/>
      <c r="K3931" s="227" t="n"/>
      <c r="L3931" s="227" t="n"/>
      <c r="M3931" s="227" t="n"/>
      <c r="N3931" s="127" t="n"/>
      <c r="O3931" s="227" t="n"/>
      <c r="P3931" s="227" t="n"/>
      <c r="Q3931" s="227" t="n"/>
      <c r="R3931" s="227" t="n"/>
      <c r="S3931" s="227" t="n"/>
      <c r="T3931" s="227" t="n"/>
    </row>
    <row r="3932">
      <c r="A3932" s="145">
        <f>IF($B3932="","",ROW()-5)</f>
        <v/>
      </c>
      <c r="B3932" s="127" t="n"/>
      <c r="C3932" s="223" t="n"/>
      <c r="D3932" s="127" t="n"/>
      <c r="E3932" s="227" t="n"/>
      <c r="F3932" s="227" t="n"/>
      <c r="G3932" s="227" t="n"/>
      <c r="H3932" s="227" t="n"/>
      <c r="I3932" s="227" t="n"/>
      <c r="J3932" s="227" t="n"/>
      <c r="K3932" s="227" t="n"/>
      <c r="L3932" s="227" t="n"/>
      <c r="M3932" s="227" t="n"/>
      <c r="N3932" s="127" t="n"/>
      <c r="O3932" s="227" t="n"/>
      <c r="P3932" s="227" t="n"/>
      <c r="Q3932" s="227" t="n"/>
      <c r="R3932" s="227" t="n"/>
      <c r="S3932" s="227" t="n"/>
      <c r="T3932" s="227" t="n"/>
    </row>
    <row r="3933">
      <c r="A3933" s="145">
        <f>IF($B3933="","",ROW()-5)</f>
        <v/>
      </c>
      <c r="B3933" s="127" t="n"/>
      <c r="C3933" s="223" t="n"/>
      <c r="D3933" s="127" t="n"/>
      <c r="E3933" s="227" t="n"/>
      <c r="F3933" s="227" t="n"/>
      <c r="G3933" s="227" t="n"/>
      <c r="H3933" s="227" t="n"/>
      <c r="I3933" s="227" t="n"/>
      <c r="J3933" s="227" t="n"/>
      <c r="K3933" s="227" t="n"/>
      <c r="L3933" s="227" t="n"/>
      <c r="M3933" s="227" t="n"/>
      <c r="N3933" s="127" t="n"/>
      <c r="O3933" s="227" t="n"/>
      <c r="P3933" s="227" t="n"/>
      <c r="Q3933" s="227" t="n"/>
      <c r="R3933" s="227" t="n"/>
      <c r="S3933" s="227" t="n"/>
      <c r="T3933" s="227" t="n"/>
    </row>
    <row r="3934">
      <c r="A3934" s="145">
        <f>IF($B3934="","",ROW()-5)</f>
        <v/>
      </c>
      <c r="B3934" s="127" t="n"/>
      <c r="C3934" s="223" t="n"/>
      <c r="D3934" s="127" t="n"/>
      <c r="E3934" s="227" t="n"/>
      <c r="F3934" s="227" t="n"/>
      <c r="G3934" s="227" t="n"/>
      <c r="H3934" s="227" t="n"/>
      <c r="I3934" s="227" t="n"/>
      <c r="J3934" s="227" t="n"/>
      <c r="K3934" s="227" t="n"/>
      <c r="L3934" s="227" t="n"/>
      <c r="M3934" s="227" t="n"/>
      <c r="N3934" s="127" t="n"/>
      <c r="O3934" s="227" t="n"/>
      <c r="P3934" s="227" t="n"/>
      <c r="Q3934" s="227" t="n"/>
      <c r="R3934" s="227" t="n"/>
      <c r="S3934" s="227" t="n"/>
      <c r="T3934" s="227" t="n"/>
    </row>
    <row r="3935">
      <c r="A3935" s="145">
        <f>IF($B3935="","",ROW()-5)</f>
        <v/>
      </c>
      <c r="B3935" s="127" t="n"/>
      <c r="C3935" s="223" t="n"/>
      <c r="D3935" s="127" t="n"/>
      <c r="E3935" s="227" t="n"/>
      <c r="F3935" s="227" t="n"/>
      <c r="G3935" s="227" t="n"/>
      <c r="H3935" s="227" t="n"/>
      <c r="I3935" s="227" t="n"/>
      <c r="J3935" s="227" t="n"/>
      <c r="K3935" s="227" t="n"/>
      <c r="L3935" s="227" t="n"/>
      <c r="M3935" s="227" t="n"/>
      <c r="N3935" s="127" t="n"/>
      <c r="O3935" s="227" t="n"/>
      <c r="P3935" s="227" t="n"/>
      <c r="Q3935" s="227" t="n"/>
      <c r="R3935" s="227" t="n"/>
      <c r="S3935" s="227" t="n"/>
      <c r="T3935" s="227" t="n"/>
    </row>
    <row r="3936">
      <c r="A3936" s="145">
        <f>IF($B3936="","",ROW()-5)</f>
        <v/>
      </c>
      <c r="B3936" s="127" t="n"/>
      <c r="C3936" s="223" t="n"/>
      <c r="D3936" s="127" t="n"/>
      <c r="E3936" s="227" t="n"/>
      <c r="F3936" s="227" t="n"/>
      <c r="G3936" s="227" t="n"/>
      <c r="H3936" s="227" t="n"/>
      <c r="I3936" s="227" t="n"/>
      <c r="J3936" s="227" t="n"/>
      <c r="K3936" s="227" t="n"/>
      <c r="L3936" s="227" t="n"/>
      <c r="M3936" s="227" t="n"/>
      <c r="N3936" s="127" t="n"/>
      <c r="O3936" s="227" t="n"/>
      <c r="P3936" s="227" t="n"/>
      <c r="Q3936" s="227" t="n"/>
      <c r="R3936" s="227" t="n"/>
      <c r="S3936" s="227" t="n"/>
      <c r="T3936" s="227" t="n"/>
    </row>
    <row r="3937">
      <c r="A3937" s="145">
        <f>IF($B3937="","",ROW()-5)</f>
        <v/>
      </c>
      <c r="B3937" s="127" t="n"/>
      <c r="C3937" s="223" t="n"/>
      <c r="D3937" s="127" t="n"/>
      <c r="E3937" s="227" t="n"/>
      <c r="F3937" s="227" t="n"/>
      <c r="G3937" s="227" t="n"/>
      <c r="H3937" s="227" t="n"/>
      <c r="I3937" s="227" t="n"/>
      <c r="J3937" s="227" t="n"/>
      <c r="K3937" s="227" t="n"/>
      <c r="L3937" s="227" t="n"/>
      <c r="M3937" s="227" t="n"/>
      <c r="N3937" s="127" t="n"/>
      <c r="O3937" s="227" t="n"/>
      <c r="P3937" s="227" t="n"/>
      <c r="Q3937" s="227" t="n"/>
      <c r="R3937" s="227" t="n"/>
      <c r="S3937" s="227" t="n"/>
      <c r="T3937" s="227" t="n"/>
    </row>
    <row r="3938">
      <c r="A3938" s="145">
        <f>IF($B3938="","",ROW()-5)</f>
        <v/>
      </c>
      <c r="B3938" s="127" t="n"/>
      <c r="C3938" s="223" t="n"/>
      <c r="D3938" s="127" t="n"/>
      <c r="E3938" s="227" t="n"/>
      <c r="F3938" s="227" t="n"/>
      <c r="G3938" s="227" t="n"/>
      <c r="H3938" s="227" t="n"/>
      <c r="I3938" s="227" t="n"/>
      <c r="J3938" s="227" t="n"/>
      <c r="K3938" s="227" t="n"/>
      <c r="L3938" s="227" t="n"/>
      <c r="M3938" s="227" t="n"/>
      <c r="N3938" s="127" t="n"/>
      <c r="O3938" s="227" t="n"/>
      <c r="P3938" s="227" t="n"/>
      <c r="Q3938" s="227" t="n"/>
      <c r="R3938" s="227" t="n"/>
      <c r="S3938" s="227" t="n"/>
      <c r="T3938" s="227" t="n"/>
    </row>
    <row r="3939">
      <c r="A3939" s="145">
        <f>IF($B3939="","",ROW()-5)</f>
        <v/>
      </c>
      <c r="B3939" s="127" t="n"/>
      <c r="C3939" s="223" t="n"/>
      <c r="D3939" s="127" t="n"/>
      <c r="E3939" s="227" t="n"/>
      <c r="F3939" s="227" t="n"/>
      <c r="G3939" s="227" t="n"/>
      <c r="H3939" s="227" t="n"/>
      <c r="I3939" s="227" t="n"/>
      <c r="J3939" s="227" t="n"/>
      <c r="K3939" s="227" t="n"/>
      <c r="L3939" s="227" t="n"/>
      <c r="M3939" s="227" t="n"/>
      <c r="N3939" s="127" t="n"/>
      <c r="O3939" s="227" t="n"/>
      <c r="P3939" s="227" t="n"/>
      <c r="Q3939" s="227" t="n"/>
      <c r="R3939" s="227" t="n"/>
      <c r="S3939" s="227" t="n"/>
      <c r="T3939" s="227" t="n"/>
    </row>
    <row r="3940">
      <c r="A3940" s="145">
        <f>IF($B3940="","",ROW()-5)</f>
        <v/>
      </c>
      <c r="B3940" s="127" t="n"/>
      <c r="C3940" s="223" t="n"/>
      <c r="D3940" s="127" t="n"/>
      <c r="E3940" s="227" t="n"/>
      <c r="F3940" s="227" t="n"/>
      <c r="G3940" s="227" t="n"/>
      <c r="H3940" s="227" t="n"/>
      <c r="I3940" s="227" t="n"/>
      <c r="J3940" s="227" t="n"/>
      <c r="K3940" s="227" t="n"/>
      <c r="L3940" s="227" t="n"/>
      <c r="M3940" s="227" t="n"/>
      <c r="N3940" s="127" t="n"/>
      <c r="O3940" s="227" t="n"/>
      <c r="P3940" s="227" t="n"/>
      <c r="Q3940" s="227" t="n"/>
      <c r="R3940" s="227" t="n"/>
      <c r="S3940" s="227" t="n"/>
      <c r="T3940" s="227" t="n"/>
    </row>
    <row r="3941">
      <c r="A3941" s="145">
        <f>IF($B3941="","",ROW()-5)</f>
        <v/>
      </c>
      <c r="B3941" s="127" t="n"/>
      <c r="C3941" s="223" t="n"/>
      <c r="D3941" s="127" t="n"/>
      <c r="E3941" s="227" t="n"/>
      <c r="F3941" s="227" t="n"/>
      <c r="G3941" s="227" t="n"/>
      <c r="H3941" s="227" t="n"/>
      <c r="I3941" s="227" t="n"/>
      <c r="J3941" s="227" t="n"/>
      <c r="K3941" s="227" t="n"/>
      <c r="L3941" s="227" t="n"/>
      <c r="M3941" s="227" t="n"/>
      <c r="N3941" s="127" t="n"/>
      <c r="O3941" s="227" t="n"/>
      <c r="P3941" s="227" t="n"/>
      <c r="Q3941" s="227" t="n"/>
      <c r="R3941" s="227" t="n"/>
      <c r="S3941" s="227" t="n"/>
      <c r="T3941" s="227" t="n"/>
    </row>
    <row r="3942">
      <c r="A3942" s="145">
        <f>IF($B3942="","",ROW()-5)</f>
        <v/>
      </c>
      <c r="B3942" s="127" t="n"/>
      <c r="C3942" s="223" t="n"/>
      <c r="D3942" s="127" t="n"/>
      <c r="E3942" s="227" t="n"/>
      <c r="F3942" s="227" t="n"/>
      <c r="G3942" s="227" t="n"/>
      <c r="H3942" s="227" t="n"/>
      <c r="I3942" s="227" t="n"/>
      <c r="J3942" s="227" t="n"/>
      <c r="K3942" s="227" t="n"/>
      <c r="L3942" s="227" t="n"/>
      <c r="M3942" s="227" t="n"/>
      <c r="N3942" s="127" t="n"/>
      <c r="O3942" s="227" t="n"/>
      <c r="P3942" s="227" t="n"/>
      <c r="Q3942" s="227" t="n"/>
      <c r="R3942" s="227" t="n"/>
      <c r="S3942" s="227" t="n"/>
      <c r="T3942" s="227" t="n"/>
    </row>
    <row r="3943">
      <c r="A3943" s="145">
        <f>IF($B3943="","",ROW()-5)</f>
        <v/>
      </c>
      <c r="B3943" s="127" t="n"/>
      <c r="C3943" s="223" t="n"/>
      <c r="D3943" s="127" t="n"/>
      <c r="E3943" s="227" t="n"/>
      <c r="F3943" s="227" t="n"/>
      <c r="G3943" s="227" t="n"/>
      <c r="H3943" s="227" t="n"/>
      <c r="I3943" s="227" t="n"/>
      <c r="J3943" s="227" t="n"/>
      <c r="K3943" s="227" t="n"/>
      <c r="L3943" s="227" t="n"/>
      <c r="M3943" s="227" t="n"/>
      <c r="N3943" s="127" t="n"/>
      <c r="O3943" s="227" t="n"/>
      <c r="P3943" s="227" t="n"/>
      <c r="Q3943" s="227" t="n"/>
      <c r="R3943" s="227" t="n"/>
      <c r="S3943" s="227" t="n"/>
      <c r="T3943" s="227" t="n"/>
    </row>
    <row r="3944">
      <c r="A3944" s="145">
        <f>IF($B3944="","",ROW()-5)</f>
        <v/>
      </c>
      <c r="B3944" s="127" t="n"/>
      <c r="C3944" s="223" t="n"/>
      <c r="D3944" s="127" t="n"/>
      <c r="E3944" s="227" t="n"/>
      <c r="F3944" s="227" t="n"/>
      <c r="G3944" s="227" t="n"/>
      <c r="H3944" s="227" t="n"/>
      <c r="I3944" s="227" t="n"/>
      <c r="J3944" s="227" t="n"/>
      <c r="K3944" s="227" t="n"/>
      <c r="L3944" s="227" t="n"/>
      <c r="M3944" s="227" t="n"/>
      <c r="N3944" s="127" t="n"/>
      <c r="O3944" s="227" t="n"/>
      <c r="P3944" s="227" t="n"/>
      <c r="Q3944" s="227" t="n"/>
      <c r="R3944" s="227" t="n"/>
      <c r="S3944" s="227" t="n"/>
      <c r="T3944" s="227" t="n"/>
    </row>
    <row r="3945">
      <c r="A3945" s="145">
        <f>IF($B3945="","",ROW()-5)</f>
        <v/>
      </c>
      <c r="B3945" s="127" t="n"/>
      <c r="C3945" s="223" t="n"/>
      <c r="D3945" s="127" t="n"/>
      <c r="E3945" s="227" t="n"/>
      <c r="F3945" s="227" t="n"/>
      <c r="G3945" s="227" t="n"/>
      <c r="H3945" s="227" t="n"/>
      <c r="I3945" s="227" t="n"/>
      <c r="J3945" s="227" t="n"/>
      <c r="K3945" s="227" t="n"/>
      <c r="L3945" s="227" t="n"/>
      <c r="M3945" s="227" t="n"/>
      <c r="N3945" s="127" t="n"/>
      <c r="O3945" s="227" t="n"/>
      <c r="P3945" s="227" t="n"/>
      <c r="Q3945" s="227" t="n"/>
      <c r="R3945" s="227" t="n"/>
      <c r="S3945" s="227" t="n"/>
      <c r="T3945" s="227" t="n"/>
    </row>
    <row r="3946">
      <c r="A3946" s="145">
        <f>IF($B3946="","",ROW()-5)</f>
        <v/>
      </c>
      <c r="B3946" s="127" t="n"/>
      <c r="C3946" s="223" t="n"/>
      <c r="D3946" s="127" t="n"/>
      <c r="E3946" s="227" t="n"/>
      <c r="F3946" s="227" t="n"/>
      <c r="G3946" s="227" t="n"/>
      <c r="H3946" s="227" t="n"/>
      <c r="I3946" s="227" t="n"/>
      <c r="J3946" s="227" t="n"/>
      <c r="K3946" s="227" t="n"/>
      <c r="L3946" s="227" t="n"/>
      <c r="M3946" s="227" t="n"/>
      <c r="N3946" s="127" t="n"/>
      <c r="O3946" s="227" t="n"/>
      <c r="P3946" s="227" t="n"/>
      <c r="Q3946" s="227" t="n"/>
      <c r="R3946" s="227" t="n"/>
      <c r="S3946" s="227" t="n"/>
      <c r="T3946" s="227" t="n"/>
    </row>
    <row r="3947">
      <c r="A3947" s="145">
        <f>IF($B3947="","",ROW()-5)</f>
        <v/>
      </c>
      <c r="B3947" s="127" t="n"/>
      <c r="C3947" s="223" t="n"/>
      <c r="D3947" s="127" t="n"/>
      <c r="E3947" s="227" t="n"/>
      <c r="F3947" s="227" t="n"/>
      <c r="G3947" s="227" t="n"/>
      <c r="H3947" s="227" t="n"/>
      <c r="I3947" s="227" t="n"/>
      <c r="J3947" s="227" t="n"/>
      <c r="K3947" s="227" t="n"/>
      <c r="L3947" s="227" t="n"/>
      <c r="M3947" s="227" t="n"/>
      <c r="N3947" s="127" t="n"/>
      <c r="O3947" s="227" t="n"/>
      <c r="P3947" s="227" t="n"/>
      <c r="Q3947" s="227" t="n"/>
      <c r="R3947" s="227" t="n"/>
      <c r="S3947" s="227" t="n"/>
      <c r="T3947" s="227" t="n"/>
    </row>
    <row r="3948">
      <c r="A3948" s="145">
        <f>IF($B3948="","",ROW()-5)</f>
        <v/>
      </c>
      <c r="B3948" s="127" t="n"/>
      <c r="C3948" s="223" t="n"/>
      <c r="D3948" s="127" t="n"/>
      <c r="E3948" s="227" t="n"/>
      <c r="F3948" s="227" t="n"/>
      <c r="G3948" s="227" t="n"/>
      <c r="H3948" s="227" t="n"/>
      <c r="I3948" s="227" t="n"/>
      <c r="J3948" s="227" t="n"/>
      <c r="K3948" s="227" t="n"/>
      <c r="L3948" s="227" t="n"/>
      <c r="M3948" s="227" t="n"/>
      <c r="N3948" s="127" t="n"/>
      <c r="O3948" s="227" t="n"/>
      <c r="P3948" s="227" t="n"/>
      <c r="Q3948" s="227" t="n"/>
      <c r="R3948" s="227" t="n"/>
      <c r="S3948" s="227" t="n"/>
      <c r="T3948" s="227" t="n"/>
    </row>
    <row r="3949">
      <c r="A3949" s="145">
        <f>IF($B3949="","",ROW()-5)</f>
        <v/>
      </c>
      <c r="B3949" s="127" t="n"/>
      <c r="C3949" s="223" t="n"/>
      <c r="D3949" s="127" t="n"/>
      <c r="E3949" s="227" t="n"/>
      <c r="F3949" s="227" t="n"/>
      <c r="G3949" s="227" t="n"/>
      <c r="H3949" s="227" t="n"/>
      <c r="I3949" s="227" t="n"/>
      <c r="J3949" s="227" t="n"/>
      <c r="K3949" s="227" t="n"/>
      <c r="L3949" s="227" t="n"/>
      <c r="M3949" s="227" t="n"/>
      <c r="N3949" s="127" t="n"/>
      <c r="O3949" s="227" t="n"/>
      <c r="P3949" s="227" t="n"/>
      <c r="Q3949" s="227" t="n"/>
      <c r="R3949" s="227" t="n"/>
      <c r="S3949" s="227" t="n"/>
      <c r="T3949" s="227" t="n"/>
    </row>
    <row r="3950">
      <c r="A3950" s="145">
        <f>IF($B3950="","",ROW()-5)</f>
        <v/>
      </c>
      <c r="B3950" s="127" t="n"/>
      <c r="C3950" s="223" t="n"/>
      <c r="D3950" s="127" t="n"/>
      <c r="E3950" s="227" t="n"/>
      <c r="F3950" s="227" t="n"/>
      <c r="G3950" s="227" t="n"/>
      <c r="H3950" s="227" t="n"/>
      <c r="I3950" s="227" t="n"/>
      <c r="J3950" s="227" t="n"/>
      <c r="K3950" s="227" t="n"/>
      <c r="L3950" s="227" t="n"/>
      <c r="M3950" s="227" t="n"/>
      <c r="N3950" s="127" t="n"/>
      <c r="O3950" s="227" t="n"/>
      <c r="P3950" s="227" t="n"/>
      <c r="Q3950" s="227" t="n"/>
      <c r="R3950" s="227" t="n"/>
      <c r="S3950" s="227" t="n"/>
      <c r="T3950" s="227" t="n"/>
    </row>
    <row r="3951">
      <c r="A3951" s="145">
        <f>IF($B3951="","",ROW()-5)</f>
        <v/>
      </c>
      <c r="B3951" s="127" t="n"/>
      <c r="C3951" s="223" t="n"/>
      <c r="D3951" s="127" t="n"/>
      <c r="E3951" s="227" t="n"/>
      <c r="F3951" s="227" t="n"/>
      <c r="G3951" s="227" t="n"/>
      <c r="H3951" s="227" t="n"/>
      <c r="I3951" s="227" t="n"/>
      <c r="J3951" s="227" t="n"/>
      <c r="K3951" s="227" t="n"/>
      <c r="L3951" s="227" t="n"/>
      <c r="M3951" s="227" t="n"/>
      <c r="N3951" s="127" t="n"/>
      <c r="O3951" s="227" t="n"/>
      <c r="P3951" s="227" t="n"/>
      <c r="Q3951" s="227" t="n"/>
      <c r="R3951" s="227" t="n"/>
      <c r="S3951" s="227" t="n"/>
      <c r="T3951" s="227" t="n"/>
    </row>
    <row r="3952">
      <c r="A3952" s="145">
        <f>IF($B3952="","",ROW()-5)</f>
        <v/>
      </c>
      <c r="B3952" s="127" t="n"/>
      <c r="C3952" s="223" t="n"/>
      <c r="D3952" s="127" t="n"/>
      <c r="E3952" s="227" t="n"/>
      <c r="F3952" s="227" t="n"/>
      <c r="G3952" s="227" t="n"/>
      <c r="H3952" s="227" t="n"/>
      <c r="I3952" s="227" t="n"/>
      <c r="J3952" s="227" t="n"/>
      <c r="K3952" s="227" t="n"/>
      <c r="L3952" s="227" t="n"/>
      <c r="M3952" s="227" t="n"/>
      <c r="N3952" s="127" t="n"/>
      <c r="O3952" s="227" t="n"/>
      <c r="P3952" s="227" t="n"/>
      <c r="Q3952" s="227" t="n"/>
      <c r="R3952" s="227" t="n"/>
      <c r="S3952" s="227" t="n"/>
      <c r="T3952" s="227" t="n"/>
    </row>
    <row r="3953">
      <c r="A3953" s="145">
        <f>IF($B3953="","",ROW()-5)</f>
        <v/>
      </c>
      <c r="B3953" s="127" t="n"/>
      <c r="C3953" s="223" t="n"/>
      <c r="D3953" s="127" t="n"/>
      <c r="E3953" s="227" t="n"/>
      <c r="F3953" s="227" t="n"/>
      <c r="G3953" s="227" t="n"/>
      <c r="H3953" s="227" t="n"/>
      <c r="I3953" s="227" t="n"/>
      <c r="J3953" s="227" t="n"/>
      <c r="K3953" s="227" t="n"/>
      <c r="L3953" s="227" t="n"/>
      <c r="M3953" s="227" t="n"/>
      <c r="N3953" s="127" t="n"/>
      <c r="O3953" s="227" t="n"/>
      <c r="P3953" s="227" t="n"/>
      <c r="Q3953" s="227" t="n"/>
      <c r="R3953" s="227" t="n"/>
      <c r="S3953" s="227" t="n"/>
      <c r="T3953" s="227" t="n"/>
    </row>
    <row r="3954">
      <c r="A3954" s="145">
        <f>IF($B3954="","",ROW()-5)</f>
        <v/>
      </c>
      <c r="B3954" s="127" t="n"/>
      <c r="C3954" s="223" t="n"/>
      <c r="D3954" s="127" t="n"/>
      <c r="E3954" s="227" t="n"/>
      <c r="F3954" s="227" t="n"/>
      <c r="G3954" s="227" t="n"/>
      <c r="H3954" s="227" t="n"/>
      <c r="I3954" s="227" t="n"/>
      <c r="J3954" s="227" t="n"/>
      <c r="K3954" s="227" t="n"/>
      <c r="L3954" s="227" t="n"/>
      <c r="M3954" s="227" t="n"/>
      <c r="N3954" s="127" t="n"/>
      <c r="O3954" s="227" t="n"/>
      <c r="P3954" s="227" t="n"/>
      <c r="Q3954" s="227" t="n"/>
      <c r="R3954" s="227" t="n"/>
      <c r="S3954" s="227" t="n"/>
      <c r="T3954" s="227" t="n"/>
    </row>
    <row r="3955">
      <c r="A3955" s="145">
        <f>IF($B3955="","",ROW()-5)</f>
        <v/>
      </c>
      <c r="B3955" s="127" t="n"/>
      <c r="C3955" s="223" t="n"/>
      <c r="D3955" s="127" t="n"/>
      <c r="E3955" s="227" t="n"/>
      <c r="F3955" s="227" t="n"/>
      <c r="G3955" s="227" t="n"/>
      <c r="H3955" s="227" t="n"/>
      <c r="I3955" s="227" t="n"/>
      <c r="J3955" s="227" t="n"/>
      <c r="K3955" s="227" t="n"/>
      <c r="L3955" s="227" t="n"/>
      <c r="M3955" s="227" t="n"/>
      <c r="N3955" s="127" t="n"/>
      <c r="O3955" s="227" t="n"/>
      <c r="P3955" s="227" t="n"/>
      <c r="Q3955" s="227" t="n"/>
      <c r="R3955" s="227" t="n"/>
      <c r="S3955" s="227" t="n"/>
      <c r="T3955" s="227" t="n"/>
    </row>
    <row r="3956">
      <c r="A3956" s="145">
        <f>IF($B3956="","",ROW()-5)</f>
        <v/>
      </c>
      <c r="B3956" s="127" t="n"/>
      <c r="C3956" s="223" t="n"/>
      <c r="D3956" s="127" t="n"/>
      <c r="E3956" s="227" t="n"/>
      <c r="F3956" s="227" t="n"/>
      <c r="G3956" s="227" t="n"/>
      <c r="H3956" s="227" t="n"/>
      <c r="I3956" s="227" t="n"/>
      <c r="J3956" s="227" t="n"/>
      <c r="K3956" s="227" t="n"/>
      <c r="L3956" s="227" t="n"/>
      <c r="M3956" s="227" t="n"/>
      <c r="N3956" s="127" t="n"/>
      <c r="O3956" s="227" t="n"/>
      <c r="P3956" s="227" t="n"/>
      <c r="Q3956" s="227" t="n"/>
      <c r="R3956" s="227" t="n"/>
      <c r="S3956" s="227" t="n"/>
      <c r="T3956" s="227" t="n"/>
    </row>
    <row r="3957">
      <c r="A3957" s="145">
        <f>IF($B3957="","",ROW()-5)</f>
        <v/>
      </c>
      <c r="B3957" s="127" t="n"/>
      <c r="C3957" s="223" t="n"/>
      <c r="D3957" s="127" t="n"/>
      <c r="E3957" s="227" t="n"/>
      <c r="F3957" s="227" t="n"/>
      <c r="G3957" s="227" t="n"/>
      <c r="H3957" s="227" t="n"/>
      <c r="I3957" s="227" t="n"/>
      <c r="J3957" s="227" t="n"/>
      <c r="K3957" s="227" t="n"/>
      <c r="L3957" s="227" t="n"/>
      <c r="M3957" s="227" t="n"/>
      <c r="N3957" s="127" t="n"/>
      <c r="O3957" s="227" t="n"/>
      <c r="P3957" s="227" t="n"/>
      <c r="Q3957" s="227" t="n"/>
      <c r="R3957" s="227" t="n"/>
      <c r="S3957" s="227" t="n"/>
      <c r="T3957" s="227" t="n"/>
    </row>
    <row r="3958">
      <c r="A3958" s="145">
        <f>IF($B3958="","",ROW()-5)</f>
        <v/>
      </c>
      <c r="B3958" s="127" t="n"/>
      <c r="C3958" s="223" t="n"/>
      <c r="D3958" s="127" t="n"/>
      <c r="E3958" s="227" t="n"/>
      <c r="F3958" s="227" t="n"/>
      <c r="G3958" s="227" t="n"/>
      <c r="H3958" s="227" t="n"/>
      <c r="I3958" s="227" t="n"/>
      <c r="J3958" s="227" t="n"/>
      <c r="K3958" s="227" t="n"/>
      <c r="L3958" s="227" t="n"/>
      <c r="M3958" s="227" t="n"/>
      <c r="N3958" s="127" t="n"/>
      <c r="O3958" s="227" t="n"/>
      <c r="P3958" s="227" t="n"/>
      <c r="Q3958" s="227" t="n"/>
      <c r="R3958" s="227" t="n"/>
      <c r="S3958" s="227" t="n"/>
      <c r="T3958" s="227" t="n"/>
    </row>
    <row r="3959">
      <c r="A3959" s="145">
        <f>IF($B3959="","",ROW()-5)</f>
        <v/>
      </c>
      <c r="B3959" s="127" t="n"/>
      <c r="C3959" s="223" t="n"/>
      <c r="D3959" s="127" t="n"/>
      <c r="E3959" s="227" t="n"/>
      <c r="F3959" s="227" t="n"/>
      <c r="G3959" s="227" t="n"/>
      <c r="H3959" s="227" t="n"/>
      <c r="I3959" s="227" t="n"/>
      <c r="J3959" s="227" t="n"/>
      <c r="K3959" s="227" t="n"/>
      <c r="L3959" s="227" t="n"/>
      <c r="M3959" s="227" t="n"/>
      <c r="N3959" s="127" t="n"/>
      <c r="O3959" s="227" t="n"/>
      <c r="P3959" s="227" t="n"/>
      <c r="Q3959" s="227" t="n"/>
      <c r="R3959" s="227" t="n"/>
      <c r="S3959" s="227" t="n"/>
      <c r="T3959" s="227" t="n"/>
    </row>
    <row r="3960">
      <c r="A3960" s="145">
        <f>IF($B3960="","",ROW()-5)</f>
        <v/>
      </c>
      <c r="B3960" s="127" t="n"/>
      <c r="C3960" s="223" t="n"/>
      <c r="D3960" s="127" t="n"/>
      <c r="E3960" s="227" t="n"/>
      <c r="F3960" s="227" t="n"/>
      <c r="G3960" s="227" t="n"/>
      <c r="H3960" s="227" t="n"/>
      <c r="I3960" s="227" t="n"/>
      <c r="J3960" s="227" t="n"/>
      <c r="K3960" s="227" t="n"/>
      <c r="L3960" s="227" t="n"/>
      <c r="M3960" s="227" t="n"/>
      <c r="N3960" s="127" t="n"/>
      <c r="O3960" s="227" t="n"/>
      <c r="P3960" s="227" t="n"/>
      <c r="Q3960" s="227" t="n"/>
      <c r="R3960" s="227" t="n"/>
      <c r="S3960" s="227" t="n"/>
      <c r="T3960" s="227" t="n"/>
    </row>
    <row r="3961">
      <c r="A3961" s="145">
        <f>IF($B3961="","",ROW()-5)</f>
        <v/>
      </c>
      <c r="B3961" s="127" t="n"/>
      <c r="C3961" s="223" t="n"/>
      <c r="D3961" s="127" t="n"/>
      <c r="E3961" s="227" t="n"/>
      <c r="F3961" s="227" t="n"/>
      <c r="G3961" s="227" t="n"/>
      <c r="H3961" s="227" t="n"/>
      <c r="I3961" s="227" t="n"/>
      <c r="J3961" s="227" t="n"/>
      <c r="K3961" s="227" t="n"/>
      <c r="L3961" s="227" t="n"/>
      <c r="M3961" s="227" t="n"/>
      <c r="N3961" s="127" t="n"/>
      <c r="O3961" s="227" t="n"/>
      <c r="P3961" s="227" t="n"/>
      <c r="Q3961" s="227" t="n"/>
      <c r="R3961" s="227" t="n"/>
      <c r="S3961" s="227" t="n"/>
      <c r="T3961" s="227" t="n"/>
    </row>
    <row r="3962">
      <c r="A3962" s="145">
        <f>IF($B3962="","",ROW()-5)</f>
        <v/>
      </c>
      <c r="B3962" s="127" t="n"/>
      <c r="C3962" s="223" t="n"/>
      <c r="D3962" s="127" t="n"/>
      <c r="E3962" s="227" t="n"/>
      <c r="F3962" s="227" t="n"/>
      <c r="G3962" s="227" t="n"/>
      <c r="H3962" s="227" t="n"/>
      <c r="I3962" s="227" t="n"/>
      <c r="J3962" s="227" t="n"/>
      <c r="K3962" s="227" t="n"/>
      <c r="L3962" s="227" t="n"/>
      <c r="M3962" s="227" t="n"/>
      <c r="N3962" s="127" t="n"/>
      <c r="O3962" s="227" t="n"/>
      <c r="P3962" s="227" t="n"/>
      <c r="Q3962" s="227" t="n"/>
      <c r="R3962" s="227" t="n"/>
      <c r="S3962" s="227" t="n"/>
      <c r="T3962" s="227" t="n"/>
    </row>
    <row r="3963">
      <c r="A3963" s="145">
        <f>IF($B3963="","",ROW()-5)</f>
        <v/>
      </c>
      <c r="B3963" s="127" t="n"/>
      <c r="C3963" s="223" t="n"/>
      <c r="D3963" s="127" t="n"/>
      <c r="E3963" s="227" t="n"/>
      <c r="F3963" s="227" t="n"/>
      <c r="G3963" s="227" t="n"/>
      <c r="H3963" s="227" t="n"/>
      <c r="I3963" s="227" t="n"/>
      <c r="J3963" s="227" t="n"/>
      <c r="K3963" s="227" t="n"/>
      <c r="L3963" s="227" t="n"/>
      <c r="M3963" s="227" t="n"/>
      <c r="N3963" s="127" t="n"/>
      <c r="O3963" s="227" t="n"/>
      <c r="P3963" s="227" t="n"/>
      <c r="Q3963" s="227" t="n"/>
      <c r="R3963" s="227" t="n"/>
      <c r="S3963" s="227" t="n"/>
      <c r="T3963" s="227" t="n"/>
    </row>
    <row r="3964">
      <c r="A3964" s="145">
        <f>IF($B3964="","",ROW()-5)</f>
        <v/>
      </c>
      <c r="B3964" s="127" t="n"/>
      <c r="C3964" s="223" t="n"/>
      <c r="D3964" s="127" t="n"/>
      <c r="E3964" s="227" t="n"/>
      <c r="F3964" s="227" t="n"/>
      <c r="G3964" s="227" t="n"/>
      <c r="H3964" s="227" t="n"/>
      <c r="I3964" s="227" t="n"/>
      <c r="J3964" s="227" t="n"/>
      <c r="K3964" s="227" t="n"/>
      <c r="L3964" s="227" t="n"/>
      <c r="M3964" s="227" t="n"/>
      <c r="N3964" s="127" t="n"/>
      <c r="O3964" s="227" t="n"/>
      <c r="P3964" s="227" t="n"/>
      <c r="Q3964" s="227" t="n"/>
      <c r="R3964" s="227" t="n"/>
      <c r="S3964" s="227" t="n"/>
      <c r="T3964" s="227" t="n"/>
    </row>
    <row r="3965">
      <c r="A3965" s="145">
        <f>IF($B3965="","",ROW()-5)</f>
        <v/>
      </c>
      <c r="B3965" s="127" t="n"/>
      <c r="C3965" s="223" t="n"/>
      <c r="D3965" s="127" t="n"/>
      <c r="E3965" s="227" t="n"/>
      <c r="F3965" s="227" t="n"/>
      <c r="G3965" s="227" t="n"/>
      <c r="H3965" s="227" t="n"/>
      <c r="I3965" s="227" t="n"/>
      <c r="J3965" s="227" t="n"/>
      <c r="K3965" s="227" t="n"/>
      <c r="L3965" s="227" t="n"/>
      <c r="M3965" s="227" t="n"/>
      <c r="N3965" s="127" t="n"/>
      <c r="O3965" s="227" t="n"/>
      <c r="P3965" s="227" t="n"/>
      <c r="Q3965" s="227" t="n"/>
      <c r="R3965" s="227" t="n"/>
      <c r="S3965" s="227" t="n"/>
      <c r="T3965" s="227" t="n"/>
    </row>
    <row r="3966">
      <c r="A3966" s="145">
        <f>IF($B3966="","",ROW()-5)</f>
        <v/>
      </c>
      <c r="B3966" s="127" t="n"/>
      <c r="C3966" s="223" t="n"/>
      <c r="D3966" s="127" t="n"/>
      <c r="E3966" s="227" t="n"/>
      <c r="F3966" s="227" t="n"/>
      <c r="G3966" s="227" t="n"/>
      <c r="H3966" s="227" t="n"/>
      <c r="I3966" s="227" t="n"/>
      <c r="J3966" s="227" t="n"/>
      <c r="K3966" s="227" t="n"/>
      <c r="L3966" s="227" t="n"/>
      <c r="M3966" s="227" t="n"/>
      <c r="N3966" s="127" t="n"/>
      <c r="O3966" s="227" t="n"/>
      <c r="P3966" s="227" t="n"/>
      <c r="Q3966" s="227" t="n"/>
      <c r="R3966" s="227" t="n"/>
      <c r="S3966" s="227" t="n"/>
      <c r="T3966" s="227" t="n"/>
    </row>
    <row r="3967">
      <c r="A3967" s="145">
        <f>IF($B3967="","",ROW()-5)</f>
        <v/>
      </c>
      <c r="B3967" s="127" t="n"/>
      <c r="C3967" s="223" t="n"/>
      <c r="D3967" s="127" t="n"/>
      <c r="E3967" s="227" t="n"/>
      <c r="F3967" s="227" t="n"/>
      <c r="G3967" s="227" t="n"/>
      <c r="H3967" s="227" t="n"/>
      <c r="I3967" s="227" t="n"/>
      <c r="J3967" s="227" t="n"/>
      <c r="K3967" s="227" t="n"/>
      <c r="L3967" s="227" t="n"/>
      <c r="M3967" s="227" t="n"/>
      <c r="N3967" s="127" t="n"/>
      <c r="O3967" s="227" t="n"/>
      <c r="P3967" s="227" t="n"/>
      <c r="Q3967" s="227" t="n"/>
      <c r="R3967" s="227" t="n"/>
      <c r="S3967" s="227" t="n"/>
      <c r="T3967" s="227" t="n"/>
    </row>
    <row r="3968">
      <c r="A3968" s="145">
        <f>IF($B3968="","",ROW()-5)</f>
        <v/>
      </c>
      <c r="B3968" s="127" t="n"/>
      <c r="C3968" s="223" t="n"/>
      <c r="D3968" s="127" t="n"/>
      <c r="E3968" s="227" t="n"/>
      <c r="F3968" s="227" t="n"/>
      <c r="G3968" s="227" t="n"/>
      <c r="H3968" s="227" t="n"/>
      <c r="I3968" s="227" t="n"/>
      <c r="J3968" s="227" t="n"/>
      <c r="K3968" s="227" t="n"/>
      <c r="L3968" s="227" t="n"/>
      <c r="M3968" s="227" t="n"/>
      <c r="N3968" s="127" t="n"/>
      <c r="O3968" s="227" t="n"/>
      <c r="P3968" s="227" t="n"/>
      <c r="Q3968" s="227" t="n"/>
      <c r="R3968" s="227" t="n"/>
      <c r="S3968" s="227" t="n"/>
      <c r="T3968" s="227" t="n"/>
    </row>
    <row r="3969">
      <c r="A3969" s="145">
        <f>IF($B3969="","",ROW()-5)</f>
        <v/>
      </c>
      <c r="B3969" s="127" t="n"/>
      <c r="C3969" s="223" t="n"/>
      <c r="D3969" s="127" t="n"/>
      <c r="E3969" s="227" t="n"/>
      <c r="F3969" s="227" t="n"/>
      <c r="G3969" s="227" t="n"/>
      <c r="H3969" s="227" t="n"/>
      <c r="I3969" s="227" t="n"/>
      <c r="J3969" s="227" t="n"/>
      <c r="K3969" s="227" t="n"/>
      <c r="L3969" s="227" t="n"/>
      <c r="M3969" s="227" t="n"/>
      <c r="N3969" s="127" t="n"/>
      <c r="O3969" s="227" t="n"/>
      <c r="P3969" s="227" t="n"/>
      <c r="Q3969" s="227" t="n"/>
      <c r="R3969" s="227" t="n"/>
      <c r="S3969" s="227" t="n"/>
      <c r="T3969" s="227" t="n"/>
    </row>
    <row r="3970">
      <c r="A3970" s="145">
        <f>IF($B3970="","",ROW()-5)</f>
        <v/>
      </c>
      <c r="B3970" s="127" t="n"/>
      <c r="C3970" s="223" t="n"/>
      <c r="D3970" s="127" t="n"/>
      <c r="E3970" s="227" t="n"/>
      <c r="F3970" s="227" t="n"/>
      <c r="G3970" s="227" t="n"/>
      <c r="H3970" s="227" t="n"/>
      <c r="I3970" s="227" t="n"/>
      <c r="J3970" s="227" t="n"/>
      <c r="K3970" s="227" t="n"/>
      <c r="L3970" s="227" t="n"/>
      <c r="M3970" s="227" t="n"/>
      <c r="N3970" s="127" t="n"/>
      <c r="O3970" s="227" t="n"/>
      <c r="P3970" s="227" t="n"/>
      <c r="Q3970" s="227" t="n"/>
      <c r="R3970" s="227" t="n"/>
      <c r="S3970" s="227" t="n"/>
      <c r="T3970" s="227" t="n"/>
    </row>
    <row r="3971">
      <c r="A3971" s="145">
        <f>IF($B3971="","",ROW()-5)</f>
        <v/>
      </c>
      <c r="B3971" s="127" t="n"/>
      <c r="C3971" s="223" t="n"/>
      <c r="D3971" s="127" t="n"/>
      <c r="E3971" s="227" t="n"/>
      <c r="F3971" s="227" t="n"/>
      <c r="G3971" s="227" t="n"/>
      <c r="H3971" s="227" t="n"/>
      <c r="I3971" s="227" t="n"/>
      <c r="J3971" s="227" t="n"/>
      <c r="K3971" s="227" t="n"/>
      <c r="L3971" s="227" t="n"/>
      <c r="M3971" s="227" t="n"/>
      <c r="N3971" s="127" t="n"/>
      <c r="O3971" s="227" t="n"/>
      <c r="P3971" s="227" t="n"/>
      <c r="Q3971" s="227" t="n"/>
      <c r="R3971" s="227" t="n"/>
      <c r="S3971" s="227" t="n"/>
      <c r="T3971" s="227" t="n"/>
    </row>
    <row r="3972">
      <c r="A3972" s="145">
        <f>IF($B3972="","",ROW()-5)</f>
        <v/>
      </c>
      <c r="B3972" s="127" t="n"/>
      <c r="C3972" s="223" t="n"/>
      <c r="D3972" s="127" t="n"/>
      <c r="E3972" s="227" t="n"/>
      <c r="F3972" s="227" t="n"/>
      <c r="G3972" s="227" t="n"/>
      <c r="H3972" s="227" t="n"/>
      <c r="I3972" s="227" t="n"/>
      <c r="J3972" s="227" t="n"/>
      <c r="K3972" s="227" t="n"/>
      <c r="L3972" s="227" t="n"/>
      <c r="M3972" s="227" t="n"/>
      <c r="N3972" s="127" t="n"/>
      <c r="O3972" s="227" t="n"/>
      <c r="P3972" s="227" t="n"/>
      <c r="Q3972" s="227" t="n"/>
      <c r="R3972" s="227" t="n"/>
      <c r="S3972" s="227" t="n"/>
      <c r="T3972" s="227" t="n"/>
    </row>
    <row r="3973">
      <c r="A3973" s="145">
        <f>IF($B3973="","",ROW()-5)</f>
        <v/>
      </c>
      <c r="B3973" s="127" t="n"/>
      <c r="C3973" s="223" t="n"/>
      <c r="D3973" s="127" t="n"/>
      <c r="E3973" s="227" t="n"/>
      <c r="F3973" s="227" t="n"/>
      <c r="G3973" s="227" t="n"/>
      <c r="H3973" s="227" t="n"/>
      <c r="I3973" s="227" t="n"/>
      <c r="J3973" s="227" t="n"/>
      <c r="K3973" s="227" t="n"/>
      <c r="L3973" s="227" t="n"/>
      <c r="M3973" s="227" t="n"/>
      <c r="N3973" s="127" t="n"/>
      <c r="O3973" s="227" t="n"/>
      <c r="P3973" s="227" t="n"/>
      <c r="Q3973" s="227" t="n"/>
      <c r="R3973" s="227" t="n"/>
      <c r="S3973" s="227" t="n"/>
      <c r="T3973" s="227" t="n"/>
    </row>
    <row r="3974">
      <c r="A3974" s="145">
        <f>IF($B3974="","",ROW()-5)</f>
        <v/>
      </c>
      <c r="B3974" s="127" t="n"/>
      <c r="C3974" s="223" t="n"/>
      <c r="D3974" s="127" t="n"/>
      <c r="E3974" s="227" t="n"/>
      <c r="F3974" s="227" t="n"/>
      <c r="G3974" s="227" t="n"/>
      <c r="H3974" s="227" t="n"/>
      <c r="I3974" s="227" t="n"/>
      <c r="J3974" s="227" t="n"/>
      <c r="K3974" s="227" t="n"/>
      <c r="L3974" s="227" t="n"/>
      <c r="M3974" s="227" t="n"/>
      <c r="N3974" s="127" t="n"/>
      <c r="O3974" s="227" t="n"/>
      <c r="P3974" s="227" t="n"/>
      <c r="Q3974" s="227" t="n"/>
      <c r="R3974" s="227" t="n"/>
      <c r="S3974" s="227" t="n"/>
      <c r="T3974" s="227" t="n"/>
    </row>
    <row r="3975">
      <c r="A3975" s="145">
        <f>IF($B3975="","",ROW()-5)</f>
        <v/>
      </c>
      <c r="B3975" s="127" t="n"/>
      <c r="C3975" s="223" t="n"/>
      <c r="D3975" s="127" t="n"/>
      <c r="E3975" s="227" t="n"/>
      <c r="F3975" s="227" t="n"/>
      <c r="G3975" s="227" t="n"/>
      <c r="H3975" s="227" t="n"/>
      <c r="I3975" s="227" t="n"/>
      <c r="J3975" s="227" t="n"/>
      <c r="K3975" s="227" t="n"/>
      <c r="L3975" s="227" t="n"/>
      <c r="M3975" s="227" t="n"/>
      <c r="N3975" s="127" t="n"/>
      <c r="O3975" s="227" t="n"/>
      <c r="P3975" s="227" t="n"/>
      <c r="Q3975" s="227" t="n"/>
      <c r="R3975" s="227" t="n"/>
      <c r="S3975" s="227" t="n"/>
      <c r="T3975" s="227" t="n"/>
    </row>
    <row r="3976">
      <c r="A3976" s="145">
        <f>IF($B3976="","",ROW()-5)</f>
        <v/>
      </c>
      <c r="B3976" s="127" t="n"/>
      <c r="C3976" s="223" t="n"/>
      <c r="D3976" s="127" t="n"/>
      <c r="E3976" s="227" t="n"/>
      <c r="F3976" s="227" t="n"/>
      <c r="G3976" s="227" t="n"/>
      <c r="H3976" s="227" t="n"/>
      <c r="I3976" s="227" t="n"/>
      <c r="J3976" s="227" t="n"/>
      <c r="K3976" s="227" t="n"/>
      <c r="L3976" s="227" t="n"/>
      <c r="M3976" s="227" t="n"/>
      <c r="N3976" s="127" t="n"/>
      <c r="O3976" s="227" t="n"/>
      <c r="P3976" s="227" t="n"/>
      <c r="Q3976" s="227" t="n"/>
      <c r="R3976" s="227" t="n"/>
      <c r="S3976" s="227" t="n"/>
      <c r="T3976" s="227" t="n"/>
    </row>
    <row r="3977">
      <c r="A3977" s="145">
        <f>IF($B3977="","",ROW()-5)</f>
        <v/>
      </c>
      <c r="B3977" s="127" t="n"/>
      <c r="C3977" s="223" t="n"/>
      <c r="D3977" s="127" t="n"/>
      <c r="E3977" s="227" t="n"/>
      <c r="F3977" s="227" t="n"/>
      <c r="G3977" s="227" t="n"/>
      <c r="H3977" s="227" t="n"/>
      <c r="I3977" s="227" t="n"/>
      <c r="J3977" s="227" t="n"/>
      <c r="K3977" s="227" t="n"/>
      <c r="L3977" s="227" t="n"/>
      <c r="M3977" s="227" t="n"/>
      <c r="N3977" s="127" t="n"/>
      <c r="O3977" s="227" t="n"/>
      <c r="P3977" s="227" t="n"/>
      <c r="Q3977" s="227" t="n"/>
      <c r="R3977" s="227" t="n"/>
      <c r="S3977" s="227" t="n"/>
      <c r="T3977" s="227" t="n"/>
    </row>
    <row r="3978">
      <c r="A3978" s="145">
        <f>IF($B3978="","",ROW()-5)</f>
        <v/>
      </c>
      <c r="B3978" s="127" t="n"/>
      <c r="C3978" s="223" t="n"/>
      <c r="D3978" s="127" t="n"/>
      <c r="E3978" s="227" t="n"/>
      <c r="F3978" s="227" t="n"/>
      <c r="G3978" s="227" t="n"/>
      <c r="H3978" s="227" t="n"/>
      <c r="I3978" s="227" t="n"/>
      <c r="J3978" s="227" t="n"/>
      <c r="K3978" s="227" t="n"/>
      <c r="L3978" s="227" t="n"/>
      <c r="M3978" s="227" t="n"/>
      <c r="N3978" s="127" t="n"/>
      <c r="O3978" s="227" t="n"/>
      <c r="P3978" s="227" t="n"/>
      <c r="Q3978" s="227" t="n"/>
      <c r="R3978" s="227" t="n"/>
      <c r="S3978" s="227" t="n"/>
      <c r="T3978" s="227" t="n"/>
    </row>
    <row r="3979">
      <c r="A3979" s="145">
        <f>IF($B3979="","",ROW()-5)</f>
        <v/>
      </c>
      <c r="B3979" s="127" t="n"/>
      <c r="C3979" s="223" t="n"/>
      <c r="D3979" s="127" t="n"/>
      <c r="E3979" s="227" t="n"/>
      <c r="F3979" s="227" t="n"/>
      <c r="G3979" s="227" t="n"/>
      <c r="H3979" s="227" t="n"/>
      <c r="I3979" s="227" t="n"/>
      <c r="J3979" s="227" t="n"/>
      <c r="K3979" s="227" t="n"/>
      <c r="L3979" s="227" t="n"/>
      <c r="M3979" s="227" t="n"/>
      <c r="N3979" s="127" t="n"/>
      <c r="O3979" s="227" t="n"/>
      <c r="P3979" s="227" t="n"/>
      <c r="Q3979" s="227" t="n"/>
      <c r="R3979" s="227" t="n"/>
      <c r="S3979" s="227" t="n"/>
      <c r="T3979" s="227" t="n"/>
    </row>
    <row r="3980">
      <c r="A3980" s="145">
        <f>IF($B3980="","",ROW()-5)</f>
        <v/>
      </c>
      <c r="B3980" s="127" t="n"/>
      <c r="C3980" s="223" t="n"/>
      <c r="D3980" s="127" t="n"/>
      <c r="E3980" s="227" t="n"/>
      <c r="F3980" s="227" t="n"/>
      <c r="G3980" s="227" t="n"/>
      <c r="H3980" s="227" t="n"/>
      <c r="I3980" s="227" t="n"/>
      <c r="J3980" s="227" t="n"/>
      <c r="K3980" s="227" t="n"/>
      <c r="L3980" s="227" t="n"/>
      <c r="M3980" s="227" t="n"/>
      <c r="N3980" s="127" t="n"/>
      <c r="O3980" s="227" t="n"/>
      <c r="P3980" s="227" t="n"/>
      <c r="Q3980" s="227" t="n"/>
      <c r="R3980" s="227" t="n"/>
      <c r="S3980" s="227" t="n"/>
      <c r="T3980" s="227" t="n"/>
    </row>
    <row r="3981">
      <c r="A3981" s="145">
        <f>IF($B3981="","",ROW()-5)</f>
        <v/>
      </c>
      <c r="B3981" s="127" t="n"/>
      <c r="C3981" s="223" t="n"/>
      <c r="D3981" s="127" t="n"/>
      <c r="E3981" s="227" t="n"/>
      <c r="F3981" s="227" t="n"/>
      <c r="G3981" s="227" t="n"/>
      <c r="H3981" s="227" t="n"/>
      <c r="I3981" s="227" t="n"/>
      <c r="J3981" s="227" t="n"/>
      <c r="K3981" s="227" t="n"/>
      <c r="L3981" s="227" t="n"/>
      <c r="M3981" s="227" t="n"/>
      <c r="N3981" s="127" t="n"/>
      <c r="O3981" s="227" t="n"/>
      <c r="P3981" s="227" t="n"/>
      <c r="Q3981" s="227" t="n"/>
      <c r="R3981" s="227" t="n"/>
      <c r="S3981" s="227" t="n"/>
      <c r="T3981" s="227" t="n"/>
    </row>
    <row r="3982">
      <c r="A3982" s="145">
        <f>IF($B3982="","",ROW()-5)</f>
        <v/>
      </c>
      <c r="B3982" s="127" t="n"/>
      <c r="C3982" s="223" t="n"/>
      <c r="D3982" s="127" t="n"/>
      <c r="E3982" s="227" t="n"/>
      <c r="F3982" s="227" t="n"/>
      <c r="G3982" s="227" t="n"/>
      <c r="H3982" s="227" t="n"/>
      <c r="I3982" s="227" t="n"/>
      <c r="J3982" s="227" t="n"/>
      <c r="K3982" s="227" t="n"/>
      <c r="L3982" s="227" t="n"/>
      <c r="M3982" s="227" t="n"/>
      <c r="N3982" s="127" t="n"/>
      <c r="O3982" s="227" t="n"/>
      <c r="P3982" s="227" t="n"/>
      <c r="Q3982" s="227" t="n"/>
      <c r="R3982" s="227" t="n"/>
      <c r="S3982" s="227" t="n"/>
      <c r="T3982" s="227" t="n"/>
    </row>
    <row r="3983">
      <c r="A3983" s="145">
        <f>IF($B3983="","",ROW()-5)</f>
        <v/>
      </c>
      <c r="B3983" s="127" t="n"/>
      <c r="C3983" s="223" t="n"/>
      <c r="D3983" s="127" t="n"/>
      <c r="E3983" s="227" t="n"/>
      <c r="F3983" s="227" t="n"/>
      <c r="G3983" s="227" t="n"/>
      <c r="H3983" s="227" t="n"/>
      <c r="I3983" s="227" t="n"/>
      <c r="J3983" s="227" t="n"/>
      <c r="K3983" s="227" t="n"/>
      <c r="L3983" s="227" t="n"/>
      <c r="M3983" s="227" t="n"/>
      <c r="N3983" s="127" t="n"/>
      <c r="O3983" s="227" t="n"/>
      <c r="P3983" s="227" t="n"/>
      <c r="Q3983" s="227" t="n"/>
      <c r="R3983" s="227" t="n"/>
      <c r="S3983" s="227" t="n"/>
      <c r="T3983" s="227" t="n"/>
    </row>
    <row r="3984">
      <c r="A3984" s="145">
        <f>IF($B3984="","",ROW()-5)</f>
        <v/>
      </c>
      <c r="B3984" s="127" t="n"/>
      <c r="C3984" s="223" t="n"/>
      <c r="D3984" s="127" t="n"/>
      <c r="E3984" s="227" t="n"/>
      <c r="F3984" s="227" t="n"/>
      <c r="G3984" s="227" t="n"/>
      <c r="H3984" s="227" t="n"/>
      <c r="I3984" s="227" t="n"/>
      <c r="J3984" s="227" t="n"/>
      <c r="K3984" s="227" t="n"/>
      <c r="L3984" s="227" t="n"/>
      <c r="M3984" s="227" t="n"/>
      <c r="N3984" s="127" t="n"/>
      <c r="O3984" s="227" t="n"/>
      <c r="P3984" s="227" t="n"/>
      <c r="Q3984" s="227" t="n"/>
      <c r="R3984" s="227" t="n"/>
      <c r="S3984" s="227" t="n"/>
      <c r="T3984" s="227" t="n"/>
    </row>
    <row r="3985">
      <c r="A3985" s="145">
        <f>IF($B3985="","",ROW()-5)</f>
        <v/>
      </c>
      <c r="B3985" s="127" t="n"/>
      <c r="C3985" s="223" t="n"/>
      <c r="D3985" s="127" t="n"/>
      <c r="E3985" s="227" t="n"/>
      <c r="F3985" s="227" t="n"/>
      <c r="G3985" s="227" t="n"/>
      <c r="H3985" s="227" t="n"/>
      <c r="I3985" s="227" t="n"/>
      <c r="J3985" s="227" t="n"/>
      <c r="K3985" s="227" t="n"/>
      <c r="L3985" s="227" t="n"/>
      <c r="M3985" s="227" t="n"/>
      <c r="N3985" s="127" t="n"/>
      <c r="O3985" s="227" t="n"/>
      <c r="P3985" s="227" t="n"/>
      <c r="Q3985" s="227" t="n"/>
      <c r="R3985" s="227" t="n"/>
      <c r="S3985" s="227" t="n"/>
      <c r="T3985" s="227" t="n"/>
    </row>
    <row r="3986">
      <c r="A3986" s="145">
        <f>IF($B3986="","",ROW()-5)</f>
        <v/>
      </c>
      <c r="B3986" s="127" t="n"/>
      <c r="C3986" s="223" t="n"/>
      <c r="D3986" s="127" t="n"/>
      <c r="E3986" s="227" t="n"/>
      <c r="F3986" s="227" t="n"/>
      <c r="G3986" s="227" t="n"/>
      <c r="H3986" s="227" t="n"/>
      <c r="I3986" s="227" t="n"/>
      <c r="J3986" s="227" t="n"/>
      <c r="K3986" s="227" t="n"/>
      <c r="L3986" s="227" t="n"/>
      <c r="M3986" s="227" t="n"/>
      <c r="N3986" s="127" t="n"/>
      <c r="O3986" s="227" t="n"/>
      <c r="P3986" s="227" t="n"/>
      <c r="Q3986" s="227" t="n"/>
      <c r="R3986" s="227" t="n"/>
      <c r="S3986" s="227" t="n"/>
      <c r="T3986" s="227" t="n"/>
    </row>
    <row r="3987">
      <c r="A3987" s="145">
        <f>IF($B3987="","",ROW()-5)</f>
        <v/>
      </c>
      <c r="B3987" s="127" t="n"/>
      <c r="C3987" s="223" t="n"/>
      <c r="D3987" s="127" t="n"/>
      <c r="E3987" s="227" t="n"/>
      <c r="F3987" s="227" t="n"/>
      <c r="G3987" s="227" t="n"/>
      <c r="H3987" s="227" t="n"/>
      <c r="I3987" s="227" t="n"/>
      <c r="J3987" s="227" t="n"/>
      <c r="K3987" s="227" t="n"/>
      <c r="L3987" s="227" t="n"/>
      <c r="M3987" s="227" t="n"/>
      <c r="N3987" s="127" t="n"/>
      <c r="O3987" s="227" t="n"/>
      <c r="P3987" s="227" t="n"/>
      <c r="Q3987" s="227" t="n"/>
      <c r="R3987" s="227" t="n"/>
      <c r="S3987" s="227" t="n"/>
      <c r="T3987" s="227" t="n"/>
    </row>
    <row r="3988">
      <c r="A3988" s="145">
        <f>IF($B3988="","",ROW()-5)</f>
        <v/>
      </c>
      <c r="B3988" s="127" t="n"/>
      <c r="C3988" s="223" t="n"/>
      <c r="D3988" s="127" t="n"/>
      <c r="E3988" s="227" t="n"/>
      <c r="F3988" s="227" t="n"/>
      <c r="G3988" s="227" t="n"/>
      <c r="H3988" s="227" t="n"/>
      <c r="I3988" s="227" t="n"/>
      <c r="J3988" s="227" t="n"/>
      <c r="K3988" s="227" t="n"/>
      <c r="L3988" s="227" t="n"/>
      <c r="M3988" s="227" t="n"/>
      <c r="N3988" s="127" t="n"/>
      <c r="O3988" s="227" t="n"/>
      <c r="P3988" s="227" t="n"/>
      <c r="Q3988" s="227" t="n"/>
      <c r="R3988" s="227" t="n"/>
      <c r="S3988" s="227" t="n"/>
      <c r="T3988" s="227" t="n"/>
    </row>
    <row r="3989">
      <c r="A3989" s="145">
        <f>IF($B3989="","",ROW()-5)</f>
        <v/>
      </c>
      <c r="B3989" s="127" t="n"/>
      <c r="C3989" s="223" t="n"/>
      <c r="D3989" s="127" t="n"/>
      <c r="E3989" s="227" t="n"/>
      <c r="F3989" s="227" t="n"/>
      <c r="G3989" s="227" t="n"/>
      <c r="H3989" s="227" t="n"/>
      <c r="I3989" s="227" t="n"/>
      <c r="J3989" s="227" t="n"/>
      <c r="K3989" s="227" t="n"/>
      <c r="L3989" s="227" t="n"/>
      <c r="M3989" s="227" t="n"/>
      <c r="N3989" s="127" t="n"/>
      <c r="O3989" s="227" t="n"/>
      <c r="P3989" s="227" t="n"/>
      <c r="Q3989" s="227" t="n"/>
      <c r="R3989" s="227" t="n"/>
      <c r="S3989" s="227" t="n"/>
      <c r="T3989" s="227" t="n"/>
    </row>
    <row r="3990">
      <c r="A3990" s="145">
        <f>IF($B3990="","",ROW()-5)</f>
        <v/>
      </c>
      <c r="B3990" s="127" t="n"/>
      <c r="C3990" s="223" t="n"/>
      <c r="D3990" s="127" t="n"/>
      <c r="E3990" s="227" t="n"/>
      <c r="F3990" s="227" t="n"/>
      <c r="G3990" s="227" t="n"/>
      <c r="H3990" s="227" t="n"/>
      <c r="I3990" s="227" t="n"/>
      <c r="J3990" s="227" t="n"/>
      <c r="K3990" s="227" t="n"/>
      <c r="L3990" s="227" t="n"/>
      <c r="M3990" s="227" t="n"/>
      <c r="N3990" s="127" t="n"/>
      <c r="O3990" s="227" t="n"/>
      <c r="P3990" s="227" t="n"/>
      <c r="Q3990" s="227" t="n"/>
      <c r="R3990" s="227" t="n"/>
      <c r="S3990" s="227" t="n"/>
      <c r="T3990" s="227" t="n"/>
    </row>
    <row r="3991">
      <c r="A3991" s="145">
        <f>IF($B3991="","",ROW()-5)</f>
        <v/>
      </c>
      <c r="B3991" s="127" t="n"/>
      <c r="C3991" s="223" t="n"/>
      <c r="D3991" s="127" t="n"/>
      <c r="E3991" s="227" t="n"/>
      <c r="F3991" s="227" t="n"/>
      <c r="G3991" s="227" t="n"/>
      <c r="H3991" s="227" t="n"/>
      <c r="I3991" s="227" t="n"/>
      <c r="J3991" s="227" t="n"/>
      <c r="K3991" s="227" t="n"/>
      <c r="L3991" s="227" t="n"/>
      <c r="M3991" s="227" t="n"/>
      <c r="N3991" s="127" t="n"/>
      <c r="O3991" s="227" t="n"/>
      <c r="P3991" s="227" t="n"/>
      <c r="Q3991" s="227" t="n"/>
      <c r="R3991" s="227" t="n"/>
      <c r="S3991" s="227" t="n"/>
      <c r="T3991" s="227" t="n"/>
    </row>
    <row r="3992">
      <c r="A3992" s="145">
        <f>IF($B3992="","",ROW()-5)</f>
        <v/>
      </c>
      <c r="B3992" s="127" t="n"/>
      <c r="C3992" s="223" t="n"/>
      <c r="D3992" s="127" t="n"/>
      <c r="E3992" s="227" t="n"/>
      <c r="F3992" s="227" t="n"/>
      <c r="G3992" s="227" t="n"/>
      <c r="H3992" s="227" t="n"/>
      <c r="I3992" s="227" t="n"/>
      <c r="J3992" s="227" t="n"/>
      <c r="K3992" s="227" t="n"/>
      <c r="L3992" s="227" t="n"/>
      <c r="M3992" s="227" t="n"/>
      <c r="N3992" s="127" t="n"/>
      <c r="O3992" s="227" t="n"/>
      <c r="P3992" s="227" t="n"/>
      <c r="Q3992" s="227" t="n"/>
      <c r="R3992" s="227" t="n"/>
      <c r="S3992" s="227" t="n"/>
      <c r="T3992" s="227" t="n"/>
    </row>
    <row r="3993">
      <c r="A3993" s="145">
        <f>IF($B3993="","",ROW()-5)</f>
        <v/>
      </c>
      <c r="B3993" s="127" t="n"/>
      <c r="C3993" s="223" t="n"/>
      <c r="D3993" s="127" t="n"/>
      <c r="E3993" s="227" t="n"/>
      <c r="F3993" s="227" t="n"/>
      <c r="G3993" s="227" t="n"/>
      <c r="H3993" s="227" t="n"/>
      <c r="I3993" s="227" t="n"/>
      <c r="J3993" s="227" t="n"/>
      <c r="K3993" s="227" t="n"/>
      <c r="L3993" s="227" t="n"/>
      <c r="M3993" s="227" t="n"/>
      <c r="N3993" s="127" t="n"/>
      <c r="O3993" s="227" t="n"/>
      <c r="P3993" s="227" t="n"/>
      <c r="Q3993" s="227" t="n"/>
      <c r="R3993" s="227" t="n"/>
      <c r="S3993" s="227" t="n"/>
      <c r="T3993" s="227" t="n"/>
    </row>
    <row r="3994">
      <c r="A3994" s="145">
        <f>IF($B3994="","",ROW()-5)</f>
        <v/>
      </c>
      <c r="B3994" s="127" t="n"/>
      <c r="C3994" s="223" t="n"/>
      <c r="D3994" s="127" t="n"/>
      <c r="E3994" s="227" t="n"/>
      <c r="F3994" s="227" t="n"/>
      <c r="G3994" s="227" t="n"/>
      <c r="H3994" s="227" t="n"/>
      <c r="I3994" s="227" t="n"/>
      <c r="J3994" s="227" t="n"/>
      <c r="K3994" s="227" t="n"/>
      <c r="L3994" s="227" t="n"/>
      <c r="M3994" s="227" t="n"/>
      <c r="N3994" s="127" t="n"/>
      <c r="O3994" s="227" t="n"/>
      <c r="P3994" s="227" t="n"/>
      <c r="Q3994" s="227" t="n"/>
      <c r="R3994" s="227" t="n"/>
      <c r="S3994" s="227" t="n"/>
      <c r="T3994" s="227" t="n"/>
    </row>
    <row r="3995">
      <c r="A3995" s="145">
        <f>IF($B3995="","",ROW()-5)</f>
        <v/>
      </c>
      <c r="B3995" s="127" t="n"/>
      <c r="C3995" s="223" t="n"/>
      <c r="D3995" s="127" t="n"/>
      <c r="E3995" s="227" t="n"/>
      <c r="F3995" s="227" t="n"/>
      <c r="G3995" s="227" t="n"/>
      <c r="H3995" s="227" t="n"/>
      <c r="I3995" s="227" t="n"/>
      <c r="J3995" s="227" t="n"/>
      <c r="K3995" s="227" t="n"/>
      <c r="L3995" s="227" t="n"/>
      <c r="M3995" s="227" t="n"/>
      <c r="N3995" s="127" t="n"/>
      <c r="O3995" s="227" t="n"/>
      <c r="P3995" s="227" t="n"/>
      <c r="Q3995" s="227" t="n"/>
      <c r="R3995" s="227" t="n"/>
      <c r="S3995" s="227" t="n"/>
      <c r="T3995" s="227" t="n"/>
    </row>
    <row r="3996">
      <c r="A3996" s="145">
        <f>IF($B3996="","",ROW()-5)</f>
        <v/>
      </c>
      <c r="B3996" s="127" t="n"/>
      <c r="C3996" s="223" t="n"/>
      <c r="D3996" s="127" t="n"/>
      <c r="E3996" s="227" t="n"/>
      <c r="F3996" s="227" t="n"/>
      <c r="G3996" s="227" t="n"/>
      <c r="H3996" s="227" t="n"/>
      <c r="I3996" s="227" t="n"/>
      <c r="J3996" s="227" t="n"/>
      <c r="K3996" s="227" t="n"/>
      <c r="L3996" s="227" t="n"/>
      <c r="M3996" s="227" t="n"/>
      <c r="N3996" s="127" t="n"/>
      <c r="O3996" s="227" t="n"/>
      <c r="P3996" s="227" t="n"/>
      <c r="Q3996" s="227" t="n"/>
      <c r="R3996" s="227" t="n"/>
      <c r="S3996" s="227" t="n"/>
      <c r="T3996" s="227" t="n"/>
    </row>
    <row r="3997">
      <c r="A3997" s="145">
        <f>IF($B3997="","",ROW()-5)</f>
        <v/>
      </c>
      <c r="B3997" s="127" t="n"/>
      <c r="C3997" s="223" t="n"/>
      <c r="D3997" s="127" t="n"/>
      <c r="E3997" s="227" t="n"/>
      <c r="F3997" s="227" t="n"/>
      <c r="G3997" s="227" t="n"/>
      <c r="H3997" s="227" t="n"/>
      <c r="I3997" s="227" t="n"/>
      <c r="J3997" s="227" t="n"/>
      <c r="K3997" s="227" t="n"/>
      <c r="L3997" s="227" t="n"/>
      <c r="M3997" s="227" t="n"/>
      <c r="N3997" s="127" t="n"/>
      <c r="O3997" s="227" t="n"/>
      <c r="P3997" s="227" t="n"/>
      <c r="Q3997" s="227" t="n"/>
      <c r="R3997" s="227" t="n"/>
      <c r="S3997" s="227" t="n"/>
      <c r="T3997" s="227" t="n"/>
    </row>
    <row r="3998">
      <c r="A3998" s="145">
        <f>IF($B3998="","",ROW()-5)</f>
        <v/>
      </c>
      <c r="B3998" s="127" t="n"/>
      <c r="C3998" s="223" t="n"/>
      <c r="D3998" s="127" t="n"/>
      <c r="E3998" s="227" t="n"/>
      <c r="F3998" s="227" t="n"/>
      <c r="G3998" s="227" t="n"/>
      <c r="H3998" s="227" t="n"/>
      <c r="I3998" s="227" t="n"/>
      <c r="J3998" s="227" t="n"/>
      <c r="K3998" s="227" t="n"/>
      <c r="L3998" s="227" t="n"/>
      <c r="M3998" s="227" t="n"/>
      <c r="N3998" s="127" t="n"/>
      <c r="O3998" s="227" t="n"/>
      <c r="P3998" s="227" t="n"/>
      <c r="Q3998" s="227" t="n"/>
      <c r="R3998" s="227" t="n"/>
      <c r="S3998" s="227" t="n"/>
      <c r="T3998" s="227" t="n"/>
    </row>
    <row r="3999">
      <c r="A3999" s="145">
        <f>IF($B3999="","",ROW()-5)</f>
        <v/>
      </c>
      <c r="B3999" s="127" t="n"/>
      <c r="C3999" s="223" t="n"/>
      <c r="D3999" s="127" t="n"/>
      <c r="E3999" s="227" t="n"/>
      <c r="F3999" s="227" t="n"/>
      <c r="G3999" s="227" t="n"/>
      <c r="H3999" s="227" t="n"/>
      <c r="I3999" s="227" t="n"/>
      <c r="J3999" s="227" t="n"/>
      <c r="K3999" s="227" t="n"/>
      <c r="L3999" s="227" t="n"/>
      <c r="M3999" s="227" t="n"/>
      <c r="N3999" s="127" t="n"/>
      <c r="O3999" s="227" t="n"/>
      <c r="P3999" s="227" t="n"/>
      <c r="Q3999" s="227" t="n"/>
      <c r="R3999" s="227" t="n"/>
      <c r="S3999" s="227" t="n"/>
      <c r="T3999" s="227" t="n"/>
    </row>
    <row r="4000">
      <c r="A4000" s="145">
        <f>IF($B4000="","",ROW()-5)</f>
        <v/>
      </c>
      <c r="B4000" s="127" t="n"/>
      <c r="C4000" s="223" t="n"/>
      <c r="D4000" s="127" t="n"/>
      <c r="E4000" s="227" t="n"/>
      <c r="F4000" s="227" t="n"/>
      <c r="G4000" s="227" t="n"/>
      <c r="H4000" s="227" t="n"/>
      <c r="I4000" s="227" t="n"/>
      <c r="J4000" s="227" t="n"/>
      <c r="K4000" s="227" t="n"/>
      <c r="L4000" s="227" t="n"/>
      <c r="M4000" s="227" t="n"/>
      <c r="N4000" s="127" t="n"/>
      <c r="O4000" s="227" t="n"/>
      <c r="P4000" s="227" t="n"/>
      <c r="Q4000" s="227" t="n"/>
      <c r="R4000" s="227" t="n"/>
      <c r="S4000" s="227" t="n"/>
      <c r="T4000" s="227" t="n"/>
    </row>
    <row r="4001">
      <c r="A4001" s="145">
        <f>IF($B4001="","",ROW()-5)</f>
        <v/>
      </c>
      <c r="B4001" s="127" t="n"/>
      <c r="C4001" s="223" t="n"/>
      <c r="D4001" s="127" t="n"/>
      <c r="E4001" s="227" t="n"/>
      <c r="F4001" s="227" t="n"/>
      <c r="G4001" s="227" t="n"/>
      <c r="H4001" s="227" t="n"/>
      <c r="I4001" s="227" t="n"/>
      <c r="J4001" s="227" t="n"/>
      <c r="K4001" s="227" t="n"/>
      <c r="L4001" s="227" t="n"/>
      <c r="M4001" s="227" t="n"/>
      <c r="N4001" s="127" t="n"/>
      <c r="O4001" s="227" t="n"/>
      <c r="P4001" s="227" t="n"/>
      <c r="Q4001" s="227" t="n"/>
      <c r="R4001" s="227" t="n"/>
      <c r="S4001" s="227" t="n"/>
      <c r="T4001" s="227" t="n"/>
    </row>
    <row r="4002">
      <c r="A4002" s="145">
        <f>IF($B4002="","",ROW()-5)</f>
        <v/>
      </c>
      <c r="B4002" s="127" t="n"/>
      <c r="C4002" s="223" t="n"/>
      <c r="D4002" s="127" t="n"/>
      <c r="E4002" s="227" t="n"/>
      <c r="F4002" s="227" t="n"/>
      <c r="G4002" s="227" t="n"/>
      <c r="H4002" s="227" t="n"/>
      <c r="I4002" s="227" t="n"/>
      <c r="J4002" s="227" t="n"/>
      <c r="K4002" s="227" t="n"/>
      <c r="L4002" s="227" t="n"/>
      <c r="M4002" s="227" t="n"/>
      <c r="N4002" s="127" t="n"/>
      <c r="O4002" s="227" t="n"/>
      <c r="P4002" s="227" t="n"/>
      <c r="Q4002" s="227" t="n"/>
      <c r="R4002" s="227" t="n"/>
      <c r="S4002" s="227" t="n"/>
      <c r="T4002" s="227" t="n"/>
    </row>
    <row r="4003">
      <c r="A4003" s="145">
        <f>IF($B4003="","",ROW()-5)</f>
        <v/>
      </c>
      <c r="B4003" s="127" t="n"/>
      <c r="C4003" s="223" t="n"/>
      <c r="D4003" s="127" t="n"/>
      <c r="E4003" s="227" t="n"/>
      <c r="F4003" s="227" t="n"/>
      <c r="G4003" s="227" t="n"/>
      <c r="H4003" s="227" t="n"/>
      <c r="I4003" s="227" t="n"/>
      <c r="J4003" s="227" t="n"/>
      <c r="K4003" s="227" t="n"/>
      <c r="L4003" s="227" t="n"/>
      <c r="M4003" s="227" t="n"/>
      <c r="N4003" s="127" t="n"/>
      <c r="O4003" s="227" t="n"/>
      <c r="P4003" s="227" t="n"/>
      <c r="Q4003" s="227" t="n"/>
      <c r="R4003" s="227" t="n"/>
      <c r="S4003" s="227" t="n"/>
      <c r="T4003" s="227" t="n"/>
    </row>
    <row r="4004">
      <c r="A4004" s="145">
        <f>IF($B4004="","",ROW()-5)</f>
        <v/>
      </c>
      <c r="B4004" s="127" t="n"/>
      <c r="C4004" s="223" t="n"/>
      <c r="D4004" s="127" t="n"/>
      <c r="E4004" s="227" t="n"/>
      <c r="F4004" s="227" t="n"/>
      <c r="G4004" s="227" t="n"/>
      <c r="H4004" s="227" t="n"/>
      <c r="I4004" s="227" t="n"/>
      <c r="J4004" s="227" t="n"/>
      <c r="K4004" s="227" t="n"/>
      <c r="L4004" s="227" t="n"/>
      <c r="M4004" s="227" t="n"/>
      <c r="N4004" s="127" t="n"/>
      <c r="O4004" s="227" t="n"/>
      <c r="P4004" s="227" t="n"/>
      <c r="Q4004" s="227" t="n"/>
      <c r="R4004" s="227" t="n"/>
      <c r="S4004" s="227" t="n"/>
      <c r="T4004" s="227" t="n"/>
    </row>
    <row r="4005">
      <c r="A4005" s="145">
        <f>IF($B4005="","",ROW()-5)</f>
        <v/>
      </c>
      <c r="B4005" s="127" t="n"/>
      <c r="C4005" s="223" t="n"/>
      <c r="D4005" s="127" t="n"/>
      <c r="E4005" s="227" t="n"/>
      <c r="F4005" s="227" t="n"/>
      <c r="G4005" s="227" t="n"/>
      <c r="H4005" s="227" t="n"/>
      <c r="I4005" s="227" t="n"/>
      <c r="J4005" s="227" t="n"/>
      <c r="K4005" s="227" t="n"/>
      <c r="L4005" s="227" t="n"/>
      <c r="M4005" s="227" t="n"/>
      <c r="N4005" s="127" t="n"/>
      <c r="O4005" s="227" t="n"/>
      <c r="P4005" s="227" t="n"/>
      <c r="Q4005" s="227" t="n"/>
      <c r="R4005" s="227" t="n"/>
      <c r="S4005" s="227" t="n"/>
      <c r="T4005" s="227" t="n"/>
    </row>
    <row r="4006">
      <c r="A4006" s="145">
        <f>IF($B4006="","",ROW()-5)</f>
        <v/>
      </c>
      <c r="B4006" s="127" t="n"/>
      <c r="C4006" s="223" t="n"/>
      <c r="D4006" s="127" t="n"/>
      <c r="E4006" s="227" t="n"/>
      <c r="F4006" s="227" t="n"/>
      <c r="G4006" s="227" t="n"/>
      <c r="H4006" s="227" t="n"/>
      <c r="I4006" s="227" t="n"/>
      <c r="J4006" s="227" t="n"/>
      <c r="K4006" s="227" t="n"/>
      <c r="L4006" s="227" t="n"/>
      <c r="M4006" s="227" t="n"/>
      <c r="N4006" s="127" t="n"/>
      <c r="O4006" s="227" t="n"/>
      <c r="P4006" s="227" t="n"/>
      <c r="Q4006" s="227" t="n"/>
      <c r="R4006" s="227" t="n"/>
      <c r="S4006" s="227" t="n"/>
      <c r="T4006" s="227" t="n"/>
    </row>
    <row r="4007">
      <c r="A4007" s="145">
        <f>IF($B4007="","",ROW()-5)</f>
        <v/>
      </c>
      <c r="B4007" s="127" t="n"/>
      <c r="C4007" s="223" t="n"/>
      <c r="D4007" s="127" t="n"/>
      <c r="E4007" s="227" t="n"/>
      <c r="F4007" s="227" t="n"/>
      <c r="G4007" s="227" t="n"/>
      <c r="H4007" s="227" t="n"/>
      <c r="I4007" s="227" t="n"/>
      <c r="J4007" s="227" t="n"/>
      <c r="K4007" s="227" t="n"/>
      <c r="L4007" s="227" t="n"/>
      <c r="M4007" s="227" t="n"/>
      <c r="N4007" s="127" t="n"/>
      <c r="O4007" s="227" t="n"/>
      <c r="P4007" s="227" t="n"/>
      <c r="Q4007" s="227" t="n"/>
      <c r="R4007" s="227" t="n"/>
      <c r="S4007" s="227" t="n"/>
      <c r="T4007" s="227" t="n"/>
    </row>
    <row r="4008">
      <c r="A4008" s="145">
        <f>IF($B4008="","",ROW()-5)</f>
        <v/>
      </c>
      <c r="B4008" s="127" t="n"/>
      <c r="C4008" s="223" t="n"/>
      <c r="D4008" s="127" t="n"/>
      <c r="E4008" s="227" t="n"/>
      <c r="F4008" s="227" t="n"/>
      <c r="G4008" s="227" t="n"/>
      <c r="H4008" s="227" t="n"/>
      <c r="I4008" s="227" t="n"/>
      <c r="J4008" s="227" t="n"/>
      <c r="K4008" s="227" t="n"/>
      <c r="L4008" s="227" t="n"/>
      <c r="M4008" s="227" t="n"/>
      <c r="N4008" s="127" t="n"/>
      <c r="O4008" s="227" t="n"/>
      <c r="P4008" s="227" t="n"/>
      <c r="Q4008" s="227" t="n"/>
      <c r="R4008" s="227" t="n"/>
      <c r="S4008" s="227" t="n"/>
      <c r="T4008" s="227" t="n"/>
    </row>
    <row r="4009">
      <c r="A4009" s="145">
        <f>IF($B4009="","",ROW()-5)</f>
        <v/>
      </c>
      <c r="B4009" s="127" t="n"/>
      <c r="C4009" s="223" t="n"/>
      <c r="D4009" s="127" t="n"/>
      <c r="E4009" s="227" t="n"/>
      <c r="F4009" s="227" t="n"/>
      <c r="G4009" s="227" t="n"/>
      <c r="H4009" s="227" t="n"/>
      <c r="I4009" s="227" t="n"/>
      <c r="J4009" s="227" t="n"/>
      <c r="K4009" s="227" t="n"/>
      <c r="L4009" s="227" t="n"/>
      <c r="M4009" s="227" t="n"/>
      <c r="N4009" s="127" t="n"/>
      <c r="O4009" s="227" t="n"/>
      <c r="P4009" s="227" t="n"/>
      <c r="Q4009" s="227" t="n"/>
      <c r="R4009" s="227" t="n"/>
      <c r="S4009" s="227" t="n"/>
      <c r="T4009" s="227" t="n"/>
    </row>
    <row r="4010">
      <c r="A4010" s="145">
        <f>IF($B4010="","",ROW()-5)</f>
        <v/>
      </c>
      <c r="B4010" s="127" t="n"/>
      <c r="C4010" s="223" t="n"/>
      <c r="D4010" s="127" t="n"/>
      <c r="E4010" s="227" t="n"/>
      <c r="F4010" s="227" t="n"/>
      <c r="G4010" s="227" t="n"/>
      <c r="H4010" s="227" t="n"/>
      <c r="I4010" s="227" t="n"/>
      <c r="J4010" s="227" t="n"/>
      <c r="K4010" s="227" t="n"/>
      <c r="L4010" s="227" t="n"/>
      <c r="M4010" s="227" t="n"/>
      <c r="N4010" s="127" t="n"/>
      <c r="O4010" s="227" t="n"/>
      <c r="P4010" s="227" t="n"/>
      <c r="Q4010" s="227" t="n"/>
      <c r="R4010" s="227" t="n"/>
      <c r="S4010" s="227" t="n"/>
      <c r="T4010" s="227" t="n"/>
    </row>
    <row r="4011">
      <c r="A4011" s="145">
        <f>IF($B4011="","",ROW()-5)</f>
        <v/>
      </c>
      <c r="B4011" s="127" t="n"/>
      <c r="C4011" s="223" t="n"/>
      <c r="D4011" s="127" t="n"/>
      <c r="E4011" s="227" t="n"/>
      <c r="F4011" s="227" t="n"/>
      <c r="G4011" s="227" t="n"/>
      <c r="H4011" s="227" t="n"/>
      <c r="I4011" s="227" t="n"/>
      <c r="J4011" s="227" t="n"/>
      <c r="K4011" s="227" t="n"/>
      <c r="L4011" s="227" t="n"/>
      <c r="M4011" s="227" t="n"/>
      <c r="N4011" s="127" t="n"/>
      <c r="O4011" s="227" t="n"/>
      <c r="P4011" s="227" t="n"/>
      <c r="Q4011" s="227" t="n"/>
      <c r="R4011" s="227" t="n"/>
      <c r="S4011" s="227" t="n"/>
      <c r="T4011" s="227" t="n"/>
    </row>
    <row r="4012">
      <c r="A4012" s="145">
        <f>IF($B4012="","",ROW()-5)</f>
        <v/>
      </c>
      <c r="B4012" s="127" t="n"/>
      <c r="C4012" s="223" t="n"/>
      <c r="D4012" s="127" t="n"/>
      <c r="E4012" s="227" t="n"/>
      <c r="F4012" s="227" t="n"/>
      <c r="G4012" s="227" t="n"/>
      <c r="H4012" s="227" t="n"/>
      <c r="I4012" s="227" t="n"/>
      <c r="J4012" s="227" t="n"/>
      <c r="K4012" s="227" t="n"/>
      <c r="L4012" s="227" t="n"/>
      <c r="M4012" s="227" t="n"/>
      <c r="N4012" s="127" t="n"/>
      <c r="O4012" s="227" t="n"/>
      <c r="P4012" s="227" t="n"/>
      <c r="Q4012" s="227" t="n"/>
      <c r="R4012" s="227" t="n"/>
      <c r="S4012" s="227" t="n"/>
      <c r="T4012" s="227" t="n"/>
    </row>
    <row r="4013">
      <c r="A4013" s="145">
        <f>IF($B4013="","",ROW()-5)</f>
        <v/>
      </c>
      <c r="B4013" s="127" t="n"/>
      <c r="C4013" s="223" t="n"/>
      <c r="D4013" s="127" t="n"/>
      <c r="E4013" s="227" t="n"/>
      <c r="F4013" s="227" t="n"/>
      <c r="G4013" s="227" t="n"/>
      <c r="H4013" s="227" t="n"/>
      <c r="I4013" s="227" t="n"/>
      <c r="J4013" s="227" t="n"/>
      <c r="K4013" s="227" t="n"/>
      <c r="L4013" s="227" t="n"/>
      <c r="M4013" s="227" t="n"/>
      <c r="N4013" s="127" t="n"/>
      <c r="O4013" s="227" t="n"/>
      <c r="P4013" s="227" t="n"/>
      <c r="Q4013" s="227" t="n"/>
      <c r="R4013" s="227" t="n"/>
      <c r="S4013" s="227" t="n"/>
      <c r="T4013" s="227" t="n"/>
    </row>
    <row r="4014">
      <c r="A4014" s="145">
        <f>IF($B4014="","",ROW()-5)</f>
        <v/>
      </c>
      <c r="B4014" s="127" t="n"/>
      <c r="C4014" s="223" t="n"/>
      <c r="D4014" s="127" t="n"/>
      <c r="E4014" s="227" t="n"/>
      <c r="F4014" s="227" t="n"/>
      <c r="G4014" s="227" t="n"/>
      <c r="H4014" s="227" t="n"/>
      <c r="I4014" s="227" t="n"/>
      <c r="J4014" s="227" t="n"/>
      <c r="K4014" s="227" t="n"/>
      <c r="L4014" s="227" t="n"/>
      <c r="M4014" s="227" t="n"/>
      <c r="N4014" s="127" t="n"/>
      <c r="O4014" s="227" t="n"/>
      <c r="P4014" s="227" t="n"/>
      <c r="Q4014" s="227" t="n"/>
      <c r="R4014" s="227" t="n"/>
      <c r="S4014" s="227" t="n"/>
      <c r="T4014" s="227" t="n"/>
    </row>
    <row r="4015">
      <c r="A4015" s="145">
        <f>IF($B4015="","",ROW()-5)</f>
        <v/>
      </c>
      <c r="B4015" s="127" t="n"/>
      <c r="C4015" s="223" t="n"/>
      <c r="D4015" s="127" t="n"/>
      <c r="E4015" s="227" t="n"/>
      <c r="F4015" s="227" t="n"/>
      <c r="G4015" s="227" t="n"/>
      <c r="H4015" s="227" t="n"/>
      <c r="I4015" s="227" t="n"/>
      <c r="J4015" s="227" t="n"/>
      <c r="K4015" s="227" t="n"/>
      <c r="L4015" s="227" t="n"/>
      <c r="M4015" s="227" t="n"/>
      <c r="N4015" s="127" t="n"/>
      <c r="O4015" s="227" t="n"/>
      <c r="P4015" s="227" t="n"/>
      <c r="Q4015" s="227" t="n"/>
      <c r="R4015" s="227" t="n"/>
      <c r="S4015" s="227" t="n"/>
      <c r="T4015" s="227" t="n"/>
    </row>
    <row r="4016">
      <c r="A4016" s="145">
        <f>IF($B4016="","",ROW()-5)</f>
        <v/>
      </c>
      <c r="B4016" s="127" t="n"/>
      <c r="C4016" s="223" t="n"/>
      <c r="D4016" s="127" t="n"/>
      <c r="E4016" s="227" t="n"/>
      <c r="F4016" s="227" t="n"/>
      <c r="G4016" s="227" t="n"/>
      <c r="H4016" s="227" t="n"/>
      <c r="I4016" s="227" t="n"/>
      <c r="J4016" s="227" t="n"/>
      <c r="K4016" s="227" t="n"/>
      <c r="L4016" s="227" t="n"/>
      <c r="M4016" s="227" t="n"/>
      <c r="N4016" s="127" t="n"/>
      <c r="O4016" s="227" t="n"/>
      <c r="P4016" s="227" t="n"/>
      <c r="Q4016" s="227" t="n"/>
      <c r="R4016" s="227" t="n"/>
      <c r="S4016" s="227" t="n"/>
      <c r="T4016" s="227" t="n"/>
    </row>
    <row r="4017">
      <c r="A4017" s="145">
        <f>IF($B4017="","",ROW()-5)</f>
        <v/>
      </c>
      <c r="B4017" s="127" t="n"/>
      <c r="C4017" s="223" t="n"/>
      <c r="D4017" s="127" t="n"/>
      <c r="E4017" s="227" t="n"/>
      <c r="F4017" s="227" t="n"/>
      <c r="G4017" s="227" t="n"/>
      <c r="H4017" s="227" t="n"/>
      <c r="I4017" s="227" t="n"/>
      <c r="J4017" s="227" t="n"/>
      <c r="K4017" s="227" t="n"/>
      <c r="L4017" s="227" t="n"/>
      <c r="M4017" s="227" t="n"/>
      <c r="N4017" s="127" t="n"/>
      <c r="O4017" s="227" t="n"/>
      <c r="P4017" s="227" t="n"/>
      <c r="Q4017" s="227" t="n"/>
      <c r="R4017" s="227" t="n"/>
      <c r="S4017" s="227" t="n"/>
      <c r="T4017" s="227" t="n"/>
    </row>
    <row r="4018">
      <c r="A4018" s="145">
        <f>IF($B4018="","",ROW()-5)</f>
        <v/>
      </c>
      <c r="B4018" s="127" t="n"/>
      <c r="C4018" s="223" t="n"/>
      <c r="D4018" s="127" t="n"/>
      <c r="E4018" s="227" t="n"/>
      <c r="F4018" s="227" t="n"/>
      <c r="G4018" s="227" t="n"/>
      <c r="H4018" s="227" t="n"/>
      <c r="I4018" s="227" t="n"/>
      <c r="J4018" s="227" t="n"/>
      <c r="K4018" s="227" t="n"/>
      <c r="L4018" s="227" t="n"/>
      <c r="M4018" s="227" t="n"/>
      <c r="N4018" s="127" t="n"/>
      <c r="O4018" s="227" t="n"/>
      <c r="P4018" s="227" t="n"/>
      <c r="Q4018" s="227" t="n"/>
      <c r="R4018" s="227" t="n"/>
      <c r="S4018" s="227" t="n"/>
      <c r="T4018" s="227" t="n"/>
    </row>
    <row r="4019">
      <c r="A4019" s="145">
        <f>IF($B4019="","",ROW()-5)</f>
        <v/>
      </c>
      <c r="B4019" s="127" t="n"/>
      <c r="C4019" s="223" t="n"/>
      <c r="D4019" s="127" t="n"/>
      <c r="E4019" s="227" t="n"/>
      <c r="F4019" s="227" t="n"/>
      <c r="G4019" s="227" t="n"/>
      <c r="H4019" s="227" t="n"/>
      <c r="I4019" s="227" t="n"/>
      <c r="J4019" s="227" t="n"/>
      <c r="K4019" s="227" t="n"/>
      <c r="L4019" s="227" t="n"/>
      <c r="M4019" s="227" t="n"/>
      <c r="N4019" s="127" t="n"/>
      <c r="O4019" s="227" t="n"/>
      <c r="P4019" s="227" t="n"/>
      <c r="Q4019" s="227" t="n"/>
      <c r="R4019" s="227" t="n"/>
      <c r="S4019" s="227" t="n"/>
      <c r="T4019" s="227" t="n"/>
    </row>
    <row r="4020">
      <c r="A4020" s="145">
        <f>IF($B4020="","",ROW()-5)</f>
        <v/>
      </c>
      <c r="B4020" s="127" t="n"/>
      <c r="C4020" s="223" t="n"/>
      <c r="D4020" s="127" t="n"/>
      <c r="E4020" s="227" t="n"/>
      <c r="F4020" s="227" t="n"/>
      <c r="G4020" s="227" t="n"/>
      <c r="H4020" s="227" t="n"/>
      <c r="I4020" s="227" t="n"/>
      <c r="J4020" s="227" t="n"/>
      <c r="K4020" s="227" t="n"/>
      <c r="L4020" s="227" t="n"/>
      <c r="M4020" s="227" t="n"/>
      <c r="N4020" s="127" t="n"/>
      <c r="O4020" s="227" t="n"/>
      <c r="P4020" s="227" t="n"/>
      <c r="Q4020" s="227" t="n"/>
      <c r="R4020" s="227" t="n"/>
      <c r="S4020" s="227" t="n"/>
      <c r="T4020" s="227" t="n"/>
    </row>
    <row r="4021">
      <c r="A4021" s="145">
        <f>IF($B4021="","",ROW()-5)</f>
        <v/>
      </c>
      <c r="B4021" s="127" t="n"/>
      <c r="C4021" s="223" t="n"/>
      <c r="D4021" s="127" t="n"/>
      <c r="E4021" s="227" t="n"/>
      <c r="F4021" s="227" t="n"/>
      <c r="G4021" s="227" t="n"/>
      <c r="H4021" s="227" t="n"/>
      <c r="I4021" s="227" t="n"/>
      <c r="J4021" s="227" t="n"/>
      <c r="K4021" s="227" t="n"/>
      <c r="L4021" s="227" t="n"/>
      <c r="M4021" s="227" t="n"/>
      <c r="N4021" s="127" t="n"/>
      <c r="O4021" s="227" t="n"/>
      <c r="P4021" s="227" t="n"/>
      <c r="Q4021" s="227" t="n"/>
      <c r="R4021" s="227" t="n"/>
      <c r="S4021" s="227" t="n"/>
      <c r="T4021" s="227" t="n"/>
    </row>
    <row r="4022">
      <c r="A4022" s="145">
        <f>IF($B4022="","",ROW()-5)</f>
        <v/>
      </c>
      <c r="B4022" s="127" t="n"/>
      <c r="C4022" s="223" t="n"/>
      <c r="D4022" s="127" t="n"/>
      <c r="E4022" s="227" t="n"/>
      <c r="F4022" s="227" t="n"/>
      <c r="G4022" s="227" t="n"/>
      <c r="H4022" s="227" t="n"/>
      <c r="I4022" s="227" t="n"/>
      <c r="J4022" s="227" t="n"/>
      <c r="K4022" s="227" t="n"/>
      <c r="L4022" s="227" t="n"/>
      <c r="M4022" s="227" t="n"/>
      <c r="N4022" s="127" t="n"/>
      <c r="O4022" s="227" t="n"/>
      <c r="P4022" s="227" t="n"/>
      <c r="Q4022" s="227" t="n"/>
      <c r="R4022" s="227" t="n"/>
      <c r="S4022" s="227" t="n"/>
      <c r="T4022" s="227" t="n"/>
    </row>
    <row r="4023">
      <c r="A4023" s="145">
        <f>IF($B4023="","",ROW()-5)</f>
        <v/>
      </c>
      <c r="B4023" s="127" t="n"/>
      <c r="C4023" s="223" t="n"/>
      <c r="D4023" s="127" t="n"/>
      <c r="E4023" s="227" t="n"/>
      <c r="F4023" s="227" t="n"/>
      <c r="G4023" s="227" t="n"/>
      <c r="H4023" s="227" t="n"/>
      <c r="I4023" s="227" t="n"/>
      <c r="J4023" s="227" t="n"/>
      <c r="K4023" s="227" t="n"/>
      <c r="L4023" s="227" t="n"/>
      <c r="M4023" s="227" t="n"/>
      <c r="N4023" s="127" t="n"/>
      <c r="O4023" s="227" t="n"/>
      <c r="P4023" s="227" t="n"/>
      <c r="Q4023" s="227" t="n"/>
      <c r="R4023" s="227" t="n"/>
      <c r="S4023" s="227" t="n"/>
      <c r="T4023" s="227" t="n"/>
    </row>
    <row r="4024">
      <c r="A4024" s="145">
        <f>IF($B4024="","",ROW()-5)</f>
        <v/>
      </c>
      <c r="B4024" s="127" t="n"/>
      <c r="C4024" s="223" t="n"/>
      <c r="D4024" s="127" t="n"/>
      <c r="E4024" s="227" t="n"/>
      <c r="F4024" s="227" t="n"/>
      <c r="G4024" s="227" t="n"/>
      <c r="H4024" s="227" t="n"/>
      <c r="I4024" s="227" t="n"/>
      <c r="J4024" s="227" t="n"/>
      <c r="K4024" s="227" t="n"/>
      <c r="L4024" s="227" t="n"/>
      <c r="M4024" s="227" t="n"/>
      <c r="N4024" s="127" t="n"/>
      <c r="O4024" s="227" t="n"/>
      <c r="P4024" s="227" t="n"/>
      <c r="Q4024" s="227" t="n"/>
      <c r="R4024" s="227" t="n"/>
      <c r="S4024" s="227" t="n"/>
      <c r="T4024" s="227" t="n"/>
    </row>
    <row r="4025">
      <c r="A4025" s="145">
        <f>IF($B4025="","",ROW()-5)</f>
        <v/>
      </c>
      <c r="B4025" s="127" t="n"/>
      <c r="C4025" s="223" t="n"/>
      <c r="D4025" s="127" t="n"/>
      <c r="E4025" s="227" t="n"/>
      <c r="F4025" s="227" t="n"/>
      <c r="G4025" s="227" t="n"/>
      <c r="H4025" s="227" t="n"/>
      <c r="I4025" s="227" t="n"/>
      <c r="J4025" s="227" t="n"/>
      <c r="K4025" s="227" t="n"/>
      <c r="L4025" s="227" t="n"/>
      <c r="M4025" s="227" t="n"/>
      <c r="N4025" s="127" t="n"/>
      <c r="O4025" s="227" t="n"/>
      <c r="P4025" s="227" t="n"/>
      <c r="Q4025" s="227" t="n"/>
      <c r="R4025" s="227" t="n"/>
      <c r="S4025" s="227" t="n"/>
      <c r="T4025" s="227" t="n"/>
    </row>
    <row r="4026">
      <c r="A4026" s="145">
        <f>IF($B4026="","",ROW()-5)</f>
        <v/>
      </c>
      <c r="B4026" s="127" t="n"/>
      <c r="C4026" s="223" t="n"/>
      <c r="D4026" s="127" t="n"/>
      <c r="E4026" s="227" t="n"/>
      <c r="F4026" s="227" t="n"/>
      <c r="G4026" s="227" t="n"/>
      <c r="H4026" s="227" t="n"/>
      <c r="I4026" s="227" t="n"/>
      <c r="J4026" s="227" t="n"/>
      <c r="K4026" s="227" t="n"/>
      <c r="L4026" s="227" t="n"/>
      <c r="M4026" s="227" t="n"/>
      <c r="N4026" s="127" t="n"/>
      <c r="O4026" s="227" t="n"/>
      <c r="P4026" s="227" t="n"/>
      <c r="Q4026" s="227" t="n"/>
      <c r="R4026" s="227" t="n"/>
      <c r="S4026" s="227" t="n"/>
      <c r="T4026" s="227" t="n"/>
    </row>
    <row r="4027">
      <c r="A4027" s="145">
        <f>IF($B4027="","",ROW()-5)</f>
        <v/>
      </c>
      <c r="B4027" s="127" t="n"/>
      <c r="C4027" s="223" t="n"/>
      <c r="D4027" s="127" t="n"/>
      <c r="E4027" s="227" t="n"/>
      <c r="F4027" s="227" t="n"/>
      <c r="G4027" s="227" t="n"/>
      <c r="H4027" s="227" t="n"/>
      <c r="I4027" s="227" t="n"/>
      <c r="J4027" s="227" t="n"/>
      <c r="K4027" s="227" t="n"/>
      <c r="L4027" s="227" t="n"/>
      <c r="M4027" s="227" t="n"/>
      <c r="N4027" s="127" t="n"/>
      <c r="O4027" s="227" t="n"/>
      <c r="P4027" s="227" t="n"/>
      <c r="Q4027" s="227" t="n"/>
      <c r="R4027" s="227" t="n"/>
      <c r="S4027" s="227" t="n"/>
      <c r="T4027" s="227" t="n"/>
    </row>
    <row r="4028">
      <c r="A4028" s="145">
        <f>IF($B4028="","",ROW()-5)</f>
        <v/>
      </c>
      <c r="B4028" s="127" t="n"/>
      <c r="C4028" s="223" t="n"/>
      <c r="D4028" s="127" t="n"/>
      <c r="E4028" s="227" t="n"/>
      <c r="F4028" s="227" t="n"/>
      <c r="G4028" s="227" t="n"/>
      <c r="H4028" s="227" t="n"/>
      <c r="I4028" s="227" t="n"/>
      <c r="J4028" s="227" t="n"/>
      <c r="K4028" s="227" t="n"/>
      <c r="L4028" s="227" t="n"/>
      <c r="M4028" s="227" t="n"/>
      <c r="N4028" s="127" t="n"/>
      <c r="O4028" s="227" t="n"/>
      <c r="P4028" s="227" t="n"/>
      <c r="Q4028" s="227" t="n"/>
      <c r="R4028" s="227" t="n"/>
      <c r="S4028" s="227" t="n"/>
      <c r="T4028" s="227" t="n"/>
    </row>
    <row r="4029">
      <c r="A4029" s="145">
        <f>IF($B4029="","",ROW()-5)</f>
        <v/>
      </c>
      <c r="B4029" s="127" t="n"/>
      <c r="C4029" s="223" t="n"/>
      <c r="D4029" s="127" t="n"/>
      <c r="E4029" s="227" t="n"/>
      <c r="F4029" s="227" t="n"/>
      <c r="G4029" s="227" t="n"/>
      <c r="H4029" s="227" t="n"/>
      <c r="I4029" s="227" t="n"/>
      <c r="J4029" s="227" t="n"/>
      <c r="K4029" s="227" t="n"/>
      <c r="L4029" s="227" t="n"/>
      <c r="M4029" s="227" t="n"/>
      <c r="N4029" s="127" t="n"/>
      <c r="O4029" s="227" t="n"/>
      <c r="P4029" s="227" t="n"/>
      <c r="Q4029" s="227" t="n"/>
      <c r="R4029" s="227" t="n"/>
      <c r="S4029" s="227" t="n"/>
      <c r="T4029" s="227" t="n"/>
    </row>
    <row r="4030">
      <c r="A4030" s="145">
        <f>IF($B4030="","",ROW()-5)</f>
        <v/>
      </c>
      <c r="B4030" s="127" t="n"/>
      <c r="C4030" s="223" t="n"/>
      <c r="D4030" s="127" t="n"/>
      <c r="E4030" s="227" t="n"/>
      <c r="F4030" s="227" t="n"/>
      <c r="G4030" s="227" t="n"/>
      <c r="H4030" s="227" t="n"/>
      <c r="I4030" s="227" t="n"/>
      <c r="J4030" s="227" t="n"/>
      <c r="K4030" s="227" t="n"/>
      <c r="L4030" s="227" t="n"/>
      <c r="M4030" s="227" t="n"/>
      <c r="N4030" s="127" t="n"/>
      <c r="O4030" s="227" t="n"/>
      <c r="P4030" s="227" t="n"/>
      <c r="Q4030" s="227" t="n"/>
      <c r="R4030" s="227" t="n"/>
      <c r="S4030" s="227" t="n"/>
      <c r="T4030" s="227" t="n"/>
    </row>
    <row r="4031">
      <c r="A4031" s="145">
        <f>IF($B4031="","",ROW()-5)</f>
        <v/>
      </c>
      <c r="B4031" s="127" t="n"/>
      <c r="C4031" s="223" t="n"/>
      <c r="D4031" s="127" t="n"/>
      <c r="E4031" s="227" t="n"/>
      <c r="F4031" s="227" t="n"/>
      <c r="G4031" s="227" t="n"/>
      <c r="H4031" s="227" t="n"/>
      <c r="I4031" s="227" t="n"/>
      <c r="J4031" s="227" t="n"/>
      <c r="K4031" s="227" t="n"/>
      <c r="L4031" s="227" t="n"/>
      <c r="M4031" s="227" t="n"/>
      <c r="N4031" s="127" t="n"/>
      <c r="O4031" s="227" t="n"/>
      <c r="P4031" s="227" t="n"/>
      <c r="Q4031" s="227" t="n"/>
      <c r="R4031" s="227" t="n"/>
      <c r="S4031" s="227" t="n"/>
      <c r="T4031" s="227" t="n"/>
    </row>
    <row r="4032">
      <c r="A4032" s="145">
        <f>IF($B4032="","",ROW()-5)</f>
        <v/>
      </c>
      <c r="B4032" s="127" t="n"/>
      <c r="C4032" s="223" t="n"/>
      <c r="D4032" s="127" t="n"/>
      <c r="E4032" s="227" t="n"/>
      <c r="F4032" s="227" t="n"/>
      <c r="G4032" s="227" t="n"/>
      <c r="H4032" s="227" t="n"/>
      <c r="I4032" s="227" t="n"/>
      <c r="J4032" s="227" t="n"/>
      <c r="K4032" s="227" t="n"/>
      <c r="L4032" s="227" t="n"/>
      <c r="M4032" s="227" t="n"/>
      <c r="N4032" s="127" t="n"/>
      <c r="O4032" s="227" t="n"/>
      <c r="P4032" s="227" t="n"/>
      <c r="Q4032" s="227" t="n"/>
      <c r="R4032" s="227" t="n"/>
      <c r="S4032" s="227" t="n"/>
      <c r="T4032" s="227" t="n"/>
    </row>
    <row r="4033">
      <c r="A4033" s="145">
        <f>IF($B4033="","",ROW()-5)</f>
        <v/>
      </c>
      <c r="B4033" s="127" t="n"/>
      <c r="C4033" s="223" t="n"/>
      <c r="D4033" s="127" t="n"/>
      <c r="E4033" s="227" t="n"/>
      <c r="F4033" s="227" t="n"/>
      <c r="G4033" s="227" t="n"/>
      <c r="H4033" s="227" t="n"/>
      <c r="I4033" s="227" t="n"/>
      <c r="J4033" s="227" t="n"/>
      <c r="K4033" s="227" t="n"/>
      <c r="L4033" s="227" t="n"/>
      <c r="M4033" s="227" t="n"/>
      <c r="N4033" s="127" t="n"/>
      <c r="O4033" s="227" t="n"/>
      <c r="P4033" s="227" t="n"/>
      <c r="Q4033" s="227" t="n"/>
      <c r="R4033" s="227" t="n"/>
      <c r="S4033" s="227" t="n"/>
      <c r="T4033" s="227" t="n"/>
    </row>
    <row r="4034">
      <c r="A4034" s="145">
        <f>IF($B4034="","",ROW()-5)</f>
        <v/>
      </c>
      <c r="B4034" s="127" t="n"/>
      <c r="C4034" s="223" t="n"/>
      <c r="D4034" s="127" t="n"/>
      <c r="E4034" s="227" t="n"/>
      <c r="F4034" s="227" t="n"/>
      <c r="G4034" s="227" t="n"/>
      <c r="H4034" s="227" t="n"/>
      <c r="I4034" s="227" t="n"/>
      <c r="J4034" s="227" t="n"/>
      <c r="K4034" s="227" t="n"/>
      <c r="L4034" s="227" t="n"/>
      <c r="M4034" s="227" t="n"/>
      <c r="N4034" s="127" t="n"/>
      <c r="O4034" s="227" t="n"/>
      <c r="P4034" s="227" t="n"/>
      <c r="Q4034" s="227" t="n"/>
      <c r="R4034" s="227" t="n"/>
      <c r="S4034" s="227" t="n"/>
      <c r="T4034" s="227" t="n"/>
    </row>
    <row r="4035">
      <c r="A4035" s="145">
        <f>IF($B4035="","",ROW()-5)</f>
        <v/>
      </c>
      <c r="B4035" s="127" t="n"/>
      <c r="C4035" s="223" t="n"/>
      <c r="D4035" s="127" t="n"/>
      <c r="E4035" s="227" t="n"/>
      <c r="F4035" s="227" t="n"/>
      <c r="G4035" s="227" t="n"/>
      <c r="H4035" s="227" t="n"/>
      <c r="I4035" s="227" t="n"/>
      <c r="J4035" s="227" t="n"/>
      <c r="K4035" s="227" t="n"/>
      <c r="L4035" s="227" t="n"/>
      <c r="M4035" s="227" t="n"/>
      <c r="N4035" s="127" t="n"/>
      <c r="O4035" s="227" t="n"/>
      <c r="P4035" s="227" t="n"/>
      <c r="Q4035" s="227" t="n"/>
      <c r="R4035" s="227" t="n"/>
      <c r="S4035" s="227" t="n"/>
      <c r="T4035" s="227" t="n"/>
    </row>
    <row r="4036">
      <c r="A4036" s="145">
        <f>IF($B4036="","",ROW()-5)</f>
        <v/>
      </c>
      <c r="B4036" s="127" t="n"/>
      <c r="C4036" s="223" t="n"/>
      <c r="D4036" s="127" t="n"/>
      <c r="E4036" s="227" t="n"/>
      <c r="F4036" s="227" t="n"/>
      <c r="G4036" s="227" t="n"/>
      <c r="H4036" s="227" t="n"/>
      <c r="I4036" s="227" t="n"/>
      <c r="J4036" s="227" t="n"/>
      <c r="K4036" s="227" t="n"/>
      <c r="L4036" s="227" t="n"/>
      <c r="M4036" s="227" t="n"/>
      <c r="N4036" s="127" t="n"/>
      <c r="O4036" s="227" t="n"/>
      <c r="P4036" s="227" t="n"/>
      <c r="Q4036" s="227" t="n"/>
      <c r="R4036" s="227" t="n"/>
      <c r="S4036" s="227" t="n"/>
      <c r="T4036" s="227" t="n"/>
    </row>
    <row r="4037">
      <c r="A4037" s="145">
        <f>IF($B4037="","",ROW()-5)</f>
        <v/>
      </c>
      <c r="B4037" s="127" t="n"/>
      <c r="C4037" s="223" t="n"/>
      <c r="D4037" s="127" t="n"/>
      <c r="E4037" s="227" t="n"/>
      <c r="F4037" s="227" t="n"/>
      <c r="G4037" s="227" t="n"/>
      <c r="H4037" s="227" t="n"/>
      <c r="I4037" s="227" t="n"/>
      <c r="J4037" s="227" t="n"/>
      <c r="K4037" s="227" t="n"/>
      <c r="L4037" s="227" t="n"/>
      <c r="M4037" s="227" t="n"/>
      <c r="N4037" s="127" t="n"/>
      <c r="O4037" s="227" t="n"/>
      <c r="P4037" s="227" t="n"/>
      <c r="Q4037" s="227" t="n"/>
      <c r="R4037" s="227" t="n"/>
      <c r="S4037" s="227" t="n"/>
      <c r="T4037" s="227" t="n"/>
    </row>
    <row r="4038">
      <c r="A4038" s="145">
        <f>IF($B4038="","",ROW()-5)</f>
        <v/>
      </c>
      <c r="B4038" s="127" t="n"/>
      <c r="C4038" s="223" t="n"/>
      <c r="D4038" s="127" t="n"/>
      <c r="E4038" s="227" t="n"/>
      <c r="F4038" s="227" t="n"/>
      <c r="G4038" s="227" t="n"/>
      <c r="H4038" s="227" t="n"/>
      <c r="I4038" s="227" t="n"/>
      <c r="J4038" s="227" t="n"/>
      <c r="K4038" s="227" t="n"/>
      <c r="L4038" s="227" t="n"/>
      <c r="M4038" s="227" t="n"/>
      <c r="N4038" s="127" t="n"/>
      <c r="O4038" s="227" t="n"/>
      <c r="P4038" s="227" t="n"/>
      <c r="Q4038" s="227" t="n"/>
      <c r="R4038" s="227" t="n"/>
      <c r="S4038" s="227" t="n"/>
      <c r="T4038" s="227" t="n"/>
    </row>
    <row r="4039">
      <c r="A4039" s="145">
        <f>IF($B4039="","",ROW()-5)</f>
        <v/>
      </c>
      <c r="B4039" s="127" t="n"/>
      <c r="C4039" s="223" t="n"/>
      <c r="D4039" s="127" t="n"/>
      <c r="E4039" s="227" t="n"/>
      <c r="F4039" s="227" t="n"/>
      <c r="G4039" s="227" t="n"/>
      <c r="H4039" s="227" t="n"/>
      <c r="I4039" s="227" t="n"/>
      <c r="J4039" s="227" t="n"/>
      <c r="K4039" s="227" t="n"/>
      <c r="L4039" s="227" t="n"/>
      <c r="M4039" s="227" t="n"/>
      <c r="N4039" s="127" t="n"/>
      <c r="O4039" s="227" t="n"/>
      <c r="P4039" s="227" t="n"/>
      <c r="Q4039" s="227" t="n"/>
      <c r="R4039" s="227" t="n"/>
      <c r="S4039" s="227" t="n"/>
      <c r="T4039" s="227" t="n"/>
    </row>
    <row r="4040">
      <c r="A4040" s="145">
        <f>IF($B4040="","",ROW()-5)</f>
        <v/>
      </c>
      <c r="B4040" s="127" t="n"/>
      <c r="C4040" s="223" t="n"/>
      <c r="D4040" s="127" t="n"/>
      <c r="E4040" s="227" t="n"/>
      <c r="F4040" s="227" t="n"/>
      <c r="G4040" s="227" t="n"/>
      <c r="H4040" s="227" t="n"/>
      <c r="I4040" s="227" t="n"/>
      <c r="J4040" s="227" t="n"/>
      <c r="K4040" s="227" t="n"/>
      <c r="L4040" s="227" t="n"/>
      <c r="M4040" s="227" t="n"/>
      <c r="N4040" s="127" t="n"/>
      <c r="O4040" s="227" t="n"/>
      <c r="P4040" s="227" t="n"/>
      <c r="Q4040" s="227" t="n"/>
      <c r="R4040" s="227" t="n"/>
      <c r="S4040" s="227" t="n"/>
      <c r="T4040" s="227" t="n"/>
    </row>
    <row r="4041">
      <c r="A4041" s="145">
        <f>IF($B4041="","",ROW()-5)</f>
        <v/>
      </c>
      <c r="B4041" s="127" t="n"/>
      <c r="C4041" s="223" t="n"/>
      <c r="D4041" s="127" t="n"/>
      <c r="E4041" s="227" t="n"/>
      <c r="F4041" s="227" t="n"/>
      <c r="G4041" s="227" t="n"/>
      <c r="H4041" s="227" t="n"/>
      <c r="I4041" s="227" t="n"/>
      <c r="J4041" s="227" t="n"/>
      <c r="K4041" s="227" t="n"/>
      <c r="L4041" s="227" t="n"/>
      <c r="M4041" s="227" t="n"/>
      <c r="N4041" s="127" t="n"/>
      <c r="O4041" s="227" t="n"/>
      <c r="P4041" s="227" t="n"/>
      <c r="Q4041" s="227" t="n"/>
      <c r="R4041" s="227" t="n"/>
      <c r="S4041" s="227" t="n"/>
      <c r="T4041" s="227" t="n"/>
    </row>
    <row r="4042">
      <c r="A4042" s="145">
        <f>IF($B4042="","",ROW()-5)</f>
        <v/>
      </c>
      <c r="B4042" s="127" t="n"/>
      <c r="C4042" s="223" t="n"/>
      <c r="D4042" s="127" t="n"/>
      <c r="E4042" s="227" t="n"/>
      <c r="F4042" s="227" t="n"/>
      <c r="G4042" s="227" t="n"/>
      <c r="H4042" s="227" t="n"/>
      <c r="I4042" s="227" t="n"/>
      <c r="J4042" s="227" t="n"/>
      <c r="K4042" s="227" t="n"/>
      <c r="L4042" s="227" t="n"/>
      <c r="M4042" s="227" t="n"/>
      <c r="N4042" s="127" t="n"/>
      <c r="O4042" s="227" t="n"/>
      <c r="P4042" s="227" t="n"/>
      <c r="Q4042" s="227" t="n"/>
      <c r="R4042" s="227" t="n"/>
      <c r="S4042" s="227" t="n"/>
      <c r="T4042" s="227" t="n"/>
    </row>
    <row r="4043">
      <c r="A4043" s="145">
        <f>IF($B4043="","",ROW()-5)</f>
        <v/>
      </c>
      <c r="B4043" s="127" t="n"/>
      <c r="C4043" s="223" t="n"/>
      <c r="D4043" s="127" t="n"/>
      <c r="E4043" s="227" t="n"/>
      <c r="F4043" s="227" t="n"/>
      <c r="G4043" s="227" t="n"/>
      <c r="H4043" s="227" t="n"/>
      <c r="I4043" s="227" t="n"/>
      <c r="J4043" s="227" t="n"/>
      <c r="K4043" s="227" t="n"/>
      <c r="L4043" s="227" t="n"/>
      <c r="M4043" s="227" t="n"/>
      <c r="N4043" s="127" t="n"/>
      <c r="O4043" s="227" t="n"/>
      <c r="P4043" s="227" t="n"/>
      <c r="Q4043" s="227" t="n"/>
      <c r="R4043" s="227" t="n"/>
      <c r="S4043" s="227" t="n"/>
      <c r="T4043" s="227" t="n"/>
    </row>
    <row r="4044">
      <c r="A4044" s="145">
        <f>IF($B4044="","",ROW()-5)</f>
        <v/>
      </c>
      <c r="B4044" s="127" t="n"/>
      <c r="C4044" s="223" t="n"/>
      <c r="D4044" s="127" t="n"/>
      <c r="E4044" s="227" t="n"/>
      <c r="F4044" s="227" t="n"/>
      <c r="G4044" s="227" t="n"/>
      <c r="H4044" s="227" t="n"/>
      <c r="I4044" s="227" t="n"/>
      <c r="J4044" s="227" t="n"/>
      <c r="K4044" s="227" t="n"/>
      <c r="L4044" s="227" t="n"/>
      <c r="M4044" s="227" t="n"/>
      <c r="N4044" s="127" t="n"/>
      <c r="O4044" s="227" t="n"/>
      <c r="P4044" s="227" t="n"/>
      <c r="Q4044" s="227" t="n"/>
      <c r="R4044" s="227" t="n"/>
      <c r="S4044" s="227" t="n"/>
      <c r="T4044" s="227" t="n"/>
    </row>
    <row r="4045">
      <c r="A4045" s="145">
        <f>IF($B4045="","",ROW()-5)</f>
        <v/>
      </c>
      <c r="B4045" s="127" t="n"/>
      <c r="C4045" s="223" t="n"/>
      <c r="D4045" s="127" t="n"/>
      <c r="E4045" s="227" t="n"/>
      <c r="F4045" s="227" t="n"/>
      <c r="G4045" s="227" t="n"/>
      <c r="H4045" s="227" t="n"/>
      <c r="I4045" s="227" t="n"/>
      <c r="J4045" s="227" t="n"/>
      <c r="K4045" s="227" t="n"/>
      <c r="L4045" s="227" t="n"/>
      <c r="M4045" s="227" t="n"/>
      <c r="N4045" s="127" t="n"/>
      <c r="O4045" s="227" t="n"/>
      <c r="P4045" s="227" t="n"/>
      <c r="Q4045" s="227" t="n"/>
      <c r="R4045" s="227" t="n"/>
      <c r="S4045" s="227" t="n"/>
      <c r="T4045" s="227" t="n"/>
    </row>
    <row r="4046">
      <c r="A4046" s="145">
        <f>IF($B4046="","",ROW()-5)</f>
        <v/>
      </c>
      <c r="B4046" s="127" t="n"/>
      <c r="C4046" s="223" t="n"/>
      <c r="D4046" s="127" t="n"/>
      <c r="E4046" s="227" t="n"/>
      <c r="F4046" s="227" t="n"/>
      <c r="G4046" s="227" t="n"/>
      <c r="H4046" s="227" t="n"/>
      <c r="I4046" s="227" t="n"/>
      <c r="J4046" s="227" t="n"/>
      <c r="K4046" s="227" t="n"/>
      <c r="L4046" s="227" t="n"/>
      <c r="M4046" s="227" t="n"/>
      <c r="N4046" s="127" t="n"/>
      <c r="O4046" s="227" t="n"/>
      <c r="P4046" s="227" t="n"/>
      <c r="Q4046" s="227" t="n"/>
      <c r="R4046" s="227" t="n"/>
      <c r="S4046" s="227" t="n"/>
      <c r="T4046" s="227" t="n"/>
    </row>
    <row r="4047">
      <c r="A4047" s="145">
        <f>IF($B4047="","",ROW()-5)</f>
        <v/>
      </c>
      <c r="B4047" s="127" t="n"/>
      <c r="C4047" s="223" t="n"/>
      <c r="D4047" s="127" t="n"/>
      <c r="E4047" s="227" t="n"/>
      <c r="F4047" s="227" t="n"/>
      <c r="G4047" s="227" t="n"/>
      <c r="H4047" s="227" t="n"/>
      <c r="I4047" s="227" t="n"/>
      <c r="J4047" s="227" t="n"/>
      <c r="K4047" s="227" t="n"/>
      <c r="L4047" s="227" t="n"/>
      <c r="M4047" s="227" t="n"/>
      <c r="N4047" s="127" t="n"/>
      <c r="O4047" s="227" t="n"/>
      <c r="P4047" s="227" t="n"/>
      <c r="Q4047" s="227" t="n"/>
      <c r="R4047" s="227" t="n"/>
      <c r="S4047" s="227" t="n"/>
      <c r="T4047" s="227" t="n"/>
    </row>
    <row r="4048">
      <c r="A4048" s="145">
        <f>IF($B4048="","",ROW()-5)</f>
        <v/>
      </c>
      <c r="B4048" s="127" t="n"/>
      <c r="C4048" s="223" t="n"/>
      <c r="D4048" s="127" t="n"/>
      <c r="E4048" s="227" t="n"/>
      <c r="F4048" s="227" t="n"/>
      <c r="G4048" s="227" t="n"/>
      <c r="H4048" s="227" t="n"/>
      <c r="I4048" s="227" t="n"/>
      <c r="J4048" s="227" t="n"/>
      <c r="K4048" s="227" t="n"/>
      <c r="L4048" s="227" t="n"/>
      <c r="M4048" s="227" t="n"/>
      <c r="N4048" s="127" t="n"/>
      <c r="O4048" s="227" t="n"/>
      <c r="P4048" s="227" t="n"/>
      <c r="Q4048" s="227" t="n"/>
      <c r="R4048" s="227" t="n"/>
      <c r="S4048" s="227" t="n"/>
      <c r="T4048" s="227" t="n"/>
    </row>
    <row r="4049">
      <c r="A4049" s="145">
        <f>IF($B4049="","",ROW()-5)</f>
        <v/>
      </c>
      <c r="B4049" s="127" t="n"/>
      <c r="C4049" s="223" t="n"/>
      <c r="D4049" s="127" t="n"/>
      <c r="E4049" s="227" t="n"/>
      <c r="F4049" s="227" t="n"/>
      <c r="G4049" s="227" t="n"/>
      <c r="H4049" s="227" t="n"/>
      <c r="I4049" s="227" t="n"/>
      <c r="J4049" s="227" t="n"/>
      <c r="K4049" s="227" t="n"/>
      <c r="L4049" s="227" t="n"/>
      <c r="M4049" s="227" t="n"/>
      <c r="N4049" s="127" t="n"/>
      <c r="O4049" s="227" t="n"/>
      <c r="P4049" s="227" t="n"/>
      <c r="Q4049" s="227" t="n"/>
      <c r="R4049" s="227" t="n"/>
      <c r="S4049" s="227" t="n"/>
      <c r="T4049" s="227" t="n"/>
    </row>
    <row r="4050">
      <c r="A4050" s="145">
        <f>IF($B4050="","",ROW()-5)</f>
        <v/>
      </c>
      <c r="B4050" s="127" t="n"/>
      <c r="C4050" s="223" t="n"/>
      <c r="D4050" s="127" t="n"/>
      <c r="E4050" s="227" t="n"/>
      <c r="F4050" s="227" t="n"/>
      <c r="G4050" s="227" t="n"/>
      <c r="H4050" s="227" t="n"/>
      <c r="I4050" s="227" t="n"/>
      <c r="J4050" s="227" t="n"/>
      <c r="K4050" s="227" t="n"/>
      <c r="L4050" s="227" t="n"/>
      <c r="M4050" s="227" t="n"/>
      <c r="N4050" s="127" t="n"/>
      <c r="O4050" s="227" t="n"/>
      <c r="P4050" s="227" t="n"/>
      <c r="Q4050" s="227" t="n"/>
      <c r="R4050" s="227" t="n"/>
      <c r="S4050" s="227" t="n"/>
      <c r="T4050" s="227" t="n"/>
    </row>
    <row r="4051">
      <c r="A4051" s="145">
        <f>IF($B4051="","",ROW()-5)</f>
        <v/>
      </c>
      <c r="B4051" s="127" t="n"/>
      <c r="C4051" s="223" t="n"/>
      <c r="D4051" s="127" t="n"/>
      <c r="E4051" s="227" t="n"/>
      <c r="F4051" s="227" t="n"/>
      <c r="G4051" s="227" t="n"/>
      <c r="H4051" s="227" t="n"/>
      <c r="I4051" s="227" t="n"/>
      <c r="J4051" s="227" t="n"/>
      <c r="K4051" s="227" t="n"/>
      <c r="L4051" s="227" t="n"/>
      <c r="M4051" s="227" t="n"/>
      <c r="N4051" s="127" t="n"/>
      <c r="O4051" s="227" t="n"/>
      <c r="P4051" s="227" t="n"/>
      <c r="Q4051" s="227" t="n"/>
      <c r="R4051" s="227" t="n"/>
      <c r="S4051" s="227" t="n"/>
      <c r="T4051" s="227" t="n"/>
    </row>
    <row r="4052">
      <c r="A4052" s="145">
        <f>IF($B4052="","",ROW()-5)</f>
        <v/>
      </c>
      <c r="B4052" s="127" t="n"/>
      <c r="C4052" s="223" t="n"/>
      <c r="D4052" s="127" t="n"/>
      <c r="E4052" s="227" t="n"/>
      <c r="F4052" s="227" t="n"/>
      <c r="G4052" s="227" t="n"/>
      <c r="H4052" s="227" t="n"/>
      <c r="I4052" s="227" t="n"/>
      <c r="J4052" s="227" t="n"/>
      <c r="K4052" s="227" t="n"/>
      <c r="L4052" s="227" t="n"/>
      <c r="M4052" s="227" t="n"/>
      <c r="N4052" s="127" t="n"/>
      <c r="O4052" s="227" t="n"/>
      <c r="P4052" s="227" t="n"/>
      <c r="Q4052" s="227" t="n"/>
      <c r="R4052" s="227" t="n"/>
      <c r="S4052" s="227" t="n"/>
      <c r="T4052" s="227" t="n"/>
    </row>
    <row r="4053">
      <c r="A4053" s="145">
        <f>IF($B4053="","",ROW()-5)</f>
        <v/>
      </c>
      <c r="B4053" s="127" t="n"/>
      <c r="C4053" s="223" t="n"/>
      <c r="D4053" s="127" t="n"/>
      <c r="E4053" s="227" t="n"/>
      <c r="F4053" s="227" t="n"/>
      <c r="G4053" s="227" t="n"/>
      <c r="H4053" s="227" t="n"/>
      <c r="I4053" s="227" t="n"/>
      <c r="J4053" s="227" t="n"/>
      <c r="K4053" s="227" t="n"/>
      <c r="L4053" s="227" t="n"/>
      <c r="M4053" s="227" t="n"/>
      <c r="N4053" s="127" t="n"/>
      <c r="O4053" s="227" t="n"/>
      <c r="P4053" s="227" t="n"/>
      <c r="Q4053" s="227" t="n"/>
      <c r="R4053" s="227" t="n"/>
      <c r="S4053" s="227" t="n"/>
      <c r="T4053" s="227" t="n"/>
    </row>
    <row r="4054">
      <c r="A4054" s="145">
        <f>IF($B4054="","",ROW()-5)</f>
        <v/>
      </c>
      <c r="B4054" s="127" t="n"/>
      <c r="C4054" s="223" t="n"/>
      <c r="D4054" s="127" t="n"/>
      <c r="E4054" s="227" t="n"/>
      <c r="F4054" s="227" t="n"/>
      <c r="G4054" s="227" t="n"/>
      <c r="H4054" s="227" t="n"/>
      <c r="I4054" s="227" t="n"/>
      <c r="J4054" s="227" t="n"/>
      <c r="K4054" s="227" t="n"/>
      <c r="L4054" s="227" t="n"/>
      <c r="M4054" s="227" t="n"/>
      <c r="N4054" s="127" t="n"/>
      <c r="O4054" s="227" t="n"/>
      <c r="P4054" s="227" t="n"/>
      <c r="Q4054" s="227" t="n"/>
      <c r="R4054" s="227" t="n"/>
      <c r="S4054" s="227" t="n"/>
      <c r="T4054" s="227" t="n"/>
    </row>
    <row r="4055">
      <c r="A4055" s="145">
        <f>IF($B4055="","",ROW()-5)</f>
        <v/>
      </c>
      <c r="B4055" s="127" t="n"/>
      <c r="C4055" s="223" t="n"/>
      <c r="D4055" s="127" t="n"/>
      <c r="E4055" s="227" t="n"/>
      <c r="F4055" s="227" t="n"/>
      <c r="G4055" s="227" t="n"/>
      <c r="H4055" s="227" t="n"/>
      <c r="I4055" s="227" t="n"/>
      <c r="J4055" s="227" t="n"/>
      <c r="K4055" s="227" t="n"/>
      <c r="L4055" s="227" t="n"/>
      <c r="M4055" s="227" t="n"/>
      <c r="N4055" s="127" t="n"/>
      <c r="O4055" s="227" t="n"/>
      <c r="P4055" s="227" t="n"/>
      <c r="Q4055" s="227" t="n"/>
      <c r="R4055" s="227" t="n"/>
      <c r="S4055" s="227" t="n"/>
      <c r="T4055" s="227" t="n"/>
    </row>
    <row r="4056">
      <c r="A4056" s="145">
        <f>IF($B4056="","",ROW()-5)</f>
        <v/>
      </c>
      <c r="B4056" s="127" t="n"/>
      <c r="C4056" s="223" t="n"/>
      <c r="D4056" s="127" t="n"/>
      <c r="E4056" s="227" t="n"/>
      <c r="F4056" s="227" t="n"/>
      <c r="G4056" s="227" t="n"/>
      <c r="H4056" s="227" t="n"/>
      <c r="I4056" s="227" t="n"/>
      <c r="J4056" s="227" t="n"/>
      <c r="K4056" s="227" t="n"/>
      <c r="L4056" s="227" t="n"/>
      <c r="M4056" s="227" t="n"/>
      <c r="N4056" s="127" t="n"/>
      <c r="O4056" s="227" t="n"/>
      <c r="P4056" s="227" t="n"/>
      <c r="Q4056" s="227" t="n"/>
      <c r="R4056" s="227" t="n"/>
      <c r="S4056" s="227" t="n"/>
      <c r="T4056" s="227" t="n"/>
    </row>
    <row r="4057">
      <c r="A4057" s="145">
        <f>IF($B4057="","",ROW()-5)</f>
        <v/>
      </c>
      <c r="B4057" s="127" t="n"/>
      <c r="C4057" s="223" t="n"/>
      <c r="D4057" s="127" t="n"/>
      <c r="E4057" s="227" t="n"/>
      <c r="F4057" s="227" t="n"/>
      <c r="G4057" s="227" t="n"/>
      <c r="H4057" s="227" t="n"/>
      <c r="I4057" s="227" t="n"/>
      <c r="J4057" s="227" t="n"/>
      <c r="K4057" s="227" t="n"/>
      <c r="L4057" s="227" t="n"/>
      <c r="M4057" s="227" t="n"/>
      <c r="N4057" s="127" t="n"/>
      <c r="O4057" s="227" t="n"/>
      <c r="P4057" s="227" t="n"/>
      <c r="Q4057" s="227" t="n"/>
      <c r="R4057" s="227" t="n"/>
      <c r="S4057" s="227" t="n"/>
      <c r="T4057" s="227" t="n"/>
    </row>
    <row r="4058">
      <c r="A4058" s="145">
        <f>IF($B4058="","",ROW()-5)</f>
        <v/>
      </c>
      <c r="B4058" s="127" t="n"/>
      <c r="C4058" s="223" t="n"/>
      <c r="D4058" s="127" t="n"/>
      <c r="E4058" s="227" t="n"/>
      <c r="F4058" s="227" t="n"/>
      <c r="G4058" s="227" t="n"/>
      <c r="H4058" s="227" t="n"/>
      <c r="I4058" s="227" t="n"/>
      <c r="J4058" s="227" t="n"/>
      <c r="K4058" s="227" t="n"/>
      <c r="L4058" s="227" t="n"/>
      <c r="M4058" s="227" t="n"/>
      <c r="N4058" s="127" t="n"/>
      <c r="O4058" s="227" t="n"/>
      <c r="P4058" s="227" t="n"/>
      <c r="Q4058" s="227" t="n"/>
      <c r="R4058" s="227" t="n"/>
      <c r="S4058" s="227" t="n"/>
      <c r="T4058" s="227" t="n"/>
    </row>
    <row r="4059">
      <c r="A4059" s="145">
        <f>IF($B4059="","",ROW()-5)</f>
        <v/>
      </c>
      <c r="B4059" s="127" t="n"/>
      <c r="C4059" s="223" t="n"/>
      <c r="D4059" s="127" t="n"/>
      <c r="E4059" s="227" t="n"/>
      <c r="F4059" s="227" t="n"/>
      <c r="G4059" s="227" t="n"/>
      <c r="H4059" s="227" t="n"/>
      <c r="I4059" s="227" t="n"/>
      <c r="J4059" s="227" t="n"/>
      <c r="K4059" s="227" t="n"/>
      <c r="L4059" s="227" t="n"/>
      <c r="M4059" s="227" t="n"/>
      <c r="N4059" s="127" t="n"/>
      <c r="O4059" s="227" t="n"/>
      <c r="P4059" s="227" t="n"/>
      <c r="Q4059" s="227" t="n"/>
      <c r="R4059" s="227" t="n"/>
      <c r="S4059" s="227" t="n"/>
      <c r="T4059" s="227" t="n"/>
    </row>
    <row r="4060">
      <c r="A4060" s="145">
        <f>IF($B4060="","",ROW()-5)</f>
        <v/>
      </c>
      <c r="B4060" s="127" t="n"/>
      <c r="C4060" s="223" t="n"/>
      <c r="D4060" s="127" t="n"/>
      <c r="E4060" s="227" t="n"/>
      <c r="F4060" s="227" t="n"/>
      <c r="G4060" s="227" t="n"/>
      <c r="H4060" s="227" t="n"/>
      <c r="I4060" s="227" t="n"/>
      <c r="J4060" s="227" t="n"/>
      <c r="K4060" s="227" t="n"/>
      <c r="L4060" s="227" t="n"/>
      <c r="M4060" s="227" t="n"/>
      <c r="N4060" s="127" t="n"/>
      <c r="O4060" s="227" t="n"/>
      <c r="P4060" s="227" t="n"/>
      <c r="Q4060" s="227" t="n"/>
      <c r="R4060" s="227" t="n"/>
      <c r="S4060" s="227" t="n"/>
      <c r="T4060" s="227" t="n"/>
    </row>
    <row r="4061">
      <c r="A4061" s="145">
        <f>IF($B4061="","",ROW()-5)</f>
        <v/>
      </c>
      <c r="B4061" s="127" t="n"/>
      <c r="C4061" s="223" t="n"/>
      <c r="D4061" s="127" t="n"/>
      <c r="E4061" s="227" t="n"/>
      <c r="F4061" s="227" t="n"/>
      <c r="G4061" s="227" t="n"/>
      <c r="H4061" s="227" t="n"/>
      <c r="I4061" s="227" t="n"/>
      <c r="J4061" s="227" t="n"/>
      <c r="K4061" s="227" t="n"/>
      <c r="L4061" s="227" t="n"/>
      <c r="M4061" s="227" t="n"/>
      <c r="N4061" s="127" t="n"/>
      <c r="O4061" s="227" t="n"/>
      <c r="P4061" s="227" t="n"/>
      <c r="Q4061" s="227" t="n"/>
      <c r="R4061" s="227" t="n"/>
      <c r="S4061" s="227" t="n"/>
      <c r="T4061" s="227" t="n"/>
    </row>
    <row r="4062">
      <c r="A4062" s="145">
        <f>IF($B4062="","",ROW()-5)</f>
        <v/>
      </c>
      <c r="B4062" s="127" t="n"/>
      <c r="C4062" s="223" t="n"/>
      <c r="D4062" s="127" t="n"/>
      <c r="E4062" s="227" t="n"/>
      <c r="F4062" s="227" t="n"/>
      <c r="G4062" s="227" t="n"/>
      <c r="H4062" s="227" t="n"/>
      <c r="I4062" s="227" t="n"/>
      <c r="J4062" s="227" t="n"/>
      <c r="K4062" s="227" t="n"/>
      <c r="L4062" s="227" t="n"/>
      <c r="M4062" s="227" t="n"/>
      <c r="N4062" s="127" t="n"/>
      <c r="O4062" s="227" t="n"/>
      <c r="P4062" s="227" t="n"/>
      <c r="Q4062" s="227" t="n"/>
      <c r="R4062" s="227" t="n"/>
      <c r="S4062" s="227" t="n"/>
      <c r="T4062" s="227" t="n"/>
    </row>
    <row r="4063">
      <c r="A4063" s="145">
        <f>IF($B4063="","",ROW()-5)</f>
        <v/>
      </c>
      <c r="B4063" s="127" t="n"/>
      <c r="C4063" s="223" t="n"/>
      <c r="D4063" s="127" t="n"/>
      <c r="E4063" s="227" t="n"/>
      <c r="F4063" s="227" t="n"/>
      <c r="G4063" s="227" t="n"/>
      <c r="H4063" s="227" t="n"/>
      <c r="I4063" s="227" t="n"/>
      <c r="J4063" s="227" t="n"/>
      <c r="K4063" s="227" t="n"/>
      <c r="L4063" s="227" t="n"/>
      <c r="M4063" s="227" t="n"/>
      <c r="N4063" s="127" t="n"/>
      <c r="O4063" s="227" t="n"/>
      <c r="P4063" s="227" t="n"/>
      <c r="Q4063" s="227" t="n"/>
      <c r="R4063" s="227" t="n"/>
      <c r="S4063" s="227" t="n"/>
      <c r="T4063" s="227" t="n"/>
    </row>
    <row r="4064">
      <c r="A4064" s="145">
        <f>IF($B4064="","",ROW()-5)</f>
        <v/>
      </c>
      <c r="B4064" s="127" t="n"/>
      <c r="C4064" s="223" t="n"/>
      <c r="D4064" s="127" t="n"/>
      <c r="E4064" s="227" t="n"/>
      <c r="F4064" s="227" t="n"/>
      <c r="G4064" s="227" t="n"/>
      <c r="H4064" s="227" t="n"/>
      <c r="I4064" s="227" t="n"/>
      <c r="J4064" s="227" t="n"/>
      <c r="K4064" s="227" t="n"/>
      <c r="L4064" s="227" t="n"/>
      <c r="M4064" s="227" t="n"/>
      <c r="N4064" s="127" t="n"/>
      <c r="O4064" s="227" t="n"/>
      <c r="P4064" s="227" t="n"/>
      <c r="Q4064" s="227" t="n"/>
      <c r="R4064" s="227" t="n"/>
      <c r="S4064" s="227" t="n"/>
      <c r="T4064" s="227" t="n"/>
    </row>
    <row r="4065">
      <c r="A4065" s="145">
        <f>IF($B4065="","",ROW()-5)</f>
        <v/>
      </c>
      <c r="B4065" s="127" t="n"/>
      <c r="C4065" s="223" t="n"/>
      <c r="D4065" s="127" t="n"/>
      <c r="E4065" s="227" t="n"/>
      <c r="F4065" s="227" t="n"/>
      <c r="G4065" s="227" t="n"/>
      <c r="H4065" s="227" t="n"/>
      <c r="I4065" s="227" t="n"/>
      <c r="J4065" s="227" t="n"/>
      <c r="K4065" s="227" t="n"/>
      <c r="L4065" s="227" t="n"/>
      <c r="M4065" s="227" t="n"/>
      <c r="N4065" s="127" t="n"/>
      <c r="O4065" s="227" t="n"/>
      <c r="P4065" s="227" t="n"/>
      <c r="Q4065" s="227" t="n"/>
      <c r="R4065" s="227" t="n"/>
      <c r="S4065" s="227" t="n"/>
      <c r="T4065" s="227" t="n"/>
    </row>
    <row r="4066">
      <c r="A4066" s="145">
        <f>IF($B4066="","",ROW()-5)</f>
        <v/>
      </c>
      <c r="B4066" s="127" t="n"/>
      <c r="C4066" s="223" t="n"/>
      <c r="D4066" s="127" t="n"/>
      <c r="E4066" s="227" t="n"/>
      <c r="F4066" s="227" t="n"/>
      <c r="G4066" s="227" t="n"/>
      <c r="H4066" s="227" t="n"/>
      <c r="I4066" s="227" t="n"/>
      <c r="J4066" s="227" t="n"/>
      <c r="K4066" s="227" t="n"/>
      <c r="L4066" s="227" t="n"/>
      <c r="M4066" s="227" t="n"/>
      <c r="N4066" s="127" t="n"/>
      <c r="O4066" s="227" t="n"/>
      <c r="P4066" s="227" t="n"/>
      <c r="Q4066" s="227" t="n"/>
      <c r="R4066" s="227" t="n"/>
      <c r="S4066" s="227" t="n"/>
      <c r="T4066" s="227" t="n"/>
    </row>
    <row r="4067">
      <c r="A4067" s="145">
        <f>IF($B4067="","",ROW()-5)</f>
        <v/>
      </c>
      <c r="B4067" s="127" t="n"/>
      <c r="C4067" s="223" t="n"/>
      <c r="D4067" s="127" t="n"/>
      <c r="E4067" s="227" t="n"/>
      <c r="F4067" s="227" t="n"/>
      <c r="G4067" s="227" t="n"/>
      <c r="H4067" s="227" t="n"/>
      <c r="I4067" s="227" t="n"/>
      <c r="J4067" s="227" t="n"/>
      <c r="K4067" s="227" t="n"/>
      <c r="L4067" s="227" t="n"/>
      <c r="M4067" s="227" t="n"/>
      <c r="N4067" s="127" t="n"/>
      <c r="O4067" s="227" t="n"/>
      <c r="P4067" s="227" t="n"/>
      <c r="Q4067" s="227" t="n"/>
      <c r="R4067" s="227" t="n"/>
      <c r="S4067" s="227" t="n"/>
      <c r="T4067" s="227" t="n"/>
    </row>
    <row r="4068">
      <c r="A4068" s="145">
        <f>IF($B4068="","",ROW()-5)</f>
        <v/>
      </c>
      <c r="B4068" s="127" t="n"/>
      <c r="C4068" s="223" t="n"/>
      <c r="D4068" s="127" t="n"/>
      <c r="E4068" s="227" t="n"/>
      <c r="F4068" s="227" t="n"/>
      <c r="G4068" s="227" t="n"/>
      <c r="H4068" s="227" t="n"/>
      <c r="I4068" s="227" t="n"/>
      <c r="J4068" s="227" t="n"/>
      <c r="K4068" s="227" t="n"/>
      <c r="L4068" s="227" t="n"/>
      <c r="M4068" s="227" t="n"/>
      <c r="N4068" s="127" t="n"/>
      <c r="O4068" s="227" t="n"/>
      <c r="P4068" s="227" t="n"/>
      <c r="Q4068" s="227" t="n"/>
      <c r="R4068" s="227" t="n"/>
      <c r="S4068" s="227" t="n"/>
      <c r="T4068" s="227" t="n"/>
    </row>
    <row r="4069">
      <c r="A4069" s="145">
        <f>IF($B4069="","",ROW()-5)</f>
        <v/>
      </c>
      <c r="B4069" s="127" t="n"/>
      <c r="C4069" s="223" t="n"/>
      <c r="D4069" s="127" t="n"/>
      <c r="E4069" s="227" t="n"/>
      <c r="F4069" s="227" t="n"/>
      <c r="G4069" s="227" t="n"/>
      <c r="H4069" s="227" t="n"/>
      <c r="I4069" s="227" t="n"/>
      <c r="J4069" s="227" t="n"/>
      <c r="K4069" s="227" t="n"/>
      <c r="L4069" s="227" t="n"/>
      <c r="M4069" s="227" t="n"/>
      <c r="N4069" s="127" t="n"/>
      <c r="O4069" s="227" t="n"/>
      <c r="P4069" s="227" t="n"/>
      <c r="Q4069" s="227" t="n"/>
      <c r="R4069" s="227" t="n"/>
      <c r="S4069" s="227" t="n"/>
      <c r="T4069" s="227" t="n"/>
    </row>
    <row r="4070">
      <c r="A4070" s="145">
        <f>IF($B4070="","",ROW()-5)</f>
        <v/>
      </c>
      <c r="B4070" s="127" t="n"/>
      <c r="C4070" s="223" t="n"/>
      <c r="D4070" s="127" t="n"/>
      <c r="E4070" s="227" t="n"/>
      <c r="F4070" s="227" t="n"/>
      <c r="G4070" s="227" t="n"/>
      <c r="H4070" s="227" t="n"/>
      <c r="I4070" s="227" t="n"/>
      <c r="J4070" s="227" t="n"/>
      <c r="K4070" s="227" t="n"/>
      <c r="L4070" s="227" t="n"/>
      <c r="M4070" s="227" t="n"/>
      <c r="N4070" s="127" t="n"/>
      <c r="O4070" s="227" t="n"/>
      <c r="P4070" s="227" t="n"/>
      <c r="Q4070" s="227" t="n"/>
      <c r="R4070" s="227" t="n"/>
      <c r="S4070" s="227" t="n"/>
      <c r="T4070" s="227" t="n"/>
    </row>
    <row r="4071">
      <c r="A4071" s="145">
        <f>IF($B4071="","",ROW()-5)</f>
        <v/>
      </c>
      <c r="B4071" s="127" t="n"/>
      <c r="C4071" s="223" t="n"/>
      <c r="D4071" s="127" t="n"/>
      <c r="E4071" s="227" t="n"/>
      <c r="F4071" s="227" t="n"/>
      <c r="G4071" s="227" t="n"/>
      <c r="H4071" s="227" t="n"/>
      <c r="I4071" s="227" t="n"/>
      <c r="J4071" s="227" t="n"/>
      <c r="K4071" s="227" t="n"/>
      <c r="L4071" s="227" t="n"/>
      <c r="M4071" s="227" t="n"/>
      <c r="N4071" s="127" t="n"/>
      <c r="O4071" s="227" t="n"/>
      <c r="P4071" s="227" t="n"/>
      <c r="Q4071" s="227" t="n"/>
      <c r="R4071" s="227" t="n"/>
      <c r="S4071" s="227" t="n"/>
      <c r="T4071" s="227" t="n"/>
    </row>
    <row r="4072">
      <c r="A4072" s="145">
        <f>IF($B4072="","",ROW()-5)</f>
        <v/>
      </c>
      <c r="B4072" s="127" t="n"/>
      <c r="C4072" s="223" t="n"/>
      <c r="D4072" s="127" t="n"/>
      <c r="E4072" s="227" t="n"/>
      <c r="F4072" s="227" t="n"/>
      <c r="G4072" s="227" t="n"/>
      <c r="H4072" s="227" t="n"/>
      <c r="I4072" s="227" t="n"/>
      <c r="J4072" s="227" t="n"/>
      <c r="K4072" s="227" t="n"/>
      <c r="L4072" s="227" t="n"/>
      <c r="M4072" s="227" t="n"/>
      <c r="N4072" s="127" t="n"/>
      <c r="O4072" s="227" t="n"/>
      <c r="P4072" s="227" t="n"/>
      <c r="Q4072" s="227" t="n"/>
      <c r="R4072" s="227" t="n"/>
      <c r="S4072" s="227" t="n"/>
      <c r="T4072" s="227" t="n"/>
    </row>
    <row r="4073">
      <c r="A4073" s="145">
        <f>IF($B4073="","",ROW()-5)</f>
        <v/>
      </c>
      <c r="B4073" s="127" t="n"/>
      <c r="C4073" s="223" t="n"/>
      <c r="D4073" s="127" t="n"/>
      <c r="E4073" s="227" t="n"/>
      <c r="F4073" s="227" t="n"/>
      <c r="G4073" s="227" t="n"/>
      <c r="H4073" s="227" t="n"/>
      <c r="I4073" s="227" t="n"/>
      <c r="J4073" s="227" t="n"/>
      <c r="K4073" s="227" t="n"/>
      <c r="L4073" s="227" t="n"/>
      <c r="M4073" s="227" t="n"/>
      <c r="N4073" s="127" t="n"/>
      <c r="O4073" s="227" t="n"/>
      <c r="P4073" s="227" t="n"/>
      <c r="Q4073" s="227" t="n"/>
      <c r="R4073" s="227" t="n"/>
      <c r="S4073" s="227" t="n"/>
      <c r="T4073" s="227" t="n"/>
    </row>
    <row r="4074">
      <c r="A4074" s="145">
        <f>IF($B4074="","",ROW()-5)</f>
        <v/>
      </c>
      <c r="B4074" s="127" t="n"/>
      <c r="C4074" s="223" t="n"/>
      <c r="D4074" s="127" t="n"/>
      <c r="E4074" s="227" t="n"/>
      <c r="F4074" s="227" t="n"/>
      <c r="G4074" s="227" t="n"/>
      <c r="H4074" s="227" t="n"/>
      <c r="I4074" s="227" t="n"/>
      <c r="J4074" s="227" t="n"/>
      <c r="K4074" s="227" t="n"/>
      <c r="L4074" s="227" t="n"/>
      <c r="M4074" s="227" t="n"/>
      <c r="N4074" s="127" t="n"/>
      <c r="O4074" s="227" t="n"/>
      <c r="P4074" s="227" t="n"/>
      <c r="Q4074" s="227" t="n"/>
      <c r="R4074" s="227" t="n"/>
      <c r="S4074" s="227" t="n"/>
      <c r="T4074" s="227" t="n"/>
    </row>
    <row r="4075">
      <c r="A4075" s="145">
        <f>IF($B4075="","",ROW()-5)</f>
        <v/>
      </c>
      <c r="B4075" s="127" t="n"/>
      <c r="C4075" s="223" t="n"/>
      <c r="D4075" s="127" t="n"/>
      <c r="E4075" s="227" t="n"/>
      <c r="F4075" s="227" t="n"/>
      <c r="G4075" s="227" t="n"/>
      <c r="H4075" s="227" t="n"/>
      <c r="I4075" s="227" t="n"/>
      <c r="J4075" s="227" t="n"/>
      <c r="K4075" s="227" t="n"/>
      <c r="L4075" s="227" t="n"/>
      <c r="M4075" s="227" t="n"/>
      <c r="N4075" s="127" t="n"/>
      <c r="O4075" s="227" t="n"/>
      <c r="P4075" s="227" t="n"/>
      <c r="Q4075" s="227" t="n"/>
      <c r="R4075" s="227" t="n"/>
      <c r="S4075" s="227" t="n"/>
      <c r="T4075" s="227" t="n"/>
    </row>
    <row r="4076">
      <c r="A4076" s="145">
        <f>IF($B4076="","",ROW()-5)</f>
        <v/>
      </c>
      <c r="B4076" s="127" t="n"/>
      <c r="C4076" s="223" t="n"/>
      <c r="D4076" s="127" t="n"/>
      <c r="E4076" s="227" t="n"/>
      <c r="F4076" s="227" t="n"/>
      <c r="G4076" s="227" t="n"/>
      <c r="H4076" s="227" t="n"/>
      <c r="I4076" s="227" t="n"/>
      <c r="J4076" s="227" t="n"/>
      <c r="K4076" s="227" t="n"/>
      <c r="L4076" s="227" t="n"/>
      <c r="M4076" s="227" t="n"/>
      <c r="N4076" s="127" t="n"/>
      <c r="O4076" s="227" t="n"/>
      <c r="P4076" s="227" t="n"/>
      <c r="Q4076" s="227" t="n"/>
      <c r="R4076" s="227" t="n"/>
      <c r="S4076" s="227" t="n"/>
      <c r="T4076" s="227" t="n"/>
    </row>
    <row r="4077">
      <c r="A4077" s="145">
        <f>IF($B4077="","",ROW()-5)</f>
        <v/>
      </c>
      <c r="B4077" s="127" t="n"/>
      <c r="C4077" s="223" t="n"/>
      <c r="D4077" s="127" t="n"/>
      <c r="E4077" s="227" t="n"/>
      <c r="F4077" s="227" t="n"/>
      <c r="G4077" s="227" t="n"/>
      <c r="H4077" s="227" t="n"/>
      <c r="I4077" s="227" t="n"/>
      <c r="J4077" s="227" t="n"/>
      <c r="K4077" s="227" t="n"/>
      <c r="L4077" s="227" t="n"/>
      <c r="M4077" s="227" t="n"/>
      <c r="N4077" s="127" t="n"/>
      <c r="O4077" s="227" t="n"/>
      <c r="P4077" s="227" t="n"/>
      <c r="Q4077" s="227" t="n"/>
      <c r="R4077" s="227" t="n"/>
      <c r="S4077" s="227" t="n"/>
      <c r="T4077" s="227" t="n"/>
    </row>
    <row r="4078">
      <c r="A4078" s="145">
        <f>IF($B4078="","",ROW()-5)</f>
        <v/>
      </c>
      <c r="B4078" s="127" t="n"/>
      <c r="C4078" s="223" t="n"/>
      <c r="D4078" s="127" t="n"/>
      <c r="E4078" s="227" t="n"/>
      <c r="F4078" s="227" t="n"/>
      <c r="G4078" s="227" t="n"/>
      <c r="H4078" s="227" t="n"/>
      <c r="I4078" s="227" t="n"/>
      <c r="J4078" s="227" t="n"/>
      <c r="K4078" s="227" t="n"/>
      <c r="L4078" s="227" t="n"/>
      <c r="M4078" s="227" t="n"/>
      <c r="N4078" s="127" t="n"/>
      <c r="O4078" s="227" t="n"/>
      <c r="P4078" s="227" t="n"/>
      <c r="Q4078" s="227" t="n"/>
      <c r="R4078" s="227" t="n"/>
      <c r="S4078" s="227" t="n"/>
      <c r="T4078" s="227" t="n"/>
    </row>
    <row r="4079">
      <c r="A4079" s="145">
        <f>IF($B4079="","",ROW()-5)</f>
        <v/>
      </c>
      <c r="B4079" s="127" t="n"/>
      <c r="C4079" s="223" t="n"/>
      <c r="D4079" s="127" t="n"/>
      <c r="E4079" s="227" t="n"/>
      <c r="F4079" s="227" t="n"/>
      <c r="G4079" s="227" t="n"/>
      <c r="H4079" s="227" t="n"/>
      <c r="I4079" s="227" t="n"/>
      <c r="J4079" s="227" t="n"/>
      <c r="K4079" s="227" t="n"/>
      <c r="L4079" s="227" t="n"/>
      <c r="M4079" s="227" t="n"/>
      <c r="N4079" s="127" t="n"/>
      <c r="O4079" s="227" t="n"/>
      <c r="P4079" s="227" t="n"/>
      <c r="Q4079" s="227" t="n"/>
      <c r="R4079" s="227" t="n"/>
      <c r="S4079" s="227" t="n"/>
      <c r="T4079" s="227" t="n"/>
    </row>
    <row r="4080">
      <c r="A4080" s="145">
        <f>IF($B4080="","",ROW()-5)</f>
        <v/>
      </c>
      <c r="B4080" s="127" t="n"/>
      <c r="C4080" s="223" t="n"/>
      <c r="D4080" s="127" t="n"/>
      <c r="E4080" s="227" t="n"/>
      <c r="F4080" s="227" t="n"/>
      <c r="G4080" s="227" t="n"/>
      <c r="H4080" s="227" t="n"/>
      <c r="I4080" s="227" t="n"/>
      <c r="J4080" s="227" t="n"/>
      <c r="K4080" s="227" t="n"/>
      <c r="L4080" s="227" t="n"/>
      <c r="M4080" s="227" t="n"/>
      <c r="N4080" s="127" t="n"/>
      <c r="O4080" s="227" t="n"/>
      <c r="P4080" s="227" t="n"/>
      <c r="Q4080" s="227" t="n"/>
      <c r="R4080" s="227" t="n"/>
      <c r="S4080" s="227" t="n"/>
      <c r="T4080" s="227" t="n"/>
    </row>
    <row r="4081">
      <c r="A4081" s="145">
        <f>IF($B4081="","",ROW()-5)</f>
        <v/>
      </c>
      <c r="B4081" s="127" t="n"/>
      <c r="C4081" s="223" t="n"/>
      <c r="D4081" s="127" t="n"/>
      <c r="E4081" s="227" t="n"/>
      <c r="F4081" s="227" t="n"/>
      <c r="G4081" s="227" t="n"/>
      <c r="H4081" s="227" t="n"/>
      <c r="I4081" s="227" t="n"/>
      <c r="J4081" s="227" t="n"/>
      <c r="K4081" s="227" t="n"/>
      <c r="L4081" s="227" t="n"/>
      <c r="M4081" s="227" t="n"/>
      <c r="N4081" s="127" t="n"/>
      <c r="O4081" s="227" t="n"/>
      <c r="P4081" s="227" t="n"/>
      <c r="Q4081" s="227" t="n"/>
      <c r="R4081" s="227" t="n"/>
      <c r="S4081" s="227" t="n"/>
      <c r="T4081" s="227" t="n"/>
    </row>
    <row r="4082">
      <c r="A4082" s="145">
        <f>IF($B4082="","",ROW()-5)</f>
        <v/>
      </c>
      <c r="B4082" s="127" t="n"/>
      <c r="C4082" s="223" t="n"/>
      <c r="D4082" s="127" t="n"/>
      <c r="E4082" s="227" t="n"/>
      <c r="F4082" s="227" t="n"/>
      <c r="G4082" s="227" t="n"/>
      <c r="H4082" s="227" t="n"/>
      <c r="I4082" s="227" t="n"/>
      <c r="J4082" s="227" t="n"/>
      <c r="K4082" s="227" t="n"/>
      <c r="L4082" s="227" t="n"/>
      <c r="M4082" s="227" t="n"/>
      <c r="N4082" s="127" t="n"/>
      <c r="O4082" s="227" t="n"/>
      <c r="P4082" s="227" t="n"/>
      <c r="Q4082" s="227" t="n"/>
      <c r="R4082" s="227" t="n"/>
      <c r="S4082" s="227" t="n"/>
      <c r="T4082" s="227" t="n"/>
    </row>
    <row r="4083">
      <c r="A4083" s="145">
        <f>IF($B4083="","",ROW()-5)</f>
        <v/>
      </c>
      <c r="B4083" s="127" t="n"/>
      <c r="C4083" s="223" t="n"/>
      <c r="D4083" s="127" t="n"/>
      <c r="E4083" s="227" t="n"/>
      <c r="F4083" s="227" t="n"/>
      <c r="G4083" s="227" t="n"/>
      <c r="H4083" s="227" t="n"/>
      <c r="I4083" s="227" t="n"/>
      <c r="J4083" s="227" t="n"/>
      <c r="K4083" s="227" t="n"/>
      <c r="L4083" s="227" t="n"/>
      <c r="M4083" s="227" t="n"/>
      <c r="N4083" s="127" t="n"/>
      <c r="O4083" s="227" t="n"/>
      <c r="P4083" s="227" t="n"/>
      <c r="Q4083" s="227" t="n"/>
      <c r="R4083" s="227" t="n"/>
      <c r="S4083" s="227" t="n"/>
      <c r="T4083" s="227" t="n"/>
    </row>
    <row r="4084">
      <c r="A4084" s="145">
        <f>IF($B4084="","",ROW()-5)</f>
        <v/>
      </c>
      <c r="B4084" s="127" t="n"/>
      <c r="C4084" s="223" t="n"/>
      <c r="D4084" s="127" t="n"/>
      <c r="E4084" s="227" t="n"/>
      <c r="F4084" s="227" t="n"/>
      <c r="G4084" s="227" t="n"/>
      <c r="H4084" s="227" t="n"/>
      <c r="I4084" s="227" t="n"/>
      <c r="J4084" s="227" t="n"/>
      <c r="K4084" s="227" t="n"/>
      <c r="L4084" s="227" t="n"/>
      <c r="M4084" s="227" t="n"/>
      <c r="N4084" s="127" t="n"/>
      <c r="O4084" s="227" t="n"/>
      <c r="P4084" s="227" t="n"/>
      <c r="Q4084" s="227" t="n"/>
      <c r="R4084" s="227" t="n"/>
      <c r="S4084" s="227" t="n"/>
      <c r="T4084" s="227" t="n"/>
    </row>
    <row r="4085">
      <c r="A4085" s="145">
        <f>IF($B4085="","",ROW()-5)</f>
        <v/>
      </c>
      <c r="B4085" s="127" t="n"/>
      <c r="C4085" s="223" t="n"/>
      <c r="D4085" s="127" t="n"/>
      <c r="E4085" s="227" t="n"/>
      <c r="F4085" s="227" t="n"/>
      <c r="G4085" s="227" t="n"/>
      <c r="H4085" s="227" t="n"/>
      <c r="I4085" s="227" t="n"/>
      <c r="J4085" s="227" t="n"/>
      <c r="K4085" s="227" t="n"/>
      <c r="L4085" s="227" t="n"/>
      <c r="M4085" s="227" t="n"/>
      <c r="N4085" s="127" t="n"/>
      <c r="O4085" s="227" t="n"/>
      <c r="P4085" s="227" t="n"/>
      <c r="Q4085" s="227" t="n"/>
      <c r="R4085" s="227" t="n"/>
      <c r="S4085" s="227" t="n"/>
      <c r="T4085" s="227" t="n"/>
    </row>
    <row r="4086">
      <c r="A4086" s="145">
        <f>IF($B4086="","",ROW()-5)</f>
        <v/>
      </c>
      <c r="B4086" s="127" t="n"/>
      <c r="C4086" s="223" t="n"/>
      <c r="D4086" s="127" t="n"/>
      <c r="E4086" s="227" t="n"/>
      <c r="F4086" s="227" t="n"/>
      <c r="G4086" s="227" t="n"/>
      <c r="H4086" s="227" t="n"/>
      <c r="I4086" s="227" t="n"/>
      <c r="J4086" s="227" t="n"/>
      <c r="K4086" s="227" t="n"/>
      <c r="L4086" s="227" t="n"/>
      <c r="M4086" s="227" t="n"/>
      <c r="N4086" s="127" t="n"/>
      <c r="O4086" s="227" t="n"/>
      <c r="P4086" s="227" t="n"/>
      <c r="Q4086" s="227" t="n"/>
      <c r="R4086" s="227" t="n"/>
      <c r="S4086" s="227" t="n"/>
      <c r="T4086" s="227" t="n"/>
    </row>
    <row r="4087">
      <c r="A4087" s="145">
        <f>IF($B4087="","",ROW()-5)</f>
        <v/>
      </c>
      <c r="B4087" s="127" t="n"/>
      <c r="C4087" s="223" t="n"/>
      <c r="D4087" s="127" t="n"/>
      <c r="E4087" s="227" t="n"/>
      <c r="F4087" s="227" t="n"/>
      <c r="G4087" s="227" t="n"/>
      <c r="H4087" s="227" t="n"/>
      <c r="I4087" s="227" t="n"/>
      <c r="J4087" s="227" t="n"/>
      <c r="K4087" s="227" t="n"/>
      <c r="L4087" s="227" t="n"/>
      <c r="M4087" s="227" t="n"/>
      <c r="N4087" s="127" t="n"/>
      <c r="O4087" s="227" t="n"/>
      <c r="P4087" s="227" t="n"/>
      <c r="Q4087" s="227" t="n"/>
      <c r="R4087" s="227" t="n"/>
      <c r="S4087" s="227" t="n"/>
      <c r="T4087" s="227" t="n"/>
    </row>
    <row r="4088">
      <c r="A4088" s="145">
        <f>IF($B4088="","",ROW()-5)</f>
        <v/>
      </c>
      <c r="B4088" s="127" t="n"/>
      <c r="C4088" s="223" t="n"/>
      <c r="D4088" s="127" t="n"/>
      <c r="E4088" s="227" t="n"/>
      <c r="F4088" s="227" t="n"/>
      <c r="G4088" s="227" t="n"/>
      <c r="H4088" s="227" t="n"/>
      <c r="I4088" s="227" t="n"/>
      <c r="J4088" s="227" t="n"/>
      <c r="K4088" s="227" t="n"/>
      <c r="L4088" s="227" t="n"/>
      <c r="M4088" s="227" t="n"/>
      <c r="N4088" s="127" t="n"/>
      <c r="O4088" s="227" t="n"/>
      <c r="P4088" s="227" t="n"/>
      <c r="Q4088" s="227" t="n"/>
      <c r="R4088" s="227" t="n"/>
      <c r="S4088" s="227" t="n"/>
      <c r="T4088" s="227" t="n"/>
    </row>
    <row r="4089">
      <c r="A4089" s="145">
        <f>IF($B4089="","",ROW()-5)</f>
        <v/>
      </c>
      <c r="B4089" s="127" t="n"/>
      <c r="C4089" s="223" t="n"/>
      <c r="D4089" s="127" t="n"/>
      <c r="E4089" s="227" t="n"/>
      <c r="F4089" s="227" t="n"/>
      <c r="G4089" s="227" t="n"/>
      <c r="H4089" s="227" t="n"/>
      <c r="I4089" s="227" t="n"/>
      <c r="J4089" s="227" t="n"/>
      <c r="K4089" s="227" t="n"/>
      <c r="L4089" s="227" t="n"/>
      <c r="M4089" s="227" t="n"/>
      <c r="N4089" s="127" t="n"/>
      <c r="O4089" s="227" t="n"/>
      <c r="P4089" s="227" t="n"/>
      <c r="Q4089" s="227" t="n"/>
      <c r="R4089" s="227" t="n"/>
      <c r="S4089" s="227" t="n"/>
      <c r="T4089" s="227" t="n"/>
    </row>
    <row r="4090">
      <c r="A4090" s="145">
        <f>IF($B4090="","",ROW()-5)</f>
        <v/>
      </c>
      <c r="B4090" s="127" t="n"/>
      <c r="C4090" s="223" t="n"/>
      <c r="D4090" s="127" t="n"/>
      <c r="E4090" s="227" t="n"/>
      <c r="F4090" s="227" t="n"/>
      <c r="G4090" s="227" t="n"/>
      <c r="H4090" s="227" t="n"/>
      <c r="I4090" s="227" t="n"/>
      <c r="J4090" s="227" t="n"/>
      <c r="K4090" s="227" t="n"/>
      <c r="L4090" s="227" t="n"/>
      <c r="M4090" s="227" t="n"/>
      <c r="N4090" s="127" t="n"/>
      <c r="O4090" s="227" t="n"/>
      <c r="P4090" s="227" t="n"/>
      <c r="Q4090" s="227" t="n"/>
      <c r="R4090" s="227" t="n"/>
      <c r="S4090" s="227" t="n"/>
      <c r="T4090" s="227" t="n"/>
    </row>
    <row r="4091">
      <c r="A4091" s="145">
        <f>IF($B4091="","",ROW()-5)</f>
        <v/>
      </c>
      <c r="B4091" s="127" t="n"/>
      <c r="C4091" s="223" t="n"/>
      <c r="D4091" s="127" t="n"/>
      <c r="E4091" s="227" t="n"/>
      <c r="F4091" s="227" t="n"/>
      <c r="G4091" s="227" t="n"/>
      <c r="H4091" s="227" t="n"/>
      <c r="I4091" s="227" t="n"/>
      <c r="J4091" s="227" t="n"/>
      <c r="K4091" s="227" t="n"/>
      <c r="L4091" s="227" t="n"/>
      <c r="M4091" s="227" t="n"/>
      <c r="N4091" s="127" t="n"/>
      <c r="O4091" s="227" t="n"/>
      <c r="P4091" s="227" t="n"/>
      <c r="Q4091" s="227" t="n"/>
      <c r="R4091" s="227" t="n"/>
      <c r="S4091" s="227" t="n"/>
      <c r="T4091" s="227" t="n"/>
    </row>
    <row r="4092">
      <c r="A4092" s="145">
        <f>IF($B4092="","",ROW()-5)</f>
        <v/>
      </c>
      <c r="B4092" s="127" t="n"/>
      <c r="C4092" s="223" t="n"/>
      <c r="D4092" s="127" t="n"/>
      <c r="E4092" s="227" t="n"/>
      <c r="F4092" s="227" t="n"/>
      <c r="G4092" s="227" t="n"/>
      <c r="H4092" s="227" t="n"/>
      <c r="I4092" s="227" t="n"/>
      <c r="J4092" s="227" t="n"/>
      <c r="K4092" s="227" t="n"/>
      <c r="L4092" s="227" t="n"/>
      <c r="M4092" s="227" t="n"/>
      <c r="N4092" s="127" t="n"/>
      <c r="O4092" s="227" t="n"/>
      <c r="P4092" s="227" t="n"/>
      <c r="Q4092" s="227" t="n"/>
      <c r="R4092" s="227" t="n"/>
      <c r="S4092" s="227" t="n"/>
      <c r="T4092" s="227" t="n"/>
    </row>
    <row r="4093">
      <c r="A4093" s="145">
        <f>IF($B4093="","",ROW()-5)</f>
        <v/>
      </c>
      <c r="B4093" s="127" t="n"/>
      <c r="C4093" s="223" t="n"/>
      <c r="D4093" s="127" t="n"/>
      <c r="E4093" s="227" t="n"/>
      <c r="F4093" s="227" t="n"/>
      <c r="G4093" s="227" t="n"/>
      <c r="H4093" s="227" t="n"/>
      <c r="I4093" s="227" t="n"/>
      <c r="J4093" s="227" t="n"/>
      <c r="K4093" s="227" t="n"/>
      <c r="L4093" s="227" t="n"/>
      <c r="M4093" s="227" t="n"/>
      <c r="N4093" s="127" t="n"/>
      <c r="O4093" s="227" t="n"/>
      <c r="P4093" s="227" t="n"/>
      <c r="Q4093" s="227" t="n"/>
      <c r="R4093" s="227" t="n"/>
      <c r="S4093" s="227" t="n"/>
      <c r="T4093" s="227" t="n"/>
    </row>
    <row r="4094">
      <c r="A4094" s="145">
        <f>IF($B4094="","",ROW()-5)</f>
        <v/>
      </c>
      <c r="B4094" s="127" t="n"/>
      <c r="C4094" s="223" t="n"/>
      <c r="D4094" s="127" t="n"/>
      <c r="E4094" s="227" t="n"/>
      <c r="F4094" s="227" t="n"/>
      <c r="G4094" s="227" t="n"/>
      <c r="H4094" s="227" t="n"/>
      <c r="I4094" s="227" t="n"/>
      <c r="J4094" s="227" t="n"/>
      <c r="K4094" s="227" t="n"/>
      <c r="L4094" s="227" t="n"/>
      <c r="M4094" s="227" t="n"/>
      <c r="N4094" s="127" t="n"/>
      <c r="O4094" s="227" t="n"/>
      <c r="P4094" s="227" t="n"/>
      <c r="Q4094" s="227" t="n"/>
      <c r="R4094" s="227" t="n"/>
      <c r="S4094" s="227" t="n"/>
      <c r="T4094" s="227" t="n"/>
    </row>
    <row r="4095">
      <c r="A4095" s="145">
        <f>IF($B4095="","",ROW()-5)</f>
        <v/>
      </c>
      <c r="B4095" s="127" t="n"/>
      <c r="C4095" s="223" t="n"/>
      <c r="D4095" s="127" t="n"/>
      <c r="E4095" s="227" t="n"/>
      <c r="F4095" s="227" t="n"/>
      <c r="G4095" s="227" t="n"/>
      <c r="H4095" s="227" t="n"/>
      <c r="I4095" s="227" t="n"/>
      <c r="J4095" s="227" t="n"/>
      <c r="K4095" s="227" t="n"/>
      <c r="L4095" s="227" t="n"/>
      <c r="M4095" s="227" t="n"/>
      <c r="N4095" s="127" t="n"/>
      <c r="O4095" s="227" t="n"/>
      <c r="P4095" s="227" t="n"/>
      <c r="Q4095" s="227" t="n"/>
      <c r="R4095" s="227" t="n"/>
      <c r="S4095" s="227" t="n"/>
      <c r="T4095" s="227" t="n"/>
    </row>
    <row r="4096">
      <c r="A4096" s="145">
        <f>IF($B4096="","",ROW()-5)</f>
        <v/>
      </c>
      <c r="B4096" s="127" t="n"/>
      <c r="C4096" s="223" t="n"/>
      <c r="D4096" s="127" t="n"/>
      <c r="E4096" s="227" t="n"/>
      <c r="F4096" s="227" t="n"/>
      <c r="G4096" s="227" t="n"/>
      <c r="H4096" s="227" t="n"/>
      <c r="I4096" s="227" t="n"/>
      <c r="J4096" s="227" t="n"/>
      <c r="K4096" s="227" t="n"/>
      <c r="L4096" s="227" t="n"/>
      <c r="M4096" s="227" t="n"/>
      <c r="N4096" s="127" t="n"/>
      <c r="O4096" s="227" t="n"/>
      <c r="P4096" s="227" t="n"/>
      <c r="Q4096" s="227" t="n"/>
      <c r="R4096" s="227" t="n"/>
      <c r="S4096" s="227" t="n"/>
      <c r="T4096" s="227" t="n"/>
    </row>
    <row r="4097">
      <c r="A4097" s="145">
        <f>IF($B4097="","",ROW()-5)</f>
        <v/>
      </c>
      <c r="B4097" s="127" t="n"/>
      <c r="C4097" s="223" t="n"/>
      <c r="D4097" s="127" t="n"/>
      <c r="E4097" s="227" t="n"/>
      <c r="F4097" s="227" t="n"/>
      <c r="G4097" s="227" t="n"/>
      <c r="H4097" s="227" t="n"/>
      <c r="I4097" s="227" t="n"/>
      <c r="J4097" s="227" t="n"/>
      <c r="K4097" s="227" t="n"/>
      <c r="L4097" s="227" t="n"/>
      <c r="M4097" s="227" t="n"/>
      <c r="N4097" s="127" t="n"/>
      <c r="O4097" s="227" t="n"/>
      <c r="P4097" s="227" t="n"/>
      <c r="Q4097" s="227" t="n"/>
      <c r="R4097" s="227" t="n"/>
      <c r="S4097" s="227" t="n"/>
      <c r="T4097" s="227" t="n"/>
    </row>
    <row r="4098">
      <c r="A4098" s="145">
        <f>IF($B4098="","",ROW()-5)</f>
        <v/>
      </c>
      <c r="B4098" s="127" t="n"/>
      <c r="C4098" s="223" t="n"/>
      <c r="D4098" s="127" t="n"/>
      <c r="E4098" s="227" t="n"/>
      <c r="F4098" s="227" t="n"/>
      <c r="G4098" s="227" t="n"/>
      <c r="H4098" s="227" t="n"/>
      <c r="I4098" s="227" t="n"/>
      <c r="J4098" s="227" t="n"/>
      <c r="K4098" s="227" t="n"/>
      <c r="L4098" s="227" t="n"/>
      <c r="M4098" s="227" t="n"/>
      <c r="N4098" s="127" t="n"/>
      <c r="O4098" s="227" t="n"/>
      <c r="P4098" s="227" t="n"/>
      <c r="Q4098" s="227" t="n"/>
      <c r="R4098" s="227" t="n"/>
      <c r="S4098" s="227" t="n"/>
      <c r="T4098" s="227" t="n"/>
    </row>
    <row r="4099">
      <c r="A4099" s="145">
        <f>IF($B4099="","",ROW()-5)</f>
        <v/>
      </c>
      <c r="B4099" s="127" t="n"/>
      <c r="C4099" s="223" t="n"/>
      <c r="D4099" s="127" t="n"/>
      <c r="E4099" s="227" t="n"/>
      <c r="F4099" s="227" t="n"/>
      <c r="G4099" s="227" t="n"/>
      <c r="H4099" s="227" t="n"/>
      <c r="I4099" s="227" t="n"/>
      <c r="J4099" s="227" t="n"/>
      <c r="K4099" s="227" t="n"/>
      <c r="L4099" s="227" t="n"/>
      <c r="M4099" s="227" t="n"/>
      <c r="N4099" s="127" t="n"/>
      <c r="O4099" s="227" t="n"/>
      <c r="P4099" s="227" t="n"/>
      <c r="Q4099" s="227" t="n"/>
      <c r="R4099" s="227" t="n"/>
      <c r="S4099" s="227" t="n"/>
      <c r="T4099" s="227" t="n"/>
    </row>
    <row r="4100">
      <c r="A4100" s="145">
        <f>IF($B4100="","",ROW()-5)</f>
        <v/>
      </c>
      <c r="B4100" s="127" t="n"/>
      <c r="C4100" s="223" t="n"/>
      <c r="D4100" s="127" t="n"/>
      <c r="E4100" s="227" t="n"/>
      <c r="F4100" s="227" t="n"/>
      <c r="G4100" s="227" t="n"/>
      <c r="H4100" s="227" t="n"/>
      <c r="I4100" s="227" t="n"/>
      <c r="J4100" s="227" t="n"/>
      <c r="K4100" s="227" t="n"/>
      <c r="L4100" s="227" t="n"/>
      <c r="M4100" s="227" t="n"/>
      <c r="N4100" s="127" t="n"/>
      <c r="O4100" s="227" t="n"/>
      <c r="P4100" s="227" t="n"/>
      <c r="Q4100" s="227" t="n"/>
      <c r="R4100" s="227" t="n"/>
      <c r="S4100" s="227" t="n"/>
      <c r="T4100" s="227" t="n"/>
    </row>
    <row r="4101">
      <c r="A4101" s="145">
        <f>IF($B4101="","",ROW()-5)</f>
        <v/>
      </c>
      <c r="B4101" s="127" t="n"/>
      <c r="C4101" s="223" t="n"/>
      <c r="D4101" s="127" t="n"/>
      <c r="E4101" s="227" t="n"/>
      <c r="F4101" s="227" t="n"/>
      <c r="G4101" s="227" t="n"/>
      <c r="H4101" s="227" t="n"/>
      <c r="I4101" s="227" t="n"/>
      <c r="J4101" s="227" t="n"/>
      <c r="K4101" s="227" t="n"/>
      <c r="L4101" s="227" t="n"/>
      <c r="M4101" s="227" t="n"/>
      <c r="N4101" s="127" t="n"/>
      <c r="O4101" s="227" t="n"/>
      <c r="P4101" s="227" t="n"/>
      <c r="Q4101" s="227" t="n"/>
      <c r="R4101" s="227" t="n"/>
      <c r="S4101" s="227" t="n"/>
      <c r="T4101" s="227" t="n"/>
    </row>
    <row r="4102">
      <c r="A4102" s="145">
        <f>IF($B4102="","",ROW()-5)</f>
        <v/>
      </c>
      <c r="B4102" s="127" t="n"/>
      <c r="C4102" s="223" t="n"/>
      <c r="D4102" s="127" t="n"/>
      <c r="E4102" s="227" t="n"/>
      <c r="F4102" s="227" t="n"/>
      <c r="G4102" s="227" t="n"/>
      <c r="H4102" s="227" t="n"/>
      <c r="I4102" s="227" t="n"/>
      <c r="J4102" s="227" t="n"/>
      <c r="K4102" s="227" t="n"/>
      <c r="L4102" s="227" t="n"/>
      <c r="M4102" s="227" t="n"/>
      <c r="N4102" s="127" t="n"/>
      <c r="O4102" s="227" t="n"/>
      <c r="P4102" s="227" t="n"/>
      <c r="Q4102" s="227" t="n"/>
      <c r="R4102" s="227" t="n"/>
      <c r="S4102" s="227" t="n"/>
      <c r="T4102" s="227" t="n"/>
    </row>
    <row r="4103">
      <c r="A4103" s="145">
        <f>IF($B4103="","",ROW()-5)</f>
        <v/>
      </c>
      <c r="B4103" s="127" t="n"/>
      <c r="C4103" s="223" t="n"/>
      <c r="D4103" s="127" t="n"/>
      <c r="E4103" s="227" t="n"/>
      <c r="F4103" s="227" t="n"/>
      <c r="G4103" s="227" t="n"/>
      <c r="H4103" s="227" t="n"/>
      <c r="I4103" s="227" t="n"/>
      <c r="J4103" s="227" t="n"/>
      <c r="K4103" s="227" t="n"/>
      <c r="L4103" s="227" t="n"/>
      <c r="M4103" s="227" t="n"/>
      <c r="N4103" s="127" t="n"/>
      <c r="O4103" s="227" t="n"/>
      <c r="P4103" s="227" t="n"/>
      <c r="Q4103" s="227" t="n"/>
      <c r="R4103" s="227" t="n"/>
      <c r="S4103" s="227" t="n"/>
      <c r="T4103" s="227" t="n"/>
    </row>
    <row r="4104">
      <c r="A4104" s="145">
        <f>IF($B4104="","",ROW()-5)</f>
        <v/>
      </c>
      <c r="B4104" s="127" t="n"/>
      <c r="C4104" s="223" t="n"/>
      <c r="D4104" s="127" t="n"/>
      <c r="E4104" s="227" t="n"/>
      <c r="F4104" s="227" t="n"/>
      <c r="G4104" s="227" t="n"/>
      <c r="H4104" s="227" t="n"/>
      <c r="I4104" s="227" t="n"/>
      <c r="J4104" s="227" t="n"/>
      <c r="K4104" s="227" t="n"/>
      <c r="L4104" s="227" t="n"/>
      <c r="M4104" s="227" t="n"/>
      <c r="N4104" s="127" t="n"/>
      <c r="O4104" s="227" t="n"/>
      <c r="P4104" s="227" t="n"/>
      <c r="Q4104" s="227" t="n"/>
      <c r="R4104" s="227" t="n"/>
      <c r="S4104" s="227" t="n"/>
      <c r="T4104" s="227" t="n"/>
    </row>
    <row r="4105">
      <c r="A4105" s="145">
        <f>IF($B4105="","",ROW()-5)</f>
        <v/>
      </c>
      <c r="B4105" s="127" t="n"/>
      <c r="C4105" s="223" t="n"/>
      <c r="D4105" s="127" t="n"/>
      <c r="E4105" s="227" t="n"/>
      <c r="F4105" s="227" t="n"/>
      <c r="G4105" s="227" t="n"/>
      <c r="H4105" s="227" t="n"/>
      <c r="I4105" s="227" t="n"/>
      <c r="J4105" s="227" t="n"/>
      <c r="K4105" s="227" t="n"/>
      <c r="L4105" s="227" t="n"/>
      <c r="M4105" s="227" t="n"/>
      <c r="N4105" s="127" t="n"/>
      <c r="O4105" s="227" t="n"/>
      <c r="P4105" s="227" t="n"/>
      <c r="Q4105" s="227" t="n"/>
      <c r="R4105" s="227" t="n"/>
      <c r="S4105" s="227" t="n"/>
      <c r="T4105" s="227" t="n"/>
    </row>
    <row r="4106">
      <c r="A4106" s="145">
        <f>IF($B4106="","",ROW()-5)</f>
        <v/>
      </c>
      <c r="B4106" s="127" t="n"/>
      <c r="C4106" s="223" t="n"/>
      <c r="D4106" s="127" t="n"/>
      <c r="E4106" s="227" t="n"/>
      <c r="F4106" s="227" t="n"/>
      <c r="G4106" s="227" t="n"/>
      <c r="H4106" s="227" t="n"/>
      <c r="I4106" s="227" t="n"/>
      <c r="J4106" s="227" t="n"/>
      <c r="K4106" s="227" t="n"/>
      <c r="L4106" s="227" t="n"/>
      <c r="M4106" s="227" t="n"/>
      <c r="N4106" s="127" t="n"/>
      <c r="O4106" s="227" t="n"/>
      <c r="P4106" s="227" t="n"/>
      <c r="Q4106" s="227" t="n"/>
      <c r="R4106" s="227" t="n"/>
      <c r="S4106" s="227" t="n"/>
      <c r="T4106" s="227" t="n"/>
    </row>
    <row r="4107">
      <c r="A4107" s="145">
        <f>IF($B4107="","",ROW()-5)</f>
        <v/>
      </c>
      <c r="B4107" s="127" t="n"/>
      <c r="C4107" s="223" t="n"/>
      <c r="D4107" s="127" t="n"/>
      <c r="E4107" s="227" t="n"/>
      <c r="F4107" s="227" t="n"/>
      <c r="G4107" s="227" t="n"/>
      <c r="H4107" s="227" t="n"/>
      <c r="I4107" s="227" t="n"/>
      <c r="J4107" s="227" t="n"/>
      <c r="K4107" s="227" t="n"/>
      <c r="L4107" s="227" t="n"/>
      <c r="M4107" s="227" t="n"/>
      <c r="N4107" s="127" t="n"/>
      <c r="O4107" s="227" t="n"/>
      <c r="P4107" s="227" t="n"/>
      <c r="Q4107" s="227" t="n"/>
      <c r="R4107" s="227" t="n"/>
      <c r="S4107" s="227" t="n"/>
      <c r="T4107" s="227" t="n"/>
    </row>
    <row r="4108">
      <c r="A4108" s="145">
        <f>IF($B4108="","",ROW()-5)</f>
        <v/>
      </c>
      <c r="B4108" s="127" t="n"/>
      <c r="C4108" s="223" t="n"/>
      <c r="D4108" s="127" t="n"/>
      <c r="E4108" s="227" t="n"/>
      <c r="F4108" s="227" t="n"/>
      <c r="G4108" s="227" t="n"/>
      <c r="H4108" s="227" t="n"/>
      <c r="I4108" s="227" t="n"/>
      <c r="J4108" s="227" t="n"/>
      <c r="K4108" s="227" t="n"/>
      <c r="L4108" s="227" t="n"/>
      <c r="M4108" s="227" t="n"/>
      <c r="N4108" s="127" t="n"/>
      <c r="O4108" s="227" t="n"/>
      <c r="P4108" s="227" t="n"/>
      <c r="Q4108" s="227" t="n"/>
      <c r="R4108" s="227" t="n"/>
      <c r="S4108" s="227" t="n"/>
      <c r="T4108" s="227" t="n"/>
    </row>
    <row r="4109">
      <c r="A4109" s="145">
        <f>IF($B4109="","",ROW()-5)</f>
        <v/>
      </c>
      <c r="B4109" s="127" t="n"/>
      <c r="C4109" s="223" t="n"/>
      <c r="D4109" s="127" t="n"/>
      <c r="E4109" s="227" t="n"/>
      <c r="F4109" s="227" t="n"/>
      <c r="G4109" s="227" t="n"/>
      <c r="H4109" s="227" t="n"/>
      <c r="I4109" s="227" t="n"/>
      <c r="J4109" s="227" t="n"/>
      <c r="K4109" s="227" t="n"/>
      <c r="L4109" s="227" t="n"/>
      <c r="M4109" s="227" t="n"/>
      <c r="N4109" s="127" t="n"/>
      <c r="O4109" s="227" t="n"/>
      <c r="P4109" s="227" t="n"/>
      <c r="Q4109" s="227" t="n"/>
      <c r="R4109" s="227" t="n"/>
      <c r="S4109" s="227" t="n"/>
      <c r="T4109" s="227" t="n"/>
    </row>
    <row r="4110">
      <c r="A4110" s="145">
        <f>IF($B4110="","",ROW()-5)</f>
        <v/>
      </c>
      <c r="B4110" s="127" t="n"/>
      <c r="C4110" s="223" t="n"/>
      <c r="D4110" s="127" t="n"/>
      <c r="E4110" s="227" t="n"/>
      <c r="F4110" s="227" t="n"/>
      <c r="G4110" s="227" t="n"/>
      <c r="H4110" s="227" t="n"/>
      <c r="I4110" s="227" t="n"/>
      <c r="J4110" s="227" t="n"/>
      <c r="K4110" s="227" t="n"/>
      <c r="L4110" s="227" t="n"/>
      <c r="M4110" s="227" t="n"/>
      <c r="N4110" s="127" t="n"/>
      <c r="O4110" s="227" t="n"/>
      <c r="P4110" s="227" t="n"/>
      <c r="Q4110" s="227" t="n"/>
      <c r="R4110" s="227" t="n"/>
      <c r="S4110" s="227" t="n"/>
      <c r="T4110" s="227" t="n"/>
    </row>
    <row r="4111">
      <c r="A4111" s="145">
        <f>IF($B4111="","",ROW()-5)</f>
        <v/>
      </c>
      <c r="B4111" s="127" t="n"/>
      <c r="C4111" s="223" t="n"/>
      <c r="D4111" s="127" t="n"/>
      <c r="E4111" s="227" t="n"/>
      <c r="F4111" s="227" t="n"/>
      <c r="G4111" s="227" t="n"/>
      <c r="H4111" s="227" t="n"/>
      <c r="I4111" s="227" t="n"/>
      <c r="J4111" s="227" t="n"/>
      <c r="K4111" s="227" t="n"/>
      <c r="L4111" s="227" t="n"/>
      <c r="M4111" s="227" t="n"/>
      <c r="N4111" s="127" t="n"/>
      <c r="O4111" s="227" t="n"/>
      <c r="P4111" s="227" t="n"/>
      <c r="Q4111" s="227" t="n"/>
      <c r="R4111" s="227" t="n"/>
      <c r="S4111" s="227" t="n"/>
      <c r="T4111" s="227" t="n"/>
    </row>
    <row r="4112">
      <c r="A4112" s="145">
        <f>IF($B4112="","",ROW()-5)</f>
        <v/>
      </c>
      <c r="B4112" s="127" t="n"/>
      <c r="C4112" s="223" t="n"/>
      <c r="D4112" s="127" t="n"/>
      <c r="E4112" s="227" t="n"/>
      <c r="F4112" s="227" t="n"/>
      <c r="G4112" s="227" t="n"/>
      <c r="H4112" s="227" t="n"/>
      <c r="I4112" s="227" t="n"/>
      <c r="J4112" s="227" t="n"/>
      <c r="K4112" s="227" t="n"/>
      <c r="L4112" s="227" t="n"/>
      <c r="M4112" s="227" t="n"/>
      <c r="N4112" s="127" t="n"/>
      <c r="O4112" s="227" t="n"/>
      <c r="P4112" s="227" t="n"/>
      <c r="Q4112" s="227" t="n"/>
      <c r="R4112" s="227" t="n"/>
      <c r="S4112" s="227" t="n"/>
      <c r="T4112" s="227" t="n"/>
    </row>
    <row r="4113">
      <c r="A4113" s="145">
        <f>IF($B4113="","",ROW()-5)</f>
        <v/>
      </c>
      <c r="B4113" s="127" t="n"/>
      <c r="C4113" s="223" t="n"/>
      <c r="D4113" s="127" t="n"/>
      <c r="E4113" s="227" t="n"/>
      <c r="F4113" s="227" t="n"/>
      <c r="G4113" s="227" t="n"/>
      <c r="H4113" s="227" t="n"/>
      <c r="I4113" s="227" t="n"/>
      <c r="J4113" s="227" t="n"/>
      <c r="K4113" s="227" t="n"/>
      <c r="L4113" s="227" t="n"/>
      <c r="M4113" s="227" t="n"/>
      <c r="N4113" s="127" t="n"/>
      <c r="O4113" s="227" t="n"/>
      <c r="P4113" s="227" t="n"/>
      <c r="Q4113" s="227" t="n"/>
      <c r="R4113" s="227" t="n"/>
      <c r="S4113" s="227" t="n"/>
      <c r="T4113" s="227" t="n"/>
    </row>
    <row r="4114">
      <c r="A4114" s="145">
        <f>IF($B4114="","",ROW()-5)</f>
        <v/>
      </c>
      <c r="B4114" s="127" t="n"/>
      <c r="C4114" s="223" t="n"/>
      <c r="D4114" s="127" t="n"/>
      <c r="E4114" s="227" t="n"/>
      <c r="F4114" s="227" t="n"/>
      <c r="G4114" s="227" t="n"/>
      <c r="H4114" s="227" t="n"/>
      <c r="I4114" s="227" t="n"/>
      <c r="J4114" s="227" t="n"/>
      <c r="K4114" s="227" t="n"/>
      <c r="L4114" s="227" t="n"/>
      <c r="M4114" s="227" t="n"/>
      <c r="N4114" s="127" t="n"/>
      <c r="O4114" s="227" t="n"/>
      <c r="P4114" s="227" t="n"/>
      <c r="Q4114" s="227" t="n"/>
      <c r="R4114" s="227" t="n"/>
      <c r="S4114" s="227" t="n"/>
      <c r="T4114" s="227" t="n"/>
    </row>
    <row r="4115">
      <c r="A4115" s="145">
        <f>IF($B4115="","",ROW()-5)</f>
        <v/>
      </c>
      <c r="B4115" s="127" t="n"/>
      <c r="C4115" s="223" t="n"/>
      <c r="D4115" s="127" t="n"/>
      <c r="E4115" s="227" t="n"/>
      <c r="F4115" s="227" t="n"/>
      <c r="G4115" s="227" t="n"/>
      <c r="H4115" s="227" t="n"/>
      <c r="I4115" s="227" t="n"/>
      <c r="J4115" s="227" t="n"/>
      <c r="K4115" s="227" t="n"/>
      <c r="L4115" s="227" t="n"/>
      <c r="M4115" s="227" t="n"/>
      <c r="N4115" s="127" t="n"/>
      <c r="O4115" s="227" t="n"/>
      <c r="P4115" s="227" t="n"/>
      <c r="Q4115" s="227" t="n"/>
      <c r="R4115" s="227" t="n"/>
      <c r="S4115" s="227" t="n"/>
      <c r="T4115" s="227" t="n"/>
    </row>
    <row r="4116">
      <c r="A4116" s="145">
        <f>IF($B4116="","",ROW()-5)</f>
        <v/>
      </c>
      <c r="B4116" s="127" t="n"/>
      <c r="C4116" s="223" t="n"/>
      <c r="D4116" s="127" t="n"/>
      <c r="E4116" s="227" t="n"/>
      <c r="F4116" s="227" t="n"/>
      <c r="G4116" s="227" t="n"/>
      <c r="H4116" s="227" t="n"/>
      <c r="I4116" s="227" t="n"/>
      <c r="J4116" s="227" t="n"/>
      <c r="K4116" s="227" t="n"/>
      <c r="L4116" s="227" t="n"/>
      <c r="M4116" s="227" t="n"/>
      <c r="N4116" s="127" t="n"/>
      <c r="O4116" s="227" t="n"/>
      <c r="P4116" s="227" t="n"/>
      <c r="Q4116" s="227" t="n"/>
      <c r="R4116" s="227" t="n"/>
      <c r="S4116" s="227" t="n"/>
      <c r="T4116" s="227" t="n"/>
    </row>
    <row r="4117">
      <c r="A4117" s="145">
        <f>IF($B4117="","",ROW()-5)</f>
        <v/>
      </c>
      <c r="B4117" s="127" t="n"/>
      <c r="C4117" s="223" t="n"/>
      <c r="D4117" s="127" t="n"/>
      <c r="E4117" s="227" t="n"/>
      <c r="F4117" s="227" t="n"/>
      <c r="G4117" s="227" t="n"/>
      <c r="H4117" s="227" t="n"/>
      <c r="I4117" s="227" t="n"/>
      <c r="J4117" s="227" t="n"/>
      <c r="K4117" s="227" t="n"/>
      <c r="L4117" s="227" t="n"/>
      <c r="M4117" s="227" t="n"/>
      <c r="N4117" s="127" t="n"/>
      <c r="O4117" s="227" t="n"/>
      <c r="P4117" s="227" t="n"/>
      <c r="Q4117" s="227" t="n"/>
      <c r="R4117" s="227" t="n"/>
      <c r="S4117" s="227" t="n"/>
      <c r="T4117" s="227" t="n"/>
    </row>
    <row r="4118">
      <c r="A4118" s="145">
        <f>IF($B4118="","",ROW()-5)</f>
        <v/>
      </c>
      <c r="B4118" s="127" t="n"/>
      <c r="C4118" s="223" t="n"/>
      <c r="D4118" s="127" t="n"/>
      <c r="E4118" s="227" t="n"/>
      <c r="F4118" s="227" t="n"/>
      <c r="G4118" s="227" t="n"/>
      <c r="H4118" s="227" t="n"/>
      <c r="I4118" s="227" t="n"/>
      <c r="J4118" s="227" t="n"/>
      <c r="K4118" s="227" t="n"/>
      <c r="L4118" s="227" t="n"/>
      <c r="M4118" s="227" t="n"/>
      <c r="N4118" s="127" t="n"/>
      <c r="O4118" s="227" t="n"/>
      <c r="P4118" s="227" t="n"/>
      <c r="Q4118" s="227" t="n"/>
      <c r="R4118" s="227" t="n"/>
      <c r="S4118" s="227" t="n"/>
      <c r="T4118" s="227" t="n"/>
    </row>
    <row r="4119">
      <c r="A4119" s="145">
        <f>IF($B4119="","",ROW()-5)</f>
        <v/>
      </c>
      <c r="B4119" s="127" t="n"/>
      <c r="C4119" s="223" t="n"/>
      <c r="D4119" s="127" t="n"/>
      <c r="E4119" s="227" t="n"/>
      <c r="F4119" s="227" t="n"/>
      <c r="G4119" s="227" t="n"/>
      <c r="H4119" s="227" t="n"/>
      <c r="I4119" s="227" t="n"/>
      <c r="J4119" s="227" t="n"/>
      <c r="K4119" s="227" t="n"/>
      <c r="L4119" s="227" t="n"/>
      <c r="M4119" s="227" t="n"/>
      <c r="N4119" s="127" t="n"/>
      <c r="O4119" s="227" t="n"/>
      <c r="P4119" s="227" t="n"/>
      <c r="Q4119" s="227" t="n"/>
      <c r="R4119" s="227" t="n"/>
      <c r="S4119" s="227" t="n"/>
      <c r="T4119" s="227" t="n"/>
    </row>
    <row r="4120">
      <c r="A4120" s="145">
        <f>IF($B4120="","",ROW()-5)</f>
        <v/>
      </c>
      <c r="B4120" s="127" t="n"/>
      <c r="C4120" s="223" t="n"/>
      <c r="D4120" s="127" t="n"/>
      <c r="E4120" s="227" t="n"/>
      <c r="F4120" s="227" t="n"/>
      <c r="G4120" s="227" t="n"/>
      <c r="H4120" s="227" t="n"/>
      <c r="I4120" s="227" t="n"/>
      <c r="J4120" s="227" t="n"/>
      <c r="K4120" s="227" t="n"/>
      <c r="L4120" s="227" t="n"/>
      <c r="M4120" s="227" t="n"/>
      <c r="N4120" s="127" t="n"/>
      <c r="O4120" s="227" t="n"/>
      <c r="P4120" s="227" t="n"/>
      <c r="Q4120" s="227" t="n"/>
      <c r="R4120" s="227" t="n"/>
      <c r="S4120" s="227" t="n"/>
      <c r="T4120" s="227" t="n"/>
    </row>
    <row r="4121">
      <c r="A4121" s="145">
        <f>IF($B4121="","",ROW()-5)</f>
        <v/>
      </c>
      <c r="B4121" s="127" t="n"/>
      <c r="C4121" s="223" t="n"/>
      <c r="D4121" s="127" t="n"/>
      <c r="E4121" s="227" t="n"/>
      <c r="F4121" s="227" t="n"/>
      <c r="G4121" s="227" t="n"/>
      <c r="H4121" s="227" t="n"/>
      <c r="I4121" s="227" t="n"/>
      <c r="J4121" s="227" t="n"/>
      <c r="K4121" s="227" t="n"/>
      <c r="L4121" s="227" t="n"/>
      <c r="M4121" s="227" t="n"/>
      <c r="N4121" s="127" t="n"/>
      <c r="O4121" s="227" t="n"/>
      <c r="P4121" s="227" t="n"/>
      <c r="Q4121" s="227" t="n"/>
      <c r="R4121" s="227" t="n"/>
      <c r="S4121" s="227" t="n"/>
      <c r="T4121" s="227" t="n"/>
    </row>
    <row r="4122">
      <c r="A4122" s="145">
        <f>IF($B4122="","",ROW()-5)</f>
        <v/>
      </c>
      <c r="B4122" s="127" t="n"/>
      <c r="C4122" s="223" t="n"/>
      <c r="D4122" s="127" t="n"/>
      <c r="E4122" s="227" t="n"/>
      <c r="F4122" s="227" t="n"/>
      <c r="G4122" s="227" t="n"/>
      <c r="H4122" s="227" t="n"/>
      <c r="I4122" s="227" t="n"/>
      <c r="J4122" s="227" t="n"/>
      <c r="K4122" s="227" t="n"/>
      <c r="L4122" s="227" t="n"/>
      <c r="M4122" s="227" t="n"/>
      <c r="N4122" s="127" t="n"/>
      <c r="O4122" s="227" t="n"/>
      <c r="P4122" s="227" t="n"/>
      <c r="Q4122" s="227" t="n"/>
      <c r="R4122" s="227" t="n"/>
      <c r="S4122" s="227" t="n"/>
      <c r="T4122" s="227" t="n"/>
    </row>
    <row r="4123">
      <c r="A4123" s="145">
        <f>IF($B4123="","",ROW()-5)</f>
        <v/>
      </c>
      <c r="B4123" s="127" t="n"/>
      <c r="C4123" s="223" t="n"/>
      <c r="D4123" s="127" t="n"/>
      <c r="E4123" s="227" t="n"/>
      <c r="F4123" s="227" t="n"/>
      <c r="G4123" s="227" t="n"/>
      <c r="H4123" s="227" t="n"/>
      <c r="I4123" s="227" t="n"/>
      <c r="J4123" s="227" t="n"/>
      <c r="K4123" s="227" t="n"/>
      <c r="L4123" s="227" t="n"/>
      <c r="M4123" s="227" t="n"/>
      <c r="N4123" s="127" t="n"/>
      <c r="O4123" s="227" t="n"/>
      <c r="P4123" s="227" t="n"/>
      <c r="Q4123" s="227" t="n"/>
      <c r="R4123" s="227" t="n"/>
      <c r="S4123" s="227" t="n"/>
      <c r="T4123" s="227" t="n"/>
    </row>
    <row r="4124">
      <c r="A4124" s="145">
        <f>IF($B4124="","",ROW()-5)</f>
        <v/>
      </c>
      <c r="B4124" s="127" t="n"/>
      <c r="C4124" s="223" t="n"/>
      <c r="D4124" s="127" t="n"/>
      <c r="E4124" s="227" t="n"/>
      <c r="F4124" s="227" t="n"/>
      <c r="G4124" s="227" t="n"/>
      <c r="H4124" s="227" t="n"/>
      <c r="I4124" s="227" t="n"/>
      <c r="J4124" s="227" t="n"/>
      <c r="K4124" s="227" t="n"/>
      <c r="L4124" s="227" t="n"/>
      <c r="M4124" s="227" t="n"/>
      <c r="N4124" s="127" t="n"/>
      <c r="O4124" s="227" t="n"/>
      <c r="P4124" s="227" t="n"/>
      <c r="Q4124" s="227" t="n"/>
      <c r="R4124" s="227" t="n"/>
      <c r="S4124" s="227" t="n"/>
      <c r="T4124" s="227" t="n"/>
    </row>
    <row r="4125">
      <c r="A4125" s="145">
        <f>IF($B4125="","",ROW()-5)</f>
        <v/>
      </c>
      <c r="B4125" s="127" t="n"/>
      <c r="C4125" s="223" t="n"/>
      <c r="D4125" s="127" t="n"/>
      <c r="E4125" s="227" t="n"/>
      <c r="F4125" s="227" t="n"/>
      <c r="G4125" s="227" t="n"/>
      <c r="H4125" s="227" t="n"/>
      <c r="I4125" s="227" t="n"/>
      <c r="J4125" s="227" t="n"/>
      <c r="K4125" s="227" t="n"/>
      <c r="L4125" s="227" t="n"/>
      <c r="M4125" s="227" t="n"/>
      <c r="N4125" s="127" t="n"/>
      <c r="O4125" s="227" t="n"/>
      <c r="P4125" s="227" t="n"/>
      <c r="Q4125" s="227" t="n"/>
      <c r="R4125" s="227" t="n"/>
      <c r="S4125" s="227" t="n"/>
      <c r="T4125" s="227" t="n"/>
    </row>
    <row r="4126">
      <c r="A4126" s="145">
        <f>IF($B4126="","",ROW()-5)</f>
        <v/>
      </c>
      <c r="B4126" s="127" t="n"/>
      <c r="C4126" s="223" t="n"/>
      <c r="D4126" s="127" t="n"/>
      <c r="E4126" s="227" t="n"/>
      <c r="F4126" s="227" t="n"/>
      <c r="G4126" s="227" t="n"/>
      <c r="H4126" s="227" t="n"/>
      <c r="I4126" s="227" t="n"/>
      <c r="J4126" s="227" t="n"/>
      <c r="K4126" s="227" t="n"/>
      <c r="L4126" s="227" t="n"/>
      <c r="M4126" s="227" t="n"/>
      <c r="N4126" s="127" t="n"/>
      <c r="O4126" s="227" t="n"/>
      <c r="P4126" s="227" t="n"/>
      <c r="Q4126" s="227" t="n"/>
      <c r="R4126" s="227" t="n"/>
      <c r="S4126" s="227" t="n"/>
      <c r="T4126" s="227" t="n"/>
    </row>
    <row r="4127">
      <c r="A4127" s="145">
        <f>IF($B4127="","",ROW()-5)</f>
        <v/>
      </c>
      <c r="B4127" s="127" t="n"/>
      <c r="C4127" s="223" t="n"/>
      <c r="D4127" s="127" t="n"/>
      <c r="E4127" s="227" t="n"/>
      <c r="F4127" s="227" t="n"/>
      <c r="G4127" s="227" t="n"/>
      <c r="H4127" s="227" t="n"/>
      <c r="I4127" s="227" t="n"/>
      <c r="J4127" s="227" t="n"/>
      <c r="K4127" s="227" t="n"/>
      <c r="L4127" s="227" t="n"/>
      <c r="M4127" s="227" t="n"/>
      <c r="N4127" s="127" t="n"/>
      <c r="O4127" s="227" t="n"/>
      <c r="P4127" s="227" t="n"/>
      <c r="Q4127" s="227" t="n"/>
      <c r="R4127" s="227" t="n"/>
      <c r="S4127" s="227" t="n"/>
      <c r="T4127" s="227" t="n"/>
    </row>
    <row r="4128">
      <c r="A4128" s="145">
        <f>IF($B4128="","",ROW()-5)</f>
        <v/>
      </c>
      <c r="B4128" s="127" t="n"/>
      <c r="C4128" s="223" t="n"/>
      <c r="D4128" s="127" t="n"/>
      <c r="E4128" s="227" t="n"/>
      <c r="F4128" s="227" t="n"/>
      <c r="G4128" s="227" t="n"/>
      <c r="H4128" s="227" t="n"/>
      <c r="I4128" s="227" t="n"/>
      <c r="J4128" s="227" t="n"/>
      <c r="K4128" s="227" t="n"/>
      <c r="L4128" s="227" t="n"/>
      <c r="M4128" s="227" t="n"/>
      <c r="N4128" s="127" t="n"/>
      <c r="O4128" s="227" t="n"/>
      <c r="P4128" s="227" t="n"/>
      <c r="Q4128" s="227" t="n"/>
      <c r="R4128" s="227" t="n"/>
      <c r="S4128" s="227" t="n"/>
      <c r="T4128" s="227" t="n"/>
    </row>
    <row r="4129">
      <c r="A4129" s="145">
        <f>IF($B4129="","",ROW()-5)</f>
        <v/>
      </c>
      <c r="B4129" s="127" t="n"/>
      <c r="C4129" s="223" t="n"/>
      <c r="D4129" s="127" t="n"/>
      <c r="E4129" s="227" t="n"/>
      <c r="F4129" s="227" t="n"/>
      <c r="G4129" s="227" t="n"/>
      <c r="H4129" s="227" t="n"/>
      <c r="I4129" s="227" t="n"/>
      <c r="J4129" s="227" t="n"/>
      <c r="K4129" s="227" t="n"/>
      <c r="L4129" s="227" t="n"/>
      <c r="M4129" s="227" t="n"/>
      <c r="N4129" s="127" t="n"/>
      <c r="O4129" s="227" t="n"/>
      <c r="P4129" s="227" t="n"/>
      <c r="Q4129" s="227" t="n"/>
      <c r="R4129" s="227" t="n"/>
      <c r="S4129" s="227" t="n"/>
      <c r="T4129" s="227" t="n"/>
    </row>
    <row r="4130">
      <c r="A4130" s="145">
        <f>IF($B4130="","",ROW()-5)</f>
        <v/>
      </c>
      <c r="B4130" s="127" t="n"/>
      <c r="C4130" s="223" t="n"/>
      <c r="D4130" s="127" t="n"/>
      <c r="E4130" s="227" t="n"/>
      <c r="F4130" s="227" t="n"/>
      <c r="G4130" s="227" t="n"/>
      <c r="H4130" s="227" t="n"/>
      <c r="I4130" s="227" t="n"/>
      <c r="J4130" s="227" t="n"/>
      <c r="K4130" s="227" t="n"/>
      <c r="L4130" s="227" t="n"/>
      <c r="M4130" s="227" t="n"/>
      <c r="N4130" s="127" t="n"/>
      <c r="O4130" s="227" t="n"/>
      <c r="P4130" s="227" t="n"/>
      <c r="Q4130" s="227" t="n"/>
      <c r="R4130" s="227" t="n"/>
      <c r="S4130" s="227" t="n"/>
      <c r="T4130" s="227" t="n"/>
    </row>
    <row r="4131">
      <c r="A4131" s="145">
        <f>IF($B4131="","",ROW()-5)</f>
        <v/>
      </c>
      <c r="B4131" s="127" t="n"/>
      <c r="C4131" s="223" t="n"/>
      <c r="D4131" s="127" t="n"/>
      <c r="E4131" s="227" t="n"/>
      <c r="F4131" s="227" t="n"/>
      <c r="G4131" s="227" t="n"/>
      <c r="H4131" s="227" t="n"/>
      <c r="I4131" s="227" t="n"/>
      <c r="J4131" s="227" t="n"/>
      <c r="K4131" s="227" t="n"/>
      <c r="L4131" s="227" t="n"/>
      <c r="M4131" s="227" t="n"/>
      <c r="N4131" s="127" t="n"/>
      <c r="O4131" s="227" t="n"/>
      <c r="P4131" s="227" t="n"/>
      <c r="Q4131" s="227" t="n"/>
      <c r="R4131" s="227" t="n"/>
      <c r="S4131" s="227" t="n"/>
      <c r="T4131" s="227" t="n"/>
    </row>
    <row r="4132">
      <c r="A4132" s="145">
        <f>IF($B4132="","",ROW()-5)</f>
        <v/>
      </c>
      <c r="B4132" s="127" t="n"/>
      <c r="C4132" s="223" t="n"/>
      <c r="D4132" s="127" t="n"/>
      <c r="E4132" s="227" t="n"/>
      <c r="F4132" s="227" t="n"/>
      <c r="G4132" s="227" t="n"/>
      <c r="H4132" s="227" t="n"/>
      <c r="I4132" s="227" t="n"/>
      <c r="J4132" s="227" t="n"/>
      <c r="K4132" s="227" t="n"/>
      <c r="L4132" s="227" t="n"/>
      <c r="M4132" s="227" t="n"/>
      <c r="N4132" s="127" t="n"/>
      <c r="O4132" s="227" t="n"/>
      <c r="P4132" s="227" t="n"/>
      <c r="Q4132" s="227" t="n"/>
      <c r="R4132" s="227" t="n"/>
      <c r="S4132" s="227" t="n"/>
      <c r="T4132" s="227" t="n"/>
    </row>
    <row r="4133">
      <c r="A4133" s="145">
        <f>IF($B4133="","",ROW()-5)</f>
        <v/>
      </c>
      <c r="B4133" s="127" t="n"/>
      <c r="C4133" s="223" t="n"/>
      <c r="D4133" s="127" t="n"/>
      <c r="E4133" s="227" t="n"/>
      <c r="F4133" s="227" t="n"/>
      <c r="G4133" s="227" t="n"/>
      <c r="H4133" s="227" t="n"/>
      <c r="I4133" s="227" t="n"/>
      <c r="J4133" s="227" t="n"/>
      <c r="K4133" s="227" t="n"/>
      <c r="L4133" s="227" t="n"/>
      <c r="M4133" s="227" t="n"/>
      <c r="N4133" s="127" t="n"/>
      <c r="O4133" s="227" t="n"/>
      <c r="P4133" s="227" t="n"/>
      <c r="Q4133" s="227" t="n"/>
      <c r="R4133" s="227" t="n"/>
      <c r="S4133" s="227" t="n"/>
      <c r="T4133" s="227" t="n"/>
    </row>
    <row r="4134">
      <c r="A4134" s="145">
        <f>IF($B4134="","",ROW()-5)</f>
        <v/>
      </c>
      <c r="B4134" s="127" t="n"/>
      <c r="C4134" s="223" t="n"/>
      <c r="D4134" s="127" t="n"/>
      <c r="E4134" s="227" t="n"/>
      <c r="F4134" s="227" t="n"/>
      <c r="G4134" s="227" t="n"/>
      <c r="H4134" s="227" t="n"/>
      <c r="I4134" s="227" t="n"/>
      <c r="J4134" s="227" t="n"/>
      <c r="K4134" s="227" t="n"/>
      <c r="L4134" s="227" t="n"/>
      <c r="M4134" s="227" t="n"/>
      <c r="N4134" s="127" t="n"/>
      <c r="O4134" s="227" t="n"/>
      <c r="P4134" s="227" t="n"/>
      <c r="Q4134" s="227" t="n"/>
      <c r="R4134" s="227" t="n"/>
      <c r="S4134" s="227" t="n"/>
      <c r="T4134" s="227" t="n"/>
    </row>
    <row r="4135">
      <c r="A4135" s="145">
        <f>IF($B4135="","",ROW()-5)</f>
        <v/>
      </c>
      <c r="B4135" s="127" t="n"/>
      <c r="C4135" s="223" t="n"/>
      <c r="D4135" s="127" t="n"/>
      <c r="E4135" s="227" t="n"/>
      <c r="F4135" s="227" t="n"/>
      <c r="G4135" s="227" t="n"/>
      <c r="H4135" s="227" t="n"/>
      <c r="I4135" s="227" t="n"/>
      <c r="J4135" s="227" t="n"/>
      <c r="K4135" s="227" t="n"/>
      <c r="L4135" s="227" t="n"/>
      <c r="M4135" s="227" t="n"/>
      <c r="N4135" s="127" t="n"/>
      <c r="O4135" s="227" t="n"/>
      <c r="P4135" s="227" t="n"/>
      <c r="Q4135" s="227" t="n"/>
      <c r="R4135" s="227" t="n"/>
      <c r="S4135" s="227" t="n"/>
      <c r="T4135" s="227" t="n"/>
    </row>
    <row r="4136">
      <c r="A4136" s="145">
        <f>IF($B4136="","",ROW()-5)</f>
        <v/>
      </c>
      <c r="B4136" s="127" t="n"/>
      <c r="C4136" s="223" t="n"/>
      <c r="D4136" s="127" t="n"/>
      <c r="E4136" s="227" t="n"/>
      <c r="F4136" s="227" t="n"/>
      <c r="G4136" s="227" t="n"/>
      <c r="H4136" s="227" t="n"/>
      <c r="I4136" s="227" t="n"/>
      <c r="J4136" s="227" t="n"/>
      <c r="K4136" s="227" t="n"/>
      <c r="L4136" s="227" t="n"/>
      <c r="M4136" s="227" t="n"/>
      <c r="N4136" s="127" t="n"/>
      <c r="O4136" s="227" t="n"/>
      <c r="P4136" s="227" t="n"/>
      <c r="Q4136" s="227" t="n"/>
      <c r="R4136" s="227" t="n"/>
      <c r="S4136" s="227" t="n"/>
      <c r="T4136" s="227" t="n"/>
    </row>
    <row r="4137">
      <c r="A4137" s="145">
        <f>IF($B4137="","",ROW()-5)</f>
        <v/>
      </c>
      <c r="B4137" s="127" t="n"/>
      <c r="C4137" s="223" t="n"/>
      <c r="D4137" s="127" t="n"/>
      <c r="E4137" s="227" t="n"/>
      <c r="F4137" s="227" t="n"/>
      <c r="G4137" s="227" t="n"/>
      <c r="H4137" s="227" t="n"/>
      <c r="I4137" s="227" t="n"/>
      <c r="J4137" s="227" t="n"/>
      <c r="K4137" s="227" t="n"/>
      <c r="L4137" s="227" t="n"/>
      <c r="M4137" s="227" t="n"/>
      <c r="N4137" s="127" t="n"/>
      <c r="O4137" s="227" t="n"/>
      <c r="P4137" s="227" t="n"/>
      <c r="Q4137" s="227" t="n"/>
      <c r="R4137" s="227" t="n"/>
      <c r="S4137" s="227" t="n"/>
      <c r="T4137" s="227" t="n"/>
    </row>
    <row r="4138">
      <c r="A4138" s="145">
        <f>IF($B4138="","",ROW()-5)</f>
        <v/>
      </c>
      <c r="B4138" s="127" t="n"/>
      <c r="C4138" s="223" t="n"/>
      <c r="D4138" s="127" t="n"/>
      <c r="E4138" s="227" t="n"/>
      <c r="F4138" s="227" t="n"/>
      <c r="G4138" s="227" t="n"/>
      <c r="H4138" s="227" t="n"/>
      <c r="I4138" s="227" t="n"/>
      <c r="J4138" s="227" t="n"/>
      <c r="K4138" s="227" t="n"/>
      <c r="L4138" s="227" t="n"/>
      <c r="M4138" s="227" t="n"/>
      <c r="N4138" s="127" t="n"/>
      <c r="O4138" s="227" t="n"/>
      <c r="P4138" s="227" t="n"/>
      <c r="Q4138" s="227" t="n"/>
      <c r="R4138" s="227" t="n"/>
      <c r="S4138" s="227" t="n"/>
      <c r="T4138" s="227" t="n"/>
    </row>
    <row r="4139">
      <c r="A4139" s="145">
        <f>IF($B4139="","",ROW()-5)</f>
        <v/>
      </c>
      <c r="B4139" s="127" t="n"/>
      <c r="C4139" s="223" t="n"/>
      <c r="D4139" s="127" t="n"/>
      <c r="E4139" s="227" t="n"/>
      <c r="F4139" s="227" t="n"/>
      <c r="G4139" s="227" t="n"/>
      <c r="H4139" s="227" t="n"/>
      <c r="I4139" s="227" t="n"/>
      <c r="J4139" s="227" t="n"/>
      <c r="K4139" s="227" t="n"/>
      <c r="L4139" s="227" t="n"/>
      <c r="M4139" s="227" t="n"/>
      <c r="N4139" s="127" t="n"/>
      <c r="O4139" s="227" t="n"/>
      <c r="P4139" s="227" t="n"/>
      <c r="Q4139" s="227" t="n"/>
      <c r="R4139" s="227" t="n"/>
      <c r="S4139" s="227" t="n"/>
      <c r="T4139" s="227" t="n"/>
    </row>
    <row r="4140">
      <c r="A4140" s="145">
        <f>IF($B4140="","",ROW()-5)</f>
        <v/>
      </c>
      <c r="B4140" s="127" t="n"/>
      <c r="C4140" s="223" t="n"/>
      <c r="D4140" s="127" t="n"/>
      <c r="E4140" s="227" t="n"/>
      <c r="F4140" s="227" t="n"/>
      <c r="G4140" s="227" t="n"/>
      <c r="H4140" s="227" t="n"/>
      <c r="I4140" s="227" t="n"/>
      <c r="J4140" s="227" t="n"/>
      <c r="K4140" s="227" t="n"/>
      <c r="L4140" s="227" t="n"/>
      <c r="M4140" s="227" t="n"/>
      <c r="N4140" s="127" t="n"/>
      <c r="O4140" s="227" t="n"/>
      <c r="P4140" s="227" t="n"/>
      <c r="Q4140" s="227" t="n"/>
      <c r="R4140" s="227" t="n"/>
      <c r="S4140" s="227" t="n"/>
      <c r="T4140" s="227" t="n"/>
    </row>
    <row r="4141">
      <c r="A4141" s="145">
        <f>IF($B4141="","",ROW()-5)</f>
        <v/>
      </c>
      <c r="B4141" s="127" t="n"/>
      <c r="C4141" s="223" t="n"/>
      <c r="D4141" s="127" t="n"/>
      <c r="E4141" s="227" t="n"/>
      <c r="F4141" s="227" t="n"/>
      <c r="G4141" s="227" t="n"/>
      <c r="H4141" s="227" t="n"/>
      <c r="I4141" s="227" t="n"/>
      <c r="J4141" s="227" t="n"/>
      <c r="K4141" s="227" t="n"/>
      <c r="L4141" s="227" t="n"/>
      <c r="M4141" s="227" t="n"/>
      <c r="N4141" s="127" t="n"/>
      <c r="O4141" s="227" t="n"/>
      <c r="P4141" s="227" t="n"/>
      <c r="Q4141" s="227" t="n"/>
      <c r="R4141" s="227" t="n"/>
      <c r="S4141" s="227" t="n"/>
      <c r="T4141" s="227" t="n"/>
    </row>
    <row r="4142">
      <c r="A4142" s="145">
        <f>IF($B4142="","",ROW()-5)</f>
        <v/>
      </c>
      <c r="B4142" s="127" t="n"/>
      <c r="C4142" s="223" t="n"/>
      <c r="D4142" s="127" t="n"/>
      <c r="E4142" s="227" t="n"/>
      <c r="F4142" s="227" t="n"/>
      <c r="G4142" s="227" t="n"/>
      <c r="H4142" s="227" t="n"/>
      <c r="I4142" s="227" t="n"/>
      <c r="J4142" s="227" t="n"/>
      <c r="K4142" s="227" t="n"/>
      <c r="L4142" s="227" t="n"/>
      <c r="M4142" s="227" t="n"/>
      <c r="N4142" s="127" t="n"/>
      <c r="O4142" s="227" t="n"/>
      <c r="P4142" s="227" t="n"/>
      <c r="Q4142" s="227" t="n"/>
      <c r="R4142" s="227" t="n"/>
      <c r="S4142" s="227" t="n"/>
      <c r="T4142" s="227" t="n"/>
    </row>
    <row r="4143">
      <c r="A4143" s="145">
        <f>IF($B4143="","",ROW()-5)</f>
        <v/>
      </c>
      <c r="B4143" s="127" t="n"/>
      <c r="C4143" s="223" t="n"/>
      <c r="D4143" s="127" t="n"/>
      <c r="E4143" s="227" t="n"/>
      <c r="F4143" s="227" t="n"/>
      <c r="G4143" s="227" t="n"/>
      <c r="H4143" s="227" t="n"/>
      <c r="I4143" s="227" t="n"/>
      <c r="J4143" s="227" t="n"/>
      <c r="K4143" s="227" t="n"/>
      <c r="L4143" s="227" t="n"/>
      <c r="M4143" s="227" t="n"/>
      <c r="N4143" s="127" t="n"/>
      <c r="O4143" s="227" t="n"/>
      <c r="P4143" s="227" t="n"/>
      <c r="Q4143" s="227" t="n"/>
      <c r="R4143" s="227" t="n"/>
      <c r="S4143" s="227" t="n"/>
      <c r="T4143" s="227" t="n"/>
    </row>
    <row r="4144">
      <c r="A4144" s="145">
        <f>IF($B4144="","",ROW()-5)</f>
        <v/>
      </c>
      <c r="B4144" s="127" t="n"/>
      <c r="C4144" s="223" t="n"/>
      <c r="D4144" s="127" t="n"/>
      <c r="E4144" s="227" t="n"/>
      <c r="F4144" s="227" t="n"/>
      <c r="G4144" s="227" t="n"/>
      <c r="H4144" s="227" t="n"/>
      <c r="I4144" s="227" t="n"/>
      <c r="J4144" s="227" t="n"/>
      <c r="K4144" s="227" t="n"/>
      <c r="L4144" s="227" t="n"/>
      <c r="M4144" s="227" t="n"/>
      <c r="N4144" s="127" t="n"/>
      <c r="O4144" s="227" t="n"/>
      <c r="P4144" s="227" t="n"/>
      <c r="Q4144" s="227" t="n"/>
      <c r="R4144" s="227" t="n"/>
      <c r="S4144" s="227" t="n"/>
      <c r="T4144" s="227" t="n"/>
    </row>
    <row r="4145">
      <c r="A4145" s="145">
        <f>IF($B4145="","",ROW()-5)</f>
        <v/>
      </c>
      <c r="B4145" s="127" t="n"/>
      <c r="C4145" s="223" t="n"/>
      <c r="D4145" s="127" t="n"/>
      <c r="E4145" s="227" t="n"/>
      <c r="F4145" s="227" t="n"/>
      <c r="G4145" s="227" t="n"/>
      <c r="H4145" s="227" t="n"/>
      <c r="I4145" s="227" t="n"/>
      <c r="J4145" s="227" t="n"/>
      <c r="K4145" s="227" t="n"/>
      <c r="L4145" s="227" t="n"/>
      <c r="M4145" s="227" t="n"/>
      <c r="N4145" s="127" t="n"/>
      <c r="O4145" s="227" t="n"/>
      <c r="P4145" s="227" t="n"/>
      <c r="Q4145" s="227" t="n"/>
      <c r="R4145" s="227" t="n"/>
      <c r="S4145" s="227" t="n"/>
      <c r="T4145" s="227" t="n"/>
    </row>
    <row r="4146">
      <c r="A4146" s="145">
        <f>IF($B4146="","",ROW()-5)</f>
        <v/>
      </c>
      <c r="B4146" s="127" t="n"/>
      <c r="C4146" s="223" t="n"/>
      <c r="D4146" s="127" t="n"/>
      <c r="E4146" s="227" t="n"/>
      <c r="F4146" s="227" t="n"/>
      <c r="G4146" s="227" t="n"/>
      <c r="H4146" s="227" t="n"/>
      <c r="I4146" s="227" t="n"/>
      <c r="J4146" s="227" t="n"/>
      <c r="K4146" s="227" t="n"/>
      <c r="L4146" s="227" t="n"/>
      <c r="M4146" s="227" t="n"/>
      <c r="N4146" s="127" t="n"/>
      <c r="O4146" s="227" t="n"/>
      <c r="P4146" s="227" t="n"/>
      <c r="Q4146" s="227" t="n"/>
      <c r="R4146" s="227" t="n"/>
      <c r="S4146" s="227" t="n"/>
      <c r="T4146" s="227" t="n"/>
    </row>
    <row r="4147">
      <c r="A4147" s="145">
        <f>IF($B4147="","",ROW()-5)</f>
        <v/>
      </c>
      <c r="B4147" s="127" t="n"/>
      <c r="C4147" s="223" t="n"/>
      <c r="D4147" s="127" t="n"/>
      <c r="E4147" s="227" t="n"/>
      <c r="F4147" s="227" t="n"/>
      <c r="G4147" s="227" t="n"/>
      <c r="H4147" s="227" t="n"/>
      <c r="I4147" s="227" t="n"/>
      <c r="J4147" s="227" t="n"/>
      <c r="K4147" s="227" t="n"/>
      <c r="L4147" s="227" t="n"/>
      <c r="M4147" s="227" t="n"/>
      <c r="N4147" s="127" t="n"/>
      <c r="O4147" s="227" t="n"/>
      <c r="P4147" s="227" t="n"/>
      <c r="Q4147" s="227" t="n"/>
      <c r="R4147" s="227" t="n"/>
      <c r="S4147" s="227" t="n"/>
      <c r="T4147" s="227" t="n"/>
    </row>
    <row r="4148">
      <c r="A4148" s="145">
        <f>IF($B4148="","",ROW()-5)</f>
        <v/>
      </c>
      <c r="B4148" s="127" t="n"/>
      <c r="C4148" s="223" t="n"/>
      <c r="D4148" s="127" t="n"/>
      <c r="E4148" s="227" t="n"/>
      <c r="F4148" s="227" t="n"/>
      <c r="G4148" s="227" t="n"/>
      <c r="H4148" s="227" t="n"/>
      <c r="I4148" s="227" t="n"/>
      <c r="J4148" s="227" t="n"/>
      <c r="K4148" s="227" t="n"/>
      <c r="L4148" s="227" t="n"/>
      <c r="M4148" s="227" t="n"/>
      <c r="N4148" s="127" t="n"/>
      <c r="O4148" s="227" t="n"/>
      <c r="P4148" s="227" t="n"/>
      <c r="Q4148" s="227" t="n"/>
      <c r="R4148" s="227" t="n"/>
      <c r="S4148" s="227" t="n"/>
      <c r="T4148" s="227" t="n"/>
    </row>
    <row r="4149">
      <c r="A4149" s="145">
        <f>IF($B4149="","",ROW()-5)</f>
        <v/>
      </c>
      <c r="B4149" s="127" t="n"/>
      <c r="C4149" s="223" t="n"/>
      <c r="D4149" s="127" t="n"/>
      <c r="E4149" s="227" t="n"/>
      <c r="F4149" s="227" t="n"/>
      <c r="G4149" s="227" t="n"/>
      <c r="H4149" s="227" t="n"/>
      <c r="I4149" s="227" t="n"/>
      <c r="J4149" s="227" t="n"/>
      <c r="K4149" s="227" t="n"/>
      <c r="L4149" s="227" t="n"/>
      <c r="M4149" s="227" t="n"/>
      <c r="N4149" s="127" t="n"/>
      <c r="O4149" s="227" t="n"/>
      <c r="P4149" s="227" t="n"/>
      <c r="Q4149" s="227" t="n"/>
      <c r="R4149" s="227" t="n"/>
      <c r="S4149" s="227" t="n"/>
      <c r="T4149" s="227" t="n"/>
    </row>
    <row r="4150">
      <c r="A4150" s="145">
        <f>IF($B4150="","",ROW()-5)</f>
        <v/>
      </c>
      <c r="B4150" s="127" t="n"/>
      <c r="C4150" s="223" t="n"/>
      <c r="D4150" s="127" t="n"/>
      <c r="E4150" s="227" t="n"/>
      <c r="F4150" s="227" t="n"/>
      <c r="G4150" s="227" t="n"/>
      <c r="H4150" s="227" t="n"/>
      <c r="I4150" s="227" t="n"/>
      <c r="J4150" s="227" t="n"/>
      <c r="K4150" s="227" t="n"/>
      <c r="L4150" s="227" t="n"/>
      <c r="M4150" s="227" t="n"/>
      <c r="N4150" s="127" t="n"/>
      <c r="O4150" s="227" t="n"/>
      <c r="P4150" s="227" t="n"/>
      <c r="Q4150" s="227" t="n"/>
      <c r="R4150" s="227" t="n"/>
      <c r="S4150" s="227" t="n"/>
      <c r="T4150" s="227" t="n"/>
    </row>
    <row r="4151">
      <c r="A4151" s="145">
        <f>IF($B4151="","",ROW()-5)</f>
        <v/>
      </c>
      <c r="B4151" s="127" t="n"/>
      <c r="C4151" s="223" t="n"/>
      <c r="D4151" s="127" t="n"/>
      <c r="E4151" s="227" t="n"/>
      <c r="F4151" s="227" t="n"/>
      <c r="G4151" s="227" t="n"/>
      <c r="H4151" s="227" t="n"/>
      <c r="I4151" s="227" t="n"/>
      <c r="J4151" s="227" t="n"/>
      <c r="K4151" s="227" t="n"/>
      <c r="L4151" s="227" t="n"/>
      <c r="M4151" s="227" t="n"/>
      <c r="N4151" s="127" t="n"/>
      <c r="O4151" s="227" t="n"/>
      <c r="P4151" s="227" t="n"/>
      <c r="Q4151" s="227" t="n"/>
      <c r="R4151" s="227" t="n"/>
      <c r="S4151" s="227" t="n"/>
      <c r="T4151" s="227" t="n"/>
    </row>
    <row r="4152">
      <c r="A4152" s="145">
        <f>IF($B4152="","",ROW()-5)</f>
        <v/>
      </c>
      <c r="B4152" s="127" t="n"/>
      <c r="C4152" s="223" t="n"/>
      <c r="D4152" s="127" t="n"/>
      <c r="E4152" s="227" t="n"/>
      <c r="F4152" s="227" t="n"/>
      <c r="G4152" s="227" t="n"/>
      <c r="H4152" s="227" t="n"/>
      <c r="I4152" s="227" t="n"/>
      <c r="J4152" s="227" t="n"/>
      <c r="K4152" s="227" t="n"/>
      <c r="L4152" s="227" t="n"/>
      <c r="M4152" s="227" t="n"/>
      <c r="N4152" s="127" t="n"/>
      <c r="O4152" s="227" t="n"/>
      <c r="P4152" s="227" t="n"/>
      <c r="Q4152" s="227" t="n"/>
      <c r="R4152" s="227" t="n"/>
      <c r="S4152" s="227" t="n"/>
      <c r="T4152" s="227" t="n"/>
    </row>
    <row r="4153">
      <c r="A4153" s="145">
        <f>IF($B4153="","",ROW()-5)</f>
        <v/>
      </c>
      <c r="B4153" s="127" t="n"/>
      <c r="C4153" s="223" t="n"/>
      <c r="D4153" s="127" t="n"/>
      <c r="E4153" s="227" t="n"/>
      <c r="F4153" s="227" t="n"/>
      <c r="G4153" s="227" t="n"/>
      <c r="H4153" s="227" t="n"/>
      <c r="I4153" s="227" t="n"/>
      <c r="J4153" s="227" t="n"/>
      <c r="K4153" s="227" t="n"/>
      <c r="L4153" s="227" t="n"/>
      <c r="M4153" s="227" t="n"/>
      <c r="N4153" s="127" t="n"/>
      <c r="O4153" s="227" t="n"/>
      <c r="P4153" s="227" t="n"/>
      <c r="Q4153" s="227" t="n"/>
      <c r="R4153" s="227" t="n"/>
      <c r="S4153" s="227" t="n"/>
      <c r="T4153" s="227" t="n"/>
    </row>
    <row r="4154">
      <c r="A4154" s="145">
        <f>IF($B4154="","",ROW()-5)</f>
        <v/>
      </c>
      <c r="B4154" s="127" t="n"/>
      <c r="C4154" s="223" t="n"/>
      <c r="D4154" s="127" t="n"/>
      <c r="E4154" s="227" t="n"/>
      <c r="F4154" s="227" t="n"/>
      <c r="G4154" s="227" t="n"/>
      <c r="H4154" s="227" t="n"/>
      <c r="I4154" s="227" t="n"/>
      <c r="J4154" s="227" t="n"/>
      <c r="K4154" s="227" t="n"/>
      <c r="L4154" s="227" t="n"/>
      <c r="M4154" s="227" t="n"/>
      <c r="N4154" s="127" t="n"/>
      <c r="O4154" s="227" t="n"/>
      <c r="P4154" s="227" t="n"/>
      <c r="Q4154" s="227" t="n"/>
      <c r="R4154" s="227" t="n"/>
      <c r="S4154" s="227" t="n"/>
      <c r="T4154" s="227" t="n"/>
    </row>
    <row r="4155">
      <c r="A4155" s="145">
        <f>IF($B4155="","",ROW()-5)</f>
        <v/>
      </c>
      <c r="B4155" s="127" t="n"/>
      <c r="C4155" s="223" t="n"/>
      <c r="D4155" s="127" t="n"/>
      <c r="E4155" s="227" t="n"/>
      <c r="F4155" s="227" t="n"/>
      <c r="G4155" s="227" t="n"/>
      <c r="H4155" s="227" t="n"/>
      <c r="I4155" s="227" t="n"/>
      <c r="J4155" s="227" t="n"/>
      <c r="K4155" s="227" t="n"/>
      <c r="L4155" s="227" t="n"/>
      <c r="M4155" s="227" t="n"/>
      <c r="N4155" s="127" t="n"/>
      <c r="O4155" s="227" t="n"/>
      <c r="P4155" s="227" t="n"/>
      <c r="Q4155" s="227" t="n"/>
      <c r="R4155" s="227" t="n"/>
      <c r="S4155" s="227" t="n"/>
      <c r="T4155" s="227" t="n"/>
    </row>
    <row r="4156">
      <c r="A4156" s="145">
        <f>IF($B4156="","",ROW()-5)</f>
        <v/>
      </c>
      <c r="B4156" s="127" t="n"/>
      <c r="C4156" s="223" t="n"/>
      <c r="D4156" s="127" t="n"/>
      <c r="E4156" s="227" t="n"/>
      <c r="F4156" s="227" t="n"/>
      <c r="G4156" s="227" t="n"/>
      <c r="H4156" s="227" t="n"/>
      <c r="I4156" s="227" t="n"/>
      <c r="J4156" s="227" t="n"/>
      <c r="K4156" s="227" t="n"/>
      <c r="L4156" s="227" t="n"/>
      <c r="M4156" s="227" t="n"/>
      <c r="N4156" s="127" t="n"/>
      <c r="O4156" s="227" t="n"/>
      <c r="P4156" s="227" t="n"/>
      <c r="Q4156" s="227" t="n"/>
      <c r="R4156" s="227" t="n"/>
      <c r="S4156" s="227" t="n"/>
      <c r="T4156" s="227" t="n"/>
    </row>
    <row r="4157">
      <c r="A4157" s="145">
        <f>IF($B4157="","",ROW()-5)</f>
        <v/>
      </c>
      <c r="B4157" s="127" t="n"/>
      <c r="C4157" s="223" t="n"/>
      <c r="D4157" s="127" t="n"/>
      <c r="E4157" s="227" t="n"/>
      <c r="F4157" s="227" t="n"/>
      <c r="G4157" s="227" t="n"/>
      <c r="H4157" s="227" t="n"/>
      <c r="I4157" s="227" t="n"/>
      <c r="J4157" s="227" t="n"/>
      <c r="K4157" s="227" t="n"/>
      <c r="L4157" s="227" t="n"/>
      <c r="M4157" s="227" t="n"/>
      <c r="N4157" s="127" t="n"/>
      <c r="O4157" s="227" t="n"/>
      <c r="P4157" s="227" t="n"/>
      <c r="Q4157" s="227" t="n"/>
      <c r="R4157" s="227" t="n"/>
      <c r="S4157" s="227" t="n"/>
      <c r="T4157" s="227" t="n"/>
    </row>
    <row r="4158">
      <c r="A4158" s="145">
        <f>IF($B4158="","",ROW()-5)</f>
        <v/>
      </c>
      <c r="B4158" s="127" t="n"/>
      <c r="C4158" s="223" t="n"/>
      <c r="D4158" s="127" t="n"/>
      <c r="E4158" s="227" t="n"/>
      <c r="F4158" s="227" t="n"/>
      <c r="G4158" s="227" t="n"/>
      <c r="H4158" s="227" t="n"/>
      <c r="I4158" s="227" t="n"/>
      <c r="J4158" s="227" t="n"/>
      <c r="K4158" s="227" t="n"/>
      <c r="L4158" s="227" t="n"/>
      <c r="M4158" s="227" t="n"/>
      <c r="N4158" s="127" t="n"/>
      <c r="O4158" s="227" t="n"/>
      <c r="P4158" s="227" t="n"/>
      <c r="Q4158" s="227" t="n"/>
      <c r="R4158" s="227" t="n"/>
      <c r="S4158" s="227" t="n"/>
      <c r="T4158" s="227" t="n"/>
    </row>
    <row r="4159">
      <c r="A4159" s="145">
        <f>IF($B4159="","",ROW()-5)</f>
        <v/>
      </c>
      <c r="B4159" s="127" t="n"/>
      <c r="C4159" s="223" t="n"/>
      <c r="D4159" s="127" t="n"/>
      <c r="E4159" s="227" t="n"/>
      <c r="F4159" s="227" t="n"/>
      <c r="G4159" s="227" t="n"/>
      <c r="H4159" s="227" t="n"/>
      <c r="I4159" s="227" t="n"/>
      <c r="J4159" s="227" t="n"/>
      <c r="K4159" s="227" t="n"/>
      <c r="L4159" s="227" t="n"/>
      <c r="M4159" s="227" t="n"/>
      <c r="N4159" s="127" t="n"/>
      <c r="O4159" s="227" t="n"/>
      <c r="P4159" s="227" t="n"/>
      <c r="Q4159" s="227" t="n"/>
      <c r="R4159" s="227" t="n"/>
      <c r="S4159" s="227" t="n"/>
      <c r="T4159" s="227" t="n"/>
    </row>
    <row r="4160">
      <c r="A4160" s="145">
        <f>IF($B4160="","",ROW()-5)</f>
        <v/>
      </c>
      <c r="B4160" s="127" t="n"/>
      <c r="C4160" s="223" t="n"/>
      <c r="D4160" s="127" t="n"/>
      <c r="E4160" s="227" t="n"/>
      <c r="F4160" s="227" t="n"/>
      <c r="G4160" s="227" t="n"/>
      <c r="H4160" s="227" t="n"/>
      <c r="I4160" s="227" t="n"/>
      <c r="J4160" s="227" t="n"/>
      <c r="K4160" s="227" t="n"/>
      <c r="L4160" s="227" t="n"/>
      <c r="M4160" s="227" t="n"/>
      <c r="N4160" s="127" t="n"/>
      <c r="O4160" s="227" t="n"/>
      <c r="P4160" s="227" t="n"/>
      <c r="Q4160" s="227" t="n"/>
      <c r="R4160" s="227" t="n"/>
      <c r="S4160" s="227" t="n"/>
      <c r="T4160" s="227" t="n"/>
    </row>
    <row r="4161">
      <c r="A4161" s="145">
        <f>IF($B4161="","",ROW()-5)</f>
        <v/>
      </c>
      <c r="B4161" s="127" t="n"/>
      <c r="C4161" s="223" t="n"/>
      <c r="D4161" s="127" t="n"/>
      <c r="E4161" s="227" t="n"/>
      <c r="F4161" s="227" t="n"/>
      <c r="G4161" s="227" t="n"/>
      <c r="H4161" s="227" t="n"/>
      <c r="I4161" s="227" t="n"/>
      <c r="J4161" s="227" t="n"/>
      <c r="K4161" s="227" t="n"/>
      <c r="L4161" s="227" t="n"/>
      <c r="M4161" s="227" t="n"/>
      <c r="N4161" s="127" t="n"/>
      <c r="O4161" s="227" t="n"/>
      <c r="P4161" s="227" t="n"/>
      <c r="Q4161" s="227" t="n"/>
      <c r="R4161" s="227" t="n"/>
      <c r="S4161" s="227" t="n"/>
      <c r="T4161" s="227" t="n"/>
    </row>
    <row r="4162">
      <c r="A4162" s="145">
        <f>IF($B4162="","",ROW()-5)</f>
        <v/>
      </c>
      <c r="B4162" s="127" t="n"/>
      <c r="C4162" s="223" t="n"/>
      <c r="D4162" s="127" t="n"/>
      <c r="E4162" s="227" t="n"/>
      <c r="F4162" s="227" t="n"/>
      <c r="G4162" s="227" t="n"/>
      <c r="H4162" s="227" t="n"/>
      <c r="I4162" s="227" t="n"/>
      <c r="J4162" s="227" t="n"/>
      <c r="K4162" s="227" t="n"/>
      <c r="L4162" s="227" t="n"/>
      <c r="M4162" s="227" t="n"/>
      <c r="N4162" s="127" t="n"/>
      <c r="O4162" s="227" t="n"/>
      <c r="P4162" s="227" t="n"/>
      <c r="Q4162" s="227" t="n"/>
      <c r="R4162" s="227" t="n"/>
      <c r="S4162" s="227" t="n"/>
      <c r="T4162" s="227" t="n"/>
    </row>
    <row r="4163">
      <c r="A4163" s="145">
        <f>IF($B4163="","",ROW()-5)</f>
        <v/>
      </c>
      <c r="B4163" s="127" t="n"/>
      <c r="C4163" s="223" t="n"/>
      <c r="D4163" s="127" t="n"/>
      <c r="E4163" s="227" t="n"/>
      <c r="F4163" s="227" t="n"/>
      <c r="G4163" s="227" t="n"/>
      <c r="H4163" s="227" t="n"/>
      <c r="I4163" s="227" t="n"/>
      <c r="J4163" s="227" t="n"/>
      <c r="K4163" s="227" t="n"/>
      <c r="L4163" s="227" t="n"/>
      <c r="M4163" s="227" t="n"/>
      <c r="N4163" s="127" t="n"/>
      <c r="O4163" s="227" t="n"/>
      <c r="P4163" s="227" t="n"/>
      <c r="Q4163" s="227" t="n"/>
      <c r="R4163" s="227" t="n"/>
      <c r="S4163" s="227" t="n"/>
      <c r="T4163" s="227" t="n"/>
    </row>
    <row r="4164">
      <c r="A4164" s="145">
        <f>IF($B4164="","",ROW()-5)</f>
        <v/>
      </c>
      <c r="B4164" s="127" t="n"/>
      <c r="C4164" s="223" t="n"/>
      <c r="D4164" s="127" t="n"/>
      <c r="E4164" s="227" t="n"/>
      <c r="F4164" s="227" t="n"/>
      <c r="G4164" s="227" t="n"/>
      <c r="H4164" s="227" t="n"/>
      <c r="I4164" s="227" t="n"/>
      <c r="J4164" s="227" t="n"/>
      <c r="K4164" s="227" t="n"/>
      <c r="L4164" s="227" t="n"/>
      <c r="M4164" s="227" t="n"/>
      <c r="N4164" s="127" t="n"/>
      <c r="O4164" s="227" t="n"/>
      <c r="P4164" s="227" t="n"/>
      <c r="Q4164" s="227" t="n"/>
      <c r="R4164" s="227" t="n"/>
      <c r="S4164" s="227" t="n"/>
      <c r="T4164" s="227" t="n"/>
    </row>
    <row r="4165">
      <c r="A4165" s="145">
        <f>IF($B4165="","",ROW()-5)</f>
        <v/>
      </c>
      <c r="B4165" s="127" t="n"/>
      <c r="C4165" s="223" t="n"/>
      <c r="D4165" s="127" t="n"/>
      <c r="E4165" s="227" t="n"/>
      <c r="F4165" s="227" t="n"/>
      <c r="G4165" s="227" t="n"/>
      <c r="H4165" s="227" t="n"/>
      <c r="I4165" s="227" t="n"/>
      <c r="J4165" s="227" t="n"/>
      <c r="K4165" s="227" t="n"/>
      <c r="L4165" s="227" t="n"/>
      <c r="M4165" s="227" t="n"/>
      <c r="N4165" s="127" t="n"/>
      <c r="O4165" s="227" t="n"/>
      <c r="P4165" s="227" t="n"/>
      <c r="Q4165" s="227" t="n"/>
      <c r="R4165" s="227" t="n"/>
      <c r="S4165" s="227" t="n"/>
      <c r="T4165" s="227" t="n"/>
    </row>
    <row r="4166">
      <c r="A4166" s="145">
        <f>IF($B4166="","",ROW()-5)</f>
        <v/>
      </c>
      <c r="B4166" s="127" t="n"/>
      <c r="C4166" s="223" t="n"/>
      <c r="D4166" s="127" t="n"/>
      <c r="E4166" s="227" t="n"/>
      <c r="F4166" s="227" t="n"/>
      <c r="G4166" s="227" t="n"/>
      <c r="H4166" s="227" t="n"/>
      <c r="I4166" s="227" t="n"/>
      <c r="J4166" s="227" t="n"/>
      <c r="K4166" s="227" t="n"/>
      <c r="L4166" s="227" t="n"/>
      <c r="M4166" s="227" t="n"/>
      <c r="N4166" s="127" t="n"/>
      <c r="O4166" s="227" t="n"/>
      <c r="P4166" s="227" t="n"/>
      <c r="Q4166" s="227" t="n"/>
      <c r="R4166" s="227" t="n"/>
      <c r="S4166" s="227" t="n"/>
      <c r="T4166" s="227" t="n"/>
    </row>
    <row r="4167">
      <c r="A4167" s="145">
        <f>IF($B4167="","",ROW()-5)</f>
        <v/>
      </c>
      <c r="B4167" s="127" t="n"/>
      <c r="C4167" s="223" t="n"/>
      <c r="D4167" s="127" t="n"/>
      <c r="E4167" s="227" t="n"/>
      <c r="F4167" s="227" t="n"/>
      <c r="G4167" s="227" t="n"/>
      <c r="H4167" s="227" t="n"/>
      <c r="I4167" s="227" t="n"/>
      <c r="J4167" s="227" t="n"/>
      <c r="K4167" s="227" t="n"/>
      <c r="L4167" s="227" t="n"/>
      <c r="M4167" s="227" t="n"/>
      <c r="N4167" s="127" t="n"/>
      <c r="O4167" s="227" t="n"/>
      <c r="P4167" s="227" t="n"/>
      <c r="Q4167" s="227" t="n"/>
      <c r="R4167" s="227" t="n"/>
      <c r="S4167" s="227" t="n"/>
      <c r="T4167" s="227" t="n"/>
    </row>
    <row r="4168">
      <c r="A4168" s="145">
        <f>IF($B4168="","",ROW()-5)</f>
        <v/>
      </c>
      <c r="B4168" s="127" t="n"/>
      <c r="C4168" s="223" t="n"/>
      <c r="D4168" s="127" t="n"/>
      <c r="E4168" s="227" t="n"/>
      <c r="F4168" s="227" t="n"/>
      <c r="G4168" s="227" t="n"/>
      <c r="H4168" s="227" t="n"/>
      <c r="I4168" s="227" t="n"/>
      <c r="J4168" s="227" t="n"/>
      <c r="K4168" s="227" t="n"/>
      <c r="L4168" s="227" t="n"/>
      <c r="M4168" s="227" t="n"/>
      <c r="N4168" s="127" t="n"/>
      <c r="O4168" s="227" t="n"/>
      <c r="P4168" s="227" t="n"/>
      <c r="Q4168" s="227" t="n"/>
      <c r="R4168" s="227" t="n"/>
      <c r="S4168" s="227" t="n"/>
      <c r="T4168" s="227" t="n"/>
    </row>
    <row r="4169">
      <c r="A4169" s="145">
        <f>IF($B4169="","",ROW()-5)</f>
        <v/>
      </c>
      <c r="B4169" s="127" t="n"/>
      <c r="C4169" s="223" t="n"/>
      <c r="D4169" s="127" t="n"/>
      <c r="E4169" s="227" t="n"/>
      <c r="F4169" s="227" t="n"/>
      <c r="G4169" s="227" t="n"/>
      <c r="H4169" s="227" t="n"/>
      <c r="I4169" s="227" t="n"/>
      <c r="J4169" s="227" t="n"/>
      <c r="K4169" s="227" t="n"/>
      <c r="L4169" s="227" t="n"/>
      <c r="M4169" s="227" t="n"/>
      <c r="N4169" s="127" t="n"/>
      <c r="O4169" s="227" t="n"/>
      <c r="P4169" s="227" t="n"/>
      <c r="Q4169" s="227" t="n"/>
      <c r="R4169" s="227" t="n"/>
      <c r="S4169" s="227" t="n"/>
      <c r="T4169" s="227" t="n"/>
    </row>
    <row r="4170">
      <c r="A4170" s="145">
        <f>IF($B4170="","",ROW()-5)</f>
        <v/>
      </c>
      <c r="B4170" s="127" t="n"/>
      <c r="C4170" s="223" t="n"/>
      <c r="D4170" s="127" t="n"/>
      <c r="E4170" s="227" t="n"/>
      <c r="F4170" s="227" t="n"/>
      <c r="G4170" s="227" t="n"/>
      <c r="H4170" s="227" t="n"/>
      <c r="I4170" s="227" t="n"/>
      <c r="J4170" s="227" t="n"/>
      <c r="K4170" s="227" t="n"/>
      <c r="L4170" s="227" t="n"/>
      <c r="M4170" s="227" t="n"/>
      <c r="N4170" s="127" t="n"/>
      <c r="O4170" s="227" t="n"/>
      <c r="P4170" s="227" t="n"/>
      <c r="Q4170" s="227" t="n"/>
      <c r="R4170" s="227" t="n"/>
      <c r="S4170" s="227" t="n"/>
      <c r="T4170" s="227" t="n"/>
    </row>
    <row r="4171">
      <c r="A4171" s="145">
        <f>IF($B4171="","",ROW()-5)</f>
        <v/>
      </c>
      <c r="B4171" s="127" t="n"/>
      <c r="C4171" s="223" t="n"/>
      <c r="D4171" s="127" t="n"/>
      <c r="E4171" s="227" t="n"/>
      <c r="F4171" s="227" t="n"/>
      <c r="G4171" s="227" t="n"/>
      <c r="H4171" s="227" t="n"/>
      <c r="I4171" s="227" t="n"/>
      <c r="J4171" s="227" t="n"/>
      <c r="K4171" s="227" t="n"/>
      <c r="L4171" s="227" t="n"/>
      <c r="M4171" s="227" t="n"/>
      <c r="N4171" s="127" t="n"/>
      <c r="O4171" s="227" t="n"/>
      <c r="P4171" s="227" t="n"/>
      <c r="Q4171" s="227" t="n"/>
      <c r="R4171" s="227" t="n"/>
      <c r="S4171" s="227" t="n"/>
      <c r="T4171" s="227" t="n"/>
    </row>
    <row r="4172">
      <c r="A4172" s="145">
        <f>IF($B4172="","",ROW()-5)</f>
        <v/>
      </c>
      <c r="B4172" s="127" t="n"/>
      <c r="C4172" s="223" t="n"/>
      <c r="D4172" s="127" t="n"/>
      <c r="E4172" s="227" t="n"/>
      <c r="F4172" s="227" t="n"/>
      <c r="G4172" s="227" t="n"/>
      <c r="H4172" s="227" t="n"/>
      <c r="I4172" s="227" t="n"/>
      <c r="J4172" s="227" t="n"/>
      <c r="K4172" s="227" t="n"/>
      <c r="L4172" s="227" t="n"/>
      <c r="M4172" s="227" t="n"/>
      <c r="N4172" s="127" t="n"/>
      <c r="O4172" s="227" t="n"/>
      <c r="P4172" s="227" t="n"/>
      <c r="Q4172" s="227" t="n"/>
      <c r="R4172" s="227" t="n"/>
      <c r="S4172" s="227" t="n"/>
      <c r="T4172" s="227" t="n"/>
    </row>
    <row r="4173">
      <c r="A4173" s="145">
        <f>IF($B4173="","",ROW()-5)</f>
        <v/>
      </c>
      <c r="B4173" s="127" t="n"/>
      <c r="C4173" s="223" t="n"/>
      <c r="D4173" s="127" t="n"/>
      <c r="E4173" s="227" t="n"/>
      <c r="F4173" s="227" t="n"/>
      <c r="G4173" s="227" t="n"/>
      <c r="H4173" s="227" t="n"/>
      <c r="I4173" s="227" t="n"/>
      <c r="J4173" s="227" t="n"/>
      <c r="K4173" s="227" t="n"/>
      <c r="L4173" s="227" t="n"/>
      <c r="M4173" s="227" t="n"/>
      <c r="N4173" s="127" t="n"/>
      <c r="O4173" s="227" t="n"/>
      <c r="P4173" s="227" t="n"/>
      <c r="Q4173" s="227" t="n"/>
      <c r="R4173" s="227" t="n"/>
      <c r="S4173" s="227" t="n"/>
      <c r="T4173" s="227" t="n"/>
    </row>
    <row r="4174">
      <c r="A4174" s="145">
        <f>IF($B4174="","",ROW()-5)</f>
        <v/>
      </c>
      <c r="B4174" s="127" t="n"/>
      <c r="C4174" s="223" t="n"/>
      <c r="D4174" s="127" t="n"/>
      <c r="E4174" s="227" t="n"/>
      <c r="F4174" s="227" t="n"/>
      <c r="G4174" s="227" t="n"/>
      <c r="H4174" s="227" t="n"/>
      <c r="I4174" s="227" t="n"/>
      <c r="J4174" s="227" t="n"/>
      <c r="K4174" s="227" t="n"/>
      <c r="L4174" s="227" t="n"/>
      <c r="M4174" s="227" t="n"/>
      <c r="N4174" s="127" t="n"/>
      <c r="O4174" s="227" t="n"/>
      <c r="P4174" s="227" t="n"/>
      <c r="Q4174" s="227" t="n"/>
      <c r="R4174" s="227" t="n"/>
      <c r="S4174" s="227" t="n"/>
      <c r="T4174" s="227" t="n"/>
    </row>
    <row r="4175">
      <c r="A4175" s="145">
        <f>IF($B4175="","",ROW()-5)</f>
        <v/>
      </c>
      <c r="B4175" s="127" t="n"/>
      <c r="C4175" s="223" t="n"/>
      <c r="D4175" s="127" t="n"/>
      <c r="E4175" s="227" t="n"/>
      <c r="F4175" s="227" t="n"/>
      <c r="G4175" s="227" t="n"/>
      <c r="H4175" s="227" t="n"/>
      <c r="I4175" s="227" t="n"/>
      <c r="J4175" s="227" t="n"/>
      <c r="K4175" s="227" t="n"/>
      <c r="L4175" s="227" t="n"/>
      <c r="M4175" s="227" t="n"/>
      <c r="N4175" s="127" t="n"/>
      <c r="O4175" s="227" t="n"/>
      <c r="P4175" s="227" t="n"/>
      <c r="Q4175" s="227" t="n"/>
      <c r="R4175" s="227" t="n"/>
      <c r="S4175" s="227" t="n"/>
      <c r="T4175" s="227" t="n"/>
    </row>
    <row r="4176">
      <c r="A4176" s="145">
        <f>IF($B4176="","",ROW()-5)</f>
        <v/>
      </c>
      <c r="B4176" s="127" t="n"/>
      <c r="C4176" s="223" t="n"/>
      <c r="D4176" s="127" t="n"/>
      <c r="E4176" s="227" t="n"/>
      <c r="F4176" s="227" t="n"/>
      <c r="G4176" s="227" t="n"/>
      <c r="H4176" s="227" t="n"/>
      <c r="I4176" s="227" t="n"/>
      <c r="J4176" s="227" t="n"/>
      <c r="K4176" s="227" t="n"/>
      <c r="L4176" s="227" t="n"/>
      <c r="M4176" s="227" t="n"/>
      <c r="N4176" s="127" t="n"/>
      <c r="O4176" s="227" t="n"/>
      <c r="P4176" s="227" t="n"/>
      <c r="Q4176" s="227" t="n"/>
      <c r="R4176" s="227" t="n"/>
      <c r="S4176" s="227" t="n"/>
      <c r="T4176" s="227" t="n"/>
    </row>
    <row r="4177">
      <c r="A4177" s="145">
        <f>IF($B4177="","",ROW()-5)</f>
        <v/>
      </c>
      <c r="B4177" s="127" t="n"/>
      <c r="C4177" s="223" t="n"/>
      <c r="D4177" s="127" t="n"/>
      <c r="E4177" s="227" t="n"/>
      <c r="F4177" s="227" t="n"/>
      <c r="G4177" s="227" t="n"/>
      <c r="H4177" s="227" t="n"/>
      <c r="I4177" s="227" t="n"/>
      <c r="J4177" s="227" t="n"/>
      <c r="K4177" s="227" t="n"/>
      <c r="L4177" s="227" t="n"/>
      <c r="M4177" s="227" t="n"/>
      <c r="N4177" s="127" t="n"/>
      <c r="O4177" s="227" t="n"/>
      <c r="P4177" s="227" t="n"/>
      <c r="Q4177" s="227" t="n"/>
      <c r="R4177" s="227" t="n"/>
      <c r="S4177" s="227" t="n"/>
      <c r="T4177" s="227" t="n"/>
    </row>
    <row r="4178">
      <c r="A4178" s="145">
        <f>IF($B4178="","",ROW()-5)</f>
        <v/>
      </c>
      <c r="B4178" s="127" t="n"/>
      <c r="C4178" s="223" t="n"/>
      <c r="D4178" s="127" t="n"/>
      <c r="E4178" s="227" t="n"/>
      <c r="F4178" s="227" t="n"/>
      <c r="G4178" s="227" t="n"/>
      <c r="H4178" s="227" t="n"/>
      <c r="I4178" s="227" t="n"/>
      <c r="J4178" s="227" t="n"/>
      <c r="K4178" s="227" t="n"/>
      <c r="L4178" s="227" t="n"/>
      <c r="M4178" s="227" t="n"/>
      <c r="N4178" s="127" t="n"/>
      <c r="O4178" s="227" t="n"/>
      <c r="P4178" s="227" t="n"/>
      <c r="Q4178" s="227" t="n"/>
      <c r="R4178" s="227" t="n"/>
      <c r="S4178" s="227" t="n"/>
      <c r="T4178" s="227" t="n"/>
    </row>
    <row r="4179">
      <c r="A4179" s="145">
        <f>IF($B4179="","",ROW()-5)</f>
        <v/>
      </c>
      <c r="B4179" s="127" t="n"/>
      <c r="C4179" s="223" t="n"/>
      <c r="D4179" s="127" t="n"/>
      <c r="E4179" s="227" t="n"/>
      <c r="F4179" s="227" t="n"/>
      <c r="G4179" s="227" t="n"/>
      <c r="H4179" s="227" t="n"/>
      <c r="I4179" s="227" t="n"/>
      <c r="J4179" s="227" t="n"/>
      <c r="K4179" s="227" t="n"/>
      <c r="L4179" s="227" t="n"/>
      <c r="M4179" s="227" t="n"/>
      <c r="N4179" s="127" t="n"/>
      <c r="O4179" s="227" t="n"/>
      <c r="P4179" s="227" t="n"/>
      <c r="Q4179" s="227" t="n"/>
      <c r="R4179" s="227" t="n"/>
      <c r="S4179" s="227" t="n"/>
      <c r="T4179" s="227" t="n"/>
    </row>
    <row r="4180">
      <c r="A4180" s="145">
        <f>IF($B4180="","",ROW()-5)</f>
        <v/>
      </c>
      <c r="B4180" s="127" t="n"/>
      <c r="C4180" s="223" t="n"/>
      <c r="D4180" s="127" t="n"/>
      <c r="E4180" s="227" t="n"/>
      <c r="F4180" s="227" t="n"/>
      <c r="G4180" s="227" t="n"/>
      <c r="H4180" s="227" t="n"/>
      <c r="I4180" s="227" t="n"/>
      <c r="J4180" s="227" t="n"/>
      <c r="K4180" s="227" t="n"/>
      <c r="L4180" s="227" t="n"/>
      <c r="M4180" s="227" t="n"/>
      <c r="N4180" s="127" t="n"/>
      <c r="O4180" s="227" t="n"/>
      <c r="P4180" s="227" t="n"/>
      <c r="Q4180" s="227" t="n"/>
      <c r="R4180" s="227" t="n"/>
      <c r="S4180" s="227" t="n"/>
      <c r="T4180" s="227" t="n"/>
    </row>
    <row r="4181">
      <c r="A4181" s="145">
        <f>IF($B4181="","",ROW()-5)</f>
        <v/>
      </c>
      <c r="B4181" s="127" t="n"/>
      <c r="C4181" s="223" t="n"/>
      <c r="D4181" s="127" t="n"/>
      <c r="E4181" s="227" t="n"/>
      <c r="F4181" s="227" t="n"/>
      <c r="G4181" s="227" t="n"/>
      <c r="H4181" s="227" t="n"/>
      <c r="I4181" s="227" t="n"/>
      <c r="J4181" s="227" t="n"/>
      <c r="K4181" s="227" t="n"/>
      <c r="L4181" s="227" t="n"/>
      <c r="M4181" s="227" t="n"/>
      <c r="N4181" s="127" t="n"/>
      <c r="O4181" s="227" t="n"/>
      <c r="P4181" s="227" t="n"/>
      <c r="Q4181" s="227" t="n"/>
      <c r="R4181" s="227" t="n"/>
      <c r="S4181" s="227" t="n"/>
      <c r="T4181" s="227" t="n"/>
    </row>
    <row r="4182">
      <c r="A4182" s="145">
        <f>IF($B4182="","",ROW()-5)</f>
        <v/>
      </c>
      <c r="B4182" s="127" t="n"/>
      <c r="C4182" s="223" t="n"/>
      <c r="D4182" s="127" t="n"/>
      <c r="E4182" s="227" t="n"/>
      <c r="F4182" s="227" t="n"/>
      <c r="G4182" s="227" t="n"/>
      <c r="H4182" s="227" t="n"/>
      <c r="I4182" s="227" t="n"/>
      <c r="J4182" s="227" t="n"/>
      <c r="K4182" s="227" t="n"/>
      <c r="L4182" s="227" t="n"/>
      <c r="M4182" s="227" t="n"/>
      <c r="N4182" s="127" t="n"/>
      <c r="O4182" s="227" t="n"/>
      <c r="P4182" s="227" t="n"/>
      <c r="Q4182" s="227" t="n"/>
      <c r="R4182" s="227" t="n"/>
      <c r="S4182" s="227" t="n"/>
      <c r="T4182" s="227" t="n"/>
    </row>
    <row r="4183">
      <c r="A4183" s="145">
        <f>IF($B4183="","",ROW()-5)</f>
        <v/>
      </c>
      <c r="B4183" s="127" t="n"/>
      <c r="C4183" s="223" t="n"/>
      <c r="D4183" s="127" t="n"/>
      <c r="E4183" s="227" t="n"/>
      <c r="F4183" s="227" t="n"/>
      <c r="G4183" s="227" t="n"/>
      <c r="H4183" s="227" t="n"/>
      <c r="I4183" s="227" t="n"/>
      <c r="J4183" s="227" t="n"/>
      <c r="K4183" s="227" t="n"/>
      <c r="L4183" s="227" t="n"/>
      <c r="M4183" s="227" t="n"/>
      <c r="N4183" s="127" t="n"/>
      <c r="O4183" s="227" t="n"/>
      <c r="P4183" s="227" t="n"/>
      <c r="Q4183" s="227" t="n"/>
      <c r="R4183" s="227" t="n"/>
      <c r="S4183" s="227" t="n"/>
      <c r="T4183" s="227" t="n"/>
    </row>
    <row r="4184">
      <c r="A4184" s="145">
        <f>IF($B4184="","",ROW()-5)</f>
        <v/>
      </c>
      <c r="B4184" s="127" t="n"/>
      <c r="C4184" s="223" t="n"/>
      <c r="D4184" s="127" t="n"/>
      <c r="E4184" s="227" t="n"/>
      <c r="F4184" s="227" t="n"/>
      <c r="G4184" s="227" t="n"/>
      <c r="H4184" s="227" t="n"/>
      <c r="I4184" s="227" t="n"/>
      <c r="J4184" s="227" t="n"/>
      <c r="K4184" s="227" t="n"/>
      <c r="L4184" s="227" t="n"/>
      <c r="M4184" s="227" t="n"/>
      <c r="N4184" s="127" t="n"/>
      <c r="O4184" s="227" t="n"/>
      <c r="P4184" s="227" t="n"/>
      <c r="Q4184" s="227" t="n"/>
      <c r="R4184" s="227" t="n"/>
      <c r="S4184" s="227" t="n"/>
      <c r="T4184" s="227" t="n"/>
    </row>
    <row r="4185">
      <c r="A4185" s="145">
        <f>IF($B4185="","",ROW()-5)</f>
        <v/>
      </c>
      <c r="B4185" s="127" t="n"/>
      <c r="C4185" s="223" t="n"/>
      <c r="D4185" s="127" t="n"/>
      <c r="E4185" s="227" t="n"/>
      <c r="F4185" s="227" t="n"/>
      <c r="G4185" s="227" t="n"/>
      <c r="H4185" s="227" t="n"/>
      <c r="I4185" s="227" t="n"/>
      <c r="J4185" s="227" t="n"/>
      <c r="K4185" s="227" t="n"/>
      <c r="L4185" s="227" t="n"/>
      <c r="M4185" s="227" t="n"/>
      <c r="N4185" s="127" t="n"/>
      <c r="O4185" s="227" t="n"/>
      <c r="P4185" s="227" t="n"/>
      <c r="Q4185" s="227" t="n"/>
      <c r="R4185" s="227" t="n"/>
      <c r="S4185" s="227" t="n"/>
      <c r="T4185" s="227" t="n"/>
    </row>
    <row r="4186">
      <c r="A4186" s="145">
        <f>IF($B4186="","",ROW()-5)</f>
        <v/>
      </c>
      <c r="B4186" s="127" t="n"/>
      <c r="C4186" s="223" t="n"/>
      <c r="D4186" s="127" t="n"/>
      <c r="E4186" s="227" t="n"/>
      <c r="F4186" s="227" t="n"/>
      <c r="G4186" s="227" t="n"/>
      <c r="H4186" s="227" t="n"/>
      <c r="I4186" s="227" t="n"/>
      <c r="J4186" s="227" t="n"/>
      <c r="K4186" s="227" t="n"/>
      <c r="L4186" s="227" t="n"/>
      <c r="M4186" s="227" t="n"/>
      <c r="N4186" s="127" t="n"/>
      <c r="O4186" s="227" t="n"/>
      <c r="P4186" s="227" t="n"/>
      <c r="Q4186" s="227" t="n"/>
      <c r="R4186" s="227" t="n"/>
      <c r="S4186" s="227" t="n"/>
      <c r="T4186" s="227" t="n"/>
    </row>
    <row r="4187">
      <c r="A4187" s="145">
        <f>IF($B4187="","",ROW()-5)</f>
        <v/>
      </c>
      <c r="B4187" s="127" t="n"/>
      <c r="C4187" s="223" t="n"/>
      <c r="D4187" s="127" t="n"/>
      <c r="E4187" s="227" t="n"/>
      <c r="F4187" s="227" t="n"/>
      <c r="G4187" s="227" t="n"/>
      <c r="H4187" s="227" t="n"/>
      <c r="I4187" s="227" t="n"/>
      <c r="J4187" s="227" t="n"/>
      <c r="K4187" s="227" t="n"/>
      <c r="L4187" s="227" t="n"/>
      <c r="M4187" s="227" t="n"/>
      <c r="N4187" s="127" t="n"/>
      <c r="O4187" s="227" t="n"/>
      <c r="P4187" s="227" t="n"/>
      <c r="Q4187" s="227" t="n"/>
      <c r="R4187" s="227" t="n"/>
      <c r="S4187" s="227" t="n"/>
      <c r="T4187" s="227" t="n"/>
    </row>
    <row r="4188">
      <c r="A4188" s="145">
        <f>IF($B4188="","",ROW()-5)</f>
        <v/>
      </c>
      <c r="B4188" s="127" t="n"/>
      <c r="C4188" s="223" t="n"/>
      <c r="D4188" s="127" t="n"/>
      <c r="E4188" s="227" t="n"/>
      <c r="F4188" s="227" t="n"/>
      <c r="G4188" s="227" t="n"/>
      <c r="H4188" s="227" t="n"/>
      <c r="I4188" s="227" t="n"/>
      <c r="J4188" s="227" t="n"/>
      <c r="K4188" s="227" t="n"/>
      <c r="L4188" s="227" t="n"/>
      <c r="M4188" s="227" t="n"/>
      <c r="N4188" s="127" t="n"/>
      <c r="O4188" s="227" t="n"/>
      <c r="P4188" s="227" t="n"/>
      <c r="Q4188" s="227" t="n"/>
      <c r="R4188" s="227" t="n"/>
      <c r="S4188" s="227" t="n"/>
      <c r="T4188" s="227" t="n"/>
    </row>
    <row r="4189">
      <c r="A4189" s="145">
        <f>IF($B4189="","",ROW()-5)</f>
        <v/>
      </c>
      <c r="B4189" s="127" t="n"/>
      <c r="C4189" s="223" t="n"/>
      <c r="D4189" s="127" t="n"/>
      <c r="E4189" s="227" t="n"/>
      <c r="F4189" s="227" t="n"/>
      <c r="G4189" s="227" t="n"/>
      <c r="H4189" s="227" t="n"/>
      <c r="I4189" s="227" t="n"/>
      <c r="J4189" s="227" t="n"/>
      <c r="K4189" s="227" t="n"/>
      <c r="L4189" s="227" t="n"/>
      <c r="M4189" s="227" t="n"/>
      <c r="N4189" s="127" t="n"/>
      <c r="O4189" s="227" t="n"/>
      <c r="P4189" s="227" t="n"/>
      <c r="Q4189" s="227" t="n"/>
      <c r="R4189" s="227" t="n"/>
      <c r="S4189" s="227" t="n"/>
      <c r="T4189" s="227" t="n"/>
    </row>
    <row r="4190">
      <c r="A4190" s="145">
        <f>IF($B4190="","",ROW()-5)</f>
        <v/>
      </c>
      <c r="B4190" s="127" t="n"/>
      <c r="C4190" s="223" t="n"/>
      <c r="D4190" s="127" t="n"/>
      <c r="E4190" s="227" t="n"/>
      <c r="F4190" s="227" t="n"/>
      <c r="G4190" s="227" t="n"/>
      <c r="H4190" s="227" t="n"/>
      <c r="I4190" s="227" t="n"/>
      <c r="J4190" s="227" t="n"/>
      <c r="K4190" s="227" t="n"/>
      <c r="L4190" s="227" t="n"/>
      <c r="M4190" s="227" t="n"/>
      <c r="N4190" s="127" t="n"/>
      <c r="O4190" s="227" t="n"/>
      <c r="P4190" s="227" t="n"/>
      <c r="Q4190" s="227" t="n"/>
      <c r="R4190" s="227" t="n"/>
      <c r="S4190" s="227" t="n"/>
      <c r="T4190" s="227" t="n"/>
    </row>
    <row r="4191">
      <c r="A4191" s="145">
        <f>IF($B4191="","",ROW()-5)</f>
        <v/>
      </c>
      <c r="B4191" s="127" t="n"/>
      <c r="C4191" s="223" t="n"/>
      <c r="D4191" s="127" t="n"/>
      <c r="E4191" s="227" t="n"/>
      <c r="F4191" s="227" t="n"/>
      <c r="G4191" s="227" t="n"/>
      <c r="H4191" s="227" t="n"/>
      <c r="I4191" s="227" t="n"/>
      <c r="J4191" s="227" t="n"/>
      <c r="K4191" s="227" t="n"/>
      <c r="L4191" s="227" t="n"/>
      <c r="M4191" s="227" t="n"/>
      <c r="N4191" s="127" t="n"/>
      <c r="O4191" s="227" t="n"/>
      <c r="P4191" s="227" t="n"/>
      <c r="Q4191" s="227" t="n"/>
      <c r="R4191" s="227" t="n"/>
      <c r="S4191" s="227" t="n"/>
      <c r="T4191" s="227" t="n"/>
    </row>
    <row r="4192">
      <c r="A4192" s="145">
        <f>IF($B4192="","",ROW()-5)</f>
        <v/>
      </c>
      <c r="B4192" s="127" t="n"/>
      <c r="C4192" s="223" t="n"/>
      <c r="D4192" s="127" t="n"/>
      <c r="E4192" s="227" t="n"/>
      <c r="F4192" s="227" t="n"/>
      <c r="G4192" s="227" t="n"/>
      <c r="H4192" s="227" t="n"/>
      <c r="I4192" s="227" t="n"/>
      <c r="J4192" s="227" t="n"/>
      <c r="K4192" s="227" t="n"/>
      <c r="L4192" s="227" t="n"/>
      <c r="M4192" s="227" t="n"/>
      <c r="N4192" s="127" t="n"/>
      <c r="O4192" s="227" t="n"/>
      <c r="P4192" s="227" t="n"/>
      <c r="Q4192" s="227" t="n"/>
      <c r="R4192" s="227" t="n"/>
      <c r="S4192" s="227" t="n"/>
      <c r="T4192" s="227" t="n"/>
    </row>
    <row r="4193">
      <c r="A4193" s="145">
        <f>IF($B4193="","",ROW()-5)</f>
        <v/>
      </c>
      <c r="B4193" s="127" t="n"/>
      <c r="C4193" s="223" t="n"/>
      <c r="D4193" s="127" t="n"/>
      <c r="E4193" s="227" t="n"/>
      <c r="F4193" s="227" t="n"/>
      <c r="G4193" s="227" t="n"/>
      <c r="H4193" s="227" t="n"/>
      <c r="I4193" s="227" t="n"/>
      <c r="J4193" s="227" t="n"/>
      <c r="K4193" s="227" t="n"/>
      <c r="L4193" s="227" t="n"/>
      <c r="M4193" s="227" t="n"/>
      <c r="N4193" s="127" t="n"/>
      <c r="O4193" s="227" t="n"/>
      <c r="P4193" s="227" t="n"/>
      <c r="Q4193" s="227" t="n"/>
      <c r="R4193" s="227" t="n"/>
      <c r="S4193" s="227" t="n"/>
      <c r="T4193" s="227" t="n"/>
    </row>
    <row r="4194">
      <c r="A4194" s="145">
        <f>IF($B4194="","",ROW()-5)</f>
        <v/>
      </c>
      <c r="B4194" s="127" t="n"/>
      <c r="C4194" s="223" t="n"/>
      <c r="D4194" s="127" t="n"/>
      <c r="E4194" s="227" t="n"/>
      <c r="F4194" s="227" t="n"/>
      <c r="G4194" s="227" t="n"/>
      <c r="H4194" s="227" t="n"/>
      <c r="I4194" s="227" t="n"/>
      <c r="J4194" s="227" t="n"/>
      <c r="K4194" s="227" t="n"/>
      <c r="L4194" s="227" t="n"/>
      <c r="M4194" s="227" t="n"/>
      <c r="N4194" s="127" t="n"/>
      <c r="O4194" s="227" t="n"/>
      <c r="P4194" s="227" t="n"/>
      <c r="Q4194" s="227" t="n"/>
      <c r="R4194" s="227" t="n"/>
      <c r="S4194" s="227" t="n"/>
      <c r="T4194" s="227" t="n"/>
    </row>
    <row r="4195">
      <c r="A4195" s="145">
        <f>IF($B4195="","",ROW()-5)</f>
        <v/>
      </c>
      <c r="B4195" s="127" t="n"/>
      <c r="C4195" s="223" t="n"/>
      <c r="D4195" s="127" t="n"/>
      <c r="E4195" s="227" t="n"/>
      <c r="F4195" s="227" t="n"/>
      <c r="G4195" s="227" t="n"/>
      <c r="H4195" s="227" t="n"/>
      <c r="I4195" s="227" t="n"/>
      <c r="J4195" s="227" t="n"/>
      <c r="K4195" s="227" t="n"/>
      <c r="L4195" s="227" t="n"/>
      <c r="M4195" s="227" t="n"/>
      <c r="N4195" s="127" t="n"/>
      <c r="O4195" s="227" t="n"/>
      <c r="P4195" s="227" t="n"/>
      <c r="Q4195" s="227" t="n"/>
      <c r="R4195" s="227" t="n"/>
      <c r="S4195" s="227" t="n"/>
      <c r="T4195" s="227" t="n"/>
    </row>
    <row r="4196">
      <c r="A4196" s="145">
        <f>IF($B4196="","",ROW()-5)</f>
        <v/>
      </c>
      <c r="B4196" s="127" t="n"/>
      <c r="C4196" s="223" t="n"/>
      <c r="D4196" s="127" t="n"/>
      <c r="E4196" s="227" t="n"/>
      <c r="F4196" s="227" t="n"/>
      <c r="G4196" s="227" t="n"/>
      <c r="H4196" s="227" t="n"/>
      <c r="I4196" s="227" t="n"/>
      <c r="J4196" s="227" t="n"/>
      <c r="K4196" s="227" t="n"/>
      <c r="L4196" s="227" t="n"/>
      <c r="M4196" s="227" t="n"/>
      <c r="N4196" s="127" t="n"/>
      <c r="O4196" s="227" t="n"/>
      <c r="P4196" s="227" t="n"/>
      <c r="Q4196" s="227" t="n"/>
      <c r="R4196" s="227" t="n"/>
      <c r="S4196" s="227" t="n"/>
      <c r="T4196" s="227" t="n"/>
    </row>
    <row r="4197">
      <c r="A4197" s="145">
        <f>IF($B4197="","",ROW()-5)</f>
        <v/>
      </c>
      <c r="B4197" s="127" t="n"/>
      <c r="C4197" s="223" t="n"/>
      <c r="D4197" s="127" t="n"/>
      <c r="E4197" s="227" t="n"/>
      <c r="F4197" s="227" t="n"/>
      <c r="G4197" s="227" t="n"/>
      <c r="H4197" s="227" t="n"/>
      <c r="I4197" s="227" t="n"/>
      <c r="J4197" s="227" t="n"/>
      <c r="K4197" s="227" t="n"/>
      <c r="L4197" s="227" t="n"/>
      <c r="M4197" s="227" t="n"/>
      <c r="N4197" s="127" t="n"/>
      <c r="O4197" s="227" t="n"/>
      <c r="P4197" s="227" t="n"/>
      <c r="Q4197" s="227" t="n"/>
      <c r="R4197" s="227" t="n"/>
      <c r="S4197" s="227" t="n"/>
      <c r="T4197" s="227" t="n"/>
    </row>
    <row r="4198">
      <c r="A4198" s="145">
        <f>IF($B4198="","",ROW()-5)</f>
        <v/>
      </c>
      <c r="B4198" s="127" t="n"/>
      <c r="C4198" s="223" t="n"/>
      <c r="D4198" s="127" t="n"/>
      <c r="E4198" s="227" t="n"/>
      <c r="F4198" s="227" t="n"/>
      <c r="G4198" s="227" t="n"/>
      <c r="H4198" s="227" t="n"/>
      <c r="I4198" s="227" t="n"/>
      <c r="J4198" s="227" t="n"/>
      <c r="K4198" s="227" t="n"/>
      <c r="L4198" s="227" t="n"/>
      <c r="M4198" s="227" t="n"/>
      <c r="N4198" s="127" t="n"/>
      <c r="O4198" s="227" t="n"/>
      <c r="P4198" s="227" t="n"/>
      <c r="Q4198" s="227" t="n"/>
      <c r="R4198" s="227" t="n"/>
      <c r="S4198" s="227" t="n"/>
      <c r="T4198" s="227" t="n"/>
    </row>
    <row r="4199">
      <c r="A4199" s="145">
        <f>IF($B4199="","",ROW()-5)</f>
        <v/>
      </c>
      <c r="B4199" s="127" t="n"/>
      <c r="C4199" s="223" t="n"/>
      <c r="D4199" s="127" t="n"/>
      <c r="E4199" s="227" t="n"/>
      <c r="F4199" s="227" t="n"/>
      <c r="G4199" s="227" t="n"/>
      <c r="H4199" s="227" t="n"/>
      <c r="I4199" s="227" t="n"/>
      <c r="J4199" s="227" t="n"/>
      <c r="K4199" s="227" t="n"/>
      <c r="L4199" s="227" t="n"/>
      <c r="M4199" s="227" t="n"/>
      <c r="N4199" s="127" t="n"/>
      <c r="O4199" s="227" t="n"/>
      <c r="P4199" s="227" t="n"/>
      <c r="Q4199" s="227" t="n"/>
      <c r="R4199" s="227" t="n"/>
      <c r="S4199" s="227" t="n"/>
      <c r="T4199" s="227" t="n"/>
    </row>
    <row r="4200">
      <c r="A4200" s="145">
        <f>IF($B4200="","",ROW()-5)</f>
        <v/>
      </c>
      <c r="B4200" s="127" t="n"/>
      <c r="C4200" s="223" t="n"/>
      <c r="D4200" s="127" t="n"/>
      <c r="E4200" s="227" t="n"/>
      <c r="F4200" s="227" t="n"/>
      <c r="G4200" s="227" t="n"/>
      <c r="H4200" s="227" t="n"/>
      <c r="I4200" s="227" t="n"/>
      <c r="J4200" s="227" t="n"/>
      <c r="K4200" s="227" t="n"/>
      <c r="L4200" s="227" t="n"/>
      <c r="M4200" s="227" t="n"/>
      <c r="N4200" s="127" t="n"/>
      <c r="O4200" s="227" t="n"/>
      <c r="P4200" s="227" t="n"/>
      <c r="Q4200" s="227" t="n"/>
      <c r="R4200" s="227" t="n"/>
      <c r="S4200" s="227" t="n"/>
      <c r="T4200" s="227" t="n"/>
    </row>
    <row r="4201">
      <c r="A4201" s="145">
        <f>IF($B4201="","",ROW()-5)</f>
        <v/>
      </c>
      <c r="B4201" s="127" t="n"/>
      <c r="C4201" s="223" t="n"/>
      <c r="D4201" s="127" t="n"/>
      <c r="E4201" s="227" t="n"/>
      <c r="F4201" s="227" t="n"/>
      <c r="G4201" s="227" t="n"/>
      <c r="H4201" s="227" t="n"/>
      <c r="I4201" s="227" t="n"/>
      <c r="J4201" s="227" t="n"/>
      <c r="K4201" s="227" t="n"/>
      <c r="L4201" s="227" t="n"/>
      <c r="M4201" s="227" t="n"/>
      <c r="N4201" s="127" t="n"/>
      <c r="O4201" s="227" t="n"/>
      <c r="P4201" s="227" t="n"/>
      <c r="Q4201" s="227" t="n"/>
      <c r="R4201" s="227" t="n"/>
      <c r="S4201" s="227" t="n"/>
      <c r="T4201" s="227" t="n"/>
    </row>
    <row r="4202">
      <c r="A4202" s="145">
        <f>IF($B4202="","",ROW()-5)</f>
        <v/>
      </c>
      <c r="B4202" s="127" t="n"/>
      <c r="C4202" s="223" t="n"/>
      <c r="D4202" s="127" t="n"/>
      <c r="E4202" s="227" t="n"/>
      <c r="F4202" s="227" t="n"/>
      <c r="G4202" s="227" t="n"/>
      <c r="H4202" s="227" t="n"/>
      <c r="I4202" s="227" t="n"/>
      <c r="J4202" s="227" t="n"/>
      <c r="K4202" s="227" t="n"/>
      <c r="L4202" s="227" t="n"/>
      <c r="M4202" s="227" t="n"/>
      <c r="N4202" s="127" t="n"/>
      <c r="O4202" s="227" t="n"/>
      <c r="P4202" s="227" t="n"/>
      <c r="Q4202" s="227" t="n"/>
      <c r="R4202" s="227" t="n"/>
      <c r="S4202" s="227" t="n"/>
      <c r="T4202" s="227" t="n"/>
    </row>
    <row r="4203">
      <c r="A4203" s="145">
        <f>IF($B4203="","",ROW()-5)</f>
        <v/>
      </c>
      <c r="B4203" s="127" t="n"/>
      <c r="C4203" s="223" t="n"/>
      <c r="D4203" s="127" t="n"/>
      <c r="E4203" s="227" t="n"/>
      <c r="F4203" s="227" t="n"/>
      <c r="G4203" s="227" t="n"/>
      <c r="H4203" s="227" t="n"/>
      <c r="I4203" s="227" t="n"/>
      <c r="J4203" s="227" t="n"/>
      <c r="K4203" s="227" t="n"/>
      <c r="L4203" s="227" t="n"/>
      <c r="M4203" s="227" t="n"/>
      <c r="N4203" s="127" t="n"/>
      <c r="O4203" s="227" t="n"/>
      <c r="P4203" s="227" t="n"/>
      <c r="Q4203" s="227" t="n"/>
      <c r="R4203" s="227" t="n"/>
      <c r="S4203" s="227" t="n"/>
      <c r="T4203" s="227" t="n"/>
    </row>
    <row r="4204">
      <c r="A4204" s="145">
        <f>IF($B4204="","",ROW()-5)</f>
        <v/>
      </c>
      <c r="B4204" s="127" t="n"/>
      <c r="C4204" s="223" t="n"/>
      <c r="D4204" s="127" t="n"/>
      <c r="E4204" s="227" t="n"/>
      <c r="F4204" s="227" t="n"/>
      <c r="G4204" s="227" t="n"/>
      <c r="H4204" s="227" t="n"/>
      <c r="I4204" s="227" t="n"/>
      <c r="J4204" s="227" t="n"/>
      <c r="K4204" s="227" t="n"/>
      <c r="L4204" s="227" t="n"/>
      <c r="M4204" s="227" t="n"/>
      <c r="N4204" s="127" t="n"/>
      <c r="O4204" s="227" t="n"/>
      <c r="P4204" s="227" t="n"/>
      <c r="Q4204" s="227" t="n"/>
      <c r="R4204" s="227" t="n"/>
      <c r="S4204" s="227" t="n"/>
      <c r="T4204" s="227" t="n"/>
    </row>
    <row r="4205">
      <c r="A4205" s="145">
        <f>IF($B4205="","",ROW()-5)</f>
        <v/>
      </c>
      <c r="B4205" s="127" t="n"/>
      <c r="C4205" s="223" t="n"/>
      <c r="D4205" s="127" t="n"/>
      <c r="E4205" s="227" t="n"/>
      <c r="F4205" s="227" t="n"/>
      <c r="G4205" s="227" t="n"/>
      <c r="H4205" s="227" t="n"/>
      <c r="I4205" s="227" t="n"/>
      <c r="J4205" s="227" t="n"/>
      <c r="K4205" s="227" t="n"/>
      <c r="L4205" s="227" t="n"/>
      <c r="M4205" s="227" t="n"/>
      <c r="N4205" s="127" t="n"/>
      <c r="O4205" s="227" t="n"/>
      <c r="P4205" s="227" t="n"/>
      <c r="Q4205" s="227" t="n"/>
      <c r="R4205" s="227" t="n"/>
      <c r="S4205" s="227" t="n"/>
      <c r="T4205" s="227" t="n"/>
    </row>
    <row r="4206">
      <c r="A4206" s="145">
        <f>IF($B4206="","",ROW()-5)</f>
        <v/>
      </c>
      <c r="B4206" s="127" t="n"/>
      <c r="C4206" s="223" t="n"/>
      <c r="D4206" s="127" t="n"/>
      <c r="E4206" s="227" t="n"/>
      <c r="F4206" s="227" t="n"/>
      <c r="G4206" s="227" t="n"/>
      <c r="H4206" s="227" t="n"/>
      <c r="I4206" s="227" t="n"/>
      <c r="J4206" s="227" t="n"/>
      <c r="K4206" s="227" t="n"/>
      <c r="L4206" s="227" t="n"/>
      <c r="M4206" s="227" t="n"/>
      <c r="N4206" s="127" t="n"/>
      <c r="O4206" s="227" t="n"/>
      <c r="P4206" s="227" t="n"/>
      <c r="Q4206" s="227" t="n"/>
      <c r="R4206" s="227" t="n"/>
      <c r="S4206" s="227" t="n"/>
      <c r="T4206" s="227" t="n"/>
    </row>
    <row r="4207">
      <c r="A4207" s="145">
        <f>IF($B4207="","",ROW()-5)</f>
        <v/>
      </c>
      <c r="B4207" s="127" t="n"/>
      <c r="C4207" s="223" t="n"/>
      <c r="D4207" s="127" t="n"/>
      <c r="E4207" s="227" t="n"/>
      <c r="F4207" s="227" t="n"/>
      <c r="G4207" s="227" t="n"/>
      <c r="H4207" s="227" t="n"/>
      <c r="I4207" s="227" t="n"/>
      <c r="J4207" s="227" t="n"/>
      <c r="K4207" s="227" t="n"/>
      <c r="L4207" s="227" t="n"/>
      <c r="M4207" s="227" t="n"/>
      <c r="N4207" s="127" t="n"/>
      <c r="O4207" s="227" t="n"/>
      <c r="P4207" s="227" t="n"/>
      <c r="Q4207" s="227" t="n"/>
      <c r="R4207" s="227" t="n"/>
      <c r="S4207" s="227" t="n"/>
      <c r="T4207" s="227" t="n"/>
    </row>
    <row r="4208">
      <c r="A4208" s="145">
        <f>IF($B4208="","",ROW()-5)</f>
        <v/>
      </c>
      <c r="B4208" s="127" t="n"/>
      <c r="C4208" s="223" t="n"/>
      <c r="D4208" s="127" t="n"/>
      <c r="E4208" s="227" t="n"/>
      <c r="F4208" s="227" t="n"/>
      <c r="G4208" s="227" t="n"/>
      <c r="H4208" s="227" t="n"/>
      <c r="I4208" s="227" t="n"/>
      <c r="J4208" s="227" t="n"/>
      <c r="K4208" s="227" t="n"/>
      <c r="L4208" s="227" t="n"/>
      <c r="M4208" s="227" t="n"/>
      <c r="N4208" s="127" t="n"/>
      <c r="O4208" s="227" t="n"/>
      <c r="P4208" s="227" t="n"/>
      <c r="Q4208" s="227" t="n"/>
      <c r="R4208" s="227" t="n"/>
      <c r="S4208" s="227" t="n"/>
      <c r="T4208" s="227" t="n"/>
    </row>
    <row r="4209">
      <c r="A4209" s="145">
        <f>IF($B4209="","",ROW()-5)</f>
        <v/>
      </c>
      <c r="B4209" s="127" t="n"/>
      <c r="C4209" s="223" t="n"/>
      <c r="D4209" s="127" t="n"/>
      <c r="E4209" s="227" t="n"/>
      <c r="F4209" s="227" t="n"/>
      <c r="G4209" s="227" t="n"/>
      <c r="H4209" s="227" t="n"/>
      <c r="I4209" s="227" t="n"/>
      <c r="J4209" s="227" t="n"/>
      <c r="K4209" s="227" t="n"/>
      <c r="L4209" s="227" t="n"/>
      <c r="M4209" s="227" t="n"/>
      <c r="N4209" s="127" t="n"/>
      <c r="O4209" s="227" t="n"/>
      <c r="P4209" s="227" t="n"/>
      <c r="Q4209" s="227" t="n"/>
      <c r="R4209" s="227" t="n"/>
      <c r="S4209" s="227" t="n"/>
      <c r="T4209" s="227" t="n"/>
    </row>
    <row r="4210">
      <c r="A4210" s="145">
        <f>IF($B4210="","",ROW()-5)</f>
        <v/>
      </c>
      <c r="B4210" s="127" t="n"/>
      <c r="C4210" s="223" t="n"/>
      <c r="D4210" s="127" t="n"/>
      <c r="E4210" s="227" t="n"/>
      <c r="F4210" s="227" t="n"/>
      <c r="G4210" s="227" t="n"/>
      <c r="H4210" s="227" t="n"/>
      <c r="I4210" s="227" t="n"/>
      <c r="J4210" s="227" t="n"/>
      <c r="K4210" s="227" t="n"/>
      <c r="L4210" s="227" t="n"/>
      <c r="M4210" s="227" t="n"/>
      <c r="N4210" s="127" t="n"/>
      <c r="O4210" s="227" t="n"/>
      <c r="P4210" s="227" t="n"/>
      <c r="Q4210" s="227" t="n"/>
      <c r="R4210" s="227" t="n"/>
      <c r="S4210" s="227" t="n"/>
      <c r="T4210" s="227" t="n"/>
    </row>
    <row r="4211">
      <c r="A4211" s="145">
        <f>IF($B4211="","",ROW()-5)</f>
        <v/>
      </c>
      <c r="B4211" s="127" t="n"/>
      <c r="C4211" s="223" t="n"/>
      <c r="D4211" s="127" t="n"/>
      <c r="E4211" s="227" t="n"/>
      <c r="F4211" s="227" t="n"/>
      <c r="G4211" s="227" t="n"/>
      <c r="H4211" s="227" t="n"/>
      <c r="I4211" s="227" t="n"/>
      <c r="J4211" s="227" t="n"/>
      <c r="K4211" s="227" t="n"/>
      <c r="L4211" s="227" t="n"/>
      <c r="M4211" s="227" t="n"/>
      <c r="N4211" s="127" t="n"/>
      <c r="O4211" s="227" t="n"/>
      <c r="P4211" s="227" t="n"/>
      <c r="Q4211" s="227" t="n"/>
      <c r="R4211" s="227" t="n"/>
      <c r="S4211" s="227" t="n"/>
      <c r="T4211" s="227" t="n"/>
    </row>
    <row r="4212">
      <c r="A4212" s="145">
        <f>IF($B4212="","",ROW()-5)</f>
        <v/>
      </c>
      <c r="B4212" s="127" t="n"/>
      <c r="C4212" s="223" t="n"/>
      <c r="D4212" s="127" t="n"/>
      <c r="E4212" s="227" t="n"/>
      <c r="F4212" s="227" t="n"/>
      <c r="G4212" s="227" t="n"/>
      <c r="H4212" s="227" t="n"/>
      <c r="I4212" s="227" t="n"/>
      <c r="J4212" s="227" t="n"/>
      <c r="K4212" s="227" t="n"/>
      <c r="L4212" s="227" t="n"/>
      <c r="M4212" s="227" t="n"/>
      <c r="N4212" s="127" t="n"/>
      <c r="O4212" s="227" t="n"/>
      <c r="P4212" s="227" t="n"/>
      <c r="Q4212" s="227" t="n"/>
      <c r="R4212" s="227" t="n"/>
      <c r="S4212" s="227" t="n"/>
      <c r="T4212" s="227" t="n"/>
    </row>
    <row r="4213">
      <c r="A4213" s="145">
        <f>IF($B4213="","",ROW()-5)</f>
        <v/>
      </c>
      <c r="B4213" s="127" t="n"/>
      <c r="C4213" s="223" t="n"/>
      <c r="D4213" s="127" t="n"/>
      <c r="E4213" s="227" t="n"/>
      <c r="F4213" s="227" t="n"/>
      <c r="G4213" s="227" t="n"/>
      <c r="H4213" s="227" t="n"/>
      <c r="I4213" s="227" t="n"/>
      <c r="J4213" s="227" t="n"/>
      <c r="K4213" s="227" t="n"/>
      <c r="L4213" s="227" t="n"/>
      <c r="M4213" s="227" t="n"/>
      <c r="N4213" s="127" t="n"/>
      <c r="O4213" s="227" t="n"/>
      <c r="P4213" s="227" t="n"/>
      <c r="Q4213" s="227" t="n"/>
      <c r="R4213" s="227" t="n"/>
      <c r="S4213" s="227" t="n"/>
      <c r="T4213" s="227" t="n"/>
    </row>
    <row r="4214">
      <c r="A4214" s="145">
        <f>IF($B4214="","",ROW()-5)</f>
        <v/>
      </c>
      <c r="B4214" s="127" t="n"/>
      <c r="C4214" s="223" t="n"/>
      <c r="D4214" s="127" t="n"/>
      <c r="E4214" s="227" t="n"/>
      <c r="F4214" s="227" t="n"/>
      <c r="G4214" s="227" t="n"/>
      <c r="H4214" s="227" t="n"/>
      <c r="I4214" s="227" t="n"/>
      <c r="J4214" s="227" t="n"/>
      <c r="K4214" s="227" t="n"/>
      <c r="L4214" s="227" t="n"/>
      <c r="M4214" s="227" t="n"/>
      <c r="N4214" s="127" t="n"/>
      <c r="O4214" s="227" t="n"/>
      <c r="P4214" s="227" t="n"/>
      <c r="Q4214" s="227" t="n"/>
      <c r="R4214" s="227" t="n"/>
      <c r="S4214" s="227" t="n"/>
      <c r="T4214" s="227" t="n"/>
    </row>
    <row r="4215">
      <c r="A4215" s="145">
        <f>IF($B4215="","",ROW()-5)</f>
        <v/>
      </c>
      <c r="B4215" s="127" t="n"/>
      <c r="C4215" s="223" t="n"/>
      <c r="D4215" s="127" t="n"/>
      <c r="E4215" s="227" t="n"/>
      <c r="F4215" s="227" t="n"/>
      <c r="G4215" s="227" t="n"/>
      <c r="H4215" s="227" t="n"/>
      <c r="I4215" s="227" t="n"/>
      <c r="J4215" s="227" t="n"/>
      <c r="K4215" s="227" t="n"/>
      <c r="L4215" s="227" t="n"/>
      <c r="M4215" s="227" t="n"/>
      <c r="N4215" s="127" t="n"/>
      <c r="O4215" s="227" t="n"/>
      <c r="P4215" s="227" t="n"/>
      <c r="Q4215" s="227" t="n"/>
      <c r="R4215" s="227" t="n"/>
      <c r="S4215" s="227" t="n"/>
      <c r="T4215" s="227" t="n"/>
    </row>
    <row r="4216">
      <c r="A4216" s="145">
        <f>IF($B4216="","",ROW()-5)</f>
        <v/>
      </c>
      <c r="B4216" s="127" t="n"/>
      <c r="C4216" s="223" t="n"/>
      <c r="D4216" s="127" t="n"/>
      <c r="E4216" s="227" t="n"/>
      <c r="F4216" s="227" t="n"/>
      <c r="G4216" s="227" t="n"/>
      <c r="H4216" s="227" t="n"/>
      <c r="I4216" s="227" t="n"/>
      <c r="J4216" s="227" t="n"/>
      <c r="K4216" s="227" t="n"/>
      <c r="L4216" s="227" t="n"/>
      <c r="M4216" s="227" t="n"/>
      <c r="N4216" s="127" t="n"/>
      <c r="O4216" s="227" t="n"/>
      <c r="P4216" s="227" t="n"/>
      <c r="Q4216" s="227" t="n"/>
      <c r="R4216" s="227" t="n"/>
      <c r="S4216" s="227" t="n"/>
      <c r="T4216" s="227" t="n"/>
    </row>
    <row r="4217">
      <c r="A4217" s="145">
        <f>IF($B4217="","",ROW()-5)</f>
        <v/>
      </c>
      <c r="B4217" s="127" t="n"/>
      <c r="C4217" s="223" t="n"/>
      <c r="D4217" s="127" t="n"/>
      <c r="E4217" s="227" t="n"/>
      <c r="F4217" s="227" t="n"/>
      <c r="G4217" s="227" t="n"/>
      <c r="H4217" s="227" t="n"/>
      <c r="I4217" s="227" t="n"/>
      <c r="J4217" s="227" t="n"/>
      <c r="K4217" s="227" t="n"/>
      <c r="L4217" s="227" t="n"/>
      <c r="M4217" s="227" t="n"/>
      <c r="N4217" s="127" t="n"/>
      <c r="O4217" s="227" t="n"/>
      <c r="P4217" s="227" t="n"/>
      <c r="Q4217" s="227" t="n"/>
      <c r="R4217" s="227" t="n"/>
      <c r="S4217" s="227" t="n"/>
      <c r="T4217" s="227" t="n"/>
    </row>
    <row r="4218">
      <c r="A4218" s="145">
        <f>IF($B4218="","",ROW()-5)</f>
        <v/>
      </c>
      <c r="B4218" s="127" t="n"/>
      <c r="C4218" s="223" t="n"/>
      <c r="D4218" s="127" t="n"/>
      <c r="E4218" s="227" t="n"/>
      <c r="F4218" s="227" t="n"/>
      <c r="G4218" s="227" t="n"/>
      <c r="H4218" s="227" t="n"/>
      <c r="I4218" s="227" t="n"/>
      <c r="J4218" s="227" t="n"/>
      <c r="K4218" s="227" t="n"/>
      <c r="L4218" s="227" t="n"/>
      <c r="M4218" s="227" t="n"/>
      <c r="N4218" s="127" t="n"/>
      <c r="O4218" s="227" t="n"/>
      <c r="P4218" s="227" t="n"/>
      <c r="Q4218" s="227" t="n"/>
      <c r="R4218" s="227" t="n"/>
      <c r="S4218" s="227" t="n"/>
      <c r="T4218" s="227" t="n"/>
    </row>
    <row r="4219">
      <c r="A4219" s="145">
        <f>IF($B4219="","",ROW()-5)</f>
        <v/>
      </c>
      <c r="B4219" s="127" t="n"/>
      <c r="C4219" s="223" t="n"/>
      <c r="D4219" s="127" t="n"/>
      <c r="E4219" s="227" t="n"/>
      <c r="F4219" s="227" t="n"/>
      <c r="G4219" s="227" t="n"/>
      <c r="H4219" s="227" t="n"/>
      <c r="I4219" s="227" t="n"/>
      <c r="J4219" s="227" t="n"/>
      <c r="K4219" s="227" t="n"/>
      <c r="L4219" s="227" t="n"/>
      <c r="M4219" s="227" t="n"/>
      <c r="N4219" s="127" t="n"/>
      <c r="O4219" s="227" t="n"/>
      <c r="P4219" s="227" t="n"/>
      <c r="Q4219" s="227" t="n"/>
      <c r="R4219" s="227" t="n"/>
      <c r="S4219" s="227" t="n"/>
      <c r="T4219" s="227" t="n"/>
    </row>
    <row r="4220">
      <c r="A4220" s="145">
        <f>IF($B4220="","",ROW()-5)</f>
        <v/>
      </c>
      <c r="B4220" s="127" t="n"/>
      <c r="C4220" s="223" t="n"/>
      <c r="D4220" s="127" t="n"/>
      <c r="E4220" s="227" t="n"/>
      <c r="F4220" s="227" t="n"/>
      <c r="G4220" s="227" t="n"/>
      <c r="H4220" s="227" t="n"/>
      <c r="I4220" s="227" t="n"/>
      <c r="J4220" s="227" t="n"/>
      <c r="K4220" s="227" t="n"/>
      <c r="L4220" s="227" t="n"/>
      <c r="M4220" s="227" t="n"/>
      <c r="N4220" s="127" t="n"/>
      <c r="O4220" s="227" t="n"/>
      <c r="P4220" s="227" t="n"/>
      <c r="Q4220" s="227" t="n"/>
      <c r="R4220" s="227" t="n"/>
      <c r="S4220" s="227" t="n"/>
      <c r="T4220" s="227" t="n"/>
    </row>
    <row r="4221">
      <c r="A4221" s="145">
        <f>IF($B4221="","",ROW()-5)</f>
        <v/>
      </c>
      <c r="B4221" s="127" t="n"/>
      <c r="C4221" s="223" t="n"/>
      <c r="D4221" s="127" t="n"/>
      <c r="E4221" s="227" t="n"/>
      <c r="F4221" s="227" t="n"/>
      <c r="G4221" s="227" t="n"/>
      <c r="H4221" s="227" t="n"/>
      <c r="I4221" s="227" t="n"/>
      <c r="J4221" s="227" t="n"/>
      <c r="K4221" s="227" t="n"/>
      <c r="L4221" s="227" t="n"/>
      <c r="M4221" s="227" t="n"/>
      <c r="N4221" s="127" t="n"/>
      <c r="O4221" s="227" t="n"/>
      <c r="P4221" s="227" t="n"/>
      <c r="Q4221" s="227" t="n"/>
      <c r="R4221" s="227" t="n"/>
      <c r="S4221" s="227" t="n"/>
      <c r="T4221" s="227" t="n"/>
    </row>
    <row r="4222">
      <c r="A4222" s="145">
        <f>IF($B4222="","",ROW()-5)</f>
        <v/>
      </c>
      <c r="B4222" s="127" t="n"/>
      <c r="C4222" s="223" t="n"/>
      <c r="D4222" s="127" t="n"/>
      <c r="E4222" s="227" t="n"/>
      <c r="F4222" s="227" t="n"/>
      <c r="G4222" s="227" t="n"/>
      <c r="H4222" s="227" t="n"/>
      <c r="I4222" s="227" t="n"/>
      <c r="J4222" s="227" t="n"/>
      <c r="K4222" s="227" t="n"/>
      <c r="L4222" s="227" t="n"/>
      <c r="M4222" s="227" t="n"/>
      <c r="N4222" s="127" t="n"/>
      <c r="O4222" s="227" t="n"/>
      <c r="P4222" s="227" t="n"/>
      <c r="Q4222" s="227" t="n"/>
      <c r="R4222" s="227" t="n"/>
      <c r="S4222" s="227" t="n"/>
      <c r="T4222" s="227" t="n"/>
    </row>
    <row r="4223">
      <c r="A4223" s="145">
        <f>IF($B4223="","",ROW()-5)</f>
        <v/>
      </c>
      <c r="B4223" s="127" t="n"/>
      <c r="C4223" s="223" t="n"/>
      <c r="D4223" s="127" t="n"/>
      <c r="E4223" s="227" t="n"/>
      <c r="F4223" s="227" t="n"/>
      <c r="G4223" s="227" t="n"/>
      <c r="H4223" s="227" t="n"/>
      <c r="I4223" s="227" t="n"/>
      <c r="J4223" s="227" t="n"/>
      <c r="K4223" s="227" t="n"/>
      <c r="L4223" s="227" t="n"/>
      <c r="M4223" s="227" t="n"/>
      <c r="N4223" s="127" t="n"/>
      <c r="O4223" s="227" t="n"/>
      <c r="P4223" s="227" t="n"/>
      <c r="Q4223" s="227" t="n"/>
      <c r="R4223" s="227" t="n"/>
      <c r="S4223" s="227" t="n"/>
      <c r="T4223" s="227" t="n"/>
    </row>
    <row r="4224">
      <c r="A4224" s="145">
        <f>IF($B4224="","",ROW()-5)</f>
        <v/>
      </c>
      <c r="B4224" s="127" t="n"/>
      <c r="C4224" s="223" t="n"/>
      <c r="D4224" s="127" t="n"/>
      <c r="E4224" s="227" t="n"/>
      <c r="F4224" s="227" t="n"/>
      <c r="G4224" s="227" t="n"/>
      <c r="H4224" s="227" t="n"/>
      <c r="I4224" s="227" t="n"/>
      <c r="J4224" s="227" t="n"/>
      <c r="K4224" s="227" t="n"/>
      <c r="L4224" s="227" t="n"/>
      <c r="M4224" s="227" t="n"/>
      <c r="N4224" s="127" t="n"/>
      <c r="O4224" s="227" t="n"/>
      <c r="P4224" s="227" t="n"/>
      <c r="Q4224" s="227" t="n"/>
      <c r="R4224" s="227" t="n"/>
      <c r="S4224" s="227" t="n"/>
      <c r="T4224" s="227" t="n"/>
    </row>
    <row r="4225">
      <c r="A4225" s="145">
        <f>IF($B4225="","",ROW()-5)</f>
        <v/>
      </c>
      <c r="B4225" s="127" t="n"/>
      <c r="C4225" s="223" t="n"/>
      <c r="D4225" s="127" t="n"/>
      <c r="E4225" s="227" t="n"/>
      <c r="F4225" s="227" t="n"/>
      <c r="G4225" s="227" t="n"/>
      <c r="H4225" s="227" t="n"/>
      <c r="I4225" s="227" t="n"/>
      <c r="J4225" s="227" t="n"/>
      <c r="K4225" s="227" t="n"/>
      <c r="L4225" s="227" t="n"/>
      <c r="M4225" s="227" t="n"/>
      <c r="N4225" s="127" t="n"/>
      <c r="O4225" s="227" t="n"/>
      <c r="P4225" s="227" t="n"/>
      <c r="Q4225" s="227" t="n"/>
      <c r="R4225" s="227" t="n"/>
      <c r="S4225" s="227" t="n"/>
      <c r="T4225" s="227" t="n"/>
    </row>
    <row r="4226">
      <c r="A4226" s="145">
        <f>IF($B4226="","",ROW()-5)</f>
        <v/>
      </c>
      <c r="B4226" s="127" t="n"/>
      <c r="C4226" s="223" t="n"/>
      <c r="D4226" s="127" t="n"/>
      <c r="E4226" s="227" t="n"/>
      <c r="F4226" s="227" t="n"/>
      <c r="G4226" s="227" t="n"/>
      <c r="H4226" s="227" t="n"/>
      <c r="I4226" s="227" t="n"/>
      <c r="J4226" s="227" t="n"/>
      <c r="K4226" s="227" t="n"/>
      <c r="L4226" s="227" t="n"/>
      <c r="M4226" s="227" t="n"/>
      <c r="N4226" s="127" t="n"/>
      <c r="O4226" s="227" t="n"/>
      <c r="P4226" s="227" t="n"/>
      <c r="Q4226" s="227" t="n"/>
      <c r="R4226" s="227" t="n"/>
      <c r="S4226" s="227" t="n"/>
      <c r="T4226" s="227" t="n"/>
    </row>
    <row r="4227">
      <c r="A4227" s="145">
        <f>IF($B4227="","",ROW()-5)</f>
        <v/>
      </c>
      <c r="B4227" s="127" t="n"/>
      <c r="C4227" s="223" t="n"/>
      <c r="D4227" s="127" t="n"/>
      <c r="E4227" s="227" t="n"/>
      <c r="F4227" s="227" t="n"/>
      <c r="G4227" s="227" t="n"/>
      <c r="H4227" s="227" t="n"/>
      <c r="I4227" s="227" t="n"/>
      <c r="J4227" s="227" t="n"/>
      <c r="K4227" s="227" t="n"/>
      <c r="L4227" s="227" t="n"/>
      <c r="M4227" s="227" t="n"/>
      <c r="N4227" s="127" t="n"/>
      <c r="O4227" s="227" t="n"/>
      <c r="P4227" s="227" t="n"/>
      <c r="Q4227" s="227" t="n"/>
      <c r="R4227" s="227" t="n"/>
      <c r="S4227" s="227" t="n"/>
      <c r="T4227" s="227" t="n"/>
    </row>
    <row r="4228">
      <c r="A4228" s="145">
        <f>IF($B4228="","",ROW()-5)</f>
        <v/>
      </c>
      <c r="B4228" s="127" t="n"/>
      <c r="C4228" s="223" t="n"/>
      <c r="D4228" s="127" t="n"/>
      <c r="E4228" s="227" t="n"/>
      <c r="F4228" s="227" t="n"/>
      <c r="G4228" s="227" t="n"/>
      <c r="H4228" s="227" t="n"/>
      <c r="I4228" s="227" t="n"/>
      <c r="J4228" s="227" t="n"/>
      <c r="K4228" s="227" t="n"/>
      <c r="L4228" s="227" t="n"/>
      <c r="M4228" s="227" t="n"/>
      <c r="N4228" s="127" t="n"/>
      <c r="O4228" s="227" t="n"/>
      <c r="P4228" s="227" t="n"/>
      <c r="Q4228" s="227" t="n"/>
      <c r="R4228" s="227" t="n"/>
      <c r="S4228" s="227" t="n"/>
      <c r="T4228" s="227" t="n"/>
    </row>
    <row r="4229">
      <c r="A4229" s="145">
        <f>IF($B4229="","",ROW()-5)</f>
        <v/>
      </c>
      <c r="B4229" s="127" t="n"/>
      <c r="C4229" s="223" t="n"/>
      <c r="D4229" s="127" t="n"/>
      <c r="E4229" s="227" t="n"/>
      <c r="F4229" s="227" t="n"/>
      <c r="G4229" s="227" t="n"/>
      <c r="H4229" s="227" t="n"/>
      <c r="I4229" s="227" t="n"/>
      <c r="J4229" s="227" t="n"/>
      <c r="K4229" s="227" t="n"/>
      <c r="L4229" s="227" t="n"/>
      <c r="M4229" s="227" t="n"/>
      <c r="N4229" s="127" t="n"/>
      <c r="O4229" s="227" t="n"/>
      <c r="P4229" s="227" t="n"/>
      <c r="Q4229" s="227" t="n"/>
      <c r="R4229" s="227" t="n"/>
      <c r="S4229" s="227" t="n"/>
      <c r="T4229" s="227" t="n"/>
    </row>
    <row r="4230">
      <c r="A4230" s="145">
        <f>IF($B4230="","",ROW()-5)</f>
        <v/>
      </c>
      <c r="B4230" s="127" t="n"/>
      <c r="C4230" s="223" t="n"/>
      <c r="D4230" s="127" t="n"/>
      <c r="E4230" s="227" t="n"/>
      <c r="F4230" s="227" t="n"/>
      <c r="G4230" s="227" t="n"/>
      <c r="H4230" s="227" t="n"/>
      <c r="I4230" s="227" t="n"/>
      <c r="J4230" s="227" t="n"/>
      <c r="K4230" s="227" t="n"/>
      <c r="L4230" s="227" t="n"/>
      <c r="M4230" s="227" t="n"/>
      <c r="N4230" s="127" t="n"/>
      <c r="O4230" s="227" t="n"/>
      <c r="P4230" s="227" t="n"/>
      <c r="Q4230" s="227" t="n"/>
      <c r="R4230" s="227" t="n"/>
      <c r="S4230" s="227" t="n"/>
      <c r="T4230" s="227" t="n"/>
    </row>
    <row r="4231">
      <c r="A4231" s="145">
        <f>IF($B4231="","",ROW()-5)</f>
        <v/>
      </c>
      <c r="B4231" s="127" t="n"/>
      <c r="C4231" s="223" t="n"/>
      <c r="D4231" s="127" t="n"/>
      <c r="E4231" s="227" t="n"/>
      <c r="F4231" s="227" t="n"/>
      <c r="G4231" s="227" t="n"/>
      <c r="H4231" s="227" t="n"/>
      <c r="I4231" s="227" t="n"/>
      <c r="J4231" s="227" t="n"/>
      <c r="K4231" s="227" t="n"/>
      <c r="L4231" s="227" t="n"/>
      <c r="M4231" s="227" t="n"/>
      <c r="N4231" s="127" t="n"/>
      <c r="O4231" s="227" t="n"/>
      <c r="P4231" s="227" t="n"/>
      <c r="Q4231" s="227" t="n"/>
      <c r="R4231" s="227" t="n"/>
      <c r="S4231" s="227" t="n"/>
      <c r="T4231" s="227" t="n"/>
    </row>
    <row r="4232">
      <c r="A4232" s="145">
        <f>IF($B4232="","",ROW()-5)</f>
        <v/>
      </c>
      <c r="B4232" s="127" t="n"/>
      <c r="C4232" s="223" t="n"/>
      <c r="D4232" s="127" t="n"/>
      <c r="E4232" s="227" t="n"/>
      <c r="F4232" s="227" t="n"/>
      <c r="G4232" s="227" t="n"/>
      <c r="H4232" s="227" t="n"/>
      <c r="I4232" s="227" t="n"/>
      <c r="J4232" s="227" t="n"/>
      <c r="K4232" s="227" t="n"/>
      <c r="L4232" s="227" t="n"/>
      <c r="M4232" s="227" t="n"/>
      <c r="N4232" s="127" t="n"/>
      <c r="O4232" s="227" t="n"/>
      <c r="P4232" s="227" t="n"/>
      <c r="Q4232" s="227" t="n"/>
      <c r="R4232" s="227" t="n"/>
      <c r="S4232" s="227" t="n"/>
      <c r="T4232" s="227" t="n"/>
    </row>
    <row r="4233">
      <c r="A4233" s="145">
        <f>IF($B4233="","",ROW()-5)</f>
        <v/>
      </c>
      <c r="B4233" s="127" t="n"/>
      <c r="C4233" s="223" t="n"/>
      <c r="D4233" s="127" t="n"/>
      <c r="E4233" s="227" t="n"/>
      <c r="F4233" s="227" t="n"/>
      <c r="G4233" s="227" t="n"/>
      <c r="H4233" s="227" t="n"/>
      <c r="I4233" s="227" t="n"/>
      <c r="J4233" s="227" t="n"/>
      <c r="K4233" s="227" t="n"/>
      <c r="L4233" s="227" t="n"/>
      <c r="M4233" s="227" t="n"/>
      <c r="N4233" s="127" t="n"/>
      <c r="O4233" s="227" t="n"/>
      <c r="P4233" s="227" t="n"/>
      <c r="Q4233" s="227" t="n"/>
      <c r="R4233" s="227" t="n"/>
      <c r="S4233" s="227" t="n"/>
      <c r="T4233" s="227" t="n"/>
    </row>
    <row r="4234">
      <c r="A4234" s="145">
        <f>IF($B4234="","",ROW()-5)</f>
        <v/>
      </c>
      <c r="B4234" s="127" t="n"/>
      <c r="C4234" s="223" t="n"/>
      <c r="D4234" s="127" t="n"/>
      <c r="E4234" s="227" t="n"/>
      <c r="F4234" s="227" t="n"/>
      <c r="G4234" s="227" t="n"/>
      <c r="H4234" s="227" t="n"/>
      <c r="I4234" s="227" t="n"/>
      <c r="J4234" s="227" t="n"/>
      <c r="K4234" s="227" t="n"/>
      <c r="L4234" s="227" t="n"/>
      <c r="M4234" s="227" t="n"/>
      <c r="N4234" s="127" t="n"/>
      <c r="O4234" s="227" t="n"/>
      <c r="P4234" s="227" t="n"/>
      <c r="Q4234" s="227" t="n"/>
      <c r="R4234" s="227" t="n"/>
      <c r="S4234" s="227" t="n"/>
      <c r="T4234" s="227" t="n"/>
    </row>
    <row r="4235">
      <c r="A4235" s="145">
        <f>IF($B4235="","",ROW()-5)</f>
        <v/>
      </c>
      <c r="B4235" s="127" t="n"/>
      <c r="C4235" s="223" t="n"/>
      <c r="D4235" s="127" t="n"/>
      <c r="E4235" s="227" t="n"/>
      <c r="F4235" s="227" t="n"/>
      <c r="G4235" s="227" t="n"/>
      <c r="H4235" s="227" t="n"/>
      <c r="I4235" s="227" t="n"/>
      <c r="J4235" s="227" t="n"/>
      <c r="K4235" s="227" t="n"/>
      <c r="L4235" s="227" t="n"/>
      <c r="M4235" s="227" t="n"/>
      <c r="N4235" s="127" t="n"/>
      <c r="O4235" s="227" t="n"/>
      <c r="P4235" s="227" t="n"/>
      <c r="Q4235" s="227" t="n"/>
      <c r="R4235" s="227" t="n"/>
      <c r="S4235" s="227" t="n"/>
      <c r="T4235" s="227" t="n"/>
    </row>
    <row r="4236">
      <c r="A4236" s="145">
        <f>IF($B4236="","",ROW()-5)</f>
        <v/>
      </c>
      <c r="B4236" s="127" t="n"/>
      <c r="C4236" s="223" t="n"/>
      <c r="D4236" s="127" t="n"/>
      <c r="E4236" s="227" t="n"/>
      <c r="F4236" s="227" t="n"/>
      <c r="G4236" s="227" t="n"/>
      <c r="H4236" s="227" t="n"/>
      <c r="I4236" s="227" t="n"/>
      <c r="J4236" s="227" t="n"/>
      <c r="K4236" s="227" t="n"/>
      <c r="L4236" s="227" t="n"/>
      <c r="M4236" s="227" t="n"/>
      <c r="N4236" s="127" t="n"/>
      <c r="O4236" s="227" t="n"/>
      <c r="P4236" s="227" t="n"/>
      <c r="Q4236" s="227" t="n"/>
      <c r="R4236" s="227" t="n"/>
      <c r="S4236" s="227" t="n"/>
      <c r="T4236" s="227" t="n"/>
    </row>
    <row r="4237">
      <c r="A4237" s="145">
        <f>IF($B4237="","",ROW()-5)</f>
        <v/>
      </c>
      <c r="B4237" s="127" t="n"/>
      <c r="C4237" s="223" t="n"/>
      <c r="D4237" s="127" t="n"/>
      <c r="E4237" s="227" t="n"/>
      <c r="F4237" s="227" t="n"/>
      <c r="G4237" s="227" t="n"/>
      <c r="H4237" s="227" t="n"/>
      <c r="I4237" s="227" t="n"/>
      <c r="J4237" s="227" t="n"/>
      <c r="K4237" s="227" t="n"/>
      <c r="L4237" s="227" t="n"/>
      <c r="M4237" s="227" t="n"/>
      <c r="N4237" s="127" t="n"/>
      <c r="O4237" s="227" t="n"/>
      <c r="P4237" s="227" t="n"/>
      <c r="Q4237" s="227" t="n"/>
      <c r="R4237" s="227" t="n"/>
      <c r="S4237" s="227" t="n"/>
      <c r="T4237" s="227" t="n"/>
    </row>
    <row r="4238">
      <c r="A4238" s="145">
        <f>IF($B4238="","",ROW()-5)</f>
        <v/>
      </c>
      <c r="B4238" s="127" t="n"/>
      <c r="C4238" s="223" t="n"/>
      <c r="D4238" s="127" t="n"/>
      <c r="E4238" s="227" t="n"/>
      <c r="F4238" s="227" t="n"/>
      <c r="G4238" s="227" t="n"/>
      <c r="H4238" s="227" t="n"/>
      <c r="I4238" s="227" t="n"/>
      <c r="J4238" s="227" t="n"/>
      <c r="K4238" s="227" t="n"/>
      <c r="L4238" s="227" t="n"/>
      <c r="M4238" s="227" t="n"/>
      <c r="N4238" s="127" t="n"/>
      <c r="O4238" s="227" t="n"/>
      <c r="P4238" s="227" t="n"/>
      <c r="Q4238" s="227" t="n"/>
      <c r="R4238" s="227" t="n"/>
      <c r="S4238" s="227" t="n"/>
      <c r="T4238" s="227" t="n"/>
    </row>
    <row r="4239">
      <c r="A4239" s="145">
        <f>IF($B4239="","",ROW()-5)</f>
        <v/>
      </c>
      <c r="B4239" s="127" t="n"/>
      <c r="C4239" s="223" t="n"/>
      <c r="D4239" s="127" t="n"/>
      <c r="E4239" s="227" t="n"/>
      <c r="F4239" s="227" t="n"/>
      <c r="G4239" s="227" t="n"/>
      <c r="H4239" s="227" t="n"/>
      <c r="I4239" s="227" t="n"/>
      <c r="J4239" s="227" t="n"/>
      <c r="K4239" s="227" t="n"/>
      <c r="L4239" s="227" t="n"/>
      <c r="M4239" s="227" t="n"/>
      <c r="N4239" s="127" t="n"/>
      <c r="O4239" s="227" t="n"/>
      <c r="P4239" s="227" t="n"/>
      <c r="Q4239" s="227" t="n"/>
      <c r="R4239" s="227" t="n"/>
      <c r="S4239" s="227" t="n"/>
      <c r="T4239" s="227" t="n"/>
    </row>
    <row r="4240">
      <c r="A4240" s="145">
        <f>IF($B4240="","",ROW()-5)</f>
        <v/>
      </c>
      <c r="B4240" s="127" t="n"/>
      <c r="C4240" s="223" t="n"/>
      <c r="D4240" s="127" t="n"/>
      <c r="E4240" s="227" t="n"/>
      <c r="F4240" s="227" t="n"/>
      <c r="G4240" s="227" t="n"/>
      <c r="H4240" s="227" t="n"/>
      <c r="I4240" s="227" t="n"/>
      <c r="J4240" s="227" t="n"/>
      <c r="K4240" s="227" t="n"/>
      <c r="L4240" s="227" t="n"/>
      <c r="M4240" s="227" t="n"/>
      <c r="N4240" s="127" t="n"/>
      <c r="O4240" s="227" t="n"/>
      <c r="P4240" s="227" t="n"/>
      <c r="Q4240" s="227" t="n"/>
      <c r="R4240" s="227" t="n"/>
      <c r="S4240" s="227" t="n"/>
      <c r="T4240" s="227" t="n"/>
    </row>
    <row r="4241">
      <c r="A4241" s="145">
        <f>IF($B4241="","",ROW()-5)</f>
        <v/>
      </c>
      <c r="B4241" s="127" t="n"/>
      <c r="C4241" s="223" t="n"/>
      <c r="D4241" s="127" t="n"/>
      <c r="E4241" s="227" t="n"/>
      <c r="F4241" s="227" t="n"/>
      <c r="G4241" s="227" t="n"/>
      <c r="H4241" s="227" t="n"/>
      <c r="I4241" s="227" t="n"/>
      <c r="J4241" s="227" t="n"/>
      <c r="K4241" s="227" t="n"/>
      <c r="L4241" s="227" t="n"/>
      <c r="M4241" s="227" t="n"/>
      <c r="N4241" s="127" t="n"/>
      <c r="O4241" s="227" t="n"/>
      <c r="P4241" s="227" t="n"/>
      <c r="Q4241" s="227" t="n"/>
      <c r="R4241" s="227" t="n"/>
      <c r="S4241" s="227" t="n"/>
      <c r="T4241" s="227" t="n"/>
    </row>
    <row r="4242">
      <c r="A4242" s="145">
        <f>IF($B4242="","",ROW()-5)</f>
        <v/>
      </c>
      <c r="B4242" s="127" t="n"/>
      <c r="C4242" s="223" t="n"/>
      <c r="D4242" s="127" t="n"/>
      <c r="E4242" s="227" t="n"/>
      <c r="F4242" s="227" t="n"/>
      <c r="G4242" s="227" t="n"/>
      <c r="H4242" s="227" t="n"/>
      <c r="I4242" s="227" t="n"/>
      <c r="J4242" s="227" t="n"/>
      <c r="K4242" s="227" t="n"/>
      <c r="L4242" s="227" t="n"/>
      <c r="M4242" s="227" t="n"/>
      <c r="N4242" s="127" t="n"/>
      <c r="O4242" s="227" t="n"/>
      <c r="P4242" s="227" t="n"/>
      <c r="Q4242" s="227" t="n"/>
      <c r="R4242" s="227" t="n"/>
      <c r="S4242" s="227" t="n"/>
      <c r="T4242" s="227" t="n"/>
    </row>
    <row r="4243">
      <c r="A4243" s="145">
        <f>IF($B4243="","",ROW()-5)</f>
        <v/>
      </c>
      <c r="B4243" s="127" t="n"/>
      <c r="C4243" s="223" t="n"/>
      <c r="D4243" s="127" t="n"/>
      <c r="E4243" s="227" t="n"/>
      <c r="F4243" s="227" t="n"/>
      <c r="G4243" s="227" t="n"/>
      <c r="H4243" s="227" t="n"/>
      <c r="I4243" s="227" t="n"/>
      <c r="J4243" s="227" t="n"/>
      <c r="K4243" s="227" t="n"/>
      <c r="L4243" s="227" t="n"/>
      <c r="M4243" s="227" t="n"/>
      <c r="N4243" s="127" t="n"/>
      <c r="O4243" s="227" t="n"/>
      <c r="P4243" s="227" t="n"/>
      <c r="Q4243" s="227" t="n"/>
      <c r="R4243" s="227" t="n"/>
      <c r="S4243" s="227" t="n"/>
      <c r="T4243" s="227" t="n"/>
    </row>
    <row r="4244">
      <c r="A4244" s="145">
        <f>IF($B4244="","",ROW()-5)</f>
        <v/>
      </c>
      <c r="B4244" s="127" t="n"/>
      <c r="C4244" s="223" t="n"/>
      <c r="D4244" s="127" t="n"/>
      <c r="E4244" s="227" t="n"/>
      <c r="F4244" s="227" t="n"/>
      <c r="G4244" s="227" t="n"/>
      <c r="H4244" s="227" t="n"/>
      <c r="I4244" s="227" t="n"/>
      <c r="J4244" s="227" t="n"/>
      <c r="K4244" s="227" t="n"/>
      <c r="L4244" s="227" t="n"/>
      <c r="M4244" s="227" t="n"/>
      <c r="N4244" s="127" t="n"/>
      <c r="O4244" s="227" t="n"/>
      <c r="P4244" s="227" t="n"/>
      <c r="Q4244" s="227" t="n"/>
      <c r="R4244" s="227" t="n"/>
      <c r="S4244" s="227" t="n"/>
      <c r="T4244" s="227" t="n"/>
    </row>
    <row r="4245">
      <c r="A4245" s="145">
        <f>IF($B4245="","",ROW()-5)</f>
        <v/>
      </c>
      <c r="B4245" s="127" t="n"/>
      <c r="C4245" s="223" t="n"/>
      <c r="D4245" s="127" t="n"/>
      <c r="E4245" s="227" t="n"/>
      <c r="F4245" s="227" t="n"/>
      <c r="G4245" s="227" t="n"/>
      <c r="H4245" s="227" t="n"/>
      <c r="I4245" s="227" t="n"/>
      <c r="J4245" s="227" t="n"/>
      <c r="K4245" s="227" t="n"/>
      <c r="L4245" s="227" t="n"/>
      <c r="M4245" s="227" t="n"/>
      <c r="N4245" s="127" t="n"/>
      <c r="O4245" s="227" t="n"/>
      <c r="P4245" s="227" t="n"/>
      <c r="Q4245" s="227" t="n"/>
      <c r="R4245" s="227" t="n"/>
      <c r="S4245" s="227" t="n"/>
      <c r="T4245" s="227" t="n"/>
    </row>
    <row r="4246">
      <c r="A4246" s="145">
        <f>IF($B4246="","",ROW()-5)</f>
        <v/>
      </c>
      <c r="B4246" s="127" t="n"/>
      <c r="C4246" s="223" t="n"/>
      <c r="D4246" s="127" t="n"/>
      <c r="E4246" s="227" t="n"/>
      <c r="F4246" s="227" t="n"/>
      <c r="G4246" s="227" t="n"/>
      <c r="H4246" s="227" t="n"/>
      <c r="I4246" s="227" t="n"/>
      <c r="J4246" s="227" t="n"/>
      <c r="K4246" s="227" t="n"/>
      <c r="L4246" s="227" t="n"/>
      <c r="M4246" s="227" t="n"/>
      <c r="N4246" s="127" t="n"/>
      <c r="O4246" s="227" t="n"/>
      <c r="P4246" s="227" t="n"/>
      <c r="Q4246" s="227" t="n"/>
      <c r="R4246" s="227" t="n"/>
      <c r="S4246" s="227" t="n"/>
      <c r="T4246" s="227" t="n"/>
    </row>
    <row r="4247">
      <c r="A4247" s="145">
        <f>IF($B4247="","",ROW()-5)</f>
        <v/>
      </c>
      <c r="B4247" s="127" t="n"/>
      <c r="C4247" s="223" t="n"/>
      <c r="D4247" s="127" t="n"/>
      <c r="E4247" s="227" t="n"/>
      <c r="F4247" s="227" t="n"/>
      <c r="G4247" s="227" t="n"/>
      <c r="H4247" s="227" t="n"/>
      <c r="I4247" s="227" t="n"/>
      <c r="J4247" s="227" t="n"/>
      <c r="K4247" s="227" t="n"/>
      <c r="L4247" s="227" t="n"/>
      <c r="M4247" s="227" t="n"/>
      <c r="N4247" s="127" t="n"/>
      <c r="O4247" s="227" t="n"/>
      <c r="P4247" s="227" t="n"/>
      <c r="Q4247" s="227" t="n"/>
      <c r="R4247" s="227" t="n"/>
      <c r="S4247" s="227" t="n"/>
      <c r="T4247" s="227" t="n"/>
    </row>
    <row r="4248">
      <c r="A4248" s="145">
        <f>IF($B4248="","",ROW()-5)</f>
        <v/>
      </c>
      <c r="B4248" s="127" t="n"/>
      <c r="C4248" s="223" t="n"/>
      <c r="D4248" s="127" t="n"/>
      <c r="E4248" s="227" t="n"/>
      <c r="F4248" s="227" t="n"/>
      <c r="G4248" s="227" t="n"/>
      <c r="H4248" s="227" t="n"/>
      <c r="I4248" s="227" t="n"/>
      <c r="J4248" s="227" t="n"/>
      <c r="K4248" s="227" t="n"/>
      <c r="L4248" s="227" t="n"/>
      <c r="M4248" s="227" t="n"/>
      <c r="N4248" s="127" t="n"/>
      <c r="O4248" s="227" t="n"/>
      <c r="P4248" s="227" t="n"/>
      <c r="Q4248" s="227" t="n"/>
      <c r="R4248" s="227" t="n"/>
      <c r="S4248" s="227" t="n"/>
      <c r="T4248" s="227" t="n"/>
    </row>
    <row r="4249">
      <c r="A4249" s="145">
        <f>IF($B4249="","",ROW()-5)</f>
        <v/>
      </c>
      <c r="B4249" s="127" t="n"/>
      <c r="C4249" s="223" t="n"/>
      <c r="D4249" s="127" t="n"/>
      <c r="E4249" s="227" t="n"/>
      <c r="F4249" s="227" t="n"/>
      <c r="G4249" s="227" t="n"/>
      <c r="H4249" s="227" t="n"/>
      <c r="I4249" s="227" t="n"/>
      <c r="J4249" s="227" t="n"/>
      <c r="K4249" s="227" t="n"/>
      <c r="L4249" s="227" t="n"/>
      <c r="M4249" s="227" t="n"/>
      <c r="N4249" s="127" t="n"/>
      <c r="O4249" s="227" t="n"/>
      <c r="P4249" s="227" t="n"/>
      <c r="Q4249" s="227" t="n"/>
      <c r="R4249" s="227" t="n"/>
      <c r="S4249" s="227" t="n"/>
      <c r="T4249" s="227" t="n"/>
    </row>
    <row r="4250">
      <c r="A4250" s="145">
        <f>IF($B4250="","",ROW()-5)</f>
        <v/>
      </c>
      <c r="B4250" s="127" t="n"/>
      <c r="C4250" s="223" t="n"/>
      <c r="D4250" s="127" t="n"/>
      <c r="E4250" s="227" t="n"/>
      <c r="F4250" s="227" t="n"/>
      <c r="G4250" s="227" t="n"/>
      <c r="H4250" s="227" t="n"/>
      <c r="I4250" s="227" t="n"/>
      <c r="J4250" s="227" t="n"/>
      <c r="K4250" s="227" t="n"/>
      <c r="L4250" s="227" t="n"/>
      <c r="M4250" s="227" t="n"/>
      <c r="N4250" s="127" t="n"/>
      <c r="O4250" s="227" t="n"/>
      <c r="P4250" s="227" t="n"/>
      <c r="Q4250" s="227" t="n"/>
      <c r="R4250" s="227" t="n"/>
      <c r="S4250" s="227" t="n"/>
      <c r="T4250" s="227" t="n"/>
    </row>
    <row r="4251">
      <c r="A4251" s="145">
        <f>IF($B4251="","",ROW()-5)</f>
        <v/>
      </c>
      <c r="B4251" s="127" t="n"/>
      <c r="C4251" s="223" t="n"/>
      <c r="D4251" s="127" t="n"/>
      <c r="E4251" s="227" t="n"/>
      <c r="F4251" s="227" t="n"/>
      <c r="G4251" s="227" t="n"/>
      <c r="H4251" s="227" t="n"/>
      <c r="I4251" s="227" t="n"/>
      <c r="J4251" s="227" t="n"/>
      <c r="K4251" s="227" t="n"/>
      <c r="L4251" s="227" t="n"/>
      <c r="M4251" s="227" t="n"/>
      <c r="N4251" s="127" t="n"/>
      <c r="O4251" s="227" t="n"/>
      <c r="P4251" s="227" t="n"/>
      <c r="Q4251" s="227" t="n"/>
      <c r="R4251" s="227" t="n"/>
      <c r="S4251" s="227" t="n"/>
      <c r="T4251" s="227" t="n"/>
    </row>
    <row r="4252">
      <c r="A4252" s="145">
        <f>IF($B4252="","",ROW()-5)</f>
        <v/>
      </c>
      <c r="B4252" s="127" t="n"/>
      <c r="C4252" s="223" t="n"/>
      <c r="D4252" s="127" t="n"/>
      <c r="E4252" s="227" t="n"/>
      <c r="F4252" s="227" t="n"/>
      <c r="G4252" s="227" t="n"/>
      <c r="H4252" s="227" t="n"/>
      <c r="I4252" s="227" t="n"/>
      <c r="J4252" s="227" t="n"/>
      <c r="K4252" s="227" t="n"/>
      <c r="L4252" s="227" t="n"/>
      <c r="M4252" s="227" t="n"/>
      <c r="N4252" s="127" t="n"/>
      <c r="O4252" s="227" t="n"/>
      <c r="P4252" s="227" t="n"/>
      <c r="Q4252" s="227" t="n"/>
      <c r="R4252" s="227" t="n"/>
      <c r="S4252" s="227" t="n"/>
      <c r="T4252" s="227" t="n"/>
    </row>
    <row r="4253">
      <c r="A4253" s="145">
        <f>IF($B4253="","",ROW()-5)</f>
        <v/>
      </c>
      <c r="B4253" s="127" t="n"/>
      <c r="C4253" s="223" t="n"/>
      <c r="D4253" s="127" t="n"/>
      <c r="E4253" s="227" t="n"/>
      <c r="F4253" s="227" t="n"/>
      <c r="G4253" s="227" t="n"/>
      <c r="H4253" s="227" t="n"/>
      <c r="I4253" s="227" t="n"/>
      <c r="J4253" s="227" t="n"/>
      <c r="K4253" s="227" t="n"/>
      <c r="L4253" s="227" t="n"/>
      <c r="M4253" s="227" t="n"/>
      <c r="N4253" s="127" t="n"/>
      <c r="O4253" s="227" t="n"/>
      <c r="P4253" s="227" t="n"/>
      <c r="Q4253" s="227" t="n"/>
      <c r="R4253" s="227" t="n"/>
      <c r="S4253" s="227" t="n"/>
      <c r="T4253" s="227" t="n"/>
    </row>
    <row r="4254">
      <c r="A4254" s="145">
        <f>IF($B4254="","",ROW()-5)</f>
        <v/>
      </c>
      <c r="B4254" s="127" t="n"/>
      <c r="C4254" s="223" t="n"/>
      <c r="D4254" s="127" t="n"/>
      <c r="E4254" s="227" t="n"/>
      <c r="F4254" s="227" t="n"/>
      <c r="G4254" s="227" t="n"/>
      <c r="H4254" s="227" t="n"/>
      <c r="I4254" s="227" t="n"/>
      <c r="J4254" s="227" t="n"/>
      <c r="K4254" s="227" t="n"/>
      <c r="L4254" s="227" t="n"/>
      <c r="M4254" s="227" t="n"/>
      <c r="N4254" s="127" t="n"/>
      <c r="O4254" s="227" t="n"/>
      <c r="P4254" s="227" t="n"/>
      <c r="Q4254" s="227" t="n"/>
      <c r="R4254" s="227" t="n"/>
      <c r="S4254" s="227" t="n"/>
      <c r="T4254" s="227" t="n"/>
    </row>
    <row r="4255">
      <c r="A4255" s="145">
        <f>IF($B4255="","",ROW()-5)</f>
        <v/>
      </c>
      <c r="B4255" s="127" t="n"/>
      <c r="C4255" s="223" t="n"/>
      <c r="D4255" s="127" t="n"/>
      <c r="E4255" s="227" t="n"/>
      <c r="F4255" s="227" t="n"/>
      <c r="G4255" s="227" t="n"/>
      <c r="H4255" s="227" t="n"/>
      <c r="I4255" s="227" t="n"/>
      <c r="J4255" s="227" t="n"/>
      <c r="K4255" s="227" t="n"/>
      <c r="L4255" s="227" t="n"/>
      <c r="M4255" s="227" t="n"/>
      <c r="N4255" s="127" t="n"/>
      <c r="O4255" s="227" t="n"/>
      <c r="P4255" s="227" t="n"/>
      <c r="Q4255" s="227" t="n"/>
      <c r="R4255" s="227" t="n"/>
      <c r="S4255" s="227" t="n"/>
      <c r="T4255" s="227" t="n"/>
    </row>
    <row r="4256">
      <c r="A4256" s="145">
        <f>IF($B4256="","",ROW()-5)</f>
        <v/>
      </c>
      <c r="B4256" s="127" t="n"/>
      <c r="C4256" s="223" t="n"/>
      <c r="D4256" s="127" t="n"/>
      <c r="E4256" s="227" t="n"/>
      <c r="F4256" s="227" t="n"/>
      <c r="G4256" s="227" t="n"/>
      <c r="H4256" s="227" t="n"/>
      <c r="I4256" s="227" t="n"/>
      <c r="J4256" s="227" t="n"/>
      <c r="K4256" s="227" t="n"/>
      <c r="L4256" s="227" t="n"/>
      <c r="M4256" s="227" t="n"/>
      <c r="N4256" s="127" t="n"/>
      <c r="O4256" s="227" t="n"/>
      <c r="P4256" s="227" t="n"/>
      <c r="Q4256" s="227" t="n"/>
      <c r="R4256" s="227" t="n"/>
      <c r="S4256" s="227" t="n"/>
      <c r="T4256" s="227" t="n"/>
    </row>
    <row r="4257">
      <c r="A4257" s="145">
        <f>IF($B4257="","",ROW()-5)</f>
        <v/>
      </c>
      <c r="B4257" s="127" t="n"/>
      <c r="C4257" s="223" t="n"/>
      <c r="D4257" s="127" t="n"/>
      <c r="E4257" s="227" t="n"/>
      <c r="F4257" s="227" t="n"/>
      <c r="G4257" s="227" t="n"/>
      <c r="H4257" s="227" t="n"/>
      <c r="I4257" s="227" t="n"/>
      <c r="J4257" s="227" t="n"/>
      <c r="K4257" s="227" t="n"/>
      <c r="L4257" s="227" t="n"/>
      <c r="M4257" s="227" t="n"/>
      <c r="N4257" s="127" t="n"/>
      <c r="O4257" s="227" t="n"/>
      <c r="P4257" s="227" t="n"/>
      <c r="Q4257" s="227" t="n"/>
      <c r="R4257" s="227" t="n"/>
      <c r="S4257" s="227" t="n"/>
      <c r="T4257" s="227" t="n"/>
    </row>
    <row r="4258">
      <c r="A4258" s="145">
        <f>IF($B4258="","",ROW()-5)</f>
        <v/>
      </c>
      <c r="B4258" s="127" t="n"/>
      <c r="C4258" s="223" t="n"/>
      <c r="D4258" s="127" t="n"/>
      <c r="E4258" s="227" t="n"/>
      <c r="F4258" s="227" t="n"/>
      <c r="G4258" s="227" t="n"/>
      <c r="H4258" s="227" t="n"/>
      <c r="I4258" s="227" t="n"/>
      <c r="J4258" s="227" t="n"/>
      <c r="K4258" s="227" t="n"/>
      <c r="L4258" s="227" t="n"/>
      <c r="M4258" s="227" t="n"/>
      <c r="N4258" s="127" t="n"/>
      <c r="O4258" s="227" t="n"/>
      <c r="P4258" s="227" t="n"/>
      <c r="Q4258" s="227" t="n"/>
      <c r="R4258" s="227" t="n"/>
      <c r="S4258" s="227" t="n"/>
      <c r="T4258" s="227" t="n"/>
    </row>
    <row r="4259">
      <c r="A4259" s="145">
        <f>IF($B4259="","",ROW()-5)</f>
        <v/>
      </c>
      <c r="B4259" s="127" t="n"/>
      <c r="C4259" s="223" t="n"/>
      <c r="D4259" s="127" t="n"/>
      <c r="E4259" s="227" t="n"/>
      <c r="F4259" s="227" t="n"/>
      <c r="G4259" s="227" t="n"/>
      <c r="H4259" s="227" t="n"/>
      <c r="I4259" s="227" t="n"/>
      <c r="J4259" s="227" t="n"/>
      <c r="K4259" s="227" t="n"/>
      <c r="L4259" s="227" t="n"/>
      <c r="M4259" s="227" t="n"/>
      <c r="N4259" s="127" t="n"/>
      <c r="O4259" s="227" t="n"/>
      <c r="P4259" s="227" t="n"/>
      <c r="Q4259" s="227" t="n"/>
      <c r="R4259" s="227" t="n"/>
      <c r="S4259" s="227" t="n"/>
      <c r="T4259" s="227" t="n"/>
    </row>
    <row r="4260">
      <c r="A4260" s="145">
        <f>IF($B4260="","",ROW()-5)</f>
        <v/>
      </c>
      <c r="B4260" s="127" t="n"/>
      <c r="C4260" s="223" t="n"/>
      <c r="D4260" s="127" t="n"/>
      <c r="E4260" s="227" t="n"/>
      <c r="F4260" s="227" t="n"/>
      <c r="G4260" s="227" t="n"/>
      <c r="H4260" s="227" t="n"/>
      <c r="I4260" s="227" t="n"/>
      <c r="J4260" s="227" t="n"/>
      <c r="K4260" s="227" t="n"/>
      <c r="L4260" s="227" t="n"/>
      <c r="M4260" s="227" t="n"/>
      <c r="N4260" s="127" t="n"/>
      <c r="O4260" s="227" t="n"/>
      <c r="P4260" s="227" t="n"/>
      <c r="Q4260" s="227" t="n"/>
      <c r="R4260" s="227" t="n"/>
      <c r="S4260" s="227" t="n"/>
      <c r="T4260" s="227" t="n"/>
    </row>
    <row r="4261">
      <c r="A4261" s="145">
        <f>IF($B4261="","",ROW()-5)</f>
        <v/>
      </c>
      <c r="B4261" s="127" t="n"/>
      <c r="C4261" s="223" t="n"/>
      <c r="D4261" s="127" t="n"/>
      <c r="E4261" s="227" t="n"/>
      <c r="F4261" s="227" t="n"/>
      <c r="G4261" s="227" t="n"/>
      <c r="H4261" s="227" t="n"/>
      <c r="I4261" s="227" t="n"/>
      <c r="J4261" s="227" t="n"/>
      <c r="K4261" s="227" t="n"/>
      <c r="L4261" s="227" t="n"/>
      <c r="M4261" s="227" t="n"/>
      <c r="N4261" s="127" t="n"/>
      <c r="O4261" s="227" t="n"/>
      <c r="P4261" s="227" t="n"/>
      <c r="Q4261" s="227" t="n"/>
      <c r="R4261" s="227" t="n"/>
      <c r="S4261" s="227" t="n"/>
      <c r="T4261" s="227" t="n"/>
    </row>
    <row r="4262">
      <c r="A4262" s="145">
        <f>IF($B4262="","",ROW()-5)</f>
        <v/>
      </c>
      <c r="B4262" s="127" t="n"/>
      <c r="C4262" s="223" t="n"/>
      <c r="D4262" s="127" t="n"/>
      <c r="E4262" s="227" t="n"/>
      <c r="F4262" s="227" t="n"/>
      <c r="G4262" s="227" t="n"/>
      <c r="H4262" s="227" t="n"/>
      <c r="I4262" s="227" t="n"/>
      <c r="J4262" s="227" t="n"/>
      <c r="K4262" s="227" t="n"/>
      <c r="L4262" s="227" t="n"/>
      <c r="M4262" s="227" t="n"/>
      <c r="N4262" s="127" t="n"/>
      <c r="O4262" s="227" t="n"/>
      <c r="P4262" s="227" t="n"/>
      <c r="Q4262" s="227" t="n"/>
      <c r="R4262" s="227" t="n"/>
      <c r="S4262" s="227" t="n"/>
      <c r="T4262" s="227" t="n"/>
    </row>
    <row r="4263">
      <c r="A4263" s="145">
        <f>IF($B4263="","",ROW()-5)</f>
        <v/>
      </c>
      <c r="B4263" s="127" t="n"/>
      <c r="C4263" s="223" t="n"/>
      <c r="D4263" s="127" t="n"/>
      <c r="E4263" s="227" t="n"/>
      <c r="F4263" s="227" t="n"/>
      <c r="G4263" s="227" t="n"/>
      <c r="H4263" s="227" t="n"/>
      <c r="I4263" s="227" t="n"/>
      <c r="J4263" s="227" t="n"/>
      <c r="K4263" s="227" t="n"/>
      <c r="L4263" s="227" t="n"/>
      <c r="M4263" s="227" t="n"/>
      <c r="N4263" s="127" t="n"/>
      <c r="O4263" s="227" t="n"/>
      <c r="P4263" s="227" t="n"/>
      <c r="Q4263" s="227" t="n"/>
      <c r="R4263" s="227" t="n"/>
      <c r="S4263" s="227" t="n"/>
      <c r="T4263" s="227" t="n"/>
    </row>
    <row r="4264">
      <c r="A4264" s="145">
        <f>IF($B4264="","",ROW()-5)</f>
        <v/>
      </c>
      <c r="B4264" s="127" t="n"/>
      <c r="C4264" s="223" t="n"/>
      <c r="D4264" s="127" t="n"/>
      <c r="E4264" s="227" t="n"/>
      <c r="F4264" s="227" t="n"/>
      <c r="G4264" s="227" t="n"/>
      <c r="H4264" s="227" t="n"/>
      <c r="I4264" s="227" t="n"/>
      <c r="J4264" s="227" t="n"/>
      <c r="K4264" s="227" t="n"/>
      <c r="L4264" s="227" t="n"/>
      <c r="M4264" s="227" t="n"/>
      <c r="N4264" s="127" t="n"/>
      <c r="O4264" s="227" t="n"/>
      <c r="P4264" s="227" t="n"/>
      <c r="Q4264" s="227" t="n"/>
      <c r="R4264" s="227" t="n"/>
      <c r="S4264" s="227" t="n"/>
      <c r="T4264" s="227" t="n"/>
    </row>
    <row r="4265">
      <c r="A4265" s="145">
        <f>IF($B4265="","",ROW()-5)</f>
        <v/>
      </c>
      <c r="B4265" s="127" t="n"/>
      <c r="C4265" s="223" t="n"/>
      <c r="D4265" s="127" t="n"/>
      <c r="E4265" s="227" t="n"/>
      <c r="F4265" s="227" t="n"/>
      <c r="G4265" s="227" t="n"/>
      <c r="H4265" s="227" t="n"/>
      <c r="I4265" s="227" t="n"/>
      <c r="J4265" s="227" t="n"/>
      <c r="K4265" s="227" t="n"/>
      <c r="L4265" s="227" t="n"/>
      <c r="M4265" s="227" t="n"/>
      <c r="N4265" s="127" t="n"/>
      <c r="O4265" s="227" t="n"/>
      <c r="P4265" s="227" t="n"/>
      <c r="Q4265" s="227" t="n"/>
      <c r="R4265" s="227" t="n"/>
      <c r="S4265" s="227" t="n"/>
      <c r="T4265" s="227" t="n"/>
    </row>
    <row r="4266">
      <c r="A4266" s="145">
        <f>IF($B4266="","",ROW()-5)</f>
        <v/>
      </c>
      <c r="B4266" s="127" t="n"/>
      <c r="C4266" s="223" t="n"/>
      <c r="D4266" s="127" t="n"/>
      <c r="E4266" s="227" t="n"/>
      <c r="F4266" s="227" t="n"/>
      <c r="G4266" s="227" t="n"/>
      <c r="H4266" s="227" t="n"/>
      <c r="I4266" s="227" t="n"/>
      <c r="J4266" s="227" t="n"/>
      <c r="K4266" s="227" t="n"/>
      <c r="L4266" s="227" t="n"/>
      <c r="M4266" s="227" t="n"/>
      <c r="N4266" s="127" t="n"/>
      <c r="O4266" s="227" t="n"/>
      <c r="P4266" s="227" t="n"/>
      <c r="Q4266" s="227" t="n"/>
      <c r="R4266" s="227" t="n"/>
      <c r="S4266" s="227" t="n"/>
      <c r="T4266" s="227" t="n"/>
    </row>
    <row r="4267">
      <c r="A4267" s="145">
        <f>IF($B4267="","",ROW()-5)</f>
        <v/>
      </c>
      <c r="B4267" s="127" t="n"/>
      <c r="C4267" s="223" t="n"/>
      <c r="D4267" s="127" t="n"/>
      <c r="E4267" s="227" t="n"/>
      <c r="F4267" s="227" t="n"/>
      <c r="G4267" s="227" t="n"/>
      <c r="H4267" s="227" t="n"/>
      <c r="I4267" s="227" t="n"/>
      <c r="J4267" s="227" t="n"/>
      <c r="K4267" s="227" t="n"/>
      <c r="L4267" s="227" t="n"/>
      <c r="M4267" s="227" t="n"/>
      <c r="N4267" s="127" t="n"/>
      <c r="O4267" s="227" t="n"/>
      <c r="P4267" s="227" t="n"/>
      <c r="Q4267" s="227" t="n"/>
      <c r="R4267" s="227" t="n"/>
      <c r="S4267" s="227" t="n"/>
      <c r="T4267" s="227" t="n"/>
    </row>
    <row r="4268">
      <c r="A4268" s="145">
        <f>IF($B4268="","",ROW()-5)</f>
        <v/>
      </c>
      <c r="B4268" s="127" t="n"/>
      <c r="C4268" s="223" t="n"/>
      <c r="D4268" s="127" t="n"/>
      <c r="E4268" s="227" t="n"/>
      <c r="F4268" s="227" t="n"/>
      <c r="G4268" s="227" t="n"/>
      <c r="H4268" s="227" t="n"/>
      <c r="I4268" s="227" t="n"/>
      <c r="J4268" s="227" t="n"/>
      <c r="K4268" s="227" t="n"/>
      <c r="L4268" s="227" t="n"/>
      <c r="M4268" s="227" t="n"/>
      <c r="N4268" s="127" t="n"/>
      <c r="O4268" s="227" t="n"/>
      <c r="P4268" s="227" t="n"/>
      <c r="Q4268" s="227" t="n"/>
      <c r="R4268" s="227" t="n"/>
      <c r="S4268" s="227" t="n"/>
      <c r="T4268" s="227" t="n"/>
    </row>
    <row r="4269">
      <c r="A4269" s="145">
        <f>IF($B4269="","",ROW()-5)</f>
        <v/>
      </c>
      <c r="B4269" s="127" t="n"/>
      <c r="C4269" s="223" t="n"/>
      <c r="D4269" s="127" t="n"/>
      <c r="E4269" s="227" t="n"/>
      <c r="F4269" s="227" t="n"/>
      <c r="G4269" s="227" t="n"/>
      <c r="H4269" s="227" t="n"/>
      <c r="I4269" s="227" t="n"/>
      <c r="J4269" s="227" t="n"/>
      <c r="K4269" s="227" t="n"/>
      <c r="L4269" s="227" t="n"/>
      <c r="M4269" s="227" t="n"/>
      <c r="N4269" s="127" t="n"/>
      <c r="O4269" s="227" t="n"/>
      <c r="P4269" s="227" t="n"/>
      <c r="Q4269" s="227" t="n"/>
      <c r="R4269" s="227" t="n"/>
      <c r="S4269" s="227" t="n"/>
      <c r="T4269" s="227" t="n"/>
    </row>
    <row r="4270">
      <c r="A4270" s="145">
        <f>IF($B4270="","",ROW()-5)</f>
        <v/>
      </c>
      <c r="B4270" s="127" t="n"/>
      <c r="C4270" s="223" t="n"/>
      <c r="D4270" s="127" t="n"/>
      <c r="E4270" s="227" t="n"/>
      <c r="F4270" s="227" t="n"/>
      <c r="G4270" s="227" t="n"/>
      <c r="H4270" s="227" t="n"/>
      <c r="I4270" s="227" t="n"/>
      <c r="J4270" s="227" t="n"/>
      <c r="K4270" s="227" t="n"/>
      <c r="L4270" s="227" t="n"/>
      <c r="M4270" s="227" t="n"/>
      <c r="N4270" s="127" t="n"/>
      <c r="O4270" s="227" t="n"/>
      <c r="P4270" s="227" t="n"/>
      <c r="Q4270" s="227" t="n"/>
      <c r="R4270" s="227" t="n"/>
      <c r="S4270" s="227" t="n"/>
      <c r="T4270" s="227" t="n"/>
    </row>
    <row r="4271">
      <c r="A4271" s="145">
        <f>IF($B4271="","",ROW()-5)</f>
        <v/>
      </c>
      <c r="B4271" s="127" t="n"/>
      <c r="C4271" s="223" t="n"/>
      <c r="D4271" s="127" t="n"/>
      <c r="E4271" s="227" t="n"/>
      <c r="F4271" s="227" t="n"/>
      <c r="G4271" s="227" t="n"/>
      <c r="H4271" s="227" t="n"/>
      <c r="I4271" s="227" t="n"/>
      <c r="J4271" s="227" t="n"/>
      <c r="K4271" s="227" t="n"/>
      <c r="L4271" s="227" t="n"/>
      <c r="M4271" s="227" t="n"/>
      <c r="N4271" s="127" t="n"/>
      <c r="O4271" s="227" t="n"/>
      <c r="P4271" s="227" t="n"/>
      <c r="Q4271" s="227" t="n"/>
      <c r="R4271" s="227" t="n"/>
      <c r="S4271" s="227" t="n"/>
      <c r="T4271" s="227" t="n"/>
    </row>
    <row r="4272">
      <c r="A4272" s="145">
        <f>IF($B4272="","",ROW()-5)</f>
        <v/>
      </c>
      <c r="B4272" s="127" t="n"/>
      <c r="C4272" s="223" t="n"/>
      <c r="D4272" s="127" t="n"/>
      <c r="E4272" s="227" t="n"/>
      <c r="F4272" s="227" t="n"/>
      <c r="G4272" s="227" t="n"/>
      <c r="H4272" s="227" t="n"/>
      <c r="I4272" s="227" t="n"/>
      <c r="J4272" s="227" t="n"/>
      <c r="K4272" s="227" t="n"/>
      <c r="L4272" s="227" t="n"/>
      <c r="M4272" s="227" t="n"/>
      <c r="N4272" s="127" t="n"/>
      <c r="O4272" s="227" t="n"/>
      <c r="P4272" s="227" t="n"/>
      <c r="Q4272" s="227" t="n"/>
      <c r="R4272" s="227" t="n"/>
      <c r="S4272" s="227" t="n"/>
      <c r="T4272" s="227" t="n"/>
    </row>
    <row r="4273">
      <c r="A4273" s="145">
        <f>IF($B4273="","",ROW()-5)</f>
        <v/>
      </c>
      <c r="B4273" s="127" t="n"/>
      <c r="C4273" s="223" t="n"/>
      <c r="D4273" s="127" t="n"/>
      <c r="E4273" s="227" t="n"/>
      <c r="F4273" s="227" t="n"/>
      <c r="G4273" s="227" t="n"/>
      <c r="H4273" s="227" t="n"/>
      <c r="I4273" s="227" t="n"/>
      <c r="J4273" s="227" t="n"/>
      <c r="K4273" s="227" t="n"/>
      <c r="L4273" s="227" t="n"/>
      <c r="M4273" s="227" t="n"/>
      <c r="N4273" s="127" t="n"/>
      <c r="O4273" s="227" t="n"/>
      <c r="P4273" s="227" t="n"/>
      <c r="Q4273" s="227" t="n"/>
      <c r="R4273" s="227" t="n"/>
      <c r="S4273" s="227" t="n"/>
      <c r="T4273" s="227" t="n"/>
    </row>
    <row r="4274">
      <c r="A4274" s="145">
        <f>IF($B4274="","",ROW()-5)</f>
        <v/>
      </c>
      <c r="B4274" s="127" t="n"/>
      <c r="C4274" s="223" t="n"/>
      <c r="D4274" s="127" t="n"/>
      <c r="E4274" s="227" t="n"/>
      <c r="F4274" s="227" t="n"/>
      <c r="G4274" s="227" t="n"/>
      <c r="H4274" s="227" t="n"/>
      <c r="I4274" s="227" t="n"/>
      <c r="J4274" s="227" t="n"/>
      <c r="K4274" s="227" t="n"/>
      <c r="L4274" s="227" t="n"/>
      <c r="M4274" s="227" t="n"/>
      <c r="N4274" s="127" t="n"/>
      <c r="O4274" s="227" t="n"/>
      <c r="P4274" s="227" t="n"/>
      <c r="Q4274" s="227" t="n"/>
      <c r="R4274" s="227" t="n"/>
      <c r="S4274" s="227" t="n"/>
      <c r="T4274" s="227" t="n"/>
    </row>
    <row r="4275">
      <c r="A4275" s="145">
        <f>IF($B4275="","",ROW()-5)</f>
        <v/>
      </c>
      <c r="B4275" s="127" t="n"/>
      <c r="C4275" s="223" t="n"/>
      <c r="D4275" s="127" t="n"/>
      <c r="E4275" s="227" t="n"/>
      <c r="F4275" s="227" t="n"/>
      <c r="G4275" s="227" t="n"/>
      <c r="H4275" s="227" t="n"/>
      <c r="I4275" s="227" t="n"/>
      <c r="J4275" s="227" t="n"/>
      <c r="K4275" s="227" t="n"/>
      <c r="L4275" s="227" t="n"/>
      <c r="M4275" s="227" t="n"/>
      <c r="N4275" s="127" t="n"/>
      <c r="O4275" s="227" t="n"/>
      <c r="P4275" s="227" t="n"/>
      <c r="Q4275" s="227" t="n"/>
      <c r="R4275" s="227" t="n"/>
      <c r="S4275" s="227" t="n"/>
      <c r="T4275" s="227" t="n"/>
    </row>
    <row r="4276">
      <c r="A4276" s="145">
        <f>IF($B4276="","",ROW()-5)</f>
        <v/>
      </c>
      <c r="B4276" s="127" t="n"/>
      <c r="C4276" s="223" t="n"/>
      <c r="D4276" s="127" t="n"/>
      <c r="E4276" s="227" t="n"/>
      <c r="F4276" s="227" t="n"/>
      <c r="G4276" s="227" t="n"/>
      <c r="H4276" s="227" t="n"/>
      <c r="I4276" s="227" t="n"/>
      <c r="J4276" s="227" t="n"/>
      <c r="K4276" s="227" t="n"/>
      <c r="L4276" s="227" t="n"/>
      <c r="M4276" s="227" t="n"/>
      <c r="N4276" s="127" t="n"/>
      <c r="O4276" s="227" t="n"/>
      <c r="P4276" s="227" t="n"/>
      <c r="Q4276" s="227" t="n"/>
      <c r="R4276" s="227" t="n"/>
      <c r="S4276" s="227" t="n"/>
      <c r="T4276" s="227" t="n"/>
    </row>
    <row r="4277">
      <c r="A4277" s="145">
        <f>IF($B4277="","",ROW()-5)</f>
        <v/>
      </c>
      <c r="B4277" s="127" t="n"/>
      <c r="C4277" s="223" t="n"/>
      <c r="D4277" s="127" t="n"/>
      <c r="E4277" s="227" t="n"/>
      <c r="F4277" s="227" t="n"/>
      <c r="G4277" s="227" t="n"/>
      <c r="H4277" s="227" t="n"/>
      <c r="I4277" s="227" t="n"/>
      <c r="J4277" s="227" t="n"/>
      <c r="K4277" s="227" t="n"/>
      <c r="L4277" s="227" t="n"/>
      <c r="M4277" s="227" t="n"/>
      <c r="N4277" s="127" t="n"/>
      <c r="O4277" s="227" t="n"/>
      <c r="P4277" s="227" t="n"/>
      <c r="Q4277" s="227" t="n"/>
      <c r="R4277" s="227" t="n"/>
      <c r="S4277" s="227" t="n"/>
      <c r="T4277" s="227" t="n"/>
    </row>
    <row r="4278">
      <c r="A4278" s="145">
        <f>IF($B4278="","",ROW()-5)</f>
        <v/>
      </c>
      <c r="B4278" s="127" t="n"/>
      <c r="C4278" s="223" t="n"/>
      <c r="D4278" s="127" t="n"/>
      <c r="E4278" s="227" t="n"/>
      <c r="F4278" s="227" t="n"/>
      <c r="G4278" s="227" t="n"/>
      <c r="H4278" s="227" t="n"/>
      <c r="I4278" s="227" t="n"/>
      <c r="J4278" s="227" t="n"/>
      <c r="K4278" s="227" t="n"/>
      <c r="L4278" s="227" t="n"/>
      <c r="M4278" s="227" t="n"/>
      <c r="N4278" s="127" t="n"/>
      <c r="O4278" s="227" t="n"/>
      <c r="P4278" s="227" t="n"/>
      <c r="Q4278" s="227" t="n"/>
      <c r="R4278" s="227" t="n"/>
      <c r="S4278" s="227" t="n"/>
      <c r="T4278" s="227" t="n"/>
    </row>
    <row r="4279">
      <c r="A4279" s="145">
        <f>IF($B4279="","",ROW()-5)</f>
        <v/>
      </c>
      <c r="B4279" s="127" t="n"/>
      <c r="C4279" s="223" t="n"/>
      <c r="D4279" s="127" t="n"/>
      <c r="E4279" s="227" t="n"/>
      <c r="F4279" s="227" t="n"/>
      <c r="G4279" s="227" t="n"/>
      <c r="H4279" s="227" t="n"/>
      <c r="I4279" s="227" t="n"/>
      <c r="J4279" s="227" t="n"/>
      <c r="K4279" s="227" t="n"/>
      <c r="L4279" s="227" t="n"/>
      <c r="M4279" s="227" t="n"/>
      <c r="N4279" s="127" t="n"/>
      <c r="O4279" s="227" t="n"/>
      <c r="P4279" s="227" t="n"/>
      <c r="Q4279" s="227" t="n"/>
      <c r="R4279" s="227" t="n"/>
      <c r="S4279" s="227" t="n"/>
      <c r="T4279" s="227" t="n"/>
    </row>
    <row r="4280">
      <c r="A4280" s="145">
        <f>IF($B4280="","",ROW()-5)</f>
        <v/>
      </c>
      <c r="B4280" s="127" t="n"/>
      <c r="C4280" s="223" t="n"/>
      <c r="D4280" s="127" t="n"/>
      <c r="E4280" s="227" t="n"/>
      <c r="F4280" s="227" t="n"/>
      <c r="G4280" s="227" t="n"/>
      <c r="H4280" s="227" t="n"/>
      <c r="I4280" s="227" t="n"/>
      <c r="J4280" s="227" t="n"/>
      <c r="K4280" s="227" t="n"/>
      <c r="L4280" s="227" t="n"/>
      <c r="M4280" s="227" t="n"/>
      <c r="N4280" s="127" t="n"/>
      <c r="O4280" s="227" t="n"/>
      <c r="P4280" s="227" t="n"/>
      <c r="Q4280" s="227" t="n"/>
      <c r="R4280" s="227" t="n"/>
      <c r="S4280" s="227" t="n"/>
      <c r="T4280" s="227" t="n"/>
    </row>
    <row r="4281">
      <c r="A4281" s="145">
        <f>IF($B4281="","",ROW()-5)</f>
        <v/>
      </c>
      <c r="B4281" s="127" t="n"/>
      <c r="C4281" s="223" t="n"/>
      <c r="D4281" s="127" t="n"/>
      <c r="E4281" s="227" t="n"/>
      <c r="F4281" s="227" t="n"/>
      <c r="G4281" s="227" t="n"/>
      <c r="H4281" s="227" t="n"/>
      <c r="I4281" s="227" t="n"/>
      <c r="J4281" s="227" t="n"/>
      <c r="K4281" s="227" t="n"/>
      <c r="L4281" s="227" t="n"/>
      <c r="M4281" s="227" t="n"/>
      <c r="N4281" s="127" t="n"/>
      <c r="O4281" s="227" t="n"/>
      <c r="P4281" s="227" t="n"/>
      <c r="Q4281" s="227" t="n"/>
      <c r="R4281" s="227" t="n"/>
      <c r="S4281" s="227" t="n"/>
      <c r="T4281" s="227" t="n"/>
    </row>
    <row r="4282">
      <c r="A4282" s="145">
        <f>IF($B4282="","",ROW()-5)</f>
        <v/>
      </c>
      <c r="B4282" s="127" t="n"/>
      <c r="C4282" s="223" t="n"/>
      <c r="D4282" s="127" t="n"/>
      <c r="E4282" s="227" t="n"/>
      <c r="F4282" s="227" t="n"/>
      <c r="G4282" s="227" t="n"/>
      <c r="H4282" s="227" t="n"/>
      <c r="I4282" s="227" t="n"/>
      <c r="J4282" s="227" t="n"/>
      <c r="K4282" s="227" t="n"/>
      <c r="L4282" s="227" t="n"/>
      <c r="M4282" s="227" t="n"/>
      <c r="N4282" s="127" t="n"/>
      <c r="O4282" s="227" t="n"/>
      <c r="P4282" s="227" t="n"/>
      <c r="Q4282" s="227" t="n"/>
      <c r="R4282" s="227" t="n"/>
      <c r="S4282" s="227" t="n"/>
      <c r="T4282" s="227" t="n"/>
    </row>
    <row r="4283">
      <c r="A4283" s="145">
        <f>IF($B4283="","",ROW()-5)</f>
        <v/>
      </c>
      <c r="B4283" s="127" t="n"/>
      <c r="C4283" s="223" t="n"/>
      <c r="D4283" s="127" t="n"/>
      <c r="E4283" s="227" t="n"/>
      <c r="F4283" s="227" t="n"/>
      <c r="G4283" s="227" t="n"/>
      <c r="H4283" s="227" t="n"/>
      <c r="I4283" s="227" t="n"/>
      <c r="J4283" s="227" t="n"/>
      <c r="K4283" s="227" t="n"/>
      <c r="L4283" s="227" t="n"/>
      <c r="M4283" s="227" t="n"/>
      <c r="N4283" s="127" t="n"/>
      <c r="O4283" s="227" t="n"/>
      <c r="P4283" s="227" t="n"/>
      <c r="Q4283" s="227" t="n"/>
      <c r="R4283" s="227" t="n"/>
      <c r="S4283" s="227" t="n"/>
      <c r="T4283" s="227" t="n"/>
    </row>
    <row r="4284">
      <c r="A4284" s="145">
        <f>IF($B4284="","",ROW()-5)</f>
        <v/>
      </c>
      <c r="B4284" s="127" t="n"/>
      <c r="C4284" s="223" t="n"/>
      <c r="D4284" s="127" t="n"/>
      <c r="E4284" s="227" t="n"/>
      <c r="F4284" s="227" t="n"/>
      <c r="G4284" s="227" t="n"/>
      <c r="H4284" s="227" t="n"/>
      <c r="I4284" s="227" t="n"/>
      <c r="J4284" s="227" t="n"/>
      <c r="K4284" s="227" t="n"/>
      <c r="L4284" s="227" t="n"/>
      <c r="M4284" s="227" t="n"/>
      <c r="N4284" s="127" t="n"/>
      <c r="O4284" s="227" t="n"/>
      <c r="P4284" s="227" t="n"/>
      <c r="Q4284" s="227" t="n"/>
      <c r="R4284" s="227" t="n"/>
      <c r="S4284" s="227" t="n"/>
      <c r="T4284" s="227" t="n"/>
    </row>
    <row r="4285">
      <c r="A4285" s="145">
        <f>IF($B4285="","",ROW()-5)</f>
        <v/>
      </c>
      <c r="B4285" s="127" t="n"/>
      <c r="C4285" s="223" t="n"/>
      <c r="D4285" s="127" t="n"/>
      <c r="E4285" s="227" t="n"/>
      <c r="F4285" s="227" t="n"/>
      <c r="G4285" s="227" t="n"/>
      <c r="H4285" s="227" t="n"/>
      <c r="I4285" s="227" t="n"/>
      <c r="J4285" s="227" t="n"/>
      <c r="K4285" s="227" t="n"/>
      <c r="L4285" s="227" t="n"/>
      <c r="M4285" s="227" t="n"/>
      <c r="N4285" s="127" t="n"/>
      <c r="O4285" s="227" t="n"/>
      <c r="P4285" s="227" t="n"/>
      <c r="Q4285" s="227" t="n"/>
      <c r="R4285" s="227" t="n"/>
      <c r="S4285" s="227" t="n"/>
      <c r="T4285" s="227" t="n"/>
    </row>
    <row r="4286">
      <c r="A4286" s="145">
        <f>IF($B4286="","",ROW()-5)</f>
        <v/>
      </c>
      <c r="B4286" s="127" t="n"/>
      <c r="C4286" s="223" t="n"/>
      <c r="D4286" s="127" t="n"/>
      <c r="E4286" s="227" t="n"/>
      <c r="F4286" s="227" t="n"/>
      <c r="G4286" s="227" t="n"/>
      <c r="H4286" s="227" t="n"/>
      <c r="I4286" s="227" t="n"/>
      <c r="J4286" s="227" t="n"/>
      <c r="K4286" s="227" t="n"/>
      <c r="L4286" s="227" t="n"/>
      <c r="M4286" s="227" t="n"/>
      <c r="N4286" s="127" t="n"/>
      <c r="O4286" s="227" t="n"/>
      <c r="P4286" s="227" t="n"/>
      <c r="Q4286" s="227" t="n"/>
      <c r="R4286" s="227" t="n"/>
      <c r="S4286" s="227" t="n"/>
      <c r="T4286" s="227" t="n"/>
    </row>
    <row r="4287">
      <c r="A4287" s="145">
        <f>IF($B4287="","",ROW()-5)</f>
        <v/>
      </c>
      <c r="B4287" s="127" t="n"/>
      <c r="C4287" s="223" t="n"/>
      <c r="D4287" s="127" t="n"/>
      <c r="E4287" s="227" t="n"/>
      <c r="F4287" s="227" t="n"/>
      <c r="G4287" s="227" t="n"/>
      <c r="H4287" s="227" t="n"/>
      <c r="I4287" s="227" t="n"/>
      <c r="J4287" s="227" t="n"/>
      <c r="K4287" s="227" t="n"/>
      <c r="L4287" s="227" t="n"/>
      <c r="M4287" s="227" t="n"/>
      <c r="N4287" s="127" t="n"/>
      <c r="O4287" s="227" t="n"/>
      <c r="P4287" s="227" t="n"/>
      <c r="Q4287" s="227" t="n"/>
      <c r="R4287" s="227" t="n"/>
      <c r="S4287" s="227" t="n"/>
      <c r="T4287" s="227" t="n"/>
    </row>
    <row r="4288">
      <c r="A4288" s="145">
        <f>IF($B4288="","",ROW()-5)</f>
        <v/>
      </c>
      <c r="B4288" s="127" t="n"/>
      <c r="C4288" s="223" t="n"/>
      <c r="D4288" s="127" t="n"/>
      <c r="E4288" s="227" t="n"/>
      <c r="F4288" s="227" t="n"/>
      <c r="G4288" s="227" t="n"/>
      <c r="H4288" s="227" t="n"/>
      <c r="I4288" s="227" t="n"/>
      <c r="J4288" s="227" t="n"/>
      <c r="K4288" s="227" t="n"/>
      <c r="L4288" s="227" t="n"/>
      <c r="M4288" s="227" t="n"/>
      <c r="N4288" s="127" t="n"/>
      <c r="O4288" s="227" t="n"/>
      <c r="P4288" s="227" t="n"/>
      <c r="Q4288" s="227" t="n"/>
      <c r="R4288" s="227" t="n"/>
      <c r="S4288" s="227" t="n"/>
      <c r="T4288" s="227" t="n"/>
    </row>
    <row r="4289">
      <c r="A4289" s="145">
        <f>IF($B4289="","",ROW()-5)</f>
        <v/>
      </c>
      <c r="B4289" s="127" t="n"/>
      <c r="C4289" s="223" t="n"/>
      <c r="D4289" s="127" t="n"/>
      <c r="E4289" s="227" t="n"/>
      <c r="F4289" s="227" t="n"/>
      <c r="G4289" s="227" t="n"/>
      <c r="H4289" s="227" t="n"/>
      <c r="I4289" s="227" t="n"/>
      <c r="J4289" s="227" t="n"/>
      <c r="K4289" s="227" t="n"/>
      <c r="L4289" s="227" t="n"/>
      <c r="M4289" s="227" t="n"/>
      <c r="N4289" s="127" t="n"/>
      <c r="O4289" s="227" t="n"/>
      <c r="P4289" s="227" t="n"/>
      <c r="Q4289" s="227" t="n"/>
      <c r="R4289" s="227" t="n"/>
      <c r="S4289" s="227" t="n"/>
      <c r="T4289" s="227" t="n"/>
    </row>
    <row r="4290">
      <c r="A4290" s="145">
        <f>IF($B4290="","",ROW()-5)</f>
        <v/>
      </c>
      <c r="B4290" s="127" t="n"/>
      <c r="C4290" s="223" t="n"/>
      <c r="D4290" s="127" t="n"/>
      <c r="E4290" s="227" t="n"/>
      <c r="F4290" s="227" t="n"/>
      <c r="G4290" s="227" t="n"/>
      <c r="H4290" s="227" t="n"/>
      <c r="I4290" s="227" t="n"/>
      <c r="J4290" s="227" t="n"/>
      <c r="K4290" s="227" t="n"/>
      <c r="L4290" s="227" t="n"/>
      <c r="M4290" s="227" t="n"/>
      <c r="N4290" s="127" t="n"/>
      <c r="O4290" s="227" t="n"/>
      <c r="P4290" s="227" t="n"/>
      <c r="Q4290" s="227" t="n"/>
      <c r="R4290" s="227" t="n"/>
      <c r="S4290" s="227" t="n"/>
      <c r="T4290" s="227" t="n"/>
    </row>
    <row r="4291">
      <c r="A4291" s="145">
        <f>IF($B4291="","",ROW()-5)</f>
        <v/>
      </c>
      <c r="B4291" s="127" t="n"/>
      <c r="C4291" s="223" t="n"/>
      <c r="D4291" s="127" t="n"/>
      <c r="E4291" s="227" t="n"/>
      <c r="F4291" s="227" t="n"/>
      <c r="G4291" s="227" t="n"/>
      <c r="H4291" s="227" t="n"/>
      <c r="I4291" s="227" t="n"/>
      <c r="J4291" s="227" t="n"/>
      <c r="K4291" s="227" t="n"/>
      <c r="L4291" s="227" t="n"/>
      <c r="M4291" s="227" t="n"/>
      <c r="N4291" s="127" t="n"/>
      <c r="O4291" s="227" t="n"/>
      <c r="P4291" s="227" t="n"/>
      <c r="Q4291" s="227" t="n"/>
      <c r="R4291" s="227" t="n"/>
      <c r="S4291" s="227" t="n"/>
      <c r="T4291" s="227" t="n"/>
    </row>
    <row r="4292">
      <c r="A4292" s="145">
        <f>IF($B4292="","",ROW()-5)</f>
        <v/>
      </c>
      <c r="B4292" s="127" t="n"/>
      <c r="C4292" s="223" t="n"/>
      <c r="D4292" s="127" t="n"/>
      <c r="E4292" s="227" t="n"/>
      <c r="F4292" s="227" t="n"/>
      <c r="G4292" s="227" t="n"/>
      <c r="H4292" s="227" t="n"/>
      <c r="I4292" s="227" t="n"/>
      <c r="J4292" s="227" t="n"/>
      <c r="K4292" s="227" t="n"/>
      <c r="L4292" s="227" t="n"/>
      <c r="M4292" s="227" t="n"/>
      <c r="N4292" s="127" t="n"/>
      <c r="O4292" s="227" t="n"/>
      <c r="P4292" s="227" t="n"/>
      <c r="Q4292" s="227" t="n"/>
      <c r="R4292" s="227" t="n"/>
      <c r="S4292" s="227" t="n"/>
      <c r="T4292" s="227" t="n"/>
    </row>
    <row r="4293">
      <c r="A4293" s="145">
        <f>IF($B4293="","",ROW()-5)</f>
        <v/>
      </c>
      <c r="B4293" s="127" t="n"/>
      <c r="C4293" s="223" t="n"/>
      <c r="D4293" s="127" t="n"/>
      <c r="E4293" s="227" t="n"/>
      <c r="F4293" s="227" t="n"/>
      <c r="G4293" s="227" t="n"/>
      <c r="H4293" s="227" t="n"/>
      <c r="I4293" s="227" t="n"/>
      <c r="J4293" s="227" t="n"/>
      <c r="K4293" s="227" t="n"/>
      <c r="L4293" s="227" t="n"/>
      <c r="M4293" s="227" t="n"/>
      <c r="N4293" s="127" t="n"/>
      <c r="O4293" s="227" t="n"/>
      <c r="P4293" s="227" t="n"/>
      <c r="Q4293" s="227" t="n"/>
      <c r="R4293" s="227" t="n"/>
      <c r="S4293" s="227" t="n"/>
      <c r="T4293" s="227" t="n"/>
    </row>
    <row r="4294">
      <c r="A4294" s="145">
        <f>IF($B4294="","",ROW()-5)</f>
        <v/>
      </c>
      <c r="B4294" s="127" t="n"/>
      <c r="C4294" s="223" t="n"/>
      <c r="D4294" s="127" t="n"/>
      <c r="E4294" s="227" t="n"/>
      <c r="F4294" s="227" t="n"/>
      <c r="G4294" s="227" t="n"/>
      <c r="H4294" s="227" t="n"/>
      <c r="I4294" s="227" t="n"/>
      <c r="J4294" s="227" t="n"/>
      <c r="K4294" s="227" t="n"/>
      <c r="L4294" s="227" t="n"/>
      <c r="M4294" s="227" t="n"/>
      <c r="N4294" s="127" t="n"/>
      <c r="O4294" s="227" t="n"/>
      <c r="P4294" s="227" t="n"/>
      <c r="Q4294" s="227" t="n"/>
      <c r="R4294" s="227" t="n"/>
      <c r="S4294" s="227" t="n"/>
      <c r="T4294" s="227" t="n"/>
    </row>
    <row r="4295">
      <c r="A4295" s="145">
        <f>IF($B4295="","",ROW()-5)</f>
        <v/>
      </c>
      <c r="B4295" s="127" t="n"/>
      <c r="C4295" s="223" t="n"/>
      <c r="D4295" s="127" t="n"/>
      <c r="E4295" s="227" t="n"/>
      <c r="F4295" s="227" t="n"/>
      <c r="G4295" s="227" t="n"/>
      <c r="H4295" s="227" t="n"/>
      <c r="I4295" s="227" t="n"/>
      <c r="J4295" s="227" t="n"/>
      <c r="K4295" s="227" t="n"/>
      <c r="L4295" s="227" t="n"/>
      <c r="M4295" s="227" t="n"/>
      <c r="N4295" s="127" t="n"/>
      <c r="O4295" s="227" t="n"/>
      <c r="P4295" s="227" t="n"/>
      <c r="Q4295" s="227" t="n"/>
      <c r="R4295" s="227" t="n"/>
      <c r="S4295" s="227" t="n"/>
      <c r="T4295" s="227" t="n"/>
    </row>
    <row r="4296">
      <c r="A4296" s="145">
        <f>IF($B4296="","",ROW()-5)</f>
        <v/>
      </c>
      <c r="B4296" s="127" t="n"/>
      <c r="C4296" s="223" t="n"/>
      <c r="D4296" s="127" t="n"/>
      <c r="E4296" s="227" t="n"/>
      <c r="F4296" s="227" t="n"/>
      <c r="G4296" s="227" t="n"/>
      <c r="H4296" s="227" t="n"/>
      <c r="I4296" s="227" t="n"/>
      <c r="J4296" s="227" t="n"/>
      <c r="K4296" s="227" t="n"/>
      <c r="L4296" s="227" t="n"/>
      <c r="M4296" s="227" t="n"/>
      <c r="N4296" s="127" t="n"/>
      <c r="O4296" s="227" t="n"/>
      <c r="P4296" s="227" t="n"/>
      <c r="Q4296" s="227" t="n"/>
      <c r="R4296" s="227" t="n"/>
      <c r="S4296" s="227" t="n"/>
      <c r="T4296" s="227" t="n"/>
    </row>
    <row r="4297">
      <c r="A4297" s="145">
        <f>IF($B4297="","",ROW()-5)</f>
        <v/>
      </c>
      <c r="B4297" s="127" t="n"/>
      <c r="C4297" s="223" t="n"/>
      <c r="D4297" s="127" t="n"/>
      <c r="E4297" s="227" t="n"/>
      <c r="F4297" s="227" t="n"/>
      <c r="G4297" s="227" t="n"/>
      <c r="H4297" s="227" t="n"/>
      <c r="I4297" s="227" t="n"/>
      <c r="J4297" s="227" t="n"/>
      <c r="K4297" s="227" t="n"/>
      <c r="L4297" s="227" t="n"/>
      <c r="M4297" s="227" t="n"/>
      <c r="N4297" s="127" t="n"/>
      <c r="O4297" s="227" t="n"/>
      <c r="P4297" s="227" t="n"/>
      <c r="Q4297" s="227" t="n"/>
      <c r="R4297" s="227" t="n"/>
      <c r="S4297" s="227" t="n"/>
      <c r="T4297" s="227" t="n"/>
    </row>
    <row r="4298">
      <c r="A4298" s="145">
        <f>IF($B4298="","",ROW()-5)</f>
        <v/>
      </c>
      <c r="B4298" s="127" t="n"/>
      <c r="C4298" s="223" t="n"/>
      <c r="D4298" s="127" t="n"/>
      <c r="E4298" s="227" t="n"/>
      <c r="F4298" s="227" t="n"/>
      <c r="G4298" s="227" t="n"/>
      <c r="H4298" s="227" t="n"/>
      <c r="I4298" s="227" t="n"/>
      <c r="J4298" s="227" t="n"/>
      <c r="K4298" s="227" t="n"/>
      <c r="L4298" s="227" t="n"/>
      <c r="M4298" s="227" t="n"/>
      <c r="N4298" s="127" t="n"/>
      <c r="O4298" s="227" t="n"/>
      <c r="P4298" s="227" t="n"/>
      <c r="Q4298" s="227" t="n"/>
      <c r="R4298" s="227" t="n"/>
      <c r="S4298" s="227" t="n"/>
      <c r="T4298" s="227" t="n"/>
    </row>
    <row r="4299">
      <c r="A4299" s="145">
        <f>IF($B4299="","",ROW()-5)</f>
        <v/>
      </c>
      <c r="B4299" s="127" t="n"/>
      <c r="C4299" s="223" t="n"/>
      <c r="D4299" s="127" t="n"/>
      <c r="E4299" s="227" t="n"/>
      <c r="F4299" s="227" t="n"/>
      <c r="G4299" s="227" t="n"/>
      <c r="H4299" s="227" t="n"/>
      <c r="I4299" s="227" t="n"/>
      <c r="J4299" s="227" t="n"/>
      <c r="K4299" s="227" t="n"/>
      <c r="L4299" s="227" t="n"/>
      <c r="M4299" s="227" t="n"/>
      <c r="N4299" s="127" t="n"/>
      <c r="O4299" s="227" t="n"/>
      <c r="P4299" s="227" t="n"/>
      <c r="Q4299" s="227" t="n"/>
      <c r="R4299" s="227" t="n"/>
      <c r="S4299" s="227" t="n"/>
      <c r="T4299" s="227" t="n"/>
    </row>
    <row r="4300">
      <c r="A4300" s="145">
        <f>IF($B4300="","",ROW()-5)</f>
        <v/>
      </c>
      <c r="B4300" s="127" t="n"/>
      <c r="C4300" s="223" t="n"/>
      <c r="D4300" s="127" t="n"/>
      <c r="E4300" s="227" t="n"/>
      <c r="F4300" s="227" t="n"/>
      <c r="G4300" s="227" t="n"/>
      <c r="H4300" s="227" t="n"/>
      <c r="I4300" s="227" t="n"/>
      <c r="J4300" s="227" t="n"/>
      <c r="K4300" s="227" t="n"/>
      <c r="L4300" s="227" t="n"/>
      <c r="M4300" s="227" t="n"/>
      <c r="N4300" s="127" t="n"/>
      <c r="O4300" s="227" t="n"/>
      <c r="P4300" s="227" t="n"/>
      <c r="Q4300" s="227" t="n"/>
      <c r="R4300" s="227" t="n"/>
      <c r="S4300" s="227" t="n"/>
      <c r="T4300" s="227" t="n"/>
    </row>
    <row r="4301">
      <c r="A4301" s="145">
        <f>IF($B4301="","",ROW()-5)</f>
        <v/>
      </c>
      <c r="B4301" s="127" t="n"/>
      <c r="C4301" s="223" t="n"/>
      <c r="D4301" s="127" t="n"/>
      <c r="E4301" s="227" t="n"/>
      <c r="F4301" s="227" t="n"/>
      <c r="G4301" s="227" t="n"/>
      <c r="H4301" s="227" t="n"/>
      <c r="I4301" s="227" t="n"/>
      <c r="J4301" s="227" t="n"/>
      <c r="K4301" s="227" t="n"/>
      <c r="L4301" s="227" t="n"/>
      <c r="M4301" s="227" t="n"/>
      <c r="N4301" s="127" t="n"/>
      <c r="O4301" s="227" t="n"/>
      <c r="P4301" s="227" t="n"/>
      <c r="Q4301" s="227" t="n"/>
      <c r="R4301" s="227" t="n"/>
      <c r="S4301" s="227" t="n"/>
      <c r="T4301" s="227" t="n"/>
    </row>
    <row r="4302">
      <c r="A4302" s="145">
        <f>IF($B4302="","",ROW()-5)</f>
        <v/>
      </c>
      <c r="B4302" s="127" t="n"/>
      <c r="C4302" s="223" t="n"/>
      <c r="D4302" s="127" t="n"/>
      <c r="E4302" s="227" t="n"/>
      <c r="F4302" s="227" t="n"/>
      <c r="G4302" s="227" t="n"/>
      <c r="H4302" s="227" t="n"/>
      <c r="I4302" s="227" t="n"/>
      <c r="J4302" s="227" t="n"/>
      <c r="K4302" s="227" t="n"/>
      <c r="L4302" s="227" t="n"/>
      <c r="M4302" s="227" t="n"/>
      <c r="N4302" s="127" t="n"/>
      <c r="O4302" s="227" t="n"/>
      <c r="P4302" s="227" t="n"/>
      <c r="Q4302" s="227" t="n"/>
      <c r="R4302" s="227" t="n"/>
      <c r="S4302" s="227" t="n"/>
      <c r="T4302" s="227" t="n"/>
    </row>
    <row r="4303">
      <c r="A4303" s="145">
        <f>IF($B4303="","",ROW()-5)</f>
        <v/>
      </c>
      <c r="B4303" s="127" t="n"/>
      <c r="C4303" s="223" t="n"/>
      <c r="D4303" s="127" t="n"/>
      <c r="E4303" s="227" t="n"/>
      <c r="F4303" s="227" t="n"/>
      <c r="G4303" s="227" t="n"/>
      <c r="H4303" s="227" t="n"/>
      <c r="I4303" s="227" t="n"/>
      <c r="J4303" s="227" t="n"/>
      <c r="K4303" s="227" t="n"/>
      <c r="L4303" s="227" t="n"/>
      <c r="M4303" s="227" t="n"/>
      <c r="N4303" s="127" t="n"/>
      <c r="O4303" s="227" t="n"/>
      <c r="P4303" s="227" t="n"/>
      <c r="Q4303" s="227" t="n"/>
      <c r="R4303" s="227" t="n"/>
      <c r="S4303" s="227" t="n"/>
      <c r="T4303" s="227" t="n"/>
    </row>
    <row r="4304">
      <c r="A4304" s="145">
        <f>IF($B4304="","",ROW()-5)</f>
        <v/>
      </c>
      <c r="B4304" s="127" t="n"/>
      <c r="C4304" s="223" t="n"/>
      <c r="D4304" s="127" t="n"/>
      <c r="E4304" s="227" t="n"/>
      <c r="F4304" s="227" t="n"/>
      <c r="G4304" s="227" t="n"/>
      <c r="H4304" s="227" t="n"/>
      <c r="I4304" s="227" t="n"/>
      <c r="J4304" s="227" t="n"/>
      <c r="K4304" s="227" t="n"/>
      <c r="L4304" s="227" t="n"/>
      <c r="M4304" s="227" t="n"/>
      <c r="N4304" s="127" t="n"/>
      <c r="O4304" s="227" t="n"/>
      <c r="P4304" s="227" t="n"/>
      <c r="Q4304" s="227" t="n"/>
      <c r="R4304" s="227" t="n"/>
      <c r="S4304" s="227" t="n"/>
      <c r="T4304" s="227" t="n"/>
    </row>
    <row r="4305">
      <c r="A4305" s="145">
        <f>IF($B4305="","",ROW()-5)</f>
        <v/>
      </c>
      <c r="B4305" s="127" t="n"/>
      <c r="C4305" s="223" t="n"/>
      <c r="D4305" s="127" t="n"/>
      <c r="E4305" s="227" t="n"/>
      <c r="F4305" s="227" t="n"/>
      <c r="G4305" s="227" t="n"/>
      <c r="H4305" s="227" t="n"/>
      <c r="I4305" s="227" t="n"/>
      <c r="J4305" s="227" t="n"/>
      <c r="K4305" s="227" t="n"/>
      <c r="L4305" s="227" t="n"/>
      <c r="M4305" s="227" t="n"/>
      <c r="N4305" s="127" t="n"/>
      <c r="O4305" s="227" t="n"/>
      <c r="P4305" s="227" t="n"/>
      <c r="Q4305" s="227" t="n"/>
      <c r="R4305" s="227" t="n"/>
      <c r="S4305" s="227" t="n"/>
      <c r="T4305" s="227" t="n"/>
    </row>
    <row r="4306">
      <c r="A4306" s="145">
        <f>IF($B4306="","",ROW()-5)</f>
        <v/>
      </c>
      <c r="B4306" s="127" t="n"/>
      <c r="C4306" s="223" t="n"/>
      <c r="D4306" s="127" t="n"/>
      <c r="E4306" s="227" t="n"/>
      <c r="F4306" s="227" t="n"/>
      <c r="G4306" s="227" t="n"/>
      <c r="H4306" s="227" t="n"/>
      <c r="I4306" s="227" t="n"/>
      <c r="J4306" s="227" t="n"/>
      <c r="K4306" s="227" t="n"/>
      <c r="L4306" s="227" t="n"/>
      <c r="M4306" s="227" t="n"/>
      <c r="N4306" s="127" t="n"/>
      <c r="O4306" s="227" t="n"/>
      <c r="P4306" s="227" t="n"/>
      <c r="Q4306" s="227" t="n"/>
      <c r="R4306" s="227" t="n"/>
      <c r="S4306" s="227" t="n"/>
      <c r="T4306" s="227" t="n"/>
    </row>
    <row r="4307">
      <c r="A4307" s="145">
        <f>IF($B4307="","",ROW()-5)</f>
        <v/>
      </c>
      <c r="B4307" s="127" t="n"/>
      <c r="C4307" s="223" t="n"/>
      <c r="D4307" s="127" t="n"/>
      <c r="E4307" s="227" t="n"/>
      <c r="F4307" s="227" t="n"/>
      <c r="G4307" s="227" t="n"/>
      <c r="H4307" s="227" t="n"/>
      <c r="I4307" s="227" t="n"/>
      <c r="J4307" s="227" t="n"/>
      <c r="K4307" s="227" t="n"/>
      <c r="L4307" s="227" t="n"/>
      <c r="M4307" s="227" t="n"/>
      <c r="N4307" s="127" t="n"/>
      <c r="O4307" s="227" t="n"/>
      <c r="P4307" s="227" t="n"/>
      <c r="Q4307" s="227" t="n"/>
      <c r="R4307" s="227" t="n"/>
      <c r="S4307" s="227" t="n"/>
      <c r="T4307" s="227" t="n"/>
    </row>
    <row r="4308">
      <c r="A4308" s="145">
        <f>IF($B4308="","",ROW()-5)</f>
        <v/>
      </c>
      <c r="B4308" s="127" t="n"/>
      <c r="C4308" s="223" t="n"/>
      <c r="D4308" s="127" t="n"/>
      <c r="E4308" s="227" t="n"/>
      <c r="F4308" s="227" t="n"/>
      <c r="G4308" s="227" t="n"/>
      <c r="H4308" s="227" t="n"/>
      <c r="I4308" s="227" t="n"/>
      <c r="J4308" s="227" t="n"/>
      <c r="K4308" s="227" t="n"/>
      <c r="L4308" s="227" t="n"/>
      <c r="M4308" s="227" t="n"/>
      <c r="N4308" s="127" t="n"/>
      <c r="O4308" s="227" t="n"/>
      <c r="P4308" s="227" t="n"/>
      <c r="Q4308" s="227" t="n"/>
      <c r="R4308" s="227" t="n"/>
      <c r="S4308" s="227" t="n"/>
      <c r="T4308" s="227" t="n"/>
    </row>
    <row r="4309">
      <c r="A4309" s="145">
        <f>IF($B4309="","",ROW()-5)</f>
        <v/>
      </c>
      <c r="B4309" s="127" t="n"/>
      <c r="C4309" s="223" t="n"/>
      <c r="D4309" s="127" t="n"/>
      <c r="E4309" s="227" t="n"/>
      <c r="F4309" s="227" t="n"/>
      <c r="G4309" s="227" t="n"/>
      <c r="H4309" s="227" t="n"/>
      <c r="I4309" s="227" t="n"/>
      <c r="J4309" s="227" t="n"/>
      <c r="K4309" s="227" t="n"/>
      <c r="L4309" s="227" t="n"/>
      <c r="M4309" s="227" t="n"/>
      <c r="N4309" s="127" t="n"/>
      <c r="O4309" s="227" t="n"/>
      <c r="P4309" s="227" t="n"/>
      <c r="Q4309" s="227" t="n"/>
      <c r="R4309" s="227" t="n"/>
      <c r="S4309" s="227" t="n"/>
      <c r="T4309" s="227" t="n"/>
    </row>
    <row r="4310">
      <c r="A4310" s="145">
        <f>IF($B4310="","",ROW()-5)</f>
        <v/>
      </c>
      <c r="B4310" s="127" t="n"/>
      <c r="C4310" s="223" t="n"/>
      <c r="D4310" s="127" t="n"/>
      <c r="E4310" s="227" t="n"/>
      <c r="F4310" s="227" t="n"/>
      <c r="G4310" s="227" t="n"/>
      <c r="H4310" s="227" t="n"/>
      <c r="I4310" s="227" t="n"/>
      <c r="J4310" s="227" t="n"/>
      <c r="K4310" s="227" t="n"/>
      <c r="L4310" s="227" t="n"/>
      <c r="M4310" s="227" t="n"/>
      <c r="N4310" s="127" t="n"/>
      <c r="O4310" s="227" t="n"/>
      <c r="P4310" s="227" t="n"/>
      <c r="Q4310" s="227" t="n"/>
      <c r="R4310" s="227" t="n"/>
      <c r="S4310" s="227" t="n"/>
      <c r="T4310" s="227" t="n"/>
    </row>
    <row r="4311">
      <c r="A4311" s="145">
        <f>IF($B4311="","",ROW()-5)</f>
        <v/>
      </c>
      <c r="B4311" s="127" t="n"/>
      <c r="C4311" s="223" t="n"/>
      <c r="D4311" s="127" t="n"/>
      <c r="E4311" s="227" t="n"/>
      <c r="F4311" s="227" t="n"/>
      <c r="G4311" s="227" t="n"/>
      <c r="H4311" s="227" t="n"/>
      <c r="I4311" s="227" t="n"/>
      <c r="J4311" s="227" t="n"/>
      <c r="K4311" s="227" t="n"/>
      <c r="L4311" s="227" t="n"/>
      <c r="M4311" s="227" t="n"/>
      <c r="N4311" s="127" t="n"/>
      <c r="O4311" s="227" t="n"/>
      <c r="P4311" s="227" t="n"/>
      <c r="Q4311" s="227" t="n"/>
      <c r="R4311" s="227" t="n"/>
      <c r="S4311" s="227" t="n"/>
      <c r="T4311" s="227" t="n"/>
    </row>
    <row r="4312">
      <c r="A4312" s="145">
        <f>IF($B4312="","",ROW()-5)</f>
        <v/>
      </c>
      <c r="B4312" s="127" t="n"/>
      <c r="C4312" s="223" t="n"/>
      <c r="D4312" s="127" t="n"/>
      <c r="E4312" s="227" t="n"/>
      <c r="F4312" s="227" t="n"/>
      <c r="G4312" s="227" t="n"/>
      <c r="H4312" s="227" t="n"/>
      <c r="I4312" s="227" t="n"/>
      <c r="J4312" s="227" t="n"/>
      <c r="K4312" s="227" t="n"/>
      <c r="L4312" s="227" t="n"/>
      <c r="M4312" s="227" t="n"/>
      <c r="N4312" s="127" t="n"/>
      <c r="O4312" s="227" t="n"/>
      <c r="P4312" s="227" t="n"/>
      <c r="Q4312" s="227" t="n"/>
      <c r="R4312" s="227" t="n"/>
      <c r="S4312" s="227" t="n"/>
      <c r="T4312" s="227" t="n"/>
    </row>
    <row r="4313">
      <c r="A4313" s="145">
        <f>IF($B4313="","",ROW()-5)</f>
        <v/>
      </c>
      <c r="B4313" s="127" t="n"/>
      <c r="C4313" s="223" t="n"/>
      <c r="D4313" s="127" t="n"/>
      <c r="E4313" s="227" t="n"/>
      <c r="F4313" s="227" t="n"/>
      <c r="G4313" s="227" t="n"/>
      <c r="H4313" s="227" t="n"/>
      <c r="I4313" s="227" t="n"/>
      <c r="J4313" s="227" t="n"/>
      <c r="K4313" s="227" t="n"/>
      <c r="L4313" s="227" t="n"/>
      <c r="M4313" s="227" t="n"/>
      <c r="N4313" s="127" t="n"/>
      <c r="O4313" s="227" t="n"/>
      <c r="P4313" s="227" t="n"/>
      <c r="Q4313" s="227" t="n"/>
      <c r="R4313" s="227" t="n"/>
      <c r="S4313" s="227" t="n"/>
      <c r="T4313" s="227" t="n"/>
    </row>
    <row r="4314">
      <c r="A4314" s="145">
        <f>IF($B4314="","",ROW()-5)</f>
        <v/>
      </c>
      <c r="B4314" s="127" t="n"/>
      <c r="C4314" s="223" t="n"/>
      <c r="D4314" s="127" t="n"/>
      <c r="E4314" s="227" t="n"/>
      <c r="F4314" s="227" t="n"/>
      <c r="G4314" s="227" t="n"/>
      <c r="H4314" s="227" t="n"/>
      <c r="I4314" s="227" t="n"/>
      <c r="J4314" s="227" t="n"/>
      <c r="K4314" s="227" t="n"/>
      <c r="L4314" s="227" t="n"/>
      <c r="M4314" s="227" t="n"/>
      <c r="N4314" s="127" t="n"/>
      <c r="O4314" s="227" t="n"/>
      <c r="P4314" s="227" t="n"/>
      <c r="Q4314" s="227" t="n"/>
      <c r="R4314" s="227" t="n"/>
      <c r="S4314" s="227" t="n"/>
      <c r="T4314" s="227" t="n"/>
    </row>
    <row r="4315">
      <c r="A4315" s="145">
        <f>IF($B4315="","",ROW()-5)</f>
        <v/>
      </c>
      <c r="B4315" s="127" t="n"/>
      <c r="C4315" s="223" t="n"/>
      <c r="D4315" s="127" t="n"/>
      <c r="E4315" s="227" t="n"/>
      <c r="F4315" s="227" t="n"/>
      <c r="G4315" s="227" t="n"/>
      <c r="H4315" s="227" t="n"/>
      <c r="I4315" s="227" t="n"/>
      <c r="J4315" s="227" t="n"/>
      <c r="K4315" s="227" t="n"/>
      <c r="L4315" s="227" t="n"/>
      <c r="M4315" s="227" t="n"/>
      <c r="N4315" s="127" t="n"/>
      <c r="O4315" s="227" t="n"/>
      <c r="P4315" s="227" t="n"/>
      <c r="Q4315" s="227" t="n"/>
      <c r="R4315" s="227" t="n"/>
      <c r="S4315" s="227" t="n"/>
      <c r="T4315" s="227" t="n"/>
    </row>
    <row r="4316">
      <c r="A4316" s="145">
        <f>IF($B4316="","",ROW()-5)</f>
        <v/>
      </c>
      <c r="B4316" s="127" t="n"/>
      <c r="C4316" s="223" t="n"/>
      <c r="D4316" s="127" t="n"/>
      <c r="E4316" s="227" t="n"/>
      <c r="F4316" s="227" t="n"/>
      <c r="G4316" s="227" t="n"/>
      <c r="H4316" s="227" t="n"/>
      <c r="I4316" s="227" t="n"/>
      <c r="J4316" s="227" t="n"/>
      <c r="K4316" s="227" t="n"/>
      <c r="L4316" s="227" t="n"/>
      <c r="M4316" s="227" t="n"/>
      <c r="N4316" s="127" t="n"/>
      <c r="O4316" s="227" t="n"/>
      <c r="P4316" s="227" t="n"/>
      <c r="Q4316" s="227" t="n"/>
      <c r="R4316" s="227" t="n"/>
      <c r="S4316" s="227" t="n"/>
      <c r="T4316" s="227" t="n"/>
    </row>
    <row r="4317">
      <c r="A4317" s="145">
        <f>IF($B4317="","",ROW()-5)</f>
        <v/>
      </c>
      <c r="B4317" s="127" t="n"/>
      <c r="C4317" s="223" t="n"/>
      <c r="D4317" s="127" t="n"/>
      <c r="E4317" s="227" t="n"/>
      <c r="F4317" s="227" t="n"/>
      <c r="G4317" s="227" t="n"/>
      <c r="H4317" s="227" t="n"/>
      <c r="I4317" s="227" t="n"/>
      <c r="J4317" s="227" t="n"/>
      <c r="K4317" s="227" t="n"/>
      <c r="L4317" s="227" t="n"/>
      <c r="M4317" s="227" t="n"/>
      <c r="N4317" s="127" t="n"/>
      <c r="O4317" s="227" t="n"/>
      <c r="P4317" s="227" t="n"/>
      <c r="Q4317" s="227" t="n"/>
      <c r="R4317" s="227" t="n"/>
      <c r="S4317" s="227" t="n"/>
      <c r="T4317" s="227" t="n"/>
    </row>
    <row r="4318">
      <c r="A4318" s="145">
        <f>IF($B4318="","",ROW()-5)</f>
        <v/>
      </c>
      <c r="B4318" s="127" t="n"/>
      <c r="C4318" s="223" t="n"/>
      <c r="D4318" s="127" t="n"/>
      <c r="E4318" s="227" t="n"/>
      <c r="F4318" s="227" t="n"/>
      <c r="G4318" s="227" t="n"/>
      <c r="H4318" s="227" t="n"/>
      <c r="I4318" s="227" t="n"/>
      <c r="J4318" s="227" t="n"/>
      <c r="K4318" s="227" t="n"/>
      <c r="L4318" s="227" t="n"/>
      <c r="M4318" s="227" t="n"/>
      <c r="N4318" s="127" t="n"/>
      <c r="O4318" s="227" t="n"/>
      <c r="P4318" s="227" t="n"/>
      <c r="Q4318" s="227" t="n"/>
      <c r="R4318" s="227" t="n"/>
      <c r="S4318" s="227" t="n"/>
      <c r="T4318" s="227" t="n"/>
    </row>
    <row r="4319">
      <c r="A4319" s="145">
        <f>IF($B4319="","",ROW()-5)</f>
        <v/>
      </c>
      <c r="B4319" s="127" t="n"/>
      <c r="C4319" s="223" t="n"/>
      <c r="D4319" s="127" t="n"/>
      <c r="E4319" s="227" t="n"/>
      <c r="F4319" s="227" t="n"/>
      <c r="G4319" s="227" t="n"/>
      <c r="H4319" s="227" t="n"/>
      <c r="I4319" s="227" t="n"/>
      <c r="J4319" s="227" t="n"/>
      <c r="K4319" s="227" t="n"/>
      <c r="L4319" s="227" t="n"/>
      <c r="M4319" s="227" t="n"/>
      <c r="N4319" s="127" t="n"/>
      <c r="O4319" s="227" t="n"/>
      <c r="P4319" s="227" t="n"/>
      <c r="Q4319" s="227" t="n"/>
      <c r="R4319" s="227" t="n"/>
      <c r="S4319" s="227" t="n"/>
      <c r="T4319" s="227" t="n"/>
    </row>
    <row r="4320">
      <c r="A4320" s="145">
        <f>IF($B4320="","",ROW()-5)</f>
        <v/>
      </c>
      <c r="B4320" s="127" t="n"/>
      <c r="C4320" s="223" t="n"/>
      <c r="D4320" s="127" t="n"/>
      <c r="E4320" s="227" t="n"/>
      <c r="F4320" s="227" t="n"/>
      <c r="G4320" s="227" t="n"/>
      <c r="H4320" s="227" t="n"/>
      <c r="I4320" s="227" t="n"/>
      <c r="J4320" s="227" t="n"/>
      <c r="K4320" s="227" t="n"/>
      <c r="L4320" s="227" t="n"/>
      <c r="M4320" s="227" t="n"/>
      <c r="N4320" s="127" t="n"/>
      <c r="O4320" s="227" t="n"/>
      <c r="P4320" s="227" t="n"/>
      <c r="Q4320" s="227" t="n"/>
      <c r="R4320" s="227" t="n"/>
      <c r="S4320" s="227" t="n"/>
      <c r="T4320" s="227" t="n"/>
    </row>
    <row r="4321">
      <c r="A4321" s="145">
        <f>IF($B4321="","",ROW()-5)</f>
        <v/>
      </c>
      <c r="B4321" s="127" t="n"/>
      <c r="C4321" s="223" t="n"/>
      <c r="D4321" s="127" t="n"/>
      <c r="E4321" s="227" t="n"/>
      <c r="F4321" s="227" t="n"/>
      <c r="G4321" s="227" t="n"/>
      <c r="H4321" s="227" t="n"/>
      <c r="I4321" s="227" t="n"/>
      <c r="J4321" s="227" t="n"/>
      <c r="K4321" s="227" t="n"/>
      <c r="L4321" s="227" t="n"/>
      <c r="M4321" s="227" t="n"/>
      <c r="N4321" s="127" t="n"/>
      <c r="O4321" s="227" t="n"/>
      <c r="P4321" s="227" t="n"/>
      <c r="Q4321" s="227" t="n"/>
      <c r="R4321" s="227" t="n"/>
      <c r="S4321" s="227" t="n"/>
      <c r="T4321" s="227" t="n"/>
    </row>
    <row r="4322">
      <c r="A4322" s="145">
        <f>IF($B4322="","",ROW()-5)</f>
        <v/>
      </c>
      <c r="B4322" s="127" t="n"/>
      <c r="C4322" s="223" t="n"/>
      <c r="D4322" s="127" t="n"/>
      <c r="E4322" s="227" t="n"/>
      <c r="F4322" s="227" t="n"/>
      <c r="G4322" s="227" t="n"/>
      <c r="H4322" s="227" t="n"/>
      <c r="I4322" s="227" t="n"/>
      <c r="J4322" s="227" t="n"/>
      <c r="K4322" s="227" t="n"/>
      <c r="L4322" s="227" t="n"/>
      <c r="M4322" s="227" t="n"/>
      <c r="N4322" s="127" t="n"/>
      <c r="O4322" s="227" t="n"/>
      <c r="P4322" s="227" t="n"/>
      <c r="Q4322" s="227" t="n"/>
      <c r="R4322" s="227" t="n"/>
      <c r="S4322" s="227" t="n"/>
      <c r="T4322" s="227" t="n"/>
    </row>
    <row r="4323">
      <c r="A4323" s="145">
        <f>IF($B4323="","",ROW()-5)</f>
        <v/>
      </c>
      <c r="B4323" s="127" t="n"/>
      <c r="C4323" s="223" t="n"/>
      <c r="D4323" s="127" t="n"/>
      <c r="E4323" s="227" t="n"/>
      <c r="F4323" s="227" t="n"/>
      <c r="G4323" s="227" t="n"/>
      <c r="H4323" s="227" t="n"/>
      <c r="I4323" s="227" t="n"/>
      <c r="J4323" s="227" t="n"/>
      <c r="K4323" s="227" t="n"/>
      <c r="L4323" s="227" t="n"/>
      <c r="M4323" s="227" t="n"/>
      <c r="N4323" s="127" t="n"/>
      <c r="O4323" s="227" t="n"/>
      <c r="P4323" s="227" t="n"/>
      <c r="Q4323" s="227" t="n"/>
      <c r="R4323" s="227" t="n"/>
      <c r="S4323" s="227" t="n"/>
      <c r="T4323" s="227" t="n"/>
    </row>
    <row r="4324">
      <c r="A4324" s="145">
        <f>IF($B4324="","",ROW()-5)</f>
        <v/>
      </c>
      <c r="B4324" s="127" t="n"/>
      <c r="C4324" s="223" t="n"/>
      <c r="D4324" s="127" t="n"/>
      <c r="E4324" s="227" t="n"/>
      <c r="F4324" s="227" t="n"/>
      <c r="G4324" s="227" t="n"/>
      <c r="H4324" s="227" t="n"/>
      <c r="I4324" s="227" t="n"/>
      <c r="J4324" s="227" t="n"/>
      <c r="K4324" s="227" t="n"/>
      <c r="L4324" s="227" t="n"/>
      <c r="M4324" s="227" t="n"/>
      <c r="N4324" s="127" t="n"/>
      <c r="O4324" s="227" t="n"/>
      <c r="P4324" s="227" t="n"/>
      <c r="Q4324" s="227" t="n"/>
      <c r="R4324" s="227" t="n"/>
      <c r="S4324" s="227" t="n"/>
      <c r="T4324" s="227" t="n"/>
    </row>
    <row r="4325">
      <c r="A4325" s="145">
        <f>IF($B4325="","",ROW()-5)</f>
        <v/>
      </c>
      <c r="B4325" s="127" t="n"/>
      <c r="C4325" s="223" t="n"/>
      <c r="D4325" s="127" t="n"/>
      <c r="E4325" s="227" t="n"/>
      <c r="F4325" s="227" t="n"/>
      <c r="G4325" s="227" t="n"/>
      <c r="H4325" s="227" t="n"/>
      <c r="I4325" s="227" t="n"/>
      <c r="J4325" s="227" t="n"/>
      <c r="K4325" s="227" t="n"/>
      <c r="L4325" s="227" t="n"/>
      <c r="M4325" s="227" t="n"/>
      <c r="N4325" s="127" t="n"/>
      <c r="O4325" s="227" t="n"/>
      <c r="P4325" s="227" t="n"/>
      <c r="Q4325" s="227" t="n"/>
      <c r="R4325" s="227" t="n"/>
      <c r="S4325" s="227" t="n"/>
      <c r="T4325" s="227" t="n"/>
    </row>
    <row r="4326">
      <c r="A4326" s="145">
        <f>IF($B4326="","",ROW()-5)</f>
        <v/>
      </c>
      <c r="B4326" s="127" t="n"/>
      <c r="C4326" s="223" t="n"/>
      <c r="D4326" s="127" t="n"/>
      <c r="E4326" s="227" t="n"/>
      <c r="F4326" s="227" t="n"/>
      <c r="G4326" s="227" t="n"/>
      <c r="H4326" s="227" t="n"/>
      <c r="I4326" s="227" t="n"/>
      <c r="J4326" s="227" t="n"/>
      <c r="K4326" s="227" t="n"/>
      <c r="L4326" s="227" t="n"/>
      <c r="M4326" s="227" t="n"/>
      <c r="N4326" s="127" t="n"/>
      <c r="O4326" s="227" t="n"/>
      <c r="P4326" s="227" t="n"/>
      <c r="Q4326" s="227" t="n"/>
      <c r="R4326" s="227" t="n"/>
      <c r="S4326" s="227" t="n"/>
      <c r="T4326" s="227" t="n"/>
    </row>
    <row r="4327">
      <c r="A4327" s="145">
        <f>IF($B4327="","",ROW()-5)</f>
        <v/>
      </c>
      <c r="B4327" s="127" t="n"/>
      <c r="C4327" s="223" t="n"/>
      <c r="D4327" s="127" t="n"/>
      <c r="E4327" s="227" t="n"/>
      <c r="F4327" s="227" t="n"/>
      <c r="G4327" s="227" t="n"/>
      <c r="H4327" s="227" t="n"/>
      <c r="I4327" s="227" t="n"/>
      <c r="J4327" s="227" t="n"/>
      <c r="K4327" s="227" t="n"/>
      <c r="L4327" s="227" t="n"/>
      <c r="M4327" s="227" t="n"/>
      <c r="N4327" s="127" t="n"/>
      <c r="O4327" s="227" t="n"/>
      <c r="P4327" s="227" t="n"/>
      <c r="Q4327" s="227" t="n"/>
      <c r="R4327" s="227" t="n"/>
      <c r="S4327" s="227" t="n"/>
      <c r="T4327" s="227" t="n"/>
    </row>
    <row r="4328">
      <c r="A4328" s="145">
        <f>IF($B4328="","",ROW()-5)</f>
        <v/>
      </c>
      <c r="B4328" s="127" t="n"/>
      <c r="C4328" s="223" t="n"/>
      <c r="D4328" s="127" t="n"/>
      <c r="E4328" s="227" t="n"/>
      <c r="F4328" s="227" t="n"/>
      <c r="G4328" s="227" t="n"/>
      <c r="H4328" s="227" t="n"/>
      <c r="I4328" s="227" t="n"/>
      <c r="J4328" s="227" t="n"/>
      <c r="K4328" s="227" t="n"/>
      <c r="L4328" s="227" t="n"/>
      <c r="M4328" s="227" t="n"/>
      <c r="N4328" s="127" t="n"/>
      <c r="O4328" s="227" t="n"/>
      <c r="P4328" s="227" t="n"/>
      <c r="Q4328" s="227" t="n"/>
      <c r="R4328" s="227" t="n"/>
      <c r="S4328" s="227" t="n"/>
      <c r="T4328" s="227" t="n"/>
    </row>
    <row r="4329">
      <c r="A4329" s="145">
        <f>IF($B4329="","",ROW()-5)</f>
        <v/>
      </c>
      <c r="B4329" s="127" t="n"/>
      <c r="C4329" s="223" t="n"/>
      <c r="D4329" s="127" t="n"/>
      <c r="E4329" s="227" t="n"/>
      <c r="F4329" s="227" t="n"/>
      <c r="G4329" s="227" t="n"/>
      <c r="H4329" s="227" t="n"/>
      <c r="I4329" s="227" t="n"/>
      <c r="J4329" s="227" t="n"/>
      <c r="K4329" s="227" t="n"/>
      <c r="L4329" s="227" t="n"/>
      <c r="M4329" s="227" t="n"/>
      <c r="N4329" s="127" t="n"/>
      <c r="O4329" s="227" t="n"/>
      <c r="P4329" s="227" t="n"/>
      <c r="Q4329" s="227" t="n"/>
      <c r="R4329" s="227" t="n"/>
      <c r="S4329" s="227" t="n"/>
      <c r="T4329" s="227" t="n"/>
    </row>
    <row r="4330">
      <c r="A4330" s="145">
        <f>IF($B4330="","",ROW()-5)</f>
        <v/>
      </c>
      <c r="B4330" s="127" t="n"/>
      <c r="C4330" s="223" t="n"/>
      <c r="D4330" s="127" t="n"/>
      <c r="E4330" s="227" t="n"/>
      <c r="F4330" s="227" t="n"/>
      <c r="G4330" s="227" t="n"/>
      <c r="H4330" s="227" t="n"/>
      <c r="I4330" s="227" t="n"/>
      <c r="J4330" s="227" t="n"/>
      <c r="K4330" s="227" t="n"/>
      <c r="L4330" s="227" t="n"/>
      <c r="M4330" s="227" t="n"/>
      <c r="N4330" s="127" t="n"/>
      <c r="O4330" s="227" t="n"/>
      <c r="P4330" s="227" t="n"/>
      <c r="Q4330" s="227" t="n"/>
      <c r="R4330" s="227" t="n"/>
      <c r="S4330" s="227" t="n"/>
      <c r="T4330" s="227" t="n"/>
    </row>
    <row r="4331">
      <c r="A4331" s="145">
        <f>IF($B4331="","",ROW()-5)</f>
        <v/>
      </c>
      <c r="B4331" s="127" t="n"/>
      <c r="C4331" s="223" t="n"/>
      <c r="D4331" s="127" t="n"/>
      <c r="E4331" s="227" t="n"/>
      <c r="F4331" s="227" t="n"/>
      <c r="G4331" s="227" t="n"/>
      <c r="H4331" s="227" t="n"/>
      <c r="I4331" s="227" t="n"/>
      <c r="J4331" s="227" t="n"/>
      <c r="K4331" s="227" t="n"/>
      <c r="L4331" s="227" t="n"/>
      <c r="M4331" s="227" t="n"/>
      <c r="N4331" s="127" t="n"/>
      <c r="O4331" s="227" t="n"/>
      <c r="P4331" s="227" t="n"/>
      <c r="Q4331" s="227" t="n"/>
      <c r="R4331" s="227" t="n"/>
      <c r="S4331" s="227" t="n"/>
      <c r="T4331" s="227" t="n"/>
    </row>
    <row r="4332">
      <c r="A4332" s="145">
        <f>IF($B4332="","",ROW()-5)</f>
        <v/>
      </c>
      <c r="B4332" s="127" t="n"/>
      <c r="C4332" s="223" t="n"/>
      <c r="D4332" s="127" t="n"/>
      <c r="E4332" s="227" t="n"/>
      <c r="F4332" s="227" t="n"/>
      <c r="G4332" s="227" t="n"/>
      <c r="H4332" s="227" t="n"/>
      <c r="I4332" s="227" t="n"/>
      <c r="J4332" s="227" t="n"/>
      <c r="K4332" s="227" t="n"/>
      <c r="L4332" s="227" t="n"/>
      <c r="M4332" s="227" t="n"/>
      <c r="N4332" s="127" t="n"/>
      <c r="O4332" s="227" t="n"/>
      <c r="P4332" s="227" t="n"/>
      <c r="Q4332" s="227" t="n"/>
      <c r="R4332" s="227" t="n"/>
      <c r="S4332" s="227" t="n"/>
      <c r="T4332" s="227" t="n"/>
    </row>
    <row r="4333">
      <c r="A4333" s="145">
        <f>IF($B4333="","",ROW()-5)</f>
        <v/>
      </c>
      <c r="B4333" s="127" t="n"/>
      <c r="C4333" s="223" t="n"/>
      <c r="D4333" s="127" t="n"/>
      <c r="E4333" s="227" t="n"/>
      <c r="F4333" s="227" t="n"/>
      <c r="G4333" s="227" t="n"/>
      <c r="H4333" s="227" t="n"/>
      <c r="I4333" s="227" t="n"/>
      <c r="J4333" s="227" t="n"/>
      <c r="K4333" s="227" t="n"/>
      <c r="L4333" s="227" t="n"/>
      <c r="M4333" s="227" t="n"/>
      <c r="N4333" s="127" t="n"/>
      <c r="O4333" s="227" t="n"/>
      <c r="P4333" s="227" t="n"/>
      <c r="Q4333" s="227" t="n"/>
      <c r="R4333" s="227" t="n"/>
      <c r="S4333" s="227" t="n"/>
      <c r="T4333" s="227" t="n"/>
    </row>
    <row r="4334">
      <c r="A4334" s="145">
        <f>IF($B4334="","",ROW()-5)</f>
        <v/>
      </c>
      <c r="B4334" s="127" t="n"/>
      <c r="C4334" s="223" t="n"/>
      <c r="D4334" s="127" t="n"/>
      <c r="E4334" s="227" t="n"/>
      <c r="F4334" s="227" t="n"/>
      <c r="G4334" s="227" t="n"/>
      <c r="H4334" s="227" t="n"/>
      <c r="I4334" s="227" t="n"/>
      <c r="J4334" s="227" t="n"/>
      <c r="K4334" s="227" t="n"/>
      <c r="L4334" s="227" t="n"/>
      <c r="M4334" s="227" t="n"/>
      <c r="N4334" s="127" t="n"/>
      <c r="O4334" s="227" t="n"/>
      <c r="P4334" s="227" t="n"/>
      <c r="Q4334" s="227" t="n"/>
      <c r="R4334" s="227" t="n"/>
      <c r="S4334" s="227" t="n"/>
      <c r="T4334" s="227" t="n"/>
    </row>
    <row r="4335">
      <c r="A4335" s="145">
        <f>IF($B4335="","",ROW()-5)</f>
        <v/>
      </c>
      <c r="B4335" s="127" t="n"/>
      <c r="C4335" s="223" t="n"/>
      <c r="D4335" s="127" t="n"/>
      <c r="E4335" s="227" t="n"/>
      <c r="F4335" s="227" t="n"/>
      <c r="G4335" s="227" t="n"/>
      <c r="H4335" s="227" t="n"/>
      <c r="I4335" s="227" t="n"/>
      <c r="J4335" s="227" t="n"/>
      <c r="K4335" s="227" t="n"/>
      <c r="L4335" s="227" t="n"/>
      <c r="M4335" s="227" t="n"/>
      <c r="N4335" s="127" t="n"/>
      <c r="O4335" s="227" t="n"/>
      <c r="P4335" s="227" t="n"/>
      <c r="Q4335" s="227" t="n"/>
      <c r="R4335" s="227" t="n"/>
      <c r="S4335" s="227" t="n"/>
      <c r="T4335" s="227" t="n"/>
    </row>
    <row r="4336">
      <c r="A4336" s="145">
        <f>IF($B4336="","",ROW()-5)</f>
        <v/>
      </c>
      <c r="B4336" s="127" t="n"/>
      <c r="C4336" s="223" t="n"/>
      <c r="D4336" s="127" t="n"/>
      <c r="E4336" s="227" t="n"/>
      <c r="F4336" s="227" t="n"/>
      <c r="G4336" s="227" t="n"/>
      <c r="H4336" s="227" t="n"/>
      <c r="I4336" s="227" t="n"/>
      <c r="J4336" s="227" t="n"/>
      <c r="K4336" s="227" t="n"/>
      <c r="L4336" s="227" t="n"/>
      <c r="M4336" s="227" t="n"/>
      <c r="N4336" s="127" t="n"/>
      <c r="O4336" s="227" t="n"/>
      <c r="P4336" s="227" t="n"/>
      <c r="Q4336" s="227" t="n"/>
      <c r="R4336" s="227" t="n"/>
      <c r="S4336" s="227" t="n"/>
      <c r="T4336" s="227" t="n"/>
    </row>
    <row r="4337">
      <c r="A4337" s="145">
        <f>IF($B4337="","",ROW()-5)</f>
        <v/>
      </c>
      <c r="B4337" s="127" t="n"/>
      <c r="C4337" s="223" t="n"/>
      <c r="D4337" s="127" t="n"/>
      <c r="E4337" s="227" t="n"/>
      <c r="F4337" s="227" t="n"/>
      <c r="G4337" s="227" t="n"/>
      <c r="H4337" s="227" t="n"/>
      <c r="I4337" s="227" t="n"/>
      <c r="J4337" s="227" t="n"/>
      <c r="K4337" s="227" t="n"/>
      <c r="L4337" s="227" t="n"/>
      <c r="M4337" s="227" t="n"/>
      <c r="N4337" s="127" t="n"/>
      <c r="O4337" s="227" t="n"/>
      <c r="P4337" s="227" t="n"/>
      <c r="Q4337" s="227" t="n"/>
      <c r="R4337" s="227" t="n"/>
      <c r="S4337" s="227" t="n"/>
      <c r="T4337" s="227" t="n"/>
    </row>
    <row r="4338">
      <c r="A4338" s="145">
        <f>IF($B4338="","",ROW()-5)</f>
        <v/>
      </c>
      <c r="B4338" s="127" t="n"/>
      <c r="C4338" s="223" t="n"/>
      <c r="D4338" s="127" t="n"/>
      <c r="E4338" s="227" t="n"/>
      <c r="F4338" s="227" t="n"/>
      <c r="G4338" s="227" t="n"/>
      <c r="H4338" s="227" t="n"/>
      <c r="I4338" s="227" t="n"/>
      <c r="J4338" s="227" t="n"/>
      <c r="K4338" s="227" t="n"/>
      <c r="L4338" s="227" t="n"/>
      <c r="M4338" s="227" t="n"/>
      <c r="N4338" s="127" t="n"/>
      <c r="O4338" s="227" t="n"/>
      <c r="P4338" s="227" t="n"/>
      <c r="Q4338" s="227" t="n"/>
      <c r="R4338" s="227" t="n"/>
      <c r="S4338" s="227" t="n"/>
      <c r="T4338" s="227" t="n"/>
    </row>
    <row r="4339">
      <c r="A4339" s="145">
        <f>IF($B4339="","",ROW()-5)</f>
        <v/>
      </c>
      <c r="B4339" s="127" t="n"/>
      <c r="C4339" s="223" t="n"/>
      <c r="D4339" s="127" t="n"/>
      <c r="E4339" s="227" t="n"/>
      <c r="F4339" s="227" t="n"/>
      <c r="G4339" s="227" t="n"/>
      <c r="H4339" s="227" t="n"/>
      <c r="I4339" s="227" t="n"/>
      <c r="J4339" s="227" t="n"/>
      <c r="K4339" s="227" t="n"/>
      <c r="L4339" s="227" t="n"/>
      <c r="M4339" s="227" t="n"/>
      <c r="N4339" s="127" t="n"/>
      <c r="O4339" s="227" t="n"/>
      <c r="P4339" s="227" t="n"/>
      <c r="Q4339" s="227" t="n"/>
      <c r="R4339" s="227" t="n"/>
      <c r="S4339" s="227" t="n"/>
      <c r="T4339" s="227" t="n"/>
    </row>
    <row r="4340">
      <c r="A4340" s="145">
        <f>IF($B4340="","",ROW()-5)</f>
        <v/>
      </c>
      <c r="B4340" s="127" t="n"/>
      <c r="C4340" s="223" t="n"/>
      <c r="D4340" s="127" t="n"/>
      <c r="E4340" s="227" t="n"/>
      <c r="F4340" s="227" t="n"/>
      <c r="G4340" s="227" t="n"/>
      <c r="H4340" s="227" t="n"/>
      <c r="I4340" s="227" t="n"/>
      <c r="J4340" s="227" t="n"/>
      <c r="K4340" s="227" t="n"/>
      <c r="L4340" s="227" t="n"/>
      <c r="M4340" s="227" t="n"/>
      <c r="N4340" s="127" t="n"/>
      <c r="O4340" s="227" t="n"/>
      <c r="P4340" s="227" t="n"/>
      <c r="Q4340" s="227" t="n"/>
      <c r="R4340" s="227" t="n"/>
      <c r="S4340" s="227" t="n"/>
      <c r="T4340" s="227" t="n"/>
    </row>
    <row r="4341">
      <c r="A4341" s="145">
        <f>IF($B4341="","",ROW()-5)</f>
        <v/>
      </c>
      <c r="B4341" s="127" t="n"/>
      <c r="C4341" s="223" t="n"/>
      <c r="D4341" s="127" t="n"/>
      <c r="E4341" s="227" t="n"/>
      <c r="F4341" s="227" t="n"/>
      <c r="G4341" s="227" t="n"/>
      <c r="H4341" s="227" t="n"/>
      <c r="I4341" s="227" t="n"/>
      <c r="J4341" s="227" t="n"/>
      <c r="K4341" s="227" t="n"/>
      <c r="L4341" s="227" t="n"/>
      <c r="M4341" s="227" t="n"/>
      <c r="N4341" s="127" t="n"/>
      <c r="O4341" s="227" t="n"/>
      <c r="P4341" s="227" t="n"/>
      <c r="Q4341" s="227" t="n"/>
      <c r="R4341" s="227" t="n"/>
      <c r="S4341" s="227" t="n"/>
      <c r="T4341" s="227" t="n"/>
    </row>
    <row r="4342">
      <c r="A4342" s="145">
        <f>IF($B4342="","",ROW()-5)</f>
        <v/>
      </c>
      <c r="B4342" s="127" t="n"/>
      <c r="C4342" s="223" t="n"/>
      <c r="D4342" s="127" t="n"/>
      <c r="E4342" s="227" t="n"/>
      <c r="F4342" s="227" t="n"/>
      <c r="G4342" s="227" t="n"/>
      <c r="H4342" s="227" t="n"/>
      <c r="I4342" s="227" t="n"/>
      <c r="J4342" s="227" t="n"/>
      <c r="K4342" s="227" t="n"/>
      <c r="L4342" s="227" t="n"/>
      <c r="M4342" s="227" t="n"/>
      <c r="N4342" s="127" t="n"/>
      <c r="O4342" s="227" t="n"/>
      <c r="P4342" s="227" t="n"/>
      <c r="Q4342" s="227" t="n"/>
      <c r="R4342" s="227" t="n"/>
      <c r="S4342" s="227" t="n"/>
      <c r="T4342" s="227" t="n"/>
    </row>
    <row r="4343">
      <c r="A4343" s="145">
        <f>IF($B4343="","",ROW()-5)</f>
        <v/>
      </c>
      <c r="B4343" s="127" t="n"/>
      <c r="C4343" s="223" t="n"/>
      <c r="D4343" s="127" t="n"/>
      <c r="E4343" s="227" t="n"/>
      <c r="F4343" s="227" t="n"/>
      <c r="G4343" s="227" t="n"/>
      <c r="H4343" s="227" t="n"/>
      <c r="I4343" s="227" t="n"/>
      <c r="J4343" s="227" t="n"/>
      <c r="K4343" s="227" t="n"/>
      <c r="L4343" s="227" t="n"/>
      <c r="M4343" s="227" t="n"/>
      <c r="N4343" s="127" t="n"/>
      <c r="O4343" s="227" t="n"/>
      <c r="P4343" s="227" t="n"/>
      <c r="Q4343" s="227" t="n"/>
      <c r="R4343" s="227" t="n"/>
      <c r="S4343" s="227" t="n"/>
      <c r="T4343" s="227" t="n"/>
    </row>
    <row r="4344">
      <c r="A4344" s="145">
        <f>IF($B4344="","",ROW()-5)</f>
        <v/>
      </c>
      <c r="B4344" s="127" t="n"/>
      <c r="C4344" s="223" t="n"/>
      <c r="D4344" s="127" t="n"/>
      <c r="E4344" s="227" t="n"/>
      <c r="F4344" s="227" t="n"/>
      <c r="G4344" s="227" t="n"/>
      <c r="H4344" s="227" t="n"/>
      <c r="I4344" s="227" t="n"/>
      <c r="J4344" s="227" t="n"/>
      <c r="K4344" s="227" t="n"/>
      <c r="L4344" s="227" t="n"/>
      <c r="M4344" s="227" t="n"/>
      <c r="N4344" s="127" t="n"/>
      <c r="O4344" s="227" t="n"/>
      <c r="P4344" s="227" t="n"/>
      <c r="Q4344" s="227" t="n"/>
      <c r="R4344" s="227" t="n"/>
      <c r="S4344" s="227" t="n"/>
      <c r="T4344" s="227" t="n"/>
    </row>
    <row r="4345">
      <c r="A4345" s="145">
        <f>IF($B4345="","",ROW()-5)</f>
        <v/>
      </c>
      <c r="B4345" s="127" t="n"/>
      <c r="C4345" s="223" t="n"/>
      <c r="D4345" s="127" t="n"/>
      <c r="E4345" s="227" t="n"/>
      <c r="F4345" s="227" t="n"/>
      <c r="G4345" s="227" t="n"/>
      <c r="H4345" s="227" t="n"/>
      <c r="I4345" s="227" t="n"/>
      <c r="J4345" s="227" t="n"/>
      <c r="K4345" s="227" t="n"/>
      <c r="L4345" s="227" t="n"/>
      <c r="M4345" s="227" t="n"/>
      <c r="N4345" s="127" t="n"/>
      <c r="O4345" s="227" t="n"/>
      <c r="P4345" s="227" t="n"/>
      <c r="Q4345" s="227" t="n"/>
      <c r="R4345" s="227" t="n"/>
      <c r="S4345" s="227" t="n"/>
      <c r="T4345" s="227" t="n"/>
    </row>
    <row r="4346">
      <c r="A4346" s="145">
        <f>IF($B4346="","",ROW()-5)</f>
        <v/>
      </c>
      <c r="B4346" s="127" t="n"/>
      <c r="C4346" s="223" t="n"/>
      <c r="D4346" s="127" t="n"/>
      <c r="E4346" s="227" t="n"/>
      <c r="F4346" s="227" t="n"/>
      <c r="G4346" s="227" t="n"/>
      <c r="H4346" s="227" t="n"/>
      <c r="I4346" s="227" t="n"/>
      <c r="J4346" s="227" t="n"/>
      <c r="K4346" s="227" t="n"/>
      <c r="L4346" s="227" t="n"/>
      <c r="M4346" s="227" t="n"/>
      <c r="N4346" s="127" t="n"/>
      <c r="O4346" s="227" t="n"/>
      <c r="P4346" s="227" t="n"/>
      <c r="Q4346" s="227" t="n"/>
      <c r="R4346" s="227" t="n"/>
      <c r="S4346" s="227" t="n"/>
      <c r="T4346" s="227" t="n"/>
    </row>
    <row r="4347">
      <c r="A4347" s="145">
        <f>IF($B4347="","",ROW()-5)</f>
        <v/>
      </c>
      <c r="B4347" s="127" t="n"/>
      <c r="C4347" s="223" t="n"/>
      <c r="D4347" s="127" t="n"/>
      <c r="E4347" s="227" t="n"/>
      <c r="F4347" s="227" t="n"/>
      <c r="G4347" s="227" t="n"/>
      <c r="H4347" s="227" t="n"/>
      <c r="I4347" s="227" t="n"/>
      <c r="J4347" s="227" t="n"/>
      <c r="K4347" s="227" t="n"/>
      <c r="L4347" s="227" t="n"/>
      <c r="M4347" s="227" t="n"/>
      <c r="N4347" s="127" t="n"/>
      <c r="O4347" s="227" t="n"/>
      <c r="P4347" s="227" t="n"/>
      <c r="Q4347" s="227" t="n"/>
      <c r="R4347" s="227" t="n"/>
      <c r="S4347" s="227" t="n"/>
      <c r="T4347" s="227" t="n"/>
    </row>
    <row r="4348">
      <c r="A4348" s="145">
        <f>IF($B4348="","",ROW()-5)</f>
        <v/>
      </c>
      <c r="B4348" s="127" t="n"/>
      <c r="C4348" s="223" t="n"/>
      <c r="D4348" s="127" t="n"/>
      <c r="E4348" s="227" t="n"/>
      <c r="F4348" s="227" t="n"/>
      <c r="G4348" s="227" t="n"/>
      <c r="H4348" s="227" t="n"/>
      <c r="I4348" s="227" t="n"/>
      <c r="J4348" s="227" t="n"/>
      <c r="K4348" s="227" t="n"/>
      <c r="L4348" s="227" t="n"/>
      <c r="M4348" s="227" t="n"/>
      <c r="N4348" s="127" t="n"/>
      <c r="O4348" s="227" t="n"/>
      <c r="P4348" s="227" t="n"/>
      <c r="Q4348" s="227" t="n"/>
      <c r="R4348" s="227" t="n"/>
      <c r="S4348" s="227" t="n"/>
      <c r="T4348" s="227" t="n"/>
    </row>
    <row r="4349">
      <c r="A4349" s="145">
        <f>IF($B4349="","",ROW()-5)</f>
        <v/>
      </c>
      <c r="B4349" s="127" t="n"/>
      <c r="C4349" s="223" t="n"/>
      <c r="D4349" s="127" t="n"/>
      <c r="E4349" s="227" t="n"/>
      <c r="F4349" s="227" t="n"/>
      <c r="G4349" s="227" t="n"/>
      <c r="H4349" s="227" t="n"/>
      <c r="I4349" s="227" t="n"/>
      <c r="J4349" s="227" t="n"/>
      <c r="K4349" s="227" t="n"/>
      <c r="L4349" s="227" t="n"/>
      <c r="M4349" s="227" t="n"/>
      <c r="N4349" s="127" t="n"/>
      <c r="O4349" s="227" t="n"/>
      <c r="P4349" s="227" t="n"/>
      <c r="Q4349" s="227" t="n"/>
      <c r="R4349" s="227" t="n"/>
      <c r="S4349" s="227" t="n"/>
      <c r="T4349" s="227" t="n"/>
    </row>
    <row r="4350">
      <c r="A4350" s="145">
        <f>IF($B4350="","",ROW()-5)</f>
        <v/>
      </c>
      <c r="B4350" s="127" t="n"/>
      <c r="C4350" s="223" t="n"/>
      <c r="D4350" s="127" t="n"/>
      <c r="E4350" s="227" t="n"/>
      <c r="F4350" s="227" t="n"/>
      <c r="G4350" s="227" t="n"/>
      <c r="H4350" s="227" t="n"/>
      <c r="I4350" s="227" t="n"/>
      <c r="J4350" s="227" t="n"/>
      <c r="K4350" s="227" t="n"/>
      <c r="L4350" s="227" t="n"/>
      <c r="M4350" s="227" t="n"/>
      <c r="N4350" s="127" t="n"/>
      <c r="O4350" s="227" t="n"/>
      <c r="P4350" s="227" t="n"/>
      <c r="Q4350" s="227" t="n"/>
      <c r="R4350" s="227" t="n"/>
      <c r="S4350" s="227" t="n"/>
      <c r="T4350" s="227" t="n"/>
    </row>
    <row r="4351">
      <c r="A4351" s="145">
        <f>IF($B4351="","",ROW()-5)</f>
        <v/>
      </c>
      <c r="B4351" s="127" t="n"/>
      <c r="C4351" s="223" t="n"/>
      <c r="D4351" s="127" t="n"/>
      <c r="E4351" s="227" t="n"/>
      <c r="F4351" s="227" t="n"/>
      <c r="G4351" s="227" t="n"/>
      <c r="H4351" s="227" t="n"/>
      <c r="I4351" s="227" t="n"/>
      <c r="J4351" s="227" t="n"/>
      <c r="K4351" s="227" t="n"/>
      <c r="L4351" s="227" t="n"/>
      <c r="M4351" s="227" t="n"/>
      <c r="N4351" s="127" t="n"/>
      <c r="O4351" s="227" t="n"/>
      <c r="P4351" s="227" t="n"/>
      <c r="Q4351" s="227" t="n"/>
      <c r="R4351" s="227" t="n"/>
      <c r="S4351" s="227" t="n"/>
      <c r="T4351" s="227" t="n"/>
    </row>
    <row r="4352">
      <c r="A4352" s="145">
        <f>IF($B4352="","",ROW()-5)</f>
        <v/>
      </c>
      <c r="B4352" s="127" t="n"/>
      <c r="C4352" s="223" t="n"/>
      <c r="D4352" s="127" t="n"/>
      <c r="E4352" s="227" t="n"/>
      <c r="F4352" s="227" t="n"/>
      <c r="G4352" s="227" t="n"/>
      <c r="H4352" s="227" t="n"/>
      <c r="I4352" s="227" t="n"/>
      <c r="J4352" s="227" t="n"/>
      <c r="K4352" s="227" t="n"/>
      <c r="L4352" s="227" t="n"/>
      <c r="M4352" s="227" t="n"/>
      <c r="N4352" s="127" t="n"/>
      <c r="O4352" s="227" t="n"/>
      <c r="P4352" s="227" t="n"/>
      <c r="Q4352" s="227" t="n"/>
      <c r="R4352" s="227" t="n"/>
      <c r="S4352" s="227" t="n"/>
      <c r="T4352" s="227" t="n"/>
    </row>
    <row r="4353">
      <c r="A4353" s="145">
        <f>IF($B4353="","",ROW()-5)</f>
        <v/>
      </c>
      <c r="B4353" s="127" t="n"/>
      <c r="C4353" s="223" t="n"/>
      <c r="D4353" s="127" t="n"/>
      <c r="E4353" s="227" t="n"/>
      <c r="F4353" s="227" t="n"/>
      <c r="G4353" s="227" t="n"/>
      <c r="H4353" s="227" t="n"/>
      <c r="I4353" s="227" t="n"/>
      <c r="J4353" s="227" t="n"/>
      <c r="K4353" s="227" t="n"/>
      <c r="L4353" s="227" t="n"/>
      <c r="M4353" s="227" t="n"/>
      <c r="N4353" s="127" t="n"/>
      <c r="O4353" s="227" t="n"/>
      <c r="P4353" s="227" t="n"/>
      <c r="Q4353" s="227" t="n"/>
      <c r="R4353" s="227" t="n"/>
      <c r="S4353" s="227" t="n"/>
      <c r="T4353" s="227" t="n"/>
    </row>
    <row r="4354">
      <c r="A4354" s="145">
        <f>IF($B4354="","",ROW()-5)</f>
        <v/>
      </c>
      <c r="B4354" s="127" t="n"/>
      <c r="C4354" s="223" t="n"/>
      <c r="D4354" s="127" t="n"/>
      <c r="E4354" s="227" t="n"/>
      <c r="F4354" s="227" t="n"/>
      <c r="G4354" s="227" t="n"/>
      <c r="H4354" s="227" t="n"/>
      <c r="I4354" s="227" t="n"/>
      <c r="J4354" s="227" t="n"/>
      <c r="K4354" s="227" t="n"/>
      <c r="L4354" s="227" t="n"/>
      <c r="M4354" s="227" t="n"/>
      <c r="N4354" s="127" t="n"/>
      <c r="O4354" s="227" t="n"/>
      <c r="P4354" s="227" t="n"/>
      <c r="Q4354" s="227" t="n"/>
      <c r="R4354" s="227" t="n"/>
      <c r="S4354" s="227" t="n"/>
      <c r="T4354" s="227" t="n"/>
    </row>
    <row r="4355">
      <c r="A4355" s="145">
        <f>IF($B4355="","",ROW()-5)</f>
        <v/>
      </c>
      <c r="B4355" s="127" t="n"/>
      <c r="C4355" s="223" t="n"/>
      <c r="D4355" s="127" t="n"/>
      <c r="E4355" s="227" t="n"/>
      <c r="F4355" s="227" t="n"/>
      <c r="G4355" s="227" t="n"/>
      <c r="H4355" s="227" t="n"/>
      <c r="I4355" s="227" t="n"/>
      <c r="J4355" s="227" t="n"/>
      <c r="K4355" s="227" t="n"/>
      <c r="L4355" s="227" t="n"/>
      <c r="M4355" s="227" t="n"/>
      <c r="N4355" s="127" t="n"/>
      <c r="O4355" s="227" t="n"/>
      <c r="P4355" s="227" t="n"/>
      <c r="Q4355" s="227" t="n"/>
      <c r="R4355" s="227" t="n"/>
      <c r="S4355" s="227" t="n"/>
      <c r="T4355" s="227" t="n"/>
    </row>
    <row r="4356">
      <c r="A4356" s="145">
        <f>IF($B4356="","",ROW()-5)</f>
        <v/>
      </c>
      <c r="B4356" s="127" t="n"/>
      <c r="C4356" s="223" t="n"/>
      <c r="D4356" s="127" t="n"/>
      <c r="E4356" s="227" t="n"/>
      <c r="F4356" s="227" t="n"/>
      <c r="G4356" s="227" t="n"/>
      <c r="H4356" s="227" t="n"/>
      <c r="I4356" s="227" t="n"/>
      <c r="J4356" s="227" t="n"/>
      <c r="K4356" s="227" t="n"/>
      <c r="L4356" s="227" t="n"/>
      <c r="M4356" s="227" t="n"/>
      <c r="N4356" s="127" t="n"/>
      <c r="O4356" s="227" t="n"/>
      <c r="P4356" s="227" t="n"/>
      <c r="Q4356" s="227" t="n"/>
      <c r="R4356" s="227" t="n"/>
      <c r="S4356" s="227" t="n"/>
      <c r="T4356" s="227" t="n"/>
    </row>
    <row r="4357">
      <c r="A4357" s="145">
        <f>IF($B4357="","",ROW()-5)</f>
        <v/>
      </c>
      <c r="B4357" s="127" t="n"/>
      <c r="C4357" s="223" t="n"/>
      <c r="D4357" s="127" t="n"/>
      <c r="E4357" s="227" t="n"/>
      <c r="F4357" s="227" t="n"/>
      <c r="G4357" s="227" t="n"/>
      <c r="H4357" s="227" t="n"/>
      <c r="I4357" s="227" t="n"/>
      <c r="J4357" s="227" t="n"/>
      <c r="K4357" s="227" t="n"/>
      <c r="L4357" s="227" t="n"/>
      <c r="M4357" s="227" t="n"/>
      <c r="N4357" s="127" t="n"/>
      <c r="O4357" s="227" t="n"/>
      <c r="P4357" s="227" t="n"/>
      <c r="Q4357" s="227" t="n"/>
      <c r="R4357" s="227" t="n"/>
      <c r="S4357" s="227" t="n"/>
      <c r="T4357" s="227" t="n"/>
    </row>
    <row r="4358">
      <c r="A4358" s="145">
        <f>IF($B4358="","",ROW()-5)</f>
        <v/>
      </c>
      <c r="B4358" s="127" t="n"/>
      <c r="C4358" s="223" t="n"/>
      <c r="D4358" s="127" t="n"/>
      <c r="E4358" s="227" t="n"/>
      <c r="F4358" s="227" t="n"/>
      <c r="G4358" s="227" t="n"/>
      <c r="H4358" s="227" t="n"/>
      <c r="I4358" s="227" t="n"/>
      <c r="J4358" s="227" t="n"/>
      <c r="K4358" s="227" t="n"/>
      <c r="L4358" s="227" t="n"/>
      <c r="M4358" s="227" t="n"/>
      <c r="N4358" s="127" t="n"/>
      <c r="O4358" s="227" t="n"/>
      <c r="P4358" s="227" t="n"/>
      <c r="Q4358" s="227" t="n"/>
      <c r="R4358" s="227" t="n"/>
      <c r="S4358" s="227" t="n"/>
      <c r="T4358" s="227" t="n"/>
    </row>
    <row r="4359">
      <c r="A4359" s="145">
        <f>IF($B4359="","",ROW()-5)</f>
        <v/>
      </c>
      <c r="B4359" s="127" t="n"/>
      <c r="C4359" s="223" t="n"/>
      <c r="D4359" s="127" t="n"/>
      <c r="E4359" s="227" t="n"/>
      <c r="F4359" s="227" t="n"/>
      <c r="G4359" s="227" t="n"/>
      <c r="H4359" s="227" t="n"/>
      <c r="I4359" s="227" t="n"/>
      <c r="J4359" s="227" t="n"/>
      <c r="K4359" s="227" t="n"/>
      <c r="L4359" s="227" t="n"/>
      <c r="M4359" s="227" t="n"/>
      <c r="N4359" s="127" t="n"/>
      <c r="O4359" s="227" t="n"/>
      <c r="P4359" s="227" t="n"/>
      <c r="Q4359" s="227" t="n"/>
      <c r="R4359" s="227" t="n"/>
      <c r="S4359" s="227" t="n"/>
      <c r="T4359" s="227" t="n"/>
    </row>
    <row r="4360">
      <c r="A4360" s="145">
        <f>IF($B4360="","",ROW()-5)</f>
        <v/>
      </c>
      <c r="B4360" s="127" t="n"/>
      <c r="C4360" s="223" t="n"/>
      <c r="D4360" s="127" t="n"/>
      <c r="E4360" s="227" t="n"/>
      <c r="F4360" s="227" t="n"/>
      <c r="G4360" s="227" t="n"/>
      <c r="H4360" s="227" t="n"/>
      <c r="I4360" s="227" t="n"/>
      <c r="J4360" s="227" t="n"/>
      <c r="K4360" s="227" t="n"/>
      <c r="L4360" s="227" t="n"/>
      <c r="M4360" s="227" t="n"/>
      <c r="N4360" s="127" t="n"/>
      <c r="O4360" s="227" t="n"/>
      <c r="P4360" s="227" t="n"/>
      <c r="Q4360" s="227" t="n"/>
      <c r="R4360" s="227" t="n"/>
      <c r="S4360" s="227" t="n"/>
      <c r="T4360" s="227" t="n"/>
    </row>
    <row r="4361">
      <c r="A4361" s="145">
        <f>IF($B4361="","",ROW()-5)</f>
        <v/>
      </c>
      <c r="B4361" s="127" t="n"/>
      <c r="C4361" s="223" t="n"/>
      <c r="D4361" s="127" t="n"/>
      <c r="E4361" s="227" t="n"/>
      <c r="F4361" s="227" t="n"/>
      <c r="G4361" s="227" t="n"/>
      <c r="H4361" s="227" t="n"/>
      <c r="I4361" s="227" t="n"/>
      <c r="J4361" s="227" t="n"/>
      <c r="K4361" s="227" t="n"/>
      <c r="L4361" s="227" t="n"/>
      <c r="M4361" s="227" t="n"/>
      <c r="N4361" s="127" t="n"/>
      <c r="O4361" s="227" t="n"/>
      <c r="P4361" s="227" t="n"/>
      <c r="Q4361" s="227" t="n"/>
      <c r="R4361" s="227" t="n"/>
      <c r="S4361" s="227" t="n"/>
      <c r="T4361" s="227" t="n"/>
    </row>
    <row r="4362">
      <c r="A4362" s="145">
        <f>IF($B4362="","",ROW()-5)</f>
        <v/>
      </c>
      <c r="B4362" s="127" t="n"/>
      <c r="C4362" s="223" t="n"/>
      <c r="D4362" s="127" t="n"/>
      <c r="E4362" s="227" t="n"/>
      <c r="F4362" s="227" t="n"/>
      <c r="G4362" s="227" t="n"/>
      <c r="H4362" s="227" t="n"/>
      <c r="I4362" s="227" t="n"/>
      <c r="J4362" s="227" t="n"/>
      <c r="K4362" s="227" t="n"/>
      <c r="L4362" s="227" t="n"/>
      <c r="M4362" s="227" t="n"/>
      <c r="N4362" s="127" t="n"/>
      <c r="O4362" s="227" t="n"/>
      <c r="P4362" s="227" t="n"/>
      <c r="Q4362" s="227" t="n"/>
      <c r="R4362" s="227" t="n"/>
      <c r="S4362" s="227" t="n"/>
      <c r="T4362" s="227" t="n"/>
    </row>
    <row r="4363">
      <c r="A4363" s="145">
        <f>IF($B4363="","",ROW()-5)</f>
        <v/>
      </c>
      <c r="B4363" s="127" t="n"/>
      <c r="C4363" s="223" t="n"/>
      <c r="D4363" s="127" t="n"/>
      <c r="E4363" s="227" t="n"/>
      <c r="F4363" s="227" t="n"/>
      <c r="G4363" s="227" t="n"/>
      <c r="H4363" s="227" t="n"/>
      <c r="I4363" s="227" t="n"/>
      <c r="J4363" s="227" t="n"/>
      <c r="K4363" s="227" t="n"/>
      <c r="L4363" s="227" t="n"/>
      <c r="M4363" s="227" t="n"/>
      <c r="N4363" s="127" t="n"/>
      <c r="O4363" s="227" t="n"/>
      <c r="P4363" s="227" t="n"/>
      <c r="Q4363" s="227" t="n"/>
      <c r="R4363" s="227" t="n"/>
      <c r="S4363" s="227" t="n"/>
      <c r="T4363" s="227" t="n"/>
    </row>
    <row r="4364">
      <c r="A4364" s="145">
        <f>IF($B4364="","",ROW()-5)</f>
        <v/>
      </c>
      <c r="B4364" s="127" t="n"/>
      <c r="C4364" s="223" t="n"/>
      <c r="D4364" s="127" t="n"/>
      <c r="E4364" s="227" t="n"/>
      <c r="F4364" s="227" t="n"/>
      <c r="G4364" s="227" t="n"/>
      <c r="H4364" s="227" t="n"/>
      <c r="I4364" s="227" t="n"/>
      <c r="J4364" s="227" t="n"/>
      <c r="K4364" s="227" t="n"/>
      <c r="L4364" s="227" t="n"/>
      <c r="M4364" s="227" t="n"/>
      <c r="N4364" s="127" t="n"/>
      <c r="O4364" s="227" t="n"/>
      <c r="P4364" s="227" t="n"/>
      <c r="Q4364" s="227" t="n"/>
      <c r="R4364" s="227" t="n"/>
      <c r="S4364" s="227" t="n"/>
      <c r="T4364" s="227" t="n"/>
    </row>
    <row r="4365">
      <c r="A4365" s="145">
        <f>IF($B4365="","",ROW()-5)</f>
        <v/>
      </c>
      <c r="B4365" s="127" t="n"/>
      <c r="C4365" s="223" t="n"/>
      <c r="D4365" s="127" t="n"/>
      <c r="E4365" s="227" t="n"/>
      <c r="F4365" s="227" t="n"/>
      <c r="G4365" s="227" t="n"/>
      <c r="H4365" s="227" t="n"/>
      <c r="I4365" s="227" t="n"/>
      <c r="J4365" s="227" t="n"/>
      <c r="K4365" s="227" t="n"/>
      <c r="L4365" s="227" t="n"/>
      <c r="M4365" s="227" t="n"/>
      <c r="N4365" s="127" t="n"/>
      <c r="O4365" s="227" t="n"/>
      <c r="P4365" s="227" t="n"/>
      <c r="Q4365" s="227" t="n"/>
      <c r="R4365" s="227" t="n"/>
      <c r="S4365" s="227" t="n"/>
      <c r="T4365" s="227" t="n"/>
    </row>
    <row r="4366">
      <c r="A4366" s="145">
        <f>IF($B4366="","",ROW()-5)</f>
        <v/>
      </c>
      <c r="B4366" s="127" t="n"/>
      <c r="C4366" s="223" t="n"/>
      <c r="D4366" s="127" t="n"/>
      <c r="E4366" s="227" t="n"/>
      <c r="F4366" s="227" t="n"/>
      <c r="G4366" s="227" t="n"/>
      <c r="H4366" s="227" t="n"/>
      <c r="I4366" s="227" t="n"/>
      <c r="J4366" s="227" t="n"/>
      <c r="K4366" s="227" t="n"/>
      <c r="L4366" s="227" t="n"/>
      <c r="M4366" s="227" t="n"/>
      <c r="N4366" s="127" t="n"/>
      <c r="O4366" s="227" t="n"/>
      <c r="P4366" s="227" t="n"/>
      <c r="Q4366" s="227" t="n"/>
      <c r="R4366" s="227" t="n"/>
      <c r="S4366" s="227" t="n"/>
      <c r="T4366" s="227" t="n"/>
    </row>
    <row r="4367">
      <c r="A4367" s="145">
        <f>IF($B4367="","",ROW()-5)</f>
        <v/>
      </c>
      <c r="B4367" s="127" t="n"/>
      <c r="C4367" s="223" t="n"/>
      <c r="D4367" s="127" t="n"/>
      <c r="E4367" s="227" t="n"/>
      <c r="F4367" s="227" t="n"/>
      <c r="G4367" s="227" t="n"/>
      <c r="H4367" s="227" t="n"/>
      <c r="I4367" s="227" t="n"/>
      <c r="J4367" s="227" t="n"/>
      <c r="K4367" s="227" t="n"/>
      <c r="L4367" s="227" t="n"/>
      <c r="M4367" s="227" t="n"/>
      <c r="N4367" s="127" t="n"/>
      <c r="O4367" s="227" t="n"/>
      <c r="P4367" s="227" t="n"/>
      <c r="Q4367" s="227" t="n"/>
      <c r="R4367" s="227" t="n"/>
      <c r="S4367" s="227" t="n"/>
      <c r="T4367" s="227" t="n"/>
    </row>
    <row r="4368">
      <c r="A4368" s="145">
        <f>IF($B4368="","",ROW()-5)</f>
        <v/>
      </c>
      <c r="B4368" s="127" t="n"/>
      <c r="C4368" s="223" t="n"/>
      <c r="D4368" s="127" t="n"/>
      <c r="E4368" s="227" t="n"/>
      <c r="F4368" s="227" t="n"/>
      <c r="G4368" s="227" t="n"/>
      <c r="H4368" s="227" t="n"/>
      <c r="I4368" s="227" t="n"/>
      <c r="J4368" s="227" t="n"/>
      <c r="K4368" s="227" t="n"/>
      <c r="L4368" s="227" t="n"/>
      <c r="M4368" s="227" t="n"/>
      <c r="N4368" s="127" t="n"/>
      <c r="O4368" s="227" t="n"/>
      <c r="P4368" s="227" t="n"/>
      <c r="Q4368" s="227" t="n"/>
      <c r="R4368" s="227" t="n"/>
      <c r="S4368" s="227" t="n"/>
      <c r="T4368" s="227" t="n"/>
    </row>
    <row r="4369">
      <c r="A4369" s="145">
        <f>IF($B4369="","",ROW()-5)</f>
        <v/>
      </c>
      <c r="B4369" s="127" t="n"/>
      <c r="C4369" s="223" t="n"/>
      <c r="D4369" s="127" t="n"/>
      <c r="E4369" s="227" t="n"/>
      <c r="F4369" s="227" t="n"/>
      <c r="G4369" s="227" t="n"/>
      <c r="H4369" s="227" t="n"/>
      <c r="I4369" s="227" t="n"/>
      <c r="J4369" s="227" t="n"/>
      <c r="K4369" s="227" t="n"/>
      <c r="L4369" s="227" t="n"/>
      <c r="M4369" s="227" t="n"/>
      <c r="N4369" s="127" t="n"/>
      <c r="O4369" s="227" t="n"/>
      <c r="P4369" s="227" t="n"/>
      <c r="Q4369" s="227" t="n"/>
      <c r="R4369" s="227" t="n"/>
      <c r="S4369" s="227" t="n"/>
      <c r="T4369" s="227" t="n"/>
    </row>
    <row r="4370">
      <c r="A4370" s="145">
        <f>IF($B4370="","",ROW()-5)</f>
        <v/>
      </c>
      <c r="B4370" s="127" t="n"/>
      <c r="C4370" s="223" t="n"/>
      <c r="D4370" s="127" t="n"/>
      <c r="E4370" s="227" t="n"/>
      <c r="F4370" s="227" t="n"/>
      <c r="G4370" s="227" t="n"/>
      <c r="H4370" s="227" t="n"/>
      <c r="I4370" s="227" t="n"/>
      <c r="J4370" s="227" t="n"/>
      <c r="K4370" s="227" t="n"/>
      <c r="L4370" s="227" t="n"/>
      <c r="M4370" s="227" t="n"/>
      <c r="N4370" s="127" t="n"/>
      <c r="O4370" s="227" t="n"/>
      <c r="P4370" s="227" t="n"/>
      <c r="Q4370" s="227" t="n"/>
      <c r="R4370" s="227" t="n"/>
      <c r="S4370" s="227" t="n"/>
      <c r="T4370" s="227" t="n"/>
    </row>
    <row r="4371">
      <c r="A4371" s="145">
        <f>IF($B4371="","",ROW()-5)</f>
        <v/>
      </c>
      <c r="B4371" s="127" t="n"/>
      <c r="C4371" s="223" t="n"/>
      <c r="D4371" s="127" t="n"/>
      <c r="E4371" s="227" t="n"/>
      <c r="F4371" s="227" t="n"/>
      <c r="G4371" s="227" t="n"/>
      <c r="H4371" s="227" t="n"/>
      <c r="I4371" s="227" t="n"/>
      <c r="J4371" s="227" t="n"/>
      <c r="K4371" s="227" t="n"/>
      <c r="L4371" s="227" t="n"/>
      <c r="M4371" s="227" t="n"/>
      <c r="N4371" s="127" t="n"/>
      <c r="O4371" s="227" t="n"/>
      <c r="P4371" s="227" t="n"/>
      <c r="Q4371" s="227" t="n"/>
      <c r="R4371" s="227" t="n"/>
      <c r="S4371" s="227" t="n"/>
      <c r="T4371" s="227" t="n"/>
    </row>
    <row r="4372">
      <c r="A4372" s="145">
        <f>IF($B4372="","",ROW()-5)</f>
        <v/>
      </c>
      <c r="B4372" s="127" t="n"/>
      <c r="C4372" s="223" t="n"/>
      <c r="D4372" s="127" t="n"/>
      <c r="E4372" s="227" t="n"/>
      <c r="F4372" s="227" t="n"/>
      <c r="G4372" s="227" t="n"/>
      <c r="H4372" s="227" t="n"/>
      <c r="I4372" s="227" t="n"/>
      <c r="J4372" s="227" t="n"/>
      <c r="K4372" s="227" t="n"/>
      <c r="L4372" s="227" t="n"/>
      <c r="M4372" s="227" t="n"/>
      <c r="N4372" s="127" t="n"/>
      <c r="O4372" s="227" t="n"/>
      <c r="P4372" s="227" t="n"/>
      <c r="Q4372" s="227" t="n"/>
      <c r="R4372" s="227" t="n"/>
      <c r="S4372" s="227" t="n"/>
      <c r="T4372" s="227" t="n"/>
    </row>
    <row r="4373">
      <c r="A4373" s="145">
        <f>IF($B4373="","",ROW()-5)</f>
        <v/>
      </c>
      <c r="B4373" s="127" t="n"/>
      <c r="C4373" s="223" t="n"/>
      <c r="D4373" s="127" t="n"/>
      <c r="E4373" s="227" t="n"/>
      <c r="F4373" s="227" t="n"/>
      <c r="G4373" s="227" t="n"/>
      <c r="H4373" s="227" t="n"/>
      <c r="I4373" s="227" t="n"/>
      <c r="J4373" s="227" t="n"/>
      <c r="K4373" s="227" t="n"/>
      <c r="L4373" s="227" t="n"/>
      <c r="M4373" s="227" t="n"/>
      <c r="N4373" s="127" t="n"/>
      <c r="O4373" s="227" t="n"/>
      <c r="P4373" s="227" t="n"/>
      <c r="Q4373" s="227" t="n"/>
      <c r="R4373" s="227" t="n"/>
      <c r="S4373" s="227" t="n"/>
      <c r="T4373" s="227" t="n"/>
    </row>
    <row r="4374">
      <c r="A4374" s="145">
        <f>IF($B4374="","",ROW()-5)</f>
        <v/>
      </c>
      <c r="B4374" s="127" t="n"/>
      <c r="C4374" s="223" t="n"/>
      <c r="D4374" s="127" t="n"/>
      <c r="E4374" s="227" t="n"/>
      <c r="F4374" s="227" t="n"/>
      <c r="G4374" s="227" t="n"/>
      <c r="H4374" s="227" t="n"/>
      <c r="I4374" s="227" t="n"/>
      <c r="J4374" s="227" t="n"/>
      <c r="K4374" s="227" t="n"/>
      <c r="L4374" s="227" t="n"/>
      <c r="M4374" s="227" t="n"/>
      <c r="N4374" s="127" t="n"/>
      <c r="O4374" s="227" t="n"/>
      <c r="P4374" s="227" t="n"/>
      <c r="Q4374" s="227" t="n"/>
      <c r="R4374" s="227" t="n"/>
      <c r="S4374" s="227" t="n"/>
      <c r="T4374" s="227" t="n"/>
    </row>
    <row r="4375">
      <c r="A4375" s="145">
        <f>IF($B4375="","",ROW()-5)</f>
        <v/>
      </c>
      <c r="B4375" s="127" t="n"/>
      <c r="C4375" s="223" t="n"/>
      <c r="D4375" s="127" t="n"/>
      <c r="E4375" s="227" t="n"/>
      <c r="F4375" s="227" t="n"/>
      <c r="G4375" s="227" t="n"/>
      <c r="H4375" s="227" t="n"/>
      <c r="I4375" s="227" t="n"/>
      <c r="J4375" s="227" t="n"/>
      <c r="K4375" s="227" t="n"/>
      <c r="L4375" s="227" t="n"/>
      <c r="M4375" s="227" t="n"/>
      <c r="N4375" s="127" t="n"/>
      <c r="O4375" s="227" t="n"/>
      <c r="P4375" s="227" t="n"/>
      <c r="Q4375" s="227" t="n"/>
      <c r="R4375" s="227" t="n"/>
      <c r="S4375" s="227" t="n"/>
      <c r="T4375" s="227" t="n"/>
    </row>
    <row r="4376">
      <c r="A4376" s="145">
        <f>IF($B4376="","",ROW()-5)</f>
        <v/>
      </c>
      <c r="B4376" s="127" t="n"/>
      <c r="C4376" s="223" t="n"/>
      <c r="D4376" s="127" t="n"/>
      <c r="E4376" s="227" t="n"/>
      <c r="F4376" s="227" t="n"/>
      <c r="G4376" s="227" t="n"/>
      <c r="H4376" s="227" t="n"/>
      <c r="I4376" s="227" t="n"/>
      <c r="J4376" s="227" t="n"/>
      <c r="K4376" s="227" t="n"/>
      <c r="L4376" s="227" t="n"/>
      <c r="M4376" s="227" t="n"/>
      <c r="N4376" s="127" t="n"/>
      <c r="O4376" s="227" t="n"/>
      <c r="P4376" s="227" t="n"/>
      <c r="Q4376" s="227" t="n"/>
      <c r="R4376" s="227" t="n"/>
      <c r="S4376" s="227" t="n"/>
      <c r="T4376" s="227" t="n"/>
    </row>
    <row r="4377">
      <c r="A4377" s="145">
        <f>IF($B4377="","",ROW()-5)</f>
        <v/>
      </c>
      <c r="B4377" s="127" t="n"/>
      <c r="C4377" s="223" t="n"/>
      <c r="D4377" s="127" t="n"/>
      <c r="E4377" s="227" t="n"/>
      <c r="F4377" s="227" t="n"/>
      <c r="G4377" s="227" t="n"/>
      <c r="H4377" s="227" t="n"/>
      <c r="I4377" s="227" t="n"/>
      <c r="J4377" s="227" t="n"/>
      <c r="K4377" s="227" t="n"/>
      <c r="L4377" s="227" t="n"/>
      <c r="M4377" s="227" t="n"/>
      <c r="N4377" s="127" t="n"/>
      <c r="O4377" s="227" t="n"/>
      <c r="P4377" s="227" t="n"/>
      <c r="Q4377" s="227" t="n"/>
      <c r="R4377" s="227" t="n"/>
      <c r="S4377" s="227" t="n"/>
      <c r="T4377" s="227" t="n"/>
    </row>
    <row r="4378">
      <c r="A4378" s="145">
        <f>IF($B4378="","",ROW()-5)</f>
        <v/>
      </c>
      <c r="B4378" s="127" t="n"/>
      <c r="C4378" s="223" t="n"/>
      <c r="D4378" s="127" t="n"/>
      <c r="E4378" s="227" t="n"/>
      <c r="F4378" s="227" t="n"/>
      <c r="G4378" s="227" t="n"/>
      <c r="H4378" s="227" t="n"/>
      <c r="I4378" s="227" t="n"/>
      <c r="J4378" s="227" t="n"/>
      <c r="K4378" s="227" t="n"/>
      <c r="L4378" s="227" t="n"/>
      <c r="M4378" s="227" t="n"/>
      <c r="N4378" s="127" t="n"/>
      <c r="O4378" s="227" t="n"/>
      <c r="P4378" s="227" t="n"/>
      <c r="Q4378" s="227" t="n"/>
      <c r="R4378" s="227" t="n"/>
      <c r="S4378" s="227" t="n"/>
      <c r="T4378" s="227" t="n"/>
    </row>
    <row r="4379">
      <c r="A4379" s="145">
        <f>IF($B4379="","",ROW()-5)</f>
        <v/>
      </c>
      <c r="B4379" s="127" t="n"/>
      <c r="C4379" s="223" t="n"/>
      <c r="D4379" s="127" t="n"/>
      <c r="E4379" s="227" t="n"/>
      <c r="F4379" s="227" t="n"/>
      <c r="G4379" s="227" t="n"/>
      <c r="H4379" s="227" t="n"/>
      <c r="I4379" s="227" t="n"/>
      <c r="J4379" s="227" t="n"/>
      <c r="K4379" s="227" t="n"/>
      <c r="L4379" s="227" t="n"/>
      <c r="M4379" s="227" t="n"/>
      <c r="N4379" s="127" t="n"/>
      <c r="O4379" s="227" t="n"/>
      <c r="P4379" s="227" t="n"/>
      <c r="Q4379" s="227" t="n"/>
      <c r="R4379" s="227" t="n"/>
      <c r="S4379" s="227" t="n"/>
      <c r="T4379" s="227" t="n"/>
    </row>
    <row r="4380">
      <c r="A4380" s="145">
        <f>IF($B4380="","",ROW()-5)</f>
        <v/>
      </c>
      <c r="B4380" s="127" t="n"/>
      <c r="C4380" s="223" t="n"/>
      <c r="D4380" s="127" t="n"/>
      <c r="E4380" s="227" t="n"/>
      <c r="F4380" s="227" t="n"/>
      <c r="G4380" s="227" t="n"/>
      <c r="H4380" s="227" t="n"/>
      <c r="I4380" s="227" t="n"/>
      <c r="J4380" s="227" t="n"/>
      <c r="K4380" s="227" t="n"/>
      <c r="L4380" s="227" t="n"/>
      <c r="M4380" s="227" t="n"/>
      <c r="N4380" s="127" t="n"/>
      <c r="O4380" s="227" t="n"/>
      <c r="P4380" s="227" t="n"/>
      <c r="Q4380" s="227" t="n"/>
      <c r="R4380" s="227" t="n"/>
      <c r="S4380" s="227" t="n"/>
      <c r="T4380" s="227" t="n"/>
    </row>
    <row r="4381">
      <c r="A4381" s="145">
        <f>IF($B4381="","",ROW()-5)</f>
        <v/>
      </c>
      <c r="B4381" s="127" t="n"/>
      <c r="C4381" s="223" t="n"/>
      <c r="D4381" s="127" t="n"/>
      <c r="E4381" s="227" t="n"/>
      <c r="F4381" s="227" t="n"/>
      <c r="G4381" s="227" t="n"/>
      <c r="H4381" s="227" t="n"/>
      <c r="I4381" s="227" t="n"/>
      <c r="J4381" s="227" t="n"/>
      <c r="K4381" s="227" t="n"/>
      <c r="L4381" s="227" t="n"/>
      <c r="M4381" s="227" t="n"/>
      <c r="N4381" s="127" t="n"/>
      <c r="O4381" s="227" t="n"/>
      <c r="P4381" s="227" t="n"/>
      <c r="Q4381" s="227" t="n"/>
      <c r="R4381" s="227" t="n"/>
      <c r="S4381" s="227" t="n"/>
      <c r="T4381" s="227" t="n"/>
    </row>
    <row r="4382">
      <c r="A4382" s="145">
        <f>IF($B4382="","",ROW()-5)</f>
        <v/>
      </c>
      <c r="B4382" s="127" t="n"/>
      <c r="C4382" s="223" t="n"/>
      <c r="D4382" s="127" t="n"/>
      <c r="E4382" s="227" t="n"/>
      <c r="F4382" s="227" t="n"/>
      <c r="G4382" s="227" t="n"/>
      <c r="H4382" s="227" t="n"/>
      <c r="I4382" s="227" t="n"/>
      <c r="J4382" s="227" t="n"/>
      <c r="K4382" s="227" t="n"/>
      <c r="L4382" s="227" t="n"/>
      <c r="M4382" s="227" t="n"/>
      <c r="N4382" s="127" t="n"/>
      <c r="O4382" s="227" t="n"/>
      <c r="P4382" s="227" t="n"/>
      <c r="Q4382" s="227" t="n"/>
      <c r="R4382" s="227" t="n"/>
      <c r="S4382" s="227" t="n"/>
      <c r="T4382" s="227" t="n"/>
    </row>
    <row r="4383">
      <c r="A4383" s="145">
        <f>IF($B4383="","",ROW()-5)</f>
        <v/>
      </c>
      <c r="B4383" s="127" t="n"/>
      <c r="C4383" s="223" t="n"/>
      <c r="D4383" s="127" t="n"/>
      <c r="E4383" s="227" t="n"/>
      <c r="F4383" s="227" t="n"/>
      <c r="G4383" s="227" t="n"/>
      <c r="H4383" s="227" t="n"/>
      <c r="I4383" s="227" t="n"/>
      <c r="J4383" s="227" t="n"/>
      <c r="K4383" s="227" t="n"/>
      <c r="L4383" s="227" t="n"/>
      <c r="M4383" s="227" t="n"/>
      <c r="N4383" s="127" t="n"/>
      <c r="O4383" s="227" t="n"/>
      <c r="P4383" s="227" t="n"/>
      <c r="Q4383" s="227" t="n"/>
      <c r="R4383" s="227" t="n"/>
      <c r="S4383" s="227" t="n"/>
      <c r="T4383" s="227" t="n"/>
    </row>
    <row r="4384">
      <c r="A4384" s="145">
        <f>IF($B4384="","",ROW()-5)</f>
        <v/>
      </c>
      <c r="B4384" s="127" t="n"/>
      <c r="C4384" s="223" t="n"/>
      <c r="D4384" s="127" t="n"/>
      <c r="E4384" s="227" t="n"/>
      <c r="F4384" s="227" t="n"/>
      <c r="G4384" s="227" t="n"/>
      <c r="H4384" s="227" t="n"/>
      <c r="I4384" s="227" t="n"/>
      <c r="J4384" s="227" t="n"/>
      <c r="K4384" s="227" t="n"/>
      <c r="L4384" s="227" t="n"/>
      <c r="M4384" s="227" t="n"/>
      <c r="N4384" s="127" t="n"/>
      <c r="O4384" s="227" t="n"/>
      <c r="P4384" s="227" t="n"/>
      <c r="Q4384" s="227" t="n"/>
      <c r="R4384" s="227" t="n"/>
      <c r="S4384" s="227" t="n"/>
      <c r="T4384" s="227" t="n"/>
    </row>
    <row r="4385">
      <c r="A4385" s="145">
        <f>IF($B4385="","",ROW()-5)</f>
        <v/>
      </c>
      <c r="B4385" s="127" t="n"/>
      <c r="C4385" s="223" t="n"/>
      <c r="D4385" s="127" t="n"/>
      <c r="E4385" s="227" t="n"/>
      <c r="F4385" s="227" t="n"/>
      <c r="G4385" s="227" t="n"/>
      <c r="H4385" s="227" t="n"/>
      <c r="I4385" s="227" t="n"/>
      <c r="J4385" s="227" t="n"/>
      <c r="K4385" s="227" t="n"/>
      <c r="L4385" s="227" t="n"/>
      <c r="M4385" s="227" t="n"/>
      <c r="N4385" s="127" t="n"/>
      <c r="O4385" s="227" t="n"/>
      <c r="P4385" s="227" t="n"/>
      <c r="Q4385" s="227" t="n"/>
      <c r="R4385" s="227" t="n"/>
      <c r="S4385" s="227" t="n"/>
      <c r="T4385" s="227" t="n"/>
    </row>
    <row r="4386">
      <c r="A4386" s="145">
        <f>IF($B4386="","",ROW()-5)</f>
        <v/>
      </c>
      <c r="B4386" s="127" t="n"/>
      <c r="C4386" s="223" t="n"/>
      <c r="D4386" s="127" t="n"/>
      <c r="E4386" s="227" t="n"/>
      <c r="F4386" s="227" t="n"/>
      <c r="G4386" s="227" t="n"/>
      <c r="H4386" s="227" t="n"/>
      <c r="I4386" s="227" t="n"/>
      <c r="J4386" s="227" t="n"/>
      <c r="K4386" s="227" t="n"/>
      <c r="L4386" s="227" t="n"/>
      <c r="M4386" s="227" t="n"/>
      <c r="N4386" s="127" t="n"/>
      <c r="O4386" s="227" t="n"/>
      <c r="P4386" s="227" t="n"/>
      <c r="Q4386" s="227" t="n"/>
      <c r="R4386" s="227" t="n"/>
      <c r="S4386" s="227" t="n"/>
      <c r="T4386" s="227" t="n"/>
    </row>
    <row r="4387">
      <c r="A4387" s="145">
        <f>IF($B4387="","",ROW()-5)</f>
        <v/>
      </c>
      <c r="B4387" s="127" t="n"/>
      <c r="C4387" s="223" t="n"/>
      <c r="D4387" s="127" t="n"/>
      <c r="E4387" s="227" t="n"/>
      <c r="F4387" s="227" t="n"/>
      <c r="G4387" s="227" t="n"/>
      <c r="H4387" s="227" t="n"/>
      <c r="I4387" s="227" t="n"/>
      <c r="J4387" s="227" t="n"/>
      <c r="K4387" s="227" t="n"/>
      <c r="L4387" s="227" t="n"/>
      <c r="M4387" s="227" t="n"/>
      <c r="N4387" s="127" t="n"/>
      <c r="O4387" s="227" t="n"/>
      <c r="P4387" s="227" t="n"/>
      <c r="Q4387" s="227" t="n"/>
      <c r="R4387" s="227" t="n"/>
      <c r="S4387" s="227" t="n"/>
      <c r="T4387" s="227" t="n"/>
    </row>
    <row r="4388">
      <c r="A4388" s="145">
        <f>IF($B4388="","",ROW()-5)</f>
        <v/>
      </c>
      <c r="B4388" s="127" t="n"/>
      <c r="C4388" s="223" t="n"/>
      <c r="D4388" s="127" t="n"/>
      <c r="E4388" s="227" t="n"/>
      <c r="F4388" s="227" t="n"/>
      <c r="G4388" s="227" t="n"/>
      <c r="H4388" s="227" t="n"/>
      <c r="I4388" s="227" t="n"/>
      <c r="J4388" s="227" t="n"/>
      <c r="K4388" s="227" t="n"/>
      <c r="L4388" s="227" t="n"/>
      <c r="M4388" s="227" t="n"/>
      <c r="N4388" s="127" t="n"/>
      <c r="O4388" s="227" t="n"/>
      <c r="P4388" s="227" t="n"/>
      <c r="Q4388" s="227" t="n"/>
      <c r="R4388" s="227" t="n"/>
      <c r="S4388" s="227" t="n"/>
      <c r="T4388" s="227" t="n"/>
    </row>
    <row r="4389">
      <c r="A4389" s="145">
        <f>IF($B4389="","",ROW()-5)</f>
        <v/>
      </c>
      <c r="B4389" s="127" t="n"/>
      <c r="C4389" s="223" t="n"/>
      <c r="D4389" s="127" t="n"/>
      <c r="E4389" s="227" t="n"/>
      <c r="F4389" s="227" t="n"/>
      <c r="G4389" s="227" t="n"/>
      <c r="H4389" s="227" t="n"/>
      <c r="I4389" s="227" t="n"/>
      <c r="J4389" s="227" t="n"/>
      <c r="K4389" s="227" t="n"/>
      <c r="L4389" s="227" t="n"/>
      <c r="M4389" s="227" t="n"/>
      <c r="N4389" s="127" t="n"/>
      <c r="O4389" s="227" t="n"/>
      <c r="P4389" s="227" t="n"/>
      <c r="Q4389" s="227" t="n"/>
      <c r="R4389" s="227" t="n"/>
      <c r="S4389" s="227" t="n"/>
      <c r="T4389" s="227" t="n"/>
    </row>
    <row r="4390">
      <c r="A4390" s="145">
        <f>IF($B4390="","",ROW()-5)</f>
        <v/>
      </c>
      <c r="B4390" s="127" t="n"/>
      <c r="C4390" s="223" t="n"/>
      <c r="D4390" s="127" t="n"/>
      <c r="E4390" s="227" t="n"/>
      <c r="F4390" s="227" t="n"/>
      <c r="G4390" s="227" t="n"/>
      <c r="H4390" s="227" t="n"/>
      <c r="I4390" s="227" t="n"/>
      <c r="J4390" s="227" t="n"/>
      <c r="K4390" s="227" t="n"/>
      <c r="L4390" s="227" t="n"/>
      <c r="M4390" s="227" t="n"/>
      <c r="N4390" s="127" t="n"/>
      <c r="O4390" s="227" t="n"/>
      <c r="P4390" s="227" t="n"/>
      <c r="Q4390" s="227" t="n"/>
      <c r="R4390" s="227" t="n"/>
      <c r="S4390" s="227" t="n"/>
      <c r="T4390" s="227" t="n"/>
    </row>
    <row r="4391">
      <c r="A4391" s="145">
        <f>IF($B4391="","",ROW()-5)</f>
        <v/>
      </c>
      <c r="B4391" s="127" t="n"/>
      <c r="C4391" s="223" t="n"/>
      <c r="D4391" s="127" t="n"/>
      <c r="E4391" s="227" t="n"/>
      <c r="F4391" s="227" t="n"/>
      <c r="G4391" s="227" t="n"/>
      <c r="H4391" s="227" t="n"/>
      <c r="I4391" s="227" t="n"/>
      <c r="J4391" s="227" t="n"/>
      <c r="K4391" s="227" t="n"/>
      <c r="L4391" s="227" t="n"/>
      <c r="M4391" s="227" t="n"/>
      <c r="N4391" s="127" t="n"/>
      <c r="O4391" s="227" t="n"/>
      <c r="P4391" s="227" t="n"/>
      <c r="Q4391" s="227" t="n"/>
      <c r="R4391" s="227" t="n"/>
      <c r="S4391" s="227" t="n"/>
      <c r="T4391" s="227" t="n"/>
    </row>
    <row r="4392">
      <c r="A4392" s="145">
        <f>IF($B4392="","",ROW()-5)</f>
        <v/>
      </c>
      <c r="B4392" s="127" t="n"/>
      <c r="C4392" s="223" t="n"/>
      <c r="D4392" s="127" t="n"/>
      <c r="E4392" s="227" t="n"/>
      <c r="F4392" s="227" t="n"/>
      <c r="G4392" s="227" t="n"/>
      <c r="H4392" s="227" t="n"/>
      <c r="I4392" s="227" t="n"/>
      <c r="J4392" s="227" t="n"/>
      <c r="K4392" s="227" t="n"/>
      <c r="L4392" s="227" t="n"/>
      <c r="M4392" s="227" t="n"/>
      <c r="N4392" s="127" t="n"/>
      <c r="O4392" s="227" t="n"/>
      <c r="P4392" s="227" t="n"/>
      <c r="Q4392" s="227" t="n"/>
      <c r="R4392" s="227" t="n"/>
      <c r="S4392" s="227" t="n"/>
      <c r="T4392" s="227" t="n"/>
    </row>
    <row r="4393">
      <c r="A4393" s="145">
        <f>IF($B4393="","",ROW()-5)</f>
        <v/>
      </c>
      <c r="B4393" s="127" t="n"/>
      <c r="C4393" s="223" t="n"/>
      <c r="D4393" s="127" t="n"/>
      <c r="E4393" s="227" t="n"/>
      <c r="F4393" s="227" t="n"/>
      <c r="G4393" s="227" t="n"/>
      <c r="H4393" s="227" t="n"/>
      <c r="I4393" s="227" t="n"/>
      <c r="J4393" s="227" t="n"/>
      <c r="K4393" s="227" t="n"/>
      <c r="L4393" s="227" t="n"/>
      <c r="M4393" s="227" t="n"/>
      <c r="N4393" s="127" t="n"/>
      <c r="O4393" s="227" t="n"/>
      <c r="P4393" s="227" t="n"/>
      <c r="Q4393" s="227" t="n"/>
      <c r="R4393" s="227" t="n"/>
      <c r="S4393" s="227" t="n"/>
      <c r="T4393" s="227" t="n"/>
    </row>
    <row r="4394">
      <c r="A4394" s="145">
        <f>IF($B4394="","",ROW()-5)</f>
        <v/>
      </c>
      <c r="B4394" s="127" t="n"/>
      <c r="C4394" s="223" t="n"/>
      <c r="D4394" s="127" t="n"/>
      <c r="E4394" s="227" t="n"/>
      <c r="F4394" s="227" t="n"/>
      <c r="G4394" s="227" t="n"/>
      <c r="H4394" s="227" t="n"/>
      <c r="I4394" s="227" t="n"/>
      <c r="J4394" s="227" t="n"/>
      <c r="K4394" s="227" t="n"/>
      <c r="L4394" s="227" t="n"/>
      <c r="M4394" s="227" t="n"/>
      <c r="N4394" s="127" t="n"/>
      <c r="O4394" s="227" t="n"/>
      <c r="P4394" s="227" t="n"/>
      <c r="Q4394" s="227" t="n"/>
      <c r="R4394" s="227" t="n"/>
      <c r="S4394" s="227" t="n"/>
      <c r="T4394" s="227" t="n"/>
    </row>
    <row r="4395">
      <c r="A4395" s="145">
        <f>IF($B4395="","",ROW()-5)</f>
        <v/>
      </c>
      <c r="B4395" s="127" t="n"/>
      <c r="C4395" s="223" t="n"/>
      <c r="D4395" s="127" t="n"/>
      <c r="E4395" s="227" t="n"/>
      <c r="F4395" s="227" t="n"/>
      <c r="G4395" s="227" t="n"/>
      <c r="H4395" s="227" t="n"/>
      <c r="I4395" s="227" t="n"/>
      <c r="J4395" s="227" t="n"/>
      <c r="K4395" s="227" t="n"/>
      <c r="L4395" s="227" t="n"/>
      <c r="M4395" s="227" t="n"/>
      <c r="N4395" s="127" t="n"/>
      <c r="O4395" s="227" t="n"/>
      <c r="P4395" s="227" t="n"/>
      <c r="Q4395" s="227" t="n"/>
      <c r="R4395" s="227" t="n"/>
      <c r="S4395" s="227" t="n"/>
      <c r="T4395" s="227" t="n"/>
    </row>
    <row r="4396">
      <c r="A4396" s="145">
        <f>IF($B4396="","",ROW()-5)</f>
        <v/>
      </c>
      <c r="B4396" s="127" t="n"/>
      <c r="C4396" s="223" t="n"/>
      <c r="D4396" s="127" t="n"/>
      <c r="E4396" s="227" t="n"/>
      <c r="F4396" s="227" t="n"/>
      <c r="G4396" s="227" t="n"/>
      <c r="H4396" s="227" t="n"/>
      <c r="I4396" s="227" t="n"/>
      <c r="J4396" s="227" t="n"/>
      <c r="K4396" s="227" t="n"/>
      <c r="L4396" s="227" t="n"/>
      <c r="M4396" s="227" t="n"/>
      <c r="N4396" s="127" t="n"/>
      <c r="O4396" s="227" t="n"/>
      <c r="P4396" s="227" t="n"/>
      <c r="Q4396" s="227" t="n"/>
      <c r="R4396" s="227" t="n"/>
      <c r="S4396" s="227" t="n"/>
      <c r="T4396" s="227" t="n"/>
    </row>
    <row r="4397">
      <c r="A4397" s="145">
        <f>IF($B4397="","",ROW()-5)</f>
        <v/>
      </c>
      <c r="B4397" s="127" t="n"/>
      <c r="C4397" s="223" t="n"/>
      <c r="D4397" s="127" t="n"/>
      <c r="E4397" s="227" t="n"/>
      <c r="F4397" s="227" t="n"/>
      <c r="G4397" s="227" t="n"/>
      <c r="H4397" s="227" t="n"/>
      <c r="I4397" s="227" t="n"/>
      <c r="J4397" s="227" t="n"/>
      <c r="K4397" s="227" t="n"/>
      <c r="L4397" s="227" t="n"/>
      <c r="M4397" s="227" t="n"/>
      <c r="N4397" s="127" t="n"/>
      <c r="O4397" s="227" t="n"/>
      <c r="P4397" s="227" t="n"/>
      <c r="Q4397" s="227" t="n"/>
      <c r="R4397" s="227" t="n"/>
      <c r="S4397" s="227" t="n"/>
      <c r="T4397" s="227" t="n"/>
    </row>
    <row r="4398">
      <c r="A4398" s="145">
        <f>IF($B4398="","",ROW()-5)</f>
        <v/>
      </c>
      <c r="B4398" s="127" t="n"/>
      <c r="C4398" s="223" t="n"/>
      <c r="D4398" s="127" t="n"/>
      <c r="E4398" s="227" t="n"/>
      <c r="F4398" s="227" t="n"/>
      <c r="G4398" s="227" t="n"/>
      <c r="H4398" s="227" t="n"/>
      <c r="I4398" s="227" t="n"/>
      <c r="J4398" s="227" t="n"/>
      <c r="K4398" s="227" t="n"/>
      <c r="L4398" s="227" t="n"/>
      <c r="M4398" s="227" t="n"/>
      <c r="N4398" s="127" t="n"/>
      <c r="O4398" s="227" t="n"/>
      <c r="P4398" s="227" t="n"/>
      <c r="Q4398" s="227" t="n"/>
      <c r="R4398" s="227" t="n"/>
      <c r="S4398" s="227" t="n"/>
      <c r="T4398" s="227" t="n"/>
    </row>
    <row r="4399">
      <c r="A4399" s="145">
        <f>IF($B4399="","",ROW()-5)</f>
        <v/>
      </c>
      <c r="B4399" s="127" t="n"/>
      <c r="C4399" s="223" t="n"/>
      <c r="D4399" s="127" t="n"/>
      <c r="E4399" s="227" t="n"/>
      <c r="F4399" s="227" t="n"/>
      <c r="G4399" s="227" t="n"/>
      <c r="H4399" s="227" t="n"/>
      <c r="I4399" s="227" t="n"/>
      <c r="J4399" s="227" t="n"/>
      <c r="K4399" s="227" t="n"/>
      <c r="L4399" s="227" t="n"/>
      <c r="M4399" s="227" t="n"/>
      <c r="N4399" s="127" t="n"/>
      <c r="O4399" s="227" t="n"/>
      <c r="P4399" s="227" t="n"/>
      <c r="Q4399" s="227" t="n"/>
      <c r="R4399" s="227" t="n"/>
      <c r="S4399" s="227" t="n"/>
      <c r="T4399" s="227" t="n"/>
    </row>
    <row r="4400">
      <c r="A4400" s="145">
        <f>IF($B4400="","",ROW()-5)</f>
        <v/>
      </c>
      <c r="B4400" s="127" t="n"/>
      <c r="C4400" s="223" t="n"/>
      <c r="D4400" s="127" t="n"/>
      <c r="E4400" s="227" t="n"/>
      <c r="F4400" s="227" t="n"/>
      <c r="G4400" s="227" t="n"/>
      <c r="H4400" s="227" t="n"/>
      <c r="I4400" s="227" t="n"/>
      <c r="J4400" s="227" t="n"/>
      <c r="K4400" s="227" t="n"/>
      <c r="L4400" s="227" t="n"/>
      <c r="M4400" s="227" t="n"/>
      <c r="N4400" s="127" t="n"/>
      <c r="O4400" s="227" t="n"/>
      <c r="P4400" s="227" t="n"/>
      <c r="Q4400" s="227" t="n"/>
      <c r="R4400" s="227" t="n"/>
      <c r="S4400" s="227" t="n"/>
      <c r="T4400" s="227" t="n"/>
    </row>
    <row r="4401">
      <c r="A4401" s="145">
        <f>IF($B4401="","",ROW()-5)</f>
        <v/>
      </c>
      <c r="B4401" s="127" t="n"/>
      <c r="C4401" s="223" t="n"/>
      <c r="D4401" s="127" t="n"/>
      <c r="E4401" s="227" t="n"/>
      <c r="F4401" s="227" t="n"/>
      <c r="G4401" s="227" t="n"/>
      <c r="H4401" s="227" t="n"/>
      <c r="I4401" s="227" t="n"/>
      <c r="J4401" s="227" t="n"/>
      <c r="K4401" s="227" t="n"/>
      <c r="L4401" s="227" t="n"/>
      <c r="M4401" s="227" t="n"/>
      <c r="N4401" s="127" t="n"/>
      <c r="O4401" s="227" t="n"/>
      <c r="P4401" s="227" t="n"/>
      <c r="Q4401" s="227" t="n"/>
      <c r="R4401" s="227" t="n"/>
      <c r="S4401" s="227" t="n"/>
      <c r="T4401" s="227" t="n"/>
    </row>
    <row r="4402">
      <c r="A4402" s="145">
        <f>IF($B4402="","",ROW()-5)</f>
        <v/>
      </c>
      <c r="B4402" s="127" t="n"/>
      <c r="C4402" s="223" t="n"/>
      <c r="D4402" s="127" t="n"/>
      <c r="E4402" s="227" t="n"/>
      <c r="F4402" s="227" t="n"/>
      <c r="G4402" s="227" t="n"/>
      <c r="H4402" s="227" t="n"/>
      <c r="I4402" s="227" t="n"/>
      <c r="J4402" s="227" t="n"/>
      <c r="K4402" s="227" t="n"/>
      <c r="L4402" s="227" t="n"/>
      <c r="M4402" s="227" t="n"/>
      <c r="N4402" s="127" t="n"/>
      <c r="O4402" s="227" t="n"/>
      <c r="P4402" s="227" t="n"/>
      <c r="Q4402" s="227" t="n"/>
      <c r="R4402" s="227" t="n"/>
      <c r="S4402" s="227" t="n"/>
      <c r="T4402" s="227" t="n"/>
    </row>
    <row r="4403">
      <c r="A4403" s="145">
        <f>IF($B4403="","",ROW()-5)</f>
        <v/>
      </c>
      <c r="B4403" s="127" t="n"/>
      <c r="C4403" s="223" t="n"/>
      <c r="D4403" s="127" t="n"/>
      <c r="E4403" s="227" t="n"/>
      <c r="F4403" s="227" t="n"/>
      <c r="G4403" s="227" t="n"/>
      <c r="H4403" s="227" t="n"/>
      <c r="I4403" s="227" t="n"/>
      <c r="J4403" s="227" t="n"/>
      <c r="K4403" s="227" t="n"/>
      <c r="L4403" s="227" t="n"/>
      <c r="M4403" s="227" t="n"/>
      <c r="N4403" s="127" t="n"/>
      <c r="O4403" s="227" t="n"/>
      <c r="P4403" s="227" t="n"/>
      <c r="Q4403" s="227" t="n"/>
      <c r="R4403" s="227" t="n"/>
      <c r="S4403" s="227" t="n"/>
      <c r="T4403" s="227" t="n"/>
    </row>
    <row r="4404">
      <c r="A4404" s="145">
        <f>IF($B4404="","",ROW()-5)</f>
        <v/>
      </c>
      <c r="B4404" s="127" t="n"/>
      <c r="C4404" s="223" t="n"/>
      <c r="D4404" s="127" t="n"/>
      <c r="E4404" s="227" t="n"/>
      <c r="F4404" s="227" t="n"/>
      <c r="G4404" s="227" t="n"/>
      <c r="H4404" s="227" t="n"/>
      <c r="I4404" s="227" t="n"/>
      <c r="J4404" s="227" t="n"/>
      <c r="K4404" s="227" t="n"/>
      <c r="L4404" s="227" t="n"/>
      <c r="M4404" s="227" t="n"/>
      <c r="N4404" s="127" t="n"/>
      <c r="O4404" s="227" t="n"/>
      <c r="P4404" s="227" t="n"/>
      <c r="Q4404" s="227" t="n"/>
      <c r="R4404" s="227" t="n"/>
      <c r="S4404" s="227" t="n"/>
      <c r="T4404" s="227" t="n"/>
    </row>
    <row r="4405">
      <c r="A4405" s="145">
        <f>IF($B4405="","",ROW()-5)</f>
        <v/>
      </c>
      <c r="B4405" s="127" t="n"/>
      <c r="C4405" s="223" t="n"/>
      <c r="D4405" s="127" t="n"/>
      <c r="E4405" s="227" t="n"/>
      <c r="F4405" s="227" t="n"/>
      <c r="G4405" s="227" t="n"/>
      <c r="H4405" s="227" t="n"/>
      <c r="I4405" s="227" t="n"/>
      <c r="J4405" s="227" t="n"/>
      <c r="K4405" s="227" t="n"/>
      <c r="L4405" s="227" t="n"/>
      <c r="M4405" s="227" t="n"/>
      <c r="N4405" s="127" t="n"/>
      <c r="O4405" s="227" t="n"/>
      <c r="P4405" s="227" t="n"/>
      <c r="Q4405" s="227" t="n"/>
      <c r="R4405" s="227" t="n"/>
      <c r="S4405" s="227" t="n"/>
      <c r="T4405" s="227" t="n"/>
    </row>
    <row r="4406">
      <c r="A4406" s="145">
        <f>IF($B4406="","",ROW()-5)</f>
        <v/>
      </c>
      <c r="B4406" s="127" t="n"/>
      <c r="C4406" s="223" t="n"/>
      <c r="D4406" s="127" t="n"/>
      <c r="E4406" s="227" t="n"/>
      <c r="F4406" s="227" t="n"/>
      <c r="G4406" s="227" t="n"/>
      <c r="H4406" s="227" t="n"/>
      <c r="I4406" s="227" t="n"/>
      <c r="J4406" s="227" t="n"/>
      <c r="K4406" s="227" t="n"/>
      <c r="L4406" s="227" t="n"/>
      <c r="M4406" s="227" t="n"/>
      <c r="N4406" s="127" t="n"/>
      <c r="O4406" s="227" t="n"/>
      <c r="P4406" s="227" t="n"/>
      <c r="Q4406" s="227" t="n"/>
      <c r="R4406" s="227" t="n"/>
      <c r="S4406" s="227" t="n"/>
      <c r="T4406" s="227" t="n"/>
    </row>
    <row r="4407">
      <c r="A4407" s="145">
        <f>IF($B4407="","",ROW()-5)</f>
        <v/>
      </c>
      <c r="B4407" s="127" t="n"/>
      <c r="C4407" s="223" t="n"/>
      <c r="D4407" s="127" t="n"/>
      <c r="E4407" s="227" t="n"/>
      <c r="F4407" s="227" t="n"/>
      <c r="G4407" s="227" t="n"/>
      <c r="H4407" s="227" t="n"/>
      <c r="I4407" s="227" t="n"/>
      <c r="J4407" s="227" t="n"/>
      <c r="K4407" s="227" t="n"/>
      <c r="L4407" s="227" t="n"/>
      <c r="M4407" s="227" t="n"/>
      <c r="N4407" s="127" t="n"/>
      <c r="O4407" s="227" t="n"/>
      <c r="P4407" s="227" t="n"/>
      <c r="Q4407" s="227" t="n"/>
      <c r="R4407" s="227" t="n"/>
      <c r="S4407" s="227" t="n"/>
      <c r="T4407" s="227" t="n"/>
    </row>
    <row r="4408">
      <c r="A4408" s="145">
        <f>IF($B4408="","",ROW()-5)</f>
        <v/>
      </c>
      <c r="B4408" s="127" t="n"/>
      <c r="C4408" s="223" t="n"/>
      <c r="D4408" s="127" t="n"/>
      <c r="E4408" s="227" t="n"/>
      <c r="F4408" s="227" t="n"/>
      <c r="G4408" s="227" t="n"/>
      <c r="H4408" s="227" t="n"/>
      <c r="I4408" s="227" t="n"/>
      <c r="J4408" s="227" t="n"/>
      <c r="K4408" s="227" t="n"/>
      <c r="L4408" s="227" t="n"/>
      <c r="M4408" s="227" t="n"/>
      <c r="N4408" s="127" t="n"/>
      <c r="O4408" s="227" t="n"/>
      <c r="P4408" s="227" t="n"/>
      <c r="Q4408" s="227" t="n"/>
      <c r="R4408" s="227" t="n"/>
      <c r="S4408" s="227" t="n"/>
      <c r="T4408" s="227" t="n"/>
    </row>
    <row r="4409">
      <c r="A4409" s="145">
        <f>IF($B4409="","",ROW()-5)</f>
        <v/>
      </c>
      <c r="B4409" s="127" t="n"/>
      <c r="C4409" s="223" t="n"/>
      <c r="D4409" s="127" t="n"/>
      <c r="E4409" s="227" t="n"/>
      <c r="F4409" s="227" t="n"/>
      <c r="G4409" s="227" t="n"/>
      <c r="H4409" s="227" t="n"/>
      <c r="I4409" s="227" t="n"/>
      <c r="J4409" s="227" t="n"/>
      <c r="K4409" s="227" t="n"/>
      <c r="L4409" s="227" t="n"/>
      <c r="M4409" s="227" t="n"/>
      <c r="N4409" s="127" t="n"/>
      <c r="O4409" s="227" t="n"/>
      <c r="P4409" s="227" t="n"/>
      <c r="Q4409" s="227" t="n"/>
      <c r="R4409" s="227" t="n"/>
      <c r="S4409" s="227" t="n"/>
      <c r="T4409" s="227" t="n"/>
    </row>
    <row r="4410">
      <c r="A4410" s="145">
        <f>IF($B4410="","",ROW()-5)</f>
        <v/>
      </c>
      <c r="B4410" s="127" t="n"/>
      <c r="C4410" s="223" t="n"/>
      <c r="D4410" s="127" t="n"/>
      <c r="E4410" s="227" t="n"/>
      <c r="F4410" s="227" t="n"/>
      <c r="G4410" s="227" t="n"/>
      <c r="H4410" s="227" t="n"/>
      <c r="I4410" s="227" t="n"/>
      <c r="J4410" s="227" t="n"/>
      <c r="K4410" s="227" t="n"/>
      <c r="L4410" s="227" t="n"/>
      <c r="M4410" s="227" t="n"/>
      <c r="N4410" s="127" t="n"/>
      <c r="O4410" s="227" t="n"/>
      <c r="P4410" s="227" t="n"/>
      <c r="Q4410" s="227" t="n"/>
      <c r="R4410" s="227" t="n"/>
      <c r="S4410" s="227" t="n"/>
      <c r="T4410" s="227" t="n"/>
    </row>
    <row r="4411">
      <c r="A4411" s="145">
        <f>IF($B4411="","",ROW()-5)</f>
        <v/>
      </c>
      <c r="B4411" s="127" t="n"/>
      <c r="C4411" s="223" t="n"/>
      <c r="D4411" s="127" t="n"/>
      <c r="E4411" s="227" t="n"/>
      <c r="F4411" s="227" t="n"/>
      <c r="G4411" s="227" t="n"/>
      <c r="H4411" s="227" t="n"/>
      <c r="I4411" s="227" t="n"/>
      <c r="J4411" s="227" t="n"/>
      <c r="K4411" s="227" t="n"/>
      <c r="L4411" s="227" t="n"/>
      <c r="M4411" s="227" t="n"/>
      <c r="N4411" s="127" t="n"/>
      <c r="O4411" s="227" t="n"/>
      <c r="P4411" s="227" t="n"/>
      <c r="Q4411" s="227" t="n"/>
      <c r="R4411" s="227" t="n"/>
      <c r="S4411" s="227" t="n"/>
      <c r="T4411" s="227" t="n"/>
    </row>
    <row r="4412">
      <c r="A4412" s="145">
        <f>IF($B4412="","",ROW()-5)</f>
        <v/>
      </c>
      <c r="B4412" s="127" t="n"/>
      <c r="C4412" s="223" t="n"/>
      <c r="D4412" s="127" t="n"/>
      <c r="E4412" s="227" t="n"/>
      <c r="F4412" s="227" t="n"/>
      <c r="G4412" s="227" t="n"/>
      <c r="H4412" s="227" t="n"/>
      <c r="I4412" s="227" t="n"/>
      <c r="J4412" s="227" t="n"/>
      <c r="K4412" s="227" t="n"/>
      <c r="L4412" s="227" t="n"/>
      <c r="M4412" s="227" t="n"/>
      <c r="N4412" s="127" t="n"/>
      <c r="O4412" s="227" t="n"/>
      <c r="P4412" s="227" t="n"/>
      <c r="Q4412" s="227" t="n"/>
      <c r="R4412" s="227" t="n"/>
      <c r="S4412" s="227" t="n"/>
      <c r="T4412" s="227" t="n"/>
    </row>
    <row r="4413">
      <c r="A4413" s="145">
        <f>IF($B4413="","",ROW()-5)</f>
        <v/>
      </c>
      <c r="B4413" s="127" t="n"/>
      <c r="C4413" s="223" t="n"/>
      <c r="D4413" s="127" t="n"/>
      <c r="E4413" s="227" t="n"/>
      <c r="F4413" s="227" t="n"/>
      <c r="G4413" s="227" t="n"/>
      <c r="H4413" s="227" t="n"/>
      <c r="I4413" s="227" t="n"/>
      <c r="J4413" s="227" t="n"/>
      <c r="K4413" s="227" t="n"/>
      <c r="L4413" s="227" t="n"/>
      <c r="M4413" s="227" t="n"/>
      <c r="N4413" s="127" t="n"/>
      <c r="O4413" s="227" t="n"/>
      <c r="P4413" s="227" t="n"/>
      <c r="Q4413" s="227" t="n"/>
      <c r="R4413" s="227" t="n"/>
      <c r="S4413" s="227" t="n"/>
      <c r="T4413" s="227" t="n"/>
    </row>
    <row r="4414">
      <c r="A4414" s="145">
        <f>IF($B4414="","",ROW()-5)</f>
        <v/>
      </c>
      <c r="B4414" s="127" t="n"/>
      <c r="C4414" s="223" t="n"/>
      <c r="D4414" s="127" t="n"/>
      <c r="E4414" s="227" t="n"/>
      <c r="F4414" s="227" t="n"/>
      <c r="G4414" s="227" t="n"/>
      <c r="H4414" s="227" t="n"/>
      <c r="I4414" s="227" t="n"/>
      <c r="J4414" s="227" t="n"/>
      <c r="K4414" s="227" t="n"/>
      <c r="L4414" s="227" t="n"/>
      <c r="M4414" s="227" t="n"/>
      <c r="N4414" s="127" t="n"/>
      <c r="O4414" s="227" t="n"/>
      <c r="P4414" s="227" t="n"/>
      <c r="Q4414" s="227" t="n"/>
      <c r="R4414" s="227" t="n"/>
      <c r="S4414" s="227" t="n"/>
      <c r="T4414" s="227" t="n"/>
    </row>
    <row r="4415">
      <c r="A4415" s="145">
        <f>IF($B4415="","",ROW()-5)</f>
        <v/>
      </c>
      <c r="B4415" s="127" t="n"/>
      <c r="C4415" s="223" t="n"/>
      <c r="D4415" s="127" t="n"/>
      <c r="E4415" s="227" t="n"/>
      <c r="F4415" s="227" t="n"/>
      <c r="G4415" s="227" t="n"/>
      <c r="H4415" s="227" t="n"/>
      <c r="I4415" s="227" t="n"/>
      <c r="J4415" s="227" t="n"/>
      <c r="K4415" s="227" t="n"/>
      <c r="L4415" s="227" t="n"/>
      <c r="M4415" s="227" t="n"/>
      <c r="N4415" s="127" t="n"/>
      <c r="O4415" s="227" t="n"/>
      <c r="P4415" s="227" t="n"/>
      <c r="Q4415" s="227" t="n"/>
      <c r="R4415" s="227" t="n"/>
      <c r="S4415" s="227" t="n"/>
      <c r="T4415" s="227" t="n"/>
    </row>
    <row r="4416">
      <c r="A4416" s="145">
        <f>IF($B4416="","",ROW()-5)</f>
        <v/>
      </c>
      <c r="B4416" s="127" t="n"/>
      <c r="C4416" s="223" t="n"/>
      <c r="D4416" s="127" t="n"/>
      <c r="E4416" s="227" t="n"/>
      <c r="F4416" s="227" t="n"/>
      <c r="G4416" s="227" t="n"/>
      <c r="H4416" s="227" t="n"/>
      <c r="I4416" s="227" t="n"/>
      <c r="J4416" s="227" t="n"/>
      <c r="K4416" s="227" t="n"/>
      <c r="L4416" s="227" t="n"/>
      <c r="M4416" s="227" t="n"/>
      <c r="N4416" s="127" t="n"/>
      <c r="O4416" s="227" t="n"/>
      <c r="P4416" s="227" t="n"/>
      <c r="Q4416" s="227" t="n"/>
      <c r="R4416" s="227" t="n"/>
      <c r="S4416" s="227" t="n"/>
      <c r="T4416" s="227" t="n"/>
    </row>
    <row r="4417">
      <c r="A4417" s="145">
        <f>IF($B4417="","",ROW()-5)</f>
        <v/>
      </c>
      <c r="B4417" s="127" t="n"/>
      <c r="C4417" s="223" t="n"/>
      <c r="D4417" s="127" t="n"/>
      <c r="E4417" s="227" t="n"/>
      <c r="F4417" s="227" t="n"/>
      <c r="G4417" s="227" t="n"/>
      <c r="H4417" s="227" t="n"/>
      <c r="I4417" s="227" t="n"/>
      <c r="J4417" s="227" t="n"/>
      <c r="K4417" s="227" t="n"/>
      <c r="L4417" s="227" t="n"/>
      <c r="M4417" s="227" t="n"/>
      <c r="N4417" s="127" t="n"/>
      <c r="O4417" s="227" t="n"/>
      <c r="P4417" s="227" t="n"/>
      <c r="Q4417" s="227" t="n"/>
      <c r="R4417" s="227" t="n"/>
      <c r="S4417" s="227" t="n"/>
      <c r="T4417" s="227" t="n"/>
    </row>
    <row r="4418">
      <c r="A4418" s="145">
        <f>IF($B4418="","",ROW()-5)</f>
        <v/>
      </c>
      <c r="B4418" s="127" t="n"/>
      <c r="C4418" s="223" t="n"/>
      <c r="D4418" s="127" t="n"/>
      <c r="E4418" s="227" t="n"/>
      <c r="F4418" s="227" t="n"/>
      <c r="G4418" s="227" t="n"/>
      <c r="H4418" s="227" t="n"/>
      <c r="I4418" s="227" t="n"/>
      <c r="J4418" s="227" t="n"/>
      <c r="K4418" s="227" t="n"/>
      <c r="L4418" s="227" t="n"/>
      <c r="M4418" s="227" t="n"/>
      <c r="N4418" s="127" t="n"/>
      <c r="O4418" s="227" t="n"/>
      <c r="P4418" s="227" t="n"/>
      <c r="Q4418" s="227" t="n"/>
      <c r="R4418" s="227" t="n"/>
      <c r="S4418" s="227" t="n"/>
      <c r="T4418" s="227" t="n"/>
    </row>
    <row r="4419">
      <c r="A4419" s="145">
        <f>IF($B4419="","",ROW()-5)</f>
        <v/>
      </c>
      <c r="B4419" s="127" t="n"/>
      <c r="C4419" s="223" t="n"/>
      <c r="D4419" s="127" t="n"/>
      <c r="E4419" s="227" t="n"/>
      <c r="F4419" s="227" t="n"/>
      <c r="G4419" s="227" t="n"/>
      <c r="H4419" s="227" t="n"/>
      <c r="I4419" s="227" t="n"/>
      <c r="J4419" s="227" t="n"/>
      <c r="K4419" s="227" t="n"/>
      <c r="L4419" s="227" t="n"/>
      <c r="M4419" s="227" t="n"/>
      <c r="N4419" s="127" t="n"/>
      <c r="O4419" s="227" t="n"/>
      <c r="P4419" s="227" t="n"/>
      <c r="Q4419" s="227" t="n"/>
      <c r="R4419" s="227" t="n"/>
      <c r="S4419" s="227" t="n"/>
      <c r="T4419" s="227" t="n"/>
    </row>
    <row r="4420">
      <c r="A4420" s="145">
        <f>IF($B4420="","",ROW()-5)</f>
        <v/>
      </c>
      <c r="B4420" s="127" t="n"/>
      <c r="C4420" s="223" t="n"/>
      <c r="D4420" s="127" t="n"/>
      <c r="E4420" s="227" t="n"/>
      <c r="F4420" s="227" t="n"/>
      <c r="G4420" s="227" t="n"/>
      <c r="H4420" s="227" t="n"/>
      <c r="I4420" s="227" t="n"/>
      <c r="J4420" s="227" t="n"/>
      <c r="K4420" s="227" t="n"/>
      <c r="L4420" s="227" t="n"/>
      <c r="M4420" s="227" t="n"/>
      <c r="N4420" s="127" t="n"/>
      <c r="O4420" s="227" t="n"/>
      <c r="P4420" s="227" t="n"/>
      <c r="Q4420" s="227" t="n"/>
      <c r="R4420" s="227" t="n"/>
      <c r="S4420" s="227" t="n"/>
      <c r="T4420" s="227" t="n"/>
    </row>
    <row r="4421">
      <c r="A4421" s="145">
        <f>IF($B4421="","",ROW()-5)</f>
        <v/>
      </c>
      <c r="B4421" s="127" t="n"/>
      <c r="C4421" s="223" t="n"/>
      <c r="D4421" s="127" t="n"/>
      <c r="E4421" s="227" t="n"/>
      <c r="F4421" s="227" t="n"/>
      <c r="G4421" s="227" t="n"/>
      <c r="H4421" s="227" t="n"/>
      <c r="I4421" s="227" t="n"/>
      <c r="J4421" s="227" t="n"/>
      <c r="K4421" s="227" t="n"/>
      <c r="L4421" s="227" t="n"/>
      <c r="M4421" s="227" t="n"/>
      <c r="N4421" s="127" t="n"/>
      <c r="O4421" s="227" t="n"/>
      <c r="P4421" s="227" t="n"/>
      <c r="Q4421" s="227" t="n"/>
      <c r="R4421" s="227" t="n"/>
      <c r="S4421" s="227" t="n"/>
      <c r="T4421" s="227" t="n"/>
    </row>
    <row r="4422">
      <c r="A4422" s="145">
        <f>IF($B4422="","",ROW()-5)</f>
        <v/>
      </c>
      <c r="B4422" s="127" t="n"/>
      <c r="C4422" s="223" t="n"/>
      <c r="D4422" s="127" t="n"/>
      <c r="E4422" s="227" t="n"/>
      <c r="F4422" s="227" t="n"/>
      <c r="G4422" s="227" t="n"/>
      <c r="H4422" s="227" t="n"/>
      <c r="I4422" s="227" t="n"/>
      <c r="J4422" s="227" t="n"/>
      <c r="K4422" s="227" t="n"/>
      <c r="L4422" s="227" t="n"/>
      <c r="M4422" s="227" t="n"/>
      <c r="N4422" s="127" t="n"/>
      <c r="O4422" s="227" t="n"/>
      <c r="P4422" s="227" t="n"/>
      <c r="Q4422" s="227" t="n"/>
      <c r="R4422" s="227" t="n"/>
      <c r="S4422" s="227" t="n"/>
      <c r="T4422" s="227" t="n"/>
    </row>
    <row r="4423">
      <c r="A4423" s="145">
        <f>IF($B4423="","",ROW()-5)</f>
        <v/>
      </c>
      <c r="B4423" s="127" t="n"/>
      <c r="C4423" s="223" t="n"/>
      <c r="D4423" s="127" t="n"/>
      <c r="E4423" s="227" t="n"/>
      <c r="F4423" s="227" t="n"/>
      <c r="G4423" s="227" t="n"/>
      <c r="H4423" s="227" t="n"/>
      <c r="I4423" s="227" t="n"/>
      <c r="J4423" s="227" t="n"/>
      <c r="K4423" s="227" t="n"/>
      <c r="L4423" s="227" t="n"/>
      <c r="M4423" s="227" t="n"/>
      <c r="N4423" s="127" t="n"/>
      <c r="O4423" s="227" t="n"/>
      <c r="P4423" s="227" t="n"/>
      <c r="Q4423" s="227" t="n"/>
      <c r="R4423" s="227" t="n"/>
      <c r="S4423" s="227" t="n"/>
      <c r="T4423" s="227" t="n"/>
    </row>
    <row r="4424">
      <c r="A4424" s="145">
        <f>IF($B4424="","",ROW()-5)</f>
        <v/>
      </c>
      <c r="B4424" s="127" t="n"/>
      <c r="C4424" s="223" t="n"/>
      <c r="D4424" s="127" t="n"/>
      <c r="E4424" s="227" t="n"/>
      <c r="F4424" s="227" t="n"/>
      <c r="G4424" s="227" t="n"/>
      <c r="H4424" s="227" t="n"/>
      <c r="I4424" s="227" t="n"/>
      <c r="J4424" s="227" t="n"/>
      <c r="K4424" s="227" t="n"/>
      <c r="L4424" s="227" t="n"/>
      <c r="M4424" s="227" t="n"/>
      <c r="N4424" s="127" t="n"/>
      <c r="O4424" s="227" t="n"/>
      <c r="P4424" s="227" t="n"/>
      <c r="Q4424" s="227" t="n"/>
      <c r="R4424" s="227" t="n"/>
      <c r="S4424" s="227" t="n"/>
      <c r="T4424" s="227" t="n"/>
    </row>
    <row r="4425">
      <c r="A4425" s="145">
        <f>IF($B4425="","",ROW()-5)</f>
        <v/>
      </c>
      <c r="B4425" s="127" t="n"/>
      <c r="C4425" s="223" t="n"/>
      <c r="D4425" s="127" t="n"/>
      <c r="E4425" s="227" t="n"/>
      <c r="F4425" s="227" t="n"/>
      <c r="G4425" s="227" t="n"/>
      <c r="H4425" s="227" t="n"/>
      <c r="I4425" s="227" t="n"/>
      <c r="J4425" s="227" t="n"/>
      <c r="K4425" s="227" t="n"/>
      <c r="L4425" s="227" t="n"/>
      <c r="M4425" s="227" t="n"/>
      <c r="N4425" s="127" t="n"/>
      <c r="O4425" s="227" t="n"/>
      <c r="P4425" s="227" t="n"/>
      <c r="Q4425" s="227" t="n"/>
      <c r="R4425" s="227" t="n"/>
      <c r="S4425" s="227" t="n"/>
      <c r="T4425" s="227" t="n"/>
    </row>
    <row r="4426">
      <c r="A4426" s="145">
        <f>IF($B4426="","",ROW()-5)</f>
        <v/>
      </c>
      <c r="B4426" s="127" t="n"/>
      <c r="C4426" s="223" t="n"/>
      <c r="D4426" s="127" t="n"/>
      <c r="E4426" s="227" t="n"/>
      <c r="F4426" s="227" t="n"/>
      <c r="G4426" s="227" t="n"/>
      <c r="H4426" s="227" t="n"/>
      <c r="I4426" s="227" t="n"/>
      <c r="J4426" s="227" t="n"/>
      <c r="K4426" s="227" t="n"/>
      <c r="L4426" s="227" t="n"/>
      <c r="M4426" s="227" t="n"/>
      <c r="N4426" s="127" t="n"/>
      <c r="O4426" s="227" t="n"/>
      <c r="P4426" s="227" t="n"/>
      <c r="Q4426" s="227" t="n"/>
      <c r="R4426" s="227" t="n"/>
      <c r="S4426" s="227" t="n"/>
      <c r="T4426" s="227" t="n"/>
    </row>
    <row r="4427">
      <c r="A4427" s="145">
        <f>IF($B4427="","",ROW()-5)</f>
        <v/>
      </c>
      <c r="B4427" s="127" t="n"/>
      <c r="C4427" s="223" t="n"/>
      <c r="D4427" s="127" t="n"/>
      <c r="E4427" s="227" t="n"/>
      <c r="F4427" s="227" t="n"/>
      <c r="G4427" s="227" t="n"/>
      <c r="H4427" s="227" t="n"/>
      <c r="I4427" s="227" t="n"/>
      <c r="J4427" s="227" t="n"/>
      <c r="K4427" s="227" t="n"/>
      <c r="L4427" s="227" t="n"/>
      <c r="M4427" s="227" t="n"/>
      <c r="N4427" s="127" t="n"/>
      <c r="O4427" s="227" t="n"/>
      <c r="P4427" s="227" t="n"/>
      <c r="Q4427" s="227" t="n"/>
      <c r="R4427" s="227" t="n"/>
      <c r="S4427" s="227" t="n"/>
      <c r="T4427" s="227" t="n"/>
    </row>
    <row r="4428">
      <c r="A4428" s="145">
        <f>IF($B4428="","",ROW()-5)</f>
        <v/>
      </c>
      <c r="B4428" s="127" t="n"/>
      <c r="C4428" s="223" t="n"/>
      <c r="D4428" s="127" t="n"/>
      <c r="E4428" s="227" t="n"/>
      <c r="F4428" s="227" t="n"/>
      <c r="G4428" s="227" t="n"/>
      <c r="H4428" s="227" t="n"/>
      <c r="I4428" s="227" t="n"/>
      <c r="J4428" s="227" t="n"/>
      <c r="K4428" s="227" t="n"/>
      <c r="L4428" s="227" t="n"/>
      <c r="M4428" s="227" t="n"/>
      <c r="N4428" s="127" t="n"/>
      <c r="O4428" s="227" t="n"/>
      <c r="P4428" s="227" t="n"/>
      <c r="Q4428" s="227" t="n"/>
      <c r="R4428" s="227" t="n"/>
      <c r="S4428" s="227" t="n"/>
      <c r="T4428" s="227" t="n"/>
    </row>
    <row r="4429">
      <c r="A4429" s="145">
        <f>IF($B4429="","",ROW()-5)</f>
        <v/>
      </c>
      <c r="B4429" s="127" t="n"/>
      <c r="C4429" s="223" t="n"/>
      <c r="D4429" s="127" t="n"/>
      <c r="E4429" s="227" t="n"/>
      <c r="F4429" s="227" t="n"/>
      <c r="G4429" s="227" t="n"/>
      <c r="H4429" s="227" t="n"/>
      <c r="I4429" s="227" t="n"/>
      <c r="J4429" s="227" t="n"/>
      <c r="K4429" s="227" t="n"/>
      <c r="L4429" s="227" t="n"/>
      <c r="M4429" s="227" t="n"/>
      <c r="N4429" s="127" t="n"/>
      <c r="O4429" s="227" t="n"/>
      <c r="P4429" s="227" t="n"/>
      <c r="Q4429" s="227" t="n"/>
      <c r="R4429" s="227" t="n"/>
      <c r="S4429" s="227" t="n"/>
      <c r="T4429" s="227" t="n"/>
    </row>
    <row r="4430">
      <c r="A4430" s="145">
        <f>IF($B4430="","",ROW()-5)</f>
        <v/>
      </c>
      <c r="B4430" s="127" t="n"/>
      <c r="C4430" s="223" t="n"/>
      <c r="D4430" s="127" t="n"/>
      <c r="E4430" s="227" t="n"/>
      <c r="F4430" s="227" t="n"/>
      <c r="G4430" s="227" t="n"/>
      <c r="H4430" s="227" t="n"/>
      <c r="I4430" s="227" t="n"/>
      <c r="J4430" s="227" t="n"/>
      <c r="K4430" s="227" t="n"/>
      <c r="L4430" s="227" t="n"/>
      <c r="M4430" s="227" t="n"/>
      <c r="N4430" s="127" t="n"/>
      <c r="O4430" s="227" t="n"/>
      <c r="P4430" s="227" t="n"/>
      <c r="Q4430" s="227" t="n"/>
      <c r="R4430" s="227" t="n"/>
      <c r="S4430" s="227" t="n"/>
      <c r="T4430" s="227" t="n"/>
    </row>
    <row r="4431">
      <c r="A4431" s="145">
        <f>IF($B4431="","",ROW()-5)</f>
        <v/>
      </c>
      <c r="B4431" s="127" t="n"/>
      <c r="C4431" s="223" t="n"/>
      <c r="D4431" s="127" t="n"/>
      <c r="E4431" s="227" t="n"/>
      <c r="F4431" s="227" t="n"/>
      <c r="G4431" s="227" t="n"/>
      <c r="H4431" s="227" t="n"/>
      <c r="I4431" s="227" t="n"/>
      <c r="J4431" s="227" t="n"/>
      <c r="K4431" s="227" t="n"/>
      <c r="L4431" s="227" t="n"/>
      <c r="M4431" s="227" t="n"/>
      <c r="N4431" s="127" t="n"/>
      <c r="O4431" s="227" t="n"/>
      <c r="P4431" s="227" t="n"/>
      <c r="Q4431" s="227" t="n"/>
      <c r="R4431" s="227" t="n"/>
      <c r="S4431" s="227" t="n"/>
      <c r="T4431" s="227" t="n"/>
    </row>
    <row r="4432">
      <c r="A4432" s="145">
        <f>IF($B4432="","",ROW()-5)</f>
        <v/>
      </c>
      <c r="B4432" s="127" t="n"/>
      <c r="C4432" s="223" t="n"/>
      <c r="D4432" s="127" t="n"/>
      <c r="E4432" s="227" t="n"/>
      <c r="F4432" s="227" t="n"/>
      <c r="G4432" s="227" t="n"/>
      <c r="H4432" s="227" t="n"/>
      <c r="I4432" s="227" t="n"/>
      <c r="J4432" s="227" t="n"/>
      <c r="K4432" s="227" t="n"/>
      <c r="L4432" s="227" t="n"/>
      <c r="M4432" s="227" t="n"/>
      <c r="N4432" s="127" t="n"/>
      <c r="O4432" s="227" t="n"/>
      <c r="P4432" s="227" t="n"/>
      <c r="Q4432" s="227" t="n"/>
      <c r="R4432" s="227" t="n"/>
      <c r="S4432" s="227" t="n"/>
      <c r="T4432" s="227" t="n"/>
    </row>
    <row r="4433">
      <c r="A4433" s="145">
        <f>IF($B4433="","",ROW()-5)</f>
        <v/>
      </c>
      <c r="B4433" s="127" t="n"/>
      <c r="C4433" s="223" t="n"/>
      <c r="D4433" s="127" t="n"/>
      <c r="E4433" s="227" t="n"/>
      <c r="F4433" s="227" t="n"/>
      <c r="G4433" s="227" t="n"/>
      <c r="H4433" s="227" t="n"/>
      <c r="I4433" s="227" t="n"/>
      <c r="J4433" s="227" t="n"/>
      <c r="K4433" s="227" t="n"/>
      <c r="L4433" s="227" t="n"/>
      <c r="M4433" s="227" t="n"/>
      <c r="N4433" s="127" t="n"/>
      <c r="O4433" s="227" t="n"/>
      <c r="P4433" s="227" t="n"/>
      <c r="Q4433" s="227" t="n"/>
      <c r="R4433" s="227" t="n"/>
      <c r="S4433" s="227" t="n"/>
      <c r="T4433" s="227" t="n"/>
    </row>
    <row r="4434">
      <c r="A4434" s="145">
        <f>IF($B4434="","",ROW()-5)</f>
        <v/>
      </c>
      <c r="B4434" s="127" t="n"/>
      <c r="C4434" s="223" t="n"/>
      <c r="D4434" s="127" t="n"/>
      <c r="E4434" s="227" t="n"/>
      <c r="F4434" s="227" t="n"/>
      <c r="G4434" s="227" t="n"/>
      <c r="H4434" s="227" t="n"/>
      <c r="I4434" s="227" t="n"/>
      <c r="J4434" s="227" t="n"/>
      <c r="K4434" s="227" t="n"/>
      <c r="L4434" s="227" t="n"/>
      <c r="M4434" s="227" t="n"/>
      <c r="N4434" s="127" t="n"/>
      <c r="O4434" s="227" t="n"/>
      <c r="P4434" s="227" t="n"/>
      <c r="Q4434" s="227" t="n"/>
      <c r="R4434" s="227" t="n"/>
      <c r="S4434" s="227" t="n"/>
      <c r="T4434" s="227" t="n"/>
    </row>
    <row r="4435">
      <c r="A4435" s="145">
        <f>IF($B4435="","",ROW()-5)</f>
        <v/>
      </c>
      <c r="B4435" s="127" t="n"/>
      <c r="C4435" s="223" t="n"/>
      <c r="D4435" s="127" t="n"/>
      <c r="E4435" s="227" t="n"/>
      <c r="F4435" s="227" t="n"/>
      <c r="G4435" s="227" t="n"/>
      <c r="H4435" s="227" t="n"/>
      <c r="I4435" s="227" t="n"/>
      <c r="J4435" s="227" t="n"/>
      <c r="K4435" s="227" t="n"/>
      <c r="L4435" s="227" t="n"/>
      <c r="M4435" s="227" t="n"/>
      <c r="N4435" s="127" t="n"/>
      <c r="O4435" s="227" t="n"/>
      <c r="P4435" s="227" t="n"/>
      <c r="Q4435" s="227" t="n"/>
      <c r="R4435" s="227" t="n"/>
      <c r="S4435" s="227" t="n"/>
      <c r="T4435" s="227" t="n"/>
    </row>
    <row r="4436">
      <c r="A4436" s="145">
        <f>IF($B4436="","",ROW()-5)</f>
        <v/>
      </c>
      <c r="B4436" s="127" t="n"/>
      <c r="C4436" s="223" t="n"/>
      <c r="D4436" s="127" t="n"/>
      <c r="E4436" s="227" t="n"/>
      <c r="F4436" s="227" t="n"/>
      <c r="G4436" s="227" t="n"/>
      <c r="H4436" s="227" t="n"/>
      <c r="I4436" s="227" t="n"/>
      <c r="J4436" s="227" t="n"/>
      <c r="K4436" s="227" t="n"/>
      <c r="L4436" s="227" t="n"/>
      <c r="M4436" s="227" t="n"/>
      <c r="N4436" s="127" t="n"/>
      <c r="O4436" s="227" t="n"/>
      <c r="P4436" s="227" t="n"/>
      <c r="Q4436" s="227" t="n"/>
      <c r="R4436" s="227" t="n"/>
      <c r="S4436" s="227" t="n"/>
      <c r="T4436" s="227" t="n"/>
    </row>
    <row r="4437">
      <c r="A4437" s="145">
        <f>IF($B4437="","",ROW()-5)</f>
        <v/>
      </c>
      <c r="B4437" s="127" t="n"/>
      <c r="C4437" s="223" t="n"/>
      <c r="D4437" s="127" t="n"/>
      <c r="E4437" s="227" t="n"/>
      <c r="F4437" s="227" t="n"/>
      <c r="G4437" s="227" t="n"/>
      <c r="H4437" s="227" t="n"/>
      <c r="I4437" s="227" t="n"/>
      <c r="J4437" s="227" t="n"/>
      <c r="K4437" s="227" t="n"/>
      <c r="L4437" s="227" t="n"/>
      <c r="M4437" s="227" t="n"/>
      <c r="N4437" s="127" t="n"/>
      <c r="O4437" s="227" t="n"/>
      <c r="P4437" s="227" t="n"/>
      <c r="Q4437" s="227" t="n"/>
      <c r="R4437" s="227" t="n"/>
      <c r="S4437" s="227" t="n"/>
      <c r="T4437" s="227" t="n"/>
    </row>
    <row r="4438">
      <c r="A4438" s="145">
        <f>IF($B4438="","",ROW()-5)</f>
        <v/>
      </c>
      <c r="B4438" s="127" t="n"/>
      <c r="C4438" s="223" t="n"/>
      <c r="D4438" s="127" t="n"/>
      <c r="E4438" s="227" t="n"/>
      <c r="F4438" s="227" t="n"/>
      <c r="G4438" s="227" t="n"/>
      <c r="H4438" s="227" t="n"/>
      <c r="I4438" s="227" t="n"/>
      <c r="J4438" s="227" t="n"/>
      <c r="K4438" s="227" t="n"/>
      <c r="L4438" s="227" t="n"/>
      <c r="M4438" s="227" t="n"/>
      <c r="N4438" s="127" t="n"/>
      <c r="O4438" s="227" t="n"/>
      <c r="P4438" s="227" t="n"/>
      <c r="Q4438" s="227" t="n"/>
      <c r="R4438" s="227" t="n"/>
      <c r="S4438" s="227" t="n"/>
      <c r="T4438" s="227" t="n"/>
    </row>
    <row r="4439">
      <c r="A4439" s="145">
        <f>IF($B4439="","",ROW()-5)</f>
        <v/>
      </c>
      <c r="B4439" s="127" t="n"/>
      <c r="C4439" s="223" t="n"/>
      <c r="D4439" s="127" t="n"/>
      <c r="E4439" s="227" t="n"/>
      <c r="F4439" s="227" t="n"/>
      <c r="G4439" s="227" t="n"/>
      <c r="H4439" s="227" t="n"/>
      <c r="I4439" s="227" t="n"/>
      <c r="J4439" s="227" t="n"/>
      <c r="K4439" s="227" t="n"/>
      <c r="L4439" s="227" t="n"/>
      <c r="M4439" s="227" t="n"/>
      <c r="N4439" s="127" t="n"/>
      <c r="O4439" s="227" t="n"/>
      <c r="P4439" s="227" t="n"/>
      <c r="Q4439" s="227" t="n"/>
      <c r="R4439" s="227" t="n"/>
      <c r="S4439" s="227" t="n"/>
      <c r="T4439" s="227" t="n"/>
    </row>
    <row r="4440">
      <c r="A4440" s="145">
        <f>IF($B4440="","",ROW()-5)</f>
        <v/>
      </c>
      <c r="B4440" s="127" t="n"/>
      <c r="C4440" s="223" t="n"/>
      <c r="D4440" s="127" t="n"/>
      <c r="E4440" s="227" t="n"/>
      <c r="F4440" s="227" t="n"/>
      <c r="G4440" s="227" t="n"/>
      <c r="H4440" s="227" t="n"/>
      <c r="I4440" s="227" t="n"/>
      <c r="J4440" s="227" t="n"/>
      <c r="K4440" s="227" t="n"/>
      <c r="L4440" s="227" t="n"/>
      <c r="M4440" s="227" t="n"/>
      <c r="N4440" s="127" t="n"/>
      <c r="O4440" s="227" t="n"/>
      <c r="P4440" s="227" t="n"/>
      <c r="Q4440" s="227" t="n"/>
      <c r="R4440" s="227" t="n"/>
      <c r="S4440" s="227" t="n"/>
      <c r="T4440" s="227" t="n"/>
    </row>
    <row r="4441">
      <c r="A4441" s="145">
        <f>IF($B4441="","",ROW()-5)</f>
        <v/>
      </c>
      <c r="B4441" s="127" t="n"/>
      <c r="C4441" s="223" t="n"/>
      <c r="D4441" s="127" t="n"/>
      <c r="E4441" s="227" t="n"/>
      <c r="F4441" s="227" t="n"/>
      <c r="G4441" s="227" t="n"/>
      <c r="H4441" s="227" t="n"/>
      <c r="I4441" s="227" t="n"/>
      <c r="J4441" s="227" t="n"/>
      <c r="K4441" s="227" t="n"/>
      <c r="L4441" s="227" t="n"/>
      <c r="M4441" s="227" t="n"/>
      <c r="N4441" s="127" t="n"/>
      <c r="O4441" s="227" t="n"/>
      <c r="P4441" s="227" t="n"/>
      <c r="Q4441" s="227" t="n"/>
      <c r="R4441" s="227" t="n"/>
      <c r="S4441" s="227" t="n"/>
      <c r="T4441" s="227" t="n"/>
    </row>
    <row r="4442">
      <c r="A4442" s="145">
        <f>IF($B4442="","",ROW()-5)</f>
        <v/>
      </c>
      <c r="B4442" s="127" t="n"/>
      <c r="C4442" s="223" t="n"/>
      <c r="D4442" s="127" t="n"/>
      <c r="E4442" s="227" t="n"/>
      <c r="F4442" s="227" t="n"/>
      <c r="G4442" s="227" t="n"/>
      <c r="H4442" s="227" t="n"/>
      <c r="I4442" s="227" t="n"/>
      <c r="J4442" s="227" t="n"/>
      <c r="K4442" s="227" t="n"/>
      <c r="L4442" s="227" t="n"/>
      <c r="M4442" s="227" t="n"/>
      <c r="N4442" s="127" t="n"/>
      <c r="O4442" s="227" t="n"/>
      <c r="P4442" s="227" t="n"/>
      <c r="Q4442" s="227" t="n"/>
      <c r="R4442" s="227" t="n"/>
      <c r="S4442" s="227" t="n"/>
      <c r="T4442" s="227" t="n"/>
    </row>
    <row r="4443">
      <c r="A4443" s="145">
        <f>IF($B4443="","",ROW()-5)</f>
        <v/>
      </c>
      <c r="B4443" s="127" t="n"/>
      <c r="C4443" s="223" t="n"/>
      <c r="D4443" s="127" t="n"/>
      <c r="E4443" s="227" t="n"/>
      <c r="F4443" s="227" t="n"/>
      <c r="G4443" s="227" t="n"/>
      <c r="H4443" s="227" t="n"/>
      <c r="I4443" s="227" t="n"/>
      <c r="J4443" s="227" t="n"/>
      <c r="K4443" s="227" t="n"/>
      <c r="L4443" s="227" t="n"/>
      <c r="M4443" s="227" t="n"/>
      <c r="N4443" s="127" t="n"/>
      <c r="O4443" s="227" t="n"/>
      <c r="P4443" s="227" t="n"/>
      <c r="Q4443" s="227" t="n"/>
      <c r="R4443" s="227" t="n"/>
      <c r="S4443" s="227" t="n"/>
      <c r="T4443" s="227" t="n"/>
    </row>
    <row r="4444">
      <c r="A4444" s="145">
        <f>IF($B4444="","",ROW()-5)</f>
        <v/>
      </c>
      <c r="B4444" s="127" t="n"/>
      <c r="C4444" s="223" t="n"/>
      <c r="D4444" s="127" t="n"/>
      <c r="E4444" s="227" t="n"/>
      <c r="F4444" s="227" t="n"/>
      <c r="G4444" s="227" t="n"/>
      <c r="H4444" s="227" t="n"/>
      <c r="I4444" s="227" t="n"/>
      <c r="J4444" s="227" t="n"/>
      <c r="K4444" s="227" t="n"/>
      <c r="L4444" s="227" t="n"/>
      <c r="M4444" s="227" t="n"/>
      <c r="N4444" s="127" t="n"/>
      <c r="O4444" s="227" t="n"/>
      <c r="P4444" s="227" t="n"/>
      <c r="Q4444" s="227" t="n"/>
      <c r="R4444" s="227" t="n"/>
      <c r="S4444" s="227" t="n"/>
      <c r="T4444" s="227" t="n"/>
    </row>
    <row r="4445">
      <c r="A4445" s="145">
        <f>IF($B4445="","",ROW()-5)</f>
        <v/>
      </c>
      <c r="B4445" s="127" t="n"/>
      <c r="C4445" s="223" t="n"/>
      <c r="D4445" s="127" t="n"/>
      <c r="E4445" s="227" t="n"/>
      <c r="F4445" s="227" t="n"/>
      <c r="G4445" s="227" t="n"/>
      <c r="H4445" s="227" t="n"/>
      <c r="I4445" s="227" t="n"/>
      <c r="J4445" s="227" t="n"/>
      <c r="K4445" s="227" t="n"/>
      <c r="L4445" s="227" t="n"/>
      <c r="M4445" s="227" t="n"/>
      <c r="N4445" s="127" t="n"/>
      <c r="O4445" s="227" t="n"/>
      <c r="P4445" s="227" t="n"/>
      <c r="Q4445" s="227" t="n"/>
      <c r="R4445" s="227" t="n"/>
      <c r="S4445" s="227" t="n"/>
      <c r="T4445" s="227" t="n"/>
    </row>
    <row r="4446">
      <c r="A4446" s="145">
        <f>IF($B4446="","",ROW()-5)</f>
        <v/>
      </c>
      <c r="B4446" s="127" t="n"/>
      <c r="C4446" s="223" t="n"/>
      <c r="D4446" s="127" t="n"/>
      <c r="E4446" s="227" t="n"/>
      <c r="F4446" s="227" t="n"/>
      <c r="G4446" s="227" t="n"/>
      <c r="H4446" s="227" t="n"/>
      <c r="I4446" s="227" t="n"/>
      <c r="J4446" s="227" t="n"/>
      <c r="K4446" s="227" t="n"/>
      <c r="L4446" s="227" t="n"/>
      <c r="M4446" s="227" t="n"/>
      <c r="N4446" s="127" t="n"/>
      <c r="O4446" s="227" t="n"/>
      <c r="P4446" s="227" t="n"/>
      <c r="Q4446" s="227" t="n"/>
      <c r="R4446" s="227" t="n"/>
      <c r="S4446" s="227" t="n"/>
      <c r="T4446" s="227" t="n"/>
    </row>
    <row r="4447">
      <c r="A4447" s="145">
        <f>IF($B4447="","",ROW()-5)</f>
        <v/>
      </c>
      <c r="B4447" s="127" t="n"/>
      <c r="C4447" s="223" t="n"/>
      <c r="D4447" s="127" t="n"/>
      <c r="E4447" s="227" t="n"/>
      <c r="F4447" s="227" t="n"/>
      <c r="G4447" s="227" t="n"/>
      <c r="H4447" s="227" t="n"/>
      <c r="I4447" s="227" t="n"/>
      <c r="J4447" s="227" t="n"/>
      <c r="K4447" s="227" t="n"/>
      <c r="L4447" s="227" t="n"/>
      <c r="M4447" s="227" t="n"/>
      <c r="N4447" s="127" t="n"/>
      <c r="O4447" s="227" t="n"/>
      <c r="P4447" s="227" t="n"/>
      <c r="Q4447" s="227" t="n"/>
      <c r="R4447" s="227" t="n"/>
      <c r="S4447" s="227" t="n"/>
      <c r="T4447" s="227" t="n"/>
    </row>
    <row r="4448">
      <c r="A4448" s="145">
        <f>IF($B4448="","",ROW()-5)</f>
        <v/>
      </c>
      <c r="B4448" s="127" t="n"/>
      <c r="C4448" s="223" t="n"/>
      <c r="D4448" s="127" t="n"/>
      <c r="E4448" s="227" t="n"/>
      <c r="F4448" s="227" t="n"/>
      <c r="G4448" s="227" t="n"/>
      <c r="H4448" s="227" t="n"/>
      <c r="I4448" s="227" t="n"/>
      <c r="J4448" s="227" t="n"/>
      <c r="K4448" s="227" t="n"/>
      <c r="L4448" s="227" t="n"/>
      <c r="M4448" s="227" t="n"/>
      <c r="N4448" s="127" t="n"/>
      <c r="O4448" s="227" t="n"/>
      <c r="P4448" s="227" t="n"/>
      <c r="Q4448" s="227" t="n"/>
      <c r="R4448" s="227" t="n"/>
      <c r="S4448" s="227" t="n"/>
      <c r="T4448" s="227" t="n"/>
    </row>
    <row r="4449">
      <c r="A4449" s="145">
        <f>IF($B4449="","",ROW()-5)</f>
        <v/>
      </c>
      <c r="B4449" s="127" t="n"/>
      <c r="C4449" s="223" t="n"/>
      <c r="D4449" s="127" t="n"/>
      <c r="E4449" s="227" t="n"/>
      <c r="F4449" s="227" t="n"/>
      <c r="G4449" s="227" t="n"/>
      <c r="H4449" s="227" t="n"/>
      <c r="I4449" s="227" t="n"/>
      <c r="J4449" s="227" t="n"/>
      <c r="K4449" s="227" t="n"/>
      <c r="L4449" s="227" t="n"/>
      <c r="M4449" s="227" t="n"/>
      <c r="N4449" s="127" t="n"/>
      <c r="O4449" s="227" t="n"/>
      <c r="P4449" s="227" t="n"/>
      <c r="Q4449" s="227" t="n"/>
      <c r="R4449" s="227" t="n"/>
      <c r="S4449" s="227" t="n"/>
      <c r="T4449" s="227" t="n"/>
    </row>
    <row r="4450">
      <c r="A4450" s="145">
        <f>IF($B4450="","",ROW()-5)</f>
        <v/>
      </c>
      <c r="B4450" s="127" t="n"/>
      <c r="C4450" s="223" t="n"/>
      <c r="D4450" s="127" t="n"/>
      <c r="E4450" s="227" t="n"/>
      <c r="F4450" s="227" t="n"/>
      <c r="G4450" s="227" t="n"/>
      <c r="H4450" s="227" t="n"/>
      <c r="I4450" s="227" t="n"/>
      <c r="J4450" s="227" t="n"/>
      <c r="K4450" s="227" t="n"/>
      <c r="L4450" s="227" t="n"/>
      <c r="M4450" s="227" t="n"/>
      <c r="N4450" s="127" t="n"/>
      <c r="O4450" s="227" t="n"/>
      <c r="P4450" s="227" t="n"/>
      <c r="Q4450" s="227" t="n"/>
      <c r="R4450" s="227" t="n"/>
      <c r="S4450" s="227" t="n"/>
      <c r="T4450" s="227" t="n"/>
    </row>
    <row r="4451">
      <c r="A4451" s="145">
        <f>IF($B4451="","",ROW()-5)</f>
        <v/>
      </c>
      <c r="B4451" s="127" t="n"/>
      <c r="C4451" s="223" t="n"/>
      <c r="D4451" s="127" t="n"/>
      <c r="E4451" s="227" t="n"/>
      <c r="F4451" s="227" t="n"/>
      <c r="G4451" s="227" t="n"/>
      <c r="H4451" s="227" t="n"/>
      <c r="I4451" s="227" t="n"/>
      <c r="J4451" s="227" t="n"/>
      <c r="K4451" s="227" t="n"/>
      <c r="L4451" s="227" t="n"/>
      <c r="M4451" s="227" t="n"/>
      <c r="N4451" s="127" t="n"/>
      <c r="O4451" s="227" t="n"/>
      <c r="P4451" s="227" t="n"/>
      <c r="Q4451" s="227" t="n"/>
      <c r="R4451" s="227" t="n"/>
      <c r="S4451" s="227" t="n"/>
      <c r="T4451" s="227" t="n"/>
    </row>
    <row r="4452">
      <c r="A4452" s="145">
        <f>IF($B4452="","",ROW()-5)</f>
        <v/>
      </c>
      <c r="B4452" s="127" t="n"/>
      <c r="C4452" s="223" t="n"/>
      <c r="D4452" s="127" t="n"/>
      <c r="E4452" s="227" t="n"/>
      <c r="F4452" s="227" t="n"/>
      <c r="G4452" s="227" t="n"/>
      <c r="H4452" s="227" t="n"/>
      <c r="I4452" s="227" t="n"/>
      <c r="J4452" s="227" t="n"/>
      <c r="K4452" s="227" t="n"/>
      <c r="L4452" s="227" t="n"/>
      <c r="M4452" s="227" t="n"/>
      <c r="N4452" s="127" t="n"/>
      <c r="O4452" s="227" t="n"/>
      <c r="P4452" s="227" t="n"/>
      <c r="Q4452" s="227" t="n"/>
      <c r="R4452" s="227" t="n"/>
      <c r="S4452" s="227" t="n"/>
      <c r="T4452" s="227" t="n"/>
    </row>
    <row r="4453">
      <c r="A4453" s="145">
        <f>IF($B4453="","",ROW()-5)</f>
        <v/>
      </c>
      <c r="B4453" s="127" t="n"/>
      <c r="C4453" s="223" t="n"/>
      <c r="D4453" s="127" t="n"/>
      <c r="E4453" s="227" t="n"/>
      <c r="F4453" s="227" t="n"/>
      <c r="G4453" s="227" t="n"/>
      <c r="H4453" s="227" t="n"/>
      <c r="I4453" s="227" t="n"/>
      <c r="J4453" s="227" t="n"/>
      <c r="K4453" s="227" t="n"/>
      <c r="L4453" s="227" t="n"/>
      <c r="M4453" s="227" t="n"/>
      <c r="N4453" s="127" t="n"/>
      <c r="O4453" s="227" t="n"/>
      <c r="P4453" s="227" t="n"/>
      <c r="Q4453" s="227" t="n"/>
      <c r="R4453" s="227" t="n"/>
      <c r="S4453" s="227" t="n"/>
      <c r="T4453" s="227" t="n"/>
    </row>
    <row r="4454">
      <c r="A4454" s="145">
        <f>IF($B4454="","",ROW()-5)</f>
        <v/>
      </c>
      <c r="B4454" s="127" t="n"/>
      <c r="C4454" s="223" t="n"/>
      <c r="D4454" s="127" t="n"/>
      <c r="E4454" s="227" t="n"/>
      <c r="F4454" s="227" t="n"/>
      <c r="G4454" s="227" t="n"/>
      <c r="H4454" s="227" t="n"/>
      <c r="I4454" s="227" t="n"/>
      <c r="J4454" s="227" t="n"/>
      <c r="K4454" s="227" t="n"/>
      <c r="L4454" s="227" t="n"/>
      <c r="M4454" s="227" t="n"/>
      <c r="N4454" s="127" t="n"/>
      <c r="O4454" s="227" t="n"/>
      <c r="P4454" s="227" t="n"/>
      <c r="Q4454" s="227" t="n"/>
      <c r="R4454" s="227" t="n"/>
      <c r="S4454" s="227" t="n"/>
      <c r="T4454" s="227" t="n"/>
    </row>
    <row r="4455">
      <c r="A4455" s="145">
        <f>IF($B4455="","",ROW()-5)</f>
        <v/>
      </c>
      <c r="B4455" s="127" t="n"/>
      <c r="C4455" s="223" t="n"/>
      <c r="D4455" s="127" t="n"/>
      <c r="E4455" s="227" t="n"/>
      <c r="F4455" s="227" t="n"/>
      <c r="G4455" s="227" t="n"/>
      <c r="H4455" s="227" t="n"/>
      <c r="I4455" s="227" t="n"/>
      <c r="J4455" s="227" t="n"/>
      <c r="K4455" s="227" t="n"/>
      <c r="L4455" s="227" t="n"/>
      <c r="M4455" s="227" t="n"/>
      <c r="N4455" s="127" t="n"/>
      <c r="O4455" s="227" t="n"/>
      <c r="P4455" s="227" t="n"/>
      <c r="Q4455" s="227" t="n"/>
      <c r="R4455" s="227" t="n"/>
      <c r="S4455" s="227" t="n"/>
      <c r="T4455" s="227" t="n"/>
    </row>
    <row r="4456">
      <c r="A4456" s="145">
        <f>IF($B4456="","",ROW()-5)</f>
        <v/>
      </c>
      <c r="B4456" s="127" t="n"/>
      <c r="C4456" s="223" t="n"/>
      <c r="D4456" s="127" t="n"/>
      <c r="E4456" s="227" t="n"/>
      <c r="F4456" s="227" t="n"/>
      <c r="G4456" s="227" t="n"/>
      <c r="H4456" s="227" t="n"/>
      <c r="I4456" s="227" t="n"/>
      <c r="J4456" s="227" t="n"/>
      <c r="K4456" s="227" t="n"/>
      <c r="L4456" s="227" t="n"/>
      <c r="M4456" s="227" t="n"/>
      <c r="N4456" s="127" t="n"/>
      <c r="O4456" s="227" t="n"/>
      <c r="P4456" s="227" t="n"/>
      <c r="Q4456" s="227" t="n"/>
      <c r="R4456" s="227" t="n"/>
      <c r="S4456" s="227" t="n"/>
      <c r="T4456" s="227" t="n"/>
    </row>
    <row r="4457">
      <c r="A4457" s="145">
        <f>IF($B4457="","",ROW()-5)</f>
        <v/>
      </c>
      <c r="B4457" s="127" t="n"/>
      <c r="C4457" s="223" t="n"/>
      <c r="D4457" s="127" t="n"/>
      <c r="E4457" s="227" t="n"/>
      <c r="F4457" s="227" t="n"/>
      <c r="G4457" s="227" t="n"/>
      <c r="H4457" s="227" t="n"/>
      <c r="I4457" s="227" t="n"/>
      <c r="J4457" s="227" t="n"/>
      <c r="K4457" s="227" t="n"/>
      <c r="L4457" s="227" t="n"/>
      <c r="M4457" s="227" t="n"/>
      <c r="N4457" s="127" t="n"/>
      <c r="O4457" s="227" t="n"/>
      <c r="P4457" s="227" t="n"/>
      <c r="Q4457" s="227" t="n"/>
      <c r="R4457" s="227" t="n"/>
      <c r="S4457" s="227" t="n"/>
      <c r="T4457" s="227" t="n"/>
    </row>
    <row r="4458">
      <c r="A4458" s="145">
        <f>IF($B4458="","",ROW()-5)</f>
        <v/>
      </c>
      <c r="B4458" s="127" t="n"/>
      <c r="C4458" s="223" t="n"/>
      <c r="D4458" s="127" t="n"/>
      <c r="E4458" s="227" t="n"/>
      <c r="F4458" s="227" t="n"/>
      <c r="G4458" s="227" t="n"/>
      <c r="H4458" s="227" t="n"/>
      <c r="I4458" s="227" t="n"/>
      <c r="J4458" s="227" t="n"/>
      <c r="K4458" s="227" t="n"/>
      <c r="L4458" s="227" t="n"/>
      <c r="M4458" s="227" t="n"/>
      <c r="N4458" s="127" t="n"/>
      <c r="O4458" s="227" t="n"/>
      <c r="P4458" s="227" t="n"/>
      <c r="Q4458" s="227" t="n"/>
      <c r="R4458" s="227" t="n"/>
      <c r="S4458" s="227" t="n"/>
      <c r="T4458" s="227" t="n"/>
    </row>
    <row r="4459">
      <c r="A4459" s="145">
        <f>IF($B4459="","",ROW()-5)</f>
        <v/>
      </c>
      <c r="B4459" s="127" t="n"/>
      <c r="C4459" s="223" t="n"/>
      <c r="D4459" s="127" t="n"/>
      <c r="E4459" s="227" t="n"/>
      <c r="F4459" s="227" t="n"/>
      <c r="G4459" s="227" t="n"/>
      <c r="H4459" s="227" t="n"/>
      <c r="I4459" s="227" t="n"/>
      <c r="J4459" s="227" t="n"/>
      <c r="K4459" s="227" t="n"/>
      <c r="L4459" s="227" t="n"/>
      <c r="M4459" s="227" t="n"/>
      <c r="N4459" s="127" t="n"/>
      <c r="O4459" s="227" t="n"/>
      <c r="P4459" s="227" t="n"/>
      <c r="Q4459" s="227" t="n"/>
      <c r="R4459" s="227" t="n"/>
      <c r="S4459" s="227" t="n"/>
      <c r="T4459" s="227" t="n"/>
    </row>
    <row r="4460">
      <c r="A4460" s="145">
        <f>IF($B4460="","",ROW()-5)</f>
        <v/>
      </c>
      <c r="B4460" s="127" t="n"/>
      <c r="C4460" s="223" t="n"/>
      <c r="D4460" s="127" t="n"/>
      <c r="E4460" s="227" t="n"/>
      <c r="F4460" s="227" t="n"/>
      <c r="G4460" s="227" t="n"/>
      <c r="H4460" s="227" t="n"/>
      <c r="I4460" s="227" t="n"/>
      <c r="J4460" s="227" t="n"/>
      <c r="K4460" s="227" t="n"/>
      <c r="L4460" s="227" t="n"/>
      <c r="M4460" s="227" t="n"/>
      <c r="N4460" s="127" t="n"/>
      <c r="O4460" s="227" t="n"/>
      <c r="P4460" s="227" t="n"/>
      <c r="Q4460" s="227" t="n"/>
      <c r="R4460" s="227" t="n"/>
      <c r="S4460" s="227" t="n"/>
      <c r="T4460" s="227" t="n"/>
    </row>
    <row r="4461">
      <c r="A4461" s="145">
        <f>IF($B4461="","",ROW()-5)</f>
        <v/>
      </c>
      <c r="B4461" s="127" t="n"/>
      <c r="C4461" s="223" t="n"/>
      <c r="D4461" s="127" t="n"/>
      <c r="E4461" s="227" t="n"/>
      <c r="F4461" s="227" t="n"/>
      <c r="G4461" s="227" t="n"/>
      <c r="H4461" s="227" t="n"/>
      <c r="I4461" s="227" t="n"/>
      <c r="J4461" s="227" t="n"/>
      <c r="K4461" s="227" t="n"/>
      <c r="L4461" s="227" t="n"/>
      <c r="M4461" s="227" t="n"/>
      <c r="N4461" s="127" t="n"/>
      <c r="O4461" s="227" t="n"/>
      <c r="P4461" s="227" t="n"/>
      <c r="Q4461" s="227" t="n"/>
      <c r="R4461" s="227" t="n"/>
      <c r="S4461" s="227" t="n"/>
      <c r="T4461" s="227" t="n"/>
    </row>
    <row r="4462">
      <c r="A4462" s="145">
        <f>IF($B4462="","",ROW()-5)</f>
        <v/>
      </c>
      <c r="B4462" s="127" t="n"/>
      <c r="C4462" s="223" t="n"/>
      <c r="D4462" s="127" t="n"/>
      <c r="E4462" s="227" t="n"/>
      <c r="F4462" s="227" t="n"/>
      <c r="G4462" s="227" t="n"/>
      <c r="H4462" s="227" t="n"/>
      <c r="I4462" s="227" t="n"/>
      <c r="J4462" s="227" t="n"/>
      <c r="K4462" s="227" t="n"/>
      <c r="L4462" s="227" t="n"/>
      <c r="M4462" s="227" t="n"/>
      <c r="N4462" s="127" t="n"/>
      <c r="O4462" s="227" t="n"/>
      <c r="P4462" s="227" t="n"/>
      <c r="Q4462" s="227" t="n"/>
      <c r="R4462" s="227" t="n"/>
      <c r="S4462" s="227" t="n"/>
      <c r="T4462" s="227" t="n"/>
    </row>
    <row r="4463">
      <c r="A4463" s="145">
        <f>IF($B4463="","",ROW()-5)</f>
        <v/>
      </c>
      <c r="B4463" s="127" t="n"/>
      <c r="C4463" s="223" t="n"/>
      <c r="D4463" s="127" t="n"/>
      <c r="E4463" s="227" t="n"/>
      <c r="F4463" s="227" t="n"/>
      <c r="G4463" s="227" t="n"/>
      <c r="H4463" s="227" t="n"/>
      <c r="I4463" s="227" t="n"/>
      <c r="J4463" s="227" t="n"/>
      <c r="K4463" s="227" t="n"/>
      <c r="L4463" s="227" t="n"/>
      <c r="M4463" s="227" t="n"/>
      <c r="N4463" s="127" t="n"/>
      <c r="O4463" s="227" t="n"/>
      <c r="P4463" s="227" t="n"/>
      <c r="Q4463" s="227" t="n"/>
      <c r="R4463" s="227" t="n"/>
      <c r="S4463" s="227" t="n"/>
      <c r="T4463" s="227" t="n"/>
    </row>
    <row r="4464">
      <c r="A4464" s="145">
        <f>IF($B4464="","",ROW()-5)</f>
        <v/>
      </c>
      <c r="B4464" s="127" t="n"/>
      <c r="C4464" s="223" t="n"/>
      <c r="D4464" s="127" t="n"/>
      <c r="E4464" s="227" t="n"/>
      <c r="F4464" s="227" t="n"/>
      <c r="G4464" s="227" t="n"/>
      <c r="H4464" s="227" t="n"/>
      <c r="I4464" s="227" t="n"/>
      <c r="J4464" s="227" t="n"/>
      <c r="K4464" s="227" t="n"/>
      <c r="L4464" s="227" t="n"/>
      <c r="M4464" s="227" t="n"/>
      <c r="N4464" s="127" t="n"/>
      <c r="O4464" s="227" t="n"/>
      <c r="P4464" s="227" t="n"/>
      <c r="Q4464" s="227" t="n"/>
      <c r="R4464" s="227" t="n"/>
      <c r="S4464" s="227" t="n"/>
      <c r="T4464" s="227" t="n"/>
    </row>
    <row r="4465">
      <c r="A4465" s="145">
        <f>IF($B4465="","",ROW()-5)</f>
        <v/>
      </c>
      <c r="B4465" s="127" t="n"/>
      <c r="C4465" s="223" t="n"/>
      <c r="D4465" s="127" t="n"/>
      <c r="E4465" s="227" t="n"/>
      <c r="F4465" s="227" t="n"/>
      <c r="G4465" s="227" t="n"/>
      <c r="H4465" s="227" t="n"/>
      <c r="I4465" s="227" t="n"/>
      <c r="J4465" s="227" t="n"/>
      <c r="K4465" s="227" t="n"/>
      <c r="L4465" s="227" t="n"/>
      <c r="M4465" s="227" t="n"/>
      <c r="N4465" s="127" t="n"/>
      <c r="O4465" s="227" t="n"/>
      <c r="P4465" s="227" t="n"/>
      <c r="Q4465" s="227" t="n"/>
      <c r="R4465" s="227" t="n"/>
      <c r="S4465" s="227" t="n"/>
      <c r="T4465" s="227" t="n"/>
    </row>
    <row r="4466">
      <c r="A4466" s="145">
        <f>IF($B4466="","",ROW()-5)</f>
        <v/>
      </c>
      <c r="B4466" s="127" t="n"/>
      <c r="C4466" s="223" t="n"/>
      <c r="D4466" s="127" t="n"/>
      <c r="E4466" s="227" t="n"/>
      <c r="F4466" s="227" t="n"/>
      <c r="G4466" s="227" t="n"/>
      <c r="H4466" s="227" t="n"/>
      <c r="I4466" s="227" t="n"/>
      <c r="J4466" s="227" t="n"/>
      <c r="K4466" s="227" t="n"/>
      <c r="L4466" s="227" t="n"/>
      <c r="M4466" s="227" t="n"/>
      <c r="N4466" s="127" t="n"/>
      <c r="O4466" s="227" t="n"/>
      <c r="P4466" s="227" t="n"/>
      <c r="Q4466" s="227" t="n"/>
      <c r="R4466" s="227" t="n"/>
      <c r="S4466" s="227" t="n"/>
      <c r="T4466" s="227" t="n"/>
    </row>
    <row r="4467">
      <c r="A4467" s="145">
        <f>IF($B4467="","",ROW()-5)</f>
        <v/>
      </c>
      <c r="B4467" s="127" t="n"/>
      <c r="C4467" s="223" t="n"/>
      <c r="D4467" s="127" t="n"/>
      <c r="E4467" s="227" t="n"/>
      <c r="F4467" s="227" t="n"/>
      <c r="G4467" s="227" t="n"/>
      <c r="H4467" s="227" t="n"/>
      <c r="I4467" s="227" t="n"/>
      <c r="J4467" s="227" t="n"/>
      <c r="K4467" s="227" t="n"/>
      <c r="L4467" s="227" t="n"/>
      <c r="M4467" s="227" t="n"/>
      <c r="N4467" s="127" t="n"/>
      <c r="O4467" s="227" t="n"/>
      <c r="P4467" s="227" t="n"/>
      <c r="Q4467" s="227" t="n"/>
      <c r="R4467" s="227" t="n"/>
      <c r="S4467" s="227" t="n"/>
      <c r="T4467" s="227" t="n"/>
    </row>
    <row r="4468">
      <c r="A4468" s="145">
        <f>IF($B4468="","",ROW()-5)</f>
        <v/>
      </c>
      <c r="B4468" s="127" t="n"/>
      <c r="C4468" s="223" t="n"/>
      <c r="D4468" s="127" t="n"/>
      <c r="E4468" s="227" t="n"/>
      <c r="F4468" s="227" t="n"/>
      <c r="G4468" s="227" t="n"/>
      <c r="H4468" s="227" t="n"/>
      <c r="I4468" s="227" t="n"/>
      <c r="J4468" s="227" t="n"/>
      <c r="K4468" s="227" t="n"/>
      <c r="L4468" s="227" t="n"/>
      <c r="M4468" s="227" t="n"/>
      <c r="N4468" s="127" t="n"/>
      <c r="O4468" s="227" t="n"/>
      <c r="P4468" s="227" t="n"/>
      <c r="Q4468" s="227" t="n"/>
      <c r="R4468" s="227" t="n"/>
      <c r="S4468" s="227" t="n"/>
      <c r="T4468" s="227" t="n"/>
    </row>
    <row r="4469">
      <c r="A4469" s="145">
        <f>IF($B4469="","",ROW()-5)</f>
        <v/>
      </c>
      <c r="B4469" s="127" t="n"/>
      <c r="C4469" s="223" t="n"/>
      <c r="D4469" s="127" t="n"/>
      <c r="E4469" s="227" t="n"/>
      <c r="F4469" s="227" t="n"/>
      <c r="G4469" s="227" t="n"/>
      <c r="H4469" s="227" t="n"/>
      <c r="I4469" s="227" t="n"/>
      <c r="J4469" s="227" t="n"/>
      <c r="K4469" s="227" t="n"/>
      <c r="L4469" s="227" t="n"/>
      <c r="M4469" s="227" t="n"/>
      <c r="N4469" s="127" t="n"/>
      <c r="O4469" s="227" t="n"/>
      <c r="P4469" s="227" t="n"/>
      <c r="Q4469" s="227" t="n"/>
      <c r="R4469" s="227" t="n"/>
      <c r="S4469" s="227" t="n"/>
      <c r="T4469" s="227" t="n"/>
    </row>
    <row r="4470">
      <c r="A4470" s="145">
        <f>IF($B4470="","",ROW()-5)</f>
        <v/>
      </c>
      <c r="B4470" s="127" t="n"/>
      <c r="C4470" s="223" t="n"/>
      <c r="D4470" s="127" t="n"/>
      <c r="E4470" s="227" t="n"/>
      <c r="F4470" s="227" t="n"/>
      <c r="G4470" s="227" t="n"/>
      <c r="H4470" s="227" t="n"/>
      <c r="I4470" s="227" t="n"/>
      <c r="J4470" s="227" t="n"/>
      <c r="K4470" s="227" t="n"/>
      <c r="L4470" s="227" t="n"/>
      <c r="M4470" s="227" t="n"/>
      <c r="N4470" s="127" t="n"/>
      <c r="O4470" s="227" t="n"/>
      <c r="P4470" s="227" t="n"/>
      <c r="Q4470" s="227" t="n"/>
      <c r="R4470" s="227" t="n"/>
      <c r="S4470" s="227" t="n"/>
      <c r="T4470" s="227" t="n"/>
    </row>
    <row r="4471">
      <c r="A4471" s="145">
        <f>IF($B4471="","",ROW()-5)</f>
        <v/>
      </c>
      <c r="B4471" s="127" t="n"/>
      <c r="C4471" s="223" t="n"/>
      <c r="D4471" s="127" t="n"/>
      <c r="E4471" s="227" t="n"/>
      <c r="F4471" s="227" t="n"/>
      <c r="G4471" s="227" t="n"/>
      <c r="H4471" s="227" t="n"/>
      <c r="I4471" s="227" t="n"/>
      <c r="J4471" s="227" t="n"/>
      <c r="K4471" s="227" t="n"/>
      <c r="L4471" s="227" t="n"/>
      <c r="M4471" s="227" t="n"/>
      <c r="N4471" s="127" t="n"/>
      <c r="O4471" s="227" t="n"/>
      <c r="P4471" s="227" t="n"/>
      <c r="Q4471" s="227" t="n"/>
      <c r="R4471" s="227" t="n"/>
      <c r="S4471" s="227" t="n"/>
      <c r="T4471" s="227" t="n"/>
    </row>
    <row r="4472">
      <c r="A4472" s="145">
        <f>IF($B4472="","",ROW()-5)</f>
        <v/>
      </c>
      <c r="B4472" s="127" t="n"/>
      <c r="C4472" s="223" t="n"/>
      <c r="D4472" s="127" t="n"/>
      <c r="E4472" s="227" t="n"/>
      <c r="F4472" s="227" t="n"/>
      <c r="G4472" s="227" t="n"/>
      <c r="H4472" s="227" t="n"/>
      <c r="I4472" s="227" t="n"/>
      <c r="J4472" s="227" t="n"/>
      <c r="K4472" s="227" t="n"/>
      <c r="L4472" s="227" t="n"/>
      <c r="M4472" s="227" t="n"/>
      <c r="N4472" s="127" t="n"/>
      <c r="O4472" s="227" t="n"/>
      <c r="P4472" s="227" t="n"/>
      <c r="Q4472" s="227" t="n"/>
      <c r="R4472" s="227" t="n"/>
      <c r="S4472" s="227" t="n"/>
      <c r="T4472" s="227" t="n"/>
    </row>
    <row r="4473">
      <c r="A4473" s="145">
        <f>IF($B4473="","",ROW()-5)</f>
        <v/>
      </c>
      <c r="B4473" s="127" t="n"/>
      <c r="C4473" s="223" t="n"/>
      <c r="D4473" s="127" t="n"/>
      <c r="E4473" s="227" t="n"/>
      <c r="F4473" s="227" t="n"/>
      <c r="G4473" s="227" t="n"/>
      <c r="H4473" s="227" t="n"/>
      <c r="I4473" s="227" t="n"/>
      <c r="J4473" s="227" t="n"/>
      <c r="K4473" s="227" t="n"/>
      <c r="L4473" s="227" t="n"/>
      <c r="M4473" s="227" t="n"/>
      <c r="N4473" s="127" t="n"/>
      <c r="O4473" s="227" t="n"/>
      <c r="P4473" s="227" t="n"/>
      <c r="Q4473" s="227" t="n"/>
      <c r="R4473" s="227" t="n"/>
      <c r="S4473" s="227" t="n"/>
      <c r="T4473" s="227" t="n"/>
    </row>
    <row r="4474">
      <c r="A4474" s="145">
        <f>IF($B4474="","",ROW()-5)</f>
        <v/>
      </c>
      <c r="B4474" s="127" t="n"/>
      <c r="C4474" s="223" t="n"/>
      <c r="D4474" s="127" t="n"/>
      <c r="E4474" s="227" t="n"/>
      <c r="F4474" s="227" t="n"/>
      <c r="G4474" s="227" t="n"/>
      <c r="H4474" s="227" t="n"/>
      <c r="I4474" s="227" t="n"/>
      <c r="J4474" s="227" t="n"/>
      <c r="K4474" s="227" t="n"/>
      <c r="L4474" s="227" t="n"/>
      <c r="M4474" s="227" t="n"/>
      <c r="N4474" s="127" t="n"/>
      <c r="O4474" s="227" t="n"/>
      <c r="P4474" s="227" t="n"/>
      <c r="Q4474" s="227" t="n"/>
      <c r="R4474" s="227" t="n"/>
      <c r="S4474" s="227" t="n"/>
      <c r="T4474" s="227" t="n"/>
    </row>
    <row r="4475">
      <c r="A4475" s="145">
        <f>IF($B4475="","",ROW()-5)</f>
        <v/>
      </c>
      <c r="B4475" s="127" t="n"/>
      <c r="C4475" s="223" t="n"/>
      <c r="D4475" s="127" t="n"/>
      <c r="E4475" s="227" t="n"/>
      <c r="F4475" s="227" t="n"/>
      <c r="G4475" s="227" t="n"/>
      <c r="H4475" s="227" t="n"/>
      <c r="I4475" s="227" t="n"/>
      <c r="J4475" s="227" t="n"/>
      <c r="K4475" s="227" t="n"/>
      <c r="L4475" s="227" t="n"/>
      <c r="M4475" s="227" t="n"/>
      <c r="N4475" s="127" t="n"/>
      <c r="O4475" s="227" t="n"/>
      <c r="P4475" s="227" t="n"/>
      <c r="Q4475" s="227" t="n"/>
      <c r="R4475" s="227" t="n"/>
      <c r="S4475" s="227" t="n"/>
      <c r="T4475" s="227" t="n"/>
    </row>
    <row r="4476">
      <c r="A4476" s="145">
        <f>IF($B4476="","",ROW()-5)</f>
        <v/>
      </c>
      <c r="B4476" s="127" t="n"/>
      <c r="C4476" s="223" t="n"/>
      <c r="D4476" s="127" t="n"/>
      <c r="E4476" s="227" t="n"/>
      <c r="F4476" s="227" t="n"/>
      <c r="G4476" s="227" t="n"/>
      <c r="H4476" s="227" t="n"/>
      <c r="I4476" s="227" t="n"/>
      <c r="J4476" s="227" t="n"/>
      <c r="K4476" s="227" t="n"/>
      <c r="L4476" s="227" t="n"/>
      <c r="M4476" s="227" t="n"/>
      <c r="N4476" s="127" t="n"/>
      <c r="O4476" s="227" t="n"/>
      <c r="P4476" s="227" t="n"/>
      <c r="Q4476" s="227" t="n"/>
      <c r="R4476" s="227" t="n"/>
      <c r="S4476" s="227" t="n"/>
      <c r="T4476" s="227" t="n"/>
    </row>
    <row r="4477">
      <c r="A4477" s="145">
        <f>IF($B4477="","",ROW()-5)</f>
        <v/>
      </c>
      <c r="B4477" s="127" t="n"/>
      <c r="C4477" s="223" t="n"/>
      <c r="D4477" s="127" t="n"/>
      <c r="E4477" s="227" t="n"/>
      <c r="F4477" s="227" t="n"/>
      <c r="G4477" s="227" t="n"/>
      <c r="H4477" s="227" t="n"/>
      <c r="I4477" s="227" t="n"/>
      <c r="J4477" s="227" t="n"/>
      <c r="K4477" s="227" t="n"/>
      <c r="L4477" s="227" t="n"/>
      <c r="M4477" s="227" t="n"/>
      <c r="N4477" s="127" t="n"/>
      <c r="O4477" s="227" t="n"/>
      <c r="P4477" s="227" t="n"/>
      <c r="Q4477" s="227" t="n"/>
      <c r="R4477" s="227" t="n"/>
      <c r="S4477" s="227" t="n"/>
      <c r="T4477" s="227" t="n"/>
    </row>
    <row r="4478">
      <c r="A4478" s="145">
        <f>IF($B4478="","",ROW()-5)</f>
        <v/>
      </c>
      <c r="B4478" s="127" t="n"/>
      <c r="C4478" s="223" t="n"/>
      <c r="D4478" s="127" t="n"/>
      <c r="E4478" s="227" t="n"/>
      <c r="F4478" s="227" t="n"/>
      <c r="G4478" s="227" t="n"/>
      <c r="H4478" s="227" t="n"/>
      <c r="I4478" s="227" t="n"/>
      <c r="J4478" s="227" t="n"/>
      <c r="K4478" s="227" t="n"/>
      <c r="L4478" s="227" t="n"/>
      <c r="M4478" s="227" t="n"/>
      <c r="N4478" s="127" t="n"/>
      <c r="O4478" s="227" t="n"/>
      <c r="P4478" s="227" t="n"/>
      <c r="Q4478" s="227" t="n"/>
      <c r="R4478" s="227" t="n"/>
      <c r="S4478" s="227" t="n"/>
      <c r="T4478" s="227" t="n"/>
    </row>
    <row r="4479">
      <c r="A4479" s="145">
        <f>IF($B4479="","",ROW()-5)</f>
        <v/>
      </c>
      <c r="B4479" s="127" t="n"/>
      <c r="C4479" s="223" t="n"/>
      <c r="D4479" s="127" t="n"/>
      <c r="E4479" s="227" t="n"/>
      <c r="F4479" s="227" t="n"/>
      <c r="G4479" s="227" t="n"/>
      <c r="H4479" s="227" t="n"/>
      <c r="I4479" s="227" t="n"/>
      <c r="J4479" s="227" t="n"/>
      <c r="K4479" s="227" t="n"/>
      <c r="L4479" s="227" t="n"/>
      <c r="M4479" s="227" t="n"/>
      <c r="N4479" s="127" t="n"/>
      <c r="O4479" s="227" t="n"/>
      <c r="P4479" s="227" t="n"/>
      <c r="Q4479" s="227" t="n"/>
      <c r="R4479" s="227" t="n"/>
      <c r="S4479" s="227" t="n"/>
      <c r="T4479" s="227" t="n"/>
    </row>
    <row r="4480">
      <c r="A4480" s="145">
        <f>IF($B4480="","",ROW()-5)</f>
        <v/>
      </c>
      <c r="B4480" s="127" t="n"/>
      <c r="C4480" s="223" t="n"/>
      <c r="D4480" s="127" t="n"/>
      <c r="E4480" s="227" t="n"/>
      <c r="F4480" s="227" t="n"/>
      <c r="G4480" s="227" t="n"/>
      <c r="H4480" s="227" t="n"/>
      <c r="I4480" s="227" t="n"/>
      <c r="J4480" s="227" t="n"/>
      <c r="K4480" s="227" t="n"/>
      <c r="L4480" s="227" t="n"/>
      <c r="M4480" s="227" t="n"/>
      <c r="N4480" s="127" t="n"/>
      <c r="O4480" s="227" t="n"/>
      <c r="P4480" s="227" t="n"/>
      <c r="Q4480" s="227" t="n"/>
      <c r="R4480" s="227" t="n"/>
      <c r="S4480" s="227" t="n"/>
      <c r="T4480" s="227" t="n"/>
    </row>
    <row r="4481">
      <c r="A4481" s="145">
        <f>IF($B4481="","",ROW()-5)</f>
        <v/>
      </c>
      <c r="B4481" s="127" t="n"/>
      <c r="C4481" s="223" t="n"/>
      <c r="D4481" s="127" t="n"/>
      <c r="E4481" s="227" t="n"/>
      <c r="F4481" s="227" t="n"/>
      <c r="G4481" s="227" t="n"/>
      <c r="H4481" s="227" t="n"/>
      <c r="I4481" s="227" t="n"/>
      <c r="J4481" s="227" t="n"/>
      <c r="K4481" s="227" t="n"/>
      <c r="L4481" s="227" t="n"/>
      <c r="M4481" s="227" t="n"/>
      <c r="N4481" s="127" t="n"/>
      <c r="O4481" s="227" t="n"/>
      <c r="P4481" s="227" t="n"/>
      <c r="Q4481" s="227" t="n"/>
      <c r="R4481" s="227" t="n"/>
      <c r="S4481" s="227" t="n"/>
      <c r="T4481" s="227" t="n"/>
    </row>
    <row r="4482">
      <c r="A4482" s="145">
        <f>IF($B4482="","",ROW()-5)</f>
        <v/>
      </c>
      <c r="B4482" s="127" t="n"/>
      <c r="C4482" s="223" t="n"/>
      <c r="D4482" s="127" t="n"/>
      <c r="E4482" s="227" t="n"/>
      <c r="F4482" s="227" t="n"/>
      <c r="G4482" s="227" t="n"/>
      <c r="H4482" s="227" t="n"/>
      <c r="I4482" s="227" t="n"/>
      <c r="J4482" s="227" t="n"/>
      <c r="K4482" s="227" t="n"/>
      <c r="L4482" s="227" t="n"/>
      <c r="M4482" s="227" t="n"/>
      <c r="N4482" s="127" t="n"/>
      <c r="O4482" s="227" t="n"/>
      <c r="P4482" s="227" t="n"/>
      <c r="Q4482" s="227" t="n"/>
      <c r="R4482" s="227" t="n"/>
      <c r="S4482" s="227" t="n"/>
      <c r="T4482" s="227" t="n"/>
    </row>
    <row r="4483">
      <c r="A4483" s="145">
        <f>IF($B4483="","",ROW()-5)</f>
        <v/>
      </c>
      <c r="B4483" s="127" t="n"/>
      <c r="C4483" s="223" t="n"/>
      <c r="D4483" s="127" t="n"/>
      <c r="E4483" s="227" t="n"/>
      <c r="F4483" s="227" t="n"/>
      <c r="G4483" s="227" t="n"/>
      <c r="H4483" s="227" t="n"/>
      <c r="I4483" s="227" t="n"/>
      <c r="J4483" s="227" t="n"/>
      <c r="K4483" s="227" t="n"/>
      <c r="L4483" s="227" t="n"/>
      <c r="M4483" s="227" t="n"/>
      <c r="N4483" s="127" t="n"/>
      <c r="O4483" s="227" t="n"/>
      <c r="P4483" s="227" t="n"/>
      <c r="Q4483" s="227" t="n"/>
      <c r="R4483" s="227" t="n"/>
      <c r="S4483" s="227" t="n"/>
      <c r="T4483" s="227" t="n"/>
    </row>
    <row r="4484">
      <c r="A4484" s="145">
        <f>IF($B4484="","",ROW()-5)</f>
        <v/>
      </c>
      <c r="B4484" s="127" t="n"/>
      <c r="C4484" s="223" t="n"/>
      <c r="D4484" s="127" t="n"/>
      <c r="E4484" s="227" t="n"/>
      <c r="F4484" s="227" t="n"/>
      <c r="G4484" s="227" t="n"/>
      <c r="H4484" s="227" t="n"/>
      <c r="I4484" s="227" t="n"/>
      <c r="J4484" s="227" t="n"/>
      <c r="K4484" s="227" t="n"/>
      <c r="L4484" s="227" t="n"/>
      <c r="M4484" s="227" t="n"/>
      <c r="N4484" s="127" t="n"/>
      <c r="O4484" s="227" t="n"/>
      <c r="P4484" s="227" t="n"/>
      <c r="Q4484" s="227" t="n"/>
      <c r="R4484" s="227" t="n"/>
      <c r="S4484" s="227" t="n"/>
      <c r="T4484" s="227" t="n"/>
    </row>
    <row r="4485">
      <c r="A4485" s="145">
        <f>IF($B4485="","",ROW()-5)</f>
        <v/>
      </c>
      <c r="B4485" s="127" t="n"/>
      <c r="C4485" s="223" t="n"/>
      <c r="D4485" s="127" t="n"/>
      <c r="E4485" s="227" t="n"/>
      <c r="F4485" s="227" t="n"/>
      <c r="G4485" s="227" t="n"/>
      <c r="H4485" s="227" t="n"/>
      <c r="I4485" s="227" t="n"/>
      <c r="J4485" s="227" t="n"/>
      <c r="K4485" s="227" t="n"/>
      <c r="L4485" s="227" t="n"/>
      <c r="M4485" s="227" t="n"/>
      <c r="N4485" s="127" t="n"/>
      <c r="O4485" s="227" t="n"/>
      <c r="P4485" s="227" t="n"/>
      <c r="Q4485" s="227" t="n"/>
      <c r="R4485" s="227" t="n"/>
      <c r="S4485" s="227" t="n"/>
      <c r="T4485" s="227" t="n"/>
    </row>
    <row r="4486">
      <c r="A4486" s="145">
        <f>IF($B4486="","",ROW()-5)</f>
        <v/>
      </c>
      <c r="B4486" s="127" t="n"/>
      <c r="C4486" s="223" t="n"/>
      <c r="D4486" s="127" t="n"/>
      <c r="E4486" s="227" t="n"/>
      <c r="F4486" s="227" t="n"/>
      <c r="G4486" s="227" t="n"/>
      <c r="H4486" s="227" t="n"/>
      <c r="I4486" s="227" t="n"/>
      <c r="J4486" s="227" t="n"/>
      <c r="K4486" s="227" t="n"/>
      <c r="L4486" s="227" t="n"/>
      <c r="M4486" s="227" t="n"/>
      <c r="N4486" s="127" t="n"/>
      <c r="O4486" s="227" t="n"/>
      <c r="P4486" s="227" t="n"/>
      <c r="Q4486" s="227" t="n"/>
      <c r="R4486" s="227" t="n"/>
      <c r="S4486" s="227" t="n"/>
      <c r="T4486" s="227" t="n"/>
    </row>
    <row r="4487">
      <c r="A4487" s="145">
        <f>IF($B4487="","",ROW()-5)</f>
        <v/>
      </c>
      <c r="B4487" s="127" t="n"/>
      <c r="C4487" s="223" t="n"/>
      <c r="D4487" s="127" t="n"/>
      <c r="E4487" s="227" t="n"/>
      <c r="F4487" s="227" t="n"/>
      <c r="G4487" s="227" t="n"/>
      <c r="H4487" s="227" t="n"/>
      <c r="I4487" s="227" t="n"/>
      <c r="J4487" s="227" t="n"/>
      <c r="K4487" s="227" t="n"/>
      <c r="L4487" s="227" t="n"/>
      <c r="M4487" s="227" t="n"/>
      <c r="N4487" s="127" t="n"/>
      <c r="O4487" s="227" t="n"/>
      <c r="P4487" s="227" t="n"/>
      <c r="Q4487" s="227" t="n"/>
      <c r="R4487" s="227" t="n"/>
      <c r="S4487" s="227" t="n"/>
      <c r="T4487" s="227" t="n"/>
    </row>
    <row r="4488">
      <c r="A4488" s="145">
        <f>IF($B4488="","",ROW()-5)</f>
        <v/>
      </c>
      <c r="B4488" s="127" t="n"/>
      <c r="C4488" s="223" t="n"/>
      <c r="D4488" s="127" t="n"/>
      <c r="E4488" s="227" t="n"/>
      <c r="F4488" s="227" t="n"/>
      <c r="G4488" s="227" t="n"/>
      <c r="H4488" s="227" t="n"/>
      <c r="I4488" s="227" t="n"/>
      <c r="J4488" s="227" t="n"/>
      <c r="K4488" s="227" t="n"/>
      <c r="L4488" s="227" t="n"/>
      <c r="M4488" s="227" t="n"/>
      <c r="N4488" s="127" t="n"/>
      <c r="O4488" s="227" t="n"/>
      <c r="P4488" s="227" t="n"/>
      <c r="Q4488" s="227" t="n"/>
      <c r="R4488" s="227" t="n"/>
      <c r="S4488" s="227" t="n"/>
      <c r="T4488" s="227" t="n"/>
    </row>
    <row r="4489">
      <c r="A4489" s="145">
        <f>IF($B4489="","",ROW()-5)</f>
        <v/>
      </c>
      <c r="B4489" s="127" t="n"/>
      <c r="C4489" s="223" t="n"/>
      <c r="D4489" s="127" t="n"/>
      <c r="E4489" s="227" t="n"/>
      <c r="F4489" s="227" t="n"/>
      <c r="G4489" s="227" t="n"/>
      <c r="H4489" s="227" t="n"/>
      <c r="I4489" s="227" t="n"/>
      <c r="J4489" s="227" t="n"/>
      <c r="K4489" s="227" t="n"/>
      <c r="L4489" s="227" t="n"/>
      <c r="M4489" s="227" t="n"/>
      <c r="N4489" s="127" t="n"/>
      <c r="O4489" s="227" t="n"/>
      <c r="P4489" s="227" t="n"/>
      <c r="Q4489" s="227" t="n"/>
      <c r="R4489" s="227" t="n"/>
      <c r="S4489" s="227" t="n"/>
      <c r="T4489" s="227" t="n"/>
    </row>
    <row r="4490">
      <c r="A4490" s="145">
        <f>IF($B4490="","",ROW()-5)</f>
        <v/>
      </c>
      <c r="B4490" s="127" t="n"/>
      <c r="C4490" s="223" t="n"/>
      <c r="D4490" s="127" t="n"/>
      <c r="E4490" s="227" t="n"/>
      <c r="F4490" s="227" t="n"/>
      <c r="G4490" s="227" t="n"/>
      <c r="H4490" s="227" t="n"/>
      <c r="I4490" s="227" t="n"/>
      <c r="J4490" s="227" t="n"/>
      <c r="K4490" s="227" t="n"/>
      <c r="L4490" s="227" t="n"/>
      <c r="M4490" s="227" t="n"/>
      <c r="N4490" s="127" t="n"/>
      <c r="O4490" s="227" t="n"/>
      <c r="P4490" s="227" t="n"/>
      <c r="Q4490" s="227" t="n"/>
      <c r="R4490" s="227" t="n"/>
      <c r="S4490" s="227" t="n"/>
      <c r="T4490" s="227" t="n"/>
    </row>
    <row r="4491">
      <c r="A4491" s="145">
        <f>IF($B4491="","",ROW()-5)</f>
        <v/>
      </c>
      <c r="B4491" s="127" t="n"/>
      <c r="C4491" s="223" t="n"/>
      <c r="D4491" s="127" t="n"/>
      <c r="E4491" s="227" t="n"/>
      <c r="F4491" s="227" t="n"/>
      <c r="G4491" s="227" t="n"/>
      <c r="H4491" s="227" t="n"/>
      <c r="I4491" s="227" t="n"/>
      <c r="J4491" s="227" t="n"/>
      <c r="K4491" s="227" t="n"/>
      <c r="L4491" s="227" t="n"/>
      <c r="M4491" s="227" t="n"/>
      <c r="N4491" s="127" t="n"/>
      <c r="O4491" s="227" t="n"/>
      <c r="P4491" s="227" t="n"/>
      <c r="Q4491" s="227" t="n"/>
      <c r="R4491" s="227" t="n"/>
      <c r="S4491" s="227" t="n"/>
      <c r="T4491" s="227" t="n"/>
    </row>
    <row r="4492">
      <c r="A4492" s="145">
        <f>IF($B4492="","",ROW()-5)</f>
        <v/>
      </c>
      <c r="B4492" s="127" t="n"/>
      <c r="C4492" s="223" t="n"/>
      <c r="D4492" s="127" t="n"/>
      <c r="E4492" s="227" t="n"/>
      <c r="F4492" s="227" t="n"/>
      <c r="G4492" s="227" t="n"/>
      <c r="H4492" s="227" t="n"/>
      <c r="I4492" s="227" t="n"/>
      <c r="J4492" s="227" t="n"/>
      <c r="K4492" s="227" t="n"/>
      <c r="L4492" s="227" t="n"/>
      <c r="M4492" s="227" t="n"/>
      <c r="N4492" s="127" t="n"/>
      <c r="O4492" s="227" t="n"/>
      <c r="P4492" s="227" t="n"/>
      <c r="Q4492" s="227" t="n"/>
      <c r="R4492" s="227" t="n"/>
      <c r="S4492" s="227" t="n"/>
      <c r="T4492" s="227" t="n"/>
    </row>
    <row r="4493">
      <c r="A4493" s="145">
        <f>IF($B4493="","",ROW()-5)</f>
        <v/>
      </c>
      <c r="B4493" s="127" t="n"/>
      <c r="C4493" s="223" t="n"/>
      <c r="D4493" s="127" t="n"/>
      <c r="E4493" s="227" t="n"/>
      <c r="F4493" s="227" t="n"/>
      <c r="G4493" s="227" t="n"/>
      <c r="H4493" s="227" t="n"/>
      <c r="I4493" s="227" t="n"/>
      <c r="J4493" s="227" t="n"/>
      <c r="K4493" s="227" t="n"/>
      <c r="L4493" s="227" t="n"/>
      <c r="M4493" s="227" t="n"/>
      <c r="N4493" s="127" t="n"/>
      <c r="O4493" s="227" t="n"/>
      <c r="P4493" s="227" t="n"/>
      <c r="Q4493" s="227" t="n"/>
      <c r="R4493" s="227" t="n"/>
      <c r="S4493" s="227" t="n"/>
      <c r="T4493" s="227" t="n"/>
    </row>
    <row r="4494">
      <c r="A4494" s="145">
        <f>IF($B4494="","",ROW()-5)</f>
        <v/>
      </c>
      <c r="B4494" s="127" t="n"/>
      <c r="C4494" s="223" t="n"/>
      <c r="D4494" s="127" t="n"/>
      <c r="E4494" s="227" t="n"/>
      <c r="F4494" s="227" t="n"/>
      <c r="G4494" s="227" t="n"/>
      <c r="H4494" s="227" t="n"/>
      <c r="I4494" s="227" t="n"/>
      <c r="J4494" s="227" t="n"/>
      <c r="K4494" s="227" t="n"/>
      <c r="L4494" s="227" t="n"/>
      <c r="M4494" s="227" t="n"/>
      <c r="N4494" s="127" t="n"/>
      <c r="O4494" s="227" t="n"/>
      <c r="P4494" s="227" t="n"/>
      <c r="Q4494" s="227" t="n"/>
      <c r="R4494" s="227" t="n"/>
      <c r="S4494" s="227" t="n"/>
      <c r="T4494" s="227" t="n"/>
    </row>
    <row r="4495">
      <c r="A4495" s="145">
        <f>IF($B4495="","",ROW()-5)</f>
        <v/>
      </c>
      <c r="B4495" s="127" t="n"/>
      <c r="C4495" s="223" t="n"/>
      <c r="D4495" s="127" t="n"/>
      <c r="E4495" s="227" t="n"/>
      <c r="F4495" s="227" t="n"/>
      <c r="G4495" s="227" t="n"/>
      <c r="H4495" s="227" t="n"/>
      <c r="I4495" s="227" t="n"/>
      <c r="J4495" s="227" t="n"/>
      <c r="K4495" s="227" t="n"/>
      <c r="L4495" s="227" t="n"/>
      <c r="M4495" s="227" t="n"/>
      <c r="N4495" s="127" t="n"/>
      <c r="O4495" s="227" t="n"/>
      <c r="P4495" s="227" t="n"/>
      <c r="Q4495" s="227" t="n"/>
      <c r="R4495" s="227" t="n"/>
      <c r="S4495" s="227" t="n"/>
      <c r="T4495" s="227" t="n"/>
    </row>
    <row r="4496">
      <c r="A4496" s="145">
        <f>IF($B4496="","",ROW()-5)</f>
        <v/>
      </c>
      <c r="B4496" s="127" t="n"/>
      <c r="C4496" s="223" t="n"/>
      <c r="D4496" s="127" t="n"/>
      <c r="E4496" s="227" t="n"/>
      <c r="F4496" s="227" t="n"/>
      <c r="G4496" s="227" t="n"/>
      <c r="H4496" s="227" t="n"/>
      <c r="I4496" s="227" t="n"/>
      <c r="J4496" s="227" t="n"/>
      <c r="K4496" s="227" t="n"/>
      <c r="L4496" s="227" t="n"/>
      <c r="M4496" s="227" t="n"/>
      <c r="N4496" s="127" t="n"/>
      <c r="O4496" s="227" t="n"/>
      <c r="P4496" s="227" t="n"/>
      <c r="Q4496" s="227" t="n"/>
      <c r="R4496" s="227" t="n"/>
      <c r="S4496" s="227" t="n"/>
      <c r="T4496" s="227" t="n"/>
    </row>
    <row r="4497">
      <c r="A4497" s="145">
        <f>IF($B4497="","",ROW()-5)</f>
        <v/>
      </c>
      <c r="B4497" s="127" t="n"/>
      <c r="C4497" s="223" t="n"/>
      <c r="D4497" s="127" t="n"/>
      <c r="E4497" s="227" t="n"/>
      <c r="F4497" s="227" t="n"/>
      <c r="G4497" s="227" t="n"/>
      <c r="H4497" s="227" t="n"/>
      <c r="I4497" s="227" t="n"/>
      <c r="J4497" s="227" t="n"/>
      <c r="K4497" s="227" t="n"/>
      <c r="L4497" s="227" t="n"/>
      <c r="M4497" s="227" t="n"/>
      <c r="N4497" s="127" t="n"/>
      <c r="O4497" s="227" t="n"/>
      <c r="P4497" s="227" t="n"/>
      <c r="Q4497" s="227" t="n"/>
      <c r="R4497" s="227" t="n"/>
      <c r="S4497" s="227" t="n"/>
      <c r="T4497" s="227" t="n"/>
    </row>
    <row r="4498">
      <c r="A4498" s="145">
        <f>IF($B4498="","",ROW()-5)</f>
        <v/>
      </c>
      <c r="B4498" s="127" t="n"/>
      <c r="C4498" s="223" t="n"/>
      <c r="D4498" s="127" t="n"/>
      <c r="E4498" s="227" t="n"/>
      <c r="F4498" s="227" t="n"/>
      <c r="G4498" s="227" t="n"/>
      <c r="H4498" s="227" t="n"/>
      <c r="I4498" s="227" t="n"/>
      <c r="J4498" s="227" t="n"/>
      <c r="K4498" s="227" t="n"/>
      <c r="L4498" s="227" t="n"/>
      <c r="M4498" s="227" t="n"/>
      <c r="N4498" s="127" t="n"/>
      <c r="O4498" s="227" t="n"/>
      <c r="P4498" s="227" t="n"/>
      <c r="Q4498" s="227" t="n"/>
      <c r="R4498" s="227" t="n"/>
      <c r="S4498" s="227" t="n"/>
      <c r="T4498" s="227" t="n"/>
    </row>
    <row r="4499">
      <c r="A4499" s="145">
        <f>IF($B4499="","",ROW()-5)</f>
        <v/>
      </c>
      <c r="B4499" s="127" t="n"/>
      <c r="C4499" s="223" t="n"/>
      <c r="D4499" s="127" t="n"/>
      <c r="E4499" s="227" t="n"/>
      <c r="F4499" s="227" t="n"/>
      <c r="G4499" s="227" t="n"/>
      <c r="H4499" s="227" t="n"/>
      <c r="I4499" s="227" t="n"/>
      <c r="J4499" s="227" t="n"/>
      <c r="K4499" s="227" t="n"/>
      <c r="L4499" s="227" t="n"/>
      <c r="M4499" s="227" t="n"/>
      <c r="N4499" s="127" t="n"/>
      <c r="O4499" s="227" t="n"/>
      <c r="P4499" s="227" t="n"/>
      <c r="Q4499" s="227" t="n"/>
      <c r="R4499" s="227" t="n"/>
      <c r="S4499" s="227" t="n"/>
      <c r="T4499" s="227" t="n"/>
    </row>
    <row r="4500">
      <c r="A4500" s="145">
        <f>IF($B4500="","",ROW()-5)</f>
        <v/>
      </c>
      <c r="B4500" s="127" t="n"/>
      <c r="C4500" s="223" t="n"/>
      <c r="D4500" s="127" t="n"/>
      <c r="E4500" s="227" t="n"/>
      <c r="F4500" s="227" t="n"/>
      <c r="G4500" s="227" t="n"/>
      <c r="H4500" s="227" t="n"/>
      <c r="I4500" s="227" t="n"/>
      <c r="J4500" s="227" t="n"/>
      <c r="K4500" s="227" t="n"/>
      <c r="L4500" s="227" t="n"/>
      <c r="M4500" s="227" t="n"/>
      <c r="N4500" s="127" t="n"/>
      <c r="O4500" s="227" t="n"/>
      <c r="P4500" s="227" t="n"/>
      <c r="Q4500" s="227" t="n"/>
      <c r="R4500" s="227" t="n"/>
      <c r="S4500" s="227" t="n"/>
      <c r="T4500" s="227" t="n"/>
    </row>
    <row r="4501">
      <c r="A4501" s="145">
        <f>IF($B4501="","",ROW()-5)</f>
        <v/>
      </c>
      <c r="B4501" s="127" t="n"/>
      <c r="C4501" s="223" t="n"/>
      <c r="D4501" s="127" t="n"/>
      <c r="E4501" s="227" t="n"/>
      <c r="F4501" s="227" t="n"/>
      <c r="G4501" s="227" t="n"/>
      <c r="H4501" s="227" t="n"/>
      <c r="I4501" s="227" t="n"/>
      <c r="J4501" s="227" t="n"/>
      <c r="K4501" s="227" t="n"/>
      <c r="L4501" s="227" t="n"/>
      <c r="M4501" s="227" t="n"/>
      <c r="N4501" s="127" t="n"/>
      <c r="O4501" s="227" t="n"/>
      <c r="P4501" s="227" t="n"/>
      <c r="Q4501" s="227" t="n"/>
      <c r="R4501" s="227" t="n"/>
      <c r="S4501" s="227" t="n"/>
      <c r="T4501" s="227" t="n"/>
    </row>
    <row r="4502">
      <c r="A4502" s="145">
        <f>IF($B4502="","",ROW()-5)</f>
        <v/>
      </c>
      <c r="B4502" s="127" t="n"/>
      <c r="C4502" s="223" t="n"/>
      <c r="D4502" s="127" t="n"/>
      <c r="E4502" s="227" t="n"/>
      <c r="F4502" s="227" t="n"/>
      <c r="G4502" s="227" t="n"/>
      <c r="H4502" s="227" t="n"/>
      <c r="I4502" s="227" t="n"/>
      <c r="J4502" s="227" t="n"/>
      <c r="K4502" s="227" t="n"/>
      <c r="L4502" s="227" t="n"/>
      <c r="M4502" s="227" t="n"/>
      <c r="N4502" s="127" t="n"/>
      <c r="O4502" s="227" t="n"/>
      <c r="P4502" s="227" t="n"/>
      <c r="Q4502" s="227" t="n"/>
      <c r="R4502" s="227" t="n"/>
      <c r="S4502" s="227" t="n"/>
      <c r="T4502" s="227" t="n"/>
    </row>
    <row r="4503">
      <c r="A4503" s="145">
        <f>IF($B4503="","",ROW()-5)</f>
        <v/>
      </c>
      <c r="B4503" s="127" t="n"/>
      <c r="C4503" s="223" t="n"/>
      <c r="D4503" s="127" t="n"/>
      <c r="E4503" s="227" t="n"/>
      <c r="F4503" s="227" t="n"/>
      <c r="G4503" s="227" t="n"/>
      <c r="H4503" s="227" t="n"/>
      <c r="I4503" s="227" t="n"/>
      <c r="J4503" s="227" t="n"/>
      <c r="K4503" s="227" t="n"/>
      <c r="L4503" s="227" t="n"/>
      <c r="M4503" s="227" t="n"/>
      <c r="N4503" s="127" t="n"/>
      <c r="O4503" s="227" t="n"/>
      <c r="P4503" s="227" t="n"/>
      <c r="Q4503" s="227" t="n"/>
      <c r="R4503" s="227" t="n"/>
      <c r="S4503" s="227" t="n"/>
      <c r="T4503" s="227" t="n"/>
    </row>
    <row r="4504">
      <c r="A4504" s="145">
        <f>IF($B4504="","",ROW()-5)</f>
        <v/>
      </c>
      <c r="B4504" s="127" t="n"/>
      <c r="C4504" s="223" t="n"/>
      <c r="D4504" s="127" t="n"/>
      <c r="E4504" s="227" t="n"/>
      <c r="F4504" s="227" t="n"/>
      <c r="G4504" s="227" t="n"/>
      <c r="H4504" s="227" t="n"/>
      <c r="I4504" s="227" t="n"/>
      <c r="J4504" s="227" t="n"/>
      <c r="K4504" s="227" t="n"/>
      <c r="L4504" s="227" t="n"/>
      <c r="M4504" s="227" t="n"/>
      <c r="N4504" s="127" t="n"/>
      <c r="O4504" s="227" t="n"/>
      <c r="P4504" s="227" t="n"/>
      <c r="Q4504" s="227" t="n"/>
      <c r="R4504" s="227" t="n"/>
      <c r="S4504" s="227" t="n"/>
      <c r="T4504" s="227" t="n"/>
    </row>
    <row r="4505">
      <c r="A4505" s="145">
        <f>IF($B4505="","",ROW()-5)</f>
        <v/>
      </c>
      <c r="B4505" s="127" t="n"/>
      <c r="C4505" s="223" t="n"/>
      <c r="D4505" s="127" t="n"/>
      <c r="E4505" s="227" t="n"/>
      <c r="F4505" s="227" t="n"/>
      <c r="G4505" s="227" t="n"/>
      <c r="H4505" s="227" t="n"/>
      <c r="I4505" s="227" t="n"/>
      <c r="J4505" s="227" t="n"/>
      <c r="K4505" s="227" t="n"/>
      <c r="L4505" s="227" t="n"/>
      <c r="M4505" s="227" t="n"/>
      <c r="N4505" s="127" t="n"/>
      <c r="O4505" s="227" t="n"/>
      <c r="P4505" s="227" t="n"/>
      <c r="Q4505" s="227" t="n"/>
      <c r="R4505" s="227" t="n"/>
      <c r="S4505" s="227" t="n"/>
      <c r="T4505" s="227" t="n"/>
    </row>
    <row r="4506">
      <c r="A4506" s="145">
        <f>IF($B4506="","",ROW()-5)</f>
        <v/>
      </c>
      <c r="B4506" s="127" t="n"/>
      <c r="C4506" s="223" t="n"/>
      <c r="D4506" s="127" t="n"/>
      <c r="E4506" s="227" t="n"/>
      <c r="F4506" s="227" t="n"/>
      <c r="G4506" s="227" t="n"/>
      <c r="H4506" s="227" t="n"/>
      <c r="I4506" s="227" t="n"/>
      <c r="J4506" s="227" t="n"/>
      <c r="K4506" s="227" t="n"/>
      <c r="L4506" s="227" t="n"/>
      <c r="M4506" s="227" t="n"/>
      <c r="N4506" s="127" t="n"/>
      <c r="O4506" s="227" t="n"/>
      <c r="P4506" s="227" t="n"/>
      <c r="Q4506" s="227" t="n"/>
      <c r="R4506" s="227" t="n"/>
      <c r="S4506" s="227" t="n"/>
      <c r="T4506" s="227" t="n"/>
    </row>
    <row r="4507">
      <c r="A4507" s="145">
        <f>IF($B4507="","",ROW()-5)</f>
        <v/>
      </c>
      <c r="B4507" s="127" t="n"/>
      <c r="C4507" s="223" t="n"/>
      <c r="D4507" s="127" t="n"/>
      <c r="E4507" s="227" t="n"/>
      <c r="F4507" s="227" t="n"/>
      <c r="G4507" s="227" t="n"/>
      <c r="H4507" s="227" t="n"/>
      <c r="I4507" s="227" t="n"/>
      <c r="J4507" s="227" t="n"/>
      <c r="K4507" s="227" t="n"/>
      <c r="L4507" s="227" t="n"/>
      <c r="M4507" s="227" t="n"/>
      <c r="N4507" s="127" t="n"/>
      <c r="O4507" s="227" t="n"/>
      <c r="P4507" s="227" t="n"/>
      <c r="Q4507" s="227" t="n"/>
      <c r="R4507" s="227" t="n"/>
      <c r="S4507" s="227" t="n"/>
      <c r="T4507" s="227" t="n"/>
    </row>
    <row r="4508">
      <c r="A4508" s="145">
        <f>IF($B4508="","",ROW()-5)</f>
        <v/>
      </c>
      <c r="B4508" s="127" t="n"/>
      <c r="C4508" s="223" t="n"/>
      <c r="D4508" s="127" t="n"/>
      <c r="E4508" s="227" t="n"/>
      <c r="F4508" s="227" t="n"/>
      <c r="G4508" s="227" t="n"/>
      <c r="H4508" s="227" t="n"/>
      <c r="I4508" s="227" t="n"/>
      <c r="J4508" s="227" t="n"/>
      <c r="K4508" s="227" t="n"/>
      <c r="L4508" s="227" t="n"/>
      <c r="M4508" s="227" t="n"/>
      <c r="N4508" s="127" t="n"/>
      <c r="O4508" s="227" t="n"/>
      <c r="P4508" s="227" t="n"/>
      <c r="Q4508" s="227" t="n"/>
      <c r="R4508" s="227" t="n"/>
      <c r="S4508" s="227" t="n"/>
      <c r="T4508" s="227" t="n"/>
    </row>
    <row r="4509">
      <c r="A4509" s="145">
        <f>IF($B4509="","",ROW()-5)</f>
        <v/>
      </c>
      <c r="B4509" s="127" t="n"/>
      <c r="C4509" s="223" t="n"/>
      <c r="D4509" s="127" t="n"/>
      <c r="E4509" s="227" t="n"/>
      <c r="F4509" s="227" t="n"/>
      <c r="G4509" s="227" t="n"/>
      <c r="H4509" s="227" t="n"/>
      <c r="I4509" s="227" t="n"/>
      <c r="J4509" s="227" t="n"/>
      <c r="K4509" s="227" t="n"/>
      <c r="L4509" s="227" t="n"/>
      <c r="M4509" s="227" t="n"/>
      <c r="N4509" s="127" t="n"/>
      <c r="O4509" s="227" t="n"/>
      <c r="P4509" s="227" t="n"/>
      <c r="Q4509" s="227" t="n"/>
      <c r="R4509" s="227" t="n"/>
      <c r="S4509" s="227" t="n"/>
      <c r="T4509" s="227" t="n"/>
    </row>
    <row r="4510">
      <c r="A4510" s="145">
        <f>IF($B4510="","",ROW()-5)</f>
        <v/>
      </c>
      <c r="B4510" s="127" t="n"/>
      <c r="C4510" s="223" t="n"/>
      <c r="D4510" s="127" t="n"/>
      <c r="E4510" s="227" t="n"/>
      <c r="F4510" s="227" t="n"/>
      <c r="G4510" s="227" t="n"/>
      <c r="H4510" s="227" t="n"/>
      <c r="I4510" s="227" t="n"/>
      <c r="J4510" s="227" t="n"/>
      <c r="K4510" s="227" t="n"/>
      <c r="L4510" s="227" t="n"/>
      <c r="M4510" s="227" t="n"/>
      <c r="N4510" s="127" t="n"/>
      <c r="O4510" s="227" t="n"/>
      <c r="P4510" s="227" t="n"/>
      <c r="Q4510" s="227" t="n"/>
      <c r="R4510" s="227" t="n"/>
      <c r="S4510" s="227" t="n"/>
      <c r="T4510" s="227" t="n"/>
    </row>
    <row r="4511">
      <c r="A4511" s="145">
        <f>IF($B4511="","",ROW()-5)</f>
        <v/>
      </c>
      <c r="B4511" s="127" t="n"/>
      <c r="C4511" s="223" t="n"/>
      <c r="D4511" s="127" t="n"/>
      <c r="E4511" s="227" t="n"/>
      <c r="F4511" s="227" t="n"/>
      <c r="G4511" s="227" t="n"/>
      <c r="H4511" s="227" t="n"/>
      <c r="I4511" s="227" t="n"/>
      <c r="J4511" s="227" t="n"/>
      <c r="K4511" s="227" t="n"/>
      <c r="L4511" s="227" t="n"/>
      <c r="M4511" s="227" t="n"/>
      <c r="N4511" s="127" t="n"/>
      <c r="O4511" s="227" t="n"/>
      <c r="P4511" s="227" t="n"/>
      <c r="Q4511" s="227" t="n"/>
      <c r="R4511" s="227" t="n"/>
      <c r="S4511" s="227" t="n"/>
      <c r="T4511" s="227" t="n"/>
    </row>
    <row r="4512">
      <c r="A4512" s="145">
        <f>IF($B4512="","",ROW()-5)</f>
        <v/>
      </c>
      <c r="B4512" s="127" t="n"/>
      <c r="C4512" s="223" t="n"/>
      <c r="D4512" s="127" t="n"/>
      <c r="E4512" s="227" t="n"/>
      <c r="F4512" s="227" t="n"/>
      <c r="G4512" s="227" t="n"/>
      <c r="H4512" s="227" t="n"/>
      <c r="I4512" s="227" t="n"/>
      <c r="J4512" s="227" t="n"/>
      <c r="K4512" s="227" t="n"/>
      <c r="L4512" s="227" t="n"/>
      <c r="M4512" s="227" t="n"/>
      <c r="N4512" s="127" t="n"/>
      <c r="O4512" s="227" t="n"/>
      <c r="P4512" s="227" t="n"/>
      <c r="Q4512" s="227" t="n"/>
      <c r="R4512" s="227" t="n"/>
      <c r="S4512" s="227" t="n"/>
      <c r="T4512" s="227" t="n"/>
    </row>
    <row r="4513">
      <c r="A4513" s="145">
        <f>IF($B4513="","",ROW()-5)</f>
        <v/>
      </c>
      <c r="B4513" s="127" t="n"/>
      <c r="C4513" s="223" t="n"/>
      <c r="D4513" s="127" t="n"/>
      <c r="E4513" s="227" t="n"/>
      <c r="F4513" s="227" t="n"/>
      <c r="G4513" s="227" t="n"/>
      <c r="H4513" s="227" t="n"/>
      <c r="I4513" s="227" t="n"/>
      <c r="J4513" s="227" t="n"/>
      <c r="K4513" s="227" t="n"/>
      <c r="L4513" s="227" t="n"/>
      <c r="M4513" s="227" t="n"/>
      <c r="N4513" s="127" t="n"/>
      <c r="O4513" s="227" t="n"/>
      <c r="P4513" s="227" t="n"/>
      <c r="Q4513" s="227" t="n"/>
      <c r="R4513" s="227" t="n"/>
      <c r="S4513" s="227" t="n"/>
      <c r="T4513" s="227" t="n"/>
    </row>
    <row r="4514">
      <c r="A4514" s="145">
        <f>IF($B4514="","",ROW()-5)</f>
        <v/>
      </c>
      <c r="B4514" s="127" t="n"/>
      <c r="C4514" s="223" t="n"/>
      <c r="D4514" s="127" t="n"/>
      <c r="E4514" s="227" t="n"/>
      <c r="F4514" s="227" t="n"/>
      <c r="G4514" s="227" t="n"/>
      <c r="H4514" s="227" t="n"/>
      <c r="I4514" s="227" t="n"/>
      <c r="J4514" s="227" t="n"/>
      <c r="K4514" s="227" t="n"/>
      <c r="L4514" s="227" t="n"/>
      <c r="M4514" s="227" t="n"/>
      <c r="N4514" s="127" t="n"/>
      <c r="O4514" s="227" t="n"/>
      <c r="P4514" s="227" t="n"/>
      <c r="Q4514" s="227" t="n"/>
      <c r="R4514" s="227" t="n"/>
      <c r="S4514" s="227" t="n"/>
      <c r="T4514" s="227" t="n"/>
    </row>
    <row r="4515">
      <c r="A4515" s="145">
        <f>IF($B4515="","",ROW()-5)</f>
        <v/>
      </c>
      <c r="B4515" s="127" t="n"/>
      <c r="C4515" s="223" t="n"/>
      <c r="D4515" s="127" t="n"/>
      <c r="E4515" s="227" t="n"/>
      <c r="F4515" s="227" t="n"/>
      <c r="G4515" s="227" t="n"/>
      <c r="H4515" s="227" t="n"/>
      <c r="I4515" s="227" t="n"/>
      <c r="J4515" s="227" t="n"/>
      <c r="K4515" s="227" t="n"/>
      <c r="L4515" s="227" t="n"/>
      <c r="M4515" s="227" t="n"/>
      <c r="N4515" s="127" t="n"/>
      <c r="O4515" s="227" t="n"/>
      <c r="P4515" s="227" t="n"/>
      <c r="Q4515" s="227" t="n"/>
      <c r="R4515" s="227" t="n"/>
      <c r="S4515" s="227" t="n"/>
      <c r="T4515" s="227" t="n"/>
    </row>
    <row r="4516">
      <c r="A4516" s="145">
        <f>IF($B4516="","",ROW()-5)</f>
        <v/>
      </c>
      <c r="B4516" s="127" t="n"/>
      <c r="C4516" s="223" t="n"/>
      <c r="D4516" s="127" t="n"/>
      <c r="E4516" s="227" t="n"/>
      <c r="F4516" s="227" t="n"/>
      <c r="G4516" s="227" t="n"/>
      <c r="H4516" s="227" t="n"/>
      <c r="I4516" s="227" t="n"/>
      <c r="J4516" s="227" t="n"/>
      <c r="K4516" s="227" t="n"/>
      <c r="L4516" s="227" t="n"/>
      <c r="M4516" s="227" t="n"/>
      <c r="N4516" s="127" t="n"/>
      <c r="O4516" s="227" t="n"/>
      <c r="P4516" s="227" t="n"/>
      <c r="Q4516" s="227" t="n"/>
      <c r="R4516" s="227" t="n"/>
      <c r="S4516" s="227" t="n"/>
      <c r="T4516" s="227" t="n"/>
    </row>
    <row r="4517">
      <c r="A4517" s="145">
        <f>IF($B4517="","",ROW()-5)</f>
        <v/>
      </c>
      <c r="B4517" s="127" t="n"/>
      <c r="C4517" s="223" t="n"/>
      <c r="D4517" s="127" t="n"/>
      <c r="E4517" s="227" t="n"/>
      <c r="F4517" s="227" t="n"/>
      <c r="G4517" s="227" t="n"/>
      <c r="H4517" s="227" t="n"/>
      <c r="I4517" s="227" t="n"/>
      <c r="J4517" s="227" t="n"/>
      <c r="K4517" s="227" t="n"/>
      <c r="L4517" s="227" t="n"/>
      <c r="M4517" s="227" t="n"/>
      <c r="N4517" s="127" t="n"/>
      <c r="O4517" s="227" t="n"/>
      <c r="P4517" s="227" t="n"/>
      <c r="Q4517" s="227" t="n"/>
      <c r="R4517" s="227" t="n"/>
      <c r="S4517" s="227" t="n"/>
      <c r="T4517" s="227" t="n"/>
    </row>
    <row r="4518">
      <c r="A4518" s="145">
        <f>IF($B4518="","",ROW()-5)</f>
        <v/>
      </c>
      <c r="B4518" s="127" t="n"/>
      <c r="C4518" s="223" t="n"/>
      <c r="D4518" s="127" t="n"/>
      <c r="E4518" s="227" t="n"/>
      <c r="F4518" s="227" t="n"/>
      <c r="G4518" s="227" t="n"/>
      <c r="H4518" s="227" t="n"/>
      <c r="I4518" s="227" t="n"/>
      <c r="J4518" s="227" t="n"/>
      <c r="K4518" s="227" t="n"/>
      <c r="L4518" s="227" t="n"/>
      <c r="M4518" s="227" t="n"/>
      <c r="N4518" s="127" t="n"/>
      <c r="O4518" s="227" t="n"/>
      <c r="P4518" s="227" t="n"/>
      <c r="Q4518" s="227" t="n"/>
      <c r="R4518" s="227" t="n"/>
      <c r="S4518" s="227" t="n"/>
      <c r="T4518" s="227" t="n"/>
    </row>
    <row r="4519">
      <c r="A4519" s="145">
        <f>IF($B4519="","",ROW()-5)</f>
        <v/>
      </c>
      <c r="B4519" s="127" t="n"/>
      <c r="C4519" s="223" t="n"/>
      <c r="D4519" s="127" t="n"/>
      <c r="E4519" s="227" t="n"/>
      <c r="F4519" s="227" t="n"/>
      <c r="G4519" s="227" t="n"/>
      <c r="H4519" s="227" t="n"/>
      <c r="I4519" s="227" t="n"/>
      <c r="J4519" s="227" t="n"/>
      <c r="K4519" s="227" t="n"/>
      <c r="L4519" s="227" t="n"/>
      <c r="M4519" s="227" t="n"/>
      <c r="N4519" s="127" t="n"/>
      <c r="O4519" s="227" t="n"/>
      <c r="P4519" s="227" t="n"/>
      <c r="Q4519" s="227" t="n"/>
      <c r="R4519" s="227" t="n"/>
      <c r="S4519" s="227" t="n"/>
      <c r="T4519" s="227" t="n"/>
    </row>
    <row r="4520">
      <c r="A4520" s="145">
        <f>IF($B4520="","",ROW()-5)</f>
        <v/>
      </c>
      <c r="B4520" s="127" t="n"/>
      <c r="C4520" s="223" t="n"/>
      <c r="D4520" s="127" t="n"/>
      <c r="E4520" s="227" t="n"/>
      <c r="F4520" s="227" t="n"/>
      <c r="G4520" s="227" t="n"/>
      <c r="H4520" s="227" t="n"/>
      <c r="I4520" s="227" t="n"/>
      <c r="J4520" s="227" t="n"/>
      <c r="K4520" s="227" t="n"/>
      <c r="L4520" s="227" t="n"/>
      <c r="M4520" s="227" t="n"/>
      <c r="N4520" s="127" t="n"/>
      <c r="O4520" s="227" t="n"/>
      <c r="P4520" s="227" t="n"/>
      <c r="Q4520" s="227" t="n"/>
      <c r="R4520" s="227" t="n"/>
      <c r="S4520" s="227" t="n"/>
      <c r="T4520" s="227" t="n"/>
    </row>
    <row r="4521">
      <c r="A4521" s="145">
        <f>IF($B4521="","",ROW()-5)</f>
        <v/>
      </c>
      <c r="B4521" s="127" t="n"/>
      <c r="C4521" s="223" t="n"/>
      <c r="D4521" s="127" t="n"/>
      <c r="E4521" s="227" t="n"/>
      <c r="F4521" s="227" t="n"/>
      <c r="G4521" s="227" t="n"/>
      <c r="H4521" s="227" t="n"/>
      <c r="I4521" s="227" t="n"/>
      <c r="J4521" s="227" t="n"/>
      <c r="K4521" s="227" t="n"/>
      <c r="L4521" s="227" t="n"/>
      <c r="M4521" s="227" t="n"/>
      <c r="N4521" s="127" t="n"/>
      <c r="O4521" s="227" t="n"/>
      <c r="P4521" s="227" t="n"/>
      <c r="Q4521" s="227" t="n"/>
      <c r="R4521" s="227" t="n"/>
      <c r="S4521" s="227" t="n"/>
      <c r="T4521" s="227" t="n"/>
    </row>
    <row r="4522">
      <c r="A4522" s="145">
        <f>IF($B4522="","",ROW()-5)</f>
        <v/>
      </c>
      <c r="B4522" s="127" t="n"/>
      <c r="C4522" s="223" t="n"/>
      <c r="D4522" s="127" t="n"/>
      <c r="E4522" s="227" t="n"/>
      <c r="F4522" s="227" t="n"/>
      <c r="G4522" s="227" t="n"/>
      <c r="H4522" s="227" t="n"/>
      <c r="I4522" s="227" t="n"/>
      <c r="J4522" s="227" t="n"/>
      <c r="K4522" s="227" t="n"/>
      <c r="L4522" s="227" t="n"/>
      <c r="M4522" s="227" t="n"/>
      <c r="N4522" s="127" t="n"/>
      <c r="O4522" s="227" t="n"/>
      <c r="P4522" s="227" t="n"/>
      <c r="Q4522" s="227" t="n"/>
      <c r="R4522" s="227" t="n"/>
      <c r="S4522" s="227" t="n"/>
      <c r="T4522" s="227" t="n"/>
    </row>
    <row r="4523">
      <c r="A4523" s="145">
        <f>IF($B4523="","",ROW()-5)</f>
        <v/>
      </c>
      <c r="B4523" s="127" t="n"/>
      <c r="C4523" s="223" t="n"/>
      <c r="D4523" s="127" t="n"/>
      <c r="E4523" s="227" t="n"/>
      <c r="F4523" s="227" t="n"/>
      <c r="G4523" s="227" t="n"/>
      <c r="H4523" s="227" t="n"/>
      <c r="I4523" s="227" t="n"/>
      <c r="J4523" s="227" t="n"/>
      <c r="K4523" s="227" t="n"/>
      <c r="L4523" s="227" t="n"/>
      <c r="M4523" s="227" t="n"/>
      <c r="N4523" s="127" t="n"/>
      <c r="O4523" s="227" t="n"/>
      <c r="P4523" s="227" t="n"/>
      <c r="Q4523" s="227" t="n"/>
      <c r="R4523" s="227" t="n"/>
      <c r="S4523" s="227" t="n"/>
      <c r="T4523" s="227" t="n"/>
    </row>
    <row r="4524">
      <c r="A4524" s="145">
        <f>IF($B4524="","",ROW()-5)</f>
        <v/>
      </c>
      <c r="B4524" s="127" t="n"/>
      <c r="C4524" s="223" t="n"/>
      <c r="D4524" s="127" t="n"/>
      <c r="E4524" s="227" t="n"/>
      <c r="F4524" s="227" t="n"/>
      <c r="G4524" s="227" t="n"/>
      <c r="H4524" s="227" t="n"/>
      <c r="I4524" s="227" t="n"/>
      <c r="J4524" s="227" t="n"/>
      <c r="K4524" s="227" t="n"/>
      <c r="L4524" s="227" t="n"/>
      <c r="M4524" s="227" t="n"/>
      <c r="N4524" s="127" t="n"/>
      <c r="O4524" s="227" t="n"/>
      <c r="P4524" s="227" t="n"/>
      <c r="Q4524" s="227" t="n"/>
      <c r="R4524" s="227" t="n"/>
      <c r="S4524" s="227" t="n"/>
      <c r="T4524" s="227" t="n"/>
    </row>
    <row r="4525">
      <c r="A4525" s="145">
        <f>IF($B4525="","",ROW()-5)</f>
        <v/>
      </c>
      <c r="B4525" s="127" t="n"/>
      <c r="C4525" s="223" t="n"/>
      <c r="D4525" s="127" t="n"/>
      <c r="E4525" s="227" t="n"/>
      <c r="F4525" s="227" t="n"/>
      <c r="G4525" s="227" t="n"/>
      <c r="H4525" s="227" t="n"/>
      <c r="I4525" s="227" t="n"/>
      <c r="J4525" s="227" t="n"/>
      <c r="K4525" s="227" t="n"/>
      <c r="L4525" s="227" t="n"/>
      <c r="M4525" s="227" t="n"/>
      <c r="N4525" s="127" t="n"/>
      <c r="O4525" s="227" t="n"/>
      <c r="P4525" s="227" t="n"/>
      <c r="Q4525" s="227" t="n"/>
      <c r="R4525" s="227" t="n"/>
      <c r="S4525" s="227" t="n"/>
      <c r="T4525" s="227" t="n"/>
    </row>
    <row r="4526">
      <c r="A4526" s="145">
        <f>IF($B4526="","",ROW()-5)</f>
        <v/>
      </c>
      <c r="B4526" s="127" t="n"/>
      <c r="C4526" s="223" t="n"/>
      <c r="D4526" s="127" t="n"/>
      <c r="E4526" s="227" t="n"/>
      <c r="F4526" s="227" t="n"/>
      <c r="G4526" s="227" t="n"/>
      <c r="H4526" s="227" t="n"/>
      <c r="I4526" s="227" t="n"/>
      <c r="J4526" s="227" t="n"/>
      <c r="K4526" s="227" t="n"/>
      <c r="L4526" s="227" t="n"/>
      <c r="M4526" s="227" t="n"/>
      <c r="N4526" s="127" t="n"/>
      <c r="O4526" s="227" t="n"/>
      <c r="P4526" s="227" t="n"/>
      <c r="Q4526" s="227" t="n"/>
      <c r="R4526" s="227" t="n"/>
      <c r="S4526" s="227" t="n"/>
      <c r="T4526" s="227" t="n"/>
    </row>
    <row r="4527">
      <c r="A4527" s="145">
        <f>IF($B4527="","",ROW()-5)</f>
        <v/>
      </c>
      <c r="B4527" s="127" t="n"/>
      <c r="C4527" s="223" t="n"/>
      <c r="D4527" s="127" t="n"/>
      <c r="E4527" s="227" t="n"/>
      <c r="F4527" s="227" t="n"/>
      <c r="G4527" s="227" t="n"/>
      <c r="H4527" s="227" t="n"/>
      <c r="I4527" s="227" t="n"/>
      <c r="J4527" s="227" t="n"/>
      <c r="K4527" s="227" t="n"/>
      <c r="L4527" s="227" t="n"/>
      <c r="M4527" s="227" t="n"/>
      <c r="N4527" s="127" t="n"/>
      <c r="O4527" s="227" t="n"/>
      <c r="P4527" s="227" t="n"/>
      <c r="Q4527" s="227" t="n"/>
      <c r="R4527" s="227" t="n"/>
      <c r="S4527" s="227" t="n"/>
      <c r="T4527" s="227" t="n"/>
    </row>
    <row r="4528">
      <c r="A4528" s="145">
        <f>IF($B4528="","",ROW()-5)</f>
        <v/>
      </c>
      <c r="B4528" s="127" t="n"/>
      <c r="C4528" s="223" t="n"/>
      <c r="D4528" s="127" t="n"/>
      <c r="E4528" s="227" t="n"/>
      <c r="F4528" s="227" t="n"/>
      <c r="G4528" s="227" t="n"/>
      <c r="H4528" s="227" t="n"/>
      <c r="I4528" s="227" t="n"/>
      <c r="J4528" s="227" t="n"/>
      <c r="K4528" s="227" t="n"/>
      <c r="L4528" s="227" t="n"/>
      <c r="M4528" s="227" t="n"/>
      <c r="N4528" s="127" t="n"/>
      <c r="O4528" s="227" t="n"/>
      <c r="P4528" s="227" t="n"/>
      <c r="Q4528" s="227" t="n"/>
      <c r="R4528" s="227" t="n"/>
      <c r="S4528" s="227" t="n"/>
      <c r="T4528" s="227" t="n"/>
    </row>
    <row r="4529">
      <c r="A4529" s="145">
        <f>IF($B4529="","",ROW()-5)</f>
        <v/>
      </c>
      <c r="B4529" s="127" t="n"/>
      <c r="C4529" s="223" t="n"/>
      <c r="D4529" s="127" t="n"/>
      <c r="E4529" s="227" t="n"/>
      <c r="F4529" s="227" t="n"/>
      <c r="G4529" s="227" t="n"/>
      <c r="H4529" s="227" t="n"/>
      <c r="I4529" s="227" t="n"/>
      <c r="J4529" s="227" t="n"/>
      <c r="K4529" s="227" t="n"/>
      <c r="L4529" s="227" t="n"/>
      <c r="M4529" s="227" t="n"/>
      <c r="N4529" s="127" t="n"/>
      <c r="O4529" s="227" t="n"/>
      <c r="P4529" s="227" t="n"/>
      <c r="Q4529" s="227" t="n"/>
      <c r="R4529" s="227" t="n"/>
      <c r="S4529" s="227" t="n"/>
      <c r="T4529" s="227" t="n"/>
    </row>
    <row r="4530">
      <c r="A4530" s="145">
        <f>IF($B4530="","",ROW()-5)</f>
        <v/>
      </c>
      <c r="B4530" s="127" t="n"/>
      <c r="C4530" s="223" t="n"/>
      <c r="D4530" s="127" t="n"/>
      <c r="E4530" s="227" t="n"/>
      <c r="F4530" s="227" t="n"/>
      <c r="G4530" s="227" t="n"/>
      <c r="H4530" s="227" t="n"/>
      <c r="I4530" s="227" t="n"/>
      <c r="J4530" s="227" t="n"/>
      <c r="K4530" s="227" t="n"/>
      <c r="L4530" s="227" t="n"/>
      <c r="M4530" s="227" t="n"/>
      <c r="N4530" s="127" t="n"/>
      <c r="O4530" s="227" t="n"/>
      <c r="P4530" s="227" t="n"/>
      <c r="Q4530" s="227" t="n"/>
      <c r="R4530" s="227" t="n"/>
      <c r="S4530" s="227" t="n"/>
      <c r="T4530" s="227" t="n"/>
    </row>
    <row r="4531">
      <c r="A4531" s="145">
        <f>IF($B4531="","",ROW()-5)</f>
        <v/>
      </c>
      <c r="B4531" s="127" t="n"/>
      <c r="C4531" s="223" t="n"/>
      <c r="D4531" s="127" t="n"/>
      <c r="E4531" s="227" t="n"/>
      <c r="F4531" s="227" t="n"/>
      <c r="G4531" s="227" t="n"/>
      <c r="H4531" s="227" t="n"/>
      <c r="I4531" s="227" t="n"/>
      <c r="J4531" s="227" t="n"/>
      <c r="K4531" s="227" t="n"/>
      <c r="L4531" s="227" t="n"/>
      <c r="M4531" s="227" t="n"/>
      <c r="N4531" s="127" t="n"/>
      <c r="O4531" s="227" t="n"/>
      <c r="P4531" s="227" t="n"/>
      <c r="Q4531" s="227" t="n"/>
      <c r="R4531" s="227" t="n"/>
      <c r="S4531" s="227" t="n"/>
      <c r="T4531" s="227" t="n"/>
    </row>
    <row r="4532">
      <c r="A4532" s="145">
        <f>IF($B4532="","",ROW()-5)</f>
        <v/>
      </c>
      <c r="B4532" s="127" t="n"/>
      <c r="C4532" s="223" t="n"/>
      <c r="D4532" s="127" t="n"/>
      <c r="E4532" s="227" t="n"/>
      <c r="F4532" s="227" t="n"/>
      <c r="G4532" s="227" t="n"/>
      <c r="H4532" s="227" t="n"/>
      <c r="I4532" s="227" t="n"/>
      <c r="J4532" s="227" t="n"/>
      <c r="K4532" s="227" t="n"/>
      <c r="L4532" s="227" t="n"/>
      <c r="M4532" s="227" t="n"/>
      <c r="N4532" s="127" t="n"/>
      <c r="O4532" s="227" t="n"/>
      <c r="P4532" s="227" t="n"/>
      <c r="Q4532" s="227" t="n"/>
      <c r="R4532" s="227" t="n"/>
      <c r="S4532" s="227" t="n"/>
      <c r="T4532" s="227" t="n"/>
    </row>
    <row r="4533">
      <c r="A4533" s="145">
        <f>IF($B4533="","",ROW()-5)</f>
        <v/>
      </c>
      <c r="B4533" s="127" t="n"/>
      <c r="C4533" s="223" t="n"/>
      <c r="D4533" s="127" t="n"/>
      <c r="E4533" s="227" t="n"/>
      <c r="F4533" s="227" t="n"/>
      <c r="G4533" s="227" t="n"/>
      <c r="H4533" s="227" t="n"/>
      <c r="I4533" s="227" t="n"/>
      <c r="J4533" s="227" t="n"/>
      <c r="K4533" s="227" t="n"/>
      <c r="L4533" s="227" t="n"/>
      <c r="M4533" s="227" t="n"/>
      <c r="N4533" s="127" t="n"/>
      <c r="O4533" s="227" t="n"/>
      <c r="P4533" s="227" t="n"/>
      <c r="Q4533" s="227" t="n"/>
      <c r="R4533" s="227" t="n"/>
      <c r="S4533" s="227" t="n"/>
      <c r="T4533" s="227" t="n"/>
    </row>
    <row r="4534">
      <c r="A4534" s="145">
        <f>IF($B4534="","",ROW()-5)</f>
        <v/>
      </c>
      <c r="B4534" s="127" t="n"/>
      <c r="C4534" s="223" t="n"/>
      <c r="D4534" s="127" t="n"/>
      <c r="E4534" s="227" t="n"/>
      <c r="F4534" s="227" t="n"/>
      <c r="G4534" s="227" t="n"/>
      <c r="H4534" s="227" t="n"/>
      <c r="I4534" s="227" t="n"/>
      <c r="J4534" s="227" t="n"/>
      <c r="K4534" s="227" t="n"/>
      <c r="L4534" s="227" t="n"/>
      <c r="M4534" s="227" t="n"/>
      <c r="N4534" s="127" t="n"/>
      <c r="O4534" s="227" t="n"/>
      <c r="P4534" s="227" t="n"/>
      <c r="Q4534" s="227" t="n"/>
      <c r="R4534" s="227" t="n"/>
      <c r="S4534" s="227" t="n"/>
      <c r="T4534" s="227" t="n"/>
    </row>
    <row r="4535">
      <c r="A4535" s="145">
        <f>IF($B4535="","",ROW()-5)</f>
        <v/>
      </c>
      <c r="B4535" s="127" t="n"/>
      <c r="C4535" s="223" t="n"/>
      <c r="D4535" s="127" t="n"/>
      <c r="E4535" s="227" t="n"/>
      <c r="F4535" s="227" t="n"/>
      <c r="G4535" s="227" t="n"/>
      <c r="H4535" s="227" t="n"/>
      <c r="I4535" s="227" t="n"/>
      <c r="J4535" s="227" t="n"/>
      <c r="K4535" s="227" t="n"/>
      <c r="L4535" s="227" t="n"/>
      <c r="M4535" s="227" t="n"/>
      <c r="N4535" s="127" t="n"/>
      <c r="O4535" s="227" t="n"/>
      <c r="P4535" s="227" t="n"/>
      <c r="Q4535" s="227" t="n"/>
      <c r="R4535" s="227" t="n"/>
      <c r="S4535" s="227" t="n"/>
      <c r="T4535" s="227" t="n"/>
    </row>
    <row r="4536">
      <c r="A4536" s="145">
        <f>IF($B4536="","",ROW()-5)</f>
        <v/>
      </c>
      <c r="B4536" s="127" t="n"/>
      <c r="C4536" s="223" t="n"/>
      <c r="D4536" s="127" t="n"/>
      <c r="E4536" s="227" t="n"/>
      <c r="F4536" s="227" t="n"/>
      <c r="G4536" s="227" t="n"/>
      <c r="H4536" s="227" t="n"/>
      <c r="I4536" s="227" t="n"/>
      <c r="J4536" s="227" t="n"/>
      <c r="K4536" s="227" t="n"/>
      <c r="L4536" s="227" t="n"/>
      <c r="M4536" s="227" t="n"/>
      <c r="N4536" s="127" t="n"/>
      <c r="O4536" s="227" t="n"/>
      <c r="P4536" s="227" t="n"/>
      <c r="Q4536" s="227" t="n"/>
      <c r="R4536" s="227" t="n"/>
      <c r="S4536" s="227" t="n"/>
      <c r="T4536" s="227" t="n"/>
    </row>
    <row r="4537">
      <c r="A4537" s="145">
        <f>IF($B4537="","",ROW()-5)</f>
        <v/>
      </c>
      <c r="B4537" s="127" t="n"/>
      <c r="C4537" s="223" t="n"/>
      <c r="D4537" s="127" t="n"/>
      <c r="E4537" s="227" t="n"/>
      <c r="F4537" s="227" t="n"/>
      <c r="G4537" s="227" t="n"/>
      <c r="H4537" s="227" t="n"/>
      <c r="I4537" s="227" t="n"/>
      <c r="J4537" s="227" t="n"/>
      <c r="K4537" s="227" t="n"/>
      <c r="L4537" s="227" t="n"/>
      <c r="M4537" s="227" t="n"/>
      <c r="N4537" s="127" t="n"/>
      <c r="O4537" s="227" t="n"/>
      <c r="P4537" s="227" t="n"/>
      <c r="Q4537" s="227" t="n"/>
      <c r="R4537" s="227" t="n"/>
      <c r="S4537" s="227" t="n"/>
      <c r="T4537" s="227" t="n"/>
    </row>
    <row r="4538">
      <c r="A4538" s="145">
        <f>IF($B4538="","",ROW()-5)</f>
        <v/>
      </c>
      <c r="B4538" s="127" t="n"/>
      <c r="C4538" s="223" t="n"/>
      <c r="D4538" s="127" t="n"/>
      <c r="E4538" s="227" t="n"/>
      <c r="F4538" s="227" t="n"/>
      <c r="G4538" s="227" t="n"/>
      <c r="H4538" s="227" t="n"/>
      <c r="I4538" s="227" t="n"/>
      <c r="J4538" s="227" t="n"/>
      <c r="K4538" s="227" t="n"/>
      <c r="L4538" s="227" t="n"/>
      <c r="M4538" s="227" t="n"/>
      <c r="N4538" s="127" t="n"/>
      <c r="O4538" s="227" t="n"/>
      <c r="P4538" s="227" t="n"/>
      <c r="Q4538" s="227" t="n"/>
      <c r="R4538" s="227" t="n"/>
      <c r="S4538" s="227" t="n"/>
      <c r="T4538" s="227" t="n"/>
    </row>
    <row r="4539">
      <c r="A4539" s="145">
        <f>IF($B4539="","",ROW()-5)</f>
        <v/>
      </c>
      <c r="B4539" s="127" t="n"/>
      <c r="C4539" s="223" t="n"/>
      <c r="D4539" s="127" t="n"/>
      <c r="E4539" s="227" t="n"/>
      <c r="F4539" s="227" t="n"/>
      <c r="G4539" s="227" t="n"/>
      <c r="H4539" s="227" t="n"/>
      <c r="I4539" s="227" t="n"/>
      <c r="J4539" s="227" t="n"/>
      <c r="K4539" s="227" t="n"/>
      <c r="L4539" s="227" t="n"/>
      <c r="M4539" s="227" t="n"/>
      <c r="N4539" s="127" t="n"/>
      <c r="O4539" s="227" t="n"/>
      <c r="P4539" s="227" t="n"/>
      <c r="Q4539" s="227" t="n"/>
      <c r="R4539" s="227" t="n"/>
      <c r="S4539" s="227" t="n"/>
      <c r="T4539" s="227" t="n"/>
    </row>
    <row r="4540">
      <c r="A4540" s="145">
        <f>IF($B4540="","",ROW()-5)</f>
        <v/>
      </c>
      <c r="B4540" s="127" t="n"/>
      <c r="C4540" s="223" t="n"/>
      <c r="D4540" s="127" t="n"/>
      <c r="E4540" s="227" t="n"/>
      <c r="F4540" s="227" t="n"/>
      <c r="G4540" s="227" t="n"/>
      <c r="H4540" s="227" t="n"/>
      <c r="I4540" s="227" t="n"/>
      <c r="J4540" s="227" t="n"/>
      <c r="K4540" s="227" t="n"/>
      <c r="L4540" s="227" t="n"/>
      <c r="M4540" s="227" t="n"/>
      <c r="N4540" s="127" t="n"/>
      <c r="O4540" s="227" t="n"/>
      <c r="P4540" s="227" t="n"/>
      <c r="Q4540" s="227" t="n"/>
      <c r="R4540" s="227" t="n"/>
      <c r="S4540" s="227" t="n"/>
      <c r="T4540" s="227" t="n"/>
    </row>
    <row r="4541">
      <c r="A4541" s="145">
        <f>IF($B4541="","",ROW()-5)</f>
        <v/>
      </c>
      <c r="B4541" s="127" t="n"/>
      <c r="C4541" s="223" t="n"/>
      <c r="D4541" s="127" t="n"/>
      <c r="E4541" s="227" t="n"/>
      <c r="F4541" s="227" t="n"/>
      <c r="G4541" s="227" t="n"/>
      <c r="H4541" s="227" t="n"/>
      <c r="I4541" s="227" t="n"/>
      <c r="J4541" s="227" t="n"/>
      <c r="K4541" s="227" t="n"/>
      <c r="L4541" s="227" t="n"/>
      <c r="M4541" s="227" t="n"/>
      <c r="N4541" s="127" t="n"/>
      <c r="O4541" s="227" t="n"/>
      <c r="P4541" s="227" t="n"/>
      <c r="Q4541" s="227" t="n"/>
      <c r="R4541" s="227" t="n"/>
      <c r="S4541" s="227" t="n"/>
      <c r="T4541" s="227" t="n"/>
    </row>
    <row r="4542">
      <c r="A4542" s="145">
        <f>IF($B4542="","",ROW()-5)</f>
        <v/>
      </c>
      <c r="B4542" s="127" t="n"/>
      <c r="C4542" s="223" t="n"/>
      <c r="D4542" s="127" t="n"/>
      <c r="E4542" s="227" t="n"/>
      <c r="F4542" s="227" t="n"/>
      <c r="G4542" s="227" t="n"/>
      <c r="H4542" s="227" t="n"/>
      <c r="I4542" s="227" t="n"/>
      <c r="J4542" s="227" t="n"/>
      <c r="K4542" s="227" t="n"/>
      <c r="L4542" s="227" t="n"/>
      <c r="M4542" s="227" t="n"/>
      <c r="N4542" s="127" t="n"/>
      <c r="O4542" s="227" t="n"/>
      <c r="P4542" s="227" t="n"/>
      <c r="Q4542" s="227" t="n"/>
      <c r="R4542" s="227" t="n"/>
      <c r="S4542" s="227" t="n"/>
      <c r="T4542" s="227" t="n"/>
    </row>
    <row r="4543">
      <c r="A4543" s="145">
        <f>IF($B4543="","",ROW()-5)</f>
        <v/>
      </c>
      <c r="B4543" s="127" t="n"/>
      <c r="C4543" s="223" t="n"/>
      <c r="D4543" s="127" t="n"/>
      <c r="E4543" s="227" t="n"/>
      <c r="F4543" s="227" t="n"/>
      <c r="G4543" s="227" t="n"/>
      <c r="H4543" s="227" t="n"/>
      <c r="I4543" s="227" t="n"/>
      <c r="J4543" s="227" t="n"/>
      <c r="K4543" s="227" t="n"/>
      <c r="L4543" s="227" t="n"/>
      <c r="M4543" s="227" t="n"/>
      <c r="N4543" s="127" t="n"/>
      <c r="O4543" s="227" t="n"/>
      <c r="P4543" s="227" t="n"/>
      <c r="Q4543" s="227" t="n"/>
      <c r="R4543" s="227" t="n"/>
      <c r="S4543" s="227" t="n"/>
      <c r="T4543" s="227" t="n"/>
    </row>
    <row r="4544">
      <c r="A4544" s="145">
        <f>IF($B4544="","",ROW()-5)</f>
        <v/>
      </c>
      <c r="B4544" s="127" t="n"/>
      <c r="C4544" s="223" t="n"/>
      <c r="D4544" s="127" t="n"/>
      <c r="E4544" s="227" t="n"/>
      <c r="F4544" s="227" t="n"/>
      <c r="G4544" s="227" t="n"/>
      <c r="H4544" s="227" t="n"/>
      <c r="I4544" s="227" t="n"/>
      <c r="J4544" s="227" t="n"/>
      <c r="K4544" s="227" t="n"/>
      <c r="L4544" s="227" t="n"/>
      <c r="M4544" s="227" t="n"/>
      <c r="N4544" s="127" t="n"/>
      <c r="O4544" s="227" t="n"/>
      <c r="P4544" s="227" t="n"/>
      <c r="Q4544" s="227" t="n"/>
      <c r="R4544" s="227" t="n"/>
      <c r="S4544" s="227" t="n"/>
      <c r="T4544" s="227" t="n"/>
    </row>
    <row r="4545">
      <c r="A4545" s="145">
        <f>IF($B4545="","",ROW()-5)</f>
        <v/>
      </c>
      <c r="B4545" s="127" t="n"/>
      <c r="C4545" s="223" t="n"/>
      <c r="D4545" s="127" t="n"/>
      <c r="E4545" s="227" t="n"/>
      <c r="F4545" s="227" t="n"/>
      <c r="G4545" s="227" t="n"/>
      <c r="H4545" s="227" t="n"/>
      <c r="I4545" s="227" t="n"/>
      <c r="J4545" s="227" t="n"/>
      <c r="K4545" s="227" t="n"/>
      <c r="L4545" s="227" t="n"/>
      <c r="M4545" s="227" t="n"/>
      <c r="N4545" s="127" t="n"/>
      <c r="O4545" s="227" t="n"/>
      <c r="P4545" s="227" t="n"/>
      <c r="Q4545" s="227" t="n"/>
      <c r="R4545" s="227" t="n"/>
      <c r="S4545" s="227" t="n"/>
      <c r="T4545" s="227" t="n"/>
    </row>
    <row r="4546">
      <c r="A4546" s="145">
        <f>IF($B4546="","",ROW()-5)</f>
        <v/>
      </c>
      <c r="B4546" s="127" t="n"/>
      <c r="C4546" s="223" t="n"/>
      <c r="D4546" s="127" t="n"/>
      <c r="E4546" s="227" t="n"/>
      <c r="F4546" s="227" t="n"/>
      <c r="G4546" s="227" t="n"/>
      <c r="H4546" s="227" t="n"/>
      <c r="I4546" s="227" t="n"/>
      <c r="J4546" s="227" t="n"/>
      <c r="K4546" s="227" t="n"/>
      <c r="L4546" s="227" t="n"/>
      <c r="M4546" s="227" t="n"/>
      <c r="N4546" s="127" t="n"/>
      <c r="O4546" s="227" t="n"/>
      <c r="P4546" s="227" t="n"/>
      <c r="Q4546" s="227" t="n"/>
      <c r="R4546" s="227" t="n"/>
      <c r="S4546" s="227" t="n"/>
      <c r="T4546" s="227" t="n"/>
    </row>
    <row r="4547">
      <c r="A4547" s="145">
        <f>IF($B4547="","",ROW()-5)</f>
        <v/>
      </c>
      <c r="B4547" s="127" t="n"/>
      <c r="C4547" s="223" t="n"/>
      <c r="D4547" s="127" t="n"/>
      <c r="E4547" s="227" t="n"/>
      <c r="F4547" s="227" t="n"/>
      <c r="G4547" s="227" t="n"/>
      <c r="H4547" s="227" t="n"/>
      <c r="I4547" s="227" t="n"/>
      <c r="J4547" s="227" t="n"/>
      <c r="K4547" s="227" t="n"/>
      <c r="L4547" s="227" t="n"/>
      <c r="M4547" s="227" t="n"/>
      <c r="N4547" s="127" t="n"/>
      <c r="O4547" s="227" t="n"/>
      <c r="P4547" s="227" t="n"/>
      <c r="Q4547" s="227" t="n"/>
      <c r="R4547" s="227" t="n"/>
      <c r="S4547" s="227" t="n"/>
      <c r="T4547" s="227" t="n"/>
    </row>
    <row r="4548">
      <c r="A4548" s="145">
        <f>IF($B4548="","",ROW()-5)</f>
        <v/>
      </c>
      <c r="B4548" s="127" t="n"/>
      <c r="C4548" s="223" t="n"/>
      <c r="D4548" s="127" t="n"/>
      <c r="E4548" s="227" t="n"/>
      <c r="F4548" s="227" t="n"/>
      <c r="G4548" s="227" t="n"/>
      <c r="H4548" s="227" t="n"/>
      <c r="I4548" s="227" t="n"/>
      <c r="J4548" s="227" t="n"/>
      <c r="K4548" s="227" t="n"/>
      <c r="L4548" s="227" t="n"/>
      <c r="M4548" s="227" t="n"/>
      <c r="N4548" s="127" t="n"/>
      <c r="O4548" s="227" t="n"/>
      <c r="P4548" s="227" t="n"/>
      <c r="Q4548" s="227" t="n"/>
      <c r="R4548" s="227" t="n"/>
      <c r="S4548" s="227" t="n"/>
      <c r="T4548" s="227" t="n"/>
    </row>
    <row r="4549">
      <c r="A4549" s="145">
        <f>IF($B4549="","",ROW()-5)</f>
        <v/>
      </c>
      <c r="B4549" s="127" t="n"/>
      <c r="C4549" s="223" t="n"/>
      <c r="D4549" s="127" t="n"/>
      <c r="E4549" s="227" t="n"/>
      <c r="F4549" s="227" t="n"/>
      <c r="G4549" s="227" t="n"/>
      <c r="H4549" s="227" t="n"/>
      <c r="I4549" s="227" t="n"/>
      <c r="J4549" s="227" t="n"/>
      <c r="K4549" s="227" t="n"/>
      <c r="L4549" s="227" t="n"/>
      <c r="M4549" s="227" t="n"/>
      <c r="N4549" s="127" t="n"/>
      <c r="O4549" s="227" t="n"/>
      <c r="P4549" s="227" t="n"/>
      <c r="Q4549" s="227" t="n"/>
      <c r="R4549" s="227" t="n"/>
      <c r="S4549" s="227" t="n"/>
      <c r="T4549" s="227" t="n"/>
    </row>
    <row r="4550">
      <c r="A4550" s="145">
        <f>IF($B4550="","",ROW()-5)</f>
        <v/>
      </c>
      <c r="B4550" s="127" t="n"/>
      <c r="C4550" s="223" t="n"/>
      <c r="D4550" s="127" t="n"/>
      <c r="E4550" s="227" t="n"/>
      <c r="F4550" s="227" t="n"/>
      <c r="G4550" s="227" t="n"/>
      <c r="H4550" s="227" t="n"/>
      <c r="I4550" s="227" t="n"/>
      <c r="J4550" s="227" t="n"/>
      <c r="K4550" s="227" t="n"/>
      <c r="L4550" s="227" t="n"/>
      <c r="M4550" s="227" t="n"/>
      <c r="N4550" s="127" t="n"/>
      <c r="O4550" s="227" t="n"/>
      <c r="P4550" s="227" t="n"/>
      <c r="Q4550" s="227" t="n"/>
      <c r="R4550" s="227" t="n"/>
      <c r="S4550" s="227" t="n"/>
      <c r="T4550" s="227" t="n"/>
    </row>
    <row r="4551">
      <c r="A4551" s="145">
        <f>IF($B4551="","",ROW()-5)</f>
        <v/>
      </c>
      <c r="B4551" s="127" t="n"/>
      <c r="C4551" s="223" t="n"/>
      <c r="D4551" s="127" t="n"/>
      <c r="E4551" s="227" t="n"/>
      <c r="F4551" s="227" t="n"/>
      <c r="G4551" s="227" t="n"/>
      <c r="H4551" s="227" t="n"/>
      <c r="I4551" s="227" t="n"/>
      <c r="J4551" s="227" t="n"/>
      <c r="K4551" s="227" t="n"/>
      <c r="L4551" s="227" t="n"/>
      <c r="M4551" s="227" t="n"/>
      <c r="N4551" s="127" t="n"/>
      <c r="O4551" s="227" t="n"/>
      <c r="P4551" s="227" t="n"/>
      <c r="Q4551" s="227" t="n"/>
      <c r="R4551" s="227" t="n"/>
      <c r="S4551" s="227" t="n"/>
      <c r="T4551" s="227" t="n"/>
    </row>
    <row r="4552">
      <c r="A4552" s="145">
        <f>IF($B4552="","",ROW()-5)</f>
        <v/>
      </c>
      <c r="B4552" s="127" t="n"/>
      <c r="C4552" s="223" t="n"/>
      <c r="D4552" s="127" t="n"/>
      <c r="E4552" s="227" t="n"/>
      <c r="F4552" s="227" t="n"/>
      <c r="G4552" s="227" t="n"/>
      <c r="H4552" s="227" t="n"/>
      <c r="I4552" s="227" t="n"/>
      <c r="J4552" s="227" t="n"/>
      <c r="K4552" s="227" t="n"/>
      <c r="L4552" s="227" t="n"/>
      <c r="M4552" s="227" t="n"/>
      <c r="N4552" s="127" t="n"/>
      <c r="O4552" s="227" t="n"/>
      <c r="P4552" s="227" t="n"/>
      <c r="Q4552" s="227" t="n"/>
      <c r="R4552" s="227" t="n"/>
      <c r="S4552" s="227" t="n"/>
      <c r="T4552" s="227" t="n"/>
    </row>
    <row r="4553">
      <c r="A4553" s="145">
        <f>IF($B4553="","",ROW()-5)</f>
        <v/>
      </c>
      <c r="B4553" s="127" t="n"/>
      <c r="C4553" s="223" t="n"/>
      <c r="D4553" s="127" t="n"/>
      <c r="E4553" s="227" t="n"/>
      <c r="F4553" s="227" t="n"/>
      <c r="G4553" s="227" t="n"/>
      <c r="H4553" s="227" t="n"/>
      <c r="I4553" s="227" t="n"/>
      <c r="J4553" s="227" t="n"/>
      <c r="K4553" s="227" t="n"/>
      <c r="L4553" s="227" t="n"/>
      <c r="M4553" s="227" t="n"/>
      <c r="N4553" s="127" t="n"/>
      <c r="O4553" s="227" t="n"/>
      <c r="P4553" s="227" t="n"/>
      <c r="Q4553" s="227" t="n"/>
      <c r="R4553" s="227" t="n"/>
      <c r="S4553" s="227" t="n"/>
      <c r="T4553" s="227" t="n"/>
    </row>
    <row r="4554">
      <c r="A4554" s="145">
        <f>IF($B4554="","",ROW()-5)</f>
        <v/>
      </c>
      <c r="B4554" s="127" t="n"/>
      <c r="C4554" s="223" t="n"/>
      <c r="D4554" s="127" t="n"/>
      <c r="E4554" s="227" t="n"/>
      <c r="F4554" s="227" t="n"/>
      <c r="G4554" s="227" t="n"/>
      <c r="H4554" s="227" t="n"/>
      <c r="I4554" s="227" t="n"/>
      <c r="J4554" s="227" t="n"/>
      <c r="K4554" s="227" t="n"/>
      <c r="L4554" s="227" t="n"/>
      <c r="M4554" s="227" t="n"/>
      <c r="N4554" s="127" t="n"/>
      <c r="O4554" s="227" t="n"/>
      <c r="P4554" s="227" t="n"/>
      <c r="Q4554" s="227" t="n"/>
      <c r="R4554" s="227" t="n"/>
      <c r="S4554" s="227" t="n"/>
      <c r="T4554" s="227" t="n"/>
    </row>
    <row r="4555">
      <c r="A4555" s="145">
        <f>IF($B4555="","",ROW()-5)</f>
        <v/>
      </c>
      <c r="B4555" s="127" t="n"/>
      <c r="C4555" s="223" t="n"/>
      <c r="D4555" s="127" t="n"/>
      <c r="E4555" s="227" t="n"/>
      <c r="F4555" s="227" t="n"/>
      <c r="G4555" s="227" t="n"/>
      <c r="H4555" s="227" t="n"/>
      <c r="I4555" s="227" t="n"/>
      <c r="J4555" s="227" t="n"/>
      <c r="K4555" s="227" t="n"/>
      <c r="L4555" s="227" t="n"/>
      <c r="M4555" s="227" t="n"/>
      <c r="N4555" s="127" t="n"/>
      <c r="O4555" s="227" t="n"/>
      <c r="P4555" s="227" t="n"/>
      <c r="Q4555" s="227" t="n"/>
      <c r="R4555" s="227" t="n"/>
      <c r="S4555" s="227" t="n"/>
      <c r="T4555" s="227" t="n"/>
    </row>
    <row r="4556">
      <c r="A4556" s="145">
        <f>IF($B4556="","",ROW()-5)</f>
        <v/>
      </c>
      <c r="B4556" s="127" t="n"/>
      <c r="C4556" s="223" t="n"/>
      <c r="D4556" s="127" t="n"/>
      <c r="E4556" s="227" t="n"/>
      <c r="F4556" s="227" t="n"/>
      <c r="G4556" s="227" t="n"/>
      <c r="H4556" s="227" t="n"/>
      <c r="I4556" s="227" t="n"/>
      <c r="J4556" s="227" t="n"/>
      <c r="K4556" s="227" t="n"/>
      <c r="L4556" s="227" t="n"/>
      <c r="M4556" s="227" t="n"/>
      <c r="N4556" s="127" t="n"/>
      <c r="O4556" s="227" t="n"/>
      <c r="P4556" s="227" t="n"/>
      <c r="Q4556" s="227" t="n"/>
      <c r="R4556" s="227" t="n"/>
      <c r="S4556" s="227" t="n"/>
      <c r="T4556" s="227" t="n"/>
    </row>
    <row r="4557">
      <c r="A4557" s="145">
        <f>IF($B4557="","",ROW()-5)</f>
        <v/>
      </c>
      <c r="B4557" s="127" t="n"/>
      <c r="C4557" s="223" t="n"/>
      <c r="D4557" s="127" t="n"/>
      <c r="E4557" s="227" t="n"/>
      <c r="F4557" s="227" t="n"/>
      <c r="G4557" s="227" t="n"/>
      <c r="H4557" s="227" t="n"/>
      <c r="I4557" s="227" t="n"/>
      <c r="J4557" s="227" t="n"/>
      <c r="K4557" s="227" t="n"/>
      <c r="L4557" s="227" t="n"/>
      <c r="M4557" s="227" t="n"/>
      <c r="N4557" s="127" t="n"/>
      <c r="O4557" s="227" t="n"/>
      <c r="P4557" s="227" t="n"/>
      <c r="Q4557" s="227" t="n"/>
      <c r="R4557" s="227" t="n"/>
      <c r="S4557" s="227" t="n"/>
      <c r="T4557" s="227" t="n"/>
    </row>
    <row r="4558">
      <c r="A4558" s="145">
        <f>IF($B4558="","",ROW()-5)</f>
        <v/>
      </c>
      <c r="B4558" s="127" t="n"/>
      <c r="C4558" s="223" t="n"/>
      <c r="D4558" s="127" t="n"/>
      <c r="E4558" s="227" t="n"/>
      <c r="F4558" s="227" t="n"/>
      <c r="G4558" s="227" t="n"/>
      <c r="H4558" s="227" t="n"/>
      <c r="I4558" s="227" t="n"/>
      <c r="J4558" s="227" t="n"/>
      <c r="K4558" s="227" t="n"/>
      <c r="L4558" s="227" t="n"/>
      <c r="M4558" s="227" t="n"/>
      <c r="N4558" s="127" t="n"/>
      <c r="O4558" s="227" t="n"/>
      <c r="P4558" s="227" t="n"/>
      <c r="Q4558" s="227" t="n"/>
      <c r="R4558" s="227" t="n"/>
      <c r="S4558" s="227" t="n"/>
      <c r="T4558" s="227" t="n"/>
    </row>
    <row r="4559">
      <c r="A4559" s="145">
        <f>IF($B4559="","",ROW()-5)</f>
        <v/>
      </c>
      <c r="B4559" s="127" t="n"/>
      <c r="C4559" s="223" t="n"/>
      <c r="D4559" s="127" t="n"/>
      <c r="E4559" s="227" t="n"/>
      <c r="F4559" s="227" t="n"/>
      <c r="G4559" s="227" t="n"/>
      <c r="H4559" s="227" t="n"/>
      <c r="I4559" s="227" t="n"/>
      <c r="J4559" s="227" t="n"/>
      <c r="K4559" s="227" t="n"/>
      <c r="L4559" s="227" t="n"/>
      <c r="M4559" s="227" t="n"/>
      <c r="N4559" s="127" t="n"/>
      <c r="O4559" s="227" t="n"/>
      <c r="P4559" s="227" t="n"/>
      <c r="Q4559" s="227" t="n"/>
      <c r="R4559" s="227" t="n"/>
      <c r="S4559" s="227" t="n"/>
      <c r="T4559" s="227" t="n"/>
    </row>
    <row r="4560">
      <c r="A4560" s="145">
        <f>IF($B4560="","",ROW()-5)</f>
        <v/>
      </c>
      <c r="B4560" s="127" t="n"/>
      <c r="C4560" s="223" t="n"/>
      <c r="D4560" s="127" t="n"/>
      <c r="E4560" s="227" t="n"/>
      <c r="F4560" s="227" t="n"/>
      <c r="G4560" s="227" t="n"/>
      <c r="H4560" s="227" t="n"/>
      <c r="I4560" s="227" t="n"/>
      <c r="J4560" s="227" t="n"/>
      <c r="K4560" s="227" t="n"/>
      <c r="L4560" s="227" t="n"/>
      <c r="M4560" s="227" t="n"/>
      <c r="N4560" s="127" t="n"/>
      <c r="O4560" s="227" t="n"/>
      <c r="P4560" s="227" t="n"/>
      <c r="Q4560" s="227" t="n"/>
      <c r="R4560" s="227" t="n"/>
      <c r="S4560" s="227" t="n"/>
      <c r="T4560" s="227" t="n"/>
    </row>
    <row r="4561">
      <c r="A4561" s="145">
        <f>IF($B4561="","",ROW()-5)</f>
        <v/>
      </c>
      <c r="B4561" s="127" t="n"/>
      <c r="C4561" s="223" t="n"/>
      <c r="D4561" s="127" t="n"/>
      <c r="E4561" s="227" t="n"/>
      <c r="F4561" s="227" t="n"/>
      <c r="G4561" s="227" t="n"/>
      <c r="H4561" s="227" t="n"/>
      <c r="I4561" s="227" t="n"/>
      <c r="J4561" s="227" t="n"/>
      <c r="K4561" s="227" t="n"/>
      <c r="L4561" s="227" t="n"/>
      <c r="M4561" s="227" t="n"/>
      <c r="N4561" s="127" t="n"/>
      <c r="O4561" s="227" t="n"/>
      <c r="P4561" s="227" t="n"/>
      <c r="Q4561" s="227" t="n"/>
      <c r="R4561" s="227" t="n"/>
      <c r="S4561" s="227" t="n"/>
      <c r="T4561" s="227" t="n"/>
    </row>
    <row r="4562">
      <c r="A4562" s="145">
        <f>IF($B4562="","",ROW()-5)</f>
        <v/>
      </c>
      <c r="B4562" s="127" t="n"/>
      <c r="C4562" s="223" t="n"/>
      <c r="D4562" s="127" t="n"/>
      <c r="E4562" s="227" t="n"/>
      <c r="F4562" s="227" t="n"/>
      <c r="G4562" s="227" t="n"/>
      <c r="H4562" s="227" t="n"/>
      <c r="I4562" s="227" t="n"/>
      <c r="J4562" s="227" t="n"/>
      <c r="K4562" s="227" t="n"/>
      <c r="L4562" s="227" t="n"/>
      <c r="M4562" s="227" t="n"/>
      <c r="N4562" s="127" t="n"/>
      <c r="O4562" s="227" t="n"/>
      <c r="P4562" s="227" t="n"/>
      <c r="Q4562" s="227" t="n"/>
      <c r="R4562" s="227" t="n"/>
      <c r="S4562" s="227" t="n"/>
      <c r="T4562" s="227" t="n"/>
    </row>
    <row r="4563">
      <c r="A4563" s="145">
        <f>IF($B4563="","",ROW()-5)</f>
        <v/>
      </c>
      <c r="B4563" s="127" t="n"/>
      <c r="C4563" s="223" t="n"/>
      <c r="D4563" s="127" t="n"/>
      <c r="E4563" s="227" t="n"/>
      <c r="F4563" s="227" t="n"/>
      <c r="G4563" s="227" t="n"/>
      <c r="H4563" s="227" t="n"/>
      <c r="I4563" s="227" t="n"/>
      <c r="J4563" s="227" t="n"/>
      <c r="K4563" s="227" t="n"/>
      <c r="L4563" s="227" t="n"/>
      <c r="M4563" s="227" t="n"/>
      <c r="N4563" s="127" t="n"/>
      <c r="O4563" s="227" t="n"/>
      <c r="P4563" s="227" t="n"/>
      <c r="Q4563" s="227" t="n"/>
      <c r="R4563" s="227" t="n"/>
      <c r="S4563" s="227" t="n"/>
      <c r="T4563" s="227" t="n"/>
    </row>
    <row r="4564">
      <c r="A4564" s="145">
        <f>IF($B4564="","",ROW()-5)</f>
        <v/>
      </c>
      <c r="B4564" s="127" t="n"/>
      <c r="C4564" s="223" t="n"/>
      <c r="D4564" s="127" t="n"/>
      <c r="E4564" s="227" t="n"/>
      <c r="F4564" s="227" t="n"/>
      <c r="G4564" s="227" t="n"/>
      <c r="H4564" s="227" t="n"/>
      <c r="I4564" s="227" t="n"/>
      <c r="J4564" s="227" t="n"/>
      <c r="K4564" s="227" t="n"/>
      <c r="L4564" s="227" t="n"/>
      <c r="M4564" s="227" t="n"/>
      <c r="N4564" s="127" t="n"/>
      <c r="O4564" s="227" t="n"/>
      <c r="P4564" s="227" t="n"/>
      <c r="Q4564" s="227" t="n"/>
      <c r="R4564" s="227" t="n"/>
      <c r="S4564" s="227" t="n"/>
      <c r="T4564" s="227" t="n"/>
    </row>
    <row r="4565">
      <c r="A4565" s="145">
        <f>IF($B4565="","",ROW()-5)</f>
        <v/>
      </c>
      <c r="B4565" s="127" t="n"/>
      <c r="C4565" s="223" t="n"/>
      <c r="D4565" s="127" t="n"/>
      <c r="E4565" s="227" t="n"/>
      <c r="F4565" s="227" t="n"/>
      <c r="G4565" s="227" t="n"/>
      <c r="H4565" s="227" t="n"/>
      <c r="I4565" s="227" t="n"/>
      <c r="J4565" s="227" t="n"/>
      <c r="K4565" s="227" t="n"/>
      <c r="L4565" s="227" t="n"/>
      <c r="M4565" s="227" t="n"/>
      <c r="N4565" s="127" t="n"/>
      <c r="O4565" s="227" t="n"/>
      <c r="P4565" s="227" t="n"/>
      <c r="Q4565" s="227" t="n"/>
      <c r="R4565" s="227" t="n"/>
      <c r="S4565" s="227" t="n"/>
      <c r="T4565" s="227" t="n"/>
    </row>
    <row r="4566">
      <c r="A4566" s="145">
        <f>IF($B4566="","",ROW()-5)</f>
        <v/>
      </c>
      <c r="B4566" s="127" t="n"/>
      <c r="C4566" s="223" t="n"/>
      <c r="D4566" s="127" t="n"/>
      <c r="E4566" s="227" t="n"/>
      <c r="F4566" s="227" t="n"/>
      <c r="G4566" s="227" t="n"/>
      <c r="H4566" s="227" t="n"/>
      <c r="I4566" s="227" t="n"/>
      <c r="J4566" s="227" t="n"/>
      <c r="K4566" s="227" t="n"/>
      <c r="L4566" s="227" t="n"/>
      <c r="M4566" s="227" t="n"/>
      <c r="N4566" s="127" t="n"/>
      <c r="O4566" s="227" t="n"/>
      <c r="P4566" s="227" t="n"/>
      <c r="Q4566" s="227" t="n"/>
      <c r="R4566" s="227" t="n"/>
      <c r="S4566" s="227" t="n"/>
      <c r="T4566" s="227" t="n"/>
    </row>
    <row r="4567">
      <c r="A4567" s="145">
        <f>IF($B4567="","",ROW()-5)</f>
        <v/>
      </c>
      <c r="B4567" s="127" t="n"/>
      <c r="C4567" s="223" t="n"/>
      <c r="D4567" s="127" t="n"/>
      <c r="E4567" s="227" t="n"/>
      <c r="F4567" s="227" t="n"/>
      <c r="G4567" s="227" t="n"/>
      <c r="H4567" s="227" t="n"/>
      <c r="I4567" s="227" t="n"/>
      <c r="J4567" s="227" t="n"/>
      <c r="K4567" s="227" t="n"/>
      <c r="L4567" s="227" t="n"/>
      <c r="M4567" s="227" t="n"/>
      <c r="N4567" s="127" t="n"/>
      <c r="O4567" s="227" t="n"/>
      <c r="P4567" s="227" t="n"/>
      <c r="Q4567" s="227" t="n"/>
      <c r="R4567" s="227" t="n"/>
      <c r="S4567" s="227" t="n"/>
      <c r="T4567" s="227" t="n"/>
    </row>
    <row r="4568">
      <c r="A4568" s="145">
        <f>IF($B4568="","",ROW()-5)</f>
        <v/>
      </c>
      <c r="B4568" s="127" t="n"/>
      <c r="C4568" s="223" t="n"/>
      <c r="D4568" s="127" t="n"/>
      <c r="E4568" s="227" t="n"/>
      <c r="F4568" s="227" t="n"/>
      <c r="G4568" s="227" t="n"/>
      <c r="H4568" s="227" t="n"/>
      <c r="I4568" s="227" t="n"/>
      <c r="J4568" s="227" t="n"/>
      <c r="K4568" s="227" t="n"/>
      <c r="L4568" s="227" t="n"/>
      <c r="M4568" s="227" t="n"/>
      <c r="N4568" s="127" t="n"/>
      <c r="O4568" s="227" t="n"/>
      <c r="P4568" s="227" t="n"/>
      <c r="Q4568" s="227" t="n"/>
      <c r="R4568" s="227" t="n"/>
      <c r="S4568" s="227" t="n"/>
      <c r="T4568" s="227" t="n"/>
    </row>
    <row r="4569">
      <c r="A4569" s="145">
        <f>IF($B4569="","",ROW()-5)</f>
        <v/>
      </c>
      <c r="B4569" s="127" t="n"/>
      <c r="C4569" s="223" t="n"/>
      <c r="D4569" s="127" t="n"/>
      <c r="E4569" s="227" t="n"/>
      <c r="F4569" s="227" t="n"/>
      <c r="G4569" s="227" t="n"/>
      <c r="H4569" s="227" t="n"/>
      <c r="I4569" s="227" t="n"/>
      <c r="J4569" s="227" t="n"/>
      <c r="K4569" s="227" t="n"/>
      <c r="L4569" s="227" t="n"/>
      <c r="M4569" s="227" t="n"/>
      <c r="N4569" s="127" t="n"/>
      <c r="O4569" s="227" t="n"/>
      <c r="P4569" s="227" t="n"/>
      <c r="Q4569" s="227" t="n"/>
      <c r="R4569" s="227" t="n"/>
      <c r="S4569" s="227" t="n"/>
      <c r="T4569" s="227" t="n"/>
    </row>
    <row r="4570">
      <c r="A4570" s="145">
        <f>IF($B4570="","",ROW()-5)</f>
        <v/>
      </c>
      <c r="B4570" s="127" t="n"/>
      <c r="C4570" s="223" t="n"/>
      <c r="D4570" s="127" t="n"/>
      <c r="E4570" s="227" t="n"/>
      <c r="F4570" s="227" t="n"/>
      <c r="G4570" s="227" t="n"/>
      <c r="H4570" s="227" t="n"/>
      <c r="I4570" s="227" t="n"/>
      <c r="J4570" s="227" t="n"/>
      <c r="K4570" s="227" t="n"/>
      <c r="L4570" s="227" t="n"/>
      <c r="M4570" s="227" t="n"/>
      <c r="N4570" s="127" t="n"/>
      <c r="O4570" s="227" t="n"/>
      <c r="P4570" s="227" t="n"/>
      <c r="Q4570" s="227" t="n"/>
      <c r="R4570" s="227" t="n"/>
      <c r="S4570" s="227" t="n"/>
      <c r="T4570" s="227" t="n"/>
    </row>
    <row r="4571">
      <c r="A4571" s="145">
        <f>IF($B4571="","",ROW()-5)</f>
        <v/>
      </c>
      <c r="B4571" s="127" t="n"/>
      <c r="C4571" s="223" t="n"/>
      <c r="D4571" s="127" t="n"/>
      <c r="E4571" s="227" t="n"/>
      <c r="F4571" s="227" t="n"/>
      <c r="G4571" s="227" t="n"/>
      <c r="H4571" s="227" t="n"/>
      <c r="I4571" s="227" t="n"/>
      <c r="J4571" s="227" t="n"/>
      <c r="K4571" s="227" t="n"/>
      <c r="L4571" s="227" t="n"/>
      <c r="M4571" s="227" t="n"/>
      <c r="N4571" s="127" t="n"/>
      <c r="O4571" s="227" t="n"/>
      <c r="P4571" s="227" t="n"/>
      <c r="Q4571" s="227" t="n"/>
      <c r="R4571" s="227" t="n"/>
      <c r="S4571" s="227" t="n"/>
      <c r="T4571" s="227" t="n"/>
    </row>
    <row r="4572">
      <c r="A4572" s="145">
        <f>IF($B4572="","",ROW()-5)</f>
        <v/>
      </c>
      <c r="B4572" s="127" t="n"/>
      <c r="C4572" s="223" t="n"/>
      <c r="D4572" s="127" t="n"/>
      <c r="E4572" s="227" t="n"/>
      <c r="F4572" s="227" t="n"/>
      <c r="G4572" s="227" t="n"/>
      <c r="H4572" s="227" t="n"/>
      <c r="I4572" s="227" t="n"/>
      <c r="J4572" s="227" t="n"/>
      <c r="K4572" s="227" t="n"/>
      <c r="L4572" s="227" t="n"/>
      <c r="M4572" s="227" t="n"/>
      <c r="N4572" s="127" t="n"/>
      <c r="O4572" s="227" t="n"/>
      <c r="P4572" s="227" t="n"/>
      <c r="Q4572" s="227" t="n"/>
      <c r="R4572" s="227" t="n"/>
      <c r="S4572" s="227" t="n"/>
      <c r="T4572" s="227" t="n"/>
    </row>
    <row r="4573">
      <c r="A4573" s="145">
        <f>IF($B4573="","",ROW()-5)</f>
        <v/>
      </c>
      <c r="B4573" s="127" t="n"/>
      <c r="C4573" s="223" t="n"/>
      <c r="D4573" s="127" t="n"/>
      <c r="E4573" s="227" t="n"/>
      <c r="F4573" s="227" t="n"/>
      <c r="G4573" s="227" t="n"/>
      <c r="H4573" s="227" t="n"/>
      <c r="I4573" s="227" t="n"/>
      <c r="J4573" s="227" t="n"/>
      <c r="K4573" s="227" t="n"/>
      <c r="L4573" s="227" t="n"/>
      <c r="M4573" s="227" t="n"/>
      <c r="N4573" s="127" t="n"/>
      <c r="O4573" s="227" t="n"/>
      <c r="P4573" s="227" t="n"/>
      <c r="Q4573" s="227" t="n"/>
      <c r="R4573" s="227" t="n"/>
      <c r="S4573" s="227" t="n"/>
      <c r="T4573" s="227" t="n"/>
    </row>
    <row r="4574">
      <c r="A4574" s="145">
        <f>IF($B4574="","",ROW()-5)</f>
        <v/>
      </c>
      <c r="B4574" s="127" t="n"/>
      <c r="C4574" s="223" t="n"/>
      <c r="D4574" s="127" t="n"/>
      <c r="E4574" s="227" t="n"/>
      <c r="F4574" s="227" t="n"/>
      <c r="G4574" s="227" t="n"/>
      <c r="H4574" s="227" t="n"/>
      <c r="I4574" s="227" t="n"/>
      <c r="J4574" s="227" t="n"/>
      <c r="K4574" s="227" t="n"/>
      <c r="L4574" s="227" t="n"/>
      <c r="M4574" s="227" t="n"/>
      <c r="N4574" s="127" t="n"/>
      <c r="O4574" s="227" t="n"/>
      <c r="P4574" s="227" t="n"/>
      <c r="Q4574" s="227" t="n"/>
      <c r="R4574" s="227" t="n"/>
      <c r="S4574" s="227" t="n"/>
      <c r="T4574" s="227" t="n"/>
    </row>
    <row r="4575">
      <c r="A4575" s="145">
        <f>IF($B4575="","",ROW()-5)</f>
        <v/>
      </c>
      <c r="B4575" s="127" t="n"/>
      <c r="C4575" s="223" t="n"/>
      <c r="D4575" s="127" t="n"/>
      <c r="E4575" s="227" t="n"/>
      <c r="F4575" s="227" t="n"/>
      <c r="G4575" s="227" t="n"/>
      <c r="H4575" s="227" t="n"/>
      <c r="I4575" s="227" t="n"/>
      <c r="J4575" s="227" t="n"/>
      <c r="K4575" s="227" t="n"/>
      <c r="L4575" s="227" t="n"/>
      <c r="M4575" s="227" t="n"/>
      <c r="N4575" s="127" t="n"/>
      <c r="O4575" s="227" t="n"/>
      <c r="P4575" s="227" t="n"/>
      <c r="Q4575" s="227" t="n"/>
      <c r="R4575" s="227" t="n"/>
      <c r="S4575" s="227" t="n"/>
      <c r="T4575" s="227" t="n"/>
    </row>
    <row r="4576">
      <c r="A4576" s="145">
        <f>IF($B4576="","",ROW()-5)</f>
        <v/>
      </c>
      <c r="B4576" s="127" t="n"/>
      <c r="C4576" s="223" t="n"/>
      <c r="D4576" s="127" t="n"/>
      <c r="E4576" s="227" t="n"/>
      <c r="F4576" s="227" t="n"/>
      <c r="G4576" s="227" t="n"/>
      <c r="H4576" s="227" t="n"/>
      <c r="I4576" s="227" t="n"/>
      <c r="J4576" s="227" t="n"/>
      <c r="K4576" s="227" t="n"/>
      <c r="L4576" s="227" t="n"/>
      <c r="M4576" s="227" t="n"/>
      <c r="N4576" s="127" t="n"/>
      <c r="O4576" s="227" t="n"/>
      <c r="P4576" s="227" t="n"/>
      <c r="Q4576" s="227" t="n"/>
      <c r="R4576" s="227" t="n"/>
      <c r="S4576" s="227" t="n"/>
      <c r="T4576" s="227" t="n"/>
    </row>
    <row r="4577">
      <c r="A4577" s="145">
        <f>IF($B4577="","",ROW()-5)</f>
        <v/>
      </c>
      <c r="B4577" s="127" t="n"/>
      <c r="C4577" s="223" t="n"/>
      <c r="D4577" s="127" t="n"/>
      <c r="E4577" s="227" t="n"/>
      <c r="F4577" s="227" t="n"/>
      <c r="G4577" s="227" t="n"/>
      <c r="H4577" s="227" t="n"/>
      <c r="I4577" s="227" t="n"/>
      <c r="J4577" s="227" t="n"/>
      <c r="K4577" s="227" t="n"/>
      <c r="L4577" s="227" t="n"/>
      <c r="M4577" s="227" t="n"/>
      <c r="N4577" s="127" t="n"/>
      <c r="O4577" s="227" t="n"/>
      <c r="P4577" s="227" t="n"/>
      <c r="Q4577" s="227" t="n"/>
      <c r="R4577" s="227" t="n"/>
      <c r="S4577" s="227" t="n"/>
      <c r="T4577" s="227" t="n"/>
    </row>
    <row r="4578">
      <c r="A4578" s="145">
        <f>IF($B4578="","",ROW()-5)</f>
        <v/>
      </c>
      <c r="B4578" s="127" t="n"/>
      <c r="C4578" s="223" t="n"/>
      <c r="D4578" s="127" t="n"/>
      <c r="E4578" s="227" t="n"/>
      <c r="F4578" s="227" t="n"/>
      <c r="G4578" s="227" t="n"/>
      <c r="H4578" s="227" t="n"/>
      <c r="I4578" s="227" t="n"/>
      <c r="J4578" s="227" t="n"/>
      <c r="K4578" s="227" t="n"/>
      <c r="L4578" s="227" t="n"/>
      <c r="M4578" s="227" t="n"/>
      <c r="N4578" s="127" t="n"/>
      <c r="O4578" s="227" t="n"/>
      <c r="P4578" s="227" t="n"/>
      <c r="Q4578" s="227" t="n"/>
      <c r="R4578" s="227" t="n"/>
      <c r="S4578" s="227" t="n"/>
      <c r="T4578" s="227" t="n"/>
    </row>
    <row r="4579">
      <c r="A4579" s="145">
        <f>IF($B4579="","",ROW()-5)</f>
        <v/>
      </c>
      <c r="B4579" s="127" t="n"/>
      <c r="C4579" s="223" t="n"/>
      <c r="D4579" s="127" t="n"/>
      <c r="E4579" s="227" t="n"/>
      <c r="F4579" s="227" t="n"/>
      <c r="G4579" s="227" t="n"/>
      <c r="H4579" s="227" t="n"/>
      <c r="I4579" s="227" t="n"/>
      <c r="J4579" s="227" t="n"/>
      <c r="K4579" s="227" t="n"/>
      <c r="L4579" s="227" t="n"/>
      <c r="M4579" s="227" t="n"/>
      <c r="N4579" s="127" t="n"/>
      <c r="O4579" s="227" t="n"/>
      <c r="P4579" s="227" t="n"/>
      <c r="Q4579" s="227" t="n"/>
      <c r="R4579" s="227" t="n"/>
      <c r="S4579" s="227" t="n"/>
      <c r="T4579" s="227" t="n"/>
    </row>
    <row r="4580">
      <c r="A4580" s="145">
        <f>IF($B4580="","",ROW()-5)</f>
        <v/>
      </c>
      <c r="B4580" s="127" t="n"/>
      <c r="C4580" s="223" t="n"/>
      <c r="D4580" s="127" t="n"/>
      <c r="E4580" s="227" t="n"/>
      <c r="F4580" s="227" t="n"/>
      <c r="G4580" s="227" t="n"/>
      <c r="H4580" s="227" t="n"/>
      <c r="I4580" s="227" t="n"/>
      <c r="J4580" s="227" t="n"/>
      <c r="K4580" s="227" t="n"/>
      <c r="L4580" s="227" t="n"/>
      <c r="M4580" s="227" t="n"/>
      <c r="N4580" s="127" t="n"/>
      <c r="O4580" s="227" t="n"/>
      <c r="P4580" s="227" t="n"/>
      <c r="Q4580" s="227" t="n"/>
      <c r="R4580" s="227" t="n"/>
      <c r="S4580" s="227" t="n"/>
      <c r="T4580" s="227" t="n"/>
    </row>
    <row r="4581">
      <c r="A4581" s="145">
        <f>IF($B4581="","",ROW()-5)</f>
        <v/>
      </c>
      <c r="B4581" s="127" t="n"/>
      <c r="C4581" s="223" t="n"/>
      <c r="D4581" s="127" t="n"/>
      <c r="E4581" s="227" t="n"/>
      <c r="F4581" s="227" t="n"/>
      <c r="G4581" s="227" t="n"/>
      <c r="H4581" s="227" t="n"/>
      <c r="I4581" s="227" t="n"/>
      <c r="J4581" s="227" t="n"/>
      <c r="K4581" s="227" t="n"/>
      <c r="L4581" s="227" t="n"/>
      <c r="M4581" s="227" t="n"/>
      <c r="N4581" s="127" t="n"/>
      <c r="O4581" s="227" t="n"/>
      <c r="P4581" s="227" t="n"/>
      <c r="Q4581" s="227" t="n"/>
      <c r="R4581" s="227" t="n"/>
      <c r="S4581" s="227" t="n"/>
      <c r="T4581" s="227" t="n"/>
    </row>
    <row r="4582">
      <c r="A4582" s="145">
        <f>IF($B4582="","",ROW()-5)</f>
        <v/>
      </c>
      <c r="B4582" s="127" t="n"/>
      <c r="C4582" s="223" t="n"/>
      <c r="D4582" s="127" t="n"/>
      <c r="E4582" s="227" t="n"/>
      <c r="F4582" s="227" t="n"/>
      <c r="G4582" s="227" t="n"/>
      <c r="H4582" s="227" t="n"/>
      <c r="I4582" s="227" t="n"/>
      <c r="J4582" s="227" t="n"/>
      <c r="K4582" s="227" t="n"/>
      <c r="L4582" s="227" t="n"/>
      <c r="M4582" s="227" t="n"/>
      <c r="N4582" s="127" t="n"/>
      <c r="O4582" s="227" t="n"/>
      <c r="P4582" s="227" t="n"/>
      <c r="Q4582" s="227" t="n"/>
      <c r="R4582" s="227" t="n"/>
      <c r="S4582" s="227" t="n"/>
      <c r="T4582" s="227" t="n"/>
    </row>
    <row r="4583">
      <c r="A4583" s="145">
        <f>IF($B4583="","",ROW()-5)</f>
        <v/>
      </c>
      <c r="B4583" s="127" t="n"/>
      <c r="C4583" s="223" t="n"/>
      <c r="D4583" s="127" t="n"/>
      <c r="E4583" s="227" t="n"/>
      <c r="F4583" s="227" t="n"/>
      <c r="G4583" s="227" t="n"/>
      <c r="H4583" s="227" t="n"/>
      <c r="I4583" s="227" t="n"/>
      <c r="J4583" s="227" t="n"/>
      <c r="K4583" s="227" t="n"/>
      <c r="L4583" s="227" t="n"/>
      <c r="M4583" s="227" t="n"/>
      <c r="N4583" s="127" t="n"/>
      <c r="O4583" s="227" t="n"/>
      <c r="P4583" s="227" t="n"/>
      <c r="Q4583" s="227" t="n"/>
      <c r="R4583" s="227" t="n"/>
      <c r="S4583" s="227" t="n"/>
      <c r="T4583" s="227" t="n"/>
    </row>
    <row r="4584">
      <c r="A4584" s="145">
        <f>IF($B4584="","",ROW()-5)</f>
        <v/>
      </c>
      <c r="B4584" s="127" t="n"/>
      <c r="C4584" s="223" t="n"/>
      <c r="D4584" s="127" t="n"/>
      <c r="E4584" s="227" t="n"/>
      <c r="F4584" s="227" t="n"/>
      <c r="G4584" s="227" t="n"/>
      <c r="H4584" s="227" t="n"/>
      <c r="I4584" s="227" t="n"/>
      <c r="J4584" s="227" t="n"/>
      <c r="K4584" s="227" t="n"/>
      <c r="L4584" s="227" t="n"/>
      <c r="M4584" s="227" t="n"/>
      <c r="N4584" s="127" t="n"/>
      <c r="O4584" s="227" t="n"/>
      <c r="P4584" s="227" t="n"/>
      <c r="Q4584" s="227" t="n"/>
      <c r="R4584" s="227" t="n"/>
      <c r="S4584" s="227" t="n"/>
      <c r="T4584" s="227" t="n"/>
    </row>
    <row r="4585">
      <c r="A4585" s="145">
        <f>IF($B4585="","",ROW()-5)</f>
        <v/>
      </c>
      <c r="B4585" s="127" t="n"/>
      <c r="C4585" s="223" t="n"/>
      <c r="D4585" s="127" t="n"/>
      <c r="E4585" s="227" t="n"/>
      <c r="F4585" s="227" t="n"/>
      <c r="G4585" s="227" t="n"/>
      <c r="H4585" s="227" t="n"/>
      <c r="I4585" s="227" t="n"/>
      <c r="J4585" s="227" t="n"/>
      <c r="K4585" s="227" t="n"/>
      <c r="L4585" s="227" t="n"/>
      <c r="M4585" s="227" t="n"/>
      <c r="N4585" s="127" t="n"/>
      <c r="O4585" s="227" t="n"/>
      <c r="P4585" s="227" t="n"/>
      <c r="Q4585" s="227" t="n"/>
      <c r="R4585" s="227" t="n"/>
      <c r="S4585" s="227" t="n"/>
      <c r="T4585" s="227" t="n"/>
    </row>
    <row r="4586">
      <c r="A4586" s="145">
        <f>IF($B4586="","",ROW()-5)</f>
        <v/>
      </c>
      <c r="B4586" s="127" t="n"/>
      <c r="C4586" s="223" t="n"/>
      <c r="D4586" s="127" t="n"/>
      <c r="E4586" s="227" t="n"/>
      <c r="F4586" s="227" t="n"/>
      <c r="G4586" s="227" t="n"/>
      <c r="H4586" s="227" t="n"/>
      <c r="I4586" s="227" t="n"/>
      <c r="J4586" s="227" t="n"/>
      <c r="K4586" s="227" t="n"/>
      <c r="L4586" s="227" t="n"/>
      <c r="M4586" s="227" t="n"/>
      <c r="N4586" s="127" t="n"/>
      <c r="O4586" s="227" t="n"/>
      <c r="P4586" s="227" t="n"/>
      <c r="Q4586" s="227" t="n"/>
      <c r="R4586" s="227" t="n"/>
      <c r="S4586" s="227" t="n"/>
      <c r="T4586" s="227" t="n"/>
    </row>
    <row r="4587">
      <c r="A4587" s="145">
        <f>IF($B4587="","",ROW()-5)</f>
        <v/>
      </c>
      <c r="B4587" s="127" t="n"/>
      <c r="C4587" s="223" t="n"/>
      <c r="D4587" s="127" t="n"/>
      <c r="E4587" s="227" t="n"/>
      <c r="F4587" s="227" t="n"/>
      <c r="G4587" s="227" t="n"/>
      <c r="H4587" s="227" t="n"/>
      <c r="I4587" s="227" t="n"/>
      <c r="J4587" s="227" t="n"/>
      <c r="K4587" s="227" t="n"/>
      <c r="L4587" s="227" t="n"/>
      <c r="M4587" s="227" t="n"/>
      <c r="N4587" s="127" t="n"/>
      <c r="O4587" s="227" t="n"/>
      <c r="P4587" s="227" t="n"/>
      <c r="Q4587" s="227" t="n"/>
      <c r="R4587" s="227" t="n"/>
      <c r="S4587" s="227" t="n"/>
      <c r="T4587" s="227" t="n"/>
    </row>
    <row r="4588">
      <c r="A4588" s="145">
        <f>IF($B4588="","",ROW()-5)</f>
        <v/>
      </c>
      <c r="B4588" s="127" t="n"/>
      <c r="C4588" s="223" t="n"/>
      <c r="D4588" s="127" t="n"/>
      <c r="E4588" s="227" t="n"/>
      <c r="F4588" s="227" t="n"/>
      <c r="G4588" s="227" t="n"/>
      <c r="H4588" s="227" t="n"/>
      <c r="I4588" s="227" t="n"/>
      <c r="J4588" s="227" t="n"/>
      <c r="K4588" s="227" t="n"/>
      <c r="L4588" s="227" t="n"/>
      <c r="M4588" s="227" t="n"/>
      <c r="N4588" s="127" t="n"/>
      <c r="O4588" s="227" t="n"/>
      <c r="P4588" s="227" t="n"/>
      <c r="Q4588" s="227" t="n"/>
      <c r="R4588" s="227" t="n"/>
      <c r="S4588" s="227" t="n"/>
      <c r="T4588" s="227" t="n"/>
    </row>
    <row r="4589">
      <c r="A4589" s="145">
        <f>IF($B4589="","",ROW()-5)</f>
        <v/>
      </c>
      <c r="B4589" s="127" t="n"/>
      <c r="C4589" s="223" t="n"/>
      <c r="D4589" s="127" t="n"/>
      <c r="E4589" s="227" t="n"/>
      <c r="F4589" s="227" t="n"/>
      <c r="G4589" s="227" t="n"/>
      <c r="H4589" s="227" t="n"/>
      <c r="I4589" s="227" t="n"/>
      <c r="J4589" s="227" t="n"/>
      <c r="K4589" s="227" t="n"/>
      <c r="L4589" s="227" t="n"/>
      <c r="M4589" s="227" t="n"/>
      <c r="N4589" s="127" t="n"/>
      <c r="O4589" s="227" t="n"/>
      <c r="P4589" s="227" t="n"/>
      <c r="Q4589" s="227" t="n"/>
      <c r="R4589" s="227" t="n"/>
      <c r="S4589" s="227" t="n"/>
      <c r="T4589" s="227" t="n"/>
    </row>
    <row r="4590">
      <c r="A4590" s="145">
        <f>IF($B4590="","",ROW()-5)</f>
        <v/>
      </c>
      <c r="B4590" s="127" t="n"/>
      <c r="C4590" s="223" t="n"/>
      <c r="D4590" s="127" t="n"/>
      <c r="E4590" s="227" t="n"/>
      <c r="F4590" s="227" t="n"/>
      <c r="G4590" s="227" t="n"/>
      <c r="H4590" s="227" t="n"/>
      <c r="I4590" s="227" t="n"/>
      <c r="J4590" s="227" t="n"/>
      <c r="K4590" s="227" t="n"/>
      <c r="L4590" s="227" t="n"/>
      <c r="M4590" s="227" t="n"/>
      <c r="N4590" s="127" t="n"/>
      <c r="O4590" s="227" t="n"/>
      <c r="P4590" s="227" t="n"/>
      <c r="Q4590" s="227" t="n"/>
      <c r="R4590" s="227" t="n"/>
      <c r="S4590" s="227" t="n"/>
      <c r="T4590" s="227" t="n"/>
    </row>
    <row r="4591">
      <c r="A4591" s="145">
        <f>IF($B4591="","",ROW()-5)</f>
        <v/>
      </c>
      <c r="B4591" s="127" t="n"/>
      <c r="C4591" s="223" t="n"/>
      <c r="D4591" s="127" t="n"/>
      <c r="E4591" s="227" t="n"/>
      <c r="F4591" s="227" t="n"/>
      <c r="G4591" s="227" t="n"/>
      <c r="H4591" s="227" t="n"/>
      <c r="I4591" s="227" t="n"/>
      <c r="J4591" s="227" t="n"/>
      <c r="K4591" s="227" t="n"/>
      <c r="L4591" s="227" t="n"/>
      <c r="M4591" s="227" t="n"/>
      <c r="N4591" s="127" t="n"/>
      <c r="O4591" s="227" t="n"/>
      <c r="P4591" s="227" t="n"/>
      <c r="Q4591" s="227" t="n"/>
      <c r="R4591" s="227" t="n"/>
      <c r="S4591" s="227" t="n"/>
      <c r="T4591" s="227" t="n"/>
    </row>
    <row r="4592">
      <c r="A4592" s="145">
        <f>IF($B4592="","",ROW()-5)</f>
        <v/>
      </c>
      <c r="B4592" s="127" t="n"/>
      <c r="C4592" s="223" t="n"/>
      <c r="D4592" s="127" t="n"/>
      <c r="E4592" s="227" t="n"/>
      <c r="F4592" s="227" t="n"/>
      <c r="G4592" s="227" t="n"/>
      <c r="H4592" s="227" t="n"/>
      <c r="I4592" s="227" t="n"/>
      <c r="J4592" s="227" t="n"/>
      <c r="K4592" s="227" t="n"/>
      <c r="L4592" s="227" t="n"/>
      <c r="M4592" s="227" t="n"/>
      <c r="N4592" s="127" t="n"/>
      <c r="O4592" s="227" t="n"/>
      <c r="P4592" s="227" t="n"/>
      <c r="Q4592" s="227" t="n"/>
      <c r="R4592" s="227" t="n"/>
      <c r="S4592" s="227" t="n"/>
      <c r="T4592" s="227" t="n"/>
    </row>
    <row r="4593">
      <c r="A4593" s="145">
        <f>IF($B4593="","",ROW()-5)</f>
        <v/>
      </c>
      <c r="B4593" s="127" t="n"/>
      <c r="C4593" s="223" t="n"/>
      <c r="D4593" s="127" t="n"/>
      <c r="E4593" s="227" t="n"/>
      <c r="F4593" s="227" t="n"/>
      <c r="G4593" s="227" t="n"/>
      <c r="H4593" s="227" t="n"/>
      <c r="I4593" s="227" t="n"/>
      <c r="J4593" s="227" t="n"/>
      <c r="K4593" s="227" t="n"/>
      <c r="L4593" s="227" t="n"/>
      <c r="M4593" s="227" t="n"/>
      <c r="N4593" s="127" t="n"/>
      <c r="O4593" s="227" t="n"/>
      <c r="P4593" s="227" t="n"/>
      <c r="Q4593" s="227" t="n"/>
      <c r="R4593" s="227" t="n"/>
      <c r="S4593" s="227" t="n"/>
      <c r="T4593" s="227" t="n"/>
    </row>
    <row r="4594">
      <c r="A4594" s="145">
        <f>IF($B4594="","",ROW()-5)</f>
        <v/>
      </c>
      <c r="B4594" s="127" t="n"/>
      <c r="C4594" s="223" t="n"/>
      <c r="D4594" s="127" t="n"/>
      <c r="E4594" s="227" t="n"/>
      <c r="F4594" s="227" t="n"/>
      <c r="G4594" s="227" t="n"/>
      <c r="H4594" s="227" t="n"/>
      <c r="I4594" s="227" t="n"/>
      <c r="J4594" s="227" t="n"/>
      <c r="K4594" s="227" t="n"/>
      <c r="L4594" s="227" t="n"/>
      <c r="M4594" s="227" t="n"/>
      <c r="N4594" s="127" t="n"/>
      <c r="O4594" s="227" t="n"/>
      <c r="P4594" s="227" t="n"/>
      <c r="Q4594" s="227" t="n"/>
      <c r="R4594" s="227" t="n"/>
      <c r="S4594" s="227" t="n"/>
      <c r="T4594" s="227" t="n"/>
    </row>
    <row r="4595">
      <c r="A4595" s="145">
        <f>IF($B4595="","",ROW()-5)</f>
        <v/>
      </c>
      <c r="B4595" s="127" t="n"/>
      <c r="C4595" s="223" t="n"/>
      <c r="D4595" s="127" t="n"/>
      <c r="E4595" s="227" t="n"/>
      <c r="F4595" s="227" t="n"/>
      <c r="G4595" s="227" t="n"/>
      <c r="H4595" s="227" t="n"/>
      <c r="I4595" s="227" t="n"/>
      <c r="J4595" s="227" t="n"/>
      <c r="K4595" s="227" t="n"/>
      <c r="L4595" s="227" t="n"/>
      <c r="M4595" s="227" t="n"/>
      <c r="N4595" s="127" t="n"/>
      <c r="O4595" s="227" t="n"/>
      <c r="P4595" s="227" t="n"/>
      <c r="Q4595" s="227" t="n"/>
      <c r="R4595" s="227" t="n"/>
      <c r="S4595" s="227" t="n"/>
      <c r="T4595" s="227" t="n"/>
    </row>
    <row r="4596">
      <c r="A4596" s="145">
        <f>IF($B4596="","",ROW()-5)</f>
        <v/>
      </c>
      <c r="B4596" s="127" t="n"/>
      <c r="C4596" s="223" t="n"/>
      <c r="D4596" s="127" t="n"/>
      <c r="E4596" s="227" t="n"/>
      <c r="F4596" s="227" t="n"/>
      <c r="G4596" s="227" t="n"/>
      <c r="H4596" s="227" t="n"/>
      <c r="I4596" s="227" t="n"/>
      <c r="J4596" s="227" t="n"/>
      <c r="K4596" s="227" t="n"/>
      <c r="L4596" s="227" t="n"/>
      <c r="M4596" s="227" t="n"/>
      <c r="N4596" s="127" t="n"/>
      <c r="O4596" s="227" t="n"/>
      <c r="P4596" s="227" t="n"/>
      <c r="Q4596" s="227" t="n"/>
      <c r="R4596" s="227" t="n"/>
      <c r="S4596" s="227" t="n"/>
      <c r="T4596" s="227" t="n"/>
    </row>
    <row r="4597">
      <c r="A4597" s="145">
        <f>IF($B4597="","",ROW()-5)</f>
        <v/>
      </c>
      <c r="B4597" s="127" t="n"/>
      <c r="C4597" s="223" t="n"/>
      <c r="D4597" s="127" t="n"/>
      <c r="E4597" s="227" t="n"/>
      <c r="F4597" s="227" t="n"/>
      <c r="G4597" s="227" t="n"/>
      <c r="H4597" s="227" t="n"/>
      <c r="I4597" s="227" t="n"/>
      <c r="J4597" s="227" t="n"/>
      <c r="K4597" s="227" t="n"/>
      <c r="L4597" s="227" t="n"/>
      <c r="M4597" s="227" t="n"/>
      <c r="N4597" s="127" t="n"/>
      <c r="O4597" s="227" t="n"/>
      <c r="P4597" s="227" t="n"/>
      <c r="Q4597" s="227" t="n"/>
      <c r="R4597" s="227" t="n"/>
      <c r="S4597" s="227" t="n"/>
      <c r="T4597" s="227" t="n"/>
    </row>
    <row r="4598">
      <c r="A4598" s="145">
        <f>IF($B4598="","",ROW()-5)</f>
        <v/>
      </c>
      <c r="B4598" s="127" t="n"/>
      <c r="C4598" s="223" t="n"/>
      <c r="D4598" s="127" t="n"/>
      <c r="E4598" s="227" t="n"/>
      <c r="F4598" s="227" t="n"/>
      <c r="G4598" s="227" t="n"/>
      <c r="H4598" s="227" t="n"/>
      <c r="I4598" s="227" t="n"/>
      <c r="J4598" s="227" t="n"/>
      <c r="K4598" s="227" t="n"/>
      <c r="L4598" s="227" t="n"/>
      <c r="M4598" s="227" t="n"/>
      <c r="N4598" s="127" t="n"/>
      <c r="O4598" s="227" t="n"/>
      <c r="P4598" s="227" t="n"/>
      <c r="Q4598" s="227" t="n"/>
      <c r="R4598" s="227" t="n"/>
      <c r="S4598" s="227" t="n"/>
      <c r="T4598" s="227" t="n"/>
    </row>
    <row r="4599">
      <c r="A4599" s="145">
        <f>IF($B4599="","",ROW()-5)</f>
        <v/>
      </c>
      <c r="B4599" s="127" t="n"/>
      <c r="C4599" s="223" t="n"/>
      <c r="D4599" s="127" t="n"/>
      <c r="E4599" s="227" t="n"/>
      <c r="F4599" s="227" t="n"/>
      <c r="G4599" s="227" t="n"/>
      <c r="H4599" s="227" t="n"/>
      <c r="I4599" s="227" t="n"/>
      <c r="J4599" s="227" t="n"/>
      <c r="K4599" s="227" t="n"/>
      <c r="L4599" s="227" t="n"/>
      <c r="M4599" s="227" t="n"/>
      <c r="N4599" s="127" t="n"/>
      <c r="O4599" s="227" t="n"/>
      <c r="P4599" s="227" t="n"/>
      <c r="Q4599" s="227" t="n"/>
      <c r="R4599" s="227" t="n"/>
      <c r="S4599" s="227" t="n"/>
      <c r="T4599" s="227" t="n"/>
    </row>
    <row r="4600">
      <c r="A4600" s="145">
        <f>IF($B4600="","",ROW()-5)</f>
        <v/>
      </c>
      <c r="B4600" s="127" t="n"/>
      <c r="C4600" s="223" t="n"/>
      <c r="D4600" s="127" t="n"/>
      <c r="E4600" s="227" t="n"/>
      <c r="F4600" s="227" t="n"/>
      <c r="G4600" s="227" t="n"/>
      <c r="H4600" s="227" t="n"/>
      <c r="I4600" s="227" t="n"/>
      <c r="J4600" s="227" t="n"/>
      <c r="K4600" s="227" t="n"/>
      <c r="L4600" s="227" t="n"/>
      <c r="M4600" s="227" t="n"/>
      <c r="N4600" s="127" t="n"/>
      <c r="O4600" s="227" t="n"/>
      <c r="P4600" s="227" t="n"/>
      <c r="Q4600" s="227" t="n"/>
      <c r="R4600" s="227" t="n"/>
      <c r="S4600" s="227" t="n"/>
      <c r="T4600" s="227" t="n"/>
    </row>
    <row r="4601">
      <c r="A4601" s="145">
        <f>IF($B4601="","",ROW()-5)</f>
        <v/>
      </c>
      <c r="B4601" s="127" t="n"/>
      <c r="C4601" s="223" t="n"/>
      <c r="D4601" s="127" t="n"/>
      <c r="E4601" s="227" t="n"/>
      <c r="F4601" s="227" t="n"/>
      <c r="G4601" s="227" t="n"/>
      <c r="H4601" s="227" t="n"/>
      <c r="I4601" s="227" t="n"/>
      <c r="J4601" s="227" t="n"/>
      <c r="K4601" s="227" t="n"/>
      <c r="L4601" s="227" t="n"/>
      <c r="M4601" s="227" t="n"/>
      <c r="N4601" s="127" t="n"/>
      <c r="O4601" s="227" t="n"/>
      <c r="P4601" s="227" t="n"/>
      <c r="Q4601" s="227" t="n"/>
      <c r="R4601" s="227" t="n"/>
      <c r="S4601" s="227" t="n"/>
      <c r="T4601" s="227" t="n"/>
    </row>
    <row r="4602">
      <c r="A4602" s="145">
        <f>IF($B4602="","",ROW()-5)</f>
        <v/>
      </c>
      <c r="B4602" s="127" t="n"/>
      <c r="C4602" s="223" t="n"/>
      <c r="D4602" s="127" t="n"/>
      <c r="E4602" s="227" t="n"/>
      <c r="F4602" s="227" t="n"/>
      <c r="G4602" s="227" t="n"/>
      <c r="H4602" s="227" t="n"/>
      <c r="I4602" s="227" t="n"/>
      <c r="J4602" s="227" t="n"/>
      <c r="K4602" s="227" t="n"/>
      <c r="L4602" s="227" t="n"/>
      <c r="M4602" s="227" t="n"/>
      <c r="N4602" s="127" t="n"/>
      <c r="O4602" s="227" t="n"/>
      <c r="P4602" s="227" t="n"/>
      <c r="Q4602" s="227" t="n"/>
      <c r="R4602" s="227" t="n"/>
      <c r="S4602" s="227" t="n"/>
      <c r="T4602" s="227" t="n"/>
    </row>
    <row r="4603">
      <c r="A4603" s="145">
        <f>IF($B4603="","",ROW()-5)</f>
        <v/>
      </c>
      <c r="B4603" s="127" t="n"/>
      <c r="C4603" s="223" t="n"/>
      <c r="D4603" s="127" t="n"/>
      <c r="E4603" s="227" t="n"/>
      <c r="F4603" s="227" t="n"/>
      <c r="G4603" s="227" t="n"/>
      <c r="H4603" s="227" t="n"/>
      <c r="I4603" s="227" t="n"/>
      <c r="J4603" s="227" t="n"/>
      <c r="K4603" s="227" t="n"/>
      <c r="L4603" s="227" t="n"/>
      <c r="M4603" s="227" t="n"/>
      <c r="N4603" s="127" t="n"/>
      <c r="O4603" s="227" t="n"/>
      <c r="P4603" s="227" t="n"/>
      <c r="Q4603" s="227" t="n"/>
      <c r="R4603" s="227" t="n"/>
      <c r="S4603" s="227" t="n"/>
      <c r="T4603" s="227" t="n"/>
    </row>
    <row r="4604">
      <c r="A4604" s="145">
        <f>IF($B4604="","",ROW()-5)</f>
        <v/>
      </c>
      <c r="B4604" s="127" t="n"/>
      <c r="C4604" s="223" t="n"/>
      <c r="D4604" s="127" t="n"/>
      <c r="E4604" s="227" t="n"/>
      <c r="F4604" s="227" t="n"/>
      <c r="G4604" s="227" t="n"/>
      <c r="H4604" s="227" t="n"/>
      <c r="I4604" s="227" t="n"/>
      <c r="J4604" s="227" t="n"/>
      <c r="K4604" s="227" t="n"/>
      <c r="L4604" s="227" t="n"/>
      <c r="M4604" s="227" t="n"/>
      <c r="N4604" s="127" t="n"/>
      <c r="O4604" s="227" t="n"/>
      <c r="P4604" s="227" t="n"/>
      <c r="Q4604" s="227" t="n"/>
      <c r="R4604" s="227" t="n"/>
      <c r="S4604" s="227" t="n"/>
      <c r="T4604" s="227" t="n"/>
    </row>
    <row r="4605">
      <c r="A4605" s="145">
        <f>IF($B4605="","",ROW()-5)</f>
        <v/>
      </c>
      <c r="B4605" s="127" t="n"/>
      <c r="C4605" s="223" t="n"/>
      <c r="D4605" s="127" t="n"/>
      <c r="E4605" s="227" t="n"/>
      <c r="F4605" s="227" t="n"/>
      <c r="G4605" s="227" t="n"/>
      <c r="H4605" s="227" t="n"/>
      <c r="I4605" s="227" t="n"/>
      <c r="J4605" s="227" t="n"/>
      <c r="K4605" s="227" t="n"/>
      <c r="L4605" s="227" t="n"/>
      <c r="M4605" s="227" t="n"/>
      <c r="N4605" s="127" t="n"/>
      <c r="O4605" s="227" t="n"/>
      <c r="P4605" s="227" t="n"/>
      <c r="Q4605" s="227" t="n"/>
      <c r="R4605" s="227" t="n"/>
      <c r="S4605" s="227" t="n"/>
      <c r="T4605" s="227" t="n"/>
    </row>
    <row r="4606">
      <c r="A4606" s="145">
        <f>IF($B4606="","",ROW()-5)</f>
        <v/>
      </c>
      <c r="B4606" s="127" t="n"/>
      <c r="C4606" s="223" t="n"/>
      <c r="D4606" s="127" t="n"/>
      <c r="E4606" s="227" t="n"/>
      <c r="F4606" s="227" t="n"/>
      <c r="G4606" s="227" t="n"/>
      <c r="H4606" s="227" t="n"/>
      <c r="I4606" s="227" t="n"/>
      <c r="J4606" s="227" t="n"/>
      <c r="K4606" s="227" t="n"/>
      <c r="L4606" s="227" t="n"/>
      <c r="M4606" s="227" t="n"/>
      <c r="N4606" s="127" t="n"/>
      <c r="O4606" s="227" t="n"/>
      <c r="P4606" s="227" t="n"/>
      <c r="Q4606" s="227" t="n"/>
      <c r="R4606" s="227" t="n"/>
      <c r="S4606" s="227" t="n"/>
      <c r="T4606" s="227" t="n"/>
    </row>
    <row r="4607">
      <c r="A4607" s="145">
        <f>IF($B4607="","",ROW()-5)</f>
        <v/>
      </c>
      <c r="B4607" s="127" t="n"/>
      <c r="C4607" s="223" t="n"/>
      <c r="D4607" s="127" t="n"/>
      <c r="E4607" s="227" t="n"/>
      <c r="F4607" s="227" t="n"/>
      <c r="G4607" s="227" t="n"/>
      <c r="H4607" s="227" t="n"/>
      <c r="I4607" s="227" t="n"/>
      <c r="J4607" s="227" t="n"/>
      <c r="K4607" s="227" t="n"/>
      <c r="L4607" s="227" t="n"/>
      <c r="M4607" s="227" t="n"/>
      <c r="N4607" s="127" t="n"/>
      <c r="O4607" s="227" t="n"/>
      <c r="P4607" s="227" t="n"/>
      <c r="Q4607" s="227" t="n"/>
      <c r="R4607" s="227" t="n"/>
      <c r="S4607" s="227" t="n"/>
      <c r="T4607" s="227" t="n"/>
    </row>
    <row r="4608">
      <c r="A4608" s="145">
        <f>IF($B4608="","",ROW()-5)</f>
        <v/>
      </c>
      <c r="B4608" s="127" t="n"/>
      <c r="C4608" s="223" t="n"/>
      <c r="D4608" s="127" t="n"/>
      <c r="E4608" s="227" t="n"/>
      <c r="F4608" s="227" t="n"/>
      <c r="G4608" s="227" t="n"/>
      <c r="H4608" s="227" t="n"/>
      <c r="I4608" s="227" t="n"/>
      <c r="J4608" s="227" t="n"/>
      <c r="K4608" s="227" t="n"/>
      <c r="L4608" s="227" t="n"/>
      <c r="M4608" s="227" t="n"/>
      <c r="N4608" s="127" t="n"/>
      <c r="O4608" s="227" t="n"/>
      <c r="P4608" s="227" t="n"/>
      <c r="Q4608" s="227" t="n"/>
      <c r="R4608" s="227" t="n"/>
      <c r="S4608" s="227" t="n"/>
      <c r="T4608" s="227" t="n"/>
    </row>
    <row r="4609">
      <c r="A4609" s="145">
        <f>IF($B4609="","",ROW()-5)</f>
        <v/>
      </c>
      <c r="B4609" s="127" t="n"/>
      <c r="C4609" s="223" t="n"/>
      <c r="D4609" s="127" t="n"/>
      <c r="E4609" s="227" t="n"/>
      <c r="F4609" s="227" t="n"/>
      <c r="G4609" s="227" t="n"/>
      <c r="H4609" s="227" t="n"/>
      <c r="I4609" s="227" t="n"/>
      <c r="J4609" s="227" t="n"/>
      <c r="K4609" s="227" t="n"/>
      <c r="L4609" s="227" t="n"/>
      <c r="M4609" s="227" t="n"/>
      <c r="N4609" s="127" t="n"/>
      <c r="O4609" s="227" t="n"/>
      <c r="P4609" s="227" t="n"/>
      <c r="Q4609" s="227" t="n"/>
      <c r="R4609" s="227" t="n"/>
      <c r="S4609" s="227" t="n"/>
      <c r="T4609" s="227" t="n"/>
    </row>
    <row r="4610">
      <c r="A4610" s="145">
        <f>IF($B4610="","",ROW()-5)</f>
        <v/>
      </c>
      <c r="B4610" s="127" t="n"/>
      <c r="C4610" s="223" t="n"/>
      <c r="D4610" s="127" t="n"/>
      <c r="E4610" s="227" t="n"/>
      <c r="F4610" s="227" t="n"/>
      <c r="G4610" s="227" t="n"/>
      <c r="H4610" s="227" t="n"/>
      <c r="I4610" s="227" t="n"/>
      <c r="J4610" s="227" t="n"/>
      <c r="K4610" s="227" t="n"/>
      <c r="L4610" s="227" t="n"/>
      <c r="M4610" s="227" t="n"/>
      <c r="N4610" s="127" t="n"/>
      <c r="O4610" s="227" t="n"/>
      <c r="P4610" s="227" t="n"/>
      <c r="Q4610" s="227" t="n"/>
      <c r="R4610" s="227" t="n"/>
      <c r="S4610" s="227" t="n"/>
      <c r="T4610" s="227" t="n"/>
    </row>
    <row r="4611">
      <c r="A4611" s="145">
        <f>IF($B4611="","",ROW()-5)</f>
        <v/>
      </c>
      <c r="B4611" s="127" t="n"/>
      <c r="C4611" s="223" t="n"/>
      <c r="D4611" s="127" t="n"/>
      <c r="E4611" s="227" t="n"/>
      <c r="F4611" s="227" t="n"/>
      <c r="G4611" s="227" t="n"/>
      <c r="H4611" s="227" t="n"/>
      <c r="I4611" s="227" t="n"/>
      <c r="J4611" s="227" t="n"/>
      <c r="K4611" s="227" t="n"/>
      <c r="L4611" s="227" t="n"/>
      <c r="M4611" s="227" t="n"/>
      <c r="N4611" s="127" t="n"/>
      <c r="O4611" s="227" t="n"/>
      <c r="P4611" s="227" t="n"/>
      <c r="Q4611" s="227" t="n"/>
      <c r="R4611" s="227" t="n"/>
      <c r="S4611" s="227" t="n"/>
      <c r="T4611" s="227" t="n"/>
    </row>
    <row r="4612">
      <c r="A4612" s="145">
        <f>IF($B4612="","",ROW()-5)</f>
        <v/>
      </c>
      <c r="B4612" s="127" t="n"/>
      <c r="C4612" s="223" t="n"/>
      <c r="D4612" s="127" t="n"/>
      <c r="E4612" s="227" t="n"/>
      <c r="F4612" s="227" t="n"/>
      <c r="G4612" s="227" t="n"/>
      <c r="H4612" s="227" t="n"/>
      <c r="I4612" s="227" t="n"/>
      <c r="J4612" s="227" t="n"/>
      <c r="K4612" s="227" t="n"/>
      <c r="L4612" s="227" t="n"/>
      <c r="M4612" s="227" t="n"/>
      <c r="N4612" s="127" t="n"/>
      <c r="O4612" s="227" t="n"/>
      <c r="P4612" s="227" t="n"/>
      <c r="Q4612" s="227" t="n"/>
      <c r="R4612" s="227" t="n"/>
      <c r="S4612" s="227" t="n"/>
      <c r="T4612" s="227" t="n"/>
    </row>
    <row r="4613">
      <c r="A4613" s="145">
        <f>IF($B4613="","",ROW()-5)</f>
        <v/>
      </c>
      <c r="B4613" s="127" t="n"/>
      <c r="C4613" s="223" t="n"/>
      <c r="D4613" s="127" t="n"/>
      <c r="E4613" s="227" t="n"/>
      <c r="F4613" s="227" t="n"/>
      <c r="G4613" s="227" t="n"/>
      <c r="H4613" s="227" t="n"/>
      <c r="I4613" s="227" t="n"/>
      <c r="J4613" s="227" t="n"/>
      <c r="K4613" s="227" t="n"/>
      <c r="L4613" s="227" t="n"/>
      <c r="M4613" s="227" t="n"/>
      <c r="N4613" s="127" t="n"/>
      <c r="O4613" s="227" t="n"/>
      <c r="P4613" s="227" t="n"/>
      <c r="Q4613" s="227" t="n"/>
      <c r="R4613" s="227" t="n"/>
      <c r="S4613" s="227" t="n"/>
      <c r="T4613" s="227" t="n"/>
    </row>
    <row r="4614">
      <c r="A4614" s="145">
        <f>IF($B4614="","",ROW()-5)</f>
        <v/>
      </c>
      <c r="B4614" s="127" t="n"/>
      <c r="C4614" s="223" t="n"/>
      <c r="D4614" s="127" t="n"/>
      <c r="E4614" s="227" t="n"/>
      <c r="F4614" s="227" t="n"/>
      <c r="G4614" s="227" t="n"/>
      <c r="H4614" s="227" t="n"/>
      <c r="I4614" s="227" t="n"/>
      <c r="J4614" s="227" t="n"/>
      <c r="K4614" s="227" t="n"/>
      <c r="L4614" s="227" t="n"/>
      <c r="M4614" s="227" t="n"/>
      <c r="N4614" s="127" t="n"/>
      <c r="O4614" s="227" t="n"/>
      <c r="P4614" s="227" t="n"/>
      <c r="Q4614" s="227" t="n"/>
      <c r="R4614" s="227" t="n"/>
      <c r="S4614" s="227" t="n"/>
      <c r="T4614" s="227" t="n"/>
    </row>
    <row r="4615">
      <c r="A4615" s="145">
        <f>IF($B4615="","",ROW()-5)</f>
        <v/>
      </c>
      <c r="B4615" s="127" t="n"/>
      <c r="C4615" s="223" t="n"/>
      <c r="D4615" s="127" t="n"/>
      <c r="E4615" s="227" t="n"/>
      <c r="F4615" s="227" t="n"/>
      <c r="G4615" s="227" t="n"/>
      <c r="H4615" s="227" t="n"/>
      <c r="I4615" s="227" t="n"/>
      <c r="J4615" s="227" t="n"/>
      <c r="K4615" s="227" t="n"/>
      <c r="L4615" s="227" t="n"/>
      <c r="M4615" s="227" t="n"/>
      <c r="N4615" s="127" t="n"/>
      <c r="O4615" s="227" t="n"/>
      <c r="P4615" s="227" t="n"/>
      <c r="Q4615" s="227" t="n"/>
      <c r="R4615" s="227" t="n"/>
      <c r="S4615" s="227" t="n"/>
      <c r="T4615" s="227" t="n"/>
    </row>
    <row r="4616">
      <c r="A4616" s="145">
        <f>IF($B4616="","",ROW()-5)</f>
        <v/>
      </c>
      <c r="B4616" s="127" t="n"/>
      <c r="C4616" s="223" t="n"/>
      <c r="D4616" s="127" t="n"/>
      <c r="E4616" s="227" t="n"/>
      <c r="F4616" s="227" t="n"/>
      <c r="G4616" s="227" t="n"/>
      <c r="H4616" s="227" t="n"/>
      <c r="I4616" s="227" t="n"/>
      <c r="J4616" s="227" t="n"/>
      <c r="K4616" s="227" t="n"/>
      <c r="L4616" s="227" t="n"/>
      <c r="M4616" s="227" t="n"/>
      <c r="N4616" s="127" t="n"/>
      <c r="O4616" s="227" t="n"/>
      <c r="P4616" s="227" t="n"/>
      <c r="Q4616" s="227" t="n"/>
      <c r="R4616" s="227" t="n"/>
      <c r="S4616" s="227" t="n"/>
      <c r="T4616" s="227" t="n"/>
    </row>
    <row r="4617">
      <c r="A4617" s="145">
        <f>IF($B4617="","",ROW()-5)</f>
        <v/>
      </c>
      <c r="B4617" s="127" t="n"/>
      <c r="C4617" s="223" t="n"/>
      <c r="D4617" s="127" t="n"/>
      <c r="E4617" s="227" t="n"/>
      <c r="F4617" s="227" t="n"/>
      <c r="G4617" s="227" t="n"/>
      <c r="H4617" s="227" t="n"/>
      <c r="I4617" s="227" t="n"/>
      <c r="J4617" s="227" t="n"/>
      <c r="K4617" s="227" t="n"/>
      <c r="L4617" s="227" t="n"/>
      <c r="M4617" s="227" t="n"/>
      <c r="N4617" s="127" t="n"/>
      <c r="O4617" s="227" t="n"/>
      <c r="P4617" s="227" t="n"/>
      <c r="Q4617" s="227" t="n"/>
      <c r="R4617" s="227" t="n"/>
      <c r="S4617" s="227" t="n"/>
      <c r="T4617" s="227" t="n"/>
    </row>
    <row r="4618">
      <c r="A4618" s="145">
        <f>IF($B4618="","",ROW()-5)</f>
        <v/>
      </c>
      <c r="B4618" s="127" t="n"/>
      <c r="C4618" s="223" t="n"/>
      <c r="D4618" s="127" t="n"/>
      <c r="E4618" s="227" t="n"/>
      <c r="F4618" s="227" t="n"/>
      <c r="G4618" s="227" t="n"/>
      <c r="H4618" s="227" t="n"/>
      <c r="I4618" s="227" t="n"/>
      <c r="J4618" s="227" t="n"/>
      <c r="K4618" s="227" t="n"/>
      <c r="L4618" s="227" t="n"/>
      <c r="M4618" s="227" t="n"/>
      <c r="N4618" s="127" t="n"/>
      <c r="O4618" s="227" t="n"/>
      <c r="P4618" s="227" t="n"/>
      <c r="Q4618" s="227" t="n"/>
      <c r="R4618" s="227" t="n"/>
      <c r="S4618" s="227" t="n"/>
      <c r="T4618" s="227" t="n"/>
    </row>
    <row r="4619">
      <c r="A4619" s="145">
        <f>IF($B4619="","",ROW()-5)</f>
        <v/>
      </c>
      <c r="B4619" s="127" t="n"/>
      <c r="C4619" s="223" t="n"/>
      <c r="D4619" s="127" t="n"/>
      <c r="E4619" s="227" t="n"/>
      <c r="F4619" s="227" t="n"/>
      <c r="G4619" s="227" t="n"/>
      <c r="H4619" s="227" t="n"/>
      <c r="I4619" s="227" t="n"/>
      <c r="J4619" s="227" t="n"/>
      <c r="K4619" s="227" t="n"/>
      <c r="L4619" s="227" t="n"/>
      <c r="M4619" s="227" t="n"/>
      <c r="N4619" s="127" t="n"/>
      <c r="O4619" s="227" t="n"/>
      <c r="P4619" s="227" t="n"/>
      <c r="Q4619" s="227" t="n"/>
      <c r="R4619" s="227" t="n"/>
      <c r="S4619" s="227" t="n"/>
      <c r="T4619" s="227" t="n"/>
    </row>
    <row r="4620">
      <c r="A4620" s="145">
        <f>IF($B4620="","",ROW()-5)</f>
        <v/>
      </c>
      <c r="B4620" s="127" t="n"/>
      <c r="C4620" s="223" t="n"/>
      <c r="D4620" s="127" t="n"/>
      <c r="E4620" s="227" t="n"/>
      <c r="F4620" s="227" t="n"/>
      <c r="G4620" s="227" t="n"/>
      <c r="H4620" s="227" t="n"/>
      <c r="I4620" s="227" t="n"/>
      <c r="J4620" s="227" t="n"/>
      <c r="K4620" s="227" t="n"/>
      <c r="L4620" s="227" t="n"/>
      <c r="M4620" s="227" t="n"/>
      <c r="N4620" s="127" t="n"/>
      <c r="O4620" s="227" t="n"/>
      <c r="P4620" s="227" t="n"/>
      <c r="Q4620" s="227" t="n"/>
      <c r="R4620" s="227" t="n"/>
      <c r="S4620" s="227" t="n"/>
      <c r="T4620" s="227" t="n"/>
    </row>
    <row r="4621">
      <c r="A4621" s="145">
        <f>IF($B4621="","",ROW()-5)</f>
        <v/>
      </c>
      <c r="B4621" s="127" t="n"/>
      <c r="C4621" s="223" t="n"/>
      <c r="D4621" s="127" t="n"/>
      <c r="E4621" s="227" t="n"/>
      <c r="F4621" s="227" t="n"/>
      <c r="G4621" s="227" t="n"/>
      <c r="H4621" s="227" t="n"/>
      <c r="I4621" s="227" t="n"/>
      <c r="J4621" s="227" t="n"/>
      <c r="K4621" s="227" t="n"/>
      <c r="L4621" s="227" t="n"/>
      <c r="M4621" s="227" t="n"/>
      <c r="N4621" s="127" t="n"/>
      <c r="O4621" s="227" t="n"/>
      <c r="P4621" s="227" t="n"/>
      <c r="Q4621" s="227" t="n"/>
      <c r="R4621" s="227" t="n"/>
      <c r="S4621" s="227" t="n"/>
      <c r="T4621" s="227" t="n"/>
    </row>
    <row r="4622">
      <c r="A4622" s="145">
        <f>IF($B4622="","",ROW()-5)</f>
        <v/>
      </c>
      <c r="B4622" s="127" t="n"/>
      <c r="C4622" s="223" t="n"/>
      <c r="D4622" s="127" t="n"/>
      <c r="E4622" s="227" t="n"/>
      <c r="F4622" s="227" t="n"/>
      <c r="G4622" s="227" t="n"/>
      <c r="H4622" s="227" t="n"/>
      <c r="I4622" s="227" t="n"/>
      <c r="J4622" s="227" t="n"/>
      <c r="K4622" s="227" t="n"/>
      <c r="L4622" s="227" t="n"/>
      <c r="M4622" s="227" t="n"/>
      <c r="N4622" s="127" t="n"/>
      <c r="O4622" s="227" t="n"/>
      <c r="P4622" s="227" t="n"/>
      <c r="Q4622" s="227" t="n"/>
      <c r="R4622" s="227" t="n"/>
      <c r="S4622" s="227" t="n"/>
      <c r="T4622" s="227" t="n"/>
    </row>
    <row r="4623">
      <c r="A4623" s="145">
        <f>IF($B4623="","",ROW()-5)</f>
        <v/>
      </c>
      <c r="B4623" s="127" t="n"/>
      <c r="C4623" s="223" t="n"/>
      <c r="D4623" s="127" t="n"/>
      <c r="E4623" s="227" t="n"/>
      <c r="F4623" s="227" t="n"/>
      <c r="G4623" s="227" t="n"/>
      <c r="H4623" s="227" t="n"/>
      <c r="I4623" s="227" t="n"/>
      <c r="J4623" s="227" t="n"/>
      <c r="K4623" s="227" t="n"/>
      <c r="L4623" s="227" t="n"/>
      <c r="M4623" s="227" t="n"/>
      <c r="N4623" s="127" t="n"/>
      <c r="O4623" s="227" t="n"/>
      <c r="P4623" s="227" t="n"/>
      <c r="Q4623" s="227" t="n"/>
      <c r="R4623" s="227" t="n"/>
      <c r="S4623" s="227" t="n"/>
      <c r="T4623" s="227" t="n"/>
    </row>
    <row r="4624">
      <c r="A4624" s="145">
        <f>IF($B4624="","",ROW()-5)</f>
        <v/>
      </c>
      <c r="B4624" s="127" t="n"/>
      <c r="C4624" s="223" t="n"/>
      <c r="D4624" s="127" t="n"/>
      <c r="E4624" s="227" t="n"/>
      <c r="F4624" s="227" t="n"/>
      <c r="G4624" s="227" t="n"/>
      <c r="H4624" s="227" t="n"/>
      <c r="I4624" s="227" t="n"/>
      <c r="J4624" s="227" t="n"/>
      <c r="K4624" s="227" t="n"/>
      <c r="L4624" s="227" t="n"/>
      <c r="M4624" s="227" t="n"/>
      <c r="N4624" s="127" t="n"/>
      <c r="O4624" s="227" t="n"/>
      <c r="P4624" s="227" t="n"/>
      <c r="Q4624" s="227" t="n"/>
      <c r="R4624" s="227" t="n"/>
      <c r="S4624" s="227" t="n"/>
      <c r="T4624" s="227" t="n"/>
    </row>
    <row r="4625">
      <c r="A4625" s="145">
        <f>IF($B4625="","",ROW()-5)</f>
        <v/>
      </c>
      <c r="B4625" s="127" t="n"/>
      <c r="C4625" s="223" t="n"/>
      <c r="D4625" s="127" t="n"/>
      <c r="E4625" s="227" t="n"/>
      <c r="F4625" s="227" t="n"/>
      <c r="G4625" s="227" t="n"/>
      <c r="H4625" s="227" t="n"/>
      <c r="I4625" s="227" t="n"/>
      <c r="J4625" s="227" t="n"/>
      <c r="K4625" s="227" t="n"/>
      <c r="L4625" s="227" t="n"/>
      <c r="M4625" s="227" t="n"/>
      <c r="N4625" s="127" t="n"/>
      <c r="O4625" s="227" t="n"/>
      <c r="P4625" s="227" t="n"/>
      <c r="Q4625" s="227" t="n"/>
      <c r="R4625" s="227" t="n"/>
      <c r="S4625" s="227" t="n"/>
      <c r="T4625" s="227" t="n"/>
    </row>
    <row r="4626">
      <c r="A4626" s="145">
        <f>IF($B4626="","",ROW()-5)</f>
        <v/>
      </c>
      <c r="B4626" s="127" t="n"/>
      <c r="C4626" s="223" t="n"/>
      <c r="D4626" s="127" t="n"/>
      <c r="E4626" s="227" t="n"/>
      <c r="F4626" s="227" t="n"/>
      <c r="G4626" s="227" t="n"/>
      <c r="H4626" s="227" t="n"/>
      <c r="I4626" s="227" t="n"/>
      <c r="J4626" s="227" t="n"/>
      <c r="K4626" s="227" t="n"/>
      <c r="L4626" s="227" t="n"/>
      <c r="M4626" s="227" t="n"/>
      <c r="N4626" s="127" t="n"/>
      <c r="O4626" s="227" t="n"/>
      <c r="P4626" s="227" t="n"/>
      <c r="Q4626" s="227" t="n"/>
      <c r="R4626" s="227" t="n"/>
      <c r="S4626" s="227" t="n"/>
      <c r="T4626" s="227" t="n"/>
    </row>
    <row r="4627">
      <c r="A4627" s="145">
        <f>IF($B4627="","",ROW()-5)</f>
        <v/>
      </c>
      <c r="B4627" s="127" t="n"/>
      <c r="C4627" s="223" t="n"/>
      <c r="D4627" s="127" t="n"/>
      <c r="E4627" s="227" t="n"/>
      <c r="F4627" s="227" t="n"/>
      <c r="G4627" s="227" t="n"/>
      <c r="H4627" s="227" t="n"/>
      <c r="I4627" s="227" t="n"/>
      <c r="J4627" s="227" t="n"/>
      <c r="K4627" s="227" t="n"/>
      <c r="L4627" s="227" t="n"/>
      <c r="M4627" s="227" t="n"/>
      <c r="N4627" s="127" t="n"/>
      <c r="O4627" s="227" t="n"/>
      <c r="P4627" s="227" t="n"/>
      <c r="Q4627" s="227" t="n"/>
      <c r="R4627" s="227" t="n"/>
      <c r="S4627" s="227" t="n"/>
      <c r="T4627" s="227" t="n"/>
    </row>
    <row r="4628">
      <c r="A4628" s="145">
        <f>IF($B4628="","",ROW()-5)</f>
        <v/>
      </c>
      <c r="B4628" s="127" t="n"/>
      <c r="C4628" s="223" t="n"/>
      <c r="D4628" s="127" t="n"/>
      <c r="E4628" s="227" t="n"/>
      <c r="F4628" s="227" t="n"/>
      <c r="G4628" s="227" t="n"/>
      <c r="H4628" s="227" t="n"/>
      <c r="I4628" s="227" t="n"/>
      <c r="J4628" s="227" t="n"/>
      <c r="K4628" s="227" t="n"/>
      <c r="L4628" s="227" t="n"/>
      <c r="M4628" s="227" t="n"/>
      <c r="N4628" s="127" t="n"/>
      <c r="O4628" s="227" t="n"/>
      <c r="P4628" s="227" t="n"/>
      <c r="Q4628" s="227" t="n"/>
      <c r="R4628" s="227" t="n"/>
      <c r="S4628" s="227" t="n"/>
      <c r="T4628" s="227" t="n"/>
    </row>
    <row r="4629">
      <c r="A4629" s="145">
        <f>IF($B4629="","",ROW()-5)</f>
        <v/>
      </c>
      <c r="B4629" s="127" t="n"/>
      <c r="C4629" s="223" t="n"/>
      <c r="D4629" s="127" t="n"/>
      <c r="E4629" s="227" t="n"/>
      <c r="F4629" s="227" t="n"/>
      <c r="G4629" s="227" t="n"/>
      <c r="H4629" s="227" t="n"/>
      <c r="I4629" s="227" t="n"/>
      <c r="J4629" s="227" t="n"/>
      <c r="K4629" s="227" t="n"/>
      <c r="L4629" s="227" t="n"/>
      <c r="M4629" s="227" t="n"/>
      <c r="N4629" s="127" t="n"/>
      <c r="O4629" s="227" t="n"/>
      <c r="P4629" s="227" t="n"/>
      <c r="Q4629" s="227" t="n"/>
      <c r="R4629" s="227" t="n"/>
      <c r="S4629" s="227" t="n"/>
      <c r="T4629" s="227" t="n"/>
    </row>
    <row r="4630">
      <c r="A4630" s="145">
        <f>IF($B4630="","",ROW()-5)</f>
        <v/>
      </c>
      <c r="B4630" s="127" t="n"/>
      <c r="C4630" s="223" t="n"/>
      <c r="D4630" s="127" t="n"/>
      <c r="E4630" s="227" t="n"/>
      <c r="F4630" s="227" t="n"/>
      <c r="G4630" s="227" t="n"/>
      <c r="H4630" s="227" t="n"/>
      <c r="I4630" s="227" t="n"/>
      <c r="J4630" s="227" t="n"/>
      <c r="K4630" s="227" t="n"/>
      <c r="L4630" s="227" t="n"/>
      <c r="M4630" s="227" t="n"/>
      <c r="N4630" s="127" t="n"/>
      <c r="O4630" s="227" t="n"/>
      <c r="P4630" s="227" t="n"/>
      <c r="Q4630" s="227" t="n"/>
      <c r="R4630" s="227" t="n"/>
      <c r="S4630" s="227" t="n"/>
      <c r="T4630" s="227" t="n"/>
    </row>
    <row r="4631">
      <c r="A4631" s="145">
        <f>IF($B4631="","",ROW()-5)</f>
        <v/>
      </c>
      <c r="B4631" s="127" t="n"/>
      <c r="C4631" s="223" t="n"/>
      <c r="D4631" s="127" t="n"/>
      <c r="E4631" s="227" t="n"/>
      <c r="F4631" s="227" t="n"/>
      <c r="G4631" s="227" t="n"/>
      <c r="H4631" s="227" t="n"/>
      <c r="I4631" s="227" t="n"/>
      <c r="J4631" s="227" t="n"/>
      <c r="K4631" s="227" t="n"/>
      <c r="L4631" s="227" t="n"/>
      <c r="M4631" s="227" t="n"/>
      <c r="N4631" s="127" t="n"/>
      <c r="O4631" s="227" t="n"/>
      <c r="P4631" s="227" t="n"/>
      <c r="Q4631" s="227" t="n"/>
      <c r="R4631" s="227" t="n"/>
      <c r="S4631" s="227" t="n"/>
      <c r="T4631" s="227" t="n"/>
    </row>
    <row r="4632">
      <c r="A4632" s="145">
        <f>IF($B4632="","",ROW()-5)</f>
        <v/>
      </c>
      <c r="B4632" s="127" t="n"/>
      <c r="C4632" s="223" t="n"/>
      <c r="D4632" s="127" t="n"/>
      <c r="E4632" s="227" t="n"/>
      <c r="F4632" s="227" t="n"/>
      <c r="G4632" s="227" t="n"/>
      <c r="H4632" s="227" t="n"/>
      <c r="I4632" s="227" t="n"/>
      <c r="J4632" s="227" t="n"/>
      <c r="K4632" s="227" t="n"/>
      <c r="L4632" s="227" t="n"/>
      <c r="M4632" s="227" t="n"/>
      <c r="N4632" s="127" t="n"/>
      <c r="O4632" s="227" t="n"/>
      <c r="P4632" s="227" t="n"/>
      <c r="Q4632" s="227" t="n"/>
      <c r="R4632" s="227" t="n"/>
      <c r="S4632" s="227" t="n"/>
      <c r="T4632" s="227" t="n"/>
    </row>
    <row r="4633">
      <c r="A4633" s="145">
        <f>IF($B4633="","",ROW()-5)</f>
        <v/>
      </c>
      <c r="B4633" s="127" t="n"/>
      <c r="C4633" s="223" t="n"/>
      <c r="D4633" s="127" t="n"/>
      <c r="E4633" s="227" t="n"/>
      <c r="F4633" s="227" t="n"/>
      <c r="G4633" s="227" t="n"/>
      <c r="H4633" s="227" t="n"/>
      <c r="I4633" s="227" t="n"/>
      <c r="J4633" s="227" t="n"/>
      <c r="K4633" s="227" t="n"/>
      <c r="L4633" s="227" t="n"/>
      <c r="M4633" s="227" t="n"/>
      <c r="N4633" s="127" t="n"/>
      <c r="O4633" s="227" t="n"/>
      <c r="P4633" s="227" t="n"/>
      <c r="Q4633" s="227" t="n"/>
      <c r="R4633" s="227" t="n"/>
      <c r="S4633" s="227" t="n"/>
      <c r="T4633" s="227" t="n"/>
    </row>
    <row r="4634">
      <c r="A4634" s="145">
        <f>IF($B4634="","",ROW()-5)</f>
        <v/>
      </c>
      <c r="B4634" s="127" t="n"/>
      <c r="C4634" s="223" t="n"/>
      <c r="D4634" s="127" t="n"/>
      <c r="E4634" s="227" t="n"/>
      <c r="F4634" s="227" t="n"/>
      <c r="G4634" s="227" t="n"/>
      <c r="H4634" s="227" t="n"/>
      <c r="I4634" s="227" t="n"/>
      <c r="J4634" s="227" t="n"/>
      <c r="K4634" s="227" t="n"/>
      <c r="L4634" s="227" t="n"/>
      <c r="M4634" s="227" t="n"/>
      <c r="N4634" s="127" t="n"/>
      <c r="O4634" s="227" t="n"/>
      <c r="P4634" s="227" t="n"/>
      <c r="Q4634" s="227" t="n"/>
      <c r="R4634" s="227" t="n"/>
      <c r="S4634" s="227" t="n"/>
      <c r="T4634" s="227" t="n"/>
    </row>
    <row r="4635">
      <c r="A4635" s="145">
        <f>IF($B4635="","",ROW()-5)</f>
        <v/>
      </c>
      <c r="B4635" s="127" t="n"/>
      <c r="C4635" s="223" t="n"/>
      <c r="D4635" s="127" t="n"/>
      <c r="E4635" s="227" t="n"/>
      <c r="F4635" s="227" t="n"/>
      <c r="G4635" s="227" t="n"/>
      <c r="H4635" s="227" t="n"/>
      <c r="I4635" s="227" t="n"/>
      <c r="J4635" s="227" t="n"/>
      <c r="K4635" s="227" t="n"/>
      <c r="L4635" s="227" t="n"/>
      <c r="M4635" s="227" t="n"/>
      <c r="N4635" s="127" t="n"/>
      <c r="O4635" s="227" t="n"/>
      <c r="P4635" s="227" t="n"/>
      <c r="Q4635" s="227" t="n"/>
      <c r="R4635" s="227" t="n"/>
      <c r="S4635" s="227" t="n"/>
      <c r="T4635" s="227" t="n"/>
    </row>
    <row r="4636">
      <c r="A4636" s="145">
        <f>IF($B4636="","",ROW()-5)</f>
        <v/>
      </c>
      <c r="B4636" s="127" t="n"/>
      <c r="C4636" s="223" t="n"/>
      <c r="D4636" s="127" t="n"/>
      <c r="E4636" s="227" t="n"/>
      <c r="F4636" s="227" t="n"/>
      <c r="G4636" s="227" t="n"/>
      <c r="H4636" s="227" t="n"/>
      <c r="I4636" s="227" t="n"/>
      <c r="J4636" s="227" t="n"/>
      <c r="K4636" s="227" t="n"/>
      <c r="L4636" s="227" t="n"/>
      <c r="M4636" s="227" t="n"/>
      <c r="N4636" s="127" t="n"/>
      <c r="O4636" s="227" t="n"/>
      <c r="P4636" s="227" t="n"/>
      <c r="Q4636" s="227" t="n"/>
      <c r="R4636" s="227" t="n"/>
      <c r="S4636" s="227" t="n"/>
      <c r="T4636" s="227" t="n"/>
    </row>
    <row r="4637">
      <c r="A4637" s="145">
        <f>IF($B4637="","",ROW()-5)</f>
        <v/>
      </c>
      <c r="B4637" s="127" t="n"/>
      <c r="C4637" s="223" t="n"/>
      <c r="D4637" s="127" t="n"/>
      <c r="E4637" s="227" t="n"/>
      <c r="F4637" s="227" t="n"/>
      <c r="G4637" s="227" t="n"/>
      <c r="H4637" s="227" t="n"/>
      <c r="I4637" s="227" t="n"/>
      <c r="J4637" s="227" t="n"/>
      <c r="K4637" s="227" t="n"/>
      <c r="L4637" s="227" t="n"/>
      <c r="M4637" s="227" t="n"/>
      <c r="N4637" s="127" t="n"/>
      <c r="O4637" s="227" t="n"/>
      <c r="P4637" s="227" t="n"/>
      <c r="Q4637" s="227" t="n"/>
      <c r="R4637" s="227" t="n"/>
      <c r="S4637" s="227" t="n"/>
      <c r="T4637" s="227" t="n"/>
    </row>
    <row r="4638">
      <c r="A4638" s="145">
        <f>IF($B4638="","",ROW()-5)</f>
        <v/>
      </c>
      <c r="B4638" s="127" t="n"/>
      <c r="C4638" s="223" t="n"/>
      <c r="D4638" s="127" t="n"/>
      <c r="E4638" s="227" t="n"/>
      <c r="F4638" s="227" t="n"/>
      <c r="G4638" s="227" t="n"/>
      <c r="H4638" s="227" t="n"/>
      <c r="I4638" s="227" t="n"/>
      <c r="J4638" s="227" t="n"/>
      <c r="K4638" s="227" t="n"/>
      <c r="L4638" s="227" t="n"/>
      <c r="M4638" s="227" t="n"/>
      <c r="N4638" s="127" t="n"/>
      <c r="O4638" s="227" t="n"/>
      <c r="P4638" s="227" t="n"/>
      <c r="Q4638" s="227" t="n"/>
      <c r="R4638" s="227" t="n"/>
      <c r="S4638" s="227" t="n"/>
      <c r="T4638" s="227" t="n"/>
    </row>
    <row r="4639">
      <c r="A4639" s="145">
        <f>IF($B4639="","",ROW()-5)</f>
        <v/>
      </c>
      <c r="B4639" s="127" t="n"/>
      <c r="C4639" s="223" t="n"/>
      <c r="D4639" s="127" t="n"/>
      <c r="E4639" s="227" t="n"/>
      <c r="F4639" s="227" t="n"/>
      <c r="G4639" s="227" t="n"/>
      <c r="H4639" s="227" t="n"/>
      <c r="I4639" s="227" t="n"/>
      <c r="J4639" s="227" t="n"/>
      <c r="K4639" s="227" t="n"/>
      <c r="L4639" s="227" t="n"/>
      <c r="M4639" s="227" t="n"/>
      <c r="N4639" s="127" t="n"/>
      <c r="O4639" s="227" t="n"/>
      <c r="P4639" s="227" t="n"/>
      <c r="Q4639" s="227" t="n"/>
      <c r="R4639" s="227" t="n"/>
      <c r="S4639" s="227" t="n"/>
      <c r="T4639" s="227" t="n"/>
    </row>
    <row r="4640">
      <c r="A4640" s="145">
        <f>IF($B4640="","",ROW()-5)</f>
        <v/>
      </c>
      <c r="B4640" s="127" t="n"/>
      <c r="C4640" s="223" t="n"/>
      <c r="D4640" s="127" t="n"/>
      <c r="E4640" s="227" t="n"/>
      <c r="F4640" s="227" t="n"/>
      <c r="G4640" s="227" t="n"/>
      <c r="H4640" s="227" t="n"/>
      <c r="I4640" s="227" t="n"/>
      <c r="J4640" s="227" t="n"/>
      <c r="K4640" s="227" t="n"/>
      <c r="L4640" s="227" t="n"/>
      <c r="M4640" s="227" t="n"/>
      <c r="N4640" s="127" t="n"/>
      <c r="O4640" s="227" t="n"/>
      <c r="P4640" s="227" t="n"/>
      <c r="Q4640" s="227" t="n"/>
      <c r="R4640" s="227" t="n"/>
      <c r="S4640" s="227" t="n"/>
      <c r="T4640" s="227" t="n"/>
    </row>
    <row r="4641">
      <c r="A4641" s="145">
        <f>IF($B4641="","",ROW()-5)</f>
        <v/>
      </c>
      <c r="B4641" s="127" t="n"/>
      <c r="C4641" s="223" t="n"/>
      <c r="D4641" s="127" t="n"/>
      <c r="E4641" s="227" t="n"/>
      <c r="F4641" s="227" t="n"/>
      <c r="G4641" s="227" t="n"/>
      <c r="H4641" s="227" t="n"/>
      <c r="I4641" s="227" t="n"/>
      <c r="J4641" s="227" t="n"/>
      <c r="K4641" s="227" t="n"/>
      <c r="L4641" s="227" t="n"/>
      <c r="M4641" s="227" t="n"/>
      <c r="N4641" s="127" t="n"/>
      <c r="O4641" s="227" t="n"/>
      <c r="P4641" s="227" t="n"/>
      <c r="Q4641" s="227" t="n"/>
      <c r="R4641" s="227" t="n"/>
      <c r="S4641" s="227" t="n"/>
      <c r="T4641" s="227" t="n"/>
    </row>
    <row r="4642">
      <c r="A4642" s="145">
        <f>IF($B4642="","",ROW()-5)</f>
        <v/>
      </c>
      <c r="B4642" s="127" t="n"/>
      <c r="C4642" s="223" t="n"/>
      <c r="D4642" s="127" t="n"/>
      <c r="E4642" s="227" t="n"/>
      <c r="F4642" s="227" t="n"/>
      <c r="G4642" s="227" t="n"/>
      <c r="H4642" s="227" t="n"/>
      <c r="I4642" s="227" t="n"/>
      <c r="J4642" s="227" t="n"/>
      <c r="K4642" s="227" t="n"/>
      <c r="L4642" s="227" t="n"/>
      <c r="M4642" s="227" t="n"/>
      <c r="N4642" s="127" t="n"/>
      <c r="O4642" s="227" t="n"/>
      <c r="P4642" s="227" t="n"/>
      <c r="Q4642" s="227" t="n"/>
      <c r="R4642" s="227" t="n"/>
      <c r="S4642" s="227" t="n"/>
      <c r="T4642" s="227" t="n"/>
    </row>
    <row r="4643">
      <c r="A4643" s="145">
        <f>IF($B4643="","",ROW()-5)</f>
        <v/>
      </c>
      <c r="B4643" s="127" t="n"/>
      <c r="C4643" s="223" t="n"/>
      <c r="D4643" s="127" t="n"/>
      <c r="E4643" s="227" t="n"/>
      <c r="F4643" s="227" t="n"/>
      <c r="G4643" s="227" t="n"/>
      <c r="H4643" s="227" t="n"/>
      <c r="I4643" s="227" t="n"/>
      <c r="J4643" s="227" t="n"/>
      <c r="K4643" s="227" t="n"/>
      <c r="L4643" s="227" t="n"/>
      <c r="M4643" s="227" t="n"/>
      <c r="N4643" s="127" t="n"/>
      <c r="O4643" s="227" t="n"/>
      <c r="P4643" s="227" t="n"/>
      <c r="Q4643" s="227" t="n"/>
      <c r="R4643" s="227" t="n"/>
      <c r="S4643" s="227" t="n"/>
      <c r="T4643" s="227" t="n"/>
    </row>
    <row r="4644">
      <c r="A4644" s="145">
        <f>IF($B4644="","",ROW()-5)</f>
        <v/>
      </c>
      <c r="B4644" s="127" t="n"/>
      <c r="C4644" s="223" t="n"/>
      <c r="D4644" s="127" t="n"/>
      <c r="E4644" s="227" t="n"/>
      <c r="F4644" s="227" t="n"/>
      <c r="G4644" s="227" t="n"/>
      <c r="H4644" s="227" t="n"/>
      <c r="I4644" s="227" t="n"/>
      <c r="J4644" s="227" t="n"/>
      <c r="K4644" s="227" t="n"/>
      <c r="L4644" s="227" t="n"/>
      <c r="M4644" s="227" t="n"/>
      <c r="N4644" s="127" t="n"/>
      <c r="O4644" s="227" t="n"/>
      <c r="P4644" s="227" t="n"/>
      <c r="Q4644" s="227" t="n"/>
      <c r="R4644" s="227" t="n"/>
      <c r="S4644" s="227" t="n"/>
      <c r="T4644" s="227" t="n"/>
    </row>
    <row r="4645">
      <c r="A4645" s="145">
        <f>IF($B4645="","",ROW()-5)</f>
        <v/>
      </c>
      <c r="B4645" s="127" t="n"/>
      <c r="C4645" s="223" t="n"/>
      <c r="D4645" s="127" t="n"/>
      <c r="E4645" s="227" t="n"/>
      <c r="F4645" s="227" t="n"/>
      <c r="G4645" s="227" t="n"/>
      <c r="H4645" s="227" t="n"/>
      <c r="I4645" s="227" t="n"/>
      <c r="J4645" s="227" t="n"/>
      <c r="K4645" s="227" t="n"/>
      <c r="L4645" s="227" t="n"/>
      <c r="M4645" s="227" t="n"/>
      <c r="N4645" s="127" t="n"/>
      <c r="O4645" s="227" t="n"/>
      <c r="P4645" s="227" t="n"/>
      <c r="Q4645" s="227" t="n"/>
      <c r="R4645" s="227" t="n"/>
      <c r="S4645" s="227" t="n"/>
      <c r="T4645" s="227" t="n"/>
    </row>
    <row r="4646">
      <c r="A4646" s="145">
        <f>IF($B4646="","",ROW()-5)</f>
        <v/>
      </c>
      <c r="B4646" s="127" t="n"/>
      <c r="C4646" s="223" t="n"/>
      <c r="D4646" s="127" t="n"/>
      <c r="E4646" s="227" t="n"/>
      <c r="F4646" s="227" t="n"/>
      <c r="G4646" s="227" t="n"/>
      <c r="H4646" s="227" t="n"/>
      <c r="I4646" s="227" t="n"/>
      <c r="J4646" s="227" t="n"/>
      <c r="K4646" s="227" t="n"/>
      <c r="L4646" s="227" t="n"/>
      <c r="M4646" s="227" t="n"/>
      <c r="N4646" s="127" t="n"/>
      <c r="O4646" s="227" t="n"/>
      <c r="P4646" s="227" t="n"/>
      <c r="Q4646" s="227" t="n"/>
      <c r="R4646" s="227" t="n"/>
      <c r="S4646" s="227" t="n"/>
      <c r="T4646" s="227" t="n"/>
    </row>
    <row r="4647">
      <c r="A4647" s="145">
        <f>IF($B4647="","",ROW()-5)</f>
        <v/>
      </c>
      <c r="B4647" s="127" t="n"/>
      <c r="C4647" s="223" t="n"/>
      <c r="D4647" s="127" t="n"/>
      <c r="E4647" s="227" t="n"/>
      <c r="F4647" s="227" t="n"/>
      <c r="G4647" s="227" t="n"/>
      <c r="H4647" s="227" t="n"/>
      <c r="I4647" s="227" t="n"/>
      <c r="J4647" s="227" t="n"/>
      <c r="K4647" s="227" t="n"/>
      <c r="L4647" s="227" t="n"/>
      <c r="M4647" s="227" t="n"/>
      <c r="N4647" s="127" t="n"/>
      <c r="O4647" s="227" t="n"/>
      <c r="P4647" s="227" t="n"/>
      <c r="Q4647" s="227" t="n"/>
      <c r="R4647" s="227" t="n"/>
      <c r="S4647" s="227" t="n"/>
      <c r="T4647" s="227" t="n"/>
    </row>
    <row r="4648">
      <c r="A4648" s="145">
        <f>IF($B4648="","",ROW()-5)</f>
        <v/>
      </c>
      <c r="B4648" s="127" t="n"/>
      <c r="C4648" s="223" t="n"/>
      <c r="D4648" s="127" t="n"/>
      <c r="E4648" s="227" t="n"/>
      <c r="F4648" s="227" t="n"/>
      <c r="G4648" s="227" t="n"/>
      <c r="H4648" s="227" t="n"/>
      <c r="I4648" s="227" t="n"/>
      <c r="J4648" s="227" t="n"/>
      <c r="K4648" s="227" t="n"/>
      <c r="L4648" s="227" t="n"/>
      <c r="M4648" s="227" t="n"/>
      <c r="N4648" s="127" t="n"/>
      <c r="O4648" s="227" t="n"/>
      <c r="P4648" s="227" t="n"/>
      <c r="Q4648" s="227" t="n"/>
      <c r="R4648" s="227" t="n"/>
      <c r="S4648" s="227" t="n"/>
      <c r="T4648" s="227" t="n"/>
    </row>
    <row r="4649">
      <c r="A4649" s="145">
        <f>IF($B4649="","",ROW()-5)</f>
        <v/>
      </c>
      <c r="B4649" s="127" t="n"/>
      <c r="C4649" s="223" t="n"/>
      <c r="D4649" s="127" t="n"/>
      <c r="E4649" s="227" t="n"/>
      <c r="F4649" s="227" t="n"/>
      <c r="G4649" s="227" t="n"/>
      <c r="H4649" s="227" t="n"/>
      <c r="I4649" s="227" t="n"/>
      <c r="J4649" s="227" t="n"/>
      <c r="K4649" s="227" t="n"/>
      <c r="L4649" s="227" t="n"/>
      <c r="M4649" s="227" t="n"/>
      <c r="N4649" s="127" t="n"/>
      <c r="O4649" s="227" t="n"/>
      <c r="P4649" s="227" t="n"/>
      <c r="Q4649" s="227" t="n"/>
      <c r="R4649" s="227" t="n"/>
      <c r="S4649" s="227" t="n"/>
      <c r="T4649" s="227" t="n"/>
    </row>
    <row r="4650">
      <c r="A4650" s="145">
        <f>IF($B4650="","",ROW()-5)</f>
        <v/>
      </c>
      <c r="B4650" s="127" t="n"/>
      <c r="C4650" s="223" t="n"/>
      <c r="D4650" s="127" t="n"/>
      <c r="E4650" s="227" t="n"/>
      <c r="F4650" s="227" t="n"/>
      <c r="G4650" s="227" t="n"/>
      <c r="H4650" s="227" t="n"/>
      <c r="I4650" s="227" t="n"/>
      <c r="J4650" s="227" t="n"/>
      <c r="K4650" s="227" t="n"/>
      <c r="L4650" s="227" t="n"/>
      <c r="M4650" s="227" t="n"/>
      <c r="N4650" s="127" t="n"/>
      <c r="O4650" s="227" t="n"/>
      <c r="P4650" s="227" t="n"/>
      <c r="Q4650" s="227" t="n"/>
      <c r="R4650" s="227" t="n"/>
      <c r="S4650" s="227" t="n"/>
      <c r="T4650" s="227" t="n"/>
    </row>
    <row r="4651">
      <c r="A4651" s="145">
        <f>IF($B4651="","",ROW()-5)</f>
        <v/>
      </c>
      <c r="B4651" s="127" t="n"/>
      <c r="C4651" s="223" t="n"/>
      <c r="D4651" s="127" t="n"/>
      <c r="E4651" s="227" t="n"/>
      <c r="F4651" s="227" t="n"/>
      <c r="G4651" s="227" t="n"/>
      <c r="H4651" s="227" t="n"/>
      <c r="I4651" s="227" t="n"/>
      <c r="J4651" s="227" t="n"/>
      <c r="K4651" s="227" t="n"/>
      <c r="L4651" s="227" t="n"/>
      <c r="M4651" s="227" t="n"/>
      <c r="N4651" s="127" t="n"/>
      <c r="O4651" s="227" t="n"/>
      <c r="P4651" s="227" t="n"/>
      <c r="Q4651" s="227" t="n"/>
      <c r="R4651" s="227" t="n"/>
      <c r="S4651" s="227" t="n"/>
      <c r="T4651" s="227" t="n"/>
    </row>
    <row r="4652">
      <c r="A4652" s="145">
        <f>IF($B4652="","",ROW()-5)</f>
        <v/>
      </c>
      <c r="B4652" s="127" t="n"/>
      <c r="C4652" s="223" t="n"/>
      <c r="D4652" s="127" t="n"/>
      <c r="E4652" s="227" t="n"/>
      <c r="F4652" s="227" t="n"/>
      <c r="G4652" s="227" t="n"/>
      <c r="H4652" s="227" t="n"/>
      <c r="I4652" s="227" t="n"/>
      <c r="J4652" s="227" t="n"/>
      <c r="K4652" s="227" t="n"/>
      <c r="L4652" s="227" t="n"/>
      <c r="M4652" s="227" t="n"/>
      <c r="N4652" s="127" t="n"/>
      <c r="O4652" s="227" t="n"/>
      <c r="P4652" s="227" t="n"/>
      <c r="Q4652" s="227" t="n"/>
      <c r="R4652" s="227" t="n"/>
      <c r="S4652" s="227" t="n"/>
      <c r="T4652" s="227" t="n"/>
    </row>
    <row r="4653">
      <c r="A4653" s="145">
        <f>IF($B4653="","",ROW()-5)</f>
        <v/>
      </c>
      <c r="B4653" s="127" t="n"/>
      <c r="C4653" s="223" t="n"/>
      <c r="D4653" s="127" t="n"/>
      <c r="E4653" s="227" t="n"/>
      <c r="F4653" s="227" t="n"/>
      <c r="G4653" s="227" t="n"/>
      <c r="H4653" s="227" t="n"/>
      <c r="I4653" s="227" t="n"/>
      <c r="J4653" s="227" t="n"/>
      <c r="K4653" s="227" t="n"/>
      <c r="L4653" s="227" t="n"/>
      <c r="M4653" s="227" t="n"/>
      <c r="N4653" s="127" t="n"/>
      <c r="O4653" s="227" t="n"/>
      <c r="P4653" s="227" t="n"/>
      <c r="Q4653" s="227" t="n"/>
      <c r="R4653" s="227" t="n"/>
      <c r="S4653" s="227" t="n"/>
      <c r="T4653" s="227" t="n"/>
    </row>
    <row r="4654">
      <c r="A4654" s="145">
        <f>IF($B4654="","",ROW()-5)</f>
        <v/>
      </c>
      <c r="B4654" s="127" t="n"/>
      <c r="C4654" s="223" t="n"/>
      <c r="D4654" s="127" t="n"/>
      <c r="E4654" s="227" t="n"/>
      <c r="F4654" s="227" t="n"/>
      <c r="G4654" s="227" t="n"/>
      <c r="H4654" s="227" t="n"/>
      <c r="I4654" s="227" t="n"/>
      <c r="J4654" s="227" t="n"/>
      <c r="K4654" s="227" t="n"/>
      <c r="L4654" s="227" t="n"/>
      <c r="M4654" s="227" t="n"/>
      <c r="N4654" s="127" t="n"/>
      <c r="O4654" s="227" t="n"/>
      <c r="P4654" s="227" t="n"/>
      <c r="Q4654" s="227" t="n"/>
      <c r="R4654" s="227" t="n"/>
      <c r="S4654" s="227" t="n"/>
      <c r="T4654" s="227" t="n"/>
    </row>
    <row r="4655">
      <c r="A4655" s="145">
        <f>IF($B4655="","",ROW()-5)</f>
        <v/>
      </c>
      <c r="B4655" s="127" t="n"/>
      <c r="C4655" s="223" t="n"/>
      <c r="D4655" s="127" t="n"/>
      <c r="E4655" s="227" t="n"/>
      <c r="F4655" s="227" t="n"/>
      <c r="G4655" s="227" t="n"/>
      <c r="H4655" s="227" t="n"/>
      <c r="I4655" s="227" t="n"/>
      <c r="J4655" s="227" t="n"/>
      <c r="K4655" s="227" t="n"/>
      <c r="L4655" s="227" t="n"/>
      <c r="M4655" s="227" t="n"/>
      <c r="N4655" s="127" t="n"/>
      <c r="O4655" s="227" t="n"/>
      <c r="P4655" s="227" t="n"/>
      <c r="Q4655" s="227" t="n"/>
      <c r="R4655" s="227" t="n"/>
      <c r="S4655" s="227" t="n"/>
      <c r="T4655" s="227" t="n"/>
    </row>
  </sheetData>
  <mergeCells count="2">
    <mergeCell ref="A1:T1"/>
    <mergeCell ref="A2:T3"/>
  </mergeCells>
  <dataValidations count="1">
    <dataValidation sqref="D6:D4655" showDropDown="0" showInputMessage="0" showErrorMessage="0" allowBlank="0" type="list">
      <formula1>"X,P,L,KL,Ô,TS,CT,Khác"</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55"/>
  <sheetViews>
    <sheetView showGridLines="0" workbookViewId="0">
      <selection activeCell="A1" sqref="A1"/>
    </sheetView>
  </sheetViews>
  <sheetFormatPr baseColWidth="8" defaultRowHeight="15"/>
  <cols>
    <col width="6" customWidth="1" style="32" min="1" max="1"/>
    <col width="12" customWidth="1" style="32" min="2" max="2"/>
    <col width="24" customWidth="1" style="32" min="3" max="3"/>
    <col width="13" customWidth="1" style="32" min="4" max="4"/>
    <col width="16" customWidth="1" style="32" min="5" max="5"/>
    <col width="13" customWidth="1" style="32" min="6" max="6"/>
    <col width="14" customWidth="1" style="32" min="7" max="7"/>
    <col width="16" customWidth="1" style="32" min="8" max="8"/>
    <col width="14" customWidth="1" style="32" min="9" max="9"/>
    <col width="14" customWidth="1" style="32" min="10" max="10"/>
    <col width="13" customWidth="1" style="32" min="11" max="11"/>
    <col width="44" customWidth="1" style="32" min="12" max="12"/>
  </cols>
  <sheetData>
    <row r="1" ht="30" customHeight="1" s="32">
      <c r="A1" s="4" t="inlineStr">
        <is>
          <t>THEO DÕI PHÉP NĂM</t>
        </is>
      </c>
    </row>
    <row r="2">
      <c r="A2" s="96" t="inlineStr">
        <is>
          <t>Phép cơ bản lấy từ DM_NHAN_SU; nếu bỏ trống, file tạm dùng 12 ngày và cảnh báo. Người dùng phải điều chỉnh đối tượng 14/16 ngày, tỷ lệ làm chưa đủ 12 tháng, thâm niên, phép chuyển sang và quy chế doanh nghiệp. Cột J dùng cho mọi điều chỉnh tăng/giảm có hồ sơ.</t>
        </is>
      </c>
    </row>
    <row r="3"/>
    <row r="4"/>
    <row r="5" ht="48" customHeight="1" s="32">
      <c r="A5" s="156" t="inlineStr">
        <is>
          <t>STT</t>
        </is>
      </c>
      <c r="B5" s="156" t="inlineStr">
        <is>
          <t>Mã NV</t>
        </is>
      </c>
      <c r="C5" s="156" t="inlineStr">
        <is>
          <t>Họ và tên</t>
        </is>
      </c>
      <c r="D5" s="156" t="inlineStr">
        <is>
          <t>Phép cơ bản</t>
        </is>
      </c>
      <c r="E5" s="156" t="inlineStr">
        <is>
          <t>Tăng do thâm niên</t>
        </is>
      </c>
      <c r="F5" s="156" t="inlineStr">
        <is>
          <t>Chuyển sang</t>
        </is>
      </c>
      <c r="G5" s="156" t="inlineStr">
        <is>
          <t>Tổng quyền lợi</t>
        </is>
      </c>
      <c r="H5" s="156" t="inlineStr">
        <is>
          <t>Đã dùng trước kỳ</t>
        </is>
      </c>
      <c r="I5" s="156" t="inlineStr">
        <is>
          <t>Dùng trong kỳ</t>
        </is>
      </c>
      <c r="J5" s="156" t="inlineStr">
        <is>
          <t>Điều chỉnh +/-</t>
        </is>
      </c>
      <c r="K5" s="156" t="inlineStr">
        <is>
          <t>Còn lại</t>
        </is>
      </c>
      <c r="L5" s="156" t="inlineStr">
        <is>
          <t>Cảnh báo</t>
        </is>
      </c>
    </row>
    <row r="6">
      <c r="A6" s="145">
        <f>IF('DM_NHAN_SU'!$B6="","",ROW()-5)</f>
        <v/>
      </c>
      <c r="B6" s="145">
        <f>IF('DM_NHAN_SU'!$B6="","",'DM_NHAN_SU'!B6)</f>
        <v/>
      </c>
      <c r="C6" s="145">
        <f>IF('DM_NHAN_SU'!$B6="","",'DM_NHAN_SU'!C6)</f>
        <v/>
      </c>
      <c r="D6" s="232">
        <f>IF('DM_NHAN_SU'!$B6="","",IF('DM_NHAN_SU'!AD6&gt;0,'DM_NHAN_SU'!AD6,12))</f>
        <v/>
      </c>
      <c r="E6" s="232">
        <f>IF('DM_NHAN_SU'!$B6="","",'DM_NHAN_SU'!AE6)</f>
        <v/>
      </c>
      <c r="F6" s="232">
        <f>IF('DM_NHAN_SU'!$B6="","",'DM_NHAN_SU'!AF6)</f>
        <v/>
      </c>
      <c r="G6" s="232">
        <f>IF($B6="","",SUM($D6:$F6))</f>
        <v/>
      </c>
      <c r="H6" s="232">
        <f>IF('DM_NHAN_SU'!$B6="","",'DM_NHAN_SU'!AG6)</f>
        <v/>
      </c>
      <c r="I6" s="232">
        <f>IF('DM_NHAN_SU'!$B6="","",'CHAM_CONG_THANG'!AR6)</f>
        <v/>
      </c>
      <c r="J6" s="227" t="n"/>
      <c r="K6" s="232">
        <f>IF($B6="","",$G6-$H6-$I6+$J6)</f>
        <v/>
      </c>
      <c r="L6" s="150">
        <f>IF($B6="","",IF('DM_NHAN_SU'!AD6="","Đang tạm dùng 12 ngày; kiểm tra 14/16 ngày và tỷ lệ; ","")&amp;IF($K6&lt;0,"Số phép âm; ","")&amp;IF(AND('DM_NHAN_SU'!$F6&gt;'THAM_SO'!$B$6,'DM_NHAN_SU'!$F6&lt;='THAM_SO'!$B$7),"Nhân viên mới trong kỳ – kiểm tra phép tỷ lệ; ",""))</f>
        <v/>
      </c>
    </row>
    <row r="7">
      <c r="A7" s="145">
        <f>IF('DM_NHAN_SU'!$B7="","",ROW()-5)</f>
        <v/>
      </c>
      <c r="B7" s="145">
        <f>IF('DM_NHAN_SU'!$B7="","",'DM_NHAN_SU'!B7)</f>
        <v/>
      </c>
      <c r="C7" s="145">
        <f>IF('DM_NHAN_SU'!$B7="","",'DM_NHAN_SU'!C7)</f>
        <v/>
      </c>
      <c r="D7" s="232">
        <f>IF('DM_NHAN_SU'!$B7="","",IF('DM_NHAN_SU'!AD7&gt;0,'DM_NHAN_SU'!AD7,12))</f>
        <v/>
      </c>
      <c r="E7" s="232">
        <f>IF('DM_NHAN_SU'!$B7="","",'DM_NHAN_SU'!AE7)</f>
        <v/>
      </c>
      <c r="F7" s="232">
        <f>IF('DM_NHAN_SU'!$B7="","",'DM_NHAN_SU'!AF7)</f>
        <v/>
      </c>
      <c r="G7" s="232">
        <f>IF($B7="","",SUM($D7:$F7))</f>
        <v/>
      </c>
      <c r="H7" s="232">
        <f>IF('DM_NHAN_SU'!$B7="","",'DM_NHAN_SU'!AG7)</f>
        <v/>
      </c>
      <c r="I7" s="232">
        <f>IF('DM_NHAN_SU'!$B7="","",'CHAM_CONG_THANG'!AR7)</f>
        <v/>
      </c>
      <c r="J7" s="227" t="n"/>
      <c r="K7" s="232">
        <f>IF($B7="","",$G7-$H7-$I7+$J7)</f>
        <v/>
      </c>
      <c r="L7" s="150">
        <f>IF($B7="","",IF('DM_NHAN_SU'!AD7="","Đang tạm dùng 12 ngày; kiểm tra 14/16 ngày và tỷ lệ; ","")&amp;IF($K7&lt;0,"Số phép âm; ","")&amp;IF(AND('DM_NHAN_SU'!$F7&gt;'THAM_SO'!$B$6,'DM_NHAN_SU'!$F7&lt;='THAM_SO'!$B$7),"Nhân viên mới trong kỳ – kiểm tra phép tỷ lệ; ",""))</f>
        <v/>
      </c>
    </row>
    <row r="8">
      <c r="A8" s="145">
        <f>IF('DM_NHAN_SU'!$B8="","",ROW()-5)</f>
        <v/>
      </c>
      <c r="B8" s="145">
        <f>IF('DM_NHAN_SU'!$B8="","",'DM_NHAN_SU'!B8)</f>
        <v/>
      </c>
      <c r="C8" s="145">
        <f>IF('DM_NHAN_SU'!$B8="","",'DM_NHAN_SU'!C8)</f>
        <v/>
      </c>
      <c r="D8" s="232">
        <f>IF('DM_NHAN_SU'!$B8="","",IF('DM_NHAN_SU'!AD8&gt;0,'DM_NHAN_SU'!AD8,12))</f>
        <v/>
      </c>
      <c r="E8" s="232">
        <f>IF('DM_NHAN_SU'!$B8="","",'DM_NHAN_SU'!AE8)</f>
        <v/>
      </c>
      <c r="F8" s="232">
        <f>IF('DM_NHAN_SU'!$B8="","",'DM_NHAN_SU'!AF8)</f>
        <v/>
      </c>
      <c r="G8" s="232">
        <f>IF($B8="","",SUM($D8:$F8))</f>
        <v/>
      </c>
      <c r="H8" s="232">
        <f>IF('DM_NHAN_SU'!$B8="","",'DM_NHAN_SU'!AG8)</f>
        <v/>
      </c>
      <c r="I8" s="232">
        <f>IF('DM_NHAN_SU'!$B8="","",'CHAM_CONG_THANG'!AR8)</f>
        <v/>
      </c>
      <c r="J8" s="227" t="n"/>
      <c r="K8" s="232">
        <f>IF($B8="","",$G8-$H8-$I8+$J8)</f>
        <v/>
      </c>
      <c r="L8" s="150">
        <f>IF($B8="","",IF('DM_NHAN_SU'!AD8="","Đang tạm dùng 12 ngày; kiểm tra 14/16 ngày và tỷ lệ; ","")&amp;IF($K8&lt;0,"Số phép âm; ","")&amp;IF(AND('DM_NHAN_SU'!$F8&gt;'THAM_SO'!$B$6,'DM_NHAN_SU'!$F8&lt;='THAM_SO'!$B$7),"Nhân viên mới trong kỳ – kiểm tra phép tỷ lệ; ",""))</f>
        <v/>
      </c>
    </row>
    <row r="9">
      <c r="A9" s="145">
        <f>IF('DM_NHAN_SU'!$B9="","",ROW()-5)</f>
        <v/>
      </c>
      <c r="B9" s="145">
        <f>IF('DM_NHAN_SU'!$B9="","",'DM_NHAN_SU'!B9)</f>
        <v/>
      </c>
      <c r="C9" s="145">
        <f>IF('DM_NHAN_SU'!$B9="","",'DM_NHAN_SU'!C9)</f>
        <v/>
      </c>
      <c r="D9" s="232">
        <f>IF('DM_NHAN_SU'!$B9="","",IF('DM_NHAN_SU'!AD9&gt;0,'DM_NHAN_SU'!AD9,12))</f>
        <v/>
      </c>
      <c r="E9" s="232">
        <f>IF('DM_NHAN_SU'!$B9="","",'DM_NHAN_SU'!AE9)</f>
        <v/>
      </c>
      <c r="F9" s="232">
        <f>IF('DM_NHAN_SU'!$B9="","",'DM_NHAN_SU'!AF9)</f>
        <v/>
      </c>
      <c r="G9" s="232">
        <f>IF($B9="","",SUM($D9:$F9))</f>
        <v/>
      </c>
      <c r="H9" s="232">
        <f>IF('DM_NHAN_SU'!$B9="","",'DM_NHAN_SU'!AG9)</f>
        <v/>
      </c>
      <c r="I9" s="232">
        <f>IF('DM_NHAN_SU'!$B9="","",'CHAM_CONG_THANG'!AR9)</f>
        <v/>
      </c>
      <c r="J9" s="227" t="n"/>
      <c r="K9" s="232">
        <f>IF($B9="","",$G9-$H9-$I9+$J9)</f>
        <v/>
      </c>
      <c r="L9" s="150">
        <f>IF($B9="","",IF('DM_NHAN_SU'!AD9="","Đang tạm dùng 12 ngày; kiểm tra 14/16 ngày và tỷ lệ; ","")&amp;IF($K9&lt;0,"Số phép âm; ","")&amp;IF(AND('DM_NHAN_SU'!$F9&gt;'THAM_SO'!$B$6,'DM_NHAN_SU'!$F9&lt;='THAM_SO'!$B$7),"Nhân viên mới trong kỳ – kiểm tra phép tỷ lệ; ",""))</f>
        <v/>
      </c>
    </row>
    <row r="10">
      <c r="A10" s="145">
        <f>IF('DM_NHAN_SU'!$B10="","",ROW()-5)</f>
        <v/>
      </c>
      <c r="B10" s="145">
        <f>IF('DM_NHAN_SU'!$B10="","",'DM_NHAN_SU'!B10)</f>
        <v/>
      </c>
      <c r="C10" s="145">
        <f>IF('DM_NHAN_SU'!$B10="","",'DM_NHAN_SU'!C10)</f>
        <v/>
      </c>
      <c r="D10" s="232">
        <f>IF('DM_NHAN_SU'!$B10="","",IF('DM_NHAN_SU'!AD10&gt;0,'DM_NHAN_SU'!AD10,12))</f>
        <v/>
      </c>
      <c r="E10" s="232">
        <f>IF('DM_NHAN_SU'!$B10="","",'DM_NHAN_SU'!AE10)</f>
        <v/>
      </c>
      <c r="F10" s="232">
        <f>IF('DM_NHAN_SU'!$B10="","",'DM_NHAN_SU'!AF10)</f>
        <v/>
      </c>
      <c r="G10" s="232">
        <f>IF($B10="","",SUM($D10:$F10))</f>
        <v/>
      </c>
      <c r="H10" s="232">
        <f>IF('DM_NHAN_SU'!$B10="","",'DM_NHAN_SU'!AG10)</f>
        <v/>
      </c>
      <c r="I10" s="232">
        <f>IF('DM_NHAN_SU'!$B10="","",'CHAM_CONG_THANG'!AR10)</f>
        <v/>
      </c>
      <c r="J10" s="227" t="n"/>
      <c r="K10" s="232">
        <f>IF($B10="","",$G10-$H10-$I10+$J10)</f>
        <v/>
      </c>
      <c r="L10" s="150">
        <f>IF($B10="","",IF('DM_NHAN_SU'!AD10="","Đang tạm dùng 12 ngày; kiểm tra 14/16 ngày và tỷ lệ; ","")&amp;IF($K10&lt;0,"Số phép âm; ","")&amp;IF(AND('DM_NHAN_SU'!$F10&gt;'THAM_SO'!$B$6,'DM_NHAN_SU'!$F10&lt;='THAM_SO'!$B$7),"Nhân viên mới trong kỳ – kiểm tra phép tỷ lệ; ",""))</f>
        <v/>
      </c>
    </row>
    <row r="11">
      <c r="A11" s="145">
        <f>IF('DM_NHAN_SU'!$B11="","",ROW()-5)</f>
        <v/>
      </c>
      <c r="B11" s="145">
        <f>IF('DM_NHAN_SU'!$B11="","",'DM_NHAN_SU'!B11)</f>
        <v/>
      </c>
      <c r="C11" s="145">
        <f>IF('DM_NHAN_SU'!$B11="","",'DM_NHAN_SU'!C11)</f>
        <v/>
      </c>
      <c r="D11" s="232">
        <f>IF('DM_NHAN_SU'!$B11="","",IF('DM_NHAN_SU'!AD11&gt;0,'DM_NHAN_SU'!AD11,12))</f>
        <v/>
      </c>
      <c r="E11" s="232">
        <f>IF('DM_NHAN_SU'!$B11="","",'DM_NHAN_SU'!AE11)</f>
        <v/>
      </c>
      <c r="F11" s="232">
        <f>IF('DM_NHAN_SU'!$B11="","",'DM_NHAN_SU'!AF11)</f>
        <v/>
      </c>
      <c r="G11" s="232">
        <f>IF($B11="","",SUM($D11:$F11))</f>
        <v/>
      </c>
      <c r="H11" s="232">
        <f>IF('DM_NHAN_SU'!$B11="","",'DM_NHAN_SU'!AG11)</f>
        <v/>
      </c>
      <c r="I11" s="232">
        <f>IF('DM_NHAN_SU'!$B11="","",'CHAM_CONG_THANG'!AR11)</f>
        <v/>
      </c>
      <c r="J11" s="227" t="n"/>
      <c r="K11" s="232">
        <f>IF($B11="","",$G11-$H11-$I11+$J11)</f>
        <v/>
      </c>
      <c r="L11" s="150">
        <f>IF($B11="","",IF('DM_NHAN_SU'!AD11="","Đang tạm dùng 12 ngày; kiểm tra 14/16 ngày và tỷ lệ; ","")&amp;IF($K11&lt;0,"Số phép âm; ","")&amp;IF(AND('DM_NHAN_SU'!$F11&gt;'THAM_SO'!$B$6,'DM_NHAN_SU'!$F11&lt;='THAM_SO'!$B$7),"Nhân viên mới trong kỳ – kiểm tra phép tỷ lệ; ",""))</f>
        <v/>
      </c>
    </row>
    <row r="12">
      <c r="A12" s="145">
        <f>IF('DM_NHAN_SU'!$B12="","",ROW()-5)</f>
        <v/>
      </c>
      <c r="B12" s="145">
        <f>IF('DM_NHAN_SU'!$B12="","",'DM_NHAN_SU'!B12)</f>
        <v/>
      </c>
      <c r="C12" s="145">
        <f>IF('DM_NHAN_SU'!$B12="","",'DM_NHAN_SU'!C12)</f>
        <v/>
      </c>
      <c r="D12" s="232">
        <f>IF('DM_NHAN_SU'!$B12="","",IF('DM_NHAN_SU'!AD12&gt;0,'DM_NHAN_SU'!AD12,12))</f>
        <v/>
      </c>
      <c r="E12" s="232">
        <f>IF('DM_NHAN_SU'!$B12="","",'DM_NHAN_SU'!AE12)</f>
        <v/>
      </c>
      <c r="F12" s="232">
        <f>IF('DM_NHAN_SU'!$B12="","",'DM_NHAN_SU'!AF12)</f>
        <v/>
      </c>
      <c r="G12" s="232">
        <f>IF($B12="","",SUM($D12:$F12))</f>
        <v/>
      </c>
      <c r="H12" s="232">
        <f>IF('DM_NHAN_SU'!$B12="","",'DM_NHAN_SU'!AG12)</f>
        <v/>
      </c>
      <c r="I12" s="232">
        <f>IF('DM_NHAN_SU'!$B12="","",'CHAM_CONG_THANG'!AR12)</f>
        <v/>
      </c>
      <c r="J12" s="227" t="n"/>
      <c r="K12" s="232">
        <f>IF($B12="","",$G12-$H12-$I12+$J12)</f>
        <v/>
      </c>
      <c r="L12" s="150">
        <f>IF($B12="","",IF('DM_NHAN_SU'!AD12="","Đang tạm dùng 12 ngày; kiểm tra 14/16 ngày và tỷ lệ; ","")&amp;IF($K12&lt;0,"Số phép âm; ","")&amp;IF(AND('DM_NHAN_SU'!$F12&gt;'THAM_SO'!$B$6,'DM_NHAN_SU'!$F12&lt;='THAM_SO'!$B$7),"Nhân viên mới trong kỳ – kiểm tra phép tỷ lệ; ",""))</f>
        <v/>
      </c>
    </row>
    <row r="13">
      <c r="A13" s="145">
        <f>IF('DM_NHAN_SU'!$B13="","",ROW()-5)</f>
        <v/>
      </c>
      <c r="B13" s="145">
        <f>IF('DM_NHAN_SU'!$B13="","",'DM_NHAN_SU'!B13)</f>
        <v/>
      </c>
      <c r="C13" s="145">
        <f>IF('DM_NHAN_SU'!$B13="","",'DM_NHAN_SU'!C13)</f>
        <v/>
      </c>
      <c r="D13" s="232">
        <f>IF('DM_NHAN_SU'!$B13="","",IF('DM_NHAN_SU'!AD13&gt;0,'DM_NHAN_SU'!AD13,12))</f>
        <v/>
      </c>
      <c r="E13" s="232">
        <f>IF('DM_NHAN_SU'!$B13="","",'DM_NHAN_SU'!AE13)</f>
        <v/>
      </c>
      <c r="F13" s="232">
        <f>IF('DM_NHAN_SU'!$B13="","",'DM_NHAN_SU'!AF13)</f>
        <v/>
      </c>
      <c r="G13" s="232">
        <f>IF($B13="","",SUM($D13:$F13))</f>
        <v/>
      </c>
      <c r="H13" s="232">
        <f>IF('DM_NHAN_SU'!$B13="","",'DM_NHAN_SU'!AG13)</f>
        <v/>
      </c>
      <c r="I13" s="232">
        <f>IF('DM_NHAN_SU'!$B13="","",'CHAM_CONG_THANG'!AR13)</f>
        <v/>
      </c>
      <c r="J13" s="227" t="n"/>
      <c r="K13" s="232">
        <f>IF($B13="","",$G13-$H13-$I13+$J13)</f>
        <v/>
      </c>
      <c r="L13" s="150">
        <f>IF($B13="","",IF('DM_NHAN_SU'!AD13="","Đang tạm dùng 12 ngày; kiểm tra 14/16 ngày và tỷ lệ; ","")&amp;IF($K13&lt;0,"Số phép âm; ","")&amp;IF(AND('DM_NHAN_SU'!$F13&gt;'THAM_SO'!$B$6,'DM_NHAN_SU'!$F13&lt;='THAM_SO'!$B$7),"Nhân viên mới trong kỳ – kiểm tra phép tỷ lệ; ",""))</f>
        <v/>
      </c>
    </row>
    <row r="14">
      <c r="A14" s="145">
        <f>IF('DM_NHAN_SU'!$B14="","",ROW()-5)</f>
        <v/>
      </c>
      <c r="B14" s="145">
        <f>IF('DM_NHAN_SU'!$B14="","",'DM_NHAN_SU'!B14)</f>
        <v/>
      </c>
      <c r="C14" s="145">
        <f>IF('DM_NHAN_SU'!$B14="","",'DM_NHAN_SU'!C14)</f>
        <v/>
      </c>
      <c r="D14" s="232">
        <f>IF('DM_NHAN_SU'!$B14="","",IF('DM_NHAN_SU'!AD14&gt;0,'DM_NHAN_SU'!AD14,12))</f>
        <v/>
      </c>
      <c r="E14" s="232">
        <f>IF('DM_NHAN_SU'!$B14="","",'DM_NHAN_SU'!AE14)</f>
        <v/>
      </c>
      <c r="F14" s="232">
        <f>IF('DM_NHAN_SU'!$B14="","",'DM_NHAN_SU'!AF14)</f>
        <v/>
      </c>
      <c r="G14" s="232">
        <f>IF($B14="","",SUM($D14:$F14))</f>
        <v/>
      </c>
      <c r="H14" s="232">
        <f>IF('DM_NHAN_SU'!$B14="","",'DM_NHAN_SU'!AG14)</f>
        <v/>
      </c>
      <c r="I14" s="232">
        <f>IF('DM_NHAN_SU'!$B14="","",'CHAM_CONG_THANG'!AR14)</f>
        <v/>
      </c>
      <c r="J14" s="227" t="n"/>
      <c r="K14" s="232">
        <f>IF($B14="","",$G14-$H14-$I14+$J14)</f>
        <v/>
      </c>
      <c r="L14" s="150">
        <f>IF($B14="","",IF('DM_NHAN_SU'!AD14="","Đang tạm dùng 12 ngày; kiểm tra 14/16 ngày và tỷ lệ; ","")&amp;IF($K14&lt;0,"Số phép âm; ","")&amp;IF(AND('DM_NHAN_SU'!$F14&gt;'THAM_SO'!$B$6,'DM_NHAN_SU'!$F14&lt;='THAM_SO'!$B$7),"Nhân viên mới trong kỳ – kiểm tra phép tỷ lệ; ",""))</f>
        <v/>
      </c>
    </row>
    <row r="15">
      <c r="A15" s="145">
        <f>IF('DM_NHAN_SU'!$B15="","",ROW()-5)</f>
        <v/>
      </c>
      <c r="B15" s="145">
        <f>IF('DM_NHAN_SU'!$B15="","",'DM_NHAN_SU'!B15)</f>
        <v/>
      </c>
      <c r="C15" s="145">
        <f>IF('DM_NHAN_SU'!$B15="","",'DM_NHAN_SU'!C15)</f>
        <v/>
      </c>
      <c r="D15" s="232">
        <f>IF('DM_NHAN_SU'!$B15="","",IF('DM_NHAN_SU'!AD15&gt;0,'DM_NHAN_SU'!AD15,12))</f>
        <v/>
      </c>
      <c r="E15" s="232">
        <f>IF('DM_NHAN_SU'!$B15="","",'DM_NHAN_SU'!AE15)</f>
        <v/>
      </c>
      <c r="F15" s="232">
        <f>IF('DM_NHAN_SU'!$B15="","",'DM_NHAN_SU'!AF15)</f>
        <v/>
      </c>
      <c r="G15" s="232">
        <f>IF($B15="","",SUM($D15:$F15))</f>
        <v/>
      </c>
      <c r="H15" s="232">
        <f>IF('DM_NHAN_SU'!$B15="","",'DM_NHAN_SU'!AG15)</f>
        <v/>
      </c>
      <c r="I15" s="232">
        <f>IF('DM_NHAN_SU'!$B15="","",'CHAM_CONG_THANG'!AR15)</f>
        <v/>
      </c>
      <c r="J15" s="227" t="n"/>
      <c r="K15" s="232">
        <f>IF($B15="","",$G15-$H15-$I15+$J15)</f>
        <v/>
      </c>
      <c r="L15" s="150">
        <f>IF($B15="","",IF('DM_NHAN_SU'!AD15="","Đang tạm dùng 12 ngày; kiểm tra 14/16 ngày và tỷ lệ; ","")&amp;IF($K15&lt;0,"Số phép âm; ","")&amp;IF(AND('DM_NHAN_SU'!$F15&gt;'THAM_SO'!$B$6,'DM_NHAN_SU'!$F15&lt;='THAM_SO'!$B$7),"Nhân viên mới trong kỳ – kiểm tra phép tỷ lệ; ",""))</f>
        <v/>
      </c>
    </row>
    <row r="16">
      <c r="A16" s="145">
        <f>IF('DM_NHAN_SU'!$B16="","",ROW()-5)</f>
        <v/>
      </c>
      <c r="B16" s="145">
        <f>IF('DM_NHAN_SU'!$B16="","",'DM_NHAN_SU'!B16)</f>
        <v/>
      </c>
      <c r="C16" s="145">
        <f>IF('DM_NHAN_SU'!$B16="","",'DM_NHAN_SU'!C16)</f>
        <v/>
      </c>
      <c r="D16" s="232">
        <f>IF('DM_NHAN_SU'!$B16="","",IF('DM_NHAN_SU'!AD16&gt;0,'DM_NHAN_SU'!AD16,12))</f>
        <v/>
      </c>
      <c r="E16" s="232">
        <f>IF('DM_NHAN_SU'!$B16="","",'DM_NHAN_SU'!AE16)</f>
        <v/>
      </c>
      <c r="F16" s="232">
        <f>IF('DM_NHAN_SU'!$B16="","",'DM_NHAN_SU'!AF16)</f>
        <v/>
      </c>
      <c r="G16" s="232">
        <f>IF($B16="","",SUM($D16:$F16))</f>
        <v/>
      </c>
      <c r="H16" s="232">
        <f>IF('DM_NHAN_SU'!$B16="","",'DM_NHAN_SU'!AG16)</f>
        <v/>
      </c>
      <c r="I16" s="232">
        <f>IF('DM_NHAN_SU'!$B16="","",'CHAM_CONG_THANG'!AR16)</f>
        <v/>
      </c>
      <c r="J16" s="227" t="n"/>
      <c r="K16" s="232">
        <f>IF($B16="","",$G16-$H16-$I16+$J16)</f>
        <v/>
      </c>
      <c r="L16" s="150">
        <f>IF($B16="","",IF('DM_NHAN_SU'!AD16="","Đang tạm dùng 12 ngày; kiểm tra 14/16 ngày và tỷ lệ; ","")&amp;IF($K16&lt;0,"Số phép âm; ","")&amp;IF(AND('DM_NHAN_SU'!$F16&gt;'THAM_SO'!$B$6,'DM_NHAN_SU'!$F16&lt;='THAM_SO'!$B$7),"Nhân viên mới trong kỳ – kiểm tra phép tỷ lệ; ",""))</f>
        <v/>
      </c>
    </row>
    <row r="17">
      <c r="A17" s="145">
        <f>IF('DM_NHAN_SU'!$B17="","",ROW()-5)</f>
        <v/>
      </c>
      <c r="B17" s="145">
        <f>IF('DM_NHAN_SU'!$B17="","",'DM_NHAN_SU'!B17)</f>
        <v/>
      </c>
      <c r="C17" s="145">
        <f>IF('DM_NHAN_SU'!$B17="","",'DM_NHAN_SU'!C17)</f>
        <v/>
      </c>
      <c r="D17" s="232">
        <f>IF('DM_NHAN_SU'!$B17="","",IF('DM_NHAN_SU'!AD17&gt;0,'DM_NHAN_SU'!AD17,12))</f>
        <v/>
      </c>
      <c r="E17" s="232">
        <f>IF('DM_NHAN_SU'!$B17="","",'DM_NHAN_SU'!AE17)</f>
        <v/>
      </c>
      <c r="F17" s="232">
        <f>IF('DM_NHAN_SU'!$B17="","",'DM_NHAN_SU'!AF17)</f>
        <v/>
      </c>
      <c r="G17" s="232">
        <f>IF($B17="","",SUM($D17:$F17))</f>
        <v/>
      </c>
      <c r="H17" s="232">
        <f>IF('DM_NHAN_SU'!$B17="","",'DM_NHAN_SU'!AG17)</f>
        <v/>
      </c>
      <c r="I17" s="232">
        <f>IF('DM_NHAN_SU'!$B17="","",'CHAM_CONG_THANG'!AR17)</f>
        <v/>
      </c>
      <c r="J17" s="227" t="n"/>
      <c r="K17" s="232">
        <f>IF($B17="","",$G17-$H17-$I17+$J17)</f>
        <v/>
      </c>
      <c r="L17" s="150">
        <f>IF($B17="","",IF('DM_NHAN_SU'!AD17="","Đang tạm dùng 12 ngày; kiểm tra 14/16 ngày và tỷ lệ; ","")&amp;IF($K17&lt;0,"Số phép âm; ","")&amp;IF(AND('DM_NHAN_SU'!$F17&gt;'THAM_SO'!$B$6,'DM_NHAN_SU'!$F17&lt;='THAM_SO'!$B$7),"Nhân viên mới trong kỳ – kiểm tra phép tỷ lệ; ",""))</f>
        <v/>
      </c>
    </row>
    <row r="18">
      <c r="A18" s="145">
        <f>IF('DM_NHAN_SU'!$B18="","",ROW()-5)</f>
        <v/>
      </c>
      <c r="B18" s="145">
        <f>IF('DM_NHAN_SU'!$B18="","",'DM_NHAN_SU'!B18)</f>
        <v/>
      </c>
      <c r="C18" s="145">
        <f>IF('DM_NHAN_SU'!$B18="","",'DM_NHAN_SU'!C18)</f>
        <v/>
      </c>
      <c r="D18" s="232">
        <f>IF('DM_NHAN_SU'!$B18="","",IF('DM_NHAN_SU'!AD18&gt;0,'DM_NHAN_SU'!AD18,12))</f>
        <v/>
      </c>
      <c r="E18" s="232">
        <f>IF('DM_NHAN_SU'!$B18="","",'DM_NHAN_SU'!AE18)</f>
        <v/>
      </c>
      <c r="F18" s="232">
        <f>IF('DM_NHAN_SU'!$B18="","",'DM_NHAN_SU'!AF18)</f>
        <v/>
      </c>
      <c r="G18" s="232">
        <f>IF($B18="","",SUM($D18:$F18))</f>
        <v/>
      </c>
      <c r="H18" s="232">
        <f>IF('DM_NHAN_SU'!$B18="","",'DM_NHAN_SU'!AG18)</f>
        <v/>
      </c>
      <c r="I18" s="232">
        <f>IF('DM_NHAN_SU'!$B18="","",'CHAM_CONG_THANG'!AR18)</f>
        <v/>
      </c>
      <c r="J18" s="227" t="n"/>
      <c r="K18" s="232">
        <f>IF($B18="","",$G18-$H18-$I18+$J18)</f>
        <v/>
      </c>
      <c r="L18" s="150">
        <f>IF($B18="","",IF('DM_NHAN_SU'!AD18="","Đang tạm dùng 12 ngày; kiểm tra 14/16 ngày và tỷ lệ; ","")&amp;IF($K18&lt;0,"Số phép âm; ","")&amp;IF(AND('DM_NHAN_SU'!$F18&gt;'THAM_SO'!$B$6,'DM_NHAN_SU'!$F18&lt;='THAM_SO'!$B$7),"Nhân viên mới trong kỳ – kiểm tra phép tỷ lệ; ",""))</f>
        <v/>
      </c>
    </row>
    <row r="19">
      <c r="A19" s="145">
        <f>IF('DM_NHAN_SU'!$B19="","",ROW()-5)</f>
        <v/>
      </c>
      <c r="B19" s="145">
        <f>IF('DM_NHAN_SU'!$B19="","",'DM_NHAN_SU'!B19)</f>
        <v/>
      </c>
      <c r="C19" s="145">
        <f>IF('DM_NHAN_SU'!$B19="","",'DM_NHAN_SU'!C19)</f>
        <v/>
      </c>
      <c r="D19" s="232">
        <f>IF('DM_NHAN_SU'!$B19="","",IF('DM_NHAN_SU'!AD19&gt;0,'DM_NHAN_SU'!AD19,12))</f>
        <v/>
      </c>
      <c r="E19" s="232">
        <f>IF('DM_NHAN_SU'!$B19="","",'DM_NHAN_SU'!AE19)</f>
        <v/>
      </c>
      <c r="F19" s="232">
        <f>IF('DM_NHAN_SU'!$B19="","",'DM_NHAN_SU'!AF19)</f>
        <v/>
      </c>
      <c r="G19" s="232">
        <f>IF($B19="","",SUM($D19:$F19))</f>
        <v/>
      </c>
      <c r="H19" s="232">
        <f>IF('DM_NHAN_SU'!$B19="","",'DM_NHAN_SU'!AG19)</f>
        <v/>
      </c>
      <c r="I19" s="232">
        <f>IF('DM_NHAN_SU'!$B19="","",'CHAM_CONG_THANG'!AR19)</f>
        <v/>
      </c>
      <c r="J19" s="227" t="n"/>
      <c r="K19" s="232">
        <f>IF($B19="","",$G19-$H19-$I19+$J19)</f>
        <v/>
      </c>
      <c r="L19" s="150">
        <f>IF($B19="","",IF('DM_NHAN_SU'!AD19="","Đang tạm dùng 12 ngày; kiểm tra 14/16 ngày và tỷ lệ; ","")&amp;IF($K19&lt;0,"Số phép âm; ","")&amp;IF(AND('DM_NHAN_SU'!$F19&gt;'THAM_SO'!$B$6,'DM_NHAN_SU'!$F19&lt;='THAM_SO'!$B$7),"Nhân viên mới trong kỳ – kiểm tra phép tỷ lệ; ",""))</f>
        <v/>
      </c>
    </row>
    <row r="20">
      <c r="A20" s="145">
        <f>IF('DM_NHAN_SU'!$B20="","",ROW()-5)</f>
        <v/>
      </c>
      <c r="B20" s="145">
        <f>IF('DM_NHAN_SU'!$B20="","",'DM_NHAN_SU'!B20)</f>
        <v/>
      </c>
      <c r="C20" s="145">
        <f>IF('DM_NHAN_SU'!$B20="","",'DM_NHAN_SU'!C20)</f>
        <v/>
      </c>
      <c r="D20" s="232">
        <f>IF('DM_NHAN_SU'!$B20="","",IF('DM_NHAN_SU'!AD20&gt;0,'DM_NHAN_SU'!AD20,12))</f>
        <v/>
      </c>
      <c r="E20" s="232">
        <f>IF('DM_NHAN_SU'!$B20="","",'DM_NHAN_SU'!AE20)</f>
        <v/>
      </c>
      <c r="F20" s="232">
        <f>IF('DM_NHAN_SU'!$B20="","",'DM_NHAN_SU'!AF20)</f>
        <v/>
      </c>
      <c r="G20" s="232">
        <f>IF($B20="","",SUM($D20:$F20))</f>
        <v/>
      </c>
      <c r="H20" s="232">
        <f>IF('DM_NHAN_SU'!$B20="","",'DM_NHAN_SU'!AG20)</f>
        <v/>
      </c>
      <c r="I20" s="232">
        <f>IF('DM_NHAN_SU'!$B20="","",'CHAM_CONG_THANG'!AR20)</f>
        <v/>
      </c>
      <c r="J20" s="227" t="n"/>
      <c r="K20" s="232">
        <f>IF($B20="","",$G20-$H20-$I20+$J20)</f>
        <v/>
      </c>
      <c r="L20" s="150">
        <f>IF($B20="","",IF('DM_NHAN_SU'!AD20="","Đang tạm dùng 12 ngày; kiểm tra 14/16 ngày và tỷ lệ; ","")&amp;IF($K20&lt;0,"Số phép âm; ","")&amp;IF(AND('DM_NHAN_SU'!$F20&gt;'THAM_SO'!$B$6,'DM_NHAN_SU'!$F20&lt;='THAM_SO'!$B$7),"Nhân viên mới trong kỳ – kiểm tra phép tỷ lệ; ",""))</f>
        <v/>
      </c>
    </row>
    <row r="21">
      <c r="A21" s="145">
        <f>IF('DM_NHAN_SU'!$B21="","",ROW()-5)</f>
        <v/>
      </c>
      <c r="B21" s="145">
        <f>IF('DM_NHAN_SU'!$B21="","",'DM_NHAN_SU'!B21)</f>
        <v/>
      </c>
      <c r="C21" s="145">
        <f>IF('DM_NHAN_SU'!$B21="","",'DM_NHAN_SU'!C21)</f>
        <v/>
      </c>
      <c r="D21" s="232">
        <f>IF('DM_NHAN_SU'!$B21="","",IF('DM_NHAN_SU'!AD21&gt;0,'DM_NHAN_SU'!AD21,12))</f>
        <v/>
      </c>
      <c r="E21" s="232">
        <f>IF('DM_NHAN_SU'!$B21="","",'DM_NHAN_SU'!AE21)</f>
        <v/>
      </c>
      <c r="F21" s="232">
        <f>IF('DM_NHAN_SU'!$B21="","",'DM_NHAN_SU'!AF21)</f>
        <v/>
      </c>
      <c r="G21" s="232">
        <f>IF($B21="","",SUM($D21:$F21))</f>
        <v/>
      </c>
      <c r="H21" s="232">
        <f>IF('DM_NHAN_SU'!$B21="","",'DM_NHAN_SU'!AG21)</f>
        <v/>
      </c>
      <c r="I21" s="232">
        <f>IF('DM_NHAN_SU'!$B21="","",'CHAM_CONG_THANG'!AR21)</f>
        <v/>
      </c>
      <c r="J21" s="227" t="n"/>
      <c r="K21" s="232">
        <f>IF($B21="","",$G21-$H21-$I21+$J21)</f>
        <v/>
      </c>
      <c r="L21" s="150">
        <f>IF($B21="","",IF('DM_NHAN_SU'!AD21="","Đang tạm dùng 12 ngày; kiểm tra 14/16 ngày và tỷ lệ; ","")&amp;IF($K21&lt;0,"Số phép âm; ","")&amp;IF(AND('DM_NHAN_SU'!$F21&gt;'THAM_SO'!$B$6,'DM_NHAN_SU'!$F21&lt;='THAM_SO'!$B$7),"Nhân viên mới trong kỳ – kiểm tra phép tỷ lệ; ",""))</f>
        <v/>
      </c>
    </row>
    <row r="22">
      <c r="A22" s="145">
        <f>IF('DM_NHAN_SU'!$B22="","",ROW()-5)</f>
        <v/>
      </c>
      <c r="B22" s="145">
        <f>IF('DM_NHAN_SU'!$B22="","",'DM_NHAN_SU'!B22)</f>
        <v/>
      </c>
      <c r="C22" s="145">
        <f>IF('DM_NHAN_SU'!$B22="","",'DM_NHAN_SU'!C22)</f>
        <v/>
      </c>
      <c r="D22" s="232">
        <f>IF('DM_NHAN_SU'!$B22="","",IF('DM_NHAN_SU'!AD22&gt;0,'DM_NHAN_SU'!AD22,12))</f>
        <v/>
      </c>
      <c r="E22" s="232">
        <f>IF('DM_NHAN_SU'!$B22="","",'DM_NHAN_SU'!AE22)</f>
        <v/>
      </c>
      <c r="F22" s="232">
        <f>IF('DM_NHAN_SU'!$B22="","",'DM_NHAN_SU'!AF22)</f>
        <v/>
      </c>
      <c r="G22" s="232">
        <f>IF($B22="","",SUM($D22:$F22))</f>
        <v/>
      </c>
      <c r="H22" s="232">
        <f>IF('DM_NHAN_SU'!$B22="","",'DM_NHAN_SU'!AG22)</f>
        <v/>
      </c>
      <c r="I22" s="232">
        <f>IF('DM_NHAN_SU'!$B22="","",'CHAM_CONG_THANG'!AR22)</f>
        <v/>
      </c>
      <c r="J22" s="227" t="n"/>
      <c r="K22" s="232">
        <f>IF($B22="","",$G22-$H22-$I22+$J22)</f>
        <v/>
      </c>
      <c r="L22" s="150">
        <f>IF($B22="","",IF('DM_NHAN_SU'!AD22="","Đang tạm dùng 12 ngày; kiểm tra 14/16 ngày và tỷ lệ; ","")&amp;IF($K22&lt;0,"Số phép âm; ","")&amp;IF(AND('DM_NHAN_SU'!$F22&gt;'THAM_SO'!$B$6,'DM_NHAN_SU'!$F22&lt;='THAM_SO'!$B$7),"Nhân viên mới trong kỳ – kiểm tra phép tỷ lệ; ",""))</f>
        <v/>
      </c>
    </row>
    <row r="23">
      <c r="A23" s="145">
        <f>IF('DM_NHAN_SU'!$B23="","",ROW()-5)</f>
        <v/>
      </c>
      <c r="B23" s="145">
        <f>IF('DM_NHAN_SU'!$B23="","",'DM_NHAN_SU'!B23)</f>
        <v/>
      </c>
      <c r="C23" s="145">
        <f>IF('DM_NHAN_SU'!$B23="","",'DM_NHAN_SU'!C23)</f>
        <v/>
      </c>
      <c r="D23" s="232">
        <f>IF('DM_NHAN_SU'!$B23="","",IF('DM_NHAN_SU'!AD23&gt;0,'DM_NHAN_SU'!AD23,12))</f>
        <v/>
      </c>
      <c r="E23" s="232">
        <f>IF('DM_NHAN_SU'!$B23="","",'DM_NHAN_SU'!AE23)</f>
        <v/>
      </c>
      <c r="F23" s="232">
        <f>IF('DM_NHAN_SU'!$B23="","",'DM_NHAN_SU'!AF23)</f>
        <v/>
      </c>
      <c r="G23" s="232">
        <f>IF($B23="","",SUM($D23:$F23))</f>
        <v/>
      </c>
      <c r="H23" s="232">
        <f>IF('DM_NHAN_SU'!$B23="","",'DM_NHAN_SU'!AG23)</f>
        <v/>
      </c>
      <c r="I23" s="232">
        <f>IF('DM_NHAN_SU'!$B23="","",'CHAM_CONG_THANG'!AR23)</f>
        <v/>
      </c>
      <c r="J23" s="227" t="n"/>
      <c r="K23" s="232">
        <f>IF($B23="","",$G23-$H23-$I23+$J23)</f>
        <v/>
      </c>
      <c r="L23" s="150">
        <f>IF($B23="","",IF('DM_NHAN_SU'!AD23="","Đang tạm dùng 12 ngày; kiểm tra 14/16 ngày và tỷ lệ; ","")&amp;IF($K23&lt;0,"Số phép âm; ","")&amp;IF(AND('DM_NHAN_SU'!$F23&gt;'THAM_SO'!$B$6,'DM_NHAN_SU'!$F23&lt;='THAM_SO'!$B$7),"Nhân viên mới trong kỳ – kiểm tra phép tỷ lệ; ",""))</f>
        <v/>
      </c>
    </row>
    <row r="24">
      <c r="A24" s="145">
        <f>IF('DM_NHAN_SU'!$B24="","",ROW()-5)</f>
        <v/>
      </c>
      <c r="B24" s="145">
        <f>IF('DM_NHAN_SU'!$B24="","",'DM_NHAN_SU'!B24)</f>
        <v/>
      </c>
      <c r="C24" s="145">
        <f>IF('DM_NHAN_SU'!$B24="","",'DM_NHAN_SU'!C24)</f>
        <v/>
      </c>
      <c r="D24" s="232">
        <f>IF('DM_NHAN_SU'!$B24="","",IF('DM_NHAN_SU'!AD24&gt;0,'DM_NHAN_SU'!AD24,12))</f>
        <v/>
      </c>
      <c r="E24" s="232">
        <f>IF('DM_NHAN_SU'!$B24="","",'DM_NHAN_SU'!AE24)</f>
        <v/>
      </c>
      <c r="F24" s="232">
        <f>IF('DM_NHAN_SU'!$B24="","",'DM_NHAN_SU'!AF24)</f>
        <v/>
      </c>
      <c r="G24" s="232">
        <f>IF($B24="","",SUM($D24:$F24))</f>
        <v/>
      </c>
      <c r="H24" s="232">
        <f>IF('DM_NHAN_SU'!$B24="","",'DM_NHAN_SU'!AG24)</f>
        <v/>
      </c>
      <c r="I24" s="232">
        <f>IF('DM_NHAN_SU'!$B24="","",'CHAM_CONG_THANG'!AR24)</f>
        <v/>
      </c>
      <c r="J24" s="227" t="n"/>
      <c r="K24" s="232">
        <f>IF($B24="","",$G24-$H24-$I24+$J24)</f>
        <v/>
      </c>
      <c r="L24" s="150">
        <f>IF($B24="","",IF('DM_NHAN_SU'!AD24="","Đang tạm dùng 12 ngày; kiểm tra 14/16 ngày và tỷ lệ; ","")&amp;IF($K24&lt;0,"Số phép âm; ","")&amp;IF(AND('DM_NHAN_SU'!$F24&gt;'THAM_SO'!$B$6,'DM_NHAN_SU'!$F24&lt;='THAM_SO'!$B$7),"Nhân viên mới trong kỳ – kiểm tra phép tỷ lệ; ",""))</f>
        <v/>
      </c>
    </row>
    <row r="25">
      <c r="A25" s="145">
        <f>IF('DM_NHAN_SU'!$B25="","",ROW()-5)</f>
        <v/>
      </c>
      <c r="B25" s="145">
        <f>IF('DM_NHAN_SU'!$B25="","",'DM_NHAN_SU'!B25)</f>
        <v/>
      </c>
      <c r="C25" s="145">
        <f>IF('DM_NHAN_SU'!$B25="","",'DM_NHAN_SU'!C25)</f>
        <v/>
      </c>
      <c r="D25" s="232">
        <f>IF('DM_NHAN_SU'!$B25="","",IF('DM_NHAN_SU'!AD25&gt;0,'DM_NHAN_SU'!AD25,12))</f>
        <v/>
      </c>
      <c r="E25" s="232">
        <f>IF('DM_NHAN_SU'!$B25="","",'DM_NHAN_SU'!AE25)</f>
        <v/>
      </c>
      <c r="F25" s="232">
        <f>IF('DM_NHAN_SU'!$B25="","",'DM_NHAN_SU'!AF25)</f>
        <v/>
      </c>
      <c r="G25" s="232">
        <f>IF($B25="","",SUM($D25:$F25))</f>
        <v/>
      </c>
      <c r="H25" s="232">
        <f>IF('DM_NHAN_SU'!$B25="","",'DM_NHAN_SU'!AG25)</f>
        <v/>
      </c>
      <c r="I25" s="232">
        <f>IF('DM_NHAN_SU'!$B25="","",'CHAM_CONG_THANG'!AR25)</f>
        <v/>
      </c>
      <c r="J25" s="227" t="n"/>
      <c r="K25" s="232">
        <f>IF($B25="","",$G25-$H25-$I25+$J25)</f>
        <v/>
      </c>
      <c r="L25" s="150">
        <f>IF($B25="","",IF('DM_NHAN_SU'!AD25="","Đang tạm dùng 12 ngày; kiểm tra 14/16 ngày và tỷ lệ; ","")&amp;IF($K25&lt;0,"Số phép âm; ","")&amp;IF(AND('DM_NHAN_SU'!$F25&gt;'THAM_SO'!$B$6,'DM_NHAN_SU'!$F25&lt;='THAM_SO'!$B$7),"Nhân viên mới trong kỳ – kiểm tra phép tỷ lệ; ",""))</f>
        <v/>
      </c>
    </row>
    <row r="26">
      <c r="A26" s="145">
        <f>IF('DM_NHAN_SU'!$B26="","",ROW()-5)</f>
        <v/>
      </c>
      <c r="B26" s="145">
        <f>IF('DM_NHAN_SU'!$B26="","",'DM_NHAN_SU'!B26)</f>
        <v/>
      </c>
      <c r="C26" s="145">
        <f>IF('DM_NHAN_SU'!$B26="","",'DM_NHAN_SU'!C26)</f>
        <v/>
      </c>
      <c r="D26" s="232">
        <f>IF('DM_NHAN_SU'!$B26="","",IF('DM_NHAN_SU'!AD26&gt;0,'DM_NHAN_SU'!AD26,12))</f>
        <v/>
      </c>
      <c r="E26" s="232">
        <f>IF('DM_NHAN_SU'!$B26="","",'DM_NHAN_SU'!AE26)</f>
        <v/>
      </c>
      <c r="F26" s="232">
        <f>IF('DM_NHAN_SU'!$B26="","",'DM_NHAN_SU'!AF26)</f>
        <v/>
      </c>
      <c r="G26" s="232">
        <f>IF($B26="","",SUM($D26:$F26))</f>
        <v/>
      </c>
      <c r="H26" s="232">
        <f>IF('DM_NHAN_SU'!$B26="","",'DM_NHAN_SU'!AG26)</f>
        <v/>
      </c>
      <c r="I26" s="232">
        <f>IF('DM_NHAN_SU'!$B26="","",'CHAM_CONG_THANG'!AR26)</f>
        <v/>
      </c>
      <c r="J26" s="227" t="n"/>
      <c r="K26" s="232">
        <f>IF($B26="","",$G26-$H26-$I26+$J26)</f>
        <v/>
      </c>
      <c r="L26" s="150">
        <f>IF($B26="","",IF('DM_NHAN_SU'!AD26="","Đang tạm dùng 12 ngày; kiểm tra 14/16 ngày và tỷ lệ; ","")&amp;IF($K26&lt;0,"Số phép âm; ","")&amp;IF(AND('DM_NHAN_SU'!$F26&gt;'THAM_SO'!$B$6,'DM_NHAN_SU'!$F26&lt;='THAM_SO'!$B$7),"Nhân viên mới trong kỳ – kiểm tra phép tỷ lệ; ",""))</f>
        <v/>
      </c>
    </row>
    <row r="27">
      <c r="A27" s="145">
        <f>IF('DM_NHAN_SU'!$B27="","",ROW()-5)</f>
        <v/>
      </c>
      <c r="B27" s="145">
        <f>IF('DM_NHAN_SU'!$B27="","",'DM_NHAN_SU'!B27)</f>
        <v/>
      </c>
      <c r="C27" s="145">
        <f>IF('DM_NHAN_SU'!$B27="","",'DM_NHAN_SU'!C27)</f>
        <v/>
      </c>
      <c r="D27" s="232">
        <f>IF('DM_NHAN_SU'!$B27="","",IF('DM_NHAN_SU'!AD27&gt;0,'DM_NHAN_SU'!AD27,12))</f>
        <v/>
      </c>
      <c r="E27" s="232">
        <f>IF('DM_NHAN_SU'!$B27="","",'DM_NHAN_SU'!AE27)</f>
        <v/>
      </c>
      <c r="F27" s="232">
        <f>IF('DM_NHAN_SU'!$B27="","",'DM_NHAN_SU'!AF27)</f>
        <v/>
      </c>
      <c r="G27" s="232">
        <f>IF($B27="","",SUM($D27:$F27))</f>
        <v/>
      </c>
      <c r="H27" s="232">
        <f>IF('DM_NHAN_SU'!$B27="","",'DM_NHAN_SU'!AG27)</f>
        <v/>
      </c>
      <c r="I27" s="232">
        <f>IF('DM_NHAN_SU'!$B27="","",'CHAM_CONG_THANG'!AR27)</f>
        <v/>
      </c>
      <c r="J27" s="227" t="n"/>
      <c r="K27" s="232">
        <f>IF($B27="","",$G27-$H27-$I27+$J27)</f>
        <v/>
      </c>
      <c r="L27" s="150">
        <f>IF($B27="","",IF('DM_NHAN_SU'!AD27="","Đang tạm dùng 12 ngày; kiểm tra 14/16 ngày và tỷ lệ; ","")&amp;IF($K27&lt;0,"Số phép âm; ","")&amp;IF(AND('DM_NHAN_SU'!$F27&gt;'THAM_SO'!$B$6,'DM_NHAN_SU'!$F27&lt;='THAM_SO'!$B$7),"Nhân viên mới trong kỳ – kiểm tra phép tỷ lệ; ",""))</f>
        <v/>
      </c>
    </row>
    <row r="28">
      <c r="A28" s="145">
        <f>IF('DM_NHAN_SU'!$B28="","",ROW()-5)</f>
        <v/>
      </c>
      <c r="B28" s="145">
        <f>IF('DM_NHAN_SU'!$B28="","",'DM_NHAN_SU'!B28)</f>
        <v/>
      </c>
      <c r="C28" s="145">
        <f>IF('DM_NHAN_SU'!$B28="","",'DM_NHAN_SU'!C28)</f>
        <v/>
      </c>
      <c r="D28" s="232">
        <f>IF('DM_NHAN_SU'!$B28="","",IF('DM_NHAN_SU'!AD28&gt;0,'DM_NHAN_SU'!AD28,12))</f>
        <v/>
      </c>
      <c r="E28" s="232">
        <f>IF('DM_NHAN_SU'!$B28="","",'DM_NHAN_SU'!AE28)</f>
        <v/>
      </c>
      <c r="F28" s="232">
        <f>IF('DM_NHAN_SU'!$B28="","",'DM_NHAN_SU'!AF28)</f>
        <v/>
      </c>
      <c r="G28" s="232">
        <f>IF($B28="","",SUM($D28:$F28))</f>
        <v/>
      </c>
      <c r="H28" s="232">
        <f>IF('DM_NHAN_SU'!$B28="","",'DM_NHAN_SU'!AG28)</f>
        <v/>
      </c>
      <c r="I28" s="232">
        <f>IF('DM_NHAN_SU'!$B28="","",'CHAM_CONG_THANG'!AR28)</f>
        <v/>
      </c>
      <c r="J28" s="227" t="n"/>
      <c r="K28" s="232">
        <f>IF($B28="","",$G28-$H28-$I28+$J28)</f>
        <v/>
      </c>
      <c r="L28" s="150">
        <f>IF($B28="","",IF('DM_NHAN_SU'!AD28="","Đang tạm dùng 12 ngày; kiểm tra 14/16 ngày và tỷ lệ; ","")&amp;IF($K28&lt;0,"Số phép âm; ","")&amp;IF(AND('DM_NHAN_SU'!$F28&gt;'THAM_SO'!$B$6,'DM_NHAN_SU'!$F28&lt;='THAM_SO'!$B$7),"Nhân viên mới trong kỳ – kiểm tra phép tỷ lệ; ",""))</f>
        <v/>
      </c>
    </row>
    <row r="29">
      <c r="A29" s="145">
        <f>IF('DM_NHAN_SU'!$B29="","",ROW()-5)</f>
        <v/>
      </c>
      <c r="B29" s="145">
        <f>IF('DM_NHAN_SU'!$B29="","",'DM_NHAN_SU'!B29)</f>
        <v/>
      </c>
      <c r="C29" s="145">
        <f>IF('DM_NHAN_SU'!$B29="","",'DM_NHAN_SU'!C29)</f>
        <v/>
      </c>
      <c r="D29" s="232">
        <f>IF('DM_NHAN_SU'!$B29="","",IF('DM_NHAN_SU'!AD29&gt;0,'DM_NHAN_SU'!AD29,12))</f>
        <v/>
      </c>
      <c r="E29" s="232">
        <f>IF('DM_NHAN_SU'!$B29="","",'DM_NHAN_SU'!AE29)</f>
        <v/>
      </c>
      <c r="F29" s="232">
        <f>IF('DM_NHAN_SU'!$B29="","",'DM_NHAN_SU'!AF29)</f>
        <v/>
      </c>
      <c r="G29" s="232">
        <f>IF($B29="","",SUM($D29:$F29))</f>
        <v/>
      </c>
      <c r="H29" s="232">
        <f>IF('DM_NHAN_SU'!$B29="","",'DM_NHAN_SU'!AG29)</f>
        <v/>
      </c>
      <c r="I29" s="232">
        <f>IF('DM_NHAN_SU'!$B29="","",'CHAM_CONG_THANG'!AR29)</f>
        <v/>
      </c>
      <c r="J29" s="227" t="n"/>
      <c r="K29" s="232">
        <f>IF($B29="","",$G29-$H29-$I29+$J29)</f>
        <v/>
      </c>
      <c r="L29" s="150">
        <f>IF($B29="","",IF('DM_NHAN_SU'!AD29="","Đang tạm dùng 12 ngày; kiểm tra 14/16 ngày và tỷ lệ; ","")&amp;IF($K29&lt;0,"Số phép âm; ","")&amp;IF(AND('DM_NHAN_SU'!$F29&gt;'THAM_SO'!$B$6,'DM_NHAN_SU'!$F29&lt;='THAM_SO'!$B$7),"Nhân viên mới trong kỳ – kiểm tra phép tỷ lệ; ",""))</f>
        <v/>
      </c>
    </row>
    <row r="30">
      <c r="A30" s="145">
        <f>IF('DM_NHAN_SU'!$B30="","",ROW()-5)</f>
        <v/>
      </c>
      <c r="B30" s="145">
        <f>IF('DM_NHAN_SU'!$B30="","",'DM_NHAN_SU'!B30)</f>
        <v/>
      </c>
      <c r="C30" s="145">
        <f>IF('DM_NHAN_SU'!$B30="","",'DM_NHAN_SU'!C30)</f>
        <v/>
      </c>
      <c r="D30" s="232">
        <f>IF('DM_NHAN_SU'!$B30="","",IF('DM_NHAN_SU'!AD30&gt;0,'DM_NHAN_SU'!AD30,12))</f>
        <v/>
      </c>
      <c r="E30" s="232">
        <f>IF('DM_NHAN_SU'!$B30="","",'DM_NHAN_SU'!AE30)</f>
        <v/>
      </c>
      <c r="F30" s="232">
        <f>IF('DM_NHAN_SU'!$B30="","",'DM_NHAN_SU'!AF30)</f>
        <v/>
      </c>
      <c r="G30" s="232">
        <f>IF($B30="","",SUM($D30:$F30))</f>
        <v/>
      </c>
      <c r="H30" s="232">
        <f>IF('DM_NHAN_SU'!$B30="","",'DM_NHAN_SU'!AG30)</f>
        <v/>
      </c>
      <c r="I30" s="232">
        <f>IF('DM_NHAN_SU'!$B30="","",'CHAM_CONG_THANG'!AR30)</f>
        <v/>
      </c>
      <c r="J30" s="227" t="n"/>
      <c r="K30" s="232">
        <f>IF($B30="","",$G30-$H30-$I30+$J30)</f>
        <v/>
      </c>
      <c r="L30" s="150">
        <f>IF($B30="","",IF('DM_NHAN_SU'!AD30="","Đang tạm dùng 12 ngày; kiểm tra 14/16 ngày và tỷ lệ; ","")&amp;IF($K30&lt;0,"Số phép âm; ","")&amp;IF(AND('DM_NHAN_SU'!$F30&gt;'THAM_SO'!$B$6,'DM_NHAN_SU'!$F30&lt;='THAM_SO'!$B$7),"Nhân viên mới trong kỳ – kiểm tra phép tỷ lệ; ",""))</f>
        <v/>
      </c>
    </row>
    <row r="31">
      <c r="A31" s="145">
        <f>IF('DM_NHAN_SU'!$B31="","",ROW()-5)</f>
        <v/>
      </c>
      <c r="B31" s="145">
        <f>IF('DM_NHAN_SU'!$B31="","",'DM_NHAN_SU'!B31)</f>
        <v/>
      </c>
      <c r="C31" s="145">
        <f>IF('DM_NHAN_SU'!$B31="","",'DM_NHAN_SU'!C31)</f>
        <v/>
      </c>
      <c r="D31" s="232">
        <f>IF('DM_NHAN_SU'!$B31="","",IF('DM_NHAN_SU'!AD31&gt;0,'DM_NHAN_SU'!AD31,12))</f>
        <v/>
      </c>
      <c r="E31" s="232">
        <f>IF('DM_NHAN_SU'!$B31="","",'DM_NHAN_SU'!AE31)</f>
        <v/>
      </c>
      <c r="F31" s="232">
        <f>IF('DM_NHAN_SU'!$B31="","",'DM_NHAN_SU'!AF31)</f>
        <v/>
      </c>
      <c r="G31" s="232">
        <f>IF($B31="","",SUM($D31:$F31))</f>
        <v/>
      </c>
      <c r="H31" s="232">
        <f>IF('DM_NHAN_SU'!$B31="","",'DM_NHAN_SU'!AG31)</f>
        <v/>
      </c>
      <c r="I31" s="232">
        <f>IF('DM_NHAN_SU'!$B31="","",'CHAM_CONG_THANG'!AR31)</f>
        <v/>
      </c>
      <c r="J31" s="227" t="n"/>
      <c r="K31" s="232">
        <f>IF($B31="","",$G31-$H31-$I31+$J31)</f>
        <v/>
      </c>
      <c r="L31" s="150">
        <f>IF($B31="","",IF('DM_NHAN_SU'!AD31="","Đang tạm dùng 12 ngày; kiểm tra 14/16 ngày và tỷ lệ; ","")&amp;IF($K31&lt;0,"Số phép âm; ","")&amp;IF(AND('DM_NHAN_SU'!$F31&gt;'THAM_SO'!$B$6,'DM_NHAN_SU'!$F31&lt;='THAM_SO'!$B$7),"Nhân viên mới trong kỳ – kiểm tra phép tỷ lệ; ",""))</f>
        <v/>
      </c>
    </row>
    <row r="32">
      <c r="A32" s="145">
        <f>IF('DM_NHAN_SU'!$B32="","",ROW()-5)</f>
        <v/>
      </c>
      <c r="B32" s="145">
        <f>IF('DM_NHAN_SU'!$B32="","",'DM_NHAN_SU'!B32)</f>
        <v/>
      </c>
      <c r="C32" s="145">
        <f>IF('DM_NHAN_SU'!$B32="","",'DM_NHAN_SU'!C32)</f>
        <v/>
      </c>
      <c r="D32" s="232">
        <f>IF('DM_NHAN_SU'!$B32="","",IF('DM_NHAN_SU'!AD32&gt;0,'DM_NHAN_SU'!AD32,12))</f>
        <v/>
      </c>
      <c r="E32" s="232">
        <f>IF('DM_NHAN_SU'!$B32="","",'DM_NHAN_SU'!AE32)</f>
        <v/>
      </c>
      <c r="F32" s="232">
        <f>IF('DM_NHAN_SU'!$B32="","",'DM_NHAN_SU'!AF32)</f>
        <v/>
      </c>
      <c r="G32" s="232">
        <f>IF($B32="","",SUM($D32:$F32))</f>
        <v/>
      </c>
      <c r="H32" s="232">
        <f>IF('DM_NHAN_SU'!$B32="","",'DM_NHAN_SU'!AG32)</f>
        <v/>
      </c>
      <c r="I32" s="232">
        <f>IF('DM_NHAN_SU'!$B32="","",'CHAM_CONG_THANG'!AR32)</f>
        <v/>
      </c>
      <c r="J32" s="227" t="n"/>
      <c r="K32" s="232">
        <f>IF($B32="","",$G32-$H32-$I32+$J32)</f>
        <v/>
      </c>
      <c r="L32" s="150">
        <f>IF($B32="","",IF('DM_NHAN_SU'!AD32="","Đang tạm dùng 12 ngày; kiểm tra 14/16 ngày và tỷ lệ; ","")&amp;IF($K32&lt;0,"Số phép âm; ","")&amp;IF(AND('DM_NHAN_SU'!$F32&gt;'THAM_SO'!$B$6,'DM_NHAN_SU'!$F32&lt;='THAM_SO'!$B$7),"Nhân viên mới trong kỳ – kiểm tra phép tỷ lệ; ",""))</f>
        <v/>
      </c>
    </row>
    <row r="33">
      <c r="A33" s="145">
        <f>IF('DM_NHAN_SU'!$B33="","",ROW()-5)</f>
        <v/>
      </c>
      <c r="B33" s="145">
        <f>IF('DM_NHAN_SU'!$B33="","",'DM_NHAN_SU'!B33)</f>
        <v/>
      </c>
      <c r="C33" s="145">
        <f>IF('DM_NHAN_SU'!$B33="","",'DM_NHAN_SU'!C33)</f>
        <v/>
      </c>
      <c r="D33" s="232">
        <f>IF('DM_NHAN_SU'!$B33="","",IF('DM_NHAN_SU'!AD33&gt;0,'DM_NHAN_SU'!AD33,12))</f>
        <v/>
      </c>
      <c r="E33" s="232">
        <f>IF('DM_NHAN_SU'!$B33="","",'DM_NHAN_SU'!AE33)</f>
        <v/>
      </c>
      <c r="F33" s="232">
        <f>IF('DM_NHAN_SU'!$B33="","",'DM_NHAN_SU'!AF33)</f>
        <v/>
      </c>
      <c r="G33" s="232">
        <f>IF($B33="","",SUM($D33:$F33))</f>
        <v/>
      </c>
      <c r="H33" s="232">
        <f>IF('DM_NHAN_SU'!$B33="","",'DM_NHAN_SU'!AG33)</f>
        <v/>
      </c>
      <c r="I33" s="232">
        <f>IF('DM_NHAN_SU'!$B33="","",'CHAM_CONG_THANG'!AR33)</f>
        <v/>
      </c>
      <c r="J33" s="227" t="n"/>
      <c r="K33" s="232">
        <f>IF($B33="","",$G33-$H33-$I33+$J33)</f>
        <v/>
      </c>
      <c r="L33" s="150">
        <f>IF($B33="","",IF('DM_NHAN_SU'!AD33="","Đang tạm dùng 12 ngày; kiểm tra 14/16 ngày và tỷ lệ; ","")&amp;IF($K33&lt;0,"Số phép âm; ","")&amp;IF(AND('DM_NHAN_SU'!$F33&gt;'THAM_SO'!$B$6,'DM_NHAN_SU'!$F33&lt;='THAM_SO'!$B$7),"Nhân viên mới trong kỳ – kiểm tra phép tỷ lệ; ",""))</f>
        <v/>
      </c>
    </row>
    <row r="34">
      <c r="A34" s="145">
        <f>IF('DM_NHAN_SU'!$B34="","",ROW()-5)</f>
        <v/>
      </c>
      <c r="B34" s="145">
        <f>IF('DM_NHAN_SU'!$B34="","",'DM_NHAN_SU'!B34)</f>
        <v/>
      </c>
      <c r="C34" s="145">
        <f>IF('DM_NHAN_SU'!$B34="","",'DM_NHAN_SU'!C34)</f>
        <v/>
      </c>
      <c r="D34" s="232">
        <f>IF('DM_NHAN_SU'!$B34="","",IF('DM_NHAN_SU'!AD34&gt;0,'DM_NHAN_SU'!AD34,12))</f>
        <v/>
      </c>
      <c r="E34" s="232">
        <f>IF('DM_NHAN_SU'!$B34="","",'DM_NHAN_SU'!AE34)</f>
        <v/>
      </c>
      <c r="F34" s="232">
        <f>IF('DM_NHAN_SU'!$B34="","",'DM_NHAN_SU'!AF34)</f>
        <v/>
      </c>
      <c r="G34" s="232">
        <f>IF($B34="","",SUM($D34:$F34))</f>
        <v/>
      </c>
      <c r="H34" s="232">
        <f>IF('DM_NHAN_SU'!$B34="","",'DM_NHAN_SU'!AG34)</f>
        <v/>
      </c>
      <c r="I34" s="232">
        <f>IF('DM_NHAN_SU'!$B34="","",'CHAM_CONG_THANG'!AR34)</f>
        <v/>
      </c>
      <c r="J34" s="227" t="n"/>
      <c r="K34" s="232">
        <f>IF($B34="","",$G34-$H34-$I34+$J34)</f>
        <v/>
      </c>
      <c r="L34" s="150">
        <f>IF($B34="","",IF('DM_NHAN_SU'!AD34="","Đang tạm dùng 12 ngày; kiểm tra 14/16 ngày và tỷ lệ; ","")&amp;IF($K34&lt;0,"Số phép âm; ","")&amp;IF(AND('DM_NHAN_SU'!$F34&gt;'THAM_SO'!$B$6,'DM_NHAN_SU'!$F34&lt;='THAM_SO'!$B$7),"Nhân viên mới trong kỳ – kiểm tra phép tỷ lệ; ",""))</f>
        <v/>
      </c>
    </row>
    <row r="35">
      <c r="A35" s="145">
        <f>IF('DM_NHAN_SU'!$B35="","",ROW()-5)</f>
        <v/>
      </c>
      <c r="B35" s="145">
        <f>IF('DM_NHAN_SU'!$B35="","",'DM_NHAN_SU'!B35)</f>
        <v/>
      </c>
      <c r="C35" s="145">
        <f>IF('DM_NHAN_SU'!$B35="","",'DM_NHAN_SU'!C35)</f>
        <v/>
      </c>
      <c r="D35" s="232">
        <f>IF('DM_NHAN_SU'!$B35="","",IF('DM_NHAN_SU'!AD35&gt;0,'DM_NHAN_SU'!AD35,12))</f>
        <v/>
      </c>
      <c r="E35" s="232">
        <f>IF('DM_NHAN_SU'!$B35="","",'DM_NHAN_SU'!AE35)</f>
        <v/>
      </c>
      <c r="F35" s="232">
        <f>IF('DM_NHAN_SU'!$B35="","",'DM_NHAN_SU'!AF35)</f>
        <v/>
      </c>
      <c r="G35" s="232">
        <f>IF($B35="","",SUM($D35:$F35))</f>
        <v/>
      </c>
      <c r="H35" s="232">
        <f>IF('DM_NHAN_SU'!$B35="","",'DM_NHAN_SU'!AG35)</f>
        <v/>
      </c>
      <c r="I35" s="232">
        <f>IF('DM_NHAN_SU'!$B35="","",'CHAM_CONG_THANG'!AR35)</f>
        <v/>
      </c>
      <c r="J35" s="227" t="n"/>
      <c r="K35" s="232">
        <f>IF($B35="","",$G35-$H35-$I35+$J35)</f>
        <v/>
      </c>
      <c r="L35" s="150">
        <f>IF($B35="","",IF('DM_NHAN_SU'!AD35="","Đang tạm dùng 12 ngày; kiểm tra 14/16 ngày và tỷ lệ; ","")&amp;IF($K35&lt;0,"Số phép âm; ","")&amp;IF(AND('DM_NHAN_SU'!$F35&gt;'THAM_SO'!$B$6,'DM_NHAN_SU'!$F35&lt;='THAM_SO'!$B$7),"Nhân viên mới trong kỳ – kiểm tra phép tỷ lệ; ",""))</f>
        <v/>
      </c>
    </row>
    <row r="36">
      <c r="A36" s="145">
        <f>IF('DM_NHAN_SU'!$B36="","",ROW()-5)</f>
        <v/>
      </c>
      <c r="B36" s="145">
        <f>IF('DM_NHAN_SU'!$B36="","",'DM_NHAN_SU'!B36)</f>
        <v/>
      </c>
      <c r="C36" s="145">
        <f>IF('DM_NHAN_SU'!$B36="","",'DM_NHAN_SU'!C36)</f>
        <v/>
      </c>
      <c r="D36" s="232">
        <f>IF('DM_NHAN_SU'!$B36="","",IF('DM_NHAN_SU'!AD36&gt;0,'DM_NHAN_SU'!AD36,12))</f>
        <v/>
      </c>
      <c r="E36" s="232">
        <f>IF('DM_NHAN_SU'!$B36="","",'DM_NHAN_SU'!AE36)</f>
        <v/>
      </c>
      <c r="F36" s="232">
        <f>IF('DM_NHAN_SU'!$B36="","",'DM_NHAN_SU'!AF36)</f>
        <v/>
      </c>
      <c r="G36" s="232">
        <f>IF($B36="","",SUM($D36:$F36))</f>
        <v/>
      </c>
      <c r="H36" s="232">
        <f>IF('DM_NHAN_SU'!$B36="","",'DM_NHAN_SU'!AG36)</f>
        <v/>
      </c>
      <c r="I36" s="232">
        <f>IF('DM_NHAN_SU'!$B36="","",'CHAM_CONG_THANG'!AR36)</f>
        <v/>
      </c>
      <c r="J36" s="227" t="n"/>
      <c r="K36" s="232">
        <f>IF($B36="","",$G36-$H36-$I36+$J36)</f>
        <v/>
      </c>
      <c r="L36" s="150">
        <f>IF($B36="","",IF('DM_NHAN_SU'!AD36="","Đang tạm dùng 12 ngày; kiểm tra 14/16 ngày và tỷ lệ; ","")&amp;IF($K36&lt;0,"Số phép âm; ","")&amp;IF(AND('DM_NHAN_SU'!$F36&gt;'THAM_SO'!$B$6,'DM_NHAN_SU'!$F36&lt;='THAM_SO'!$B$7),"Nhân viên mới trong kỳ – kiểm tra phép tỷ lệ; ",""))</f>
        <v/>
      </c>
    </row>
    <row r="37">
      <c r="A37" s="145">
        <f>IF('DM_NHAN_SU'!$B37="","",ROW()-5)</f>
        <v/>
      </c>
      <c r="B37" s="145">
        <f>IF('DM_NHAN_SU'!$B37="","",'DM_NHAN_SU'!B37)</f>
        <v/>
      </c>
      <c r="C37" s="145">
        <f>IF('DM_NHAN_SU'!$B37="","",'DM_NHAN_SU'!C37)</f>
        <v/>
      </c>
      <c r="D37" s="232">
        <f>IF('DM_NHAN_SU'!$B37="","",IF('DM_NHAN_SU'!AD37&gt;0,'DM_NHAN_SU'!AD37,12))</f>
        <v/>
      </c>
      <c r="E37" s="232">
        <f>IF('DM_NHAN_SU'!$B37="","",'DM_NHAN_SU'!AE37)</f>
        <v/>
      </c>
      <c r="F37" s="232">
        <f>IF('DM_NHAN_SU'!$B37="","",'DM_NHAN_SU'!AF37)</f>
        <v/>
      </c>
      <c r="G37" s="232">
        <f>IF($B37="","",SUM($D37:$F37))</f>
        <v/>
      </c>
      <c r="H37" s="232">
        <f>IF('DM_NHAN_SU'!$B37="","",'DM_NHAN_SU'!AG37)</f>
        <v/>
      </c>
      <c r="I37" s="232">
        <f>IF('DM_NHAN_SU'!$B37="","",'CHAM_CONG_THANG'!AR37)</f>
        <v/>
      </c>
      <c r="J37" s="227" t="n"/>
      <c r="K37" s="232">
        <f>IF($B37="","",$G37-$H37-$I37+$J37)</f>
        <v/>
      </c>
      <c r="L37" s="150">
        <f>IF($B37="","",IF('DM_NHAN_SU'!AD37="","Đang tạm dùng 12 ngày; kiểm tra 14/16 ngày và tỷ lệ; ","")&amp;IF($K37&lt;0,"Số phép âm; ","")&amp;IF(AND('DM_NHAN_SU'!$F37&gt;'THAM_SO'!$B$6,'DM_NHAN_SU'!$F37&lt;='THAM_SO'!$B$7),"Nhân viên mới trong kỳ – kiểm tra phép tỷ lệ; ",""))</f>
        <v/>
      </c>
    </row>
    <row r="38">
      <c r="A38" s="145">
        <f>IF('DM_NHAN_SU'!$B38="","",ROW()-5)</f>
        <v/>
      </c>
      <c r="B38" s="145">
        <f>IF('DM_NHAN_SU'!$B38="","",'DM_NHAN_SU'!B38)</f>
        <v/>
      </c>
      <c r="C38" s="145">
        <f>IF('DM_NHAN_SU'!$B38="","",'DM_NHAN_SU'!C38)</f>
        <v/>
      </c>
      <c r="D38" s="232">
        <f>IF('DM_NHAN_SU'!$B38="","",IF('DM_NHAN_SU'!AD38&gt;0,'DM_NHAN_SU'!AD38,12))</f>
        <v/>
      </c>
      <c r="E38" s="232">
        <f>IF('DM_NHAN_SU'!$B38="","",'DM_NHAN_SU'!AE38)</f>
        <v/>
      </c>
      <c r="F38" s="232">
        <f>IF('DM_NHAN_SU'!$B38="","",'DM_NHAN_SU'!AF38)</f>
        <v/>
      </c>
      <c r="G38" s="232">
        <f>IF($B38="","",SUM($D38:$F38))</f>
        <v/>
      </c>
      <c r="H38" s="232">
        <f>IF('DM_NHAN_SU'!$B38="","",'DM_NHAN_SU'!AG38)</f>
        <v/>
      </c>
      <c r="I38" s="232">
        <f>IF('DM_NHAN_SU'!$B38="","",'CHAM_CONG_THANG'!AR38)</f>
        <v/>
      </c>
      <c r="J38" s="227" t="n"/>
      <c r="K38" s="232">
        <f>IF($B38="","",$G38-$H38-$I38+$J38)</f>
        <v/>
      </c>
      <c r="L38" s="150">
        <f>IF($B38="","",IF('DM_NHAN_SU'!AD38="","Đang tạm dùng 12 ngày; kiểm tra 14/16 ngày và tỷ lệ; ","")&amp;IF($K38&lt;0,"Số phép âm; ","")&amp;IF(AND('DM_NHAN_SU'!$F38&gt;'THAM_SO'!$B$6,'DM_NHAN_SU'!$F38&lt;='THAM_SO'!$B$7),"Nhân viên mới trong kỳ – kiểm tra phép tỷ lệ; ",""))</f>
        <v/>
      </c>
    </row>
    <row r="39">
      <c r="A39" s="145">
        <f>IF('DM_NHAN_SU'!$B39="","",ROW()-5)</f>
        <v/>
      </c>
      <c r="B39" s="145">
        <f>IF('DM_NHAN_SU'!$B39="","",'DM_NHAN_SU'!B39)</f>
        <v/>
      </c>
      <c r="C39" s="145">
        <f>IF('DM_NHAN_SU'!$B39="","",'DM_NHAN_SU'!C39)</f>
        <v/>
      </c>
      <c r="D39" s="232">
        <f>IF('DM_NHAN_SU'!$B39="","",IF('DM_NHAN_SU'!AD39&gt;0,'DM_NHAN_SU'!AD39,12))</f>
        <v/>
      </c>
      <c r="E39" s="232">
        <f>IF('DM_NHAN_SU'!$B39="","",'DM_NHAN_SU'!AE39)</f>
        <v/>
      </c>
      <c r="F39" s="232">
        <f>IF('DM_NHAN_SU'!$B39="","",'DM_NHAN_SU'!AF39)</f>
        <v/>
      </c>
      <c r="G39" s="232">
        <f>IF($B39="","",SUM($D39:$F39))</f>
        <v/>
      </c>
      <c r="H39" s="232">
        <f>IF('DM_NHAN_SU'!$B39="","",'DM_NHAN_SU'!AG39)</f>
        <v/>
      </c>
      <c r="I39" s="232">
        <f>IF('DM_NHAN_SU'!$B39="","",'CHAM_CONG_THANG'!AR39)</f>
        <v/>
      </c>
      <c r="J39" s="227" t="n"/>
      <c r="K39" s="232">
        <f>IF($B39="","",$G39-$H39-$I39+$J39)</f>
        <v/>
      </c>
      <c r="L39" s="150">
        <f>IF($B39="","",IF('DM_NHAN_SU'!AD39="","Đang tạm dùng 12 ngày; kiểm tra 14/16 ngày và tỷ lệ; ","")&amp;IF($K39&lt;0,"Số phép âm; ","")&amp;IF(AND('DM_NHAN_SU'!$F39&gt;'THAM_SO'!$B$6,'DM_NHAN_SU'!$F39&lt;='THAM_SO'!$B$7),"Nhân viên mới trong kỳ – kiểm tra phép tỷ lệ; ",""))</f>
        <v/>
      </c>
    </row>
    <row r="40">
      <c r="A40" s="145">
        <f>IF('DM_NHAN_SU'!$B40="","",ROW()-5)</f>
        <v/>
      </c>
      <c r="B40" s="145">
        <f>IF('DM_NHAN_SU'!$B40="","",'DM_NHAN_SU'!B40)</f>
        <v/>
      </c>
      <c r="C40" s="145">
        <f>IF('DM_NHAN_SU'!$B40="","",'DM_NHAN_SU'!C40)</f>
        <v/>
      </c>
      <c r="D40" s="232">
        <f>IF('DM_NHAN_SU'!$B40="","",IF('DM_NHAN_SU'!AD40&gt;0,'DM_NHAN_SU'!AD40,12))</f>
        <v/>
      </c>
      <c r="E40" s="232">
        <f>IF('DM_NHAN_SU'!$B40="","",'DM_NHAN_SU'!AE40)</f>
        <v/>
      </c>
      <c r="F40" s="232">
        <f>IF('DM_NHAN_SU'!$B40="","",'DM_NHAN_SU'!AF40)</f>
        <v/>
      </c>
      <c r="G40" s="232">
        <f>IF($B40="","",SUM($D40:$F40))</f>
        <v/>
      </c>
      <c r="H40" s="232">
        <f>IF('DM_NHAN_SU'!$B40="","",'DM_NHAN_SU'!AG40)</f>
        <v/>
      </c>
      <c r="I40" s="232">
        <f>IF('DM_NHAN_SU'!$B40="","",'CHAM_CONG_THANG'!AR40)</f>
        <v/>
      </c>
      <c r="J40" s="227" t="n"/>
      <c r="K40" s="232">
        <f>IF($B40="","",$G40-$H40-$I40+$J40)</f>
        <v/>
      </c>
      <c r="L40" s="150">
        <f>IF($B40="","",IF('DM_NHAN_SU'!AD40="","Đang tạm dùng 12 ngày; kiểm tra 14/16 ngày và tỷ lệ; ","")&amp;IF($K40&lt;0,"Số phép âm; ","")&amp;IF(AND('DM_NHAN_SU'!$F40&gt;'THAM_SO'!$B$6,'DM_NHAN_SU'!$F40&lt;='THAM_SO'!$B$7),"Nhân viên mới trong kỳ – kiểm tra phép tỷ lệ; ",""))</f>
        <v/>
      </c>
    </row>
    <row r="41">
      <c r="A41" s="145">
        <f>IF('DM_NHAN_SU'!$B41="","",ROW()-5)</f>
        <v/>
      </c>
      <c r="B41" s="145">
        <f>IF('DM_NHAN_SU'!$B41="","",'DM_NHAN_SU'!B41)</f>
        <v/>
      </c>
      <c r="C41" s="145">
        <f>IF('DM_NHAN_SU'!$B41="","",'DM_NHAN_SU'!C41)</f>
        <v/>
      </c>
      <c r="D41" s="232">
        <f>IF('DM_NHAN_SU'!$B41="","",IF('DM_NHAN_SU'!AD41&gt;0,'DM_NHAN_SU'!AD41,12))</f>
        <v/>
      </c>
      <c r="E41" s="232">
        <f>IF('DM_NHAN_SU'!$B41="","",'DM_NHAN_SU'!AE41)</f>
        <v/>
      </c>
      <c r="F41" s="232">
        <f>IF('DM_NHAN_SU'!$B41="","",'DM_NHAN_SU'!AF41)</f>
        <v/>
      </c>
      <c r="G41" s="232">
        <f>IF($B41="","",SUM($D41:$F41))</f>
        <v/>
      </c>
      <c r="H41" s="232">
        <f>IF('DM_NHAN_SU'!$B41="","",'DM_NHAN_SU'!AG41)</f>
        <v/>
      </c>
      <c r="I41" s="232">
        <f>IF('DM_NHAN_SU'!$B41="","",'CHAM_CONG_THANG'!AR41)</f>
        <v/>
      </c>
      <c r="J41" s="227" t="n"/>
      <c r="K41" s="232">
        <f>IF($B41="","",$G41-$H41-$I41+$J41)</f>
        <v/>
      </c>
      <c r="L41" s="150">
        <f>IF($B41="","",IF('DM_NHAN_SU'!AD41="","Đang tạm dùng 12 ngày; kiểm tra 14/16 ngày và tỷ lệ; ","")&amp;IF($K41&lt;0,"Số phép âm; ","")&amp;IF(AND('DM_NHAN_SU'!$F41&gt;'THAM_SO'!$B$6,'DM_NHAN_SU'!$F41&lt;='THAM_SO'!$B$7),"Nhân viên mới trong kỳ – kiểm tra phép tỷ lệ; ",""))</f>
        <v/>
      </c>
    </row>
    <row r="42">
      <c r="A42" s="145">
        <f>IF('DM_NHAN_SU'!$B42="","",ROW()-5)</f>
        <v/>
      </c>
      <c r="B42" s="145">
        <f>IF('DM_NHAN_SU'!$B42="","",'DM_NHAN_SU'!B42)</f>
        <v/>
      </c>
      <c r="C42" s="145">
        <f>IF('DM_NHAN_SU'!$B42="","",'DM_NHAN_SU'!C42)</f>
        <v/>
      </c>
      <c r="D42" s="232">
        <f>IF('DM_NHAN_SU'!$B42="","",IF('DM_NHAN_SU'!AD42&gt;0,'DM_NHAN_SU'!AD42,12))</f>
        <v/>
      </c>
      <c r="E42" s="232">
        <f>IF('DM_NHAN_SU'!$B42="","",'DM_NHAN_SU'!AE42)</f>
        <v/>
      </c>
      <c r="F42" s="232">
        <f>IF('DM_NHAN_SU'!$B42="","",'DM_NHAN_SU'!AF42)</f>
        <v/>
      </c>
      <c r="G42" s="232">
        <f>IF($B42="","",SUM($D42:$F42))</f>
        <v/>
      </c>
      <c r="H42" s="232">
        <f>IF('DM_NHAN_SU'!$B42="","",'DM_NHAN_SU'!AG42)</f>
        <v/>
      </c>
      <c r="I42" s="232">
        <f>IF('DM_NHAN_SU'!$B42="","",'CHAM_CONG_THANG'!AR42)</f>
        <v/>
      </c>
      <c r="J42" s="227" t="n"/>
      <c r="K42" s="232">
        <f>IF($B42="","",$G42-$H42-$I42+$J42)</f>
        <v/>
      </c>
      <c r="L42" s="150">
        <f>IF($B42="","",IF('DM_NHAN_SU'!AD42="","Đang tạm dùng 12 ngày; kiểm tra 14/16 ngày và tỷ lệ; ","")&amp;IF($K42&lt;0,"Số phép âm; ","")&amp;IF(AND('DM_NHAN_SU'!$F42&gt;'THAM_SO'!$B$6,'DM_NHAN_SU'!$F42&lt;='THAM_SO'!$B$7),"Nhân viên mới trong kỳ – kiểm tra phép tỷ lệ; ",""))</f>
        <v/>
      </c>
    </row>
    <row r="43">
      <c r="A43" s="145">
        <f>IF('DM_NHAN_SU'!$B43="","",ROW()-5)</f>
        <v/>
      </c>
      <c r="B43" s="145">
        <f>IF('DM_NHAN_SU'!$B43="","",'DM_NHAN_SU'!B43)</f>
        <v/>
      </c>
      <c r="C43" s="145">
        <f>IF('DM_NHAN_SU'!$B43="","",'DM_NHAN_SU'!C43)</f>
        <v/>
      </c>
      <c r="D43" s="232">
        <f>IF('DM_NHAN_SU'!$B43="","",IF('DM_NHAN_SU'!AD43&gt;0,'DM_NHAN_SU'!AD43,12))</f>
        <v/>
      </c>
      <c r="E43" s="232">
        <f>IF('DM_NHAN_SU'!$B43="","",'DM_NHAN_SU'!AE43)</f>
        <v/>
      </c>
      <c r="F43" s="232">
        <f>IF('DM_NHAN_SU'!$B43="","",'DM_NHAN_SU'!AF43)</f>
        <v/>
      </c>
      <c r="G43" s="232">
        <f>IF($B43="","",SUM($D43:$F43))</f>
        <v/>
      </c>
      <c r="H43" s="232">
        <f>IF('DM_NHAN_SU'!$B43="","",'DM_NHAN_SU'!AG43)</f>
        <v/>
      </c>
      <c r="I43" s="232">
        <f>IF('DM_NHAN_SU'!$B43="","",'CHAM_CONG_THANG'!AR43)</f>
        <v/>
      </c>
      <c r="J43" s="227" t="n"/>
      <c r="K43" s="232">
        <f>IF($B43="","",$G43-$H43-$I43+$J43)</f>
        <v/>
      </c>
      <c r="L43" s="150">
        <f>IF($B43="","",IF('DM_NHAN_SU'!AD43="","Đang tạm dùng 12 ngày; kiểm tra 14/16 ngày và tỷ lệ; ","")&amp;IF($K43&lt;0,"Số phép âm; ","")&amp;IF(AND('DM_NHAN_SU'!$F43&gt;'THAM_SO'!$B$6,'DM_NHAN_SU'!$F43&lt;='THAM_SO'!$B$7),"Nhân viên mới trong kỳ – kiểm tra phép tỷ lệ; ",""))</f>
        <v/>
      </c>
    </row>
    <row r="44">
      <c r="A44" s="145">
        <f>IF('DM_NHAN_SU'!$B44="","",ROW()-5)</f>
        <v/>
      </c>
      <c r="B44" s="145">
        <f>IF('DM_NHAN_SU'!$B44="","",'DM_NHAN_SU'!B44)</f>
        <v/>
      </c>
      <c r="C44" s="145">
        <f>IF('DM_NHAN_SU'!$B44="","",'DM_NHAN_SU'!C44)</f>
        <v/>
      </c>
      <c r="D44" s="232">
        <f>IF('DM_NHAN_SU'!$B44="","",IF('DM_NHAN_SU'!AD44&gt;0,'DM_NHAN_SU'!AD44,12))</f>
        <v/>
      </c>
      <c r="E44" s="232">
        <f>IF('DM_NHAN_SU'!$B44="","",'DM_NHAN_SU'!AE44)</f>
        <v/>
      </c>
      <c r="F44" s="232">
        <f>IF('DM_NHAN_SU'!$B44="","",'DM_NHAN_SU'!AF44)</f>
        <v/>
      </c>
      <c r="G44" s="232">
        <f>IF($B44="","",SUM($D44:$F44))</f>
        <v/>
      </c>
      <c r="H44" s="232">
        <f>IF('DM_NHAN_SU'!$B44="","",'DM_NHAN_SU'!AG44)</f>
        <v/>
      </c>
      <c r="I44" s="232">
        <f>IF('DM_NHAN_SU'!$B44="","",'CHAM_CONG_THANG'!AR44)</f>
        <v/>
      </c>
      <c r="J44" s="227" t="n"/>
      <c r="K44" s="232">
        <f>IF($B44="","",$G44-$H44-$I44+$J44)</f>
        <v/>
      </c>
      <c r="L44" s="150">
        <f>IF($B44="","",IF('DM_NHAN_SU'!AD44="","Đang tạm dùng 12 ngày; kiểm tra 14/16 ngày và tỷ lệ; ","")&amp;IF($K44&lt;0,"Số phép âm; ","")&amp;IF(AND('DM_NHAN_SU'!$F44&gt;'THAM_SO'!$B$6,'DM_NHAN_SU'!$F44&lt;='THAM_SO'!$B$7),"Nhân viên mới trong kỳ – kiểm tra phép tỷ lệ; ",""))</f>
        <v/>
      </c>
    </row>
    <row r="45">
      <c r="A45" s="145">
        <f>IF('DM_NHAN_SU'!$B45="","",ROW()-5)</f>
        <v/>
      </c>
      <c r="B45" s="145">
        <f>IF('DM_NHAN_SU'!$B45="","",'DM_NHAN_SU'!B45)</f>
        <v/>
      </c>
      <c r="C45" s="145">
        <f>IF('DM_NHAN_SU'!$B45="","",'DM_NHAN_SU'!C45)</f>
        <v/>
      </c>
      <c r="D45" s="232">
        <f>IF('DM_NHAN_SU'!$B45="","",IF('DM_NHAN_SU'!AD45&gt;0,'DM_NHAN_SU'!AD45,12))</f>
        <v/>
      </c>
      <c r="E45" s="232">
        <f>IF('DM_NHAN_SU'!$B45="","",'DM_NHAN_SU'!AE45)</f>
        <v/>
      </c>
      <c r="F45" s="232">
        <f>IF('DM_NHAN_SU'!$B45="","",'DM_NHAN_SU'!AF45)</f>
        <v/>
      </c>
      <c r="G45" s="232">
        <f>IF($B45="","",SUM($D45:$F45))</f>
        <v/>
      </c>
      <c r="H45" s="232">
        <f>IF('DM_NHAN_SU'!$B45="","",'DM_NHAN_SU'!AG45)</f>
        <v/>
      </c>
      <c r="I45" s="232">
        <f>IF('DM_NHAN_SU'!$B45="","",'CHAM_CONG_THANG'!AR45)</f>
        <v/>
      </c>
      <c r="J45" s="227" t="n"/>
      <c r="K45" s="232">
        <f>IF($B45="","",$G45-$H45-$I45+$J45)</f>
        <v/>
      </c>
      <c r="L45" s="150">
        <f>IF($B45="","",IF('DM_NHAN_SU'!AD45="","Đang tạm dùng 12 ngày; kiểm tra 14/16 ngày và tỷ lệ; ","")&amp;IF($K45&lt;0,"Số phép âm; ","")&amp;IF(AND('DM_NHAN_SU'!$F45&gt;'THAM_SO'!$B$6,'DM_NHAN_SU'!$F45&lt;='THAM_SO'!$B$7),"Nhân viên mới trong kỳ – kiểm tra phép tỷ lệ; ",""))</f>
        <v/>
      </c>
    </row>
    <row r="46">
      <c r="A46" s="145">
        <f>IF('DM_NHAN_SU'!$B46="","",ROW()-5)</f>
        <v/>
      </c>
      <c r="B46" s="145">
        <f>IF('DM_NHAN_SU'!$B46="","",'DM_NHAN_SU'!B46)</f>
        <v/>
      </c>
      <c r="C46" s="145">
        <f>IF('DM_NHAN_SU'!$B46="","",'DM_NHAN_SU'!C46)</f>
        <v/>
      </c>
      <c r="D46" s="232">
        <f>IF('DM_NHAN_SU'!$B46="","",IF('DM_NHAN_SU'!AD46&gt;0,'DM_NHAN_SU'!AD46,12))</f>
        <v/>
      </c>
      <c r="E46" s="232">
        <f>IF('DM_NHAN_SU'!$B46="","",'DM_NHAN_SU'!AE46)</f>
        <v/>
      </c>
      <c r="F46" s="232">
        <f>IF('DM_NHAN_SU'!$B46="","",'DM_NHAN_SU'!AF46)</f>
        <v/>
      </c>
      <c r="G46" s="232">
        <f>IF($B46="","",SUM($D46:$F46))</f>
        <v/>
      </c>
      <c r="H46" s="232">
        <f>IF('DM_NHAN_SU'!$B46="","",'DM_NHAN_SU'!AG46)</f>
        <v/>
      </c>
      <c r="I46" s="232">
        <f>IF('DM_NHAN_SU'!$B46="","",'CHAM_CONG_THANG'!AR46)</f>
        <v/>
      </c>
      <c r="J46" s="227" t="n"/>
      <c r="K46" s="232">
        <f>IF($B46="","",$G46-$H46-$I46+$J46)</f>
        <v/>
      </c>
      <c r="L46" s="150">
        <f>IF($B46="","",IF('DM_NHAN_SU'!AD46="","Đang tạm dùng 12 ngày; kiểm tra 14/16 ngày và tỷ lệ; ","")&amp;IF($K46&lt;0,"Số phép âm; ","")&amp;IF(AND('DM_NHAN_SU'!$F46&gt;'THAM_SO'!$B$6,'DM_NHAN_SU'!$F46&lt;='THAM_SO'!$B$7),"Nhân viên mới trong kỳ – kiểm tra phép tỷ lệ; ",""))</f>
        <v/>
      </c>
    </row>
    <row r="47">
      <c r="A47" s="145">
        <f>IF('DM_NHAN_SU'!$B47="","",ROW()-5)</f>
        <v/>
      </c>
      <c r="B47" s="145">
        <f>IF('DM_NHAN_SU'!$B47="","",'DM_NHAN_SU'!B47)</f>
        <v/>
      </c>
      <c r="C47" s="145">
        <f>IF('DM_NHAN_SU'!$B47="","",'DM_NHAN_SU'!C47)</f>
        <v/>
      </c>
      <c r="D47" s="232">
        <f>IF('DM_NHAN_SU'!$B47="","",IF('DM_NHAN_SU'!AD47&gt;0,'DM_NHAN_SU'!AD47,12))</f>
        <v/>
      </c>
      <c r="E47" s="232">
        <f>IF('DM_NHAN_SU'!$B47="","",'DM_NHAN_SU'!AE47)</f>
        <v/>
      </c>
      <c r="F47" s="232">
        <f>IF('DM_NHAN_SU'!$B47="","",'DM_NHAN_SU'!AF47)</f>
        <v/>
      </c>
      <c r="G47" s="232">
        <f>IF($B47="","",SUM($D47:$F47))</f>
        <v/>
      </c>
      <c r="H47" s="232">
        <f>IF('DM_NHAN_SU'!$B47="","",'DM_NHAN_SU'!AG47)</f>
        <v/>
      </c>
      <c r="I47" s="232">
        <f>IF('DM_NHAN_SU'!$B47="","",'CHAM_CONG_THANG'!AR47)</f>
        <v/>
      </c>
      <c r="J47" s="227" t="n"/>
      <c r="K47" s="232">
        <f>IF($B47="","",$G47-$H47-$I47+$J47)</f>
        <v/>
      </c>
      <c r="L47" s="150">
        <f>IF($B47="","",IF('DM_NHAN_SU'!AD47="","Đang tạm dùng 12 ngày; kiểm tra 14/16 ngày và tỷ lệ; ","")&amp;IF($K47&lt;0,"Số phép âm; ","")&amp;IF(AND('DM_NHAN_SU'!$F47&gt;'THAM_SO'!$B$6,'DM_NHAN_SU'!$F47&lt;='THAM_SO'!$B$7),"Nhân viên mới trong kỳ – kiểm tra phép tỷ lệ; ",""))</f>
        <v/>
      </c>
    </row>
    <row r="48">
      <c r="A48" s="145">
        <f>IF('DM_NHAN_SU'!$B48="","",ROW()-5)</f>
        <v/>
      </c>
      <c r="B48" s="145">
        <f>IF('DM_NHAN_SU'!$B48="","",'DM_NHAN_SU'!B48)</f>
        <v/>
      </c>
      <c r="C48" s="145">
        <f>IF('DM_NHAN_SU'!$B48="","",'DM_NHAN_SU'!C48)</f>
        <v/>
      </c>
      <c r="D48" s="232">
        <f>IF('DM_NHAN_SU'!$B48="","",IF('DM_NHAN_SU'!AD48&gt;0,'DM_NHAN_SU'!AD48,12))</f>
        <v/>
      </c>
      <c r="E48" s="232">
        <f>IF('DM_NHAN_SU'!$B48="","",'DM_NHAN_SU'!AE48)</f>
        <v/>
      </c>
      <c r="F48" s="232">
        <f>IF('DM_NHAN_SU'!$B48="","",'DM_NHAN_SU'!AF48)</f>
        <v/>
      </c>
      <c r="G48" s="232">
        <f>IF($B48="","",SUM($D48:$F48))</f>
        <v/>
      </c>
      <c r="H48" s="232">
        <f>IF('DM_NHAN_SU'!$B48="","",'DM_NHAN_SU'!AG48)</f>
        <v/>
      </c>
      <c r="I48" s="232">
        <f>IF('DM_NHAN_SU'!$B48="","",'CHAM_CONG_THANG'!AR48)</f>
        <v/>
      </c>
      <c r="J48" s="227" t="n"/>
      <c r="K48" s="232">
        <f>IF($B48="","",$G48-$H48-$I48+$J48)</f>
        <v/>
      </c>
      <c r="L48" s="150">
        <f>IF($B48="","",IF('DM_NHAN_SU'!AD48="","Đang tạm dùng 12 ngày; kiểm tra 14/16 ngày và tỷ lệ; ","")&amp;IF($K48&lt;0,"Số phép âm; ","")&amp;IF(AND('DM_NHAN_SU'!$F48&gt;'THAM_SO'!$B$6,'DM_NHAN_SU'!$F48&lt;='THAM_SO'!$B$7),"Nhân viên mới trong kỳ – kiểm tra phép tỷ lệ; ",""))</f>
        <v/>
      </c>
    </row>
    <row r="49">
      <c r="A49" s="145">
        <f>IF('DM_NHAN_SU'!$B49="","",ROW()-5)</f>
        <v/>
      </c>
      <c r="B49" s="145">
        <f>IF('DM_NHAN_SU'!$B49="","",'DM_NHAN_SU'!B49)</f>
        <v/>
      </c>
      <c r="C49" s="145">
        <f>IF('DM_NHAN_SU'!$B49="","",'DM_NHAN_SU'!C49)</f>
        <v/>
      </c>
      <c r="D49" s="232">
        <f>IF('DM_NHAN_SU'!$B49="","",IF('DM_NHAN_SU'!AD49&gt;0,'DM_NHAN_SU'!AD49,12))</f>
        <v/>
      </c>
      <c r="E49" s="232">
        <f>IF('DM_NHAN_SU'!$B49="","",'DM_NHAN_SU'!AE49)</f>
        <v/>
      </c>
      <c r="F49" s="232">
        <f>IF('DM_NHAN_SU'!$B49="","",'DM_NHAN_SU'!AF49)</f>
        <v/>
      </c>
      <c r="G49" s="232">
        <f>IF($B49="","",SUM($D49:$F49))</f>
        <v/>
      </c>
      <c r="H49" s="232">
        <f>IF('DM_NHAN_SU'!$B49="","",'DM_NHAN_SU'!AG49)</f>
        <v/>
      </c>
      <c r="I49" s="232">
        <f>IF('DM_NHAN_SU'!$B49="","",'CHAM_CONG_THANG'!AR49)</f>
        <v/>
      </c>
      <c r="J49" s="227" t="n"/>
      <c r="K49" s="232">
        <f>IF($B49="","",$G49-$H49-$I49+$J49)</f>
        <v/>
      </c>
      <c r="L49" s="150">
        <f>IF($B49="","",IF('DM_NHAN_SU'!AD49="","Đang tạm dùng 12 ngày; kiểm tra 14/16 ngày và tỷ lệ; ","")&amp;IF($K49&lt;0,"Số phép âm; ","")&amp;IF(AND('DM_NHAN_SU'!$F49&gt;'THAM_SO'!$B$6,'DM_NHAN_SU'!$F49&lt;='THAM_SO'!$B$7),"Nhân viên mới trong kỳ – kiểm tra phép tỷ lệ; ",""))</f>
        <v/>
      </c>
    </row>
    <row r="50">
      <c r="A50" s="145">
        <f>IF('DM_NHAN_SU'!$B50="","",ROW()-5)</f>
        <v/>
      </c>
      <c r="B50" s="145">
        <f>IF('DM_NHAN_SU'!$B50="","",'DM_NHAN_SU'!B50)</f>
        <v/>
      </c>
      <c r="C50" s="145">
        <f>IF('DM_NHAN_SU'!$B50="","",'DM_NHAN_SU'!C50)</f>
        <v/>
      </c>
      <c r="D50" s="232">
        <f>IF('DM_NHAN_SU'!$B50="","",IF('DM_NHAN_SU'!AD50&gt;0,'DM_NHAN_SU'!AD50,12))</f>
        <v/>
      </c>
      <c r="E50" s="232">
        <f>IF('DM_NHAN_SU'!$B50="","",'DM_NHAN_SU'!AE50)</f>
        <v/>
      </c>
      <c r="F50" s="232">
        <f>IF('DM_NHAN_SU'!$B50="","",'DM_NHAN_SU'!AF50)</f>
        <v/>
      </c>
      <c r="G50" s="232">
        <f>IF($B50="","",SUM($D50:$F50))</f>
        <v/>
      </c>
      <c r="H50" s="232">
        <f>IF('DM_NHAN_SU'!$B50="","",'DM_NHAN_SU'!AG50)</f>
        <v/>
      </c>
      <c r="I50" s="232">
        <f>IF('DM_NHAN_SU'!$B50="","",'CHAM_CONG_THANG'!AR50)</f>
        <v/>
      </c>
      <c r="J50" s="227" t="n"/>
      <c r="K50" s="232">
        <f>IF($B50="","",$G50-$H50-$I50+$J50)</f>
        <v/>
      </c>
      <c r="L50" s="150">
        <f>IF($B50="","",IF('DM_NHAN_SU'!AD50="","Đang tạm dùng 12 ngày; kiểm tra 14/16 ngày và tỷ lệ; ","")&amp;IF($K50&lt;0,"Số phép âm; ","")&amp;IF(AND('DM_NHAN_SU'!$F50&gt;'THAM_SO'!$B$6,'DM_NHAN_SU'!$F50&lt;='THAM_SO'!$B$7),"Nhân viên mới trong kỳ – kiểm tra phép tỷ lệ; ",""))</f>
        <v/>
      </c>
    </row>
    <row r="51">
      <c r="A51" s="145">
        <f>IF('DM_NHAN_SU'!$B51="","",ROW()-5)</f>
        <v/>
      </c>
      <c r="B51" s="145">
        <f>IF('DM_NHAN_SU'!$B51="","",'DM_NHAN_SU'!B51)</f>
        <v/>
      </c>
      <c r="C51" s="145">
        <f>IF('DM_NHAN_SU'!$B51="","",'DM_NHAN_SU'!C51)</f>
        <v/>
      </c>
      <c r="D51" s="232">
        <f>IF('DM_NHAN_SU'!$B51="","",IF('DM_NHAN_SU'!AD51&gt;0,'DM_NHAN_SU'!AD51,12))</f>
        <v/>
      </c>
      <c r="E51" s="232">
        <f>IF('DM_NHAN_SU'!$B51="","",'DM_NHAN_SU'!AE51)</f>
        <v/>
      </c>
      <c r="F51" s="232">
        <f>IF('DM_NHAN_SU'!$B51="","",'DM_NHAN_SU'!AF51)</f>
        <v/>
      </c>
      <c r="G51" s="232">
        <f>IF($B51="","",SUM($D51:$F51))</f>
        <v/>
      </c>
      <c r="H51" s="232">
        <f>IF('DM_NHAN_SU'!$B51="","",'DM_NHAN_SU'!AG51)</f>
        <v/>
      </c>
      <c r="I51" s="232">
        <f>IF('DM_NHAN_SU'!$B51="","",'CHAM_CONG_THANG'!AR51)</f>
        <v/>
      </c>
      <c r="J51" s="227" t="n"/>
      <c r="K51" s="232">
        <f>IF($B51="","",$G51-$H51-$I51+$J51)</f>
        <v/>
      </c>
      <c r="L51" s="150">
        <f>IF($B51="","",IF('DM_NHAN_SU'!AD51="","Đang tạm dùng 12 ngày; kiểm tra 14/16 ngày và tỷ lệ; ","")&amp;IF($K51&lt;0,"Số phép âm; ","")&amp;IF(AND('DM_NHAN_SU'!$F51&gt;'THAM_SO'!$B$6,'DM_NHAN_SU'!$F51&lt;='THAM_SO'!$B$7),"Nhân viên mới trong kỳ – kiểm tra phép tỷ lệ; ",""))</f>
        <v/>
      </c>
    </row>
    <row r="52">
      <c r="A52" s="145">
        <f>IF('DM_NHAN_SU'!$B52="","",ROW()-5)</f>
        <v/>
      </c>
      <c r="B52" s="145">
        <f>IF('DM_NHAN_SU'!$B52="","",'DM_NHAN_SU'!B52)</f>
        <v/>
      </c>
      <c r="C52" s="145">
        <f>IF('DM_NHAN_SU'!$B52="","",'DM_NHAN_SU'!C52)</f>
        <v/>
      </c>
      <c r="D52" s="232">
        <f>IF('DM_NHAN_SU'!$B52="","",IF('DM_NHAN_SU'!AD52&gt;0,'DM_NHAN_SU'!AD52,12))</f>
        <v/>
      </c>
      <c r="E52" s="232">
        <f>IF('DM_NHAN_SU'!$B52="","",'DM_NHAN_SU'!AE52)</f>
        <v/>
      </c>
      <c r="F52" s="232">
        <f>IF('DM_NHAN_SU'!$B52="","",'DM_NHAN_SU'!AF52)</f>
        <v/>
      </c>
      <c r="G52" s="232">
        <f>IF($B52="","",SUM($D52:$F52))</f>
        <v/>
      </c>
      <c r="H52" s="232">
        <f>IF('DM_NHAN_SU'!$B52="","",'DM_NHAN_SU'!AG52)</f>
        <v/>
      </c>
      <c r="I52" s="232">
        <f>IF('DM_NHAN_SU'!$B52="","",'CHAM_CONG_THANG'!AR52)</f>
        <v/>
      </c>
      <c r="J52" s="227" t="n"/>
      <c r="K52" s="232">
        <f>IF($B52="","",$G52-$H52-$I52+$J52)</f>
        <v/>
      </c>
      <c r="L52" s="150">
        <f>IF($B52="","",IF('DM_NHAN_SU'!AD52="","Đang tạm dùng 12 ngày; kiểm tra 14/16 ngày và tỷ lệ; ","")&amp;IF($K52&lt;0,"Số phép âm; ","")&amp;IF(AND('DM_NHAN_SU'!$F52&gt;'THAM_SO'!$B$6,'DM_NHAN_SU'!$F52&lt;='THAM_SO'!$B$7),"Nhân viên mới trong kỳ – kiểm tra phép tỷ lệ; ",""))</f>
        <v/>
      </c>
    </row>
    <row r="53">
      <c r="A53" s="145">
        <f>IF('DM_NHAN_SU'!$B53="","",ROW()-5)</f>
        <v/>
      </c>
      <c r="B53" s="145">
        <f>IF('DM_NHAN_SU'!$B53="","",'DM_NHAN_SU'!B53)</f>
        <v/>
      </c>
      <c r="C53" s="145">
        <f>IF('DM_NHAN_SU'!$B53="","",'DM_NHAN_SU'!C53)</f>
        <v/>
      </c>
      <c r="D53" s="232">
        <f>IF('DM_NHAN_SU'!$B53="","",IF('DM_NHAN_SU'!AD53&gt;0,'DM_NHAN_SU'!AD53,12))</f>
        <v/>
      </c>
      <c r="E53" s="232">
        <f>IF('DM_NHAN_SU'!$B53="","",'DM_NHAN_SU'!AE53)</f>
        <v/>
      </c>
      <c r="F53" s="232">
        <f>IF('DM_NHAN_SU'!$B53="","",'DM_NHAN_SU'!AF53)</f>
        <v/>
      </c>
      <c r="G53" s="232">
        <f>IF($B53="","",SUM($D53:$F53))</f>
        <v/>
      </c>
      <c r="H53" s="232">
        <f>IF('DM_NHAN_SU'!$B53="","",'DM_NHAN_SU'!AG53)</f>
        <v/>
      </c>
      <c r="I53" s="232">
        <f>IF('DM_NHAN_SU'!$B53="","",'CHAM_CONG_THANG'!AR53)</f>
        <v/>
      </c>
      <c r="J53" s="227" t="n"/>
      <c r="K53" s="232">
        <f>IF($B53="","",$G53-$H53-$I53+$J53)</f>
        <v/>
      </c>
      <c r="L53" s="150">
        <f>IF($B53="","",IF('DM_NHAN_SU'!AD53="","Đang tạm dùng 12 ngày; kiểm tra 14/16 ngày và tỷ lệ; ","")&amp;IF($K53&lt;0,"Số phép âm; ","")&amp;IF(AND('DM_NHAN_SU'!$F53&gt;'THAM_SO'!$B$6,'DM_NHAN_SU'!$F53&lt;='THAM_SO'!$B$7),"Nhân viên mới trong kỳ – kiểm tra phép tỷ lệ; ",""))</f>
        <v/>
      </c>
    </row>
    <row r="54">
      <c r="A54" s="145">
        <f>IF('DM_NHAN_SU'!$B54="","",ROW()-5)</f>
        <v/>
      </c>
      <c r="B54" s="145">
        <f>IF('DM_NHAN_SU'!$B54="","",'DM_NHAN_SU'!B54)</f>
        <v/>
      </c>
      <c r="C54" s="145">
        <f>IF('DM_NHAN_SU'!$B54="","",'DM_NHAN_SU'!C54)</f>
        <v/>
      </c>
      <c r="D54" s="232">
        <f>IF('DM_NHAN_SU'!$B54="","",IF('DM_NHAN_SU'!AD54&gt;0,'DM_NHAN_SU'!AD54,12))</f>
        <v/>
      </c>
      <c r="E54" s="232">
        <f>IF('DM_NHAN_SU'!$B54="","",'DM_NHAN_SU'!AE54)</f>
        <v/>
      </c>
      <c r="F54" s="232">
        <f>IF('DM_NHAN_SU'!$B54="","",'DM_NHAN_SU'!AF54)</f>
        <v/>
      </c>
      <c r="G54" s="232">
        <f>IF($B54="","",SUM($D54:$F54))</f>
        <v/>
      </c>
      <c r="H54" s="232">
        <f>IF('DM_NHAN_SU'!$B54="","",'DM_NHAN_SU'!AG54)</f>
        <v/>
      </c>
      <c r="I54" s="232">
        <f>IF('DM_NHAN_SU'!$B54="","",'CHAM_CONG_THANG'!AR54)</f>
        <v/>
      </c>
      <c r="J54" s="227" t="n"/>
      <c r="K54" s="232">
        <f>IF($B54="","",$G54-$H54-$I54+$J54)</f>
        <v/>
      </c>
      <c r="L54" s="150">
        <f>IF($B54="","",IF('DM_NHAN_SU'!AD54="","Đang tạm dùng 12 ngày; kiểm tra 14/16 ngày và tỷ lệ; ","")&amp;IF($K54&lt;0,"Số phép âm; ","")&amp;IF(AND('DM_NHAN_SU'!$F54&gt;'THAM_SO'!$B$6,'DM_NHAN_SU'!$F54&lt;='THAM_SO'!$B$7),"Nhân viên mới trong kỳ – kiểm tra phép tỷ lệ; ",""))</f>
        <v/>
      </c>
    </row>
    <row r="55">
      <c r="A55" s="145">
        <f>IF('DM_NHAN_SU'!$B55="","",ROW()-5)</f>
        <v/>
      </c>
      <c r="B55" s="145">
        <f>IF('DM_NHAN_SU'!$B55="","",'DM_NHAN_SU'!B55)</f>
        <v/>
      </c>
      <c r="C55" s="145">
        <f>IF('DM_NHAN_SU'!$B55="","",'DM_NHAN_SU'!C55)</f>
        <v/>
      </c>
      <c r="D55" s="232">
        <f>IF('DM_NHAN_SU'!$B55="","",IF('DM_NHAN_SU'!AD55&gt;0,'DM_NHAN_SU'!AD55,12))</f>
        <v/>
      </c>
      <c r="E55" s="232">
        <f>IF('DM_NHAN_SU'!$B55="","",'DM_NHAN_SU'!AE55)</f>
        <v/>
      </c>
      <c r="F55" s="232">
        <f>IF('DM_NHAN_SU'!$B55="","",'DM_NHAN_SU'!AF55)</f>
        <v/>
      </c>
      <c r="G55" s="232">
        <f>IF($B55="","",SUM($D55:$F55))</f>
        <v/>
      </c>
      <c r="H55" s="232">
        <f>IF('DM_NHAN_SU'!$B55="","",'DM_NHAN_SU'!AG55)</f>
        <v/>
      </c>
      <c r="I55" s="232">
        <f>IF('DM_NHAN_SU'!$B55="","",'CHAM_CONG_THANG'!AR55)</f>
        <v/>
      </c>
      <c r="J55" s="227" t="n"/>
      <c r="K55" s="232">
        <f>IF($B55="","",$G55-$H55-$I55+$J55)</f>
        <v/>
      </c>
      <c r="L55" s="150">
        <f>IF($B55="","",IF('DM_NHAN_SU'!AD55="","Đang tạm dùng 12 ngày; kiểm tra 14/16 ngày và tỷ lệ; ","")&amp;IF($K55&lt;0,"Số phép âm; ","")&amp;IF(AND('DM_NHAN_SU'!$F55&gt;'THAM_SO'!$B$6,'DM_NHAN_SU'!$F55&lt;='THAM_SO'!$B$7),"Nhân viên mới trong kỳ – kiểm tra phép tỷ lệ; ",""))</f>
        <v/>
      </c>
    </row>
    <row r="56">
      <c r="A56" s="145">
        <f>IF('DM_NHAN_SU'!$B56="","",ROW()-5)</f>
        <v/>
      </c>
      <c r="B56" s="145">
        <f>IF('DM_NHAN_SU'!$B56="","",'DM_NHAN_SU'!B56)</f>
        <v/>
      </c>
      <c r="C56" s="145">
        <f>IF('DM_NHAN_SU'!$B56="","",'DM_NHAN_SU'!C56)</f>
        <v/>
      </c>
      <c r="D56" s="232">
        <f>IF('DM_NHAN_SU'!$B56="","",IF('DM_NHAN_SU'!AD56&gt;0,'DM_NHAN_SU'!AD56,12))</f>
        <v/>
      </c>
      <c r="E56" s="232">
        <f>IF('DM_NHAN_SU'!$B56="","",'DM_NHAN_SU'!AE56)</f>
        <v/>
      </c>
      <c r="F56" s="232">
        <f>IF('DM_NHAN_SU'!$B56="","",'DM_NHAN_SU'!AF56)</f>
        <v/>
      </c>
      <c r="G56" s="232">
        <f>IF($B56="","",SUM($D56:$F56))</f>
        <v/>
      </c>
      <c r="H56" s="232">
        <f>IF('DM_NHAN_SU'!$B56="","",'DM_NHAN_SU'!AG56)</f>
        <v/>
      </c>
      <c r="I56" s="232">
        <f>IF('DM_NHAN_SU'!$B56="","",'CHAM_CONG_THANG'!AR56)</f>
        <v/>
      </c>
      <c r="J56" s="227" t="n"/>
      <c r="K56" s="232">
        <f>IF($B56="","",$G56-$H56-$I56+$J56)</f>
        <v/>
      </c>
      <c r="L56" s="150">
        <f>IF($B56="","",IF('DM_NHAN_SU'!AD56="","Đang tạm dùng 12 ngày; kiểm tra 14/16 ngày và tỷ lệ; ","")&amp;IF($K56&lt;0,"Số phép âm; ","")&amp;IF(AND('DM_NHAN_SU'!$F56&gt;'THAM_SO'!$B$6,'DM_NHAN_SU'!$F56&lt;='THAM_SO'!$B$7),"Nhân viên mới trong kỳ – kiểm tra phép tỷ lệ; ",""))</f>
        <v/>
      </c>
    </row>
    <row r="57">
      <c r="A57" s="145">
        <f>IF('DM_NHAN_SU'!$B57="","",ROW()-5)</f>
        <v/>
      </c>
      <c r="B57" s="145">
        <f>IF('DM_NHAN_SU'!$B57="","",'DM_NHAN_SU'!B57)</f>
        <v/>
      </c>
      <c r="C57" s="145">
        <f>IF('DM_NHAN_SU'!$B57="","",'DM_NHAN_SU'!C57)</f>
        <v/>
      </c>
      <c r="D57" s="232">
        <f>IF('DM_NHAN_SU'!$B57="","",IF('DM_NHAN_SU'!AD57&gt;0,'DM_NHAN_SU'!AD57,12))</f>
        <v/>
      </c>
      <c r="E57" s="232">
        <f>IF('DM_NHAN_SU'!$B57="","",'DM_NHAN_SU'!AE57)</f>
        <v/>
      </c>
      <c r="F57" s="232">
        <f>IF('DM_NHAN_SU'!$B57="","",'DM_NHAN_SU'!AF57)</f>
        <v/>
      </c>
      <c r="G57" s="232">
        <f>IF($B57="","",SUM($D57:$F57))</f>
        <v/>
      </c>
      <c r="H57" s="232">
        <f>IF('DM_NHAN_SU'!$B57="","",'DM_NHAN_SU'!AG57)</f>
        <v/>
      </c>
      <c r="I57" s="232">
        <f>IF('DM_NHAN_SU'!$B57="","",'CHAM_CONG_THANG'!AR57)</f>
        <v/>
      </c>
      <c r="J57" s="227" t="n"/>
      <c r="K57" s="232">
        <f>IF($B57="","",$G57-$H57-$I57+$J57)</f>
        <v/>
      </c>
      <c r="L57" s="150">
        <f>IF($B57="","",IF('DM_NHAN_SU'!AD57="","Đang tạm dùng 12 ngày; kiểm tra 14/16 ngày và tỷ lệ; ","")&amp;IF($K57&lt;0,"Số phép âm; ","")&amp;IF(AND('DM_NHAN_SU'!$F57&gt;'THAM_SO'!$B$6,'DM_NHAN_SU'!$F57&lt;='THAM_SO'!$B$7),"Nhân viên mới trong kỳ – kiểm tra phép tỷ lệ; ",""))</f>
        <v/>
      </c>
    </row>
    <row r="58">
      <c r="A58" s="145">
        <f>IF('DM_NHAN_SU'!$B58="","",ROW()-5)</f>
        <v/>
      </c>
      <c r="B58" s="145">
        <f>IF('DM_NHAN_SU'!$B58="","",'DM_NHAN_SU'!B58)</f>
        <v/>
      </c>
      <c r="C58" s="145">
        <f>IF('DM_NHAN_SU'!$B58="","",'DM_NHAN_SU'!C58)</f>
        <v/>
      </c>
      <c r="D58" s="232">
        <f>IF('DM_NHAN_SU'!$B58="","",IF('DM_NHAN_SU'!AD58&gt;0,'DM_NHAN_SU'!AD58,12))</f>
        <v/>
      </c>
      <c r="E58" s="232">
        <f>IF('DM_NHAN_SU'!$B58="","",'DM_NHAN_SU'!AE58)</f>
        <v/>
      </c>
      <c r="F58" s="232">
        <f>IF('DM_NHAN_SU'!$B58="","",'DM_NHAN_SU'!AF58)</f>
        <v/>
      </c>
      <c r="G58" s="232">
        <f>IF($B58="","",SUM($D58:$F58))</f>
        <v/>
      </c>
      <c r="H58" s="232">
        <f>IF('DM_NHAN_SU'!$B58="","",'DM_NHAN_SU'!AG58)</f>
        <v/>
      </c>
      <c r="I58" s="232">
        <f>IF('DM_NHAN_SU'!$B58="","",'CHAM_CONG_THANG'!AR58)</f>
        <v/>
      </c>
      <c r="J58" s="227" t="n"/>
      <c r="K58" s="232">
        <f>IF($B58="","",$G58-$H58-$I58+$J58)</f>
        <v/>
      </c>
      <c r="L58" s="150">
        <f>IF($B58="","",IF('DM_NHAN_SU'!AD58="","Đang tạm dùng 12 ngày; kiểm tra 14/16 ngày và tỷ lệ; ","")&amp;IF($K58&lt;0,"Số phép âm; ","")&amp;IF(AND('DM_NHAN_SU'!$F58&gt;'THAM_SO'!$B$6,'DM_NHAN_SU'!$F58&lt;='THAM_SO'!$B$7),"Nhân viên mới trong kỳ – kiểm tra phép tỷ lệ; ",""))</f>
        <v/>
      </c>
    </row>
    <row r="59">
      <c r="A59" s="145">
        <f>IF('DM_NHAN_SU'!$B59="","",ROW()-5)</f>
        <v/>
      </c>
      <c r="B59" s="145">
        <f>IF('DM_NHAN_SU'!$B59="","",'DM_NHAN_SU'!B59)</f>
        <v/>
      </c>
      <c r="C59" s="145">
        <f>IF('DM_NHAN_SU'!$B59="","",'DM_NHAN_SU'!C59)</f>
        <v/>
      </c>
      <c r="D59" s="232">
        <f>IF('DM_NHAN_SU'!$B59="","",IF('DM_NHAN_SU'!AD59&gt;0,'DM_NHAN_SU'!AD59,12))</f>
        <v/>
      </c>
      <c r="E59" s="232">
        <f>IF('DM_NHAN_SU'!$B59="","",'DM_NHAN_SU'!AE59)</f>
        <v/>
      </c>
      <c r="F59" s="232">
        <f>IF('DM_NHAN_SU'!$B59="","",'DM_NHAN_SU'!AF59)</f>
        <v/>
      </c>
      <c r="G59" s="232">
        <f>IF($B59="","",SUM($D59:$F59))</f>
        <v/>
      </c>
      <c r="H59" s="232">
        <f>IF('DM_NHAN_SU'!$B59="","",'DM_NHAN_SU'!AG59)</f>
        <v/>
      </c>
      <c r="I59" s="232">
        <f>IF('DM_NHAN_SU'!$B59="","",'CHAM_CONG_THANG'!AR59)</f>
        <v/>
      </c>
      <c r="J59" s="227" t="n"/>
      <c r="K59" s="232">
        <f>IF($B59="","",$G59-$H59-$I59+$J59)</f>
        <v/>
      </c>
      <c r="L59" s="150">
        <f>IF($B59="","",IF('DM_NHAN_SU'!AD59="","Đang tạm dùng 12 ngày; kiểm tra 14/16 ngày và tỷ lệ; ","")&amp;IF($K59&lt;0,"Số phép âm; ","")&amp;IF(AND('DM_NHAN_SU'!$F59&gt;'THAM_SO'!$B$6,'DM_NHAN_SU'!$F59&lt;='THAM_SO'!$B$7),"Nhân viên mới trong kỳ – kiểm tra phép tỷ lệ; ",""))</f>
        <v/>
      </c>
    </row>
    <row r="60">
      <c r="A60" s="145">
        <f>IF('DM_NHAN_SU'!$B60="","",ROW()-5)</f>
        <v/>
      </c>
      <c r="B60" s="145">
        <f>IF('DM_NHAN_SU'!$B60="","",'DM_NHAN_SU'!B60)</f>
        <v/>
      </c>
      <c r="C60" s="145">
        <f>IF('DM_NHAN_SU'!$B60="","",'DM_NHAN_SU'!C60)</f>
        <v/>
      </c>
      <c r="D60" s="232">
        <f>IF('DM_NHAN_SU'!$B60="","",IF('DM_NHAN_SU'!AD60&gt;0,'DM_NHAN_SU'!AD60,12))</f>
        <v/>
      </c>
      <c r="E60" s="232">
        <f>IF('DM_NHAN_SU'!$B60="","",'DM_NHAN_SU'!AE60)</f>
        <v/>
      </c>
      <c r="F60" s="232">
        <f>IF('DM_NHAN_SU'!$B60="","",'DM_NHAN_SU'!AF60)</f>
        <v/>
      </c>
      <c r="G60" s="232">
        <f>IF($B60="","",SUM($D60:$F60))</f>
        <v/>
      </c>
      <c r="H60" s="232">
        <f>IF('DM_NHAN_SU'!$B60="","",'DM_NHAN_SU'!AG60)</f>
        <v/>
      </c>
      <c r="I60" s="232">
        <f>IF('DM_NHAN_SU'!$B60="","",'CHAM_CONG_THANG'!AR60)</f>
        <v/>
      </c>
      <c r="J60" s="227" t="n"/>
      <c r="K60" s="232">
        <f>IF($B60="","",$G60-$H60-$I60+$J60)</f>
        <v/>
      </c>
      <c r="L60" s="150">
        <f>IF($B60="","",IF('DM_NHAN_SU'!AD60="","Đang tạm dùng 12 ngày; kiểm tra 14/16 ngày và tỷ lệ; ","")&amp;IF($K60&lt;0,"Số phép âm; ","")&amp;IF(AND('DM_NHAN_SU'!$F60&gt;'THAM_SO'!$B$6,'DM_NHAN_SU'!$F60&lt;='THAM_SO'!$B$7),"Nhân viên mới trong kỳ – kiểm tra phép tỷ lệ; ",""))</f>
        <v/>
      </c>
    </row>
    <row r="61">
      <c r="A61" s="145">
        <f>IF('DM_NHAN_SU'!$B61="","",ROW()-5)</f>
        <v/>
      </c>
      <c r="B61" s="145">
        <f>IF('DM_NHAN_SU'!$B61="","",'DM_NHAN_SU'!B61)</f>
        <v/>
      </c>
      <c r="C61" s="145">
        <f>IF('DM_NHAN_SU'!$B61="","",'DM_NHAN_SU'!C61)</f>
        <v/>
      </c>
      <c r="D61" s="232">
        <f>IF('DM_NHAN_SU'!$B61="","",IF('DM_NHAN_SU'!AD61&gt;0,'DM_NHAN_SU'!AD61,12))</f>
        <v/>
      </c>
      <c r="E61" s="232">
        <f>IF('DM_NHAN_SU'!$B61="","",'DM_NHAN_SU'!AE61)</f>
        <v/>
      </c>
      <c r="F61" s="232">
        <f>IF('DM_NHAN_SU'!$B61="","",'DM_NHAN_SU'!AF61)</f>
        <v/>
      </c>
      <c r="G61" s="232">
        <f>IF($B61="","",SUM($D61:$F61))</f>
        <v/>
      </c>
      <c r="H61" s="232">
        <f>IF('DM_NHAN_SU'!$B61="","",'DM_NHAN_SU'!AG61)</f>
        <v/>
      </c>
      <c r="I61" s="232">
        <f>IF('DM_NHAN_SU'!$B61="","",'CHAM_CONG_THANG'!AR61)</f>
        <v/>
      </c>
      <c r="J61" s="227" t="n"/>
      <c r="K61" s="232">
        <f>IF($B61="","",$G61-$H61-$I61+$J61)</f>
        <v/>
      </c>
      <c r="L61" s="150">
        <f>IF($B61="","",IF('DM_NHAN_SU'!AD61="","Đang tạm dùng 12 ngày; kiểm tra 14/16 ngày và tỷ lệ; ","")&amp;IF($K61&lt;0,"Số phép âm; ","")&amp;IF(AND('DM_NHAN_SU'!$F61&gt;'THAM_SO'!$B$6,'DM_NHAN_SU'!$F61&lt;='THAM_SO'!$B$7),"Nhân viên mới trong kỳ – kiểm tra phép tỷ lệ; ",""))</f>
        <v/>
      </c>
    </row>
    <row r="62">
      <c r="A62" s="145">
        <f>IF('DM_NHAN_SU'!$B62="","",ROW()-5)</f>
        <v/>
      </c>
      <c r="B62" s="145">
        <f>IF('DM_NHAN_SU'!$B62="","",'DM_NHAN_SU'!B62)</f>
        <v/>
      </c>
      <c r="C62" s="145">
        <f>IF('DM_NHAN_SU'!$B62="","",'DM_NHAN_SU'!C62)</f>
        <v/>
      </c>
      <c r="D62" s="232">
        <f>IF('DM_NHAN_SU'!$B62="","",IF('DM_NHAN_SU'!AD62&gt;0,'DM_NHAN_SU'!AD62,12))</f>
        <v/>
      </c>
      <c r="E62" s="232">
        <f>IF('DM_NHAN_SU'!$B62="","",'DM_NHAN_SU'!AE62)</f>
        <v/>
      </c>
      <c r="F62" s="232">
        <f>IF('DM_NHAN_SU'!$B62="","",'DM_NHAN_SU'!AF62)</f>
        <v/>
      </c>
      <c r="G62" s="232">
        <f>IF($B62="","",SUM($D62:$F62))</f>
        <v/>
      </c>
      <c r="H62" s="232">
        <f>IF('DM_NHAN_SU'!$B62="","",'DM_NHAN_SU'!AG62)</f>
        <v/>
      </c>
      <c r="I62" s="232">
        <f>IF('DM_NHAN_SU'!$B62="","",'CHAM_CONG_THANG'!AR62)</f>
        <v/>
      </c>
      <c r="J62" s="227" t="n"/>
      <c r="K62" s="232">
        <f>IF($B62="","",$G62-$H62-$I62+$J62)</f>
        <v/>
      </c>
      <c r="L62" s="150">
        <f>IF($B62="","",IF('DM_NHAN_SU'!AD62="","Đang tạm dùng 12 ngày; kiểm tra 14/16 ngày và tỷ lệ; ","")&amp;IF($K62&lt;0,"Số phép âm; ","")&amp;IF(AND('DM_NHAN_SU'!$F62&gt;'THAM_SO'!$B$6,'DM_NHAN_SU'!$F62&lt;='THAM_SO'!$B$7),"Nhân viên mới trong kỳ – kiểm tra phép tỷ lệ; ",""))</f>
        <v/>
      </c>
    </row>
    <row r="63">
      <c r="A63" s="145">
        <f>IF('DM_NHAN_SU'!$B63="","",ROW()-5)</f>
        <v/>
      </c>
      <c r="B63" s="145">
        <f>IF('DM_NHAN_SU'!$B63="","",'DM_NHAN_SU'!B63)</f>
        <v/>
      </c>
      <c r="C63" s="145">
        <f>IF('DM_NHAN_SU'!$B63="","",'DM_NHAN_SU'!C63)</f>
        <v/>
      </c>
      <c r="D63" s="232">
        <f>IF('DM_NHAN_SU'!$B63="","",IF('DM_NHAN_SU'!AD63&gt;0,'DM_NHAN_SU'!AD63,12))</f>
        <v/>
      </c>
      <c r="E63" s="232">
        <f>IF('DM_NHAN_SU'!$B63="","",'DM_NHAN_SU'!AE63)</f>
        <v/>
      </c>
      <c r="F63" s="232">
        <f>IF('DM_NHAN_SU'!$B63="","",'DM_NHAN_SU'!AF63)</f>
        <v/>
      </c>
      <c r="G63" s="232">
        <f>IF($B63="","",SUM($D63:$F63))</f>
        <v/>
      </c>
      <c r="H63" s="232">
        <f>IF('DM_NHAN_SU'!$B63="","",'DM_NHAN_SU'!AG63)</f>
        <v/>
      </c>
      <c r="I63" s="232">
        <f>IF('DM_NHAN_SU'!$B63="","",'CHAM_CONG_THANG'!AR63)</f>
        <v/>
      </c>
      <c r="J63" s="227" t="n"/>
      <c r="K63" s="232">
        <f>IF($B63="","",$G63-$H63-$I63+$J63)</f>
        <v/>
      </c>
      <c r="L63" s="150">
        <f>IF($B63="","",IF('DM_NHAN_SU'!AD63="","Đang tạm dùng 12 ngày; kiểm tra 14/16 ngày và tỷ lệ; ","")&amp;IF($K63&lt;0,"Số phép âm; ","")&amp;IF(AND('DM_NHAN_SU'!$F63&gt;'THAM_SO'!$B$6,'DM_NHAN_SU'!$F63&lt;='THAM_SO'!$B$7),"Nhân viên mới trong kỳ – kiểm tra phép tỷ lệ; ",""))</f>
        <v/>
      </c>
    </row>
    <row r="64">
      <c r="A64" s="145">
        <f>IF('DM_NHAN_SU'!$B64="","",ROW()-5)</f>
        <v/>
      </c>
      <c r="B64" s="145">
        <f>IF('DM_NHAN_SU'!$B64="","",'DM_NHAN_SU'!B64)</f>
        <v/>
      </c>
      <c r="C64" s="145">
        <f>IF('DM_NHAN_SU'!$B64="","",'DM_NHAN_SU'!C64)</f>
        <v/>
      </c>
      <c r="D64" s="232">
        <f>IF('DM_NHAN_SU'!$B64="","",IF('DM_NHAN_SU'!AD64&gt;0,'DM_NHAN_SU'!AD64,12))</f>
        <v/>
      </c>
      <c r="E64" s="232">
        <f>IF('DM_NHAN_SU'!$B64="","",'DM_NHAN_SU'!AE64)</f>
        <v/>
      </c>
      <c r="F64" s="232">
        <f>IF('DM_NHAN_SU'!$B64="","",'DM_NHAN_SU'!AF64)</f>
        <v/>
      </c>
      <c r="G64" s="232">
        <f>IF($B64="","",SUM($D64:$F64))</f>
        <v/>
      </c>
      <c r="H64" s="232">
        <f>IF('DM_NHAN_SU'!$B64="","",'DM_NHAN_SU'!AG64)</f>
        <v/>
      </c>
      <c r="I64" s="232">
        <f>IF('DM_NHAN_SU'!$B64="","",'CHAM_CONG_THANG'!AR64)</f>
        <v/>
      </c>
      <c r="J64" s="227" t="n"/>
      <c r="K64" s="232">
        <f>IF($B64="","",$G64-$H64-$I64+$J64)</f>
        <v/>
      </c>
      <c r="L64" s="150">
        <f>IF($B64="","",IF('DM_NHAN_SU'!AD64="","Đang tạm dùng 12 ngày; kiểm tra 14/16 ngày và tỷ lệ; ","")&amp;IF($K64&lt;0,"Số phép âm; ","")&amp;IF(AND('DM_NHAN_SU'!$F64&gt;'THAM_SO'!$B$6,'DM_NHAN_SU'!$F64&lt;='THAM_SO'!$B$7),"Nhân viên mới trong kỳ – kiểm tra phép tỷ lệ; ",""))</f>
        <v/>
      </c>
    </row>
    <row r="65">
      <c r="A65" s="145">
        <f>IF('DM_NHAN_SU'!$B65="","",ROW()-5)</f>
        <v/>
      </c>
      <c r="B65" s="145">
        <f>IF('DM_NHAN_SU'!$B65="","",'DM_NHAN_SU'!B65)</f>
        <v/>
      </c>
      <c r="C65" s="145">
        <f>IF('DM_NHAN_SU'!$B65="","",'DM_NHAN_SU'!C65)</f>
        <v/>
      </c>
      <c r="D65" s="232">
        <f>IF('DM_NHAN_SU'!$B65="","",IF('DM_NHAN_SU'!AD65&gt;0,'DM_NHAN_SU'!AD65,12))</f>
        <v/>
      </c>
      <c r="E65" s="232">
        <f>IF('DM_NHAN_SU'!$B65="","",'DM_NHAN_SU'!AE65)</f>
        <v/>
      </c>
      <c r="F65" s="232">
        <f>IF('DM_NHAN_SU'!$B65="","",'DM_NHAN_SU'!AF65)</f>
        <v/>
      </c>
      <c r="G65" s="232">
        <f>IF($B65="","",SUM($D65:$F65))</f>
        <v/>
      </c>
      <c r="H65" s="232">
        <f>IF('DM_NHAN_SU'!$B65="","",'DM_NHAN_SU'!AG65)</f>
        <v/>
      </c>
      <c r="I65" s="232">
        <f>IF('DM_NHAN_SU'!$B65="","",'CHAM_CONG_THANG'!AR65)</f>
        <v/>
      </c>
      <c r="J65" s="227" t="n"/>
      <c r="K65" s="232">
        <f>IF($B65="","",$G65-$H65-$I65+$J65)</f>
        <v/>
      </c>
      <c r="L65" s="150">
        <f>IF($B65="","",IF('DM_NHAN_SU'!AD65="","Đang tạm dùng 12 ngày; kiểm tra 14/16 ngày và tỷ lệ; ","")&amp;IF($K65&lt;0,"Số phép âm; ","")&amp;IF(AND('DM_NHAN_SU'!$F65&gt;'THAM_SO'!$B$6,'DM_NHAN_SU'!$F65&lt;='THAM_SO'!$B$7),"Nhân viên mới trong kỳ – kiểm tra phép tỷ lệ; ",""))</f>
        <v/>
      </c>
    </row>
    <row r="66">
      <c r="A66" s="145">
        <f>IF('DM_NHAN_SU'!$B66="","",ROW()-5)</f>
        <v/>
      </c>
      <c r="B66" s="145">
        <f>IF('DM_NHAN_SU'!$B66="","",'DM_NHAN_SU'!B66)</f>
        <v/>
      </c>
      <c r="C66" s="145">
        <f>IF('DM_NHAN_SU'!$B66="","",'DM_NHAN_SU'!C66)</f>
        <v/>
      </c>
      <c r="D66" s="232">
        <f>IF('DM_NHAN_SU'!$B66="","",IF('DM_NHAN_SU'!AD66&gt;0,'DM_NHAN_SU'!AD66,12))</f>
        <v/>
      </c>
      <c r="E66" s="232">
        <f>IF('DM_NHAN_SU'!$B66="","",'DM_NHAN_SU'!AE66)</f>
        <v/>
      </c>
      <c r="F66" s="232">
        <f>IF('DM_NHAN_SU'!$B66="","",'DM_NHAN_SU'!AF66)</f>
        <v/>
      </c>
      <c r="G66" s="232">
        <f>IF($B66="","",SUM($D66:$F66))</f>
        <v/>
      </c>
      <c r="H66" s="232">
        <f>IF('DM_NHAN_SU'!$B66="","",'DM_NHAN_SU'!AG66)</f>
        <v/>
      </c>
      <c r="I66" s="232">
        <f>IF('DM_NHAN_SU'!$B66="","",'CHAM_CONG_THANG'!AR66)</f>
        <v/>
      </c>
      <c r="J66" s="227" t="n"/>
      <c r="K66" s="232">
        <f>IF($B66="","",$G66-$H66-$I66+$J66)</f>
        <v/>
      </c>
      <c r="L66" s="150">
        <f>IF($B66="","",IF('DM_NHAN_SU'!AD66="","Đang tạm dùng 12 ngày; kiểm tra 14/16 ngày và tỷ lệ; ","")&amp;IF($K66&lt;0,"Số phép âm; ","")&amp;IF(AND('DM_NHAN_SU'!$F66&gt;'THAM_SO'!$B$6,'DM_NHAN_SU'!$F66&lt;='THAM_SO'!$B$7),"Nhân viên mới trong kỳ – kiểm tra phép tỷ lệ; ",""))</f>
        <v/>
      </c>
    </row>
    <row r="67">
      <c r="A67" s="145">
        <f>IF('DM_NHAN_SU'!$B67="","",ROW()-5)</f>
        <v/>
      </c>
      <c r="B67" s="145">
        <f>IF('DM_NHAN_SU'!$B67="","",'DM_NHAN_SU'!B67)</f>
        <v/>
      </c>
      <c r="C67" s="145">
        <f>IF('DM_NHAN_SU'!$B67="","",'DM_NHAN_SU'!C67)</f>
        <v/>
      </c>
      <c r="D67" s="232">
        <f>IF('DM_NHAN_SU'!$B67="","",IF('DM_NHAN_SU'!AD67&gt;0,'DM_NHAN_SU'!AD67,12))</f>
        <v/>
      </c>
      <c r="E67" s="232">
        <f>IF('DM_NHAN_SU'!$B67="","",'DM_NHAN_SU'!AE67)</f>
        <v/>
      </c>
      <c r="F67" s="232">
        <f>IF('DM_NHAN_SU'!$B67="","",'DM_NHAN_SU'!AF67)</f>
        <v/>
      </c>
      <c r="G67" s="232">
        <f>IF($B67="","",SUM($D67:$F67))</f>
        <v/>
      </c>
      <c r="H67" s="232">
        <f>IF('DM_NHAN_SU'!$B67="","",'DM_NHAN_SU'!AG67)</f>
        <v/>
      </c>
      <c r="I67" s="232">
        <f>IF('DM_NHAN_SU'!$B67="","",'CHAM_CONG_THANG'!AR67)</f>
        <v/>
      </c>
      <c r="J67" s="227" t="n"/>
      <c r="K67" s="232">
        <f>IF($B67="","",$G67-$H67-$I67+$J67)</f>
        <v/>
      </c>
      <c r="L67" s="150">
        <f>IF($B67="","",IF('DM_NHAN_SU'!AD67="","Đang tạm dùng 12 ngày; kiểm tra 14/16 ngày và tỷ lệ; ","")&amp;IF($K67&lt;0,"Số phép âm; ","")&amp;IF(AND('DM_NHAN_SU'!$F67&gt;'THAM_SO'!$B$6,'DM_NHAN_SU'!$F67&lt;='THAM_SO'!$B$7),"Nhân viên mới trong kỳ – kiểm tra phép tỷ lệ; ",""))</f>
        <v/>
      </c>
    </row>
    <row r="68">
      <c r="A68" s="145">
        <f>IF('DM_NHAN_SU'!$B68="","",ROW()-5)</f>
        <v/>
      </c>
      <c r="B68" s="145">
        <f>IF('DM_NHAN_SU'!$B68="","",'DM_NHAN_SU'!B68)</f>
        <v/>
      </c>
      <c r="C68" s="145">
        <f>IF('DM_NHAN_SU'!$B68="","",'DM_NHAN_SU'!C68)</f>
        <v/>
      </c>
      <c r="D68" s="232">
        <f>IF('DM_NHAN_SU'!$B68="","",IF('DM_NHAN_SU'!AD68&gt;0,'DM_NHAN_SU'!AD68,12))</f>
        <v/>
      </c>
      <c r="E68" s="232">
        <f>IF('DM_NHAN_SU'!$B68="","",'DM_NHAN_SU'!AE68)</f>
        <v/>
      </c>
      <c r="F68" s="232">
        <f>IF('DM_NHAN_SU'!$B68="","",'DM_NHAN_SU'!AF68)</f>
        <v/>
      </c>
      <c r="G68" s="232">
        <f>IF($B68="","",SUM($D68:$F68))</f>
        <v/>
      </c>
      <c r="H68" s="232">
        <f>IF('DM_NHAN_SU'!$B68="","",'DM_NHAN_SU'!AG68)</f>
        <v/>
      </c>
      <c r="I68" s="232">
        <f>IF('DM_NHAN_SU'!$B68="","",'CHAM_CONG_THANG'!AR68)</f>
        <v/>
      </c>
      <c r="J68" s="227" t="n"/>
      <c r="K68" s="232">
        <f>IF($B68="","",$G68-$H68-$I68+$J68)</f>
        <v/>
      </c>
      <c r="L68" s="150">
        <f>IF($B68="","",IF('DM_NHAN_SU'!AD68="","Đang tạm dùng 12 ngày; kiểm tra 14/16 ngày và tỷ lệ; ","")&amp;IF($K68&lt;0,"Số phép âm; ","")&amp;IF(AND('DM_NHAN_SU'!$F68&gt;'THAM_SO'!$B$6,'DM_NHAN_SU'!$F68&lt;='THAM_SO'!$B$7),"Nhân viên mới trong kỳ – kiểm tra phép tỷ lệ; ",""))</f>
        <v/>
      </c>
    </row>
    <row r="69">
      <c r="A69" s="145">
        <f>IF('DM_NHAN_SU'!$B69="","",ROW()-5)</f>
        <v/>
      </c>
      <c r="B69" s="145">
        <f>IF('DM_NHAN_SU'!$B69="","",'DM_NHAN_SU'!B69)</f>
        <v/>
      </c>
      <c r="C69" s="145">
        <f>IF('DM_NHAN_SU'!$B69="","",'DM_NHAN_SU'!C69)</f>
        <v/>
      </c>
      <c r="D69" s="232">
        <f>IF('DM_NHAN_SU'!$B69="","",IF('DM_NHAN_SU'!AD69&gt;0,'DM_NHAN_SU'!AD69,12))</f>
        <v/>
      </c>
      <c r="E69" s="232">
        <f>IF('DM_NHAN_SU'!$B69="","",'DM_NHAN_SU'!AE69)</f>
        <v/>
      </c>
      <c r="F69" s="232">
        <f>IF('DM_NHAN_SU'!$B69="","",'DM_NHAN_SU'!AF69)</f>
        <v/>
      </c>
      <c r="G69" s="232">
        <f>IF($B69="","",SUM($D69:$F69))</f>
        <v/>
      </c>
      <c r="H69" s="232">
        <f>IF('DM_NHAN_SU'!$B69="","",'DM_NHAN_SU'!AG69)</f>
        <v/>
      </c>
      <c r="I69" s="232">
        <f>IF('DM_NHAN_SU'!$B69="","",'CHAM_CONG_THANG'!AR69)</f>
        <v/>
      </c>
      <c r="J69" s="227" t="n"/>
      <c r="K69" s="232">
        <f>IF($B69="","",$G69-$H69-$I69+$J69)</f>
        <v/>
      </c>
      <c r="L69" s="150">
        <f>IF($B69="","",IF('DM_NHAN_SU'!AD69="","Đang tạm dùng 12 ngày; kiểm tra 14/16 ngày và tỷ lệ; ","")&amp;IF($K69&lt;0,"Số phép âm; ","")&amp;IF(AND('DM_NHAN_SU'!$F69&gt;'THAM_SO'!$B$6,'DM_NHAN_SU'!$F69&lt;='THAM_SO'!$B$7),"Nhân viên mới trong kỳ – kiểm tra phép tỷ lệ; ",""))</f>
        <v/>
      </c>
    </row>
    <row r="70">
      <c r="A70" s="145">
        <f>IF('DM_NHAN_SU'!$B70="","",ROW()-5)</f>
        <v/>
      </c>
      <c r="B70" s="145">
        <f>IF('DM_NHAN_SU'!$B70="","",'DM_NHAN_SU'!B70)</f>
        <v/>
      </c>
      <c r="C70" s="145">
        <f>IF('DM_NHAN_SU'!$B70="","",'DM_NHAN_SU'!C70)</f>
        <v/>
      </c>
      <c r="D70" s="232">
        <f>IF('DM_NHAN_SU'!$B70="","",IF('DM_NHAN_SU'!AD70&gt;0,'DM_NHAN_SU'!AD70,12))</f>
        <v/>
      </c>
      <c r="E70" s="232">
        <f>IF('DM_NHAN_SU'!$B70="","",'DM_NHAN_SU'!AE70)</f>
        <v/>
      </c>
      <c r="F70" s="232">
        <f>IF('DM_NHAN_SU'!$B70="","",'DM_NHAN_SU'!AF70)</f>
        <v/>
      </c>
      <c r="G70" s="232">
        <f>IF($B70="","",SUM($D70:$F70))</f>
        <v/>
      </c>
      <c r="H70" s="232">
        <f>IF('DM_NHAN_SU'!$B70="","",'DM_NHAN_SU'!AG70)</f>
        <v/>
      </c>
      <c r="I70" s="232">
        <f>IF('DM_NHAN_SU'!$B70="","",'CHAM_CONG_THANG'!AR70)</f>
        <v/>
      </c>
      <c r="J70" s="227" t="n"/>
      <c r="K70" s="232">
        <f>IF($B70="","",$G70-$H70-$I70+$J70)</f>
        <v/>
      </c>
      <c r="L70" s="150">
        <f>IF($B70="","",IF('DM_NHAN_SU'!AD70="","Đang tạm dùng 12 ngày; kiểm tra 14/16 ngày và tỷ lệ; ","")&amp;IF($K70&lt;0,"Số phép âm; ","")&amp;IF(AND('DM_NHAN_SU'!$F70&gt;'THAM_SO'!$B$6,'DM_NHAN_SU'!$F70&lt;='THAM_SO'!$B$7),"Nhân viên mới trong kỳ – kiểm tra phép tỷ lệ; ",""))</f>
        <v/>
      </c>
    </row>
    <row r="71">
      <c r="A71" s="145">
        <f>IF('DM_NHAN_SU'!$B71="","",ROW()-5)</f>
        <v/>
      </c>
      <c r="B71" s="145">
        <f>IF('DM_NHAN_SU'!$B71="","",'DM_NHAN_SU'!B71)</f>
        <v/>
      </c>
      <c r="C71" s="145">
        <f>IF('DM_NHAN_SU'!$B71="","",'DM_NHAN_SU'!C71)</f>
        <v/>
      </c>
      <c r="D71" s="232">
        <f>IF('DM_NHAN_SU'!$B71="","",IF('DM_NHAN_SU'!AD71&gt;0,'DM_NHAN_SU'!AD71,12))</f>
        <v/>
      </c>
      <c r="E71" s="232">
        <f>IF('DM_NHAN_SU'!$B71="","",'DM_NHAN_SU'!AE71)</f>
        <v/>
      </c>
      <c r="F71" s="232">
        <f>IF('DM_NHAN_SU'!$B71="","",'DM_NHAN_SU'!AF71)</f>
        <v/>
      </c>
      <c r="G71" s="232">
        <f>IF($B71="","",SUM($D71:$F71))</f>
        <v/>
      </c>
      <c r="H71" s="232">
        <f>IF('DM_NHAN_SU'!$B71="","",'DM_NHAN_SU'!AG71)</f>
        <v/>
      </c>
      <c r="I71" s="232">
        <f>IF('DM_NHAN_SU'!$B71="","",'CHAM_CONG_THANG'!AR71)</f>
        <v/>
      </c>
      <c r="J71" s="227" t="n"/>
      <c r="K71" s="232">
        <f>IF($B71="","",$G71-$H71-$I71+$J71)</f>
        <v/>
      </c>
      <c r="L71" s="150">
        <f>IF($B71="","",IF('DM_NHAN_SU'!AD71="","Đang tạm dùng 12 ngày; kiểm tra 14/16 ngày và tỷ lệ; ","")&amp;IF($K71&lt;0,"Số phép âm; ","")&amp;IF(AND('DM_NHAN_SU'!$F71&gt;'THAM_SO'!$B$6,'DM_NHAN_SU'!$F71&lt;='THAM_SO'!$B$7),"Nhân viên mới trong kỳ – kiểm tra phép tỷ lệ; ",""))</f>
        <v/>
      </c>
    </row>
    <row r="72">
      <c r="A72" s="145">
        <f>IF('DM_NHAN_SU'!$B72="","",ROW()-5)</f>
        <v/>
      </c>
      <c r="B72" s="145">
        <f>IF('DM_NHAN_SU'!$B72="","",'DM_NHAN_SU'!B72)</f>
        <v/>
      </c>
      <c r="C72" s="145">
        <f>IF('DM_NHAN_SU'!$B72="","",'DM_NHAN_SU'!C72)</f>
        <v/>
      </c>
      <c r="D72" s="232">
        <f>IF('DM_NHAN_SU'!$B72="","",IF('DM_NHAN_SU'!AD72&gt;0,'DM_NHAN_SU'!AD72,12))</f>
        <v/>
      </c>
      <c r="E72" s="232">
        <f>IF('DM_NHAN_SU'!$B72="","",'DM_NHAN_SU'!AE72)</f>
        <v/>
      </c>
      <c r="F72" s="232">
        <f>IF('DM_NHAN_SU'!$B72="","",'DM_NHAN_SU'!AF72)</f>
        <v/>
      </c>
      <c r="G72" s="232">
        <f>IF($B72="","",SUM($D72:$F72))</f>
        <v/>
      </c>
      <c r="H72" s="232">
        <f>IF('DM_NHAN_SU'!$B72="","",'DM_NHAN_SU'!AG72)</f>
        <v/>
      </c>
      <c r="I72" s="232">
        <f>IF('DM_NHAN_SU'!$B72="","",'CHAM_CONG_THANG'!AR72)</f>
        <v/>
      </c>
      <c r="J72" s="227" t="n"/>
      <c r="K72" s="232">
        <f>IF($B72="","",$G72-$H72-$I72+$J72)</f>
        <v/>
      </c>
      <c r="L72" s="150">
        <f>IF($B72="","",IF('DM_NHAN_SU'!AD72="","Đang tạm dùng 12 ngày; kiểm tra 14/16 ngày và tỷ lệ; ","")&amp;IF($K72&lt;0,"Số phép âm; ","")&amp;IF(AND('DM_NHAN_SU'!$F72&gt;'THAM_SO'!$B$6,'DM_NHAN_SU'!$F72&lt;='THAM_SO'!$B$7),"Nhân viên mới trong kỳ – kiểm tra phép tỷ lệ; ",""))</f>
        <v/>
      </c>
    </row>
    <row r="73">
      <c r="A73" s="145">
        <f>IF('DM_NHAN_SU'!$B73="","",ROW()-5)</f>
        <v/>
      </c>
      <c r="B73" s="145">
        <f>IF('DM_NHAN_SU'!$B73="","",'DM_NHAN_SU'!B73)</f>
        <v/>
      </c>
      <c r="C73" s="145">
        <f>IF('DM_NHAN_SU'!$B73="","",'DM_NHAN_SU'!C73)</f>
        <v/>
      </c>
      <c r="D73" s="232">
        <f>IF('DM_NHAN_SU'!$B73="","",IF('DM_NHAN_SU'!AD73&gt;0,'DM_NHAN_SU'!AD73,12))</f>
        <v/>
      </c>
      <c r="E73" s="232">
        <f>IF('DM_NHAN_SU'!$B73="","",'DM_NHAN_SU'!AE73)</f>
        <v/>
      </c>
      <c r="F73" s="232">
        <f>IF('DM_NHAN_SU'!$B73="","",'DM_NHAN_SU'!AF73)</f>
        <v/>
      </c>
      <c r="G73" s="232">
        <f>IF($B73="","",SUM($D73:$F73))</f>
        <v/>
      </c>
      <c r="H73" s="232">
        <f>IF('DM_NHAN_SU'!$B73="","",'DM_NHAN_SU'!AG73)</f>
        <v/>
      </c>
      <c r="I73" s="232">
        <f>IF('DM_NHAN_SU'!$B73="","",'CHAM_CONG_THANG'!AR73)</f>
        <v/>
      </c>
      <c r="J73" s="227" t="n"/>
      <c r="K73" s="232">
        <f>IF($B73="","",$G73-$H73-$I73+$J73)</f>
        <v/>
      </c>
      <c r="L73" s="150">
        <f>IF($B73="","",IF('DM_NHAN_SU'!AD73="","Đang tạm dùng 12 ngày; kiểm tra 14/16 ngày và tỷ lệ; ","")&amp;IF($K73&lt;0,"Số phép âm; ","")&amp;IF(AND('DM_NHAN_SU'!$F73&gt;'THAM_SO'!$B$6,'DM_NHAN_SU'!$F73&lt;='THAM_SO'!$B$7),"Nhân viên mới trong kỳ – kiểm tra phép tỷ lệ; ",""))</f>
        <v/>
      </c>
    </row>
    <row r="74">
      <c r="A74" s="145">
        <f>IF('DM_NHAN_SU'!$B74="","",ROW()-5)</f>
        <v/>
      </c>
      <c r="B74" s="145">
        <f>IF('DM_NHAN_SU'!$B74="","",'DM_NHAN_SU'!B74)</f>
        <v/>
      </c>
      <c r="C74" s="145">
        <f>IF('DM_NHAN_SU'!$B74="","",'DM_NHAN_SU'!C74)</f>
        <v/>
      </c>
      <c r="D74" s="232">
        <f>IF('DM_NHAN_SU'!$B74="","",IF('DM_NHAN_SU'!AD74&gt;0,'DM_NHAN_SU'!AD74,12))</f>
        <v/>
      </c>
      <c r="E74" s="232">
        <f>IF('DM_NHAN_SU'!$B74="","",'DM_NHAN_SU'!AE74)</f>
        <v/>
      </c>
      <c r="F74" s="232">
        <f>IF('DM_NHAN_SU'!$B74="","",'DM_NHAN_SU'!AF74)</f>
        <v/>
      </c>
      <c r="G74" s="232">
        <f>IF($B74="","",SUM($D74:$F74))</f>
        <v/>
      </c>
      <c r="H74" s="232">
        <f>IF('DM_NHAN_SU'!$B74="","",'DM_NHAN_SU'!AG74)</f>
        <v/>
      </c>
      <c r="I74" s="232">
        <f>IF('DM_NHAN_SU'!$B74="","",'CHAM_CONG_THANG'!AR74)</f>
        <v/>
      </c>
      <c r="J74" s="227" t="n"/>
      <c r="K74" s="232">
        <f>IF($B74="","",$G74-$H74-$I74+$J74)</f>
        <v/>
      </c>
      <c r="L74" s="150">
        <f>IF($B74="","",IF('DM_NHAN_SU'!AD74="","Đang tạm dùng 12 ngày; kiểm tra 14/16 ngày và tỷ lệ; ","")&amp;IF($K74&lt;0,"Số phép âm; ","")&amp;IF(AND('DM_NHAN_SU'!$F74&gt;'THAM_SO'!$B$6,'DM_NHAN_SU'!$F74&lt;='THAM_SO'!$B$7),"Nhân viên mới trong kỳ – kiểm tra phép tỷ lệ; ",""))</f>
        <v/>
      </c>
    </row>
    <row r="75">
      <c r="A75" s="145">
        <f>IF('DM_NHAN_SU'!$B75="","",ROW()-5)</f>
        <v/>
      </c>
      <c r="B75" s="145">
        <f>IF('DM_NHAN_SU'!$B75="","",'DM_NHAN_SU'!B75)</f>
        <v/>
      </c>
      <c r="C75" s="145">
        <f>IF('DM_NHAN_SU'!$B75="","",'DM_NHAN_SU'!C75)</f>
        <v/>
      </c>
      <c r="D75" s="232">
        <f>IF('DM_NHAN_SU'!$B75="","",IF('DM_NHAN_SU'!AD75&gt;0,'DM_NHAN_SU'!AD75,12))</f>
        <v/>
      </c>
      <c r="E75" s="232">
        <f>IF('DM_NHAN_SU'!$B75="","",'DM_NHAN_SU'!AE75)</f>
        <v/>
      </c>
      <c r="F75" s="232">
        <f>IF('DM_NHAN_SU'!$B75="","",'DM_NHAN_SU'!AF75)</f>
        <v/>
      </c>
      <c r="G75" s="232">
        <f>IF($B75="","",SUM($D75:$F75))</f>
        <v/>
      </c>
      <c r="H75" s="232">
        <f>IF('DM_NHAN_SU'!$B75="","",'DM_NHAN_SU'!AG75)</f>
        <v/>
      </c>
      <c r="I75" s="232">
        <f>IF('DM_NHAN_SU'!$B75="","",'CHAM_CONG_THANG'!AR75)</f>
        <v/>
      </c>
      <c r="J75" s="227" t="n"/>
      <c r="K75" s="232">
        <f>IF($B75="","",$G75-$H75-$I75+$J75)</f>
        <v/>
      </c>
      <c r="L75" s="150">
        <f>IF($B75="","",IF('DM_NHAN_SU'!AD75="","Đang tạm dùng 12 ngày; kiểm tra 14/16 ngày và tỷ lệ; ","")&amp;IF($K75&lt;0,"Số phép âm; ","")&amp;IF(AND('DM_NHAN_SU'!$F75&gt;'THAM_SO'!$B$6,'DM_NHAN_SU'!$F75&lt;='THAM_SO'!$B$7),"Nhân viên mới trong kỳ – kiểm tra phép tỷ lệ; ",""))</f>
        <v/>
      </c>
    </row>
    <row r="76">
      <c r="A76" s="145">
        <f>IF('DM_NHAN_SU'!$B76="","",ROW()-5)</f>
        <v/>
      </c>
      <c r="B76" s="145">
        <f>IF('DM_NHAN_SU'!$B76="","",'DM_NHAN_SU'!B76)</f>
        <v/>
      </c>
      <c r="C76" s="145">
        <f>IF('DM_NHAN_SU'!$B76="","",'DM_NHAN_SU'!C76)</f>
        <v/>
      </c>
      <c r="D76" s="232">
        <f>IF('DM_NHAN_SU'!$B76="","",IF('DM_NHAN_SU'!AD76&gt;0,'DM_NHAN_SU'!AD76,12))</f>
        <v/>
      </c>
      <c r="E76" s="232">
        <f>IF('DM_NHAN_SU'!$B76="","",'DM_NHAN_SU'!AE76)</f>
        <v/>
      </c>
      <c r="F76" s="232">
        <f>IF('DM_NHAN_SU'!$B76="","",'DM_NHAN_SU'!AF76)</f>
        <v/>
      </c>
      <c r="G76" s="232">
        <f>IF($B76="","",SUM($D76:$F76))</f>
        <v/>
      </c>
      <c r="H76" s="232">
        <f>IF('DM_NHAN_SU'!$B76="","",'DM_NHAN_SU'!AG76)</f>
        <v/>
      </c>
      <c r="I76" s="232">
        <f>IF('DM_NHAN_SU'!$B76="","",'CHAM_CONG_THANG'!AR76)</f>
        <v/>
      </c>
      <c r="J76" s="227" t="n"/>
      <c r="K76" s="232">
        <f>IF($B76="","",$G76-$H76-$I76+$J76)</f>
        <v/>
      </c>
      <c r="L76" s="150">
        <f>IF($B76="","",IF('DM_NHAN_SU'!AD76="","Đang tạm dùng 12 ngày; kiểm tra 14/16 ngày và tỷ lệ; ","")&amp;IF($K76&lt;0,"Số phép âm; ","")&amp;IF(AND('DM_NHAN_SU'!$F76&gt;'THAM_SO'!$B$6,'DM_NHAN_SU'!$F76&lt;='THAM_SO'!$B$7),"Nhân viên mới trong kỳ – kiểm tra phép tỷ lệ; ",""))</f>
        <v/>
      </c>
    </row>
    <row r="77">
      <c r="A77" s="145">
        <f>IF('DM_NHAN_SU'!$B77="","",ROW()-5)</f>
        <v/>
      </c>
      <c r="B77" s="145">
        <f>IF('DM_NHAN_SU'!$B77="","",'DM_NHAN_SU'!B77)</f>
        <v/>
      </c>
      <c r="C77" s="145">
        <f>IF('DM_NHAN_SU'!$B77="","",'DM_NHAN_SU'!C77)</f>
        <v/>
      </c>
      <c r="D77" s="232">
        <f>IF('DM_NHAN_SU'!$B77="","",IF('DM_NHAN_SU'!AD77&gt;0,'DM_NHAN_SU'!AD77,12))</f>
        <v/>
      </c>
      <c r="E77" s="232">
        <f>IF('DM_NHAN_SU'!$B77="","",'DM_NHAN_SU'!AE77)</f>
        <v/>
      </c>
      <c r="F77" s="232">
        <f>IF('DM_NHAN_SU'!$B77="","",'DM_NHAN_SU'!AF77)</f>
        <v/>
      </c>
      <c r="G77" s="232">
        <f>IF($B77="","",SUM($D77:$F77))</f>
        <v/>
      </c>
      <c r="H77" s="232">
        <f>IF('DM_NHAN_SU'!$B77="","",'DM_NHAN_SU'!AG77)</f>
        <v/>
      </c>
      <c r="I77" s="232">
        <f>IF('DM_NHAN_SU'!$B77="","",'CHAM_CONG_THANG'!AR77)</f>
        <v/>
      </c>
      <c r="J77" s="227" t="n"/>
      <c r="K77" s="232">
        <f>IF($B77="","",$G77-$H77-$I77+$J77)</f>
        <v/>
      </c>
      <c r="L77" s="150">
        <f>IF($B77="","",IF('DM_NHAN_SU'!AD77="","Đang tạm dùng 12 ngày; kiểm tra 14/16 ngày và tỷ lệ; ","")&amp;IF($K77&lt;0,"Số phép âm; ","")&amp;IF(AND('DM_NHAN_SU'!$F77&gt;'THAM_SO'!$B$6,'DM_NHAN_SU'!$F77&lt;='THAM_SO'!$B$7),"Nhân viên mới trong kỳ – kiểm tra phép tỷ lệ; ",""))</f>
        <v/>
      </c>
    </row>
    <row r="78">
      <c r="A78" s="145">
        <f>IF('DM_NHAN_SU'!$B78="","",ROW()-5)</f>
        <v/>
      </c>
      <c r="B78" s="145">
        <f>IF('DM_NHAN_SU'!$B78="","",'DM_NHAN_SU'!B78)</f>
        <v/>
      </c>
      <c r="C78" s="145">
        <f>IF('DM_NHAN_SU'!$B78="","",'DM_NHAN_SU'!C78)</f>
        <v/>
      </c>
      <c r="D78" s="232">
        <f>IF('DM_NHAN_SU'!$B78="","",IF('DM_NHAN_SU'!AD78&gt;0,'DM_NHAN_SU'!AD78,12))</f>
        <v/>
      </c>
      <c r="E78" s="232">
        <f>IF('DM_NHAN_SU'!$B78="","",'DM_NHAN_SU'!AE78)</f>
        <v/>
      </c>
      <c r="F78" s="232">
        <f>IF('DM_NHAN_SU'!$B78="","",'DM_NHAN_SU'!AF78)</f>
        <v/>
      </c>
      <c r="G78" s="232">
        <f>IF($B78="","",SUM($D78:$F78))</f>
        <v/>
      </c>
      <c r="H78" s="232">
        <f>IF('DM_NHAN_SU'!$B78="","",'DM_NHAN_SU'!AG78)</f>
        <v/>
      </c>
      <c r="I78" s="232">
        <f>IF('DM_NHAN_SU'!$B78="","",'CHAM_CONG_THANG'!AR78)</f>
        <v/>
      </c>
      <c r="J78" s="227" t="n"/>
      <c r="K78" s="232">
        <f>IF($B78="","",$G78-$H78-$I78+$J78)</f>
        <v/>
      </c>
      <c r="L78" s="150">
        <f>IF($B78="","",IF('DM_NHAN_SU'!AD78="","Đang tạm dùng 12 ngày; kiểm tra 14/16 ngày và tỷ lệ; ","")&amp;IF($K78&lt;0,"Số phép âm; ","")&amp;IF(AND('DM_NHAN_SU'!$F78&gt;'THAM_SO'!$B$6,'DM_NHAN_SU'!$F78&lt;='THAM_SO'!$B$7),"Nhân viên mới trong kỳ – kiểm tra phép tỷ lệ; ",""))</f>
        <v/>
      </c>
    </row>
    <row r="79">
      <c r="A79" s="145">
        <f>IF('DM_NHAN_SU'!$B79="","",ROW()-5)</f>
        <v/>
      </c>
      <c r="B79" s="145">
        <f>IF('DM_NHAN_SU'!$B79="","",'DM_NHAN_SU'!B79)</f>
        <v/>
      </c>
      <c r="C79" s="145">
        <f>IF('DM_NHAN_SU'!$B79="","",'DM_NHAN_SU'!C79)</f>
        <v/>
      </c>
      <c r="D79" s="232">
        <f>IF('DM_NHAN_SU'!$B79="","",IF('DM_NHAN_SU'!AD79&gt;0,'DM_NHAN_SU'!AD79,12))</f>
        <v/>
      </c>
      <c r="E79" s="232">
        <f>IF('DM_NHAN_SU'!$B79="","",'DM_NHAN_SU'!AE79)</f>
        <v/>
      </c>
      <c r="F79" s="232">
        <f>IF('DM_NHAN_SU'!$B79="","",'DM_NHAN_SU'!AF79)</f>
        <v/>
      </c>
      <c r="G79" s="232">
        <f>IF($B79="","",SUM($D79:$F79))</f>
        <v/>
      </c>
      <c r="H79" s="232">
        <f>IF('DM_NHAN_SU'!$B79="","",'DM_NHAN_SU'!AG79)</f>
        <v/>
      </c>
      <c r="I79" s="232">
        <f>IF('DM_NHAN_SU'!$B79="","",'CHAM_CONG_THANG'!AR79)</f>
        <v/>
      </c>
      <c r="J79" s="227" t="n"/>
      <c r="K79" s="232">
        <f>IF($B79="","",$G79-$H79-$I79+$J79)</f>
        <v/>
      </c>
      <c r="L79" s="150">
        <f>IF($B79="","",IF('DM_NHAN_SU'!AD79="","Đang tạm dùng 12 ngày; kiểm tra 14/16 ngày và tỷ lệ; ","")&amp;IF($K79&lt;0,"Số phép âm; ","")&amp;IF(AND('DM_NHAN_SU'!$F79&gt;'THAM_SO'!$B$6,'DM_NHAN_SU'!$F79&lt;='THAM_SO'!$B$7),"Nhân viên mới trong kỳ – kiểm tra phép tỷ lệ; ",""))</f>
        <v/>
      </c>
    </row>
    <row r="80">
      <c r="A80" s="145">
        <f>IF('DM_NHAN_SU'!$B80="","",ROW()-5)</f>
        <v/>
      </c>
      <c r="B80" s="145">
        <f>IF('DM_NHAN_SU'!$B80="","",'DM_NHAN_SU'!B80)</f>
        <v/>
      </c>
      <c r="C80" s="145">
        <f>IF('DM_NHAN_SU'!$B80="","",'DM_NHAN_SU'!C80)</f>
        <v/>
      </c>
      <c r="D80" s="232">
        <f>IF('DM_NHAN_SU'!$B80="","",IF('DM_NHAN_SU'!AD80&gt;0,'DM_NHAN_SU'!AD80,12))</f>
        <v/>
      </c>
      <c r="E80" s="232">
        <f>IF('DM_NHAN_SU'!$B80="","",'DM_NHAN_SU'!AE80)</f>
        <v/>
      </c>
      <c r="F80" s="232">
        <f>IF('DM_NHAN_SU'!$B80="","",'DM_NHAN_SU'!AF80)</f>
        <v/>
      </c>
      <c r="G80" s="232">
        <f>IF($B80="","",SUM($D80:$F80))</f>
        <v/>
      </c>
      <c r="H80" s="232">
        <f>IF('DM_NHAN_SU'!$B80="","",'DM_NHAN_SU'!AG80)</f>
        <v/>
      </c>
      <c r="I80" s="232">
        <f>IF('DM_NHAN_SU'!$B80="","",'CHAM_CONG_THANG'!AR80)</f>
        <v/>
      </c>
      <c r="J80" s="227" t="n"/>
      <c r="K80" s="232">
        <f>IF($B80="","",$G80-$H80-$I80+$J80)</f>
        <v/>
      </c>
      <c r="L80" s="150">
        <f>IF($B80="","",IF('DM_NHAN_SU'!AD80="","Đang tạm dùng 12 ngày; kiểm tra 14/16 ngày và tỷ lệ; ","")&amp;IF($K80&lt;0,"Số phép âm; ","")&amp;IF(AND('DM_NHAN_SU'!$F80&gt;'THAM_SO'!$B$6,'DM_NHAN_SU'!$F80&lt;='THAM_SO'!$B$7),"Nhân viên mới trong kỳ – kiểm tra phép tỷ lệ; ",""))</f>
        <v/>
      </c>
    </row>
    <row r="81">
      <c r="A81" s="145">
        <f>IF('DM_NHAN_SU'!$B81="","",ROW()-5)</f>
        <v/>
      </c>
      <c r="B81" s="145">
        <f>IF('DM_NHAN_SU'!$B81="","",'DM_NHAN_SU'!B81)</f>
        <v/>
      </c>
      <c r="C81" s="145">
        <f>IF('DM_NHAN_SU'!$B81="","",'DM_NHAN_SU'!C81)</f>
        <v/>
      </c>
      <c r="D81" s="232">
        <f>IF('DM_NHAN_SU'!$B81="","",IF('DM_NHAN_SU'!AD81&gt;0,'DM_NHAN_SU'!AD81,12))</f>
        <v/>
      </c>
      <c r="E81" s="232">
        <f>IF('DM_NHAN_SU'!$B81="","",'DM_NHAN_SU'!AE81)</f>
        <v/>
      </c>
      <c r="F81" s="232">
        <f>IF('DM_NHAN_SU'!$B81="","",'DM_NHAN_SU'!AF81)</f>
        <v/>
      </c>
      <c r="G81" s="232">
        <f>IF($B81="","",SUM($D81:$F81))</f>
        <v/>
      </c>
      <c r="H81" s="232">
        <f>IF('DM_NHAN_SU'!$B81="","",'DM_NHAN_SU'!AG81)</f>
        <v/>
      </c>
      <c r="I81" s="232">
        <f>IF('DM_NHAN_SU'!$B81="","",'CHAM_CONG_THANG'!AR81)</f>
        <v/>
      </c>
      <c r="J81" s="227" t="n"/>
      <c r="K81" s="232">
        <f>IF($B81="","",$G81-$H81-$I81+$J81)</f>
        <v/>
      </c>
      <c r="L81" s="150">
        <f>IF($B81="","",IF('DM_NHAN_SU'!AD81="","Đang tạm dùng 12 ngày; kiểm tra 14/16 ngày và tỷ lệ; ","")&amp;IF($K81&lt;0,"Số phép âm; ","")&amp;IF(AND('DM_NHAN_SU'!$F81&gt;'THAM_SO'!$B$6,'DM_NHAN_SU'!$F81&lt;='THAM_SO'!$B$7),"Nhân viên mới trong kỳ – kiểm tra phép tỷ lệ; ",""))</f>
        <v/>
      </c>
    </row>
    <row r="82">
      <c r="A82" s="145">
        <f>IF('DM_NHAN_SU'!$B82="","",ROW()-5)</f>
        <v/>
      </c>
      <c r="B82" s="145">
        <f>IF('DM_NHAN_SU'!$B82="","",'DM_NHAN_SU'!B82)</f>
        <v/>
      </c>
      <c r="C82" s="145">
        <f>IF('DM_NHAN_SU'!$B82="","",'DM_NHAN_SU'!C82)</f>
        <v/>
      </c>
      <c r="D82" s="232">
        <f>IF('DM_NHAN_SU'!$B82="","",IF('DM_NHAN_SU'!AD82&gt;0,'DM_NHAN_SU'!AD82,12))</f>
        <v/>
      </c>
      <c r="E82" s="232">
        <f>IF('DM_NHAN_SU'!$B82="","",'DM_NHAN_SU'!AE82)</f>
        <v/>
      </c>
      <c r="F82" s="232">
        <f>IF('DM_NHAN_SU'!$B82="","",'DM_NHAN_SU'!AF82)</f>
        <v/>
      </c>
      <c r="G82" s="232">
        <f>IF($B82="","",SUM($D82:$F82))</f>
        <v/>
      </c>
      <c r="H82" s="232">
        <f>IF('DM_NHAN_SU'!$B82="","",'DM_NHAN_SU'!AG82)</f>
        <v/>
      </c>
      <c r="I82" s="232">
        <f>IF('DM_NHAN_SU'!$B82="","",'CHAM_CONG_THANG'!AR82)</f>
        <v/>
      </c>
      <c r="J82" s="227" t="n"/>
      <c r="K82" s="232">
        <f>IF($B82="","",$G82-$H82-$I82+$J82)</f>
        <v/>
      </c>
      <c r="L82" s="150">
        <f>IF($B82="","",IF('DM_NHAN_SU'!AD82="","Đang tạm dùng 12 ngày; kiểm tra 14/16 ngày và tỷ lệ; ","")&amp;IF($K82&lt;0,"Số phép âm; ","")&amp;IF(AND('DM_NHAN_SU'!$F82&gt;'THAM_SO'!$B$6,'DM_NHAN_SU'!$F82&lt;='THAM_SO'!$B$7),"Nhân viên mới trong kỳ – kiểm tra phép tỷ lệ; ",""))</f>
        <v/>
      </c>
    </row>
    <row r="83">
      <c r="A83" s="145">
        <f>IF('DM_NHAN_SU'!$B83="","",ROW()-5)</f>
        <v/>
      </c>
      <c r="B83" s="145">
        <f>IF('DM_NHAN_SU'!$B83="","",'DM_NHAN_SU'!B83)</f>
        <v/>
      </c>
      <c r="C83" s="145">
        <f>IF('DM_NHAN_SU'!$B83="","",'DM_NHAN_SU'!C83)</f>
        <v/>
      </c>
      <c r="D83" s="232">
        <f>IF('DM_NHAN_SU'!$B83="","",IF('DM_NHAN_SU'!AD83&gt;0,'DM_NHAN_SU'!AD83,12))</f>
        <v/>
      </c>
      <c r="E83" s="232">
        <f>IF('DM_NHAN_SU'!$B83="","",'DM_NHAN_SU'!AE83)</f>
        <v/>
      </c>
      <c r="F83" s="232">
        <f>IF('DM_NHAN_SU'!$B83="","",'DM_NHAN_SU'!AF83)</f>
        <v/>
      </c>
      <c r="G83" s="232">
        <f>IF($B83="","",SUM($D83:$F83))</f>
        <v/>
      </c>
      <c r="H83" s="232">
        <f>IF('DM_NHAN_SU'!$B83="","",'DM_NHAN_SU'!AG83)</f>
        <v/>
      </c>
      <c r="I83" s="232">
        <f>IF('DM_NHAN_SU'!$B83="","",'CHAM_CONG_THANG'!AR83)</f>
        <v/>
      </c>
      <c r="J83" s="227" t="n"/>
      <c r="K83" s="232">
        <f>IF($B83="","",$G83-$H83-$I83+$J83)</f>
        <v/>
      </c>
      <c r="L83" s="150">
        <f>IF($B83="","",IF('DM_NHAN_SU'!AD83="","Đang tạm dùng 12 ngày; kiểm tra 14/16 ngày và tỷ lệ; ","")&amp;IF($K83&lt;0,"Số phép âm; ","")&amp;IF(AND('DM_NHAN_SU'!$F83&gt;'THAM_SO'!$B$6,'DM_NHAN_SU'!$F83&lt;='THAM_SO'!$B$7),"Nhân viên mới trong kỳ – kiểm tra phép tỷ lệ; ",""))</f>
        <v/>
      </c>
    </row>
    <row r="84">
      <c r="A84" s="145">
        <f>IF('DM_NHAN_SU'!$B84="","",ROW()-5)</f>
        <v/>
      </c>
      <c r="B84" s="145">
        <f>IF('DM_NHAN_SU'!$B84="","",'DM_NHAN_SU'!B84)</f>
        <v/>
      </c>
      <c r="C84" s="145">
        <f>IF('DM_NHAN_SU'!$B84="","",'DM_NHAN_SU'!C84)</f>
        <v/>
      </c>
      <c r="D84" s="232">
        <f>IF('DM_NHAN_SU'!$B84="","",IF('DM_NHAN_SU'!AD84&gt;0,'DM_NHAN_SU'!AD84,12))</f>
        <v/>
      </c>
      <c r="E84" s="232">
        <f>IF('DM_NHAN_SU'!$B84="","",'DM_NHAN_SU'!AE84)</f>
        <v/>
      </c>
      <c r="F84" s="232">
        <f>IF('DM_NHAN_SU'!$B84="","",'DM_NHAN_SU'!AF84)</f>
        <v/>
      </c>
      <c r="G84" s="232">
        <f>IF($B84="","",SUM($D84:$F84))</f>
        <v/>
      </c>
      <c r="H84" s="232">
        <f>IF('DM_NHAN_SU'!$B84="","",'DM_NHAN_SU'!AG84)</f>
        <v/>
      </c>
      <c r="I84" s="232">
        <f>IF('DM_NHAN_SU'!$B84="","",'CHAM_CONG_THANG'!AR84)</f>
        <v/>
      </c>
      <c r="J84" s="227" t="n"/>
      <c r="K84" s="232">
        <f>IF($B84="","",$G84-$H84-$I84+$J84)</f>
        <v/>
      </c>
      <c r="L84" s="150">
        <f>IF($B84="","",IF('DM_NHAN_SU'!AD84="","Đang tạm dùng 12 ngày; kiểm tra 14/16 ngày và tỷ lệ; ","")&amp;IF($K84&lt;0,"Số phép âm; ","")&amp;IF(AND('DM_NHAN_SU'!$F84&gt;'THAM_SO'!$B$6,'DM_NHAN_SU'!$F84&lt;='THAM_SO'!$B$7),"Nhân viên mới trong kỳ – kiểm tra phép tỷ lệ; ",""))</f>
        <v/>
      </c>
    </row>
    <row r="85">
      <c r="A85" s="145">
        <f>IF('DM_NHAN_SU'!$B85="","",ROW()-5)</f>
        <v/>
      </c>
      <c r="B85" s="145">
        <f>IF('DM_NHAN_SU'!$B85="","",'DM_NHAN_SU'!B85)</f>
        <v/>
      </c>
      <c r="C85" s="145">
        <f>IF('DM_NHAN_SU'!$B85="","",'DM_NHAN_SU'!C85)</f>
        <v/>
      </c>
      <c r="D85" s="232">
        <f>IF('DM_NHAN_SU'!$B85="","",IF('DM_NHAN_SU'!AD85&gt;0,'DM_NHAN_SU'!AD85,12))</f>
        <v/>
      </c>
      <c r="E85" s="232">
        <f>IF('DM_NHAN_SU'!$B85="","",'DM_NHAN_SU'!AE85)</f>
        <v/>
      </c>
      <c r="F85" s="232">
        <f>IF('DM_NHAN_SU'!$B85="","",'DM_NHAN_SU'!AF85)</f>
        <v/>
      </c>
      <c r="G85" s="232">
        <f>IF($B85="","",SUM($D85:$F85))</f>
        <v/>
      </c>
      <c r="H85" s="232">
        <f>IF('DM_NHAN_SU'!$B85="","",'DM_NHAN_SU'!AG85)</f>
        <v/>
      </c>
      <c r="I85" s="232">
        <f>IF('DM_NHAN_SU'!$B85="","",'CHAM_CONG_THANG'!AR85)</f>
        <v/>
      </c>
      <c r="J85" s="227" t="n"/>
      <c r="K85" s="232">
        <f>IF($B85="","",$G85-$H85-$I85+$J85)</f>
        <v/>
      </c>
      <c r="L85" s="150">
        <f>IF($B85="","",IF('DM_NHAN_SU'!AD85="","Đang tạm dùng 12 ngày; kiểm tra 14/16 ngày và tỷ lệ; ","")&amp;IF($K85&lt;0,"Số phép âm; ","")&amp;IF(AND('DM_NHAN_SU'!$F85&gt;'THAM_SO'!$B$6,'DM_NHAN_SU'!$F85&lt;='THAM_SO'!$B$7),"Nhân viên mới trong kỳ – kiểm tra phép tỷ lệ; ",""))</f>
        <v/>
      </c>
    </row>
    <row r="86">
      <c r="A86" s="145">
        <f>IF('DM_NHAN_SU'!$B86="","",ROW()-5)</f>
        <v/>
      </c>
      <c r="B86" s="145">
        <f>IF('DM_NHAN_SU'!$B86="","",'DM_NHAN_SU'!B86)</f>
        <v/>
      </c>
      <c r="C86" s="145">
        <f>IF('DM_NHAN_SU'!$B86="","",'DM_NHAN_SU'!C86)</f>
        <v/>
      </c>
      <c r="D86" s="232">
        <f>IF('DM_NHAN_SU'!$B86="","",IF('DM_NHAN_SU'!AD86&gt;0,'DM_NHAN_SU'!AD86,12))</f>
        <v/>
      </c>
      <c r="E86" s="232">
        <f>IF('DM_NHAN_SU'!$B86="","",'DM_NHAN_SU'!AE86)</f>
        <v/>
      </c>
      <c r="F86" s="232">
        <f>IF('DM_NHAN_SU'!$B86="","",'DM_NHAN_SU'!AF86)</f>
        <v/>
      </c>
      <c r="G86" s="232">
        <f>IF($B86="","",SUM($D86:$F86))</f>
        <v/>
      </c>
      <c r="H86" s="232">
        <f>IF('DM_NHAN_SU'!$B86="","",'DM_NHAN_SU'!AG86)</f>
        <v/>
      </c>
      <c r="I86" s="232">
        <f>IF('DM_NHAN_SU'!$B86="","",'CHAM_CONG_THANG'!AR86)</f>
        <v/>
      </c>
      <c r="J86" s="227" t="n"/>
      <c r="K86" s="232">
        <f>IF($B86="","",$G86-$H86-$I86+$J86)</f>
        <v/>
      </c>
      <c r="L86" s="150">
        <f>IF($B86="","",IF('DM_NHAN_SU'!AD86="","Đang tạm dùng 12 ngày; kiểm tra 14/16 ngày và tỷ lệ; ","")&amp;IF($K86&lt;0,"Số phép âm; ","")&amp;IF(AND('DM_NHAN_SU'!$F86&gt;'THAM_SO'!$B$6,'DM_NHAN_SU'!$F86&lt;='THAM_SO'!$B$7),"Nhân viên mới trong kỳ – kiểm tra phép tỷ lệ; ",""))</f>
        <v/>
      </c>
    </row>
    <row r="87">
      <c r="A87" s="145">
        <f>IF('DM_NHAN_SU'!$B87="","",ROW()-5)</f>
        <v/>
      </c>
      <c r="B87" s="145">
        <f>IF('DM_NHAN_SU'!$B87="","",'DM_NHAN_SU'!B87)</f>
        <v/>
      </c>
      <c r="C87" s="145">
        <f>IF('DM_NHAN_SU'!$B87="","",'DM_NHAN_SU'!C87)</f>
        <v/>
      </c>
      <c r="D87" s="232">
        <f>IF('DM_NHAN_SU'!$B87="","",IF('DM_NHAN_SU'!AD87&gt;0,'DM_NHAN_SU'!AD87,12))</f>
        <v/>
      </c>
      <c r="E87" s="232">
        <f>IF('DM_NHAN_SU'!$B87="","",'DM_NHAN_SU'!AE87)</f>
        <v/>
      </c>
      <c r="F87" s="232">
        <f>IF('DM_NHAN_SU'!$B87="","",'DM_NHAN_SU'!AF87)</f>
        <v/>
      </c>
      <c r="G87" s="232">
        <f>IF($B87="","",SUM($D87:$F87))</f>
        <v/>
      </c>
      <c r="H87" s="232">
        <f>IF('DM_NHAN_SU'!$B87="","",'DM_NHAN_SU'!AG87)</f>
        <v/>
      </c>
      <c r="I87" s="232">
        <f>IF('DM_NHAN_SU'!$B87="","",'CHAM_CONG_THANG'!AR87)</f>
        <v/>
      </c>
      <c r="J87" s="227" t="n"/>
      <c r="K87" s="232">
        <f>IF($B87="","",$G87-$H87-$I87+$J87)</f>
        <v/>
      </c>
      <c r="L87" s="150">
        <f>IF($B87="","",IF('DM_NHAN_SU'!AD87="","Đang tạm dùng 12 ngày; kiểm tra 14/16 ngày và tỷ lệ; ","")&amp;IF($K87&lt;0,"Số phép âm; ","")&amp;IF(AND('DM_NHAN_SU'!$F87&gt;'THAM_SO'!$B$6,'DM_NHAN_SU'!$F87&lt;='THAM_SO'!$B$7),"Nhân viên mới trong kỳ – kiểm tra phép tỷ lệ; ",""))</f>
        <v/>
      </c>
    </row>
    <row r="88">
      <c r="A88" s="145">
        <f>IF('DM_NHAN_SU'!$B88="","",ROW()-5)</f>
        <v/>
      </c>
      <c r="B88" s="145">
        <f>IF('DM_NHAN_SU'!$B88="","",'DM_NHAN_SU'!B88)</f>
        <v/>
      </c>
      <c r="C88" s="145">
        <f>IF('DM_NHAN_SU'!$B88="","",'DM_NHAN_SU'!C88)</f>
        <v/>
      </c>
      <c r="D88" s="232">
        <f>IF('DM_NHAN_SU'!$B88="","",IF('DM_NHAN_SU'!AD88&gt;0,'DM_NHAN_SU'!AD88,12))</f>
        <v/>
      </c>
      <c r="E88" s="232">
        <f>IF('DM_NHAN_SU'!$B88="","",'DM_NHAN_SU'!AE88)</f>
        <v/>
      </c>
      <c r="F88" s="232">
        <f>IF('DM_NHAN_SU'!$B88="","",'DM_NHAN_SU'!AF88)</f>
        <v/>
      </c>
      <c r="G88" s="232">
        <f>IF($B88="","",SUM($D88:$F88))</f>
        <v/>
      </c>
      <c r="H88" s="232">
        <f>IF('DM_NHAN_SU'!$B88="","",'DM_NHAN_SU'!AG88)</f>
        <v/>
      </c>
      <c r="I88" s="232">
        <f>IF('DM_NHAN_SU'!$B88="","",'CHAM_CONG_THANG'!AR88)</f>
        <v/>
      </c>
      <c r="J88" s="227" t="n"/>
      <c r="K88" s="232">
        <f>IF($B88="","",$G88-$H88-$I88+$J88)</f>
        <v/>
      </c>
      <c r="L88" s="150">
        <f>IF($B88="","",IF('DM_NHAN_SU'!AD88="","Đang tạm dùng 12 ngày; kiểm tra 14/16 ngày và tỷ lệ; ","")&amp;IF($K88&lt;0,"Số phép âm; ","")&amp;IF(AND('DM_NHAN_SU'!$F88&gt;'THAM_SO'!$B$6,'DM_NHAN_SU'!$F88&lt;='THAM_SO'!$B$7),"Nhân viên mới trong kỳ – kiểm tra phép tỷ lệ; ",""))</f>
        <v/>
      </c>
    </row>
    <row r="89">
      <c r="A89" s="145">
        <f>IF('DM_NHAN_SU'!$B89="","",ROW()-5)</f>
        <v/>
      </c>
      <c r="B89" s="145">
        <f>IF('DM_NHAN_SU'!$B89="","",'DM_NHAN_SU'!B89)</f>
        <v/>
      </c>
      <c r="C89" s="145">
        <f>IF('DM_NHAN_SU'!$B89="","",'DM_NHAN_SU'!C89)</f>
        <v/>
      </c>
      <c r="D89" s="232">
        <f>IF('DM_NHAN_SU'!$B89="","",IF('DM_NHAN_SU'!AD89&gt;0,'DM_NHAN_SU'!AD89,12))</f>
        <v/>
      </c>
      <c r="E89" s="232">
        <f>IF('DM_NHAN_SU'!$B89="","",'DM_NHAN_SU'!AE89)</f>
        <v/>
      </c>
      <c r="F89" s="232">
        <f>IF('DM_NHAN_SU'!$B89="","",'DM_NHAN_SU'!AF89)</f>
        <v/>
      </c>
      <c r="G89" s="232">
        <f>IF($B89="","",SUM($D89:$F89))</f>
        <v/>
      </c>
      <c r="H89" s="232">
        <f>IF('DM_NHAN_SU'!$B89="","",'DM_NHAN_SU'!AG89)</f>
        <v/>
      </c>
      <c r="I89" s="232">
        <f>IF('DM_NHAN_SU'!$B89="","",'CHAM_CONG_THANG'!AR89)</f>
        <v/>
      </c>
      <c r="J89" s="227" t="n"/>
      <c r="K89" s="232">
        <f>IF($B89="","",$G89-$H89-$I89+$J89)</f>
        <v/>
      </c>
      <c r="L89" s="150">
        <f>IF($B89="","",IF('DM_NHAN_SU'!AD89="","Đang tạm dùng 12 ngày; kiểm tra 14/16 ngày và tỷ lệ; ","")&amp;IF($K89&lt;0,"Số phép âm; ","")&amp;IF(AND('DM_NHAN_SU'!$F89&gt;'THAM_SO'!$B$6,'DM_NHAN_SU'!$F89&lt;='THAM_SO'!$B$7),"Nhân viên mới trong kỳ – kiểm tra phép tỷ lệ; ",""))</f>
        <v/>
      </c>
    </row>
    <row r="90">
      <c r="A90" s="145">
        <f>IF('DM_NHAN_SU'!$B90="","",ROW()-5)</f>
        <v/>
      </c>
      <c r="B90" s="145">
        <f>IF('DM_NHAN_SU'!$B90="","",'DM_NHAN_SU'!B90)</f>
        <v/>
      </c>
      <c r="C90" s="145">
        <f>IF('DM_NHAN_SU'!$B90="","",'DM_NHAN_SU'!C90)</f>
        <v/>
      </c>
      <c r="D90" s="232">
        <f>IF('DM_NHAN_SU'!$B90="","",IF('DM_NHAN_SU'!AD90&gt;0,'DM_NHAN_SU'!AD90,12))</f>
        <v/>
      </c>
      <c r="E90" s="232">
        <f>IF('DM_NHAN_SU'!$B90="","",'DM_NHAN_SU'!AE90)</f>
        <v/>
      </c>
      <c r="F90" s="232">
        <f>IF('DM_NHAN_SU'!$B90="","",'DM_NHAN_SU'!AF90)</f>
        <v/>
      </c>
      <c r="G90" s="232">
        <f>IF($B90="","",SUM($D90:$F90))</f>
        <v/>
      </c>
      <c r="H90" s="232">
        <f>IF('DM_NHAN_SU'!$B90="","",'DM_NHAN_SU'!AG90)</f>
        <v/>
      </c>
      <c r="I90" s="232">
        <f>IF('DM_NHAN_SU'!$B90="","",'CHAM_CONG_THANG'!AR90)</f>
        <v/>
      </c>
      <c r="J90" s="227" t="n"/>
      <c r="K90" s="232">
        <f>IF($B90="","",$G90-$H90-$I90+$J90)</f>
        <v/>
      </c>
      <c r="L90" s="150">
        <f>IF($B90="","",IF('DM_NHAN_SU'!AD90="","Đang tạm dùng 12 ngày; kiểm tra 14/16 ngày và tỷ lệ; ","")&amp;IF($K90&lt;0,"Số phép âm; ","")&amp;IF(AND('DM_NHAN_SU'!$F90&gt;'THAM_SO'!$B$6,'DM_NHAN_SU'!$F90&lt;='THAM_SO'!$B$7),"Nhân viên mới trong kỳ – kiểm tra phép tỷ lệ; ",""))</f>
        <v/>
      </c>
    </row>
    <row r="91">
      <c r="A91" s="145">
        <f>IF('DM_NHAN_SU'!$B91="","",ROW()-5)</f>
        <v/>
      </c>
      <c r="B91" s="145">
        <f>IF('DM_NHAN_SU'!$B91="","",'DM_NHAN_SU'!B91)</f>
        <v/>
      </c>
      <c r="C91" s="145">
        <f>IF('DM_NHAN_SU'!$B91="","",'DM_NHAN_SU'!C91)</f>
        <v/>
      </c>
      <c r="D91" s="232">
        <f>IF('DM_NHAN_SU'!$B91="","",IF('DM_NHAN_SU'!AD91&gt;0,'DM_NHAN_SU'!AD91,12))</f>
        <v/>
      </c>
      <c r="E91" s="232">
        <f>IF('DM_NHAN_SU'!$B91="","",'DM_NHAN_SU'!AE91)</f>
        <v/>
      </c>
      <c r="F91" s="232">
        <f>IF('DM_NHAN_SU'!$B91="","",'DM_NHAN_SU'!AF91)</f>
        <v/>
      </c>
      <c r="G91" s="232">
        <f>IF($B91="","",SUM($D91:$F91))</f>
        <v/>
      </c>
      <c r="H91" s="232">
        <f>IF('DM_NHAN_SU'!$B91="","",'DM_NHAN_SU'!AG91)</f>
        <v/>
      </c>
      <c r="I91" s="232">
        <f>IF('DM_NHAN_SU'!$B91="","",'CHAM_CONG_THANG'!AR91)</f>
        <v/>
      </c>
      <c r="J91" s="227" t="n"/>
      <c r="K91" s="232">
        <f>IF($B91="","",$G91-$H91-$I91+$J91)</f>
        <v/>
      </c>
      <c r="L91" s="150">
        <f>IF($B91="","",IF('DM_NHAN_SU'!AD91="","Đang tạm dùng 12 ngày; kiểm tra 14/16 ngày và tỷ lệ; ","")&amp;IF($K91&lt;0,"Số phép âm; ","")&amp;IF(AND('DM_NHAN_SU'!$F91&gt;'THAM_SO'!$B$6,'DM_NHAN_SU'!$F91&lt;='THAM_SO'!$B$7),"Nhân viên mới trong kỳ – kiểm tra phép tỷ lệ; ",""))</f>
        <v/>
      </c>
    </row>
    <row r="92">
      <c r="A92" s="145">
        <f>IF('DM_NHAN_SU'!$B92="","",ROW()-5)</f>
        <v/>
      </c>
      <c r="B92" s="145">
        <f>IF('DM_NHAN_SU'!$B92="","",'DM_NHAN_SU'!B92)</f>
        <v/>
      </c>
      <c r="C92" s="145">
        <f>IF('DM_NHAN_SU'!$B92="","",'DM_NHAN_SU'!C92)</f>
        <v/>
      </c>
      <c r="D92" s="232">
        <f>IF('DM_NHAN_SU'!$B92="","",IF('DM_NHAN_SU'!AD92&gt;0,'DM_NHAN_SU'!AD92,12))</f>
        <v/>
      </c>
      <c r="E92" s="232">
        <f>IF('DM_NHAN_SU'!$B92="","",'DM_NHAN_SU'!AE92)</f>
        <v/>
      </c>
      <c r="F92" s="232">
        <f>IF('DM_NHAN_SU'!$B92="","",'DM_NHAN_SU'!AF92)</f>
        <v/>
      </c>
      <c r="G92" s="232">
        <f>IF($B92="","",SUM($D92:$F92))</f>
        <v/>
      </c>
      <c r="H92" s="232">
        <f>IF('DM_NHAN_SU'!$B92="","",'DM_NHAN_SU'!AG92)</f>
        <v/>
      </c>
      <c r="I92" s="232">
        <f>IF('DM_NHAN_SU'!$B92="","",'CHAM_CONG_THANG'!AR92)</f>
        <v/>
      </c>
      <c r="J92" s="227" t="n"/>
      <c r="K92" s="232">
        <f>IF($B92="","",$G92-$H92-$I92+$J92)</f>
        <v/>
      </c>
      <c r="L92" s="150">
        <f>IF($B92="","",IF('DM_NHAN_SU'!AD92="","Đang tạm dùng 12 ngày; kiểm tra 14/16 ngày và tỷ lệ; ","")&amp;IF($K92&lt;0,"Số phép âm; ","")&amp;IF(AND('DM_NHAN_SU'!$F92&gt;'THAM_SO'!$B$6,'DM_NHAN_SU'!$F92&lt;='THAM_SO'!$B$7),"Nhân viên mới trong kỳ – kiểm tra phép tỷ lệ; ",""))</f>
        <v/>
      </c>
    </row>
    <row r="93">
      <c r="A93" s="145">
        <f>IF('DM_NHAN_SU'!$B93="","",ROW()-5)</f>
        <v/>
      </c>
      <c r="B93" s="145">
        <f>IF('DM_NHAN_SU'!$B93="","",'DM_NHAN_SU'!B93)</f>
        <v/>
      </c>
      <c r="C93" s="145">
        <f>IF('DM_NHAN_SU'!$B93="","",'DM_NHAN_SU'!C93)</f>
        <v/>
      </c>
      <c r="D93" s="232">
        <f>IF('DM_NHAN_SU'!$B93="","",IF('DM_NHAN_SU'!AD93&gt;0,'DM_NHAN_SU'!AD93,12))</f>
        <v/>
      </c>
      <c r="E93" s="232">
        <f>IF('DM_NHAN_SU'!$B93="","",'DM_NHAN_SU'!AE93)</f>
        <v/>
      </c>
      <c r="F93" s="232">
        <f>IF('DM_NHAN_SU'!$B93="","",'DM_NHAN_SU'!AF93)</f>
        <v/>
      </c>
      <c r="G93" s="232">
        <f>IF($B93="","",SUM($D93:$F93))</f>
        <v/>
      </c>
      <c r="H93" s="232">
        <f>IF('DM_NHAN_SU'!$B93="","",'DM_NHAN_SU'!AG93)</f>
        <v/>
      </c>
      <c r="I93" s="232">
        <f>IF('DM_NHAN_SU'!$B93="","",'CHAM_CONG_THANG'!AR93)</f>
        <v/>
      </c>
      <c r="J93" s="227" t="n"/>
      <c r="K93" s="232">
        <f>IF($B93="","",$G93-$H93-$I93+$J93)</f>
        <v/>
      </c>
      <c r="L93" s="150">
        <f>IF($B93="","",IF('DM_NHAN_SU'!AD93="","Đang tạm dùng 12 ngày; kiểm tra 14/16 ngày và tỷ lệ; ","")&amp;IF($K93&lt;0,"Số phép âm; ","")&amp;IF(AND('DM_NHAN_SU'!$F93&gt;'THAM_SO'!$B$6,'DM_NHAN_SU'!$F93&lt;='THAM_SO'!$B$7),"Nhân viên mới trong kỳ – kiểm tra phép tỷ lệ; ",""))</f>
        <v/>
      </c>
    </row>
    <row r="94">
      <c r="A94" s="145">
        <f>IF('DM_NHAN_SU'!$B94="","",ROW()-5)</f>
        <v/>
      </c>
      <c r="B94" s="145">
        <f>IF('DM_NHAN_SU'!$B94="","",'DM_NHAN_SU'!B94)</f>
        <v/>
      </c>
      <c r="C94" s="145">
        <f>IF('DM_NHAN_SU'!$B94="","",'DM_NHAN_SU'!C94)</f>
        <v/>
      </c>
      <c r="D94" s="232">
        <f>IF('DM_NHAN_SU'!$B94="","",IF('DM_NHAN_SU'!AD94&gt;0,'DM_NHAN_SU'!AD94,12))</f>
        <v/>
      </c>
      <c r="E94" s="232">
        <f>IF('DM_NHAN_SU'!$B94="","",'DM_NHAN_SU'!AE94)</f>
        <v/>
      </c>
      <c r="F94" s="232">
        <f>IF('DM_NHAN_SU'!$B94="","",'DM_NHAN_SU'!AF94)</f>
        <v/>
      </c>
      <c r="G94" s="232">
        <f>IF($B94="","",SUM($D94:$F94))</f>
        <v/>
      </c>
      <c r="H94" s="232">
        <f>IF('DM_NHAN_SU'!$B94="","",'DM_NHAN_SU'!AG94)</f>
        <v/>
      </c>
      <c r="I94" s="232">
        <f>IF('DM_NHAN_SU'!$B94="","",'CHAM_CONG_THANG'!AR94)</f>
        <v/>
      </c>
      <c r="J94" s="227" t="n"/>
      <c r="K94" s="232">
        <f>IF($B94="","",$G94-$H94-$I94+$J94)</f>
        <v/>
      </c>
      <c r="L94" s="150">
        <f>IF($B94="","",IF('DM_NHAN_SU'!AD94="","Đang tạm dùng 12 ngày; kiểm tra 14/16 ngày và tỷ lệ; ","")&amp;IF($K94&lt;0,"Số phép âm; ","")&amp;IF(AND('DM_NHAN_SU'!$F94&gt;'THAM_SO'!$B$6,'DM_NHAN_SU'!$F94&lt;='THAM_SO'!$B$7),"Nhân viên mới trong kỳ – kiểm tra phép tỷ lệ; ",""))</f>
        <v/>
      </c>
    </row>
    <row r="95">
      <c r="A95" s="145">
        <f>IF('DM_NHAN_SU'!$B95="","",ROW()-5)</f>
        <v/>
      </c>
      <c r="B95" s="145">
        <f>IF('DM_NHAN_SU'!$B95="","",'DM_NHAN_SU'!B95)</f>
        <v/>
      </c>
      <c r="C95" s="145">
        <f>IF('DM_NHAN_SU'!$B95="","",'DM_NHAN_SU'!C95)</f>
        <v/>
      </c>
      <c r="D95" s="232">
        <f>IF('DM_NHAN_SU'!$B95="","",IF('DM_NHAN_SU'!AD95&gt;0,'DM_NHAN_SU'!AD95,12))</f>
        <v/>
      </c>
      <c r="E95" s="232">
        <f>IF('DM_NHAN_SU'!$B95="","",'DM_NHAN_SU'!AE95)</f>
        <v/>
      </c>
      <c r="F95" s="232">
        <f>IF('DM_NHAN_SU'!$B95="","",'DM_NHAN_SU'!AF95)</f>
        <v/>
      </c>
      <c r="G95" s="232">
        <f>IF($B95="","",SUM($D95:$F95))</f>
        <v/>
      </c>
      <c r="H95" s="232">
        <f>IF('DM_NHAN_SU'!$B95="","",'DM_NHAN_SU'!AG95)</f>
        <v/>
      </c>
      <c r="I95" s="232">
        <f>IF('DM_NHAN_SU'!$B95="","",'CHAM_CONG_THANG'!AR95)</f>
        <v/>
      </c>
      <c r="J95" s="227" t="n"/>
      <c r="K95" s="232">
        <f>IF($B95="","",$G95-$H95-$I95+$J95)</f>
        <v/>
      </c>
      <c r="L95" s="150">
        <f>IF($B95="","",IF('DM_NHAN_SU'!AD95="","Đang tạm dùng 12 ngày; kiểm tra 14/16 ngày và tỷ lệ; ","")&amp;IF($K95&lt;0,"Số phép âm; ","")&amp;IF(AND('DM_NHAN_SU'!$F95&gt;'THAM_SO'!$B$6,'DM_NHAN_SU'!$F95&lt;='THAM_SO'!$B$7),"Nhân viên mới trong kỳ – kiểm tra phép tỷ lệ; ",""))</f>
        <v/>
      </c>
    </row>
    <row r="96">
      <c r="A96" s="145">
        <f>IF('DM_NHAN_SU'!$B96="","",ROW()-5)</f>
        <v/>
      </c>
      <c r="B96" s="145">
        <f>IF('DM_NHAN_SU'!$B96="","",'DM_NHAN_SU'!B96)</f>
        <v/>
      </c>
      <c r="C96" s="145">
        <f>IF('DM_NHAN_SU'!$B96="","",'DM_NHAN_SU'!C96)</f>
        <v/>
      </c>
      <c r="D96" s="232">
        <f>IF('DM_NHAN_SU'!$B96="","",IF('DM_NHAN_SU'!AD96&gt;0,'DM_NHAN_SU'!AD96,12))</f>
        <v/>
      </c>
      <c r="E96" s="232">
        <f>IF('DM_NHAN_SU'!$B96="","",'DM_NHAN_SU'!AE96)</f>
        <v/>
      </c>
      <c r="F96" s="232">
        <f>IF('DM_NHAN_SU'!$B96="","",'DM_NHAN_SU'!AF96)</f>
        <v/>
      </c>
      <c r="G96" s="232">
        <f>IF($B96="","",SUM($D96:$F96))</f>
        <v/>
      </c>
      <c r="H96" s="232">
        <f>IF('DM_NHAN_SU'!$B96="","",'DM_NHAN_SU'!AG96)</f>
        <v/>
      </c>
      <c r="I96" s="232">
        <f>IF('DM_NHAN_SU'!$B96="","",'CHAM_CONG_THANG'!AR96)</f>
        <v/>
      </c>
      <c r="J96" s="227" t="n"/>
      <c r="K96" s="232">
        <f>IF($B96="","",$G96-$H96-$I96+$J96)</f>
        <v/>
      </c>
      <c r="L96" s="150">
        <f>IF($B96="","",IF('DM_NHAN_SU'!AD96="","Đang tạm dùng 12 ngày; kiểm tra 14/16 ngày và tỷ lệ; ","")&amp;IF($K96&lt;0,"Số phép âm; ","")&amp;IF(AND('DM_NHAN_SU'!$F96&gt;'THAM_SO'!$B$6,'DM_NHAN_SU'!$F96&lt;='THAM_SO'!$B$7),"Nhân viên mới trong kỳ – kiểm tra phép tỷ lệ; ",""))</f>
        <v/>
      </c>
    </row>
    <row r="97">
      <c r="A97" s="145">
        <f>IF('DM_NHAN_SU'!$B97="","",ROW()-5)</f>
        <v/>
      </c>
      <c r="B97" s="145">
        <f>IF('DM_NHAN_SU'!$B97="","",'DM_NHAN_SU'!B97)</f>
        <v/>
      </c>
      <c r="C97" s="145">
        <f>IF('DM_NHAN_SU'!$B97="","",'DM_NHAN_SU'!C97)</f>
        <v/>
      </c>
      <c r="D97" s="232">
        <f>IF('DM_NHAN_SU'!$B97="","",IF('DM_NHAN_SU'!AD97&gt;0,'DM_NHAN_SU'!AD97,12))</f>
        <v/>
      </c>
      <c r="E97" s="232">
        <f>IF('DM_NHAN_SU'!$B97="","",'DM_NHAN_SU'!AE97)</f>
        <v/>
      </c>
      <c r="F97" s="232">
        <f>IF('DM_NHAN_SU'!$B97="","",'DM_NHAN_SU'!AF97)</f>
        <v/>
      </c>
      <c r="G97" s="232">
        <f>IF($B97="","",SUM($D97:$F97))</f>
        <v/>
      </c>
      <c r="H97" s="232">
        <f>IF('DM_NHAN_SU'!$B97="","",'DM_NHAN_SU'!AG97)</f>
        <v/>
      </c>
      <c r="I97" s="232">
        <f>IF('DM_NHAN_SU'!$B97="","",'CHAM_CONG_THANG'!AR97)</f>
        <v/>
      </c>
      <c r="J97" s="227" t="n"/>
      <c r="K97" s="232">
        <f>IF($B97="","",$G97-$H97-$I97+$J97)</f>
        <v/>
      </c>
      <c r="L97" s="150">
        <f>IF($B97="","",IF('DM_NHAN_SU'!AD97="","Đang tạm dùng 12 ngày; kiểm tra 14/16 ngày và tỷ lệ; ","")&amp;IF($K97&lt;0,"Số phép âm; ","")&amp;IF(AND('DM_NHAN_SU'!$F97&gt;'THAM_SO'!$B$6,'DM_NHAN_SU'!$F97&lt;='THAM_SO'!$B$7),"Nhân viên mới trong kỳ – kiểm tra phép tỷ lệ; ",""))</f>
        <v/>
      </c>
    </row>
    <row r="98">
      <c r="A98" s="145">
        <f>IF('DM_NHAN_SU'!$B98="","",ROW()-5)</f>
        <v/>
      </c>
      <c r="B98" s="145">
        <f>IF('DM_NHAN_SU'!$B98="","",'DM_NHAN_SU'!B98)</f>
        <v/>
      </c>
      <c r="C98" s="145">
        <f>IF('DM_NHAN_SU'!$B98="","",'DM_NHAN_SU'!C98)</f>
        <v/>
      </c>
      <c r="D98" s="232">
        <f>IF('DM_NHAN_SU'!$B98="","",IF('DM_NHAN_SU'!AD98&gt;0,'DM_NHAN_SU'!AD98,12))</f>
        <v/>
      </c>
      <c r="E98" s="232">
        <f>IF('DM_NHAN_SU'!$B98="","",'DM_NHAN_SU'!AE98)</f>
        <v/>
      </c>
      <c r="F98" s="232">
        <f>IF('DM_NHAN_SU'!$B98="","",'DM_NHAN_SU'!AF98)</f>
        <v/>
      </c>
      <c r="G98" s="232">
        <f>IF($B98="","",SUM($D98:$F98))</f>
        <v/>
      </c>
      <c r="H98" s="232">
        <f>IF('DM_NHAN_SU'!$B98="","",'DM_NHAN_SU'!AG98)</f>
        <v/>
      </c>
      <c r="I98" s="232">
        <f>IF('DM_NHAN_SU'!$B98="","",'CHAM_CONG_THANG'!AR98)</f>
        <v/>
      </c>
      <c r="J98" s="227" t="n"/>
      <c r="K98" s="232">
        <f>IF($B98="","",$G98-$H98-$I98+$J98)</f>
        <v/>
      </c>
      <c r="L98" s="150">
        <f>IF($B98="","",IF('DM_NHAN_SU'!AD98="","Đang tạm dùng 12 ngày; kiểm tra 14/16 ngày và tỷ lệ; ","")&amp;IF($K98&lt;0,"Số phép âm; ","")&amp;IF(AND('DM_NHAN_SU'!$F98&gt;'THAM_SO'!$B$6,'DM_NHAN_SU'!$F98&lt;='THAM_SO'!$B$7),"Nhân viên mới trong kỳ – kiểm tra phép tỷ lệ; ",""))</f>
        <v/>
      </c>
    </row>
    <row r="99">
      <c r="A99" s="145">
        <f>IF('DM_NHAN_SU'!$B99="","",ROW()-5)</f>
        <v/>
      </c>
      <c r="B99" s="145">
        <f>IF('DM_NHAN_SU'!$B99="","",'DM_NHAN_SU'!B99)</f>
        <v/>
      </c>
      <c r="C99" s="145">
        <f>IF('DM_NHAN_SU'!$B99="","",'DM_NHAN_SU'!C99)</f>
        <v/>
      </c>
      <c r="D99" s="232">
        <f>IF('DM_NHAN_SU'!$B99="","",IF('DM_NHAN_SU'!AD99&gt;0,'DM_NHAN_SU'!AD99,12))</f>
        <v/>
      </c>
      <c r="E99" s="232">
        <f>IF('DM_NHAN_SU'!$B99="","",'DM_NHAN_SU'!AE99)</f>
        <v/>
      </c>
      <c r="F99" s="232">
        <f>IF('DM_NHAN_SU'!$B99="","",'DM_NHAN_SU'!AF99)</f>
        <v/>
      </c>
      <c r="G99" s="232">
        <f>IF($B99="","",SUM($D99:$F99))</f>
        <v/>
      </c>
      <c r="H99" s="232">
        <f>IF('DM_NHAN_SU'!$B99="","",'DM_NHAN_SU'!AG99)</f>
        <v/>
      </c>
      <c r="I99" s="232">
        <f>IF('DM_NHAN_SU'!$B99="","",'CHAM_CONG_THANG'!AR99)</f>
        <v/>
      </c>
      <c r="J99" s="227" t="n"/>
      <c r="K99" s="232">
        <f>IF($B99="","",$G99-$H99-$I99+$J99)</f>
        <v/>
      </c>
      <c r="L99" s="150">
        <f>IF($B99="","",IF('DM_NHAN_SU'!AD99="","Đang tạm dùng 12 ngày; kiểm tra 14/16 ngày và tỷ lệ; ","")&amp;IF($K99&lt;0,"Số phép âm; ","")&amp;IF(AND('DM_NHAN_SU'!$F99&gt;'THAM_SO'!$B$6,'DM_NHAN_SU'!$F99&lt;='THAM_SO'!$B$7),"Nhân viên mới trong kỳ – kiểm tra phép tỷ lệ; ",""))</f>
        <v/>
      </c>
    </row>
    <row r="100">
      <c r="A100" s="145">
        <f>IF('DM_NHAN_SU'!$B100="","",ROW()-5)</f>
        <v/>
      </c>
      <c r="B100" s="145">
        <f>IF('DM_NHAN_SU'!$B100="","",'DM_NHAN_SU'!B100)</f>
        <v/>
      </c>
      <c r="C100" s="145">
        <f>IF('DM_NHAN_SU'!$B100="","",'DM_NHAN_SU'!C100)</f>
        <v/>
      </c>
      <c r="D100" s="232">
        <f>IF('DM_NHAN_SU'!$B100="","",IF('DM_NHAN_SU'!AD100&gt;0,'DM_NHAN_SU'!AD100,12))</f>
        <v/>
      </c>
      <c r="E100" s="232">
        <f>IF('DM_NHAN_SU'!$B100="","",'DM_NHAN_SU'!AE100)</f>
        <v/>
      </c>
      <c r="F100" s="232">
        <f>IF('DM_NHAN_SU'!$B100="","",'DM_NHAN_SU'!AF100)</f>
        <v/>
      </c>
      <c r="G100" s="232">
        <f>IF($B100="","",SUM($D100:$F100))</f>
        <v/>
      </c>
      <c r="H100" s="232">
        <f>IF('DM_NHAN_SU'!$B100="","",'DM_NHAN_SU'!AG100)</f>
        <v/>
      </c>
      <c r="I100" s="232">
        <f>IF('DM_NHAN_SU'!$B100="","",'CHAM_CONG_THANG'!AR100)</f>
        <v/>
      </c>
      <c r="J100" s="227" t="n"/>
      <c r="K100" s="232">
        <f>IF($B100="","",$G100-$H100-$I100+$J100)</f>
        <v/>
      </c>
      <c r="L100" s="150">
        <f>IF($B100="","",IF('DM_NHAN_SU'!AD100="","Đang tạm dùng 12 ngày; kiểm tra 14/16 ngày và tỷ lệ; ","")&amp;IF($K100&lt;0,"Số phép âm; ","")&amp;IF(AND('DM_NHAN_SU'!$F100&gt;'THAM_SO'!$B$6,'DM_NHAN_SU'!$F100&lt;='THAM_SO'!$B$7),"Nhân viên mới trong kỳ – kiểm tra phép tỷ lệ; ",""))</f>
        <v/>
      </c>
    </row>
    <row r="101">
      <c r="A101" s="145">
        <f>IF('DM_NHAN_SU'!$B101="","",ROW()-5)</f>
        <v/>
      </c>
      <c r="B101" s="145">
        <f>IF('DM_NHAN_SU'!$B101="","",'DM_NHAN_SU'!B101)</f>
        <v/>
      </c>
      <c r="C101" s="145">
        <f>IF('DM_NHAN_SU'!$B101="","",'DM_NHAN_SU'!C101)</f>
        <v/>
      </c>
      <c r="D101" s="232">
        <f>IF('DM_NHAN_SU'!$B101="","",IF('DM_NHAN_SU'!AD101&gt;0,'DM_NHAN_SU'!AD101,12))</f>
        <v/>
      </c>
      <c r="E101" s="232">
        <f>IF('DM_NHAN_SU'!$B101="","",'DM_NHAN_SU'!AE101)</f>
        <v/>
      </c>
      <c r="F101" s="232">
        <f>IF('DM_NHAN_SU'!$B101="","",'DM_NHAN_SU'!AF101)</f>
        <v/>
      </c>
      <c r="G101" s="232">
        <f>IF($B101="","",SUM($D101:$F101))</f>
        <v/>
      </c>
      <c r="H101" s="232">
        <f>IF('DM_NHAN_SU'!$B101="","",'DM_NHAN_SU'!AG101)</f>
        <v/>
      </c>
      <c r="I101" s="232">
        <f>IF('DM_NHAN_SU'!$B101="","",'CHAM_CONG_THANG'!AR101)</f>
        <v/>
      </c>
      <c r="J101" s="227" t="n"/>
      <c r="K101" s="232">
        <f>IF($B101="","",$G101-$H101-$I101+$J101)</f>
        <v/>
      </c>
      <c r="L101" s="150">
        <f>IF($B101="","",IF('DM_NHAN_SU'!AD101="","Đang tạm dùng 12 ngày; kiểm tra 14/16 ngày và tỷ lệ; ","")&amp;IF($K101&lt;0,"Số phép âm; ","")&amp;IF(AND('DM_NHAN_SU'!$F101&gt;'THAM_SO'!$B$6,'DM_NHAN_SU'!$F101&lt;='THAM_SO'!$B$7),"Nhân viên mới trong kỳ – kiểm tra phép tỷ lệ; ",""))</f>
        <v/>
      </c>
    </row>
    <row r="102">
      <c r="A102" s="145">
        <f>IF('DM_NHAN_SU'!$B102="","",ROW()-5)</f>
        <v/>
      </c>
      <c r="B102" s="145">
        <f>IF('DM_NHAN_SU'!$B102="","",'DM_NHAN_SU'!B102)</f>
        <v/>
      </c>
      <c r="C102" s="145">
        <f>IF('DM_NHAN_SU'!$B102="","",'DM_NHAN_SU'!C102)</f>
        <v/>
      </c>
      <c r="D102" s="232">
        <f>IF('DM_NHAN_SU'!$B102="","",IF('DM_NHAN_SU'!AD102&gt;0,'DM_NHAN_SU'!AD102,12))</f>
        <v/>
      </c>
      <c r="E102" s="232">
        <f>IF('DM_NHAN_SU'!$B102="","",'DM_NHAN_SU'!AE102)</f>
        <v/>
      </c>
      <c r="F102" s="232">
        <f>IF('DM_NHAN_SU'!$B102="","",'DM_NHAN_SU'!AF102)</f>
        <v/>
      </c>
      <c r="G102" s="232">
        <f>IF($B102="","",SUM($D102:$F102))</f>
        <v/>
      </c>
      <c r="H102" s="232">
        <f>IF('DM_NHAN_SU'!$B102="","",'DM_NHAN_SU'!AG102)</f>
        <v/>
      </c>
      <c r="I102" s="232">
        <f>IF('DM_NHAN_SU'!$B102="","",'CHAM_CONG_THANG'!AR102)</f>
        <v/>
      </c>
      <c r="J102" s="227" t="n"/>
      <c r="K102" s="232">
        <f>IF($B102="","",$G102-$H102-$I102+$J102)</f>
        <v/>
      </c>
      <c r="L102" s="150">
        <f>IF($B102="","",IF('DM_NHAN_SU'!AD102="","Đang tạm dùng 12 ngày; kiểm tra 14/16 ngày và tỷ lệ; ","")&amp;IF($K102&lt;0,"Số phép âm; ","")&amp;IF(AND('DM_NHAN_SU'!$F102&gt;'THAM_SO'!$B$6,'DM_NHAN_SU'!$F102&lt;='THAM_SO'!$B$7),"Nhân viên mới trong kỳ – kiểm tra phép tỷ lệ; ",""))</f>
        <v/>
      </c>
    </row>
    <row r="103">
      <c r="A103" s="145">
        <f>IF('DM_NHAN_SU'!$B103="","",ROW()-5)</f>
        <v/>
      </c>
      <c r="B103" s="145">
        <f>IF('DM_NHAN_SU'!$B103="","",'DM_NHAN_SU'!B103)</f>
        <v/>
      </c>
      <c r="C103" s="145">
        <f>IF('DM_NHAN_SU'!$B103="","",'DM_NHAN_SU'!C103)</f>
        <v/>
      </c>
      <c r="D103" s="232">
        <f>IF('DM_NHAN_SU'!$B103="","",IF('DM_NHAN_SU'!AD103&gt;0,'DM_NHAN_SU'!AD103,12))</f>
        <v/>
      </c>
      <c r="E103" s="232">
        <f>IF('DM_NHAN_SU'!$B103="","",'DM_NHAN_SU'!AE103)</f>
        <v/>
      </c>
      <c r="F103" s="232">
        <f>IF('DM_NHAN_SU'!$B103="","",'DM_NHAN_SU'!AF103)</f>
        <v/>
      </c>
      <c r="G103" s="232">
        <f>IF($B103="","",SUM($D103:$F103))</f>
        <v/>
      </c>
      <c r="H103" s="232">
        <f>IF('DM_NHAN_SU'!$B103="","",'DM_NHAN_SU'!AG103)</f>
        <v/>
      </c>
      <c r="I103" s="232">
        <f>IF('DM_NHAN_SU'!$B103="","",'CHAM_CONG_THANG'!AR103)</f>
        <v/>
      </c>
      <c r="J103" s="227" t="n"/>
      <c r="K103" s="232">
        <f>IF($B103="","",$G103-$H103-$I103+$J103)</f>
        <v/>
      </c>
      <c r="L103" s="150">
        <f>IF($B103="","",IF('DM_NHAN_SU'!AD103="","Đang tạm dùng 12 ngày; kiểm tra 14/16 ngày và tỷ lệ; ","")&amp;IF($K103&lt;0,"Số phép âm; ","")&amp;IF(AND('DM_NHAN_SU'!$F103&gt;'THAM_SO'!$B$6,'DM_NHAN_SU'!$F103&lt;='THAM_SO'!$B$7),"Nhân viên mới trong kỳ – kiểm tra phép tỷ lệ; ",""))</f>
        <v/>
      </c>
    </row>
    <row r="104">
      <c r="A104" s="145">
        <f>IF('DM_NHAN_SU'!$B104="","",ROW()-5)</f>
        <v/>
      </c>
      <c r="B104" s="145">
        <f>IF('DM_NHAN_SU'!$B104="","",'DM_NHAN_SU'!B104)</f>
        <v/>
      </c>
      <c r="C104" s="145">
        <f>IF('DM_NHAN_SU'!$B104="","",'DM_NHAN_SU'!C104)</f>
        <v/>
      </c>
      <c r="D104" s="232">
        <f>IF('DM_NHAN_SU'!$B104="","",IF('DM_NHAN_SU'!AD104&gt;0,'DM_NHAN_SU'!AD104,12))</f>
        <v/>
      </c>
      <c r="E104" s="232">
        <f>IF('DM_NHAN_SU'!$B104="","",'DM_NHAN_SU'!AE104)</f>
        <v/>
      </c>
      <c r="F104" s="232">
        <f>IF('DM_NHAN_SU'!$B104="","",'DM_NHAN_SU'!AF104)</f>
        <v/>
      </c>
      <c r="G104" s="232">
        <f>IF($B104="","",SUM($D104:$F104))</f>
        <v/>
      </c>
      <c r="H104" s="232">
        <f>IF('DM_NHAN_SU'!$B104="","",'DM_NHAN_SU'!AG104)</f>
        <v/>
      </c>
      <c r="I104" s="232">
        <f>IF('DM_NHAN_SU'!$B104="","",'CHAM_CONG_THANG'!AR104)</f>
        <v/>
      </c>
      <c r="J104" s="227" t="n"/>
      <c r="K104" s="232">
        <f>IF($B104="","",$G104-$H104-$I104+$J104)</f>
        <v/>
      </c>
      <c r="L104" s="150">
        <f>IF($B104="","",IF('DM_NHAN_SU'!AD104="","Đang tạm dùng 12 ngày; kiểm tra 14/16 ngày và tỷ lệ; ","")&amp;IF($K104&lt;0,"Số phép âm; ","")&amp;IF(AND('DM_NHAN_SU'!$F104&gt;'THAM_SO'!$B$6,'DM_NHAN_SU'!$F104&lt;='THAM_SO'!$B$7),"Nhân viên mới trong kỳ – kiểm tra phép tỷ lệ; ",""))</f>
        <v/>
      </c>
    </row>
    <row r="105">
      <c r="A105" s="145">
        <f>IF('DM_NHAN_SU'!$B105="","",ROW()-5)</f>
        <v/>
      </c>
      <c r="B105" s="145">
        <f>IF('DM_NHAN_SU'!$B105="","",'DM_NHAN_SU'!B105)</f>
        <v/>
      </c>
      <c r="C105" s="145">
        <f>IF('DM_NHAN_SU'!$B105="","",'DM_NHAN_SU'!C105)</f>
        <v/>
      </c>
      <c r="D105" s="232">
        <f>IF('DM_NHAN_SU'!$B105="","",IF('DM_NHAN_SU'!AD105&gt;0,'DM_NHAN_SU'!AD105,12))</f>
        <v/>
      </c>
      <c r="E105" s="232">
        <f>IF('DM_NHAN_SU'!$B105="","",'DM_NHAN_SU'!AE105)</f>
        <v/>
      </c>
      <c r="F105" s="232">
        <f>IF('DM_NHAN_SU'!$B105="","",'DM_NHAN_SU'!AF105)</f>
        <v/>
      </c>
      <c r="G105" s="232">
        <f>IF($B105="","",SUM($D105:$F105))</f>
        <v/>
      </c>
      <c r="H105" s="232">
        <f>IF('DM_NHAN_SU'!$B105="","",'DM_NHAN_SU'!AG105)</f>
        <v/>
      </c>
      <c r="I105" s="232">
        <f>IF('DM_NHAN_SU'!$B105="","",'CHAM_CONG_THANG'!AR105)</f>
        <v/>
      </c>
      <c r="J105" s="227" t="n"/>
      <c r="K105" s="232">
        <f>IF($B105="","",$G105-$H105-$I105+$J105)</f>
        <v/>
      </c>
      <c r="L105" s="150">
        <f>IF($B105="","",IF('DM_NHAN_SU'!AD105="","Đang tạm dùng 12 ngày; kiểm tra 14/16 ngày và tỷ lệ; ","")&amp;IF($K105&lt;0,"Số phép âm; ","")&amp;IF(AND('DM_NHAN_SU'!$F105&gt;'THAM_SO'!$B$6,'DM_NHAN_SU'!$F105&lt;='THAM_SO'!$B$7),"Nhân viên mới trong kỳ – kiểm tra phép tỷ lệ; ",""))</f>
        <v/>
      </c>
    </row>
    <row r="106">
      <c r="A106" s="145">
        <f>IF('DM_NHAN_SU'!$B106="","",ROW()-5)</f>
        <v/>
      </c>
      <c r="B106" s="145">
        <f>IF('DM_NHAN_SU'!$B106="","",'DM_NHAN_SU'!B106)</f>
        <v/>
      </c>
      <c r="C106" s="145">
        <f>IF('DM_NHAN_SU'!$B106="","",'DM_NHAN_SU'!C106)</f>
        <v/>
      </c>
      <c r="D106" s="232">
        <f>IF('DM_NHAN_SU'!$B106="","",IF('DM_NHAN_SU'!AD106&gt;0,'DM_NHAN_SU'!AD106,12))</f>
        <v/>
      </c>
      <c r="E106" s="232">
        <f>IF('DM_NHAN_SU'!$B106="","",'DM_NHAN_SU'!AE106)</f>
        <v/>
      </c>
      <c r="F106" s="232">
        <f>IF('DM_NHAN_SU'!$B106="","",'DM_NHAN_SU'!AF106)</f>
        <v/>
      </c>
      <c r="G106" s="232">
        <f>IF($B106="","",SUM($D106:$F106))</f>
        <v/>
      </c>
      <c r="H106" s="232">
        <f>IF('DM_NHAN_SU'!$B106="","",'DM_NHAN_SU'!AG106)</f>
        <v/>
      </c>
      <c r="I106" s="232">
        <f>IF('DM_NHAN_SU'!$B106="","",'CHAM_CONG_THANG'!AR106)</f>
        <v/>
      </c>
      <c r="J106" s="227" t="n"/>
      <c r="K106" s="232">
        <f>IF($B106="","",$G106-$H106-$I106+$J106)</f>
        <v/>
      </c>
      <c r="L106" s="150">
        <f>IF($B106="","",IF('DM_NHAN_SU'!AD106="","Đang tạm dùng 12 ngày; kiểm tra 14/16 ngày và tỷ lệ; ","")&amp;IF($K106&lt;0,"Số phép âm; ","")&amp;IF(AND('DM_NHAN_SU'!$F106&gt;'THAM_SO'!$B$6,'DM_NHAN_SU'!$F106&lt;='THAM_SO'!$B$7),"Nhân viên mới trong kỳ – kiểm tra phép tỷ lệ; ",""))</f>
        <v/>
      </c>
    </row>
    <row r="107">
      <c r="A107" s="145">
        <f>IF('DM_NHAN_SU'!$B107="","",ROW()-5)</f>
        <v/>
      </c>
      <c r="B107" s="145">
        <f>IF('DM_NHAN_SU'!$B107="","",'DM_NHAN_SU'!B107)</f>
        <v/>
      </c>
      <c r="C107" s="145">
        <f>IF('DM_NHAN_SU'!$B107="","",'DM_NHAN_SU'!C107)</f>
        <v/>
      </c>
      <c r="D107" s="232">
        <f>IF('DM_NHAN_SU'!$B107="","",IF('DM_NHAN_SU'!AD107&gt;0,'DM_NHAN_SU'!AD107,12))</f>
        <v/>
      </c>
      <c r="E107" s="232">
        <f>IF('DM_NHAN_SU'!$B107="","",'DM_NHAN_SU'!AE107)</f>
        <v/>
      </c>
      <c r="F107" s="232">
        <f>IF('DM_NHAN_SU'!$B107="","",'DM_NHAN_SU'!AF107)</f>
        <v/>
      </c>
      <c r="G107" s="232">
        <f>IF($B107="","",SUM($D107:$F107))</f>
        <v/>
      </c>
      <c r="H107" s="232">
        <f>IF('DM_NHAN_SU'!$B107="","",'DM_NHAN_SU'!AG107)</f>
        <v/>
      </c>
      <c r="I107" s="232">
        <f>IF('DM_NHAN_SU'!$B107="","",'CHAM_CONG_THANG'!AR107)</f>
        <v/>
      </c>
      <c r="J107" s="227" t="n"/>
      <c r="K107" s="232">
        <f>IF($B107="","",$G107-$H107-$I107+$J107)</f>
        <v/>
      </c>
      <c r="L107" s="150">
        <f>IF($B107="","",IF('DM_NHAN_SU'!AD107="","Đang tạm dùng 12 ngày; kiểm tra 14/16 ngày và tỷ lệ; ","")&amp;IF($K107&lt;0,"Số phép âm; ","")&amp;IF(AND('DM_NHAN_SU'!$F107&gt;'THAM_SO'!$B$6,'DM_NHAN_SU'!$F107&lt;='THAM_SO'!$B$7),"Nhân viên mới trong kỳ – kiểm tra phép tỷ lệ; ",""))</f>
        <v/>
      </c>
    </row>
    <row r="108">
      <c r="A108" s="145">
        <f>IF('DM_NHAN_SU'!$B108="","",ROW()-5)</f>
        <v/>
      </c>
      <c r="B108" s="145">
        <f>IF('DM_NHAN_SU'!$B108="","",'DM_NHAN_SU'!B108)</f>
        <v/>
      </c>
      <c r="C108" s="145">
        <f>IF('DM_NHAN_SU'!$B108="","",'DM_NHAN_SU'!C108)</f>
        <v/>
      </c>
      <c r="D108" s="232">
        <f>IF('DM_NHAN_SU'!$B108="","",IF('DM_NHAN_SU'!AD108&gt;0,'DM_NHAN_SU'!AD108,12))</f>
        <v/>
      </c>
      <c r="E108" s="232">
        <f>IF('DM_NHAN_SU'!$B108="","",'DM_NHAN_SU'!AE108)</f>
        <v/>
      </c>
      <c r="F108" s="232">
        <f>IF('DM_NHAN_SU'!$B108="","",'DM_NHAN_SU'!AF108)</f>
        <v/>
      </c>
      <c r="G108" s="232">
        <f>IF($B108="","",SUM($D108:$F108))</f>
        <v/>
      </c>
      <c r="H108" s="232">
        <f>IF('DM_NHAN_SU'!$B108="","",'DM_NHAN_SU'!AG108)</f>
        <v/>
      </c>
      <c r="I108" s="232">
        <f>IF('DM_NHAN_SU'!$B108="","",'CHAM_CONG_THANG'!AR108)</f>
        <v/>
      </c>
      <c r="J108" s="227" t="n"/>
      <c r="K108" s="232">
        <f>IF($B108="","",$G108-$H108-$I108+$J108)</f>
        <v/>
      </c>
      <c r="L108" s="150">
        <f>IF($B108="","",IF('DM_NHAN_SU'!AD108="","Đang tạm dùng 12 ngày; kiểm tra 14/16 ngày và tỷ lệ; ","")&amp;IF($K108&lt;0,"Số phép âm; ","")&amp;IF(AND('DM_NHAN_SU'!$F108&gt;'THAM_SO'!$B$6,'DM_NHAN_SU'!$F108&lt;='THAM_SO'!$B$7),"Nhân viên mới trong kỳ – kiểm tra phép tỷ lệ; ",""))</f>
        <v/>
      </c>
    </row>
    <row r="109">
      <c r="A109" s="145">
        <f>IF('DM_NHAN_SU'!$B109="","",ROW()-5)</f>
        <v/>
      </c>
      <c r="B109" s="145">
        <f>IF('DM_NHAN_SU'!$B109="","",'DM_NHAN_SU'!B109)</f>
        <v/>
      </c>
      <c r="C109" s="145">
        <f>IF('DM_NHAN_SU'!$B109="","",'DM_NHAN_SU'!C109)</f>
        <v/>
      </c>
      <c r="D109" s="232">
        <f>IF('DM_NHAN_SU'!$B109="","",IF('DM_NHAN_SU'!AD109&gt;0,'DM_NHAN_SU'!AD109,12))</f>
        <v/>
      </c>
      <c r="E109" s="232">
        <f>IF('DM_NHAN_SU'!$B109="","",'DM_NHAN_SU'!AE109)</f>
        <v/>
      </c>
      <c r="F109" s="232">
        <f>IF('DM_NHAN_SU'!$B109="","",'DM_NHAN_SU'!AF109)</f>
        <v/>
      </c>
      <c r="G109" s="232">
        <f>IF($B109="","",SUM($D109:$F109))</f>
        <v/>
      </c>
      <c r="H109" s="232">
        <f>IF('DM_NHAN_SU'!$B109="","",'DM_NHAN_SU'!AG109)</f>
        <v/>
      </c>
      <c r="I109" s="232">
        <f>IF('DM_NHAN_SU'!$B109="","",'CHAM_CONG_THANG'!AR109)</f>
        <v/>
      </c>
      <c r="J109" s="227" t="n"/>
      <c r="K109" s="232">
        <f>IF($B109="","",$G109-$H109-$I109+$J109)</f>
        <v/>
      </c>
      <c r="L109" s="150">
        <f>IF($B109="","",IF('DM_NHAN_SU'!AD109="","Đang tạm dùng 12 ngày; kiểm tra 14/16 ngày và tỷ lệ; ","")&amp;IF($K109&lt;0,"Số phép âm; ","")&amp;IF(AND('DM_NHAN_SU'!$F109&gt;'THAM_SO'!$B$6,'DM_NHAN_SU'!$F109&lt;='THAM_SO'!$B$7),"Nhân viên mới trong kỳ – kiểm tra phép tỷ lệ; ",""))</f>
        <v/>
      </c>
    </row>
    <row r="110">
      <c r="A110" s="145">
        <f>IF('DM_NHAN_SU'!$B110="","",ROW()-5)</f>
        <v/>
      </c>
      <c r="B110" s="145">
        <f>IF('DM_NHAN_SU'!$B110="","",'DM_NHAN_SU'!B110)</f>
        <v/>
      </c>
      <c r="C110" s="145">
        <f>IF('DM_NHAN_SU'!$B110="","",'DM_NHAN_SU'!C110)</f>
        <v/>
      </c>
      <c r="D110" s="232">
        <f>IF('DM_NHAN_SU'!$B110="","",IF('DM_NHAN_SU'!AD110&gt;0,'DM_NHAN_SU'!AD110,12))</f>
        <v/>
      </c>
      <c r="E110" s="232">
        <f>IF('DM_NHAN_SU'!$B110="","",'DM_NHAN_SU'!AE110)</f>
        <v/>
      </c>
      <c r="F110" s="232">
        <f>IF('DM_NHAN_SU'!$B110="","",'DM_NHAN_SU'!AF110)</f>
        <v/>
      </c>
      <c r="G110" s="232">
        <f>IF($B110="","",SUM($D110:$F110))</f>
        <v/>
      </c>
      <c r="H110" s="232">
        <f>IF('DM_NHAN_SU'!$B110="","",'DM_NHAN_SU'!AG110)</f>
        <v/>
      </c>
      <c r="I110" s="232">
        <f>IF('DM_NHAN_SU'!$B110="","",'CHAM_CONG_THANG'!AR110)</f>
        <v/>
      </c>
      <c r="J110" s="227" t="n"/>
      <c r="K110" s="232">
        <f>IF($B110="","",$G110-$H110-$I110+$J110)</f>
        <v/>
      </c>
      <c r="L110" s="150">
        <f>IF($B110="","",IF('DM_NHAN_SU'!AD110="","Đang tạm dùng 12 ngày; kiểm tra 14/16 ngày và tỷ lệ; ","")&amp;IF($K110&lt;0,"Số phép âm; ","")&amp;IF(AND('DM_NHAN_SU'!$F110&gt;'THAM_SO'!$B$6,'DM_NHAN_SU'!$F110&lt;='THAM_SO'!$B$7),"Nhân viên mới trong kỳ – kiểm tra phép tỷ lệ; ",""))</f>
        <v/>
      </c>
    </row>
    <row r="111">
      <c r="A111" s="145">
        <f>IF('DM_NHAN_SU'!$B111="","",ROW()-5)</f>
        <v/>
      </c>
      <c r="B111" s="145">
        <f>IF('DM_NHAN_SU'!$B111="","",'DM_NHAN_SU'!B111)</f>
        <v/>
      </c>
      <c r="C111" s="145">
        <f>IF('DM_NHAN_SU'!$B111="","",'DM_NHAN_SU'!C111)</f>
        <v/>
      </c>
      <c r="D111" s="232">
        <f>IF('DM_NHAN_SU'!$B111="","",IF('DM_NHAN_SU'!AD111&gt;0,'DM_NHAN_SU'!AD111,12))</f>
        <v/>
      </c>
      <c r="E111" s="232">
        <f>IF('DM_NHAN_SU'!$B111="","",'DM_NHAN_SU'!AE111)</f>
        <v/>
      </c>
      <c r="F111" s="232">
        <f>IF('DM_NHAN_SU'!$B111="","",'DM_NHAN_SU'!AF111)</f>
        <v/>
      </c>
      <c r="G111" s="232">
        <f>IF($B111="","",SUM($D111:$F111))</f>
        <v/>
      </c>
      <c r="H111" s="232">
        <f>IF('DM_NHAN_SU'!$B111="","",'DM_NHAN_SU'!AG111)</f>
        <v/>
      </c>
      <c r="I111" s="232">
        <f>IF('DM_NHAN_SU'!$B111="","",'CHAM_CONG_THANG'!AR111)</f>
        <v/>
      </c>
      <c r="J111" s="227" t="n"/>
      <c r="K111" s="232">
        <f>IF($B111="","",$G111-$H111-$I111+$J111)</f>
        <v/>
      </c>
      <c r="L111" s="150">
        <f>IF($B111="","",IF('DM_NHAN_SU'!AD111="","Đang tạm dùng 12 ngày; kiểm tra 14/16 ngày và tỷ lệ; ","")&amp;IF($K111&lt;0,"Số phép âm; ","")&amp;IF(AND('DM_NHAN_SU'!$F111&gt;'THAM_SO'!$B$6,'DM_NHAN_SU'!$F111&lt;='THAM_SO'!$B$7),"Nhân viên mới trong kỳ – kiểm tra phép tỷ lệ; ",""))</f>
        <v/>
      </c>
    </row>
    <row r="112">
      <c r="A112" s="145">
        <f>IF('DM_NHAN_SU'!$B112="","",ROW()-5)</f>
        <v/>
      </c>
      <c r="B112" s="145">
        <f>IF('DM_NHAN_SU'!$B112="","",'DM_NHAN_SU'!B112)</f>
        <v/>
      </c>
      <c r="C112" s="145">
        <f>IF('DM_NHAN_SU'!$B112="","",'DM_NHAN_SU'!C112)</f>
        <v/>
      </c>
      <c r="D112" s="232">
        <f>IF('DM_NHAN_SU'!$B112="","",IF('DM_NHAN_SU'!AD112&gt;0,'DM_NHAN_SU'!AD112,12))</f>
        <v/>
      </c>
      <c r="E112" s="232">
        <f>IF('DM_NHAN_SU'!$B112="","",'DM_NHAN_SU'!AE112)</f>
        <v/>
      </c>
      <c r="F112" s="232">
        <f>IF('DM_NHAN_SU'!$B112="","",'DM_NHAN_SU'!AF112)</f>
        <v/>
      </c>
      <c r="G112" s="232">
        <f>IF($B112="","",SUM($D112:$F112))</f>
        <v/>
      </c>
      <c r="H112" s="232">
        <f>IF('DM_NHAN_SU'!$B112="","",'DM_NHAN_SU'!AG112)</f>
        <v/>
      </c>
      <c r="I112" s="232">
        <f>IF('DM_NHAN_SU'!$B112="","",'CHAM_CONG_THANG'!AR112)</f>
        <v/>
      </c>
      <c r="J112" s="227" t="n"/>
      <c r="K112" s="232">
        <f>IF($B112="","",$G112-$H112-$I112+$J112)</f>
        <v/>
      </c>
      <c r="L112" s="150">
        <f>IF($B112="","",IF('DM_NHAN_SU'!AD112="","Đang tạm dùng 12 ngày; kiểm tra 14/16 ngày và tỷ lệ; ","")&amp;IF($K112&lt;0,"Số phép âm; ","")&amp;IF(AND('DM_NHAN_SU'!$F112&gt;'THAM_SO'!$B$6,'DM_NHAN_SU'!$F112&lt;='THAM_SO'!$B$7),"Nhân viên mới trong kỳ – kiểm tra phép tỷ lệ; ",""))</f>
        <v/>
      </c>
    </row>
    <row r="113">
      <c r="A113" s="145">
        <f>IF('DM_NHAN_SU'!$B113="","",ROW()-5)</f>
        <v/>
      </c>
      <c r="B113" s="145">
        <f>IF('DM_NHAN_SU'!$B113="","",'DM_NHAN_SU'!B113)</f>
        <v/>
      </c>
      <c r="C113" s="145">
        <f>IF('DM_NHAN_SU'!$B113="","",'DM_NHAN_SU'!C113)</f>
        <v/>
      </c>
      <c r="D113" s="232">
        <f>IF('DM_NHAN_SU'!$B113="","",IF('DM_NHAN_SU'!AD113&gt;0,'DM_NHAN_SU'!AD113,12))</f>
        <v/>
      </c>
      <c r="E113" s="232">
        <f>IF('DM_NHAN_SU'!$B113="","",'DM_NHAN_SU'!AE113)</f>
        <v/>
      </c>
      <c r="F113" s="232">
        <f>IF('DM_NHAN_SU'!$B113="","",'DM_NHAN_SU'!AF113)</f>
        <v/>
      </c>
      <c r="G113" s="232">
        <f>IF($B113="","",SUM($D113:$F113))</f>
        <v/>
      </c>
      <c r="H113" s="232">
        <f>IF('DM_NHAN_SU'!$B113="","",'DM_NHAN_SU'!AG113)</f>
        <v/>
      </c>
      <c r="I113" s="232">
        <f>IF('DM_NHAN_SU'!$B113="","",'CHAM_CONG_THANG'!AR113)</f>
        <v/>
      </c>
      <c r="J113" s="227" t="n"/>
      <c r="K113" s="232">
        <f>IF($B113="","",$G113-$H113-$I113+$J113)</f>
        <v/>
      </c>
      <c r="L113" s="150">
        <f>IF($B113="","",IF('DM_NHAN_SU'!AD113="","Đang tạm dùng 12 ngày; kiểm tra 14/16 ngày và tỷ lệ; ","")&amp;IF($K113&lt;0,"Số phép âm; ","")&amp;IF(AND('DM_NHAN_SU'!$F113&gt;'THAM_SO'!$B$6,'DM_NHAN_SU'!$F113&lt;='THAM_SO'!$B$7),"Nhân viên mới trong kỳ – kiểm tra phép tỷ lệ; ",""))</f>
        <v/>
      </c>
    </row>
    <row r="114">
      <c r="A114" s="145">
        <f>IF('DM_NHAN_SU'!$B114="","",ROW()-5)</f>
        <v/>
      </c>
      <c r="B114" s="145">
        <f>IF('DM_NHAN_SU'!$B114="","",'DM_NHAN_SU'!B114)</f>
        <v/>
      </c>
      <c r="C114" s="145">
        <f>IF('DM_NHAN_SU'!$B114="","",'DM_NHAN_SU'!C114)</f>
        <v/>
      </c>
      <c r="D114" s="232">
        <f>IF('DM_NHAN_SU'!$B114="","",IF('DM_NHAN_SU'!AD114&gt;0,'DM_NHAN_SU'!AD114,12))</f>
        <v/>
      </c>
      <c r="E114" s="232">
        <f>IF('DM_NHAN_SU'!$B114="","",'DM_NHAN_SU'!AE114)</f>
        <v/>
      </c>
      <c r="F114" s="232">
        <f>IF('DM_NHAN_SU'!$B114="","",'DM_NHAN_SU'!AF114)</f>
        <v/>
      </c>
      <c r="G114" s="232">
        <f>IF($B114="","",SUM($D114:$F114))</f>
        <v/>
      </c>
      <c r="H114" s="232">
        <f>IF('DM_NHAN_SU'!$B114="","",'DM_NHAN_SU'!AG114)</f>
        <v/>
      </c>
      <c r="I114" s="232">
        <f>IF('DM_NHAN_SU'!$B114="","",'CHAM_CONG_THANG'!AR114)</f>
        <v/>
      </c>
      <c r="J114" s="227" t="n"/>
      <c r="K114" s="232">
        <f>IF($B114="","",$G114-$H114-$I114+$J114)</f>
        <v/>
      </c>
      <c r="L114" s="150">
        <f>IF($B114="","",IF('DM_NHAN_SU'!AD114="","Đang tạm dùng 12 ngày; kiểm tra 14/16 ngày và tỷ lệ; ","")&amp;IF($K114&lt;0,"Số phép âm; ","")&amp;IF(AND('DM_NHAN_SU'!$F114&gt;'THAM_SO'!$B$6,'DM_NHAN_SU'!$F114&lt;='THAM_SO'!$B$7),"Nhân viên mới trong kỳ – kiểm tra phép tỷ lệ; ",""))</f>
        <v/>
      </c>
    </row>
    <row r="115">
      <c r="A115" s="145">
        <f>IF('DM_NHAN_SU'!$B115="","",ROW()-5)</f>
        <v/>
      </c>
      <c r="B115" s="145">
        <f>IF('DM_NHAN_SU'!$B115="","",'DM_NHAN_SU'!B115)</f>
        <v/>
      </c>
      <c r="C115" s="145">
        <f>IF('DM_NHAN_SU'!$B115="","",'DM_NHAN_SU'!C115)</f>
        <v/>
      </c>
      <c r="D115" s="232">
        <f>IF('DM_NHAN_SU'!$B115="","",IF('DM_NHAN_SU'!AD115&gt;0,'DM_NHAN_SU'!AD115,12))</f>
        <v/>
      </c>
      <c r="E115" s="232">
        <f>IF('DM_NHAN_SU'!$B115="","",'DM_NHAN_SU'!AE115)</f>
        <v/>
      </c>
      <c r="F115" s="232">
        <f>IF('DM_NHAN_SU'!$B115="","",'DM_NHAN_SU'!AF115)</f>
        <v/>
      </c>
      <c r="G115" s="232">
        <f>IF($B115="","",SUM($D115:$F115))</f>
        <v/>
      </c>
      <c r="H115" s="232">
        <f>IF('DM_NHAN_SU'!$B115="","",'DM_NHAN_SU'!AG115)</f>
        <v/>
      </c>
      <c r="I115" s="232">
        <f>IF('DM_NHAN_SU'!$B115="","",'CHAM_CONG_THANG'!AR115)</f>
        <v/>
      </c>
      <c r="J115" s="227" t="n"/>
      <c r="K115" s="232">
        <f>IF($B115="","",$G115-$H115-$I115+$J115)</f>
        <v/>
      </c>
      <c r="L115" s="150">
        <f>IF($B115="","",IF('DM_NHAN_SU'!AD115="","Đang tạm dùng 12 ngày; kiểm tra 14/16 ngày và tỷ lệ; ","")&amp;IF($K115&lt;0,"Số phép âm; ","")&amp;IF(AND('DM_NHAN_SU'!$F115&gt;'THAM_SO'!$B$6,'DM_NHAN_SU'!$F115&lt;='THAM_SO'!$B$7),"Nhân viên mới trong kỳ – kiểm tra phép tỷ lệ; ",""))</f>
        <v/>
      </c>
    </row>
    <row r="116">
      <c r="A116" s="145">
        <f>IF('DM_NHAN_SU'!$B116="","",ROW()-5)</f>
        <v/>
      </c>
      <c r="B116" s="145">
        <f>IF('DM_NHAN_SU'!$B116="","",'DM_NHAN_SU'!B116)</f>
        <v/>
      </c>
      <c r="C116" s="145">
        <f>IF('DM_NHAN_SU'!$B116="","",'DM_NHAN_SU'!C116)</f>
        <v/>
      </c>
      <c r="D116" s="232">
        <f>IF('DM_NHAN_SU'!$B116="","",IF('DM_NHAN_SU'!AD116&gt;0,'DM_NHAN_SU'!AD116,12))</f>
        <v/>
      </c>
      <c r="E116" s="232">
        <f>IF('DM_NHAN_SU'!$B116="","",'DM_NHAN_SU'!AE116)</f>
        <v/>
      </c>
      <c r="F116" s="232">
        <f>IF('DM_NHAN_SU'!$B116="","",'DM_NHAN_SU'!AF116)</f>
        <v/>
      </c>
      <c r="G116" s="232">
        <f>IF($B116="","",SUM($D116:$F116))</f>
        <v/>
      </c>
      <c r="H116" s="232">
        <f>IF('DM_NHAN_SU'!$B116="","",'DM_NHAN_SU'!AG116)</f>
        <v/>
      </c>
      <c r="I116" s="232">
        <f>IF('DM_NHAN_SU'!$B116="","",'CHAM_CONG_THANG'!AR116)</f>
        <v/>
      </c>
      <c r="J116" s="227" t="n"/>
      <c r="K116" s="232">
        <f>IF($B116="","",$G116-$H116-$I116+$J116)</f>
        <v/>
      </c>
      <c r="L116" s="150">
        <f>IF($B116="","",IF('DM_NHAN_SU'!AD116="","Đang tạm dùng 12 ngày; kiểm tra 14/16 ngày và tỷ lệ; ","")&amp;IF($K116&lt;0,"Số phép âm; ","")&amp;IF(AND('DM_NHAN_SU'!$F116&gt;'THAM_SO'!$B$6,'DM_NHAN_SU'!$F116&lt;='THAM_SO'!$B$7),"Nhân viên mới trong kỳ – kiểm tra phép tỷ lệ; ",""))</f>
        <v/>
      </c>
    </row>
    <row r="117">
      <c r="A117" s="145">
        <f>IF('DM_NHAN_SU'!$B117="","",ROW()-5)</f>
        <v/>
      </c>
      <c r="B117" s="145">
        <f>IF('DM_NHAN_SU'!$B117="","",'DM_NHAN_SU'!B117)</f>
        <v/>
      </c>
      <c r="C117" s="145">
        <f>IF('DM_NHAN_SU'!$B117="","",'DM_NHAN_SU'!C117)</f>
        <v/>
      </c>
      <c r="D117" s="232">
        <f>IF('DM_NHAN_SU'!$B117="","",IF('DM_NHAN_SU'!AD117&gt;0,'DM_NHAN_SU'!AD117,12))</f>
        <v/>
      </c>
      <c r="E117" s="232">
        <f>IF('DM_NHAN_SU'!$B117="","",'DM_NHAN_SU'!AE117)</f>
        <v/>
      </c>
      <c r="F117" s="232">
        <f>IF('DM_NHAN_SU'!$B117="","",'DM_NHAN_SU'!AF117)</f>
        <v/>
      </c>
      <c r="G117" s="232">
        <f>IF($B117="","",SUM($D117:$F117))</f>
        <v/>
      </c>
      <c r="H117" s="232">
        <f>IF('DM_NHAN_SU'!$B117="","",'DM_NHAN_SU'!AG117)</f>
        <v/>
      </c>
      <c r="I117" s="232">
        <f>IF('DM_NHAN_SU'!$B117="","",'CHAM_CONG_THANG'!AR117)</f>
        <v/>
      </c>
      <c r="J117" s="227" t="n"/>
      <c r="K117" s="232">
        <f>IF($B117="","",$G117-$H117-$I117+$J117)</f>
        <v/>
      </c>
      <c r="L117" s="150">
        <f>IF($B117="","",IF('DM_NHAN_SU'!AD117="","Đang tạm dùng 12 ngày; kiểm tra 14/16 ngày và tỷ lệ; ","")&amp;IF($K117&lt;0,"Số phép âm; ","")&amp;IF(AND('DM_NHAN_SU'!$F117&gt;'THAM_SO'!$B$6,'DM_NHAN_SU'!$F117&lt;='THAM_SO'!$B$7),"Nhân viên mới trong kỳ – kiểm tra phép tỷ lệ; ",""))</f>
        <v/>
      </c>
    </row>
    <row r="118">
      <c r="A118" s="145">
        <f>IF('DM_NHAN_SU'!$B118="","",ROW()-5)</f>
        <v/>
      </c>
      <c r="B118" s="145">
        <f>IF('DM_NHAN_SU'!$B118="","",'DM_NHAN_SU'!B118)</f>
        <v/>
      </c>
      <c r="C118" s="145">
        <f>IF('DM_NHAN_SU'!$B118="","",'DM_NHAN_SU'!C118)</f>
        <v/>
      </c>
      <c r="D118" s="232">
        <f>IF('DM_NHAN_SU'!$B118="","",IF('DM_NHAN_SU'!AD118&gt;0,'DM_NHAN_SU'!AD118,12))</f>
        <v/>
      </c>
      <c r="E118" s="232">
        <f>IF('DM_NHAN_SU'!$B118="","",'DM_NHAN_SU'!AE118)</f>
        <v/>
      </c>
      <c r="F118" s="232">
        <f>IF('DM_NHAN_SU'!$B118="","",'DM_NHAN_SU'!AF118)</f>
        <v/>
      </c>
      <c r="G118" s="232">
        <f>IF($B118="","",SUM($D118:$F118))</f>
        <v/>
      </c>
      <c r="H118" s="232">
        <f>IF('DM_NHAN_SU'!$B118="","",'DM_NHAN_SU'!AG118)</f>
        <v/>
      </c>
      <c r="I118" s="232">
        <f>IF('DM_NHAN_SU'!$B118="","",'CHAM_CONG_THANG'!AR118)</f>
        <v/>
      </c>
      <c r="J118" s="227" t="n"/>
      <c r="K118" s="232">
        <f>IF($B118="","",$G118-$H118-$I118+$J118)</f>
        <v/>
      </c>
      <c r="L118" s="150">
        <f>IF($B118="","",IF('DM_NHAN_SU'!AD118="","Đang tạm dùng 12 ngày; kiểm tra 14/16 ngày và tỷ lệ; ","")&amp;IF($K118&lt;0,"Số phép âm; ","")&amp;IF(AND('DM_NHAN_SU'!$F118&gt;'THAM_SO'!$B$6,'DM_NHAN_SU'!$F118&lt;='THAM_SO'!$B$7),"Nhân viên mới trong kỳ – kiểm tra phép tỷ lệ; ",""))</f>
        <v/>
      </c>
    </row>
    <row r="119">
      <c r="A119" s="145">
        <f>IF('DM_NHAN_SU'!$B119="","",ROW()-5)</f>
        <v/>
      </c>
      <c r="B119" s="145">
        <f>IF('DM_NHAN_SU'!$B119="","",'DM_NHAN_SU'!B119)</f>
        <v/>
      </c>
      <c r="C119" s="145">
        <f>IF('DM_NHAN_SU'!$B119="","",'DM_NHAN_SU'!C119)</f>
        <v/>
      </c>
      <c r="D119" s="232">
        <f>IF('DM_NHAN_SU'!$B119="","",IF('DM_NHAN_SU'!AD119&gt;0,'DM_NHAN_SU'!AD119,12))</f>
        <v/>
      </c>
      <c r="E119" s="232">
        <f>IF('DM_NHAN_SU'!$B119="","",'DM_NHAN_SU'!AE119)</f>
        <v/>
      </c>
      <c r="F119" s="232">
        <f>IF('DM_NHAN_SU'!$B119="","",'DM_NHAN_SU'!AF119)</f>
        <v/>
      </c>
      <c r="G119" s="232">
        <f>IF($B119="","",SUM($D119:$F119))</f>
        <v/>
      </c>
      <c r="H119" s="232">
        <f>IF('DM_NHAN_SU'!$B119="","",'DM_NHAN_SU'!AG119)</f>
        <v/>
      </c>
      <c r="I119" s="232">
        <f>IF('DM_NHAN_SU'!$B119="","",'CHAM_CONG_THANG'!AR119)</f>
        <v/>
      </c>
      <c r="J119" s="227" t="n"/>
      <c r="K119" s="232">
        <f>IF($B119="","",$G119-$H119-$I119+$J119)</f>
        <v/>
      </c>
      <c r="L119" s="150">
        <f>IF($B119="","",IF('DM_NHAN_SU'!AD119="","Đang tạm dùng 12 ngày; kiểm tra 14/16 ngày và tỷ lệ; ","")&amp;IF($K119&lt;0,"Số phép âm; ","")&amp;IF(AND('DM_NHAN_SU'!$F119&gt;'THAM_SO'!$B$6,'DM_NHAN_SU'!$F119&lt;='THAM_SO'!$B$7),"Nhân viên mới trong kỳ – kiểm tra phép tỷ lệ; ",""))</f>
        <v/>
      </c>
    </row>
    <row r="120">
      <c r="A120" s="145">
        <f>IF('DM_NHAN_SU'!$B120="","",ROW()-5)</f>
        <v/>
      </c>
      <c r="B120" s="145">
        <f>IF('DM_NHAN_SU'!$B120="","",'DM_NHAN_SU'!B120)</f>
        <v/>
      </c>
      <c r="C120" s="145">
        <f>IF('DM_NHAN_SU'!$B120="","",'DM_NHAN_SU'!C120)</f>
        <v/>
      </c>
      <c r="D120" s="232">
        <f>IF('DM_NHAN_SU'!$B120="","",IF('DM_NHAN_SU'!AD120&gt;0,'DM_NHAN_SU'!AD120,12))</f>
        <v/>
      </c>
      <c r="E120" s="232">
        <f>IF('DM_NHAN_SU'!$B120="","",'DM_NHAN_SU'!AE120)</f>
        <v/>
      </c>
      <c r="F120" s="232">
        <f>IF('DM_NHAN_SU'!$B120="","",'DM_NHAN_SU'!AF120)</f>
        <v/>
      </c>
      <c r="G120" s="232">
        <f>IF($B120="","",SUM($D120:$F120))</f>
        <v/>
      </c>
      <c r="H120" s="232">
        <f>IF('DM_NHAN_SU'!$B120="","",'DM_NHAN_SU'!AG120)</f>
        <v/>
      </c>
      <c r="I120" s="232">
        <f>IF('DM_NHAN_SU'!$B120="","",'CHAM_CONG_THANG'!AR120)</f>
        <v/>
      </c>
      <c r="J120" s="227" t="n"/>
      <c r="K120" s="232">
        <f>IF($B120="","",$G120-$H120-$I120+$J120)</f>
        <v/>
      </c>
      <c r="L120" s="150">
        <f>IF($B120="","",IF('DM_NHAN_SU'!AD120="","Đang tạm dùng 12 ngày; kiểm tra 14/16 ngày và tỷ lệ; ","")&amp;IF($K120&lt;0,"Số phép âm; ","")&amp;IF(AND('DM_NHAN_SU'!$F120&gt;'THAM_SO'!$B$6,'DM_NHAN_SU'!$F120&lt;='THAM_SO'!$B$7),"Nhân viên mới trong kỳ – kiểm tra phép tỷ lệ; ",""))</f>
        <v/>
      </c>
    </row>
    <row r="121">
      <c r="A121" s="145">
        <f>IF('DM_NHAN_SU'!$B121="","",ROW()-5)</f>
        <v/>
      </c>
      <c r="B121" s="145">
        <f>IF('DM_NHAN_SU'!$B121="","",'DM_NHAN_SU'!B121)</f>
        <v/>
      </c>
      <c r="C121" s="145">
        <f>IF('DM_NHAN_SU'!$B121="","",'DM_NHAN_SU'!C121)</f>
        <v/>
      </c>
      <c r="D121" s="232">
        <f>IF('DM_NHAN_SU'!$B121="","",IF('DM_NHAN_SU'!AD121&gt;0,'DM_NHAN_SU'!AD121,12))</f>
        <v/>
      </c>
      <c r="E121" s="232">
        <f>IF('DM_NHAN_SU'!$B121="","",'DM_NHAN_SU'!AE121)</f>
        <v/>
      </c>
      <c r="F121" s="232">
        <f>IF('DM_NHAN_SU'!$B121="","",'DM_NHAN_SU'!AF121)</f>
        <v/>
      </c>
      <c r="G121" s="232">
        <f>IF($B121="","",SUM($D121:$F121))</f>
        <v/>
      </c>
      <c r="H121" s="232">
        <f>IF('DM_NHAN_SU'!$B121="","",'DM_NHAN_SU'!AG121)</f>
        <v/>
      </c>
      <c r="I121" s="232">
        <f>IF('DM_NHAN_SU'!$B121="","",'CHAM_CONG_THANG'!AR121)</f>
        <v/>
      </c>
      <c r="J121" s="227" t="n"/>
      <c r="K121" s="232">
        <f>IF($B121="","",$G121-$H121-$I121+$J121)</f>
        <v/>
      </c>
      <c r="L121" s="150">
        <f>IF($B121="","",IF('DM_NHAN_SU'!AD121="","Đang tạm dùng 12 ngày; kiểm tra 14/16 ngày và tỷ lệ; ","")&amp;IF($K121&lt;0,"Số phép âm; ","")&amp;IF(AND('DM_NHAN_SU'!$F121&gt;'THAM_SO'!$B$6,'DM_NHAN_SU'!$F121&lt;='THAM_SO'!$B$7),"Nhân viên mới trong kỳ – kiểm tra phép tỷ lệ; ",""))</f>
        <v/>
      </c>
    </row>
    <row r="122">
      <c r="A122" s="145">
        <f>IF('DM_NHAN_SU'!$B122="","",ROW()-5)</f>
        <v/>
      </c>
      <c r="B122" s="145">
        <f>IF('DM_NHAN_SU'!$B122="","",'DM_NHAN_SU'!B122)</f>
        <v/>
      </c>
      <c r="C122" s="145">
        <f>IF('DM_NHAN_SU'!$B122="","",'DM_NHAN_SU'!C122)</f>
        <v/>
      </c>
      <c r="D122" s="232">
        <f>IF('DM_NHAN_SU'!$B122="","",IF('DM_NHAN_SU'!AD122&gt;0,'DM_NHAN_SU'!AD122,12))</f>
        <v/>
      </c>
      <c r="E122" s="232">
        <f>IF('DM_NHAN_SU'!$B122="","",'DM_NHAN_SU'!AE122)</f>
        <v/>
      </c>
      <c r="F122" s="232">
        <f>IF('DM_NHAN_SU'!$B122="","",'DM_NHAN_SU'!AF122)</f>
        <v/>
      </c>
      <c r="G122" s="232">
        <f>IF($B122="","",SUM($D122:$F122))</f>
        <v/>
      </c>
      <c r="H122" s="232">
        <f>IF('DM_NHAN_SU'!$B122="","",'DM_NHAN_SU'!AG122)</f>
        <v/>
      </c>
      <c r="I122" s="232">
        <f>IF('DM_NHAN_SU'!$B122="","",'CHAM_CONG_THANG'!AR122)</f>
        <v/>
      </c>
      <c r="J122" s="227" t="n"/>
      <c r="K122" s="232">
        <f>IF($B122="","",$G122-$H122-$I122+$J122)</f>
        <v/>
      </c>
      <c r="L122" s="150">
        <f>IF($B122="","",IF('DM_NHAN_SU'!AD122="","Đang tạm dùng 12 ngày; kiểm tra 14/16 ngày và tỷ lệ; ","")&amp;IF($K122&lt;0,"Số phép âm; ","")&amp;IF(AND('DM_NHAN_SU'!$F122&gt;'THAM_SO'!$B$6,'DM_NHAN_SU'!$F122&lt;='THAM_SO'!$B$7),"Nhân viên mới trong kỳ – kiểm tra phép tỷ lệ; ",""))</f>
        <v/>
      </c>
    </row>
    <row r="123">
      <c r="A123" s="145">
        <f>IF('DM_NHAN_SU'!$B123="","",ROW()-5)</f>
        <v/>
      </c>
      <c r="B123" s="145">
        <f>IF('DM_NHAN_SU'!$B123="","",'DM_NHAN_SU'!B123)</f>
        <v/>
      </c>
      <c r="C123" s="145">
        <f>IF('DM_NHAN_SU'!$B123="","",'DM_NHAN_SU'!C123)</f>
        <v/>
      </c>
      <c r="D123" s="232">
        <f>IF('DM_NHAN_SU'!$B123="","",IF('DM_NHAN_SU'!AD123&gt;0,'DM_NHAN_SU'!AD123,12))</f>
        <v/>
      </c>
      <c r="E123" s="232">
        <f>IF('DM_NHAN_SU'!$B123="","",'DM_NHAN_SU'!AE123)</f>
        <v/>
      </c>
      <c r="F123" s="232">
        <f>IF('DM_NHAN_SU'!$B123="","",'DM_NHAN_SU'!AF123)</f>
        <v/>
      </c>
      <c r="G123" s="232">
        <f>IF($B123="","",SUM($D123:$F123))</f>
        <v/>
      </c>
      <c r="H123" s="232">
        <f>IF('DM_NHAN_SU'!$B123="","",'DM_NHAN_SU'!AG123)</f>
        <v/>
      </c>
      <c r="I123" s="232">
        <f>IF('DM_NHAN_SU'!$B123="","",'CHAM_CONG_THANG'!AR123)</f>
        <v/>
      </c>
      <c r="J123" s="227" t="n"/>
      <c r="K123" s="232">
        <f>IF($B123="","",$G123-$H123-$I123+$J123)</f>
        <v/>
      </c>
      <c r="L123" s="150">
        <f>IF($B123="","",IF('DM_NHAN_SU'!AD123="","Đang tạm dùng 12 ngày; kiểm tra 14/16 ngày và tỷ lệ; ","")&amp;IF($K123&lt;0,"Số phép âm; ","")&amp;IF(AND('DM_NHAN_SU'!$F123&gt;'THAM_SO'!$B$6,'DM_NHAN_SU'!$F123&lt;='THAM_SO'!$B$7),"Nhân viên mới trong kỳ – kiểm tra phép tỷ lệ; ",""))</f>
        <v/>
      </c>
    </row>
    <row r="124">
      <c r="A124" s="145">
        <f>IF('DM_NHAN_SU'!$B124="","",ROW()-5)</f>
        <v/>
      </c>
      <c r="B124" s="145">
        <f>IF('DM_NHAN_SU'!$B124="","",'DM_NHAN_SU'!B124)</f>
        <v/>
      </c>
      <c r="C124" s="145">
        <f>IF('DM_NHAN_SU'!$B124="","",'DM_NHAN_SU'!C124)</f>
        <v/>
      </c>
      <c r="D124" s="232">
        <f>IF('DM_NHAN_SU'!$B124="","",IF('DM_NHAN_SU'!AD124&gt;0,'DM_NHAN_SU'!AD124,12))</f>
        <v/>
      </c>
      <c r="E124" s="232">
        <f>IF('DM_NHAN_SU'!$B124="","",'DM_NHAN_SU'!AE124)</f>
        <v/>
      </c>
      <c r="F124" s="232">
        <f>IF('DM_NHAN_SU'!$B124="","",'DM_NHAN_SU'!AF124)</f>
        <v/>
      </c>
      <c r="G124" s="232">
        <f>IF($B124="","",SUM($D124:$F124))</f>
        <v/>
      </c>
      <c r="H124" s="232">
        <f>IF('DM_NHAN_SU'!$B124="","",'DM_NHAN_SU'!AG124)</f>
        <v/>
      </c>
      <c r="I124" s="232">
        <f>IF('DM_NHAN_SU'!$B124="","",'CHAM_CONG_THANG'!AR124)</f>
        <v/>
      </c>
      <c r="J124" s="227" t="n"/>
      <c r="K124" s="232">
        <f>IF($B124="","",$G124-$H124-$I124+$J124)</f>
        <v/>
      </c>
      <c r="L124" s="150">
        <f>IF($B124="","",IF('DM_NHAN_SU'!AD124="","Đang tạm dùng 12 ngày; kiểm tra 14/16 ngày và tỷ lệ; ","")&amp;IF($K124&lt;0,"Số phép âm; ","")&amp;IF(AND('DM_NHAN_SU'!$F124&gt;'THAM_SO'!$B$6,'DM_NHAN_SU'!$F124&lt;='THAM_SO'!$B$7),"Nhân viên mới trong kỳ – kiểm tra phép tỷ lệ; ",""))</f>
        <v/>
      </c>
    </row>
    <row r="125">
      <c r="A125" s="145">
        <f>IF('DM_NHAN_SU'!$B125="","",ROW()-5)</f>
        <v/>
      </c>
      <c r="B125" s="145">
        <f>IF('DM_NHAN_SU'!$B125="","",'DM_NHAN_SU'!B125)</f>
        <v/>
      </c>
      <c r="C125" s="145">
        <f>IF('DM_NHAN_SU'!$B125="","",'DM_NHAN_SU'!C125)</f>
        <v/>
      </c>
      <c r="D125" s="232">
        <f>IF('DM_NHAN_SU'!$B125="","",IF('DM_NHAN_SU'!AD125&gt;0,'DM_NHAN_SU'!AD125,12))</f>
        <v/>
      </c>
      <c r="E125" s="232">
        <f>IF('DM_NHAN_SU'!$B125="","",'DM_NHAN_SU'!AE125)</f>
        <v/>
      </c>
      <c r="F125" s="232">
        <f>IF('DM_NHAN_SU'!$B125="","",'DM_NHAN_SU'!AF125)</f>
        <v/>
      </c>
      <c r="G125" s="232">
        <f>IF($B125="","",SUM($D125:$F125))</f>
        <v/>
      </c>
      <c r="H125" s="232">
        <f>IF('DM_NHAN_SU'!$B125="","",'DM_NHAN_SU'!AG125)</f>
        <v/>
      </c>
      <c r="I125" s="232">
        <f>IF('DM_NHAN_SU'!$B125="","",'CHAM_CONG_THANG'!AR125)</f>
        <v/>
      </c>
      <c r="J125" s="227" t="n"/>
      <c r="K125" s="232">
        <f>IF($B125="","",$G125-$H125-$I125+$J125)</f>
        <v/>
      </c>
      <c r="L125" s="150">
        <f>IF($B125="","",IF('DM_NHAN_SU'!AD125="","Đang tạm dùng 12 ngày; kiểm tra 14/16 ngày và tỷ lệ; ","")&amp;IF($K125&lt;0,"Số phép âm; ","")&amp;IF(AND('DM_NHAN_SU'!$F125&gt;'THAM_SO'!$B$6,'DM_NHAN_SU'!$F125&lt;='THAM_SO'!$B$7),"Nhân viên mới trong kỳ – kiểm tra phép tỷ lệ; ",""))</f>
        <v/>
      </c>
    </row>
    <row r="126">
      <c r="A126" s="145">
        <f>IF('DM_NHAN_SU'!$B126="","",ROW()-5)</f>
        <v/>
      </c>
      <c r="B126" s="145">
        <f>IF('DM_NHAN_SU'!$B126="","",'DM_NHAN_SU'!B126)</f>
        <v/>
      </c>
      <c r="C126" s="145">
        <f>IF('DM_NHAN_SU'!$B126="","",'DM_NHAN_SU'!C126)</f>
        <v/>
      </c>
      <c r="D126" s="232">
        <f>IF('DM_NHAN_SU'!$B126="","",IF('DM_NHAN_SU'!AD126&gt;0,'DM_NHAN_SU'!AD126,12))</f>
        <v/>
      </c>
      <c r="E126" s="232">
        <f>IF('DM_NHAN_SU'!$B126="","",'DM_NHAN_SU'!AE126)</f>
        <v/>
      </c>
      <c r="F126" s="232">
        <f>IF('DM_NHAN_SU'!$B126="","",'DM_NHAN_SU'!AF126)</f>
        <v/>
      </c>
      <c r="G126" s="232">
        <f>IF($B126="","",SUM($D126:$F126))</f>
        <v/>
      </c>
      <c r="H126" s="232">
        <f>IF('DM_NHAN_SU'!$B126="","",'DM_NHAN_SU'!AG126)</f>
        <v/>
      </c>
      <c r="I126" s="232">
        <f>IF('DM_NHAN_SU'!$B126="","",'CHAM_CONG_THANG'!AR126)</f>
        <v/>
      </c>
      <c r="J126" s="227" t="n"/>
      <c r="K126" s="232">
        <f>IF($B126="","",$G126-$H126-$I126+$J126)</f>
        <v/>
      </c>
      <c r="L126" s="150">
        <f>IF($B126="","",IF('DM_NHAN_SU'!AD126="","Đang tạm dùng 12 ngày; kiểm tra 14/16 ngày và tỷ lệ; ","")&amp;IF($K126&lt;0,"Số phép âm; ","")&amp;IF(AND('DM_NHAN_SU'!$F126&gt;'THAM_SO'!$B$6,'DM_NHAN_SU'!$F126&lt;='THAM_SO'!$B$7),"Nhân viên mới trong kỳ – kiểm tra phép tỷ lệ; ",""))</f>
        <v/>
      </c>
    </row>
    <row r="127">
      <c r="A127" s="145">
        <f>IF('DM_NHAN_SU'!$B127="","",ROW()-5)</f>
        <v/>
      </c>
      <c r="B127" s="145">
        <f>IF('DM_NHAN_SU'!$B127="","",'DM_NHAN_SU'!B127)</f>
        <v/>
      </c>
      <c r="C127" s="145">
        <f>IF('DM_NHAN_SU'!$B127="","",'DM_NHAN_SU'!C127)</f>
        <v/>
      </c>
      <c r="D127" s="232">
        <f>IF('DM_NHAN_SU'!$B127="","",IF('DM_NHAN_SU'!AD127&gt;0,'DM_NHAN_SU'!AD127,12))</f>
        <v/>
      </c>
      <c r="E127" s="232">
        <f>IF('DM_NHAN_SU'!$B127="","",'DM_NHAN_SU'!AE127)</f>
        <v/>
      </c>
      <c r="F127" s="232">
        <f>IF('DM_NHAN_SU'!$B127="","",'DM_NHAN_SU'!AF127)</f>
        <v/>
      </c>
      <c r="G127" s="232">
        <f>IF($B127="","",SUM($D127:$F127))</f>
        <v/>
      </c>
      <c r="H127" s="232">
        <f>IF('DM_NHAN_SU'!$B127="","",'DM_NHAN_SU'!AG127)</f>
        <v/>
      </c>
      <c r="I127" s="232">
        <f>IF('DM_NHAN_SU'!$B127="","",'CHAM_CONG_THANG'!AR127)</f>
        <v/>
      </c>
      <c r="J127" s="227" t="n"/>
      <c r="K127" s="232">
        <f>IF($B127="","",$G127-$H127-$I127+$J127)</f>
        <v/>
      </c>
      <c r="L127" s="150">
        <f>IF($B127="","",IF('DM_NHAN_SU'!AD127="","Đang tạm dùng 12 ngày; kiểm tra 14/16 ngày và tỷ lệ; ","")&amp;IF($K127&lt;0,"Số phép âm; ","")&amp;IF(AND('DM_NHAN_SU'!$F127&gt;'THAM_SO'!$B$6,'DM_NHAN_SU'!$F127&lt;='THAM_SO'!$B$7),"Nhân viên mới trong kỳ – kiểm tra phép tỷ lệ; ",""))</f>
        <v/>
      </c>
    </row>
    <row r="128">
      <c r="A128" s="145">
        <f>IF('DM_NHAN_SU'!$B128="","",ROW()-5)</f>
        <v/>
      </c>
      <c r="B128" s="145">
        <f>IF('DM_NHAN_SU'!$B128="","",'DM_NHAN_SU'!B128)</f>
        <v/>
      </c>
      <c r="C128" s="145">
        <f>IF('DM_NHAN_SU'!$B128="","",'DM_NHAN_SU'!C128)</f>
        <v/>
      </c>
      <c r="D128" s="232">
        <f>IF('DM_NHAN_SU'!$B128="","",IF('DM_NHAN_SU'!AD128&gt;0,'DM_NHAN_SU'!AD128,12))</f>
        <v/>
      </c>
      <c r="E128" s="232">
        <f>IF('DM_NHAN_SU'!$B128="","",'DM_NHAN_SU'!AE128)</f>
        <v/>
      </c>
      <c r="F128" s="232">
        <f>IF('DM_NHAN_SU'!$B128="","",'DM_NHAN_SU'!AF128)</f>
        <v/>
      </c>
      <c r="G128" s="232">
        <f>IF($B128="","",SUM($D128:$F128))</f>
        <v/>
      </c>
      <c r="H128" s="232">
        <f>IF('DM_NHAN_SU'!$B128="","",'DM_NHAN_SU'!AG128)</f>
        <v/>
      </c>
      <c r="I128" s="232">
        <f>IF('DM_NHAN_SU'!$B128="","",'CHAM_CONG_THANG'!AR128)</f>
        <v/>
      </c>
      <c r="J128" s="227" t="n"/>
      <c r="K128" s="232">
        <f>IF($B128="","",$G128-$H128-$I128+$J128)</f>
        <v/>
      </c>
      <c r="L128" s="150">
        <f>IF($B128="","",IF('DM_NHAN_SU'!AD128="","Đang tạm dùng 12 ngày; kiểm tra 14/16 ngày và tỷ lệ; ","")&amp;IF($K128&lt;0,"Số phép âm; ","")&amp;IF(AND('DM_NHAN_SU'!$F128&gt;'THAM_SO'!$B$6,'DM_NHAN_SU'!$F128&lt;='THAM_SO'!$B$7),"Nhân viên mới trong kỳ – kiểm tra phép tỷ lệ; ",""))</f>
        <v/>
      </c>
    </row>
    <row r="129">
      <c r="A129" s="145">
        <f>IF('DM_NHAN_SU'!$B129="","",ROW()-5)</f>
        <v/>
      </c>
      <c r="B129" s="145">
        <f>IF('DM_NHAN_SU'!$B129="","",'DM_NHAN_SU'!B129)</f>
        <v/>
      </c>
      <c r="C129" s="145">
        <f>IF('DM_NHAN_SU'!$B129="","",'DM_NHAN_SU'!C129)</f>
        <v/>
      </c>
      <c r="D129" s="232">
        <f>IF('DM_NHAN_SU'!$B129="","",IF('DM_NHAN_SU'!AD129&gt;0,'DM_NHAN_SU'!AD129,12))</f>
        <v/>
      </c>
      <c r="E129" s="232">
        <f>IF('DM_NHAN_SU'!$B129="","",'DM_NHAN_SU'!AE129)</f>
        <v/>
      </c>
      <c r="F129" s="232">
        <f>IF('DM_NHAN_SU'!$B129="","",'DM_NHAN_SU'!AF129)</f>
        <v/>
      </c>
      <c r="G129" s="232">
        <f>IF($B129="","",SUM($D129:$F129))</f>
        <v/>
      </c>
      <c r="H129" s="232">
        <f>IF('DM_NHAN_SU'!$B129="","",'DM_NHAN_SU'!AG129)</f>
        <v/>
      </c>
      <c r="I129" s="232">
        <f>IF('DM_NHAN_SU'!$B129="","",'CHAM_CONG_THANG'!AR129)</f>
        <v/>
      </c>
      <c r="J129" s="227" t="n"/>
      <c r="K129" s="232">
        <f>IF($B129="","",$G129-$H129-$I129+$J129)</f>
        <v/>
      </c>
      <c r="L129" s="150">
        <f>IF($B129="","",IF('DM_NHAN_SU'!AD129="","Đang tạm dùng 12 ngày; kiểm tra 14/16 ngày và tỷ lệ; ","")&amp;IF($K129&lt;0,"Số phép âm; ","")&amp;IF(AND('DM_NHAN_SU'!$F129&gt;'THAM_SO'!$B$6,'DM_NHAN_SU'!$F129&lt;='THAM_SO'!$B$7),"Nhân viên mới trong kỳ – kiểm tra phép tỷ lệ; ",""))</f>
        <v/>
      </c>
    </row>
    <row r="130">
      <c r="A130" s="145">
        <f>IF('DM_NHAN_SU'!$B130="","",ROW()-5)</f>
        <v/>
      </c>
      <c r="B130" s="145">
        <f>IF('DM_NHAN_SU'!$B130="","",'DM_NHAN_SU'!B130)</f>
        <v/>
      </c>
      <c r="C130" s="145">
        <f>IF('DM_NHAN_SU'!$B130="","",'DM_NHAN_SU'!C130)</f>
        <v/>
      </c>
      <c r="D130" s="232">
        <f>IF('DM_NHAN_SU'!$B130="","",IF('DM_NHAN_SU'!AD130&gt;0,'DM_NHAN_SU'!AD130,12))</f>
        <v/>
      </c>
      <c r="E130" s="232">
        <f>IF('DM_NHAN_SU'!$B130="","",'DM_NHAN_SU'!AE130)</f>
        <v/>
      </c>
      <c r="F130" s="232">
        <f>IF('DM_NHAN_SU'!$B130="","",'DM_NHAN_SU'!AF130)</f>
        <v/>
      </c>
      <c r="G130" s="232">
        <f>IF($B130="","",SUM($D130:$F130))</f>
        <v/>
      </c>
      <c r="H130" s="232">
        <f>IF('DM_NHAN_SU'!$B130="","",'DM_NHAN_SU'!AG130)</f>
        <v/>
      </c>
      <c r="I130" s="232">
        <f>IF('DM_NHAN_SU'!$B130="","",'CHAM_CONG_THANG'!AR130)</f>
        <v/>
      </c>
      <c r="J130" s="227" t="n"/>
      <c r="K130" s="232">
        <f>IF($B130="","",$G130-$H130-$I130+$J130)</f>
        <v/>
      </c>
      <c r="L130" s="150">
        <f>IF($B130="","",IF('DM_NHAN_SU'!AD130="","Đang tạm dùng 12 ngày; kiểm tra 14/16 ngày và tỷ lệ; ","")&amp;IF($K130&lt;0,"Số phép âm; ","")&amp;IF(AND('DM_NHAN_SU'!$F130&gt;'THAM_SO'!$B$6,'DM_NHAN_SU'!$F130&lt;='THAM_SO'!$B$7),"Nhân viên mới trong kỳ – kiểm tra phép tỷ lệ; ",""))</f>
        <v/>
      </c>
    </row>
    <row r="131">
      <c r="A131" s="145">
        <f>IF('DM_NHAN_SU'!$B131="","",ROW()-5)</f>
        <v/>
      </c>
      <c r="B131" s="145">
        <f>IF('DM_NHAN_SU'!$B131="","",'DM_NHAN_SU'!B131)</f>
        <v/>
      </c>
      <c r="C131" s="145">
        <f>IF('DM_NHAN_SU'!$B131="","",'DM_NHAN_SU'!C131)</f>
        <v/>
      </c>
      <c r="D131" s="232">
        <f>IF('DM_NHAN_SU'!$B131="","",IF('DM_NHAN_SU'!AD131&gt;0,'DM_NHAN_SU'!AD131,12))</f>
        <v/>
      </c>
      <c r="E131" s="232">
        <f>IF('DM_NHAN_SU'!$B131="","",'DM_NHAN_SU'!AE131)</f>
        <v/>
      </c>
      <c r="F131" s="232">
        <f>IF('DM_NHAN_SU'!$B131="","",'DM_NHAN_SU'!AF131)</f>
        <v/>
      </c>
      <c r="G131" s="232">
        <f>IF($B131="","",SUM($D131:$F131))</f>
        <v/>
      </c>
      <c r="H131" s="232">
        <f>IF('DM_NHAN_SU'!$B131="","",'DM_NHAN_SU'!AG131)</f>
        <v/>
      </c>
      <c r="I131" s="232">
        <f>IF('DM_NHAN_SU'!$B131="","",'CHAM_CONG_THANG'!AR131)</f>
        <v/>
      </c>
      <c r="J131" s="227" t="n"/>
      <c r="K131" s="232">
        <f>IF($B131="","",$G131-$H131-$I131+$J131)</f>
        <v/>
      </c>
      <c r="L131" s="150">
        <f>IF($B131="","",IF('DM_NHAN_SU'!AD131="","Đang tạm dùng 12 ngày; kiểm tra 14/16 ngày và tỷ lệ; ","")&amp;IF($K131&lt;0,"Số phép âm; ","")&amp;IF(AND('DM_NHAN_SU'!$F131&gt;'THAM_SO'!$B$6,'DM_NHAN_SU'!$F131&lt;='THAM_SO'!$B$7),"Nhân viên mới trong kỳ – kiểm tra phép tỷ lệ; ",""))</f>
        <v/>
      </c>
    </row>
    <row r="132">
      <c r="A132" s="145">
        <f>IF('DM_NHAN_SU'!$B132="","",ROW()-5)</f>
        <v/>
      </c>
      <c r="B132" s="145">
        <f>IF('DM_NHAN_SU'!$B132="","",'DM_NHAN_SU'!B132)</f>
        <v/>
      </c>
      <c r="C132" s="145">
        <f>IF('DM_NHAN_SU'!$B132="","",'DM_NHAN_SU'!C132)</f>
        <v/>
      </c>
      <c r="D132" s="232">
        <f>IF('DM_NHAN_SU'!$B132="","",IF('DM_NHAN_SU'!AD132&gt;0,'DM_NHAN_SU'!AD132,12))</f>
        <v/>
      </c>
      <c r="E132" s="232">
        <f>IF('DM_NHAN_SU'!$B132="","",'DM_NHAN_SU'!AE132)</f>
        <v/>
      </c>
      <c r="F132" s="232">
        <f>IF('DM_NHAN_SU'!$B132="","",'DM_NHAN_SU'!AF132)</f>
        <v/>
      </c>
      <c r="G132" s="232">
        <f>IF($B132="","",SUM($D132:$F132))</f>
        <v/>
      </c>
      <c r="H132" s="232">
        <f>IF('DM_NHAN_SU'!$B132="","",'DM_NHAN_SU'!AG132)</f>
        <v/>
      </c>
      <c r="I132" s="232">
        <f>IF('DM_NHAN_SU'!$B132="","",'CHAM_CONG_THANG'!AR132)</f>
        <v/>
      </c>
      <c r="J132" s="227" t="n"/>
      <c r="K132" s="232">
        <f>IF($B132="","",$G132-$H132-$I132+$J132)</f>
        <v/>
      </c>
      <c r="L132" s="150">
        <f>IF($B132="","",IF('DM_NHAN_SU'!AD132="","Đang tạm dùng 12 ngày; kiểm tra 14/16 ngày và tỷ lệ; ","")&amp;IF($K132&lt;0,"Số phép âm; ","")&amp;IF(AND('DM_NHAN_SU'!$F132&gt;'THAM_SO'!$B$6,'DM_NHAN_SU'!$F132&lt;='THAM_SO'!$B$7),"Nhân viên mới trong kỳ – kiểm tra phép tỷ lệ; ",""))</f>
        <v/>
      </c>
    </row>
    <row r="133">
      <c r="A133" s="145">
        <f>IF('DM_NHAN_SU'!$B133="","",ROW()-5)</f>
        <v/>
      </c>
      <c r="B133" s="145">
        <f>IF('DM_NHAN_SU'!$B133="","",'DM_NHAN_SU'!B133)</f>
        <v/>
      </c>
      <c r="C133" s="145">
        <f>IF('DM_NHAN_SU'!$B133="","",'DM_NHAN_SU'!C133)</f>
        <v/>
      </c>
      <c r="D133" s="232">
        <f>IF('DM_NHAN_SU'!$B133="","",IF('DM_NHAN_SU'!AD133&gt;0,'DM_NHAN_SU'!AD133,12))</f>
        <v/>
      </c>
      <c r="E133" s="232">
        <f>IF('DM_NHAN_SU'!$B133="","",'DM_NHAN_SU'!AE133)</f>
        <v/>
      </c>
      <c r="F133" s="232">
        <f>IF('DM_NHAN_SU'!$B133="","",'DM_NHAN_SU'!AF133)</f>
        <v/>
      </c>
      <c r="G133" s="232">
        <f>IF($B133="","",SUM($D133:$F133))</f>
        <v/>
      </c>
      <c r="H133" s="232">
        <f>IF('DM_NHAN_SU'!$B133="","",'DM_NHAN_SU'!AG133)</f>
        <v/>
      </c>
      <c r="I133" s="232">
        <f>IF('DM_NHAN_SU'!$B133="","",'CHAM_CONG_THANG'!AR133)</f>
        <v/>
      </c>
      <c r="J133" s="227" t="n"/>
      <c r="K133" s="232">
        <f>IF($B133="","",$G133-$H133-$I133+$J133)</f>
        <v/>
      </c>
      <c r="L133" s="150">
        <f>IF($B133="","",IF('DM_NHAN_SU'!AD133="","Đang tạm dùng 12 ngày; kiểm tra 14/16 ngày và tỷ lệ; ","")&amp;IF($K133&lt;0,"Số phép âm; ","")&amp;IF(AND('DM_NHAN_SU'!$F133&gt;'THAM_SO'!$B$6,'DM_NHAN_SU'!$F133&lt;='THAM_SO'!$B$7),"Nhân viên mới trong kỳ – kiểm tra phép tỷ lệ; ",""))</f>
        <v/>
      </c>
    </row>
    <row r="134">
      <c r="A134" s="145">
        <f>IF('DM_NHAN_SU'!$B134="","",ROW()-5)</f>
        <v/>
      </c>
      <c r="B134" s="145">
        <f>IF('DM_NHAN_SU'!$B134="","",'DM_NHAN_SU'!B134)</f>
        <v/>
      </c>
      <c r="C134" s="145">
        <f>IF('DM_NHAN_SU'!$B134="","",'DM_NHAN_SU'!C134)</f>
        <v/>
      </c>
      <c r="D134" s="232">
        <f>IF('DM_NHAN_SU'!$B134="","",IF('DM_NHAN_SU'!AD134&gt;0,'DM_NHAN_SU'!AD134,12))</f>
        <v/>
      </c>
      <c r="E134" s="232">
        <f>IF('DM_NHAN_SU'!$B134="","",'DM_NHAN_SU'!AE134)</f>
        <v/>
      </c>
      <c r="F134" s="232">
        <f>IF('DM_NHAN_SU'!$B134="","",'DM_NHAN_SU'!AF134)</f>
        <v/>
      </c>
      <c r="G134" s="232">
        <f>IF($B134="","",SUM($D134:$F134))</f>
        <v/>
      </c>
      <c r="H134" s="232">
        <f>IF('DM_NHAN_SU'!$B134="","",'DM_NHAN_SU'!AG134)</f>
        <v/>
      </c>
      <c r="I134" s="232">
        <f>IF('DM_NHAN_SU'!$B134="","",'CHAM_CONG_THANG'!AR134)</f>
        <v/>
      </c>
      <c r="J134" s="227" t="n"/>
      <c r="K134" s="232">
        <f>IF($B134="","",$G134-$H134-$I134+$J134)</f>
        <v/>
      </c>
      <c r="L134" s="150">
        <f>IF($B134="","",IF('DM_NHAN_SU'!AD134="","Đang tạm dùng 12 ngày; kiểm tra 14/16 ngày và tỷ lệ; ","")&amp;IF($K134&lt;0,"Số phép âm; ","")&amp;IF(AND('DM_NHAN_SU'!$F134&gt;'THAM_SO'!$B$6,'DM_NHAN_SU'!$F134&lt;='THAM_SO'!$B$7),"Nhân viên mới trong kỳ – kiểm tra phép tỷ lệ; ",""))</f>
        <v/>
      </c>
    </row>
    <row r="135">
      <c r="A135" s="145">
        <f>IF('DM_NHAN_SU'!$B135="","",ROW()-5)</f>
        <v/>
      </c>
      <c r="B135" s="145">
        <f>IF('DM_NHAN_SU'!$B135="","",'DM_NHAN_SU'!B135)</f>
        <v/>
      </c>
      <c r="C135" s="145">
        <f>IF('DM_NHAN_SU'!$B135="","",'DM_NHAN_SU'!C135)</f>
        <v/>
      </c>
      <c r="D135" s="232">
        <f>IF('DM_NHAN_SU'!$B135="","",IF('DM_NHAN_SU'!AD135&gt;0,'DM_NHAN_SU'!AD135,12))</f>
        <v/>
      </c>
      <c r="E135" s="232">
        <f>IF('DM_NHAN_SU'!$B135="","",'DM_NHAN_SU'!AE135)</f>
        <v/>
      </c>
      <c r="F135" s="232">
        <f>IF('DM_NHAN_SU'!$B135="","",'DM_NHAN_SU'!AF135)</f>
        <v/>
      </c>
      <c r="G135" s="232">
        <f>IF($B135="","",SUM($D135:$F135))</f>
        <v/>
      </c>
      <c r="H135" s="232">
        <f>IF('DM_NHAN_SU'!$B135="","",'DM_NHAN_SU'!AG135)</f>
        <v/>
      </c>
      <c r="I135" s="232">
        <f>IF('DM_NHAN_SU'!$B135="","",'CHAM_CONG_THANG'!AR135)</f>
        <v/>
      </c>
      <c r="J135" s="227" t="n"/>
      <c r="K135" s="232">
        <f>IF($B135="","",$G135-$H135-$I135+$J135)</f>
        <v/>
      </c>
      <c r="L135" s="150">
        <f>IF($B135="","",IF('DM_NHAN_SU'!AD135="","Đang tạm dùng 12 ngày; kiểm tra 14/16 ngày và tỷ lệ; ","")&amp;IF($K135&lt;0,"Số phép âm; ","")&amp;IF(AND('DM_NHAN_SU'!$F135&gt;'THAM_SO'!$B$6,'DM_NHAN_SU'!$F135&lt;='THAM_SO'!$B$7),"Nhân viên mới trong kỳ – kiểm tra phép tỷ lệ; ",""))</f>
        <v/>
      </c>
    </row>
    <row r="136">
      <c r="A136" s="145">
        <f>IF('DM_NHAN_SU'!$B136="","",ROW()-5)</f>
        <v/>
      </c>
      <c r="B136" s="145">
        <f>IF('DM_NHAN_SU'!$B136="","",'DM_NHAN_SU'!B136)</f>
        <v/>
      </c>
      <c r="C136" s="145">
        <f>IF('DM_NHAN_SU'!$B136="","",'DM_NHAN_SU'!C136)</f>
        <v/>
      </c>
      <c r="D136" s="232">
        <f>IF('DM_NHAN_SU'!$B136="","",IF('DM_NHAN_SU'!AD136&gt;0,'DM_NHAN_SU'!AD136,12))</f>
        <v/>
      </c>
      <c r="E136" s="232">
        <f>IF('DM_NHAN_SU'!$B136="","",'DM_NHAN_SU'!AE136)</f>
        <v/>
      </c>
      <c r="F136" s="232">
        <f>IF('DM_NHAN_SU'!$B136="","",'DM_NHAN_SU'!AF136)</f>
        <v/>
      </c>
      <c r="G136" s="232">
        <f>IF($B136="","",SUM($D136:$F136))</f>
        <v/>
      </c>
      <c r="H136" s="232">
        <f>IF('DM_NHAN_SU'!$B136="","",'DM_NHAN_SU'!AG136)</f>
        <v/>
      </c>
      <c r="I136" s="232">
        <f>IF('DM_NHAN_SU'!$B136="","",'CHAM_CONG_THANG'!AR136)</f>
        <v/>
      </c>
      <c r="J136" s="227" t="n"/>
      <c r="K136" s="232">
        <f>IF($B136="","",$G136-$H136-$I136+$J136)</f>
        <v/>
      </c>
      <c r="L136" s="150">
        <f>IF($B136="","",IF('DM_NHAN_SU'!AD136="","Đang tạm dùng 12 ngày; kiểm tra 14/16 ngày và tỷ lệ; ","")&amp;IF($K136&lt;0,"Số phép âm; ","")&amp;IF(AND('DM_NHAN_SU'!$F136&gt;'THAM_SO'!$B$6,'DM_NHAN_SU'!$F136&lt;='THAM_SO'!$B$7),"Nhân viên mới trong kỳ – kiểm tra phép tỷ lệ; ",""))</f>
        <v/>
      </c>
    </row>
    <row r="137">
      <c r="A137" s="145">
        <f>IF('DM_NHAN_SU'!$B137="","",ROW()-5)</f>
        <v/>
      </c>
      <c r="B137" s="145">
        <f>IF('DM_NHAN_SU'!$B137="","",'DM_NHAN_SU'!B137)</f>
        <v/>
      </c>
      <c r="C137" s="145">
        <f>IF('DM_NHAN_SU'!$B137="","",'DM_NHAN_SU'!C137)</f>
        <v/>
      </c>
      <c r="D137" s="232">
        <f>IF('DM_NHAN_SU'!$B137="","",IF('DM_NHAN_SU'!AD137&gt;0,'DM_NHAN_SU'!AD137,12))</f>
        <v/>
      </c>
      <c r="E137" s="232">
        <f>IF('DM_NHAN_SU'!$B137="","",'DM_NHAN_SU'!AE137)</f>
        <v/>
      </c>
      <c r="F137" s="232">
        <f>IF('DM_NHAN_SU'!$B137="","",'DM_NHAN_SU'!AF137)</f>
        <v/>
      </c>
      <c r="G137" s="232">
        <f>IF($B137="","",SUM($D137:$F137))</f>
        <v/>
      </c>
      <c r="H137" s="232">
        <f>IF('DM_NHAN_SU'!$B137="","",'DM_NHAN_SU'!AG137)</f>
        <v/>
      </c>
      <c r="I137" s="232">
        <f>IF('DM_NHAN_SU'!$B137="","",'CHAM_CONG_THANG'!AR137)</f>
        <v/>
      </c>
      <c r="J137" s="227" t="n"/>
      <c r="K137" s="232">
        <f>IF($B137="","",$G137-$H137-$I137+$J137)</f>
        <v/>
      </c>
      <c r="L137" s="150">
        <f>IF($B137="","",IF('DM_NHAN_SU'!AD137="","Đang tạm dùng 12 ngày; kiểm tra 14/16 ngày và tỷ lệ; ","")&amp;IF($K137&lt;0,"Số phép âm; ","")&amp;IF(AND('DM_NHAN_SU'!$F137&gt;'THAM_SO'!$B$6,'DM_NHAN_SU'!$F137&lt;='THAM_SO'!$B$7),"Nhân viên mới trong kỳ – kiểm tra phép tỷ lệ; ",""))</f>
        <v/>
      </c>
    </row>
    <row r="138">
      <c r="A138" s="145">
        <f>IF('DM_NHAN_SU'!$B138="","",ROW()-5)</f>
        <v/>
      </c>
      <c r="B138" s="145">
        <f>IF('DM_NHAN_SU'!$B138="","",'DM_NHAN_SU'!B138)</f>
        <v/>
      </c>
      <c r="C138" s="145">
        <f>IF('DM_NHAN_SU'!$B138="","",'DM_NHAN_SU'!C138)</f>
        <v/>
      </c>
      <c r="D138" s="232">
        <f>IF('DM_NHAN_SU'!$B138="","",IF('DM_NHAN_SU'!AD138&gt;0,'DM_NHAN_SU'!AD138,12))</f>
        <v/>
      </c>
      <c r="E138" s="232">
        <f>IF('DM_NHAN_SU'!$B138="","",'DM_NHAN_SU'!AE138)</f>
        <v/>
      </c>
      <c r="F138" s="232">
        <f>IF('DM_NHAN_SU'!$B138="","",'DM_NHAN_SU'!AF138)</f>
        <v/>
      </c>
      <c r="G138" s="232">
        <f>IF($B138="","",SUM($D138:$F138))</f>
        <v/>
      </c>
      <c r="H138" s="232">
        <f>IF('DM_NHAN_SU'!$B138="","",'DM_NHAN_SU'!AG138)</f>
        <v/>
      </c>
      <c r="I138" s="232">
        <f>IF('DM_NHAN_SU'!$B138="","",'CHAM_CONG_THANG'!AR138)</f>
        <v/>
      </c>
      <c r="J138" s="227" t="n"/>
      <c r="K138" s="232">
        <f>IF($B138="","",$G138-$H138-$I138+$J138)</f>
        <v/>
      </c>
      <c r="L138" s="150">
        <f>IF($B138="","",IF('DM_NHAN_SU'!AD138="","Đang tạm dùng 12 ngày; kiểm tra 14/16 ngày và tỷ lệ; ","")&amp;IF($K138&lt;0,"Số phép âm; ","")&amp;IF(AND('DM_NHAN_SU'!$F138&gt;'THAM_SO'!$B$6,'DM_NHAN_SU'!$F138&lt;='THAM_SO'!$B$7),"Nhân viên mới trong kỳ – kiểm tra phép tỷ lệ; ",""))</f>
        <v/>
      </c>
    </row>
    <row r="139">
      <c r="A139" s="145">
        <f>IF('DM_NHAN_SU'!$B139="","",ROW()-5)</f>
        <v/>
      </c>
      <c r="B139" s="145">
        <f>IF('DM_NHAN_SU'!$B139="","",'DM_NHAN_SU'!B139)</f>
        <v/>
      </c>
      <c r="C139" s="145">
        <f>IF('DM_NHAN_SU'!$B139="","",'DM_NHAN_SU'!C139)</f>
        <v/>
      </c>
      <c r="D139" s="232">
        <f>IF('DM_NHAN_SU'!$B139="","",IF('DM_NHAN_SU'!AD139&gt;0,'DM_NHAN_SU'!AD139,12))</f>
        <v/>
      </c>
      <c r="E139" s="232">
        <f>IF('DM_NHAN_SU'!$B139="","",'DM_NHAN_SU'!AE139)</f>
        <v/>
      </c>
      <c r="F139" s="232">
        <f>IF('DM_NHAN_SU'!$B139="","",'DM_NHAN_SU'!AF139)</f>
        <v/>
      </c>
      <c r="G139" s="232">
        <f>IF($B139="","",SUM($D139:$F139))</f>
        <v/>
      </c>
      <c r="H139" s="232">
        <f>IF('DM_NHAN_SU'!$B139="","",'DM_NHAN_SU'!AG139)</f>
        <v/>
      </c>
      <c r="I139" s="232">
        <f>IF('DM_NHAN_SU'!$B139="","",'CHAM_CONG_THANG'!AR139)</f>
        <v/>
      </c>
      <c r="J139" s="227" t="n"/>
      <c r="K139" s="232">
        <f>IF($B139="","",$G139-$H139-$I139+$J139)</f>
        <v/>
      </c>
      <c r="L139" s="150">
        <f>IF($B139="","",IF('DM_NHAN_SU'!AD139="","Đang tạm dùng 12 ngày; kiểm tra 14/16 ngày và tỷ lệ; ","")&amp;IF($K139&lt;0,"Số phép âm; ","")&amp;IF(AND('DM_NHAN_SU'!$F139&gt;'THAM_SO'!$B$6,'DM_NHAN_SU'!$F139&lt;='THAM_SO'!$B$7),"Nhân viên mới trong kỳ – kiểm tra phép tỷ lệ; ",""))</f>
        <v/>
      </c>
    </row>
    <row r="140">
      <c r="A140" s="145">
        <f>IF('DM_NHAN_SU'!$B140="","",ROW()-5)</f>
        <v/>
      </c>
      <c r="B140" s="145">
        <f>IF('DM_NHAN_SU'!$B140="","",'DM_NHAN_SU'!B140)</f>
        <v/>
      </c>
      <c r="C140" s="145">
        <f>IF('DM_NHAN_SU'!$B140="","",'DM_NHAN_SU'!C140)</f>
        <v/>
      </c>
      <c r="D140" s="232">
        <f>IF('DM_NHAN_SU'!$B140="","",IF('DM_NHAN_SU'!AD140&gt;0,'DM_NHAN_SU'!AD140,12))</f>
        <v/>
      </c>
      <c r="E140" s="232">
        <f>IF('DM_NHAN_SU'!$B140="","",'DM_NHAN_SU'!AE140)</f>
        <v/>
      </c>
      <c r="F140" s="232">
        <f>IF('DM_NHAN_SU'!$B140="","",'DM_NHAN_SU'!AF140)</f>
        <v/>
      </c>
      <c r="G140" s="232">
        <f>IF($B140="","",SUM($D140:$F140))</f>
        <v/>
      </c>
      <c r="H140" s="232">
        <f>IF('DM_NHAN_SU'!$B140="","",'DM_NHAN_SU'!AG140)</f>
        <v/>
      </c>
      <c r="I140" s="232">
        <f>IF('DM_NHAN_SU'!$B140="","",'CHAM_CONG_THANG'!AR140)</f>
        <v/>
      </c>
      <c r="J140" s="227" t="n"/>
      <c r="K140" s="232">
        <f>IF($B140="","",$G140-$H140-$I140+$J140)</f>
        <v/>
      </c>
      <c r="L140" s="150">
        <f>IF($B140="","",IF('DM_NHAN_SU'!AD140="","Đang tạm dùng 12 ngày; kiểm tra 14/16 ngày và tỷ lệ; ","")&amp;IF($K140&lt;0,"Số phép âm; ","")&amp;IF(AND('DM_NHAN_SU'!$F140&gt;'THAM_SO'!$B$6,'DM_NHAN_SU'!$F140&lt;='THAM_SO'!$B$7),"Nhân viên mới trong kỳ – kiểm tra phép tỷ lệ; ",""))</f>
        <v/>
      </c>
    </row>
    <row r="141">
      <c r="A141" s="145">
        <f>IF('DM_NHAN_SU'!$B141="","",ROW()-5)</f>
        <v/>
      </c>
      <c r="B141" s="145">
        <f>IF('DM_NHAN_SU'!$B141="","",'DM_NHAN_SU'!B141)</f>
        <v/>
      </c>
      <c r="C141" s="145">
        <f>IF('DM_NHAN_SU'!$B141="","",'DM_NHAN_SU'!C141)</f>
        <v/>
      </c>
      <c r="D141" s="232">
        <f>IF('DM_NHAN_SU'!$B141="","",IF('DM_NHAN_SU'!AD141&gt;0,'DM_NHAN_SU'!AD141,12))</f>
        <v/>
      </c>
      <c r="E141" s="232">
        <f>IF('DM_NHAN_SU'!$B141="","",'DM_NHAN_SU'!AE141)</f>
        <v/>
      </c>
      <c r="F141" s="232">
        <f>IF('DM_NHAN_SU'!$B141="","",'DM_NHAN_SU'!AF141)</f>
        <v/>
      </c>
      <c r="G141" s="232">
        <f>IF($B141="","",SUM($D141:$F141))</f>
        <v/>
      </c>
      <c r="H141" s="232">
        <f>IF('DM_NHAN_SU'!$B141="","",'DM_NHAN_SU'!AG141)</f>
        <v/>
      </c>
      <c r="I141" s="232">
        <f>IF('DM_NHAN_SU'!$B141="","",'CHAM_CONG_THANG'!AR141)</f>
        <v/>
      </c>
      <c r="J141" s="227" t="n"/>
      <c r="K141" s="232">
        <f>IF($B141="","",$G141-$H141-$I141+$J141)</f>
        <v/>
      </c>
      <c r="L141" s="150">
        <f>IF($B141="","",IF('DM_NHAN_SU'!AD141="","Đang tạm dùng 12 ngày; kiểm tra 14/16 ngày và tỷ lệ; ","")&amp;IF($K141&lt;0,"Số phép âm; ","")&amp;IF(AND('DM_NHAN_SU'!$F141&gt;'THAM_SO'!$B$6,'DM_NHAN_SU'!$F141&lt;='THAM_SO'!$B$7),"Nhân viên mới trong kỳ – kiểm tra phép tỷ lệ; ",""))</f>
        <v/>
      </c>
    </row>
    <row r="142">
      <c r="A142" s="145">
        <f>IF('DM_NHAN_SU'!$B142="","",ROW()-5)</f>
        <v/>
      </c>
      <c r="B142" s="145">
        <f>IF('DM_NHAN_SU'!$B142="","",'DM_NHAN_SU'!B142)</f>
        <v/>
      </c>
      <c r="C142" s="145">
        <f>IF('DM_NHAN_SU'!$B142="","",'DM_NHAN_SU'!C142)</f>
        <v/>
      </c>
      <c r="D142" s="232">
        <f>IF('DM_NHAN_SU'!$B142="","",IF('DM_NHAN_SU'!AD142&gt;0,'DM_NHAN_SU'!AD142,12))</f>
        <v/>
      </c>
      <c r="E142" s="232">
        <f>IF('DM_NHAN_SU'!$B142="","",'DM_NHAN_SU'!AE142)</f>
        <v/>
      </c>
      <c r="F142" s="232">
        <f>IF('DM_NHAN_SU'!$B142="","",'DM_NHAN_SU'!AF142)</f>
        <v/>
      </c>
      <c r="G142" s="232">
        <f>IF($B142="","",SUM($D142:$F142))</f>
        <v/>
      </c>
      <c r="H142" s="232">
        <f>IF('DM_NHAN_SU'!$B142="","",'DM_NHAN_SU'!AG142)</f>
        <v/>
      </c>
      <c r="I142" s="232">
        <f>IF('DM_NHAN_SU'!$B142="","",'CHAM_CONG_THANG'!AR142)</f>
        <v/>
      </c>
      <c r="J142" s="227" t="n"/>
      <c r="K142" s="232">
        <f>IF($B142="","",$G142-$H142-$I142+$J142)</f>
        <v/>
      </c>
      <c r="L142" s="150">
        <f>IF($B142="","",IF('DM_NHAN_SU'!AD142="","Đang tạm dùng 12 ngày; kiểm tra 14/16 ngày và tỷ lệ; ","")&amp;IF($K142&lt;0,"Số phép âm; ","")&amp;IF(AND('DM_NHAN_SU'!$F142&gt;'THAM_SO'!$B$6,'DM_NHAN_SU'!$F142&lt;='THAM_SO'!$B$7),"Nhân viên mới trong kỳ – kiểm tra phép tỷ lệ; ",""))</f>
        <v/>
      </c>
    </row>
    <row r="143">
      <c r="A143" s="145">
        <f>IF('DM_NHAN_SU'!$B143="","",ROW()-5)</f>
        <v/>
      </c>
      <c r="B143" s="145">
        <f>IF('DM_NHAN_SU'!$B143="","",'DM_NHAN_SU'!B143)</f>
        <v/>
      </c>
      <c r="C143" s="145">
        <f>IF('DM_NHAN_SU'!$B143="","",'DM_NHAN_SU'!C143)</f>
        <v/>
      </c>
      <c r="D143" s="232">
        <f>IF('DM_NHAN_SU'!$B143="","",IF('DM_NHAN_SU'!AD143&gt;0,'DM_NHAN_SU'!AD143,12))</f>
        <v/>
      </c>
      <c r="E143" s="232">
        <f>IF('DM_NHAN_SU'!$B143="","",'DM_NHAN_SU'!AE143)</f>
        <v/>
      </c>
      <c r="F143" s="232">
        <f>IF('DM_NHAN_SU'!$B143="","",'DM_NHAN_SU'!AF143)</f>
        <v/>
      </c>
      <c r="G143" s="232">
        <f>IF($B143="","",SUM($D143:$F143))</f>
        <v/>
      </c>
      <c r="H143" s="232">
        <f>IF('DM_NHAN_SU'!$B143="","",'DM_NHAN_SU'!AG143)</f>
        <v/>
      </c>
      <c r="I143" s="232">
        <f>IF('DM_NHAN_SU'!$B143="","",'CHAM_CONG_THANG'!AR143)</f>
        <v/>
      </c>
      <c r="J143" s="227" t="n"/>
      <c r="K143" s="232">
        <f>IF($B143="","",$G143-$H143-$I143+$J143)</f>
        <v/>
      </c>
      <c r="L143" s="150">
        <f>IF($B143="","",IF('DM_NHAN_SU'!AD143="","Đang tạm dùng 12 ngày; kiểm tra 14/16 ngày và tỷ lệ; ","")&amp;IF($K143&lt;0,"Số phép âm; ","")&amp;IF(AND('DM_NHAN_SU'!$F143&gt;'THAM_SO'!$B$6,'DM_NHAN_SU'!$F143&lt;='THAM_SO'!$B$7),"Nhân viên mới trong kỳ – kiểm tra phép tỷ lệ; ",""))</f>
        <v/>
      </c>
    </row>
    <row r="144">
      <c r="A144" s="145">
        <f>IF('DM_NHAN_SU'!$B144="","",ROW()-5)</f>
        <v/>
      </c>
      <c r="B144" s="145">
        <f>IF('DM_NHAN_SU'!$B144="","",'DM_NHAN_SU'!B144)</f>
        <v/>
      </c>
      <c r="C144" s="145">
        <f>IF('DM_NHAN_SU'!$B144="","",'DM_NHAN_SU'!C144)</f>
        <v/>
      </c>
      <c r="D144" s="232">
        <f>IF('DM_NHAN_SU'!$B144="","",IF('DM_NHAN_SU'!AD144&gt;0,'DM_NHAN_SU'!AD144,12))</f>
        <v/>
      </c>
      <c r="E144" s="232">
        <f>IF('DM_NHAN_SU'!$B144="","",'DM_NHAN_SU'!AE144)</f>
        <v/>
      </c>
      <c r="F144" s="232">
        <f>IF('DM_NHAN_SU'!$B144="","",'DM_NHAN_SU'!AF144)</f>
        <v/>
      </c>
      <c r="G144" s="232">
        <f>IF($B144="","",SUM($D144:$F144))</f>
        <v/>
      </c>
      <c r="H144" s="232">
        <f>IF('DM_NHAN_SU'!$B144="","",'DM_NHAN_SU'!AG144)</f>
        <v/>
      </c>
      <c r="I144" s="232">
        <f>IF('DM_NHAN_SU'!$B144="","",'CHAM_CONG_THANG'!AR144)</f>
        <v/>
      </c>
      <c r="J144" s="227" t="n"/>
      <c r="K144" s="232">
        <f>IF($B144="","",$G144-$H144-$I144+$J144)</f>
        <v/>
      </c>
      <c r="L144" s="150">
        <f>IF($B144="","",IF('DM_NHAN_SU'!AD144="","Đang tạm dùng 12 ngày; kiểm tra 14/16 ngày và tỷ lệ; ","")&amp;IF($K144&lt;0,"Số phép âm; ","")&amp;IF(AND('DM_NHAN_SU'!$F144&gt;'THAM_SO'!$B$6,'DM_NHAN_SU'!$F144&lt;='THAM_SO'!$B$7),"Nhân viên mới trong kỳ – kiểm tra phép tỷ lệ; ",""))</f>
        <v/>
      </c>
    </row>
    <row r="145">
      <c r="A145" s="145">
        <f>IF('DM_NHAN_SU'!$B145="","",ROW()-5)</f>
        <v/>
      </c>
      <c r="B145" s="145">
        <f>IF('DM_NHAN_SU'!$B145="","",'DM_NHAN_SU'!B145)</f>
        <v/>
      </c>
      <c r="C145" s="145">
        <f>IF('DM_NHAN_SU'!$B145="","",'DM_NHAN_SU'!C145)</f>
        <v/>
      </c>
      <c r="D145" s="232">
        <f>IF('DM_NHAN_SU'!$B145="","",IF('DM_NHAN_SU'!AD145&gt;0,'DM_NHAN_SU'!AD145,12))</f>
        <v/>
      </c>
      <c r="E145" s="232">
        <f>IF('DM_NHAN_SU'!$B145="","",'DM_NHAN_SU'!AE145)</f>
        <v/>
      </c>
      <c r="F145" s="232">
        <f>IF('DM_NHAN_SU'!$B145="","",'DM_NHAN_SU'!AF145)</f>
        <v/>
      </c>
      <c r="G145" s="232">
        <f>IF($B145="","",SUM($D145:$F145))</f>
        <v/>
      </c>
      <c r="H145" s="232">
        <f>IF('DM_NHAN_SU'!$B145="","",'DM_NHAN_SU'!AG145)</f>
        <v/>
      </c>
      <c r="I145" s="232">
        <f>IF('DM_NHAN_SU'!$B145="","",'CHAM_CONG_THANG'!AR145)</f>
        <v/>
      </c>
      <c r="J145" s="227" t="n"/>
      <c r="K145" s="232">
        <f>IF($B145="","",$G145-$H145-$I145+$J145)</f>
        <v/>
      </c>
      <c r="L145" s="150">
        <f>IF($B145="","",IF('DM_NHAN_SU'!AD145="","Đang tạm dùng 12 ngày; kiểm tra 14/16 ngày và tỷ lệ; ","")&amp;IF($K145&lt;0,"Số phép âm; ","")&amp;IF(AND('DM_NHAN_SU'!$F145&gt;'THAM_SO'!$B$6,'DM_NHAN_SU'!$F145&lt;='THAM_SO'!$B$7),"Nhân viên mới trong kỳ – kiểm tra phép tỷ lệ; ",""))</f>
        <v/>
      </c>
    </row>
    <row r="146">
      <c r="A146" s="145">
        <f>IF('DM_NHAN_SU'!$B146="","",ROW()-5)</f>
        <v/>
      </c>
      <c r="B146" s="145">
        <f>IF('DM_NHAN_SU'!$B146="","",'DM_NHAN_SU'!B146)</f>
        <v/>
      </c>
      <c r="C146" s="145">
        <f>IF('DM_NHAN_SU'!$B146="","",'DM_NHAN_SU'!C146)</f>
        <v/>
      </c>
      <c r="D146" s="232">
        <f>IF('DM_NHAN_SU'!$B146="","",IF('DM_NHAN_SU'!AD146&gt;0,'DM_NHAN_SU'!AD146,12))</f>
        <v/>
      </c>
      <c r="E146" s="232">
        <f>IF('DM_NHAN_SU'!$B146="","",'DM_NHAN_SU'!AE146)</f>
        <v/>
      </c>
      <c r="F146" s="232">
        <f>IF('DM_NHAN_SU'!$B146="","",'DM_NHAN_SU'!AF146)</f>
        <v/>
      </c>
      <c r="G146" s="232">
        <f>IF($B146="","",SUM($D146:$F146))</f>
        <v/>
      </c>
      <c r="H146" s="232">
        <f>IF('DM_NHAN_SU'!$B146="","",'DM_NHAN_SU'!AG146)</f>
        <v/>
      </c>
      <c r="I146" s="232">
        <f>IF('DM_NHAN_SU'!$B146="","",'CHAM_CONG_THANG'!AR146)</f>
        <v/>
      </c>
      <c r="J146" s="227" t="n"/>
      <c r="K146" s="232">
        <f>IF($B146="","",$G146-$H146-$I146+$J146)</f>
        <v/>
      </c>
      <c r="L146" s="150">
        <f>IF($B146="","",IF('DM_NHAN_SU'!AD146="","Đang tạm dùng 12 ngày; kiểm tra 14/16 ngày và tỷ lệ; ","")&amp;IF($K146&lt;0,"Số phép âm; ","")&amp;IF(AND('DM_NHAN_SU'!$F146&gt;'THAM_SO'!$B$6,'DM_NHAN_SU'!$F146&lt;='THAM_SO'!$B$7),"Nhân viên mới trong kỳ – kiểm tra phép tỷ lệ; ",""))</f>
        <v/>
      </c>
    </row>
    <row r="147">
      <c r="A147" s="145">
        <f>IF('DM_NHAN_SU'!$B147="","",ROW()-5)</f>
        <v/>
      </c>
      <c r="B147" s="145">
        <f>IF('DM_NHAN_SU'!$B147="","",'DM_NHAN_SU'!B147)</f>
        <v/>
      </c>
      <c r="C147" s="145">
        <f>IF('DM_NHAN_SU'!$B147="","",'DM_NHAN_SU'!C147)</f>
        <v/>
      </c>
      <c r="D147" s="232">
        <f>IF('DM_NHAN_SU'!$B147="","",IF('DM_NHAN_SU'!AD147&gt;0,'DM_NHAN_SU'!AD147,12))</f>
        <v/>
      </c>
      <c r="E147" s="232">
        <f>IF('DM_NHAN_SU'!$B147="","",'DM_NHAN_SU'!AE147)</f>
        <v/>
      </c>
      <c r="F147" s="232">
        <f>IF('DM_NHAN_SU'!$B147="","",'DM_NHAN_SU'!AF147)</f>
        <v/>
      </c>
      <c r="G147" s="232">
        <f>IF($B147="","",SUM($D147:$F147))</f>
        <v/>
      </c>
      <c r="H147" s="232">
        <f>IF('DM_NHAN_SU'!$B147="","",'DM_NHAN_SU'!AG147)</f>
        <v/>
      </c>
      <c r="I147" s="232">
        <f>IF('DM_NHAN_SU'!$B147="","",'CHAM_CONG_THANG'!AR147)</f>
        <v/>
      </c>
      <c r="J147" s="227" t="n"/>
      <c r="K147" s="232">
        <f>IF($B147="","",$G147-$H147-$I147+$J147)</f>
        <v/>
      </c>
      <c r="L147" s="150">
        <f>IF($B147="","",IF('DM_NHAN_SU'!AD147="","Đang tạm dùng 12 ngày; kiểm tra 14/16 ngày và tỷ lệ; ","")&amp;IF($K147&lt;0,"Số phép âm; ","")&amp;IF(AND('DM_NHAN_SU'!$F147&gt;'THAM_SO'!$B$6,'DM_NHAN_SU'!$F147&lt;='THAM_SO'!$B$7),"Nhân viên mới trong kỳ – kiểm tra phép tỷ lệ; ",""))</f>
        <v/>
      </c>
    </row>
    <row r="148">
      <c r="A148" s="145">
        <f>IF('DM_NHAN_SU'!$B148="","",ROW()-5)</f>
        <v/>
      </c>
      <c r="B148" s="145">
        <f>IF('DM_NHAN_SU'!$B148="","",'DM_NHAN_SU'!B148)</f>
        <v/>
      </c>
      <c r="C148" s="145">
        <f>IF('DM_NHAN_SU'!$B148="","",'DM_NHAN_SU'!C148)</f>
        <v/>
      </c>
      <c r="D148" s="232">
        <f>IF('DM_NHAN_SU'!$B148="","",IF('DM_NHAN_SU'!AD148&gt;0,'DM_NHAN_SU'!AD148,12))</f>
        <v/>
      </c>
      <c r="E148" s="232">
        <f>IF('DM_NHAN_SU'!$B148="","",'DM_NHAN_SU'!AE148)</f>
        <v/>
      </c>
      <c r="F148" s="232">
        <f>IF('DM_NHAN_SU'!$B148="","",'DM_NHAN_SU'!AF148)</f>
        <v/>
      </c>
      <c r="G148" s="232">
        <f>IF($B148="","",SUM($D148:$F148))</f>
        <v/>
      </c>
      <c r="H148" s="232">
        <f>IF('DM_NHAN_SU'!$B148="","",'DM_NHAN_SU'!AG148)</f>
        <v/>
      </c>
      <c r="I148" s="232">
        <f>IF('DM_NHAN_SU'!$B148="","",'CHAM_CONG_THANG'!AR148)</f>
        <v/>
      </c>
      <c r="J148" s="227" t="n"/>
      <c r="K148" s="232">
        <f>IF($B148="","",$G148-$H148-$I148+$J148)</f>
        <v/>
      </c>
      <c r="L148" s="150">
        <f>IF($B148="","",IF('DM_NHAN_SU'!AD148="","Đang tạm dùng 12 ngày; kiểm tra 14/16 ngày và tỷ lệ; ","")&amp;IF($K148&lt;0,"Số phép âm; ","")&amp;IF(AND('DM_NHAN_SU'!$F148&gt;'THAM_SO'!$B$6,'DM_NHAN_SU'!$F148&lt;='THAM_SO'!$B$7),"Nhân viên mới trong kỳ – kiểm tra phép tỷ lệ; ",""))</f>
        <v/>
      </c>
    </row>
    <row r="149">
      <c r="A149" s="145">
        <f>IF('DM_NHAN_SU'!$B149="","",ROW()-5)</f>
        <v/>
      </c>
      <c r="B149" s="145">
        <f>IF('DM_NHAN_SU'!$B149="","",'DM_NHAN_SU'!B149)</f>
        <v/>
      </c>
      <c r="C149" s="145">
        <f>IF('DM_NHAN_SU'!$B149="","",'DM_NHAN_SU'!C149)</f>
        <v/>
      </c>
      <c r="D149" s="232">
        <f>IF('DM_NHAN_SU'!$B149="","",IF('DM_NHAN_SU'!AD149&gt;0,'DM_NHAN_SU'!AD149,12))</f>
        <v/>
      </c>
      <c r="E149" s="232">
        <f>IF('DM_NHAN_SU'!$B149="","",'DM_NHAN_SU'!AE149)</f>
        <v/>
      </c>
      <c r="F149" s="232">
        <f>IF('DM_NHAN_SU'!$B149="","",'DM_NHAN_SU'!AF149)</f>
        <v/>
      </c>
      <c r="G149" s="232">
        <f>IF($B149="","",SUM($D149:$F149))</f>
        <v/>
      </c>
      <c r="H149" s="232">
        <f>IF('DM_NHAN_SU'!$B149="","",'DM_NHAN_SU'!AG149)</f>
        <v/>
      </c>
      <c r="I149" s="232">
        <f>IF('DM_NHAN_SU'!$B149="","",'CHAM_CONG_THANG'!AR149)</f>
        <v/>
      </c>
      <c r="J149" s="227" t="n"/>
      <c r="K149" s="232">
        <f>IF($B149="","",$G149-$H149-$I149+$J149)</f>
        <v/>
      </c>
      <c r="L149" s="150">
        <f>IF($B149="","",IF('DM_NHAN_SU'!AD149="","Đang tạm dùng 12 ngày; kiểm tra 14/16 ngày và tỷ lệ; ","")&amp;IF($K149&lt;0,"Số phép âm; ","")&amp;IF(AND('DM_NHAN_SU'!$F149&gt;'THAM_SO'!$B$6,'DM_NHAN_SU'!$F149&lt;='THAM_SO'!$B$7),"Nhân viên mới trong kỳ – kiểm tra phép tỷ lệ; ",""))</f>
        <v/>
      </c>
    </row>
    <row r="150">
      <c r="A150" s="145">
        <f>IF('DM_NHAN_SU'!$B150="","",ROW()-5)</f>
        <v/>
      </c>
      <c r="B150" s="145">
        <f>IF('DM_NHAN_SU'!$B150="","",'DM_NHAN_SU'!B150)</f>
        <v/>
      </c>
      <c r="C150" s="145">
        <f>IF('DM_NHAN_SU'!$B150="","",'DM_NHAN_SU'!C150)</f>
        <v/>
      </c>
      <c r="D150" s="232">
        <f>IF('DM_NHAN_SU'!$B150="","",IF('DM_NHAN_SU'!AD150&gt;0,'DM_NHAN_SU'!AD150,12))</f>
        <v/>
      </c>
      <c r="E150" s="232">
        <f>IF('DM_NHAN_SU'!$B150="","",'DM_NHAN_SU'!AE150)</f>
        <v/>
      </c>
      <c r="F150" s="232">
        <f>IF('DM_NHAN_SU'!$B150="","",'DM_NHAN_SU'!AF150)</f>
        <v/>
      </c>
      <c r="G150" s="232">
        <f>IF($B150="","",SUM($D150:$F150))</f>
        <v/>
      </c>
      <c r="H150" s="232">
        <f>IF('DM_NHAN_SU'!$B150="","",'DM_NHAN_SU'!AG150)</f>
        <v/>
      </c>
      <c r="I150" s="232">
        <f>IF('DM_NHAN_SU'!$B150="","",'CHAM_CONG_THANG'!AR150)</f>
        <v/>
      </c>
      <c r="J150" s="227" t="n"/>
      <c r="K150" s="232">
        <f>IF($B150="","",$G150-$H150-$I150+$J150)</f>
        <v/>
      </c>
      <c r="L150" s="150">
        <f>IF($B150="","",IF('DM_NHAN_SU'!AD150="","Đang tạm dùng 12 ngày; kiểm tra 14/16 ngày và tỷ lệ; ","")&amp;IF($K150&lt;0,"Số phép âm; ","")&amp;IF(AND('DM_NHAN_SU'!$F150&gt;'THAM_SO'!$B$6,'DM_NHAN_SU'!$F150&lt;='THAM_SO'!$B$7),"Nhân viên mới trong kỳ – kiểm tra phép tỷ lệ; ",""))</f>
        <v/>
      </c>
    </row>
    <row r="151">
      <c r="A151" s="145">
        <f>IF('DM_NHAN_SU'!$B151="","",ROW()-5)</f>
        <v/>
      </c>
      <c r="B151" s="145">
        <f>IF('DM_NHAN_SU'!$B151="","",'DM_NHAN_SU'!B151)</f>
        <v/>
      </c>
      <c r="C151" s="145">
        <f>IF('DM_NHAN_SU'!$B151="","",'DM_NHAN_SU'!C151)</f>
        <v/>
      </c>
      <c r="D151" s="232">
        <f>IF('DM_NHAN_SU'!$B151="","",IF('DM_NHAN_SU'!AD151&gt;0,'DM_NHAN_SU'!AD151,12))</f>
        <v/>
      </c>
      <c r="E151" s="232">
        <f>IF('DM_NHAN_SU'!$B151="","",'DM_NHAN_SU'!AE151)</f>
        <v/>
      </c>
      <c r="F151" s="232">
        <f>IF('DM_NHAN_SU'!$B151="","",'DM_NHAN_SU'!AF151)</f>
        <v/>
      </c>
      <c r="G151" s="232">
        <f>IF($B151="","",SUM($D151:$F151))</f>
        <v/>
      </c>
      <c r="H151" s="232">
        <f>IF('DM_NHAN_SU'!$B151="","",'DM_NHAN_SU'!AG151)</f>
        <v/>
      </c>
      <c r="I151" s="232">
        <f>IF('DM_NHAN_SU'!$B151="","",'CHAM_CONG_THANG'!AR151)</f>
        <v/>
      </c>
      <c r="J151" s="227" t="n"/>
      <c r="K151" s="232">
        <f>IF($B151="","",$G151-$H151-$I151+$J151)</f>
        <v/>
      </c>
      <c r="L151" s="150">
        <f>IF($B151="","",IF('DM_NHAN_SU'!AD151="","Đang tạm dùng 12 ngày; kiểm tra 14/16 ngày và tỷ lệ; ","")&amp;IF($K151&lt;0,"Số phép âm; ","")&amp;IF(AND('DM_NHAN_SU'!$F151&gt;'THAM_SO'!$B$6,'DM_NHAN_SU'!$F151&lt;='THAM_SO'!$B$7),"Nhân viên mới trong kỳ – kiểm tra phép tỷ lệ; ",""))</f>
        <v/>
      </c>
    </row>
    <row r="152">
      <c r="A152" s="145">
        <f>IF('DM_NHAN_SU'!$B152="","",ROW()-5)</f>
        <v/>
      </c>
      <c r="B152" s="145">
        <f>IF('DM_NHAN_SU'!$B152="","",'DM_NHAN_SU'!B152)</f>
        <v/>
      </c>
      <c r="C152" s="145">
        <f>IF('DM_NHAN_SU'!$B152="","",'DM_NHAN_SU'!C152)</f>
        <v/>
      </c>
      <c r="D152" s="232">
        <f>IF('DM_NHAN_SU'!$B152="","",IF('DM_NHAN_SU'!AD152&gt;0,'DM_NHAN_SU'!AD152,12))</f>
        <v/>
      </c>
      <c r="E152" s="232">
        <f>IF('DM_NHAN_SU'!$B152="","",'DM_NHAN_SU'!AE152)</f>
        <v/>
      </c>
      <c r="F152" s="232">
        <f>IF('DM_NHAN_SU'!$B152="","",'DM_NHAN_SU'!AF152)</f>
        <v/>
      </c>
      <c r="G152" s="232">
        <f>IF($B152="","",SUM($D152:$F152))</f>
        <v/>
      </c>
      <c r="H152" s="232">
        <f>IF('DM_NHAN_SU'!$B152="","",'DM_NHAN_SU'!AG152)</f>
        <v/>
      </c>
      <c r="I152" s="232">
        <f>IF('DM_NHAN_SU'!$B152="","",'CHAM_CONG_THANG'!AR152)</f>
        <v/>
      </c>
      <c r="J152" s="227" t="n"/>
      <c r="K152" s="232">
        <f>IF($B152="","",$G152-$H152-$I152+$J152)</f>
        <v/>
      </c>
      <c r="L152" s="150">
        <f>IF($B152="","",IF('DM_NHAN_SU'!AD152="","Đang tạm dùng 12 ngày; kiểm tra 14/16 ngày và tỷ lệ; ","")&amp;IF($K152&lt;0,"Số phép âm; ","")&amp;IF(AND('DM_NHAN_SU'!$F152&gt;'THAM_SO'!$B$6,'DM_NHAN_SU'!$F152&lt;='THAM_SO'!$B$7),"Nhân viên mới trong kỳ – kiểm tra phép tỷ lệ; ",""))</f>
        <v/>
      </c>
    </row>
    <row r="153">
      <c r="A153" s="145">
        <f>IF('DM_NHAN_SU'!$B153="","",ROW()-5)</f>
        <v/>
      </c>
      <c r="B153" s="145">
        <f>IF('DM_NHAN_SU'!$B153="","",'DM_NHAN_SU'!B153)</f>
        <v/>
      </c>
      <c r="C153" s="145">
        <f>IF('DM_NHAN_SU'!$B153="","",'DM_NHAN_SU'!C153)</f>
        <v/>
      </c>
      <c r="D153" s="232">
        <f>IF('DM_NHAN_SU'!$B153="","",IF('DM_NHAN_SU'!AD153&gt;0,'DM_NHAN_SU'!AD153,12))</f>
        <v/>
      </c>
      <c r="E153" s="232">
        <f>IF('DM_NHAN_SU'!$B153="","",'DM_NHAN_SU'!AE153)</f>
        <v/>
      </c>
      <c r="F153" s="232">
        <f>IF('DM_NHAN_SU'!$B153="","",'DM_NHAN_SU'!AF153)</f>
        <v/>
      </c>
      <c r="G153" s="232">
        <f>IF($B153="","",SUM($D153:$F153))</f>
        <v/>
      </c>
      <c r="H153" s="232">
        <f>IF('DM_NHAN_SU'!$B153="","",'DM_NHAN_SU'!AG153)</f>
        <v/>
      </c>
      <c r="I153" s="232">
        <f>IF('DM_NHAN_SU'!$B153="","",'CHAM_CONG_THANG'!AR153)</f>
        <v/>
      </c>
      <c r="J153" s="227" t="n"/>
      <c r="K153" s="232">
        <f>IF($B153="","",$G153-$H153-$I153+$J153)</f>
        <v/>
      </c>
      <c r="L153" s="150">
        <f>IF($B153="","",IF('DM_NHAN_SU'!AD153="","Đang tạm dùng 12 ngày; kiểm tra 14/16 ngày và tỷ lệ; ","")&amp;IF($K153&lt;0,"Số phép âm; ","")&amp;IF(AND('DM_NHAN_SU'!$F153&gt;'THAM_SO'!$B$6,'DM_NHAN_SU'!$F153&lt;='THAM_SO'!$B$7),"Nhân viên mới trong kỳ – kiểm tra phép tỷ lệ; ",""))</f>
        <v/>
      </c>
    </row>
    <row r="154">
      <c r="A154" s="145">
        <f>IF('DM_NHAN_SU'!$B154="","",ROW()-5)</f>
        <v/>
      </c>
      <c r="B154" s="145">
        <f>IF('DM_NHAN_SU'!$B154="","",'DM_NHAN_SU'!B154)</f>
        <v/>
      </c>
      <c r="C154" s="145">
        <f>IF('DM_NHAN_SU'!$B154="","",'DM_NHAN_SU'!C154)</f>
        <v/>
      </c>
      <c r="D154" s="232">
        <f>IF('DM_NHAN_SU'!$B154="","",IF('DM_NHAN_SU'!AD154&gt;0,'DM_NHAN_SU'!AD154,12))</f>
        <v/>
      </c>
      <c r="E154" s="232">
        <f>IF('DM_NHAN_SU'!$B154="","",'DM_NHAN_SU'!AE154)</f>
        <v/>
      </c>
      <c r="F154" s="232">
        <f>IF('DM_NHAN_SU'!$B154="","",'DM_NHAN_SU'!AF154)</f>
        <v/>
      </c>
      <c r="G154" s="232">
        <f>IF($B154="","",SUM($D154:$F154))</f>
        <v/>
      </c>
      <c r="H154" s="232">
        <f>IF('DM_NHAN_SU'!$B154="","",'DM_NHAN_SU'!AG154)</f>
        <v/>
      </c>
      <c r="I154" s="232">
        <f>IF('DM_NHAN_SU'!$B154="","",'CHAM_CONG_THANG'!AR154)</f>
        <v/>
      </c>
      <c r="J154" s="227" t="n"/>
      <c r="K154" s="232">
        <f>IF($B154="","",$G154-$H154-$I154+$J154)</f>
        <v/>
      </c>
      <c r="L154" s="150">
        <f>IF($B154="","",IF('DM_NHAN_SU'!AD154="","Đang tạm dùng 12 ngày; kiểm tra 14/16 ngày và tỷ lệ; ","")&amp;IF($K154&lt;0,"Số phép âm; ","")&amp;IF(AND('DM_NHAN_SU'!$F154&gt;'THAM_SO'!$B$6,'DM_NHAN_SU'!$F154&lt;='THAM_SO'!$B$7),"Nhân viên mới trong kỳ – kiểm tra phép tỷ lệ; ",""))</f>
        <v/>
      </c>
    </row>
    <row r="155">
      <c r="A155" s="145">
        <f>IF('DM_NHAN_SU'!$B155="","",ROW()-5)</f>
        <v/>
      </c>
      <c r="B155" s="145">
        <f>IF('DM_NHAN_SU'!$B155="","",'DM_NHAN_SU'!B155)</f>
        <v/>
      </c>
      <c r="C155" s="145">
        <f>IF('DM_NHAN_SU'!$B155="","",'DM_NHAN_SU'!C155)</f>
        <v/>
      </c>
      <c r="D155" s="232">
        <f>IF('DM_NHAN_SU'!$B155="","",IF('DM_NHAN_SU'!AD155&gt;0,'DM_NHAN_SU'!AD155,12))</f>
        <v/>
      </c>
      <c r="E155" s="232">
        <f>IF('DM_NHAN_SU'!$B155="","",'DM_NHAN_SU'!AE155)</f>
        <v/>
      </c>
      <c r="F155" s="232">
        <f>IF('DM_NHAN_SU'!$B155="","",'DM_NHAN_SU'!AF155)</f>
        <v/>
      </c>
      <c r="G155" s="232">
        <f>IF($B155="","",SUM($D155:$F155))</f>
        <v/>
      </c>
      <c r="H155" s="232">
        <f>IF('DM_NHAN_SU'!$B155="","",'DM_NHAN_SU'!AG155)</f>
        <v/>
      </c>
      <c r="I155" s="232">
        <f>IF('DM_NHAN_SU'!$B155="","",'CHAM_CONG_THANG'!AR155)</f>
        <v/>
      </c>
      <c r="J155" s="227" t="n"/>
      <c r="K155" s="232">
        <f>IF($B155="","",$G155-$H155-$I155+$J155)</f>
        <v/>
      </c>
      <c r="L155" s="150">
        <f>IF($B155="","",IF('DM_NHAN_SU'!AD155="","Đang tạm dùng 12 ngày; kiểm tra 14/16 ngày và tỷ lệ; ","")&amp;IF($K155&lt;0,"Số phép âm; ","")&amp;IF(AND('DM_NHAN_SU'!$F155&gt;'THAM_SO'!$B$6,'DM_NHAN_SU'!$F155&lt;='THAM_SO'!$B$7),"Nhân viên mới trong kỳ – kiểm tra phép tỷ lệ; ",""))</f>
        <v/>
      </c>
    </row>
  </sheetData>
  <mergeCells count="2">
    <mergeCell ref="A1:L1"/>
    <mergeCell ref="A2:L3"/>
  </mergeCells>
  <conditionalFormatting sqref="L6:L155">
    <cfRule type="notContainsBlanks" priority="1" dxfId="0"/>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A155"/>
  <sheetViews>
    <sheetView showGridLines="0" workbookViewId="0">
      <selection activeCell="A1" sqref="A1"/>
    </sheetView>
  </sheetViews>
  <sheetFormatPr baseColWidth="8" defaultRowHeight="15"/>
  <cols>
    <col width="6" customWidth="1" style="32" min="1" max="1"/>
    <col width="12" customWidth="1" style="32" min="2" max="2"/>
    <col width="23" customWidth="1" style="32" min="3" max="3"/>
    <col width="14" customWidth="1" style="32" min="4" max="4"/>
    <col width="18" customWidth="1" style="32" min="5" max="5"/>
    <col width="15" customWidth="1" style="32" min="6" max="6"/>
    <col width="14" customWidth="1" style="32" min="7" max="7"/>
    <col width="14" customWidth="1" style="32" min="8" max="8"/>
    <col width="13" customWidth="1" style="32" min="9" max="9"/>
    <col width="15" customWidth="1" style="32" min="10" max="10"/>
    <col width="15" customWidth="1" style="32" min="11" max="11"/>
    <col width="15" customWidth="1" style="32" min="12" max="12"/>
    <col width="18" customWidth="1" style="32" min="13" max="13"/>
    <col width="17" customWidth="1" style="32" min="14" max="14"/>
    <col width="14" customWidth="1" style="32" min="15" max="15"/>
    <col width="19" customWidth="1" style="32" min="16" max="16"/>
    <col width="18" customWidth="1" style="32" min="17" max="17"/>
    <col width="18" customWidth="1" style="32" min="18" max="18"/>
    <col width="15" customWidth="1" style="32" min="19" max="19"/>
    <col width="19" customWidth="1" style="32" min="20" max="20"/>
    <col width="16" customWidth="1" style="32" min="21" max="21"/>
    <col width="17" customWidth="1" style="32" min="22" max="22"/>
    <col width="20" customWidth="1" style="32" min="23" max="23"/>
    <col width="14" customWidth="1" style="32" min="24" max="24"/>
    <col width="18" customWidth="1" style="32" min="25" max="25"/>
    <col width="17" customWidth="1" style="32" min="26" max="26"/>
    <col width="46" customWidth="1" style="32" min="27" max="27"/>
  </cols>
  <sheetData>
    <row r="1" ht="30" customHeight="1" s="32">
      <c r="A1" s="4" t="inlineStr">
        <is>
          <t>ƯỚC TÍNH CHẾ ĐỘ ỐM ĐAU – THAI SẢN</t>
        </is>
      </c>
    </row>
    <row r="2">
      <c r="A2" s="96" t="inlineStr">
        <is>
          <t>Ước tính theo Luật BHXH 2024: ốm thường 75% mức đóng tháng liền kề/24; ốm dài ngày 50%/55%/65%; một số trường hợp 100%; thai sản theo bình quân 06 tháng, chia 24 hoặc 30 theo loại ngày; dưỡng sức 30% mức tham chiếu/ngày; trợ cấp một lần bằng 02 lần mức tham chiếu/con. Phải đối chiếu điều kiện, số ngày tối đa và quyết định thực tế của cơ quan BHXH.</t>
        </is>
      </c>
    </row>
    <row r="3"/>
    <row r="4"/>
    <row r="5" ht="70" customHeight="1" s="32">
      <c r="A5" s="156" t="inlineStr">
        <is>
          <t>STT</t>
        </is>
      </c>
      <c r="B5" s="156" t="inlineStr">
        <is>
          <t>Mã NV</t>
        </is>
      </c>
      <c r="C5" s="156" t="inlineStr">
        <is>
          <t>Họ và tên</t>
        </is>
      </c>
      <c r="D5" s="156" t="inlineStr">
        <is>
          <t>Ngày ốm thường</t>
        </is>
      </c>
      <c r="E5" s="156" t="inlineStr">
        <is>
          <t>Mức đóng BH tháng trước</t>
        </is>
      </c>
      <c r="F5" s="156" t="inlineStr">
        <is>
          <t>Ước ốm 75%</t>
        </is>
      </c>
      <c r="G5" s="156" t="inlineStr">
        <is>
          <t>Ngày ốm dài</t>
        </is>
      </c>
      <c r="H5" s="156" t="inlineStr">
        <is>
          <t>Số năm đóng BH</t>
        </is>
      </c>
      <c r="I5" s="156" t="inlineStr">
        <is>
          <t>Tỷ lệ ốm dài</t>
        </is>
      </c>
      <c r="J5" s="156" t="inlineStr">
        <is>
          <t>Ước ốm dài</t>
        </is>
      </c>
      <c r="K5" s="156" t="inlineStr">
        <is>
          <t>Ngày ốm mức 100%</t>
        </is>
      </c>
      <c r="L5" s="156" t="inlineStr">
        <is>
          <t>Ước ốm 100%</t>
        </is>
      </c>
      <c r="M5" s="156" t="inlineStr">
        <is>
          <t>Ngày dưỡng sức sau ốm</t>
        </is>
      </c>
      <c r="N5" s="156" t="inlineStr">
        <is>
          <t>Ước dưỡng sức ốm</t>
        </is>
      </c>
      <c r="O5" s="156" t="inlineStr">
        <is>
          <t>Số tháng thai sản</t>
        </is>
      </c>
      <c r="P5" s="156" t="inlineStr">
        <is>
          <t>BQ mức đóng BH 06 tháng</t>
        </is>
      </c>
      <c r="Q5" s="156" t="inlineStr">
        <is>
          <t>Ngày thai sản chia 24</t>
        </is>
      </c>
      <c r="R5" s="156" t="inlineStr">
        <is>
          <t>Ngày thai sản chia 30</t>
        </is>
      </c>
      <c r="S5" s="156" t="inlineStr">
        <is>
          <t>Số con/nhận nuôi</t>
        </is>
      </c>
      <c r="T5" s="156" t="inlineStr">
        <is>
          <t>Ngày dưỡng sức thai sản</t>
        </is>
      </c>
      <c r="U5" s="156" t="inlineStr">
        <is>
          <t>Ước thai sản</t>
        </is>
      </c>
      <c r="V5" s="156" t="inlineStr">
        <is>
          <t>TỔNG ƯỚC TÍNH</t>
        </is>
      </c>
      <c r="W5" s="156" t="inlineStr">
        <is>
          <t>THỰC TẾ THEO QUYẾT ĐỊNH</t>
        </is>
      </c>
      <c r="X5" s="156" t="inlineStr">
        <is>
          <t>Chênh lệch</t>
        </is>
      </c>
      <c r="Y5" s="156" t="inlineStr">
        <is>
          <t>Cách chi trả</t>
        </is>
      </c>
      <c r="Z5" s="156" t="inlineStr">
        <is>
          <t>Hiển thị phiếu lương</t>
        </is>
      </c>
      <c r="AA5" s="156" t="inlineStr">
        <is>
          <t>Cảnh báo</t>
        </is>
      </c>
    </row>
    <row r="6">
      <c r="A6" s="145">
        <f>IF('DM_NHAN_SU'!$B6="","",ROW()-5)</f>
        <v/>
      </c>
      <c r="B6" s="145">
        <f>IF('DM_NHAN_SU'!$B6="","",'DM_NHAN_SU'!B6)</f>
        <v/>
      </c>
      <c r="C6" s="145">
        <f>IF('DM_NHAN_SU'!$B6="","",'DM_NHAN_SU'!C6)</f>
        <v/>
      </c>
      <c r="D6" s="227" t="n"/>
      <c r="E6" s="222" t="n"/>
      <c r="F6" s="224">
        <f>IF($B6="","",$D6*$E6/24*75%)</f>
        <v/>
      </c>
      <c r="G6" s="227" t="n"/>
      <c r="H6" s="227" t="n"/>
      <c r="I6" s="233">
        <f>IF($B6="","",IF($H6&gt;=30,65%,IF($H6&gt;=15,55%,50%)))</f>
        <v/>
      </c>
      <c r="J6" s="224">
        <f>IF($B6="","",$G6*$E6/24*$I6)</f>
        <v/>
      </c>
      <c r="K6" s="227" t="n"/>
      <c r="L6" s="224">
        <f>IF($B6="","",$K6*$E6/24)</f>
        <v/>
      </c>
      <c r="M6" s="227" t="n"/>
      <c r="N6" s="232">
        <f>IF($B6="","",$M6*'THAM_SO'!$M$27)</f>
        <v/>
      </c>
      <c r="O6" s="227" t="n"/>
      <c r="P6" s="222" t="n"/>
      <c r="Q6" s="227" t="n"/>
      <c r="R6" s="227" t="n"/>
      <c r="S6" s="227" t="n"/>
      <c r="T6" s="227" t="n"/>
      <c r="U6" s="224">
        <f>IF($B6="","",$O6*$P6+$Q6*$P6/24+$R6*$P6/30+$S6*'THAM_SO'!$M$6*2+$T6*'THAM_SO'!$M$27)</f>
        <v/>
      </c>
      <c r="V6" s="224">
        <f>IF($B6="","",SUM($F6,$J6,$L6,$N6,$U6))</f>
        <v/>
      </c>
      <c r="W6" s="222" t="n"/>
      <c r="X6" s="224">
        <f>IF(OR($B6="",$W6=""),"",$W6-$V6)</f>
        <v/>
      </c>
      <c r="Y6" s="127" t="n"/>
      <c r="Z6" s="127" t="n"/>
      <c r="AA6" s="150">
        <f>IF($B6="","",IF(AND(SUM($D6,$G6,$K6)&gt;0,$E6&lt;=0),"Thiếu mức đóng BH tháng trước; ","")&amp;IF(AND(SUM($O6:$R6)&gt;0,$P6&lt;=0),"Thiếu bình quân 06 tháng; ","")&amp;IF($K6&gt;0,"Mức 100% chỉ dùng đúng đối tượng luật định; ","")&amp;IF($W6="","",IF(ABS($X6)&gt;1,"Thực tế khác ước tính; ",""))&amp;IF($W6="","",IF($Y6="","Chưa chọn cách chi trả; ","")))</f>
        <v/>
      </c>
    </row>
    <row r="7">
      <c r="A7" s="145">
        <f>IF('DM_NHAN_SU'!$B7="","",ROW()-5)</f>
        <v/>
      </c>
      <c r="B7" s="145">
        <f>IF('DM_NHAN_SU'!$B7="","",'DM_NHAN_SU'!B7)</f>
        <v/>
      </c>
      <c r="C7" s="145">
        <f>IF('DM_NHAN_SU'!$B7="","",'DM_NHAN_SU'!C7)</f>
        <v/>
      </c>
      <c r="D7" s="227" t="n"/>
      <c r="E7" s="222" t="n"/>
      <c r="F7" s="224">
        <f>IF($B7="","",$D7*$E7/24*75%)</f>
        <v/>
      </c>
      <c r="G7" s="227" t="n"/>
      <c r="H7" s="227" t="n"/>
      <c r="I7" s="233">
        <f>IF($B7="","",IF($H7&gt;=30,65%,IF($H7&gt;=15,55%,50%)))</f>
        <v/>
      </c>
      <c r="J7" s="224">
        <f>IF($B7="","",$G7*$E7/24*$I7)</f>
        <v/>
      </c>
      <c r="K7" s="227" t="n"/>
      <c r="L7" s="224">
        <f>IF($B7="","",$K7*$E7/24)</f>
        <v/>
      </c>
      <c r="M7" s="227" t="n"/>
      <c r="N7" s="232">
        <f>IF($B7="","",$M7*'THAM_SO'!$M$27)</f>
        <v/>
      </c>
      <c r="O7" s="227" t="n"/>
      <c r="P7" s="222" t="n"/>
      <c r="Q7" s="227" t="n"/>
      <c r="R7" s="227" t="n"/>
      <c r="S7" s="227" t="n"/>
      <c r="T7" s="227" t="n"/>
      <c r="U7" s="224">
        <f>IF($B7="","",$O7*$P7+$Q7*$P7/24+$R7*$P7/30+$S7*'THAM_SO'!$M$6*2+$T7*'THAM_SO'!$M$27)</f>
        <v/>
      </c>
      <c r="V7" s="224">
        <f>IF($B7="","",SUM($F7,$J7,$L7,$N7,$U7))</f>
        <v/>
      </c>
      <c r="W7" s="222" t="n"/>
      <c r="X7" s="224">
        <f>IF(OR($B7="",$W7=""),"",$W7-$V7)</f>
        <v/>
      </c>
      <c r="Y7" s="127" t="n"/>
      <c r="Z7" s="127" t="n"/>
      <c r="AA7" s="150">
        <f>IF($B7="","",IF(AND(SUM($D7,$G7,$K7)&gt;0,$E7&lt;=0),"Thiếu mức đóng BH tháng trước; ","")&amp;IF(AND(SUM($O7:$R7)&gt;0,$P7&lt;=0),"Thiếu bình quân 06 tháng; ","")&amp;IF($K7&gt;0,"Mức 100% chỉ dùng đúng đối tượng luật định; ","")&amp;IF($W7="","",IF(ABS($X7)&gt;1,"Thực tế khác ước tính; ",""))&amp;IF($W7="","",IF($Y7="","Chưa chọn cách chi trả; ","")))</f>
        <v/>
      </c>
    </row>
    <row r="8">
      <c r="A8" s="145">
        <f>IF('DM_NHAN_SU'!$B8="","",ROW()-5)</f>
        <v/>
      </c>
      <c r="B8" s="145">
        <f>IF('DM_NHAN_SU'!$B8="","",'DM_NHAN_SU'!B8)</f>
        <v/>
      </c>
      <c r="C8" s="145">
        <f>IF('DM_NHAN_SU'!$B8="","",'DM_NHAN_SU'!C8)</f>
        <v/>
      </c>
      <c r="D8" s="227" t="n"/>
      <c r="E8" s="222" t="n"/>
      <c r="F8" s="224">
        <f>IF($B8="","",$D8*$E8/24*75%)</f>
        <v/>
      </c>
      <c r="G8" s="227" t="n"/>
      <c r="H8" s="227" t="n"/>
      <c r="I8" s="233">
        <f>IF($B8="","",IF($H8&gt;=30,65%,IF($H8&gt;=15,55%,50%)))</f>
        <v/>
      </c>
      <c r="J8" s="224">
        <f>IF($B8="","",$G8*$E8/24*$I8)</f>
        <v/>
      </c>
      <c r="K8" s="227" t="n"/>
      <c r="L8" s="224">
        <f>IF($B8="","",$K8*$E8/24)</f>
        <v/>
      </c>
      <c r="M8" s="227" t="n"/>
      <c r="N8" s="232">
        <f>IF($B8="","",$M8*'THAM_SO'!$M$27)</f>
        <v/>
      </c>
      <c r="O8" s="227" t="n"/>
      <c r="P8" s="222" t="n"/>
      <c r="Q8" s="227" t="n"/>
      <c r="R8" s="227" t="n"/>
      <c r="S8" s="227" t="n"/>
      <c r="T8" s="227" t="n"/>
      <c r="U8" s="224">
        <f>IF($B8="","",$O8*$P8+$Q8*$P8/24+$R8*$P8/30+$S8*'THAM_SO'!$M$6*2+$T8*'THAM_SO'!$M$27)</f>
        <v/>
      </c>
      <c r="V8" s="224">
        <f>IF($B8="","",SUM($F8,$J8,$L8,$N8,$U8))</f>
        <v/>
      </c>
      <c r="W8" s="222" t="n"/>
      <c r="X8" s="224">
        <f>IF(OR($B8="",$W8=""),"",$W8-$V8)</f>
        <v/>
      </c>
      <c r="Y8" s="127" t="n"/>
      <c r="Z8" s="127" t="n"/>
      <c r="AA8" s="150">
        <f>IF($B8="","",IF(AND(SUM($D8,$G8,$K8)&gt;0,$E8&lt;=0),"Thiếu mức đóng BH tháng trước; ","")&amp;IF(AND(SUM($O8:$R8)&gt;0,$P8&lt;=0),"Thiếu bình quân 06 tháng; ","")&amp;IF($K8&gt;0,"Mức 100% chỉ dùng đúng đối tượng luật định; ","")&amp;IF($W8="","",IF(ABS($X8)&gt;1,"Thực tế khác ước tính; ",""))&amp;IF($W8="","",IF($Y8="","Chưa chọn cách chi trả; ","")))</f>
        <v/>
      </c>
    </row>
    <row r="9">
      <c r="A9" s="145">
        <f>IF('DM_NHAN_SU'!$B9="","",ROW()-5)</f>
        <v/>
      </c>
      <c r="B9" s="145">
        <f>IF('DM_NHAN_SU'!$B9="","",'DM_NHAN_SU'!B9)</f>
        <v/>
      </c>
      <c r="C9" s="145">
        <f>IF('DM_NHAN_SU'!$B9="","",'DM_NHAN_SU'!C9)</f>
        <v/>
      </c>
      <c r="D9" s="227" t="n"/>
      <c r="E9" s="222" t="n"/>
      <c r="F9" s="224">
        <f>IF($B9="","",$D9*$E9/24*75%)</f>
        <v/>
      </c>
      <c r="G9" s="227" t="n"/>
      <c r="H9" s="227" t="n"/>
      <c r="I9" s="233">
        <f>IF($B9="","",IF($H9&gt;=30,65%,IF($H9&gt;=15,55%,50%)))</f>
        <v/>
      </c>
      <c r="J9" s="224">
        <f>IF($B9="","",$G9*$E9/24*$I9)</f>
        <v/>
      </c>
      <c r="K9" s="227" t="n"/>
      <c r="L9" s="224">
        <f>IF($B9="","",$K9*$E9/24)</f>
        <v/>
      </c>
      <c r="M9" s="227" t="n"/>
      <c r="N9" s="232">
        <f>IF($B9="","",$M9*'THAM_SO'!$M$27)</f>
        <v/>
      </c>
      <c r="O9" s="227" t="n"/>
      <c r="P9" s="222" t="n"/>
      <c r="Q9" s="227" t="n"/>
      <c r="R9" s="227" t="n"/>
      <c r="S9" s="227" t="n"/>
      <c r="T9" s="227" t="n"/>
      <c r="U9" s="224">
        <f>IF($B9="","",$O9*$P9+$Q9*$P9/24+$R9*$P9/30+$S9*'THAM_SO'!$M$6*2+$T9*'THAM_SO'!$M$27)</f>
        <v/>
      </c>
      <c r="V9" s="224">
        <f>IF($B9="","",SUM($F9,$J9,$L9,$N9,$U9))</f>
        <v/>
      </c>
      <c r="W9" s="222" t="n"/>
      <c r="X9" s="224">
        <f>IF(OR($B9="",$W9=""),"",$W9-$V9)</f>
        <v/>
      </c>
      <c r="Y9" s="127" t="n"/>
      <c r="Z9" s="127" t="n"/>
      <c r="AA9" s="150">
        <f>IF($B9="","",IF(AND(SUM($D9,$G9,$K9)&gt;0,$E9&lt;=0),"Thiếu mức đóng BH tháng trước; ","")&amp;IF(AND(SUM($O9:$R9)&gt;0,$P9&lt;=0),"Thiếu bình quân 06 tháng; ","")&amp;IF($K9&gt;0,"Mức 100% chỉ dùng đúng đối tượng luật định; ","")&amp;IF($W9="","",IF(ABS($X9)&gt;1,"Thực tế khác ước tính; ",""))&amp;IF($W9="","",IF($Y9="","Chưa chọn cách chi trả; ","")))</f>
        <v/>
      </c>
    </row>
    <row r="10">
      <c r="A10" s="145">
        <f>IF('DM_NHAN_SU'!$B10="","",ROW()-5)</f>
        <v/>
      </c>
      <c r="B10" s="145">
        <f>IF('DM_NHAN_SU'!$B10="","",'DM_NHAN_SU'!B10)</f>
        <v/>
      </c>
      <c r="C10" s="145">
        <f>IF('DM_NHAN_SU'!$B10="","",'DM_NHAN_SU'!C10)</f>
        <v/>
      </c>
      <c r="D10" s="227" t="n"/>
      <c r="E10" s="222" t="n"/>
      <c r="F10" s="224">
        <f>IF($B10="","",$D10*$E10/24*75%)</f>
        <v/>
      </c>
      <c r="G10" s="227" t="n"/>
      <c r="H10" s="227" t="n"/>
      <c r="I10" s="233">
        <f>IF($B10="","",IF($H10&gt;=30,65%,IF($H10&gt;=15,55%,50%)))</f>
        <v/>
      </c>
      <c r="J10" s="224">
        <f>IF($B10="","",$G10*$E10/24*$I10)</f>
        <v/>
      </c>
      <c r="K10" s="227" t="n"/>
      <c r="L10" s="224">
        <f>IF($B10="","",$K10*$E10/24)</f>
        <v/>
      </c>
      <c r="M10" s="227" t="n"/>
      <c r="N10" s="232">
        <f>IF($B10="","",$M10*'THAM_SO'!$M$27)</f>
        <v/>
      </c>
      <c r="O10" s="227" t="n"/>
      <c r="P10" s="222" t="n"/>
      <c r="Q10" s="227" t="n"/>
      <c r="R10" s="227" t="n"/>
      <c r="S10" s="227" t="n"/>
      <c r="T10" s="227" t="n"/>
      <c r="U10" s="224">
        <f>IF($B10="","",$O10*$P10+$Q10*$P10/24+$R10*$P10/30+$S10*'THAM_SO'!$M$6*2+$T10*'THAM_SO'!$M$27)</f>
        <v/>
      </c>
      <c r="V10" s="224">
        <f>IF($B10="","",SUM($F10,$J10,$L10,$N10,$U10))</f>
        <v/>
      </c>
      <c r="W10" s="222" t="n"/>
      <c r="X10" s="224">
        <f>IF(OR($B10="",$W10=""),"",$W10-$V10)</f>
        <v/>
      </c>
      <c r="Y10" s="127" t="n"/>
      <c r="Z10" s="127" t="n"/>
      <c r="AA10" s="150">
        <f>IF($B10="","",IF(AND(SUM($D10,$G10,$K10)&gt;0,$E10&lt;=0),"Thiếu mức đóng BH tháng trước; ","")&amp;IF(AND(SUM($O10:$R10)&gt;0,$P10&lt;=0),"Thiếu bình quân 06 tháng; ","")&amp;IF($K10&gt;0,"Mức 100% chỉ dùng đúng đối tượng luật định; ","")&amp;IF($W10="","",IF(ABS($X10)&gt;1,"Thực tế khác ước tính; ",""))&amp;IF($W10="","",IF($Y10="","Chưa chọn cách chi trả; ","")))</f>
        <v/>
      </c>
    </row>
    <row r="11">
      <c r="A11" s="145">
        <f>IF('DM_NHAN_SU'!$B11="","",ROW()-5)</f>
        <v/>
      </c>
      <c r="B11" s="145">
        <f>IF('DM_NHAN_SU'!$B11="","",'DM_NHAN_SU'!B11)</f>
        <v/>
      </c>
      <c r="C11" s="145">
        <f>IF('DM_NHAN_SU'!$B11="","",'DM_NHAN_SU'!C11)</f>
        <v/>
      </c>
      <c r="D11" s="227" t="n"/>
      <c r="E11" s="222" t="n"/>
      <c r="F11" s="224">
        <f>IF($B11="","",$D11*$E11/24*75%)</f>
        <v/>
      </c>
      <c r="G11" s="227" t="n"/>
      <c r="H11" s="227" t="n"/>
      <c r="I11" s="233">
        <f>IF($B11="","",IF($H11&gt;=30,65%,IF($H11&gt;=15,55%,50%)))</f>
        <v/>
      </c>
      <c r="J11" s="224">
        <f>IF($B11="","",$G11*$E11/24*$I11)</f>
        <v/>
      </c>
      <c r="K11" s="227" t="n"/>
      <c r="L11" s="224">
        <f>IF($B11="","",$K11*$E11/24)</f>
        <v/>
      </c>
      <c r="M11" s="227" t="n"/>
      <c r="N11" s="232">
        <f>IF($B11="","",$M11*'THAM_SO'!$M$27)</f>
        <v/>
      </c>
      <c r="O11" s="227" t="n"/>
      <c r="P11" s="222" t="n"/>
      <c r="Q11" s="227" t="n"/>
      <c r="R11" s="227" t="n"/>
      <c r="S11" s="227" t="n"/>
      <c r="T11" s="227" t="n"/>
      <c r="U11" s="224">
        <f>IF($B11="","",$O11*$P11+$Q11*$P11/24+$R11*$P11/30+$S11*'THAM_SO'!$M$6*2+$T11*'THAM_SO'!$M$27)</f>
        <v/>
      </c>
      <c r="V11" s="224">
        <f>IF($B11="","",SUM($F11,$J11,$L11,$N11,$U11))</f>
        <v/>
      </c>
      <c r="W11" s="222" t="n"/>
      <c r="X11" s="224">
        <f>IF(OR($B11="",$W11=""),"",$W11-$V11)</f>
        <v/>
      </c>
      <c r="Y11" s="127" t="n"/>
      <c r="Z11" s="127" t="n"/>
      <c r="AA11" s="150">
        <f>IF($B11="","",IF(AND(SUM($D11,$G11,$K11)&gt;0,$E11&lt;=0),"Thiếu mức đóng BH tháng trước; ","")&amp;IF(AND(SUM($O11:$R11)&gt;0,$P11&lt;=0),"Thiếu bình quân 06 tháng; ","")&amp;IF($K11&gt;0,"Mức 100% chỉ dùng đúng đối tượng luật định; ","")&amp;IF($W11="","",IF(ABS($X11)&gt;1,"Thực tế khác ước tính; ",""))&amp;IF($W11="","",IF($Y11="","Chưa chọn cách chi trả; ","")))</f>
        <v/>
      </c>
    </row>
    <row r="12">
      <c r="A12" s="145">
        <f>IF('DM_NHAN_SU'!$B12="","",ROW()-5)</f>
        <v/>
      </c>
      <c r="B12" s="145">
        <f>IF('DM_NHAN_SU'!$B12="","",'DM_NHAN_SU'!B12)</f>
        <v/>
      </c>
      <c r="C12" s="145">
        <f>IF('DM_NHAN_SU'!$B12="","",'DM_NHAN_SU'!C12)</f>
        <v/>
      </c>
      <c r="D12" s="227" t="n"/>
      <c r="E12" s="222" t="n"/>
      <c r="F12" s="224">
        <f>IF($B12="","",$D12*$E12/24*75%)</f>
        <v/>
      </c>
      <c r="G12" s="227" t="n"/>
      <c r="H12" s="227" t="n"/>
      <c r="I12" s="233">
        <f>IF($B12="","",IF($H12&gt;=30,65%,IF($H12&gt;=15,55%,50%)))</f>
        <v/>
      </c>
      <c r="J12" s="224">
        <f>IF($B12="","",$G12*$E12/24*$I12)</f>
        <v/>
      </c>
      <c r="K12" s="227" t="n"/>
      <c r="L12" s="224">
        <f>IF($B12="","",$K12*$E12/24)</f>
        <v/>
      </c>
      <c r="M12" s="227" t="n"/>
      <c r="N12" s="232">
        <f>IF($B12="","",$M12*'THAM_SO'!$M$27)</f>
        <v/>
      </c>
      <c r="O12" s="227" t="n"/>
      <c r="P12" s="222" t="n"/>
      <c r="Q12" s="227" t="n"/>
      <c r="R12" s="227" t="n"/>
      <c r="S12" s="227" t="n"/>
      <c r="T12" s="227" t="n"/>
      <c r="U12" s="224">
        <f>IF($B12="","",$O12*$P12+$Q12*$P12/24+$R12*$P12/30+$S12*'THAM_SO'!$M$6*2+$T12*'THAM_SO'!$M$27)</f>
        <v/>
      </c>
      <c r="V12" s="224">
        <f>IF($B12="","",SUM($F12,$J12,$L12,$N12,$U12))</f>
        <v/>
      </c>
      <c r="W12" s="222" t="n"/>
      <c r="X12" s="224">
        <f>IF(OR($B12="",$W12=""),"",$W12-$V12)</f>
        <v/>
      </c>
      <c r="Y12" s="127" t="n"/>
      <c r="Z12" s="127" t="n"/>
      <c r="AA12" s="150">
        <f>IF($B12="","",IF(AND(SUM($D12,$G12,$K12)&gt;0,$E12&lt;=0),"Thiếu mức đóng BH tháng trước; ","")&amp;IF(AND(SUM($O12:$R12)&gt;0,$P12&lt;=0),"Thiếu bình quân 06 tháng; ","")&amp;IF($K12&gt;0,"Mức 100% chỉ dùng đúng đối tượng luật định; ","")&amp;IF($W12="","",IF(ABS($X12)&gt;1,"Thực tế khác ước tính; ",""))&amp;IF($W12="","",IF($Y12="","Chưa chọn cách chi trả; ","")))</f>
        <v/>
      </c>
    </row>
    <row r="13">
      <c r="A13" s="145">
        <f>IF('DM_NHAN_SU'!$B13="","",ROW()-5)</f>
        <v/>
      </c>
      <c r="B13" s="145">
        <f>IF('DM_NHAN_SU'!$B13="","",'DM_NHAN_SU'!B13)</f>
        <v/>
      </c>
      <c r="C13" s="145">
        <f>IF('DM_NHAN_SU'!$B13="","",'DM_NHAN_SU'!C13)</f>
        <v/>
      </c>
      <c r="D13" s="227" t="n"/>
      <c r="E13" s="222" t="n"/>
      <c r="F13" s="224">
        <f>IF($B13="","",$D13*$E13/24*75%)</f>
        <v/>
      </c>
      <c r="G13" s="227" t="n"/>
      <c r="H13" s="227" t="n"/>
      <c r="I13" s="233">
        <f>IF($B13="","",IF($H13&gt;=30,65%,IF($H13&gt;=15,55%,50%)))</f>
        <v/>
      </c>
      <c r="J13" s="224">
        <f>IF($B13="","",$G13*$E13/24*$I13)</f>
        <v/>
      </c>
      <c r="K13" s="227" t="n"/>
      <c r="L13" s="224">
        <f>IF($B13="","",$K13*$E13/24)</f>
        <v/>
      </c>
      <c r="M13" s="227" t="n"/>
      <c r="N13" s="232">
        <f>IF($B13="","",$M13*'THAM_SO'!$M$27)</f>
        <v/>
      </c>
      <c r="O13" s="227" t="n"/>
      <c r="P13" s="222" t="n"/>
      <c r="Q13" s="227" t="n"/>
      <c r="R13" s="227" t="n"/>
      <c r="S13" s="227" t="n"/>
      <c r="T13" s="227" t="n"/>
      <c r="U13" s="224">
        <f>IF($B13="","",$O13*$P13+$Q13*$P13/24+$R13*$P13/30+$S13*'THAM_SO'!$M$6*2+$T13*'THAM_SO'!$M$27)</f>
        <v/>
      </c>
      <c r="V13" s="224">
        <f>IF($B13="","",SUM($F13,$J13,$L13,$N13,$U13))</f>
        <v/>
      </c>
      <c r="W13" s="222" t="n"/>
      <c r="X13" s="224">
        <f>IF(OR($B13="",$W13=""),"",$W13-$V13)</f>
        <v/>
      </c>
      <c r="Y13" s="127" t="n"/>
      <c r="Z13" s="127" t="n"/>
      <c r="AA13" s="150">
        <f>IF($B13="","",IF(AND(SUM($D13,$G13,$K13)&gt;0,$E13&lt;=0),"Thiếu mức đóng BH tháng trước; ","")&amp;IF(AND(SUM($O13:$R13)&gt;0,$P13&lt;=0),"Thiếu bình quân 06 tháng; ","")&amp;IF($K13&gt;0,"Mức 100% chỉ dùng đúng đối tượng luật định; ","")&amp;IF($W13="","",IF(ABS($X13)&gt;1,"Thực tế khác ước tính; ",""))&amp;IF($W13="","",IF($Y13="","Chưa chọn cách chi trả; ","")))</f>
        <v/>
      </c>
    </row>
    <row r="14">
      <c r="A14" s="145">
        <f>IF('DM_NHAN_SU'!$B14="","",ROW()-5)</f>
        <v/>
      </c>
      <c r="B14" s="145">
        <f>IF('DM_NHAN_SU'!$B14="","",'DM_NHAN_SU'!B14)</f>
        <v/>
      </c>
      <c r="C14" s="145">
        <f>IF('DM_NHAN_SU'!$B14="","",'DM_NHAN_SU'!C14)</f>
        <v/>
      </c>
      <c r="D14" s="227" t="n"/>
      <c r="E14" s="222" t="n"/>
      <c r="F14" s="224">
        <f>IF($B14="","",$D14*$E14/24*75%)</f>
        <v/>
      </c>
      <c r="G14" s="227" t="n"/>
      <c r="H14" s="227" t="n"/>
      <c r="I14" s="233">
        <f>IF($B14="","",IF($H14&gt;=30,65%,IF($H14&gt;=15,55%,50%)))</f>
        <v/>
      </c>
      <c r="J14" s="224">
        <f>IF($B14="","",$G14*$E14/24*$I14)</f>
        <v/>
      </c>
      <c r="K14" s="227" t="n"/>
      <c r="L14" s="224">
        <f>IF($B14="","",$K14*$E14/24)</f>
        <v/>
      </c>
      <c r="M14" s="227" t="n"/>
      <c r="N14" s="232">
        <f>IF($B14="","",$M14*'THAM_SO'!$M$27)</f>
        <v/>
      </c>
      <c r="O14" s="227" t="n"/>
      <c r="P14" s="222" t="n"/>
      <c r="Q14" s="227" t="n"/>
      <c r="R14" s="227" t="n"/>
      <c r="S14" s="227" t="n"/>
      <c r="T14" s="227" t="n"/>
      <c r="U14" s="224">
        <f>IF($B14="","",$O14*$P14+$Q14*$P14/24+$R14*$P14/30+$S14*'THAM_SO'!$M$6*2+$T14*'THAM_SO'!$M$27)</f>
        <v/>
      </c>
      <c r="V14" s="224">
        <f>IF($B14="","",SUM($F14,$J14,$L14,$N14,$U14))</f>
        <v/>
      </c>
      <c r="W14" s="222" t="n"/>
      <c r="X14" s="224">
        <f>IF(OR($B14="",$W14=""),"",$W14-$V14)</f>
        <v/>
      </c>
      <c r="Y14" s="127" t="n"/>
      <c r="Z14" s="127" t="n"/>
      <c r="AA14" s="150">
        <f>IF($B14="","",IF(AND(SUM($D14,$G14,$K14)&gt;0,$E14&lt;=0),"Thiếu mức đóng BH tháng trước; ","")&amp;IF(AND(SUM($O14:$R14)&gt;0,$P14&lt;=0),"Thiếu bình quân 06 tháng; ","")&amp;IF($K14&gt;0,"Mức 100% chỉ dùng đúng đối tượng luật định; ","")&amp;IF($W14="","",IF(ABS($X14)&gt;1,"Thực tế khác ước tính; ",""))&amp;IF($W14="","",IF($Y14="","Chưa chọn cách chi trả; ","")))</f>
        <v/>
      </c>
    </row>
    <row r="15">
      <c r="A15" s="145">
        <f>IF('DM_NHAN_SU'!$B15="","",ROW()-5)</f>
        <v/>
      </c>
      <c r="B15" s="145">
        <f>IF('DM_NHAN_SU'!$B15="","",'DM_NHAN_SU'!B15)</f>
        <v/>
      </c>
      <c r="C15" s="145">
        <f>IF('DM_NHAN_SU'!$B15="","",'DM_NHAN_SU'!C15)</f>
        <v/>
      </c>
      <c r="D15" s="227" t="n"/>
      <c r="E15" s="222" t="n"/>
      <c r="F15" s="224">
        <f>IF($B15="","",$D15*$E15/24*75%)</f>
        <v/>
      </c>
      <c r="G15" s="227" t="n"/>
      <c r="H15" s="227" t="n"/>
      <c r="I15" s="233">
        <f>IF($B15="","",IF($H15&gt;=30,65%,IF($H15&gt;=15,55%,50%)))</f>
        <v/>
      </c>
      <c r="J15" s="224">
        <f>IF($B15="","",$G15*$E15/24*$I15)</f>
        <v/>
      </c>
      <c r="K15" s="227" t="n"/>
      <c r="L15" s="224">
        <f>IF($B15="","",$K15*$E15/24)</f>
        <v/>
      </c>
      <c r="M15" s="227" t="n"/>
      <c r="N15" s="232">
        <f>IF($B15="","",$M15*'THAM_SO'!$M$27)</f>
        <v/>
      </c>
      <c r="O15" s="227" t="n"/>
      <c r="P15" s="222" t="n"/>
      <c r="Q15" s="227" t="n"/>
      <c r="R15" s="227" t="n"/>
      <c r="S15" s="227" t="n"/>
      <c r="T15" s="227" t="n"/>
      <c r="U15" s="224">
        <f>IF($B15="","",$O15*$P15+$Q15*$P15/24+$R15*$P15/30+$S15*'THAM_SO'!$M$6*2+$T15*'THAM_SO'!$M$27)</f>
        <v/>
      </c>
      <c r="V15" s="224">
        <f>IF($B15="","",SUM($F15,$J15,$L15,$N15,$U15))</f>
        <v/>
      </c>
      <c r="W15" s="222" t="n"/>
      <c r="X15" s="224">
        <f>IF(OR($B15="",$W15=""),"",$W15-$V15)</f>
        <v/>
      </c>
      <c r="Y15" s="127" t="n"/>
      <c r="Z15" s="127" t="n"/>
      <c r="AA15" s="150">
        <f>IF($B15="","",IF(AND(SUM($D15,$G15,$K15)&gt;0,$E15&lt;=0),"Thiếu mức đóng BH tháng trước; ","")&amp;IF(AND(SUM($O15:$R15)&gt;0,$P15&lt;=0),"Thiếu bình quân 06 tháng; ","")&amp;IF($K15&gt;0,"Mức 100% chỉ dùng đúng đối tượng luật định; ","")&amp;IF($W15="","",IF(ABS($X15)&gt;1,"Thực tế khác ước tính; ",""))&amp;IF($W15="","",IF($Y15="","Chưa chọn cách chi trả; ","")))</f>
        <v/>
      </c>
    </row>
    <row r="16">
      <c r="A16" s="145">
        <f>IF('DM_NHAN_SU'!$B16="","",ROW()-5)</f>
        <v/>
      </c>
      <c r="B16" s="145">
        <f>IF('DM_NHAN_SU'!$B16="","",'DM_NHAN_SU'!B16)</f>
        <v/>
      </c>
      <c r="C16" s="145">
        <f>IF('DM_NHAN_SU'!$B16="","",'DM_NHAN_SU'!C16)</f>
        <v/>
      </c>
      <c r="D16" s="227" t="n"/>
      <c r="E16" s="222" t="n"/>
      <c r="F16" s="224">
        <f>IF($B16="","",$D16*$E16/24*75%)</f>
        <v/>
      </c>
      <c r="G16" s="227" t="n"/>
      <c r="H16" s="227" t="n"/>
      <c r="I16" s="233">
        <f>IF($B16="","",IF($H16&gt;=30,65%,IF($H16&gt;=15,55%,50%)))</f>
        <v/>
      </c>
      <c r="J16" s="224">
        <f>IF($B16="","",$G16*$E16/24*$I16)</f>
        <v/>
      </c>
      <c r="K16" s="227" t="n"/>
      <c r="L16" s="224">
        <f>IF($B16="","",$K16*$E16/24)</f>
        <v/>
      </c>
      <c r="M16" s="227" t="n"/>
      <c r="N16" s="232">
        <f>IF($B16="","",$M16*'THAM_SO'!$M$27)</f>
        <v/>
      </c>
      <c r="O16" s="227" t="n"/>
      <c r="P16" s="222" t="n"/>
      <c r="Q16" s="227" t="n"/>
      <c r="R16" s="227" t="n"/>
      <c r="S16" s="227" t="n"/>
      <c r="T16" s="227" t="n"/>
      <c r="U16" s="224">
        <f>IF($B16="","",$O16*$P16+$Q16*$P16/24+$R16*$P16/30+$S16*'THAM_SO'!$M$6*2+$T16*'THAM_SO'!$M$27)</f>
        <v/>
      </c>
      <c r="V16" s="224">
        <f>IF($B16="","",SUM($F16,$J16,$L16,$N16,$U16))</f>
        <v/>
      </c>
      <c r="W16" s="222" t="n"/>
      <c r="X16" s="224">
        <f>IF(OR($B16="",$W16=""),"",$W16-$V16)</f>
        <v/>
      </c>
      <c r="Y16" s="127" t="n"/>
      <c r="Z16" s="127" t="n"/>
      <c r="AA16" s="150">
        <f>IF($B16="","",IF(AND(SUM($D16,$G16,$K16)&gt;0,$E16&lt;=0),"Thiếu mức đóng BH tháng trước; ","")&amp;IF(AND(SUM($O16:$R16)&gt;0,$P16&lt;=0),"Thiếu bình quân 06 tháng; ","")&amp;IF($K16&gt;0,"Mức 100% chỉ dùng đúng đối tượng luật định; ","")&amp;IF($W16="","",IF(ABS($X16)&gt;1,"Thực tế khác ước tính; ",""))&amp;IF($W16="","",IF($Y16="","Chưa chọn cách chi trả; ","")))</f>
        <v/>
      </c>
    </row>
    <row r="17">
      <c r="A17" s="145">
        <f>IF('DM_NHAN_SU'!$B17="","",ROW()-5)</f>
        <v/>
      </c>
      <c r="B17" s="145">
        <f>IF('DM_NHAN_SU'!$B17="","",'DM_NHAN_SU'!B17)</f>
        <v/>
      </c>
      <c r="C17" s="145">
        <f>IF('DM_NHAN_SU'!$B17="","",'DM_NHAN_SU'!C17)</f>
        <v/>
      </c>
      <c r="D17" s="227" t="n"/>
      <c r="E17" s="222" t="n"/>
      <c r="F17" s="224">
        <f>IF($B17="","",$D17*$E17/24*75%)</f>
        <v/>
      </c>
      <c r="G17" s="227" t="n"/>
      <c r="H17" s="227" t="n"/>
      <c r="I17" s="233">
        <f>IF($B17="","",IF($H17&gt;=30,65%,IF($H17&gt;=15,55%,50%)))</f>
        <v/>
      </c>
      <c r="J17" s="224">
        <f>IF($B17="","",$G17*$E17/24*$I17)</f>
        <v/>
      </c>
      <c r="K17" s="227" t="n"/>
      <c r="L17" s="224">
        <f>IF($B17="","",$K17*$E17/24)</f>
        <v/>
      </c>
      <c r="M17" s="227" t="n"/>
      <c r="N17" s="232">
        <f>IF($B17="","",$M17*'THAM_SO'!$M$27)</f>
        <v/>
      </c>
      <c r="O17" s="227" t="n"/>
      <c r="P17" s="222" t="n"/>
      <c r="Q17" s="227" t="n"/>
      <c r="R17" s="227" t="n"/>
      <c r="S17" s="227" t="n"/>
      <c r="T17" s="227" t="n"/>
      <c r="U17" s="224">
        <f>IF($B17="","",$O17*$P17+$Q17*$P17/24+$R17*$P17/30+$S17*'THAM_SO'!$M$6*2+$T17*'THAM_SO'!$M$27)</f>
        <v/>
      </c>
      <c r="V17" s="224">
        <f>IF($B17="","",SUM($F17,$J17,$L17,$N17,$U17))</f>
        <v/>
      </c>
      <c r="W17" s="222" t="n"/>
      <c r="X17" s="224">
        <f>IF(OR($B17="",$W17=""),"",$W17-$V17)</f>
        <v/>
      </c>
      <c r="Y17" s="127" t="n"/>
      <c r="Z17" s="127" t="n"/>
      <c r="AA17" s="150">
        <f>IF($B17="","",IF(AND(SUM($D17,$G17,$K17)&gt;0,$E17&lt;=0),"Thiếu mức đóng BH tháng trước; ","")&amp;IF(AND(SUM($O17:$R17)&gt;0,$P17&lt;=0),"Thiếu bình quân 06 tháng; ","")&amp;IF($K17&gt;0,"Mức 100% chỉ dùng đúng đối tượng luật định; ","")&amp;IF($W17="","",IF(ABS($X17)&gt;1,"Thực tế khác ước tính; ",""))&amp;IF($W17="","",IF($Y17="","Chưa chọn cách chi trả; ","")))</f>
        <v/>
      </c>
    </row>
    <row r="18">
      <c r="A18" s="145">
        <f>IF('DM_NHAN_SU'!$B18="","",ROW()-5)</f>
        <v/>
      </c>
      <c r="B18" s="145">
        <f>IF('DM_NHAN_SU'!$B18="","",'DM_NHAN_SU'!B18)</f>
        <v/>
      </c>
      <c r="C18" s="145">
        <f>IF('DM_NHAN_SU'!$B18="","",'DM_NHAN_SU'!C18)</f>
        <v/>
      </c>
      <c r="D18" s="227" t="n"/>
      <c r="E18" s="222" t="n"/>
      <c r="F18" s="224">
        <f>IF($B18="","",$D18*$E18/24*75%)</f>
        <v/>
      </c>
      <c r="G18" s="227" t="n"/>
      <c r="H18" s="227" t="n"/>
      <c r="I18" s="233">
        <f>IF($B18="","",IF($H18&gt;=30,65%,IF($H18&gt;=15,55%,50%)))</f>
        <v/>
      </c>
      <c r="J18" s="224">
        <f>IF($B18="","",$G18*$E18/24*$I18)</f>
        <v/>
      </c>
      <c r="K18" s="227" t="n"/>
      <c r="L18" s="224">
        <f>IF($B18="","",$K18*$E18/24)</f>
        <v/>
      </c>
      <c r="M18" s="227" t="n"/>
      <c r="N18" s="232">
        <f>IF($B18="","",$M18*'THAM_SO'!$M$27)</f>
        <v/>
      </c>
      <c r="O18" s="227" t="n"/>
      <c r="P18" s="222" t="n"/>
      <c r="Q18" s="227" t="n"/>
      <c r="R18" s="227" t="n"/>
      <c r="S18" s="227" t="n"/>
      <c r="T18" s="227" t="n"/>
      <c r="U18" s="224">
        <f>IF($B18="","",$O18*$P18+$Q18*$P18/24+$R18*$P18/30+$S18*'THAM_SO'!$M$6*2+$T18*'THAM_SO'!$M$27)</f>
        <v/>
      </c>
      <c r="V18" s="224">
        <f>IF($B18="","",SUM($F18,$J18,$L18,$N18,$U18))</f>
        <v/>
      </c>
      <c r="W18" s="222" t="n"/>
      <c r="X18" s="224">
        <f>IF(OR($B18="",$W18=""),"",$W18-$V18)</f>
        <v/>
      </c>
      <c r="Y18" s="127" t="n"/>
      <c r="Z18" s="127" t="n"/>
      <c r="AA18" s="150">
        <f>IF($B18="","",IF(AND(SUM($D18,$G18,$K18)&gt;0,$E18&lt;=0),"Thiếu mức đóng BH tháng trước; ","")&amp;IF(AND(SUM($O18:$R18)&gt;0,$P18&lt;=0),"Thiếu bình quân 06 tháng; ","")&amp;IF($K18&gt;0,"Mức 100% chỉ dùng đúng đối tượng luật định; ","")&amp;IF($W18="","",IF(ABS($X18)&gt;1,"Thực tế khác ước tính; ",""))&amp;IF($W18="","",IF($Y18="","Chưa chọn cách chi trả; ","")))</f>
        <v/>
      </c>
    </row>
    <row r="19">
      <c r="A19" s="145">
        <f>IF('DM_NHAN_SU'!$B19="","",ROW()-5)</f>
        <v/>
      </c>
      <c r="B19" s="145">
        <f>IF('DM_NHAN_SU'!$B19="","",'DM_NHAN_SU'!B19)</f>
        <v/>
      </c>
      <c r="C19" s="145">
        <f>IF('DM_NHAN_SU'!$B19="","",'DM_NHAN_SU'!C19)</f>
        <v/>
      </c>
      <c r="D19" s="227" t="n"/>
      <c r="E19" s="222" t="n"/>
      <c r="F19" s="224">
        <f>IF($B19="","",$D19*$E19/24*75%)</f>
        <v/>
      </c>
      <c r="G19" s="227" t="n"/>
      <c r="H19" s="227" t="n"/>
      <c r="I19" s="233">
        <f>IF($B19="","",IF($H19&gt;=30,65%,IF($H19&gt;=15,55%,50%)))</f>
        <v/>
      </c>
      <c r="J19" s="224">
        <f>IF($B19="","",$G19*$E19/24*$I19)</f>
        <v/>
      </c>
      <c r="K19" s="227" t="n"/>
      <c r="L19" s="224">
        <f>IF($B19="","",$K19*$E19/24)</f>
        <v/>
      </c>
      <c r="M19" s="227" t="n"/>
      <c r="N19" s="232">
        <f>IF($B19="","",$M19*'THAM_SO'!$M$27)</f>
        <v/>
      </c>
      <c r="O19" s="227" t="n"/>
      <c r="P19" s="222" t="n"/>
      <c r="Q19" s="227" t="n"/>
      <c r="R19" s="227" t="n"/>
      <c r="S19" s="227" t="n"/>
      <c r="T19" s="227" t="n"/>
      <c r="U19" s="224">
        <f>IF($B19="","",$O19*$P19+$Q19*$P19/24+$R19*$P19/30+$S19*'THAM_SO'!$M$6*2+$T19*'THAM_SO'!$M$27)</f>
        <v/>
      </c>
      <c r="V19" s="224">
        <f>IF($B19="","",SUM($F19,$J19,$L19,$N19,$U19))</f>
        <v/>
      </c>
      <c r="W19" s="222" t="n"/>
      <c r="X19" s="224">
        <f>IF(OR($B19="",$W19=""),"",$W19-$V19)</f>
        <v/>
      </c>
      <c r="Y19" s="127" t="n"/>
      <c r="Z19" s="127" t="n"/>
      <c r="AA19" s="150">
        <f>IF($B19="","",IF(AND(SUM($D19,$G19,$K19)&gt;0,$E19&lt;=0),"Thiếu mức đóng BH tháng trước; ","")&amp;IF(AND(SUM($O19:$R19)&gt;0,$P19&lt;=0),"Thiếu bình quân 06 tháng; ","")&amp;IF($K19&gt;0,"Mức 100% chỉ dùng đúng đối tượng luật định; ","")&amp;IF($W19="","",IF(ABS($X19)&gt;1,"Thực tế khác ước tính; ",""))&amp;IF($W19="","",IF($Y19="","Chưa chọn cách chi trả; ","")))</f>
        <v/>
      </c>
    </row>
    <row r="20">
      <c r="A20" s="145">
        <f>IF('DM_NHAN_SU'!$B20="","",ROW()-5)</f>
        <v/>
      </c>
      <c r="B20" s="145">
        <f>IF('DM_NHAN_SU'!$B20="","",'DM_NHAN_SU'!B20)</f>
        <v/>
      </c>
      <c r="C20" s="145">
        <f>IF('DM_NHAN_SU'!$B20="","",'DM_NHAN_SU'!C20)</f>
        <v/>
      </c>
      <c r="D20" s="227" t="n"/>
      <c r="E20" s="222" t="n"/>
      <c r="F20" s="224">
        <f>IF($B20="","",$D20*$E20/24*75%)</f>
        <v/>
      </c>
      <c r="G20" s="227" t="n"/>
      <c r="H20" s="227" t="n"/>
      <c r="I20" s="233">
        <f>IF($B20="","",IF($H20&gt;=30,65%,IF($H20&gt;=15,55%,50%)))</f>
        <v/>
      </c>
      <c r="J20" s="224">
        <f>IF($B20="","",$G20*$E20/24*$I20)</f>
        <v/>
      </c>
      <c r="K20" s="227" t="n"/>
      <c r="L20" s="224">
        <f>IF($B20="","",$K20*$E20/24)</f>
        <v/>
      </c>
      <c r="M20" s="227" t="n"/>
      <c r="N20" s="232">
        <f>IF($B20="","",$M20*'THAM_SO'!$M$27)</f>
        <v/>
      </c>
      <c r="O20" s="227" t="n"/>
      <c r="P20" s="222" t="n"/>
      <c r="Q20" s="227" t="n"/>
      <c r="R20" s="227" t="n"/>
      <c r="S20" s="227" t="n"/>
      <c r="T20" s="227" t="n"/>
      <c r="U20" s="224">
        <f>IF($B20="","",$O20*$P20+$Q20*$P20/24+$R20*$P20/30+$S20*'THAM_SO'!$M$6*2+$T20*'THAM_SO'!$M$27)</f>
        <v/>
      </c>
      <c r="V20" s="224">
        <f>IF($B20="","",SUM($F20,$J20,$L20,$N20,$U20))</f>
        <v/>
      </c>
      <c r="W20" s="222" t="n"/>
      <c r="X20" s="224">
        <f>IF(OR($B20="",$W20=""),"",$W20-$V20)</f>
        <v/>
      </c>
      <c r="Y20" s="127" t="n"/>
      <c r="Z20" s="127" t="n"/>
      <c r="AA20" s="150">
        <f>IF($B20="","",IF(AND(SUM($D20,$G20,$K20)&gt;0,$E20&lt;=0),"Thiếu mức đóng BH tháng trước; ","")&amp;IF(AND(SUM($O20:$R20)&gt;0,$P20&lt;=0),"Thiếu bình quân 06 tháng; ","")&amp;IF($K20&gt;0,"Mức 100% chỉ dùng đúng đối tượng luật định; ","")&amp;IF($W20="","",IF(ABS($X20)&gt;1,"Thực tế khác ước tính; ",""))&amp;IF($W20="","",IF($Y20="","Chưa chọn cách chi trả; ","")))</f>
        <v/>
      </c>
    </row>
    <row r="21">
      <c r="A21" s="145">
        <f>IF('DM_NHAN_SU'!$B21="","",ROW()-5)</f>
        <v/>
      </c>
      <c r="B21" s="145">
        <f>IF('DM_NHAN_SU'!$B21="","",'DM_NHAN_SU'!B21)</f>
        <v/>
      </c>
      <c r="C21" s="145">
        <f>IF('DM_NHAN_SU'!$B21="","",'DM_NHAN_SU'!C21)</f>
        <v/>
      </c>
      <c r="D21" s="227" t="n"/>
      <c r="E21" s="222" t="n"/>
      <c r="F21" s="224">
        <f>IF($B21="","",$D21*$E21/24*75%)</f>
        <v/>
      </c>
      <c r="G21" s="227" t="n"/>
      <c r="H21" s="227" t="n"/>
      <c r="I21" s="233">
        <f>IF($B21="","",IF($H21&gt;=30,65%,IF($H21&gt;=15,55%,50%)))</f>
        <v/>
      </c>
      <c r="J21" s="224">
        <f>IF($B21="","",$G21*$E21/24*$I21)</f>
        <v/>
      </c>
      <c r="K21" s="227" t="n"/>
      <c r="L21" s="224">
        <f>IF($B21="","",$K21*$E21/24)</f>
        <v/>
      </c>
      <c r="M21" s="227" t="n"/>
      <c r="N21" s="232">
        <f>IF($B21="","",$M21*'THAM_SO'!$M$27)</f>
        <v/>
      </c>
      <c r="O21" s="227" t="n"/>
      <c r="P21" s="222" t="n"/>
      <c r="Q21" s="227" t="n"/>
      <c r="R21" s="227" t="n"/>
      <c r="S21" s="227" t="n"/>
      <c r="T21" s="227" t="n"/>
      <c r="U21" s="224">
        <f>IF($B21="","",$O21*$P21+$Q21*$P21/24+$R21*$P21/30+$S21*'THAM_SO'!$M$6*2+$T21*'THAM_SO'!$M$27)</f>
        <v/>
      </c>
      <c r="V21" s="224">
        <f>IF($B21="","",SUM($F21,$J21,$L21,$N21,$U21))</f>
        <v/>
      </c>
      <c r="W21" s="222" t="n"/>
      <c r="X21" s="224">
        <f>IF(OR($B21="",$W21=""),"",$W21-$V21)</f>
        <v/>
      </c>
      <c r="Y21" s="127" t="n"/>
      <c r="Z21" s="127" t="n"/>
      <c r="AA21" s="150">
        <f>IF($B21="","",IF(AND(SUM($D21,$G21,$K21)&gt;0,$E21&lt;=0),"Thiếu mức đóng BH tháng trước; ","")&amp;IF(AND(SUM($O21:$R21)&gt;0,$P21&lt;=0),"Thiếu bình quân 06 tháng; ","")&amp;IF($K21&gt;0,"Mức 100% chỉ dùng đúng đối tượng luật định; ","")&amp;IF($W21="","",IF(ABS($X21)&gt;1,"Thực tế khác ước tính; ",""))&amp;IF($W21="","",IF($Y21="","Chưa chọn cách chi trả; ","")))</f>
        <v/>
      </c>
    </row>
    <row r="22">
      <c r="A22" s="145">
        <f>IF('DM_NHAN_SU'!$B22="","",ROW()-5)</f>
        <v/>
      </c>
      <c r="B22" s="145">
        <f>IF('DM_NHAN_SU'!$B22="","",'DM_NHAN_SU'!B22)</f>
        <v/>
      </c>
      <c r="C22" s="145">
        <f>IF('DM_NHAN_SU'!$B22="","",'DM_NHAN_SU'!C22)</f>
        <v/>
      </c>
      <c r="D22" s="227" t="n"/>
      <c r="E22" s="222" t="n"/>
      <c r="F22" s="224">
        <f>IF($B22="","",$D22*$E22/24*75%)</f>
        <v/>
      </c>
      <c r="G22" s="227" t="n"/>
      <c r="H22" s="227" t="n"/>
      <c r="I22" s="233">
        <f>IF($B22="","",IF($H22&gt;=30,65%,IF($H22&gt;=15,55%,50%)))</f>
        <v/>
      </c>
      <c r="J22" s="224">
        <f>IF($B22="","",$G22*$E22/24*$I22)</f>
        <v/>
      </c>
      <c r="K22" s="227" t="n"/>
      <c r="L22" s="224">
        <f>IF($B22="","",$K22*$E22/24)</f>
        <v/>
      </c>
      <c r="M22" s="227" t="n"/>
      <c r="N22" s="232">
        <f>IF($B22="","",$M22*'THAM_SO'!$M$27)</f>
        <v/>
      </c>
      <c r="O22" s="227" t="n"/>
      <c r="P22" s="222" t="n"/>
      <c r="Q22" s="227" t="n"/>
      <c r="R22" s="227" t="n"/>
      <c r="S22" s="227" t="n"/>
      <c r="T22" s="227" t="n"/>
      <c r="U22" s="224">
        <f>IF($B22="","",$O22*$P22+$Q22*$P22/24+$R22*$P22/30+$S22*'THAM_SO'!$M$6*2+$T22*'THAM_SO'!$M$27)</f>
        <v/>
      </c>
      <c r="V22" s="224">
        <f>IF($B22="","",SUM($F22,$J22,$L22,$N22,$U22))</f>
        <v/>
      </c>
      <c r="W22" s="222" t="n"/>
      <c r="X22" s="224">
        <f>IF(OR($B22="",$W22=""),"",$W22-$V22)</f>
        <v/>
      </c>
      <c r="Y22" s="127" t="n"/>
      <c r="Z22" s="127" t="n"/>
      <c r="AA22" s="150">
        <f>IF($B22="","",IF(AND(SUM($D22,$G22,$K22)&gt;0,$E22&lt;=0),"Thiếu mức đóng BH tháng trước; ","")&amp;IF(AND(SUM($O22:$R22)&gt;0,$P22&lt;=0),"Thiếu bình quân 06 tháng; ","")&amp;IF($K22&gt;0,"Mức 100% chỉ dùng đúng đối tượng luật định; ","")&amp;IF($W22="","",IF(ABS($X22)&gt;1,"Thực tế khác ước tính; ",""))&amp;IF($W22="","",IF($Y22="","Chưa chọn cách chi trả; ","")))</f>
        <v/>
      </c>
    </row>
    <row r="23">
      <c r="A23" s="145">
        <f>IF('DM_NHAN_SU'!$B23="","",ROW()-5)</f>
        <v/>
      </c>
      <c r="B23" s="145">
        <f>IF('DM_NHAN_SU'!$B23="","",'DM_NHAN_SU'!B23)</f>
        <v/>
      </c>
      <c r="C23" s="145">
        <f>IF('DM_NHAN_SU'!$B23="","",'DM_NHAN_SU'!C23)</f>
        <v/>
      </c>
      <c r="D23" s="227" t="n"/>
      <c r="E23" s="222" t="n"/>
      <c r="F23" s="224">
        <f>IF($B23="","",$D23*$E23/24*75%)</f>
        <v/>
      </c>
      <c r="G23" s="227" t="n"/>
      <c r="H23" s="227" t="n"/>
      <c r="I23" s="233">
        <f>IF($B23="","",IF($H23&gt;=30,65%,IF($H23&gt;=15,55%,50%)))</f>
        <v/>
      </c>
      <c r="J23" s="224">
        <f>IF($B23="","",$G23*$E23/24*$I23)</f>
        <v/>
      </c>
      <c r="K23" s="227" t="n"/>
      <c r="L23" s="224">
        <f>IF($B23="","",$K23*$E23/24)</f>
        <v/>
      </c>
      <c r="M23" s="227" t="n"/>
      <c r="N23" s="232">
        <f>IF($B23="","",$M23*'THAM_SO'!$M$27)</f>
        <v/>
      </c>
      <c r="O23" s="227" t="n"/>
      <c r="P23" s="222" t="n"/>
      <c r="Q23" s="227" t="n"/>
      <c r="R23" s="227" t="n"/>
      <c r="S23" s="227" t="n"/>
      <c r="T23" s="227" t="n"/>
      <c r="U23" s="224">
        <f>IF($B23="","",$O23*$P23+$Q23*$P23/24+$R23*$P23/30+$S23*'THAM_SO'!$M$6*2+$T23*'THAM_SO'!$M$27)</f>
        <v/>
      </c>
      <c r="V23" s="224">
        <f>IF($B23="","",SUM($F23,$J23,$L23,$N23,$U23))</f>
        <v/>
      </c>
      <c r="W23" s="222" t="n"/>
      <c r="X23" s="224">
        <f>IF(OR($B23="",$W23=""),"",$W23-$V23)</f>
        <v/>
      </c>
      <c r="Y23" s="127" t="n"/>
      <c r="Z23" s="127" t="n"/>
      <c r="AA23" s="150">
        <f>IF($B23="","",IF(AND(SUM($D23,$G23,$K23)&gt;0,$E23&lt;=0),"Thiếu mức đóng BH tháng trước; ","")&amp;IF(AND(SUM($O23:$R23)&gt;0,$P23&lt;=0),"Thiếu bình quân 06 tháng; ","")&amp;IF($K23&gt;0,"Mức 100% chỉ dùng đúng đối tượng luật định; ","")&amp;IF($W23="","",IF(ABS($X23)&gt;1,"Thực tế khác ước tính; ",""))&amp;IF($W23="","",IF($Y23="","Chưa chọn cách chi trả; ","")))</f>
        <v/>
      </c>
    </row>
    <row r="24">
      <c r="A24" s="145">
        <f>IF('DM_NHAN_SU'!$B24="","",ROW()-5)</f>
        <v/>
      </c>
      <c r="B24" s="145">
        <f>IF('DM_NHAN_SU'!$B24="","",'DM_NHAN_SU'!B24)</f>
        <v/>
      </c>
      <c r="C24" s="145">
        <f>IF('DM_NHAN_SU'!$B24="","",'DM_NHAN_SU'!C24)</f>
        <v/>
      </c>
      <c r="D24" s="227" t="n"/>
      <c r="E24" s="222" t="n"/>
      <c r="F24" s="224">
        <f>IF($B24="","",$D24*$E24/24*75%)</f>
        <v/>
      </c>
      <c r="G24" s="227" t="n"/>
      <c r="H24" s="227" t="n"/>
      <c r="I24" s="233">
        <f>IF($B24="","",IF($H24&gt;=30,65%,IF($H24&gt;=15,55%,50%)))</f>
        <v/>
      </c>
      <c r="J24" s="224">
        <f>IF($B24="","",$G24*$E24/24*$I24)</f>
        <v/>
      </c>
      <c r="K24" s="227" t="n"/>
      <c r="L24" s="224">
        <f>IF($B24="","",$K24*$E24/24)</f>
        <v/>
      </c>
      <c r="M24" s="227" t="n"/>
      <c r="N24" s="232">
        <f>IF($B24="","",$M24*'THAM_SO'!$M$27)</f>
        <v/>
      </c>
      <c r="O24" s="227" t="n"/>
      <c r="P24" s="222" t="n"/>
      <c r="Q24" s="227" t="n"/>
      <c r="R24" s="227" t="n"/>
      <c r="S24" s="227" t="n"/>
      <c r="T24" s="227" t="n"/>
      <c r="U24" s="224">
        <f>IF($B24="","",$O24*$P24+$Q24*$P24/24+$R24*$P24/30+$S24*'THAM_SO'!$M$6*2+$T24*'THAM_SO'!$M$27)</f>
        <v/>
      </c>
      <c r="V24" s="224">
        <f>IF($B24="","",SUM($F24,$J24,$L24,$N24,$U24))</f>
        <v/>
      </c>
      <c r="W24" s="222" t="n"/>
      <c r="X24" s="224">
        <f>IF(OR($B24="",$W24=""),"",$W24-$V24)</f>
        <v/>
      </c>
      <c r="Y24" s="127" t="n"/>
      <c r="Z24" s="127" t="n"/>
      <c r="AA24" s="150">
        <f>IF($B24="","",IF(AND(SUM($D24,$G24,$K24)&gt;0,$E24&lt;=0),"Thiếu mức đóng BH tháng trước; ","")&amp;IF(AND(SUM($O24:$R24)&gt;0,$P24&lt;=0),"Thiếu bình quân 06 tháng; ","")&amp;IF($K24&gt;0,"Mức 100% chỉ dùng đúng đối tượng luật định; ","")&amp;IF($W24="","",IF(ABS($X24)&gt;1,"Thực tế khác ước tính; ",""))&amp;IF($W24="","",IF($Y24="","Chưa chọn cách chi trả; ","")))</f>
        <v/>
      </c>
    </row>
    <row r="25">
      <c r="A25" s="145">
        <f>IF('DM_NHAN_SU'!$B25="","",ROW()-5)</f>
        <v/>
      </c>
      <c r="B25" s="145">
        <f>IF('DM_NHAN_SU'!$B25="","",'DM_NHAN_SU'!B25)</f>
        <v/>
      </c>
      <c r="C25" s="145">
        <f>IF('DM_NHAN_SU'!$B25="","",'DM_NHAN_SU'!C25)</f>
        <v/>
      </c>
      <c r="D25" s="227" t="n"/>
      <c r="E25" s="222" t="n"/>
      <c r="F25" s="224">
        <f>IF($B25="","",$D25*$E25/24*75%)</f>
        <v/>
      </c>
      <c r="G25" s="227" t="n"/>
      <c r="H25" s="227" t="n"/>
      <c r="I25" s="233">
        <f>IF($B25="","",IF($H25&gt;=30,65%,IF($H25&gt;=15,55%,50%)))</f>
        <v/>
      </c>
      <c r="J25" s="224">
        <f>IF($B25="","",$G25*$E25/24*$I25)</f>
        <v/>
      </c>
      <c r="K25" s="227" t="n"/>
      <c r="L25" s="224">
        <f>IF($B25="","",$K25*$E25/24)</f>
        <v/>
      </c>
      <c r="M25" s="227" t="n"/>
      <c r="N25" s="232">
        <f>IF($B25="","",$M25*'THAM_SO'!$M$27)</f>
        <v/>
      </c>
      <c r="O25" s="227" t="n"/>
      <c r="P25" s="222" t="n"/>
      <c r="Q25" s="227" t="n"/>
      <c r="R25" s="227" t="n"/>
      <c r="S25" s="227" t="n"/>
      <c r="T25" s="227" t="n"/>
      <c r="U25" s="224">
        <f>IF($B25="","",$O25*$P25+$Q25*$P25/24+$R25*$P25/30+$S25*'THAM_SO'!$M$6*2+$T25*'THAM_SO'!$M$27)</f>
        <v/>
      </c>
      <c r="V25" s="224">
        <f>IF($B25="","",SUM($F25,$J25,$L25,$N25,$U25))</f>
        <v/>
      </c>
      <c r="W25" s="222" t="n"/>
      <c r="X25" s="224">
        <f>IF(OR($B25="",$W25=""),"",$W25-$V25)</f>
        <v/>
      </c>
      <c r="Y25" s="127" t="n"/>
      <c r="Z25" s="127" t="n"/>
      <c r="AA25" s="150">
        <f>IF($B25="","",IF(AND(SUM($D25,$G25,$K25)&gt;0,$E25&lt;=0),"Thiếu mức đóng BH tháng trước; ","")&amp;IF(AND(SUM($O25:$R25)&gt;0,$P25&lt;=0),"Thiếu bình quân 06 tháng; ","")&amp;IF($K25&gt;0,"Mức 100% chỉ dùng đúng đối tượng luật định; ","")&amp;IF($W25="","",IF(ABS($X25)&gt;1,"Thực tế khác ước tính; ",""))&amp;IF($W25="","",IF($Y25="","Chưa chọn cách chi trả; ","")))</f>
        <v/>
      </c>
    </row>
    <row r="26">
      <c r="A26" s="145">
        <f>IF('DM_NHAN_SU'!$B26="","",ROW()-5)</f>
        <v/>
      </c>
      <c r="B26" s="145">
        <f>IF('DM_NHAN_SU'!$B26="","",'DM_NHAN_SU'!B26)</f>
        <v/>
      </c>
      <c r="C26" s="145">
        <f>IF('DM_NHAN_SU'!$B26="","",'DM_NHAN_SU'!C26)</f>
        <v/>
      </c>
      <c r="D26" s="227" t="n"/>
      <c r="E26" s="222" t="n"/>
      <c r="F26" s="224">
        <f>IF($B26="","",$D26*$E26/24*75%)</f>
        <v/>
      </c>
      <c r="G26" s="227" t="n"/>
      <c r="H26" s="227" t="n"/>
      <c r="I26" s="233">
        <f>IF($B26="","",IF($H26&gt;=30,65%,IF($H26&gt;=15,55%,50%)))</f>
        <v/>
      </c>
      <c r="J26" s="224">
        <f>IF($B26="","",$G26*$E26/24*$I26)</f>
        <v/>
      </c>
      <c r="K26" s="227" t="n"/>
      <c r="L26" s="224">
        <f>IF($B26="","",$K26*$E26/24)</f>
        <v/>
      </c>
      <c r="M26" s="227" t="n"/>
      <c r="N26" s="232">
        <f>IF($B26="","",$M26*'THAM_SO'!$M$27)</f>
        <v/>
      </c>
      <c r="O26" s="227" t="n"/>
      <c r="P26" s="222" t="n"/>
      <c r="Q26" s="227" t="n"/>
      <c r="R26" s="227" t="n"/>
      <c r="S26" s="227" t="n"/>
      <c r="T26" s="227" t="n"/>
      <c r="U26" s="224">
        <f>IF($B26="","",$O26*$P26+$Q26*$P26/24+$R26*$P26/30+$S26*'THAM_SO'!$M$6*2+$T26*'THAM_SO'!$M$27)</f>
        <v/>
      </c>
      <c r="V26" s="224">
        <f>IF($B26="","",SUM($F26,$J26,$L26,$N26,$U26))</f>
        <v/>
      </c>
      <c r="W26" s="222" t="n"/>
      <c r="X26" s="224">
        <f>IF(OR($B26="",$W26=""),"",$W26-$V26)</f>
        <v/>
      </c>
      <c r="Y26" s="127" t="n"/>
      <c r="Z26" s="127" t="n"/>
      <c r="AA26" s="150">
        <f>IF($B26="","",IF(AND(SUM($D26,$G26,$K26)&gt;0,$E26&lt;=0),"Thiếu mức đóng BH tháng trước; ","")&amp;IF(AND(SUM($O26:$R26)&gt;0,$P26&lt;=0),"Thiếu bình quân 06 tháng; ","")&amp;IF($K26&gt;0,"Mức 100% chỉ dùng đúng đối tượng luật định; ","")&amp;IF($W26="","",IF(ABS($X26)&gt;1,"Thực tế khác ước tính; ",""))&amp;IF($W26="","",IF($Y26="","Chưa chọn cách chi trả; ","")))</f>
        <v/>
      </c>
    </row>
    <row r="27">
      <c r="A27" s="145">
        <f>IF('DM_NHAN_SU'!$B27="","",ROW()-5)</f>
        <v/>
      </c>
      <c r="B27" s="145">
        <f>IF('DM_NHAN_SU'!$B27="","",'DM_NHAN_SU'!B27)</f>
        <v/>
      </c>
      <c r="C27" s="145">
        <f>IF('DM_NHAN_SU'!$B27="","",'DM_NHAN_SU'!C27)</f>
        <v/>
      </c>
      <c r="D27" s="227" t="n"/>
      <c r="E27" s="222" t="n"/>
      <c r="F27" s="224">
        <f>IF($B27="","",$D27*$E27/24*75%)</f>
        <v/>
      </c>
      <c r="G27" s="227" t="n"/>
      <c r="H27" s="227" t="n"/>
      <c r="I27" s="233">
        <f>IF($B27="","",IF($H27&gt;=30,65%,IF($H27&gt;=15,55%,50%)))</f>
        <v/>
      </c>
      <c r="J27" s="224">
        <f>IF($B27="","",$G27*$E27/24*$I27)</f>
        <v/>
      </c>
      <c r="K27" s="227" t="n"/>
      <c r="L27" s="224">
        <f>IF($B27="","",$K27*$E27/24)</f>
        <v/>
      </c>
      <c r="M27" s="227" t="n"/>
      <c r="N27" s="232">
        <f>IF($B27="","",$M27*'THAM_SO'!$M$27)</f>
        <v/>
      </c>
      <c r="O27" s="227" t="n"/>
      <c r="P27" s="222" t="n"/>
      <c r="Q27" s="227" t="n"/>
      <c r="R27" s="227" t="n"/>
      <c r="S27" s="227" t="n"/>
      <c r="T27" s="227" t="n"/>
      <c r="U27" s="224">
        <f>IF($B27="","",$O27*$P27+$Q27*$P27/24+$R27*$P27/30+$S27*'THAM_SO'!$M$6*2+$T27*'THAM_SO'!$M$27)</f>
        <v/>
      </c>
      <c r="V27" s="224">
        <f>IF($B27="","",SUM($F27,$J27,$L27,$N27,$U27))</f>
        <v/>
      </c>
      <c r="W27" s="222" t="n"/>
      <c r="X27" s="224">
        <f>IF(OR($B27="",$W27=""),"",$W27-$V27)</f>
        <v/>
      </c>
      <c r="Y27" s="127" t="n"/>
      <c r="Z27" s="127" t="n"/>
      <c r="AA27" s="150">
        <f>IF($B27="","",IF(AND(SUM($D27,$G27,$K27)&gt;0,$E27&lt;=0),"Thiếu mức đóng BH tháng trước; ","")&amp;IF(AND(SUM($O27:$R27)&gt;0,$P27&lt;=0),"Thiếu bình quân 06 tháng; ","")&amp;IF($K27&gt;0,"Mức 100% chỉ dùng đúng đối tượng luật định; ","")&amp;IF($W27="","",IF(ABS($X27)&gt;1,"Thực tế khác ước tính; ",""))&amp;IF($W27="","",IF($Y27="","Chưa chọn cách chi trả; ","")))</f>
        <v/>
      </c>
    </row>
    <row r="28">
      <c r="A28" s="145">
        <f>IF('DM_NHAN_SU'!$B28="","",ROW()-5)</f>
        <v/>
      </c>
      <c r="B28" s="145">
        <f>IF('DM_NHAN_SU'!$B28="","",'DM_NHAN_SU'!B28)</f>
        <v/>
      </c>
      <c r="C28" s="145">
        <f>IF('DM_NHAN_SU'!$B28="","",'DM_NHAN_SU'!C28)</f>
        <v/>
      </c>
      <c r="D28" s="227" t="n"/>
      <c r="E28" s="222" t="n"/>
      <c r="F28" s="224">
        <f>IF($B28="","",$D28*$E28/24*75%)</f>
        <v/>
      </c>
      <c r="G28" s="227" t="n"/>
      <c r="H28" s="227" t="n"/>
      <c r="I28" s="233">
        <f>IF($B28="","",IF($H28&gt;=30,65%,IF($H28&gt;=15,55%,50%)))</f>
        <v/>
      </c>
      <c r="J28" s="224">
        <f>IF($B28="","",$G28*$E28/24*$I28)</f>
        <v/>
      </c>
      <c r="K28" s="227" t="n"/>
      <c r="L28" s="224">
        <f>IF($B28="","",$K28*$E28/24)</f>
        <v/>
      </c>
      <c r="M28" s="227" t="n"/>
      <c r="N28" s="232">
        <f>IF($B28="","",$M28*'THAM_SO'!$M$27)</f>
        <v/>
      </c>
      <c r="O28" s="227" t="n"/>
      <c r="P28" s="222" t="n"/>
      <c r="Q28" s="227" t="n"/>
      <c r="R28" s="227" t="n"/>
      <c r="S28" s="227" t="n"/>
      <c r="T28" s="227" t="n"/>
      <c r="U28" s="224">
        <f>IF($B28="","",$O28*$P28+$Q28*$P28/24+$R28*$P28/30+$S28*'THAM_SO'!$M$6*2+$T28*'THAM_SO'!$M$27)</f>
        <v/>
      </c>
      <c r="V28" s="224">
        <f>IF($B28="","",SUM($F28,$J28,$L28,$N28,$U28))</f>
        <v/>
      </c>
      <c r="W28" s="222" t="n"/>
      <c r="X28" s="224">
        <f>IF(OR($B28="",$W28=""),"",$W28-$V28)</f>
        <v/>
      </c>
      <c r="Y28" s="127" t="n"/>
      <c r="Z28" s="127" t="n"/>
      <c r="AA28" s="150">
        <f>IF($B28="","",IF(AND(SUM($D28,$G28,$K28)&gt;0,$E28&lt;=0),"Thiếu mức đóng BH tháng trước; ","")&amp;IF(AND(SUM($O28:$R28)&gt;0,$P28&lt;=0),"Thiếu bình quân 06 tháng; ","")&amp;IF($K28&gt;0,"Mức 100% chỉ dùng đúng đối tượng luật định; ","")&amp;IF($W28="","",IF(ABS($X28)&gt;1,"Thực tế khác ước tính; ",""))&amp;IF($W28="","",IF($Y28="","Chưa chọn cách chi trả; ","")))</f>
        <v/>
      </c>
    </row>
    <row r="29">
      <c r="A29" s="145">
        <f>IF('DM_NHAN_SU'!$B29="","",ROW()-5)</f>
        <v/>
      </c>
      <c r="B29" s="145">
        <f>IF('DM_NHAN_SU'!$B29="","",'DM_NHAN_SU'!B29)</f>
        <v/>
      </c>
      <c r="C29" s="145">
        <f>IF('DM_NHAN_SU'!$B29="","",'DM_NHAN_SU'!C29)</f>
        <v/>
      </c>
      <c r="D29" s="227" t="n"/>
      <c r="E29" s="222" t="n"/>
      <c r="F29" s="224">
        <f>IF($B29="","",$D29*$E29/24*75%)</f>
        <v/>
      </c>
      <c r="G29" s="227" t="n"/>
      <c r="H29" s="227" t="n"/>
      <c r="I29" s="233">
        <f>IF($B29="","",IF($H29&gt;=30,65%,IF($H29&gt;=15,55%,50%)))</f>
        <v/>
      </c>
      <c r="J29" s="224">
        <f>IF($B29="","",$G29*$E29/24*$I29)</f>
        <v/>
      </c>
      <c r="K29" s="227" t="n"/>
      <c r="L29" s="224">
        <f>IF($B29="","",$K29*$E29/24)</f>
        <v/>
      </c>
      <c r="M29" s="227" t="n"/>
      <c r="N29" s="232">
        <f>IF($B29="","",$M29*'THAM_SO'!$M$27)</f>
        <v/>
      </c>
      <c r="O29" s="227" t="n"/>
      <c r="P29" s="222" t="n"/>
      <c r="Q29" s="227" t="n"/>
      <c r="R29" s="227" t="n"/>
      <c r="S29" s="227" t="n"/>
      <c r="T29" s="227" t="n"/>
      <c r="U29" s="224">
        <f>IF($B29="","",$O29*$P29+$Q29*$P29/24+$R29*$P29/30+$S29*'THAM_SO'!$M$6*2+$T29*'THAM_SO'!$M$27)</f>
        <v/>
      </c>
      <c r="V29" s="224">
        <f>IF($B29="","",SUM($F29,$J29,$L29,$N29,$U29))</f>
        <v/>
      </c>
      <c r="W29" s="222" t="n"/>
      <c r="X29" s="224">
        <f>IF(OR($B29="",$W29=""),"",$W29-$V29)</f>
        <v/>
      </c>
      <c r="Y29" s="127" t="n"/>
      <c r="Z29" s="127" t="n"/>
      <c r="AA29" s="150">
        <f>IF($B29="","",IF(AND(SUM($D29,$G29,$K29)&gt;0,$E29&lt;=0),"Thiếu mức đóng BH tháng trước; ","")&amp;IF(AND(SUM($O29:$R29)&gt;0,$P29&lt;=0),"Thiếu bình quân 06 tháng; ","")&amp;IF($K29&gt;0,"Mức 100% chỉ dùng đúng đối tượng luật định; ","")&amp;IF($W29="","",IF(ABS($X29)&gt;1,"Thực tế khác ước tính; ",""))&amp;IF($W29="","",IF($Y29="","Chưa chọn cách chi trả; ","")))</f>
        <v/>
      </c>
    </row>
    <row r="30">
      <c r="A30" s="145">
        <f>IF('DM_NHAN_SU'!$B30="","",ROW()-5)</f>
        <v/>
      </c>
      <c r="B30" s="145">
        <f>IF('DM_NHAN_SU'!$B30="","",'DM_NHAN_SU'!B30)</f>
        <v/>
      </c>
      <c r="C30" s="145">
        <f>IF('DM_NHAN_SU'!$B30="","",'DM_NHAN_SU'!C30)</f>
        <v/>
      </c>
      <c r="D30" s="227" t="n"/>
      <c r="E30" s="222" t="n"/>
      <c r="F30" s="224">
        <f>IF($B30="","",$D30*$E30/24*75%)</f>
        <v/>
      </c>
      <c r="G30" s="227" t="n"/>
      <c r="H30" s="227" t="n"/>
      <c r="I30" s="233">
        <f>IF($B30="","",IF($H30&gt;=30,65%,IF($H30&gt;=15,55%,50%)))</f>
        <v/>
      </c>
      <c r="J30" s="224">
        <f>IF($B30="","",$G30*$E30/24*$I30)</f>
        <v/>
      </c>
      <c r="K30" s="227" t="n"/>
      <c r="L30" s="224">
        <f>IF($B30="","",$K30*$E30/24)</f>
        <v/>
      </c>
      <c r="M30" s="227" t="n"/>
      <c r="N30" s="232">
        <f>IF($B30="","",$M30*'THAM_SO'!$M$27)</f>
        <v/>
      </c>
      <c r="O30" s="227" t="n"/>
      <c r="P30" s="222" t="n"/>
      <c r="Q30" s="227" t="n"/>
      <c r="R30" s="227" t="n"/>
      <c r="S30" s="227" t="n"/>
      <c r="T30" s="227" t="n"/>
      <c r="U30" s="224">
        <f>IF($B30="","",$O30*$P30+$Q30*$P30/24+$R30*$P30/30+$S30*'THAM_SO'!$M$6*2+$T30*'THAM_SO'!$M$27)</f>
        <v/>
      </c>
      <c r="V30" s="224">
        <f>IF($B30="","",SUM($F30,$J30,$L30,$N30,$U30))</f>
        <v/>
      </c>
      <c r="W30" s="222" t="n"/>
      <c r="X30" s="224">
        <f>IF(OR($B30="",$W30=""),"",$W30-$V30)</f>
        <v/>
      </c>
      <c r="Y30" s="127" t="n"/>
      <c r="Z30" s="127" t="n"/>
      <c r="AA30" s="150">
        <f>IF($B30="","",IF(AND(SUM($D30,$G30,$K30)&gt;0,$E30&lt;=0),"Thiếu mức đóng BH tháng trước; ","")&amp;IF(AND(SUM($O30:$R30)&gt;0,$P30&lt;=0),"Thiếu bình quân 06 tháng; ","")&amp;IF($K30&gt;0,"Mức 100% chỉ dùng đúng đối tượng luật định; ","")&amp;IF($W30="","",IF(ABS($X30)&gt;1,"Thực tế khác ước tính; ",""))&amp;IF($W30="","",IF($Y30="","Chưa chọn cách chi trả; ","")))</f>
        <v/>
      </c>
    </row>
    <row r="31">
      <c r="A31" s="145">
        <f>IF('DM_NHAN_SU'!$B31="","",ROW()-5)</f>
        <v/>
      </c>
      <c r="B31" s="145">
        <f>IF('DM_NHAN_SU'!$B31="","",'DM_NHAN_SU'!B31)</f>
        <v/>
      </c>
      <c r="C31" s="145">
        <f>IF('DM_NHAN_SU'!$B31="","",'DM_NHAN_SU'!C31)</f>
        <v/>
      </c>
      <c r="D31" s="227" t="n"/>
      <c r="E31" s="222" t="n"/>
      <c r="F31" s="224">
        <f>IF($B31="","",$D31*$E31/24*75%)</f>
        <v/>
      </c>
      <c r="G31" s="227" t="n"/>
      <c r="H31" s="227" t="n"/>
      <c r="I31" s="233">
        <f>IF($B31="","",IF($H31&gt;=30,65%,IF($H31&gt;=15,55%,50%)))</f>
        <v/>
      </c>
      <c r="J31" s="224">
        <f>IF($B31="","",$G31*$E31/24*$I31)</f>
        <v/>
      </c>
      <c r="K31" s="227" t="n"/>
      <c r="L31" s="224">
        <f>IF($B31="","",$K31*$E31/24)</f>
        <v/>
      </c>
      <c r="M31" s="227" t="n"/>
      <c r="N31" s="232">
        <f>IF($B31="","",$M31*'THAM_SO'!$M$27)</f>
        <v/>
      </c>
      <c r="O31" s="227" t="n"/>
      <c r="P31" s="222" t="n"/>
      <c r="Q31" s="227" t="n"/>
      <c r="R31" s="227" t="n"/>
      <c r="S31" s="227" t="n"/>
      <c r="T31" s="227" t="n"/>
      <c r="U31" s="224">
        <f>IF($B31="","",$O31*$P31+$Q31*$P31/24+$R31*$P31/30+$S31*'THAM_SO'!$M$6*2+$T31*'THAM_SO'!$M$27)</f>
        <v/>
      </c>
      <c r="V31" s="224">
        <f>IF($B31="","",SUM($F31,$J31,$L31,$N31,$U31))</f>
        <v/>
      </c>
      <c r="W31" s="222" t="n"/>
      <c r="X31" s="224">
        <f>IF(OR($B31="",$W31=""),"",$W31-$V31)</f>
        <v/>
      </c>
      <c r="Y31" s="127" t="n"/>
      <c r="Z31" s="127" t="n"/>
      <c r="AA31" s="150">
        <f>IF($B31="","",IF(AND(SUM($D31,$G31,$K31)&gt;0,$E31&lt;=0),"Thiếu mức đóng BH tháng trước; ","")&amp;IF(AND(SUM($O31:$R31)&gt;0,$P31&lt;=0),"Thiếu bình quân 06 tháng; ","")&amp;IF($K31&gt;0,"Mức 100% chỉ dùng đúng đối tượng luật định; ","")&amp;IF($W31="","",IF(ABS($X31)&gt;1,"Thực tế khác ước tính; ",""))&amp;IF($W31="","",IF($Y31="","Chưa chọn cách chi trả; ","")))</f>
        <v/>
      </c>
    </row>
    <row r="32">
      <c r="A32" s="145">
        <f>IF('DM_NHAN_SU'!$B32="","",ROW()-5)</f>
        <v/>
      </c>
      <c r="B32" s="145">
        <f>IF('DM_NHAN_SU'!$B32="","",'DM_NHAN_SU'!B32)</f>
        <v/>
      </c>
      <c r="C32" s="145">
        <f>IF('DM_NHAN_SU'!$B32="","",'DM_NHAN_SU'!C32)</f>
        <v/>
      </c>
      <c r="D32" s="227" t="n"/>
      <c r="E32" s="222" t="n"/>
      <c r="F32" s="224">
        <f>IF($B32="","",$D32*$E32/24*75%)</f>
        <v/>
      </c>
      <c r="G32" s="227" t="n"/>
      <c r="H32" s="227" t="n"/>
      <c r="I32" s="233">
        <f>IF($B32="","",IF($H32&gt;=30,65%,IF($H32&gt;=15,55%,50%)))</f>
        <v/>
      </c>
      <c r="J32" s="224">
        <f>IF($B32="","",$G32*$E32/24*$I32)</f>
        <v/>
      </c>
      <c r="K32" s="227" t="n"/>
      <c r="L32" s="224">
        <f>IF($B32="","",$K32*$E32/24)</f>
        <v/>
      </c>
      <c r="M32" s="227" t="n"/>
      <c r="N32" s="232">
        <f>IF($B32="","",$M32*'THAM_SO'!$M$27)</f>
        <v/>
      </c>
      <c r="O32" s="227" t="n"/>
      <c r="P32" s="222" t="n"/>
      <c r="Q32" s="227" t="n"/>
      <c r="R32" s="227" t="n"/>
      <c r="S32" s="227" t="n"/>
      <c r="T32" s="227" t="n"/>
      <c r="U32" s="224">
        <f>IF($B32="","",$O32*$P32+$Q32*$P32/24+$R32*$P32/30+$S32*'THAM_SO'!$M$6*2+$T32*'THAM_SO'!$M$27)</f>
        <v/>
      </c>
      <c r="V32" s="224">
        <f>IF($B32="","",SUM($F32,$J32,$L32,$N32,$U32))</f>
        <v/>
      </c>
      <c r="W32" s="222" t="n"/>
      <c r="X32" s="224">
        <f>IF(OR($B32="",$W32=""),"",$W32-$V32)</f>
        <v/>
      </c>
      <c r="Y32" s="127" t="n"/>
      <c r="Z32" s="127" t="n"/>
      <c r="AA32" s="150">
        <f>IF($B32="","",IF(AND(SUM($D32,$G32,$K32)&gt;0,$E32&lt;=0),"Thiếu mức đóng BH tháng trước; ","")&amp;IF(AND(SUM($O32:$R32)&gt;0,$P32&lt;=0),"Thiếu bình quân 06 tháng; ","")&amp;IF($K32&gt;0,"Mức 100% chỉ dùng đúng đối tượng luật định; ","")&amp;IF($W32="","",IF(ABS($X32)&gt;1,"Thực tế khác ước tính; ",""))&amp;IF($W32="","",IF($Y32="","Chưa chọn cách chi trả; ","")))</f>
        <v/>
      </c>
    </row>
    <row r="33">
      <c r="A33" s="145">
        <f>IF('DM_NHAN_SU'!$B33="","",ROW()-5)</f>
        <v/>
      </c>
      <c r="B33" s="145">
        <f>IF('DM_NHAN_SU'!$B33="","",'DM_NHAN_SU'!B33)</f>
        <v/>
      </c>
      <c r="C33" s="145">
        <f>IF('DM_NHAN_SU'!$B33="","",'DM_NHAN_SU'!C33)</f>
        <v/>
      </c>
      <c r="D33" s="227" t="n"/>
      <c r="E33" s="222" t="n"/>
      <c r="F33" s="224">
        <f>IF($B33="","",$D33*$E33/24*75%)</f>
        <v/>
      </c>
      <c r="G33" s="227" t="n"/>
      <c r="H33" s="227" t="n"/>
      <c r="I33" s="233">
        <f>IF($B33="","",IF($H33&gt;=30,65%,IF($H33&gt;=15,55%,50%)))</f>
        <v/>
      </c>
      <c r="J33" s="224">
        <f>IF($B33="","",$G33*$E33/24*$I33)</f>
        <v/>
      </c>
      <c r="K33" s="227" t="n"/>
      <c r="L33" s="224">
        <f>IF($B33="","",$K33*$E33/24)</f>
        <v/>
      </c>
      <c r="M33" s="227" t="n"/>
      <c r="N33" s="232">
        <f>IF($B33="","",$M33*'THAM_SO'!$M$27)</f>
        <v/>
      </c>
      <c r="O33" s="227" t="n"/>
      <c r="P33" s="222" t="n"/>
      <c r="Q33" s="227" t="n"/>
      <c r="R33" s="227" t="n"/>
      <c r="S33" s="227" t="n"/>
      <c r="T33" s="227" t="n"/>
      <c r="U33" s="224">
        <f>IF($B33="","",$O33*$P33+$Q33*$P33/24+$R33*$P33/30+$S33*'THAM_SO'!$M$6*2+$T33*'THAM_SO'!$M$27)</f>
        <v/>
      </c>
      <c r="V33" s="224">
        <f>IF($B33="","",SUM($F33,$J33,$L33,$N33,$U33))</f>
        <v/>
      </c>
      <c r="W33" s="222" t="n"/>
      <c r="X33" s="224">
        <f>IF(OR($B33="",$W33=""),"",$W33-$V33)</f>
        <v/>
      </c>
      <c r="Y33" s="127" t="n"/>
      <c r="Z33" s="127" t="n"/>
      <c r="AA33" s="150">
        <f>IF($B33="","",IF(AND(SUM($D33,$G33,$K33)&gt;0,$E33&lt;=0),"Thiếu mức đóng BH tháng trước; ","")&amp;IF(AND(SUM($O33:$R33)&gt;0,$P33&lt;=0),"Thiếu bình quân 06 tháng; ","")&amp;IF($K33&gt;0,"Mức 100% chỉ dùng đúng đối tượng luật định; ","")&amp;IF($W33="","",IF(ABS($X33)&gt;1,"Thực tế khác ước tính; ",""))&amp;IF($W33="","",IF($Y33="","Chưa chọn cách chi trả; ","")))</f>
        <v/>
      </c>
    </row>
    <row r="34">
      <c r="A34" s="145">
        <f>IF('DM_NHAN_SU'!$B34="","",ROW()-5)</f>
        <v/>
      </c>
      <c r="B34" s="145">
        <f>IF('DM_NHAN_SU'!$B34="","",'DM_NHAN_SU'!B34)</f>
        <v/>
      </c>
      <c r="C34" s="145">
        <f>IF('DM_NHAN_SU'!$B34="","",'DM_NHAN_SU'!C34)</f>
        <v/>
      </c>
      <c r="D34" s="227" t="n"/>
      <c r="E34" s="222" t="n"/>
      <c r="F34" s="224">
        <f>IF($B34="","",$D34*$E34/24*75%)</f>
        <v/>
      </c>
      <c r="G34" s="227" t="n"/>
      <c r="H34" s="227" t="n"/>
      <c r="I34" s="233">
        <f>IF($B34="","",IF($H34&gt;=30,65%,IF($H34&gt;=15,55%,50%)))</f>
        <v/>
      </c>
      <c r="J34" s="224">
        <f>IF($B34="","",$G34*$E34/24*$I34)</f>
        <v/>
      </c>
      <c r="K34" s="227" t="n"/>
      <c r="L34" s="224">
        <f>IF($B34="","",$K34*$E34/24)</f>
        <v/>
      </c>
      <c r="M34" s="227" t="n"/>
      <c r="N34" s="232">
        <f>IF($B34="","",$M34*'THAM_SO'!$M$27)</f>
        <v/>
      </c>
      <c r="O34" s="227" t="n"/>
      <c r="P34" s="222" t="n"/>
      <c r="Q34" s="227" t="n"/>
      <c r="R34" s="227" t="n"/>
      <c r="S34" s="227" t="n"/>
      <c r="T34" s="227" t="n"/>
      <c r="U34" s="224">
        <f>IF($B34="","",$O34*$P34+$Q34*$P34/24+$R34*$P34/30+$S34*'THAM_SO'!$M$6*2+$T34*'THAM_SO'!$M$27)</f>
        <v/>
      </c>
      <c r="V34" s="224">
        <f>IF($B34="","",SUM($F34,$J34,$L34,$N34,$U34))</f>
        <v/>
      </c>
      <c r="W34" s="222" t="n"/>
      <c r="X34" s="224">
        <f>IF(OR($B34="",$W34=""),"",$W34-$V34)</f>
        <v/>
      </c>
      <c r="Y34" s="127" t="n"/>
      <c r="Z34" s="127" t="n"/>
      <c r="AA34" s="150">
        <f>IF($B34="","",IF(AND(SUM($D34,$G34,$K34)&gt;0,$E34&lt;=0),"Thiếu mức đóng BH tháng trước; ","")&amp;IF(AND(SUM($O34:$R34)&gt;0,$P34&lt;=0),"Thiếu bình quân 06 tháng; ","")&amp;IF($K34&gt;0,"Mức 100% chỉ dùng đúng đối tượng luật định; ","")&amp;IF($W34="","",IF(ABS($X34)&gt;1,"Thực tế khác ước tính; ",""))&amp;IF($W34="","",IF($Y34="","Chưa chọn cách chi trả; ","")))</f>
        <v/>
      </c>
    </row>
    <row r="35">
      <c r="A35" s="145">
        <f>IF('DM_NHAN_SU'!$B35="","",ROW()-5)</f>
        <v/>
      </c>
      <c r="B35" s="145">
        <f>IF('DM_NHAN_SU'!$B35="","",'DM_NHAN_SU'!B35)</f>
        <v/>
      </c>
      <c r="C35" s="145">
        <f>IF('DM_NHAN_SU'!$B35="","",'DM_NHAN_SU'!C35)</f>
        <v/>
      </c>
      <c r="D35" s="227" t="n"/>
      <c r="E35" s="222" t="n"/>
      <c r="F35" s="224">
        <f>IF($B35="","",$D35*$E35/24*75%)</f>
        <v/>
      </c>
      <c r="G35" s="227" t="n"/>
      <c r="H35" s="227" t="n"/>
      <c r="I35" s="233">
        <f>IF($B35="","",IF($H35&gt;=30,65%,IF($H35&gt;=15,55%,50%)))</f>
        <v/>
      </c>
      <c r="J35" s="224">
        <f>IF($B35="","",$G35*$E35/24*$I35)</f>
        <v/>
      </c>
      <c r="K35" s="227" t="n"/>
      <c r="L35" s="224">
        <f>IF($B35="","",$K35*$E35/24)</f>
        <v/>
      </c>
      <c r="M35" s="227" t="n"/>
      <c r="N35" s="232">
        <f>IF($B35="","",$M35*'THAM_SO'!$M$27)</f>
        <v/>
      </c>
      <c r="O35" s="227" t="n"/>
      <c r="P35" s="222" t="n"/>
      <c r="Q35" s="227" t="n"/>
      <c r="R35" s="227" t="n"/>
      <c r="S35" s="227" t="n"/>
      <c r="T35" s="227" t="n"/>
      <c r="U35" s="224">
        <f>IF($B35="","",$O35*$P35+$Q35*$P35/24+$R35*$P35/30+$S35*'THAM_SO'!$M$6*2+$T35*'THAM_SO'!$M$27)</f>
        <v/>
      </c>
      <c r="V35" s="224">
        <f>IF($B35="","",SUM($F35,$J35,$L35,$N35,$U35))</f>
        <v/>
      </c>
      <c r="W35" s="222" t="n"/>
      <c r="X35" s="224">
        <f>IF(OR($B35="",$W35=""),"",$W35-$V35)</f>
        <v/>
      </c>
      <c r="Y35" s="127" t="n"/>
      <c r="Z35" s="127" t="n"/>
      <c r="AA35" s="150">
        <f>IF($B35="","",IF(AND(SUM($D35,$G35,$K35)&gt;0,$E35&lt;=0),"Thiếu mức đóng BH tháng trước; ","")&amp;IF(AND(SUM($O35:$R35)&gt;0,$P35&lt;=0),"Thiếu bình quân 06 tháng; ","")&amp;IF($K35&gt;0,"Mức 100% chỉ dùng đúng đối tượng luật định; ","")&amp;IF($W35="","",IF(ABS($X35)&gt;1,"Thực tế khác ước tính; ",""))&amp;IF($W35="","",IF($Y35="","Chưa chọn cách chi trả; ","")))</f>
        <v/>
      </c>
    </row>
    <row r="36">
      <c r="A36" s="145">
        <f>IF('DM_NHAN_SU'!$B36="","",ROW()-5)</f>
        <v/>
      </c>
      <c r="B36" s="145">
        <f>IF('DM_NHAN_SU'!$B36="","",'DM_NHAN_SU'!B36)</f>
        <v/>
      </c>
      <c r="C36" s="145">
        <f>IF('DM_NHAN_SU'!$B36="","",'DM_NHAN_SU'!C36)</f>
        <v/>
      </c>
      <c r="D36" s="227" t="n"/>
      <c r="E36" s="222" t="n"/>
      <c r="F36" s="224">
        <f>IF($B36="","",$D36*$E36/24*75%)</f>
        <v/>
      </c>
      <c r="G36" s="227" t="n"/>
      <c r="H36" s="227" t="n"/>
      <c r="I36" s="233">
        <f>IF($B36="","",IF($H36&gt;=30,65%,IF($H36&gt;=15,55%,50%)))</f>
        <v/>
      </c>
      <c r="J36" s="224">
        <f>IF($B36="","",$G36*$E36/24*$I36)</f>
        <v/>
      </c>
      <c r="K36" s="227" t="n"/>
      <c r="L36" s="224">
        <f>IF($B36="","",$K36*$E36/24)</f>
        <v/>
      </c>
      <c r="M36" s="227" t="n"/>
      <c r="N36" s="232">
        <f>IF($B36="","",$M36*'THAM_SO'!$M$27)</f>
        <v/>
      </c>
      <c r="O36" s="227" t="n"/>
      <c r="P36" s="222" t="n"/>
      <c r="Q36" s="227" t="n"/>
      <c r="R36" s="227" t="n"/>
      <c r="S36" s="227" t="n"/>
      <c r="T36" s="227" t="n"/>
      <c r="U36" s="224">
        <f>IF($B36="","",$O36*$P36+$Q36*$P36/24+$R36*$P36/30+$S36*'THAM_SO'!$M$6*2+$T36*'THAM_SO'!$M$27)</f>
        <v/>
      </c>
      <c r="V36" s="224">
        <f>IF($B36="","",SUM($F36,$J36,$L36,$N36,$U36))</f>
        <v/>
      </c>
      <c r="W36" s="222" t="n"/>
      <c r="X36" s="224">
        <f>IF(OR($B36="",$W36=""),"",$W36-$V36)</f>
        <v/>
      </c>
      <c r="Y36" s="127" t="n"/>
      <c r="Z36" s="127" t="n"/>
      <c r="AA36" s="150">
        <f>IF($B36="","",IF(AND(SUM($D36,$G36,$K36)&gt;0,$E36&lt;=0),"Thiếu mức đóng BH tháng trước; ","")&amp;IF(AND(SUM($O36:$R36)&gt;0,$P36&lt;=0),"Thiếu bình quân 06 tháng; ","")&amp;IF($K36&gt;0,"Mức 100% chỉ dùng đúng đối tượng luật định; ","")&amp;IF($W36="","",IF(ABS($X36)&gt;1,"Thực tế khác ước tính; ",""))&amp;IF($W36="","",IF($Y36="","Chưa chọn cách chi trả; ","")))</f>
        <v/>
      </c>
    </row>
    <row r="37">
      <c r="A37" s="145">
        <f>IF('DM_NHAN_SU'!$B37="","",ROW()-5)</f>
        <v/>
      </c>
      <c r="B37" s="145">
        <f>IF('DM_NHAN_SU'!$B37="","",'DM_NHAN_SU'!B37)</f>
        <v/>
      </c>
      <c r="C37" s="145">
        <f>IF('DM_NHAN_SU'!$B37="","",'DM_NHAN_SU'!C37)</f>
        <v/>
      </c>
      <c r="D37" s="227" t="n"/>
      <c r="E37" s="222" t="n"/>
      <c r="F37" s="224">
        <f>IF($B37="","",$D37*$E37/24*75%)</f>
        <v/>
      </c>
      <c r="G37" s="227" t="n"/>
      <c r="H37" s="227" t="n"/>
      <c r="I37" s="233">
        <f>IF($B37="","",IF($H37&gt;=30,65%,IF($H37&gt;=15,55%,50%)))</f>
        <v/>
      </c>
      <c r="J37" s="224">
        <f>IF($B37="","",$G37*$E37/24*$I37)</f>
        <v/>
      </c>
      <c r="K37" s="227" t="n"/>
      <c r="L37" s="224">
        <f>IF($B37="","",$K37*$E37/24)</f>
        <v/>
      </c>
      <c r="M37" s="227" t="n"/>
      <c r="N37" s="232">
        <f>IF($B37="","",$M37*'THAM_SO'!$M$27)</f>
        <v/>
      </c>
      <c r="O37" s="227" t="n"/>
      <c r="P37" s="222" t="n"/>
      <c r="Q37" s="227" t="n"/>
      <c r="R37" s="227" t="n"/>
      <c r="S37" s="227" t="n"/>
      <c r="T37" s="227" t="n"/>
      <c r="U37" s="224">
        <f>IF($B37="","",$O37*$P37+$Q37*$P37/24+$R37*$P37/30+$S37*'THAM_SO'!$M$6*2+$T37*'THAM_SO'!$M$27)</f>
        <v/>
      </c>
      <c r="V37" s="224">
        <f>IF($B37="","",SUM($F37,$J37,$L37,$N37,$U37))</f>
        <v/>
      </c>
      <c r="W37" s="222" t="n"/>
      <c r="X37" s="224">
        <f>IF(OR($B37="",$W37=""),"",$W37-$V37)</f>
        <v/>
      </c>
      <c r="Y37" s="127" t="n"/>
      <c r="Z37" s="127" t="n"/>
      <c r="AA37" s="150">
        <f>IF($B37="","",IF(AND(SUM($D37,$G37,$K37)&gt;0,$E37&lt;=0),"Thiếu mức đóng BH tháng trước; ","")&amp;IF(AND(SUM($O37:$R37)&gt;0,$P37&lt;=0),"Thiếu bình quân 06 tháng; ","")&amp;IF($K37&gt;0,"Mức 100% chỉ dùng đúng đối tượng luật định; ","")&amp;IF($W37="","",IF(ABS($X37)&gt;1,"Thực tế khác ước tính; ",""))&amp;IF($W37="","",IF($Y37="","Chưa chọn cách chi trả; ","")))</f>
        <v/>
      </c>
    </row>
    <row r="38">
      <c r="A38" s="145">
        <f>IF('DM_NHAN_SU'!$B38="","",ROW()-5)</f>
        <v/>
      </c>
      <c r="B38" s="145">
        <f>IF('DM_NHAN_SU'!$B38="","",'DM_NHAN_SU'!B38)</f>
        <v/>
      </c>
      <c r="C38" s="145">
        <f>IF('DM_NHAN_SU'!$B38="","",'DM_NHAN_SU'!C38)</f>
        <v/>
      </c>
      <c r="D38" s="227" t="n"/>
      <c r="E38" s="222" t="n"/>
      <c r="F38" s="224">
        <f>IF($B38="","",$D38*$E38/24*75%)</f>
        <v/>
      </c>
      <c r="G38" s="227" t="n"/>
      <c r="H38" s="227" t="n"/>
      <c r="I38" s="233">
        <f>IF($B38="","",IF($H38&gt;=30,65%,IF($H38&gt;=15,55%,50%)))</f>
        <v/>
      </c>
      <c r="J38" s="224">
        <f>IF($B38="","",$G38*$E38/24*$I38)</f>
        <v/>
      </c>
      <c r="K38" s="227" t="n"/>
      <c r="L38" s="224">
        <f>IF($B38="","",$K38*$E38/24)</f>
        <v/>
      </c>
      <c r="M38" s="227" t="n"/>
      <c r="N38" s="232">
        <f>IF($B38="","",$M38*'THAM_SO'!$M$27)</f>
        <v/>
      </c>
      <c r="O38" s="227" t="n"/>
      <c r="P38" s="222" t="n"/>
      <c r="Q38" s="227" t="n"/>
      <c r="R38" s="227" t="n"/>
      <c r="S38" s="227" t="n"/>
      <c r="T38" s="227" t="n"/>
      <c r="U38" s="224">
        <f>IF($B38="","",$O38*$P38+$Q38*$P38/24+$R38*$P38/30+$S38*'THAM_SO'!$M$6*2+$T38*'THAM_SO'!$M$27)</f>
        <v/>
      </c>
      <c r="V38" s="224">
        <f>IF($B38="","",SUM($F38,$J38,$L38,$N38,$U38))</f>
        <v/>
      </c>
      <c r="W38" s="222" t="n"/>
      <c r="X38" s="224">
        <f>IF(OR($B38="",$W38=""),"",$W38-$V38)</f>
        <v/>
      </c>
      <c r="Y38" s="127" t="n"/>
      <c r="Z38" s="127" t="n"/>
      <c r="AA38" s="150">
        <f>IF($B38="","",IF(AND(SUM($D38,$G38,$K38)&gt;0,$E38&lt;=0),"Thiếu mức đóng BH tháng trước; ","")&amp;IF(AND(SUM($O38:$R38)&gt;0,$P38&lt;=0),"Thiếu bình quân 06 tháng; ","")&amp;IF($K38&gt;0,"Mức 100% chỉ dùng đúng đối tượng luật định; ","")&amp;IF($W38="","",IF(ABS($X38)&gt;1,"Thực tế khác ước tính; ",""))&amp;IF($W38="","",IF($Y38="","Chưa chọn cách chi trả; ","")))</f>
        <v/>
      </c>
    </row>
    <row r="39">
      <c r="A39" s="145">
        <f>IF('DM_NHAN_SU'!$B39="","",ROW()-5)</f>
        <v/>
      </c>
      <c r="B39" s="145">
        <f>IF('DM_NHAN_SU'!$B39="","",'DM_NHAN_SU'!B39)</f>
        <v/>
      </c>
      <c r="C39" s="145">
        <f>IF('DM_NHAN_SU'!$B39="","",'DM_NHAN_SU'!C39)</f>
        <v/>
      </c>
      <c r="D39" s="227" t="n"/>
      <c r="E39" s="222" t="n"/>
      <c r="F39" s="224">
        <f>IF($B39="","",$D39*$E39/24*75%)</f>
        <v/>
      </c>
      <c r="G39" s="227" t="n"/>
      <c r="H39" s="227" t="n"/>
      <c r="I39" s="233">
        <f>IF($B39="","",IF($H39&gt;=30,65%,IF($H39&gt;=15,55%,50%)))</f>
        <v/>
      </c>
      <c r="J39" s="224">
        <f>IF($B39="","",$G39*$E39/24*$I39)</f>
        <v/>
      </c>
      <c r="K39" s="227" t="n"/>
      <c r="L39" s="224">
        <f>IF($B39="","",$K39*$E39/24)</f>
        <v/>
      </c>
      <c r="M39" s="227" t="n"/>
      <c r="N39" s="232">
        <f>IF($B39="","",$M39*'THAM_SO'!$M$27)</f>
        <v/>
      </c>
      <c r="O39" s="227" t="n"/>
      <c r="P39" s="222" t="n"/>
      <c r="Q39" s="227" t="n"/>
      <c r="R39" s="227" t="n"/>
      <c r="S39" s="227" t="n"/>
      <c r="T39" s="227" t="n"/>
      <c r="U39" s="224">
        <f>IF($B39="","",$O39*$P39+$Q39*$P39/24+$R39*$P39/30+$S39*'THAM_SO'!$M$6*2+$T39*'THAM_SO'!$M$27)</f>
        <v/>
      </c>
      <c r="V39" s="224">
        <f>IF($B39="","",SUM($F39,$J39,$L39,$N39,$U39))</f>
        <v/>
      </c>
      <c r="W39" s="222" t="n"/>
      <c r="X39" s="224">
        <f>IF(OR($B39="",$W39=""),"",$W39-$V39)</f>
        <v/>
      </c>
      <c r="Y39" s="127" t="n"/>
      <c r="Z39" s="127" t="n"/>
      <c r="AA39" s="150">
        <f>IF($B39="","",IF(AND(SUM($D39,$G39,$K39)&gt;0,$E39&lt;=0),"Thiếu mức đóng BH tháng trước; ","")&amp;IF(AND(SUM($O39:$R39)&gt;0,$P39&lt;=0),"Thiếu bình quân 06 tháng; ","")&amp;IF($K39&gt;0,"Mức 100% chỉ dùng đúng đối tượng luật định; ","")&amp;IF($W39="","",IF(ABS($X39)&gt;1,"Thực tế khác ước tính; ",""))&amp;IF($W39="","",IF($Y39="","Chưa chọn cách chi trả; ","")))</f>
        <v/>
      </c>
    </row>
    <row r="40">
      <c r="A40" s="145">
        <f>IF('DM_NHAN_SU'!$B40="","",ROW()-5)</f>
        <v/>
      </c>
      <c r="B40" s="145">
        <f>IF('DM_NHAN_SU'!$B40="","",'DM_NHAN_SU'!B40)</f>
        <v/>
      </c>
      <c r="C40" s="145">
        <f>IF('DM_NHAN_SU'!$B40="","",'DM_NHAN_SU'!C40)</f>
        <v/>
      </c>
      <c r="D40" s="227" t="n"/>
      <c r="E40" s="222" t="n"/>
      <c r="F40" s="224">
        <f>IF($B40="","",$D40*$E40/24*75%)</f>
        <v/>
      </c>
      <c r="G40" s="227" t="n"/>
      <c r="H40" s="227" t="n"/>
      <c r="I40" s="233">
        <f>IF($B40="","",IF($H40&gt;=30,65%,IF($H40&gt;=15,55%,50%)))</f>
        <v/>
      </c>
      <c r="J40" s="224">
        <f>IF($B40="","",$G40*$E40/24*$I40)</f>
        <v/>
      </c>
      <c r="K40" s="227" t="n"/>
      <c r="L40" s="224">
        <f>IF($B40="","",$K40*$E40/24)</f>
        <v/>
      </c>
      <c r="M40" s="227" t="n"/>
      <c r="N40" s="232">
        <f>IF($B40="","",$M40*'THAM_SO'!$M$27)</f>
        <v/>
      </c>
      <c r="O40" s="227" t="n"/>
      <c r="P40" s="222" t="n"/>
      <c r="Q40" s="227" t="n"/>
      <c r="R40" s="227" t="n"/>
      <c r="S40" s="227" t="n"/>
      <c r="T40" s="227" t="n"/>
      <c r="U40" s="224">
        <f>IF($B40="","",$O40*$P40+$Q40*$P40/24+$R40*$P40/30+$S40*'THAM_SO'!$M$6*2+$T40*'THAM_SO'!$M$27)</f>
        <v/>
      </c>
      <c r="V40" s="224">
        <f>IF($B40="","",SUM($F40,$J40,$L40,$N40,$U40))</f>
        <v/>
      </c>
      <c r="W40" s="222" t="n"/>
      <c r="X40" s="224">
        <f>IF(OR($B40="",$W40=""),"",$W40-$V40)</f>
        <v/>
      </c>
      <c r="Y40" s="127" t="n"/>
      <c r="Z40" s="127" t="n"/>
      <c r="AA40" s="150">
        <f>IF($B40="","",IF(AND(SUM($D40,$G40,$K40)&gt;0,$E40&lt;=0),"Thiếu mức đóng BH tháng trước; ","")&amp;IF(AND(SUM($O40:$R40)&gt;0,$P40&lt;=0),"Thiếu bình quân 06 tháng; ","")&amp;IF($K40&gt;0,"Mức 100% chỉ dùng đúng đối tượng luật định; ","")&amp;IF($W40="","",IF(ABS($X40)&gt;1,"Thực tế khác ước tính; ",""))&amp;IF($W40="","",IF($Y40="","Chưa chọn cách chi trả; ","")))</f>
        <v/>
      </c>
    </row>
    <row r="41">
      <c r="A41" s="145">
        <f>IF('DM_NHAN_SU'!$B41="","",ROW()-5)</f>
        <v/>
      </c>
      <c r="B41" s="145">
        <f>IF('DM_NHAN_SU'!$B41="","",'DM_NHAN_SU'!B41)</f>
        <v/>
      </c>
      <c r="C41" s="145">
        <f>IF('DM_NHAN_SU'!$B41="","",'DM_NHAN_SU'!C41)</f>
        <v/>
      </c>
      <c r="D41" s="227" t="n"/>
      <c r="E41" s="222" t="n"/>
      <c r="F41" s="224">
        <f>IF($B41="","",$D41*$E41/24*75%)</f>
        <v/>
      </c>
      <c r="G41" s="227" t="n"/>
      <c r="H41" s="227" t="n"/>
      <c r="I41" s="233">
        <f>IF($B41="","",IF($H41&gt;=30,65%,IF($H41&gt;=15,55%,50%)))</f>
        <v/>
      </c>
      <c r="J41" s="224">
        <f>IF($B41="","",$G41*$E41/24*$I41)</f>
        <v/>
      </c>
      <c r="K41" s="227" t="n"/>
      <c r="L41" s="224">
        <f>IF($B41="","",$K41*$E41/24)</f>
        <v/>
      </c>
      <c r="M41" s="227" t="n"/>
      <c r="N41" s="232">
        <f>IF($B41="","",$M41*'THAM_SO'!$M$27)</f>
        <v/>
      </c>
      <c r="O41" s="227" t="n"/>
      <c r="P41" s="222" t="n"/>
      <c r="Q41" s="227" t="n"/>
      <c r="R41" s="227" t="n"/>
      <c r="S41" s="227" t="n"/>
      <c r="T41" s="227" t="n"/>
      <c r="U41" s="224">
        <f>IF($B41="","",$O41*$P41+$Q41*$P41/24+$R41*$P41/30+$S41*'THAM_SO'!$M$6*2+$T41*'THAM_SO'!$M$27)</f>
        <v/>
      </c>
      <c r="V41" s="224">
        <f>IF($B41="","",SUM($F41,$J41,$L41,$N41,$U41))</f>
        <v/>
      </c>
      <c r="W41" s="222" t="n"/>
      <c r="X41" s="224">
        <f>IF(OR($B41="",$W41=""),"",$W41-$V41)</f>
        <v/>
      </c>
      <c r="Y41" s="127" t="n"/>
      <c r="Z41" s="127" t="n"/>
      <c r="AA41" s="150">
        <f>IF($B41="","",IF(AND(SUM($D41,$G41,$K41)&gt;0,$E41&lt;=0),"Thiếu mức đóng BH tháng trước; ","")&amp;IF(AND(SUM($O41:$R41)&gt;0,$P41&lt;=0),"Thiếu bình quân 06 tháng; ","")&amp;IF($K41&gt;0,"Mức 100% chỉ dùng đúng đối tượng luật định; ","")&amp;IF($W41="","",IF(ABS($X41)&gt;1,"Thực tế khác ước tính; ",""))&amp;IF($W41="","",IF($Y41="","Chưa chọn cách chi trả; ","")))</f>
        <v/>
      </c>
    </row>
    <row r="42">
      <c r="A42" s="145">
        <f>IF('DM_NHAN_SU'!$B42="","",ROW()-5)</f>
        <v/>
      </c>
      <c r="B42" s="145">
        <f>IF('DM_NHAN_SU'!$B42="","",'DM_NHAN_SU'!B42)</f>
        <v/>
      </c>
      <c r="C42" s="145">
        <f>IF('DM_NHAN_SU'!$B42="","",'DM_NHAN_SU'!C42)</f>
        <v/>
      </c>
      <c r="D42" s="227" t="n"/>
      <c r="E42" s="222" t="n"/>
      <c r="F42" s="224">
        <f>IF($B42="","",$D42*$E42/24*75%)</f>
        <v/>
      </c>
      <c r="G42" s="227" t="n"/>
      <c r="H42" s="227" t="n"/>
      <c r="I42" s="233">
        <f>IF($B42="","",IF($H42&gt;=30,65%,IF($H42&gt;=15,55%,50%)))</f>
        <v/>
      </c>
      <c r="J42" s="224">
        <f>IF($B42="","",$G42*$E42/24*$I42)</f>
        <v/>
      </c>
      <c r="K42" s="227" t="n"/>
      <c r="L42" s="224">
        <f>IF($B42="","",$K42*$E42/24)</f>
        <v/>
      </c>
      <c r="M42" s="227" t="n"/>
      <c r="N42" s="232">
        <f>IF($B42="","",$M42*'THAM_SO'!$M$27)</f>
        <v/>
      </c>
      <c r="O42" s="227" t="n"/>
      <c r="P42" s="222" t="n"/>
      <c r="Q42" s="227" t="n"/>
      <c r="R42" s="227" t="n"/>
      <c r="S42" s="227" t="n"/>
      <c r="T42" s="227" t="n"/>
      <c r="U42" s="224">
        <f>IF($B42="","",$O42*$P42+$Q42*$P42/24+$R42*$P42/30+$S42*'THAM_SO'!$M$6*2+$T42*'THAM_SO'!$M$27)</f>
        <v/>
      </c>
      <c r="V42" s="224">
        <f>IF($B42="","",SUM($F42,$J42,$L42,$N42,$U42))</f>
        <v/>
      </c>
      <c r="W42" s="222" t="n"/>
      <c r="X42" s="224">
        <f>IF(OR($B42="",$W42=""),"",$W42-$V42)</f>
        <v/>
      </c>
      <c r="Y42" s="127" t="n"/>
      <c r="Z42" s="127" t="n"/>
      <c r="AA42" s="150">
        <f>IF($B42="","",IF(AND(SUM($D42,$G42,$K42)&gt;0,$E42&lt;=0),"Thiếu mức đóng BH tháng trước; ","")&amp;IF(AND(SUM($O42:$R42)&gt;0,$P42&lt;=0),"Thiếu bình quân 06 tháng; ","")&amp;IF($K42&gt;0,"Mức 100% chỉ dùng đúng đối tượng luật định; ","")&amp;IF($W42="","",IF(ABS($X42)&gt;1,"Thực tế khác ước tính; ",""))&amp;IF($W42="","",IF($Y42="","Chưa chọn cách chi trả; ","")))</f>
        <v/>
      </c>
    </row>
    <row r="43">
      <c r="A43" s="145">
        <f>IF('DM_NHAN_SU'!$B43="","",ROW()-5)</f>
        <v/>
      </c>
      <c r="B43" s="145">
        <f>IF('DM_NHAN_SU'!$B43="","",'DM_NHAN_SU'!B43)</f>
        <v/>
      </c>
      <c r="C43" s="145">
        <f>IF('DM_NHAN_SU'!$B43="","",'DM_NHAN_SU'!C43)</f>
        <v/>
      </c>
      <c r="D43" s="227" t="n"/>
      <c r="E43" s="222" t="n"/>
      <c r="F43" s="224">
        <f>IF($B43="","",$D43*$E43/24*75%)</f>
        <v/>
      </c>
      <c r="G43" s="227" t="n"/>
      <c r="H43" s="227" t="n"/>
      <c r="I43" s="233">
        <f>IF($B43="","",IF($H43&gt;=30,65%,IF($H43&gt;=15,55%,50%)))</f>
        <v/>
      </c>
      <c r="J43" s="224">
        <f>IF($B43="","",$G43*$E43/24*$I43)</f>
        <v/>
      </c>
      <c r="K43" s="227" t="n"/>
      <c r="L43" s="224">
        <f>IF($B43="","",$K43*$E43/24)</f>
        <v/>
      </c>
      <c r="M43" s="227" t="n"/>
      <c r="N43" s="232">
        <f>IF($B43="","",$M43*'THAM_SO'!$M$27)</f>
        <v/>
      </c>
      <c r="O43" s="227" t="n"/>
      <c r="P43" s="222" t="n"/>
      <c r="Q43" s="227" t="n"/>
      <c r="R43" s="227" t="n"/>
      <c r="S43" s="227" t="n"/>
      <c r="T43" s="227" t="n"/>
      <c r="U43" s="224">
        <f>IF($B43="","",$O43*$P43+$Q43*$P43/24+$R43*$P43/30+$S43*'THAM_SO'!$M$6*2+$T43*'THAM_SO'!$M$27)</f>
        <v/>
      </c>
      <c r="V43" s="224">
        <f>IF($B43="","",SUM($F43,$J43,$L43,$N43,$U43))</f>
        <v/>
      </c>
      <c r="W43" s="222" t="n"/>
      <c r="X43" s="224">
        <f>IF(OR($B43="",$W43=""),"",$W43-$V43)</f>
        <v/>
      </c>
      <c r="Y43" s="127" t="n"/>
      <c r="Z43" s="127" t="n"/>
      <c r="AA43" s="150">
        <f>IF($B43="","",IF(AND(SUM($D43,$G43,$K43)&gt;0,$E43&lt;=0),"Thiếu mức đóng BH tháng trước; ","")&amp;IF(AND(SUM($O43:$R43)&gt;0,$P43&lt;=0),"Thiếu bình quân 06 tháng; ","")&amp;IF($K43&gt;0,"Mức 100% chỉ dùng đúng đối tượng luật định; ","")&amp;IF($W43="","",IF(ABS($X43)&gt;1,"Thực tế khác ước tính; ",""))&amp;IF($W43="","",IF($Y43="","Chưa chọn cách chi trả; ","")))</f>
        <v/>
      </c>
    </row>
    <row r="44">
      <c r="A44" s="145">
        <f>IF('DM_NHAN_SU'!$B44="","",ROW()-5)</f>
        <v/>
      </c>
      <c r="B44" s="145">
        <f>IF('DM_NHAN_SU'!$B44="","",'DM_NHAN_SU'!B44)</f>
        <v/>
      </c>
      <c r="C44" s="145">
        <f>IF('DM_NHAN_SU'!$B44="","",'DM_NHAN_SU'!C44)</f>
        <v/>
      </c>
      <c r="D44" s="227" t="n"/>
      <c r="E44" s="222" t="n"/>
      <c r="F44" s="224">
        <f>IF($B44="","",$D44*$E44/24*75%)</f>
        <v/>
      </c>
      <c r="G44" s="227" t="n"/>
      <c r="H44" s="227" t="n"/>
      <c r="I44" s="233">
        <f>IF($B44="","",IF($H44&gt;=30,65%,IF($H44&gt;=15,55%,50%)))</f>
        <v/>
      </c>
      <c r="J44" s="224">
        <f>IF($B44="","",$G44*$E44/24*$I44)</f>
        <v/>
      </c>
      <c r="K44" s="227" t="n"/>
      <c r="L44" s="224">
        <f>IF($B44="","",$K44*$E44/24)</f>
        <v/>
      </c>
      <c r="M44" s="227" t="n"/>
      <c r="N44" s="232">
        <f>IF($B44="","",$M44*'THAM_SO'!$M$27)</f>
        <v/>
      </c>
      <c r="O44" s="227" t="n"/>
      <c r="P44" s="222" t="n"/>
      <c r="Q44" s="227" t="n"/>
      <c r="R44" s="227" t="n"/>
      <c r="S44" s="227" t="n"/>
      <c r="T44" s="227" t="n"/>
      <c r="U44" s="224">
        <f>IF($B44="","",$O44*$P44+$Q44*$P44/24+$R44*$P44/30+$S44*'THAM_SO'!$M$6*2+$T44*'THAM_SO'!$M$27)</f>
        <v/>
      </c>
      <c r="V44" s="224">
        <f>IF($B44="","",SUM($F44,$J44,$L44,$N44,$U44))</f>
        <v/>
      </c>
      <c r="W44" s="222" t="n"/>
      <c r="X44" s="224">
        <f>IF(OR($B44="",$W44=""),"",$W44-$V44)</f>
        <v/>
      </c>
      <c r="Y44" s="127" t="n"/>
      <c r="Z44" s="127" t="n"/>
      <c r="AA44" s="150">
        <f>IF($B44="","",IF(AND(SUM($D44,$G44,$K44)&gt;0,$E44&lt;=0),"Thiếu mức đóng BH tháng trước; ","")&amp;IF(AND(SUM($O44:$R44)&gt;0,$P44&lt;=0),"Thiếu bình quân 06 tháng; ","")&amp;IF($K44&gt;0,"Mức 100% chỉ dùng đúng đối tượng luật định; ","")&amp;IF($W44="","",IF(ABS($X44)&gt;1,"Thực tế khác ước tính; ",""))&amp;IF($W44="","",IF($Y44="","Chưa chọn cách chi trả; ","")))</f>
        <v/>
      </c>
    </row>
    <row r="45">
      <c r="A45" s="145">
        <f>IF('DM_NHAN_SU'!$B45="","",ROW()-5)</f>
        <v/>
      </c>
      <c r="B45" s="145">
        <f>IF('DM_NHAN_SU'!$B45="","",'DM_NHAN_SU'!B45)</f>
        <v/>
      </c>
      <c r="C45" s="145">
        <f>IF('DM_NHAN_SU'!$B45="","",'DM_NHAN_SU'!C45)</f>
        <v/>
      </c>
      <c r="D45" s="227" t="n"/>
      <c r="E45" s="222" t="n"/>
      <c r="F45" s="224">
        <f>IF($B45="","",$D45*$E45/24*75%)</f>
        <v/>
      </c>
      <c r="G45" s="227" t="n"/>
      <c r="H45" s="227" t="n"/>
      <c r="I45" s="233">
        <f>IF($B45="","",IF($H45&gt;=30,65%,IF($H45&gt;=15,55%,50%)))</f>
        <v/>
      </c>
      <c r="J45" s="224">
        <f>IF($B45="","",$G45*$E45/24*$I45)</f>
        <v/>
      </c>
      <c r="K45" s="227" t="n"/>
      <c r="L45" s="224">
        <f>IF($B45="","",$K45*$E45/24)</f>
        <v/>
      </c>
      <c r="M45" s="227" t="n"/>
      <c r="N45" s="232">
        <f>IF($B45="","",$M45*'THAM_SO'!$M$27)</f>
        <v/>
      </c>
      <c r="O45" s="227" t="n"/>
      <c r="P45" s="222" t="n"/>
      <c r="Q45" s="227" t="n"/>
      <c r="R45" s="227" t="n"/>
      <c r="S45" s="227" t="n"/>
      <c r="T45" s="227" t="n"/>
      <c r="U45" s="224">
        <f>IF($B45="","",$O45*$P45+$Q45*$P45/24+$R45*$P45/30+$S45*'THAM_SO'!$M$6*2+$T45*'THAM_SO'!$M$27)</f>
        <v/>
      </c>
      <c r="V45" s="224">
        <f>IF($B45="","",SUM($F45,$J45,$L45,$N45,$U45))</f>
        <v/>
      </c>
      <c r="W45" s="222" t="n"/>
      <c r="X45" s="224">
        <f>IF(OR($B45="",$W45=""),"",$W45-$V45)</f>
        <v/>
      </c>
      <c r="Y45" s="127" t="n"/>
      <c r="Z45" s="127" t="n"/>
      <c r="AA45" s="150">
        <f>IF($B45="","",IF(AND(SUM($D45,$G45,$K45)&gt;0,$E45&lt;=0),"Thiếu mức đóng BH tháng trước; ","")&amp;IF(AND(SUM($O45:$R45)&gt;0,$P45&lt;=0),"Thiếu bình quân 06 tháng; ","")&amp;IF($K45&gt;0,"Mức 100% chỉ dùng đúng đối tượng luật định; ","")&amp;IF($W45="","",IF(ABS($X45)&gt;1,"Thực tế khác ước tính; ",""))&amp;IF($W45="","",IF($Y45="","Chưa chọn cách chi trả; ","")))</f>
        <v/>
      </c>
    </row>
    <row r="46">
      <c r="A46" s="145">
        <f>IF('DM_NHAN_SU'!$B46="","",ROW()-5)</f>
        <v/>
      </c>
      <c r="B46" s="145">
        <f>IF('DM_NHAN_SU'!$B46="","",'DM_NHAN_SU'!B46)</f>
        <v/>
      </c>
      <c r="C46" s="145">
        <f>IF('DM_NHAN_SU'!$B46="","",'DM_NHAN_SU'!C46)</f>
        <v/>
      </c>
      <c r="D46" s="227" t="n"/>
      <c r="E46" s="222" t="n"/>
      <c r="F46" s="224">
        <f>IF($B46="","",$D46*$E46/24*75%)</f>
        <v/>
      </c>
      <c r="G46" s="227" t="n"/>
      <c r="H46" s="227" t="n"/>
      <c r="I46" s="233">
        <f>IF($B46="","",IF($H46&gt;=30,65%,IF($H46&gt;=15,55%,50%)))</f>
        <v/>
      </c>
      <c r="J46" s="224">
        <f>IF($B46="","",$G46*$E46/24*$I46)</f>
        <v/>
      </c>
      <c r="K46" s="227" t="n"/>
      <c r="L46" s="224">
        <f>IF($B46="","",$K46*$E46/24)</f>
        <v/>
      </c>
      <c r="M46" s="227" t="n"/>
      <c r="N46" s="232">
        <f>IF($B46="","",$M46*'THAM_SO'!$M$27)</f>
        <v/>
      </c>
      <c r="O46" s="227" t="n"/>
      <c r="P46" s="222" t="n"/>
      <c r="Q46" s="227" t="n"/>
      <c r="R46" s="227" t="n"/>
      <c r="S46" s="227" t="n"/>
      <c r="T46" s="227" t="n"/>
      <c r="U46" s="224">
        <f>IF($B46="","",$O46*$P46+$Q46*$P46/24+$R46*$P46/30+$S46*'THAM_SO'!$M$6*2+$T46*'THAM_SO'!$M$27)</f>
        <v/>
      </c>
      <c r="V46" s="224">
        <f>IF($B46="","",SUM($F46,$J46,$L46,$N46,$U46))</f>
        <v/>
      </c>
      <c r="W46" s="222" t="n"/>
      <c r="X46" s="224">
        <f>IF(OR($B46="",$W46=""),"",$W46-$V46)</f>
        <v/>
      </c>
      <c r="Y46" s="127" t="n"/>
      <c r="Z46" s="127" t="n"/>
      <c r="AA46" s="150">
        <f>IF($B46="","",IF(AND(SUM($D46,$G46,$K46)&gt;0,$E46&lt;=0),"Thiếu mức đóng BH tháng trước; ","")&amp;IF(AND(SUM($O46:$R46)&gt;0,$P46&lt;=0),"Thiếu bình quân 06 tháng; ","")&amp;IF($K46&gt;0,"Mức 100% chỉ dùng đúng đối tượng luật định; ","")&amp;IF($W46="","",IF(ABS($X46)&gt;1,"Thực tế khác ước tính; ",""))&amp;IF($W46="","",IF($Y46="","Chưa chọn cách chi trả; ","")))</f>
        <v/>
      </c>
    </row>
    <row r="47">
      <c r="A47" s="145">
        <f>IF('DM_NHAN_SU'!$B47="","",ROW()-5)</f>
        <v/>
      </c>
      <c r="B47" s="145">
        <f>IF('DM_NHAN_SU'!$B47="","",'DM_NHAN_SU'!B47)</f>
        <v/>
      </c>
      <c r="C47" s="145">
        <f>IF('DM_NHAN_SU'!$B47="","",'DM_NHAN_SU'!C47)</f>
        <v/>
      </c>
      <c r="D47" s="227" t="n"/>
      <c r="E47" s="222" t="n"/>
      <c r="F47" s="224">
        <f>IF($B47="","",$D47*$E47/24*75%)</f>
        <v/>
      </c>
      <c r="G47" s="227" t="n"/>
      <c r="H47" s="227" t="n"/>
      <c r="I47" s="233">
        <f>IF($B47="","",IF($H47&gt;=30,65%,IF($H47&gt;=15,55%,50%)))</f>
        <v/>
      </c>
      <c r="J47" s="224">
        <f>IF($B47="","",$G47*$E47/24*$I47)</f>
        <v/>
      </c>
      <c r="K47" s="227" t="n"/>
      <c r="L47" s="224">
        <f>IF($B47="","",$K47*$E47/24)</f>
        <v/>
      </c>
      <c r="M47" s="227" t="n"/>
      <c r="N47" s="232">
        <f>IF($B47="","",$M47*'THAM_SO'!$M$27)</f>
        <v/>
      </c>
      <c r="O47" s="227" t="n"/>
      <c r="P47" s="222" t="n"/>
      <c r="Q47" s="227" t="n"/>
      <c r="R47" s="227" t="n"/>
      <c r="S47" s="227" t="n"/>
      <c r="T47" s="227" t="n"/>
      <c r="U47" s="224">
        <f>IF($B47="","",$O47*$P47+$Q47*$P47/24+$R47*$P47/30+$S47*'THAM_SO'!$M$6*2+$T47*'THAM_SO'!$M$27)</f>
        <v/>
      </c>
      <c r="V47" s="224">
        <f>IF($B47="","",SUM($F47,$J47,$L47,$N47,$U47))</f>
        <v/>
      </c>
      <c r="W47" s="222" t="n"/>
      <c r="X47" s="224">
        <f>IF(OR($B47="",$W47=""),"",$W47-$V47)</f>
        <v/>
      </c>
      <c r="Y47" s="127" t="n"/>
      <c r="Z47" s="127" t="n"/>
      <c r="AA47" s="150">
        <f>IF($B47="","",IF(AND(SUM($D47,$G47,$K47)&gt;0,$E47&lt;=0),"Thiếu mức đóng BH tháng trước; ","")&amp;IF(AND(SUM($O47:$R47)&gt;0,$P47&lt;=0),"Thiếu bình quân 06 tháng; ","")&amp;IF($K47&gt;0,"Mức 100% chỉ dùng đúng đối tượng luật định; ","")&amp;IF($W47="","",IF(ABS($X47)&gt;1,"Thực tế khác ước tính; ",""))&amp;IF($W47="","",IF($Y47="","Chưa chọn cách chi trả; ","")))</f>
        <v/>
      </c>
    </row>
    <row r="48">
      <c r="A48" s="145">
        <f>IF('DM_NHAN_SU'!$B48="","",ROW()-5)</f>
        <v/>
      </c>
      <c r="B48" s="145">
        <f>IF('DM_NHAN_SU'!$B48="","",'DM_NHAN_SU'!B48)</f>
        <v/>
      </c>
      <c r="C48" s="145">
        <f>IF('DM_NHAN_SU'!$B48="","",'DM_NHAN_SU'!C48)</f>
        <v/>
      </c>
      <c r="D48" s="227" t="n"/>
      <c r="E48" s="222" t="n"/>
      <c r="F48" s="224">
        <f>IF($B48="","",$D48*$E48/24*75%)</f>
        <v/>
      </c>
      <c r="G48" s="227" t="n"/>
      <c r="H48" s="227" t="n"/>
      <c r="I48" s="233">
        <f>IF($B48="","",IF($H48&gt;=30,65%,IF($H48&gt;=15,55%,50%)))</f>
        <v/>
      </c>
      <c r="J48" s="224">
        <f>IF($B48="","",$G48*$E48/24*$I48)</f>
        <v/>
      </c>
      <c r="K48" s="227" t="n"/>
      <c r="L48" s="224">
        <f>IF($B48="","",$K48*$E48/24)</f>
        <v/>
      </c>
      <c r="M48" s="227" t="n"/>
      <c r="N48" s="232">
        <f>IF($B48="","",$M48*'THAM_SO'!$M$27)</f>
        <v/>
      </c>
      <c r="O48" s="227" t="n"/>
      <c r="P48" s="222" t="n"/>
      <c r="Q48" s="227" t="n"/>
      <c r="R48" s="227" t="n"/>
      <c r="S48" s="227" t="n"/>
      <c r="T48" s="227" t="n"/>
      <c r="U48" s="224">
        <f>IF($B48="","",$O48*$P48+$Q48*$P48/24+$R48*$P48/30+$S48*'THAM_SO'!$M$6*2+$T48*'THAM_SO'!$M$27)</f>
        <v/>
      </c>
      <c r="V48" s="224">
        <f>IF($B48="","",SUM($F48,$J48,$L48,$N48,$U48))</f>
        <v/>
      </c>
      <c r="W48" s="222" t="n"/>
      <c r="X48" s="224">
        <f>IF(OR($B48="",$W48=""),"",$W48-$V48)</f>
        <v/>
      </c>
      <c r="Y48" s="127" t="n"/>
      <c r="Z48" s="127" t="n"/>
      <c r="AA48" s="150">
        <f>IF($B48="","",IF(AND(SUM($D48,$G48,$K48)&gt;0,$E48&lt;=0),"Thiếu mức đóng BH tháng trước; ","")&amp;IF(AND(SUM($O48:$R48)&gt;0,$P48&lt;=0),"Thiếu bình quân 06 tháng; ","")&amp;IF($K48&gt;0,"Mức 100% chỉ dùng đúng đối tượng luật định; ","")&amp;IF($W48="","",IF(ABS($X48)&gt;1,"Thực tế khác ước tính; ",""))&amp;IF($W48="","",IF($Y48="","Chưa chọn cách chi trả; ","")))</f>
        <v/>
      </c>
    </row>
    <row r="49">
      <c r="A49" s="145">
        <f>IF('DM_NHAN_SU'!$B49="","",ROW()-5)</f>
        <v/>
      </c>
      <c r="B49" s="145">
        <f>IF('DM_NHAN_SU'!$B49="","",'DM_NHAN_SU'!B49)</f>
        <v/>
      </c>
      <c r="C49" s="145">
        <f>IF('DM_NHAN_SU'!$B49="","",'DM_NHAN_SU'!C49)</f>
        <v/>
      </c>
      <c r="D49" s="227" t="n"/>
      <c r="E49" s="222" t="n"/>
      <c r="F49" s="224">
        <f>IF($B49="","",$D49*$E49/24*75%)</f>
        <v/>
      </c>
      <c r="G49" s="227" t="n"/>
      <c r="H49" s="227" t="n"/>
      <c r="I49" s="233">
        <f>IF($B49="","",IF($H49&gt;=30,65%,IF($H49&gt;=15,55%,50%)))</f>
        <v/>
      </c>
      <c r="J49" s="224">
        <f>IF($B49="","",$G49*$E49/24*$I49)</f>
        <v/>
      </c>
      <c r="K49" s="227" t="n"/>
      <c r="L49" s="224">
        <f>IF($B49="","",$K49*$E49/24)</f>
        <v/>
      </c>
      <c r="M49" s="227" t="n"/>
      <c r="N49" s="232">
        <f>IF($B49="","",$M49*'THAM_SO'!$M$27)</f>
        <v/>
      </c>
      <c r="O49" s="227" t="n"/>
      <c r="P49" s="222" t="n"/>
      <c r="Q49" s="227" t="n"/>
      <c r="R49" s="227" t="n"/>
      <c r="S49" s="227" t="n"/>
      <c r="T49" s="227" t="n"/>
      <c r="U49" s="224">
        <f>IF($B49="","",$O49*$P49+$Q49*$P49/24+$R49*$P49/30+$S49*'THAM_SO'!$M$6*2+$T49*'THAM_SO'!$M$27)</f>
        <v/>
      </c>
      <c r="V49" s="224">
        <f>IF($B49="","",SUM($F49,$J49,$L49,$N49,$U49))</f>
        <v/>
      </c>
      <c r="W49" s="222" t="n"/>
      <c r="X49" s="224">
        <f>IF(OR($B49="",$W49=""),"",$W49-$V49)</f>
        <v/>
      </c>
      <c r="Y49" s="127" t="n"/>
      <c r="Z49" s="127" t="n"/>
      <c r="AA49" s="150">
        <f>IF($B49="","",IF(AND(SUM($D49,$G49,$K49)&gt;0,$E49&lt;=0),"Thiếu mức đóng BH tháng trước; ","")&amp;IF(AND(SUM($O49:$R49)&gt;0,$P49&lt;=0),"Thiếu bình quân 06 tháng; ","")&amp;IF($K49&gt;0,"Mức 100% chỉ dùng đúng đối tượng luật định; ","")&amp;IF($W49="","",IF(ABS($X49)&gt;1,"Thực tế khác ước tính; ",""))&amp;IF($W49="","",IF($Y49="","Chưa chọn cách chi trả; ","")))</f>
        <v/>
      </c>
    </row>
    <row r="50">
      <c r="A50" s="145">
        <f>IF('DM_NHAN_SU'!$B50="","",ROW()-5)</f>
        <v/>
      </c>
      <c r="B50" s="145">
        <f>IF('DM_NHAN_SU'!$B50="","",'DM_NHAN_SU'!B50)</f>
        <v/>
      </c>
      <c r="C50" s="145">
        <f>IF('DM_NHAN_SU'!$B50="","",'DM_NHAN_SU'!C50)</f>
        <v/>
      </c>
      <c r="D50" s="227" t="n"/>
      <c r="E50" s="222" t="n"/>
      <c r="F50" s="224">
        <f>IF($B50="","",$D50*$E50/24*75%)</f>
        <v/>
      </c>
      <c r="G50" s="227" t="n"/>
      <c r="H50" s="227" t="n"/>
      <c r="I50" s="233">
        <f>IF($B50="","",IF($H50&gt;=30,65%,IF($H50&gt;=15,55%,50%)))</f>
        <v/>
      </c>
      <c r="J50" s="224">
        <f>IF($B50="","",$G50*$E50/24*$I50)</f>
        <v/>
      </c>
      <c r="K50" s="227" t="n"/>
      <c r="L50" s="224">
        <f>IF($B50="","",$K50*$E50/24)</f>
        <v/>
      </c>
      <c r="M50" s="227" t="n"/>
      <c r="N50" s="232">
        <f>IF($B50="","",$M50*'THAM_SO'!$M$27)</f>
        <v/>
      </c>
      <c r="O50" s="227" t="n"/>
      <c r="P50" s="222" t="n"/>
      <c r="Q50" s="227" t="n"/>
      <c r="R50" s="227" t="n"/>
      <c r="S50" s="227" t="n"/>
      <c r="T50" s="227" t="n"/>
      <c r="U50" s="224">
        <f>IF($B50="","",$O50*$P50+$Q50*$P50/24+$R50*$P50/30+$S50*'THAM_SO'!$M$6*2+$T50*'THAM_SO'!$M$27)</f>
        <v/>
      </c>
      <c r="V50" s="224">
        <f>IF($B50="","",SUM($F50,$J50,$L50,$N50,$U50))</f>
        <v/>
      </c>
      <c r="W50" s="222" t="n"/>
      <c r="X50" s="224">
        <f>IF(OR($B50="",$W50=""),"",$W50-$V50)</f>
        <v/>
      </c>
      <c r="Y50" s="127" t="n"/>
      <c r="Z50" s="127" t="n"/>
      <c r="AA50" s="150">
        <f>IF($B50="","",IF(AND(SUM($D50,$G50,$K50)&gt;0,$E50&lt;=0),"Thiếu mức đóng BH tháng trước; ","")&amp;IF(AND(SUM($O50:$R50)&gt;0,$P50&lt;=0),"Thiếu bình quân 06 tháng; ","")&amp;IF($K50&gt;0,"Mức 100% chỉ dùng đúng đối tượng luật định; ","")&amp;IF($W50="","",IF(ABS($X50)&gt;1,"Thực tế khác ước tính; ",""))&amp;IF($W50="","",IF($Y50="","Chưa chọn cách chi trả; ","")))</f>
        <v/>
      </c>
    </row>
    <row r="51">
      <c r="A51" s="145">
        <f>IF('DM_NHAN_SU'!$B51="","",ROW()-5)</f>
        <v/>
      </c>
      <c r="B51" s="145">
        <f>IF('DM_NHAN_SU'!$B51="","",'DM_NHAN_SU'!B51)</f>
        <v/>
      </c>
      <c r="C51" s="145">
        <f>IF('DM_NHAN_SU'!$B51="","",'DM_NHAN_SU'!C51)</f>
        <v/>
      </c>
      <c r="D51" s="227" t="n"/>
      <c r="E51" s="222" t="n"/>
      <c r="F51" s="224">
        <f>IF($B51="","",$D51*$E51/24*75%)</f>
        <v/>
      </c>
      <c r="G51" s="227" t="n"/>
      <c r="H51" s="227" t="n"/>
      <c r="I51" s="233">
        <f>IF($B51="","",IF($H51&gt;=30,65%,IF($H51&gt;=15,55%,50%)))</f>
        <v/>
      </c>
      <c r="J51" s="224">
        <f>IF($B51="","",$G51*$E51/24*$I51)</f>
        <v/>
      </c>
      <c r="K51" s="227" t="n"/>
      <c r="L51" s="224">
        <f>IF($B51="","",$K51*$E51/24)</f>
        <v/>
      </c>
      <c r="M51" s="227" t="n"/>
      <c r="N51" s="232">
        <f>IF($B51="","",$M51*'THAM_SO'!$M$27)</f>
        <v/>
      </c>
      <c r="O51" s="227" t="n"/>
      <c r="P51" s="222" t="n"/>
      <c r="Q51" s="227" t="n"/>
      <c r="R51" s="227" t="n"/>
      <c r="S51" s="227" t="n"/>
      <c r="T51" s="227" t="n"/>
      <c r="U51" s="224">
        <f>IF($B51="","",$O51*$P51+$Q51*$P51/24+$R51*$P51/30+$S51*'THAM_SO'!$M$6*2+$T51*'THAM_SO'!$M$27)</f>
        <v/>
      </c>
      <c r="V51" s="224">
        <f>IF($B51="","",SUM($F51,$J51,$L51,$N51,$U51))</f>
        <v/>
      </c>
      <c r="W51" s="222" t="n"/>
      <c r="X51" s="224">
        <f>IF(OR($B51="",$W51=""),"",$W51-$V51)</f>
        <v/>
      </c>
      <c r="Y51" s="127" t="n"/>
      <c r="Z51" s="127" t="n"/>
      <c r="AA51" s="150">
        <f>IF($B51="","",IF(AND(SUM($D51,$G51,$K51)&gt;0,$E51&lt;=0),"Thiếu mức đóng BH tháng trước; ","")&amp;IF(AND(SUM($O51:$R51)&gt;0,$P51&lt;=0),"Thiếu bình quân 06 tháng; ","")&amp;IF($K51&gt;0,"Mức 100% chỉ dùng đúng đối tượng luật định; ","")&amp;IF($W51="","",IF(ABS($X51)&gt;1,"Thực tế khác ước tính; ",""))&amp;IF($W51="","",IF($Y51="","Chưa chọn cách chi trả; ","")))</f>
        <v/>
      </c>
    </row>
    <row r="52">
      <c r="A52" s="145">
        <f>IF('DM_NHAN_SU'!$B52="","",ROW()-5)</f>
        <v/>
      </c>
      <c r="B52" s="145">
        <f>IF('DM_NHAN_SU'!$B52="","",'DM_NHAN_SU'!B52)</f>
        <v/>
      </c>
      <c r="C52" s="145">
        <f>IF('DM_NHAN_SU'!$B52="","",'DM_NHAN_SU'!C52)</f>
        <v/>
      </c>
      <c r="D52" s="227" t="n"/>
      <c r="E52" s="222" t="n"/>
      <c r="F52" s="224">
        <f>IF($B52="","",$D52*$E52/24*75%)</f>
        <v/>
      </c>
      <c r="G52" s="227" t="n"/>
      <c r="H52" s="227" t="n"/>
      <c r="I52" s="233">
        <f>IF($B52="","",IF($H52&gt;=30,65%,IF($H52&gt;=15,55%,50%)))</f>
        <v/>
      </c>
      <c r="J52" s="224">
        <f>IF($B52="","",$G52*$E52/24*$I52)</f>
        <v/>
      </c>
      <c r="K52" s="227" t="n"/>
      <c r="L52" s="224">
        <f>IF($B52="","",$K52*$E52/24)</f>
        <v/>
      </c>
      <c r="M52" s="227" t="n"/>
      <c r="N52" s="232">
        <f>IF($B52="","",$M52*'THAM_SO'!$M$27)</f>
        <v/>
      </c>
      <c r="O52" s="227" t="n"/>
      <c r="P52" s="222" t="n"/>
      <c r="Q52" s="227" t="n"/>
      <c r="R52" s="227" t="n"/>
      <c r="S52" s="227" t="n"/>
      <c r="T52" s="227" t="n"/>
      <c r="U52" s="224">
        <f>IF($B52="","",$O52*$P52+$Q52*$P52/24+$R52*$P52/30+$S52*'THAM_SO'!$M$6*2+$T52*'THAM_SO'!$M$27)</f>
        <v/>
      </c>
      <c r="V52" s="224">
        <f>IF($B52="","",SUM($F52,$J52,$L52,$N52,$U52))</f>
        <v/>
      </c>
      <c r="W52" s="222" t="n"/>
      <c r="X52" s="224">
        <f>IF(OR($B52="",$W52=""),"",$W52-$V52)</f>
        <v/>
      </c>
      <c r="Y52" s="127" t="n"/>
      <c r="Z52" s="127" t="n"/>
      <c r="AA52" s="150">
        <f>IF($B52="","",IF(AND(SUM($D52,$G52,$K52)&gt;0,$E52&lt;=0),"Thiếu mức đóng BH tháng trước; ","")&amp;IF(AND(SUM($O52:$R52)&gt;0,$P52&lt;=0),"Thiếu bình quân 06 tháng; ","")&amp;IF($K52&gt;0,"Mức 100% chỉ dùng đúng đối tượng luật định; ","")&amp;IF($W52="","",IF(ABS($X52)&gt;1,"Thực tế khác ước tính; ",""))&amp;IF($W52="","",IF($Y52="","Chưa chọn cách chi trả; ","")))</f>
        <v/>
      </c>
    </row>
    <row r="53">
      <c r="A53" s="145">
        <f>IF('DM_NHAN_SU'!$B53="","",ROW()-5)</f>
        <v/>
      </c>
      <c r="B53" s="145">
        <f>IF('DM_NHAN_SU'!$B53="","",'DM_NHAN_SU'!B53)</f>
        <v/>
      </c>
      <c r="C53" s="145">
        <f>IF('DM_NHAN_SU'!$B53="","",'DM_NHAN_SU'!C53)</f>
        <v/>
      </c>
      <c r="D53" s="227" t="n"/>
      <c r="E53" s="222" t="n"/>
      <c r="F53" s="224">
        <f>IF($B53="","",$D53*$E53/24*75%)</f>
        <v/>
      </c>
      <c r="G53" s="227" t="n"/>
      <c r="H53" s="227" t="n"/>
      <c r="I53" s="233">
        <f>IF($B53="","",IF($H53&gt;=30,65%,IF($H53&gt;=15,55%,50%)))</f>
        <v/>
      </c>
      <c r="J53" s="224">
        <f>IF($B53="","",$G53*$E53/24*$I53)</f>
        <v/>
      </c>
      <c r="K53" s="227" t="n"/>
      <c r="L53" s="224">
        <f>IF($B53="","",$K53*$E53/24)</f>
        <v/>
      </c>
      <c r="M53" s="227" t="n"/>
      <c r="N53" s="232">
        <f>IF($B53="","",$M53*'THAM_SO'!$M$27)</f>
        <v/>
      </c>
      <c r="O53" s="227" t="n"/>
      <c r="P53" s="222" t="n"/>
      <c r="Q53" s="227" t="n"/>
      <c r="R53" s="227" t="n"/>
      <c r="S53" s="227" t="n"/>
      <c r="T53" s="227" t="n"/>
      <c r="U53" s="224">
        <f>IF($B53="","",$O53*$P53+$Q53*$P53/24+$R53*$P53/30+$S53*'THAM_SO'!$M$6*2+$T53*'THAM_SO'!$M$27)</f>
        <v/>
      </c>
      <c r="V53" s="224">
        <f>IF($B53="","",SUM($F53,$J53,$L53,$N53,$U53))</f>
        <v/>
      </c>
      <c r="W53" s="222" t="n"/>
      <c r="X53" s="224">
        <f>IF(OR($B53="",$W53=""),"",$W53-$V53)</f>
        <v/>
      </c>
      <c r="Y53" s="127" t="n"/>
      <c r="Z53" s="127" t="n"/>
      <c r="AA53" s="150">
        <f>IF($B53="","",IF(AND(SUM($D53,$G53,$K53)&gt;0,$E53&lt;=0),"Thiếu mức đóng BH tháng trước; ","")&amp;IF(AND(SUM($O53:$R53)&gt;0,$P53&lt;=0),"Thiếu bình quân 06 tháng; ","")&amp;IF($K53&gt;0,"Mức 100% chỉ dùng đúng đối tượng luật định; ","")&amp;IF($W53="","",IF(ABS($X53)&gt;1,"Thực tế khác ước tính; ",""))&amp;IF($W53="","",IF($Y53="","Chưa chọn cách chi trả; ","")))</f>
        <v/>
      </c>
    </row>
    <row r="54">
      <c r="A54" s="145">
        <f>IF('DM_NHAN_SU'!$B54="","",ROW()-5)</f>
        <v/>
      </c>
      <c r="B54" s="145">
        <f>IF('DM_NHAN_SU'!$B54="","",'DM_NHAN_SU'!B54)</f>
        <v/>
      </c>
      <c r="C54" s="145">
        <f>IF('DM_NHAN_SU'!$B54="","",'DM_NHAN_SU'!C54)</f>
        <v/>
      </c>
      <c r="D54" s="227" t="n"/>
      <c r="E54" s="222" t="n"/>
      <c r="F54" s="224">
        <f>IF($B54="","",$D54*$E54/24*75%)</f>
        <v/>
      </c>
      <c r="G54" s="227" t="n"/>
      <c r="H54" s="227" t="n"/>
      <c r="I54" s="233">
        <f>IF($B54="","",IF($H54&gt;=30,65%,IF($H54&gt;=15,55%,50%)))</f>
        <v/>
      </c>
      <c r="J54" s="224">
        <f>IF($B54="","",$G54*$E54/24*$I54)</f>
        <v/>
      </c>
      <c r="K54" s="227" t="n"/>
      <c r="L54" s="224">
        <f>IF($B54="","",$K54*$E54/24)</f>
        <v/>
      </c>
      <c r="M54" s="227" t="n"/>
      <c r="N54" s="232">
        <f>IF($B54="","",$M54*'THAM_SO'!$M$27)</f>
        <v/>
      </c>
      <c r="O54" s="227" t="n"/>
      <c r="P54" s="222" t="n"/>
      <c r="Q54" s="227" t="n"/>
      <c r="R54" s="227" t="n"/>
      <c r="S54" s="227" t="n"/>
      <c r="T54" s="227" t="n"/>
      <c r="U54" s="224">
        <f>IF($B54="","",$O54*$P54+$Q54*$P54/24+$R54*$P54/30+$S54*'THAM_SO'!$M$6*2+$T54*'THAM_SO'!$M$27)</f>
        <v/>
      </c>
      <c r="V54" s="224">
        <f>IF($B54="","",SUM($F54,$J54,$L54,$N54,$U54))</f>
        <v/>
      </c>
      <c r="W54" s="222" t="n"/>
      <c r="X54" s="224">
        <f>IF(OR($B54="",$W54=""),"",$W54-$V54)</f>
        <v/>
      </c>
      <c r="Y54" s="127" t="n"/>
      <c r="Z54" s="127" t="n"/>
      <c r="AA54" s="150">
        <f>IF($B54="","",IF(AND(SUM($D54,$G54,$K54)&gt;0,$E54&lt;=0),"Thiếu mức đóng BH tháng trước; ","")&amp;IF(AND(SUM($O54:$R54)&gt;0,$P54&lt;=0),"Thiếu bình quân 06 tháng; ","")&amp;IF($K54&gt;0,"Mức 100% chỉ dùng đúng đối tượng luật định; ","")&amp;IF($W54="","",IF(ABS($X54)&gt;1,"Thực tế khác ước tính; ",""))&amp;IF($W54="","",IF($Y54="","Chưa chọn cách chi trả; ","")))</f>
        <v/>
      </c>
    </row>
    <row r="55">
      <c r="A55" s="145">
        <f>IF('DM_NHAN_SU'!$B55="","",ROW()-5)</f>
        <v/>
      </c>
      <c r="B55" s="145">
        <f>IF('DM_NHAN_SU'!$B55="","",'DM_NHAN_SU'!B55)</f>
        <v/>
      </c>
      <c r="C55" s="145">
        <f>IF('DM_NHAN_SU'!$B55="","",'DM_NHAN_SU'!C55)</f>
        <v/>
      </c>
      <c r="D55" s="227" t="n"/>
      <c r="E55" s="222" t="n"/>
      <c r="F55" s="224">
        <f>IF($B55="","",$D55*$E55/24*75%)</f>
        <v/>
      </c>
      <c r="G55" s="227" t="n"/>
      <c r="H55" s="227" t="n"/>
      <c r="I55" s="233">
        <f>IF($B55="","",IF($H55&gt;=30,65%,IF($H55&gt;=15,55%,50%)))</f>
        <v/>
      </c>
      <c r="J55" s="224">
        <f>IF($B55="","",$G55*$E55/24*$I55)</f>
        <v/>
      </c>
      <c r="K55" s="227" t="n"/>
      <c r="L55" s="224">
        <f>IF($B55="","",$K55*$E55/24)</f>
        <v/>
      </c>
      <c r="M55" s="227" t="n"/>
      <c r="N55" s="232">
        <f>IF($B55="","",$M55*'THAM_SO'!$M$27)</f>
        <v/>
      </c>
      <c r="O55" s="227" t="n"/>
      <c r="P55" s="222" t="n"/>
      <c r="Q55" s="227" t="n"/>
      <c r="R55" s="227" t="n"/>
      <c r="S55" s="227" t="n"/>
      <c r="T55" s="227" t="n"/>
      <c r="U55" s="224">
        <f>IF($B55="","",$O55*$P55+$Q55*$P55/24+$R55*$P55/30+$S55*'THAM_SO'!$M$6*2+$T55*'THAM_SO'!$M$27)</f>
        <v/>
      </c>
      <c r="V55" s="224">
        <f>IF($B55="","",SUM($F55,$J55,$L55,$N55,$U55))</f>
        <v/>
      </c>
      <c r="W55" s="222" t="n"/>
      <c r="X55" s="224">
        <f>IF(OR($B55="",$W55=""),"",$W55-$V55)</f>
        <v/>
      </c>
      <c r="Y55" s="127" t="n"/>
      <c r="Z55" s="127" t="n"/>
      <c r="AA55" s="150">
        <f>IF($B55="","",IF(AND(SUM($D55,$G55,$K55)&gt;0,$E55&lt;=0),"Thiếu mức đóng BH tháng trước; ","")&amp;IF(AND(SUM($O55:$R55)&gt;0,$P55&lt;=0),"Thiếu bình quân 06 tháng; ","")&amp;IF($K55&gt;0,"Mức 100% chỉ dùng đúng đối tượng luật định; ","")&amp;IF($W55="","",IF(ABS($X55)&gt;1,"Thực tế khác ước tính; ",""))&amp;IF($W55="","",IF($Y55="","Chưa chọn cách chi trả; ","")))</f>
        <v/>
      </c>
    </row>
    <row r="56">
      <c r="A56" s="145">
        <f>IF('DM_NHAN_SU'!$B56="","",ROW()-5)</f>
        <v/>
      </c>
      <c r="B56" s="145">
        <f>IF('DM_NHAN_SU'!$B56="","",'DM_NHAN_SU'!B56)</f>
        <v/>
      </c>
      <c r="C56" s="145">
        <f>IF('DM_NHAN_SU'!$B56="","",'DM_NHAN_SU'!C56)</f>
        <v/>
      </c>
      <c r="D56" s="227" t="n"/>
      <c r="E56" s="222" t="n"/>
      <c r="F56" s="224">
        <f>IF($B56="","",$D56*$E56/24*75%)</f>
        <v/>
      </c>
      <c r="G56" s="227" t="n"/>
      <c r="H56" s="227" t="n"/>
      <c r="I56" s="233">
        <f>IF($B56="","",IF($H56&gt;=30,65%,IF($H56&gt;=15,55%,50%)))</f>
        <v/>
      </c>
      <c r="J56" s="224">
        <f>IF($B56="","",$G56*$E56/24*$I56)</f>
        <v/>
      </c>
      <c r="K56" s="227" t="n"/>
      <c r="L56" s="224">
        <f>IF($B56="","",$K56*$E56/24)</f>
        <v/>
      </c>
      <c r="M56" s="227" t="n"/>
      <c r="N56" s="232">
        <f>IF($B56="","",$M56*'THAM_SO'!$M$27)</f>
        <v/>
      </c>
      <c r="O56" s="227" t="n"/>
      <c r="P56" s="222" t="n"/>
      <c r="Q56" s="227" t="n"/>
      <c r="R56" s="227" t="n"/>
      <c r="S56" s="227" t="n"/>
      <c r="T56" s="227" t="n"/>
      <c r="U56" s="224">
        <f>IF($B56="","",$O56*$P56+$Q56*$P56/24+$R56*$P56/30+$S56*'THAM_SO'!$M$6*2+$T56*'THAM_SO'!$M$27)</f>
        <v/>
      </c>
      <c r="V56" s="224">
        <f>IF($B56="","",SUM($F56,$J56,$L56,$N56,$U56))</f>
        <v/>
      </c>
      <c r="W56" s="222" t="n"/>
      <c r="X56" s="224">
        <f>IF(OR($B56="",$W56=""),"",$W56-$V56)</f>
        <v/>
      </c>
      <c r="Y56" s="127" t="n"/>
      <c r="Z56" s="127" t="n"/>
      <c r="AA56" s="150">
        <f>IF($B56="","",IF(AND(SUM($D56,$G56,$K56)&gt;0,$E56&lt;=0),"Thiếu mức đóng BH tháng trước; ","")&amp;IF(AND(SUM($O56:$R56)&gt;0,$P56&lt;=0),"Thiếu bình quân 06 tháng; ","")&amp;IF($K56&gt;0,"Mức 100% chỉ dùng đúng đối tượng luật định; ","")&amp;IF($W56="","",IF(ABS($X56)&gt;1,"Thực tế khác ước tính; ",""))&amp;IF($W56="","",IF($Y56="","Chưa chọn cách chi trả; ","")))</f>
        <v/>
      </c>
    </row>
    <row r="57">
      <c r="A57" s="145">
        <f>IF('DM_NHAN_SU'!$B57="","",ROW()-5)</f>
        <v/>
      </c>
      <c r="B57" s="145">
        <f>IF('DM_NHAN_SU'!$B57="","",'DM_NHAN_SU'!B57)</f>
        <v/>
      </c>
      <c r="C57" s="145">
        <f>IF('DM_NHAN_SU'!$B57="","",'DM_NHAN_SU'!C57)</f>
        <v/>
      </c>
      <c r="D57" s="227" t="n"/>
      <c r="E57" s="222" t="n"/>
      <c r="F57" s="224">
        <f>IF($B57="","",$D57*$E57/24*75%)</f>
        <v/>
      </c>
      <c r="G57" s="227" t="n"/>
      <c r="H57" s="227" t="n"/>
      <c r="I57" s="233">
        <f>IF($B57="","",IF($H57&gt;=30,65%,IF($H57&gt;=15,55%,50%)))</f>
        <v/>
      </c>
      <c r="J57" s="224">
        <f>IF($B57="","",$G57*$E57/24*$I57)</f>
        <v/>
      </c>
      <c r="K57" s="227" t="n"/>
      <c r="L57" s="224">
        <f>IF($B57="","",$K57*$E57/24)</f>
        <v/>
      </c>
      <c r="M57" s="227" t="n"/>
      <c r="N57" s="232">
        <f>IF($B57="","",$M57*'THAM_SO'!$M$27)</f>
        <v/>
      </c>
      <c r="O57" s="227" t="n"/>
      <c r="P57" s="222" t="n"/>
      <c r="Q57" s="227" t="n"/>
      <c r="R57" s="227" t="n"/>
      <c r="S57" s="227" t="n"/>
      <c r="T57" s="227" t="n"/>
      <c r="U57" s="224">
        <f>IF($B57="","",$O57*$P57+$Q57*$P57/24+$R57*$P57/30+$S57*'THAM_SO'!$M$6*2+$T57*'THAM_SO'!$M$27)</f>
        <v/>
      </c>
      <c r="V57" s="224">
        <f>IF($B57="","",SUM($F57,$J57,$L57,$N57,$U57))</f>
        <v/>
      </c>
      <c r="W57" s="222" t="n"/>
      <c r="X57" s="224">
        <f>IF(OR($B57="",$W57=""),"",$W57-$V57)</f>
        <v/>
      </c>
      <c r="Y57" s="127" t="n"/>
      <c r="Z57" s="127" t="n"/>
      <c r="AA57" s="150">
        <f>IF($B57="","",IF(AND(SUM($D57,$G57,$K57)&gt;0,$E57&lt;=0),"Thiếu mức đóng BH tháng trước; ","")&amp;IF(AND(SUM($O57:$R57)&gt;0,$P57&lt;=0),"Thiếu bình quân 06 tháng; ","")&amp;IF($K57&gt;0,"Mức 100% chỉ dùng đúng đối tượng luật định; ","")&amp;IF($W57="","",IF(ABS($X57)&gt;1,"Thực tế khác ước tính; ",""))&amp;IF($W57="","",IF($Y57="","Chưa chọn cách chi trả; ","")))</f>
        <v/>
      </c>
    </row>
    <row r="58">
      <c r="A58" s="145">
        <f>IF('DM_NHAN_SU'!$B58="","",ROW()-5)</f>
        <v/>
      </c>
      <c r="B58" s="145">
        <f>IF('DM_NHAN_SU'!$B58="","",'DM_NHAN_SU'!B58)</f>
        <v/>
      </c>
      <c r="C58" s="145">
        <f>IF('DM_NHAN_SU'!$B58="","",'DM_NHAN_SU'!C58)</f>
        <v/>
      </c>
      <c r="D58" s="227" t="n"/>
      <c r="E58" s="222" t="n"/>
      <c r="F58" s="224">
        <f>IF($B58="","",$D58*$E58/24*75%)</f>
        <v/>
      </c>
      <c r="G58" s="227" t="n"/>
      <c r="H58" s="227" t="n"/>
      <c r="I58" s="233">
        <f>IF($B58="","",IF($H58&gt;=30,65%,IF($H58&gt;=15,55%,50%)))</f>
        <v/>
      </c>
      <c r="J58" s="224">
        <f>IF($B58="","",$G58*$E58/24*$I58)</f>
        <v/>
      </c>
      <c r="K58" s="227" t="n"/>
      <c r="L58" s="224">
        <f>IF($B58="","",$K58*$E58/24)</f>
        <v/>
      </c>
      <c r="M58" s="227" t="n"/>
      <c r="N58" s="232">
        <f>IF($B58="","",$M58*'THAM_SO'!$M$27)</f>
        <v/>
      </c>
      <c r="O58" s="227" t="n"/>
      <c r="P58" s="222" t="n"/>
      <c r="Q58" s="227" t="n"/>
      <c r="R58" s="227" t="n"/>
      <c r="S58" s="227" t="n"/>
      <c r="T58" s="227" t="n"/>
      <c r="U58" s="224">
        <f>IF($B58="","",$O58*$P58+$Q58*$P58/24+$R58*$P58/30+$S58*'THAM_SO'!$M$6*2+$T58*'THAM_SO'!$M$27)</f>
        <v/>
      </c>
      <c r="V58" s="224">
        <f>IF($B58="","",SUM($F58,$J58,$L58,$N58,$U58))</f>
        <v/>
      </c>
      <c r="W58" s="222" t="n"/>
      <c r="X58" s="224">
        <f>IF(OR($B58="",$W58=""),"",$W58-$V58)</f>
        <v/>
      </c>
      <c r="Y58" s="127" t="n"/>
      <c r="Z58" s="127" t="n"/>
      <c r="AA58" s="150">
        <f>IF($B58="","",IF(AND(SUM($D58,$G58,$K58)&gt;0,$E58&lt;=0),"Thiếu mức đóng BH tháng trước; ","")&amp;IF(AND(SUM($O58:$R58)&gt;0,$P58&lt;=0),"Thiếu bình quân 06 tháng; ","")&amp;IF($K58&gt;0,"Mức 100% chỉ dùng đúng đối tượng luật định; ","")&amp;IF($W58="","",IF(ABS($X58)&gt;1,"Thực tế khác ước tính; ",""))&amp;IF($W58="","",IF($Y58="","Chưa chọn cách chi trả; ","")))</f>
        <v/>
      </c>
    </row>
    <row r="59">
      <c r="A59" s="145">
        <f>IF('DM_NHAN_SU'!$B59="","",ROW()-5)</f>
        <v/>
      </c>
      <c r="B59" s="145">
        <f>IF('DM_NHAN_SU'!$B59="","",'DM_NHAN_SU'!B59)</f>
        <v/>
      </c>
      <c r="C59" s="145">
        <f>IF('DM_NHAN_SU'!$B59="","",'DM_NHAN_SU'!C59)</f>
        <v/>
      </c>
      <c r="D59" s="227" t="n"/>
      <c r="E59" s="222" t="n"/>
      <c r="F59" s="224">
        <f>IF($B59="","",$D59*$E59/24*75%)</f>
        <v/>
      </c>
      <c r="G59" s="227" t="n"/>
      <c r="H59" s="227" t="n"/>
      <c r="I59" s="233">
        <f>IF($B59="","",IF($H59&gt;=30,65%,IF($H59&gt;=15,55%,50%)))</f>
        <v/>
      </c>
      <c r="J59" s="224">
        <f>IF($B59="","",$G59*$E59/24*$I59)</f>
        <v/>
      </c>
      <c r="K59" s="227" t="n"/>
      <c r="L59" s="224">
        <f>IF($B59="","",$K59*$E59/24)</f>
        <v/>
      </c>
      <c r="M59" s="227" t="n"/>
      <c r="N59" s="232">
        <f>IF($B59="","",$M59*'THAM_SO'!$M$27)</f>
        <v/>
      </c>
      <c r="O59" s="227" t="n"/>
      <c r="P59" s="222" t="n"/>
      <c r="Q59" s="227" t="n"/>
      <c r="R59" s="227" t="n"/>
      <c r="S59" s="227" t="n"/>
      <c r="T59" s="227" t="n"/>
      <c r="U59" s="224">
        <f>IF($B59="","",$O59*$P59+$Q59*$P59/24+$R59*$P59/30+$S59*'THAM_SO'!$M$6*2+$T59*'THAM_SO'!$M$27)</f>
        <v/>
      </c>
      <c r="V59" s="224">
        <f>IF($B59="","",SUM($F59,$J59,$L59,$N59,$U59))</f>
        <v/>
      </c>
      <c r="W59" s="222" t="n"/>
      <c r="X59" s="224">
        <f>IF(OR($B59="",$W59=""),"",$W59-$V59)</f>
        <v/>
      </c>
      <c r="Y59" s="127" t="n"/>
      <c r="Z59" s="127" t="n"/>
      <c r="AA59" s="150">
        <f>IF($B59="","",IF(AND(SUM($D59,$G59,$K59)&gt;0,$E59&lt;=0),"Thiếu mức đóng BH tháng trước; ","")&amp;IF(AND(SUM($O59:$R59)&gt;0,$P59&lt;=0),"Thiếu bình quân 06 tháng; ","")&amp;IF($K59&gt;0,"Mức 100% chỉ dùng đúng đối tượng luật định; ","")&amp;IF($W59="","",IF(ABS($X59)&gt;1,"Thực tế khác ước tính; ",""))&amp;IF($W59="","",IF($Y59="","Chưa chọn cách chi trả; ","")))</f>
        <v/>
      </c>
    </row>
    <row r="60">
      <c r="A60" s="145">
        <f>IF('DM_NHAN_SU'!$B60="","",ROW()-5)</f>
        <v/>
      </c>
      <c r="B60" s="145">
        <f>IF('DM_NHAN_SU'!$B60="","",'DM_NHAN_SU'!B60)</f>
        <v/>
      </c>
      <c r="C60" s="145">
        <f>IF('DM_NHAN_SU'!$B60="","",'DM_NHAN_SU'!C60)</f>
        <v/>
      </c>
      <c r="D60" s="227" t="n"/>
      <c r="E60" s="222" t="n"/>
      <c r="F60" s="224">
        <f>IF($B60="","",$D60*$E60/24*75%)</f>
        <v/>
      </c>
      <c r="G60" s="227" t="n"/>
      <c r="H60" s="227" t="n"/>
      <c r="I60" s="233">
        <f>IF($B60="","",IF($H60&gt;=30,65%,IF($H60&gt;=15,55%,50%)))</f>
        <v/>
      </c>
      <c r="J60" s="224">
        <f>IF($B60="","",$G60*$E60/24*$I60)</f>
        <v/>
      </c>
      <c r="K60" s="227" t="n"/>
      <c r="L60" s="224">
        <f>IF($B60="","",$K60*$E60/24)</f>
        <v/>
      </c>
      <c r="M60" s="227" t="n"/>
      <c r="N60" s="232">
        <f>IF($B60="","",$M60*'THAM_SO'!$M$27)</f>
        <v/>
      </c>
      <c r="O60" s="227" t="n"/>
      <c r="P60" s="222" t="n"/>
      <c r="Q60" s="227" t="n"/>
      <c r="R60" s="227" t="n"/>
      <c r="S60" s="227" t="n"/>
      <c r="T60" s="227" t="n"/>
      <c r="U60" s="224">
        <f>IF($B60="","",$O60*$P60+$Q60*$P60/24+$R60*$P60/30+$S60*'THAM_SO'!$M$6*2+$T60*'THAM_SO'!$M$27)</f>
        <v/>
      </c>
      <c r="V60" s="224">
        <f>IF($B60="","",SUM($F60,$J60,$L60,$N60,$U60))</f>
        <v/>
      </c>
      <c r="W60" s="222" t="n"/>
      <c r="X60" s="224">
        <f>IF(OR($B60="",$W60=""),"",$W60-$V60)</f>
        <v/>
      </c>
      <c r="Y60" s="127" t="n"/>
      <c r="Z60" s="127" t="n"/>
      <c r="AA60" s="150">
        <f>IF($B60="","",IF(AND(SUM($D60,$G60,$K60)&gt;0,$E60&lt;=0),"Thiếu mức đóng BH tháng trước; ","")&amp;IF(AND(SUM($O60:$R60)&gt;0,$P60&lt;=0),"Thiếu bình quân 06 tháng; ","")&amp;IF($K60&gt;0,"Mức 100% chỉ dùng đúng đối tượng luật định; ","")&amp;IF($W60="","",IF(ABS($X60)&gt;1,"Thực tế khác ước tính; ",""))&amp;IF($W60="","",IF($Y60="","Chưa chọn cách chi trả; ","")))</f>
        <v/>
      </c>
    </row>
    <row r="61">
      <c r="A61" s="145">
        <f>IF('DM_NHAN_SU'!$B61="","",ROW()-5)</f>
        <v/>
      </c>
      <c r="B61" s="145">
        <f>IF('DM_NHAN_SU'!$B61="","",'DM_NHAN_SU'!B61)</f>
        <v/>
      </c>
      <c r="C61" s="145">
        <f>IF('DM_NHAN_SU'!$B61="","",'DM_NHAN_SU'!C61)</f>
        <v/>
      </c>
      <c r="D61" s="227" t="n"/>
      <c r="E61" s="222" t="n"/>
      <c r="F61" s="224">
        <f>IF($B61="","",$D61*$E61/24*75%)</f>
        <v/>
      </c>
      <c r="G61" s="227" t="n"/>
      <c r="H61" s="227" t="n"/>
      <c r="I61" s="233">
        <f>IF($B61="","",IF($H61&gt;=30,65%,IF($H61&gt;=15,55%,50%)))</f>
        <v/>
      </c>
      <c r="J61" s="224">
        <f>IF($B61="","",$G61*$E61/24*$I61)</f>
        <v/>
      </c>
      <c r="K61" s="227" t="n"/>
      <c r="L61" s="224">
        <f>IF($B61="","",$K61*$E61/24)</f>
        <v/>
      </c>
      <c r="M61" s="227" t="n"/>
      <c r="N61" s="232">
        <f>IF($B61="","",$M61*'THAM_SO'!$M$27)</f>
        <v/>
      </c>
      <c r="O61" s="227" t="n"/>
      <c r="P61" s="222" t="n"/>
      <c r="Q61" s="227" t="n"/>
      <c r="R61" s="227" t="n"/>
      <c r="S61" s="227" t="n"/>
      <c r="T61" s="227" t="n"/>
      <c r="U61" s="224">
        <f>IF($B61="","",$O61*$P61+$Q61*$P61/24+$R61*$P61/30+$S61*'THAM_SO'!$M$6*2+$T61*'THAM_SO'!$M$27)</f>
        <v/>
      </c>
      <c r="V61" s="224">
        <f>IF($B61="","",SUM($F61,$J61,$L61,$N61,$U61))</f>
        <v/>
      </c>
      <c r="W61" s="222" t="n"/>
      <c r="X61" s="224">
        <f>IF(OR($B61="",$W61=""),"",$W61-$V61)</f>
        <v/>
      </c>
      <c r="Y61" s="127" t="n"/>
      <c r="Z61" s="127" t="n"/>
      <c r="AA61" s="150">
        <f>IF($B61="","",IF(AND(SUM($D61,$G61,$K61)&gt;0,$E61&lt;=0),"Thiếu mức đóng BH tháng trước; ","")&amp;IF(AND(SUM($O61:$R61)&gt;0,$P61&lt;=0),"Thiếu bình quân 06 tháng; ","")&amp;IF($K61&gt;0,"Mức 100% chỉ dùng đúng đối tượng luật định; ","")&amp;IF($W61="","",IF(ABS($X61)&gt;1,"Thực tế khác ước tính; ",""))&amp;IF($W61="","",IF($Y61="","Chưa chọn cách chi trả; ","")))</f>
        <v/>
      </c>
    </row>
    <row r="62">
      <c r="A62" s="145">
        <f>IF('DM_NHAN_SU'!$B62="","",ROW()-5)</f>
        <v/>
      </c>
      <c r="B62" s="145">
        <f>IF('DM_NHAN_SU'!$B62="","",'DM_NHAN_SU'!B62)</f>
        <v/>
      </c>
      <c r="C62" s="145">
        <f>IF('DM_NHAN_SU'!$B62="","",'DM_NHAN_SU'!C62)</f>
        <v/>
      </c>
      <c r="D62" s="227" t="n"/>
      <c r="E62" s="222" t="n"/>
      <c r="F62" s="224">
        <f>IF($B62="","",$D62*$E62/24*75%)</f>
        <v/>
      </c>
      <c r="G62" s="227" t="n"/>
      <c r="H62" s="227" t="n"/>
      <c r="I62" s="233">
        <f>IF($B62="","",IF($H62&gt;=30,65%,IF($H62&gt;=15,55%,50%)))</f>
        <v/>
      </c>
      <c r="J62" s="224">
        <f>IF($B62="","",$G62*$E62/24*$I62)</f>
        <v/>
      </c>
      <c r="K62" s="227" t="n"/>
      <c r="L62" s="224">
        <f>IF($B62="","",$K62*$E62/24)</f>
        <v/>
      </c>
      <c r="M62" s="227" t="n"/>
      <c r="N62" s="232">
        <f>IF($B62="","",$M62*'THAM_SO'!$M$27)</f>
        <v/>
      </c>
      <c r="O62" s="227" t="n"/>
      <c r="P62" s="222" t="n"/>
      <c r="Q62" s="227" t="n"/>
      <c r="R62" s="227" t="n"/>
      <c r="S62" s="227" t="n"/>
      <c r="T62" s="227" t="n"/>
      <c r="U62" s="224">
        <f>IF($B62="","",$O62*$P62+$Q62*$P62/24+$R62*$P62/30+$S62*'THAM_SO'!$M$6*2+$T62*'THAM_SO'!$M$27)</f>
        <v/>
      </c>
      <c r="V62" s="224">
        <f>IF($B62="","",SUM($F62,$J62,$L62,$N62,$U62))</f>
        <v/>
      </c>
      <c r="W62" s="222" t="n"/>
      <c r="X62" s="224">
        <f>IF(OR($B62="",$W62=""),"",$W62-$V62)</f>
        <v/>
      </c>
      <c r="Y62" s="127" t="n"/>
      <c r="Z62" s="127" t="n"/>
      <c r="AA62" s="150">
        <f>IF($B62="","",IF(AND(SUM($D62,$G62,$K62)&gt;0,$E62&lt;=0),"Thiếu mức đóng BH tháng trước; ","")&amp;IF(AND(SUM($O62:$R62)&gt;0,$P62&lt;=0),"Thiếu bình quân 06 tháng; ","")&amp;IF($K62&gt;0,"Mức 100% chỉ dùng đúng đối tượng luật định; ","")&amp;IF($W62="","",IF(ABS($X62)&gt;1,"Thực tế khác ước tính; ",""))&amp;IF($W62="","",IF($Y62="","Chưa chọn cách chi trả; ","")))</f>
        <v/>
      </c>
    </row>
    <row r="63">
      <c r="A63" s="145">
        <f>IF('DM_NHAN_SU'!$B63="","",ROW()-5)</f>
        <v/>
      </c>
      <c r="B63" s="145">
        <f>IF('DM_NHAN_SU'!$B63="","",'DM_NHAN_SU'!B63)</f>
        <v/>
      </c>
      <c r="C63" s="145">
        <f>IF('DM_NHAN_SU'!$B63="","",'DM_NHAN_SU'!C63)</f>
        <v/>
      </c>
      <c r="D63" s="227" t="n"/>
      <c r="E63" s="222" t="n"/>
      <c r="F63" s="224">
        <f>IF($B63="","",$D63*$E63/24*75%)</f>
        <v/>
      </c>
      <c r="G63" s="227" t="n"/>
      <c r="H63" s="227" t="n"/>
      <c r="I63" s="233">
        <f>IF($B63="","",IF($H63&gt;=30,65%,IF($H63&gt;=15,55%,50%)))</f>
        <v/>
      </c>
      <c r="J63" s="224">
        <f>IF($B63="","",$G63*$E63/24*$I63)</f>
        <v/>
      </c>
      <c r="K63" s="227" t="n"/>
      <c r="L63" s="224">
        <f>IF($B63="","",$K63*$E63/24)</f>
        <v/>
      </c>
      <c r="M63" s="227" t="n"/>
      <c r="N63" s="232">
        <f>IF($B63="","",$M63*'THAM_SO'!$M$27)</f>
        <v/>
      </c>
      <c r="O63" s="227" t="n"/>
      <c r="P63" s="222" t="n"/>
      <c r="Q63" s="227" t="n"/>
      <c r="R63" s="227" t="n"/>
      <c r="S63" s="227" t="n"/>
      <c r="T63" s="227" t="n"/>
      <c r="U63" s="224">
        <f>IF($B63="","",$O63*$P63+$Q63*$P63/24+$R63*$P63/30+$S63*'THAM_SO'!$M$6*2+$T63*'THAM_SO'!$M$27)</f>
        <v/>
      </c>
      <c r="V63" s="224">
        <f>IF($B63="","",SUM($F63,$J63,$L63,$N63,$U63))</f>
        <v/>
      </c>
      <c r="W63" s="222" t="n"/>
      <c r="X63" s="224">
        <f>IF(OR($B63="",$W63=""),"",$W63-$V63)</f>
        <v/>
      </c>
      <c r="Y63" s="127" t="n"/>
      <c r="Z63" s="127" t="n"/>
      <c r="AA63" s="150">
        <f>IF($B63="","",IF(AND(SUM($D63,$G63,$K63)&gt;0,$E63&lt;=0),"Thiếu mức đóng BH tháng trước; ","")&amp;IF(AND(SUM($O63:$R63)&gt;0,$P63&lt;=0),"Thiếu bình quân 06 tháng; ","")&amp;IF($K63&gt;0,"Mức 100% chỉ dùng đúng đối tượng luật định; ","")&amp;IF($W63="","",IF(ABS($X63)&gt;1,"Thực tế khác ước tính; ",""))&amp;IF($W63="","",IF($Y63="","Chưa chọn cách chi trả; ","")))</f>
        <v/>
      </c>
    </row>
    <row r="64">
      <c r="A64" s="145">
        <f>IF('DM_NHAN_SU'!$B64="","",ROW()-5)</f>
        <v/>
      </c>
      <c r="B64" s="145">
        <f>IF('DM_NHAN_SU'!$B64="","",'DM_NHAN_SU'!B64)</f>
        <v/>
      </c>
      <c r="C64" s="145">
        <f>IF('DM_NHAN_SU'!$B64="","",'DM_NHAN_SU'!C64)</f>
        <v/>
      </c>
      <c r="D64" s="227" t="n"/>
      <c r="E64" s="222" t="n"/>
      <c r="F64" s="224">
        <f>IF($B64="","",$D64*$E64/24*75%)</f>
        <v/>
      </c>
      <c r="G64" s="227" t="n"/>
      <c r="H64" s="227" t="n"/>
      <c r="I64" s="233">
        <f>IF($B64="","",IF($H64&gt;=30,65%,IF($H64&gt;=15,55%,50%)))</f>
        <v/>
      </c>
      <c r="J64" s="224">
        <f>IF($B64="","",$G64*$E64/24*$I64)</f>
        <v/>
      </c>
      <c r="K64" s="227" t="n"/>
      <c r="L64" s="224">
        <f>IF($B64="","",$K64*$E64/24)</f>
        <v/>
      </c>
      <c r="M64" s="227" t="n"/>
      <c r="N64" s="232">
        <f>IF($B64="","",$M64*'THAM_SO'!$M$27)</f>
        <v/>
      </c>
      <c r="O64" s="227" t="n"/>
      <c r="P64" s="222" t="n"/>
      <c r="Q64" s="227" t="n"/>
      <c r="R64" s="227" t="n"/>
      <c r="S64" s="227" t="n"/>
      <c r="T64" s="227" t="n"/>
      <c r="U64" s="224">
        <f>IF($B64="","",$O64*$P64+$Q64*$P64/24+$R64*$P64/30+$S64*'THAM_SO'!$M$6*2+$T64*'THAM_SO'!$M$27)</f>
        <v/>
      </c>
      <c r="V64" s="224">
        <f>IF($B64="","",SUM($F64,$J64,$L64,$N64,$U64))</f>
        <v/>
      </c>
      <c r="W64" s="222" t="n"/>
      <c r="X64" s="224">
        <f>IF(OR($B64="",$W64=""),"",$W64-$V64)</f>
        <v/>
      </c>
      <c r="Y64" s="127" t="n"/>
      <c r="Z64" s="127" t="n"/>
      <c r="AA64" s="150">
        <f>IF($B64="","",IF(AND(SUM($D64,$G64,$K64)&gt;0,$E64&lt;=0),"Thiếu mức đóng BH tháng trước; ","")&amp;IF(AND(SUM($O64:$R64)&gt;0,$P64&lt;=0),"Thiếu bình quân 06 tháng; ","")&amp;IF($K64&gt;0,"Mức 100% chỉ dùng đúng đối tượng luật định; ","")&amp;IF($W64="","",IF(ABS($X64)&gt;1,"Thực tế khác ước tính; ",""))&amp;IF($W64="","",IF($Y64="","Chưa chọn cách chi trả; ","")))</f>
        <v/>
      </c>
    </row>
    <row r="65">
      <c r="A65" s="145">
        <f>IF('DM_NHAN_SU'!$B65="","",ROW()-5)</f>
        <v/>
      </c>
      <c r="B65" s="145">
        <f>IF('DM_NHAN_SU'!$B65="","",'DM_NHAN_SU'!B65)</f>
        <v/>
      </c>
      <c r="C65" s="145">
        <f>IF('DM_NHAN_SU'!$B65="","",'DM_NHAN_SU'!C65)</f>
        <v/>
      </c>
      <c r="D65" s="227" t="n"/>
      <c r="E65" s="222" t="n"/>
      <c r="F65" s="224">
        <f>IF($B65="","",$D65*$E65/24*75%)</f>
        <v/>
      </c>
      <c r="G65" s="227" t="n"/>
      <c r="H65" s="227" t="n"/>
      <c r="I65" s="233">
        <f>IF($B65="","",IF($H65&gt;=30,65%,IF($H65&gt;=15,55%,50%)))</f>
        <v/>
      </c>
      <c r="J65" s="224">
        <f>IF($B65="","",$G65*$E65/24*$I65)</f>
        <v/>
      </c>
      <c r="K65" s="227" t="n"/>
      <c r="L65" s="224">
        <f>IF($B65="","",$K65*$E65/24)</f>
        <v/>
      </c>
      <c r="M65" s="227" t="n"/>
      <c r="N65" s="232">
        <f>IF($B65="","",$M65*'THAM_SO'!$M$27)</f>
        <v/>
      </c>
      <c r="O65" s="227" t="n"/>
      <c r="P65" s="222" t="n"/>
      <c r="Q65" s="227" t="n"/>
      <c r="R65" s="227" t="n"/>
      <c r="S65" s="227" t="n"/>
      <c r="T65" s="227" t="n"/>
      <c r="U65" s="224">
        <f>IF($B65="","",$O65*$P65+$Q65*$P65/24+$R65*$P65/30+$S65*'THAM_SO'!$M$6*2+$T65*'THAM_SO'!$M$27)</f>
        <v/>
      </c>
      <c r="V65" s="224">
        <f>IF($B65="","",SUM($F65,$J65,$L65,$N65,$U65))</f>
        <v/>
      </c>
      <c r="W65" s="222" t="n"/>
      <c r="X65" s="224">
        <f>IF(OR($B65="",$W65=""),"",$W65-$V65)</f>
        <v/>
      </c>
      <c r="Y65" s="127" t="n"/>
      <c r="Z65" s="127" t="n"/>
      <c r="AA65" s="150">
        <f>IF($B65="","",IF(AND(SUM($D65,$G65,$K65)&gt;0,$E65&lt;=0),"Thiếu mức đóng BH tháng trước; ","")&amp;IF(AND(SUM($O65:$R65)&gt;0,$P65&lt;=0),"Thiếu bình quân 06 tháng; ","")&amp;IF($K65&gt;0,"Mức 100% chỉ dùng đúng đối tượng luật định; ","")&amp;IF($W65="","",IF(ABS($X65)&gt;1,"Thực tế khác ước tính; ",""))&amp;IF($W65="","",IF($Y65="","Chưa chọn cách chi trả; ","")))</f>
        <v/>
      </c>
    </row>
    <row r="66">
      <c r="A66" s="145">
        <f>IF('DM_NHAN_SU'!$B66="","",ROW()-5)</f>
        <v/>
      </c>
      <c r="B66" s="145">
        <f>IF('DM_NHAN_SU'!$B66="","",'DM_NHAN_SU'!B66)</f>
        <v/>
      </c>
      <c r="C66" s="145">
        <f>IF('DM_NHAN_SU'!$B66="","",'DM_NHAN_SU'!C66)</f>
        <v/>
      </c>
      <c r="D66" s="227" t="n"/>
      <c r="E66" s="222" t="n"/>
      <c r="F66" s="224">
        <f>IF($B66="","",$D66*$E66/24*75%)</f>
        <v/>
      </c>
      <c r="G66" s="227" t="n"/>
      <c r="H66" s="227" t="n"/>
      <c r="I66" s="233">
        <f>IF($B66="","",IF($H66&gt;=30,65%,IF($H66&gt;=15,55%,50%)))</f>
        <v/>
      </c>
      <c r="J66" s="224">
        <f>IF($B66="","",$G66*$E66/24*$I66)</f>
        <v/>
      </c>
      <c r="K66" s="227" t="n"/>
      <c r="L66" s="224">
        <f>IF($B66="","",$K66*$E66/24)</f>
        <v/>
      </c>
      <c r="M66" s="227" t="n"/>
      <c r="N66" s="232">
        <f>IF($B66="","",$M66*'THAM_SO'!$M$27)</f>
        <v/>
      </c>
      <c r="O66" s="227" t="n"/>
      <c r="P66" s="222" t="n"/>
      <c r="Q66" s="227" t="n"/>
      <c r="R66" s="227" t="n"/>
      <c r="S66" s="227" t="n"/>
      <c r="T66" s="227" t="n"/>
      <c r="U66" s="224">
        <f>IF($B66="","",$O66*$P66+$Q66*$P66/24+$R66*$P66/30+$S66*'THAM_SO'!$M$6*2+$T66*'THAM_SO'!$M$27)</f>
        <v/>
      </c>
      <c r="V66" s="224">
        <f>IF($B66="","",SUM($F66,$J66,$L66,$N66,$U66))</f>
        <v/>
      </c>
      <c r="W66" s="222" t="n"/>
      <c r="X66" s="224">
        <f>IF(OR($B66="",$W66=""),"",$W66-$V66)</f>
        <v/>
      </c>
      <c r="Y66" s="127" t="n"/>
      <c r="Z66" s="127" t="n"/>
      <c r="AA66" s="150">
        <f>IF($B66="","",IF(AND(SUM($D66,$G66,$K66)&gt;0,$E66&lt;=0),"Thiếu mức đóng BH tháng trước; ","")&amp;IF(AND(SUM($O66:$R66)&gt;0,$P66&lt;=0),"Thiếu bình quân 06 tháng; ","")&amp;IF($K66&gt;0,"Mức 100% chỉ dùng đúng đối tượng luật định; ","")&amp;IF($W66="","",IF(ABS($X66)&gt;1,"Thực tế khác ước tính; ",""))&amp;IF($W66="","",IF($Y66="","Chưa chọn cách chi trả; ","")))</f>
        <v/>
      </c>
    </row>
    <row r="67">
      <c r="A67" s="145">
        <f>IF('DM_NHAN_SU'!$B67="","",ROW()-5)</f>
        <v/>
      </c>
      <c r="B67" s="145">
        <f>IF('DM_NHAN_SU'!$B67="","",'DM_NHAN_SU'!B67)</f>
        <v/>
      </c>
      <c r="C67" s="145">
        <f>IF('DM_NHAN_SU'!$B67="","",'DM_NHAN_SU'!C67)</f>
        <v/>
      </c>
      <c r="D67" s="227" t="n"/>
      <c r="E67" s="222" t="n"/>
      <c r="F67" s="224">
        <f>IF($B67="","",$D67*$E67/24*75%)</f>
        <v/>
      </c>
      <c r="G67" s="227" t="n"/>
      <c r="H67" s="227" t="n"/>
      <c r="I67" s="233">
        <f>IF($B67="","",IF($H67&gt;=30,65%,IF($H67&gt;=15,55%,50%)))</f>
        <v/>
      </c>
      <c r="J67" s="224">
        <f>IF($B67="","",$G67*$E67/24*$I67)</f>
        <v/>
      </c>
      <c r="K67" s="227" t="n"/>
      <c r="L67" s="224">
        <f>IF($B67="","",$K67*$E67/24)</f>
        <v/>
      </c>
      <c r="M67" s="227" t="n"/>
      <c r="N67" s="232">
        <f>IF($B67="","",$M67*'THAM_SO'!$M$27)</f>
        <v/>
      </c>
      <c r="O67" s="227" t="n"/>
      <c r="P67" s="222" t="n"/>
      <c r="Q67" s="227" t="n"/>
      <c r="R67" s="227" t="n"/>
      <c r="S67" s="227" t="n"/>
      <c r="T67" s="227" t="n"/>
      <c r="U67" s="224">
        <f>IF($B67="","",$O67*$P67+$Q67*$P67/24+$R67*$P67/30+$S67*'THAM_SO'!$M$6*2+$T67*'THAM_SO'!$M$27)</f>
        <v/>
      </c>
      <c r="V67" s="224">
        <f>IF($B67="","",SUM($F67,$J67,$L67,$N67,$U67))</f>
        <v/>
      </c>
      <c r="W67" s="222" t="n"/>
      <c r="X67" s="224">
        <f>IF(OR($B67="",$W67=""),"",$W67-$V67)</f>
        <v/>
      </c>
      <c r="Y67" s="127" t="n"/>
      <c r="Z67" s="127" t="n"/>
      <c r="AA67" s="150">
        <f>IF($B67="","",IF(AND(SUM($D67,$G67,$K67)&gt;0,$E67&lt;=0),"Thiếu mức đóng BH tháng trước; ","")&amp;IF(AND(SUM($O67:$R67)&gt;0,$P67&lt;=0),"Thiếu bình quân 06 tháng; ","")&amp;IF($K67&gt;0,"Mức 100% chỉ dùng đúng đối tượng luật định; ","")&amp;IF($W67="","",IF(ABS($X67)&gt;1,"Thực tế khác ước tính; ",""))&amp;IF($W67="","",IF($Y67="","Chưa chọn cách chi trả; ","")))</f>
        <v/>
      </c>
    </row>
    <row r="68">
      <c r="A68" s="145">
        <f>IF('DM_NHAN_SU'!$B68="","",ROW()-5)</f>
        <v/>
      </c>
      <c r="B68" s="145">
        <f>IF('DM_NHAN_SU'!$B68="","",'DM_NHAN_SU'!B68)</f>
        <v/>
      </c>
      <c r="C68" s="145">
        <f>IF('DM_NHAN_SU'!$B68="","",'DM_NHAN_SU'!C68)</f>
        <v/>
      </c>
      <c r="D68" s="227" t="n"/>
      <c r="E68" s="222" t="n"/>
      <c r="F68" s="224">
        <f>IF($B68="","",$D68*$E68/24*75%)</f>
        <v/>
      </c>
      <c r="G68" s="227" t="n"/>
      <c r="H68" s="227" t="n"/>
      <c r="I68" s="233">
        <f>IF($B68="","",IF($H68&gt;=30,65%,IF($H68&gt;=15,55%,50%)))</f>
        <v/>
      </c>
      <c r="J68" s="224">
        <f>IF($B68="","",$G68*$E68/24*$I68)</f>
        <v/>
      </c>
      <c r="K68" s="227" t="n"/>
      <c r="L68" s="224">
        <f>IF($B68="","",$K68*$E68/24)</f>
        <v/>
      </c>
      <c r="M68" s="227" t="n"/>
      <c r="N68" s="232">
        <f>IF($B68="","",$M68*'THAM_SO'!$M$27)</f>
        <v/>
      </c>
      <c r="O68" s="227" t="n"/>
      <c r="P68" s="222" t="n"/>
      <c r="Q68" s="227" t="n"/>
      <c r="R68" s="227" t="n"/>
      <c r="S68" s="227" t="n"/>
      <c r="T68" s="227" t="n"/>
      <c r="U68" s="224">
        <f>IF($B68="","",$O68*$P68+$Q68*$P68/24+$R68*$P68/30+$S68*'THAM_SO'!$M$6*2+$T68*'THAM_SO'!$M$27)</f>
        <v/>
      </c>
      <c r="V68" s="224">
        <f>IF($B68="","",SUM($F68,$J68,$L68,$N68,$U68))</f>
        <v/>
      </c>
      <c r="W68" s="222" t="n"/>
      <c r="X68" s="224">
        <f>IF(OR($B68="",$W68=""),"",$W68-$V68)</f>
        <v/>
      </c>
      <c r="Y68" s="127" t="n"/>
      <c r="Z68" s="127" t="n"/>
      <c r="AA68" s="150">
        <f>IF($B68="","",IF(AND(SUM($D68,$G68,$K68)&gt;0,$E68&lt;=0),"Thiếu mức đóng BH tháng trước; ","")&amp;IF(AND(SUM($O68:$R68)&gt;0,$P68&lt;=0),"Thiếu bình quân 06 tháng; ","")&amp;IF($K68&gt;0,"Mức 100% chỉ dùng đúng đối tượng luật định; ","")&amp;IF($W68="","",IF(ABS($X68)&gt;1,"Thực tế khác ước tính; ",""))&amp;IF($W68="","",IF($Y68="","Chưa chọn cách chi trả; ","")))</f>
        <v/>
      </c>
    </row>
    <row r="69">
      <c r="A69" s="145">
        <f>IF('DM_NHAN_SU'!$B69="","",ROW()-5)</f>
        <v/>
      </c>
      <c r="B69" s="145">
        <f>IF('DM_NHAN_SU'!$B69="","",'DM_NHAN_SU'!B69)</f>
        <v/>
      </c>
      <c r="C69" s="145">
        <f>IF('DM_NHAN_SU'!$B69="","",'DM_NHAN_SU'!C69)</f>
        <v/>
      </c>
      <c r="D69" s="227" t="n"/>
      <c r="E69" s="222" t="n"/>
      <c r="F69" s="224">
        <f>IF($B69="","",$D69*$E69/24*75%)</f>
        <v/>
      </c>
      <c r="G69" s="227" t="n"/>
      <c r="H69" s="227" t="n"/>
      <c r="I69" s="233">
        <f>IF($B69="","",IF($H69&gt;=30,65%,IF($H69&gt;=15,55%,50%)))</f>
        <v/>
      </c>
      <c r="J69" s="224">
        <f>IF($B69="","",$G69*$E69/24*$I69)</f>
        <v/>
      </c>
      <c r="K69" s="227" t="n"/>
      <c r="L69" s="224">
        <f>IF($B69="","",$K69*$E69/24)</f>
        <v/>
      </c>
      <c r="M69" s="227" t="n"/>
      <c r="N69" s="232">
        <f>IF($B69="","",$M69*'THAM_SO'!$M$27)</f>
        <v/>
      </c>
      <c r="O69" s="227" t="n"/>
      <c r="P69" s="222" t="n"/>
      <c r="Q69" s="227" t="n"/>
      <c r="R69" s="227" t="n"/>
      <c r="S69" s="227" t="n"/>
      <c r="T69" s="227" t="n"/>
      <c r="U69" s="224">
        <f>IF($B69="","",$O69*$P69+$Q69*$P69/24+$R69*$P69/30+$S69*'THAM_SO'!$M$6*2+$T69*'THAM_SO'!$M$27)</f>
        <v/>
      </c>
      <c r="V69" s="224">
        <f>IF($B69="","",SUM($F69,$J69,$L69,$N69,$U69))</f>
        <v/>
      </c>
      <c r="W69" s="222" t="n"/>
      <c r="X69" s="224">
        <f>IF(OR($B69="",$W69=""),"",$W69-$V69)</f>
        <v/>
      </c>
      <c r="Y69" s="127" t="n"/>
      <c r="Z69" s="127" t="n"/>
      <c r="AA69" s="150">
        <f>IF($B69="","",IF(AND(SUM($D69,$G69,$K69)&gt;0,$E69&lt;=0),"Thiếu mức đóng BH tháng trước; ","")&amp;IF(AND(SUM($O69:$R69)&gt;0,$P69&lt;=0),"Thiếu bình quân 06 tháng; ","")&amp;IF($K69&gt;0,"Mức 100% chỉ dùng đúng đối tượng luật định; ","")&amp;IF($W69="","",IF(ABS($X69)&gt;1,"Thực tế khác ước tính; ",""))&amp;IF($W69="","",IF($Y69="","Chưa chọn cách chi trả; ","")))</f>
        <v/>
      </c>
    </row>
    <row r="70">
      <c r="A70" s="145">
        <f>IF('DM_NHAN_SU'!$B70="","",ROW()-5)</f>
        <v/>
      </c>
      <c r="B70" s="145">
        <f>IF('DM_NHAN_SU'!$B70="","",'DM_NHAN_SU'!B70)</f>
        <v/>
      </c>
      <c r="C70" s="145">
        <f>IF('DM_NHAN_SU'!$B70="","",'DM_NHAN_SU'!C70)</f>
        <v/>
      </c>
      <c r="D70" s="227" t="n"/>
      <c r="E70" s="222" t="n"/>
      <c r="F70" s="224">
        <f>IF($B70="","",$D70*$E70/24*75%)</f>
        <v/>
      </c>
      <c r="G70" s="227" t="n"/>
      <c r="H70" s="227" t="n"/>
      <c r="I70" s="233">
        <f>IF($B70="","",IF($H70&gt;=30,65%,IF($H70&gt;=15,55%,50%)))</f>
        <v/>
      </c>
      <c r="J70" s="224">
        <f>IF($B70="","",$G70*$E70/24*$I70)</f>
        <v/>
      </c>
      <c r="K70" s="227" t="n"/>
      <c r="L70" s="224">
        <f>IF($B70="","",$K70*$E70/24)</f>
        <v/>
      </c>
      <c r="M70" s="227" t="n"/>
      <c r="N70" s="232">
        <f>IF($B70="","",$M70*'THAM_SO'!$M$27)</f>
        <v/>
      </c>
      <c r="O70" s="227" t="n"/>
      <c r="P70" s="222" t="n"/>
      <c r="Q70" s="227" t="n"/>
      <c r="R70" s="227" t="n"/>
      <c r="S70" s="227" t="n"/>
      <c r="T70" s="227" t="n"/>
      <c r="U70" s="224">
        <f>IF($B70="","",$O70*$P70+$Q70*$P70/24+$R70*$P70/30+$S70*'THAM_SO'!$M$6*2+$T70*'THAM_SO'!$M$27)</f>
        <v/>
      </c>
      <c r="V70" s="224">
        <f>IF($B70="","",SUM($F70,$J70,$L70,$N70,$U70))</f>
        <v/>
      </c>
      <c r="W70" s="222" t="n"/>
      <c r="X70" s="224">
        <f>IF(OR($B70="",$W70=""),"",$W70-$V70)</f>
        <v/>
      </c>
      <c r="Y70" s="127" t="n"/>
      <c r="Z70" s="127" t="n"/>
      <c r="AA70" s="150">
        <f>IF($B70="","",IF(AND(SUM($D70,$G70,$K70)&gt;0,$E70&lt;=0),"Thiếu mức đóng BH tháng trước; ","")&amp;IF(AND(SUM($O70:$R70)&gt;0,$P70&lt;=0),"Thiếu bình quân 06 tháng; ","")&amp;IF($K70&gt;0,"Mức 100% chỉ dùng đúng đối tượng luật định; ","")&amp;IF($W70="","",IF(ABS($X70)&gt;1,"Thực tế khác ước tính; ",""))&amp;IF($W70="","",IF($Y70="","Chưa chọn cách chi trả; ","")))</f>
        <v/>
      </c>
    </row>
    <row r="71">
      <c r="A71" s="145">
        <f>IF('DM_NHAN_SU'!$B71="","",ROW()-5)</f>
        <v/>
      </c>
      <c r="B71" s="145">
        <f>IF('DM_NHAN_SU'!$B71="","",'DM_NHAN_SU'!B71)</f>
        <v/>
      </c>
      <c r="C71" s="145">
        <f>IF('DM_NHAN_SU'!$B71="","",'DM_NHAN_SU'!C71)</f>
        <v/>
      </c>
      <c r="D71" s="227" t="n"/>
      <c r="E71" s="222" t="n"/>
      <c r="F71" s="224">
        <f>IF($B71="","",$D71*$E71/24*75%)</f>
        <v/>
      </c>
      <c r="G71" s="227" t="n"/>
      <c r="H71" s="227" t="n"/>
      <c r="I71" s="233">
        <f>IF($B71="","",IF($H71&gt;=30,65%,IF($H71&gt;=15,55%,50%)))</f>
        <v/>
      </c>
      <c r="J71" s="224">
        <f>IF($B71="","",$G71*$E71/24*$I71)</f>
        <v/>
      </c>
      <c r="K71" s="227" t="n"/>
      <c r="L71" s="224">
        <f>IF($B71="","",$K71*$E71/24)</f>
        <v/>
      </c>
      <c r="M71" s="227" t="n"/>
      <c r="N71" s="232">
        <f>IF($B71="","",$M71*'THAM_SO'!$M$27)</f>
        <v/>
      </c>
      <c r="O71" s="227" t="n"/>
      <c r="P71" s="222" t="n"/>
      <c r="Q71" s="227" t="n"/>
      <c r="R71" s="227" t="n"/>
      <c r="S71" s="227" t="n"/>
      <c r="T71" s="227" t="n"/>
      <c r="U71" s="224">
        <f>IF($B71="","",$O71*$P71+$Q71*$P71/24+$R71*$P71/30+$S71*'THAM_SO'!$M$6*2+$T71*'THAM_SO'!$M$27)</f>
        <v/>
      </c>
      <c r="V71" s="224">
        <f>IF($B71="","",SUM($F71,$J71,$L71,$N71,$U71))</f>
        <v/>
      </c>
      <c r="W71" s="222" t="n"/>
      <c r="X71" s="224">
        <f>IF(OR($B71="",$W71=""),"",$W71-$V71)</f>
        <v/>
      </c>
      <c r="Y71" s="127" t="n"/>
      <c r="Z71" s="127" t="n"/>
      <c r="AA71" s="150">
        <f>IF($B71="","",IF(AND(SUM($D71,$G71,$K71)&gt;0,$E71&lt;=0),"Thiếu mức đóng BH tháng trước; ","")&amp;IF(AND(SUM($O71:$R71)&gt;0,$P71&lt;=0),"Thiếu bình quân 06 tháng; ","")&amp;IF($K71&gt;0,"Mức 100% chỉ dùng đúng đối tượng luật định; ","")&amp;IF($W71="","",IF(ABS($X71)&gt;1,"Thực tế khác ước tính; ",""))&amp;IF($W71="","",IF($Y71="","Chưa chọn cách chi trả; ","")))</f>
        <v/>
      </c>
    </row>
    <row r="72">
      <c r="A72" s="145">
        <f>IF('DM_NHAN_SU'!$B72="","",ROW()-5)</f>
        <v/>
      </c>
      <c r="B72" s="145">
        <f>IF('DM_NHAN_SU'!$B72="","",'DM_NHAN_SU'!B72)</f>
        <v/>
      </c>
      <c r="C72" s="145">
        <f>IF('DM_NHAN_SU'!$B72="","",'DM_NHAN_SU'!C72)</f>
        <v/>
      </c>
      <c r="D72" s="227" t="n"/>
      <c r="E72" s="222" t="n"/>
      <c r="F72" s="224">
        <f>IF($B72="","",$D72*$E72/24*75%)</f>
        <v/>
      </c>
      <c r="G72" s="227" t="n"/>
      <c r="H72" s="227" t="n"/>
      <c r="I72" s="233">
        <f>IF($B72="","",IF($H72&gt;=30,65%,IF($H72&gt;=15,55%,50%)))</f>
        <v/>
      </c>
      <c r="J72" s="224">
        <f>IF($B72="","",$G72*$E72/24*$I72)</f>
        <v/>
      </c>
      <c r="K72" s="227" t="n"/>
      <c r="L72" s="224">
        <f>IF($B72="","",$K72*$E72/24)</f>
        <v/>
      </c>
      <c r="M72" s="227" t="n"/>
      <c r="N72" s="232">
        <f>IF($B72="","",$M72*'THAM_SO'!$M$27)</f>
        <v/>
      </c>
      <c r="O72" s="227" t="n"/>
      <c r="P72" s="222" t="n"/>
      <c r="Q72" s="227" t="n"/>
      <c r="R72" s="227" t="n"/>
      <c r="S72" s="227" t="n"/>
      <c r="T72" s="227" t="n"/>
      <c r="U72" s="224">
        <f>IF($B72="","",$O72*$P72+$Q72*$P72/24+$R72*$P72/30+$S72*'THAM_SO'!$M$6*2+$T72*'THAM_SO'!$M$27)</f>
        <v/>
      </c>
      <c r="V72" s="224">
        <f>IF($B72="","",SUM($F72,$J72,$L72,$N72,$U72))</f>
        <v/>
      </c>
      <c r="W72" s="222" t="n"/>
      <c r="X72" s="224">
        <f>IF(OR($B72="",$W72=""),"",$W72-$V72)</f>
        <v/>
      </c>
      <c r="Y72" s="127" t="n"/>
      <c r="Z72" s="127" t="n"/>
      <c r="AA72" s="150">
        <f>IF($B72="","",IF(AND(SUM($D72,$G72,$K72)&gt;0,$E72&lt;=0),"Thiếu mức đóng BH tháng trước; ","")&amp;IF(AND(SUM($O72:$R72)&gt;0,$P72&lt;=0),"Thiếu bình quân 06 tháng; ","")&amp;IF($K72&gt;0,"Mức 100% chỉ dùng đúng đối tượng luật định; ","")&amp;IF($W72="","",IF(ABS($X72)&gt;1,"Thực tế khác ước tính; ",""))&amp;IF($W72="","",IF($Y72="","Chưa chọn cách chi trả; ","")))</f>
        <v/>
      </c>
    </row>
    <row r="73">
      <c r="A73" s="145">
        <f>IF('DM_NHAN_SU'!$B73="","",ROW()-5)</f>
        <v/>
      </c>
      <c r="B73" s="145">
        <f>IF('DM_NHAN_SU'!$B73="","",'DM_NHAN_SU'!B73)</f>
        <v/>
      </c>
      <c r="C73" s="145">
        <f>IF('DM_NHAN_SU'!$B73="","",'DM_NHAN_SU'!C73)</f>
        <v/>
      </c>
      <c r="D73" s="227" t="n"/>
      <c r="E73" s="222" t="n"/>
      <c r="F73" s="224">
        <f>IF($B73="","",$D73*$E73/24*75%)</f>
        <v/>
      </c>
      <c r="G73" s="227" t="n"/>
      <c r="H73" s="227" t="n"/>
      <c r="I73" s="233">
        <f>IF($B73="","",IF($H73&gt;=30,65%,IF($H73&gt;=15,55%,50%)))</f>
        <v/>
      </c>
      <c r="J73" s="224">
        <f>IF($B73="","",$G73*$E73/24*$I73)</f>
        <v/>
      </c>
      <c r="K73" s="227" t="n"/>
      <c r="L73" s="224">
        <f>IF($B73="","",$K73*$E73/24)</f>
        <v/>
      </c>
      <c r="M73" s="227" t="n"/>
      <c r="N73" s="232">
        <f>IF($B73="","",$M73*'THAM_SO'!$M$27)</f>
        <v/>
      </c>
      <c r="O73" s="227" t="n"/>
      <c r="P73" s="222" t="n"/>
      <c r="Q73" s="227" t="n"/>
      <c r="R73" s="227" t="n"/>
      <c r="S73" s="227" t="n"/>
      <c r="T73" s="227" t="n"/>
      <c r="U73" s="224">
        <f>IF($B73="","",$O73*$P73+$Q73*$P73/24+$R73*$P73/30+$S73*'THAM_SO'!$M$6*2+$T73*'THAM_SO'!$M$27)</f>
        <v/>
      </c>
      <c r="V73" s="224">
        <f>IF($B73="","",SUM($F73,$J73,$L73,$N73,$U73))</f>
        <v/>
      </c>
      <c r="W73" s="222" t="n"/>
      <c r="X73" s="224">
        <f>IF(OR($B73="",$W73=""),"",$W73-$V73)</f>
        <v/>
      </c>
      <c r="Y73" s="127" t="n"/>
      <c r="Z73" s="127" t="n"/>
      <c r="AA73" s="150">
        <f>IF($B73="","",IF(AND(SUM($D73,$G73,$K73)&gt;0,$E73&lt;=0),"Thiếu mức đóng BH tháng trước; ","")&amp;IF(AND(SUM($O73:$R73)&gt;0,$P73&lt;=0),"Thiếu bình quân 06 tháng; ","")&amp;IF($K73&gt;0,"Mức 100% chỉ dùng đúng đối tượng luật định; ","")&amp;IF($W73="","",IF(ABS($X73)&gt;1,"Thực tế khác ước tính; ",""))&amp;IF($W73="","",IF($Y73="","Chưa chọn cách chi trả; ","")))</f>
        <v/>
      </c>
    </row>
    <row r="74">
      <c r="A74" s="145">
        <f>IF('DM_NHAN_SU'!$B74="","",ROW()-5)</f>
        <v/>
      </c>
      <c r="B74" s="145">
        <f>IF('DM_NHAN_SU'!$B74="","",'DM_NHAN_SU'!B74)</f>
        <v/>
      </c>
      <c r="C74" s="145">
        <f>IF('DM_NHAN_SU'!$B74="","",'DM_NHAN_SU'!C74)</f>
        <v/>
      </c>
      <c r="D74" s="227" t="n"/>
      <c r="E74" s="222" t="n"/>
      <c r="F74" s="224">
        <f>IF($B74="","",$D74*$E74/24*75%)</f>
        <v/>
      </c>
      <c r="G74" s="227" t="n"/>
      <c r="H74" s="227" t="n"/>
      <c r="I74" s="233">
        <f>IF($B74="","",IF($H74&gt;=30,65%,IF($H74&gt;=15,55%,50%)))</f>
        <v/>
      </c>
      <c r="J74" s="224">
        <f>IF($B74="","",$G74*$E74/24*$I74)</f>
        <v/>
      </c>
      <c r="K74" s="227" t="n"/>
      <c r="L74" s="224">
        <f>IF($B74="","",$K74*$E74/24)</f>
        <v/>
      </c>
      <c r="M74" s="227" t="n"/>
      <c r="N74" s="232">
        <f>IF($B74="","",$M74*'THAM_SO'!$M$27)</f>
        <v/>
      </c>
      <c r="O74" s="227" t="n"/>
      <c r="P74" s="222" t="n"/>
      <c r="Q74" s="227" t="n"/>
      <c r="R74" s="227" t="n"/>
      <c r="S74" s="227" t="n"/>
      <c r="T74" s="227" t="n"/>
      <c r="U74" s="224">
        <f>IF($B74="","",$O74*$P74+$Q74*$P74/24+$R74*$P74/30+$S74*'THAM_SO'!$M$6*2+$T74*'THAM_SO'!$M$27)</f>
        <v/>
      </c>
      <c r="V74" s="224">
        <f>IF($B74="","",SUM($F74,$J74,$L74,$N74,$U74))</f>
        <v/>
      </c>
      <c r="W74" s="222" t="n"/>
      <c r="X74" s="224">
        <f>IF(OR($B74="",$W74=""),"",$W74-$V74)</f>
        <v/>
      </c>
      <c r="Y74" s="127" t="n"/>
      <c r="Z74" s="127" t="n"/>
      <c r="AA74" s="150">
        <f>IF($B74="","",IF(AND(SUM($D74,$G74,$K74)&gt;0,$E74&lt;=0),"Thiếu mức đóng BH tháng trước; ","")&amp;IF(AND(SUM($O74:$R74)&gt;0,$P74&lt;=0),"Thiếu bình quân 06 tháng; ","")&amp;IF($K74&gt;0,"Mức 100% chỉ dùng đúng đối tượng luật định; ","")&amp;IF($W74="","",IF(ABS($X74)&gt;1,"Thực tế khác ước tính; ",""))&amp;IF($W74="","",IF($Y74="","Chưa chọn cách chi trả; ","")))</f>
        <v/>
      </c>
    </row>
    <row r="75">
      <c r="A75" s="145">
        <f>IF('DM_NHAN_SU'!$B75="","",ROW()-5)</f>
        <v/>
      </c>
      <c r="B75" s="145">
        <f>IF('DM_NHAN_SU'!$B75="","",'DM_NHAN_SU'!B75)</f>
        <v/>
      </c>
      <c r="C75" s="145">
        <f>IF('DM_NHAN_SU'!$B75="","",'DM_NHAN_SU'!C75)</f>
        <v/>
      </c>
      <c r="D75" s="227" t="n"/>
      <c r="E75" s="222" t="n"/>
      <c r="F75" s="224">
        <f>IF($B75="","",$D75*$E75/24*75%)</f>
        <v/>
      </c>
      <c r="G75" s="227" t="n"/>
      <c r="H75" s="227" t="n"/>
      <c r="I75" s="233">
        <f>IF($B75="","",IF($H75&gt;=30,65%,IF($H75&gt;=15,55%,50%)))</f>
        <v/>
      </c>
      <c r="J75" s="224">
        <f>IF($B75="","",$G75*$E75/24*$I75)</f>
        <v/>
      </c>
      <c r="K75" s="227" t="n"/>
      <c r="L75" s="224">
        <f>IF($B75="","",$K75*$E75/24)</f>
        <v/>
      </c>
      <c r="M75" s="227" t="n"/>
      <c r="N75" s="232">
        <f>IF($B75="","",$M75*'THAM_SO'!$M$27)</f>
        <v/>
      </c>
      <c r="O75" s="227" t="n"/>
      <c r="P75" s="222" t="n"/>
      <c r="Q75" s="227" t="n"/>
      <c r="R75" s="227" t="n"/>
      <c r="S75" s="227" t="n"/>
      <c r="T75" s="227" t="n"/>
      <c r="U75" s="224">
        <f>IF($B75="","",$O75*$P75+$Q75*$P75/24+$R75*$P75/30+$S75*'THAM_SO'!$M$6*2+$T75*'THAM_SO'!$M$27)</f>
        <v/>
      </c>
      <c r="V75" s="224">
        <f>IF($B75="","",SUM($F75,$J75,$L75,$N75,$U75))</f>
        <v/>
      </c>
      <c r="W75" s="222" t="n"/>
      <c r="X75" s="224">
        <f>IF(OR($B75="",$W75=""),"",$W75-$V75)</f>
        <v/>
      </c>
      <c r="Y75" s="127" t="n"/>
      <c r="Z75" s="127" t="n"/>
      <c r="AA75" s="150">
        <f>IF($B75="","",IF(AND(SUM($D75,$G75,$K75)&gt;0,$E75&lt;=0),"Thiếu mức đóng BH tháng trước; ","")&amp;IF(AND(SUM($O75:$R75)&gt;0,$P75&lt;=0),"Thiếu bình quân 06 tháng; ","")&amp;IF($K75&gt;0,"Mức 100% chỉ dùng đúng đối tượng luật định; ","")&amp;IF($W75="","",IF(ABS($X75)&gt;1,"Thực tế khác ước tính; ",""))&amp;IF($W75="","",IF($Y75="","Chưa chọn cách chi trả; ","")))</f>
        <v/>
      </c>
    </row>
    <row r="76">
      <c r="A76" s="145">
        <f>IF('DM_NHAN_SU'!$B76="","",ROW()-5)</f>
        <v/>
      </c>
      <c r="B76" s="145">
        <f>IF('DM_NHAN_SU'!$B76="","",'DM_NHAN_SU'!B76)</f>
        <v/>
      </c>
      <c r="C76" s="145">
        <f>IF('DM_NHAN_SU'!$B76="","",'DM_NHAN_SU'!C76)</f>
        <v/>
      </c>
      <c r="D76" s="227" t="n"/>
      <c r="E76" s="222" t="n"/>
      <c r="F76" s="224">
        <f>IF($B76="","",$D76*$E76/24*75%)</f>
        <v/>
      </c>
      <c r="G76" s="227" t="n"/>
      <c r="H76" s="227" t="n"/>
      <c r="I76" s="233">
        <f>IF($B76="","",IF($H76&gt;=30,65%,IF($H76&gt;=15,55%,50%)))</f>
        <v/>
      </c>
      <c r="J76" s="224">
        <f>IF($B76="","",$G76*$E76/24*$I76)</f>
        <v/>
      </c>
      <c r="K76" s="227" t="n"/>
      <c r="L76" s="224">
        <f>IF($B76="","",$K76*$E76/24)</f>
        <v/>
      </c>
      <c r="M76" s="227" t="n"/>
      <c r="N76" s="232">
        <f>IF($B76="","",$M76*'THAM_SO'!$M$27)</f>
        <v/>
      </c>
      <c r="O76" s="227" t="n"/>
      <c r="P76" s="222" t="n"/>
      <c r="Q76" s="227" t="n"/>
      <c r="R76" s="227" t="n"/>
      <c r="S76" s="227" t="n"/>
      <c r="T76" s="227" t="n"/>
      <c r="U76" s="224">
        <f>IF($B76="","",$O76*$P76+$Q76*$P76/24+$R76*$P76/30+$S76*'THAM_SO'!$M$6*2+$T76*'THAM_SO'!$M$27)</f>
        <v/>
      </c>
      <c r="V76" s="224">
        <f>IF($B76="","",SUM($F76,$J76,$L76,$N76,$U76))</f>
        <v/>
      </c>
      <c r="W76" s="222" t="n"/>
      <c r="X76" s="224">
        <f>IF(OR($B76="",$W76=""),"",$W76-$V76)</f>
        <v/>
      </c>
      <c r="Y76" s="127" t="n"/>
      <c r="Z76" s="127" t="n"/>
      <c r="AA76" s="150">
        <f>IF($B76="","",IF(AND(SUM($D76,$G76,$K76)&gt;0,$E76&lt;=0),"Thiếu mức đóng BH tháng trước; ","")&amp;IF(AND(SUM($O76:$R76)&gt;0,$P76&lt;=0),"Thiếu bình quân 06 tháng; ","")&amp;IF($K76&gt;0,"Mức 100% chỉ dùng đúng đối tượng luật định; ","")&amp;IF($W76="","",IF(ABS($X76)&gt;1,"Thực tế khác ước tính; ",""))&amp;IF($W76="","",IF($Y76="","Chưa chọn cách chi trả; ","")))</f>
        <v/>
      </c>
    </row>
    <row r="77">
      <c r="A77" s="145">
        <f>IF('DM_NHAN_SU'!$B77="","",ROW()-5)</f>
        <v/>
      </c>
      <c r="B77" s="145">
        <f>IF('DM_NHAN_SU'!$B77="","",'DM_NHAN_SU'!B77)</f>
        <v/>
      </c>
      <c r="C77" s="145">
        <f>IF('DM_NHAN_SU'!$B77="","",'DM_NHAN_SU'!C77)</f>
        <v/>
      </c>
      <c r="D77" s="227" t="n"/>
      <c r="E77" s="222" t="n"/>
      <c r="F77" s="224">
        <f>IF($B77="","",$D77*$E77/24*75%)</f>
        <v/>
      </c>
      <c r="G77" s="227" t="n"/>
      <c r="H77" s="227" t="n"/>
      <c r="I77" s="233">
        <f>IF($B77="","",IF($H77&gt;=30,65%,IF($H77&gt;=15,55%,50%)))</f>
        <v/>
      </c>
      <c r="J77" s="224">
        <f>IF($B77="","",$G77*$E77/24*$I77)</f>
        <v/>
      </c>
      <c r="K77" s="227" t="n"/>
      <c r="L77" s="224">
        <f>IF($B77="","",$K77*$E77/24)</f>
        <v/>
      </c>
      <c r="M77" s="227" t="n"/>
      <c r="N77" s="232">
        <f>IF($B77="","",$M77*'THAM_SO'!$M$27)</f>
        <v/>
      </c>
      <c r="O77" s="227" t="n"/>
      <c r="P77" s="222" t="n"/>
      <c r="Q77" s="227" t="n"/>
      <c r="R77" s="227" t="n"/>
      <c r="S77" s="227" t="n"/>
      <c r="T77" s="227" t="n"/>
      <c r="U77" s="224">
        <f>IF($B77="","",$O77*$P77+$Q77*$P77/24+$R77*$P77/30+$S77*'THAM_SO'!$M$6*2+$T77*'THAM_SO'!$M$27)</f>
        <v/>
      </c>
      <c r="V77" s="224">
        <f>IF($B77="","",SUM($F77,$J77,$L77,$N77,$U77))</f>
        <v/>
      </c>
      <c r="W77" s="222" t="n"/>
      <c r="X77" s="224">
        <f>IF(OR($B77="",$W77=""),"",$W77-$V77)</f>
        <v/>
      </c>
      <c r="Y77" s="127" t="n"/>
      <c r="Z77" s="127" t="n"/>
      <c r="AA77" s="150">
        <f>IF($B77="","",IF(AND(SUM($D77,$G77,$K77)&gt;0,$E77&lt;=0),"Thiếu mức đóng BH tháng trước; ","")&amp;IF(AND(SUM($O77:$R77)&gt;0,$P77&lt;=0),"Thiếu bình quân 06 tháng; ","")&amp;IF($K77&gt;0,"Mức 100% chỉ dùng đúng đối tượng luật định; ","")&amp;IF($W77="","",IF(ABS($X77)&gt;1,"Thực tế khác ước tính; ",""))&amp;IF($W77="","",IF($Y77="","Chưa chọn cách chi trả; ","")))</f>
        <v/>
      </c>
    </row>
    <row r="78">
      <c r="A78" s="145">
        <f>IF('DM_NHAN_SU'!$B78="","",ROW()-5)</f>
        <v/>
      </c>
      <c r="B78" s="145">
        <f>IF('DM_NHAN_SU'!$B78="","",'DM_NHAN_SU'!B78)</f>
        <v/>
      </c>
      <c r="C78" s="145">
        <f>IF('DM_NHAN_SU'!$B78="","",'DM_NHAN_SU'!C78)</f>
        <v/>
      </c>
      <c r="D78" s="227" t="n"/>
      <c r="E78" s="222" t="n"/>
      <c r="F78" s="224">
        <f>IF($B78="","",$D78*$E78/24*75%)</f>
        <v/>
      </c>
      <c r="G78" s="227" t="n"/>
      <c r="H78" s="227" t="n"/>
      <c r="I78" s="233">
        <f>IF($B78="","",IF($H78&gt;=30,65%,IF($H78&gt;=15,55%,50%)))</f>
        <v/>
      </c>
      <c r="J78" s="224">
        <f>IF($B78="","",$G78*$E78/24*$I78)</f>
        <v/>
      </c>
      <c r="K78" s="227" t="n"/>
      <c r="L78" s="224">
        <f>IF($B78="","",$K78*$E78/24)</f>
        <v/>
      </c>
      <c r="M78" s="227" t="n"/>
      <c r="N78" s="232">
        <f>IF($B78="","",$M78*'THAM_SO'!$M$27)</f>
        <v/>
      </c>
      <c r="O78" s="227" t="n"/>
      <c r="P78" s="222" t="n"/>
      <c r="Q78" s="227" t="n"/>
      <c r="R78" s="227" t="n"/>
      <c r="S78" s="227" t="n"/>
      <c r="T78" s="227" t="n"/>
      <c r="U78" s="224">
        <f>IF($B78="","",$O78*$P78+$Q78*$P78/24+$R78*$P78/30+$S78*'THAM_SO'!$M$6*2+$T78*'THAM_SO'!$M$27)</f>
        <v/>
      </c>
      <c r="V78" s="224">
        <f>IF($B78="","",SUM($F78,$J78,$L78,$N78,$U78))</f>
        <v/>
      </c>
      <c r="W78" s="222" t="n"/>
      <c r="X78" s="224">
        <f>IF(OR($B78="",$W78=""),"",$W78-$V78)</f>
        <v/>
      </c>
      <c r="Y78" s="127" t="n"/>
      <c r="Z78" s="127" t="n"/>
      <c r="AA78" s="150">
        <f>IF($B78="","",IF(AND(SUM($D78,$G78,$K78)&gt;0,$E78&lt;=0),"Thiếu mức đóng BH tháng trước; ","")&amp;IF(AND(SUM($O78:$R78)&gt;0,$P78&lt;=0),"Thiếu bình quân 06 tháng; ","")&amp;IF($K78&gt;0,"Mức 100% chỉ dùng đúng đối tượng luật định; ","")&amp;IF($W78="","",IF(ABS($X78)&gt;1,"Thực tế khác ước tính; ",""))&amp;IF($W78="","",IF($Y78="","Chưa chọn cách chi trả; ","")))</f>
        <v/>
      </c>
    </row>
    <row r="79">
      <c r="A79" s="145">
        <f>IF('DM_NHAN_SU'!$B79="","",ROW()-5)</f>
        <v/>
      </c>
      <c r="B79" s="145">
        <f>IF('DM_NHAN_SU'!$B79="","",'DM_NHAN_SU'!B79)</f>
        <v/>
      </c>
      <c r="C79" s="145">
        <f>IF('DM_NHAN_SU'!$B79="","",'DM_NHAN_SU'!C79)</f>
        <v/>
      </c>
      <c r="D79" s="227" t="n"/>
      <c r="E79" s="222" t="n"/>
      <c r="F79" s="224">
        <f>IF($B79="","",$D79*$E79/24*75%)</f>
        <v/>
      </c>
      <c r="G79" s="227" t="n"/>
      <c r="H79" s="227" t="n"/>
      <c r="I79" s="233">
        <f>IF($B79="","",IF($H79&gt;=30,65%,IF($H79&gt;=15,55%,50%)))</f>
        <v/>
      </c>
      <c r="J79" s="224">
        <f>IF($B79="","",$G79*$E79/24*$I79)</f>
        <v/>
      </c>
      <c r="K79" s="227" t="n"/>
      <c r="L79" s="224">
        <f>IF($B79="","",$K79*$E79/24)</f>
        <v/>
      </c>
      <c r="M79" s="227" t="n"/>
      <c r="N79" s="232">
        <f>IF($B79="","",$M79*'THAM_SO'!$M$27)</f>
        <v/>
      </c>
      <c r="O79" s="227" t="n"/>
      <c r="P79" s="222" t="n"/>
      <c r="Q79" s="227" t="n"/>
      <c r="R79" s="227" t="n"/>
      <c r="S79" s="227" t="n"/>
      <c r="T79" s="227" t="n"/>
      <c r="U79" s="224">
        <f>IF($B79="","",$O79*$P79+$Q79*$P79/24+$R79*$P79/30+$S79*'THAM_SO'!$M$6*2+$T79*'THAM_SO'!$M$27)</f>
        <v/>
      </c>
      <c r="V79" s="224">
        <f>IF($B79="","",SUM($F79,$J79,$L79,$N79,$U79))</f>
        <v/>
      </c>
      <c r="W79" s="222" t="n"/>
      <c r="X79" s="224">
        <f>IF(OR($B79="",$W79=""),"",$W79-$V79)</f>
        <v/>
      </c>
      <c r="Y79" s="127" t="n"/>
      <c r="Z79" s="127" t="n"/>
      <c r="AA79" s="150">
        <f>IF($B79="","",IF(AND(SUM($D79,$G79,$K79)&gt;0,$E79&lt;=0),"Thiếu mức đóng BH tháng trước; ","")&amp;IF(AND(SUM($O79:$R79)&gt;0,$P79&lt;=0),"Thiếu bình quân 06 tháng; ","")&amp;IF($K79&gt;0,"Mức 100% chỉ dùng đúng đối tượng luật định; ","")&amp;IF($W79="","",IF(ABS($X79)&gt;1,"Thực tế khác ước tính; ",""))&amp;IF($W79="","",IF($Y79="","Chưa chọn cách chi trả; ","")))</f>
        <v/>
      </c>
    </row>
    <row r="80">
      <c r="A80" s="145">
        <f>IF('DM_NHAN_SU'!$B80="","",ROW()-5)</f>
        <v/>
      </c>
      <c r="B80" s="145">
        <f>IF('DM_NHAN_SU'!$B80="","",'DM_NHAN_SU'!B80)</f>
        <v/>
      </c>
      <c r="C80" s="145">
        <f>IF('DM_NHAN_SU'!$B80="","",'DM_NHAN_SU'!C80)</f>
        <v/>
      </c>
      <c r="D80" s="227" t="n"/>
      <c r="E80" s="222" t="n"/>
      <c r="F80" s="224">
        <f>IF($B80="","",$D80*$E80/24*75%)</f>
        <v/>
      </c>
      <c r="G80" s="227" t="n"/>
      <c r="H80" s="227" t="n"/>
      <c r="I80" s="233">
        <f>IF($B80="","",IF($H80&gt;=30,65%,IF($H80&gt;=15,55%,50%)))</f>
        <v/>
      </c>
      <c r="J80" s="224">
        <f>IF($B80="","",$G80*$E80/24*$I80)</f>
        <v/>
      </c>
      <c r="K80" s="227" t="n"/>
      <c r="L80" s="224">
        <f>IF($B80="","",$K80*$E80/24)</f>
        <v/>
      </c>
      <c r="M80" s="227" t="n"/>
      <c r="N80" s="232">
        <f>IF($B80="","",$M80*'THAM_SO'!$M$27)</f>
        <v/>
      </c>
      <c r="O80" s="227" t="n"/>
      <c r="P80" s="222" t="n"/>
      <c r="Q80" s="227" t="n"/>
      <c r="R80" s="227" t="n"/>
      <c r="S80" s="227" t="n"/>
      <c r="T80" s="227" t="n"/>
      <c r="U80" s="224">
        <f>IF($B80="","",$O80*$P80+$Q80*$P80/24+$R80*$P80/30+$S80*'THAM_SO'!$M$6*2+$T80*'THAM_SO'!$M$27)</f>
        <v/>
      </c>
      <c r="V80" s="224">
        <f>IF($B80="","",SUM($F80,$J80,$L80,$N80,$U80))</f>
        <v/>
      </c>
      <c r="W80" s="222" t="n"/>
      <c r="X80" s="224">
        <f>IF(OR($B80="",$W80=""),"",$W80-$V80)</f>
        <v/>
      </c>
      <c r="Y80" s="127" t="n"/>
      <c r="Z80" s="127" t="n"/>
      <c r="AA80" s="150">
        <f>IF($B80="","",IF(AND(SUM($D80,$G80,$K80)&gt;0,$E80&lt;=0),"Thiếu mức đóng BH tháng trước; ","")&amp;IF(AND(SUM($O80:$R80)&gt;0,$P80&lt;=0),"Thiếu bình quân 06 tháng; ","")&amp;IF($K80&gt;0,"Mức 100% chỉ dùng đúng đối tượng luật định; ","")&amp;IF($W80="","",IF(ABS($X80)&gt;1,"Thực tế khác ước tính; ",""))&amp;IF($W80="","",IF($Y80="","Chưa chọn cách chi trả; ","")))</f>
        <v/>
      </c>
    </row>
    <row r="81">
      <c r="A81" s="145">
        <f>IF('DM_NHAN_SU'!$B81="","",ROW()-5)</f>
        <v/>
      </c>
      <c r="B81" s="145">
        <f>IF('DM_NHAN_SU'!$B81="","",'DM_NHAN_SU'!B81)</f>
        <v/>
      </c>
      <c r="C81" s="145">
        <f>IF('DM_NHAN_SU'!$B81="","",'DM_NHAN_SU'!C81)</f>
        <v/>
      </c>
      <c r="D81" s="227" t="n"/>
      <c r="E81" s="222" t="n"/>
      <c r="F81" s="224">
        <f>IF($B81="","",$D81*$E81/24*75%)</f>
        <v/>
      </c>
      <c r="G81" s="227" t="n"/>
      <c r="H81" s="227" t="n"/>
      <c r="I81" s="233">
        <f>IF($B81="","",IF($H81&gt;=30,65%,IF($H81&gt;=15,55%,50%)))</f>
        <v/>
      </c>
      <c r="J81" s="224">
        <f>IF($B81="","",$G81*$E81/24*$I81)</f>
        <v/>
      </c>
      <c r="K81" s="227" t="n"/>
      <c r="L81" s="224">
        <f>IF($B81="","",$K81*$E81/24)</f>
        <v/>
      </c>
      <c r="M81" s="227" t="n"/>
      <c r="N81" s="232">
        <f>IF($B81="","",$M81*'THAM_SO'!$M$27)</f>
        <v/>
      </c>
      <c r="O81" s="227" t="n"/>
      <c r="P81" s="222" t="n"/>
      <c r="Q81" s="227" t="n"/>
      <c r="R81" s="227" t="n"/>
      <c r="S81" s="227" t="n"/>
      <c r="T81" s="227" t="n"/>
      <c r="U81" s="224">
        <f>IF($B81="","",$O81*$P81+$Q81*$P81/24+$R81*$P81/30+$S81*'THAM_SO'!$M$6*2+$T81*'THAM_SO'!$M$27)</f>
        <v/>
      </c>
      <c r="V81" s="224">
        <f>IF($B81="","",SUM($F81,$J81,$L81,$N81,$U81))</f>
        <v/>
      </c>
      <c r="W81" s="222" t="n"/>
      <c r="X81" s="224">
        <f>IF(OR($B81="",$W81=""),"",$W81-$V81)</f>
        <v/>
      </c>
      <c r="Y81" s="127" t="n"/>
      <c r="Z81" s="127" t="n"/>
      <c r="AA81" s="150">
        <f>IF($B81="","",IF(AND(SUM($D81,$G81,$K81)&gt;0,$E81&lt;=0),"Thiếu mức đóng BH tháng trước; ","")&amp;IF(AND(SUM($O81:$R81)&gt;0,$P81&lt;=0),"Thiếu bình quân 06 tháng; ","")&amp;IF($K81&gt;0,"Mức 100% chỉ dùng đúng đối tượng luật định; ","")&amp;IF($W81="","",IF(ABS($X81)&gt;1,"Thực tế khác ước tính; ",""))&amp;IF($W81="","",IF($Y81="","Chưa chọn cách chi trả; ","")))</f>
        <v/>
      </c>
    </row>
    <row r="82">
      <c r="A82" s="145">
        <f>IF('DM_NHAN_SU'!$B82="","",ROW()-5)</f>
        <v/>
      </c>
      <c r="B82" s="145">
        <f>IF('DM_NHAN_SU'!$B82="","",'DM_NHAN_SU'!B82)</f>
        <v/>
      </c>
      <c r="C82" s="145">
        <f>IF('DM_NHAN_SU'!$B82="","",'DM_NHAN_SU'!C82)</f>
        <v/>
      </c>
      <c r="D82" s="227" t="n"/>
      <c r="E82" s="222" t="n"/>
      <c r="F82" s="224">
        <f>IF($B82="","",$D82*$E82/24*75%)</f>
        <v/>
      </c>
      <c r="G82" s="227" t="n"/>
      <c r="H82" s="227" t="n"/>
      <c r="I82" s="233">
        <f>IF($B82="","",IF($H82&gt;=30,65%,IF($H82&gt;=15,55%,50%)))</f>
        <v/>
      </c>
      <c r="J82" s="224">
        <f>IF($B82="","",$G82*$E82/24*$I82)</f>
        <v/>
      </c>
      <c r="K82" s="227" t="n"/>
      <c r="L82" s="224">
        <f>IF($B82="","",$K82*$E82/24)</f>
        <v/>
      </c>
      <c r="M82" s="227" t="n"/>
      <c r="N82" s="232">
        <f>IF($B82="","",$M82*'THAM_SO'!$M$27)</f>
        <v/>
      </c>
      <c r="O82" s="227" t="n"/>
      <c r="P82" s="222" t="n"/>
      <c r="Q82" s="227" t="n"/>
      <c r="R82" s="227" t="n"/>
      <c r="S82" s="227" t="n"/>
      <c r="T82" s="227" t="n"/>
      <c r="U82" s="224">
        <f>IF($B82="","",$O82*$P82+$Q82*$P82/24+$R82*$P82/30+$S82*'THAM_SO'!$M$6*2+$T82*'THAM_SO'!$M$27)</f>
        <v/>
      </c>
      <c r="V82" s="224">
        <f>IF($B82="","",SUM($F82,$J82,$L82,$N82,$U82))</f>
        <v/>
      </c>
      <c r="W82" s="222" t="n"/>
      <c r="X82" s="224">
        <f>IF(OR($B82="",$W82=""),"",$W82-$V82)</f>
        <v/>
      </c>
      <c r="Y82" s="127" t="n"/>
      <c r="Z82" s="127" t="n"/>
      <c r="AA82" s="150">
        <f>IF($B82="","",IF(AND(SUM($D82,$G82,$K82)&gt;0,$E82&lt;=0),"Thiếu mức đóng BH tháng trước; ","")&amp;IF(AND(SUM($O82:$R82)&gt;0,$P82&lt;=0),"Thiếu bình quân 06 tháng; ","")&amp;IF($K82&gt;0,"Mức 100% chỉ dùng đúng đối tượng luật định; ","")&amp;IF($W82="","",IF(ABS($X82)&gt;1,"Thực tế khác ước tính; ",""))&amp;IF($W82="","",IF($Y82="","Chưa chọn cách chi trả; ","")))</f>
        <v/>
      </c>
    </row>
    <row r="83">
      <c r="A83" s="145">
        <f>IF('DM_NHAN_SU'!$B83="","",ROW()-5)</f>
        <v/>
      </c>
      <c r="B83" s="145">
        <f>IF('DM_NHAN_SU'!$B83="","",'DM_NHAN_SU'!B83)</f>
        <v/>
      </c>
      <c r="C83" s="145">
        <f>IF('DM_NHAN_SU'!$B83="","",'DM_NHAN_SU'!C83)</f>
        <v/>
      </c>
      <c r="D83" s="227" t="n"/>
      <c r="E83" s="222" t="n"/>
      <c r="F83" s="224">
        <f>IF($B83="","",$D83*$E83/24*75%)</f>
        <v/>
      </c>
      <c r="G83" s="227" t="n"/>
      <c r="H83" s="227" t="n"/>
      <c r="I83" s="233">
        <f>IF($B83="","",IF($H83&gt;=30,65%,IF($H83&gt;=15,55%,50%)))</f>
        <v/>
      </c>
      <c r="J83" s="224">
        <f>IF($B83="","",$G83*$E83/24*$I83)</f>
        <v/>
      </c>
      <c r="K83" s="227" t="n"/>
      <c r="L83" s="224">
        <f>IF($B83="","",$K83*$E83/24)</f>
        <v/>
      </c>
      <c r="M83" s="227" t="n"/>
      <c r="N83" s="232">
        <f>IF($B83="","",$M83*'THAM_SO'!$M$27)</f>
        <v/>
      </c>
      <c r="O83" s="227" t="n"/>
      <c r="P83" s="222" t="n"/>
      <c r="Q83" s="227" t="n"/>
      <c r="R83" s="227" t="n"/>
      <c r="S83" s="227" t="n"/>
      <c r="T83" s="227" t="n"/>
      <c r="U83" s="224">
        <f>IF($B83="","",$O83*$P83+$Q83*$P83/24+$R83*$P83/30+$S83*'THAM_SO'!$M$6*2+$T83*'THAM_SO'!$M$27)</f>
        <v/>
      </c>
      <c r="V83" s="224">
        <f>IF($B83="","",SUM($F83,$J83,$L83,$N83,$U83))</f>
        <v/>
      </c>
      <c r="W83" s="222" t="n"/>
      <c r="X83" s="224">
        <f>IF(OR($B83="",$W83=""),"",$W83-$V83)</f>
        <v/>
      </c>
      <c r="Y83" s="127" t="n"/>
      <c r="Z83" s="127" t="n"/>
      <c r="AA83" s="150">
        <f>IF($B83="","",IF(AND(SUM($D83,$G83,$K83)&gt;0,$E83&lt;=0),"Thiếu mức đóng BH tháng trước; ","")&amp;IF(AND(SUM($O83:$R83)&gt;0,$P83&lt;=0),"Thiếu bình quân 06 tháng; ","")&amp;IF($K83&gt;0,"Mức 100% chỉ dùng đúng đối tượng luật định; ","")&amp;IF($W83="","",IF(ABS($X83)&gt;1,"Thực tế khác ước tính; ",""))&amp;IF($W83="","",IF($Y83="","Chưa chọn cách chi trả; ","")))</f>
        <v/>
      </c>
    </row>
    <row r="84">
      <c r="A84" s="145">
        <f>IF('DM_NHAN_SU'!$B84="","",ROW()-5)</f>
        <v/>
      </c>
      <c r="B84" s="145">
        <f>IF('DM_NHAN_SU'!$B84="","",'DM_NHAN_SU'!B84)</f>
        <v/>
      </c>
      <c r="C84" s="145">
        <f>IF('DM_NHAN_SU'!$B84="","",'DM_NHAN_SU'!C84)</f>
        <v/>
      </c>
      <c r="D84" s="227" t="n"/>
      <c r="E84" s="222" t="n"/>
      <c r="F84" s="224">
        <f>IF($B84="","",$D84*$E84/24*75%)</f>
        <v/>
      </c>
      <c r="G84" s="227" t="n"/>
      <c r="H84" s="227" t="n"/>
      <c r="I84" s="233">
        <f>IF($B84="","",IF($H84&gt;=30,65%,IF($H84&gt;=15,55%,50%)))</f>
        <v/>
      </c>
      <c r="J84" s="224">
        <f>IF($B84="","",$G84*$E84/24*$I84)</f>
        <v/>
      </c>
      <c r="K84" s="227" t="n"/>
      <c r="L84" s="224">
        <f>IF($B84="","",$K84*$E84/24)</f>
        <v/>
      </c>
      <c r="M84" s="227" t="n"/>
      <c r="N84" s="232">
        <f>IF($B84="","",$M84*'THAM_SO'!$M$27)</f>
        <v/>
      </c>
      <c r="O84" s="227" t="n"/>
      <c r="P84" s="222" t="n"/>
      <c r="Q84" s="227" t="n"/>
      <c r="R84" s="227" t="n"/>
      <c r="S84" s="227" t="n"/>
      <c r="T84" s="227" t="n"/>
      <c r="U84" s="224">
        <f>IF($B84="","",$O84*$P84+$Q84*$P84/24+$R84*$P84/30+$S84*'THAM_SO'!$M$6*2+$T84*'THAM_SO'!$M$27)</f>
        <v/>
      </c>
      <c r="V84" s="224">
        <f>IF($B84="","",SUM($F84,$J84,$L84,$N84,$U84))</f>
        <v/>
      </c>
      <c r="W84" s="222" t="n"/>
      <c r="X84" s="224">
        <f>IF(OR($B84="",$W84=""),"",$W84-$V84)</f>
        <v/>
      </c>
      <c r="Y84" s="127" t="n"/>
      <c r="Z84" s="127" t="n"/>
      <c r="AA84" s="150">
        <f>IF($B84="","",IF(AND(SUM($D84,$G84,$K84)&gt;0,$E84&lt;=0),"Thiếu mức đóng BH tháng trước; ","")&amp;IF(AND(SUM($O84:$R84)&gt;0,$P84&lt;=0),"Thiếu bình quân 06 tháng; ","")&amp;IF($K84&gt;0,"Mức 100% chỉ dùng đúng đối tượng luật định; ","")&amp;IF($W84="","",IF(ABS($X84)&gt;1,"Thực tế khác ước tính; ",""))&amp;IF($W84="","",IF($Y84="","Chưa chọn cách chi trả; ","")))</f>
        <v/>
      </c>
    </row>
    <row r="85">
      <c r="A85" s="145">
        <f>IF('DM_NHAN_SU'!$B85="","",ROW()-5)</f>
        <v/>
      </c>
      <c r="B85" s="145">
        <f>IF('DM_NHAN_SU'!$B85="","",'DM_NHAN_SU'!B85)</f>
        <v/>
      </c>
      <c r="C85" s="145">
        <f>IF('DM_NHAN_SU'!$B85="","",'DM_NHAN_SU'!C85)</f>
        <v/>
      </c>
      <c r="D85" s="227" t="n"/>
      <c r="E85" s="222" t="n"/>
      <c r="F85" s="224">
        <f>IF($B85="","",$D85*$E85/24*75%)</f>
        <v/>
      </c>
      <c r="G85" s="227" t="n"/>
      <c r="H85" s="227" t="n"/>
      <c r="I85" s="233">
        <f>IF($B85="","",IF($H85&gt;=30,65%,IF($H85&gt;=15,55%,50%)))</f>
        <v/>
      </c>
      <c r="J85" s="224">
        <f>IF($B85="","",$G85*$E85/24*$I85)</f>
        <v/>
      </c>
      <c r="K85" s="227" t="n"/>
      <c r="L85" s="224">
        <f>IF($B85="","",$K85*$E85/24)</f>
        <v/>
      </c>
      <c r="M85" s="227" t="n"/>
      <c r="N85" s="232">
        <f>IF($B85="","",$M85*'THAM_SO'!$M$27)</f>
        <v/>
      </c>
      <c r="O85" s="227" t="n"/>
      <c r="P85" s="222" t="n"/>
      <c r="Q85" s="227" t="n"/>
      <c r="R85" s="227" t="n"/>
      <c r="S85" s="227" t="n"/>
      <c r="T85" s="227" t="n"/>
      <c r="U85" s="224">
        <f>IF($B85="","",$O85*$P85+$Q85*$P85/24+$R85*$P85/30+$S85*'THAM_SO'!$M$6*2+$T85*'THAM_SO'!$M$27)</f>
        <v/>
      </c>
      <c r="V85" s="224">
        <f>IF($B85="","",SUM($F85,$J85,$L85,$N85,$U85))</f>
        <v/>
      </c>
      <c r="W85" s="222" t="n"/>
      <c r="X85" s="224">
        <f>IF(OR($B85="",$W85=""),"",$W85-$V85)</f>
        <v/>
      </c>
      <c r="Y85" s="127" t="n"/>
      <c r="Z85" s="127" t="n"/>
      <c r="AA85" s="150">
        <f>IF($B85="","",IF(AND(SUM($D85,$G85,$K85)&gt;0,$E85&lt;=0),"Thiếu mức đóng BH tháng trước; ","")&amp;IF(AND(SUM($O85:$R85)&gt;0,$P85&lt;=0),"Thiếu bình quân 06 tháng; ","")&amp;IF($K85&gt;0,"Mức 100% chỉ dùng đúng đối tượng luật định; ","")&amp;IF($W85="","",IF(ABS($X85)&gt;1,"Thực tế khác ước tính; ",""))&amp;IF($W85="","",IF($Y85="","Chưa chọn cách chi trả; ","")))</f>
        <v/>
      </c>
    </row>
    <row r="86">
      <c r="A86" s="145">
        <f>IF('DM_NHAN_SU'!$B86="","",ROW()-5)</f>
        <v/>
      </c>
      <c r="B86" s="145">
        <f>IF('DM_NHAN_SU'!$B86="","",'DM_NHAN_SU'!B86)</f>
        <v/>
      </c>
      <c r="C86" s="145">
        <f>IF('DM_NHAN_SU'!$B86="","",'DM_NHAN_SU'!C86)</f>
        <v/>
      </c>
      <c r="D86" s="227" t="n"/>
      <c r="E86" s="222" t="n"/>
      <c r="F86" s="224">
        <f>IF($B86="","",$D86*$E86/24*75%)</f>
        <v/>
      </c>
      <c r="G86" s="227" t="n"/>
      <c r="H86" s="227" t="n"/>
      <c r="I86" s="233">
        <f>IF($B86="","",IF($H86&gt;=30,65%,IF($H86&gt;=15,55%,50%)))</f>
        <v/>
      </c>
      <c r="J86" s="224">
        <f>IF($B86="","",$G86*$E86/24*$I86)</f>
        <v/>
      </c>
      <c r="K86" s="227" t="n"/>
      <c r="L86" s="224">
        <f>IF($B86="","",$K86*$E86/24)</f>
        <v/>
      </c>
      <c r="M86" s="227" t="n"/>
      <c r="N86" s="232">
        <f>IF($B86="","",$M86*'THAM_SO'!$M$27)</f>
        <v/>
      </c>
      <c r="O86" s="227" t="n"/>
      <c r="P86" s="222" t="n"/>
      <c r="Q86" s="227" t="n"/>
      <c r="R86" s="227" t="n"/>
      <c r="S86" s="227" t="n"/>
      <c r="T86" s="227" t="n"/>
      <c r="U86" s="224">
        <f>IF($B86="","",$O86*$P86+$Q86*$P86/24+$R86*$P86/30+$S86*'THAM_SO'!$M$6*2+$T86*'THAM_SO'!$M$27)</f>
        <v/>
      </c>
      <c r="V86" s="224">
        <f>IF($B86="","",SUM($F86,$J86,$L86,$N86,$U86))</f>
        <v/>
      </c>
      <c r="W86" s="222" t="n"/>
      <c r="X86" s="224">
        <f>IF(OR($B86="",$W86=""),"",$W86-$V86)</f>
        <v/>
      </c>
      <c r="Y86" s="127" t="n"/>
      <c r="Z86" s="127" t="n"/>
      <c r="AA86" s="150">
        <f>IF($B86="","",IF(AND(SUM($D86,$G86,$K86)&gt;0,$E86&lt;=0),"Thiếu mức đóng BH tháng trước; ","")&amp;IF(AND(SUM($O86:$R86)&gt;0,$P86&lt;=0),"Thiếu bình quân 06 tháng; ","")&amp;IF($K86&gt;0,"Mức 100% chỉ dùng đúng đối tượng luật định; ","")&amp;IF($W86="","",IF(ABS($X86)&gt;1,"Thực tế khác ước tính; ",""))&amp;IF($W86="","",IF($Y86="","Chưa chọn cách chi trả; ","")))</f>
        <v/>
      </c>
    </row>
    <row r="87">
      <c r="A87" s="145">
        <f>IF('DM_NHAN_SU'!$B87="","",ROW()-5)</f>
        <v/>
      </c>
      <c r="B87" s="145">
        <f>IF('DM_NHAN_SU'!$B87="","",'DM_NHAN_SU'!B87)</f>
        <v/>
      </c>
      <c r="C87" s="145">
        <f>IF('DM_NHAN_SU'!$B87="","",'DM_NHAN_SU'!C87)</f>
        <v/>
      </c>
      <c r="D87" s="227" t="n"/>
      <c r="E87" s="222" t="n"/>
      <c r="F87" s="224">
        <f>IF($B87="","",$D87*$E87/24*75%)</f>
        <v/>
      </c>
      <c r="G87" s="227" t="n"/>
      <c r="H87" s="227" t="n"/>
      <c r="I87" s="233">
        <f>IF($B87="","",IF($H87&gt;=30,65%,IF($H87&gt;=15,55%,50%)))</f>
        <v/>
      </c>
      <c r="J87" s="224">
        <f>IF($B87="","",$G87*$E87/24*$I87)</f>
        <v/>
      </c>
      <c r="K87" s="227" t="n"/>
      <c r="L87" s="224">
        <f>IF($B87="","",$K87*$E87/24)</f>
        <v/>
      </c>
      <c r="M87" s="227" t="n"/>
      <c r="N87" s="232">
        <f>IF($B87="","",$M87*'THAM_SO'!$M$27)</f>
        <v/>
      </c>
      <c r="O87" s="227" t="n"/>
      <c r="P87" s="222" t="n"/>
      <c r="Q87" s="227" t="n"/>
      <c r="R87" s="227" t="n"/>
      <c r="S87" s="227" t="n"/>
      <c r="T87" s="227" t="n"/>
      <c r="U87" s="224">
        <f>IF($B87="","",$O87*$P87+$Q87*$P87/24+$R87*$P87/30+$S87*'THAM_SO'!$M$6*2+$T87*'THAM_SO'!$M$27)</f>
        <v/>
      </c>
      <c r="V87" s="224">
        <f>IF($B87="","",SUM($F87,$J87,$L87,$N87,$U87))</f>
        <v/>
      </c>
      <c r="W87" s="222" t="n"/>
      <c r="X87" s="224">
        <f>IF(OR($B87="",$W87=""),"",$W87-$V87)</f>
        <v/>
      </c>
      <c r="Y87" s="127" t="n"/>
      <c r="Z87" s="127" t="n"/>
      <c r="AA87" s="150">
        <f>IF($B87="","",IF(AND(SUM($D87,$G87,$K87)&gt;0,$E87&lt;=0),"Thiếu mức đóng BH tháng trước; ","")&amp;IF(AND(SUM($O87:$R87)&gt;0,$P87&lt;=0),"Thiếu bình quân 06 tháng; ","")&amp;IF($K87&gt;0,"Mức 100% chỉ dùng đúng đối tượng luật định; ","")&amp;IF($W87="","",IF(ABS($X87)&gt;1,"Thực tế khác ước tính; ",""))&amp;IF($W87="","",IF($Y87="","Chưa chọn cách chi trả; ","")))</f>
        <v/>
      </c>
    </row>
    <row r="88">
      <c r="A88" s="145">
        <f>IF('DM_NHAN_SU'!$B88="","",ROW()-5)</f>
        <v/>
      </c>
      <c r="B88" s="145">
        <f>IF('DM_NHAN_SU'!$B88="","",'DM_NHAN_SU'!B88)</f>
        <v/>
      </c>
      <c r="C88" s="145">
        <f>IF('DM_NHAN_SU'!$B88="","",'DM_NHAN_SU'!C88)</f>
        <v/>
      </c>
      <c r="D88" s="227" t="n"/>
      <c r="E88" s="222" t="n"/>
      <c r="F88" s="224">
        <f>IF($B88="","",$D88*$E88/24*75%)</f>
        <v/>
      </c>
      <c r="G88" s="227" t="n"/>
      <c r="H88" s="227" t="n"/>
      <c r="I88" s="233">
        <f>IF($B88="","",IF($H88&gt;=30,65%,IF($H88&gt;=15,55%,50%)))</f>
        <v/>
      </c>
      <c r="J88" s="224">
        <f>IF($B88="","",$G88*$E88/24*$I88)</f>
        <v/>
      </c>
      <c r="K88" s="227" t="n"/>
      <c r="L88" s="224">
        <f>IF($B88="","",$K88*$E88/24)</f>
        <v/>
      </c>
      <c r="M88" s="227" t="n"/>
      <c r="N88" s="232">
        <f>IF($B88="","",$M88*'THAM_SO'!$M$27)</f>
        <v/>
      </c>
      <c r="O88" s="227" t="n"/>
      <c r="P88" s="222" t="n"/>
      <c r="Q88" s="227" t="n"/>
      <c r="R88" s="227" t="n"/>
      <c r="S88" s="227" t="n"/>
      <c r="T88" s="227" t="n"/>
      <c r="U88" s="224">
        <f>IF($B88="","",$O88*$P88+$Q88*$P88/24+$R88*$P88/30+$S88*'THAM_SO'!$M$6*2+$T88*'THAM_SO'!$M$27)</f>
        <v/>
      </c>
      <c r="V88" s="224">
        <f>IF($B88="","",SUM($F88,$J88,$L88,$N88,$U88))</f>
        <v/>
      </c>
      <c r="W88" s="222" t="n"/>
      <c r="X88" s="224">
        <f>IF(OR($B88="",$W88=""),"",$W88-$V88)</f>
        <v/>
      </c>
      <c r="Y88" s="127" t="n"/>
      <c r="Z88" s="127" t="n"/>
      <c r="AA88" s="150">
        <f>IF($B88="","",IF(AND(SUM($D88,$G88,$K88)&gt;0,$E88&lt;=0),"Thiếu mức đóng BH tháng trước; ","")&amp;IF(AND(SUM($O88:$R88)&gt;0,$P88&lt;=0),"Thiếu bình quân 06 tháng; ","")&amp;IF($K88&gt;0,"Mức 100% chỉ dùng đúng đối tượng luật định; ","")&amp;IF($W88="","",IF(ABS($X88)&gt;1,"Thực tế khác ước tính; ",""))&amp;IF($W88="","",IF($Y88="","Chưa chọn cách chi trả; ","")))</f>
        <v/>
      </c>
    </row>
    <row r="89">
      <c r="A89" s="145">
        <f>IF('DM_NHAN_SU'!$B89="","",ROW()-5)</f>
        <v/>
      </c>
      <c r="B89" s="145">
        <f>IF('DM_NHAN_SU'!$B89="","",'DM_NHAN_SU'!B89)</f>
        <v/>
      </c>
      <c r="C89" s="145">
        <f>IF('DM_NHAN_SU'!$B89="","",'DM_NHAN_SU'!C89)</f>
        <v/>
      </c>
      <c r="D89" s="227" t="n"/>
      <c r="E89" s="222" t="n"/>
      <c r="F89" s="224">
        <f>IF($B89="","",$D89*$E89/24*75%)</f>
        <v/>
      </c>
      <c r="G89" s="227" t="n"/>
      <c r="H89" s="227" t="n"/>
      <c r="I89" s="233">
        <f>IF($B89="","",IF($H89&gt;=30,65%,IF($H89&gt;=15,55%,50%)))</f>
        <v/>
      </c>
      <c r="J89" s="224">
        <f>IF($B89="","",$G89*$E89/24*$I89)</f>
        <v/>
      </c>
      <c r="K89" s="227" t="n"/>
      <c r="L89" s="224">
        <f>IF($B89="","",$K89*$E89/24)</f>
        <v/>
      </c>
      <c r="M89" s="227" t="n"/>
      <c r="N89" s="232">
        <f>IF($B89="","",$M89*'THAM_SO'!$M$27)</f>
        <v/>
      </c>
      <c r="O89" s="227" t="n"/>
      <c r="P89" s="222" t="n"/>
      <c r="Q89" s="227" t="n"/>
      <c r="R89" s="227" t="n"/>
      <c r="S89" s="227" t="n"/>
      <c r="T89" s="227" t="n"/>
      <c r="U89" s="224">
        <f>IF($B89="","",$O89*$P89+$Q89*$P89/24+$R89*$P89/30+$S89*'THAM_SO'!$M$6*2+$T89*'THAM_SO'!$M$27)</f>
        <v/>
      </c>
      <c r="V89" s="224">
        <f>IF($B89="","",SUM($F89,$J89,$L89,$N89,$U89))</f>
        <v/>
      </c>
      <c r="W89" s="222" t="n"/>
      <c r="X89" s="224">
        <f>IF(OR($B89="",$W89=""),"",$W89-$V89)</f>
        <v/>
      </c>
      <c r="Y89" s="127" t="n"/>
      <c r="Z89" s="127" t="n"/>
      <c r="AA89" s="150">
        <f>IF($B89="","",IF(AND(SUM($D89,$G89,$K89)&gt;0,$E89&lt;=0),"Thiếu mức đóng BH tháng trước; ","")&amp;IF(AND(SUM($O89:$R89)&gt;0,$P89&lt;=0),"Thiếu bình quân 06 tháng; ","")&amp;IF($K89&gt;0,"Mức 100% chỉ dùng đúng đối tượng luật định; ","")&amp;IF($W89="","",IF(ABS($X89)&gt;1,"Thực tế khác ước tính; ",""))&amp;IF($W89="","",IF($Y89="","Chưa chọn cách chi trả; ","")))</f>
        <v/>
      </c>
    </row>
    <row r="90">
      <c r="A90" s="145">
        <f>IF('DM_NHAN_SU'!$B90="","",ROW()-5)</f>
        <v/>
      </c>
      <c r="B90" s="145">
        <f>IF('DM_NHAN_SU'!$B90="","",'DM_NHAN_SU'!B90)</f>
        <v/>
      </c>
      <c r="C90" s="145">
        <f>IF('DM_NHAN_SU'!$B90="","",'DM_NHAN_SU'!C90)</f>
        <v/>
      </c>
      <c r="D90" s="227" t="n"/>
      <c r="E90" s="222" t="n"/>
      <c r="F90" s="224">
        <f>IF($B90="","",$D90*$E90/24*75%)</f>
        <v/>
      </c>
      <c r="G90" s="227" t="n"/>
      <c r="H90" s="227" t="n"/>
      <c r="I90" s="233">
        <f>IF($B90="","",IF($H90&gt;=30,65%,IF($H90&gt;=15,55%,50%)))</f>
        <v/>
      </c>
      <c r="J90" s="224">
        <f>IF($B90="","",$G90*$E90/24*$I90)</f>
        <v/>
      </c>
      <c r="K90" s="227" t="n"/>
      <c r="L90" s="224">
        <f>IF($B90="","",$K90*$E90/24)</f>
        <v/>
      </c>
      <c r="M90" s="227" t="n"/>
      <c r="N90" s="232">
        <f>IF($B90="","",$M90*'THAM_SO'!$M$27)</f>
        <v/>
      </c>
      <c r="O90" s="227" t="n"/>
      <c r="P90" s="222" t="n"/>
      <c r="Q90" s="227" t="n"/>
      <c r="R90" s="227" t="n"/>
      <c r="S90" s="227" t="n"/>
      <c r="T90" s="227" t="n"/>
      <c r="U90" s="224">
        <f>IF($B90="","",$O90*$P90+$Q90*$P90/24+$R90*$P90/30+$S90*'THAM_SO'!$M$6*2+$T90*'THAM_SO'!$M$27)</f>
        <v/>
      </c>
      <c r="V90" s="224">
        <f>IF($B90="","",SUM($F90,$J90,$L90,$N90,$U90))</f>
        <v/>
      </c>
      <c r="W90" s="222" t="n"/>
      <c r="X90" s="224">
        <f>IF(OR($B90="",$W90=""),"",$W90-$V90)</f>
        <v/>
      </c>
      <c r="Y90" s="127" t="n"/>
      <c r="Z90" s="127" t="n"/>
      <c r="AA90" s="150">
        <f>IF($B90="","",IF(AND(SUM($D90,$G90,$K90)&gt;0,$E90&lt;=0),"Thiếu mức đóng BH tháng trước; ","")&amp;IF(AND(SUM($O90:$R90)&gt;0,$P90&lt;=0),"Thiếu bình quân 06 tháng; ","")&amp;IF($K90&gt;0,"Mức 100% chỉ dùng đúng đối tượng luật định; ","")&amp;IF($W90="","",IF(ABS($X90)&gt;1,"Thực tế khác ước tính; ",""))&amp;IF($W90="","",IF($Y90="","Chưa chọn cách chi trả; ","")))</f>
        <v/>
      </c>
    </row>
    <row r="91">
      <c r="A91" s="145">
        <f>IF('DM_NHAN_SU'!$B91="","",ROW()-5)</f>
        <v/>
      </c>
      <c r="B91" s="145">
        <f>IF('DM_NHAN_SU'!$B91="","",'DM_NHAN_SU'!B91)</f>
        <v/>
      </c>
      <c r="C91" s="145">
        <f>IF('DM_NHAN_SU'!$B91="","",'DM_NHAN_SU'!C91)</f>
        <v/>
      </c>
      <c r="D91" s="227" t="n"/>
      <c r="E91" s="222" t="n"/>
      <c r="F91" s="224">
        <f>IF($B91="","",$D91*$E91/24*75%)</f>
        <v/>
      </c>
      <c r="G91" s="227" t="n"/>
      <c r="H91" s="227" t="n"/>
      <c r="I91" s="233">
        <f>IF($B91="","",IF($H91&gt;=30,65%,IF($H91&gt;=15,55%,50%)))</f>
        <v/>
      </c>
      <c r="J91" s="224">
        <f>IF($B91="","",$G91*$E91/24*$I91)</f>
        <v/>
      </c>
      <c r="K91" s="227" t="n"/>
      <c r="L91" s="224">
        <f>IF($B91="","",$K91*$E91/24)</f>
        <v/>
      </c>
      <c r="M91" s="227" t="n"/>
      <c r="N91" s="232">
        <f>IF($B91="","",$M91*'THAM_SO'!$M$27)</f>
        <v/>
      </c>
      <c r="O91" s="227" t="n"/>
      <c r="P91" s="222" t="n"/>
      <c r="Q91" s="227" t="n"/>
      <c r="R91" s="227" t="n"/>
      <c r="S91" s="227" t="n"/>
      <c r="T91" s="227" t="n"/>
      <c r="U91" s="224">
        <f>IF($B91="","",$O91*$P91+$Q91*$P91/24+$R91*$P91/30+$S91*'THAM_SO'!$M$6*2+$T91*'THAM_SO'!$M$27)</f>
        <v/>
      </c>
      <c r="V91" s="224">
        <f>IF($B91="","",SUM($F91,$J91,$L91,$N91,$U91))</f>
        <v/>
      </c>
      <c r="W91" s="222" t="n"/>
      <c r="X91" s="224">
        <f>IF(OR($B91="",$W91=""),"",$W91-$V91)</f>
        <v/>
      </c>
      <c r="Y91" s="127" t="n"/>
      <c r="Z91" s="127" t="n"/>
      <c r="AA91" s="150">
        <f>IF($B91="","",IF(AND(SUM($D91,$G91,$K91)&gt;0,$E91&lt;=0),"Thiếu mức đóng BH tháng trước; ","")&amp;IF(AND(SUM($O91:$R91)&gt;0,$P91&lt;=0),"Thiếu bình quân 06 tháng; ","")&amp;IF($K91&gt;0,"Mức 100% chỉ dùng đúng đối tượng luật định; ","")&amp;IF($W91="","",IF(ABS($X91)&gt;1,"Thực tế khác ước tính; ",""))&amp;IF($W91="","",IF($Y91="","Chưa chọn cách chi trả; ","")))</f>
        <v/>
      </c>
    </row>
    <row r="92">
      <c r="A92" s="145">
        <f>IF('DM_NHAN_SU'!$B92="","",ROW()-5)</f>
        <v/>
      </c>
      <c r="B92" s="145">
        <f>IF('DM_NHAN_SU'!$B92="","",'DM_NHAN_SU'!B92)</f>
        <v/>
      </c>
      <c r="C92" s="145">
        <f>IF('DM_NHAN_SU'!$B92="","",'DM_NHAN_SU'!C92)</f>
        <v/>
      </c>
      <c r="D92" s="227" t="n"/>
      <c r="E92" s="222" t="n"/>
      <c r="F92" s="224">
        <f>IF($B92="","",$D92*$E92/24*75%)</f>
        <v/>
      </c>
      <c r="G92" s="227" t="n"/>
      <c r="H92" s="227" t="n"/>
      <c r="I92" s="233">
        <f>IF($B92="","",IF($H92&gt;=30,65%,IF($H92&gt;=15,55%,50%)))</f>
        <v/>
      </c>
      <c r="J92" s="224">
        <f>IF($B92="","",$G92*$E92/24*$I92)</f>
        <v/>
      </c>
      <c r="K92" s="227" t="n"/>
      <c r="L92" s="224">
        <f>IF($B92="","",$K92*$E92/24)</f>
        <v/>
      </c>
      <c r="M92" s="227" t="n"/>
      <c r="N92" s="232">
        <f>IF($B92="","",$M92*'THAM_SO'!$M$27)</f>
        <v/>
      </c>
      <c r="O92" s="227" t="n"/>
      <c r="P92" s="222" t="n"/>
      <c r="Q92" s="227" t="n"/>
      <c r="R92" s="227" t="n"/>
      <c r="S92" s="227" t="n"/>
      <c r="T92" s="227" t="n"/>
      <c r="U92" s="224">
        <f>IF($B92="","",$O92*$P92+$Q92*$P92/24+$R92*$P92/30+$S92*'THAM_SO'!$M$6*2+$T92*'THAM_SO'!$M$27)</f>
        <v/>
      </c>
      <c r="V92" s="224">
        <f>IF($B92="","",SUM($F92,$J92,$L92,$N92,$U92))</f>
        <v/>
      </c>
      <c r="W92" s="222" t="n"/>
      <c r="X92" s="224">
        <f>IF(OR($B92="",$W92=""),"",$W92-$V92)</f>
        <v/>
      </c>
      <c r="Y92" s="127" t="n"/>
      <c r="Z92" s="127" t="n"/>
      <c r="AA92" s="150">
        <f>IF($B92="","",IF(AND(SUM($D92,$G92,$K92)&gt;0,$E92&lt;=0),"Thiếu mức đóng BH tháng trước; ","")&amp;IF(AND(SUM($O92:$R92)&gt;0,$P92&lt;=0),"Thiếu bình quân 06 tháng; ","")&amp;IF($K92&gt;0,"Mức 100% chỉ dùng đúng đối tượng luật định; ","")&amp;IF($W92="","",IF(ABS($X92)&gt;1,"Thực tế khác ước tính; ",""))&amp;IF($W92="","",IF($Y92="","Chưa chọn cách chi trả; ","")))</f>
        <v/>
      </c>
    </row>
    <row r="93">
      <c r="A93" s="145">
        <f>IF('DM_NHAN_SU'!$B93="","",ROW()-5)</f>
        <v/>
      </c>
      <c r="B93" s="145">
        <f>IF('DM_NHAN_SU'!$B93="","",'DM_NHAN_SU'!B93)</f>
        <v/>
      </c>
      <c r="C93" s="145">
        <f>IF('DM_NHAN_SU'!$B93="","",'DM_NHAN_SU'!C93)</f>
        <v/>
      </c>
      <c r="D93" s="227" t="n"/>
      <c r="E93" s="222" t="n"/>
      <c r="F93" s="224">
        <f>IF($B93="","",$D93*$E93/24*75%)</f>
        <v/>
      </c>
      <c r="G93" s="227" t="n"/>
      <c r="H93" s="227" t="n"/>
      <c r="I93" s="233">
        <f>IF($B93="","",IF($H93&gt;=30,65%,IF($H93&gt;=15,55%,50%)))</f>
        <v/>
      </c>
      <c r="J93" s="224">
        <f>IF($B93="","",$G93*$E93/24*$I93)</f>
        <v/>
      </c>
      <c r="K93" s="227" t="n"/>
      <c r="L93" s="224">
        <f>IF($B93="","",$K93*$E93/24)</f>
        <v/>
      </c>
      <c r="M93" s="227" t="n"/>
      <c r="N93" s="232">
        <f>IF($B93="","",$M93*'THAM_SO'!$M$27)</f>
        <v/>
      </c>
      <c r="O93" s="227" t="n"/>
      <c r="P93" s="222" t="n"/>
      <c r="Q93" s="227" t="n"/>
      <c r="R93" s="227" t="n"/>
      <c r="S93" s="227" t="n"/>
      <c r="T93" s="227" t="n"/>
      <c r="U93" s="224">
        <f>IF($B93="","",$O93*$P93+$Q93*$P93/24+$R93*$P93/30+$S93*'THAM_SO'!$M$6*2+$T93*'THAM_SO'!$M$27)</f>
        <v/>
      </c>
      <c r="V93" s="224">
        <f>IF($B93="","",SUM($F93,$J93,$L93,$N93,$U93))</f>
        <v/>
      </c>
      <c r="W93" s="222" t="n"/>
      <c r="X93" s="224">
        <f>IF(OR($B93="",$W93=""),"",$W93-$V93)</f>
        <v/>
      </c>
      <c r="Y93" s="127" t="n"/>
      <c r="Z93" s="127" t="n"/>
      <c r="AA93" s="150">
        <f>IF($B93="","",IF(AND(SUM($D93,$G93,$K93)&gt;0,$E93&lt;=0),"Thiếu mức đóng BH tháng trước; ","")&amp;IF(AND(SUM($O93:$R93)&gt;0,$P93&lt;=0),"Thiếu bình quân 06 tháng; ","")&amp;IF($K93&gt;0,"Mức 100% chỉ dùng đúng đối tượng luật định; ","")&amp;IF($W93="","",IF(ABS($X93)&gt;1,"Thực tế khác ước tính; ",""))&amp;IF($W93="","",IF($Y93="","Chưa chọn cách chi trả; ","")))</f>
        <v/>
      </c>
    </row>
    <row r="94">
      <c r="A94" s="145">
        <f>IF('DM_NHAN_SU'!$B94="","",ROW()-5)</f>
        <v/>
      </c>
      <c r="B94" s="145">
        <f>IF('DM_NHAN_SU'!$B94="","",'DM_NHAN_SU'!B94)</f>
        <v/>
      </c>
      <c r="C94" s="145">
        <f>IF('DM_NHAN_SU'!$B94="","",'DM_NHAN_SU'!C94)</f>
        <v/>
      </c>
      <c r="D94" s="227" t="n"/>
      <c r="E94" s="222" t="n"/>
      <c r="F94" s="224">
        <f>IF($B94="","",$D94*$E94/24*75%)</f>
        <v/>
      </c>
      <c r="G94" s="227" t="n"/>
      <c r="H94" s="227" t="n"/>
      <c r="I94" s="233">
        <f>IF($B94="","",IF($H94&gt;=30,65%,IF($H94&gt;=15,55%,50%)))</f>
        <v/>
      </c>
      <c r="J94" s="224">
        <f>IF($B94="","",$G94*$E94/24*$I94)</f>
        <v/>
      </c>
      <c r="K94" s="227" t="n"/>
      <c r="L94" s="224">
        <f>IF($B94="","",$K94*$E94/24)</f>
        <v/>
      </c>
      <c r="M94" s="227" t="n"/>
      <c r="N94" s="232">
        <f>IF($B94="","",$M94*'THAM_SO'!$M$27)</f>
        <v/>
      </c>
      <c r="O94" s="227" t="n"/>
      <c r="P94" s="222" t="n"/>
      <c r="Q94" s="227" t="n"/>
      <c r="R94" s="227" t="n"/>
      <c r="S94" s="227" t="n"/>
      <c r="T94" s="227" t="n"/>
      <c r="U94" s="224">
        <f>IF($B94="","",$O94*$P94+$Q94*$P94/24+$R94*$P94/30+$S94*'THAM_SO'!$M$6*2+$T94*'THAM_SO'!$M$27)</f>
        <v/>
      </c>
      <c r="V94" s="224">
        <f>IF($B94="","",SUM($F94,$J94,$L94,$N94,$U94))</f>
        <v/>
      </c>
      <c r="W94" s="222" t="n"/>
      <c r="X94" s="224">
        <f>IF(OR($B94="",$W94=""),"",$W94-$V94)</f>
        <v/>
      </c>
      <c r="Y94" s="127" t="n"/>
      <c r="Z94" s="127" t="n"/>
      <c r="AA94" s="150">
        <f>IF($B94="","",IF(AND(SUM($D94,$G94,$K94)&gt;0,$E94&lt;=0),"Thiếu mức đóng BH tháng trước; ","")&amp;IF(AND(SUM($O94:$R94)&gt;0,$P94&lt;=0),"Thiếu bình quân 06 tháng; ","")&amp;IF($K94&gt;0,"Mức 100% chỉ dùng đúng đối tượng luật định; ","")&amp;IF($W94="","",IF(ABS($X94)&gt;1,"Thực tế khác ước tính; ",""))&amp;IF($W94="","",IF($Y94="","Chưa chọn cách chi trả; ","")))</f>
        <v/>
      </c>
    </row>
    <row r="95">
      <c r="A95" s="145">
        <f>IF('DM_NHAN_SU'!$B95="","",ROW()-5)</f>
        <v/>
      </c>
      <c r="B95" s="145">
        <f>IF('DM_NHAN_SU'!$B95="","",'DM_NHAN_SU'!B95)</f>
        <v/>
      </c>
      <c r="C95" s="145">
        <f>IF('DM_NHAN_SU'!$B95="","",'DM_NHAN_SU'!C95)</f>
        <v/>
      </c>
      <c r="D95" s="227" t="n"/>
      <c r="E95" s="222" t="n"/>
      <c r="F95" s="224">
        <f>IF($B95="","",$D95*$E95/24*75%)</f>
        <v/>
      </c>
      <c r="G95" s="227" t="n"/>
      <c r="H95" s="227" t="n"/>
      <c r="I95" s="233">
        <f>IF($B95="","",IF($H95&gt;=30,65%,IF($H95&gt;=15,55%,50%)))</f>
        <v/>
      </c>
      <c r="J95" s="224">
        <f>IF($B95="","",$G95*$E95/24*$I95)</f>
        <v/>
      </c>
      <c r="K95" s="227" t="n"/>
      <c r="L95" s="224">
        <f>IF($B95="","",$K95*$E95/24)</f>
        <v/>
      </c>
      <c r="M95" s="227" t="n"/>
      <c r="N95" s="232">
        <f>IF($B95="","",$M95*'THAM_SO'!$M$27)</f>
        <v/>
      </c>
      <c r="O95" s="227" t="n"/>
      <c r="P95" s="222" t="n"/>
      <c r="Q95" s="227" t="n"/>
      <c r="R95" s="227" t="n"/>
      <c r="S95" s="227" t="n"/>
      <c r="T95" s="227" t="n"/>
      <c r="U95" s="224">
        <f>IF($B95="","",$O95*$P95+$Q95*$P95/24+$R95*$P95/30+$S95*'THAM_SO'!$M$6*2+$T95*'THAM_SO'!$M$27)</f>
        <v/>
      </c>
      <c r="V95" s="224">
        <f>IF($B95="","",SUM($F95,$J95,$L95,$N95,$U95))</f>
        <v/>
      </c>
      <c r="W95" s="222" t="n"/>
      <c r="X95" s="224">
        <f>IF(OR($B95="",$W95=""),"",$W95-$V95)</f>
        <v/>
      </c>
      <c r="Y95" s="127" t="n"/>
      <c r="Z95" s="127" t="n"/>
      <c r="AA95" s="150">
        <f>IF($B95="","",IF(AND(SUM($D95,$G95,$K95)&gt;0,$E95&lt;=0),"Thiếu mức đóng BH tháng trước; ","")&amp;IF(AND(SUM($O95:$R95)&gt;0,$P95&lt;=0),"Thiếu bình quân 06 tháng; ","")&amp;IF($K95&gt;0,"Mức 100% chỉ dùng đúng đối tượng luật định; ","")&amp;IF($W95="","",IF(ABS($X95)&gt;1,"Thực tế khác ước tính; ",""))&amp;IF($W95="","",IF($Y95="","Chưa chọn cách chi trả; ","")))</f>
        <v/>
      </c>
    </row>
    <row r="96">
      <c r="A96" s="145">
        <f>IF('DM_NHAN_SU'!$B96="","",ROW()-5)</f>
        <v/>
      </c>
      <c r="B96" s="145">
        <f>IF('DM_NHAN_SU'!$B96="","",'DM_NHAN_SU'!B96)</f>
        <v/>
      </c>
      <c r="C96" s="145">
        <f>IF('DM_NHAN_SU'!$B96="","",'DM_NHAN_SU'!C96)</f>
        <v/>
      </c>
      <c r="D96" s="227" t="n"/>
      <c r="E96" s="222" t="n"/>
      <c r="F96" s="224">
        <f>IF($B96="","",$D96*$E96/24*75%)</f>
        <v/>
      </c>
      <c r="G96" s="227" t="n"/>
      <c r="H96" s="227" t="n"/>
      <c r="I96" s="233">
        <f>IF($B96="","",IF($H96&gt;=30,65%,IF($H96&gt;=15,55%,50%)))</f>
        <v/>
      </c>
      <c r="J96" s="224">
        <f>IF($B96="","",$G96*$E96/24*$I96)</f>
        <v/>
      </c>
      <c r="K96" s="227" t="n"/>
      <c r="L96" s="224">
        <f>IF($B96="","",$K96*$E96/24)</f>
        <v/>
      </c>
      <c r="M96" s="227" t="n"/>
      <c r="N96" s="232">
        <f>IF($B96="","",$M96*'THAM_SO'!$M$27)</f>
        <v/>
      </c>
      <c r="O96" s="227" t="n"/>
      <c r="P96" s="222" t="n"/>
      <c r="Q96" s="227" t="n"/>
      <c r="R96" s="227" t="n"/>
      <c r="S96" s="227" t="n"/>
      <c r="T96" s="227" t="n"/>
      <c r="U96" s="224">
        <f>IF($B96="","",$O96*$P96+$Q96*$P96/24+$R96*$P96/30+$S96*'THAM_SO'!$M$6*2+$T96*'THAM_SO'!$M$27)</f>
        <v/>
      </c>
      <c r="V96" s="224">
        <f>IF($B96="","",SUM($F96,$J96,$L96,$N96,$U96))</f>
        <v/>
      </c>
      <c r="W96" s="222" t="n"/>
      <c r="X96" s="224">
        <f>IF(OR($B96="",$W96=""),"",$W96-$V96)</f>
        <v/>
      </c>
      <c r="Y96" s="127" t="n"/>
      <c r="Z96" s="127" t="n"/>
      <c r="AA96" s="150">
        <f>IF($B96="","",IF(AND(SUM($D96,$G96,$K96)&gt;0,$E96&lt;=0),"Thiếu mức đóng BH tháng trước; ","")&amp;IF(AND(SUM($O96:$R96)&gt;0,$P96&lt;=0),"Thiếu bình quân 06 tháng; ","")&amp;IF($K96&gt;0,"Mức 100% chỉ dùng đúng đối tượng luật định; ","")&amp;IF($W96="","",IF(ABS($X96)&gt;1,"Thực tế khác ước tính; ",""))&amp;IF($W96="","",IF($Y96="","Chưa chọn cách chi trả; ","")))</f>
        <v/>
      </c>
    </row>
    <row r="97">
      <c r="A97" s="145">
        <f>IF('DM_NHAN_SU'!$B97="","",ROW()-5)</f>
        <v/>
      </c>
      <c r="B97" s="145">
        <f>IF('DM_NHAN_SU'!$B97="","",'DM_NHAN_SU'!B97)</f>
        <v/>
      </c>
      <c r="C97" s="145">
        <f>IF('DM_NHAN_SU'!$B97="","",'DM_NHAN_SU'!C97)</f>
        <v/>
      </c>
      <c r="D97" s="227" t="n"/>
      <c r="E97" s="222" t="n"/>
      <c r="F97" s="224">
        <f>IF($B97="","",$D97*$E97/24*75%)</f>
        <v/>
      </c>
      <c r="G97" s="227" t="n"/>
      <c r="H97" s="227" t="n"/>
      <c r="I97" s="233">
        <f>IF($B97="","",IF($H97&gt;=30,65%,IF($H97&gt;=15,55%,50%)))</f>
        <v/>
      </c>
      <c r="J97" s="224">
        <f>IF($B97="","",$G97*$E97/24*$I97)</f>
        <v/>
      </c>
      <c r="K97" s="227" t="n"/>
      <c r="L97" s="224">
        <f>IF($B97="","",$K97*$E97/24)</f>
        <v/>
      </c>
      <c r="M97" s="227" t="n"/>
      <c r="N97" s="232">
        <f>IF($B97="","",$M97*'THAM_SO'!$M$27)</f>
        <v/>
      </c>
      <c r="O97" s="227" t="n"/>
      <c r="P97" s="222" t="n"/>
      <c r="Q97" s="227" t="n"/>
      <c r="R97" s="227" t="n"/>
      <c r="S97" s="227" t="n"/>
      <c r="T97" s="227" t="n"/>
      <c r="U97" s="224">
        <f>IF($B97="","",$O97*$P97+$Q97*$P97/24+$R97*$P97/30+$S97*'THAM_SO'!$M$6*2+$T97*'THAM_SO'!$M$27)</f>
        <v/>
      </c>
      <c r="V97" s="224">
        <f>IF($B97="","",SUM($F97,$J97,$L97,$N97,$U97))</f>
        <v/>
      </c>
      <c r="W97" s="222" t="n"/>
      <c r="X97" s="224">
        <f>IF(OR($B97="",$W97=""),"",$W97-$V97)</f>
        <v/>
      </c>
      <c r="Y97" s="127" t="n"/>
      <c r="Z97" s="127" t="n"/>
      <c r="AA97" s="150">
        <f>IF($B97="","",IF(AND(SUM($D97,$G97,$K97)&gt;0,$E97&lt;=0),"Thiếu mức đóng BH tháng trước; ","")&amp;IF(AND(SUM($O97:$R97)&gt;0,$P97&lt;=0),"Thiếu bình quân 06 tháng; ","")&amp;IF($K97&gt;0,"Mức 100% chỉ dùng đúng đối tượng luật định; ","")&amp;IF($W97="","",IF(ABS($X97)&gt;1,"Thực tế khác ước tính; ",""))&amp;IF($W97="","",IF($Y97="","Chưa chọn cách chi trả; ","")))</f>
        <v/>
      </c>
    </row>
    <row r="98">
      <c r="A98" s="145">
        <f>IF('DM_NHAN_SU'!$B98="","",ROW()-5)</f>
        <v/>
      </c>
      <c r="B98" s="145">
        <f>IF('DM_NHAN_SU'!$B98="","",'DM_NHAN_SU'!B98)</f>
        <v/>
      </c>
      <c r="C98" s="145">
        <f>IF('DM_NHAN_SU'!$B98="","",'DM_NHAN_SU'!C98)</f>
        <v/>
      </c>
      <c r="D98" s="227" t="n"/>
      <c r="E98" s="222" t="n"/>
      <c r="F98" s="224">
        <f>IF($B98="","",$D98*$E98/24*75%)</f>
        <v/>
      </c>
      <c r="G98" s="227" t="n"/>
      <c r="H98" s="227" t="n"/>
      <c r="I98" s="233">
        <f>IF($B98="","",IF($H98&gt;=30,65%,IF($H98&gt;=15,55%,50%)))</f>
        <v/>
      </c>
      <c r="J98" s="224">
        <f>IF($B98="","",$G98*$E98/24*$I98)</f>
        <v/>
      </c>
      <c r="K98" s="227" t="n"/>
      <c r="L98" s="224">
        <f>IF($B98="","",$K98*$E98/24)</f>
        <v/>
      </c>
      <c r="M98" s="227" t="n"/>
      <c r="N98" s="232">
        <f>IF($B98="","",$M98*'THAM_SO'!$M$27)</f>
        <v/>
      </c>
      <c r="O98" s="227" t="n"/>
      <c r="P98" s="222" t="n"/>
      <c r="Q98" s="227" t="n"/>
      <c r="R98" s="227" t="n"/>
      <c r="S98" s="227" t="n"/>
      <c r="T98" s="227" t="n"/>
      <c r="U98" s="224">
        <f>IF($B98="","",$O98*$P98+$Q98*$P98/24+$R98*$P98/30+$S98*'THAM_SO'!$M$6*2+$T98*'THAM_SO'!$M$27)</f>
        <v/>
      </c>
      <c r="V98" s="224">
        <f>IF($B98="","",SUM($F98,$J98,$L98,$N98,$U98))</f>
        <v/>
      </c>
      <c r="W98" s="222" t="n"/>
      <c r="X98" s="224">
        <f>IF(OR($B98="",$W98=""),"",$W98-$V98)</f>
        <v/>
      </c>
      <c r="Y98" s="127" t="n"/>
      <c r="Z98" s="127" t="n"/>
      <c r="AA98" s="150">
        <f>IF($B98="","",IF(AND(SUM($D98,$G98,$K98)&gt;0,$E98&lt;=0),"Thiếu mức đóng BH tháng trước; ","")&amp;IF(AND(SUM($O98:$R98)&gt;0,$P98&lt;=0),"Thiếu bình quân 06 tháng; ","")&amp;IF($K98&gt;0,"Mức 100% chỉ dùng đúng đối tượng luật định; ","")&amp;IF($W98="","",IF(ABS($X98)&gt;1,"Thực tế khác ước tính; ",""))&amp;IF($W98="","",IF($Y98="","Chưa chọn cách chi trả; ","")))</f>
        <v/>
      </c>
    </row>
    <row r="99">
      <c r="A99" s="145">
        <f>IF('DM_NHAN_SU'!$B99="","",ROW()-5)</f>
        <v/>
      </c>
      <c r="B99" s="145">
        <f>IF('DM_NHAN_SU'!$B99="","",'DM_NHAN_SU'!B99)</f>
        <v/>
      </c>
      <c r="C99" s="145">
        <f>IF('DM_NHAN_SU'!$B99="","",'DM_NHAN_SU'!C99)</f>
        <v/>
      </c>
      <c r="D99" s="227" t="n"/>
      <c r="E99" s="222" t="n"/>
      <c r="F99" s="224">
        <f>IF($B99="","",$D99*$E99/24*75%)</f>
        <v/>
      </c>
      <c r="G99" s="227" t="n"/>
      <c r="H99" s="227" t="n"/>
      <c r="I99" s="233">
        <f>IF($B99="","",IF($H99&gt;=30,65%,IF($H99&gt;=15,55%,50%)))</f>
        <v/>
      </c>
      <c r="J99" s="224">
        <f>IF($B99="","",$G99*$E99/24*$I99)</f>
        <v/>
      </c>
      <c r="K99" s="227" t="n"/>
      <c r="L99" s="224">
        <f>IF($B99="","",$K99*$E99/24)</f>
        <v/>
      </c>
      <c r="M99" s="227" t="n"/>
      <c r="N99" s="232">
        <f>IF($B99="","",$M99*'THAM_SO'!$M$27)</f>
        <v/>
      </c>
      <c r="O99" s="227" t="n"/>
      <c r="P99" s="222" t="n"/>
      <c r="Q99" s="227" t="n"/>
      <c r="R99" s="227" t="n"/>
      <c r="S99" s="227" t="n"/>
      <c r="T99" s="227" t="n"/>
      <c r="U99" s="224">
        <f>IF($B99="","",$O99*$P99+$Q99*$P99/24+$R99*$P99/30+$S99*'THAM_SO'!$M$6*2+$T99*'THAM_SO'!$M$27)</f>
        <v/>
      </c>
      <c r="V99" s="224">
        <f>IF($B99="","",SUM($F99,$J99,$L99,$N99,$U99))</f>
        <v/>
      </c>
      <c r="W99" s="222" t="n"/>
      <c r="X99" s="224">
        <f>IF(OR($B99="",$W99=""),"",$W99-$V99)</f>
        <v/>
      </c>
      <c r="Y99" s="127" t="n"/>
      <c r="Z99" s="127" t="n"/>
      <c r="AA99" s="150">
        <f>IF($B99="","",IF(AND(SUM($D99,$G99,$K99)&gt;0,$E99&lt;=0),"Thiếu mức đóng BH tháng trước; ","")&amp;IF(AND(SUM($O99:$R99)&gt;0,$P99&lt;=0),"Thiếu bình quân 06 tháng; ","")&amp;IF($K99&gt;0,"Mức 100% chỉ dùng đúng đối tượng luật định; ","")&amp;IF($W99="","",IF(ABS($X99)&gt;1,"Thực tế khác ước tính; ",""))&amp;IF($W99="","",IF($Y99="","Chưa chọn cách chi trả; ","")))</f>
        <v/>
      </c>
    </row>
    <row r="100">
      <c r="A100" s="145">
        <f>IF('DM_NHAN_SU'!$B100="","",ROW()-5)</f>
        <v/>
      </c>
      <c r="B100" s="145">
        <f>IF('DM_NHAN_SU'!$B100="","",'DM_NHAN_SU'!B100)</f>
        <v/>
      </c>
      <c r="C100" s="145">
        <f>IF('DM_NHAN_SU'!$B100="","",'DM_NHAN_SU'!C100)</f>
        <v/>
      </c>
      <c r="D100" s="227" t="n"/>
      <c r="E100" s="222" t="n"/>
      <c r="F100" s="224">
        <f>IF($B100="","",$D100*$E100/24*75%)</f>
        <v/>
      </c>
      <c r="G100" s="227" t="n"/>
      <c r="H100" s="227" t="n"/>
      <c r="I100" s="233">
        <f>IF($B100="","",IF($H100&gt;=30,65%,IF($H100&gt;=15,55%,50%)))</f>
        <v/>
      </c>
      <c r="J100" s="224">
        <f>IF($B100="","",$G100*$E100/24*$I100)</f>
        <v/>
      </c>
      <c r="K100" s="227" t="n"/>
      <c r="L100" s="224">
        <f>IF($B100="","",$K100*$E100/24)</f>
        <v/>
      </c>
      <c r="M100" s="227" t="n"/>
      <c r="N100" s="232">
        <f>IF($B100="","",$M100*'THAM_SO'!$M$27)</f>
        <v/>
      </c>
      <c r="O100" s="227" t="n"/>
      <c r="P100" s="222" t="n"/>
      <c r="Q100" s="227" t="n"/>
      <c r="R100" s="227" t="n"/>
      <c r="S100" s="227" t="n"/>
      <c r="T100" s="227" t="n"/>
      <c r="U100" s="224">
        <f>IF($B100="","",$O100*$P100+$Q100*$P100/24+$R100*$P100/30+$S100*'THAM_SO'!$M$6*2+$T100*'THAM_SO'!$M$27)</f>
        <v/>
      </c>
      <c r="V100" s="224">
        <f>IF($B100="","",SUM($F100,$J100,$L100,$N100,$U100))</f>
        <v/>
      </c>
      <c r="W100" s="222" t="n"/>
      <c r="X100" s="224">
        <f>IF(OR($B100="",$W100=""),"",$W100-$V100)</f>
        <v/>
      </c>
      <c r="Y100" s="127" t="n"/>
      <c r="Z100" s="127" t="n"/>
      <c r="AA100" s="150">
        <f>IF($B100="","",IF(AND(SUM($D100,$G100,$K100)&gt;0,$E100&lt;=0),"Thiếu mức đóng BH tháng trước; ","")&amp;IF(AND(SUM($O100:$R100)&gt;0,$P100&lt;=0),"Thiếu bình quân 06 tháng; ","")&amp;IF($K100&gt;0,"Mức 100% chỉ dùng đúng đối tượng luật định; ","")&amp;IF($W100="","",IF(ABS($X100)&gt;1,"Thực tế khác ước tính; ",""))&amp;IF($W100="","",IF($Y100="","Chưa chọn cách chi trả; ","")))</f>
        <v/>
      </c>
    </row>
    <row r="101">
      <c r="A101" s="145">
        <f>IF('DM_NHAN_SU'!$B101="","",ROW()-5)</f>
        <v/>
      </c>
      <c r="B101" s="145">
        <f>IF('DM_NHAN_SU'!$B101="","",'DM_NHAN_SU'!B101)</f>
        <v/>
      </c>
      <c r="C101" s="145">
        <f>IF('DM_NHAN_SU'!$B101="","",'DM_NHAN_SU'!C101)</f>
        <v/>
      </c>
      <c r="D101" s="227" t="n"/>
      <c r="E101" s="222" t="n"/>
      <c r="F101" s="224">
        <f>IF($B101="","",$D101*$E101/24*75%)</f>
        <v/>
      </c>
      <c r="G101" s="227" t="n"/>
      <c r="H101" s="227" t="n"/>
      <c r="I101" s="233">
        <f>IF($B101="","",IF($H101&gt;=30,65%,IF($H101&gt;=15,55%,50%)))</f>
        <v/>
      </c>
      <c r="J101" s="224">
        <f>IF($B101="","",$G101*$E101/24*$I101)</f>
        <v/>
      </c>
      <c r="K101" s="227" t="n"/>
      <c r="L101" s="224">
        <f>IF($B101="","",$K101*$E101/24)</f>
        <v/>
      </c>
      <c r="M101" s="227" t="n"/>
      <c r="N101" s="232">
        <f>IF($B101="","",$M101*'THAM_SO'!$M$27)</f>
        <v/>
      </c>
      <c r="O101" s="227" t="n"/>
      <c r="P101" s="222" t="n"/>
      <c r="Q101" s="227" t="n"/>
      <c r="R101" s="227" t="n"/>
      <c r="S101" s="227" t="n"/>
      <c r="T101" s="227" t="n"/>
      <c r="U101" s="224">
        <f>IF($B101="","",$O101*$P101+$Q101*$P101/24+$R101*$P101/30+$S101*'THAM_SO'!$M$6*2+$T101*'THAM_SO'!$M$27)</f>
        <v/>
      </c>
      <c r="V101" s="224">
        <f>IF($B101="","",SUM($F101,$J101,$L101,$N101,$U101))</f>
        <v/>
      </c>
      <c r="W101" s="222" t="n"/>
      <c r="X101" s="224">
        <f>IF(OR($B101="",$W101=""),"",$W101-$V101)</f>
        <v/>
      </c>
      <c r="Y101" s="127" t="n"/>
      <c r="Z101" s="127" t="n"/>
      <c r="AA101" s="150">
        <f>IF($B101="","",IF(AND(SUM($D101,$G101,$K101)&gt;0,$E101&lt;=0),"Thiếu mức đóng BH tháng trước; ","")&amp;IF(AND(SUM($O101:$R101)&gt;0,$P101&lt;=0),"Thiếu bình quân 06 tháng; ","")&amp;IF($K101&gt;0,"Mức 100% chỉ dùng đúng đối tượng luật định; ","")&amp;IF($W101="","",IF(ABS($X101)&gt;1,"Thực tế khác ước tính; ",""))&amp;IF($W101="","",IF($Y101="","Chưa chọn cách chi trả; ","")))</f>
        <v/>
      </c>
    </row>
    <row r="102">
      <c r="A102" s="145">
        <f>IF('DM_NHAN_SU'!$B102="","",ROW()-5)</f>
        <v/>
      </c>
      <c r="B102" s="145">
        <f>IF('DM_NHAN_SU'!$B102="","",'DM_NHAN_SU'!B102)</f>
        <v/>
      </c>
      <c r="C102" s="145">
        <f>IF('DM_NHAN_SU'!$B102="","",'DM_NHAN_SU'!C102)</f>
        <v/>
      </c>
      <c r="D102" s="227" t="n"/>
      <c r="E102" s="222" t="n"/>
      <c r="F102" s="224">
        <f>IF($B102="","",$D102*$E102/24*75%)</f>
        <v/>
      </c>
      <c r="G102" s="227" t="n"/>
      <c r="H102" s="227" t="n"/>
      <c r="I102" s="233">
        <f>IF($B102="","",IF($H102&gt;=30,65%,IF($H102&gt;=15,55%,50%)))</f>
        <v/>
      </c>
      <c r="J102" s="224">
        <f>IF($B102="","",$G102*$E102/24*$I102)</f>
        <v/>
      </c>
      <c r="K102" s="227" t="n"/>
      <c r="L102" s="224">
        <f>IF($B102="","",$K102*$E102/24)</f>
        <v/>
      </c>
      <c r="M102" s="227" t="n"/>
      <c r="N102" s="232">
        <f>IF($B102="","",$M102*'THAM_SO'!$M$27)</f>
        <v/>
      </c>
      <c r="O102" s="227" t="n"/>
      <c r="P102" s="222" t="n"/>
      <c r="Q102" s="227" t="n"/>
      <c r="R102" s="227" t="n"/>
      <c r="S102" s="227" t="n"/>
      <c r="T102" s="227" t="n"/>
      <c r="U102" s="224">
        <f>IF($B102="","",$O102*$P102+$Q102*$P102/24+$R102*$P102/30+$S102*'THAM_SO'!$M$6*2+$T102*'THAM_SO'!$M$27)</f>
        <v/>
      </c>
      <c r="V102" s="224">
        <f>IF($B102="","",SUM($F102,$J102,$L102,$N102,$U102))</f>
        <v/>
      </c>
      <c r="W102" s="222" t="n"/>
      <c r="X102" s="224">
        <f>IF(OR($B102="",$W102=""),"",$W102-$V102)</f>
        <v/>
      </c>
      <c r="Y102" s="127" t="n"/>
      <c r="Z102" s="127" t="n"/>
      <c r="AA102" s="150">
        <f>IF($B102="","",IF(AND(SUM($D102,$G102,$K102)&gt;0,$E102&lt;=0),"Thiếu mức đóng BH tháng trước; ","")&amp;IF(AND(SUM($O102:$R102)&gt;0,$P102&lt;=0),"Thiếu bình quân 06 tháng; ","")&amp;IF($K102&gt;0,"Mức 100% chỉ dùng đúng đối tượng luật định; ","")&amp;IF($W102="","",IF(ABS($X102)&gt;1,"Thực tế khác ước tính; ",""))&amp;IF($W102="","",IF($Y102="","Chưa chọn cách chi trả; ","")))</f>
        <v/>
      </c>
    </row>
    <row r="103">
      <c r="A103" s="145">
        <f>IF('DM_NHAN_SU'!$B103="","",ROW()-5)</f>
        <v/>
      </c>
      <c r="B103" s="145">
        <f>IF('DM_NHAN_SU'!$B103="","",'DM_NHAN_SU'!B103)</f>
        <v/>
      </c>
      <c r="C103" s="145">
        <f>IF('DM_NHAN_SU'!$B103="","",'DM_NHAN_SU'!C103)</f>
        <v/>
      </c>
      <c r="D103" s="227" t="n"/>
      <c r="E103" s="222" t="n"/>
      <c r="F103" s="224">
        <f>IF($B103="","",$D103*$E103/24*75%)</f>
        <v/>
      </c>
      <c r="G103" s="227" t="n"/>
      <c r="H103" s="227" t="n"/>
      <c r="I103" s="233">
        <f>IF($B103="","",IF($H103&gt;=30,65%,IF($H103&gt;=15,55%,50%)))</f>
        <v/>
      </c>
      <c r="J103" s="224">
        <f>IF($B103="","",$G103*$E103/24*$I103)</f>
        <v/>
      </c>
      <c r="K103" s="227" t="n"/>
      <c r="L103" s="224">
        <f>IF($B103="","",$K103*$E103/24)</f>
        <v/>
      </c>
      <c r="M103" s="227" t="n"/>
      <c r="N103" s="232">
        <f>IF($B103="","",$M103*'THAM_SO'!$M$27)</f>
        <v/>
      </c>
      <c r="O103" s="227" t="n"/>
      <c r="P103" s="222" t="n"/>
      <c r="Q103" s="227" t="n"/>
      <c r="R103" s="227" t="n"/>
      <c r="S103" s="227" t="n"/>
      <c r="T103" s="227" t="n"/>
      <c r="U103" s="224">
        <f>IF($B103="","",$O103*$P103+$Q103*$P103/24+$R103*$P103/30+$S103*'THAM_SO'!$M$6*2+$T103*'THAM_SO'!$M$27)</f>
        <v/>
      </c>
      <c r="V103" s="224">
        <f>IF($B103="","",SUM($F103,$J103,$L103,$N103,$U103))</f>
        <v/>
      </c>
      <c r="W103" s="222" t="n"/>
      <c r="X103" s="224">
        <f>IF(OR($B103="",$W103=""),"",$W103-$V103)</f>
        <v/>
      </c>
      <c r="Y103" s="127" t="n"/>
      <c r="Z103" s="127" t="n"/>
      <c r="AA103" s="150">
        <f>IF($B103="","",IF(AND(SUM($D103,$G103,$K103)&gt;0,$E103&lt;=0),"Thiếu mức đóng BH tháng trước; ","")&amp;IF(AND(SUM($O103:$R103)&gt;0,$P103&lt;=0),"Thiếu bình quân 06 tháng; ","")&amp;IF($K103&gt;0,"Mức 100% chỉ dùng đúng đối tượng luật định; ","")&amp;IF($W103="","",IF(ABS($X103)&gt;1,"Thực tế khác ước tính; ",""))&amp;IF($W103="","",IF($Y103="","Chưa chọn cách chi trả; ","")))</f>
        <v/>
      </c>
    </row>
    <row r="104">
      <c r="A104" s="145">
        <f>IF('DM_NHAN_SU'!$B104="","",ROW()-5)</f>
        <v/>
      </c>
      <c r="B104" s="145">
        <f>IF('DM_NHAN_SU'!$B104="","",'DM_NHAN_SU'!B104)</f>
        <v/>
      </c>
      <c r="C104" s="145">
        <f>IF('DM_NHAN_SU'!$B104="","",'DM_NHAN_SU'!C104)</f>
        <v/>
      </c>
      <c r="D104" s="227" t="n"/>
      <c r="E104" s="222" t="n"/>
      <c r="F104" s="224">
        <f>IF($B104="","",$D104*$E104/24*75%)</f>
        <v/>
      </c>
      <c r="G104" s="227" t="n"/>
      <c r="H104" s="227" t="n"/>
      <c r="I104" s="233">
        <f>IF($B104="","",IF($H104&gt;=30,65%,IF($H104&gt;=15,55%,50%)))</f>
        <v/>
      </c>
      <c r="J104" s="224">
        <f>IF($B104="","",$G104*$E104/24*$I104)</f>
        <v/>
      </c>
      <c r="K104" s="227" t="n"/>
      <c r="L104" s="224">
        <f>IF($B104="","",$K104*$E104/24)</f>
        <v/>
      </c>
      <c r="M104" s="227" t="n"/>
      <c r="N104" s="232">
        <f>IF($B104="","",$M104*'THAM_SO'!$M$27)</f>
        <v/>
      </c>
      <c r="O104" s="227" t="n"/>
      <c r="P104" s="222" t="n"/>
      <c r="Q104" s="227" t="n"/>
      <c r="R104" s="227" t="n"/>
      <c r="S104" s="227" t="n"/>
      <c r="T104" s="227" t="n"/>
      <c r="U104" s="224">
        <f>IF($B104="","",$O104*$P104+$Q104*$P104/24+$R104*$P104/30+$S104*'THAM_SO'!$M$6*2+$T104*'THAM_SO'!$M$27)</f>
        <v/>
      </c>
      <c r="V104" s="224">
        <f>IF($B104="","",SUM($F104,$J104,$L104,$N104,$U104))</f>
        <v/>
      </c>
      <c r="W104" s="222" t="n"/>
      <c r="X104" s="224">
        <f>IF(OR($B104="",$W104=""),"",$W104-$V104)</f>
        <v/>
      </c>
      <c r="Y104" s="127" t="n"/>
      <c r="Z104" s="127" t="n"/>
      <c r="AA104" s="150">
        <f>IF($B104="","",IF(AND(SUM($D104,$G104,$K104)&gt;0,$E104&lt;=0),"Thiếu mức đóng BH tháng trước; ","")&amp;IF(AND(SUM($O104:$R104)&gt;0,$P104&lt;=0),"Thiếu bình quân 06 tháng; ","")&amp;IF($K104&gt;0,"Mức 100% chỉ dùng đúng đối tượng luật định; ","")&amp;IF($W104="","",IF(ABS($X104)&gt;1,"Thực tế khác ước tính; ",""))&amp;IF($W104="","",IF($Y104="","Chưa chọn cách chi trả; ","")))</f>
        <v/>
      </c>
    </row>
    <row r="105">
      <c r="A105" s="145">
        <f>IF('DM_NHAN_SU'!$B105="","",ROW()-5)</f>
        <v/>
      </c>
      <c r="B105" s="145">
        <f>IF('DM_NHAN_SU'!$B105="","",'DM_NHAN_SU'!B105)</f>
        <v/>
      </c>
      <c r="C105" s="145">
        <f>IF('DM_NHAN_SU'!$B105="","",'DM_NHAN_SU'!C105)</f>
        <v/>
      </c>
      <c r="D105" s="227" t="n"/>
      <c r="E105" s="222" t="n"/>
      <c r="F105" s="224">
        <f>IF($B105="","",$D105*$E105/24*75%)</f>
        <v/>
      </c>
      <c r="G105" s="227" t="n"/>
      <c r="H105" s="227" t="n"/>
      <c r="I105" s="233">
        <f>IF($B105="","",IF($H105&gt;=30,65%,IF($H105&gt;=15,55%,50%)))</f>
        <v/>
      </c>
      <c r="J105" s="224">
        <f>IF($B105="","",$G105*$E105/24*$I105)</f>
        <v/>
      </c>
      <c r="K105" s="227" t="n"/>
      <c r="L105" s="224">
        <f>IF($B105="","",$K105*$E105/24)</f>
        <v/>
      </c>
      <c r="M105" s="227" t="n"/>
      <c r="N105" s="232">
        <f>IF($B105="","",$M105*'THAM_SO'!$M$27)</f>
        <v/>
      </c>
      <c r="O105" s="227" t="n"/>
      <c r="P105" s="222" t="n"/>
      <c r="Q105" s="227" t="n"/>
      <c r="R105" s="227" t="n"/>
      <c r="S105" s="227" t="n"/>
      <c r="T105" s="227" t="n"/>
      <c r="U105" s="224">
        <f>IF($B105="","",$O105*$P105+$Q105*$P105/24+$R105*$P105/30+$S105*'THAM_SO'!$M$6*2+$T105*'THAM_SO'!$M$27)</f>
        <v/>
      </c>
      <c r="V105" s="224">
        <f>IF($B105="","",SUM($F105,$J105,$L105,$N105,$U105))</f>
        <v/>
      </c>
      <c r="W105" s="222" t="n"/>
      <c r="X105" s="224">
        <f>IF(OR($B105="",$W105=""),"",$W105-$V105)</f>
        <v/>
      </c>
      <c r="Y105" s="127" t="n"/>
      <c r="Z105" s="127" t="n"/>
      <c r="AA105" s="150">
        <f>IF($B105="","",IF(AND(SUM($D105,$G105,$K105)&gt;0,$E105&lt;=0),"Thiếu mức đóng BH tháng trước; ","")&amp;IF(AND(SUM($O105:$R105)&gt;0,$P105&lt;=0),"Thiếu bình quân 06 tháng; ","")&amp;IF($K105&gt;0,"Mức 100% chỉ dùng đúng đối tượng luật định; ","")&amp;IF($W105="","",IF(ABS($X105)&gt;1,"Thực tế khác ước tính; ",""))&amp;IF($W105="","",IF($Y105="","Chưa chọn cách chi trả; ","")))</f>
        <v/>
      </c>
    </row>
    <row r="106">
      <c r="A106" s="145">
        <f>IF('DM_NHAN_SU'!$B106="","",ROW()-5)</f>
        <v/>
      </c>
      <c r="B106" s="145">
        <f>IF('DM_NHAN_SU'!$B106="","",'DM_NHAN_SU'!B106)</f>
        <v/>
      </c>
      <c r="C106" s="145">
        <f>IF('DM_NHAN_SU'!$B106="","",'DM_NHAN_SU'!C106)</f>
        <v/>
      </c>
      <c r="D106" s="227" t="n"/>
      <c r="E106" s="222" t="n"/>
      <c r="F106" s="224">
        <f>IF($B106="","",$D106*$E106/24*75%)</f>
        <v/>
      </c>
      <c r="G106" s="227" t="n"/>
      <c r="H106" s="227" t="n"/>
      <c r="I106" s="233">
        <f>IF($B106="","",IF($H106&gt;=30,65%,IF($H106&gt;=15,55%,50%)))</f>
        <v/>
      </c>
      <c r="J106" s="224">
        <f>IF($B106="","",$G106*$E106/24*$I106)</f>
        <v/>
      </c>
      <c r="K106" s="227" t="n"/>
      <c r="L106" s="224">
        <f>IF($B106="","",$K106*$E106/24)</f>
        <v/>
      </c>
      <c r="M106" s="227" t="n"/>
      <c r="N106" s="232">
        <f>IF($B106="","",$M106*'THAM_SO'!$M$27)</f>
        <v/>
      </c>
      <c r="O106" s="227" t="n"/>
      <c r="P106" s="222" t="n"/>
      <c r="Q106" s="227" t="n"/>
      <c r="R106" s="227" t="n"/>
      <c r="S106" s="227" t="n"/>
      <c r="T106" s="227" t="n"/>
      <c r="U106" s="224">
        <f>IF($B106="","",$O106*$P106+$Q106*$P106/24+$R106*$P106/30+$S106*'THAM_SO'!$M$6*2+$T106*'THAM_SO'!$M$27)</f>
        <v/>
      </c>
      <c r="V106" s="224">
        <f>IF($B106="","",SUM($F106,$J106,$L106,$N106,$U106))</f>
        <v/>
      </c>
      <c r="W106" s="222" t="n"/>
      <c r="X106" s="224">
        <f>IF(OR($B106="",$W106=""),"",$W106-$V106)</f>
        <v/>
      </c>
      <c r="Y106" s="127" t="n"/>
      <c r="Z106" s="127" t="n"/>
      <c r="AA106" s="150">
        <f>IF($B106="","",IF(AND(SUM($D106,$G106,$K106)&gt;0,$E106&lt;=0),"Thiếu mức đóng BH tháng trước; ","")&amp;IF(AND(SUM($O106:$R106)&gt;0,$P106&lt;=0),"Thiếu bình quân 06 tháng; ","")&amp;IF($K106&gt;0,"Mức 100% chỉ dùng đúng đối tượng luật định; ","")&amp;IF($W106="","",IF(ABS($X106)&gt;1,"Thực tế khác ước tính; ",""))&amp;IF($W106="","",IF($Y106="","Chưa chọn cách chi trả; ","")))</f>
        <v/>
      </c>
    </row>
    <row r="107">
      <c r="A107" s="145">
        <f>IF('DM_NHAN_SU'!$B107="","",ROW()-5)</f>
        <v/>
      </c>
      <c r="B107" s="145">
        <f>IF('DM_NHAN_SU'!$B107="","",'DM_NHAN_SU'!B107)</f>
        <v/>
      </c>
      <c r="C107" s="145">
        <f>IF('DM_NHAN_SU'!$B107="","",'DM_NHAN_SU'!C107)</f>
        <v/>
      </c>
      <c r="D107" s="227" t="n"/>
      <c r="E107" s="222" t="n"/>
      <c r="F107" s="224">
        <f>IF($B107="","",$D107*$E107/24*75%)</f>
        <v/>
      </c>
      <c r="G107" s="227" t="n"/>
      <c r="H107" s="227" t="n"/>
      <c r="I107" s="233">
        <f>IF($B107="","",IF($H107&gt;=30,65%,IF($H107&gt;=15,55%,50%)))</f>
        <v/>
      </c>
      <c r="J107" s="224">
        <f>IF($B107="","",$G107*$E107/24*$I107)</f>
        <v/>
      </c>
      <c r="K107" s="227" t="n"/>
      <c r="L107" s="224">
        <f>IF($B107="","",$K107*$E107/24)</f>
        <v/>
      </c>
      <c r="M107" s="227" t="n"/>
      <c r="N107" s="232">
        <f>IF($B107="","",$M107*'THAM_SO'!$M$27)</f>
        <v/>
      </c>
      <c r="O107" s="227" t="n"/>
      <c r="P107" s="222" t="n"/>
      <c r="Q107" s="227" t="n"/>
      <c r="R107" s="227" t="n"/>
      <c r="S107" s="227" t="n"/>
      <c r="T107" s="227" t="n"/>
      <c r="U107" s="224">
        <f>IF($B107="","",$O107*$P107+$Q107*$P107/24+$R107*$P107/30+$S107*'THAM_SO'!$M$6*2+$T107*'THAM_SO'!$M$27)</f>
        <v/>
      </c>
      <c r="V107" s="224">
        <f>IF($B107="","",SUM($F107,$J107,$L107,$N107,$U107))</f>
        <v/>
      </c>
      <c r="W107" s="222" t="n"/>
      <c r="X107" s="224">
        <f>IF(OR($B107="",$W107=""),"",$W107-$V107)</f>
        <v/>
      </c>
      <c r="Y107" s="127" t="n"/>
      <c r="Z107" s="127" t="n"/>
      <c r="AA107" s="150">
        <f>IF($B107="","",IF(AND(SUM($D107,$G107,$K107)&gt;0,$E107&lt;=0),"Thiếu mức đóng BH tháng trước; ","")&amp;IF(AND(SUM($O107:$R107)&gt;0,$P107&lt;=0),"Thiếu bình quân 06 tháng; ","")&amp;IF($K107&gt;0,"Mức 100% chỉ dùng đúng đối tượng luật định; ","")&amp;IF($W107="","",IF(ABS($X107)&gt;1,"Thực tế khác ước tính; ",""))&amp;IF($W107="","",IF($Y107="","Chưa chọn cách chi trả; ","")))</f>
        <v/>
      </c>
    </row>
    <row r="108">
      <c r="A108" s="145">
        <f>IF('DM_NHAN_SU'!$B108="","",ROW()-5)</f>
        <v/>
      </c>
      <c r="B108" s="145">
        <f>IF('DM_NHAN_SU'!$B108="","",'DM_NHAN_SU'!B108)</f>
        <v/>
      </c>
      <c r="C108" s="145">
        <f>IF('DM_NHAN_SU'!$B108="","",'DM_NHAN_SU'!C108)</f>
        <v/>
      </c>
      <c r="D108" s="227" t="n"/>
      <c r="E108" s="222" t="n"/>
      <c r="F108" s="224">
        <f>IF($B108="","",$D108*$E108/24*75%)</f>
        <v/>
      </c>
      <c r="G108" s="227" t="n"/>
      <c r="H108" s="227" t="n"/>
      <c r="I108" s="233">
        <f>IF($B108="","",IF($H108&gt;=30,65%,IF($H108&gt;=15,55%,50%)))</f>
        <v/>
      </c>
      <c r="J108" s="224">
        <f>IF($B108="","",$G108*$E108/24*$I108)</f>
        <v/>
      </c>
      <c r="K108" s="227" t="n"/>
      <c r="L108" s="224">
        <f>IF($B108="","",$K108*$E108/24)</f>
        <v/>
      </c>
      <c r="M108" s="227" t="n"/>
      <c r="N108" s="232">
        <f>IF($B108="","",$M108*'THAM_SO'!$M$27)</f>
        <v/>
      </c>
      <c r="O108" s="227" t="n"/>
      <c r="P108" s="222" t="n"/>
      <c r="Q108" s="227" t="n"/>
      <c r="R108" s="227" t="n"/>
      <c r="S108" s="227" t="n"/>
      <c r="T108" s="227" t="n"/>
      <c r="U108" s="224">
        <f>IF($B108="","",$O108*$P108+$Q108*$P108/24+$R108*$P108/30+$S108*'THAM_SO'!$M$6*2+$T108*'THAM_SO'!$M$27)</f>
        <v/>
      </c>
      <c r="V108" s="224">
        <f>IF($B108="","",SUM($F108,$J108,$L108,$N108,$U108))</f>
        <v/>
      </c>
      <c r="W108" s="222" t="n"/>
      <c r="X108" s="224">
        <f>IF(OR($B108="",$W108=""),"",$W108-$V108)</f>
        <v/>
      </c>
      <c r="Y108" s="127" t="n"/>
      <c r="Z108" s="127" t="n"/>
      <c r="AA108" s="150">
        <f>IF($B108="","",IF(AND(SUM($D108,$G108,$K108)&gt;0,$E108&lt;=0),"Thiếu mức đóng BH tháng trước; ","")&amp;IF(AND(SUM($O108:$R108)&gt;0,$P108&lt;=0),"Thiếu bình quân 06 tháng; ","")&amp;IF($K108&gt;0,"Mức 100% chỉ dùng đúng đối tượng luật định; ","")&amp;IF($W108="","",IF(ABS($X108)&gt;1,"Thực tế khác ước tính; ",""))&amp;IF($W108="","",IF($Y108="","Chưa chọn cách chi trả; ","")))</f>
        <v/>
      </c>
    </row>
    <row r="109">
      <c r="A109" s="145">
        <f>IF('DM_NHAN_SU'!$B109="","",ROW()-5)</f>
        <v/>
      </c>
      <c r="B109" s="145">
        <f>IF('DM_NHAN_SU'!$B109="","",'DM_NHAN_SU'!B109)</f>
        <v/>
      </c>
      <c r="C109" s="145">
        <f>IF('DM_NHAN_SU'!$B109="","",'DM_NHAN_SU'!C109)</f>
        <v/>
      </c>
      <c r="D109" s="227" t="n"/>
      <c r="E109" s="222" t="n"/>
      <c r="F109" s="224">
        <f>IF($B109="","",$D109*$E109/24*75%)</f>
        <v/>
      </c>
      <c r="G109" s="227" t="n"/>
      <c r="H109" s="227" t="n"/>
      <c r="I109" s="233">
        <f>IF($B109="","",IF($H109&gt;=30,65%,IF($H109&gt;=15,55%,50%)))</f>
        <v/>
      </c>
      <c r="J109" s="224">
        <f>IF($B109="","",$G109*$E109/24*$I109)</f>
        <v/>
      </c>
      <c r="K109" s="227" t="n"/>
      <c r="L109" s="224">
        <f>IF($B109="","",$K109*$E109/24)</f>
        <v/>
      </c>
      <c r="M109" s="227" t="n"/>
      <c r="N109" s="232">
        <f>IF($B109="","",$M109*'THAM_SO'!$M$27)</f>
        <v/>
      </c>
      <c r="O109" s="227" t="n"/>
      <c r="P109" s="222" t="n"/>
      <c r="Q109" s="227" t="n"/>
      <c r="R109" s="227" t="n"/>
      <c r="S109" s="227" t="n"/>
      <c r="T109" s="227" t="n"/>
      <c r="U109" s="224">
        <f>IF($B109="","",$O109*$P109+$Q109*$P109/24+$R109*$P109/30+$S109*'THAM_SO'!$M$6*2+$T109*'THAM_SO'!$M$27)</f>
        <v/>
      </c>
      <c r="V109" s="224">
        <f>IF($B109="","",SUM($F109,$J109,$L109,$N109,$U109))</f>
        <v/>
      </c>
      <c r="W109" s="222" t="n"/>
      <c r="X109" s="224">
        <f>IF(OR($B109="",$W109=""),"",$W109-$V109)</f>
        <v/>
      </c>
      <c r="Y109" s="127" t="n"/>
      <c r="Z109" s="127" t="n"/>
      <c r="AA109" s="150">
        <f>IF($B109="","",IF(AND(SUM($D109,$G109,$K109)&gt;0,$E109&lt;=0),"Thiếu mức đóng BH tháng trước; ","")&amp;IF(AND(SUM($O109:$R109)&gt;0,$P109&lt;=0),"Thiếu bình quân 06 tháng; ","")&amp;IF($K109&gt;0,"Mức 100% chỉ dùng đúng đối tượng luật định; ","")&amp;IF($W109="","",IF(ABS($X109)&gt;1,"Thực tế khác ước tính; ",""))&amp;IF($W109="","",IF($Y109="","Chưa chọn cách chi trả; ","")))</f>
        <v/>
      </c>
    </row>
    <row r="110">
      <c r="A110" s="145">
        <f>IF('DM_NHAN_SU'!$B110="","",ROW()-5)</f>
        <v/>
      </c>
      <c r="B110" s="145">
        <f>IF('DM_NHAN_SU'!$B110="","",'DM_NHAN_SU'!B110)</f>
        <v/>
      </c>
      <c r="C110" s="145">
        <f>IF('DM_NHAN_SU'!$B110="","",'DM_NHAN_SU'!C110)</f>
        <v/>
      </c>
      <c r="D110" s="227" t="n"/>
      <c r="E110" s="222" t="n"/>
      <c r="F110" s="224">
        <f>IF($B110="","",$D110*$E110/24*75%)</f>
        <v/>
      </c>
      <c r="G110" s="227" t="n"/>
      <c r="H110" s="227" t="n"/>
      <c r="I110" s="233">
        <f>IF($B110="","",IF($H110&gt;=30,65%,IF($H110&gt;=15,55%,50%)))</f>
        <v/>
      </c>
      <c r="J110" s="224">
        <f>IF($B110="","",$G110*$E110/24*$I110)</f>
        <v/>
      </c>
      <c r="K110" s="227" t="n"/>
      <c r="L110" s="224">
        <f>IF($B110="","",$K110*$E110/24)</f>
        <v/>
      </c>
      <c r="M110" s="227" t="n"/>
      <c r="N110" s="232">
        <f>IF($B110="","",$M110*'THAM_SO'!$M$27)</f>
        <v/>
      </c>
      <c r="O110" s="227" t="n"/>
      <c r="P110" s="222" t="n"/>
      <c r="Q110" s="227" t="n"/>
      <c r="R110" s="227" t="n"/>
      <c r="S110" s="227" t="n"/>
      <c r="T110" s="227" t="n"/>
      <c r="U110" s="224">
        <f>IF($B110="","",$O110*$P110+$Q110*$P110/24+$R110*$P110/30+$S110*'THAM_SO'!$M$6*2+$T110*'THAM_SO'!$M$27)</f>
        <v/>
      </c>
      <c r="V110" s="224">
        <f>IF($B110="","",SUM($F110,$J110,$L110,$N110,$U110))</f>
        <v/>
      </c>
      <c r="W110" s="222" t="n"/>
      <c r="X110" s="224">
        <f>IF(OR($B110="",$W110=""),"",$W110-$V110)</f>
        <v/>
      </c>
      <c r="Y110" s="127" t="n"/>
      <c r="Z110" s="127" t="n"/>
      <c r="AA110" s="150">
        <f>IF($B110="","",IF(AND(SUM($D110,$G110,$K110)&gt;0,$E110&lt;=0),"Thiếu mức đóng BH tháng trước; ","")&amp;IF(AND(SUM($O110:$R110)&gt;0,$P110&lt;=0),"Thiếu bình quân 06 tháng; ","")&amp;IF($K110&gt;0,"Mức 100% chỉ dùng đúng đối tượng luật định; ","")&amp;IF($W110="","",IF(ABS($X110)&gt;1,"Thực tế khác ước tính; ",""))&amp;IF($W110="","",IF($Y110="","Chưa chọn cách chi trả; ","")))</f>
        <v/>
      </c>
    </row>
    <row r="111">
      <c r="A111" s="145">
        <f>IF('DM_NHAN_SU'!$B111="","",ROW()-5)</f>
        <v/>
      </c>
      <c r="B111" s="145">
        <f>IF('DM_NHAN_SU'!$B111="","",'DM_NHAN_SU'!B111)</f>
        <v/>
      </c>
      <c r="C111" s="145">
        <f>IF('DM_NHAN_SU'!$B111="","",'DM_NHAN_SU'!C111)</f>
        <v/>
      </c>
      <c r="D111" s="227" t="n"/>
      <c r="E111" s="222" t="n"/>
      <c r="F111" s="224">
        <f>IF($B111="","",$D111*$E111/24*75%)</f>
        <v/>
      </c>
      <c r="G111" s="227" t="n"/>
      <c r="H111" s="227" t="n"/>
      <c r="I111" s="233">
        <f>IF($B111="","",IF($H111&gt;=30,65%,IF($H111&gt;=15,55%,50%)))</f>
        <v/>
      </c>
      <c r="J111" s="224">
        <f>IF($B111="","",$G111*$E111/24*$I111)</f>
        <v/>
      </c>
      <c r="K111" s="227" t="n"/>
      <c r="L111" s="224">
        <f>IF($B111="","",$K111*$E111/24)</f>
        <v/>
      </c>
      <c r="M111" s="227" t="n"/>
      <c r="N111" s="232">
        <f>IF($B111="","",$M111*'THAM_SO'!$M$27)</f>
        <v/>
      </c>
      <c r="O111" s="227" t="n"/>
      <c r="P111" s="222" t="n"/>
      <c r="Q111" s="227" t="n"/>
      <c r="R111" s="227" t="n"/>
      <c r="S111" s="227" t="n"/>
      <c r="T111" s="227" t="n"/>
      <c r="U111" s="224">
        <f>IF($B111="","",$O111*$P111+$Q111*$P111/24+$R111*$P111/30+$S111*'THAM_SO'!$M$6*2+$T111*'THAM_SO'!$M$27)</f>
        <v/>
      </c>
      <c r="V111" s="224">
        <f>IF($B111="","",SUM($F111,$J111,$L111,$N111,$U111))</f>
        <v/>
      </c>
      <c r="W111" s="222" t="n"/>
      <c r="X111" s="224">
        <f>IF(OR($B111="",$W111=""),"",$W111-$V111)</f>
        <v/>
      </c>
      <c r="Y111" s="127" t="n"/>
      <c r="Z111" s="127" t="n"/>
      <c r="AA111" s="150">
        <f>IF($B111="","",IF(AND(SUM($D111,$G111,$K111)&gt;0,$E111&lt;=0),"Thiếu mức đóng BH tháng trước; ","")&amp;IF(AND(SUM($O111:$R111)&gt;0,$P111&lt;=0),"Thiếu bình quân 06 tháng; ","")&amp;IF($K111&gt;0,"Mức 100% chỉ dùng đúng đối tượng luật định; ","")&amp;IF($W111="","",IF(ABS($X111)&gt;1,"Thực tế khác ước tính; ",""))&amp;IF($W111="","",IF($Y111="","Chưa chọn cách chi trả; ","")))</f>
        <v/>
      </c>
    </row>
    <row r="112">
      <c r="A112" s="145">
        <f>IF('DM_NHAN_SU'!$B112="","",ROW()-5)</f>
        <v/>
      </c>
      <c r="B112" s="145">
        <f>IF('DM_NHAN_SU'!$B112="","",'DM_NHAN_SU'!B112)</f>
        <v/>
      </c>
      <c r="C112" s="145">
        <f>IF('DM_NHAN_SU'!$B112="","",'DM_NHAN_SU'!C112)</f>
        <v/>
      </c>
      <c r="D112" s="227" t="n"/>
      <c r="E112" s="222" t="n"/>
      <c r="F112" s="224">
        <f>IF($B112="","",$D112*$E112/24*75%)</f>
        <v/>
      </c>
      <c r="G112" s="227" t="n"/>
      <c r="H112" s="227" t="n"/>
      <c r="I112" s="233">
        <f>IF($B112="","",IF($H112&gt;=30,65%,IF($H112&gt;=15,55%,50%)))</f>
        <v/>
      </c>
      <c r="J112" s="224">
        <f>IF($B112="","",$G112*$E112/24*$I112)</f>
        <v/>
      </c>
      <c r="K112" s="227" t="n"/>
      <c r="L112" s="224">
        <f>IF($B112="","",$K112*$E112/24)</f>
        <v/>
      </c>
      <c r="M112" s="227" t="n"/>
      <c r="N112" s="232">
        <f>IF($B112="","",$M112*'THAM_SO'!$M$27)</f>
        <v/>
      </c>
      <c r="O112" s="227" t="n"/>
      <c r="P112" s="222" t="n"/>
      <c r="Q112" s="227" t="n"/>
      <c r="R112" s="227" t="n"/>
      <c r="S112" s="227" t="n"/>
      <c r="T112" s="227" t="n"/>
      <c r="U112" s="224">
        <f>IF($B112="","",$O112*$P112+$Q112*$P112/24+$R112*$P112/30+$S112*'THAM_SO'!$M$6*2+$T112*'THAM_SO'!$M$27)</f>
        <v/>
      </c>
      <c r="V112" s="224">
        <f>IF($B112="","",SUM($F112,$J112,$L112,$N112,$U112))</f>
        <v/>
      </c>
      <c r="W112" s="222" t="n"/>
      <c r="X112" s="224">
        <f>IF(OR($B112="",$W112=""),"",$W112-$V112)</f>
        <v/>
      </c>
      <c r="Y112" s="127" t="n"/>
      <c r="Z112" s="127" t="n"/>
      <c r="AA112" s="150">
        <f>IF($B112="","",IF(AND(SUM($D112,$G112,$K112)&gt;0,$E112&lt;=0),"Thiếu mức đóng BH tháng trước; ","")&amp;IF(AND(SUM($O112:$R112)&gt;0,$P112&lt;=0),"Thiếu bình quân 06 tháng; ","")&amp;IF($K112&gt;0,"Mức 100% chỉ dùng đúng đối tượng luật định; ","")&amp;IF($W112="","",IF(ABS($X112)&gt;1,"Thực tế khác ước tính; ",""))&amp;IF($W112="","",IF($Y112="","Chưa chọn cách chi trả; ","")))</f>
        <v/>
      </c>
    </row>
    <row r="113">
      <c r="A113" s="145">
        <f>IF('DM_NHAN_SU'!$B113="","",ROW()-5)</f>
        <v/>
      </c>
      <c r="B113" s="145">
        <f>IF('DM_NHAN_SU'!$B113="","",'DM_NHAN_SU'!B113)</f>
        <v/>
      </c>
      <c r="C113" s="145">
        <f>IF('DM_NHAN_SU'!$B113="","",'DM_NHAN_SU'!C113)</f>
        <v/>
      </c>
      <c r="D113" s="227" t="n"/>
      <c r="E113" s="222" t="n"/>
      <c r="F113" s="224">
        <f>IF($B113="","",$D113*$E113/24*75%)</f>
        <v/>
      </c>
      <c r="G113" s="227" t="n"/>
      <c r="H113" s="227" t="n"/>
      <c r="I113" s="233">
        <f>IF($B113="","",IF($H113&gt;=30,65%,IF($H113&gt;=15,55%,50%)))</f>
        <v/>
      </c>
      <c r="J113" s="224">
        <f>IF($B113="","",$G113*$E113/24*$I113)</f>
        <v/>
      </c>
      <c r="K113" s="227" t="n"/>
      <c r="L113" s="224">
        <f>IF($B113="","",$K113*$E113/24)</f>
        <v/>
      </c>
      <c r="M113" s="227" t="n"/>
      <c r="N113" s="232">
        <f>IF($B113="","",$M113*'THAM_SO'!$M$27)</f>
        <v/>
      </c>
      <c r="O113" s="227" t="n"/>
      <c r="P113" s="222" t="n"/>
      <c r="Q113" s="227" t="n"/>
      <c r="R113" s="227" t="n"/>
      <c r="S113" s="227" t="n"/>
      <c r="T113" s="227" t="n"/>
      <c r="U113" s="224">
        <f>IF($B113="","",$O113*$P113+$Q113*$P113/24+$R113*$P113/30+$S113*'THAM_SO'!$M$6*2+$T113*'THAM_SO'!$M$27)</f>
        <v/>
      </c>
      <c r="V113" s="224">
        <f>IF($B113="","",SUM($F113,$J113,$L113,$N113,$U113))</f>
        <v/>
      </c>
      <c r="W113" s="222" t="n"/>
      <c r="X113" s="224">
        <f>IF(OR($B113="",$W113=""),"",$W113-$V113)</f>
        <v/>
      </c>
      <c r="Y113" s="127" t="n"/>
      <c r="Z113" s="127" t="n"/>
      <c r="AA113" s="150">
        <f>IF($B113="","",IF(AND(SUM($D113,$G113,$K113)&gt;0,$E113&lt;=0),"Thiếu mức đóng BH tháng trước; ","")&amp;IF(AND(SUM($O113:$R113)&gt;0,$P113&lt;=0),"Thiếu bình quân 06 tháng; ","")&amp;IF($K113&gt;0,"Mức 100% chỉ dùng đúng đối tượng luật định; ","")&amp;IF($W113="","",IF(ABS($X113)&gt;1,"Thực tế khác ước tính; ",""))&amp;IF($W113="","",IF($Y113="","Chưa chọn cách chi trả; ","")))</f>
        <v/>
      </c>
    </row>
    <row r="114">
      <c r="A114" s="145">
        <f>IF('DM_NHAN_SU'!$B114="","",ROW()-5)</f>
        <v/>
      </c>
      <c r="B114" s="145">
        <f>IF('DM_NHAN_SU'!$B114="","",'DM_NHAN_SU'!B114)</f>
        <v/>
      </c>
      <c r="C114" s="145">
        <f>IF('DM_NHAN_SU'!$B114="","",'DM_NHAN_SU'!C114)</f>
        <v/>
      </c>
      <c r="D114" s="227" t="n"/>
      <c r="E114" s="222" t="n"/>
      <c r="F114" s="224">
        <f>IF($B114="","",$D114*$E114/24*75%)</f>
        <v/>
      </c>
      <c r="G114" s="227" t="n"/>
      <c r="H114" s="227" t="n"/>
      <c r="I114" s="233">
        <f>IF($B114="","",IF($H114&gt;=30,65%,IF($H114&gt;=15,55%,50%)))</f>
        <v/>
      </c>
      <c r="J114" s="224">
        <f>IF($B114="","",$G114*$E114/24*$I114)</f>
        <v/>
      </c>
      <c r="K114" s="227" t="n"/>
      <c r="L114" s="224">
        <f>IF($B114="","",$K114*$E114/24)</f>
        <v/>
      </c>
      <c r="M114" s="227" t="n"/>
      <c r="N114" s="232">
        <f>IF($B114="","",$M114*'THAM_SO'!$M$27)</f>
        <v/>
      </c>
      <c r="O114" s="227" t="n"/>
      <c r="P114" s="222" t="n"/>
      <c r="Q114" s="227" t="n"/>
      <c r="R114" s="227" t="n"/>
      <c r="S114" s="227" t="n"/>
      <c r="T114" s="227" t="n"/>
      <c r="U114" s="224">
        <f>IF($B114="","",$O114*$P114+$Q114*$P114/24+$R114*$P114/30+$S114*'THAM_SO'!$M$6*2+$T114*'THAM_SO'!$M$27)</f>
        <v/>
      </c>
      <c r="V114" s="224">
        <f>IF($B114="","",SUM($F114,$J114,$L114,$N114,$U114))</f>
        <v/>
      </c>
      <c r="W114" s="222" t="n"/>
      <c r="X114" s="224">
        <f>IF(OR($B114="",$W114=""),"",$W114-$V114)</f>
        <v/>
      </c>
      <c r="Y114" s="127" t="n"/>
      <c r="Z114" s="127" t="n"/>
      <c r="AA114" s="150">
        <f>IF($B114="","",IF(AND(SUM($D114,$G114,$K114)&gt;0,$E114&lt;=0),"Thiếu mức đóng BH tháng trước; ","")&amp;IF(AND(SUM($O114:$R114)&gt;0,$P114&lt;=0),"Thiếu bình quân 06 tháng; ","")&amp;IF($K114&gt;0,"Mức 100% chỉ dùng đúng đối tượng luật định; ","")&amp;IF($W114="","",IF(ABS($X114)&gt;1,"Thực tế khác ước tính; ",""))&amp;IF($W114="","",IF($Y114="","Chưa chọn cách chi trả; ","")))</f>
        <v/>
      </c>
    </row>
    <row r="115">
      <c r="A115" s="145">
        <f>IF('DM_NHAN_SU'!$B115="","",ROW()-5)</f>
        <v/>
      </c>
      <c r="B115" s="145">
        <f>IF('DM_NHAN_SU'!$B115="","",'DM_NHAN_SU'!B115)</f>
        <v/>
      </c>
      <c r="C115" s="145">
        <f>IF('DM_NHAN_SU'!$B115="","",'DM_NHAN_SU'!C115)</f>
        <v/>
      </c>
      <c r="D115" s="227" t="n"/>
      <c r="E115" s="222" t="n"/>
      <c r="F115" s="224">
        <f>IF($B115="","",$D115*$E115/24*75%)</f>
        <v/>
      </c>
      <c r="G115" s="227" t="n"/>
      <c r="H115" s="227" t="n"/>
      <c r="I115" s="233">
        <f>IF($B115="","",IF($H115&gt;=30,65%,IF($H115&gt;=15,55%,50%)))</f>
        <v/>
      </c>
      <c r="J115" s="224">
        <f>IF($B115="","",$G115*$E115/24*$I115)</f>
        <v/>
      </c>
      <c r="K115" s="227" t="n"/>
      <c r="L115" s="224">
        <f>IF($B115="","",$K115*$E115/24)</f>
        <v/>
      </c>
      <c r="M115" s="227" t="n"/>
      <c r="N115" s="232">
        <f>IF($B115="","",$M115*'THAM_SO'!$M$27)</f>
        <v/>
      </c>
      <c r="O115" s="227" t="n"/>
      <c r="P115" s="222" t="n"/>
      <c r="Q115" s="227" t="n"/>
      <c r="R115" s="227" t="n"/>
      <c r="S115" s="227" t="n"/>
      <c r="T115" s="227" t="n"/>
      <c r="U115" s="224">
        <f>IF($B115="","",$O115*$P115+$Q115*$P115/24+$R115*$P115/30+$S115*'THAM_SO'!$M$6*2+$T115*'THAM_SO'!$M$27)</f>
        <v/>
      </c>
      <c r="V115" s="224">
        <f>IF($B115="","",SUM($F115,$J115,$L115,$N115,$U115))</f>
        <v/>
      </c>
      <c r="W115" s="222" t="n"/>
      <c r="X115" s="224">
        <f>IF(OR($B115="",$W115=""),"",$W115-$V115)</f>
        <v/>
      </c>
      <c r="Y115" s="127" t="n"/>
      <c r="Z115" s="127" t="n"/>
      <c r="AA115" s="150">
        <f>IF($B115="","",IF(AND(SUM($D115,$G115,$K115)&gt;0,$E115&lt;=0),"Thiếu mức đóng BH tháng trước; ","")&amp;IF(AND(SUM($O115:$R115)&gt;0,$P115&lt;=0),"Thiếu bình quân 06 tháng; ","")&amp;IF($K115&gt;0,"Mức 100% chỉ dùng đúng đối tượng luật định; ","")&amp;IF($W115="","",IF(ABS($X115)&gt;1,"Thực tế khác ước tính; ",""))&amp;IF($W115="","",IF($Y115="","Chưa chọn cách chi trả; ","")))</f>
        <v/>
      </c>
    </row>
    <row r="116">
      <c r="A116" s="145">
        <f>IF('DM_NHAN_SU'!$B116="","",ROW()-5)</f>
        <v/>
      </c>
      <c r="B116" s="145">
        <f>IF('DM_NHAN_SU'!$B116="","",'DM_NHAN_SU'!B116)</f>
        <v/>
      </c>
      <c r="C116" s="145">
        <f>IF('DM_NHAN_SU'!$B116="","",'DM_NHAN_SU'!C116)</f>
        <v/>
      </c>
      <c r="D116" s="227" t="n"/>
      <c r="E116" s="222" t="n"/>
      <c r="F116" s="224">
        <f>IF($B116="","",$D116*$E116/24*75%)</f>
        <v/>
      </c>
      <c r="G116" s="227" t="n"/>
      <c r="H116" s="227" t="n"/>
      <c r="I116" s="233">
        <f>IF($B116="","",IF($H116&gt;=30,65%,IF($H116&gt;=15,55%,50%)))</f>
        <v/>
      </c>
      <c r="J116" s="224">
        <f>IF($B116="","",$G116*$E116/24*$I116)</f>
        <v/>
      </c>
      <c r="K116" s="227" t="n"/>
      <c r="L116" s="224">
        <f>IF($B116="","",$K116*$E116/24)</f>
        <v/>
      </c>
      <c r="M116" s="227" t="n"/>
      <c r="N116" s="232">
        <f>IF($B116="","",$M116*'THAM_SO'!$M$27)</f>
        <v/>
      </c>
      <c r="O116" s="227" t="n"/>
      <c r="P116" s="222" t="n"/>
      <c r="Q116" s="227" t="n"/>
      <c r="R116" s="227" t="n"/>
      <c r="S116" s="227" t="n"/>
      <c r="T116" s="227" t="n"/>
      <c r="U116" s="224">
        <f>IF($B116="","",$O116*$P116+$Q116*$P116/24+$R116*$P116/30+$S116*'THAM_SO'!$M$6*2+$T116*'THAM_SO'!$M$27)</f>
        <v/>
      </c>
      <c r="V116" s="224">
        <f>IF($B116="","",SUM($F116,$J116,$L116,$N116,$U116))</f>
        <v/>
      </c>
      <c r="W116" s="222" t="n"/>
      <c r="X116" s="224">
        <f>IF(OR($B116="",$W116=""),"",$W116-$V116)</f>
        <v/>
      </c>
      <c r="Y116" s="127" t="n"/>
      <c r="Z116" s="127" t="n"/>
      <c r="AA116" s="150">
        <f>IF($B116="","",IF(AND(SUM($D116,$G116,$K116)&gt;0,$E116&lt;=0),"Thiếu mức đóng BH tháng trước; ","")&amp;IF(AND(SUM($O116:$R116)&gt;0,$P116&lt;=0),"Thiếu bình quân 06 tháng; ","")&amp;IF($K116&gt;0,"Mức 100% chỉ dùng đúng đối tượng luật định; ","")&amp;IF($W116="","",IF(ABS($X116)&gt;1,"Thực tế khác ước tính; ",""))&amp;IF($W116="","",IF($Y116="","Chưa chọn cách chi trả; ","")))</f>
        <v/>
      </c>
    </row>
    <row r="117">
      <c r="A117" s="145">
        <f>IF('DM_NHAN_SU'!$B117="","",ROW()-5)</f>
        <v/>
      </c>
      <c r="B117" s="145">
        <f>IF('DM_NHAN_SU'!$B117="","",'DM_NHAN_SU'!B117)</f>
        <v/>
      </c>
      <c r="C117" s="145">
        <f>IF('DM_NHAN_SU'!$B117="","",'DM_NHAN_SU'!C117)</f>
        <v/>
      </c>
      <c r="D117" s="227" t="n"/>
      <c r="E117" s="222" t="n"/>
      <c r="F117" s="224">
        <f>IF($B117="","",$D117*$E117/24*75%)</f>
        <v/>
      </c>
      <c r="G117" s="227" t="n"/>
      <c r="H117" s="227" t="n"/>
      <c r="I117" s="233">
        <f>IF($B117="","",IF($H117&gt;=30,65%,IF($H117&gt;=15,55%,50%)))</f>
        <v/>
      </c>
      <c r="J117" s="224">
        <f>IF($B117="","",$G117*$E117/24*$I117)</f>
        <v/>
      </c>
      <c r="K117" s="227" t="n"/>
      <c r="L117" s="224">
        <f>IF($B117="","",$K117*$E117/24)</f>
        <v/>
      </c>
      <c r="M117" s="227" t="n"/>
      <c r="N117" s="232">
        <f>IF($B117="","",$M117*'THAM_SO'!$M$27)</f>
        <v/>
      </c>
      <c r="O117" s="227" t="n"/>
      <c r="P117" s="222" t="n"/>
      <c r="Q117" s="227" t="n"/>
      <c r="R117" s="227" t="n"/>
      <c r="S117" s="227" t="n"/>
      <c r="T117" s="227" t="n"/>
      <c r="U117" s="224">
        <f>IF($B117="","",$O117*$P117+$Q117*$P117/24+$R117*$P117/30+$S117*'THAM_SO'!$M$6*2+$T117*'THAM_SO'!$M$27)</f>
        <v/>
      </c>
      <c r="V117" s="224">
        <f>IF($B117="","",SUM($F117,$J117,$L117,$N117,$U117))</f>
        <v/>
      </c>
      <c r="W117" s="222" t="n"/>
      <c r="X117" s="224">
        <f>IF(OR($B117="",$W117=""),"",$W117-$V117)</f>
        <v/>
      </c>
      <c r="Y117" s="127" t="n"/>
      <c r="Z117" s="127" t="n"/>
      <c r="AA117" s="150">
        <f>IF($B117="","",IF(AND(SUM($D117,$G117,$K117)&gt;0,$E117&lt;=0),"Thiếu mức đóng BH tháng trước; ","")&amp;IF(AND(SUM($O117:$R117)&gt;0,$P117&lt;=0),"Thiếu bình quân 06 tháng; ","")&amp;IF($K117&gt;0,"Mức 100% chỉ dùng đúng đối tượng luật định; ","")&amp;IF($W117="","",IF(ABS($X117)&gt;1,"Thực tế khác ước tính; ",""))&amp;IF($W117="","",IF($Y117="","Chưa chọn cách chi trả; ","")))</f>
        <v/>
      </c>
    </row>
    <row r="118">
      <c r="A118" s="145">
        <f>IF('DM_NHAN_SU'!$B118="","",ROW()-5)</f>
        <v/>
      </c>
      <c r="B118" s="145">
        <f>IF('DM_NHAN_SU'!$B118="","",'DM_NHAN_SU'!B118)</f>
        <v/>
      </c>
      <c r="C118" s="145">
        <f>IF('DM_NHAN_SU'!$B118="","",'DM_NHAN_SU'!C118)</f>
        <v/>
      </c>
      <c r="D118" s="227" t="n"/>
      <c r="E118" s="222" t="n"/>
      <c r="F118" s="224">
        <f>IF($B118="","",$D118*$E118/24*75%)</f>
        <v/>
      </c>
      <c r="G118" s="227" t="n"/>
      <c r="H118" s="227" t="n"/>
      <c r="I118" s="233">
        <f>IF($B118="","",IF($H118&gt;=30,65%,IF($H118&gt;=15,55%,50%)))</f>
        <v/>
      </c>
      <c r="J118" s="224">
        <f>IF($B118="","",$G118*$E118/24*$I118)</f>
        <v/>
      </c>
      <c r="K118" s="227" t="n"/>
      <c r="L118" s="224">
        <f>IF($B118="","",$K118*$E118/24)</f>
        <v/>
      </c>
      <c r="M118" s="227" t="n"/>
      <c r="N118" s="232">
        <f>IF($B118="","",$M118*'THAM_SO'!$M$27)</f>
        <v/>
      </c>
      <c r="O118" s="227" t="n"/>
      <c r="P118" s="222" t="n"/>
      <c r="Q118" s="227" t="n"/>
      <c r="R118" s="227" t="n"/>
      <c r="S118" s="227" t="n"/>
      <c r="T118" s="227" t="n"/>
      <c r="U118" s="224">
        <f>IF($B118="","",$O118*$P118+$Q118*$P118/24+$R118*$P118/30+$S118*'THAM_SO'!$M$6*2+$T118*'THAM_SO'!$M$27)</f>
        <v/>
      </c>
      <c r="V118" s="224">
        <f>IF($B118="","",SUM($F118,$J118,$L118,$N118,$U118))</f>
        <v/>
      </c>
      <c r="W118" s="222" t="n"/>
      <c r="X118" s="224">
        <f>IF(OR($B118="",$W118=""),"",$W118-$V118)</f>
        <v/>
      </c>
      <c r="Y118" s="127" t="n"/>
      <c r="Z118" s="127" t="n"/>
      <c r="AA118" s="150">
        <f>IF($B118="","",IF(AND(SUM($D118,$G118,$K118)&gt;0,$E118&lt;=0),"Thiếu mức đóng BH tháng trước; ","")&amp;IF(AND(SUM($O118:$R118)&gt;0,$P118&lt;=0),"Thiếu bình quân 06 tháng; ","")&amp;IF($K118&gt;0,"Mức 100% chỉ dùng đúng đối tượng luật định; ","")&amp;IF($W118="","",IF(ABS($X118)&gt;1,"Thực tế khác ước tính; ",""))&amp;IF($W118="","",IF($Y118="","Chưa chọn cách chi trả; ","")))</f>
        <v/>
      </c>
    </row>
    <row r="119">
      <c r="A119" s="145">
        <f>IF('DM_NHAN_SU'!$B119="","",ROW()-5)</f>
        <v/>
      </c>
      <c r="B119" s="145">
        <f>IF('DM_NHAN_SU'!$B119="","",'DM_NHAN_SU'!B119)</f>
        <v/>
      </c>
      <c r="C119" s="145">
        <f>IF('DM_NHAN_SU'!$B119="","",'DM_NHAN_SU'!C119)</f>
        <v/>
      </c>
      <c r="D119" s="227" t="n"/>
      <c r="E119" s="222" t="n"/>
      <c r="F119" s="224">
        <f>IF($B119="","",$D119*$E119/24*75%)</f>
        <v/>
      </c>
      <c r="G119" s="227" t="n"/>
      <c r="H119" s="227" t="n"/>
      <c r="I119" s="233">
        <f>IF($B119="","",IF($H119&gt;=30,65%,IF($H119&gt;=15,55%,50%)))</f>
        <v/>
      </c>
      <c r="J119" s="224">
        <f>IF($B119="","",$G119*$E119/24*$I119)</f>
        <v/>
      </c>
      <c r="K119" s="227" t="n"/>
      <c r="L119" s="224">
        <f>IF($B119="","",$K119*$E119/24)</f>
        <v/>
      </c>
      <c r="M119" s="227" t="n"/>
      <c r="N119" s="232">
        <f>IF($B119="","",$M119*'THAM_SO'!$M$27)</f>
        <v/>
      </c>
      <c r="O119" s="227" t="n"/>
      <c r="P119" s="222" t="n"/>
      <c r="Q119" s="227" t="n"/>
      <c r="R119" s="227" t="n"/>
      <c r="S119" s="227" t="n"/>
      <c r="T119" s="227" t="n"/>
      <c r="U119" s="224">
        <f>IF($B119="","",$O119*$P119+$Q119*$P119/24+$R119*$P119/30+$S119*'THAM_SO'!$M$6*2+$T119*'THAM_SO'!$M$27)</f>
        <v/>
      </c>
      <c r="V119" s="224">
        <f>IF($B119="","",SUM($F119,$J119,$L119,$N119,$U119))</f>
        <v/>
      </c>
      <c r="W119" s="222" t="n"/>
      <c r="X119" s="224">
        <f>IF(OR($B119="",$W119=""),"",$W119-$V119)</f>
        <v/>
      </c>
      <c r="Y119" s="127" t="n"/>
      <c r="Z119" s="127" t="n"/>
      <c r="AA119" s="150">
        <f>IF($B119="","",IF(AND(SUM($D119,$G119,$K119)&gt;0,$E119&lt;=0),"Thiếu mức đóng BH tháng trước; ","")&amp;IF(AND(SUM($O119:$R119)&gt;0,$P119&lt;=0),"Thiếu bình quân 06 tháng; ","")&amp;IF($K119&gt;0,"Mức 100% chỉ dùng đúng đối tượng luật định; ","")&amp;IF($W119="","",IF(ABS($X119)&gt;1,"Thực tế khác ước tính; ",""))&amp;IF($W119="","",IF($Y119="","Chưa chọn cách chi trả; ","")))</f>
        <v/>
      </c>
    </row>
    <row r="120">
      <c r="A120" s="145">
        <f>IF('DM_NHAN_SU'!$B120="","",ROW()-5)</f>
        <v/>
      </c>
      <c r="B120" s="145">
        <f>IF('DM_NHAN_SU'!$B120="","",'DM_NHAN_SU'!B120)</f>
        <v/>
      </c>
      <c r="C120" s="145">
        <f>IF('DM_NHAN_SU'!$B120="","",'DM_NHAN_SU'!C120)</f>
        <v/>
      </c>
      <c r="D120" s="227" t="n"/>
      <c r="E120" s="222" t="n"/>
      <c r="F120" s="224">
        <f>IF($B120="","",$D120*$E120/24*75%)</f>
        <v/>
      </c>
      <c r="G120" s="227" t="n"/>
      <c r="H120" s="227" t="n"/>
      <c r="I120" s="233">
        <f>IF($B120="","",IF($H120&gt;=30,65%,IF($H120&gt;=15,55%,50%)))</f>
        <v/>
      </c>
      <c r="J120" s="224">
        <f>IF($B120="","",$G120*$E120/24*$I120)</f>
        <v/>
      </c>
      <c r="K120" s="227" t="n"/>
      <c r="L120" s="224">
        <f>IF($B120="","",$K120*$E120/24)</f>
        <v/>
      </c>
      <c r="M120" s="227" t="n"/>
      <c r="N120" s="232">
        <f>IF($B120="","",$M120*'THAM_SO'!$M$27)</f>
        <v/>
      </c>
      <c r="O120" s="227" t="n"/>
      <c r="P120" s="222" t="n"/>
      <c r="Q120" s="227" t="n"/>
      <c r="R120" s="227" t="n"/>
      <c r="S120" s="227" t="n"/>
      <c r="T120" s="227" t="n"/>
      <c r="U120" s="224">
        <f>IF($B120="","",$O120*$P120+$Q120*$P120/24+$R120*$P120/30+$S120*'THAM_SO'!$M$6*2+$T120*'THAM_SO'!$M$27)</f>
        <v/>
      </c>
      <c r="V120" s="224">
        <f>IF($B120="","",SUM($F120,$J120,$L120,$N120,$U120))</f>
        <v/>
      </c>
      <c r="W120" s="222" t="n"/>
      <c r="X120" s="224">
        <f>IF(OR($B120="",$W120=""),"",$W120-$V120)</f>
        <v/>
      </c>
      <c r="Y120" s="127" t="n"/>
      <c r="Z120" s="127" t="n"/>
      <c r="AA120" s="150">
        <f>IF($B120="","",IF(AND(SUM($D120,$G120,$K120)&gt;0,$E120&lt;=0),"Thiếu mức đóng BH tháng trước; ","")&amp;IF(AND(SUM($O120:$R120)&gt;0,$P120&lt;=0),"Thiếu bình quân 06 tháng; ","")&amp;IF($K120&gt;0,"Mức 100% chỉ dùng đúng đối tượng luật định; ","")&amp;IF($W120="","",IF(ABS($X120)&gt;1,"Thực tế khác ước tính; ",""))&amp;IF($W120="","",IF($Y120="","Chưa chọn cách chi trả; ","")))</f>
        <v/>
      </c>
    </row>
    <row r="121">
      <c r="A121" s="145">
        <f>IF('DM_NHAN_SU'!$B121="","",ROW()-5)</f>
        <v/>
      </c>
      <c r="B121" s="145">
        <f>IF('DM_NHAN_SU'!$B121="","",'DM_NHAN_SU'!B121)</f>
        <v/>
      </c>
      <c r="C121" s="145">
        <f>IF('DM_NHAN_SU'!$B121="","",'DM_NHAN_SU'!C121)</f>
        <v/>
      </c>
      <c r="D121" s="227" t="n"/>
      <c r="E121" s="222" t="n"/>
      <c r="F121" s="224">
        <f>IF($B121="","",$D121*$E121/24*75%)</f>
        <v/>
      </c>
      <c r="G121" s="227" t="n"/>
      <c r="H121" s="227" t="n"/>
      <c r="I121" s="233">
        <f>IF($B121="","",IF($H121&gt;=30,65%,IF($H121&gt;=15,55%,50%)))</f>
        <v/>
      </c>
      <c r="J121" s="224">
        <f>IF($B121="","",$G121*$E121/24*$I121)</f>
        <v/>
      </c>
      <c r="K121" s="227" t="n"/>
      <c r="L121" s="224">
        <f>IF($B121="","",$K121*$E121/24)</f>
        <v/>
      </c>
      <c r="M121" s="227" t="n"/>
      <c r="N121" s="232">
        <f>IF($B121="","",$M121*'THAM_SO'!$M$27)</f>
        <v/>
      </c>
      <c r="O121" s="227" t="n"/>
      <c r="P121" s="222" t="n"/>
      <c r="Q121" s="227" t="n"/>
      <c r="R121" s="227" t="n"/>
      <c r="S121" s="227" t="n"/>
      <c r="T121" s="227" t="n"/>
      <c r="U121" s="224">
        <f>IF($B121="","",$O121*$P121+$Q121*$P121/24+$R121*$P121/30+$S121*'THAM_SO'!$M$6*2+$T121*'THAM_SO'!$M$27)</f>
        <v/>
      </c>
      <c r="V121" s="224">
        <f>IF($B121="","",SUM($F121,$J121,$L121,$N121,$U121))</f>
        <v/>
      </c>
      <c r="W121" s="222" t="n"/>
      <c r="X121" s="224">
        <f>IF(OR($B121="",$W121=""),"",$W121-$V121)</f>
        <v/>
      </c>
      <c r="Y121" s="127" t="n"/>
      <c r="Z121" s="127" t="n"/>
      <c r="AA121" s="150">
        <f>IF($B121="","",IF(AND(SUM($D121,$G121,$K121)&gt;0,$E121&lt;=0),"Thiếu mức đóng BH tháng trước; ","")&amp;IF(AND(SUM($O121:$R121)&gt;0,$P121&lt;=0),"Thiếu bình quân 06 tháng; ","")&amp;IF($K121&gt;0,"Mức 100% chỉ dùng đúng đối tượng luật định; ","")&amp;IF($W121="","",IF(ABS($X121)&gt;1,"Thực tế khác ước tính; ",""))&amp;IF($W121="","",IF($Y121="","Chưa chọn cách chi trả; ","")))</f>
        <v/>
      </c>
    </row>
    <row r="122">
      <c r="A122" s="145">
        <f>IF('DM_NHAN_SU'!$B122="","",ROW()-5)</f>
        <v/>
      </c>
      <c r="B122" s="145">
        <f>IF('DM_NHAN_SU'!$B122="","",'DM_NHAN_SU'!B122)</f>
        <v/>
      </c>
      <c r="C122" s="145">
        <f>IF('DM_NHAN_SU'!$B122="","",'DM_NHAN_SU'!C122)</f>
        <v/>
      </c>
      <c r="D122" s="227" t="n"/>
      <c r="E122" s="222" t="n"/>
      <c r="F122" s="224">
        <f>IF($B122="","",$D122*$E122/24*75%)</f>
        <v/>
      </c>
      <c r="G122" s="227" t="n"/>
      <c r="H122" s="227" t="n"/>
      <c r="I122" s="233">
        <f>IF($B122="","",IF($H122&gt;=30,65%,IF($H122&gt;=15,55%,50%)))</f>
        <v/>
      </c>
      <c r="J122" s="224">
        <f>IF($B122="","",$G122*$E122/24*$I122)</f>
        <v/>
      </c>
      <c r="K122" s="227" t="n"/>
      <c r="L122" s="224">
        <f>IF($B122="","",$K122*$E122/24)</f>
        <v/>
      </c>
      <c r="M122" s="227" t="n"/>
      <c r="N122" s="232">
        <f>IF($B122="","",$M122*'THAM_SO'!$M$27)</f>
        <v/>
      </c>
      <c r="O122" s="227" t="n"/>
      <c r="P122" s="222" t="n"/>
      <c r="Q122" s="227" t="n"/>
      <c r="R122" s="227" t="n"/>
      <c r="S122" s="227" t="n"/>
      <c r="T122" s="227" t="n"/>
      <c r="U122" s="224">
        <f>IF($B122="","",$O122*$P122+$Q122*$P122/24+$R122*$P122/30+$S122*'THAM_SO'!$M$6*2+$T122*'THAM_SO'!$M$27)</f>
        <v/>
      </c>
      <c r="V122" s="224">
        <f>IF($B122="","",SUM($F122,$J122,$L122,$N122,$U122))</f>
        <v/>
      </c>
      <c r="W122" s="222" t="n"/>
      <c r="X122" s="224">
        <f>IF(OR($B122="",$W122=""),"",$W122-$V122)</f>
        <v/>
      </c>
      <c r="Y122" s="127" t="n"/>
      <c r="Z122" s="127" t="n"/>
      <c r="AA122" s="150">
        <f>IF($B122="","",IF(AND(SUM($D122,$G122,$K122)&gt;0,$E122&lt;=0),"Thiếu mức đóng BH tháng trước; ","")&amp;IF(AND(SUM($O122:$R122)&gt;0,$P122&lt;=0),"Thiếu bình quân 06 tháng; ","")&amp;IF($K122&gt;0,"Mức 100% chỉ dùng đúng đối tượng luật định; ","")&amp;IF($W122="","",IF(ABS($X122)&gt;1,"Thực tế khác ước tính; ",""))&amp;IF($W122="","",IF($Y122="","Chưa chọn cách chi trả; ","")))</f>
        <v/>
      </c>
    </row>
    <row r="123">
      <c r="A123" s="145">
        <f>IF('DM_NHAN_SU'!$B123="","",ROW()-5)</f>
        <v/>
      </c>
      <c r="B123" s="145">
        <f>IF('DM_NHAN_SU'!$B123="","",'DM_NHAN_SU'!B123)</f>
        <v/>
      </c>
      <c r="C123" s="145">
        <f>IF('DM_NHAN_SU'!$B123="","",'DM_NHAN_SU'!C123)</f>
        <v/>
      </c>
      <c r="D123" s="227" t="n"/>
      <c r="E123" s="222" t="n"/>
      <c r="F123" s="224">
        <f>IF($B123="","",$D123*$E123/24*75%)</f>
        <v/>
      </c>
      <c r="G123" s="227" t="n"/>
      <c r="H123" s="227" t="n"/>
      <c r="I123" s="233">
        <f>IF($B123="","",IF($H123&gt;=30,65%,IF($H123&gt;=15,55%,50%)))</f>
        <v/>
      </c>
      <c r="J123" s="224">
        <f>IF($B123="","",$G123*$E123/24*$I123)</f>
        <v/>
      </c>
      <c r="K123" s="227" t="n"/>
      <c r="L123" s="224">
        <f>IF($B123="","",$K123*$E123/24)</f>
        <v/>
      </c>
      <c r="M123" s="227" t="n"/>
      <c r="N123" s="232">
        <f>IF($B123="","",$M123*'THAM_SO'!$M$27)</f>
        <v/>
      </c>
      <c r="O123" s="227" t="n"/>
      <c r="P123" s="222" t="n"/>
      <c r="Q123" s="227" t="n"/>
      <c r="R123" s="227" t="n"/>
      <c r="S123" s="227" t="n"/>
      <c r="T123" s="227" t="n"/>
      <c r="U123" s="224">
        <f>IF($B123="","",$O123*$P123+$Q123*$P123/24+$R123*$P123/30+$S123*'THAM_SO'!$M$6*2+$T123*'THAM_SO'!$M$27)</f>
        <v/>
      </c>
      <c r="V123" s="224">
        <f>IF($B123="","",SUM($F123,$J123,$L123,$N123,$U123))</f>
        <v/>
      </c>
      <c r="W123" s="222" t="n"/>
      <c r="X123" s="224">
        <f>IF(OR($B123="",$W123=""),"",$W123-$V123)</f>
        <v/>
      </c>
      <c r="Y123" s="127" t="n"/>
      <c r="Z123" s="127" t="n"/>
      <c r="AA123" s="150">
        <f>IF($B123="","",IF(AND(SUM($D123,$G123,$K123)&gt;0,$E123&lt;=0),"Thiếu mức đóng BH tháng trước; ","")&amp;IF(AND(SUM($O123:$R123)&gt;0,$P123&lt;=0),"Thiếu bình quân 06 tháng; ","")&amp;IF($K123&gt;0,"Mức 100% chỉ dùng đúng đối tượng luật định; ","")&amp;IF($W123="","",IF(ABS($X123)&gt;1,"Thực tế khác ước tính; ",""))&amp;IF($W123="","",IF($Y123="","Chưa chọn cách chi trả; ","")))</f>
        <v/>
      </c>
    </row>
    <row r="124">
      <c r="A124" s="145">
        <f>IF('DM_NHAN_SU'!$B124="","",ROW()-5)</f>
        <v/>
      </c>
      <c r="B124" s="145">
        <f>IF('DM_NHAN_SU'!$B124="","",'DM_NHAN_SU'!B124)</f>
        <v/>
      </c>
      <c r="C124" s="145">
        <f>IF('DM_NHAN_SU'!$B124="","",'DM_NHAN_SU'!C124)</f>
        <v/>
      </c>
      <c r="D124" s="227" t="n"/>
      <c r="E124" s="222" t="n"/>
      <c r="F124" s="224">
        <f>IF($B124="","",$D124*$E124/24*75%)</f>
        <v/>
      </c>
      <c r="G124" s="227" t="n"/>
      <c r="H124" s="227" t="n"/>
      <c r="I124" s="233">
        <f>IF($B124="","",IF($H124&gt;=30,65%,IF($H124&gt;=15,55%,50%)))</f>
        <v/>
      </c>
      <c r="J124" s="224">
        <f>IF($B124="","",$G124*$E124/24*$I124)</f>
        <v/>
      </c>
      <c r="K124" s="227" t="n"/>
      <c r="L124" s="224">
        <f>IF($B124="","",$K124*$E124/24)</f>
        <v/>
      </c>
      <c r="M124" s="227" t="n"/>
      <c r="N124" s="232">
        <f>IF($B124="","",$M124*'THAM_SO'!$M$27)</f>
        <v/>
      </c>
      <c r="O124" s="227" t="n"/>
      <c r="P124" s="222" t="n"/>
      <c r="Q124" s="227" t="n"/>
      <c r="R124" s="227" t="n"/>
      <c r="S124" s="227" t="n"/>
      <c r="T124" s="227" t="n"/>
      <c r="U124" s="224">
        <f>IF($B124="","",$O124*$P124+$Q124*$P124/24+$R124*$P124/30+$S124*'THAM_SO'!$M$6*2+$T124*'THAM_SO'!$M$27)</f>
        <v/>
      </c>
      <c r="V124" s="224">
        <f>IF($B124="","",SUM($F124,$J124,$L124,$N124,$U124))</f>
        <v/>
      </c>
      <c r="W124" s="222" t="n"/>
      <c r="X124" s="224">
        <f>IF(OR($B124="",$W124=""),"",$W124-$V124)</f>
        <v/>
      </c>
      <c r="Y124" s="127" t="n"/>
      <c r="Z124" s="127" t="n"/>
      <c r="AA124" s="150">
        <f>IF($B124="","",IF(AND(SUM($D124,$G124,$K124)&gt;0,$E124&lt;=0),"Thiếu mức đóng BH tháng trước; ","")&amp;IF(AND(SUM($O124:$R124)&gt;0,$P124&lt;=0),"Thiếu bình quân 06 tháng; ","")&amp;IF($K124&gt;0,"Mức 100% chỉ dùng đúng đối tượng luật định; ","")&amp;IF($W124="","",IF(ABS($X124)&gt;1,"Thực tế khác ước tính; ",""))&amp;IF($W124="","",IF($Y124="","Chưa chọn cách chi trả; ","")))</f>
        <v/>
      </c>
    </row>
    <row r="125">
      <c r="A125" s="145">
        <f>IF('DM_NHAN_SU'!$B125="","",ROW()-5)</f>
        <v/>
      </c>
      <c r="B125" s="145">
        <f>IF('DM_NHAN_SU'!$B125="","",'DM_NHAN_SU'!B125)</f>
        <v/>
      </c>
      <c r="C125" s="145">
        <f>IF('DM_NHAN_SU'!$B125="","",'DM_NHAN_SU'!C125)</f>
        <v/>
      </c>
      <c r="D125" s="227" t="n"/>
      <c r="E125" s="222" t="n"/>
      <c r="F125" s="224">
        <f>IF($B125="","",$D125*$E125/24*75%)</f>
        <v/>
      </c>
      <c r="G125" s="227" t="n"/>
      <c r="H125" s="227" t="n"/>
      <c r="I125" s="233">
        <f>IF($B125="","",IF($H125&gt;=30,65%,IF($H125&gt;=15,55%,50%)))</f>
        <v/>
      </c>
      <c r="J125" s="224">
        <f>IF($B125="","",$G125*$E125/24*$I125)</f>
        <v/>
      </c>
      <c r="K125" s="227" t="n"/>
      <c r="L125" s="224">
        <f>IF($B125="","",$K125*$E125/24)</f>
        <v/>
      </c>
      <c r="M125" s="227" t="n"/>
      <c r="N125" s="232">
        <f>IF($B125="","",$M125*'THAM_SO'!$M$27)</f>
        <v/>
      </c>
      <c r="O125" s="227" t="n"/>
      <c r="P125" s="222" t="n"/>
      <c r="Q125" s="227" t="n"/>
      <c r="R125" s="227" t="n"/>
      <c r="S125" s="227" t="n"/>
      <c r="T125" s="227" t="n"/>
      <c r="U125" s="224">
        <f>IF($B125="","",$O125*$P125+$Q125*$P125/24+$R125*$P125/30+$S125*'THAM_SO'!$M$6*2+$T125*'THAM_SO'!$M$27)</f>
        <v/>
      </c>
      <c r="V125" s="224">
        <f>IF($B125="","",SUM($F125,$J125,$L125,$N125,$U125))</f>
        <v/>
      </c>
      <c r="W125" s="222" t="n"/>
      <c r="X125" s="224">
        <f>IF(OR($B125="",$W125=""),"",$W125-$V125)</f>
        <v/>
      </c>
      <c r="Y125" s="127" t="n"/>
      <c r="Z125" s="127" t="n"/>
      <c r="AA125" s="150">
        <f>IF($B125="","",IF(AND(SUM($D125,$G125,$K125)&gt;0,$E125&lt;=0),"Thiếu mức đóng BH tháng trước; ","")&amp;IF(AND(SUM($O125:$R125)&gt;0,$P125&lt;=0),"Thiếu bình quân 06 tháng; ","")&amp;IF($K125&gt;0,"Mức 100% chỉ dùng đúng đối tượng luật định; ","")&amp;IF($W125="","",IF(ABS($X125)&gt;1,"Thực tế khác ước tính; ",""))&amp;IF($W125="","",IF($Y125="","Chưa chọn cách chi trả; ","")))</f>
        <v/>
      </c>
    </row>
    <row r="126">
      <c r="A126" s="145">
        <f>IF('DM_NHAN_SU'!$B126="","",ROW()-5)</f>
        <v/>
      </c>
      <c r="B126" s="145">
        <f>IF('DM_NHAN_SU'!$B126="","",'DM_NHAN_SU'!B126)</f>
        <v/>
      </c>
      <c r="C126" s="145">
        <f>IF('DM_NHAN_SU'!$B126="","",'DM_NHAN_SU'!C126)</f>
        <v/>
      </c>
      <c r="D126" s="227" t="n"/>
      <c r="E126" s="222" t="n"/>
      <c r="F126" s="224">
        <f>IF($B126="","",$D126*$E126/24*75%)</f>
        <v/>
      </c>
      <c r="G126" s="227" t="n"/>
      <c r="H126" s="227" t="n"/>
      <c r="I126" s="233">
        <f>IF($B126="","",IF($H126&gt;=30,65%,IF($H126&gt;=15,55%,50%)))</f>
        <v/>
      </c>
      <c r="J126" s="224">
        <f>IF($B126="","",$G126*$E126/24*$I126)</f>
        <v/>
      </c>
      <c r="K126" s="227" t="n"/>
      <c r="L126" s="224">
        <f>IF($B126="","",$K126*$E126/24)</f>
        <v/>
      </c>
      <c r="M126" s="227" t="n"/>
      <c r="N126" s="232">
        <f>IF($B126="","",$M126*'THAM_SO'!$M$27)</f>
        <v/>
      </c>
      <c r="O126" s="227" t="n"/>
      <c r="P126" s="222" t="n"/>
      <c r="Q126" s="227" t="n"/>
      <c r="R126" s="227" t="n"/>
      <c r="S126" s="227" t="n"/>
      <c r="T126" s="227" t="n"/>
      <c r="U126" s="224">
        <f>IF($B126="","",$O126*$P126+$Q126*$P126/24+$R126*$P126/30+$S126*'THAM_SO'!$M$6*2+$T126*'THAM_SO'!$M$27)</f>
        <v/>
      </c>
      <c r="V126" s="224">
        <f>IF($B126="","",SUM($F126,$J126,$L126,$N126,$U126))</f>
        <v/>
      </c>
      <c r="W126" s="222" t="n"/>
      <c r="X126" s="224">
        <f>IF(OR($B126="",$W126=""),"",$W126-$V126)</f>
        <v/>
      </c>
      <c r="Y126" s="127" t="n"/>
      <c r="Z126" s="127" t="n"/>
      <c r="AA126" s="150">
        <f>IF($B126="","",IF(AND(SUM($D126,$G126,$K126)&gt;0,$E126&lt;=0),"Thiếu mức đóng BH tháng trước; ","")&amp;IF(AND(SUM($O126:$R126)&gt;0,$P126&lt;=0),"Thiếu bình quân 06 tháng; ","")&amp;IF($K126&gt;0,"Mức 100% chỉ dùng đúng đối tượng luật định; ","")&amp;IF($W126="","",IF(ABS($X126)&gt;1,"Thực tế khác ước tính; ",""))&amp;IF($W126="","",IF($Y126="","Chưa chọn cách chi trả; ","")))</f>
        <v/>
      </c>
    </row>
    <row r="127">
      <c r="A127" s="145">
        <f>IF('DM_NHAN_SU'!$B127="","",ROW()-5)</f>
        <v/>
      </c>
      <c r="B127" s="145">
        <f>IF('DM_NHAN_SU'!$B127="","",'DM_NHAN_SU'!B127)</f>
        <v/>
      </c>
      <c r="C127" s="145">
        <f>IF('DM_NHAN_SU'!$B127="","",'DM_NHAN_SU'!C127)</f>
        <v/>
      </c>
      <c r="D127" s="227" t="n"/>
      <c r="E127" s="222" t="n"/>
      <c r="F127" s="224">
        <f>IF($B127="","",$D127*$E127/24*75%)</f>
        <v/>
      </c>
      <c r="G127" s="227" t="n"/>
      <c r="H127" s="227" t="n"/>
      <c r="I127" s="233">
        <f>IF($B127="","",IF($H127&gt;=30,65%,IF($H127&gt;=15,55%,50%)))</f>
        <v/>
      </c>
      <c r="J127" s="224">
        <f>IF($B127="","",$G127*$E127/24*$I127)</f>
        <v/>
      </c>
      <c r="K127" s="227" t="n"/>
      <c r="L127" s="224">
        <f>IF($B127="","",$K127*$E127/24)</f>
        <v/>
      </c>
      <c r="M127" s="227" t="n"/>
      <c r="N127" s="232">
        <f>IF($B127="","",$M127*'THAM_SO'!$M$27)</f>
        <v/>
      </c>
      <c r="O127" s="227" t="n"/>
      <c r="P127" s="222" t="n"/>
      <c r="Q127" s="227" t="n"/>
      <c r="R127" s="227" t="n"/>
      <c r="S127" s="227" t="n"/>
      <c r="T127" s="227" t="n"/>
      <c r="U127" s="224">
        <f>IF($B127="","",$O127*$P127+$Q127*$P127/24+$R127*$P127/30+$S127*'THAM_SO'!$M$6*2+$T127*'THAM_SO'!$M$27)</f>
        <v/>
      </c>
      <c r="V127" s="224">
        <f>IF($B127="","",SUM($F127,$J127,$L127,$N127,$U127))</f>
        <v/>
      </c>
      <c r="W127" s="222" t="n"/>
      <c r="X127" s="224">
        <f>IF(OR($B127="",$W127=""),"",$W127-$V127)</f>
        <v/>
      </c>
      <c r="Y127" s="127" t="n"/>
      <c r="Z127" s="127" t="n"/>
      <c r="AA127" s="150">
        <f>IF($B127="","",IF(AND(SUM($D127,$G127,$K127)&gt;0,$E127&lt;=0),"Thiếu mức đóng BH tháng trước; ","")&amp;IF(AND(SUM($O127:$R127)&gt;0,$P127&lt;=0),"Thiếu bình quân 06 tháng; ","")&amp;IF($K127&gt;0,"Mức 100% chỉ dùng đúng đối tượng luật định; ","")&amp;IF($W127="","",IF(ABS($X127)&gt;1,"Thực tế khác ước tính; ",""))&amp;IF($W127="","",IF($Y127="","Chưa chọn cách chi trả; ","")))</f>
        <v/>
      </c>
    </row>
    <row r="128">
      <c r="A128" s="145">
        <f>IF('DM_NHAN_SU'!$B128="","",ROW()-5)</f>
        <v/>
      </c>
      <c r="B128" s="145">
        <f>IF('DM_NHAN_SU'!$B128="","",'DM_NHAN_SU'!B128)</f>
        <v/>
      </c>
      <c r="C128" s="145">
        <f>IF('DM_NHAN_SU'!$B128="","",'DM_NHAN_SU'!C128)</f>
        <v/>
      </c>
      <c r="D128" s="227" t="n"/>
      <c r="E128" s="222" t="n"/>
      <c r="F128" s="224">
        <f>IF($B128="","",$D128*$E128/24*75%)</f>
        <v/>
      </c>
      <c r="G128" s="227" t="n"/>
      <c r="H128" s="227" t="n"/>
      <c r="I128" s="233">
        <f>IF($B128="","",IF($H128&gt;=30,65%,IF($H128&gt;=15,55%,50%)))</f>
        <v/>
      </c>
      <c r="J128" s="224">
        <f>IF($B128="","",$G128*$E128/24*$I128)</f>
        <v/>
      </c>
      <c r="K128" s="227" t="n"/>
      <c r="L128" s="224">
        <f>IF($B128="","",$K128*$E128/24)</f>
        <v/>
      </c>
      <c r="M128" s="227" t="n"/>
      <c r="N128" s="232">
        <f>IF($B128="","",$M128*'THAM_SO'!$M$27)</f>
        <v/>
      </c>
      <c r="O128" s="227" t="n"/>
      <c r="P128" s="222" t="n"/>
      <c r="Q128" s="227" t="n"/>
      <c r="R128" s="227" t="n"/>
      <c r="S128" s="227" t="n"/>
      <c r="T128" s="227" t="n"/>
      <c r="U128" s="224">
        <f>IF($B128="","",$O128*$P128+$Q128*$P128/24+$R128*$P128/30+$S128*'THAM_SO'!$M$6*2+$T128*'THAM_SO'!$M$27)</f>
        <v/>
      </c>
      <c r="V128" s="224">
        <f>IF($B128="","",SUM($F128,$J128,$L128,$N128,$U128))</f>
        <v/>
      </c>
      <c r="W128" s="222" t="n"/>
      <c r="X128" s="224">
        <f>IF(OR($B128="",$W128=""),"",$W128-$V128)</f>
        <v/>
      </c>
      <c r="Y128" s="127" t="n"/>
      <c r="Z128" s="127" t="n"/>
      <c r="AA128" s="150">
        <f>IF($B128="","",IF(AND(SUM($D128,$G128,$K128)&gt;0,$E128&lt;=0),"Thiếu mức đóng BH tháng trước; ","")&amp;IF(AND(SUM($O128:$R128)&gt;0,$P128&lt;=0),"Thiếu bình quân 06 tháng; ","")&amp;IF($K128&gt;0,"Mức 100% chỉ dùng đúng đối tượng luật định; ","")&amp;IF($W128="","",IF(ABS($X128)&gt;1,"Thực tế khác ước tính; ",""))&amp;IF($W128="","",IF($Y128="","Chưa chọn cách chi trả; ","")))</f>
        <v/>
      </c>
    </row>
    <row r="129">
      <c r="A129" s="145">
        <f>IF('DM_NHAN_SU'!$B129="","",ROW()-5)</f>
        <v/>
      </c>
      <c r="B129" s="145">
        <f>IF('DM_NHAN_SU'!$B129="","",'DM_NHAN_SU'!B129)</f>
        <v/>
      </c>
      <c r="C129" s="145">
        <f>IF('DM_NHAN_SU'!$B129="","",'DM_NHAN_SU'!C129)</f>
        <v/>
      </c>
      <c r="D129" s="227" t="n"/>
      <c r="E129" s="222" t="n"/>
      <c r="F129" s="224">
        <f>IF($B129="","",$D129*$E129/24*75%)</f>
        <v/>
      </c>
      <c r="G129" s="227" t="n"/>
      <c r="H129" s="227" t="n"/>
      <c r="I129" s="233">
        <f>IF($B129="","",IF($H129&gt;=30,65%,IF($H129&gt;=15,55%,50%)))</f>
        <v/>
      </c>
      <c r="J129" s="224">
        <f>IF($B129="","",$G129*$E129/24*$I129)</f>
        <v/>
      </c>
      <c r="K129" s="227" t="n"/>
      <c r="L129" s="224">
        <f>IF($B129="","",$K129*$E129/24)</f>
        <v/>
      </c>
      <c r="M129" s="227" t="n"/>
      <c r="N129" s="232">
        <f>IF($B129="","",$M129*'THAM_SO'!$M$27)</f>
        <v/>
      </c>
      <c r="O129" s="227" t="n"/>
      <c r="P129" s="222" t="n"/>
      <c r="Q129" s="227" t="n"/>
      <c r="R129" s="227" t="n"/>
      <c r="S129" s="227" t="n"/>
      <c r="T129" s="227" t="n"/>
      <c r="U129" s="224">
        <f>IF($B129="","",$O129*$P129+$Q129*$P129/24+$R129*$P129/30+$S129*'THAM_SO'!$M$6*2+$T129*'THAM_SO'!$M$27)</f>
        <v/>
      </c>
      <c r="V129" s="224">
        <f>IF($B129="","",SUM($F129,$J129,$L129,$N129,$U129))</f>
        <v/>
      </c>
      <c r="W129" s="222" t="n"/>
      <c r="X129" s="224">
        <f>IF(OR($B129="",$W129=""),"",$W129-$V129)</f>
        <v/>
      </c>
      <c r="Y129" s="127" t="n"/>
      <c r="Z129" s="127" t="n"/>
      <c r="AA129" s="150">
        <f>IF($B129="","",IF(AND(SUM($D129,$G129,$K129)&gt;0,$E129&lt;=0),"Thiếu mức đóng BH tháng trước; ","")&amp;IF(AND(SUM($O129:$R129)&gt;0,$P129&lt;=0),"Thiếu bình quân 06 tháng; ","")&amp;IF($K129&gt;0,"Mức 100% chỉ dùng đúng đối tượng luật định; ","")&amp;IF($W129="","",IF(ABS($X129)&gt;1,"Thực tế khác ước tính; ",""))&amp;IF($W129="","",IF($Y129="","Chưa chọn cách chi trả; ","")))</f>
        <v/>
      </c>
    </row>
    <row r="130">
      <c r="A130" s="145">
        <f>IF('DM_NHAN_SU'!$B130="","",ROW()-5)</f>
        <v/>
      </c>
      <c r="B130" s="145">
        <f>IF('DM_NHAN_SU'!$B130="","",'DM_NHAN_SU'!B130)</f>
        <v/>
      </c>
      <c r="C130" s="145">
        <f>IF('DM_NHAN_SU'!$B130="","",'DM_NHAN_SU'!C130)</f>
        <v/>
      </c>
      <c r="D130" s="227" t="n"/>
      <c r="E130" s="222" t="n"/>
      <c r="F130" s="224">
        <f>IF($B130="","",$D130*$E130/24*75%)</f>
        <v/>
      </c>
      <c r="G130" s="227" t="n"/>
      <c r="H130" s="227" t="n"/>
      <c r="I130" s="233">
        <f>IF($B130="","",IF($H130&gt;=30,65%,IF($H130&gt;=15,55%,50%)))</f>
        <v/>
      </c>
      <c r="J130" s="224">
        <f>IF($B130="","",$G130*$E130/24*$I130)</f>
        <v/>
      </c>
      <c r="K130" s="227" t="n"/>
      <c r="L130" s="224">
        <f>IF($B130="","",$K130*$E130/24)</f>
        <v/>
      </c>
      <c r="M130" s="227" t="n"/>
      <c r="N130" s="232">
        <f>IF($B130="","",$M130*'THAM_SO'!$M$27)</f>
        <v/>
      </c>
      <c r="O130" s="227" t="n"/>
      <c r="P130" s="222" t="n"/>
      <c r="Q130" s="227" t="n"/>
      <c r="R130" s="227" t="n"/>
      <c r="S130" s="227" t="n"/>
      <c r="T130" s="227" t="n"/>
      <c r="U130" s="224">
        <f>IF($B130="","",$O130*$P130+$Q130*$P130/24+$R130*$P130/30+$S130*'THAM_SO'!$M$6*2+$T130*'THAM_SO'!$M$27)</f>
        <v/>
      </c>
      <c r="V130" s="224">
        <f>IF($B130="","",SUM($F130,$J130,$L130,$N130,$U130))</f>
        <v/>
      </c>
      <c r="W130" s="222" t="n"/>
      <c r="X130" s="224">
        <f>IF(OR($B130="",$W130=""),"",$W130-$V130)</f>
        <v/>
      </c>
      <c r="Y130" s="127" t="n"/>
      <c r="Z130" s="127" t="n"/>
      <c r="AA130" s="150">
        <f>IF($B130="","",IF(AND(SUM($D130,$G130,$K130)&gt;0,$E130&lt;=0),"Thiếu mức đóng BH tháng trước; ","")&amp;IF(AND(SUM($O130:$R130)&gt;0,$P130&lt;=0),"Thiếu bình quân 06 tháng; ","")&amp;IF($K130&gt;0,"Mức 100% chỉ dùng đúng đối tượng luật định; ","")&amp;IF($W130="","",IF(ABS($X130)&gt;1,"Thực tế khác ước tính; ",""))&amp;IF($W130="","",IF($Y130="","Chưa chọn cách chi trả; ","")))</f>
        <v/>
      </c>
    </row>
    <row r="131">
      <c r="A131" s="145">
        <f>IF('DM_NHAN_SU'!$B131="","",ROW()-5)</f>
        <v/>
      </c>
      <c r="B131" s="145">
        <f>IF('DM_NHAN_SU'!$B131="","",'DM_NHAN_SU'!B131)</f>
        <v/>
      </c>
      <c r="C131" s="145">
        <f>IF('DM_NHAN_SU'!$B131="","",'DM_NHAN_SU'!C131)</f>
        <v/>
      </c>
      <c r="D131" s="227" t="n"/>
      <c r="E131" s="222" t="n"/>
      <c r="F131" s="224">
        <f>IF($B131="","",$D131*$E131/24*75%)</f>
        <v/>
      </c>
      <c r="G131" s="227" t="n"/>
      <c r="H131" s="227" t="n"/>
      <c r="I131" s="233">
        <f>IF($B131="","",IF($H131&gt;=30,65%,IF($H131&gt;=15,55%,50%)))</f>
        <v/>
      </c>
      <c r="J131" s="224">
        <f>IF($B131="","",$G131*$E131/24*$I131)</f>
        <v/>
      </c>
      <c r="K131" s="227" t="n"/>
      <c r="L131" s="224">
        <f>IF($B131="","",$K131*$E131/24)</f>
        <v/>
      </c>
      <c r="M131" s="227" t="n"/>
      <c r="N131" s="232">
        <f>IF($B131="","",$M131*'THAM_SO'!$M$27)</f>
        <v/>
      </c>
      <c r="O131" s="227" t="n"/>
      <c r="P131" s="222" t="n"/>
      <c r="Q131" s="227" t="n"/>
      <c r="R131" s="227" t="n"/>
      <c r="S131" s="227" t="n"/>
      <c r="T131" s="227" t="n"/>
      <c r="U131" s="224">
        <f>IF($B131="","",$O131*$P131+$Q131*$P131/24+$R131*$P131/30+$S131*'THAM_SO'!$M$6*2+$T131*'THAM_SO'!$M$27)</f>
        <v/>
      </c>
      <c r="V131" s="224">
        <f>IF($B131="","",SUM($F131,$J131,$L131,$N131,$U131))</f>
        <v/>
      </c>
      <c r="W131" s="222" t="n"/>
      <c r="X131" s="224">
        <f>IF(OR($B131="",$W131=""),"",$W131-$V131)</f>
        <v/>
      </c>
      <c r="Y131" s="127" t="n"/>
      <c r="Z131" s="127" t="n"/>
      <c r="AA131" s="150">
        <f>IF($B131="","",IF(AND(SUM($D131,$G131,$K131)&gt;0,$E131&lt;=0),"Thiếu mức đóng BH tháng trước; ","")&amp;IF(AND(SUM($O131:$R131)&gt;0,$P131&lt;=0),"Thiếu bình quân 06 tháng; ","")&amp;IF($K131&gt;0,"Mức 100% chỉ dùng đúng đối tượng luật định; ","")&amp;IF($W131="","",IF(ABS($X131)&gt;1,"Thực tế khác ước tính; ",""))&amp;IF($W131="","",IF($Y131="","Chưa chọn cách chi trả; ","")))</f>
        <v/>
      </c>
    </row>
    <row r="132">
      <c r="A132" s="145">
        <f>IF('DM_NHAN_SU'!$B132="","",ROW()-5)</f>
        <v/>
      </c>
      <c r="B132" s="145">
        <f>IF('DM_NHAN_SU'!$B132="","",'DM_NHAN_SU'!B132)</f>
        <v/>
      </c>
      <c r="C132" s="145">
        <f>IF('DM_NHAN_SU'!$B132="","",'DM_NHAN_SU'!C132)</f>
        <v/>
      </c>
      <c r="D132" s="227" t="n"/>
      <c r="E132" s="222" t="n"/>
      <c r="F132" s="224">
        <f>IF($B132="","",$D132*$E132/24*75%)</f>
        <v/>
      </c>
      <c r="G132" s="227" t="n"/>
      <c r="H132" s="227" t="n"/>
      <c r="I132" s="233">
        <f>IF($B132="","",IF($H132&gt;=30,65%,IF($H132&gt;=15,55%,50%)))</f>
        <v/>
      </c>
      <c r="J132" s="224">
        <f>IF($B132="","",$G132*$E132/24*$I132)</f>
        <v/>
      </c>
      <c r="K132" s="227" t="n"/>
      <c r="L132" s="224">
        <f>IF($B132="","",$K132*$E132/24)</f>
        <v/>
      </c>
      <c r="M132" s="227" t="n"/>
      <c r="N132" s="232">
        <f>IF($B132="","",$M132*'THAM_SO'!$M$27)</f>
        <v/>
      </c>
      <c r="O132" s="227" t="n"/>
      <c r="P132" s="222" t="n"/>
      <c r="Q132" s="227" t="n"/>
      <c r="R132" s="227" t="n"/>
      <c r="S132" s="227" t="n"/>
      <c r="T132" s="227" t="n"/>
      <c r="U132" s="224">
        <f>IF($B132="","",$O132*$P132+$Q132*$P132/24+$R132*$P132/30+$S132*'THAM_SO'!$M$6*2+$T132*'THAM_SO'!$M$27)</f>
        <v/>
      </c>
      <c r="V132" s="224">
        <f>IF($B132="","",SUM($F132,$J132,$L132,$N132,$U132))</f>
        <v/>
      </c>
      <c r="W132" s="222" t="n"/>
      <c r="X132" s="224">
        <f>IF(OR($B132="",$W132=""),"",$W132-$V132)</f>
        <v/>
      </c>
      <c r="Y132" s="127" t="n"/>
      <c r="Z132" s="127" t="n"/>
      <c r="AA132" s="150">
        <f>IF($B132="","",IF(AND(SUM($D132,$G132,$K132)&gt;0,$E132&lt;=0),"Thiếu mức đóng BH tháng trước; ","")&amp;IF(AND(SUM($O132:$R132)&gt;0,$P132&lt;=0),"Thiếu bình quân 06 tháng; ","")&amp;IF($K132&gt;0,"Mức 100% chỉ dùng đúng đối tượng luật định; ","")&amp;IF($W132="","",IF(ABS($X132)&gt;1,"Thực tế khác ước tính; ",""))&amp;IF($W132="","",IF($Y132="","Chưa chọn cách chi trả; ","")))</f>
        <v/>
      </c>
    </row>
    <row r="133">
      <c r="A133" s="145">
        <f>IF('DM_NHAN_SU'!$B133="","",ROW()-5)</f>
        <v/>
      </c>
      <c r="B133" s="145">
        <f>IF('DM_NHAN_SU'!$B133="","",'DM_NHAN_SU'!B133)</f>
        <v/>
      </c>
      <c r="C133" s="145">
        <f>IF('DM_NHAN_SU'!$B133="","",'DM_NHAN_SU'!C133)</f>
        <v/>
      </c>
      <c r="D133" s="227" t="n"/>
      <c r="E133" s="222" t="n"/>
      <c r="F133" s="224">
        <f>IF($B133="","",$D133*$E133/24*75%)</f>
        <v/>
      </c>
      <c r="G133" s="227" t="n"/>
      <c r="H133" s="227" t="n"/>
      <c r="I133" s="233">
        <f>IF($B133="","",IF($H133&gt;=30,65%,IF($H133&gt;=15,55%,50%)))</f>
        <v/>
      </c>
      <c r="J133" s="224">
        <f>IF($B133="","",$G133*$E133/24*$I133)</f>
        <v/>
      </c>
      <c r="K133" s="227" t="n"/>
      <c r="L133" s="224">
        <f>IF($B133="","",$K133*$E133/24)</f>
        <v/>
      </c>
      <c r="M133" s="227" t="n"/>
      <c r="N133" s="232">
        <f>IF($B133="","",$M133*'THAM_SO'!$M$27)</f>
        <v/>
      </c>
      <c r="O133" s="227" t="n"/>
      <c r="P133" s="222" t="n"/>
      <c r="Q133" s="227" t="n"/>
      <c r="R133" s="227" t="n"/>
      <c r="S133" s="227" t="n"/>
      <c r="T133" s="227" t="n"/>
      <c r="U133" s="224">
        <f>IF($B133="","",$O133*$P133+$Q133*$P133/24+$R133*$P133/30+$S133*'THAM_SO'!$M$6*2+$T133*'THAM_SO'!$M$27)</f>
        <v/>
      </c>
      <c r="V133" s="224">
        <f>IF($B133="","",SUM($F133,$J133,$L133,$N133,$U133))</f>
        <v/>
      </c>
      <c r="W133" s="222" t="n"/>
      <c r="X133" s="224">
        <f>IF(OR($B133="",$W133=""),"",$W133-$V133)</f>
        <v/>
      </c>
      <c r="Y133" s="127" t="n"/>
      <c r="Z133" s="127" t="n"/>
      <c r="AA133" s="150">
        <f>IF($B133="","",IF(AND(SUM($D133,$G133,$K133)&gt;0,$E133&lt;=0),"Thiếu mức đóng BH tháng trước; ","")&amp;IF(AND(SUM($O133:$R133)&gt;0,$P133&lt;=0),"Thiếu bình quân 06 tháng; ","")&amp;IF($K133&gt;0,"Mức 100% chỉ dùng đúng đối tượng luật định; ","")&amp;IF($W133="","",IF(ABS($X133)&gt;1,"Thực tế khác ước tính; ",""))&amp;IF($W133="","",IF($Y133="","Chưa chọn cách chi trả; ","")))</f>
        <v/>
      </c>
    </row>
    <row r="134">
      <c r="A134" s="145">
        <f>IF('DM_NHAN_SU'!$B134="","",ROW()-5)</f>
        <v/>
      </c>
      <c r="B134" s="145">
        <f>IF('DM_NHAN_SU'!$B134="","",'DM_NHAN_SU'!B134)</f>
        <v/>
      </c>
      <c r="C134" s="145">
        <f>IF('DM_NHAN_SU'!$B134="","",'DM_NHAN_SU'!C134)</f>
        <v/>
      </c>
      <c r="D134" s="227" t="n"/>
      <c r="E134" s="222" t="n"/>
      <c r="F134" s="224">
        <f>IF($B134="","",$D134*$E134/24*75%)</f>
        <v/>
      </c>
      <c r="G134" s="227" t="n"/>
      <c r="H134" s="227" t="n"/>
      <c r="I134" s="233">
        <f>IF($B134="","",IF($H134&gt;=30,65%,IF($H134&gt;=15,55%,50%)))</f>
        <v/>
      </c>
      <c r="J134" s="224">
        <f>IF($B134="","",$G134*$E134/24*$I134)</f>
        <v/>
      </c>
      <c r="K134" s="227" t="n"/>
      <c r="L134" s="224">
        <f>IF($B134="","",$K134*$E134/24)</f>
        <v/>
      </c>
      <c r="M134" s="227" t="n"/>
      <c r="N134" s="232">
        <f>IF($B134="","",$M134*'THAM_SO'!$M$27)</f>
        <v/>
      </c>
      <c r="O134" s="227" t="n"/>
      <c r="P134" s="222" t="n"/>
      <c r="Q134" s="227" t="n"/>
      <c r="R134" s="227" t="n"/>
      <c r="S134" s="227" t="n"/>
      <c r="T134" s="227" t="n"/>
      <c r="U134" s="224">
        <f>IF($B134="","",$O134*$P134+$Q134*$P134/24+$R134*$P134/30+$S134*'THAM_SO'!$M$6*2+$T134*'THAM_SO'!$M$27)</f>
        <v/>
      </c>
      <c r="V134" s="224">
        <f>IF($B134="","",SUM($F134,$J134,$L134,$N134,$U134))</f>
        <v/>
      </c>
      <c r="W134" s="222" t="n"/>
      <c r="X134" s="224">
        <f>IF(OR($B134="",$W134=""),"",$W134-$V134)</f>
        <v/>
      </c>
      <c r="Y134" s="127" t="n"/>
      <c r="Z134" s="127" t="n"/>
      <c r="AA134" s="150">
        <f>IF($B134="","",IF(AND(SUM($D134,$G134,$K134)&gt;0,$E134&lt;=0),"Thiếu mức đóng BH tháng trước; ","")&amp;IF(AND(SUM($O134:$R134)&gt;0,$P134&lt;=0),"Thiếu bình quân 06 tháng; ","")&amp;IF($K134&gt;0,"Mức 100% chỉ dùng đúng đối tượng luật định; ","")&amp;IF($W134="","",IF(ABS($X134)&gt;1,"Thực tế khác ước tính; ",""))&amp;IF($W134="","",IF($Y134="","Chưa chọn cách chi trả; ","")))</f>
        <v/>
      </c>
    </row>
    <row r="135">
      <c r="A135" s="145">
        <f>IF('DM_NHAN_SU'!$B135="","",ROW()-5)</f>
        <v/>
      </c>
      <c r="B135" s="145">
        <f>IF('DM_NHAN_SU'!$B135="","",'DM_NHAN_SU'!B135)</f>
        <v/>
      </c>
      <c r="C135" s="145">
        <f>IF('DM_NHAN_SU'!$B135="","",'DM_NHAN_SU'!C135)</f>
        <v/>
      </c>
      <c r="D135" s="227" t="n"/>
      <c r="E135" s="222" t="n"/>
      <c r="F135" s="224">
        <f>IF($B135="","",$D135*$E135/24*75%)</f>
        <v/>
      </c>
      <c r="G135" s="227" t="n"/>
      <c r="H135" s="227" t="n"/>
      <c r="I135" s="233">
        <f>IF($B135="","",IF($H135&gt;=30,65%,IF($H135&gt;=15,55%,50%)))</f>
        <v/>
      </c>
      <c r="J135" s="224">
        <f>IF($B135="","",$G135*$E135/24*$I135)</f>
        <v/>
      </c>
      <c r="K135" s="227" t="n"/>
      <c r="L135" s="224">
        <f>IF($B135="","",$K135*$E135/24)</f>
        <v/>
      </c>
      <c r="M135" s="227" t="n"/>
      <c r="N135" s="232">
        <f>IF($B135="","",$M135*'THAM_SO'!$M$27)</f>
        <v/>
      </c>
      <c r="O135" s="227" t="n"/>
      <c r="P135" s="222" t="n"/>
      <c r="Q135" s="227" t="n"/>
      <c r="R135" s="227" t="n"/>
      <c r="S135" s="227" t="n"/>
      <c r="T135" s="227" t="n"/>
      <c r="U135" s="224">
        <f>IF($B135="","",$O135*$P135+$Q135*$P135/24+$R135*$P135/30+$S135*'THAM_SO'!$M$6*2+$T135*'THAM_SO'!$M$27)</f>
        <v/>
      </c>
      <c r="V135" s="224">
        <f>IF($B135="","",SUM($F135,$J135,$L135,$N135,$U135))</f>
        <v/>
      </c>
      <c r="W135" s="222" t="n"/>
      <c r="X135" s="224">
        <f>IF(OR($B135="",$W135=""),"",$W135-$V135)</f>
        <v/>
      </c>
      <c r="Y135" s="127" t="n"/>
      <c r="Z135" s="127" t="n"/>
      <c r="AA135" s="150">
        <f>IF($B135="","",IF(AND(SUM($D135,$G135,$K135)&gt;0,$E135&lt;=0),"Thiếu mức đóng BH tháng trước; ","")&amp;IF(AND(SUM($O135:$R135)&gt;0,$P135&lt;=0),"Thiếu bình quân 06 tháng; ","")&amp;IF($K135&gt;0,"Mức 100% chỉ dùng đúng đối tượng luật định; ","")&amp;IF($W135="","",IF(ABS($X135)&gt;1,"Thực tế khác ước tính; ",""))&amp;IF($W135="","",IF($Y135="","Chưa chọn cách chi trả; ","")))</f>
        <v/>
      </c>
    </row>
    <row r="136">
      <c r="A136" s="145">
        <f>IF('DM_NHAN_SU'!$B136="","",ROW()-5)</f>
        <v/>
      </c>
      <c r="B136" s="145">
        <f>IF('DM_NHAN_SU'!$B136="","",'DM_NHAN_SU'!B136)</f>
        <v/>
      </c>
      <c r="C136" s="145">
        <f>IF('DM_NHAN_SU'!$B136="","",'DM_NHAN_SU'!C136)</f>
        <v/>
      </c>
      <c r="D136" s="227" t="n"/>
      <c r="E136" s="222" t="n"/>
      <c r="F136" s="224">
        <f>IF($B136="","",$D136*$E136/24*75%)</f>
        <v/>
      </c>
      <c r="G136" s="227" t="n"/>
      <c r="H136" s="227" t="n"/>
      <c r="I136" s="233">
        <f>IF($B136="","",IF($H136&gt;=30,65%,IF($H136&gt;=15,55%,50%)))</f>
        <v/>
      </c>
      <c r="J136" s="224">
        <f>IF($B136="","",$G136*$E136/24*$I136)</f>
        <v/>
      </c>
      <c r="K136" s="227" t="n"/>
      <c r="L136" s="224">
        <f>IF($B136="","",$K136*$E136/24)</f>
        <v/>
      </c>
      <c r="M136" s="227" t="n"/>
      <c r="N136" s="232">
        <f>IF($B136="","",$M136*'THAM_SO'!$M$27)</f>
        <v/>
      </c>
      <c r="O136" s="227" t="n"/>
      <c r="P136" s="222" t="n"/>
      <c r="Q136" s="227" t="n"/>
      <c r="R136" s="227" t="n"/>
      <c r="S136" s="227" t="n"/>
      <c r="T136" s="227" t="n"/>
      <c r="U136" s="224">
        <f>IF($B136="","",$O136*$P136+$Q136*$P136/24+$R136*$P136/30+$S136*'THAM_SO'!$M$6*2+$T136*'THAM_SO'!$M$27)</f>
        <v/>
      </c>
      <c r="V136" s="224">
        <f>IF($B136="","",SUM($F136,$J136,$L136,$N136,$U136))</f>
        <v/>
      </c>
      <c r="W136" s="222" t="n"/>
      <c r="X136" s="224">
        <f>IF(OR($B136="",$W136=""),"",$W136-$V136)</f>
        <v/>
      </c>
      <c r="Y136" s="127" t="n"/>
      <c r="Z136" s="127" t="n"/>
      <c r="AA136" s="150">
        <f>IF($B136="","",IF(AND(SUM($D136,$G136,$K136)&gt;0,$E136&lt;=0),"Thiếu mức đóng BH tháng trước; ","")&amp;IF(AND(SUM($O136:$R136)&gt;0,$P136&lt;=0),"Thiếu bình quân 06 tháng; ","")&amp;IF($K136&gt;0,"Mức 100% chỉ dùng đúng đối tượng luật định; ","")&amp;IF($W136="","",IF(ABS($X136)&gt;1,"Thực tế khác ước tính; ",""))&amp;IF($W136="","",IF($Y136="","Chưa chọn cách chi trả; ","")))</f>
        <v/>
      </c>
    </row>
    <row r="137">
      <c r="A137" s="145">
        <f>IF('DM_NHAN_SU'!$B137="","",ROW()-5)</f>
        <v/>
      </c>
      <c r="B137" s="145">
        <f>IF('DM_NHAN_SU'!$B137="","",'DM_NHAN_SU'!B137)</f>
        <v/>
      </c>
      <c r="C137" s="145">
        <f>IF('DM_NHAN_SU'!$B137="","",'DM_NHAN_SU'!C137)</f>
        <v/>
      </c>
      <c r="D137" s="227" t="n"/>
      <c r="E137" s="222" t="n"/>
      <c r="F137" s="224">
        <f>IF($B137="","",$D137*$E137/24*75%)</f>
        <v/>
      </c>
      <c r="G137" s="227" t="n"/>
      <c r="H137" s="227" t="n"/>
      <c r="I137" s="233">
        <f>IF($B137="","",IF($H137&gt;=30,65%,IF($H137&gt;=15,55%,50%)))</f>
        <v/>
      </c>
      <c r="J137" s="224">
        <f>IF($B137="","",$G137*$E137/24*$I137)</f>
        <v/>
      </c>
      <c r="K137" s="227" t="n"/>
      <c r="L137" s="224">
        <f>IF($B137="","",$K137*$E137/24)</f>
        <v/>
      </c>
      <c r="M137" s="227" t="n"/>
      <c r="N137" s="232">
        <f>IF($B137="","",$M137*'THAM_SO'!$M$27)</f>
        <v/>
      </c>
      <c r="O137" s="227" t="n"/>
      <c r="P137" s="222" t="n"/>
      <c r="Q137" s="227" t="n"/>
      <c r="R137" s="227" t="n"/>
      <c r="S137" s="227" t="n"/>
      <c r="T137" s="227" t="n"/>
      <c r="U137" s="224">
        <f>IF($B137="","",$O137*$P137+$Q137*$P137/24+$R137*$P137/30+$S137*'THAM_SO'!$M$6*2+$T137*'THAM_SO'!$M$27)</f>
        <v/>
      </c>
      <c r="V137" s="224">
        <f>IF($B137="","",SUM($F137,$J137,$L137,$N137,$U137))</f>
        <v/>
      </c>
      <c r="W137" s="222" t="n"/>
      <c r="X137" s="224">
        <f>IF(OR($B137="",$W137=""),"",$W137-$V137)</f>
        <v/>
      </c>
      <c r="Y137" s="127" t="n"/>
      <c r="Z137" s="127" t="n"/>
      <c r="AA137" s="150">
        <f>IF($B137="","",IF(AND(SUM($D137,$G137,$K137)&gt;0,$E137&lt;=0),"Thiếu mức đóng BH tháng trước; ","")&amp;IF(AND(SUM($O137:$R137)&gt;0,$P137&lt;=0),"Thiếu bình quân 06 tháng; ","")&amp;IF($K137&gt;0,"Mức 100% chỉ dùng đúng đối tượng luật định; ","")&amp;IF($W137="","",IF(ABS($X137)&gt;1,"Thực tế khác ước tính; ",""))&amp;IF($W137="","",IF($Y137="","Chưa chọn cách chi trả; ","")))</f>
        <v/>
      </c>
    </row>
    <row r="138">
      <c r="A138" s="145">
        <f>IF('DM_NHAN_SU'!$B138="","",ROW()-5)</f>
        <v/>
      </c>
      <c r="B138" s="145">
        <f>IF('DM_NHAN_SU'!$B138="","",'DM_NHAN_SU'!B138)</f>
        <v/>
      </c>
      <c r="C138" s="145">
        <f>IF('DM_NHAN_SU'!$B138="","",'DM_NHAN_SU'!C138)</f>
        <v/>
      </c>
      <c r="D138" s="227" t="n"/>
      <c r="E138" s="222" t="n"/>
      <c r="F138" s="224">
        <f>IF($B138="","",$D138*$E138/24*75%)</f>
        <v/>
      </c>
      <c r="G138" s="227" t="n"/>
      <c r="H138" s="227" t="n"/>
      <c r="I138" s="233">
        <f>IF($B138="","",IF($H138&gt;=30,65%,IF($H138&gt;=15,55%,50%)))</f>
        <v/>
      </c>
      <c r="J138" s="224">
        <f>IF($B138="","",$G138*$E138/24*$I138)</f>
        <v/>
      </c>
      <c r="K138" s="227" t="n"/>
      <c r="L138" s="224">
        <f>IF($B138="","",$K138*$E138/24)</f>
        <v/>
      </c>
      <c r="M138" s="227" t="n"/>
      <c r="N138" s="232">
        <f>IF($B138="","",$M138*'THAM_SO'!$M$27)</f>
        <v/>
      </c>
      <c r="O138" s="227" t="n"/>
      <c r="P138" s="222" t="n"/>
      <c r="Q138" s="227" t="n"/>
      <c r="R138" s="227" t="n"/>
      <c r="S138" s="227" t="n"/>
      <c r="T138" s="227" t="n"/>
      <c r="U138" s="224">
        <f>IF($B138="","",$O138*$P138+$Q138*$P138/24+$R138*$P138/30+$S138*'THAM_SO'!$M$6*2+$T138*'THAM_SO'!$M$27)</f>
        <v/>
      </c>
      <c r="V138" s="224">
        <f>IF($B138="","",SUM($F138,$J138,$L138,$N138,$U138))</f>
        <v/>
      </c>
      <c r="W138" s="222" t="n"/>
      <c r="X138" s="224">
        <f>IF(OR($B138="",$W138=""),"",$W138-$V138)</f>
        <v/>
      </c>
      <c r="Y138" s="127" t="n"/>
      <c r="Z138" s="127" t="n"/>
      <c r="AA138" s="150">
        <f>IF($B138="","",IF(AND(SUM($D138,$G138,$K138)&gt;0,$E138&lt;=0),"Thiếu mức đóng BH tháng trước; ","")&amp;IF(AND(SUM($O138:$R138)&gt;0,$P138&lt;=0),"Thiếu bình quân 06 tháng; ","")&amp;IF($K138&gt;0,"Mức 100% chỉ dùng đúng đối tượng luật định; ","")&amp;IF($W138="","",IF(ABS($X138)&gt;1,"Thực tế khác ước tính; ",""))&amp;IF($W138="","",IF($Y138="","Chưa chọn cách chi trả; ","")))</f>
        <v/>
      </c>
    </row>
    <row r="139">
      <c r="A139" s="145">
        <f>IF('DM_NHAN_SU'!$B139="","",ROW()-5)</f>
        <v/>
      </c>
      <c r="B139" s="145">
        <f>IF('DM_NHAN_SU'!$B139="","",'DM_NHAN_SU'!B139)</f>
        <v/>
      </c>
      <c r="C139" s="145">
        <f>IF('DM_NHAN_SU'!$B139="","",'DM_NHAN_SU'!C139)</f>
        <v/>
      </c>
      <c r="D139" s="227" t="n"/>
      <c r="E139" s="222" t="n"/>
      <c r="F139" s="224">
        <f>IF($B139="","",$D139*$E139/24*75%)</f>
        <v/>
      </c>
      <c r="G139" s="227" t="n"/>
      <c r="H139" s="227" t="n"/>
      <c r="I139" s="233">
        <f>IF($B139="","",IF($H139&gt;=30,65%,IF($H139&gt;=15,55%,50%)))</f>
        <v/>
      </c>
      <c r="J139" s="224">
        <f>IF($B139="","",$G139*$E139/24*$I139)</f>
        <v/>
      </c>
      <c r="K139" s="227" t="n"/>
      <c r="L139" s="224">
        <f>IF($B139="","",$K139*$E139/24)</f>
        <v/>
      </c>
      <c r="M139" s="227" t="n"/>
      <c r="N139" s="232">
        <f>IF($B139="","",$M139*'THAM_SO'!$M$27)</f>
        <v/>
      </c>
      <c r="O139" s="227" t="n"/>
      <c r="P139" s="222" t="n"/>
      <c r="Q139" s="227" t="n"/>
      <c r="R139" s="227" t="n"/>
      <c r="S139" s="227" t="n"/>
      <c r="T139" s="227" t="n"/>
      <c r="U139" s="224">
        <f>IF($B139="","",$O139*$P139+$Q139*$P139/24+$R139*$P139/30+$S139*'THAM_SO'!$M$6*2+$T139*'THAM_SO'!$M$27)</f>
        <v/>
      </c>
      <c r="V139" s="224">
        <f>IF($B139="","",SUM($F139,$J139,$L139,$N139,$U139))</f>
        <v/>
      </c>
      <c r="W139" s="222" t="n"/>
      <c r="X139" s="224">
        <f>IF(OR($B139="",$W139=""),"",$W139-$V139)</f>
        <v/>
      </c>
      <c r="Y139" s="127" t="n"/>
      <c r="Z139" s="127" t="n"/>
      <c r="AA139" s="150">
        <f>IF($B139="","",IF(AND(SUM($D139,$G139,$K139)&gt;0,$E139&lt;=0),"Thiếu mức đóng BH tháng trước; ","")&amp;IF(AND(SUM($O139:$R139)&gt;0,$P139&lt;=0),"Thiếu bình quân 06 tháng; ","")&amp;IF($K139&gt;0,"Mức 100% chỉ dùng đúng đối tượng luật định; ","")&amp;IF($W139="","",IF(ABS($X139)&gt;1,"Thực tế khác ước tính; ",""))&amp;IF($W139="","",IF($Y139="","Chưa chọn cách chi trả; ","")))</f>
        <v/>
      </c>
    </row>
    <row r="140">
      <c r="A140" s="145">
        <f>IF('DM_NHAN_SU'!$B140="","",ROW()-5)</f>
        <v/>
      </c>
      <c r="B140" s="145">
        <f>IF('DM_NHAN_SU'!$B140="","",'DM_NHAN_SU'!B140)</f>
        <v/>
      </c>
      <c r="C140" s="145">
        <f>IF('DM_NHAN_SU'!$B140="","",'DM_NHAN_SU'!C140)</f>
        <v/>
      </c>
      <c r="D140" s="227" t="n"/>
      <c r="E140" s="222" t="n"/>
      <c r="F140" s="224">
        <f>IF($B140="","",$D140*$E140/24*75%)</f>
        <v/>
      </c>
      <c r="G140" s="227" t="n"/>
      <c r="H140" s="227" t="n"/>
      <c r="I140" s="233">
        <f>IF($B140="","",IF($H140&gt;=30,65%,IF($H140&gt;=15,55%,50%)))</f>
        <v/>
      </c>
      <c r="J140" s="224">
        <f>IF($B140="","",$G140*$E140/24*$I140)</f>
        <v/>
      </c>
      <c r="K140" s="227" t="n"/>
      <c r="L140" s="224">
        <f>IF($B140="","",$K140*$E140/24)</f>
        <v/>
      </c>
      <c r="M140" s="227" t="n"/>
      <c r="N140" s="232">
        <f>IF($B140="","",$M140*'THAM_SO'!$M$27)</f>
        <v/>
      </c>
      <c r="O140" s="227" t="n"/>
      <c r="P140" s="222" t="n"/>
      <c r="Q140" s="227" t="n"/>
      <c r="R140" s="227" t="n"/>
      <c r="S140" s="227" t="n"/>
      <c r="T140" s="227" t="n"/>
      <c r="U140" s="224">
        <f>IF($B140="","",$O140*$P140+$Q140*$P140/24+$R140*$P140/30+$S140*'THAM_SO'!$M$6*2+$T140*'THAM_SO'!$M$27)</f>
        <v/>
      </c>
      <c r="V140" s="224">
        <f>IF($B140="","",SUM($F140,$J140,$L140,$N140,$U140))</f>
        <v/>
      </c>
      <c r="W140" s="222" t="n"/>
      <c r="X140" s="224">
        <f>IF(OR($B140="",$W140=""),"",$W140-$V140)</f>
        <v/>
      </c>
      <c r="Y140" s="127" t="n"/>
      <c r="Z140" s="127" t="n"/>
      <c r="AA140" s="150">
        <f>IF($B140="","",IF(AND(SUM($D140,$G140,$K140)&gt;0,$E140&lt;=0),"Thiếu mức đóng BH tháng trước; ","")&amp;IF(AND(SUM($O140:$R140)&gt;0,$P140&lt;=0),"Thiếu bình quân 06 tháng; ","")&amp;IF($K140&gt;0,"Mức 100% chỉ dùng đúng đối tượng luật định; ","")&amp;IF($W140="","",IF(ABS($X140)&gt;1,"Thực tế khác ước tính; ",""))&amp;IF($W140="","",IF($Y140="","Chưa chọn cách chi trả; ","")))</f>
        <v/>
      </c>
    </row>
    <row r="141">
      <c r="A141" s="145">
        <f>IF('DM_NHAN_SU'!$B141="","",ROW()-5)</f>
        <v/>
      </c>
      <c r="B141" s="145">
        <f>IF('DM_NHAN_SU'!$B141="","",'DM_NHAN_SU'!B141)</f>
        <v/>
      </c>
      <c r="C141" s="145">
        <f>IF('DM_NHAN_SU'!$B141="","",'DM_NHAN_SU'!C141)</f>
        <v/>
      </c>
      <c r="D141" s="227" t="n"/>
      <c r="E141" s="222" t="n"/>
      <c r="F141" s="224">
        <f>IF($B141="","",$D141*$E141/24*75%)</f>
        <v/>
      </c>
      <c r="G141" s="227" t="n"/>
      <c r="H141" s="227" t="n"/>
      <c r="I141" s="233">
        <f>IF($B141="","",IF($H141&gt;=30,65%,IF($H141&gt;=15,55%,50%)))</f>
        <v/>
      </c>
      <c r="J141" s="224">
        <f>IF($B141="","",$G141*$E141/24*$I141)</f>
        <v/>
      </c>
      <c r="K141" s="227" t="n"/>
      <c r="L141" s="224">
        <f>IF($B141="","",$K141*$E141/24)</f>
        <v/>
      </c>
      <c r="M141" s="227" t="n"/>
      <c r="N141" s="232">
        <f>IF($B141="","",$M141*'THAM_SO'!$M$27)</f>
        <v/>
      </c>
      <c r="O141" s="227" t="n"/>
      <c r="P141" s="222" t="n"/>
      <c r="Q141" s="227" t="n"/>
      <c r="R141" s="227" t="n"/>
      <c r="S141" s="227" t="n"/>
      <c r="T141" s="227" t="n"/>
      <c r="U141" s="224">
        <f>IF($B141="","",$O141*$P141+$Q141*$P141/24+$R141*$P141/30+$S141*'THAM_SO'!$M$6*2+$T141*'THAM_SO'!$M$27)</f>
        <v/>
      </c>
      <c r="V141" s="224">
        <f>IF($B141="","",SUM($F141,$J141,$L141,$N141,$U141))</f>
        <v/>
      </c>
      <c r="W141" s="222" t="n"/>
      <c r="X141" s="224">
        <f>IF(OR($B141="",$W141=""),"",$W141-$V141)</f>
        <v/>
      </c>
      <c r="Y141" s="127" t="n"/>
      <c r="Z141" s="127" t="n"/>
      <c r="AA141" s="150">
        <f>IF($B141="","",IF(AND(SUM($D141,$G141,$K141)&gt;0,$E141&lt;=0),"Thiếu mức đóng BH tháng trước; ","")&amp;IF(AND(SUM($O141:$R141)&gt;0,$P141&lt;=0),"Thiếu bình quân 06 tháng; ","")&amp;IF($K141&gt;0,"Mức 100% chỉ dùng đúng đối tượng luật định; ","")&amp;IF($W141="","",IF(ABS($X141)&gt;1,"Thực tế khác ước tính; ",""))&amp;IF($W141="","",IF($Y141="","Chưa chọn cách chi trả; ","")))</f>
        <v/>
      </c>
    </row>
    <row r="142">
      <c r="A142" s="145">
        <f>IF('DM_NHAN_SU'!$B142="","",ROW()-5)</f>
        <v/>
      </c>
      <c r="B142" s="145">
        <f>IF('DM_NHAN_SU'!$B142="","",'DM_NHAN_SU'!B142)</f>
        <v/>
      </c>
      <c r="C142" s="145">
        <f>IF('DM_NHAN_SU'!$B142="","",'DM_NHAN_SU'!C142)</f>
        <v/>
      </c>
      <c r="D142" s="227" t="n"/>
      <c r="E142" s="222" t="n"/>
      <c r="F142" s="224">
        <f>IF($B142="","",$D142*$E142/24*75%)</f>
        <v/>
      </c>
      <c r="G142" s="227" t="n"/>
      <c r="H142" s="227" t="n"/>
      <c r="I142" s="233">
        <f>IF($B142="","",IF($H142&gt;=30,65%,IF($H142&gt;=15,55%,50%)))</f>
        <v/>
      </c>
      <c r="J142" s="224">
        <f>IF($B142="","",$G142*$E142/24*$I142)</f>
        <v/>
      </c>
      <c r="K142" s="227" t="n"/>
      <c r="L142" s="224">
        <f>IF($B142="","",$K142*$E142/24)</f>
        <v/>
      </c>
      <c r="M142" s="227" t="n"/>
      <c r="N142" s="232">
        <f>IF($B142="","",$M142*'THAM_SO'!$M$27)</f>
        <v/>
      </c>
      <c r="O142" s="227" t="n"/>
      <c r="P142" s="222" t="n"/>
      <c r="Q142" s="227" t="n"/>
      <c r="R142" s="227" t="n"/>
      <c r="S142" s="227" t="n"/>
      <c r="T142" s="227" t="n"/>
      <c r="U142" s="224">
        <f>IF($B142="","",$O142*$P142+$Q142*$P142/24+$R142*$P142/30+$S142*'THAM_SO'!$M$6*2+$T142*'THAM_SO'!$M$27)</f>
        <v/>
      </c>
      <c r="V142" s="224">
        <f>IF($B142="","",SUM($F142,$J142,$L142,$N142,$U142))</f>
        <v/>
      </c>
      <c r="W142" s="222" t="n"/>
      <c r="X142" s="224">
        <f>IF(OR($B142="",$W142=""),"",$W142-$V142)</f>
        <v/>
      </c>
      <c r="Y142" s="127" t="n"/>
      <c r="Z142" s="127" t="n"/>
      <c r="AA142" s="150">
        <f>IF($B142="","",IF(AND(SUM($D142,$G142,$K142)&gt;0,$E142&lt;=0),"Thiếu mức đóng BH tháng trước; ","")&amp;IF(AND(SUM($O142:$R142)&gt;0,$P142&lt;=0),"Thiếu bình quân 06 tháng; ","")&amp;IF($K142&gt;0,"Mức 100% chỉ dùng đúng đối tượng luật định; ","")&amp;IF($W142="","",IF(ABS($X142)&gt;1,"Thực tế khác ước tính; ",""))&amp;IF($W142="","",IF($Y142="","Chưa chọn cách chi trả; ","")))</f>
        <v/>
      </c>
    </row>
    <row r="143">
      <c r="A143" s="145">
        <f>IF('DM_NHAN_SU'!$B143="","",ROW()-5)</f>
        <v/>
      </c>
      <c r="B143" s="145">
        <f>IF('DM_NHAN_SU'!$B143="","",'DM_NHAN_SU'!B143)</f>
        <v/>
      </c>
      <c r="C143" s="145">
        <f>IF('DM_NHAN_SU'!$B143="","",'DM_NHAN_SU'!C143)</f>
        <v/>
      </c>
      <c r="D143" s="227" t="n"/>
      <c r="E143" s="222" t="n"/>
      <c r="F143" s="224">
        <f>IF($B143="","",$D143*$E143/24*75%)</f>
        <v/>
      </c>
      <c r="G143" s="227" t="n"/>
      <c r="H143" s="227" t="n"/>
      <c r="I143" s="233">
        <f>IF($B143="","",IF($H143&gt;=30,65%,IF($H143&gt;=15,55%,50%)))</f>
        <v/>
      </c>
      <c r="J143" s="224">
        <f>IF($B143="","",$G143*$E143/24*$I143)</f>
        <v/>
      </c>
      <c r="K143" s="227" t="n"/>
      <c r="L143" s="224">
        <f>IF($B143="","",$K143*$E143/24)</f>
        <v/>
      </c>
      <c r="M143" s="227" t="n"/>
      <c r="N143" s="232">
        <f>IF($B143="","",$M143*'THAM_SO'!$M$27)</f>
        <v/>
      </c>
      <c r="O143" s="227" t="n"/>
      <c r="P143" s="222" t="n"/>
      <c r="Q143" s="227" t="n"/>
      <c r="R143" s="227" t="n"/>
      <c r="S143" s="227" t="n"/>
      <c r="T143" s="227" t="n"/>
      <c r="U143" s="224">
        <f>IF($B143="","",$O143*$P143+$Q143*$P143/24+$R143*$P143/30+$S143*'THAM_SO'!$M$6*2+$T143*'THAM_SO'!$M$27)</f>
        <v/>
      </c>
      <c r="V143" s="224">
        <f>IF($B143="","",SUM($F143,$J143,$L143,$N143,$U143))</f>
        <v/>
      </c>
      <c r="W143" s="222" t="n"/>
      <c r="X143" s="224">
        <f>IF(OR($B143="",$W143=""),"",$W143-$V143)</f>
        <v/>
      </c>
      <c r="Y143" s="127" t="n"/>
      <c r="Z143" s="127" t="n"/>
      <c r="AA143" s="150">
        <f>IF($B143="","",IF(AND(SUM($D143,$G143,$K143)&gt;0,$E143&lt;=0),"Thiếu mức đóng BH tháng trước; ","")&amp;IF(AND(SUM($O143:$R143)&gt;0,$P143&lt;=0),"Thiếu bình quân 06 tháng; ","")&amp;IF($K143&gt;0,"Mức 100% chỉ dùng đúng đối tượng luật định; ","")&amp;IF($W143="","",IF(ABS($X143)&gt;1,"Thực tế khác ước tính; ",""))&amp;IF($W143="","",IF($Y143="","Chưa chọn cách chi trả; ","")))</f>
        <v/>
      </c>
    </row>
    <row r="144">
      <c r="A144" s="145">
        <f>IF('DM_NHAN_SU'!$B144="","",ROW()-5)</f>
        <v/>
      </c>
      <c r="B144" s="145">
        <f>IF('DM_NHAN_SU'!$B144="","",'DM_NHAN_SU'!B144)</f>
        <v/>
      </c>
      <c r="C144" s="145">
        <f>IF('DM_NHAN_SU'!$B144="","",'DM_NHAN_SU'!C144)</f>
        <v/>
      </c>
      <c r="D144" s="227" t="n"/>
      <c r="E144" s="222" t="n"/>
      <c r="F144" s="224">
        <f>IF($B144="","",$D144*$E144/24*75%)</f>
        <v/>
      </c>
      <c r="G144" s="227" t="n"/>
      <c r="H144" s="227" t="n"/>
      <c r="I144" s="233">
        <f>IF($B144="","",IF($H144&gt;=30,65%,IF($H144&gt;=15,55%,50%)))</f>
        <v/>
      </c>
      <c r="J144" s="224">
        <f>IF($B144="","",$G144*$E144/24*$I144)</f>
        <v/>
      </c>
      <c r="K144" s="227" t="n"/>
      <c r="L144" s="224">
        <f>IF($B144="","",$K144*$E144/24)</f>
        <v/>
      </c>
      <c r="M144" s="227" t="n"/>
      <c r="N144" s="232">
        <f>IF($B144="","",$M144*'THAM_SO'!$M$27)</f>
        <v/>
      </c>
      <c r="O144" s="227" t="n"/>
      <c r="P144" s="222" t="n"/>
      <c r="Q144" s="227" t="n"/>
      <c r="R144" s="227" t="n"/>
      <c r="S144" s="227" t="n"/>
      <c r="T144" s="227" t="n"/>
      <c r="U144" s="224">
        <f>IF($B144="","",$O144*$P144+$Q144*$P144/24+$R144*$P144/30+$S144*'THAM_SO'!$M$6*2+$T144*'THAM_SO'!$M$27)</f>
        <v/>
      </c>
      <c r="V144" s="224">
        <f>IF($B144="","",SUM($F144,$J144,$L144,$N144,$U144))</f>
        <v/>
      </c>
      <c r="W144" s="222" t="n"/>
      <c r="X144" s="224">
        <f>IF(OR($B144="",$W144=""),"",$W144-$V144)</f>
        <v/>
      </c>
      <c r="Y144" s="127" t="n"/>
      <c r="Z144" s="127" t="n"/>
      <c r="AA144" s="150">
        <f>IF($B144="","",IF(AND(SUM($D144,$G144,$K144)&gt;0,$E144&lt;=0),"Thiếu mức đóng BH tháng trước; ","")&amp;IF(AND(SUM($O144:$R144)&gt;0,$P144&lt;=0),"Thiếu bình quân 06 tháng; ","")&amp;IF($K144&gt;0,"Mức 100% chỉ dùng đúng đối tượng luật định; ","")&amp;IF($W144="","",IF(ABS($X144)&gt;1,"Thực tế khác ước tính; ",""))&amp;IF($W144="","",IF($Y144="","Chưa chọn cách chi trả; ","")))</f>
        <v/>
      </c>
    </row>
    <row r="145">
      <c r="A145" s="145">
        <f>IF('DM_NHAN_SU'!$B145="","",ROW()-5)</f>
        <v/>
      </c>
      <c r="B145" s="145">
        <f>IF('DM_NHAN_SU'!$B145="","",'DM_NHAN_SU'!B145)</f>
        <v/>
      </c>
      <c r="C145" s="145">
        <f>IF('DM_NHAN_SU'!$B145="","",'DM_NHAN_SU'!C145)</f>
        <v/>
      </c>
      <c r="D145" s="227" t="n"/>
      <c r="E145" s="222" t="n"/>
      <c r="F145" s="224">
        <f>IF($B145="","",$D145*$E145/24*75%)</f>
        <v/>
      </c>
      <c r="G145" s="227" t="n"/>
      <c r="H145" s="227" t="n"/>
      <c r="I145" s="233">
        <f>IF($B145="","",IF($H145&gt;=30,65%,IF($H145&gt;=15,55%,50%)))</f>
        <v/>
      </c>
      <c r="J145" s="224">
        <f>IF($B145="","",$G145*$E145/24*$I145)</f>
        <v/>
      </c>
      <c r="K145" s="227" t="n"/>
      <c r="L145" s="224">
        <f>IF($B145="","",$K145*$E145/24)</f>
        <v/>
      </c>
      <c r="M145" s="227" t="n"/>
      <c r="N145" s="232">
        <f>IF($B145="","",$M145*'THAM_SO'!$M$27)</f>
        <v/>
      </c>
      <c r="O145" s="227" t="n"/>
      <c r="P145" s="222" t="n"/>
      <c r="Q145" s="227" t="n"/>
      <c r="R145" s="227" t="n"/>
      <c r="S145" s="227" t="n"/>
      <c r="T145" s="227" t="n"/>
      <c r="U145" s="224">
        <f>IF($B145="","",$O145*$P145+$Q145*$P145/24+$R145*$P145/30+$S145*'THAM_SO'!$M$6*2+$T145*'THAM_SO'!$M$27)</f>
        <v/>
      </c>
      <c r="V145" s="224">
        <f>IF($B145="","",SUM($F145,$J145,$L145,$N145,$U145))</f>
        <v/>
      </c>
      <c r="W145" s="222" t="n"/>
      <c r="X145" s="224">
        <f>IF(OR($B145="",$W145=""),"",$W145-$V145)</f>
        <v/>
      </c>
      <c r="Y145" s="127" t="n"/>
      <c r="Z145" s="127" t="n"/>
      <c r="AA145" s="150">
        <f>IF($B145="","",IF(AND(SUM($D145,$G145,$K145)&gt;0,$E145&lt;=0),"Thiếu mức đóng BH tháng trước; ","")&amp;IF(AND(SUM($O145:$R145)&gt;0,$P145&lt;=0),"Thiếu bình quân 06 tháng; ","")&amp;IF($K145&gt;0,"Mức 100% chỉ dùng đúng đối tượng luật định; ","")&amp;IF($W145="","",IF(ABS($X145)&gt;1,"Thực tế khác ước tính; ",""))&amp;IF($W145="","",IF($Y145="","Chưa chọn cách chi trả; ","")))</f>
        <v/>
      </c>
    </row>
    <row r="146">
      <c r="A146" s="145">
        <f>IF('DM_NHAN_SU'!$B146="","",ROW()-5)</f>
        <v/>
      </c>
      <c r="B146" s="145">
        <f>IF('DM_NHAN_SU'!$B146="","",'DM_NHAN_SU'!B146)</f>
        <v/>
      </c>
      <c r="C146" s="145">
        <f>IF('DM_NHAN_SU'!$B146="","",'DM_NHAN_SU'!C146)</f>
        <v/>
      </c>
      <c r="D146" s="227" t="n"/>
      <c r="E146" s="222" t="n"/>
      <c r="F146" s="224">
        <f>IF($B146="","",$D146*$E146/24*75%)</f>
        <v/>
      </c>
      <c r="G146" s="227" t="n"/>
      <c r="H146" s="227" t="n"/>
      <c r="I146" s="233">
        <f>IF($B146="","",IF($H146&gt;=30,65%,IF($H146&gt;=15,55%,50%)))</f>
        <v/>
      </c>
      <c r="J146" s="224">
        <f>IF($B146="","",$G146*$E146/24*$I146)</f>
        <v/>
      </c>
      <c r="K146" s="227" t="n"/>
      <c r="L146" s="224">
        <f>IF($B146="","",$K146*$E146/24)</f>
        <v/>
      </c>
      <c r="M146" s="227" t="n"/>
      <c r="N146" s="232">
        <f>IF($B146="","",$M146*'THAM_SO'!$M$27)</f>
        <v/>
      </c>
      <c r="O146" s="227" t="n"/>
      <c r="P146" s="222" t="n"/>
      <c r="Q146" s="227" t="n"/>
      <c r="R146" s="227" t="n"/>
      <c r="S146" s="227" t="n"/>
      <c r="T146" s="227" t="n"/>
      <c r="U146" s="224">
        <f>IF($B146="","",$O146*$P146+$Q146*$P146/24+$R146*$P146/30+$S146*'THAM_SO'!$M$6*2+$T146*'THAM_SO'!$M$27)</f>
        <v/>
      </c>
      <c r="V146" s="224">
        <f>IF($B146="","",SUM($F146,$J146,$L146,$N146,$U146))</f>
        <v/>
      </c>
      <c r="W146" s="222" t="n"/>
      <c r="X146" s="224">
        <f>IF(OR($B146="",$W146=""),"",$W146-$V146)</f>
        <v/>
      </c>
      <c r="Y146" s="127" t="n"/>
      <c r="Z146" s="127" t="n"/>
      <c r="AA146" s="150">
        <f>IF($B146="","",IF(AND(SUM($D146,$G146,$K146)&gt;0,$E146&lt;=0),"Thiếu mức đóng BH tháng trước; ","")&amp;IF(AND(SUM($O146:$R146)&gt;0,$P146&lt;=0),"Thiếu bình quân 06 tháng; ","")&amp;IF($K146&gt;0,"Mức 100% chỉ dùng đúng đối tượng luật định; ","")&amp;IF($W146="","",IF(ABS($X146)&gt;1,"Thực tế khác ước tính; ",""))&amp;IF($W146="","",IF($Y146="","Chưa chọn cách chi trả; ","")))</f>
        <v/>
      </c>
    </row>
    <row r="147">
      <c r="A147" s="145">
        <f>IF('DM_NHAN_SU'!$B147="","",ROW()-5)</f>
        <v/>
      </c>
      <c r="B147" s="145">
        <f>IF('DM_NHAN_SU'!$B147="","",'DM_NHAN_SU'!B147)</f>
        <v/>
      </c>
      <c r="C147" s="145">
        <f>IF('DM_NHAN_SU'!$B147="","",'DM_NHAN_SU'!C147)</f>
        <v/>
      </c>
      <c r="D147" s="227" t="n"/>
      <c r="E147" s="222" t="n"/>
      <c r="F147" s="224">
        <f>IF($B147="","",$D147*$E147/24*75%)</f>
        <v/>
      </c>
      <c r="G147" s="227" t="n"/>
      <c r="H147" s="227" t="n"/>
      <c r="I147" s="233">
        <f>IF($B147="","",IF($H147&gt;=30,65%,IF($H147&gt;=15,55%,50%)))</f>
        <v/>
      </c>
      <c r="J147" s="224">
        <f>IF($B147="","",$G147*$E147/24*$I147)</f>
        <v/>
      </c>
      <c r="K147" s="227" t="n"/>
      <c r="L147" s="224">
        <f>IF($B147="","",$K147*$E147/24)</f>
        <v/>
      </c>
      <c r="M147" s="227" t="n"/>
      <c r="N147" s="232">
        <f>IF($B147="","",$M147*'THAM_SO'!$M$27)</f>
        <v/>
      </c>
      <c r="O147" s="227" t="n"/>
      <c r="P147" s="222" t="n"/>
      <c r="Q147" s="227" t="n"/>
      <c r="R147" s="227" t="n"/>
      <c r="S147" s="227" t="n"/>
      <c r="T147" s="227" t="n"/>
      <c r="U147" s="224">
        <f>IF($B147="","",$O147*$P147+$Q147*$P147/24+$R147*$P147/30+$S147*'THAM_SO'!$M$6*2+$T147*'THAM_SO'!$M$27)</f>
        <v/>
      </c>
      <c r="V147" s="224">
        <f>IF($B147="","",SUM($F147,$J147,$L147,$N147,$U147))</f>
        <v/>
      </c>
      <c r="W147" s="222" t="n"/>
      <c r="X147" s="224">
        <f>IF(OR($B147="",$W147=""),"",$W147-$V147)</f>
        <v/>
      </c>
      <c r="Y147" s="127" t="n"/>
      <c r="Z147" s="127" t="n"/>
      <c r="AA147" s="150">
        <f>IF($B147="","",IF(AND(SUM($D147,$G147,$K147)&gt;0,$E147&lt;=0),"Thiếu mức đóng BH tháng trước; ","")&amp;IF(AND(SUM($O147:$R147)&gt;0,$P147&lt;=0),"Thiếu bình quân 06 tháng; ","")&amp;IF($K147&gt;0,"Mức 100% chỉ dùng đúng đối tượng luật định; ","")&amp;IF($W147="","",IF(ABS($X147)&gt;1,"Thực tế khác ước tính; ",""))&amp;IF($W147="","",IF($Y147="","Chưa chọn cách chi trả; ","")))</f>
        <v/>
      </c>
    </row>
    <row r="148">
      <c r="A148" s="145">
        <f>IF('DM_NHAN_SU'!$B148="","",ROW()-5)</f>
        <v/>
      </c>
      <c r="B148" s="145">
        <f>IF('DM_NHAN_SU'!$B148="","",'DM_NHAN_SU'!B148)</f>
        <v/>
      </c>
      <c r="C148" s="145">
        <f>IF('DM_NHAN_SU'!$B148="","",'DM_NHAN_SU'!C148)</f>
        <v/>
      </c>
      <c r="D148" s="227" t="n"/>
      <c r="E148" s="222" t="n"/>
      <c r="F148" s="224">
        <f>IF($B148="","",$D148*$E148/24*75%)</f>
        <v/>
      </c>
      <c r="G148" s="227" t="n"/>
      <c r="H148" s="227" t="n"/>
      <c r="I148" s="233">
        <f>IF($B148="","",IF($H148&gt;=30,65%,IF($H148&gt;=15,55%,50%)))</f>
        <v/>
      </c>
      <c r="J148" s="224">
        <f>IF($B148="","",$G148*$E148/24*$I148)</f>
        <v/>
      </c>
      <c r="K148" s="227" t="n"/>
      <c r="L148" s="224">
        <f>IF($B148="","",$K148*$E148/24)</f>
        <v/>
      </c>
      <c r="M148" s="227" t="n"/>
      <c r="N148" s="232">
        <f>IF($B148="","",$M148*'THAM_SO'!$M$27)</f>
        <v/>
      </c>
      <c r="O148" s="227" t="n"/>
      <c r="P148" s="222" t="n"/>
      <c r="Q148" s="227" t="n"/>
      <c r="R148" s="227" t="n"/>
      <c r="S148" s="227" t="n"/>
      <c r="T148" s="227" t="n"/>
      <c r="U148" s="224">
        <f>IF($B148="","",$O148*$P148+$Q148*$P148/24+$R148*$P148/30+$S148*'THAM_SO'!$M$6*2+$T148*'THAM_SO'!$M$27)</f>
        <v/>
      </c>
      <c r="V148" s="224">
        <f>IF($B148="","",SUM($F148,$J148,$L148,$N148,$U148))</f>
        <v/>
      </c>
      <c r="W148" s="222" t="n"/>
      <c r="X148" s="224">
        <f>IF(OR($B148="",$W148=""),"",$W148-$V148)</f>
        <v/>
      </c>
      <c r="Y148" s="127" t="n"/>
      <c r="Z148" s="127" t="n"/>
      <c r="AA148" s="150">
        <f>IF($B148="","",IF(AND(SUM($D148,$G148,$K148)&gt;0,$E148&lt;=0),"Thiếu mức đóng BH tháng trước; ","")&amp;IF(AND(SUM($O148:$R148)&gt;0,$P148&lt;=0),"Thiếu bình quân 06 tháng; ","")&amp;IF($K148&gt;0,"Mức 100% chỉ dùng đúng đối tượng luật định; ","")&amp;IF($W148="","",IF(ABS($X148)&gt;1,"Thực tế khác ước tính; ",""))&amp;IF($W148="","",IF($Y148="","Chưa chọn cách chi trả; ","")))</f>
        <v/>
      </c>
    </row>
    <row r="149">
      <c r="A149" s="145">
        <f>IF('DM_NHAN_SU'!$B149="","",ROW()-5)</f>
        <v/>
      </c>
      <c r="B149" s="145">
        <f>IF('DM_NHAN_SU'!$B149="","",'DM_NHAN_SU'!B149)</f>
        <v/>
      </c>
      <c r="C149" s="145">
        <f>IF('DM_NHAN_SU'!$B149="","",'DM_NHAN_SU'!C149)</f>
        <v/>
      </c>
      <c r="D149" s="227" t="n"/>
      <c r="E149" s="222" t="n"/>
      <c r="F149" s="224">
        <f>IF($B149="","",$D149*$E149/24*75%)</f>
        <v/>
      </c>
      <c r="G149" s="227" t="n"/>
      <c r="H149" s="227" t="n"/>
      <c r="I149" s="233">
        <f>IF($B149="","",IF($H149&gt;=30,65%,IF($H149&gt;=15,55%,50%)))</f>
        <v/>
      </c>
      <c r="J149" s="224">
        <f>IF($B149="","",$G149*$E149/24*$I149)</f>
        <v/>
      </c>
      <c r="K149" s="227" t="n"/>
      <c r="L149" s="224">
        <f>IF($B149="","",$K149*$E149/24)</f>
        <v/>
      </c>
      <c r="M149" s="227" t="n"/>
      <c r="N149" s="232">
        <f>IF($B149="","",$M149*'THAM_SO'!$M$27)</f>
        <v/>
      </c>
      <c r="O149" s="227" t="n"/>
      <c r="P149" s="222" t="n"/>
      <c r="Q149" s="227" t="n"/>
      <c r="R149" s="227" t="n"/>
      <c r="S149" s="227" t="n"/>
      <c r="T149" s="227" t="n"/>
      <c r="U149" s="224">
        <f>IF($B149="","",$O149*$P149+$Q149*$P149/24+$R149*$P149/30+$S149*'THAM_SO'!$M$6*2+$T149*'THAM_SO'!$M$27)</f>
        <v/>
      </c>
      <c r="V149" s="224">
        <f>IF($B149="","",SUM($F149,$J149,$L149,$N149,$U149))</f>
        <v/>
      </c>
      <c r="W149" s="222" t="n"/>
      <c r="X149" s="224">
        <f>IF(OR($B149="",$W149=""),"",$W149-$V149)</f>
        <v/>
      </c>
      <c r="Y149" s="127" t="n"/>
      <c r="Z149" s="127" t="n"/>
      <c r="AA149" s="150">
        <f>IF($B149="","",IF(AND(SUM($D149,$G149,$K149)&gt;0,$E149&lt;=0),"Thiếu mức đóng BH tháng trước; ","")&amp;IF(AND(SUM($O149:$R149)&gt;0,$P149&lt;=0),"Thiếu bình quân 06 tháng; ","")&amp;IF($K149&gt;0,"Mức 100% chỉ dùng đúng đối tượng luật định; ","")&amp;IF($W149="","",IF(ABS($X149)&gt;1,"Thực tế khác ước tính; ",""))&amp;IF($W149="","",IF($Y149="","Chưa chọn cách chi trả; ","")))</f>
        <v/>
      </c>
    </row>
    <row r="150">
      <c r="A150" s="145">
        <f>IF('DM_NHAN_SU'!$B150="","",ROW()-5)</f>
        <v/>
      </c>
      <c r="B150" s="145">
        <f>IF('DM_NHAN_SU'!$B150="","",'DM_NHAN_SU'!B150)</f>
        <v/>
      </c>
      <c r="C150" s="145">
        <f>IF('DM_NHAN_SU'!$B150="","",'DM_NHAN_SU'!C150)</f>
        <v/>
      </c>
      <c r="D150" s="227" t="n"/>
      <c r="E150" s="222" t="n"/>
      <c r="F150" s="224">
        <f>IF($B150="","",$D150*$E150/24*75%)</f>
        <v/>
      </c>
      <c r="G150" s="227" t="n"/>
      <c r="H150" s="227" t="n"/>
      <c r="I150" s="233">
        <f>IF($B150="","",IF($H150&gt;=30,65%,IF($H150&gt;=15,55%,50%)))</f>
        <v/>
      </c>
      <c r="J150" s="224">
        <f>IF($B150="","",$G150*$E150/24*$I150)</f>
        <v/>
      </c>
      <c r="K150" s="227" t="n"/>
      <c r="L150" s="224">
        <f>IF($B150="","",$K150*$E150/24)</f>
        <v/>
      </c>
      <c r="M150" s="227" t="n"/>
      <c r="N150" s="232">
        <f>IF($B150="","",$M150*'THAM_SO'!$M$27)</f>
        <v/>
      </c>
      <c r="O150" s="227" t="n"/>
      <c r="P150" s="222" t="n"/>
      <c r="Q150" s="227" t="n"/>
      <c r="R150" s="227" t="n"/>
      <c r="S150" s="227" t="n"/>
      <c r="T150" s="227" t="n"/>
      <c r="U150" s="224">
        <f>IF($B150="","",$O150*$P150+$Q150*$P150/24+$R150*$P150/30+$S150*'THAM_SO'!$M$6*2+$T150*'THAM_SO'!$M$27)</f>
        <v/>
      </c>
      <c r="V150" s="224">
        <f>IF($B150="","",SUM($F150,$J150,$L150,$N150,$U150))</f>
        <v/>
      </c>
      <c r="W150" s="222" t="n"/>
      <c r="X150" s="224">
        <f>IF(OR($B150="",$W150=""),"",$W150-$V150)</f>
        <v/>
      </c>
      <c r="Y150" s="127" t="n"/>
      <c r="Z150" s="127" t="n"/>
      <c r="AA150" s="150">
        <f>IF($B150="","",IF(AND(SUM($D150,$G150,$K150)&gt;0,$E150&lt;=0),"Thiếu mức đóng BH tháng trước; ","")&amp;IF(AND(SUM($O150:$R150)&gt;0,$P150&lt;=0),"Thiếu bình quân 06 tháng; ","")&amp;IF($K150&gt;0,"Mức 100% chỉ dùng đúng đối tượng luật định; ","")&amp;IF($W150="","",IF(ABS($X150)&gt;1,"Thực tế khác ước tính; ",""))&amp;IF($W150="","",IF($Y150="","Chưa chọn cách chi trả; ","")))</f>
        <v/>
      </c>
    </row>
    <row r="151">
      <c r="A151" s="145">
        <f>IF('DM_NHAN_SU'!$B151="","",ROW()-5)</f>
        <v/>
      </c>
      <c r="B151" s="145">
        <f>IF('DM_NHAN_SU'!$B151="","",'DM_NHAN_SU'!B151)</f>
        <v/>
      </c>
      <c r="C151" s="145">
        <f>IF('DM_NHAN_SU'!$B151="","",'DM_NHAN_SU'!C151)</f>
        <v/>
      </c>
      <c r="D151" s="227" t="n"/>
      <c r="E151" s="222" t="n"/>
      <c r="F151" s="224">
        <f>IF($B151="","",$D151*$E151/24*75%)</f>
        <v/>
      </c>
      <c r="G151" s="227" t="n"/>
      <c r="H151" s="227" t="n"/>
      <c r="I151" s="233">
        <f>IF($B151="","",IF($H151&gt;=30,65%,IF($H151&gt;=15,55%,50%)))</f>
        <v/>
      </c>
      <c r="J151" s="224">
        <f>IF($B151="","",$G151*$E151/24*$I151)</f>
        <v/>
      </c>
      <c r="K151" s="227" t="n"/>
      <c r="L151" s="224">
        <f>IF($B151="","",$K151*$E151/24)</f>
        <v/>
      </c>
      <c r="M151" s="227" t="n"/>
      <c r="N151" s="232">
        <f>IF($B151="","",$M151*'THAM_SO'!$M$27)</f>
        <v/>
      </c>
      <c r="O151" s="227" t="n"/>
      <c r="P151" s="222" t="n"/>
      <c r="Q151" s="227" t="n"/>
      <c r="R151" s="227" t="n"/>
      <c r="S151" s="227" t="n"/>
      <c r="T151" s="227" t="n"/>
      <c r="U151" s="224">
        <f>IF($B151="","",$O151*$P151+$Q151*$P151/24+$R151*$P151/30+$S151*'THAM_SO'!$M$6*2+$T151*'THAM_SO'!$M$27)</f>
        <v/>
      </c>
      <c r="V151" s="224">
        <f>IF($B151="","",SUM($F151,$J151,$L151,$N151,$U151))</f>
        <v/>
      </c>
      <c r="W151" s="222" t="n"/>
      <c r="X151" s="224">
        <f>IF(OR($B151="",$W151=""),"",$W151-$V151)</f>
        <v/>
      </c>
      <c r="Y151" s="127" t="n"/>
      <c r="Z151" s="127" t="n"/>
      <c r="AA151" s="150">
        <f>IF($B151="","",IF(AND(SUM($D151,$G151,$K151)&gt;0,$E151&lt;=0),"Thiếu mức đóng BH tháng trước; ","")&amp;IF(AND(SUM($O151:$R151)&gt;0,$P151&lt;=0),"Thiếu bình quân 06 tháng; ","")&amp;IF($K151&gt;0,"Mức 100% chỉ dùng đúng đối tượng luật định; ","")&amp;IF($W151="","",IF(ABS($X151)&gt;1,"Thực tế khác ước tính; ",""))&amp;IF($W151="","",IF($Y151="","Chưa chọn cách chi trả; ","")))</f>
        <v/>
      </c>
    </row>
    <row r="152">
      <c r="A152" s="145">
        <f>IF('DM_NHAN_SU'!$B152="","",ROW()-5)</f>
        <v/>
      </c>
      <c r="B152" s="145">
        <f>IF('DM_NHAN_SU'!$B152="","",'DM_NHAN_SU'!B152)</f>
        <v/>
      </c>
      <c r="C152" s="145">
        <f>IF('DM_NHAN_SU'!$B152="","",'DM_NHAN_SU'!C152)</f>
        <v/>
      </c>
      <c r="D152" s="227" t="n"/>
      <c r="E152" s="222" t="n"/>
      <c r="F152" s="224">
        <f>IF($B152="","",$D152*$E152/24*75%)</f>
        <v/>
      </c>
      <c r="G152" s="227" t="n"/>
      <c r="H152" s="227" t="n"/>
      <c r="I152" s="233">
        <f>IF($B152="","",IF($H152&gt;=30,65%,IF($H152&gt;=15,55%,50%)))</f>
        <v/>
      </c>
      <c r="J152" s="224">
        <f>IF($B152="","",$G152*$E152/24*$I152)</f>
        <v/>
      </c>
      <c r="K152" s="227" t="n"/>
      <c r="L152" s="224">
        <f>IF($B152="","",$K152*$E152/24)</f>
        <v/>
      </c>
      <c r="M152" s="227" t="n"/>
      <c r="N152" s="232">
        <f>IF($B152="","",$M152*'THAM_SO'!$M$27)</f>
        <v/>
      </c>
      <c r="O152" s="227" t="n"/>
      <c r="P152" s="222" t="n"/>
      <c r="Q152" s="227" t="n"/>
      <c r="R152" s="227" t="n"/>
      <c r="S152" s="227" t="n"/>
      <c r="T152" s="227" t="n"/>
      <c r="U152" s="224">
        <f>IF($B152="","",$O152*$P152+$Q152*$P152/24+$R152*$P152/30+$S152*'THAM_SO'!$M$6*2+$T152*'THAM_SO'!$M$27)</f>
        <v/>
      </c>
      <c r="V152" s="224">
        <f>IF($B152="","",SUM($F152,$J152,$L152,$N152,$U152))</f>
        <v/>
      </c>
      <c r="W152" s="222" t="n"/>
      <c r="X152" s="224">
        <f>IF(OR($B152="",$W152=""),"",$W152-$V152)</f>
        <v/>
      </c>
      <c r="Y152" s="127" t="n"/>
      <c r="Z152" s="127" t="n"/>
      <c r="AA152" s="150">
        <f>IF($B152="","",IF(AND(SUM($D152,$G152,$K152)&gt;0,$E152&lt;=0),"Thiếu mức đóng BH tháng trước; ","")&amp;IF(AND(SUM($O152:$R152)&gt;0,$P152&lt;=0),"Thiếu bình quân 06 tháng; ","")&amp;IF($K152&gt;0,"Mức 100% chỉ dùng đúng đối tượng luật định; ","")&amp;IF($W152="","",IF(ABS($X152)&gt;1,"Thực tế khác ước tính; ",""))&amp;IF($W152="","",IF($Y152="","Chưa chọn cách chi trả; ","")))</f>
        <v/>
      </c>
    </row>
    <row r="153">
      <c r="A153" s="145">
        <f>IF('DM_NHAN_SU'!$B153="","",ROW()-5)</f>
        <v/>
      </c>
      <c r="B153" s="145">
        <f>IF('DM_NHAN_SU'!$B153="","",'DM_NHAN_SU'!B153)</f>
        <v/>
      </c>
      <c r="C153" s="145">
        <f>IF('DM_NHAN_SU'!$B153="","",'DM_NHAN_SU'!C153)</f>
        <v/>
      </c>
      <c r="D153" s="227" t="n"/>
      <c r="E153" s="222" t="n"/>
      <c r="F153" s="224">
        <f>IF($B153="","",$D153*$E153/24*75%)</f>
        <v/>
      </c>
      <c r="G153" s="227" t="n"/>
      <c r="H153" s="227" t="n"/>
      <c r="I153" s="233">
        <f>IF($B153="","",IF($H153&gt;=30,65%,IF($H153&gt;=15,55%,50%)))</f>
        <v/>
      </c>
      <c r="J153" s="224">
        <f>IF($B153="","",$G153*$E153/24*$I153)</f>
        <v/>
      </c>
      <c r="K153" s="227" t="n"/>
      <c r="L153" s="224">
        <f>IF($B153="","",$K153*$E153/24)</f>
        <v/>
      </c>
      <c r="M153" s="227" t="n"/>
      <c r="N153" s="232">
        <f>IF($B153="","",$M153*'THAM_SO'!$M$27)</f>
        <v/>
      </c>
      <c r="O153" s="227" t="n"/>
      <c r="P153" s="222" t="n"/>
      <c r="Q153" s="227" t="n"/>
      <c r="R153" s="227" t="n"/>
      <c r="S153" s="227" t="n"/>
      <c r="T153" s="227" t="n"/>
      <c r="U153" s="224">
        <f>IF($B153="","",$O153*$P153+$Q153*$P153/24+$R153*$P153/30+$S153*'THAM_SO'!$M$6*2+$T153*'THAM_SO'!$M$27)</f>
        <v/>
      </c>
      <c r="V153" s="224">
        <f>IF($B153="","",SUM($F153,$J153,$L153,$N153,$U153))</f>
        <v/>
      </c>
      <c r="W153" s="222" t="n"/>
      <c r="X153" s="224">
        <f>IF(OR($B153="",$W153=""),"",$W153-$V153)</f>
        <v/>
      </c>
      <c r="Y153" s="127" t="n"/>
      <c r="Z153" s="127" t="n"/>
      <c r="AA153" s="150">
        <f>IF($B153="","",IF(AND(SUM($D153,$G153,$K153)&gt;0,$E153&lt;=0),"Thiếu mức đóng BH tháng trước; ","")&amp;IF(AND(SUM($O153:$R153)&gt;0,$P153&lt;=0),"Thiếu bình quân 06 tháng; ","")&amp;IF($K153&gt;0,"Mức 100% chỉ dùng đúng đối tượng luật định; ","")&amp;IF($W153="","",IF(ABS($X153)&gt;1,"Thực tế khác ước tính; ",""))&amp;IF($W153="","",IF($Y153="","Chưa chọn cách chi trả; ","")))</f>
        <v/>
      </c>
    </row>
    <row r="154">
      <c r="A154" s="145">
        <f>IF('DM_NHAN_SU'!$B154="","",ROW()-5)</f>
        <v/>
      </c>
      <c r="B154" s="145">
        <f>IF('DM_NHAN_SU'!$B154="","",'DM_NHAN_SU'!B154)</f>
        <v/>
      </c>
      <c r="C154" s="145">
        <f>IF('DM_NHAN_SU'!$B154="","",'DM_NHAN_SU'!C154)</f>
        <v/>
      </c>
      <c r="D154" s="227" t="n"/>
      <c r="E154" s="222" t="n"/>
      <c r="F154" s="224">
        <f>IF($B154="","",$D154*$E154/24*75%)</f>
        <v/>
      </c>
      <c r="G154" s="227" t="n"/>
      <c r="H154" s="227" t="n"/>
      <c r="I154" s="233">
        <f>IF($B154="","",IF($H154&gt;=30,65%,IF($H154&gt;=15,55%,50%)))</f>
        <v/>
      </c>
      <c r="J154" s="224">
        <f>IF($B154="","",$G154*$E154/24*$I154)</f>
        <v/>
      </c>
      <c r="K154" s="227" t="n"/>
      <c r="L154" s="224">
        <f>IF($B154="","",$K154*$E154/24)</f>
        <v/>
      </c>
      <c r="M154" s="227" t="n"/>
      <c r="N154" s="232">
        <f>IF($B154="","",$M154*'THAM_SO'!$M$27)</f>
        <v/>
      </c>
      <c r="O154" s="227" t="n"/>
      <c r="P154" s="222" t="n"/>
      <c r="Q154" s="227" t="n"/>
      <c r="R154" s="227" t="n"/>
      <c r="S154" s="227" t="n"/>
      <c r="T154" s="227" t="n"/>
      <c r="U154" s="224">
        <f>IF($B154="","",$O154*$P154+$Q154*$P154/24+$R154*$P154/30+$S154*'THAM_SO'!$M$6*2+$T154*'THAM_SO'!$M$27)</f>
        <v/>
      </c>
      <c r="V154" s="224">
        <f>IF($B154="","",SUM($F154,$J154,$L154,$N154,$U154))</f>
        <v/>
      </c>
      <c r="W154" s="222" t="n"/>
      <c r="X154" s="224">
        <f>IF(OR($B154="",$W154=""),"",$W154-$V154)</f>
        <v/>
      </c>
      <c r="Y154" s="127" t="n"/>
      <c r="Z154" s="127" t="n"/>
      <c r="AA154" s="150">
        <f>IF($B154="","",IF(AND(SUM($D154,$G154,$K154)&gt;0,$E154&lt;=0),"Thiếu mức đóng BH tháng trước; ","")&amp;IF(AND(SUM($O154:$R154)&gt;0,$P154&lt;=0),"Thiếu bình quân 06 tháng; ","")&amp;IF($K154&gt;0,"Mức 100% chỉ dùng đúng đối tượng luật định; ","")&amp;IF($W154="","",IF(ABS($X154)&gt;1,"Thực tế khác ước tính; ",""))&amp;IF($W154="","",IF($Y154="","Chưa chọn cách chi trả; ","")))</f>
        <v/>
      </c>
    </row>
    <row r="155">
      <c r="A155" s="145">
        <f>IF('DM_NHAN_SU'!$B155="","",ROW()-5)</f>
        <v/>
      </c>
      <c r="B155" s="145">
        <f>IF('DM_NHAN_SU'!$B155="","",'DM_NHAN_SU'!B155)</f>
        <v/>
      </c>
      <c r="C155" s="145">
        <f>IF('DM_NHAN_SU'!$B155="","",'DM_NHAN_SU'!C155)</f>
        <v/>
      </c>
      <c r="D155" s="227" t="n"/>
      <c r="E155" s="222" t="n"/>
      <c r="F155" s="224">
        <f>IF($B155="","",$D155*$E155/24*75%)</f>
        <v/>
      </c>
      <c r="G155" s="227" t="n"/>
      <c r="H155" s="227" t="n"/>
      <c r="I155" s="233">
        <f>IF($B155="","",IF($H155&gt;=30,65%,IF($H155&gt;=15,55%,50%)))</f>
        <v/>
      </c>
      <c r="J155" s="224">
        <f>IF($B155="","",$G155*$E155/24*$I155)</f>
        <v/>
      </c>
      <c r="K155" s="227" t="n"/>
      <c r="L155" s="224">
        <f>IF($B155="","",$K155*$E155/24)</f>
        <v/>
      </c>
      <c r="M155" s="227" t="n"/>
      <c r="N155" s="232">
        <f>IF($B155="","",$M155*'THAM_SO'!$M$27)</f>
        <v/>
      </c>
      <c r="O155" s="227" t="n"/>
      <c r="P155" s="222" t="n"/>
      <c r="Q155" s="227" t="n"/>
      <c r="R155" s="227" t="n"/>
      <c r="S155" s="227" t="n"/>
      <c r="T155" s="227" t="n"/>
      <c r="U155" s="224">
        <f>IF($B155="","",$O155*$P155+$Q155*$P155/24+$R155*$P155/30+$S155*'THAM_SO'!$M$6*2+$T155*'THAM_SO'!$M$27)</f>
        <v/>
      </c>
      <c r="V155" s="224">
        <f>IF($B155="","",SUM($F155,$J155,$L155,$N155,$U155))</f>
        <v/>
      </c>
      <c r="W155" s="222" t="n"/>
      <c r="X155" s="224">
        <f>IF(OR($B155="",$W155=""),"",$W155-$V155)</f>
        <v/>
      </c>
      <c r="Y155" s="127" t="n"/>
      <c r="Z155" s="127" t="n"/>
      <c r="AA155" s="150">
        <f>IF($B155="","",IF(AND(SUM($D155,$G155,$K155)&gt;0,$E155&lt;=0),"Thiếu mức đóng BH tháng trước; ","")&amp;IF(AND(SUM($O155:$R155)&gt;0,$P155&lt;=0),"Thiếu bình quân 06 tháng; ","")&amp;IF($K155&gt;0,"Mức 100% chỉ dùng đúng đối tượng luật định; ","")&amp;IF($W155="","",IF(ABS($X155)&gt;1,"Thực tế khác ước tính; ",""))&amp;IF($W155="","",IF($Y155="","Chưa chọn cách chi trả; ","")))</f>
        <v/>
      </c>
    </row>
  </sheetData>
  <mergeCells count="2">
    <mergeCell ref="A1:AA1"/>
    <mergeCell ref="A2:AA3"/>
  </mergeCells>
  <conditionalFormatting sqref="AA6:AA155">
    <cfRule type="notContainsBlanks" priority="1" dxfId="0"/>
  </conditionalFormatting>
  <dataValidations count="2">
    <dataValidation sqref="Y6:Y155" showDropDown="0" showInputMessage="0" showErrorMessage="0" allowBlank="0" type="list">
      <formula1>"BHXH trả trực tiếp,DN trả thay,Chưa nhận"</formula1>
    </dataValidation>
    <dataValidation sqref="Z6:Z155" showDropDown="0" showInputMessage="0" showErrorMessage="0" allowBlank="0" type="list">
      <formula1>"Có,Không"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155"/>
  <sheetViews>
    <sheetView showGridLines="0" workbookViewId="0">
      <selection activeCell="A1" sqref="A1"/>
    </sheetView>
  </sheetViews>
  <sheetFormatPr baseColWidth="8" defaultRowHeight="15"/>
  <cols>
    <col width="6" customWidth="1" style="32" min="1" max="1"/>
    <col width="12" customWidth="1" style="32" min="2" max="2"/>
    <col width="23" customWidth="1" style="32" min="3" max="3"/>
    <col width="21" customWidth="1" style="32" min="4" max="4"/>
    <col width="16" customWidth="1" style="32" min="5" max="5"/>
    <col width="18" customWidth="1" style="32" min="6" max="6"/>
    <col width="16" customWidth="1" style="32" min="7" max="7"/>
    <col width="16" customWidth="1" style="32" min="8" max="8"/>
    <col width="16" customWidth="1" style="32" min="9" max="9"/>
    <col width="15" customWidth="1" style="32" min="10" max="10"/>
    <col width="19" customWidth="1" style="32" min="11" max="11"/>
    <col width="13" customWidth="1" style="32" min="12" max="12"/>
    <col width="17" customWidth="1" style="32" min="13" max="13"/>
    <col width="28" customWidth="1" style="32" min="14" max="14"/>
    <col width="42" customWidth="1" style="32" min="15" max="15"/>
  </cols>
  <sheetData>
    <row r="1" ht="30" customHeight="1" s="32">
      <c r="A1" s="4" t="inlineStr">
        <is>
          <t>THƯỞNG THÁNG 13 – TẾT – THƯỞNG KHÁC</t>
        </is>
      </c>
    </row>
    <row r="2">
      <c r="A2" s="96" t="inlineStr">
        <is>
          <t>Chọn cách tính riêng cho từng người. “Căn cứ T13”, “bình quân 12 tháng” và số tháng đủ điều kiện phải bám quy chế thưởng. Tháng 13/Tết/KPI/hoa hồng thông thường chịu TNCN khi chi trả; file không tự cộng vào căn cứ đóng BH vì khoản biến động theo năng suất/chất lượng không phải khoản bổ sung cố định.</t>
        </is>
      </c>
    </row>
    <row r="3"/>
    <row r="4"/>
    <row r="5" ht="58" customHeight="1" s="32">
      <c r="A5" s="156" t="inlineStr">
        <is>
          <t>STT</t>
        </is>
      </c>
      <c r="B5" s="156" t="inlineStr">
        <is>
          <t>Mã NV</t>
        </is>
      </c>
      <c r="C5" s="156" t="inlineStr">
        <is>
          <t>Họ và tên</t>
        </is>
      </c>
      <c r="D5" s="156" t="inlineStr">
        <is>
          <t>Cách tính T13</t>
        </is>
      </c>
      <c r="E5" s="156" t="inlineStr">
        <is>
          <t>Số tháng đủ điều kiện</t>
        </is>
      </c>
      <c r="F5" s="156" t="inlineStr">
        <is>
          <t>BQ thu nhập 12 tháng</t>
        </is>
      </c>
      <c r="G5" s="156" t="inlineStr">
        <is>
          <t>Căn cứ T13</t>
        </is>
      </c>
      <c r="H5" s="156" t="inlineStr">
        <is>
          <t>T13 nhập tay</t>
        </is>
      </c>
      <c r="I5" s="156" t="inlineStr">
        <is>
          <t>T13 tính được</t>
        </is>
      </c>
      <c r="J5" s="156" t="inlineStr">
        <is>
          <t>Thưởng Tết</t>
        </is>
      </c>
      <c r="K5" s="156" t="inlineStr">
        <is>
          <t>Thưởng khác chịu thuế</t>
        </is>
      </c>
      <c r="L5" s="156" t="inlineStr">
        <is>
          <t>Tính trong kỳ?</t>
        </is>
      </c>
      <c r="M5" s="156" t="inlineStr">
        <is>
          <t>Tổng tính trong kỳ</t>
        </is>
      </c>
      <c r="N5" s="156" t="inlineStr">
        <is>
          <t>Ghi chú</t>
        </is>
      </c>
      <c r="O5" s="156" t="inlineStr">
        <is>
          <t>Cảnh báo</t>
        </is>
      </c>
    </row>
    <row r="6">
      <c r="A6" s="145">
        <f>IF('DM_NHAN_SU'!$B6="","",ROW()-5)</f>
        <v/>
      </c>
      <c r="B6" s="145">
        <f>IF('DM_NHAN_SU'!$B6="","",'DM_NHAN_SU'!B6)</f>
        <v/>
      </c>
      <c r="C6" s="145">
        <f>IF('DM_NHAN_SU'!$B6="","",'DM_NHAN_SU'!C6)</f>
        <v/>
      </c>
      <c r="D6" s="127" t="n"/>
      <c r="E6" s="227" t="n"/>
      <c r="F6" s="222" t="n"/>
      <c r="G6" s="222" t="n"/>
      <c r="H6" s="222" t="n"/>
      <c r="I6" s="224">
        <f>IF($B6="","",IF($D6="Không",0,IF($D6="Nhập tay",$H6,IF($D6="Đủ 01 tháng lương",$G6,IF($D6="Tỷ lệ thời gian",$G6*MIN(MAX($E6,0),12)/12,IF($D6="Bình quân 12 tháng",$F6,0))))))</f>
        <v/>
      </c>
      <c r="J6" s="222" t="n"/>
      <c r="K6" s="222" t="n"/>
      <c r="L6" s="127" t="n"/>
      <c r="M6" s="224">
        <f>IF($B6="","",IF($L6="Có",SUM($I6:$K6),0))</f>
        <v/>
      </c>
      <c r="N6" s="127" t="n"/>
      <c r="O6" s="150">
        <f>IF($B6="","",IF(AND($L6="Có",$D6=""),"Chưa chọn cách tính T13; ","")&amp;IF(AND($D6="Tỷ lệ thời gian",OR($G6&lt;=0,$E6&lt;=0)),"Thiếu căn cứ hoặc số tháng; ","")&amp;IF(AND($D6="Đủ 01 tháng lương",$G6&lt;=0),"Thiếu căn cứ T13; ","")&amp;IF(AND($D6="Bình quân 12 tháng",$F6&lt;=0),"Thiếu bình quân 12 tháng; ","")&amp;IF(AND($D6="Nhập tay",$H6&lt;=0),"Thiếu T13 nhập tay; ",""))</f>
        <v/>
      </c>
    </row>
    <row r="7">
      <c r="A7" s="145">
        <f>IF('DM_NHAN_SU'!$B7="","",ROW()-5)</f>
        <v/>
      </c>
      <c r="B7" s="145">
        <f>IF('DM_NHAN_SU'!$B7="","",'DM_NHAN_SU'!B7)</f>
        <v/>
      </c>
      <c r="C7" s="145">
        <f>IF('DM_NHAN_SU'!$B7="","",'DM_NHAN_SU'!C7)</f>
        <v/>
      </c>
      <c r="D7" s="127" t="n"/>
      <c r="E7" s="227" t="n"/>
      <c r="F7" s="222" t="n"/>
      <c r="G7" s="222" t="n"/>
      <c r="H7" s="222" t="n"/>
      <c r="I7" s="224">
        <f>IF($B7="","",IF($D7="Không",0,IF($D7="Nhập tay",$H7,IF($D7="Đủ 01 tháng lương",$G7,IF($D7="Tỷ lệ thời gian",$G7*MIN(MAX($E7,0),12)/12,IF($D7="Bình quân 12 tháng",$F7,0))))))</f>
        <v/>
      </c>
      <c r="J7" s="222" t="n"/>
      <c r="K7" s="222" t="n"/>
      <c r="L7" s="127" t="n"/>
      <c r="M7" s="224">
        <f>IF($B7="","",IF($L7="Có",SUM($I7:$K7),0))</f>
        <v/>
      </c>
      <c r="N7" s="127" t="n"/>
      <c r="O7" s="150">
        <f>IF($B7="","",IF(AND($L7="Có",$D7=""),"Chưa chọn cách tính T13; ","")&amp;IF(AND($D7="Tỷ lệ thời gian",OR($G7&lt;=0,$E7&lt;=0)),"Thiếu căn cứ hoặc số tháng; ","")&amp;IF(AND($D7="Đủ 01 tháng lương",$G7&lt;=0),"Thiếu căn cứ T13; ","")&amp;IF(AND($D7="Bình quân 12 tháng",$F7&lt;=0),"Thiếu bình quân 12 tháng; ","")&amp;IF(AND($D7="Nhập tay",$H7&lt;=0),"Thiếu T13 nhập tay; ",""))</f>
        <v/>
      </c>
    </row>
    <row r="8">
      <c r="A8" s="145">
        <f>IF('DM_NHAN_SU'!$B8="","",ROW()-5)</f>
        <v/>
      </c>
      <c r="B8" s="145">
        <f>IF('DM_NHAN_SU'!$B8="","",'DM_NHAN_SU'!B8)</f>
        <v/>
      </c>
      <c r="C8" s="145">
        <f>IF('DM_NHAN_SU'!$B8="","",'DM_NHAN_SU'!C8)</f>
        <v/>
      </c>
      <c r="D8" s="127" t="n"/>
      <c r="E8" s="227" t="n"/>
      <c r="F8" s="222" t="n"/>
      <c r="G8" s="222" t="n"/>
      <c r="H8" s="222" t="n"/>
      <c r="I8" s="224">
        <f>IF($B8="","",IF($D8="Không",0,IF($D8="Nhập tay",$H8,IF($D8="Đủ 01 tháng lương",$G8,IF($D8="Tỷ lệ thời gian",$G8*MIN(MAX($E8,0),12)/12,IF($D8="Bình quân 12 tháng",$F8,0))))))</f>
        <v/>
      </c>
      <c r="J8" s="222" t="n"/>
      <c r="K8" s="222" t="n"/>
      <c r="L8" s="127" t="n"/>
      <c r="M8" s="224">
        <f>IF($B8="","",IF($L8="Có",SUM($I8:$K8),0))</f>
        <v/>
      </c>
      <c r="N8" s="127" t="n"/>
      <c r="O8" s="150">
        <f>IF($B8="","",IF(AND($L8="Có",$D8=""),"Chưa chọn cách tính T13; ","")&amp;IF(AND($D8="Tỷ lệ thời gian",OR($G8&lt;=0,$E8&lt;=0)),"Thiếu căn cứ hoặc số tháng; ","")&amp;IF(AND($D8="Đủ 01 tháng lương",$G8&lt;=0),"Thiếu căn cứ T13; ","")&amp;IF(AND($D8="Bình quân 12 tháng",$F8&lt;=0),"Thiếu bình quân 12 tháng; ","")&amp;IF(AND($D8="Nhập tay",$H8&lt;=0),"Thiếu T13 nhập tay; ",""))</f>
        <v/>
      </c>
    </row>
    <row r="9">
      <c r="A9" s="145">
        <f>IF('DM_NHAN_SU'!$B9="","",ROW()-5)</f>
        <v/>
      </c>
      <c r="B9" s="145">
        <f>IF('DM_NHAN_SU'!$B9="","",'DM_NHAN_SU'!B9)</f>
        <v/>
      </c>
      <c r="C9" s="145">
        <f>IF('DM_NHAN_SU'!$B9="","",'DM_NHAN_SU'!C9)</f>
        <v/>
      </c>
      <c r="D9" s="127" t="n"/>
      <c r="E9" s="227" t="n"/>
      <c r="F9" s="222" t="n"/>
      <c r="G9" s="222" t="n"/>
      <c r="H9" s="222" t="n"/>
      <c r="I9" s="224">
        <f>IF($B9="","",IF($D9="Không",0,IF($D9="Nhập tay",$H9,IF($D9="Đủ 01 tháng lương",$G9,IF($D9="Tỷ lệ thời gian",$G9*MIN(MAX($E9,0),12)/12,IF($D9="Bình quân 12 tháng",$F9,0))))))</f>
        <v/>
      </c>
      <c r="J9" s="222" t="n"/>
      <c r="K9" s="222" t="n"/>
      <c r="L9" s="127" t="n"/>
      <c r="M9" s="224">
        <f>IF($B9="","",IF($L9="Có",SUM($I9:$K9),0))</f>
        <v/>
      </c>
      <c r="N9" s="127" t="n"/>
      <c r="O9" s="150">
        <f>IF($B9="","",IF(AND($L9="Có",$D9=""),"Chưa chọn cách tính T13; ","")&amp;IF(AND($D9="Tỷ lệ thời gian",OR($G9&lt;=0,$E9&lt;=0)),"Thiếu căn cứ hoặc số tháng; ","")&amp;IF(AND($D9="Đủ 01 tháng lương",$G9&lt;=0),"Thiếu căn cứ T13; ","")&amp;IF(AND($D9="Bình quân 12 tháng",$F9&lt;=0),"Thiếu bình quân 12 tháng; ","")&amp;IF(AND($D9="Nhập tay",$H9&lt;=0),"Thiếu T13 nhập tay; ",""))</f>
        <v/>
      </c>
    </row>
    <row r="10">
      <c r="A10" s="145">
        <f>IF('DM_NHAN_SU'!$B10="","",ROW()-5)</f>
        <v/>
      </c>
      <c r="B10" s="145">
        <f>IF('DM_NHAN_SU'!$B10="","",'DM_NHAN_SU'!B10)</f>
        <v/>
      </c>
      <c r="C10" s="145">
        <f>IF('DM_NHAN_SU'!$B10="","",'DM_NHAN_SU'!C10)</f>
        <v/>
      </c>
      <c r="D10" s="127" t="n"/>
      <c r="E10" s="227" t="n"/>
      <c r="F10" s="222" t="n"/>
      <c r="G10" s="222" t="n"/>
      <c r="H10" s="222" t="n"/>
      <c r="I10" s="224">
        <f>IF($B10="","",IF($D10="Không",0,IF($D10="Nhập tay",$H10,IF($D10="Đủ 01 tháng lương",$G10,IF($D10="Tỷ lệ thời gian",$G10*MIN(MAX($E10,0),12)/12,IF($D10="Bình quân 12 tháng",$F10,0))))))</f>
        <v/>
      </c>
      <c r="J10" s="222" t="n"/>
      <c r="K10" s="222" t="n"/>
      <c r="L10" s="127" t="n"/>
      <c r="M10" s="224">
        <f>IF($B10="","",IF($L10="Có",SUM($I10:$K10),0))</f>
        <v/>
      </c>
      <c r="N10" s="127" t="n"/>
      <c r="O10" s="150">
        <f>IF($B10="","",IF(AND($L10="Có",$D10=""),"Chưa chọn cách tính T13; ","")&amp;IF(AND($D10="Tỷ lệ thời gian",OR($G10&lt;=0,$E10&lt;=0)),"Thiếu căn cứ hoặc số tháng; ","")&amp;IF(AND($D10="Đủ 01 tháng lương",$G10&lt;=0),"Thiếu căn cứ T13; ","")&amp;IF(AND($D10="Bình quân 12 tháng",$F10&lt;=0),"Thiếu bình quân 12 tháng; ","")&amp;IF(AND($D10="Nhập tay",$H10&lt;=0),"Thiếu T13 nhập tay; ",""))</f>
        <v/>
      </c>
    </row>
    <row r="11">
      <c r="A11" s="145">
        <f>IF('DM_NHAN_SU'!$B11="","",ROW()-5)</f>
        <v/>
      </c>
      <c r="B11" s="145">
        <f>IF('DM_NHAN_SU'!$B11="","",'DM_NHAN_SU'!B11)</f>
        <v/>
      </c>
      <c r="C11" s="145">
        <f>IF('DM_NHAN_SU'!$B11="","",'DM_NHAN_SU'!C11)</f>
        <v/>
      </c>
      <c r="D11" s="127" t="n"/>
      <c r="E11" s="227" t="n"/>
      <c r="F11" s="222" t="n"/>
      <c r="G11" s="222" t="n"/>
      <c r="H11" s="222" t="n"/>
      <c r="I11" s="224">
        <f>IF($B11="","",IF($D11="Không",0,IF($D11="Nhập tay",$H11,IF($D11="Đủ 01 tháng lương",$G11,IF($D11="Tỷ lệ thời gian",$G11*MIN(MAX($E11,0),12)/12,IF($D11="Bình quân 12 tháng",$F11,0))))))</f>
        <v/>
      </c>
      <c r="J11" s="222" t="n"/>
      <c r="K11" s="222" t="n"/>
      <c r="L11" s="127" t="n"/>
      <c r="M11" s="224">
        <f>IF($B11="","",IF($L11="Có",SUM($I11:$K11),0))</f>
        <v/>
      </c>
      <c r="N11" s="127" t="n"/>
      <c r="O11" s="150">
        <f>IF($B11="","",IF(AND($L11="Có",$D11=""),"Chưa chọn cách tính T13; ","")&amp;IF(AND($D11="Tỷ lệ thời gian",OR($G11&lt;=0,$E11&lt;=0)),"Thiếu căn cứ hoặc số tháng; ","")&amp;IF(AND($D11="Đủ 01 tháng lương",$G11&lt;=0),"Thiếu căn cứ T13; ","")&amp;IF(AND($D11="Bình quân 12 tháng",$F11&lt;=0),"Thiếu bình quân 12 tháng; ","")&amp;IF(AND($D11="Nhập tay",$H11&lt;=0),"Thiếu T13 nhập tay; ",""))</f>
        <v/>
      </c>
    </row>
    <row r="12">
      <c r="A12" s="145">
        <f>IF('DM_NHAN_SU'!$B12="","",ROW()-5)</f>
        <v/>
      </c>
      <c r="B12" s="145">
        <f>IF('DM_NHAN_SU'!$B12="","",'DM_NHAN_SU'!B12)</f>
        <v/>
      </c>
      <c r="C12" s="145">
        <f>IF('DM_NHAN_SU'!$B12="","",'DM_NHAN_SU'!C12)</f>
        <v/>
      </c>
      <c r="D12" s="127" t="n"/>
      <c r="E12" s="227" t="n"/>
      <c r="F12" s="222" t="n"/>
      <c r="G12" s="222" t="n"/>
      <c r="H12" s="222" t="n"/>
      <c r="I12" s="224">
        <f>IF($B12="","",IF($D12="Không",0,IF($D12="Nhập tay",$H12,IF($D12="Đủ 01 tháng lương",$G12,IF($D12="Tỷ lệ thời gian",$G12*MIN(MAX($E12,0),12)/12,IF($D12="Bình quân 12 tháng",$F12,0))))))</f>
        <v/>
      </c>
      <c r="J12" s="222" t="n"/>
      <c r="K12" s="222" t="n"/>
      <c r="L12" s="127" t="n"/>
      <c r="M12" s="224">
        <f>IF($B12="","",IF($L12="Có",SUM($I12:$K12),0))</f>
        <v/>
      </c>
      <c r="N12" s="127" t="n"/>
      <c r="O12" s="150">
        <f>IF($B12="","",IF(AND($L12="Có",$D12=""),"Chưa chọn cách tính T13; ","")&amp;IF(AND($D12="Tỷ lệ thời gian",OR($G12&lt;=0,$E12&lt;=0)),"Thiếu căn cứ hoặc số tháng; ","")&amp;IF(AND($D12="Đủ 01 tháng lương",$G12&lt;=0),"Thiếu căn cứ T13; ","")&amp;IF(AND($D12="Bình quân 12 tháng",$F12&lt;=0),"Thiếu bình quân 12 tháng; ","")&amp;IF(AND($D12="Nhập tay",$H12&lt;=0),"Thiếu T13 nhập tay; ",""))</f>
        <v/>
      </c>
    </row>
    <row r="13">
      <c r="A13" s="145">
        <f>IF('DM_NHAN_SU'!$B13="","",ROW()-5)</f>
        <v/>
      </c>
      <c r="B13" s="145">
        <f>IF('DM_NHAN_SU'!$B13="","",'DM_NHAN_SU'!B13)</f>
        <v/>
      </c>
      <c r="C13" s="145">
        <f>IF('DM_NHAN_SU'!$B13="","",'DM_NHAN_SU'!C13)</f>
        <v/>
      </c>
      <c r="D13" s="127" t="n"/>
      <c r="E13" s="227" t="n"/>
      <c r="F13" s="222" t="n"/>
      <c r="G13" s="222" t="n"/>
      <c r="H13" s="222" t="n"/>
      <c r="I13" s="224">
        <f>IF($B13="","",IF($D13="Không",0,IF($D13="Nhập tay",$H13,IF($D13="Đủ 01 tháng lương",$G13,IF($D13="Tỷ lệ thời gian",$G13*MIN(MAX($E13,0),12)/12,IF($D13="Bình quân 12 tháng",$F13,0))))))</f>
        <v/>
      </c>
      <c r="J13" s="222" t="n"/>
      <c r="K13" s="222" t="n"/>
      <c r="L13" s="127" t="n"/>
      <c r="M13" s="224">
        <f>IF($B13="","",IF($L13="Có",SUM($I13:$K13),0))</f>
        <v/>
      </c>
      <c r="N13" s="127" t="n"/>
      <c r="O13" s="150">
        <f>IF($B13="","",IF(AND($L13="Có",$D13=""),"Chưa chọn cách tính T13; ","")&amp;IF(AND($D13="Tỷ lệ thời gian",OR($G13&lt;=0,$E13&lt;=0)),"Thiếu căn cứ hoặc số tháng; ","")&amp;IF(AND($D13="Đủ 01 tháng lương",$G13&lt;=0),"Thiếu căn cứ T13; ","")&amp;IF(AND($D13="Bình quân 12 tháng",$F13&lt;=0),"Thiếu bình quân 12 tháng; ","")&amp;IF(AND($D13="Nhập tay",$H13&lt;=0),"Thiếu T13 nhập tay; ",""))</f>
        <v/>
      </c>
    </row>
    <row r="14">
      <c r="A14" s="145">
        <f>IF('DM_NHAN_SU'!$B14="","",ROW()-5)</f>
        <v/>
      </c>
      <c r="B14" s="145">
        <f>IF('DM_NHAN_SU'!$B14="","",'DM_NHAN_SU'!B14)</f>
        <v/>
      </c>
      <c r="C14" s="145">
        <f>IF('DM_NHAN_SU'!$B14="","",'DM_NHAN_SU'!C14)</f>
        <v/>
      </c>
      <c r="D14" s="127" t="n"/>
      <c r="E14" s="227" t="n"/>
      <c r="F14" s="222" t="n"/>
      <c r="G14" s="222" t="n"/>
      <c r="H14" s="222" t="n"/>
      <c r="I14" s="224">
        <f>IF($B14="","",IF($D14="Không",0,IF($D14="Nhập tay",$H14,IF($D14="Đủ 01 tháng lương",$G14,IF($D14="Tỷ lệ thời gian",$G14*MIN(MAX($E14,0),12)/12,IF($D14="Bình quân 12 tháng",$F14,0))))))</f>
        <v/>
      </c>
      <c r="J14" s="222" t="n"/>
      <c r="K14" s="222" t="n"/>
      <c r="L14" s="127" t="n"/>
      <c r="M14" s="224">
        <f>IF($B14="","",IF($L14="Có",SUM($I14:$K14),0))</f>
        <v/>
      </c>
      <c r="N14" s="127" t="n"/>
      <c r="O14" s="150">
        <f>IF($B14="","",IF(AND($L14="Có",$D14=""),"Chưa chọn cách tính T13; ","")&amp;IF(AND($D14="Tỷ lệ thời gian",OR($G14&lt;=0,$E14&lt;=0)),"Thiếu căn cứ hoặc số tháng; ","")&amp;IF(AND($D14="Đủ 01 tháng lương",$G14&lt;=0),"Thiếu căn cứ T13; ","")&amp;IF(AND($D14="Bình quân 12 tháng",$F14&lt;=0),"Thiếu bình quân 12 tháng; ","")&amp;IF(AND($D14="Nhập tay",$H14&lt;=0),"Thiếu T13 nhập tay; ",""))</f>
        <v/>
      </c>
    </row>
    <row r="15">
      <c r="A15" s="145">
        <f>IF('DM_NHAN_SU'!$B15="","",ROW()-5)</f>
        <v/>
      </c>
      <c r="B15" s="145">
        <f>IF('DM_NHAN_SU'!$B15="","",'DM_NHAN_SU'!B15)</f>
        <v/>
      </c>
      <c r="C15" s="145">
        <f>IF('DM_NHAN_SU'!$B15="","",'DM_NHAN_SU'!C15)</f>
        <v/>
      </c>
      <c r="D15" s="127" t="n"/>
      <c r="E15" s="227" t="n"/>
      <c r="F15" s="222" t="n"/>
      <c r="G15" s="222" t="n"/>
      <c r="H15" s="222" t="n"/>
      <c r="I15" s="224">
        <f>IF($B15="","",IF($D15="Không",0,IF($D15="Nhập tay",$H15,IF($D15="Đủ 01 tháng lương",$G15,IF($D15="Tỷ lệ thời gian",$G15*MIN(MAX($E15,0),12)/12,IF($D15="Bình quân 12 tháng",$F15,0))))))</f>
        <v/>
      </c>
      <c r="J15" s="222" t="n"/>
      <c r="K15" s="222" t="n"/>
      <c r="L15" s="127" t="n"/>
      <c r="M15" s="224">
        <f>IF($B15="","",IF($L15="Có",SUM($I15:$K15),0))</f>
        <v/>
      </c>
      <c r="N15" s="127" t="n"/>
      <c r="O15" s="150">
        <f>IF($B15="","",IF(AND($L15="Có",$D15=""),"Chưa chọn cách tính T13; ","")&amp;IF(AND($D15="Tỷ lệ thời gian",OR($G15&lt;=0,$E15&lt;=0)),"Thiếu căn cứ hoặc số tháng; ","")&amp;IF(AND($D15="Đủ 01 tháng lương",$G15&lt;=0),"Thiếu căn cứ T13; ","")&amp;IF(AND($D15="Bình quân 12 tháng",$F15&lt;=0),"Thiếu bình quân 12 tháng; ","")&amp;IF(AND($D15="Nhập tay",$H15&lt;=0),"Thiếu T13 nhập tay; ",""))</f>
        <v/>
      </c>
    </row>
    <row r="16">
      <c r="A16" s="145">
        <f>IF('DM_NHAN_SU'!$B16="","",ROW()-5)</f>
        <v/>
      </c>
      <c r="B16" s="145">
        <f>IF('DM_NHAN_SU'!$B16="","",'DM_NHAN_SU'!B16)</f>
        <v/>
      </c>
      <c r="C16" s="145">
        <f>IF('DM_NHAN_SU'!$B16="","",'DM_NHAN_SU'!C16)</f>
        <v/>
      </c>
      <c r="D16" s="127" t="n"/>
      <c r="E16" s="227" t="n"/>
      <c r="F16" s="222" t="n"/>
      <c r="G16" s="222" t="n"/>
      <c r="H16" s="222" t="n"/>
      <c r="I16" s="224">
        <f>IF($B16="","",IF($D16="Không",0,IF($D16="Nhập tay",$H16,IF($D16="Đủ 01 tháng lương",$G16,IF($D16="Tỷ lệ thời gian",$G16*MIN(MAX($E16,0),12)/12,IF($D16="Bình quân 12 tháng",$F16,0))))))</f>
        <v/>
      </c>
      <c r="J16" s="222" t="n"/>
      <c r="K16" s="222" t="n"/>
      <c r="L16" s="127" t="n"/>
      <c r="M16" s="224">
        <f>IF($B16="","",IF($L16="Có",SUM($I16:$K16),0))</f>
        <v/>
      </c>
      <c r="N16" s="127" t="n"/>
      <c r="O16" s="150">
        <f>IF($B16="","",IF(AND($L16="Có",$D16=""),"Chưa chọn cách tính T13; ","")&amp;IF(AND($D16="Tỷ lệ thời gian",OR($G16&lt;=0,$E16&lt;=0)),"Thiếu căn cứ hoặc số tháng; ","")&amp;IF(AND($D16="Đủ 01 tháng lương",$G16&lt;=0),"Thiếu căn cứ T13; ","")&amp;IF(AND($D16="Bình quân 12 tháng",$F16&lt;=0),"Thiếu bình quân 12 tháng; ","")&amp;IF(AND($D16="Nhập tay",$H16&lt;=0),"Thiếu T13 nhập tay; ",""))</f>
        <v/>
      </c>
    </row>
    <row r="17">
      <c r="A17" s="145">
        <f>IF('DM_NHAN_SU'!$B17="","",ROW()-5)</f>
        <v/>
      </c>
      <c r="B17" s="145">
        <f>IF('DM_NHAN_SU'!$B17="","",'DM_NHAN_SU'!B17)</f>
        <v/>
      </c>
      <c r="C17" s="145">
        <f>IF('DM_NHAN_SU'!$B17="","",'DM_NHAN_SU'!C17)</f>
        <v/>
      </c>
      <c r="D17" s="127" t="n"/>
      <c r="E17" s="227" t="n"/>
      <c r="F17" s="222" t="n"/>
      <c r="G17" s="222" t="n"/>
      <c r="H17" s="222" t="n"/>
      <c r="I17" s="224">
        <f>IF($B17="","",IF($D17="Không",0,IF($D17="Nhập tay",$H17,IF($D17="Đủ 01 tháng lương",$G17,IF($D17="Tỷ lệ thời gian",$G17*MIN(MAX($E17,0),12)/12,IF($D17="Bình quân 12 tháng",$F17,0))))))</f>
        <v/>
      </c>
      <c r="J17" s="222" t="n"/>
      <c r="K17" s="222" t="n"/>
      <c r="L17" s="127" t="n"/>
      <c r="M17" s="224">
        <f>IF($B17="","",IF($L17="Có",SUM($I17:$K17),0))</f>
        <v/>
      </c>
      <c r="N17" s="127" t="n"/>
      <c r="O17" s="150">
        <f>IF($B17="","",IF(AND($L17="Có",$D17=""),"Chưa chọn cách tính T13; ","")&amp;IF(AND($D17="Tỷ lệ thời gian",OR($G17&lt;=0,$E17&lt;=0)),"Thiếu căn cứ hoặc số tháng; ","")&amp;IF(AND($D17="Đủ 01 tháng lương",$G17&lt;=0),"Thiếu căn cứ T13; ","")&amp;IF(AND($D17="Bình quân 12 tháng",$F17&lt;=0),"Thiếu bình quân 12 tháng; ","")&amp;IF(AND($D17="Nhập tay",$H17&lt;=0),"Thiếu T13 nhập tay; ",""))</f>
        <v/>
      </c>
    </row>
    <row r="18">
      <c r="A18" s="145">
        <f>IF('DM_NHAN_SU'!$B18="","",ROW()-5)</f>
        <v/>
      </c>
      <c r="B18" s="145">
        <f>IF('DM_NHAN_SU'!$B18="","",'DM_NHAN_SU'!B18)</f>
        <v/>
      </c>
      <c r="C18" s="145">
        <f>IF('DM_NHAN_SU'!$B18="","",'DM_NHAN_SU'!C18)</f>
        <v/>
      </c>
      <c r="D18" s="127" t="n"/>
      <c r="E18" s="227" t="n"/>
      <c r="F18" s="222" t="n"/>
      <c r="G18" s="222" t="n"/>
      <c r="H18" s="222" t="n"/>
      <c r="I18" s="224">
        <f>IF($B18="","",IF($D18="Không",0,IF($D18="Nhập tay",$H18,IF($D18="Đủ 01 tháng lương",$G18,IF($D18="Tỷ lệ thời gian",$G18*MIN(MAX($E18,0),12)/12,IF($D18="Bình quân 12 tháng",$F18,0))))))</f>
        <v/>
      </c>
      <c r="J18" s="222" t="n"/>
      <c r="K18" s="222" t="n"/>
      <c r="L18" s="127" t="n"/>
      <c r="M18" s="224">
        <f>IF($B18="","",IF($L18="Có",SUM($I18:$K18),0))</f>
        <v/>
      </c>
      <c r="N18" s="127" t="n"/>
      <c r="O18" s="150">
        <f>IF($B18="","",IF(AND($L18="Có",$D18=""),"Chưa chọn cách tính T13; ","")&amp;IF(AND($D18="Tỷ lệ thời gian",OR($G18&lt;=0,$E18&lt;=0)),"Thiếu căn cứ hoặc số tháng; ","")&amp;IF(AND($D18="Đủ 01 tháng lương",$G18&lt;=0),"Thiếu căn cứ T13; ","")&amp;IF(AND($D18="Bình quân 12 tháng",$F18&lt;=0),"Thiếu bình quân 12 tháng; ","")&amp;IF(AND($D18="Nhập tay",$H18&lt;=0),"Thiếu T13 nhập tay; ",""))</f>
        <v/>
      </c>
    </row>
    <row r="19">
      <c r="A19" s="145">
        <f>IF('DM_NHAN_SU'!$B19="","",ROW()-5)</f>
        <v/>
      </c>
      <c r="B19" s="145">
        <f>IF('DM_NHAN_SU'!$B19="","",'DM_NHAN_SU'!B19)</f>
        <v/>
      </c>
      <c r="C19" s="145">
        <f>IF('DM_NHAN_SU'!$B19="","",'DM_NHAN_SU'!C19)</f>
        <v/>
      </c>
      <c r="D19" s="127" t="n"/>
      <c r="E19" s="227" t="n"/>
      <c r="F19" s="222" t="n"/>
      <c r="G19" s="222" t="n"/>
      <c r="H19" s="222" t="n"/>
      <c r="I19" s="224">
        <f>IF($B19="","",IF($D19="Không",0,IF($D19="Nhập tay",$H19,IF($D19="Đủ 01 tháng lương",$G19,IF($D19="Tỷ lệ thời gian",$G19*MIN(MAX($E19,0),12)/12,IF($D19="Bình quân 12 tháng",$F19,0))))))</f>
        <v/>
      </c>
      <c r="J19" s="222" t="n"/>
      <c r="K19" s="222" t="n"/>
      <c r="L19" s="127" t="n"/>
      <c r="M19" s="224">
        <f>IF($B19="","",IF($L19="Có",SUM($I19:$K19),0))</f>
        <v/>
      </c>
      <c r="N19" s="127" t="n"/>
      <c r="O19" s="150">
        <f>IF($B19="","",IF(AND($L19="Có",$D19=""),"Chưa chọn cách tính T13; ","")&amp;IF(AND($D19="Tỷ lệ thời gian",OR($G19&lt;=0,$E19&lt;=0)),"Thiếu căn cứ hoặc số tháng; ","")&amp;IF(AND($D19="Đủ 01 tháng lương",$G19&lt;=0),"Thiếu căn cứ T13; ","")&amp;IF(AND($D19="Bình quân 12 tháng",$F19&lt;=0),"Thiếu bình quân 12 tháng; ","")&amp;IF(AND($D19="Nhập tay",$H19&lt;=0),"Thiếu T13 nhập tay; ",""))</f>
        <v/>
      </c>
    </row>
    <row r="20">
      <c r="A20" s="145">
        <f>IF('DM_NHAN_SU'!$B20="","",ROW()-5)</f>
        <v/>
      </c>
      <c r="B20" s="145">
        <f>IF('DM_NHAN_SU'!$B20="","",'DM_NHAN_SU'!B20)</f>
        <v/>
      </c>
      <c r="C20" s="145">
        <f>IF('DM_NHAN_SU'!$B20="","",'DM_NHAN_SU'!C20)</f>
        <v/>
      </c>
      <c r="D20" s="127" t="n"/>
      <c r="E20" s="227" t="n"/>
      <c r="F20" s="222" t="n"/>
      <c r="G20" s="222" t="n"/>
      <c r="H20" s="222" t="n"/>
      <c r="I20" s="224">
        <f>IF($B20="","",IF($D20="Không",0,IF($D20="Nhập tay",$H20,IF($D20="Đủ 01 tháng lương",$G20,IF($D20="Tỷ lệ thời gian",$G20*MIN(MAX($E20,0),12)/12,IF($D20="Bình quân 12 tháng",$F20,0))))))</f>
        <v/>
      </c>
      <c r="J20" s="222" t="n"/>
      <c r="K20" s="222" t="n"/>
      <c r="L20" s="127" t="n"/>
      <c r="M20" s="224">
        <f>IF($B20="","",IF($L20="Có",SUM($I20:$K20),0))</f>
        <v/>
      </c>
      <c r="N20" s="127" t="n"/>
      <c r="O20" s="150">
        <f>IF($B20="","",IF(AND($L20="Có",$D20=""),"Chưa chọn cách tính T13; ","")&amp;IF(AND($D20="Tỷ lệ thời gian",OR($G20&lt;=0,$E20&lt;=0)),"Thiếu căn cứ hoặc số tháng; ","")&amp;IF(AND($D20="Đủ 01 tháng lương",$G20&lt;=0),"Thiếu căn cứ T13; ","")&amp;IF(AND($D20="Bình quân 12 tháng",$F20&lt;=0),"Thiếu bình quân 12 tháng; ","")&amp;IF(AND($D20="Nhập tay",$H20&lt;=0),"Thiếu T13 nhập tay; ",""))</f>
        <v/>
      </c>
    </row>
    <row r="21">
      <c r="A21" s="145">
        <f>IF('DM_NHAN_SU'!$B21="","",ROW()-5)</f>
        <v/>
      </c>
      <c r="B21" s="145">
        <f>IF('DM_NHAN_SU'!$B21="","",'DM_NHAN_SU'!B21)</f>
        <v/>
      </c>
      <c r="C21" s="145">
        <f>IF('DM_NHAN_SU'!$B21="","",'DM_NHAN_SU'!C21)</f>
        <v/>
      </c>
      <c r="D21" s="127" t="n"/>
      <c r="E21" s="227" t="n"/>
      <c r="F21" s="222" t="n"/>
      <c r="G21" s="222" t="n"/>
      <c r="H21" s="222" t="n"/>
      <c r="I21" s="224">
        <f>IF($B21="","",IF($D21="Không",0,IF($D21="Nhập tay",$H21,IF($D21="Đủ 01 tháng lương",$G21,IF($D21="Tỷ lệ thời gian",$G21*MIN(MAX($E21,0),12)/12,IF($D21="Bình quân 12 tháng",$F21,0))))))</f>
        <v/>
      </c>
      <c r="J21" s="222" t="n"/>
      <c r="K21" s="222" t="n"/>
      <c r="L21" s="127" t="n"/>
      <c r="M21" s="224">
        <f>IF($B21="","",IF($L21="Có",SUM($I21:$K21),0))</f>
        <v/>
      </c>
      <c r="N21" s="127" t="n"/>
      <c r="O21" s="150">
        <f>IF($B21="","",IF(AND($L21="Có",$D21=""),"Chưa chọn cách tính T13; ","")&amp;IF(AND($D21="Tỷ lệ thời gian",OR($G21&lt;=0,$E21&lt;=0)),"Thiếu căn cứ hoặc số tháng; ","")&amp;IF(AND($D21="Đủ 01 tháng lương",$G21&lt;=0),"Thiếu căn cứ T13; ","")&amp;IF(AND($D21="Bình quân 12 tháng",$F21&lt;=0),"Thiếu bình quân 12 tháng; ","")&amp;IF(AND($D21="Nhập tay",$H21&lt;=0),"Thiếu T13 nhập tay; ",""))</f>
        <v/>
      </c>
    </row>
    <row r="22">
      <c r="A22" s="145">
        <f>IF('DM_NHAN_SU'!$B22="","",ROW()-5)</f>
        <v/>
      </c>
      <c r="B22" s="145">
        <f>IF('DM_NHAN_SU'!$B22="","",'DM_NHAN_SU'!B22)</f>
        <v/>
      </c>
      <c r="C22" s="145">
        <f>IF('DM_NHAN_SU'!$B22="","",'DM_NHAN_SU'!C22)</f>
        <v/>
      </c>
      <c r="D22" s="127" t="n"/>
      <c r="E22" s="227" t="n"/>
      <c r="F22" s="222" t="n"/>
      <c r="G22" s="222" t="n"/>
      <c r="H22" s="222" t="n"/>
      <c r="I22" s="224">
        <f>IF($B22="","",IF($D22="Không",0,IF($D22="Nhập tay",$H22,IF($D22="Đủ 01 tháng lương",$G22,IF($D22="Tỷ lệ thời gian",$G22*MIN(MAX($E22,0),12)/12,IF($D22="Bình quân 12 tháng",$F22,0))))))</f>
        <v/>
      </c>
      <c r="J22" s="222" t="n"/>
      <c r="K22" s="222" t="n"/>
      <c r="L22" s="127" t="n"/>
      <c r="M22" s="224">
        <f>IF($B22="","",IF($L22="Có",SUM($I22:$K22),0))</f>
        <v/>
      </c>
      <c r="N22" s="127" t="n"/>
      <c r="O22" s="150">
        <f>IF($B22="","",IF(AND($L22="Có",$D22=""),"Chưa chọn cách tính T13; ","")&amp;IF(AND($D22="Tỷ lệ thời gian",OR($G22&lt;=0,$E22&lt;=0)),"Thiếu căn cứ hoặc số tháng; ","")&amp;IF(AND($D22="Đủ 01 tháng lương",$G22&lt;=0),"Thiếu căn cứ T13; ","")&amp;IF(AND($D22="Bình quân 12 tháng",$F22&lt;=0),"Thiếu bình quân 12 tháng; ","")&amp;IF(AND($D22="Nhập tay",$H22&lt;=0),"Thiếu T13 nhập tay; ",""))</f>
        <v/>
      </c>
    </row>
    <row r="23">
      <c r="A23" s="145">
        <f>IF('DM_NHAN_SU'!$B23="","",ROW()-5)</f>
        <v/>
      </c>
      <c r="B23" s="145">
        <f>IF('DM_NHAN_SU'!$B23="","",'DM_NHAN_SU'!B23)</f>
        <v/>
      </c>
      <c r="C23" s="145">
        <f>IF('DM_NHAN_SU'!$B23="","",'DM_NHAN_SU'!C23)</f>
        <v/>
      </c>
      <c r="D23" s="127" t="n"/>
      <c r="E23" s="227" t="n"/>
      <c r="F23" s="222" t="n"/>
      <c r="G23" s="222" t="n"/>
      <c r="H23" s="222" t="n"/>
      <c r="I23" s="224">
        <f>IF($B23="","",IF($D23="Không",0,IF($D23="Nhập tay",$H23,IF($D23="Đủ 01 tháng lương",$G23,IF($D23="Tỷ lệ thời gian",$G23*MIN(MAX($E23,0),12)/12,IF($D23="Bình quân 12 tháng",$F23,0))))))</f>
        <v/>
      </c>
      <c r="J23" s="222" t="n"/>
      <c r="K23" s="222" t="n"/>
      <c r="L23" s="127" t="n"/>
      <c r="M23" s="224">
        <f>IF($B23="","",IF($L23="Có",SUM($I23:$K23),0))</f>
        <v/>
      </c>
      <c r="N23" s="127" t="n"/>
      <c r="O23" s="150">
        <f>IF($B23="","",IF(AND($L23="Có",$D23=""),"Chưa chọn cách tính T13; ","")&amp;IF(AND($D23="Tỷ lệ thời gian",OR($G23&lt;=0,$E23&lt;=0)),"Thiếu căn cứ hoặc số tháng; ","")&amp;IF(AND($D23="Đủ 01 tháng lương",$G23&lt;=0),"Thiếu căn cứ T13; ","")&amp;IF(AND($D23="Bình quân 12 tháng",$F23&lt;=0),"Thiếu bình quân 12 tháng; ","")&amp;IF(AND($D23="Nhập tay",$H23&lt;=0),"Thiếu T13 nhập tay; ",""))</f>
        <v/>
      </c>
    </row>
    <row r="24">
      <c r="A24" s="145">
        <f>IF('DM_NHAN_SU'!$B24="","",ROW()-5)</f>
        <v/>
      </c>
      <c r="B24" s="145">
        <f>IF('DM_NHAN_SU'!$B24="","",'DM_NHAN_SU'!B24)</f>
        <v/>
      </c>
      <c r="C24" s="145">
        <f>IF('DM_NHAN_SU'!$B24="","",'DM_NHAN_SU'!C24)</f>
        <v/>
      </c>
      <c r="D24" s="127" t="n"/>
      <c r="E24" s="227" t="n"/>
      <c r="F24" s="222" t="n"/>
      <c r="G24" s="222" t="n"/>
      <c r="H24" s="222" t="n"/>
      <c r="I24" s="224">
        <f>IF($B24="","",IF($D24="Không",0,IF($D24="Nhập tay",$H24,IF($D24="Đủ 01 tháng lương",$G24,IF($D24="Tỷ lệ thời gian",$G24*MIN(MAX($E24,0),12)/12,IF($D24="Bình quân 12 tháng",$F24,0))))))</f>
        <v/>
      </c>
      <c r="J24" s="222" t="n"/>
      <c r="K24" s="222" t="n"/>
      <c r="L24" s="127" t="n"/>
      <c r="M24" s="224">
        <f>IF($B24="","",IF($L24="Có",SUM($I24:$K24),0))</f>
        <v/>
      </c>
      <c r="N24" s="127" t="n"/>
      <c r="O24" s="150">
        <f>IF($B24="","",IF(AND($L24="Có",$D24=""),"Chưa chọn cách tính T13; ","")&amp;IF(AND($D24="Tỷ lệ thời gian",OR($G24&lt;=0,$E24&lt;=0)),"Thiếu căn cứ hoặc số tháng; ","")&amp;IF(AND($D24="Đủ 01 tháng lương",$G24&lt;=0),"Thiếu căn cứ T13; ","")&amp;IF(AND($D24="Bình quân 12 tháng",$F24&lt;=0),"Thiếu bình quân 12 tháng; ","")&amp;IF(AND($D24="Nhập tay",$H24&lt;=0),"Thiếu T13 nhập tay; ",""))</f>
        <v/>
      </c>
    </row>
    <row r="25">
      <c r="A25" s="145">
        <f>IF('DM_NHAN_SU'!$B25="","",ROW()-5)</f>
        <v/>
      </c>
      <c r="B25" s="145">
        <f>IF('DM_NHAN_SU'!$B25="","",'DM_NHAN_SU'!B25)</f>
        <v/>
      </c>
      <c r="C25" s="145">
        <f>IF('DM_NHAN_SU'!$B25="","",'DM_NHAN_SU'!C25)</f>
        <v/>
      </c>
      <c r="D25" s="127" t="n"/>
      <c r="E25" s="227" t="n"/>
      <c r="F25" s="222" t="n"/>
      <c r="G25" s="222" t="n"/>
      <c r="H25" s="222" t="n"/>
      <c r="I25" s="224">
        <f>IF($B25="","",IF($D25="Không",0,IF($D25="Nhập tay",$H25,IF($D25="Đủ 01 tháng lương",$G25,IF($D25="Tỷ lệ thời gian",$G25*MIN(MAX($E25,0),12)/12,IF($D25="Bình quân 12 tháng",$F25,0))))))</f>
        <v/>
      </c>
      <c r="J25" s="222" t="n"/>
      <c r="K25" s="222" t="n"/>
      <c r="L25" s="127" t="n"/>
      <c r="M25" s="224">
        <f>IF($B25="","",IF($L25="Có",SUM($I25:$K25),0))</f>
        <v/>
      </c>
      <c r="N25" s="127" t="n"/>
      <c r="O25" s="150">
        <f>IF($B25="","",IF(AND($L25="Có",$D25=""),"Chưa chọn cách tính T13; ","")&amp;IF(AND($D25="Tỷ lệ thời gian",OR($G25&lt;=0,$E25&lt;=0)),"Thiếu căn cứ hoặc số tháng; ","")&amp;IF(AND($D25="Đủ 01 tháng lương",$G25&lt;=0),"Thiếu căn cứ T13; ","")&amp;IF(AND($D25="Bình quân 12 tháng",$F25&lt;=0),"Thiếu bình quân 12 tháng; ","")&amp;IF(AND($D25="Nhập tay",$H25&lt;=0),"Thiếu T13 nhập tay; ",""))</f>
        <v/>
      </c>
    </row>
    <row r="26">
      <c r="A26" s="145">
        <f>IF('DM_NHAN_SU'!$B26="","",ROW()-5)</f>
        <v/>
      </c>
      <c r="B26" s="145">
        <f>IF('DM_NHAN_SU'!$B26="","",'DM_NHAN_SU'!B26)</f>
        <v/>
      </c>
      <c r="C26" s="145">
        <f>IF('DM_NHAN_SU'!$B26="","",'DM_NHAN_SU'!C26)</f>
        <v/>
      </c>
      <c r="D26" s="127" t="n"/>
      <c r="E26" s="227" t="n"/>
      <c r="F26" s="222" t="n"/>
      <c r="G26" s="222" t="n"/>
      <c r="H26" s="222" t="n"/>
      <c r="I26" s="224">
        <f>IF($B26="","",IF($D26="Không",0,IF($D26="Nhập tay",$H26,IF($D26="Đủ 01 tháng lương",$G26,IF($D26="Tỷ lệ thời gian",$G26*MIN(MAX($E26,0),12)/12,IF($D26="Bình quân 12 tháng",$F26,0))))))</f>
        <v/>
      </c>
      <c r="J26" s="222" t="n"/>
      <c r="K26" s="222" t="n"/>
      <c r="L26" s="127" t="n"/>
      <c r="M26" s="224">
        <f>IF($B26="","",IF($L26="Có",SUM($I26:$K26),0))</f>
        <v/>
      </c>
      <c r="N26" s="127" t="n"/>
      <c r="O26" s="150">
        <f>IF($B26="","",IF(AND($L26="Có",$D26=""),"Chưa chọn cách tính T13; ","")&amp;IF(AND($D26="Tỷ lệ thời gian",OR($G26&lt;=0,$E26&lt;=0)),"Thiếu căn cứ hoặc số tháng; ","")&amp;IF(AND($D26="Đủ 01 tháng lương",$G26&lt;=0),"Thiếu căn cứ T13; ","")&amp;IF(AND($D26="Bình quân 12 tháng",$F26&lt;=0),"Thiếu bình quân 12 tháng; ","")&amp;IF(AND($D26="Nhập tay",$H26&lt;=0),"Thiếu T13 nhập tay; ",""))</f>
        <v/>
      </c>
    </row>
    <row r="27">
      <c r="A27" s="145">
        <f>IF('DM_NHAN_SU'!$B27="","",ROW()-5)</f>
        <v/>
      </c>
      <c r="B27" s="145">
        <f>IF('DM_NHAN_SU'!$B27="","",'DM_NHAN_SU'!B27)</f>
        <v/>
      </c>
      <c r="C27" s="145">
        <f>IF('DM_NHAN_SU'!$B27="","",'DM_NHAN_SU'!C27)</f>
        <v/>
      </c>
      <c r="D27" s="127" t="n"/>
      <c r="E27" s="227" t="n"/>
      <c r="F27" s="222" t="n"/>
      <c r="G27" s="222" t="n"/>
      <c r="H27" s="222" t="n"/>
      <c r="I27" s="224">
        <f>IF($B27="","",IF($D27="Không",0,IF($D27="Nhập tay",$H27,IF($D27="Đủ 01 tháng lương",$G27,IF($D27="Tỷ lệ thời gian",$G27*MIN(MAX($E27,0),12)/12,IF($D27="Bình quân 12 tháng",$F27,0))))))</f>
        <v/>
      </c>
      <c r="J27" s="222" t="n"/>
      <c r="K27" s="222" t="n"/>
      <c r="L27" s="127" t="n"/>
      <c r="M27" s="224">
        <f>IF($B27="","",IF($L27="Có",SUM($I27:$K27),0))</f>
        <v/>
      </c>
      <c r="N27" s="127" t="n"/>
      <c r="O27" s="150">
        <f>IF($B27="","",IF(AND($L27="Có",$D27=""),"Chưa chọn cách tính T13; ","")&amp;IF(AND($D27="Tỷ lệ thời gian",OR($G27&lt;=0,$E27&lt;=0)),"Thiếu căn cứ hoặc số tháng; ","")&amp;IF(AND($D27="Đủ 01 tháng lương",$G27&lt;=0),"Thiếu căn cứ T13; ","")&amp;IF(AND($D27="Bình quân 12 tháng",$F27&lt;=0),"Thiếu bình quân 12 tháng; ","")&amp;IF(AND($D27="Nhập tay",$H27&lt;=0),"Thiếu T13 nhập tay; ",""))</f>
        <v/>
      </c>
    </row>
    <row r="28">
      <c r="A28" s="145">
        <f>IF('DM_NHAN_SU'!$B28="","",ROW()-5)</f>
        <v/>
      </c>
      <c r="B28" s="145">
        <f>IF('DM_NHAN_SU'!$B28="","",'DM_NHAN_SU'!B28)</f>
        <v/>
      </c>
      <c r="C28" s="145">
        <f>IF('DM_NHAN_SU'!$B28="","",'DM_NHAN_SU'!C28)</f>
        <v/>
      </c>
      <c r="D28" s="127" t="n"/>
      <c r="E28" s="227" t="n"/>
      <c r="F28" s="222" t="n"/>
      <c r="G28" s="222" t="n"/>
      <c r="H28" s="222" t="n"/>
      <c r="I28" s="224">
        <f>IF($B28="","",IF($D28="Không",0,IF($D28="Nhập tay",$H28,IF($D28="Đủ 01 tháng lương",$G28,IF($D28="Tỷ lệ thời gian",$G28*MIN(MAX($E28,0),12)/12,IF($D28="Bình quân 12 tháng",$F28,0))))))</f>
        <v/>
      </c>
      <c r="J28" s="222" t="n"/>
      <c r="K28" s="222" t="n"/>
      <c r="L28" s="127" t="n"/>
      <c r="M28" s="224">
        <f>IF($B28="","",IF($L28="Có",SUM($I28:$K28),0))</f>
        <v/>
      </c>
      <c r="N28" s="127" t="n"/>
      <c r="O28" s="150">
        <f>IF($B28="","",IF(AND($L28="Có",$D28=""),"Chưa chọn cách tính T13; ","")&amp;IF(AND($D28="Tỷ lệ thời gian",OR($G28&lt;=0,$E28&lt;=0)),"Thiếu căn cứ hoặc số tháng; ","")&amp;IF(AND($D28="Đủ 01 tháng lương",$G28&lt;=0),"Thiếu căn cứ T13; ","")&amp;IF(AND($D28="Bình quân 12 tháng",$F28&lt;=0),"Thiếu bình quân 12 tháng; ","")&amp;IF(AND($D28="Nhập tay",$H28&lt;=0),"Thiếu T13 nhập tay; ",""))</f>
        <v/>
      </c>
    </row>
    <row r="29">
      <c r="A29" s="145">
        <f>IF('DM_NHAN_SU'!$B29="","",ROW()-5)</f>
        <v/>
      </c>
      <c r="B29" s="145">
        <f>IF('DM_NHAN_SU'!$B29="","",'DM_NHAN_SU'!B29)</f>
        <v/>
      </c>
      <c r="C29" s="145">
        <f>IF('DM_NHAN_SU'!$B29="","",'DM_NHAN_SU'!C29)</f>
        <v/>
      </c>
      <c r="D29" s="127" t="n"/>
      <c r="E29" s="227" t="n"/>
      <c r="F29" s="222" t="n"/>
      <c r="G29" s="222" t="n"/>
      <c r="H29" s="222" t="n"/>
      <c r="I29" s="224">
        <f>IF($B29="","",IF($D29="Không",0,IF($D29="Nhập tay",$H29,IF($D29="Đủ 01 tháng lương",$G29,IF($D29="Tỷ lệ thời gian",$G29*MIN(MAX($E29,0),12)/12,IF($D29="Bình quân 12 tháng",$F29,0))))))</f>
        <v/>
      </c>
      <c r="J29" s="222" t="n"/>
      <c r="K29" s="222" t="n"/>
      <c r="L29" s="127" t="n"/>
      <c r="M29" s="224">
        <f>IF($B29="","",IF($L29="Có",SUM($I29:$K29),0))</f>
        <v/>
      </c>
      <c r="N29" s="127" t="n"/>
      <c r="O29" s="150">
        <f>IF($B29="","",IF(AND($L29="Có",$D29=""),"Chưa chọn cách tính T13; ","")&amp;IF(AND($D29="Tỷ lệ thời gian",OR($G29&lt;=0,$E29&lt;=0)),"Thiếu căn cứ hoặc số tháng; ","")&amp;IF(AND($D29="Đủ 01 tháng lương",$G29&lt;=0),"Thiếu căn cứ T13; ","")&amp;IF(AND($D29="Bình quân 12 tháng",$F29&lt;=0),"Thiếu bình quân 12 tháng; ","")&amp;IF(AND($D29="Nhập tay",$H29&lt;=0),"Thiếu T13 nhập tay; ",""))</f>
        <v/>
      </c>
    </row>
    <row r="30">
      <c r="A30" s="145">
        <f>IF('DM_NHAN_SU'!$B30="","",ROW()-5)</f>
        <v/>
      </c>
      <c r="B30" s="145">
        <f>IF('DM_NHAN_SU'!$B30="","",'DM_NHAN_SU'!B30)</f>
        <v/>
      </c>
      <c r="C30" s="145">
        <f>IF('DM_NHAN_SU'!$B30="","",'DM_NHAN_SU'!C30)</f>
        <v/>
      </c>
      <c r="D30" s="127" t="n"/>
      <c r="E30" s="227" t="n"/>
      <c r="F30" s="222" t="n"/>
      <c r="G30" s="222" t="n"/>
      <c r="H30" s="222" t="n"/>
      <c r="I30" s="224">
        <f>IF($B30="","",IF($D30="Không",0,IF($D30="Nhập tay",$H30,IF($D30="Đủ 01 tháng lương",$G30,IF($D30="Tỷ lệ thời gian",$G30*MIN(MAX($E30,0),12)/12,IF($D30="Bình quân 12 tháng",$F30,0))))))</f>
        <v/>
      </c>
      <c r="J30" s="222" t="n"/>
      <c r="K30" s="222" t="n"/>
      <c r="L30" s="127" t="n"/>
      <c r="M30" s="224">
        <f>IF($B30="","",IF($L30="Có",SUM($I30:$K30),0))</f>
        <v/>
      </c>
      <c r="N30" s="127" t="n"/>
      <c r="O30" s="150">
        <f>IF($B30="","",IF(AND($L30="Có",$D30=""),"Chưa chọn cách tính T13; ","")&amp;IF(AND($D30="Tỷ lệ thời gian",OR($G30&lt;=0,$E30&lt;=0)),"Thiếu căn cứ hoặc số tháng; ","")&amp;IF(AND($D30="Đủ 01 tháng lương",$G30&lt;=0),"Thiếu căn cứ T13; ","")&amp;IF(AND($D30="Bình quân 12 tháng",$F30&lt;=0),"Thiếu bình quân 12 tháng; ","")&amp;IF(AND($D30="Nhập tay",$H30&lt;=0),"Thiếu T13 nhập tay; ",""))</f>
        <v/>
      </c>
    </row>
    <row r="31">
      <c r="A31" s="145">
        <f>IF('DM_NHAN_SU'!$B31="","",ROW()-5)</f>
        <v/>
      </c>
      <c r="B31" s="145">
        <f>IF('DM_NHAN_SU'!$B31="","",'DM_NHAN_SU'!B31)</f>
        <v/>
      </c>
      <c r="C31" s="145">
        <f>IF('DM_NHAN_SU'!$B31="","",'DM_NHAN_SU'!C31)</f>
        <v/>
      </c>
      <c r="D31" s="127" t="n"/>
      <c r="E31" s="227" t="n"/>
      <c r="F31" s="222" t="n"/>
      <c r="G31" s="222" t="n"/>
      <c r="H31" s="222" t="n"/>
      <c r="I31" s="224">
        <f>IF($B31="","",IF($D31="Không",0,IF($D31="Nhập tay",$H31,IF($D31="Đủ 01 tháng lương",$G31,IF($D31="Tỷ lệ thời gian",$G31*MIN(MAX($E31,0),12)/12,IF($D31="Bình quân 12 tháng",$F31,0))))))</f>
        <v/>
      </c>
      <c r="J31" s="222" t="n"/>
      <c r="K31" s="222" t="n"/>
      <c r="L31" s="127" t="n"/>
      <c r="M31" s="224">
        <f>IF($B31="","",IF($L31="Có",SUM($I31:$K31),0))</f>
        <v/>
      </c>
      <c r="N31" s="127" t="n"/>
      <c r="O31" s="150">
        <f>IF($B31="","",IF(AND($L31="Có",$D31=""),"Chưa chọn cách tính T13; ","")&amp;IF(AND($D31="Tỷ lệ thời gian",OR($G31&lt;=0,$E31&lt;=0)),"Thiếu căn cứ hoặc số tháng; ","")&amp;IF(AND($D31="Đủ 01 tháng lương",$G31&lt;=0),"Thiếu căn cứ T13; ","")&amp;IF(AND($D31="Bình quân 12 tháng",$F31&lt;=0),"Thiếu bình quân 12 tháng; ","")&amp;IF(AND($D31="Nhập tay",$H31&lt;=0),"Thiếu T13 nhập tay; ",""))</f>
        <v/>
      </c>
    </row>
    <row r="32">
      <c r="A32" s="145">
        <f>IF('DM_NHAN_SU'!$B32="","",ROW()-5)</f>
        <v/>
      </c>
      <c r="B32" s="145">
        <f>IF('DM_NHAN_SU'!$B32="","",'DM_NHAN_SU'!B32)</f>
        <v/>
      </c>
      <c r="C32" s="145">
        <f>IF('DM_NHAN_SU'!$B32="","",'DM_NHAN_SU'!C32)</f>
        <v/>
      </c>
      <c r="D32" s="127" t="n"/>
      <c r="E32" s="227" t="n"/>
      <c r="F32" s="222" t="n"/>
      <c r="G32" s="222" t="n"/>
      <c r="H32" s="222" t="n"/>
      <c r="I32" s="224">
        <f>IF($B32="","",IF($D32="Không",0,IF($D32="Nhập tay",$H32,IF($D32="Đủ 01 tháng lương",$G32,IF($D32="Tỷ lệ thời gian",$G32*MIN(MAX($E32,0),12)/12,IF($D32="Bình quân 12 tháng",$F32,0))))))</f>
        <v/>
      </c>
      <c r="J32" s="222" t="n"/>
      <c r="K32" s="222" t="n"/>
      <c r="L32" s="127" t="n"/>
      <c r="M32" s="224">
        <f>IF($B32="","",IF($L32="Có",SUM($I32:$K32),0))</f>
        <v/>
      </c>
      <c r="N32" s="127" t="n"/>
      <c r="O32" s="150">
        <f>IF($B32="","",IF(AND($L32="Có",$D32=""),"Chưa chọn cách tính T13; ","")&amp;IF(AND($D32="Tỷ lệ thời gian",OR($G32&lt;=0,$E32&lt;=0)),"Thiếu căn cứ hoặc số tháng; ","")&amp;IF(AND($D32="Đủ 01 tháng lương",$G32&lt;=0),"Thiếu căn cứ T13; ","")&amp;IF(AND($D32="Bình quân 12 tháng",$F32&lt;=0),"Thiếu bình quân 12 tháng; ","")&amp;IF(AND($D32="Nhập tay",$H32&lt;=0),"Thiếu T13 nhập tay; ",""))</f>
        <v/>
      </c>
    </row>
    <row r="33">
      <c r="A33" s="145">
        <f>IF('DM_NHAN_SU'!$B33="","",ROW()-5)</f>
        <v/>
      </c>
      <c r="B33" s="145">
        <f>IF('DM_NHAN_SU'!$B33="","",'DM_NHAN_SU'!B33)</f>
        <v/>
      </c>
      <c r="C33" s="145">
        <f>IF('DM_NHAN_SU'!$B33="","",'DM_NHAN_SU'!C33)</f>
        <v/>
      </c>
      <c r="D33" s="127" t="n"/>
      <c r="E33" s="227" t="n"/>
      <c r="F33" s="222" t="n"/>
      <c r="G33" s="222" t="n"/>
      <c r="H33" s="222" t="n"/>
      <c r="I33" s="224">
        <f>IF($B33="","",IF($D33="Không",0,IF($D33="Nhập tay",$H33,IF($D33="Đủ 01 tháng lương",$G33,IF($D33="Tỷ lệ thời gian",$G33*MIN(MAX($E33,0),12)/12,IF($D33="Bình quân 12 tháng",$F33,0))))))</f>
        <v/>
      </c>
      <c r="J33" s="222" t="n"/>
      <c r="K33" s="222" t="n"/>
      <c r="L33" s="127" t="n"/>
      <c r="M33" s="224">
        <f>IF($B33="","",IF($L33="Có",SUM($I33:$K33),0))</f>
        <v/>
      </c>
      <c r="N33" s="127" t="n"/>
      <c r="O33" s="150">
        <f>IF($B33="","",IF(AND($L33="Có",$D33=""),"Chưa chọn cách tính T13; ","")&amp;IF(AND($D33="Tỷ lệ thời gian",OR($G33&lt;=0,$E33&lt;=0)),"Thiếu căn cứ hoặc số tháng; ","")&amp;IF(AND($D33="Đủ 01 tháng lương",$G33&lt;=0),"Thiếu căn cứ T13; ","")&amp;IF(AND($D33="Bình quân 12 tháng",$F33&lt;=0),"Thiếu bình quân 12 tháng; ","")&amp;IF(AND($D33="Nhập tay",$H33&lt;=0),"Thiếu T13 nhập tay; ",""))</f>
        <v/>
      </c>
    </row>
    <row r="34">
      <c r="A34" s="145">
        <f>IF('DM_NHAN_SU'!$B34="","",ROW()-5)</f>
        <v/>
      </c>
      <c r="B34" s="145">
        <f>IF('DM_NHAN_SU'!$B34="","",'DM_NHAN_SU'!B34)</f>
        <v/>
      </c>
      <c r="C34" s="145">
        <f>IF('DM_NHAN_SU'!$B34="","",'DM_NHAN_SU'!C34)</f>
        <v/>
      </c>
      <c r="D34" s="127" t="n"/>
      <c r="E34" s="227" t="n"/>
      <c r="F34" s="222" t="n"/>
      <c r="G34" s="222" t="n"/>
      <c r="H34" s="222" t="n"/>
      <c r="I34" s="224">
        <f>IF($B34="","",IF($D34="Không",0,IF($D34="Nhập tay",$H34,IF($D34="Đủ 01 tháng lương",$G34,IF($D34="Tỷ lệ thời gian",$G34*MIN(MAX($E34,0),12)/12,IF($D34="Bình quân 12 tháng",$F34,0))))))</f>
        <v/>
      </c>
      <c r="J34" s="222" t="n"/>
      <c r="K34" s="222" t="n"/>
      <c r="L34" s="127" t="n"/>
      <c r="M34" s="224">
        <f>IF($B34="","",IF($L34="Có",SUM($I34:$K34),0))</f>
        <v/>
      </c>
      <c r="N34" s="127" t="n"/>
      <c r="O34" s="150">
        <f>IF($B34="","",IF(AND($L34="Có",$D34=""),"Chưa chọn cách tính T13; ","")&amp;IF(AND($D34="Tỷ lệ thời gian",OR($G34&lt;=0,$E34&lt;=0)),"Thiếu căn cứ hoặc số tháng; ","")&amp;IF(AND($D34="Đủ 01 tháng lương",$G34&lt;=0),"Thiếu căn cứ T13; ","")&amp;IF(AND($D34="Bình quân 12 tháng",$F34&lt;=0),"Thiếu bình quân 12 tháng; ","")&amp;IF(AND($D34="Nhập tay",$H34&lt;=0),"Thiếu T13 nhập tay; ",""))</f>
        <v/>
      </c>
    </row>
    <row r="35">
      <c r="A35" s="145">
        <f>IF('DM_NHAN_SU'!$B35="","",ROW()-5)</f>
        <v/>
      </c>
      <c r="B35" s="145">
        <f>IF('DM_NHAN_SU'!$B35="","",'DM_NHAN_SU'!B35)</f>
        <v/>
      </c>
      <c r="C35" s="145">
        <f>IF('DM_NHAN_SU'!$B35="","",'DM_NHAN_SU'!C35)</f>
        <v/>
      </c>
      <c r="D35" s="127" t="n"/>
      <c r="E35" s="227" t="n"/>
      <c r="F35" s="222" t="n"/>
      <c r="G35" s="222" t="n"/>
      <c r="H35" s="222" t="n"/>
      <c r="I35" s="224">
        <f>IF($B35="","",IF($D35="Không",0,IF($D35="Nhập tay",$H35,IF($D35="Đủ 01 tháng lương",$G35,IF($D35="Tỷ lệ thời gian",$G35*MIN(MAX($E35,0),12)/12,IF($D35="Bình quân 12 tháng",$F35,0))))))</f>
        <v/>
      </c>
      <c r="J35" s="222" t="n"/>
      <c r="K35" s="222" t="n"/>
      <c r="L35" s="127" t="n"/>
      <c r="M35" s="224">
        <f>IF($B35="","",IF($L35="Có",SUM($I35:$K35),0))</f>
        <v/>
      </c>
      <c r="N35" s="127" t="n"/>
      <c r="O35" s="150">
        <f>IF($B35="","",IF(AND($L35="Có",$D35=""),"Chưa chọn cách tính T13; ","")&amp;IF(AND($D35="Tỷ lệ thời gian",OR($G35&lt;=0,$E35&lt;=0)),"Thiếu căn cứ hoặc số tháng; ","")&amp;IF(AND($D35="Đủ 01 tháng lương",$G35&lt;=0),"Thiếu căn cứ T13; ","")&amp;IF(AND($D35="Bình quân 12 tháng",$F35&lt;=0),"Thiếu bình quân 12 tháng; ","")&amp;IF(AND($D35="Nhập tay",$H35&lt;=0),"Thiếu T13 nhập tay; ",""))</f>
        <v/>
      </c>
    </row>
    <row r="36">
      <c r="A36" s="145">
        <f>IF('DM_NHAN_SU'!$B36="","",ROW()-5)</f>
        <v/>
      </c>
      <c r="B36" s="145">
        <f>IF('DM_NHAN_SU'!$B36="","",'DM_NHAN_SU'!B36)</f>
        <v/>
      </c>
      <c r="C36" s="145">
        <f>IF('DM_NHAN_SU'!$B36="","",'DM_NHAN_SU'!C36)</f>
        <v/>
      </c>
      <c r="D36" s="127" t="n"/>
      <c r="E36" s="227" t="n"/>
      <c r="F36" s="222" t="n"/>
      <c r="G36" s="222" t="n"/>
      <c r="H36" s="222" t="n"/>
      <c r="I36" s="224">
        <f>IF($B36="","",IF($D36="Không",0,IF($D36="Nhập tay",$H36,IF($D36="Đủ 01 tháng lương",$G36,IF($D36="Tỷ lệ thời gian",$G36*MIN(MAX($E36,0),12)/12,IF($D36="Bình quân 12 tháng",$F36,0))))))</f>
        <v/>
      </c>
      <c r="J36" s="222" t="n"/>
      <c r="K36" s="222" t="n"/>
      <c r="L36" s="127" t="n"/>
      <c r="M36" s="224">
        <f>IF($B36="","",IF($L36="Có",SUM($I36:$K36),0))</f>
        <v/>
      </c>
      <c r="N36" s="127" t="n"/>
      <c r="O36" s="150">
        <f>IF($B36="","",IF(AND($L36="Có",$D36=""),"Chưa chọn cách tính T13; ","")&amp;IF(AND($D36="Tỷ lệ thời gian",OR($G36&lt;=0,$E36&lt;=0)),"Thiếu căn cứ hoặc số tháng; ","")&amp;IF(AND($D36="Đủ 01 tháng lương",$G36&lt;=0),"Thiếu căn cứ T13; ","")&amp;IF(AND($D36="Bình quân 12 tháng",$F36&lt;=0),"Thiếu bình quân 12 tháng; ","")&amp;IF(AND($D36="Nhập tay",$H36&lt;=0),"Thiếu T13 nhập tay; ",""))</f>
        <v/>
      </c>
    </row>
    <row r="37">
      <c r="A37" s="145">
        <f>IF('DM_NHAN_SU'!$B37="","",ROW()-5)</f>
        <v/>
      </c>
      <c r="B37" s="145">
        <f>IF('DM_NHAN_SU'!$B37="","",'DM_NHAN_SU'!B37)</f>
        <v/>
      </c>
      <c r="C37" s="145">
        <f>IF('DM_NHAN_SU'!$B37="","",'DM_NHAN_SU'!C37)</f>
        <v/>
      </c>
      <c r="D37" s="127" t="n"/>
      <c r="E37" s="227" t="n"/>
      <c r="F37" s="222" t="n"/>
      <c r="G37" s="222" t="n"/>
      <c r="H37" s="222" t="n"/>
      <c r="I37" s="224">
        <f>IF($B37="","",IF($D37="Không",0,IF($D37="Nhập tay",$H37,IF($D37="Đủ 01 tháng lương",$G37,IF($D37="Tỷ lệ thời gian",$G37*MIN(MAX($E37,0),12)/12,IF($D37="Bình quân 12 tháng",$F37,0))))))</f>
        <v/>
      </c>
      <c r="J37" s="222" t="n"/>
      <c r="K37" s="222" t="n"/>
      <c r="L37" s="127" t="n"/>
      <c r="M37" s="224">
        <f>IF($B37="","",IF($L37="Có",SUM($I37:$K37),0))</f>
        <v/>
      </c>
      <c r="N37" s="127" t="n"/>
      <c r="O37" s="150">
        <f>IF($B37="","",IF(AND($L37="Có",$D37=""),"Chưa chọn cách tính T13; ","")&amp;IF(AND($D37="Tỷ lệ thời gian",OR($G37&lt;=0,$E37&lt;=0)),"Thiếu căn cứ hoặc số tháng; ","")&amp;IF(AND($D37="Đủ 01 tháng lương",$G37&lt;=0),"Thiếu căn cứ T13; ","")&amp;IF(AND($D37="Bình quân 12 tháng",$F37&lt;=0),"Thiếu bình quân 12 tháng; ","")&amp;IF(AND($D37="Nhập tay",$H37&lt;=0),"Thiếu T13 nhập tay; ",""))</f>
        <v/>
      </c>
    </row>
    <row r="38">
      <c r="A38" s="145">
        <f>IF('DM_NHAN_SU'!$B38="","",ROW()-5)</f>
        <v/>
      </c>
      <c r="B38" s="145">
        <f>IF('DM_NHAN_SU'!$B38="","",'DM_NHAN_SU'!B38)</f>
        <v/>
      </c>
      <c r="C38" s="145">
        <f>IF('DM_NHAN_SU'!$B38="","",'DM_NHAN_SU'!C38)</f>
        <v/>
      </c>
      <c r="D38" s="127" t="n"/>
      <c r="E38" s="227" t="n"/>
      <c r="F38" s="222" t="n"/>
      <c r="G38" s="222" t="n"/>
      <c r="H38" s="222" t="n"/>
      <c r="I38" s="224">
        <f>IF($B38="","",IF($D38="Không",0,IF($D38="Nhập tay",$H38,IF($D38="Đủ 01 tháng lương",$G38,IF($D38="Tỷ lệ thời gian",$G38*MIN(MAX($E38,0),12)/12,IF($D38="Bình quân 12 tháng",$F38,0))))))</f>
        <v/>
      </c>
      <c r="J38" s="222" t="n"/>
      <c r="K38" s="222" t="n"/>
      <c r="L38" s="127" t="n"/>
      <c r="M38" s="224">
        <f>IF($B38="","",IF($L38="Có",SUM($I38:$K38),0))</f>
        <v/>
      </c>
      <c r="N38" s="127" t="n"/>
      <c r="O38" s="150">
        <f>IF($B38="","",IF(AND($L38="Có",$D38=""),"Chưa chọn cách tính T13; ","")&amp;IF(AND($D38="Tỷ lệ thời gian",OR($G38&lt;=0,$E38&lt;=0)),"Thiếu căn cứ hoặc số tháng; ","")&amp;IF(AND($D38="Đủ 01 tháng lương",$G38&lt;=0),"Thiếu căn cứ T13; ","")&amp;IF(AND($D38="Bình quân 12 tháng",$F38&lt;=0),"Thiếu bình quân 12 tháng; ","")&amp;IF(AND($D38="Nhập tay",$H38&lt;=0),"Thiếu T13 nhập tay; ",""))</f>
        <v/>
      </c>
    </row>
    <row r="39">
      <c r="A39" s="145">
        <f>IF('DM_NHAN_SU'!$B39="","",ROW()-5)</f>
        <v/>
      </c>
      <c r="B39" s="145">
        <f>IF('DM_NHAN_SU'!$B39="","",'DM_NHAN_SU'!B39)</f>
        <v/>
      </c>
      <c r="C39" s="145">
        <f>IF('DM_NHAN_SU'!$B39="","",'DM_NHAN_SU'!C39)</f>
        <v/>
      </c>
      <c r="D39" s="127" t="n"/>
      <c r="E39" s="227" t="n"/>
      <c r="F39" s="222" t="n"/>
      <c r="G39" s="222" t="n"/>
      <c r="H39" s="222" t="n"/>
      <c r="I39" s="224">
        <f>IF($B39="","",IF($D39="Không",0,IF($D39="Nhập tay",$H39,IF($D39="Đủ 01 tháng lương",$G39,IF($D39="Tỷ lệ thời gian",$G39*MIN(MAX($E39,0),12)/12,IF($D39="Bình quân 12 tháng",$F39,0))))))</f>
        <v/>
      </c>
      <c r="J39" s="222" t="n"/>
      <c r="K39" s="222" t="n"/>
      <c r="L39" s="127" t="n"/>
      <c r="M39" s="224">
        <f>IF($B39="","",IF($L39="Có",SUM($I39:$K39),0))</f>
        <v/>
      </c>
      <c r="N39" s="127" t="n"/>
      <c r="O39" s="150">
        <f>IF($B39="","",IF(AND($L39="Có",$D39=""),"Chưa chọn cách tính T13; ","")&amp;IF(AND($D39="Tỷ lệ thời gian",OR($G39&lt;=0,$E39&lt;=0)),"Thiếu căn cứ hoặc số tháng; ","")&amp;IF(AND($D39="Đủ 01 tháng lương",$G39&lt;=0),"Thiếu căn cứ T13; ","")&amp;IF(AND($D39="Bình quân 12 tháng",$F39&lt;=0),"Thiếu bình quân 12 tháng; ","")&amp;IF(AND($D39="Nhập tay",$H39&lt;=0),"Thiếu T13 nhập tay; ",""))</f>
        <v/>
      </c>
    </row>
    <row r="40">
      <c r="A40" s="145">
        <f>IF('DM_NHAN_SU'!$B40="","",ROW()-5)</f>
        <v/>
      </c>
      <c r="B40" s="145">
        <f>IF('DM_NHAN_SU'!$B40="","",'DM_NHAN_SU'!B40)</f>
        <v/>
      </c>
      <c r="C40" s="145">
        <f>IF('DM_NHAN_SU'!$B40="","",'DM_NHAN_SU'!C40)</f>
        <v/>
      </c>
      <c r="D40" s="127" t="n"/>
      <c r="E40" s="227" t="n"/>
      <c r="F40" s="222" t="n"/>
      <c r="G40" s="222" t="n"/>
      <c r="H40" s="222" t="n"/>
      <c r="I40" s="224">
        <f>IF($B40="","",IF($D40="Không",0,IF($D40="Nhập tay",$H40,IF($D40="Đủ 01 tháng lương",$G40,IF($D40="Tỷ lệ thời gian",$G40*MIN(MAX($E40,0),12)/12,IF($D40="Bình quân 12 tháng",$F40,0))))))</f>
        <v/>
      </c>
      <c r="J40" s="222" t="n"/>
      <c r="K40" s="222" t="n"/>
      <c r="L40" s="127" t="n"/>
      <c r="M40" s="224">
        <f>IF($B40="","",IF($L40="Có",SUM($I40:$K40),0))</f>
        <v/>
      </c>
      <c r="N40" s="127" t="n"/>
      <c r="O40" s="150">
        <f>IF($B40="","",IF(AND($L40="Có",$D40=""),"Chưa chọn cách tính T13; ","")&amp;IF(AND($D40="Tỷ lệ thời gian",OR($G40&lt;=0,$E40&lt;=0)),"Thiếu căn cứ hoặc số tháng; ","")&amp;IF(AND($D40="Đủ 01 tháng lương",$G40&lt;=0),"Thiếu căn cứ T13; ","")&amp;IF(AND($D40="Bình quân 12 tháng",$F40&lt;=0),"Thiếu bình quân 12 tháng; ","")&amp;IF(AND($D40="Nhập tay",$H40&lt;=0),"Thiếu T13 nhập tay; ",""))</f>
        <v/>
      </c>
    </row>
    <row r="41">
      <c r="A41" s="145">
        <f>IF('DM_NHAN_SU'!$B41="","",ROW()-5)</f>
        <v/>
      </c>
      <c r="B41" s="145">
        <f>IF('DM_NHAN_SU'!$B41="","",'DM_NHAN_SU'!B41)</f>
        <v/>
      </c>
      <c r="C41" s="145">
        <f>IF('DM_NHAN_SU'!$B41="","",'DM_NHAN_SU'!C41)</f>
        <v/>
      </c>
      <c r="D41" s="127" t="n"/>
      <c r="E41" s="227" t="n"/>
      <c r="F41" s="222" t="n"/>
      <c r="G41" s="222" t="n"/>
      <c r="H41" s="222" t="n"/>
      <c r="I41" s="224">
        <f>IF($B41="","",IF($D41="Không",0,IF($D41="Nhập tay",$H41,IF($D41="Đủ 01 tháng lương",$G41,IF($D41="Tỷ lệ thời gian",$G41*MIN(MAX($E41,0),12)/12,IF($D41="Bình quân 12 tháng",$F41,0))))))</f>
        <v/>
      </c>
      <c r="J41" s="222" t="n"/>
      <c r="K41" s="222" t="n"/>
      <c r="L41" s="127" t="n"/>
      <c r="M41" s="224">
        <f>IF($B41="","",IF($L41="Có",SUM($I41:$K41),0))</f>
        <v/>
      </c>
      <c r="N41" s="127" t="n"/>
      <c r="O41" s="150">
        <f>IF($B41="","",IF(AND($L41="Có",$D41=""),"Chưa chọn cách tính T13; ","")&amp;IF(AND($D41="Tỷ lệ thời gian",OR($G41&lt;=0,$E41&lt;=0)),"Thiếu căn cứ hoặc số tháng; ","")&amp;IF(AND($D41="Đủ 01 tháng lương",$G41&lt;=0),"Thiếu căn cứ T13; ","")&amp;IF(AND($D41="Bình quân 12 tháng",$F41&lt;=0),"Thiếu bình quân 12 tháng; ","")&amp;IF(AND($D41="Nhập tay",$H41&lt;=0),"Thiếu T13 nhập tay; ",""))</f>
        <v/>
      </c>
    </row>
    <row r="42">
      <c r="A42" s="145">
        <f>IF('DM_NHAN_SU'!$B42="","",ROW()-5)</f>
        <v/>
      </c>
      <c r="B42" s="145">
        <f>IF('DM_NHAN_SU'!$B42="","",'DM_NHAN_SU'!B42)</f>
        <v/>
      </c>
      <c r="C42" s="145">
        <f>IF('DM_NHAN_SU'!$B42="","",'DM_NHAN_SU'!C42)</f>
        <v/>
      </c>
      <c r="D42" s="127" t="n"/>
      <c r="E42" s="227" t="n"/>
      <c r="F42" s="222" t="n"/>
      <c r="G42" s="222" t="n"/>
      <c r="H42" s="222" t="n"/>
      <c r="I42" s="224">
        <f>IF($B42="","",IF($D42="Không",0,IF($D42="Nhập tay",$H42,IF($D42="Đủ 01 tháng lương",$G42,IF($D42="Tỷ lệ thời gian",$G42*MIN(MAX($E42,0),12)/12,IF($D42="Bình quân 12 tháng",$F42,0))))))</f>
        <v/>
      </c>
      <c r="J42" s="222" t="n"/>
      <c r="K42" s="222" t="n"/>
      <c r="L42" s="127" t="n"/>
      <c r="M42" s="224">
        <f>IF($B42="","",IF($L42="Có",SUM($I42:$K42),0))</f>
        <v/>
      </c>
      <c r="N42" s="127" t="n"/>
      <c r="O42" s="150">
        <f>IF($B42="","",IF(AND($L42="Có",$D42=""),"Chưa chọn cách tính T13; ","")&amp;IF(AND($D42="Tỷ lệ thời gian",OR($G42&lt;=0,$E42&lt;=0)),"Thiếu căn cứ hoặc số tháng; ","")&amp;IF(AND($D42="Đủ 01 tháng lương",$G42&lt;=0),"Thiếu căn cứ T13; ","")&amp;IF(AND($D42="Bình quân 12 tháng",$F42&lt;=0),"Thiếu bình quân 12 tháng; ","")&amp;IF(AND($D42="Nhập tay",$H42&lt;=0),"Thiếu T13 nhập tay; ",""))</f>
        <v/>
      </c>
    </row>
    <row r="43">
      <c r="A43" s="145">
        <f>IF('DM_NHAN_SU'!$B43="","",ROW()-5)</f>
        <v/>
      </c>
      <c r="B43" s="145">
        <f>IF('DM_NHAN_SU'!$B43="","",'DM_NHAN_SU'!B43)</f>
        <v/>
      </c>
      <c r="C43" s="145">
        <f>IF('DM_NHAN_SU'!$B43="","",'DM_NHAN_SU'!C43)</f>
        <v/>
      </c>
      <c r="D43" s="127" t="n"/>
      <c r="E43" s="227" t="n"/>
      <c r="F43" s="222" t="n"/>
      <c r="G43" s="222" t="n"/>
      <c r="H43" s="222" t="n"/>
      <c r="I43" s="224">
        <f>IF($B43="","",IF($D43="Không",0,IF($D43="Nhập tay",$H43,IF($D43="Đủ 01 tháng lương",$G43,IF($D43="Tỷ lệ thời gian",$G43*MIN(MAX($E43,0),12)/12,IF($D43="Bình quân 12 tháng",$F43,0))))))</f>
        <v/>
      </c>
      <c r="J43" s="222" t="n"/>
      <c r="K43" s="222" t="n"/>
      <c r="L43" s="127" t="n"/>
      <c r="M43" s="224">
        <f>IF($B43="","",IF($L43="Có",SUM($I43:$K43),0))</f>
        <v/>
      </c>
      <c r="N43" s="127" t="n"/>
      <c r="O43" s="150">
        <f>IF($B43="","",IF(AND($L43="Có",$D43=""),"Chưa chọn cách tính T13; ","")&amp;IF(AND($D43="Tỷ lệ thời gian",OR($G43&lt;=0,$E43&lt;=0)),"Thiếu căn cứ hoặc số tháng; ","")&amp;IF(AND($D43="Đủ 01 tháng lương",$G43&lt;=0),"Thiếu căn cứ T13; ","")&amp;IF(AND($D43="Bình quân 12 tháng",$F43&lt;=0),"Thiếu bình quân 12 tháng; ","")&amp;IF(AND($D43="Nhập tay",$H43&lt;=0),"Thiếu T13 nhập tay; ",""))</f>
        <v/>
      </c>
    </row>
    <row r="44">
      <c r="A44" s="145">
        <f>IF('DM_NHAN_SU'!$B44="","",ROW()-5)</f>
        <v/>
      </c>
      <c r="B44" s="145">
        <f>IF('DM_NHAN_SU'!$B44="","",'DM_NHAN_SU'!B44)</f>
        <v/>
      </c>
      <c r="C44" s="145">
        <f>IF('DM_NHAN_SU'!$B44="","",'DM_NHAN_SU'!C44)</f>
        <v/>
      </c>
      <c r="D44" s="127" t="n"/>
      <c r="E44" s="227" t="n"/>
      <c r="F44" s="222" t="n"/>
      <c r="G44" s="222" t="n"/>
      <c r="H44" s="222" t="n"/>
      <c r="I44" s="224">
        <f>IF($B44="","",IF($D44="Không",0,IF($D44="Nhập tay",$H44,IF($D44="Đủ 01 tháng lương",$G44,IF($D44="Tỷ lệ thời gian",$G44*MIN(MAX($E44,0),12)/12,IF($D44="Bình quân 12 tháng",$F44,0))))))</f>
        <v/>
      </c>
      <c r="J44" s="222" t="n"/>
      <c r="K44" s="222" t="n"/>
      <c r="L44" s="127" t="n"/>
      <c r="M44" s="224">
        <f>IF($B44="","",IF($L44="Có",SUM($I44:$K44),0))</f>
        <v/>
      </c>
      <c r="N44" s="127" t="n"/>
      <c r="O44" s="150">
        <f>IF($B44="","",IF(AND($L44="Có",$D44=""),"Chưa chọn cách tính T13; ","")&amp;IF(AND($D44="Tỷ lệ thời gian",OR($G44&lt;=0,$E44&lt;=0)),"Thiếu căn cứ hoặc số tháng; ","")&amp;IF(AND($D44="Đủ 01 tháng lương",$G44&lt;=0),"Thiếu căn cứ T13; ","")&amp;IF(AND($D44="Bình quân 12 tháng",$F44&lt;=0),"Thiếu bình quân 12 tháng; ","")&amp;IF(AND($D44="Nhập tay",$H44&lt;=0),"Thiếu T13 nhập tay; ",""))</f>
        <v/>
      </c>
    </row>
    <row r="45">
      <c r="A45" s="145">
        <f>IF('DM_NHAN_SU'!$B45="","",ROW()-5)</f>
        <v/>
      </c>
      <c r="B45" s="145">
        <f>IF('DM_NHAN_SU'!$B45="","",'DM_NHAN_SU'!B45)</f>
        <v/>
      </c>
      <c r="C45" s="145">
        <f>IF('DM_NHAN_SU'!$B45="","",'DM_NHAN_SU'!C45)</f>
        <v/>
      </c>
      <c r="D45" s="127" t="n"/>
      <c r="E45" s="227" t="n"/>
      <c r="F45" s="222" t="n"/>
      <c r="G45" s="222" t="n"/>
      <c r="H45" s="222" t="n"/>
      <c r="I45" s="224">
        <f>IF($B45="","",IF($D45="Không",0,IF($D45="Nhập tay",$H45,IF($D45="Đủ 01 tháng lương",$G45,IF($D45="Tỷ lệ thời gian",$G45*MIN(MAX($E45,0),12)/12,IF($D45="Bình quân 12 tháng",$F45,0))))))</f>
        <v/>
      </c>
      <c r="J45" s="222" t="n"/>
      <c r="K45" s="222" t="n"/>
      <c r="L45" s="127" t="n"/>
      <c r="M45" s="224">
        <f>IF($B45="","",IF($L45="Có",SUM($I45:$K45),0))</f>
        <v/>
      </c>
      <c r="N45" s="127" t="n"/>
      <c r="O45" s="150">
        <f>IF($B45="","",IF(AND($L45="Có",$D45=""),"Chưa chọn cách tính T13; ","")&amp;IF(AND($D45="Tỷ lệ thời gian",OR($G45&lt;=0,$E45&lt;=0)),"Thiếu căn cứ hoặc số tháng; ","")&amp;IF(AND($D45="Đủ 01 tháng lương",$G45&lt;=0),"Thiếu căn cứ T13; ","")&amp;IF(AND($D45="Bình quân 12 tháng",$F45&lt;=0),"Thiếu bình quân 12 tháng; ","")&amp;IF(AND($D45="Nhập tay",$H45&lt;=0),"Thiếu T13 nhập tay; ",""))</f>
        <v/>
      </c>
    </row>
    <row r="46">
      <c r="A46" s="145">
        <f>IF('DM_NHAN_SU'!$B46="","",ROW()-5)</f>
        <v/>
      </c>
      <c r="B46" s="145">
        <f>IF('DM_NHAN_SU'!$B46="","",'DM_NHAN_SU'!B46)</f>
        <v/>
      </c>
      <c r="C46" s="145">
        <f>IF('DM_NHAN_SU'!$B46="","",'DM_NHAN_SU'!C46)</f>
        <v/>
      </c>
      <c r="D46" s="127" t="n"/>
      <c r="E46" s="227" t="n"/>
      <c r="F46" s="222" t="n"/>
      <c r="G46" s="222" t="n"/>
      <c r="H46" s="222" t="n"/>
      <c r="I46" s="224">
        <f>IF($B46="","",IF($D46="Không",0,IF($D46="Nhập tay",$H46,IF($D46="Đủ 01 tháng lương",$G46,IF($D46="Tỷ lệ thời gian",$G46*MIN(MAX($E46,0),12)/12,IF($D46="Bình quân 12 tháng",$F46,0))))))</f>
        <v/>
      </c>
      <c r="J46" s="222" t="n"/>
      <c r="K46" s="222" t="n"/>
      <c r="L46" s="127" t="n"/>
      <c r="M46" s="224">
        <f>IF($B46="","",IF($L46="Có",SUM($I46:$K46),0))</f>
        <v/>
      </c>
      <c r="N46" s="127" t="n"/>
      <c r="O46" s="150">
        <f>IF($B46="","",IF(AND($L46="Có",$D46=""),"Chưa chọn cách tính T13; ","")&amp;IF(AND($D46="Tỷ lệ thời gian",OR($G46&lt;=0,$E46&lt;=0)),"Thiếu căn cứ hoặc số tháng; ","")&amp;IF(AND($D46="Đủ 01 tháng lương",$G46&lt;=0),"Thiếu căn cứ T13; ","")&amp;IF(AND($D46="Bình quân 12 tháng",$F46&lt;=0),"Thiếu bình quân 12 tháng; ","")&amp;IF(AND($D46="Nhập tay",$H46&lt;=0),"Thiếu T13 nhập tay; ",""))</f>
        <v/>
      </c>
    </row>
    <row r="47">
      <c r="A47" s="145">
        <f>IF('DM_NHAN_SU'!$B47="","",ROW()-5)</f>
        <v/>
      </c>
      <c r="B47" s="145">
        <f>IF('DM_NHAN_SU'!$B47="","",'DM_NHAN_SU'!B47)</f>
        <v/>
      </c>
      <c r="C47" s="145">
        <f>IF('DM_NHAN_SU'!$B47="","",'DM_NHAN_SU'!C47)</f>
        <v/>
      </c>
      <c r="D47" s="127" t="n"/>
      <c r="E47" s="227" t="n"/>
      <c r="F47" s="222" t="n"/>
      <c r="G47" s="222" t="n"/>
      <c r="H47" s="222" t="n"/>
      <c r="I47" s="224">
        <f>IF($B47="","",IF($D47="Không",0,IF($D47="Nhập tay",$H47,IF($D47="Đủ 01 tháng lương",$G47,IF($D47="Tỷ lệ thời gian",$G47*MIN(MAX($E47,0),12)/12,IF($D47="Bình quân 12 tháng",$F47,0))))))</f>
        <v/>
      </c>
      <c r="J47" s="222" t="n"/>
      <c r="K47" s="222" t="n"/>
      <c r="L47" s="127" t="n"/>
      <c r="M47" s="224">
        <f>IF($B47="","",IF($L47="Có",SUM($I47:$K47),0))</f>
        <v/>
      </c>
      <c r="N47" s="127" t="n"/>
      <c r="O47" s="150">
        <f>IF($B47="","",IF(AND($L47="Có",$D47=""),"Chưa chọn cách tính T13; ","")&amp;IF(AND($D47="Tỷ lệ thời gian",OR($G47&lt;=0,$E47&lt;=0)),"Thiếu căn cứ hoặc số tháng; ","")&amp;IF(AND($D47="Đủ 01 tháng lương",$G47&lt;=0),"Thiếu căn cứ T13; ","")&amp;IF(AND($D47="Bình quân 12 tháng",$F47&lt;=0),"Thiếu bình quân 12 tháng; ","")&amp;IF(AND($D47="Nhập tay",$H47&lt;=0),"Thiếu T13 nhập tay; ",""))</f>
        <v/>
      </c>
    </row>
    <row r="48">
      <c r="A48" s="145">
        <f>IF('DM_NHAN_SU'!$B48="","",ROW()-5)</f>
        <v/>
      </c>
      <c r="B48" s="145">
        <f>IF('DM_NHAN_SU'!$B48="","",'DM_NHAN_SU'!B48)</f>
        <v/>
      </c>
      <c r="C48" s="145">
        <f>IF('DM_NHAN_SU'!$B48="","",'DM_NHAN_SU'!C48)</f>
        <v/>
      </c>
      <c r="D48" s="127" t="n"/>
      <c r="E48" s="227" t="n"/>
      <c r="F48" s="222" t="n"/>
      <c r="G48" s="222" t="n"/>
      <c r="H48" s="222" t="n"/>
      <c r="I48" s="224">
        <f>IF($B48="","",IF($D48="Không",0,IF($D48="Nhập tay",$H48,IF($D48="Đủ 01 tháng lương",$G48,IF($D48="Tỷ lệ thời gian",$G48*MIN(MAX($E48,0),12)/12,IF($D48="Bình quân 12 tháng",$F48,0))))))</f>
        <v/>
      </c>
      <c r="J48" s="222" t="n"/>
      <c r="K48" s="222" t="n"/>
      <c r="L48" s="127" t="n"/>
      <c r="M48" s="224">
        <f>IF($B48="","",IF($L48="Có",SUM($I48:$K48),0))</f>
        <v/>
      </c>
      <c r="N48" s="127" t="n"/>
      <c r="O48" s="150">
        <f>IF($B48="","",IF(AND($L48="Có",$D48=""),"Chưa chọn cách tính T13; ","")&amp;IF(AND($D48="Tỷ lệ thời gian",OR($G48&lt;=0,$E48&lt;=0)),"Thiếu căn cứ hoặc số tháng; ","")&amp;IF(AND($D48="Đủ 01 tháng lương",$G48&lt;=0),"Thiếu căn cứ T13; ","")&amp;IF(AND($D48="Bình quân 12 tháng",$F48&lt;=0),"Thiếu bình quân 12 tháng; ","")&amp;IF(AND($D48="Nhập tay",$H48&lt;=0),"Thiếu T13 nhập tay; ",""))</f>
        <v/>
      </c>
    </row>
    <row r="49">
      <c r="A49" s="145">
        <f>IF('DM_NHAN_SU'!$B49="","",ROW()-5)</f>
        <v/>
      </c>
      <c r="B49" s="145">
        <f>IF('DM_NHAN_SU'!$B49="","",'DM_NHAN_SU'!B49)</f>
        <v/>
      </c>
      <c r="C49" s="145">
        <f>IF('DM_NHAN_SU'!$B49="","",'DM_NHAN_SU'!C49)</f>
        <v/>
      </c>
      <c r="D49" s="127" t="n"/>
      <c r="E49" s="227" t="n"/>
      <c r="F49" s="222" t="n"/>
      <c r="G49" s="222" t="n"/>
      <c r="H49" s="222" t="n"/>
      <c r="I49" s="224">
        <f>IF($B49="","",IF($D49="Không",0,IF($D49="Nhập tay",$H49,IF($D49="Đủ 01 tháng lương",$G49,IF($D49="Tỷ lệ thời gian",$G49*MIN(MAX($E49,0),12)/12,IF($D49="Bình quân 12 tháng",$F49,0))))))</f>
        <v/>
      </c>
      <c r="J49" s="222" t="n"/>
      <c r="K49" s="222" t="n"/>
      <c r="L49" s="127" t="n"/>
      <c r="M49" s="224">
        <f>IF($B49="","",IF($L49="Có",SUM($I49:$K49),0))</f>
        <v/>
      </c>
      <c r="N49" s="127" t="n"/>
      <c r="O49" s="150">
        <f>IF($B49="","",IF(AND($L49="Có",$D49=""),"Chưa chọn cách tính T13; ","")&amp;IF(AND($D49="Tỷ lệ thời gian",OR($G49&lt;=0,$E49&lt;=0)),"Thiếu căn cứ hoặc số tháng; ","")&amp;IF(AND($D49="Đủ 01 tháng lương",$G49&lt;=0),"Thiếu căn cứ T13; ","")&amp;IF(AND($D49="Bình quân 12 tháng",$F49&lt;=0),"Thiếu bình quân 12 tháng; ","")&amp;IF(AND($D49="Nhập tay",$H49&lt;=0),"Thiếu T13 nhập tay; ",""))</f>
        <v/>
      </c>
    </row>
    <row r="50">
      <c r="A50" s="145">
        <f>IF('DM_NHAN_SU'!$B50="","",ROW()-5)</f>
        <v/>
      </c>
      <c r="B50" s="145">
        <f>IF('DM_NHAN_SU'!$B50="","",'DM_NHAN_SU'!B50)</f>
        <v/>
      </c>
      <c r="C50" s="145">
        <f>IF('DM_NHAN_SU'!$B50="","",'DM_NHAN_SU'!C50)</f>
        <v/>
      </c>
      <c r="D50" s="127" t="n"/>
      <c r="E50" s="227" t="n"/>
      <c r="F50" s="222" t="n"/>
      <c r="G50" s="222" t="n"/>
      <c r="H50" s="222" t="n"/>
      <c r="I50" s="224">
        <f>IF($B50="","",IF($D50="Không",0,IF($D50="Nhập tay",$H50,IF($D50="Đủ 01 tháng lương",$G50,IF($D50="Tỷ lệ thời gian",$G50*MIN(MAX($E50,0),12)/12,IF($D50="Bình quân 12 tháng",$F50,0))))))</f>
        <v/>
      </c>
      <c r="J50" s="222" t="n"/>
      <c r="K50" s="222" t="n"/>
      <c r="L50" s="127" t="n"/>
      <c r="M50" s="224">
        <f>IF($B50="","",IF($L50="Có",SUM($I50:$K50),0))</f>
        <v/>
      </c>
      <c r="N50" s="127" t="n"/>
      <c r="O50" s="150">
        <f>IF($B50="","",IF(AND($L50="Có",$D50=""),"Chưa chọn cách tính T13; ","")&amp;IF(AND($D50="Tỷ lệ thời gian",OR($G50&lt;=0,$E50&lt;=0)),"Thiếu căn cứ hoặc số tháng; ","")&amp;IF(AND($D50="Đủ 01 tháng lương",$G50&lt;=0),"Thiếu căn cứ T13; ","")&amp;IF(AND($D50="Bình quân 12 tháng",$F50&lt;=0),"Thiếu bình quân 12 tháng; ","")&amp;IF(AND($D50="Nhập tay",$H50&lt;=0),"Thiếu T13 nhập tay; ",""))</f>
        <v/>
      </c>
    </row>
    <row r="51">
      <c r="A51" s="145">
        <f>IF('DM_NHAN_SU'!$B51="","",ROW()-5)</f>
        <v/>
      </c>
      <c r="B51" s="145">
        <f>IF('DM_NHAN_SU'!$B51="","",'DM_NHAN_SU'!B51)</f>
        <v/>
      </c>
      <c r="C51" s="145">
        <f>IF('DM_NHAN_SU'!$B51="","",'DM_NHAN_SU'!C51)</f>
        <v/>
      </c>
      <c r="D51" s="127" t="n"/>
      <c r="E51" s="227" t="n"/>
      <c r="F51" s="222" t="n"/>
      <c r="G51" s="222" t="n"/>
      <c r="H51" s="222" t="n"/>
      <c r="I51" s="224">
        <f>IF($B51="","",IF($D51="Không",0,IF($D51="Nhập tay",$H51,IF($D51="Đủ 01 tháng lương",$G51,IF($D51="Tỷ lệ thời gian",$G51*MIN(MAX($E51,0),12)/12,IF($D51="Bình quân 12 tháng",$F51,0))))))</f>
        <v/>
      </c>
      <c r="J51" s="222" t="n"/>
      <c r="K51" s="222" t="n"/>
      <c r="L51" s="127" t="n"/>
      <c r="M51" s="224">
        <f>IF($B51="","",IF($L51="Có",SUM($I51:$K51),0))</f>
        <v/>
      </c>
      <c r="N51" s="127" t="n"/>
      <c r="O51" s="150">
        <f>IF($B51="","",IF(AND($L51="Có",$D51=""),"Chưa chọn cách tính T13; ","")&amp;IF(AND($D51="Tỷ lệ thời gian",OR($G51&lt;=0,$E51&lt;=0)),"Thiếu căn cứ hoặc số tháng; ","")&amp;IF(AND($D51="Đủ 01 tháng lương",$G51&lt;=0),"Thiếu căn cứ T13; ","")&amp;IF(AND($D51="Bình quân 12 tháng",$F51&lt;=0),"Thiếu bình quân 12 tháng; ","")&amp;IF(AND($D51="Nhập tay",$H51&lt;=0),"Thiếu T13 nhập tay; ",""))</f>
        <v/>
      </c>
    </row>
    <row r="52">
      <c r="A52" s="145">
        <f>IF('DM_NHAN_SU'!$B52="","",ROW()-5)</f>
        <v/>
      </c>
      <c r="B52" s="145">
        <f>IF('DM_NHAN_SU'!$B52="","",'DM_NHAN_SU'!B52)</f>
        <v/>
      </c>
      <c r="C52" s="145">
        <f>IF('DM_NHAN_SU'!$B52="","",'DM_NHAN_SU'!C52)</f>
        <v/>
      </c>
      <c r="D52" s="127" t="n"/>
      <c r="E52" s="227" t="n"/>
      <c r="F52" s="222" t="n"/>
      <c r="G52" s="222" t="n"/>
      <c r="H52" s="222" t="n"/>
      <c r="I52" s="224">
        <f>IF($B52="","",IF($D52="Không",0,IF($D52="Nhập tay",$H52,IF($D52="Đủ 01 tháng lương",$G52,IF($D52="Tỷ lệ thời gian",$G52*MIN(MAX($E52,0),12)/12,IF($D52="Bình quân 12 tháng",$F52,0))))))</f>
        <v/>
      </c>
      <c r="J52" s="222" t="n"/>
      <c r="K52" s="222" t="n"/>
      <c r="L52" s="127" t="n"/>
      <c r="M52" s="224">
        <f>IF($B52="","",IF($L52="Có",SUM($I52:$K52),0))</f>
        <v/>
      </c>
      <c r="N52" s="127" t="n"/>
      <c r="O52" s="150">
        <f>IF($B52="","",IF(AND($L52="Có",$D52=""),"Chưa chọn cách tính T13; ","")&amp;IF(AND($D52="Tỷ lệ thời gian",OR($G52&lt;=0,$E52&lt;=0)),"Thiếu căn cứ hoặc số tháng; ","")&amp;IF(AND($D52="Đủ 01 tháng lương",$G52&lt;=0),"Thiếu căn cứ T13; ","")&amp;IF(AND($D52="Bình quân 12 tháng",$F52&lt;=0),"Thiếu bình quân 12 tháng; ","")&amp;IF(AND($D52="Nhập tay",$H52&lt;=0),"Thiếu T13 nhập tay; ",""))</f>
        <v/>
      </c>
    </row>
    <row r="53">
      <c r="A53" s="145">
        <f>IF('DM_NHAN_SU'!$B53="","",ROW()-5)</f>
        <v/>
      </c>
      <c r="B53" s="145">
        <f>IF('DM_NHAN_SU'!$B53="","",'DM_NHAN_SU'!B53)</f>
        <v/>
      </c>
      <c r="C53" s="145">
        <f>IF('DM_NHAN_SU'!$B53="","",'DM_NHAN_SU'!C53)</f>
        <v/>
      </c>
      <c r="D53" s="127" t="n"/>
      <c r="E53" s="227" t="n"/>
      <c r="F53" s="222" t="n"/>
      <c r="G53" s="222" t="n"/>
      <c r="H53" s="222" t="n"/>
      <c r="I53" s="224">
        <f>IF($B53="","",IF($D53="Không",0,IF($D53="Nhập tay",$H53,IF($D53="Đủ 01 tháng lương",$G53,IF($D53="Tỷ lệ thời gian",$G53*MIN(MAX($E53,0),12)/12,IF($D53="Bình quân 12 tháng",$F53,0))))))</f>
        <v/>
      </c>
      <c r="J53" s="222" t="n"/>
      <c r="K53" s="222" t="n"/>
      <c r="L53" s="127" t="n"/>
      <c r="M53" s="224">
        <f>IF($B53="","",IF($L53="Có",SUM($I53:$K53),0))</f>
        <v/>
      </c>
      <c r="N53" s="127" t="n"/>
      <c r="O53" s="150">
        <f>IF($B53="","",IF(AND($L53="Có",$D53=""),"Chưa chọn cách tính T13; ","")&amp;IF(AND($D53="Tỷ lệ thời gian",OR($G53&lt;=0,$E53&lt;=0)),"Thiếu căn cứ hoặc số tháng; ","")&amp;IF(AND($D53="Đủ 01 tháng lương",$G53&lt;=0),"Thiếu căn cứ T13; ","")&amp;IF(AND($D53="Bình quân 12 tháng",$F53&lt;=0),"Thiếu bình quân 12 tháng; ","")&amp;IF(AND($D53="Nhập tay",$H53&lt;=0),"Thiếu T13 nhập tay; ",""))</f>
        <v/>
      </c>
    </row>
    <row r="54">
      <c r="A54" s="145">
        <f>IF('DM_NHAN_SU'!$B54="","",ROW()-5)</f>
        <v/>
      </c>
      <c r="B54" s="145">
        <f>IF('DM_NHAN_SU'!$B54="","",'DM_NHAN_SU'!B54)</f>
        <v/>
      </c>
      <c r="C54" s="145">
        <f>IF('DM_NHAN_SU'!$B54="","",'DM_NHAN_SU'!C54)</f>
        <v/>
      </c>
      <c r="D54" s="127" t="n"/>
      <c r="E54" s="227" t="n"/>
      <c r="F54" s="222" t="n"/>
      <c r="G54" s="222" t="n"/>
      <c r="H54" s="222" t="n"/>
      <c r="I54" s="224">
        <f>IF($B54="","",IF($D54="Không",0,IF($D54="Nhập tay",$H54,IF($D54="Đủ 01 tháng lương",$G54,IF($D54="Tỷ lệ thời gian",$G54*MIN(MAX($E54,0),12)/12,IF($D54="Bình quân 12 tháng",$F54,0))))))</f>
        <v/>
      </c>
      <c r="J54" s="222" t="n"/>
      <c r="K54" s="222" t="n"/>
      <c r="L54" s="127" t="n"/>
      <c r="M54" s="224">
        <f>IF($B54="","",IF($L54="Có",SUM($I54:$K54),0))</f>
        <v/>
      </c>
      <c r="N54" s="127" t="n"/>
      <c r="O54" s="150">
        <f>IF($B54="","",IF(AND($L54="Có",$D54=""),"Chưa chọn cách tính T13; ","")&amp;IF(AND($D54="Tỷ lệ thời gian",OR($G54&lt;=0,$E54&lt;=0)),"Thiếu căn cứ hoặc số tháng; ","")&amp;IF(AND($D54="Đủ 01 tháng lương",$G54&lt;=0),"Thiếu căn cứ T13; ","")&amp;IF(AND($D54="Bình quân 12 tháng",$F54&lt;=0),"Thiếu bình quân 12 tháng; ","")&amp;IF(AND($D54="Nhập tay",$H54&lt;=0),"Thiếu T13 nhập tay; ",""))</f>
        <v/>
      </c>
    </row>
    <row r="55">
      <c r="A55" s="145">
        <f>IF('DM_NHAN_SU'!$B55="","",ROW()-5)</f>
        <v/>
      </c>
      <c r="B55" s="145">
        <f>IF('DM_NHAN_SU'!$B55="","",'DM_NHAN_SU'!B55)</f>
        <v/>
      </c>
      <c r="C55" s="145">
        <f>IF('DM_NHAN_SU'!$B55="","",'DM_NHAN_SU'!C55)</f>
        <v/>
      </c>
      <c r="D55" s="127" t="n"/>
      <c r="E55" s="227" t="n"/>
      <c r="F55" s="222" t="n"/>
      <c r="G55" s="222" t="n"/>
      <c r="H55" s="222" t="n"/>
      <c r="I55" s="224">
        <f>IF($B55="","",IF($D55="Không",0,IF($D55="Nhập tay",$H55,IF($D55="Đủ 01 tháng lương",$G55,IF($D55="Tỷ lệ thời gian",$G55*MIN(MAX($E55,0),12)/12,IF($D55="Bình quân 12 tháng",$F55,0))))))</f>
        <v/>
      </c>
      <c r="J55" s="222" t="n"/>
      <c r="K55" s="222" t="n"/>
      <c r="L55" s="127" t="n"/>
      <c r="M55" s="224">
        <f>IF($B55="","",IF($L55="Có",SUM($I55:$K55),0))</f>
        <v/>
      </c>
      <c r="N55" s="127" t="n"/>
      <c r="O55" s="150">
        <f>IF($B55="","",IF(AND($L55="Có",$D55=""),"Chưa chọn cách tính T13; ","")&amp;IF(AND($D55="Tỷ lệ thời gian",OR($G55&lt;=0,$E55&lt;=0)),"Thiếu căn cứ hoặc số tháng; ","")&amp;IF(AND($D55="Đủ 01 tháng lương",$G55&lt;=0),"Thiếu căn cứ T13; ","")&amp;IF(AND($D55="Bình quân 12 tháng",$F55&lt;=0),"Thiếu bình quân 12 tháng; ","")&amp;IF(AND($D55="Nhập tay",$H55&lt;=0),"Thiếu T13 nhập tay; ",""))</f>
        <v/>
      </c>
    </row>
    <row r="56">
      <c r="A56" s="145">
        <f>IF('DM_NHAN_SU'!$B56="","",ROW()-5)</f>
        <v/>
      </c>
      <c r="B56" s="145">
        <f>IF('DM_NHAN_SU'!$B56="","",'DM_NHAN_SU'!B56)</f>
        <v/>
      </c>
      <c r="C56" s="145">
        <f>IF('DM_NHAN_SU'!$B56="","",'DM_NHAN_SU'!C56)</f>
        <v/>
      </c>
      <c r="D56" s="127" t="n"/>
      <c r="E56" s="227" t="n"/>
      <c r="F56" s="222" t="n"/>
      <c r="G56" s="222" t="n"/>
      <c r="H56" s="222" t="n"/>
      <c r="I56" s="224">
        <f>IF($B56="","",IF($D56="Không",0,IF($D56="Nhập tay",$H56,IF($D56="Đủ 01 tháng lương",$G56,IF($D56="Tỷ lệ thời gian",$G56*MIN(MAX($E56,0),12)/12,IF($D56="Bình quân 12 tháng",$F56,0))))))</f>
        <v/>
      </c>
      <c r="J56" s="222" t="n"/>
      <c r="K56" s="222" t="n"/>
      <c r="L56" s="127" t="n"/>
      <c r="M56" s="224">
        <f>IF($B56="","",IF($L56="Có",SUM($I56:$K56),0))</f>
        <v/>
      </c>
      <c r="N56" s="127" t="n"/>
      <c r="O56" s="150">
        <f>IF($B56="","",IF(AND($L56="Có",$D56=""),"Chưa chọn cách tính T13; ","")&amp;IF(AND($D56="Tỷ lệ thời gian",OR($G56&lt;=0,$E56&lt;=0)),"Thiếu căn cứ hoặc số tháng; ","")&amp;IF(AND($D56="Đủ 01 tháng lương",$G56&lt;=0),"Thiếu căn cứ T13; ","")&amp;IF(AND($D56="Bình quân 12 tháng",$F56&lt;=0),"Thiếu bình quân 12 tháng; ","")&amp;IF(AND($D56="Nhập tay",$H56&lt;=0),"Thiếu T13 nhập tay; ",""))</f>
        <v/>
      </c>
    </row>
    <row r="57">
      <c r="A57" s="145">
        <f>IF('DM_NHAN_SU'!$B57="","",ROW()-5)</f>
        <v/>
      </c>
      <c r="B57" s="145">
        <f>IF('DM_NHAN_SU'!$B57="","",'DM_NHAN_SU'!B57)</f>
        <v/>
      </c>
      <c r="C57" s="145">
        <f>IF('DM_NHAN_SU'!$B57="","",'DM_NHAN_SU'!C57)</f>
        <v/>
      </c>
      <c r="D57" s="127" t="n"/>
      <c r="E57" s="227" t="n"/>
      <c r="F57" s="222" t="n"/>
      <c r="G57" s="222" t="n"/>
      <c r="H57" s="222" t="n"/>
      <c r="I57" s="224">
        <f>IF($B57="","",IF($D57="Không",0,IF($D57="Nhập tay",$H57,IF($D57="Đủ 01 tháng lương",$G57,IF($D57="Tỷ lệ thời gian",$G57*MIN(MAX($E57,0),12)/12,IF($D57="Bình quân 12 tháng",$F57,0))))))</f>
        <v/>
      </c>
      <c r="J57" s="222" t="n"/>
      <c r="K57" s="222" t="n"/>
      <c r="L57" s="127" t="n"/>
      <c r="M57" s="224">
        <f>IF($B57="","",IF($L57="Có",SUM($I57:$K57),0))</f>
        <v/>
      </c>
      <c r="N57" s="127" t="n"/>
      <c r="O57" s="150">
        <f>IF($B57="","",IF(AND($L57="Có",$D57=""),"Chưa chọn cách tính T13; ","")&amp;IF(AND($D57="Tỷ lệ thời gian",OR($G57&lt;=0,$E57&lt;=0)),"Thiếu căn cứ hoặc số tháng; ","")&amp;IF(AND($D57="Đủ 01 tháng lương",$G57&lt;=0),"Thiếu căn cứ T13; ","")&amp;IF(AND($D57="Bình quân 12 tháng",$F57&lt;=0),"Thiếu bình quân 12 tháng; ","")&amp;IF(AND($D57="Nhập tay",$H57&lt;=0),"Thiếu T13 nhập tay; ",""))</f>
        <v/>
      </c>
    </row>
    <row r="58">
      <c r="A58" s="145">
        <f>IF('DM_NHAN_SU'!$B58="","",ROW()-5)</f>
        <v/>
      </c>
      <c r="B58" s="145">
        <f>IF('DM_NHAN_SU'!$B58="","",'DM_NHAN_SU'!B58)</f>
        <v/>
      </c>
      <c r="C58" s="145">
        <f>IF('DM_NHAN_SU'!$B58="","",'DM_NHAN_SU'!C58)</f>
        <v/>
      </c>
      <c r="D58" s="127" t="n"/>
      <c r="E58" s="227" t="n"/>
      <c r="F58" s="222" t="n"/>
      <c r="G58" s="222" t="n"/>
      <c r="H58" s="222" t="n"/>
      <c r="I58" s="224">
        <f>IF($B58="","",IF($D58="Không",0,IF($D58="Nhập tay",$H58,IF($D58="Đủ 01 tháng lương",$G58,IF($D58="Tỷ lệ thời gian",$G58*MIN(MAX($E58,0),12)/12,IF($D58="Bình quân 12 tháng",$F58,0))))))</f>
        <v/>
      </c>
      <c r="J58" s="222" t="n"/>
      <c r="K58" s="222" t="n"/>
      <c r="L58" s="127" t="n"/>
      <c r="M58" s="224">
        <f>IF($B58="","",IF($L58="Có",SUM($I58:$K58),0))</f>
        <v/>
      </c>
      <c r="N58" s="127" t="n"/>
      <c r="O58" s="150">
        <f>IF($B58="","",IF(AND($L58="Có",$D58=""),"Chưa chọn cách tính T13; ","")&amp;IF(AND($D58="Tỷ lệ thời gian",OR($G58&lt;=0,$E58&lt;=0)),"Thiếu căn cứ hoặc số tháng; ","")&amp;IF(AND($D58="Đủ 01 tháng lương",$G58&lt;=0),"Thiếu căn cứ T13; ","")&amp;IF(AND($D58="Bình quân 12 tháng",$F58&lt;=0),"Thiếu bình quân 12 tháng; ","")&amp;IF(AND($D58="Nhập tay",$H58&lt;=0),"Thiếu T13 nhập tay; ",""))</f>
        <v/>
      </c>
    </row>
    <row r="59">
      <c r="A59" s="145">
        <f>IF('DM_NHAN_SU'!$B59="","",ROW()-5)</f>
        <v/>
      </c>
      <c r="B59" s="145">
        <f>IF('DM_NHAN_SU'!$B59="","",'DM_NHAN_SU'!B59)</f>
        <v/>
      </c>
      <c r="C59" s="145">
        <f>IF('DM_NHAN_SU'!$B59="","",'DM_NHAN_SU'!C59)</f>
        <v/>
      </c>
      <c r="D59" s="127" t="n"/>
      <c r="E59" s="227" t="n"/>
      <c r="F59" s="222" t="n"/>
      <c r="G59" s="222" t="n"/>
      <c r="H59" s="222" t="n"/>
      <c r="I59" s="224">
        <f>IF($B59="","",IF($D59="Không",0,IF($D59="Nhập tay",$H59,IF($D59="Đủ 01 tháng lương",$G59,IF($D59="Tỷ lệ thời gian",$G59*MIN(MAX($E59,0),12)/12,IF($D59="Bình quân 12 tháng",$F59,0))))))</f>
        <v/>
      </c>
      <c r="J59" s="222" t="n"/>
      <c r="K59" s="222" t="n"/>
      <c r="L59" s="127" t="n"/>
      <c r="M59" s="224">
        <f>IF($B59="","",IF($L59="Có",SUM($I59:$K59),0))</f>
        <v/>
      </c>
      <c r="N59" s="127" t="n"/>
      <c r="O59" s="150">
        <f>IF($B59="","",IF(AND($L59="Có",$D59=""),"Chưa chọn cách tính T13; ","")&amp;IF(AND($D59="Tỷ lệ thời gian",OR($G59&lt;=0,$E59&lt;=0)),"Thiếu căn cứ hoặc số tháng; ","")&amp;IF(AND($D59="Đủ 01 tháng lương",$G59&lt;=0),"Thiếu căn cứ T13; ","")&amp;IF(AND($D59="Bình quân 12 tháng",$F59&lt;=0),"Thiếu bình quân 12 tháng; ","")&amp;IF(AND($D59="Nhập tay",$H59&lt;=0),"Thiếu T13 nhập tay; ",""))</f>
        <v/>
      </c>
    </row>
    <row r="60">
      <c r="A60" s="145">
        <f>IF('DM_NHAN_SU'!$B60="","",ROW()-5)</f>
        <v/>
      </c>
      <c r="B60" s="145">
        <f>IF('DM_NHAN_SU'!$B60="","",'DM_NHAN_SU'!B60)</f>
        <v/>
      </c>
      <c r="C60" s="145">
        <f>IF('DM_NHAN_SU'!$B60="","",'DM_NHAN_SU'!C60)</f>
        <v/>
      </c>
      <c r="D60" s="127" t="n"/>
      <c r="E60" s="227" t="n"/>
      <c r="F60" s="222" t="n"/>
      <c r="G60" s="222" t="n"/>
      <c r="H60" s="222" t="n"/>
      <c r="I60" s="224">
        <f>IF($B60="","",IF($D60="Không",0,IF($D60="Nhập tay",$H60,IF($D60="Đủ 01 tháng lương",$G60,IF($D60="Tỷ lệ thời gian",$G60*MIN(MAX($E60,0),12)/12,IF($D60="Bình quân 12 tháng",$F60,0))))))</f>
        <v/>
      </c>
      <c r="J60" s="222" t="n"/>
      <c r="K60" s="222" t="n"/>
      <c r="L60" s="127" t="n"/>
      <c r="M60" s="224">
        <f>IF($B60="","",IF($L60="Có",SUM($I60:$K60),0))</f>
        <v/>
      </c>
      <c r="N60" s="127" t="n"/>
      <c r="O60" s="150">
        <f>IF($B60="","",IF(AND($L60="Có",$D60=""),"Chưa chọn cách tính T13; ","")&amp;IF(AND($D60="Tỷ lệ thời gian",OR($G60&lt;=0,$E60&lt;=0)),"Thiếu căn cứ hoặc số tháng; ","")&amp;IF(AND($D60="Đủ 01 tháng lương",$G60&lt;=0),"Thiếu căn cứ T13; ","")&amp;IF(AND($D60="Bình quân 12 tháng",$F60&lt;=0),"Thiếu bình quân 12 tháng; ","")&amp;IF(AND($D60="Nhập tay",$H60&lt;=0),"Thiếu T13 nhập tay; ",""))</f>
        <v/>
      </c>
    </row>
    <row r="61">
      <c r="A61" s="145">
        <f>IF('DM_NHAN_SU'!$B61="","",ROW()-5)</f>
        <v/>
      </c>
      <c r="B61" s="145">
        <f>IF('DM_NHAN_SU'!$B61="","",'DM_NHAN_SU'!B61)</f>
        <v/>
      </c>
      <c r="C61" s="145">
        <f>IF('DM_NHAN_SU'!$B61="","",'DM_NHAN_SU'!C61)</f>
        <v/>
      </c>
      <c r="D61" s="127" t="n"/>
      <c r="E61" s="227" t="n"/>
      <c r="F61" s="222" t="n"/>
      <c r="G61" s="222" t="n"/>
      <c r="H61" s="222" t="n"/>
      <c r="I61" s="224">
        <f>IF($B61="","",IF($D61="Không",0,IF($D61="Nhập tay",$H61,IF($D61="Đủ 01 tháng lương",$G61,IF($D61="Tỷ lệ thời gian",$G61*MIN(MAX($E61,0),12)/12,IF($D61="Bình quân 12 tháng",$F61,0))))))</f>
        <v/>
      </c>
      <c r="J61" s="222" t="n"/>
      <c r="K61" s="222" t="n"/>
      <c r="L61" s="127" t="n"/>
      <c r="M61" s="224">
        <f>IF($B61="","",IF($L61="Có",SUM($I61:$K61),0))</f>
        <v/>
      </c>
      <c r="N61" s="127" t="n"/>
      <c r="O61" s="150">
        <f>IF($B61="","",IF(AND($L61="Có",$D61=""),"Chưa chọn cách tính T13; ","")&amp;IF(AND($D61="Tỷ lệ thời gian",OR($G61&lt;=0,$E61&lt;=0)),"Thiếu căn cứ hoặc số tháng; ","")&amp;IF(AND($D61="Đủ 01 tháng lương",$G61&lt;=0),"Thiếu căn cứ T13; ","")&amp;IF(AND($D61="Bình quân 12 tháng",$F61&lt;=0),"Thiếu bình quân 12 tháng; ","")&amp;IF(AND($D61="Nhập tay",$H61&lt;=0),"Thiếu T13 nhập tay; ",""))</f>
        <v/>
      </c>
    </row>
    <row r="62">
      <c r="A62" s="145">
        <f>IF('DM_NHAN_SU'!$B62="","",ROW()-5)</f>
        <v/>
      </c>
      <c r="B62" s="145">
        <f>IF('DM_NHAN_SU'!$B62="","",'DM_NHAN_SU'!B62)</f>
        <v/>
      </c>
      <c r="C62" s="145">
        <f>IF('DM_NHAN_SU'!$B62="","",'DM_NHAN_SU'!C62)</f>
        <v/>
      </c>
      <c r="D62" s="127" t="n"/>
      <c r="E62" s="227" t="n"/>
      <c r="F62" s="222" t="n"/>
      <c r="G62" s="222" t="n"/>
      <c r="H62" s="222" t="n"/>
      <c r="I62" s="224">
        <f>IF($B62="","",IF($D62="Không",0,IF($D62="Nhập tay",$H62,IF($D62="Đủ 01 tháng lương",$G62,IF($D62="Tỷ lệ thời gian",$G62*MIN(MAX($E62,0),12)/12,IF($D62="Bình quân 12 tháng",$F62,0))))))</f>
        <v/>
      </c>
      <c r="J62" s="222" t="n"/>
      <c r="K62" s="222" t="n"/>
      <c r="L62" s="127" t="n"/>
      <c r="M62" s="224">
        <f>IF($B62="","",IF($L62="Có",SUM($I62:$K62),0))</f>
        <v/>
      </c>
      <c r="N62" s="127" t="n"/>
      <c r="O62" s="150">
        <f>IF($B62="","",IF(AND($L62="Có",$D62=""),"Chưa chọn cách tính T13; ","")&amp;IF(AND($D62="Tỷ lệ thời gian",OR($G62&lt;=0,$E62&lt;=0)),"Thiếu căn cứ hoặc số tháng; ","")&amp;IF(AND($D62="Đủ 01 tháng lương",$G62&lt;=0),"Thiếu căn cứ T13; ","")&amp;IF(AND($D62="Bình quân 12 tháng",$F62&lt;=0),"Thiếu bình quân 12 tháng; ","")&amp;IF(AND($D62="Nhập tay",$H62&lt;=0),"Thiếu T13 nhập tay; ",""))</f>
        <v/>
      </c>
    </row>
    <row r="63">
      <c r="A63" s="145">
        <f>IF('DM_NHAN_SU'!$B63="","",ROW()-5)</f>
        <v/>
      </c>
      <c r="B63" s="145">
        <f>IF('DM_NHAN_SU'!$B63="","",'DM_NHAN_SU'!B63)</f>
        <v/>
      </c>
      <c r="C63" s="145">
        <f>IF('DM_NHAN_SU'!$B63="","",'DM_NHAN_SU'!C63)</f>
        <v/>
      </c>
      <c r="D63" s="127" t="n"/>
      <c r="E63" s="227" t="n"/>
      <c r="F63" s="222" t="n"/>
      <c r="G63" s="222" t="n"/>
      <c r="H63" s="222" t="n"/>
      <c r="I63" s="224">
        <f>IF($B63="","",IF($D63="Không",0,IF($D63="Nhập tay",$H63,IF($D63="Đủ 01 tháng lương",$G63,IF($D63="Tỷ lệ thời gian",$G63*MIN(MAX($E63,0),12)/12,IF($D63="Bình quân 12 tháng",$F63,0))))))</f>
        <v/>
      </c>
      <c r="J63" s="222" t="n"/>
      <c r="K63" s="222" t="n"/>
      <c r="L63" s="127" t="n"/>
      <c r="M63" s="224">
        <f>IF($B63="","",IF($L63="Có",SUM($I63:$K63),0))</f>
        <v/>
      </c>
      <c r="N63" s="127" t="n"/>
      <c r="O63" s="150">
        <f>IF($B63="","",IF(AND($L63="Có",$D63=""),"Chưa chọn cách tính T13; ","")&amp;IF(AND($D63="Tỷ lệ thời gian",OR($G63&lt;=0,$E63&lt;=0)),"Thiếu căn cứ hoặc số tháng; ","")&amp;IF(AND($D63="Đủ 01 tháng lương",$G63&lt;=0),"Thiếu căn cứ T13; ","")&amp;IF(AND($D63="Bình quân 12 tháng",$F63&lt;=0),"Thiếu bình quân 12 tháng; ","")&amp;IF(AND($D63="Nhập tay",$H63&lt;=0),"Thiếu T13 nhập tay; ",""))</f>
        <v/>
      </c>
    </row>
    <row r="64">
      <c r="A64" s="145">
        <f>IF('DM_NHAN_SU'!$B64="","",ROW()-5)</f>
        <v/>
      </c>
      <c r="B64" s="145">
        <f>IF('DM_NHAN_SU'!$B64="","",'DM_NHAN_SU'!B64)</f>
        <v/>
      </c>
      <c r="C64" s="145">
        <f>IF('DM_NHAN_SU'!$B64="","",'DM_NHAN_SU'!C64)</f>
        <v/>
      </c>
      <c r="D64" s="127" t="n"/>
      <c r="E64" s="227" t="n"/>
      <c r="F64" s="222" t="n"/>
      <c r="G64" s="222" t="n"/>
      <c r="H64" s="222" t="n"/>
      <c r="I64" s="224">
        <f>IF($B64="","",IF($D64="Không",0,IF($D64="Nhập tay",$H64,IF($D64="Đủ 01 tháng lương",$G64,IF($D64="Tỷ lệ thời gian",$G64*MIN(MAX($E64,0),12)/12,IF($D64="Bình quân 12 tháng",$F64,0))))))</f>
        <v/>
      </c>
      <c r="J64" s="222" t="n"/>
      <c r="K64" s="222" t="n"/>
      <c r="L64" s="127" t="n"/>
      <c r="M64" s="224">
        <f>IF($B64="","",IF($L64="Có",SUM($I64:$K64),0))</f>
        <v/>
      </c>
      <c r="N64" s="127" t="n"/>
      <c r="O64" s="150">
        <f>IF($B64="","",IF(AND($L64="Có",$D64=""),"Chưa chọn cách tính T13; ","")&amp;IF(AND($D64="Tỷ lệ thời gian",OR($G64&lt;=0,$E64&lt;=0)),"Thiếu căn cứ hoặc số tháng; ","")&amp;IF(AND($D64="Đủ 01 tháng lương",$G64&lt;=0),"Thiếu căn cứ T13; ","")&amp;IF(AND($D64="Bình quân 12 tháng",$F64&lt;=0),"Thiếu bình quân 12 tháng; ","")&amp;IF(AND($D64="Nhập tay",$H64&lt;=0),"Thiếu T13 nhập tay; ",""))</f>
        <v/>
      </c>
    </row>
    <row r="65">
      <c r="A65" s="145">
        <f>IF('DM_NHAN_SU'!$B65="","",ROW()-5)</f>
        <v/>
      </c>
      <c r="B65" s="145">
        <f>IF('DM_NHAN_SU'!$B65="","",'DM_NHAN_SU'!B65)</f>
        <v/>
      </c>
      <c r="C65" s="145">
        <f>IF('DM_NHAN_SU'!$B65="","",'DM_NHAN_SU'!C65)</f>
        <v/>
      </c>
      <c r="D65" s="127" t="n"/>
      <c r="E65" s="227" t="n"/>
      <c r="F65" s="222" t="n"/>
      <c r="G65" s="222" t="n"/>
      <c r="H65" s="222" t="n"/>
      <c r="I65" s="224">
        <f>IF($B65="","",IF($D65="Không",0,IF($D65="Nhập tay",$H65,IF($D65="Đủ 01 tháng lương",$G65,IF($D65="Tỷ lệ thời gian",$G65*MIN(MAX($E65,0),12)/12,IF($D65="Bình quân 12 tháng",$F65,0))))))</f>
        <v/>
      </c>
      <c r="J65" s="222" t="n"/>
      <c r="K65" s="222" t="n"/>
      <c r="L65" s="127" t="n"/>
      <c r="M65" s="224">
        <f>IF($B65="","",IF($L65="Có",SUM($I65:$K65),0))</f>
        <v/>
      </c>
      <c r="N65" s="127" t="n"/>
      <c r="O65" s="150">
        <f>IF($B65="","",IF(AND($L65="Có",$D65=""),"Chưa chọn cách tính T13; ","")&amp;IF(AND($D65="Tỷ lệ thời gian",OR($G65&lt;=0,$E65&lt;=0)),"Thiếu căn cứ hoặc số tháng; ","")&amp;IF(AND($D65="Đủ 01 tháng lương",$G65&lt;=0),"Thiếu căn cứ T13; ","")&amp;IF(AND($D65="Bình quân 12 tháng",$F65&lt;=0),"Thiếu bình quân 12 tháng; ","")&amp;IF(AND($D65="Nhập tay",$H65&lt;=0),"Thiếu T13 nhập tay; ",""))</f>
        <v/>
      </c>
    </row>
    <row r="66">
      <c r="A66" s="145">
        <f>IF('DM_NHAN_SU'!$B66="","",ROW()-5)</f>
        <v/>
      </c>
      <c r="B66" s="145">
        <f>IF('DM_NHAN_SU'!$B66="","",'DM_NHAN_SU'!B66)</f>
        <v/>
      </c>
      <c r="C66" s="145">
        <f>IF('DM_NHAN_SU'!$B66="","",'DM_NHAN_SU'!C66)</f>
        <v/>
      </c>
      <c r="D66" s="127" t="n"/>
      <c r="E66" s="227" t="n"/>
      <c r="F66" s="222" t="n"/>
      <c r="G66" s="222" t="n"/>
      <c r="H66" s="222" t="n"/>
      <c r="I66" s="224">
        <f>IF($B66="","",IF($D66="Không",0,IF($D66="Nhập tay",$H66,IF($D66="Đủ 01 tháng lương",$G66,IF($D66="Tỷ lệ thời gian",$G66*MIN(MAX($E66,0),12)/12,IF($D66="Bình quân 12 tháng",$F66,0))))))</f>
        <v/>
      </c>
      <c r="J66" s="222" t="n"/>
      <c r="K66" s="222" t="n"/>
      <c r="L66" s="127" t="n"/>
      <c r="M66" s="224">
        <f>IF($B66="","",IF($L66="Có",SUM($I66:$K66),0))</f>
        <v/>
      </c>
      <c r="N66" s="127" t="n"/>
      <c r="O66" s="150">
        <f>IF($B66="","",IF(AND($L66="Có",$D66=""),"Chưa chọn cách tính T13; ","")&amp;IF(AND($D66="Tỷ lệ thời gian",OR($G66&lt;=0,$E66&lt;=0)),"Thiếu căn cứ hoặc số tháng; ","")&amp;IF(AND($D66="Đủ 01 tháng lương",$G66&lt;=0),"Thiếu căn cứ T13; ","")&amp;IF(AND($D66="Bình quân 12 tháng",$F66&lt;=0),"Thiếu bình quân 12 tháng; ","")&amp;IF(AND($D66="Nhập tay",$H66&lt;=0),"Thiếu T13 nhập tay; ",""))</f>
        <v/>
      </c>
    </row>
    <row r="67">
      <c r="A67" s="145">
        <f>IF('DM_NHAN_SU'!$B67="","",ROW()-5)</f>
        <v/>
      </c>
      <c r="B67" s="145">
        <f>IF('DM_NHAN_SU'!$B67="","",'DM_NHAN_SU'!B67)</f>
        <v/>
      </c>
      <c r="C67" s="145">
        <f>IF('DM_NHAN_SU'!$B67="","",'DM_NHAN_SU'!C67)</f>
        <v/>
      </c>
      <c r="D67" s="127" t="n"/>
      <c r="E67" s="227" t="n"/>
      <c r="F67" s="222" t="n"/>
      <c r="G67" s="222" t="n"/>
      <c r="H67" s="222" t="n"/>
      <c r="I67" s="224">
        <f>IF($B67="","",IF($D67="Không",0,IF($D67="Nhập tay",$H67,IF($D67="Đủ 01 tháng lương",$G67,IF($D67="Tỷ lệ thời gian",$G67*MIN(MAX($E67,0),12)/12,IF($D67="Bình quân 12 tháng",$F67,0))))))</f>
        <v/>
      </c>
      <c r="J67" s="222" t="n"/>
      <c r="K67" s="222" t="n"/>
      <c r="L67" s="127" t="n"/>
      <c r="M67" s="224">
        <f>IF($B67="","",IF($L67="Có",SUM($I67:$K67),0))</f>
        <v/>
      </c>
      <c r="N67" s="127" t="n"/>
      <c r="O67" s="150">
        <f>IF($B67="","",IF(AND($L67="Có",$D67=""),"Chưa chọn cách tính T13; ","")&amp;IF(AND($D67="Tỷ lệ thời gian",OR($G67&lt;=0,$E67&lt;=0)),"Thiếu căn cứ hoặc số tháng; ","")&amp;IF(AND($D67="Đủ 01 tháng lương",$G67&lt;=0),"Thiếu căn cứ T13; ","")&amp;IF(AND($D67="Bình quân 12 tháng",$F67&lt;=0),"Thiếu bình quân 12 tháng; ","")&amp;IF(AND($D67="Nhập tay",$H67&lt;=0),"Thiếu T13 nhập tay; ",""))</f>
        <v/>
      </c>
    </row>
    <row r="68">
      <c r="A68" s="145">
        <f>IF('DM_NHAN_SU'!$B68="","",ROW()-5)</f>
        <v/>
      </c>
      <c r="B68" s="145">
        <f>IF('DM_NHAN_SU'!$B68="","",'DM_NHAN_SU'!B68)</f>
        <v/>
      </c>
      <c r="C68" s="145">
        <f>IF('DM_NHAN_SU'!$B68="","",'DM_NHAN_SU'!C68)</f>
        <v/>
      </c>
      <c r="D68" s="127" t="n"/>
      <c r="E68" s="227" t="n"/>
      <c r="F68" s="222" t="n"/>
      <c r="G68" s="222" t="n"/>
      <c r="H68" s="222" t="n"/>
      <c r="I68" s="224">
        <f>IF($B68="","",IF($D68="Không",0,IF($D68="Nhập tay",$H68,IF($D68="Đủ 01 tháng lương",$G68,IF($D68="Tỷ lệ thời gian",$G68*MIN(MAX($E68,0),12)/12,IF($D68="Bình quân 12 tháng",$F68,0))))))</f>
        <v/>
      </c>
      <c r="J68" s="222" t="n"/>
      <c r="K68" s="222" t="n"/>
      <c r="L68" s="127" t="n"/>
      <c r="M68" s="224">
        <f>IF($B68="","",IF($L68="Có",SUM($I68:$K68),0))</f>
        <v/>
      </c>
      <c r="N68" s="127" t="n"/>
      <c r="O68" s="150">
        <f>IF($B68="","",IF(AND($L68="Có",$D68=""),"Chưa chọn cách tính T13; ","")&amp;IF(AND($D68="Tỷ lệ thời gian",OR($G68&lt;=0,$E68&lt;=0)),"Thiếu căn cứ hoặc số tháng; ","")&amp;IF(AND($D68="Đủ 01 tháng lương",$G68&lt;=0),"Thiếu căn cứ T13; ","")&amp;IF(AND($D68="Bình quân 12 tháng",$F68&lt;=0),"Thiếu bình quân 12 tháng; ","")&amp;IF(AND($D68="Nhập tay",$H68&lt;=0),"Thiếu T13 nhập tay; ",""))</f>
        <v/>
      </c>
    </row>
    <row r="69">
      <c r="A69" s="145">
        <f>IF('DM_NHAN_SU'!$B69="","",ROW()-5)</f>
        <v/>
      </c>
      <c r="B69" s="145">
        <f>IF('DM_NHAN_SU'!$B69="","",'DM_NHAN_SU'!B69)</f>
        <v/>
      </c>
      <c r="C69" s="145">
        <f>IF('DM_NHAN_SU'!$B69="","",'DM_NHAN_SU'!C69)</f>
        <v/>
      </c>
      <c r="D69" s="127" t="n"/>
      <c r="E69" s="227" t="n"/>
      <c r="F69" s="222" t="n"/>
      <c r="G69" s="222" t="n"/>
      <c r="H69" s="222" t="n"/>
      <c r="I69" s="224">
        <f>IF($B69="","",IF($D69="Không",0,IF($D69="Nhập tay",$H69,IF($D69="Đủ 01 tháng lương",$G69,IF($D69="Tỷ lệ thời gian",$G69*MIN(MAX($E69,0),12)/12,IF($D69="Bình quân 12 tháng",$F69,0))))))</f>
        <v/>
      </c>
      <c r="J69" s="222" t="n"/>
      <c r="K69" s="222" t="n"/>
      <c r="L69" s="127" t="n"/>
      <c r="M69" s="224">
        <f>IF($B69="","",IF($L69="Có",SUM($I69:$K69),0))</f>
        <v/>
      </c>
      <c r="N69" s="127" t="n"/>
      <c r="O69" s="150">
        <f>IF($B69="","",IF(AND($L69="Có",$D69=""),"Chưa chọn cách tính T13; ","")&amp;IF(AND($D69="Tỷ lệ thời gian",OR($G69&lt;=0,$E69&lt;=0)),"Thiếu căn cứ hoặc số tháng; ","")&amp;IF(AND($D69="Đủ 01 tháng lương",$G69&lt;=0),"Thiếu căn cứ T13; ","")&amp;IF(AND($D69="Bình quân 12 tháng",$F69&lt;=0),"Thiếu bình quân 12 tháng; ","")&amp;IF(AND($D69="Nhập tay",$H69&lt;=0),"Thiếu T13 nhập tay; ",""))</f>
        <v/>
      </c>
    </row>
    <row r="70">
      <c r="A70" s="145">
        <f>IF('DM_NHAN_SU'!$B70="","",ROW()-5)</f>
        <v/>
      </c>
      <c r="B70" s="145">
        <f>IF('DM_NHAN_SU'!$B70="","",'DM_NHAN_SU'!B70)</f>
        <v/>
      </c>
      <c r="C70" s="145">
        <f>IF('DM_NHAN_SU'!$B70="","",'DM_NHAN_SU'!C70)</f>
        <v/>
      </c>
      <c r="D70" s="127" t="n"/>
      <c r="E70" s="227" t="n"/>
      <c r="F70" s="222" t="n"/>
      <c r="G70" s="222" t="n"/>
      <c r="H70" s="222" t="n"/>
      <c r="I70" s="224">
        <f>IF($B70="","",IF($D70="Không",0,IF($D70="Nhập tay",$H70,IF($D70="Đủ 01 tháng lương",$G70,IF($D70="Tỷ lệ thời gian",$G70*MIN(MAX($E70,0),12)/12,IF($D70="Bình quân 12 tháng",$F70,0))))))</f>
        <v/>
      </c>
      <c r="J70" s="222" t="n"/>
      <c r="K70" s="222" t="n"/>
      <c r="L70" s="127" t="n"/>
      <c r="M70" s="224">
        <f>IF($B70="","",IF($L70="Có",SUM($I70:$K70),0))</f>
        <v/>
      </c>
      <c r="N70" s="127" t="n"/>
      <c r="O70" s="150">
        <f>IF($B70="","",IF(AND($L70="Có",$D70=""),"Chưa chọn cách tính T13; ","")&amp;IF(AND($D70="Tỷ lệ thời gian",OR($G70&lt;=0,$E70&lt;=0)),"Thiếu căn cứ hoặc số tháng; ","")&amp;IF(AND($D70="Đủ 01 tháng lương",$G70&lt;=0),"Thiếu căn cứ T13; ","")&amp;IF(AND($D70="Bình quân 12 tháng",$F70&lt;=0),"Thiếu bình quân 12 tháng; ","")&amp;IF(AND($D70="Nhập tay",$H70&lt;=0),"Thiếu T13 nhập tay; ",""))</f>
        <v/>
      </c>
    </row>
    <row r="71">
      <c r="A71" s="145">
        <f>IF('DM_NHAN_SU'!$B71="","",ROW()-5)</f>
        <v/>
      </c>
      <c r="B71" s="145">
        <f>IF('DM_NHAN_SU'!$B71="","",'DM_NHAN_SU'!B71)</f>
        <v/>
      </c>
      <c r="C71" s="145">
        <f>IF('DM_NHAN_SU'!$B71="","",'DM_NHAN_SU'!C71)</f>
        <v/>
      </c>
      <c r="D71" s="127" t="n"/>
      <c r="E71" s="227" t="n"/>
      <c r="F71" s="222" t="n"/>
      <c r="G71" s="222" t="n"/>
      <c r="H71" s="222" t="n"/>
      <c r="I71" s="224">
        <f>IF($B71="","",IF($D71="Không",0,IF($D71="Nhập tay",$H71,IF($D71="Đủ 01 tháng lương",$G71,IF($D71="Tỷ lệ thời gian",$G71*MIN(MAX($E71,0),12)/12,IF($D71="Bình quân 12 tháng",$F71,0))))))</f>
        <v/>
      </c>
      <c r="J71" s="222" t="n"/>
      <c r="K71" s="222" t="n"/>
      <c r="L71" s="127" t="n"/>
      <c r="M71" s="224">
        <f>IF($B71="","",IF($L71="Có",SUM($I71:$K71),0))</f>
        <v/>
      </c>
      <c r="N71" s="127" t="n"/>
      <c r="O71" s="150">
        <f>IF($B71="","",IF(AND($L71="Có",$D71=""),"Chưa chọn cách tính T13; ","")&amp;IF(AND($D71="Tỷ lệ thời gian",OR($G71&lt;=0,$E71&lt;=0)),"Thiếu căn cứ hoặc số tháng; ","")&amp;IF(AND($D71="Đủ 01 tháng lương",$G71&lt;=0),"Thiếu căn cứ T13; ","")&amp;IF(AND($D71="Bình quân 12 tháng",$F71&lt;=0),"Thiếu bình quân 12 tháng; ","")&amp;IF(AND($D71="Nhập tay",$H71&lt;=0),"Thiếu T13 nhập tay; ",""))</f>
        <v/>
      </c>
    </row>
    <row r="72">
      <c r="A72" s="145">
        <f>IF('DM_NHAN_SU'!$B72="","",ROW()-5)</f>
        <v/>
      </c>
      <c r="B72" s="145">
        <f>IF('DM_NHAN_SU'!$B72="","",'DM_NHAN_SU'!B72)</f>
        <v/>
      </c>
      <c r="C72" s="145">
        <f>IF('DM_NHAN_SU'!$B72="","",'DM_NHAN_SU'!C72)</f>
        <v/>
      </c>
      <c r="D72" s="127" t="n"/>
      <c r="E72" s="227" t="n"/>
      <c r="F72" s="222" t="n"/>
      <c r="G72" s="222" t="n"/>
      <c r="H72" s="222" t="n"/>
      <c r="I72" s="224">
        <f>IF($B72="","",IF($D72="Không",0,IF($D72="Nhập tay",$H72,IF($D72="Đủ 01 tháng lương",$G72,IF($D72="Tỷ lệ thời gian",$G72*MIN(MAX($E72,0),12)/12,IF($D72="Bình quân 12 tháng",$F72,0))))))</f>
        <v/>
      </c>
      <c r="J72" s="222" t="n"/>
      <c r="K72" s="222" t="n"/>
      <c r="L72" s="127" t="n"/>
      <c r="M72" s="224">
        <f>IF($B72="","",IF($L72="Có",SUM($I72:$K72),0))</f>
        <v/>
      </c>
      <c r="N72" s="127" t="n"/>
      <c r="O72" s="150">
        <f>IF($B72="","",IF(AND($L72="Có",$D72=""),"Chưa chọn cách tính T13; ","")&amp;IF(AND($D72="Tỷ lệ thời gian",OR($G72&lt;=0,$E72&lt;=0)),"Thiếu căn cứ hoặc số tháng; ","")&amp;IF(AND($D72="Đủ 01 tháng lương",$G72&lt;=0),"Thiếu căn cứ T13; ","")&amp;IF(AND($D72="Bình quân 12 tháng",$F72&lt;=0),"Thiếu bình quân 12 tháng; ","")&amp;IF(AND($D72="Nhập tay",$H72&lt;=0),"Thiếu T13 nhập tay; ",""))</f>
        <v/>
      </c>
    </row>
    <row r="73">
      <c r="A73" s="145">
        <f>IF('DM_NHAN_SU'!$B73="","",ROW()-5)</f>
        <v/>
      </c>
      <c r="B73" s="145">
        <f>IF('DM_NHAN_SU'!$B73="","",'DM_NHAN_SU'!B73)</f>
        <v/>
      </c>
      <c r="C73" s="145">
        <f>IF('DM_NHAN_SU'!$B73="","",'DM_NHAN_SU'!C73)</f>
        <v/>
      </c>
      <c r="D73" s="127" t="n"/>
      <c r="E73" s="227" t="n"/>
      <c r="F73" s="222" t="n"/>
      <c r="G73" s="222" t="n"/>
      <c r="H73" s="222" t="n"/>
      <c r="I73" s="224">
        <f>IF($B73="","",IF($D73="Không",0,IF($D73="Nhập tay",$H73,IF($D73="Đủ 01 tháng lương",$G73,IF($D73="Tỷ lệ thời gian",$G73*MIN(MAX($E73,0),12)/12,IF($D73="Bình quân 12 tháng",$F73,0))))))</f>
        <v/>
      </c>
      <c r="J73" s="222" t="n"/>
      <c r="K73" s="222" t="n"/>
      <c r="L73" s="127" t="n"/>
      <c r="M73" s="224">
        <f>IF($B73="","",IF($L73="Có",SUM($I73:$K73),0))</f>
        <v/>
      </c>
      <c r="N73" s="127" t="n"/>
      <c r="O73" s="150">
        <f>IF($B73="","",IF(AND($L73="Có",$D73=""),"Chưa chọn cách tính T13; ","")&amp;IF(AND($D73="Tỷ lệ thời gian",OR($G73&lt;=0,$E73&lt;=0)),"Thiếu căn cứ hoặc số tháng; ","")&amp;IF(AND($D73="Đủ 01 tháng lương",$G73&lt;=0),"Thiếu căn cứ T13; ","")&amp;IF(AND($D73="Bình quân 12 tháng",$F73&lt;=0),"Thiếu bình quân 12 tháng; ","")&amp;IF(AND($D73="Nhập tay",$H73&lt;=0),"Thiếu T13 nhập tay; ",""))</f>
        <v/>
      </c>
    </row>
    <row r="74">
      <c r="A74" s="145">
        <f>IF('DM_NHAN_SU'!$B74="","",ROW()-5)</f>
        <v/>
      </c>
      <c r="B74" s="145">
        <f>IF('DM_NHAN_SU'!$B74="","",'DM_NHAN_SU'!B74)</f>
        <v/>
      </c>
      <c r="C74" s="145">
        <f>IF('DM_NHAN_SU'!$B74="","",'DM_NHAN_SU'!C74)</f>
        <v/>
      </c>
      <c r="D74" s="127" t="n"/>
      <c r="E74" s="227" t="n"/>
      <c r="F74" s="222" t="n"/>
      <c r="G74" s="222" t="n"/>
      <c r="H74" s="222" t="n"/>
      <c r="I74" s="224">
        <f>IF($B74="","",IF($D74="Không",0,IF($D74="Nhập tay",$H74,IF($D74="Đủ 01 tháng lương",$G74,IF($D74="Tỷ lệ thời gian",$G74*MIN(MAX($E74,0),12)/12,IF($D74="Bình quân 12 tháng",$F74,0))))))</f>
        <v/>
      </c>
      <c r="J74" s="222" t="n"/>
      <c r="K74" s="222" t="n"/>
      <c r="L74" s="127" t="n"/>
      <c r="M74" s="224">
        <f>IF($B74="","",IF($L74="Có",SUM($I74:$K74),0))</f>
        <v/>
      </c>
      <c r="N74" s="127" t="n"/>
      <c r="O74" s="150">
        <f>IF($B74="","",IF(AND($L74="Có",$D74=""),"Chưa chọn cách tính T13; ","")&amp;IF(AND($D74="Tỷ lệ thời gian",OR($G74&lt;=0,$E74&lt;=0)),"Thiếu căn cứ hoặc số tháng; ","")&amp;IF(AND($D74="Đủ 01 tháng lương",$G74&lt;=0),"Thiếu căn cứ T13; ","")&amp;IF(AND($D74="Bình quân 12 tháng",$F74&lt;=0),"Thiếu bình quân 12 tháng; ","")&amp;IF(AND($D74="Nhập tay",$H74&lt;=0),"Thiếu T13 nhập tay; ",""))</f>
        <v/>
      </c>
    </row>
    <row r="75">
      <c r="A75" s="145">
        <f>IF('DM_NHAN_SU'!$B75="","",ROW()-5)</f>
        <v/>
      </c>
      <c r="B75" s="145">
        <f>IF('DM_NHAN_SU'!$B75="","",'DM_NHAN_SU'!B75)</f>
        <v/>
      </c>
      <c r="C75" s="145">
        <f>IF('DM_NHAN_SU'!$B75="","",'DM_NHAN_SU'!C75)</f>
        <v/>
      </c>
      <c r="D75" s="127" t="n"/>
      <c r="E75" s="227" t="n"/>
      <c r="F75" s="222" t="n"/>
      <c r="G75" s="222" t="n"/>
      <c r="H75" s="222" t="n"/>
      <c r="I75" s="224">
        <f>IF($B75="","",IF($D75="Không",0,IF($D75="Nhập tay",$H75,IF($D75="Đủ 01 tháng lương",$G75,IF($D75="Tỷ lệ thời gian",$G75*MIN(MAX($E75,0),12)/12,IF($D75="Bình quân 12 tháng",$F75,0))))))</f>
        <v/>
      </c>
      <c r="J75" s="222" t="n"/>
      <c r="K75" s="222" t="n"/>
      <c r="L75" s="127" t="n"/>
      <c r="M75" s="224">
        <f>IF($B75="","",IF($L75="Có",SUM($I75:$K75),0))</f>
        <v/>
      </c>
      <c r="N75" s="127" t="n"/>
      <c r="O75" s="150">
        <f>IF($B75="","",IF(AND($L75="Có",$D75=""),"Chưa chọn cách tính T13; ","")&amp;IF(AND($D75="Tỷ lệ thời gian",OR($G75&lt;=0,$E75&lt;=0)),"Thiếu căn cứ hoặc số tháng; ","")&amp;IF(AND($D75="Đủ 01 tháng lương",$G75&lt;=0),"Thiếu căn cứ T13; ","")&amp;IF(AND($D75="Bình quân 12 tháng",$F75&lt;=0),"Thiếu bình quân 12 tháng; ","")&amp;IF(AND($D75="Nhập tay",$H75&lt;=0),"Thiếu T13 nhập tay; ",""))</f>
        <v/>
      </c>
    </row>
    <row r="76">
      <c r="A76" s="145">
        <f>IF('DM_NHAN_SU'!$B76="","",ROW()-5)</f>
        <v/>
      </c>
      <c r="B76" s="145">
        <f>IF('DM_NHAN_SU'!$B76="","",'DM_NHAN_SU'!B76)</f>
        <v/>
      </c>
      <c r="C76" s="145">
        <f>IF('DM_NHAN_SU'!$B76="","",'DM_NHAN_SU'!C76)</f>
        <v/>
      </c>
      <c r="D76" s="127" t="n"/>
      <c r="E76" s="227" t="n"/>
      <c r="F76" s="222" t="n"/>
      <c r="G76" s="222" t="n"/>
      <c r="H76" s="222" t="n"/>
      <c r="I76" s="224">
        <f>IF($B76="","",IF($D76="Không",0,IF($D76="Nhập tay",$H76,IF($D76="Đủ 01 tháng lương",$G76,IF($D76="Tỷ lệ thời gian",$G76*MIN(MAX($E76,0),12)/12,IF($D76="Bình quân 12 tháng",$F76,0))))))</f>
        <v/>
      </c>
      <c r="J76" s="222" t="n"/>
      <c r="K76" s="222" t="n"/>
      <c r="L76" s="127" t="n"/>
      <c r="M76" s="224">
        <f>IF($B76="","",IF($L76="Có",SUM($I76:$K76),0))</f>
        <v/>
      </c>
      <c r="N76" s="127" t="n"/>
      <c r="O76" s="150">
        <f>IF($B76="","",IF(AND($L76="Có",$D76=""),"Chưa chọn cách tính T13; ","")&amp;IF(AND($D76="Tỷ lệ thời gian",OR($G76&lt;=0,$E76&lt;=0)),"Thiếu căn cứ hoặc số tháng; ","")&amp;IF(AND($D76="Đủ 01 tháng lương",$G76&lt;=0),"Thiếu căn cứ T13; ","")&amp;IF(AND($D76="Bình quân 12 tháng",$F76&lt;=0),"Thiếu bình quân 12 tháng; ","")&amp;IF(AND($D76="Nhập tay",$H76&lt;=0),"Thiếu T13 nhập tay; ",""))</f>
        <v/>
      </c>
    </row>
    <row r="77">
      <c r="A77" s="145">
        <f>IF('DM_NHAN_SU'!$B77="","",ROW()-5)</f>
        <v/>
      </c>
      <c r="B77" s="145">
        <f>IF('DM_NHAN_SU'!$B77="","",'DM_NHAN_SU'!B77)</f>
        <v/>
      </c>
      <c r="C77" s="145">
        <f>IF('DM_NHAN_SU'!$B77="","",'DM_NHAN_SU'!C77)</f>
        <v/>
      </c>
      <c r="D77" s="127" t="n"/>
      <c r="E77" s="227" t="n"/>
      <c r="F77" s="222" t="n"/>
      <c r="G77" s="222" t="n"/>
      <c r="H77" s="222" t="n"/>
      <c r="I77" s="224">
        <f>IF($B77="","",IF($D77="Không",0,IF($D77="Nhập tay",$H77,IF($D77="Đủ 01 tháng lương",$G77,IF($D77="Tỷ lệ thời gian",$G77*MIN(MAX($E77,0),12)/12,IF($D77="Bình quân 12 tháng",$F77,0))))))</f>
        <v/>
      </c>
      <c r="J77" s="222" t="n"/>
      <c r="K77" s="222" t="n"/>
      <c r="L77" s="127" t="n"/>
      <c r="M77" s="224">
        <f>IF($B77="","",IF($L77="Có",SUM($I77:$K77),0))</f>
        <v/>
      </c>
      <c r="N77" s="127" t="n"/>
      <c r="O77" s="150">
        <f>IF($B77="","",IF(AND($L77="Có",$D77=""),"Chưa chọn cách tính T13; ","")&amp;IF(AND($D77="Tỷ lệ thời gian",OR($G77&lt;=0,$E77&lt;=0)),"Thiếu căn cứ hoặc số tháng; ","")&amp;IF(AND($D77="Đủ 01 tháng lương",$G77&lt;=0),"Thiếu căn cứ T13; ","")&amp;IF(AND($D77="Bình quân 12 tháng",$F77&lt;=0),"Thiếu bình quân 12 tháng; ","")&amp;IF(AND($D77="Nhập tay",$H77&lt;=0),"Thiếu T13 nhập tay; ",""))</f>
        <v/>
      </c>
    </row>
    <row r="78">
      <c r="A78" s="145">
        <f>IF('DM_NHAN_SU'!$B78="","",ROW()-5)</f>
        <v/>
      </c>
      <c r="B78" s="145">
        <f>IF('DM_NHAN_SU'!$B78="","",'DM_NHAN_SU'!B78)</f>
        <v/>
      </c>
      <c r="C78" s="145">
        <f>IF('DM_NHAN_SU'!$B78="","",'DM_NHAN_SU'!C78)</f>
        <v/>
      </c>
      <c r="D78" s="127" t="n"/>
      <c r="E78" s="227" t="n"/>
      <c r="F78" s="222" t="n"/>
      <c r="G78" s="222" t="n"/>
      <c r="H78" s="222" t="n"/>
      <c r="I78" s="224">
        <f>IF($B78="","",IF($D78="Không",0,IF($D78="Nhập tay",$H78,IF($D78="Đủ 01 tháng lương",$G78,IF($D78="Tỷ lệ thời gian",$G78*MIN(MAX($E78,0),12)/12,IF($D78="Bình quân 12 tháng",$F78,0))))))</f>
        <v/>
      </c>
      <c r="J78" s="222" t="n"/>
      <c r="K78" s="222" t="n"/>
      <c r="L78" s="127" t="n"/>
      <c r="M78" s="224">
        <f>IF($B78="","",IF($L78="Có",SUM($I78:$K78),0))</f>
        <v/>
      </c>
      <c r="N78" s="127" t="n"/>
      <c r="O78" s="150">
        <f>IF($B78="","",IF(AND($L78="Có",$D78=""),"Chưa chọn cách tính T13; ","")&amp;IF(AND($D78="Tỷ lệ thời gian",OR($G78&lt;=0,$E78&lt;=0)),"Thiếu căn cứ hoặc số tháng; ","")&amp;IF(AND($D78="Đủ 01 tháng lương",$G78&lt;=0),"Thiếu căn cứ T13; ","")&amp;IF(AND($D78="Bình quân 12 tháng",$F78&lt;=0),"Thiếu bình quân 12 tháng; ","")&amp;IF(AND($D78="Nhập tay",$H78&lt;=0),"Thiếu T13 nhập tay; ",""))</f>
        <v/>
      </c>
    </row>
    <row r="79">
      <c r="A79" s="145">
        <f>IF('DM_NHAN_SU'!$B79="","",ROW()-5)</f>
        <v/>
      </c>
      <c r="B79" s="145">
        <f>IF('DM_NHAN_SU'!$B79="","",'DM_NHAN_SU'!B79)</f>
        <v/>
      </c>
      <c r="C79" s="145">
        <f>IF('DM_NHAN_SU'!$B79="","",'DM_NHAN_SU'!C79)</f>
        <v/>
      </c>
      <c r="D79" s="127" t="n"/>
      <c r="E79" s="227" t="n"/>
      <c r="F79" s="222" t="n"/>
      <c r="G79" s="222" t="n"/>
      <c r="H79" s="222" t="n"/>
      <c r="I79" s="224">
        <f>IF($B79="","",IF($D79="Không",0,IF($D79="Nhập tay",$H79,IF($D79="Đủ 01 tháng lương",$G79,IF($D79="Tỷ lệ thời gian",$G79*MIN(MAX($E79,0),12)/12,IF($D79="Bình quân 12 tháng",$F79,0))))))</f>
        <v/>
      </c>
      <c r="J79" s="222" t="n"/>
      <c r="K79" s="222" t="n"/>
      <c r="L79" s="127" t="n"/>
      <c r="M79" s="224">
        <f>IF($B79="","",IF($L79="Có",SUM($I79:$K79),0))</f>
        <v/>
      </c>
      <c r="N79" s="127" t="n"/>
      <c r="O79" s="150">
        <f>IF($B79="","",IF(AND($L79="Có",$D79=""),"Chưa chọn cách tính T13; ","")&amp;IF(AND($D79="Tỷ lệ thời gian",OR($G79&lt;=0,$E79&lt;=0)),"Thiếu căn cứ hoặc số tháng; ","")&amp;IF(AND($D79="Đủ 01 tháng lương",$G79&lt;=0),"Thiếu căn cứ T13; ","")&amp;IF(AND($D79="Bình quân 12 tháng",$F79&lt;=0),"Thiếu bình quân 12 tháng; ","")&amp;IF(AND($D79="Nhập tay",$H79&lt;=0),"Thiếu T13 nhập tay; ",""))</f>
        <v/>
      </c>
    </row>
    <row r="80">
      <c r="A80" s="145">
        <f>IF('DM_NHAN_SU'!$B80="","",ROW()-5)</f>
        <v/>
      </c>
      <c r="B80" s="145">
        <f>IF('DM_NHAN_SU'!$B80="","",'DM_NHAN_SU'!B80)</f>
        <v/>
      </c>
      <c r="C80" s="145">
        <f>IF('DM_NHAN_SU'!$B80="","",'DM_NHAN_SU'!C80)</f>
        <v/>
      </c>
      <c r="D80" s="127" t="n"/>
      <c r="E80" s="227" t="n"/>
      <c r="F80" s="222" t="n"/>
      <c r="G80" s="222" t="n"/>
      <c r="H80" s="222" t="n"/>
      <c r="I80" s="224">
        <f>IF($B80="","",IF($D80="Không",0,IF($D80="Nhập tay",$H80,IF($D80="Đủ 01 tháng lương",$G80,IF($D80="Tỷ lệ thời gian",$G80*MIN(MAX($E80,0),12)/12,IF($D80="Bình quân 12 tháng",$F80,0))))))</f>
        <v/>
      </c>
      <c r="J80" s="222" t="n"/>
      <c r="K80" s="222" t="n"/>
      <c r="L80" s="127" t="n"/>
      <c r="M80" s="224">
        <f>IF($B80="","",IF($L80="Có",SUM($I80:$K80),0))</f>
        <v/>
      </c>
      <c r="N80" s="127" t="n"/>
      <c r="O80" s="150">
        <f>IF($B80="","",IF(AND($L80="Có",$D80=""),"Chưa chọn cách tính T13; ","")&amp;IF(AND($D80="Tỷ lệ thời gian",OR($G80&lt;=0,$E80&lt;=0)),"Thiếu căn cứ hoặc số tháng; ","")&amp;IF(AND($D80="Đủ 01 tháng lương",$G80&lt;=0),"Thiếu căn cứ T13; ","")&amp;IF(AND($D80="Bình quân 12 tháng",$F80&lt;=0),"Thiếu bình quân 12 tháng; ","")&amp;IF(AND($D80="Nhập tay",$H80&lt;=0),"Thiếu T13 nhập tay; ",""))</f>
        <v/>
      </c>
    </row>
    <row r="81">
      <c r="A81" s="145">
        <f>IF('DM_NHAN_SU'!$B81="","",ROW()-5)</f>
        <v/>
      </c>
      <c r="B81" s="145">
        <f>IF('DM_NHAN_SU'!$B81="","",'DM_NHAN_SU'!B81)</f>
        <v/>
      </c>
      <c r="C81" s="145">
        <f>IF('DM_NHAN_SU'!$B81="","",'DM_NHAN_SU'!C81)</f>
        <v/>
      </c>
      <c r="D81" s="127" t="n"/>
      <c r="E81" s="227" t="n"/>
      <c r="F81" s="222" t="n"/>
      <c r="G81" s="222" t="n"/>
      <c r="H81" s="222" t="n"/>
      <c r="I81" s="224">
        <f>IF($B81="","",IF($D81="Không",0,IF($D81="Nhập tay",$H81,IF($D81="Đủ 01 tháng lương",$G81,IF($D81="Tỷ lệ thời gian",$G81*MIN(MAX($E81,0),12)/12,IF($D81="Bình quân 12 tháng",$F81,0))))))</f>
        <v/>
      </c>
      <c r="J81" s="222" t="n"/>
      <c r="K81" s="222" t="n"/>
      <c r="L81" s="127" t="n"/>
      <c r="M81" s="224">
        <f>IF($B81="","",IF($L81="Có",SUM($I81:$K81),0))</f>
        <v/>
      </c>
      <c r="N81" s="127" t="n"/>
      <c r="O81" s="150">
        <f>IF($B81="","",IF(AND($L81="Có",$D81=""),"Chưa chọn cách tính T13; ","")&amp;IF(AND($D81="Tỷ lệ thời gian",OR($G81&lt;=0,$E81&lt;=0)),"Thiếu căn cứ hoặc số tháng; ","")&amp;IF(AND($D81="Đủ 01 tháng lương",$G81&lt;=0),"Thiếu căn cứ T13; ","")&amp;IF(AND($D81="Bình quân 12 tháng",$F81&lt;=0),"Thiếu bình quân 12 tháng; ","")&amp;IF(AND($D81="Nhập tay",$H81&lt;=0),"Thiếu T13 nhập tay; ",""))</f>
        <v/>
      </c>
    </row>
    <row r="82">
      <c r="A82" s="145">
        <f>IF('DM_NHAN_SU'!$B82="","",ROW()-5)</f>
        <v/>
      </c>
      <c r="B82" s="145">
        <f>IF('DM_NHAN_SU'!$B82="","",'DM_NHAN_SU'!B82)</f>
        <v/>
      </c>
      <c r="C82" s="145">
        <f>IF('DM_NHAN_SU'!$B82="","",'DM_NHAN_SU'!C82)</f>
        <v/>
      </c>
      <c r="D82" s="127" t="n"/>
      <c r="E82" s="227" t="n"/>
      <c r="F82" s="222" t="n"/>
      <c r="G82" s="222" t="n"/>
      <c r="H82" s="222" t="n"/>
      <c r="I82" s="224">
        <f>IF($B82="","",IF($D82="Không",0,IF($D82="Nhập tay",$H82,IF($D82="Đủ 01 tháng lương",$G82,IF($D82="Tỷ lệ thời gian",$G82*MIN(MAX($E82,0),12)/12,IF($D82="Bình quân 12 tháng",$F82,0))))))</f>
        <v/>
      </c>
      <c r="J82" s="222" t="n"/>
      <c r="K82" s="222" t="n"/>
      <c r="L82" s="127" t="n"/>
      <c r="M82" s="224">
        <f>IF($B82="","",IF($L82="Có",SUM($I82:$K82),0))</f>
        <v/>
      </c>
      <c r="N82" s="127" t="n"/>
      <c r="O82" s="150">
        <f>IF($B82="","",IF(AND($L82="Có",$D82=""),"Chưa chọn cách tính T13; ","")&amp;IF(AND($D82="Tỷ lệ thời gian",OR($G82&lt;=0,$E82&lt;=0)),"Thiếu căn cứ hoặc số tháng; ","")&amp;IF(AND($D82="Đủ 01 tháng lương",$G82&lt;=0),"Thiếu căn cứ T13; ","")&amp;IF(AND($D82="Bình quân 12 tháng",$F82&lt;=0),"Thiếu bình quân 12 tháng; ","")&amp;IF(AND($D82="Nhập tay",$H82&lt;=0),"Thiếu T13 nhập tay; ",""))</f>
        <v/>
      </c>
    </row>
    <row r="83">
      <c r="A83" s="145">
        <f>IF('DM_NHAN_SU'!$B83="","",ROW()-5)</f>
        <v/>
      </c>
      <c r="B83" s="145">
        <f>IF('DM_NHAN_SU'!$B83="","",'DM_NHAN_SU'!B83)</f>
        <v/>
      </c>
      <c r="C83" s="145">
        <f>IF('DM_NHAN_SU'!$B83="","",'DM_NHAN_SU'!C83)</f>
        <v/>
      </c>
      <c r="D83" s="127" t="n"/>
      <c r="E83" s="227" t="n"/>
      <c r="F83" s="222" t="n"/>
      <c r="G83" s="222" t="n"/>
      <c r="H83" s="222" t="n"/>
      <c r="I83" s="224">
        <f>IF($B83="","",IF($D83="Không",0,IF($D83="Nhập tay",$H83,IF($D83="Đủ 01 tháng lương",$G83,IF($D83="Tỷ lệ thời gian",$G83*MIN(MAX($E83,0),12)/12,IF($D83="Bình quân 12 tháng",$F83,0))))))</f>
        <v/>
      </c>
      <c r="J83" s="222" t="n"/>
      <c r="K83" s="222" t="n"/>
      <c r="L83" s="127" t="n"/>
      <c r="M83" s="224">
        <f>IF($B83="","",IF($L83="Có",SUM($I83:$K83),0))</f>
        <v/>
      </c>
      <c r="N83" s="127" t="n"/>
      <c r="O83" s="150">
        <f>IF($B83="","",IF(AND($L83="Có",$D83=""),"Chưa chọn cách tính T13; ","")&amp;IF(AND($D83="Tỷ lệ thời gian",OR($G83&lt;=0,$E83&lt;=0)),"Thiếu căn cứ hoặc số tháng; ","")&amp;IF(AND($D83="Đủ 01 tháng lương",$G83&lt;=0),"Thiếu căn cứ T13; ","")&amp;IF(AND($D83="Bình quân 12 tháng",$F83&lt;=0),"Thiếu bình quân 12 tháng; ","")&amp;IF(AND($D83="Nhập tay",$H83&lt;=0),"Thiếu T13 nhập tay; ",""))</f>
        <v/>
      </c>
    </row>
    <row r="84">
      <c r="A84" s="145">
        <f>IF('DM_NHAN_SU'!$B84="","",ROW()-5)</f>
        <v/>
      </c>
      <c r="B84" s="145">
        <f>IF('DM_NHAN_SU'!$B84="","",'DM_NHAN_SU'!B84)</f>
        <v/>
      </c>
      <c r="C84" s="145">
        <f>IF('DM_NHAN_SU'!$B84="","",'DM_NHAN_SU'!C84)</f>
        <v/>
      </c>
      <c r="D84" s="127" t="n"/>
      <c r="E84" s="227" t="n"/>
      <c r="F84" s="222" t="n"/>
      <c r="G84" s="222" t="n"/>
      <c r="H84" s="222" t="n"/>
      <c r="I84" s="224">
        <f>IF($B84="","",IF($D84="Không",0,IF($D84="Nhập tay",$H84,IF($D84="Đủ 01 tháng lương",$G84,IF($D84="Tỷ lệ thời gian",$G84*MIN(MAX($E84,0),12)/12,IF($D84="Bình quân 12 tháng",$F84,0))))))</f>
        <v/>
      </c>
      <c r="J84" s="222" t="n"/>
      <c r="K84" s="222" t="n"/>
      <c r="L84" s="127" t="n"/>
      <c r="M84" s="224">
        <f>IF($B84="","",IF($L84="Có",SUM($I84:$K84),0))</f>
        <v/>
      </c>
      <c r="N84" s="127" t="n"/>
      <c r="O84" s="150">
        <f>IF($B84="","",IF(AND($L84="Có",$D84=""),"Chưa chọn cách tính T13; ","")&amp;IF(AND($D84="Tỷ lệ thời gian",OR($G84&lt;=0,$E84&lt;=0)),"Thiếu căn cứ hoặc số tháng; ","")&amp;IF(AND($D84="Đủ 01 tháng lương",$G84&lt;=0),"Thiếu căn cứ T13; ","")&amp;IF(AND($D84="Bình quân 12 tháng",$F84&lt;=0),"Thiếu bình quân 12 tháng; ","")&amp;IF(AND($D84="Nhập tay",$H84&lt;=0),"Thiếu T13 nhập tay; ",""))</f>
        <v/>
      </c>
    </row>
    <row r="85">
      <c r="A85" s="145">
        <f>IF('DM_NHAN_SU'!$B85="","",ROW()-5)</f>
        <v/>
      </c>
      <c r="B85" s="145">
        <f>IF('DM_NHAN_SU'!$B85="","",'DM_NHAN_SU'!B85)</f>
        <v/>
      </c>
      <c r="C85" s="145">
        <f>IF('DM_NHAN_SU'!$B85="","",'DM_NHAN_SU'!C85)</f>
        <v/>
      </c>
      <c r="D85" s="127" t="n"/>
      <c r="E85" s="227" t="n"/>
      <c r="F85" s="222" t="n"/>
      <c r="G85" s="222" t="n"/>
      <c r="H85" s="222" t="n"/>
      <c r="I85" s="224">
        <f>IF($B85="","",IF($D85="Không",0,IF($D85="Nhập tay",$H85,IF($D85="Đủ 01 tháng lương",$G85,IF($D85="Tỷ lệ thời gian",$G85*MIN(MAX($E85,0),12)/12,IF($D85="Bình quân 12 tháng",$F85,0))))))</f>
        <v/>
      </c>
      <c r="J85" s="222" t="n"/>
      <c r="K85" s="222" t="n"/>
      <c r="L85" s="127" t="n"/>
      <c r="M85" s="224">
        <f>IF($B85="","",IF($L85="Có",SUM($I85:$K85),0))</f>
        <v/>
      </c>
      <c r="N85" s="127" t="n"/>
      <c r="O85" s="150">
        <f>IF($B85="","",IF(AND($L85="Có",$D85=""),"Chưa chọn cách tính T13; ","")&amp;IF(AND($D85="Tỷ lệ thời gian",OR($G85&lt;=0,$E85&lt;=0)),"Thiếu căn cứ hoặc số tháng; ","")&amp;IF(AND($D85="Đủ 01 tháng lương",$G85&lt;=0),"Thiếu căn cứ T13; ","")&amp;IF(AND($D85="Bình quân 12 tháng",$F85&lt;=0),"Thiếu bình quân 12 tháng; ","")&amp;IF(AND($D85="Nhập tay",$H85&lt;=0),"Thiếu T13 nhập tay; ",""))</f>
        <v/>
      </c>
    </row>
    <row r="86">
      <c r="A86" s="145">
        <f>IF('DM_NHAN_SU'!$B86="","",ROW()-5)</f>
        <v/>
      </c>
      <c r="B86" s="145">
        <f>IF('DM_NHAN_SU'!$B86="","",'DM_NHAN_SU'!B86)</f>
        <v/>
      </c>
      <c r="C86" s="145">
        <f>IF('DM_NHAN_SU'!$B86="","",'DM_NHAN_SU'!C86)</f>
        <v/>
      </c>
      <c r="D86" s="127" t="n"/>
      <c r="E86" s="227" t="n"/>
      <c r="F86" s="222" t="n"/>
      <c r="G86" s="222" t="n"/>
      <c r="H86" s="222" t="n"/>
      <c r="I86" s="224">
        <f>IF($B86="","",IF($D86="Không",0,IF($D86="Nhập tay",$H86,IF($D86="Đủ 01 tháng lương",$G86,IF($D86="Tỷ lệ thời gian",$G86*MIN(MAX($E86,0),12)/12,IF($D86="Bình quân 12 tháng",$F86,0))))))</f>
        <v/>
      </c>
      <c r="J86" s="222" t="n"/>
      <c r="K86" s="222" t="n"/>
      <c r="L86" s="127" t="n"/>
      <c r="M86" s="224">
        <f>IF($B86="","",IF($L86="Có",SUM($I86:$K86),0))</f>
        <v/>
      </c>
      <c r="N86" s="127" t="n"/>
      <c r="O86" s="150">
        <f>IF($B86="","",IF(AND($L86="Có",$D86=""),"Chưa chọn cách tính T13; ","")&amp;IF(AND($D86="Tỷ lệ thời gian",OR($G86&lt;=0,$E86&lt;=0)),"Thiếu căn cứ hoặc số tháng; ","")&amp;IF(AND($D86="Đủ 01 tháng lương",$G86&lt;=0),"Thiếu căn cứ T13; ","")&amp;IF(AND($D86="Bình quân 12 tháng",$F86&lt;=0),"Thiếu bình quân 12 tháng; ","")&amp;IF(AND($D86="Nhập tay",$H86&lt;=0),"Thiếu T13 nhập tay; ",""))</f>
        <v/>
      </c>
    </row>
    <row r="87">
      <c r="A87" s="145">
        <f>IF('DM_NHAN_SU'!$B87="","",ROW()-5)</f>
        <v/>
      </c>
      <c r="B87" s="145">
        <f>IF('DM_NHAN_SU'!$B87="","",'DM_NHAN_SU'!B87)</f>
        <v/>
      </c>
      <c r="C87" s="145">
        <f>IF('DM_NHAN_SU'!$B87="","",'DM_NHAN_SU'!C87)</f>
        <v/>
      </c>
      <c r="D87" s="127" t="n"/>
      <c r="E87" s="227" t="n"/>
      <c r="F87" s="222" t="n"/>
      <c r="G87" s="222" t="n"/>
      <c r="H87" s="222" t="n"/>
      <c r="I87" s="224">
        <f>IF($B87="","",IF($D87="Không",0,IF($D87="Nhập tay",$H87,IF($D87="Đủ 01 tháng lương",$G87,IF($D87="Tỷ lệ thời gian",$G87*MIN(MAX($E87,0),12)/12,IF($D87="Bình quân 12 tháng",$F87,0))))))</f>
        <v/>
      </c>
      <c r="J87" s="222" t="n"/>
      <c r="K87" s="222" t="n"/>
      <c r="L87" s="127" t="n"/>
      <c r="M87" s="224">
        <f>IF($B87="","",IF($L87="Có",SUM($I87:$K87),0))</f>
        <v/>
      </c>
      <c r="N87" s="127" t="n"/>
      <c r="O87" s="150">
        <f>IF($B87="","",IF(AND($L87="Có",$D87=""),"Chưa chọn cách tính T13; ","")&amp;IF(AND($D87="Tỷ lệ thời gian",OR($G87&lt;=0,$E87&lt;=0)),"Thiếu căn cứ hoặc số tháng; ","")&amp;IF(AND($D87="Đủ 01 tháng lương",$G87&lt;=0),"Thiếu căn cứ T13; ","")&amp;IF(AND($D87="Bình quân 12 tháng",$F87&lt;=0),"Thiếu bình quân 12 tháng; ","")&amp;IF(AND($D87="Nhập tay",$H87&lt;=0),"Thiếu T13 nhập tay; ",""))</f>
        <v/>
      </c>
    </row>
    <row r="88">
      <c r="A88" s="145">
        <f>IF('DM_NHAN_SU'!$B88="","",ROW()-5)</f>
        <v/>
      </c>
      <c r="B88" s="145">
        <f>IF('DM_NHAN_SU'!$B88="","",'DM_NHAN_SU'!B88)</f>
        <v/>
      </c>
      <c r="C88" s="145">
        <f>IF('DM_NHAN_SU'!$B88="","",'DM_NHAN_SU'!C88)</f>
        <v/>
      </c>
      <c r="D88" s="127" t="n"/>
      <c r="E88" s="227" t="n"/>
      <c r="F88" s="222" t="n"/>
      <c r="G88" s="222" t="n"/>
      <c r="H88" s="222" t="n"/>
      <c r="I88" s="224">
        <f>IF($B88="","",IF($D88="Không",0,IF($D88="Nhập tay",$H88,IF($D88="Đủ 01 tháng lương",$G88,IF($D88="Tỷ lệ thời gian",$G88*MIN(MAX($E88,0),12)/12,IF($D88="Bình quân 12 tháng",$F88,0))))))</f>
        <v/>
      </c>
      <c r="J88" s="222" t="n"/>
      <c r="K88" s="222" t="n"/>
      <c r="L88" s="127" t="n"/>
      <c r="M88" s="224">
        <f>IF($B88="","",IF($L88="Có",SUM($I88:$K88),0))</f>
        <v/>
      </c>
      <c r="N88" s="127" t="n"/>
      <c r="O88" s="150">
        <f>IF($B88="","",IF(AND($L88="Có",$D88=""),"Chưa chọn cách tính T13; ","")&amp;IF(AND($D88="Tỷ lệ thời gian",OR($G88&lt;=0,$E88&lt;=0)),"Thiếu căn cứ hoặc số tháng; ","")&amp;IF(AND($D88="Đủ 01 tháng lương",$G88&lt;=0),"Thiếu căn cứ T13; ","")&amp;IF(AND($D88="Bình quân 12 tháng",$F88&lt;=0),"Thiếu bình quân 12 tháng; ","")&amp;IF(AND($D88="Nhập tay",$H88&lt;=0),"Thiếu T13 nhập tay; ",""))</f>
        <v/>
      </c>
    </row>
    <row r="89">
      <c r="A89" s="145">
        <f>IF('DM_NHAN_SU'!$B89="","",ROW()-5)</f>
        <v/>
      </c>
      <c r="B89" s="145">
        <f>IF('DM_NHAN_SU'!$B89="","",'DM_NHAN_SU'!B89)</f>
        <v/>
      </c>
      <c r="C89" s="145">
        <f>IF('DM_NHAN_SU'!$B89="","",'DM_NHAN_SU'!C89)</f>
        <v/>
      </c>
      <c r="D89" s="127" t="n"/>
      <c r="E89" s="227" t="n"/>
      <c r="F89" s="222" t="n"/>
      <c r="G89" s="222" t="n"/>
      <c r="H89" s="222" t="n"/>
      <c r="I89" s="224">
        <f>IF($B89="","",IF($D89="Không",0,IF($D89="Nhập tay",$H89,IF($D89="Đủ 01 tháng lương",$G89,IF($D89="Tỷ lệ thời gian",$G89*MIN(MAX($E89,0),12)/12,IF($D89="Bình quân 12 tháng",$F89,0))))))</f>
        <v/>
      </c>
      <c r="J89" s="222" t="n"/>
      <c r="K89" s="222" t="n"/>
      <c r="L89" s="127" t="n"/>
      <c r="M89" s="224">
        <f>IF($B89="","",IF($L89="Có",SUM($I89:$K89),0))</f>
        <v/>
      </c>
      <c r="N89" s="127" t="n"/>
      <c r="O89" s="150">
        <f>IF($B89="","",IF(AND($L89="Có",$D89=""),"Chưa chọn cách tính T13; ","")&amp;IF(AND($D89="Tỷ lệ thời gian",OR($G89&lt;=0,$E89&lt;=0)),"Thiếu căn cứ hoặc số tháng; ","")&amp;IF(AND($D89="Đủ 01 tháng lương",$G89&lt;=0),"Thiếu căn cứ T13; ","")&amp;IF(AND($D89="Bình quân 12 tháng",$F89&lt;=0),"Thiếu bình quân 12 tháng; ","")&amp;IF(AND($D89="Nhập tay",$H89&lt;=0),"Thiếu T13 nhập tay; ",""))</f>
        <v/>
      </c>
    </row>
    <row r="90">
      <c r="A90" s="145">
        <f>IF('DM_NHAN_SU'!$B90="","",ROW()-5)</f>
        <v/>
      </c>
      <c r="B90" s="145">
        <f>IF('DM_NHAN_SU'!$B90="","",'DM_NHAN_SU'!B90)</f>
        <v/>
      </c>
      <c r="C90" s="145">
        <f>IF('DM_NHAN_SU'!$B90="","",'DM_NHAN_SU'!C90)</f>
        <v/>
      </c>
      <c r="D90" s="127" t="n"/>
      <c r="E90" s="227" t="n"/>
      <c r="F90" s="222" t="n"/>
      <c r="G90" s="222" t="n"/>
      <c r="H90" s="222" t="n"/>
      <c r="I90" s="224">
        <f>IF($B90="","",IF($D90="Không",0,IF($D90="Nhập tay",$H90,IF($D90="Đủ 01 tháng lương",$G90,IF($D90="Tỷ lệ thời gian",$G90*MIN(MAX($E90,0),12)/12,IF($D90="Bình quân 12 tháng",$F90,0))))))</f>
        <v/>
      </c>
      <c r="J90" s="222" t="n"/>
      <c r="K90" s="222" t="n"/>
      <c r="L90" s="127" t="n"/>
      <c r="M90" s="224">
        <f>IF($B90="","",IF($L90="Có",SUM($I90:$K90),0))</f>
        <v/>
      </c>
      <c r="N90" s="127" t="n"/>
      <c r="O90" s="150">
        <f>IF($B90="","",IF(AND($L90="Có",$D90=""),"Chưa chọn cách tính T13; ","")&amp;IF(AND($D90="Tỷ lệ thời gian",OR($G90&lt;=0,$E90&lt;=0)),"Thiếu căn cứ hoặc số tháng; ","")&amp;IF(AND($D90="Đủ 01 tháng lương",$G90&lt;=0),"Thiếu căn cứ T13; ","")&amp;IF(AND($D90="Bình quân 12 tháng",$F90&lt;=0),"Thiếu bình quân 12 tháng; ","")&amp;IF(AND($D90="Nhập tay",$H90&lt;=0),"Thiếu T13 nhập tay; ",""))</f>
        <v/>
      </c>
    </row>
    <row r="91">
      <c r="A91" s="145">
        <f>IF('DM_NHAN_SU'!$B91="","",ROW()-5)</f>
        <v/>
      </c>
      <c r="B91" s="145">
        <f>IF('DM_NHAN_SU'!$B91="","",'DM_NHAN_SU'!B91)</f>
        <v/>
      </c>
      <c r="C91" s="145">
        <f>IF('DM_NHAN_SU'!$B91="","",'DM_NHAN_SU'!C91)</f>
        <v/>
      </c>
      <c r="D91" s="127" t="n"/>
      <c r="E91" s="227" t="n"/>
      <c r="F91" s="222" t="n"/>
      <c r="G91" s="222" t="n"/>
      <c r="H91" s="222" t="n"/>
      <c r="I91" s="224">
        <f>IF($B91="","",IF($D91="Không",0,IF($D91="Nhập tay",$H91,IF($D91="Đủ 01 tháng lương",$G91,IF($D91="Tỷ lệ thời gian",$G91*MIN(MAX($E91,0),12)/12,IF($D91="Bình quân 12 tháng",$F91,0))))))</f>
        <v/>
      </c>
      <c r="J91" s="222" t="n"/>
      <c r="K91" s="222" t="n"/>
      <c r="L91" s="127" t="n"/>
      <c r="M91" s="224">
        <f>IF($B91="","",IF($L91="Có",SUM($I91:$K91),0))</f>
        <v/>
      </c>
      <c r="N91" s="127" t="n"/>
      <c r="O91" s="150">
        <f>IF($B91="","",IF(AND($L91="Có",$D91=""),"Chưa chọn cách tính T13; ","")&amp;IF(AND($D91="Tỷ lệ thời gian",OR($G91&lt;=0,$E91&lt;=0)),"Thiếu căn cứ hoặc số tháng; ","")&amp;IF(AND($D91="Đủ 01 tháng lương",$G91&lt;=0),"Thiếu căn cứ T13; ","")&amp;IF(AND($D91="Bình quân 12 tháng",$F91&lt;=0),"Thiếu bình quân 12 tháng; ","")&amp;IF(AND($D91="Nhập tay",$H91&lt;=0),"Thiếu T13 nhập tay; ",""))</f>
        <v/>
      </c>
    </row>
    <row r="92">
      <c r="A92" s="145">
        <f>IF('DM_NHAN_SU'!$B92="","",ROW()-5)</f>
        <v/>
      </c>
      <c r="B92" s="145">
        <f>IF('DM_NHAN_SU'!$B92="","",'DM_NHAN_SU'!B92)</f>
        <v/>
      </c>
      <c r="C92" s="145">
        <f>IF('DM_NHAN_SU'!$B92="","",'DM_NHAN_SU'!C92)</f>
        <v/>
      </c>
      <c r="D92" s="127" t="n"/>
      <c r="E92" s="227" t="n"/>
      <c r="F92" s="222" t="n"/>
      <c r="G92" s="222" t="n"/>
      <c r="H92" s="222" t="n"/>
      <c r="I92" s="224">
        <f>IF($B92="","",IF($D92="Không",0,IF($D92="Nhập tay",$H92,IF($D92="Đủ 01 tháng lương",$G92,IF($D92="Tỷ lệ thời gian",$G92*MIN(MAX($E92,0),12)/12,IF($D92="Bình quân 12 tháng",$F92,0))))))</f>
        <v/>
      </c>
      <c r="J92" s="222" t="n"/>
      <c r="K92" s="222" t="n"/>
      <c r="L92" s="127" t="n"/>
      <c r="M92" s="224">
        <f>IF($B92="","",IF($L92="Có",SUM($I92:$K92),0))</f>
        <v/>
      </c>
      <c r="N92" s="127" t="n"/>
      <c r="O92" s="150">
        <f>IF($B92="","",IF(AND($L92="Có",$D92=""),"Chưa chọn cách tính T13; ","")&amp;IF(AND($D92="Tỷ lệ thời gian",OR($G92&lt;=0,$E92&lt;=0)),"Thiếu căn cứ hoặc số tháng; ","")&amp;IF(AND($D92="Đủ 01 tháng lương",$G92&lt;=0),"Thiếu căn cứ T13; ","")&amp;IF(AND($D92="Bình quân 12 tháng",$F92&lt;=0),"Thiếu bình quân 12 tháng; ","")&amp;IF(AND($D92="Nhập tay",$H92&lt;=0),"Thiếu T13 nhập tay; ",""))</f>
        <v/>
      </c>
    </row>
    <row r="93">
      <c r="A93" s="145">
        <f>IF('DM_NHAN_SU'!$B93="","",ROW()-5)</f>
        <v/>
      </c>
      <c r="B93" s="145">
        <f>IF('DM_NHAN_SU'!$B93="","",'DM_NHAN_SU'!B93)</f>
        <v/>
      </c>
      <c r="C93" s="145">
        <f>IF('DM_NHAN_SU'!$B93="","",'DM_NHAN_SU'!C93)</f>
        <v/>
      </c>
      <c r="D93" s="127" t="n"/>
      <c r="E93" s="227" t="n"/>
      <c r="F93" s="222" t="n"/>
      <c r="G93" s="222" t="n"/>
      <c r="H93" s="222" t="n"/>
      <c r="I93" s="224">
        <f>IF($B93="","",IF($D93="Không",0,IF($D93="Nhập tay",$H93,IF($D93="Đủ 01 tháng lương",$G93,IF($D93="Tỷ lệ thời gian",$G93*MIN(MAX($E93,0),12)/12,IF($D93="Bình quân 12 tháng",$F93,0))))))</f>
        <v/>
      </c>
      <c r="J93" s="222" t="n"/>
      <c r="K93" s="222" t="n"/>
      <c r="L93" s="127" t="n"/>
      <c r="M93" s="224">
        <f>IF($B93="","",IF($L93="Có",SUM($I93:$K93),0))</f>
        <v/>
      </c>
      <c r="N93" s="127" t="n"/>
      <c r="O93" s="150">
        <f>IF($B93="","",IF(AND($L93="Có",$D93=""),"Chưa chọn cách tính T13; ","")&amp;IF(AND($D93="Tỷ lệ thời gian",OR($G93&lt;=0,$E93&lt;=0)),"Thiếu căn cứ hoặc số tháng; ","")&amp;IF(AND($D93="Đủ 01 tháng lương",$G93&lt;=0),"Thiếu căn cứ T13; ","")&amp;IF(AND($D93="Bình quân 12 tháng",$F93&lt;=0),"Thiếu bình quân 12 tháng; ","")&amp;IF(AND($D93="Nhập tay",$H93&lt;=0),"Thiếu T13 nhập tay; ",""))</f>
        <v/>
      </c>
    </row>
    <row r="94">
      <c r="A94" s="145">
        <f>IF('DM_NHAN_SU'!$B94="","",ROW()-5)</f>
        <v/>
      </c>
      <c r="B94" s="145">
        <f>IF('DM_NHAN_SU'!$B94="","",'DM_NHAN_SU'!B94)</f>
        <v/>
      </c>
      <c r="C94" s="145">
        <f>IF('DM_NHAN_SU'!$B94="","",'DM_NHAN_SU'!C94)</f>
        <v/>
      </c>
      <c r="D94" s="127" t="n"/>
      <c r="E94" s="227" t="n"/>
      <c r="F94" s="222" t="n"/>
      <c r="G94" s="222" t="n"/>
      <c r="H94" s="222" t="n"/>
      <c r="I94" s="224">
        <f>IF($B94="","",IF($D94="Không",0,IF($D94="Nhập tay",$H94,IF($D94="Đủ 01 tháng lương",$G94,IF($D94="Tỷ lệ thời gian",$G94*MIN(MAX($E94,0),12)/12,IF($D94="Bình quân 12 tháng",$F94,0))))))</f>
        <v/>
      </c>
      <c r="J94" s="222" t="n"/>
      <c r="K94" s="222" t="n"/>
      <c r="L94" s="127" t="n"/>
      <c r="M94" s="224">
        <f>IF($B94="","",IF($L94="Có",SUM($I94:$K94),0))</f>
        <v/>
      </c>
      <c r="N94" s="127" t="n"/>
      <c r="O94" s="150">
        <f>IF($B94="","",IF(AND($L94="Có",$D94=""),"Chưa chọn cách tính T13; ","")&amp;IF(AND($D94="Tỷ lệ thời gian",OR($G94&lt;=0,$E94&lt;=0)),"Thiếu căn cứ hoặc số tháng; ","")&amp;IF(AND($D94="Đủ 01 tháng lương",$G94&lt;=0),"Thiếu căn cứ T13; ","")&amp;IF(AND($D94="Bình quân 12 tháng",$F94&lt;=0),"Thiếu bình quân 12 tháng; ","")&amp;IF(AND($D94="Nhập tay",$H94&lt;=0),"Thiếu T13 nhập tay; ",""))</f>
        <v/>
      </c>
    </row>
    <row r="95">
      <c r="A95" s="145">
        <f>IF('DM_NHAN_SU'!$B95="","",ROW()-5)</f>
        <v/>
      </c>
      <c r="B95" s="145">
        <f>IF('DM_NHAN_SU'!$B95="","",'DM_NHAN_SU'!B95)</f>
        <v/>
      </c>
      <c r="C95" s="145">
        <f>IF('DM_NHAN_SU'!$B95="","",'DM_NHAN_SU'!C95)</f>
        <v/>
      </c>
      <c r="D95" s="127" t="n"/>
      <c r="E95" s="227" t="n"/>
      <c r="F95" s="222" t="n"/>
      <c r="G95" s="222" t="n"/>
      <c r="H95" s="222" t="n"/>
      <c r="I95" s="224">
        <f>IF($B95="","",IF($D95="Không",0,IF($D95="Nhập tay",$H95,IF($D95="Đủ 01 tháng lương",$G95,IF($D95="Tỷ lệ thời gian",$G95*MIN(MAX($E95,0),12)/12,IF($D95="Bình quân 12 tháng",$F95,0))))))</f>
        <v/>
      </c>
      <c r="J95" s="222" t="n"/>
      <c r="K95" s="222" t="n"/>
      <c r="L95" s="127" t="n"/>
      <c r="M95" s="224">
        <f>IF($B95="","",IF($L95="Có",SUM($I95:$K95),0))</f>
        <v/>
      </c>
      <c r="N95" s="127" t="n"/>
      <c r="O95" s="150">
        <f>IF($B95="","",IF(AND($L95="Có",$D95=""),"Chưa chọn cách tính T13; ","")&amp;IF(AND($D95="Tỷ lệ thời gian",OR($G95&lt;=0,$E95&lt;=0)),"Thiếu căn cứ hoặc số tháng; ","")&amp;IF(AND($D95="Đủ 01 tháng lương",$G95&lt;=0),"Thiếu căn cứ T13; ","")&amp;IF(AND($D95="Bình quân 12 tháng",$F95&lt;=0),"Thiếu bình quân 12 tháng; ","")&amp;IF(AND($D95="Nhập tay",$H95&lt;=0),"Thiếu T13 nhập tay; ",""))</f>
        <v/>
      </c>
    </row>
    <row r="96">
      <c r="A96" s="145">
        <f>IF('DM_NHAN_SU'!$B96="","",ROW()-5)</f>
        <v/>
      </c>
      <c r="B96" s="145">
        <f>IF('DM_NHAN_SU'!$B96="","",'DM_NHAN_SU'!B96)</f>
        <v/>
      </c>
      <c r="C96" s="145">
        <f>IF('DM_NHAN_SU'!$B96="","",'DM_NHAN_SU'!C96)</f>
        <v/>
      </c>
      <c r="D96" s="127" t="n"/>
      <c r="E96" s="227" t="n"/>
      <c r="F96" s="222" t="n"/>
      <c r="G96" s="222" t="n"/>
      <c r="H96" s="222" t="n"/>
      <c r="I96" s="224">
        <f>IF($B96="","",IF($D96="Không",0,IF($D96="Nhập tay",$H96,IF($D96="Đủ 01 tháng lương",$G96,IF($D96="Tỷ lệ thời gian",$G96*MIN(MAX($E96,0),12)/12,IF($D96="Bình quân 12 tháng",$F96,0))))))</f>
        <v/>
      </c>
      <c r="J96" s="222" t="n"/>
      <c r="K96" s="222" t="n"/>
      <c r="L96" s="127" t="n"/>
      <c r="M96" s="224">
        <f>IF($B96="","",IF($L96="Có",SUM($I96:$K96),0))</f>
        <v/>
      </c>
      <c r="N96" s="127" t="n"/>
      <c r="O96" s="150">
        <f>IF($B96="","",IF(AND($L96="Có",$D96=""),"Chưa chọn cách tính T13; ","")&amp;IF(AND($D96="Tỷ lệ thời gian",OR($G96&lt;=0,$E96&lt;=0)),"Thiếu căn cứ hoặc số tháng; ","")&amp;IF(AND($D96="Đủ 01 tháng lương",$G96&lt;=0),"Thiếu căn cứ T13; ","")&amp;IF(AND($D96="Bình quân 12 tháng",$F96&lt;=0),"Thiếu bình quân 12 tháng; ","")&amp;IF(AND($D96="Nhập tay",$H96&lt;=0),"Thiếu T13 nhập tay; ",""))</f>
        <v/>
      </c>
    </row>
    <row r="97">
      <c r="A97" s="145">
        <f>IF('DM_NHAN_SU'!$B97="","",ROW()-5)</f>
        <v/>
      </c>
      <c r="B97" s="145">
        <f>IF('DM_NHAN_SU'!$B97="","",'DM_NHAN_SU'!B97)</f>
        <v/>
      </c>
      <c r="C97" s="145">
        <f>IF('DM_NHAN_SU'!$B97="","",'DM_NHAN_SU'!C97)</f>
        <v/>
      </c>
      <c r="D97" s="127" t="n"/>
      <c r="E97" s="227" t="n"/>
      <c r="F97" s="222" t="n"/>
      <c r="G97" s="222" t="n"/>
      <c r="H97" s="222" t="n"/>
      <c r="I97" s="224">
        <f>IF($B97="","",IF($D97="Không",0,IF($D97="Nhập tay",$H97,IF($D97="Đủ 01 tháng lương",$G97,IF($D97="Tỷ lệ thời gian",$G97*MIN(MAX($E97,0),12)/12,IF($D97="Bình quân 12 tháng",$F97,0))))))</f>
        <v/>
      </c>
      <c r="J97" s="222" t="n"/>
      <c r="K97" s="222" t="n"/>
      <c r="L97" s="127" t="n"/>
      <c r="M97" s="224">
        <f>IF($B97="","",IF($L97="Có",SUM($I97:$K97),0))</f>
        <v/>
      </c>
      <c r="N97" s="127" t="n"/>
      <c r="O97" s="150">
        <f>IF($B97="","",IF(AND($L97="Có",$D97=""),"Chưa chọn cách tính T13; ","")&amp;IF(AND($D97="Tỷ lệ thời gian",OR($G97&lt;=0,$E97&lt;=0)),"Thiếu căn cứ hoặc số tháng; ","")&amp;IF(AND($D97="Đủ 01 tháng lương",$G97&lt;=0),"Thiếu căn cứ T13; ","")&amp;IF(AND($D97="Bình quân 12 tháng",$F97&lt;=0),"Thiếu bình quân 12 tháng; ","")&amp;IF(AND($D97="Nhập tay",$H97&lt;=0),"Thiếu T13 nhập tay; ",""))</f>
        <v/>
      </c>
    </row>
    <row r="98">
      <c r="A98" s="145">
        <f>IF('DM_NHAN_SU'!$B98="","",ROW()-5)</f>
        <v/>
      </c>
      <c r="B98" s="145">
        <f>IF('DM_NHAN_SU'!$B98="","",'DM_NHAN_SU'!B98)</f>
        <v/>
      </c>
      <c r="C98" s="145">
        <f>IF('DM_NHAN_SU'!$B98="","",'DM_NHAN_SU'!C98)</f>
        <v/>
      </c>
      <c r="D98" s="127" t="n"/>
      <c r="E98" s="227" t="n"/>
      <c r="F98" s="222" t="n"/>
      <c r="G98" s="222" t="n"/>
      <c r="H98" s="222" t="n"/>
      <c r="I98" s="224">
        <f>IF($B98="","",IF($D98="Không",0,IF($D98="Nhập tay",$H98,IF($D98="Đủ 01 tháng lương",$G98,IF($D98="Tỷ lệ thời gian",$G98*MIN(MAX($E98,0),12)/12,IF($D98="Bình quân 12 tháng",$F98,0))))))</f>
        <v/>
      </c>
      <c r="J98" s="222" t="n"/>
      <c r="K98" s="222" t="n"/>
      <c r="L98" s="127" t="n"/>
      <c r="M98" s="224">
        <f>IF($B98="","",IF($L98="Có",SUM($I98:$K98),0))</f>
        <v/>
      </c>
      <c r="N98" s="127" t="n"/>
      <c r="O98" s="150">
        <f>IF($B98="","",IF(AND($L98="Có",$D98=""),"Chưa chọn cách tính T13; ","")&amp;IF(AND($D98="Tỷ lệ thời gian",OR($G98&lt;=0,$E98&lt;=0)),"Thiếu căn cứ hoặc số tháng; ","")&amp;IF(AND($D98="Đủ 01 tháng lương",$G98&lt;=0),"Thiếu căn cứ T13; ","")&amp;IF(AND($D98="Bình quân 12 tháng",$F98&lt;=0),"Thiếu bình quân 12 tháng; ","")&amp;IF(AND($D98="Nhập tay",$H98&lt;=0),"Thiếu T13 nhập tay; ",""))</f>
        <v/>
      </c>
    </row>
    <row r="99">
      <c r="A99" s="145">
        <f>IF('DM_NHAN_SU'!$B99="","",ROW()-5)</f>
        <v/>
      </c>
      <c r="B99" s="145">
        <f>IF('DM_NHAN_SU'!$B99="","",'DM_NHAN_SU'!B99)</f>
        <v/>
      </c>
      <c r="C99" s="145">
        <f>IF('DM_NHAN_SU'!$B99="","",'DM_NHAN_SU'!C99)</f>
        <v/>
      </c>
      <c r="D99" s="127" t="n"/>
      <c r="E99" s="227" t="n"/>
      <c r="F99" s="222" t="n"/>
      <c r="G99" s="222" t="n"/>
      <c r="H99" s="222" t="n"/>
      <c r="I99" s="224">
        <f>IF($B99="","",IF($D99="Không",0,IF($D99="Nhập tay",$H99,IF($D99="Đủ 01 tháng lương",$G99,IF($D99="Tỷ lệ thời gian",$G99*MIN(MAX($E99,0),12)/12,IF($D99="Bình quân 12 tháng",$F99,0))))))</f>
        <v/>
      </c>
      <c r="J99" s="222" t="n"/>
      <c r="K99" s="222" t="n"/>
      <c r="L99" s="127" t="n"/>
      <c r="M99" s="224">
        <f>IF($B99="","",IF($L99="Có",SUM($I99:$K99),0))</f>
        <v/>
      </c>
      <c r="N99" s="127" t="n"/>
      <c r="O99" s="150">
        <f>IF($B99="","",IF(AND($L99="Có",$D99=""),"Chưa chọn cách tính T13; ","")&amp;IF(AND($D99="Tỷ lệ thời gian",OR($G99&lt;=0,$E99&lt;=0)),"Thiếu căn cứ hoặc số tháng; ","")&amp;IF(AND($D99="Đủ 01 tháng lương",$G99&lt;=0),"Thiếu căn cứ T13; ","")&amp;IF(AND($D99="Bình quân 12 tháng",$F99&lt;=0),"Thiếu bình quân 12 tháng; ","")&amp;IF(AND($D99="Nhập tay",$H99&lt;=0),"Thiếu T13 nhập tay; ",""))</f>
        <v/>
      </c>
    </row>
    <row r="100">
      <c r="A100" s="145">
        <f>IF('DM_NHAN_SU'!$B100="","",ROW()-5)</f>
        <v/>
      </c>
      <c r="B100" s="145">
        <f>IF('DM_NHAN_SU'!$B100="","",'DM_NHAN_SU'!B100)</f>
        <v/>
      </c>
      <c r="C100" s="145">
        <f>IF('DM_NHAN_SU'!$B100="","",'DM_NHAN_SU'!C100)</f>
        <v/>
      </c>
      <c r="D100" s="127" t="n"/>
      <c r="E100" s="227" t="n"/>
      <c r="F100" s="222" t="n"/>
      <c r="G100" s="222" t="n"/>
      <c r="H100" s="222" t="n"/>
      <c r="I100" s="224">
        <f>IF($B100="","",IF($D100="Không",0,IF($D100="Nhập tay",$H100,IF($D100="Đủ 01 tháng lương",$G100,IF($D100="Tỷ lệ thời gian",$G100*MIN(MAX($E100,0),12)/12,IF($D100="Bình quân 12 tháng",$F100,0))))))</f>
        <v/>
      </c>
      <c r="J100" s="222" t="n"/>
      <c r="K100" s="222" t="n"/>
      <c r="L100" s="127" t="n"/>
      <c r="M100" s="224">
        <f>IF($B100="","",IF($L100="Có",SUM($I100:$K100),0))</f>
        <v/>
      </c>
      <c r="N100" s="127" t="n"/>
      <c r="O100" s="150">
        <f>IF($B100="","",IF(AND($L100="Có",$D100=""),"Chưa chọn cách tính T13; ","")&amp;IF(AND($D100="Tỷ lệ thời gian",OR($G100&lt;=0,$E100&lt;=0)),"Thiếu căn cứ hoặc số tháng; ","")&amp;IF(AND($D100="Đủ 01 tháng lương",$G100&lt;=0),"Thiếu căn cứ T13; ","")&amp;IF(AND($D100="Bình quân 12 tháng",$F100&lt;=0),"Thiếu bình quân 12 tháng; ","")&amp;IF(AND($D100="Nhập tay",$H100&lt;=0),"Thiếu T13 nhập tay; ",""))</f>
        <v/>
      </c>
    </row>
    <row r="101">
      <c r="A101" s="145">
        <f>IF('DM_NHAN_SU'!$B101="","",ROW()-5)</f>
        <v/>
      </c>
      <c r="B101" s="145">
        <f>IF('DM_NHAN_SU'!$B101="","",'DM_NHAN_SU'!B101)</f>
        <v/>
      </c>
      <c r="C101" s="145">
        <f>IF('DM_NHAN_SU'!$B101="","",'DM_NHAN_SU'!C101)</f>
        <v/>
      </c>
      <c r="D101" s="127" t="n"/>
      <c r="E101" s="227" t="n"/>
      <c r="F101" s="222" t="n"/>
      <c r="G101" s="222" t="n"/>
      <c r="H101" s="222" t="n"/>
      <c r="I101" s="224">
        <f>IF($B101="","",IF($D101="Không",0,IF($D101="Nhập tay",$H101,IF($D101="Đủ 01 tháng lương",$G101,IF($D101="Tỷ lệ thời gian",$G101*MIN(MAX($E101,0),12)/12,IF($D101="Bình quân 12 tháng",$F101,0))))))</f>
        <v/>
      </c>
      <c r="J101" s="222" t="n"/>
      <c r="K101" s="222" t="n"/>
      <c r="L101" s="127" t="n"/>
      <c r="M101" s="224">
        <f>IF($B101="","",IF($L101="Có",SUM($I101:$K101),0))</f>
        <v/>
      </c>
      <c r="N101" s="127" t="n"/>
      <c r="O101" s="150">
        <f>IF($B101="","",IF(AND($L101="Có",$D101=""),"Chưa chọn cách tính T13; ","")&amp;IF(AND($D101="Tỷ lệ thời gian",OR($G101&lt;=0,$E101&lt;=0)),"Thiếu căn cứ hoặc số tháng; ","")&amp;IF(AND($D101="Đủ 01 tháng lương",$G101&lt;=0),"Thiếu căn cứ T13; ","")&amp;IF(AND($D101="Bình quân 12 tháng",$F101&lt;=0),"Thiếu bình quân 12 tháng; ","")&amp;IF(AND($D101="Nhập tay",$H101&lt;=0),"Thiếu T13 nhập tay; ",""))</f>
        <v/>
      </c>
    </row>
    <row r="102">
      <c r="A102" s="145">
        <f>IF('DM_NHAN_SU'!$B102="","",ROW()-5)</f>
        <v/>
      </c>
      <c r="B102" s="145">
        <f>IF('DM_NHAN_SU'!$B102="","",'DM_NHAN_SU'!B102)</f>
        <v/>
      </c>
      <c r="C102" s="145">
        <f>IF('DM_NHAN_SU'!$B102="","",'DM_NHAN_SU'!C102)</f>
        <v/>
      </c>
      <c r="D102" s="127" t="n"/>
      <c r="E102" s="227" t="n"/>
      <c r="F102" s="222" t="n"/>
      <c r="G102" s="222" t="n"/>
      <c r="H102" s="222" t="n"/>
      <c r="I102" s="224">
        <f>IF($B102="","",IF($D102="Không",0,IF($D102="Nhập tay",$H102,IF($D102="Đủ 01 tháng lương",$G102,IF($D102="Tỷ lệ thời gian",$G102*MIN(MAX($E102,0),12)/12,IF($D102="Bình quân 12 tháng",$F102,0))))))</f>
        <v/>
      </c>
      <c r="J102" s="222" t="n"/>
      <c r="K102" s="222" t="n"/>
      <c r="L102" s="127" t="n"/>
      <c r="M102" s="224">
        <f>IF($B102="","",IF($L102="Có",SUM($I102:$K102),0))</f>
        <v/>
      </c>
      <c r="N102" s="127" t="n"/>
      <c r="O102" s="150">
        <f>IF($B102="","",IF(AND($L102="Có",$D102=""),"Chưa chọn cách tính T13; ","")&amp;IF(AND($D102="Tỷ lệ thời gian",OR($G102&lt;=0,$E102&lt;=0)),"Thiếu căn cứ hoặc số tháng; ","")&amp;IF(AND($D102="Đủ 01 tháng lương",$G102&lt;=0),"Thiếu căn cứ T13; ","")&amp;IF(AND($D102="Bình quân 12 tháng",$F102&lt;=0),"Thiếu bình quân 12 tháng; ","")&amp;IF(AND($D102="Nhập tay",$H102&lt;=0),"Thiếu T13 nhập tay; ",""))</f>
        <v/>
      </c>
    </row>
    <row r="103">
      <c r="A103" s="145">
        <f>IF('DM_NHAN_SU'!$B103="","",ROW()-5)</f>
        <v/>
      </c>
      <c r="B103" s="145">
        <f>IF('DM_NHAN_SU'!$B103="","",'DM_NHAN_SU'!B103)</f>
        <v/>
      </c>
      <c r="C103" s="145">
        <f>IF('DM_NHAN_SU'!$B103="","",'DM_NHAN_SU'!C103)</f>
        <v/>
      </c>
      <c r="D103" s="127" t="n"/>
      <c r="E103" s="227" t="n"/>
      <c r="F103" s="222" t="n"/>
      <c r="G103" s="222" t="n"/>
      <c r="H103" s="222" t="n"/>
      <c r="I103" s="224">
        <f>IF($B103="","",IF($D103="Không",0,IF($D103="Nhập tay",$H103,IF($D103="Đủ 01 tháng lương",$G103,IF($D103="Tỷ lệ thời gian",$G103*MIN(MAX($E103,0),12)/12,IF($D103="Bình quân 12 tháng",$F103,0))))))</f>
        <v/>
      </c>
      <c r="J103" s="222" t="n"/>
      <c r="K103" s="222" t="n"/>
      <c r="L103" s="127" t="n"/>
      <c r="M103" s="224">
        <f>IF($B103="","",IF($L103="Có",SUM($I103:$K103),0))</f>
        <v/>
      </c>
      <c r="N103" s="127" t="n"/>
      <c r="O103" s="150">
        <f>IF($B103="","",IF(AND($L103="Có",$D103=""),"Chưa chọn cách tính T13; ","")&amp;IF(AND($D103="Tỷ lệ thời gian",OR($G103&lt;=0,$E103&lt;=0)),"Thiếu căn cứ hoặc số tháng; ","")&amp;IF(AND($D103="Đủ 01 tháng lương",$G103&lt;=0),"Thiếu căn cứ T13; ","")&amp;IF(AND($D103="Bình quân 12 tháng",$F103&lt;=0),"Thiếu bình quân 12 tháng; ","")&amp;IF(AND($D103="Nhập tay",$H103&lt;=0),"Thiếu T13 nhập tay; ",""))</f>
        <v/>
      </c>
    </row>
    <row r="104">
      <c r="A104" s="145">
        <f>IF('DM_NHAN_SU'!$B104="","",ROW()-5)</f>
        <v/>
      </c>
      <c r="B104" s="145">
        <f>IF('DM_NHAN_SU'!$B104="","",'DM_NHAN_SU'!B104)</f>
        <v/>
      </c>
      <c r="C104" s="145">
        <f>IF('DM_NHAN_SU'!$B104="","",'DM_NHAN_SU'!C104)</f>
        <v/>
      </c>
      <c r="D104" s="127" t="n"/>
      <c r="E104" s="227" t="n"/>
      <c r="F104" s="222" t="n"/>
      <c r="G104" s="222" t="n"/>
      <c r="H104" s="222" t="n"/>
      <c r="I104" s="224">
        <f>IF($B104="","",IF($D104="Không",0,IF($D104="Nhập tay",$H104,IF($D104="Đủ 01 tháng lương",$G104,IF($D104="Tỷ lệ thời gian",$G104*MIN(MAX($E104,0),12)/12,IF($D104="Bình quân 12 tháng",$F104,0))))))</f>
        <v/>
      </c>
      <c r="J104" s="222" t="n"/>
      <c r="K104" s="222" t="n"/>
      <c r="L104" s="127" t="n"/>
      <c r="M104" s="224">
        <f>IF($B104="","",IF($L104="Có",SUM($I104:$K104),0))</f>
        <v/>
      </c>
      <c r="N104" s="127" t="n"/>
      <c r="O104" s="150">
        <f>IF($B104="","",IF(AND($L104="Có",$D104=""),"Chưa chọn cách tính T13; ","")&amp;IF(AND($D104="Tỷ lệ thời gian",OR($G104&lt;=0,$E104&lt;=0)),"Thiếu căn cứ hoặc số tháng; ","")&amp;IF(AND($D104="Đủ 01 tháng lương",$G104&lt;=0),"Thiếu căn cứ T13; ","")&amp;IF(AND($D104="Bình quân 12 tháng",$F104&lt;=0),"Thiếu bình quân 12 tháng; ","")&amp;IF(AND($D104="Nhập tay",$H104&lt;=0),"Thiếu T13 nhập tay; ",""))</f>
        <v/>
      </c>
    </row>
    <row r="105">
      <c r="A105" s="145">
        <f>IF('DM_NHAN_SU'!$B105="","",ROW()-5)</f>
        <v/>
      </c>
      <c r="B105" s="145">
        <f>IF('DM_NHAN_SU'!$B105="","",'DM_NHAN_SU'!B105)</f>
        <v/>
      </c>
      <c r="C105" s="145">
        <f>IF('DM_NHAN_SU'!$B105="","",'DM_NHAN_SU'!C105)</f>
        <v/>
      </c>
      <c r="D105" s="127" t="n"/>
      <c r="E105" s="227" t="n"/>
      <c r="F105" s="222" t="n"/>
      <c r="G105" s="222" t="n"/>
      <c r="H105" s="222" t="n"/>
      <c r="I105" s="224">
        <f>IF($B105="","",IF($D105="Không",0,IF($D105="Nhập tay",$H105,IF($D105="Đủ 01 tháng lương",$G105,IF($D105="Tỷ lệ thời gian",$G105*MIN(MAX($E105,0),12)/12,IF($D105="Bình quân 12 tháng",$F105,0))))))</f>
        <v/>
      </c>
      <c r="J105" s="222" t="n"/>
      <c r="K105" s="222" t="n"/>
      <c r="L105" s="127" t="n"/>
      <c r="M105" s="224">
        <f>IF($B105="","",IF($L105="Có",SUM($I105:$K105),0))</f>
        <v/>
      </c>
      <c r="N105" s="127" t="n"/>
      <c r="O105" s="150">
        <f>IF($B105="","",IF(AND($L105="Có",$D105=""),"Chưa chọn cách tính T13; ","")&amp;IF(AND($D105="Tỷ lệ thời gian",OR($G105&lt;=0,$E105&lt;=0)),"Thiếu căn cứ hoặc số tháng; ","")&amp;IF(AND($D105="Đủ 01 tháng lương",$G105&lt;=0),"Thiếu căn cứ T13; ","")&amp;IF(AND($D105="Bình quân 12 tháng",$F105&lt;=0),"Thiếu bình quân 12 tháng; ","")&amp;IF(AND($D105="Nhập tay",$H105&lt;=0),"Thiếu T13 nhập tay; ",""))</f>
        <v/>
      </c>
    </row>
    <row r="106">
      <c r="A106" s="145">
        <f>IF('DM_NHAN_SU'!$B106="","",ROW()-5)</f>
        <v/>
      </c>
      <c r="B106" s="145">
        <f>IF('DM_NHAN_SU'!$B106="","",'DM_NHAN_SU'!B106)</f>
        <v/>
      </c>
      <c r="C106" s="145">
        <f>IF('DM_NHAN_SU'!$B106="","",'DM_NHAN_SU'!C106)</f>
        <v/>
      </c>
      <c r="D106" s="127" t="n"/>
      <c r="E106" s="227" t="n"/>
      <c r="F106" s="222" t="n"/>
      <c r="G106" s="222" t="n"/>
      <c r="H106" s="222" t="n"/>
      <c r="I106" s="224">
        <f>IF($B106="","",IF($D106="Không",0,IF($D106="Nhập tay",$H106,IF($D106="Đủ 01 tháng lương",$G106,IF($D106="Tỷ lệ thời gian",$G106*MIN(MAX($E106,0),12)/12,IF($D106="Bình quân 12 tháng",$F106,0))))))</f>
        <v/>
      </c>
      <c r="J106" s="222" t="n"/>
      <c r="K106" s="222" t="n"/>
      <c r="L106" s="127" t="n"/>
      <c r="M106" s="224">
        <f>IF($B106="","",IF($L106="Có",SUM($I106:$K106),0))</f>
        <v/>
      </c>
      <c r="N106" s="127" t="n"/>
      <c r="O106" s="150">
        <f>IF($B106="","",IF(AND($L106="Có",$D106=""),"Chưa chọn cách tính T13; ","")&amp;IF(AND($D106="Tỷ lệ thời gian",OR($G106&lt;=0,$E106&lt;=0)),"Thiếu căn cứ hoặc số tháng; ","")&amp;IF(AND($D106="Đủ 01 tháng lương",$G106&lt;=0),"Thiếu căn cứ T13; ","")&amp;IF(AND($D106="Bình quân 12 tháng",$F106&lt;=0),"Thiếu bình quân 12 tháng; ","")&amp;IF(AND($D106="Nhập tay",$H106&lt;=0),"Thiếu T13 nhập tay; ",""))</f>
        <v/>
      </c>
    </row>
    <row r="107">
      <c r="A107" s="145">
        <f>IF('DM_NHAN_SU'!$B107="","",ROW()-5)</f>
        <v/>
      </c>
      <c r="B107" s="145">
        <f>IF('DM_NHAN_SU'!$B107="","",'DM_NHAN_SU'!B107)</f>
        <v/>
      </c>
      <c r="C107" s="145">
        <f>IF('DM_NHAN_SU'!$B107="","",'DM_NHAN_SU'!C107)</f>
        <v/>
      </c>
      <c r="D107" s="127" t="n"/>
      <c r="E107" s="227" t="n"/>
      <c r="F107" s="222" t="n"/>
      <c r="G107" s="222" t="n"/>
      <c r="H107" s="222" t="n"/>
      <c r="I107" s="224">
        <f>IF($B107="","",IF($D107="Không",0,IF($D107="Nhập tay",$H107,IF($D107="Đủ 01 tháng lương",$G107,IF($D107="Tỷ lệ thời gian",$G107*MIN(MAX($E107,0),12)/12,IF($D107="Bình quân 12 tháng",$F107,0))))))</f>
        <v/>
      </c>
      <c r="J107" s="222" t="n"/>
      <c r="K107" s="222" t="n"/>
      <c r="L107" s="127" t="n"/>
      <c r="M107" s="224">
        <f>IF($B107="","",IF($L107="Có",SUM($I107:$K107),0))</f>
        <v/>
      </c>
      <c r="N107" s="127" t="n"/>
      <c r="O107" s="150">
        <f>IF($B107="","",IF(AND($L107="Có",$D107=""),"Chưa chọn cách tính T13; ","")&amp;IF(AND($D107="Tỷ lệ thời gian",OR($G107&lt;=0,$E107&lt;=0)),"Thiếu căn cứ hoặc số tháng; ","")&amp;IF(AND($D107="Đủ 01 tháng lương",$G107&lt;=0),"Thiếu căn cứ T13; ","")&amp;IF(AND($D107="Bình quân 12 tháng",$F107&lt;=0),"Thiếu bình quân 12 tháng; ","")&amp;IF(AND($D107="Nhập tay",$H107&lt;=0),"Thiếu T13 nhập tay; ",""))</f>
        <v/>
      </c>
    </row>
    <row r="108">
      <c r="A108" s="145">
        <f>IF('DM_NHAN_SU'!$B108="","",ROW()-5)</f>
        <v/>
      </c>
      <c r="B108" s="145">
        <f>IF('DM_NHAN_SU'!$B108="","",'DM_NHAN_SU'!B108)</f>
        <v/>
      </c>
      <c r="C108" s="145">
        <f>IF('DM_NHAN_SU'!$B108="","",'DM_NHAN_SU'!C108)</f>
        <v/>
      </c>
      <c r="D108" s="127" t="n"/>
      <c r="E108" s="227" t="n"/>
      <c r="F108" s="222" t="n"/>
      <c r="G108" s="222" t="n"/>
      <c r="H108" s="222" t="n"/>
      <c r="I108" s="224">
        <f>IF($B108="","",IF($D108="Không",0,IF($D108="Nhập tay",$H108,IF($D108="Đủ 01 tháng lương",$G108,IF($D108="Tỷ lệ thời gian",$G108*MIN(MAX($E108,0),12)/12,IF($D108="Bình quân 12 tháng",$F108,0))))))</f>
        <v/>
      </c>
      <c r="J108" s="222" t="n"/>
      <c r="K108" s="222" t="n"/>
      <c r="L108" s="127" t="n"/>
      <c r="M108" s="224">
        <f>IF($B108="","",IF($L108="Có",SUM($I108:$K108),0))</f>
        <v/>
      </c>
      <c r="N108" s="127" t="n"/>
      <c r="O108" s="150">
        <f>IF($B108="","",IF(AND($L108="Có",$D108=""),"Chưa chọn cách tính T13; ","")&amp;IF(AND($D108="Tỷ lệ thời gian",OR($G108&lt;=0,$E108&lt;=0)),"Thiếu căn cứ hoặc số tháng; ","")&amp;IF(AND($D108="Đủ 01 tháng lương",$G108&lt;=0),"Thiếu căn cứ T13; ","")&amp;IF(AND($D108="Bình quân 12 tháng",$F108&lt;=0),"Thiếu bình quân 12 tháng; ","")&amp;IF(AND($D108="Nhập tay",$H108&lt;=0),"Thiếu T13 nhập tay; ",""))</f>
        <v/>
      </c>
    </row>
    <row r="109">
      <c r="A109" s="145">
        <f>IF('DM_NHAN_SU'!$B109="","",ROW()-5)</f>
        <v/>
      </c>
      <c r="B109" s="145">
        <f>IF('DM_NHAN_SU'!$B109="","",'DM_NHAN_SU'!B109)</f>
        <v/>
      </c>
      <c r="C109" s="145">
        <f>IF('DM_NHAN_SU'!$B109="","",'DM_NHAN_SU'!C109)</f>
        <v/>
      </c>
      <c r="D109" s="127" t="n"/>
      <c r="E109" s="227" t="n"/>
      <c r="F109" s="222" t="n"/>
      <c r="G109" s="222" t="n"/>
      <c r="H109" s="222" t="n"/>
      <c r="I109" s="224">
        <f>IF($B109="","",IF($D109="Không",0,IF($D109="Nhập tay",$H109,IF($D109="Đủ 01 tháng lương",$G109,IF($D109="Tỷ lệ thời gian",$G109*MIN(MAX($E109,0),12)/12,IF($D109="Bình quân 12 tháng",$F109,0))))))</f>
        <v/>
      </c>
      <c r="J109" s="222" t="n"/>
      <c r="K109" s="222" t="n"/>
      <c r="L109" s="127" t="n"/>
      <c r="M109" s="224">
        <f>IF($B109="","",IF($L109="Có",SUM($I109:$K109),0))</f>
        <v/>
      </c>
      <c r="N109" s="127" t="n"/>
      <c r="O109" s="150">
        <f>IF($B109="","",IF(AND($L109="Có",$D109=""),"Chưa chọn cách tính T13; ","")&amp;IF(AND($D109="Tỷ lệ thời gian",OR($G109&lt;=0,$E109&lt;=0)),"Thiếu căn cứ hoặc số tháng; ","")&amp;IF(AND($D109="Đủ 01 tháng lương",$G109&lt;=0),"Thiếu căn cứ T13; ","")&amp;IF(AND($D109="Bình quân 12 tháng",$F109&lt;=0),"Thiếu bình quân 12 tháng; ","")&amp;IF(AND($D109="Nhập tay",$H109&lt;=0),"Thiếu T13 nhập tay; ",""))</f>
        <v/>
      </c>
    </row>
    <row r="110">
      <c r="A110" s="145">
        <f>IF('DM_NHAN_SU'!$B110="","",ROW()-5)</f>
        <v/>
      </c>
      <c r="B110" s="145">
        <f>IF('DM_NHAN_SU'!$B110="","",'DM_NHAN_SU'!B110)</f>
        <v/>
      </c>
      <c r="C110" s="145">
        <f>IF('DM_NHAN_SU'!$B110="","",'DM_NHAN_SU'!C110)</f>
        <v/>
      </c>
      <c r="D110" s="127" t="n"/>
      <c r="E110" s="227" t="n"/>
      <c r="F110" s="222" t="n"/>
      <c r="G110" s="222" t="n"/>
      <c r="H110" s="222" t="n"/>
      <c r="I110" s="224">
        <f>IF($B110="","",IF($D110="Không",0,IF($D110="Nhập tay",$H110,IF($D110="Đủ 01 tháng lương",$G110,IF($D110="Tỷ lệ thời gian",$G110*MIN(MAX($E110,0),12)/12,IF($D110="Bình quân 12 tháng",$F110,0))))))</f>
        <v/>
      </c>
      <c r="J110" s="222" t="n"/>
      <c r="K110" s="222" t="n"/>
      <c r="L110" s="127" t="n"/>
      <c r="M110" s="224">
        <f>IF($B110="","",IF($L110="Có",SUM($I110:$K110),0))</f>
        <v/>
      </c>
      <c r="N110" s="127" t="n"/>
      <c r="O110" s="150">
        <f>IF($B110="","",IF(AND($L110="Có",$D110=""),"Chưa chọn cách tính T13; ","")&amp;IF(AND($D110="Tỷ lệ thời gian",OR($G110&lt;=0,$E110&lt;=0)),"Thiếu căn cứ hoặc số tháng; ","")&amp;IF(AND($D110="Đủ 01 tháng lương",$G110&lt;=0),"Thiếu căn cứ T13; ","")&amp;IF(AND($D110="Bình quân 12 tháng",$F110&lt;=0),"Thiếu bình quân 12 tháng; ","")&amp;IF(AND($D110="Nhập tay",$H110&lt;=0),"Thiếu T13 nhập tay; ",""))</f>
        <v/>
      </c>
    </row>
    <row r="111">
      <c r="A111" s="145">
        <f>IF('DM_NHAN_SU'!$B111="","",ROW()-5)</f>
        <v/>
      </c>
      <c r="B111" s="145">
        <f>IF('DM_NHAN_SU'!$B111="","",'DM_NHAN_SU'!B111)</f>
        <v/>
      </c>
      <c r="C111" s="145">
        <f>IF('DM_NHAN_SU'!$B111="","",'DM_NHAN_SU'!C111)</f>
        <v/>
      </c>
      <c r="D111" s="127" t="n"/>
      <c r="E111" s="227" t="n"/>
      <c r="F111" s="222" t="n"/>
      <c r="G111" s="222" t="n"/>
      <c r="H111" s="222" t="n"/>
      <c r="I111" s="224">
        <f>IF($B111="","",IF($D111="Không",0,IF($D111="Nhập tay",$H111,IF($D111="Đủ 01 tháng lương",$G111,IF($D111="Tỷ lệ thời gian",$G111*MIN(MAX($E111,0),12)/12,IF($D111="Bình quân 12 tháng",$F111,0))))))</f>
        <v/>
      </c>
      <c r="J111" s="222" t="n"/>
      <c r="K111" s="222" t="n"/>
      <c r="L111" s="127" t="n"/>
      <c r="M111" s="224">
        <f>IF($B111="","",IF($L111="Có",SUM($I111:$K111),0))</f>
        <v/>
      </c>
      <c r="N111" s="127" t="n"/>
      <c r="O111" s="150">
        <f>IF($B111="","",IF(AND($L111="Có",$D111=""),"Chưa chọn cách tính T13; ","")&amp;IF(AND($D111="Tỷ lệ thời gian",OR($G111&lt;=0,$E111&lt;=0)),"Thiếu căn cứ hoặc số tháng; ","")&amp;IF(AND($D111="Đủ 01 tháng lương",$G111&lt;=0),"Thiếu căn cứ T13; ","")&amp;IF(AND($D111="Bình quân 12 tháng",$F111&lt;=0),"Thiếu bình quân 12 tháng; ","")&amp;IF(AND($D111="Nhập tay",$H111&lt;=0),"Thiếu T13 nhập tay; ",""))</f>
        <v/>
      </c>
    </row>
    <row r="112">
      <c r="A112" s="145">
        <f>IF('DM_NHAN_SU'!$B112="","",ROW()-5)</f>
        <v/>
      </c>
      <c r="B112" s="145">
        <f>IF('DM_NHAN_SU'!$B112="","",'DM_NHAN_SU'!B112)</f>
        <v/>
      </c>
      <c r="C112" s="145">
        <f>IF('DM_NHAN_SU'!$B112="","",'DM_NHAN_SU'!C112)</f>
        <v/>
      </c>
      <c r="D112" s="127" t="n"/>
      <c r="E112" s="227" t="n"/>
      <c r="F112" s="222" t="n"/>
      <c r="G112" s="222" t="n"/>
      <c r="H112" s="222" t="n"/>
      <c r="I112" s="224">
        <f>IF($B112="","",IF($D112="Không",0,IF($D112="Nhập tay",$H112,IF($D112="Đủ 01 tháng lương",$G112,IF($D112="Tỷ lệ thời gian",$G112*MIN(MAX($E112,0),12)/12,IF($D112="Bình quân 12 tháng",$F112,0))))))</f>
        <v/>
      </c>
      <c r="J112" s="222" t="n"/>
      <c r="K112" s="222" t="n"/>
      <c r="L112" s="127" t="n"/>
      <c r="M112" s="224">
        <f>IF($B112="","",IF($L112="Có",SUM($I112:$K112),0))</f>
        <v/>
      </c>
      <c r="N112" s="127" t="n"/>
      <c r="O112" s="150">
        <f>IF($B112="","",IF(AND($L112="Có",$D112=""),"Chưa chọn cách tính T13; ","")&amp;IF(AND($D112="Tỷ lệ thời gian",OR($G112&lt;=0,$E112&lt;=0)),"Thiếu căn cứ hoặc số tháng; ","")&amp;IF(AND($D112="Đủ 01 tháng lương",$G112&lt;=0),"Thiếu căn cứ T13; ","")&amp;IF(AND($D112="Bình quân 12 tháng",$F112&lt;=0),"Thiếu bình quân 12 tháng; ","")&amp;IF(AND($D112="Nhập tay",$H112&lt;=0),"Thiếu T13 nhập tay; ",""))</f>
        <v/>
      </c>
    </row>
    <row r="113">
      <c r="A113" s="145">
        <f>IF('DM_NHAN_SU'!$B113="","",ROW()-5)</f>
        <v/>
      </c>
      <c r="B113" s="145">
        <f>IF('DM_NHAN_SU'!$B113="","",'DM_NHAN_SU'!B113)</f>
        <v/>
      </c>
      <c r="C113" s="145">
        <f>IF('DM_NHAN_SU'!$B113="","",'DM_NHAN_SU'!C113)</f>
        <v/>
      </c>
      <c r="D113" s="127" t="n"/>
      <c r="E113" s="227" t="n"/>
      <c r="F113" s="222" t="n"/>
      <c r="G113" s="222" t="n"/>
      <c r="H113" s="222" t="n"/>
      <c r="I113" s="224">
        <f>IF($B113="","",IF($D113="Không",0,IF($D113="Nhập tay",$H113,IF($D113="Đủ 01 tháng lương",$G113,IF($D113="Tỷ lệ thời gian",$G113*MIN(MAX($E113,0),12)/12,IF($D113="Bình quân 12 tháng",$F113,0))))))</f>
        <v/>
      </c>
      <c r="J113" s="222" t="n"/>
      <c r="K113" s="222" t="n"/>
      <c r="L113" s="127" t="n"/>
      <c r="M113" s="224">
        <f>IF($B113="","",IF($L113="Có",SUM($I113:$K113),0))</f>
        <v/>
      </c>
      <c r="N113" s="127" t="n"/>
      <c r="O113" s="150">
        <f>IF($B113="","",IF(AND($L113="Có",$D113=""),"Chưa chọn cách tính T13; ","")&amp;IF(AND($D113="Tỷ lệ thời gian",OR($G113&lt;=0,$E113&lt;=0)),"Thiếu căn cứ hoặc số tháng; ","")&amp;IF(AND($D113="Đủ 01 tháng lương",$G113&lt;=0),"Thiếu căn cứ T13; ","")&amp;IF(AND($D113="Bình quân 12 tháng",$F113&lt;=0),"Thiếu bình quân 12 tháng; ","")&amp;IF(AND($D113="Nhập tay",$H113&lt;=0),"Thiếu T13 nhập tay; ",""))</f>
        <v/>
      </c>
    </row>
    <row r="114">
      <c r="A114" s="145">
        <f>IF('DM_NHAN_SU'!$B114="","",ROW()-5)</f>
        <v/>
      </c>
      <c r="B114" s="145">
        <f>IF('DM_NHAN_SU'!$B114="","",'DM_NHAN_SU'!B114)</f>
        <v/>
      </c>
      <c r="C114" s="145">
        <f>IF('DM_NHAN_SU'!$B114="","",'DM_NHAN_SU'!C114)</f>
        <v/>
      </c>
      <c r="D114" s="127" t="n"/>
      <c r="E114" s="227" t="n"/>
      <c r="F114" s="222" t="n"/>
      <c r="G114" s="222" t="n"/>
      <c r="H114" s="222" t="n"/>
      <c r="I114" s="224">
        <f>IF($B114="","",IF($D114="Không",0,IF($D114="Nhập tay",$H114,IF($D114="Đủ 01 tháng lương",$G114,IF($D114="Tỷ lệ thời gian",$G114*MIN(MAX($E114,0),12)/12,IF($D114="Bình quân 12 tháng",$F114,0))))))</f>
        <v/>
      </c>
      <c r="J114" s="222" t="n"/>
      <c r="K114" s="222" t="n"/>
      <c r="L114" s="127" t="n"/>
      <c r="M114" s="224">
        <f>IF($B114="","",IF($L114="Có",SUM($I114:$K114),0))</f>
        <v/>
      </c>
      <c r="N114" s="127" t="n"/>
      <c r="O114" s="150">
        <f>IF($B114="","",IF(AND($L114="Có",$D114=""),"Chưa chọn cách tính T13; ","")&amp;IF(AND($D114="Tỷ lệ thời gian",OR($G114&lt;=0,$E114&lt;=0)),"Thiếu căn cứ hoặc số tháng; ","")&amp;IF(AND($D114="Đủ 01 tháng lương",$G114&lt;=0),"Thiếu căn cứ T13; ","")&amp;IF(AND($D114="Bình quân 12 tháng",$F114&lt;=0),"Thiếu bình quân 12 tháng; ","")&amp;IF(AND($D114="Nhập tay",$H114&lt;=0),"Thiếu T13 nhập tay; ",""))</f>
        <v/>
      </c>
    </row>
    <row r="115">
      <c r="A115" s="145">
        <f>IF('DM_NHAN_SU'!$B115="","",ROW()-5)</f>
        <v/>
      </c>
      <c r="B115" s="145">
        <f>IF('DM_NHAN_SU'!$B115="","",'DM_NHAN_SU'!B115)</f>
        <v/>
      </c>
      <c r="C115" s="145">
        <f>IF('DM_NHAN_SU'!$B115="","",'DM_NHAN_SU'!C115)</f>
        <v/>
      </c>
      <c r="D115" s="127" t="n"/>
      <c r="E115" s="227" t="n"/>
      <c r="F115" s="222" t="n"/>
      <c r="G115" s="222" t="n"/>
      <c r="H115" s="222" t="n"/>
      <c r="I115" s="224">
        <f>IF($B115="","",IF($D115="Không",0,IF($D115="Nhập tay",$H115,IF($D115="Đủ 01 tháng lương",$G115,IF($D115="Tỷ lệ thời gian",$G115*MIN(MAX($E115,0),12)/12,IF($D115="Bình quân 12 tháng",$F115,0))))))</f>
        <v/>
      </c>
      <c r="J115" s="222" t="n"/>
      <c r="K115" s="222" t="n"/>
      <c r="L115" s="127" t="n"/>
      <c r="M115" s="224">
        <f>IF($B115="","",IF($L115="Có",SUM($I115:$K115),0))</f>
        <v/>
      </c>
      <c r="N115" s="127" t="n"/>
      <c r="O115" s="150">
        <f>IF($B115="","",IF(AND($L115="Có",$D115=""),"Chưa chọn cách tính T13; ","")&amp;IF(AND($D115="Tỷ lệ thời gian",OR($G115&lt;=0,$E115&lt;=0)),"Thiếu căn cứ hoặc số tháng; ","")&amp;IF(AND($D115="Đủ 01 tháng lương",$G115&lt;=0),"Thiếu căn cứ T13; ","")&amp;IF(AND($D115="Bình quân 12 tháng",$F115&lt;=0),"Thiếu bình quân 12 tháng; ","")&amp;IF(AND($D115="Nhập tay",$H115&lt;=0),"Thiếu T13 nhập tay; ",""))</f>
        <v/>
      </c>
    </row>
    <row r="116">
      <c r="A116" s="145">
        <f>IF('DM_NHAN_SU'!$B116="","",ROW()-5)</f>
        <v/>
      </c>
      <c r="B116" s="145">
        <f>IF('DM_NHAN_SU'!$B116="","",'DM_NHAN_SU'!B116)</f>
        <v/>
      </c>
      <c r="C116" s="145">
        <f>IF('DM_NHAN_SU'!$B116="","",'DM_NHAN_SU'!C116)</f>
        <v/>
      </c>
      <c r="D116" s="127" t="n"/>
      <c r="E116" s="227" t="n"/>
      <c r="F116" s="222" t="n"/>
      <c r="G116" s="222" t="n"/>
      <c r="H116" s="222" t="n"/>
      <c r="I116" s="224">
        <f>IF($B116="","",IF($D116="Không",0,IF($D116="Nhập tay",$H116,IF($D116="Đủ 01 tháng lương",$G116,IF($D116="Tỷ lệ thời gian",$G116*MIN(MAX($E116,0),12)/12,IF($D116="Bình quân 12 tháng",$F116,0))))))</f>
        <v/>
      </c>
      <c r="J116" s="222" t="n"/>
      <c r="K116" s="222" t="n"/>
      <c r="L116" s="127" t="n"/>
      <c r="M116" s="224">
        <f>IF($B116="","",IF($L116="Có",SUM($I116:$K116),0))</f>
        <v/>
      </c>
      <c r="N116" s="127" t="n"/>
      <c r="O116" s="150">
        <f>IF($B116="","",IF(AND($L116="Có",$D116=""),"Chưa chọn cách tính T13; ","")&amp;IF(AND($D116="Tỷ lệ thời gian",OR($G116&lt;=0,$E116&lt;=0)),"Thiếu căn cứ hoặc số tháng; ","")&amp;IF(AND($D116="Đủ 01 tháng lương",$G116&lt;=0),"Thiếu căn cứ T13; ","")&amp;IF(AND($D116="Bình quân 12 tháng",$F116&lt;=0),"Thiếu bình quân 12 tháng; ","")&amp;IF(AND($D116="Nhập tay",$H116&lt;=0),"Thiếu T13 nhập tay; ",""))</f>
        <v/>
      </c>
    </row>
    <row r="117">
      <c r="A117" s="145">
        <f>IF('DM_NHAN_SU'!$B117="","",ROW()-5)</f>
        <v/>
      </c>
      <c r="B117" s="145">
        <f>IF('DM_NHAN_SU'!$B117="","",'DM_NHAN_SU'!B117)</f>
        <v/>
      </c>
      <c r="C117" s="145">
        <f>IF('DM_NHAN_SU'!$B117="","",'DM_NHAN_SU'!C117)</f>
        <v/>
      </c>
      <c r="D117" s="127" t="n"/>
      <c r="E117" s="227" t="n"/>
      <c r="F117" s="222" t="n"/>
      <c r="G117" s="222" t="n"/>
      <c r="H117" s="222" t="n"/>
      <c r="I117" s="224">
        <f>IF($B117="","",IF($D117="Không",0,IF($D117="Nhập tay",$H117,IF($D117="Đủ 01 tháng lương",$G117,IF($D117="Tỷ lệ thời gian",$G117*MIN(MAX($E117,0),12)/12,IF($D117="Bình quân 12 tháng",$F117,0))))))</f>
        <v/>
      </c>
      <c r="J117" s="222" t="n"/>
      <c r="K117" s="222" t="n"/>
      <c r="L117" s="127" t="n"/>
      <c r="M117" s="224">
        <f>IF($B117="","",IF($L117="Có",SUM($I117:$K117),0))</f>
        <v/>
      </c>
      <c r="N117" s="127" t="n"/>
      <c r="O117" s="150">
        <f>IF($B117="","",IF(AND($L117="Có",$D117=""),"Chưa chọn cách tính T13; ","")&amp;IF(AND($D117="Tỷ lệ thời gian",OR($G117&lt;=0,$E117&lt;=0)),"Thiếu căn cứ hoặc số tháng; ","")&amp;IF(AND($D117="Đủ 01 tháng lương",$G117&lt;=0),"Thiếu căn cứ T13; ","")&amp;IF(AND($D117="Bình quân 12 tháng",$F117&lt;=0),"Thiếu bình quân 12 tháng; ","")&amp;IF(AND($D117="Nhập tay",$H117&lt;=0),"Thiếu T13 nhập tay; ",""))</f>
        <v/>
      </c>
    </row>
    <row r="118">
      <c r="A118" s="145">
        <f>IF('DM_NHAN_SU'!$B118="","",ROW()-5)</f>
        <v/>
      </c>
      <c r="B118" s="145">
        <f>IF('DM_NHAN_SU'!$B118="","",'DM_NHAN_SU'!B118)</f>
        <v/>
      </c>
      <c r="C118" s="145">
        <f>IF('DM_NHAN_SU'!$B118="","",'DM_NHAN_SU'!C118)</f>
        <v/>
      </c>
      <c r="D118" s="127" t="n"/>
      <c r="E118" s="227" t="n"/>
      <c r="F118" s="222" t="n"/>
      <c r="G118" s="222" t="n"/>
      <c r="H118" s="222" t="n"/>
      <c r="I118" s="224">
        <f>IF($B118="","",IF($D118="Không",0,IF($D118="Nhập tay",$H118,IF($D118="Đủ 01 tháng lương",$G118,IF($D118="Tỷ lệ thời gian",$G118*MIN(MAX($E118,0),12)/12,IF($D118="Bình quân 12 tháng",$F118,0))))))</f>
        <v/>
      </c>
      <c r="J118" s="222" t="n"/>
      <c r="K118" s="222" t="n"/>
      <c r="L118" s="127" t="n"/>
      <c r="M118" s="224">
        <f>IF($B118="","",IF($L118="Có",SUM($I118:$K118),0))</f>
        <v/>
      </c>
      <c r="N118" s="127" t="n"/>
      <c r="O118" s="150">
        <f>IF($B118="","",IF(AND($L118="Có",$D118=""),"Chưa chọn cách tính T13; ","")&amp;IF(AND($D118="Tỷ lệ thời gian",OR($G118&lt;=0,$E118&lt;=0)),"Thiếu căn cứ hoặc số tháng; ","")&amp;IF(AND($D118="Đủ 01 tháng lương",$G118&lt;=0),"Thiếu căn cứ T13; ","")&amp;IF(AND($D118="Bình quân 12 tháng",$F118&lt;=0),"Thiếu bình quân 12 tháng; ","")&amp;IF(AND($D118="Nhập tay",$H118&lt;=0),"Thiếu T13 nhập tay; ",""))</f>
        <v/>
      </c>
    </row>
    <row r="119">
      <c r="A119" s="145">
        <f>IF('DM_NHAN_SU'!$B119="","",ROW()-5)</f>
        <v/>
      </c>
      <c r="B119" s="145">
        <f>IF('DM_NHAN_SU'!$B119="","",'DM_NHAN_SU'!B119)</f>
        <v/>
      </c>
      <c r="C119" s="145">
        <f>IF('DM_NHAN_SU'!$B119="","",'DM_NHAN_SU'!C119)</f>
        <v/>
      </c>
      <c r="D119" s="127" t="n"/>
      <c r="E119" s="227" t="n"/>
      <c r="F119" s="222" t="n"/>
      <c r="G119" s="222" t="n"/>
      <c r="H119" s="222" t="n"/>
      <c r="I119" s="224">
        <f>IF($B119="","",IF($D119="Không",0,IF($D119="Nhập tay",$H119,IF($D119="Đủ 01 tháng lương",$G119,IF($D119="Tỷ lệ thời gian",$G119*MIN(MAX($E119,0),12)/12,IF($D119="Bình quân 12 tháng",$F119,0))))))</f>
        <v/>
      </c>
      <c r="J119" s="222" t="n"/>
      <c r="K119" s="222" t="n"/>
      <c r="L119" s="127" t="n"/>
      <c r="M119" s="224">
        <f>IF($B119="","",IF($L119="Có",SUM($I119:$K119),0))</f>
        <v/>
      </c>
      <c r="N119" s="127" t="n"/>
      <c r="O119" s="150">
        <f>IF($B119="","",IF(AND($L119="Có",$D119=""),"Chưa chọn cách tính T13; ","")&amp;IF(AND($D119="Tỷ lệ thời gian",OR($G119&lt;=0,$E119&lt;=0)),"Thiếu căn cứ hoặc số tháng; ","")&amp;IF(AND($D119="Đủ 01 tháng lương",$G119&lt;=0),"Thiếu căn cứ T13; ","")&amp;IF(AND($D119="Bình quân 12 tháng",$F119&lt;=0),"Thiếu bình quân 12 tháng; ","")&amp;IF(AND($D119="Nhập tay",$H119&lt;=0),"Thiếu T13 nhập tay; ",""))</f>
        <v/>
      </c>
    </row>
    <row r="120">
      <c r="A120" s="145">
        <f>IF('DM_NHAN_SU'!$B120="","",ROW()-5)</f>
        <v/>
      </c>
      <c r="B120" s="145">
        <f>IF('DM_NHAN_SU'!$B120="","",'DM_NHAN_SU'!B120)</f>
        <v/>
      </c>
      <c r="C120" s="145">
        <f>IF('DM_NHAN_SU'!$B120="","",'DM_NHAN_SU'!C120)</f>
        <v/>
      </c>
      <c r="D120" s="127" t="n"/>
      <c r="E120" s="227" t="n"/>
      <c r="F120" s="222" t="n"/>
      <c r="G120" s="222" t="n"/>
      <c r="H120" s="222" t="n"/>
      <c r="I120" s="224">
        <f>IF($B120="","",IF($D120="Không",0,IF($D120="Nhập tay",$H120,IF($D120="Đủ 01 tháng lương",$G120,IF($D120="Tỷ lệ thời gian",$G120*MIN(MAX($E120,0),12)/12,IF($D120="Bình quân 12 tháng",$F120,0))))))</f>
        <v/>
      </c>
      <c r="J120" s="222" t="n"/>
      <c r="K120" s="222" t="n"/>
      <c r="L120" s="127" t="n"/>
      <c r="M120" s="224">
        <f>IF($B120="","",IF($L120="Có",SUM($I120:$K120),0))</f>
        <v/>
      </c>
      <c r="N120" s="127" t="n"/>
      <c r="O120" s="150">
        <f>IF($B120="","",IF(AND($L120="Có",$D120=""),"Chưa chọn cách tính T13; ","")&amp;IF(AND($D120="Tỷ lệ thời gian",OR($G120&lt;=0,$E120&lt;=0)),"Thiếu căn cứ hoặc số tháng; ","")&amp;IF(AND($D120="Đủ 01 tháng lương",$G120&lt;=0),"Thiếu căn cứ T13; ","")&amp;IF(AND($D120="Bình quân 12 tháng",$F120&lt;=0),"Thiếu bình quân 12 tháng; ","")&amp;IF(AND($D120="Nhập tay",$H120&lt;=0),"Thiếu T13 nhập tay; ",""))</f>
        <v/>
      </c>
    </row>
    <row r="121">
      <c r="A121" s="145">
        <f>IF('DM_NHAN_SU'!$B121="","",ROW()-5)</f>
        <v/>
      </c>
      <c r="B121" s="145">
        <f>IF('DM_NHAN_SU'!$B121="","",'DM_NHAN_SU'!B121)</f>
        <v/>
      </c>
      <c r="C121" s="145">
        <f>IF('DM_NHAN_SU'!$B121="","",'DM_NHAN_SU'!C121)</f>
        <v/>
      </c>
      <c r="D121" s="127" t="n"/>
      <c r="E121" s="227" t="n"/>
      <c r="F121" s="222" t="n"/>
      <c r="G121" s="222" t="n"/>
      <c r="H121" s="222" t="n"/>
      <c r="I121" s="224">
        <f>IF($B121="","",IF($D121="Không",0,IF($D121="Nhập tay",$H121,IF($D121="Đủ 01 tháng lương",$G121,IF($D121="Tỷ lệ thời gian",$G121*MIN(MAX($E121,0),12)/12,IF($D121="Bình quân 12 tháng",$F121,0))))))</f>
        <v/>
      </c>
      <c r="J121" s="222" t="n"/>
      <c r="K121" s="222" t="n"/>
      <c r="L121" s="127" t="n"/>
      <c r="M121" s="224">
        <f>IF($B121="","",IF($L121="Có",SUM($I121:$K121),0))</f>
        <v/>
      </c>
      <c r="N121" s="127" t="n"/>
      <c r="O121" s="150">
        <f>IF($B121="","",IF(AND($L121="Có",$D121=""),"Chưa chọn cách tính T13; ","")&amp;IF(AND($D121="Tỷ lệ thời gian",OR($G121&lt;=0,$E121&lt;=0)),"Thiếu căn cứ hoặc số tháng; ","")&amp;IF(AND($D121="Đủ 01 tháng lương",$G121&lt;=0),"Thiếu căn cứ T13; ","")&amp;IF(AND($D121="Bình quân 12 tháng",$F121&lt;=0),"Thiếu bình quân 12 tháng; ","")&amp;IF(AND($D121="Nhập tay",$H121&lt;=0),"Thiếu T13 nhập tay; ",""))</f>
        <v/>
      </c>
    </row>
    <row r="122">
      <c r="A122" s="145">
        <f>IF('DM_NHAN_SU'!$B122="","",ROW()-5)</f>
        <v/>
      </c>
      <c r="B122" s="145">
        <f>IF('DM_NHAN_SU'!$B122="","",'DM_NHAN_SU'!B122)</f>
        <v/>
      </c>
      <c r="C122" s="145">
        <f>IF('DM_NHAN_SU'!$B122="","",'DM_NHAN_SU'!C122)</f>
        <v/>
      </c>
      <c r="D122" s="127" t="n"/>
      <c r="E122" s="227" t="n"/>
      <c r="F122" s="222" t="n"/>
      <c r="G122" s="222" t="n"/>
      <c r="H122" s="222" t="n"/>
      <c r="I122" s="224">
        <f>IF($B122="","",IF($D122="Không",0,IF($D122="Nhập tay",$H122,IF($D122="Đủ 01 tháng lương",$G122,IF($D122="Tỷ lệ thời gian",$G122*MIN(MAX($E122,0),12)/12,IF($D122="Bình quân 12 tháng",$F122,0))))))</f>
        <v/>
      </c>
      <c r="J122" s="222" t="n"/>
      <c r="K122" s="222" t="n"/>
      <c r="L122" s="127" t="n"/>
      <c r="M122" s="224">
        <f>IF($B122="","",IF($L122="Có",SUM($I122:$K122),0))</f>
        <v/>
      </c>
      <c r="N122" s="127" t="n"/>
      <c r="O122" s="150">
        <f>IF($B122="","",IF(AND($L122="Có",$D122=""),"Chưa chọn cách tính T13; ","")&amp;IF(AND($D122="Tỷ lệ thời gian",OR($G122&lt;=0,$E122&lt;=0)),"Thiếu căn cứ hoặc số tháng; ","")&amp;IF(AND($D122="Đủ 01 tháng lương",$G122&lt;=0),"Thiếu căn cứ T13; ","")&amp;IF(AND($D122="Bình quân 12 tháng",$F122&lt;=0),"Thiếu bình quân 12 tháng; ","")&amp;IF(AND($D122="Nhập tay",$H122&lt;=0),"Thiếu T13 nhập tay; ",""))</f>
        <v/>
      </c>
    </row>
    <row r="123">
      <c r="A123" s="145">
        <f>IF('DM_NHAN_SU'!$B123="","",ROW()-5)</f>
        <v/>
      </c>
      <c r="B123" s="145">
        <f>IF('DM_NHAN_SU'!$B123="","",'DM_NHAN_SU'!B123)</f>
        <v/>
      </c>
      <c r="C123" s="145">
        <f>IF('DM_NHAN_SU'!$B123="","",'DM_NHAN_SU'!C123)</f>
        <v/>
      </c>
      <c r="D123" s="127" t="n"/>
      <c r="E123" s="227" t="n"/>
      <c r="F123" s="222" t="n"/>
      <c r="G123" s="222" t="n"/>
      <c r="H123" s="222" t="n"/>
      <c r="I123" s="224">
        <f>IF($B123="","",IF($D123="Không",0,IF($D123="Nhập tay",$H123,IF($D123="Đủ 01 tháng lương",$G123,IF($D123="Tỷ lệ thời gian",$G123*MIN(MAX($E123,0),12)/12,IF($D123="Bình quân 12 tháng",$F123,0))))))</f>
        <v/>
      </c>
      <c r="J123" s="222" t="n"/>
      <c r="K123" s="222" t="n"/>
      <c r="L123" s="127" t="n"/>
      <c r="M123" s="224">
        <f>IF($B123="","",IF($L123="Có",SUM($I123:$K123),0))</f>
        <v/>
      </c>
      <c r="N123" s="127" t="n"/>
      <c r="O123" s="150">
        <f>IF($B123="","",IF(AND($L123="Có",$D123=""),"Chưa chọn cách tính T13; ","")&amp;IF(AND($D123="Tỷ lệ thời gian",OR($G123&lt;=0,$E123&lt;=0)),"Thiếu căn cứ hoặc số tháng; ","")&amp;IF(AND($D123="Đủ 01 tháng lương",$G123&lt;=0),"Thiếu căn cứ T13; ","")&amp;IF(AND($D123="Bình quân 12 tháng",$F123&lt;=0),"Thiếu bình quân 12 tháng; ","")&amp;IF(AND($D123="Nhập tay",$H123&lt;=0),"Thiếu T13 nhập tay; ",""))</f>
        <v/>
      </c>
    </row>
    <row r="124">
      <c r="A124" s="145">
        <f>IF('DM_NHAN_SU'!$B124="","",ROW()-5)</f>
        <v/>
      </c>
      <c r="B124" s="145">
        <f>IF('DM_NHAN_SU'!$B124="","",'DM_NHAN_SU'!B124)</f>
        <v/>
      </c>
      <c r="C124" s="145">
        <f>IF('DM_NHAN_SU'!$B124="","",'DM_NHAN_SU'!C124)</f>
        <v/>
      </c>
      <c r="D124" s="127" t="n"/>
      <c r="E124" s="227" t="n"/>
      <c r="F124" s="222" t="n"/>
      <c r="G124" s="222" t="n"/>
      <c r="H124" s="222" t="n"/>
      <c r="I124" s="224">
        <f>IF($B124="","",IF($D124="Không",0,IF($D124="Nhập tay",$H124,IF($D124="Đủ 01 tháng lương",$G124,IF($D124="Tỷ lệ thời gian",$G124*MIN(MAX($E124,0),12)/12,IF($D124="Bình quân 12 tháng",$F124,0))))))</f>
        <v/>
      </c>
      <c r="J124" s="222" t="n"/>
      <c r="K124" s="222" t="n"/>
      <c r="L124" s="127" t="n"/>
      <c r="M124" s="224">
        <f>IF($B124="","",IF($L124="Có",SUM($I124:$K124),0))</f>
        <v/>
      </c>
      <c r="N124" s="127" t="n"/>
      <c r="O124" s="150">
        <f>IF($B124="","",IF(AND($L124="Có",$D124=""),"Chưa chọn cách tính T13; ","")&amp;IF(AND($D124="Tỷ lệ thời gian",OR($G124&lt;=0,$E124&lt;=0)),"Thiếu căn cứ hoặc số tháng; ","")&amp;IF(AND($D124="Đủ 01 tháng lương",$G124&lt;=0),"Thiếu căn cứ T13; ","")&amp;IF(AND($D124="Bình quân 12 tháng",$F124&lt;=0),"Thiếu bình quân 12 tháng; ","")&amp;IF(AND($D124="Nhập tay",$H124&lt;=0),"Thiếu T13 nhập tay; ",""))</f>
        <v/>
      </c>
    </row>
    <row r="125">
      <c r="A125" s="145">
        <f>IF('DM_NHAN_SU'!$B125="","",ROW()-5)</f>
        <v/>
      </c>
      <c r="B125" s="145">
        <f>IF('DM_NHAN_SU'!$B125="","",'DM_NHAN_SU'!B125)</f>
        <v/>
      </c>
      <c r="C125" s="145">
        <f>IF('DM_NHAN_SU'!$B125="","",'DM_NHAN_SU'!C125)</f>
        <v/>
      </c>
      <c r="D125" s="127" t="n"/>
      <c r="E125" s="227" t="n"/>
      <c r="F125" s="222" t="n"/>
      <c r="G125" s="222" t="n"/>
      <c r="H125" s="222" t="n"/>
      <c r="I125" s="224">
        <f>IF($B125="","",IF($D125="Không",0,IF($D125="Nhập tay",$H125,IF($D125="Đủ 01 tháng lương",$G125,IF($D125="Tỷ lệ thời gian",$G125*MIN(MAX($E125,0),12)/12,IF($D125="Bình quân 12 tháng",$F125,0))))))</f>
        <v/>
      </c>
      <c r="J125" s="222" t="n"/>
      <c r="K125" s="222" t="n"/>
      <c r="L125" s="127" t="n"/>
      <c r="M125" s="224">
        <f>IF($B125="","",IF($L125="Có",SUM($I125:$K125),0))</f>
        <v/>
      </c>
      <c r="N125" s="127" t="n"/>
      <c r="O125" s="150">
        <f>IF($B125="","",IF(AND($L125="Có",$D125=""),"Chưa chọn cách tính T13; ","")&amp;IF(AND($D125="Tỷ lệ thời gian",OR($G125&lt;=0,$E125&lt;=0)),"Thiếu căn cứ hoặc số tháng; ","")&amp;IF(AND($D125="Đủ 01 tháng lương",$G125&lt;=0),"Thiếu căn cứ T13; ","")&amp;IF(AND($D125="Bình quân 12 tháng",$F125&lt;=0),"Thiếu bình quân 12 tháng; ","")&amp;IF(AND($D125="Nhập tay",$H125&lt;=0),"Thiếu T13 nhập tay; ",""))</f>
        <v/>
      </c>
    </row>
    <row r="126">
      <c r="A126" s="145">
        <f>IF('DM_NHAN_SU'!$B126="","",ROW()-5)</f>
        <v/>
      </c>
      <c r="B126" s="145">
        <f>IF('DM_NHAN_SU'!$B126="","",'DM_NHAN_SU'!B126)</f>
        <v/>
      </c>
      <c r="C126" s="145">
        <f>IF('DM_NHAN_SU'!$B126="","",'DM_NHAN_SU'!C126)</f>
        <v/>
      </c>
      <c r="D126" s="127" t="n"/>
      <c r="E126" s="227" t="n"/>
      <c r="F126" s="222" t="n"/>
      <c r="G126" s="222" t="n"/>
      <c r="H126" s="222" t="n"/>
      <c r="I126" s="224">
        <f>IF($B126="","",IF($D126="Không",0,IF($D126="Nhập tay",$H126,IF($D126="Đủ 01 tháng lương",$G126,IF($D126="Tỷ lệ thời gian",$G126*MIN(MAX($E126,0),12)/12,IF($D126="Bình quân 12 tháng",$F126,0))))))</f>
        <v/>
      </c>
      <c r="J126" s="222" t="n"/>
      <c r="K126" s="222" t="n"/>
      <c r="L126" s="127" t="n"/>
      <c r="M126" s="224">
        <f>IF($B126="","",IF($L126="Có",SUM($I126:$K126),0))</f>
        <v/>
      </c>
      <c r="N126" s="127" t="n"/>
      <c r="O126" s="150">
        <f>IF($B126="","",IF(AND($L126="Có",$D126=""),"Chưa chọn cách tính T13; ","")&amp;IF(AND($D126="Tỷ lệ thời gian",OR($G126&lt;=0,$E126&lt;=0)),"Thiếu căn cứ hoặc số tháng; ","")&amp;IF(AND($D126="Đủ 01 tháng lương",$G126&lt;=0),"Thiếu căn cứ T13; ","")&amp;IF(AND($D126="Bình quân 12 tháng",$F126&lt;=0),"Thiếu bình quân 12 tháng; ","")&amp;IF(AND($D126="Nhập tay",$H126&lt;=0),"Thiếu T13 nhập tay; ",""))</f>
        <v/>
      </c>
    </row>
    <row r="127">
      <c r="A127" s="145">
        <f>IF('DM_NHAN_SU'!$B127="","",ROW()-5)</f>
        <v/>
      </c>
      <c r="B127" s="145">
        <f>IF('DM_NHAN_SU'!$B127="","",'DM_NHAN_SU'!B127)</f>
        <v/>
      </c>
      <c r="C127" s="145">
        <f>IF('DM_NHAN_SU'!$B127="","",'DM_NHAN_SU'!C127)</f>
        <v/>
      </c>
      <c r="D127" s="127" t="n"/>
      <c r="E127" s="227" t="n"/>
      <c r="F127" s="222" t="n"/>
      <c r="G127" s="222" t="n"/>
      <c r="H127" s="222" t="n"/>
      <c r="I127" s="224">
        <f>IF($B127="","",IF($D127="Không",0,IF($D127="Nhập tay",$H127,IF($D127="Đủ 01 tháng lương",$G127,IF($D127="Tỷ lệ thời gian",$G127*MIN(MAX($E127,0),12)/12,IF($D127="Bình quân 12 tháng",$F127,0))))))</f>
        <v/>
      </c>
      <c r="J127" s="222" t="n"/>
      <c r="K127" s="222" t="n"/>
      <c r="L127" s="127" t="n"/>
      <c r="M127" s="224">
        <f>IF($B127="","",IF($L127="Có",SUM($I127:$K127),0))</f>
        <v/>
      </c>
      <c r="N127" s="127" t="n"/>
      <c r="O127" s="150">
        <f>IF($B127="","",IF(AND($L127="Có",$D127=""),"Chưa chọn cách tính T13; ","")&amp;IF(AND($D127="Tỷ lệ thời gian",OR($G127&lt;=0,$E127&lt;=0)),"Thiếu căn cứ hoặc số tháng; ","")&amp;IF(AND($D127="Đủ 01 tháng lương",$G127&lt;=0),"Thiếu căn cứ T13; ","")&amp;IF(AND($D127="Bình quân 12 tháng",$F127&lt;=0),"Thiếu bình quân 12 tháng; ","")&amp;IF(AND($D127="Nhập tay",$H127&lt;=0),"Thiếu T13 nhập tay; ",""))</f>
        <v/>
      </c>
    </row>
    <row r="128">
      <c r="A128" s="145">
        <f>IF('DM_NHAN_SU'!$B128="","",ROW()-5)</f>
        <v/>
      </c>
      <c r="B128" s="145">
        <f>IF('DM_NHAN_SU'!$B128="","",'DM_NHAN_SU'!B128)</f>
        <v/>
      </c>
      <c r="C128" s="145">
        <f>IF('DM_NHAN_SU'!$B128="","",'DM_NHAN_SU'!C128)</f>
        <v/>
      </c>
      <c r="D128" s="127" t="n"/>
      <c r="E128" s="227" t="n"/>
      <c r="F128" s="222" t="n"/>
      <c r="G128" s="222" t="n"/>
      <c r="H128" s="222" t="n"/>
      <c r="I128" s="224">
        <f>IF($B128="","",IF($D128="Không",0,IF($D128="Nhập tay",$H128,IF($D128="Đủ 01 tháng lương",$G128,IF($D128="Tỷ lệ thời gian",$G128*MIN(MAX($E128,0),12)/12,IF($D128="Bình quân 12 tháng",$F128,0))))))</f>
        <v/>
      </c>
      <c r="J128" s="222" t="n"/>
      <c r="K128" s="222" t="n"/>
      <c r="L128" s="127" t="n"/>
      <c r="M128" s="224">
        <f>IF($B128="","",IF($L128="Có",SUM($I128:$K128),0))</f>
        <v/>
      </c>
      <c r="N128" s="127" t="n"/>
      <c r="O128" s="150">
        <f>IF($B128="","",IF(AND($L128="Có",$D128=""),"Chưa chọn cách tính T13; ","")&amp;IF(AND($D128="Tỷ lệ thời gian",OR($G128&lt;=0,$E128&lt;=0)),"Thiếu căn cứ hoặc số tháng; ","")&amp;IF(AND($D128="Đủ 01 tháng lương",$G128&lt;=0),"Thiếu căn cứ T13; ","")&amp;IF(AND($D128="Bình quân 12 tháng",$F128&lt;=0),"Thiếu bình quân 12 tháng; ","")&amp;IF(AND($D128="Nhập tay",$H128&lt;=0),"Thiếu T13 nhập tay; ",""))</f>
        <v/>
      </c>
    </row>
    <row r="129">
      <c r="A129" s="145">
        <f>IF('DM_NHAN_SU'!$B129="","",ROW()-5)</f>
        <v/>
      </c>
      <c r="B129" s="145">
        <f>IF('DM_NHAN_SU'!$B129="","",'DM_NHAN_SU'!B129)</f>
        <v/>
      </c>
      <c r="C129" s="145">
        <f>IF('DM_NHAN_SU'!$B129="","",'DM_NHAN_SU'!C129)</f>
        <v/>
      </c>
      <c r="D129" s="127" t="n"/>
      <c r="E129" s="227" t="n"/>
      <c r="F129" s="222" t="n"/>
      <c r="G129" s="222" t="n"/>
      <c r="H129" s="222" t="n"/>
      <c r="I129" s="224">
        <f>IF($B129="","",IF($D129="Không",0,IF($D129="Nhập tay",$H129,IF($D129="Đủ 01 tháng lương",$G129,IF($D129="Tỷ lệ thời gian",$G129*MIN(MAX($E129,0),12)/12,IF($D129="Bình quân 12 tháng",$F129,0))))))</f>
        <v/>
      </c>
      <c r="J129" s="222" t="n"/>
      <c r="K129" s="222" t="n"/>
      <c r="L129" s="127" t="n"/>
      <c r="M129" s="224">
        <f>IF($B129="","",IF($L129="Có",SUM($I129:$K129),0))</f>
        <v/>
      </c>
      <c r="N129" s="127" t="n"/>
      <c r="O129" s="150">
        <f>IF($B129="","",IF(AND($L129="Có",$D129=""),"Chưa chọn cách tính T13; ","")&amp;IF(AND($D129="Tỷ lệ thời gian",OR($G129&lt;=0,$E129&lt;=0)),"Thiếu căn cứ hoặc số tháng; ","")&amp;IF(AND($D129="Đủ 01 tháng lương",$G129&lt;=0),"Thiếu căn cứ T13; ","")&amp;IF(AND($D129="Bình quân 12 tháng",$F129&lt;=0),"Thiếu bình quân 12 tháng; ","")&amp;IF(AND($D129="Nhập tay",$H129&lt;=0),"Thiếu T13 nhập tay; ",""))</f>
        <v/>
      </c>
    </row>
    <row r="130">
      <c r="A130" s="145">
        <f>IF('DM_NHAN_SU'!$B130="","",ROW()-5)</f>
        <v/>
      </c>
      <c r="B130" s="145">
        <f>IF('DM_NHAN_SU'!$B130="","",'DM_NHAN_SU'!B130)</f>
        <v/>
      </c>
      <c r="C130" s="145">
        <f>IF('DM_NHAN_SU'!$B130="","",'DM_NHAN_SU'!C130)</f>
        <v/>
      </c>
      <c r="D130" s="127" t="n"/>
      <c r="E130" s="227" t="n"/>
      <c r="F130" s="222" t="n"/>
      <c r="G130" s="222" t="n"/>
      <c r="H130" s="222" t="n"/>
      <c r="I130" s="224">
        <f>IF($B130="","",IF($D130="Không",0,IF($D130="Nhập tay",$H130,IF($D130="Đủ 01 tháng lương",$G130,IF($D130="Tỷ lệ thời gian",$G130*MIN(MAX($E130,0),12)/12,IF($D130="Bình quân 12 tháng",$F130,0))))))</f>
        <v/>
      </c>
      <c r="J130" s="222" t="n"/>
      <c r="K130" s="222" t="n"/>
      <c r="L130" s="127" t="n"/>
      <c r="M130" s="224">
        <f>IF($B130="","",IF($L130="Có",SUM($I130:$K130),0))</f>
        <v/>
      </c>
      <c r="N130" s="127" t="n"/>
      <c r="O130" s="150">
        <f>IF($B130="","",IF(AND($L130="Có",$D130=""),"Chưa chọn cách tính T13; ","")&amp;IF(AND($D130="Tỷ lệ thời gian",OR($G130&lt;=0,$E130&lt;=0)),"Thiếu căn cứ hoặc số tháng; ","")&amp;IF(AND($D130="Đủ 01 tháng lương",$G130&lt;=0),"Thiếu căn cứ T13; ","")&amp;IF(AND($D130="Bình quân 12 tháng",$F130&lt;=0),"Thiếu bình quân 12 tháng; ","")&amp;IF(AND($D130="Nhập tay",$H130&lt;=0),"Thiếu T13 nhập tay; ",""))</f>
        <v/>
      </c>
    </row>
    <row r="131">
      <c r="A131" s="145">
        <f>IF('DM_NHAN_SU'!$B131="","",ROW()-5)</f>
        <v/>
      </c>
      <c r="B131" s="145">
        <f>IF('DM_NHAN_SU'!$B131="","",'DM_NHAN_SU'!B131)</f>
        <v/>
      </c>
      <c r="C131" s="145">
        <f>IF('DM_NHAN_SU'!$B131="","",'DM_NHAN_SU'!C131)</f>
        <v/>
      </c>
      <c r="D131" s="127" t="n"/>
      <c r="E131" s="227" t="n"/>
      <c r="F131" s="222" t="n"/>
      <c r="G131" s="222" t="n"/>
      <c r="H131" s="222" t="n"/>
      <c r="I131" s="224">
        <f>IF($B131="","",IF($D131="Không",0,IF($D131="Nhập tay",$H131,IF($D131="Đủ 01 tháng lương",$G131,IF($D131="Tỷ lệ thời gian",$G131*MIN(MAX($E131,0),12)/12,IF($D131="Bình quân 12 tháng",$F131,0))))))</f>
        <v/>
      </c>
      <c r="J131" s="222" t="n"/>
      <c r="K131" s="222" t="n"/>
      <c r="L131" s="127" t="n"/>
      <c r="M131" s="224">
        <f>IF($B131="","",IF($L131="Có",SUM($I131:$K131),0))</f>
        <v/>
      </c>
      <c r="N131" s="127" t="n"/>
      <c r="O131" s="150">
        <f>IF($B131="","",IF(AND($L131="Có",$D131=""),"Chưa chọn cách tính T13; ","")&amp;IF(AND($D131="Tỷ lệ thời gian",OR($G131&lt;=0,$E131&lt;=0)),"Thiếu căn cứ hoặc số tháng; ","")&amp;IF(AND($D131="Đủ 01 tháng lương",$G131&lt;=0),"Thiếu căn cứ T13; ","")&amp;IF(AND($D131="Bình quân 12 tháng",$F131&lt;=0),"Thiếu bình quân 12 tháng; ","")&amp;IF(AND($D131="Nhập tay",$H131&lt;=0),"Thiếu T13 nhập tay; ",""))</f>
        <v/>
      </c>
    </row>
    <row r="132">
      <c r="A132" s="145">
        <f>IF('DM_NHAN_SU'!$B132="","",ROW()-5)</f>
        <v/>
      </c>
      <c r="B132" s="145">
        <f>IF('DM_NHAN_SU'!$B132="","",'DM_NHAN_SU'!B132)</f>
        <v/>
      </c>
      <c r="C132" s="145">
        <f>IF('DM_NHAN_SU'!$B132="","",'DM_NHAN_SU'!C132)</f>
        <v/>
      </c>
      <c r="D132" s="127" t="n"/>
      <c r="E132" s="227" t="n"/>
      <c r="F132" s="222" t="n"/>
      <c r="G132" s="222" t="n"/>
      <c r="H132" s="222" t="n"/>
      <c r="I132" s="224">
        <f>IF($B132="","",IF($D132="Không",0,IF($D132="Nhập tay",$H132,IF($D132="Đủ 01 tháng lương",$G132,IF($D132="Tỷ lệ thời gian",$G132*MIN(MAX($E132,0),12)/12,IF($D132="Bình quân 12 tháng",$F132,0))))))</f>
        <v/>
      </c>
      <c r="J132" s="222" t="n"/>
      <c r="K132" s="222" t="n"/>
      <c r="L132" s="127" t="n"/>
      <c r="M132" s="224">
        <f>IF($B132="","",IF($L132="Có",SUM($I132:$K132),0))</f>
        <v/>
      </c>
      <c r="N132" s="127" t="n"/>
      <c r="O132" s="150">
        <f>IF($B132="","",IF(AND($L132="Có",$D132=""),"Chưa chọn cách tính T13; ","")&amp;IF(AND($D132="Tỷ lệ thời gian",OR($G132&lt;=0,$E132&lt;=0)),"Thiếu căn cứ hoặc số tháng; ","")&amp;IF(AND($D132="Đủ 01 tháng lương",$G132&lt;=0),"Thiếu căn cứ T13; ","")&amp;IF(AND($D132="Bình quân 12 tháng",$F132&lt;=0),"Thiếu bình quân 12 tháng; ","")&amp;IF(AND($D132="Nhập tay",$H132&lt;=0),"Thiếu T13 nhập tay; ",""))</f>
        <v/>
      </c>
    </row>
    <row r="133">
      <c r="A133" s="145">
        <f>IF('DM_NHAN_SU'!$B133="","",ROW()-5)</f>
        <v/>
      </c>
      <c r="B133" s="145">
        <f>IF('DM_NHAN_SU'!$B133="","",'DM_NHAN_SU'!B133)</f>
        <v/>
      </c>
      <c r="C133" s="145">
        <f>IF('DM_NHAN_SU'!$B133="","",'DM_NHAN_SU'!C133)</f>
        <v/>
      </c>
      <c r="D133" s="127" t="n"/>
      <c r="E133" s="227" t="n"/>
      <c r="F133" s="222" t="n"/>
      <c r="G133" s="222" t="n"/>
      <c r="H133" s="222" t="n"/>
      <c r="I133" s="224">
        <f>IF($B133="","",IF($D133="Không",0,IF($D133="Nhập tay",$H133,IF($D133="Đủ 01 tháng lương",$G133,IF($D133="Tỷ lệ thời gian",$G133*MIN(MAX($E133,0),12)/12,IF($D133="Bình quân 12 tháng",$F133,0))))))</f>
        <v/>
      </c>
      <c r="J133" s="222" t="n"/>
      <c r="K133" s="222" t="n"/>
      <c r="L133" s="127" t="n"/>
      <c r="M133" s="224">
        <f>IF($B133="","",IF($L133="Có",SUM($I133:$K133),0))</f>
        <v/>
      </c>
      <c r="N133" s="127" t="n"/>
      <c r="O133" s="150">
        <f>IF($B133="","",IF(AND($L133="Có",$D133=""),"Chưa chọn cách tính T13; ","")&amp;IF(AND($D133="Tỷ lệ thời gian",OR($G133&lt;=0,$E133&lt;=0)),"Thiếu căn cứ hoặc số tháng; ","")&amp;IF(AND($D133="Đủ 01 tháng lương",$G133&lt;=0),"Thiếu căn cứ T13; ","")&amp;IF(AND($D133="Bình quân 12 tháng",$F133&lt;=0),"Thiếu bình quân 12 tháng; ","")&amp;IF(AND($D133="Nhập tay",$H133&lt;=0),"Thiếu T13 nhập tay; ",""))</f>
        <v/>
      </c>
    </row>
    <row r="134">
      <c r="A134" s="145">
        <f>IF('DM_NHAN_SU'!$B134="","",ROW()-5)</f>
        <v/>
      </c>
      <c r="B134" s="145">
        <f>IF('DM_NHAN_SU'!$B134="","",'DM_NHAN_SU'!B134)</f>
        <v/>
      </c>
      <c r="C134" s="145">
        <f>IF('DM_NHAN_SU'!$B134="","",'DM_NHAN_SU'!C134)</f>
        <v/>
      </c>
      <c r="D134" s="127" t="n"/>
      <c r="E134" s="227" t="n"/>
      <c r="F134" s="222" t="n"/>
      <c r="G134" s="222" t="n"/>
      <c r="H134" s="222" t="n"/>
      <c r="I134" s="224">
        <f>IF($B134="","",IF($D134="Không",0,IF($D134="Nhập tay",$H134,IF($D134="Đủ 01 tháng lương",$G134,IF($D134="Tỷ lệ thời gian",$G134*MIN(MAX($E134,0),12)/12,IF($D134="Bình quân 12 tháng",$F134,0))))))</f>
        <v/>
      </c>
      <c r="J134" s="222" t="n"/>
      <c r="K134" s="222" t="n"/>
      <c r="L134" s="127" t="n"/>
      <c r="M134" s="224">
        <f>IF($B134="","",IF($L134="Có",SUM($I134:$K134),0))</f>
        <v/>
      </c>
      <c r="N134" s="127" t="n"/>
      <c r="O134" s="150">
        <f>IF($B134="","",IF(AND($L134="Có",$D134=""),"Chưa chọn cách tính T13; ","")&amp;IF(AND($D134="Tỷ lệ thời gian",OR($G134&lt;=0,$E134&lt;=0)),"Thiếu căn cứ hoặc số tháng; ","")&amp;IF(AND($D134="Đủ 01 tháng lương",$G134&lt;=0),"Thiếu căn cứ T13; ","")&amp;IF(AND($D134="Bình quân 12 tháng",$F134&lt;=0),"Thiếu bình quân 12 tháng; ","")&amp;IF(AND($D134="Nhập tay",$H134&lt;=0),"Thiếu T13 nhập tay; ",""))</f>
        <v/>
      </c>
    </row>
    <row r="135">
      <c r="A135" s="145">
        <f>IF('DM_NHAN_SU'!$B135="","",ROW()-5)</f>
        <v/>
      </c>
      <c r="B135" s="145">
        <f>IF('DM_NHAN_SU'!$B135="","",'DM_NHAN_SU'!B135)</f>
        <v/>
      </c>
      <c r="C135" s="145">
        <f>IF('DM_NHAN_SU'!$B135="","",'DM_NHAN_SU'!C135)</f>
        <v/>
      </c>
      <c r="D135" s="127" t="n"/>
      <c r="E135" s="227" t="n"/>
      <c r="F135" s="222" t="n"/>
      <c r="G135" s="222" t="n"/>
      <c r="H135" s="222" t="n"/>
      <c r="I135" s="224">
        <f>IF($B135="","",IF($D135="Không",0,IF($D135="Nhập tay",$H135,IF($D135="Đủ 01 tháng lương",$G135,IF($D135="Tỷ lệ thời gian",$G135*MIN(MAX($E135,0),12)/12,IF($D135="Bình quân 12 tháng",$F135,0))))))</f>
        <v/>
      </c>
      <c r="J135" s="222" t="n"/>
      <c r="K135" s="222" t="n"/>
      <c r="L135" s="127" t="n"/>
      <c r="M135" s="224">
        <f>IF($B135="","",IF($L135="Có",SUM($I135:$K135),0))</f>
        <v/>
      </c>
      <c r="N135" s="127" t="n"/>
      <c r="O135" s="150">
        <f>IF($B135="","",IF(AND($L135="Có",$D135=""),"Chưa chọn cách tính T13; ","")&amp;IF(AND($D135="Tỷ lệ thời gian",OR($G135&lt;=0,$E135&lt;=0)),"Thiếu căn cứ hoặc số tháng; ","")&amp;IF(AND($D135="Đủ 01 tháng lương",$G135&lt;=0),"Thiếu căn cứ T13; ","")&amp;IF(AND($D135="Bình quân 12 tháng",$F135&lt;=0),"Thiếu bình quân 12 tháng; ","")&amp;IF(AND($D135="Nhập tay",$H135&lt;=0),"Thiếu T13 nhập tay; ",""))</f>
        <v/>
      </c>
    </row>
    <row r="136">
      <c r="A136" s="145">
        <f>IF('DM_NHAN_SU'!$B136="","",ROW()-5)</f>
        <v/>
      </c>
      <c r="B136" s="145">
        <f>IF('DM_NHAN_SU'!$B136="","",'DM_NHAN_SU'!B136)</f>
        <v/>
      </c>
      <c r="C136" s="145">
        <f>IF('DM_NHAN_SU'!$B136="","",'DM_NHAN_SU'!C136)</f>
        <v/>
      </c>
      <c r="D136" s="127" t="n"/>
      <c r="E136" s="227" t="n"/>
      <c r="F136" s="222" t="n"/>
      <c r="G136" s="222" t="n"/>
      <c r="H136" s="222" t="n"/>
      <c r="I136" s="224">
        <f>IF($B136="","",IF($D136="Không",0,IF($D136="Nhập tay",$H136,IF($D136="Đủ 01 tháng lương",$G136,IF($D136="Tỷ lệ thời gian",$G136*MIN(MAX($E136,0),12)/12,IF($D136="Bình quân 12 tháng",$F136,0))))))</f>
        <v/>
      </c>
      <c r="J136" s="222" t="n"/>
      <c r="K136" s="222" t="n"/>
      <c r="L136" s="127" t="n"/>
      <c r="M136" s="224">
        <f>IF($B136="","",IF($L136="Có",SUM($I136:$K136),0))</f>
        <v/>
      </c>
      <c r="N136" s="127" t="n"/>
      <c r="O136" s="150">
        <f>IF($B136="","",IF(AND($L136="Có",$D136=""),"Chưa chọn cách tính T13; ","")&amp;IF(AND($D136="Tỷ lệ thời gian",OR($G136&lt;=0,$E136&lt;=0)),"Thiếu căn cứ hoặc số tháng; ","")&amp;IF(AND($D136="Đủ 01 tháng lương",$G136&lt;=0),"Thiếu căn cứ T13; ","")&amp;IF(AND($D136="Bình quân 12 tháng",$F136&lt;=0),"Thiếu bình quân 12 tháng; ","")&amp;IF(AND($D136="Nhập tay",$H136&lt;=0),"Thiếu T13 nhập tay; ",""))</f>
        <v/>
      </c>
    </row>
    <row r="137">
      <c r="A137" s="145">
        <f>IF('DM_NHAN_SU'!$B137="","",ROW()-5)</f>
        <v/>
      </c>
      <c r="B137" s="145">
        <f>IF('DM_NHAN_SU'!$B137="","",'DM_NHAN_SU'!B137)</f>
        <v/>
      </c>
      <c r="C137" s="145">
        <f>IF('DM_NHAN_SU'!$B137="","",'DM_NHAN_SU'!C137)</f>
        <v/>
      </c>
      <c r="D137" s="127" t="n"/>
      <c r="E137" s="227" t="n"/>
      <c r="F137" s="222" t="n"/>
      <c r="G137" s="222" t="n"/>
      <c r="H137" s="222" t="n"/>
      <c r="I137" s="224">
        <f>IF($B137="","",IF($D137="Không",0,IF($D137="Nhập tay",$H137,IF($D137="Đủ 01 tháng lương",$G137,IF($D137="Tỷ lệ thời gian",$G137*MIN(MAX($E137,0),12)/12,IF($D137="Bình quân 12 tháng",$F137,0))))))</f>
        <v/>
      </c>
      <c r="J137" s="222" t="n"/>
      <c r="K137" s="222" t="n"/>
      <c r="L137" s="127" t="n"/>
      <c r="M137" s="224">
        <f>IF($B137="","",IF($L137="Có",SUM($I137:$K137),0))</f>
        <v/>
      </c>
      <c r="N137" s="127" t="n"/>
      <c r="O137" s="150">
        <f>IF($B137="","",IF(AND($L137="Có",$D137=""),"Chưa chọn cách tính T13; ","")&amp;IF(AND($D137="Tỷ lệ thời gian",OR($G137&lt;=0,$E137&lt;=0)),"Thiếu căn cứ hoặc số tháng; ","")&amp;IF(AND($D137="Đủ 01 tháng lương",$G137&lt;=0),"Thiếu căn cứ T13; ","")&amp;IF(AND($D137="Bình quân 12 tháng",$F137&lt;=0),"Thiếu bình quân 12 tháng; ","")&amp;IF(AND($D137="Nhập tay",$H137&lt;=0),"Thiếu T13 nhập tay; ",""))</f>
        <v/>
      </c>
    </row>
    <row r="138">
      <c r="A138" s="145">
        <f>IF('DM_NHAN_SU'!$B138="","",ROW()-5)</f>
        <v/>
      </c>
      <c r="B138" s="145">
        <f>IF('DM_NHAN_SU'!$B138="","",'DM_NHAN_SU'!B138)</f>
        <v/>
      </c>
      <c r="C138" s="145">
        <f>IF('DM_NHAN_SU'!$B138="","",'DM_NHAN_SU'!C138)</f>
        <v/>
      </c>
      <c r="D138" s="127" t="n"/>
      <c r="E138" s="227" t="n"/>
      <c r="F138" s="222" t="n"/>
      <c r="G138" s="222" t="n"/>
      <c r="H138" s="222" t="n"/>
      <c r="I138" s="224">
        <f>IF($B138="","",IF($D138="Không",0,IF($D138="Nhập tay",$H138,IF($D138="Đủ 01 tháng lương",$G138,IF($D138="Tỷ lệ thời gian",$G138*MIN(MAX($E138,0),12)/12,IF($D138="Bình quân 12 tháng",$F138,0))))))</f>
        <v/>
      </c>
      <c r="J138" s="222" t="n"/>
      <c r="K138" s="222" t="n"/>
      <c r="L138" s="127" t="n"/>
      <c r="M138" s="224">
        <f>IF($B138="","",IF($L138="Có",SUM($I138:$K138),0))</f>
        <v/>
      </c>
      <c r="N138" s="127" t="n"/>
      <c r="O138" s="150">
        <f>IF($B138="","",IF(AND($L138="Có",$D138=""),"Chưa chọn cách tính T13; ","")&amp;IF(AND($D138="Tỷ lệ thời gian",OR($G138&lt;=0,$E138&lt;=0)),"Thiếu căn cứ hoặc số tháng; ","")&amp;IF(AND($D138="Đủ 01 tháng lương",$G138&lt;=0),"Thiếu căn cứ T13; ","")&amp;IF(AND($D138="Bình quân 12 tháng",$F138&lt;=0),"Thiếu bình quân 12 tháng; ","")&amp;IF(AND($D138="Nhập tay",$H138&lt;=0),"Thiếu T13 nhập tay; ",""))</f>
        <v/>
      </c>
    </row>
    <row r="139">
      <c r="A139" s="145">
        <f>IF('DM_NHAN_SU'!$B139="","",ROW()-5)</f>
        <v/>
      </c>
      <c r="B139" s="145">
        <f>IF('DM_NHAN_SU'!$B139="","",'DM_NHAN_SU'!B139)</f>
        <v/>
      </c>
      <c r="C139" s="145">
        <f>IF('DM_NHAN_SU'!$B139="","",'DM_NHAN_SU'!C139)</f>
        <v/>
      </c>
      <c r="D139" s="127" t="n"/>
      <c r="E139" s="227" t="n"/>
      <c r="F139" s="222" t="n"/>
      <c r="G139" s="222" t="n"/>
      <c r="H139" s="222" t="n"/>
      <c r="I139" s="224">
        <f>IF($B139="","",IF($D139="Không",0,IF($D139="Nhập tay",$H139,IF($D139="Đủ 01 tháng lương",$G139,IF($D139="Tỷ lệ thời gian",$G139*MIN(MAX($E139,0),12)/12,IF($D139="Bình quân 12 tháng",$F139,0))))))</f>
        <v/>
      </c>
      <c r="J139" s="222" t="n"/>
      <c r="K139" s="222" t="n"/>
      <c r="L139" s="127" t="n"/>
      <c r="M139" s="224">
        <f>IF($B139="","",IF($L139="Có",SUM($I139:$K139),0))</f>
        <v/>
      </c>
      <c r="N139" s="127" t="n"/>
      <c r="O139" s="150">
        <f>IF($B139="","",IF(AND($L139="Có",$D139=""),"Chưa chọn cách tính T13; ","")&amp;IF(AND($D139="Tỷ lệ thời gian",OR($G139&lt;=0,$E139&lt;=0)),"Thiếu căn cứ hoặc số tháng; ","")&amp;IF(AND($D139="Đủ 01 tháng lương",$G139&lt;=0),"Thiếu căn cứ T13; ","")&amp;IF(AND($D139="Bình quân 12 tháng",$F139&lt;=0),"Thiếu bình quân 12 tháng; ","")&amp;IF(AND($D139="Nhập tay",$H139&lt;=0),"Thiếu T13 nhập tay; ",""))</f>
        <v/>
      </c>
    </row>
    <row r="140">
      <c r="A140" s="145">
        <f>IF('DM_NHAN_SU'!$B140="","",ROW()-5)</f>
        <v/>
      </c>
      <c r="B140" s="145">
        <f>IF('DM_NHAN_SU'!$B140="","",'DM_NHAN_SU'!B140)</f>
        <v/>
      </c>
      <c r="C140" s="145">
        <f>IF('DM_NHAN_SU'!$B140="","",'DM_NHAN_SU'!C140)</f>
        <v/>
      </c>
      <c r="D140" s="127" t="n"/>
      <c r="E140" s="227" t="n"/>
      <c r="F140" s="222" t="n"/>
      <c r="G140" s="222" t="n"/>
      <c r="H140" s="222" t="n"/>
      <c r="I140" s="224">
        <f>IF($B140="","",IF($D140="Không",0,IF($D140="Nhập tay",$H140,IF($D140="Đủ 01 tháng lương",$G140,IF($D140="Tỷ lệ thời gian",$G140*MIN(MAX($E140,0),12)/12,IF($D140="Bình quân 12 tháng",$F140,0))))))</f>
        <v/>
      </c>
      <c r="J140" s="222" t="n"/>
      <c r="K140" s="222" t="n"/>
      <c r="L140" s="127" t="n"/>
      <c r="M140" s="224">
        <f>IF($B140="","",IF($L140="Có",SUM($I140:$K140),0))</f>
        <v/>
      </c>
      <c r="N140" s="127" t="n"/>
      <c r="O140" s="150">
        <f>IF($B140="","",IF(AND($L140="Có",$D140=""),"Chưa chọn cách tính T13; ","")&amp;IF(AND($D140="Tỷ lệ thời gian",OR($G140&lt;=0,$E140&lt;=0)),"Thiếu căn cứ hoặc số tháng; ","")&amp;IF(AND($D140="Đủ 01 tháng lương",$G140&lt;=0),"Thiếu căn cứ T13; ","")&amp;IF(AND($D140="Bình quân 12 tháng",$F140&lt;=0),"Thiếu bình quân 12 tháng; ","")&amp;IF(AND($D140="Nhập tay",$H140&lt;=0),"Thiếu T13 nhập tay; ",""))</f>
        <v/>
      </c>
    </row>
    <row r="141">
      <c r="A141" s="145">
        <f>IF('DM_NHAN_SU'!$B141="","",ROW()-5)</f>
        <v/>
      </c>
      <c r="B141" s="145">
        <f>IF('DM_NHAN_SU'!$B141="","",'DM_NHAN_SU'!B141)</f>
        <v/>
      </c>
      <c r="C141" s="145">
        <f>IF('DM_NHAN_SU'!$B141="","",'DM_NHAN_SU'!C141)</f>
        <v/>
      </c>
      <c r="D141" s="127" t="n"/>
      <c r="E141" s="227" t="n"/>
      <c r="F141" s="222" t="n"/>
      <c r="G141" s="222" t="n"/>
      <c r="H141" s="222" t="n"/>
      <c r="I141" s="224">
        <f>IF($B141="","",IF($D141="Không",0,IF($D141="Nhập tay",$H141,IF($D141="Đủ 01 tháng lương",$G141,IF($D141="Tỷ lệ thời gian",$G141*MIN(MAX($E141,0),12)/12,IF($D141="Bình quân 12 tháng",$F141,0))))))</f>
        <v/>
      </c>
      <c r="J141" s="222" t="n"/>
      <c r="K141" s="222" t="n"/>
      <c r="L141" s="127" t="n"/>
      <c r="M141" s="224">
        <f>IF($B141="","",IF($L141="Có",SUM($I141:$K141),0))</f>
        <v/>
      </c>
      <c r="N141" s="127" t="n"/>
      <c r="O141" s="150">
        <f>IF($B141="","",IF(AND($L141="Có",$D141=""),"Chưa chọn cách tính T13; ","")&amp;IF(AND($D141="Tỷ lệ thời gian",OR($G141&lt;=0,$E141&lt;=0)),"Thiếu căn cứ hoặc số tháng; ","")&amp;IF(AND($D141="Đủ 01 tháng lương",$G141&lt;=0),"Thiếu căn cứ T13; ","")&amp;IF(AND($D141="Bình quân 12 tháng",$F141&lt;=0),"Thiếu bình quân 12 tháng; ","")&amp;IF(AND($D141="Nhập tay",$H141&lt;=0),"Thiếu T13 nhập tay; ",""))</f>
        <v/>
      </c>
    </row>
    <row r="142">
      <c r="A142" s="145">
        <f>IF('DM_NHAN_SU'!$B142="","",ROW()-5)</f>
        <v/>
      </c>
      <c r="B142" s="145">
        <f>IF('DM_NHAN_SU'!$B142="","",'DM_NHAN_SU'!B142)</f>
        <v/>
      </c>
      <c r="C142" s="145">
        <f>IF('DM_NHAN_SU'!$B142="","",'DM_NHAN_SU'!C142)</f>
        <v/>
      </c>
      <c r="D142" s="127" t="n"/>
      <c r="E142" s="227" t="n"/>
      <c r="F142" s="222" t="n"/>
      <c r="G142" s="222" t="n"/>
      <c r="H142" s="222" t="n"/>
      <c r="I142" s="224">
        <f>IF($B142="","",IF($D142="Không",0,IF($D142="Nhập tay",$H142,IF($D142="Đủ 01 tháng lương",$G142,IF($D142="Tỷ lệ thời gian",$G142*MIN(MAX($E142,0),12)/12,IF($D142="Bình quân 12 tháng",$F142,0))))))</f>
        <v/>
      </c>
      <c r="J142" s="222" t="n"/>
      <c r="K142" s="222" t="n"/>
      <c r="L142" s="127" t="n"/>
      <c r="M142" s="224">
        <f>IF($B142="","",IF($L142="Có",SUM($I142:$K142),0))</f>
        <v/>
      </c>
      <c r="N142" s="127" t="n"/>
      <c r="O142" s="150">
        <f>IF($B142="","",IF(AND($L142="Có",$D142=""),"Chưa chọn cách tính T13; ","")&amp;IF(AND($D142="Tỷ lệ thời gian",OR($G142&lt;=0,$E142&lt;=0)),"Thiếu căn cứ hoặc số tháng; ","")&amp;IF(AND($D142="Đủ 01 tháng lương",$G142&lt;=0),"Thiếu căn cứ T13; ","")&amp;IF(AND($D142="Bình quân 12 tháng",$F142&lt;=0),"Thiếu bình quân 12 tháng; ","")&amp;IF(AND($D142="Nhập tay",$H142&lt;=0),"Thiếu T13 nhập tay; ",""))</f>
        <v/>
      </c>
    </row>
    <row r="143">
      <c r="A143" s="145">
        <f>IF('DM_NHAN_SU'!$B143="","",ROW()-5)</f>
        <v/>
      </c>
      <c r="B143" s="145">
        <f>IF('DM_NHAN_SU'!$B143="","",'DM_NHAN_SU'!B143)</f>
        <v/>
      </c>
      <c r="C143" s="145">
        <f>IF('DM_NHAN_SU'!$B143="","",'DM_NHAN_SU'!C143)</f>
        <v/>
      </c>
      <c r="D143" s="127" t="n"/>
      <c r="E143" s="227" t="n"/>
      <c r="F143" s="222" t="n"/>
      <c r="G143" s="222" t="n"/>
      <c r="H143" s="222" t="n"/>
      <c r="I143" s="224">
        <f>IF($B143="","",IF($D143="Không",0,IF($D143="Nhập tay",$H143,IF($D143="Đủ 01 tháng lương",$G143,IF($D143="Tỷ lệ thời gian",$G143*MIN(MAX($E143,0),12)/12,IF($D143="Bình quân 12 tháng",$F143,0))))))</f>
        <v/>
      </c>
      <c r="J143" s="222" t="n"/>
      <c r="K143" s="222" t="n"/>
      <c r="L143" s="127" t="n"/>
      <c r="M143" s="224">
        <f>IF($B143="","",IF($L143="Có",SUM($I143:$K143),0))</f>
        <v/>
      </c>
      <c r="N143" s="127" t="n"/>
      <c r="O143" s="150">
        <f>IF($B143="","",IF(AND($L143="Có",$D143=""),"Chưa chọn cách tính T13; ","")&amp;IF(AND($D143="Tỷ lệ thời gian",OR($G143&lt;=0,$E143&lt;=0)),"Thiếu căn cứ hoặc số tháng; ","")&amp;IF(AND($D143="Đủ 01 tháng lương",$G143&lt;=0),"Thiếu căn cứ T13; ","")&amp;IF(AND($D143="Bình quân 12 tháng",$F143&lt;=0),"Thiếu bình quân 12 tháng; ","")&amp;IF(AND($D143="Nhập tay",$H143&lt;=0),"Thiếu T13 nhập tay; ",""))</f>
        <v/>
      </c>
    </row>
    <row r="144">
      <c r="A144" s="145">
        <f>IF('DM_NHAN_SU'!$B144="","",ROW()-5)</f>
        <v/>
      </c>
      <c r="B144" s="145">
        <f>IF('DM_NHAN_SU'!$B144="","",'DM_NHAN_SU'!B144)</f>
        <v/>
      </c>
      <c r="C144" s="145">
        <f>IF('DM_NHAN_SU'!$B144="","",'DM_NHAN_SU'!C144)</f>
        <v/>
      </c>
      <c r="D144" s="127" t="n"/>
      <c r="E144" s="227" t="n"/>
      <c r="F144" s="222" t="n"/>
      <c r="G144" s="222" t="n"/>
      <c r="H144" s="222" t="n"/>
      <c r="I144" s="224">
        <f>IF($B144="","",IF($D144="Không",0,IF($D144="Nhập tay",$H144,IF($D144="Đủ 01 tháng lương",$G144,IF($D144="Tỷ lệ thời gian",$G144*MIN(MAX($E144,0),12)/12,IF($D144="Bình quân 12 tháng",$F144,0))))))</f>
        <v/>
      </c>
      <c r="J144" s="222" t="n"/>
      <c r="K144" s="222" t="n"/>
      <c r="L144" s="127" t="n"/>
      <c r="M144" s="224">
        <f>IF($B144="","",IF($L144="Có",SUM($I144:$K144),0))</f>
        <v/>
      </c>
      <c r="N144" s="127" t="n"/>
      <c r="O144" s="150">
        <f>IF($B144="","",IF(AND($L144="Có",$D144=""),"Chưa chọn cách tính T13; ","")&amp;IF(AND($D144="Tỷ lệ thời gian",OR($G144&lt;=0,$E144&lt;=0)),"Thiếu căn cứ hoặc số tháng; ","")&amp;IF(AND($D144="Đủ 01 tháng lương",$G144&lt;=0),"Thiếu căn cứ T13; ","")&amp;IF(AND($D144="Bình quân 12 tháng",$F144&lt;=0),"Thiếu bình quân 12 tháng; ","")&amp;IF(AND($D144="Nhập tay",$H144&lt;=0),"Thiếu T13 nhập tay; ",""))</f>
        <v/>
      </c>
    </row>
    <row r="145">
      <c r="A145" s="145">
        <f>IF('DM_NHAN_SU'!$B145="","",ROW()-5)</f>
        <v/>
      </c>
      <c r="B145" s="145">
        <f>IF('DM_NHAN_SU'!$B145="","",'DM_NHAN_SU'!B145)</f>
        <v/>
      </c>
      <c r="C145" s="145">
        <f>IF('DM_NHAN_SU'!$B145="","",'DM_NHAN_SU'!C145)</f>
        <v/>
      </c>
      <c r="D145" s="127" t="n"/>
      <c r="E145" s="227" t="n"/>
      <c r="F145" s="222" t="n"/>
      <c r="G145" s="222" t="n"/>
      <c r="H145" s="222" t="n"/>
      <c r="I145" s="224">
        <f>IF($B145="","",IF($D145="Không",0,IF($D145="Nhập tay",$H145,IF($D145="Đủ 01 tháng lương",$G145,IF($D145="Tỷ lệ thời gian",$G145*MIN(MAX($E145,0),12)/12,IF($D145="Bình quân 12 tháng",$F145,0))))))</f>
        <v/>
      </c>
      <c r="J145" s="222" t="n"/>
      <c r="K145" s="222" t="n"/>
      <c r="L145" s="127" t="n"/>
      <c r="M145" s="224">
        <f>IF($B145="","",IF($L145="Có",SUM($I145:$K145),0))</f>
        <v/>
      </c>
      <c r="N145" s="127" t="n"/>
      <c r="O145" s="150">
        <f>IF($B145="","",IF(AND($L145="Có",$D145=""),"Chưa chọn cách tính T13; ","")&amp;IF(AND($D145="Tỷ lệ thời gian",OR($G145&lt;=0,$E145&lt;=0)),"Thiếu căn cứ hoặc số tháng; ","")&amp;IF(AND($D145="Đủ 01 tháng lương",$G145&lt;=0),"Thiếu căn cứ T13; ","")&amp;IF(AND($D145="Bình quân 12 tháng",$F145&lt;=0),"Thiếu bình quân 12 tháng; ","")&amp;IF(AND($D145="Nhập tay",$H145&lt;=0),"Thiếu T13 nhập tay; ",""))</f>
        <v/>
      </c>
    </row>
    <row r="146">
      <c r="A146" s="145">
        <f>IF('DM_NHAN_SU'!$B146="","",ROW()-5)</f>
        <v/>
      </c>
      <c r="B146" s="145">
        <f>IF('DM_NHAN_SU'!$B146="","",'DM_NHAN_SU'!B146)</f>
        <v/>
      </c>
      <c r="C146" s="145">
        <f>IF('DM_NHAN_SU'!$B146="","",'DM_NHAN_SU'!C146)</f>
        <v/>
      </c>
      <c r="D146" s="127" t="n"/>
      <c r="E146" s="227" t="n"/>
      <c r="F146" s="222" t="n"/>
      <c r="G146" s="222" t="n"/>
      <c r="H146" s="222" t="n"/>
      <c r="I146" s="224">
        <f>IF($B146="","",IF($D146="Không",0,IF($D146="Nhập tay",$H146,IF($D146="Đủ 01 tháng lương",$G146,IF($D146="Tỷ lệ thời gian",$G146*MIN(MAX($E146,0),12)/12,IF($D146="Bình quân 12 tháng",$F146,0))))))</f>
        <v/>
      </c>
      <c r="J146" s="222" t="n"/>
      <c r="K146" s="222" t="n"/>
      <c r="L146" s="127" t="n"/>
      <c r="M146" s="224">
        <f>IF($B146="","",IF($L146="Có",SUM($I146:$K146),0))</f>
        <v/>
      </c>
      <c r="N146" s="127" t="n"/>
      <c r="O146" s="150">
        <f>IF($B146="","",IF(AND($L146="Có",$D146=""),"Chưa chọn cách tính T13; ","")&amp;IF(AND($D146="Tỷ lệ thời gian",OR($G146&lt;=0,$E146&lt;=0)),"Thiếu căn cứ hoặc số tháng; ","")&amp;IF(AND($D146="Đủ 01 tháng lương",$G146&lt;=0),"Thiếu căn cứ T13; ","")&amp;IF(AND($D146="Bình quân 12 tháng",$F146&lt;=0),"Thiếu bình quân 12 tháng; ","")&amp;IF(AND($D146="Nhập tay",$H146&lt;=0),"Thiếu T13 nhập tay; ",""))</f>
        <v/>
      </c>
    </row>
    <row r="147">
      <c r="A147" s="145">
        <f>IF('DM_NHAN_SU'!$B147="","",ROW()-5)</f>
        <v/>
      </c>
      <c r="B147" s="145">
        <f>IF('DM_NHAN_SU'!$B147="","",'DM_NHAN_SU'!B147)</f>
        <v/>
      </c>
      <c r="C147" s="145">
        <f>IF('DM_NHAN_SU'!$B147="","",'DM_NHAN_SU'!C147)</f>
        <v/>
      </c>
      <c r="D147" s="127" t="n"/>
      <c r="E147" s="227" t="n"/>
      <c r="F147" s="222" t="n"/>
      <c r="G147" s="222" t="n"/>
      <c r="H147" s="222" t="n"/>
      <c r="I147" s="224">
        <f>IF($B147="","",IF($D147="Không",0,IF($D147="Nhập tay",$H147,IF($D147="Đủ 01 tháng lương",$G147,IF($D147="Tỷ lệ thời gian",$G147*MIN(MAX($E147,0),12)/12,IF($D147="Bình quân 12 tháng",$F147,0))))))</f>
        <v/>
      </c>
      <c r="J147" s="222" t="n"/>
      <c r="K147" s="222" t="n"/>
      <c r="L147" s="127" t="n"/>
      <c r="M147" s="224">
        <f>IF($B147="","",IF($L147="Có",SUM($I147:$K147),0))</f>
        <v/>
      </c>
      <c r="N147" s="127" t="n"/>
      <c r="O147" s="150">
        <f>IF($B147="","",IF(AND($L147="Có",$D147=""),"Chưa chọn cách tính T13; ","")&amp;IF(AND($D147="Tỷ lệ thời gian",OR($G147&lt;=0,$E147&lt;=0)),"Thiếu căn cứ hoặc số tháng; ","")&amp;IF(AND($D147="Đủ 01 tháng lương",$G147&lt;=0),"Thiếu căn cứ T13; ","")&amp;IF(AND($D147="Bình quân 12 tháng",$F147&lt;=0),"Thiếu bình quân 12 tháng; ","")&amp;IF(AND($D147="Nhập tay",$H147&lt;=0),"Thiếu T13 nhập tay; ",""))</f>
        <v/>
      </c>
    </row>
    <row r="148">
      <c r="A148" s="145">
        <f>IF('DM_NHAN_SU'!$B148="","",ROW()-5)</f>
        <v/>
      </c>
      <c r="B148" s="145">
        <f>IF('DM_NHAN_SU'!$B148="","",'DM_NHAN_SU'!B148)</f>
        <v/>
      </c>
      <c r="C148" s="145">
        <f>IF('DM_NHAN_SU'!$B148="","",'DM_NHAN_SU'!C148)</f>
        <v/>
      </c>
      <c r="D148" s="127" t="n"/>
      <c r="E148" s="227" t="n"/>
      <c r="F148" s="222" t="n"/>
      <c r="G148" s="222" t="n"/>
      <c r="H148" s="222" t="n"/>
      <c r="I148" s="224">
        <f>IF($B148="","",IF($D148="Không",0,IF($D148="Nhập tay",$H148,IF($D148="Đủ 01 tháng lương",$G148,IF($D148="Tỷ lệ thời gian",$G148*MIN(MAX($E148,0),12)/12,IF($D148="Bình quân 12 tháng",$F148,0))))))</f>
        <v/>
      </c>
      <c r="J148" s="222" t="n"/>
      <c r="K148" s="222" t="n"/>
      <c r="L148" s="127" t="n"/>
      <c r="M148" s="224">
        <f>IF($B148="","",IF($L148="Có",SUM($I148:$K148),0))</f>
        <v/>
      </c>
      <c r="N148" s="127" t="n"/>
      <c r="O148" s="150">
        <f>IF($B148="","",IF(AND($L148="Có",$D148=""),"Chưa chọn cách tính T13; ","")&amp;IF(AND($D148="Tỷ lệ thời gian",OR($G148&lt;=0,$E148&lt;=0)),"Thiếu căn cứ hoặc số tháng; ","")&amp;IF(AND($D148="Đủ 01 tháng lương",$G148&lt;=0),"Thiếu căn cứ T13; ","")&amp;IF(AND($D148="Bình quân 12 tháng",$F148&lt;=0),"Thiếu bình quân 12 tháng; ","")&amp;IF(AND($D148="Nhập tay",$H148&lt;=0),"Thiếu T13 nhập tay; ",""))</f>
        <v/>
      </c>
    </row>
    <row r="149">
      <c r="A149" s="145">
        <f>IF('DM_NHAN_SU'!$B149="","",ROW()-5)</f>
        <v/>
      </c>
      <c r="B149" s="145">
        <f>IF('DM_NHAN_SU'!$B149="","",'DM_NHAN_SU'!B149)</f>
        <v/>
      </c>
      <c r="C149" s="145">
        <f>IF('DM_NHAN_SU'!$B149="","",'DM_NHAN_SU'!C149)</f>
        <v/>
      </c>
      <c r="D149" s="127" t="n"/>
      <c r="E149" s="227" t="n"/>
      <c r="F149" s="222" t="n"/>
      <c r="G149" s="222" t="n"/>
      <c r="H149" s="222" t="n"/>
      <c r="I149" s="224">
        <f>IF($B149="","",IF($D149="Không",0,IF($D149="Nhập tay",$H149,IF($D149="Đủ 01 tháng lương",$G149,IF($D149="Tỷ lệ thời gian",$G149*MIN(MAX($E149,0),12)/12,IF($D149="Bình quân 12 tháng",$F149,0))))))</f>
        <v/>
      </c>
      <c r="J149" s="222" t="n"/>
      <c r="K149" s="222" t="n"/>
      <c r="L149" s="127" t="n"/>
      <c r="M149" s="224">
        <f>IF($B149="","",IF($L149="Có",SUM($I149:$K149),0))</f>
        <v/>
      </c>
      <c r="N149" s="127" t="n"/>
      <c r="O149" s="150">
        <f>IF($B149="","",IF(AND($L149="Có",$D149=""),"Chưa chọn cách tính T13; ","")&amp;IF(AND($D149="Tỷ lệ thời gian",OR($G149&lt;=0,$E149&lt;=0)),"Thiếu căn cứ hoặc số tháng; ","")&amp;IF(AND($D149="Đủ 01 tháng lương",$G149&lt;=0),"Thiếu căn cứ T13; ","")&amp;IF(AND($D149="Bình quân 12 tháng",$F149&lt;=0),"Thiếu bình quân 12 tháng; ","")&amp;IF(AND($D149="Nhập tay",$H149&lt;=0),"Thiếu T13 nhập tay; ",""))</f>
        <v/>
      </c>
    </row>
    <row r="150">
      <c r="A150" s="145">
        <f>IF('DM_NHAN_SU'!$B150="","",ROW()-5)</f>
        <v/>
      </c>
      <c r="B150" s="145">
        <f>IF('DM_NHAN_SU'!$B150="","",'DM_NHAN_SU'!B150)</f>
        <v/>
      </c>
      <c r="C150" s="145">
        <f>IF('DM_NHAN_SU'!$B150="","",'DM_NHAN_SU'!C150)</f>
        <v/>
      </c>
      <c r="D150" s="127" t="n"/>
      <c r="E150" s="227" t="n"/>
      <c r="F150" s="222" t="n"/>
      <c r="G150" s="222" t="n"/>
      <c r="H150" s="222" t="n"/>
      <c r="I150" s="224">
        <f>IF($B150="","",IF($D150="Không",0,IF($D150="Nhập tay",$H150,IF($D150="Đủ 01 tháng lương",$G150,IF($D150="Tỷ lệ thời gian",$G150*MIN(MAX($E150,0),12)/12,IF($D150="Bình quân 12 tháng",$F150,0))))))</f>
        <v/>
      </c>
      <c r="J150" s="222" t="n"/>
      <c r="K150" s="222" t="n"/>
      <c r="L150" s="127" t="n"/>
      <c r="M150" s="224">
        <f>IF($B150="","",IF($L150="Có",SUM($I150:$K150),0))</f>
        <v/>
      </c>
      <c r="N150" s="127" t="n"/>
      <c r="O150" s="150">
        <f>IF($B150="","",IF(AND($L150="Có",$D150=""),"Chưa chọn cách tính T13; ","")&amp;IF(AND($D150="Tỷ lệ thời gian",OR($G150&lt;=0,$E150&lt;=0)),"Thiếu căn cứ hoặc số tháng; ","")&amp;IF(AND($D150="Đủ 01 tháng lương",$G150&lt;=0),"Thiếu căn cứ T13; ","")&amp;IF(AND($D150="Bình quân 12 tháng",$F150&lt;=0),"Thiếu bình quân 12 tháng; ","")&amp;IF(AND($D150="Nhập tay",$H150&lt;=0),"Thiếu T13 nhập tay; ",""))</f>
        <v/>
      </c>
    </row>
    <row r="151">
      <c r="A151" s="145">
        <f>IF('DM_NHAN_SU'!$B151="","",ROW()-5)</f>
        <v/>
      </c>
      <c r="B151" s="145">
        <f>IF('DM_NHAN_SU'!$B151="","",'DM_NHAN_SU'!B151)</f>
        <v/>
      </c>
      <c r="C151" s="145">
        <f>IF('DM_NHAN_SU'!$B151="","",'DM_NHAN_SU'!C151)</f>
        <v/>
      </c>
      <c r="D151" s="127" t="n"/>
      <c r="E151" s="227" t="n"/>
      <c r="F151" s="222" t="n"/>
      <c r="G151" s="222" t="n"/>
      <c r="H151" s="222" t="n"/>
      <c r="I151" s="224">
        <f>IF($B151="","",IF($D151="Không",0,IF($D151="Nhập tay",$H151,IF($D151="Đủ 01 tháng lương",$G151,IF($D151="Tỷ lệ thời gian",$G151*MIN(MAX($E151,0),12)/12,IF($D151="Bình quân 12 tháng",$F151,0))))))</f>
        <v/>
      </c>
      <c r="J151" s="222" t="n"/>
      <c r="K151" s="222" t="n"/>
      <c r="L151" s="127" t="n"/>
      <c r="M151" s="224">
        <f>IF($B151="","",IF($L151="Có",SUM($I151:$K151),0))</f>
        <v/>
      </c>
      <c r="N151" s="127" t="n"/>
      <c r="O151" s="150">
        <f>IF($B151="","",IF(AND($L151="Có",$D151=""),"Chưa chọn cách tính T13; ","")&amp;IF(AND($D151="Tỷ lệ thời gian",OR($G151&lt;=0,$E151&lt;=0)),"Thiếu căn cứ hoặc số tháng; ","")&amp;IF(AND($D151="Đủ 01 tháng lương",$G151&lt;=0),"Thiếu căn cứ T13; ","")&amp;IF(AND($D151="Bình quân 12 tháng",$F151&lt;=0),"Thiếu bình quân 12 tháng; ","")&amp;IF(AND($D151="Nhập tay",$H151&lt;=0),"Thiếu T13 nhập tay; ",""))</f>
        <v/>
      </c>
    </row>
    <row r="152">
      <c r="A152" s="145">
        <f>IF('DM_NHAN_SU'!$B152="","",ROW()-5)</f>
        <v/>
      </c>
      <c r="B152" s="145">
        <f>IF('DM_NHAN_SU'!$B152="","",'DM_NHAN_SU'!B152)</f>
        <v/>
      </c>
      <c r="C152" s="145">
        <f>IF('DM_NHAN_SU'!$B152="","",'DM_NHAN_SU'!C152)</f>
        <v/>
      </c>
      <c r="D152" s="127" t="n"/>
      <c r="E152" s="227" t="n"/>
      <c r="F152" s="222" t="n"/>
      <c r="G152" s="222" t="n"/>
      <c r="H152" s="222" t="n"/>
      <c r="I152" s="224">
        <f>IF($B152="","",IF($D152="Không",0,IF($D152="Nhập tay",$H152,IF($D152="Đủ 01 tháng lương",$G152,IF($D152="Tỷ lệ thời gian",$G152*MIN(MAX($E152,0),12)/12,IF($D152="Bình quân 12 tháng",$F152,0))))))</f>
        <v/>
      </c>
      <c r="J152" s="222" t="n"/>
      <c r="K152" s="222" t="n"/>
      <c r="L152" s="127" t="n"/>
      <c r="M152" s="224">
        <f>IF($B152="","",IF($L152="Có",SUM($I152:$K152),0))</f>
        <v/>
      </c>
      <c r="N152" s="127" t="n"/>
      <c r="O152" s="150">
        <f>IF($B152="","",IF(AND($L152="Có",$D152=""),"Chưa chọn cách tính T13; ","")&amp;IF(AND($D152="Tỷ lệ thời gian",OR($G152&lt;=0,$E152&lt;=0)),"Thiếu căn cứ hoặc số tháng; ","")&amp;IF(AND($D152="Đủ 01 tháng lương",$G152&lt;=0),"Thiếu căn cứ T13; ","")&amp;IF(AND($D152="Bình quân 12 tháng",$F152&lt;=0),"Thiếu bình quân 12 tháng; ","")&amp;IF(AND($D152="Nhập tay",$H152&lt;=0),"Thiếu T13 nhập tay; ",""))</f>
        <v/>
      </c>
    </row>
    <row r="153">
      <c r="A153" s="145">
        <f>IF('DM_NHAN_SU'!$B153="","",ROW()-5)</f>
        <v/>
      </c>
      <c r="B153" s="145">
        <f>IF('DM_NHAN_SU'!$B153="","",'DM_NHAN_SU'!B153)</f>
        <v/>
      </c>
      <c r="C153" s="145">
        <f>IF('DM_NHAN_SU'!$B153="","",'DM_NHAN_SU'!C153)</f>
        <v/>
      </c>
      <c r="D153" s="127" t="n"/>
      <c r="E153" s="227" t="n"/>
      <c r="F153" s="222" t="n"/>
      <c r="G153" s="222" t="n"/>
      <c r="H153" s="222" t="n"/>
      <c r="I153" s="224">
        <f>IF($B153="","",IF($D153="Không",0,IF($D153="Nhập tay",$H153,IF($D153="Đủ 01 tháng lương",$G153,IF($D153="Tỷ lệ thời gian",$G153*MIN(MAX($E153,0),12)/12,IF($D153="Bình quân 12 tháng",$F153,0))))))</f>
        <v/>
      </c>
      <c r="J153" s="222" t="n"/>
      <c r="K153" s="222" t="n"/>
      <c r="L153" s="127" t="n"/>
      <c r="M153" s="224">
        <f>IF($B153="","",IF($L153="Có",SUM($I153:$K153),0))</f>
        <v/>
      </c>
      <c r="N153" s="127" t="n"/>
      <c r="O153" s="150">
        <f>IF($B153="","",IF(AND($L153="Có",$D153=""),"Chưa chọn cách tính T13; ","")&amp;IF(AND($D153="Tỷ lệ thời gian",OR($G153&lt;=0,$E153&lt;=0)),"Thiếu căn cứ hoặc số tháng; ","")&amp;IF(AND($D153="Đủ 01 tháng lương",$G153&lt;=0),"Thiếu căn cứ T13; ","")&amp;IF(AND($D153="Bình quân 12 tháng",$F153&lt;=0),"Thiếu bình quân 12 tháng; ","")&amp;IF(AND($D153="Nhập tay",$H153&lt;=0),"Thiếu T13 nhập tay; ",""))</f>
        <v/>
      </c>
    </row>
    <row r="154">
      <c r="A154" s="145">
        <f>IF('DM_NHAN_SU'!$B154="","",ROW()-5)</f>
        <v/>
      </c>
      <c r="B154" s="145">
        <f>IF('DM_NHAN_SU'!$B154="","",'DM_NHAN_SU'!B154)</f>
        <v/>
      </c>
      <c r="C154" s="145">
        <f>IF('DM_NHAN_SU'!$B154="","",'DM_NHAN_SU'!C154)</f>
        <v/>
      </c>
      <c r="D154" s="127" t="n"/>
      <c r="E154" s="227" t="n"/>
      <c r="F154" s="222" t="n"/>
      <c r="G154" s="222" t="n"/>
      <c r="H154" s="222" t="n"/>
      <c r="I154" s="224">
        <f>IF($B154="","",IF($D154="Không",0,IF($D154="Nhập tay",$H154,IF($D154="Đủ 01 tháng lương",$G154,IF($D154="Tỷ lệ thời gian",$G154*MIN(MAX($E154,0),12)/12,IF($D154="Bình quân 12 tháng",$F154,0))))))</f>
        <v/>
      </c>
      <c r="J154" s="222" t="n"/>
      <c r="K154" s="222" t="n"/>
      <c r="L154" s="127" t="n"/>
      <c r="M154" s="224">
        <f>IF($B154="","",IF($L154="Có",SUM($I154:$K154),0))</f>
        <v/>
      </c>
      <c r="N154" s="127" t="n"/>
      <c r="O154" s="150">
        <f>IF($B154="","",IF(AND($L154="Có",$D154=""),"Chưa chọn cách tính T13; ","")&amp;IF(AND($D154="Tỷ lệ thời gian",OR($G154&lt;=0,$E154&lt;=0)),"Thiếu căn cứ hoặc số tháng; ","")&amp;IF(AND($D154="Đủ 01 tháng lương",$G154&lt;=0),"Thiếu căn cứ T13; ","")&amp;IF(AND($D154="Bình quân 12 tháng",$F154&lt;=0),"Thiếu bình quân 12 tháng; ","")&amp;IF(AND($D154="Nhập tay",$H154&lt;=0),"Thiếu T13 nhập tay; ",""))</f>
        <v/>
      </c>
    </row>
    <row r="155">
      <c r="A155" s="145">
        <f>IF('DM_NHAN_SU'!$B155="","",ROW()-5)</f>
        <v/>
      </c>
      <c r="B155" s="145">
        <f>IF('DM_NHAN_SU'!$B155="","",'DM_NHAN_SU'!B155)</f>
        <v/>
      </c>
      <c r="C155" s="145">
        <f>IF('DM_NHAN_SU'!$B155="","",'DM_NHAN_SU'!C155)</f>
        <v/>
      </c>
      <c r="D155" s="127" t="n"/>
      <c r="E155" s="227" t="n"/>
      <c r="F155" s="222" t="n"/>
      <c r="G155" s="222" t="n"/>
      <c r="H155" s="222" t="n"/>
      <c r="I155" s="224">
        <f>IF($B155="","",IF($D155="Không",0,IF($D155="Nhập tay",$H155,IF($D155="Đủ 01 tháng lương",$G155,IF($D155="Tỷ lệ thời gian",$G155*MIN(MAX($E155,0),12)/12,IF($D155="Bình quân 12 tháng",$F155,0))))))</f>
        <v/>
      </c>
      <c r="J155" s="222" t="n"/>
      <c r="K155" s="222" t="n"/>
      <c r="L155" s="127" t="n"/>
      <c r="M155" s="224">
        <f>IF($B155="","",IF($L155="Có",SUM($I155:$K155),0))</f>
        <v/>
      </c>
      <c r="N155" s="127" t="n"/>
      <c r="O155" s="150">
        <f>IF($B155="","",IF(AND($L155="Có",$D155=""),"Chưa chọn cách tính T13; ","")&amp;IF(AND($D155="Tỷ lệ thời gian",OR($G155&lt;=0,$E155&lt;=0)),"Thiếu căn cứ hoặc số tháng; ","")&amp;IF(AND($D155="Đủ 01 tháng lương",$G155&lt;=0),"Thiếu căn cứ T13; ","")&amp;IF(AND($D155="Bình quân 12 tháng",$F155&lt;=0),"Thiếu bình quân 12 tháng; ","")&amp;IF(AND($D155="Nhập tay",$H155&lt;=0),"Thiếu T13 nhập tay; ",""))</f>
        <v/>
      </c>
    </row>
  </sheetData>
  <mergeCells count="2">
    <mergeCell ref="A1:O1"/>
    <mergeCell ref="A2:O3"/>
  </mergeCells>
  <conditionalFormatting sqref="O6:O155">
    <cfRule type="notContainsBlanks" priority="1" dxfId="0"/>
  </conditionalFormatting>
  <dataValidations count="2">
    <dataValidation sqref="D6:D155" showDropDown="0" showInputMessage="0" showErrorMessage="0" allowBlank="0" type="list">
      <formula1>"Không,Nhập tay,Đủ 01 tháng lương,Tỷ lệ thời gian,Bình quân 12 tháng"</formula1>
    </dataValidation>
    <dataValidation sqref="L6:L155" showDropDown="0" showInputMessage="0" showErrorMessage="0" allowBlank="0" type="list">
      <formula1>"Có,Không"</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F155"/>
  <sheetViews>
    <sheetView showGridLines="0" workbookViewId="0">
      <selection activeCell="A1" sqref="A1"/>
    </sheetView>
  </sheetViews>
  <sheetFormatPr baseColWidth="8" defaultRowHeight="15"/>
  <cols>
    <col width="6" customWidth="1" style="32" min="1" max="1"/>
    <col width="12" customWidth="1" style="32" min="2" max="2"/>
    <col width="23" customWidth="1" style="32" min="3" max="3"/>
    <col width="12" customWidth="1" style="32" min="4" max="4"/>
    <col width="16" customWidth="1" style="32" min="5" max="5"/>
    <col width="20" customWidth="1" style="32" min="6" max="6"/>
    <col width="20" customWidth="1" style="32" min="7" max="7"/>
    <col width="13" customWidth="1" style="32" min="8" max="8"/>
    <col width="16" customWidth="1" style="32" min="9" max="9"/>
    <col width="18" customWidth="1" style="32" min="10" max="10"/>
    <col width="16" customWidth="1" style="32" min="11" max="11"/>
    <col width="17" customWidth="1" style="32" min="12" max="12"/>
    <col width="17" customWidth="1" style="32" min="13" max="13"/>
    <col width="15" customWidth="1" style="32" min="14" max="14"/>
    <col width="18" customWidth="1" style="32" min="15" max="15"/>
    <col width="17" customWidth="1" style="32" min="16" max="16"/>
    <col width="17" customWidth="1" style="32" min="17" max="17"/>
    <col width="18" customWidth="1" style="32" min="18" max="18"/>
    <col width="15" customWidth="1" style="32" min="19" max="19"/>
    <col width="18" customWidth="1" style="32" min="20" max="20"/>
    <col width="17" customWidth="1" style="32" min="21" max="21"/>
    <col width="17" customWidth="1" style="32" min="22" max="22"/>
    <col width="18" customWidth="1" style="32" min="23" max="23"/>
    <col width="18" customWidth="1" style="32" min="24" max="24"/>
    <col width="18" customWidth="1" style="32" min="25" max="25"/>
    <col width="15" customWidth="1" style="32" min="26" max="26"/>
    <col width="15" customWidth="1" style="32" min="27" max="27"/>
    <col width="17" customWidth="1" style="32" min="28" max="28"/>
    <col width="17" customWidth="1" style="32" min="29" max="29"/>
    <col width="17" customWidth="1" style="32" min="30" max="30"/>
    <col width="17" customWidth="1" style="32" min="31" max="31"/>
    <col width="48" customWidth="1" style="32" min="32" max="32"/>
  </cols>
  <sheetData>
    <row r="1" ht="30" customHeight="1" s="32">
      <c r="A1" s="4" t="inlineStr">
        <is>
          <t>QUYẾT TOÁN KHI CHẤM DỨT HỢP ĐỒNG LAO ĐỘNG</t>
        </is>
      </c>
    </row>
    <row r="2">
      <c r="A2" s="96" t="inlineStr">
        <is>
          <t>Chỉ chọn “Có” khi quyết toán trong kỳ. Lương/thu nhập còn phải trả thêm không được trùng với bảng lương kỳ này. Phép chưa nghỉ thanh toán đúng trường hợp Điều 113(3), trợ cấp thôi việc/mất việc và khoản bồi thường đúng mức luật định được tách miễn TNCN; phần vượt mức hoặc khoản không đủ căn cứ được đưa vào chịu thuế. Thời gian hưởng trợ cấp phải loại trừ thời gian tham gia BHTN và thời gian đã được chi trả trước đó.</t>
        </is>
      </c>
    </row>
    <row r="3"/>
    <row r="4"/>
    <row r="5" ht="72" customHeight="1" s="32">
      <c r="A5" s="156" t="inlineStr">
        <is>
          <t>STT</t>
        </is>
      </c>
      <c r="B5" s="156" t="inlineStr">
        <is>
          <t>Mã NV</t>
        </is>
      </c>
      <c r="C5" s="156" t="inlineStr">
        <is>
          <t>Họ và tên</t>
        </is>
      </c>
      <c r="D5" s="156" t="inlineStr">
        <is>
          <t>Ngày nghỉ</t>
        </is>
      </c>
      <c r="E5" s="156" t="inlineStr">
        <is>
          <t>Quyết toán trong kỳ?</t>
        </is>
      </c>
      <c r="F5" s="156" t="inlineStr">
        <is>
          <t>Lương/thu nhập còn trả thêm</t>
        </is>
      </c>
      <c r="G5" s="156" t="inlineStr">
        <is>
          <t>KPI/hoa hồng/thưởng còn trả</t>
        </is>
      </c>
      <c r="H5" s="156" t="inlineStr">
        <is>
          <t>Phép còn lại</t>
        </is>
      </c>
      <c r="I5" s="156" t="inlineStr">
        <is>
          <t>Ngày phép thanh toán</t>
        </is>
      </c>
      <c r="J5" s="156" t="inlineStr">
        <is>
          <t>Lương HĐLĐ tháng trước</t>
        </is>
      </c>
      <c r="K5" s="156" t="inlineStr">
        <is>
          <t>Công chuẩn tháng trước</t>
        </is>
      </c>
      <c r="L5" s="156" t="inlineStr">
        <is>
          <t>Tiền phép ước tính</t>
        </is>
      </c>
      <c r="M5" s="156" t="inlineStr">
        <is>
          <t>BQ lương 06 tháng</t>
        </is>
      </c>
      <c r="N5" s="156" t="inlineStr">
        <is>
          <t>Năm trợ cấp thôi việc</t>
        </is>
      </c>
      <c r="O5" s="156" t="inlineStr">
        <is>
          <t>Mức luật định thôi việc</t>
        </is>
      </c>
      <c r="P5" s="156" t="inlineStr">
        <is>
          <t>Thực trả thôi việc</t>
        </is>
      </c>
      <c r="Q5" s="156" t="inlineStr">
        <is>
          <t>Miễn TNCN thôi việc</t>
        </is>
      </c>
      <c r="R5" s="156" t="inlineStr">
        <is>
          <t>Vượt mức chịu TNCN</t>
        </is>
      </c>
      <c r="S5" s="156" t="inlineStr">
        <is>
          <t>Năm trợ cấp mất việc</t>
        </is>
      </c>
      <c r="T5" s="156" t="inlineStr">
        <is>
          <t>Mức luật định mất việc</t>
        </is>
      </c>
      <c r="U5" s="156" t="inlineStr">
        <is>
          <t>Thực trả mất việc</t>
        </is>
      </c>
      <c r="V5" s="156" t="inlineStr">
        <is>
          <t>Miễn TNCN mất việc</t>
        </is>
      </c>
      <c r="W5" s="156" t="inlineStr">
        <is>
          <t>Vượt mức chịu TNCN</t>
        </is>
      </c>
      <c r="X5" s="156" t="inlineStr">
        <is>
          <t>Bồi thường miễn TNCN</t>
        </is>
      </c>
      <c r="Y5" s="156" t="inlineStr">
        <is>
          <t>Bồi thường chịu TNCN</t>
        </is>
      </c>
      <c r="Z5" s="156" t="inlineStr">
        <is>
          <t>Tạm ứng/phải thu</t>
        </is>
      </c>
      <c r="AA5" s="156" t="inlineStr">
        <is>
          <t>Khấu trừ khác</t>
        </is>
      </c>
      <c r="AB5" s="156" t="inlineStr">
        <is>
          <t>TỔNG MIỄN TNCN</t>
        </is>
      </c>
      <c r="AC5" s="156" t="inlineStr">
        <is>
          <t>TỔNG CHỊU TNCN</t>
        </is>
      </c>
      <c r="AD5" s="156" t="inlineStr">
        <is>
          <t>TỔNG KHẤU TRỪ</t>
        </is>
      </c>
      <c r="AE5" s="156" t="inlineStr">
        <is>
          <t>TỔNG CHI THÊM</t>
        </is>
      </c>
      <c r="AF5" s="156" t="inlineStr">
        <is>
          <t>Cảnh báo</t>
        </is>
      </c>
    </row>
    <row r="6">
      <c r="A6" s="145">
        <f>IF('DM_NHAN_SU'!$B6="","",ROW()-5)</f>
        <v/>
      </c>
      <c r="B6" s="145">
        <f>IF('DM_NHAN_SU'!$B6="","",'DM_NHAN_SU'!B6)</f>
        <v/>
      </c>
      <c r="C6" s="145">
        <f>IF('DM_NHAN_SU'!$B6="","",'DM_NHAN_SU'!C6)</f>
        <v/>
      </c>
      <c r="D6" s="234">
        <f>IF(OR('DM_NHAN_SU'!$B6="",'DM_NHAN_SU'!$G6=""),"",'DM_NHAN_SU'!G6)</f>
        <v/>
      </c>
      <c r="E6" s="127" t="n"/>
      <c r="F6" s="222" t="n"/>
      <c r="G6" s="222" t="n"/>
      <c r="H6" s="232">
        <f>IF($B6="","",'NGHI_PHEP'!K6)</f>
        <v/>
      </c>
      <c r="I6" s="227" t="n"/>
      <c r="J6" s="222" t="n"/>
      <c r="K6" s="227" t="n"/>
      <c r="L6" s="224">
        <f>IF(OR($B6="",$E6&lt;&gt;"Có"),0,IF($K6&gt;0,$I6*$J6/$K6,0))</f>
        <v/>
      </c>
      <c r="M6" s="222" t="n"/>
      <c r="N6" s="227" t="n"/>
      <c r="O6" s="224">
        <f>IF(OR($B6="",$E6&lt;&gt;"Có"),0,$M6*$N6*0.5)</f>
        <v/>
      </c>
      <c r="P6" s="222" t="n"/>
      <c r="Q6" s="224">
        <f>IF(OR($B6="",$E6&lt;&gt;"Có"),0,MIN($P6,$O6))</f>
        <v/>
      </c>
      <c r="R6" s="224">
        <f>IF(OR($B6="",$E6&lt;&gt;"Có"),0,MAX($P6-$O6,0))</f>
        <v/>
      </c>
      <c r="S6" s="227" t="n"/>
      <c r="T6" s="224">
        <f>IF(OR($B6="",$E6&lt;&gt;"Có",$S6&lt;=0),0,$M6*MAX($S6,2))</f>
        <v/>
      </c>
      <c r="U6" s="222" t="n"/>
      <c r="V6" s="224">
        <f>IF(OR($B6="",$E6&lt;&gt;"Có"),0,MIN($U6,$T6))</f>
        <v/>
      </c>
      <c r="W6" s="224">
        <f>IF(OR($B6="",$E6&lt;&gt;"Có"),0,MAX($U6-$T6,0))</f>
        <v/>
      </c>
      <c r="X6" s="222" t="n"/>
      <c r="Y6" s="222" t="n"/>
      <c r="Z6" s="222" t="n"/>
      <c r="AA6" s="222" t="n"/>
      <c r="AB6" s="224">
        <f>IF(OR($B6="",$E6&lt;&gt;"Có"),0,SUM($L6,$Q6,$V6,$X6))</f>
        <v/>
      </c>
      <c r="AC6" s="224">
        <f>IF(OR($B6="",$E6&lt;&gt;"Có"),0,SUM($F6,$G6,$R6,$W6,$Y6))</f>
        <v/>
      </c>
      <c r="AD6" s="224">
        <f>IF(OR($B6="",$E6&lt;&gt;"Có"),0,SUM($Z6:$AA6))</f>
        <v/>
      </c>
      <c r="AE6" s="224">
        <f>IF(OR($B6="",$E6&lt;&gt;"Có"),0,$AB6+$AC6-$AD6)</f>
        <v/>
      </c>
      <c r="AF6" s="150">
        <f>IF($B6="","",IF(AND($E6="Có",$D6=""),"Thiếu ngày nghỉ; ","")&amp;IF($I6&gt;MAX($H6,0),"Ngày phép thanh toán vượt số còn lại; ","")&amp;IF(AND($I6&gt;0,OR($J6&lt;=0,$K6&lt;=0)),"Thiếu lương/công chuẩn tháng trước; ","")&amp;IF(AND(SUM($N6,$S6)&gt;0,$M6&lt;=0),"Thiếu bình quân lương 06 tháng; ","")&amp;IF($X6&gt;0,"Bồi thường miễn thuế cần căn cứ và hồ sơ; ","")&amp;IF($AE6&lt;0,"Tổng chi thêm âm; ",""))</f>
        <v/>
      </c>
    </row>
    <row r="7">
      <c r="A7" s="145">
        <f>IF('DM_NHAN_SU'!$B7="","",ROW()-5)</f>
        <v/>
      </c>
      <c r="B7" s="145">
        <f>IF('DM_NHAN_SU'!$B7="","",'DM_NHAN_SU'!B7)</f>
        <v/>
      </c>
      <c r="C7" s="145">
        <f>IF('DM_NHAN_SU'!$B7="","",'DM_NHAN_SU'!C7)</f>
        <v/>
      </c>
      <c r="D7" s="234">
        <f>IF(OR('DM_NHAN_SU'!$B7="",'DM_NHAN_SU'!$G7=""),"",'DM_NHAN_SU'!G7)</f>
        <v/>
      </c>
      <c r="E7" s="127" t="n"/>
      <c r="F7" s="222" t="n"/>
      <c r="G7" s="222" t="n"/>
      <c r="H7" s="232">
        <f>IF($B7="","",'NGHI_PHEP'!K7)</f>
        <v/>
      </c>
      <c r="I7" s="227" t="n"/>
      <c r="J7" s="222" t="n"/>
      <c r="K7" s="227" t="n"/>
      <c r="L7" s="224">
        <f>IF(OR($B7="",$E7&lt;&gt;"Có"),0,IF($K7&gt;0,$I7*$J7/$K7,0))</f>
        <v/>
      </c>
      <c r="M7" s="222" t="n"/>
      <c r="N7" s="227" t="n"/>
      <c r="O7" s="224">
        <f>IF(OR($B7="",$E7&lt;&gt;"Có"),0,$M7*$N7*0.5)</f>
        <v/>
      </c>
      <c r="P7" s="222" t="n"/>
      <c r="Q7" s="224">
        <f>IF(OR($B7="",$E7&lt;&gt;"Có"),0,MIN($P7,$O7))</f>
        <v/>
      </c>
      <c r="R7" s="224">
        <f>IF(OR($B7="",$E7&lt;&gt;"Có"),0,MAX($P7-$O7,0))</f>
        <v/>
      </c>
      <c r="S7" s="227" t="n"/>
      <c r="T7" s="224">
        <f>IF(OR($B7="",$E7&lt;&gt;"Có",$S7&lt;=0),0,$M7*MAX($S7,2))</f>
        <v/>
      </c>
      <c r="U7" s="222" t="n"/>
      <c r="V7" s="224">
        <f>IF(OR($B7="",$E7&lt;&gt;"Có"),0,MIN($U7,$T7))</f>
        <v/>
      </c>
      <c r="W7" s="224">
        <f>IF(OR($B7="",$E7&lt;&gt;"Có"),0,MAX($U7-$T7,0))</f>
        <v/>
      </c>
      <c r="X7" s="222" t="n"/>
      <c r="Y7" s="222" t="n"/>
      <c r="Z7" s="222" t="n"/>
      <c r="AA7" s="222" t="n"/>
      <c r="AB7" s="224">
        <f>IF(OR($B7="",$E7&lt;&gt;"Có"),0,SUM($L7,$Q7,$V7,$X7))</f>
        <v/>
      </c>
      <c r="AC7" s="224">
        <f>IF(OR($B7="",$E7&lt;&gt;"Có"),0,SUM($F7,$G7,$R7,$W7,$Y7))</f>
        <v/>
      </c>
      <c r="AD7" s="224">
        <f>IF(OR($B7="",$E7&lt;&gt;"Có"),0,SUM($Z7:$AA7))</f>
        <v/>
      </c>
      <c r="AE7" s="224">
        <f>IF(OR($B7="",$E7&lt;&gt;"Có"),0,$AB7+$AC7-$AD7)</f>
        <v/>
      </c>
      <c r="AF7" s="150">
        <f>IF($B7="","",IF(AND($E7="Có",$D7=""),"Thiếu ngày nghỉ; ","")&amp;IF($I7&gt;MAX($H7,0),"Ngày phép thanh toán vượt số còn lại; ","")&amp;IF(AND($I7&gt;0,OR($J7&lt;=0,$K7&lt;=0)),"Thiếu lương/công chuẩn tháng trước; ","")&amp;IF(AND(SUM($N7,$S7)&gt;0,$M7&lt;=0),"Thiếu bình quân lương 06 tháng; ","")&amp;IF($X7&gt;0,"Bồi thường miễn thuế cần căn cứ và hồ sơ; ","")&amp;IF($AE7&lt;0,"Tổng chi thêm âm; ",""))</f>
        <v/>
      </c>
    </row>
    <row r="8">
      <c r="A8" s="145">
        <f>IF('DM_NHAN_SU'!$B8="","",ROW()-5)</f>
        <v/>
      </c>
      <c r="B8" s="145">
        <f>IF('DM_NHAN_SU'!$B8="","",'DM_NHAN_SU'!B8)</f>
        <v/>
      </c>
      <c r="C8" s="145">
        <f>IF('DM_NHAN_SU'!$B8="","",'DM_NHAN_SU'!C8)</f>
        <v/>
      </c>
      <c r="D8" s="234">
        <f>IF(OR('DM_NHAN_SU'!$B8="",'DM_NHAN_SU'!$G8=""),"",'DM_NHAN_SU'!G8)</f>
        <v/>
      </c>
      <c r="E8" s="127" t="n"/>
      <c r="F8" s="222" t="n"/>
      <c r="G8" s="222" t="n"/>
      <c r="H8" s="232">
        <f>IF($B8="","",'NGHI_PHEP'!K8)</f>
        <v/>
      </c>
      <c r="I8" s="227" t="n"/>
      <c r="J8" s="222" t="n"/>
      <c r="K8" s="227" t="n"/>
      <c r="L8" s="224">
        <f>IF(OR($B8="",$E8&lt;&gt;"Có"),0,IF($K8&gt;0,$I8*$J8/$K8,0))</f>
        <v/>
      </c>
      <c r="M8" s="222" t="n"/>
      <c r="N8" s="227" t="n"/>
      <c r="O8" s="224">
        <f>IF(OR($B8="",$E8&lt;&gt;"Có"),0,$M8*$N8*0.5)</f>
        <v/>
      </c>
      <c r="P8" s="222" t="n"/>
      <c r="Q8" s="224">
        <f>IF(OR($B8="",$E8&lt;&gt;"Có"),0,MIN($P8,$O8))</f>
        <v/>
      </c>
      <c r="R8" s="224">
        <f>IF(OR($B8="",$E8&lt;&gt;"Có"),0,MAX($P8-$O8,0))</f>
        <v/>
      </c>
      <c r="S8" s="227" t="n"/>
      <c r="T8" s="224">
        <f>IF(OR($B8="",$E8&lt;&gt;"Có",$S8&lt;=0),0,$M8*MAX($S8,2))</f>
        <v/>
      </c>
      <c r="U8" s="222" t="n"/>
      <c r="V8" s="224">
        <f>IF(OR($B8="",$E8&lt;&gt;"Có"),0,MIN($U8,$T8))</f>
        <v/>
      </c>
      <c r="W8" s="224">
        <f>IF(OR($B8="",$E8&lt;&gt;"Có"),0,MAX($U8-$T8,0))</f>
        <v/>
      </c>
      <c r="X8" s="222" t="n"/>
      <c r="Y8" s="222" t="n"/>
      <c r="Z8" s="222" t="n"/>
      <c r="AA8" s="222" t="n"/>
      <c r="AB8" s="224">
        <f>IF(OR($B8="",$E8&lt;&gt;"Có"),0,SUM($L8,$Q8,$V8,$X8))</f>
        <v/>
      </c>
      <c r="AC8" s="224">
        <f>IF(OR($B8="",$E8&lt;&gt;"Có"),0,SUM($F8,$G8,$R8,$W8,$Y8))</f>
        <v/>
      </c>
      <c r="AD8" s="224">
        <f>IF(OR($B8="",$E8&lt;&gt;"Có"),0,SUM($Z8:$AA8))</f>
        <v/>
      </c>
      <c r="AE8" s="224">
        <f>IF(OR($B8="",$E8&lt;&gt;"Có"),0,$AB8+$AC8-$AD8)</f>
        <v/>
      </c>
      <c r="AF8" s="150">
        <f>IF($B8="","",IF(AND($E8="Có",$D8=""),"Thiếu ngày nghỉ; ","")&amp;IF($I8&gt;MAX($H8,0),"Ngày phép thanh toán vượt số còn lại; ","")&amp;IF(AND($I8&gt;0,OR($J8&lt;=0,$K8&lt;=0)),"Thiếu lương/công chuẩn tháng trước; ","")&amp;IF(AND(SUM($N8,$S8)&gt;0,$M8&lt;=0),"Thiếu bình quân lương 06 tháng; ","")&amp;IF($X8&gt;0,"Bồi thường miễn thuế cần căn cứ và hồ sơ; ","")&amp;IF($AE8&lt;0,"Tổng chi thêm âm; ",""))</f>
        <v/>
      </c>
    </row>
    <row r="9">
      <c r="A9" s="145">
        <f>IF('DM_NHAN_SU'!$B9="","",ROW()-5)</f>
        <v/>
      </c>
      <c r="B9" s="145">
        <f>IF('DM_NHAN_SU'!$B9="","",'DM_NHAN_SU'!B9)</f>
        <v/>
      </c>
      <c r="C9" s="145">
        <f>IF('DM_NHAN_SU'!$B9="","",'DM_NHAN_SU'!C9)</f>
        <v/>
      </c>
      <c r="D9" s="234">
        <f>IF(OR('DM_NHAN_SU'!$B9="",'DM_NHAN_SU'!$G9=""),"",'DM_NHAN_SU'!G9)</f>
        <v/>
      </c>
      <c r="E9" s="127" t="n"/>
      <c r="F9" s="222" t="n"/>
      <c r="G9" s="222" t="n"/>
      <c r="H9" s="232">
        <f>IF($B9="","",'NGHI_PHEP'!K9)</f>
        <v/>
      </c>
      <c r="I9" s="227" t="n"/>
      <c r="J9" s="222" t="n"/>
      <c r="K9" s="227" t="n"/>
      <c r="L9" s="224">
        <f>IF(OR($B9="",$E9&lt;&gt;"Có"),0,IF($K9&gt;0,$I9*$J9/$K9,0))</f>
        <v/>
      </c>
      <c r="M9" s="222" t="n"/>
      <c r="N9" s="227" t="n"/>
      <c r="O9" s="224">
        <f>IF(OR($B9="",$E9&lt;&gt;"Có"),0,$M9*$N9*0.5)</f>
        <v/>
      </c>
      <c r="P9" s="222" t="n"/>
      <c r="Q9" s="224">
        <f>IF(OR($B9="",$E9&lt;&gt;"Có"),0,MIN($P9,$O9))</f>
        <v/>
      </c>
      <c r="R9" s="224">
        <f>IF(OR($B9="",$E9&lt;&gt;"Có"),0,MAX($P9-$O9,0))</f>
        <v/>
      </c>
      <c r="S9" s="227" t="n"/>
      <c r="T9" s="224">
        <f>IF(OR($B9="",$E9&lt;&gt;"Có",$S9&lt;=0),0,$M9*MAX($S9,2))</f>
        <v/>
      </c>
      <c r="U9" s="222" t="n"/>
      <c r="V9" s="224">
        <f>IF(OR($B9="",$E9&lt;&gt;"Có"),0,MIN($U9,$T9))</f>
        <v/>
      </c>
      <c r="W9" s="224">
        <f>IF(OR($B9="",$E9&lt;&gt;"Có"),0,MAX($U9-$T9,0))</f>
        <v/>
      </c>
      <c r="X9" s="222" t="n"/>
      <c r="Y9" s="222" t="n"/>
      <c r="Z9" s="222" t="n"/>
      <c r="AA9" s="222" t="n"/>
      <c r="AB9" s="224">
        <f>IF(OR($B9="",$E9&lt;&gt;"Có"),0,SUM($L9,$Q9,$V9,$X9))</f>
        <v/>
      </c>
      <c r="AC9" s="224">
        <f>IF(OR($B9="",$E9&lt;&gt;"Có"),0,SUM($F9,$G9,$R9,$W9,$Y9))</f>
        <v/>
      </c>
      <c r="AD9" s="224">
        <f>IF(OR($B9="",$E9&lt;&gt;"Có"),0,SUM($Z9:$AA9))</f>
        <v/>
      </c>
      <c r="AE9" s="224">
        <f>IF(OR($B9="",$E9&lt;&gt;"Có"),0,$AB9+$AC9-$AD9)</f>
        <v/>
      </c>
      <c r="AF9" s="150">
        <f>IF($B9="","",IF(AND($E9="Có",$D9=""),"Thiếu ngày nghỉ; ","")&amp;IF($I9&gt;MAX($H9,0),"Ngày phép thanh toán vượt số còn lại; ","")&amp;IF(AND($I9&gt;0,OR($J9&lt;=0,$K9&lt;=0)),"Thiếu lương/công chuẩn tháng trước; ","")&amp;IF(AND(SUM($N9,$S9)&gt;0,$M9&lt;=0),"Thiếu bình quân lương 06 tháng; ","")&amp;IF($X9&gt;0,"Bồi thường miễn thuế cần căn cứ và hồ sơ; ","")&amp;IF($AE9&lt;0,"Tổng chi thêm âm; ",""))</f>
        <v/>
      </c>
    </row>
    <row r="10">
      <c r="A10" s="145">
        <f>IF('DM_NHAN_SU'!$B10="","",ROW()-5)</f>
        <v/>
      </c>
      <c r="B10" s="145">
        <f>IF('DM_NHAN_SU'!$B10="","",'DM_NHAN_SU'!B10)</f>
        <v/>
      </c>
      <c r="C10" s="145">
        <f>IF('DM_NHAN_SU'!$B10="","",'DM_NHAN_SU'!C10)</f>
        <v/>
      </c>
      <c r="D10" s="234">
        <f>IF(OR('DM_NHAN_SU'!$B10="",'DM_NHAN_SU'!$G10=""),"",'DM_NHAN_SU'!G10)</f>
        <v/>
      </c>
      <c r="E10" s="127" t="n"/>
      <c r="F10" s="222" t="n"/>
      <c r="G10" s="222" t="n"/>
      <c r="H10" s="232">
        <f>IF($B10="","",'NGHI_PHEP'!K10)</f>
        <v/>
      </c>
      <c r="I10" s="227" t="n"/>
      <c r="J10" s="222" t="n"/>
      <c r="K10" s="227" t="n"/>
      <c r="L10" s="224">
        <f>IF(OR($B10="",$E10&lt;&gt;"Có"),0,IF($K10&gt;0,$I10*$J10/$K10,0))</f>
        <v/>
      </c>
      <c r="M10" s="222" t="n"/>
      <c r="N10" s="227" t="n"/>
      <c r="O10" s="224">
        <f>IF(OR($B10="",$E10&lt;&gt;"Có"),0,$M10*$N10*0.5)</f>
        <v/>
      </c>
      <c r="P10" s="222" t="n"/>
      <c r="Q10" s="224">
        <f>IF(OR($B10="",$E10&lt;&gt;"Có"),0,MIN($P10,$O10))</f>
        <v/>
      </c>
      <c r="R10" s="224">
        <f>IF(OR($B10="",$E10&lt;&gt;"Có"),0,MAX($P10-$O10,0))</f>
        <v/>
      </c>
      <c r="S10" s="227" t="n"/>
      <c r="T10" s="224">
        <f>IF(OR($B10="",$E10&lt;&gt;"Có",$S10&lt;=0),0,$M10*MAX($S10,2))</f>
        <v/>
      </c>
      <c r="U10" s="222" t="n"/>
      <c r="V10" s="224">
        <f>IF(OR($B10="",$E10&lt;&gt;"Có"),0,MIN($U10,$T10))</f>
        <v/>
      </c>
      <c r="W10" s="224">
        <f>IF(OR($B10="",$E10&lt;&gt;"Có"),0,MAX($U10-$T10,0))</f>
        <v/>
      </c>
      <c r="X10" s="222" t="n"/>
      <c r="Y10" s="222" t="n"/>
      <c r="Z10" s="222" t="n"/>
      <c r="AA10" s="222" t="n"/>
      <c r="AB10" s="224">
        <f>IF(OR($B10="",$E10&lt;&gt;"Có"),0,SUM($L10,$Q10,$V10,$X10))</f>
        <v/>
      </c>
      <c r="AC10" s="224">
        <f>IF(OR($B10="",$E10&lt;&gt;"Có"),0,SUM($F10,$G10,$R10,$W10,$Y10))</f>
        <v/>
      </c>
      <c r="AD10" s="224">
        <f>IF(OR($B10="",$E10&lt;&gt;"Có"),0,SUM($Z10:$AA10))</f>
        <v/>
      </c>
      <c r="AE10" s="224">
        <f>IF(OR($B10="",$E10&lt;&gt;"Có"),0,$AB10+$AC10-$AD10)</f>
        <v/>
      </c>
      <c r="AF10" s="150">
        <f>IF($B10="","",IF(AND($E10="Có",$D10=""),"Thiếu ngày nghỉ; ","")&amp;IF($I10&gt;MAX($H10,0),"Ngày phép thanh toán vượt số còn lại; ","")&amp;IF(AND($I10&gt;0,OR($J10&lt;=0,$K10&lt;=0)),"Thiếu lương/công chuẩn tháng trước; ","")&amp;IF(AND(SUM($N10,$S10)&gt;0,$M10&lt;=0),"Thiếu bình quân lương 06 tháng; ","")&amp;IF($X10&gt;0,"Bồi thường miễn thuế cần căn cứ và hồ sơ; ","")&amp;IF($AE10&lt;0,"Tổng chi thêm âm; ",""))</f>
        <v/>
      </c>
    </row>
    <row r="11">
      <c r="A11" s="145">
        <f>IF('DM_NHAN_SU'!$B11="","",ROW()-5)</f>
        <v/>
      </c>
      <c r="B11" s="145">
        <f>IF('DM_NHAN_SU'!$B11="","",'DM_NHAN_SU'!B11)</f>
        <v/>
      </c>
      <c r="C11" s="145">
        <f>IF('DM_NHAN_SU'!$B11="","",'DM_NHAN_SU'!C11)</f>
        <v/>
      </c>
      <c r="D11" s="234">
        <f>IF(OR('DM_NHAN_SU'!$B11="",'DM_NHAN_SU'!$G11=""),"",'DM_NHAN_SU'!G11)</f>
        <v/>
      </c>
      <c r="E11" s="127" t="n"/>
      <c r="F11" s="222" t="n"/>
      <c r="G11" s="222" t="n"/>
      <c r="H11" s="232">
        <f>IF($B11="","",'NGHI_PHEP'!K11)</f>
        <v/>
      </c>
      <c r="I11" s="227" t="n"/>
      <c r="J11" s="222" t="n"/>
      <c r="K11" s="227" t="n"/>
      <c r="L11" s="224">
        <f>IF(OR($B11="",$E11&lt;&gt;"Có"),0,IF($K11&gt;0,$I11*$J11/$K11,0))</f>
        <v/>
      </c>
      <c r="M11" s="222" t="n"/>
      <c r="N11" s="227" t="n"/>
      <c r="O11" s="224">
        <f>IF(OR($B11="",$E11&lt;&gt;"Có"),0,$M11*$N11*0.5)</f>
        <v/>
      </c>
      <c r="P11" s="222" t="n"/>
      <c r="Q11" s="224">
        <f>IF(OR($B11="",$E11&lt;&gt;"Có"),0,MIN($P11,$O11))</f>
        <v/>
      </c>
      <c r="R11" s="224">
        <f>IF(OR($B11="",$E11&lt;&gt;"Có"),0,MAX($P11-$O11,0))</f>
        <v/>
      </c>
      <c r="S11" s="227" t="n"/>
      <c r="T11" s="224">
        <f>IF(OR($B11="",$E11&lt;&gt;"Có",$S11&lt;=0),0,$M11*MAX($S11,2))</f>
        <v/>
      </c>
      <c r="U11" s="222" t="n"/>
      <c r="V11" s="224">
        <f>IF(OR($B11="",$E11&lt;&gt;"Có"),0,MIN($U11,$T11))</f>
        <v/>
      </c>
      <c r="W11" s="224">
        <f>IF(OR($B11="",$E11&lt;&gt;"Có"),0,MAX($U11-$T11,0))</f>
        <v/>
      </c>
      <c r="X11" s="222" t="n"/>
      <c r="Y11" s="222" t="n"/>
      <c r="Z11" s="222" t="n"/>
      <c r="AA11" s="222" t="n"/>
      <c r="AB11" s="224">
        <f>IF(OR($B11="",$E11&lt;&gt;"Có"),0,SUM($L11,$Q11,$V11,$X11))</f>
        <v/>
      </c>
      <c r="AC11" s="224">
        <f>IF(OR($B11="",$E11&lt;&gt;"Có"),0,SUM($F11,$G11,$R11,$W11,$Y11))</f>
        <v/>
      </c>
      <c r="AD11" s="224">
        <f>IF(OR($B11="",$E11&lt;&gt;"Có"),0,SUM($Z11:$AA11))</f>
        <v/>
      </c>
      <c r="AE11" s="224">
        <f>IF(OR($B11="",$E11&lt;&gt;"Có"),0,$AB11+$AC11-$AD11)</f>
        <v/>
      </c>
      <c r="AF11" s="150">
        <f>IF($B11="","",IF(AND($E11="Có",$D11=""),"Thiếu ngày nghỉ; ","")&amp;IF($I11&gt;MAX($H11,0),"Ngày phép thanh toán vượt số còn lại; ","")&amp;IF(AND($I11&gt;0,OR($J11&lt;=0,$K11&lt;=0)),"Thiếu lương/công chuẩn tháng trước; ","")&amp;IF(AND(SUM($N11,$S11)&gt;0,$M11&lt;=0),"Thiếu bình quân lương 06 tháng; ","")&amp;IF($X11&gt;0,"Bồi thường miễn thuế cần căn cứ và hồ sơ; ","")&amp;IF($AE11&lt;0,"Tổng chi thêm âm; ",""))</f>
        <v/>
      </c>
    </row>
    <row r="12">
      <c r="A12" s="145">
        <f>IF('DM_NHAN_SU'!$B12="","",ROW()-5)</f>
        <v/>
      </c>
      <c r="B12" s="145">
        <f>IF('DM_NHAN_SU'!$B12="","",'DM_NHAN_SU'!B12)</f>
        <v/>
      </c>
      <c r="C12" s="145">
        <f>IF('DM_NHAN_SU'!$B12="","",'DM_NHAN_SU'!C12)</f>
        <v/>
      </c>
      <c r="D12" s="234">
        <f>IF(OR('DM_NHAN_SU'!$B12="",'DM_NHAN_SU'!$G12=""),"",'DM_NHAN_SU'!G12)</f>
        <v/>
      </c>
      <c r="E12" s="127" t="n"/>
      <c r="F12" s="222" t="n"/>
      <c r="G12" s="222" t="n"/>
      <c r="H12" s="232">
        <f>IF($B12="","",'NGHI_PHEP'!K12)</f>
        <v/>
      </c>
      <c r="I12" s="227" t="n"/>
      <c r="J12" s="222" t="n"/>
      <c r="K12" s="227" t="n"/>
      <c r="L12" s="224">
        <f>IF(OR($B12="",$E12&lt;&gt;"Có"),0,IF($K12&gt;0,$I12*$J12/$K12,0))</f>
        <v/>
      </c>
      <c r="M12" s="222" t="n"/>
      <c r="N12" s="227" t="n"/>
      <c r="O12" s="224">
        <f>IF(OR($B12="",$E12&lt;&gt;"Có"),0,$M12*$N12*0.5)</f>
        <v/>
      </c>
      <c r="P12" s="222" t="n"/>
      <c r="Q12" s="224">
        <f>IF(OR($B12="",$E12&lt;&gt;"Có"),0,MIN($P12,$O12))</f>
        <v/>
      </c>
      <c r="R12" s="224">
        <f>IF(OR($B12="",$E12&lt;&gt;"Có"),0,MAX($P12-$O12,0))</f>
        <v/>
      </c>
      <c r="S12" s="227" t="n"/>
      <c r="T12" s="224">
        <f>IF(OR($B12="",$E12&lt;&gt;"Có",$S12&lt;=0),0,$M12*MAX($S12,2))</f>
        <v/>
      </c>
      <c r="U12" s="222" t="n"/>
      <c r="V12" s="224">
        <f>IF(OR($B12="",$E12&lt;&gt;"Có"),0,MIN($U12,$T12))</f>
        <v/>
      </c>
      <c r="W12" s="224">
        <f>IF(OR($B12="",$E12&lt;&gt;"Có"),0,MAX($U12-$T12,0))</f>
        <v/>
      </c>
      <c r="X12" s="222" t="n"/>
      <c r="Y12" s="222" t="n"/>
      <c r="Z12" s="222" t="n"/>
      <c r="AA12" s="222" t="n"/>
      <c r="AB12" s="224">
        <f>IF(OR($B12="",$E12&lt;&gt;"Có"),0,SUM($L12,$Q12,$V12,$X12))</f>
        <v/>
      </c>
      <c r="AC12" s="224">
        <f>IF(OR($B12="",$E12&lt;&gt;"Có"),0,SUM($F12,$G12,$R12,$W12,$Y12))</f>
        <v/>
      </c>
      <c r="AD12" s="224">
        <f>IF(OR($B12="",$E12&lt;&gt;"Có"),0,SUM($Z12:$AA12))</f>
        <v/>
      </c>
      <c r="AE12" s="224">
        <f>IF(OR($B12="",$E12&lt;&gt;"Có"),0,$AB12+$AC12-$AD12)</f>
        <v/>
      </c>
      <c r="AF12" s="150">
        <f>IF($B12="","",IF(AND($E12="Có",$D12=""),"Thiếu ngày nghỉ; ","")&amp;IF($I12&gt;MAX($H12,0),"Ngày phép thanh toán vượt số còn lại; ","")&amp;IF(AND($I12&gt;0,OR($J12&lt;=0,$K12&lt;=0)),"Thiếu lương/công chuẩn tháng trước; ","")&amp;IF(AND(SUM($N12,$S12)&gt;0,$M12&lt;=0),"Thiếu bình quân lương 06 tháng; ","")&amp;IF($X12&gt;0,"Bồi thường miễn thuế cần căn cứ và hồ sơ; ","")&amp;IF($AE12&lt;0,"Tổng chi thêm âm; ",""))</f>
        <v/>
      </c>
    </row>
    <row r="13">
      <c r="A13" s="145">
        <f>IF('DM_NHAN_SU'!$B13="","",ROW()-5)</f>
        <v/>
      </c>
      <c r="B13" s="145">
        <f>IF('DM_NHAN_SU'!$B13="","",'DM_NHAN_SU'!B13)</f>
        <v/>
      </c>
      <c r="C13" s="145">
        <f>IF('DM_NHAN_SU'!$B13="","",'DM_NHAN_SU'!C13)</f>
        <v/>
      </c>
      <c r="D13" s="234">
        <f>IF(OR('DM_NHAN_SU'!$B13="",'DM_NHAN_SU'!$G13=""),"",'DM_NHAN_SU'!G13)</f>
        <v/>
      </c>
      <c r="E13" s="127" t="n"/>
      <c r="F13" s="222" t="n"/>
      <c r="G13" s="222" t="n"/>
      <c r="H13" s="232">
        <f>IF($B13="","",'NGHI_PHEP'!K13)</f>
        <v/>
      </c>
      <c r="I13" s="227" t="n"/>
      <c r="J13" s="222" t="n"/>
      <c r="K13" s="227" t="n"/>
      <c r="L13" s="224">
        <f>IF(OR($B13="",$E13&lt;&gt;"Có"),0,IF($K13&gt;0,$I13*$J13/$K13,0))</f>
        <v/>
      </c>
      <c r="M13" s="222" t="n"/>
      <c r="N13" s="227" t="n"/>
      <c r="O13" s="224">
        <f>IF(OR($B13="",$E13&lt;&gt;"Có"),0,$M13*$N13*0.5)</f>
        <v/>
      </c>
      <c r="P13" s="222" t="n"/>
      <c r="Q13" s="224">
        <f>IF(OR($B13="",$E13&lt;&gt;"Có"),0,MIN($P13,$O13))</f>
        <v/>
      </c>
      <c r="R13" s="224">
        <f>IF(OR($B13="",$E13&lt;&gt;"Có"),0,MAX($P13-$O13,0))</f>
        <v/>
      </c>
      <c r="S13" s="227" t="n"/>
      <c r="T13" s="224">
        <f>IF(OR($B13="",$E13&lt;&gt;"Có",$S13&lt;=0),0,$M13*MAX($S13,2))</f>
        <v/>
      </c>
      <c r="U13" s="222" t="n"/>
      <c r="V13" s="224">
        <f>IF(OR($B13="",$E13&lt;&gt;"Có"),0,MIN($U13,$T13))</f>
        <v/>
      </c>
      <c r="W13" s="224">
        <f>IF(OR($B13="",$E13&lt;&gt;"Có"),0,MAX($U13-$T13,0))</f>
        <v/>
      </c>
      <c r="X13" s="222" t="n"/>
      <c r="Y13" s="222" t="n"/>
      <c r="Z13" s="222" t="n"/>
      <c r="AA13" s="222" t="n"/>
      <c r="AB13" s="224">
        <f>IF(OR($B13="",$E13&lt;&gt;"Có"),0,SUM($L13,$Q13,$V13,$X13))</f>
        <v/>
      </c>
      <c r="AC13" s="224">
        <f>IF(OR($B13="",$E13&lt;&gt;"Có"),0,SUM($F13,$G13,$R13,$W13,$Y13))</f>
        <v/>
      </c>
      <c r="AD13" s="224">
        <f>IF(OR($B13="",$E13&lt;&gt;"Có"),0,SUM($Z13:$AA13))</f>
        <v/>
      </c>
      <c r="AE13" s="224">
        <f>IF(OR($B13="",$E13&lt;&gt;"Có"),0,$AB13+$AC13-$AD13)</f>
        <v/>
      </c>
      <c r="AF13" s="150">
        <f>IF($B13="","",IF(AND($E13="Có",$D13=""),"Thiếu ngày nghỉ; ","")&amp;IF($I13&gt;MAX($H13,0),"Ngày phép thanh toán vượt số còn lại; ","")&amp;IF(AND($I13&gt;0,OR($J13&lt;=0,$K13&lt;=0)),"Thiếu lương/công chuẩn tháng trước; ","")&amp;IF(AND(SUM($N13,$S13)&gt;0,$M13&lt;=0),"Thiếu bình quân lương 06 tháng; ","")&amp;IF($X13&gt;0,"Bồi thường miễn thuế cần căn cứ và hồ sơ; ","")&amp;IF($AE13&lt;0,"Tổng chi thêm âm; ",""))</f>
        <v/>
      </c>
    </row>
    <row r="14">
      <c r="A14" s="145">
        <f>IF('DM_NHAN_SU'!$B14="","",ROW()-5)</f>
        <v/>
      </c>
      <c r="B14" s="145">
        <f>IF('DM_NHAN_SU'!$B14="","",'DM_NHAN_SU'!B14)</f>
        <v/>
      </c>
      <c r="C14" s="145">
        <f>IF('DM_NHAN_SU'!$B14="","",'DM_NHAN_SU'!C14)</f>
        <v/>
      </c>
      <c r="D14" s="234">
        <f>IF(OR('DM_NHAN_SU'!$B14="",'DM_NHAN_SU'!$G14=""),"",'DM_NHAN_SU'!G14)</f>
        <v/>
      </c>
      <c r="E14" s="127" t="n"/>
      <c r="F14" s="222" t="n"/>
      <c r="G14" s="222" t="n"/>
      <c r="H14" s="232">
        <f>IF($B14="","",'NGHI_PHEP'!K14)</f>
        <v/>
      </c>
      <c r="I14" s="227" t="n"/>
      <c r="J14" s="222" t="n"/>
      <c r="K14" s="227" t="n"/>
      <c r="L14" s="224">
        <f>IF(OR($B14="",$E14&lt;&gt;"Có"),0,IF($K14&gt;0,$I14*$J14/$K14,0))</f>
        <v/>
      </c>
      <c r="M14" s="222" t="n"/>
      <c r="N14" s="227" t="n"/>
      <c r="O14" s="224">
        <f>IF(OR($B14="",$E14&lt;&gt;"Có"),0,$M14*$N14*0.5)</f>
        <v/>
      </c>
      <c r="P14" s="222" t="n"/>
      <c r="Q14" s="224">
        <f>IF(OR($B14="",$E14&lt;&gt;"Có"),0,MIN($P14,$O14))</f>
        <v/>
      </c>
      <c r="R14" s="224">
        <f>IF(OR($B14="",$E14&lt;&gt;"Có"),0,MAX($P14-$O14,0))</f>
        <v/>
      </c>
      <c r="S14" s="227" t="n"/>
      <c r="T14" s="224">
        <f>IF(OR($B14="",$E14&lt;&gt;"Có",$S14&lt;=0),0,$M14*MAX($S14,2))</f>
        <v/>
      </c>
      <c r="U14" s="222" t="n"/>
      <c r="V14" s="224">
        <f>IF(OR($B14="",$E14&lt;&gt;"Có"),0,MIN($U14,$T14))</f>
        <v/>
      </c>
      <c r="W14" s="224">
        <f>IF(OR($B14="",$E14&lt;&gt;"Có"),0,MAX($U14-$T14,0))</f>
        <v/>
      </c>
      <c r="X14" s="222" t="n"/>
      <c r="Y14" s="222" t="n"/>
      <c r="Z14" s="222" t="n"/>
      <c r="AA14" s="222" t="n"/>
      <c r="AB14" s="224">
        <f>IF(OR($B14="",$E14&lt;&gt;"Có"),0,SUM($L14,$Q14,$V14,$X14))</f>
        <v/>
      </c>
      <c r="AC14" s="224">
        <f>IF(OR($B14="",$E14&lt;&gt;"Có"),0,SUM($F14,$G14,$R14,$W14,$Y14))</f>
        <v/>
      </c>
      <c r="AD14" s="224">
        <f>IF(OR($B14="",$E14&lt;&gt;"Có"),0,SUM($Z14:$AA14))</f>
        <v/>
      </c>
      <c r="AE14" s="224">
        <f>IF(OR($B14="",$E14&lt;&gt;"Có"),0,$AB14+$AC14-$AD14)</f>
        <v/>
      </c>
      <c r="AF14" s="150">
        <f>IF($B14="","",IF(AND($E14="Có",$D14=""),"Thiếu ngày nghỉ; ","")&amp;IF($I14&gt;MAX($H14,0),"Ngày phép thanh toán vượt số còn lại; ","")&amp;IF(AND($I14&gt;0,OR($J14&lt;=0,$K14&lt;=0)),"Thiếu lương/công chuẩn tháng trước; ","")&amp;IF(AND(SUM($N14,$S14)&gt;0,$M14&lt;=0),"Thiếu bình quân lương 06 tháng; ","")&amp;IF($X14&gt;0,"Bồi thường miễn thuế cần căn cứ và hồ sơ; ","")&amp;IF($AE14&lt;0,"Tổng chi thêm âm; ",""))</f>
        <v/>
      </c>
    </row>
    <row r="15">
      <c r="A15" s="145">
        <f>IF('DM_NHAN_SU'!$B15="","",ROW()-5)</f>
        <v/>
      </c>
      <c r="B15" s="145">
        <f>IF('DM_NHAN_SU'!$B15="","",'DM_NHAN_SU'!B15)</f>
        <v/>
      </c>
      <c r="C15" s="145">
        <f>IF('DM_NHAN_SU'!$B15="","",'DM_NHAN_SU'!C15)</f>
        <v/>
      </c>
      <c r="D15" s="234">
        <f>IF(OR('DM_NHAN_SU'!$B15="",'DM_NHAN_SU'!$G15=""),"",'DM_NHAN_SU'!G15)</f>
        <v/>
      </c>
      <c r="E15" s="127" t="n"/>
      <c r="F15" s="222" t="n"/>
      <c r="G15" s="222" t="n"/>
      <c r="H15" s="232">
        <f>IF($B15="","",'NGHI_PHEP'!K15)</f>
        <v/>
      </c>
      <c r="I15" s="227" t="n"/>
      <c r="J15" s="222" t="n"/>
      <c r="K15" s="227" t="n"/>
      <c r="L15" s="224">
        <f>IF(OR($B15="",$E15&lt;&gt;"Có"),0,IF($K15&gt;0,$I15*$J15/$K15,0))</f>
        <v/>
      </c>
      <c r="M15" s="222" t="n"/>
      <c r="N15" s="227" t="n"/>
      <c r="O15" s="224">
        <f>IF(OR($B15="",$E15&lt;&gt;"Có"),0,$M15*$N15*0.5)</f>
        <v/>
      </c>
      <c r="P15" s="222" t="n"/>
      <c r="Q15" s="224">
        <f>IF(OR($B15="",$E15&lt;&gt;"Có"),0,MIN($P15,$O15))</f>
        <v/>
      </c>
      <c r="R15" s="224">
        <f>IF(OR($B15="",$E15&lt;&gt;"Có"),0,MAX($P15-$O15,0))</f>
        <v/>
      </c>
      <c r="S15" s="227" t="n"/>
      <c r="T15" s="224">
        <f>IF(OR($B15="",$E15&lt;&gt;"Có",$S15&lt;=0),0,$M15*MAX($S15,2))</f>
        <v/>
      </c>
      <c r="U15" s="222" t="n"/>
      <c r="V15" s="224">
        <f>IF(OR($B15="",$E15&lt;&gt;"Có"),0,MIN($U15,$T15))</f>
        <v/>
      </c>
      <c r="W15" s="224">
        <f>IF(OR($B15="",$E15&lt;&gt;"Có"),0,MAX($U15-$T15,0))</f>
        <v/>
      </c>
      <c r="X15" s="222" t="n"/>
      <c r="Y15" s="222" t="n"/>
      <c r="Z15" s="222" t="n"/>
      <c r="AA15" s="222" t="n"/>
      <c r="AB15" s="224">
        <f>IF(OR($B15="",$E15&lt;&gt;"Có"),0,SUM($L15,$Q15,$V15,$X15))</f>
        <v/>
      </c>
      <c r="AC15" s="224">
        <f>IF(OR($B15="",$E15&lt;&gt;"Có"),0,SUM($F15,$G15,$R15,$W15,$Y15))</f>
        <v/>
      </c>
      <c r="AD15" s="224">
        <f>IF(OR($B15="",$E15&lt;&gt;"Có"),0,SUM($Z15:$AA15))</f>
        <v/>
      </c>
      <c r="AE15" s="224">
        <f>IF(OR($B15="",$E15&lt;&gt;"Có"),0,$AB15+$AC15-$AD15)</f>
        <v/>
      </c>
      <c r="AF15" s="150">
        <f>IF($B15="","",IF(AND($E15="Có",$D15=""),"Thiếu ngày nghỉ; ","")&amp;IF($I15&gt;MAX($H15,0),"Ngày phép thanh toán vượt số còn lại; ","")&amp;IF(AND($I15&gt;0,OR($J15&lt;=0,$K15&lt;=0)),"Thiếu lương/công chuẩn tháng trước; ","")&amp;IF(AND(SUM($N15,$S15)&gt;0,$M15&lt;=0),"Thiếu bình quân lương 06 tháng; ","")&amp;IF($X15&gt;0,"Bồi thường miễn thuế cần căn cứ và hồ sơ; ","")&amp;IF($AE15&lt;0,"Tổng chi thêm âm; ",""))</f>
        <v/>
      </c>
    </row>
    <row r="16">
      <c r="A16" s="145">
        <f>IF('DM_NHAN_SU'!$B16="","",ROW()-5)</f>
        <v/>
      </c>
      <c r="B16" s="145">
        <f>IF('DM_NHAN_SU'!$B16="","",'DM_NHAN_SU'!B16)</f>
        <v/>
      </c>
      <c r="C16" s="145">
        <f>IF('DM_NHAN_SU'!$B16="","",'DM_NHAN_SU'!C16)</f>
        <v/>
      </c>
      <c r="D16" s="234">
        <f>IF(OR('DM_NHAN_SU'!$B16="",'DM_NHAN_SU'!$G16=""),"",'DM_NHAN_SU'!G16)</f>
        <v/>
      </c>
      <c r="E16" s="127" t="n"/>
      <c r="F16" s="222" t="n"/>
      <c r="G16" s="222" t="n"/>
      <c r="H16" s="232">
        <f>IF($B16="","",'NGHI_PHEP'!K16)</f>
        <v/>
      </c>
      <c r="I16" s="227" t="n"/>
      <c r="J16" s="222" t="n"/>
      <c r="K16" s="227" t="n"/>
      <c r="L16" s="224">
        <f>IF(OR($B16="",$E16&lt;&gt;"Có"),0,IF($K16&gt;0,$I16*$J16/$K16,0))</f>
        <v/>
      </c>
      <c r="M16" s="222" t="n"/>
      <c r="N16" s="227" t="n"/>
      <c r="O16" s="224">
        <f>IF(OR($B16="",$E16&lt;&gt;"Có"),0,$M16*$N16*0.5)</f>
        <v/>
      </c>
      <c r="P16" s="222" t="n"/>
      <c r="Q16" s="224">
        <f>IF(OR($B16="",$E16&lt;&gt;"Có"),0,MIN($P16,$O16))</f>
        <v/>
      </c>
      <c r="R16" s="224">
        <f>IF(OR($B16="",$E16&lt;&gt;"Có"),0,MAX($P16-$O16,0))</f>
        <v/>
      </c>
      <c r="S16" s="227" t="n"/>
      <c r="T16" s="224">
        <f>IF(OR($B16="",$E16&lt;&gt;"Có",$S16&lt;=0),0,$M16*MAX($S16,2))</f>
        <v/>
      </c>
      <c r="U16" s="222" t="n"/>
      <c r="V16" s="224">
        <f>IF(OR($B16="",$E16&lt;&gt;"Có"),0,MIN($U16,$T16))</f>
        <v/>
      </c>
      <c r="W16" s="224">
        <f>IF(OR($B16="",$E16&lt;&gt;"Có"),0,MAX($U16-$T16,0))</f>
        <v/>
      </c>
      <c r="X16" s="222" t="n"/>
      <c r="Y16" s="222" t="n"/>
      <c r="Z16" s="222" t="n"/>
      <c r="AA16" s="222" t="n"/>
      <c r="AB16" s="224">
        <f>IF(OR($B16="",$E16&lt;&gt;"Có"),0,SUM($L16,$Q16,$V16,$X16))</f>
        <v/>
      </c>
      <c r="AC16" s="224">
        <f>IF(OR($B16="",$E16&lt;&gt;"Có"),0,SUM($F16,$G16,$R16,$W16,$Y16))</f>
        <v/>
      </c>
      <c r="AD16" s="224">
        <f>IF(OR($B16="",$E16&lt;&gt;"Có"),0,SUM($Z16:$AA16))</f>
        <v/>
      </c>
      <c r="AE16" s="224">
        <f>IF(OR($B16="",$E16&lt;&gt;"Có"),0,$AB16+$AC16-$AD16)</f>
        <v/>
      </c>
      <c r="AF16" s="150">
        <f>IF($B16="","",IF(AND($E16="Có",$D16=""),"Thiếu ngày nghỉ; ","")&amp;IF($I16&gt;MAX($H16,0),"Ngày phép thanh toán vượt số còn lại; ","")&amp;IF(AND($I16&gt;0,OR($J16&lt;=0,$K16&lt;=0)),"Thiếu lương/công chuẩn tháng trước; ","")&amp;IF(AND(SUM($N16,$S16)&gt;0,$M16&lt;=0),"Thiếu bình quân lương 06 tháng; ","")&amp;IF($X16&gt;0,"Bồi thường miễn thuế cần căn cứ và hồ sơ; ","")&amp;IF($AE16&lt;0,"Tổng chi thêm âm; ",""))</f>
        <v/>
      </c>
    </row>
    <row r="17">
      <c r="A17" s="145">
        <f>IF('DM_NHAN_SU'!$B17="","",ROW()-5)</f>
        <v/>
      </c>
      <c r="B17" s="145">
        <f>IF('DM_NHAN_SU'!$B17="","",'DM_NHAN_SU'!B17)</f>
        <v/>
      </c>
      <c r="C17" s="145">
        <f>IF('DM_NHAN_SU'!$B17="","",'DM_NHAN_SU'!C17)</f>
        <v/>
      </c>
      <c r="D17" s="234">
        <f>IF(OR('DM_NHAN_SU'!$B17="",'DM_NHAN_SU'!$G17=""),"",'DM_NHAN_SU'!G17)</f>
        <v/>
      </c>
      <c r="E17" s="127" t="n"/>
      <c r="F17" s="222" t="n"/>
      <c r="G17" s="222" t="n"/>
      <c r="H17" s="232">
        <f>IF($B17="","",'NGHI_PHEP'!K17)</f>
        <v/>
      </c>
      <c r="I17" s="227" t="n"/>
      <c r="J17" s="222" t="n"/>
      <c r="K17" s="227" t="n"/>
      <c r="L17" s="224">
        <f>IF(OR($B17="",$E17&lt;&gt;"Có"),0,IF($K17&gt;0,$I17*$J17/$K17,0))</f>
        <v/>
      </c>
      <c r="M17" s="222" t="n"/>
      <c r="N17" s="227" t="n"/>
      <c r="O17" s="224">
        <f>IF(OR($B17="",$E17&lt;&gt;"Có"),0,$M17*$N17*0.5)</f>
        <v/>
      </c>
      <c r="P17" s="222" t="n"/>
      <c r="Q17" s="224">
        <f>IF(OR($B17="",$E17&lt;&gt;"Có"),0,MIN($P17,$O17))</f>
        <v/>
      </c>
      <c r="R17" s="224">
        <f>IF(OR($B17="",$E17&lt;&gt;"Có"),0,MAX($P17-$O17,0))</f>
        <v/>
      </c>
      <c r="S17" s="227" t="n"/>
      <c r="T17" s="224">
        <f>IF(OR($B17="",$E17&lt;&gt;"Có",$S17&lt;=0),0,$M17*MAX($S17,2))</f>
        <v/>
      </c>
      <c r="U17" s="222" t="n"/>
      <c r="V17" s="224">
        <f>IF(OR($B17="",$E17&lt;&gt;"Có"),0,MIN($U17,$T17))</f>
        <v/>
      </c>
      <c r="W17" s="224">
        <f>IF(OR($B17="",$E17&lt;&gt;"Có"),0,MAX($U17-$T17,0))</f>
        <v/>
      </c>
      <c r="X17" s="222" t="n"/>
      <c r="Y17" s="222" t="n"/>
      <c r="Z17" s="222" t="n"/>
      <c r="AA17" s="222" t="n"/>
      <c r="AB17" s="224">
        <f>IF(OR($B17="",$E17&lt;&gt;"Có"),0,SUM($L17,$Q17,$V17,$X17))</f>
        <v/>
      </c>
      <c r="AC17" s="224">
        <f>IF(OR($B17="",$E17&lt;&gt;"Có"),0,SUM($F17,$G17,$R17,$W17,$Y17))</f>
        <v/>
      </c>
      <c r="AD17" s="224">
        <f>IF(OR($B17="",$E17&lt;&gt;"Có"),0,SUM($Z17:$AA17))</f>
        <v/>
      </c>
      <c r="AE17" s="224">
        <f>IF(OR($B17="",$E17&lt;&gt;"Có"),0,$AB17+$AC17-$AD17)</f>
        <v/>
      </c>
      <c r="AF17" s="150">
        <f>IF($B17="","",IF(AND($E17="Có",$D17=""),"Thiếu ngày nghỉ; ","")&amp;IF($I17&gt;MAX($H17,0),"Ngày phép thanh toán vượt số còn lại; ","")&amp;IF(AND($I17&gt;0,OR($J17&lt;=0,$K17&lt;=0)),"Thiếu lương/công chuẩn tháng trước; ","")&amp;IF(AND(SUM($N17,$S17)&gt;0,$M17&lt;=0),"Thiếu bình quân lương 06 tháng; ","")&amp;IF($X17&gt;0,"Bồi thường miễn thuế cần căn cứ và hồ sơ; ","")&amp;IF($AE17&lt;0,"Tổng chi thêm âm; ",""))</f>
        <v/>
      </c>
    </row>
    <row r="18">
      <c r="A18" s="145">
        <f>IF('DM_NHAN_SU'!$B18="","",ROW()-5)</f>
        <v/>
      </c>
      <c r="B18" s="145">
        <f>IF('DM_NHAN_SU'!$B18="","",'DM_NHAN_SU'!B18)</f>
        <v/>
      </c>
      <c r="C18" s="145">
        <f>IF('DM_NHAN_SU'!$B18="","",'DM_NHAN_SU'!C18)</f>
        <v/>
      </c>
      <c r="D18" s="234">
        <f>IF(OR('DM_NHAN_SU'!$B18="",'DM_NHAN_SU'!$G18=""),"",'DM_NHAN_SU'!G18)</f>
        <v/>
      </c>
      <c r="E18" s="127" t="n"/>
      <c r="F18" s="222" t="n"/>
      <c r="G18" s="222" t="n"/>
      <c r="H18" s="232">
        <f>IF($B18="","",'NGHI_PHEP'!K18)</f>
        <v/>
      </c>
      <c r="I18" s="227" t="n"/>
      <c r="J18" s="222" t="n"/>
      <c r="K18" s="227" t="n"/>
      <c r="L18" s="224">
        <f>IF(OR($B18="",$E18&lt;&gt;"Có"),0,IF($K18&gt;0,$I18*$J18/$K18,0))</f>
        <v/>
      </c>
      <c r="M18" s="222" t="n"/>
      <c r="N18" s="227" t="n"/>
      <c r="O18" s="224">
        <f>IF(OR($B18="",$E18&lt;&gt;"Có"),0,$M18*$N18*0.5)</f>
        <v/>
      </c>
      <c r="P18" s="222" t="n"/>
      <c r="Q18" s="224">
        <f>IF(OR($B18="",$E18&lt;&gt;"Có"),0,MIN($P18,$O18))</f>
        <v/>
      </c>
      <c r="R18" s="224">
        <f>IF(OR($B18="",$E18&lt;&gt;"Có"),0,MAX($P18-$O18,0))</f>
        <v/>
      </c>
      <c r="S18" s="227" t="n"/>
      <c r="T18" s="224">
        <f>IF(OR($B18="",$E18&lt;&gt;"Có",$S18&lt;=0),0,$M18*MAX($S18,2))</f>
        <v/>
      </c>
      <c r="U18" s="222" t="n"/>
      <c r="V18" s="224">
        <f>IF(OR($B18="",$E18&lt;&gt;"Có"),0,MIN($U18,$T18))</f>
        <v/>
      </c>
      <c r="W18" s="224">
        <f>IF(OR($B18="",$E18&lt;&gt;"Có"),0,MAX($U18-$T18,0))</f>
        <v/>
      </c>
      <c r="X18" s="222" t="n"/>
      <c r="Y18" s="222" t="n"/>
      <c r="Z18" s="222" t="n"/>
      <c r="AA18" s="222" t="n"/>
      <c r="AB18" s="224">
        <f>IF(OR($B18="",$E18&lt;&gt;"Có"),0,SUM($L18,$Q18,$V18,$X18))</f>
        <v/>
      </c>
      <c r="AC18" s="224">
        <f>IF(OR($B18="",$E18&lt;&gt;"Có"),0,SUM($F18,$G18,$R18,$W18,$Y18))</f>
        <v/>
      </c>
      <c r="AD18" s="224">
        <f>IF(OR($B18="",$E18&lt;&gt;"Có"),0,SUM($Z18:$AA18))</f>
        <v/>
      </c>
      <c r="AE18" s="224">
        <f>IF(OR($B18="",$E18&lt;&gt;"Có"),0,$AB18+$AC18-$AD18)</f>
        <v/>
      </c>
      <c r="AF18" s="150">
        <f>IF($B18="","",IF(AND($E18="Có",$D18=""),"Thiếu ngày nghỉ; ","")&amp;IF($I18&gt;MAX($H18,0),"Ngày phép thanh toán vượt số còn lại; ","")&amp;IF(AND($I18&gt;0,OR($J18&lt;=0,$K18&lt;=0)),"Thiếu lương/công chuẩn tháng trước; ","")&amp;IF(AND(SUM($N18,$S18)&gt;0,$M18&lt;=0),"Thiếu bình quân lương 06 tháng; ","")&amp;IF($X18&gt;0,"Bồi thường miễn thuế cần căn cứ và hồ sơ; ","")&amp;IF($AE18&lt;0,"Tổng chi thêm âm; ",""))</f>
        <v/>
      </c>
    </row>
    <row r="19">
      <c r="A19" s="145">
        <f>IF('DM_NHAN_SU'!$B19="","",ROW()-5)</f>
        <v/>
      </c>
      <c r="B19" s="145">
        <f>IF('DM_NHAN_SU'!$B19="","",'DM_NHAN_SU'!B19)</f>
        <v/>
      </c>
      <c r="C19" s="145">
        <f>IF('DM_NHAN_SU'!$B19="","",'DM_NHAN_SU'!C19)</f>
        <v/>
      </c>
      <c r="D19" s="234">
        <f>IF(OR('DM_NHAN_SU'!$B19="",'DM_NHAN_SU'!$G19=""),"",'DM_NHAN_SU'!G19)</f>
        <v/>
      </c>
      <c r="E19" s="127" t="n"/>
      <c r="F19" s="222" t="n"/>
      <c r="G19" s="222" t="n"/>
      <c r="H19" s="232">
        <f>IF($B19="","",'NGHI_PHEP'!K19)</f>
        <v/>
      </c>
      <c r="I19" s="227" t="n"/>
      <c r="J19" s="222" t="n"/>
      <c r="K19" s="227" t="n"/>
      <c r="L19" s="224">
        <f>IF(OR($B19="",$E19&lt;&gt;"Có"),0,IF($K19&gt;0,$I19*$J19/$K19,0))</f>
        <v/>
      </c>
      <c r="M19" s="222" t="n"/>
      <c r="N19" s="227" t="n"/>
      <c r="O19" s="224">
        <f>IF(OR($B19="",$E19&lt;&gt;"Có"),0,$M19*$N19*0.5)</f>
        <v/>
      </c>
      <c r="P19" s="222" t="n"/>
      <c r="Q19" s="224">
        <f>IF(OR($B19="",$E19&lt;&gt;"Có"),0,MIN($P19,$O19))</f>
        <v/>
      </c>
      <c r="R19" s="224">
        <f>IF(OR($B19="",$E19&lt;&gt;"Có"),0,MAX($P19-$O19,0))</f>
        <v/>
      </c>
      <c r="S19" s="227" t="n"/>
      <c r="T19" s="224">
        <f>IF(OR($B19="",$E19&lt;&gt;"Có",$S19&lt;=0),0,$M19*MAX($S19,2))</f>
        <v/>
      </c>
      <c r="U19" s="222" t="n"/>
      <c r="V19" s="224">
        <f>IF(OR($B19="",$E19&lt;&gt;"Có"),0,MIN($U19,$T19))</f>
        <v/>
      </c>
      <c r="W19" s="224">
        <f>IF(OR($B19="",$E19&lt;&gt;"Có"),0,MAX($U19-$T19,0))</f>
        <v/>
      </c>
      <c r="X19" s="222" t="n"/>
      <c r="Y19" s="222" t="n"/>
      <c r="Z19" s="222" t="n"/>
      <c r="AA19" s="222" t="n"/>
      <c r="AB19" s="224">
        <f>IF(OR($B19="",$E19&lt;&gt;"Có"),0,SUM($L19,$Q19,$V19,$X19))</f>
        <v/>
      </c>
      <c r="AC19" s="224">
        <f>IF(OR($B19="",$E19&lt;&gt;"Có"),0,SUM($F19,$G19,$R19,$W19,$Y19))</f>
        <v/>
      </c>
      <c r="AD19" s="224">
        <f>IF(OR($B19="",$E19&lt;&gt;"Có"),0,SUM($Z19:$AA19))</f>
        <v/>
      </c>
      <c r="AE19" s="224">
        <f>IF(OR($B19="",$E19&lt;&gt;"Có"),0,$AB19+$AC19-$AD19)</f>
        <v/>
      </c>
      <c r="AF19" s="150">
        <f>IF($B19="","",IF(AND($E19="Có",$D19=""),"Thiếu ngày nghỉ; ","")&amp;IF($I19&gt;MAX($H19,0),"Ngày phép thanh toán vượt số còn lại; ","")&amp;IF(AND($I19&gt;0,OR($J19&lt;=0,$K19&lt;=0)),"Thiếu lương/công chuẩn tháng trước; ","")&amp;IF(AND(SUM($N19,$S19)&gt;0,$M19&lt;=0),"Thiếu bình quân lương 06 tháng; ","")&amp;IF($X19&gt;0,"Bồi thường miễn thuế cần căn cứ và hồ sơ; ","")&amp;IF($AE19&lt;0,"Tổng chi thêm âm; ",""))</f>
        <v/>
      </c>
    </row>
    <row r="20">
      <c r="A20" s="145">
        <f>IF('DM_NHAN_SU'!$B20="","",ROW()-5)</f>
        <v/>
      </c>
      <c r="B20" s="145">
        <f>IF('DM_NHAN_SU'!$B20="","",'DM_NHAN_SU'!B20)</f>
        <v/>
      </c>
      <c r="C20" s="145">
        <f>IF('DM_NHAN_SU'!$B20="","",'DM_NHAN_SU'!C20)</f>
        <v/>
      </c>
      <c r="D20" s="234">
        <f>IF(OR('DM_NHAN_SU'!$B20="",'DM_NHAN_SU'!$G20=""),"",'DM_NHAN_SU'!G20)</f>
        <v/>
      </c>
      <c r="E20" s="127" t="n"/>
      <c r="F20" s="222" t="n"/>
      <c r="G20" s="222" t="n"/>
      <c r="H20" s="232">
        <f>IF($B20="","",'NGHI_PHEP'!K20)</f>
        <v/>
      </c>
      <c r="I20" s="227" t="n"/>
      <c r="J20" s="222" t="n"/>
      <c r="K20" s="227" t="n"/>
      <c r="L20" s="224">
        <f>IF(OR($B20="",$E20&lt;&gt;"Có"),0,IF($K20&gt;0,$I20*$J20/$K20,0))</f>
        <v/>
      </c>
      <c r="M20" s="222" t="n"/>
      <c r="N20" s="227" t="n"/>
      <c r="O20" s="224">
        <f>IF(OR($B20="",$E20&lt;&gt;"Có"),0,$M20*$N20*0.5)</f>
        <v/>
      </c>
      <c r="P20" s="222" t="n"/>
      <c r="Q20" s="224">
        <f>IF(OR($B20="",$E20&lt;&gt;"Có"),0,MIN($P20,$O20))</f>
        <v/>
      </c>
      <c r="R20" s="224">
        <f>IF(OR($B20="",$E20&lt;&gt;"Có"),0,MAX($P20-$O20,0))</f>
        <v/>
      </c>
      <c r="S20" s="227" t="n"/>
      <c r="T20" s="224">
        <f>IF(OR($B20="",$E20&lt;&gt;"Có",$S20&lt;=0),0,$M20*MAX($S20,2))</f>
        <v/>
      </c>
      <c r="U20" s="222" t="n"/>
      <c r="V20" s="224">
        <f>IF(OR($B20="",$E20&lt;&gt;"Có"),0,MIN($U20,$T20))</f>
        <v/>
      </c>
      <c r="W20" s="224">
        <f>IF(OR($B20="",$E20&lt;&gt;"Có"),0,MAX($U20-$T20,0))</f>
        <v/>
      </c>
      <c r="X20" s="222" t="n"/>
      <c r="Y20" s="222" t="n"/>
      <c r="Z20" s="222" t="n"/>
      <c r="AA20" s="222" t="n"/>
      <c r="AB20" s="224">
        <f>IF(OR($B20="",$E20&lt;&gt;"Có"),0,SUM($L20,$Q20,$V20,$X20))</f>
        <v/>
      </c>
      <c r="AC20" s="224">
        <f>IF(OR($B20="",$E20&lt;&gt;"Có"),0,SUM($F20,$G20,$R20,$W20,$Y20))</f>
        <v/>
      </c>
      <c r="AD20" s="224">
        <f>IF(OR($B20="",$E20&lt;&gt;"Có"),0,SUM($Z20:$AA20))</f>
        <v/>
      </c>
      <c r="AE20" s="224">
        <f>IF(OR($B20="",$E20&lt;&gt;"Có"),0,$AB20+$AC20-$AD20)</f>
        <v/>
      </c>
      <c r="AF20" s="150">
        <f>IF($B20="","",IF(AND($E20="Có",$D20=""),"Thiếu ngày nghỉ; ","")&amp;IF($I20&gt;MAX($H20,0),"Ngày phép thanh toán vượt số còn lại; ","")&amp;IF(AND($I20&gt;0,OR($J20&lt;=0,$K20&lt;=0)),"Thiếu lương/công chuẩn tháng trước; ","")&amp;IF(AND(SUM($N20,$S20)&gt;0,$M20&lt;=0),"Thiếu bình quân lương 06 tháng; ","")&amp;IF($X20&gt;0,"Bồi thường miễn thuế cần căn cứ và hồ sơ; ","")&amp;IF($AE20&lt;0,"Tổng chi thêm âm; ",""))</f>
        <v/>
      </c>
    </row>
    <row r="21">
      <c r="A21" s="145">
        <f>IF('DM_NHAN_SU'!$B21="","",ROW()-5)</f>
        <v/>
      </c>
      <c r="B21" s="145">
        <f>IF('DM_NHAN_SU'!$B21="","",'DM_NHAN_SU'!B21)</f>
        <v/>
      </c>
      <c r="C21" s="145">
        <f>IF('DM_NHAN_SU'!$B21="","",'DM_NHAN_SU'!C21)</f>
        <v/>
      </c>
      <c r="D21" s="234">
        <f>IF(OR('DM_NHAN_SU'!$B21="",'DM_NHAN_SU'!$G21=""),"",'DM_NHAN_SU'!G21)</f>
        <v/>
      </c>
      <c r="E21" s="127" t="n"/>
      <c r="F21" s="222" t="n"/>
      <c r="G21" s="222" t="n"/>
      <c r="H21" s="232">
        <f>IF($B21="","",'NGHI_PHEP'!K21)</f>
        <v/>
      </c>
      <c r="I21" s="227" t="n"/>
      <c r="J21" s="222" t="n"/>
      <c r="K21" s="227" t="n"/>
      <c r="L21" s="224">
        <f>IF(OR($B21="",$E21&lt;&gt;"Có"),0,IF($K21&gt;0,$I21*$J21/$K21,0))</f>
        <v/>
      </c>
      <c r="M21" s="222" t="n"/>
      <c r="N21" s="227" t="n"/>
      <c r="O21" s="224">
        <f>IF(OR($B21="",$E21&lt;&gt;"Có"),0,$M21*$N21*0.5)</f>
        <v/>
      </c>
      <c r="P21" s="222" t="n"/>
      <c r="Q21" s="224">
        <f>IF(OR($B21="",$E21&lt;&gt;"Có"),0,MIN($P21,$O21))</f>
        <v/>
      </c>
      <c r="R21" s="224">
        <f>IF(OR($B21="",$E21&lt;&gt;"Có"),0,MAX($P21-$O21,0))</f>
        <v/>
      </c>
      <c r="S21" s="227" t="n"/>
      <c r="T21" s="224">
        <f>IF(OR($B21="",$E21&lt;&gt;"Có",$S21&lt;=0),0,$M21*MAX($S21,2))</f>
        <v/>
      </c>
      <c r="U21" s="222" t="n"/>
      <c r="V21" s="224">
        <f>IF(OR($B21="",$E21&lt;&gt;"Có"),0,MIN($U21,$T21))</f>
        <v/>
      </c>
      <c r="W21" s="224">
        <f>IF(OR($B21="",$E21&lt;&gt;"Có"),0,MAX($U21-$T21,0))</f>
        <v/>
      </c>
      <c r="X21" s="222" t="n"/>
      <c r="Y21" s="222" t="n"/>
      <c r="Z21" s="222" t="n"/>
      <c r="AA21" s="222" t="n"/>
      <c r="AB21" s="224">
        <f>IF(OR($B21="",$E21&lt;&gt;"Có"),0,SUM($L21,$Q21,$V21,$X21))</f>
        <v/>
      </c>
      <c r="AC21" s="224">
        <f>IF(OR($B21="",$E21&lt;&gt;"Có"),0,SUM($F21,$G21,$R21,$W21,$Y21))</f>
        <v/>
      </c>
      <c r="AD21" s="224">
        <f>IF(OR($B21="",$E21&lt;&gt;"Có"),0,SUM($Z21:$AA21))</f>
        <v/>
      </c>
      <c r="AE21" s="224">
        <f>IF(OR($B21="",$E21&lt;&gt;"Có"),0,$AB21+$AC21-$AD21)</f>
        <v/>
      </c>
      <c r="AF21" s="150">
        <f>IF($B21="","",IF(AND($E21="Có",$D21=""),"Thiếu ngày nghỉ; ","")&amp;IF($I21&gt;MAX($H21,0),"Ngày phép thanh toán vượt số còn lại; ","")&amp;IF(AND($I21&gt;0,OR($J21&lt;=0,$K21&lt;=0)),"Thiếu lương/công chuẩn tháng trước; ","")&amp;IF(AND(SUM($N21,$S21)&gt;0,$M21&lt;=0),"Thiếu bình quân lương 06 tháng; ","")&amp;IF($X21&gt;0,"Bồi thường miễn thuế cần căn cứ và hồ sơ; ","")&amp;IF($AE21&lt;0,"Tổng chi thêm âm; ",""))</f>
        <v/>
      </c>
    </row>
    <row r="22">
      <c r="A22" s="145">
        <f>IF('DM_NHAN_SU'!$B22="","",ROW()-5)</f>
        <v/>
      </c>
      <c r="B22" s="145">
        <f>IF('DM_NHAN_SU'!$B22="","",'DM_NHAN_SU'!B22)</f>
        <v/>
      </c>
      <c r="C22" s="145">
        <f>IF('DM_NHAN_SU'!$B22="","",'DM_NHAN_SU'!C22)</f>
        <v/>
      </c>
      <c r="D22" s="234">
        <f>IF(OR('DM_NHAN_SU'!$B22="",'DM_NHAN_SU'!$G22=""),"",'DM_NHAN_SU'!G22)</f>
        <v/>
      </c>
      <c r="E22" s="127" t="n"/>
      <c r="F22" s="222" t="n"/>
      <c r="G22" s="222" t="n"/>
      <c r="H22" s="232">
        <f>IF($B22="","",'NGHI_PHEP'!K22)</f>
        <v/>
      </c>
      <c r="I22" s="227" t="n"/>
      <c r="J22" s="222" t="n"/>
      <c r="K22" s="227" t="n"/>
      <c r="L22" s="224">
        <f>IF(OR($B22="",$E22&lt;&gt;"Có"),0,IF($K22&gt;0,$I22*$J22/$K22,0))</f>
        <v/>
      </c>
      <c r="M22" s="222" t="n"/>
      <c r="N22" s="227" t="n"/>
      <c r="O22" s="224">
        <f>IF(OR($B22="",$E22&lt;&gt;"Có"),0,$M22*$N22*0.5)</f>
        <v/>
      </c>
      <c r="P22" s="222" t="n"/>
      <c r="Q22" s="224">
        <f>IF(OR($B22="",$E22&lt;&gt;"Có"),0,MIN($P22,$O22))</f>
        <v/>
      </c>
      <c r="R22" s="224">
        <f>IF(OR($B22="",$E22&lt;&gt;"Có"),0,MAX($P22-$O22,0))</f>
        <v/>
      </c>
      <c r="S22" s="227" t="n"/>
      <c r="T22" s="224">
        <f>IF(OR($B22="",$E22&lt;&gt;"Có",$S22&lt;=0),0,$M22*MAX($S22,2))</f>
        <v/>
      </c>
      <c r="U22" s="222" t="n"/>
      <c r="V22" s="224">
        <f>IF(OR($B22="",$E22&lt;&gt;"Có"),0,MIN($U22,$T22))</f>
        <v/>
      </c>
      <c r="W22" s="224">
        <f>IF(OR($B22="",$E22&lt;&gt;"Có"),0,MAX($U22-$T22,0))</f>
        <v/>
      </c>
      <c r="X22" s="222" t="n"/>
      <c r="Y22" s="222" t="n"/>
      <c r="Z22" s="222" t="n"/>
      <c r="AA22" s="222" t="n"/>
      <c r="AB22" s="224">
        <f>IF(OR($B22="",$E22&lt;&gt;"Có"),0,SUM($L22,$Q22,$V22,$X22))</f>
        <v/>
      </c>
      <c r="AC22" s="224">
        <f>IF(OR($B22="",$E22&lt;&gt;"Có"),0,SUM($F22,$G22,$R22,$W22,$Y22))</f>
        <v/>
      </c>
      <c r="AD22" s="224">
        <f>IF(OR($B22="",$E22&lt;&gt;"Có"),0,SUM($Z22:$AA22))</f>
        <v/>
      </c>
      <c r="AE22" s="224">
        <f>IF(OR($B22="",$E22&lt;&gt;"Có"),0,$AB22+$AC22-$AD22)</f>
        <v/>
      </c>
      <c r="AF22" s="150">
        <f>IF($B22="","",IF(AND($E22="Có",$D22=""),"Thiếu ngày nghỉ; ","")&amp;IF($I22&gt;MAX($H22,0),"Ngày phép thanh toán vượt số còn lại; ","")&amp;IF(AND($I22&gt;0,OR($J22&lt;=0,$K22&lt;=0)),"Thiếu lương/công chuẩn tháng trước; ","")&amp;IF(AND(SUM($N22,$S22)&gt;0,$M22&lt;=0),"Thiếu bình quân lương 06 tháng; ","")&amp;IF($X22&gt;0,"Bồi thường miễn thuế cần căn cứ và hồ sơ; ","")&amp;IF($AE22&lt;0,"Tổng chi thêm âm; ",""))</f>
        <v/>
      </c>
    </row>
    <row r="23">
      <c r="A23" s="145">
        <f>IF('DM_NHAN_SU'!$B23="","",ROW()-5)</f>
        <v/>
      </c>
      <c r="B23" s="145">
        <f>IF('DM_NHAN_SU'!$B23="","",'DM_NHAN_SU'!B23)</f>
        <v/>
      </c>
      <c r="C23" s="145">
        <f>IF('DM_NHAN_SU'!$B23="","",'DM_NHAN_SU'!C23)</f>
        <v/>
      </c>
      <c r="D23" s="234">
        <f>IF(OR('DM_NHAN_SU'!$B23="",'DM_NHAN_SU'!$G23=""),"",'DM_NHAN_SU'!G23)</f>
        <v/>
      </c>
      <c r="E23" s="127" t="n"/>
      <c r="F23" s="222" t="n"/>
      <c r="G23" s="222" t="n"/>
      <c r="H23" s="232">
        <f>IF($B23="","",'NGHI_PHEP'!K23)</f>
        <v/>
      </c>
      <c r="I23" s="227" t="n"/>
      <c r="J23" s="222" t="n"/>
      <c r="K23" s="227" t="n"/>
      <c r="L23" s="224">
        <f>IF(OR($B23="",$E23&lt;&gt;"Có"),0,IF($K23&gt;0,$I23*$J23/$K23,0))</f>
        <v/>
      </c>
      <c r="M23" s="222" t="n"/>
      <c r="N23" s="227" t="n"/>
      <c r="O23" s="224">
        <f>IF(OR($B23="",$E23&lt;&gt;"Có"),0,$M23*$N23*0.5)</f>
        <v/>
      </c>
      <c r="P23" s="222" t="n"/>
      <c r="Q23" s="224">
        <f>IF(OR($B23="",$E23&lt;&gt;"Có"),0,MIN($P23,$O23))</f>
        <v/>
      </c>
      <c r="R23" s="224">
        <f>IF(OR($B23="",$E23&lt;&gt;"Có"),0,MAX($P23-$O23,0))</f>
        <v/>
      </c>
      <c r="S23" s="227" t="n"/>
      <c r="T23" s="224">
        <f>IF(OR($B23="",$E23&lt;&gt;"Có",$S23&lt;=0),0,$M23*MAX($S23,2))</f>
        <v/>
      </c>
      <c r="U23" s="222" t="n"/>
      <c r="V23" s="224">
        <f>IF(OR($B23="",$E23&lt;&gt;"Có"),0,MIN($U23,$T23))</f>
        <v/>
      </c>
      <c r="W23" s="224">
        <f>IF(OR($B23="",$E23&lt;&gt;"Có"),0,MAX($U23-$T23,0))</f>
        <v/>
      </c>
      <c r="X23" s="222" t="n"/>
      <c r="Y23" s="222" t="n"/>
      <c r="Z23" s="222" t="n"/>
      <c r="AA23" s="222" t="n"/>
      <c r="AB23" s="224">
        <f>IF(OR($B23="",$E23&lt;&gt;"Có"),0,SUM($L23,$Q23,$V23,$X23))</f>
        <v/>
      </c>
      <c r="AC23" s="224">
        <f>IF(OR($B23="",$E23&lt;&gt;"Có"),0,SUM($F23,$G23,$R23,$W23,$Y23))</f>
        <v/>
      </c>
      <c r="AD23" s="224">
        <f>IF(OR($B23="",$E23&lt;&gt;"Có"),0,SUM($Z23:$AA23))</f>
        <v/>
      </c>
      <c r="AE23" s="224">
        <f>IF(OR($B23="",$E23&lt;&gt;"Có"),0,$AB23+$AC23-$AD23)</f>
        <v/>
      </c>
      <c r="AF23" s="150">
        <f>IF($B23="","",IF(AND($E23="Có",$D23=""),"Thiếu ngày nghỉ; ","")&amp;IF($I23&gt;MAX($H23,0),"Ngày phép thanh toán vượt số còn lại; ","")&amp;IF(AND($I23&gt;0,OR($J23&lt;=0,$K23&lt;=0)),"Thiếu lương/công chuẩn tháng trước; ","")&amp;IF(AND(SUM($N23,$S23)&gt;0,$M23&lt;=0),"Thiếu bình quân lương 06 tháng; ","")&amp;IF($X23&gt;0,"Bồi thường miễn thuế cần căn cứ và hồ sơ; ","")&amp;IF($AE23&lt;0,"Tổng chi thêm âm; ",""))</f>
        <v/>
      </c>
    </row>
    <row r="24">
      <c r="A24" s="145">
        <f>IF('DM_NHAN_SU'!$B24="","",ROW()-5)</f>
        <v/>
      </c>
      <c r="B24" s="145">
        <f>IF('DM_NHAN_SU'!$B24="","",'DM_NHAN_SU'!B24)</f>
        <v/>
      </c>
      <c r="C24" s="145">
        <f>IF('DM_NHAN_SU'!$B24="","",'DM_NHAN_SU'!C24)</f>
        <v/>
      </c>
      <c r="D24" s="234">
        <f>IF(OR('DM_NHAN_SU'!$B24="",'DM_NHAN_SU'!$G24=""),"",'DM_NHAN_SU'!G24)</f>
        <v/>
      </c>
      <c r="E24" s="127" t="n"/>
      <c r="F24" s="222" t="n"/>
      <c r="G24" s="222" t="n"/>
      <c r="H24" s="232">
        <f>IF($B24="","",'NGHI_PHEP'!K24)</f>
        <v/>
      </c>
      <c r="I24" s="227" t="n"/>
      <c r="J24" s="222" t="n"/>
      <c r="K24" s="227" t="n"/>
      <c r="L24" s="224">
        <f>IF(OR($B24="",$E24&lt;&gt;"Có"),0,IF($K24&gt;0,$I24*$J24/$K24,0))</f>
        <v/>
      </c>
      <c r="M24" s="222" t="n"/>
      <c r="N24" s="227" t="n"/>
      <c r="O24" s="224">
        <f>IF(OR($B24="",$E24&lt;&gt;"Có"),0,$M24*$N24*0.5)</f>
        <v/>
      </c>
      <c r="P24" s="222" t="n"/>
      <c r="Q24" s="224">
        <f>IF(OR($B24="",$E24&lt;&gt;"Có"),0,MIN($P24,$O24))</f>
        <v/>
      </c>
      <c r="R24" s="224">
        <f>IF(OR($B24="",$E24&lt;&gt;"Có"),0,MAX($P24-$O24,0))</f>
        <v/>
      </c>
      <c r="S24" s="227" t="n"/>
      <c r="T24" s="224">
        <f>IF(OR($B24="",$E24&lt;&gt;"Có",$S24&lt;=0),0,$M24*MAX($S24,2))</f>
        <v/>
      </c>
      <c r="U24" s="222" t="n"/>
      <c r="V24" s="224">
        <f>IF(OR($B24="",$E24&lt;&gt;"Có"),0,MIN($U24,$T24))</f>
        <v/>
      </c>
      <c r="W24" s="224">
        <f>IF(OR($B24="",$E24&lt;&gt;"Có"),0,MAX($U24-$T24,0))</f>
        <v/>
      </c>
      <c r="X24" s="222" t="n"/>
      <c r="Y24" s="222" t="n"/>
      <c r="Z24" s="222" t="n"/>
      <c r="AA24" s="222" t="n"/>
      <c r="AB24" s="224">
        <f>IF(OR($B24="",$E24&lt;&gt;"Có"),0,SUM($L24,$Q24,$V24,$X24))</f>
        <v/>
      </c>
      <c r="AC24" s="224">
        <f>IF(OR($B24="",$E24&lt;&gt;"Có"),0,SUM($F24,$G24,$R24,$W24,$Y24))</f>
        <v/>
      </c>
      <c r="AD24" s="224">
        <f>IF(OR($B24="",$E24&lt;&gt;"Có"),0,SUM($Z24:$AA24))</f>
        <v/>
      </c>
      <c r="AE24" s="224">
        <f>IF(OR($B24="",$E24&lt;&gt;"Có"),0,$AB24+$AC24-$AD24)</f>
        <v/>
      </c>
      <c r="AF24" s="150">
        <f>IF($B24="","",IF(AND($E24="Có",$D24=""),"Thiếu ngày nghỉ; ","")&amp;IF($I24&gt;MAX($H24,0),"Ngày phép thanh toán vượt số còn lại; ","")&amp;IF(AND($I24&gt;0,OR($J24&lt;=0,$K24&lt;=0)),"Thiếu lương/công chuẩn tháng trước; ","")&amp;IF(AND(SUM($N24,$S24)&gt;0,$M24&lt;=0),"Thiếu bình quân lương 06 tháng; ","")&amp;IF($X24&gt;0,"Bồi thường miễn thuế cần căn cứ và hồ sơ; ","")&amp;IF($AE24&lt;0,"Tổng chi thêm âm; ",""))</f>
        <v/>
      </c>
    </row>
    <row r="25">
      <c r="A25" s="145">
        <f>IF('DM_NHAN_SU'!$B25="","",ROW()-5)</f>
        <v/>
      </c>
      <c r="B25" s="145">
        <f>IF('DM_NHAN_SU'!$B25="","",'DM_NHAN_SU'!B25)</f>
        <v/>
      </c>
      <c r="C25" s="145">
        <f>IF('DM_NHAN_SU'!$B25="","",'DM_NHAN_SU'!C25)</f>
        <v/>
      </c>
      <c r="D25" s="234">
        <f>IF(OR('DM_NHAN_SU'!$B25="",'DM_NHAN_SU'!$G25=""),"",'DM_NHAN_SU'!G25)</f>
        <v/>
      </c>
      <c r="E25" s="127" t="n"/>
      <c r="F25" s="222" t="n"/>
      <c r="G25" s="222" t="n"/>
      <c r="H25" s="232">
        <f>IF($B25="","",'NGHI_PHEP'!K25)</f>
        <v/>
      </c>
      <c r="I25" s="227" t="n"/>
      <c r="J25" s="222" t="n"/>
      <c r="K25" s="227" t="n"/>
      <c r="L25" s="224">
        <f>IF(OR($B25="",$E25&lt;&gt;"Có"),0,IF($K25&gt;0,$I25*$J25/$K25,0))</f>
        <v/>
      </c>
      <c r="M25" s="222" t="n"/>
      <c r="N25" s="227" t="n"/>
      <c r="O25" s="224">
        <f>IF(OR($B25="",$E25&lt;&gt;"Có"),0,$M25*$N25*0.5)</f>
        <v/>
      </c>
      <c r="P25" s="222" t="n"/>
      <c r="Q25" s="224">
        <f>IF(OR($B25="",$E25&lt;&gt;"Có"),0,MIN($P25,$O25))</f>
        <v/>
      </c>
      <c r="R25" s="224">
        <f>IF(OR($B25="",$E25&lt;&gt;"Có"),0,MAX($P25-$O25,0))</f>
        <v/>
      </c>
      <c r="S25" s="227" t="n"/>
      <c r="T25" s="224">
        <f>IF(OR($B25="",$E25&lt;&gt;"Có",$S25&lt;=0),0,$M25*MAX($S25,2))</f>
        <v/>
      </c>
      <c r="U25" s="222" t="n"/>
      <c r="V25" s="224">
        <f>IF(OR($B25="",$E25&lt;&gt;"Có"),0,MIN($U25,$T25))</f>
        <v/>
      </c>
      <c r="W25" s="224">
        <f>IF(OR($B25="",$E25&lt;&gt;"Có"),0,MAX($U25-$T25,0))</f>
        <v/>
      </c>
      <c r="X25" s="222" t="n"/>
      <c r="Y25" s="222" t="n"/>
      <c r="Z25" s="222" t="n"/>
      <c r="AA25" s="222" t="n"/>
      <c r="AB25" s="224">
        <f>IF(OR($B25="",$E25&lt;&gt;"Có"),0,SUM($L25,$Q25,$V25,$X25))</f>
        <v/>
      </c>
      <c r="AC25" s="224">
        <f>IF(OR($B25="",$E25&lt;&gt;"Có"),0,SUM($F25,$G25,$R25,$W25,$Y25))</f>
        <v/>
      </c>
      <c r="AD25" s="224">
        <f>IF(OR($B25="",$E25&lt;&gt;"Có"),0,SUM($Z25:$AA25))</f>
        <v/>
      </c>
      <c r="AE25" s="224">
        <f>IF(OR($B25="",$E25&lt;&gt;"Có"),0,$AB25+$AC25-$AD25)</f>
        <v/>
      </c>
      <c r="AF25" s="150">
        <f>IF($B25="","",IF(AND($E25="Có",$D25=""),"Thiếu ngày nghỉ; ","")&amp;IF($I25&gt;MAX($H25,0),"Ngày phép thanh toán vượt số còn lại; ","")&amp;IF(AND($I25&gt;0,OR($J25&lt;=0,$K25&lt;=0)),"Thiếu lương/công chuẩn tháng trước; ","")&amp;IF(AND(SUM($N25,$S25)&gt;0,$M25&lt;=0),"Thiếu bình quân lương 06 tháng; ","")&amp;IF($X25&gt;0,"Bồi thường miễn thuế cần căn cứ và hồ sơ; ","")&amp;IF($AE25&lt;0,"Tổng chi thêm âm; ",""))</f>
        <v/>
      </c>
    </row>
    <row r="26">
      <c r="A26" s="145">
        <f>IF('DM_NHAN_SU'!$B26="","",ROW()-5)</f>
        <v/>
      </c>
      <c r="B26" s="145">
        <f>IF('DM_NHAN_SU'!$B26="","",'DM_NHAN_SU'!B26)</f>
        <v/>
      </c>
      <c r="C26" s="145">
        <f>IF('DM_NHAN_SU'!$B26="","",'DM_NHAN_SU'!C26)</f>
        <v/>
      </c>
      <c r="D26" s="234">
        <f>IF(OR('DM_NHAN_SU'!$B26="",'DM_NHAN_SU'!$G26=""),"",'DM_NHAN_SU'!G26)</f>
        <v/>
      </c>
      <c r="E26" s="127" t="n"/>
      <c r="F26" s="222" t="n"/>
      <c r="G26" s="222" t="n"/>
      <c r="H26" s="232">
        <f>IF($B26="","",'NGHI_PHEP'!K26)</f>
        <v/>
      </c>
      <c r="I26" s="227" t="n"/>
      <c r="J26" s="222" t="n"/>
      <c r="K26" s="227" t="n"/>
      <c r="L26" s="224">
        <f>IF(OR($B26="",$E26&lt;&gt;"Có"),0,IF($K26&gt;0,$I26*$J26/$K26,0))</f>
        <v/>
      </c>
      <c r="M26" s="222" t="n"/>
      <c r="N26" s="227" t="n"/>
      <c r="O26" s="224">
        <f>IF(OR($B26="",$E26&lt;&gt;"Có"),0,$M26*$N26*0.5)</f>
        <v/>
      </c>
      <c r="P26" s="222" t="n"/>
      <c r="Q26" s="224">
        <f>IF(OR($B26="",$E26&lt;&gt;"Có"),0,MIN($P26,$O26))</f>
        <v/>
      </c>
      <c r="R26" s="224">
        <f>IF(OR($B26="",$E26&lt;&gt;"Có"),0,MAX($P26-$O26,0))</f>
        <v/>
      </c>
      <c r="S26" s="227" t="n"/>
      <c r="T26" s="224">
        <f>IF(OR($B26="",$E26&lt;&gt;"Có",$S26&lt;=0),0,$M26*MAX($S26,2))</f>
        <v/>
      </c>
      <c r="U26" s="222" t="n"/>
      <c r="V26" s="224">
        <f>IF(OR($B26="",$E26&lt;&gt;"Có"),0,MIN($U26,$T26))</f>
        <v/>
      </c>
      <c r="W26" s="224">
        <f>IF(OR($B26="",$E26&lt;&gt;"Có"),0,MAX($U26-$T26,0))</f>
        <v/>
      </c>
      <c r="X26" s="222" t="n"/>
      <c r="Y26" s="222" t="n"/>
      <c r="Z26" s="222" t="n"/>
      <c r="AA26" s="222" t="n"/>
      <c r="AB26" s="224">
        <f>IF(OR($B26="",$E26&lt;&gt;"Có"),0,SUM($L26,$Q26,$V26,$X26))</f>
        <v/>
      </c>
      <c r="AC26" s="224">
        <f>IF(OR($B26="",$E26&lt;&gt;"Có"),0,SUM($F26,$G26,$R26,$W26,$Y26))</f>
        <v/>
      </c>
      <c r="AD26" s="224">
        <f>IF(OR($B26="",$E26&lt;&gt;"Có"),0,SUM($Z26:$AA26))</f>
        <v/>
      </c>
      <c r="AE26" s="224">
        <f>IF(OR($B26="",$E26&lt;&gt;"Có"),0,$AB26+$AC26-$AD26)</f>
        <v/>
      </c>
      <c r="AF26" s="150">
        <f>IF($B26="","",IF(AND($E26="Có",$D26=""),"Thiếu ngày nghỉ; ","")&amp;IF($I26&gt;MAX($H26,0),"Ngày phép thanh toán vượt số còn lại; ","")&amp;IF(AND($I26&gt;0,OR($J26&lt;=0,$K26&lt;=0)),"Thiếu lương/công chuẩn tháng trước; ","")&amp;IF(AND(SUM($N26,$S26)&gt;0,$M26&lt;=0),"Thiếu bình quân lương 06 tháng; ","")&amp;IF($X26&gt;0,"Bồi thường miễn thuế cần căn cứ và hồ sơ; ","")&amp;IF($AE26&lt;0,"Tổng chi thêm âm; ",""))</f>
        <v/>
      </c>
    </row>
    <row r="27">
      <c r="A27" s="145">
        <f>IF('DM_NHAN_SU'!$B27="","",ROW()-5)</f>
        <v/>
      </c>
      <c r="B27" s="145">
        <f>IF('DM_NHAN_SU'!$B27="","",'DM_NHAN_SU'!B27)</f>
        <v/>
      </c>
      <c r="C27" s="145">
        <f>IF('DM_NHAN_SU'!$B27="","",'DM_NHAN_SU'!C27)</f>
        <v/>
      </c>
      <c r="D27" s="234">
        <f>IF(OR('DM_NHAN_SU'!$B27="",'DM_NHAN_SU'!$G27=""),"",'DM_NHAN_SU'!G27)</f>
        <v/>
      </c>
      <c r="E27" s="127" t="n"/>
      <c r="F27" s="222" t="n"/>
      <c r="G27" s="222" t="n"/>
      <c r="H27" s="232">
        <f>IF($B27="","",'NGHI_PHEP'!K27)</f>
        <v/>
      </c>
      <c r="I27" s="227" t="n"/>
      <c r="J27" s="222" t="n"/>
      <c r="K27" s="227" t="n"/>
      <c r="L27" s="224">
        <f>IF(OR($B27="",$E27&lt;&gt;"Có"),0,IF($K27&gt;0,$I27*$J27/$K27,0))</f>
        <v/>
      </c>
      <c r="M27" s="222" t="n"/>
      <c r="N27" s="227" t="n"/>
      <c r="O27" s="224">
        <f>IF(OR($B27="",$E27&lt;&gt;"Có"),0,$M27*$N27*0.5)</f>
        <v/>
      </c>
      <c r="P27" s="222" t="n"/>
      <c r="Q27" s="224">
        <f>IF(OR($B27="",$E27&lt;&gt;"Có"),0,MIN($P27,$O27))</f>
        <v/>
      </c>
      <c r="R27" s="224">
        <f>IF(OR($B27="",$E27&lt;&gt;"Có"),0,MAX($P27-$O27,0))</f>
        <v/>
      </c>
      <c r="S27" s="227" t="n"/>
      <c r="T27" s="224">
        <f>IF(OR($B27="",$E27&lt;&gt;"Có",$S27&lt;=0),0,$M27*MAX($S27,2))</f>
        <v/>
      </c>
      <c r="U27" s="222" t="n"/>
      <c r="V27" s="224">
        <f>IF(OR($B27="",$E27&lt;&gt;"Có"),0,MIN($U27,$T27))</f>
        <v/>
      </c>
      <c r="W27" s="224">
        <f>IF(OR($B27="",$E27&lt;&gt;"Có"),0,MAX($U27-$T27,0))</f>
        <v/>
      </c>
      <c r="X27" s="222" t="n"/>
      <c r="Y27" s="222" t="n"/>
      <c r="Z27" s="222" t="n"/>
      <c r="AA27" s="222" t="n"/>
      <c r="AB27" s="224">
        <f>IF(OR($B27="",$E27&lt;&gt;"Có"),0,SUM($L27,$Q27,$V27,$X27))</f>
        <v/>
      </c>
      <c r="AC27" s="224">
        <f>IF(OR($B27="",$E27&lt;&gt;"Có"),0,SUM($F27,$G27,$R27,$W27,$Y27))</f>
        <v/>
      </c>
      <c r="AD27" s="224">
        <f>IF(OR($B27="",$E27&lt;&gt;"Có"),0,SUM($Z27:$AA27))</f>
        <v/>
      </c>
      <c r="AE27" s="224">
        <f>IF(OR($B27="",$E27&lt;&gt;"Có"),0,$AB27+$AC27-$AD27)</f>
        <v/>
      </c>
      <c r="AF27" s="150">
        <f>IF($B27="","",IF(AND($E27="Có",$D27=""),"Thiếu ngày nghỉ; ","")&amp;IF($I27&gt;MAX($H27,0),"Ngày phép thanh toán vượt số còn lại; ","")&amp;IF(AND($I27&gt;0,OR($J27&lt;=0,$K27&lt;=0)),"Thiếu lương/công chuẩn tháng trước; ","")&amp;IF(AND(SUM($N27,$S27)&gt;0,$M27&lt;=0),"Thiếu bình quân lương 06 tháng; ","")&amp;IF($X27&gt;0,"Bồi thường miễn thuế cần căn cứ và hồ sơ; ","")&amp;IF($AE27&lt;0,"Tổng chi thêm âm; ",""))</f>
        <v/>
      </c>
    </row>
    <row r="28">
      <c r="A28" s="145">
        <f>IF('DM_NHAN_SU'!$B28="","",ROW()-5)</f>
        <v/>
      </c>
      <c r="B28" s="145">
        <f>IF('DM_NHAN_SU'!$B28="","",'DM_NHAN_SU'!B28)</f>
        <v/>
      </c>
      <c r="C28" s="145">
        <f>IF('DM_NHAN_SU'!$B28="","",'DM_NHAN_SU'!C28)</f>
        <v/>
      </c>
      <c r="D28" s="234">
        <f>IF(OR('DM_NHAN_SU'!$B28="",'DM_NHAN_SU'!$G28=""),"",'DM_NHAN_SU'!G28)</f>
        <v/>
      </c>
      <c r="E28" s="127" t="n"/>
      <c r="F28" s="222" t="n"/>
      <c r="G28" s="222" t="n"/>
      <c r="H28" s="232">
        <f>IF($B28="","",'NGHI_PHEP'!K28)</f>
        <v/>
      </c>
      <c r="I28" s="227" t="n"/>
      <c r="J28" s="222" t="n"/>
      <c r="K28" s="227" t="n"/>
      <c r="L28" s="224">
        <f>IF(OR($B28="",$E28&lt;&gt;"Có"),0,IF($K28&gt;0,$I28*$J28/$K28,0))</f>
        <v/>
      </c>
      <c r="M28" s="222" t="n"/>
      <c r="N28" s="227" t="n"/>
      <c r="O28" s="224">
        <f>IF(OR($B28="",$E28&lt;&gt;"Có"),0,$M28*$N28*0.5)</f>
        <v/>
      </c>
      <c r="P28" s="222" t="n"/>
      <c r="Q28" s="224">
        <f>IF(OR($B28="",$E28&lt;&gt;"Có"),0,MIN($P28,$O28))</f>
        <v/>
      </c>
      <c r="R28" s="224">
        <f>IF(OR($B28="",$E28&lt;&gt;"Có"),0,MAX($P28-$O28,0))</f>
        <v/>
      </c>
      <c r="S28" s="227" t="n"/>
      <c r="T28" s="224">
        <f>IF(OR($B28="",$E28&lt;&gt;"Có",$S28&lt;=0),0,$M28*MAX($S28,2))</f>
        <v/>
      </c>
      <c r="U28" s="222" t="n"/>
      <c r="V28" s="224">
        <f>IF(OR($B28="",$E28&lt;&gt;"Có"),0,MIN($U28,$T28))</f>
        <v/>
      </c>
      <c r="W28" s="224">
        <f>IF(OR($B28="",$E28&lt;&gt;"Có"),0,MAX($U28-$T28,0))</f>
        <v/>
      </c>
      <c r="X28" s="222" t="n"/>
      <c r="Y28" s="222" t="n"/>
      <c r="Z28" s="222" t="n"/>
      <c r="AA28" s="222" t="n"/>
      <c r="AB28" s="224">
        <f>IF(OR($B28="",$E28&lt;&gt;"Có"),0,SUM($L28,$Q28,$V28,$X28))</f>
        <v/>
      </c>
      <c r="AC28" s="224">
        <f>IF(OR($B28="",$E28&lt;&gt;"Có"),0,SUM($F28,$G28,$R28,$W28,$Y28))</f>
        <v/>
      </c>
      <c r="AD28" s="224">
        <f>IF(OR($B28="",$E28&lt;&gt;"Có"),0,SUM($Z28:$AA28))</f>
        <v/>
      </c>
      <c r="AE28" s="224">
        <f>IF(OR($B28="",$E28&lt;&gt;"Có"),0,$AB28+$AC28-$AD28)</f>
        <v/>
      </c>
      <c r="AF28" s="150">
        <f>IF($B28="","",IF(AND($E28="Có",$D28=""),"Thiếu ngày nghỉ; ","")&amp;IF($I28&gt;MAX($H28,0),"Ngày phép thanh toán vượt số còn lại; ","")&amp;IF(AND($I28&gt;0,OR($J28&lt;=0,$K28&lt;=0)),"Thiếu lương/công chuẩn tháng trước; ","")&amp;IF(AND(SUM($N28,$S28)&gt;0,$M28&lt;=0),"Thiếu bình quân lương 06 tháng; ","")&amp;IF($X28&gt;0,"Bồi thường miễn thuế cần căn cứ và hồ sơ; ","")&amp;IF($AE28&lt;0,"Tổng chi thêm âm; ",""))</f>
        <v/>
      </c>
    </row>
    <row r="29">
      <c r="A29" s="145">
        <f>IF('DM_NHAN_SU'!$B29="","",ROW()-5)</f>
        <v/>
      </c>
      <c r="B29" s="145">
        <f>IF('DM_NHAN_SU'!$B29="","",'DM_NHAN_SU'!B29)</f>
        <v/>
      </c>
      <c r="C29" s="145">
        <f>IF('DM_NHAN_SU'!$B29="","",'DM_NHAN_SU'!C29)</f>
        <v/>
      </c>
      <c r="D29" s="234">
        <f>IF(OR('DM_NHAN_SU'!$B29="",'DM_NHAN_SU'!$G29=""),"",'DM_NHAN_SU'!G29)</f>
        <v/>
      </c>
      <c r="E29" s="127" t="n"/>
      <c r="F29" s="222" t="n"/>
      <c r="G29" s="222" t="n"/>
      <c r="H29" s="232">
        <f>IF($B29="","",'NGHI_PHEP'!K29)</f>
        <v/>
      </c>
      <c r="I29" s="227" t="n"/>
      <c r="J29" s="222" t="n"/>
      <c r="K29" s="227" t="n"/>
      <c r="L29" s="224">
        <f>IF(OR($B29="",$E29&lt;&gt;"Có"),0,IF($K29&gt;0,$I29*$J29/$K29,0))</f>
        <v/>
      </c>
      <c r="M29" s="222" t="n"/>
      <c r="N29" s="227" t="n"/>
      <c r="O29" s="224">
        <f>IF(OR($B29="",$E29&lt;&gt;"Có"),0,$M29*$N29*0.5)</f>
        <v/>
      </c>
      <c r="P29" s="222" t="n"/>
      <c r="Q29" s="224">
        <f>IF(OR($B29="",$E29&lt;&gt;"Có"),0,MIN($P29,$O29))</f>
        <v/>
      </c>
      <c r="R29" s="224">
        <f>IF(OR($B29="",$E29&lt;&gt;"Có"),0,MAX($P29-$O29,0))</f>
        <v/>
      </c>
      <c r="S29" s="227" t="n"/>
      <c r="T29" s="224">
        <f>IF(OR($B29="",$E29&lt;&gt;"Có",$S29&lt;=0),0,$M29*MAX($S29,2))</f>
        <v/>
      </c>
      <c r="U29" s="222" t="n"/>
      <c r="V29" s="224">
        <f>IF(OR($B29="",$E29&lt;&gt;"Có"),0,MIN($U29,$T29))</f>
        <v/>
      </c>
      <c r="W29" s="224">
        <f>IF(OR($B29="",$E29&lt;&gt;"Có"),0,MAX($U29-$T29,0))</f>
        <v/>
      </c>
      <c r="X29" s="222" t="n"/>
      <c r="Y29" s="222" t="n"/>
      <c r="Z29" s="222" t="n"/>
      <c r="AA29" s="222" t="n"/>
      <c r="AB29" s="224">
        <f>IF(OR($B29="",$E29&lt;&gt;"Có"),0,SUM($L29,$Q29,$V29,$X29))</f>
        <v/>
      </c>
      <c r="AC29" s="224">
        <f>IF(OR($B29="",$E29&lt;&gt;"Có"),0,SUM($F29,$G29,$R29,$W29,$Y29))</f>
        <v/>
      </c>
      <c r="AD29" s="224">
        <f>IF(OR($B29="",$E29&lt;&gt;"Có"),0,SUM($Z29:$AA29))</f>
        <v/>
      </c>
      <c r="AE29" s="224">
        <f>IF(OR($B29="",$E29&lt;&gt;"Có"),0,$AB29+$AC29-$AD29)</f>
        <v/>
      </c>
      <c r="AF29" s="150">
        <f>IF($B29="","",IF(AND($E29="Có",$D29=""),"Thiếu ngày nghỉ; ","")&amp;IF($I29&gt;MAX($H29,0),"Ngày phép thanh toán vượt số còn lại; ","")&amp;IF(AND($I29&gt;0,OR($J29&lt;=0,$K29&lt;=0)),"Thiếu lương/công chuẩn tháng trước; ","")&amp;IF(AND(SUM($N29,$S29)&gt;0,$M29&lt;=0),"Thiếu bình quân lương 06 tháng; ","")&amp;IF($X29&gt;0,"Bồi thường miễn thuế cần căn cứ và hồ sơ; ","")&amp;IF($AE29&lt;0,"Tổng chi thêm âm; ",""))</f>
        <v/>
      </c>
    </row>
    <row r="30">
      <c r="A30" s="145">
        <f>IF('DM_NHAN_SU'!$B30="","",ROW()-5)</f>
        <v/>
      </c>
      <c r="B30" s="145">
        <f>IF('DM_NHAN_SU'!$B30="","",'DM_NHAN_SU'!B30)</f>
        <v/>
      </c>
      <c r="C30" s="145">
        <f>IF('DM_NHAN_SU'!$B30="","",'DM_NHAN_SU'!C30)</f>
        <v/>
      </c>
      <c r="D30" s="234">
        <f>IF(OR('DM_NHAN_SU'!$B30="",'DM_NHAN_SU'!$G30=""),"",'DM_NHAN_SU'!G30)</f>
        <v/>
      </c>
      <c r="E30" s="127" t="n"/>
      <c r="F30" s="222" t="n"/>
      <c r="G30" s="222" t="n"/>
      <c r="H30" s="232">
        <f>IF($B30="","",'NGHI_PHEP'!K30)</f>
        <v/>
      </c>
      <c r="I30" s="227" t="n"/>
      <c r="J30" s="222" t="n"/>
      <c r="K30" s="227" t="n"/>
      <c r="L30" s="224">
        <f>IF(OR($B30="",$E30&lt;&gt;"Có"),0,IF($K30&gt;0,$I30*$J30/$K30,0))</f>
        <v/>
      </c>
      <c r="M30" s="222" t="n"/>
      <c r="N30" s="227" t="n"/>
      <c r="O30" s="224">
        <f>IF(OR($B30="",$E30&lt;&gt;"Có"),0,$M30*$N30*0.5)</f>
        <v/>
      </c>
      <c r="P30" s="222" t="n"/>
      <c r="Q30" s="224">
        <f>IF(OR($B30="",$E30&lt;&gt;"Có"),0,MIN($P30,$O30))</f>
        <v/>
      </c>
      <c r="R30" s="224">
        <f>IF(OR($B30="",$E30&lt;&gt;"Có"),0,MAX($P30-$O30,0))</f>
        <v/>
      </c>
      <c r="S30" s="227" t="n"/>
      <c r="T30" s="224">
        <f>IF(OR($B30="",$E30&lt;&gt;"Có",$S30&lt;=0),0,$M30*MAX($S30,2))</f>
        <v/>
      </c>
      <c r="U30" s="222" t="n"/>
      <c r="V30" s="224">
        <f>IF(OR($B30="",$E30&lt;&gt;"Có"),0,MIN($U30,$T30))</f>
        <v/>
      </c>
      <c r="W30" s="224">
        <f>IF(OR($B30="",$E30&lt;&gt;"Có"),0,MAX($U30-$T30,0))</f>
        <v/>
      </c>
      <c r="X30" s="222" t="n"/>
      <c r="Y30" s="222" t="n"/>
      <c r="Z30" s="222" t="n"/>
      <c r="AA30" s="222" t="n"/>
      <c r="AB30" s="224">
        <f>IF(OR($B30="",$E30&lt;&gt;"Có"),0,SUM($L30,$Q30,$V30,$X30))</f>
        <v/>
      </c>
      <c r="AC30" s="224">
        <f>IF(OR($B30="",$E30&lt;&gt;"Có"),0,SUM($F30,$G30,$R30,$W30,$Y30))</f>
        <v/>
      </c>
      <c r="AD30" s="224">
        <f>IF(OR($B30="",$E30&lt;&gt;"Có"),0,SUM($Z30:$AA30))</f>
        <v/>
      </c>
      <c r="AE30" s="224">
        <f>IF(OR($B30="",$E30&lt;&gt;"Có"),0,$AB30+$AC30-$AD30)</f>
        <v/>
      </c>
      <c r="AF30" s="150">
        <f>IF($B30="","",IF(AND($E30="Có",$D30=""),"Thiếu ngày nghỉ; ","")&amp;IF($I30&gt;MAX($H30,0),"Ngày phép thanh toán vượt số còn lại; ","")&amp;IF(AND($I30&gt;0,OR($J30&lt;=0,$K30&lt;=0)),"Thiếu lương/công chuẩn tháng trước; ","")&amp;IF(AND(SUM($N30,$S30)&gt;0,$M30&lt;=0),"Thiếu bình quân lương 06 tháng; ","")&amp;IF($X30&gt;0,"Bồi thường miễn thuế cần căn cứ và hồ sơ; ","")&amp;IF($AE30&lt;0,"Tổng chi thêm âm; ",""))</f>
        <v/>
      </c>
    </row>
    <row r="31">
      <c r="A31" s="145">
        <f>IF('DM_NHAN_SU'!$B31="","",ROW()-5)</f>
        <v/>
      </c>
      <c r="B31" s="145">
        <f>IF('DM_NHAN_SU'!$B31="","",'DM_NHAN_SU'!B31)</f>
        <v/>
      </c>
      <c r="C31" s="145">
        <f>IF('DM_NHAN_SU'!$B31="","",'DM_NHAN_SU'!C31)</f>
        <v/>
      </c>
      <c r="D31" s="234">
        <f>IF(OR('DM_NHAN_SU'!$B31="",'DM_NHAN_SU'!$G31=""),"",'DM_NHAN_SU'!G31)</f>
        <v/>
      </c>
      <c r="E31" s="127" t="n"/>
      <c r="F31" s="222" t="n"/>
      <c r="G31" s="222" t="n"/>
      <c r="H31" s="232">
        <f>IF($B31="","",'NGHI_PHEP'!K31)</f>
        <v/>
      </c>
      <c r="I31" s="227" t="n"/>
      <c r="J31" s="222" t="n"/>
      <c r="K31" s="227" t="n"/>
      <c r="L31" s="224">
        <f>IF(OR($B31="",$E31&lt;&gt;"Có"),0,IF($K31&gt;0,$I31*$J31/$K31,0))</f>
        <v/>
      </c>
      <c r="M31" s="222" t="n"/>
      <c r="N31" s="227" t="n"/>
      <c r="O31" s="224">
        <f>IF(OR($B31="",$E31&lt;&gt;"Có"),0,$M31*$N31*0.5)</f>
        <v/>
      </c>
      <c r="P31" s="222" t="n"/>
      <c r="Q31" s="224">
        <f>IF(OR($B31="",$E31&lt;&gt;"Có"),0,MIN($P31,$O31))</f>
        <v/>
      </c>
      <c r="R31" s="224">
        <f>IF(OR($B31="",$E31&lt;&gt;"Có"),0,MAX($P31-$O31,0))</f>
        <v/>
      </c>
      <c r="S31" s="227" t="n"/>
      <c r="T31" s="224">
        <f>IF(OR($B31="",$E31&lt;&gt;"Có",$S31&lt;=0),0,$M31*MAX($S31,2))</f>
        <v/>
      </c>
      <c r="U31" s="222" t="n"/>
      <c r="V31" s="224">
        <f>IF(OR($B31="",$E31&lt;&gt;"Có"),0,MIN($U31,$T31))</f>
        <v/>
      </c>
      <c r="W31" s="224">
        <f>IF(OR($B31="",$E31&lt;&gt;"Có"),0,MAX($U31-$T31,0))</f>
        <v/>
      </c>
      <c r="X31" s="222" t="n"/>
      <c r="Y31" s="222" t="n"/>
      <c r="Z31" s="222" t="n"/>
      <c r="AA31" s="222" t="n"/>
      <c r="AB31" s="224">
        <f>IF(OR($B31="",$E31&lt;&gt;"Có"),0,SUM($L31,$Q31,$V31,$X31))</f>
        <v/>
      </c>
      <c r="AC31" s="224">
        <f>IF(OR($B31="",$E31&lt;&gt;"Có"),0,SUM($F31,$G31,$R31,$W31,$Y31))</f>
        <v/>
      </c>
      <c r="AD31" s="224">
        <f>IF(OR($B31="",$E31&lt;&gt;"Có"),0,SUM($Z31:$AA31))</f>
        <v/>
      </c>
      <c r="AE31" s="224">
        <f>IF(OR($B31="",$E31&lt;&gt;"Có"),0,$AB31+$AC31-$AD31)</f>
        <v/>
      </c>
      <c r="AF31" s="150">
        <f>IF($B31="","",IF(AND($E31="Có",$D31=""),"Thiếu ngày nghỉ; ","")&amp;IF($I31&gt;MAX($H31,0),"Ngày phép thanh toán vượt số còn lại; ","")&amp;IF(AND($I31&gt;0,OR($J31&lt;=0,$K31&lt;=0)),"Thiếu lương/công chuẩn tháng trước; ","")&amp;IF(AND(SUM($N31,$S31)&gt;0,$M31&lt;=0),"Thiếu bình quân lương 06 tháng; ","")&amp;IF($X31&gt;0,"Bồi thường miễn thuế cần căn cứ và hồ sơ; ","")&amp;IF($AE31&lt;0,"Tổng chi thêm âm; ",""))</f>
        <v/>
      </c>
    </row>
    <row r="32">
      <c r="A32" s="145">
        <f>IF('DM_NHAN_SU'!$B32="","",ROW()-5)</f>
        <v/>
      </c>
      <c r="B32" s="145">
        <f>IF('DM_NHAN_SU'!$B32="","",'DM_NHAN_SU'!B32)</f>
        <v/>
      </c>
      <c r="C32" s="145">
        <f>IF('DM_NHAN_SU'!$B32="","",'DM_NHAN_SU'!C32)</f>
        <v/>
      </c>
      <c r="D32" s="234">
        <f>IF(OR('DM_NHAN_SU'!$B32="",'DM_NHAN_SU'!$G32=""),"",'DM_NHAN_SU'!G32)</f>
        <v/>
      </c>
      <c r="E32" s="127" t="n"/>
      <c r="F32" s="222" t="n"/>
      <c r="G32" s="222" t="n"/>
      <c r="H32" s="232">
        <f>IF($B32="","",'NGHI_PHEP'!K32)</f>
        <v/>
      </c>
      <c r="I32" s="227" t="n"/>
      <c r="J32" s="222" t="n"/>
      <c r="K32" s="227" t="n"/>
      <c r="L32" s="224">
        <f>IF(OR($B32="",$E32&lt;&gt;"Có"),0,IF($K32&gt;0,$I32*$J32/$K32,0))</f>
        <v/>
      </c>
      <c r="M32" s="222" t="n"/>
      <c r="N32" s="227" t="n"/>
      <c r="O32" s="224">
        <f>IF(OR($B32="",$E32&lt;&gt;"Có"),0,$M32*$N32*0.5)</f>
        <v/>
      </c>
      <c r="P32" s="222" t="n"/>
      <c r="Q32" s="224">
        <f>IF(OR($B32="",$E32&lt;&gt;"Có"),0,MIN($P32,$O32))</f>
        <v/>
      </c>
      <c r="R32" s="224">
        <f>IF(OR($B32="",$E32&lt;&gt;"Có"),0,MAX($P32-$O32,0))</f>
        <v/>
      </c>
      <c r="S32" s="227" t="n"/>
      <c r="T32" s="224">
        <f>IF(OR($B32="",$E32&lt;&gt;"Có",$S32&lt;=0),0,$M32*MAX($S32,2))</f>
        <v/>
      </c>
      <c r="U32" s="222" t="n"/>
      <c r="V32" s="224">
        <f>IF(OR($B32="",$E32&lt;&gt;"Có"),0,MIN($U32,$T32))</f>
        <v/>
      </c>
      <c r="W32" s="224">
        <f>IF(OR($B32="",$E32&lt;&gt;"Có"),0,MAX($U32-$T32,0))</f>
        <v/>
      </c>
      <c r="X32" s="222" t="n"/>
      <c r="Y32" s="222" t="n"/>
      <c r="Z32" s="222" t="n"/>
      <c r="AA32" s="222" t="n"/>
      <c r="AB32" s="224">
        <f>IF(OR($B32="",$E32&lt;&gt;"Có"),0,SUM($L32,$Q32,$V32,$X32))</f>
        <v/>
      </c>
      <c r="AC32" s="224">
        <f>IF(OR($B32="",$E32&lt;&gt;"Có"),0,SUM($F32,$G32,$R32,$W32,$Y32))</f>
        <v/>
      </c>
      <c r="AD32" s="224">
        <f>IF(OR($B32="",$E32&lt;&gt;"Có"),0,SUM($Z32:$AA32))</f>
        <v/>
      </c>
      <c r="AE32" s="224">
        <f>IF(OR($B32="",$E32&lt;&gt;"Có"),0,$AB32+$AC32-$AD32)</f>
        <v/>
      </c>
      <c r="AF32" s="150">
        <f>IF($B32="","",IF(AND($E32="Có",$D32=""),"Thiếu ngày nghỉ; ","")&amp;IF($I32&gt;MAX($H32,0),"Ngày phép thanh toán vượt số còn lại; ","")&amp;IF(AND($I32&gt;0,OR($J32&lt;=0,$K32&lt;=0)),"Thiếu lương/công chuẩn tháng trước; ","")&amp;IF(AND(SUM($N32,$S32)&gt;0,$M32&lt;=0),"Thiếu bình quân lương 06 tháng; ","")&amp;IF($X32&gt;0,"Bồi thường miễn thuế cần căn cứ và hồ sơ; ","")&amp;IF($AE32&lt;0,"Tổng chi thêm âm; ",""))</f>
        <v/>
      </c>
    </row>
    <row r="33">
      <c r="A33" s="145">
        <f>IF('DM_NHAN_SU'!$B33="","",ROW()-5)</f>
        <v/>
      </c>
      <c r="B33" s="145">
        <f>IF('DM_NHAN_SU'!$B33="","",'DM_NHAN_SU'!B33)</f>
        <v/>
      </c>
      <c r="C33" s="145">
        <f>IF('DM_NHAN_SU'!$B33="","",'DM_NHAN_SU'!C33)</f>
        <v/>
      </c>
      <c r="D33" s="234">
        <f>IF(OR('DM_NHAN_SU'!$B33="",'DM_NHAN_SU'!$G33=""),"",'DM_NHAN_SU'!G33)</f>
        <v/>
      </c>
      <c r="E33" s="127" t="n"/>
      <c r="F33" s="222" t="n"/>
      <c r="G33" s="222" t="n"/>
      <c r="H33" s="232">
        <f>IF($B33="","",'NGHI_PHEP'!K33)</f>
        <v/>
      </c>
      <c r="I33" s="227" t="n"/>
      <c r="J33" s="222" t="n"/>
      <c r="K33" s="227" t="n"/>
      <c r="L33" s="224">
        <f>IF(OR($B33="",$E33&lt;&gt;"Có"),0,IF($K33&gt;0,$I33*$J33/$K33,0))</f>
        <v/>
      </c>
      <c r="M33" s="222" t="n"/>
      <c r="N33" s="227" t="n"/>
      <c r="O33" s="224">
        <f>IF(OR($B33="",$E33&lt;&gt;"Có"),0,$M33*$N33*0.5)</f>
        <v/>
      </c>
      <c r="P33" s="222" t="n"/>
      <c r="Q33" s="224">
        <f>IF(OR($B33="",$E33&lt;&gt;"Có"),0,MIN($P33,$O33))</f>
        <v/>
      </c>
      <c r="R33" s="224">
        <f>IF(OR($B33="",$E33&lt;&gt;"Có"),0,MAX($P33-$O33,0))</f>
        <v/>
      </c>
      <c r="S33" s="227" t="n"/>
      <c r="T33" s="224">
        <f>IF(OR($B33="",$E33&lt;&gt;"Có",$S33&lt;=0),0,$M33*MAX($S33,2))</f>
        <v/>
      </c>
      <c r="U33" s="222" t="n"/>
      <c r="V33" s="224">
        <f>IF(OR($B33="",$E33&lt;&gt;"Có"),0,MIN($U33,$T33))</f>
        <v/>
      </c>
      <c r="W33" s="224">
        <f>IF(OR($B33="",$E33&lt;&gt;"Có"),0,MAX($U33-$T33,0))</f>
        <v/>
      </c>
      <c r="X33" s="222" t="n"/>
      <c r="Y33" s="222" t="n"/>
      <c r="Z33" s="222" t="n"/>
      <c r="AA33" s="222" t="n"/>
      <c r="AB33" s="224">
        <f>IF(OR($B33="",$E33&lt;&gt;"Có"),0,SUM($L33,$Q33,$V33,$X33))</f>
        <v/>
      </c>
      <c r="AC33" s="224">
        <f>IF(OR($B33="",$E33&lt;&gt;"Có"),0,SUM($F33,$G33,$R33,$W33,$Y33))</f>
        <v/>
      </c>
      <c r="AD33" s="224">
        <f>IF(OR($B33="",$E33&lt;&gt;"Có"),0,SUM($Z33:$AA33))</f>
        <v/>
      </c>
      <c r="AE33" s="224">
        <f>IF(OR($B33="",$E33&lt;&gt;"Có"),0,$AB33+$AC33-$AD33)</f>
        <v/>
      </c>
      <c r="AF33" s="150">
        <f>IF($B33="","",IF(AND($E33="Có",$D33=""),"Thiếu ngày nghỉ; ","")&amp;IF($I33&gt;MAX($H33,0),"Ngày phép thanh toán vượt số còn lại; ","")&amp;IF(AND($I33&gt;0,OR($J33&lt;=0,$K33&lt;=0)),"Thiếu lương/công chuẩn tháng trước; ","")&amp;IF(AND(SUM($N33,$S33)&gt;0,$M33&lt;=0),"Thiếu bình quân lương 06 tháng; ","")&amp;IF($X33&gt;0,"Bồi thường miễn thuế cần căn cứ và hồ sơ; ","")&amp;IF($AE33&lt;0,"Tổng chi thêm âm; ",""))</f>
        <v/>
      </c>
    </row>
    <row r="34">
      <c r="A34" s="145">
        <f>IF('DM_NHAN_SU'!$B34="","",ROW()-5)</f>
        <v/>
      </c>
      <c r="B34" s="145">
        <f>IF('DM_NHAN_SU'!$B34="","",'DM_NHAN_SU'!B34)</f>
        <v/>
      </c>
      <c r="C34" s="145">
        <f>IF('DM_NHAN_SU'!$B34="","",'DM_NHAN_SU'!C34)</f>
        <v/>
      </c>
      <c r="D34" s="234">
        <f>IF(OR('DM_NHAN_SU'!$B34="",'DM_NHAN_SU'!$G34=""),"",'DM_NHAN_SU'!G34)</f>
        <v/>
      </c>
      <c r="E34" s="127" t="n"/>
      <c r="F34" s="222" t="n"/>
      <c r="G34" s="222" t="n"/>
      <c r="H34" s="232">
        <f>IF($B34="","",'NGHI_PHEP'!K34)</f>
        <v/>
      </c>
      <c r="I34" s="227" t="n"/>
      <c r="J34" s="222" t="n"/>
      <c r="K34" s="227" t="n"/>
      <c r="L34" s="224">
        <f>IF(OR($B34="",$E34&lt;&gt;"Có"),0,IF($K34&gt;0,$I34*$J34/$K34,0))</f>
        <v/>
      </c>
      <c r="M34" s="222" t="n"/>
      <c r="N34" s="227" t="n"/>
      <c r="O34" s="224">
        <f>IF(OR($B34="",$E34&lt;&gt;"Có"),0,$M34*$N34*0.5)</f>
        <v/>
      </c>
      <c r="P34" s="222" t="n"/>
      <c r="Q34" s="224">
        <f>IF(OR($B34="",$E34&lt;&gt;"Có"),0,MIN($P34,$O34))</f>
        <v/>
      </c>
      <c r="R34" s="224">
        <f>IF(OR($B34="",$E34&lt;&gt;"Có"),0,MAX($P34-$O34,0))</f>
        <v/>
      </c>
      <c r="S34" s="227" t="n"/>
      <c r="T34" s="224">
        <f>IF(OR($B34="",$E34&lt;&gt;"Có",$S34&lt;=0),0,$M34*MAX($S34,2))</f>
        <v/>
      </c>
      <c r="U34" s="222" t="n"/>
      <c r="V34" s="224">
        <f>IF(OR($B34="",$E34&lt;&gt;"Có"),0,MIN($U34,$T34))</f>
        <v/>
      </c>
      <c r="W34" s="224">
        <f>IF(OR($B34="",$E34&lt;&gt;"Có"),0,MAX($U34-$T34,0))</f>
        <v/>
      </c>
      <c r="X34" s="222" t="n"/>
      <c r="Y34" s="222" t="n"/>
      <c r="Z34" s="222" t="n"/>
      <c r="AA34" s="222" t="n"/>
      <c r="AB34" s="224">
        <f>IF(OR($B34="",$E34&lt;&gt;"Có"),0,SUM($L34,$Q34,$V34,$X34))</f>
        <v/>
      </c>
      <c r="AC34" s="224">
        <f>IF(OR($B34="",$E34&lt;&gt;"Có"),0,SUM($F34,$G34,$R34,$W34,$Y34))</f>
        <v/>
      </c>
      <c r="AD34" s="224">
        <f>IF(OR($B34="",$E34&lt;&gt;"Có"),0,SUM($Z34:$AA34))</f>
        <v/>
      </c>
      <c r="AE34" s="224">
        <f>IF(OR($B34="",$E34&lt;&gt;"Có"),0,$AB34+$AC34-$AD34)</f>
        <v/>
      </c>
      <c r="AF34" s="150">
        <f>IF($B34="","",IF(AND($E34="Có",$D34=""),"Thiếu ngày nghỉ; ","")&amp;IF($I34&gt;MAX($H34,0),"Ngày phép thanh toán vượt số còn lại; ","")&amp;IF(AND($I34&gt;0,OR($J34&lt;=0,$K34&lt;=0)),"Thiếu lương/công chuẩn tháng trước; ","")&amp;IF(AND(SUM($N34,$S34)&gt;0,$M34&lt;=0),"Thiếu bình quân lương 06 tháng; ","")&amp;IF($X34&gt;0,"Bồi thường miễn thuế cần căn cứ và hồ sơ; ","")&amp;IF($AE34&lt;0,"Tổng chi thêm âm; ",""))</f>
        <v/>
      </c>
    </row>
    <row r="35">
      <c r="A35" s="145">
        <f>IF('DM_NHAN_SU'!$B35="","",ROW()-5)</f>
        <v/>
      </c>
      <c r="B35" s="145">
        <f>IF('DM_NHAN_SU'!$B35="","",'DM_NHAN_SU'!B35)</f>
        <v/>
      </c>
      <c r="C35" s="145">
        <f>IF('DM_NHAN_SU'!$B35="","",'DM_NHAN_SU'!C35)</f>
        <v/>
      </c>
      <c r="D35" s="234">
        <f>IF(OR('DM_NHAN_SU'!$B35="",'DM_NHAN_SU'!$G35=""),"",'DM_NHAN_SU'!G35)</f>
        <v/>
      </c>
      <c r="E35" s="127" t="n"/>
      <c r="F35" s="222" t="n"/>
      <c r="G35" s="222" t="n"/>
      <c r="H35" s="232">
        <f>IF($B35="","",'NGHI_PHEP'!K35)</f>
        <v/>
      </c>
      <c r="I35" s="227" t="n"/>
      <c r="J35" s="222" t="n"/>
      <c r="K35" s="227" t="n"/>
      <c r="L35" s="224">
        <f>IF(OR($B35="",$E35&lt;&gt;"Có"),0,IF($K35&gt;0,$I35*$J35/$K35,0))</f>
        <v/>
      </c>
      <c r="M35" s="222" t="n"/>
      <c r="N35" s="227" t="n"/>
      <c r="O35" s="224">
        <f>IF(OR($B35="",$E35&lt;&gt;"Có"),0,$M35*$N35*0.5)</f>
        <v/>
      </c>
      <c r="P35" s="222" t="n"/>
      <c r="Q35" s="224">
        <f>IF(OR($B35="",$E35&lt;&gt;"Có"),0,MIN($P35,$O35))</f>
        <v/>
      </c>
      <c r="R35" s="224">
        <f>IF(OR($B35="",$E35&lt;&gt;"Có"),0,MAX($P35-$O35,0))</f>
        <v/>
      </c>
      <c r="S35" s="227" t="n"/>
      <c r="T35" s="224">
        <f>IF(OR($B35="",$E35&lt;&gt;"Có",$S35&lt;=0),0,$M35*MAX($S35,2))</f>
        <v/>
      </c>
      <c r="U35" s="222" t="n"/>
      <c r="V35" s="224">
        <f>IF(OR($B35="",$E35&lt;&gt;"Có"),0,MIN($U35,$T35))</f>
        <v/>
      </c>
      <c r="W35" s="224">
        <f>IF(OR($B35="",$E35&lt;&gt;"Có"),0,MAX($U35-$T35,0))</f>
        <v/>
      </c>
      <c r="X35" s="222" t="n"/>
      <c r="Y35" s="222" t="n"/>
      <c r="Z35" s="222" t="n"/>
      <c r="AA35" s="222" t="n"/>
      <c r="AB35" s="224">
        <f>IF(OR($B35="",$E35&lt;&gt;"Có"),0,SUM($L35,$Q35,$V35,$X35))</f>
        <v/>
      </c>
      <c r="AC35" s="224">
        <f>IF(OR($B35="",$E35&lt;&gt;"Có"),0,SUM($F35,$G35,$R35,$W35,$Y35))</f>
        <v/>
      </c>
      <c r="AD35" s="224">
        <f>IF(OR($B35="",$E35&lt;&gt;"Có"),0,SUM($Z35:$AA35))</f>
        <v/>
      </c>
      <c r="AE35" s="224">
        <f>IF(OR($B35="",$E35&lt;&gt;"Có"),0,$AB35+$AC35-$AD35)</f>
        <v/>
      </c>
      <c r="AF35" s="150">
        <f>IF($B35="","",IF(AND($E35="Có",$D35=""),"Thiếu ngày nghỉ; ","")&amp;IF($I35&gt;MAX($H35,0),"Ngày phép thanh toán vượt số còn lại; ","")&amp;IF(AND($I35&gt;0,OR($J35&lt;=0,$K35&lt;=0)),"Thiếu lương/công chuẩn tháng trước; ","")&amp;IF(AND(SUM($N35,$S35)&gt;0,$M35&lt;=0),"Thiếu bình quân lương 06 tháng; ","")&amp;IF($X35&gt;0,"Bồi thường miễn thuế cần căn cứ và hồ sơ; ","")&amp;IF($AE35&lt;0,"Tổng chi thêm âm; ",""))</f>
        <v/>
      </c>
    </row>
    <row r="36">
      <c r="A36" s="145">
        <f>IF('DM_NHAN_SU'!$B36="","",ROW()-5)</f>
        <v/>
      </c>
      <c r="B36" s="145">
        <f>IF('DM_NHAN_SU'!$B36="","",'DM_NHAN_SU'!B36)</f>
        <v/>
      </c>
      <c r="C36" s="145">
        <f>IF('DM_NHAN_SU'!$B36="","",'DM_NHAN_SU'!C36)</f>
        <v/>
      </c>
      <c r="D36" s="234">
        <f>IF(OR('DM_NHAN_SU'!$B36="",'DM_NHAN_SU'!$G36=""),"",'DM_NHAN_SU'!G36)</f>
        <v/>
      </c>
      <c r="E36" s="127" t="n"/>
      <c r="F36" s="222" t="n"/>
      <c r="G36" s="222" t="n"/>
      <c r="H36" s="232">
        <f>IF($B36="","",'NGHI_PHEP'!K36)</f>
        <v/>
      </c>
      <c r="I36" s="227" t="n"/>
      <c r="J36" s="222" t="n"/>
      <c r="K36" s="227" t="n"/>
      <c r="L36" s="224">
        <f>IF(OR($B36="",$E36&lt;&gt;"Có"),0,IF($K36&gt;0,$I36*$J36/$K36,0))</f>
        <v/>
      </c>
      <c r="M36" s="222" t="n"/>
      <c r="N36" s="227" t="n"/>
      <c r="O36" s="224">
        <f>IF(OR($B36="",$E36&lt;&gt;"Có"),0,$M36*$N36*0.5)</f>
        <v/>
      </c>
      <c r="P36" s="222" t="n"/>
      <c r="Q36" s="224">
        <f>IF(OR($B36="",$E36&lt;&gt;"Có"),0,MIN($P36,$O36))</f>
        <v/>
      </c>
      <c r="R36" s="224">
        <f>IF(OR($B36="",$E36&lt;&gt;"Có"),0,MAX($P36-$O36,0))</f>
        <v/>
      </c>
      <c r="S36" s="227" t="n"/>
      <c r="T36" s="224">
        <f>IF(OR($B36="",$E36&lt;&gt;"Có",$S36&lt;=0),0,$M36*MAX($S36,2))</f>
        <v/>
      </c>
      <c r="U36" s="222" t="n"/>
      <c r="V36" s="224">
        <f>IF(OR($B36="",$E36&lt;&gt;"Có"),0,MIN($U36,$T36))</f>
        <v/>
      </c>
      <c r="W36" s="224">
        <f>IF(OR($B36="",$E36&lt;&gt;"Có"),0,MAX($U36-$T36,0))</f>
        <v/>
      </c>
      <c r="X36" s="222" t="n"/>
      <c r="Y36" s="222" t="n"/>
      <c r="Z36" s="222" t="n"/>
      <c r="AA36" s="222" t="n"/>
      <c r="AB36" s="224">
        <f>IF(OR($B36="",$E36&lt;&gt;"Có"),0,SUM($L36,$Q36,$V36,$X36))</f>
        <v/>
      </c>
      <c r="AC36" s="224">
        <f>IF(OR($B36="",$E36&lt;&gt;"Có"),0,SUM($F36,$G36,$R36,$W36,$Y36))</f>
        <v/>
      </c>
      <c r="AD36" s="224">
        <f>IF(OR($B36="",$E36&lt;&gt;"Có"),0,SUM($Z36:$AA36))</f>
        <v/>
      </c>
      <c r="AE36" s="224">
        <f>IF(OR($B36="",$E36&lt;&gt;"Có"),0,$AB36+$AC36-$AD36)</f>
        <v/>
      </c>
      <c r="AF36" s="150">
        <f>IF($B36="","",IF(AND($E36="Có",$D36=""),"Thiếu ngày nghỉ; ","")&amp;IF($I36&gt;MAX($H36,0),"Ngày phép thanh toán vượt số còn lại; ","")&amp;IF(AND($I36&gt;0,OR($J36&lt;=0,$K36&lt;=0)),"Thiếu lương/công chuẩn tháng trước; ","")&amp;IF(AND(SUM($N36,$S36)&gt;0,$M36&lt;=0),"Thiếu bình quân lương 06 tháng; ","")&amp;IF($X36&gt;0,"Bồi thường miễn thuế cần căn cứ và hồ sơ; ","")&amp;IF($AE36&lt;0,"Tổng chi thêm âm; ",""))</f>
        <v/>
      </c>
    </row>
    <row r="37">
      <c r="A37" s="145">
        <f>IF('DM_NHAN_SU'!$B37="","",ROW()-5)</f>
        <v/>
      </c>
      <c r="B37" s="145">
        <f>IF('DM_NHAN_SU'!$B37="","",'DM_NHAN_SU'!B37)</f>
        <v/>
      </c>
      <c r="C37" s="145">
        <f>IF('DM_NHAN_SU'!$B37="","",'DM_NHAN_SU'!C37)</f>
        <v/>
      </c>
      <c r="D37" s="234">
        <f>IF(OR('DM_NHAN_SU'!$B37="",'DM_NHAN_SU'!$G37=""),"",'DM_NHAN_SU'!G37)</f>
        <v/>
      </c>
      <c r="E37" s="127" t="n"/>
      <c r="F37" s="222" t="n"/>
      <c r="G37" s="222" t="n"/>
      <c r="H37" s="232">
        <f>IF($B37="","",'NGHI_PHEP'!K37)</f>
        <v/>
      </c>
      <c r="I37" s="227" t="n"/>
      <c r="J37" s="222" t="n"/>
      <c r="K37" s="227" t="n"/>
      <c r="L37" s="224">
        <f>IF(OR($B37="",$E37&lt;&gt;"Có"),0,IF($K37&gt;0,$I37*$J37/$K37,0))</f>
        <v/>
      </c>
      <c r="M37" s="222" t="n"/>
      <c r="N37" s="227" t="n"/>
      <c r="O37" s="224">
        <f>IF(OR($B37="",$E37&lt;&gt;"Có"),0,$M37*$N37*0.5)</f>
        <v/>
      </c>
      <c r="P37" s="222" t="n"/>
      <c r="Q37" s="224">
        <f>IF(OR($B37="",$E37&lt;&gt;"Có"),0,MIN($P37,$O37))</f>
        <v/>
      </c>
      <c r="R37" s="224">
        <f>IF(OR($B37="",$E37&lt;&gt;"Có"),0,MAX($P37-$O37,0))</f>
        <v/>
      </c>
      <c r="S37" s="227" t="n"/>
      <c r="T37" s="224">
        <f>IF(OR($B37="",$E37&lt;&gt;"Có",$S37&lt;=0),0,$M37*MAX($S37,2))</f>
        <v/>
      </c>
      <c r="U37" s="222" t="n"/>
      <c r="V37" s="224">
        <f>IF(OR($B37="",$E37&lt;&gt;"Có"),0,MIN($U37,$T37))</f>
        <v/>
      </c>
      <c r="W37" s="224">
        <f>IF(OR($B37="",$E37&lt;&gt;"Có"),0,MAX($U37-$T37,0))</f>
        <v/>
      </c>
      <c r="X37" s="222" t="n"/>
      <c r="Y37" s="222" t="n"/>
      <c r="Z37" s="222" t="n"/>
      <c r="AA37" s="222" t="n"/>
      <c r="AB37" s="224">
        <f>IF(OR($B37="",$E37&lt;&gt;"Có"),0,SUM($L37,$Q37,$V37,$X37))</f>
        <v/>
      </c>
      <c r="AC37" s="224">
        <f>IF(OR($B37="",$E37&lt;&gt;"Có"),0,SUM($F37,$G37,$R37,$W37,$Y37))</f>
        <v/>
      </c>
      <c r="AD37" s="224">
        <f>IF(OR($B37="",$E37&lt;&gt;"Có"),0,SUM($Z37:$AA37))</f>
        <v/>
      </c>
      <c r="AE37" s="224">
        <f>IF(OR($B37="",$E37&lt;&gt;"Có"),0,$AB37+$AC37-$AD37)</f>
        <v/>
      </c>
      <c r="AF37" s="150">
        <f>IF($B37="","",IF(AND($E37="Có",$D37=""),"Thiếu ngày nghỉ; ","")&amp;IF($I37&gt;MAX($H37,0),"Ngày phép thanh toán vượt số còn lại; ","")&amp;IF(AND($I37&gt;0,OR($J37&lt;=0,$K37&lt;=0)),"Thiếu lương/công chuẩn tháng trước; ","")&amp;IF(AND(SUM($N37,$S37)&gt;0,$M37&lt;=0),"Thiếu bình quân lương 06 tháng; ","")&amp;IF($X37&gt;0,"Bồi thường miễn thuế cần căn cứ và hồ sơ; ","")&amp;IF($AE37&lt;0,"Tổng chi thêm âm; ",""))</f>
        <v/>
      </c>
    </row>
    <row r="38">
      <c r="A38" s="145">
        <f>IF('DM_NHAN_SU'!$B38="","",ROW()-5)</f>
        <v/>
      </c>
      <c r="B38" s="145">
        <f>IF('DM_NHAN_SU'!$B38="","",'DM_NHAN_SU'!B38)</f>
        <v/>
      </c>
      <c r="C38" s="145">
        <f>IF('DM_NHAN_SU'!$B38="","",'DM_NHAN_SU'!C38)</f>
        <v/>
      </c>
      <c r="D38" s="234">
        <f>IF(OR('DM_NHAN_SU'!$B38="",'DM_NHAN_SU'!$G38=""),"",'DM_NHAN_SU'!G38)</f>
        <v/>
      </c>
      <c r="E38" s="127" t="n"/>
      <c r="F38" s="222" t="n"/>
      <c r="G38" s="222" t="n"/>
      <c r="H38" s="232">
        <f>IF($B38="","",'NGHI_PHEP'!K38)</f>
        <v/>
      </c>
      <c r="I38" s="227" t="n"/>
      <c r="J38" s="222" t="n"/>
      <c r="K38" s="227" t="n"/>
      <c r="L38" s="224">
        <f>IF(OR($B38="",$E38&lt;&gt;"Có"),0,IF($K38&gt;0,$I38*$J38/$K38,0))</f>
        <v/>
      </c>
      <c r="M38" s="222" t="n"/>
      <c r="N38" s="227" t="n"/>
      <c r="O38" s="224">
        <f>IF(OR($B38="",$E38&lt;&gt;"Có"),0,$M38*$N38*0.5)</f>
        <v/>
      </c>
      <c r="P38" s="222" t="n"/>
      <c r="Q38" s="224">
        <f>IF(OR($B38="",$E38&lt;&gt;"Có"),0,MIN($P38,$O38))</f>
        <v/>
      </c>
      <c r="R38" s="224">
        <f>IF(OR($B38="",$E38&lt;&gt;"Có"),0,MAX($P38-$O38,0))</f>
        <v/>
      </c>
      <c r="S38" s="227" t="n"/>
      <c r="T38" s="224">
        <f>IF(OR($B38="",$E38&lt;&gt;"Có",$S38&lt;=0),0,$M38*MAX($S38,2))</f>
        <v/>
      </c>
      <c r="U38" s="222" t="n"/>
      <c r="V38" s="224">
        <f>IF(OR($B38="",$E38&lt;&gt;"Có"),0,MIN($U38,$T38))</f>
        <v/>
      </c>
      <c r="W38" s="224">
        <f>IF(OR($B38="",$E38&lt;&gt;"Có"),0,MAX($U38-$T38,0))</f>
        <v/>
      </c>
      <c r="X38" s="222" t="n"/>
      <c r="Y38" s="222" t="n"/>
      <c r="Z38" s="222" t="n"/>
      <c r="AA38" s="222" t="n"/>
      <c r="AB38" s="224">
        <f>IF(OR($B38="",$E38&lt;&gt;"Có"),0,SUM($L38,$Q38,$V38,$X38))</f>
        <v/>
      </c>
      <c r="AC38" s="224">
        <f>IF(OR($B38="",$E38&lt;&gt;"Có"),0,SUM($F38,$G38,$R38,$W38,$Y38))</f>
        <v/>
      </c>
      <c r="AD38" s="224">
        <f>IF(OR($B38="",$E38&lt;&gt;"Có"),0,SUM($Z38:$AA38))</f>
        <v/>
      </c>
      <c r="AE38" s="224">
        <f>IF(OR($B38="",$E38&lt;&gt;"Có"),0,$AB38+$AC38-$AD38)</f>
        <v/>
      </c>
      <c r="AF38" s="150">
        <f>IF($B38="","",IF(AND($E38="Có",$D38=""),"Thiếu ngày nghỉ; ","")&amp;IF($I38&gt;MAX($H38,0),"Ngày phép thanh toán vượt số còn lại; ","")&amp;IF(AND($I38&gt;0,OR($J38&lt;=0,$K38&lt;=0)),"Thiếu lương/công chuẩn tháng trước; ","")&amp;IF(AND(SUM($N38,$S38)&gt;0,$M38&lt;=0),"Thiếu bình quân lương 06 tháng; ","")&amp;IF($X38&gt;0,"Bồi thường miễn thuế cần căn cứ và hồ sơ; ","")&amp;IF($AE38&lt;0,"Tổng chi thêm âm; ",""))</f>
        <v/>
      </c>
    </row>
    <row r="39">
      <c r="A39" s="145">
        <f>IF('DM_NHAN_SU'!$B39="","",ROW()-5)</f>
        <v/>
      </c>
      <c r="B39" s="145">
        <f>IF('DM_NHAN_SU'!$B39="","",'DM_NHAN_SU'!B39)</f>
        <v/>
      </c>
      <c r="C39" s="145">
        <f>IF('DM_NHAN_SU'!$B39="","",'DM_NHAN_SU'!C39)</f>
        <v/>
      </c>
      <c r="D39" s="234">
        <f>IF(OR('DM_NHAN_SU'!$B39="",'DM_NHAN_SU'!$G39=""),"",'DM_NHAN_SU'!G39)</f>
        <v/>
      </c>
      <c r="E39" s="127" t="n"/>
      <c r="F39" s="222" t="n"/>
      <c r="G39" s="222" t="n"/>
      <c r="H39" s="232">
        <f>IF($B39="","",'NGHI_PHEP'!K39)</f>
        <v/>
      </c>
      <c r="I39" s="227" t="n"/>
      <c r="J39" s="222" t="n"/>
      <c r="K39" s="227" t="n"/>
      <c r="L39" s="224">
        <f>IF(OR($B39="",$E39&lt;&gt;"Có"),0,IF($K39&gt;0,$I39*$J39/$K39,0))</f>
        <v/>
      </c>
      <c r="M39" s="222" t="n"/>
      <c r="N39" s="227" t="n"/>
      <c r="O39" s="224">
        <f>IF(OR($B39="",$E39&lt;&gt;"Có"),0,$M39*$N39*0.5)</f>
        <v/>
      </c>
      <c r="P39" s="222" t="n"/>
      <c r="Q39" s="224">
        <f>IF(OR($B39="",$E39&lt;&gt;"Có"),0,MIN($P39,$O39))</f>
        <v/>
      </c>
      <c r="R39" s="224">
        <f>IF(OR($B39="",$E39&lt;&gt;"Có"),0,MAX($P39-$O39,0))</f>
        <v/>
      </c>
      <c r="S39" s="227" t="n"/>
      <c r="T39" s="224">
        <f>IF(OR($B39="",$E39&lt;&gt;"Có",$S39&lt;=0),0,$M39*MAX($S39,2))</f>
        <v/>
      </c>
      <c r="U39" s="222" t="n"/>
      <c r="V39" s="224">
        <f>IF(OR($B39="",$E39&lt;&gt;"Có"),0,MIN($U39,$T39))</f>
        <v/>
      </c>
      <c r="W39" s="224">
        <f>IF(OR($B39="",$E39&lt;&gt;"Có"),0,MAX($U39-$T39,0))</f>
        <v/>
      </c>
      <c r="X39" s="222" t="n"/>
      <c r="Y39" s="222" t="n"/>
      <c r="Z39" s="222" t="n"/>
      <c r="AA39" s="222" t="n"/>
      <c r="AB39" s="224">
        <f>IF(OR($B39="",$E39&lt;&gt;"Có"),0,SUM($L39,$Q39,$V39,$X39))</f>
        <v/>
      </c>
      <c r="AC39" s="224">
        <f>IF(OR($B39="",$E39&lt;&gt;"Có"),0,SUM($F39,$G39,$R39,$W39,$Y39))</f>
        <v/>
      </c>
      <c r="AD39" s="224">
        <f>IF(OR($B39="",$E39&lt;&gt;"Có"),0,SUM($Z39:$AA39))</f>
        <v/>
      </c>
      <c r="AE39" s="224">
        <f>IF(OR($B39="",$E39&lt;&gt;"Có"),0,$AB39+$AC39-$AD39)</f>
        <v/>
      </c>
      <c r="AF39" s="150">
        <f>IF($B39="","",IF(AND($E39="Có",$D39=""),"Thiếu ngày nghỉ; ","")&amp;IF($I39&gt;MAX($H39,0),"Ngày phép thanh toán vượt số còn lại; ","")&amp;IF(AND($I39&gt;0,OR($J39&lt;=0,$K39&lt;=0)),"Thiếu lương/công chuẩn tháng trước; ","")&amp;IF(AND(SUM($N39,$S39)&gt;0,$M39&lt;=0),"Thiếu bình quân lương 06 tháng; ","")&amp;IF($X39&gt;0,"Bồi thường miễn thuế cần căn cứ và hồ sơ; ","")&amp;IF($AE39&lt;0,"Tổng chi thêm âm; ",""))</f>
        <v/>
      </c>
    </row>
    <row r="40">
      <c r="A40" s="145">
        <f>IF('DM_NHAN_SU'!$B40="","",ROW()-5)</f>
        <v/>
      </c>
      <c r="B40" s="145">
        <f>IF('DM_NHAN_SU'!$B40="","",'DM_NHAN_SU'!B40)</f>
        <v/>
      </c>
      <c r="C40" s="145">
        <f>IF('DM_NHAN_SU'!$B40="","",'DM_NHAN_SU'!C40)</f>
        <v/>
      </c>
      <c r="D40" s="234">
        <f>IF(OR('DM_NHAN_SU'!$B40="",'DM_NHAN_SU'!$G40=""),"",'DM_NHAN_SU'!G40)</f>
        <v/>
      </c>
      <c r="E40" s="127" t="n"/>
      <c r="F40" s="222" t="n"/>
      <c r="G40" s="222" t="n"/>
      <c r="H40" s="232">
        <f>IF($B40="","",'NGHI_PHEP'!K40)</f>
        <v/>
      </c>
      <c r="I40" s="227" t="n"/>
      <c r="J40" s="222" t="n"/>
      <c r="K40" s="227" t="n"/>
      <c r="L40" s="224">
        <f>IF(OR($B40="",$E40&lt;&gt;"Có"),0,IF($K40&gt;0,$I40*$J40/$K40,0))</f>
        <v/>
      </c>
      <c r="M40" s="222" t="n"/>
      <c r="N40" s="227" t="n"/>
      <c r="O40" s="224">
        <f>IF(OR($B40="",$E40&lt;&gt;"Có"),0,$M40*$N40*0.5)</f>
        <v/>
      </c>
      <c r="P40" s="222" t="n"/>
      <c r="Q40" s="224">
        <f>IF(OR($B40="",$E40&lt;&gt;"Có"),0,MIN($P40,$O40))</f>
        <v/>
      </c>
      <c r="R40" s="224">
        <f>IF(OR($B40="",$E40&lt;&gt;"Có"),0,MAX($P40-$O40,0))</f>
        <v/>
      </c>
      <c r="S40" s="227" t="n"/>
      <c r="T40" s="224">
        <f>IF(OR($B40="",$E40&lt;&gt;"Có",$S40&lt;=0),0,$M40*MAX($S40,2))</f>
        <v/>
      </c>
      <c r="U40" s="222" t="n"/>
      <c r="V40" s="224">
        <f>IF(OR($B40="",$E40&lt;&gt;"Có"),0,MIN($U40,$T40))</f>
        <v/>
      </c>
      <c r="W40" s="224">
        <f>IF(OR($B40="",$E40&lt;&gt;"Có"),0,MAX($U40-$T40,0))</f>
        <v/>
      </c>
      <c r="X40" s="222" t="n"/>
      <c r="Y40" s="222" t="n"/>
      <c r="Z40" s="222" t="n"/>
      <c r="AA40" s="222" t="n"/>
      <c r="AB40" s="224">
        <f>IF(OR($B40="",$E40&lt;&gt;"Có"),0,SUM($L40,$Q40,$V40,$X40))</f>
        <v/>
      </c>
      <c r="AC40" s="224">
        <f>IF(OR($B40="",$E40&lt;&gt;"Có"),0,SUM($F40,$G40,$R40,$W40,$Y40))</f>
        <v/>
      </c>
      <c r="AD40" s="224">
        <f>IF(OR($B40="",$E40&lt;&gt;"Có"),0,SUM($Z40:$AA40))</f>
        <v/>
      </c>
      <c r="AE40" s="224">
        <f>IF(OR($B40="",$E40&lt;&gt;"Có"),0,$AB40+$AC40-$AD40)</f>
        <v/>
      </c>
      <c r="AF40" s="150">
        <f>IF($B40="","",IF(AND($E40="Có",$D40=""),"Thiếu ngày nghỉ; ","")&amp;IF($I40&gt;MAX($H40,0),"Ngày phép thanh toán vượt số còn lại; ","")&amp;IF(AND($I40&gt;0,OR($J40&lt;=0,$K40&lt;=0)),"Thiếu lương/công chuẩn tháng trước; ","")&amp;IF(AND(SUM($N40,$S40)&gt;0,$M40&lt;=0),"Thiếu bình quân lương 06 tháng; ","")&amp;IF($X40&gt;0,"Bồi thường miễn thuế cần căn cứ và hồ sơ; ","")&amp;IF($AE40&lt;0,"Tổng chi thêm âm; ",""))</f>
        <v/>
      </c>
    </row>
    <row r="41">
      <c r="A41" s="145">
        <f>IF('DM_NHAN_SU'!$B41="","",ROW()-5)</f>
        <v/>
      </c>
      <c r="B41" s="145">
        <f>IF('DM_NHAN_SU'!$B41="","",'DM_NHAN_SU'!B41)</f>
        <v/>
      </c>
      <c r="C41" s="145">
        <f>IF('DM_NHAN_SU'!$B41="","",'DM_NHAN_SU'!C41)</f>
        <v/>
      </c>
      <c r="D41" s="234">
        <f>IF(OR('DM_NHAN_SU'!$B41="",'DM_NHAN_SU'!$G41=""),"",'DM_NHAN_SU'!G41)</f>
        <v/>
      </c>
      <c r="E41" s="127" t="n"/>
      <c r="F41" s="222" t="n"/>
      <c r="G41" s="222" t="n"/>
      <c r="H41" s="232">
        <f>IF($B41="","",'NGHI_PHEP'!K41)</f>
        <v/>
      </c>
      <c r="I41" s="227" t="n"/>
      <c r="J41" s="222" t="n"/>
      <c r="K41" s="227" t="n"/>
      <c r="L41" s="224">
        <f>IF(OR($B41="",$E41&lt;&gt;"Có"),0,IF($K41&gt;0,$I41*$J41/$K41,0))</f>
        <v/>
      </c>
      <c r="M41" s="222" t="n"/>
      <c r="N41" s="227" t="n"/>
      <c r="O41" s="224">
        <f>IF(OR($B41="",$E41&lt;&gt;"Có"),0,$M41*$N41*0.5)</f>
        <v/>
      </c>
      <c r="P41" s="222" t="n"/>
      <c r="Q41" s="224">
        <f>IF(OR($B41="",$E41&lt;&gt;"Có"),0,MIN($P41,$O41))</f>
        <v/>
      </c>
      <c r="R41" s="224">
        <f>IF(OR($B41="",$E41&lt;&gt;"Có"),0,MAX($P41-$O41,0))</f>
        <v/>
      </c>
      <c r="S41" s="227" t="n"/>
      <c r="T41" s="224">
        <f>IF(OR($B41="",$E41&lt;&gt;"Có",$S41&lt;=0),0,$M41*MAX($S41,2))</f>
        <v/>
      </c>
      <c r="U41" s="222" t="n"/>
      <c r="V41" s="224">
        <f>IF(OR($B41="",$E41&lt;&gt;"Có"),0,MIN($U41,$T41))</f>
        <v/>
      </c>
      <c r="W41" s="224">
        <f>IF(OR($B41="",$E41&lt;&gt;"Có"),0,MAX($U41-$T41,0))</f>
        <v/>
      </c>
      <c r="X41" s="222" t="n"/>
      <c r="Y41" s="222" t="n"/>
      <c r="Z41" s="222" t="n"/>
      <c r="AA41" s="222" t="n"/>
      <c r="AB41" s="224">
        <f>IF(OR($B41="",$E41&lt;&gt;"Có"),0,SUM($L41,$Q41,$V41,$X41))</f>
        <v/>
      </c>
      <c r="AC41" s="224">
        <f>IF(OR($B41="",$E41&lt;&gt;"Có"),0,SUM($F41,$G41,$R41,$W41,$Y41))</f>
        <v/>
      </c>
      <c r="AD41" s="224">
        <f>IF(OR($B41="",$E41&lt;&gt;"Có"),0,SUM($Z41:$AA41))</f>
        <v/>
      </c>
      <c r="AE41" s="224">
        <f>IF(OR($B41="",$E41&lt;&gt;"Có"),0,$AB41+$AC41-$AD41)</f>
        <v/>
      </c>
      <c r="AF41" s="150">
        <f>IF($B41="","",IF(AND($E41="Có",$D41=""),"Thiếu ngày nghỉ; ","")&amp;IF($I41&gt;MAX($H41,0),"Ngày phép thanh toán vượt số còn lại; ","")&amp;IF(AND($I41&gt;0,OR($J41&lt;=0,$K41&lt;=0)),"Thiếu lương/công chuẩn tháng trước; ","")&amp;IF(AND(SUM($N41,$S41)&gt;0,$M41&lt;=0),"Thiếu bình quân lương 06 tháng; ","")&amp;IF($X41&gt;0,"Bồi thường miễn thuế cần căn cứ và hồ sơ; ","")&amp;IF($AE41&lt;0,"Tổng chi thêm âm; ",""))</f>
        <v/>
      </c>
    </row>
    <row r="42">
      <c r="A42" s="145">
        <f>IF('DM_NHAN_SU'!$B42="","",ROW()-5)</f>
        <v/>
      </c>
      <c r="B42" s="145">
        <f>IF('DM_NHAN_SU'!$B42="","",'DM_NHAN_SU'!B42)</f>
        <v/>
      </c>
      <c r="C42" s="145">
        <f>IF('DM_NHAN_SU'!$B42="","",'DM_NHAN_SU'!C42)</f>
        <v/>
      </c>
      <c r="D42" s="234">
        <f>IF(OR('DM_NHAN_SU'!$B42="",'DM_NHAN_SU'!$G42=""),"",'DM_NHAN_SU'!G42)</f>
        <v/>
      </c>
      <c r="E42" s="127" t="n"/>
      <c r="F42" s="222" t="n"/>
      <c r="G42" s="222" t="n"/>
      <c r="H42" s="232">
        <f>IF($B42="","",'NGHI_PHEP'!K42)</f>
        <v/>
      </c>
      <c r="I42" s="227" t="n"/>
      <c r="J42" s="222" t="n"/>
      <c r="K42" s="227" t="n"/>
      <c r="L42" s="224">
        <f>IF(OR($B42="",$E42&lt;&gt;"Có"),0,IF($K42&gt;0,$I42*$J42/$K42,0))</f>
        <v/>
      </c>
      <c r="M42" s="222" t="n"/>
      <c r="N42" s="227" t="n"/>
      <c r="O42" s="224">
        <f>IF(OR($B42="",$E42&lt;&gt;"Có"),0,$M42*$N42*0.5)</f>
        <v/>
      </c>
      <c r="P42" s="222" t="n"/>
      <c r="Q42" s="224">
        <f>IF(OR($B42="",$E42&lt;&gt;"Có"),0,MIN($P42,$O42))</f>
        <v/>
      </c>
      <c r="R42" s="224">
        <f>IF(OR($B42="",$E42&lt;&gt;"Có"),0,MAX($P42-$O42,0))</f>
        <v/>
      </c>
      <c r="S42" s="227" t="n"/>
      <c r="T42" s="224">
        <f>IF(OR($B42="",$E42&lt;&gt;"Có",$S42&lt;=0),0,$M42*MAX($S42,2))</f>
        <v/>
      </c>
      <c r="U42" s="222" t="n"/>
      <c r="V42" s="224">
        <f>IF(OR($B42="",$E42&lt;&gt;"Có"),0,MIN($U42,$T42))</f>
        <v/>
      </c>
      <c r="W42" s="224">
        <f>IF(OR($B42="",$E42&lt;&gt;"Có"),0,MAX($U42-$T42,0))</f>
        <v/>
      </c>
      <c r="X42" s="222" t="n"/>
      <c r="Y42" s="222" t="n"/>
      <c r="Z42" s="222" t="n"/>
      <c r="AA42" s="222" t="n"/>
      <c r="AB42" s="224">
        <f>IF(OR($B42="",$E42&lt;&gt;"Có"),0,SUM($L42,$Q42,$V42,$X42))</f>
        <v/>
      </c>
      <c r="AC42" s="224">
        <f>IF(OR($B42="",$E42&lt;&gt;"Có"),0,SUM($F42,$G42,$R42,$W42,$Y42))</f>
        <v/>
      </c>
      <c r="AD42" s="224">
        <f>IF(OR($B42="",$E42&lt;&gt;"Có"),0,SUM($Z42:$AA42))</f>
        <v/>
      </c>
      <c r="AE42" s="224">
        <f>IF(OR($B42="",$E42&lt;&gt;"Có"),0,$AB42+$AC42-$AD42)</f>
        <v/>
      </c>
      <c r="AF42" s="150">
        <f>IF($B42="","",IF(AND($E42="Có",$D42=""),"Thiếu ngày nghỉ; ","")&amp;IF($I42&gt;MAX($H42,0),"Ngày phép thanh toán vượt số còn lại; ","")&amp;IF(AND($I42&gt;0,OR($J42&lt;=0,$K42&lt;=0)),"Thiếu lương/công chuẩn tháng trước; ","")&amp;IF(AND(SUM($N42,$S42)&gt;0,$M42&lt;=0),"Thiếu bình quân lương 06 tháng; ","")&amp;IF($X42&gt;0,"Bồi thường miễn thuế cần căn cứ và hồ sơ; ","")&amp;IF($AE42&lt;0,"Tổng chi thêm âm; ",""))</f>
        <v/>
      </c>
    </row>
    <row r="43">
      <c r="A43" s="145">
        <f>IF('DM_NHAN_SU'!$B43="","",ROW()-5)</f>
        <v/>
      </c>
      <c r="B43" s="145">
        <f>IF('DM_NHAN_SU'!$B43="","",'DM_NHAN_SU'!B43)</f>
        <v/>
      </c>
      <c r="C43" s="145">
        <f>IF('DM_NHAN_SU'!$B43="","",'DM_NHAN_SU'!C43)</f>
        <v/>
      </c>
      <c r="D43" s="234">
        <f>IF(OR('DM_NHAN_SU'!$B43="",'DM_NHAN_SU'!$G43=""),"",'DM_NHAN_SU'!G43)</f>
        <v/>
      </c>
      <c r="E43" s="127" t="n"/>
      <c r="F43" s="222" t="n"/>
      <c r="G43" s="222" t="n"/>
      <c r="H43" s="232">
        <f>IF($B43="","",'NGHI_PHEP'!K43)</f>
        <v/>
      </c>
      <c r="I43" s="227" t="n"/>
      <c r="J43" s="222" t="n"/>
      <c r="K43" s="227" t="n"/>
      <c r="L43" s="224">
        <f>IF(OR($B43="",$E43&lt;&gt;"Có"),0,IF($K43&gt;0,$I43*$J43/$K43,0))</f>
        <v/>
      </c>
      <c r="M43" s="222" t="n"/>
      <c r="N43" s="227" t="n"/>
      <c r="O43" s="224">
        <f>IF(OR($B43="",$E43&lt;&gt;"Có"),0,$M43*$N43*0.5)</f>
        <v/>
      </c>
      <c r="P43" s="222" t="n"/>
      <c r="Q43" s="224">
        <f>IF(OR($B43="",$E43&lt;&gt;"Có"),0,MIN($P43,$O43))</f>
        <v/>
      </c>
      <c r="R43" s="224">
        <f>IF(OR($B43="",$E43&lt;&gt;"Có"),0,MAX($P43-$O43,0))</f>
        <v/>
      </c>
      <c r="S43" s="227" t="n"/>
      <c r="T43" s="224">
        <f>IF(OR($B43="",$E43&lt;&gt;"Có",$S43&lt;=0),0,$M43*MAX($S43,2))</f>
        <v/>
      </c>
      <c r="U43" s="222" t="n"/>
      <c r="V43" s="224">
        <f>IF(OR($B43="",$E43&lt;&gt;"Có"),0,MIN($U43,$T43))</f>
        <v/>
      </c>
      <c r="W43" s="224">
        <f>IF(OR($B43="",$E43&lt;&gt;"Có"),0,MAX($U43-$T43,0))</f>
        <v/>
      </c>
      <c r="X43" s="222" t="n"/>
      <c r="Y43" s="222" t="n"/>
      <c r="Z43" s="222" t="n"/>
      <c r="AA43" s="222" t="n"/>
      <c r="AB43" s="224">
        <f>IF(OR($B43="",$E43&lt;&gt;"Có"),0,SUM($L43,$Q43,$V43,$X43))</f>
        <v/>
      </c>
      <c r="AC43" s="224">
        <f>IF(OR($B43="",$E43&lt;&gt;"Có"),0,SUM($F43,$G43,$R43,$W43,$Y43))</f>
        <v/>
      </c>
      <c r="AD43" s="224">
        <f>IF(OR($B43="",$E43&lt;&gt;"Có"),0,SUM($Z43:$AA43))</f>
        <v/>
      </c>
      <c r="AE43" s="224">
        <f>IF(OR($B43="",$E43&lt;&gt;"Có"),0,$AB43+$AC43-$AD43)</f>
        <v/>
      </c>
      <c r="AF43" s="150">
        <f>IF($B43="","",IF(AND($E43="Có",$D43=""),"Thiếu ngày nghỉ; ","")&amp;IF($I43&gt;MAX($H43,0),"Ngày phép thanh toán vượt số còn lại; ","")&amp;IF(AND($I43&gt;0,OR($J43&lt;=0,$K43&lt;=0)),"Thiếu lương/công chuẩn tháng trước; ","")&amp;IF(AND(SUM($N43,$S43)&gt;0,$M43&lt;=0),"Thiếu bình quân lương 06 tháng; ","")&amp;IF($X43&gt;0,"Bồi thường miễn thuế cần căn cứ và hồ sơ; ","")&amp;IF($AE43&lt;0,"Tổng chi thêm âm; ",""))</f>
        <v/>
      </c>
    </row>
    <row r="44">
      <c r="A44" s="145">
        <f>IF('DM_NHAN_SU'!$B44="","",ROW()-5)</f>
        <v/>
      </c>
      <c r="B44" s="145">
        <f>IF('DM_NHAN_SU'!$B44="","",'DM_NHAN_SU'!B44)</f>
        <v/>
      </c>
      <c r="C44" s="145">
        <f>IF('DM_NHAN_SU'!$B44="","",'DM_NHAN_SU'!C44)</f>
        <v/>
      </c>
      <c r="D44" s="234">
        <f>IF(OR('DM_NHAN_SU'!$B44="",'DM_NHAN_SU'!$G44=""),"",'DM_NHAN_SU'!G44)</f>
        <v/>
      </c>
      <c r="E44" s="127" t="n"/>
      <c r="F44" s="222" t="n"/>
      <c r="G44" s="222" t="n"/>
      <c r="H44" s="232">
        <f>IF($B44="","",'NGHI_PHEP'!K44)</f>
        <v/>
      </c>
      <c r="I44" s="227" t="n"/>
      <c r="J44" s="222" t="n"/>
      <c r="K44" s="227" t="n"/>
      <c r="L44" s="224">
        <f>IF(OR($B44="",$E44&lt;&gt;"Có"),0,IF($K44&gt;0,$I44*$J44/$K44,0))</f>
        <v/>
      </c>
      <c r="M44" s="222" t="n"/>
      <c r="N44" s="227" t="n"/>
      <c r="O44" s="224">
        <f>IF(OR($B44="",$E44&lt;&gt;"Có"),0,$M44*$N44*0.5)</f>
        <v/>
      </c>
      <c r="P44" s="222" t="n"/>
      <c r="Q44" s="224">
        <f>IF(OR($B44="",$E44&lt;&gt;"Có"),0,MIN($P44,$O44))</f>
        <v/>
      </c>
      <c r="R44" s="224">
        <f>IF(OR($B44="",$E44&lt;&gt;"Có"),0,MAX($P44-$O44,0))</f>
        <v/>
      </c>
      <c r="S44" s="227" t="n"/>
      <c r="T44" s="224">
        <f>IF(OR($B44="",$E44&lt;&gt;"Có",$S44&lt;=0),0,$M44*MAX($S44,2))</f>
        <v/>
      </c>
      <c r="U44" s="222" t="n"/>
      <c r="V44" s="224">
        <f>IF(OR($B44="",$E44&lt;&gt;"Có"),0,MIN($U44,$T44))</f>
        <v/>
      </c>
      <c r="W44" s="224">
        <f>IF(OR($B44="",$E44&lt;&gt;"Có"),0,MAX($U44-$T44,0))</f>
        <v/>
      </c>
      <c r="X44" s="222" t="n"/>
      <c r="Y44" s="222" t="n"/>
      <c r="Z44" s="222" t="n"/>
      <c r="AA44" s="222" t="n"/>
      <c r="AB44" s="224">
        <f>IF(OR($B44="",$E44&lt;&gt;"Có"),0,SUM($L44,$Q44,$V44,$X44))</f>
        <v/>
      </c>
      <c r="AC44" s="224">
        <f>IF(OR($B44="",$E44&lt;&gt;"Có"),0,SUM($F44,$G44,$R44,$W44,$Y44))</f>
        <v/>
      </c>
      <c r="AD44" s="224">
        <f>IF(OR($B44="",$E44&lt;&gt;"Có"),0,SUM($Z44:$AA44))</f>
        <v/>
      </c>
      <c r="AE44" s="224">
        <f>IF(OR($B44="",$E44&lt;&gt;"Có"),0,$AB44+$AC44-$AD44)</f>
        <v/>
      </c>
      <c r="AF44" s="150">
        <f>IF($B44="","",IF(AND($E44="Có",$D44=""),"Thiếu ngày nghỉ; ","")&amp;IF($I44&gt;MAX($H44,0),"Ngày phép thanh toán vượt số còn lại; ","")&amp;IF(AND($I44&gt;0,OR($J44&lt;=0,$K44&lt;=0)),"Thiếu lương/công chuẩn tháng trước; ","")&amp;IF(AND(SUM($N44,$S44)&gt;0,$M44&lt;=0),"Thiếu bình quân lương 06 tháng; ","")&amp;IF($X44&gt;0,"Bồi thường miễn thuế cần căn cứ và hồ sơ; ","")&amp;IF($AE44&lt;0,"Tổng chi thêm âm; ",""))</f>
        <v/>
      </c>
    </row>
    <row r="45">
      <c r="A45" s="145">
        <f>IF('DM_NHAN_SU'!$B45="","",ROW()-5)</f>
        <v/>
      </c>
      <c r="B45" s="145">
        <f>IF('DM_NHAN_SU'!$B45="","",'DM_NHAN_SU'!B45)</f>
        <v/>
      </c>
      <c r="C45" s="145">
        <f>IF('DM_NHAN_SU'!$B45="","",'DM_NHAN_SU'!C45)</f>
        <v/>
      </c>
      <c r="D45" s="234">
        <f>IF(OR('DM_NHAN_SU'!$B45="",'DM_NHAN_SU'!$G45=""),"",'DM_NHAN_SU'!G45)</f>
        <v/>
      </c>
      <c r="E45" s="127" t="n"/>
      <c r="F45" s="222" t="n"/>
      <c r="G45" s="222" t="n"/>
      <c r="H45" s="232">
        <f>IF($B45="","",'NGHI_PHEP'!K45)</f>
        <v/>
      </c>
      <c r="I45" s="227" t="n"/>
      <c r="J45" s="222" t="n"/>
      <c r="K45" s="227" t="n"/>
      <c r="L45" s="224">
        <f>IF(OR($B45="",$E45&lt;&gt;"Có"),0,IF($K45&gt;0,$I45*$J45/$K45,0))</f>
        <v/>
      </c>
      <c r="M45" s="222" t="n"/>
      <c r="N45" s="227" t="n"/>
      <c r="O45" s="224">
        <f>IF(OR($B45="",$E45&lt;&gt;"Có"),0,$M45*$N45*0.5)</f>
        <v/>
      </c>
      <c r="P45" s="222" t="n"/>
      <c r="Q45" s="224">
        <f>IF(OR($B45="",$E45&lt;&gt;"Có"),0,MIN($P45,$O45))</f>
        <v/>
      </c>
      <c r="R45" s="224">
        <f>IF(OR($B45="",$E45&lt;&gt;"Có"),0,MAX($P45-$O45,0))</f>
        <v/>
      </c>
      <c r="S45" s="227" t="n"/>
      <c r="T45" s="224">
        <f>IF(OR($B45="",$E45&lt;&gt;"Có",$S45&lt;=0),0,$M45*MAX($S45,2))</f>
        <v/>
      </c>
      <c r="U45" s="222" t="n"/>
      <c r="V45" s="224">
        <f>IF(OR($B45="",$E45&lt;&gt;"Có"),0,MIN($U45,$T45))</f>
        <v/>
      </c>
      <c r="W45" s="224">
        <f>IF(OR($B45="",$E45&lt;&gt;"Có"),0,MAX($U45-$T45,0))</f>
        <v/>
      </c>
      <c r="X45" s="222" t="n"/>
      <c r="Y45" s="222" t="n"/>
      <c r="Z45" s="222" t="n"/>
      <c r="AA45" s="222" t="n"/>
      <c r="AB45" s="224">
        <f>IF(OR($B45="",$E45&lt;&gt;"Có"),0,SUM($L45,$Q45,$V45,$X45))</f>
        <v/>
      </c>
      <c r="AC45" s="224">
        <f>IF(OR($B45="",$E45&lt;&gt;"Có"),0,SUM($F45,$G45,$R45,$W45,$Y45))</f>
        <v/>
      </c>
      <c r="AD45" s="224">
        <f>IF(OR($B45="",$E45&lt;&gt;"Có"),0,SUM($Z45:$AA45))</f>
        <v/>
      </c>
      <c r="AE45" s="224">
        <f>IF(OR($B45="",$E45&lt;&gt;"Có"),0,$AB45+$AC45-$AD45)</f>
        <v/>
      </c>
      <c r="AF45" s="150">
        <f>IF($B45="","",IF(AND($E45="Có",$D45=""),"Thiếu ngày nghỉ; ","")&amp;IF($I45&gt;MAX($H45,0),"Ngày phép thanh toán vượt số còn lại; ","")&amp;IF(AND($I45&gt;0,OR($J45&lt;=0,$K45&lt;=0)),"Thiếu lương/công chuẩn tháng trước; ","")&amp;IF(AND(SUM($N45,$S45)&gt;0,$M45&lt;=0),"Thiếu bình quân lương 06 tháng; ","")&amp;IF($X45&gt;0,"Bồi thường miễn thuế cần căn cứ và hồ sơ; ","")&amp;IF($AE45&lt;0,"Tổng chi thêm âm; ",""))</f>
        <v/>
      </c>
    </row>
    <row r="46">
      <c r="A46" s="145">
        <f>IF('DM_NHAN_SU'!$B46="","",ROW()-5)</f>
        <v/>
      </c>
      <c r="B46" s="145">
        <f>IF('DM_NHAN_SU'!$B46="","",'DM_NHAN_SU'!B46)</f>
        <v/>
      </c>
      <c r="C46" s="145">
        <f>IF('DM_NHAN_SU'!$B46="","",'DM_NHAN_SU'!C46)</f>
        <v/>
      </c>
      <c r="D46" s="234">
        <f>IF(OR('DM_NHAN_SU'!$B46="",'DM_NHAN_SU'!$G46=""),"",'DM_NHAN_SU'!G46)</f>
        <v/>
      </c>
      <c r="E46" s="127" t="n"/>
      <c r="F46" s="222" t="n"/>
      <c r="G46" s="222" t="n"/>
      <c r="H46" s="232">
        <f>IF($B46="","",'NGHI_PHEP'!K46)</f>
        <v/>
      </c>
      <c r="I46" s="227" t="n"/>
      <c r="J46" s="222" t="n"/>
      <c r="K46" s="227" t="n"/>
      <c r="L46" s="224">
        <f>IF(OR($B46="",$E46&lt;&gt;"Có"),0,IF($K46&gt;0,$I46*$J46/$K46,0))</f>
        <v/>
      </c>
      <c r="M46" s="222" t="n"/>
      <c r="N46" s="227" t="n"/>
      <c r="O46" s="224">
        <f>IF(OR($B46="",$E46&lt;&gt;"Có"),0,$M46*$N46*0.5)</f>
        <v/>
      </c>
      <c r="P46" s="222" t="n"/>
      <c r="Q46" s="224">
        <f>IF(OR($B46="",$E46&lt;&gt;"Có"),0,MIN($P46,$O46))</f>
        <v/>
      </c>
      <c r="R46" s="224">
        <f>IF(OR($B46="",$E46&lt;&gt;"Có"),0,MAX($P46-$O46,0))</f>
        <v/>
      </c>
      <c r="S46" s="227" t="n"/>
      <c r="T46" s="224">
        <f>IF(OR($B46="",$E46&lt;&gt;"Có",$S46&lt;=0),0,$M46*MAX($S46,2))</f>
        <v/>
      </c>
      <c r="U46" s="222" t="n"/>
      <c r="V46" s="224">
        <f>IF(OR($B46="",$E46&lt;&gt;"Có"),0,MIN($U46,$T46))</f>
        <v/>
      </c>
      <c r="W46" s="224">
        <f>IF(OR($B46="",$E46&lt;&gt;"Có"),0,MAX($U46-$T46,0))</f>
        <v/>
      </c>
      <c r="X46" s="222" t="n"/>
      <c r="Y46" s="222" t="n"/>
      <c r="Z46" s="222" t="n"/>
      <c r="AA46" s="222" t="n"/>
      <c r="AB46" s="224">
        <f>IF(OR($B46="",$E46&lt;&gt;"Có"),0,SUM($L46,$Q46,$V46,$X46))</f>
        <v/>
      </c>
      <c r="AC46" s="224">
        <f>IF(OR($B46="",$E46&lt;&gt;"Có"),0,SUM($F46,$G46,$R46,$W46,$Y46))</f>
        <v/>
      </c>
      <c r="AD46" s="224">
        <f>IF(OR($B46="",$E46&lt;&gt;"Có"),0,SUM($Z46:$AA46))</f>
        <v/>
      </c>
      <c r="AE46" s="224">
        <f>IF(OR($B46="",$E46&lt;&gt;"Có"),0,$AB46+$AC46-$AD46)</f>
        <v/>
      </c>
      <c r="AF46" s="150">
        <f>IF($B46="","",IF(AND($E46="Có",$D46=""),"Thiếu ngày nghỉ; ","")&amp;IF($I46&gt;MAX($H46,0),"Ngày phép thanh toán vượt số còn lại; ","")&amp;IF(AND($I46&gt;0,OR($J46&lt;=0,$K46&lt;=0)),"Thiếu lương/công chuẩn tháng trước; ","")&amp;IF(AND(SUM($N46,$S46)&gt;0,$M46&lt;=0),"Thiếu bình quân lương 06 tháng; ","")&amp;IF($X46&gt;0,"Bồi thường miễn thuế cần căn cứ và hồ sơ; ","")&amp;IF($AE46&lt;0,"Tổng chi thêm âm; ",""))</f>
        <v/>
      </c>
    </row>
    <row r="47">
      <c r="A47" s="145">
        <f>IF('DM_NHAN_SU'!$B47="","",ROW()-5)</f>
        <v/>
      </c>
      <c r="B47" s="145">
        <f>IF('DM_NHAN_SU'!$B47="","",'DM_NHAN_SU'!B47)</f>
        <v/>
      </c>
      <c r="C47" s="145">
        <f>IF('DM_NHAN_SU'!$B47="","",'DM_NHAN_SU'!C47)</f>
        <v/>
      </c>
      <c r="D47" s="234">
        <f>IF(OR('DM_NHAN_SU'!$B47="",'DM_NHAN_SU'!$G47=""),"",'DM_NHAN_SU'!G47)</f>
        <v/>
      </c>
      <c r="E47" s="127" t="n"/>
      <c r="F47" s="222" t="n"/>
      <c r="G47" s="222" t="n"/>
      <c r="H47" s="232">
        <f>IF($B47="","",'NGHI_PHEP'!K47)</f>
        <v/>
      </c>
      <c r="I47" s="227" t="n"/>
      <c r="J47" s="222" t="n"/>
      <c r="K47" s="227" t="n"/>
      <c r="L47" s="224">
        <f>IF(OR($B47="",$E47&lt;&gt;"Có"),0,IF($K47&gt;0,$I47*$J47/$K47,0))</f>
        <v/>
      </c>
      <c r="M47" s="222" t="n"/>
      <c r="N47" s="227" t="n"/>
      <c r="O47" s="224">
        <f>IF(OR($B47="",$E47&lt;&gt;"Có"),0,$M47*$N47*0.5)</f>
        <v/>
      </c>
      <c r="P47" s="222" t="n"/>
      <c r="Q47" s="224">
        <f>IF(OR($B47="",$E47&lt;&gt;"Có"),0,MIN($P47,$O47))</f>
        <v/>
      </c>
      <c r="R47" s="224">
        <f>IF(OR($B47="",$E47&lt;&gt;"Có"),0,MAX($P47-$O47,0))</f>
        <v/>
      </c>
      <c r="S47" s="227" t="n"/>
      <c r="T47" s="224">
        <f>IF(OR($B47="",$E47&lt;&gt;"Có",$S47&lt;=0),0,$M47*MAX($S47,2))</f>
        <v/>
      </c>
      <c r="U47" s="222" t="n"/>
      <c r="V47" s="224">
        <f>IF(OR($B47="",$E47&lt;&gt;"Có"),0,MIN($U47,$T47))</f>
        <v/>
      </c>
      <c r="W47" s="224">
        <f>IF(OR($B47="",$E47&lt;&gt;"Có"),0,MAX($U47-$T47,0))</f>
        <v/>
      </c>
      <c r="X47" s="222" t="n"/>
      <c r="Y47" s="222" t="n"/>
      <c r="Z47" s="222" t="n"/>
      <c r="AA47" s="222" t="n"/>
      <c r="AB47" s="224">
        <f>IF(OR($B47="",$E47&lt;&gt;"Có"),0,SUM($L47,$Q47,$V47,$X47))</f>
        <v/>
      </c>
      <c r="AC47" s="224">
        <f>IF(OR($B47="",$E47&lt;&gt;"Có"),0,SUM($F47,$G47,$R47,$W47,$Y47))</f>
        <v/>
      </c>
      <c r="AD47" s="224">
        <f>IF(OR($B47="",$E47&lt;&gt;"Có"),0,SUM($Z47:$AA47))</f>
        <v/>
      </c>
      <c r="AE47" s="224">
        <f>IF(OR($B47="",$E47&lt;&gt;"Có"),0,$AB47+$AC47-$AD47)</f>
        <v/>
      </c>
      <c r="AF47" s="150">
        <f>IF($B47="","",IF(AND($E47="Có",$D47=""),"Thiếu ngày nghỉ; ","")&amp;IF($I47&gt;MAX($H47,0),"Ngày phép thanh toán vượt số còn lại; ","")&amp;IF(AND($I47&gt;0,OR($J47&lt;=0,$K47&lt;=0)),"Thiếu lương/công chuẩn tháng trước; ","")&amp;IF(AND(SUM($N47,$S47)&gt;0,$M47&lt;=0),"Thiếu bình quân lương 06 tháng; ","")&amp;IF($X47&gt;0,"Bồi thường miễn thuế cần căn cứ và hồ sơ; ","")&amp;IF($AE47&lt;0,"Tổng chi thêm âm; ",""))</f>
        <v/>
      </c>
    </row>
    <row r="48">
      <c r="A48" s="145">
        <f>IF('DM_NHAN_SU'!$B48="","",ROW()-5)</f>
        <v/>
      </c>
      <c r="B48" s="145">
        <f>IF('DM_NHAN_SU'!$B48="","",'DM_NHAN_SU'!B48)</f>
        <v/>
      </c>
      <c r="C48" s="145">
        <f>IF('DM_NHAN_SU'!$B48="","",'DM_NHAN_SU'!C48)</f>
        <v/>
      </c>
      <c r="D48" s="234">
        <f>IF(OR('DM_NHAN_SU'!$B48="",'DM_NHAN_SU'!$G48=""),"",'DM_NHAN_SU'!G48)</f>
        <v/>
      </c>
      <c r="E48" s="127" t="n"/>
      <c r="F48" s="222" t="n"/>
      <c r="G48" s="222" t="n"/>
      <c r="H48" s="232">
        <f>IF($B48="","",'NGHI_PHEP'!K48)</f>
        <v/>
      </c>
      <c r="I48" s="227" t="n"/>
      <c r="J48" s="222" t="n"/>
      <c r="K48" s="227" t="n"/>
      <c r="L48" s="224">
        <f>IF(OR($B48="",$E48&lt;&gt;"Có"),0,IF($K48&gt;0,$I48*$J48/$K48,0))</f>
        <v/>
      </c>
      <c r="M48" s="222" t="n"/>
      <c r="N48" s="227" t="n"/>
      <c r="O48" s="224">
        <f>IF(OR($B48="",$E48&lt;&gt;"Có"),0,$M48*$N48*0.5)</f>
        <v/>
      </c>
      <c r="P48" s="222" t="n"/>
      <c r="Q48" s="224">
        <f>IF(OR($B48="",$E48&lt;&gt;"Có"),0,MIN($P48,$O48))</f>
        <v/>
      </c>
      <c r="R48" s="224">
        <f>IF(OR($B48="",$E48&lt;&gt;"Có"),0,MAX($P48-$O48,0))</f>
        <v/>
      </c>
      <c r="S48" s="227" t="n"/>
      <c r="T48" s="224">
        <f>IF(OR($B48="",$E48&lt;&gt;"Có",$S48&lt;=0),0,$M48*MAX($S48,2))</f>
        <v/>
      </c>
      <c r="U48" s="222" t="n"/>
      <c r="V48" s="224">
        <f>IF(OR($B48="",$E48&lt;&gt;"Có"),0,MIN($U48,$T48))</f>
        <v/>
      </c>
      <c r="W48" s="224">
        <f>IF(OR($B48="",$E48&lt;&gt;"Có"),0,MAX($U48-$T48,0))</f>
        <v/>
      </c>
      <c r="X48" s="222" t="n"/>
      <c r="Y48" s="222" t="n"/>
      <c r="Z48" s="222" t="n"/>
      <c r="AA48" s="222" t="n"/>
      <c r="AB48" s="224">
        <f>IF(OR($B48="",$E48&lt;&gt;"Có"),0,SUM($L48,$Q48,$V48,$X48))</f>
        <v/>
      </c>
      <c r="AC48" s="224">
        <f>IF(OR($B48="",$E48&lt;&gt;"Có"),0,SUM($F48,$G48,$R48,$W48,$Y48))</f>
        <v/>
      </c>
      <c r="AD48" s="224">
        <f>IF(OR($B48="",$E48&lt;&gt;"Có"),0,SUM($Z48:$AA48))</f>
        <v/>
      </c>
      <c r="AE48" s="224">
        <f>IF(OR($B48="",$E48&lt;&gt;"Có"),0,$AB48+$AC48-$AD48)</f>
        <v/>
      </c>
      <c r="AF48" s="150">
        <f>IF($B48="","",IF(AND($E48="Có",$D48=""),"Thiếu ngày nghỉ; ","")&amp;IF($I48&gt;MAX($H48,0),"Ngày phép thanh toán vượt số còn lại; ","")&amp;IF(AND($I48&gt;0,OR($J48&lt;=0,$K48&lt;=0)),"Thiếu lương/công chuẩn tháng trước; ","")&amp;IF(AND(SUM($N48,$S48)&gt;0,$M48&lt;=0),"Thiếu bình quân lương 06 tháng; ","")&amp;IF($X48&gt;0,"Bồi thường miễn thuế cần căn cứ và hồ sơ; ","")&amp;IF($AE48&lt;0,"Tổng chi thêm âm; ",""))</f>
        <v/>
      </c>
    </row>
    <row r="49">
      <c r="A49" s="145">
        <f>IF('DM_NHAN_SU'!$B49="","",ROW()-5)</f>
        <v/>
      </c>
      <c r="B49" s="145">
        <f>IF('DM_NHAN_SU'!$B49="","",'DM_NHAN_SU'!B49)</f>
        <v/>
      </c>
      <c r="C49" s="145">
        <f>IF('DM_NHAN_SU'!$B49="","",'DM_NHAN_SU'!C49)</f>
        <v/>
      </c>
      <c r="D49" s="234">
        <f>IF(OR('DM_NHAN_SU'!$B49="",'DM_NHAN_SU'!$G49=""),"",'DM_NHAN_SU'!G49)</f>
        <v/>
      </c>
      <c r="E49" s="127" t="n"/>
      <c r="F49" s="222" t="n"/>
      <c r="G49" s="222" t="n"/>
      <c r="H49" s="232">
        <f>IF($B49="","",'NGHI_PHEP'!K49)</f>
        <v/>
      </c>
      <c r="I49" s="227" t="n"/>
      <c r="J49" s="222" t="n"/>
      <c r="K49" s="227" t="n"/>
      <c r="L49" s="224">
        <f>IF(OR($B49="",$E49&lt;&gt;"Có"),0,IF($K49&gt;0,$I49*$J49/$K49,0))</f>
        <v/>
      </c>
      <c r="M49" s="222" t="n"/>
      <c r="N49" s="227" t="n"/>
      <c r="O49" s="224">
        <f>IF(OR($B49="",$E49&lt;&gt;"Có"),0,$M49*$N49*0.5)</f>
        <v/>
      </c>
      <c r="P49" s="222" t="n"/>
      <c r="Q49" s="224">
        <f>IF(OR($B49="",$E49&lt;&gt;"Có"),0,MIN($P49,$O49))</f>
        <v/>
      </c>
      <c r="R49" s="224">
        <f>IF(OR($B49="",$E49&lt;&gt;"Có"),0,MAX($P49-$O49,0))</f>
        <v/>
      </c>
      <c r="S49" s="227" t="n"/>
      <c r="T49" s="224">
        <f>IF(OR($B49="",$E49&lt;&gt;"Có",$S49&lt;=0),0,$M49*MAX($S49,2))</f>
        <v/>
      </c>
      <c r="U49" s="222" t="n"/>
      <c r="V49" s="224">
        <f>IF(OR($B49="",$E49&lt;&gt;"Có"),0,MIN($U49,$T49))</f>
        <v/>
      </c>
      <c r="W49" s="224">
        <f>IF(OR($B49="",$E49&lt;&gt;"Có"),0,MAX($U49-$T49,0))</f>
        <v/>
      </c>
      <c r="X49" s="222" t="n"/>
      <c r="Y49" s="222" t="n"/>
      <c r="Z49" s="222" t="n"/>
      <c r="AA49" s="222" t="n"/>
      <c r="AB49" s="224">
        <f>IF(OR($B49="",$E49&lt;&gt;"Có"),0,SUM($L49,$Q49,$V49,$X49))</f>
        <v/>
      </c>
      <c r="AC49" s="224">
        <f>IF(OR($B49="",$E49&lt;&gt;"Có"),0,SUM($F49,$G49,$R49,$W49,$Y49))</f>
        <v/>
      </c>
      <c r="AD49" s="224">
        <f>IF(OR($B49="",$E49&lt;&gt;"Có"),0,SUM($Z49:$AA49))</f>
        <v/>
      </c>
      <c r="AE49" s="224">
        <f>IF(OR($B49="",$E49&lt;&gt;"Có"),0,$AB49+$AC49-$AD49)</f>
        <v/>
      </c>
      <c r="AF49" s="150">
        <f>IF($B49="","",IF(AND($E49="Có",$D49=""),"Thiếu ngày nghỉ; ","")&amp;IF($I49&gt;MAX($H49,0),"Ngày phép thanh toán vượt số còn lại; ","")&amp;IF(AND($I49&gt;0,OR($J49&lt;=0,$K49&lt;=0)),"Thiếu lương/công chuẩn tháng trước; ","")&amp;IF(AND(SUM($N49,$S49)&gt;0,$M49&lt;=0),"Thiếu bình quân lương 06 tháng; ","")&amp;IF($X49&gt;0,"Bồi thường miễn thuế cần căn cứ và hồ sơ; ","")&amp;IF($AE49&lt;0,"Tổng chi thêm âm; ",""))</f>
        <v/>
      </c>
    </row>
    <row r="50">
      <c r="A50" s="145">
        <f>IF('DM_NHAN_SU'!$B50="","",ROW()-5)</f>
        <v/>
      </c>
      <c r="B50" s="145">
        <f>IF('DM_NHAN_SU'!$B50="","",'DM_NHAN_SU'!B50)</f>
        <v/>
      </c>
      <c r="C50" s="145">
        <f>IF('DM_NHAN_SU'!$B50="","",'DM_NHAN_SU'!C50)</f>
        <v/>
      </c>
      <c r="D50" s="234">
        <f>IF(OR('DM_NHAN_SU'!$B50="",'DM_NHAN_SU'!$G50=""),"",'DM_NHAN_SU'!G50)</f>
        <v/>
      </c>
      <c r="E50" s="127" t="n"/>
      <c r="F50" s="222" t="n"/>
      <c r="G50" s="222" t="n"/>
      <c r="H50" s="232">
        <f>IF($B50="","",'NGHI_PHEP'!K50)</f>
        <v/>
      </c>
      <c r="I50" s="227" t="n"/>
      <c r="J50" s="222" t="n"/>
      <c r="K50" s="227" t="n"/>
      <c r="L50" s="224">
        <f>IF(OR($B50="",$E50&lt;&gt;"Có"),0,IF($K50&gt;0,$I50*$J50/$K50,0))</f>
        <v/>
      </c>
      <c r="M50" s="222" t="n"/>
      <c r="N50" s="227" t="n"/>
      <c r="O50" s="224">
        <f>IF(OR($B50="",$E50&lt;&gt;"Có"),0,$M50*$N50*0.5)</f>
        <v/>
      </c>
      <c r="P50" s="222" t="n"/>
      <c r="Q50" s="224">
        <f>IF(OR($B50="",$E50&lt;&gt;"Có"),0,MIN($P50,$O50))</f>
        <v/>
      </c>
      <c r="R50" s="224">
        <f>IF(OR($B50="",$E50&lt;&gt;"Có"),0,MAX($P50-$O50,0))</f>
        <v/>
      </c>
      <c r="S50" s="227" t="n"/>
      <c r="T50" s="224">
        <f>IF(OR($B50="",$E50&lt;&gt;"Có",$S50&lt;=0),0,$M50*MAX($S50,2))</f>
        <v/>
      </c>
      <c r="U50" s="222" t="n"/>
      <c r="V50" s="224">
        <f>IF(OR($B50="",$E50&lt;&gt;"Có"),0,MIN($U50,$T50))</f>
        <v/>
      </c>
      <c r="W50" s="224">
        <f>IF(OR($B50="",$E50&lt;&gt;"Có"),0,MAX($U50-$T50,0))</f>
        <v/>
      </c>
      <c r="X50" s="222" t="n"/>
      <c r="Y50" s="222" t="n"/>
      <c r="Z50" s="222" t="n"/>
      <c r="AA50" s="222" t="n"/>
      <c r="AB50" s="224">
        <f>IF(OR($B50="",$E50&lt;&gt;"Có"),0,SUM($L50,$Q50,$V50,$X50))</f>
        <v/>
      </c>
      <c r="AC50" s="224">
        <f>IF(OR($B50="",$E50&lt;&gt;"Có"),0,SUM($F50,$G50,$R50,$W50,$Y50))</f>
        <v/>
      </c>
      <c r="AD50" s="224">
        <f>IF(OR($B50="",$E50&lt;&gt;"Có"),0,SUM($Z50:$AA50))</f>
        <v/>
      </c>
      <c r="AE50" s="224">
        <f>IF(OR($B50="",$E50&lt;&gt;"Có"),0,$AB50+$AC50-$AD50)</f>
        <v/>
      </c>
      <c r="AF50" s="150">
        <f>IF($B50="","",IF(AND($E50="Có",$D50=""),"Thiếu ngày nghỉ; ","")&amp;IF($I50&gt;MAX($H50,0),"Ngày phép thanh toán vượt số còn lại; ","")&amp;IF(AND($I50&gt;0,OR($J50&lt;=0,$K50&lt;=0)),"Thiếu lương/công chuẩn tháng trước; ","")&amp;IF(AND(SUM($N50,$S50)&gt;0,$M50&lt;=0),"Thiếu bình quân lương 06 tháng; ","")&amp;IF($X50&gt;0,"Bồi thường miễn thuế cần căn cứ và hồ sơ; ","")&amp;IF($AE50&lt;0,"Tổng chi thêm âm; ",""))</f>
        <v/>
      </c>
    </row>
    <row r="51">
      <c r="A51" s="145">
        <f>IF('DM_NHAN_SU'!$B51="","",ROW()-5)</f>
        <v/>
      </c>
      <c r="B51" s="145">
        <f>IF('DM_NHAN_SU'!$B51="","",'DM_NHAN_SU'!B51)</f>
        <v/>
      </c>
      <c r="C51" s="145">
        <f>IF('DM_NHAN_SU'!$B51="","",'DM_NHAN_SU'!C51)</f>
        <v/>
      </c>
      <c r="D51" s="234">
        <f>IF(OR('DM_NHAN_SU'!$B51="",'DM_NHAN_SU'!$G51=""),"",'DM_NHAN_SU'!G51)</f>
        <v/>
      </c>
      <c r="E51" s="127" t="n"/>
      <c r="F51" s="222" t="n"/>
      <c r="G51" s="222" t="n"/>
      <c r="H51" s="232">
        <f>IF($B51="","",'NGHI_PHEP'!K51)</f>
        <v/>
      </c>
      <c r="I51" s="227" t="n"/>
      <c r="J51" s="222" t="n"/>
      <c r="K51" s="227" t="n"/>
      <c r="L51" s="224">
        <f>IF(OR($B51="",$E51&lt;&gt;"Có"),0,IF($K51&gt;0,$I51*$J51/$K51,0))</f>
        <v/>
      </c>
      <c r="M51" s="222" t="n"/>
      <c r="N51" s="227" t="n"/>
      <c r="O51" s="224">
        <f>IF(OR($B51="",$E51&lt;&gt;"Có"),0,$M51*$N51*0.5)</f>
        <v/>
      </c>
      <c r="P51" s="222" t="n"/>
      <c r="Q51" s="224">
        <f>IF(OR($B51="",$E51&lt;&gt;"Có"),0,MIN($P51,$O51))</f>
        <v/>
      </c>
      <c r="R51" s="224">
        <f>IF(OR($B51="",$E51&lt;&gt;"Có"),0,MAX($P51-$O51,0))</f>
        <v/>
      </c>
      <c r="S51" s="227" t="n"/>
      <c r="T51" s="224">
        <f>IF(OR($B51="",$E51&lt;&gt;"Có",$S51&lt;=0),0,$M51*MAX($S51,2))</f>
        <v/>
      </c>
      <c r="U51" s="222" t="n"/>
      <c r="V51" s="224">
        <f>IF(OR($B51="",$E51&lt;&gt;"Có"),0,MIN($U51,$T51))</f>
        <v/>
      </c>
      <c r="W51" s="224">
        <f>IF(OR($B51="",$E51&lt;&gt;"Có"),0,MAX($U51-$T51,0))</f>
        <v/>
      </c>
      <c r="X51" s="222" t="n"/>
      <c r="Y51" s="222" t="n"/>
      <c r="Z51" s="222" t="n"/>
      <c r="AA51" s="222" t="n"/>
      <c r="AB51" s="224">
        <f>IF(OR($B51="",$E51&lt;&gt;"Có"),0,SUM($L51,$Q51,$V51,$X51))</f>
        <v/>
      </c>
      <c r="AC51" s="224">
        <f>IF(OR($B51="",$E51&lt;&gt;"Có"),0,SUM($F51,$G51,$R51,$W51,$Y51))</f>
        <v/>
      </c>
      <c r="AD51" s="224">
        <f>IF(OR($B51="",$E51&lt;&gt;"Có"),0,SUM($Z51:$AA51))</f>
        <v/>
      </c>
      <c r="AE51" s="224">
        <f>IF(OR($B51="",$E51&lt;&gt;"Có"),0,$AB51+$AC51-$AD51)</f>
        <v/>
      </c>
      <c r="AF51" s="150">
        <f>IF($B51="","",IF(AND($E51="Có",$D51=""),"Thiếu ngày nghỉ; ","")&amp;IF($I51&gt;MAX($H51,0),"Ngày phép thanh toán vượt số còn lại; ","")&amp;IF(AND($I51&gt;0,OR($J51&lt;=0,$K51&lt;=0)),"Thiếu lương/công chuẩn tháng trước; ","")&amp;IF(AND(SUM($N51,$S51)&gt;0,$M51&lt;=0),"Thiếu bình quân lương 06 tháng; ","")&amp;IF($X51&gt;0,"Bồi thường miễn thuế cần căn cứ và hồ sơ; ","")&amp;IF($AE51&lt;0,"Tổng chi thêm âm; ",""))</f>
        <v/>
      </c>
    </row>
    <row r="52">
      <c r="A52" s="145">
        <f>IF('DM_NHAN_SU'!$B52="","",ROW()-5)</f>
        <v/>
      </c>
      <c r="B52" s="145">
        <f>IF('DM_NHAN_SU'!$B52="","",'DM_NHAN_SU'!B52)</f>
        <v/>
      </c>
      <c r="C52" s="145">
        <f>IF('DM_NHAN_SU'!$B52="","",'DM_NHAN_SU'!C52)</f>
        <v/>
      </c>
      <c r="D52" s="234">
        <f>IF(OR('DM_NHAN_SU'!$B52="",'DM_NHAN_SU'!$G52=""),"",'DM_NHAN_SU'!G52)</f>
        <v/>
      </c>
      <c r="E52" s="127" t="n"/>
      <c r="F52" s="222" t="n"/>
      <c r="G52" s="222" t="n"/>
      <c r="H52" s="232">
        <f>IF($B52="","",'NGHI_PHEP'!K52)</f>
        <v/>
      </c>
      <c r="I52" s="227" t="n"/>
      <c r="J52" s="222" t="n"/>
      <c r="K52" s="227" t="n"/>
      <c r="L52" s="224">
        <f>IF(OR($B52="",$E52&lt;&gt;"Có"),0,IF($K52&gt;0,$I52*$J52/$K52,0))</f>
        <v/>
      </c>
      <c r="M52" s="222" t="n"/>
      <c r="N52" s="227" t="n"/>
      <c r="O52" s="224">
        <f>IF(OR($B52="",$E52&lt;&gt;"Có"),0,$M52*$N52*0.5)</f>
        <v/>
      </c>
      <c r="P52" s="222" t="n"/>
      <c r="Q52" s="224">
        <f>IF(OR($B52="",$E52&lt;&gt;"Có"),0,MIN($P52,$O52))</f>
        <v/>
      </c>
      <c r="R52" s="224">
        <f>IF(OR($B52="",$E52&lt;&gt;"Có"),0,MAX($P52-$O52,0))</f>
        <v/>
      </c>
      <c r="S52" s="227" t="n"/>
      <c r="T52" s="224">
        <f>IF(OR($B52="",$E52&lt;&gt;"Có",$S52&lt;=0),0,$M52*MAX($S52,2))</f>
        <v/>
      </c>
      <c r="U52" s="222" t="n"/>
      <c r="V52" s="224">
        <f>IF(OR($B52="",$E52&lt;&gt;"Có"),0,MIN($U52,$T52))</f>
        <v/>
      </c>
      <c r="W52" s="224">
        <f>IF(OR($B52="",$E52&lt;&gt;"Có"),0,MAX($U52-$T52,0))</f>
        <v/>
      </c>
      <c r="X52" s="222" t="n"/>
      <c r="Y52" s="222" t="n"/>
      <c r="Z52" s="222" t="n"/>
      <c r="AA52" s="222" t="n"/>
      <c r="AB52" s="224">
        <f>IF(OR($B52="",$E52&lt;&gt;"Có"),0,SUM($L52,$Q52,$V52,$X52))</f>
        <v/>
      </c>
      <c r="AC52" s="224">
        <f>IF(OR($B52="",$E52&lt;&gt;"Có"),0,SUM($F52,$G52,$R52,$W52,$Y52))</f>
        <v/>
      </c>
      <c r="AD52" s="224">
        <f>IF(OR($B52="",$E52&lt;&gt;"Có"),0,SUM($Z52:$AA52))</f>
        <v/>
      </c>
      <c r="AE52" s="224">
        <f>IF(OR($B52="",$E52&lt;&gt;"Có"),0,$AB52+$AC52-$AD52)</f>
        <v/>
      </c>
      <c r="AF52" s="150">
        <f>IF($B52="","",IF(AND($E52="Có",$D52=""),"Thiếu ngày nghỉ; ","")&amp;IF($I52&gt;MAX($H52,0),"Ngày phép thanh toán vượt số còn lại; ","")&amp;IF(AND($I52&gt;0,OR($J52&lt;=0,$K52&lt;=0)),"Thiếu lương/công chuẩn tháng trước; ","")&amp;IF(AND(SUM($N52,$S52)&gt;0,$M52&lt;=0),"Thiếu bình quân lương 06 tháng; ","")&amp;IF($X52&gt;0,"Bồi thường miễn thuế cần căn cứ và hồ sơ; ","")&amp;IF($AE52&lt;0,"Tổng chi thêm âm; ",""))</f>
        <v/>
      </c>
    </row>
    <row r="53">
      <c r="A53" s="145">
        <f>IF('DM_NHAN_SU'!$B53="","",ROW()-5)</f>
        <v/>
      </c>
      <c r="B53" s="145">
        <f>IF('DM_NHAN_SU'!$B53="","",'DM_NHAN_SU'!B53)</f>
        <v/>
      </c>
      <c r="C53" s="145">
        <f>IF('DM_NHAN_SU'!$B53="","",'DM_NHAN_SU'!C53)</f>
        <v/>
      </c>
      <c r="D53" s="234">
        <f>IF(OR('DM_NHAN_SU'!$B53="",'DM_NHAN_SU'!$G53=""),"",'DM_NHAN_SU'!G53)</f>
        <v/>
      </c>
      <c r="E53" s="127" t="n"/>
      <c r="F53" s="222" t="n"/>
      <c r="G53" s="222" t="n"/>
      <c r="H53" s="232">
        <f>IF($B53="","",'NGHI_PHEP'!K53)</f>
        <v/>
      </c>
      <c r="I53" s="227" t="n"/>
      <c r="J53" s="222" t="n"/>
      <c r="K53" s="227" t="n"/>
      <c r="L53" s="224">
        <f>IF(OR($B53="",$E53&lt;&gt;"Có"),0,IF($K53&gt;0,$I53*$J53/$K53,0))</f>
        <v/>
      </c>
      <c r="M53" s="222" t="n"/>
      <c r="N53" s="227" t="n"/>
      <c r="O53" s="224">
        <f>IF(OR($B53="",$E53&lt;&gt;"Có"),0,$M53*$N53*0.5)</f>
        <v/>
      </c>
      <c r="P53" s="222" t="n"/>
      <c r="Q53" s="224">
        <f>IF(OR($B53="",$E53&lt;&gt;"Có"),0,MIN($P53,$O53))</f>
        <v/>
      </c>
      <c r="R53" s="224">
        <f>IF(OR($B53="",$E53&lt;&gt;"Có"),0,MAX($P53-$O53,0))</f>
        <v/>
      </c>
      <c r="S53" s="227" t="n"/>
      <c r="T53" s="224">
        <f>IF(OR($B53="",$E53&lt;&gt;"Có",$S53&lt;=0),0,$M53*MAX($S53,2))</f>
        <v/>
      </c>
      <c r="U53" s="222" t="n"/>
      <c r="V53" s="224">
        <f>IF(OR($B53="",$E53&lt;&gt;"Có"),0,MIN($U53,$T53))</f>
        <v/>
      </c>
      <c r="W53" s="224">
        <f>IF(OR($B53="",$E53&lt;&gt;"Có"),0,MAX($U53-$T53,0))</f>
        <v/>
      </c>
      <c r="X53" s="222" t="n"/>
      <c r="Y53" s="222" t="n"/>
      <c r="Z53" s="222" t="n"/>
      <c r="AA53" s="222" t="n"/>
      <c r="AB53" s="224">
        <f>IF(OR($B53="",$E53&lt;&gt;"Có"),0,SUM($L53,$Q53,$V53,$X53))</f>
        <v/>
      </c>
      <c r="AC53" s="224">
        <f>IF(OR($B53="",$E53&lt;&gt;"Có"),0,SUM($F53,$G53,$R53,$W53,$Y53))</f>
        <v/>
      </c>
      <c r="AD53" s="224">
        <f>IF(OR($B53="",$E53&lt;&gt;"Có"),0,SUM($Z53:$AA53))</f>
        <v/>
      </c>
      <c r="AE53" s="224">
        <f>IF(OR($B53="",$E53&lt;&gt;"Có"),0,$AB53+$AC53-$AD53)</f>
        <v/>
      </c>
      <c r="AF53" s="150">
        <f>IF($B53="","",IF(AND($E53="Có",$D53=""),"Thiếu ngày nghỉ; ","")&amp;IF($I53&gt;MAX($H53,0),"Ngày phép thanh toán vượt số còn lại; ","")&amp;IF(AND($I53&gt;0,OR($J53&lt;=0,$K53&lt;=0)),"Thiếu lương/công chuẩn tháng trước; ","")&amp;IF(AND(SUM($N53,$S53)&gt;0,$M53&lt;=0),"Thiếu bình quân lương 06 tháng; ","")&amp;IF($X53&gt;0,"Bồi thường miễn thuế cần căn cứ và hồ sơ; ","")&amp;IF($AE53&lt;0,"Tổng chi thêm âm; ",""))</f>
        <v/>
      </c>
    </row>
    <row r="54">
      <c r="A54" s="145">
        <f>IF('DM_NHAN_SU'!$B54="","",ROW()-5)</f>
        <v/>
      </c>
      <c r="B54" s="145">
        <f>IF('DM_NHAN_SU'!$B54="","",'DM_NHAN_SU'!B54)</f>
        <v/>
      </c>
      <c r="C54" s="145">
        <f>IF('DM_NHAN_SU'!$B54="","",'DM_NHAN_SU'!C54)</f>
        <v/>
      </c>
      <c r="D54" s="234">
        <f>IF(OR('DM_NHAN_SU'!$B54="",'DM_NHAN_SU'!$G54=""),"",'DM_NHAN_SU'!G54)</f>
        <v/>
      </c>
      <c r="E54" s="127" t="n"/>
      <c r="F54" s="222" t="n"/>
      <c r="G54" s="222" t="n"/>
      <c r="H54" s="232">
        <f>IF($B54="","",'NGHI_PHEP'!K54)</f>
        <v/>
      </c>
      <c r="I54" s="227" t="n"/>
      <c r="J54" s="222" t="n"/>
      <c r="K54" s="227" t="n"/>
      <c r="L54" s="224">
        <f>IF(OR($B54="",$E54&lt;&gt;"Có"),0,IF($K54&gt;0,$I54*$J54/$K54,0))</f>
        <v/>
      </c>
      <c r="M54" s="222" t="n"/>
      <c r="N54" s="227" t="n"/>
      <c r="O54" s="224">
        <f>IF(OR($B54="",$E54&lt;&gt;"Có"),0,$M54*$N54*0.5)</f>
        <v/>
      </c>
      <c r="P54" s="222" t="n"/>
      <c r="Q54" s="224">
        <f>IF(OR($B54="",$E54&lt;&gt;"Có"),0,MIN($P54,$O54))</f>
        <v/>
      </c>
      <c r="R54" s="224">
        <f>IF(OR($B54="",$E54&lt;&gt;"Có"),0,MAX($P54-$O54,0))</f>
        <v/>
      </c>
      <c r="S54" s="227" t="n"/>
      <c r="T54" s="224">
        <f>IF(OR($B54="",$E54&lt;&gt;"Có",$S54&lt;=0),0,$M54*MAX($S54,2))</f>
        <v/>
      </c>
      <c r="U54" s="222" t="n"/>
      <c r="V54" s="224">
        <f>IF(OR($B54="",$E54&lt;&gt;"Có"),0,MIN($U54,$T54))</f>
        <v/>
      </c>
      <c r="W54" s="224">
        <f>IF(OR($B54="",$E54&lt;&gt;"Có"),0,MAX($U54-$T54,0))</f>
        <v/>
      </c>
      <c r="X54" s="222" t="n"/>
      <c r="Y54" s="222" t="n"/>
      <c r="Z54" s="222" t="n"/>
      <c r="AA54" s="222" t="n"/>
      <c r="AB54" s="224">
        <f>IF(OR($B54="",$E54&lt;&gt;"Có"),0,SUM($L54,$Q54,$V54,$X54))</f>
        <v/>
      </c>
      <c r="AC54" s="224">
        <f>IF(OR($B54="",$E54&lt;&gt;"Có"),0,SUM($F54,$G54,$R54,$W54,$Y54))</f>
        <v/>
      </c>
      <c r="AD54" s="224">
        <f>IF(OR($B54="",$E54&lt;&gt;"Có"),0,SUM($Z54:$AA54))</f>
        <v/>
      </c>
      <c r="AE54" s="224">
        <f>IF(OR($B54="",$E54&lt;&gt;"Có"),0,$AB54+$AC54-$AD54)</f>
        <v/>
      </c>
      <c r="AF54" s="150">
        <f>IF($B54="","",IF(AND($E54="Có",$D54=""),"Thiếu ngày nghỉ; ","")&amp;IF($I54&gt;MAX($H54,0),"Ngày phép thanh toán vượt số còn lại; ","")&amp;IF(AND($I54&gt;0,OR($J54&lt;=0,$K54&lt;=0)),"Thiếu lương/công chuẩn tháng trước; ","")&amp;IF(AND(SUM($N54,$S54)&gt;0,$M54&lt;=0),"Thiếu bình quân lương 06 tháng; ","")&amp;IF($X54&gt;0,"Bồi thường miễn thuế cần căn cứ và hồ sơ; ","")&amp;IF($AE54&lt;0,"Tổng chi thêm âm; ",""))</f>
        <v/>
      </c>
    </row>
    <row r="55">
      <c r="A55" s="145">
        <f>IF('DM_NHAN_SU'!$B55="","",ROW()-5)</f>
        <v/>
      </c>
      <c r="B55" s="145">
        <f>IF('DM_NHAN_SU'!$B55="","",'DM_NHAN_SU'!B55)</f>
        <v/>
      </c>
      <c r="C55" s="145">
        <f>IF('DM_NHAN_SU'!$B55="","",'DM_NHAN_SU'!C55)</f>
        <v/>
      </c>
      <c r="D55" s="234">
        <f>IF(OR('DM_NHAN_SU'!$B55="",'DM_NHAN_SU'!$G55=""),"",'DM_NHAN_SU'!G55)</f>
        <v/>
      </c>
      <c r="E55" s="127" t="n"/>
      <c r="F55" s="222" t="n"/>
      <c r="G55" s="222" t="n"/>
      <c r="H55" s="232">
        <f>IF($B55="","",'NGHI_PHEP'!K55)</f>
        <v/>
      </c>
      <c r="I55" s="227" t="n"/>
      <c r="J55" s="222" t="n"/>
      <c r="K55" s="227" t="n"/>
      <c r="L55" s="224">
        <f>IF(OR($B55="",$E55&lt;&gt;"Có"),0,IF($K55&gt;0,$I55*$J55/$K55,0))</f>
        <v/>
      </c>
      <c r="M55" s="222" t="n"/>
      <c r="N55" s="227" t="n"/>
      <c r="O55" s="224">
        <f>IF(OR($B55="",$E55&lt;&gt;"Có"),0,$M55*$N55*0.5)</f>
        <v/>
      </c>
      <c r="P55" s="222" t="n"/>
      <c r="Q55" s="224">
        <f>IF(OR($B55="",$E55&lt;&gt;"Có"),0,MIN($P55,$O55))</f>
        <v/>
      </c>
      <c r="R55" s="224">
        <f>IF(OR($B55="",$E55&lt;&gt;"Có"),0,MAX($P55-$O55,0))</f>
        <v/>
      </c>
      <c r="S55" s="227" t="n"/>
      <c r="T55" s="224">
        <f>IF(OR($B55="",$E55&lt;&gt;"Có",$S55&lt;=0),0,$M55*MAX($S55,2))</f>
        <v/>
      </c>
      <c r="U55" s="222" t="n"/>
      <c r="V55" s="224">
        <f>IF(OR($B55="",$E55&lt;&gt;"Có"),0,MIN($U55,$T55))</f>
        <v/>
      </c>
      <c r="W55" s="224">
        <f>IF(OR($B55="",$E55&lt;&gt;"Có"),0,MAX($U55-$T55,0))</f>
        <v/>
      </c>
      <c r="X55" s="222" t="n"/>
      <c r="Y55" s="222" t="n"/>
      <c r="Z55" s="222" t="n"/>
      <c r="AA55" s="222" t="n"/>
      <c r="AB55" s="224">
        <f>IF(OR($B55="",$E55&lt;&gt;"Có"),0,SUM($L55,$Q55,$V55,$X55))</f>
        <v/>
      </c>
      <c r="AC55" s="224">
        <f>IF(OR($B55="",$E55&lt;&gt;"Có"),0,SUM($F55,$G55,$R55,$W55,$Y55))</f>
        <v/>
      </c>
      <c r="AD55" s="224">
        <f>IF(OR($B55="",$E55&lt;&gt;"Có"),0,SUM($Z55:$AA55))</f>
        <v/>
      </c>
      <c r="AE55" s="224">
        <f>IF(OR($B55="",$E55&lt;&gt;"Có"),0,$AB55+$AC55-$AD55)</f>
        <v/>
      </c>
      <c r="AF55" s="150">
        <f>IF($B55="","",IF(AND($E55="Có",$D55=""),"Thiếu ngày nghỉ; ","")&amp;IF($I55&gt;MAX($H55,0),"Ngày phép thanh toán vượt số còn lại; ","")&amp;IF(AND($I55&gt;0,OR($J55&lt;=0,$K55&lt;=0)),"Thiếu lương/công chuẩn tháng trước; ","")&amp;IF(AND(SUM($N55,$S55)&gt;0,$M55&lt;=0),"Thiếu bình quân lương 06 tháng; ","")&amp;IF($X55&gt;0,"Bồi thường miễn thuế cần căn cứ và hồ sơ; ","")&amp;IF($AE55&lt;0,"Tổng chi thêm âm; ",""))</f>
        <v/>
      </c>
    </row>
    <row r="56">
      <c r="A56" s="145">
        <f>IF('DM_NHAN_SU'!$B56="","",ROW()-5)</f>
        <v/>
      </c>
      <c r="B56" s="145">
        <f>IF('DM_NHAN_SU'!$B56="","",'DM_NHAN_SU'!B56)</f>
        <v/>
      </c>
      <c r="C56" s="145">
        <f>IF('DM_NHAN_SU'!$B56="","",'DM_NHAN_SU'!C56)</f>
        <v/>
      </c>
      <c r="D56" s="234">
        <f>IF(OR('DM_NHAN_SU'!$B56="",'DM_NHAN_SU'!$G56=""),"",'DM_NHAN_SU'!G56)</f>
        <v/>
      </c>
      <c r="E56" s="127" t="n"/>
      <c r="F56" s="222" t="n"/>
      <c r="G56" s="222" t="n"/>
      <c r="H56" s="232">
        <f>IF($B56="","",'NGHI_PHEP'!K56)</f>
        <v/>
      </c>
      <c r="I56" s="227" t="n"/>
      <c r="J56" s="222" t="n"/>
      <c r="K56" s="227" t="n"/>
      <c r="L56" s="224">
        <f>IF(OR($B56="",$E56&lt;&gt;"Có"),0,IF($K56&gt;0,$I56*$J56/$K56,0))</f>
        <v/>
      </c>
      <c r="M56" s="222" t="n"/>
      <c r="N56" s="227" t="n"/>
      <c r="O56" s="224">
        <f>IF(OR($B56="",$E56&lt;&gt;"Có"),0,$M56*$N56*0.5)</f>
        <v/>
      </c>
      <c r="P56" s="222" t="n"/>
      <c r="Q56" s="224">
        <f>IF(OR($B56="",$E56&lt;&gt;"Có"),0,MIN($P56,$O56))</f>
        <v/>
      </c>
      <c r="R56" s="224">
        <f>IF(OR($B56="",$E56&lt;&gt;"Có"),0,MAX($P56-$O56,0))</f>
        <v/>
      </c>
      <c r="S56" s="227" t="n"/>
      <c r="T56" s="224">
        <f>IF(OR($B56="",$E56&lt;&gt;"Có",$S56&lt;=0),0,$M56*MAX($S56,2))</f>
        <v/>
      </c>
      <c r="U56" s="222" t="n"/>
      <c r="V56" s="224">
        <f>IF(OR($B56="",$E56&lt;&gt;"Có"),0,MIN($U56,$T56))</f>
        <v/>
      </c>
      <c r="W56" s="224">
        <f>IF(OR($B56="",$E56&lt;&gt;"Có"),0,MAX($U56-$T56,0))</f>
        <v/>
      </c>
      <c r="X56" s="222" t="n"/>
      <c r="Y56" s="222" t="n"/>
      <c r="Z56" s="222" t="n"/>
      <c r="AA56" s="222" t="n"/>
      <c r="AB56" s="224">
        <f>IF(OR($B56="",$E56&lt;&gt;"Có"),0,SUM($L56,$Q56,$V56,$X56))</f>
        <v/>
      </c>
      <c r="AC56" s="224">
        <f>IF(OR($B56="",$E56&lt;&gt;"Có"),0,SUM($F56,$G56,$R56,$W56,$Y56))</f>
        <v/>
      </c>
      <c r="AD56" s="224">
        <f>IF(OR($B56="",$E56&lt;&gt;"Có"),0,SUM($Z56:$AA56))</f>
        <v/>
      </c>
      <c r="AE56" s="224">
        <f>IF(OR($B56="",$E56&lt;&gt;"Có"),0,$AB56+$AC56-$AD56)</f>
        <v/>
      </c>
      <c r="AF56" s="150">
        <f>IF($B56="","",IF(AND($E56="Có",$D56=""),"Thiếu ngày nghỉ; ","")&amp;IF($I56&gt;MAX($H56,0),"Ngày phép thanh toán vượt số còn lại; ","")&amp;IF(AND($I56&gt;0,OR($J56&lt;=0,$K56&lt;=0)),"Thiếu lương/công chuẩn tháng trước; ","")&amp;IF(AND(SUM($N56,$S56)&gt;0,$M56&lt;=0),"Thiếu bình quân lương 06 tháng; ","")&amp;IF($X56&gt;0,"Bồi thường miễn thuế cần căn cứ và hồ sơ; ","")&amp;IF($AE56&lt;0,"Tổng chi thêm âm; ",""))</f>
        <v/>
      </c>
    </row>
    <row r="57">
      <c r="A57" s="145">
        <f>IF('DM_NHAN_SU'!$B57="","",ROW()-5)</f>
        <v/>
      </c>
      <c r="B57" s="145">
        <f>IF('DM_NHAN_SU'!$B57="","",'DM_NHAN_SU'!B57)</f>
        <v/>
      </c>
      <c r="C57" s="145">
        <f>IF('DM_NHAN_SU'!$B57="","",'DM_NHAN_SU'!C57)</f>
        <v/>
      </c>
      <c r="D57" s="234">
        <f>IF(OR('DM_NHAN_SU'!$B57="",'DM_NHAN_SU'!$G57=""),"",'DM_NHAN_SU'!G57)</f>
        <v/>
      </c>
      <c r="E57" s="127" t="n"/>
      <c r="F57" s="222" t="n"/>
      <c r="G57" s="222" t="n"/>
      <c r="H57" s="232">
        <f>IF($B57="","",'NGHI_PHEP'!K57)</f>
        <v/>
      </c>
      <c r="I57" s="227" t="n"/>
      <c r="J57" s="222" t="n"/>
      <c r="K57" s="227" t="n"/>
      <c r="L57" s="224">
        <f>IF(OR($B57="",$E57&lt;&gt;"Có"),0,IF($K57&gt;0,$I57*$J57/$K57,0))</f>
        <v/>
      </c>
      <c r="M57" s="222" t="n"/>
      <c r="N57" s="227" t="n"/>
      <c r="O57" s="224">
        <f>IF(OR($B57="",$E57&lt;&gt;"Có"),0,$M57*$N57*0.5)</f>
        <v/>
      </c>
      <c r="P57" s="222" t="n"/>
      <c r="Q57" s="224">
        <f>IF(OR($B57="",$E57&lt;&gt;"Có"),0,MIN($P57,$O57))</f>
        <v/>
      </c>
      <c r="R57" s="224">
        <f>IF(OR($B57="",$E57&lt;&gt;"Có"),0,MAX($P57-$O57,0))</f>
        <v/>
      </c>
      <c r="S57" s="227" t="n"/>
      <c r="T57" s="224">
        <f>IF(OR($B57="",$E57&lt;&gt;"Có",$S57&lt;=0),0,$M57*MAX($S57,2))</f>
        <v/>
      </c>
      <c r="U57" s="222" t="n"/>
      <c r="V57" s="224">
        <f>IF(OR($B57="",$E57&lt;&gt;"Có"),0,MIN($U57,$T57))</f>
        <v/>
      </c>
      <c r="W57" s="224">
        <f>IF(OR($B57="",$E57&lt;&gt;"Có"),0,MAX($U57-$T57,0))</f>
        <v/>
      </c>
      <c r="X57" s="222" t="n"/>
      <c r="Y57" s="222" t="n"/>
      <c r="Z57" s="222" t="n"/>
      <c r="AA57" s="222" t="n"/>
      <c r="AB57" s="224">
        <f>IF(OR($B57="",$E57&lt;&gt;"Có"),0,SUM($L57,$Q57,$V57,$X57))</f>
        <v/>
      </c>
      <c r="AC57" s="224">
        <f>IF(OR($B57="",$E57&lt;&gt;"Có"),0,SUM($F57,$G57,$R57,$W57,$Y57))</f>
        <v/>
      </c>
      <c r="AD57" s="224">
        <f>IF(OR($B57="",$E57&lt;&gt;"Có"),0,SUM($Z57:$AA57))</f>
        <v/>
      </c>
      <c r="AE57" s="224">
        <f>IF(OR($B57="",$E57&lt;&gt;"Có"),0,$AB57+$AC57-$AD57)</f>
        <v/>
      </c>
      <c r="AF57" s="150">
        <f>IF($B57="","",IF(AND($E57="Có",$D57=""),"Thiếu ngày nghỉ; ","")&amp;IF($I57&gt;MAX($H57,0),"Ngày phép thanh toán vượt số còn lại; ","")&amp;IF(AND($I57&gt;0,OR($J57&lt;=0,$K57&lt;=0)),"Thiếu lương/công chuẩn tháng trước; ","")&amp;IF(AND(SUM($N57,$S57)&gt;0,$M57&lt;=0),"Thiếu bình quân lương 06 tháng; ","")&amp;IF($X57&gt;0,"Bồi thường miễn thuế cần căn cứ và hồ sơ; ","")&amp;IF($AE57&lt;0,"Tổng chi thêm âm; ",""))</f>
        <v/>
      </c>
    </row>
    <row r="58">
      <c r="A58" s="145">
        <f>IF('DM_NHAN_SU'!$B58="","",ROW()-5)</f>
        <v/>
      </c>
      <c r="B58" s="145">
        <f>IF('DM_NHAN_SU'!$B58="","",'DM_NHAN_SU'!B58)</f>
        <v/>
      </c>
      <c r="C58" s="145">
        <f>IF('DM_NHAN_SU'!$B58="","",'DM_NHAN_SU'!C58)</f>
        <v/>
      </c>
      <c r="D58" s="234">
        <f>IF(OR('DM_NHAN_SU'!$B58="",'DM_NHAN_SU'!$G58=""),"",'DM_NHAN_SU'!G58)</f>
        <v/>
      </c>
      <c r="E58" s="127" t="n"/>
      <c r="F58" s="222" t="n"/>
      <c r="G58" s="222" t="n"/>
      <c r="H58" s="232">
        <f>IF($B58="","",'NGHI_PHEP'!K58)</f>
        <v/>
      </c>
      <c r="I58" s="227" t="n"/>
      <c r="J58" s="222" t="n"/>
      <c r="K58" s="227" t="n"/>
      <c r="L58" s="224">
        <f>IF(OR($B58="",$E58&lt;&gt;"Có"),0,IF($K58&gt;0,$I58*$J58/$K58,0))</f>
        <v/>
      </c>
      <c r="M58" s="222" t="n"/>
      <c r="N58" s="227" t="n"/>
      <c r="O58" s="224">
        <f>IF(OR($B58="",$E58&lt;&gt;"Có"),0,$M58*$N58*0.5)</f>
        <v/>
      </c>
      <c r="P58" s="222" t="n"/>
      <c r="Q58" s="224">
        <f>IF(OR($B58="",$E58&lt;&gt;"Có"),0,MIN($P58,$O58))</f>
        <v/>
      </c>
      <c r="R58" s="224">
        <f>IF(OR($B58="",$E58&lt;&gt;"Có"),0,MAX($P58-$O58,0))</f>
        <v/>
      </c>
      <c r="S58" s="227" t="n"/>
      <c r="T58" s="224">
        <f>IF(OR($B58="",$E58&lt;&gt;"Có",$S58&lt;=0),0,$M58*MAX($S58,2))</f>
        <v/>
      </c>
      <c r="U58" s="222" t="n"/>
      <c r="V58" s="224">
        <f>IF(OR($B58="",$E58&lt;&gt;"Có"),0,MIN($U58,$T58))</f>
        <v/>
      </c>
      <c r="W58" s="224">
        <f>IF(OR($B58="",$E58&lt;&gt;"Có"),0,MAX($U58-$T58,0))</f>
        <v/>
      </c>
      <c r="X58" s="222" t="n"/>
      <c r="Y58" s="222" t="n"/>
      <c r="Z58" s="222" t="n"/>
      <c r="AA58" s="222" t="n"/>
      <c r="AB58" s="224">
        <f>IF(OR($B58="",$E58&lt;&gt;"Có"),0,SUM($L58,$Q58,$V58,$X58))</f>
        <v/>
      </c>
      <c r="AC58" s="224">
        <f>IF(OR($B58="",$E58&lt;&gt;"Có"),0,SUM($F58,$G58,$R58,$W58,$Y58))</f>
        <v/>
      </c>
      <c r="AD58" s="224">
        <f>IF(OR($B58="",$E58&lt;&gt;"Có"),0,SUM($Z58:$AA58))</f>
        <v/>
      </c>
      <c r="AE58" s="224">
        <f>IF(OR($B58="",$E58&lt;&gt;"Có"),0,$AB58+$AC58-$AD58)</f>
        <v/>
      </c>
      <c r="AF58" s="150">
        <f>IF($B58="","",IF(AND($E58="Có",$D58=""),"Thiếu ngày nghỉ; ","")&amp;IF($I58&gt;MAX($H58,0),"Ngày phép thanh toán vượt số còn lại; ","")&amp;IF(AND($I58&gt;0,OR($J58&lt;=0,$K58&lt;=0)),"Thiếu lương/công chuẩn tháng trước; ","")&amp;IF(AND(SUM($N58,$S58)&gt;0,$M58&lt;=0),"Thiếu bình quân lương 06 tháng; ","")&amp;IF($X58&gt;0,"Bồi thường miễn thuế cần căn cứ và hồ sơ; ","")&amp;IF($AE58&lt;0,"Tổng chi thêm âm; ",""))</f>
        <v/>
      </c>
    </row>
    <row r="59">
      <c r="A59" s="145">
        <f>IF('DM_NHAN_SU'!$B59="","",ROW()-5)</f>
        <v/>
      </c>
      <c r="B59" s="145">
        <f>IF('DM_NHAN_SU'!$B59="","",'DM_NHAN_SU'!B59)</f>
        <v/>
      </c>
      <c r="C59" s="145">
        <f>IF('DM_NHAN_SU'!$B59="","",'DM_NHAN_SU'!C59)</f>
        <v/>
      </c>
      <c r="D59" s="234">
        <f>IF(OR('DM_NHAN_SU'!$B59="",'DM_NHAN_SU'!$G59=""),"",'DM_NHAN_SU'!G59)</f>
        <v/>
      </c>
      <c r="E59" s="127" t="n"/>
      <c r="F59" s="222" t="n"/>
      <c r="G59" s="222" t="n"/>
      <c r="H59" s="232">
        <f>IF($B59="","",'NGHI_PHEP'!K59)</f>
        <v/>
      </c>
      <c r="I59" s="227" t="n"/>
      <c r="J59" s="222" t="n"/>
      <c r="K59" s="227" t="n"/>
      <c r="L59" s="224">
        <f>IF(OR($B59="",$E59&lt;&gt;"Có"),0,IF($K59&gt;0,$I59*$J59/$K59,0))</f>
        <v/>
      </c>
      <c r="M59" s="222" t="n"/>
      <c r="N59" s="227" t="n"/>
      <c r="O59" s="224">
        <f>IF(OR($B59="",$E59&lt;&gt;"Có"),0,$M59*$N59*0.5)</f>
        <v/>
      </c>
      <c r="P59" s="222" t="n"/>
      <c r="Q59" s="224">
        <f>IF(OR($B59="",$E59&lt;&gt;"Có"),0,MIN($P59,$O59))</f>
        <v/>
      </c>
      <c r="R59" s="224">
        <f>IF(OR($B59="",$E59&lt;&gt;"Có"),0,MAX($P59-$O59,0))</f>
        <v/>
      </c>
      <c r="S59" s="227" t="n"/>
      <c r="T59" s="224">
        <f>IF(OR($B59="",$E59&lt;&gt;"Có",$S59&lt;=0),0,$M59*MAX($S59,2))</f>
        <v/>
      </c>
      <c r="U59" s="222" t="n"/>
      <c r="V59" s="224">
        <f>IF(OR($B59="",$E59&lt;&gt;"Có"),0,MIN($U59,$T59))</f>
        <v/>
      </c>
      <c r="W59" s="224">
        <f>IF(OR($B59="",$E59&lt;&gt;"Có"),0,MAX($U59-$T59,0))</f>
        <v/>
      </c>
      <c r="X59" s="222" t="n"/>
      <c r="Y59" s="222" t="n"/>
      <c r="Z59" s="222" t="n"/>
      <c r="AA59" s="222" t="n"/>
      <c r="AB59" s="224">
        <f>IF(OR($B59="",$E59&lt;&gt;"Có"),0,SUM($L59,$Q59,$V59,$X59))</f>
        <v/>
      </c>
      <c r="AC59" s="224">
        <f>IF(OR($B59="",$E59&lt;&gt;"Có"),0,SUM($F59,$G59,$R59,$W59,$Y59))</f>
        <v/>
      </c>
      <c r="AD59" s="224">
        <f>IF(OR($B59="",$E59&lt;&gt;"Có"),0,SUM($Z59:$AA59))</f>
        <v/>
      </c>
      <c r="AE59" s="224">
        <f>IF(OR($B59="",$E59&lt;&gt;"Có"),0,$AB59+$AC59-$AD59)</f>
        <v/>
      </c>
      <c r="AF59" s="150">
        <f>IF($B59="","",IF(AND($E59="Có",$D59=""),"Thiếu ngày nghỉ; ","")&amp;IF($I59&gt;MAX($H59,0),"Ngày phép thanh toán vượt số còn lại; ","")&amp;IF(AND($I59&gt;0,OR($J59&lt;=0,$K59&lt;=0)),"Thiếu lương/công chuẩn tháng trước; ","")&amp;IF(AND(SUM($N59,$S59)&gt;0,$M59&lt;=0),"Thiếu bình quân lương 06 tháng; ","")&amp;IF($X59&gt;0,"Bồi thường miễn thuế cần căn cứ và hồ sơ; ","")&amp;IF($AE59&lt;0,"Tổng chi thêm âm; ",""))</f>
        <v/>
      </c>
    </row>
    <row r="60">
      <c r="A60" s="145">
        <f>IF('DM_NHAN_SU'!$B60="","",ROW()-5)</f>
        <v/>
      </c>
      <c r="B60" s="145">
        <f>IF('DM_NHAN_SU'!$B60="","",'DM_NHAN_SU'!B60)</f>
        <v/>
      </c>
      <c r="C60" s="145">
        <f>IF('DM_NHAN_SU'!$B60="","",'DM_NHAN_SU'!C60)</f>
        <v/>
      </c>
      <c r="D60" s="234">
        <f>IF(OR('DM_NHAN_SU'!$B60="",'DM_NHAN_SU'!$G60=""),"",'DM_NHAN_SU'!G60)</f>
        <v/>
      </c>
      <c r="E60" s="127" t="n"/>
      <c r="F60" s="222" t="n"/>
      <c r="G60" s="222" t="n"/>
      <c r="H60" s="232">
        <f>IF($B60="","",'NGHI_PHEP'!K60)</f>
        <v/>
      </c>
      <c r="I60" s="227" t="n"/>
      <c r="J60" s="222" t="n"/>
      <c r="K60" s="227" t="n"/>
      <c r="L60" s="224">
        <f>IF(OR($B60="",$E60&lt;&gt;"Có"),0,IF($K60&gt;0,$I60*$J60/$K60,0))</f>
        <v/>
      </c>
      <c r="M60" s="222" t="n"/>
      <c r="N60" s="227" t="n"/>
      <c r="O60" s="224">
        <f>IF(OR($B60="",$E60&lt;&gt;"Có"),0,$M60*$N60*0.5)</f>
        <v/>
      </c>
      <c r="P60" s="222" t="n"/>
      <c r="Q60" s="224">
        <f>IF(OR($B60="",$E60&lt;&gt;"Có"),0,MIN($P60,$O60))</f>
        <v/>
      </c>
      <c r="R60" s="224">
        <f>IF(OR($B60="",$E60&lt;&gt;"Có"),0,MAX($P60-$O60,0))</f>
        <v/>
      </c>
      <c r="S60" s="227" t="n"/>
      <c r="T60" s="224">
        <f>IF(OR($B60="",$E60&lt;&gt;"Có",$S60&lt;=0),0,$M60*MAX($S60,2))</f>
        <v/>
      </c>
      <c r="U60" s="222" t="n"/>
      <c r="V60" s="224">
        <f>IF(OR($B60="",$E60&lt;&gt;"Có"),0,MIN($U60,$T60))</f>
        <v/>
      </c>
      <c r="W60" s="224">
        <f>IF(OR($B60="",$E60&lt;&gt;"Có"),0,MAX($U60-$T60,0))</f>
        <v/>
      </c>
      <c r="X60" s="222" t="n"/>
      <c r="Y60" s="222" t="n"/>
      <c r="Z60" s="222" t="n"/>
      <c r="AA60" s="222" t="n"/>
      <c r="AB60" s="224">
        <f>IF(OR($B60="",$E60&lt;&gt;"Có"),0,SUM($L60,$Q60,$V60,$X60))</f>
        <v/>
      </c>
      <c r="AC60" s="224">
        <f>IF(OR($B60="",$E60&lt;&gt;"Có"),0,SUM($F60,$G60,$R60,$W60,$Y60))</f>
        <v/>
      </c>
      <c r="AD60" s="224">
        <f>IF(OR($B60="",$E60&lt;&gt;"Có"),0,SUM($Z60:$AA60))</f>
        <v/>
      </c>
      <c r="AE60" s="224">
        <f>IF(OR($B60="",$E60&lt;&gt;"Có"),0,$AB60+$AC60-$AD60)</f>
        <v/>
      </c>
      <c r="AF60" s="150">
        <f>IF($B60="","",IF(AND($E60="Có",$D60=""),"Thiếu ngày nghỉ; ","")&amp;IF($I60&gt;MAX($H60,0),"Ngày phép thanh toán vượt số còn lại; ","")&amp;IF(AND($I60&gt;0,OR($J60&lt;=0,$K60&lt;=0)),"Thiếu lương/công chuẩn tháng trước; ","")&amp;IF(AND(SUM($N60,$S60)&gt;0,$M60&lt;=0),"Thiếu bình quân lương 06 tháng; ","")&amp;IF($X60&gt;0,"Bồi thường miễn thuế cần căn cứ và hồ sơ; ","")&amp;IF($AE60&lt;0,"Tổng chi thêm âm; ",""))</f>
        <v/>
      </c>
    </row>
    <row r="61">
      <c r="A61" s="145">
        <f>IF('DM_NHAN_SU'!$B61="","",ROW()-5)</f>
        <v/>
      </c>
      <c r="B61" s="145">
        <f>IF('DM_NHAN_SU'!$B61="","",'DM_NHAN_SU'!B61)</f>
        <v/>
      </c>
      <c r="C61" s="145">
        <f>IF('DM_NHAN_SU'!$B61="","",'DM_NHAN_SU'!C61)</f>
        <v/>
      </c>
      <c r="D61" s="234">
        <f>IF(OR('DM_NHAN_SU'!$B61="",'DM_NHAN_SU'!$G61=""),"",'DM_NHAN_SU'!G61)</f>
        <v/>
      </c>
      <c r="E61" s="127" t="n"/>
      <c r="F61" s="222" t="n"/>
      <c r="G61" s="222" t="n"/>
      <c r="H61" s="232">
        <f>IF($B61="","",'NGHI_PHEP'!K61)</f>
        <v/>
      </c>
      <c r="I61" s="227" t="n"/>
      <c r="J61" s="222" t="n"/>
      <c r="K61" s="227" t="n"/>
      <c r="L61" s="224">
        <f>IF(OR($B61="",$E61&lt;&gt;"Có"),0,IF($K61&gt;0,$I61*$J61/$K61,0))</f>
        <v/>
      </c>
      <c r="M61" s="222" t="n"/>
      <c r="N61" s="227" t="n"/>
      <c r="O61" s="224">
        <f>IF(OR($B61="",$E61&lt;&gt;"Có"),0,$M61*$N61*0.5)</f>
        <v/>
      </c>
      <c r="P61" s="222" t="n"/>
      <c r="Q61" s="224">
        <f>IF(OR($B61="",$E61&lt;&gt;"Có"),0,MIN($P61,$O61))</f>
        <v/>
      </c>
      <c r="R61" s="224">
        <f>IF(OR($B61="",$E61&lt;&gt;"Có"),0,MAX($P61-$O61,0))</f>
        <v/>
      </c>
      <c r="S61" s="227" t="n"/>
      <c r="T61" s="224">
        <f>IF(OR($B61="",$E61&lt;&gt;"Có",$S61&lt;=0),0,$M61*MAX($S61,2))</f>
        <v/>
      </c>
      <c r="U61" s="222" t="n"/>
      <c r="V61" s="224">
        <f>IF(OR($B61="",$E61&lt;&gt;"Có"),0,MIN($U61,$T61))</f>
        <v/>
      </c>
      <c r="W61" s="224">
        <f>IF(OR($B61="",$E61&lt;&gt;"Có"),0,MAX($U61-$T61,0))</f>
        <v/>
      </c>
      <c r="X61" s="222" t="n"/>
      <c r="Y61" s="222" t="n"/>
      <c r="Z61" s="222" t="n"/>
      <c r="AA61" s="222" t="n"/>
      <c r="AB61" s="224">
        <f>IF(OR($B61="",$E61&lt;&gt;"Có"),0,SUM($L61,$Q61,$V61,$X61))</f>
        <v/>
      </c>
      <c r="AC61" s="224">
        <f>IF(OR($B61="",$E61&lt;&gt;"Có"),0,SUM($F61,$G61,$R61,$W61,$Y61))</f>
        <v/>
      </c>
      <c r="AD61" s="224">
        <f>IF(OR($B61="",$E61&lt;&gt;"Có"),0,SUM($Z61:$AA61))</f>
        <v/>
      </c>
      <c r="AE61" s="224">
        <f>IF(OR($B61="",$E61&lt;&gt;"Có"),0,$AB61+$AC61-$AD61)</f>
        <v/>
      </c>
      <c r="AF61" s="150">
        <f>IF($B61="","",IF(AND($E61="Có",$D61=""),"Thiếu ngày nghỉ; ","")&amp;IF($I61&gt;MAX($H61,0),"Ngày phép thanh toán vượt số còn lại; ","")&amp;IF(AND($I61&gt;0,OR($J61&lt;=0,$K61&lt;=0)),"Thiếu lương/công chuẩn tháng trước; ","")&amp;IF(AND(SUM($N61,$S61)&gt;0,$M61&lt;=0),"Thiếu bình quân lương 06 tháng; ","")&amp;IF($X61&gt;0,"Bồi thường miễn thuế cần căn cứ và hồ sơ; ","")&amp;IF($AE61&lt;0,"Tổng chi thêm âm; ",""))</f>
        <v/>
      </c>
    </row>
    <row r="62">
      <c r="A62" s="145">
        <f>IF('DM_NHAN_SU'!$B62="","",ROW()-5)</f>
        <v/>
      </c>
      <c r="B62" s="145">
        <f>IF('DM_NHAN_SU'!$B62="","",'DM_NHAN_SU'!B62)</f>
        <v/>
      </c>
      <c r="C62" s="145">
        <f>IF('DM_NHAN_SU'!$B62="","",'DM_NHAN_SU'!C62)</f>
        <v/>
      </c>
      <c r="D62" s="234">
        <f>IF(OR('DM_NHAN_SU'!$B62="",'DM_NHAN_SU'!$G62=""),"",'DM_NHAN_SU'!G62)</f>
        <v/>
      </c>
      <c r="E62" s="127" t="n"/>
      <c r="F62" s="222" t="n"/>
      <c r="G62" s="222" t="n"/>
      <c r="H62" s="232">
        <f>IF($B62="","",'NGHI_PHEP'!K62)</f>
        <v/>
      </c>
      <c r="I62" s="227" t="n"/>
      <c r="J62" s="222" t="n"/>
      <c r="K62" s="227" t="n"/>
      <c r="L62" s="224">
        <f>IF(OR($B62="",$E62&lt;&gt;"Có"),0,IF($K62&gt;0,$I62*$J62/$K62,0))</f>
        <v/>
      </c>
      <c r="M62" s="222" t="n"/>
      <c r="N62" s="227" t="n"/>
      <c r="O62" s="224">
        <f>IF(OR($B62="",$E62&lt;&gt;"Có"),0,$M62*$N62*0.5)</f>
        <v/>
      </c>
      <c r="P62" s="222" t="n"/>
      <c r="Q62" s="224">
        <f>IF(OR($B62="",$E62&lt;&gt;"Có"),0,MIN($P62,$O62))</f>
        <v/>
      </c>
      <c r="R62" s="224">
        <f>IF(OR($B62="",$E62&lt;&gt;"Có"),0,MAX($P62-$O62,0))</f>
        <v/>
      </c>
      <c r="S62" s="227" t="n"/>
      <c r="T62" s="224">
        <f>IF(OR($B62="",$E62&lt;&gt;"Có",$S62&lt;=0),0,$M62*MAX($S62,2))</f>
        <v/>
      </c>
      <c r="U62" s="222" t="n"/>
      <c r="V62" s="224">
        <f>IF(OR($B62="",$E62&lt;&gt;"Có"),0,MIN($U62,$T62))</f>
        <v/>
      </c>
      <c r="W62" s="224">
        <f>IF(OR($B62="",$E62&lt;&gt;"Có"),0,MAX($U62-$T62,0))</f>
        <v/>
      </c>
      <c r="X62" s="222" t="n"/>
      <c r="Y62" s="222" t="n"/>
      <c r="Z62" s="222" t="n"/>
      <c r="AA62" s="222" t="n"/>
      <c r="AB62" s="224">
        <f>IF(OR($B62="",$E62&lt;&gt;"Có"),0,SUM($L62,$Q62,$V62,$X62))</f>
        <v/>
      </c>
      <c r="AC62" s="224">
        <f>IF(OR($B62="",$E62&lt;&gt;"Có"),0,SUM($F62,$G62,$R62,$W62,$Y62))</f>
        <v/>
      </c>
      <c r="AD62" s="224">
        <f>IF(OR($B62="",$E62&lt;&gt;"Có"),0,SUM($Z62:$AA62))</f>
        <v/>
      </c>
      <c r="AE62" s="224">
        <f>IF(OR($B62="",$E62&lt;&gt;"Có"),0,$AB62+$AC62-$AD62)</f>
        <v/>
      </c>
      <c r="AF62" s="150">
        <f>IF($B62="","",IF(AND($E62="Có",$D62=""),"Thiếu ngày nghỉ; ","")&amp;IF($I62&gt;MAX($H62,0),"Ngày phép thanh toán vượt số còn lại; ","")&amp;IF(AND($I62&gt;0,OR($J62&lt;=0,$K62&lt;=0)),"Thiếu lương/công chuẩn tháng trước; ","")&amp;IF(AND(SUM($N62,$S62)&gt;0,$M62&lt;=0),"Thiếu bình quân lương 06 tháng; ","")&amp;IF($X62&gt;0,"Bồi thường miễn thuế cần căn cứ và hồ sơ; ","")&amp;IF($AE62&lt;0,"Tổng chi thêm âm; ",""))</f>
        <v/>
      </c>
    </row>
    <row r="63">
      <c r="A63" s="145">
        <f>IF('DM_NHAN_SU'!$B63="","",ROW()-5)</f>
        <v/>
      </c>
      <c r="B63" s="145">
        <f>IF('DM_NHAN_SU'!$B63="","",'DM_NHAN_SU'!B63)</f>
        <v/>
      </c>
      <c r="C63" s="145">
        <f>IF('DM_NHAN_SU'!$B63="","",'DM_NHAN_SU'!C63)</f>
        <v/>
      </c>
      <c r="D63" s="234">
        <f>IF(OR('DM_NHAN_SU'!$B63="",'DM_NHAN_SU'!$G63=""),"",'DM_NHAN_SU'!G63)</f>
        <v/>
      </c>
      <c r="E63" s="127" t="n"/>
      <c r="F63" s="222" t="n"/>
      <c r="G63" s="222" t="n"/>
      <c r="H63" s="232">
        <f>IF($B63="","",'NGHI_PHEP'!K63)</f>
        <v/>
      </c>
      <c r="I63" s="227" t="n"/>
      <c r="J63" s="222" t="n"/>
      <c r="K63" s="227" t="n"/>
      <c r="L63" s="224">
        <f>IF(OR($B63="",$E63&lt;&gt;"Có"),0,IF($K63&gt;0,$I63*$J63/$K63,0))</f>
        <v/>
      </c>
      <c r="M63" s="222" t="n"/>
      <c r="N63" s="227" t="n"/>
      <c r="O63" s="224">
        <f>IF(OR($B63="",$E63&lt;&gt;"Có"),0,$M63*$N63*0.5)</f>
        <v/>
      </c>
      <c r="P63" s="222" t="n"/>
      <c r="Q63" s="224">
        <f>IF(OR($B63="",$E63&lt;&gt;"Có"),0,MIN($P63,$O63))</f>
        <v/>
      </c>
      <c r="R63" s="224">
        <f>IF(OR($B63="",$E63&lt;&gt;"Có"),0,MAX($P63-$O63,0))</f>
        <v/>
      </c>
      <c r="S63" s="227" t="n"/>
      <c r="T63" s="224">
        <f>IF(OR($B63="",$E63&lt;&gt;"Có",$S63&lt;=0),0,$M63*MAX($S63,2))</f>
        <v/>
      </c>
      <c r="U63" s="222" t="n"/>
      <c r="V63" s="224">
        <f>IF(OR($B63="",$E63&lt;&gt;"Có"),0,MIN($U63,$T63))</f>
        <v/>
      </c>
      <c r="W63" s="224">
        <f>IF(OR($B63="",$E63&lt;&gt;"Có"),0,MAX($U63-$T63,0))</f>
        <v/>
      </c>
      <c r="X63" s="222" t="n"/>
      <c r="Y63" s="222" t="n"/>
      <c r="Z63" s="222" t="n"/>
      <c r="AA63" s="222" t="n"/>
      <c r="AB63" s="224">
        <f>IF(OR($B63="",$E63&lt;&gt;"Có"),0,SUM($L63,$Q63,$V63,$X63))</f>
        <v/>
      </c>
      <c r="AC63" s="224">
        <f>IF(OR($B63="",$E63&lt;&gt;"Có"),0,SUM($F63,$G63,$R63,$W63,$Y63))</f>
        <v/>
      </c>
      <c r="AD63" s="224">
        <f>IF(OR($B63="",$E63&lt;&gt;"Có"),0,SUM($Z63:$AA63))</f>
        <v/>
      </c>
      <c r="AE63" s="224">
        <f>IF(OR($B63="",$E63&lt;&gt;"Có"),0,$AB63+$AC63-$AD63)</f>
        <v/>
      </c>
      <c r="AF63" s="150">
        <f>IF($B63="","",IF(AND($E63="Có",$D63=""),"Thiếu ngày nghỉ; ","")&amp;IF($I63&gt;MAX($H63,0),"Ngày phép thanh toán vượt số còn lại; ","")&amp;IF(AND($I63&gt;0,OR($J63&lt;=0,$K63&lt;=0)),"Thiếu lương/công chuẩn tháng trước; ","")&amp;IF(AND(SUM($N63,$S63)&gt;0,$M63&lt;=0),"Thiếu bình quân lương 06 tháng; ","")&amp;IF($X63&gt;0,"Bồi thường miễn thuế cần căn cứ và hồ sơ; ","")&amp;IF($AE63&lt;0,"Tổng chi thêm âm; ",""))</f>
        <v/>
      </c>
    </row>
    <row r="64">
      <c r="A64" s="145">
        <f>IF('DM_NHAN_SU'!$B64="","",ROW()-5)</f>
        <v/>
      </c>
      <c r="B64" s="145">
        <f>IF('DM_NHAN_SU'!$B64="","",'DM_NHAN_SU'!B64)</f>
        <v/>
      </c>
      <c r="C64" s="145">
        <f>IF('DM_NHAN_SU'!$B64="","",'DM_NHAN_SU'!C64)</f>
        <v/>
      </c>
      <c r="D64" s="234">
        <f>IF(OR('DM_NHAN_SU'!$B64="",'DM_NHAN_SU'!$G64=""),"",'DM_NHAN_SU'!G64)</f>
        <v/>
      </c>
      <c r="E64" s="127" t="n"/>
      <c r="F64" s="222" t="n"/>
      <c r="G64" s="222" t="n"/>
      <c r="H64" s="232">
        <f>IF($B64="","",'NGHI_PHEP'!K64)</f>
        <v/>
      </c>
      <c r="I64" s="227" t="n"/>
      <c r="J64" s="222" t="n"/>
      <c r="K64" s="227" t="n"/>
      <c r="L64" s="224">
        <f>IF(OR($B64="",$E64&lt;&gt;"Có"),0,IF($K64&gt;0,$I64*$J64/$K64,0))</f>
        <v/>
      </c>
      <c r="M64" s="222" t="n"/>
      <c r="N64" s="227" t="n"/>
      <c r="O64" s="224">
        <f>IF(OR($B64="",$E64&lt;&gt;"Có"),0,$M64*$N64*0.5)</f>
        <v/>
      </c>
      <c r="P64" s="222" t="n"/>
      <c r="Q64" s="224">
        <f>IF(OR($B64="",$E64&lt;&gt;"Có"),0,MIN($P64,$O64))</f>
        <v/>
      </c>
      <c r="R64" s="224">
        <f>IF(OR($B64="",$E64&lt;&gt;"Có"),0,MAX($P64-$O64,0))</f>
        <v/>
      </c>
      <c r="S64" s="227" t="n"/>
      <c r="T64" s="224">
        <f>IF(OR($B64="",$E64&lt;&gt;"Có",$S64&lt;=0),0,$M64*MAX($S64,2))</f>
        <v/>
      </c>
      <c r="U64" s="222" t="n"/>
      <c r="V64" s="224">
        <f>IF(OR($B64="",$E64&lt;&gt;"Có"),0,MIN($U64,$T64))</f>
        <v/>
      </c>
      <c r="W64" s="224">
        <f>IF(OR($B64="",$E64&lt;&gt;"Có"),0,MAX($U64-$T64,0))</f>
        <v/>
      </c>
      <c r="X64" s="222" t="n"/>
      <c r="Y64" s="222" t="n"/>
      <c r="Z64" s="222" t="n"/>
      <c r="AA64" s="222" t="n"/>
      <c r="AB64" s="224">
        <f>IF(OR($B64="",$E64&lt;&gt;"Có"),0,SUM($L64,$Q64,$V64,$X64))</f>
        <v/>
      </c>
      <c r="AC64" s="224">
        <f>IF(OR($B64="",$E64&lt;&gt;"Có"),0,SUM($F64,$G64,$R64,$W64,$Y64))</f>
        <v/>
      </c>
      <c r="AD64" s="224">
        <f>IF(OR($B64="",$E64&lt;&gt;"Có"),0,SUM($Z64:$AA64))</f>
        <v/>
      </c>
      <c r="AE64" s="224">
        <f>IF(OR($B64="",$E64&lt;&gt;"Có"),0,$AB64+$AC64-$AD64)</f>
        <v/>
      </c>
      <c r="AF64" s="150">
        <f>IF($B64="","",IF(AND($E64="Có",$D64=""),"Thiếu ngày nghỉ; ","")&amp;IF($I64&gt;MAX($H64,0),"Ngày phép thanh toán vượt số còn lại; ","")&amp;IF(AND($I64&gt;0,OR($J64&lt;=0,$K64&lt;=0)),"Thiếu lương/công chuẩn tháng trước; ","")&amp;IF(AND(SUM($N64,$S64)&gt;0,$M64&lt;=0),"Thiếu bình quân lương 06 tháng; ","")&amp;IF($X64&gt;0,"Bồi thường miễn thuế cần căn cứ và hồ sơ; ","")&amp;IF($AE64&lt;0,"Tổng chi thêm âm; ",""))</f>
        <v/>
      </c>
    </row>
    <row r="65">
      <c r="A65" s="145">
        <f>IF('DM_NHAN_SU'!$B65="","",ROW()-5)</f>
        <v/>
      </c>
      <c r="B65" s="145">
        <f>IF('DM_NHAN_SU'!$B65="","",'DM_NHAN_SU'!B65)</f>
        <v/>
      </c>
      <c r="C65" s="145">
        <f>IF('DM_NHAN_SU'!$B65="","",'DM_NHAN_SU'!C65)</f>
        <v/>
      </c>
      <c r="D65" s="234">
        <f>IF(OR('DM_NHAN_SU'!$B65="",'DM_NHAN_SU'!$G65=""),"",'DM_NHAN_SU'!G65)</f>
        <v/>
      </c>
      <c r="E65" s="127" t="n"/>
      <c r="F65" s="222" t="n"/>
      <c r="G65" s="222" t="n"/>
      <c r="H65" s="232">
        <f>IF($B65="","",'NGHI_PHEP'!K65)</f>
        <v/>
      </c>
      <c r="I65" s="227" t="n"/>
      <c r="J65" s="222" t="n"/>
      <c r="K65" s="227" t="n"/>
      <c r="L65" s="224">
        <f>IF(OR($B65="",$E65&lt;&gt;"Có"),0,IF($K65&gt;0,$I65*$J65/$K65,0))</f>
        <v/>
      </c>
      <c r="M65" s="222" t="n"/>
      <c r="N65" s="227" t="n"/>
      <c r="O65" s="224">
        <f>IF(OR($B65="",$E65&lt;&gt;"Có"),0,$M65*$N65*0.5)</f>
        <v/>
      </c>
      <c r="P65" s="222" t="n"/>
      <c r="Q65" s="224">
        <f>IF(OR($B65="",$E65&lt;&gt;"Có"),0,MIN($P65,$O65))</f>
        <v/>
      </c>
      <c r="R65" s="224">
        <f>IF(OR($B65="",$E65&lt;&gt;"Có"),0,MAX($P65-$O65,0))</f>
        <v/>
      </c>
      <c r="S65" s="227" t="n"/>
      <c r="T65" s="224">
        <f>IF(OR($B65="",$E65&lt;&gt;"Có",$S65&lt;=0),0,$M65*MAX($S65,2))</f>
        <v/>
      </c>
      <c r="U65" s="222" t="n"/>
      <c r="V65" s="224">
        <f>IF(OR($B65="",$E65&lt;&gt;"Có"),0,MIN($U65,$T65))</f>
        <v/>
      </c>
      <c r="W65" s="224">
        <f>IF(OR($B65="",$E65&lt;&gt;"Có"),0,MAX($U65-$T65,0))</f>
        <v/>
      </c>
      <c r="X65" s="222" t="n"/>
      <c r="Y65" s="222" t="n"/>
      <c r="Z65" s="222" t="n"/>
      <c r="AA65" s="222" t="n"/>
      <c r="AB65" s="224">
        <f>IF(OR($B65="",$E65&lt;&gt;"Có"),0,SUM($L65,$Q65,$V65,$X65))</f>
        <v/>
      </c>
      <c r="AC65" s="224">
        <f>IF(OR($B65="",$E65&lt;&gt;"Có"),0,SUM($F65,$G65,$R65,$W65,$Y65))</f>
        <v/>
      </c>
      <c r="AD65" s="224">
        <f>IF(OR($B65="",$E65&lt;&gt;"Có"),0,SUM($Z65:$AA65))</f>
        <v/>
      </c>
      <c r="AE65" s="224">
        <f>IF(OR($B65="",$E65&lt;&gt;"Có"),0,$AB65+$AC65-$AD65)</f>
        <v/>
      </c>
      <c r="AF65" s="150">
        <f>IF($B65="","",IF(AND($E65="Có",$D65=""),"Thiếu ngày nghỉ; ","")&amp;IF($I65&gt;MAX($H65,0),"Ngày phép thanh toán vượt số còn lại; ","")&amp;IF(AND($I65&gt;0,OR($J65&lt;=0,$K65&lt;=0)),"Thiếu lương/công chuẩn tháng trước; ","")&amp;IF(AND(SUM($N65,$S65)&gt;0,$M65&lt;=0),"Thiếu bình quân lương 06 tháng; ","")&amp;IF($X65&gt;0,"Bồi thường miễn thuế cần căn cứ và hồ sơ; ","")&amp;IF($AE65&lt;0,"Tổng chi thêm âm; ",""))</f>
        <v/>
      </c>
    </row>
    <row r="66">
      <c r="A66" s="145">
        <f>IF('DM_NHAN_SU'!$B66="","",ROW()-5)</f>
        <v/>
      </c>
      <c r="B66" s="145">
        <f>IF('DM_NHAN_SU'!$B66="","",'DM_NHAN_SU'!B66)</f>
        <v/>
      </c>
      <c r="C66" s="145">
        <f>IF('DM_NHAN_SU'!$B66="","",'DM_NHAN_SU'!C66)</f>
        <v/>
      </c>
      <c r="D66" s="234">
        <f>IF(OR('DM_NHAN_SU'!$B66="",'DM_NHAN_SU'!$G66=""),"",'DM_NHAN_SU'!G66)</f>
        <v/>
      </c>
      <c r="E66" s="127" t="n"/>
      <c r="F66" s="222" t="n"/>
      <c r="G66" s="222" t="n"/>
      <c r="H66" s="232">
        <f>IF($B66="","",'NGHI_PHEP'!K66)</f>
        <v/>
      </c>
      <c r="I66" s="227" t="n"/>
      <c r="J66" s="222" t="n"/>
      <c r="K66" s="227" t="n"/>
      <c r="L66" s="224">
        <f>IF(OR($B66="",$E66&lt;&gt;"Có"),0,IF($K66&gt;0,$I66*$J66/$K66,0))</f>
        <v/>
      </c>
      <c r="M66" s="222" t="n"/>
      <c r="N66" s="227" t="n"/>
      <c r="O66" s="224">
        <f>IF(OR($B66="",$E66&lt;&gt;"Có"),0,$M66*$N66*0.5)</f>
        <v/>
      </c>
      <c r="P66" s="222" t="n"/>
      <c r="Q66" s="224">
        <f>IF(OR($B66="",$E66&lt;&gt;"Có"),0,MIN($P66,$O66))</f>
        <v/>
      </c>
      <c r="R66" s="224">
        <f>IF(OR($B66="",$E66&lt;&gt;"Có"),0,MAX($P66-$O66,0))</f>
        <v/>
      </c>
      <c r="S66" s="227" t="n"/>
      <c r="T66" s="224">
        <f>IF(OR($B66="",$E66&lt;&gt;"Có",$S66&lt;=0),0,$M66*MAX($S66,2))</f>
        <v/>
      </c>
      <c r="U66" s="222" t="n"/>
      <c r="V66" s="224">
        <f>IF(OR($B66="",$E66&lt;&gt;"Có"),0,MIN($U66,$T66))</f>
        <v/>
      </c>
      <c r="W66" s="224">
        <f>IF(OR($B66="",$E66&lt;&gt;"Có"),0,MAX($U66-$T66,0))</f>
        <v/>
      </c>
      <c r="X66" s="222" t="n"/>
      <c r="Y66" s="222" t="n"/>
      <c r="Z66" s="222" t="n"/>
      <c r="AA66" s="222" t="n"/>
      <c r="AB66" s="224">
        <f>IF(OR($B66="",$E66&lt;&gt;"Có"),0,SUM($L66,$Q66,$V66,$X66))</f>
        <v/>
      </c>
      <c r="AC66" s="224">
        <f>IF(OR($B66="",$E66&lt;&gt;"Có"),0,SUM($F66,$G66,$R66,$W66,$Y66))</f>
        <v/>
      </c>
      <c r="AD66" s="224">
        <f>IF(OR($B66="",$E66&lt;&gt;"Có"),0,SUM($Z66:$AA66))</f>
        <v/>
      </c>
      <c r="AE66" s="224">
        <f>IF(OR($B66="",$E66&lt;&gt;"Có"),0,$AB66+$AC66-$AD66)</f>
        <v/>
      </c>
      <c r="AF66" s="150">
        <f>IF($B66="","",IF(AND($E66="Có",$D66=""),"Thiếu ngày nghỉ; ","")&amp;IF($I66&gt;MAX($H66,0),"Ngày phép thanh toán vượt số còn lại; ","")&amp;IF(AND($I66&gt;0,OR($J66&lt;=0,$K66&lt;=0)),"Thiếu lương/công chuẩn tháng trước; ","")&amp;IF(AND(SUM($N66,$S66)&gt;0,$M66&lt;=0),"Thiếu bình quân lương 06 tháng; ","")&amp;IF($X66&gt;0,"Bồi thường miễn thuế cần căn cứ và hồ sơ; ","")&amp;IF($AE66&lt;0,"Tổng chi thêm âm; ",""))</f>
        <v/>
      </c>
    </row>
    <row r="67">
      <c r="A67" s="145">
        <f>IF('DM_NHAN_SU'!$B67="","",ROW()-5)</f>
        <v/>
      </c>
      <c r="B67" s="145">
        <f>IF('DM_NHAN_SU'!$B67="","",'DM_NHAN_SU'!B67)</f>
        <v/>
      </c>
      <c r="C67" s="145">
        <f>IF('DM_NHAN_SU'!$B67="","",'DM_NHAN_SU'!C67)</f>
        <v/>
      </c>
      <c r="D67" s="234">
        <f>IF(OR('DM_NHAN_SU'!$B67="",'DM_NHAN_SU'!$G67=""),"",'DM_NHAN_SU'!G67)</f>
        <v/>
      </c>
      <c r="E67" s="127" t="n"/>
      <c r="F67" s="222" t="n"/>
      <c r="G67" s="222" t="n"/>
      <c r="H67" s="232">
        <f>IF($B67="","",'NGHI_PHEP'!K67)</f>
        <v/>
      </c>
      <c r="I67" s="227" t="n"/>
      <c r="J67" s="222" t="n"/>
      <c r="K67" s="227" t="n"/>
      <c r="L67" s="224">
        <f>IF(OR($B67="",$E67&lt;&gt;"Có"),0,IF($K67&gt;0,$I67*$J67/$K67,0))</f>
        <v/>
      </c>
      <c r="M67" s="222" t="n"/>
      <c r="N67" s="227" t="n"/>
      <c r="O67" s="224">
        <f>IF(OR($B67="",$E67&lt;&gt;"Có"),0,$M67*$N67*0.5)</f>
        <v/>
      </c>
      <c r="P67" s="222" t="n"/>
      <c r="Q67" s="224">
        <f>IF(OR($B67="",$E67&lt;&gt;"Có"),0,MIN($P67,$O67))</f>
        <v/>
      </c>
      <c r="R67" s="224">
        <f>IF(OR($B67="",$E67&lt;&gt;"Có"),0,MAX($P67-$O67,0))</f>
        <v/>
      </c>
      <c r="S67" s="227" t="n"/>
      <c r="T67" s="224">
        <f>IF(OR($B67="",$E67&lt;&gt;"Có",$S67&lt;=0),0,$M67*MAX($S67,2))</f>
        <v/>
      </c>
      <c r="U67" s="222" t="n"/>
      <c r="V67" s="224">
        <f>IF(OR($B67="",$E67&lt;&gt;"Có"),0,MIN($U67,$T67))</f>
        <v/>
      </c>
      <c r="W67" s="224">
        <f>IF(OR($B67="",$E67&lt;&gt;"Có"),0,MAX($U67-$T67,0))</f>
        <v/>
      </c>
      <c r="X67" s="222" t="n"/>
      <c r="Y67" s="222" t="n"/>
      <c r="Z67" s="222" t="n"/>
      <c r="AA67" s="222" t="n"/>
      <c r="AB67" s="224">
        <f>IF(OR($B67="",$E67&lt;&gt;"Có"),0,SUM($L67,$Q67,$V67,$X67))</f>
        <v/>
      </c>
      <c r="AC67" s="224">
        <f>IF(OR($B67="",$E67&lt;&gt;"Có"),0,SUM($F67,$G67,$R67,$W67,$Y67))</f>
        <v/>
      </c>
      <c r="AD67" s="224">
        <f>IF(OR($B67="",$E67&lt;&gt;"Có"),0,SUM($Z67:$AA67))</f>
        <v/>
      </c>
      <c r="AE67" s="224">
        <f>IF(OR($B67="",$E67&lt;&gt;"Có"),0,$AB67+$AC67-$AD67)</f>
        <v/>
      </c>
      <c r="AF67" s="150">
        <f>IF($B67="","",IF(AND($E67="Có",$D67=""),"Thiếu ngày nghỉ; ","")&amp;IF($I67&gt;MAX($H67,0),"Ngày phép thanh toán vượt số còn lại; ","")&amp;IF(AND($I67&gt;0,OR($J67&lt;=0,$K67&lt;=0)),"Thiếu lương/công chuẩn tháng trước; ","")&amp;IF(AND(SUM($N67,$S67)&gt;0,$M67&lt;=0),"Thiếu bình quân lương 06 tháng; ","")&amp;IF($X67&gt;0,"Bồi thường miễn thuế cần căn cứ và hồ sơ; ","")&amp;IF($AE67&lt;0,"Tổng chi thêm âm; ",""))</f>
        <v/>
      </c>
    </row>
    <row r="68">
      <c r="A68" s="145">
        <f>IF('DM_NHAN_SU'!$B68="","",ROW()-5)</f>
        <v/>
      </c>
      <c r="B68" s="145">
        <f>IF('DM_NHAN_SU'!$B68="","",'DM_NHAN_SU'!B68)</f>
        <v/>
      </c>
      <c r="C68" s="145">
        <f>IF('DM_NHAN_SU'!$B68="","",'DM_NHAN_SU'!C68)</f>
        <v/>
      </c>
      <c r="D68" s="234">
        <f>IF(OR('DM_NHAN_SU'!$B68="",'DM_NHAN_SU'!$G68=""),"",'DM_NHAN_SU'!G68)</f>
        <v/>
      </c>
      <c r="E68" s="127" t="n"/>
      <c r="F68" s="222" t="n"/>
      <c r="G68" s="222" t="n"/>
      <c r="H68" s="232">
        <f>IF($B68="","",'NGHI_PHEP'!K68)</f>
        <v/>
      </c>
      <c r="I68" s="227" t="n"/>
      <c r="J68" s="222" t="n"/>
      <c r="K68" s="227" t="n"/>
      <c r="L68" s="224">
        <f>IF(OR($B68="",$E68&lt;&gt;"Có"),0,IF($K68&gt;0,$I68*$J68/$K68,0))</f>
        <v/>
      </c>
      <c r="M68" s="222" t="n"/>
      <c r="N68" s="227" t="n"/>
      <c r="O68" s="224">
        <f>IF(OR($B68="",$E68&lt;&gt;"Có"),0,$M68*$N68*0.5)</f>
        <v/>
      </c>
      <c r="P68" s="222" t="n"/>
      <c r="Q68" s="224">
        <f>IF(OR($B68="",$E68&lt;&gt;"Có"),0,MIN($P68,$O68))</f>
        <v/>
      </c>
      <c r="R68" s="224">
        <f>IF(OR($B68="",$E68&lt;&gt;"Có"),0,MAX($P68-$O68,0))</f>
        <v/>
      </c>
      <c r="S68" s="227" t="n"/>
      <c r="T68" s="224">
        <f>IF(OR($B68="",$E68&lt;&gt;"Có",$S68&lt;=0),0,$M68*MAX($S68,2))</f>
        <v/>
      </c>
      <c r="U68" s="222" t="n"/>
      <c r="V68" s="224">
        <f>IF(OR($B68="",$E68&lt;&gt;"Có"),0,MIN($U68,$T68))</f>
        <v/>
      </c>
      <c r="W68" s="224">
        <f>IF(OR($B68="",$E68&lt;&gt;"Có"),0,MAX($U68-$T68,0))</f>
        <v/>
      </c>
      <c r="X68" s="222" t="n"/>
      <c r="Y68" s="222" t="n"/>
      <c r="Z68" s="222" t="n"/>
      <c r="AA68" s="222" t="n"/>
      <c r="AB68" s="224">
        <f>IF(OR($B68="",$E68&lt;&gt;"Có"),0,SUM($L68,$Q68,$V68,$X68))</f>
        <v/>
      </c>
      <c r="AC68" s="224">
        <f>IF(OR($B68="",$E68&lt;&gt;"Có"),0,SUM($F68,$G68,$R68,$W68,$Y68))</f>
        <v/>
      </c>
      <c r="AD68" s="224">
        <f>IF(OR($B68="",$E68&lt;&gt;"Có"),0,SUM($Z68:$AA68))</f>
        <v/>
      </c>
      <c r="AE68" s="224">
        <f>IF(OR($B68="",$E68&lt;&gt;"Có"),0,$AB68+$AC68-$AD68)</f>
        <v/>
      </c>
      <c r="AF68" s="150">
        <f>IF($B68="","",IF(AND($E68="Có",$D68=""),"Thiếu ngày nghỉ; ","")&amp;IF($I68&gt;MAX($H68,0),"Ngày phép thanh toán vượt số còn lại; ","")&amp;IF(AND($I68&gt;0,OR($J68&lt;=0,$K68&lt;=0)),"Thiếu lương/công chuẩn tháng trước; ","")&amp;IF(AND(SUM($N68,$S68)&gt;0,$M68&lt;=0),"Thiếu bình quân lương 06 tháng; ","")&amp;IF($X68&gt;0,"Bồi thường miễn thuế cần căn cứ và hồ sơ; ","")&amp;IF($AE68&lt;0,"Tổng chi thêm âm; ",""))</f>
        <v/>
      </c>
    </row>
    <row r="69">
      <c r="A69" s="145">
        <f>IF('DM_NHAN_SU'!$B69="","",ROW()-5)</f>
        <v/>
      </c>
      <c r="B69" s="145">
        <f>IF('DM_NHAN_SU'!$B69="","",'DM_NHAN_SU'!B69)</f>
        <v/>
      </c>
      <c r="C69" s="145">
        <f>IF('DM_NHAN_SU'!$B69="","",'DM_NHAN_SU'!C69)</f>
        <v/>
      </c>
      <c r="D69" s="234">
        <f>IF(OR('DM_NHAN_SU'!$B69="",'DM_NHAN_SU'!$G69=""),"",'DM_NHAN_SU'!G69)</f>
        <v/>
      </c>
      <c r="E69" s="127" t="n"/>
      <c r="F69" s="222" t="n"/>
      <c r="G69" s="222" t="n"/>
      <c r="H69" s="232">
        <f>IF($B69="","",'NGHI_PHEP'!K69)</f>
        <v/>
      </c>
      <c r="I69" s="227" t="n"/>
      <c r="J69" s="222" t="n"/>
      <c r="K69" s="227" t="n"/>
      <c r="L69" s="224">
        <f>IF(OR($B69="",$E69&lt;&gt;"Có"),0,IF($K69&gt;0,$I69*$J69/$K69,0))</f>
        <v/>
      </c>
      <c r="M69" s="222" t="n"/>
      <c r="N69" s="227" t="n"/>
      <c r="O69" s="224">
        <f>IF(OR($B69="",$E69&lt;&gt;"Có"),0,$M69*$N69*0.5)</f>
        <v/>
      </c>
      <c r="P69" s="222" t="n"/>
      <c r="Q69" s="224">
        <f>IF(OR($B69="",$E69&lt;&gt;"Có"),0,MIN($P69,$O69))</f>
        <v/>
      </c>
      <c r="R69" s="224">
        <f>IF(OR($B69="",$E69&lt;&gt;"Có"),0,MAX($P69-$O69,0))</f>
        <v/>
      </c>
      <c r="S69" s="227" t="n"/>
      <c r="T69" s="224">
        <f>IF(OR($B69="",$E69&lt;&gt;"Có",$S69&lt;=0),0,$M69*MAX($S69,2))</f>
        <v/>
      </c>
      <c r="U69" s="222" t="n"/>
      <c r="V69" s="224">
        <f>IF(OR($B69="",$E69&lt;&gt;"Có"),0,MIN($U69,$T69))</f>
        <v/>
      </c>
      <c r="W69" s="224">
        <f>IF(OR($B69="",$E69&lt;&gt;"Có"),0,MAX($U69-$T69,0))</f>
        <v/>
      </c>
      <c r="X69" s="222" t="n"/>
      <c r="Y69" s="222" t="n"/>
      <c r="Z69" s="222" t="n"/>
      <c r="AA69" s="222" t="n"/>
      <c r="AB69" s="224">
        <f>IF(OR($B69="",$E69&lt;&gt;"Có"),0,SUM($L69,$Q69,$V69,$X69))</f>
        <v/>
      </c>
      <c r="AC69" s="224">
        <f>IF(OR($B69="",$E69&lt;&gt;"Có"),0,SUM($F69,$G69,$R69,$W69,$Y69))</f>
        <v/>
      </c>
      <c r="AD69" s="224">
        <f>IF(OR($B69="",$E69&lt;&gt;"Có"),0,SUM($Z69:$AA69))</f>
        <v/>
      </c>
      <c r="AE69" s="224">
        <f>IF(OR($B69="",$E69&lt;&gt;"Có"),0,$AB69+$AC69-$AD69)</f>
        <v/>
      </c>
      <c r="AF69" s="150">
        <f>IF($B69="","",IF(AND($E69="Có",$D69=""),"Thiếu ngày nghỉ; ","")&amp;IF($I69&gt;MAX($H69,0),"Ngày phép thanh toán vượt số còn lại; ","")&amp;IF(AND($I69&gt;0,OR($J69&lt;=0,$K69&lt;=0)),"Thiếu lương/công chuẩn tháng trước; ","")&amp;IF(AND(SUM($N69,$S69)&gt;0,$M69&lt;=0),"Thiếu bình quân lương 06 tháng; ","")&amp;IF($X69&gt;0,"Bồi thường miễn thuế cần căn cứ và hồ sơ; ","")&amp;IF($AE69&lt;0,"Tổng chi thêm âm; ",""))</f>
        <v/>
      </c>
    </row>
    <row r="70">
      <c r="A70" s="145">
        <f>IF('DM_NHAN_SU'!$B70="","",ROW()-5)</f>
        <v/>
      </c>
      <c r="B70" s="145">
        <f>IF('DM_NHAN_SU'!$B70="","",'DM_NHAN_SU'!B70)</f>
        <v/>
      </c>
      <c r="C70" s="145">
        <f>IF('DM_NHAN_SU'!$B70="","",'DM_NHAN_SU'!C70)</f>
        <v/>
      </c>
      <c r="D70" s="234">
        <f>IF(OR('DM_NHAN_SU'!$B70="",'DM_NHAN_SU'!$G70=""),"",'DM_NHAN_SU'!G70)</f>
        <v/>
      </c>
      <c r="E70" s="127" t="n"/>
      <c r="F70" s="222" t="n"/>
      <c r="G70" s="222" t="n"/>
      <c r="H70" s="232">
        <f>IF($B70="","",'NGHI_PHEP'!K70)</f>
        <v/>
      </c>
      <c r="I70" s="227" t="n"/>
      <c r="J70" s="222" t="n"/>
      <c r="K70" s="227" t="n"/>
      <c r="L70" s="224">
        <f>IF(OR($B70="",$E70&lt;&gt;"Có"),0,IF($K70&gt;0,$I70*$J70/$K70,0))</f>
        <v/>
      </c>
      <c r="M70" s="222" t="n"/>
      <c r="N70" s="227" t="n"/>
      <c r="O70" s="224">
        <f>IF(OR($B70="",$E70&lt;&gt;"Có"),0,$M70*$N70*0.5)</f>
        <v/>
      </c>
      <c r="P70" s="222" t="n"/>
      <c r="Q70" s="224">
        <f>IF(OR($B70="",$E70&lt;&gt;"Có"),0,MIN($P70,$O70))</f>
        <v/>
      </c>
      <c r="R70" s="224">
        <f>IF(OR($B70="",$E70&lt;&gt;"Có"),0,MAX($P70-$O70,0))</f>
        <v/>
      </c>
      <c r="S70" s="227" t="n"/>
      <c r="T70" s="224">
        <f>IF(OR($B70="",$E70&lt;&gt;"Có",$S70&lt;=0),0,$M70*MAX($S70,2))</f>
        <v/>
      </c>
      <c r="U70" s="222" t="n"/>
      <c r="V70" s="224">
        <f>IF(OR($B70="",$E70&lt;&gt;"Có"),0,MIN($U70,$T70))</f>
        <v/>
      </c>
      <c r="W70" s="224">
        <f>IF(OR($B70="",$E70&lt;&gt;"Có"),0,MAX($U70-$T70,0))</f>
        <v/>
      </c>
      <c r="X70" s="222" t="n"/>
      <c r="Y70" s="222" t="n"/>
      <c r="Z70" s="222" t="n"/>
      <c r="AA70" s="222" t="n"/>
      <c r="AB70" s="224">
        <f>IF(OR($B70="",$E70&lt;&gt;"Có"),0,SUM($L70,$Q70,$V70,$X70))</f>
        <v/>
      </c>
      <c r="AC70" s="224">
        <f>IF(OR($B70="",$E70&lt;&gt;"Có"),0,SUM($F70,$G70,$R70,$W70,$Y70))</f>
        <v/>
      </c>
      <c r="AD70" s="224">
        <f>IF(OR($B70="",$E70&lt;&gt;"Có"),0,SUM($Z70:$AA70))</f>
        <v/>
      </c>
      <c r="AE70" s="224">
        <f>IF(OR($B70="",$E70&lt;&gt;"Có"),0,$AB70+$AC70-$AD70)</f>
        <v/>
      </c>
      <c r="AF70" s="150">
        <f>IF($B70="","",IF(AND($E70="Có",$D70=""),"Thiếu ngày nghỉ; ","")&amp;IF($I70&gt;MAX($H70,0),"Ngày phép thanh toán vượt số còn lại; ","")&amp;IF(AND($I70&gt;0,OR($J70&lt;=0,$K70&lt;=0)),"Thiếu lương/công chuẩn tháng trước; ","")&amp;IF(AND(SUM($N70,$S70)&gt;0,$M70&lt;=0),"Thiếu bình quân lương 06 tháng; ","")&amp;IF($X70&gt;0,"Bồi thường miễn thuế cần căn cứ và hồ sơ; ","")&amp;IF($AE70&lt;0,"Tổng chi thêm âm; ",""))</f>
        <v/>
      </c>
    </row>
    <row r="71">
      <c r="A71" s="145">
        <f>IF('DM_NHAN_SU'!$B71="","",ROW()-5)</f>
        <v/>
      </c>
      <c r="B71" s="145">
        <f>IF('DM_NHAN_SU'!$B71="","",'DM_NHAN_SU'!B71)</f>
        <v/>
      </c>
      <c r="C71" s="145">
        <f>IF('DM_NHAN_SU'!$B71="","",'DM_NHAN_SU'!C71)</f>
        <v/>
      </c>
      <c r="D71" s="234">
        <f>IF(OR('DM_NHAN_SU'!$B71="",'DM_NHAN_SU'!$G71=""),"",'DM_NHAN_SU'!G71)</f>
        <v/>
      </c>
      <c r="E71" s="127" t="n"/>
      <c r="F71" s="222" t="n"/>
      <c r="G71" s="222" t="n"/>
      <c r="H71" s="232">
        <f>IF($B71="","",'NGHI_PHEP'!K71)</f>
        <v/>
      </c>
      <c r="I71" s="227" t="n"/>
      <c r="J71" s="222" t="n"/>
      <c r="K71" s="227" t="n"/>
      <c r="L71" s="224">
        <f>IF(OR($B71="",$E71&lt;&gt;"Có"),0,IF($K71&gt;0,$I71*$J71/$K71,0))</f>
        <v/>
      </c>
      <c r="M71" s="222" t="n"/>
      <c r="N71" s="227" t="n"/>
      <c r="O71" s="224">
        <f>IF(OR($B71="",$E71&lt;&gt;"Có"),0,$M71*$N71*0.5)</f>
        <v/>
      </c>
      <c r="P71" s="222" t="n"/>
      <c r="Q71" s="224">
        <f>IF(OR($B71="",$E71&lt;&gt;"Có"),0,MIN($P71,$O71))</f>
        <v/>
      </c>
      <c r="R71" s="224">
        <f>IF(OR($B71="",$E71&lt;&gt;"Có"),0,MAX($P71-$O71,0))</f>
        <v/>
      </c>
      <c r="S71" s="227" t="n"/>
      <c r="T71" s="224">
        <f>IF(OR($B71="",$E71&lt;&gt;"Có",$S71&lt;=0),0,$M71*MAX($S71,2))</f>
        <v/>
      </c>
      <c r="U71" s="222" t="n"/>
      <c r="V71" s="224">
        <f>IF(OR($B71="",$E71&lt;&gt;"Có"),0,MIN($U71,$T71))</f>
        <v/>
      </c>
      <c r="W71" s="224">
        <f>IF(OR($B71="",$E71&lt;&gt;"Có"),0,MAX($U71-$T71,0))</f>
        <v/>
      </c>
      <c r="X71" s="222" t="n"/>
      <c r="Y71" s="222" t="n"/>
      <c r="Z71" s="222" t="n"/>
      <c r="AA71" s="222" t="n"/>
      <c r="AB71" s="224">
        <f>IF(OR($B71="",$E71&lt;&gt;"Có"),0,SUM($L71,$Q71,$V71,$X71))</f>
        <v/>
      </c>
      <c r="AC71" s="224">
        <f>IF(OR($B71="",$E71&lt;&gt;"Có"),0,SUM($F71,$G71,$R71,$W71,$Y71))</f>
        <v/>
      </c>
      <c r="AD71" s="224">
        <f>IF(OR($B71="",$E71&lt;&gt;"Có"),0,SUM($Z71:$AA71))</f>
        <v/>
      </c>
      <c r="AE71" s="224">
        <f>IF(OR($B71="",$E71&lt;&gt;"Có"),0,$AB71+$AC71-$AD71)</f>
        <v/>
      </c>
      <c r="AF71" s="150">
        <f>IF($B71="","",IF(AND($E71="Có",$D71=""),"Thiếu ngày nghỉ; ","")&amp;IF($I71&gt;MAX($H71,0),"Ngày phép thanh toán vượt số còn lại; ","")&amp;IF(AND($I71&gt;0,OR($J71&lt;=0,$K71&lt;=0)),"Thiếu lương/công chuẩn tháng trước; ","")&amp;IF(AND(SUM($N71,$S71)&gt;0,$M71&lt;=0),"Thiếu bình quân lương 06 tháng; ","")&amp;IF($X71&gt;0,"Bồi thường miễn thuế cần căn cứ và hồ sơ; ","")&amp;IF($AE71&lt;0,"Tổng chi thêm âm; ",""))</f>
        <v/>
      </c>
    </row>
    <row r="72">
      <c r="A72" s="145">
        <f>IF('DM_NHAN_SU'!$B72="","",ROW()-5)</f>
        <v/>
      </c>
      <c r="B72" s="145">
        <f>IF('DM_NHAN_SU'!$B72="","",'DM_NHAN_SU'!B72)</f>
        <v/>
      </c>
      <c r="C72" s="145">
        <f>IF('DM_NHAN_SU'!$B72="","",'DM_NHAN_SU'!C72)</f>
        <v/>
      </c>
      <c r="D72" s="234">
        <f>IF(OR('DM_NHAN_SU'!$B72="",'DM_NHAN_SU'!$G72=""),"",'DM_NHAN_SU'!G72)</f>
        <v/>
      </c>
      <c r="E72" s="127" t="n"/>
      <c r="F72" s="222" t="n"/>
      <c r="G72" s="222" t="n"/>
      <c r="H72" s="232">
        <f>IF($B72="","",'NGHI_PHEP'!K72)</f>
        <v/>
      </c>
      <c r="I72" s="227" t="n"/>
      <c r="J72" s="222" t="n"/>
      <c r="K72" s="227" t="n"/>
      <c r="L72" s="224">
        <f>IF(OR($B72="",$E72&lt;&gt;"Có"),0,IF($K72&gt;0,$I72*$J72/$K72,0))</f>
        <v/>
      </c>
      <c r="M72" s="222" t="n"/>
      <c r="N72" s="227" t="n"/>
      <c r="O72" s="224">
        <f>IF(OR($B72="",$E72&lt;&gt;"Có"),0,$M72*$N72*0.5)</f>
        <v/>
      </c>
      <c r="P72" s="222" t="n"/>
      <c r="Q72" s="224">
        <f>IF(OR($B72="",$E72&lt;&gt;"Có"),0,MIN($P72,$O72))</f>
        <v/>
      </c>
      <c r="R72" s="224">
        <f>IF(OR($B72="",$E72&lt;&gt;"Có"),0,MAX($P72-$O72,0))</f>
        <v/>
      </c>
      <c r="S72" s="227" t="n"/>
      <c r="T72" s="224">
        <f>IF(OR($B72="",$E72&lt;&gt;"Có",$S72&lt;=0),0,$M72*MAX($S72,2))</f>
        <v/>
      </c>
      <c r="U72" s="222" t="n"/>
      <c r="V72" s="224">
        <f>IF(OR($B72="",$E72&lt;&gt;"Có"),0,MIN($U72,$T72))</f>
        <v/>
      </c>
      <c r="W72" s="224">
        <f>IF(OR($B72="",$E72&lt;&gt;"Có"),0,MAX($U72-$T72,0))</f>
        <v/>
      </c>
      <c r="X72" s="222" t="n"/>
      <c r="Y72" s="222" t="n"/>
      <c r="Z72" s="222" t="n"/>
      <c r="AA72" s="222" t="n"/>
      <c r="AB72" s="224">
        <f>IF(OR($B72="",$E72&lt;&gt;"Có"),0,SUM($L72,$Q72,$V72,$X72))</f>
        <v/>
      </c>
      <c r="AC72" s="224">
        <f>IF(OR($B72="",$E72&lt;&gt;"Có"),0,SUM($F72,$G72,$R72,$W72,$Y72))</f>
        <v/>
      </c>
      <c r="AD72" s="224">
        <f>IF(OR($B72="",$E72&lt;&gt;"Có"),0,SUM($Z72:$AA72))</f>
        <v/>
      </c>
      <c r="AE72" s="224">
        <f>IF(OR($B72="",$E72&lt;&gt;"Có"),0,$AB72+$AC72-$AD72)</f>
        <v/>
      </c>
      <c r="AF72" s="150">
        <f>IF($B72="","",IF(AND($E72="Có",$D72=""),"Thiếu ngày nghỉ; ","")&amp;IF($I72&gt;MAX($H72,0),"Ngày phép thanh toán vượt số còn lại; ","")&amp;IF(AND($I72&gt;0,OR($J72&lt;=0,$K72&lt;=0)),"Thiếu lương/công chuẩn tháng trước; ","")&amp;IF(AND(SUM($N72,$S72)&gt;0,$M72&lt;=0),"Thiếu bình quân lương 06 tháng; ","")&amp;IF($X72&gt;0,"Bồi thường miễn thuế cần căn cứ và hồ sơ; ","")&amp;IF($AE72&lt;0,"Tổng chi thêm âm; ",""))</f>
        <v/>
      </c>
    </row>
    <row r="73">
      <c r="A73" s="145">
        <f>IF('DM_NHAN_SU'!$B73="","",ROW()-5)</f>
        <v/>
      </c>
      <c r="B73" s="145">
        <f>IF('DM_NHAN_SU'!$B73="","",'DM_NHAN_SU'!B73)</f>
        <v/>
      </c>
      <c r="C73" s="145">
        <f>IF('DM_NHAN_SU'!$B73="","",'DM_NHAN_SU'!C73)</f>
        <v/>
      </c>
      <c r="D73" s="234">
        <f>IF(OR('DM_NHAN_SU'!$B73="",'DM_NHAN_SU'!$G73=""),"",'DM_NHAN_SU'!G73)</f>
        <v/>
      </c>
      <c r="E73" s="127" t="n"/>
      <c r="F73" s="222" t="n"/>
      <c r="G73" s="222" t="n"/>
      <c r="H73" s="232">
        <f>IF($B73="","",'NGHI_PHEP'!K73)</f>
        <v/>
      </c>
      <c r="I73" s="227" t="n"/>
      <c r="J73" s="222" t="n"/>
      <c r="K73" s="227" t="n"/>
      <c r="L73" s="224">
        <f>IF(OR($B73="",$E73&lt;&gt;"Có"),0,IF($K73&gt;0,$I73*$J73/$K73,0))</f>
        <v/>
      </c>
      <c r="M73" s="222" t="n"/>
      <c r="N73" s="227" t="n"/>
      <c r="O73" s="224">
        <f>IF(OR($B73="",$E73&lt;&gt;"Có"),0,$M73*$N73*0.5)</f>
        <v/>
      </c>
      <c r="P73" s="222" t="n"/>
      <c r="Q73" s="224">
        <f>IF(OR($B73="",$E73&lt;&gt;"Có"),0,MIN($P73,$O73))</f>
        <v/>
      </c>
      <c r="R73" s="224">
        <f>IF(OR($B73="",$E73&lt;&gt;"Có"),0,MAX($P73-$O73,0))</f>
        <v/>
      </c>
      <c r="S73" s="227" t="n"/>
      <c r="T73" s="224">
        <f>IF(OR($B73="",$E73&lt;&gt;"Có",$S73&lt;=0),0,$M73*MAX($S73,2))</f>
        <v/>
      </c>
      <c r="U73" s="222" t="n"/>
      <c r="V73" s="224">
        <f>IF(OR($B73="",$E73&lt;&gt;"Có"),0,MIN($U73,$T73))</f>
        <v/>
      </c>
      <c r="W73" s="224">
        <f>IF(OR($B73="",$E73&lt;&gt;"Có"),0,MAX($U73-$T73,0))</f>
        <v/>
      </c>
      <c r="X73" s="222" t="n"/>
      <c r="Y73" s="222" t="n"/>
      <c r="Z73" s="222" t="n"/>
      <c r="AA73" s="222" t="n"/>
      <c r="AB73" s="224">
        <f>IF(OR($B73="",$E73&lt;&gt;"Có"),0,SUM($L73,$Q73,$V73,$X73))</f>
        <v/>
      </c>
      <c r="AC73" s="224">
        <f>IF(OR($B73="",$E73&lt;&gt;"Có"),0,SUM($F73,$G73,$R73,$W73,$Y73))</f>
        <v/>
      </c>
      <c r="AD73" s="224">
        <f>IF(OR($B73="",$E73&lt;&gt;"Có"),0,SUM($Z73:$AA73))</f>
        <v/>
      </c>
      <c r="AE73" s="224">
        <f>IF(OR($B73="",$E73&lt;&gt;"Có"),0,$AB73+$AC73-$AD73)</f>
        <v/>
      </c>
      <c r="AF73" s="150">
        <f>IF($B73="","",IF(AND($E73="Có",$D73=""),"Thiếu ngày nghỉ; ","")&amp;IF($I73&gt;MAX($H73,0),"Ngày phép thanh toán vượt số còn lại; ","")&amp;IF(AND($I73&gt;0,OR($J73&lt;=0,$K73&lt;=0)),"Thiếu lương/công chuẩn tháng trước; ","")&amp;IF(AND(SUM($N73,$S73)&gt;0,$M73&lt;=0),"Thiếu bình quân lương 06 tháng; ","")&amp;IF($X73&gt;0,"Bồi thường miễn thuế cần căn cứ và hồ sơ; ","")&amp;IF($AE73&lt;0,"Tổng chi thêm âm; ",""))</f>
        <v/>
      </c>
    </row>
    <row r="74">
      <c r="A74" s="145">
        <f>IF('DM_NHAN_SU'!$B74="","",ROW()-5)</f>
        <v/>
      </c>
      <c r="B74" s="145">
        <f>IF('DM_NHAN_SU'!$B74="","",'DM_NHAN_SU'!B74)</f>
        <v/>
      </c>
      <c r="C74" s="145">
        <f>IF('DM_NHAN_SU'!$B74="","",'DM_NHAN_SU'!C74)</f>
        <v/>
      </c>
      <c r="D74" s="234">
        <f>IF(OR('DM_NHAN_SU'!$B74="",'DM_NHAN_SU'!$G74=""),"",'DM_NHAN_SU'!G74)</f>
        <v/>
      </c>
      <c r="E74" s="127" t="n"/>
      <c r="F74" s="222" t="n"/>
      <c r="G74" s="222" t="n"/>
      <c r="H74" s="232">
        <f>IF($B74="","",'NGHI_PHEP'!K74)</f>
        <v/>
      </c>
      <c r="I74" s="227" t="n"/>
      <c r="J74" s="222" t="n"/>
      <c r="K74" s="227" t="n"/>
      <c r="L74" s="224">
        <f>IF(OR($B74="",$E74&lt;&gt;"Có"),0,IF($K74&gt;0,$I74*$J74/$K74,0))</f>
        <v/>
      </c>
      <c r="M74" s="222" t="n"/>
      <c r="N74" s="227" t="n"/>
      <c r="O74" s="224">
        <f>IF(OR($B74="",$E74&lt;&gt;"Có"),0,$M74*$N74*0.5)</f>
        <v/>
      </c>
      <c r="P74" s="222" t="n"/>
      <c r="Q74" s="224">
        <f>IF(OR($B74="",$E74&lt;&gt;"Có"),0,MIN($P74,$O74))</f>
        <v/>
      </c>
      <c r="R74" s="224">
        <f>IF(OR($B74="",$E74&lt;&gt;"Có"),0,MAX($P74-$O74,0))</f>
        <v/>
      </c>
      <c r="S74" s="227" t="n"/>
      <c r="T74" s="224">
        <f>IF(OR($B74="",$E74&lt;&gt;"Có",$S74&lt;=0),0,$M74*MAX($S74,2))</f>
        <v/>
      </c>
      <c r="U74" s="222" t="n"/>
      <c r="V74" s="224">
        <f>IF(OR($B74="",$E74&lt;&gt;"Có"),0,MIN($U74,$T74))</f>
        <v/>
      </c>
      <c r="W74" s="224">
        <f>IF(OR($B74="",$E74&lt;&gt;"Có"),0,MAX($U74-$T74,0))</f>
        <v/>
      </c>
      <c r="X74" s="222" t="n"/>
      <c r="Y74" s="222" t="n"/>
      <c r="Z74" s="222" t="n"/>
      <c r="AA74" s="222" t="n"/>
      <c r="AB74" s="224">
        <f>IF(OR($B74="",$E74&lt;&gt;"Có"),0,SUM($L74,$Q74,$V74,$X74))</f>
        <v/>
      </c>
      <c r="AC74" s="224">
        <f>IF(OR($B74="",$E74&lt;&gt;"Có"),0,SUM($F74,$G74,$R74,$W74,$Y74))</f>
        <v/>
      </c>
      <c r="AD74" s="224">
        <f>IF(OR($B74="",$E74&lt;&gt;"Có"),0,SUM($Z74:$AA74))</f>
        <v/>
      </c>
      <c r="AE74" s="224">
        <f>IF(OR($B74="",$E74&lt;&gt;"Có"),0,$AB74+$AC74-$AD74)</f>
        <v/>
      </c>
      <c r="AF74" s="150">
        <f>IF($B74="","",IF(AND($E74="Có",$D74=""),"Thiếu ngày nghỉ; ","")&amp;IF($I74&gt;MAX($H74,0),"Ngày phép thanh toán vượt số còn lại; ","")&amp;IF(AND($I74&gt;0,OR($J74&lt;=0,$K74&lt;=0)),"Thiếu lương/công chuẩn tháng trước; ","")&amp;IF(AND(SUM($N74,$S74)&gt;0,$M74&lt;=0),"Thiếu bình quân lương 06 tháng; ","")&amp;IF($X74&gt;0,"Bồi thường miễn thuế cần căn cứ và hồ sơ; ","")&amp;IF($AE74&lt;0,"Tổng chi thêm âm; ",""))</f>
        <v/>
      </c>
    </row>
    <row r="75">
      <c r="A75" s="145">
        <f>IF('DM_NHAN_SU'!$B75="","",ROW()-5)</f>
        <v/>
      </c>
      <c r="B75" s="145">
        <f>IF('DM_NHAN_SU'!$B75="","",'DM_NHAN_SU'!B75)</f>
        <v/>
      </c>
      <c r="C75" s="145">
        <f>IF('DM_NHAN_SU'!$B75="","",'DM_NHAN_SU'!C75)</f>
        <v/>
      </c>
      <c r="D75" s="234">
        <f>IF(OR('DM_NHAN_SU'!$B75="",'DM_NHAN_SU'!$G75=""),"",'DM_NHAN_SU'!G75)</f>
        <v/>
      </c>
      <c r="E75" s="127" t="n"/>
      <c r="F75" s="222" t="n"/>
      <c r="G75" s="222" t="n"/>
      <c r="H75" s="232">
        <f>IF($B75="","",'NGHI_PHEP'!K75)</f>
        <v/>
      </c>
      <c r="I75" s="227" t="n"/>
      <c r="J75" s="222" t="n"/>
      <c r="K75" s="227" t="n"/>
      <c r="L75" s="224">
        <f>IF(OR($B75="",$E75&lt;&gt;"Có"),0,IF($K75&gt;0,$I75*$J75/$K75,0))</f>
        <v/>
      </c>
      <c r="M75" s="222" t="n"/>
      <c r="N75" s="227" t="n"/>
      <c r="O75" s="224">
        <f>IF(OR($B75="",$E75&lt;&gt;"Có"),0,$M75*$N75*0.5)</f>
        <v/>
      </c>
      <c r="P75" s="222" t="n"/>
      <c r="Q75" s="224">
        <f>IF(OR($B75="",$E75&lt;&gt;"Có"),0,MIN($P75,$O75))</f>
        <v/>
      </c>
      <c r="R75" s="224">
        <f>IF(OR($B75="",$E75&lt;&gt;"Có"),0,MAX($P75-$O75,0))</f>
        <v/>
      </c>
      <c r="S75" s="227" t="n"/>
      <c r="T75" s="224">
        <f>IF(OR($B75="",$E75&lt;&gt;"Có",$S75&lt;=0),0,$M75*MAX($S75,2))</f>
        <v/>
      </c>
      <c r="U75" s="222" t="n"/>
      <c r="V75" s="224">
        <f>IF(OR($B75="",$E75&lt;&gt;"Có"),0,MIN($U75,$T75))</f>
        <v/>
      </c>
      <c r="W75" s="224">
        <f>IF(OR($B75="",$E75&lt;&gt;"Có"),0,MAX($U75-$T75,0))</f>
        <v/>
      </c>
      <c r="X75" s="222" t="n"/>
      <c r="Y75" s="222" t="n"/>
      <c r="Z75" s="222" t="n"/>
      <c r="AA75" s="222" t="n"/>
      <c r="AB75" s="224">
        <f>IF(OR($B75="",$E75&lt;&gt;"Có"),0,SUM($L75,$Q75,$V75,$X75))</f>
        <v/>
      </c>
      <c r="AC75" s="224">
        <f>IF(OR($B75="",$E75&lt;&gt;"Có"),0,SUM($F75,$G75,$R75,$W75,$Y75))</f>
        <v/>
      </c>
      <c r="AD75" s="224">
        <f>IF(OR($B75="",$E75&lt;&gt;"Có"),0,SUM($Z75:$AA75))</f>
        <v/>
      </c>
      <c r="AE75" s="224">
        <f>IF(OR($B75="",$E75&lt;&gt;"Có"),0,$AB75+$AC75-$AD75)</f>
        <v/>
      </c>
      <c r="AF75" s="150">
        <f>IF($B75="","",IF(AND($E75="Có",$D75=""),"Thiếu ngày nghỉ; ","")&amp;IF($I75&gt;MAX($H75,0),"Ngày phép thanh toán vượt số còn lại; ","")&amp;IF(AND($I75&gt;0,OR($J75&lt;=0,$K75&lt;=0)),"Thiếu lương/công chuẩn tháng trước; ","")&amp;IF(AND(SUM($N75,$S75)&gt;0,$M75&lt;=0),"Thiếu bình quân lương 06 tháng; ","")&amp;IF($X75&gt;0,"Bồi thường miễn thuế cần căn cứ và hồ sơ; ","")&amp;IF($AE75&lt;0,"Tổng chi thêm âm; ",""))</f>
        <v/>
      </c>
    </row>
    <row r="76">
      <c r="A76" s="145">
        <f>IF('DM_NHAN_SU'!$B76="","",ROW()-5)</f>
        <v/>
      </c>
      <c r="B76" s="145">
        <f>IF('DM_NHAN_SU'!$B76="","",'DM_NHAN_SU'!B76)</f>
        <v/>
      </c>
      <c r="C76" s="145">
        <f>IF('DM_NHAN_SU'!$B76="","",'DM_NHAN_SU'!C76)</f>
        <v/>
      </c>
      <c r="D76" s="234">
        <f>IF(OR('DM_NHAN_SU'!$B76="",'DM_NHAN_SU'!$G76=""),"",'DM_NHAN_SU'!G76)</f>
        <v/>
      </c>
      <c r="E76" s="127" t="n"/>
      <c r="F76" s="222" t="n"/>
      <c r="G76" s="222" t="n"/>
      <c r="H76" s="232">
        <f>IF($B76="","",'NGHI_PHEP'!K76)</f>
        <v/>
      </c>
      <c r="I76" s="227" t="n"/>
      <c r="J76" s="222" t="n"/>
      <c r="K76" s="227" t="n"/>
      <c r="L76" s="224">
        <f>IF(OR($B76="",$E76&lt;&gt;"Có"),0,IF($K76&gt;0,$I76*$J76/$K76,0))</f>
        <v/>
      </c>
      <c r="M76" s="222" t="n"/>
      <c r="N76" s="227" t="n"/>
      <c r="O76" s="224">
        <f>IF(OR($B76="",$E76&lt;&gt;"Có"),0,$M76*$N76*0.5)</f>
        <v/>
      </c>
      <c r="P76" s="222" t="n"/>
      <c r="Q76" s="224">
        <f>IF(OR($B76="",$E76&lt;&gt;"Có"),0,MIN($P76,$O76))</f>
        <v/>
      </c>
      <c r="R76" s="224">
        <f>IF(OR($B76="",$E76&lt;&gt;"Có"),0,MAX($P76-$O76,0))</f>
        <v/>
      </c>
      <c r="S76" s="227" t="n"/>
      <c r="T76" s="224">
        <f>IF(OR($B76="",$E76&lt;&gt;"Có",$S76&lt;=0),0,$M76*MAX($S76,2))</f>
        <v/>
      </c>
      <c r="U76" s="222" t="n"/>
      <c r="V76" s="224">
        <f>IF(OR($B76="",$E76&lt;&gt;"Có"),0,MIN($U76,$T76))</f>
        <v/>
      </c>
      <c r="W76" s="224">
        <f>IF(OR($B76="",$E76&lt;&gt;"Có"),0,MAX($U76-$T76,0))</f>
        <v/>
      </c>
      <c r="X76" s="222" t="n"/>
      <c r="Y76" s="222" t="n"/>
      <c r="Z76" s="222" t="n"/>
      <c r="AA76" s="222" t="n"/>
      <c r="AB76" s="224">
        <f>IF(OR($B76="",$E76&lt;&gt;"Có"),0,SUM($L76,$Q76,$V76,$X76))</f>
        <v/>
      </c>
      <c r="AC76" s="224">
        <f>IF(OR($B76="",$E76&lt;&gt;"Có"),0,SUM($F76,$G76,$R76,$W76,$Y76))</f>
        <v/>
      </c>
      <c r="AD76" s="224">
        <f>IF(OR($B76="",$E76&lt;&gt;"Có"),0,SUM($Z76:$AA76))</f>
        <v/>
      </c>
      <c r="AE76" s="224">
        <f>IF(OR($B76="",$E76&lt;&gt;"Có"),0,$AB76+$AC76-$AD76)</f>
        <v/>
      </c>
      <c r="AF76" s="150">
        <f>IF($B76="","",IF(AND($E76="Có",$D76=""),"Thiếu ngày nghỉ; ","")&amp;IF($I76&gt;MAX($H76,0),"Ngày phép thanh toán vượt số còn lại; ","")&amp;IF(AND($I76&gt;0,OR($J76&lt;=0,$K76&lt;=0)),"Thiếu lương/công chuẩn tháng trước; ","")&amp;IF(AND(SUM($N76,$S76)&gt;0,$M76&lt;=0),"Thiếu bình quân lương 06 tháng; ","")&amp;IF($X76&gt;0,"Bồi thường miễn thuế cần căn cứ và hồ sơ; ","")&amp;IF($AE76&lt;0,"Tổng chi thêm âm; ",""))</f>
        <v/>
      </c>
    </row>
    <row r="77">
      <c r="A77" s="145">
        <f>IF('DM_NHAN_SU'!$B77="","",ROW()-5)</f>
        <v/>
      </c>
      <c r="B77" s="145">
        <f>IF('DM_NHAN_SU'!$B77="","",'DM_NHAN_SU'!B77)</f>
        <v/>
      </c>
      <c r="C77" s="145">
        <f>IF('DM_NHAN_SU'!$B77="","",'DM_NHAN_SU'!C77)</f>
        <v/>
      </c>
      <c r="D77" s="234">
        <f>IF(OR('DM_NHAN_SU'!$B77="",'DM_NHAN_SU'!$G77=""),"",'DM_NHAN_SU'!G77)</f>
        <v/>
      </c>
      <c r="E77" s="127" t="n"/>
      <c r="F77" s="222" t="n"/>
      <c r="G77" s="222" t="n"/>
      <c r="H77" s="232">
        <f>IF($B77="","",'NGHI_PHEP'!K77)</f>
        <v/>
      </c>
      <c r="I77" s="227" t="n"/>
      <c r="J77" s="222" t="n"/>
      <c r="K77" s="227" t="n"/>
      <c r="L77" s="224">
        <f>IF(OR($B77="",$E77&lt;&gt;"Có"),0,IF($K77&gt;0,$I77*$J77/$K77,0))</f>
        <v/>
      </c>
      <c r="M77" s="222" t="n"/>
      <c r="N77" s="227" t="n"/>
      <c r="O77" s="224">
        <f>IF(OR($B77="",$E77&lt;&gt;"Có"),0,$M77*$N77*0.5)</f>
        <v/>
      </c>
      <c r="P77" s="222" t="n"/>
      <c r="Q77" s="224">
        <f>IF(OR($B77="",$E77&lt;&gt;"Có"),0,MIN($P77,$O77))</f>
        <v/>
      </c>
      <c r="R77" s="224">
        <f>IF(OR($B77="",$E77&lt;&gt;"Có"),0,MAX($P77-$O77,0))</f>
        <v/>
      </c>
      <c r="S77" s="227" t="n"/>
      <c r="T77" s="224">
        <f>IF(OR($B77="",$E77&lt;&gt;"Có",$S77&lt;=0),0,$M77*MAX($S77,2))</f>
        <v/>
      </c>
      <c r="U77" s="222" t="n"/>
      <c r="V77" s="224">
        <f>IF(OR($B77="",$E77&lt;&gt;"Có"),0,MIN($U77,$T77))</f>
        <v/>
      </c>
      <c r="W77" s="224">
        <f>IF(OR($B77="",$E77&lt;&gt;"Có"),0,MAX($U77-$T77,0))</f>
        <v/>
      </c>
      <c r="X77" s="222" t="n"/>
      <c r="Y77" s="222" t="n"/>
      <c r="Z77" s="222" t="n"/>
      <c r="AA77" s="222" t="n"/>
      <c r="AB77" s="224">
        <f>IF(OR($B77="",$E77&lt;&gt;"Có"),0,SUM($L77,$Q77,$V77,$X77))</f>
        <v/>
      </c>
      <c r="AC77" s="224">
        <f>IF(OR($B77="",$E77&lt;&gt;"Có"),0,SUM($F77,$G77,$R77,$W77,$Y77))</f>
        <v/>
      </c>
      <c r="AD77" s="224">
        <f>IF(OR($B77="",$E77&lt;&gt;"Có"),0,SUM($Z77:$AA77))</f>
        <v/>
      </c>
      <c r="AE77" s="224">
        <f>IF(OR($B77="",$E77&lt;&gt;"Có"),0,$AB77+$AC77-$AD77)</f>
        <v/>
      </c>
      <c r="AF77" s="150">
        <f>IF($B77="","",IF(AND($E77="Có",$D77=""),"Thiếu ngày nghỉ; ","")&amp;IF($I77&gt;MAX($H77,0),"Ngày phép thanh toán vượt số còn lại; ","")&amp;IF(AND($I77&gt;0,OR($J77&lt;=0,$K77&lt;=0)),"Thiếu lương/công chuẩn tháng trước; ","")&amp;IF(AND(SUM($N77,$S77)&gt;0,$M77&lt;=0),"Thiếu bình quân lương 06 tháng; ","")&amp;IF($X77&gt;0,"Bồi thường miễn thuế cần căn cứ và hồ sơ; ","")&amp;IF($AE77&lt;0,"Tổng chi thêm âm; ",""))</f>
        <v/>
      </c>
    </row>
    <row r="78">
      <c r="A78" s="145">
        <f>IF('DM_NHAN_SU'!$B78="","",ROW()-5)</f>
        <v/>
      </c>
      <c r="B78" s="145">
        <f>IF('DM_NHAN_SU'!$B78="","",'DM_NHAN_SU'!B78)</f>
        <v/>
      </c>
      <c r="C78" s="145">
        <f>IF('DM_NHAN_SU'!$B78="","",'DM_NHAN_SU'!C78)</f>
        <v/>
      </c>
      <c r="D78" s="234">
        <f>IF(OR('DM_NHAN_SU'!$B78="",'DM_NHAN_SU'!$G78=""),"",'DM_NHAN_SU'!G78)</f>
        <v/>
      </c>
      <c r="E78" s="127" t="n"/>
      <c r="F78" s="222" t="n"/>
      <c r="G78" s="222" t="n"/>
      <c r="H78" s="232">
        <f>IF($B78="","",'NGHI_PHEP'!K78)</f>
        <v/>
      </c>
      <c r="I78" s="227" t="n"/>
      <c r="J78" s="222" t="n"/>
      <c r="K78" s="227" t="n"/>
      <c r="L78" s="224">
        <f>IF(OR($B78="",$E78&lt;&gt;"Có"),0,IF($K78&gt;0,$I78*$J78/$K78,0))</f>
        <v/>
      </c>
      <c r="M78" s="222" t="n"/>
      <c r="N78" s="227" t="n"/>
      <c r="O78" s="224">
        <f>IF(OR($B78="",$E78&lt;&gt;"Có"),0,$M78*$N78*0.5)</f>
        <v/>
      </c>
      <c r="P78" s="222" t="n"/>
      <c r="Q78" s="224">
        <f>IF(OR($B78="",$E78&lt;&gt;"Có"),0,MIN($P78,$O78))</f>
        <v/>
      </c>
      <c r="R78" s="224">
        <f>IF(OR($B78="",$E78&lt;&gt;"Có"),0,MAX($P78-$O78,0))</f>
        <v/>
      </c>
      <c r="S78" s="227" t="n"/>
      <c r="T78" s="224">
        <f>IF(OR($B78="",$E78&lt;&gt;"Có",$S78&lt;=0),0,$M78*MAX($S78,2))</f>
        <v/>
      </c>
      <c r="U78" s="222" t="n"/>
      <c r="V78" s="224">
        <f>IF(OR($B78="",$E78&lt;&gt;"Có"),0,MIN($U78,$T78))</f>
        <v/>
      </c>
      <c r="W78" s="224">
        <f>IF(OR($B78="",$E78&lt;&gt;"Có"),0,MAX($U78-$T78,0))</f>
        <v/>
      </c>
      <c r="X78" s="222" t="n"/>
      <c r="Y78" s="222" t="n"/>
      <c r="Z78" s="222" t="n"/>
      <c r="AA78" s="222" t="n"/>
      <c r="AB78" s="224">
        <f>IF(OR($B78="",$E78&lt;&gt;"Có"),0,SUM($L78,$Q78,$V78,$X78))</f>
        <v/>
      </c>
      <c r="AC78" s="224">
        <f>IF(OR($B78="",$E78&lt;&gt;"Có"),0,SUM($F78,$G78,$R78,$W78,$Y78))</f>
        <v/>
      </c>
      <c r="AD78" s="224">
        <f>IF(OR($B78="",$E78&lt;&gt;"Có"),0,SUM($Z78:$AA78))</f>
        <v/>
      </c>
      <c r="AE78" s="224">
        <f>IF(OR($B78="",$E78&lt;&gt;"Có"),0,$AB78+$AC78-$AD78)</f>
        <v/>
      </c>
      <c r="AF78" s="150">
        <f>IF($B78="","",IF(AND($E78="Có",$D78=""),"Thiếu ngày nghỉ; ","")&amp;IF($I78&gt;MAX($H78,0),"Ngày phép thanh toán vượt số còn lại; ","")&amp;IF(AND($I78&gt;0,OR($J78&lt;=0,$K78&lt;=0)),"Thiếu lương/công chuẩn tháng trước; ","")&amp;IF(AND(SUM($N78,$S78)&gt;0,$M78&lt;=0),"Thiếu bình quân lương 06 tháng; ","")&amp;IF($X78&gt;0,"Bồi thường miễn thuế cần căn cứ và hồ sơ; ","")&amp;IF($AE78&lt;0,"Tổng chi thêm âm; ",""))</f>
        <v/>
      </c>
    </row>
    <row r="79">
      <c r="A79" s="145">
        <f>IF('DM_NHAN_SU'!$B79="","",ROW()-5)</f>
        <v/>
      </c>
      <c r="B79" s="145">
        <f>IF('DM_NHAN_SU'!$B79="","",'DM_NHAN_SU'!B79)</f>
        <v/>
      </c>
      <c r="C79" s="145">
        <f>IF('DM_NHAN_SU'!$B79="","",'DM_NHAN_SU'!C79)</f>
        <v/>
      </c>
      <c r="D79" s="234">
        <f>IF(OR('DM_NHAN_SU'!$B79="",'DM_NHAN_SU'!$G79=""),"",'DM_NHAN_SU'!G79)</f>
        <v/>
      </c>
      <c r="E79" s="127" t="n"/>
      <c r="F79" s="222" t="n"/>
      <c r="G79" s="222" t="n"/>
      <c r="H79" s="232">
        <f>IF($B79="","",'NGHI_PHEP'!K79)</f>
        <v/>
      </c>
      <c r="I79" s="227" t="n"/>
      <c r="J79" s="222" t="n"/>
      <c r="K79" s="227" t="n"/>
      <c r="L79" s="224">
        <f>IF(OR($B79="",$E79&lt;&gt;"Có"),0,IF($K79&gt;0,$I79*$J79/$K79,0))</f>
        <v/>
      </c>
      <c r="M79" s="222" t="n"/>
      <c r="N79" s="227" t="n"/>
      <c r="O79" s="224">
        <f>IF(OR($B79="",$E79&lt;&gt;"Có"),0,$M79*$N79*0.5)</f>
        <v/>
      </c>
      <c r="P79" s="222" t="n"/>
      <c r="Q79" s="224">
        <f>IF(OR($B79="",$E79&lt;&gt;"Có"),0,MIN($P79,$O79))</f>
        <v/>
      </c>
      <c r="R79" s="224">
        <f>IF(OR($B79="",$E79&lt;&gt;"Có"),0,MAX($P79-$O79,0))</f>
        <v/>
      </c>
      <c r="S79" s="227" t="n"/>
      <c r="T79" s="224">
        <f>IF(OR($B79="",$E79&lt;&gt;"Có",$S79&lt;=0),0,$M79*MAX($S79,2))</f>
        <v/>
      </c>
      <c r="U79" s="222" t="n"/>
      <c r="V79" s="224">
        <f>IF(OR($B79="",$E79&lt;&gt;"Có"),0,MIN($U79,$T79))</f>
        <v/>
      </c>
      <c r="W79" s="224">
        <f>IF(OR($B79="",$E79&lt;&gt;"Có"),0,MAX($U79-$T79,0))</f>
        <v/>
      </c>
      <c r="X79" s="222" t="n"/>
      <c r="Y79" s="222" t="n"/>
      <c r="Z79" s="222" t="n"/>
      <c r="AA79" s="222" t="n"/>
      <c r="AB79" s="224">
        <f>IF(OR($B79="",$E79&lt;&gt;"Có"),0,SUM($L79,$Q79,$V79,$X79))</f>
        <v/>
      </c>
      <c r="AC79" s="224">
        <f>IF(OR($B79="",$E79&lt;&gt;"Có"),0,SUM($F79,$G79,$R79,$W79,$Y79))</f>
        <v/>
      </c>
      <c r="AD79" s="224">
        <f>IF(OR($B79="",$E79&lt;&gt;"Có"),0,SUM($Z79:$AA79))</f>
        <v/>
      </c>
      <c r="AE79" s="224">
        <f>IF(OR($B79="",$E79&lt;&gt;"Có"),0,$AB79+$AC79-$AD79)</f>
        <v/>
      </c>
      <c r="AF79" s="150">
        <f>IF($B79="","",IF(AND($E79="Có",$D79=""),"Thiếu ngày nghỉ; ","")&amp;IF($I79&gt;MAX($H79,0),"Ngày phép thanh toán vượt số còn lại; ","")&amp;IF(AND($I79&gt;0,OR($J79&lt;=0,$K79&lt;=0)),"Thiếu lương/công chuẩn tháng trước; ","")&amp;IF(AND(SUM($N79,$S79)&gt;0,$M79&lt;=0),"Thiếu bình quân lương 06 tháng; ","")&amp;IF($X79&gt;0,"Bồi thường miễn thuế cần căn cứ và hồ sơ; ","")&amp;IF($AE79&lt;0,"Tổng chi thêm âm; ",""))</f>
        <v/>
      </c>
    </row>
    <row r="80">
      <c r="A80" s="145">
        <f>IF('DM_NHAN_SU'!$B80="","",ROW()-5)</f>
        <v/>
      </c>
      <c r="B80" s="145">
        <f>IF('DM_NHAN_SU'!$B80="","",'DM_NHAN_SU'!B80)</f>
        <v/>
      </c>
      <c r="C80" s="145">
        <f>IF('DM_NHAN_SU'!$B80="","",'DM_NHAN_SU'!C80)</f>
        <v/>
      </c>
      <c r="D80" s="234">
        <f>IF(OR('DM_NHAN_SU'!$B80="",'DM_NHAN_SU'!$G80=""),"",'DM_NHAN_SU'!G80)</f>
        <v/>
      </c>
      <c r="E80" s="127" t="n"/>
      <c r="F80" s="222" t="n"/>
      <c r="G80" s="222" t="n"/>
      <c r="H80" s="232">
        <f>IF($B80="","",'NGHI_PHEP'!K80)</f>
        <v/>
      </c>
      <c r="I80" s="227" t="n"/>
      <c r="J80" s="222" t="n"/>
      <c r="K80" s="227" t="n"/>
      <c r="L80" s="224">
        <f>IF(OR($B80="",$E80&lt;&gt;"Có"),0,IF($K80&gt;0,$I80*$J80/$K80,0))</f>
        <v/>
      </c>
      <c r="M80" s="222" t="n"/>
      <c r="N80" s="227" t="n"/>
      <c r="O80" s="224">
        <f>IF(OR($B80="",$E80&lt;&gt;"Có"),0,$M80*$N80*0.5)</f>
        <v/>
      </c>
      <c r="P80" s="222" t="n"/>
      <c r="Q80" s="224">
        <f>IF(OR($B80="",$E80&lt;&gt;"Có"),0,MIN($P80,$O80))</f>
        <v/>
      </c>
      <c r="R80" s="224">
        <f>IF(OR($B80="",$E80&lt;&gt;"Có"),0,MAX($P80-$O80,0))</f>
        <v/>
      </c>
      <c r="S80" s="227" t="n"/>
      <c r="T80" s="224">
        <f>IF(OR($B80="",$E80&lt;&gt;"Có",$S80&lt;=0),0,$M80*MAX($S80,2))</f>
        <v/>
      </c>
      <c r="U80" s="222" t="n"/>
      <c r="V80" s="224">
        <f>IF(OR($B80="",$E80&lt;&gt;"Có"),0,MIN($U80,$T80))</f>
        <v/>
      </c>
      <c r="W80" s="224">
        <f>IF(OR($B80="",$E80&lt;&gt;"Có"),0,MAX($U80-$T80,0))</f>
        <v/>
      </c>
      <c r="X80" s="222" t="n"/>
      <c r="Y80" s="222" t="n"/>
      <c r="Z80" s="222" t="n"/>
      <c r="AA80" s="222" t="n"/>
      <c r="AB80" s="224">
        <f>IF(OR($B80="",$E80&lt;&gt;"Có"),0,SUM($L80,$Q80,$V80,$X80))</f>
        <v/>
      </c>
      <c r="AC80" s="224">
        <f>IF(OR($B80="",$E80&lt;&gt;"Có"),0,SUM($F80,$G80,$R80,$W80,$Y80))</f>
        <v/>
      </c>
      <c r="AD80" s="224">
        <f>IF(OR($B80="",$E80&lt;&gt;"Có"),0,SUM($Z80:$AA80))</f>
        <v/>
      </c>
      <c r="AE80" s="224">
        <f>IF(OR($B80="",$E80&lt;&gt;"Có"),0,$AB80+$AC80-$AD80)</f>
        <v/>
      </c>
      <c r="AF80" s="150">
        <f>IF($B80="","",IF(AND($E80="Có",$D80=""),"Thiếu ngày nghỉ; ","")&amp;IF($I80&gt;MAX($H80,0),"Ngày phép thanh toán vượt số còn lại; ","")&amp;IF(AND($I80&gt;0,OR($J80&lt;=0,$K80&lt;=0)),"Thiếu lương/công chuẩn tháng trước; ","")&amp;IF(AND(SUM($N80,$S80)&gt;0,$M80&lt;=0),"Thiếu bình quân lương 06 tháng; ","")&amp;IF($X80&gt;0,"Bồi thường miễn thuế cần căn cứ và hồ sơ; ","")&amp;IF($AE80&lt;0,"Tổng chi thêm âm; ",""))</f>
        <v/>
      </c>
    </row>
    <row r="81">
      <c r="A81" s="145">
        <f>IF('DM_NHAN_SU'!$B81="","",ROW()-5)</f>
        <v/>
      </c>
      <c r="B81" s="145">
        <f>IF('DM_NHAN_SU'!$B81="","",'DM_NHAN_SU'!B81)</f>
        <v/>
      </c>
      <c r="C81" s="145">
        <f>IF('DM_NHAN_SU'!$B81="","",'DM_NHAN_SU'!C81)</f>
        <v/>
      </c>
      <c r="D81" s="234">
        <f>IF(OR('DM_NHAN_SU'!$B81="",'DM_NHAN_SU'!$G81=""),"",'DM_NHAN_SU'!G81)</f>
        <v/>
      </c>
      <c r="E81" s="127" t="n"/>
      <c r="F81" s="222" t="n"/>
      <c r="G81" s="222" t="n"/>
      <c r="H81" s="232">
        <f>IF($B81="","",'NGHI_PHEP'!K81)</f>
        <v/>
      </c>
      <c r="I81" s="227" t="n"/>
      <c r="J81" s="222" t="n"/>
      <c r="K81" s="227" t="n"/>
      <c r="L81" s="224">
        <f>IF(OR($B81="",$E81&lt;&gt;"Có"),0,IF($K81&gt;0,$I81*$J81/$K81,0))</f>
        <v/>
      </c>
      <c r="M81" s="222" t="n"/>
      <c r="N81" s="227" t="n"/>
      <c r="O81" s="224">
        <f>IF(OR($B81="",$E81&lt;&gt;"Có"),0,$M81*$N81*0.5)</f>
        <v/>
      </c>
      <c r="P81" s="222" t="n"/>
      <c r="Q81" s="224">
        <f>IF(OR($B81="",$E81&lt;&gt;"Có"),0,MIN($P81,$O81))</f>
        <v/>
      </c>
      <c r="R81" s="224">
        <f>IF(OR($B81="",$E81&lt;&gt;"Có"),0,MAX($P81-$O81,0))</f>
        <v/>
      </c>
      <c r="S81" s="227" t="n"/>
      <c r="T81" s="224">
        <f>IF(OR($B81="",$E81&lt;&gt;"Có",$S81&lt;=0),0,$M81*MAX($S81,2))</f>
        <v/>
      </c>
      <c r="U81" s="222" t="n"/>
      <c r="V81" s="224">
        <f>IF(OR($B81="",$E81&lt;&gt;"Có"),0,MIN($U81,$T81))</f>
        <v/>
      </c>
      <c r="W81" s="224">
        <f>IF(OR($B81="",$E81&lt;&gt;"Có"),0,MAX($U81-$T81,0))</f>
        <v/>
      </c>
      <c r="X81" s="222" t="n"/>
      <c r="Y81" s="222" t="n"/>
      <c r="Z81" s="222" t="n"/>
      <c r="AA81" s="222" t="n"/>
      <c r="AB81" s="224">
        <f>IF(OR($B81="",$E81&lt;&gt;"Có"),0,SUM($L81,$Q81,$V81,$X81))</f>
        <v/>
      </c>
      <c r="AC81" s="224">
        <f>IF(OR($B81="",$E81&lt;&gt;"Có"),0,SUM($F81,$G81,$R81,$W81,$Y81))</f>
        <v/>
      </c>
      <c r="AD81" s="224">
        <f>IF(OR($B81="",$E81&lt;&gt;"Có"),0,SUM($Z81:$AA81))</f>
        <v/>
      </c>
      <c r="AE81" s="224">
        <f>IF(OR($B81="",$E81&lt;&gt;"Có"),0,$AB81+$AC81-$AD81)</f>
        <v/>
      </c>
      <c r="AF81" s="150">
        <f>IF($B81="","",IF(AND($E81="Có",$D81=""),"Thiếu ngày nghỉ; ","")&amp;IF($I81&gt;MAX($H81,0),"Ngày phép thanh toán vượt số còn lại; ","")&amp;IF(AND($I81&gt;0,OR($J81&lt;=0,$K81&lt;=0)),"Thiếu lương/công chuẩn tháng trước; ","")&amp;IF(AND(SUM($N81,$S81)&gt;0,$M81&lt;=0),"Thiếu bình quân lương 06 tháng; ","")&amp;IF($X81&gt;0,"Bồi thường miễn thuế cần căn cứ và hồ sơ; ","")&amp;IF($AE81&lt;0,"Tổng chi thêm âm; ",""))</f>
        <v/>
      </c>
    </row>
    <row r="82">
      <c r="A82" s="145">
        <f>IF('DM_NHAN_SU'!$B82="","",ROW()-5)</f>
        <v/>
      </c>
      <c r="B82" s="145">
        <f>IF('DM_NHAN_SU'!$B82="","",'DM_NHAN_SU'!B82)</f>
        <v/>
      </c>
      <c r="C82" s="145">
        <f>IF('DM_NHAN_SU'!$B82="","",'DM_NHAN_SU'!C82)</f>
        <v/>
      </c>
      <c r="D82" s="234">
        <f>IF(OR('DM_NHAN_SU'!$B82="",'DM_NHAN_SU'!$G82=""),"",'DM_NHAN_SU'!G82)</f>
        <v/>
      </c>
      <c r="E82" s="127" t="n"/>
      <c r="F82" s="222" t="n"/>
      <c r="G82" s="222" t="n"/>
      <c r="H82" s="232">
        <f>IF($B82="","",'NGHI_PHEP'!K82)</f>
        <v/>
      </c>
      <c r="I82" s="227" t="n"/>
      <c r="J82" s="222" t="n"/>
      <c r="K82" s="227" t="n"/>
      <c r="L82" s="224">
        <f>IF(OR($B82="",$E82&lt;&gt;"Có"),0,IF($K82&gt;0,$I82*$J82/$K82,0))</f>
        <v/>
      </c>
      <c r="M82" s="222" t="n"/>
      <c r="N82" s="227" t="n"/>
      <c r="O82" s="224">
        <f>IF(OR($B82="",$E82&lt;&gt;"Có"),0,$M82*$N82*0.5)</f>
        <v/>
      </c>
      <c r="P82" s="222" t="n"/>
      <c r="Q82" s="224">
        <f>IF(OR($B82="",$E82&lt;&gt;"Có"),0,MIN($P82,$O82))</f>
        <v/>
      </c>
      <c r="R82" s="224">
        <f>IF(OR($B82="",$E82&lt;&gt;"Có"),0,MAX($P82-$O82,0))</f>
        <v/>
      </c>
      <c r="S82" s="227" t="n"/>
      <c r="T82" s="224">
        <f>IF(OR($B82="",$E82&lt;&gt;"Có",$S82&lt;=0),0,$M82*MAX($S82,2))</f>
        <v/>
      </c>
      <c r="U82" s="222" t="n"/>
      <c r="V82" s="224">
        <f>IF(OR($B82="",$E82&lt;&gt;"Có"),0,MIN($U82,$T82))</f>
        <v/>
      </c>
      <c r="W82" s="224">
        <f>IF(OR($B82="",$E82&lt;&gt;"Có"),0,MAX($U82-$T82,0))</f>
        <v/>
      </c>
      <c r="X82" s="222" t="n"/>
      <c r="Y82" s="222" t="n"/>
      <c r="Z82" s="222" t="n"/>
      <c r="AA82" s="222" t="n"/>
      <c r="AB82" s="224">
        <f>IF(OR($B82="",$E82&lt;&gt;"Có"),0,SUM($L82,$Q82,$V82,$X82))</f>
        <v/>
      </c>
      <c r="AC82" s="224">
        <f>IF(OR($B82="",$E82&lt;&gt;"Có"),0,SUM($F82,$G82,$R82,$W82,$Y82))</f>
        <v/>
      </c>
      <c r="AD82" s="224">
        <f>IF(OR($B82="",$E82&lt;&gt;"Có"),0,SUM($Z82:$AA82))</f>
        <v/>
      </c>
      <c r="AE82" s="224">
        <f>IF(OR($B82="",$E82&lt;&gt;"Có"),0,$AB82+$AC82-$AD82)</f>
        <v/>
      </c>
      <c r="AF82" s="150">
        <f>IF($B82="","",IF(AND($E82="Có",$D82=""),"Thiếu ngày nghỉ; ","")&amp;IF($I82&gt;MAX($H82,0),"Ngày phép thanh toán vượt số còn lại; ","")&amp;IF(AND($I82&gt;0,OR($J82&lt;=0,$K82&lt;=0)),"Thiếu lương/công chuẩn tháng trước; ","")&amp;IF(AND(SUM($N82,$S82)&gt;0,$M82&lt;=0),"Thiếu bình quân lương 06 tháng; ","")&amp;IF($X82&gt;0,"Bồi thường miễn thuế cần căn cứ và hồ sơ; ","")&amp;IF($AE82&lt;0,"Tổng chi thêm âm; ",""))</f>
        <v/>
      </c>
    </row>
    <row r="83">
      <c r="A83" s="145">
        <f>IF('DM_NHAN_SU'!$B83="","",ROW()-5)</f>
        <v/>
      </c>
      <c r="B83" s="145">
        <f>IF('DM_NHAN_SU'!$B83="","",'DM_NHAN_SU'!B83)</f>
        <v/>
      </c>
      <c r="C83" s="145">
        <f>IF('DM_NHAN_SU'!$B83="","",'DM_NHAN_SU'!C83)</f>
        <v/>
      </c>
      <c r="D83" s="234">
        <f>IF(OR('DM_NHAN_SU'!$B83="",'DM_NHAN_SU'!$G83=""),"",'DM_NHAN_SU'!G83)</f>
        <v/>
      </c>
      <c r="E83" s="127" t="n"/>
      <c r="F83" s="222" t="n"/>
      <c r="G83" s="222" t="n"/>
      <c r="H83" s="232">
        <f>IF($B83="","",'NGHI_PHEP'!K83)</f>
        <v/>
      </c>
      <c r="I83" s="227" t="n"/>
      <c r="J83" s="222" t="n"/>
      <c r="K83" s="227" t="n"/>
      <c r="L83" s="224">
        <f>IF(OR($B83="",$E83&lt;&gt;"Có"),0,IF($K83&gt;0,$I83*$J83/$K83,0))</f>
        <v/>
      </c>
      <c r="M83" s="222" t="n"/>
      <c r="N83" s="227" t="n"/>
      <c r="O83" s="224">
        <f>IF(OR($B83="",$E83&lt;&gt;"Có"),0,$M83*$N83*0.5)</f>
        <v/>
      </c>
      <c r="P83" s="222" t="n"/>
      <c r="Q83" s="224">
        <f>IF(OR($B83="",$E83&lt;&gt;"Có"),0,MIN($P83,$O83))</f>
        <v/>
      </c>
      <c r="R83" s="224">
        <f>IF(OR($B83="",$E83&lt;&gt;"Có"),0,MAX($P83-$O83,0))</f>
        <v/>
      </c>
      <c r="S83" s="227" t="n"/>
      <c r="T83" s="224">
        <f>IF(OR($B83="",$E83&lt;&gt;"Có",$S83&lt;=0),0,$M83*MAX($S83,2))</f>
        <v/>
      </c>
      <c r="U83" s="222" t="n"/>
      <c r="V83" s="224">
        <f>IF(OR($B83="",$E83&lt;&gt;"Có"),0,MIN($U83,$T83))</f>
        <v/>
      </c>
      <c r="W83" s="224">
        <f>IF(OR($B83="",$E83&lt;&gt;"Có"),0,MAX($U83-$T83,0))</f>
        <v/>
      </c>
      <c r="X83" s="222" t="n"/>
      <c r="Y83" s="222" t="n"/>
      <c r="Z83" s="222" t="n"/>
      <c r="AA83" s="222" t="n"/>
      <c r="AB83" s="224">
        <f>IF(OR($B83="",$E83&lt;&gt;"Có"),0,SUM($L83,$Q83,$V83,$X83))</f>
        <v/>
      </c>
      <c r="AC83" s="224">
        <f>IF(OR($B83="",$E83&lt;&gt;"Có"),0,SUM($F83,$G83,$R83,$W83,$Y83))</f>
        <v/>
      </c>
      <c r="AD83" s="224">
        <f>IF(OR($B83="",$E83&lt;&gt;"Có"),0,SUM($Z83:$AA83))</f>
        <v/>
      </c>
      <c r="AE83" s="224">
        <f>IF(OR($B83="",$E83&lt;&gt;"Có"),0,$AB83+$AC83-$AD83)</f>
        <v/>
      </c>
      <c r="AF83" s="150">
        <f>IF($B83="","",IF(AND($E83="Có",$D83=""),"Thiếu ngày nghỉ; ","")&amp;IF($I83&gt;MAX($H83,0),"Ngày phép thanh toán vượt số còn lại; ","")&amp;IF(AND($I83&gt;0,OR($J83&lt;=0,$K83&lt;=0)),"Thiếu lương/công chuẩn tháng trước; ","")&amp;IF(AND(SUM($N83,$S83)&gt;0,$M83&lt;=0),"Thiếu bình quân lương 06 tháng; ","")&amp;IF($X83&gt;0,"Bồi thường miễn thuế cần căn cứ và hồ sơ; ","")&amp;IF($AE83&lt;0,"Tổng chi thêm âm; ",""))</f>
        <v/>
      </c>
    </row>
    <row r="84">
      <c r="A84" s="145">
        <f>IF('DM_NHAN_SU'!$B84="","",ROW()-5)</f>
        <v/>
      </c>
      <c r="B84" s="145">
        <f>IF('DM_NHAN_SU'!$B84="","",'DM_NHAN_SU'!B84)</f>
        <v/>
      </c>
      <c r="C84" s="145">
        <f>IF('DM_NHAN_SU'!$B84="","",'DM_NHAN_SU'!C84)</f>
        <v/>
      </c>
      <c r="D84" s="234">
        <f>IF(OR('DM_NHAN_SU'!$B84="",'DM_NHAN_SU'!$G84=""),"",'DM_NHAN_SU'!G84)</f>
        <v/>
      </c>
      <c r="E84" s="127" t="n"/>
      <c r="F84" s="222" t="n"/>
      <c r="G84" s="222" t="n"/>
      <c r="H84" s="232">
        <f>IF($B84="","",'NGHI_PHEP'!K84)</f>
        <v/>
      </c>
      <c r="I84" s="227" t="n"/>
      <c r="J84" s="222" t="n"/>
      <c r="K84" s="227" t="n"/>
      <c r="L84" s="224">
        <f>IF(OR($B84="",$E84&lt;&gt;"Có"),0,IF($K84&gt;0,$I84*$J84/$K84,0))</f>
        <v/>
      </c>
      <c r="M84" s="222" t="n"/>
      <c r="N84" s="227" t="n"/>
      <c r="O84" s="224">
        <f>IF(OR($B84="",$E84&lt;&gt;"Có"),0,$M84*$N84*0.5)</f>
        <v/>
      </c>
      <c r="P84" s="222" t="n"/>
      <c r="Q84" s="224">
        <f>IF(OR($B84="",$E84&lt;&gt;"Có"),0,MIN($P84,$O84))</f>
        <v/>
      </c>
      <c r="R84" s="224">
        <f>IF(OR($B84="",$E84&lt;&gt;"Có"),0,MAX($P84-$O84,0))</f>
        <v/>
      </c>
      <c r="S84" s="227" t="n"/>
      <c r="T84" s="224">
        <f>IF(OR($B84="",$E84&lt;&gt;"Có",$S84&lt;=0),0,$M84*MAX($S84,2))</f>
        <v/>
      </c>
      <c r="U84" s="222" t="n"/>
      <c r="V84" s="224">
        <f>IF(OR($B84="",$E84&lt;&gt;"Có"),0,MIN($U84,$T84))</f>
        <v/>
      </c>
      <c r="W84" s="224">
        <f>IF(OR($B84="",$E84&lt;&gt;"Có"),0,MAX($U84-$T84,0))</f>
        <v/>
      </c>
      <c r="X84" s="222" t="n"/>
      <c r="Y84" s="222" t="n"/>
      <c r="Z84" s="222" t="n"/>
      <c r="AA84" s="222" t="n"/>
      <c r="AB84" s="224">
        <f>IF(OR($B84="",$E84&lt;&gt;"Có"),0,SUM($L84,$Q84,$V84,$X84))</f>
        <v/>
      </c>
      <c r="AC84" s="224">
        <f>IF(OR($B84="",$E84&lt;&gt;"Có"),0,SUM($F84,$G84,$R84,$W84,$Y84))</f>
        <v/>
      </c>
      <c r="AD84" s="224">
        <f>IF(OR($B84="",$E84&lt;&gt;"Có"),0,SUM($Z84:$AA84))</f>
        <v/>
      </c>
      <c r="AE84" s="224">
        <f>IF(OR($B84="",$E84&lt;&gt;"Có"),0,$AB84+$AC84-$AD84)</f>
        <v/>
      </c>
      <c r="AF84" s="150">
        <f>IF($B84="","",IF(AND($E84="Có",$D84=""),"Thiếu ngày nghỉ; ","")&amp;IF($I84&gt;MAX($H84,0),"Ngày phép thanh toán vượt số còn lại; ","")&amp;IF(AND($I84&gt;0,OR($J84&lt;=0,$K84&lt;=0)),"Thiếu lương/công chuẩn tháng trước; ","")&amp;IF(AND(SUM($N84,$S84)&gt;0,$M84&lt;=0),"Thiếu bình quân lương 06 tháng; ","")&amp;IF($X84&gt;0,"Bồi thường miễn thuế cần căn cứ và hồ sơ; ","")&amp;IF($AE84&lt;0,"Tổng chi thêm âm; ",""))</f>
        <v/>
      </c>
    </row>
    <row r="85">
      <c r="A85" s="145">
        <f>IF('DM_NHAN_SU'!$B85="","",ROW()-5)</f>
        <v/>
      </c>
      <c r="B85" s="145">
        <f>IF('DM_NHAN_SU'!$B85="","",'DM_NHAN_SU'!B85)</f>
        <v/>
      </c>
      <c r="C85" s="145">
        <f>IF('DM_NHAN_SU'!$B85="","",'DM_NHAN_SU'!C85)</f>
        <v/>
      </c>
      <c r="D85" s="234">
        <f>IF(OR('DM_NHAN_SU'!$B85="",'DM_NHAN_SU'!$G85=""),"",'DM_NHAN_SU'!G85)</f>
        <v/>
      </c>
      <c r="E85" s="127" t="n"/>
      <c r="F85" s="222" t="n"/>
      <c r="G85" s="222" t="n"/>
      <c r="H85" s="232">
        <f>IF($B85="","",'NGHI_PHEP'!K85)</f>
        <v/>
      </c>
      <c r="I85" s="227" t="n"/>
      <c r="J85" s="222" t="n"/>
      <c r="K85" s="227" t="n"/>
      <c r="L85" s="224">
        <f>IF(OR($B85="",$E85&lt;&gt;"Có"),0,IF($K85&gt;0,$I85*$J85/$K85,0))</f>
        <v/>
      </c>
      <c r="M85" s="222" t="n"/>
      <c r="N85" s="227" t="n"/>
      <c r="O85" s="224">
        <f>IF(OR($B85="",$E85&lt;&gt;"Có"),0,$M85*$N85*0.5)</f>
        <v/>
      </c>
      <c r="P85" s="222" t="n"/>
      <c r="Q85" s="224">
        <f>IF(OR($B85="",$E85&lt;&gt;"Có"),0,MIN($P85,$O85))</f>
        <v/>
      </c>
      <c r="R85" s="224">
        <f>IF(OR($B85="",$E85&lt;&gt;"Có"),0,MAX($P85-$O85,0))</f>
        <v/>
      </c>
      <c r="S85" s="227" t="n"/>
      <c r="T85" s="224">
        <f>IF(OR($B85="",$E85&lt;&gt;"Có",$S85&lt;=0),0,$M85*MAX($S85,2))</f>
        <v/>
      </c>
      <c r="U85" s="222" t="n"/>
      <c r="V85" s="224">
        <f>IF(OR($B85="",$E85&lt;&gt;"Có"),0,MIN($U85,$T85))</f>
        <v/>
      </c>
      <c r="W85" s="224">
        <f>IF(OR($B85="",$E85&lt;&gt;"Có"),0,MAX($U85-$T85,0))</f>
        <v/>
      </c>
      <c r="X85" s="222" t="n"/>
      <c r="Y85" s="222" t="n"/>
      <c r="Z85" s="222" t="n"/>
      <c r="AA85" s="222" t="n"/>
      <c r="AB85" s="224">
        <f>IF(OR($B85="",$E85&lt;&gt;"Có"),0,SUM($L85,$Q85,$V85,$X85))</f>
        <v/>
      </c>
      <c r="AC85" s="224">
        <f>IF(OR($B85="",$E85&lt;&gt;"Có"),0,SUM($F85,$G85,$R85,$W85,$Y85))</f>
        <v/>
      </c>
      <c r="AD85" s="224">
        <f>IF(OR($B85="",$E85&lt;&gt;"Có"),0,SUM($Z85:$AA85))</f>
        <v/>
      </c>
      <c r="AE85" s="224">
        <f>IF(OR($B85="",$E85&lt;&gt;"Có"),0,$AB85+$AC85-$AD85)</f>
        <v/>
      </c>
      <c r="AF85" s="150">
        <f>IF($B85="","",IF(AND($E85="Có",$D85=""),"Thiếu ngày nghỉ; ","")&amp;IF($I85&gt;MAX($H85,0),"Ngày phép thanh toán vượt số còn lại; ","")&amp;IF(AND($I85&gt;0,OR($J85&lt;=0,$K85&lt;=0)),"Thiếu lương/công chuẩn tháng trước; ","")&amp;IF(AND(SUM($N85,$S85)&gt;0,$M85&lt;=0),"Thiếu bình quân lương 06 tháng; ","")&amp;IF($X85&gt;0,"Bồi thường miễn thuế cần căn cứ và hồ sơ; ","")&amp;IF($AE85&lt;0,"Tổng chi thêm âm; ",""))</f>
        <v/>
      </c>
    </row>
    <row r="86">
      <c r="A86" s="145">
        <f>IF('DM_NHAN_SU'!$B86="","",ROW()-5)</f>
        <v/>
      </c>
      <c r="B86" s="145">
        <f>IF('DM_NHAN_SU'!$B86="","",'DM_NHAN_SU'!B86)</f>
        <v/>
      </c>
      <c r="C86" s="145">
        <f>IF('DM_NHAN_SU'!$B86="","",'DM_NHAN_SU'!C86)</f>
        <v/>
      </c>
      <c r="D86" s="234">
        <f>IF(OR('DM_NHAN_SU'!$B86="",'DM_NHAN_SU'!$G86=""),"",'DM_NHAN_SU'!G86)</f>
        <v/>
      </c>
      <c r="E86" s="127" t="n"/>
      <c r="F86" s="222" t="n"/>
      <c r="G86" s="222" t="n"/>
      <c r="H86" s="232">
        <f>IF($B86="","",'NGHI_PHEP'!K86)</f>
        <v/>
      </c>
      <c r="I86" s="227" t="n"/>
      <c r="J86" s="222" t="n"/>
      <c r="K86" s="227" t="n"/>
      <c r="L86" s="224">
        <f>IF(OR($B86="",$E86&lt;&gt;"Có"),0,IF($K86&gt;0,$I86*$J86/$K86,0))</f>
        <v/>
      </c>
      <c r="M86" s="222" t="n"/>
      <c r="N86" s="227" t="n"/>
      <c r="O86" s="224">
        <f>IF(OR($B86="",$E86&lt;&gt;"Có"),0,$M86*$N86*0.5)</f>
        <v/>
      </c>
      <c r="P86" s="222" t="n"/>
      <c r="Q86" s="224">
        <f>IF(OR($B86="",$E86&lt;&gt;"Có"),0,MIN($P86,$O86))</f>
        <v/>
      </c>
      <c r="R86" s="224">
        <f>IF(OR($B86="",$E86&lt;&gt;"Có"),0,MAX($P86-$O86,0))</f>
        <v/>
      </c>
      <c r="S86" s="227" t="n"/>
      <c r="T86" s="224">
        <f>IF(OR($B86="",$E86&lt;&gt;"Có",$S86&lt;=0),0,$M86*MAX($S86,2))</f>
        <v/>
      </c>
      <c r="U86" s="222" t="n"/>
      <c r="V86" s="224">
        <f>IF(OR($B86="",$E86&lt;&gt;"Có"),0,MIN($U86,$T86))</f>
        <v/>
      </c>
      <c r="W86" s="224">
        <f>IF(OR($B86="",$E86&lt;&gt;"Có"),0,MAX($U86-$T86,0))</f>
        <v/>
      </c>
      <c r="X86" s="222" t="n"/>
      <c r="Y86" s="222" t="n"/>
      <c r="Z86" s="222" t="n"/>
      <c r="AA86" s="222" t="n"/>
      <c r="AB86" s="224">
        <f>IF(OR($B86="",$E86&lt;&gt;"Có"),0,SUM($L86,$Q86,$V86,$X86))</f>
        <v/>
      </c>
      <c r="AC86" s="224">
        <f>IF(OR($B86="",$E86&lt;&gt;"Có"),0,SUM($F86,$G86,$R86,$W86,$Y86))</f>
        <v/>
      </c>
      <c r="AD86" s="224">
        <f>IF(OR($B86="",$E86&lt;&gt;"Có"),0,SUM($Z86:$AA86))</f>
        <v/>
      </c>
      <c r="AE86" s="224">
        <f>IF(OR($B86="",$E86&lt;&gt;"Có"),0,$AB86+$AC86-$AD86)</f>
        <v/>
      </c>
      <c r="AF86" s="150">
        <f>IF($B86="","",IF(AND($E86="Có",$D86=""),"Thiếu ngày nghỉ; ","")&amp;IF($I86&gt;MAX($H86,0),"Ngày phép thanh toán vượt số còn lại; ","")&amp;IF(AND($I86&gt;0,OR($J86&lt;=0,$K86&lt;=0)),"Thiếu lương/công chuẩn tháng trước; ","")&amp;IF(AND(SUM($N86,$S86)&gt;0,$M86&lt;=0),"Thiếu bình quân lương 06 tháng; ","")&amp;IF($X86&gt;0,"Bồi thường miễn thuế cần căn cứ và hồ sơ; ","")&amp;IF($AE86&lt;0,"Tổng chi thêm âm; ",""))</f>
        <v/>
      </c>
    </row>
    <row r="87">
      <c r="A87" s="145">
        <f>IF('DM_NHAN_SU'!$B87="","",ROW()-5)</f>
        <v/>
      </c>
      <c r="B87" s="145">
        <f>IF('DM_NHAN_SU'!$B87="","",'DM_NHAN_SU'!B87)</f>
        <v/>
      </c>
      <c r="C87" s="145">
        <f>IF('DM_NHAN_SU'!$B87="","",'DM_NHAN_SU'!C87)</f>
        <v/>
      </c>
      <c r="D87" s="234">
        <f>IF(OR('DM_NHAN_SU'!$B87="",'DM_NHAN_SU'!$G87=""),"",'DM_NHAN_SU'!G87)</f>
        <v/>
      </c>
      <c r="E87" s="127" t="n"/>
      <c r="F87" s="222" t="n"/>
      <c r="G87" s="222" t="n"/>
      <c r="H87" s="232">
        <f>IF($B87="","",'NGHI_PHEP'!K87)</f>
        <v/>
      </c>
      <c r="I87" s="227" t="n"/>
      <c r="J87" s="222" t="n"/>
      <c r="K87" s="227" t="n"/>
      <c r="L87" s="224">
        <f>IF(OR($B87="",$E87&lt;&gt;"Có"),0,IF($K87&gt;0,$I87*$J87/$K87,0))</f>
        <v/>
      </c>
      <c r="M87" s="222" t="n"/>
      <c r="N87" s="227" t="n"/>
      <c r="O87" s="224">
        <f>IF(OR($B87="",$E87&lt;&gt;"Có"),0,$M87*$N87*0.5)</f>
        <v/>
      </c>
      <c r="P87" s="222" t="n"/>
      <c r="Q87" s="224">
        <f>IF(OR($B87="",$E87&lt;&gt;"Có"),0,MIN($P87,$O87))</f>
        <v/>
      </c>
      <c r="R87" s="224">
        <f>IF(OR($B87="",$E87&lt;&gt;"Có"),0,MAX($P87-$O87,0))</f>
        <v/>
      </c>
      <c r="S87" s="227" t="n"/>
      <c r="T87" s="224">
        <f>IF(OR($B87="",$E87&lt;&gt;"Có",$S87&lt;=0),0,$M87*MAX($S87,2))</f>
        <v/>
      </c>
      <c r="U87" s="222" t="n"/>
      <c r="V87" s="224">
        <f>IF(OR($B87="",$E87&lt;&gt;"Có"),0,MIN($U87,$T87))</f>
        <v/>
      </c>
      <c r="W87" s="224">
        <f>IF(OR($B87="",$E87&lt;&gt;"Có"),0,MAX($U87-$T87,0))</f>
        <v/>
      </c>
      <c r="X87" s="222" t="n"/>
      <c r="Y87" s="222" t="n"/>
      <c r="Z87" s="222" t="n"/>
      <c r="AA87" s="222" t="n"/>
      <c r="AB87" s="224">
        <f>IF(OR($B87="",$E87&lt;&gt;"Có"),0,SUM($L87,$Q87,$V87,$X87))</f>
        <v/>
      </c>
      <c r="AC87" s="224">
        <f>IF(OR($B87="",$E87&lt;&gt;"Có"),0,SUM($F87,$G87,$R87,$W87,$Y87))</f>
        <v/>
      </c>
      <c r="AD87" s="224">
        <f>IF(OR($B87="",$E87&lt;&gt;"Có"),0,SUM($Z87:$AA87))</f>
        <v/>
      </c>
      <c r="AE87" s="224">
        <f>IF(OR($B87="",$E87&lt;&gt;"Có"),0,$AB87+$AC87-$AD87)</f>
        <v/>
      </c>
      <c r="AF87" s="150">
        <f>IF($B87="","",IF(AND($E87="Có",$D87=""),"Thiếu ngày nghỉ; ","")&amp;IF($I87&gt;MAX($H87,0),"Ngày phép thanh toán vượt số còn lại; ","")&amp;IF(AND($I87&gt;0,OR($J87&lt;=0,$K87&lt;=0)),"Thiếu lương/công chuẩn tháng trước; ","")&amp;IF(AND(SUM($N87,$S87)&gt;0,$M87&lt;=0),"Thiếu bình quân lương 06 tháng; ","")&amp;IF($X87&gt;0,"Bồi thường miễn thuế cần căn cứ và hồ sơ; ","")&amp;IF($AE87&lt;0,"Tổng chi thêm âm; ",""))</f>
        <v/>
      </c>
    </row>
    <row r="88">
      <c r="A88" s="145">
        <f>IF('DM_NHAN_SU'!$B88="","",ROW()-5)</f>
        <v/>
      </c>
      <c r="B88" s="145">
        <f>IF('DM_NHAN_SU'!$B88="","",'DM_NHAN_SU'!B88)</f>
        <v/>
      </c>
      <c r="C88" s="145">
        <f>IF('DM_NHAN_SU'!$B88="","",'DM_NHAN_SU'!C88)</f>
        <v/>
      </c>
      <c r="D88" s="234">
        <f>IF(OR('DM_NHAN_SU'!$B88="",'DM_NHAN_SU'!$G88=""),"",'DM_NHAN_SU'!G88)</f>
        <v/>
      </c>
      <c r="E88" s="127" t="n"/>
      <c r="F88" s="222" t="n"/>
      <c r="G88" s="222" t="n"/>
      <c r="H88" s="232">
        <f>IF($B88="","",'NGHI_PHEP'!K88)</f>
        <v/>
      </c>
      <c r="I88" s="227" t="n"/>
      <c r="J88" s="222" t="n"/>
      <c r="K88" s="227" t="n"/>
      <c r="L88" s="224">
        <f>IF(OR($B88="",$E88&lt;&gt;"Có"),0,IF($K88&gt;0,$I88*$J88/$K88,0))</f>
        <v/>
      </c>
      <c r="M88" s="222" t="n"/>
      <c r="N88" s="227" t="n"/>
      <c r="O88" s="224">
        <f>IF(OR($B88="",$E88&lt;&gt;"Có"),0,$M88*$N88*0.5)</f>
        <v/>
      </c>
      <c r="P88" s="222" t="n"/>
      <c r="Q88" s="224">
        <f>IF(OR($B88="",$E88&lt;&gt;"Có"),0,MIN($P88,$O88))</f>
        <v/>
      </c>
      <c r="R88" s="224">
        <f>IF(OR($B88="",$E88&lt;&gt;"Có"),0,MAX($P88-$O88,0))</f>
        <v/>
      </c>
      <c r="S88" s="227" t="n"/>
      <c r="T88" s="224">
        <f>IF(OR($B88="",$E88&lt;&gt;"Có",$S88&lt;=0),0,$M88*MAX($S88,2))</f>
        <v/>
      </c>
      <c r="U88" s="222" t="n"/>
      <c r="V88" s="224">
        <f>IF(OR($B88="",$E88&lt;&gt;"Có"),0,MIN($U88,$T88))</f>
        <v/>
      </c>
      <c r="W88" s="224">
        <f>IF(OR($B88="",$E88&lt;&gt;"Có"),0,MAX($U88-$T88,0))</f>
        <v/>
      </c>
      <c r="X88" s="222" t="n"/>
      <c r="Y88" s="222" t="n"/>
      <c r="Z88" s="222" t="n"/>
      <c r="AA88" s="222" t="n"/>
      <c r="AB88" s="224">
        <f>IF(OR($B88="",$E88&lt;&gt;"Có"),0,SUM($L88,$Q88,$V88,$X88))</f>
        <v/>
      </c>
      <c r="AC88" s="224">
        <f>IF(OR($B88="",$E88&lt;&gt;"Có"),0,SUM($F88,$G88,$R88,$W88,$Y88))</f>
        <v/>
      </c>
      <c r="AD88" s="224">
        <f>IF(OR($B88="",$E88&lt;&gt;"Có"),0,SUM($Z88:$AA88))</f>
        <v/>
      </c>
      <c r="AE88" s="224">
        <f>IF(OR($B88="",$E88&lt;&gt;"Có"),0,$AB88+$AC88-$AD88)</f>
        <v/>
      </c>
      <c r="AF88" s="150">
        <f>IF($B88="","",IF(AND($E88="Có",$D88=""),"Thiếu ngày nghỉ; ","")&amp;IF($I88&gt;MAX($H88,0),"Ngày phép thanh toán vượt số còn lại; ","")&amp;IF(AND($I88&gt;0,OR($J88&lt;=0,$K88&lt;=0)),"Thiếu lương/công chuẩn tháng trước; ","")&amp;IF(AND(SUM($N88,$S88)&gt;0,$M88&lt;=0),"Thiếu bình quân lương 06 tháng; ","")&amp;IF($X88&gt;0,"Bồi thường miễn thuế cần căn cứ và hồ sơ; ","")&amp;IF($AE88&lt;0,"Tổng chi thêm âm; ",""))</f>
        <v/>
      </c>
    </row>
    <row r="89">
      <c r="A89" s="145">
        <f>IF('DM_NHAN_SU'!$B89="","",ROW()-5)</f>
        <v/>
      </c>
      <c r="B89" s="145">
        <f>IF('DM_NHAN_SU'!$B89="","",'DM_NHAN_SU'!B89)</f>
        <v/>
      </c>
      <c r="C89" s="145">
        <f>IF('DM_NHAN_SU'!$B89="","",'DM_NHAN_SU'!C89)</f>
        <v/>
      </c>
      <c r="D89" s="234">
        <f>IF(OR('DM_NHAN_SU'!$B89="",'DM_NHAN_SU'!$G89=""),"",'DM_NHAN_SU'!G89)</f>
        <v/>
      </c>
      <c r="E89" s="127" t="n"/>
      <c r="F89" s="222" t="n"/>
      <c r="G89" s="222" t="n"/>
      <c r="H89" s="232">
        <f>IF($B89="","",'NGHI_PHEP'!K89)</f>
        <v/>
      </c>
      <c r="I89" s="227" t="n"/>
      <c r="J89" s="222" t="n"/>
      <c r="K89" s="227" t="n"/>
      <c r="L89" s="224">
        <f>IF(OR($B89="",$E89&lt;&gt;"Có"),0,IF($K89&gt;0,$I89*$J89/$K89,0))</f>
        <v/>
      </c>
      <c r="M89" s="222" t="n"/>
      <c r="N89" s="227" t="n"/>
      <c r="O89" s="224">
        <f>IF(OR($B89="",$E89&lt;&gt;"Có"),0,$M89*$N89*0.5)</f>
        <v/>
      </c>
      <c r="P89" s="222" t="n"/>
      <c r="Q89" s="224">
        <f>IF(OR($B89="",$E89&lt;&gt;"Có"),0,MIN($P89,$O89))</f>
        <v/>
      </c>
      <c r="R89" s="224">
        <f>IF(OR($B89="",$E89&lt;&gt;"Có"),0,MAX($P89-$O89,0))</f>
        <v/>
      </c>
      <c r="S89" s="227" t="n"/>
      <c r="T89" s="224">
        <f>IF(OR($B89="",$E89&lt;&gt;"Có",$S89&lt;=0),0,$M89*MAX($S89,2))</f>
        <v/>
      </c>
      <c r="U89" s="222" t="n"/>
      <c r="V89" s="224">
        <f>IF(OR($B89="",$E89&lt;&gt;"Có"),0,MIN($U89,$T89))</f>
        <v/>
      </c>
      <c r="W89" s="224">
        <f>IF(OR($B89="",$E89&lt;&gt;"Có"),0,MAX($U89-$T89,0))</f>
        <v/>
      </c>
      <c r="X89" s="222" t="n"/>
      <c r="Y89" s="222" t="n"/>
      <c r="Z89" s="222" t="n"/>
      <c r="AA89" s="222" t="n"/>
      <c r="AB89" s="224">
        <f>IF(OR($B89="",$E89&lt;&gt;"Có"),0,SUM($L89,$Q89,$V89,$X89))</f>
        <v/>
      </c>
      <c r="AC89" s="224">
        <f>IF(OR($B89="",$E89&lt;&gt;"Có"),0,SUM($F89,$G89,$R89,$W89,$Y89))</f>
        <v/>
      </c>
      <c r="AD89" s="224">
        <f>IF(OR($B89="",$E89&lt;&gt;"Có"),0,SUM($Z89:$AA89))</f>
        <v/>
      </c>
      <c r="AE89" s="224">
        <f>IF(OR($B89="",$E89&lt;&gt;"Có"),0,$AB89+$AC89-$AD89)</f>
        <v/>
      </c>
      <c r="AF89" s="150">
        <f>IF($B89="","",IF(AND($E89="Có",$D89=""),"Thiếu ngày nghỉ; ","")&amp;IF($I89&gt;MAX($H89,0),"Ngày phép thanh toán vượt số còn lại; ","")&amp;IF(AND($I89&gt;0,OR($J89&lt;=0,$K89&lt;=0)),"Thiếu lương/công chuẩn tháng trước; ","")&amp;IF(AND(SUM($N89,$S89)&gt;0,$M89&lt;=0),"Thiếu bình quân lương 06 tháng; ","")&amp;IF($X89&gt;0,"Bồi thường miễn thuế cần căn cứ và hồ sơ; ","")&amp;IF($AE89&lt;0,"Tổng chi thêm âm; ",""))</f>
        <v/>
      </c>
    </row>
    <row r="90">
      <c r="A90" s="145">
        <f>IF('DM_NHAN_SU'!$B90="","",ROW()-5)</f>
        <v/>
      </c>
      <c r="B90" s="145">
        <f>IF('DM_NHAN_SU'!$B90="","",'DM_NHAN_SU'!B90)</f>
        <v/>
      </c>
      <c r="C90" s="145">
        <f>IF('DM_NHAN_SU'!$B90="","",'DM_NHAN_SU'!C90)</f>
        <v/>
      </c>
      <c r="D90" s="234">
        <f>IF(OR('DM_NHAN_SU'!$B90="",'DM_NHAN_SU'!$G90=""),"",'DM_NHAN_SU'!G90)</f>
        <v/>
      </c>
      <c r="E90" s="127" t="n"/>
      <c r="F90" s="222" t="n"/>
      <c r="G90" s="222" t="n"/>
      <c r="H90" s="232">
        <f>IF($B90="","",'NGHI_PHEP'!K90)</f>
        <v/>
      </c>
      <c r="I90" s="227" t="n"/>
      <c r="J90" s="222" t="n"/>
      <c r="K90" s="227" t="n"/>
      <c r="L90" s="224">
        <f>IF(OR($B90="",$E90&lt;&gt;"Có"),0,IF($K90&gt;0,$I90*$J90/$K90,0))</f>
        <v/>
      </c>
      <c r="M90" s="222" t="n"/>
      <c r="N90" s="227" t="n"/>
      <c r="O90" s="224">
        <f>IF(OR($B90="",$E90&lt;&gt;"Có"),0,$M90*$N90*0.5)</f>
        <v/>
      </c>
      <c r="P90" s="222" t="n"/>
      <c r="Q90" s="224">
        <f>IF(OR($B90="",$E90&lt;&gt;"Có"),0,MIN($P90,$O90))</f>
        <v/>
      </c>
      <c r="R90" s="224">
        <f>IF(OR($B90="",$E90&lt;&gt;"Có"),0,MAX($P90-$O90,0))</f>
        <v/>
      </c>
      <c r="S90" s="227" t="n"/>
      <c r="T90" s="224">
        <f>IF(OR($B90="",$E90&lt;&gt;"Có",$S90&lt;=0),0,$M90*MAX($S90,2))</f>
        <v/>
      </c>
      <c r="U90" s="222" t="n"/>
      <c r="V90" s="224">
        <f>IF(OR($B90="",$E90&lt;&gt;"Có"),0,MIN($U90,$T90))</f>
        <v/>
      </c>
      <c r="W90" s="224">
        <f>IF(OR($B90="",$E90&lt;&gt;"Có"),0,MAX($U90-$T90,0))</f>
        <v/>
      </c>
      <c r="X90" s="222" t="n"/>
      <c r="Y90" s="222" t="n"/>
      <c r="Z90" s="222" t="n"/>
      <c r="AA90" s="222" t="n"/>
      <c r="AB90" s="224">
        <f>IF(OR($B90="",$E90&lt;&gt;"Có"),0,SUM($L90,$Q90,$V90,$X90))</f>
        <v/>
      </c>
      <c r="AC90" s="224">
        <f>IF(OR($B90="",$E90&lt;&gt;"Có"),0,SUM($F90,$G90,$R90,$W90,$Y90))</f>
        <v/>
      </c>
      <c r="AD90" s="224">
        <f>IF(OR($B90="",$E90&lt;&gt;"Có"),0,SUM($Z90:$AA90))</f>
        <v/>
      </c>
      <c r="AE90" s="224">
        <f>IF(OR($B90="",$E90&lt;&gt;"Có"),0,$AB90+$AC90-$AD90)</f>
        <v/>
      </c>
      <c r="AF90" s="150">
        <f>IF($B90="","",IF(AND($E90="Có",$D90=""),"Thiếu ngày nghỉ; ","")&amp;IF($I90&gt;MAX($H90,0),"Ngày phép thanh toán vượt số còn lại; ","")&amp;IF(AND($I90&gt;0,OR($J90&lt;=0,$K90&lt;=0)),"Thiếu lương/công chuẩn tháng trước; ","")&amp;IF(AND(SUM($N90,$S90)&gt;0,$M90&lt;=0),"Thiếu bình quân lương 06 tháng; ","")&amp;IF($X90&gt;0,"Bồi thường miễn thuế cần căn cứ và hồ sơ; ","")&amp;IF($AE90&lt;0,"Tổng chi thêm âm; ",""))</f>
        <v/>
      </c>
    </row>
    <row r="91">
      <c r="A91" s="145">
        <f>IF('DM_NHAN_SU'!$B91="","",ROW()-5)</f>
        <v/>
      </c>
      <c r="B91" s="145">
        <f>IF('DM_NHAN_SU'!$B91="","",'DM_NHAN_SU'!B91)</f>
        <v/>
      </c>
      <c r="C91" s="145">
        <f>IF('DM_NHAN_SU'!$B91="","",'DM_NHAN_SU'!C91)</f>
        <v/>
      </c>
      <c r="D91" s="234">
        <f>IF(OR('DM_NHAN_SU'!$B91="",'DM_NHAN_SU'!$G91=""),"",'DM_NHAN_SU'!G91)</f>
        <v/>
      </c>
      <c r="E91" s="127" t="n"/>
      <c r="F91" s="222" t="n"/>
      <c r="G91" s="222" t="n"/>
      <c r="H91" s="232">
        <f>IF($B91="","",'NGHI_PHEP'!K91)</f>
        <v/>
      </c>
      <c r="I91" s="227" t="n"/>
      <c r="J91" s="222" t="n"/>
      <c r="K91" s="227" t="n"/>
      <c r="L91" s="224">
        <f>IF(OR($B91="",$E91&lt;&gt;"Có"),0,IF($K91&gt;0,$I91*$J91/$K91,0))</f>
        <v/>
      </c>
      <c r="M91" s="222" t="n"/>
      <c r="N91" s="227" t="n"/>
      <c r="O91" s="224">
        <f>IF(OR($B91="",$E91&lt;&gt;"Có"),0,$M91*$N91*0.5)</f>
        <v/>
      </c>
      <c r="P91" s="222" t="n"/>
      <c r="Q91" s="224">
        <f>IF(OR($B91="",$E91&lt;&gt;"Có"),0,MIN($P91,$O91))</f>
        <v/>
      </c>
      <c r="R91" s="224">
        <f>IF(OR($B91="",$E91&lt;&gt;"Có"),0,MAX($P91-$O91,0))</f>
        <v/>
      </c>
      <c r="S91" s="227" t="n"/>
      <c r="T91" s="224">
        <f>IF(OR($B91="",$E91&lt;&gt;"Có",$S91&lt;=0),0,$M91*MAX($S91,2))</f>
        <v/>
      </c>
      <c r="U91" s="222" t="n"/>
      <c r="V91" s="224">
        <f>IF(OR($B91="",$E91&lt;&gt;"Có"),0,MIN($U91,$T91))</f>
        <v/>
      </c>
      <c r="W91" s="224">
        <f>IF(OR($B91="",$E91&lt;&gt;"Có"),0,MAX($U91-$T91,0))</f>
        <v/>
      </c>
      <c r="X91" s="222" t="n"/>
      <c r="Y91" s="222" t="n"/>
      <c r="Z91" s="222" t="n"/>
      <c r="AA91" s="222" t="n"/>
      <c r="AB91" s="224">
        <f>IF(OR($B91="",$E91&lt;&gt;"Có"),0,SUM($L91,$Q91,$V91,$X91))</f>
        <v/>
      </c>
      <c r="AC91" s="224">
        <f>IF(OR($B91="",$E91&lt;&gt;"Có"),0,SUM($F91,$G91,$R91,$W91,$Y91))</f>
        <v/>
      </c>
      <c r="AD91" s="224">
        <f>IF(OR($B91="",$E91&lt;&gt;"Có"),0,SUM($Z91:$AA91))</f>
        <v/>
      </c>
      <c r="AE91" s="224">
        <f>IF(OR($B91="",$E91&lt;&gt;"Có"),0,$AB91+$AC91-$AD91)</f>
        <v/>
      </c>
      <c r="AF91" s="150">
        <f>IF($B91="","",IF(AND($E91="Có",$D91=""),"Thiếu ngày nghỉ; ","")&amp;IF($I91&gt;MAX($H91,0),"Ngày phép thanh toán vượt số còn lại; ","")&amp;IF(AND($I91&gt;0,OR($J91&lt;=0,$K91&lt;=0)),"Thiếu lương/công chuẩn tháng trước; ","")&amp;IF(AND(SUM($N91,$S91)&gt;0,$M91&lt;=0),"Thiếu bình quân lương 06 tháng; ","")&amp;IF($X91&gt;0,"Bồi thường miễn thuế cần căn cứ và hồ sơ; ","")&amp;IF($AE91&lt;0,"Tổng chi thêm âm; ",""))</f>
        <v/>
      </c>
    </row>
    <row r="92">
      <c r="A92" s="145">
        <f>IF('DM_NHAN_SU'!$B92="","",ROW()-5)</f>
        <v/>
      </c>
      <c r="B92" s="145">
        <f>IF('DM_NHAN_SU'!$B92="","",'DM_NHAN_SU'!B92)</f>
        <v/>
      </c>
      <c r="C92" s="145">
        <f>IF('DM_NHAN_SU'!$B92="","",'DM_NHAN_SU'!C92)</f>
        <v/>
      </c>
      <c r="D92" s="234">
        <f>IF(OR('DM_NHAN_SU'!$B92="",'DM_NHAN_SU'!$G92=""),"",'DM_NHAN_SU'!G92)</f>
        <v/>
      </c>
      <c r="E92" s="127" t="n"/>
      <c r="F92" s="222" t="n"/>
      <c r="G92" s="222" t="n"/>
      <c r="H92" s="232">
        <f>IF($B92="","",'NGHI_PHEP'!K92)</f>
        <v/>
      </c>
      <c r="I92" s="227" t="n"/>
      <c r="J92" s="222" t="n"/>
      <c r="K92" s="227" t="n"/>
      <c r="L92" s="224">
        <f>IF(OR($B92="",$E92&lt;&gt;"Có"),0,IF($K92&gt;0,$I92*$J92/$K92,0))</f>
        <v/>
      </c>
      <c r="M92" s="222" t="n"/>
      <c r="N92" s="227" t="n"/>
      <c r="O92" s="224">
        <f>IF(OR($B92="",$E92&lt;&gt;"Có"),0,$M92*$N92*0.5)</f>
        <v/>
      </c>
      <c r="P92" s="222" t="n"/>
      <c r="Q92" s="224">
        <f>IF(OR($B92="",$E92&lt;&gt;"Có"),0,MIN($P92,$O92))</f>
        <v/>
      </c>
      <c r="R92" s="224">
        <f>IF(OR($B92="",$E92&lt;&gt;"Có"),0,MAX($P92-$O92,0))</f>
        <v/>
      </c>
      <c r="S92" s="227" t="n"/>
      <c r="T92" s="224">
        <f>IF(OR($B92="",$E92&lt;&gt;"Có",$S92&lt;=0),0,$M92*MAX($S92,2))</f>
        <v/>
      </c>
      <c r="U92" s="222" t="n"/>
      <c r="V92" s="224">
        <f>IF(OR($B92="",$E92&lt;&gt;"Có"),0,MIN($U92,$T92))</f>
        <v/>
      </c>
      <c r="W92" s="224">
        <f>IF(OR($B92="",$E92&lt;&gt;"Có"),0,MAX($U92-$T92,0))</f>
        <v/>
      </c>
      <c r="X92" s="222" t="n"/>
      <c r="Y92" s="222" t="n"/>
      <c r="Z92" s="222" t="n"/>
      <c r="AA92" s="222" t="n"/>
      <c r="AB92" s="224">
        <f>IF(OR($B92="",$E92&lt;&gt;"Có"),0,SUM($L92,$Q92,$V92,$X92))</f>
        <v/>
      </c>
      <c r="AC92" s="224">
        <f>IF(OR($B92="",$E92&lt;&gt;"Có"),0,SUM($F92,$G92,$R92,$W92,$Y92))</f>
        <v/>
      </c>
      <c r="AD92" s="224">
        <f>IF(OR($B92="",$E92&lt;&gt;"Có"),0,SUM($Z92:$AA92))</f>
        <v/>
      </c>
      <c r="AE92" s="224">
        <f>IF(OR($B92="",$E92&lt;&gt;"Có"),0,$AB92+$AC92-$AD92)</f>
        <v/>
      </c>
      <c r="AF92" s="150">
        <f>IF($B92="","",IF(AND($E92="Có",$D92=""),"Thiếu ngày nghỉ; ","")&amp;IF($I92&gt;MAX($H92,0),"Ngày phép thanh toán vượt số còn lại; ","")&amp;IF(AND($I92&gt;0,OR($J92&lt;=0,$K92&lt;=0)),"Thiếu lương/công chuẩn tháng trước; ","")&amp;IF(AND(SUM($N92,$S92)&gt;0,$M92&lt;=0),"Thiếu bình quân lương 06 tháng; ","")&amp;IF($X92&gt;0,"Bồi thường miễn thuế cần căn cứ và hồ sơ; ","")&amp;IF($AE92&lt;0,"Tổng chi thêm âm; ",""))</f>
        <v/>
      </c>
    </row>
    <row r="93">
      <c r="A93" s="145">
        <f>IF('DM_NHAN_SU'!$B93="","",ROW()-5)</f>
        <v/>
      </c>
      <c r="B93" s="145">
        <f>IF('DM_NHAN_SU'!$B93="","",'DM_NHAN_SU'!B93)</f>
        <v/>
      </c>
      <c r="C93" s="145">
        <f>IF('DM_NHAN_SU'!$B93="","",'DM_NHAN_SU'!C93)</f>
        <v/>
      </c>
      <c r="D93" s="234">
        <f>IF(OR('DM_NHAN_SU'!$B93="",'DM_NHAN_SU'!$G93=""),"",'DM_NHAN_SU'!G93)</f>
        <v/>
      </c>
      <c r="E93" s="127" t="n"/>
      <c r="F93" s="222" t="n"/>
      <c r="G93" s="222" t="n"/>
      <c r="H93" s="232">
        <f>IF($B93="","",'NGHI_PHEP'!K93)</f>
        <v/>
      </c>
      <c r="I93" s="227" t="n"/>
      <c r="J93" s="222" t="n"/>
      <c r="K93" s="227" t="n"/>
      <c r="L93" s="224">
        <f>IF(OR($B93="",$E93&lt;&gt;"Có"),0,IF($K93&gt;0,$I93*$J93/$K93,0))</f>
        <v/>
      </c>
      <c r="M93" s="222" t="n"/>
      <c r="N93" s="227" t="n"/>
      <c r="O93" s="224">
        <f>IF(OR($B93="",$E93&lt;&gt;"Có"),0,$M93*$N93*0.5)</f>
        <v/>
      </c>
      <c r="P93" s="222" t="n"/>
      <c r="Q93" s="224">
        <f>IF(OR($B93="",$E93&lt;&gt;"Có"),0,MIN($P93,$O93))</f>
        <v/>
      </c>
      <c r="R93" s="224">
        <f>IF(OR($B93="",$E93&lt;&gt;"Có"),0,MAX($P93-$O93,0))</f>
        <v/>
      </c>
      <c r="S93" s="227" t="n"/>
      <c r="T93" s="224">
        <f>IF(OR($B93="",$E93&lt;&gt;"Có",$S93&lt;=0),0,$M93*MAX($S93,2))</f>
        <v/>
      </c>
      <c r="U93" s="222" t="n"/>
      <c r="V93" s="224">
        <f>IF(OR($B93="",$E93&lt;&gt;"Có"),0,MIN($U93,$T93))</f>
        <v/>
      </c>
      <c r="W93" s="224">
        <f>IF(OR($B93="",$E93&lt;&gt;"Có"),0,MAX($U93-$T93,0))</f>
        <v/>
      </c>
      <c r="X93" s="222" t="n"/>
      <c r="Y93" s="222" t="n"/>
      <c r="Z93" s="222" t="n"/>
      <c r="AA93" s="222" t="n"/>
      <c r="AB93" s="224">
        <f>IF(OR($B93="",$E93&lt;&gt;"Có"),0,SUM($L93,$Q93,$V93,$X93))</f>
        <v/>
      </c>
      <c r="AC93" s="224">
        <f>IF(OR($B93="",$E93&lt;&gt;"Có"),0,SUM($F93,$G93,$R93,$W93,$Y93))</f>
        <v/>
      </c>
      <c r="AD93" s="224">
        <f>IF(OR($B93="",$E93&lt;&gt;"Có"),0,SUM($Z93:$AA93))</f>
        <v/>
      </c>
      <c r="AE93" s="224">
        <f>IF(OR($B93="",$E93&lt;&gt;"Có"),0,$AB93+$AC93-$AD93)</f>
        <v/>
      </c>
      <c r="AF93" s="150">
        <f>IF($B93="","",IF(AND($E93="Có",$D93=""),"Thiếu ngày nghỉ; ","")&amp;IF($I93&gt;MAX($H93,0),"Ngày phép thanh toán vượt số còn lại; ","")&amp;IF(AND($I93&gt;0,OR($J93&lt;=0,$K93&lt;=0)),"Thiếu lương/công chuẩn tháng trước; ","")&amp;IF(AND(SUM($N93,$S93)&gt;0,$M93&lt;=0),"Thiếu bình quân lương 06 tháng; ","")&amp;IF($X93&gt;0,"Bồi thường miễn thuế cần căn cứ và hồ sơ; ","")&amp;IF($AE93&lt;0,"Tổng chi thêm âm; ",""))</f>
        <v/>
      </c>
    </row>
    <row r="94">
      <c r="A94" s="145">
        <f>IF('DM_NHAN_SU'!$B94="","",ROW()-5)</f>
        <v/>
      </c>
      <c r="B94" s="145">
        <f>IF('DM_NHAN_SU'!$B94="","",'DM_NHAN_SU'!B94)</f>
        <v/>
      </c>
      <c r="C94" s="145">
        <f>IF('DM_NHAN_SU'!$B94="","",'DM_NHAN_SU'!C94)</f>
        <v/>
      </c>
      <c r="D94" s="234">
        <f>IF(OR('DM_NHAN_SU'!$B94="",'DM_NHAN_SU'!$G94=""),"",'DM_NHAN_SU'!G94)</f>
        <v/>
      </c>
      <c r="E94" s="127" t="n"/>
      <c r="F94" s="222" t="n"/>
      <c r="G94" s="222" t="n"/>
      <c r="H94" s="232">
        <f>IF($B94="","",'NGHI_PHEP'!K94)</f>
        <v/>
      </c>
      <c r="I94" s="227" t="n"/>
      <c r="J94" s="222" t="n"/>
      <c r="K94" s="227" t="n"/>
      <c r="L94" s="224">
        <f>IF(OR($B94="",$E94&lt;&gt;"Có"),0,IF($K94&gt;0,$I94*$J94/$K94,0))</f>
        <v/>
      </c>
      <c r="M94" s="222" t="n"/>
      <c r="N94" s="227" t="n"/>
      <c r="O94" s="224">
        <f>IF(OR($B94="",$E94&lt;&gt;"Có"),0,$M94*$N94*0.5)</f>
        <v/>
      </c>
      <c r="P94" s="222" t="n"/>
      <c r="Q94" s="224">
        <f>IF(OR($B94="",$E94&lt;&gt;"Có"),0,MIN($P94,$O94))</f>
        <v/>
      </c>
      <c r="R94" s="224">
        <f>IF(OR($B94="",$E94&lt;&gt;"Có"),0,MAX($P94-$O94,0))</f>
        <v/>
      </c>
      <c r="S94" s="227" t="n"/>
      <c r="T94" s="224">
        <f>IF(OR($B94="",$E94&lt;&gt;"Có",$S94&lt;=0),0,$M94*MAX($S94,2))</f>
        <v/>
      </c>
      <c r="U94" s="222" t="n"/>
      <c r="V94" s="224">
        <f>IF(OR($B94="",$E94&lt;&gt;"Có"),0,MIN($U94,$T94))</f>
        <v/>
      </c>
      <c r="W94" s="224">
        <f>IF(OR($B94="",$E94&lt;&gt;"Có"),0,MAX($U94-$T94,0))</f>
        <v/>
      </c>
      <c r="X94" s="222" t="n"/>
      <c r="Y94" s="222" t="n"/>
      <c r="Z94" s="222" t="n"/>
      <c r="AA94" s="222" t="n"/>
      <c r="AB94" s="224">
        <f>IF(OR($B94="",$E94&lt;&gt;"Có"),0,SUM($L94,$Q94,$V94,$X94))</f>
        <v/>
      </c>
      <c r="AC94" s="224">
        <f>IF(OR($B94="",$E94&lt;&gt;"Có"),0,SUM($F94,$G94,$R94,$W94,$Y94))</f>
        <v/>
      </c>
      <c r="AD94" s="224">
        <f>IF(OR($B94="",$E94&lt;&gt;"Có"),0,SUM($Z94:$AA94))</f>
        <v/>
      </c>
      <c r="AE94" s="224">
        <f>IF(OR($B94="",$E94&lt;&gt;"Có"),0,$AB94+$AC94-$AD94)</f>
        <v/>
      </c>
      <c r="AF94" s="150">
        <f>IF($B94="","",IF(AND($E94="Có",$D94=""),"Thiếu ngày nghỉ; ","")&amp;IF($I94&gt;MAX($H94,0),"Ngày phép thanh toán vượt số còn lại; ","")&amp;IF(AND($I94&gt;0,OR($J94&lt;=0,$K94&lt;=0)),"Thiếu lương/công chuẩn tháng trước; ","")&amp;IF(AND(SUM($N94,$S94)&gt;0,$M94&lt;=0),"Thiếu bình quân lương 06 tháng; ","")&amp;IF($X94&gt;0,"Bồi thường miễn thuế cần căn cứ và hồ sơ; ","")&amp;IF($AE94&lt;0,"Tổng chi thêm âm; ",""))</f>
        <v/>
      </c>
    </row>
    <row r="95">
      <c r="A95" s="145">
        <f>IF('DM_NHAN_SU'!$B95="","",ROW()-5)</f>
        <v/>
      </c>
      <c r="B95" s="145">
        <f>IF('DM_NHAN_SU'!$B95="","",'DM_NHAN_SU'!B95)</f>
        <v/>
      </c>
      <c r="C95" s="145">
        <f>IF('DM_NHAN_SU'!$B95="","",'DM_NHAN_SU'!C95)</f>
        <v/>
      </c>
      <c r="D95" s="234">
        <f>IF(OR('DM_NHAN_SU'!$B95="",'DM_NHAN_SU'!$G95=""),"",'DM_NHAN_SU'!G95)</f>
        <v/>
      </c>
      <c r="E95" s="127" t="n"/>
      <c r="F95" s="222" t="n"/>
      <c r="G95" s="222" t="n"/>
      <c r="H95" s="232">
        <f>IF($B95="","",'NGHI_PHEP'!K95)</f>
        <v/>
      </c>
      <c r="I95" s="227" t="n"/>
      <c r="J95" s="222" t="n"/>
      <c r="K95" s="227" t="n"/>
      <c r="L95" s="224">
        <f>IF(OR($B95="",$E95&lt;&gt;"Có"),0,IF($K95&gt;0,$I95*$J95/$K95,0))</f>
        <v/>
      </c>
      <c r="M95" s="222" t="n"/>
      <c r="N95" s="227" t="n"/>
      <c r="O95" s="224">
        <f>IF(OR($B95="",$E95&lt;&gt;"Có"),0,$M95*$N95*0.5)</f>
        <v/>
      </c>
      <c r="P95" s="222" t="n"/>
      <c r="Q95" s="224">
        <f>IF(OR($B95="",$E95&lt;&gt;"Có"),0,MIN($P95,$O95))</f>
        <v/>
      </c>
      <c r="R95" s="224">
        <f>IF(OR($B95="",$E95&lt;&gt;"Có"),0,MAX($P95-$O95,0))</f>
        <v/>
      </c>
      <c r="S95" s="227" t="n"/>
      <c r="T95" s="224">
        <f>IF(OR($B95="",$E95&lt;&gt;"Có",$S95&lt;=0),0,$M95*MAX($S95,2))</f>
        <v/>
      </c>
      <c r="U95" s="222" t="n"/>
      <c r="V95" s="224">
        <f>IF(OR($B95="",$E95&lt;&gt;"Có"),0,MIN($U95,$T95))</f>
        <v/>
      </c>
      <c r="W95" s="224">
        <f>IF(OR($B95="",$E95&lt;&gt;"Có"),0,MAX($U95-$T95,0))</f>
        <v/>
      </c>
      <c r="X95" s="222" t="n"/>
      <c r="Y95" s="222" t="n"/>
      <c r="Z95" s="222" t="n"/>
      <c r="AA95" s="222" t="n"/>
      <c r="AB95" s="224">
        <f>IF(OR($B95="",$E95&lt;&gt;"Có"),0,SUM($L95,$Q95,$V95,$X95))</f>
        <v/>
      </c>
      <c r="AC95" s="224">
        <f>IF(OR($B95="",$E95&lt;&gt;"Có"),0,SUM($F95,$G95,$R95,$W95,$Y95))</f>
        <v/>
      </c>
      <c r="AD95" s="224">
        <f>IF(OR($B95="",$E95&lt;&gt;"Có"),0,SUM($Z95:$AA95))</f>
        <v/>
      </c>
      <c r="AE95" s="224">
        <f>IF(OR($B95="",$E95&lt;&gt;"Có"),0,$AB95+$AC95-$AD95)</f>
        <v/>
      </c>
      <c r="AF95" s="150">
        <f>IF($B95="","",IF(AND($E95="Có",$D95=""),"Thiếu ngày nghỉ; ","")&amp;IF($I95&gt;MAX($H95,0),"Ngày phép thanh toán vượt số còn lại; ","")&amp;IF(AND($I95&gt;0,OR($J95&lt;=0,$K95&lt;=0)),"Thiếu lương/công chuẩn tháng trước; ","")&amp;IF(AND(SUM($N95,$S95)&gt;0,$M95&lt;=0),"Thiếu bình quân lương 06 tháng; ","")&amp;IF($X95&gt;0,"Bồi thường miễn thuế cần căn cứ và hồ sơ; ","")&amp;IF($AE95&lt;0,"Tổng chi thêm âm; ",""))</f>
        <v/>
      </c>
    </row>
    <row r="96">
      <c r="A96" s="145">
        <f>IF('DM_NHAN_SU'!$B96="","",ROW()-5)</f>
        <v/>
      </c>
      <c r="B96" s="145">
        <f>IF('DM_NHAN_SU'!$B96="","",'DM_NHAN_SU'!B96)</f>
        <v/>
      </c>
      <c r="C96" s="145">
        <f>IF('DM_NHAN_SU'!$B96="","",'DM_NHAN_SU'!C96)</f>
        <v/>
      </c>
      <c r="D96" s="234">
        <f>IF(OR('DM_NHAN_SU'!$B96="",'DM_NHAN_SU'!$G96=""),"",'DM_NHAN_SU'!G96)</f>
        <v/>
      </c>
      <c r="E96" s="127" t="n"/>
      <c r="F96" s="222" t="n"/>
      <c r="G96" s="222" t="n"/>
      <c r="H96" s="232">
        <f>IF($B96="","",'NGHI_PHEP'!K96)</f>
        <v/>
      </c>
      <c r="I96" s="227" t="n"/>
      <c r="J96" s="222" t="n"/>
      <c r="K96" s="227" t="n"/>
      <c r="L96" s="224">
        <f>IF(OR($B96="",$E96&lt;&gt;"Có"),0,IF($K96&gt;0,$I96*$J96/$K96,0))</f>
        <v/>
      </c>
      <c r="M96" s="222" t="n"/>
      <c r="N96" s="227" t="n"/>
      <c r="O96" s="224">
        <f>IF(OR($B96="",$E96&lt;&gt;"Có"),0,$M96*$N96*0.5)</f>
        <v/>
      </c>
      <c r="P96" s="222" t="n"/>
      <c r="Q96" s="224">
        <f>IF(OR($B96="",$E96&lt;&gt;"Có"),0,MIN($P96,$O96))</f>
        <v/>
      </c>
      <c r="R96" s="224">
        <f>IF(OR($B96="",$E96&lt;&gt;"Có"),0,MAX($P96-$O96,0))</f>
        <v/>
      </c>
      <c r="S96" s="227" t="n"/>
      <c r="T96" s="224">
        <f>IF(OR($B96="",$E96&lt;&gt;"Có",$S96&lt;=0),0,$M96*MAX($S96,2))</f>
        <v/>
      </c>
      <c r="U96" s="222" t="n"/>
      <c r="V96" s="224">
        <f>IF(OR($B96="",$E96&lt;&gt;"Có"),0,MIN($U96,$T96))</f>
        <v/>
      </c>
      <c r="W96" s="224">
        <f>IF(OR($B96="",$E96&lt;&gt;"Có"),0,MAX($U96-$T96,0))</f>
        <v/>
      </c>
      <c r="X96" s="222" t="n"/>
      <c r="Y96" s="222" t="n"/>
      <c r="Z96" s="222" t="n"/>
      <c r="AA96" s="222" t="n"/>
      <c r="AB96" s="224">
        <f>IF(OR($B96="",$E96&lt;&gt;"Có"),0,SUM($L96,$Q96,$V96,$X96))</f>
        <v/>
      </c>
      <c r="AC96" s="224">
        <f>IF(OR($B96="",$E96&lt;&gt;"Có"),0,SUM($F96,$G96,$R96,$W96,$Y96))</f>
        <v/>
      </c>
      <c r="AD96" s="224">
        <f>IF(OR($B96="",$E96&lt;&gt;"Có"),0,SUM($Z96:$AA96))</f>
        <v/>
      </c>
      <c r="AE96" s="224">
        <f>IF(OR($B96="",$E96&lt;&gt;"Có"),0,$AB96+$AC96-$AD96)</f>
        <v/>
      </c>
      <c r="AF96" s="150">
        <f>IF($B96="","",IF(AND($E96="Có",$D96=""),"Thiếu ngày nghỉ; ","")&amp;IF($I96&gt;MAX($H96,0),"Ngày phép thanh toán vượt số còn lại; ","")&amp;IF(AND($I96&gt;0,OR($J96&lt;=0,$K96&lt;=0)),"Thiếu lương/công chuẩn tháng trước; ","")&amp;IF(AND(SUM($N96,$S96)&gt;0,$M96&lt;=0),"Thiếu bình quân lương 06 tháng; ","")&amp;IF($X96&gt;0,"Bồi thường miễn thuế cần căn cứ và hồ sơ; ","")&amp;IF($AE96&lt;0,"Tổng chi thêm âm; ",""))</f>
        <v/>
      </c>
    </row>
    <row r="97">
      <c r="A97" s="145">
        <f>IF('DM_NHAN_SU'!$B97="","",ROW()-5)</f>
        <v/>
      </c>
      <c r="B97" s="145">
        <f>IF('DM_NHAN_SU'!$B97="","",'DM_NHAN_SU'!B97)</f>
        <v/>
      </c>
      <c r="C97" s="145">
        <f>IF('DM_NHAN_SU'!$B97="","",'DM_NHAN_SU'!C97)</f>
        <v/>
      </c>
      <c r="D97" s="234">
        <f>IF(OR('DM_NHAN_SU'!$B97="",'DM_NHAN_SU'!$G97=""),"",'DM_NHAN_SU'!G97)</f>
        <v/>
      </c>
      <c r="E97" s="127" t="n"/>
      <c r="F97" s="222" t="n"/>
      <c r="G97" s="222" t="n"/>
      <c r="H97" s="232">
        <f>IF($B97="","",'NGHI_PHEP'!K97)</f>
        <v/>
      </c>
      <c r="I97" s="227" t="n"/>
      <c r="J97" s="222" t="n"/>
      <c r="K97" s="227" t="n"/>
      <c r="L97" s="224">
        <f>IF(OR($B97="",$E97&lt;&gt;"Có"),0,IF($K97&gt;0,$I97*$J97/$K97,0))</f>
        <v/>
      </c>
      <c r="M97" s="222" t="n"/>
      <c r="N97" s="227" t="n"/>
      <c r="O97" s="224">
        <f>IF(OR($B97="",$E97&lt;&gt;"Có"),0,$M97*$N97*0.5)</f>
        <v/>
      </c>
      <c r="P97" s="222" t="n"/>
      <c r="Q97" s="224">
        <f>IF(OR($B97="",$E97&lt;&gt;"Có"),0,MIN($P97,$O97))</f>
        <v/>
      </c>
      <c r="R97" s="224">
        <f>IF(OR($B97="",$E97&lt;&gt;"Có"),0,MAX($P97-$O97,0))</f>
        <v/>
      </c>
      <c r="S97" s="227" t="n"/>
      <c r="T97" s="224">
        <f>IF(OR($B97="",$E97&lt;&gt;"Có",$S97&lt;=0),0,$M97*MAX($S97,2))</f>
        <v/>
      </c>
      <c r="U97" s="222" t="n"/>
      <c r="V97" s="224">
        <f>IF(OR($B97="",$E97&lt;&gt;"Có"),0,MIN($U97,$T97))</f>
        <v/>
      </c>
      <c r="W97" s="224">
        <f>IF(OR($B97="",$E97&lt;&gt;"Có"),0,MAX($U97-$T97,0))</f>
        <v/>
      </c>
      <c r="X97" s="222" t="n"/>
      <c r="Y97" s="222" t="n"/>
      <c r="Z97" s="222" t="n"/>
      <c r="AA97" s="222" t="n"/>
      <c r="AB97" s="224">
        <f>IF(OR($B97="",$E97&lt;&gt;"Có"),0,SUM($L97,$Q97,$V97,$X97))</f>
        <v/>
      </c>
      <c r="AC97" s="224">
        <f>IF(OR($B97="",$E97&lt;&gt;"Có"),0,SUM($F97,$G97,$R97,$W97,$Y97))</f>
        <v/>
      </c>
      <c r="AD97" s="224">
        <f>IF(OR($B97="",$E97&lt;&gt;"Có"),0,SUM($Z97:$AA97))</f>
        <v/>
      </c>
      <c r="AE97" s="224">
        <f>IF(OR($B97="",$E97&lt;&gt;"Có"),0,$AB97+$AC97-$AD97)</f>
        <v/>
      </c>
      <c r="AF97" s="150">
        <f>IF($B97="","",IF(AND($E97="Có",$D97=""),"Thiếu ngày nghỉ; ","")&amp;IF($I97&gt;MAX($H97,0),"Ngày phép thanh toán vượt số còn lại; ","")&amp;IF(AND($I97&gt;0,OR($J97&lt;=0,$K97&lt;=0)),"Thiếu lương/công chuẩn tháng trước; ","")&amp;IF(AND(SUM($N97,$S97)&gt;0,$M97&lt;=0),"Thiếu bình quân lương 06 tháng; ","")&amp;IF($X97&gt;0,"Bồi thường miễn thuế cần căn cứ và hồ sơ; ","")&amp;IF($AE97&lt;0,"Tổng chi thêm âm; ",""))</f>
        <v/>
      </c>
    </row>
    <row r="98">
      <c r="A98" s="145">
        <f>IF('DM_NHAN_SU'!$B98="","",ROW()-5)</f>
        <v/>
      </c>
      <c r="B98" s="145">
        <f>IF('DM_NHAN_SU'!$B98="","",'DM_NHAN_SU'!B98)</f>
        <v/>
      </c>
      <c r="C98" s="145">
        <f>IF('DM_NHAN_SU'!$B98="","",'DM_NHAN_SU'!C98)</f>
        <v/>
      </c>
      <c r="D98" s="234">
        <f>IF(OR('DM_NHAN_SU'!$B98="",'DM_NHAN_SU'!$G98=""),"",'DM_NHAN_SU'!G98)</f>
        <v/>
      </c>
      <c r="E98" s="127" t="n"/>
      <c r="F98" s="222" t="n"/>
      <c r="G98" s="222" t="n"/>
      <c r="H98" s="232">
        <f>IF($B98="","",'NGHI_PHEP'!K98)</f>
        <v/>
      </c>
      <c r="I98" s="227" t="n"/>
      <c r="J98" s="222" t="n"/>
      <c r="K98" s="227" t="n"/>
      <c r="L98" s="224">
        <f>IF(OR($B98="",$E98&lt;&gt;"Có"),0,IF($K98&gt;0,$I98*$J98/$K98,0))</f>
        <v/>
      </c>
      <c r="M98" s="222" t="n"/>
      <c r="N98" s="227" t="n"/>
      <c r="O98" s="224">
        <f>IF(OR($B98="",$E98&lt;&gt;"Có"),0,$M98*$N98*0.5)</f>
        <v/>
      </c>
      <c r="P98" s="222" t="n"/>
      <c r="Q98" s="224">
        <f>IF(OR($B98="",$E98&lt;&gt;"Có"),0,MIN($P98,$O98))</f>
        <v/>
      </c>
      <c r="R98" s="224">
        <f>IF(OR($B98="",$E98&lt;&gt;"Có"),0,MAX($P98-$O98,0))</f>
        <v/>
      </c>
      <c r="S98" s="227" t="n"/>
      <c r="T98" s="224">
        <f>IF(OR($B98="",$E98&lt;&gt;"Có",$S98&lt;=0),0,$M98*MAX($S98,2))</f>
        <v/>
      </c>
      <c r="U98" s="222" t="n"/>
      <c r="V98" s="224">
        <f>IF(OR($B98="",$E98&lt;&gt;"Có"),0,MIN($U98,$T98))</f>
        <v/>
      </c>
      <c r="W98" s="224">
        <f>IF(OR($B98="",$E98&lt;&gt;"Có"),0,MAX($U98-$T98,0))</f>
        <v/>
      </c>
      <c r="X98" s="222" t="n"/>
      <c r="Y98" s="222" t="n"/>
      <c r="Z98" s="222" t="n"/>
      <c r="AA98" s="222" t="n"/>
      <c r="AB98" s="224">
        <f>IF(OR($B98="",$E98&lt;&gt;"Có"),0,SUM($L98,$Q98,$V98,$X98))</f>
        <v/>
      </c>
      <c r="AC98" s="224">
        <f>IF(OR($B98="",$E98&lt;&gt;"Có"),0,SUM($F98,$G98,$R98,$W98,$Y98))</f>
        <v/>
      </c>
      <c r="AD98" s="224">
        <f>IF(OR($B98="",$E98&lt;&gt;"Có"),0,SUM($Z98:$AA98))</f>
        <v/>
      </c>
      <c r="AE98" s="224">
        <f>IF(OR($B98="",$E98&lt;&gt;"Có"),0,$AB98+$AC98-$AD98)</f>
        <v/>
      </c>
      <c r="AF98" s="150">
        <f>IF($B98="","",IF(AND($E98="Có",$D98=""),"Thiếu ngày nghỉ; ","")&amp;IF($I98&gt;MAX($H98,0),"Ngày phép thanh toán vượt số còn lại; ","")&amp;IF(AND($I98&gt;0,OR($J98&lt;=0,$K98&lt;=0)),"Thiếu lương/công chuẩn tháng trước; ","")&amp;IF(AND(SUM($N98,$S98)&gt;0,$M98&lt;=0),"Thiếu bình quân lương 06 tháng; ","")&amp;IF($X98&gt;0,"Bồi thường miễn thuế cần căn cứ và hồ sơ; ","")&amp;IF($AE98&lt;0,"Tổng chi thêm âm; ",""))</f>
        <v/>
      </c>
    </row>
    <row r="99">
      <c r="A99" s="145">
        <f>IF('DM_NHAN_SU'!$B99="","",ROW()-5)</f>
        <v/>
      </c>
      <c r="B99" s="145">
        <f>IF('DM_NHAN_SU'!$B99="","",'DM_NHAN_SU'!B99)</f>
        <v/>
      </c>
      <c r="C99" s="145">
        <f>IF('DM_NHAN_SU'!$B99="","",'DM_NHAN_SU'!C99)</f>
        <v/>
      </c>
      <c r="D99" s="234">
        <f>IF(OR('DM_NHAN_SU'!$B99="",'DM_NHAN_SU'!$G99=""),"",'DM_NHAN_SU'!G99)</f>
        <v/>
      </c>
      <c r="E99" s="127" t="n"/>
      <c r="F99" s="222" t="n"/>
      <c r="G99" s="222" t="n"/>
      <c r="H99" s="232">
        <f>IF($B99="","",'NGHI_PHEP'!K99)</f>
        <v/>
      </c>
      <c r="I99" s="227" t="n"/>
      <c r="J99" s="222" t="n"/>
      <c r="K99" s="227" t="n"/>
      <c r="L99" s="224">
        <f>IF(OR($B99="",$E99&lt;&gt;"Có"),0,IF($K99&gt;0,$I99*$J99/$K99,0))</f>
        <v/>
      </c>
      <c r="M99" s="222" t="n"/>
      <c r="N99" s="227" t="n"/>
      <c r="O99" s="224">
        <f>IF(OR($B99="",$E99&lt;&gt;"Có"),0,$M99*$N99*0.5)</f>
        <v/>
      </c>
      <c r="P99" s="222" t="n"/>
      <c r="Q99" s="224">
        <f>IF(OR($B99="",$E99&lt;&gt;"Có"),0,MIN($P99,$O99))</f>
        <v/>
      </c>
      <c r="R99" s="224">
        <f>IF(OR($B99="",$E99&lt;&gt;"Có"),0,MAX($P99-$O99,0))</f>
        <v/>
      </c>
      <c r="S99" s="227" t="n"/>
      <c r="T99" s="224">
        <f>IF(OR($B99="",$E99&lt;&gt;"Có",$S99&lt;=0),0,$M99*MAX($S99,2))</f>
        <v/>
      </c>
      <c r="U99" s="222" t="n"/>
      <c r="V99" s="224">
        <f>IF(OR($B99="",$E99&lt;&gt;"Có"),0,MIN($U99,$T99))</f>
        <v/>
      </c>
      <c r="W99" s="224">
        <f>IF(OR($B99="",$E99&lt;&gt;"Có"),0,MAX($U99-$T99,0))</f>
        <v/>
      </c>
      <c r="X99" s="222" t="n"/>
      <c r="Y99" s="222" t="n"/>
      <c r="Z99" s="222" t="n"/>
      <c r="AA99" s="222" t="n"/>
      <c r="AB99" s="224">
        <f>IF(OR($B99="",$E99&lt;&gt;"Có"),0,SUM($L99,$Q99,$V99,$X99))</f>
        <v/>
      </c>
      <c r="AC99" s="224">
        <f>IF(OR($B99="",$E99&lt;&gt;"Có"),0,SUM($F99,$G99,$R99,$W99,$Y99))</f>
        <v/>
      </c>
      <c r="AD99" s="224">
        <f>IF(OR($B99="",$E99&lt;&gt;"Có"),0,SUM($Z99:$AA99))</f>
        <v/>
      </c>
      <c r="AE99" s="224">
        <f>IF(OR($B99="",$E99&lt;&gt;"Có"),0,$AB99+$AC99-$AD99)</f>
        <v/>
      </c>
      <c r="AF99" s="150">
        <f>IF($B99="","",IF(AND($E99="Có",$D99=""),"Thiếu ngày nghỉ; ","")&amp;IF($I99&gt;MAX($H99,0),"Ngày phép thanh toán vượt số còn lại; ","")&amp;IF(AND($I99&gt;0,OR($J99&lt;=0,$K99&lt;=0)),"Thiếu lương/công chuẩn tháng trước; ","")&amp;IF(AND(SUM($N99,$S99)&gt;0,$M99&lt;=0),"Thiếu bình quân lương 06 tháng; ","")&amp;IF($X99&gt;0,"Bồi thường miễn thuế cần căn cứ và hồ sơ; ","")&amp;IF($AE99&lt;0,"Tổng chi thêm âm; ",""))</f>
        <v/>
      </c>
    </row>
    <row r="100">
      <c r="A100" s="145">
        <f>IF('DM_NHAN_SU'!$B100="","",ROW()-5)</f>
        <v/>
      </c>
      <c r="B100" s="145">
        <f>IF('DM_NHAN_SU'!$B100="","",'DM_NHAN_SU'!B100)</f>
        <v/>
      </c>
      <c r="C100" s="145">
        <f>IF('DM_NHAN_SU'!$B100="","",'DM_NHAN_SU'!C100)</f>
        <v/>
      </c>
      <c r="D100" s="234">
        <f>IF(OR('DM_NHAN_SU'!$B100="",'DM_NHAN_SU'!$G100=""),"",'DM_NHAN_SU'!G100)</f>
        <v/>
      </c>
      <c r="E100" s="127" t="n"/>
      <c r="F100" s="222" t="n"/>
      <c r="G100" s="222" t="n"/>
      <c r="H100" s="232">
        <f>IF($B100="","",'NGHI_PHEP'!K100)</f>
        <v/>
      </c>
      <c r="I100" s="227" t="n"/>
      <c r="J100" s="222" t="n"/>
      <c r="K100" s="227" t="n"/>
      <c r="L100" s="224">
        <f>IF(OR($B100="",$E100&lt;&gt;"Có"),0,IF($K100&gt;0,$I100*$J100/$K100,0))</f>
        <v/>
      </c>
      <c r="M100" s="222" t="n"/>
      <c r="N100" s="227" t="n"/>
      <c r="O100" s="224">
        <f>IF(OR($B100="",$E100&lt;&gt;"Có"),0,$M100*$N100*0.5)</f>
        <v/>
      </c>
      <c r="P100" s="222" t="n"/>
      <c r="Q100" s="224">
        <f>IF(OR($B100="",$E100&lt;&gt;"Có"),0,MIN($P100,$O100))</f>
        <v/>
      </c>
      <c r="R100" s="224">
        <f>IF(OR($B100="",$E100&lt;&gt;"Có"),0,MAX($P100-$O100,0))</f>
        <v/>
      </c>
      <c r="S100" s="227" t="n"/>
      <c r="T100" s="224">
        <f>IF(OR($B100="",$E100&lt;&gt;"Có",$S100&lt;=0),0,$M100*MAX($S100,2))</f>
        <v/>
      </c>
      <c r="U100" s="222" t="n"/>
      <c r="V100" s="224">
        <f>IF(OR($B100="",$E100&lt;&gt;"Có"),0,MIN($U100,$T100))</f>
        <v/>
      </c>
      <c r="W100" s="224">
        <f>IF(OR($B100="",$E100&lt;&gt;"Có"),0,MAX($U100-$T100,0))</f>
        <v/>
      </c>
      <c r="X100" s="222" t="n"/>
      <c r="Y100" s="222" t="n"/>
      <c r="Z100" s="222" t="n"/>
      <c r="AA100" s="222" t="n"/>
      <c r="AB100" s="224">
        <f>IF(OR($B100="",$E100&lt;&gt;"Có"),0,SUM($L100,$Q100,$V100,$X100))</f>
        <v/>
      </c>
      <c r="AC100" s="224">
        <f>IF(OR($B100="",$E100&lt;&gt;"Có"),0,SUM($F100,$G100,$R100,$W100,$Y100))</f>
        <v/>
      </c>
      <c r="AD100" s="224">
        <f>IF(OR($B100="",$E100&lt;&gt;"Có"),0,SUM($Z100:$AA100))</f>
        <v/>
      </c>
      <c r="AE100" s="224">
        <f>IF(OR($B100="",$E100&lt;&gt;"Có"),0,$AB100+$AC100-$AD100)</f>
        <v/>
      </c>
      <c r="AF100" s="150">
        <f>IF($B100="","",IF(AND($E100="Có",$D100=""),"Thiếu ngày nghỉ; ","")&amp;IF($I100&gt;MAX($H100,0),"Ngày phép thanh toán vượt số còn lại; ","")&amp;IF(AND($I100&gt;0,OR($J100&lt;=0,$K100&lt;=0)),"Thiếu lương/công chuẩn tháng trước; ","")&amp;IF(AND(SUM($N100,$S100)&gt;0,$M100&lt;=0),"Thiếu bình quân lương 06 tháng; ","")&amp;IF($X100&gt;0,"Bồi thường miễn thuế cần căn cứ và hồ sơ; ","")&amp;IF($AE100&lt;0,"Tổng chi thêm âm; ",""))</f>
        <v/>
      </c>
    </row>
    <row r="101">
      <c r="A101" s="145">
        <f>IF('DM_NHAN_SU'!$B101="","",ROW()-5)</f>
        <v/>
      </c>
      <c r="B101" s="145">
        <f>IF('DM_NHAN_SU'!$B101="","",'DM_NHAN_SU'!B101)</f>
        <v/>
      </c>
      <c r="C101" s="145">
        <f>IF('DM_NHAN_SU'!$B101="","",'DM_NHAN_SU'!C101)</f>
        <v/>
      </c>
      <c r="D101" s="234">
        <f>IF(OR('DM_NHAN_SU'!$B101="",'DM_NHAN_SU'!$G101=""),"",'DM_NHAN_SU'!G101)</f>
        <v/>
      </c>
      <c r="E101" s="127" t="n"/>
      <c r="F101" s="222" t="n"/>
      <c r="G101" s="222" t="n"/>
      <c r="H101" s="232">
        <f>IF($B101="","",'NGHI_PHEP'!K101)</f>
        <v/>
      </c>
      <c r="I101" s="227" t="n"/>
      <c r="J101" s="222" t="n"/>
      <c r="K101" s="227" t="n"/>
      <c r="L101" s="224">
        <f>IF(OR($B101="",$E101&lt;&gt;"Có"),0,IF($K101&gt;0,$I101*$J101/$K101,0))</f>
        <v/>
      </c>
      <c r="M101" s="222" t="n"/>
      <c r="N101" s="227" t="n"/>
      <c r="O101" s="224">
        <f>IF(OR($B101="",$E101&lt;&gt;"Có"),0,$M101*$N101*0.5)</f>
        <v/>
      </c>
      <c r="P101" s="222" t="n"/>
      <c r="Q101" s="224">
        <f>IF(OR($B101="",$E101&lt;&gt;"Có"),0,MIN($P101,$O101))</f>
        <v/>
      </c>
      <c r="R101" s="224">
        <f>IF(OR($B101="",$E101&lt;&gt;"Có"),0,MAX($P101-$O101,0))</f>
        <v/>
      </c>
      <c r="S101" s="227" t="n"/>
      <c r="T101" s="224">
        <f>IF(OR($B101="",$E101&lt;&gt;"Có",$S101&lt;=0),0,$M101*MAX($S101,2))</f>
        <v/>
      </c>
      <c r="U101" s="222" t="n"/>
      <c r="V101" s="224">
        <f>IF(OR($B101="",$E101&lt;&gt;"Có"),0,MIN($U101,$T101))</f>
        <v/>
      </c>
      <c r="W101" s="224">
        <f>IF(OR($B101="",$E101&lt;&gt;"Có"),0,MAX($U101-$T101,0))</f>
        <v/>
      </c>
      <c r="X101" s="222" t="n"/>
      <c r="Y101" s="222" t="n"/>
      <c r="Z101" s="222" t="n"/>
      <c r="AA101" s="222" t="n"/>
      <c r="AB101" s="224">
        <f>IF(OR($B101="",$E101&lt;&gt;"Có"),0,SUM($L101,$Q101,$V101,$X101))</f>
        <v/>
      </c>
      <c r="AC101" s="224">
        <f>IF(OR($B101="",$E101&lt;&gt;"Có"),0,SUM($F101,$G101,$R101,$W101,$Y101))</f>
        <v/>
      </c>
      <c r="AD101" s="224">
        <f>IF(OR($B101="",$E101&lt;&gt;"Có"),0,SUM($Z101:$AA101))</f>
        <v/>
      </c>
      <c r="AE101" s="224">
        <f>IF(OR($B101="",$E101&lt;&gt;"Có"),0,$AB101+$AC101-$AD101)</f>
        <v/>
      </c>
      <c r="AF101" s="150">
        <f>IF($B101="","",IF(AND($E101="Có",$D101=""),"Thiếu ngày nghỉ; ","")&amp;IF($I101&gt;MAX($H101,0),"Ngày phép thanh toán vượt số còn lại; ","")&amp;IF(AND($I101&gt;0,OR($J101&lt;=0,$K101&lt;=0)),"Thiếu lương/công chuẩn tháng trước; ","")&amp;IF(AND(SUM($N101,$S101)&gt;0,$M101&lt;=0),"Thiếu bình quân lương 06 tháng; ","")&amp;IF($X101&gt;0,"Bồi thường miễn thuế cần căn cứ và hồ sơ; ","")&amp;IF($AE101&lt;0,"Tổng chi thêm âm; ",""))</f>
        <v/>
      </c>
    </row>
    <row r="102">
      <c r="A102" s="145">
        <f>IF('DM_NHAN_SU'!$B102="","",ROW()-5)</f>
        <v/>
      </c>
      <c r="B102" s="145">
        <f>IF('DM_NHAN_SU'!$B102="","",'DM_NHAN_SU'!B102)</f>
        <v/>
      </c>
      <c r="C102" s="145">
        <f>IF('DM_NHAN_SU'!$B102="","",'DM_NHAN_SU'!C102)</f>
        <v/>
      </c>
      <c r="D102" s="234">
        <f>IF(OR('DM_NHAN_SU'!$B102="",'DM_NHAN_SU'!$G102=""),"",'DM_NHAN_SU'!G102)</f>
        <v/>
      </c>
      <c r="E102" s="127" t="n"/>
      <c r="F102" s="222" t="n"/>
      <c r="G102" s="222" t="n"/>
      <c r="H102" s="232">
        <f>IF($B102="","",'NGHI_PHEP'!K102)</f>
        <v/>
      </c>
      <c r="I102" s="227" t="n"/>
      <c r="J102" s="222" t="n"/>
      <c r="K102" s="227" t="n"/>
      <c r="L102" s="224">
        <f>IF(OR($B102="",$E102&lt;&gt;"Có"),0,IF($K102&gt;0,$I102*$J102/$K102,0))</f>
        <v/>
      </c>
      <c r="M102" s="222" t="n"/>
      <c r="N102" s="227" t="n"/>
      <c r="O102" s="224">
        <f>IF(OR($B102="",$E102&lt;&gt;"Có"),0,$M102*$N102*0.5)</f>
        <v/>
      </c>
      <c r="P102" s="222" t="n"/>
      <c r="Q102" s="224">
        <f>IF(OR($B102="",$E102&lt;&gt;"Có"),0,MIN($P102,$O102))</f>
        <v/>
      </c>
      <c r="R102" s="224">
        <f>IF(OR($B102="",$E102&lt;&gt;"Có"),0,MAX($P102-$O102,0))</f>
        <v/>
      </c>
      <c r="S102" s="227" t="n"/>
      <c r="T102" s="224">
        <f>IF(OR($B102="",$E102&lt;&gt;"Có",$S102&lt;=0),0,$M102*MAX($S102,2))</f>
        <v/>
      </c>
      <c r="U102" s="222" t="n"/>
      <c r="V102" s="224">
        <f>IF(OR($B102="",$E102&lt;&gt;"Có"),0,MIN($U102,$T102))</f>
        <v/>
      </c>
      <c r="W102" s="224">
        <f>IF(OR($B102="",$E102&lt;&gt;"Có"),0,MAX($U102-$T102,0))</f>
        <v/>
      </c>
      <c r="X102" s="222" t="n"/>
      <c r="Y102" s="222" t="n"/>
      <c r="Z102" s="222" t="n"/>
      <c r="AA102" s="222" t="n"/>
      <c r="AB102" s="224">
        <f>IF(OR($B102="",$E102&lt;&gt;"Có"),0,SUM($L102,$Q102,$V102,$X102))</f>
        <v/>
      </c>
      <c r="AC102" s="224">
        <f>IF(OR($B102="",$E102&lt;&gt;"Có"),0,SUM($F102,$G102,$R102,$W102,$Y102))</f>
        <v/>
      </c>
      <c r="AD102" s="224">
        <f>IF(OR($B102="",$E102&lt;&gt;"Có"),0,SUM($Z102:$AA102))</f>
        <v/>
      </c>
      <c r="AE102" s="224">
        <f>IF(OR($B102="",$E102&lt;&gt;"Có"),0,$AB102+$AC102-$AD102)</f>
        <v/>
      </c>
      <c r="AF102" s="150">
        <f>IF($B102="","",IF(AND($E102="Có",$D102=""),"Thiếu ngày nghỉ; ","")&amp;IF($I102&gt;MAX($H102,0),"Ngày phép thanh toán vượt số còn lại; ","")&amp;IF(AND($I102&gt;0,OR($J102&lt;=0,$K102&lt;=0)),"Thiếu lương/công chuẩn tháng trước; ","")&amp;IF(AND(SUM($N102,$S102)&gt;0,$M102&lt;=0),"Thiếu bình quân lương 06 tháng; ","")&amp;IF($X102&gt;0,"Bồi thường miễn thuế cần căn cứ và hồ sơ; ","")&amp;IF($AE102&lt;0,"Tổng chi thêm âm; ",""))</f>
        <v/>
      </c>
    </row>
    <row r="103">
      <c r="A103" s="145">
        <f>IF('DM_NHAN_SU'!$B103="","",ROW()-5)</f>
        <v/>
      </c>
      <c r="B103" s="145">
        <f>IF('DM_NHAN_SU'!$B103="","",'DM_NHAN_SU'!B103)</f>
        <v/>
      </c>
      <c r="C103" s="145">
        <f>IF('DM_NHAN_SU'!$B103="","",'DM_NHAN_SU'!C103)</f>
        <v/>
      </c>
      <c r="D103" s="234">
        <f>IF(OR('DM_NHAN_SU'!$B103="",'DM_NHAN_SU'!$G103=""),"",'DM_NHAN_SU'!G103)</f>
        <v/>
      </c>
      <c r="E103" s="127" t="n"/>
      <c r="F103" s="222" t="n"/>
      <c r="G103" s="222" t="n"/>
      <c r="H103" s="232">
        <f>IF($B103="","",'NGHI_PHEP'!K103)</f>
        <v/>
      </c>
      <c r="I103" s="227" t="n"/>
      <c r="J103" s="222" t="n"/>
      <c r="K103" s="227" t="n"/>
      <c r="L103" s="224">
        <f>IF(OR($B103="",$E103&lt;&gt;"Có"),0,IF($K103&gt;0,$I103*$J103/$K103,0))</f>
        <v/>
      </c>
      <c r="M103" s="222" t="n"/>
      <c r="N103" s="227" t="n"/>
      <c r="O103" s="224">
        <f>IF(OR($B103="",$E103&lt;&gt;"Có"),0,$M103*$N103*0.5)</f>
        <v/>
      </c>
      <c r="P103" s="222" t="n"/>
      <c r="Q103" s="224">
        <f>IF(OR($B103="",$E103&lt;&gt;"Có"),0,MIN($P103,$O103))</f>
        <v/>
      </c>
      <c r="R103" s="224">
        <f>IF(OR($B103="",$E103&lt;&gt;"Có"),0,MAX($P103-$O103,0))</f>
        <v/>
      </c>
      <c r="S103" s="227" t="n"/>
      <c r="T103" s="224">
        <f>IF(OR($B103="",$E103&lt;&gt;"Có",$S103&lt;=0),0,$M103*MAX($S103,2))</f>
        <v/>
      </c>
      <c r="U103" s="222" t="n"/>
      <c r="V103" s="224">
        <f>IF(OR($B103="",$E103&lt;&gt;"Có"),0,MIN($U103,$T103))</f>
        <v/>
      </c>
      <c r="W103" s="224">
        <f>IF(OR($B103="",$E103&lt;&gt;"Có"),0,MAX($U103-$T103,0))</f>
        <v/>
      </c>
      <c r="X103" s="222" t="n"/>
      <c r="Y103" s="222" t="n"/>
      <c r="Z103" s="222" t="n"/>
      <c r="AA103" s="222" t="n"/>
      <c r="AB103" s="224">
        <f>IF(OR($B103="",$E103&lt;&gt;"Có"),0,SUM($L103,$Q103,$V103,$X103))</f>
        <v/>
      </c>
      <c r="AC103" s="224">
        <f>IF(OR($B103="",$E103&lt;&gt;"Có"),0,SUM($F103,$G103,$R103,$W103,$Y103))</f>
        <v/>
      </c>
      <c r="AD103" s="224">
        <f>IF(OR($B103="",$E103&lt;&gt;"Có"),0,SUM($Z103:$AA103))</f>
        <v/>
      </c>
      <c r="AE103" s="224">
        <f>IF(OR($B103="",$E103&lt;&gt;"Có"),0,$AB103+$AC103-$AD103)</f>
        <v/>
      </c>
      <c r="AF103" s="150">
        <f>IF($B103="","",IF(AND($E103="Có",$D103=""),"Thiếu ngày nghỉ; ","")&amp;IF($I103&gt;MAX($H103,0),"Ngày phép thanh toán vượt số còn lại; ","")&amp;IF(AND($I103&gt;0,OR($J103&lt;=0,$K103&lt;=0)),"Thiếu lương/công chuẩn tháng trước; ","")&amp;IF(AND(SUM($N103,$S103)&gt;0,$M103&lt;=0),"Thiếu bình quân lương 06 tháng; ","")&amp;IF($X103&gt;0,"Bồi thường miễn thuế cần căn cứ và hồ sơ; ","")&amp;IF($AE103&lt;0,"Tổng chi thêm âm; ",""))</f>
        <v/>
      </c>
    </row>
    <row r="104">
      <c r="A104" s="145">
        <f>IF('DM_NHAN_SU'!$B104="","",ROW()-5)</f>
        <v/>
      </c>
      <c r="B104" s="145">
        <f>IF('DM_NHAN_SU'!$B104="","",'DM_NHAN_SU'!B104)</f>
        <v/>
      </c>
      <c r="C104" s="145">
        <f>IF('DM_NHAN_SU'!$B104="","",'DM_NHAN_SU'!C104)</f>
        <v/>
      </c>
      <c r="D104" s="234">
        <f>IF(OR('DM_NHAN_SU'!$B104="",'DM_NHAN_SU'!$G104=""),"",'DM_NHAN_SU'!G104)</f>
        <v/>
      </c>
      <c r="E104" s="127" t="n"/>
      <c r="F104" s="222" t="n"/>
      <c r="G104" s="222" t="n"/>
      <c r="H104" s="232">
        <f>IF($B104="","",'NGHI_PHEP'!K104)</f>
        <v/>
      </c>
      <c r="I104" s="227" t="n"/>
      <c r="J104" s="222" t="n"/>
      <c r="K104" s="227" t="n"/>
      <c r="L104" s="224">
        <f>IF(OR($B104="",$E104&lt;&gt;"Có"),0,IF($K104&gt;0,$I104*$J104/$K104,0))</f>
        <v/>
      </c>
      <c r="M104" s="222" t="n"/>
      <c r="N104" s="227" t="n"/>
      <c r="O104" s="224">
        <f>IF(OR($B104="",$E104&lt;&gt;"Có"),0,$M104*$N104*0.5)</f>
        <v/>
      </c>
      <c r="P104" s="222" t="n"/>
      <c r="Q104" s="224">
        <f>IF(OR($B104="",$E104&lt;&gt;"Có"),0,MIN($P104,$O104))</f>
        <v/>
      </c>
      <c r="R104" s="224">
        <f>IF(OR($B104="",$E104&lt;&gt;"Có"),0,MAX($P104-$O104,0))</f>
        <v/>
      </c>
      <c r="S104" s="227" t="n"/>
      <c r="T104" s="224">
        <f>IF(OR($B104="",$E104&lt;&gt;"Có",$S104&lt;=0),0,$M104*MAX($S104,2))</f>
        <v/>
      </c>
      <c r="U104" s="222" t="n"/>
      <c r="V104" s="224">
        <f>IF(OR($B104="",$E104&lt;&gt;"Có"),0,MIN($U104,$T104))</f>
        <v/>
      </c>
      <c r="W104" s="224">
        <f>IF(OR($B104="",$E104&lt;&gt;"Có"),0,MAX($U104-$T104,0))</f>
        <v/>
      </c>
      <c r="X104" s="222" t="n"/>
      <c r="Y104" s="222" t="n"/>
      <c r="Z104" s="222" t="n"/>
      <c r="AA104" s="222" t="n"/>
      <c r="AB104" s="224">
        <f>IF(OR($B104="",$E104&lt;&gt;"Có"),0,SUM($L104,$Q104,$V104,$X104))</f>
        <v/>
      </c>
      <c r="AC104" s="224">
        <f>IF(OR($B104="",$E104&lt;&gt;"Có"),0,SUM($F104,$G104,$R104,$W104,$Y104))</f>
        <v/>
      </c>
      <c r="AD104" s="224">
        <f>IF(OR($B104="",$E104&lt;&gt;"Có"),0,SUM($Z104:$AA104))</f>
        <v/>
      </c>
      <c r="AE104" s="224">
        <f>IF(OR($B104="",$E104&lt;&gt;"Có"),0,$AB104+$AC104-$AD104)</f>
        <v/>
      </c>
      <c r="AF104" s="150">
        <f>IF($B104="","",IF(AND($E104="Có",$D104=""),"Thiếu ngày nghỉ; ","")&amp;IF($I104&gt;MAX($H104,0),"Ngày phép thanh toán vượt số còn lại; ","")&amp;IF(AND($I104&gt;0,OR($J104&lt;=0,$K104&lt;=0)),"Thiếu lương/công chuẩn tháng trước; ","")&amp;IF(AND(SUM($N104,$S104)&gt;0,$M104&lt;=0),"Thiếu bình quân lương 06 tháng; ","")&amp;IF($X104&gt;0,"Bồi thường miễn thuế cần căn cứ và hồ sơ; ","")&amp;IF($AE104&lt;0,"Tổng chi thêm âm; ",""))</f>
        <v/>
      </c>
    </row>
    <row r="105">
      <c r="A105" s="145">
        <f>IF('DM_NHAN_SU'!$B105="","",ROW()-5)</f>
        <v/>
      </c>
      <c r="B105" s="145">
        <f>IF('DM_NHAN_SU'!$B105="","",'DM_NHAN_SU'!B105)</f>
        <v/>
      </c>
      <c r="C105" s="145">
        <f>IF('DM_NHAN_SU'!$B105="","",'DM_NHAN_SU'!C105)</f>
        <v/>
      </c>
      <c r="D105" s="234">
        <f>IF(OR('DM_NHAN_SU'!$B105="",'DM_NHAN_SU'!$G105=""),"",'DM_NHAN_SU'!G105)</f>
        <v/>
      </c>
      <c r="E105" s="127" t="n"/>
      <c r="F105" s="222" t="n"/>
      <c r="G105" s="222" t="n"/>
      <c r="H105" s="232">
        <f>IF($B105="","",'NGHI_PHEP'!K105)</f>
        <v/>
      </c>
      <c r="I105" s="227" t="n"/>
      <c r="J105" s="222" t="n"/>
      <c r="K105" s="227" t="n"/>
      <c r="L105" s="224">
        <f>IF(OR($B105="",$E105&lt;&gt;"Có"),0,IF($K105&gt;0,$I105*$J105/$K105,0))</f>
        <v/>
      </c>
      <c r="M105" s="222" t="n"/>
      <c r="N105" s="227" t="n"/>
      <c r="O105" s="224">
        <f>IF(OR($B105="",$E105&lt;&gt;"Có"),0,$M105*$N105*0.5)</f>
        <v/>
      </c>
      <c r="P105" s="222" t="n"/>
      <c r="Q105" s="224">
        <f>IF(OR($B105="",$E105&lt;&gt;"Có"),0,MIN($P105,$O105))</f>
        <v/>
      </c>
      <c r="R105" s="224">
        <f>IF(OR($B105="",$E105&lt;&gt;"Có"),0,MAX($P105-$O105,0))</f>
        <v/>
      </c>
      <c r="S105" s="227" t="n"/>
      <c r="T105" s="224">
        <f>IF(OR($B105="",$E105&lt;&gt;"Có",$S105&lt;=0),0,$M105*MAX($S105,2))</f>
        <v/>
      </c>
      <c r="U105" s="222" t="n"/>
      <c r="V105" s="224">
        <f>IF(OR($B105="",$E105&lt;&gt;"Có"),0,MIN($U105,$T105))</f>
        <v/>
      </c>
      <c r="W105" s="224">
        <f>IF(OR($B105="",$E105&lt;&gt;"Có"),0,MAX($U105-$T105,0))</f>
        <v/>
      </c>
      <c r="X105" s="222" t="n"/>
      <c r="Y105" s="222" t="n"/>
      <c r="Z105" s="222" t="n"/>
      <c r="AA105" s="222" t="n"/>
      <c r="AB105" s="224">
        <f>IF(OR($B105="",$E105&lt;&gt;"Có"),0,SUM($L105,$Q105,$V105,$X105))</f>
        <v/>
      </c>
      <c r="AC105" s="224">
        <f>IF(OR($B105="",$E105&lt;&gt;"Có"),0,SUM($F105,$G105,$R105,$W105,$Y105))</f>
        <v/>
      </c>
      <c r="AD105" s="224">
        <f>IF(OR($B105="",$E105&lt;&gt;"Có"),0,SUM($Z105:$AA105))</f>
        <v/>
      </c>
      <c r="AE105" s="224">
        <f>IF(OR($B105="",$E105&lt;&gt;"Có"),0,$AB105+$AC105-$AD105)</f>
        <v/>
      </c>
      <c r="AF105" s="150">
        <f>IF($B105="","",IF(AND($E105="Có",$D105=""),"Thiếu ngày nghỉ; ","")&amp;IF($I105&gt;MAX($H105,0),"Ngày phép thanh toán vượt số còn lại; ","")&amp;IF(AND($I105&gt;0,OR($J105&lt;=0,$K105&lt;=0)),"Thiếu lương/công chuẩn tháng trước; ","")&amp;IF(AND(SUM($N105,$S105)&gt;0,$M105&lt;=0),"Thiếu bình quân lương 06 tháng; ","")&amp;IF($X105&gt;0,"Bồi thường miễn thuế cần căn cứ và hồ sơ; ","")&amp;IF($AE105&lt;0,"Tổng chi thêm âm; ",""))</f>
        <v/>
      </c>
    </row>
    <row r="106">
      <c r="A106" s="145">
        <f>IF('DM_NHAN_SU'!$B106="","",ROW()-5)</f>
        <v/>
      </c>
      <c r="B106" s="145">
        <f>IF('DM_NHAN_SU'!$B106="","",'DM_NHAN_SU'!B106)</f>
        <v/>
      </c>
      <c r="C106" s="145">
        <f>IF('DM_NHAN_SU'!$B106="","",'DM_NHAN_SU'!C106)</f>
        <v/>
      </c>
      <c r="D106" s="234">
        <f>IF(OR('DM_NHAN_SU'!$B106="",'DM_NHAN_SU'!$G106=""),"",'DM_NHAN_SU'!G106)</f>
        <v/>
      </c>
      <c r="E106" s="127" t="n"/>
      <c r="F106" s="222" t="n"/>
      <c r="G106" s="222" t="n"/>
      <c r="H106" s="232">
        <f>IF($B106="","",'NGHI_PHEP'!K106)</f>
        <v/>
      </c>
      <c r="I106" s="227" t="n"/>
      <c r="J106" s="222" t="n"/>
      <c r="K106" s="227" t="n"/>
      <c r="L106" s="224">
        <f>IF(OR($B106="",$E106&lt;&gt;"Có"),0,IF($K106&gt;0,$I106*$J106/$K106,0))</f>
        <v/>
      </c>
      <c r="M106" s="222" t="n"/>
      <c r="N106" s="227" t="n"/>
      <c r="O106" s="224">
        <f>IF(OR($B106="",$E106&lt;&gt;"Có"),0,$M106*$N106*0.5)</f>
        <v/>
      </c>
      <c r="P106" s="222" t="n"/>
      <c r="Q106" s="224">
        <f>IF(OR($B106="",$E106&lt;&gt;"Có"),0,MIN($P106,$O106))</f>
        <v/>
      </c>
      <c r="R106" s="224">
        <f>IF(OR($B106="",$E106&lt;&gt;"Có"),0,MAX($P106-$O106,0))</f>
        <v/>
      </c>
      <c r="S106" s="227" t="n"/>
      <c r="T106" s="224">
        <f>IF(OR($B106="",$E106&lt;&gt;"Có",$S106&lt;=0),0,$M106*MAX($S106,2))</f>
        <v/>
      </c>
      <c r="U106" s="222" t="n"/>
      <c r="V106" s="224">
        <f>IF(OR($B106="",$E106&lt;&gt;"Có"),0,MIN($U106,$T106))</f>
        <v/>
      </c>
      <c r="W106" s="224">
        <f>IF(OR($B106="",$E106&lt;&gt;"Có"),0,MAX($U106-$T106,0))</f>
        <v/>
      </c>
      <c r="X106" s="222" t="n"/>
      <c r="Y106" s="222" t="n"/>
      <c r="Z106" s="222" t="n"/>
      <c r="AA106" s="222" t="n"/>
      <c r="AB106" s="224">
        <f>IF(OR($B106="",$E106&lt;&gt;"Có"),0,SUM($L106,$Q106,$V106,$X106))</f>
        <v/>
      </c>
      <c r="AC106" s="224">
        <f>IF(OR($B106="",$E106&lt;&gt;"Có"),0,SUM($F106,$G106,$R106,$W106,$Y106))</f>
        <v/>
      </c>
      <c r="AD106" s="224">
        <f>IF(OR($B106="",$E106&lt;&gt;"Có"),0,SUM($Z106:$AA106))</f>
        <v/>
      </c>
      <c r="AE106" s="224">
        <f>IF(OR($B106="",$E106&lt;&gt;"Có"),0,$AB106+$AC106-$AD106)</f>
        <v/>
      </c>
      <c r="AF106" s="150">
        <f>IF($B106="","",IF(AND($E106="Có",$D106=""),"Thiếu ngày nghỉ; ","")&amp;IF($I106&gt;MAX($H106,0),"Ngày phép thanh toán vượt số còn lại; ","")&amp;IF(AND($I106&gt;0,OR($J106&lt;=0,$K106&lt;=0)),"Thiếu lương/công chuẩn tháng trước; ","")&amp;IF(AND(SUM($N106,$S106)&gt;0,$M106&lt;=0),"Thiếu bình quân lương 06 tháng; ","")&amp;IF($X106&gt;0,"Bồi thường miễn thuế cần căn cứ và hồ sơ; ","")&amp;IF($AE106&lt;0,"Tổng chi thêm âm; ",""))</f>
        <v/>
      </c>
    </row>
    <row r="107">
      <c r="A107" s="145">
        <f>IF('DM_NHAN_SU'!$B107="","",ROW()-5)</f>
        <v/>
      </c>
      <c r="B107" s="145">
        <f>IF('DM_NHAN_SU'!$B107="","",'DM_NHAN_SU'!B107)</f>
        <v/>
      </c>
      <c r="C107" s="145">
        <f>IF('DM_NHAN_SU'!$B107="","",'DM_NHAN_SU'!C107)</f>
        <v/>
      </c>
      <c r="D107" s="234">
        <f>IF(OR('DM_NHAN_SU'!$B107="",'DM_NHAN_SU'!$G107=""),"",'DM_NHAN_SU'!G107)</f>
        <v/>
      </c>
      <c r="E107" s="127" t="n"/>
      <c r="F107" s="222" t="n"/>
      <c r="G107" s="222" t="n"/>
      <c r="H107" s="232">
        <f>IF($B107="","",'NGHI_PHEP'!K107)</f>
        <v/>
      </c>
      <c r="I107" s="227" t="n"/>
      <c r="J107" s="222" t="n"/>
      <c r="K107" s="227" t="n"/>
      <c r="L107" s="224">
        <f>IF(OR($B107="",$E107&lt;&gt;"Có"),0,IF($K107&gt;0,$I107*$J107/$K107,0))</f>
        <v/>
      </c>
      <c r="M107" s="222" t="n"/>
      <c r="N107" s="227" t="n"/>
      <c r="O107" s="224">
        <f>IF(OR($B107="",$E107&lt;&gt;"Có"),0,$M107*$N107*0.5)</f>
        <v/>
      </c>
      <c r="P107" s="222" t="n"/>
      <c r="Q107" s="224">
        <f>IF(OR($B107="",$E107&lt;&gt;"Có"),0,MIN($P107,$O107))</f>
        <v/>
      </c>
      <c r="R107" s="224">
        <f>IF(OR($B107="",$E107&lt;&gt;"Có"),0,MAX($P107-$O107,0))</f>
        <v/>
      </c>
      <c r="S107" s="227" t="n"/>
      <c r="T107" s="224">
        <f>IF(OR($B107="",$E107&lt;&gt;"Có",$S107&lt;=0),0,$M107*MAX($S107,2))</f>
        <v/>
      </c>
      <c r="U107" s="222" t="n"/>
      <c r="V107" s="224">
        <f>IF(OR($B107="",$E107&lt;&gt;"Có"),0,MIN($U107,$T107))</f>
        <v/>
      </c>
      <c r="W107" s="224">
        <f>IF(OR($B107="",$E107&lt;&gt;"Có"),0,MAX($U107-$T107,0))</f>
        <v/>
      </c>
      <c r="X107" s="222" t="n"/>
      <c r="Y107" s="222" t="n"/>
      <c r="Z107" s="222" t="n"/>
      <c r="AA107" s="222" t="n"/>
      <c r="AB107" s="224">
        <f>IF(OR($B107="",$E107&lt;&gt;"Có"),0,SUM($L107,$Q107,$V107,$X107))</f>
        <v/>
      </c>
      <c r="AC107" s="224">
        <f>IF(OR($B107="",$E107&lt;&gt;"Có"),0,SUM($F107,$G107,$R107,$W107,$Y107))</f>
        <v/>
      </c>
      <c r="AD107" s="224">
        <f>IF(OR($B107="",$E107&lt;&gt;"Có"),0,SUM($Z107:$AA107))</f>
        <v/>
      </c>
      <c r="AE107" s="224">
        <f>IF(OR($B107="",$E107&lt;&gt;"Có"),0,$AB107+$AC107-$AD107)</f>
        <v/>
      </c>
      <c r="AF107" s="150">
        <f>IF($B107="","",IF(AND($E107="Có",$D107=""),"Thiếu ngày nghỉ; ","")&amp;IF($I107&gt;MAX($H107,0),"Ngày phép thanh toán vượt số còn lại; ","")&amp;IF(AND($I107&gt;0,OR($J107&lt;=0,$K107&lt;=0)),"Thiếu lương/công chuẩn tháng trước; ","")&amp;IF(AND(SUM($N107,$S107)&gt;0,$M107&lt;=0),"Thiếu bình quân lương 06 tháng; ","")&amp;IF($X107&gt;0,"Bồi thường miễn thuế cần căn cứ và hồ sơ; ","")&amp;IF($AE107&lt;0,"Tổng chi thêm âm; ",""))</f>
        <v/>
      </c>
    </row>
    <row r="108">
      <c r="A108" s="145">
        <f>IF('DM_NHAN_SU'!$B108="","",ROW()-5)</f>
        <v/>
      </c>
      <c r="B108" s="145">
        <f>IF('DM_NHAN_SU'!$B108="","",'DM_NHAN_SU'!B108)</f>
        <v/>
      </c>
      <c r="C108" s="145">
        <f>IF('DM_NHAN_SU'!$B108="","",'DM_NHAN_SU'!C108)</f>
        <v/>
      </c>
      <c r="D108" s="234">
        <f>IF(OR('DM_NHAN_SU'!$B108="",'DM_NHAN_SU'!$G108=""),"",'DM_NHAN_SU'!G108)</f>
        <v/>
      </c>
      <c r="E108" s="127" t="n"/>
      <c r="F108" s="222" t="n"/>
      <c r="G108" s="222" t="n"/>
      <c r="H108" s="232">
        <f>IF($B108="","",'NGHI_PHEP'!K108)</f>
        <v/>
      </c>
      <c r="I108" s="227" t="n"/>
      <c r="J108" s="222" t="n"/>
      <c r="K108" s="227" t="n"/>
      <c r="L108" s="224">
        <f>IF(OR($B108="",$E108&lt;&gt;"Có"),0,IF($K108&gt;0,$I108*$J108/$K108,0))</f>
        <v/>
      </c>
      <c r="M108" s="222" t="n"/>
      <c r="N108" s="227" t="n"/>
      <c r="O108" s="224">
        <f>IF(OR($B108="",$E108&lt;&gt;"Có"),0,$M108*$N108*0.5)</f>
        <v/>
      </c>
      <c r="P108" s="222" t="n"/>
      <c r="Q108" s="224">
        <f>IF(OR($B108="",$E108&lt;&gt;"Có"),0,MIN($P108,$O108))</f>
        <v/>
      </c>
      <c r="R108" s="224">
        <f>IF(OR($B108="",$E108&lt;&gt;"Có"),0,MAX($P108-$O108,0))</f>
        <v/>
      </c>
      <c r="S108" s="227" t="n"/>
      <c r="T108" s="224">
        <f>IF(OR($B108="",$E108&lt;&gt;"Có",$S108&lt;=0),0,$M108*MAX($S108,2))</f>
        <v/>
      </c>
      <c r="U108" s="222" t="n"/>
      <c r="V108" s="224">
        <f>IF(OR($B108="",$E108&lt;&gt;"Có"),0,MIN($U108,$T108))</f>
        <v/>
      </c>
      <c r="W108" s="224">
        <f>IF(OR($B108="",$E108&lt;&gt;"Có"),0,MAX($U108-$T108,0))</f>
        <v/>
      </c>
      <c r="X108" s="222" t="n"/>
      <c r="Y108" s="222" t="n"/>
      <c r="Z108" s="222" t="n"/>
      <c r="AA108" s="222" t="n"/>
      <c r="AB108" s="224">
        <f>IF(OR($B108="",$E108&lt;&gt;"Có"),0,SUM($L108,$Q108,$V108,$X108))</f>
        <v/>
      </c>
      <c r="AC108" s="224">
        <f>IF(OR($B108="",$E108&lt;&gt;"Có"),0,SUM($F108,$G108,$R108,$W108,$Y108))</f>
        <v/>
      </c>
      <c r="AD108" s="224">
        <f>IF(OR($B108="",$E108&lt;&gt;"Có"),0,SUM($Z108:$AA108))</f>
        <v/>
      </c>
      <c r="AE108" s="224">
        <f>IF(OR($B108="",$E108&lt;&gt;"Có"),0,$AB108+$AC108-$AD108)</f>
        <v/>
      </c>
      <c r="AF108" s="150">
        <f>IF($B108="","",IF(AND($E108="Có",$D108=""),"Thiếu ngày nghỉ; ","")&amp;IF($I108&gt;MAX($H108,0),"Ngày phép thanh toán vượt số còn lại; ","")&amp;IF(AND($I108&gt;0,OR($J108&lt;=0,$K108&lt;=0)),"Thiếu lương/công chuẩn tháng trước; ","")&amp;IF(AND(SUM($N108,$S108)&gt;0,$M108&lt;=0),"Thiếu bình quân lương 06 tháng; ","")&amp;IF($X108&gt;0,"Bồi thường miễn thuế cần căn cứ và hồ sơ; ","")&amp;IF($AE108&lt;0,"Tổng chi thêm âm; ",""))</f>
        <v/>
      </c>
    </row>
    <row r="109">
      <c r="A109" s="145">
        <f>IF('DM_NHAN_SU'!$B109="","",ROW()-5)</f>
        <v/>
      </c>
      <c r="B109" s="145">
        <f>IF('DM_NHAN_SU'!$B109="","",'DM_NHAN_SU'!B109)</f>
        <v/>
      </c>
      <c r="C109" s="145">
        <f>IF('DM_NHAN_SU'!$B109="","",'DM_NHAN_SU'!C109)</f>
        <v/>
      </c>
      <c r="D109" s="234">
        <f>IF(OR('DM_NHAN_SU'!$B109="",'DM_NHAN_SU'!$G109=""),"",'DM_NHAN_SU'!G109)</f>
        <v/>
      </c>
      <c r="E109" s="127" t="n"/>
      <c r="F109" s="222" t="n"/>
      <c r="G109" s="222" t="n"/>
      <c r="H109" s="232">
        <f>IF($B109="","",'NGHI_PHEP'!K109)</f>
        <v/>
      </c>
      <c r="I109" s="227" t="n"/>
      <c r="J109" s="222" t="n"/>
      <c r="K109" s="227" t="n"/>
      <c r="L109" s="224">
        <f>IF(OR($B109="",$E109&lt;&gt;"Có"),0,IF($K109&gt;0,$I109*$J109/$K109,0))</f>
        <v/>
      </c>
      <c r="M109" s="222" t="n"/>
      <c r="N109" s="227" t="n"/>
      <c r="O109" s="224">
        <f>IF(OR($B109="",$E109&lt;&gt;"Có"),0,$M109*$N109*0.5)</f>
        <v/>
      </c>
      <c r="P109" s="222" t="n"/>
      <c r="Q109" s="224">
        <f>IF(OR($B109="",$E109&lt;&gt;"Có"),0,MIN($P109,$O109))</f>
        <v/>
      </c>
      <c r="R109" s="224">
        <f>IF(OR($B109="",$E109&lt;&gt;"Có"),0,MAX($P109-$O109,0))</f>
        <v/>
      </c>
      <c r="S109" s="227" t="n"/>
      <c r="T109" s="224">
        <f>IF(OR($B109="",$E109&lt;&gt;"Có",$S109&lt;=0),0,$M109*MAX($S109,2))</f>
        <v/>
      </c>
      <c r="U109" s="222" t="n"/>
      <c r="V109" s="224">
        <f>IF(OR($B109="",$E109&lt;&gt;"Có"),0,MIN($U109,$T109))</f>
        <v/>
      </c>
      <c r="W109" s="224">
        <f>IF(OR($B109="",$E109&lt;&gt;"Có"),0,MAX($U109-$T109,0))</f>
        <v/>
      </c>
      <c r="X109" s="222" t="n"/>
      <c r="Y109" s="222" t="n"/>
      <c r="Z109" s="222" t="n"/>
      <c r="AA109" s="222" t="n"/>
      <c r="AB109" s="224">
        <f>IF(OR($B109="",$E109&lt;&gt;"Có"),0,SUM($L109,$Q109,$V109,$X109))</f>
        <v/>
      </c>
      <c r="AC109" s="224">
        <f>IF(OR($B109="",$E109&lt;&gt;"Có"),0,SUM($F109,$G109,$R109,$W109,$Y109))</f>
        <v/>
      </c>
      <c r="AD109" s="224">
        <f>IF(OR($B109="",$E109&lt;&gt;"Có"),0,SUM($Z109:$AA109))</f>
        <v/>
      </c>
      <c r="AE109" s="224">
        <f>IF(OR($B109="",$E109&lt;&gt;"Có"),0,$AB109+$AC109-$AD109)</f>
        <v/>
      </c>
      <c r="AF109" s="150">
        <f>IF($B109="","",IF(AND($E109="Có",$D109=""),"Thiếu ngày nghỉ; ","")&amp;IF($I109&gt;MAX($H109,0),"Ngày phép thanh toán vượt số còn lại; ","")&amp;IF(AND($I109&gt;0,OR($J109&lt;=0,$K109&lt;=0)),"Thiếu lương/công chuẩn tháng trước; ","")&amp;IF(AND(SUM($N109,$S109)&gt;0,$M109&lt;=0),"Thiếu bình quân lương 06 tháng; ","")&amp;IF($X109&gt;0,"Bồi thường miễn thuế cần căn cứ và hồ sơ; ","")&amp;IF($AE109&lt;0,"Tổng chi thêm âm; ",""))</f>
        <v/>
      </c>
    </row>
    <row r="110">
      <c r="A110" s="145">
        <f>IF('DM_NHAN_SU'!$B110="","",ROW()-5)</f>
        <v/>
      </c>
      <c r="B110" s="145">
        <f>IF('DM_NHAN_SU'!$B110="","",'DM_NHAN_SU'!B110)</f>
        <v/>
      </c>
      <c r="C110" s="145">
        <f>IF('DM_NHAN_SU'!$B110="","",'DM_NHAN_SU'!C110)</f>
        <v/>
      </c>
      <c r="D110" s="234">
        <f>IF(OR('DM_NHAN_SU'!$B110="",'DM_NHAN_SU'!$G110=""),"",'DM_NHAN_SU'!G110)</f>
        <v/>
      </c>
      <c r="E110" s="127" t="n"/>
      <c r="F110" s="222" t="n"/>
      <c r="G110" s="222" t="n"/>
      <c r="H110" s="232">
        <f>IF($B110="","",'NGHI_PHEP'!K110)</f>
        <v/>
      </c>
      <c r="I110" s="227" t="n"/>
      <c r="J110" s="222" t="n"/>
      <c r="K110" s="227" t="n"/>
      <c r="L110" s="224">
        <f>IF(OR($B110="",$E110&lt;&gt;"Có"),0,IF($K110&gt;0,$I110*$J110/$K110,0))</f>
        <v/>
      </c>
      <c r="M110" s="222" t="n"/>
      <c r="N110" s="227" t="n"/>
      <c r="O110" s="224">
        <f>IF(OR($B110="",$E110&lt;&gt;"Có"),0,$M110*$N110*0.5)</f>
        <v/>
      </c>
      <c r="P110" s="222" t="n"/>
      <c r="Q110" s="224">
        <f>IF(OR($B110="",$E110&lt;&gt;"Có"),0,MIN($P110,$O110))</f>
        <v/>
      </c>
      <c r="R110" s="224">
        <f>IF(OR($B110="",$E110&lt;&gt;"Có"),0,MAX($P110-$O110,0))</f>
        <v/>
      </c>
      <c r="S110" s="227" t="n"/>
      <c r="T110" s="224">
        <f>IF(OR($B110="",$E110&lt;&gt;"Có",$S110&lt;=0),0,$M110*MAX($S110,2))</f>
        <v/>
      </c>
      <c r="U110" s="222" t="n"/>
      <c r="V110" s="224">
        <f>IF(OR($B110="",$E110&lt;&gt;"Có"),0,MIN($U110,$T110))</f>
        <v/>
      </c>
      <c r="W110" s="224">
        <f>IF(OR($B110="",$E110&lt;&gt;"Có"),0,MAX($U110-$T110,0))</f>
        <v/>
      </c>
      <c r="X110" s="222" t="n"/>
      <c r="Y110" s="222" t="n"/>
      <c r="Z110" s="222" t="n"/>
      <c r="AA110" s="222" t="n"/>
      <c r="AB110" s="224">
        <f>IF(OR($B110="",$E110&lt;&gt;"Có"),0,SUM($L110,$Q110,$V110,$X110))</f>
        <v/>
      </c>
      <c r="AC110" s="224">
        <f>IF(OR($B110="",$E110&lt;&gt;"Có"),0,SUM($F110,$G110,$R110,$W110,$Y110))</f>
        <v/>
      </c>
      <c r="AD110" s="224">
        <f>IF(OR($B110="",$E110&lt;&gt;"Có"),0,SUM($Z110:$AA110))</f>
        <v/>
      </c>
      <c r="AE110" s="224">
        <f>IF(OR($B110="",$E110&lt;&gt;"Có"),0,$AB110+$AC110-$AD110)</f>
        <v/>
      </c>
      <c r="AF110" s="150">
        <f>IF($B110="","",IF(AND($E110="Có",$D110=""),"Thiếu ngày nghỉ; ","")&amp;IF($I110&gt;MAX($H110,0),"Ngày phép thanh toán vượt số còn lại; ","")&amp;IF(AND($I110&gt;0,OR($J110&lt;=0,$K110&lt;=0)),"Thiếu lương/công chuẩn tháng trước; ","")&amp;IF(AND(SUM($N110,$S110)&gt;0,$M110&lt;=0),"Thiếu bình quân lương 06 tháng; ","")&amp;IF($X110&gt;0,"Bồi thường miễn thuế cần căn cứ và hồ sơ; ","")&amp;IF($AE110&lt;0,"Tổng chi thêm âm; ",""))</f>
        <v/>
      </c>
    </row>
    <row r="111">
      <c r="A111" s="145">
        <f>IF('DM_NHAN_SU'!$B111="","",ROW()-5)</f>
        <v/>
      </c>
      <c r="B111" s="145">
        <f>IF('DM_NHAN_SU'!$B111="","",'DM_NHAN_SU'!B111)</f>
        <v/>
      </c>
      <c r="C111" s="145">
        <f>IF('DM_NHAN_SU'!$B111="","",'DM_NHAN_SU'!C111)</f>
        <v/>
      </c>
      <c r="D111" s="234">
        <f>IF(OR('DM_NHAN_SU'!$B111="",'DM_NHAN_SU'!$G111=""),"",'DM_NHAN_SU'!G111)</f>
        <v/>
      </c>
      <c r="E111" s="127" t="n"/>
      <c r="F111" s="222" t="n"/>
      <c r="G111" s="222" t="n"/>
      <c r="H111" s="232">
        <f>IF($B111="","",'NGHI_PHEP'!K111)</f>
        <v/>
      </c>
      <c r="I111" s="227" t="n"/>
      <c r="J111" s="222" t="n"/>
      <c r="K111" s="227" t="n"/>
      <c r="L111" s="224">
        <f>IF(OR($B111="",$E111&lt;&gt;"Có"),0,IF($K111&gt;0,$I111*$J111/$K111,0))</f>
        <v/>
      </c>
      <c r="M111" s="222" t="n"/>
      <c r="N111" s="227" t="n"/>
      <c r="O111" s="224">
        <f>IF(OR($B111="",$E111&lt;&gt;"Có"),0,$M111*$N111*0.5)</f>
        <v/>
      </c>
      <c r="P111" s="222" t="n"/>
      <c r="Q111" s="224">
        <f>IF(OR($B111="",$E111&lt;&gt;"Có"),0,MIN($P111,$O111))</f>
        <v/>
      </c>
      <c r="R111" s="224">
        <f>IF(OR($B111="",$E111&lt;&gt;"Có"),0,MAX($P111-$O111,0))</f>
        <v/>
      </c>
      <c r="S111" s="227" t="n"/>
      <c r="T111" s="224">
        <f>IF(OR($B111="",$E111&lt;&gt;"Có",$S111&lt;=0),0,$M111*MAX($S111,2))</f>
        <v/>
      </c>
      <c r="U111" s="222" t="n"/>
      <c r="V111" s="224">
        <f>IF(OR($B111="",$E111&lt;&gt;"Có"),0,MIN($U111,$T111))</f>
        <v/>
      </c>
      <c r="W111" s="224">
        <f>IF(OR($B111="",$E111&lt;&gt;"Có"),0,MAX($U111-$T111,0))</f>
        <v/>
      </c>
      <c r="X111" s="222" t="n"/>
      <c r="Y111" s="222" t="n"/>
      <c r="Z111" s="222" t="n"/>
      <c r="AA111" s="222" t="n"/>
      <c r="AB111" s="224">
        <f>IF(OR($B111="",$E111&lt;&gt;"Có"),0,SUM($L111,$Q111,$V111,$X111))</f>
        <v/>
      </c>
      <c r="AC111" s="224">
        <f>IF(OR($B111="",$E111&lt;&gt;"Có"),0,SUM($F111,$G111,$R111,$W111,$Y111))</f>
        <v/>
      </c>
      <c r="AD111" s="224">
        <f>IF(OR($B111="",$E111&lt;&gt;"Có"),0,SUM($Z111:$AA111))</f>
        <v/>
      </c>
      <c r="AE111" s="224">
        <f>IF(OR($B111="",$E111&lt;&gt;"Có"),0,$AB111+$AC111-$AD111)</f>
        <v/>
      </c>
      <c r="AF111" s="150">
        <f>IF($B111="","",IF(AND($E111="Có",$D111=""),"Thiếu ngày nghỉ; ","")&amp;IF($I111&gt;MAX($H111,0),"Ngày phép thanh toán vượt số còn lại; ","")&amp;IF(AND($I111&gt;0,OR($J111&lt;=0,$K111&lt;=0)),"Thiếu lương/công chuẩn tháng trước; ","")&amp;IF(AND(SUM($N111,$S111)&gt;0,$M111&lt;=0),"Thiếu bình quân lương 06 tháng; ","")&amp;IF($X111&gt;0,"Bồi thường miễn thuế cần căn cứ và hồ sơ; ","")&amp;IF($AE111&lt;0,"Tổng chi thêm âm; ",""))</f>
        <v/>
      </c>
    </row>
    <row r="112">
      <c r="A112" s="145">
        <f>IF('DM_NHAN_SU'!$B112="","",ROW()-5)</f>
        <v/>
      </c>
      <c r="B112" s="145">
        <f>IF('DM_NHAN_SU'!$B112="","",'DM_NHAN_SU'!B112)</f>
        <v/>
      </c>
      <c r="C112" s="145">
        <f>IF('DM_NHAN_SU'!$B112="","",'DM_NHAN_SU'!C112)</f>
        <v/>
      </c>
      <c r="D112" s="234">
        <f>IF(OR('DM_NHAN_SU'!$B112="",'DM_NHAN_SU'!$G112=""),"",'DM_NHAN_SU'!G112)</f>
        <v/>
      </c>
      <c r="E112" s="127" t="n"/>
      <c r="F112" s="222" t="n"/>
      <c r="G112" s="222" t="n"/>
      <c r="H112" s="232">
        <f>IF($B112="","",'NGHI_PHEP'!K112)</f>
        <v/>
      </c>
      <c r="I112" s="227" t="n"/>
      <c r="J112" s="222" t="n"/>
      <c r="K112" s="227" t="n"/>
      <c r="L112" s="224">
        <f>IF(OR($B112="",$E112&lt;&gt;"Có"),0,IF($K112&gt;0,$I112*$J112/$K112,0))</f>
        <v/>
      </c>
      <c r="M112" s="222" t="n"/>
      <c r="N112" s="227" t="n"/>
      <c r="O112" s="224">
        <f>IF(OR($B112="",$E112&lt;&gt;"Có"),0,$M112*$N112*0.5)</f>
        <v/>
      </c>
      <c r="P112" s="222" t="n"/>
      <c r="Q112" s="224">
        <f>IF(OR($B112="",$E112&lt;&gt;"Có"),0,MIN($P112,$O112))</f>
        <v/>
      </c>
      <c r="R112" s="224">
        <f>IF(OR($B112="",$E112&lt;&gt;"Có"),0,MAX($P112-$O112,0))</f>
        <v/>
      </c>
      <c r="S112" s="227" t="n"/>
      <c r="T112" s="224">
        <f>IF(OR($B112="",$E112&lt;&gt;"Có",$S112&lt;=0),0,$M112*MAX($S112,2))</f>
        <v/>
      </c>
      <c r="U112" s="222" t="n"/>
      <c r="V112" s="224">
        <f>IF(OR($B112="",$E112&lt;&gt;"Có"),0,MIN($U112,$T112))</f>
        <v/>
      </c>
      <c r="W112" s="224">
        <f>IF(OR($B112="",$E112&lt;&gt;"Có"),0,MAX($U112-$T112,0))</f>
        <v/>
      </c>
      <c r="X112" s="222" t="n"/>
      <c r="Y112" s="222" t="n"/>
      <c r="Z112" s="222" t="n"/>
      <c r="AA112" s="222" t="n"/>
      <c r="AB112" s="224">
        <f>IF(OR($B112="",$E112&lt;&gt;"Có"),0,SUM($L112,$Q112,$V112,$X112))</f>
        <v/>
      </c>
      <c r="AC112" s="224">
        <f>IF(OR($B112="",$E112&lt;&gt;"Có"),0,SUM($F112,$G112,$R112,$W112,$Y112))</f>
        <v/>
      </c>
      <c r="AD112" s="224">
        <f>IF(OR($B112="",$E112&lt;&gt;"Có"),0,SUM($Z112:$AA112))</f>
        <v/>
      </c>
      <c r="AE112" s="224">
        <f>IF(OR($B112="",$E112&lt;&gt;"Có"),0,$AB112+$AC112-$AD112)</f>
        <v/>
      </c>
      <c r="AF112" s="150">
        <f>IF($B112="","",IF(AND($E112="Có",$D112=""),"Thiếu ngày nghỉ; ","")&amp;IF($I112&gt;MAX($H112,0),"Ngày phép thanh toán vượt số còn lại; ","")&amp;IF(AND($I112&gt;0,OR($J112&lt;=0,$K112&lt;=0)),"Thiếu lương/công chuẩn tháng trước; ","")&amp;IF(AND(SUM($N112,$S112)&gt;0,$M112&lt;=0),"Thiếu bình quân lương 06 tháng; ","")&amp;IF($X112&gt;0,"Bồi thường miễn thuế cần căn cứ và hồ sơ; ","")&amp;IF($AE112&lt;0,"Tổng chi thêm âm; ",""))</f>
        <v/>
      </c>
    </row>
    <row r="113">
      <c r="A113" s="145">
        <f>IF('DM_NHAN_SU'!$B113="","",ROW()-5)</f>
        <v/>
      </c>
      <c r="B113" s="145">
        <f>IF('DM_NHAN_SU'!$B113="","",'DM_NHAN_SU'!B113)</f>
        <v/>
      </c>
      <c r="C113" s="145">
        <f>IF('DM_NHAN_SU'!$B113="","",'DM_NHAN_SU'!C113)</f>
        <v/>
      </c>
      <c r="D113" s="234">
        <f>IF(OR('DM_NHAN_SU'!$B113="",'DM_NHAN_SU'!$G113=""),"",'DM_NHAN_SU'!G113)</f>
        <v/>
      </c>
      <c r="E113" s="127" t="n"/>
      <c r="F113" s="222" t="n"/>
      <c r="G113" s="222" t="n"/>
      <c r="H113" s="232">
        <f>IF($B113="","",'NGHI_PHEP'!K113)</f>
        <v/>
      </c>
      <c r="I113" s="227" t="n"/>
      <c r="J113" s="222" t="n"/>
      <c r="K113" s="227" t="n"/>
      <c r="L113" s="224">
        <f>IF(OR($B113="",$E113&lt;&gt;"Có"),0,IF($K113&gt;0,$I113*$J113/$K113,0))</f>
        <v/>
      </c>
      <c r="M113" s="222" t="n"/>
      <c r="N113" s="227" t="n"/>
      <c r="O113" s="224">
        <f>IF(OR($B113="",$E113&lt;&gt;"Có"),0,$M113*$N113*0.5)</f>
        <v/>
      </c>
      <c r="P113" s="222" t="n"/>
      <c r="Q113" s="224">
        <f>IF(OR($B113="",$E113&lt;&gt;"Có"),0,MIN($P113,$O113))</f>
        <v/>
      </c>
      <c r="R113" s="224">
        <f>IF(OR($B113="",$E113&lt;&gt;"Có"),0,MAX($P113-$O113,0))</f>
        <v/>
      </c>
      <c r="S113" s="227" t="n"/>
      <c r="T113" s="224">
        <f>IF(OR($B113="",$E113&lt;&gt;"Có",$S113&lt;=0),0,$M113*MAX($S113,2))</f>
        <v/>
      </c>
      <c r="U113" s="222" t="n"/>
      <c r="V113" s="224">
        <f>IF(OR($B113="",$E113&lt;&gt;"Có"),0,MIN($U113,$T113))</f>
        <v/>
      </c>
      <c r="W113" s="224">
        <f>IF(OR($B113="",$E113&lt;&gt;"Có"),0,MAX($U113-$T113,0))</f>
        <v/>
      </c>
      <c r="X113" s="222" t="n"/>
      <c r="Y113" s="222" t="n"/>
      <c r="Z113" s="222" t="n"/>
      <c r="AA113" s="222" t="n"/>
      <c r="AB113" s="224">
        <f>IF(OR($B113="",$E113&lt;&gt;"Có"),0,SUM($L113,$Q113,$V113,$X113))</f>
        <v/>
      </c>
      <c r="AC113" s="224">
        <f>IF(OR($B113="",$E113&lt;&gt;"Có"),0,SUM($F113,$G113,$R113,$W113,$Y113))</f>
        <v/>
      </c>
      <c r="AD113" s="224">
        <f>IF(OR($B113="",$E113&lt;&gt;"Có"),0,SUM($Z113:$AA113))</f>
        <v/>
      </c>
      <c r="AE113" s="224">
        <f>IF(OR($B113="",$E113&lt;&gt;"Có"),0,$AB113+$AC113-$AD113)</f>
        <v/>
      </c>
      <c r="AF113" s="150">
        <f>IF($B113="","",IF(AND($E113="Có",$D113=""),"Thiếu ngày nghỉ; ","")&amp;IF($I113&gt;MAX($H113,0),"Ngày phép thanh toán vượt số còn lại; ","")&amp;IF(AND($I113&gt;0,OR($J113&lt;=0,$K113&lt;=0)),"Thiếu lương/công chuẩn tháng trước; ","")&amp;IF(AND(SUM($N113,$S113)&gt;0,$M113&lt;=0),"Thiếu bình quân lương 06 tháng; ","")&amp;IF($X113&gt;0,"Bồi thường miễn thuế cần căn cứ và hồ sơ; ","")&amp;IF($AE113&lt;0,"Tổng chi thêm âm; ",""))</f>
        <v/>
      </c>
    </row>
    <row r="114">
      <c r="A114" s="145">
        <f>IF('DM_NHAN_SU'!$B114="","",ROW()-5)</f>
        <v/>
      </c>
      <c r="B114" s="145">
        <f>IF('DM_NHAN_SU'!$B114="","",'DM_NHAN_SU'!B114)</f>
        <v/>
      </c>
      <c r="C114" s="145">
        <f>IF('DM_NHAN_SU'!$B114="","",'DM_NHAN_SU'!C114)</f>
        <v/>
      </c>
      <c r="D114" s="234">
        <f>IF(OR('DM_NHAN_SU'!$B114="",'DM_NHAN_SU'!$G114=""),"",'DM_NHAN_SU'!G114)</f>
        <v/>
      </c>
      <c r="E114" s="127" t="n"/>
      <c r="F114" s="222" t="n"/>
      <c r="G114" s="222" t="n"/>
      <c r="H114" s="232">
        <f>IF($B114="","",'NGHI_PHEP'!K114)</f>
        <v/>
      </c>
      <c r="I114" s="227" t="n"/>
      <c r="J114" s="222" t="n"/>
      <c r="K114" s="227" t="n"/>
      <c r="L114" s="224">
        <f>IF(OR($B114="",$E114&lt;&gt;"Có"),0,IF($K114&gt;0,$I114*$J114/$K114,0))</f>
        <v/>
      </c>
      <c r="M114" s="222" t="n"/>
      <c r="N114" s="227" t="n"/>
      <c r="O114" s="224">
        <f>IF(OR($B114="",$E114&lt;&gt;"Có"),0,$M114*$N114*0.5)</f>
        <v/>
      </c>
      <c r="P114" s="222" t="n"/>
      <c r="Q114" s="224">
        <f>IF(OR($B114="",$E114&lt;&gt;"Có"),0,MIN($P114,$O114))</f>
        <v/>
      </c>
      <c r="R114" s="224">
        <f>IF(OR($B114="",$E114&lt;&gt;"Có"),0,MAX($P114-$O114,0))</f>
        <v/>
      </c>
      <c r="S114" s="227" t="n"/>
      <c r="T114" s="224">
        <f>IF(OR($B114="",$E114&lt;&gt;"Có",$S114&lt;=0),0,$M114*MAX($S114,2))</f>
        <v/>
      </c>
      <c r="U114" s="222" t="n"/>
      <c r="V114" s="224">
        <f>IF(OR($B114="",$E114&lt;&gt;"Có"),0,MIN($U114,$T114))</f>
        <v/>
      </c>
      <c r="W114" s="224">
        <f>IF(OR($B114="",$E114&lt;&gt;"Có"),0,MAX($U114-$T114,0))</f>
        <v/>
      </c>
      <c r="X114" s="222" t="n"/>
      <c r="Y114" s="222" t="n"/>
      <c r="Z114" s="222" t="n"/>
      <c r="AA114" s="222" t="n"/>
      <c r="AB114" s="224">
        <f>IF(OR($B114="",$E114&lt;&gt;"Có"),0,SUM($L114,$Q114,$V114,$X114))</f>
        <v/>
      </c>
      <c r="AC114" s="224">
        <f>IF(OR($B114="",$E114&lt;&gt;"Có"),0,SUM($F114,$G114,$R114,$W114,$Y114))</f>
        <v/>
      </c>
      <c r="AD114" s="224">
        <f>IF(OR($B114="",$E114&lt;&gt;"Có"),0,SUM($Z114:$AA114))</f>
        <v/>
      </c>
      <c r="AE114" s="224">
        <f>IF(OR($B114="",$E114&lt;&gt;"Có"),0,$AB114+$AC114-$AD114)</f>
        <v/>
      </c>
      <c r="AF114" s="150">
        <f>IF($B114="","",IF(AND($E114="Có",$D114=""),"Thiếu ngày nghỉ; ","")&amp;IF($I114&gt;MAX($H114,0),"Ngày phép thanh toán vượt số còn lại; ","")&amp;IF(AND($I114&gt;0,OR($J114&lt;=0,$K114&lt;=0)),"Thiếu lương/công chuẩn tháng trước; ","")&amp;IF(AND(SUM($N114,$S114)&gt;0,$M114&lt;=0),"Thiếu bình quân lương 06 tháng; ","")&amp;IF($X114&gt;0,"Bồi thường miễn thuế cần căn cứ và hồ sơ; ","")&amp;IF($AE114&lt;0,"Tổng chi thêm âm; ",""))</f>
        <v/>
      </c>
    </row>
    <row r="115">
      <c r="A115" s="145">
        <f>IF('DM_NHAN_SU'!$B115="","",ROW()-5)</f>
        <v/>
      </c>
      <c r="B115" s="145">
        <f>IF('DM_NHAN_SU'!$B115="","",'DM_NHAN_SU'!B115)</f>
        <v/>
      </c>
      <c r="C115" s="145">
        <f>IF('DM_NHAN_SU'!$B115="","",'DM_NHAN_SU'!C115)</f>
        <v/>
      </c>
      <c r="D115" s="234">
        <f>IF(OR('DM_NHAN_SU'!$B115="",'DM_NHAN_SU'!$G115=""),"",'DM_NHAN_SU'!G115)</f>
        <v/>
      </c>
      <c r="E115" s="127" t="n"/>
      <c r="F115" s="222" t="n"/>
      <c r="G115" s="222" t="n"/>
      <c r="H115" s="232">
        <f>IF($B115="","",'NGHI_PHEP'!K115)</f>
        <v/>
      </c>
      <c r="I115" s="227" t="n"/>
      <c r="J115" s="222" t="n"/>
      <c r="K115" s="227" t="n"/>
      <c r="L115" s="224">
        <f>IF(OR($B115="",$E115&lt;&gt;"Có"),0,IF($K115&gt;0,$I115*$J115/$K115,0))</f>
        <v/>
      </c>
      <c r="M115" s="222" t="n"/>
      <c r="N115" s="227" t="n"/>
      <c r="O115" s="224">
        <f>IF(OR($B115="",$E115&lt;&gt;"Có"),0,$M115*$N115*0.5)</f>
        <v/>
      </c>
      <c r="P115" s="222" t="n"/>
      <c r="Q115" s="224">
        <f>IF(OR($B115="",$E115&lt;&gt;"Có"),0,MIN($P115,$O115))</f>
        <v/>
      </c>
      <c r="R115" s="224">
        <f>IF(OR($B115="",$E115&lt;&gt;"Có"),0,MAX($P115-$O115,0))</f>
        <v/>
      </c>
      <c r="S115" s="227" t="n"/>
      <c r="T115" s="224">
        <f>IF(OR($B115="",$E115&lt;&gt;"Có",$S115&lt;=0),0,$M115*MAX($S115,2))</f>
        <v/>
      </c>
      <c r="U115" s="222" t="n"/>
      <c r="V115" s="224">
        <f>IF(OR($B115="",$E115&lt;&gt;"Có"),0,MIN($U115,$T115))</f>
        <v/>
      </c>
      <c r="W115" s="224">
        <f>IF(OR($B115="",$E115&lt;&gt;"Có"),0,MAX($U115-$T115,0))</f>
        <v/>
      </c>
      <c r="X115" s="222" t="n"/>
      <c r="Y115" s="222" t="n"/>
      <c r="Z115" s="222" t="n"/>
      <c r="AA115" s="222" t="n"/>
      <c r="AB115" s="224">
        <f>IF(OR($B115="",$E115&lt;&gt;"Có"),0,SUM($L115,$Q115,$V115,$X115))</f>
        <v/>
      </c>
      <c r="AC115" s="224">
        <f>IF(OR($B115="",$E115&lt;&gt;"Có"),0,SUM($F115,$G115,$R115,$W115,$Y115))</f>
        <v/>
      </c>
      <c r="AD115" s="224">
        <f>IF(OR($B115="",$E115&lt;&gt;"Có"),0,SUM($Z115:$AA115))</f>
        <v/>
      </c>
      <c r="AE115" s="224">
        <f>IF(OR($B115="",$E115&lt;&gt;"Có"),0,$AB115+$AC115-$AD115)</f>
        <v/>
      </c>
      <c r="AF115" s="150">
        <f>IF($B115="","",IF(AND($E115="Có",$D115=""),"Thiếu ngày nghỉ; ","")&amp;IF($I115&gt;MAX($H115,0),"Ngày phép thanh toán vượt số còn lại; ","")&amp;IF(AND($I115&gt;0,OR($J115&lt;=0,$K115&lt;=0)),"Thiếu lương/công chuẩn tháng trước; ","")&amp;IF(AND(SUM($N115,$S115)&gt;0,$M115&lt;=0),"Thiếu bình quân lương 06 tháng; ","")&amp;IF($X115&gt;0,"Bồi thường miễn thuế cần căn cứ và hồ sơ; ","")&amp;IF($AE115&lt;0,"Tổng chi thêm âm; ",""))</f>
        <v/>
      </c>
    </row>
    <row r="116">
      <c r="A116" s="145">
        <f>IF('DM_NHAN_SU'!$B116="","",ROW()-5)</f>
        <v/>
      </c>
      <c r="B116" s="145">
        <f>IF('DM_NHAN_SU'!$B116="","",'DM_NHAN_SU'!B116)</f>
        <v/>
      </c>
      <c r="C116" s="145">
        <f>IF('DM_NHAN_SU'!$B116="","",'DM_NHAN_SU'!C116)</f>
        <v/>
      </c>
      <c r="D116" s="234">
        <f>IF(OR('DM_NHAN_SU'!$B116="",'DM_NHAN_SU'!$G116=""),"",'DM_NHAN_SU'!G116)</f>
        <v/>
      </c>
      <c r="E116" s="127" t="n"/>
      <c r="F116" s="222" t="n"/>
      <c r="G116" s="222" t="n"/>
      <c r="H116" s="232">
        <f>IF($B116="","",'NGHI_PHEP'!K116)</f>
        <v/>
      </c>
      <c r="I116" s="227" t="n"/>
      <c r="J116" s="222" t="n"/>
      <c r="K116" s="227" t="n"/>
      <c r="L116" s="224">
        <f>IF(OR($B116="",$E116&lt;&gt;"Có"),0,IF($K116&gt;0,$I116*$J116/$K116,0))</f>
        <v/>
      </c>
      <c r="M116" s="222" t="n"/>
      <c r="N116" s="227" t="n"/>
      <c r="O116" s="224">
        <f>IF(OR($B116="",$E116&lt;&gt;"Có"),0,$M116*$N116*0.5)</f>
        <v/>
      </c>
      <c r="P116" s="222" t="n"/>
      <c r="Q116" s="224">
        <f>IF(OR($B116="",$E116&lt;&gt;"Có"),0,MIN($P116,$O116))</f>
        <v/>
      </c>
      <c r="R116" s="224">
        <f>IF(OR($B116="",$E116&lt;&gt;"Có"),0,MAX($P116-$O116,0))</f>
        <v/>
      </c>
      <c r="S116" s="227" t="n"/>
      <c r="T116" s="224">
        <f>IF(OR($B116="",$E116&lt;&gt;"Có",$S116&lt;=0),0,$M116*MAX($S116,2))</f>
        <v/>
      </c>
      <c r="U116" s="222" t="n"/>
      <c r="V116" s="224">
        <f>IF(OR($B116="",$E116&lt;&gt;"Có"),0,MIN($U116,$T116))</f>
        <v/>
      </c>
      <c r="W116" s="224">
        <f>IF(OR($B116="",$E116&lt;&gt;"Có"),0,MAX($U116-$T116,0))</f>
        <v/>
      </c>
      <c r="X116" s="222" t="n"/>
      <c r="Y116" s="222" t="n"/>
      <c r="Z116" s="222" t="n"/>
      <c r="AA116" s="222" t="n"/>
      <c r="AB116" s="224">
        <f>IF(OR($B116="",$E116&lt;&gt;"Có"),0,SUM($L116,$Q116,$V116,$X116))</f>
        <v/>
      </c>
      <c r="AC116" s="224">
        <f>IF(OR($B116="",$E116&lt;&gt;"Có"),0,SUM($F116,$G116,$R116,$W116,$Y116))</f>
        <v/>
      </c>
      <c r="AD116" s="224">
        <f>IF(OR($B116="",$E116&lt;&gt;"Có"),0,SUM($Z116:$AA116))</f>
        <v/>
      </c>
      <c r="AE116" s="224">
        <f>IF(OR($B116="",$E116&lt;&gt;"Có"),0,$AB116+$AC116-$AD116)</f>
        <v/>
      </c>
      <c r="AF116" s="150">
        <f>IF($B116="","",IF(AND($E116="Có",$D116=""),"Thiếu ngày nghỉ; ","")&amp;IF($I116&gt;MAX($H116,0),"Ngày phép thanh toán vượt số còn lại; ","")&amp;IF(AND($I116&gt;0,OR($J116&lt;=0,$K116&lt;=0)),"Thiếu lương/công chuẩn tháng trước; ","")&amp;IF(AND(SUM($N116,$S116)&gt;0,$M116&lt;=0),"Thiếu bình quân lương 06 tháng; ","")&amp;IF($X116&gt;0,"Bồi thường miễn thuế cần căn cứ và hồ sơ; ","")&amp;IF($AE116&lt;0,"Tổng chi thêm âm; ",""))</f>
        <v/>
      </c>
    </row>
    <row r="117">
      <c r="A117" s="145">
        <f>IF('DM_NHAN_SU'!$B117="","",ROW()-5)</f>
        <v/>
      </c>
      <c r="B117" s="145">
        <f>IF('DM_NHAN_SU'!$B117="","",'DM_NHAN_SU'!B117)</f>
        <v/>
      </c>
      <c r="C117" s="145">
        <f>IF('DM_NHAN_SU'!$B117="","",'DM_NHAN_SU'!C117)</f>
        <v/>
      </c>
      <c r="D117" s="234">
        <f>IF(OR('DM_NHAN_SU'!$B117="",'DM_NHAN_SU'!$G117=""),"",'DM_NHAN_SU'!G117)</f>
        <v/>
      </c>
      <c r="E117" s="127" t="n"/>
      <c r="F117" s="222" t="n"/>
      <c r="G117" s="222" t="n"/>
      <c r="H117" s="232">
        <f>IF($B117="","",'NGHI_PHEP'!K117)</f>
        <v/>
      </c>
      <c r="I117" s="227" t="n"/>
      <c r="J117" s="222" t="n"/>
      <c r="K117" s="227" t="n"/>
      <c r="L117" s="224">
        <f>IF(OR($B117="",$E117&lt;&gt;"Có"),0,IF($K117&gt;0,$I117*$J117/$K117,0))</f>
        <v/>
      </c>
      <c r="M117" s="222" t="n"/>
      <c r="N117" s="227" t="n"/>
      <c r="O117" s="224">
        <f>IF(OR($B117="",$E117&lt;&gt;"Có"),0,$M117*$N117*0.5)</f>
        <v/>
      </c>
      <c r="P117" s="222" t="n"/>
      <c r="Q117" s="224">
        <f>IF(OR($B117="",$E117&lt;&gt;"Có"),0,MIN($P117,$O117))</f>
        <v/>
      </c>
      <c r="R117" s="224">
        <f>IF(OR($B117="",$E117&lt;&gt;"Có"),0,MAX($P117-$O117,0))</f>
        <v/>
      </c>
      <c r="S117" s="227" t="n"/>
      <c r="T117" s="224">
        <f>IF(OR($B117="",$E117&lt;&gt;"Có",$S117&lt;=0),0,$M117*MAX($S117,2))</f>
        <v/>
      </c>
      <c r="U117" s="222" t="n"/>
      <c r="V117" s="224">
        <f>IF(OR($B117="",$E117&lt;&gt;"Có"),0,MIN($U117,$T117))</f>
        <v/>
      </c>
      <c r="W117" s="224">
        <f>IF(OR($B117="",$E117&lt;&gt;"Có"),0,MAX($U117-$T117,0))</f>
        <v/>
      </c>
      <c r="X117" s="222" t="n"/>
      <c r="Y117" s="222" t="n"/>
      <c r="Z117" s="222" t="n"/>
      <c r="AA117" s="222" t="n"/>
      <c r="AB117" s="224">
        <f>IF(OR($B117="",$E117&lt;&gt;"Có"),0,SUM($L117,$Q117,$V117,$X117))</f>
        <v/>
      </c>
      <c r="AC117" s="224">
        <f>IF(OR($B117="",$E117&lt;&gt;"Có"),0,SUM($F117,$G117,$R117,$W117,$Y117))</f>
        <v/>
      </c>
      <c r="AD117" s="224">
        <f>IF(OR($B117="",$E117&lt;&gt;"Có"),0,SUM($Z117:$AA117))</f>
        <v/>
      </c>
      <c r="AE117" s="224">
        <f>IF(OR($B117="",$E117&lt;&gt;"Có"),0,$AB117+$AC117-$AD117)</f>
        <v/>
      </c>
      <c r="AF117" s="150">
        <f>IF($B117="","",IF(AND($E117="Có",$D117=""),"Thiếu ngày nghỉ; ","")&amp;IF($I117&gt;MAX($H117,0),"Ngày phép thanh toán vượt số còn lại; ","")&amp;IF(AND($I117&gt;0,OR($J117&lt;=0,$K117&lt;=0)),"Thiếu lương/công chuẩn tháng trước; ","")&amp;IF(AND(SUM($N117,$S117)&gt;0,$M117&lt;=0),"Thiếu bình quân lương 06 tháng; ","")&amp;IF($X117&gt;0,"Bồi thường miễn thuế cần căn cứ và hồ sơ; ","")&amp;IF($AE117&lt;0,"Tổng chi thêm âm; ",""))</f>
        <v/>
      </c>
    </row>
    <row r="118">
      <c r="A118" s="145">
        <f>IF('DM_NHAN_SU'!$B118="","",ROW()-5)</f>
        <v/>
      </c>
      <c r="B118" s="145">
        <f>IF('DM_NHAN_SU'!$B118="","",'DM_NHAN_SU'!B118)</f>
        <v/>
      </c>
      <c r="C118" s="145">
        <f>IF('DM_NHAN_SU'!$B118="","",'DM_NHAN_SU'!C118)</f>
        <v/>
      </c>
      <c r="D118" s="234">
        <f>IF(OR('DM_NHAN_SU'!$B118="",'DM_NHAN_SU'!$G118=""),"",'DM_NHAN_SU'!G118)</f>
        <v/>
      </c>
      <c r="E118" s="127" t="n"/>
      <c r="F118" s="222" t="n"/>
      <c r="G118" s="222" t="n"/>
      <c r="H118" s="232">
        <f>IF($B118="","",'NGHI_PHEP'!K118)</f>
        <v/>
      </c>
      <c r="I118" s="227" t="n"/>
      <c r="J118" s="222" t="n"/>
      <c r="K118" s="227" t="n"/>
      <c r="L118" s="224">
        <f>IF(OR($B118="",$E118&lt;&gt;"Có"),0,IF($K118&gt;0,$I118*$J118/$K118,0))</f>
        <v/>
      </c>
      <c r="M118" s="222" t="n"/>
      <c r="N118" s="227" t="n"/>
      <c r="O118" s="224">
        <f>IF(OR($B118="",$E118&lt;&gt;"Có"),0,$M118*$N118*0.5)</f>
        <v/>
      </c>
      <c r="P118" s="222" t="n"/>
      <c r="Q118" s="224">
        <f>IF(OR($B118="",$E118&lt;&gt;"Có"),0,MIN($P118,$O118))</f>
        <v/>
      </c>
      <c r="R118" s="224">
        <f>IF(OR($B118="",$E118&lt;&gt;"Có"),0,MAX($P118-$O118,0))</f>
        <v/>
      </c>
      <c r="S118" s="227" t="n"/>
      <c r="T118" s="224">
        <f>IF(OR($B118="",$E118&lt;&gt;"Có",$S118&lt;=0),0,$M118*MAX($S118,2))</f>
        <v/>
      </c>
      <c r="U118" s="222" t="n"/>
      <c r="V118" s="224">
        <f>IF(OR($B118="",$E118&lt;&gt;"Có"),0,MIN($U118,$T118))</f>
        <v/>
      </c>
      <c r="W118" s="224">
        <f>IF(OR($B118="",$E118&lt;&gt;"Có"),0,MAX($U118-$T118,0))</f>
        <v/>
      </c>
      <c r="X118" s="222" t="n"/>
      <c r="Y118" s="222" t="n"/>
      <c r="Z118" s="222" t="n"/>
      <c r="AA118" s="222" t="n"/>
      <c r="AB118" s="224">
        <f>IF(OR($B118="",$E118&lt;&gt;"Có"),0,SUM($L118,$Q118,$V118,$X118))</f>
        <v/>
      </c>
      <c r="AC118" s="224">
        <f>IF(OR($B118="",$E118&lt;&gt;"Có"),0,SUM($F118,$G118,$R118,$W118,$Y118))</f>
        <v/>
      </c>
      <c r="AD118" s="224">
        <f>IF(OR($B118="",$E118&lt;&gt;"Có"),0,SUM($Z118:$AA118))</f>
        <v/>
      </c>
      <c r="AE118" s="224">
        <f>IF(OR($B118="",$E118&lt;&gt;"Có"),0,$AB118+$AC118-$AD118)</f>
        <v/>
      </c>
      <c r="AF118" s="150">
        <f>IF($B118="","",IF(AND($E118="Có",$D118=""),"Thiếu ngày nghỉ; ","")&amp;IF($I118&gt;MAX($H118,0),"Ngày phép thanh toán vượt số còn lại; ","")&amp;IF(AND($I118&gt;0,OR($J118&lt;=0,$K118&lt;=0)),"Thiếu lương/công chuẩn tháng trước; ","")&amp;IF(AND(SUM($N118,$S118)&gt;0,$M118&lt;=0),"Thiếu bình quân lương 06 tháng; ","")&amp;IF($X118&gt;0,"Bồi thường miễn thuế cần căn cứ và hồ sơ; ","")&amp;IF($AE118&lt;0,"Tổng chi thêm âm; ",""))</f>
        <v/>
      </c>
    </row>
    <row r="119">
      <c r="A119" s="145">
        <f>IF('DM_NHAN_SU'!$B119="","",ROW()-5)</f>
        <v/>
      </c>
      <c r="B119" s="145">
        <f>IF('DM_NHAN_SU'!$B119="","",'DM_NHAN_SU'!B119)</f>
        <v/>
      </c>
      <c r="C119" s="145">
        <f>IF('DM_NHAN_SU'!$B119="","",'DM_NHAN_SU'!C119)</f>
        <v/>
      </c>
      <c r="D119" s="234">
        <f>IF(OR('DM_NHAN_SU'!$B119="",'DM_NHAN_SU'!$G119=""),"",'DM_NHAN_SU'!G119)</f>
        <v/>
      </c>
      <c r="E119" s="127" t="n"/>
      <c r="F119" s="222" t="n"/>
      <c r="G119" s="222" t="n"/>
      <c r="H119" s="232">
        <f>IF($B119="","",'NGHI_PHEP'!K119)</f>
        <v/>
      </c>
      <c r="I119" s="227" t="n"/>
      <c r="J119" s="222" t="n"/>
      <c r="K119" s="227" t="n"/>
      <c r="L119" s="224">
        <f>IF(OR($B119="",$E119&lt;&gt;"Có"),0,IF($K119&gt;0,$I119*$J119/$K119,0))</f>
        <v/>
      </c>
      <c r="M119" s="222" t="n"/>
      <c r="N119" s="227" t="n"/>
      <c r="O119" s="224">
        <f>IF(OR($B119="",$E119&lt;&gt;"Có"),0,$M119*$N119*0.5)</f>
        <v/>
      </c>
      <c r="P119" s="222" t="n"/>
      <c r="Q119" s="224">
        <f>IF(OR($B119="",$E119&lt;&gt;"Có"),0,MIN($P119,$O119))</f>
        <v/>
      </c>
      <c r="R119" s="224">
        <f>IF(OR($B119="",$E119&lt;&gt;"Có"),0,MAX($P119-$O119,0))</f>
        <v/>
      </c>
      <c r="S119" s="227" t="n"/>
      <c r="T119" s="224">
        <f>IF(OR($B119="",$E119&lt;&gt;"Có",$S119&lt;=0),0,$M119*MAX($S119,2))</f>
        <v/>
      </c>
      <c r="U119" s="222" t="n"/>
      <c r="V119" s="224">
        <f>IF(OR($B119="",$E119&lt;&gt;"Có"),0,MIN($U119,$T119))</f>
        <v/>
      </c>
      <c r="W119" s="224">
        <f>IF(OR($B119="",$E119&lt;&gt;"Có"),0,MAX($U119-$T119,0))</f>
        <v/>
      </c>
      <c r="X119" s="222" t="n"/>
      <c r="Y119" s="222" t="n"/>
      <c r="Z119" s="222" t="n"/>
      <c r="AA119" s="222" t="n"/>
      <c r="AB119" s="224">
        <f>IF(OR($B119="",$E119&lt;&gt;"Có"),0,SUM($L119,$Q119,$V119,$X119))</f>
        <v/>
      </c>
      <c r="AC119" s="224">
        <f>IF(OR($B119="",$E119&lt;&gt;"Có"),0,SUM($F119,$G119,$R119,$W119,$Y119))</f>
        <v/>
      </c>
      <c r="AD119" s="224">
        <f>IF(OR($B119="",$E119&lt;&gt;"Có"),0,SUM($Z119:$AA119))</f>
        <v/>
      </c>
      <c r="AE119" s="224">
        <f>IF(OR($B119="",$E119&lt;&gt;"Có"),0,$AB119+$AC119-$AD119)</f>
        <v/>
      </c>
      <c r="AF119" s="150">
        <f>IF($B119="","",IF(AND($E119="Có",$D119=""),"Thiếu ngày nghỉ; ","")&amp;IF($I119&gt;MAX($H119,0),"Ngày phép thanh toán vượt số còn lại; ","")&amp;IF(AND($I119&gt;0,OR($J119&lt;=0,$K119&lt;=0)),"Thiếu lương/công chuẩn tháng trước; ","")&amp;IF(AND(SUM($N119,$S119)&gt;0,$M119&lt;=0),"Thiếu bình quân lương 06 tháng; ","")&amp;IF($X119&gt;0,"Bồi thường miễn thuế cần căn cứ và hồ sơ; ","")&amp;IF($AE119&lt;0,"Tổng chi thêm âm; ",""))</f>
        <v/>
      </c>
    </row>
    <row r="120">
      <c r="A120" s="145">
        <f>IF('DM_NHAN_SU'!$B120="","",ROW()-5)</f>
        <v/>
      </c>
      <c r="B120" s="145">
        <f>IF('DM_NHAN_SU'!$B120="","",'DM_NHAN_SU'!B120)</f>
        <v/>
      </c>
      <c r="C120" s="145">
        <f>IF('DM_NHAN_SU'!$B120="","",'DM_NHAN_SU'!C120)</f>
        <v/>
      </c>
      <c r="D120" s="234">
        <f>IF(OR('DM_NHAN_SU'!$B120="",'DM_NHAN_SU'!$G120=""),"",'DM_NHAN_SU'!G120)</f>
        <v/>
      </c>
      <c r="E120" s="127" t="n"/>
      <c r="F120" s="222" t="n"/>
      <c r="G120" s="222" t="n"/>
      <c r="H120" s="232">
        <f>IF($B120="","",'NGHI_PHEP'!K120)</f>
        <v/>
      </c>
      <c r="I120" s="227" t="n"/>
      <c r="J120" s="222" t="n"/>
      <c r="K120" s="227" t="n"/>
      <c r="L120" s="224">
        <f>IF(OR($B120="",$E120&lt;&gt;"Có"),0,IF($K120&gt;0,$I120*$J120/$K120,0))</f>
        <v/>
      </c>
      <c r="M120" s="222" t="n"/>
      <c r="N120" s="227" t="n"/>
      <c r="O120" s="224">
        <f>IF(OR($B120="",$E120&lt;&gt;"Có"),0,$M120*$N120*0.5)</f>
        <v/>
      </c>
      <c r="P120" s="222" t="n"/>
      <c r="Q120" s="224">
        <f>IF(OR($B120="",$E120&lt;&gt;"Có"),0,MIN($P120,$O120))</f>
        <v/>
      </c>
      <c r="R120" s="224">
        <f>IF(OR($B120="",$E120&lt;&gt;"Có"),0,MAX($P120-$O120,0))</f>
        <v/>
      </c>
      <c r="S120" s="227" t="n"/>
      <c r="T120" s="224">
        <f>IF(OR($B120="",$E120&lt;&gt;"Có",$S120&lt;=0),0,$M120*MAX($S120,2))</f>
        <v/>
      </c>
      <c r="U120" s="222" t="n"/>
      <c r="V120" s="224">
        <f>IF(OR($B120="",$E120&lt;&gt;"Có"),0,MIN($U120,$T120))</f>
        <v/>
      </c>
      <c r="W120" s="224">
        <f>IF(OR($B120="",$E120&lt;&gt;"Có"),0,MAX($U120-$T120,0))</f>
        <v/>
      </c>
      <c r="X120" s="222" t="n"/>
      <c r="Y120" s="222" t="n"/>
      <c r="Z120" s="222" t="n"/>
      <c r="AA120" s="222" t="n"/>
      <c r="AB120" s="224">
        <f>IF(OR($B120="",$E120&lt;&gt;"Có"),0,SUM($L120,$Q120,$V120,$X120))</f>
        <v/>
      </c>
      <c r="AC120" s="224">
        <f>IF(OR($B120="",$E120&lt;&gt;"Có"),0,SUM($F120,$G120,$R120,$W120,$Y120))</f>
        <v/>
      </c>
      <c r="AD120" s="224">
        <f>IF(OR($B120="",$E120&lt;&gt;"Có"),0,SUM($Z120:$AA120))</f>
        <v/>
      </c>
      <c r="AE120" s="224">
        <f>IF(OR($B120="",$E120&lt;&gt;"Có"),0,$AB120+$AC120-$AD120)</f>
        <v/>
      </c>
      <c r="AF120" s="150">
        <f>IF($B120="","",IF(AND($E120="Có",$D120=""),"Thiếu ngày nghỉ; ","")&amp;IF($I120&gt;MAX($H120,0),"Ngày phép thanh toán vượt số còn lại; ","")&amp;IF(AND($I120&gt;0,OR($J120&lt;=0,$K120&lt;=0)),"Thiếu lương/công chuẩn tháng trước; ","")&amp;IF(AND(SUM($N120,$S120)&gt;0,$M120&lt;=0),"Thiếu bình quân lương 06 tháng; ","")&amp;IF($X120&gt;0,"Bồi thường miễn thuế cần căn cứ và hồ sơ; ","")&amp;IF($AE120&lt;0,"Tổng chi thêm âm; ",""))</f>
        <v/>
      </c>
    </row>
    <row r="121">
      <c r="A121" s="145">
        <f>IF('DM_NHAN_SU'!$B121="","",ROW()-5)</f>
        <v/>
      </c>
      <c r="B121" s="145">
        <f>IF('DM_NHAN_SU'!$B121="","",'DM_NHAN_SU'!B121)</f>
        <v/>
      </c>
      <c r="C121" s="145">
        <f>IF('DM_NHAN_SU'!$B121="","",'DM_NHAN_SU'!C121)</f>
        <v/>
      </c>
      <c r="D121" s="234">
        <f>IF(OR('DM_NHAN_SU'!$B121="",'DM_NHAN_SU'!$G121=""),"",'DM_NHAN_SU'!G121)</f>
        <v/>
      </c>
      <c r="E121" s="127" t="n"/>
      <c r="F121" s="222" t="n"/>
      <c r="G121" s="222" t="n"/>
      <c r="H121" s="232">
        <f>IF($B121="","",'NGHI_PHEP'!K121)</f>
        <v/>
      </c>
      <c r="I121" s="227" t="n"/>
      <c r="J121" s="222" t="n"/>
      <c r="K121" s="227" t="n"/>
      <c r="L121" s="224">
        <f>IF(OR($B121="",$E121&lt;&gt;"Có"),0,IF($K121&gt;0,$I121*$J121/$K121,0))</f>
        <v/>
      </c>
      <c r="M121" s="222" t="n"/>
      <c r="N121" s="227" t="n"/>
      <c r="O121" s="224">
        <f>IF(OR($B121="",$E121&lt;&gt;"Có"),0,$M121*$N121*0.5)</f>
        <v/>
      </c>
      <c r="P121" s="222" t="n"/>
      <c r="Q121" s="224">
        <f>IF(OR($B121="",$E121&lt;&gt;"Có"),0,MIN($P121,$O121))</f>
        <v/>
      </c>
      <c r="R121" s="224">
        <f>IF(OR($B121="",$E121&lt;&gt;"Có"),0,MAX($P121-$O121,0))</f>
        <v/>
      </c>
      <c r="S121" s="227" t="n"/>
      <c r="T121" s="224">
        <f>IF(OR($B121="",$E121&lt;&gt;"Có",$S121&lt;=0),0,$M121*MAX($S121,2))</f>
        <v/>
      </c>
      <c r="U121" s="222" t="n"/>
      <c r="V121" s="224">
        <f>IF(OR($B121="",$E121&lt;&gt;"Có"),0,MIN($U121,$T121))</f>
        <v/>
      </c>
      <c r="W121" s="224">
        <f>IF(OR($B121="",$E121&lt;&gt;"Có"),0,MAX($U121-$T121,0))</f>
        <v/>
      </c>
      <c r="X121" s="222" t="n"/>
      <c r="Y121" s="222" t="n"/>
      <c r="Z121" s="222" t="n"/>
      <c r="AA121" s="222" t="n"/>
      <c r="AB121" s="224">
        <f>IF(OR($B121="",$E121&lt;&gt;"Có"),0,SUM($L121,$Q121,$V121,$X121))</f>
        <v/>
      </c>
      <c r="AC121" s="224">
        <f>IF(OR($B121="",$E121&lt;&gt;"Có"),0,SUM($F121,$G121,$R121,$W121,$Y121))</f>
        <v/>
      </c>
      <c r="AD121" s="224">
        <f>IF(OR($B121="",$E121&lt;&gt;"Có"),0,SUM($Z121:$AA121))</f>
        <v/>
      </c>
      <c r="AE121" s="224">
        <f>IF(OR($B121="",$E121&lt;&gt;"Có"),0,$AB121+$AC121-$AD121)</f>
        <v/>
      </c>
      <c r="AF121" s="150">
        <f>IF($B121="","",IF(AND($E121="Có",$D121=""),"Thiếu ngày nghỉ; ","")&amp;IF($I121&gt;MAX($H121,0),"Ngày phép thanh toán vượt số còn lại; ","")&amp;IF(AND($I121&gt;0,OR($J121&lt;=0,$K121&lt;=0)),"Thiếu lương/công chuẩn tháng trước; ","")&amp;IF(AND(SUM($N121,$S121)&gt;0,$M121&lt;=0),"Thiếu bình quân lương 06 tháng; ","")&amp;IF($X121&gt;0,"Bồi thường miễn thuế cần căn cứ và hồ sơ; ","")&amp;IF($AE121&lt;0,"Tổng chi thêm âm; ",""))</f>
        <v/>
      </c>
    </row>
    <row r="122">
      <c r="A122" s="145">
        <f>IF('DM_NHAN_SU'!$B122="","",ROW()-5)</f>
        <v/>
      </c>
      <c r="B122" s="145">
        <f>IF('DM_NHAN_SU'!$B122="","",'DM_NHAN_SU'!B122)</f>
        <v/>
      </c>
      <c r="C122" s="145">
        <f>IF('DM_NHAN_SU'!$B122="","",'DM_NHAN_SU'!C122)</f>
        <v/>
      </c>
      <c r="D122" s="234">
        <f>IF(OR('DM_NHAN_SU'!$B122="",'DM_NHAN_SU'!$G122=""),"",'DM_NHAN_SU'!G122)</f>
        <v/>
      </c>
      <c r="E122" s="127" t="n"/>
      <c r="F122" s="222" t="n"/>
      <c r="G122" s="222" t="n"/>
      <c r="H122" s="232">
        <f>IF($B122="","",'NGHI_PHEP'!K122)</f>
        <v/>
      </c>
      <c r="I122" s="227" t="n"/>
      <c r="J122" s="222" t="n"/>
      <c r="K122" s="227" t="n"/>
      <c r="L122" s="224">
        <f>IF(OR($B122="",$E122&lt;&gt;"Có"),0,IF($K122&gt;0,$I122*$J122/$K122,0))</f>
        <v/>
      </c>
      <c r="M122" s="222" t="n"/>
      <c r="N122" s="227" t="n"/>
      <c r="O122" s="224">
        <f>IF(OR($B122="",$E122&lt;&gt;"Có"),0,$M122*$N122*0.5)</f>
        <v/>
      </c>
      <c r="P122" s="222" t="n"/>
      <c r="Q122" s="224">
        <f>IF(OR($B122="",$E122&lt;&gt;"Có"),0,MIN($P122,$O122))</f>
        <v/>
      </c>
      <c r="R122" s="224">
        <f>IF(OR($B122="",$E122&lt;&gt;"Có"),0,MAX($P122-$O122,0))</f>
        <v/>
      </c>
      <c r="S122" s="227" t="n"/>
      <c r="T122" s="224">
        <f>IF(OR($B122="",$E122&lt;&gt;"Có",$S122&lt;=0),0,$M122*MAX($S122,2))</f>
        <v/>
      </c>
      <c r="U122" s="222" t="n"/>
      <c r="V122" s="224">
        <f>IF(OR($B122="",$E122&lt;&gt;"Có"),0,MIN($U122,$T122))</f>
        <v/>
      </c>
      <c r="W122" s="224">
        <f>IF(OR($B122="",$E122&lt;&gt;"Có"),0,MAX($U122-$T122,0))</f>
        <v/>
      </c>
      <c r="X122" s="222" t="n"/>
      <c r="Y122" s="222" t="n"/>
      <c r="Z122" s="222" t="n"/>
      <c r="AA122" s="222" t="n"/>
      <c r="AB122" s="224">
        <f>IF(OR($B122="",$E122&lt;&gt;"Có"),0,SUM($L122,$Q122,$V122,$X122))</f>
        <v/>
      </c>
      <c r="AC122" s="224">
        <f>IF(OR($B122="",$E122&lt;&gt;"Có"),0,SUM($F122,$G122,$R122,$W122,$Y122))</f>
        <v/>
      </c>
      <c r="AD122" s="224">
        <f>IF(OR($B122="",$E122&lt;&gt;"Có"),0,SUM($Z122:$AA122))</f>
        <v/>
      </c>
      <c r="AE122" s="224">
        <f>IF(OR($B122="",$E122&lt;&gt;"Có"),0,$AB122+$AC122-$AD122)</f>
        <v/>
      </c>
      <c r="AF122" s="150">
        <f>IF($B122="","",IF(AND($E122="Có",$D122=""),"Thiếu ngày nghỉ; ","")&amp;IF($I122&gt;MAX($H122,0),"Ngày phép thanh toán vượt số còn lại; ","")&amp;IF(AND($I122&gt;0,OR($J122&lt;=0,$K122&lt;=0)),"Thiếu lương/công chuẩn tháng trước; ","")&amp;IF(AND(SUM($N122,$S122)&gt;0,$M122&lt;=0),"Thiếu bình quân lương 06 tháng; ","")&amp;IF($X122&gt;0,"Bồi thường miễn thuế cần căn cứ và hồ sơ; ","")&amp;IF($AE122&lt;0,"Tổng chi thêm âm; ",""))</f>
        <v/>
      </c>
    </row>
    <row r="123">
      <c r="A123" s="145">
        <f>IF('DM_NHAN_SU'!$B123="","",ROW()-5)</f>
        <v/>
      </c>
      <c r="B123" s="145">
        <f>IF('DM_NHAN_SU'!$B123="","",'DM_NHAN_SU'!B123)</f>
        <v/>
      </c>
      <c r="C123" s="145">
        <f>IF('DM_NHAN_SU'!$B123="","",'DM_NHAN_SU'!C123)</f>
        <v/>
      </c>
      <c r="D123" s="234">
        <f>IF(OR('DM_NHAN_SU'!$B123="",'DM_NHAN_SU'!$G123=""),"",'DM_NHAN_SU'!G123)</f>
        <v/>
      </c>
      <c r="E123" s="127" t="n"/>
      <c r="F123" s="222" t="n"/>
      <c r="G123" s="222" t="n"/>
      <c r="H123" s="232">
        <f>IF($B123="","",'NGHI_PHEP'!K123)</f>
        <v/>
      </c>
      <c r="I123" s="227" t="n"/>
      <c r="J123" s="222" t="n"/>
      <c r="K123" s="227" t="n"/>
      <c r="L123" s="224">
        <f>IF(OR($B123="",$E123&lt;&gt;"Có"),0,IF($K123&gt;0,$I123*$J123/$K123,0))</f>
        <v/>
      </c>
      <c r="M123" s="222" t="n"/>
      <c r="N123" s="227" t="n"/>
      <c r="O123" s="224">
        <f>IF(OR($B123="",$E123&lt;&gt;"Có"),0,$M123*$N123*0.5)</f>
        <v/>
      </c>
      <c r="P123" s="222" t="n"/>
      <c r="Q123" s="224">
        <f>IF(OR($B123="",$E123&lt;&gt;"Có"),0,MIN($P123,$O123))</f>
        <v/>
      </c>
      <c r="R123" s="224">
        <f>IF(OR($B123="",$E123&lt;&gt;"Có"),0,MAX($P123-$O123,0))</f>
        <v/>
      </c>
      <c r="S123" s="227" t="n"/>
      <c r="T123" s="224">
        <f>IF(OR($B123="",$E123&lt;&gt;"Có",$S123&lt;=0),0,$M123*MAX($S123,2))</f>
        <v/>
      </c>
      <c r="U123" s="222" t="n"/>
      <c r="V123" s="224">
        <f>IF(OR($B123="",$E123&lt;&gt;"Có"),0,MIN($U123,$T123))</f>
        <v/>
      </c>
      <c r="W123" s="224">
        <f>IF(OR($B123="",$E123&lt;&gt;"Có"),0,MAX($U123-$T123,0))</f>
        <v/>
      </c>
      <c r="X123" s="222" t="n"/>
      <c r="Y123" s="222" t="n"/>
      <c r="Z123" s="222" t="n"/>
      <c r="AA123" s="222" t="n"/>
      <c r="AB123" s="224">
        <f>IF(OR($B123="",$E123&lt;&gt;"Có"),0,SUM($L123,$Q123,$V123,$X123))</f>
        <v/>
      </c>
      <c r="AC123" s="224">
        <f>IF(OR($B123="",$E123&lt;&gt;"Có"),0,SUM($F123,$G123,$R123,$W123,$Y123))</f>
        <v/>
      </c>
      <c r="AD123" s="224">
        <f>IF(OR($B123="",$E123&lt;&gt;"Có"),0,SUM($Z123:$AA123))</f>
        <v/>
      </c>
      <c r="AE123" s="224">
        <f>IF(OR($B123="",$E123&lt;&gt;"Có"),0,$AB123+$AC123-$AD123)</f>
        <v/>
      </c>
      <c r="AF123" s="150">
        <f>IF($B123="","",IF(AND($E123="Có",$D123=""),"Thiếu ngày nghỉ; ","")&amp;IF($I123&gt;MAX($H123,0),"Ngày phép thanh toán vượt số còn lại; ","")&amp;IF(AND($I123&gt;0,OR($J123&lt;=0,$K123&lt;=0)),"Thiếu lương/công chuẩn tháng trước; ","")&amp;IF(AND(SUM($N123,$S123)&gt;0,$M123&lt;=0),"Thiếu bình quân lương 06 tháng; ","")&amp;IF($X123&gt;0,"Bồi thường miễn thuế cần căn cứ và hồ sơ; ","")&amp;IF($AE123&lt;0,"Tổng chi thêm âm; ",""))</f>
        <v/>
      </c>
    </row>
    <row r="124">
      <c r="A124" s="145">
        <f>IF('DM_NHAN_SU'!$B124="","",ROW()-5)</f>
        <v/>
      </c>
      <c r="B124" s="145">
        <f>IF('DM_NHAN_SU'!$B124="","",'DM_NHAN_SU'!B124)</f>
        <v/>
      </c>
      <c r="C124" s="145">
        <f>IF('DM_NHAN_SU'!$B124="","",'DM_NHAN_SU'!C124)</f>
        <v/>
      </c>
      <c r="D124" s="234">
        <f>IF(OR('DM_NHAN_SU'!$B124="",'DM_NHAN_SU'!$G124=""),"",'DM_NHAN_SU'!G124)</f>
        <v/>
      </c>
      <c r="E124" s="127" t="n"/>
      <c r="F124" s="222" t="n"/>
      <c r="G124" s="222" t="n"/>
      <c r="H124" s="232">
        <f>IF($B124="","",'NGHI_PHEP'!K124)</f>
        <v/>
      </c>
      <c r="I124" s="227" t="n"/>
      <c r="J124" s="222" t="n"/>
      <c r="K124" s="227" t="n"/>
      <c r="L124" s="224">
        <f>IF(OR($B124="",$E124&lt;&gt;"Có"),0,IF($K124&gt;0,$I124*$J124/$K124,0))</f>
        <v/>
      </c>
      <c r="M124" s="222" t="n"/>
      <c r="N124" s="227" t="n"/>
      <c r="O124" s="224">
        <f>IF(OR($B124="",$E124&lt;&gt;"Có"),0,$M124*$N124*0.5)</f>
        <v/>
      </c>
      <c r="P124" s="222" t="n"/>
      <c r="Q124" s="224">
        <f>IF(OR($B124="",$E124&lt;&gt;"Có"),0,MIN($P124,$O124))</f>
        <v/>
      </c>
      <c r="R124" s="224">
        <f>IF(OR($B124="",$E124&lt;&gt;"Có"),0,MAX($P124-$O124,0))</f>
        <v/>
      </c>
      <c r="S124" s="227" t="n"/>
      <c r="T124" s="224">
        <f>IF(OR($B124="",$E124&lt;&gt;"Có",$S124&lt;=0),0,$M124*MAX($S124,2))</f>
        <v/>
      </c>
      <c r="U124" s="222" t="n"/>
      <c r="V124" s="224">
        <f>IF(OR($B124="",$E124&lt;&gt;"Có"),0,MIN($U124,$T124))</f>
        <v/>
      </c>
      <c r="W124" s="224">
        <f>IF(OR($B124="",$E124&lt;&gt;"Có"),0,MAX($U124-$T124,0))</f>
        <v/>
      </c>
      <c r="X124" s="222" t="n"/>
      <c r="Y124" s="222" t="n"/>
      <c r="Z124" s="222" t="n"/>
      <c r="AA124" s="222" t="n"/>
      <c r="AB124" s="224">
        <f>IF(OR($B124="",$E124&lt;&gt;"Có"),0,SUM($L124,$Q124,$V124,$X124))</f>
        <v/>
      </c>
      <c r="AC124" s="224">
        <f>IF(OR($B124="",$E124&lt;&gt;"Có"),0,SUM($F124,$G124,$R124,$W124,$Y124))</f>
        <v/>
      </c>
      <c r="AD124" s="224">
        <f>IF(OR($B124="",$E124&lt;&gt;"Có"),0,SUM($Z124:$AA124))</f>
        <v/>
      </c>
      <c r="AE124" s="224">
        <f>IF(OR($B124="",$E124&lt;&gt;"Có"),0,$AB124+$AC124-$AD124)</f>
        <v/>
      </c>
      <c r="AF124" s="150">
        <f>IF($B124="","",IF(AND($E124="Có",$D124=""),"Thiếu ngày nghỉ; ","")&amp;IF($I124&gt;MAX($H124,0),"Ngày phép thanh toán vượt số còn lại; ","")&amp;IF(AND($I124&gt;0,OR($J124&lt;=0,$K124&lt;=0)),"Thiếu lương/công chuẩn tháng trước; ","")&amp;IF(AND(SUM($N124,$S124)&gt;0,$M124&lt;=0),"Thiếu bình quân lương 06 tháng; ","")&amp;IF($X124&gt;0,"Bồi thường miễn thuế cần căn cứ và hồ sơ; ","")&amp;IF($AE124&lt;0,"Tổng chi thêm âm; ",""))</f>
        <v/>
      </c>
    </row>
    <row r="125">
      <c r="A125" s="145">
        <f>IF('DM_NHAN_SU'!$B125="","",ROW()-5)</f>
        <v/>
      </c>
      <c r="B125" s="145">
        <f>IF('DM_NHAN_SU'!$B125="","",'DM_NHAN_SU'!B125)</f>
        <v/>
      </c>
      <c r="C125" s="145">
        <f>IF('DM_NHAN_SU'!$B125="","",'DM_NHAN_SU'!C125)</f>
        <v/>
      </c>
      <c r="D125" s="234">
        <f>IF(OR('DM_NHAN_SU'!$B125="",'DM_NHAN_SU'!$G125=""),"",'DM_NHAN_SU'!G125)</f>
        <v/>
      </c>
      <c r="E125" s="127" t="n"/>
      <c r="F125" s="222" t="n"/>
      <c r="G125" s="222" t="n"/>
      <c r="H125" s="232">
        <f>IF($B125="","",'NGHI_PHEP'!K125)</f>
        <v/>
      </c>
      <c r="I125" s="227" t="n"/>
      <c r="J125" s="222" t="n"/>
      <c r="K125" s="227" t="n"/>
      <c r="L125" s="224">
        <f>IF(OR($B125="",$E125&lt;&gt;"Có"),0,IF($K125&gt;0,$I125*$J125/$K125,0))</f>
        <v/>
      </c>
      <c r="M125" s="222" t="n"/>
      <c r="N125" s="227" t="n"/>
      <c r="O125" s="224">
        <f>IF(OR($B125="",$E125&lt;&gt;"Có"),0,$M125*$N125*0.5)</f>
        <v/>
      </c>
      <c r="P125" s="222" t="n"/>
      <c r="Q125" s="224">
        <f>IF(OR($B125="",$E125&lt;&gt;"Có"),0,MIN($P125,$O125))</f>
        <v/>
      </c>
      <c r="R125" s="224">
        <f>IF(OR($B125="",$E125&lt;&gt;"Có"),0,MAX($P125-$O125,0))</f>
        <v/>
      </c>
      <c r="S125" s="227" t="n"/>
      <c r="T125" s="224">
        <f>IF(OR($B125="",$E125&lt;&gt;"Có",$S125&lt;=0),0,$M125*MAX($S125,2))</f>
        <v/>
      </c>
      <c r="U125" s="222" t="n"/>
      <c r="V125" s="224">
        <f>IF(OR($B125="",$E125&lt;&gt;"Có"),0,MIN($U125,$T125))</f>
        <v/>
      </c>
      <c r="W125" s="224">
        <f>IF(OR($B125="",$E125&lt;&gt;"Có"),0,MAX($U125-$T125,0))</f>
        <v/>
      </c>
      <c r="X125" s="222" t="n"/>
      <c r="Y125" s="222" t="n"/>
      <c r="Z125" s="222" t="n"/>
      <c r="AA125" s="222" t="n"/>
      <c r="AB125" s="224">
        <f>IF(OR($B125="",$E125&lt;&gt;"Có"),0,SUM($L125,$Q125,$V125,$X125))</f>
        <v/>
      </c>
      <c r="AC125" s="224">
        <f>IF(OR($B125="",$E125&lt;&gt;"Có"),0,SUM($F125,$G125,$R125,$W125,$Y125))</f>
        <v/>
      </c>
      <c r="AD125" s="224">
        <f>IF(OR($B125="",$E125&lt;&gt;"Có"),0,SUM($Z125:$AA125))</f>
        <v/>
      </c>
      <c r="AE125" s="224">
        <f>IF(OR($B125="",$E125&lt;&gt;"Có"),0,$AB125+$AC125-$AD125)</f>
        <v/>
      </c>
      <c r="AF125" s="150">
        <f>IF($B125="","",IF(AND($E125="Có",$D125=""),"Thiếu ngày nghỉ; ","")&amp;IF($I125&gt;MAX($H125,0),"Ngày phép thanh toán vượt số còn lại; ","")&amp;IF(AND($I125&gt;0,OR($J125&lt;=0,$K125&lt;=0)),"Thiếu lương/công chuẩn tháng trước; ","")&amp;IF(AND(SUM($N125,$S125)&gt;0,$M125&lt;=0),"Thiếu bình quân lương 06 tháng; ","")&amp;IF($X125&gt;0,"Bồi thường miễn thuế cần căn cứ và hồ sơ; ","")&amp;IF($AE125&lt;0,"Tổng chi thêm âm; ",""))</f>
        <v/>
      </c>
    </row>
    <row r="126">
      <c r="A126" s="145">
        <f>IF('DM_NHAN_SU'!$B126="","",ROW()-5)</f>
        <v/>
      </c>
      <c r="B126" s="145">
        <f>IF('DM_NHAN_SU'!$B126="","",'DM_NHAN_SU'!B126)</f>
        <v/>
      </c>
      <c r="C126" s="145">
        <f>IF('DM_NHAN_SU'!$B126="","",'DM_NHAN_SU'!C126)</f>
        <v/>
      </c>
      <c r="D126" s="234">
        <f>IF(OR('DM_NHAN_SU'!$B126="",'DM_NHAN_SU'!$G126=""),"",'DM_NHAN_SU'!G126)</f>
        <v/>
      </c>
      <c r="E126" s="127" t="n"/>
      <c r="F126" s="222" t="n"/>
      <c r="G126" s="222" t="n"/>
      <c r="H126" s="232">
        <f>IF($B126="","",'NGHI_PHEP'!K126)</f>
        <v/>
      </c>
      <c r="I126" s="227" t="n"/>
      <c r="J126" s="222" t="n"/>
      <c r="K126" s="227" t="n"/>
      <c r="L126" s="224">
        <f>IF(OR($B126="",$E126&lt;&gt;"Có"),0,IF($K126&gt;0,$I126*$J126/$K126,0))</f>
        <v/>
      </c>
      <c r="M126" s="222" t="n"/>
      <c r="N126" s="227" t="n"/>
      <c r="O126" s="224">
        <f>IF(OR($B126="",$E126&lt;&gt;"Có"),0,$M126*$N126*0.5)</f>
        <v/>
      </c>
      <c r="P126" s="222" t="n"/>
      <c r="Q126" s="224">
        <f>IF(OR($B126="",$E126&lt;&gt;"Có"),0,MIN($P126,$O126))</f>
        <v/>
      </c>
      <c r="R126" s="224">
        <f>IF(OR($B126="",$E126&lt;&gt;"Có"),0,MAX($P126-$O126,0))</f>
        <v/>
      </c>
      <c r="S126" s="227" t="n"/>
      <c r="T126" s="224">
        <f>IF(OR($B126="",$E126&lt;&gt;"Có",$S126&lt;=0),0,$M126*MAX($S126,2))</f>
        <v/>
      </c>
      <c r="U126" s="222" t="n"/>
      <c r="V126" s="224">
        <f>IF(OR($B126="",$E126&lt;&gt;"Có"),0,MIN($U126,$T126))</f>
        <v/>
      </c>
      <c r="W126" s="224">
        <f>IF(OR($B126="",$E126&lt;&gt;"Có"),0,MAX($U126-$T126,0))</f>
        <v/>
      </c>
      <c r="X126" s="222" t="n"/>
      <c r="Y126" s="222" t="n"/>
      <c r="Z126" s="222" t="n"/>
      <c r="AA126" s="222" t="n"/>
      <c r="AB126" s="224">
        <f>IF(OR($B126="",$E126&lt;&gt;"Có"),0,SUM($L126,$Q126,$V126,$X126))</f>
        <v/>
      </c>
      <c r="AC126" s="224">
        <f>IF(OR($B126="",$E126&lt;&gt;"Có"),0,SUM($F126,$G126,$R126,$W126,$Y126))</f>
        <v/>
      </c>
      <c r="AD126" s="224">
        <f>IF(OR($B126="",$E126&lt;&gt;"Có"),0,SUM($Z126:$AA126))</f>
        <v/>
      </c>
      <c r="AE126" s="224">
        <f>IF(OR($B126="",$E126&lt;&gt;"Có"),0,$AB126+$AC126-$AD126)</f>
        <v/>
      </c>
      <c r="AF126" s="150">
        <f>IF($B126="","",IF(AND($E126="Có",$D126=""),"Thiếu ngày nghỉ; ","")&amp;IF($I126&gt;MAX($H126,0),"Ngày phép thanh toán vượt số còn lại; ","")&amp;IF(AND($I126&gt;0,OR($J126&lt;=0,$K126&lt;=0)),"Thiếu lương/công chuẩn tháng trước; ","")&amp;IF(AND(SUM($N126,$S126)&gt;0,$M126&lt;=0),"Thiếu bình quân lương 06 tháng; ","")&amp;IF($X126&gt;0,"Bồi thường miễn thuế cần căn cứ và hồ sơ; ","")&amp;IF($AE126&lt;0,"Tổng chi thêm âm; ",""))</f>
        <v/>
      </c>
    </row>
    <row r="127">
      <c r="A127" s="145">
        <f>IF('DM_NHAN_SU'!$B127="","",ROW()-5)</f>
        <v/>
      </c>
      <c r="B127" s="145">
        <f>IF('DM_NHAN_SU'!$B127="","",'DM_NHAN_SU'!B127)</f>
        <v/>
      </c>
      <c r="C127" s="145">
        <f>IF('DM_NHAN_SU'!$B127="","",'DM_NHAN_SU'!C127)</f>
        <v/>
      </c>
      <c r="D127" s="234">
        <f>IF(OR('DM_NHAN_SU'!$B127="",'DM_NHAN_SU'!$G127=""),"",'DM_NHAN_SU'!G127)</f>
        <v/>
      </c>
      <c r="E127" s="127" t="n"/>
      <c r="F127" s="222" t="n"/>
      <c r="G127" s="222" t="n"/>
      <c r="H127" s="232">
        <f>IF($B127="","",'NGHI_PHEP'!K127)</f>
        <v/>
      </c>
      <c r="I127" s="227" t="n"/>
      <c r="J127" s="222" t="n"/>
      <c r="K127" s="227" t="n"/>
      <c r="L127" s="224">
        <f>IF(OR($B127="",$E127&lt;&gt;"Có"),0,IF($K127&gt;0,$I127*$J127/$K127,0))</f>
        <v/>
      </c>
      <c r="M127" s="222" t="n"/>
      <c r="N127" s="227" t="n"/>
      <c r="O127" s="224">
        <f>IF(OR($B127="",$E127&lt;&gt;"Có"),0,$M127*$N127*0.5)</f>
        <v/>
      </c>
      <c r="P127" s="222" t="n"/>
      <c r="Q127" s="224">
        <f>IF(OR($B127="",$E127&lt;&gt;"Có"),0,MIN($P127,$O127))</f>
        <v/>
      </c>
      <c r="R127" s="224">
        <f>IF(OR($B127="",$E127&lt;&gt;"Có"),0,MAX($P127-$O127,0))</f>
        <v/>
      </c>
      <c r="S127" s="227" t="n"/>
      <c r="T127" s="224">
        <f>IF(OR($B127="",$E127&lt;&gt;"Có",$S127&lt;=0),0,$M127*MAX($S127,2))</f>
        <v/>
      </c>
      <c r="U127" s="222" t="n"/>
      <c r="V127" s="224">
        <f>IF(OR($B127="",$E127&lt;&gt;"Có"),0,MIN($U127,$T127))</f>
        <v/>
      </c>
      <c r="W127" s="224">
        <f>IF(OR($B127="",$E127&lt;&gt;"Có"),0,MAX($U127-$T127,0))</f>
        <v/>
      </c>
      <c r="X127" s="222" t="n"/>
      <c r="Y127" s="222" t="n"/>
      <c r="Z127" s="222" t="n"/>
      <c r="AA127" s="222" t="n"/>
      <c r="AB127" s="224">
        <f>IF(OR($B127="",$E127&lt;&gt;"Có"),0,SUM($L127,$Q127,$V127,$X127))</f>
        <v/>
      </c>
      <c r="AC127" s="224">
        <f>IF(OR($B127="",$E127&lt;&gt;"Có"),0,SUM($F127,$G127,$R127,$W127,$Y127))</f>
        <v/>
      </c>
      <c r="AD127" s="224">
        <f>IF(OR($B127="",$E127&lt;&gt;"Có"),0,SUM($Z127:$AA127))</f>
        <v/>
      </c>
      <c r="AE127" s="224">
        <f>IF(OR($B127="",$E127&lt;&gt;"Có"),0,$AB127+$AC127-$AD127)</f>
        <v/>
      </c>
      <c r="AF127" s="150">
        <f>IF($B127="","",IF(AND($E127="Có",$D127=""),"Thiếu ngày nghỉ; ","")&amp;IF($I127&gt;MAX($H127,0),"Ngày phép thanh toán vượt số còn lại; ","")&amp;IF(AND($I127&gt;0,OR($J127&lt;=0,$K127&lt;=0)),"Thiếu lương/công chuẩn tháng trước; ","")&amp;IF(AND(SUM($N127,$S127)&gt;0,$M127&lt;=0),"Thiếu bình quân lương 06 tháng; ","")&amp;IF($X127&gt;0,"Bồi thường miễn thuế cần căn cứ và hồ sơ; ","")&amp;IF($AE127&lt;0,"Tổng chi thêm âm; ",""))</f>
        <v/>
      </c>
    </row>
    <row r="128">
      <c r="A128" s="145">
        <f>IF('DM_NHAN_SU'!$B128="","",ROW()-5)</f>
        <v/>
      </c>
      <c r="B128" s="145">
        <f>IF('DM_NHAN_SU'!$B128="","",'DM_NHAN_SU'!B128)</f>
        <v/>
      </c>
      <c r="C128" s="145">
        <f>IF('DM_NHAN_SU'!$B128="","",'DM_NHAN_SU'!C128)</f>
        <v/>
      </c>
      <c r="D128" s="234">
        <f>IF(OR('DM_NHAN_SU'!$B128="",'DM_NHAN_SU'!$G128=""),"",'DM_NHAN_SU'!G128)</f>
        <v/>
      </c>
      <c r="E128" s="127" t="n"/>
      <c r="F128" s="222" t="n"/>
      <c r="G128" s="222" t="n"/>
      <c r="H128" s="232">
        <f>IF($B128="","",'NGHI_PHEP'!K128)</f>
        <v/>
      </c>
      <c r="I128" s="227" t="n"/>
      <c r="J128" s="222" t="n"/>
      <c r="K128" s="227" t="n"/>
      <c r="L128" s="224">
        <f>IF(OR($B128="",$E128&lt;&gt;"Có"),0,IF($K128&gt;0,$I128*$J128/$K128,0))</f>
        <v/>
      </c>
      <c r="M128" s="222" t="n"/>
      <c r="N128" s="227" t="n"/>
      <c r="O128" s="224">
        <f>IF(OR($B128="",$E128&lt;&gt;"Có"),0,$M128*$N128*0.5)</f>
        <v/>
      </c>
      <c r="P128" s="222" t="n"/>
      <c r="Q128" s="224">
        <f>IF(OR($B128="",$E128&lt;&gt;"Có"),0,MIN($P128,$O128))</f>
        <v/>
      </c>
      <c r="R128" s="224">
        <f>IF(OR($B128="",$E128&lt;&gt;"Có"),0,MAX($P128-$O128,0))</f>
        <v/>
      </c>
      <c r="S128" s="227" t="n"/>
      <c r="T128" s="224">
        <f>IF(OR($B128="",$E128&lt;&gt;"Có",$S128&lt;=0),0,$M128*MAX($S128,2))</f>
        <v/>
      </c>
      <c r="U128" s="222" t="n"/>
      <c r="V128" s="224">
        <f>IF(OR($B128="",$E128&lt;&gt;"Có"),0,MIN($U128,$T128))</f>
        <v/>
      </c>
      <c r="W128" s="224">
        <f>IF(OR($B128="",$E128&lt;&gt;"Có"),0,MAX($U128-$T128,0))</f>
        <v/>
      </c>
      <c r="X128" s="222" t="n"/>
      <c r="Y128" s="222" t="n"/>
      <c r="Z128" s="222" t="n"/>
      <c r="AA128" s="222" t="n"/>
      <c r="AB128" s="224">
        <f>IF(OR($B128="",$E128&lt;&gt;"Có"),0,SUM($L128,$Q128,$V128,$X128))</f>
        <v/>
      </c>
      <c r="AC128" s="224">
        <f>IF(OR($B128="",$E128&lt;&gt;"Có"),0,SUM($F128,$G128,$R128,$W128,$Y128))</f>
        <v/>
      </c>
      <c r="AD128" s="224">
        <f>IF(OR($B128="",$E128&lt;&gt;"Có"),0,SUM($Z128:$AA128))</f>
        <v/>
      </c>
      <c r="AE128" s="224">
        <f>IF(OR($B128="",$E128&lt;&gt;"Có"),0,$AB128+$AC128-$AD128)</f>
        <v/>
      </c>
      <c r="AF128" s="150">
        <f>IF($B128="","",IF(AND($E128="Có",$D128=""),"Thiếu ngày nghỉ; ","")&amp;IF($I128&gt;MAX($H128,0),"Ngày phép thanh toán vượt số còn lại; ","")&amp;IF(AND($I128&gt;0,OR($J128&lt;=0,$K128&lt;=0)),"Thiếu lương/công chuẩn tháng trước; ","")&amp;IF(AND(SUM($N128,$S128)&gt;0,$M128&lt;=0),"Thiếu bình quân lương 06 tháng; ","")&amp;IF($X128&gt;0,"Bồi thường miễn thuế cần căn cứ và hồ sơ; ","")&amp;IF($AE128&lt;0,"Tổng chi thêm âm; ",""))</f>
        <v/>
      </c>
    </row>
    <row r="129">
      <c r="A129" s="145">
        <f>IF('DM_NHAN_SU'!$B129="","",ROW()-5)</f>
        <v/>
      </c>
      <c r="B129" s="145">
        <f>IF('DM_NHAN_SU'!$B129="","",'DM_NHAN_SU'!B129)</f>
        <v/>
      </c>
      <c r="C129" s="145">
        <f>IF('DM_NHAN_SU'!$B129="","",'DM_NHAN_SU'!C129)</f>
        <v/>
      </c>
      <c r="D129" s="234">
        <f>IF(OR('DM_NHAN_SU'!$B129="",'DM_NHAN_SU'!$G129=""),"",'DM_NHAN_SU'!G129)</f>
        <v/>
      </c>
      <c r="E129" s="127" t="n"/>
      <c r="F129" s="222" t="n"/>
      <c r="G129" s="222" t="n"/>
      <c r="H129" s="232">
        <f>IF($B129="","",'NGHI_PHEP'!K129)</f>
        <v/>
      </c>
      <c r="I129" s="227" t="n"/>
      <c r="J129" s="222" t="n"/>
      <c r="K129" s="227" t="n"/>
      <c r="L129" s="224">
        <f>IF(OR($B129="",$E129&lt;&gt;"Có"),0,IF($K129&gt;0,$I129*$J129/$K129,0))</f>
        <v/>
      </c>
      <c r="M129" s="222" t="n"/>
      <c r="N129" s="227" t="n"/>
      <c r="O129" s="224">
        <f>IF(OR($B129="",$E129&lt;&gt;"Có"),0,$M129*$N129*0.5)</f>
        <v/>
      </c>
      <c r="P129" s="222" t="n"/>
      <c r="Q129" s="224">
        <f>IF(OR($B129="",$E129&lt;&gt;"Có"),0,MIN($P129,$O129))</f>
        <v/>
      </c>
      <c r="R129" s="224">
        <f>IF(OR($B129="",$E129&lt;&gt;"Có"),0,MAX($P129-$O129,0))</f>
        <v/>
      </c>
      <c r="S129" s="227" t="n"/>
      <c r="T129" s="224">
        <f>IF(OR($B129="",$E129&lt;&gt;"Có",$S129&lt;=0),0,$M129*MAX($S129,2))</f>
        <v/>
      </c>
      <c r="U129" s="222" t="n"/>
      <c r="V129" s="224">
        <f>IF(OR($B129="",$E129&lt;&gt;"Có"),0,MIN($U129,$T129))</f>
        <v/>
      </c>
      <c r="W129" s="224">
        <f>IF(OR($B129="",$E129&lt;&gt;"Có"),0,MAX($U129-$T129,0))</f>
        <v/>
      </c>
      <c r="X129" s="222" t="n"/>
      <c r="Y129" s="222" t="n"/>
      <c r="Z129" s="222" t="n"/>
      <c r="AA129" s="222" t="n"/>
      <c r="AB129" s="224">
        <f>IF(OR($B129="",$E129&lt;&gt;"Có"),0,SUM($L129,$Q129,$V129,$X129))</f>
        <v/>
      </c>
      <c r="AC129" s="224">
        <f>IF(OR($B129="",$E129&lt;&gt;"Có"),0,SUM($F129,$G129,$R129,$W129,$Y129))</f>
        <v/>
      </c>
      <c r="AD129" s="224">
        <f>IF(OR($B129="",$E129&lt;&gt;"Có"),0,SUM($Z129:$AA129))</f>
        <v/>
      </c>
      <c r="AE129" s="224">
        <f>IF(OR($B129="",$E129&lt;&gt;"Có"),0,$AB129+$AC129-$AD129)</f>
        <v/>
      </c>
      <c r="AF129" s="150">
        <f>IF($B129="","",IF(AND($E129="Có",$D129=""),"Thiếu ngày nghỉ; ","")&amp;IF($I129&gt;MAX($H129,0),"Ngày phép thanh toán vượt số còn lại; ","")&amp;IF(AND($I129&gt;0,OR($J129&lt;=0,$K129&lt;=0)),"Thiếu lương/công chuẩn tháng trước; ","")&amp;IF(AND(SUM($N129,$S129)&gt;0,$M129&lt;=0),"Thiếu bình quân lương 06 tháng; ","")&amp;IF($X129&gt;0,"Bồi thường miễn thuế cần căn cứ và hồ sơ; ","")&amp;IF($AE129&lt;0,"Tổng chi thêm âm; ",""))</f>
        <v/>
      </c>
    </row>
    <row r="130">
      <c r="A130" s="145">
        <f>IF('DM_NHAN_SU'!$B130="","",ROW()-5)</f>
        <v/>
      </c>
      <c r="B130" s="145">
        <f>IF('DM_NHAN_SU'!$B130="","",'DM_NHAN_SU'!B130)</f>
        <v/>
      </c>
      <c r="C130" s="145">
        <f>IF('DM_NHAN_SU'!$B130="","",'DM_NHAN_SU'!C130)</f>
        <v/>
      </c>
      <c r="D130" s="234">
        <f>IF(OR('DM_NHAN_SU'!$B130="",'DM_NHAN_SU'!$G130=""),"",'DM_NHAN_SU'!G130)</f>
        <v/>
      </c>
      <c r="E130" s="127" t="n"/>
      <c r="F130" s="222" t="n"/>
      <c r="G130" s="222" t="n"/>
      <c r="H130" s="232">
        <f>IF($B130="","",'NGHI_PHEP'!K130)</f>
        <v/>
      </c>
      <c r="I130" s="227" t="n"/>
      <c r="J130" s="222" t="n"/>
      <c r="K130" s="227" t="n"/>
      <c r="L130" s="224">
        <f>IF(OR($B130="",$E130&lt;&gt;"Có"),0,IF($K130&gt;0,$I130*$J130/$K130,0))</f>
        <v/>
      </c>
      <c r="M130" s="222" t="n"/>
      <c r="N130" s="227" t="n"/>
      <c r="O130" s="224">
        <f>IF(OR($B130="",$E130&lt;&gt;"Có"),0,$M130*$N130*0.5)</f>
        <v/>
      </c>
      <c r="P130" s="222" t="n"/>
      <c r="Q130" s="224">
        <f>IF(OR($B130="",$E130&lt;&gt;"Có"),0,MIN($P130,$O130))</f>
        <v/>
      </c>
      <c r="R130" s="224">
        <f>IF(OR($B130="",$E130&lt;&gt;"Có"),0,MAX($P130-$O130,0))</f>
        <v/>
      </c>
      <c r="S130" s="227" t="n"/>
      <c r="T130" s="224">
        <f>IF(OR($B130="",$E130&lt;&gt;"Có",$S130&lt;=0),0,$M130*MAX($S130,2))</f>
        <v/>
      </c>
      <c r="U130" s="222" t="n"/>
      <c r="V130" s="224">
        <f>IF(OR($B130="",$E130&lt;&gt;"Có"),0,MIN($U130,$T130))</f>
        <v/>
      </c>
      <c r="W130" s="224">
        <f>IF(OR($B130="",$E130&lt;&gt;"Có"),0,MAX($U130-$T130,0))</f>
        <v/>
      </c>
      <c r="X130" s="222" t="n"/>
      <c r="Y130" s="222" t="n"/>
      <c r="Z130" s="222" t="n"/>
      <c r="AA130" s="222" t="n"/>
      <c r="AB130" s="224">
        <f>IF(OR($B130="",$E130&lt;&gt;"Có"),0,SUM($L130,$Q130,$V130,$X130))</f>
        <v/>
      </c>
      <c r="AC130" s="224">
        <f>IF(OR($B130="",$E130&lt;&gt;"Có"),0,SUM($F130,$G130,$R130,$W130,$Y130))</f>
        <v/>
      </c>
      <c r="AD130" s="224">
        <f>IF(OR($B130="",$E130&lt;&gt;"Có"),0,SUM($Z130:$AA130))</f>
        <v/>
      </c>
      <c r="AE130" s="224">
        <f>IF(OR($B130="",$E130&lt;&gt;"Có"),0,$AB130+$AC130-$AD130)</f>
        <v/>
      </c>
      <c r="AF130" s="150">
        <f>IF($B130="","",IF(AND($E130="Có",$D130=""),"Thiếu ngày nghỉ; ","")&amp;IF($I130&gt;MAX($H130,0),"Ngày phép thanh toán vượt số còn lại; ","")&amp;IF(AND($I130&gt;0,OR($J130&lt;=0,$K130&lt;=0)),"Thiếu lương/công chuẩn tháng trước; ","")&amp;IF(AND(SUM($N130,$S130)&gt;0,$M130&lt;=0),"Thiếu bình quân lương 06 tháng; ","")&amp;IF($X130&gt;0,"Bồi thường miễn thuế cần căn cứ và hồ sơ; ","")&amp;IF($AE130&lt;0,"Tổng chi thêm âm; ",""))</f>
        <v/>
      </c>
    </row>
    <row r="131">
      <c r="A131" s="145">
        <f>IF('DM_NHAN_SU'!$B131="","",ROW()-5)</f>
        <v/>
      </c>
      <c r="B131" s="145">
        <f>IF('DM_NHAN_SU'!$B131="","",'DM_NHAN_SU'!B131)</f>
        <v/>
      </c>
      <c r="C131" s="145">
        <f>IF('DM_NHAN_SU'!$B131="","",'DM_NHAN_SU'!C131)</f>
        <v/>
      </c>
      <c r="D131" s="234">
        <f>IF(OR('DM_NHAN_SU'!$B131="",'DM_NHAN_SU'!$G131=""),"",'DM_NHAN_SU'!G131)</f>
        <v/>
      </c>
      <c r="E131" s="127" t="n"/>
      <c r="F131" s="222" t="n"/>
      <c r="G131" s="222" t="n"/>
      <c r="H131" s="232">
        <f>IF($B131="","",'NGHI_PHEP'!K131)</f>
        <v/>
      </c>
      <c r="I131" s="227" t="n"/>
      <c r="J131" s="222" t="n"/>
      <c r="K131" s="227" t="n"/>
      <c r="L131" s="224">
        <f>IF(OR($B131="",$E131&lt;&gt;"Có"),0,IF($K131&gt;0,$I131*$J131/$K131,0))</f>
        <v/>
      </c>
      <c r="M131" s="222" t="n"/>
      <c r="N131" s="227" t="n"/>
      <c r="O131" s="224">
        <f>IF(OR($B131="",$E131&lt;&gt;"Có"),0,$M131*$N131*0.5)</f>
        <v/>
      </c>
      <c r="P131" s="222" t="n"/>
      <c r="Q131" s="224">
        <f>IF(OR($B131="",$E131&lt;&gt;"Có"),0,MIN($P131,$O131))</f>
        <v/>
      </c>
      <c r="R131" s="224">
        <f>IF(OR($B131="",$E131&lt;&gt;"Có"),0,MAX($P131-$O131,0))</f>
        <v/>
      </c>
      <c r="S131" s="227" t="n"/>
      <c r="T131" s="224">
        <f>IF(OR($B131="",$E131&lt;&gt;"Có",$S131&lt;=0),0,$M131*MAX($S131,2))</f>
        <v/>
      </c>
      <c r="U131" s="222" t="n"/>
      <c r="V131" s="224">
        <f>IF(OR($B131="",$E131&lt;&gt;"Có"),0,MIN($U131,$T131))</f>
        <v/>
      </c>
      <c r="W131" s="224">
        <f>IF(OR($B131="",$E131&lt;&gt;"Có"),0,MAX($U131-$T131,0))</f>
        <v/>
      </c>
      <c r="X131" s="222" t="n"/>
      <c r="Y131" s="222" t="n"/>
      <c r="Z131" s="222" t="n"/>
      <c r="AA131" s="222" t="n"/>
      <c r="AB131" s="224">
        <f>IF(OR($B131="",$E131&lt;&gt;"Có"),0,SUM($L131,$Q131,$V131,$X131))</f>
        <v/>
      </c>
      <c r="AC131" s="224">
        <f>IF(OR($B131="",$E131&lt;&gt;"Có"),0,SUM($F131,$G131,$R131,$W131,$Y131))</f>
        <v/>
      </c>
      <c r="AD131" s="224">
        <f>IF(OR($B131="",$E131&lt;&gt;"Có"),0,SUM($Z131:$AA131))</f>
        <v/>
      </c>
      <c r="AE131" s="224">
        <f>IF(OR($B131="",$E131&lt;&gt;"Có"),0,$AB131+$AC131-$AD131)</f>
        <v/>
      </c>
      <c r="AF131" s="150">
        <f>IF($B131="","",IF(AND($E131="Có",$D131=""),"Thiếu ngày nghỉ; ","")&amp;IF($I131&gt;MAX($H131,0),"Ngày phép thanh toán vượt số còn lại; ","")&amp;IF(AND($I131&gt;0,OR($J131&lt;=0,$K131&lt;=0)),"Thiếu lương/công chuẩn tháng trước; ","")&amp;IF(AND(SUM($N131,$S131)&gt;0,$M131&lt;=0),"Thiếu bình quân lương 06 tháng; ","")&amp;IF($X131&gt;0,"Bồi thường miễn thuế cần căn cứ và hồ sơ; ","")&amp;IF($AE131&lt;0,"Tổng chi thêm âm; ",""))</f>
        <v/>
      </c>
    </row>
    <row r="132">
      <c r="A132" s="145">
        <f>IF('DM_NHAN_SU'!$B132="","",ROW()-5)</f>
        <v/>
      </c>
      <c r="B132" s="145">
        <f>IF('DM_NHAN_SU'!$B132="","",'DM_NHAN_SU'!B132)</f>
        <v/>
      </c>
      <c r="C132" s="145">
        <f>IF('DM_NHAN_SU'!$B132="","",'DM_NHAN_SU'!C132)</f>
        <v/>
      </c>
      <c r="D132" s="234">
        <f>IF(OR('DM_NHAN_SU'!$B132="",'DM_NHAN_SU'!$G132=""),"",'DM_NHAN_SU'!G132)</f>
        <v/>
      </c>
      <c r="E132" s="127" t="n"/>
      <c r="F132" s="222" t="n"/>
      <c r="G132" s="222" t="n"/>
      <c r="H132" s="232">
        <f>IF($B132="","",'NGHI_PHEP'!K132)</f>
        <v/>
      </c>
      <c r="I132" s="227" t="n"/>
      <c r="J132" s="222" t="n"/>
      <c r="K132" s="227" t="n"/>
      <c r="L132" s="224">
        <f>IF(OR($B132="",$E132&lt;&gt;"Có"),0,IF($K132&gt;0,$I132*$J132/$K132,0))</f>
        <v/>
      </c>
      <c r="M132" s="222" t="n"/>
      <c r="N132" s="227" t="n"/>
      <c r="O132" s="224">
        <f>IF(OR($B132="",$E132&lt;&gt;"Có"),0,$M132*$N132*0.5)</f>
        <v/>
      </c>
      <c r="P132" s="222" t="n"/>
      <c r="Q132" s="224">
        <f>IF(OR($B132="",$E132&lt;&gt;"Có"),0,MIN($P132,$O132))</f>
        <v/>
      </c>
      <c r="R132" s="224">
        <f>IF(OR($B132="",$E132&lt;&gt;"Có"),0,MAX($P132-$O132,0))</f>
        <v/>
      </c>
      <c r="S132" s="227" t="n"/>
      <c r="T132" s="224">
        <f>IF(OR($B132="",$E132&lt;&gt;"Có",$S132&lt;=0),0,$M132*MAX($S132,2))</f>
        <v/>
      </c>
      <c r="U132" s="222" t="n"/>
      <c r="V132" s="224">
        <f>IF(OR($B132="",$E132&lt;&gt;"Có"),0,MIN($U132,$T132))</f>
        <v/>
      </c>
      <c r="W132" s="224">
        <f>IF(OR($B132="",$E132&lt;&gt;"Có"),0,MAX($U132-$T132,0))</f>
        <v/>
      </c>
      <c r="X132" s="222" t="n"/>
      <c r="Y132" s="222" t="n"/>
      <c r="Z132" s="222" t="n"/>
      <c r="AA132" s="222" t="n"/>
      <c r="AB132" s="224">
        <f>IF(OR($B132="",$E132&lt;&gt;"Có"),0,SUM($L132,$Q132,$V132,$X132))</f>
        <v/>
      </c>
      <c r="AC132" s="224">
        <f>IF(OR($B132="",$E132&lt;&gt;"Có"),0,SUM($F132,$G132,$R132,$W132,$Y132))</f>
        <v/>
      </c>
      <c r="AD132" s="224">
        <f>IF(OR($B132="",$E132&lt;&gt;"Có"),0,SUM($Z132:$AA132))</f>
        <v/>
      </c>
      <c r="AE132" s="224">
        <f>IF(OR($B132="",$E132&lt;&gt;"Có"),0,$AB132+$AC132-$AD132)</f>
        <v/>
      </c>
      <c r="AF132" s="150">
        <f>IF($B132="","",IF(AND($E132="Có",$D132=""),"Thiếu ngày nghỉ; ","")&amp;IF($I132&gt;MAX($H132,0),"Ngày phép thanh toán vượt số còn lại; ","")&amp;IF(AND($I132&gt;0,OR($J132&lt;=0,$K132&lt;=0)),"Thiếu lương/công chuẩn tháng trước; ","")&amp;IF(AND(SUM($N132,$S132)&gt;0,$M132&lt;=0),"Thiếu bình quân lương 06 tháng; ","")&amp;IF($X132&gt;0,"Bồi thường miễn thuế cần căn cứ và hồ sơ; ","")&amp;IF($AE132&lt;0,"Tổng chi thêm âm; ",""))</f>
        <v/>
      </c>
    </row>
    <row r="133">
      <c r="A133" s="145">
        <f>IF('DM_NHAN_SU'!$B133="","",ROW()-5)</f>
        <v/>
      </c>
      <c r="B133" s="145">
        <f>IF('DM_NHAN_SU'!$B133="","",'DM_NHAN_SU'!B133)</f>
        <v/>
      </c>
      <c r="C133" s="145">
        <f>IF('DM_NHAN_SU'!$B133="","",'DM_NHAN_SU'!C133)</f>
        <v/>
      </c>
      <c r="D133" s="234">
        <f>IF(OR('DM_NHAN_SU'!$B133="",'DM_NHAN_SU'!$G133=""),"",'DM_NHAN_SU'!G133)</f>
        <v/>
      </c>
      <c r="E133" s="127" t="n"/>
      <c r="F133" s="222" t="n"/>
      <c r="G133" s="222" t="n"/>
      <c r="H133" s="232">
        <f>IF($B133="","",'NGHI_PHEP'!K133)</f>
        <v/>
      </c>
      <c r="I133" s="227" t="n"/>
      <c r="J133" s="222" t="n"/>
      <c r="K133" s="227" t="n"/>
      <c r="L133" s="224">
        <f>IF(OR($B133="",$E133&lt;&gt;"Có"),0,IF($K133&gt;0,$I133*$J133/$K133,0))</f>
        <v/>
      </c>
      <c r="M133" s="222" t="n"/>
      <c r="N133" s="227" t="n"/>
      <c r="O133" s="224">
        <f>IF(OR($B133="",$E133&lt;&gt;"Có"),0,$M133*$N133*0.5)</f>
        <v/>
      </c>
      <c r="P133" s="222" t="n"/>
      <c r="Q133" s="224">
        <f>IF(OR($B133="",$E133&lt;&gt;"Có"),0,MIN($P133,$O133))</f>
        <v/>
      </c>
      <c r="R133" s="224">
        <f>IF(OR($B133="",$E133&lt;&gt;"Có"),0,MAX($P133-$O133,0))</f>
        <v/>
      </c>
      <c r="S133" s="227" t="n"/>
      <c r="T133" s="224">
        <f>IF(OR($B133="",$E133&lt;&gt;"Có",$S133&lt;=0),0,$M133*MAX($S133,2))</f>
        <v/>
      </c>
      <c r="U133" s="222" t="n"/>
      <c r="V133" s="224">
        <f>IF(OR($B133="",$E133&lt;&gt;"Có"),0,MIN($U133,$T133))</f>
        <v/>
      </c>
      <c r="W133" s="224">
        <f>IF(OR($B133="",$E133&lt;&gt;"Có"),0,MAX($U133-$T133,0))</f>
        <v/>
      </c>
      <c r="X133" s="222" t="n"/>
      <c r="Y133" s="222" t="n"/>
      <c r="Z133" s="222" t="n"/>
      <c r="AA133" s="222" t="n"/>
      <c r="AB133" s="224">
        <f>IF(OR($B133="",$E133&lt;&gt;"Có"),0,SUM($L133,$Q133,$V133,$X133))</f>
        <v/>
      </c>
      <c r="AC133" s="224">
        <f>IF(OR($B133="",$E133&lt;&gt;"Có"),0,SUM($F133,$G133,$R133,$W133,$Y133))</f>
        <v/>
      </c>
      <c r="AD133" s="224">
        <f>IF(OR($B133="",$E133&lt;&gt;"Có"),0,SUM($Z133:$AA133))</f>
        <v/>
      </c>
      <c r="AE133" s="224">
        <f>IF(OR($B133="",$E133&lt;&gt;"Có"),0,$AB133+$AC133-$AD133)</f>
        <v/>
      </c>
      <c r="AF133" s="150">
        <f>IF($B133="","",IF(AND($E133="Có",$D133=""),"Thiếu ngày nghỉ; ","")&amp;IF($I133&gt;MAX($H133,0),"Ngày phép thanh toán vượt số còn lại; ","")&amp;IF(AND($I133&gt;0,OR($J133&lt;=0,$K133&lt;=0)),"Thiếu lương/công chuẩn tháng trước; ","")&amp;IF(AND(SUM($N133,$S133)&gt;0,$M133&lt;=0),"Thiếu bình quân lương 06 tháng; ","")&amp;IF($X133&gt;0,"Bồi thường miễn thuế cần căn cứ và hồ sơ; ","")&amp;IF($AE133&lt;0,"Tổng chi thêm âm; ",""))</f>
        <v/>
      </c>
    </row>
    <row r="134">
      <c r="A134" s="145">
        <f>IF('DM_NHAN_SU'!$B134="","",ROW()-5)</f>
        <v/>
      </c>
      <c r="B134" s="145">
        <f>IF('DM_NHAN_SU'!$B134="","",'DM_NHAN_SU'!B134)</f>
        <v/>
      </c>
      <c r="C134" s="145">
        <f>IF('DM_NHAN_SU'!$B134="","",'DM_NHAN_SU'!C134)</f>
        <v/>
      </c>
      <c r="D134" s="234">
        <f>IF(OR('DM_NHAN_SU'!$B134="",'DM_NHAN_SU'!$G134=""),"",'DM_NHAN_SU'!G134)</f>
        <v/>
      </c>
      <c r="E134" s="127" t="n"/>
      <c r="F134" s="222" t="n"/>
      <c r="G134" s="222" t="n"/>
      <c r="H134" s="232">
        <f>IF($B134="","",'NGHI_PHEP'!K134)</f>
        <v/>
      </c>
      <c r="I134" s="227" t="n"/>
      <c r="J134" s="222" t="n"/>
      <c r="K134" s="227" t="n"/>
      <c r="L134" s="224">
        <f>IF(OR($B134="",$E134&lt;&gt;"Có"),0,IF($K134&gt;0,$I134*$J134/$K134,0))</f>
        <v/>
      </c>
      <c r="M134" s="222" t="n"/>
      <c r="N134" s="227" t="n"/>
      <c r="O134" s="224">
        <f>IF(OR($B134="",$E134&lt;&gt;"Có"),0,$M134*$N134*0.5)</f>
        <v/>
      </c>
      <c r="P134" s="222" t="n"/>
      <c r="Q134" s="224">
        <f>IF(OR($B134="",$E134&lt;&gt;"Có"),0,MIN($P134,$O134))</f>
        <v/>
      </c>
      <c r="R134" s="224">
        <f>IF(OR($B134="",$E134&lt;&gt;"Có"),0,MAX($P134-$O134,0))</f>
        <v/>
      </c>
      <c r="S134" s="227" t="n"/>
      <c r="T134" s="224">
        <f>IF(OR($B134="",$E134&lt;&gt;"Có",$S134&lt;=0),0,$M134*MAX($S134,2))</f>
        <v/>
      </c>
      <c r="U134" s="222" t="n"/>
      <c r="V134" s="224">
        <f>IF(OR($B134="",$E134&lt;&gt;"Có"),0,MIN($U134,$T134))</f>
        <v/>
      </c>
      <c r="W134" s="224">
        <f>IF(OR($B134="",$E134&lt;&gt;"Có"),0,MAX($U134-$T134,0))</f>
        <v/>
      </c>
      <c r="X134" s="222" t="n"/>
      <c r="Y134" s="222" t="n"/>
      <c r="Z134" s="222" t="n"/>
      <c r="AA134" s="222" t="n"/>
      <c r="AB134" s="224">
        <f>IF(OR($B134="",$E134&lt;&gt;"Có"),0,SUM($L134,$Q134,$V134,$X134))</f>
        <v/>
      </c>
      <c r="AC134" s="224">
        <f>IF(OR($B134="",$E134&lt;&gt;"Có"),0,SUM($F134,$G134,$R134,$W134,$Y134))</f>
        <v/>
      </c>
      <c r="AD134" s="224">
        <f>IF(OR($B134="",$E134&lt;&gt;"Có"),0,SUM($Z134:$AA134))</f>
        <v/>
      </c>
      <c r="AE134" s="224">
        <f>IF(OR($B134="",$E134&lt;&gt;"Có"),0,$AB134+$AC134-$AD134)</f>
        <v/>
      </c>
      <c r="AF134" s="150">
        <f>IF($B134="","",IF(AND($E134="Có",$D134=""),"Thiếu ngày nghỉ; ","")&amp;IF($I134&gt;MAX($H134,0),"Ngày phép thanh toán vượt số còn lại; ","")&amp;IF(AND($I134&gt;0,OR($J134&lt;=0,$K134&lt;=0)),"Thiếu lương/công chuẩn tháng trước; ","")&amp;IF(AND(SUM($N134,$S134)&gt;0,$M134&lt;=0),"Thiếu bình quân lương 06 tháng; ","")&amp;IF($X134&gt;0,"Bồi thường miễn thuế cần căn cứ và hồ sơ; ","")&amp;IF($AE134&lt;0,"Tổng chi thêm âm; ",""))</f>
        <v/>
      </c>
    </row>
    <row r="135">
      <c r="A135" s="145">
        <f>IF('DM_NHAN_SU'!$B135="","",ROW()-5)</f>
        <v/>
      </c>
      <c r="B135" s="145">
        <f>IF('DM_NHAN_SU'!$B135="","",'DM_NHAN_SU'!B135)</f>
        <v/>
      </c>
      <c r="C135" s="145">
        <f>IF('DM_NHAN_SU'!$B135="","",'DM_NHAN_SU'!C135)</f>
        <v/>
      </c>
      <c r="D135" s="234">
        <f>IF(OR('DM_NHAN_SU'!$B135="",'DM_NHAN_SU'!$G135=""),"",'DM_NHAN_SU'!G135)</f>
        <v/>
      </c>
      <c r="E135" s="127" t="n"/>
      <c r="F135" s="222" t="n"/>
      <c r="G135" s="222" t="n"/>
      <c r="H135" s="232">
        <f>IF($B135="","",'NGHI_PHEP'!K135)</f>
        <v/>
      </c>
      <c r="I135" s="227" t="n"/>
      <c r="J135" s="222" t="n"/>
      <c r="K135" s="227" t="n"/>
      <c r="L135" s="224">
        <f>IF(OR($B135="",$E135&lt;&gt;"Có"),0,IF($K135&gt;0,$I135*$J135/$K135,0))</f>
        <v/>
      </c>
      <c r="M135" s="222" t="n"/>
      <c r="N135" s="227" t="n"/>
      <c r="O135" s="224">
        <f>IF(OR($B135="",$E135&lt;&gt;"Có"),0,$M135*$N135*0.5)</f>
        <v/>
      </c>
      <c r="P135" s="222" t="n"/>
      <c r="Q135" s="224">
        <f>IF(OR($B135="",$E135&lt;&gt;"Có"),0,MIN($P135,$O135))</f>
        <v/>
      </c>
      <c r="R135" s="224">
        <f>IF(OR($B135="",$E135&lt;&gt;"Có"),0,MAX($P135-$O135,0))</f>
        <v/>
      </c>
      <c r="S135" s="227" t="n"/>
      <c r="T135" s="224">
        <f>IF(OR($B135="",$E135&lt;&gt;"Có",$S135&lt;=0),0,$M135*MAX($S135,2))</f>
        <v/>
      </c>
      <c r="U135" s="222" t="n"/>
      <c r="V135" s="224">
        <f>IF(OR($B135="",$E135&lt;&gt;"Có"),0,MIN($U135,$T135))</f>
        <v/>
      </c>
      <c r="W135" s="224">
        <f>IF(OR($B135="",$E135&lt;&gt;"Có"),0,MAX($U135-$T135,0))</f>
        <v/>
      </c>
      <c r="X135" s="222" t="n"/>
      <c r="Y135" s="222" t="n"/>
      <c r="Z135" s="222" t="n"/>
      <c r="AA135" s="222" t="n"/>
      <c r="AB135" s="224">
        <f>IF(OR($B135="",$E135&lt;&gt;"Có"),0,SUM($L135,$Q135,$V135,$X135))</f>
        <v/>
      </c>
      <c r="AC135" s="224">
        <f>IF(OR($B135="",$E135&lt;&gt;"Có"),0,SUM($F135,$G135,$R135,$W135,$Y135))</f>
        <v/>
      </c>
      <c r="AD135" s="224">
        <f>IF(OR($B135="",$E135&lt;&gt;"Có"),0,SUM($Z135:$AA135))</f>
        <v/>
      </c>
      <c r="AE135" s="224">
        <f>IF(OR($B135="",$E135&lt;&gt;"Có"),0,$AB135+$AC135-$AD135)</f>
        <v/>
      </c>
      <c r="AF135" s="150">
        <f>IF($B135="","",IF(AND($E135="Có",$D135=""),"Thiếu ngày nghỉ; ","")&amp;IF($I135&gt;MAX($H135,0),"Ngày phép thanh toán vượt số còn lại; ","")&amp;IF(AND($I135&gt;0,OR($J135&lt;=0,$K135&lt;=0)),"Thiếu lương/công chuẩn tháng trước; ","")&amp;IF(AND(SUM($N135,$S135)&gt;0,$M135&lt;=0),"Thiếu bình quân lương 06 tháng; ","")&amp;IF($X135&gt;0,"Bồi thường miễn thuế cần căn cứ và hồ sơ; ","")&amp;IF($AE135&lt;0,"Tổng chi thêm âm; ",""))</f>
        <v/>
      </c>
    </row>
    <row r="136">
      <c r="A136" s="145">
        <f>IF('DM_NHAN_SU'!$B136="","",ROW()-5)</f>
        <v/>
      </c>
      <c r="B136" s="145">
        <f>IF('DM_NHAN_SU'!$B136="","",'DM_NHAN_SU'!B136)</f>
        <v/>
      </c>
      <c r="C136" s="145">
        <f>IF('DM_NHAN_SU'!$B136="","",'DM_NHAN_SU'!C136)</f>
        <v/>
      </c>
      <c r="D136" s="234">
        <f>IF(OR('DM_NHAN_SU'!$B136="",'DM_NHAN_SU'!$G136=""),"",'DM_NHAN_SU'!G136)</f>
        <v/>
      </c>
      <c r="E136" s="127" t="n"/>
      <c r="F136" s="222" t="n"/>
      <c r="G136" s="222" t="n"/>
      <c r="H136" s="232">
        <f>IF($B136="","",'NGHI_PHEP'!K136)</f>
        <v/>
      </c>
      <c r="I136" s="227" t="n"/>
      <c r="J136" s="222" t="n"/>
      <c r="K136" s="227" t="n"/>
      <c r="L136" s="224">
        <f>IF(OR($B136="",$E136&lt;&gt;"Có"),0,IF($K136&gt;0,$I136*$J136/$K136,0))</f>
        <v/>
      </c>
      <c r="M136" s="222" t="n"/>
      <c r="N136" s="227" t="n"/>
      <c r="O136" s="224">
        <f>IF(OR($B136="",$E136&lt;&gt;"Có"),0,$M136*$N136*0.5)</f>
        <v/>
      </c>
      <c r="P136" s="222" t="n"/>
      <c r="Q136" s="224">
        <f>IF(OR($B136="",$E136&lt;&gt;"Có"),0,MIN($P136,$O136))</f>
        <v/>
      </c>
      <c r="R136" s="224">
        <f>IF(OR($B136="",$E136&lt;&gt;"Có"),0,MAX($P136-$O136,0))</f>
        <v/>
      </c>
      <c r="S136" s="227" t="n"/>
      <c r="T136" s="224">
        <f>IF(OR($B136="",$E136&lt;&gt;"Có",$S136&lt;=0),0,$M136*MAX($S136,2))</f>
        <v/>
      </c>
      <c r="U136" s="222" t="n"/>
      <c r="V136" s="224">
        <f>IF(OR($B136="",$E136&lt;&gt;"Có"),0,MIN($U136,$T136))</f>
        <v/>
      </c>
      <c r="W136" s="224">
        <f>IF(OR($B136="",$E136&lt;&gt;"Có"),0,MAX($U136-$T136,0))</f>
        <v/>
      </c>
      <c r="X136" s="222" t="n"/>
      <c r="Y136" s="222" t="n"/>
      <c r="Z136" s="222" t="n"/>
      <c r="AA136" s="222" t="n"/>
      <c r="AB136" s="224">
        <f>IF(OR($B136="",$E136&lt;&gt;"Có"),0,SUM($L136,$Q136,$V136,$X136))</f>
        <v/>
      </c>
      <c r="AC136" s="224">
        <f>IF(OR($B136="",$E136&lt;&gt;"Có"),0,SUM($F136,$G136,$R136,$W136,$Y136))</f>
        <v/>
      </c>
      <c r="AD136" s="224">
        <f>IF(OR($B136="",$E136&lt;&gt;"Có"),0,SUM($Z136:$AA136))</f>
        <v/>
      </c>
      <c r="AE136" s="224">
        <f>IF(OR($B136="",$E136&lt;&gt;"Có"),0,$AB136+$AC136-$AD136)</f>
        <v/>
      </c>
      <c r="AF136" s="150">
        <f>IF($B136="","",IF(AND($E136="Có",$D136=""),"Thiếu ngày nghỉ; ","")&amp;IF($I136&gt;MAX($H136,0),"Ngày phép thanh toán vượt số còn lại; ","")&amp;IF(AND($I136&gt;0,OR($J136&lt;=0,$K136&lt;=0)),"Thiếu lương/công chuẩn tháng trước; ","")&amp;IF(AND(SUM($N136,$S136)&gt;0,$M136&lt;=0),"Thiếu bình quân lương 06 tháng; ","")&amp;IF($X136&gt;0,"Bồi thường miễn thuế cần căn cứ và hồ sơ; ","")&amp;IF($AE136&lt;0,"Tổng chi thêm âm; ",""))</f>
        <v/>
      </c>
    </row>
    <row r="137">
      <c r="A137" s="145">
        <f>IF('DM_NHAN_SU'!$B137="","",ROW()-5)</f>
        <v/>
      </c>
      <c r="B137" s="145">
        <f>IF('DM_NHAN_SU'!$B137="","",'DM_NHAN_SU'!B137)</f>
        <v/>
      </c>
      <c r="C137" s="145">
        <f>IF('DM_NHAN_SU'!$B137="","",'DM_NHAN_SU'!C137)</f>
        <v/>
      </c>
      <c r="D137" s="234">
        <f>IF(OR('DM_NHAN_SU'!$B137="",'DM_NHAN_SU'!$G137=""),"",'DM_NHAN_SU'!G137)</f>
        <v/>
      </c>
      <c r="E137" s="127" t="n"/>
      <c r="F137" s="222" t="n"/>
      <c r="G137" s="222" t="n"/>
      <c r="H137" s="232">
        <f>IF($B137="","",'NGHI_PHEP'!K137)</f>
        <v/>
      </c>
      <c r="I137" s="227" t="n"/>
      <c r="J137" s="222" t="n"/>
      <c r="K137" s="227" t="n"/>
      <c r="L137" s="224">
        <f>IF(OR($B137="",$E137&lt;&gt;"Có"),0,IF($K137&gt;0,$I137*$J137/$K137,0))</f>
        <v/>
      </c>
      <c r="M137" s="222" t="n"/>
      <c r="N137" s="227" t="n"/>
      <c r="O137" s="224">
        <f>IF(OR($B137="",$E137&lt;&gt;"Có"),0,$M137*$N137*0.5)</f>
        <v/>
      </c>
      <c r="P137" s="222" t="n"/>
      <c r="Q137" s="224">
        <f>IF(OR($B137="",$E137&lt;&gt;"Có"),0,MIN($P137,$O137))</f>
        <v/>
      </c>
      <c r="R137" s="224">
        <f>IF(OR($B137="",$E137&lt;&gt;"Có"),0,MAX($P137-$O137,0))</f>
        <v/>
      </c>
      <c r="S137" s="227" t="n"/>
      <c r="T137" s="224">
        <f>IF(OR($B137="",$E137&lt;&gt;"Có",$S137&lt;=0),0,$M137*MAX($S137,2))</f>
        <v/>
      </c>
      <c r="U137" s="222" t="n"/>
      <c r="V137" s="224">
        <f>IF(OR($B137="",$E137&lt;&gt;"Có"),0,MIN($U137,$T137))</f>
        <v/>
      </c>
      <c r="W137" s="224">
        <f>IF(OR($B137="",$E137&lt;&gt;"Có"),0,MAX($U137-$T137,0))</f>
        <v/>
      </c>
      <c r="X137" s="222" t="n"/>
      <c r="Y137" s="222" t="n"/>
      <c r="Z137" s="222" t="n"/>
      <c r="AA137" s="222" t="n"/>
      <c r="AB137" s="224">
        <f>IF(OR($B137="",$E137&lt;&gt;"Có"),0,SUM($L137,$Q137,$V137,$X137))</f>
        <v/>
      </c>
      <c r="AC137" s="224">
        <f>IF(OR($B137="",$E137&lt;&gt;"Có"),0,SUM($F137,$G137,$R137,$W137,$Y137))</f>
        <v/>
      </c>
      <c r="AD137" s="224">
        <f>IF(OR($B137="",$E137&lt;&gt;"Có"),0,SUM($Z137:$AA137))</f>
        <v/>
      </c>
      <c r="AE137" s="224">
        <f>IF(OR($B137="",$E137&lt;&gt;"Có"),0,$AB137+$AC137-$AD137)</f>
        <v/>
      </c>
      <c r="AF137" s="150">
        <f>IF($B137="","",IF(AND($E137="Có",$D137=""),"Thiếu ngày nghỉ; ","")&amp;IF($I137&gt;MAX($H137,0),"Ngày phép thanh toán vượt số còn lại; ","")&amp;IF(AND($I137&gt;0,OR($J137&lt;=0,$K137&lt;=0)),"Thiếu lương/công chuẩn tháng trước; ","")&amp;IF(AND(SUM($N137,$S137)&gt;0,$M137&lt;=0),"Thiếu bình quân lương 06 tháng; ","")&amp;IF($X137&gt;0,"Bồi thường miễn thuế cần căn cứ và hồ sơ; ","")&amp;IF($AE137&lt;0,"Tổng chi thêm âm; ",""))</f>
        <v/>
      </c>
    </row>
    <row r="138">
      <c r="A138" s="145">
        <f>IF('DM_NHAN_SU'!$B138="","",ROW()-5)</f>
        <v/>
      </c>
      <c r="B138" s="145">
        <f>IF('DM_NHAN_SU'!$B138="","",'DM_NHAN_SU'!B138)</f>
        <v/>
      </c>
      <c r="C138" s="145">
        <f>IF('DM_NHAN_SU'!$B138="","",'DM_NHAN_SU'!C138)</f>
        <v/>
      </c>
      <c r="D138" s="234">
        <f>IF(OR('DM_NHAN_SU'!$B138="",'DM_NHAN_SU'!$G138=""),"",'DM_NHAN_SU'!G138)</f>
        <v/>
      </c>
      <c r="E138" s="127" t="n"/>
      <c r="F138" s="222" t="n"/>
      <c r="G138" s="222" t="n"/>
      <c r="H138" s="232">
        <f>IF($B138="","",'NGHI_PHEP'!K138)</f>
        <v/>
      </c>
      <c r="I138" s="227" t="n"/>
      <c r="J138" s="222" t="n"/>
      <c r="K138" s="227" t="n"/>
      <c r="L138" s="224">
        <f>IF(OR($B138="",$E138&lt;&gt;"Có"),0,IF($K138&gt;0,$I138*$J138/$K138,0))</f>
        <v/>
      </c>
      <c r="M138" s="222" t="n"/>
      <c r="N138" s="227" t="n"/>
      <c r="O138" s="224">
        <f>IF(OR($B138="",$E138&lt;&gt;"Có"),0,$M138*$N138*0.5)</f>
        <v/>
      </c>
      <c r="P138" s="222" t="n"/>
      <c r="Q138" s="224">
        <f>IF(OR($B138="",$E138&lt;&gt;"Có"),0,MIN($P138,$O138))</f>
        <v/>
      </c>
      <c r="R138" s="224">
        <f>IF(OR($B138="",$E138&lt;&gt;"Có"),0,MAX($P138-$O138,0))</f>
        <v/>
      </c>
      <c r="S138" s="227" t="n"/>
      <c r="T138" s="224">
        <f>IF(OR($B138="",$E138&lt;&gt;"Có",$S138&lt;=0),0,$M138*MAX($S138,2))</f>
        <v/>
      </c>
      <c r="U138" s="222" t="n"/>
      <c r="V138" s="224">
        <f>IF(OR($B138="",$E138&lt;&gt;"Có"),0,MIN($U138,$T138))</f>
        <v/>
      </c>
      <c r="W138" s="224">
        <f>IF(OR($B138="",$E138&lt;&gt;"Có"),0,MAX($U138-$T138,0))</f>
        <v/>
      </c>
      <c r="X138" s="222" t="n"/>
      <c r="Y138" s="222" t="n"/>
      <c r="Z138" s="222" t="n"/>
      <c r="AA138" s="222" t="n"/>
      <c r="AB138" s="224">
        <f>IF(OR($B138="",$E138&lt;&gt;"Có"),0,SUM($L138,$Q138,$V138,$X138))</f>
        <v/>
      </c>
      <c r="AC138" s="224">
        <f>IF(OR($B138="",$E138&lt;&gt;"Có"),0,SUM($F138,$G138,$R138,$W138,$Y138))</f>
        <v/>
      </c>
      <c r="AD138" s="224">
        <f>IF(OR($B138="",$E138&lt;&gt;"Có"),0,SUM($Z138:$AA138))</f>
        <v/>
      </c>
      <c r="AE138" s="224">
        <f>IF(OR($B138="",$E138&lt;&gt;"Có"),0,$AB138+$AC138-$AD138)</f>
        <v/>
      </c>
      <c r="AF138" s="150">
        <f>IF($B138="","",IF(AND($E138="Có",$D138=""),"Thiếu ngày nghỉ; ","")&amp;IF($I138&gt;MAX($H138,0),"Ngày phép thanh toán vượt số còn lại; ","")&amp;IF(AND($I138&gt;0,OR($J138&lt;=0,$K138&lt;=0)),"Thiếu lương/công chuẩn tháng trước; ","")&amp;IF(AND(SUM($N138,$S138)&gt;0,$M138&lt;=0),"Thiếu bình quân lương 06 tháng; ","")&amp;IF($X138&gt;0,"Bồi thường miễn thuế cần căn cứ và hồ sơ; ","")&amp;IF($AE138&lt;0,"Tổng chi thêm âm; ",""))</f>
        <v/>
      </c>
    </row>
    <row r="139">
      <c r="A139" s="145">
        <f>IF('DM_NHAN_SU'!$B139="","",ROW()-5)</f>
        <v/>
      </c>
      <c r="B139" s="145">
        <f>IF('DM_NHAN_SU'!$B139="","",'DM_NHAN_SU'!B139)</f>
        <v/>
      </c>
      <c r="C139" s="145">
        <f>IF('DM_NHAN_SU'!$B139="","",'DM_NHAN_SU'!C139)</f>
        <v/>
      </c>
      <c r="D139" s="234">
        <f>IF(OR('DM_NHAN_SU'!$B139="",'DM_NHAN_SU'!$G139=""),"",'DM_NHAN_SU'!G139)</f>
        <v/>
      </c>
      <c r="E139" s="127" t="n"/>
      <c r="F139" s="222" t="n"/>
      <c r="G139" s="222" t="n"/>
      <c r="H139" s="232">
        <f>IF($B139="","",'NGHI_PHEP'!K139)</f>
        <v/>
      </c>
      <c r="I139" s="227" t="n"/>
      <c r="J139" s="222" t="n"/>
      <c r="K139" s="227" t="n"/>
      <c r="L139" s="224">
        <f>IF(OR($B139="",$E139&lt;&gt;"Có"),0,IF($K139&gt;0,$I139*$J139/$K139,0))</f>
        <v/>
      </c>
      <c r="M139" s="222" t="n"/>
      <c r="N139" s="227" t="n"/>
      <c r="O139" s="224">
        <f>IF(OR($B139="",$E139&lt;&gt;"Có"),0,$M139*$N139*0.5)</f>
        <v/>
      </c>
      <c r="P139" s="222" t="n"/>
      <c r="Q139" s="224">
        <f>IF(OR($B139="",$E139&lt;&gt;"Có"),0,MIN($P139,$O139))</f>
        <v/>
      </c>
      <c r="R139" s="224">
        <f>IF(OR($B139="",$E139&lt;&gt;"Có"),0,MAX($P139-$O139,0))</f>
        <v/>
      </c>
      <c r="S139" s="227" t="n"/>
      <c r="T139" s="224">
        <f>IF(OR($B139="",$E139&lt;&gt;"Có",$S139&lt;=0),0,$M139*MAX($S139,2))</f>
        <v/>
      </c>
      <c r="U139" s="222" t="n"/>
      <c r="V139" s="224">
        <f>IF(OR($B139="",$E139&lt;&gt;"Có"),0,MIN($U139,$T139))</f>
        <v/>
      </c>
      <c r="W139" s="224">
        <f>IF(OR($B139="",$E139&lt;&gt;"Có"),0,MAX($U139-$T139,0))</f>
        <v/>
      </c>
      <c r="X139" s="222" t="n"/>
      <c r="Y139" s="222" t="n"/>
      <c r="Z139" s="222" t="n"/>
      <c r="AA139" s="222" t="n"/>
      <c r="AB139" s="224">
        <f>IF(OR($B139="",$E139&lt;&gt;"Có"),0,SUM($L139,$Q139,$V139,$X139))</f>
        <v/>
      </c>
      <c r="AC139" s="224">
        <f>IF(OR($B139="",$E139&lt;&gt;"Có"),0,SUM($F139,$G139,$R139,$W139,$Y139))</f>
        <v/>
      </c>
      <c r="AD139" s="224">
        <f>IF(OR($B139="",$E139&lt;&gt;"Có"),0,SUM($Z139:$AA139))</f>
        <v/>
      </c>
      <c r="AE139" s="224">
        <f>IF(OR($B139="",$E139&lt;&gt;"Có"),0,$AB139+$AC139-$AD139)</f>
        <v/>
      </c>
      <c r="AF139" s="150">
        <f>IF($B139="","",IF(AND($E139="Có",$D139=""),"Thiếu ngày nghỉ; ","")&amp;IF($I139&gt;MAX($H139,0),"Ngày phép thanh toán vượt số còn lại; ","")&amp;IF(AND($I139&gt;0,OR($J139&lt;=0,$K139&lt;=0)),"Thiếu lương/công chuẩn tháng trước; ","")&amp;IF(AND(SUM($N139,$S139)&gt;0,$M139&lt;=0),"Thiếu bình quân lương 06 tháng; ","")&amp;IF($X139&gt;0,"Bồi thường miễn thuế cần căn cứ và hồ sơ; ","")&amp;IF($AE139&lt;0,"Tổng chi thêm âm; ",""))</f>
        <v/>
      </c>
    </row>
    <row r="140">
      <c r="A140" s="145">
        <f>IF('DM_NHAN_SU'!$B140="","",ROW()-5)</f>
        <v/>
      </c>
      <c r="B140" s="145">
        <f>IF('DM_NHAN_SU'!$B140="","",'DM_NHAN_SU'!B140)</f>
        <v/>
      </c>
      <c r="C140" s="145">
        <f>IF('DM_NHAN_SU'!$B140="","",'DM_NHAN_SU'!C140)</f>
        <v/>
      </c>
      <c r="D140" s="234">
        <f>IF(OR('DM_NHAN_SU'!$B140="",'DM_NHAN_SU'!$G140=""),"",'DM_NHAN_SU'!G140)</f>
        <v/>
      </c>
      <c r="E140" s="127" t="n"/>
      <c r="F140" s="222" t="n"/>
      <c r="G140" s="222" t="n"/>
      <c r="H140" s="232">
        <f>IF($B140="","",'NGHI_PHEP'!K140)</f>
        <v/>
      </c>
      <c r="I140" s="227" t="n"/>
      <c r="J140" s="222" t="n"/>
      <c r="K140" s="227" t="n"/>
      <c r="L140" s="224">
        <f>IF(OR($B140="",$E140&lt;&gt;"Có"),0,IF($K140&gt;0,$I140*$J140/$K140,0))</f>
        <v/>
      </c>
      <c r="M140" s="222" t="n"/>
      <c r="N140" s="227" t="n"/>
      <c r="O140" s="224">
        <f>IF(OR($B140="",$E140&lt;&gt;"Có"),0,$M140*$N140*0.5)</f>
        <v/>
      </c>
      <c r="P140" s="222" t="n"/>
      <c r="Q140" s="224">
        <f>IF(OR($B140="",$E140&lt;&gt;"Có"),0,MIN($P140,$O140))</f>
        <v/>
      </c>
      <c r="R140" s="224">
        <f>IF(OR($B140="",$E140&lt;&gt;"Có"),0,MAX($P140-$O140,0))</f>
        <v/>
      </c>
      <c r="S140" s="227" t="n"/>
      <c r="T140" s="224">
        <f>IF(OR($B140="",$E140&lt;&gt;"Có",$S140&lt;=0),0,$M140*MAX($S140,2))</f>
        <v/>
      </c>
      <c r="U140" s="222" t="n"/>
      <c r="V140" s="224">
        <f>IF(OR($B140="",$E140&lt;&gt;"Có"),0,MIN($U140,$T140))</f>
        <v/>
      </c>
      <c r="W140" s="224">
        <f>IF(OR($B140="",$E140&lt;&gt;"Có"),0,MAX($U140-$T140,0))</f>
        <v/>
      </c>
      <c r="X140" s="222" t="n"/>
      <c r="Y140" s="222" t="n"/>
      <c r="Z140" s="222" t="n"/>
      <c r="AA140" s="222" t="n"/>
      <c r="AB140" s="224">
        <f>IF(OR($B140="",$E140&lt;&gt;"Có"),0,SUM($L140,$Q140,$V140,$X140))</f>
        <v/>
      </c>
      <c r="AC140" s="224">
        <f>IF(OR($B140="",$E140&lt;&gt;"Có"),0,SUM($F140,$G140,$R140,$W140,$Y140))</f>
        <v/>
      </c>
      <c r="AD140" s="224">
        <f>IF(OR($B140="",$E140&lt;&gt;"Có"),0,SUM($Z140:$AA140))</f>
        <v/>
      </c>
      <c r="AE140" s="224">
        <f>IF(OR($B140="",$E140&lt;&gt;"Có"),0,$AB140+$AC140-$AD140)</f>
        <v/>
      </c>
      <c r="AF140" s="150">
        <f>IF($B140="","",IF(AND($E140="Có",$D140=""),"Thiếu ngày nghỉ; ","")&amp;IF($I140&gt;MAX($H140,0),"Ngày phép thanh toán vượt số còn lại; ","")&amp;IF(AND($I140&gt;0,OR($J140&lt;=0,$K140&lt;=0)),"Thiếu lương/công chuẩn tháng trước; ","")&amp;IF(AND(SUM($N140,$S140)&gt;0,$M140&lt;=0),"Thiếu bình quân lương 06 tháng; ","")&amp;IF($X140&gt;0,"Bồi thường miễn thuế cần căn cứ và hồ sơ; ","")&amp;IF($AE140&lt;0,"Tổng chi thêm âm; ",""))</f>
        <v/>
      </c>
    </row>
    <row r="141">
      <c r="A141" s="145">
        <f>IF('DM_NHAN_SU'!$B141="","",ROW()-5)</f>
        <v/>
      </c>
      <c r="B141" s="145">
        <f>IF('DM_NHAN_SU'!$B141="","",'DM_NHAN_SU'!B141)</f>
        <v/>
      </c>
      <c r="C141" s="145">
        <f>IF('DM_NHAN_SU'!$B141="","",'DM_NHAN_SU'!C141)</f>
        <v/>
      </c>
      <c r="D141" s="234">
        <f>IF(OR('DM_NHAN_SU'!$B141="",'DM_NHAN_SU'!$G141=""),"",'DM_NHAN_SU'!G141)</f>
        <v/>
      </c>
      <c r="E141" s="127" t="n"/>
      <c r="F141" s="222" t="n"/>
      <c r="G141" s="222" t="n"/>
      <c r="H141" s="232">
        <f>IF($B141="","",'NGHI_PHEP'!K141)</f>
        <v/>
      </c>
      <c r="I141" s="227" t="n"/>
      <c r="J141" s="222" t="n"/>
      <c r="K141" s="227" t="n"/>
      <c r="L141" s="224">
        <f>IF(OR($B141="",$E141&lt;&gt;"Có"),0,IF($K141&gt;0,$I141*$J141/$K141,0))</f>
        <v/>
      </c>
      <c r="M141" s="222" t="n"/>
      <c r="N141" s="227" t="n"/>
      <c r="O141" s="224">
        <f>IF(OR($B141="",$E141&lt;&gt;"Có"),0,$M141*$N141*0.5)</f>
        <v/>
      </c>
      <c r="P141" s="222" t="n"/>
      <c r="Q141" s="224">
        <f>IF(OR($B141="",$E141&lt;&gt;"Có"),0,MIN($P141,$O141))</f>
        <v/>
      </c>
      <c r="R141" s="224">
        <f>IF(OR($B141="",$E141&lt;&gt;"Có"),0,MAX($P141-$O141,0))</f>
        <v/>
      </c>
      <c r="S141" s="227" t="n"/>
      <c r="T141" s="224">
        <f>IF(OR($B141="",$E141&lt;&gt;"Có",$S141&lt;=0),0,$M141*MAX($S141,2))</f>
        <v/>
      </c>
      <c r="U141" s="222" t="n"/>
      <c r="V141" s="224">
        <f>IF(OR($B141="",$E141&lt;&gt;"Có"),0,MIN($U141,$T141))</f>
        <v/>
      </c>
      <c r="W141" s="224">
        <f>IF(OR($B141="",$E141&lt;&gt;"Có"),0,MAX($U141-$T141,0))</f>
        <v/>
      </c>
      <c r="X141" s="222" t="n"/>
      <c r="Y141" s="222" t="n"/>
      <c r="Z141" s="222" t="n"/>
      <c r="AA141" s="222" t="n"/>
      <c r="AB141" s="224">
        <f>IF(OR($B141="",$E141&lt;&gt;"Có"),0,SUM($L141,$Q141,$V141,$X141))</f>
        <v/>
      </c>
      <c r="AC141" s="224">
        <f>IF(OR($B141="",$E141&lt;&gt;"Có"),0,SUM($F141,$G141,$R141,$W141,$Y141))</f>
        <v/>
      </c>
      <c r="AD141" s="224">
        <f>IF(OR($B141="",$E141&lt;&gt;"Có"),0,SUM($Z141:$AA141))</f>
        <v/>
      </c>
      <c r="AE141" s="224">
        <f>IF(OR($B141="",$E141&lt;&gt;"Có"),0,$AB141+$AC141-$AD141)</f>
        <v/>
      </c>
      <c r="AF141" s="150">
        <f>IF($B141="","",IF(AND($E141="Có",$D141=""),"Thiếu ngày nghỉ; ","")&amp;IF($I141&gt;MAX($H141,0),"Ngày phép thanh toán vượt số còn lại; ","")&amp;IF(AND($I141&gt;0,OR($J141&lt;=0,$K141&lt;=0)),"Thiếu lương/công chuẩn tháng trước; ","")&amp;IF(AND(SUM($N141,$S141)&gt;0,$M141&lt;=0),"Thiếu bình quân lương 06 tháng; ","")&amp;IF($X141&gt;0,"Bồi thường miễn thuế cần căn cứ và hồ sơ; ","")&amp;IF($AE141&lt;0,"Tổng chi thêm âm; ",""))</f>
        <v/>
      </c>
    </row>
    <row r="142">
      <c r="A142" s="145">
        <f>IF('DM_NHAN_SU'!$B142="","",ROW()-5)</f>
        <v/>
      </c>
      <c r="B142" s="145">
        <f>IF('DM_NHAN_SU'!$B142="","",'DM_NHAN_SU'!B142)</f>
        <v/>
      </c>
      <c r="C142" s="145">
        <f>IF('DM_NHAN_SU'!$B142="","",'DM_NHAN_SU'!C142)</f>
        <v/>
      </c>
      <c r="D142" s="234">
        <f>IF(OR('DM_NHAN_SU'!$B142="",'DM_NHAN_SU'!$G142=""),"",'DM_NHAN_SU'!G142)</f>
        <v/>
      </c>
      <c r="E142" s="127" t="n"/>
      <c r="F142" s="222" t="n"/>
      <c r="G142" s="222" t="n"/>
      <c r="H142" s="232">
        <f>IF($B142="","",'NGHI_PHEP'!K142)</f>
        <v/>
      </c>
      <c r="I142" s="227" t="n"/>
      <c r="J142" s="222" t="n"/>
      <c r="K142" s="227" t="n"/>
      <c r="L142" s="224">
        <f>IF(OR($B142="",$E142&lt;&gt;"Có"),0,IF($K142&gt;0,$I142*$J142/$K142,0))</f>
        <v/>
      </c>
      <c r="M142" s="222" t="n"/>
      <c r="N142" s="227" t="n"/>
      <c r="O142" s="224">
        <f>IF(OR($B142="",$E142&lt;&gt;"Có"),0,$M142*$N142*0.5)</f>
        <v/>
      </c>
      <c r="P142" s="222" t="n"/>
      <c r="Q142" s="224">
        <f>IF(OR($B142="",$E142&lt;&gt;"Có"),0,MIN($P142,$O142))</f>
        <v/>
      </c>
      <c r="R142" s="224">
        <f>IF(OR($B142="",$E142&lt;&gt;"Có"),0,MAX($P142-$O142,0))</f>
        <v/>
      </c>
      <c r="S142" s="227" t="n"/>
      <c r="T142" s="224">
        <f>IF(OR($B142="",$E142&lt;&gt;"Có",$S142&lt;=0),0,$M142*MAX($S142,2))</f>
        <v/>
      </c>
      <c r="U142" s="222" t="n"/>
      <c r="V142" s="224">
        <f>IF(OR($B142="",$E142&lt;&gt;"Có"),0,MIN($U142,$T142))</f>
        <v/>
      </c>
      <c r="W142" s="224">
        <f>IF(OR($B142="",$E142&lt;&gt;"Có"),0,MAX($U142-$T142,0))</f>
        <v/>
      </c>
      <c r="X142" s="222" t="n"/>
      <c r="Y142" s="222" t="n"/>
      <c r="Z142" s="222" t="n"/>
      <c r="AA142" s="222" t="n"/>
      <c r="AB142" s="224">
        <f>IF(OR($B142="",$E142&lt;&gt;"Có"),0,SUM($L142,$Q142,$V142,$X142))</f>
        <v/>
      </c>
      <c r="AC142" s="224">
        <f>IF(OR($B142="",$E142&lt;&gt;"Có"),0,SUM($F142,$G142,$R142,$W142,$Y142))</f>
        <v/>
      </c>
      <c r="AD142" s="224">
        <f>IF(OR($B142="",$E142&lt;&gt;"Có"),0,SUM($Z142:$AA142))</f>
        <v/>
      </c>
      <c r="AE142" s="224">
        <f>IF(OR($B142="",$E142&lt;&gt;"Có"),0,$AB142+$AC142-$AD142)</f>
        <v/>
      </c>
      <c r="AF142" s="150">
        <f>IF($B142="","",IF(AND($E142="Có",$D142=""),"Thiếu ngày nghỉ; ","")&amp;IF($I142&gt;MAX($H142,0),"Ngày phép thanh toán vượt số còn lại; ","")&amp;IF(AND($I142&gt;0,OR($J142&lt;=0,$K142&lt;=0)),"Thiếu lương/công chuẩn tháng trước; ","")&amp;IF(AND(SUM($N142,$S142)&gt;0,$M142&lt;=0),"Thiếu bình quân lương 06 tháng; ","")&amp;IF($X142&gt;0,"Bồi thường miễn thuế cần căn cứ và hồ sơ; ","")&amp;IF($AE142&lt;0,"Tổng chi thêm âm; ",""))</f>
        <v/>
      </c>
    </row>
    <row r="143">
      <c r="A143" s="145">
        <f>IF('DM_NHAN_SU'!$B143="","",ROW()-5)</f>
        <v/>
      </c>
      <c r="B143" s="145">
        <f>IF('DM_NHAN_SU'!$B143="","",'DM_NHAN_SU'!B143)</f>
        <v/>
      </c>
      <c r="C143" s="145">
        <f>IF('DM_NHAN_SU'!$B143="","",'DM_NHAN_SU'!C143)</f>
        <v/>
      </c>
      <c r="D143" s="234">
        <f>IF(OR('DM_NHAN_SU'!$B143="",'DM_NHAN_SU'!$G143=""),"",'DM_NHAN_SU'!G143)</f>
        <v/>
      </c>
      <c r="E143" s="127" t="n"/>
      <c r="F143" s="222" t="n"/>
      <c r="G143" s="222" t="n"/>
      <c r="H143" s="232">
        <f>IF($B143="","",'NGHI_PHEP'!K143)</f>
        <v/>
      </c>
      <c r="I143" s="227" t="n"/>
      <c r="J143" s="222" t="n"/>
      <c r="K143" s="227" t="n"/>
      <c r="L143" s="224">
        <f>IF(OR($B143="",$E143&lt;&gt;"Có"),0,IF($K143&gt;0,$I143*$J143/$K143,0))</f>
        <v/>
      </c>
      <c r="M143" s="222" t="n"/>
      <c r="N143" s="227" t="n"/>
      <c r="O143" s="224">
        <f>IF(OR($B143="",$E143&lt;&gt;"Có"),0,$M143*$N143*0.5)</f>
        <v/>
      </c>
      <c r="P143" s="222" t="n"/>
      <c r="Q143" s="224">
        <f>IF(OR($B143="",$E143&lt;&gt;"Có"),0,MIN($P143,$O143))</f>
        <v/>
      </c>
      <c r="R143" s="224">
        <f>IF(OR($B143="",$E143&lt;&gt;"Có"),0,MAX($P143-$O143,0))</f>
        <v/>
      </c>
      <c r="S143" s="227" t="n"/>
      <c r="T143" s="224">
        <f>IF(OR($B143="",$E143&lt;&gt;"Có",$S143&lt;=0),0,$M143*MAX($S143,2))</f>
        <v/>
      </c>
      <c r="U143" s="222" t="n"/>
      <c r="V143" s="224">
        <f>IF(OR($B143="",$E143&lt;&gt;"Có"),0,MIN($U143,$T143))</f>
        <v/>
      </c>
      <c r="W143" s="224">
        <f>IF(OR($B143="",$E143&lt;&gt;"Có"),0,MAX($U143-$T143,0))</f>
        <v/>
      </c>
      <c r="X143" s="222" t="n"/>
      <c r="Y143" s="222" t="n"/>
      <c r="Z143" s="222" t="n"/>
      <c r="AA143" s="222" t="n"/>
      <c r="AB143" s="224">
        <f>IF(OR($B143="",$E143&lt;&gt;"Có"),0,SUM($L143,$Q143,$V143,$X143))</f>
        <v/>
      </c>
      <c r="AC143" s="224">
        <f>IF(OR($B143="",$E143&lt;&gt;"Có"),0,SUM($F143,$G143,$R143,$W143,$Y143))</f>
        <v/>
      </c>
      <c r="AD143" s="224">
        <f>IF(OR($B143="",$E143&lt;&gt;"Có"),0,SUM($Z143:$AA143))</f>
        <v/>
      </c>
      <c r="AE143" s="224">
        <f>IF(OR($B143="",$E143&lt;&gt;"Có"),0,$AB143+$AC143-$AD143)</f>
        <v/>
      </c>
      <c r="AF143" s="150">
        <f>IF($B143="","",IF(AND($E143="Có",$D143=""),"Thiếu ngày nghỉ; ","")&amp;IF($I143&gt;MAX($H143,0),"Ngày phép thanh toán vượt số còn lại; ","")&amp;IF(AND($I143&gt;0,OR($J143&lt;=0,$K143&lt;=0)),"Thiếu lương/công chuẩn tháng trước; ","")&amp;IF(AND(SUM($N143,$S143)&gt;0,$M143&lt;=0),"Thiếu bình quân lương 06 tháng; ","")&amp;IF($X143&gt;0,"Bồi thường miễn thuế cần căn cứ và hồ sơ; ","")&amp;IF($AE143&lt;0,"Tổng chi thêm âm; ",""))</f>
        <v/>
      </c>
    </row>
    <row r="144">
      <c r="A144" s="145">
        <f>IF('DM_NHAN_SU'!$B144="","",ROW()-5)</f>
        <v/>
      </c>
      <c r="B144" s="145">
        <f>IF('DM_NHAN_SU'!$B144="","",'DM_NHAN_SU'!B144)</f>
        <v/>
      </c>
      <c r="C144" s="145">
        <f>IF('DM_NHAN_SU'!$B144="","",'DM_NHAN_SU'!C144)</f>
        <v/>
      </c>
      <c r="D144" s="234">
        <f>IF(OR('DM_NHAN_SU'!$B144="",'DM_NHAN_SU'!$G144=""),"",'DM_NHAN_SU'!G144)</f>
        <v/>
      </c>
      <c r="E144" s="127" t="n"/>
      <c r="F144" s="222" t="n"/>
      <c r="G144" s="222" t="n"/>
      <c r="H144" s="232">
        <f>IF($B144="","",'NGHI_PHEP'!K144)</f>
        <v/>
      </c>
      <c r="I144" s="227" t="n"/>
      <c r="J144" s="222" t="n"/>
      <c r="K144" s="227" t="n"/>
      <c r="L144" s="224">
        <f>IF(OR($B144="",$E144&lt;&gt;"Có"),0,IF($K144&gt;0,$I144*$J144/$K144,0))</f>
        <v/>
      </c>
      <c r="M144" s="222" t="n"/>
      <c r="N144" s="227" t="n"/>
      <c r="O144" s="224">
        <f>IF(OR($B144="",$E144&lt;&gt;"Có"),0,$M144*$N144*0.5)</f>
        <v/>
      </c>
      <c r="P144" s="222" t="n"/>
      <c r="Q144" s="224">
        <f>IF(OR($B144="",$E144&lt;&gt;"Có"),0,MIN($P144,$O144))</f>
        <v/>
      </c>
      <c r="R144" s="224">
        <f>IF(OR($B144="",$E144&lt;&gt;"Có"),0,MAX($P144-$O144,0))</f>
        <v/>
      </c>
      <c r="S144" s="227" t="n"/>
      <c r="T144" s="224">
        <f>IF(OR($B144="",$E144&lt;&gt;"Có",$S144&lt;=0),0,$M144*MAX($S144,2))</f>
        <v/>
      </c>
      <c r="U144" s="222" t="n"/>
      <c r="V144" s="224">
        <f>IF(OR($B144="",$E144&lt;&gt;"Có"),0,MIN($U144,$T144))</f>
        <v/>
      </c>
      <c r="W144" s="224">
        <f>IF(OR($B144="",$E144&lt;&gt;"Có"),0,MAX($U144-$T144,0))</f>
        <v/>
      </c>
      <c r="X144" s="222" t="n"/>
      <c r="Y144" s="222" t="n"/>
      <c r="Z144" s="222" t="n"/>
      <c r="AA144" s="222" t="n"/>
      <c r="AB144" s="224">
        <f>IF(OR($B144="",$E144&lt;&gt;"Có"),0,SUM($L144,$Q144,$V144,$X144))</f>
        <v/>
      </c>
      <c r="AC144" s="224">
        <f>IF(OR($B144="",$E144&lt;&gt;"Có"),0,SUM($F144,$G144,$R144,$W144,$Y144))</f>
        <v/>
      </c>
      <c r="AD144" s="224">
        <f>IF(OR($B144="",$E144&lt;&gt;"Có"),0,SUM($Z144:$AA144))</f>
        <v/>
      </c>
      <c r="AE144" s="224">
        <f>IF(OR($B144="",$E144&lt;&gt;"Có"),0,$AB144+$AC144-$AD144)</f>
        <v/>
      </c>
      <c r="AF144" s="150">
        <f>IF($B144="","",IF(AND($E144="Có",$D144=""),"Thiếu ngày nghỉ; ","")&amp;IF($I144&gt;MAX($H144,0),"Ngày phép thanh toán vượt số còn lại; ","")&amp;IF(AND($I144&gt;0,OR($J144&lt;=0,$K144&lt;=0)),"Thiếu lương/công chuẩn tháng trước; ","")&amp;IF(AND(SUM($N144,$S144)&gt;0,$M144&lt;=0),"Thiếu bình quân lương 06 tháng; ","")&amp;IF($X144&gt;0,"Bồi thường miễn thuế cần căn cứ và hồ sơ; ","")&amp;IF($AE144&lt;0,"Tổng chi thêm âm; ",""))</f>
        <v/>
      </c>
    </row>
    <row r="145">
      <c r="A145" s="145">
        <f>IF('DM_NHAN_SU'!$B145="","",ROW()-5)</f>
        <v/>
      </c>
      <c r="B145" s="145">
        <f>IF('DM_NHAN_SU'!$B145="","",'DM_NHAN_SU'!B145)</f>
        <v/>
      </c>
      <c r="C145" s="145">
        <f>IF('DM_NHAN_SU'!$B145="","",'DM_NHAN_SU'!C145)</f>
        <v/>
      </c>
      <c r="D145" s="234">
        <f>IF(OR('DM_NHAN_SU'!$B145="",'DM_NHAN_SU'!$G145=""),"",'DM_NHAN_SU'!G145)</f>
        <v/>
      </c>
      <c r="E145" s="127" t="n"/>
      <c r="F145" s="222" t="n"/>
      <c r="G145" s="222" t="n"/>
      <c r="H145" s="232">
        <f>IF($B145="","",'NGHI_PHEP'!K145)</f>
        <v/>
      </c>
      <c r="I145" s="227" t="n"/>
      <c r="J145" s="222" t="n"/>
      <c r="K145" s="227" t="n"/>
      <c r="L145" s="224">
        <f>IF(OR($B145="",$E145&lt;&gt;"Có"),0,IF($K145&gt;0,$I145*$J145/$K145,0))</f>
        <v/>
      </c>
      <c r="M145" s="222" t="n"/>
      <c r="N145" s="227" t="n"/>
      <c r="O145" s="224">
        <f>IF(OR($B145="",$E145&lt;&gt;"Có"),0,$M145*$N145*0.5)</f>
        <v/>
      </c>
      <c r="P145" s="222" t="n"/>
      <c r="Q145" s="224">
        <f>IF(OR($B145="",$E145&lt;&gt;"Có"),0,MIN($P145,$O145))</f>
        <v/>
      </c>
      <c r="R145" s="224">
        <f>IF(OR($B145="",$E145&lt;&gt;"Có"),0,MAX($P145-$O145,0))</f>
        <v/>
      </c>
      <c r="S145" s="227" t="n"/>
      <c r="T145" s="224">
        <f>IF(OR($B145="",$E145&lt;&gt;"Có",$S145&lt;=0),0,$M145*MAX($S145,2))</f>
        <v/>
      </c>
      <c r="U145" s="222" t="n"/>
      <c r="V145" s="224">
        <f>IF(OR($B145="",$E145&lt;&gt;"Có"),0,MIN($U145,$T145))</f>
        <v/>
      </c>
      <c r="W145" s="224">
        <f>IF(OR($B145="",$E145&lt;&gt;"Có"),0,MAX($U145-$T145,0))</f>
        <v/>
      </c>
      <c r="X145" s="222" t="n"/>
      <c r="Y145" s="222" t="n"/>
      <c r="Z145" s="222" t="n"/>
      <c r="AA145" s="222" t="n"/>
      <c r="AB145" s="224">
        <f>IF(OR($B145="",$E145&lt;&gt;"Có"),0,SUM($L145,$Q145,$V145,$X145))</f>
        <v/>
      </c>
      <c r="AC145" s="224">
        <f>IF(OR($B145="",$E145&lt;&gt;"Có"),0,SUM($F145,$G145,$R145,$W145,$Y145))</f>
        <v/>
      </c>
      <c r="AD145" s="224">
        <f>IF(OR($B145="",$E145&lt;&gt;"Có"),0,SUM($Z145:$AA145))</f>
        <v/>
      </c>
      <c r="AE145" s="224">
        <f>IF(OR($B145="",$E145&lt;&gt;"Có"),0,$AB145+$AC145-$AD145)</f>
        <v/>
      </c>
      <c r="AF145" s="150">
        <f>IF($B145="","",IF(AND($E145="Có",$D145=""),"Thiếu ngày nghỉ; ","")&amp;IF($I145&gt;MAX($H145,0),"Ngày phép thanh toán vượt số còn lại; ","")&amp;IF(AND($I145&gt;0,OR($J145&lt;=0,$K145&lt;=0)),"Thiếu lương/công chuẩn tháng trước; ","")&amp;IF(AND(SUM($N145,$S145)&gt;0,$M145&lt;=0),"Thiếu bình quân lương 06 tháng; ","")&amp;IF($X145&gt;0,"Bồi thường miễn thuế cần căn cứ và hồ sơ; ","")&amp;IF($AE145&lt;0,"Tổng chi thêm âm; ",""))</f>
        <v/>
      </c>
    </row>
    <row r="146">
      <c r="A146" s="145">
        <f>IF('DM_NHAN_SU'!$B146="","",ROW()-5)</f>
        <v/>
      </c>
      <c r="B146" s="145">
        <f>IF('DM_NHAN_SU'!$B146="","",'DM_NHAN_SU'!B146)</f>
        <v/>
      </c>
      <c r="C146" s="145">
        <f>IF('DM_NHAN_SU'!$B146="","",'DM_NHAN_SU'!C146)</f>
        <v/>
      </c>
      <c r="D146" s="234">
        <f>IF(OR('DM_NHAN_SU'!$B146="",'DM_NHAN_SU'!$G146=""),"",'DM_NHAN_SU'!G146)</f>
        <v/>
      </c>
      <c r="E146" s="127" t="n"/>
      <c r="F146" s="222" t="n"/>
      <c r="G146" s="222" t="n"/>
      <c r="H146" s="232">
        <f>IF($B146="","",'NGHI_PHEP'!K146)</f>
        <v/>
      </c>
      <c r="I146" s="227" t="n"/>
      <c r="J146" s="222" t="n"/>
      <c r="K146" s="227" t="n"/>
      <c r="L146" s="224">
        <f>IF(OR($B146="",$E146&lt;&gt;"Có"),0,IF($K146&gt;0,$I146*$J146/$K146,0))</f>
        <v/>
      </c>
      <c r="M146" s="222" t="n"/>
      <c r="N146" s="227" t="n"/>
      <c r="O146" s="224">
        <f>IF(OR($B146="",$E146&lt;&gt;"Có"),0,$M146*$N146*0.5)</f>
        <v/>
      </c>
      <c r="P146" s="222" t="n"/>
      <c r="Q146" s="224">
        <f>IF(OR($B146="",$E146&lt;&gt;"Có"),0,MIN($P146,$O146))</f>
        <v/>
      </c>
      <c r="R146" s="224">
        <f>IF(OR($B146="",$E146&lt;&gt;"Có"),0,MAX($P146-$O146,0))</f>
        <v/>
      </c>
      <c r="S146" s="227" t="n"/>
      <c r="T146" s="224">
        <f>IF(OR($B146="",$E146&lt;&gt;"Có",$S146&lt;=0),0,$M146*MAX($S146,2))</f>
        <v/>
      </c>
      <c r="U146" s="222" t="n"/>
      <c r="V146" s="224">
        <f>IF(OR($B146="",$E146&lt;&gt;"Có"),0,MIN($U146,$T146))</f>
        <v/>
      </c>
      <c r="W146" s="224">
        <f>IF(OR($B146="",$E146&lt;&gt;"Có"),0,MAX($U146-$T146,0))</f>
        <v/>
      </c>
      <c r="X146" s="222" t="n"/>
      <c r="Y146" s="222" t="n"/>
      <c r="Z146" s="222" t="n"/>
      <c r="AA146" s="222" t="n"/>
      <c r="AB146" s="224">
        <f>IF(OR($B146="",$E146&lt;&gt;"Có"),0,SUM($L146,$Q146,$V146,$X146))</f>
        <v/>
      </c>
      <c r="AC146" s="224">
        <f>IF(OR($B146="",$E146&lt;&gt;"Có"),0,SUM($F146,$G146,$R146,$W146,$Y146))</f>
        <v/>
      </c>
      <c r="AD146" s="224">
        <f>IF(OR($B146="",$E146&lt;&gt;"Có"),0,SUM($Z146:$AA146))</f>
        <v/>
      </c>
      <c r="AE146" s="224">
        <f>IF(OR($B146="",$E146&lt;&gt;"Có"),0,$AB146+$AC146-$AD146)</f>
        <v/>
      </c>
      <c r="AF146" s="150">
        <f>IF($B146="","",IF(AND($E146="Có",$D146=""),"Thiếu ngày nghỉ; ","")&amp;IF($I146&gt;MAX($H146,0),"Ngày phép thanh toán vượt số còn lại; ","")&amp;IF(AND($I146&gt;0,OR($J146&lt;=0,$K146&lt;=0)),"Thiếu lương/công chuẩn tháng trước; ","")&amp;IF(AND(SUM($N146,$S146)&gt;0,$M146&lt;=0),"Thiếu bình quân lương 06 tháng; ","")&amp;IF($X146&gt;0,"Bồi thường miễn thuế cần căn cứ và hồ sơ; ","")&amp;IF($AE146&lt;0,"Tổng chi thêm âm; ",""))</f>
        <v/>
      </c>
    </row>
    <row r="147">
      <c r="A147" s="145">
        <f>IF('DM_NHAN_SU'!$B147="","",ROW()-5)</f>
        <v/>
      </c>
      <c r="B147" s="145">
        <f>IF('DM_NHAN_SU'!$B147="","",'DM_NHAN_SU'!B147)</f>
        <v/>
      </c>
      <c r="C147" s="145">
        <f>IF('DM_NHAN_SU'!$B147="","",'DM_NHAN_SU'!C147)</f>
        <v/>
      </c>
      <c r="D147" s="234">
        <f>IF(OR('DM_NHAN_SU'!$B147="",'DM_NHAN_SU'!$G147=""),"",'DM_NHAN_SU'!G147)</f>
        <v/>
      </c>
      <c r="E147" s="127" t="n"/>
      <c r="F147" s="222" t="n"/>
      <c r="G147" s="222" t="n"/>
      <c r="H147" s="232">
        <f>IF($B147="","",'NGHI_PHEP'!K147)</f>
        <v/>
      </c>
      <c r="I147" s="227" t="n"/>
      <c r="J147" s="222" t="n"/>
      <c r="K147" s="227" t="n"/>
      <c r="L147" s="224">
        <f>IF(OR($B147="",$E147&lt;&gt;"Có"),0,IF($K147&gt;0,$I147*$J147/$K147,0))</f>
        <v/>
      </c>
      <c r="M147" s="222" t="n"/>
      <c r="N147" s="227" t="n"/>
      <c r="O147" s="224">
        <f>IF(OR($B147="",$E147&lt;&gt;"Có"),0,$M147*$N147*0.5)</f>
        <v/>
      </c>
      <c r="P147" s="222" t="n"/>
      <c r="Q147" s="224">
        <f>IF(OR($B147="",$E147&lt;&gt;"Có"),0,MIN($P147,$O147))</f>
        <v/>
      </c>
      <c r="R147" s="224">
        <f>IF(OR($B147="",$E147&lt;&gt;"Có"),0,MAX($P147-$O147,0))</f>
        <v/>
      </c>
      <c r="S147" s="227" t="n"/>
      <c r="T147" s="224">
        <f>IF(OR($B147="",$E147&lt;&gt;"Có",$S147&lt;=0),0,$M147*MAX($S147,2))</f>
        <v/>
      </c>
      <c r="U147" s="222" t="n"/>
      <c r="V147" s="224">
        <f>IF(OR($B147="",$E147&lt;&gt;"Có"),0,MIN($U147,$T147))</f>
        <v/>
      </c>
      <c r="W147" s="224">
        <f>IF(OR($B147="",$E147&lt;&gt;"Có"),0,MAX($U147-$T147,0))</f>
        <v/>
      </c>
      <c r="X147" s="222" t="n"/>
      <c r="Y147" s="222" t="n"/>
      <c r="Z147" s="222" t="n"/>
      <c r="AA147" s="222" t="n"/>
      <c r="AB147" s="224">
        <f>IF(OR($B147="",$E147&lt;&gt;"Có"),0,SUM($L147,$Q147,$V147,$X147))</f>
        <v/>
      </c>
      <c r="AC147" s="224">
        <f>IF(OR($B147="",$E147&lt;&gt;"Có"),0,SUM($F147,$G147,$R147,$W147,$Y147))</f>
        <v/>
      </c>
      <c r="AD147" s="224">
        <f>IF(OR($B147="",$E147&lt;&gt;"Có"),0,SUM($Z147:$AA147))</f>
        <v/>
      </c>
      <c r="AE147" s="224">
        <f>IF(OR($B147="",$E147&lt;&gt;"Có"),0,$AB147+$AC147-$AD147)</f>
        <v/>
      </c>
      <c r="AF147" s="150">
        <f>IF($B147="","",IF(AND($E147="Có",$D147=""),"Thiếu ngày nghỉ; ","")&amp;IF($I147&gt;MAX($H147,0),"Ngày phép thanh toán vượt số còn lại; ","")&amp;IF(AND($I147&gt;0,OR($J147&lt;=0,$K147&lt;=0)),"Thiếu lương/công chuẩn tháng trước; ","")&amp;IF(AND(SUM($N147,$S147)&gt;0,$M147&lt;=0),"Thiếu bình quân lương 06 tháng; ","")&amp;IF($X147&gt;0,"Bồi thường miễn thuế cần căn cứ và hồ sơ; ","")&amp;IF($AE147&lt;0,"Tổng chi thêm âm; ",""))</f>
        <v/>
      </c>
    </row>
    <row r="148">
      <c r="A148" s="145">
        <f>IF('DM_NHAN_SU'!$B148="","",ROW()-5)</f>
        <v/>
      </c>
      <c r="B148" s="145">
        <f>IF('DM_NHAN_SU'!$B148="","",'DM_NHAN_SU'!B148)</f>
        <v/>
      </c>
      <c r="C148" s="145">
        <f>IF('DM_NHAN_SU'!$B148="","",'DM_NHAN_SU'!C148)</f>
        <v/>
      </c>
      <c r="D148" s="234">
        <f>IF(OR('DM_NHAN_SU'!$B148="",'DM_NHAN_SU'!$G148=""),"",'DM_NHAN_SU'!G148)</f>
        <v/>
      </c>
      <c r="E148" s="127" t="n"/>
      <c r="F148" s="222" t="n"/>
      <c r="G148" s="222" t="n"/>
      <c r="H148" s="232">
        <f>IF($B148="","",'NGHI_PHEP'!K148)</f>
        <v/>
      </c>
      <c r="I148" s="227" t="n"/>
      <c r="J148" s="222" t="n"/>
      <c r="K148" s="227" t="n"/>
      <c r="L148" s="224">
        <f>IF(OR($B148="",$E148&lt;&gt;"Có"),0,IF($K148&gt;0,$I148*$J148/$K148,0))</f>
        <v/>
      </c>
      <c r="M148" s="222" t="n"/>
      <c r="N148" s="227" t="n"/>
      <c r="O148" s="224">
        <f>IF(OR($B148="",$E148&lt;&gt;"Có"),0,$M148*$N148*0.5)</f>
        <v/>
      </c>
      <c r="P148" s="222" t="n"/>
      <c r="Q148" s="224">
        <f>IF(OR($B148="",$E148&lt;&gt;"Có"),0,MIN($P148,$O148))</f>
        <v/>
      </c>
      <c r="R148" s="224">
        <f>IF(OR($B148="",$E148&lt;&gt;"Có"),0,MAX($P148-$O148,0))</f>
        <v/>
      </c>
      <c r="S148" s="227" t="n"/>
      <c r="T148" s="224">
        <f>IF(OR($B148="",$E148&lt;&gt;"Có",$S148&lt;=0),0,$M148*MAX($S148,2))</f>
        <v/>
      </c>
      <c r="U148" s="222" t="n"/>
      <c r="V148" s="224">
        <f>IF(OR($B148="",$E148&lt;&gt;"Có"),0,MIN($U148,$T148))</f>
        <v/>
      </c>
      <c r="W148" s="224">
        <f>IF(OR($B148="",$E148&lt;&gt;"Có"),0,MAX($U148-$T148,0))</f>
        <v/>
      </c>
      <c r="X148" s="222" t="n"/>
      <c r="Y148" s="222" t="n"/>
      <c r="Z148" s="222" t="n"/>
      <c r="AA148" s="222" t="n"/>
      <c r="AB148" s="224">
        <f>IF(OR($B148="",$E148&lt;&gt;"Có"),0,SUM($L148,$Q148,$V148,$X148))</f>
        <v/>
      </c>
      <c r="AC148" s="224">
        <f>IF(OR($B148="",$E148&lt;&gt;"Có"),0,SUM($F148,$G148,$R148,$W148,$Y148))</f>
        <v/>
      </c>
      <c r="AD148" s="224">
        <f>IF(OR($B148="",$E148&lt;&gt;"Có"),0,SUM($Z148:$AA148))</f>
        <v/>
      </c>
      <c r="AE148" s="224">
        <f>IF(OR($B148="",$E148&lt;&gt;"Có"),0,$AB148+$AC148-$AD148)</f>
        <v/>
      </c>
      <c r="AF148" s="150">
        <f>IF($B148="","",IF(AND($E148="Có",$D148=""),"Thiếu ngày nghỉ; ","")&amp;IF($I148&gt;MAX($H148,0),"Ngày phép thanh toán vượt số còn lại; ","")&amp;IF(AND($I148&gt;0,OR($J148&lt;=0,$K148&lt;=0)),"Thiếu lương/công chuẩn tháng trước; ","")&amp;IF(AND(SUM($N148,$S148)&gt;0,$M148&lt;=0),"Thiếu bình quân lương 06 tháng; ","")&amp;IF($X148&gt;0,"Bồi thường miễn thuế cần căn cứ và hồ sơ; ","")&amp;IF($AE148&lt;0,"Tổng chi thêm âm; ",""))</f>
        <v/>
      </c>
    </row>
    <row r="149">
      <c r="A149" s="145">
        <f>IF('DM_NHAN_SU'!$B149="","",ROW()-5)</f>
        <v/>
      </c>
      <c r="B149" s="145">
        <f>IF('DM_NHAN_SU'!$B149="","",'DM_NHAN_SU'!B149)</f>
        <v/>
      </c>
      <c r="C149" s="145">
        <f>IF('DM_NHAN_SU'!$B149="","",'DM_NHAN_SU'!C149)</f>
        <v/>
      </c>
      <c r="D149" s="234">
        <f>IF(OR('DM_NHAN_SU'!$B149="",'DM_NHAN_SU'!$G149=""),"",'DM_NHAN_SU'!G149)</f>
        <v/>
      </c>
      <c r="E149" s="127" t="n"/>
      <c r="F149" s="222" t="n"/>
      <c r="G149" s="222" t="n"/>
      <c r="H149" s="232">
        <f>IF($B149="","",'NGHI_PHEP'!K149)</f>
        <v/>
      </c>
      <c r="I149" s="227" t="n"/>
      <c r="J149" s="222" t="n"/>
      <c r="K149" s="227" t="n"/>
      <c r="L149" s="224">
        <f>IF(OR($B149="",$E149&lt;&gt;"Có"),0,IF($K149&gt;0,$I149*$J149/$K149,0))</f>
        <v/>
      </c>
      <c r="M149" s="222" t="n"/>
      <c r="N149" s="227" t="n"/>
      <c r="O149" s="224">
        <f>IF(OR($B149="",$E149&lt;&gt;"Có"),0,$M149*$N149*0.5)</f>
        <v/>
      </c>
      <c r="P149" s="222" t="n"/>
      <c r="Q149" s="224">
        <f>IF(OR($B149="",$E149&lt;&gt;"Có"),0,MIN($P149,$O149))</f>
        <v/>
      </c>
      <c r="R149" s="224">
        <f>IF(OR($B149="",$E149&lt;&gt;"Có"),0,MAX($P149-$O149,0))</f>
        <v/>
      </c>
      <c r="S149" s="227" t="n"/>
      <c r="T149" s="224">
        <f>IF(OR($B149="",$E149&lt;&gt;"Có",$S149&lt;=0),0,$M149*MAX($S149,2))</f>
        <v/>
      </c>
      <c r="U149" s="222" t="n"/>
      <c r="V149" s="224">
        <f>IF(OR($B149="",$E149&lt;&gt;"Có"),0,MIN($U149,$T149))</f>
        <v/>
      </c>
      <c r="W149" s="224">
        <f>IF(OR($B149="",$E149&lt;&gt;"Có"),0,MAX($U149-$T149,0))</f>
        <v/>
      </c>
      <c r="X149" s="222" t="n"/>
      <c r="Y149" s="222" t="n"/>
      <c r="Z149" s="222" t="n"/>
      <c r="AA149" s="222" t="n"/>
      <c r="AB149" s="224">
        <f>IF(OR($B149="",$E149&lt;&gt;"Có"),0,SUM($L149,$Q149,$V149,$X149))</f>
        <v/>
      </c>
      <c r="AC149" s="224">
        <f>IF(OR($B149="",$E149&lt;&gt;"Có"),0,SUM($F149,$G149,$R149,$W149,$Y149))</f>
        <v/>
      </c>
      <c r="AD149" s="224">
        <f>IF(OR($B149="",$E149&lt;&gt;"Có"),0,SUM($Z149:$AA149))</f>
        <v/>
      </c>
      <c r="AE149" s="224">
        <f>IF(OR($B149="",$E149&lt;&gt;"Có"),0,$AB149+$AC149-$AD149)</f>
        <v/>
      </c>
      <c r="AF149" s="150">
        <f>IF($B149="","",IF(AND($E149="Có",$D149=""),"Thiếu ngày nghỉ; ","")&amp;IF($I149&gt;MAX($H149,0),"Ngày phép thanh toán vượt số còn lại; ","")&amp;IF(AND($I149&gt;0,OR($J149&lt;=0,$K149&lt;=0)),"Thiếu lương/công chuẩn tháng trước; ","")&amp;IF(AND(SUM($N149,$S149)&gt;0,$M149&lt;=0),"Thiếu bình quân lương 06 tháng; ","")&amp;IF($X149&gt;0,"Bồi thường miễn thuế cần căn cứ và hồ sơ; ","")&amp;IF($AE149&lt;0,"Tổng chi thêm âm; ",""))</f>
        <v/>
      </c>
    </row>
    <row r="150">
      <c r="A150" s="145">
        <f>IF('DM_NHAN_SU'!$B150="","",ROW()-5)</f>
        <v/>
      </c>
      <c r="B150" s="145">
        <f>IF('DM_NHAN_SU'!$B150="","",'DM_NHAN_SU'!B150)</f>
        <v/>
      </c>
      <c r="C150" s="145">
        <f>IF('DM_NHAN_SU'!$B150="","",'DM_NHAN_SU'!C150)</f>
        <v/>
      </c>
      <c r="D150" s="234">
        <f>IF(OR('DM_NHAN_SU'!$B150="",'DM_NHAN_SU'!$G150=""),"",'DM_NHAN_SU'!G150)</f>
        <v/>
      </c>
      <c r="E150" s="127" t="n"/>
      <c r="F150" s="222" t="n"/>
      <c r="G150" s="222" t="n"/>
      <c r="H150" s="232">
        <f>IF($B150="","",'NGHI_PHEP'!K150)</f>
        <v/>
      </c>
      <c r="I150" s="227" t="n"/>
      <c r="J150" s="222" t="n"/>
      <c r="K150" s="227" t="n"/>
      <c r="L150" s="224">
        <f>IF(OR($B150="",$E150&lt;&gt;"Có"),0,IF($K150&gt;0,$I150*$J150/$K150,0))</f>
        <v/>
      </c>
      <c r="M150" s="222" t="n"/>
      <c r="N150" s="227" t="n"/>
      <c r="O150" s="224">
        <f>IF(OR($B150="",$E150&lt;&gt;"Có"),0,$M150*$N150*0.5)</f>
        <v/>
      </c>
      <c r="P150" s="222" t="n"/>
      <c r="Q150" s="224">
        <f>IF(OR($B150="",$E150&lt;&gt;"Có"),0,MIN($P150,$O150))</f>
        <v/>
      </c>
      <c r="R150" s="224">
        <f>IF(OR($B150="",$E150&lt;&gt;"Có"),0,MAX($P150-$O150,0))</f>
        <v/>
      </c>
      <c r="S150" s="227" t="n"/>
      <c r="T150" s="224">
        <f>IF(OR($B150="",$E150&lt;&gt;"Có",$S150&lt;=0),0,$M150*MAX($S150,2))</f>
        <v/>
      </c>
      <c r="U150" s="222" t="n"/>
      <c r="V150" s="224">
        <f>IF(OR($B150="",$E150&lt;&gt;"Có"),0,MIN($U150,$T150))</f>
        <v/>
      </c>
      <c r="W150" s="224">
        <f>IF(OR($B150="",$E150&lt;&gt;"Có"),0,MAX($U150-$T150,0))</f>
        <v/>
      </c>
      <c r="X150" s="222" t="n"/>
      <c r="Y150" s="222" t="n"/>
      <c r="Z150" s="222" t="n"/>
      <c r="AA150" s="222" t="n"/>
      <c r="AB150" s="224">
        <f>IF(OR($B150="",$E150&lt;&gt;"Có"),0,SUM($L150,$Q150,$V150,$X150))</f>
        <v/>
      </c>
      <c r="AC150" s="224">
        <f>IF(OR($B150="",$E150&lt;&gt;"Có"),0,SUM($F150,$G150,$R150,$W150,$Y150))</f>
        <v/>
      </c>
      <c r="AD150" s="224">
        <f>IF(OR($B150="",$E150&lt;&gt;"Có"),0,SUM($Z150:$AA150))</f>
        <v/>
      </c>
      <c r="AE150" s="224">
        <f>IF(OR($B150="",$E150&lt;&gt;"Có"),0,$AB150+$AC150-$AD150)</f>
        <v/>
      </c>
      <c r="AF150" s="150">
        <f>IF($B150="","",IF(AND($E150="Có",$D150=""),"Thiếu ngày nghỉ; ","")&amp;IF($I150&gt;MAX($H150,0),"Ngày phép thanh toán vượt số còn lại; ","")&amp;IF(AND($I150&gt;0,OR($J150&lt;=0,$K150&lt;=0)),"Thiếu lương/công chuẩn tháng trước; ","")&amp;IF(AND(SUM($N150,$S150)&gt;0,$M150&lt;=0),"Thiếu bình quân lương 06 tháng; ","")&amp;IF($X150&gt;0,"Bồi thường miễn thuế cần căn cứ và hồ sơ; ","")&amp;IF($AE150&lt;0,"Tổng chi thêm âm; ",""))</f>
        <v/>
      </c>
    </row>
    <row r="151">
      <c r="A151" s="145">
        <f>IF('DM_NHAN_SU'!$B151="","",ROW()-5)</f>
        <v/>
      </c>
      <c r="B151" s="145">
        <f>IF('DM_NHAN_SU'!$B151="","",'DM_NHAN_SU'!B151)</f>
        <v/>
      </c>
      <c r="C151" s="145">
        <f>IF('DM_NHAN_SU'!$B151="","",'DM_NHAN_SU'!C151)</f>
        <v/>
      </c>
      <c r="D151" s="234">
        <f>IF(OR('DM_NHAN_SU'!$B151="",'DM_NHAN_SU'!$G151=""),"",'DM_NHAN_SU'!G151)</f>
        <v/>
      </c>
      <c r="E151" s="127" t="n"/>
      <c r="F151" s="222" t="n"/>
      <c r="G151" s="222" t="n"/>
      <c r="H151" s="232">
        <f>IF($B151="","",'NGHI_PHEP'!K151)</f>
        <v/>
      </c>
      <c r="I151" s="227" t="n"/>
      <c r="J151" s="222" t="n"/>
      <c r="K151" s="227" t="n"/>
      <c r="L151" s="224">
        <f>IF(OR($B151="",$E151&lt;&gt;"Có"),0,IF($K151&gt;0,$I151*$J151/$K151,0))</f>
        <v/>
      </c>
      <c r="M151" s="222" t="n"/>
      <c r="N151" s="227" t="n"/>
      <c r="O151" s="224">
        <f>IF(OR($B151="",$E151&lt;&gt;"Có"),0,$M151*$N151*0.5)</f>
        <v/>
      </c>
      <c r="P151" s="222" t="n"/>
      <c r="Q151" s="224">
        <f>IF(OR($B151="",$E151&lt;&gt;"Có"),0,MIN($P151,$O151))</f>
        <v/>
      </c>
      <c r="R151" s="224">
        <f>IF(OR($B151="",$E151&lt;&gt;"Có"),0,MAX($P151-$O151,0))</f>
        <v/>
      </c>
      <c r="S151" s="227" t="n"/>
      <c r="T151" s="224">
        <f>IF(OR($B151="",$E151&lt;&gt;"Có",$S151&lt;=0),0,$M151*MAX($S151,2))</f>
        <v/>
      </c>
      <c r="U151" s="222" t="n"/>
      <c r="V151" s="224">
        <f>IF(OR($B151="",$E151&lt;&gt;"Có"),0,MIN($U151,$T151))</f>
        <v/>
      </c>
      <c r="W151" s="224">
        <f>IF(OR($B151="",$E151&lt;&gt;"Có"),0,MAX($U151-$T151,0))</f>
        <v/>
      </c>
      <c r="X151" s="222" t="n"/>
      <c r="Y151" s="222" t="n"/>
      <c r="Z151" s="222" t="n"/>
      <c r="AA151" s="222" t="n"/>
      <c r="AB151" s="224">
        <f>IF(OR($B151="",$E151&lt;&gt;"Có"),0,SUM($L151,$Q151,$V151,$X151))</f>
        <v/>
      </c>
      <c r="AC151" s="224">
        <f>IF(OR($B151="",$E151&lt;&gt;"Có"),0,SUM($F151,$G151,$R151,$W151,$Y151))</f>
        <v/>
      </c>
      <c r="AD151" s="224">
        <f>IF(OR($B151="",$E151&lt;&gt;"Có"),0,SUM($Z151:$AA151))</f>
        <v/>
      </c>
      <c r="AE151" s="224">
        <f>IF(OR($B151="",$E151&lt;&gt;"Có"),0,$AB151+$AC151-$AD151)</f>
        <v/>
      </c>
      <c r="AF151" s="150">
        <f>IF($B151="","",IF(AND($E151="Có",$D151=""),"Thiếu ngày nghỉ; ","")&amp;IF($I151&gt;MAX($H151,0),"Ngày phép thanh toán vượt số còn lại; ","")&amp;IF(AND($I151&gt;0,OR($J151&lt;=0,$K151&lt;=0)),"Thiếu lương/công chuẩn tháng trước; ","")&amp;IF(AND(SUM($N151,$S151)&gt;0,$M151&lt;=0),"Thiếu bình quân lương 06 tháng; ","")&amp;IF($X151&gt;0,"Bồi thường miễn thuế cần căn cứ và hồ sơ; ","")&amp;IF($AE151&lt;0,"Tổng chi thêm âm; ",""))</f>
        <v/>
      </c>
    </row>
    <row r="152">
      <c r="A152" s="145">
        <f>IF('DM_NHAN_SU'!$B152="","",ROW()-5)</f>
        <v/>
      </c>
      <c r="B152" s="145">
        <f>IF('DM_NHAN_SU'!$B152="","",'DM_NHAN_SU'!B152)</f>
        <v/>
      </c>
      <c r="C152" s="145">
        <f>IF('DM_NHAN_SU'!$B152="","",'DM_NHAN_SU'!C152)</f>
        <v/>
      </c>
      <c r="D152" s="234">
        <f>IF(OR('DM_NHAN_SU'!$B152="",'DM_NHAN_SU'!$G152=""),"",'DM_NHAN_SU'!G152)</f>
        <v/>
      </c>
      <c r="E152" s="127" t="n"/>
      <c r="F152" s="222" t="n"/>
      <c r="G152" s="222" t="n"/>
      <c r="H152" s="232">
        <f>IF($B152="","",'NGHI_PHEP'!K152)</f>
        <v/>
      </c>
      <c r="I152" s="227" t="n"/>
      <c r="J152" s="222" t="n"/>
      <c r="K152" s="227" t="n"/>
      <c r="L152" s="224">
        <f>IF(OR($B152="",$E152&lt;&gt;"Có"),0,IF($K152&gt;0,$I152*$J152/$K152,0))</f>
        <v/>
      </c>
      <c r="M152" s="222" t="n"/>
      <c r="N152" s="227" t="n"/>
      <c r="O152" s="224">
        <f>IF(OR($B152="",$E152&lt;&gt;"Có"),0,$M152*$N152*0.5)</f>
        <v/>
      </c>
      <c r="P152" s="222" t="n"/>
      <c r="Q152" s="224">
        <f>IF(OR($B152="",$E152&lt;&gt;"Có"),0,MIN($P152,$O152))</f>
        <v/>
      </c>
      <c r="R152" s="224">
        <f>IF(OR($B152="",$E152&lt;&gt;"Có"),0,MAX($P152-$O152,0))</f>
        <v/>
      </c>
      <c r="S152" s="227" t="n"/>
      <c r="T152" s="224">
        <f>IF(OR($B152="",$E152&lt;&gt;"Có",$S152&lt;=0),0,$M152*MAX($S152,2))</f>
        <v/>
      </c>
      <c r="U152" s="222" t="n"/>
      <c r="V152" s="224">
        <f>IF(OR($B152="",$E152&lt;&gt;"Có"),0,MIN($U152,$T152))</f>
        <v/>
      </c>
      <c r="W152" s="224">
        <f>IF(OR($B152="",$E152&lt;&gt;"Có"),0,MAX($U152-$T152,0))</f>
        <v/>
      </c>
      <c r="X152" s="222" t="n"/>
      <c r="Y152" s="222" t="n"/>
      <c r="Z152" s="222" t="n"/>
      <c r="AA152" s="222" t="n"/>
      <c r="AB152" s="224">
        <f>IF(OR($B152="",$E152&lt;&gt;"Có"),0,SUM($L152,$Q152,$V152,$X152))</f>
        <v/>
      </c>
      <c r="AC152" s="224">
        <f>IF(OR($B152="",$E152&lt;&gt;"Có"),0,SUM($F152,$G152,$R152,$W152,$Y152))</f>
        <v/>
      </c>
      <c r="AD152" s="224">
        <f>IF(OR($B152="",$E152&lt;&gt;"Có"),0,SUM($Z152:$AA152))</f>
        <v/>
      </c>
      <c r="AE152" s="224">
        <f>IF(OR($B152="",$E152&lt;&gt;"Có"),0,$AB152+$AC152-$AD152)</f>
        <v/>
      </c>
      <c r="AF152" s="150">
        <f>IF($B152="","",IF(AND($E152="Có",$D152=""),"Thiếu ngày nghỉ; ","")&amp;IF($I152&gt;MAX($H152,0),"Ngày phép thanh toán vượt số còn lại; ","")&amp;IF(AND($I152&gt;0,OR($J152&lt;=0,$K152&lt;=0)),"Thiếu lương/công chuẩn tháng trước; ","")&amp;IF(AND(SUM($N152,$S152)&gt;0,$M152&lt;=0),"Thiếu bình quân lương 06 tháng; ","")&amp;IF($X152&gt;0,"Bồi thường miễn thuế cần căn cứ và hồ sơ; ","")&amp;IF($AE152&lt;0,"Tổng chi thêm âm; ",""))</f>
        <v/>
      </c>
    </row>
    <row r="153">
      <c r="A153" s="145">
        <f>IF('DM_NHAN_SU'!$B153="","",ROW()-5)</f>
        <v/>
      </c>
      <c r="B153" s="145">
        <f>IF('DM_NHAN_SU'!$B153="","",'DM_NHAN_SU'!B153)</f>
        <v/>
      </c>
      <c r="C153" s="145">
        <f>IF('DM_NHAN_SU'!$B153="","",'DM_NHAN_SU'!C153)</f>
        <v/>
      </c>
      <c r="D153" s="234">
        <f>IF(OR('DM_NHAN_SU'!$B153="",'DM_NHAN_SU'!$G153=""),"",'DM_NHAN_SU'!G153)</f>
        <v/>
      </c>
      <c r="E153" s="127" t="n"/>
      <c r="F153" s="222" t="n"/>
      <c r="G153" s="222" t="n"/>
      <c r="H153" s="232">
        <f>IF($B153="","",'NGHI_PHEP'!K153)</f>
        <v/>
      </c>
      <c r="I153" s="227" t="n"/>
      <c r="J153" s="222" t="n"/>
      <c r="K153" s="227" t="n"/>
      <c r="L153" s="224">
        <f>IF(OR($B153="",$E153&lt;&gt;"Có"),0,IF($K153&gt;0,$I153*$J153/$K153,0))</f>
        <v/>
      </c>
      <c r="M153" s="222" t="n"/>
      <c r="N153" s="227" t="n"/>
      <c r="O153" s="224">
        <f>IF(OR($B153="",$E153&lt;&gt;"Có"),0,$M153*$N153*0.5)</f>
        <v/>
      </c>
      <c r="P153" s="222" t="n"/>
      <c r="Q153" s="224">
        <f>IF(OR($B153="",$E153&lt;&gt;"Có"),0,MIN($P153,$O153))</f>
        <v/>
      </c>
      <c r="R153" s="224">
        <f>IF(OR($B153="",$E153&lt;&gt;"Có"),0,MAX($P153-$O153,0))</f>
        <v/>
      </c>
      <c r="S153" s="227" t="n"/>
      <c r="T153" s="224">
        <f>IF(OR($B153="",$E153&lt;&gt;"Có",$S153&lt;=0),0,$M153*MAX($S153,2))</f>
        <v/>
      </c>
      <c r="U153" s="222" t="n"/>
      <c r="V153" s="224">
        <f>IF(OR($B153="",$E153&lt;&gt;"Có"),0,MIN($U153,$T153))</f>
        <v/>
      </c>
      <c r="W153" s="224">
        <f>IF(OR($B153="",$E153&lt;&gt;"Có"),0,MAX($U153-$T153,0))</f>
        <v/>
      </c>
      <c r="X153" s="222" t="n"/>
      <c r="Y153" s="222" t="n"/>
      <c r="Z153" s="222" t="n"/>
      <c r="AA153" s="222" t="n"/>
      <c r="AB153" s="224">
        <f>IF(OR($B153="",$E153&lt;&gt;"Có"),0,SUM($L153,$Q153,$V153,$X153))</f>
        <v/>
      </c>
      <c r="AC153" s="224">
        <f>IF(OR($B153="",$E153&lt;&gt;"Có"),0,SUM($F153,$G153,$R153,$W153,$Y153))</f>
        <v/>
      </c>
      <c r="AD153" s="224">
        <f>IF(OR($B153="",$E153&lt;&gt;"Có"),0,SUM($Z153:$AA153))</f>
        <v/>
      </c>
      <c r="AE153" s="224">
        <f>IF(OR($B153="",$E153&lt;&gt;"Có"),0,$AB153+$AC153-$AD153)</f>
        <v/>
      </c>
      <c r="AF153" s="150">
        <f>IF($B153="","",IF(AND($E153="Có",$D153=""),"Thiếu ngày nghỉ; ","")&amp;IF($I153&gt;MAX($H153,0),"Ngày phép thanh toán vượt số còn lại; ","")&amp;IF(AND($I153&gt;0,OR($J153&lt;=0,$K153&lt;=0)),"Thiếu lương/công chuẩn tháng trước; ","")&amp;IF(AND(SUM($N153,$S153)&gt;0,$M153&lt;=0),"Thiếu bình quân lương 06 tháng; ","")&amp;IF($X153&gt;0,"Bồi thường miễn thuế cần căn cứ và hồ sơ; ","")&amp;IF($AE153&lt;0,"Tổng chi thêm âm; ",""))</f>
        <v/>
      </c>
    </row>
    <row r="154">
      <c r="A154" s="145">
        <f>IF('DM_NHAN_SU'!$B154="","",ROW()-5)</f>
        <v/>
      </c>
      <c r="B154" s="145">
        <f>IF('DM_NHAN_SU'!$B154="","",'DM_NHAN_SU'!B154)</f>
        <v/>
      </c>
      <c r="C154" s="145">
        <f>IF('DM_NHAN_SU'!$B154="","",'DM_NHAN_SU'!C154)</f>
        <v/>
      </c>
      <c r="D154" s="234">
        <f>IF(OR('DM_NHAN_SU'!$B154="",'DM_NHAN_SU'!$G154=""),"",'DM_NHAN_SU'!G154)</f>
        <v/>
      </c>
      <c r="E154" s="127" t="n"/>
      <c r="F154" s="222" t="n"/>
      <c r="G154" s="222" t="n"/>
      <c r="H154" s="232">
        <f>IF($B154="","",'NGHI_PHEP'!K154)</f>
        <v/>
      </c>
      <c r="I154" s="227" t="n"/>
      <c r="J154" s="222" t="n"/>
      <c r="K154" s="227" t="n"/>
      <c r="L154" s="224">
        <f>IF(OR($B154="",$E154&lt;&gt;"Có"),0,IF($K154&gt;0,$I154*$J154/$K154,0))</f>
        <v/>
      </c>
      <c r="M154" s="222" t="n"/>
      <c r="N154" s="227" t="n"/>
      <c r="O154" s="224">
        <f>IF(OR($B154="",$E154&lt;&gt;"Có"),0,$M154*$N154*0.5)</f>
        <v/>
      </c>
      <c r="P154" s="222" t="n"/>
      <c r="Q154" s="224">
        <f>IF(OR($B154="",$E154&lt;&gt;"Có"),0,MIN($P154,$O154))</f>
        <v/>
      </c>
      <c r="R154" s="224">
        <f>IF(OR($B154="",$E154&lt;&gt;"Có"),0,MAX($P154-$O154,0))</f>
        <v/>
      </c>
      <c r="S154" s="227" t="n"/>
      <c r="T154" s="224">
        <f>IF(OR($B154="",$E154&lt;&gt;"Có",$S154&lt;=0),0,$M154*MAX($S154,2))</f>
        <v/>
      </c>
      <c r="U154" s="222" t="n"/>
      <c r="V154" s="224">
        <f>IF(OR($B154="",$E154&lt;&gt;"Có"),0,MIN($U154,$T154))</f>
        <v/>
      </c>
      <c r="W154" s="224">
        <f>IF(OR($B154="",$E154&lt;&gt;"Có"),0,MAX($U154-$T154,0))</f>
        <v/>
      </c>
      <c r="X154" s="222" t="n"/>
      <c r="Y154" s="222" t="n"/>
      <c r="Z154" s="222" t="n"/>
      <c r="AA154" s="222" t="n"/>
      <c r="AB154" s="224">
        <f>IF(OR($B154="",$E154&lt;&gt;"Có"),0,SUM($L154,$Q154,$V154,$X154))</f>
        <v/>
      </c>
      <c r="AC154" s="224">
        <f>IF(OR($B154="",$E154&lt;&gt;"Có"),0,SUM($F154,$G154,$R154,$W154,$Y154))</f>
        <v/>
      </c>
      <c r="AD154" s="224">
        <f>IF(OR($B154="",$E154&lt;&gt;"Có"),0,SUM($Z154:$AA154))</f>
        <v/>
      </c>
      <c r="AE154" s="224">
        <f>IF(OR($B154="",$E154&lt;&gt;"Có"),0,$AB154+$AC154-$AD154)</f>
        <v/>
      </c>
      <c r="AF154" s="150">
        <f>IF($B154="","",IF(AND($E154="Có",$D154=""),"Thiếu ngày nghỉ; ","")&amp;IF($I154&gt;MAX($H154,0),"Ngày phép thanh toán vượt số còn lại; ","")&amp;IF(AND($I154&gt;0,OR($J154&lt;=0,$K154&lt;=0)),"Thiếu lương/công chuẩn tháng trước; ","")&amp;IF(AND(SUM($N154,$S154)&gt;0,$M154&lt;=0),"Thiếu bình quân lương 06 tháng; ","")&amp;IF($X154&gt;0,"Bồi thường miễn thuế cần căn cứ và hồ sơ; ","")&amp;IF($AE154&lt;0,"Tổng chi thêm âm; ",""))</f>
        <v/>
      </c>
    </row>
    <row r="155">
      <c r="A155" s="145">
        <f>IF('DM_NHAN_SU'!$B155="","",ROW()-5)</f>
        <v/>
      </c>
      <c r="B155" s="145">
        <f>IF('DM_NHAN_SU'!$B155="","",'DM_NHAN_SU'!B155)</f>
        <v/>
      </c>
      <c r="C155" s="145">
        <f>IF('DM_NHAN_SU'!$B155="","",'DM_NHAN_SU'!C155)</f>
        <v/>
      </c>
      <c r="D155" s="234">
        <f>IF(OR('DM_NHAN_SU'!$B155="",'DM_NHAN_SU'!$G155=""),"",'DM_NHAN_SU'!G155)</f>
        <v/>
      </c>
      <c r="E155" s="127" t="n"/>
      <c r="F155" s="222" t="n"/>
      <c r="G155" s="222" t="n"/>
      <c r="H155" s="232">
        <f>IF($B155="","",'NGHI_PHEP'!K155)</f>
        <v/>
      </c>
      <c r="I155" s="227" t="n"/>
      <c r="J155" s="222" t="n"/>
      <c r="K155" s="227" t="n"/>
      <c r="L155" s="224">
        <f>IF(OR($B155="",$E155&lt;&gt;"Có"),0,IF($K155&gt;0,$I155*$J155/$K155,0))</f>
        <v/>
      </c>
      <c r="M155" s="222" t="n"/>
      <c r="N155" s="227" t="n"/>
      <c r="O155" s="224">
        <f>IF(OR($B155="",$E155&lt;&gt;"Có"),0,$M155*$N155*0.5)</f>
        <v/>
      </c>
      <c r="P155" s="222" t="n"/>
      <c r="Q155" s="224">
        <f>IF(OR($B155="",$E155&lt;&gt;"Có"),0,MIN($P155,$O155))</f>
        <v/>
      </c>
      <c r="R155" s="224">
        <f>IF(OR($B155="",$E155&lt;&gt;"Có"),0,MAX($P155-$O155,0))</f>
        <v/>
      </c>
      <c r="S155" s="227" t="n"/>
      <c r="T155" s="224">
        <f>IF(OR($B155="",$E155&lt;&gt;"Có",$S155&lt;=0),0,$M155*MAX($S155,2))</f>
        <v/>
      </c>
      <c r="U155" s="222" t="n"/>
      <c r="V155" s="224">
        <f>IF(OR($B155="",$E155&lt;&gt;"Có"),0,MIN($U155,$T155))</f>
        <v/>
      </c>
      <c r="W155" s="224">
        <f>IF(OR($B155="",$E155&lt;&gt;"Có"),0,MAX($U155-$T155,0))</f>
        <v/>
      </c>
      <c r="X155" s="222" t="n"/>
      <c r="Y155" s="222" t="n"/>
      <c r="Z155" s="222" t="n"/>
      <c r="AA155" s="222" t="n"/>
      <c r="AB155" s="224">
        <f>IF(OR($B155="",$E155&lt;&gt;"Có"),0,SUM($L155,$Q155,$V155,$X155))</f>
        <v/>
      </c>
      <c r="AC155" s="224">
        <f>IF(OR($B155="",$E155&lt;&gt;"Có"),0,SUM($F155,$G155,$R155,$W155,$Y155))</f>
        <v/>
      </c>
      <c r="AD155" s="224">
        <f>IF(OR($B155="",$E155&lt;&gt;"Có"),0,SUM($Z155:$AA155))</f>
        <v/>
      </c>
      <c r="AE155" s="224">
        <f>IF(OR($B155="",$E155&lt;&gt;"Có"),0,$AB155+$AC155-$AD155)</f>
        <v/>
      </c>
      <c r="AF155" s="150">
        <f>IF($B155="","",IF(AND($E155="Có",$D155=""),"Thiếu ngày nghỉ; ","")&amp;IF($I155&gt;MAX($H155,0),"Ngày phép thanh toán vượt số còn lại; ","")&amp;IF(AND($I155&gt;0,OR($J155&lt;=0,$K155&lt;=0)),"Thiếu lương/công chuẩn tháng trước; ","")&amp;IF(AND(SUM($N155,$S155)&gt;0,$M155&lt;=0),"Thiếu bình quân lương 06 tháng; ","")&amp;IF($X155&gt;0,"Bồi thường miễn thuế cần căn cứ và hồ sơ; ","")&amp;IF($AE155&lt;0,"Tổng chi thêm âm; ",""))</f>
        <v/>
      </c>
    </row>
  </sheetData>
  <mergeCells count="2">
    <mergeCell ref="A1:AF1"/>
    <mergeCell ref="A2:AF3"/>
  </mergeCells>
  <conditionalFormatting sqref="AF6:AF155">
    <cfRule type="notContainsBlanks" priority="1" dxfId="0"/>
  </conditionalFormatting>
  <dataValidations count="1">
    <dataValidation sqref="E6:E155" showDropDown="0" showInputMessage="0" showErrorMessage="0" allowBlank="0" type="list">
      <formula1>"Có,Không"</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W155"/>
  <sheetViews>
    <sheetView showGridLines="0" workbookViewId="0">
      <selection activeCell="A1" sqref="A1"/>
    </sheetView>
  </sheetViews>
  <sheetFormatPr baseColWidth="8" defaultRowHeight="15"/>
  <cols>
    <col width="6" customWidth="1" style="32" min="1" max="1"/>
    <col width="11" customWidth="1" style="32" min="2" max="2"/>
    <col width="22" customWidth="1" style="32" min="3" max="3"/>
    <col width="15" customWidth="1" style="32" min="4" max="4"/>
    <col width="20" customWidth="1" style="32" min="5" max="5"/>
    <col width="10" customWidth="1" style="32" min="6" max="6"/>
    <col width="12" customWidth="1" style="32" min="7" max="7"/>
    <col width="10" customWidth="1" style="32" min="8" max="8"/>
    <col width="11" customWidth="1" style="32" min="9" max="9"/>
    <col width="10" customWidth="1" style="32" min="10" max="10"/>
    <col width="11" customWidth="1" style="32" min="11" max="11"/>
    <col width="11" customWidth="1" style="32" min="12" max="12"/>
    <col width="11" customWidth="1" style="32" min="13" max="13"/>
    <col width="11" customWidth="1" style="32" min="14" max="14"/>
    <col width="15" customWidth="1" style="32" min="15" max="15"/>
    <col width="12" customWidth="1" style="32" min="16" max="16"/>
    <col width="12" customWidth="1" style="32" min="17" max="17"/>
    <col width="12" customWidth="1" style="32" min="18" max="18"/>
    <col width="16" customWidth="1" style="32" min="19" max="19"/>
    <col width="14" customWidth="1" style="32" min="20" max="20"/>
    <col width="14" customWidth="1" style="32" min="21" max="21"/>
    <col width="14" customWidth="1" style="32" min="22" max="22"/>
    <col width="18" customWidth="1" style="32" min="23" max="23"/>
    <col width="16" customWidth="1" style="32" min="24" max="24"/>
    <col width="13" customWidth="1" style="32" min="25" max="25"/>
    <col width="14" customWidth="1" style="32" min="26" max="26"/>
    <col width="16" customWidth="1" style="32" min="27" max="27"/>
    <col width="16" customWidth="1" style="32" min="28" max="28"/>
    <col width="18" customWidth="1" style="32" min="29" max="29"/>
    <col width="16" customWidth="1" style="32" min="30" max="30"/>
    <col width="16" customWidth="1" style="32" min="31" max="31"/>
    <col width="14" customWidth="1" style="32" min="32" max="32"/>
    <col width="13" customWidth="1" style="32" min="33" max="33"/>
    <col width="12" customWidth="1" style="32" min="34" max="34"/>
    <col width="12" customWidth="1" style="32" min="35" max="35"/>
    <col width="13" customWidth="1" style="32" min="36" max="36"/>
    <col width="14" customWidth="1" style="32" min="37" max="37"/>
    <col width="14" customWidth="1" style="32" min="38" max="38"/>
    <col width="13" customWidth="1" style="32" min="39" max="39"/>
    <col width="16" customWidth="1" style="32" min="40" max="40"/>
    <col width="18" customWidth="1" style="32" min="41" max="41"/>
    <col width="16" customWidth="1" style="32" min="42" max="42"/>
    <col width="15" customWidth="1" style="32" min="43" max="43"/>
    <col width="14" customWidth="1" style="32" min="44" max="44"/>
    <col width="16" customWidth="1" style="32" min="45" max="45"/>
    <col width="16" customWidth="1" style="32" min="46" max="46"/>
    <col width="12" customWidth="1" style="32" min="47" max="47"/>
    <col width="13" customWidth="1" style="32" min="48" max="48"/>
    <col width="13" customWidth="1" style="32" min="49" max="49"/>
    <col width="16" customWidth="1" style="32" min="50" max="50"/>
    <col width="13" customWidth="1" style="32" min="51" max="51"/>
    <col width="12" customWidth="1" style="32" min="52" max="52"/>
    <col width="12" customWidth="1" style="32" min="53" max="53"/>
    <col width="11" customWidth="1" style="32" min="54" max="54"/>
    <col width="14" customWidth="1" style="32" min="55" max="55"/>
    <col width="16" customWidth="1" style="32" min="56" max="56"/>
    <col width="16" customWidth="1" style="32" min="57" max="57"/>
    <col width="15" customWidth="1" style="32" min="58" max="58"/>
    <col width="48" customWidth="1" style="32" min="59" max="59"/>
    <col width="11" customWidth="1" style="32" min="60" max="60"/>
    <col width="11" customWidth="1" style="32" min="61" max="61"/>
    <col width="16" customWidth="1" style="32" min="62" max="62"/>
    <col width="14" customWidth="1" style="32" min="63" max="63"/>
    <col width="14" customWidth="1" style="32" min="64" max="64"/>
    <col width="15" customWidth="1" style="32" min="65" max="65"/>
    <col width="16" customWidth="1" style="32" min="66" max="66"/>
    <col width="18" customWidth="1" style="32" min="67" max="67"/>
    <col width="15" customWidth="1" style="32" min="68" max="68"/>
    <col width="17" customWidth="1" style="32" min="69" max="69"/>
    <col width="18" customWidth="1" style="32" min="70" max="70"/>
    <col width="18" customWidth="1" style="32" min="71" max="71"/>
    <col width="18" customWidth="1" style="32" min="72" max="72"/>
    <col width="17" customWidth="1" style="32" min="73" max="73"/>
    <col width="14" customWidth="1" style="32" min="74" max="74"/>
    <col width="18" customWidth="1" style="32" min="75" max="75"/>
  </cols>
  <sheetData>
    <row r="1" ht="30" customHeight="1" s="32">
      <c r="A1" s="4" t="inlineStr">
        <is>
          <t>CHI TIẾT TÍNH LƯƠNG – BHXH – THUẾ TNCN</t>
        </is>
      </c>
    </row>
    <row r="2">
      <c r="A2" s="96" t="inlineStr">
        <is>
          <t>Sheet kiểm tra công thức; không nhập đè ô xám. Cột BG tổng hợp cảnh báo. Lương Net được Gross-up trên toàn bộ khoản chịu thuế trong kỳ; khoản miễn thuế cộng ngoài. BT là trợ cấp BHXH thực tế để theo dõi, chỉ BU được cộng vào chuyển khoản khi doanh nghiệp trả thay.</t>
        </is>
      </c>
    </row>
    <row r="3"/>
    <row r="4"/>
    <row r="5" ht="66" customHeight="1" s="32">
      <c r="A5" s="156" t="inlineStr">
        <is>
          <t>STT</t>
        </is>
      </c>
      <c r="B5" s="156" t="inlineStr">
        <is>
          <t>Mã NV</t>
        </is>
      </c>
      <c r="C5" s="156" t="inlineStr">
        <is>
          <t>Họ và tên</t>
        </is>
      </c>
      <c r="D5" s="156" t="inlineStr">
        <is>
          <t>Bộ phận</t>
        </is>
      </c>
      <c r="E5" s="156" t="inlineStr">
        <is>
          <t>Chức danh</t>
        </is>
      </c>
      <c r="F5" s="156" t="inlineStr">
        <is>
          <t>Loại lương</t>
        </is>
      </c>
      <c r="G5" s="156" t="inlineStr">
        <is>
          <t>Hình thức</t>
        </is>
      </c>
      <c r="H5" s="156" t="inlineStr">
        <is>
          <t>Vùng</t>
        </is>
      </c>
      <c r="I5" s="156" t="inlineStr">
        <is>
          <t>Công chuẩn</t>
        </is>
      </c>
      <c r="J5" s="156" t="inlineStr">
        <is>
          <t>Giờ/ngày</t>
        </is>
      </c>
      <c r="K5" s="156" t="inlineStr">
        <is>
          <t>Công làm việc</t>
        </is>
      </c>
      <c r="L5" s="156" t="inlineStr">
        <is>
          <t>Giờ thường</t>
        </is>
      </c>
      <c r="M5" s="156" t="inlineStr">
        <is>
          <t>Giờ đêm</t>
        </is>
      </c>
      <c r="N5" s="156" t="inlineStr">
        <is>
          <t>SL sản phẩm</t>
        </is>
      </c>
      <c r="O5" s="156" t="inlineStr">
        <is>
          <t>Thu nhập chính</t>
        </is>
      </c>
      <c r="P5" s="156" t="inlineStr">
        <is>
          <t>KPI</t>
        </is>
      </c>
      <c r="Q5" s="156" t="inlineStr">
        <is>
          <t>Hoa hồng</t>
        </is>
      </c>
      <c r="R5" s="156" t="inlineStr">
        <is>
          <t>Thưởng</t>
        </is>
      </c>
      <c r="S5" s="156" t="inlineStr">
        <is>
          <t>Phụ cấp chịu thuế</t>
        </is>
      </c>
      <c r="T5" s="156" t="inlineStr">
        <is>
          <t>Tiền ăn tổng</t>
        </is>
      </c>
      <c r="U5" s="156" t="inlineStr">
        <is>
          <t>Tiền ăn miễn</t>
        </is>
      </c>
      <c r="V5" s="156" t="inlineStr">
        <is>
          <t>Tiền ăn chịu thuế</t>
        </is>
      </c>
      <c r="W5" s="156" t="inlineStr">
        <is>
          <t>Khoán chi/hoàn trả miễn</t>
        </is>
      </c>
      <c r="X5" s="156" t="inlineStr">
        <is>
          <t>Miễn thuế khác</t>
        </is>
      </c>
      <c r="Y5" s="156" t="inlineStr">
        <is>
          <t>Lương giờ OT</t>
        </is>
      </c>
      <c r="Z5" s="156" t="inlineStr">
        <is>
          <t>OT/đêm tổng</t>
        </is>
      </c>
      <c r="AA5" s="156" t="inlineStr">
        <is>
          <t>OT/đêm miễn TNCN</t>
        </is>
      </c>
      <c r="AB5" s="156" t="inlineStr">
        <is>
          <t>OT/đêm chịu thuế</t>
        </is>
      </c>
      <c r="AC5" s="156" t="inlineStr">
        <is>
          <t>Thu nhập chịu thuế mục tiêu</t>
        </is>
      </c>
      <c r="AD5" s="156" t="inlineStr">
        <is>
          <t>Căn cứ BH khai báo</t>
        </is>
      </c>
      <c r="AE5" s="156" t="inlineStr">
        <is>
          <t>Căn cứ BHXH/BHYT</t>
        </is>
      </c>
      <c r="AF5" s="156" t="inlineStr">
        <is>
          <t>Căn cứ BHTN</t>
        </is>
      </c>
      <c r="AG5" s="156" t="inlineStr">
        <is>
          <t>BHXH NLĐ</t>
        </is>
      </c>
      <c r="AH5" s="156" t="inlineStr">
        <is>
          <t>BHYT NLĐ</t>
        </is>
      </c>
      <c r="AI5" s="156" t="inlineStr">
        <is>
          <t>BHTN NLĐ</t>
        </is>
      </c>
      <c r="AJ5" s="156" t="inlineStr">
        <is>
          <t>Tổng BH NLĐ</t>
        </is>
      </c>
      <c r="AK5" s="156" t="inlineStr">
        <is>
          <t>Giảm trừ bản thân</t>
        </is>
      </c>
      <c r="AL5" s="156" t="inlineStr">
        <is>
          <t>Giảm trừ NPT</t>
        </is>
      </c>
      <c r="AM5" s="156" t="inlineStr">
        <is>
          <t>Giảm trừ khác</t>
        </is>
      </c>
      <c r="AN5" s="156" t="inlineStr">
        <is>
          <t>Phần Net sau giảm trừ</t>
        </is>
      </c>
      <c r="AO5" s="156" t="inlineStr">
        <is>
          <t>Thu nhập chịu thuế Gross-up</t>
        </is>
      </c>
      <c r="AP5" s="156" t="inlineStr">
        <is>
          <t>Thu nhập miễn thuế</t>
        </is>
      </c>
      <c r="AQ5" s="156" t="inlineStr">
        <is>
          <t>Thu nhập tính thuế</t>
        </is>
      </c>
      <c r="AR5" s="156" t="inlineStr">
        <is>
          <t>Thuế TNCN</t>
        </is>
      </c>
      <c r="AS5" s="156" t="inlineStr">
        <is>
          <t>Tổng thu nhập</t>
        </is>
      </c>
      <c r="AT5" s="156" t="inlineStr">
        <is>
          <t>Net trước khấu trừ tiền</t>
        </is>
      </c>
      <c r="AU5" s="156" t="inlineStr">
        <is>
          <t>Tạm ứng</t>
        </is>
      </c>
      <c r="AV5" s="156" t="inlineStr">
        <is>
          <t>Khấu trừ khác</t>
        </is>
      </c>
      <c r="AW5" s="156" t="inlineStr">
        <is>
          <t>Điều chỉnh PIT</t>
        </is>
      </c>
      <c r="AX5" s="156" t="inlineStr">
        <is>
          <t>Thực lĩnh</t>
        </is>
      </c>
      <c r="AY5" s="156" t="inlineStr">
        <is>
          <t>BHXH DN</t>
        </is>
      </c>
      <c r="AZ5" s="156" t="inlineStr">
        <is>
          <t>BHYT DN</t>
        </is>
      </c>
      <c r="BA5" s="156" t="inlineStr">
        <is>
          <t>BHTN DN</t>
        </is>
      </c>
      <c r="BB5" s="156" t="inlineStr">
        <is>
          <t>KPCĐ</t>
        </is>
      </c>
      <c r="BC5" s="156" t="inlineStr">
        <is>
          <t>Tổng DN đóng</t>
        </is>
      </c>
      <c r="BD5" s="156" t="inlineStr">
        <is>
          <t>Tổng chi phí DN</t>
        </is>
      </c>
      <c r="BE5" s="156" t="inlineStr">
        <is>
          <t>Lương tối thiểu tháng</t>
        </is>
      </c>
      <c r="BF5" s="156" t="inlineStr">
        <is>
          <t>Lương tối thiểu giờ</t>
        </is>
      </c>
      <c r="BG5" s="156" t="inlineStr">
        <is>
          <t>Cảnh báo</t>
        </is>
      </c>
      <c r="BH5" s="156" t="inlineStr">
        <is>
          <t>Phép năm</t>
        </is>
      </c>
      <c r="BI5" s="156" t="inlineStr">
        <is>
          <t>Lễ/Tết</t>
        </is>
      </c>
      <c r="BJ5" s="156" t="inlineStr">
        <is>
          <t>Việc riêng hưởng lương</t>
        </is>
      </c>
      <c r="BK5" s="156" t="inlineStr">
        <is>
          <t>Nghỉ ốm BHXH</t>
        </is>
      </c>
      <c r="BL5" s="156" t="inlineStr">
        <is>
          <t>Nghỉ thai sản</t>
        </is>
      </c>
      <c r="BM5" s="156" t="inlineStr">
        <is>
          <t>Nghỉ không lương</t>
        </is>
      </c>
      <c r="BN5" s="156" t="inlineStr">
        <is>
          <t>Tổng ngày trả lương</t>
        </is>
      </c>
      <c r="BO5" s="156" t="inlineStr">
        <is>
          <t>Lương ngày nghỉ hưởng lương</t>
        </is>
      </c>
      <c r="BP5" s="156" t="inlineStr">
        <is>
          <t>Thưởng T13</t>
        </is>
      </c>
      <c r="BQ5" s="156" t="inlineStr">
        <is>
          <t>Thưởng Tết/khác</t>
        </is>
      </c>
      <c r="BR5" s="156" t="inlineStr">
        <is>
          <t>QT nghỉ việc chịu thuế</t>
        </is>
      </c>
      <c r="BS5" s="156" t="inlineStr">
        <is>
          <t>QT nghỉ việc miễn thuế</t>
        </is>
      </c>
      <c r="BT5" s="156" t="inlineStr">
        <is>
          <t>Trợ cấp BHXH thực tế</t>
        </is>
      </c>
      <c r="BU5" s="156" t="inlineStr">
        <is>
          <t>BHXH DN trả thay</t>
        </is>
      </c>
      <c r="BV5" s="156" t="inlineStr">
        <is>
          <t>Đoàn phí NLĐ</t>
        </is>
      </c>
      <c r="BW5" s="156" t="inlineStr">
        <is>
          <t>Tổng chuyển qua DN</t>
        </is>
      </c>
    </row>
    <row r="6">
      <c r="A6" s="145">
        <f>IF('DM_NHAN_SU'!$B6="","",IF($B6="","",ROW()-5))</f>
        <v/>
      </c>
      <c r="B6" s="145">
        <f>IF('DM_NHAN_SU'!$B6="","",'DM_NHAN_SU'!B6)</f>
        <v/>
      </c>
      <c r="C6" s="145">
        <f>IF('DM_NHAN_SU'!$B6="","",'DM_NHAN_SU'!C6)</f>
        <v/>
      </c>
      <c r="D6" s="145">
        <f>IF('DM_NHAN_SU'!$B6="","",'DM_NHAN_SU'!D6)</f>
        <v/>
      </c>
      <c r="E6" s="145">
        <f>IF('DM_NHAN_SU'!$B6="","",'DM_NHAN_SU'!E6)</f>
        <v/>
      </c>
      <c r="F6" s="145">
        <f>IF('DM_NHAN_SU'!$B6="","",'DM_NHAN_SU'!I6)</f>
        <v/>
      </c>
      <c r="G6" s="145">
        <f>IF('DM_NHAN_SU'!$B6="","",'DM_NHAN_SU'!J6)</f>
        <v/>
      </c>
      <c r="H6" s="145">
        <f>IF('DM_NHAN_SU'!$B6="","",IF('DM_NHAN_SU'!H6="",'THAM_SO'!$B$11,'DM_NHAN_SU'!H6))</f>
        <v/>
      </c>
      <c r="I6" s="232">
        <f>IF('DM_NHAN_SU'!$B6="","",IF('DM_NHAN_SU'!L6&gt;0,'DM_NHAN_SU'!L6,'THAM_SO'!$B$9))</f>
        <v/>
      </c>
      <c r="J6" s="232">
        <f>IF('DM_NHAN_SU'!$B6="","",IF('DM_NHAN_SU'!M6&gt;0,'DM_NHAN_SU'!M6,'THAM_SO'!$B$10))</f>
        <v/>
      </c>
      <c r="K6" s="232">
        <f>IF('DM_NHAN_SU'!$B6="","",'CHAM_CONG_THANG'!AC6)</f>
        <v/>
      </c>
      <c r="L6" s="232">
        <f>IF('DM_NHAN_SU'!$B6="","",'CHAM_CONG_THANG'!AD6)</f>
        <v/>
      </c>
      <c r="M6" s="232">
        <f>IF('DM_NHAN_SU'!$B6="","",'CHAM_CONG_THANG'!AE6)</f>
        <v/>
      </c>
      <c r="N6" s="232">
        <f>IF('DM_NHAN_SU'!$B6="","",'CHAM_CONG_THANG'!N6)</f>
        <v/>
      </c>
      <c r="O6" s="224">
        <f>IF('DM_NHAN_SU'!$B6="","",IF($B6="","",IF($G6="Tháng",IF($I6&gt;0,'DM_NHAN_SU'!$K6*MIN($K6,$I6)/$I6,0),IF($G6="Ngày",'DM_NHAN_SU'!$K6*$K6,IF($G6="Giờ",'DM_NHAN_SU'!$K6*$L6,IF($G6="Sản phẩm",'DM_NHAN_SU'!$K6*$N6,0))))))</f>
        <v/>
      </c>
      <c r="P6" s="224">
        <f>IF('DM_NHAN_SU'!$B6="","",'CHAM_CONG_THANG'!O6)</f>
        <v/>
      </c>
      <c r="Q6" s="224">
        <f>IF('DM_NHAN_SU'!$B6="","",'CHAM_CONG_THANG'!P6)</f>
        <v/>
      </c>
      <c r="R6" s="224">
        <f>IF('DM_NHAN_SU'!$B6="","",'CHAM_CONG_THANG'!Q6)</f>
        <v/>
      </c>
      <c r="S6" s="224">
        <f>IF('DM_NHAN_SU'!$B6="","",'CHAM_CONG_THANG'!R6)</f>
        <v/>
      </c>
      <c r="T6" s="224">
        <f>IF('DM_NHAN_SU'!$B6="","",'CHAM_CONG_THANG'!S6)</f>
        <v/>
      </c>
      <c r="U6" s="224">
        <f>IF('DM_NHAN_SU'!$B6="","",MIN($T6,'THAM_SO'!$F$6))</f>
        <v/>
      </c>
      <c r="V6" s="224">
        <f>IF('DM_NHAN_SU'!$B6="","",MAX($T6-$U6,0))</f>
        <v/>
      </c>
      <c r="W6" s="224">
        <f>IF('DM_NHAN_SU'!$B6="","",'CHAM_CONG_THANG'!T6)</f>
        <v/>
      </c>
      <c r="X6" s="224">
        <f>IF('DM_NHAN_SU'!$B6="","",'CHAM_CONG_THANG'!U6)</f>
        <v/>
      </c>
      <c r="Y6" s="224">
        <f>IF('DM_NHAN_SU'!$B6="","",IF($B6="",0,IF('DM_NHAN_SU'!$Q6&gt;0,'DM_NHAN_SU'!$Q6,IF($G6="Tháng",IF($I6*$J6&gt;0,'DM_NHAN_SU'!$K6/($I6*$J6),0),IF($G6="Ngày",IF($J6&gt;0,'DM_NHAN_SU'!$K6/$J6,0),IF($G6="Giờ",'DM_NHAN_SU'!$K6,0))))))</f>
        <v/>
      </c>
      <c r="Z6" s="224">
        <f>IF('DM_NHAN_SU'!$B6="","",$Y6*($M6*'THAM_SO'!$C$22+'CHAM_CONG_THANG'!$AF6*'THAM_SO'!$C$19+'CHAM_CONG_THANG'!$AG6*'THAM_SO'!$C$20+'CHAM_CONG_THANG'!$AH6*'THAM_SO'!$C$21+'CHAM_CONG_THANG'!$AI6*'THAM_SO'!$C$23+'CHAM_CONG_THANG'!$AJ6*'THAM_SO'!$C$24+'CHAM_CONG_THANG'!$AK6*'THAM_SO'!$C$25))</f>
        <v/>
      </c>
      <c r="AA6" s="224">
        <f>IF('DM_NHAN_SU'!$B6="","",MAX(0,$Y6*($M6*IF('THAM_SO'!$C$22&gt;='THAM_SO'!$B$22,'THAM_SO'!$B$22,0)+'CHAM_CONG_THANG'!$AF6*IF('THAM_SO'!$C$19&gt;='THAM_SO'!$B$19,'THAM_SO'!$B$19,0)+'CHAM_CONG_THANG'!$AG6*IF('THAM_SO'!$C$20&gt;='THAM_SO'!$B$20,'THAM_SO'!$B$20,0)+'CHAM_CONG_THANG'!$AH6*IF('THAM_SO'!$C$21&gt;='THAM_SO'!$B$21,'THAM_SO'!$B$21,0)+'CHAM_CONG_THANG'!$AI6*IF('THAM_SO'!$C$23&gt;='THAM_SO'!$B$23,'THAM_SO'!$B$23,0)+'CHAM_CONG_THANG'!$AJ6*IF('THAM_SO'!$C$24&gt;='THAM_SO'!$B$24,'THAM_SO'!$B$24,0)+'CHAM_CONG_THANG'!$AK6*IF('THAM_SO'!$C$25&gt;='THAM_SO'!$B$25,'THAM_SO'!$B$25,0))-'CHAM_CONG_THANG'!$V6))</f>
        <v/>
      </c>
      <c r="AB6" s="224">
        <f>IF('DM_NHAN_SU'!$B6="","",MAX($Z6-$AA6,0))</f>
        <v/>
      </c>
      <c r="AC6" s="224">
        <f>IF('DM_NHAN_SU'!$B6="","",$O6+$P6+$Q6+$R6+$S6+$V6+$AB6+$BO6+$BP6+$BQ6+$BR6)</f>
        <v/>
      </c>
      <c r="AD6" s="224">
        <f>IF('DM_NHAN_SU'!$B6="","",'DM_NHAN_SU'!N6+'DM_NHAN_SU'!O6+'DM_NHAN_SU'!P6)</f>
        <v/>
      </c>
      <c r="AE6" s="224">
        <f>IF('DM_NHAN_SU'!$B6="","",IF(OR('DM_NHAN_SU'!$R6&lt;&gt;"Có",'CHAM_CONG_THANG'!$AA6="Có",$BL6&gt;=14,$AD6&lt;=0),0,MIN(MAX($AD6,'THAM_SO'!$M$6),'THAM_SO'!$M$7)))</f>
        <v/>
      </c>
      <c r="AF6" s="224">
        <f>IF('DM_NHAN_SU'!$B6="","",IF(OR('DM_NHAN_SU'!$S6&lt;&gt;"Có",'CHAM_CONG_THANG'!$AA6="Có",$BL6&gt;=14,$AD6&lt;=0),0,MIN(MAX($AD6,VLOOKUP($H6,'THAM_SO'!$L$17:$P$20,4,FALSE)),VLOOKUP($H6,'THAM_SO'!$L$17:$P$20,5,FALSE))))</f>
        <v/>
      </c>
      <c r="AG6" s="224">
        <f>IF('DM_NHAN_SU'!$B6="","",$AE6*'THAM_SO'!$M$8)</f>
        <v/>
      </c>
      <c r="AH6" s="224">
        <f>IF('DM_NHAN_SU'!$B6="","",$AE6*'THAM_SO'!$M$9)</f>
        <v/>
      </c>
      <c r="AI6" s="224">
        <f>IF('DM_NHAN_SU'!$B6="","",$AF6*'THAM_SO'!$M$10)</f>
        <v/>
      </c>
      <c r="AJ6" s="224">
        <f>IF('DM_NHAN_SU'!$B6="","",SUM($AG6:$AI6))</f>
        <v/>
      </c>
      <c r="AK6" s="224">
        <f>IF('DM_NHAN_SU'!$B6="","",IF($B6="",0,'THAM_SO'!$F$4))</f>
        <v/>
      </c>
      <c r="AL6" s="224">
        <f>IF('DM_NHAN_SU'!$B6="","",IF($B6="",0,'DM_NHAN_SU'!$T6*'THAM_SO'!$F$5))</f>
        <v/>
      </c>
      <c r="AM6" s="224">
        <f>IF('DM_NHAN_SU'!$B6="","",'CHAM_CONG_THANG'!W6)</f>
        <v/>
      </c>
      <c r="AN6" s="224">
        <f>IF('DM_NHAN_SU'!$B6="","",MAX($AC6-$AK6-$AL6-$AM6,0))</f>
        <v/>
      </c>
      <c r="AO6" s="224">
        <f>IF('DM_NHAN_SU'!$B6="","",IF($B6="","",IF($F6="Net",IF($AC6&lt;=$AK6+$AL6+$AM6,$AC6+$AJ6,$AJ6+$AK6+$AL6+$AM6+IF($AN6&lt;='THAM_SO'!$J$10,($AN6-'THAM_SO'!$I$10)/(1-'THAM_SO'!$H$10),IF($AN6&lt;='THAM_SO'!$J$11,($AN6-'THAM_SO'!$I$11)/(1-'THAM_SO'!$H$11),IF($AN6&lt;='THAM_SO'!$J$12,($AN6-'THAM_SO'!$I$12)/(1-'THAM_SO'!$H$12),IF($AN6&lt;='THAM_SO'!$J$13,($AN6-'THAM_SO'!$I$13)/(1-'THAM_SO'!$H$13),($AN6-'THAM_SO'!$I$14)/(1-'THAM_SO'!$H$14)))))),$AC6)))</f>
        <v/>
      </c>
      <c r="AP6" s="224">
        <f>IF('DM_NHAN_SU'!$B6="","",$U6+$W6+$X6+$AA6+$BS6)</f>
        <v/>
      </c>
      <c r="AQ6" s="224">
        <f>IF('DM_NHAN_SU'!$B6="","",MAX($AO6-$AJ6-$AK6-$AL6-$AM6,0))</f>
        <v/>
      </c>
      <c r="AR6" s="224">
        <f>IF('DM_NHAN_SU'!$B6="","",IF($AQ6&lt;=0,0,$AQ6*VLOOKUP($AQ6,'THAM_SO'!$F$10:$I$14,3,TRUE)-VLOOKUP($AQ6,'THAM_SO'!$F$10:$I$14,4,TRUE)))</f>
        <v/>
      </c>
      <c r="AS6" s="224">
        <f>IF('DM_NHAN_SU'!$B6="","",$AO6+$AP6)</f>
        <v/>
      </c>
      <c r="AT6" s="224">
        <f>IF('DM_NHAN_SU'!$B6="","",$AS6-$AJ6-$AR6)</f>
        <v/>
      </c>
      <c r="AU6" s="224">
        <f>IF('DM_NHAN_SU'!$B6="","",'CHAM_CONG_THANG'!X6)</f>
        <v/>
      </c>
      <c r="AV6" s="224">
        <f>IF('DM_NHAN_SU'!$B6="","",'CHAM_CONG_THANG'!Y6+'QT_NGHI_VIEC'!AD6)</f>
        <v/>
      </c>
      <c r="AW6" s="224">
        <f>IF('DM_NHAN_SU'!$B6="","",'CHAM_CONG_THANG'!Z6)</f>
        <v/>
      </c>
      <c r="AX6" s="224">
        <f>IF('DM_NHAN_SU'!$B6="","",$AT6-$AU6-$AV6-$AW6-$BV6)</f>
        <v/>
      </c>
      <c r="AY6" s="224">
        <f>IF('DM_NHAN_SU'!$B6="","",$AE6*'THAM_SO'!$M$11)</f>
        <v/>
      </c>
      <c r="AZ6" s="224">
        <f>IF('DM_NHAN_SU'!$B6="","",$AE6*'THAM_SO'!$M$12)</f>
        <v/>
      </c>
      <c r="BA6" s="224">
        <f>IF('DM_NHAN_SU'!$B6="","",$AF6*'THAM_SO'!$M$13)</f>
        <v/>
      </c>
      <c r="BB6" s="224">
        <f>IF('DM_NHAN_SU'!$B6="","",$AE6*'THAM_SO'!$M$14)</f>
        <v/>
      </c>
      <c r="BC6" s="224">
        <f>IF('DM_NHAN_SU'!$B6="","",SUM($AY6:$BB6))</f>
        <v/>
      </c>
      <c r="BD6" s="224">
        <f>IF('DM_NHAN_SU'!$B6="","",$AS6+$BC6)</f>
        <v/>
      </c>
      <c r="BE6" s="224">
        <f>IF('DM_NHAN_SU'!$B6="","",VLOOKUP($H6,'THAM_SO'!$L$17:$P$20,2,FALSE))</f>
        <v/>
      </c>
      <c r="BF6" s="224">
        <f>IF('DM_NHAN_SU'!$B6="","",VLOOKUP($H6,'THAM_SO'!$L$17:$P$20,3,FALSE))</f>
        <v/>
      </c>
      <c r="BG6" s="150">
        <f>IF('DM_NHAN_SU'!$B6="","",IF($B6="","",IF(COUNTIF('DM_NHAN_SU'!$B$6:$B$155,$B6)&gt;1,"Trùng mã NV; ","")&amp;IF(OR($F6="",$G6=""),"Thiếu loại/hình thức lương; ","")&amp;IF('CHAM_CONG_THANG'!$D6="","Chưa chọn nguồn công; ","")&amp;IF(AND('CHAM_CONG_THANG'!$D6="Theo ngày",COUNTIF('CHAM_CONG_NGAY'!$B$6:$B$4655,$B6)=0),"Chưa có chấm công ngày; ","")&amp;IF(OR($I6&lt;=0,$J6&lt;=0),"Thiếu công/giờ chuẩn; ","")&amp;IF(AND($G6="Tháng",'DM_NHAN_SU'!$K6&lt;$BE6),"Lương tháng dưới tối thiểu vùng; ","")&amp;IF(AND($G6="Ngày",'DM_NHAN_SU'!$K6/$J6&lt;$BF6),"Lương ngày quy đổi dưới tối thiểu giờ; ","")&amp;IF(AND($G6="Giờ",'DM_NHAN_SU'!$K6&lt;$BF6),"Lương giờ dưới tối thiểu vùng; ","")&amp;IF(AND($G6="Sản phẩm",$L6&gt;0,$O6/$L6&lt;$BF6),"Lương SP quy đổi dưới tối thiểu giờ; ","")&amp;IF(OR('THAM_SO'!$C$19&lt;'THAM_SO'!$B$19,'THAM_SO'!$C$20&lt;'THAM_SO'!$B$20,'THAM_SO'!$C$21&lt;'THAM_SO'!$B$21,'THAM_SO'!$C$22&lt;'THAM_SO'!$B$22,'THAM_SO'!$C$23&lt;'THAM_SO'!$B$23,'THAM_SO'!$C$24&lt;'THAM_SO'!$B$24,'THAM_SO'!$C$25&lt;'THAM_SO'!$B$25),"Hệ số OT/đêm DN thấp hơn luật; ","")&amp;IF(AND('DM_NHAN_SU'!$R6="Có",$AD6&lt;=0),"Thiếu căn cứ đóng BH; ","")&amp;IF(AND($AD6&gt;0,$AD6&lt;'THAM_SO'!$M$6),"Căn cứ BH dưới sàn – đã nâng sàn; ","")&amp;IF($AD6&gt;'THAM_SO'!$M$7,"Căn cứ BH vượt trần – đã giới hạn; ","")&amp;IF(AND($F6="Net",SUM('CHAM_CONG_THANG'!$AF6:$AK6)&gt;0,'DM_NHAN_SU'!$Q6&lt;=0),"Net có OT nhưng chưa khai lương giờ OT; ","")&amp;IF('CHAM_CONG_THANG'!$V6&gt;$Z6,"Phần OT không miễn lớn hơn tiền OT; ","")&amp;IF(AND($F6="Net",ABS($AT6-$AC6-$AP6)&gt;1),"Lệch quy đổi Net; ","")&amp;IF(AND($BH6&gt;0,'DM_NHAN_SU'!$AD6=""),"Có phép năm nhưng đang tạm dùng 12 ngày; ","")&amp;IF(AND($G6="Sản phẩm",SUM($BH6:$BJ6)&gt;0,'DM_NHAN_SU'!$AH6&lt;=0),"Lương sản phẩm thiếu đơn giá ngày phép/lễ; ","")&amp;IF(AND($BL6&gt;=14,'CHAM_CONG_THANG'!$AA6&lt;&gt;"Có"),"Thai sản từ 14 ngày: file tự dừng đóng BH – kiểm tra hồ sơ; ","")&amp;IF(AND('DM_NHAN_SU'!$AA6="Có",'DM_NHAN_SU'!$AB6=""),"Đoàn viên chưa chọn cách tính đoàn phí; ","")&amp;IF(AND('DM_NHAN_SU'!$AB6="Nhập tay",'DM_NHAN_SU'!$AC6&gt;'THAM_SO'!$M$26),"Đoàn phí nhập tay vượt trần thông dụng; ","")&amp;IF('NGHI_PHEP'!$L6&lt;&gt;"","Phép: "&amp;'NGHI_PHEP'!$L6,"")&amp;IF('CHE_DO_BHXH'!$AA6&lt;&gt;"","BHXH: "&amp;'CHE_DO_BHXH'!$AA6,"")&amp;IF('THUONG_T13_TET'!$O6&lt;&gt;"","Thưởng: "&amp;'THUONG_T13_TET'!$O6,"")&amp;IF('QT_NGHI_VIEC'!$AF6&lt;&gt;"","Nghỉ việc: "&amp;'QT_NGHI_VIEC'!$AF6,"")&amp;IF($AX6&lt;0,"Thực lĩnh âm; ","")&amp;IF(OR('DM_NHAN_SU'!$F6&gt;'THAM_SO'!$B$7,AND('DM_NHAN_SU'!$G6&lt;&gt;"",'DM_NHAN_SU'!$G6&lt;'THAM_SO'!$B$6)),"Ngoài kỳ trả lương; ","")))</f>
        <v/>
      </c>
      <c r="BH6" s="232">
        <f>IF('DM_NHAN_SU'!$B6="","",'CHAM_CONG_THANG'!AR6)</f>
        <v/>
      </c>
      <c r="BI6" s="232">
        <f>IF('DM_NHAN_SU'!$B6="","",'CHAM_CONG_THANG'!AS6)</f>
        <v/>
      </c>
      <c r="BJ6" s="232">
        <f>IF('DM_NHAN_SU'!$B6="","",'CHAM_CONG_THANG'!AT6)</f>
        <v/>
      </c>
      <c r="BK6" s="232">
        <f>IF('DM_NHAN_SU'!$B6="","",'CHAM_CONG_THANG'!AU6)</f>
        <v/>
      </c>
      <c r="BL6" s="232">
        <f>IF('DM_NHAN_SU'!$B6="","",'CHAM_CONG_THANG'!AV6)</f>
        <v/>
      </c>
      <c r="BM6" s="232">
        <f>IF('DM_NHAN_SU'!$B6="","",'CHAM_CONG_THANG'!AW6)</f>
        <v/>
      </c>
      <c r="BN6" s="232">
        <f>IF('DM_NHAN_SU'!$B6="","",SUM($K6,$BH6:$BJ6))</f>
        <v/>
      </c>
      <c r="BO6" s="224">
        <f>IF('DM_NHAN_SU'!$B6="","",IF($B6="",0,IF($G6="Tháng",IF($I6&gt;0,'DM_NHAN_SU'!$K6*MIN($BH6+$BJ6,MAX($I6-$K6,0))/$I6,0),IF($G6="Ngày",'DM_NHAN_SU'!$K6*SUM($BH6:$BJ6),IF($G6="Giờ",'DM_NHAN_SU'!$K6*SUM($BH6:$BJ6)*$J6,IF($G6="Sản phẩm",'DM_NHAN_SU'!$AH6*SUM($BH6:$BJ6),0))))))</f>
        <v/>
      </c>
      <c r="BP6" s="224">
        <f>IF('DM_NHAN_SU'!$B6="","",IF('THUONG_T13_TET'!$L6="Có",'THUONG_T13_TET'!$I6,0))</f>
        <v/>
      </c>
      <c r="BQ6" s="224">
        <f>IF('DM_NHAN_SU'!$B6="","",IF('THUONG_T13_TET'!$L6="Có",SUM('THUONG_T13_TET'!$J6:$K6),0))</f>
        <v/>
      </c>
      <c r="BR6" s="224">
        <f>IF('DM_NHAN_SU'!$B6="","",'QT_NGHI_VIEC'!AC6)</f>
        <v/>
      </c>
      <c r="BS6" s="224">
        <f>IF('DM_NHAN_SU'!$B6="","",'QT_NGHI_VIEC'!AB6)</f>
        <v/>
      </c>
      <c r="BT6" s="224">
        <f>IF('DM_NHAN_SU'!$B6="","",IF('CHE_DO_BHXH'!$Z6="Có",'CHE_DO_BHXH'!$W6,0))</f>
        <v/>
      </c>
      <c r="BU6" s="224">
        <f>IF('DM_NHAN_SU'!$B6="","",IF('CHE_DO_BHXH'!$Y6="DN trả thay",$BT6,0))</f>
        <v/>
      </c>
      <c r="BV6" s="224">
        <f>IF('DM_NHAN_SU'!$B6="","",IF(OR('DM_NHAN_SU'!$AA6&lt;&gt;"Có",'CHE_DO_BHXH'!$O6&gt;=1,SUM('CHE_DO_BHXH'!$D6,'CHE_DO_BHXH'!$G6,'CHE_DO_BHXH'!$K6)&gt;=24,AND($I6&gt;0,$BM6&gt;=$I6)),0,IF('DM_NHAN_SU'!$AB6="Không",0,IF('DM_NHAN_SU'!$AB6="Nhập tay",'DM_NHAN_SU'!$AC6,IF('DM_NHAN_SU'!$AB6="Theo thực nhận",MIN(MAX($AT6-$AU6-$AV6-$AW6,0)*'THAM_SO'!$M$23,'THAM_SO'!$M$26),MIN($AE6*'THAM_SO'!$M$23,'THAM_SO'!$M$26))))))</f>
        <v/>
      </c>
      <c r="BW6" s="224">
        <f>IF('DM_NHAN_SU'!$B6="","",$AX6+$BU6)</f>
        <v/>
      </c>
    </row>
    <row r="7">
      <c r="A7" s="145">
        <f>IF('DM_NHAN_SU'!$B7="","",IF($B7="","",ROW()-5))</f>
        <v/>
      </c>
      <c r="B7" s="145">
        <f>IF('DM_NHAN_SU'!$B7="","",'DM_NHAN_SU'!B7)</f>
        <v/>
      </c>
      <c r="C7" s="145">
        <f>IF('DM_NHAN_SU'!$B7="","",'DM_NHAN_SU'!C7)</f>
        <v/>
      </c>
      <c r="D7" s="145">
        <f>IF('DM_NHAN_SU'!$B7="","",'DM_NHAN_SU'!D7)</f>
        <v/>
      </c>
      <c r="E7" s="145">
        <f>IF('DM_NHAN_SU'!$B7="","",'DM_NHAN_SU'!E7)</f>
        <v/>
      </c>
      <c r="F7" s="145">
        <f>IF('DM_NHAN_SU'!$B7="","",'DM_NHAN_SU'!I7)</f>
        <v/>
      </c>
      <c r="G7" s="145">
        <f>IF('DM_NHAN_SU'!$B7="","",'DM_NHAN_SU'!J7)</f>
        <v/>
      </c>
      <c r="H7" s="145">
        <f>IF('DM_NHAN_SU'!$B7="","",IF('DM_NHAN_SU'!H7="",'THAM_SO'!$B$11,'DM_NHAN_SU'!H7))</f>
        <v/>
      </c>
      <c r="I7" s="232">
        <f>IF('DM_NHAN_SU'!$B7="","",IF('DM_NHAN_SU'!L7&gt;0,'DM_NHAN_SU'!L7,'THAM_SO'!$B$9))</f>
        <v/>
      </c>
      <c r="J7" s="232">
        <f>IF('DM_NHAN_SU'!$B7="","",IF('DM_NHAN_SU'!M7&gt;0,'DM_NHAN_SU'!M7,'THAM_SO'!$B$10))</f>
        <v/>
      </c>
      <c r="K7" s="232">
        <f>IF('DM_NHAN_SU'!$B7="","",'CHAM_CONG_THANG'!AC7)</f>
        <v/>
      </c>
      <c r="L7" s="232">
        <f>IF('DM_NHAN_SU'!$B7="","",'CHAM_CONG_THANG'!AD7)</f>
        <v/>
      </c>
      <c r="M7" s="232">
        <f>IF('DM_NHAN_SU'!$B7="","",'CHAM_CONG_THANG'!AE7)</f>
        <v/>
      </c>
      <c r="N7" s="232">
        <f>IF('DM_NHAN_SU'!$B7="","",'CHAM_CONG_THANG'!N7)</f>
        <v/>
      </c>
      <c r="O7" s="224">
        <f>IF('DM_NHAN_SU'!$B7="","",IF($B7="","",IF($G7="Tháng",IF($I7&gt;0,'DM_NHAN_SU'!$K7*MIN($K7,$I7)/$I7,0),IF($G7="Ngày",'DM_NHAN_SU'!$K7*$K7,IF($G7="Giờ",'DM_NHAN_SU'!$K7*$L7,IF($G7="Sản phẩm",'DM_NHAN_SU'!$K7*$N7,0))))))</f>
        <v/>
      </c>
      <c r="P7" s="224">
        <f>IF('DM_NHAN_SU'!$B7="","",'CHAM_CONG_THANG'!O7)</f>
        <v/>
      </c>
      <c r="Q7" s="224">
        <f>IF('DM_NHAN_SU'!$B7="","",'CHAM_CONG_THANG'!P7)</f>
        <v/>
      </c>
      <c r="R7" s="224">
        <f>IF('DM_NHAN_SU'!$B7="","",'CHAM_CONG_THANG'!Q7)</f>
        <v/>
      </c>
      <c r="S7" s="224">
        <f>IF('DM_NHAN_SU'!$B7="","",'CHAM_CONG_THANG'!R7)</f>
        <v/>
      </c>
      <c r="T7" s="224">
        <f>IF('DM_NHAN_SU'!$B7="","",'CHAM_CONG_THANG'!S7)</f>
        <v/>
      </c>
      <c r="U7" s="224">
        <f>IF('DM_NHAN_SU'!$B7="","",MIN($T7,'THAM_SO'!$F$6))</f>
        <v/>
      </c>
      <c r="V7" s="224">
        <f>IF('DM_NHAN_SU'!$B7="","",MAX($T7-$U7,0))</f>
        <v/>
      </c>
      <c r="W7" s="224">
        <f>IF('DM_NHAN_SU'!$B7="","",'CHAM_CONG_THANG'!T7)</f>
        <v/>
      </c>
      <c r="X7" s="224">
        <f>IF('DM_NHAN_SU'!$B7="","",'CHAM_CONG_THANG'!U7)</f>
        <v/>
      </c>
      <c r="Y7" s="224">
        <f>IF('DM_NHAN_SU'!$B7="","",IF($B7="",0,IF('DM_NHAN_SU'!$Q7&gt;0,'DM_NHAN_SU'!$Q7,IF($G7="Tháng",IF($I7*$J7&gt;0,'DM_NHAN_SU'!$K7/($I7*$J7),0),IF($G7="Ngày",IF($J7&gt;0,'DM_NHAN_SU'!$K7/$J7,0),IF($G7="Giờ",'DM_NHAN_SU'!$K7,0))))))</f>
        <v/>
      </c>
      <c r="Z7" s="224">
        <f>IF('DM_NHAN_SU'!$B7="","",$Y7*($M7*'THAM_SO'!$C$22+'CHAM_CONG_THANG'!$AF7*'THAM_SO'!$C$19+'CHAM_CONG_THANG'!$AG7*'THAM_SO'!$C$20+'CHAM_CONG_THANG'!$AH7*'THAM_SO'!$C$21+'CHAM_CONG_THANG'!$AI7*'THAM_SO'!$C$23+'CHAM_CONG_THANG'!$AJ7*'THAM_SO'!$C$24+'CHAM_CONG_THANG'!$AK7*'THAM_SO'!$C$25))</f>
        <v/>
      </c>
      <c r="AA7" s="224">
        <f>IF('DM_NHAN_SU'!$B7="","",MAX(0,$Y7*($M7*IF('THAM_SO'!$C$22&gt;='THAM_SO'!$B$22,'THAM_SO'!$B$22,0)+'CHAM_CONG_THANG'!$AF7*IF('THAM_SO'!$C$19&gt;='THAM_SO'!$B$19,'THAM_SO'!$B$19,0)+'CHAM_CONG_THANG'!$AG7*IF('THAM_SO'!$C$20&gt;='THAM_SO'!$B$20,'THAM_SO'!$B$20,0)+'CHAM_CONG_THANG'!$AH7*IF('THAM_SO'!$C$21&gt;='THAM_SO'!$B$21,'THAM_SO'!$B$21,0)+'CHAM_CONG_THANG'!$AI7*IF('THAM_SO'!$C$23&gt;='THAM_SO'!$B$23,'THAM_SO'!$B$23,0)+'CHAM_CONG_THANG'!$AJ7*IF('THAM_SO'!$C$24&gt;='THAM_SO'!$B$24,'THAM_SO'!$B$24,0)+'CHAM_CONG_THANG'!$AK7*IF('THAM_SO'!$C$25&gt;='THAM_SO'!$B$25,'THAM_SO'!$B$25,0))-'CHAM_CONG_THANG'!$V7))</f>
        <v/>
      </c>
      <c r="AB7" s="224">
        <f>IF('DM_NHAN_SU'!$B7="","",MAX($Z7-$AA7,0))</f>
        <v/>
      </c>
      <c r="AC7" s="224">
        <f>IF('DM_NHAN_SU'!$B7="","",$O7+$P7+$Q7+$R7+$S7+$V7+$AB7+$BO7+$BP7+$BQ7+$BR7)</f>
        <v/>
      </c>
      <c r="AD7" s="224">
        <f>IF('DM_NHAN_SU'!$B7="","",'DM_NHAN_SU'!N7+'DM_NHAN_SU'!O7+'DM_NHAN_SU'!P7)</f>
        <v/>
      </c>
      <c r="AE7" s="224">
        <f>IF('DM_NHAN_SU'!$B7="","",IF(OR('DM_NHAN_SU'!$R7&lt;&gt;"Có",'CHAM_CONG_THANG'!$AA7="Có",$BL7&gt;=14,$AD7&lt;=0),0,MIN(MAX($AD7,'THAM_SO'!$M$6),'THAM_SO'!$M$7)))</f>
        <v/>
      </c>
      <c r="AF7" s="224">
        <f>IF('DM_NHAN_SU'!$B7="","",IF(OR('DM_NHAN_SU'!$S7&lt;&gt;"Có",'CHAM_CONG_THANG'!$AA7="Có",$BL7&gt;=14,$AD7&lt;=0),0,MIN(MAX($AD7,VLOOKUP($H7,'THAM_SO'!$L$17:$P$20,4,FALSE)),VLOOKUP($H7,'THAM_SO'!$L$17:$P$20,5,FALSE))))</f>
        <v/>
      </c>
      <c r="AG7" s="224">
        <f>IF('DM_NHAN_SU'!$B7="","",$AE7*'THAM_SO'!$M$8)</f>
        <v/>
      </c>
      <c r="AH7" s="224">
        <f>IF('DM_NHAN_SU'!$B7="","",$AE7*'THAM_SO'!$M$9)</f>
        <v/>
      </c>
      <c r="AI7" s="224">
        <f>IF('DM_NHAN_SU'!$B7="","",$AF7*'THAM_SO'!$M$10)</f>
        <v/>
      </c>
      <c r="AJ7" s="224">
        <f>IF('DM_NHAN_SU'!$B7="","",SUM($AG7:$AI7))</f>
        <v/>
      </c>
      <c r="AK7" s="224">
        <f>IF('DM_NHAN_SU'!$B7="","",IF($B7="",0,'THAM_SO'!$F$4))</f>
        <v/>
      </c>
      <c r="AL7" s="224">
        <f>IF('DM_NHAN_SU'!$B7="","",IF($B7="",0,'DM_NHAN_SU'!$T7*'THAM_SO'!$F$5))</f>
        <v/>
      </c>
      <c r="AM7" s="224">
        <f>IF('DM_NHAN_SU'!$B7="","",'CHAM_CONG_THANG'!W7)</f>
        <v/>
      </c>
      <c r="AN7" s="224">
        <f>IF('DM_NHAN_SU'!$B7="","",MAX($AC7-$AK7-$AL7-$AM7,0))</f>
        <v/>
      </c>
      <c r="AO7" s="224">
        <f>IF('DM_NHAN_SU'!$B7="","",IF($B7="","",IF($F7="Net",IF($AC7&lt;=$AK7+$AL7+$AM7,$AC7+$AJ7,$AJ7+$AK7+$AL7+$AM7+IF($AN7&lt;='THAM_SO'!$J$10,($AN7-'THAM_SO'!$I$10)/(1-'THAM_SO'!$H$10),IF($AN7&lt;='THAM_SO'!$J$11,($AN7-'THAM_SO'!$I$11)/(1-'THAM_SO'!$H$11),IF($AN7&lt;='THAM_SO'!$J$12,($AN7-'THAM_SO'!$I$12)/(1-'THAM_SO'!$H$12),IF($AN7&lt;='THAM_SO'!$J$13,($AN7-'THAM_SO'!$I$13)/(1-'THAM_SO'!$H$13),($AN7-'THAM_SO'!$I$14)/(1-'THAM_SO'!$H$14)))))),$AC7)))</f>
        <v/>
      </c>
      <c r="AP7" s="224">
        <f>IF('DM_NHAN_SU'!$B7="","",$U7+$W7+$X7+$AA7+$BS7)</f>
        <v/>
      </c>
      <c r="AQ7" s="224">
        <f>IF('DM_NHAN_SU'!$B7="","",MAX($AO7-$AJ7-$AK7-$AL7-$AM7,0))</f>
        <v/>
      </c>
      <c r="AR7" s="224">
        <f>IF('DM_NHAN_SU'!$B7="","",IF($AQ7&lt;=0,0,$AQ7*VLOOKUP($AQ7,'THAM_SO'!$F$10:$I$14,3,TRUE)-VLOOKUP($AQ7,'THAM_SO'!$F$10:$I$14,4,TRUE)))</f>
        <v/>
      </c>
      <c r="AS7" s="224">
        <f>IF('DM_NHAN_SU'!$B7="","",$AO7+$AP7)</f>
        <v/>
      </c>
      <c r="AT7" s="224">
        <f>IF('DM_NHAN_SU'!$B7="","",$AS7-$AJ7-$AR7)</f>
        <v/>
      </c>
      <c r="AU7" s="224">
        <f>IF('DM_NHAN_SU'!$B7="","",'CHAM_CONG_THANG'!X7)</f>
        <v/>
      </c>
      <c r="AV7" s="224">
        <f>IF('DM_NHAN_SU'!$B7="","",'CHAM_CONG_THANG'!Y7+'QT_NGHI_VIEC'!AD7)</f>
        <v/>
      </c>
      <c r="AW7" s="224">
        <f>IF('DM_NHAN_SU'!$B7="","",'CHAM_CONG_THANG'!Z7)</f>
        <v/>
      </c>
      <c r="AX7" s="224">
        <f>IF('DM_NHAN_SU'!$B7="","",$AT7-$AU7-$AV7-$AW7-$BV7)</f>
        <v/>
      </c>
      <c r="AY7" s="224">
        <f>IF('DM_NHAN_SU'!$B7="","",$AE7*'THAM_SO'!$M$11)</f>
        <v/>
      </c>
      <c r="AZ7" s="224">
        <f>IF('DM_NHAN_SU'!$B7="","",$AE7*'THAM_SO'!$M$12)</f>
        <v/>
      </c>
      <c r="BA7" s="224">
        <f>IF('DM_NHAN_SU'!$B7="","",$AF7*'THAM_SO'!$M$13)</f>
        <v/>
      </c>
      <c r="BB7" s="224">
        <f>IF('DM_NHAN_SU'!$B7="","",$AE7*'THAM_SO'!$M$14)</f>
        <v/>
      </c>
      <c r="BC7" s="224">
        <f>IF('DM_NHAN_SU'!$B7="","",SUM($AY7:$BB7))</f>
        <v/>
      </c>
      <c r="BD7" s="224">
        <f>IF('DM_NHAN_SU'!$B7="","",$AS7+$BC7)</f>
        <v/>
      </c>
      <c r="BE7" s="224">
        <f>IF('DM_NHAN_SU'!$B7="","",VLOOKUP($H7,'THAM_SO'!$L$17:$P$20,2,FALSE))</f>
        <v/>
      </c>
      <c r="BF7" s="224">
        <f>IF('DM_NHAN_SU'!$B7="","",VLOOKUP($H7,'THAM_SO'!$L$17:$P$20,3,FALSE))</f>
        <v/>
      </c>
      <c r="BG7" s="150">
        <f>IF('DM_NHAN_SU'!$B7="","",IF($B7="","",IF(COUNTIF('DM_NHAN_SU'!$B$6:$B$155,$B7)&gt;1,"Trùng mã NV; ","")&amp;IF(OR($F7="",$G7=""),"Thiếu loại/hình thức lương; ","")&amp;IF('CHAM_CONG_THANG'!$D7="","Chưa chọn nguồn công; ","")&amp;IF(AND('CHAM_CONG_THANG'!$D7="Theo ngày",COUNTIF('CHAM_CONG_NGAY'!$B$6:$B$4655,$B7)=0),"Chưa có chấm công ngày; ","")&amp;IF(OR($I7&lt;=0,$J7&lt;=0),"Thiếu công/giờ chuẩn; ","")&amp;IF(AND($G7="Tháng",'DM_NHAN_SU'!$K7&lt;$BE7),"Lương tháng dưới tối thiểu vùng; ","")&amp;IF(AND($G7="Ngày",'DM_NHAN_SU'!$K7/$J7&lt;$BF7),"Lương ngày quy đổi dưới tối thiểu giờ; ","")&amp;IF(AND($G7="Giờ",'DM_NHAN_SU'!$K7&lt;$BF7),"Lương giờ dưới tối thiểu vùng; ","")&amp;IF(AND($G7="Sản phẩm",$L7&gt;0,$O7/$L7&lt;$BF7),"Lương SP quy đổi dưới tối thiểu giờ; ","")&amp;IF(OR('THAM_SO'!$C$19&lt;'THAM_SO'!$B$19,'THAM_SO'!$C$20&lt;'THAM_SO'!$B$20,'THAM_SO'!$C$21&lt;'THAM_SO'!$B$21,'THAM_SO'!$C$22&lt;'THAM_SO'!$B$22,'THAM_SO'!$C$23&lt;'THAM_SO'!$B$23,'THAM_SO'!$C$24&lt;'THAM_SO'!$B$24,'THAM_SO'!$C$25&lt;'THAM_SO'!$B$25),"Hệ số OT/đêm DN thấp hơn luật; ","")&amp;IF(AND('DM_NHAN_SU'!$R7="Có",$AD7&lt;=0),"Thiếu căn cứ đóng BH; ","")&amp;IF(AND($AD7&gt;0,$AD7&lt;'THAM_SO'!$M$6),"Căn cứ BH dưới sàn – đã nâng sàn; ","")&amp;IF($AD7&gt;'THAM_SO'!$M$7,"Căn cứ BH vượt trần – đã giới hạn; ","")&amp;IF(AND($F7="Net",SUM('CHAM_CONG_THANG'!$AF7:$AK7)&gt;0,'DM_NHAN_SU'!$Q7&lt;=0),"Net có OT nhưng chưa khai lương giờ OT; ","")&amp;IF('CHAM_CONG_THANG'!$V7&gt;$Z7,"Phần OT không miễn lớn hơn tiền OT; ","")&amp;IF(AND($F7="Net",ABS($AT7-$AC7-$AP7)&gt;1),"Lệch quy đổi Net; ","")&amp;IF(AND($BH7&gt;0,'DM_NHAN_SU'!$AD7=""),"Có phép năm nhưng đang tạm dùng 12 ngày; ","")&amp;IF(AND($G7="Sản phẩm",SUM($BH7:$BJ7)&gt;0,'DM_NHAN_SU'!$AH7&lt;=0),"Lương sản phẩm thiếu đơn giá ngày phép/lễ; ","")&amp;IF(AND($BL7&gt;=14,'CHAM_CONG_THANG'!$AA7&lt;&gt;"Có"),"Thai sản từ 14 ngày: file tự dừng đóng BH – kiểm tra hồ sơ; ","")&amp;IF(AND('DM_NHAN_SU'!$AA7="Có",'DM_NHAN_SU'!$AB7=""),"Đoàn viên chưa chọn cách tính đoàn phí; ","")&amp;IF(AND('DM_NHAN_SU'!$AB7="Nhập tay",'DM_NHAN_SU'!$AC7&gt;'THAM_SO'!$M$26),"Đoàn phí nhập tay vượt trần thông dụng; ","")&amp;IF('NGHI_PHEP'!$L7&lt;&gt;"","Phép: "&amp;'NGHI_PHEP'!$L7,"")&amp;IF('CHE_DO_BHXH'!$AA7&lt;&gt;"","BHXH: "&amp;'CHE_DO_BHXH'!$AA7,"")&amp;IF('THUONG_T13_TET'!$O7&lt;&gt;"","Thưởng: "&amp;'THUONG_T13_TET'!$O7,"")&amp;IF('QT_NGHI_VIEC'!$AF7&lt;&gt;"","Nghỉ việc: "&amp;'QT_NGHI_VIEC'!$AF7,"")&amp;IF($AX7&lt;0,"Thực lĩnh âm; ","")&amp;IF(OR('DM_NHAN_SU'!$F7&gt;'THAM_SO'!$B$7,AND('DM_NHAN_SU'!$G7&lt;&gt;"",'DM_NHAN_SU'!$G7&lt;'THAM_SO'!$B$6)),"Ngoài kỳ trả lương; ","")))</f>
        <v/>
      </c>
      <c r="BH7" s="232">
        <f>IF('DM_NHAN_SU'!$B7="","",'CHAM_CONG_THANG'!AR7)</f>
        <v/>
      </c>
      <c r="BI7" s="232">
        <f>IF('DM_NHAN_SU'!$B7="","",'CHAM_CONG_THANG'!AS7)</f>
        <v/>
      </c>
      <c r="BJ7" s="232">
        <f>IF('DM_NHAN_SU'!$B7="","",'CHAM_CONG_THANG'!AT7)</f>
        <v/>
      </c>
      <c r="BK7" s="232">
        <f>IF('DM_NHAN_SU'!$B7="","",'CHAM_CONG_THANG'!AU7)</f>
        <v/>
      </c>
      <c r="BL7" s="232">
        <f>IF('DM_NHAN_SU'!$B7="","",'CHAM_CONG_THANG'!AV7)</f>
        <v/>
      </c>
      <c r="BM7" s="232">
        <f>IF('DM_NHAN_SU'!$B7="","",'CHAM_CONG_THANG'!AW7)</f>
        <v/>
      </c>
      <c r="BN7" s="232">
        <f>IF('DM_NHAN_SU'!$B7="","",SUM($K7,$BH7:$BJ7))</f>
        <v/>
      </c>
      <c r="BO7" s="224">
        <f>IF('DM_NHAN_SU'!$B7="","",IF($B7="",0,IF($G7="Tháng",IF($I7&gt;0,'DM_NHAN_SU'!$K7*MIN($BH7+$BJ7,MAX($I7-$K7,0))/$I7,0),IF($G7="Ngày",'DM_NHAN_SU'!$K7*SUM($BH7:$BJ7),IF($G7="Giờ",'DM_NHAN_SU'!$K7*SUM($BH7:$BJ7)*$J7,IF($G7="Sản phẩm",'DM_NHAN_SU'!$AH7*SUM($BH7:$BJ7),0))))))</f>
        <v/>
      </c>
      <c r="BP7" s="224">
        <f>IF('DM_NHAN_SU'!$B7="","",IF('THUONG_T13_TET'!$L7="Có",'THUONG_T13_TET'!$I7,0))</f>
        <v/>
      </c>
      <c r="BQ7" s="224">
        <f>IF('DM_NHAN_SU'!$B7="","",IF('THUONG_T13_TET'!$L7="Có",SUM('THUONG_T13_TET'!$J7:$K7),0))</f>
        <v/>
      </c>
      <c r="BR7" s="224">
        <f>IF('DM_NHAN_SU'!$B7="","",'QT_NGHI_VIEC'!AC7)</f>
        <v/>
      </c>
      <c r="BS7" s="224">
        <f>IF('DM_NHAN_SU'!$B7="","",'QT_NGHI_VIEC'!AB7)</f>
        <v/>
      </c>
      <c r="BT7" s="224">
        <f>IF('DM_NHAN_SU'!$B7="","",IF('CHE_DO_BHXH'!$Z7="Có",'CHE_DO_BHXH'!$W7,0))</f>
        <v/>
      </c>
      <c r="BU7" s="224">
        <f>IF('DM_NHAN_SU'!$B7="","",IF('CHE_DO_BHXH'!$Y7="DN trả thay",$BT7,0))</f>
        <v/>
      </c>
      <c r="BV7" s="224">
        <f>IF('DM_NHAN_SU'!$B7="","",IF(OR('DM_NHAN_SU'!$AA7&lt;&gt;"Có",'CHE_DO_BHXH'!$O7&gt;=1,SUM('CHE_DO_BHXH'!$D7,'CHE_DO_BHXH'!$G7,'CHE_DO_BHXH'!$K7)&gt;=24,AND($I7&gt;0,$BM7&gt;=$I7)),0,IF('DM_NHAN_SU'!$AB7="Không",0,IF('DM_NHAN_SU'!$AB7="Nhập tay",'DM_NHAN_SU'!$AC7,IF('DM_NHAN_SU'!$AB7="Theo thực nhận",MIN(MAX($AT7-$AU7-$AV7-$AW7,0)*'THAM_SO'!$M$23,'THAM_SO'!$M$26),MIN($AE7*'THAM_SO'!$M$23,'THAM_SO'!$M$26))))))</f>
        <v/>
      </c>
      <c r="BW7" s="224">
        <f>IF('DM_NHAN_SU'!$B7="","",$AX7+$BU7)</f>
        <v/>
      </c>
    </row>
    <row r="8">
      <c r="A8" s="145">
        <f>IF('DM_NHAN_SU'!$B8="","",IF($B8="","",ROW()-5))</f>
        <v/>
      </c>
      <c r="B8" s="145">
        <f>IF('DM_NHAN_SU'!$B8="","",'DM_NHAN_SU'!B8)</f>
        <v/>
      </c>
      <c r="C8" s="145">
        <f>IF('DM_NHAN_SU'!$B8="","",'DM_NHAN_SU'!C8)</f>
        <v/>
      </c>
      <c r="D8" s="145">
        <f>IF('DM_NHAN_SU'!$B8="","",'DM_NHAN_SU'!D8)</f>
        <v/>
      </c>
      <c r="E8" s="145">
        <f>IF('DM_NHAN_SU'!$B8="","",'DM_NHAN_SU'!E8)</f>
        <v/>
      </c>
      <c r="F8" s="145">
        <f>IF('DM_NHAN_SU'!$B8="","",'DM_NHAN_SU'!I8)</f>
        <v/>
      </c>
      <c r="G8" s="145">
        <f>IF('DM_NHAN_SU'!$B8="","",'DM_NHAN_SU'!J8)</f>
        <v/>
      </c>
      <c r="H8" s="145">
        <f>IF('DM_NHAN_SU'!$B8="","",IF('DM_NHAN_SU'!H8="",'THAM_SO'!$B$11,'DM_NHAN_SU'!H8))</f>
        <v/>
      </c>
      <c r="I8" s="232">
        <f>IF('DM_NHAN_SU'!$B8="","",IF('DM_NHAN_SU'!L8&gt;0,'DM_NHAN_SU'!L8,'THAM_SO'!$B$9))</f>
        <v/>
      </c>
      <c r="J8" s="232">
        <f>IF('DM_NHAN_SU'!$B8="","",IF('DM_NHAN_SU'!M8&gt;0,'DM_NHAN_SU'!M8,'THAM_SO'!$B$10))</f>
        <v/>
      </c>
      <c r="K8" s="232">
        <f>IF('DM_NHAN_SU'!$B8="","",'CHAM_CONG_THANG'!AC8)</f>
        <v/>
      </c>
      <c r="L8" s="232">
        <f>IF('DM_NHAN_SU'!$B8="","",'CHAM_CONG_THANG'!AD8)</f>
        <v/>
      </c>
      <c r="M8" s="232">
        <f>IF('DM_NHAN_SU'!$B8="","",'CHAM_CONG_THANG'!AE8)</f>
        <v/>
      </c>
      <c r="N8" s="232">
        <f>IF('DM_NHAN_SU'!$B8="","",'CHAM_CONG_THANG'!N8)</f>
        <v/>
      </c>
      <c r="O8" s="224">
        <f>IF('DM_NHAN_SU'!$B8="","",IF($B8="","",IF($G8="Tháng",IF($I8&gt;0,'DM_NHAN_SU'!$K8*MIN($K8,$I8)/$I8,0),IF($G8="Ngày",'DM_NHAN_SU'!$K8*$K8,IF($G8="Giờ",'DM_NHAN_SU'!$K8*$L8,IF($G8="Sản phẩm",'DM_NHAN_SU'!$K8*$N8,0))))))</f>
        <v/>
      </c>
      <c r="P8" s="224">
        <f>IF('DM_NHAN_SU'!$B8="","",'CHAM_CONG_THANG'!O8)</f>
        <v/>
      </c>
      <c r="Q8" s="224">
        <f>IF('DM_NHAN_SU'!$B8="","",'CHAM_CONG_THANG'!P8)</f>
        <v/>
      </c>
      <c r="R8" s="224">
        <f>IF('DM_NHAN_SU'!$B8="","",'CHAM_CONG_THANG'!Q8)</f>
        <v/>
      </c>
      <c r="S8" s="224">
        <f>IF('DM_NHAN_SU'!$B8="","",'CHAM_CONG_THANG'!R8)</f>
        <v/>
      </c>
      <c r="T8" s="224">
        <f>IF('DM_NHAN_SU'!$B8="","",'CHAM_CONG_THANG'!S8)</f>
        <v/>
      </c>
      <c r="U8" s="224">
        <f>IF('DM_NHAN_SU'!$B8="","",MIN($T8,'THAM_SO'!$F$6))</f>
        <v/>
      </c>
      <c r="V8" s="224">
        <f>IF('DM_NHAN_SU'!$B8="","",MAX($T8-$U8,0))</f>
        <v/>
      </c>
      <c r="W8" s="224">
        <f>IF('DM_NHAN_SU'!$B8="","",'CHAM_CONG_THANG'!T8)</f>
        <v/>
      </c>
      <c r="X8" s="224">
        <f>IF('DM_NHAN_SU'!$B8="","",'CHAM_CONG_THANG'!U8)</f>
        <v/>
      </c>
      <c r="Y8" s="224">
        <f>IF('DM_NHAN_SU'!$B8="","",IF($B8="",0,IF('DM_NHAN_SU'!$Q8&gt;0,'DM_NHAN_SU'!$Q8,IF($G8="Tháng",IF($I8*$J8&gt;0,'DM_NHAN_SU'!$K8/($I8*$J8),0),IF($G8="Ngày",IF($J8&gt;0,'DM_NHAN_SU'!$K8/$J8,0),IF($G8="Giờ",'DM_NHAN_SU'!$K8,0))))))</f>
        <v/>
      </c>
      <c r="Z8" s="224">
        <f>IF('DM_NHAN_SU'!$B8="","",$Y8*($M8*'THAM_SO'!$C$22+'CHAM_CONG_THANG'!$AF8*'THAM_SO'!$C$19+'CHAM_CONG_THANG'!$AG8*'THAM_SO'!$C$20+'CHAM_CONG_THANG'!$AH8*'THAM_SO'!$C$21+'CHAM_CONG_THANG'!$AI8*'THAM_SO'!$C$23+'CHAM_CONG_THANG'!$AJ8*'THAM_SO'!$C$24+'CHAM_CONG_THANG'!$AK8*'THAM_SO'!$C$25))</f>
        <v/>
      </c>
      <c r="AA8" s="224">
        <f>IF('DM_NHAN_SU'!$B8="","",MAX(0,$Y8*($M8*IF('THAM_SO'!$C$22&gt;='THAM_SO'!$B$22,'THAM_SO'!$B$22,0)+'CHAM_CONG_THANG'!$AF8*IF('THAM_SO'!$C$19&gt;='THAM_SO'!$B$19,'THAM_SO'!$B$19,0)+'CHAM_CONG_THANG'!$AG8*IF('THAM_SO'!$C$20&gt;='THAM_SO'!$B$20,'THAM_SO'!$B$20,0)+'CHAM_CONG_THANG'!$AH8*IF('THAM_SO'!$C$21&gt;='THAM_SO'!$B$21,'THAM_SO'!$B$21,0)+'CHAM_CONG_THANG'!$AI8*IF('THAM_SO'!$C$23&gt;='THAM_SO'!$B$23,'THAM_SO'!$B$23,0)+'CHAM_CONG_THANG'!$AJ8*IF('THAM_SO'!$C$24&gt;='THAM_SO'!$B$24,'THAM_SO'!$B$24,0)+'CHAM_CONG_THANG'!$AK8*IF('THAM_SO'!$C$25&gt;='THAM_SO'!$B$25,'THAM_SO'!$B$25,0))-'CHAM_CONG_THANG'!$V8))</f>
        <v/>
      </c>
      <c r="AB8" s="224">
        <f>IF('DM_NHAN_SU'!$B8="","",MAX($Z8-$AA8,0))</f>
        <v/>
      </c>
      <c r="AC8" s="224">
        <f>IF('DM_NHAN_SU'!$B8="","",$O8+$P8+$Q8+$R8+$S8+$V8+$AB8+$BO8+$BP8+$BQ8+$BR8)</f>
        <v/>
      </c>
      <c r="AD8" s="224">
        <f>IF('DM_NHAN_SU'!$B8="","",'DM_NHAN_SU'!N8+'DM_NHAN_SU'!O8+'DM_NHAN_SU'!P8)</f>
        <v/>
      </c>
      <c r="AE8" s="224">
        <f>IF('DM_NHAN_SU'!$B8="","",IF(OR('DM_NHAN_SU'!$R8&lt;&gt;"Có",'CHAM_CONG_THANG'!$AA8="Có",$BL8&gt;=14,$AD8&lt;=0),0,MIN(MAX($AD8,'THAM_SO'!$M$6),'THAM_SO'!$M$7)))</f>
        <v/>
      </c>
      <c r="AF8" s="224">
        <f>IF('DM_NHAN_SU'!$B8="","",IF(OR('DM_NHAN_SU'!$S8&lt;&gt;"Có",'CHAM_CONG_THANG'!$AA8="Có",$BL8&gt;=14,$AD8&lt;=0),0,MIN(MAX($AD8,VLOOKUP($H8,'THAM_SO'!$L$17:$P$20,4,FALSE)),VLOOKUP($H8,'THAM_SO'!$L$17:$P$20,5,FALSE))))</f>
        <v/>
      </c>
      <c r="AG8" s="224">
        <f>IF('DM_NHAN_SU'!$B8="","",$AE8*'THAM_SO'!$M$8)</f>
        <v/>
      </c>
      <c r="AH8" s="224">
        <f>IF('DM_NHAN_SU'!$B8="","",$AE8*'THAM_SO'!$M$9)</f>
        <v/>
      </c>
      <c r="AI8" s="224">
        <f>IF('DM_NHAN_SU'!$B8="","",$AF8*'THAM_SO'!$M$10)</f>
        <v/>
      </c>
      <c r="AJ8" s="224">
        <f>IF('DM_NHAN_SU'!$B8="","",SUM($AG8:$AI8))</f>
        <v/>
      </c>
      <c r="AK8" s="224">
        <f>IF('DM_NHAN_SU'!$B8="","",IF($B8="",0,'THAM_SO'!$F$4))</f>
        <v/>
      </c>
      <c r="AL8" s="224">
        <f>IF('DM_NHAN_SU'!$B8="","",IF($B8="",0,'DM_NHAN_SU'!$T8*'THAM_SO'!$F$5))</f>
        <v/>
      </c>
      <c r="AM8" s="224">
        <f>IF('DM_NHAN_SU'!$B8="","",'CHAM_CONG_THANG'!W8)</f>
        <v/>
      </c>
      <c r="AN8" s="224">
        <f>IF('DM_NHAN_SU'!$B8="","",MAX($AC8-$AK8-$AL8-$AM8,0))</f>
        <v/>
      </c>
      <c r="AO8" s="224">
        <f>IF('DM_NHAN_SU'!$B8="","",IF($B8="","",IF($F8="Net",IF($AC8&lt;=$AK8+$AL8+$AM8,$AC8+$AJ8,$AJ8+$AK8+$AL8+$AM8+IF($AN8&lt;='THAM_SO'!$J$10,($AN8-'THAM_SO'!$I$10)/(1-'THAM_SO'!$H$10),IF($AN8&lt;='THAM_SO'!$J$11,($AN8-'THAM_SO'!$I$11)/(1-'THAM_SO'!$H$11),IF($AN8&lt;='THAM_SO'!$J$12,($AN8-'THAM_SO'!$I$12)/(1-'THAM_SO'!$H$12),IF($AN8&lt;='THAM_SO'!$J$13,($AN8-'THAM_SO'!$I$13)/(1-'THAM_SO'!$H$13),($AN8-'THAM_SO'!$I$14)/(1-'THAM_SO'!$H$14)))))),$AC8)))</f>
        <v/>
      </c>
      <c r="AP8" s="224">
        <f>IF('DM_NHAN_SU'!$B8="","",$U8+$W8+$X8+$AA8+$BS8)</f>
        <v/>
      </c>
      <c r="AQ8" s="224">
        <f>IF('DM_NHAN_SU'!$B8="","",MAX($AO8-$AJ8-$AK8-$AL8-$AM8,0))</f>
        <v/>
      </c>
      <c r="AR8" s="224">
        <f>IF('DM_NHAN_SU'!$B8="","",IF($AQ8&lt;=0,0,$AQ8*VLOOKUP($AQ8,'THAM_SO'!$F$10:$I$14,3,TRUE)-VLOOKUP($AQ8,'THAM_SO'!$F$10:$I$14,4,TRUE)))</f>
        <v/>
      </c>
      <c r="AS8" s="224">
        <f>IF('DM_NHAN_SU'!$B8="","",$AO8+$AP8)</f>
        <v/>
      </c>
      <c r="AT8" s="224">
        <f>IF('DM_NHAN_SU'!$B8="","",$AS8-$AJ8-$AR8)</f>
        <v/>
      </c>
      <c r="AU8" s="224">
        <f>IF('DM_NHAN_SU'!$B8="","",'CHAM_CONG_THANG'!X8)</f>
        <v/>
      </c>
      <c r="AV8" s="224">
        <f>IF('DM_NHAN_SU'!$B8="","",'CHAM_CONG_THANG'!Y8+'QT_NGHI_VIEC'!AD8)</f>
        <v/>
      </c>
      <c r="AW8" s="224">
        <f>IF('DM_NHAN_SU'!$B8="","",'CHAM_CONG_THANG'!Z8)</f>
        <v/>
      </c>
      <c r="AX8" s="224">
        <f>IF('DM_NHAN_SU'!$B8="","",$AT8-$AU8-$AV8-$AW8-$BV8)</f>
        <v/>
      </c>
      <c r="AY8" s="224">
        <f>IF('DM_NHAN_SU'!$B8="","",$AE8*'THAM_SO'!$M$11)</f>
        <v/>
      </c>
      <c r="AZ8" s="224">
        <f>IF('DM_NHAN_SU'!$B8="","",$AE8*'THAM_SO'!$M$12)</f>
        <v/>
      </c>
      <c r="BA8" s="224">
        <f>IF('DM_NHAN_SU'!$B8="","",$AF8*'THAM_SO'!$M$13)</f>
        <v/>
      </c>
      <c r="BB8" s="224">
        <f>IF('DM_NHAN_SU'!$B8="","",$AE8*'THAM_SO'!$M$14)</f>
        <v/>
      </c>
      <c r="BC8" s="224">
        <f>IF('DM_NHAN_SU'!$B8="","",SUM($AY8:$BB8))</f>
        <v/>
      </c>
      <c r="BD8" s="224">
        <f>IF('DM_NHAN_SU'!$B8="","",$AS8+$BC8)</f>
        <v/>
      </c>
      <c r="BE8" s="224">
        <f>IF('DM_NHAN_SU'!$B8="","",VLOOKUP($H8,'THAM_SO'!$L$17:$P$20,2,FALSE))</f>
        <v/>
      </c>
      <c r="BF8" s="224">
        <f>IF('DM_NHAN_SU'!$B8="","",VLOOKUP($H8,'THAM_SO'!$L$17:$P$20,3,FALSE))</f>
        <v/>
      </c>
      <c r="BG8" s="150">
        <f>IF('DM_NHAN_SU'!$B8="","",IF($B8="","",IF(COUNTIF('DM_NHAN_SU'!$B$6:$B$155,$B8)&gt;1,"Trùng mã NV; ","")&amp;IF(OR($F8="",$G8=""),"Thiếu loại/hình thức lương; ","")&amp;IF('CHAM_CONG_THANG'!$D8="","Chưa chọn nguồn công; ","")&amp;IF(AND('CHAM_CONG_THANG'!$D8="Theo ngày",COUNTIF('CHAM_CONG_NGAY'!$B$6:$B$4655,$B8)=0),"Chưa có chấm công ngày; ","")&amp;IF(OR($I8&lt;=0,$J8&lt;=0),"Thiếu công/giờ chuẩn; ","")&amp;IF(AND($G8="Tháng",'DM_NHAN_SU'!$K8&lt;$BE8),"Lương tháng dưới tối thiểu vùng; ","")&amp;IF(AND($G8="Ngày",'DM_NHAN_SU'!$K8/$J8&lt;$BF8),"Lương ngày quy đổi dưới tối thiểu giờ; ","")&amp;IF(AND($G8="Giờ",'DM_NHAN_SU'!$K8&lt;$BF8),"Lương giờ dưới tối thiểu vùng; ","")&amp;IF(AND($G8="Sản phẩm",$L8&gt;0,$O8/$L8&lt;$BF8),"Lương SP quy đổi dưới tối thiểu giờ; ","")&amp;IF(OR('THAM_SO'!$C$19&lt;'THAM_SO'!$B$19,'THAM_SO'!$C$20&lt;'THAM_SO'!$B$20,'THAM_SO'!$C$21&lt;'THAM_SO'!$B$21,'THAM_SO'!$C$22&lt;'THAM_SO'!$B$22,'THAM_SO'!$C$23&lt;'THAM_SO'!$B$23,'THAM_SO'!$C$24&lt;'THAM_SO'!$B$24,'THAM_SO'!$C$25&lt;'THAM_SO'!$B$25),"Hệ số OT/đêm DN thấp hơn luật; ","")&amp;IF(AND('DM_NHAN_SU'!$R8="Có",$AD8&lt;=0),"Thiếu căn cứ đóng BH; ","")&amp;IF(AND($AD8&gt;0,$AD8&lt;'THAM_SO'!$M$6),"Căn cứ BH dưới sàn – đã nâng sàn; ","")&amp;IF($AD8&gt;'THAM_SO'!$M$7,"Căn cứ BH vượt trần – đã giới hạn; ","")&amp;IF(AND($F8="Net",SUM('CHAM_CONG_THANG'!$AF8:$AK8)&gt;0,'DM_NHAN_SU'!$Q8&lt;=0),"Net có OT nhưng chưa khai lương giờ OT; ","")&amp;IF('CHAM_CONG_THANG'!$V8&gt;$Z8,"Phần OT không miễn lớn hơn tiền OT; ","")&amp;IF(AND($F8="Net",ABS($AT8-$AC8-$AP8)&gt;1),"Lệch quy đổi Net; ","")&amp;IF(AND($BH8&gt;0,'DM_NHAN_SU'!$AD8=""),"Có phép năm nhưng đang tạm dùng 12 ngày; ","")&amp;IF(AND($G8="Sản phẩm",SUM($BH8:$BJ8)&gt;0,'DM_NHAN_SU'!$AH8&lt;=0),"Lương sản phẩm thiếu đơn giá ngày phép/lễ; ","")&amp;IF(AND($BL8&gt;=14,'CHAM_CONG_THANG'!$AA8&lt;&gt;"Có"),"Thai sản từ 14 ngày: file tự dừng đóng BH – kiểm tra hồ sơ; ","")&amp;IF(AND('DM_NHAN_SU'!$AA8="Có",'DM_NHAN_SU'!$AB8=""),"Đoàn viên chưa chọn cách tính đoàn phí; ","")&amp;IF(AND('DM_NHAN_SU'!$AB8="Nhập tay",'DM_NHAN_SU'!$AC8&gt;'THAM_SO'!$M$26),"Đoàn phí nhập tay vượt trần thông dụng; ","")&amp;IF('NGHI_PHEP'!$L8&lt;&gt;"","Phép: "&amp;'NGHI_PHEP'!$L8,"")&amp;IF('CHE_DO_BHXH'!$AA8&lt;&gt;"","BHXH: "&amp;'CHE_DO_BHXH'!$AA8,"")&amp;IF('THUONG_T13_TET'!$O8&lt;&gt;"","Thưởng: "&amp;'THUONG_T13_TET'!$O8,"")&amp;IF('QT_NGHI_VIEC'!$AF8&lt;&gt;"","Nghỉ việc: "&amp;'QT_NGHI_VIEC'!$AF8,"")&amp;IF($AX8&lt;0,"Thực lĩnh âm; ","")&amp;IF(OR('DM_NHAN_SU'!$F8&gt;'THAM_SO'!$B$7,AND('DM_NHAN_SU'!$G8&lt;&gt;"",'DM_NHAN_SU'!$G8&lt;'THAM_SO'!$B$6)),"Ngoài kỳ trả lương; ","")))</f>
        <v/>
      </c>
      <c r="BH8" s="232">
        <f>IF('DM_NHAN_SU'!$B8="","",'CHAM_CONG_THANG'!AR8)</f>
        <v/>
      </c>
      <c r="BI8" s="232">
        <f>IF('DM_NHAN_SU'!$B8="","",'CHAM_CONG_THANG'!AS8)</f>
        <v/>
      </c>
      <c r="BJ8" s="232">
        <f>IF('DM_NHAN_SU'!$B8="","",'CHAM_CONG_THANG'!AT8)</f>
        <v/>
      </c>
      <c r="BK8" s="232">
        <f>IF('DM_NHAN_SU'!$B8="","",'CHAM_CONG_THANG'!AU8)</f>
        <v/>
      </c>
      <c r="BL8" s="232">
        <f>IF('DM_NHAN_SU'!$B8="","",'CHAM_CONG_THANG'!AV8)</f>
        <v/>
      </c>
      <c r="BM8" s="232">
        <f>IF('DM_NHAN_SU'!$B8="","",'CHAM_CONG_THANG'!AW8)</f>
        <v/>
      </c>
      <c r="BN8" s="232">
        <f>IF('DM_NHAN_SU'!$B8="","",SUM($K8,$BH8:$BJ8))</f>
        <v/>
      </c>
      <c r="BO8" s="224">
        <f>IF('DM_NHAN_SU'!$B8="","",IF($B8="",0,IF($G8="Tháng",IF($I8&gt;0,'DM_NHAN_SU'!$K8*MIN($BH8+$BJ8,MAX($I8-$K8,0))/$I8,0),IF($G8="Ngày",'DM_NHAN_SU'!$K8*SUM($BH8:$BJ8),IF($G8="Giờ",'DM_NHAN_SU'!$K8*SUM($BH8:$BJ8)*$J8,IF($G8="Sản phẩm",'DM_NHAN_SU'!$AH8*SUM($BH8:$BJ8),0))))))</f>
        <v/>
      </c>
      <c r="BP8" s="224">
        <f>IF('DM_NHAN_SU'!$B8="","",IF('THUONG_T13_TET'!$L8="Có",'THUONG_T13_TET'!$I8,0))</f>
        <v/>
      </c>
      <c r="BQ8" s="224">
        <f>IF('DM_NHAN_SU'!$B8="","",IF('THUONG_T13_TET'!$L8="Có",SUM('THUONG_T13_TET'!$J8:$K8),0))</f>
        <v/>
      </c>
      <c r="BR8" s="224">
        <f>IF('DM_NHAN_SU'!$B8="","",'QT_NGHI_VIEC'!AC8)</f>
        <v/>
      </c>
      <c r="BS8" s="224">
        <f>IF('DM_NHAN_SU'!$B8="","",'QT_NGHI_VIEC'!AB8)</f>
        <v/>
      </c>
      <c r="BT8" s="224">
        <f>IF('DM_NHAN_SU'!$B8="","",IF('CHE_DO_BHXH'!$Z8="Có",'CHE_DO_BHXH'!$W8,0))</f>
        <v/>
      </c>
      <c r="BU8" s="224">
        <f>IF('DM_NHAN_SU'!$B8="","",IF('CHE_DO_BHXH'!$Y8="DN trả thay",$BT8,0))</f>
        <v/>
      </c>
      <c r="BV8" s="224">
        <f>IF('DM_NHAN_SU'!$B8="","",IF(OR('DM_NHAN_SU'!$AA8&lt;&gt;"Có",'CHE_DO_BHXH'!$O8&gt;=1,SUM('CHE_DO_BHXH'!$D8,'CHE_DO_BHXH'!$G8,'CHE_DO_BHXH'!$K8)&gt;=24,AND($I8&gt;0,$BM8&gt;=$I8)),0,IF('DM_NHAN_SU'!$AB8="Không",0,IF('DM_NHAN_SU'!$AB8="Nhập tay",'DM_NHAN_SU'!$AC8,IF('DM_NHAN_SU'!$AB8="Theo thực nhận",MIN(MAX($AT8-$AU8-$AV8-$AW8,0)*'THAM_SO'!$M$23,'THAM_SO'!$M$26),MIN($AE8*'THAM_SO'!$M$23,'THAM_SO'!$M$26))))))</f>
        <v/>
      </c>
      <c r="BW8" s="224">
        <f>IF('DM_NHAN_SU'!$B8="","",$AX8+$BU8)</f>
        <v/>
      </c>
    </row>
    <row r="9">
      <c r="A9" s="145">
        <f>IF('DM_NHAN_SU'!$B9="","",IF($B9="","",ROW()-5))</f>
        <v/>
      </c>
      <c r="B9" s="145">
        <f>IF('DM_NHAN_SU'!$B9="","",'DM_NHAN_SU'!B9)</f>
        <v/>
      </c>
      <c r="C9" s="145">
        <f>IF('DM_NHAN_SU'!$B9="","",'DM_NHAN_SU'!C9)</f>
        <v/>
      </c>
      <c r="D9" s="145">
        <f>IF('DM_NHAN_SU'!$B9="","",'DM_NHAN_SU'!D9)</f>
        <v/>
      </c>
      <c r="E9" s="145">
        <f>IF('DM_NHAN_SU'!$B9="","",'DM_NHAN_SU'!E9)</f>
        <v/>
      </c>
      <c r="F9" s="145">
        <f>IF('DM_NHAN_SU'!$B9="","",'DM_NHAN_SU'!I9)</f>
        <v/>
      </c>
      <c r="G9" s="145">
        <f>IF('DM_NHAN_SU'!$B9="","",'DM_NHAN_SU'!J9)</f>
        <v/>
      </c>
      <c r="H9" s="145">
        <f>IF('DM_NHAN_SU'!$B9="","",IF('DM_NHAN_SU'!H9="",'THAM_SO'!$B$11,'DM_NHAN_SU'!H9))</f>
        <v/>
      </c>
      <c r="I9" s="232">
        <f>IF('DM_NHAN_SU'!$B9="","",IF('DM_NHAN_SU'!L9&gt;0,'DM_NHAN_SU'!L9,'THAM_SO'!$B$9))</f>
        <v/>
      </c>
      <c r="J9" s="232">
        <f>IF('DM_NHAN_SU'!$B9="","",IF('DM_NHAN_SU'!M9&gt;0,'DM_NHAN_SU'!M9,'THAM_SO'!$B$10))</f>
        <v/>
      </c>
      <c r="K9" s="232">
        <f>IF('DM_NHAN_SU'!$B9="","",'CHAM_CONG_THANG'!AC9)</f>
        <v/>
      </c>
      <c r="L9" s="232">
        <f>IF('DM_NHAN_SU'!$B9="","",'CHAM_CONG_THANG'!AD9)</f>
        <v/>
      </c>
      <c r="M9" s="232">
        <f>IF('DM_NHAN_SU'!$B9="","",'CHAM_CONG_THANG'!AE9)</f>
        <v/>
      </c>
      <c r="N9" s="232">
        <f>IF('DM_NHAN_SU'!$B9="","",'CHAM_CONG_THANG'!N9)</f>
        <v/>
      </c>
      <c r="O9" s="224">
        <f>IF('DM_NHAN_SU'!$B9="","",IF($B9="","",IF($G9="Tháng",IF($I9&gt;0,'DM_NHAN_SU'!$K9*MIN($K9,$I9)/$I9,0),IF($G9="Ngày",'DM_NHAN_SU'!$K9*$K9,IF($G9="Giờ",'DM_NHAN_SU'!$K9*$L9,IF($G9="Sản phẩm",'DM_NHAN_SU'!$K9*$N9,0))))))</f>
        <v/>
      </c>
      <c r="P9" s="224">
        <f>IF('DM_NHAN_SU'!$B9="","",'CHAM_CONG_THANG'!O9)</f>
        <v/>
      </c>
      <c r="Q9" s="224">
        <f>IF('DM_NHAN_SU'!$B9="","",'CHAM_CONG_THANG'!P9)</f>
        <v/>
      </c>
      <c r="R9" s="224">
        <f>IF('DM_NHAN_SU'!$B9="","",'CHAM_CONG_THANG'!Q9)</f>
        <v/>
      </c>
      <c r="S9" s="224">
        <f>IF('DM_NHAN_SU'!$B9="","",'CHAM_CONG_THANG'!R9)</f>
        <v/>
      </c>
      <c r="T9" s="224">
        <f>IF('DM_NHAN_SU'!$B9="","",'CHAM_CONG_THANG'!S9)</f>
        <v/>
      </c>
      <c r="U9" s="224">
        <f>IF('DM_NHAN_SU'!$B9="","",MIN($T9,'THAM_SO'!$F$6))</f>
        <v/>
      </c>
      <c r="V9" s="224">
        <f>IF('DM_NHAN_SU'!$B9="","",MAX($T9-$U9,0))</f>
        <v/>
      </c>
      <c r="W9" s="224">
        <f>IF('DM_NHAN_SU'!$B9="","",'CHAM_CONG_THANG'!T9)</f>
        <v/>
      </c>
      <c r="X9" s="224">
        <f>IF('DM_NHAN_SU'!$B9="","",'CHAM_CONG_THANG'!U9)</f>
        <v/>
      </c>
      <c r="Y9" s="224">
        <f>IF('DM_NHAN_SU'!$B9="","",IF($B9="",0,IF('DM_NHAN_SU'!$Q9&gt;0,'DM_NHAN_SU'!$Q9,IF($G9="Tháng",IF($I9*$J9&gt;0,'DM_NHAN_SU'!$K9/($I9*$J9),0),IF($G9="Ngày",IF($J9&gt;0,'DM_NHAN_SU'!$K9/$J9,0),IF($G9="Giờ",'DM_NHAN_SU'!$K9,0))))))</f>
        <v/>
      </c>
      <c r="Z9" s="224">
        <f>IF('DM_NHAN_SU'!$B9="","",$Y9*($M9*'THAM_SO'!$C$22+'CHAM_CONG_THANG'!$AF9*'THAM_SO'!$C$19+'CHAM_CONG_THANG'!$AG9*'THAM_SO'!$C$20+'CHAM_CONG_THANG'!$AH9*'THAM_SO'!$C$21+'CHAM_CONG_THANG'!$AI9*'THAM_SO'!$C$23+'CHAM_CONG_THANG'!$AJ9*'THAM_SO'!$C$24+'CHAM_CONG_THANG'!$AK9*'THAM_SO'!$C$25))</f>
        <v/>
      </c>
      <c r="AA9" s="224">
        <f>IF('DM_NHAN_SU'!$B9="","",MAX(0,$Y9*($M9*IF('THAM_SO'!$C$22&gt;='THAM_SO'!$B$22,'THAM_SO'!$B$22,0)+'CHAM_CONG_THANG'!$AF9*IF('THAM_SO'!$C$19&gt;='THAM_SO'!$B$19,'THAM_SO'!$B$19,0)+'CHAM_CONG_THANG'!$AG9*IF('THAM_SO'!$C$20&gt;='THAM_SO'!$B$20,'THAM_SO'!$B$20,0)+'CHAM_CONG_THANG'!$AH9*IF('THAM_SO'!$C$21&gt;='THAM_SO'!$B$21,'THAM_SO'!$B$21,0)+'CHAM_CONG_THANG'!$AI9*IF('THAM_SO'!$C$23&gt;='THAM_SO'!$B$23,'THAM_SO'!$B$23,0)+'CHAM_CONG_THANG'!$AJ9*IF('THAM_SO'!$C$24&gt;='THAM_SO'!$B$24,'THAM_SO'!$B$24,0)+'CHAM_CONG_THANG'!$AK9*IF('THAM_SO'!$C$25&gt;='THAM_SO'!$B$25,'THAM_SO'!$B$25,0))-'CHAM_CONG_THANG'!$V9))</f>
        <v/>
      </c>
      <c r="AB9" s="224">
        <f>IF('DM_NHAN_SU'!$B9="","",MAX($Z9-$AA9,0))</f>
        <v/>
      </c>
      <c r="AC9" s="224">
        <f>IF('DM_NHAN_SU'!$B9="","",$O9+$P9+$Q9+$R9+$S9+$V9+$AB9+$BO9+$BP9+$BQ9+$BR9)</f>
        <v/>
      </c>
      <c r="AD9" s="224">
        <f>IF('DM_NHAN_SU'!$B9="","",'DM_NHAN_SU'!N9+'DM_NHAN_SU'!O9+'DM_NHAN_SU'!P9)</f>
        <v/>
      </c>
      <c r="AE9" s="224">
        <f>IF('DM_NHAN_SU'!$B9="","",IF(OR('DM_NHAN_SU'!$R9&lt;&gt;"Có",'CHAM_CONG_THANG'!$AA9="Có",$BL9&gt;=14,$AD9&lt;=0),0,MIN(MAX($AD9,'THAM_SO'!$M$6),'THAM_SO'!$M$7)))</f>
        <v/>
      </c>
      <c r="AF9" s="224">
        <f>IF('DM_NHAN_SU'!$B9="","",IF(OR('DM_NHAN_SU'!$S9&lt;&gt;"Có",'CHAM_CONG_THANG'!$AA9="Có",$BL9&gt;=14,$AD9&lt;=0),0,MIN(MAX($AD9,VLOOKUP($H9,'THAM_SO'!$L$17:$P$20,4,FALSE)),VLOOKUP($H9,'THAM_SO'!$L$17:$P$20,5,FALSE))))</f>
        <v/>
      </c>
      <c r="AG9" s="224">
        <f>IF('DM_NHAN_SU'!$B9="","",$AE9*'THAM_SO'!$M$8)</f>
        <v/>
      </c>
      <c r="AH9" s="224">
        <f>IF('DM_NHAN_SU'!$B9="","",$AE9*'THAM_SO'!$M$9)</f>
        <v/>
      </c>
      <c r="AI9" s="224">
        <f>IF('DM_NHAN_SU'!$B9="","",$AF9*'THAM_SO'!$M$10)</f>
        <v/>
      </c>
      <c r="AJ9" s="224">
        <f>IF('DM_NHAN_SU'!$B9="","",SUM($AG9:$AI9))</f>
        <v/>
      </c>
      <c r="AK9" s="224">
        <f>IF('DM_NHAN_SU'!$B9="","",IF($B9="",0,'THAM_SO'!$F$4))</f>
        <v/>
      </c>
      <c r="AL9" s="224">
        <f>IF('DM_NHAN_SU'!$B9="","",IF($B9="",0,'DM_NHAN_SU'!$T9*'THAM_SO'!$F$5))</f>
        <v/>
      </c>
      <c r="AM9" s="224">
        <f>IF('DM_NHAN_SU'!$B9="","",'CHAM_CONG_THANG'!W9)</f>
        <v/>
      </c>
      <c r="AN9" s="224">
        <f>IF('DM_NHAN_SU'!$B9="","",MAX($AC9-$AK9-$AL9-$AM9,0))</f>
        <v/>
      </c>
      <c r="AO9" s="224">
        <f>IF('DM_NHAN_SU'!$B9="","",IF($B9="","",IF($F9="Net",IF($AC9&lt;=$AK9+$AL9+$AM9,$AC9+$AJ9,$AJ9+$AK9+$AL9+$AM9+IF($AN9&lt;='THAM_SO'!$J$10,($AN9-'THAM_SO'!$I$10)/(1-'THAM_SO'!$H$10),IF($AN9&lt;='THAM_SO'!$J$11,($AN9-'THAM_SO'!$I$11)/(1-'THAM_SO'!$H$11),IF($AN9&lt;='THAM_SO'!$J$12,($AN9-'THAM_SO'!$I$12)/(1-'THAM_SO'!$H$12),IF($AN9&lt;='THAM_SO'!$J$13,($AN9-'THAM_SO'!$I$13)/(1-'THAM_SO'!$H$13),($AN9-'THAM_SO'!$I$14)/(1-'THAM_SO'!$H$14)))))),$AC9)))</f>
        <v/>
      </c>
      <c r="AP9" s="224">
        <f>IF('DM_NHAN_SU'!$B9="","",$U9+$W9+$X9+$AA9+$BS9)</f>
        <v/>
      </c>
      <c r="AQ9" s="224">
        <f>IF('DM_NHAN_SU'!$B9="","",MAX($AO9-$AJ9-$AK9-$AL9-$AM9,0))</f>
        <v/>
      </c>
      <c r="AR9" s="224">
        <f>IF('DM_NHAN_SU'!$B9="","",IF($AQ9&lt;=0,0,$AQ9*VLOOKUP($AQ9,'THAM_SO'!$F$10:$I$14,3,TRUE)-VLOOKUP($AQ9,'THAM_SO'!$F$10:$I$14,4,TRUE)))</f>
        <v/>
      </c>
      <c r="AS9" s="224">
        <f>IF('DM_NHAN_SU'!$B9="","",$AO9+$AP9)</f>
        <v/>
      </c>
      <c r="AT9" s="224">
        <f>IF('DM_NHAN_SU'!$B9="","",$AS9-$AJ9-$AR9)</f>
        <v/>
      </c>
      <c r="AU9" s="224">
        <f>IF('DM_NHAN_SU'!$B9="","",'CHAM_CONG_THANG'!X9)</f>
        <v/>
      </c>
      <c r="AV9" s="224">
        <f>IF('DM_NHAN_SU'!$B9="","",'CHAM_CONG_THANG'!Y9+'QT_NGHI_VIEC'!AD9)</f>
        <v/>
      </c>
      <c r="AW9" s="224">
        <f>IF('DM_NHAN_SU'!$B9="","",'CHAM_CONG_THANG'!Z9)</f>
        <v/>
      </c>
      <c r="AX9" s="224">
        <f>IF('DM_NHAN_SU'!$B9="","",$AT9-$AU9-$AV9-$AW9-$BV9)</f>
        <v/>
      </c>
      <c r="AY9" s="224">
        <f>IF('DM_NHAN_SU'!$B9="","",$AE9*'THAM_SO'!$M$11)</f>
        <v/>
      </c>
      <c r="AZ9" s="224">
        <f>IF('DM_NHAN_SU'!$B9="","",$AE9*'THAM_SO'!$M$12)</f>
        <v/>
      </c>
      <c r="BA9" s="224">
        <f>IF('DM_NHAN_SU'!$B9="","",$AF9*'THAM_SO'!$M$13)</f>
        <v/>
      </c>
      <c r="BB9" s="224">
        <f>IF('DM_NHAN_SU'!$B9="","",$AE9*'THAM_SO'!$M$14)</f>
        <v/>
      </c>
      <c r="BC9" s="224">
        <f>IF('DM_NHAN_SU'!$B9="","",SUM($AY9:$BB9))</f>
        <v/>
      </c>
      <c r="BD9" s="224">
        <f>IF('DM_NHAN_SU'!$B9="","",$AS9+$BC9)</f>
        <v/>
      </c>
      <c r="BE9" s="224">
        <f>IF('DM_NHAN_SU'!$B9="","",VLOOKUP($H9,'THAM_SO'!$L$17:$P$20,2,FALSE))</f>
        <v/>
      </c>
      <c r="BF9" s="224">
        <f>IF('DM_NHAN_SU'!$B9="","",VLOOKUP($H9,'THAM_SO'!$L$17:$P$20,3,FALSE))</f>
        <v/>
      </c>
      <c r="BG9" s="150">
        <f>IF('DM_NHAN_SU'!$B9="","",IF($B9="","",IF(COUNTIF('DM_NHAN_SU'!$B$6:$B$155,$B9)&gt;1,"Trùng mã NV; ","")&amp;IF(OR($F9="",$G9=""),"Thiếu loại/hình thức lương; ","")&amp;IF('CHAM_CONG_THANG'!$D9="","Chưa chọn nguồn công; ","")&amp;IF(AND('CHAM_CONG_THANG'!$D9="Theo ngày",COUNTIF('CHAM_CONG_NGAY'!$B$6:$B$4655,$B9)=0),"Chưa có chấm công ngày; ","")&amp;IF(OR($I9&lt;=0,$J9&lt;=0),"Thiếu công/giờ chuẩn; ","")&amp;IF(AND($G9="Tháng",'DM_NHAN_SU'!$K9&lt;$BE9),"Lương tháng dưới tối thiểu vùng; ","")&amp;IF(AND($G9="Ngày",'DM_NHAN_SU'!$K9/$J9&lt;$BF9),"Lương ngày quy đổi dưới tối thiểu giờ; ","")&amp;IF(AND($G9="Giờ",'DM_NHAN_SU'!$K9&lt;$BF9),"Lương giờ dưới tối thiểu vùng; ","")&amp;IF(AND($G9="Sản phẩm",$L9&gt;0,$O9/$L9&lt;$BF9),"Lương SP quy đổi dưới tối thiểu giờ; ","")&amp;IF(OR('THAM_SO'!$C$19&lt;'THAM_SO'!$B$19,'THAM_SO'!$C$20&lt;'THAM_SO'!$B$20,'THAM_SO'!$C$21&lt;'THAM_SO'!$B$21,'THAM_SO'!$C$22&lt;'THAM_SO'!$B$22,'THAM_SO'!$C$23&lt;'THAM_SO'!$B$23,'THAM_SO'!$C$24&lt;'THAM_SO'!$B$24,'THAM_SO'!$C$25&lt;'THAM_SO'!$B$25),"Hệ số OT/đêm DN thấp hơn luật; ","")&amp;IF(AND('DM_NHAN_SU'!$R9="Có",$AD9&lt;=0),"Thiếu căn cứ đóng BH; ","")&amp;IF(AND($AD9&gt;0,$AD9&lt;'THAM_SO'!$M$6),"Căn cứ BH dưới sàn – đã nâng sàn; ","")&amp;IF($AD9&gt;'THAM_SO'!$M$7,"Căn cứ BH vượt trần – đã giới hạn; ","")&amp;IF(AND($F9="Net",SUM('CHAM_CONG_THANG'!$AF9:$AK9)&gt;0,'DM_NHAN_SU'!$Q9&lt;=0),"Net có OT nhưng chưa khai lương giờ OT; ","")&amp;IF('CHAM_CONG_THANG'!$V9&gt;$Z9,"Phần OT không miễn lớn hơn tiền OT; ","")&amp;IF(AND($F9="Net",ABS($AT9-$AC9-$AP9)&gt;1),"Lệch quy đổi Net; ","")&amp;IF(AND($BH9&gt;0,'DM_NHAN_SU'!$AD9=""),"Có phép năm nhưng đang tạm dùng 12 ngày; ","")&amp;IF(AND($G9="Sản phẩm",SUM($BH9:$BJ9)&gt;0,'DM_NHAN_SU'!$AH9&lt;=0),"Lương sản phẩm thiếu đơn giá ngày phép/lễ; ","")&amp;IF(AND($BL9&gt;=14,'CHAM_CONG_THANG'!$AA9&lt;&gt;"Có"),"Thai sản từ 14 ngày: file tự dừng đóng BH – kiểm tra hồ sơ; ","")&amp;IF(AND('DM_NHAN_SU'!$AA9="Có",'DM_NHAN_SU'!$AB9=""),"Đoàn viên chưa chọn cách tính đoàn phí; ","")&amp;IF(AND('DM_NHAN_SU'!$AB9="Nhập tay",'DM_NHAN_SU'!$AC9&gt;'THAM_SO'!$M$26),"Đoàn phí nhập tay vượt trần thông dụng; ","")&amp;IF('NGHI_PHEP'!$L9&lt;&gt;"","Phép: "&amp;'NGHI_PHEP'!$L9,"")&amp;IF('CHE_DO_BHXH'!$AA9&lt;&gt;"","BHXH: "&amp;'CHE_DO_BHXH'!$AA9,"")&amp;IF('THUONG_T13_TET'!$O9&lt;&gt;"","Thưởng: "&amp;'THUONG_T13_TET'!$O9,"")&amp;IF('QT_NGHI_VIEC'!$AF9&lt;&gt;"","Nghỉ việc: "&amp;'QT_NGHI_VIEC'!$AF9,"")&amp;IF($AX9&lt;0,"Thực lĩnh âm; ","")&amp;IF(OR('DM_NHAN_SU'!$F9&gt;'THAM_SO'!$B$7,AND('DM_NHAN_SU'!$G9&lt;&gt;"",'DM_NHAN_SU'!$G9&lt;'THAM_SO'!$B$6)),"Ngoài kỳ trả lương; ","")))</f>
        <v/>
      </c>
      <c r="BH9" s="232">
        <f>IF('DM_NHAN_SU'!$B9="","",'CHAM_CONG_THANG'!AR9)</f>
        <v/>
      </c>
      <c r="BI9" s="232">
        <f>IF('DM_NHAN_SU'!$B9="","",'CHAM_CONG_THANG'!AS9)</f>
        <v/>
      </c>
      <c r="BJ9" s="232">
        <f>IF('DM_NHAN_SU'!$B9="","",'CHAM_CONG_THANG'!AT9)</f>
        <v/>
      </c>
      <c r="BK9" s="232">
        <f>IF('DM_NHAN_SU'!$B9="","",'CHAM_CONG_THANG'!AU9)</f>
        <v/>
      </c>
      <c r="BL9" s="232">
        <f>IF('DM_NHAN_SU'!$B9="","",'CHAM_CONG_THANG'!AV9)</f>
        <v/>
      </c>
      <c r="BM9" s="232">
        <f>IF('DM_NHAN_SU'!$B9="","",'CHAM_CONG_THANG'!AW9)</f>
        <v/>
      </c>
      <c r="BN9" s="232">
        <f>IF('DM_NHAN_SU'!$B9="","",SUM($K9,$BH9:$BJ9))</f>
        <v/>
      </c>
      <c r="BO9" s="224">
        <f>IF('DM_NHAN_SU'!$B9="","",IF($B9="",0,IF($G9="Tháng",IF($I9&gt;0,'DM_NHAN_SU'!$K9*MIN($BH9+$BJ9,MAX($I9-$K9,0))/$I9,0),IF($G9="Ngày",'DM_NHAN_SU'!$K9*SUM($BH9:$BJ9),IF($G9="Giờ",'DM_NHAN_SU'!$K9*SUM($BH9:$BJ9)*$J9,IF($G9="Sản phẩm",'DM_NHAN_SU'!$AH9*SUM($BH9:$BJ9),0))))))</f>
        <v/>
      </c>
      <c r="BP9" s="224">
        <f>IF('DM_NHAN_SU'!$B9="","",IF('THUONG_T13_TET'!$L9="Có",'THUONG_T13_TET'!$I9,0))</f>
        <v/>
      </c>
      <c r="BQ9" s="224">
        <f>IF('DM_NHAN_SU'!$B9="","",IF('THUONG_T13_TET'!$L9="Có",SUM('THUONG_T13_TET'!$J9:$K9),0))</f>
        <v/>
      </c>
      <c r="BR9" s="224">
        <f>IF('DM_NHAN_SU'!$B9="","",'QT_NGHI_VIEC'!AC9)</f>
        <v/>
      </c>
      <c r="BS9" s="224">
        <f>IF('DM_NHAN_SU'!$B9="","",'QT_NGHI_VIEC'!AB9)</f>
        <v/>
      </c>
      <c r="BT9" s="224">
        <f>IF('DM_NHAN_SU'!$B9="","",IF('CHE_DO_BHXH'!$Z9="Có",'CHE_DO_BHXH'!$W9,0))</f>
        <v/>
      </c>
      <c r="BU9" s="224">
        <f>IF('DM_NHAN_SU'!$B9="","",IF('CHE_DO_BHXH'!$Y9="DN trả thay",$BT9,0))</f>
        <v/>
      </c>
      <c r="BV9" s="224">
        <f>IF('DM_NHAN_SU'!$B9="","",IF(OR('DM_NHAN_SU'!$AA9&lt;&gt;"Có",'CHE_DO_BHXH'!$O9&gt;=1,SUM('CHE_DO_BHXH'!$D9,'CHE_DO_BHXH'!$G9,'CHE_DO_BHXH'!$K9)&gt;=24,AND($I9&gt;0,$BM9&gt;=$I9)),0,IF('DM_NHAN_SU'!$AB9="Không",0,IF('DM_NHAN_SU'!$AB9="Nhập tay",'DM_NHAN_SU'!$AC9,IF('DM_NHAN_SU'!$AB9="Theo thực nhận",MIN(MAX($AT9-$AU9-$AV9-$AW9,0)*'THAM_SO'!$M$23,'THAM_SO'!$M$26),MIN($AE9*'THAM_SO'!$M$23,'THAM_SO'!$M$26))))))</f>
        <v/>
      </c>
      <c r="BW9" s="224">
        <f>IF('DM_NHAN_SU'!$B9="","",$AX9+$BU9)</f>
        <v/>
      </c>
    </row>
    <row r="10">
      <c r="A10" s="145">
        <f>IF('DM_NHAN_SU'!$B10="","",IF($B10="","",ROW()-5))</f>
        <v/>
      </c>
      <c r="B10" s="145">
        <f>IF('DM_NHAN_SU'!$B10="","",'DM_NHAN_SU'!B10)</f>
        <v/>
      </c>
      <c r="C10" s="145">
        <f>IF('DM_NHAN_SU'!$B10="","",'DM_NHAN_SU'!C10)</f>
        <v/>
      </c>
      <c r="D10" s="145">
        <f>IF('DM_NHAN_SU'!$B10="","",'DM_NHAN_SU'!D10)</f>
        <v/>
      </c>
      <c r="E10" s="145">
        <f>IF('DM_NHAN_SU'!$B10="","",'DM_NHAN_SU'!E10)</f>
        <v/>
      </c>
      <c r="F10" s="145">
        <f>IF('DM_NHAN_SU'!$B10="","",'DM_NHAN_SU'!I10)</f>
        <v/>
      </c>
      <c r="G10" s="145">
        <f>IF('DM_NHAN_SU'!$B10="","",'DM_NHAN_SU'!J10)</f>
        <v/>
      </c>
      <c r="H10" s="145">
        <f>IF('DM_NHAN_SU'!$B10="","",IF('DM_NHAN_SU'!H10="",'THAM_SO'!$B$11,'DM_NHAN_SU'!H10))</f>
        <v/>
      </c>
      <c r="I10" s="232">
        <f>IF('DM_NHAN_SU'!$B10="","",IF('DM_NHAN_SU'!L10&gt;0,'DM_NHAN_SU'!L10,'THAM_SO'!$B$9))</f>
        <v/>
      </c>
      <c r="J10" s="232">
        <f>IF('DM_NHAN_SU'!$B10="","",IF('DM_NHAN_SU'!M10&gt;0,'DM_NHAN_SU'!M10,'THAM_SO'!$B$10))</f>
        <v/>
      </c>
      <c r="K10" s="232">
        <f>IF('DM_NHAN_SU'!$B10="","",'CHAM_CONG_THANG'!AC10)</f>
        <v/>
      </c>
      <c r="L10" s="232">
        <f>IF('DM_NHAN_SU'!$B10="","",'CHAM_CONG_THANG'!AD10)</f>
        <v/>
      </c>
      <c r="M10" s="232">
        <f>IF('DM_NHAN_SU'!$B10="","",'CHAM_CONG_THANG'!AE10)</f>
        <v/>
      </c>
      <c r="N10" s="232">
        <f>IF('DM_NHAN_SU'!$B10="","",'CHAM_CONG_THANG'!N10)</f>
        <v/>
      </c>
      <c r="O10" s="224">
        <f>IF('DM_NHAN_SU'!$B10="","",IF($B10="","",IF($G10="Tháng",IF($I10&gt;0,'DM_NHAN_SU'!$K10*MIN($K10,$I10)/$I10,0),IF($G10="Ngày",'DM_NHAN_SU'!$K10*$K10,IF($G10="Giờ",'DM_NHAN_SU'!$K10*$L10,IF($G10="Sản phẩm",'DM_NHAN_SU'!$K10*$N10,0))))))</f>
        <v/>
      </c>
      <c r="P10" s="224">
        <f>IF('DM_NHAN_SU'!$B10="","",'CHAM_CONG_THANG'!O10)</f>
        <v/>
      </c>
      <c r="Q10" s="224">
        <f>IF('DM_NHAN_SU'!$B10="","",'CHAM_CONG_THANG'!P10)</f>
        <v/>
      </c>
      <c r="R10" s="224">
        <f>IF('DM_NHAN_SU'!$B10="","",'CHAM_CONG_THANG'!Q10)</f>
        <v/>
      </c>
      <c r="S10" s="224">
        <f>IF('DM_NHAN_SU'!$B10="","",'CHAM_CONG_THANG'!R10)</f>
        <v/>
      </c>
      <c r="T10" s="224">
        <f>IF('DM_NHAN_SU'!$B10="","",'CHAM_CONG_THANG'!S10)</f>
        <v/>
      </c>
      <c r="U10" s="224">
        <f>IF('DM_NHAN_SU'!$B10="","",MIN($T10,'THAM_SO'!$F$6))</f>
        <v/>
      </c>
      <c r="V10" s="224">
        <f>IF('DM_NHAN_SU'!$B10="","",MAX($T10-$U10,0))</f>
        <v/>
      </c>
      <c r="W10" s="224">
        <f>IF('DM_NHAN_SU'!$B10="","",'CHAM_CONG_THANG'!T10)</f>
        <v/>
      </c>
      <c r="X10" s="224">
        <f>IF('DM_NHAN_SU'!$B10="","",'CHAM_CONG_THANG'!U10)</f>
        <v/>
      </c>
      <c r="Y10" s="224">
        <f>IF('DM_NHAN_SU'!$B10="","",IF($B10="",0,IF('DM_NHAN_SU'!$Q10&gt;0,'DM_NHAN_SU'!$Q10,IF($G10="Tháng",IF($I10*$J10&gt;0,'DM_NHAN_SU'!$K10/($I10*$J10),0),IF($G10="Ngày",IF($J10&gt;0,'DM_NHAN_SU'!$K10/$J10,0),IF($G10="Giờ",'DM_NHAN_SU'!$K10,0))))))</f>
        <v/>
      </c>
      <c r="Z10" s="224">
        <f>IF('DM_NHAN_SU'!$B10="","",$Y10*($M10*'THAM_SO'!$C$22+'CHAM_CONG_THANG'!$AF10*'THAM_SO'!$C$19+'CHAM_CONG_THANG'!$AG10*'THAM_SO'!$C$20+'CHAM_CONG_THANG'!$AH10*'THAM_SO'!$C$21+'CHAM_CONG_THANG'!$AI10*'THAM_SO'!$C$23+'CHAM_CONG_THANG'!$AJ10*'THAM_SO'!$C$24+'CHAM_CONG_THANG'!$AK10*'THAM_SO'!$C$25))</f>
        <v/>
      </c>
      <c r="AA10" s="224">
        <f>IF('DM_NHAN_SU'!$B10="","",MAX(0,$Y10*($M10*IF('THAM_SO'!$C$22&gt;='THAM_SO'!$B$22,'THAM_SO'!$B$22,0)+'CHAM_CONG_THANG'!$AF10*IF('THAM_SO'!$C$19&gt;='THAM_SO'!$B$19,'THAM_SO'!$B$19,0)+'CHAM_CONG_THANG'!$AG10*IF('THAM_SO'!$C$20&gt;='THAM_SO'!$B$20,'THAM_SO'!$B$20,0)+'CHAM_CONG_THANG'!$AH10*IF('THAM_SO'!$C$21&gt;='THAM_SO'!$B$21,'THAM_SO'!$B$21,0)+'CHAM_CONG_THANG'!$AI10*IF('THAM_SO'!$C$23&gt;='THAM_SO'!$B$23,'THAM_SO'!$B$23,0)+'CHAM_CONG_THANG'!$AJ10*IF('THAM_SO'!$C$24&gt;='THAM_SO'!$B$24,'THAM_SO'!$B$24,0)+'CHAM_CONG_THANG'!$AK10*IF('THAM_SO'!$C$25&gt;='THAM_SO'!$B$25,'THAM_SO'!$B$25,0))-'CHAM_CONG_THANG'!$V10))</f>
        <v/>
      </c>
      <c r="AB10" s="224">
        <f>IF('DM_NHAN_SU'!$B10="","",MAX($Z10-$AA10,0))</f>
        <v/>
      </c>
      <c r="AC10" s="224">
        <f>IF('DM_NHAN_SU'!$B10="","",$O10+$P10+$Q10+$R10+$S10+$V10+$AB10+$BO10+$BP10+$BQ10+$BR10)</f>
        <v/>
      </c>
      <c r="AD10" s="224">
        <f>IF('DM_NHAN_SU'!$B10="","",'DM_NHAN_SU'!N10+'DM_NHAN_SU'!O10+'DM_NHAN_SU'!P10)</f>
        <v/>
      </c>
      <c r="AE10" s="224">
        <f>IF('DM_NHAN_SU'!$B10="","",IF(OR('DM_NHAN_SU'!$R10&lt;&gt;"Có",'CHAM_CONG_THANG'!$AA10="Có",$BL10&gt;=14,$AD10&lt;=0),0,MIN(MAX($AD10,'THAM_SO'!$M$6),'THAM_SO'!$M$7)))</f>
        <v/>
      </c>
      <c r="AF10" s="224">
        <f>IF('DM_NHAN_SU'!$B10="","",IF(OR('DM_NHAN_SU'!$S10&lt;&gt;"Có",'CHAM_CONG_THANG'!$AA10="Có",$BL10&gt;=14,$AD10&lt;=0),0,MIN(MAX($AD10,VLOOKUP($H10,'THAM_SO'!$L$17:$P$20,4,FALSE)),VLOOKUP($H10,'THAM_SO'!$L$17:$P$20,5,FALSE))))</f>
        <v/>
      </c>
      <c r="AG10" s="224">
        <f>IF('DM_NHAN_SU'!$B10="","",$AE10*'THAM_SO'!$M$8)</f>
        <v/>
      </c>
      <c r="AH10" s="224">
        <f>IF('DM_NHAN_SU'!$B10="","",$AE10*'THAM_SO'!$M$9)</f>
        <v/>
      </c>
      <c r="AI10" s="224">
        <f>IF('DM_NHAN_SU'!$B10="","",$AF10*'THAM_SO'!$M$10)</f>
        <v/>
      </c>
      <c r="AJ10" s="224">
        <f>IF('DM_NHAN_SU'!$B10="","",SUM($AG10:$AI10))</f>
        <v/>
      </c>
      <c r="AK10" s="224">
        <f>IF('DM_NHAN_SU'!$B10="","",IF($B10="",0,'THAM_SO'!$F$4))</f>
        <v/>
      </c>
      <c r="AL10" s="224">
        <f>IF('DM_NHAN_SU'!$B10="","",IF($B10="",0,'DM_NHAN_SU'!$T10*'THAM_SO'!$F$5))</f>
        <v/>
      </c>
      <c r="AM10" s="224">
        <f>IF('DM_NHAN_SU'!$B10="","",'CHAM_CONG_THANG'!W10)</f>
        <v/>
      </c>
      <c r="AN10" s="224">
        <f>IF('DM_NHAN_SU'!$B10="","",MAX($AC10-$AK10-$AL10-$AM10,0))</f>
        <v/>
      </c>
      <c r="AO10" s="224">
        <f>IF('DM_NHAN_SU'!$B10="","",IF($B10="","",IF($F10="Net",IF($AC10&lt;=$AK10+$AL10+$AM10,$AC10+$AJ10,$AJ10+$AK10+$AL10+$AM10+IF($AN10&lt;='THAM_SO'!$J$10,($AN10-'THAM_SO'!$I$10)/(1-'THAM_SO'!$H$10),IF($AN10&lt;='THAM_SO'!$J$11,($AN10-'THAM_SO'!$I$11)/(1-'THAM_SO'!$H$11),IF($AN10&lt;='THAM_SO'!$J$12,($AN10-'THAM_SO'!$I$12)/(1-'THAM_SO'!$H$12),IF($AN10&lt;='THAM_SO'!$J$13,($AN10-'THAM_SO'!$I$13)/(1-'THAM_SO'!$H$13),($AN10-'THAM_SO'!$I$14)/(1-'THAM_SO'!$H$14)))))),$AC10)))</f>
        <v/>
      </c>
      <c r="AP10" s="224">
        <f>IF('DM_NHAN_SU'!$B10="","",$U10+$W10+$X10+$AA10+$BS10)</f>
        <v/>
      </c>
      <c r="AQ10" s="224">
        <f>IF('DM_NHAN_SU'!$B10="","",MAX($AO10-$AJ10-$AK10-$AL10-$AM10,0))</f>
        <v/>
      </c>
      <c r="AR10" s="224">
        <f>IF('DM_NHAN_SU'!$B10="","",IF($AQ10&lt;=0,0,$AQ10*VLOOKUP($AQ10,'THAM_SO'!$F$10:$I$14,3,TRUE)-VLOOKUP($AQ10,'THAM_SO'!$F$10:$I$14,4,TRUE)))</f>
        <v/>
      </c>
      <c r="AS10" s="224">
        <f>IF('DM_NHAN_SU'!$B10="","",$AO10+$AP10)</f>
        <v/>
      </c>
      <c r="AT10" s="224">
        <f>IF('DM_NHAN_SU'!$B10="","",$AS10-$AJ10-$AR10)</f>
        <v/>
      </c>
      <c r="AU10" s="224">
        <f>IF('DM_NHAN_SU'!$B10="","",'CHAM_CONG_THANG'!X10)</f>
        <v/>
      </c>
      <c r="AV10" s="224">
        <f>IF('DM_NHAN_SU'!$B10="","",'CHAM_CONG_THANG'!Y10+'QT_NGHI_VIEC'!AD10)</f>
        <v/>
      </c>
      <c r="AW10" s="224">
        <f>IF('DM_NHAN_SU'!$B10="","",'CHAM_CONG_THANG'!Z10)</f>
        <v/>
      </c>
      <c r="AX10" s="224">
        <f>IF('DM_NHAN_SU'!$B10="","",$AT10-$AU10-$AV10-$AW10-$BV10)</f>
        <v/>
      </c>
      <c r="AY10" s="224">
        <f>IF('DM_NHAN_SU'!$B10="","",$AE10*'THAM_SO'!$M$11)</f>
        <v/>
      </c>
      <c r="AZ10" s="224">
        <f>IF('DM_NHAN_SU'!$B10="","",$AE10*'THAM_SO'!$M$12)</f>
        <v/>
      </c>
      <c r="BA10" s="224">
        <f>IF('DM_NHAN_SU'!$B10="","",$AF10*'THAM_SO'!$M$13)</f>
        <v/>
      </c>
      <c r="BB10" s="224">
        <f>IF('DM_NHAN_SU'!$B10="","",$AE10*'THAM_SO'!$M$14)</f>
        <v/>
      </c>
      <c r="BC10" s="224">
        <f>IF('DM_NHAN_SU'!$B10="","",SUM($AY10:$BB10))</f>
        <v/>
      </c>
      <c r="BD10" s="224">
        <f>IF('DM_NHAN_SU'!$B10="","",$AS10+$BC10)</f>
        <v/>
      </c>
      <c r="BE10" s="224">
        <f>IF('DM_NHAN_SU'!$B10="","",VLOOKUP($H10,'THAM_SO'!$L$17:$P$20,2,FALSE))</f>
        <v/>
      </c>
      <c r="BF10" s="224">
        <f>IF('DM_NHAN_SU'!$B10="","",VLOOKUP($H10,'THAM_SO'!$L$17:$P$20,3,FALSE))</f>
        <v/>
      </c>
      <c r="BG10" s="150">
        <f>IF('DM_NHAN_SU'!$B10="","",IF($B10="","",IF(COUNTIF('DM_NHAN_SU'!$B$6:$B$155,$B10)&gt;1,"Trùng mã NV; ","")&amp;IF(OR($F10="",$G10=""),"Thiếu loại/hình thức lương; ","")&amp;IF('CHAM_CONG_THANG'!$D10="","Chưa chọn nguồn công; ","")&amp;IF(AND('CHAM_CONG_THANG'!$D10="Theo ngày",COUNTIF('CHAM_CONG_NGAY'!$B$6:$B$4655,$B10)=0),"Chưa có chấm công ngày; ","")&amp;IF(OR($I10&lt;=0,$J10&lt;=0),"Thiếu công/giờ chuẩn; ","")&amp;IF(AND($G10="Tháng",'DM_NHAN_SU'!$K10&lt;$BE10),"Lương tháng dưới tối thiểu vùng; ","")&amp;IF(AND($G10="Ngày",'DM_NHAN_SU'!$K10/$J10&lt;$BF10),"Lương ngày quy đổi dưới tối thiểu giờ; ","")&amp;IF(AND($G10="Giờ",'DM_NHAN_SU'!$K10&lt;$BF10),"Lương giờ dưới tối thiểu vùng; ","")&amp;IF(AND($G10="Sản phẩm",$L10&gt;0,$O10/$L10&lt;$BF10),"Lương SP quy đổi dưới tối thiểu giờ; ","")&amp;IF(OR('THAM_SO'!$C$19&lt;'THAM_SO'!$B$19,'THAM_SO'!$C$20&lt;'THAM_SO'!$B$20,'THAM_SO'!$C$21&lt;'THAM_SO'!$B$21,'THAM_SO'!$C$22&lt;'THAM_SO'!$B$22,'THAM_SO'!$C$23&lt;'THAM_SO'!$B$23,'THAM_SO'!$C$24&lt;'THAM_SO'!$B$24,'THAM_SO'!$C$25&lt;'THAM_SO'!$B$25),"Hệ số OT/đêm DN thấp hơn luật; ","")&amp;IF(AND('DM_NHAN_SU'!$R10="Có",$AD10&lt;=0),"Thiếu căn cứ đóng BH; ","")&amp;IF(AND($AD10&gt;0,$AD10&lt;'THAM_SO'!$M$6),"Căn cứ BH dưới sàn – đã nâng sàn; ","")&amp;IF($AD10&gt;'THAM_SO'!$M$7,"Căn cứ BH vượt trần – đã giới hạn; ","")&amp;IF(AND($F10="Net",SUM('CHAM_CONG_THANG'!$AF10:$AK10)&gt;0,'DM_NHAN_SU'!$Q10&lt;=0),"Net có OT nhưng chưa khai lương giờ OT; ","")&amp;IF('CHAM_CONG_THANG'!$V10&gt;$Z10,"Phần OT không miễn lớn hơn tiền OT; ","")&amp;IF(AND($F10="Net",ABS($AT10-$AC10-$AP10)&gt;1),"Lệch quy đổi Net; ","")&amp;IF(AND($BH10&gt;0,'DM_NHAN_SU'!$AD10=""),"Có phép năm nhưng đang tạm dùng 12 ngày; ","")&amp;IF(AND($G10="Sản phẩm",SUM($BH10:$BJ10)&gt;0,'DM_NHAN_SU'!$AH10&lt;=0),"Lương sản phẩm thiếu đơn giá ngày phép/lễ; ","")&amp;IF(AND($BL10&gt;=14,'CHAM_CONG_THANG'!$AA10&lt;&gt;"Có"),"Thai sản từ 14 ngày: file tự dừng đóng BH – kiểm tra hồ sơ; ","")&amp;IF(AND('DM_NHAN_SU'!$AA10="Có",'DM_NHAN_SU'!$AB10=""),"Đoàn viên chưa chọn cách tính đoàn phí; ","")&amp;IF(AND('DM_NHAN_SU'!$AB10="Nhập tay",'DM_NHAN_SU'!$AC10&gt;'THAM_SO'!$M$26),"Đoàn phí nhập tay vượt trần thông dụng; ","")&amp;IF('NGHI_PHEP'!$L10&lt;&gt;"","Phép: "&amp;'NGHI_PHEP'!$L10,"")&amp;IF('CHE_DO_BHXH'!$AA10&lt;&gt;"","BHXH: "&amp;'CHE_DO_BHXH'!$AA10,"")&amp;IF('THUONG_T13_TET'!$O10&lt;&gt;"","Thưởng: "&amp;'THUONG_T13_TET'!$O10,"")&amp;IF('QT_NGHI_VIEC'!$AF10&lt;&gt;"","Nghỉ việc: "&amp;'QT_NGHI_VIEC'!$AF10,"")&amp;IF($AX10&lt;0,"Thực lĩnh âm; ","")&amp;IF(OR('DM_NHAN_SU'!$F10&gt;'THAM_SO'!$B$7,AND('DM_NHAN_SU'!$G10&lt;&gt;"",'DM_NHAN_SU'!$G10&lt;'THAM_SO'!$B$6)),"Ngoài kỳ trả lương; ","")))</f>
        <v/>
      </c>
      <c r="BH10" s="232">
        <f>IF('DM_NHAN_SU'!$B10="","",'CHAM_CONG_THANG'!AR10)</f>
        <v/>
      </c>
      <c r="BI10" s="232">
        <f>IF('DM_NHAN_SU'!$B10="","",'CHAM_CONG_THANG'!AS10)</f>
        <v/>
      </c>
      <c r="BJ10" s="232">
        <f>IF('DM_NHAN_SU'!$B10="","",'CHAM_CONG_THANG'!AT10)</f>
        <v/>
      </c>
      <c r="BK10" s="232">
        <f>IF('DM_NHAN_SU'!$B10="","",'CHAM_CONG_THANG'!AU10)</f>
        <v/>
      </c>
      <c r="BL10" s="232">
        <f>IF('DM_NHAN_SU'!$B10="","",'CHAM_CONG_THANG'!AV10)</f>
        <v/>
      </c>
      <c r="BM10" s="232">
        <f>IF('DM_NHAN_SU'!$B10="","",'CHAM_CONG_THANG'!AW10)</f>
        <v/>
      </c>
      <c r="BN10" s="232">
        <f>IF('DM_NHAN_SU'!$B10="","",SUM($K10,$BH10:$BJ10))</f>
        <v/>
      </c>
      <c r="BO10" s="224">
        <f>IF('DM_NHAN_SU'!$B10="","",IF($B10="",0,IF($G10="Tháng",IF($I10&gt;0,'DM_NHAN_SU'!$K10*MIN($BH10+$BJ10,MAX($I10-$K10,0))/$I10,0),IF($G10="Ngày",'DM_NHAN_SU'!$K10*SUM($BH10:$BJ10),IF($G10="Giờ",'DM_NHAN_SU'!$K10*SUM($BH10:$BJ10)*$J10,IF($G10="Sản phẩm",'DM_NHAN_SU'!$AH10*SUM($BH10:$BJ10),0))))))</f>
        <v/>
      </c>
      <c r="BP10" s="224">
        <f>IF('DM_NHAN_SU'!$B10="","",IF('THUONG_T13_TET'!$L10="Có",'THUONG_T13_TET'!$I10,0))</f>
        <v/>
      </c>
      <c r="BQ10" s="224">
        <f>IF('DM_NHAN_SU'!$B10="","",IF('THUONG_T13_TET'!$L10="Có",SUM('THUONG_T13_TET'!$J10:$K10),0))</f>
        <v/>
      </c>
      <c r="BR10" s="224">
        <f>IF('DM_NHAN_SU'!$B10="","",'QT_NGHI_VIEC'!AC10)</f>
        <v/>
      </c>
      <c r="BS10" s="224">
        <f>IF('DM_NHAN_SU'!$B10="","",'QT_NGHI_VIEC'!AB10)</f>
        <v/>
      </c>
      <c r="BT10" s="224">
        <f>IF('DM_NHAN_SU'!$B10="","",IF('CHE_DO_BHXH'!$Z10="Có",'CHE_DO_BHXH'!$W10,0))</f>
        <v/>
      </c>
      <c r="BU10" s="224">
        <f>IF('DM_NHAN_SU'!$B10="","",IF('CHE_DO_BHXH'!$Y10="DN trả thay",$BT10,0))</f>
        <v/>
      </c>
      <c r="BV10" s="224">
        <f>IF('DM_NHAN_SU'!$B10="","",IF(OR('DM_NHAN_SU'!$AA10&lt;&gt;"Có",'CHE_DO_BHXH'!$O10&gt;=1,SUM('CHE_DO_BHXH'!$D10,'CHE_DO_BHXH'!$G10,'CHE_DO_BHXH'!$K10)&gt;=24,AND($I10&gt;0,$BM10&gt;=$I10)),0,IF('DM_NHAN_SU'!$AB10="Không",0,IF('DM_NHAN_SU'!$AB10="Nhập tay",'DM_NHAN_SU'!$AC10,IF('DM_NHAN_SU'!$AB10="Theo thực nhận",MIN(MAX($AT10-$AU10-$AV10-$AW10,0)*'THAM_SO'!$M$23,'THAM_SO'!$M$26),MIN($AE10*'THAM_SO'!$M$23,'THAM_SO'!$M$26))))))</f>
        <v/>
      </c>
      <c r="BW10" s="224">
        <f>IF('DM_NHAN_SU'!$B10="","",$AX10+$BU10)</f>
        <v/>
      </c>
    </row>
    <row r="11">
      <c r="A11" s="145">
        <f>IF('DM_NHAN_SU'!$B11="","",IF($B11="","",ROW()-5))</f>
        <v/>
      </c>
      <c r="B11" s="145">
        <f>IF('DM_NHAN_SU'!$B11="","",'DM_NHAN_SU'!B11)</f>
        <v/>
      </c>
      <c r="C11" s="145">
        <f>IF('DM_NHAN_SU'!$B11="","",'DM_NHAN_SU'!C11)</f>
        <v/>
      </c>
      <c r="D11" s="145">
        <f>IF('DM_NHAN_SU'!$B11="","",'DM_NHAN_SU'!D11)</f>
        <v/>
      </c>
      <c r="E11" s="145">
        <f>IF('DM_NHAN_SU'!$B11="","",'DM_NHAN_SU'!E11)</f>
        <v/>
      </c>
      <c r="F11" s="145">
        <f>IF('DM_NHAN_SU'!$B11="","",'DM_NHAN_SU'!I11)</f>
        <v/>
      </c>
      <c r="G11" s="145">
        <f>IF('DM_NHAN_SU'!$B11="","",'DM_NHAN_SU'!J11)</f>
        <v/>
      </c>
      <c r="H11" s="145">
        <f>IF('DM_NHAN_SU'!$B11="","",IF('DM_NHAN_SU'!H11="",'THAM_SO'!$B$11,'DM_NHAN_SU'!H11))</f>
        <v/>
      </c>
      <c r="I11" s="232">
        <f>IF('DM_NHAN_SU'!$B11="","",IF('DM_NHAN_SU'!L11&gt;0,'DM_NHAN_SU'!L11,'THAM_SO'!$B$9))</f>
        <v/>
      </c>
      <c r="J11" s="232">
        <f>IF('DM_NHAN_SU'!$B11="","",IF('DM_NHAN_SU'!M11&gt;0,'DM_NHAN_SU'!M11,'THAM_SO'!$B$10))</f>
        <v/>
      </c>
      <c r="K11" s="232">
        <f>IF('DM_NHAN_SU'!$B11="","",'CHAM_CONG_THANG'!AC11)</f>
        <v/>
      </c>
      <c r="L11" s="232">
        <f>IF('DM_NHAN_SU'!$B11="","",'CHAM_CONG_THANG'!AD11)</f>
        <v/>
      </c>
      <c r="M11" s="232">
        <f>IF('DM_NHAN_SU'!$B11="","",'CHAM_CONG_THANG'!AE11)</f>
        <v/>
      </c>
      <c r="N11" s="232">
        <f>IF('DM_NHAN_SU'!$B11="","",'CHAM_CONG_THANG'!N11)</f>
        <v/>
      </c>
      <c r="O11" s="224">
        <f>IF('DM_NHAN_SU'!$B11="","",IF($B11="","",IF($G11="Tháng",IF($I11&gt;0,'DM_NHAN_SU'!$K11*MIN($K11,$I11)/$I11,0),IF($G11="Ngày",'DM_NHAN_SU'!$K11*$K11,IF($G11="Giờ",'DM_NHAN_SU'!$K11*$L11,IF($G11="Sản phẩm",'DM_NHAN_SU'!$K11*$N11,0))))))</f>
        <v/>
      </c>
      <c r="P11" s="224">
        <f>IF('DM_NHAN_SU'!$B11="","",'CHAM_CONG_THANG'!O11)</f>
        <v/>
      </c>
      <c r="Q11" s="224">
        <f>IF('DM_NHAN_SU'!$B11="","",'CHAM_CONG_THANG'!P11)</f>
        <v/>
      </c>
      <c r="R11" s="224">
        <f>IF('DM_NHAN_SU'!$B11="","",'CHAM_CONG_THANG'!Q11)</f>
        <v/>
      </c>
      <c r="S11" s="224">
        <f>IF('DM_NHAN_SU'!$B11="","",'CHAM_CONG_THANG'!R11)</f>
        <v/>
      </c>
      <c r="T11" s="224">
        <f>IF('DM_NHAN_SU'!$B11="","",'CHAM_CONG_THANG'!S11)</f>
        <v/>
      </c>
      <c r="U11" s="224">
        <f>IF('DM_NHAN_SU'!$B11="","",MIN($T11,'THAM_SO'!$F$6))</f>
        <v/>
      </c>
      <c r="V11" s="224">
        <f>IF('DM_NHAN_SU'!$B11="","",MAX($T11-$U11,0))</f>
        <v/>
      </c>
      <c r="W11" s="224">
        <f>IF('DM_NHAN_SU'!$B11="","",'CHAM_CONG_THANG'!T11)</f>
        <v/>
      </c>
      <c r="X11" s="224">
        <f>IF('DM_NHAN_SU'!$B11="","",'CHAM_CONG_THANG'!U11)</f>
        <v/>
      </c>
      <c r="Y11" s="224">
        <f>IF('DM_NHAN_SU'!$B11="","",IF($B11="",0,IF('DM_NHAN_SU'!$Q11&gt;0,'DM_NHAN_SU'!$Q11,IF($G11="Tháng",IF($I11*$J11&gt;0,'DM_NHAN_SU'!$K11/($I11*$J11),0),IF($G11="Ngày",IF($J11&gt;0,'DM_NHAN_SU'!$K11/$J11,0),IF($G11="Giờ",'DM_NHAN_SU'!$K11,0))))))</f>
        <v/>
      </c>
      <c r="Z11" s="224">
        <f>IF('DM_NHAN_SU'!$B11="","",$Y11*($M11*'THAM_SO'!$C$22+'CHAM_CONG_THANG'!$AF11*'THAM_SO'!$C$19+'CHAM_CONG_THANG'!$AG11*'THAM_SO'!$C$20+'CHAM_CONG_THANG'!$AH11*'THAM_SO'!$C$21+'CHAM_CONG_THANG'!$AI11*'THAM_SO'!$C$23+'CHAM_CONG_THANG'!$AJ11*'THAM_SO'!$C$24+'CHAM_CONG_THANG'!$AK11*'THAM_SO'!$C$25))</f>
        <v/>
      </c>
      <c r="AA11" s="224">
        <f>IF('DM_NHAN_SU'!$B11="","",MAX(0,$Y11*($M11*IF('THAM_SO'!$C$22&gt;='THAM_SO'!$B$22,'THAM_SO'!$B$22,0)+'CHAM_CONG_THANG'!$AF11*IF('THAM_SO'!$C$19&gt;='THAM_SO'!$B$19,'THAM_SO'!$B$19,0)+'CHAM_CONG_THANG'!$AG11*IF('THAM_SO'!$C$20&gt;='THAM_SO'!$B$20,'THAM_SO'!$B$20,0)+'CHAM_CONG_THANG'!$AH11*IF('THAM_SO'!$C$21&gt;='THAM_SO'!$B$21,'THAM_SO'!$B$21,0)+'CHAM_CONG_THANG'!$AI11*IF('THAM_SO'!$C$23&gt;='THAM_SO'!$B$23,'THAM_SO'!$B$23,0)+'CHAM_CONG_THANG'!$AJ11*IF('THAM_SO'!$C$24&gt;='THAM_SO'!$B$24,'THAM_SO'!$B$24,0)+'CHAM_CONG_THANG'!$AK11*IF('THAM_SO'!$C$25&gt;='THAM_SO'!$B$25,'THAM_SO'!$B$25,0))-'CHAM_CONG_THANG'!$V11))</f>
        <v/>
      </c>
      <c r="AB11" s="224">
        <f>IF('DM_NHAN_SU'!$B11="","",MAX($Z11-$AA11,0))</f>
        <v/>
      </c>
      <c r="AC11" s="224">
        <f>IF('DM_NHAN_SU'!$B11="","",$O11+$P11+$Q11+$R11+$S11+$V11+$AB11+$BO11+$BP11+$BQ11+$BR11)</f>
        <v/>
      </c>
      <c r="AD11" s="224">
        <f>IF('DM_NHAN_SU'!$B11="","",'DM_NHAN_SU'!N11+'DM_NHAN_SU'!O11+'DM_NHAN_SU'!P11)</f>
        <v/>
      </c>
      <c r="AE11" s="224">
        <f>IF('DM_NHAN_SU'!$B11="","",IF(OR('DM_NHAN_SU'!$R11&lt;&gt;"Có",'CHAM_CONG_THANG'!$AA11="Có",$BL11&gt;=14,$AD11&lt;=0),0,MIN(MAX($AD11,'THAM_SO'!$M$6),'THAM_SO'!$M$7)))</f>
        <v/>
      </c>
      <c r="AF11" s="224">
        <f>IF('DM_NHAN_SU'!$B11="","",IF(OR('DM_NHAN_SU'!$S11&lt;&gt;"Có",'CHAM_CONG_THANG'!$AA11="Có",$BL11&gt;=14,$AD11&lt;=0),0,MIN(MAX($AD11,VLOOKUP($H11,'THAM_SO'!$L$17:$P$20,4,FALSE)),VLOOKUP($H11,'THAM_SO'!$L$17:$P$20,5,FALSE))))</f>
        <v/>
      </c>
      <c r="AG11" s="224">
        <f>IF('DM_NHAN_SU'!$B11="","",$AE11*'THAM_SO'!$M$8)</f>
        <v/>
      </c>
      <c r="AH11" s="224">
        <f>IF('DM_NHAN_SU'!$B11="","",$AE11*'THAM_SO'!$M$9)</f>
        <v/>
      </c>
      <c r="AI11" s="224">
        <f>IF('DM_NHAN_SU'!$B11="","",$AF11*'THAM_SO'!$M$10)</f>
        <v/>
      </c>
      <c r="AJ11" s="224">
        <f>IF('DM_NHAN_SU'!$B11="","",SUM($AG11:$AI11))</f>
        <v/>
      </c>
      <c r="AK11" s="224">
        <f>IF('DM_NHAN_SU'!$B11="","",IF($B11="",0,'THAM_SO'!$F$4))</f>
        <v/>
      </c>
      <c r="AL11" s="224">
        <f>IF('DM_NHAN_SU'!$B11="","",IF($B11="",0,'DM_NHAN_SU'!$T11*'THAM_SO'!$F$5))</f>
        <v/>
      </c>
      <c r="AM11" s="224">
        <f>IF('DM_NHAN_SU'!$B11="","",'CHAM_CONG_THANG'!W11)</f>
        <v/>
      </c>
      <c r="AN11" s="224">
        <f>IF('DM_NHAN_SU'!$B11="","",MAX($AC11-$AK11-$AL11-$AM11,0))</f>
        <v/>
      </c>
      <c r="AO11" s="224">
        <f>IF('DM_NHAN_SU'!$B11="","",IF($B11="","",IF($F11="Net",IF($AC11&lt;=$AK11+$AL11+$AM11,$AC11+$AJ11,$AJ11+$AK11+$AL11+$AM11+IF($AN11&lt;='THAM_SO'!$J$10,($AN11-'THAM_SO'!$I$10)/(1-'THAM_SO'!$H$10),IF($AN11&lt;='THAM_SO'!$J$11,($AN11-'THAM_SO'!$I$11)/(1-'THAM_SO'!$H$11),IF($AN11&lt;='THAM_SO'!$J$12,($AN11-'THAM_SO'!$I$12)/(1-'THAM_SO'!$H$12),IF($AN11&lt;='THAM_SO'!$J$13,($AN11-'THAM_SO'!$I$13)/(1-'THAM_SO'!$H$13),($AN11-'THAM_SO'!$I$14)/(1-'THAM_SO'!$H$14)))))),$AC11)))</f>
        <v/>
      </c>
      <c r="AP11" s="224">
        <f>IF('DM_NHAN_SU'!$B11="","",$U11+$W11+$X11+$AA11+$BS11)</f>
        <v/>
      </c>
      <c r="AQ11" s="224">
        <f>IF('DM_NHAN_SU'!$B11="","",MAX($AO11-$AJ11-$AK11-$AL11-$AM11,0))</f>
        <v/>
      </c>
      <c r="AR11" s="224">
        <f>IF('DM_NHAN_SU'!$B11="","",IF($AQ11&lt;=0,0,$AQ11*VLOOKUP($AQ11,'THAM_SO'!$F$10:$I$14,3,TRUE)-VLOOKUP($AQ11,'THAM_SO'!$F$10:$I$14,4,TRUE)))</f>
        <v/>
      </c>
      <c r="AS11" s="224">
        <f>IF('DM_NHAN_SU'!$B11="","",$AO11+$AP11)</f>
        <v/>
      </c>
      <c r="AT11" s="224">
        <f>IF('DM_NHAN_SU'!$B11="","",$AS11-$AJ11-$AR11)</f>
        <v/>
      </c>
      <c r="AU11" s="224">
        <f>IF('DM_NHAN_SU'!$B11="","",'CHAM_CONG_THANG'!X11)</f>
        <v/>
      </c>
      <c r="AV11" s="224">
        <f>IF('DM_NHAN_SU'!$B11="","",'CHAM_CONG_THANG'!Y11+'QT_NGHI_VIEC'!AD11)</f>
        <v/>
      </c>
      <c r="AW11" s="224">
        <f>IF('DM_NHAN_SU'!$B11="","",'CHAM_CONG_THANG'!Z11)</f>
        <v/>
      </c>
      <c r="AX11" s="224">
        <f>IF('DM_NHAN_SU'!$B11="","",$AT11-$AU11-$AV11-$AW11-$BV11)</f>
        <v/>
      </c>
      <c r="AY11" s="224">
        <f>IF('DM_NHAN_SU'!$B11="","",$AE11*'THAM_SO'!$M$11)</f>
        <v/>
      </c>
      <c r="AZ11" s="224">
        <f>IF('DM_NHAN_SU'!$B11="","",$AE11*'THAM_SO'!$M$12)</f>
        <v/>
      </c>
      <c r="BA11" s="224">
        <f>IF('DM_NHAN_SU'!$B11="","",$AF11*'THAM_SO'!$M$13)</f>
        <v/>
      </c>
      <c r="BB11" s="224">
        <f>IF('DM_NHAN_SU'!$B11="","",$AE11*'THAM_SO'!$M$14)</f>
        <v/>
      </c>
      <c r="BC11" s="224">
        <f>IF('DM_NHAN_SU'!$B11="","",SUM($AY11:$BB11))</f>
        <v/>
      </c>
      <c r="BD11" s="224">
        <f>IF('DM_NHAN_SU'!$B11="","",$AS11+$BC11)</f>
        <v/>
      </c>
      <c r="BE11" s="224">
        <f>IF('DM_NHAN_SU'!$B11="","",VLOOKUP($H11,'THAM_SO'!$L$17:$P$20,2,FALSE))</f>
        <v/>
      </c>
      <c r="BF11" s="224">
        <f>IF('DM_NHAN_SU'!$B11="","",VLOOKUP($H11,'THAM_SO'!$L$17:$P$20,3,FALSE))</f>
        <v/>
      </c>
      <c r="BG11" s="150">
        <f>IF('DM_NHAN_SU'!$B11="","",IF($B11="","",IF(COUNTIF('DM_NHAN_SU'!$B$6:$B$155,$B11)&gt;1,"Trùng mã NV; ","")&amp;IF(OR($F11="",$G11=""),"Thiếu loại/hình thức lương; ","")&amp;IF('CHAM_CONG_THANG'!$D11="","Chưa chọn nguồn công; ","")&amp;IF(AND('CHAM_CONG_THANG'!$D11="Theo ngày",COUNTIF('CHAM_CONG_NGAY'!$B$6:$B$4655,$B11)=0),"Chưa có chấm công ngày; ","")&amp;IF(OR($I11&lt;=0,$J11&lt;=0),"Thiếu công/giờ chuẩn; ","")&amp;IF(AND($G11="Tháng",'DM_NHAN_SU'!$K11&lt;$BE11),"Lương tháng dưới tối thiểu vùng; ","")&amp;IF(AND($G11="Ngày",'DM_NHAN_SU'!$K11/$J11&lt;$BF11),"Lương ngày quy đổi dưới tối thiểu giờ; ","")&amp;IF(AND($G11="Giờ",'DM_NHAN_SU'!$K11&lt;$BF11),"Lương giờ dưới tối thiểu vùng; ","")&amp;IF(AND($G11="Sản phẩm",$L11&gt;0,$O11/$L11&lt;$BF11),"Lương SP quy đổi dưới tối thiểu giờ; ","")&amp;IF(OR('THAM_SO'!$C$19&lt;'THAM_SO'!$B$19,'THAM_SO'!$C$20&lt;'THAM_SO'!$B$20,'THAM_SO'!$C$21&lt;'THAM_SO'!$B$21,'THAM_SO'!$C$22&lt;'THAM_SO'!$B$22,'THAM_SO'!$C$23&lt;'THAM_SO'!$B$23,'THAM_SO'!$C$24&lt;'THAM_SO'!$B$24,'THAM_SO'!$C$25&lt;'THAM_SO'!$B$25),"Hệ số OT/đêm DN thấp hơn luật; ","")&amp;IF(AND('DM_NHAN_SU'!$R11="Có",$AD11&lt;=0),"Thiếu căn cứ đóng BH; ","")&amp;IF(AND($AD11&gt;0,$AD11&lt;'THAM_SO'!$M$6),"Căn cứ BH dưới sàn – đã nâng sàn; ","")&amp;IF($AD11&gt;'THAM_SO'!$M$7,"Căn cứ BH vượt trần – đã giới hạn; ","")&amp;IF(AND($F11="Net",SUM('CHAM_CONG_THANG'!$AF11:$AK11)&gt;0,'DM_NHAN_SU'!$Q11&lt;=0),"Net có OT nhưng chưa khai lương giờ OT; ","")&amp;IF('CHAM_CONG_THANG'!$V11&gt;$Z11,"Phần OT không miễn lớn hơn tiền OT; ","")&amp;IF(AND($F11="Net",ABS($AT11-$AC11-$AP11)&gt;1),"Lệch quy đổi Net; ","")&amp;IF(AND($BH11&gt;0,'DM_NHAN_SU'!$AD11=""),"Có phép năm nhưng đang tạm dùng 12 ngày; ","")&amp;IF(AND($G11="Sản phẩm",SUM($BH11:$BJ11)&gt;0,'DM_NHAN_SU'!$AH11&lt;=0),"Lương sản phẩm thiếu đơn giá ngày phép/lễ; ","")&amp;IF(AND($BL11&gt;=14,'CHAM_CONG_THANG'!$AA11&lt;&gt;"Có"),"Thai sản từ 14 ngày: file tự dừng đóng BH – kiểm tra hồ sơ; ","")&amp;IF(AND('DM_NHAN_SU'!$AA11="Có",'DM_NHAN_SU'!$AB11=""),"Đoàn viên chưa chọn cách tính đoàn phí; ","")&amp;IF(AND('DM_NHAN_SU'!$AB11="Nhập tay",'DM_NHAN_SU'!$AC11&gt;'THAM_SO'!$M$26),"Đoàn phí nhập tay vượt trần thông dụng; ","")&amp;IF('NGHI_PHEP'!$L11&lt;&gt;"","Phép: "&amp;'NGHI_PHEP'!$L11,"")&amp;IF('CHE_DO_BHXH'!$AA11&lt;&gt;"","BHXH: "&amp;'CHE_DO_BHXH'!$AA11,"")&amp;IF('THUONG_T13_TET'!$O11&lt;&gt;"","Thưởng: "&amp;'THUONG_T13_TET'!$O11,"")&amp;IF('QT_NGHI_VIEC'!$AF11&lt;&gt;"","Nghỉ việc: "&amp;'QT_NGHI_VIEC'!$AF11,"")&amp;IF($AX11&lt;0,"Thực lĩnh âm; ","")&amp;IF(OR('DM_NHAN_SU'!$F11&gt;'THAM_SO'!$B$7,AND('DM_NHAN_SU'!$G11&lt;&gt;"",'DM_NHAN_SU'!$G11&lt;'THAM_SO'!$B$6)),"Ngoài kỳ trả lương; ","")))</f>
        <v/>
      </c>
      <c r="BH11" s="232">
        <f>IF('DM_NHAN_SU'!$B11="","",'CHAM_CONG_THANG'!AR11)</f>
        <v/>
      </c>
      <c r="BI11" s="232">
        <f>IF('DM_NHAN_SU'!$B11="","",'CHAM_CONG_THANG'!AS11)</f>
        <v/>
      </c>
      <c r="BJ11" s="232">
        <f>IF('DM_NHAN_SU'!$B11="","",'CHAM_CONG_THANG'!AT11)</f>
        <v/>
      </c>
      <c r="BK11" s="232">
        <f>IF('DM_NHAN_SU'!$B11="","",'CHAM_CONG_THANG'!AU11)</f>
        <v/>
      </c>
      <c r="BL11" s="232">
        <f>IF('DM_NHAN_SU'!$B11="","",'CHAM_CONG_THANG'!AV11)</f>
        <v/>
      </c>
      <c r="BM11" s="232">
        <f>IF('DM_NHAN_SU'!$B11="","",'CHAM_CONG_THANG'!AW11)</f>
        <v/>
      </c>
      <c r="BN11" s="232">
        <f>IF('DM_NHAN_SU'!$B11="","",SUM($K11,$BH11:$BJ11))</f>
        <v/>
      </c>
      <c r="BO11" s="224">
        <f>IF('DM_NHAN_SU'!$B11="","",IF($B11="",0,IF($G11="Tháng",IF($I11&gt;0,'DM_NHAN_SU'!$K11*MIN($BH11+$BJ11,MAX($I11-$K11,0))/$I11,0),IF($G11="Ngày",'DM_NHAN_SU'!$K11*SUM($BH11:$BJ11),IF($G11="Giờ",'DM_NHAN_SU'!$K11*SUM($BH11:$BJ11)*$J11,IF($G11="Sản phẩm",'DM_NHAN_SU'!$AH11*SUM($BH11:$BJ11),0))))))</f>
        <v/>
      </c>
      <c r="BP11" s="224">
        <f>IF('DM_NHAN_SU'!$B11="","",IF('THUONG_T13_TET'!$L11="Có",'THUONG_T13_TET'!$I11,0))</f>
        <v/>
      </c>
      <c r="BQ11" s="224">
        <f>IF('DM_NHAN_SU'!$B11="","",IF('THUONG_T13_TET'!$L11="Có",SUM('THUONG_T13_TET'!$J11:$K11),0))</f>
        <v/>
      </c>
      <c r="BR11" s="224">
        <f>IF('DM_NHAN_SU'!$B11="","",'QT_NGHI_VIEC'!AC11)</f>
        <v/>
      </c>
      <c r="BS11" s="224">
        <f>IF('DM_NHAN_SU'!$B11="","",'QT_NGHI_VIEC'!AB11)</f>
        <v/>
      </c>
      <c r="BT11" s="224">
        <f>IF('DM_NHAN_SU'!$B11="","",IF('CHE_DO_BHXH'!$Z11="Có",'CHE_DO_BHXH'!$W11,0))</f>
        <v/>
      </c>
      <c r="BU11" s="224">
        <f>IF('DM_NHAN_SU'!$B11="","",IF('CHE_DO_BHXH'!$Y11="DN trả thay",$BT11,0))</f>
        <v/>
      </c>
      <c r="BV11" s="224">
        <f>IF('DM_NHAN_SU'!$B11="","",IF(OR('DM_NHAN_SU'!$AA11&lt;&gt;"Có",'CHE_DO_BHXH'!$O11&gt;=1,SUM('CHE_DO_BHXH'!$D11,'CHE_DO_BHXH'!$G11,'CHE_DO_BHXH'!$K11)&gt;=24,AND($I11&gt;0,$BM11&gt;=$I11)),0,IF('DM_NHAN_SU'!$AB11="Không",0,IF('DM_NHAN_SU'!$AB11="Nhập tay",'DM_NHAN_SU'!$AC11,IF('DM_NHAN_SU'!$AB11="Theo thực nhận",MIN(MAX($AT11-$AU11-$AV11-$AW11,0)*'THAM_SO'!$M$23,'THAM_SO'!$M$26),MIN($AE11*'THAM_SO'!$M$23,'THAM_SO'!$M$26))))))</f>
        <v/>
      </c>
      <c r="BW11" s="224">
        <f>IF('DM_NHAN_SU'!$B11="","",$AX11+$BU11)</f>
        <v/>
      </c>
    </row>
    <row r="12">
      <c r="A12" s="145">
        <f>IF('DM_NHAN_SU'!$B12="","",IF($B12="","",ROW()-5))</f>
        <v/>
      </c>
      <c r="B12" s="145">
        <f>IF('DM_NHAN_SU'!$B12="","",'DM_NHAN_SU'!B12)</f>
        <v/>
      </c>
      <c r="C12" s="145">
        <f>IF('DM_NHAN_SU'!$B12="","",'DM_NHAN_SU'!C12)</f>
        <v/>
      </c>
      <c r="D12" s="145">
        <f>IF('DM_NHAN_SU'!$B12="","",'DM_NHAN_SU'!D12)</f>
        <v/>
      </c>
      <c r="E12" s="145">
        <f>IF('DM_NHAN_SU'!$B12="","",'DM_NHAN_SU'!E12)</f>
        <v/>
      </c>
      <c r="F12" s="145">
        <f>IF('DM_NHAN_SU'!$B12="","",'DM_NHAN_SU'!I12)</f>
        <v/>
      </c>
      <c r="G12" s="145">
        <f>IF('DM_NHAN_SU'!$B12="","",'DM_NHAN_SU'!J12)</f>
        <v/>
      </c>
      <c r="H12" s="145">
        <f>IF('DM_NHAN_SU'!$B12="","",IF('DM_NHAN_SU'!H12="",'THAM_SO'!$B$11,'DM_NHAN_SU'!H12))</f>
        <v/>
      </c>
      <c r="I12" s="232">
        <f>IF('DM_NHAN_SU'!$B12="","",IF('DM_NHAN_SU'!L12&gt;0,'DM_NHAN_SU'!L12,'THAM_SO'!$B$9))</f>
        <v/>
      </c>
      <c r="J12" s="232">
        <f>IF('DM_NHAN_SU'!$B12="","",IF('DM_NHAN_SU'!M12&gt;0,'DM_NHAN_SU'!M12,'THAM_SO'!$B$10))</f>
        <v/>
      </c>
      <c r="K12" s="232">
        <f>IF('DM_NHAN_SU'!$B12="","",'CHAM_CONG_THANG'!AC12)</f>
        <v/>
      </c>
      <c r="L12" s="232">
        <f>IF('DM_NHAN_SU'!$B12="","",'CHAM_CONG_THANG'!AD12)</f>
        <v/>
      </c>
      <c r="M12" s="232">
        <f>IF('DM_NHAN_SU'!$B12="","",'CHAM_CONG_THANG'!AE12)</f>
        <v/>
      </c>
      <c r="N12" s="232">
        <f>IF('DM_NHAN_SU'!$B12="","",'CHAM_CONG_THANG'!N12)</f>
        <v/>
      </c>
      <c r="O12" s="224">
        <f>IF('DM_NHAN_SU'!$B12="","",IF($B12="","",IF($G12="Tháng",IF($I12&gt;0,'DM_NHAN_SU'!$K12*MIN($K12,$I12)/$I12,0),IF($G12="Ngày",'DM_NHAN_SU'!$K12*$K12,IF($G12="Giờ",'DM_NHAN_SU'!$K12*$L12,IF($G12="Sản phẩm",'DM_NHAN_SU'!$K12*$N12,0))))))</f>
        <v/>
      </c>
      <c r="P12" s="224">
        <f>IF('DM_NHAN_SU'!$B12="","",'CHAM_CONG_THANG'!O12)</f>
        <v/>
      </c>
      <c r="Q12" s="224">
        <f>IF('DM_NHAN_SU'!$B12="","",'CHAM_CONG_THANG'!P12)</f>
        <v/>
      </c>
      <c r="R12" s="224">
        <f>IF('DM_NHAN_SU'!$B12="","",'CHAM_CONG_THANG'!Q12)</f>
        <v/>
      </c>
      <c r="S12" s="224">
        <f>IF('DM_NHAN_SU'!$B12="","",'CHAM_CONG_THANG'!R12)</f>
        <v/>
      </c>
      <c r="T12" s="224">
        <f>IF('DM_NHAN_SU'!$B12="","",'CHAM_CONG_THANG'!S12)</f>
        <v/>
      </c>
      <c r="U12" s="224">
        <f>IF('DM_NHAN_SU'!$B12="","",MIN($T12,'THAM_SO'!$F$6))</f>
        <v/>
      </c>
      <c r="V12" s="224">
        <f>IF('DM_NHAN_SU'!$B12="","",MAX($T12-$U12,0))</f>
        <v/>
      </c>
      <c r="W12" s="224">
        <f>IF('DM_NHAN_SU'!$B12="","",'CHAM_CONG_THANG'!T12)</f>
        <v/>
      </c>
      <c r="X12" s="224">
        <f>IF('DM_NHAN_SU'!$B12="","",'CHAM_CONG_THANG'!U12)</f>
        <v/>
      </c>
      <c r="Y12" s="224">
        <f>IF('DM_NHAN_SU'!$B12="","",IF($B12="",0,IF('DM_NHAN_SU'!$Q12&gt;0,'DM_NHAN_SU'!$Q12,IF($G12="Tháng",IF($I12*$J12&gt;0,'DM_NHAN_SU'!$K12/($I12*$J12),0),IF($G12="Ngày",IF($J12&gt;0,'DM_NHAN_SU'!$K12/$J12,0),IF($G12="Giờ",'DM_NHAN_SU'!$K12,0))))))</f>
        <v/>
      </c>
      <c r="Z12" s="224">
        <f>IF('DM_NHAN_SU'!$B12="","",$Y12*($M12*'THAM_SO'!$C$22+'CHAM_CONG_THANG'!$AF12*'THAM_SO'!$C$19+'CHAM_CONG_THANG'!$AG12*'THAM_SO'!$C$20+'CHAM_CONG_THANG'!$AH12*'THAM_SO'!$C$21+'CHAM_CONG_THANG'!$AI12*'THAM_SO'!$C$23+'CHAM_CONG_THANG'!$AJ12*'THAM_SO'!$C$24+'CHAM_CONG_THANG'!$AK12*'THAM_SO'!$C$25))</f>
        <v/>
      </c>
      <c r="AA12" s="224">
        <f>IF('DM_NHAN_SU'!$B12="","",MAX(0,$Y12*($M12*IF('THAM_SO'!$C$22&gt;='THAM_SO'!$B$22,'THAM_SO'!$B$22,0)+'CHAM_CONG_THANG'!$AF12*IF('THAM_SO'!$C$19&gt;='THAM_SO'!$B$19,'THAM_SO'!$B$19,0)+'CHAM_CONG_THANG'!$AG12*IF('THAM_SO'!$C$20&gt;='THAM_SO'!$B$20,'THAM_SO'!$B$20,0)+'CHAM_CONG_THANG'!$AH12*IF('THAM_SO'!$C$21&gt;='THAM_SO'!$B$21,'THAM_SO'!$B$21,0)+'CHAM_CONG_THANG'!$AI12*IF('THAM_SO'!$C$23&gt;='THAM_SO'!$B$23,'THAM_SO'!$B$23,0)+'CHAM_CONG_THANG'!$AJ12*IF('THAM_SO'!$C$24&gt;='THAM_SO'!$B$24,'THAM_SO'!$B$24,0)+'CHAM_CONG_THANG'!$AK12*IF('THAM_SO'!$C$25&gt;='THAM_SO'!$B$25,'THAM_SO'!$B$25,0))-'CHAM_CONG_THANG'!$V12))</f>
        <v/>
      </c>
      <c r="AB12" s="224">
        <f>IF('DM_NHAN_SU'!$B12="","",MAX($Z12-$AA12,0))</f>
        <v/>
      </c>
      <c r="AC12" s="224">
        <f>IF('DM_NHAN_SU'!$B12="","",$O12+$P12+$Q12+$R12+$S12+$V12+$AB12+$BO12+$BP12+$BQ12+$BR12)</f>
        <v/>
      </c>
      <c r="AD12" s="224">
        <f>IF('DM_NHAN_SU'!$B12="","",'DM_NHAN_SU'!N12+'DM_NHAN_SU'!O12+'DM_NHAN_SU'!P12)</f>
        <v/>
      </c>
      <c r="AE12" s="224">
        <f>IF('DM_NHAN_SU'!$B12="","",IF(OR('DM_NHAN_SU'!$R12&lt;&gt;"Có",'CHAM_CONG_THANG'!$AA12="Có",$BL12&gt;=14,$AD12&lt;=0),0,MIN(MAX($AD12,'THAM_SO'!$M$6),'THAM_SO'!$M$7)))</f>
        <v/>
      </c>
      <c r="AF12" s="224">
        <f>IF('DM_NHAN_SU'!$B12="","",IF(OR('DM_NHAN_SU'!$S12&lt;&gt;"Có",'CHAM_CONG_THANG'!$AA12="Có",$BL12&gt;=14,$AD12&lt;=0),0,MIN(MAX($AD12,VLOOKUP($H12,'THAM_SO'!$L$17:$P$20,4,FALSE)),VLOOKUP($H12,'THAM_SO'!$L$17:$P$20,5,FALSE))))</f>
        <v/>
      </c>
      <c r="AG12" s="224">
        <f>IF('DM_NHAN_SU'!$B12="","",$AE12*'THAM_SO'!$M$8)</f>
        <v/>
      </c>
      <c r="AH12" s="224">
        <f>IF('DM_NHAN_SU'!$B12="","",$AE12*'THAM_SO'!$M$9)</f>
        <v/>
      </c>
      <c r="AI12" s="224">
        <f>IF('DM_NHAN_SU'!$B12="","",$AF12*'THAM_SO'!$M$10)</f>
        <v/>
      </c>
      <c r="AJ12" s="224">
        <f>IF('DM_NHAN_SU'!$B12="","",SUM($AG12:$AI12))</f>
        <v/>
      </c>
      <c r="AK12" s="224">
        <f>IF('DM_NHAN_SU'!$B12="","",IF($B12="",0,'THAM_SO'!$F$4))</f>
        <v/>
      </c>
      <c r="AL12" s="224">
        <f>IF('DM_NHAN_SU'!$B12="","",IF($B12="",0,'DM_NHAN_SU'!$T12*'THAM_SO'!$F$5))</f>
        <v/>
      </c>
      <c r="AM12" s="224">
        <f>IF('DM_NHAN_SU'!$B12="","",'CHAM_CONG_THANG'!W12)</f>
        <v/>
      </c>
      <c r="AN12" s="224">
        <f>IF('DM_NHAN_SU'!$B12="","",MAX($AC12-$AK12-$AL12-$AM12,0))</f>
        <v/>
      </c>
      <c r="AO12" s="224">
        <f>IF('DM_NHAN_SU'!$B12="","",IF($B12="","",IF($F12="Net",IF($AC12&lt;=$AK12+$AL12+$AM12,$AC12+$AJ12,$AJ12+$AK12+$AL12+$AM12+IF($AN12&lt;='THAM_SO'!$J$10,($AN12-'THAM_SO'!$I$10)/(1-'THAM_SO'!$H$10),IF($AN12&lt;='THAM_SO'!$J$11,($AN12-'THAM_SO'!$I$11)/(1-'THAM_SO'!$H$11),IF($AN12&lt;='THAM_SO'!$J$12,($AN12-'THAM_SO'!$I$12)/(1-'THAM_SO'!$H$12),IF($AN12&lt;='THAM_SO'!$J$13,($AN12-'THAM_SO'!$I$13)/(1-'THAM_SO'!$H$13),($AN12-'THAM_SO'!$I$14)/(1-'THAM_SO'!$H$14)))))),$AC12)))</f>
        <v/>
      </c>
      <c r="AP12" s="224">
        <f>IF('DM_NHAN_SU'!$B12="","",$U12+$W12+$X12+$AA12+$BS12)</f>
        <v/>
      </c>
      <c r="AQ12" s="224">
        <f>IF('DM_NHAN_SU'!$B12="","",MAX($AO12-$AJ12-$AK12-$AL12-$AM12,0))</f>
        <v/>
      </c>
      <c r="AR12" s="224">
        <f>IF('DM_NHAN_SU'!$B12="","",IF($AQ12&lt;=0,0,$AQ12*VLOOKUP($AQ12,'THAM_SO'!$F$10:$I$14,3,TRUE)-VLOOKUP($AQ12,'THAM_SO'!$F$10:$I$14,4,TRUE)))</f>
        <v/>
      </c>
      <c r="AS12" s="224">
        <f>IF('DM_NHAN_SU'!$B12="","",$AO12+$AP12)</f>
        <v/>
      </c>
      <c r="AT12" s="224">
        <f>IF('DM_NHAN_SU'!$B12="","",$AS12-$AJ12-$AR12)</f>
        <v/>
      </c>
      <c r="AU12" s="224">
        <f>IF('DM_NHAN_SU'!$B12="","",'CHAM_CONG_THANG'!X12)</f>
        <v/>
      </c>
      <c r="AV12" s="224">
        <f>IF('DM_NHAN_SU'!$B12="","",'CHAM_CONG_THANG'!Y12+'QT_NGHI_VIEC'!AD12)</f>
        <v/>
      </c>
      <c r="AW12" s="224">
        <f>IF('DM_NHAN_SU'!$B12="","",'CHAM_CONG_THANG'!Z12)</f>
        <v/>
      </c>
      <c r="AX12" s="224">
        <f>IF('DM_NHAN_SU'!$B12="","",$AT12-$AU12-$AV12-$AW12-$BV12)</f>
        <v/>
      </c>
      <c r="AY12" s="224">
        <f>IF('DM_NHAN_SU'!$B12="","",$AE12*'THAM_SO'!$M$11)</f>
        <v/>
      </c>
      <c r="AZ12" s="224">
        <f>IF('DM_NHAN_SU'!$B12="","",$AE12*'THAM_SO'!$M$12)</f>
        <v/>
      </c>
      <c r="BA12" s="224">
        <f>IF('DM_NHAN_SU'!$B12="","",$AF12*'THAM_SO'!$M$13)</f>
        <v/>
      </c>
      <c r="BB12" s="224">
        <f>IF('DM_NHAN_SU'!$B12="","",$AE12*'THAM_SO'!$M$14)</f>
        <v/>
      </c>
      <c r="BC12" s="224">
        <f>IF('DM_NHAN_SU'!$B12="","",SUM($AY12:$BB12))</f>
        <v/>
      </c>
      <c r="BD12" s="224">
        <f>IF('DM_NHAN_SU'!$B12="","",$AS12+$BC12)</f>
        <v/>
      </c>
      <c r="BE12" s="224">
        <f>IF('DM_NHAN_SU'!$B12="","",VLOOKUP($H12,'THAM_SO'!$L$17:$P$20,2,FALSE))</f>
        <v/>
      </c>
      <c r="BF12" s="224">
        <f>IF('DM_NHAN_SU'!$B12="","",VLOOKUP($H12,'THAM_SO'!$L$17:$P$20,3,FALSE))</f>
        <v/>
      </c>
      <c r="BG12" s="150">
        <f>IF('DM_NHAN_SU'!$B12="","",IF($B12="","",IF(COUNTIF('DM_NHAN_SU'!$B$6:$B$155,$B12)&gt;1,"Trùng mã NV; ","")&amp;IF(OR($F12="",$G12=""),"Thiếu loại/hình thức lương; ","")&amp;IF('CHAM_CONG_THANG'!$D12="","Chưa chọn nguồn công; ","")&amp;IF(AND('CHAM_CONG_THANG'!$D12="Theo ngày",COUNTIF('CHAM_CONG_NGAY'!$B$6:$B$4655,$B12)=0),"Chưa có chấm công ngày; ","")&amp;IF(OR($I12&lt;=0,$J12&lt;=0),"Thiếu công/giờ chuẩn; ","")&amp;IF(AND($G12="Tháng",'DM_NHAN_SU'!$K12&lt;$BE12),"Lương tháng dưới tối thiểu vùng; ","")&amp;IF(AND($G12="Ngày",'DM_NHAN_SU'!$K12/$J12&lt;$BF12),"Lương ngày quy đổi dưới tối thiểu giờ; ","")&amp;IF(AND($G12="Giờ",'DM_NHAN_SU'!$K12&lt;$BF12),"Lương giờ dưới tối thiểu vùng; ","")&amp;IF(AND($G12="Sản phẩm",$L12&gt;0,$O12/$L12&lt;$BF12),"Lương SP quy đổi dưới tối thiểu giờ; ","")&amp;IF(OR('THAM_SO'!$C$19&lt;'THAM_SO'!$B$19,'THAM_SO'!$C$20&lt;'THAM_SO'!$B$20,'THAM_SO'!$C$21&lt;'THAM_SO'!$B$21,'THAM_SO'!$C$22&lt;'THAM_SO'!$B$22,'THAM_SO'!$C$23&lt;'THAM_SO'!$B$23,'THAM_SO'!$C$24&lt;'THAM_SO'!$B$24,'THAM_SO'!$C$25&lt;'THAM_SO'!$B$25),"Hệ số OT/đêm DN thấp hơn luật; ","")&amp;IF(AND('DM_NHAN_SU'!$R12="Có",$AD12&lt;=0),"Thiếu căn cứ đóng BH; ","")&amp;IF(AND($AD12&gt;0,$AD12&lt;'THAM_SO'!$M$6),"Căn cứ BH dưới sàn – đã nâng sàn; ","")&amp;IF($AD12&gt;'THAM_SO'!$M$7,"Căn cứ BH vượt trần – đã giới hạn; ","")&amp;IF(AND($F12="Net",SUM('CHAM_CONG_THANG'!$AF12:$AK12)&gt;0,'DM_NHAN_SU'!$Q12&lt;=0),"Net có OT nhưng chưa khai lương giờ OT; ","")&amp;IF('CHAM_CONG_THANG'!$V12&gt;$Z12,"Phần OT không miễn lớn hơn tiền OT; ","")&amp;IF(AND($F12="Net",ABS($AT12-$AC12-$AP12)&gt;1),"Lệch quy đổi Net; ","")&amp;IF(AND($BH12&gt;0,'DM_NHAN_SU'!$AD12=""),"Có phép năm nhưng đang tạm dùng 12 ngày; ","")&amp;IF(AND($G12="Sản phẩm",SUM($BH12:$BJ12)&gt;0,'DM_NHAN_SU'!$AH12&lt;=0),"Lương sản phẩm thiếu đơn giá ngày phép/lễ; ","")&amp;IF(AND($BL12&gt;=14,'CHAM_CONG_THANG'!$AA12&lt;&gt;"Có"),"Thai sản từ 14 ngày: file tự dừng đóng BH – kiểm tra hồ sơ; ","")&amp;IF(AND('DM_NHAN_SU'!$AA12="Có",'DM_NHAN_SU'!$AB12=""),"Đoàn viên chưa chọn cách tính đoàn phí; ","")&amp;IF(AND('DM_NHAN_SU'!$AB12="Nhập tay",'DM_NHAN_SU'!$AC12&gt;'THAM_SO'!$M$26),"Đoàn phí nhập tay vượt trần thông dụng; ","")&amp;IF('NGHI_PHEP'!$L12&lt;&gt;"","Phép: "&amp;'NGHI_PHEP'!$L12,"")&amp;IF('CHE_DO_BHXH'!$AA12&lt;&gt;"","BHXH: "&amp;'CHE_DO_BHXH'!$AA12,"")&amp;IF('THUONG_T13_TET'!$O12&lt;&gt;"","Thưởng: "&amp;'THUONG_T13_TET'!$O12,"")&amp;IF('QT_NGHI_VIEC'!$AF12&lt;&gt;"","Nghỉ việc: "&amp;'QT_NGHI_VIEC'!$AF12,"")&amp;IF($AX12&lt;0,"Thực lĩnh âm; ","")&amp;IF(OR('DM_NHAN_SU'!$F12&gt;'THAM_SO'!$B$7,AND('DM_NHAN_SU'!$G12&lt;&gt;"",'DM_NHAN_SU'!$G12&lt;'THAM_SO'!$B$6)),"Ngoài kỳ trả lương; ","")))</f>
        <v/>
      </c>
      <c r="BH12" s="232">
        <f>IF('DM_NHAN_SU'!$B12="","",'CHAM_CONG_THANG'!AR12)</f>
        <v/>
      </c>
      <c r="BI12" s="232">
        <f>IF('DM_NHAN_SU'!$B12="","",'CHAM_CONG_THANG'!AS12)</f>
        <v/>
      </c>
      <c r="BJ12" s="232">
        <f>IF('DM_NHAN_SU'!$B12="","",'CHAM_CONG_THANG'!AT12)</f>
        <v/>
      </c>
      <c r="BK12" s="232">
        <f>IF('DM_NHAN_SU'!$B12="","",'CHAM_CONG_THANG'!AU12)</f>
        <v/>
      </c>
      <c r="BL12" s="232">
        <f>IF('DM_NHAN_SU'!$B12="","",'CHAM_CONG_THANG'!AV12)</f>
        <v/>
      </c>
      <c r="BM12" s="232">
        <f>IF('DM_NHAN_SU'!$B12="","",'CHAM_CONG_THANG'!AW12)</f>
        <v/>
      </c>
      <c r="BN12" s="232">
        <f>IF('DM_NHAN_SU'!$B12="","",SUM($K12,$BH12:$BJ12))</f>
        <v/>
      </c>
      <c r="BO12" s="224">
        <f>IF('DM_NHAN_SU'!$B12="","",IF($B12="",0,IF($G12="Tháng",IF($I12&gt;0,'DM_NHAN_SU'!$K12*MIN($BH12+$BJ12,MAX($I12-$K12,0))/$I12,0),IF($G12="Ngày",'DM_NHAN_SU'!$K12*SUM($BH12:$BJ12),IF($G12="Giờ",'DM_NHAN_SU'!$K12*SUM($BH12:$BJ12)*$J12,IF($G12="Sản phẩm",'DM_NHAN_SU'!$AH12*SUM($BH12:$BJ12),0))))))</f>
        <v/>
      </c>
      <c r="BP12" s="224">
        <f>IF('DM_NHAN_SU'!$B12="","",IF('THUONG_T13_TET'!$L12="Có",'THUONG_T13_TET'!$I12,0))</f>
        <v/>
      </c>
      <c r="BQ12" s="224">
        <f>IF('DM_NHAN_SU'!$B12="","",IF('THUONG_T13_TET'!$L12="Có",SUM('THUONG_T13_TET'!$J12:$K12),0))</f>
        <v/>
      </c>
      <c r="BR12" s="224">
        <f>IF('DM_NHAN_SU'!$B12="","",'QT_NGHI_VIEC'!AC12)</f>
        <v/>
      </c>
      <c r="BS12" s="224">
        <f>IF('DM_NHAN_SU'!$B12="","",'QT_NGHI_VIEC'!AB12)</f>
        <v/>
      </c>
      <c r="BT12" s="224">
        <f>IF('DM_NHAN_SU'!$B12="","",IF('CHE_DO_BHXH'!$Z12="Có",'CHE_DO_BHXH'!$W12,0))</f>
        <v/>
      </c>
      <c r="BU12" s="224">
        <f>IF('DM_NHAN_SU'!$B12="","",IF('CHE_DO_BHXH'!$Y12="DN trả thay",$BT12,0))</f>
        <v/>
      </c>
      <c r="BV12" s="224">
        <f>IF('DM_NHAN_SU'!$B12="","",IF(OR('DM_NHAN_SU'!$AA12&lt;&gt;"Có",'CHE_DO_BHXH'!$O12&gt;=1,SUM('CHE_DO_BHXH'!$D12,'CHE_DO_BHXH'!$G12,'CHE_DO_BHXH'!$K12)&gt;=24,AND($I12&gt;0,$BM12&gt;=$I12)),0,IF('DM_NHAN_SU'!$AB12="Không",0,IF('DM_NHAN_SU'!$AB12="Nhập tay",'DM_NHAN_SU'!$AC12,IF('DM_NHAN_SU'!$AB12="Theo thực nhận",MIN(MAX($AT12-$AU12-$AV12-$AW12,0)*'THAM_SO'!$M$23,'THAM_SO'!$M$26),MIN($AE12*'THAM_SO'!$M$23,'THAM_SO'!$M$26))))))</f>
        <v/>
      </c>
      <c r="BW12" s="224">
        <f>IF('DM_NHAN_SU'!$B12="","",$AX12+$BU12)</f>
        <v/>
      </c>
    </row>
    <row r="13">
      <c r="A13" s="145">
        <f>IF('DM_NHAN_SU'!$B13="","",IF($B13="","",ROW()-5))</f>
        <v/>
      </c>
      <c r="B13" s="145">
        <f>IF('DM_NHAN_SU'!$B13="","",'DM_NHAN_SU'!B13)</f>
        <v/>
      </c>
      <c r="C13" s="145">
        <f>IF('DM_NHAN_SU'!$B13="","",'DM_NHAN_SU'!C13)</f>
        <v/>
      </c>
      <c r="D13" s="145">
        <f>IF('DM_NHAN_SU'!$B13="","",'DM_NHAN_SU'!D13)</f>
        <v/>
      </c>
      <c r="E13" s="145">
        <f>IF('DM_NHAN_SU'!$B13="","",'DM_NHAN_SU'!E13)</f>
        <v/>
      </c>
      <c r="F13" s="145">
        <f>IF('DM_NHAN_SU'!$B13="","",'DM_NHAN_SU'!I13)</f>
        <v/>
      </c>
      <c r="G13" s="145">
        <f>IF('DM_NHAN_SU'!$B13="","",'DM_NHAN_SU'!J13)</f>
        <v/>
      </c>
      <c r="H13" s="145">
        <f>IF('DM_NHAN_SU'!$B13="","",IF('DM_NHAN_SU'!H13="",'THAM_SO'!$B$11,'DM_NHAN_SU'!H13))</f>
        <v/>
      </c>
      <c r="I13" s="232">
        <f>IF('DM_NHAN_SU'!$B13="","",IF('DM_NHAN_SU'!L13&gt;0,'DM_NHAN_SU'!L13,'THAM_SO'!$B$9))</f>
        <v/>
      </c>
      <c r="J13" s="232">
        <f>IF('DM_NHAN_SU'!$B13="","",IF('DM_NHAN_SU'!M13&gt;0,'DM_NHAN_SU'!M13,'THAM_SO'!$B$10))</f>
        <v/>
      </c>
      <c r="K13" s="232">
        <f>IF('DM_NHAN_SU'!$B13="","",'CHAM_CONG_THANG'!AC13)</f>
        <v/>
      </c>
      <c r="L13" s="232">
        <f>IF('DM_NHAN_SU'!$B13="","",'CHAM_CONG_THANG'!AD13)</f>
        <v/>
      </c>
      <c r="M13" s="232">
        <f>IF('DM_NHAN_SU'!$B13="","",'CHAM_CONG_THANG'!AE13)</f>
        <v/>
      </c>
      <c r="N13" s="232">
        <f>IF('DM_NHAN_SU'!$B13="","",'CHAM_CONG_THANG'!N13)</f>
        <v/>
      </c>
      <c r="O13" s="224">
        <f>IF('DM_NHAN_SU'!$B13="","",IF($B13="","",IF($G13="Tháng",IF($I13&gt;0,'DM_NHAN_SU'!$K13*MIN($K13,$I13)/$I13,0),IF($G13="Ngày",'DM_NHAN_SU'!$K13*$K13,IF($G13="Giờ",'DM_NHAN_SU'!$K13*$L13,IF($G13="Sản phẩm",'DM_NHAN_SU'!$K13*$N13,0))))))</f>
        <v/>
      </c>
      <c r="P13" s="224">
        <f>IF('DM_NHAN_SU'!$B13="","",'CHAM_CONG_THANG'!O13)</f>
        <v/>
      </c>
      <c r="Q13" s="224">
        <f>IF('DM_NHAN_SU'!$B13="","",'CHAM_CONG_THANG'!P13)</f>
        <v/>
      </c>
      <c r="R13" s="224">
        <f>IF('DM_NHAN_SU'!$B13="","",'CHAM_CONG_THANG'!Q13)</f>
        <v/>
      </c>
      <c r="S13" s="224">
        <f>IF('DM_NHAN_SU'!$B13="","",'CHAM_CONG_THANG'!R13)</f>
        <v/>
      </c>
      <c r="T13" s="224">
        <f>IF('DM_NHAN_SU'!$B13="","",'CHAM_CONG_THANG'!S13)</f>
        <v/>
      </c>
      <c r="U13" s="224">
        <f>IF('DM_NHAN_SU'!$B13="","",MIN($T13,'THAM_SO'!$F$6))</f>
        <v/>
      </c>
      <c r="V13" s="224">
        <f>IF('DM_NHAN_SU'!$B13="","",MAX($T13-$U13,0))</f>
        <v/>
      </c>
      <c r="W13" s="224">
        <f>IF('DM_NHAN_SU'!$B13="","",'CHAM_CONG_THANG'!T13)</f>
        <v/>
      </c>
      <c r="X13" s="224">
        <f>IF('DM_NHAN_SU'!$B13="","",'CHAM_CONG_THANG'!U13)</f>
        <v/>
      </c>
      <c r="Y13" s="224">
        <f>IF('DM_NHAN_SU'!$B13="","",IF($B13="",0,IF('DM_NHAN_SU'!$Q13&gt;0,'DM_NHAN_SU'!$Q13,IF($G13="Tháng",IF($I13*$J13&gt;0,'DM_NHAN_SU'!$K13/($I13*$J13),0),IF($G13="Ngày",IF($J13&gt;0,'DM_NHAN_SU'!$K13/$J13,0),IF($G13="Giờ",'DM_NHAN_SU'!$K13,0))))))</f>
        <v/>
      </c>
      <c r="Z13" s="224">
        <f>IF('DM_NHAN_SU'!$B13="","",$Y13*($M13*'THAM_SO'!$C$22+'CHAM_CONG_THANG'!$AF13*'THAM_SO'!$C$19+'CHAM_CONG_THANG'!$AG13*'THAM_SO'!$C$20+'CHAM_CONG_THANG'!$AH13*'THAM_SO'!$C$21+'CHAM_CONG_THANG'!$AI13*'THAM_SO'!$C$23+'CHAM_CONG_THANG'!$AJ13*'THAM_SO'!$C$24+'CHAM_CONG_THANG'!$AK13*'THAM_SO'!$C$25))</f>
        <v/>
      </c>
      <c r="AA13" s="224">
        <f>IF('DM_NHAN_SU'!$B13="","",MAX(0,$Y13*($M13*IF('THAM_SO'!$C$22&gt;='THAM_SO'!$B$22,'THAM_SO'!$B$22,0)+'CHAM_CONG_THANG'!$AF13*IF('THAM_SO'!$C$19&gt;='THAM_SO'!$B$19,'THAM_SO'!$B$19,0)+'CHAM_CONG_THANG'!$AG13*IF('THAM_SO'!$C$20&gt;='THAM_SO'!$B$20,'THAM_SO'!$B$20,0)+'CHAM_CONG_THANG'!$AH13*IF('THAM_SO'!$C$21&gt;='THAM_SO'!$B$21,'THAM_SO'!$B$21,0)+'CHAM_CONG_THANG'!$AI13*IF('THAM_SO'!$C$23&gt;='THAM_SO'!$B$23,'THAM_SO'!$B$23,0)+'CHAM_CONG_THANG'!$AJ13*IF('THAM_SO'!$C$24&gt;='THAM_SO'!$B$24,'THAM_SO'!$B$24,0)+'CHAM_CONG_THANG'!$AK13*IF('THAM_SO'!$C$25&gt;='THAM_SO'!$B$25,'THAM_SO'!$B$25,0))-'CHAM_CONG_THANG'!$V13))</f>
        <v/>
      </c>
      <c r="AB13" s="224">
        <f>IF('DM_NHAN_SU'!$B13="","",MAX($Z13-$AA13,0))</f>
        <v/>
      </c>
      <c r="AC13" s="224">
        <f>IF('DM_NHAN_SU'!$B13="","",$O13+$P13+$Q13+$R13+$S13+$V13+$AB13+$BO13+$BP13+$BQ13+$BR13)</f>
        <v/>
      </c>
      <c r="AD13" s="224">
        <f>IF('DM_NHAN_SU'!$B13="","",'DM_NHAN_SU'!N13+'DM_NHAN_SU'!O13+'DM_NHAN_SU'!P13)</f>
        <v/>
      </c>
      <c r="AE13" s="224">
        <f>IF('DM_NHAN_SU'!$B13="","",IF(OR('DM_NHAN_SU'!$R13&lt;&gt;"Có",'CHAM_CONG_THANG'!$AA13="Có",$BL13&gt;=14,$AD13&lt;=0),0,MIN(MAX($AD13,'THAM_SO'!$M$6),'THAM_SO'!$M$7)))</f>
        <v/>
      </c>
      <c r="AF13" s="224">
        <f>IF('DM_NHAN_SU'!$B13="","",IF(OR('DM_NHAN_SU'!$S13&lt;&gt;"Có",'CHAM_CONG_THANG'!$AA13="Có",$BL13&gt;=14,$AD13&lt;=0),0,MIN(MAX($AD13,VLOOKUP($H13,'THAM_SO'!$L$17:$P$20,4,FALSE)),VLOOKUP($H13,'THAM_SO'!$L$17:$P$20,5,FALSE))))</f>
        <v/>
      </c>
      <c r="AG13" s="224">
        <f>IF('DM_NHAN_SU'!$B13="","",$AE13*'THAM_SO'!$M$8)</f>
        <v/>
      </c>
      <c r="AH13" s="224">
        <f>IF('DM_NHAN_SU'!$B13="","",$AE13*'THAM_SO'!$M$9)</f>
        <v/>
      </c>
      <c r="AI13" s="224">
        <f>IF('DM_NHAN_SU'!$B13="","",$AF13*'THAM_SO'!$M$10)</f>
        <v/>
      </c>
      <c r="AJ13" s="224">
        <f>IF('DM_NHAN_SU'!$B13="","",SUM($AG13:$AI13))</f>
        <v/>
      </c>
      <c r="AK13" s="224">
        <f>IF('DM_NHAN_SU'!$B13="","",IF($B13="",0,'THAM_SO'!$F$4))</f>
        <v/>
      </c>
      <c r="AL13" s="224">
        <f>IF('DM_NHAN_SU'!$B13="","",IF($B13="",0,'DM_NHAN_SU'!$T13*'THAM_SO'!$F$5))</f>
        <v/>
      </c>
      <c r="AM13" s="224">
        <f>IF('DM_NHAN_SU'!$B13="","",'CHAM_CONG_THANG'!W13)</f>
        <v/>
      </c>
      <c r="AN13" s="224">
        <f>IF('DM_NHAN_SU'!$B13="","",MAX($AC13-$AK13-$AL13-$AM13,0))</f>
        <v/>
      </c>
      <c r="AO13" s="224">
        <f>IF('DM_NHAN_SU'!$B13="","",IF($B13="","",IF($F13="Net",IF($AC13&lt;=$AK13+$AL13+$AM13,$AC13+$AJ13,$AJ13+$AK13+$AL13+$AM13+IF($AN13&lt;='THAM_SO'!$J$10,($AN13-'THAM_SO'!$I$10)/(1-'THAM_SO'!$H$10),IF($AN13&lt;='THAM_SO'!$J$11,($AN13-'THAM_SO'!$I$11)/(1-'THAM_SO'!$H$11),IF($AN13&lt;='THAM_SO'!$J$12,($AN13-'THAM_SO'!$I$12)/(1-'THAM_SO'!$H$12),IF($AN13&lt;='THAM_SO'!$J$13,($AN13-'THAM_SO'!$I$13)/(1-'THAM_SO'!$H$13),($AN13-'THAM_SO'!$I$14)/(1-'THAM_SO'!$H$14)))))),$AC13)))</f>
        <v/>
      </c>
      <c r="AP13" s="224">
        <f>IF('DM_NHAN_SU'!$B13="","",$U13+$W13+$X13+$AA13+$BS13)</f>
        <v/>
      </c>
      <c r="AQ13" s="224">
        <f>IF('DM_NHAN_SU'!$B13="","",MAX($AO13-$AJ13-$AK13-$AL13-$AM13,0))</f>
        <v/>
      </c>
      <c r="AR13" s="224">
        <f>IF('DM_NHAN_SU'!$B13="","",IF($AQ13&lt;=0,0,$AQ13*VLOOKUP($AQ13,'THAM_SO'!$F$10:$I$14,3,TRUE)-VLOOKUP($AQ13,'THAM_SO'!$F$10:$I$14,4,TRUE)))</f>
        <v/>
      </c>
      <c r="AS13" s="224">
        <f>IF('DM_NHAN_SU'!$B13="","",$AO13+$AP13)</f>
        <v/>
      </c>
      <c r="AT13" s="224">
        <f>IF('DM_NHAN_SU'!$B13="","",$AS13-$AJ13-$AR13)</f>
        <v/>
      </c>
      <c r="AU13" s="224">
        <f>IF('DM_NHAN_SU'!$B13="","",'CHAM_CONG_THANG'!X13)</f>
        <v/>
      </c>
      <c r="AV13" s="224">
        <f>IF('DM_NHAN_SU'!$B13="","",'CHAM_CONG_THANG'!Y13+'QT_NGHI_VIEC'!AD13)</f>
        <v/>
      </c>
      <c r="AW13" s="224">
        <f>IF('DM_NHAN_SU'!$B13="","",'CHAM_CONG_THANG'!Z13)</f>
        <v/>
      </c>
      <c r="AX13" s="224">
        <f>IF('DM_NHAN_SU'!$B13="","",$AT13-$AU13-$AV13-$AW13-$BV13)</f>
        <v/>
      </c>
      <c r="AY13" s="224">
        <f>IF('DM_NHAN_SU'!$B13="","",$AE13*'THAM_SO'!$M$11)</f>
        <v/>
      </c>
      <c r="AZ13" s="224">
        <f>IF('DM_NHAN_SU'!$B13="","",$AE13*'THAM_SO'!$M$12)</f>
        <v/>
      </c>
      <c r="BA13" s="224">
        <f>IF('DM_NHAN_SU'!$B13="","",$AF13*'THAM_SO'!$M$13)</f>
        <v/>
      </c>
      <c r="BB13" s="224">
        <f>IF('DM_NHAN_SU'!$B13="","",$AE13*'THAM_SO'!$M$14)</f>
        <v/>
      </c>
      <c r="BC13" s="224">
        <f>IF('DM_NHAN_SU'!$B13="","",SUM($AY13:$BB13))</f>
        <v/>
      </c>
      <c r="BD13" s="224">
        <f>IF('DM_NHAN_SU'!$B13="","",$AS13+$BC13)</f>
        <v/>
      </c>
      <c r="BE13" s="224">
        <f>IF('DM_NHAN_SU'!$B13="","",VLOOKUP($H13,'THAM_SO'!$L$17:$P$20,2,FALSE))</f>
        <v/>
      </c>
      <c r="BF13" s="224">
        <f>IF('DM_NHAN_SU'!$B13="","",VLOOKUP($H13,'THAM_SO'!$L$17:$P$20,3,FALSE))</f>
        <v/>
      </c>
      <c r="BG13" s="150">
        <f>IF('DM_NHAN_SU'!$B13="","",IF($B13="","",IF(COUNTIF('DM_NHAN_SU'!$B$6:$B$155,$B13)&gt;1,"Trùng mã NV; ","")&amp;IF(OR($F13="",$G13=""),"Thiếu loại/hình thức lương; ","")&amp;IF('CHAM_CONG_THANG'!$D13="","Chưa chọn nguồn công; ","")&amp;IF(AND('CHAM_CONG_THANG'!$D13="Theo ngày",COUNTIF('CHAM_CONG_NGAY'!$B$6:$B$4655,$B13)=0),"Chưa có chấm công ngày; ","")&amp;IF(OR($I13&lt;=0,$J13&lt;=0),"Thiếu công/giờ chuẩn; ","")&amp;IF(AND($G13="Tháng",'DM_NHAN_SU'!$K13&lt;$BE13),"Lương tháng dưới tối thiểu vùng; ","")&amp;IF(AND($G13="Ngày",'DM_NHAN_SU'!$K13/$J13&lt;$BF13),"Lương ngày quy đổi dưới tối thiểu giờ; ","")&amp;IF(AND($G13="Giờ",'DM_NHAN_SU'!$K13&lt;$BF13),"Lương giờ dưới tối thiểu vùng; ","")&amp;IF(AND($G13="Sản phẩm",$L13&gt;0,$O13/$L13&lt;$BF13),"Lương SP quy đổi dưới tối thiểu giờ; ","")&amp;IF(OR('THAM_SO'!$C$19&lt;'THAM_SO'!$B$19,'THAM_SO'!$C$20&lt;'THAM_SO'!$B$20,'THAM_SO'!$C$21&lt;'THAM_SO'!$B$21,'THAM_SO'!$C$22&lt;'THAM_SO'!$B$22,'THAM_SO'!$C$23&lt;'THAM_SO'!$B$23,'THAM_SO'!$C$24&lt;'THAM_SO'!$B$24,'THAM_SO'!$C$25&lt;'THAM_SO'!$B$25),"Hệ số OT/đêm DN thấp hơn luật; ","")&amp;IF(AND('DM_NHAN_SU'!$R13="Có",$AD13&lt;=0),"Thiếu căn cứ đóng BH; ","")&amp;IF(AND($AD13&gt;0,$AD13&lt;'THAM_SO'!$M$6),"Căn cứ BH dưới sàn – đã nâng sàn; ","")&amp;IF($AD13&gt;'THAM_SO'!$M$7,"Căn cứ BH vượt trần – đã giới hạn; ","")&amp;IF(AND($F13="Net",SUM('CHAM_CONG_THANG'!$AF13:$AK13)&gt;0,'DM_NHAN_SU'!$Q13&lt;=0),"Net có OT nhưng chưa khai lương giờ OT; ","")&amp;IF('CHAM_CONG_THANG'!$V13&gt;$Z13,"Phần OT không miễn lớn hơn tiền OT; ","")&amp;IF(AND($F13="Net",ABS($AT13-$AC13-$AP13)&gt;1),"Lệch quy đổi Net; ","")&amp;IF(AND($BH13&gt;0,'DM_NHAN_SU'!$AD13=""),"Có phép năm nhưng đang tạm dùng 12 ngày; ","")&amp;IF(AND($G13="Sản phẩm",SUM($BH13:$BJ13)&gt;0,'DM_NHAN_SU'!$AH13&lt;=0),"Lương sản phẩm thiếu đơn giá ngày phép/lễ; ","")&amp;IF(AND($BL13&gt;=14,'CHAM_CONG_THANG'!$AA13&lt;&gt;"Có"),"Thai sản từ 14 ngày: file tự dừng đóng BH – kiểm tra hồ sơ; ","")&amp;IF(AND('DM_NHAN_SU'!$AA13="Có",'DM_NHAN_SU'!$AB13=""),"Đoàn viên chưa chọn cách tính đoàn phí; ","")&amp;IF(AND('DM_NHAN_SU'!$AB13="Nhập tay",'DM_NHAN_SU'!$AC13&gt;'THAM_SO'!$M$26),"Đoàn phí nhập tay vượt trần thông dụng; ","")&amp;IF('NGHI_PHEP'!$L13&lt;&gt;"","Phép: "&amp;'NGHI_PHEP'!$L13,"")&amp;IF('CHE_DO_BHXH'!$AA13&lt;&gt;"","BHXH: "&amp;'CHE_DO_BHXH'!$AA13,"")&amp;IF('THUONG_T13_TET'!$O13&lt;&gt;"","Thưởng: "&amp;'THUONG_T13_TET'!$O13,"")&amp;IF('QT_NGHI_VIEC'!$AF13&lt;&gt;"","Nghỉ việc: "&amp;'QT_NGHI_VIEC'!$AF13,"")&amp;IF($AX13&lt;0,"Thực lĩnh âm; ","")&amp;IF(OR('DM_NHAN_SU'!$F13&gt;'THAM_SO'!$B$7,AND('DM_NHAN_SU'!$G13&lt;&gt;"",'DM_NHAN_SU'!$G13&lt;'THAM_SO'!$B$6)),"Ngoài kỳ trả lương; ","")))</f>
        <v/>
      </c>
      <c r="BH13" s="232">
        <f>IF('DM_NHAN_SU'!$B13="","",'CHAM_CONG_THANG'!AR13)</f>
        <v/>
      </c>
      <c r="BI13" s="232">
        <f>IF('DM_NHAN_SU'!$B13="","",'CHAM_CONG_THANG'!AS13)</f>
        <v/>
      </c>
      <c r="BJ13" s="232">
        <f>IF('DM_NHAN_SU'!$B13="","",'CHAM_CONG_THANG'!AT13)</f>
        <v/>
      </c>
      <c r="BK13" s="232">
        <f>IF('DM_NHAN_SU'!$B13="","",'CHAM_CONG_THANG'!AU13)</f>
        <v/>
      </c>
      <c r="BL13" s="232">
        <f>IF('DM_NHAN_SU'!$B13="","",'CHAM_CONG_THANG'!AV13)</f>
        <v/>
      </c>
      <c r="BM13" s="232">
        <f>IF('DM_NHAN_SU'!$B13="","",'CHAM_CONG_THANG'!AW13)</f>
        <v/>
      </c>
      <c r="BN13" s="232">
        <f>IF('DM_NHAN_SU'!$B13="","",SUM($K13,$BH13:$BJ13))</f>
        <v/>
      </c>
      <c r="BO13" s="224">
        <f>IF('DM_NHAN_SU'!$B13="","",IF($B13="",0,IF($G13="Tháng",IF($I13&gt;0,'DM_NHAN_SU'!$K13*MIN($BH13+$BJ13,MAX($I13-$K13,0))/$I13,0),IF($G13="Ngày",'DM_NHAN_SU'!$K13*SUM($BH13:$BJ13),IF($G13="Giờ",'DM_NHAN_SU'!$K13*SUM($BH13:$BJ13)*$J13,IF($G13="Sản phẩm",'DM_NHAN_SU'!$AH13*SUM($BH13:$BJ13),0))))))</f>
        <v/>
      </c>
      <c r="BP13" s="224">
        <f>IF('DM_NHAN_SU'!$B13="","",IF('THUONG_T13_TET'!$L13="Có",'THUONG_T13_TET'!$I13,0))</f>
        <v/>
      </c>
      <c r="BQ13" s="224">
        <f>IF('DM_NHAN_SU'!$B13="","",IF('THUONG_T13_TET'!$L13="Có",SUM('THUONG_T13_TET'!$J13:$K13),0))</f>
        <v/>
      </c>
      <c r="BR13" s="224">
        <f>IF('DM_NHAN_SU'!$B13="","",'QT_NGHI_VIEC'!AC13)</f>
        <v/>
      </c>
      <c r="BS13" s="224">
        <f>IF('DM_NHAN_SU'!$B13="","",'QT_NGHI_VIEC'!AB13)</f>
        <v/>
      </c>
      <c r="BT13" s="224">
        <f>IF('DM_NHAN_SU'!$B13="","",IF('CHE_DO_BHXH'!$Z13="Có",'CHE_DO_BHXH'!$W13,0))</f>
        <v/>
      </c>
      <c r="BU13" s="224">
        <f>IF('DM_NHAN_SU'!$B13="","",IF('CHE_DO_BHXH'!$Y13="DN trả thay",$BT13,0))</f>
        <v/>
      </c>
      <c r="BV13" s="224">
        <f>IF('DM_NHAN_SU'!$B13="","",IF(OR('DM_NHAN_SU'!$AA13&lt;&gt;"Có",'CHE_DO_BHXH'!$O13&gt;=1,SUM('CHE_DO_BHXH'!$D13,'CHE_DO_BHXH'!$G13,'CHE_DO_BHXH'!$K13)&gt;=24,AND($I13&gt;0,$BM13&gt;=$I13)),0,IF('DM_NHAN_SU'!$AB13="Không",0,IF('DM_NHAN_SU'!$AB13="Nhập tay",'DM_NHAN_SU'!$AC13,IF('DM_NHAN_SU'!$AB13="Theo thực nhận",MIN(MAX($AT13-$AU13-$AV13-$AW13,0)*'THAM_SO'!$M$23,'THAM_SO'!$M$26),MIN($AE13*'THAM_SO'!$M$23,'THAM_SO'!$M$26))))))</f>
        <v/>
      </c>
      <c r="BW13" s="224">
        <f>IF('DM_NHAN_SU'!$B13="","",$AX13+$BU13)</f>
        <v/>
      </c>
    </row>
    <row r="14">
      <c r="A14" s="145">
        <f>IF('DM_NHAN_SU'!$B14="","",IF($B14="","",ROW()-5))</f>
        <v/>
      </c>
      <c r="B14" s="145">
        <f>IF('DM_NHAN_SU'!$B14="","",'DM_NHAN_SU'!B14)</f>
        <v/>
      </c>
      <c r="C14" s="145">
        <f>IF('DM_NHAN_SU'!$B14="","",'DM_NHAN_SU'!C14)</f>
        <v/>
      </c>
      <c r="D14" s="145">
        <f>IF('DM_NHAN_SU'!$B14="","",'DM_NHAN_SU'!D14)</f>
        <v/>
      </c>
      <c r="E14" s="145">
        <f>IF('DM_NHAN_SU'!$B14="","",'DM_NHAN_SU'!E14)</f>
        <v/>
      </c>
      <c r="F14" s="145">
        <f>IF('DM_NHAN_SU'!$B14="","",'DM_NHAN_SU'!I14)</f>
        <v/>
      </c>
      <c r="G14" s="145">
        <f>IF('DM_NHAN_SU'!$B14="","",'DM_NHAN_SU'!J14)</f>
        <v/>
      </c>
      <c r="H14" s="145">
        <f>IF('DM_NHAN_SU'!$B14="","",IF('DM_NHAN_SU'!H14="",'THAM_SO'!$B$11,'DM_NHAN_SU'!H14))</f>
        <v/>
      </c>
      <c r="I14" s="232">
        <f>IF('DM_NHAN_SU'!$B14="","",IF('DM_NHAN_SU'!L14&gt;0,'DM_NHAN_SU'!L14,'THAM_SO'!$B$9))</f>
        <v/>
      </c>
      <c r="J14" s="232">
        <f>IF('DM_NHAN_SU'!$B14="","",IF('DM_NHAN_SU'!M14&gt;0,'DM_NHAN_SU'!M14,'THAM_SO'!$B$10))</f>
        <v/>
      </c>
      <c r="K14" s="232">
        <f>IF('DM_NHAN_SU'!$B14="","",'CHAM_CONG_THANG'!AC14)</f>
        <v/>
      </c>
      <c r="L14" s="232">
        <f>IF('DM_NHAN_SU'!$B14="","",'CHAM_CONG_THANG'!AD14)</f>
        <v/>
      </c>
      <c r="M14" s="232">
        <f>IF('DM_NHAN_SU'!$B14="","",'CHAM_CONG_THANG'!AE14)</f>
        <v/>
      </c>
      <c r="N14" s="232">
        <f>IF('DM_NHAN_SU'!$B14="","",'CHAM_CONG_THANG'!N14)</f>
        <v/>
      </c>
      <c r="O14" s="224">
        <f>IF('DM_NHAN_SU'!$B14="","",IF($B14="","",IF($G14="Tháng",IF($I14&gt;0,'DM_NHAN_SU'!$K14*MIN($K14,$I14)/$I14,0),IF($G14="Ngày",'DM_NHAN_SU'!$K14*$K14,IF($G14="Giờ",'DM_NHAN_SU'!$K14*$L14,IF($G14="Sản phẩm",'DM_NHAN_SU'!$K14*$N14,0))))))</f>
        <v/>
      </c>
      <c r="P14" s="224">
        <f>IF('DM_NHAN_SU'!$B14="","",'CHAM_CONG_THANG'!O14)</f>
        <v/>
      </c>
      <c r="Q14" s="224">
        <f>IF('DM_NHAN_SU'!$B14="","",'CHAM_CONG_THANG'!P14)</f>
        <v/>
      </c>
      <c r="R14" s="224">
        <f>IF('DM_NHAN_SU'!$B14="","",'CHAM_CONG_THANG'!Q14)</f>
        <v/>
      </c>
      <c r="S14" s="224">
        <f>IF('DM_NHAN_SU'!$B14="","",'CHAM_CONG_THANG'!R14)</f>
        <v/>
      </c>
      <c r="T14" s="224">
        <f>IF('DM_NHAN_SU'!$B14="","",'CHAM_CONG_THANG'!S14)</f>
        <v/>
      </c>
      <c r="U14" s="224">
        <f>IF('DM_NHAN_SU'!$B14="","",MIN($T14,'THAM_SO'!$F$6))</f>
        <v/>
      </c>
      <c r="V14" s="224">
        <f>IF('DM_NHAN_SU'!$B14="","",MAX($T14-$U14,0))</f>
        <v/>
      </c>
      <c r="W14" s="224">
        <f>IF('DM_NHAN_SU'!$B14="","",'CHAM_CONG_THANG'!T14)</f>
        <v/>
      </c>
      <c r="X14" s="224">
        <f>IF('DM_NHAN_SU'!$B14="","",'CHAM_CONG_THANG'!U14)</f>
        <v/>
      </c>
      <c r="Y14" s="224">
        <f>IF('DM_NHAN_SU'!$B14="","",IF($B14="",0,IF('DM_NHAN_SU'!$Q14&gt;0,'DM_NHAN_SU'!$Q14,IF($G14="Tháng",IF($I14*$J14&gt;0,'DM_NHAN_SU'!$K14/($I14*$J14),0),IF($G14="Ngày",IF($J14&gt;0,'DM_NHAN_SU'!$K14/$J14,0),IF($G14="Giờ",'DM_NHAN_SU'!$K14,0))))))</f>
        <v/>
      </c>
      <c r="Z14" s="224">
        <f>IF('DM_NHAN_SU'!$B14="","",$Y14*($M14*'THAM_SO'!$C$22+'CHAM_CONG_THANG'!$AF14*'THAM_SO'!$C$19+'CHAM_CONG_THANG'!$AG14*'THAM_SO'!$C$20+'CHAM_CONG_THANG'!$AH14*'THAM_SO'!$C$21+'CHAM_CONG_THANG'!$AI14*'THAM_SO'!$C$23+'CHAM_CONG_THANG'!$AJ14*'THAM_SO'!$C$24+'CHAM_CONG_THANG'!$AK14*'THAM_SO'!$C$25))</f>
        <v/>
      </c>
      <c r="AA14" s="224">
        <f>IF('DM_NHAN_SU'!$B14="","",MAX(0,$Y14*($M14*IF('THAM_SO'!$C$22&gt;='THAM_SO'!$B$22,'THAM_SO'!$B$22,0)+'CHAM_CONG_THANG'!$AF14*IF('THAM_SO'!$C$19&gt;='THAM_SO'!$B$19,'THAM_SO'!$B$19,0)+'CHAM_CONG_THANG'!$AG14*IF('THAM_SO'!$C$20&gt;='THAM_SO'!$B$20,'THAM_SO'!$B$20,0)+'CHAM_CONG_THANG'!$AH14*IF('THAM_SO'!$C$21&gt;='THAM_SO'!$B$21,'THAM_SO'!$B$21,0)+'CHAM_CONG_THANG'!$AI14*IF('THAM_SO'!$C$23&gt;='THAM_SO'!$B$23,'THAM_SO'!$B$23,0)+'CHAM_CONG_THANG'!$AJ14*IF('THAM_SO'!$C$24&gt;='THAM_SO'!$B$24,'THAM_SO'!$B$24,0)+'CHAM_CONG_THANG'!$AK14*IF('THAM_SO'!$C$25&gt;='THAM_SO'!$B$25,'THAM_SO'!$B$25,0))-'CHAM_CONG_THANG'!$V14))</f>
        <v/>
      </c>
      <c r="AB14" s="224">
        <f>IF('DM_NHAN_SU'!$B14="","",MAX($Z14-$AA14,0))</f>
        <v/>
      </c>
      <c r="AC14" s="224">
        <f>IF('DM_NHAN_SU'!$B14="","",$O14+$P14+$Q14+$R14+$S14+$V14+$AB14+$BO14+$BP14+$BQ14+$BR14)</f>
        <v/>
      </c>
      <c r="AD14" s="224">
        <f>IF('DM_NHAN_SU'!$B14="","",'DM_NHAN_SU'!N14+'DM_NHAN_SU'!O14+'DM_NHAN_SU'!P14)</f>
        <v/>
      </c>
      <c r="AE14" s="224">
        <f>IF('DM_NHAN_SU'!$B14="","",IF(OR('DM_NHAN_SU'!$R14&lt;&gt;"Có",'CHAM_CONG_THANG'!$AA14="Có",$BL14&gt;=14,$AD14&lt;=0),0,MIN(MAX($AD14,'THAM_SO'!$M$6),'THAM_SO'!$M$7)))</f>
        <v/>
      </c>
      <c r="AF14" s="224">
        <f>IF('DM_NHAN_SU'!$B14="","",IF(OR('DM_NHAN_SU'!$S14&lt;&gt;"Có",'CHAM_CONG_THANG'!$AA14="Có",$BL14&gt;=14,$AD14&lt;=0),0,MIN(MAX($AD14,VLOOKUP($H14,'THAM_SO'!$L$17:$P$20,4,FALSE)),VLOOKUP($H14,'THAM_SO'!$L$17:$P$20,5,FALSE))))</f>
        <v/>
      </c>
      <c r="AG14" s="224">
        <f>IF('DM_NHAN_SU'!$B14="","",$AE14*'THAM_SO'!$M$8)</f>
        <v/>
      </c>
      <c r="AH14" s="224">
        <f>IF('DM_NHAN_SU'!$B14="","",$AE14*'THAM_SO'!$M$9)</f>
        <v/>
      </c>
      <c r="AI14" s="224">
        <f>IF('DM_NHAN_SU'!$B14="","",$AF14*'THAM_SO'!$M$10)</f>
        <v/>
      </c>
      <c r="AJ14" s="224">
        <f>IF('DM_NHAN_SU'!$B14="","",SUM($AG14:$AI14))</f>
        <v/>
      </c>
      <c r="AK14" s="224">
        <f>IF('DM_NHAN_SU'!$B14="","",IF($B14="",0,'THAM_SO'!$F$4))</f>
        <v/>
      </c>
      <c r="AL14" s="224">
        <f>IF('DM_NHAN_SU'!$B14="","",IF($B14="",0,'DM_NHAN_SU'!$T14*'THAM_SO'!$F$5))</f>
        <v/>
      </c>
      <c r="AM14" s="224">
        <f>IF('DM_NHAN_SU'!$B14="","",'CHAM_CONG_THANG'!W14)</f>
        <v/>
      </c>
      <c r="AN14" s="224">
        <f>IF('DM_NHAN_SU'!$B14="","",MAX($AC14-$AK14-$AL14-$AM14,0))</f>
        <v/>
      </c>
      <c r="AO14" s="224">
        <f>IF('DM_NHAN_SU'!$B14="","",IF($B14="","",IF($F14="Net",IF($AC14&lt;=$AK14+$AL14+$AM14,$AC14+$AJ14,$AJ14+$AK14+$AL14+$AM14+IF($AN14&lt;='THAM_SO'!$J$10,($AN14-'THAM_SO'!$I$10)/(1-'THAM_SO'!$H$10),IF($AN14&lt;='THAM_SO'!$J$11,($AN14-'THAM_SO'!$I$11)/(1-'THAM_SO'!$H$11),IF($AN14&lt;='THAM_SO'!$J$12,($AN14-'THAM_SO'!$I$12)/(1-'THAM_SO'!$H$12),IF($AN14&lt;='THAM_SO'!$J$13,($AN14-'THAM_SO'!$I$13)/(1-'THAM_SO'!$H$13),($AN14-'THAM_SO'!$I$14)/(1-'THAM_SO'!$H$14)))))),$AC14)))</f>
        <v/>
      </c>
      <c r="AP14" s="224">
        <f>IF('DM_NHAN_SU'!$B14="","",$U14+$W14+$X14+$AA14+$BS14)</f>
        <v/>
      </c>
      <c r="AQ14" s="224">
        <f>IF('DM_NHAN_SU'!$B14="","",MAX($AO14-$AJ14-$AK14-$AL14-$AM14,0))</f>
        <v/>
      </c>
      <c r="AR14" s="224">
        <f>IF('DM_NHAN_SU'!$B14="","",IF($AQ14&lt;=0,0,$AQ14*VLOOKUP($AQ14,'THAM_SO'!$F$10:$I$14,3,TRUE)-VLOOKUP($AQ14,'THAM_SO'!$F$10:$I$14,4,TRUE)))</f>
        <v/>
      </c>
      <c r="AS14" s="224">
        <f>IF('DM_NHAN_SU'!$B14="","",$AO14+$AP14)</f>
        <v/>
      </c>
      <c r="AT14" s="224">
        <f>IF('DM_NHAN_SU'!$B14="","",$AS14-$AJ14-$AR14)</f>
        <v/>
      </c>
      <c r="AU14" s="224">
        <f>IF('DM_NHAN_SU'!$B14="","",'CHAM_CONG_THANG'!X14)</f>
        <v/>
      </c>
      <c r="AV14" s="224">
        <f>IF('DM_NHAN_SU'!$B14="","",'CHAM_CONG_THANG'!Y14+'QT_NGHI_VIEC'!AD14)</f>
        <v/>
      </c>
      <c r="AW14" s="224">
        <f>IF('DM_NHAN_SU'!$B14="","",'CHAM_CONG_THANG'!Z14)</f>
        <v/>
      </c>
      <c r="AX14" s="224">
        <f>IF('DM_NHAN_SU'!$B14="","",$AT14-$AU14-$AV14-$AW14-$BV14)</f>
        <v/>
      </c>
      <c r="AY14" s="224">
        <f>IF('DM_NHAN_SU'!$B14="","",$AE14*'THAM_SO'!$M$11)</f>
        <v/>
      </c>
      <c r="AZ14" s="224">
        <f>IF('DM_NHAN_SU'!$B14="","",$AE14*'THAM_SO'!$M$12)</f>
        <v/>
      </c>
      <c r="BA14" s="224">
        <f>IF('DM_NHAN_SU'!$B14="","",$AF14*'THAM_SO'!$M$13)</f>
        <v/>
      </c>
      <c r="BB14" s="224">
        <f>IF('DM_NHAN_SU'!$B14="","",$AE14*'THAM_SO'!$M$14)</f>
        <v/>
      </c>
      <c r="BC14" s="224">
        <f>IF('DM_NHAN_SU'!$B14="","",SUM($AY14:$BB14))</f>
        <v/>
      </c>
      <c r="BD14" s="224">
        <f>IF('DM_NHAN_SU'!$B14="","",$AS14+$BC14)</f>
        <v/>
      </c>
      <c r="BE14" s="224">
        <f>IF('DM_NHAN_SU'!$B14="","",VLOOKUP($H14,'THAM_SO'!$L$17:$P$20,2,FALSE))</f>
        <v/>
      </c>
      <c r="BF14" s="224">
        <f>IF('DM_NHAN_SU'!$B14="","",VLOOKUP($H14,'THAM_SO'!$L$17:$P$20,3,FALSE))</f>
        <v/>
      </c>
      <c r="BG14" s="150">
        <f>IF('DM_NHAN_SU'!$B14="","",IF($B14="","",IF(COUNTIF('DM_NHAN_SU'!$B$6:$B$155,$B14)&gt;1,"Trùng mã NV; ","")&amp;IF(OR($F14="",$G14=""),"Thiếu loại/hình thức lương; ","")&amp;IF('CHAM_CONG_THANG'!$D14="","Chưa chọn nguồn công; ","")&amp;IF(AND('CHAM_CONG_THANG'!$D14="Theo ngày",COUNTIF('CHAM_CONG_NGAY'!$B$6:$B$4655,$B14)=0),"Chưa có chấm công ngày; ","")&amp;IF(OR($I14&lt;=0,$J14&lt;=0),"Thiếu công/giờ chuẩn; ","")&amp;IF(AND($G14="Tháng",'DM_NHAN_SU'!$K14&lt;$BE14),"Lương tháng dưới tối thiểu vùng; ","")&amp;IF(AND($G14="Ngày",'DM_NHAN_SU'!$K14/$J14&lt;$BF14),"Lương ngày quy đổi dưới tối thiểu giờ; ","")&amp;IF(AND($G14="Giờ",'DM_NHAN_SU'!$K14&lt;$BF14),"Lương giờ dưới tối thiểu vùng; ","")&amp;IF(AND($G14="Sản phẩm",$L14&gt;0,$O14/$L14&lt;$BF14),"Lương SP quy đổi dưới tối thiểu giờ; ","")&amp;IF(OR('THAM_SO'!$C$19&lt;'THAM_SO'!$B$19,'THAM_SO'!$C$20&lt;'THAM_SO'!$B$20,'THAM_SO'!$C$21&lt;'THAM_SO'!$B$21,'THAM_SO'!$C$22&lt;'THAM_SO'!$B$22,'THAM_SO'!$C$23&lt;'THAM_SO'!$B$23,'THAM_SO'!$C$24&lt;'THAM_SO'!$B$24,'THAM_SO'!$C$25&lt;'THAM_SO'!$B$25),"Hệ số OT/đêm DN thấp hơn luật; ","")&amp;IF(AND('DM_NHAN_SU'!$R14="Có",$AD14&lt;=0),"Thiếu căn cứ đóng BH; ","")&amp;IF(AND($AD14&gt;0,$AD14&lt;'THAM_SO'!$M$6),"Căn cứ BH dưới sàn – đã nâng sàn; ","")&amp;IF($AD14&gt;'THAM_SO'!$M$7,"Căn cứ BH vượt trần – đã giới hạn; ","")&amp;IF(AND($F14="Net",SUM('CHAM_CONG_THANG'!$AF14:$AK14)&gt;0,'DM_NHAN_SU'!$Q14&lt;=0),"Net có OT nhưng chưa khai lương giờ OT; ","")&amp;IF('CHAM_CONG_THANG'!$V14&gt;$Z14,"Phần OT không miễn lớn hơn tiền OT; ","")&amp;IF(AND($F14="Net",ABS($AT14-$AC14-$AP14)&gt;1),"Lệch quy đổi Net; ","")&amp;IF(AND($BH14&gt;0,'DM_NHAN_SU'!$AD14=""),"Có phép năm nhưng đang tạm dùng 12 ngày; ","")&amp;IF(AND($G14="Sản phẩm",SUM($BH14:$BJ14)&gt;0,'DM_NHAN_SU'!$AH14&lt;=0),"Lương sản phẩm thiếu đơn giá ngày phép/lễ; ","")&amp;IF(AND($BL14&gt;=14,'CHAM_CONG_THANG'!$AA14&lt;&gt;"Có"),"Thai sản từ 14 ngày: file tự dừng đóng BH – kiểm tra hồ sơ; ","")&amp;IF(AND('DM_NHAN_SU'!$AA14="Có",'DM_NHAN_SU'!$AB14=""),"Đoàn viên chưa chọn cách tính đoàn phí; ","")&amp;IF(AND('DM_NHAN_SU'!$AB14="Nhập tay",'DM_NHAN_SU'!$AC14&gt;'THAM_SO'!$M$26),"Đoàn phí nhập tay vượt trần thông dụng; ","")&amp;IF('NGHI_PHEP'!$L14&lt;&gt;"","Phép: "&amp;'NGHI_PHEP'!$L14,"")&amp;IF('CHE_DO_BHXH'!$AA14&lt;&gt;"","BHXH: "&amp;'CHE_DO_BHXH'!$AA14,"")&amp;IF('THUONG_T13_TET'!$O14&lt;&gt;"","Thưởng: "&amp;'THUONG_T13_TET'!$O14,"")&amp;IF('QT_NGHI_VIEC'!$AF14&lt;&gt;"","Nghỉ việc: "&amp;'QT_NGHI_VIEC'!$AF14,"")&amp;IF($AX14&lt;0,"Thực lĩnh âm; ","")&amp;IF(OR('DM_NHAN_SU'!$F14&gt;'THAM_SO'!$B$7,AND('DM_NHAN_SU'!$G14&lt;&gt;"",'DM_NHAN_SU'!$G14&lt;'THAM_SO'!$B$6)),"Ngoài kỳ trả lương; ","")))</f>
        <v/>
      </c>
      <c r="BH14" s="232">
        <f>IF('DM_NHAN_SU'!$B14="","",'CHAM_CONG_THANG'!AR14)</f>
        <v/>
      </c>
      <c r="BI14" s="232">
        <f>IF('DM_NHAN_SU'!$B14="","",'CHAM_CONG_THANG'!AS14)</f>
        <v/>
      </c>
      <c r="BJ14" s="232">
        <f>IF('DM_NHAN_SU'!$B14="","",'CHAM_CONG_THANG'!AT14)</f>
        <v/>
      </c>
      <c r="BK14" s="232">
        <f>IF('DM_NHAN_SU'!$B14="","",'CHAM_CONG_THANG'!AU14)</f>
        <v/>
      </c>
      <c r="BL14" s="232">
        <f>IF('DM_NHAN_SU'!$B14="","",'CHAM_CONG_THANG'!AV14)</f>
        <v/>
      </c>
      <c r="BM14" s="232">
        <f>IF('DM_NHAN_SU'!$B14="","",'CHAM_CONG_THANG'!AW14)</f>
        <v/>
      </c>
      <c r="BN14" s="232">
        <f>IF('DM_NHAN_SU'!$B14="","",SUM($K14,$BH14:$BJ14))</f>
        <v/>
      </c>
      <c r="BO14" s="224">
        <f>IF('DM_NHAN_SU'!$B14="","",IF($B14="",0,IF($G14="Tháng",IF($I14&gt;0,'DM_NHAN_SU'!$K14*MIN($BH14+$BJ14,MAX($I14-$K14,0))/$I14,0),IF($G14="Ngày",'DM_NHAN_SU'!$K14*SUM($BH14:$BJ14),IF($G14="Giờ",'DM_NHAN_SU'!$K14*SUM($BH14:$BJ14)*$J14,IF($G14="Sản phẩm",'DM_NHAN_SU'!$AH14*SUM($BH14:$BJ14),0))))))</f>
        <v/>
      </c>
      <c r="BP14" s="224">
        <f>IF('DM_NHAN_SU'!$B14="","",IF('THUONG_T13_TET'!$L14="Có",'THUONG_T13_TET'!$I14,0))</f>
        <v/>
      </c>
      <c r="BQ14" s="224">
        <f>IF('DM_NHAN_SU'!$B14="","",IF('THUONG_T13_TET'!$L14="Có",SUM('THUONG_T13_TET'!$J14:$K14),0))</f>
        <v/>
      </c>
      <c r="BR14" s="224">
        <f>IF('DM_NHAN_SU'!$B14="","",'QT_NGHI_VIEC'!AC14)</f>
        <v/>
      </c>
      <c r="BS14" s="224">
        <f>IF('DM_NHAN_SU'!$B14="","",'QT_NGHI_VIEC'!AB14)</f>
        <v/>
      </c>
      <c r="BT14" s="224">
        <f>IF('DM_NHAN_SU'!$B14="","",IF('CHE_DO_BHXH'!$Z14="Có",'CHE_DO_BHXH'!$W14,0))</f>
        <v/>
      </c>
      <c r="BU14" s="224">
        <f>IF('DM_NHAN_SU'!$B14="","",IF('CHE_DO_BHXH'!$Y14="DN trả thay",$BT14,0))</f>
        <v/>
      </c>
      <c r="BV14" s="224">
        <f>IF('DM_NHAN_SU'!$B14="","",IF(OR('DM_NHAN_SU'!$AA14&lt;&gt;"Có",'CHE_DO_BHXH'!$O14&gt;=1,SUM('CHE_DO_BHXH'!$D14,'CHE_DO_BHXH'!$G14,'CHE_DO_BHXH'!$K14)&gt;=24,AND($I14&gt;0,$BM14&gt;=$I14)),0,IF('DM_NHAN_SU'!$AB14="Không",0,IF('DM_NHAN_SU'!$AB14="Nhập tay",'DM_NHAN_SU'!$AC14,IF('DM_NHAN_SU'!$AB14="Theo thực nhận",MIN(MAX($AT14-$AU14-$AV14-$AW14,0)*'THAM_SO'!$M$23,'THAM_SO'!$M$26),MIN($AE14*'THAM_SO'!$M$23,'THAM_SO'!$M$26))))))</f>
        <v/>
      </c>
      <c r="BW14" s="224">
        <f>IF('DM_NHAN_SU'!$B14="","",$AX14+$BU14)</f>
        <v/>
      </c>
    </row>
    <row r="15">
      <c r="A15" s="145">
        <f>IF('DM_NHAN_SU'!$B15="","",IF($B15="","",ROW()-5))</f>
        <v/>
      </c>
      <c r="B15" s="145">
        <f>IF('DM_NHAN_SU'!$B15="","",'DM_NHAN_SU'!B15)</f>
        <v/>
      </c>
      <c r="C15" s="145">
        <f>IF('DM_NHAN_SU'!$B15="","",'DM_NHAN_SU'!C15)</f>
        <v/>
      </c>
      <c r="D15" s="145">
        <f>IF('DM_NHAN_SU'!$B15="","",'DM_NHAN_SU'!D15)</f>
        <v/>
      </c>
      <c r="E15" s="145">
        <f>IF('DM_NHAN_SU'!$B15="","",'DM_NHAN_SU'!E15)</f>
        <v/>
      </c>
      <c r="F15" s="145">
        <f>IF('DM_NHAN_SU'!$B15="","",'DM_NHAN_SU'!I15)</f>
        <v/>
      </c>
      <c r="G15" s="145">
        <f>IF('DM_NHAN_SU'!$B15="","",'DM_NHAN_SU'!J15)</f>
        <v/>
      </c>
      <c r="H15" s="145">
        <f>IF('DM_NHAN_SU'!$B15="","",IF('DM_NHAN_SU'!H15="",'THAM_SO'!$B$11,'DM_NHAN_SU'!H15))</f>
        <v/>
      </c>
      <c r="I15" s="232">
        <f>IF('DM_NHAN_SU'!$B15="","",IF('DM_NHAN_SU'!L15&gt;0,'DM_NHAN_SU'!L15,'THAM_SO'!$B$9))</f>
        <v/>
      </c>
      <c r="J15" s="232">
        <f>IF('DM_NHAN_SU'!$B15="","",IF('DM_NHAN_SU'!M15&gt;0,'DM_NHAN_SU'!M15,'THAM_SO'!$B$10))</f>
        <v/>
      </c>
      <c r="K15" s="232">
        <f>IF('DM_NHAN_SU'!$B15="","",'CHAM_CONG_THANG'!AC15)</f>
        <v/>
      </c>
      <c r="L15" s="232">
        <f>IF('DM_NHAN_SU'!$B15="","",'CHAM_CONG_THANG'!AD15)</f>
        <v/>
      </c>
      <c r="M15" s="232">
        <f>IF('DM_NHAN_SU'!$B15="","",'CHAM_CONG_THANG'!AE15)</f>
        <v/>
      </c>
      <c r="N15" s="232">
        <f>IF('DM_NHAN_SU'!$B15="","",'CHAM_CONG_THANG'!N15)</f>
        <v/>
      </c>
      <c r="O15" s="224">
        <f>IF('DM_NHAN_SU'!$B15="","",IF($B15="","",IF($G15="Tháng",IF($I15&gt;0,'DM_NHAN_SU'!$K15*MIN($K15,$I15)/$I15,0),IF($G15="Ngày",'DM_NHAN_SU'!$K15*$K15,IF($G15="Giờ",'DM_NHAN_SU'!$K15*$L15,IF($G15="Sản phẩm",'DM_NHAN_SU'!$K15*$N15,0))))))</f>
        <v/>
      </c>
      <c r="P15" s="224">
        <f>IF('DM_NHAN_SU'!$B15="","",'CHAM_CONG_THANG'!O15)</f>
        <v/>
      </c>
      <c r="Q15" s="224">
        <f>IF('DM_NHAN_SU'!$B15="","",'CHAM_CONG_THANG'!P15)</f>
        <v/>
      </c>
      <c r="R15" s="224">
        <f>IF('DM_NHAN_SU'!$B15="","",'CHAM_CONG_THANG'!Q15)</f>
        <v/>
      </c>
      <c r="S15" s="224">
        <f>IF('DM_NHAN_SU'!$B15="","",'CHAM_CONG_THANG'!R15)</f>
        <v/>
      </c>
      <c r="T15" s="224">
        <f>IF('DM_NHAN_SU'!$B15="","",'CHAM_CONG_THANG'!S15)</f>
        <v/>
      </c>
      <c r="U15" s="224">
        <f>IF('DM_NHAN_SU'!$B15="","",MIN($T15,'THAM_SO'!$F$6))</f>
        <v/>
      </c>
      <c r="V15" s="224">
        <f>IF('DM_NHAN_SU'!$B15="","",MAX($T15-$U15,0))</f>
        <v/>
      </c>
      <c r="W15" s="224">
        <f>IF('DM_NHAN_SU'!$B15="","",'CHAM_CONG_THANG'!T15)</f>
        <v/>
      </c>
      <c r="X15" s="224">
        <f>IF('DM_NHAN_SU'!$B15="","",'CHAM_CONG_THANG'!U15)</f>
        <v/>
      </c>
      <c r="Y15" s="224">
        <f>IF('DM_NHAN_SU'!$B15="","",IF($B15="",0,IF('DM_NHAN_SU'!$Q15&gt;0,'DM_NHAN_SU'!$Q15,IF($G15="Tháng",IF($I15*$J15&gt;0,'DM_NHAN_SU'!$K15/($I15*$J15),0),IF($G15="Ngày",IF($J15&gt;0,'DM_NHAN_SU'!$K15/$J15,0),IF($G15="Giờ",'DM_NHAN_SU'!$K15,0))))))</f>
        <v/>
      </c>
      <c r="Z15" s="224">
        <f>IF('DM_NHAN_SU'!$B15="","",$Y15*($M15*'THAM_SO'!$C$22+'CHAM_CONG_THANG'!$AF15*'THAM_SO'!$C$19+'CHAM_CONG_THANG'!$AG15*'THAM_SO'!$C$20+'CHAM_CONG_THANG'!$AH15*'THAM_SO'!$C$21+'CHAM_CONG_THANG'!$AI15*'THAM_SO'!$C$23+'CHAM_CONG_THANG'!$AJ15*'THAM_SO'!$C$24+'CHAM_CONG_THANG'!$AK15*'THAM_SO'!$C$25))</f>
        <v/>
      </c>
      <c r="AA15" s="224">
        <f>IF('DM_NHAN_SU'!$B15="","",MAX(0,$Y15*($M15*IF('THAM_SO'!$C$22&gt;='THAM_SO'!$B$22,'THAM_SO'!$B$22,0)+'CHAM_CONG_THANG'!$AF15*IF('THAM_SO'!$C$19&gt;='THAM_SO'!$B$19,'THAM_SO'!$B$19,0)+'CHAM_CONG_THANG'!$AG15*IF('THAM_SO'!$C$20&gt;='THAM_SO'!$B$20,'THAM_SO'!$B$20,0)+'CHAM_CONG_THANG'!$AH15*IF('THAM_SO'!$C$21&gt;='THAM_SO'!$B$21,'THAM_SO'!$B$21,0)+'CHAM_CONG_THANG'!$AI15*IF('THAM_SO'!$C$23&gt;='THAM_SO'!$B$23,'THAM_SO'!$B$23,0)+'CHAM_CONG_THANG'!$AJ15*IF('THAM_SO'!$C$24&gt;='THAM_SO'!$B$24,'THAM_SO'!$B$24,0)+'CHAM_CONG_THANG'!$AK15*IF('THAM_SO'!$C$25&gt;='THAM_SO'!$B$25,'THAM_SO'!$B$25,0))-'CHAM_CONG_THANG'!$V15))</f>
        <v/>
      </c>
      <c r="AB15" s="224">
        <f>IF('DM_NHAN_SU'!$B15="","",MAX($Z15-$AA15,0))</f>
        <v/>
      </c>
      <c r="AC15" s="224">
        <f>IF('DM_NHAN_SU'!$B15="","",$O15+$P15+$Q15+$R15+$S15+$V15+$AB15+$BO15+$BP15+$BQ15+$BR15)</f>
        <v/>
      </c>
      <c r="AD15" s="224">
        <f>IF('DM_NHAN_SU'!$B15="","",'DM_NHAN_SU'!N15+'DM_NHAN_SU'!O15+'DM_NHAN_SU'!P15)</f>
        <v/>
      </c>
      <c r="AE15" s="224">
        <f>IF('DM_NHAN_SU'!$B15="","",IF(OR('DM_NHAN_SU'!$R15&lt;&gt;"Có",'CHAM_CONG_THANG'!$AA15="Có",$BL15&gt;=14,$AD15&lt;=0),0,MIN(MAX($AD15,'THAM_SO'!$M$6),'THAM_SO'!$M$7)))</f>
        <v/>
      </c>
      <c r="AF15" s="224">
        <f>IF('DM_NHAN_SU'!$B15="","",IF(OR('DM_NHAN_SU'!$S15&lt;&gt;"Có",'CHAM_CONG_THANG'!$AA15="Có",$BL15&gt;=14,$AD15&lt;=0),0,MIN(MAX($AD15,VLOOKUP($H15,'THAM_SO'!$L$17:$P$20,4,FALSE)),VLOOKUP($H15,'THAM_SO'!$L$17:$P$20,5,FALSE))))</f>
        <v/>
      </c>
      <c r="AG15" s="224">
        <f>IF('DM_NHAN_SU'!$B15="","",$AE15*'THAM_SO'!$M$8)</f>
        <v/>
      </c>
      <c r="AH15" s="224">
        <f>IF('DM_NHAN_SU'!$B15="","",$AE15*'THAM_SO'!$M$9)</f>
        <v/>
      </c>
      <c r="AI15" s="224">
        <f>IF('DM_NHAN_SU'!$B15="","",$AF15*'THAM_SO'!$M$10)</f>
        <v/>
      </c>
      <c r="AJ15" s="224">
        <f>IF('DM_NHAN_SU'!$B15="","",SUM($AG15:$AI15))</f>
        <v/>
      </c>
      <c r="AK15" s="224">
        <f>IF('DM_NHAN_SU'!$B15="","",IF($B15="",0,'THAM_SO'!$F$4))</f>
        <v/>
      </c>
      <c r="AL15" s="224">
        <f>IF('DM_NHAN_SU'!$B15="","",IF($B15="",0,'DM_NHAN_SU'!$T15*'THAM_SO'!$F$5))</f>
        <v/>
      </c>
      <c r="AM15" s="224">
        <f>IF('DM_NHAN_SU'!$B15="","",'CHAM_CONG_THANG'!W15)</f>
        <v/>
      </c>
      <c r="AN15" s="224">
        <f>IF('DM_NHAN_SU'!$B15="","",MAX($AC15-$AK15-$AL15-$AM15,0))</f>
        <v/>
      </c>
      <c r="AO15" s="224">
        <f>IF('DM_NHAN_SU'!$B15="","",IF($B15="","",IF($F15="Net",IF($AC15&lt;=$AK15+$AL15+$AM15,$AC15+$AJ15,$AJ15+$AK15+$AL15+$AM15+IF($AN15&lt;='THAM_SO'!$J$10,($AN15-'THAM_SO'!$I$10)/(1-'THAM_SO'!$H$10),IF($AN15&lt;='THAM_SO'!$J$11,($AN15-'THAM_SO'!$I$11)/(1-'THAM_SO'!$H$11),IF($AN15&lt;='THAM_SO'!$J$12,($AN15-'THAM_SO'!$I$12)/(1-'THAM_SO'!$H$12),IF($AN15&lt;='THAM_SO'!$J$13,($AN15-'THAM_SO'!$I$13)/(1-'THAM_SO'!$H$13),($AN15-'THAM_SO'!$I$14)/(1-'THAM_SO'!$H$14)))))),$AC15)))</f>
        <v/>
      </c>
      <c r="AP15" s="224">
        <f>IF('DM_NHAN_SU'!$B15="","",$U15+$W15+$X15+$AA15+$BS15)</f>
        <v/>
      </c>
      <c r="AQ15" s="224">
        <f>IF('DM_NHAN_SU'!$B15="","",MAX($AO15-$AJ15-$AK15-$AL15-$AM15,0))</f>
        <v/>
      </c>
      <c r="AR15" s="224">
        <f>IF('DM_NHAN_SU'!$B15="","",IF($AQ15&lt;=0,0,$AQ15*VLOOKUP($AQ15,'THAM_SO'!$F$10:$I$14,3,TRUE)-VLOOKUP($AQ15,'THAM_SO'!$F$10:$I$14,4,TRUE)))</f>
        <v/>
      </c>
      <c r="AS15" s="224">
        <f>IF('DM_NHAN_SU'!$B15="","",$AO15+$AP15)</f>
        <v/>
      </c>
      <c r="AT15" s="224">
        <f>IF('DM_NHAN_SU'!$B15="","",$AS15-$AJ15-$AR15)</f>
        <v/>
      </c>
      <c r="AU15" s="224">
        <f>IF('DM_NHAN_SU'!$B15="","",'CHAM_CONG_THANG'!X15)</f>
        <v/>
      </c>
      <c r="AV15" s="224">
        <f>IF('DM_NHAN_SU'!$B15="","",'CHAM_CONG_THANG'!Y15+'QT_NGHI_VIEC'!AD15)</f>
        <v/>
      </c>
      <c r="AW15" s="224">
        <f>IF('DM_NHAN_SU'!$B15="","",'CHAM_CONG_THANG'!Z15)</f>
        <v/>
      </c>
      <c r="AX15" s="224">
        <f>IF('DM_NHAN_SU'!$B15="","",$AT15-$AU15-$AV15-$AW15-$BV15)</f>
        <v/>
      </c>
      <c r="AY15" s="224">
        <f>IF('DM_NHAN_SU'!$B15="","",$AE15*'THAM_SO'!$M$11)</f>
        <v/>
      </c>
      <c r="AZ15" s="224">
        <f>IF('DM_NHAN_SU'!$B15="","",$AE15*'THAM_SO'!$M$12)</f>
        <v/>
      </c>
      <c r="BA15" s="224">
        <f>IF('DM_NHAN_SU'!$B15="","",$AF15*'THAM_SO'!$M$13)</f>
        <v/>
      </c>
      <c r="BB15" s="224">
        <f>IF('DM_NHAN_SU'!$B15="","",$AE15*'THAM_SO'!$M$14)</f>
        <v/>
      </c>
      <c r="BC15" s="224">
        <f>IF('DM_NHAN_SU'!$B15="","",SUM($AY15:$BB15))</f>
        <v/>
      </c>
      <c r="BD15" s="224">
        <f>IF('DM_NHAN_SU'!$B15="","",$AS15+$BC15)</f>
        <v/>
      </c>
      <c r="BE15" s="224">
        <f>IF('DM_NHAN_SU'!$B15="","",VLOOKUP($H15,'THAM_SO'!$L$17:$P$20,2,FALSE))</f>
        <v/>
      </c>
      <c r="BF15" s="224">
        <f>IF('DM_NHAN_SU'!$B15="","",VLOOKUP($H15,'THAM_SO'!$L$17:$P$20,3,FALSE))</f>
        <v/>
      </c>
      <c r="BG15" s="150">
        <f>IF('DM_NHAN_SU'!$B15="","",IF($B15="","",IF(COUNTIF('DM_NHAN_SU'!$B$6:$B$155,$B15)&gt;1,"Trùng mã NV; ","")&amp;IF(OR($F15="",$G15=""),"Thiếu loại/hình thức lương; ","")&amp;IF('CHAM_CONG_THANG'!$D15="","Chưa chọn nguồn công; ","")&amp;IF(AND('CHAM_CONG_THANG'!$D15="Theo ngày",COUNTIF('CHAM_CONG_NGAY'!$B$6:$B$4655,$B15)=0),"Chưa có chấm công ngày; ","")&amp;IF(OR($I15&lt;=0,$J15&lt;=0),"Thiếu công/giờ chuẩn; ","")&amp;IF(AND($G15="Tháng",'DM_NHAN_SU'!$K15&lt;$BE15),"Lương tháng dưới tối thiểu vùng; ","")&amp;IF(AND($G15="Ngày",'DM_NHAN_SU'!$K15/$J15&lt;$BF15),"Lương ngày quy đổi dưới tối thiểu giờ; ","")&amp;IF(AND($G15="Giờ",'DM_NHAN_SU'!$K15&lt;$BF15),"Lương giờ dưới tối thiểu vùng; ","")&amp;IF(AND($G15="Sản phẩm",$L15&gt;0,$O15/$L15&lt;$BF15),"Lương SP quy đổi dưới tối thiểu giờ; ","")&amp;IF(OR('THAM_SO'!$C$19&lt;'THAM_SO'!$B$19,'THAM_SO'!$C$20&lt;'THAM_SO'!$B$20,'THAM_SO'!$C$21&lt;'THAM_SO'!$B$21,'THAM_SO'!$C$22&lt;'THAM_SO'!$B$22,'THAM_SO'!$C$23&lt;'THAM_SO'!$B$23,'THAM_SO'!$C$24&lt;'THAM_SO'!$B$24,'THAM_SO'!$C$25&lt;'THAM_SO'!$B$25),"Hệ số OT/đêm DN thấp hơn luật; ","")&amp;IF(AND('DM_NHAN_SU'!$R15="Có",$AD15&lt;=0),"Thiếu căn cứ đóng BH; ","")&amp;IF(AND($AD15&gt;0,$AD15&lt;'THAM_SO'!$M$6),"Căn cứ BH dưới sàn – đã nâng sàn; ","")&amp;IF($AD15&gt;'THAM_SO'!$M$7,"Căn cứ BH vượt trần – đã giới hạn; ","")&amp;IF(AND($F15="Net",SUM('CHAM_CONG_THANG'!$AF15:$AK15)&gt;0,'DM_NHAN_SU'!$Q15&lt;=0),"Net có OT nhưng chưa khai lương giờ OT; ","")&amp;IF('CHAM_CONG_THANG'!$V15&gt;$Z15,"Phần OT không miễn lớn hơn tiền OT; ","")&amp;IF(AND($F15="Net",ABS($AT15-$AC15-$AP15)&gt;1),"Lệch quy đổi Net; ","")&amp;IF(AND($BH15&gt;0,'DM_NHAN_SU'!$AD15=""),"Có phép năm nhưng đang tạm dùng 12 ngày; ","")&amp;IF(AND($G15="Sản phẩm",SUM($BH15:$BJ15)&gt;0,'DM_NHAN_SU'!$AH15&lt;=0),"Lương sản phẩm thiếu đơn giá ngày phép/lễ; ","")&amp;IF(AND($BL15&gt;=14,'CHAM_CONG_THANG'!$AA15&lt;&gt;"Có"),"Thai sản từ 14 ngày: file tự dừng đóng BH – kiểm tra hồ sơ; ","")&amp;IF(AND('DM_NHAN_SU'!$AA15="Có",'DM_NHAN_SU'!$AB15=""),"Đoàn viên chưa chọn cách tính đoàn phí; ","")&amp;IF(AND('DM_NHAN_SU'!$AB15="Nhập tay",'DM_NHAN_SU'!$AC15&gt;'THAM_SO'!$M$26),"Đoàn phí nhập tay vượt trần thông dụng; ","")&amp;IF('NGHI_PHEP'!$L15&lt;&gt;"","Phép: "&amp;'NGHI_PHEP'!$L15,"")&amp;IF('CHE_DO_BHXH'!$AA15&lt;&gt;"","BHXH: "&amp;'CHE_DO_BHXH'!$AA15,"")&amp;IF('THUONG_T13_TET'!$O15&lt;&gt;"","Thưởng: "&amp;'THUONG_T13_TET'!$O15,"")&amp;IF('QT_NGHI_VIEC'!$AF15&lt;&gt;"","Nghỉ việc: "&amp;'QT_NGHI_VIEC'!$AF15,"")&amp;IF($AX15&lt;0,"Thực lĩnh âm; ","")&amp;IF(OR('DM_NHAN_SU'!$F15&gt;'THAM_SO'!$B$7,AND('DM_NHAN_SU'!$G15&lt;&gt;"",'DM_NHAN_SU'!$G15&lt;'THAM_SO'!$B$6)),"Ngoài kỳ trả lương; ","")))</f>
        <v/>
      </c>
      <c r="BH15" s="232">
        <f>IF('DM_NHAN_SU'!$B15="","",'CHAM_CONG_THANG'!AR15)</f>
        <v/>
      </c>
      <c r="BI15" s="232">
        <f>IF('DM_NHAN_SU'!$B15="","",'CHAM_CONG_THANG'!AS15)</f>
        <v/>
      </c>
      <c r="BJ15" s="232">
        <f>IF('DM_NHAN_SU'!$B15="","",'CHAM_CONG_THANG'!AT15)</f>
        <v/>
      </c>
      <c r="BK15" s="232">
        <f>IF('DM_NHAN_SU'!$B15="","",'CHAM_CONG_THANG'!AU15)</f>
        <v/>
      </c>
      <c r="BL15" s="232">
        <f>IF('DM_NHAN_SU'!$B15="","",'CHAM_CONG_THANG'!AV15)</f>
        <v/>
      </c>
      <c r="BM15" s="232">
        <f>IF('DM_NHAN_SU'!$B15="","",'CHAM_CONG_THANG'!AW15)</f>
        <v/>
      </c>
      <c r="BN15" s="232">
        <f>IF('DM_NHAN_SU'!$B15="","",SUM($K15,$BH15:$BJ15))</f>
        <v/>
      </c>
      <c r="BO15" s="224">
        <f>IF('DM_NHAN_SU'!$B15="","",IF($B15="",0,IF($G15="Tháng",IF($I15&gt;0,'DM_NHAN_SU'!$K15*MIN($BH15+$BJ15,MAX($I15-$K15,0))/$I15,0),IF($G15="Ngày",'DM_NHAN_SU'!$K15*SUM($BH15:$BJ15),IF($G15="Giờ",'DM_NHAN_SU'!$K15*SUM($BH15:$BJ15)*$J15,IF($G15="Sản phẩm",'DM_NHAN_SU'!$AH15*SUM($BH15:$BJ15),0))))))</f>
        <v/>
      </c>
      <c r="BP15" s="224">
        <f>IF('DM_NHAN_SU'!$B15="","",IF('THUONG_T13_TET'!$L15="Có",'THUONG_T13_TET'!$I15,0))</f>
        <v/>
      </c>
      <c r="BQ15" s="224">
        <f>IF('DM_NHAN_SU'!$B15="","",IF('THUONG_T13_TET'!$L15="Có",SUM('THUONG_T13_TET'!$J15:$K15),0))</f>
        <v/>
      </c>
      <c r="BR15" s="224">
        <f>IF('DM_NHAN_SU'!$B15="","",'QT_NGHI_VIEC'!AC15)</f>
        <v/>
      </c>
      <c r="BS15" s="224">
        <f>IF('DM_NHAN_SU'!$B15="","",'QT_NGHI_VIEC'!AB15)</f>
        <v/>
      </c>
      <c r="BT15" s="224">
        <f>IF('DM_NHAN_SU'!$B15="","",IF('CHE_DO_BHXH'!$Z15="Có",'CHE_DO_BHXH'!$W15,0))</f>
        <v/>
      </c>
      <c r="BU15" s="224">
        <f>IF('DM_NHAN_SU'!$B15="","",IF('CHE_DO_BHXH'!$Y15="DN trả thay",$BT15,0))</f>
        <v/>
      </c>
      <c r="BV15" s="224">
        <f>IF('DM_NHAN_SU'!$B15="","",IF(OR('DM_NHAN_SU'!$AA15&lt;&gt;"Có",'CHE_DO_BHXH'!$O15&gt;=1,SUM('CHE_DO_BHXH'!$D15,'CHE_DO_BHXH'!$G15,'CHE_DO_BHXH'!$K15)&gt;=24,AND($I15&gt;0,$BM15&gt;=$I15)),0,IF('DM_NHAN_SU'!$AB15="Không",0,IF('DM_NHAN_SU'!$AB15="Nhập tay",'DM_NHAN_SU'!$AC15,IF('DM_NHAN_SU'!$AB15="Theo thực nhận",MIN(MAX($AT15-$AU15-$AV15-$AW15,0)*'THAM_SO'!$M$23,'THAM_SO'!$M$26),MIN($AE15*'THAM_SO'!$M$23,'THAM_SO'!$M$26))))))</f>
        <v/>
      </c>
      <c r="BW15" s="224">
        <f>IF('DM_NHAN_SU'!$B15="","",$AX15+$BU15)</f>
        <v/>
      </c>
    </row>
    <row r="16">
      <c r="A16" s="145">
        <f>IF('DM_NHAN_SU'!$B16="","",IF($B16="","",ROW()-5))</f>
        <v/>
      </c>
      <c r="B16" s="145">
        <f>IF('DM_NHAN_SU'!$B16="","",'DM_NHAN_SU'!B16)</f>
        <v/>
      </c>
      <c r="C16" s="145">
        <f>IF('DM_NHAN_SU'!$B16="","",'DM_NHAN_SU'!C16)</f>
        <v/>
      </c>
      <c r="D16" s="145">
        <f>IF('DM_NHAN_SU'!$B16="","",'DM_NHAN_SU'!D16)</f>
        <v/>
      </c>
      <c r="E16" s="145">
        <f>IF('DM_NHAN_SU'!$B16="","",'DM_NHAN_SU'!E16)</f>
        <v/>
      </c>
      <c r="F16" s="145">
        <f>IF('DM_NHAN_SU'!$B16="","",'DM_NHAN_SU'!I16)</f>
        <v/>
      </c>
      <c r="G16" s="145">
        <f>IF('DM_NHAN_SU'!$B16="","",'DM_NHAN_SU'!J16)</f>
        <v/>
      </c>
      <c r="H16" s="145">
        <f>IF('DM_NHAN_SU'!$B16="","",IF('DM_NHAN_SU'!H16="",'THAM_SO'!$B$11,'DM_NHAN_SU'!H16))</f>
        <v/>
      </c>
      <c r="I16" s="232">
        <f>IF('DM_NHAN_SU'!$B16="","",IF('DM_NHAN_SU'!L16&gt;0,'DM_NHAN_SU'!L16,'THAM_SO'!$B$9))</f>
        <v/>
      </c>
      <c r="J16" s="232">
        <f>IF('DM_NHAN_SU'!$B16="","",IF('DM_NHAN_SU'!M16&gt;0,'DM_NHAN_SU'!M16,'THAM_SO'!$B$10))</f>
        <v/>
      </c>
      <c r="K16" s="232">
        <f>IF('DM_NHAN_SU'!$B16="","",'CHAM_CONG_THANG'!AC16)</f>
        <v/>
      </c>
      <c r="L16" s="232">
        <f>IF('DM_NHAN_SU'!$B16="","",'CHAM_CONG_THANG'!AD16)</f>
        <v/>
      </c>
      <c r="M16" s="232">
        <f>IF('DM_NHAN_SU'!$B16="","",'CHAM_CONG_THANG'!AE16)</f>
        <v/>
      </c>
      <c r="N16" s="232">
        <f>IF('DM_NHAN_SU'!$B16="","",'CHAM_CONG_THANG'!N16)</f>
        <v/>
      </c>
      <c r="O16" s="224">
        <f>IF('DM_NHAN_SU'!$B16="","",IF($B16="","",IF($G16="Tháng",IF($I16&gt;0,'DM_NHAN_SU'!$K16*MIN($K16,$I16)/$I16,0),IF($G16="Ngày",'DM_NHAN_SU'!$K16*$K16,IF($G16="Giờ",'DM_NHAN_SU'!$K16*$L16,IF($G16="Sản phẩm",'DM_NHAN_SU'!$K16*$N16,0))))))</f>
        <v/>
      </c>
      <c r="P16" s="224">
        <f>IF('DM_NHAN_SU'!$B16="","",'CHAM_CONG_THANG'!O16)</f>
        <v/>
      </c>
      <c r="Q16" s="224">
        <f>IF('DM_NHAN_SU'!$B16="","",'CHAM_CONG_THANG'!P16)</f>
        <v/>
      </c>
      <c r="R16" s="224">
        <f>IF('DM_NHAN_SU'!$B16="","",'CHAM_CONG_THANG'!Q16)</f>
        <v/>
      </c>
      <c r="S16" s="224">
        <f>IF('DM_NHAN_SU'!$B16="","",'CHAM_CONG_THANG'!R16)</f>
        <v/>
      </c>
      <c r="T16" s="224">
        <f>IF('DM_NHAN_SU'!$B16="","",'CHAM_CONG_THANG'!S16)</f>
        <v/>
      </c>
      <c r="U16" s="224">
        <f>IF('DM_NHAN_SU'!$B16="","",MIN($T16,'THAM_SO'!$F$6))</f>
        <v/>
      </c>
      <c r="V16" s="224">
        <f>IF('DM_NHAN_SU'!$B16="","",MAX($T16-$U16,0))</f>
        <v/>
      </c>
      <c r="W16" s="224">
        <f>IF('DM_NHAN_SU'!$B16="","",'CHAM_CONG_THANG'!T16)</f>
        <v/>
      </c>
      <c r="X16" s="224">
        <f>IF('DM_NHAN_SU'!$B16="","",'CHAM_CONG_THANG'!U16)</f>
        <v/>
      </c>
      <c r="Y16" s="224">
        <f>IF('DM_NHAN_SU'!$B16="","",IF($B16="",0,IF('DM_NHAN_SU'!$Q16&gt;0,'DM_NHAN_SU'!$Q16,IF($G16="Tháng",IF($I16*$J16&gt;0,'DM_NHAN_SU'!$K16/($I16*$J16),0),IF($G16="Ngày",IF($J16&gt;0,'DM_NHAN_SU'!$K16/$J16,0),IF($G16="Giờ",'DM_NHAN_SU'!$K16,0))))))</f>
        <v/>
      </c>
      <c r="Z16" s="224">
        <f>IF('DM_NHAN_SU'!$B16="","",$Y16*($M16*'THAM_SO'!$C$22+'CHAM_CONG_THANG'!$AF16*'THAM_SO'!$C$19+'CHAM_CONG_THANG'!$AG16*'THAM_SO'!$C$20+'CHAM_CONG_THANG'!$AH16*'THAM_SO'!$C$21+'CHAM_CONG_THANG'!$AI16*'THAM_SO'!$C$23+'CHAM_CONG_THANG'!$AJ16*'THAM_SO'!$C$24+'CHAM_CONG_THANG'!$AK16*'THAM_SO'!$C$25))</f>
        <v/>
      </c>
      <c r="AA16" s="224">
        <f>IF('DM_NHAN_SU'!$B16="","",MAX(0,$Y16*($M16*IF('THAM_SO'!$C$22&gt;='THAM_SO'!$B$22,'THAM_SO'!$B$22,0)+'CHAM_CONG_THANG'!$AF16*IF('THAM_SO'!$C$19&gt;='THAM_SO'!$B$19,'THAM_SO'!$B$19,0)+'CHAM_CONG_THANG'!$AG16*IF('THAM_SO'!$C$20&gt;='THAM_SO'!$B$20,'THAM_SO'!$B$20,0)+'CHAM_CONG_THANG'!$AH16*IF('THAM_SO'!$C$21&gt;='THAM_SO'!$B$21,'THAM_SO'!$B$21,0)+'CHAM_CONG_THANG'!$AI16*IF('THAM_SO'!$C$23&gt;='THAM_SO'!$B$23,'THAM_SO'!$B$23,0)+'CHAM_CONG_THANG'!$AJ16*IF('THAM_SO'!$C$24&gt;='THAM_SO'!$B$24,'THAM_SO'!$B$24,0)+'CHAM_CONG_THANG'!$AK16*IF('THAM_SO'!$C$25&gt;='THAM_SO'!$B$25,'THAM_SO'!$B$25,0))-'CHAM_CONG_THANG'!$V16))</f>
        <v/>
      </c>
      <c r="AB16" s="224">
        <f>IF('DM_NHAN_SU'!$B16="","",MAX($Z16-$AA16,0))</f>
        <v/>
      </c>
      <c r="AC16" s="224">
        <f>IF('DM_NHAN_SU'!$B16="","",$O16+$P16+$Q16+$R16+$S16+$V16+$AB16+$BO16+$BP16+$BQ16+$BR16)</f>
        <v/>
      </c>
      <c r="AD16" s="224">
        <f>IF('DM_NHAN_SU'!$B16="","",'DM_NHAN_SU'!N16+'DM_NHAN_SU'!O16+'DM_NHAN_SU'!P16)</f>
        <v/>
      </c>
      <c r="AE16" s="224">
        <f>IF('DM_NHAN_SU'!$B16="","",IF(OR('DM_NHAN_SU'!$R16&lt;&gt;"Có",'CHAM_CONG_THANG'!$AA16="Có",$BL16&gt;=14,$AD16&lt;=0),0,MIN(MAX($AD16,'THAM_SO'!$M$6),'THAM_SO'!$M$7)))</f>
        <v/>
      </c>
      <c r="AF16" s="224">
        <f>IF('DM_NHAN_SU'!$B16="","",IF(OR('DM_NHAN_SU'!$S16&lt;&gt;"Có",'CHAM_CONG_THANG'!$AA16="Có",$BL16&gt;=14,$AD16&lt;=0),0,MIN(MAX($AD16,VLOOKUP($H16,'THAM_SO'!$L$17:$P$20,4,FALSE)),VLOOKUP($H16,'THAM_SO'!$L$17:$P$20,5,FALSE))))</f>
        <v/>
      </c>
      <c r="AG16" s="224">
        <f>IF('DM_NHAN_SU'!$B16="","",$AE16*'THAM_SO'!$M$8)</f>
        <v/>
      </c>
      <c r="AH16" s="224">
        <f>IF('DM_NHAN_SU'!$B16="","",$AE16*'THAM_SO'!$M$9)</f>
        <v/>
      </c>
      <c r="AI16" s="224">
        <f>IF('DM_NHAN_SU'!$B16="","",$AF16*'THAM_SO'!$M$10)</f>
        <v/>
      </c>
      <c r="AJ16" s="224">
        <f>IF('DM_NHAN_SU'!$B16="","",SUM($AG16:$AI16))</f>
        <v/>
      </c>
      <c r="AK16" s="224">
        <f>IF('DM_NHAN_SU'!$B16="","",IF($B16="",0,'THAM_SO'!$F$4))</f>
        <v/>
      </c>
      <c r="AL16" s="224">
        <f>IF('DM_NHAN_SU'!$B16="","",IF($B16="",0,'DM_NHAN_SU'!$T16*'THAM_SO'!$F$5))</f>
        <v/>
      </c>
      <c r="AM16" s="224">
        <f>IF('DM_NHAN_SU'!$B16="","",'CHAM_CONG_THANG'!W16)</f>
        <v/>
      </c>
      <c r="AN16" s="224">
        <f>IF('DM_NHAN_SU'!$B16="","",MAX($AC16-$AK16-$AL16-$AM16,0))</f>
        <v/>
      </c>
      <c r="AO16" s="224">
        <f>IF('DM_NHAN_SU'!$B16="","",IF($B16="","",IF($F16="Net",IF($AC16&lt;=$AK16+$AL16+$AM16,$AC16+$AJ16,$AJ16+$AK16+$AL16+$AM16+IF($AN16&lt;='THAM_SO'!$J$10,($AN16-'THAM_SO'!$I$10)/(1-'THAM_SO'!$H$10),IF($AN16&lt;='THAM_SO'!$J$11,($AN16-'THAM_SO'!$I$11)/(1-'THAM_SO'!$H$11),IF($AN16&lt;='THAM_SO'!$J$12,($AN16-'THAM_SO'!$I$12)/(1-'THAM_SO'!$H$12),IF($AN16&lt;='THAM_SO'!$J$13,($AN16-'THAM_SO'!$I$13)/(1-'THAM_SO'!$H$13),($AN16-'THAM_SO'!$I$14)/(1-'THAM_SO'!$H$14)))))),$AC16)))</f>
        <v/>
      </c>
      <c r="AP16" s="224">
        <f>IF('DM_NHAN_SU'!$B16="","",$U16+$W16+$X16+$AA16+$BS16)</f>
        <v/>
      </c>
      <c r="AQ16" s="224">
        <f>IF('DM_NHAN_SU'!$B16="","",MAX($AO16-$AJ16-$AK16-$AL16-$AM16,0))</f>
        <v/>
      </c>
      <c r="AR16" s="224">
        <f>IF('DM_NHAN_SU'!$B16="","",IF($AQ16&lt;=0,0,$AQ16*VLOOKUP($AQ16,'THAM_SO'!$F$10:$I$14,3,TRUE)-VLOOKUP($AQ16,'THAM_SO'!$F$10:$I$14,4,TRUE)))</f>
        <v/>
      </c>
      <c r="AS16" s="224">
        <f>IF('DM_NHAN_SU'!$B16="","",$AO16+$AP16)</f>
        <v/>
      </c>
      <c r="AT16" s="224">
        <f>IF('DM_NHAN_SU'!$B16="","",$AS16-$AJ16-$AR16)</f>
        <v/>
      </c>
      <c r="AU16" s="224">
        <f>IF('DM_NHAN_SU'!$B16="","",'CHAM_CONG_THANG'!X16)</f>
        <v/>
      </c>
      <c r="AV16" s="224">
        <f>IF('DM_NHAN_SU'!$B16="","",'CHAM_CONG_THANG'!Y16+'QT_NGHI_VIEC'!AD16)</f>
        <v/>
      </c>
      <c r="AW16" s="224">
        <f>IF('DM_NHAN_SU'!$B16="","",'CHAM_CONG_THANG'!Z16)</f>
        <v/>
      </c>
      <c r="AX16" s="224">
        <f>IF('DM_NHAN_SU'!$B16="","",$AT16-$AU16-$AV16-$AW16-$BV16)</f>
        <v/>
      </c>
      <c r="AY16" s="224">
        <f>IF('DM_NHAN_SU'!$B16="","",$AE16*'THAM_SO'!$M$11)</f>
        <v/>
      </c>
      <c r="AZ16" s="224">
        <f>IF('DM_NHAN_SU'!$B16="","",$AE16*'THAM_SO'!$M$12)</f>
        <v/>
      </c>
      <c r="BA16" s="224">
        <f>IF('DM_NHAN_SU'!$B16="","",$AF16*'THAM_SO'!$M$13)</f>
        <v/>
      </c>
      <c r="BB16" s="224">
        <f>IF('DM_NHAN_SU'!$B16="","",$AE16*'THAM_SO'!$M$14)</f>
        <v/>
      </c>
      <c r="BC16" s="224">
        <f>IF('DM_NHAN_SU'!$B16="","",SUM($AY16:$BB16))</f>
        <v/>
      </c>
      <c r="BD16" s="224">
        <f>IF('DM_NHAN_SU'!$B16="","",$AS16+$BC16)</f>
        <v/>
      </c>
      <c r="BE16" s="224">
        <f>IF('DM_NHAN_SU'!$B16="","",VLOOKUP($H16,'THAM_SO'!$L$17:$P$20,2,FALSE))</f>
        <v/>
      </c>
      <c r="BF16" s="224">
        <f>IF('DM_NHAN_SU'!$B16="","",VLOOKUP($H16,'THAM_SO'!$L$17:$P$20,3,FALSE))</f>
        <v/>
      </c>
      <c r="BG16" s="150">
        <f>IF('DM_NHAN_SU'!$B16="","",IF($B16="","",IF(COUNTIF('DM_NHAN_SU'!$B$6:$B$155,$B16)&gt;1,"Trùng mã NV; ","")&amp;IF(OR($F16="",$G16=""),"Thiếu loại/hình thức lương; ","")&amp;IF('CHAM_CONG_THANG'!$D16="","Chưa chọn nguồn công; ","")&amp;IF(AND('CHAM_CONG_THANG'!$D16="Theo ngày",COUNTIF('CHAM_CONG_NGAY'!$B$6:$B$4655,$B16)=0),"Chưa có chấm công ngày; ","")&amp;IF(OR($I16&lt;=0,$J16&lt;=0),"Thiếu công/giờ chuẩn; ","")&amp;IF(AND($G16="Tháng",'DM_NHAN_SU'!$K16&lt;$BE16),"Lương tháng dưới tối thiểu vùng; ","")&amp;IF(AND($G16="Ngày",'DM_NHAN_SU'!$K16/$J16&lt;$BF16),"Lương ngày quy đổi dưới tối thiểu giờ; ","")&amp;IF(AND($G16="Giờ",'DM_NHAN_SU'!$K16&lt;$BF16),"Lương giờ dưới tối thiểu vùng; ","")&amp;IF(AND($G16="Sản phẩm",$L16&gt;0,$O16/$L16&lt;$BF16),"Lương SP quy đổi dưới tối thiểu giờ; ","")&amp;IF(OR('THAM_SO'!$C$19&lt;'THAM_SO'!$B$19,'THAM_SO'!$C$20&lt;'THAM_SO'!$B$20,'THAM_SO'!$C$21&lt;'THAM_SO'!$B$21,'THAM_SO'!$C$22&lt;'THAM_SO'!$B$22,'THAM_SO'!$C$23&lt;'THAM_SO'!$B$23,'THAM_SO'!$C$24&lt;'THAM_SO'!$B$24,'THAM_SO'!$C$25&lt;'THAM_SO'!$B$25),"Hệ số OT/đêm DN thấp hơn luật; ","")&amp;IF(AND('DM_NHAN_SU'!$R16="Có",$AD16&lt;=0),"Thiếu căn cứ đóng BH; ","")&amp;IF(AND($AD16&gt;0,$AD16&lt;'THAM_SO'!$M$6),"Căn cứ BH dưới sàn – đã nâng sàn; ","")&amp;IF($AD16&gt;'THAM_SO'!$M$7,"Căn cứ BH vượt trần – đã giới hạn; ","")&amp;IF(AND($F16="Net",SUM('CHAM_CONG_THANG'!$AF16:$AK16)&gt;0,'DM_NHAN_SU'!$Q16&lt;=0),"Net có OT nhưng chưa khai lương giờ OT; ","")&amp;IF('CHAM_CONG_THANG'!$V16&gt;$Z16,"Phần OT không miễn lớn hơn tiền OT; ","")&amp;IF(AND($F16="Net",ABS($AT16-$AC16-$AP16)&gt;1),"Lệch quy đổi Net; ","")&amp;IF(AND($BH16&gt;0,'DM_NHAN_SU'!$AD16=""),"Có phép năm nhưng đang tạm dùng 12 ngày; ","")&amp;IF(AND($G16="Sản phẩm",SUM($BH16:$BJ16)&gt;0,'DM_NHAN_SU'!$AH16&lt;=0),"Lương sản phẩm thiếu đơn giá ngày phép/lễ; ","")&amp;IF(AND($BL16&gt;=14,'CHAM_CONG_THANG'!$AA16&lt;&gt;"Có"),"Thai sản từ 14 ngày: file tự dừng đóng BH – kiểm tra hồ sơ; ","")&amp;IF(AND('DM_NHAN_SU'!$AA16="Có",'DM_NHAN_SU'!$AB16=""),"Đoàn viên chưa chọn cách tính đoàn phí; ","")&amp;IF(AND('DM_NHAN_SU'!$AB16="Nhập tay",'DM_NHAN_SU'!$AC16&gt;'THAM_SO'!$M$26),"Đoàn phí nhập tay vượt trần thông dụng; ","")&amp;IF('NGHI_PHEP'!$L16&lt;&gt;"","Phép: "&amp;'NGHI_PHEP'!$L16,"")&amp;IF('CHE_DO_BHXH'!$AA16&lt;&gt;"","BHXH: "&amp;'CHE_DO_BHXH'!$AA16,"")&amp;IF('THUONG_T13_TET'!$O16&lt;&gt;"","Thưởng: "&amp;'THUONG_T13_TET'!$O16,"")&amp;IF('QT_NGHI_VIEC'!$AF16&lt;&gt;"","Nghỉ việc: "&amp;'QT_NGHI_VIEC'!$AF16,"")&amp;IF($AX16&lt;0,"Thực lĩnh âm; ","")&amp;IF(OR('DM_NHAN_SU'!$F16&gt;'THAM_SO'!$B$7,AND('DM_NHAN_SU'!$G16&lt;&gt;"",'DM_NHAN_SU'!$G16&lt;'THAM_SO'!$B$6)),"Ngoài kỳ trả lương; ","")))</f>
        <v/>
      </c>
      <c r="BH16" s="232">
        <f>IF('DM_NHAN_SU'!$B16="","",'CHAM_CONG_THANG'!AR16)</f>
        <v/>
      </c>
      <c r="BI16" s="232">
        <f>IF('DM_NHAN_SU'!$B16="","",'CHAM_CONG_THANG'!AS16)</f>
        <v/>
      </c>
      <c r="BJ16" s="232">
        <f>IF('DM_NHAN_SU'!$B16="","",'CHAM_CONG_THANG'!AT16)</f>
        <v/>
      </c>
      <c r="BK16" s="232">
        <f>IF('DM_NHAN_SU'!$B16="","",'CHAM_CONG_THANG'!AU16)</f>
        <v/>
      </c>
      <c r="BL16" s="232">
        <f>IF('DM_NHAN_SU'!$B16="","",'CHAM_CONG_THANG'!AV16)</f>
        <v/>
      </c>
      <c r="BM16" s="232">
        <f>IF('DM_NHAN_SU'!$B16="","",'CHAM_CONG_THANG'!AW16)</f>
        <v/>
      </c>
      <c r="BN16" s="232">
        <f>IF('DM_NHAN_SU'!$B16="","",SUM($K16,$BH16:$BJ16))</f>
        <v/>
      </c>
      <c r="BO16" s="224">
        <f>IF('DM_NHAN_SU'!$B16="","",IF($B16="",0,IF($G16="Tháng",IF($I16&gt;0,'DM_NHAN_SU'!$K16*MIN($BH16+$BJ16,MAX($I16-$K16,0))/$I16,0),IF($G16="Ngày",'DM_NHAN_SU'!$K16*SUM($BH16:$BJ16),IF($G16="Giờ",'DM_NHAN_SU'!$K16*SUM($BH16:$BJ16)*$J16,IF($G16="Sản phẩm",'DM_NHAN_SU'!$AH16*SUM($BH16:$BJ16),0))))))</f>
        <v/>
      </c>
      <c r="BP16" s="224">
        <f>IF('DM_NHAN_SU'!$B16="","",IF('THUONG_T13_TET'!$L16="Có",'THUONG_T13_TET'!$I16,0))</f>
        <v/>
      </c>
      <c r="BQ16" s="224">
        <f>IF('DM_NHAN_SU'!$B16="","",IF('THUONG_T13_TET'!$L16="Có",SUM('THUONG_T13_TET'!$J16:$K16),0))</f>
        <v/>
      </c>
      <c r="BR16" s="224">
        <f>IF('DM_NHAN_SU'!$B16="","",'QT_NGHI_VIEC'!AC16)</f>
        <v/>
      </c>
      <c r="BS16" s="224">
        <f>IF('DM_NHAN_SU'!$B16="","",'QT_NGHI_VIEC'!AB16)</f>
        <v/>
      </c>
      <c r="BT16" s="224">
        <f>IF('DM_NHAN_SU'!$B16="","",IF('CHE_DO_BHXH'!$Z16="Có",'CHE_DO_BHXH'!$W16,0))</f>
        <v/>
      </c>
      <c r="BU16" s="224">
        <f>IF('DM_NHAN_SU'!$B16="","",IF('CHE_DO_BHXH'!$Y16="DN trả thay",$BT16,0))</f>
        <v/>
      </c>
      <c r="BV16" s="224">
        <f>IF('DM_NHAN_SU'!$B16="","",IF(OR('DM_NHAN_SU'!$AA16&lt;&gt;"Có",'CHE_DO_BHXH'!$O16&gt;=1,SUM('CHE_DO_BHXH'!$D16,'CHE_DO_BHXH'!$G16,'CHE_DO_BHXH'!$K16)&gt;=24,AND($I16&gt;0,$BM16&gt;=$I16)),0,IF('DM_NHAN_SU'!$AB16="Không",0,IF('DM_NHAN_SU'!$AB16="Nhập tay",'DM_NHAN_SU'!$AC16,IF('DM_NHAN_SU'!$AB16="Theo thực nhận",MIN(MAX($AT16-$AU16-$AV16-$AW16,0)*'THAM_SO'!$M$23,'THAM_SO'!$M$26),MIN($AE16*'THAM_SO'!$M$23,'THAM_SO'!$M$26))))))</f>
        <v/>
      </c>
      <c r="BW16" s="224">
        <f>IF('DM_NHAN_SU'!$B16="","",$AX16+$BU16)</f>
        <v/>
      </c>
    </row>
    <row r="17">
      <c r="A17" s="145">
        <f>IF('DM_NHAN_SU'!$B17="","",IF($B17="","",ROW()-5))</f>
        <v/>
      </c>
      <c r="B17" s="145">
        <f>IF('DM_NHAN_SU'!$B17="","",'DM_NHAN_SU'!B17)</f>
        <v/>
      </c>
      <c r="C17" s="145">
        <f>IF('DM_NHAN_SU'!$B17="","",'DM_NHAN_SU'!C17)</f>
        <v/>
      </c>
      <c r="D17" s="145">
        <f>IF('DM_NHAN_SU'!$B17="","",'DM_NHAN_SU'!D17)</f>
        <v/>
      </c>
      <c r="E17" s="145">
        <f>IF('DM_NHAN_SU'!$B17="","",'DM_NHAN_SU'!E17)</f>
        <v/>
      </c>
      <c r="F17" s="145">
        <f>IF('DM_NHAN_SU'!$B17="","",'DM_NHAN_SU'!I17)</f>
        <v/>
      </c>
      <c r="G17" s="145">
        <f>IF('DM_NHAN_SU'!$B17="","",'DM_NHAN_SU'!J17)</f>
        <v/>
      </c>
      <c r="H17" s="145">
        <f>IF('DM_NHAN_SU'!$B17="","",IF('DM_NHAN_SU'!H17="",'THAM_SO'!$B$11,'DM_NHAN_SU'!H17))</f>
        <v/>
      </c>
      <c r="I17" s="232">
        <f>IF('DM_NHAN_SU'!$B17="","",IF('DM_NHAN_SU'!L17&gt;0,'DM_NHAN_SU'!L17,'THAM_SO'!$B$9))</f>
        <v/>
      </c>
      <c r="J17" s="232">
        <f>IF('DM_NHAN_SU'!$B17="","",IF('DM_NHAN_SU'!M17&gt;0,'DM_NHAN_SU'!M17,'THAM_SO'!$B$10))</f>
        <v/>
      </c>
      <c r="K17" s="232">
        <f>IF('DM_NHAN_SU'!$B17="","",'CHAM_CONG_THANG'!AC17)</f>
        <v/>
      </c>
      <c r="L17" s="232">
        <f>IF('DM_NHAN_SU'!$B17="","",'CHAM_CONG_THANG'!AD17)</f>
        <v/>
      </c>
      <c r="M17" s="232">
        <f>IF('DM_NHAN_SU'!$B17="","",'CHAM_CONG_THANG'!AE17)</f>
        <v/>
      </c>
      <c r="N17" s="232">
        <f>IF('DM_NHAN_SU'!$B17="","",'CHAM_CONG_THANG'!N17)</f>
        <v/>
      </c>
      <c r="O17" s="224">
        <f>IF('DM_NHAN_SU'!$B17="","",IF($B17="","",IF($G17="Tháng",IF($I17&gt;0,'DM_NHAN_SU'!$K17*MIN($K17,$I17)/$I17,0),IF($G17="Ngày",'DM_NHAN_SU'!$K17*$K17,IF($G17="Giờ",'DM_NHAN_SU'!$K17*$L17,IF($G17="Sản phẩm",'DM_NHAN_SU'!$K17*$N17,0))))))</f>
        <v/>
      </c>
      <c r="P17" s="224">
        <f>IF('DM_NHAN_SU'!$B17="","",'CHAM_CONG_THANG'!O17)</f>
        <v/>
      </c>
      <c r="Q17" s="224">
        <f>IF('DM_NHAN_SU'!$B17="","",'CHAM_CONG_THANG'!P17)</f>
        <v/>
      </c>
      <c r="R17" s="224">
        <f>IF('DM_NHAN_SU'!$B17="","",'CHAM_CONG_THANG'!Q17)</f>
        <v/>
      </c>
      <c r="S17" s="224">
        <f>IF('DM_NHAN_SU'!$B17="","",'CHAM_CONG_THANG'!R17)</f>
        <v/>
      </c>
      <c r="T17" s="224">
        <f>IF('DM_NHAN_SU'!$B17="","",'CHAM_CONG_THANG'!S17)</f>
        <v/>
      </c>
      <c r="U17" s="224">
        <f>IF('DM_NHAN_SU'!$B17="","",MIN($T17,'THAM_SO'!$F$6))</f>
        <v/>
      </c>
      <c r="V17" s="224">
        <f>IF('DM_NHAN_SU'!$B17="","",MAX($T17-$U17,0))</f>
        <v/>
      </c>
      <c r="W17" s="224">
        <f>IF('DM_NHAN_SU'!$B17="","",'CHAM_CONG_THANG'!T17)</f>
        <v/>
      </c>
      <c r="X17" s="224">
        <f>IF('DM_NHAN_SU'!$B17="","",'CHAM_CONG_THANG'!U17)</f>
        <v/>
      </c>
      <c r="Y17" s="224">
        <f>IF('DM_NHAN_SU'!$B17="","",IF($B17="",0,IF('DM_NHAN_SU'!$Q17&gt;0,'DM_NHAN_SU'!$Q17,IF($G17="Tháng",IF($I17*$J17&gt;0,'DM_NHAN_SU'!$K17/($I17*$J17),0),IF($G17="Ngày",IF($J17&gt;0,'DM_NHAN_SU'!$K17/$J17,0),IF($G17="Giờ",'DM_NHAN_SU'!$K17,0))))))</f>
        <v/>
      </c>
      <c r="Z17" s="224">
        <f>IF('DM_NHAN_SU'!$B17="","",$Y17*($M17*'THAM_SO'!$C$22+'CHAM_CONG_THANG'!$AF17*'THAM_SO'!$C$19+'CHAM_CONG_THANG'!$AG17*'THAM_SO'!$C$20+'CHAM_CONG_THANG'!$AH17*'THAM_SO'!$C$21+'CHAM_CONG_THANG'!$AI17*'THAM_SO'!$C$23+'CHAM_CONG_THANG'!$AJ17*'THAM_SO'!$C$24+'CHAM_CONG_THANG'!$AK17*'THAM_SO'!$C$25))</f>
        <v/>
      </c>
      <c r="AA17" s="224">
        <f>IF('DM_NHAN_SU'!$B17="","",MAX(0,$Y17*($M17*IF('THAM_SO'!$C$22&gt;='THAM_SO'!$B$22,'THAM_SO'!$B$22,0)+'CHAM_CONG_THANG'!$AF17*IF('THAM_SO'!$C$19&gt;='THAM_SO'!$B$19,'THAM_SO'!$B$19,0)+'CHAM_CONG_THANG'!$AG17*IF('THAM_SO'!$C$20&gt;='THAM_SO'!$B$20,'THAM_SO'!$B$20,0)+'CHAM_CONG_THANG'!$AH17*IF('THAM_SO'!$C$21&gt;='THAM_SO'!$B$21,'THAM_SO'!$B$21,0)+'CHAM_CONG_THANG'!$AI17*IF('THAM_SO'!$C$23&gt;='THAM_SO'!$B$23,'THAM_SO'!$B$23,0)+'CHAM_CONG_THANG'!$AJ17*IF('THAM_SO'!$C$24&gt;='THAM_SO'!$B$24,'THAM_SO'!$B$24,0)+'CHAM_CONG_THANG'!$AK17*IF('THAM_SO'!$C$25&gt;='THAM_SO'!$B$25,'THAM_SO'!$B$25,0))-'CHAM_CONG_THANG'!$V17))</f>
        <v/>
      </c>
      <c r="AB17" s="224">
        <f>IF('DM_NHAN_SU'!$B17="","",MAX($Z17-$AA17,0))</f>
        <v/>
      </c>
      <c r="AC17" s="224">
        <f>IF('DM_NHAN_SU'!$B17="","",$O17+$P17+$Q17+$R17+$S17+$V17+$AB17+$BO17+$BP17+$BQ17+$BR17)</f>
        <v/>
      </c>
      <c r="AD17" s="224">
        <f>IF('DM_NHAN_SU'!$B17="","",'DM_NHAN_SU'!N17+'DM_NHAN_SU'!O17+'DM_NHAN_SU'!P17)</f>
        <v/>
      </c>
      <c r="AE17" s="224">
        <f>IF('DM_NHAN_SU'!$B17="","",IF(OR('DM_NHAN_SU'!$R17&lt;&gt;"Có",'CHAM_CONG_THANG'!$AA17="Có",$BL17&gt;=14,$AD17&lt;=0),0,MIN(MAX($AD17,'THAM_SO'!$M$6),'THAM_SO'!$M$7)))</f>
        <v/>
      </c>
      <c r="AF17" s="224">
        <f>IF('DM_NHAN_SU'!$B17="","",IF(OR('DM_NHAN_SU'!$S17&lt;&gt;"Có",'CHAM_CONG_THANG'!$AA17="Có",$BL17&gt;=14,$AD17&lt;=0),0,MIN(MAX($AD17,VLOOKUP($H17,'THAM_SO'!$L$17:$P$20,4,FALSE)),VLOOKUP($H17,'THAM_SO'!$L$17:$P$20,5,FALSE))))</f>
        <v/>
      </c>
      <c r="AG17" s="224">
        <f>IF('DM_NHAN_SU'!$B17="","",$AE17*'THAM_SO'!$M$8)</f>
        <v/>
      </c>
      <c r="AH17" s="224">
        <f>IF('DM_NHAN_SU'!$B17="","",$AE17*'THAM_SO'!$M$9)</f>
        <v/>
      </c>
      <c r="AI17" s="224">
        <f>IF('DM_NHAN_SU'!$B17="","",$AF17*'THAM_SO'!$M$10)</f>
        <v/>
      </c>
      <c r="AJ17" s="224">
        <f>IF('DM_NHAN_SU'!$B17="","",SUM($AG17:$AI17))</f>
        <v/>
      </c>
      <c r="AK17" s="224">
        <f>IF('DM_NHAN_SU'!$B17="","",IF($B17="",0,'THAM_SO'!$F$4))</f>
        <v/>
      </c>
      <c r="AL17" s="224">
        <f>IF('DM_NHAN_SU'!$B17="","",IF($B17="",0,'DM_NHAN_SU'!$T17*'THAM_SO'!$F$5))</f>
        <v/>
      </c>
      <c r="AM17" s="224">
        <f>IF('DM_NHAN_SU'!$B17="","",'CHAM_CONG_THANG'!W17)</f>
        <v/>
      </c>
      <c r="AN17" s="224">
        <f>IF('DM_NHAN_SU'!$B17="","",MAX($AC17-$AK17-$AL17-$AM17,0))</f>
        <v/>
      </c>
      <c r="AO17" s="224">
        <f>IF('DM_NHAN_SU'!$B17="","",IF($B17="","",IF($F17="Net",IF($AC17&lt;=$AK17+$AL17+$AM17,$AC17+$AJ17,$AJ17+$AK17+$AL17+$AM17+IF($AN17&lt;='THAM_SO'!$J$10,($AN17-'THAM_SO'!$I$10)/(1-'THAM_SO'!$H$10),IF($AN17&lt;='THAM_SO'!$J$11,($AN17-'THAM_SO'!$I$11)/(1-'THAM_SO'!$H$11),IF($AN17&lt;='THAM_SO'!$J$12,($AN17-'THAM_SO'!$I$12)/(1-'THAM_SO'!$H$12),IF($AN17&lt;='THAM_SO'!$J$13,($AN17-'THAM_SO'!$I$13)/(1-'THAM_SO'!$H$13),($AN17-'THAM_SO'!$I$14)/(1-'THAM_SO'!$H$14)))))),$AC17)))</f>
        <v/>
      </c>
      <c r="AP17" s="224">
        <f>IF('DM_NHAN_SU'!$B17="","",$U17+$W17+$X17+$AA17+$BS17)</f>
        <v/>
      </c>
      <c r="AQ17" s="224">
        <f>IF('DM_NHAN_SU'!$B17="","",MAX($AO17-$AJ17-$AK17-$AL17-$AM17,0))</f>
        <v/>
      </c>
      <c r="AR17" s="224">
        <f>IF('DM_NHAN_SU'!$B17="","",IF($AQ17&lt;=0,0,$AQ17*VLOOKUP($AQ17,'THAM_SO'!$F$10:$I$14,3,TRUE)-VLOOKUP($AQ17,'THAM_SO'!$F$10:$I$14,4,TRUE)))</f>
        <v/>
      </c>
      <c r="AS17" s="224">
        <f>IF('DM_NHAN_SU'!$B17="","",$AO17+$AP17)</f>
        <v/>
      </c>
      <c r="AT17" s="224">
        <f>IF('DM_NHAN_SU'!$B17="","",$AS17-$AJ17-$AR17)</f>
        <v/>
      </c>
      <c r="AU17" s="224">
        <f>IF('DM_NHAN_SU'!$B17="","",'CHAM_CONG_THANG'!X17)</f>
        <v/>
      </c>
      <c r="AV17" s="224">
        <f>IF('DM_NHAN_SU'!$B17="","",'CHAM_CONG_THANG'!Y17+'QT_NGHI_VIEC'!AD17)</f>
        <v/>
      </c>
      <c r="AW17" s="224">
        <f>IF('DM_NHAN_SU'!$B17="","",'CHAM_CONG_THANG'!Z17)</f>
        <v/>
      </c>
      <c r="AX17" s="224">
        <f>IF('DM_NHAN_SU'!$B17="","",$AT17-$AU17-$AV17-$AW17-$BV17)</f>
        <v/>
      </c>
      <c r="AY17" s="224">
        <f>IF('DM_NHAN_SU'!$B17="","",$AE17*'THAM_SO'!$M$11)</f>
        <v/>
      </c>
      <c r="AZ17" s="224">
        <f>IF('DM_NHAN_SU'!$B17="","",$AE17*'THAM_SO'!$M$12)</f>
        <v/>
      </c>
      <c r="BA17" s="224">
        <f>IF('DM_NHAN_SU'!$B17="","",$AF17*'THAM_SO'!$M$13)</f>
        <v/>
      </c>
      <c r="BB17" s="224">
        <f>IF('DM_NHAN_SU'!$B17="","",$AE17*'THAM_SO'!$M$14)</f>
        <v/>
      </c>
      <c r="BC17" s="224">
        <f>IF('DM_NHAN_SU'!$B17="","",SUM($AY17:$BB17))</f>
        <v/>
      </c>
      <c r="BD17" s="224">
        <f>IF('DM_NHAN_SU'!$B17="","",$AS17+$BC17)</f>
        <v/>
      </c>
      <c r="BE17" s="224">
        <f>IF('DM_NHAN_SU'!$B17="","",VLOOKUP($H17,'THAM_SO'!$L$17:$P$20,2,FALSE))</f>
        <v/>
      </c>
      <c r="BF17" s="224">
        <f>IF('DM_NHAN_SU'!$B17="","",VLOOKUP($H17,'THAM_SO'!$L$17:$P$20,3,FALSE))</f>
        <v/>
      </c>
      <c r="BG17" s="150">
        <f>IF('DM_NHAN_SU'!$B17="","",IF($B17="","",IF(COUNTIF('DM_NHAN_SU'!$B$6:$B$155,$B17)&gt;1,"Trùng mã NV; ","")&amp;IF(OR($F17="",$G17=""),"Thiếu loại/hình thức lương; ","")&amp;IF('CHAM_CONG_THANG'!$D17="","Chưa chọn nguồn công; ","")&amp;IF(AND('CHAM_CONG_THANG'!$D17="Theo ngày",COUNTIF('CHAM_CONG_NGAY'!$B$6:$B$4655,$B17)=0),"Chưa có chấm công ngày; ","")&amp;IF(OR($I17&lt;=0,$J17&lt;=0),"Thiếu công/giờ chuẩn; ","")&amp;IF(AND($G17="Tháng",'DM_NHAN_SU'!$K17&lt;$BE17),"Lương tháng dưới tối thiểu vùng; ","")&amp;IF(AND($G17="Ngày",'DM_NHAN_SU'!$K17/$J17&lt;$BF17),"Lương ngày quy đổi dưới tối thiểu giờ; ","")&amp;IF(AND($G17="Giờ",'DM_NHAN_SU'!$K17&lt;$BF17),"Lương giờ dưới tối thiểu vùng; ","")&amp;IF(AND($G17="Sản phẩm",$L17&gt;0,$O17/$L17&lt;$BF17),"Lương SP quy đổi dưới tối thiểu giờ; ","")&amp;IF(OR('THAM_SO'!$C$19&lt;'THAM_SO'!$B$19,'THAM_SO'!$C$20&lt;'THAM_SO'!$B$20,'THAM_SO'!$C$21&lt;'THAM_SO'!$B$21,'THAM_SO'!$C$22&lt;'THAM_SO'!$B$22,'THAM_SO'!$C$23&lt;'THAM_SO'!$B$23,'THAM_SO'!$C$24&lt;'THAM_SO'!$B$24,'THAM_SO'!$C$25&lt;'THAM_SO'!$B$25),"Hệ số OT/đêm DN thấp hơn luật; ","")&amp;IF(AND('DM_NHAN_SU'!$R17="Có",$AD17&lt;=0),"Thiếu căn cứ đóng BH; ","")&amp;IF(AND($AD17&gt;0,$AD17&lt;'THAM_SO'!$M$6),"Căn cứ BH dưới sàn – đã nâng sàn; ","")&amp;IF($AD17&gt;'THAM_SO'!$M$7,"Căn cứ BH vượt trần – đã giới hạn; ","")&amp;IF(AND($F17="Net",SUM('CHAM_CONG_THANG'!$AF17:$AK17)&gt;0,'DM_NHAN_SU'!$Q17&lt;=0),"Net có OT nhưng chưa khai lương giờ OT; ","")&amp;IF('CHAM_CONG_THANG'!$V17&gt;$Z17,"Phần OT không miễn lớn hơn tiền OT; ","")&amp;IF(AND($F17="Net",ABS($AT17-$AC17-$AP17)&gt;1),"Lệch quy đổi Net; ","")&amp;IF(AND($BH17&gt;0,'DM_NHAN_SU'!$AD17=""),"Có phép năm nhưng đang tạm dùng 12 ngày; ","")&amp;IF(AND($G17="Sản phẩm",SUM($BH17:$BJ17)&gt;0,'DM_NHAN_SU'!$AH17&lt;=0),"Lương sản phẩm thiếu đơn giá ngày phép/lễ; ","")&amp;IF(AND($BL17&gt;=14,'CHAM_CONG_THANG'!$AA17&lt;&gt;"Có"),"Thai sản từ 14 ngày: file tự dừng đóng BH – kiểm tra hồ sơ; ","")&amp;IF(AND('DM_NHAN_SU'!$AA17="Có",'DM_NHAN_SU'!$AB17=""),"Đoàn viên chưa chọn cách tính đoàn phí; ","")&amp;IF(AND('DM_NHAN_SU'!$AB17="Nhập tay",'DM_NHAN_SU'!$AC17&gt;'THAM_SO'!$M$26),"Đoàn phí nhập tay vượt trần thông dụng; ","")&amp;IF('NGHI_PHEP'!$L17&lt;&gt;"","Phép: "&amp;'NGHI_PHEP'!$L17,"")&amp;IF('CHE_DO_BHXH'!$AA17&lt;&gt;"","BHXH: "&amp;'CHE_DO_BHXH'!$AA17,"")&amp;IF('THUONG_T13_TET'!$O17&lt;&gt;"","Thưởng: "&amp;'THUONG_T13_TET'!$O17,"")&amp;IF('QT_NGHI_VIEC'!$AF17&lt;&gt;"","Nghỉ việc: "&amp;'QT_NGHI_VIEC'!$AF17,"")&amp;IF($AX17&lt;0,"Thực lĩnh âm; ","")&amp;IF(OR('DM_NHAN_SU'!$F17&gt;'THAM_SO'!$B$7,AND('DM_NHAN_SU'!$G17&lt;&gt;"",'DM_NHAN_SU'!$G17&lt;'THAM_SO'!$B$6)),"Ngoài kỳ trả lương; ","")))</f>
        <v/>
      </c>
      <c r="BH17" s="232">
        <f>IF('DM_NHAN_SU'!$B17="","",'CHAM_CONG_THANG'!AR17)</f>
        <v/>
      </c>
      <c r="BI17" s="232">
        <f>IF('DM_NHAN_SU'!$B17="","",'CHAM_CONG_THANG'!AS17)</f>
        <v/>
      </c>
      <c r="BJ17" s="232">
        <f>IF('DM_NHAN_SU'!$B17="","",'CHAM_CONG_THANG'!AT17)</f>
        <v/>
      </c>
      <c r="BK17" s="232">
        <f>IF('DM_NHAN_SU'!$B17="","",'CHAM_CONG_THANG'!AU17)</f>
        <v/>
      </c>
      <c r="BL17" s="232">
        <f>IF('DM_NHAN_SU'!$B17="","",'CHAM_CONG_THANG'!AV17)</f>
        <v/>
      </c>
      <c r="BM17" s="232">
        <f>IF('DM_NHAN_SU'!$B17="","",'CHAM_CONG_THANG'!AW17)</f>
        <v/>
      </c>
      <c r="BN17" s="232">
        <f>IF('DM_NHAN_SU'!$B17="","",SUM($K17,$BH17:$BJ17))</f>
        <v/>
      </c>
      <c r="BO17" s="224">
        <f>IF('DM_NHAN_SU'!$B17="","",IF($B17="",0,IF($G17="Tháng",IF($I17&gt;0,'DM_NHAN_SU'!$K17*MIN($BH17+$BJ17,MAX($I17-$K17,0))/$I17,0),IF($G17="Ngày",'DM_NHAN_SU'!$K17*SUM($BH17:$BJ17),IF($G17="Giờ",'DM_NHAN_SU'!$K17*SUM($BH17:$BJ17)*$J17,IF($G17="Sản phẩm",'DM_NHAN_SU'!$AH17*SUM($BH17:$BJ17),0))))))</f>
        <v/>
      </c>
      <c r="BP17" s="224">
        <f>IF('DM_NHAN_SU'!$B17="","",IF('THUONG_T13_TET'!$L17="Có",'THUONG_T13_TET'!$I17,0))</f>
        <v/>
      </c>
      <c r="BQ17" s="224">
        <f>IF('DM_NHAN_SU'!$B17="","",IF('THUONG_T13_TET'!$L17="Có",SUM('THUONG_T13_TET'!$J17:$K17),0))</f>
        <v/>
      </c>
      <c r="BR17" s="224">
        <f>IF('DM_NHAN_SU'!$B17="","",'QT_NGHI_VIEC'!AC17)</f>
        <v/>
      </c>
      <c r="BS17" s="224">
        <f>IF('DM_NHAN_SU'!$B17="","",'QT_NGHI_VIEC'!AB17)</f>
        <v/>
      </c>
      <c r="BT17" s="224">
        <f>IF('DM_NHAN_SU'!$B17="","",IF('CHE_DO_BHXH'!$Z17="Có",'CHE_DO_BHXH'!$W17,0))</f>
        <v/>
      </c>
      <c r="BU17" s="224">
        <f>IF('DM_NHAN_SU'!$B17="","",IF('CHE_DO_BHXH'!$Y17="DN trả thay",$BT17,0))</f>
        <v/>
      </c>
      <c r="BV17" s="224">
        <f>IF('DM_NHAN_SU'!$B17="","",IF(OR('DM_NHAN_SU'!$AA17&lt;&gt;"Có",'CHE_DO_BHXH'!$O17&gt;=1,SUM('CHE_DO_BHXH'!$D17,'CHE_DO_BHXH'!$G17,'CHE_DO_BHXH'!$K17)&gt;=24,AND($I17&gt;0,$BM17&gt;=$I17)),0,IF('DM_NHAN_SU'!$AB17="Không",0,IF('DM_NHAN_SU'!$AB17="Nhập tay",'DM_NHAN_SU'!$AC17,IF('DM_NHAN_SU'!$AB17="Theo thực nhận",MIN(MAX($AT17-$AU17-$AV17-$AW17,0)*'THAM_SO'!$M$23,'THAM_SO'!$M$26),MIN($AE17*'THAM_SO'!$M$23,'THAM_SO'!$M$26))))))</f>
        <v/>
      </c>
      <c r="BW17" s="224">
        <f>IF('DM_NHAN_SU'!$B17="","",$AX17+$BU17)</f>
        <v/>
      </c>
    </row>
    <row r="18">
      <c r="A18" s="145">
        <f>IF('DM_NHAN_SU'!$B18="","",IF($B18="","",ROW()-5))</f>
        <v/>
      </c>
      <c r="B18" s="145">
        <f>IF('DM_NHAN_SU'!$B18="","",'DM_NHAN_SU'!B18)</f>
        <v/>
      </c>
      <c r="C18" s="145">
        <f>IF('DM_NHAN_SU'!$B18="","",'DM_NHAN_SU'!C18)</f>
        <v/>
      </c>
      <c r="D18" s="145">
        <f>IF('DM_NHAN_SU'!$B18="","",'DM_NHAN_SU'!D18)</f>
        <v/>
      </c>
      <c r="E18" s="145">
        <f>IF('DM_NHAN_SU'!$B18="","",'DM_NHAN_SU'!E18)</f>
        <v/>
      </c>
      <c r="F18" s="145">
        <f>IF('DM_NHAN_SU'!$B18="","",'DM_NHAN_SU'!I18)</f>
        <v/>
      </c>
      <c r="G18" s="145">
        <f>IF('DM_NHAN_SU'!$B18="","",'DM_NHAN_SU'!J18)</f>
        <v/>
      </c>
      <c r="H18" s="145">
        <f>IF('DM_NHAN_SU'!$B18="","",IF('DM_NHAN_SU'!H18="",'THAM_SO'!$B$11,'DM_NHAN_SU'!H18))</f>
        <v/>
      </c>
      <c r="I18" s="232">
        <f>IF('DM_NHAN_SU'!$B18="","",IF('DM_NHAN_SU'!L18&gt;0,'DM_NHAN_SU'!L18,'THAM_SO'!$B$9))</f>
        <v/>
      </c>
      <c r="J18" s="232">
        <f>IF('DM_NHAN_SU'!$B18="","",IF('DM_NHAN_SU'!M18&gt;0,'DM_NHAN_SU'!M18,'THAM_SO'!$B$10))</f>
        <v/>
      </c>
      <c r="K18" s="232">
        <f>IF('DM_NHAN_SU'!$B18="","",'CHAM_CONG_THANG'!AC18)</f>
        <v/>
      </c>
      <c r="L18" s="232">
        <f>IF('DM_NHAN_SU'!$B18="","",'CHAM_CONG_THANG'!AD18)</f>
        <v/>
      </c>
      <c r="M18" s="232">
        <f>IF('DM_NHAN_SU'!$B18="","",'CHAM_CONG_THANG'!AE18)</f>
        <v/>
      </c>
      <c r="N18" s="232">
        <f>IF('DM_NHAN_SU'!$B18="","",'CHAM_CONG_THANG'!N18)</f>
        <v/>
      </c>
      <c r="O18" s="224">
        <f>IF('DM_NHAN_SU'!$B18="","",IF($B18="","",IF($G18="Tháng",IF($I18&gt;0,'DM_NHAN_SU'!$K18*MIN($K18,$I18)/$I18,0),IF($G18="Ngày",'DM_NHAN_SU'!$K18*$K18,IF($G18="Giờ",'DM_NHAN_SU'!$K18*$L18,IF($G18="Sản phẩm",'DM_NHAN_SU'!$K18*$N18,0))))))</f>
        <v/>
      </c>
      <c r="P18" s="224">
        <f>IF('DM_NHAN_SU'!$B18="","",'CHAM_CONG_THANG'!O18)</f>
        <v/>
      </c>
      <c r="Q18" s="224">
        <f>IF('DM_NHAN_SU'!$B18="","",'CHAM_CONG_THANG'!P18)</f>
        <v/>
      </c>
      <c r="R18" s="224">
        <f>IF('DM_NHAN_SU'!$B18="","",'CHAM_CONG_THANG'!Q18)</f>
        <v/>
      </c>
      <c r="S18" s="224">
        <f>IF('DM_NHAN_SU'!$B18="","",'CHAM_CONG_THANG'!R18)</f>
        <v/>
      </c>
      <c r="T18" s="224">
        <f>IF('DM_NHAN_SU'!$B18="","",'CHAM_CONG_THANG'!S18)</f>
        <v/>
      </c>
      <c r="U18" s="224">
        <f>IF('DM_NHAN_SU'!$B18="","",MIN($T18,'THAM_SO'!$F$6))</f>
        <v/>
      </c>
      <c r="V18" s="224">
        <f>IF('DM_NHAN_SU'!$B18="","",MAX($T18-$U18,0))</f>
        <v/>
      </c>
      <c r="W18" s="224">
        <f>IF('DM_NHAN_SU'!$B18="","",'CHAM_CONG_THANG'!T18)</f>
        <v/>
      </c>
      <c r="X18" s="224">
        <f>IF('DM_NHAN_SU'!$B18="","",'CHAM_CONG_THANG'!U18)</f>
        <v/>
      </c>
      <c r="Y18" s="224">
        <f>IF('DM_NHAN_SU'!$B18="","",IF($B18="",0,IF('DM_NHAN_SU'!$Q18&gt;0,'DM_NHAN_SU'!$Q18,IF($G18="Tháng",IF($I18*$J18&gt;0,'DM_NHAN_SU'!$K18/($I18*$J18),0),IF($G18="Ngày",IF($J18&gt;0,'DM_NHAN_SU'!$K18/$J18,0),IF($G18="Giờ",'DM_NHAN_SU'!$K18,0))))))</f>
        <v/>
      </c>
      <c r="Z18" s="224">
        <f>IF('DM_NHAN_SU'!$B18="","",$Y18*($M18*'THAM_SO'!$C$22+'CHAM_CONG_THANG'!$AF18*'THAM_SO'!$C$19+'CHAM_CONG_THANG'!$AG18*'THAM_SO'!$C$20+'CHAM_CONG_THANG'!$AH18*'THAM_SO'!$C$21+'CHAM_CONG_THANG'!$AI18*'THAM_SO'!$C$23+'CHAM_CONG_THANG'!$AJ18*'THAM_SO'!$C$24+'CHAM_CONG_THANG'!$AK18*'THAM_SO'!$C$25))</f>
        <v/>
      </c>
      <c r="AA18" s="224">
        <f>IF('DM_NHAN_SU'!$B18="","",MAX(0,$Y18*($M18*IF('THAM_SO'!$C$22&gt;='THAM_SO'!$B$22,'THAM_SO'!$B$22,0)+'CHAM_CONG_THANG'!$AF18*IF('THAM_SO'!$C$19&gt;='THAM_SO'!$B$19,'THAM_SO'!$B$19,0)+'CHAM_CONG_THANG'!$AG18*IF('THAM_SO'!$C$20&gt;='THAM_SO'!$B$20,'THAM_SO'!$B$20,0)+'CHAM_CONG_THANG'!$AH18*IF('THAM_SO'!$C$21&gt;='THAM_SO'!$B$21,'THAM_SO'!$B$21,0)+'CHAM_CONG_THANG'!$AI18*IF('THAM_SO'!$C$23&gt;='THAM_SO'!$B$23,'THAM_SO'!$B$23,0)+'CHAM_CONG_THANG'!$AJ18*IF('THAM_SO'!$C$24&gt;='THAM_SO'!$B$24,'THAM_SO'!$B$24,0)+'CHAM_CONG_THANG'!$AK18*IF('THAM_SO'!$C$25&gt;='THAM_SO'!$B$25,'THAM_SO'!$B$25,0))-'CHAM_CONG_THANG'!$V18))</f>
        <v/>
      </c>
      <c r="AB18" s="224">
        <f>IF('DM_NHAN_SU'!$B18="","",MAX($Z18-$AA18,0))</f>
        <v/>
      </c>
      <c r="AC18" s="224">
        <f>IF('DM_NHAN_SU'!$B18="","",$O18+$P18+$Q18+$R18+$S18+$V18+$AB18+$BO18+$BP18+$BQ18+$BR18)</f>
        <v/>
      </c>
      <c r="AD18" s="224">
        <f>IF('DM_NHAN_SU'!$B18="","",'DM_NHAN_SU'!N18+'DM_NHAN_SU'!O18+'DM_NHAN_SU'!P18)</f>
        <v/>
      </c>
      <c r="AE18" s="224">
        <f>IF('DM_NHAN_SU'!$B18="","",IF(OR('DM_NHAN_SU'!$R18&lt;&gt;"Có",'CHAM_CONG_THANG'!$AA18="Có",$BL18&gt;=14,$AD18&lt;=0),0,MIN(MAX($AD18,'THAM_SO'!$M$6),'THAM_SO'!$M$7)))</f>
        <v/>
      </c>
      <c r="AF18" s="224">
        <f>IF('DM_NHAN_SU'!$B18="","",IF(OR('DM_NHAN_SU'!$S18&lt;&gt;"Có",'CHAM_CONG_THANG'!$AA18="Có",$BL18&gt;=14,$AD18&lt;=0),0,MIN(MAX($AD18,VLOOKUP($H18,'THAM_SO'!$L$17:$P$20,4,FALSE)),VLOOKUP($H18,'THAM_SO'!$L$17:$P$20,5,FALSE))))</f>
        <v/>
      </c>
      <c r="AG18" s="224">
        <f>IF('DM_NHAN_SU'!$B18="","",$AE18*'THAM_SO'!$M$8)</f>
        <v/>
      </c>
      <c r="AH18" s="224">
        <f>IF('DM_NHAN_SU'!$B18="","",$AE18*'THAM_SO'!$M$9)</f>
        <v/>
      </c>
      <c r="AI18" s="224">
        <f>IF('DM_NHAN_SU'!$B18="","",$AF18*'THAM_SO'!$M$10)</f>
        <v/>
      </c>
      <c r="AJ18" s="224">
        <f>IF('DM_NHAN_SU'!$B18="","",SUM($AG18:$AI18))</f>
        <v/>
      </c>
      <c r="AK18" s="224">
        <f>IF('DM_NHAN_SU'!$B18="","",IF($B18="",0,'THAM_SO'!$F$4))</f>
        <v/>
      </c>
      <c r="AL18" s="224">
        <f>IF('DM_NHAN_SU'!$B18="","",IF($B18="",0,'DM_NHAN_SU'!$T18*'THAM_SO'!$F$5))</f>
        <v/>
      </c>
      <c r="AM18" s="224">
        <f>IF('DM_NHAN_SU'!$B18="","",'CHAM_CONG_THANG'!W18)</f>
        <v/>
      </c>
      <c r="AN18" s="224">
        <f>IF('DM_NHAN_SU'!$B18="","",MAX($AC18-$AK18-$AL18-$AM18,0))</f>
        <v/>
      </c>
      <c r="AO18" s="224">
        <f>IF('DM_NHAN_SU'!$B18="","",IF($B18="","",IF($F18="Net",IF($AC18&lt;=$AK18+$AL18+$AM18,$AC18+$AJ18,$AJ18+$AK18+$AL18+$AM18+IF($AN18&lt;='THAM_SO'!$J$10,($AN18-'THAM_SO'!$I$10)/(1-'THAM_SO'!$H$10),IF($AN18&lt;='THAM_SO'!$J$11,($AN18-'THAM_SO'!$I$11)/(1-'THAM_SO'!$H$11),IF($AN18&lt;='THAM_SO'!$J$12,($AN18-'THAM_SO'!$I$12)/(1-'THAM_SO'!$H$12),IF($AN18&lt;='THAM_SO'!$J$13,($AN18-'THAM_SO'!$I$13)/(1-'THAM_SO'!$H$13),($AN18-'THAM_SO'!$I$14)/(1-'THAM_SO'!$H$14)))))),$AC18)))</f>
        <v/>
      </c>
      <c r="AP18" s="224">
        <f>IF('DM_NHAN_SU'!$B18="","",$U18+$W18+$X18+$AA18+$BS18)</f>
        <v/>
      </c>
      <c r="AQ18" s="224">
        <f>IF('DM_NHAN_SU'!$B18="","",MAX($AO18-$AJ18-$AK18-$AL18-$AM18,0))</f>
        <v/>
      </c>
      <c r="AR18" s="224">
        <f>IF('DM_NHAN_SU'!$B18="","",IF($AQ18&lt;=0,0,$AQ18*VLOOKUP($AQ18,'THAM_SO'!$F$10:$I$14,3,TRUE)-VLOOKUP($AQ18,'THAM_SO'!$F$10:$I$14,4,TRUE)))</f>
        <v/>
      </c>
      <c r="AS18" s="224">
        <f>IF('DM_NHAN_SU'!$B18="","",$AO18+$AP18)</f>
        <v/>
      </c>
      <c r="AT18" s="224">
        <f>IF('DM_NHAN_SU'!$B18="","",$AS18-$AJ18-$AR18)</f>
        <v/>
      </c>
      <c r="AU18" s="224">
        <f>IF('DM_NHAN_SU'!$B18="","",'CHAM_CONG_THANG'!X18)</f>
        <v/>
      </c>
      <c r="AV18" s="224">
        <f>IF('DM_NHAN_SU'!$B18="","",'CHAM_CONG_THANG'!Y18+'QT_NGHI_VIEC'!AD18)</f>
        <v/>
      </c>
      <c r="AW18" s="224">
        <f>IF('DM_NHAN_SU'!$B18="","",'CHAM_CONG_THANG'!Z18)</f>
        <v/>
      </c>
      <c r="AX18" s="224">
        <f>IF('DM_NHAN_SU'!$B18="","",$AT18-$AU18-$AV18-$AW18-$BV18)</f>
        <v/>
      </c>
      <c r="AY18" s="224">
        <f>IF('DM_NHAN_SU'!$B18="","",$AE18*'THAM_SO'!$M$11)</f>
        <v/>
      </c>
      <c r="AZ18" s="224">
        <f>IF('DM_NHAN_SU'!$B18="","",$AE18*'THAM_SO'!$M$12)</f>
        <v/>
      </c>
      <c r="BA18" s="224">
        <f>IF('DM_NHAN_SU'!$B18="","",$AF18*'THAM_SO'!$M$13)</f>
        <v/>
      </c>
      <c r="BB18" s="224">
        <f>IF('DM_NHAN_SU'!$B18="","",$AE18*'THAM_SO'!$M$14)</f>
        <v/>
      </c>
      <c r="BC18" s="224">
        <f>IF('DM_NHAN_SU'!$B18="","",SUM($AY18:$BB18))</f>
        <v/>
      </c>
      <c r="BD18" s="224">
        <f>IF('DM_NHAN_SU'!$B18="","",$AS18+$BC18)</f>
        <v/>
      </c>
      <c r="BE18" s="224">
        <f>IF('DM_NHAN_SU'!$B18="","",VLOOKUP($H18,'THAM_SO'!$L$17:$P$20,2,FALSE))</f>
        <v/>
      </c>
      <c r="BF18" s="224">
        <f>IF('DM_NHAN_SU'!$B18="","",VLOOKUP($H18,'THAM_SO'!$L$17:$P$20,3,FALSE))</f>
        <v/>
      </c>
      <c r="BG18" s="150">
        <f>IF('DM_NHAN_SU'!$B18="","",IF($B18="","",IF(COUNTIF('DM_NHAN_SU'!$B$6:$B$155,$B18)&gt;1,"Trùng mã NV; ","")&amp;IF(OR($F18="",$G18=""),"Thiếu loại/hình thức lương; ","")&amp;IF('CHAM_CONG_THANG'!$D18="","Chưa chọn nguồn công; ","")&amp;IF(AND('CHAM_CONG_THANG'!$D18="Theo ngày",COUNTIF('CHAM_CONG_NGAY'!$B$6:$B$4655,$B18)=0),"Chưa có chấm công ngày; ","")&amp;IF(OR($I18&lt;=0,$J18&lt;=0),"Thiếu công/giờ chuẩn; ","")&amp;IF(AND($G18="Tháng",'DM_NHAN_SU'!$K18&lt;$BE18),"Lương tháng dưới tối thiểu vùng; ","")&amp;IF(AND($G18="Ngày",'DM_NHAN_SU'!$K18/$J18&lt;$BF18),"Lương ngày quy đổi dưới tối thiểu giờ; ","")&amp;IF(AND($G18="Giờ",'DM_NHAN_SU'!$K18&lt;$BF18),"Lương giờ dưới tối thiểu vùng; ","")&amp;IF(AND($G18="Sản phẩm",$L18&gt;0,$O18/$L18&lt;$BF18),"Lương SP quy đổi dưới tối thiểu giờ; ","")&amp;IF(OR('THAM_SO'!$C$19&lt;'THAM_SO'!$B$19,'THAM_SO'!$C$20&lt;'THAM_SO'!$B$20,'THAM_SO'!$C$21&lt;'THAM_SO'!$B$21,'THAM_SO'!$C$22&lt;'THAM_SO'!$B$22,'THAM_SO'!$C$23&lt;'THAM_SO'!$B$23,'THAM_SO'!$C$24&lt;'THAM_SO'!$B$24,'THAM_SO'!$C$25&lt;'THAM_SO'!$B$25),"Hệ số OT/đêm DN thấp hơn luật; ","")&amp;IF(AND('DM_NHAN_SU'!$R18="Có",$AD18&lt;=0),"Thiếu căn cứ đóng BH; ","")&amp;IF(AND($AD18&gt;0,$AD18&lt;'THAM_SO'!$M$6),"Căn cứ BH dưới sàn – đã nâng sàn; ","")&amp;IF($AD18&gt;'THAM_SO'!$M$7,"Căn cứ BH vượt trần – đã giới hạn; ","")&amp;IF(AND($F18="Net",SUM('CHAM_CONG_THANG'!$AF18:$AK18)&gt;0,'DM_NHAN_SU'!$Q18&lt;=0),"Net có OT nhưng chưa khai lương giờ OT; ","")&amp;IF('CHAM_CONG_THANG'!$V18&gt;$Z18,"Phần OT không miễn lớn hơn tiền OT; ","")&amp;IF(AND($F18="Net",ABS($AT18-$AC18-$AP18)&gt;1),"Lệch quy đổi Net; ","")&amp;IF(AND($BH18&gt;0,'DM_NHAN_SU'!$AD18=""),"Có phép năm nhưng đang tạm dùng 12 ngày; ","")&amp;IF(AND($G18="Sản phẩm",SUM($BH18:$BJ18)&gt;0,'DM_NHAN_SU'!$AH18&lt;=0),"Lương sản phẩm thiếu đơn giá ngày phép/lễ; ","")&amp;IF(AND($BL18&gt;=14,'CHAM_CONG_THANG'!$AA18&lt;&gt;"Có"),"Thai sản từ 14 ngày: file tự dừng đóng BH – kiểm tra hồ sơ; ","")&amp;IF(AND('DM_NHAN_SU'!$AA18="Có",'DM_NHAN_SU'!$AB18=""),"Đoàn viên chưa chọn cách tính đoàn phí; ","")&amp;IF(AND('DM_NHAN_SU'!$AB18="Nhập tay",'DM_NHAN_SU'!$AC18&gt;'THAM_SO'!$M$26),"Đoàn phí nhập tay vượt trần thông dụng; ","")&amp;IF('NGHI_PHEP'!$L18&lt;&gt;"","Phép: "&amp;'NGHI_PHEP'!$L18,"")&amp;IF('CHE_DO_BHXH'!$AA18&lt;&gt;"","BHXH: "&amp;'CHE_DO_BHXH'!$AA18,"")&amp;IF('THUONG_T13_TET'!$O18&lt;&gt;"","Thưởng: "&amp;'THUONG_T13_TET'!$O18,"")&amp;IF('QT_NGHI_VIEC'!$AF18&lt;&gt;"","Nghỉ việc: "&amp;'QT_NGHI_VIEC'!$AF18,"")&amp;IF($AX18&lt;0,"Thực lĩnh âm; ","")&amp;IF(OR('DM_NHAN_SU'!$F18&gt;'THAM_SO'!$B$7,AND('DM_NHAN_SU'!$G18&lt;&gt;"",'DM_NHAN_SU'!$G18&lt;'THAM_SO'!$B$6)),"Ngoài kỳ trả lương; ","")))</f>
        <v/>
      </c>
      <c r="BH18" s="232">
        <f>IF('DM_NHAN_SU'!$B18="","",'CHAM_CONG_THANG'!AR18)</f>
        <v/>
      </c>
      <c r="BI18" s="232">
        <f>IF('DM_NHAN_SU'!$B18="","",'CHAM_CONG_THANG'!AS18)</f>
        <v/>
      </c>
      <c r="BJ18" s="232">
        <f>IF('DM_NHAN_SU'!$B18="","",'CHAM_CONG_THANG'!AT18)</f>
        <v/>
      </c>
      <c r="BK18" s="232">
        <f>IF('DM_NHAN_SU'!$B18="","",'CHAM_CONG_THANG'!AU18)</f>
        <v/>
      </c>
      <c r="BL18" s="232">
        <f>IF('DM_NHAN_SU'!$B18="","",'CHAM_CONG_THANG'!AV18)</f>
        <v/>
      </c>
      <c r="BM18" s="232">
        <f>IF('DM_NHAN_SU'!$B18="","",'CHAM_CONG_THANG'!AW18)</f>
        <v/>
      </c>
      <c r="BN18" s="232">
        <f>IF('DM_NHAN_SU'!$B18="","",SUM($K18,$BH18:$BJ18))</f>
        <v/>
      </c>
      <c r="BO18" s="224">
        <f>IF('DM_NHAN_SU'!$B18="","",IF($B18="",0,IF($G18="Tháng",IF($I18&gt;0,'DM_NHAN_SU'!$K18*MIN($BH18+$BJ18,MAX($I18-$K18,0))/$I18,0),IF($G18="Ngày",'DM_NHAN_SU'!$K18*SUM($BH18:$BJ18),IF($G18="Giờ",'DM_NHAN_SU'!$K18*SUM($BH18:$BJ18)*$J18,IF($G18="Sản phẩm",'DM_NHAN_SU'!$AH18*SUM($BH18:$BJ18),0))))))</f>
        <v/>
      </c>
      <c r="BP18" s="224">
        <f>IF('DM_NHAN_SU'!$B18="","",IF('THUONG_T13_TET'!$L18="Có",'THUONG_T13_TET'!$I18,0))</f>
        <v/>
      </c>
      <c r="BQ18" s="224">
        <f>IF('DM_NHAN_SU'!$B18="","",IF('THUONG_T13_TET'!$L18="Có",SUM('THUONG_T13_TET'!$J18:$K18),0))</f>
        <v/>
      </c>
      <c r="BR18" s="224">
        <f>IF('DM_NHAN_SU'!$B18="","",'QT_NGHI_VIEC'!AC18)</f>
        <v/>
      </c>
      <c r="BS18" s="224">
        <f>IF('DM_NHAN_SU'!$B18="","",'QT_NGHI_VIEC'!AB18)</f>
        <v/>
      </c>
      <c r="BT18" s="224">
        <f>IF('DM_NHAN_SU'!$B18="","",IF('CHE_DO_BHXH'!$Z18="Có",'CHE_DO_BHXH'!$W18,0))</f>
        <v/>
      </c>
      <c r="BU18" s="224">
        <f>IF('DM_NHAN_SU'!$B18="","",IF('CHE_DO_BHXH'!$Y18="DN trả thay",$BT18,0))</f>
        <v/>
      </c>
      <c r="BV18" s="224">
        <f>IF('DM_NHAN_SU'!$B18="","",IF(OR('DM_NHAN_SU'!$AA18&lt;&gt;"Có",'CHE_DO_BHXH'!$O18&gt;=1,SUM('CHE_DO_BHXH'!$D18,'CHE_DO_BHXH'!$G18,'CHE_DO_BHXH'!$K18)&gt;=24,AND($I18&gt;0,$BM18&gt;=$I18)),0,IF('DM_NHAN_SU'!$AB18="Không",0,IF('DM_NHAN_SU'!$AB18="Nhập tay",'DM_NHAN_SU'!$AC18,IF('DM_NHAN_SU'!$AB18="Theo thực nhận",MIN(MAX($AT18-$AU18-$AV18-$AW18,0)*'THAM_SO'!$M$23,'THAM_SO'!$M$26),MIN($AE18*'THAM_SO'!$M$23,'THAM_SO'!$M$26))))))</f>
        <v/>
      </c>
      <c r="BW18" s="224">
        <f>IF('DM_NHAN_SU'!$B18="","",$AX18+$BU18)</f>
        <v/>
      </c>
    </row>
    <row r="19">
      <c r="A19" s="145">
        <f>IF('DM_NHAN_SU'!$B19="","",IF($B19="","",ROW()-5))</f>
        <v/>
      </c>
      <c r="B19" s="145">
        <f>IF('DM_NHAN_SU'!$B19="","",'DM_NHAN_SU'!B19)</f>
        <v/>
      </c>
      <c r="C19" s="145">
        <f>IF('DM_NHAN_SU'!$B19="","",'DM_NHAN_SU'!C19)</f>
        <v/>
      </c>
      <c r="D19" s="145">
        <f>IF('DM_NHAN_SU'!$B19="","",'DM_NHAN_SU'!D19)</f>
        <v/>
      </c>
      <c r="E19" s="145">
        <f>IF('DM_NHAN_SU'!$B19="","",'DM_NHAN_SU'!E19)</f>
        <v/>
      </c>
      <c r="F19" s="145">
        <f>IF('DM_NHAN_SU'!$B19="","",'DM_NHAN_SU'!I19)</f>
        <v/>
      </c>
      <c r="G19" s="145">
        <f>IF('DM_NHAN_SU'!$B19="","",'DM_NHAN_SU'!J19)</f>
        <v/>
      </c>
      <c r="H19" s="145">
        <f>IF('DM_NHAN_SU'!$B19="","",IF('DM_NHAN_SU'!H19="",'THAM_SO'!$B$11,'DM_NHAN_SU'!H19))</f>
        <v/>
      </c>
      <c r="I19" s="232">
        <f>IF('DM_NHAN_SU'!$B19="","",IF('DM_NHAN_SU'!L19&gt;0,'DM_NHAN_SU'!L19,'THAM_SO'!$B$9))</f>
        <v/>
      </c>
      <c r="J19" s="232">
        <f>IF('DM_NHAN_SU'!$B19="","",IF('DM_NHAN_SU'!M19&gt;0,'DM_NHAN_SU'!M19,'THAM_SO'!$B$10))</f>
        <v/>
      </c>
      <c r="K19" s="232">
        <f>IF('DM_NHAN_SU'!$B19="","",'CHAM_CONG_THANG'!AC19)</f>
        <v/>
      </c>
      <c r="L19" s="232">
        <f>IF('DM_NHAN_SU'!$B19="","",'CHAM_CONG_THANG'!AD19)</f>
        <v/>
      </c>
      <c r="M19" s="232">
        <f>IF('DM_NHAN_SU'!$B19="","",'CHAM_CONG_THANG'!AE19)</f>
        <v/>
      </c>
      <c r="N19" s="232">
        <f>IF('DM_NHAN_SU'!$B19="","",'CHAM_CONG_THANG'!N19)</f>
        <v/>
      </c>
      <c r="O19" s="224">
        <f>IF('DM_NHAN_SU'!$B19="","",IF($B19="","",IF($G19="Tháng",IF($I19&gt;0,'DM_NHAN_SU'!$K19*MIN($K19,$I19)/$I19,0),IF($G19="Ngày",'DM_NHAN_SU'!$K19*$K19,IF($G19="Giờ",'DM_NHAN_SU'!$K19*$L19,IF($G19="Sản phẩm",'DM_NHAN_SU'!$K19*$N19,0))))))</f>
        <v/>
      </c>
      <c r="P19" s="224">
        <f>IF('DM_NHAN_SU'!$B19="","",'CHAM_CONG_THANG'!O19)</f>
        <v/>
      </c>
      <c r="Q19" s="224">
        <f>IF('DM_NHAN_SU'!$B19="","",'CHAM_CONG_THANG'!P19)</f>
        <v/>
      </c>
      <c r="R19" s="224">
        <f>IF('DM_NHAN_SU'!$B19="","",'CHAM_CONG_THANG'!Q19)</f>
        <v/>
      </c>
      <c r="S19" s="224">
        <f>IF('DM_NHAN_SU'!$B19="","",'CHAM_CONG_THANG'!R19)</f>
        <v/>
      </c>
      <c r="T19" s="224">
        <f>IF('DM_NHAN_SU'!$B19="","",'CHAM_CONG_THANG'!S19)</f>
        <v/>
      </c>
      <c r="U19" s="224">
        <f>IF('DM_NHAN_SU'!$B19="","",MIN($T19,'THAM_SO'!$F$6))</f>
        <v/>
      </c>
      <c r="V19" s="224">
        <f>IF('DM_NHAN_SU'!$B19="","",MAX($T19-$U19,0))</f>
        <v/>
      </c>
      <c r="W19" s="224">
        <f>IF('DM_NHAN_SU'!$B19="","",'CHAM_CONG_THANG'!T19)</f>
        <v/>
      </c>
      <c r="X19" s="224">
        <f>IF('DM_NHAN_SU'!$B19="","",'CHAM_CONG_THANG'!U19)</f>
        <v/>
      </c>
      <c r="Y19" s="224">
        <f>IF('DM_NHAN_SU'!$B19="","",IF($B19="",0,IF('DM_NHAN_SU'!$Q19&gt;0,'DM_NHAN_SU'!$Q19,IF($G19="Tháng",IF($I19*$J19&gt;0,'DM_NHAN_SU'!$K19/($I19*$J19),0),IF($G19="Ngày",IF($J19&gt;0,'DM_NHAN_SU'!$K19/$J19,0),IF($G19="Giờ",'DM_NHAN_SU'!$K19,0))))))</f>
        <v/>
      </c>
      <c r="Z19" s="224">
        <f>IF('DM_NHAN_SU'!$B19="","",$Y19*($M19*'THAM_SO'!$C$22+'CHAM_CONG_THANG'!$AF19*'THAM_SO'!$C$19+'CHAM_CONG_THANG'!$AG19*'THAM_SO'!$C$20+'CHAM_CONG_THANG'!$AH19*'THAM_SO'!$C$21+'CHAM_CONG_THANG'!$AI19*'THAM_SO'!$C$23+'CHAM_CONG_THANG'!$AJ19*'THAM_SO'!$C$24+'CHAM_CONG_THANG'!$AK19*'THAM_SO'!$C$25))</f>
        <v/>
      </c>
      <c r="AA19" s="224">
        <f>IF('DM_NHAN_SU'!$B19="","",MAX(0,$Y19*($M19*IF('THAM_SO'!$C$22&gt;='THAM_SO'!$B$22,'THAM_SO'!$B$22,0)+'CHAM_CONG_THANG'!$AF19*IF('THAM_SO'!$C$19&gt;='THAM_SO'!$B$19,'THAM_SO'!$B$19,0)+'CHAM_CONG_THANG'!$AG19*IF('THAM_SO'!$C$20&gt;='THAM_SO'!$B$20,'THAM_SO'!$B$20,0)+'CHAM_CONG_THANG'!$AH19*IF('THAM_SO'!$C$21&gt;='THAM_SO'!$B$21,'THAM_SO'!$B$21,0)+'CHAM_CONG_THANG'!$AI19*IF('THAM_SO'!$C$23&gt;='THAM_SO'!$B$23,'THAM_SO'!$B$23,0)+'CHAM_CONG_THANG'!$AJ19*IF('THAM_SO'!$C$24&gt;='THAM_SO'!$B$24,'THAM_SO'!$B$24,0)+'CHAM_CONG_THANG'!$AK19*IF('THAM_SO'!$C$25&gt;='THAM_SO'!$B$25,'THAM_SO'!$B$25,0))-'CHAM_CONG_THANG'!$V19))</f>
        <v/>
      </c>
      <c r="AB19" s="224">
        <f>IF('DM_NHAN_SU'!$B19="","",MAX($Z19-$AA19,0))</f>
        <v/>
      </c>
      <c r="AC19" s="224">
        <f>IF('DM_NHAN_SU'!$B19="","",$O19+$P19+$Q19+$R19+$S19+$V19+$AB19+$BO19+$BP19+$BQ19+$BR19)</f>
        <v/>
      </c>
      <c r="AD19" s="224">
        <f>IF('DM_NHAN_SU'!$B19="","",'DM_NHAN_SU'!N19+'DM_NHAN_SU'!O19+'DM_NHAN_SU'!P19)</f>
        <v/>
      </c>
      <c r="AE19" s="224">
        <f>IF('DM_NHAN_SU'!$B19="","",IF(OR('DM_NHAN_SU'!$R19&lt;&gt;"Có",'CHAM_CONG_THANG'!$AA19="Có",$BL19&gt;=14,$AD19&lt;=0),0,MIN(MAX($AD19,'THAM_SO'!$M$6),'THAM_SO'!$M$7)))</f>
        <v/>
      </c>
      <c r="AF19" s="224">
        <f>IF('DM_NHAN_SU'!$B19="","",IF(OR('DM_NHAN_SU'!$S19&lt;&gt;"Có",'CHAM_CONG_THANG'!$AA19="Có",$BL19&gt;=14,$AD19&lt;=0),0,MIN(MAX($AD19,VLOOKUP($H19,'THAM_SO'!$L$17:$P$20,4,FALSE)),VLOOKUP($H19,'THAM_SO'!$L$17:$P$20,5,FALSE))))</f>
        <v/>
      </c>
      <c r="AG19" s="224">
        <f>IF('DM_NHAN_SU'!$B19="","",$AE19*'THAM_SO'!$M$8)</f>
        <v/>
      </c>
      <c r="AH19" s="224">
        <f>IF('DM_NHAN_SU'!$B19="","",$AE19*'THAM_SO'!$M$9)</f>
        <v/>
      </c>
      <c r="AI19" s="224">
        <f>IF('DM_NHAN_SU'!$B19="","",$AF19*'THAM_SO'!$M$10)</f>
        <v/>
      </c>
      <c r="AJ19" s="224">
        <f>IF('DM_NHAN_SU'!$B19="","",SUM($AG19:$AI19))</f>
        <v/>
      </c>
      <c r="AK19" s="224">
        <f>IF('DM_NHAN_SU'!$B19="","",IF($B19="",0,'THAM_SO'!$F$4))</f>
        <v/>
      </c>
      <c r="AL19" s="224">
        <f>IF('DM_NHAN_SU'!$B19="","",IF($B19="",0,'DM_NHAN_SU'!$T19*'THAM_SO'!$F$5))</f>
        <v/>
      </c>
      <c r="AM19" s="224">
        <f>IF('DM_NHAN_SU'!$B19="","",'CHAM_CONG_THANG'!W19)</f>
        <v/>
      </c>
      <c r="AN19" s="224">
        <f>IF('DM_NHAN_SU'!$B19="","",MAX($AC19-$AK19-$AL19-$AM19,0))</f>
        <v/>
      </c>
      <c r="AO19" s="224">
        <f>IF('DM_NHAN_SU'!$B19="","",IF($B19="","",IF($F19="Net",IF($AC19&lt;=$AK19+$AL19+$AM19,$AC19+$AJ19,$AJ19+$AK19+$AL19+$AM19+IF($AN19&lt;='THAM_SO'!$J$10,($AN19-'THAM_SO'!$I$10)/(1-'THAM_SO'!$H$10),IF($AN19&lt;='THAM_SO'!$J$11,($AN19-'THAM_SO'!$I$11)/(1-'THAM_SO'!$H$11),IF($AN19&lt;='THAM_SO'!$J$12,($AN19-'THAM_SO'!$I$12)/(1-'THAM_SO'!$H$12),IF($AN19&lt;='THAM_SO'!$J$13,($AN19-'THAM_SO'!$I$13)/(1-'THAM_SO'!$H$13),($AN19-'THAM_SO'!$I$14)/(1-'THAM_SO'!$H$14)))))),$AC19)))</f>
        <v/>
      </c>
      <c r="AP19" s="224">
        <f>IF('DM_NHAN_SU'!$B19="","",$U19+$W19+$X19+$AA19+$BS19)</f>
        <v/>
      </c>
      <c r="AQ19" s="224">
        <f>IF('DM_NHAN_SU'!$B19="","",MAX($AO19-$AJ19-$AK19-$AL19-$AM19,0))</f>
        <v/>
      </c>
      <c r="AR19" s="224">
        <f>IF('DM_NHAN_SU'!$B19="","",IF($AQ19&lt;=0,0,$AQ19*VLOOKUP($AQ19,'THAM_SO'!$F$10:$I$14,3,TRUE)-VLOOKUP($AQ19,'THAM_SO'!$F$10:$I$14,4,TRUE)))</f>
        <v/>
      </c>
      <c r="AS19" s="224">
        <f>IF('DM_NHAN_SU'!$B19="","",$AO19+$AP19)</f>
        <v/>
      </c>
      <c r="AT19" s="224">
        <f>IF('DM_NHAN_SU'!$B19="","",$AS19-$AJ19-$AR19)</f>
        <v/>
      </c>
      <c r="AU19" s="224">
        <f>IF('DM_NHAN_SU'!$B19="","",'CHAM_CONG_THANG'!X19)</f>
        <v/>
      </c>
      <c r="AV19" s="224">
        <f>IF('DM_NHAN_SU'!$B19="","",'CHAM_CONG_THANG'!Y19+'QT_NGHI_VIEC'!AD19)</f>
        <v/>
      </c>
      <c r="AW19" s="224">
        <f>IF('DM_NHAN_SU'!$B19="","",'CHAM_CONG_THANG'!Z19)</f>
        <v/>
      </c>
      <c r="AX19" s="224">
        <f>IF('DM_NHAN_SU'!$B19="","",$AT19-$AU19-$AV19-$AW19-$BV19)</f>
        <v/>
      </c>
      <c r="AY19" s="224">
        <f>IF('DM_NHAN_SU'!$B19="","",$AE19*'THAM_SO'!$M$11)</f>
        <v/>
      </c>
      <c r="AZ19" s="224">
        <f>IF('DM_NHAN_SU'!$B19="","",$AE19*'THAM_SO'!$M$12)</f>
        <v/>
      </c>
      <c r="BA19" s="224">
        <f>IF('DM_NHAN_SU'!$B19="","",$AF19*'THAM_SO'!$M$13)</f>
        <v/>
      </c>
      <c r="BB19" s="224">
        <f>IF('DM_NHAN_SU'!$B19="","",$AE19*'THAM_SO'!$M$14)</f>
        <v/>
      </c>
      <c r="BC19" s="224">
        <f>IF('DM_NHAN_SU'!$B19="","",SUM($AY19:$BB19))</f>
        <v/>
      </c>
      <c r="BD19" s="224">
        <f>IF('DM_NHAN_SU'!$B19="","",$AS19+$BC19)</f>
        <v/>
      </c>
      <c r="BE19" s="224">
        <f>IF('DM_NHAN_SU'!$B19="","",VLOOKUP($H19,'THAM_SO'!$L$17:$P$20,2,FALSE))</f>
        <v/>
      </c>
      <c r="BF19" s="224">
        <f>IF('DM_NHAN_SU'!$B19="","",VLOOKUP($H19,'THAM_SO'!$L$17:$P$20,3,FALSE))</f>
        <v/>
      </c>
      <c r="BG19" s="150">
        <f>IF('DM_NHAN_SU'!$B19="","",IF($B19="","",IF(COUNTIF('DM_NHAN_SU'!$B$6:$B$155,$B19)&gt;1,"Trùng mã NV; ","")&amp;IF(OR($F19="",$G19=""),"Thiếu loại/hình thức lương; ","")&amp;IF('CHAM_CONG_THANG'!$D19="","Chưa chọn nguồn công; ","")&amp;IF(AND('CHAM_CONG_THANG'!$D19="Theo ngày",COUNTIF('CHAM_CONG_NGAY'!$B$6:$B$4655,$B19)=0),"Chưa có chấm công ngày; ","")&amp;IF(OR($I19&lt;=0,$J19&lt;=0),"Thiếu công/giờ chuẩn; ","")&amp;IF(AND($G19="Tháng",'DM_NHAN_SU'!$K19&lt;$BE19),"Lương tháng dưới tối thiểu vùng; ","")&amp;IF(AND($G19="Ngày",'DM_NHAN_SU'!$K19/$J19&lt;$BF19),"Lương ngày quy đổi dưới tối thiểu giờ; ","")&amp;IF(AND($G19="Giờ",'DM_NHAN_SU'!$K19&lt;$BF19),"Lương giờ dưới tối thiểu vùng; ","")&amp;IF(AND($G19="Sản phẩm",$L19&gt;0,$O19/$L19&lt;$BF19),"Lương SP quy đổi dưới tối thiểu giờ; ","")&amp;IF(OR('THAM_SO'!$C$19&lt;'THAM_SO'!$B$19,'THAM_SO'!$C$20&lt;'THAM_SO'!$B$20,'THAM_SO'!$C$21&lt;'THAM_SO'!$B$21,'THAM_SO'!$C$22&lt;'THAM_SO'!$B$22,'THAM_SO'!$C$23&lt;'THAM_SO'!$B$23,'THAM_SO'!$C$24&lt;'THAM_SO'!$B$24,'THAM_SO'!$C$25&lt;'THAM_SO'!$B$25),"Hệ số OT/đêm DN thấp hơn luật; ","")&amp;IF(AND('DM_NHAN_SU'!$R19="Có",$AD19&lt;=0),"Thiếu căn cứ đóng BH; ","")&amp;IF(AND($AD19&gt;0,$AD19&lt;'THAM_SO'!$M$6),"Căn cứ BH dưới sàn – đã nâng sàn; ","")&amp;IF($AD19&gt;'THAM_SO'!$M$7,"Căn cứ BH vượt trần – đã giới hạn; ","")&amp;IF(AND($F19="Net",SUM('CHAM_CONG_THANG'!$AF19:$AK19)&gt;0,'DM_NHAN_SU'!$Q19&lt;=0),"Net có OT nhưng chưa khai lương giờ OT; ","")&amp;IF('CHAM_CONG_THANG'!$V19&gt;$Z19,"Phần OT không miễn lớn hơn tiền OT; ","")&amp;IF(AND($F19="Net",ABS($AT19-$AC19-$AP19)&gt;1),"Lệch quy đổi Net; ","")&amp;IF(AND($BH19&gt;0,'DM_NHAN_SU'!$AD19=""),"Có phép năm nhưng đang tạm dùng 12 ngày; ","")&amp;IF(AND($G19="Sản phẩm",SUM($BH19:$BJ19)&gt;0,'DM_NHAN_SU'!$AH19&lt;=0),"Lương sản phẩm thiếu đơn giá ngày phép/lễ; ","")&amp;IF(AND($BL19&gt;=14,'CHAM_CONG_THANG'!$AA19&lt;&gt;"Có"),"Thai sản từ 14 ngày: file tự dừng đóng BH – kiểm tra hồ sơ; ","")&amp;IF(AND('DM_NHAN_SU'!$AA19="Có",'DM_NHAN_SU'!$AB19=""),"Đoàn viên chưa chọn cách tính đoàn phí; ","")&amp;IF(AND('DM_NHAN_SU'!$AB19="Nhập tay",'DM_NHAN_SU'!$AC19&gt;'THAM_SO'!$M$26),"Đoàn phí nhập tay vượt trần thông dụng; ","")&amp;IF('NGHI_PHEP'!$L19&lt;&gt;"","Phép: "&amp;'NGHI_PHEP'!$L19,"")&amp;IF('CHE_DO_BHXH'!$AA19&lt;&gt;"","BHXH: "&amp;'CHE_DO_BHXH'!$AA19,"")&amp;IF('THUONG_T13_TET'!$O19&lt;&gt;"","Thưởng: "&amp;'THUONG_T13_TET'!$O19,"")&amp;IF('QT_NGHI_VIEC'!$AF19&lt;&gt;"","Nghỉ việc: "&amp;'QT_NGHI_VIEC'!$AF19,"")&amp;IF($AX19&lt;0,"Thực lĩnh âm; ","")&amp;IF(OR('DM_NHAN_SU'!$F19&gt;'THAM_SO'!$B$7,AND('DM_NHAN_SU'!$G19&lt;&gt;"",'DM_NHAN_SU'!$G19&lt;'THAM_SO'!$B$6)),"Ngoài kỳ trả lương; ","")))</f>
        <v/>
      </c>
      <c r="BH19" s="232">
        <f>IF('DM_NHAN_SU'!$B19="","",'CHAM_CONG_THANG'!AR19)</f>
        <v/>
      </c>
      <c r="BI19" s="232">
        <f>IF('DM_NHAN_SU'!$B19="","",'CHAM_CONG_THANG'!AS19)</f>
        <v/>
      </c>
      <c r="BJ19" s="232">
        <f>IF('DM_NHAN_SU'!$B19="","",'CHAM_CONG_THANG'!AT19)</f>
        <v/>
      </c>
      <c r="BK19" s="232">
        <f>IF('DM_NHAN_SU'!$B19="","",'CHAM_CONG_THANG'!AU19)</f>
        <v/>
      </c>
      <c r="BL19" s="232">
        <f>IF('DM_NHAN_SU'!$B19="","",'CHAM_CONG_THANG'!AV19)</f>
        <v/>
      </c>
      <c r="BM19" s="232">
        <f>IF('DM_NHAN_SU'!$B19="","",'CHAM_CONG_THANG'!AW19)</f>
        <v/>
      </c>
      <c r="BN19" s="232">
        <f>IF('DM_NHAN_SU'!$B19="","",SUM($K19,$BH19:$BJ19))</f>
        <v/>
      </c>
      <c r="BO19" s="224">
        <f>IF('DM_NHAN_SU'!$B19="","",IF($B19="",0,IF($G19="Tháng",IF($I19&gt;0,'DM_NHAN_SU'!$K19*MIN($BH19+$BJ19,MAX($I19-$K19,0))/$I19,0),IF($G19="Ngày",'DM_NHAN_SU'!$K19*SUM($BH19:$BJ19),IF($G19="Giờ",'DM_NHAN_SU'!$K19*SUM($BH19:$BJ19)*$J19,IF($G19="Sản phẩm",'DM_NHAN_SU'!$AH19*SUM($BH19:$BJ19),0))))))</f>
        <v/>
      </c>
      <c r="BP19" s="224">
        <f>IF('DM_NHAN_SU'!$B19="","",IF('THUONG_T13_TET'!$L19="Có",'THUONG_T13_TET'!$I19,0))</f>
        <v/>
      </c>
      <c r="BQ19" s="224">
        <f>IF('DM_NHAN_SU'!$B19="","",IF('THUONG_T13_TET'!$L19="Có",SUM('THUONG_T13_TET'!$J19:$K19),0))</f>
        <v/>
      </c>
      <c r="BR19" s="224">
        <f>IF('DM_NHAN_SU'!$B19="","",'QT_NGHI_VIEC'!AC19)</f>
        <v/>
      </c>
      <c r="BS19" s="224">
        <f>IF('DM_NHAN_SU'!$B19="","",'QT_NGHI_VIEC'!AB19)</f>
        <v/>
      </c>
      <c r="BT19" s="224">
        <f>IF('DM_NHAN_SU'!$B19="","",IF('CHE_DO_BHXH'!$Z19="Có",'CHE_DO_BHXH'!$W19,0))</f>
        <v/>
      </c>
      <c r="BU19" s="224">
        <f>IF('DM_NHAN_SU'!$B19="","",IF('CHE_DO_BHXH'!$Y19="DN trả thay",$BT19,0))</f>
        <v/>
      </c>
      <c r="BV19" s="224">
        <f>IF('DM_NHAN_SU'!$B19="","",IF(OR('DM_NHAN_SU'!$AA19&lt;&gt;"Có",'CHE_DO_BHXH'!$O19&gt;=1,SUM('CHE_DO_BHXH'!$D19,'CHE_DO_BHXH'!$G19,'CHE_DO_BHXH'!$K19)&gt;=24,AND($I19&gt;0,$BM19&gt;=$I19)),0,IF('DM_NHAN_SU'!$AB19="Không",0,IF('DM_NHAN_SU'!$AB19="Nhập tay",'DM_NHAN_SU'!$AC19,IF('DM_NHAN_SU'!$AB19="Theo thực nhận",MIN(MAX($AT19-$AU19-$AV19-$AW19,0)*'THAM_SO'!$M$23,'THAM_SO'!$M$26),MIN($AE19*'THAM_SO'!$M$23,'THAM_SO'!$M$26))))))</f>
        <v/>
      </c>
      <c r="BW19" s="224">
        <f>IF('DM_NHAN_SU'!$B19="","",$AX19+$BU19)</f>
        <v/>
      </c>
    </row>
    <row r="20">
      <c r="A20" s="145">
        <f>IF('DM_NHAN_SU'!$B20="","",IF($B20="","",ROW()-5))</f>
        <v/>
      </c>
      <c r="B20" s="145">
        <f>IF('DM_NHAN_SU'!$B20="","",'DM_NHAN_SU'!B20)</f>
        <v/>
      </c>
      <c r="C20" s="145">
        <f>IF('DM_NHAN_SU'!$B20="","",'DM_NHAN_SU'!C20)</f>
        <v/>
      </c>
      <c r="D20" s="145">
        <f>IF('DM_NHAN_SU'!$B20="","",'DM_NHAN_SU'!D20)</f>
        <v/>
      </c>
      <c r="E20" s="145">
        <f>IF('DM_NHAN_SU'!$B20="","",'DM_NHAN_SU'!E20)</f>
        <v/>
      </c>
      <c r="F20" s="145">
        <f>IF('DM_NHAN_SU'!$B20="","",'DM_NHAN_SU'!I20)</f>
        <v/>
      </c>
      <c r="G20" s="145">
        <f>IF('DM_NHAN_SU'!$B20="","",'DM_NHAN_SU'!J20)</f>
        <v/>
      </c>
      <c r="H20" s="145">
        <f>IF('DM_NHAN_SU'!$B20="","",IF('DM_NHAN_SU'!H20="",'THAM_SO'!$B$11,'DM_NHAN_SU'!H20))</f>
        <v/>
      </c>
      <c r="I20" s="232">
        <f>IF('DM_NHAN_SU'!$B20="","",IF('DM_NHAN_SU'!L20&gt;0,'DM_NHAN_SU'!L20,'THAM_SO'!$B$9))</f>
        <v/>
      </c>
      <c r="J20" s="232">
        <f>IF('DM_NHAN_SU'!$B20="","",IF('DM_NHAN_SU'!M20&gt;0,'DM_NHAN_SU'!M20,'THAM_SO'!$B$10))</f>
        <v/>
      </c>
      <c r="K20" s="232">
        <f>IF('DM_NHAN_SU'!$B20="","",'CHAM_CONG_THANG'!AC20)</f>
        <v/>
      </c>
      <c r="L20" s="232">
        <f>IF('DM_NHAN_SU'!$B20="","",'CHAM_CONG_THANG'!AD20)</f>
        <v/>
      </c>
      <c r="M20" s="232">
        <f>IF('DM_NHAN_SU'!$B20="","",'CHAM_CONG_THANG'!AE20)</f>
        <v/>
      </c>
      <c r="N20" s="232">
        <f>IF('DM_NHAN_SU'!$B20="","",'CHAM_CONG_THANG'!N20)</f>
        <v/>
      </c>
      <c r="O20" s="224">
        <f>IF('DM_NHAN_SU'!$B20="","",IF($B20="","",IF($G20="Tháng",IF($I20&gt;0,'DM_NHAN_SU'!$K20*MIN($K20,$I20)/$I20,0),IF($G20="Ngày",'DM_NHAN_SU'!$K20*$K20,IF($G20="Giờ",'DM_NHAN_SU'!$K20*$L20,IF($G20="Sản phẩm",'DM_NHAN_SU'!$K20*$N20,0))))))</f>
        <v/>
      </c>
      <c r="P20" s="224">
        <f>IF('DM_NHAN_SU'!$B20="","",'CHAM_CONG_THANG'!O20)</f>
        <v/>
      </c>
      <c r="Q20" s="224">
        <f>IF('DM_NHAN_SU'!$B20="","",'CHAM_CONG_THANG'!P20)</f>
        <v/>
      </c>
      <c r="R20" s="224">
        <f>IF('DM_NHAN_SU'!$B20="","",'CHAM_CONG_THANG'!Q20)</f>
        <v/>
      </c>
      <c r="S20" s="224">
        <f>IF('DM_NHAN_SU'!$B20="","",'CHAM_CONG_THANG'!R20)</f>
        <v/>
      </c>
      <c r="T20" s="224">
        <f>IF('DM_NHAN_SU'!$B20="","",'CHAM_CONG_THANG'!S20)</f>
        <v/>
      </c>
      <c r="U20" s="224">
        <f>IF('DM_NHAN_SU'!$B20="","",MIN($T20,'THAM_SO'!$F$6))</f>
        <v/>
      </c>
      <c r="V20" s="224">
        <f>IF('DM_NHAN_SU'!$B20="","",MAX($T20-$U20,0))</f>
        <v/>
      </c>
      <c r="W20" s="224">
        <f>IF('DM_NHAN_SU'!$B20="","",'CHAM_CONG_THANG'!T20)</f>
        <v/>
      </c>
      <c r="X20" s="224">
        <f>IF('DM_NHAN_SU'!$B20="","",'CHAM_CONG_THANG'!U20)</f>
        <v/>
      </c>
      <c r="Y20" s="224">
        <f>IF('DM_NHAN_SU'!$B20="","",IF($B20="",0,IF('DM_NHAN_SU'!$Q20&gt;0,'DM_NHAN_SU'!$Q20,IF($G20="Tháng",IF($I20*$J20&gt;0,'DM_NHAN_SU'!$K20/($I20*$J20),0),IF($G20="Ngày",IF($J20&gt;0,'DM_NHAN_SU'!$K20/$J20,0),IF($G20="Giờ",'DM_NHAN_SU'!$K20,0))))))</f>
        <v/>
      </c>
      <c r="Z20" s="224">
        <f>IF('DM_NHAN_SU'!$B20="","",$Y20*($M20*'THAM_SO'!$C$22+'CHAM_CONG_THANG'!$AF20*'THAM_SO'!$C$19+'CHAM_CONG_THANG'!$AG20*'THAM_SO'!$C$20+'CHAM_CONG_THANG'!$AH20*'THAM_SO'!$C$21+'CHAM_CONG_THANG'!$AI20*'THAM_SO'!$C$23+'CHAM_CONG_THANG'!$AJ20*'THAM_SO'!$C$24+'CHAM_CONG_THANG'!$AK20*'THAM_SO'!$C$25))</f>
        <v/>
      </c>
      <c r="AA20" s="224">
        <f>IF('DM_NHAN_SU'!$B20="","",MAX(0,$Y20*($M20*IF('THAM_SO'!$C$22&gt;='THAM_SO'!$B$22,'THAM_SO'!$B$22,0)+'CHAM_CONG_THANG'!$AF20*IF('THAM_SO'!$C$19&gt;='THAM_SO'!$B$19,'THAM_SO'!$B$19,0)+'CHAM_CONG_THANG'!$AG20*IF('THAM_SO'!$C$20&gt;='THAM_SO'!$B$20,'THAM_SO'!$B$20,0)+'CHAM_CONG_THANG'!$AH20*IF('THAM_SO'!$C$21&gt;='THAM_SO'!$B$21,'THAM_SO'!$B$21,0)+'CHAM_CONG_THANG'!$AI20*IF('THAM_SO'!$C$23&gt;='THAM_SO'!$B$23,'THAM_SO'!$B$23,0)+'CHAM_CONG_THANG'!$AJ20*IF('THAM_SO'!$C$24&gt;='THAM_SO'!$B$24,'THAM_SO'!$B$24,0)+'CHAM_CONG_THANG'!$AK20*IF('THAM_SO'!$C$25&gt;='THAM_SO'!$B$25,'THAM_SO'!$B$25,0))-'CHAM_CONG_THANG'!$V20))</f>
        <v/>
      </c>
      <c r="AB20" s="224">
        <f>IF('DM_NHAN_SU'!$B20="","",MAX($Z20-$AA20,0))</f>
        <v/>
      </c>
      <c r="AC20" s="224">
        <f>IF('DM_NHAN_SU'!$B20="","",$O20+$P20+$Q20+$R20+$S20+$V20+$AB20+$BO20+$BP20+$BQ20+$BR20)</f>
        <v/>
      </c>
      <c r="AD20" s="224">
        <f>IF('DM_NHAN_SU'!$B20="","",'DM_NHAN_SU'!N20+'DM_NHAN_SU'!O20+'DM_NHAN_SU'!P20)</f>
        <v/>
      </c>
      <c r="AE20" s="224">
        <f>IF('DM_NHAN_SU'!$B20="","",IF(OR('DM_NHAN_SU'!$R20&lt;&gt;"Có",'CHAM_CONG_THANG'!$AA20="Có",$BL20&gt;=14,$AD20&lt;=0),0,MIN(MAX($AD20,'THAM_SO'!$M$6),'THAM_SO'!$M$7)))</f>
        <v/>
      </c>
      <c r="AF20" s="224">
        <f>IF('DM_NHAN_SU'!$B20="","",IF(OR('DM_NHAN_SU'!$S20&lt;&gt;"Có",'CHAM_CONG_THANG'!$AA20="Có",$BL20&gt;=14,$AD20&lt;=0),0,MIN(MAX($AD20,VLOOKUP($H20,'THAM_SO'!$L$17:$P$20,4,FALSE)),VLOOKUP($H20,'THAM_SO'!$L$17:$P$20,5,FALSE))))</f>
        <v/>
      </c>
      <c r="AG20" s="224">
        <f>IF('DM_NHAN_SU'!$B20="","",$AE20*'THAM_SO'!$M$8)</f>
        <v/>
      </c>
      <c r="AH20" s="224">
        <f>IF('DM_NHAN_SU'!$B20="","",$AE20*'THAM_SO'!$M$9)</f>
        <v/>
      </c>
      <c r="AI20" s="224">
        <f>IF('DM_NHAN_SU'!$B20="","",$AF20*'THAM_SO'!$M$10)</f>
        <v/>
      </c>
      <c r="AJ20" s="224">
        <f>IF('DM_NHAN_SU'!$B20="","",SUM($AG20:$AI20))</f>
        <v/>
      </c>
      <c r="AK20" s="224">
        <f>IF('DM_NHAN_SU'!$B20="","",IF($B20="",0,'THAM_SO'!$F$4))</f>
        <v/>
      </c>
      <c r="AL20" s="224">
        <f>IF('DM_NHAN_SU'!$B20="","",IF($B20="",0,'DM_NHAN_SU'!$T20*'THAM_SO'!$F$5))</f>
        <v/>
      </c>
      <c r="AM20" s="224">
        <f>IF('DM_NHAN_SU'!$B20="","",'CHAM_CONG_THANG'!W20)</f>
        <v/>
      </c>
      <c r="AN20" s="224">
        <f>IF('DM_NHAN_SU'!$B20="","",MAX($AC20-$AK20-$AL20-$AM20,0))</f>
        <v/>
      </c>
      <c r="AO20" s="224">
        <f>IF('DM_NHAN_SU'!$B20="","",IF($B20="","",IF($F20="Net",IF($AC20&lt;=$AK20+$AL20+$AM20,$AC20+$AJ20,$AJ20+$AK20+$AL20+$AM20+IF($AN20&lt;='THAM_SO'!$J$10,($AN20-'THAM_SO'!$I$10)/(1-'THAM_SO'!$H$10),IF($AN20&lt;='THAM_SO'!$J$11,($AN20-'THAM_SO'!$I$11)/(1-'THAM_SO'!$H$11),IF($AN20&lt;='THAM_SO'!$J$12,($AN20-'THAM_SO'!$I$12)/(1-'THAM_SO'!$H$12),IF($AN20&lt;='THAM_SO'!$J$13,($AN20-'THAM_SO'!$I$13)/(1-'THAM_SO'!$H$13),($AN20-'THAM_SO'!$I$14)/(1-'THAM_SO'!$H$14)))))),$AC20)))</f>
        <v/>
      </c>
      <c r="AP20" s="224">
        <f>IF('DM_NHAN_SU'!$B20="","",$U20+$W20+$X20+$AA20+$BS20)</f>
        <v/>
      </c>
      <c r="AQ20" s="224">
        <f>IF('DM_NHAN_SU'!$B20="","",MAX($AO20-$AJ20-$AK20-$AL20-$AM20,0))</f>
        <v/>
      </c>
      <c r="AR20" s="224">
        <f>IF('DM_NHAN_SU'!$B20="","",IF($AQ20&lt;=0,0,$AQ20*VLOOKUP($AQ20,'THAM_SO'!$F$10:$I$14,3,TRUE)-VLOOKUP($AQ20,'THAM_SO'!$F$10:$I$14,4,TRUE)))</f>
        <v/>
      </c>
      <c r="AS20" s="224">
        <f>IF('DM_NHAN_SU'!$B20="","",$AO20+$AP20)</f>
        <v/>
      </c>
      <c r="AT20" s="224">
        <f>IF('DM_NHAN_SU'!$B20="","",$AS20-$AJ20-$AR20)</f>
        <v/>
      </c>
      <c r="AU20" s="224">
        <f>IF('DM_NHAN_SU'!$B20="","",'CHAM_CONG_THANG'!X20)</f>
        <v/>
      </c>
      <c r="AV20" s="224">
        <f>IF('DM_NHAN_SU'!$B20="","",'CHAM_CONG_THANG'!Y20+'QT_NGHI_VIEC'!AD20)</f>
        <v/>
      </c>
      <c r="AW20" s="224">
        <f>IF('DM_NHAN_SU'!$B20="","",'CHAM_CONG_THANG'!Z20)</f>
        <v/>
      </c>
      <c r="AX20" s="224">
        <f>IF('DM_NHAN_SU'!$B20="","",$AT20-$AU20-$AV20-$AW20-$BV20)</f>
        <v/>
      </c>
      <c r="AY20" s="224">
        <f>IF('DM_NHAN_SU'!$B20="","",$AE20*'THAM_SO'!$M$11)</f>
        <v/>
      </c>
      <c r="AZ20" s="224">
        <f>IF('DM_NHAN_SU'!$B20="","",$AE20*'THAM_SO'!$M$12)</f>
        <v/>
      </c>
      <c r="BA20" s="224">
        <f>IF('DM_NHAN_SU'!$B20="","",$AF20*'THAM_SO'!$M$13)</f>
        <v/>
      </c>
      <c r="BB20" s="224">
        <f>IF('DM_NHAN_SU'!$B20="","",$AE20*'THAM_SO'!$M$14)</f>
        <v/>
      </c>
      <c r="BC20" s="224">
        <f>IF('DM_NHAN_SU'!$B20="","",SUM($AY20:$BB20))</f>
        <v/>
      </c>
      <c r="BD20" s="224">
        <f>IF('DM_NHAN_SU'!$B20="","",$AS20+$BC20)</f>
        <v/>
      </c>
      <c r="BE20" s="224">
        <f>IF('DM_NHAN_SU'!$B20="","",VLOOKUP($H20,'THAM_SO'!$L$17:$P$20,2,FALSE))</f>
        <v/>
      </c>
      <c r="BF20" s="224">
        <f>IF('DM_NHAN_SU'!$B20="","",VLOOKUP($H20,'THAM_SO'!$L$17:$P$20,3,FALSE))</f>
        <v/>
      </c>
      <c r="BG20" s="150">
        <f>IF('DM_NHAN_SU'!$B20="","",IF($B20="","",IF(COUNTIF('DM_NHAN_SU'!$B$6:$B$155,$B20)&gt;1,"Trùng mã NV; ","")&amp;IF(OR($F20="",$G20=""),"Thiếu loại/hình thức lương; ","")&amp;IF('CHAM_CONG_THANG'!$D20="","Chưa chọn nguồn công; ","")&amp;IF(AND('CHAM_CONG_THANG'!$D20="Theo ngày",COUNTIF('CHAM_CONG_NGAY'!$B$6:$B$4655,$B20)=0),"Chưa có chấm công ngày; ","")&amp;IF(OR($I20&lt;=0,$J20&lt;=0),"Thiếu công/giờ chuẩn; ","")&amp;IF(AND($G20="Tháng",'DM_NHAN_SU'!$K20&lt;$BE20),"Lương tháng dưới tối thiểu vùng; ","")&amp;IF(AND($G20="Ngày",'DM_NHAN_SU'!$K20/$J20&lt;$BF20),"Lương ngày quy đổi dưới tối thiểu giờ; ","")&amp;IF(AND($G20="Giờ",'DM_NHAN_SU'!$K20&lt;$BF20),"Lương giờ dưới tối thiểu vùng; ","")&amp;IF(AND($G20="Sản phẩm",$L20&gt;0,$O20/$L20&lt;$BF20),"Lương SP quy đổi dưới tối thiểu giờ; ","")&amp;IF(OR('THAM_SO'!$C$19&lt;'THAM_SO'!$B$19,'THAM_SO'!$C$20&lt;'THAM_SO'!$B$20,'THAM_SO'!$C$21&lt;'THAM_SO'!$B$21,'THAM_SO'!$C$22&lt;'THAM_SO'!$B$22,'THAM_SO'!$C$23&lt;'THAM_SO'!$B$23,'THAM_SO'!$C$24&lt;'THAM_SO'!$B$24,'THAM_SO'!$C$25&lt;'THAM_SO'!$B$25),"Hệ số OT/đêm DN thấp hơn luật; ","")&amp;IF(AND('DM_NHAN_SU'!$R20="Có",$AD20&lt;=0),"Thiếu căn cứ đóng BH; ","")&amp;IF(AND($AD20&gt;0,$AD20&lt;'THAM_SO'!$M$6),"Căn cứ BH dưới sàn – đã nâng sàn; ","")&amp;IF($AD20&gt;'THAM_SO'!$M$7,"Căn cứ BH vượt trần – đã giới hạn; ","")&amp;IF(AND($F20="Net",SUM('CHAM_CONG_THANG'!$AF20:$AK20)&gt;0,'DM_NHAN_SU'!$Q20&lt;=0),"Net có OT nhưng chưa khai lương giờ OT; ","")&amp;IF('CHAM_CONG_THANG'!$V20&gt;$Z20,"Phần OT không miễn lớn hơn tiền OT; ","")&amp;IF(AND($F20="Net",ABS($AT20-$AC20-$AP20)&gt;1),"Lệch quy đổi Net; ","")&amp;IF(AND($BH20&gt;0,'DM_NHAN_SU'!$AD20=""),"Có phép năm nhưng đang tạm dùng 12 ngày; ","")&amp;IF(AND($G20="Sản phẩm",SUM($BH20:$BJ20)&gt;0,'DM_NHAN_SU'!$AH20&lt;=0),"Lương sản phẩm thiếu đơn giá ngày phép/lễ; ","")&amp;IF(AND($BL20&gt;=14,'CHAM_CONG_THANG'!$AA20&lt;&gt;"Có"),"Thai sản từ 14 ngày: file tự dừng đóng BH – kiểm tra hồ sơ; ","")&amp;IF(AND('DM_NHAN_SU'!$AA20="Có",'DM_NHAN_SU'!$AB20=""),"Đoàn viên chưa chọn cách tính đoàn phí; ","")&amp;IF(AND('DM_NHAN_SU'!$AB20="Nhập tay",'DM_NHAN_SU'!$AC20&gt;'THAM_SO'!$M$26),"Đoàn phí nhập tay vượt trần thông dụng; ","")&amp;IF('NGHI_PHEP'!$L20&lt;&gt;"","Phép: "&amp;'NGHI_PHEP'!$L20,"")&amp;IF('CHE_DO_BHXH'!$AA20&lt;&gt;"","BHXH: "&amp;'CHE_DO_BHXH'!$AA20,"")&amp;IF('THUONG_T13_TET'!$O20&lt;&gt;"","Thưởng: "&amp;'THUONG_T13_TET'!$O20,"")&amp;IF('QT_NGHI_VIEC'!$AF20&lt;&gt;"","Nghỉ việc: "&amp;'QT_NGHI_VIEC'!$AF20,"")&amp;IF($AX20&lt;0,"Thực lĩnh âm; ","")&amp;IF(OR('DM_NHAN_SU'!$F20&gt;'THAM_SO'!$B$7,AND('DM_NHAN_SU'!$G20&lt;&gt;"",'DM_NHAN_SU'!$G20&lt;'THAM_SO'!$B$6)),"Ngoài kỳ trả lương; ","")))</f>
        <v/>
      </c>
      <c r="BH20" s="232">
        <f>IF('DM_NHAN_SU'!$B20="","",'CHAM_CONG_THANG'!AR20)</f>
        <v/>
      </c>
      <c r="BI20" s="232">
        <f>IF('DM_NHAN_SU'!$B20="","",'CHAM_CONG_THANG'!AS20)</f>
        <v/>
      </c>
      <c r="BJ20" s="232">
        <f>IF('DM_NHAN_SU'!$B20="","",'CHAM_CONG_THANG'!AT20)</f>
        <v/>
      </c>
      <c r="BK20" s="232">
        <f>IF('DM_NHAN_SU'!$B20="","",'CHAM_CONG_THANG'!AU20)</f>
        <v/>
      </c>
      <c r="BL20" s="232">
        <f>IF('DM_NHAN_SU'!$B20="","",'CHAM_CONG_THANG'!AV20)</f>
        <v/>
      </c>
      <c r="BM20" s="232">
        <f>IF('DM_NHAN_SU'!$B20="","",'CHAM_CONG_THANG'!AW20)</f>
        <v/>
      </c>
      <c r="BN20" s="232">
        <f>IF('DM_NHAN_SU'!$B20="","",SUM($K20,$BH20:$BJ20))</f>
        <v/>
      </c>
      <c r="BO20" s="224">
        <f>IF('DM_NHAN_SU'!$B20="","",IF($B20="",0,IF($G20="Tháng",IF($I20&gt;0,'DM_NHAN_SU'!$K20*MIN($BH20+$BJ20,MAX($I20-$K20,0))/$I20,0),IF($G20="Ngày",'DM_NHAN_SU'!$K20*SUM($BH20:$BJ20),IF($G20="Giờ",'DM_NHAN_SU'!$K20*SUM($BH20:$BJ20)*$J20,IF($G20="Sản phẩm",'DM_NHAN_SU'!$AH20*SUM($BH20:$BJ20),0))))))</f>
        <v/>
      </c>
      <c r="BP20" s="224">
        <f>IF('DM_NHAN_SU'!$B20="","",IF('THUONG_T13_TET'!$L20="Có",'THUONG_T13_TET'!$I20,0))</f>
        <v/>
      </c>
      <c r="BQ20" s="224">
        <f>IF('DM_NHAN_SU'!$B20="","",IF('THUONG_T13_TET'!$L20="Có",SUM('THUONG_T13_TET'!$J20:$K20),0))</f>
        <v/>
      </c>
      <c r="BR20" s="224">
        <f>IF('DM_NHAN_SU'!$B20="","",'QT_NGHI_VIEC'!AC20)</f>
        <v/>
      </c>
      <c r="BS20" s="224">
        <f>IF('DM_NHAN_SU'!$B20="","",'QT_NGHI_VIEC'!AB20)</f>
        <v/>
      </c>
      <c r="BT20" s="224">
        <f>IF('DM_NHAN_SU'!$B20="","",IF('CHE_DO_BHXH'!$Z20="Có",'CHE_DO_BHXH'!$W20,0))</f>
        <v/>
      </c>
      <c r="BU20" s="224">
        <f>IF('DM_NHAN_SU'!$B20="","",IF('CHE_DO_BHXH'!$Y20="DN trả thay",$BT20,0))</f>
        <v/>
      </c>
      <c r="BV20" s="224">
        <f>IF('DM_NHAN_SU'!$B20="","",IF(OR('DM_NHAN_SU'!$AA20&lt;&gt;"Có",'CHE_DO_BHXH'!$O20&gt;=1,SUM('CHE_DO_BHXH'!$D20,'CHE_DO_BHXH'!$G20,'CHE_DO_BHXH'!$K20)&gt;=24,AND($I20&gt;0,$BM20&gt;=$I20)),0,IF('DM_NHAN_SU'!$AB20="Không",0,IF('DM_NHAN_SU'!$AB20="Nhập tay",'DM_NHAN_SU'!$AC20,IF('DM_NHAN_SU'!$AB20="Theo thực nhận",MIN(MAX($AT20-$AU20-$AV20-$AW20,0)*'THAM_SO'!$M$23,'THAM_SO'!$M$26),MIN($AE20*'THAM_SO'!$M$23,'THAM_SO'!$M$26))))))</f>
        <v/>
      </c>
      <c r="BW20" s="224">
        <f>IF('DM_NHAN_SU'!$B20="","",$AX20+$BU20)</f>
        <v/>
      </c>
    </row>
    <row r="21">
      <c r="A21" s="145">
        <f>IF('DM_NHAN_SU'!$B21="","",IF($B21="","",ROW()-5))</f>
        <v/>
      </c>
      <c r="B21" s="145">
        <f>IF('DM_NHAN_SU'!$B21="","",'DM_NHAN_SU'!B21)</f>
        <v/>
      </c>
      <c r="C21" s="145">
        <f>IF('DM_NHAN_SU'!$B21="","",'DM_NHAN_SU'!C21)</f>
        <v/>
      </c>
      <c r="D21" s="145">
        <f>IF('DM_NHAN_SU'!$B21="","",'DM_NHAN_SU'!D21)</f>
        <v/>
      </c>
      <c r="E21" s="145">
        <f>IF('DM_NHAN_SU'!$B21="","",'DM_NHAN_SU'!E21)</f>
        <v/>
      </c>
      <c r="F21" s="145">
        <f>IF('DM_NHAN_SU'!$B21="","",'DM_NHAN_SU'!I21)</f>
        <v/>
      </c>
      <c r="G21" s="145">
        <f>IF('DM_NHAN_SU'!$B21="","",'DM_NHAN_SU'!J21)</f>
        <v/>
      </c>
      <c r="H21" s="145">
        <f>IF('DM_NHAN_SU'!$B21="","",IF('DM_NHAN_SU'!H21="",'THAM_SO'!$B$11,'DM_NHAN_SU'!H21))</f>
        <v/>
      </c>
      <c r="I21" s="232">
        <f>IF('DM_NHAN_SU'!$B21="","",IF('DM_NHAN_SU'!L21&gt;0,'DM_NHAN_SU'!L21,'THAM_SO'!$B$9))</f>
        <v/>
      </c>
      <c r="J21" s="232">
        <f>IF('DM_NHAN_SU'!$B21="","",IF('DM_NHAN_SU'!M21&gt;0,'DM_NHAN_SU'!M21,'THAM_SO'!$B$10))</f>
        <v/>
      </c>
      <c r="K21" s="232">
        <f>IF('DM_NHAN_SU'!$B21="","",'CHAM_CONG_THANG'!AC21)</f>
        <v/>
      </c>
      <c r="L21" s="232">
        <f>IF('DM_NHAN_SU'!$B21="","",'CHAM_CONG_THANG'!AD21)</f>
        <v/>
      </c>
      <c r="M21" s="232">
        <f>IF('DM_NHAN_SU'!$B21="","",'CHAM_CONG_THANG'!AE21)</f>
        <v/>
      </c>
      <c r="N21" s="232">
        <f>IF('DM_NHAN_SU'!$B21="","",'CHAM_CONG_THANG'!N21)</f>
        <v/>
      </c>
      <c r="O21" s="224">
        <f>IF('DM_NHAN_SU'!$B21="","",IF($B21="","",IF($G21="Tháng",IF($I21&gt;0,'DM_NHAN_SU'!$K21*MIN($K21,$I21)/$I21,0),IF($G21="Ngày",'DM_NHAN_SU'!$K21*$K21,IF($G21="Giờ",'DM_NHAN_SU'!$K21*$L21,IF($G21="Sản phẩm",'DM_NHAN_SU'!$K21*$N21,0))))))</f>
        <v/>
      </c>
      <c r="P21" s="224">
        <f>IF('DM_NHAN_SU'!$B21="","",'CHAM_CONG_THANG'!O21)</f>
        <v/>
      </c>
      <c r="Q21" s="224">
        <f>IF('DM_NHAN_SU'!$B21="","",'CHAM_CONG_THANG'!P21)</f>
        <v/>
      </c>
      <c r="R21" s="224">
        <f>IF('DM_NHAN_SU'!$B21="","",'CHAM_CONG_THANG'!Q21)</f>
        <v/>
      </c>
      <c r="S21" s="224">
        <f>IF('DM_NHAN_SU'!$B21="","",'CHAM_CONG_THANG'!R21)</f>
        <v/>
      </c>
      <c r="T21" s="224">
        <f>IF('DM_NHAN_SU'!$B21="","",'CHAM_CONG_THANG'!S21)</f>
        <v/>
      </c>
      <c r="U21" s="224">
        <f>IF('DM_NHAN_SU'!$B21="","",MIN($T21,'THAM_SO'!$F$6))</f>
        <v/>
      </c>
      <c r="V21" s="224">
        <f>IF('DM_NHAN_SU'!$B21="","",MAX($T21-$U21,0))</f>
        <v/>
      </c>
      <c r="W21" s="224">
        <f>IF('DM_NHAN_SU'!$B21="","",'CHAM_CONG_THANG'!T21)</f>
        <v/>
      </c>
      <c r="X21" s="224">
        <f>IF('DM_NHAN_SU'!$B21="","",'CHAM_CONG_THANG'!U21)</f>
        <v/>
      </c>
      <c r="Y21" s="224">
        <f>IF('DM_NHAN_SU'!$B21="","",IF($B21="",0,IF('DM_NHAN_SU'!$Q21&gt;0,'DM_NHAN_SU'!$Q21,IF($G21="Tháng",IF($I21*$J21&gt;0,'DM_NHAN_SU'!$K21/($I21*$J21),0),IF($G21="Ngày",IF($J21&gt;0,'DM_NHAN_SU'!$K21/$J21,0),IF($G21="Giờ",'DM_NHAN_SU'!$K21,0))))))</f>
        <v/>
      </c>
      <c r="Z21" s="224">
        <f>IF('DM_NHAN_SU'!$B21="","",$Y21*($M21*'THAM_SO'!$C$22+'CHAM_CONG_THANG'!$AF21*'THAM_SO'!$C$19+'CHAM_CONG_THANG'!$AG21*'THAM_SO'!$C$20+'CHAM_CONG_THANG'!$AH21*'THAM_SO'!$C$21+'CHAM_CONG_THANG'!$AI21*'THAM_SO'!$C$23+'CHAM_CONG_THANG'!$AJ21*'THAM_SO'!$C$24+'CHAM_CONG_THANG'!$AK21*'THAM_SO'!$C$25))</f>
        <v/>
      </c>
      <c r="AA21" s="224">
        <f>IF('DM_NHAN_SU'!$B21="","",MAX(0,$Y21*($M21*IF('THAM_SO'!$C$22&gt;='THAM_SO'!$B$22,'THAM_SO'!$B$22,0)+'CHAM_CONG_THANG'!$AF21*IF('THAM_SO'!$C$19&gt;='THAM_SO'!$B$19,'THAM_SO'!$B$19,0)+'CHAM_CONG_THANG'!$AG21*IF('THAM_SO'!$C$20&gt;='THAM_SO'!$B$20,'THAM_SO'!$B$20,0)+'CHAM_CONG_THANG'!$AH21*IF('THAM_SO'!$C$21&gt;='THAM_SO'!$B$21,'THAM_SO'!$B$21,0)+'CHAM_CONG_THANG'!$AI21*IF('THAM_SO'!$C$23&gt;='THAM_SO'!$B$23,'THAM_SO'!$B$23,0)+'CHAM_CONG_THANG'!$AJ21*IF('THAM_SO'!$C$24&gt;='THAM_SO'!$B$24,'THAM_SO'!$B$24,0)+'CHAM_CONG_THANG'!$AK21*IF('THAM_SO'!$C$25&gt;='THAM_SO'!$B$25,'THAM_SO'!$B$25,0))-'CHAM_CONG_THANG'!$V21))</f>
        <v/>
      </c>
      <c r="AB21" s="224">
        <f>IF('DM_NHAN_SU'!$B21="","",MAX($Z21-$AA21,0))</f>
        <v/>
      </c>
      <c r="AC21" s="224">
        <f>IF('DM_NHAN_SU'!$B21="","",$O21+$P21+$Q21+$R21+$S21+$V21+$AB21+$BO21+$BP21+$BQ21+$BR21)</f>
        <v/>
      </c>
      <c r="AD21" s="224">
        <f>IF('DM_NHAN_SU'!$B21="","",'DM_NHAN_SU'!N21+'DM_NHAN_SU'!O21+'DM_NHAN_SU'!P21)</f>
        <v/>
      </c>
      <c r="AE21" s="224">
        <f>IF('DM_NHAN_SU'!$B21="","",IF(OR('DM_NHAN_SU'!$R21&lt;&gt;"Có",'CHAM_CONG_THANG'!$AA21="Có",$BL21&gt;=14,$AD21&lt;=0),0,MIN(MAX($AD21,'THAM_SO'!$M$6),'THAM_SO'!$M$7)))</f>
        <v/>
      </c>
      <c r="AF21" s="224">
        <f>IF('DM_NHAN_SU'!$B21="","",IF(OR('DM_NHAN_SU'!$S21&lt;&gt;"Có",'CHAM_CONG_THANG'!$AA21="Có",$BL21&gt;=14,$AD21&lt;=0),0,MIN(MAX($AD21,VLOOKUP($H21,'THAM_SO'!$L$17:$P$20,4,FALSE)),VLOOKUP($H21,'THAM_SO'!$L$17:$P$20,5,FALSE))))</f>
        <v/>
      </c>
      <c r="AG21" s="224">
        <f>IF('DM_NHAN_SU'!$B21="","",$AE21*'THAM_SO'!$M$8)</f>
        <v/>
      </c>
      <c r="AH21" s="224">
        <f>IF('DM_NHAN_SU'!$B21="","",$AE21*'THAM_SO'!$M$9)</f>
        <v/>
      </c>
      <c r="AI21" s="224">
        <f>IF('DM_NHAN_SU'!$B21="","",$AF21*'THAM_SO'!$M$10)</f>
        <v/>
      </c>
      <c r="AJ21" s="224">
        <f>IF('DM_NHAN_SU'!$B21="","",SUM($AG21:$AI21))</f>
        <v/>
      </c>
      <c r="AK21" s="224">
        <f>IF('DM_NHAN_SU'!$B21="","",IF($B21="",0,'THAM_SO'!$F$4))</f>
        <v/>
      </c>
      <c r="AL21" s="224">
        <f>IF('DM_NHAN_SU'!$B21="","",IF($B21="",0,'DM_NHAN_SU'!$T21*'THAM_SO'!$F$5))</f>
        <v/>
      </c>
      <c r="AM21" s="224">
        <f>IF('DM_NHAN_SU'!$B21="","",'CHAM_CONG_THANG'!W21)</f>
        <v/>
      </c>
      <c r="AN21" s="224">
        <f>IF('DM_NHAN_SU'!$B21="","",MAX($AC21-$AK21-$AL21-$AM21,0))</f>
        <v/>
      </c>
      <c r="AO21" s="224">
        <f>IF('DM_NHAN_SU'!$B21="","",IF($B21="","",IF($F21="Net",IF($AC21&lt;=$AK21+$AL21+$AM21,$AC21+$AJ21,$AJ21+$AK21+$AL21+$AM21+IF($AN21&lt;='THAM_SO'!$J$10,($AN21-'THAM_SO'!$I$10)/(1-'THAM_SO'!$H$10),IF($AN21&lt;='THAM_SO'!$J$11,($AN21-'THAM_SO'!$I$11)/(1-'THAM_SO'!$H$11),IF($AN21&lt;='THAM_SO'!$J$12,($AN21-'THAM_SO'!$I$12)/(1-'THAM_SO'!$H$12),IF($AN21&lt;='THAM_SO'!$J$13,($AN21-'THAM_SO'!$I$13)/(1-'THAM_SO'!$H$13),($AN21-'THAM_SO'!$I$14)/(1-'THAM_SO'!$H$14)))))),$AC21)))</f>
        <v/>
      </c>
      <c r="AP21" s="224">
        <f>IF('DM_NHAN_SU'!$B21="","",$U21+$W21+$X21+$AA21+$BS21)</f>
        <v/>
      </c>
      <c r="AQ21" s="224">
        <f>IF('DM_NHAN_SU'!$B21="","",MAX($AO21-$AJ21-$AK21-$AL21-$AM21,0))</f>
        <v/>
      </c>
      <c r="AR21" s="224">
        <f>IF('DM_NHAN_SU'!$B21="","",IF($AQ21&lt;=0,0,$AQ21*VLOOKUP($AQ21,'THAM_SO'!$F$10:$I$14,3,TRUE)-VLOOKUP($AQ21,'THAM_SO'!$F$10:$I$14,4,TRUE)))</f>
        <v/>
      </c>
      <c r="AS21" s="224">
        <f>IF('DM_NHAN_SU'!$B21="","",$AO21+$AP21)</f>
        <v/>
      </c>
      <c r="AT21" s="224">
        <f>IF('DM_NHAN_SU'!$B21="","",$AS21-$AJ21-$AR21)</f>
        <v/>
      </c>
      <c r="AU21" s="224">
        <f>IF('DM_NHAN_SU'!$B21="","",'CHAM_CONG_THANG'!X21)</f>
        <v/>
      </c>
      <c r="AV21" s="224">
        <f>IF('DM_NHAN_SU'!$B21="","",'CHAM_CONG_THANG'!Y21+'QT_NGHI_VIEC'!AD21)</f>
        <v/>
      </c>
      <c r="AW21" s="224">
        <f>IF('DM_NHAN_SU'!$B21="","",'CHAM_CONG_THANG'!Z21)</f>
        <v/>
      </c>
      <c r="AX21" s="224">
        <f>IF('DM_NHAN_SU'!$B21="","",$AT21-$AU21-$AV21-$AW21-$BV21)</f>
        <v/>
      </c>
      <c r="AY21" s="224">
        <f>IF('DM_NHAN_SU'!$B21="","",$AE21*'THAM_SO'!$M$11)</f>
        <v/>
      </c>
      <c r="AZ21" s="224">
        <f>IF('DM_NHAN_SU'!$B21="","",$AE21*'THAM_SO'!$M$12)</f>
        <v/>
      </c>
      <c r="BA21" s="224">
        <f>IF('DM_NHAN_SU'!$B21="","",$AF21*'THAM_SO'!$M$13)</f>
        <v/>
      </c>
      <c r="BB21" s="224">
        <f>IF('DM_NHAN_SU'!$B21="","",$AE21*'THAM_SO'!$M$14)</f>
        <v/>
      </c>
      <c r="BC21" s="224">
        <f>IF('DM_NHAN_SU'!$B21="","",SUM($AY21:$BB21))</f>
        <v/>
      </c>
      <c r="BD21" s="224">
        <f>IF('DM_NHAN_SU'!$B21="","",$AS21+$BC21)</f>
        <v/>
      </c>
      <c r="BE21" s="224">
        <f>IF('DM_NHAN_SU'!$B21="","",VLOOKUP($H21,'THAM_SO'!$L$17:$P$20,2,FALSE))</f>
        <v/>
      </c>
      <c r="BF21" s="224">
        <f>IF('DM_NHAN_SU'!$B21="","",VLOOKUP($H21,'THAM_SO'!$L$17:$P$20,3,FALSE))</f>
        <v/>
      </c>
      <c r="BG21" s="150">
        <f>IF('DM_NHAN_SU'!$B21="","",IF($B21="","",IF(COUNTIF('DM_NHAN_SU'!$B$6:$B$155,$B21)&gt;1,"Trùng mã NV; ","")&amp;IF(OR($F21="",$G21=""),"Thiếu loại/hình thức lương; ","")&amp;IF('CHAM_CONG_THANG'!$D21="","Chưa chọn nguồn công; ","")&amp;IF(AND('CHAM_CONG_THANG'!$D21="Theo ngày",COUNTIF('CHAM_CONG_NGAY'!$B$6:$B$4655,$B21)=0),"Chưa có chấm công ngày; ","")&amp;IF(OR($I21&lt;=0,$J21&lt;=0),"Thiếu công/giờ chuẩn; ","")&amp;IF(AND($G21="Tháng",'DM_NHAN_SU'!$K21&lt;$BE21),"Lương tháng dưới tối thiểu vùng; ","")&amp;IF(AND($G21="Ngày",'DM_NHAN_SU'!$K21/$J21&lt;$BF21),"Lương ngày quy đổi dưới tối thiểu giờ; ","")&amp;IF(AND($G21="Giờ",'DM_NHAN_SU'!$K21&lt;$BF21),"Lương giờ dưới tối thiểu vùng; ","")&amp;IF(AND($G21="Sản phẩm",$L21&gt;0,$O21/$L21&lt;$BF21),"Lương SP quy đổi dưới tối thiểu giờ; ","")&amp;IF(OR('THAM_SO'!$C$19&lt;'THAM_SO'!$B$19,'THAM_SO'!$C$20&lt;'THAM_SO'!$B$20,'THAM_SO'!$C$21&lt;'THAM_SO'!$B$21,'THAM_SO'!$C$22&lt;'THAM_SO'!$B$22,'THAM_SO'!$C$23&lt;'THAM_SO'!$B$23,'THAM_SO'!$C$24&lt;'THAM_SO'!$B$24,'THAM_SO'!$C$25&lt;'THAM_SO'!$B$25),"Hệ số OT/đêm DN thấp hơn luật; ","")&amp;IF(AND('DM_NHAN_SU'!$R21="Có",$AD21&lt;=0),"Thiếu căn cứ đóng BH; ","")&amp;IF(AND($AD21&gt;0,$AD21&lt;'THAM_SO'!$M$6),"Căn cứ BH dưới sàn – đã nâng sàn; ","")&amp;IF($AD21&gt;'THAM_SO'!$M$7,"Căn cứ BH vượt trần – đã giới hạn; ","")&amp;IF(AND($F21="Net",SUM('CHAM_CONG_THANG'!$AF21:$AK21)&gt;0,'DM_NHAN_SU'!$Q21&lt;=0),"Net có OT nhưng chưa khai lương giờ OT; ","")&amp;IF('CHAM_CONG_THANG'!$V21&gt;$Z21,"Phần OT không miễn lớn hơn tiền OT; ","")&amp;IF(AND($F21="Net",ABS($AT21-$AC21-$AP21)&gt;1),"Lệch quy đổi Net; ","")&amp;IF(AND($BH21&gt;0,'DM_NHAN_SU'!$AD21=""),"Có phép năm nhưng đang tạm dùng 12 ngày; ","")&amp;IF(AND($G21="Sản phẩm",SUM($BH21:$BJ21)&gt;0,'DM_NHAN_SU'!$AH21&lt;=0),"Lương sản phẩm thiếu đơn giá ngày phép/lễ; ","")&amp;IF(AND($BL21&gt;=14,'CHAM_CONG_THANG'!$AA21&lt;&gt;"Có"),"Thai sản từ 14 ngày: file tự dừng đóng BH – kiểm tra hồ sơ; ","")&amp;IF(AND('DM_NHAN_SU'!$AA21="Có",'DM_NHAN_SU'!$AB21=""),"Đoàn viên chưa chọn cách tính đoàn phí; ","")&amp;IF(AND('DM_NHAN_SU'!$AB21="Nhập tay",'DM_NHAN_SU'!$AC21&gt;'THAM_SO'!$M$26),"Đoàn phí nhập tay vượt trần thông dụng; ","")&amp;IF('NGHI_PHEP'!$L21&lt;&gt;"","Phép: "&amp;'NGHI_PHEP'!$L21,"")&amp;IF('CHE_DO_BHXH'!$AA21&lt;&gt;"","BHXH: "&amp;'CHE_DO_BHXH'!$AA21,"")&amp;IF('THUONG_T13_TET'!$O21&lt;&gt;"","Thưởng: "&amp;'THUONG_T13_TET'!$O21,"")&amp;IF('QT_NGHI_VIEC'!$AF21&lt;&gt;"","Nghỉ việc: "&amp;'QT_NGHI_VIEC'!$AF21,"")&amp;IF($AX21&lt;0,"Thực lĩnh âm; ","")&amp;IF(OR('DM_NHAN_SU'!$F21&gt;'THAM_SO'!$B$7,AND('DM_NHAN_SU'!$G21&lt;&gt;"",'DM_NHAN_SU'!$G21&lt;'THAM_SO'!$B$6)),"Ngoài kỳ trả lương; ","")))</f>
        <v/>
      </c>
      <c r="BH21" s="232">
        <f>IF('DM_NHAN_SU'!$B21="","",'CHAM_CONG_THANG'!AR21)</f>
        <v/>
      </c>
      <c r="BI21" s="232">
        <f>IF('DM_NHAN_SU'!$B21="","",'CHAM_CONG_THANG'!AS21)</f>
        <v/>
      </c>
      <c r="BJ21" s="232">
        <f>IF('DM_NHAN_SU'!$B21="","",'CHAM_CONG_THANG'!AT21)</f>
        <v/>
      </c>
      <c r="BK21" s="232">
        <f>IF('DM_NHAN_SU'!$B21="","",'CHAM_CONG_THANG'!AU21)</f>
        <v/>
      </c>
      <c r="BL21" s="232">
        <f>IF('DM_NHAN_SU'!$B21="","",'CHAM_CONG_THANG'!AV21)</f>
        <v/>
      </c>
      <c r="BM21" s="232">
        <f>IF('DM_NHAN_SU'!$B21="","",'CHAM_CONG_THANG'!AW21)</f>
        <v/>
      </c>
      <c r="BN21" s="232">
        <f>IF('DM_NHAN_SU'!$B21="","",SUM($K21,$BH21:$BJ21))</f>
        <v/>
      </c>
      <c r="BO21" s="224">
        <f>IF('DM_NHAN_SU'!$B21="","",IF($B21="",0,IF($G21="Tháng",IF($I21&gt;0,'DM_NHAN_SU'!$K21*MIN($BH21+$BJ21,MAX($I21-$K21,0))/$I21,0),IF($G21="Ngày",'DM_NHAN_SU'!$K21*SUM($BH21:$BJ21),IF($G21="Giờ",'DM_NHAN_SU'!$K21*SUM($BH21:$BJ21)*$J21,IF($G21="Sản phẩm",'DM_NHAN_SU'!$AH21*SUM($BH21:$BJ21),0))))))</f>
        <v/>
      </c>
      <c r="BP21" s="224">
        <f>IF('DM_NHAN_SU'!$B21="","",IF('THUONG_T13_TET'!$L21="Có",'THUONG_T13_TET'!$I21,0))</f>
        <v/>
      </c>
      <c r="BQ21" s="224">
        <f>IF('DM_NHAN_SU'!$B21="","",IF('THUONG_T13_TET'!$L21="Có",SUM('THUONG_T13_TET'!$J21:$K21),0))</f>
        <v/>
      </c>
      <c r="BR21" s="224">
        <f>IF('DM_NHAN_SU'!$B21="","",'QT_NGHI_VIEC'!AC21)</f>
        <v/>
      </c>
      <c r="BS21" s="224">
        <f>IF('DM_NHAN_SU'!$B21="","",'QT_NGHI_VIEC'!AB21)</f>
        <v/>
      </c>
      <c r="BT21" s="224">
        <f>IF('DM_NHAN_SU'!$B21="","",IF('CHE_DO_BHXH'!$Z21="Có",'CHE_DO_BHXH'!$W21,0))</f>
        <v/>
      </c>
      <c r="BU21" s="224">
        <f>IF('DM_NHAN_SU'!$B21="","",IF('CHE_DO_BHXH'!$Y21="DN trả thay",$BT21,0))</f>
        <v/>
      </c>
      <c r="BV21" s="224">
        <f>IF('DM_NHAN_SU'!$B21="","",IF(OR('DM_NHAN_SU'!$AA21&lt;&gt;"Có",'CHE_DO_BHXH'!$O21&gt;=1,SUM('CHE_DO_BHXH'!$D21,'CHE_DO_BHXH'!$G21,'CHE_DO_BHXH'!$K21)&gt;=24,AND($I21&gt;0,$BM21&gt;=$I21)),0,IF('DM_NHAN_SU'!$AB21="Không",0,IF('DM_NHAN_SU'!$AB21="Nhập tay",'DM_NHAN_SU'!$AC21,IF('DM_NHAN_SU'!$AB21="Theo thực nhận",MIN(MAX($AT21-$AU21-$AV21-$AW21,0)*'THAM_SO'!$M$23,'THAM_SO'!$M$26),MIN($AE21*'THAM_SO'!$M$23,'THAM_SO'!$M$26))))))</f>
        <v/>
      </c>
      <c r="BW21" s="224">
        <f>IF('DM_NHAN_SU'!$B21="","",$AX21+$BU21)</f>
        <v/>
      </c>
    </row>
    <row r="22">
      <c r="A22" s="145">
        <f>IF('DM_NHAN_SU'!$B22="","",IF($B22="","",ROW()-5))</f>
        <v/>
      </c>
      <c r="B22" s="145">
        <f>IF('DM_NHAN_SU'!$B22="","",'DM_NHAN_SU'!B22)</f>
        <v/>
      </c>
      <c r="C22" s="145">
        <f>IF('DM_NHAN_SU'!$B22="","",'DM_NHAN_SU'!C22)</f>
        <v/>
      </c>
      <c r="D22" s="145">
        <f>IF('DM_NHAN_SU'!$B22="","",'DM_NHAN_SU'!D22)</f>
        <v/>
      </c>
      <c r="E22" s="145">
        <f>IF('DM_NHAN_SU'!$B22="","",'DM_NHAN_SU'!E22)</f>
        <v/>
      </c>
      <c r="F22" s="145">
        <f>IF('DM_NHAN_SU'!$B22="","",'DM_NHAN_SU'!I22)</f>
        <v/>
      </c>
      <c r="G22" s="145">
        <f>IF('DM_NHAN_SU'!$B22="","",'DM_NHAN_SU'!J22)</f>
        <v/>
      </c>
      <c r="H22" s="145">
        <f>IF('DM_NHAN_SU'!$B22="","",IF('DM_NHAN_SU'!H22="",'THAM_SO'!$B$11,'DM_NHAN_SU'!H22))</f>
        <v/>
      </c>
      <c r="I22" s="232">
        <f>IF('DM_NHAN_SU'!$B22="","",IF('DM_NHAN_SU'!L22&gt;0,'DM_NHAN_SU'!L22,'THAM_SO'!$B$9))</f>
        <v/>
      </c>
      <c r="J22" s="232">
        <f>IF('DM_NHAN_SU'!$B22="","",IF('DM_NHAN_SU'!M22&gt;0,'DM_NHAN_SU'!M22,'THAM_SO'!$B$10))</f>
        <v/>
      </c>
      <c r="K22" s="232">
        <f>IF('DM_NHAN_SU'!$B22="","",'CHAM_CONG_THANG'!AC22)</f>
        <v/>
      </c>
      <c r="L22" s="232">
        <f>IF('DM_NHAN_SU'!$B22="","",'CHAM_CONG_THANG'!AD22)</f>
        <v/>
      </c>
      <c r="M22" s="232">
        <f>IF('DM_NHAN_SU'!$B22="","",'CHAM_CONG_THANG'!AE22)</f>
        <v/>
      </c>
      <c r="N22" s="232">
        <f>IF('DM_NHAN_SU'!$B22="","",'CHAM_CONG_THANG'!N22)</f>
        <v/>
      </c>
      <c r="O22" s="224">
        <f>IF('DM_NHAN_SU'!$B22="","",IF($B22="","",IF($G22="Tháng",IF($I22&gt;0,'DM_NHAN_SU'!$K22*MIN($K22,$I22)/$I22,0),IF($G22="Ngày",'DM_NHAN_SU'!$K22*$K22,IF($G22="Giờ",'DM_NHAN_SU'!$K22*$L22,IF($G22="Sản phẩm",'DM_NHAN_SU'!$K22*$N22,0))))))</f>
        <v/>
      </c>
      <c r="P22" s="224">
        <f>IF('DM_NHAN_SU'!$B22="","",'CHAM_CONG_THANG'!O22)</f>
        <v/>
      </c>
      <c r="Q22" s="224">
        <f>IF('DM_NHAN_SU'!$B22="","",'CHAM_CONG_THANG'!P22)</f>
        <v/>
      </c>
      <c r="R22" s="224">
        <f>IF('DM_NHAN_SU'!$B22="","",'CHAM_CONG_THANG'!Q22)</f>
        <v/>
      </c>
      <c r="S22" s="224">
        <f>IF('DM_NHAN_SU'!$B22="","",'CHAM_CONG_THANG'!R22)</f>
        <v/>
      </c>
      <c r="T22" s="224">
        <f>IF('DM_NHAN_SU'!$B22="","",'CHAM_CONG_THANG'!S22)</f>
        <v/>
      </c>
      <c r="U22" s="224">
        <f>IF('DM_NHAN_SU'!$B22="","",MIN($T22,'THAM_SO'!$F$6))</f>
        <v/>
      </c>
      <c r="V22" s="224">
        <f>IF('DM_NHAN_SU'!$B22="","",MAX($T22-$U22,0))</f>
        <v/>
      </c>
      <c r="W22" s="224">
        <f>IF('DM_NHAN_SU'!$B22="","",'CHAM_CONG_THANG'!T22)</f>
        <v/>
      </c>
      <c r="X22" s="224">
        <f>IF('DM_NHAN_SU'!$B22="","",'CHAM_CONG_THANG'!U22)</f>
        <v/>
      </c>
      <c r="Y22" s="224">
        <f>IF('DM_NHAN_SU'!$B22="","",IF($B22="",0,IF('DM_NHAN_SU'!$Q22&gt;0,'DM_NHAN_SU'!$Q22,IF($G22="Tháng",IF($I22*$J22&gt;0,'DM_NHAN_SU'!$K22/($I22*$J22),0),IF($G22="Ngày",IF($J22&gt;0,'DM_NHAN_SU'!$K22/$J22,0),IF($G22="Giờ",'DM_NHAN_SU'!$K22,0))))))</f>
        <v/>
      </c>
      <c r="Z22" s="224">
        <f>IF('DM_NHAN_SU'!$B22="","",$Y22*($M22*'THAM_SO'!$C$22+'CHAM_CONG_THANG'!$AF22*'THAM_SO'!$C$19+'CHAM_CONG_THANG'!$AG22*'THAM_SO'!$C$20+'CHAM_CONG_THANG'!$AH22*'THAM_SO'!$C$21+'CHAM_CONG_THANG'!$AI22*'THAM_SO'!$C$23+'CHAM_CONG_THANG'!$AJ22*'THAM_SO'!$C$24+'CHAM_CONG_THANG'!$AK22*'THAM_SO'!$C$25))</f>
        <v/>
      </c>
      <c r="AA22" s="224">
        <f>IF('DM_NHAN_SU'!$B22="","",MAX(0,$Y22*($M22*IF('THAM_SO'!$C$22&gt;='THAM_SO'!$B$22,'THAM_SO'!$B$22,0)+'CHAM_CONG_THANG'!$AF22*IF('THAM_SO'!$C$19&gt;='THAM_SO'!$B$19,'THAM_SO'!$B$19,0)+'CHAM_CONG_THANG'!$AG22*IF('THAM_SO'!$C$20&gt;='THAM_SO'!$B$20,'THAM_SO'!$B$20,0)+'CHAM_CONG_THANG'!$AH22*IF('THAM_SO'!$C$21&gt;='THAM_SO'!$B$21,'THAM_SO'!$B$21,0)+'CHAM_CONG_THANG'!$AI22*IF('THAM_SO'!$C$23&gt;='THAM_SO'!$B$23,'THAM_SO'!$B$23,0)+'CHAM_CONG_THANG'!$AJ22*IF('THAM_SO'!$C$24&gt;='THAM_SO'!$B$24,'THAM_SO'!$B$24,0)+'CHAM_CONG_THANG'!$AK22*IF('THAM_SO'!$C$25&gt;='THAM_SO'!$B$25,'THAM_SO'!$B$25,0))-'CHAM_CONG_THANG'!$V22))</f>
        <v/>
      </c>
      <c r="AB22" s="224">
        <f>IF('DM_NHAN_SU'!$B22="","",MAX($Z22-$AA22,0))</f>
        <v/>
      </c>
      <c r="AC22" s="224">
        <f>IF('DM_NHAN_SU'!$B22="","",$O22+$P22+$Q22+$R22+$S22+$V22+$AB22+$BO22+$BP22+$BQ22+$BR22)</f>
        <v/>
      </c>
      <c r="AD22" s="224">
        <f>IF('DM_NHAN_SU'!$B22="","",'DM_NHAN_SU'!N22+'DM_NHAN_SU'!O22+'DM_NHAN_SU'!P22)</f>
        <v/>
      </c>
      <c r="AE22" s="224">
        <f>IF('DM_NHAN_SU'!$B22="","",IF(OR('DM_NHAN_SU'!$R22&lt;&gt;"Có",'CHAM_CONG_THANG'!$AA22="Có",$BL22&gt;=14,$AD22&lt;=0),0,MIN(MAX($AD22,'THAM_SO'!$M$6),'THAM_SO'!$M$7)))</f>
        <v/>
      </c>
      <c r="AF22" s="224">
        <f>IF('DM_NHAN_SU'!$B22="","",IF(OR('DM_NHAN_SU'!$S22&lt;&gt;"Có",'CHAM_CONG_THANG'!$AA22="Có",$BL22&gt;=14,$AD22&lt;=0),0,MIN(MAX($AD22,VLOOKUP($H22,'THAM_SO'!$L$17:$P$20,4,FALSE)),VLOOKUP($H22,'THAM_SO'!$L$17:$P$20,5,FALSE))))</f>
        <v/>
      </c>
      <c r="AG22" s="224">
        <f>IF('DM_NHAN_SU'!$B22="","",$AE22*'THAM_SO'!$M$8)</f>
        <v/>
      </c>
      <c r="AH22" s="224">
        <f>IF('DM_NHAN_SU'!$B22="","",$AE22*'THAM_SO'!$M$9)</f>
        <v/>
      </c>
      <c r="AI22" s="224">
        <f>IF('DM_NHAN_SU'!$B22="","",$AF22*'THAM_SO'!$M$10)</f>
        <v/>
      </c>
      <c r="AJ22" s="224">
        <f>IF('DM_NHAN_SU'!$B22="","",SUM($AG22:$AI22))</f>
        <v/>
      </c>
      <c r="AK22" s="224">
        <f>IF('DM_NHAN_SU'!$B22="","",IF($B22="",0,'THAM_SO'!$F$4))</f>
        <v/>
      </c>
      <c r="AL22" s="224">
        <f>IF('DM_NHAN_SU'!$B22="","",IF($B22="",0,'DM_NHAN_SU'!$T22*'THAM_SO'!$F$5))</f>
        <v/>
      </c>
      <c r="AM22" s="224">
        <f>IF('DM_NHAN_SU'!$B22="","",'CHAM_CONG_THANG'!W22)</f>
        <v/>
      </c>
      <c r="AN22" s="224">
        <f>IF('DM_NHAN_SU'!$B22="","",MAX($AC22-$AK22-$AL22-$AM22,0))</f>
        <v/>
      </c>
      <c r="AO22" s="224">
        <f>IF('DM_NHAN_SU'!$B22="","",IF($B22="","",IF($F22="Net",IF($AC22&lt;=$AK22+$AL22+$AM22,$AC22+$AJ22,$AJ22+$AK22+$AL22+$AM22+IF($AN22&lt;='THAM_SO'!$J$10,($AN22-'THAM_SO'!$I$10)/(1-'THAM_SO'!$H$10),IF($AN22&lt;='THAM_SO'!$J$11,($AN22-'THAM_SO'!$I$11)/(1-'THAM_SO'!$H$11),IF($AN22&lt;='THAM_SO'!$J$12,($AN22-'THAM_SO'!$I$12)/(1-'THAM_SO'!$H$12),IF($AN22&lt;='THAM_SO'!$J$13,($AN22-'THAM_SO'!$I$13)/(1-'THAM_SO'!$H$13),($AN22-'THAM_SO'!$I$14)/(1-'THAM_SO'!$H$14)))))),$AC22)))</f>
        <v/>
      </c>
      <c r="AP22" s="224">
        <f>IF('DM_NHAN_SU'!$B22="","",$U22+$W22+$X22+$AA22+$BS22)</f>
        <v/>
      </c>
      <c r="AQ22" s="224">
        <f>IF('DM_NHAN_SU'!$B22="","",MAX($AO22-$AJ22-$AK22-$AL22-$AM22,0))</f>
        <v/>
      </c>
      <c r="AR22" s="224">
        <f>IF('DM_NHAN_SU'!$B22="","",IF($AQ22&lt;=0,0,$AQ22*VLOOKUP($AQ22,'THAM_SO'!$F$10:$I$14,3,TRUE)-VLOOKUP($AQ22,'THAM_SO'!$F$10:$I$14,4,TRUE)))</f>
        <v/>
      </c>
      <c r="AS22" s="224">
        <f>IF('DM_NHAN_SU'!$B22="","",$AO22+$AP22)</f>
        <v/>
      </c>
      <c r="AT22" s="224">
        <f>IF('DM_NHAN_SU'!$B22="","",$AS22-$AJ22-$AR22)</f>
        <v/>
      </c>
      <c r="AU22" s="224">
        <f>IF('DM_NHAN_SU'!$B22="","",'CHAM_CONG_THANG'!X22)</f>
        <v/>
      </c>
      <c r="AV22" s="224">
        <f>IF('DM_NHAN_SU'!$B22="","",'CHAM_CONG_THANG'!Y22+'QT_NGHI_VIEC'!AD22)</f>
        <v/>
      </c>
      <c r="AW22" s="224">
        <f>IF('DM_NHAN_SU'!$B22="","",'CHAM_CONG_THANG'!Z22)</f>
        <v/>
      </c>
      <c r="AX22" s="224">
        <f>IF('DM_NHAN_SU'!$B22="","",$AT22-$AU22-$AV22-$AW22-$BV22)</f>
        <v/>
      </c>
      <c r="AY22" s="224">
        <f>IF('DM_NHAN_SU'!$B22="","",$AE22*'THAM_SO'!$M$11)</f>
        <v/>
      </c>
      <c r="AZ22" s="224">
        <f>IF('DM_NHAN_SU'!$B22="","",$AE22*'THAM_SO'!$M$12)</f>
        <v/>
      </c>
      <c r="BA22" s="224">
        <f>IF('DM_NHAN_SU'!$B22="","",$AF22*'THAM_SO'!$M$13)</f>
        <v/>
      </c>
      <c r="BB22" s="224">
        <f>IF('DM_NHAN_SU'!$B22="","",$AE22*'THAM_SO'!$M$14)</f>
        <v/>
      </c>
      <c r="BC22" s="224">
        <f>IF('DM_NHAN_SU'!$B22="","",SUM($AY22:$BB22))</f>
        <v/>
      </c>
      <c r="BD22" s="224">
        <f>IF('DM_NHAN_SU'!$B22="","",$AS22+$BC22)</f>
        <v/>
      </c>
      <c r="BE22" s="224">
        <f>IF('DM_NHAN_SU'!$B22="","",VLOOKUP($H22,'THAM_SO'!$L$17:$P$20,2,FALSE))</f>
        <v/>
      </c>
      <c r="BF22" s="224">
        <f>IF('DM_NHAN_SU'!$B22="","",VLOOKUP($H22,'THAM_SO'!$L$17:$P$20,3,FALSE))</f>
        <v/>
      </c>
      <c r="BG22" s="150">
        <f>IF('DM_NHAN_SU'!$B22="","",IF($B22="","",IF(COUNTIF('DM_NHAN_SU'!$B$6:$B$155,$B22)&gt;1,"Trùng mã NV; ","")&amp;IF(OR($F22="",$G22=""),"Thiếu loại/hình thức lương; ","")&amp;IF('CHAM_CONG_THANG'!$D22="","Chưa chọn nguồn công; ","")&amp;IF(AND('CHAM_CONG_THANG'!$D22="Theo ngày",COUNTIF('CHAM_CONG_NGAY'!$B$6:$B$4655,$B22)=0),"Chưa có chấm công ngày; ","")&amp;IF(OR($I22&lt;=0,$J22&lt;=0),"Thiếu công/giờ chuẩn; ","")&amp;IF(AND($G22="Tháng",'DM_NHAN_SU'!$K22&lt;$BE22),"Lương tháng dưới tối thiểu vùng; ","")&amp;IF(AND($G22="Ngày",'DM_NHAN_SU'!$K22/$J22&lt;$BF22),"Lương ngày quy đổi dưới tối thiểu giờ; ","")&amp;IF(AND($G22="Giờ",'DM_NHAN_SU'!$K22&lt;$BF22),"Lương giờ dưới tối thiểu vùng; ","")&amp;IF(AND($G22="Sản phẩm",$L22&gt;0,$O22/$L22&lt;$BF22),"Lương SP quy đổi dưới tối thiểu giờ; ","")&amp;IF(OR('THAM_SO'!$C$19&lt;'THAM_SO'!$B$19,'THAM_SO'!$C$20&lt;'THAM_SO'!$B$20,'THAM_SO'!$C$21&lt;'THAM_SO'!$B$21,'THAM_SO'!$C$22&lt;'THAM_SO'!$B$22,'THAM_SO'!$C$23&lt;'THAM_SO'!$B$23,'THAM_SO'!$C$24&lt;'THAM_SO'!$B$24,'THAM_SO'!$C$25&lt;'THAM_SO'!$B$25),"Hệ số OT/đêm DN thấp hơn luật; ","")&amp;IF(AND('DM_NHAN_SU'!$R22="Có",$AD22&lt;=0),"Thiếu căn cứ đóng BH; ","")&amp;IF(AND($AD22&gt;0,$AD22&lt;'THAM_SO'!$M$6),"Căn cứ BH dưới sàn – đã nâng sàn; ","")&amp;IF($AD22&gt;'THAM_SO'!$M$7,"Căn cứ BH vượt trần – đã giới hạn; ","")&amp;IF(AND($F22="Net",SUM('CHAM_CONG_THANG'!$AF22:$AK22)&gt;0,'DM_NHAN_SU'!$Q22&lt;=0),"Net có OT nhưng chưa khai lương giờ OT; ","")&amp;IF('CHAM_CONG_THANG'!$V22&gt;$Z22,"Phần OT không miễn lớn hơn tiền OT; ","")&amp;IF(AND($F22="Net",ABS($AT22-$AC22-$AP22)&gt;1),"Lệch quy đổi Net; ","")&amp;IF(AND($BH22&gt;0,'DM_NHAN_SU'!$AD22=""),"Có phép năm nhưng đang tạm dùng 12 ngày; ","")&amp;IF(AND($G22="Sản phẩm",SUM($BH22:$BJ22)&gt;0,'DM_NHAN_SU'!$AH22&lt;=0),"Lương sản phẩm thiếu đơn giá ngày phép/lễ; ","")&amp;IF(AND($BL22&gt;=14,'CHAM_CONG_THANG'!$AA22&lt;&gt;"Có"),"Thai sản từ 14 ngày: file tự dừng đóng BH – kiểm tra hồ sơ; ","")&amp;IF(AND('DM_NHAN_SU'!$AA22="Có",'DM_NHAN_SU'!$AB22=""),"Đoàn viên chưa chọn cách tính đoàn phí; ","")&amp;IF(AND('DM_NHAN_SU'!$AB22="Nhập tay",'DM_NHAN_SU'!$AC22&gt;'THAM_SO'!$M$26),"Đoàn phí nhập tay vượt trần thông dụng; ","")&amp;IF('NGHI_PHEP'!$L22&lt;&gt;"","Phép: "&amp;'NGHI_PHEP'!$L22,"")&amp;IF('CHE_DO_BHXH'!$AA22&lt;&gt;"","BHXH: "&amp;'CHE_DO_BHXH'!$AA22,"")&amp;IF('THUONG_T13_TET'!$O22&lt;&gt;"","Thưởng: "&amp;'THUONG_T13_TET'!$O22,"")&amp;IF('QT_NGHI_VIEC'!$AF22&lt;&gt;"","Nghỉ việc: "&amp;'QT_NGHI_VIEC'!$AF22,"")&amp;IF($AX22&lt;0,"Thực lĩnh âm; ","")&amp;IF(OR('DM_NHAN_SU'!$F22&gt;'THAM_SO'!$B$7,AND('DM_NHAN_SU'!$G22&lt;&gt;"",'DM_NHAN_SU'!$G22&lt;'THAM_SO'!$B$6)),"Ngoài kỳ trả lương; ","")))</f>
        <v/>
      </c>
      <c r="BH22" s="232">
        <f>IF('DM_NHAN_SU'!$B22="","",'CHAM_CONG_THANG'!AR22)</f>
        <v/>
      </c>
      <c r="BI22" s="232">
        <f>IF('DM_NHAN_SU'!$B22="","",'CHAM_CONG_THANG'!AS22)</f>
        <v/>
      </c>
      <c r="BJ22" s="232">
        <f>IF('DM_NHAN_SU'!$B22="","",'CHAM_CONG_THANG'!AT22)</f>
        <v/>
      </c>
      <c r="BK22" s="232">
        <f>IF('DM_NHAN_SU'!$B22="","",'CHAM_CONG_THANG'!AU22)</f>
        <v/>
      </c>
      <c r="BL22" s="232">
        <f>IF('DM_NHAN_SU'!$B22="","",'CHAM_CONG_THANG'!AV22)</f>
        <v/>
      </c>
      <c r="BM22" s="232">
        <f>IF('DM_NHAN_SU'!$B22="","",'CHAM_CONG_THANG'!AW22)</f>
        <v/>
      </c>
      <c r="BN22" s="232">
        <f>IF('DM_NHAN_SU'!$B22="","",SUM($K22,$BH22:$BJ22))</f>
        <v/>
      </c>
      <c r="BO22" s="224">
        <f>IF('DM_NHAN_SU'!$B22="","",IF($B22="",0,IF($G22="Tháng",IF($I22&gt;0,'DM_NHAN_SU'!$K22*MIN($BH22+$BJ22,MAX($I22-$K22,0))/$I22,0),IF($G22="Ngày",'DM_NHAN_SU'!$K22*SUM($BH22:$BJ22),IF($G22="Giờ",'DM_NHAN_SU'!$K22*SUM($BH22:$BJ22)*$J22,IF($G22="Sản phẩm",'DM_NHAN_SU'!$AH22*SUM($BH22:$BJ22),0))))))</f>
        <v/>
      </c>
      <c r="BP22" s="224">
        <f>IF('DM_NHAN_SU'!$B22="","",IF('THUONG_T13_TET'!$L22="Có",'THUONG_T13_TET'!$I22,0))</f>
        <v/>
      </c>
      <c r="BQ22" s="224">
        <f>IF('DM_NHAN_SU'!$B22="","",IF('THUONG_T13_TET'!$L22="Có",SUM('THUONG_T13_TET'!$J22:$K22),0))</f>
        <v/>
      </c>
      <c r="BR22" s="224">
        <f>IF('DM_NHAN_SU'!$B22="","",'QT_NGHI_VIEC'!AC22)</f>
        <v/>
      </c>
      <c r="BS22" s="224">
        <f>IF('DM_NHAN_SU'!$B22="","",'QT_NGHI_VIEC'!AB22)</f>
        <v/>
      </c>
      <c r="BT22" s="224">
        <f>IF('DM_NHAN_SU'!$B22="","",IF('CHE_DO_BHXH'!$Z22="Có",'CHE_DO_BHXH'!$W22,0))</f>
        <v/>
      </c>
      <c r="BU22" s="224">
        <f>IF('DM_NHAN_SU'!$B22="","",IF('CHE_DO_BHXH'!$Y22="DN trả thay",$BT22,0))</f>
        <v/>
      </c>
      <c r="BV22" s="224">
        <f>IF('DM_NHAN_SU'!$B22="","",IF(OR('DM_NHAN_SU'!$AA22&lt;&gt;"Có",'CHE_DO_BHXH'!$O22&gt;=1,SUM('CHE_DO_BHXH'!$D22,'CHE_DO_BHXH'!$G22,'CHE_DO_BHXH'!$K22)&gt;=24,AND($I22&gt;0,$BM22&gt;=$I22)),0,IF('DM_NHAN_SU'!$AB22="Không",0,IF('DM_NHAN_SU'!$AB22="Nhập tay",'DM_NHAN_SU'!$AC22,IF('DM_NHAN_SU'!$AB22="Theo thực nhận",MIN(MAX($AT22-$AU22-$AV22-$AW22,0)*'THAM_SO'!$M$23,'THAM_SO'!$M$26),MIN($AE22*'THAM_SO'!$M$23,'THAM_SO'!$M$26))))))</f>
        <v/>
      </c>
      <c r="BW22" s="224">
        <f>IF('DM_NHAN_SU'!$B22="","",$AX22+$BU22)</f>
        <v/>
      </c>
    </row>
    <row r="23">
      <c r="A23" s="145">
        <f>IF('DM_NHAN_SU'!$B23="","",IF($B23="","",ROW()-5))</f>
        <v/>
      </c>
      <c r="B23" s="145">
        <f>IF('DM_NHAN_SU'!$B23="","",'DM_NHAN_SU'!B23)</f>
        <v/>
      </c>
      <c r="C23" s="145">
        <f>IF('DM_NHAN_SU'!$B23="","",'DM_NHAN_SU'!C23)</f>
        <v/>
      </c>
      <c r="D23" s="145">
        <f>IF('DM_NHAN_SU'!$B23="","",'DM_NHAN_SU'!D23)</f>
        <v/>
      </c>
      <c r="E23" s="145">
        <f>IF('DM_NHAN_SU'!$B23="","",'DM_NHAN_SU'!E23)</f>
        <v/>
      </c>
      <c r="F23" s="145">
        <f>IF('DM_NHAN_SU'!$B23="","",'DM_NHAN_SU'!I23)</f>
        <v/>
      </c>
      <c r="G23" s="145">
        <f>IF('DM_NHAN_SU'!$B23="","",'DM_NHAN_SU'!J23)</f>
        <v/>
      </c>
      <c r="H23" s="145">
        <f>IF('DM_NHAN_SU'!$B23="","",IF('DM_NHAN_SU'!H23="",'THAM_SO'!$B$11,'DM_NHAN_SU'!H23))</f>
        <v/>
      </c>
      <c r="I23" s="232">
        <f>IF('DM_NHAN_SU'!$B23="","",IF('DM_NHAN_SU'!L23&gt;0,'DM_NHAN_SU'!L23,'THAM_SO'!$B$9))</f>
        <v/>
      </c>
      <c r="J23" s="232">
        <f>IF('DM_NHAN_SU'!$B23="","",IF('DM_NHAN_SU'!M23&gt;0,'DM_NHAN_SU'!M23,'THAM_SO'!$B$10))</f>
        <v/>
      </c>
      <c r="K23" s="232">
        <f>IF('DM_NHAN_SU'!$B23="","",'CHAM_CONG_THANG'!AC23)</f>
        <v/>
      </c>
      <c r="L23" s="232">
        <f>IF('DM_NHAN_SU'!$B23="","",'CHAM_CONG_THANG'!AD23)</f>
        <v/>
      </c>
      <c r="M23" s="232">
        <f>IF('DM_NHAN_SU'!$B23="","",'CHAM_CONG_THANG'!AE23)</f>
        <v/>
      </c>
      <c r="N23" s="232">
        <f>IF('DM_NHAN_SU'!$B23="","",'CHAM_CONG_THANG'!N23)</f>
        <v/>
      </c>
      <c r="O23" s="224">
        <f>IF('DM_NHAN_SU'!$B23="","",IF($B23="","",IF($G23="Tháng",IF($I23&gt;0,'DM_NHAN_SU'!$K23*MIN($K23,$I23)/$I23,0),IF($G23="Ngày",'DM_NHAN_SU'!$K23*$K23,IF($G23="Giờ",'DM_NHAN_SU'!$K23*$L23,IF($G23="Sản phẩm",'DM_NHAN_SU'!$K23*$N23,0))))))</f>
        <v/>
      </c>
      <c r="P23" s="224">
        <f>IF('DM_NHAN_SU'!$B23="","",'CHAM_CONG_THANG'!O23)</f>
        <v/>
      </c>
      <c r="Q23" s="224">
        <f>IF('DM_NHAN_SU'!$B23="","",'CHAM_CONG_THANG'!P23)</f>
        <v/>
      </c>
      <c r="R23" s="224">
        <f>IF('DM_NHAN_SU'!$B23="","",'CHAM_CONG_THANG'!Q23)</f>
        <v/>
      </c>
      <c r="S23" s="224">
        <f>IF('DM_NHAN_SU'!$B23="","",'CHAM_CONG_THANG'!R23)</f>
        <v/>
      </c>
      <c r="T23" s="224">
        <f>IF('DM_NHAN_SU'!$B23="","",'CHAM_CONG_THANG'!S23)</f>
        <v/>
      </c>
      <c r="U23" s="224">
        <f>IF('DM_NHAN_SU'!$B23="","",MIN($T23,'THAM_SO'!$F$6))</f>
        <v/>
      </c>
      <c r="V23" s="224">
        <f>IF('DM_NHAN_SU'!$B23="","",MAX($T23-$U23,0))</f>
        <v/>
      </c>
      <c r="W23" s="224">
        <f>IF('DM_NHAN_SU'!$B23="","",'CHAM_CONG_THANG'!T23)</f>
        <v/>
      </c>
      <c r="X23" s="224">
        <f>IF('DM_NHAN_SU'!$B23="","",'CHAM_CONG_THANG'!U23)</f>
        <v/>
      </c>
      <c r="Y23" s="224">
        <f>IF('DM_NHAN_SU'!$B23="","",IF($B23="",0,IF('DM_NHAN_SU'!$Q23&gt;0,'DM_NHAN_SU'!$Q23,IF($G23="Tháng",IF($I23*$J23&gt;0,'DM_NHAN_SU'!$K23/($I23*$J23),0),IF($G23="Ngày",IF($J23&gt;0,'DM_NHAN_SU'!$K23/$J23,0),IF($G23="Giờ",'DM_NHAN_SU'!$K23,0))))))</f>
        <v/>
      </c>
      <c r="Z23" s="224">
        <f>IF('DM_NHAN_SU'!$B23="","",$Y23*($M23*'THAM_SO'!$C$22+'CHAM_CONG_THANG'!$AF23*'THAM_SO'!$C$19+'CHAM_CONG_THANG'!$AG23*'THAM_SO'!$C$20+'CHAM_CONG_THANG'!$AH23*'THAM_SO'!$C$21+'CHAM_CONG_THANG'!$AI23*'THAM_SO'!$C$23+'CHAM_CONG_THANG'!$AJ23*'THAM_SO'!$C$24+'CHAM_CONG_THANG'!$AK23*'THAM_SO'!$C$25))</f>
        <v/>
      </c>
      <c r="AA23" s="224">
        <f>IF('DM_NHAN_SU'!$B23="","",MAX(0,$Y23*($M23*IF('THAM_SO'!$C$22&gt;='THAM_SO'!$B$22,'THAM_SO'!$B$22,0)+'CHAM_CONG_THANG'!$AF23*IF('THAM_SO'!$C$19&gt;='THAM_SO'!$B$19,'THAM_SO'!$B$19,0)+'CHAM_CONG_THANG'!$AG23*IF('THAM_SO'!$C$20&gt;='THAM_SO'!$B$20,'THAM_SO'!$B$20,0)+'CHAM_CONG_THANG'!$AH23*IF('THAM_SO'!$C$21&gt;='THAM_SO'!$B$21,'THAM_SO'!$B$21,0)+'CHAM_CONG_THANG'!$AI23*IF('THAM_SO'!$C$23&gt;='THAM_SO'!$B$23,'THAM_SO'!$B$23,0)+'CHAM_CONG_THANG'!$AJ23*IF('THAM_SO'!$C$24&gt;='THAM_SO'!$B$24,'THAM_SO'!$B$24,0)+'CHAM_CONG_THANG'!$AK23*IF('THAM_SO'!$C$25&gt;='THAM_SO'!$B$25,'THAM_SO'!$B$25,0))-'CHAM_CONG_THANG'!$V23))</f>
        <v/>
      </c>
      <c r="AB23" s="224">
        <f>IF('DM_NHAN_SU'!$B23="","",MAX($Z23-$AA23,0))</f>
        <v/>
      </c>
      <c r="AC23" s="224">
        <f>IF('DM_NHAN_SU'!$B23="","",$O23+$P23+$Q23+$R23+$S23+$V23+$AB23+$BO23+$BP23+$BQ23+$BR23)</f>
        <v/>
      </c>
      <c r="AD23" s="224">
        <f>IF('DM_NHAN_SU'!$B23="","",'DM_NHAN_SU'!N23+'DM_NHAN_SU'!O23+'DM_NHAN_SU'!P23)</f>
        <v/>
      </c>
      <c r="AE23" s="224">
        <f>IF('DM_NHAN_SU'!$B23="","",IF(OR('DM_NHAN_SU'!$R23&lt;&gt;"Có",'CHAM_CONG_THANG'!$AA23="Có",$BL23&gt;=14,$AD23&lt;=0),0,MIN(MAX($AD23,'THAM_SO'!$M$6),'THAM_SO'!$M$7)))</f>
        <v/>
      </c>
      <c r="AF23" s="224">
        <f>IF('DM_NHAN_SU'!$B23="","",IF(OR('DM_NHAN_SU'!$S23&lt;&gt;"Có",'CHAM_CONG_THANG'!$AA23="Có",$BL23&gt;=14,$AD23&lt;=0),0,MIN(MAX($AD23,VLOOKUP($H23,'THAM_SO'!$L$17:$P$20,4,FALSE)),VLOOKUP($H23,'THAM_SO'!$L$17:$P$20,5,FALSE))))</f>
        <v/>
      </c>
      <c r="AG23" s="224">
        <f>IF('DM_NHAN_SU'!$B23="","",$AE23*'THAM_SO'!$M$8)</f>
        <v/>
      </c>
      <c r="AH23" s="224">
        <f>IF('DM_NHAN_SU'!$B23="","",$AE23*'THAM_SO'!$M$9)</f>
        <v/>
      </c>
      <c r="AI23" s="224">
        <f>IF('DM_NHAN_SU'!$B23="","",$AF23*'THAM_SO'!$M$10)</f>
        <v/>
      </c>
      <c r="AJ23" s="224">
        <f>IF('DM_NHAN_SU'!$B23="","",SUM($AG23:$AI23))</f>
        <v/>
      </c>
      <c r="AK23" s="224">
        <f>IF('DM_NHAN_SU'!$B23="","",IF($B23="",0,'THAM_SO'!$F$4))</f>
        <v/>
      </c>
      <c r="AL23" s="224">
        <f>IF('DM_NHAN_SU'!$B23="","",IF($B23="",0,'DM_NHAN_SU'!$T23*'THAM_SO'!$F$5))</f>
        <v/>
      </c>
      <c r="AM23" s="224">
        <f>IF('DM_NHAN_SU'!$B23="","",'CHAM_CONG_THANG'!W23)</f>
        <v/>
      </c>
      <c r="AN23" s="224">
        <f>IF('DM_NHAN_SU'!$B23="","",MAX($AC23-$AK23-$AL23-$AM23,0))</f>
        <v/>
      </c>
      <c r="AO23" s="224">
        <f>IF('DM_NHAN_SU'!$B23="","",IF($B23="","",IF($F23="Net",IF($AC23&lt;=$AK23+$AL23+$AM23,$AC23+$AJ23,$AJ23+$AK23+$AL23+$AM23+IF($AN23&lt;='THAM_SO'!$J$10,($AN23-'THAM_SO'!$I$10)/(1-'THAM_SO'!$H$10),IF($AN23&lt;='THAM_SO'!$J$11,($AN23-'THAM_SO'!$I$11)/(1-'THAM_SO'!$H$11),IF($AN23&lt;='THAM_SO'!$J$12,($AN23-'THAM_SO'!$I$12)/(1-'THAM_SO'!$H$12),IF($AN23&lt;='THAM_SO'!$J$13,($AN23-'THAM_SO'!$I$13)/(1-'THAM_SO'!$H$13),($AN23-'THAM_SO'!$I$14)/(1-'THAM_SO'!$H$14)))))),$AC23)))</f>
        <v/>
      </c>
      <c r="AP23" s="224">
        <f>IF('DM_NHAN_SU'!$B23="","",$U23+$W23+$X23+$AA23+$BS23)</f>
        <v/>
      </c>
      <c r="AQ23" s="224">
        <f>IF('DM_NHAN_SU'!$B23="","",MAX($AO23-$AJ23-$AK23-$AL23-$AM23,0))</f>
        <v/>
      </c>
      <c r="AR23" s="224">
        <f>IF('DM_NHAN_SU'!$B23="","",IF($AQ23&lt;=0,0,$AQ23*VLOOKUP($AQ23,'THAM_SO'!$F$10:$I$14,3,TRUE)-VLOOKUP($AQ23,'THAM_SO'!$F$10:$I$14,4,TRUE)))</f>
        <v/>
      </c>
      <c r="AS23" s="224">
        <f>IF('DM_NHAN_SU'!$B23="","",$AO23+$AP23)</f>
        <v/>
      </c>
      <c r="AT23" s="224">
        <f>IF('DM_NHAN_SU'!$B23="","",$AS23-$AJ23-$AR23)</f>
        <v/>
      </c>
      <c r="AU23" s="224">
        <f>IF('DM_NHAN_SU'!$B23="","",'CHAM_CONG_THANG'!X23)</f>
        <v/>
      </c>
      <c r="AV23" s="224">
        <f>IF('DM_NHAN_SU'!$B23="","",'CHAM_CONG_THANG'!Y23+'QT_NGHI_VIEC'!AD23)</f>
        <v/>
      </c>
      <c r="AW23" s="224">
        <f>IF('DM_NHAN_SU'!$B23="","",'CHAM_CONG_THANG'!Z23)</f>
        <v/>
      </c>
      <c r="AX23" s="224">
        <f>IF('DM_NHAN_SU'!$B23="","",$AT23-$AU23-$AV23-$AW23-$BV23)</f>
        <v/>
      </c>
      <c r="AY23" s="224">
        <f>IF('DM_NHAN_SU'!$B23="","",$AE23*'THAM_SO'!$M$11)</f>
        <v/>
      </c>
      <c r="AZ23" s="224">
        <f>IF('DM_NHAN_SU'!$B23="","",$AE23*'THAM_SO'!$M$12)</f>
        <v/>
      </c>
      <c r="BA23" s="224">
        <f>IF('DM_NHAN_SU'!$B23="","",$AF23*'THAM_SO'!$M$13)</f>
        <v/>
      </c>
      <c r="BB23" s="224">
        <f>IF('DM_NHAN_SU'!$B23="","",$AE23*'THAM_SO'!$M$14)</f>
        <v/>
      </c>
      <c r="BC23" s="224">
        <f>IF('DM_NHAN_SU'!$B23="","",SUM($AY23:$BB23))</f>
        <v/>
      </c>
      <c r="BD23" s="224">
        <f>IF('DM_NHAN_SU'!$B23="","",$AS23+$BC23)</f>
        <v/>
      </c>
      <c r="BE23" s="224">
        <f>IF('DM_NHAN_SU'!$B23="","",VLOOKUP($H23,'THAM_SO'!$L$17:$P$20,2,FALSE))</f>
        <v/>
      </c>
      <c r="BF23" s="224">
        <f>IF('DM_NHAN_SU'!$B23="","",VLOOKUP($H23,'THAM_SO'!$L$17:$P$20,3,FALSE))</f>
        <v/>
      </c>
      <c r="BG23" s="150">
        <f>IF('DM_NHAN_SU'!$B23="","",IF($B23="","",IF(COUNTIF('DM_NHAN_SU'!$B$6:$B$155,$B23)&gt;1,"Trùng mã NV; ","")&amp;IF(OR($F23="",$G23=""),"Thiếu loại/hình thức lương; ","")&amp;IF('CHAM_CONG_THANG'!$D23="","Chưa chọn nguồn công; ","")&amp;IF(AND('CHAM_CONG_THANG'!$D23="Theo ngày",COUNTIF('CHAM_CONG_NGAY'!$B$6:$B$4655,$B23)=0),"Chưa có chấm công ngày; ","")&amp;IF(OR($I23&lt;=0,$J23&lt;=0),"Thiếu công/giờ chuẩn; ","")&amp;IF(AND($G23="Tháng",'DM_NHAN_SU'!$K23&lt;$BE23),"Lương tháng dưới tối thiểu vùng; ","")&amp;IF(AND($G23="Ngày",'DM_NHAN_SU'!$K23/$J23&lt;$BF23),"Lương ngày quy đổi dưới tối thiểu giờ; ","")&amp;IF(AND($G23="Giờ",'DM_NHAN_SU'!$K23&lt;$BF23),"Lương giờ dưới tối thiểu vùng; ","")&amp;IF(AND($G23="Sản phẩm",$L23&gt;0,$O23/$L23&lt;$BF23),"Lương SP quy đổi dưới tối thiểu giờ; ","")&amp;IF(OR('THAM_SO'!$C$19&lt;'THAM_SO'!$B$19,'THAM_SO'!$C$20&lt;'THAM_SO'!$B$20,'THAM_SO'!$C$21&lt;'THAM_SO'!$B$21,'THAM_SO'!$C$22&lt;'THAM_SO'!$B$22,'THAM_SO'!$C$23&lt;'THAM_SO'!$B$23,'THAM_SO'!$C$24&lt;'THAM_SO'!$B$24,'THAM_SO'!$C$25&lt;'THAM_SO'!$B$25),"Hệ số OT/đêm DN thấp hơn luật; ","")&amp;IF(AND('DM_NHAN_SU'!$R23="Có",$AD23&lt;=0),"Thiếu căn cứ đóng BH; ","")&amp;IF(AND($AD23&gt;0,$AD23&lt;'THAM_SO'!$M$6),"Căn cứ BH dưới sàn – đã nâng sàn; ","")&amp;IF($AD23&gt;'THAM_SO'!$M$7,"Căn cứ BH vượt trần – đã giới hạn; ","")&amp;IF(AND($F23="Net",SUM('CHAM_CONG_THANG'!$AF23:$AK23)&gt;0,'DM_NHAN_SU'!$Q23&lt;=0),"Net có OT nhưng chưa khai lương giờ OT; ","")&amp;IF('CHAM_CONG_THANG'!$V23&gt;$Z23,"Phần OT không miễn lớn hơn tiền OT; ","")&amp;IF(AND($F23="Net",ABS($AT23-$AC23-$AP23)&gt;1),"Lệch quy đổi Net; ","")&amp;IF(AND($BH23&gt;0,'DM_NHAN_SU'!$AD23=""),"Có phép năm nhưng đang tạm dùng 12 ngày; ","")&amp;IF(AND($G23="Sản phẩm",SUM($BH23:$BJ23)&gt;0,'DM_NHAN_SU'!$AH23&lt;=0),"Lương sản phẩm thiếu đơn giá ngày phép/lễ; ","")&amp;IF(AND($BL23&gt;=14,'CHAM_CONG_THANG'!$AA23&lt;&gt;"Có"),"Thai sản từ 14 ngày: file tự dừng đóng BH – kiểm tra hồ sơ; ","")&amp;IF(AND('DM_NHAN_SU'!$AA23="Có",'DM_NHAN_SU'!$AB23=""),"Đoàn viên chưa chọn cách tính đoàn phí; ","")&amp;IF(AND('DM_NHAN_SU'!$AB23="Nhập tay",'DM_NHAN_SU'!$AC23&gt;'THAM_SO'!$M$26),"Đoàn phí nhập tay vượt trần thông dụng; ","")&amp;IF('NGHI_PHEP'!$L23&lt;&gt;"","Phép: "&amp;'NGHI_PHEP'!$L23,"")&amp;IF('CHE_DO_BHXH'!$AA23&lt;&gt;"","BHXH: "&amp;'CHE_DO_BHXH'!$AA23,"")&amp;IF('THUONG_T13_TET'!$O23&lt;&gt;"","Thưởng: "&amp;'THUONG_T13_TET'!$O23,"")&amp;IF('QT_NGHI_VIEC'!$AF23&lt;&gt;"","Nghỉ việc: "&amp;'QT_NGHI_VIEC'!$AF23,"")&amp;IF($AX23&lt;0,"Thực lĩnh âm; ","")&amp;IF(OR('DM_NHAN_SU'!$F23&gt;'THAM_SO'!$B$7,AND('DM_NHAN_SU'!$G23&lt;&gt;"",'DM_NHAN_SU'!$G23&lt;'THAM_SO'!$B$6)),"Ngoài kỳ trả lương; ","")))</f>
        <v/>
      </c>
      <c r="BH23" s="232">
        <f>IF('DM_NHAN_SU'!$B23="","",'CHAM_CONG_THANG'!AR23)</f>
        <v/>
      </c>
      <c r="BI23" s="232">
        <f>IF('DM_NHAN_SU'!$B23="","",'CHAM_CONG_THANG'!AS23)</f>
        <v/>
      </c>
      <c r="BJ23" s="232">
        <f>IF('DM_NHAN_SU'!$B23="","",'CHAM_CONG_THANG'!AT23)</f>
        <v/>
      </c>
      <c r="BK23" s="232">
        <f>IF('DM_NHAN_SU'!$B23="","",'CHAM_CONG_THANG'!AU23)</f>
        <v/>
      </c>
      <c r="BL23" s="232">
        <f>IF('DM_NHAN_SU'!$B23="","",'CHAM_CONG_THANG'!AV23)</f>
        <v/>
      </c>
      <c r="BM23" s="232">
        <f>IF('DM_NHAN_SU'!$B23="","",'CHAM_CONG_THANG'!AW23)</f>
        <v/>
      </c>
      <c r="BN23" s="232">
        <f>IF('DM_NHAN_SU'!$B23="","",SUM($K23,$BH23:$BJ23))</f>
        <v/>
      </c>
      <c r="BO23" s="224">
        <f>IF('DM_NHAN_SU'!$B23="","",IF($B23="",0,IF($G23="Tháng",IF($I23&gt;0,'DM_NHAN_SU'!$K23*MIN($BH23+$BJ23,MAX($I23-$K23,0))/$I23,0),IF($G23="Ngày",'DM_NHAN_SU'!$K23*SUM($BH23:$BJ23),IF($G23="Giờ",'DM_NHAN_SU'!$K23*SUM($BH23:$BJ23)*$J23,IF($G23="Sản phẩm",'DM_NHAN_SU'!$AH23*SUM($BH23:$BJ23),0))))))</f>
        <v/>
      </c>
      <c r="BP23" s="224">
        <f>IF('DM_NHAN_SU'!$B23="","",IF('THUONG_T13_TET'!$L23="Có",'THUONG_T13_TET'!$I23,0))</f>
        <v/>
      </c>
      <c r="BQ23" s="224">
        <f>IF('DM_NHAN_SU'!$B23="","",IF('THUONG_T13_TET'!$L23="Có",SUM('THUONG_T13_TET'!$J23:$K23),0))</f>
        <v/>
      </c>
      <c r="BR23" s="224">
        <f>IF('DM_NHAN_SU'!$B23="","",'QT_NGHI_VIEC'!AC23)</f>
        <v/>
      </c>
      <c r="BS23" s="224">
        <f>IF('DM_NHAN_SU'!$B23="","",'QT_NGHI_VIEC'!AB23)</f>
        <v/>
      </c>
      <c r="BT23" s="224">
        <f>IF('DM_NHAN_SU'!$B23="","",IF('CHE_DO_BHXH'!$Z23="Có",'CHE_DO_BHXH'!$W23,0))</f>
        <v/>
      </c>
      <c r="BU23" s="224">
        <f>IF('DM_NHAN_SU'!$B23="","",IF('CHE_DO_BHXH'!$Y23="DN trả thay",$BT23,0))</f>
        <v/>
      </c>
      <c r="BV23" s="224">
        <f>IF('DM_NHAN_SU'!$B23="","",IF(OR('DM_NHAN_SU'!$AA23&lt;&gt;"Có",'CHE_DO_BHXH'!$O23&gt;=1,SUM('CHE_DO_BHXH'!$D23,'CHE_DO_BHXH'!$G23,'CHE_DO_BHXH'!$K23)&gt;=24,AND($I23&gt;0,$BM23&gt;=$I23)),0,IF('DM_NHAN_SU'!$AB23="Không",0,IF('DM_NHAN_SU'!$AB23="Nhập tay",'DM_NHAN_SU'!$AC23,IF('DM_NHAN_SU'!$AB23="Theo thực nhận",MIN(MAX($AT23-$AU23-$AV23-$AW23,0)*'THAM_SO'!$M$23,'THAM_SO'!$M$26),MIN($AE23*'THAM_SO'!$M$23,'THAM_SO'!$M$26))))))</f>
        <v/>
      </c>
      <c r="BW23" s="224">
        <f>IF('DM_NHAN_SU'!$B23="","",$AX23+$BU23)</f>
        <v/>
      </c>
    </row>
    <row r="24">
      <c r="A24" s="145">
        <f>IF('DM_NHAN_SU'!$B24="","",IF($B24="","",ROW()-5))</f>
        <v/>
      </c>
      <c r="B24" s="145">
        <f>IF('DM_NHAN_SU'!$B24="","",'DM_NHAN_SU'!B24)</f>
        <v/>
      </c>
      <c r="C24" s="145">
        <f>IF('DM_NHAN_SU'!$B24="","",'DM_NHAN_SU'!C24)</f>
        <v/>
      </c>
      <c r="D24" s="145">
        <f>IF('DM_NHAN_SU'!$B24="","",'DM_NHAN_SU'!D24)</f>
        <v/>
      </c>
      <c r="E24" s="145">
        <f>IF('DM_NHAN_SU'!$B24="","",'DM_NHAN_SU'!E24)</f>
        <v/>
      </c>
      <c r="F24" s="145">
        <f>IF('DM_NHAN_SU'!$B24="","",'DM_NHAN_SU'!I24)</f>
        <v/>
      </c>
      <c r="G24" s="145">
        <f>IF('DM_NHAN_SU'!$B24="","",'DM_NHAN_SU'!J24)</f>
        <v/>
      </c>
      <c r="H24" s="145">
        <f>IF('DM_NHAN_SU'!$B24="","",IF('DM_NHAN_SU'!H24="",'THAM_SO'!$B$11,'DM_NHAN_SU'!H24))</f>
        <v/>
      </c>
      <c r="I24" s="232">
        <f>IF('DM_NHAN_SU'!$B24="","",IF('DM_NHAN_SU'!L24&gt;0,'DM_NHAN_SU'!L24,'THAM_SO'!$B$9))</f>
        <v/>
      </c>
      <c r="J24" s="232">
        <f>IF('DM_NHAN_SU'!$B24="","",IF('DM_NHAN_SU'!M24&gt;0,'DM_NHAN_SU'!M24,'THAM_SO'!$B$10))</f>
        <v/>
      </c>
      <c r="K24" s="232">
        <f>IF('DM_NHAN_SU'!$B24="","",'CHAM_CONG_THANG'!AC24)</f>
        <v/>
      </c>
      <c r="L24" s="232">
        <f>IF('DM_NHAN_SU'!$B24="","",'CHAM_CONG_THANG'!AD24)</f>
        <v/>
      </c>
      <c r="M24" s="232">
        <f>IF('DM_NHAN_SU'!$B24="","",'CHAM_CONG_THANG'!AE24)</f>
        <v/>
      </c>
      <c r="N24" s="232">
        <f>IF('DM_NHAN_SU'!$B24="","",'CHAM_CONG_THANG'!N24)</f>
        <v/>
      </c>
      <c r="O24" s="224">
        <f>IF('DM_NHAN_SU'!$B24="","",IF($B24="","",IF($G24="Tháng",IF($I24&gt;0,'DM_NHAN_SU'!$K24*MIN($K24,$I24)/$I24,0),IF($G24="Ngày",'DM_NHAN_SU'!$K24*$K24,IF($G24="Giờ",'DM_NHAN_SU'!$K24*$L24,IF($G24="Sản phẩm",'DM_NHAN_SU'!$K24*$N24,0))))))</f>
        <v/>
      </c>
      <c r="P24" s="224">
        <f>IF('DM_NHAN_SU'!$B24="","",'CHAM_CONG_THANG'!O24)</f>
        <v/>
      </c>
      <c r="Q24" s="224">
        <f>IF('DM_NHAN_SU'!$B24="","",'CHAM_CONG_THANG'!P24)</f>
        <v/>
      </c>
      <c r="R24" s="224">
        <f>IF('DM_NHAN_SU'!$B24="","",'CHAM_CONG_THANG'!Q24)</f>
        <v/>
      </c>
      <c r="S24" s="224">
        <f>IF('DM_NHAN_SU'!$B24="","",'CHAM_CONG_THANG'!R24)</f>
        <v/>
      </c>
      <c r="T24" s="224">
        <f>IF('DM_NHAN_SU'!$B24="","",'CHAM_CONG_THANG'!S24)</f>
        <v/>
      </c>
      <c r="U24" s="224">
        <f>IF('DM_NHAN_SU'!$B24="","",MIN($T24,'THAM_SO'!$F$6))</f>
        <v/>
      </c>
      <c r="V24" s="224">
        <f>IF('DM_NHAN_SU'!$B24="","",MAX($T24-$U24,0))</f>
        <v/>
      </c>
      <c r="W24" s="224">
        <f>IF('DM_NHAN_SU'!$B24="","",'CHAM_CONG_THANG'!T24)</f>
        <v/>
      </c>
      <c r="X24" s="224">
        <f>IF('DM_NHAN_SU'!$B24="","",'CHAM_CONG_THANG'!U24)</f>
        <v/>
      </c>
      <c r="Y24" s="224">
        <f>IF('DM_NHAN_SU'!$B24="","",IF($B24="",0,IF('DM_NHAN_SU'!$Q24&gt;0,'DM_NHAN_SU'!$Q24,IF($G24="Tháng",IF($I24*$J24&gt;0,'DM_NHAN_SU'!$K24/($I24*$J24),0),IF($G24="Ngày",IF($J24&gt;0,'DM_NHAN_SU'!$K24/$J24,0),IF($G24="Giờ",'DM_NHAN_SU'!$K24,0))))))</f>
        <v/>
      </c>
      <c r="Z24" s="224">
        <f>IF('DM_NHAN_SU'!$B24="","",$Y24*($M24*'THAM_SO'!$C$22+'CHAM_CONG_THANG'!$AF24*'THAM_SO'!$C$19+'CHAM_CONG_THANG'!$AG24*'THAM_SO'!$C$20+'CHAM_CONG_THANG'!$AH24*'THAM_SO'!$C$21+'CHAM_CONG_THANG'!$AI24*'THAM_SO'!$C$23+'CHAM_CONG_THANG'!$AJ24*'THAM_SO'!$C$24+'CHAM_CONG_THANG'!$AK24*'THAM_SO'!$C$25))</f>
        <v/>
      </c>
      <c r="AA24" s="224">
        <f>IF('DM_NHAN_SU'!$B24="","",MAX(0,$Y24*($M24*IF('THAM_SO'!$C$22&gt;='THAM_SO'!$B$22,'THAM_SO'!$B$22,0)+'CHAM_CONG_THANG'!$AF24*IF('THAM_SO'!$C$19&gt;='THAM_SO'!$B$19,'THAM_SO'!$B$19,0)+'CHAM_CONG_THANG'!$AG24*IF('THAM_SO'!$C$20&gt;='THAM_SO'!$B$20,'THAM_SO'!$B$20,0)+'CHAM_CONG_THANG'!$AH24*IF('THAM_SO'!$C$21&gt;='THAM_SO'!$B$21,'THAM_SO'!$B$21,0)+'CHAM_CONG_THANG'!$AI24*IF('THAM_SO'!$C$23&gt;='THAM_SO'!$B$23,'THAM_SO'!$B$23,0)+'CHAM_CONG_THANG'!$AJ24*IF('THAM_SO'!$C$24&gt;='THAM_SO'!$B$24,'THAM_SO'!$B$24,0)+'CHAM_CONG_THANG'!$AK24*IF('THAM_SO'!$C$25&gt;='THAM_SO'!$B$25,'THAM_SO'!$B$25,0))-'CHAM_CONG_THANG'!$V24))</f>
        <v/>
      </c>
      <c r="AB24" s="224">
        <f>IF('DM_NHAN_SU'!$B24="","",MAX($Z24-$AA24,0))</f>
        <v/>
      </c>
      <c r="AC24" s="224">
        <f>IF('DM_NHAN_SU'!$B24="","",$O24+$P24+$Q24+$R24+$S24+$V24+$AB24+$BO24+$BP24+$BQ24+$BR24)</f>
        <v/>
      </c>
      <c r="AD24" s="224">
        <f>IF('DM_NHAN_SU'!$B24="","",'DM_NHAN_SU'!N24+'DM_NHAN_SU'!O24+'DM_NHAN_SU'!P24)</f>
        <v/>
      </c>
      <c r="AE24" s="224">
        <f>IF('DM_NHAN_SU'!$B24="","",IF(OR('DM_NHAN_SU'!$R24&lt;&gt;"Có",'CHAM_CONG_THANG'!$AA24="Có",$BL24&gt;=14,$AD24&lt;=0),0,MIN(MAX($AD24,'THAM_SO'!$M$6),'THAM_SO'!$M$7)))</f>
        <v/>
      </c>
      <c r="AF24" s="224">
        <f>IF('DM_NHAN_SU'!$B24="","",IF(OR('DM_NHAN_SU'!$S24&lt;&gt;"Có",'CHAM_CONG_THANG'!$AA24="Có",$BL24&gt;=14,$AD24&lt;=0),0,MIN(MAX($AD24,VLOOKUP($H24,'THAM_SO'!$L$17:$P$20,4,FALSE)),VLOOKUP($H24,'THAM_SO'!$L$17:$P$20,5,FALSE))))</f>
        <v/>
      </c>
      <c r="AG24" s="224">
        <f>IF('DM_NHAN_SU'!$B24="","",$AE24*'THAM_SO'!$M$8)</f>
        <v/>
      </c>
      <c r="AH24" s="224">
        <f>IF('DM_NHAN_SU'!$B24="","",$AE24*'THAM_SO'!$M$9)</f>
        <v/>
      </c>
      <c r="AI24" s="224">
        <f>IF('DM_NHAN_SU'!$B24="","",$AF24*'THAM_SO'!$M$10)</f>
        <v/>
      </c>
      <c r="AJ24" s="224">
        <f>IF('DM_NHAN_SU'!$B24="","",SUM($AG24:$AI24))</f>
        <v/>
      </c>
      <c r="AK24" s="224">
        <f>IF('DM_NHAN_SU'!$B24="","",IF($B24="",0,'THAM_SO'!$F$4))</f>
        <v/>
      </c>
      <c r="AL24" s="224">
        <f>IF('DM_NHAN_SU'!$B24="","",IF($B24="",0,'DM_NHAN_SU'!$T24*'THAM_SO'!$F$5))</f>
        <v/>
      </c>
      <c r="AM24" s="224">
        <f>IF('DM_NHAN_SU'!$B24="","",'CHAM_CONG_THANG'!W24)</f>
        <v/>
      </c>
      <c r="AN24" s="224">
        <f>IF('DM_NHAN_SU'!$B24="","",MAX($AC24-$AK24-$AL24-$AM24,0))</f>
        <v/>
      </c>
      <c r="AO24" s="224">
        <f>IF('DM_NHAN_SU'!$B24="","",IF($B24="","",IF($F24="Net",IF($AC24&lt;=$AK24+$AL24+$AM24,$AC24+$AJ24,$AJ24+$AK24+$AL24+$AM24+IF($AN24&lt;='THAM_SO'!$J$10,($AN24-'THAM_SO'!$I$10)/(1-'THAM_SO'!$H$10),IF($AN24&lt;='THAM_SO'!$J$11,($AN24-'THAM_SO'!$I$11)/(1-'THAM_SO'!$H$11),IF($AN24&lt;='THAM_SO'!$J$12,($AN24-'THAM_SO'!$I$12)/(1-'THAM_SO'!$H$12),IF($AN24&lt;='THAM_SO'!$J$13,($AN24-'THAM_SO'!$I$13)/(1-'THAM_SO'!$H$13),($AN24-'THAM_SO'!$I$14)/(1-'THAM_SO'!$H$14)))))),$AC24)))</f>
        <v/>
      </c>
      <c r="AP24" s="224">
        <f>IF('DM_NHAN_SU'!$B24="","",$U24+$W24+$X24+$AA24+$BS24)</f>
        <v/>
      </c>
      <c r="AQ24" s="224">
        <f>IF('DM_NHAN_SU'!$B24="","",MAX($AO24-$AJ24-$AK24-$AL24-$AM24,0))</f>
        <v/>
      </c>
      <c r="AR24" s="224">
        <f>IF('DM_NHAN_SU'!$B24="","",IF($AQ24&lt;=0,0,$AQ24*VLOOKUP($AQ24,'THAM_SO'!$F$10:$I$14,3,TRUE)-VLOOKUP($AQ24,'THAM_SO'!$F$10:$I$14,4,TRUE)))</f>
        <v/>
      </c>
      <c r="AS24" s="224">
        <f>IF('DM_NHAN_SU'!$B24="","",$AO24+$AP24)</f>
        <v/>
      </c>
      <c r="AT24" s="224">
        <f>IF('DM_NHAN_SU'!$B24="","",$AS24-$AJ24-$AR24)</f>
        <v/>
      </c>
      <c r="AU24" s="224">
        <f>IF('DM_NHAN_SU'!$B24="","",'CHAM_CONG_THANG'!X24)</f>
        <v/>
      </c>
      <c r="AV24" s="224">
        <f>IF('DM_NHAN_SU'!$B24="","",'CHAM_CONG_THANG'!Y24+'QT_NGHI_VIEC'!AD24)</f>
        <v/>
      </c>
      <c r="AW24" s="224">
        <f>IF('DM_NHAN_SU'!$B24="","",'CHAM_CONG_THANG'!Z24)</f>
        <v/>
      </c>
      <c r="AX24" s="224">
        <f>IF('DM_NHAN_SU'!$B24="","",$AT24-$AU24-$AV24-$AW24-$BV24)</f>
        <v/>
      </c>
      <c r="AY24" s="224">
        <f>IF('DM_NHAN_SU'!$B24="","",$AE24*'THAM_SO'!$M$11)</f>
        <v/>
      </c>
      <c r="AZ24" s="224">
        <f>IF('DM_NHAN_SU'!$B24="","",$AE24*'THAM_SO'!$M$12)</f>
        <v/>
      </c>
      <c r="BA24" s="224">
        <f>IF('DM_NHAN_SU'!$B24="","",$AF24*'THAM_SO'!$M$13)</f>
        <v/>
      </c>
      <c r="BB24" s="224">
        <f>IF('DM_NHAN_SU'!$B24="","",$AE24*'THAM_SO'!$M$14)</f>
        <v/>
      </c>
      <c r="BC24" s="224">
        <f>IF('DM_NHAN_SU'!$B24="","",SUM($AY24:$BB24))</f>
        <v/>
      </c>
      <c r="BD24" s="224">
        <f>IF('DM_NHAN_SU'!$B24="","",$AS24+$BC24)</f>
        <v/>
      </c>
      <c r="BE24" s="224">
        <f>IF('DM_NHAN_SU'!$B24="","",VLOOKUP($H24,'THAM_SO'!$L$17:$P$20,2,FALSE))</f>
        <v/>
      </c>
      <c r="BF24" s="224">
        <f>IF('DM_NHAN_SU'!$B24="","",VLOOKUP($H24,'THAM_SO'!$L$17:$P$20,3,FALSE))</f>
        <v/>
      </c>
      <c r="BG24" s="150">
        <f>IF('DM_NHAN_SU'!$B24="","",IF($B24="","",IF(COUNTIF('DM_NHAN_SU'!$B$6:$B$155,$B24)&gt;1,"Trùng mã NV; ","")&amp;IF(OR($F24="",$G24=""),"Thiếu loại/hình thức lương; ","")&amp;IF('CHAM_CONG_THANG'!$D24="","Chưa chọn nguồn công; ","")&amp;IF(AND('CHAM_CONG_THANG'!$D24="Theo ngày",COUNTIF('CHAM_CONG_NGAY'!$B$6:$B$4655,$B24)=0),"Chưa có chấm công ngày; ","")&amp;IF(OR($I24&lt;=0,$J24&lt;=0),"Thiếu công/giờ chuẩn; ","")&amp;IF(AND($G24="Tháng",'DM_NHAN_SU'!$K24&lt;$BE24),"Lương tháng dưới tối thiểu vùng; ","")&amp;IF(AND($G24="Ngày",'DM_NHAN_SU'!$K24/$J24&lt;$BF24),"Lương ngày quy đổi dưới tối thiểu giờ; ","")&amp;IF(AND($G24="Giờ",'DM_NHAN_SU'!$K24&lt;$BF24),"Lương giờ dưới tối thiểu vùng; ","")&amp;IF(AND($G24="Sản phẩm",$L24&gt;0,$O24/$L24&lt;$BF24),"Lương SP quy đổi dưới tối thiểu giờ; ","")&amp;IF(OR('THAM_SO'!$C$19&lt;'THAM_SO'!$B$19,'THAM_SO'!$C$20&lt;'THAM_SO'!$B$20,'THAM_SO'!$C$21&lt;'THAM_SO'!$B$21,'THAM_SO'!$C$22&lt;'THAM_SO'!$B$22,'THAM_SO'!$C$23&lt;'THAM_SO'!$B$23,'THAM_SO'!$C$24&lt;'THAM_SO'!$B$24,'THAM_SO'!$C$25&lt;'THAM_SO'!$B$25),"Hệ số OT/đêm DN thấp hơn luật; ","")&amp;IF(AND('DM_NHAN_SU'!$R24="Có",$AD24&lt;=0),"Thiếu căn cứ đóng BH; ","")&amp;IF(AND($AD24&gt;0,$AD24&lt;'THAM_SO'!$M$6),"Căn cứ BH dưới sàn – đã nâng sàn; ","")&amp;IF($AD24&gt;'THAM_SO'!$M$7,"Căn cứ BH vượt trần – đã giới hạn; ","")&amp;IF(AND($F24="Net",SUM('CHAM_CONG_THANG'!$AF24:$AK24)&gt;0,'DM_NHAN_SU'!$Q24&lt;=0),"Net có OT nhưng chưa khai lương giờ OT; ","")&amp;IF('CHAM_CONG_THANG'!$V24&gt;$Z24,"Phần OT không miễn lớn hơn tiền OT; ","")&amp;IF(AND($F24="Net",ABS($AT24-$AC24-$AP24)&gt;1),"Lệch quy đổi Net; ","")&amp;IF(AND($BH24&gt;0,'DM_NHAN_SU'!$AD24=""),"Có phép năm nhưng đang tạm dùng 12 ngày; ","")&amp;IF(AND($G24="Sản phẩm",SUM($BH24:$BJ24)&gt;0,'DM_NHAN_SU'!$AH24&lt;=0),"Lương sản phẩm thiếu đơn giá ngày phép/lễ; ","")&amp;IF(AND($BL24&gt;=14,'CHAM_CONG_THANG'!$AA24&lt;&gt;"Có"),"Thai sản từ 14 ngày: file tự dừng đóng BH – kiểm tra hồ sơ; ","")&amp;IF(AND('DM_NHAN_SU'!$AA24="Có",'DM_NHAN_SU'!$AB24=""),"Đoàn viên chưa chọn cách tính đoàn phí; ","")&amp;IF(AND('DM_NHAN_SU'!$AB24="Nhập tay",'DM_NHAN_SU'!$AC24&gt;'THAM_SO'!$M$26),"Đoàn phí nhập tay vượt trần thông dụng; ","")&amp;IF('NGHI_PHEP'!$L24&lt;&gt;"","Phép: "&amp;'NGHI_PHEP'!$L24,"")&amp;IF('CHE_DO_BHXH'!$AA24&lt;&gt;"","BHXH: "&amp;'CHE_DO_BHXH'!$AA24,"")&amp;IF('THUONG_T13_TET'!$O24&lt;&gt;"","Thưởng: "&amp;'THUONG_T13_TET'!$O24,"")&amp;IF('QT_NGHI_VIEC'!$AF24&lt;&gt;"","Nghỉ việc: "&amp;'QT_NGHI_VIEC'!$AF24,"")&amp;IF($AX24&lt;0,"Thực lĩnh âm; ","")&amp;IF(OR('DM_NHAN_SU'!$F24&gt;'THAM_SO'!$B$7,AND('DM_NHAN_SU'!$G24&lt;&gt;"",'DM_NHAN_SU'!$G24&lt;'THAM_SO'!$B$6)),"Ngoài kỳ trả lương; ","")))</f>
        <v/>
      </c>
      <c r="BH24" s="232">
        <f>IF('DM_NHAN_SU'!$B24="","",'CHAM_CONG_THANG'!AR24)</f>
        <v/>
      </c>
      <c r="BI24" s="232">
        <f>IF('DM_NHAN_SU'!$B24="","",'CHAM_CONG_THANG'!AS24)</f>
        <v/>
      </c>
      <c r="BJ24" s="232">
        <f>IF('DM_NHAN_SU'!$B24="","",'CHAM_CONG_THANG'!AT24)</f>
        <v/>
      </c>
      <c r="BK24" s="232">
        <f>IF('DM_NHAN_SU'!$B24="","",'CHAM_CONG_THANG'!AU24)</f>
        <v/>
      </c>
      <c r="BL24" s="232">
        <f>IF('DM_NHAN_SU'!$B24="","",'CHAM_CONG_THANG'!AV24)</f>
        <v/>
      </c>
      <c r="BM24" s="232">
        <f>IF('DM_NHAN_SU'!$B24="","",'CHAM_CONG_THANG'!AW24)</f>
        <v/>
      </c>
      <c r="BN24" s="232">
        <f>IF('DM_NHAN_SU'!$B24="","",SUM($K24,$BH24:$BJ24))</f>
        <v/>
      </c>
      <c r="BO24" s="224">
        <f>IF('DM_NHAN_SU'!$B24="","",IF($B24="",0,IF($G24="Tháng",IF($I24&gt;0,'DM_NHAN_SU'!$K24*MIN($BH24+$BJ24,MAX($I24-$K24,0))/$I24,0),IF($G24="Ngày",'DM_NHAN_SU'!$K24*SUM($BH24:$BJ24),IF($G24="Giờ",'DM_NHAN_SU'!$K24*SUM($BH24:$BJ24)*$J24,IF($G24="Sản phẩm",'DM_NHAN_SU'!$AH24*SUM($BH24:$BJ24),0))))))</f>
        <v/>
      </c>
      <c r="BP24" s="224">
        <f>IF('DM_NHAN_SU'!$B24="","",IF('THUONG_T13_TET'!$L24="Có",'THUONG_T13_TET'!$I24,0))</f>
        <v/>
      </c>
      <c r="BQ24" s="224">
        <f>IF('DM_NHAN_SU'!$B24="","",IF('THUONG_T13_TET'!$L24="Có",SUM('THUONG_T13_TET'!$J24:$K24),0))</f>
        <v/>
      </c>
      <c r="BR24" s="224">
        <f>IF('DM_NHAN_SU'!$B24="","",'QT_NGHI_VIEC'!AC24)</f>
        <v/>
      </c>
      <c r="BS24" s="224">
        <f>IF('DM_NHAN_SU'!$B24="","",'QT_NGHI_VIEC'!AB24)</f>
        <v/>
      </c>
      <c r="BT24" s="224">
        <f>IF('DM_NHAN_SU'!$B24="","",IF('CHE_DO_BHXH'!$Z24="Có",'CHE_DO_BHXH'!$W24,0))</f>
        <v/>
      </c>
      <c r="BU24" s="224">
        <f>IF('DM_NHAN_SU'!$B24="","",IF('CHE_DO_BHXH'!$Y24="DN trả thay",$BT24,0))</f>
        <v/>
      </c>
      <c r="BV24" s="224">
        <f>IF('DM_NHAN_SU'!$B24="","",IF(OR('DM_NHAN_SU'!$AA24&lt;&gt;"Có",'CHE_DO_BHXH'!$O24&gt;=1,SUM('CHE_DO_BHXH'!$D24,'CHE_DO_BHXH'!$G24,'CHE_DO_BHXH'!$K24)&gt;=24,AND($I24&gt;0,$BM24&gt;=$I24)),0,IF('DM_NHAN_SU'!$AB24="Không",0,IF('DM_NHAN_SU'!$AB24="Nhập tay",'DM_NHAN_SU'!$AC24,IF('DM_NHAN_SU'!$AB24="Theo thực nhận",MIN(MAX($AT24-$AU24-$AV24-$AW24,0)*'THAM_SO'!$M$23,'THAM_SO'!$M$26),MIN($AE24*'THAM_SO'!$M$23,'THAM_SO'!$M$26))))))</f>
        <v/>
      </c>
      <c r="BW24" s="224">
        <f>IF('DM_NHAN_SU'!$B24="","",$AX24+$BU24)</f>
        <v/>
      </c>
    </row>
    <row r="25">
      <c r="A25" s="145">
        <f>IF('DM_NHAN_SU'!$B25="","",IF($B25="","",ROW()-5))</f>
        <v/>
      </c>
      <c r="B25" s="145">
        <f>IF('DM_NHAN_SU'!$B25="","",'DM_NHAN_SU'!B25)</f>
        <v/>
      </c>
      <c r="C25" s="145">
        <f>IF('DM_NHAN_SU'!$B25="","",'DM_NHAN_SU'!C25)</f>
        <v/>
      </c>
      <c r="D25" s="145">
        <f>IF('DM_NHAN_SU'!$B25="","",'DM_NHAN_SU'!D25)</f>
        <v/>
      </c>
      <c r="E25" s="145">
        <f>IF('DM_NHAN_SU'!$B25="","",'DM_NHAN_SU'!E25)</f>
        <v/>
      </c>
      <c r="F25" s="145">
        <f>IF('DM_NHAN_SU'!$B25="","",'DM_NHAN_SU'!I25)</f>
        <v/>
      </c>
      <c r="G25" s="145">
        <f>IF('DM_NHAN_SU'!$B25="","",'DM_NHAN_SU'!J25)</f>
        <v/>
      </c>
      <c r="H25" s="145">
        <f>IF('DM_NHAN_SU'!$B25="","",IF('DM_NHAN_SU'!H25="",'THAM_SO'!$B$11,'DM_NHAN_SU'!H25))</f>
        <v/>
      </c>
      <c r="I25" s="232">
        <f>IF('DM_NHAN_SU'!$B25="","",IF('DM_NHAN_SU'!L25&gt;0,'DM_NHAN_SU'!L25,'THAM_SO'!$B$9))</f>
        <v/>
      </c>
      <c r="J25" s="232">
        <f>IF('DM_NHAN_SU'!$B25="","",IF('DM_NHAN_SU'!M25&gt;0,'DM_NHAN_SU'!M25,'THAM_SO'!$B$10))</f>
        <v/>
      </c>
      <c r="K25" s="232">
        <f>IF('DM_NHAN_SU'!$B25="","",'CHAM_CONG_THANG'!AC25)</f>
        <v/>
      </c>
      <c r="L25" s="232">
        <f>IF('DM_NHAN_SU'!$B25="","",'CHAM_CONG_THANG'!AD25)</f>
        <v/>
      </c>
      <c r="M25" s="232">
        <f>IF('DM_NHAN_SU'!$B25="","",'CHAM_CONG_THANG'!AE25)</f>
        <v/>
      </c>
      <c r="N25" s="232">
        <f>IF('DM_NHAN_SU'!$B25="","",'CHAM_CONG_THANG'!N25)</f>
        <v/>
      </c>
      <c r="O25" s="224">
        <f>IF('DM_NHAN_SU'!$B25="","",IF($B25="","",IF($G25="Tháng",IF($I25&gt;0,'DM_NHAN_SU'!$K25*MIN($K25,$I25)/$I25,0),IF($G25="Ngày",'DM_NHAN_SU'!$K25*$K25,IF($G25="Giờ",'DM_NHAN_SU'!$K25*$L25,IF($G25="Sản phẩm",'DM_NHAN_SU'!$K25*$N25,0))))))</f>
        <v/>
      </c>
      <c r="P25" s="224">
        <f>IF('DM_NHAN_SU'!$B25="","",'CHAM_CONG_THANG'!O25)</f>
        <v/>
      </c>
      <c r="Q25" s="224">
        <f>IF('DM_NHAN_SU'!$B25="","",'CHAM_CONG_THANG'!P25)</f>
        <v/>
      </c>
      <c r="R25" s="224">
        <f>IF('DM_NHAN_SU'!$B25="","",'CHAM_CONG_THANG'!Q25)</f>
        <v/>
      </c>
      <c r="S25" s="224">
        <f>IF('DM_NHAN_SU'!$B25="","",'CHAM_CONG_THANG'!R25)</f>
        <v/>
      </c>
      <c r="T25" s="224">
        <f>IF('DM_NHAN_SU'!$B25="","",'CHAM_CONG_THANG'!S25)</f>
        <v/>
      </c>
      <c r="U25" s="224">
        <f>IF('DM_NHAN_SU'!$B25="","",MIN($T25,'THAM_SO'!$F$6))</f>
        <v/>
      </c>
      <c r="V25" s="224">
        <f>IF('DM_NHAN_SU'!$B25="","",MAX($T25-$U25,0))</f>
        <v/>
      </c>
      <c r="W25" s="224">
        <f>IF('DM_NHAN_SU'!$B25="","",'CHAM_CONG_THANG'!T25)</f>
        <v/>
      </c>
      <c r="X25" s="224">
        <f>IF('DM_NHAN_SU'!$B25="","",'CHAM_CONG_THANG'!U25)</f>
        <v/>
      </c>
      <c r="Y25" s="224">
        <f>IF('DM_NHAN_SU'!$B25="","",IF($B25="",0,IF('DM_NHAN_SU'!$Q25&gt;0,'DM_NHAN_SU'!$Q25,IF($G25="Tháng",IF($I25*$J25&gt;0,'DM_NHAN_SU'!$K25/($I25*$J25),0),IF($G25="Ngày",IF($J25&gt;0,'DM_NHAN_SU'!$K25/$J25,0),IF($G25="Giờ",'DM_NHAN_SU'!$K25,0))))))</f>
        <v/>
      </c>
      <c r="Z25" s="224">
        <f>IF('DM_NHAN_SU'!$B25="","",$Y25*($M25*'THAM_SO'!$C$22+'CHAM_CONG_THANG'!$AF25*'THAM_SO'!$C$19+'CHAM_CONG_THANG'!$AG25*'THAM_SO'!$C$20+'CHAM_CONG_THANG'!$AH25*'THAM_SO'!$C$21+'CHAM_CONG_THANG'!$AI25*'THAM_SO'!$C$23+'CHAM_CONG_THANG'!$AJ25*'THAM_SO'!$C$24+'CHAM_CONG_THANG'!$AK25*'THAM_SO'!$C$25))</f>
        <v/>
      </c>
      <c r="AA25" s="224">
        <f>IF('DM_NHAN_SU'!$B25="","",MAX(0,$Y25*($M25*IF('THAM_SO'!$C$22&gt;='THAM_SO'!$B$22,'THAM_SO'!$B$22,0)+'CHAM_CONG_THANG'!$AF25*IF('THAM_SO'!$C$19&gt;='THAM_SO'!$B$19,'THAM_SO'!$B$19,0)+'CHAM_CONG_THANG'!$AG25*IF('THAM_SO'!$C$20&gt;='THAM_SO'!$B$20,'THAM_SO'!$B$20,0)+'CHAM_CONG_THANG'!$AH25*IF('THAM_SO'!$C$21&gt;='THAM_SO'!$B$21,'THAM_SO'!$B$21,0)+'CHAM_CONG_THANG'!$AI25*IF('THAM_SO'!$C$23&gt;='THAM_SO'!$B$23,'THAM_SO'!$B$23,0)+'CHAM_CONG_THANG'!$AJ25*IF('THAM_SO'!$C$24&gt;='THAM_SO'!$B$24,'THAM_SO'!$B$24,0)+'CHAM_CONG_THANG'!$AK25*IF('THAM_SO'!$C$25&gt;='THAM_SO'!$B$25,'THAM_SO'!$B$25,0))-'CHAM_CONG_THANG'!$V25))</f>
        <v/>
      </c>
      <c r="AB25" s="224">
        <f>IF('DM_NHAN_SU'!$B25="","",MAX($Z25-$AA25,0))</f>
        <v/>
      </c>
      <c r="AC25" s="224">
        <f>IF('DM_NHAN_SU'!$B25="","",$O25+$P25+$Q25+$R25+$S25+$V25+$AB25+$BO25+$BP25+$BQ25+$BR25)</f>
        <v/>
      </c>
      <c r="AD25" s="224">
        <f>IF('DM_NHAN_SU'!$B25="","",'DM_NHAN_SU'!N25+'DM_NHAN_SU'!O25+'DM_NHAN_SU'!P25)</f>
        <v/>
      </c>
      <c r="AE25" s="224">
        <f>IF('DM_NHAN_SU'!$B25="","",IF(OR('DM_NHAN_SU'!$R25&lt;&gt;"Có",'CHAM_CONG_THANG'!$AA25="Có",$BL25&gt;=14,$AD25&lt;=0),0,MIN(MAX($AD25,'THAM_SO'!$M$6),'THAM_SO'!$M$7)))</f>
        <v/>
      </c>
      <c r="AF25" s="224">
        <f>IF('DM_NHAN_SU'!$B25="","",IF(OR('DM_NHAN_SU'!$S25&lt;&gt;"Có",'CHAM_CONG_THANG'!$AA25="Có",$BL25&gt;=14,$AD25&lt;=0),0,MIN(MAX($AD25,VLOOKUP($H25,'THAM_SO'!$L$17:$P$20,4,FALSE)),VLOOKUP($H25,'THAM_SO'!$L$17:$P$20,5,FALSE))))</f>
        <v/>
      </c>
      <c r="AG25" s="224">
        <f>IF('DM_NHAN_SU'!$B25="","",$AE25*'THAM_SO'!$M$8)</f>
        <v/>
      </c>
      <c r="AH25" s="224">
        <f>IF('DM_NHAN_SU'!$B25="","",$AE25*'THAM_SO'!$M$9)</f>
        <v/>
      </c>
      <c r="AI25" s="224">
        <f>IF('DM_NHAN_SU'!$B25="","",$AF25*'THAM_SO'!$M$10)</f>
        <v/>
      </c>
      <c r="AJ25" s="224">
        <f>IF('DM_NHAN_SU'!$B25="","",SUM($AG25:$AI25))</f>
        <v/>
      </c>
      <c r="AK25" s="224">
        <f>IF('DM_NHAN_SU'!$B25="","",IF($B25="",0,'THAM_SO'!$F$4))</f>
        <v/>
      </c>
      <c r="AL25" s="224">
        <f>IF('DM_NHAN_SU'!$B25="","",IF($B25="",0,'DM_NHAN_SU'!$T25*'THAM_SO'!$F$5))</f>
        <v/>
      </c>
      <c r="AM25" s="224">
        <f>IF('DM_NHAN_SU'!$B25="","",'CHAM_CONG_THANG'!W25)</f>
        <v/>
      </c>
      <c r="AN25" s="224">
        <f>IF('DM_NHAN_SU'!$B25="","",MAX($AC25-$AK25-$AL25-$AM25,0))</f>
        <v/>
      </c>
      <c r="AO25" s="224">
        <f>IF('DM_NHAN_SU'!$B25="","",IF($B25="","",IF($F25="Net",IF($AC25&lt;=$AK25+$AL25+$AM25,$AC25+$AJ25,$AJ25+$AK25+$AL25+$AM25+IF($AN25&lt;='THAM_SO'!$J$10,($AN25-'THAM_SO'!$I$10)/(1-'THAM_SO'!$H$10),IF($AN25&lt;='THAM_SO'!$J$11,($AN25-'THAM_SO'!$I$11)/(1-'THAM_SO'!$H$11),IF($AN25&lt;='THAM_SO'!$J$12,($AN25-'THAM_SO'!$I$12)/(1-'THAM_SO'!$H$12),IF($AN25&lt;='THAM_SO'!$J$13,($AN25-'THAM_SO'!$I$13)/(1-'THAM_SO'!$H$13),($AN25-'THAM_SO'!$I$14)/(1-'THAM_SO'!$H$14)))))),$AC25)))</f>
        <v/>
      </c>
      <c r="AP25" s="224">
        <f>IF('DM_NHAN_SU'!$B25="","",$U25+$W25+$X25+$AA25+$BS25)</f>
        <v/>
      </c>
      <c r="AQ25" s="224">
        <f>IF('DM_NHAN_SU'!$B25="","",MAX($AO25-$AJ25-$AK25-$AL25-$AM25,0))</f>
        <v/>
      </c>
      <c r="AR25" s="224">
        <f>IF('DM_NHAN_SU'!$B25="","",IF($AQ25&lt;=0,0,$AQ25*VLOOKUP($AQ25,'THAM_SO'!$F$10:$I$14,3,TRUE)-VLOOKUP($AQ25,'THAM_SO'!$F$10:$I$14,4,TRUE)))</f>
        <v/>
      </c>
      <c r="AS25" s="224">
        <f>IF('DM_NHAN_SU'!$B25="","",$AO25+$AP25)</f>
        <v/>
      </c>
      <c r="AT25" s="224">
        <f>IF('DM_NHAN_SU'!$B25="","",$AS25-$AJ25-$AR25)</f>
        <v/>
      </c>
      <c r="AU25" s="224">
        <f>IF('DM_NHAN_SU'!$B25="","",'CHAM_CONG_THANG'!X25)</f>
        <v/>
      </c>
      <c r="AV25" s="224">
        <f>IF('DM_NHAN_SU'!$B25="","",'CHAM_CONG_THANG'!Y25+'QT_NGHI_VIEC'!AD25)</f>
        <v/>
      </c>
      <c r="AW25" s="224">
        <f>IF('DM_NHAN_SU'!$B25="","",'CHAM_CONG_THANG'!Z25)</f>
        <v/>
      </c>
      <c r="AX25" s="224">
        <f>IF('DM_NHAN_SU'!$B25="","",$AT25-$AU25-$AV25-$AW25-$BV25)</f>
        <v/>
      </c>
      <c r="AY25" s="224">
        <f>IF('DM_NHAN_SU'!$B25="","",$AE25*'THAM_SO'!$M$11)</f>
        <v/>
      </c>
      <c r="AZ25" s="224">
        <f>IF('DM_NHAN_SU'!$B25="","",$AE25*'THAM_SO'!$M$12)</f>
        <v/>
      </c>
      <c r="BA25" s="224">
        <f>IF('DM_NHAN_SU'!$B25="","",$AF25*'THAM_SO'!$M$13)</f>
        <v/>
      </c>
      <c r="BB25" s="224">
        <f>IF('DM_NHAN_SU'!$B25="","",$AE25*'THAM_SO'!$M$14)</f>
        <v/>
      </c>
      <c r="BC25" s="224">
        <f>IF('DM_NHAN_SU'!$B25="","",SUM($AY25:$BB25))</f>
        <v/>
      </c>
      <c r="BD25" s="224">
        <f>IF('DM_NHAN_SU'!$B25="","",$AS25+$BC25)</f>
        <v/>
      </c>
      <c r="BE25" s="224">
        <f>IF('DM_NHAN_SU'!$B25="","",VLOOKUP($H25,'THAM_SO'!$L$17:$P$20,2,FALSE))</f>
        <v/>
      </c>
      <c r="BF25" s="224">
        <f>IF('DM_NHAN_SU'!$B25="","",VLOOKUP($H25,'THAM_SO'!$L$17:$P$20,3,FALSE))</f>
        <v/>
      </c>
      <c r="BG25" s="150">
        <f>IF('DM_NHAN_SU'!$B25="","",IF($B25="","",IF(COUNTIF('DM_NHAN_SU'!$B$6:$B$155,$B25)&gt;1,"Trùng mã NV; ","")&amp;IF(OR($F25="",$G25=""),"Thiếu loại/hình thức lương; ","")&amp;IF('CHAM_CONG_THANG'!$D25="","Chưa chọn nguồn công; ","")&amp;IF(AND('CHAM_CONG_THANG'!$D25="Theo ngày",COUNTIF('CHAM_CONG_NGAY'!$B$6:$B$4655,$B25)=0),"Chưa có chấm công ngày; ","")&amp;IF(OR($I25&lt;=0,$J25&lt;=0),"Thiếu công/giờ chuẩn; ","")&amp;IF(AND($G25="Tháng",'DM_NHAN_SU'!$K25&lt;$BE25),"Lương tháng dưới tối thiểu vùng; ","")&amp;IF(AND($G25="Ngày",'DM_NHAN_SU'!$K25/$J25&lt;$BF25),"Lương ngày quy đổi dưới tối thiểu giờ; ","")&amp;IF(AND($G25="Giờ",'DM_NHAN_SU'!$K25&lt;$BF25),"Lương giờ dưới tối thiểu vùng; ","")&amp;IF(AND($G25="Sản phẩm",$L25&gt;0,$O25/$L25&lt;$BF25),"Lương SP quy đổi dưới tối thiểu giờ; ","")&amp;IF(OR('THAM_SO'!$C$19&lt;'THAM_SO'!$B$19,'THAM_SO'!$C$20&lt;'THAM_SO'!$B$20,'THAM_SO'!$C$21&lt;'THAM_SO'!$B$21,'THAM_SO'!$C$22&lt;'THAM_SO'!$B$22,'THAM_SO'!$C$23&lt;'THAM_SO'!$B$23,'THAM_SO'!$C$24&lt;'THAM_SO'!$B$24,'THAM_SO'!$C$25&lt;'THAM_SO'!$B$25),"Hệ số OT/đêm DN thấp hơn luật; ","")&amp;IF(AND('DM_NHAN_SU'!$R25="Có",$AD25&lt;=0),"Thiếu căn cứ đóng BH; ","")&amp;IF(AND($AD25&gt;0,$AD25&lt;'THAM_SO'!$M$6),"Căn cứ BH dưới sàn – đã nâng sàn; ","")&amp;IF($AD25&gt;'THAM_SO'!$M$7,"Căn cứ BH vượt trần – đã giới hạn; ","")&amp;IF(AND($F25="Net",SUM('CHAM_CONG_THANG'!$AF25:$AK25)&gt;0,'DM_NHAN_SU'!$Q25&lt;=0),"Net có OT nhưng chưa khai lương giờ OT; ","")&amp;IF('CHAM_CONG_THANG'!$V25&gt;$Z25,"Phần OT không miễn lớn hơn tiền OT; ","")&amp;IF(AND($F25="Net",ABS($AT25-$AC25-$AP25)&gt;1),"Lệch quy đổi Net; ","")&amp;IF(AND($BH25&gt;0,'DM_NHAN_SU'!$AD25=""),"Có phép năm nhưng đang tạm dùng 12 ngày; ","")&amp;IF(AND($G25="Sản phẩm",SUM($BH25:$BJ25)&gt;0,'DM_NHAN_SU'!$AH25&lt;=0),"Lương sản phẩm thiếu đơn giá ngày phép/lễ; ","")&amp;IF(AND($BL25&gt;=14,'CHAM_CONG_THANG'!$AA25&lt;&gt;"Có"),"Thai sản từ 14 ngày: file tự dừng đóng BH – kiểm tra hồ sơ; ","")&amp;IF(AND('DM_NHAN_SU'!$AA25="Có",'DM_NHAN_SU'!$AB25=""),"Đoàn viên chưa chọn cách tính đoàn phí; ","")&amp;IF(AND('DM_NHAN_SU'!$AB25="Nhập tay",'DM_NHAN_SU'!$AC25&gt;'THAM_SO'!$M$26),"Đoàn phí nhập tay vượt trần thông dụng; ","")&amp;IF('NGHI_PHEP'!$L25&lt;&gt;"","Phép: "&amp;'NGHI_PHEP'!$L25,"")&amp;IF('CHE_DO_BHXH'!$AA25&lt;&gt;"","BHXH: "&amp;'CHE_DO_BHXH'!$AA25,"")&amp;IF('THUONG_T13_TET'!$O25&lt;&gt;"","Thưởng: "&amp;'THUONG_T13_TET'!$O25,"")&amp;IF('QT_NGHI_VIEC'!$AF25&lt;&gt;"","Nghỉ việc: "&amp;'QT_NGHI_VIEC'!$AF25,"")&amp;IF($AX25&lt;0,"Thực lĩnh âm; ","")&amp;IF(OR('DM_NHAN_SU'!$F25&gt;'THAM_SO'!$B$7,AND('DM_NHAN_SU'!$G25&lt;&gt;"",'DM_NHAN_SU'!$G25&lt;'THAM_SO'!$B$6)),"Ngoài kỳ trả lương; ","")))</f>
        <v/>
      </c>
      <c r="BH25" s="232">
        <f>IF('DM_NHAN_SU'!$B25="","",'CHAM_CONG_THANG'!AR25)</f>
        <v/>
      </c>
      <c r="BI25" s="232">
        <f>IF('DM_NHAN_SU'!$B25="","",'CHAM_CONG_THANG'!AS25)</f>
        <v/>
      </c>
      <c r="BJ25" s="232">
        <f>IF('DM_NHAN_SU'!$B25="","",'CHAM_CONG_THANG'!AT25)</f>
        <v/>
      </c>
      <c r="BK25" s="232">
        <f>IF('DM_NHAN_SU'!$B25="","",'CHAM_CONG_THANG'!AU25)</f>
        <v/>
      </c>
      <c r="BL25" s="232">
        <f>IF('DM_NHAN_SU'!$B25="","",'CHAM_CONG_THANG'!AV25)</f>
        <v/>
      </c>
      <c r="BM25" s="232">
        <f>IF('DM_NHAN_SU'!$B25="","",'CHAM_CONG_THANG'!AW25)</f>
        <v/>
      </c>
      <c r="BN25" s="232">
        <f>IF('DM_NHAN_SU'!$B25="","",SUM($K25,$BH25:$BJ25))</f>
        <v/>
      </c>
      <c r="BO25" s="224">
        <f>IF('DM_NHAN_SU'!$B25="","",IF($B25="",0,IF($G25="Tháng",IF($I25&gt;0,'DM_NHAN_SU'!$K25*MIN($BH25+$BJ25,MAX($I25-$K25,0))/$I25,0),IF($G25="Ngày",'DM_NHAN_SU'!$K25*SUM($BH25:$BJ25),IF($G25="Giờ",'DM_NHAN_SU'!$K25*SUM($BH25:$BJ25)*$J25,IF($G25="Sản phẩm",'DM_NHAN_SU'!$AH25*SUM($BH25:$BJ25),0))))))</f>
        <v/>
      </c>
      <c r="BP25" s="224">
        <f>IF('DM_NHAN_SU'!$B25="","",IF('THUONG_T13_TET'!$L25="Có",'THUONG_T13_TET'!$I25,0))</f>
        <v/>
      </c>
      <c r="BQ25" s="224">
        <f>IF('DM_NHAN_SU'!$B25="","",IF('THUONG_T13_TET'!$L25="Có",SUM('THUONG_T13_TET'!$J25:$K25),0))</f>
        <v/>
      </c>
      <c r="BR25" s="224">
        <f>IF('DM_NHAN_SU'!$B25="","",'QT_NGHI_VIEC'!AC25)</f>
        <v/>
      </c>
      <c r="BS25" s="224">
        <f>IF('DM_NHAN_SU'!$B25="","",'QT_NGHI_VIEC'!AB25)</f>
        <v/>
      </c>
      <c r="BT25" s="224">
        <f>IF('DM_NHAN_SU'!$B25="","",IF('CHE_DO_BHXH'!$Z25="Có",'CHE_DO_BHXH'!$W25,0))</f>
        <v/>
      </c>
      <c r="BU25" s="224">
        <f>IF('DM_NHAN_SU'!$B25="","",IF('CHE_DO_BHXH'!$Y25="DN trả thay",$BT25,0))</f>
        <v/>
      </c>
      <c r="BV25" s="224">
        <f>IF('DM_NHAN_SU'!$B25="","",IF(OR('DM_NHAN_SU'!$AA25&lt;&gt;"Có",'CHE_DO_BHXH'!$O25&gt;=1,SUM('CHE_DO_BHXH'!$D25,'CHE_DO_BHXH'!$G25,'CHE_DO_BHXH'!$K25)&gt;=24,AND($I25&gt;0,$BM25&gt;=$I25)),0,IF('DM_NHAN_SU'!$AB25="Không",0,IF('DM_NHAN_SU'!$AB25="Nhập tay",'DM_NHAN_SU'!$AC25,IF('DM_NHAN_SU'!$AB25="Theo thực nhận",MIN(MAX($AT25-$AU25-$AV25-$AW25,0)*'THAM_SO'!$M$23,'THAM_SO'!$M$26),MIN($AE25*'THAM_SO'!$M$23,'THAM_SO'!$M$26))))))</f>
        <v/>
      </c>
      <c r="BW25" s="224">
        <f>IF('DM_NHAN_SU'!$B25="","",$AX25+$BU25)</f>
        <v/>
      </c>
    </row>
    <row r="26">
      <c r="A26" s="145">
        <f>IF('DM_NHAN_SU'!$B26="","",IF($B26="","",ROW()-5))</f>
        <v/>
      </c>
      <c r="B26" s="145">
        <f>IF('DM_NHAN_SU'!$B26="","",'DM_NHAN_SU'!B26)</f>
        <v/>
      </c>
      <c r="C26" s="145">
        <f>IF('DM_NHAN_SU'!$B26="","",'DM_NHAN_SU'!C26)</f>
        <v/>
      </c>
      <c r="D26" s="145">
        <f>IF('DM_NHAN_SU'!$B26="","",'DM_NHAN_SU'!D26)</f>
        <v/>
      </c>
      <c r="E26" s="145">
        <f>IF('DM_NHAN_SU'!$B26="","",'DM_NHAN_SU'!E26)</f>
        <v/>
      </c>
      <c r="F26" s="145">
        <f>IF('DM_NHAN_SU'!$B26="","",'DM_NHAN_SU'!I26)</f>
        <v/>
      </c>
      <c r="G26" s="145">
        <f>IF('DM_NHAN_SU'!$B26="","",'DM_NHAN_SU'!J26)</f>
        <v/>
      </c>
      <c r="H26" s="145">
        <f>IF('DM_NHAN_SU'!$B26="","",IF('DM_NHAN_SU'!H26="",'THAM_SO'!$B$11,'DM_NHAN_SU'!H26))</f>
        <v/>
      </c>
      <c r="I26" s="232">
        <f>IF('DM_NHAN_SU'!$B26="","",IF('DM_NHAN_SU'!L26&gt;0,'DM_NHAN_SU'!L26,'THAM_SO'!$B$9))</f>
        <v/>
      </c>
      <c r="J26" s="232">
        <f>IF('DM_NHAN_SU'!$B26="","",IF('DM_NHAN_SU'!M26&gt;0,'DM_NHAN_SU'!M26,'THAM_SO'!$B$10))</f>
        <v/>
      </c>
      <c r="K26" s="232">
        <f>IF('DM_NHAN_SU'!$B26="","",'CHAM_CONG_THANG'!AC26)</f>
        <v/>
      </c>
      <c r="L26" s="232">
        <f>IF('DM_NHAN_SU'!$B26="","",'CHAM_CONG_THANG'!AD26)</f>
        <v/>
      </c>
      <c r="M26" s="232">
        <f>IF('DM_NHAN_SU'!$B26="","",'CHAM_CONG_THANG'!AE26)</f>
        <v/>
      </c>
      <c r="N26" s="232">
        <f>IF('DM_NHAN_SU'!$B26="","",'CHAM_CONG_THANG'!N26)</f>
        <v/>
      </c>
      <c r="O26" s="224">
        <f>IF('DM_NHAN_SU'!$B26="","",IF($B26="","",IF($G26="Tháng",IF($I26&gt;0,'DM_NHAN_SU'!$K26*MIN($K26,$I26)/$I26,0),IF($G26="Ngày",'DM_NHAN_SU'!$K26*$K26,IF($G26="Giờ",'DM_NHAN_SU'!$K26*$L26,IF($G26="Sản phẩm",'DM_NHAN_SU'!$K26*$N26,0))))))</f>
        <v/>
      </c>
      <c r="P26" s="224">
        <f>IF('DM_NHAN_SU'!$B26="","",'CHAM_CONG_THANG'!O26)</f>
        <v/>
      </c>
      <c r="Q26" s="224">
        <f>IF('DM_NHAN_SU'!$B26="","",'CHAM_CONG_THANG'!P26)</f>
        <v/>
      </c>
      <c r="R26" s="224">
        <f>IF('DM_NHAN_SU'!$B26="","",'CHAM_CONG_THANG'!Q26)</f>
        <v/>
      </c>
      <c r="S26" s="224">
        <f>IF('DM_NHAN_SU'!$B26="","",'CHAM_CONG_THANG'!R26)</f>
        <v/>
      </c>
      <c r="T26" s="224">
        <f>IF('DM_NHAN_SU'!$B26="","",'CHAM_CONG_THANG'!S26)</f>
        <v/>
      </c>
      <c r="U26" s="224">
        <f>IF('DM_NHAN_SU'!$B26="","",MIN($T26,'THAM_SO'!$F$6))</f>
        <v/>
      </c>
      <c r="V26" s="224">
        <f>IF('DM_NHAN_SU'!$B26="","",MAX($T26-$U26,0))</f>
        <v/>
      </c>
      <c r="W26" s="224">
        <f>IF('DM_NHAN_SU'!$B26="","",'CHAM_CONG_THANG'!T26)</f>
        <v/>
      </c>
      <c r="X26" s="224">
        <f>IF('DM_NHAN_SU'!$B26="","",'CHAM_CONG_THANG'!U26)</f>
        <v/>
      </c>
      <c r="Y26" s="224">
        <f>IF('DM_NHAN_SU'!$B26="","",IF($B26="",0,IF('DM_NHAN_SU'!$Q26&gt;0,'DM_NHAN_SU'!$Q26,IF($G26="Tháng",IF($I26*$J26&gt;0,'DM_NHAN_SU'!$K26/($I26*$J26),0),IF($G26="Ngày",IF($J26&gt;0,'DM_NHAN_SU'!$K26/$J26,0),IF($G26="Giờ",'DM_NHAN_SU'!$K26,0))))))</f>
        <v/>
      </c>
      <c r="Z26" s="224">
        <f>IF('DM_NHAN_SU'!$B26="","",$Y26*($M26*'THAM_SO'!$C$22+'CHAM_CONG_THANG'!$AF26*'THAM_SO'!$C$19+'CHAM_CONG_THANG'!$AG26*'THAM_SO'!$C$20+'CHAM_CONG_THANG'!$AH26*'THAM_SO'!$C$21+'CHAM_CONG_THANG'!$AI26*'THAM_SO'!$C$23+'CHAM_CONG_THANG'!$AJ26*'THAM_SO'!$C$24+'CHAM_CONG_THANG'!$AK26*'THAM_SO'!$C$25))</f>
        <v/>
      </c>
      <c r="AA26" s="224">
        <f>IF('DM_NHAN_SU'!$B26="","",MAX(0,$Y26*($M26*IF('THAM_SO'!$C$22&gt;='THAM_SO'!$B$22,'THAM_SO'!$B$22,0)+'CHAM_CONG_THANG'!$AF26*IF('THAM_SO'!$C$19&gt;='THAM_SO'!$B$19,'THAM_SO'!$B$19,0)+'CHAM_CONG_THANG'!$AG26*IF('THAM_SO'!$C$20&gt;='THAM_SO'!$B$20,'THAM_SO'!$B$20,0)+'CHAM_CONG_THANG'!$AH26*IF('THAM_SO'!$C$21&gt;='THAM_SO'!$B$21,'THAM_SO'!$B$21,0)+'CHAM_CONG_THANG'!$AI26*IF('THAM_SO'!$C$23&gt;='THAM_SO'!$B$23,'THAM_SO'!$B$23,0)+'CHAM_CONG_THANG'!$AJ26*IF('THAM_SO'!$C$24&gt;='THAM_SO'!$B$24,'THAM_SO'!$B$24,0)+'CHAM_CONG_THANG'!$AK26*IF('THAM_SO'!$C$25&gt;='THAM_SO'!$B$25,'THAM_SO'!$B$25,0))-'CHAM_CONG_THANG'!$V26))</f>
        <v/>
      </c>
      <c r="AB26" s="224">
        <f>IF('DM_NHAN_SU'!$B26="","",MAX($Z26-$AA26,0))</f>
        <v/>
      </c>
      <c r="AC26" s="224">
        <f>IF('DM_NHAN_SU'!$B26="","",$O26+$P26+$Q26+$R26+$S26+$V26+$AB26+$BO26+$BP26+$BQ26+$BR26)</f>
        <v/>
      </c>
      <c r="AD26" s="224">
        <f>IF('DM_NHAN_SU'!$B26="","",'DM_NHAN_SU'!N26+'DM_NHAN_SU'!O26+'DM_NHAN_SU'!P26)</f>
        <v/>
      </c>
      <c r="AE26" s="224">
        <f>IF('DM_NHAN_SU'!$B26="","",IF(OR('DM_NHAN_SU'!$R26&lt;&gt;"Có",'CHAM_CONG_THANG'!$AA26="Có",$BL26&gt;=14,$AD26&lt;=0),0,MIN(MAX($AD26,'THAM_SO'!$M$6),'THAM_SO'!$M$7)))</f>
        <v/>
      </c>
      <c r="AF26" s="224">
        <f>IF('DM_NHAN_SU'!$B26="","",IF(OR('DM_NHAN_SU'!$S26&lt;&gt;"Có",'CHAM_CONG_THANG'!$AA26="Có",$BL26&gt;=14,$AD26&lt;=0),0,MIN(MAX($AD26,VLOOKUP($H26,'THAM_SO'!$L$17:$P$20,4,FALSE)),VLOOKUP($H26,'THAM_SO'!$L$17:$P$20,5,FALSE))))</f>
        <v/>
      </c>
      <c r="AG26" s="224">
        <f>IF('DM_NHAN_SU'!$B26="","",$AE26*'THAM_SO'!$M$8)</f>
        <v/>
      </c>
      <c r="AH26" s="224">
        <f>IF('DM_NHAN_SU'!$B26="","",$AE26*'THAM_SO'!$M$9)</f>
        <v/>
      </c>
      <c r="AI26" s="224">
        <f>IF('DM_NHAN_SU'!$B26="","",$AF26*'THAM_SO'!$M$10)</f>
        <v/>
      </c>
      <c r="AJ26" s="224">
        <f>IF('DM_NHAN_SU'!$B26="","",SUM($AG26:$AI26))</f>
        <v/>
      </c>
      <c r="AK26" s="224">
        <f>IF('DM_NHAN_SU'!$B26="","",IF($B26="",0,'THAM_SO'!$F$4))</f>
        <v/>
      </c>
      <c r="AL26" s="224">
        <f>IF('DM_NHAN_SU'!$B26="","",IF($B26="",0,'DM_NHAN_SU'!$T26*'THAM_SO'!$F$5))</f>
        <v/>
      </c>
      <c r="AM26" s="224">
        <f>IF('DM_NHAN_SU'!$B26="","",'CHAM_CONG_THANG'!W26)</f>
        <v/>
      </c>
      <c r="AN26" s="224">
        <f>IF('DM_NHAN_SU'!$B26="","",MAX($AC26-$AK26-$AL26-$AM26,0))</f>
        <v/>
      </c>
      <c r="AO26" s="224">
        <f>IF('DM_NHAN_SU'!$B26="","",IF($B26="","",IF($F26="Net",IF($AC26&lt;=$AK26+$AL26+$AM26,$AC26+$AJ26,$AJ26+$AK26+$AL26+$AM26+IF($AN26&lt;='THAM_SO'!$J$10,($AN26-'THAM_SO'!$I$10)/(1-'THAM_SO'!$H$10),IF($AN26&lt;='THAM_SO'!$J$11,($AN26-'THAM_SO'!$I$11)/(1-'THAM_SO'!$H$11),IF($AN26&lt;='THAM_SO'!$J$12,($AN26-'THAM_SO'!$I$12)/(1-'THAM_SO'!$H$12),IF($AN26&lt;='THAM_SO'!$J$13,($AN26-'THAM_SO'!$I$13)/(1-'THAM_SO'!$H$13),($AN26-'THAM_SO'!$I$14)/(1-'THAM_SO'!$H$14)))))),$AC26)))</f>
        <v/>
      </c>
      <c r="AP26" s="224">
        <f>IF('DM_NHAN_SU'!$B26="","",$U26+$W26+$X26+$AA26+$BS26)</f>
        <v/>
      </c>
      <c r="AQ26" s="224">
        <f>IF('DM_NHAN_SU'!$B26="","",MAX($AO26-$AJ26-$AK26-$AL26-$AM26,0))</f>
        <v/>
      </c>
      <c r="AR26" s="224">
        <f>IF('DM_NHAN_SU'!$B26="","",IF($AQ26&lt;=0,0,$AQ26*VLOOKUP($AQ26,'THAM_SO'!$F$10:$I$14,3,TRUE)-VLOOKUP($AQ26,'THAM_SO'!$F$10:$I$14,4,TRUE)))</f>
        <v/>
      </c>
      <c r="AS26" s="224">
        <f>IF('DM_NHAN_SU'!$B26="","",$AO26+$AP26)</f>
        <v/>
      </c>
      <c r="AT26" s="224">
        <f>IF('DM_NHAN_SU'!$B26="","",$AS26-$AJ26-$AR26)</f>
        <v/>
      </c>
      <c r="AU26" s="224">
        <f>IF('DM_NHAN_SU'!$B26="","",'CHAM_CONG_THANG'!X26)</f>
        <v/>
      </c>
      <c r="AV26" s="224">
        <f>IF('DM_NHAN_SU'!$B26="","",'CHAM_CONG_THANG'!Y26+'QT_NGHI_VIEC'!AD26)</f>
        <v/>
      </c>
      <c r="AW26" s="224">
        <f>IF('DM_NHAN_SU'!$B26="","",'CHAM_CONG_THANG'!Z26)</f>
        <v/>
      </c>
      <c r="AX26" s="224">
        <f>IF('DM_NHAN_SU'!$B26="","",$AT26-$AU26-$AV26-$AW26-$BV26)</f>
        <v/>
      </c>
      <c r="AY26" s="224">
        <f>IF('DM_NHAN_SU'!$B26="","",$AE26*'THAM_SO'!$M$11)</f>
        <v/>
      </c>
      <c r="AZ26" s="224">
        <f>IF('DM_NHAN_SU'!$B26="","",$AE26*'THAM_SO'!$M$12)</f>
        <v/>
      </c>
      <c r="BA26" s="224">
        <f>IF('DM_NHAN_SU'!$B26="","",$AF26*'THAM_SO'!$M$13)</f>
        <v/>
      </c>
      <c r="BB26" s="224">
        <f>IF('DM_NHAN_SU'!$B26="","",$AE26*'THAM_SO'!$M$14)</f>
        <v/>
      </c>
      <c r="BC26" s="224">
        <f>IF('DM_NHAN_SU'!$B26="","",SUM($AY26:$BB26))</f>
        <v/>
      </c>
      <c r="BD26" s="224">
        <f>IF('DM_NHAN_SU'!$B26="","",$AS26+$BC26)</f>
        <v/>
      </c>
      <c r="BE26" s="224">
        <f>IF('DM_NHAN_SU'!$B26="","",VLOOKUP($H26,'THAM_SO'!$L$17:$P$20,2,FALSE))</f>
        <v/>
      </c>
      <c r="BF26" s="224">
        <f>IF('DM_NHAN_SU'!$B26="","",VLOOKUP($H26,'THAM_SO'!$L$17:$P$20,3,FALSE))</f>
        <v/>
      </c>
      <c r="BG26" s="150">
        <f>IF('DM_NHAN_SU'!$B26="","",IF($B26="","",IF(COUNTIF('DM_NHAN_SU'!$B$6:$B$155,$B26)&gt;1,"Trùng mã NV; ","")&amp;IF(OR($F26="",$G26=""),"Thiếu loại/hình thức lương; ","")&amp;IF('CHAM_CONG_THANG'!$D26="","Chưa chọn nguồn công; ","")&amp;IF(AND('CHAM_CONG_THANG'!$D26="Theo ngày",COUNTIF('CHAM_CONG_NGAY'!$B$6:$B$4655,$B26)=0),"Chưa có chấm công ngày; ","")&amp;IF(OR($I26&lt;=0,$J26&lt;=0),"Thiếu công/giờ chuẩn; ","")&amp;IF(AND($G26="Tháng",'DM_NHAN_SU'!$K26&lt;$BE26),"Lương tháng dưới tối thiểu vùng; ","")&amp;IF(AND($G26="Ngày",'DM_NHAN_SU'!$K26/$J26&lt;$BF26),"Lương ngày quy đổi dưới tối thiểu giờ; ","")&amp;IF(AND($G26="Giờ",'DM_NHAN_SU'!$K26&lt;$BF26),"Lương giờ dưới tối thiểu vùng; ","")&amp;IF(AND($G26="Sản phẩm",$L26&gt;0,$O26/$L26&lt;$BF26),"Lương SP quy đổi dưới tối thiểu giờ; ","")&amp;IF(OR('THAM_SO'!$C$19&lt;'THAM_SO'!$B$19,'THAM_SO'!$C$20&lt;'THAM_SO'!$B$20,'THAM_SO'!$C$21&lt;'THAM_SO'!$B$21,'THAM_SO'!$C$22&lt;'THAM_SO'!$B$22,'THAM_SO'!$C$23&lt;'THAM_SO'!$B$23,'THAM_SO'!$C$24&lt;'THAM_SO'!$B$24,'THAM_SO'!$C$25&lt;'THAM_SO'!$B$25),"Hệ số OT/đêm DN thấp hơn luật; ","")&amp;IF(AND('DM_NHAN_SU'!$R26="Có",$AD26&lt;=0),"Thiếu căn cứ đóng BH; ","")&amp;IF(AND($AD26&gt;0,$AD26&lt;'THAM_SO'!$M$6),"Căn cứ BH dưới sàn – đã nâng sàn; ","")&amp;IF($AD26&gt;'THAM_SO'!$M$7,"Căn cứ BH vượt trần – đã giới hạn; ","")&amp;IF(AND($F26="Net",SUM('CHAM_CONG_THANG'!$AF26:$AK26)&gt;0,'DM_NHAN_SU'!$Q26&lt;=0),"Net có OT nhưng chưa khai lương giờ OT; ","")&amp;IF('CHAM_CONG_THANG'!$V26&gt;$Z26,"Phần OT không miễn lớn hơn tiền OT; ","")&amp;IF(AND($F26="Net",ABS($AT26-$AC26-$AP26)&gt;1),"Lệch quy đổi Net; ","")&amp;IF(AND($BH26&gt;0,'DM_NHAN_SU'!$AD26=""),"Có phép năm nhưng đang tạm dùng 12 ngày; ","")&amp;IF(AND($G26="Sản phẩm",SUM($BH26:$BJ26)&gt;0,'DM_NHAN_SU'!$AH26&lt;=0),"Lương sản phẩm thiếu đơn giá ngày phép/lễ; ","")&amp;IF(AND($BL26&gt;=14,'CHAM_CONG_THANG'!$AA26&lt;&gt;"Có"),"Thai sản từ 14 ngày: file tự dừng đóng BH – kiểm tra hồ sơ; ","")&amp;IF(AND('DM_NHAN_SU'!$AA26="Có",'DM_NHAN_SU'!$AB26=""),"Đoàn viên chưa chọn cách tính đoàn phí; ","")&amp;IF(AND('DM_NHAN_SU'!$AB26="Nhập tay",'DM_NHAN_SU'!$AC26&gt;'THAM_SO'!$M$26),"Đoàn phí nhập tay vượt trần thông dụng; ","")&amp;IF('NGHI_PHEP'!$L26&lt;&gt;"","Phép: "&amp;'NGHI_PHEP'!$L26,"")&amp;IF('CHE_DO_BHXH'!$AA26&lt;&gt;"","BHXH: "&amp;'CHE_DO_BHXH'!$AA26,"")&amp;IF('THUONG_T13_TET'!$O26&lt;&gt;"","Thưởng: "&amp;'THUONG_T13_TET'!$O26,"")&amp;IF('QT_NGHI_VIEC'!$AF26&lt;&gt;"","Nghỉ việc: "&amp;'QT_NGHI_VIEC'!$AF26,"")&amp;IF($AX26&lt;0,"Thực lĩnh âm; ","")&amp;IF(OR('DM_NHAN_SU'!$F26&gt;'THAM_SO'!$B$7,AND('DM_NHAN_SU'!$G26&lt;&gt;"",'DM_NHAN_SU'!$G26&lt;'THAM_SO'!$B$6)),"Ngoài kỳ trả lương; ","")))</f>
        <v/>
      </c>
      <c r="BH26" s="232">
        <f>IF('DM_NHAN_SU'!$B26="","",'CHAM_CONG_THANG'!AR26)</f>
        <v/>
      </c>
      <c r="BI26" s="232">
        <f>IF('DM_NHAN_SU'!$B26="","",'CHAM_CONG_THANG'!AS26)</f>
        <v/>
      </c>
      <c r="BJ26" s="232">
        <f>IF('DM_NHAN_SU'!$B26="","",'CHAM_CONG_THANG'!AT26)</f>
        <v/>
      </c>
      <c r="BK26" s="232">
        <f>IF('DM_NHAN_SU'!$B26="","",'CHAM_CONG_THANG'!AU26)</f>
        <v/>
      </c>
      <c r="BL26" s="232">
        <f>IF('DM_NHAN_SU'!$B26="","",'CHAM_CONG_THANG'!AV26)</f>
        <v/>
      </c>
      <c r="BM26" s="232">
        <f>IF('DM_NHAN_SU'!$B26="","",'CHAM_CONG_THANG'!AW26)</f>
        <v/>
      </c>
      <c r="BN26" s="232">
        <f>IF('DM_NHAN_SU'!$B26="","",SUM($K26,$BH26:$BJ26))</f>
        <v/>
      </c>
      <c r="BO26" s="224">
        <f>IF('DM_NHAN_SU'!$B26="","",IF($B26="",0,IF($G26="Tháng",IF($I26&gt;0,'DM_NHAN_SU'!$K26*MIN($BH26+$BJ26,MAX($I26-$K26,0))/$I26,0),IF($G26="Ngày",'DM_NHAN_SU'!$K26*SUM($BH26:$BJ26),IF($G26="Giờ",'DM_NHAN_SU'!$K26*SUM($BH26:$BJ26)*$J26,IF($G26="Sản phẩm",'DM_NHAN_SU'!$AH26*SUM($BH26:$BJ26),0))))))</f>
        <v/>
      </c>
      <c r="BP26" s="224">
        <f>IF('DM_NHAN_SU'!$B26="","",IF('THUONG_T13_TET'!$L26="Có",'THUONG_T13_TET'!$I26,0))</f>
        <v/>
      </c>
      <c r="BQ26" s="224">
        <f>IF('DM_NHAN_SU'!$B26="","",IF('THUONG_T13_TET'!$L26="Có",SUM('THUONG_T13_TET'!$J26:$K26),0))</f>
        <v/>
      </c>
      <c r="BR26" s="224">
        <f>IF('DM_NHAN_SU'!$B26="","",'QT_NGHI_VIEC'!AC26)</f>
        <v/>
      </c>
      <c r="BS26" s="224">
        <f>IF('DM_NHAN_SU'!$B26="","",'QT_NGHI_VIEC'!AB26)</f>
        <v/>
      </c>
      <c r="BT26" s="224">
        <f>IF('DM_NHAN_SU'!$B26="","",IF('CHE_DO_BHXH'!$Z26="Có",'CHE_DO_BHXH'!$W26,0))</f>
        <v/>
      </c>
      <c r="BU26" s="224">
        <f>IF('DM_NHAN_SU'!$B26="","",IF('CHE_DO_BHXH'!$Y26="DN trả thay",$BT26,0))</f>
        <v/>
      </c>
      <c r="BV26" s="224">
        <f>IF('DM_NHAN_SU'!$B26="","",IF(OR('DM_NHAN_SU'!$AA26&lt;&gt;"Có",'CHE_DO_BHXH'!$O26&gt;=1,SUM('CHE_DO_BHXH'!$D26,'CHE_DO_BHXH'!$G26,'CHE_DO_BHXH'!$K26)&gt;=24,AND($I26&gt;0,$BM26&gt;=$I26)),0,IF('DM_NHAN_SU'!$AB26="Không",0,IF('DM_NHAN_SU'!$AB26="Nhập tay",'DM_NHAN_SU'!$AC26,IF('DM_NHAN_SU'!$AB26="Theo thực nhận",MIN(MAX($AT26-$AU26-$AV26-$AW26,0)*'THAM_SO'!$M$23,'THAM_SO'!$M$26),MIN($AE26*'THAM_SO'!$M$23,'THAM_SO'!$M$26))))))</f>
        <v/>
      </c>
      <c r="BW26" s="224">
        <f>IF('DM_NHAN_SU'!$B26="","",$AX26+$BU26)</f>
        <v/>
      </c>
    </row>
    <row r="27">
      <c r="A27" s="145">
        <f>IF('DM_NHAN_SU'!$B27="","",IF($B27="","",ROW()-5))</f>
        <v/>
      </c>
      <c r="B27" s="145">
        <f>IF('DM_NHAN_SU'!$B27="","",'DM_NHAN_SU'!B27)</f>
        <v/>
      </c>
      <c r="C27" s="145">
        <f>IF('DM_NHAN_SU'!$B27="","",'DM_NHAN_SU'!C27)</f>
        <v/>
      </c>
      <c r="D27" s="145">
        <f>IF('DM_NHAN_SU'!$B27="","",'DM_NHAN_SU'!D27)</f>
        <v/>
      </c>
      <c r="E27" s="145">
        <f>IF('DM_NHAN_SU'!$B27="","",'DM_NHAN_SU'!E27)</f>
        <v/>
      </c>
      <c r="F27" s="145">
        <f>IF('DM_NHAN_SU'!$B27="","",'DM_NHAN_SU'!I27)</f>
        <v/>
      </c>
      <c r="G27" s="145">
        <f>IF('DM_NHAN_SU'!$B27="","",'DM_NHAN_SU'!J27)</f>
        <v/>
      </c>
      <c r="H27" s="145">
        <f>IF('DM_NHAN_SU'!$B27="","",IF('DM_NHAN_SU'!H27="",'THAM_SO'!$B$11,'DM_NHAN_SU'!H27))</f>
        <v/>
      </c>
      <c r="I27" s="232">
        <f>IF('DM_NHAN_SU'!$B27="","",IF('DM_NHAN_SU'!L27&gt;0,'DM_NHAN_SU'!L27,'THAM_SO'!$B$9))</f>
        <v/>
      </c>
      <c r="J27" s="232">
        <f>IF('DM_NHAN_SU'!$B27="","",IF('DM_NHAN_SU'!M27&gt;0,'DM_NHAN_SU'!M27,'THAM_SO'!$B$10))</f>
        <v/>
      </c>
      <c r="K27" s="232">
        <f>IF('DM_NHAN_SU'!$B27="","",'CHAM_CONG_THANG'!AC27)</f>
        <v/>
      </c>
      <c r="L27" s="232">
        <f>IF('DM_NHAN_SU'!$B27="","",'CHAM_CONG_THANG'!AD27)</f>
        <v/>
      </c>
      <c r="M27" s="232">
        <f>IF('DM_NHAN_SU'!$B27="","",'CHAM_CONG_THANG'!AE27)</f>
        <v/>
      </c>
      <c r="N27" s="232">
        <f>IF('DM_NHAN_SU'!$B27="","",'CHAM_CONG_THANG'!N27)</f>
        <v/>
      </c>
      <c r="O27" s="224">
        <f>IF('DM_NHAN_SU'!$B27="","",IF($B27="","",IF($G27="Tháng",IF($I27&gt;0,'DM_NHAN_SU'!$K27*MIN($K27,$I27)/$I27,0),IF($G27="Ngày",'DM_NHAN_SU'!$K27*$K27,IF($G27="Giờ",'DM_NHAN_SU'!$K27*$L27,IF($G27="Sản phẩm",'DM_NHAN_SU'!$K27*$N27,0))))))</f>
        <v/>
      </c>
      <c r="P27" s="224">
        <f>IF('DM_NHAN_SU'!$B27="","",'CHAM_CONG_THANG'!O27)</f>
        <v/>
      </c>
      <c r="Q27" s="224">
        <f>IF('DM_NHAN_SU'!$B27="","",'CHAM_CONG_THANG'!P27)</f>
        <v/>
      </c>
      <c r="R27" s="224">
        <f>IF('DM_NHAN_SU'!$B27="","",'CHAM_CONG_THANG'!Q27)</f>
        <v/>
      </c>
      <c r="S27" s="224">
        <f>IF('DM_NHAN_SU'!$B27="","",'CHAM_CONG_THANG'!R27)</f>
        <v/>
      </c>
      <c r="T27" s="224">
        <f>IF('DM_NHAN_SU'!$B27="","",'CHAM_CONG_THANG'!S27)</f>
        <v/>
      </c>
      <c r="U27" s="224">
        <f>IF('DM_NHAN_SU'!$B27="","",MIN($T27,'THAM_SO'!$F$6))</f>
        <v/>
      </c>
      <c r="V27" s="224">
        <f>IF('DM_NHAN_SU'!$B27="","",MAX($T27-$U27,0))</f>
        <v/>
      </c>
      <c r="W27" s="224">
        <f>IF('DM_NHAN_SU'!$B27="","",'CHAM_CONG_THANG'!T27)</f>
        <v/>
      </c>
      <c r="X27" s="224">
        <f>IF('DM_NHAN_SU'!$B27="","",'CHAM_CONG_THANG'!U27)</f>
        <v/>
      </c>
      <c r="Y27" s="224">
        <f>IF('DM_NHAN_SU'!$B27="","",IF($B27="",0,IF('DM_NHAN_SU'!$Q27&gt;0,'DM_NHAN_SU'!$Q27,IF($G27="Tháng",IF($I27*$J27&gt;0,'DM_NHAN_SU'!$K27/($I27*$J27),0),IF($G27="Ngày",IF($J27&gt;0,'DM_NHAN_SU'!$K27/$J27,0),IF($G27="Giờ",'DM_NHAN_SU'!$K27,0))))))</f>
        <v/>
      </c>
      <c r="Z27" s="224">
        <f>IF('DM_NHAN_SU'!$B27="","",$Y27*($M27*'THAM_SO'!$C$22+'CHAM_CONG_THANG'!$AF27*'THAM_SO'!$C$19+'CHAM_CONG_THANG'!$AG27*'THAM_SO'!$C$20+'CHAM_CONG_THANG'!$AH27*'THAM_SO'!$C$21+'CHAM_CONG_THANG'!$AI27*'THAM_SO'!$C$23+'CHAM_CONG_THANG'!$AJ27*'THAM_SO'!$C$24+'CHAM_CONG_THANG'!$AK27*'THAM_SO'!$C$25))</f>
        <v/>
      </c>
      <c r="AA27" s="224">
        <f>IF('DM_NHAN_SU'!$B27="","",MAX(0,$Y27*($M27*IF('THAM_SO'!$C$22&gt;='THAM_SO'!$B$22,'THAM_SO'!$B$22,0)+'CHAM_CONG_THANG'!$AF27*IF('THAM_SO'!$C$19&gt;='THAM_SO'!$B$19,'THAM_SO'!$B$19,0)+'CHAM_CONG_THANG'!$AG27*IF('THAM_SO'!$C$20&gt;='THAM_SO'!$B$20,'THAM_SO'!$B$20,0)+'CHAM_CONG_THANG'!$AH27*IF('THAM_SO'!$C$21&gt;='THAM_SO'!$B$21,'THAM_SO'!$B$21,0)+'CHAM_CONG_THANG'!$AI27*IF('THAM_SO'!$C$23&gt;='THAM_SO'!$B$23,'THAM_SO'!$B$23,0)+'CHAM_CONG_THANG'!$AJ27*IF('THAM_SO'!$C$24&gt;='THAM_SO'!$B$24,'THAM_SO'!$B$24,0)+'CHAM_CONG_THANG'!$AK27*IF('THAM_SO'!$C$25&gt;='THAM_SO'!$B$25,'THAM_SO'!$B$25,0))-'CHAM_CONG_THANG'!$V27))</f>
        <v/>
      </c>
      <c r="AB27" s="224">
        <f>IF('DM_NHAN_SU'!$B27="","",MAX($Z27-$AA27,0))</f>
        <v/>
      </c>
      <c r="AC27" s="224">
        <f>IF('DM_NHAN_SU'!$B27="","",$O27+$P27+$Q27+$R27+$S27+$V27+$AB27+$BO27+$BP27+$BQ27+$BR27)</f>
        <v/>
      </c>
      <c r="AD27" s="224">
        <f>IF('DM_NHAN_SU'!$B27="","",'DM_NHAN_SU'!N27+'DM_NHAN_SU'!O27+'DM_NHAN_SU'!P27)</f>
        <v/>
      </c>
      <c r="AE27" s="224">
        <f>IF('DM_NHAN_SU'!$B27="","",IF(OR('DM_NHAN_SU'!$R27&lt;&gt;"Có",'CHAM_CONG_THANG'!$AA27="Có",$BL27&gt;=14,$AD27&lt;=0),0,MIN(MAX($AD27,'THAM_SO'!$M$6),'THAM_SO'!$M$7)))</f>
        <v/>
      </c>
      <c r="AF27" s="224">
        <f>IF('DM_NHAN_SU'!$B27="","",IF(OR('DM_NHAN_SU'!$S27&lt;&gt;"Có",'CHAM_CONG_THANG'!$AA27="Có",$BL27&gt;=14,$AD27&lt;=0),0,MIN(MAX($AD27,VLOOKUP($H27,'THAM_SO'!$L$17:$P$20,4,FALSE)),VLOOKUP($H27,'THAM_SO'!$L$17:$P$20,5,FALSE))))</f>
        <v/>
      </c>
      <c r="AG27" s="224">
        <f>IF('DM_NHAN_SU'!$B27="","",$AE27*'THAM_SO'!$M$8)</f>
        <v/>
      </c>
      <c r="AH27" s="224">
        <f>IF('DM_NHAN_SU'!$B27="","",$AE27*'THAM_SO'!$M$9)</f>
        <v/>
      </c>
      <c r="AI27" s="224">
        <f>IF('DM_NHAN_SU'!$B27="","",$AF27*'THAM_SO'!$M$10)</f>
        <v/>
      </c>
      <c r="AJ27" s="224">
        <f>IF('DM_NHAN_SU'!$B27="","",SUM($AG27:$AI27))</f>
        <v/>
      </c>
      <c r="AK27" s="224">
        <f>IF('DM_NHAN_SU'!$B27="","",IF($B27="",0,'THAM_SO'!$F$4))</f>
        <v/>
      </c>
      <c r="AL27" s="224">
        <f>IF('DM_NHAN_SU'!$B27="","",IF($B27="",0,'DM_NHAN_SU'!$T27*'THAM_SO'!$F$5))</f>
        <v/>
      </c>
      <c r="AM27" s="224">
        <f>IF('DM_NHAN_SU'!$B27="","",'CHAM_CONG_THANG'!W27)</f>
        <v/>
      </c>
      <c r="AN27" s="224">
        <f>IF('DM_NHAN_SU'!$B27="","",MAX($AC27-$AK27-$AL27-$AM27,0))</f>
        <v/>
      </c>
      <c r="AO27" s="224">
        <f>IF('DM_NHAN_SU'!$B27="","",IF($B27="","",IF($F27="Net",IF($AC27&lt;=$AK27+$AL27+$AM27,$AC27+$AJ27,$AJ27+$AK27+$AL27+$AM27+IF($AN27&lt;='THAM_SO'!$J$10,($AN27-'THAM_SO'!$I$10)/(1-'THAM_SO'!$H$10),IF($AN27&lt;='THAM_SO'!$J$11,($AN27-'THAM_SO'!$I$11)/(1-'THAM_SO'!$H$11),IF($AN27&lt;='THAM_SO'!$J$12,($AN27-'THAM_SO'!$I$12)/(1-'THAM_SO'!$H$12),IF($AN27&lt;='THAM_SO'!$J$13,($AN27-'THAM_SO'!$I$13)/(1-'THAM_SO'!$H$13),($AN27-'THAM_SO'!$I$14)/(1-'THAM_SO'!$H$14)))))),$AC27)))</f>
        <v/>
      </c>
      <c r="AP27" s="224">
        <f>IF('DM_NHAN_SU'!$B27="","",$U27+$W27+$X27+$AA27+$BS27)</f>
        <v/>
      </c>
      <c r="AQ27" s="224">
        <f>IF('DM_NHAN_SU'!$B27="","",MAX($AO27-$AJ27-$AK27-$AL27-$AM27,0))</f>
        <v/>
      </c>
      <c r="AR27" s="224">
        <f>IF('DM_NHAN_SU'!$B27="","",IF($AQ27&lt;=0,0,$AQ27*VLOOKUP($AQ27,'THAM_SO'!$F$10:$I$14,3,TRUE)-VLOOKUP($AQ27,'THAM_SO'!$F$10:$I$14,4,TRUE)))</f>
        <v/>
      </c>
      <c r="AS27" s="224">
        <f>IF('DM_NHAN_SU'!$B27="","",$AO27+$AP27)</f>
        <v/>
      </c>
      <c r="AT27" s="224">
        <f>IF('DM_NHAN_SU'!$B27="","",$AS27-$AJ27-$AR27)</f>
        <v/>
      </c>
      <c r="AU27" s="224">
        <f>IF('DM_NHAN_SU'!$B27="","",'CHAM_CONG_THANG'!X27)</f>
        <v/>
      </c>
      <c r="AV27" s="224">
        <f>IF('DM_NHAN_SU'!$B27="","",'CHAM_CONG_THANG'!Y27+'QT_NGHI_VIEC'!AD27)</f>
        <v/>
      </c>
      <c r="AW27" s="224">
        <f>IF('DM_NHAN_SU'!$B27="","",'CHAM_CONG_THANG'!Z27)</f>
        <v/>
      </c>
      <c r="AX27" s="224">
        <f>IF('DM_NHAN_SU'!$B27="","",$AT27-$AU27-$AV27-$AW27-$BV27)</f>
        <v/>
      </c>
      <c r="AY27" s="224">
        <f>IF('DM_NHAN_SU'!$B27="","",$AE27*'THAM_SO'!$M$11)</f>
        <v/>
      </c>
      <c r="AZ27" s="224">
        <f>IF('DM_NHAN_SU'!$B27="","",$AE27*'THAM_SO'!$M$12)</f>
        <v/>
      </c>
      <c r="BA27" s="224">
        <f>IF('DM_NHAN_SU'!$B27="","",$AF27*'THAM_SO'!$M$13)</f>
        <v/>
      </c>
      <c r="BB27" s="224">
        <f>IF('DM_NHAN_SU'!$B27="","",$AE27*'THAM_SO'!$M$14)</f>
        <v/>
      </c>
      <c r="BC27" s="224">
        <f>IF('DM_NHAN_SU'!$B27="","",SUM($AY27:$BB27))</f>
        <v/>
      </c>
      <c r="BD27" s="224">
        <f>IF('DM_NHAN_SU'!$B27="","",$AS27+$BC27)</f>
        <v/>
      </c>
      <c r="BE27" s="224">
        <f>IF('DM_NHAN_SU'!$B27="","",VLOOKUP($H27,'THAM_SO'!$L$17:$P$20,2,FALSE))</f>
        <v/>
      </c>
      <c r="BF27" s="224">
        <f>IF('DM_NHAN_SU'!$B27="","",VLOOKUP($H27,'THAM_SO'!$L$17:$P$20,3,FALSE))</f>
        <v/>
      </c>
      <c r="BG27" s="150">
        <f>IF('DM_NHAN_SU'!$B27="","",IF($B27="","",IF(COUNTIF('DM_NHAN_SU'!$B$6:$B$155,$B27)&gt;1,"Trùng mã NV; ","")&amp;IF(OR($F27="",$G27=""),"Thiếu loại/hình thức lương; ","")&amp;IF('CHAM_CONG_THANG'!$D27="","Chưa chọn nguồn công; ","")&amp;IF(AND('CHAM_CONG_THANG'!$D27="Theo ngày",COUNTIF('CHAM_CONG_NGAY'!$B$6:$B$4655,$B27)=0),"Chưa có chấm công ngày; ","")&amp;IF(OR($I27&lt;=0,$J27&lt;=0),"Thiếu công/giờ chuẩn; ","")&amp;IF(AND($G27="Tháng",'DM_NHAN_SU'!$K27&lt;$BE27),"Lương tháng dưới tối thiểu vùng; ","")&amp;IF(AND($G27="Ngày",'DM_NHAN_SU'!$K27/$J27&lt;$BF27),"Lương ngày quy đổi dưới tối thiểu giờ; ","")&amp;IF(AND($G27="Giờ",'DM_NHAN_SU'!$K27&lt;$BF27),"Lương giờ dưới tối thiểu vùng; ","")&amp;IF(AND($G27="Sản phẩm",$L27&gt;0,$O27/$L27&lt;$BF27),"Lương SP quy đổi dưới tối thiểu giờ; ","")&amp;IF(OR('THAM_SO'!$C$19&lt;'THAM_SO'!$B$19,'THAM_SO'!$C$20&lt;'THAM_SO'!$B$20,'THAM_SO'!$C$21&lt;'THAM_SO'!$B$21,'THAM_SO'!$C$22&lt;'THAM_SO'!$B$22,'THAM_SO'!$C$23&lt;'THAM_SO'!$B$23,'THAM_SO'!$C$24&lt;'THAM_SO'!$B$24,'THAM_SO'!$C$25&lt;'THAM_SO'!$B$25),"Hệ số OT/đêm DN thấp hơn luật; ","")&amp;IF(AND('DM_NHAN_SU'!$R27="Có",$AD27&lt;=0),"Thiếu căn cứ đóng BH; ","")&amp;IF(AND($AD27&gt;0,$AD27&lt;'THAM_SO'!$M$6),"Căn cứ BH dưới sàn – đã nâng sàn; ","")&amp;IF($AD27&gt;'THAM_SO'!$M$7,"Căn cứ BH vượt trần – đã giới hạn; ","")&amp;IF(AND($F27="Net",SUM('CHAM_CONG_THANG'!$AF27:$AK27)&gt;0,'DM_NHAN_SU'!$Q27&lt;=0),"Net có OT nhưng chưa khai lương giờ OT; ","")&amp;IF('CHAM_CONG_THANG'!$V27&gt;$Z27,"Phần OT không miễn lớn hơn tiền OT; ","")&amp;IF(AND($F27="Net",ABS($AT27-$AC27-$AP27)&gt;1),"Lệch quy đổi Net; ","")&amp;IF(AND($BH27&gt;0,'DM_NHAN_SU'!$AD27=""),"Có phép năm nhưng đang tạm dùng 12 ngày; ","")&amp;IF(AND($G27="Sản phẩm",SUM($BH27:$BJ27)&gt;0,'DM_NHAN_SU'!$AH27&lt;=0),"Lương sản phẩm thiếu đơn giá ngày phép/lễ; ","")&amp;IF(AND($BL27&gt;=14,'CHAM_CONG_THANG'!$AA27&lt;&gt;"Có"),"Thai sản từ 14 ngày: file tự dừng đóng BH – kiểm tra hồ sơ; ","")&amp;IF(AND('DM_NHAN_SU'!$AA27="Có",'DM_NHAN_SU'!$AB27=""),"Đoàn viên chưa chọn cách tính đoàn phí; ","")&amp;IF(AND('DM_NHAN_SU'!$AB27="Nhập tay",'DM_NHAN_SU'!$AC27&gt;'THAM_SO'!$M$26),"Đoàn phí nhập tay vượt trần thông dụng; ","")&amp;IF('NGHI_PHEP'!$L27&lt;&gt;"","Phép: "&amp;'NGHI_PHEP'!$L27,"")&amp;IF('CHE_DO_BHXH'!$AA27&lt;&gt;"","BHXH: "&amp;'CHE_DO_BHXH'!$AA27,"")&amp;IF('THUONG_T13_TET'!$O27&lt;&gt;"","Thưởng: "&amp;'THUONG_T13_TET'!$O27,"")&amp;IF('QT_NGHI_VIEC'!$AF27&lt;&gt;"","Nghỉ việc: "&amp;'QT_NGHI_VIEC'!$AF27,"")&amp;IF($AX27&lt;0,"Thực lĩnh âm; ","")&amp;IF(OR('DM_NHAN_SU'!$F27&gt;'THAM_SO'!$B$7,AND('DM_NHAN_SU'!$G27&lt;&gt;"",'DM_NHAN_SU'!$G27&lt;'THAM_SO'!$B$6)),"Ngoài kỳ trả lương; ","")))</f>
        <v/>
      </c>
      <c r="BH27" s="232">
        <f>IF('DM_NHAN_SU'!$B27="","",'CHAM_CONG_THANG'!AR27)</f>
        <v/>
      </c>
      <c r="BI27" s="232">
        <f>IF('DM_NHAN_SU'!$B27="","",'CHAM_CONG_THANG'!AS27)</f>
        <v/>
      </c>
      <c r="BJ27" s="232">
        <f>IF('DM_NHAN_SU'!$B27="","",'CHAM_CONG_THANG'!AT27)</f>
        <v/>
      </c>
      <c r="BK27" s="232">
        <f>IF('DM_NHAN_SU'!$B27="","",'CHAM_CONG_THANG'!AU27)</f>
        <v/>
      </c>
      <c r="BL27" s="232">
        <f>IF('DM_NHAN_SU'!$B27="","",'CHAM_CONG_THANG'!AV27)</f>
        <v/>
      </c>
      <c r="BM27" s="232">
        <f>IF('DM_NHAN_SU'!$B27="","",'CHAM_CONG_THANG'!AW27)</f>
        <v/>
      </c>
      <c r="BN27" s="232">
        <f>IF('DM_NHAN_SU'!$B27="","",SUM($K27,$BH27:$BJ27))</f>
        <v/>
      </c>
      <c r="BO27" s="224">
        <f>IF('DM_NHAN_SU'!$B27="","",IF($B27="",0,IF($G27="Tháng",IF($I27&gt;0,'DM_NHAN_SU'!$K27*MIN($BH27+$BJ27,MAX($I27-$K27,0))/$I27,0),IF($G27="Ngày",'DM_NHAN_SU'!$K27*SUM($BH27:$BJ27),IF($G27="Giờ",'DM_NHAN_SU'!$K27*SUM($BH27:$BJ27)*$J27,IF($G27="Sản phẩm",'DM_NHAN_SU'!$AH27*SUM($BH27:$BJ27),0))))))</f>
        <v/>
      </c>
      <c r="BP27" s="224">
        <f>IF('DM_NHAN_SU'!$B27="","",IF('THUONG_T13_TET'!$L27="Có",'THUONG_T13_TET'!$I27,0))</f>
        <v/>
      </c>
      <c r="BQ27" s="224">
        <f>IF('DM_NHAN_SU'!$B27="","",IF('THUONG_T13_TET'!$L27="Có",SUM('THUONG_T13_TET'!$J27:$K27),0))</f>
        <v/>
      </c>
      <c r="BR27" s="224">
        <f>IF('DM_NHAN_SU'!$B27="","",'QT_NGHI_VIEC'!AC27)</f>
        <v/>
      </c>
      <c r="BS27" s="224">
        <f>IF('DM_NHAN_SU'!$B27="","",'QT_NGHI_VIEC'!AB27)</f>
        <v/>
      </c>
      <c r="BT27" s="224">
        <f>IF('DM_NHAN_SU'!$B27="","",IF('CHE_DO_BHXH'!$Z27="Có",'CHE_DO_BHXH'!$W27,0))</f>
        <v/>
      </c>
      <c r="BU27" s="224">
        <f>IF('DM_NHAN_SU'!$B27="","",IF('CHE_DO_BHXH'!$Y27="DN trả thay",$BT27,0))</f>
        <v/>
      </c>
      <c r="BV27" s="224">
        <f>IF('DM_NHAN_SU'!$B27="","",IF(OR('DM_NHAN_SU'!$AA27&lt;&gt;"Có",'CHE_DO_BHXH'!$O27&gt;=1,SUM('CHE_DO_BHXH'!$D27,'CHE_DO_BHXH'!$G27,'CHE_DO_BHXH'!$K27)&gt;=24,AND($I27&gt;0,$BM27&gt;=$I27)),0,IF('DM_NHAN_SU'!$AB27="Không",0,IF('DM_NHAN_SU'!$AB27="Nhập tay",'DM_NHAN_SU'!$AC27,IF('DM_NHAN_SU'!$AB27="Theo thực nhận",MIN(MAX($AT27-$AU27-$AV27-$AW27,0)*'THAM_SO'!$M$23,'THAM_SO'!$M$26),MIN($AE27*'THAM_SO'!$M$23,'THAM_SO'!$M$26))))))</f>
        <v/>
      </c>
      <c r="BW27" s="224">
        <f>IF('DM_NHAN_SU'!$B27="","",$AX27+$BU27)</f>
        <v/>
      </c>
    </row>
    <row r="28">
      <c r="A28" s="145">
        <f>IF('DM_NHAN_SU'!$B28="","",IF($B28="","",ROW()-5))</f>
        <v/>
      </c>
      <c r="B28" s="145">
        <f>IF('DM_NHAN_SU'!$B28="","",'DM_NHAN_SU'!B28)</f>
        <v/>
      </c>
      <c r="C28" s="145">
        <f>IF('DM_NHAN_SU'!$B28="","",'DM_NHAN_SU'!C28)</f>
        <v/>
      </c>
      <c r="D28" s="145">
        <f>IF('DM_NHAN_SU'!$B28="","",'DM_NHAN_SU'!D28)</f>
        <v/>
      </c>
      <c r="E28" s="145">
        <f>IF('DM_NHAN_SU'!$B28="","",'DM_NHAN_SU'!E28)</f>
        <v/>
      </c>
      <c r="F28" s="145">
        <f>IF('DM_NHAN_SU'!$B28="","",'DM_NHAN_SU'!I28)</f>
        <v/>
      </c>
      <c r="G28" s="145">
        <f>IF('DM_NHAN_SU'!$B28="","",'DM_NHAN_SU'!J28)</f>
        <v/>
      </c>
      <c r="H28" s="145">
        <f>IF('DM_NHAN_SU'!$B28="","",IF('DM_NHAN_SU'!H28="",'THAM_SO'!$B$11,'DM_NHAN_SU'!H28))</f>
        <v/>
      </c>
      <c r="I28" s="232">
        <f>IF('DM_NHAN_SU'!$B28="","",IF('DM_NHAN_SU'!L28&gt;0,'DM_NHAN_SU'!L28,'THAM_SO'!$B$9))</f>
        <v/>
      </c>
      <c r="J28" s="232">
        <f>IF('DM_NHAN_SU'!$B28="","",IF('DM_NHAN_SU'!M28&gt;0,'DM_NHAN_SU'!M28,'THAM_SO'!$B$10))</f>
        <v/>
      </c>
      <c r="K28" s="232">
        <f>IF('DM_NHAN_SU'!$B28="","",'CHAM_CONG_THANG'!AC28)</f>
        <v/>
      </c>
      <c r="L28" s="232">
        <f>IF('DM_NHAN_SU'!$B28="","",'CHAM_CONG_THANG'!AD28)</f>
        <v/>
      </c>
      <c r="M28" s="232">
        <f>IF('DM_NHAN_SU'!$B28="","",'CHAM_CONG_THANG'!AE28)</f>
        <v/>
      </c>
      <c r="N28" s="232">
        <f>IF('DM_NHAN_SU'!$B28="","",'CHAM_CONG_THANG'!N28)</f>
        <v/>
      </c>
      <c r="O28" s="224">
        <f>IF('DM_NHAN_SU'!$B28="","",IF($B28="","",IF($G28="Tháng",IF($I28&gt;0,'DM_NHAN_SU'!$K28*MIN($K28,$I28)/$I28,0),IF($G28="Ngày",'DM_NHAN_SU'!$K28*$K28,IF($G28="Giờ",'DM_NHAN_SU'!$K28*$L28,IF($G28="Sản phẩm",'DM_NHAN_SU'!$K28*$N28,0))))))</f>
        <v/>
      </c>
      <c r="P28" s="224">
        <f>IF('DM_NHAN_SU'!$B28="","",'CHAM_CONG_THANG'!O28)</f>
        <v/>
      </c>
      <c r="Q28" s="224">
        <f>IF('DM_NHAN_SU'!$B28="","",'CHAM_CONG_THANG'!P28)</f>
        <v/>
      </c>
      <c r="R28" s="224">
        <f>IF('DM_NHAN_SU'!$B28="","",'CHAM_CONG_THANG'!Q28)</f>
        <v/>
      </c>
      <c r="S28" s="224">
        <f>IF('DM_NHAN_SU'!$B28="","",'CHAM_CONG_THANG'!R28)</f>
        <v/>
      </c>
      <c r="T28" s="224">
        <f>IF('DM_NHAN_SU'!$B28="","",'CHAM_CONG_THANG'!S28)</f>
        <v/>
      </c>
      <c r="U28" s="224">
        <f>IF('DM_NHAN_SU'!$B28="","",MIN($T28,'THAM_SO'!$F$6))</f>
        <v/>
      </c>
      <c r="V28" s="224">
        <f>IF('DM_NHAN_SU'!$B28="","",MAX($T28-$U28,0))</f>
        <v/>
      </c>
      <c r="W28" s="224">
        <f>IF('DM_NHAN_SU'!$B28="","",'CHAM_CONG_THANG'!T28)</f>
        <v/>
      </c>
      <c r="X28" s="224">
        <f>IF('DM_NHAN_SU'!$B28="","",'CHAM_CONG_THANG'!U28)</f>
        <v/>
      </c>
      <c r="Y28" s="224">
        <f>IF('DM_NHAN_SU'!$B28="","",IF($B28="",0,IF('DM_NHAN_SU'!$Q28&gt;0,'DM_NHAN_SU'!$Q28,IF($G28="Tháng",IF($I28*$J28&gt;0,'DM_NHAN_SU'!$K28/($I28*$J28),0),IF($G28="Ngày",IF($J28&gt;0,'DM_NHAN_SU'!$K28/$J28,0),IF($G28="Giờ",'DM_NHAN_SU'!$K28,0))))))</f>
        <v/>
      </c>
      <c r="Z28" s="224">
        <f>IF('DM_NHAN_SU'!$B28="","",$Y28*($M28*'THAM_SO'!$C$22+'CHAM_CONG_THANG'!$AF28*'THAM_SO'!$C$19+'CHAM_CONG_THANG'!$AG28*'THAM_SO'!$C$20+'CHAM_CONG_THANG'!$AH28*'THAM_SO'!$C$21+'CHAM_CONG_THANG'!$AI28*'THAM_SO'!$C$23+'CHAM_CONG_THANG'!$AJ28*'THAM_SO'!$C$24+'CHAM_CONG_THANG'!$AK28*'THAM_SO'!$C$25))</f>
        <v/>
      </c>
      <c r="AA28" s="224">
        <f>IF('DM_NHAN_SU'!$B28="","",MAX(0,$Y28*($M28*IF('THAM_SO'!$C$22&gt;='THAM_SO'!$B$22,'THAM_SO'!$B$22,0)+'CHAM_CONG_THANG'!$AF28*IF('THAM_SO'!$C$19&gt;='THAM_SO'!$B$19,'THAM_SO'!$B$19,0)+'CHAM_CONG_THANG'!$AG28*IF('THAM_SO'!$C$20&gt;='THAM_SO'!$B$20,'THAM_SO'!$B$20,0)+'CHAM_CONG_THANG'!$AH28*IF('THAM_SO'!$C$21&gt;='THAM_SO'!$B$21,'THAM_SO'!$B$21,0)+'CHAM_CONG_THANG'!$AI28*IF('THAM_SO'!$C$23&gt;='THAM_SO'!$B$23,'THAM_SO'!$B$23,0)+'CHAM_CONG_THANG'!$AJ28*IF('THAM_SO'!$C$24&gt;='THAM_SO'!$B$24,'THAM_SO'!$B$24,0)+'CHAM_CONG_THANG'!$AK28*IF('THAM_SO'!$C$25&gt;='THAM_SO'!$B$25,'THAM_SO'!$B$25,0))-'CHAM_CONG_THANG'!$V28))</f>
        <v/>
      </c>
      <c r="AB28" s="224">
        <f>IF('DM_NHAN_SU'!$B28="","",MAX($Z28-$AA28,0))</f>
        <v/>
      </c>
      <c r="AC28" s="224">
        <f>IF('DM_NHAN_SU'!$B28="","",$O28+$P28+$Q28+$R28+$S28+$V28+$AB28+$BO28+$BP28+$BQ28+$BR28)</f>
        <v/>
      </c>
      <c r="AD28" s="224">
        <f>IF('DM_NHAN_SU'!$B28="","",'DM_NHAN_SU'!N28+'DM_NHAN_SU'!O28+'DM_NHAN_SU'!P28)</f>
        <v/>
      </c>
      <c r="AE28" s="224">
        <f>IF('DM_NHAN_SU'!$B28="","",IF(OR('DM_NHAN_SU'!$R28&lt;&gt;"Có",'CHAM_CONG_THANG'!$AA28="Có",$BL28&gt;=14,$AD28&lt;=0),0,MIN(MAX($AD28,'THAM_SO'!$M$6),'THAM_SO'!$M$7)))</f>
        <v/>
      </c>
      <c r="AF28" s="224">
        <f>IF('DM_NHAN_SU'!$B28="","",IF(OR('DM_NHAN_SU'!$S28&lt;&gt;"Có",'CHAM_CONG_THANG'!$AA28="Có",$BL28&gt;=14,$AD28&lt;=0),0,MIN(MAX($AD28,VLOOKUP($H28,'THAM_SO'!$L$17:$P$20,4,FALSE)),VLOOKUP($H28,'THAM_SO'!$L$17:$P$20,5,FALSE))))</f>
        <v/>
      </c>
      <c r="AG28" s="224">
        <f>IF('DM_NHAN_SU'!$B28="","",$AE28*'THAM_SO'!$M$8)</f>
        <v/>
      </c>
      <c r="AH28" s="224">
        <f>IF('DM_NHAN_SU'!$B28="","",$AE28*'THAM_SO'!$M$9)</f>
        <v/>
      </c>
      <c r="AI28" s="224">
        <f>IF('DM_NHAN_SU'!$B28="","",$AF28*'THAM_SO'!$M$10)</f>
        <v/>
      </c>
      <c r="AJ28" s="224">
        <f>IF('DM_NHAN_SU'!$B28="","",SUM($AG28:$AI28))</f>
        <v/>
      </c>
      <c r="AK28" s="224">
        <f>IF('DM_NHAN_SU'!$B28="","",IF($B28="",0,'THAM_SO'!$F$4))</f>
        <v/>
      </c>
      <c r="AL28" s="224">
        <f>IF('DM_NHAN_SU'!$B28="","",IF($B28="",0,'DM_NHAN_SU'!$T28*'THAM_SO'!$F$5))</f>
        <v/>
      </c>
      <c r="AM28" s="224">
        <f>IF('DM_NHAN_SU'!$B28="","",'CHAM_CONG_THANG'!W28)</f>
        <v/>
      </c>
      <c r="AN28" s="224">
        <f>IF('DM_NHAN_SU'!$B28="","",MAX($AC28-$AK28-$AL28-$AM28,0))</f>
        <v/>
      </c>
      <c r="AO28" s="224">
        <f>IF('DM_NHAN_SU'!$B28="","",IF($B28="","",IF($F28="Net",IF($AC28&lt;=$AK28+$AL28+$AM28,$AC28+$AJ28,$AJ28+$AK28+$AL28+$AM28+IF($AN28&lt;='THAM_SO'!$J$10,($AN28-'THAM_SO'!$I$10)/(1-'THAM_SO'!$H$10),IF($AN28&lt;='THAM_SO'!$J$11,($AN28-'THAM_SO'!$I$11)/(1-'THAM_SO'!$H$11),IF($AN28&lt;='THAM_SO'!$J$12,($AN28-'THAM_SO'!$I$12)/(1-'THAM_SO'!$H$12),IF($AN28&lt;='THAM_SO'!$J$13,($AN28-'THAM_SO'!$I$13)/(1-'THAM_SO'!$H$13),($AN28-'THAM_SO'!$I$14)/(1-'THAM_SO'!$H$14)))))),$AC28)))</f>
        <v/>
      </c>
      <c r="AP28" s="224">
        <f>IF('DM_NHAN_SU'!$B28="","",$U28+$W28+$X28+$AA28+$BS28)</f>
        <v/>
      </c>
      <c r="AQ28" s="224">
        <f>IF('DM_NHAN_SU'!$B28="","",MAX($AO28-$AJ28-$AK28-$AL28-$AM28,0))</f>
        <v/>
      </c>
      <c r="AR28" s="224">
        <f>IF('DM_NHAN_SU'!$B28="","",IF($AQ28&lt;=0,0,$AQ28*VLOOKUP($AQ28,'THAM_SO'!$F$10:$I$14,3,TRUE)-VLOOKUP($AQ28,'THAM_SO'!$F$10:$I$14,4,TRUE)))</f>
        <v/>
      </c>
      <c r="AS28" s="224">
        <f>IF('DM_NHAN_SU'!$B28="","",$AO28+$AP28)</f>
        <v/>
      </c>
      <c r="AT28" s="224">
        <f>IF('DM_NHAN_SU'!$B28="","",$AS28-$AJ28-$AR28)</f>
        <v/>
      </c>
      <c r="AU28" s="224">
        <f>IF('DM_NHAN_SU'!$B28="","",'CHAM_CONG_THANG'!X28)</f>
        <v/>
      </c>
      <c r="AV28" s="224">
        <f>IF('DM_NHAN_SU'!$B28="","",'CHAM_CONG_THANG'!Y28+'QT_NGHI_VIEC'!AD28)</f>
        <v/>
      </c>
      <c r="AW28" s="224">
        <f>IF('DM_NHAN_SU'!$B28="","",'CHAM_CONG_THANG'!Z28)</f>
        <v/>
      </c>
      <c r="AX28" s="224">
        <f>IF('DM_NHAN_SU'!$B28="","",$AT28-$AU28-$AV28-$AW28-$BV28)</f>
        <v/>
      </c>
      <c r="AY28" s="224">
        <f>IF('DM_NHAN_SU'!$B28="","",$AE28*'THAM_SO'!$M$11)</f>
        <v/>
      </c>
      <c r="AZ28" s="224">
        <f>IF('DM_NHAN_SU'!$B28="","",$AE28*'THAM_SO'!$M$12)</f>
        <v/>
      </c>
      <c r="BA28" s="224">
        <f>IF('DM_NHAN_SU'!$B28="","",$AF28*'THAM_SO'!$M$13)</f>
        <v/>
      </c>
      <c r="BB28" s="224">
        <f>IF('DM_NHAN_SU'!$B28="","",$AE28*'THAM_SO'!$M$14)</f>
        <v/>
      </c>
      <c r="BC28" s="224">
        <f>IF('DM_NHAN_SU'!$B28="","",SUM($AY28:$BB28))</f>
        <v/>
      </c>
      <c r="BD28" s="224">
        <f>IF('DM_NHAN_SU'!$B28="","",$AS28+$BC28)</f>
        <v/>
      </c>
      <c r="BE28" s="224">
        <f>IF('DM_NHAN_SU'!$B28="","",VLOOKUP($H28,'THAM_SO'!$L$17:$P$20,2,FALSE))</f>
        <v/>
      </c>
      <c r="BF28" s="224">
        <f>IF('DM_NHAN_SU'!$B28="","",VLOOKUP($H28,'THAM_SO'!$L$17:$P$20,3,FALSE))</f>
        <v/>
      </c>
      <c r="BG28" s="150">
        <f>IF('DM_NHAN_SU'!$B28="","",IF($B28="","",IF(COUNTIF('DM_NHAN_SU'!$B$6:$B$155,$B28)&gt;1,"Trùng mã NV; ","")&amp;IF(OR($F28="",$G28=""),"Thiếu loại/hình thức lương; ","")&amp;IF('CHAM_CONG_THANG'!$D28="","Chưa chọn nguồn công; ","")&amp;IF(AND('CHAM_CONG_THANG'!$D28="Theo ngày",COUNTIF('CHAM_CONG_NGAY'!$B$6:$B$4655,$B28)=0),"Chưa có chấm công ngày; ","")&amp;IF(OR($I28&lt;=0,$J28&lt;=0),"Thiếu công/giờ chuẩn; ","")&amp;IF(AND($G28="Tháng",'DM_NHAN_SU'!$K28&lt;$BE28),"Lương tháng dưới tối thiểu vùng; ","")&amp;IF(AND($G28="Ngày",'DM_NHAN_SU'!$K28/$J28&lt;$BF28),"Lương ngày quy đổi dưới tối thiểu giờ; ","")&amp;IF(AND($G28="Giờ",'DM_NHAN_SU'!$K28&lt;$BF28),"Lương giờ dưới tối thiểu vùng; ","")&amp;IF(AND($G28="Sản phẩm",$L28&gt;0,$O28/$L28&lt;$BF28),"Lương SP quy đổi dưới tối thiểu giờ; ","")&amp;IF(OR('THAM_SO'!$C$19&lt;'THAM_SO'!$B$19,'THAM_SO'!$C$20&lt;'THAM_SO'!$B$20,'THAM_SO'!$C$21&lt;'THAM_SO'!$B$21,'THAM_SO'!$C$22&lt;'THAM_SO'!$B$22,'THAM_SO'!$C$23&lt;'THAM_SO'!$B$23,'THAM_SO'!$C$24&lt;'THAM_SO'!$B$24,'THAM_SO'!$C$25&lt;'THAM_SO'!$B$25),"Hệ số OT/đêm DN thấp hơn luật; ","")&amp;IF(AND('DM_NHAN_SU'!$R28="Có",$AD28&lt;=0),"Thiếu căn cứ đóng BH; ","")&amp;IF(AND($AD28&gt;0,$AD28&lt;'THAM_SO'!$M$6),"Căn cứ BH dưới sàn – đã nâng sàn; ","")&amp;IF($AD28&gt;'THAM_SO'!$M$7,"Căn cứ BH vượt trần – đã giới hạn; ","")&amp;IF(AND($F28="Net",SUM('CHAM_CONG_THANG'!$AF28:$AK28)&gt;0,'DM_NHAN_SU'!$Q28&lt;=0),"Net có OT nhưng chưa khai lương giờ OT; ","")&amp;IF('CHAM_CONG_THANG'!$V28&gt;$Z28,"Phần OT không miễn lớn hơn tiền OT; ","")&amp;IF(AND($F28="Net",ABS($AT28-$AC28-$AP28)&gt;1),"Lệch quy đổi Net; ","")&amp;IF(AND($BH28&gt;0,'DM_NHAN_SU'!$AD28=""),"Có phép năm nhưng đang tạm dùng 12 ngày; ","")&amp;IF(AND($G28="Sản phẩm",SUM($BH28:$BJ28)&gt;0,'DM_NHAN_SU'!$AH28&lt;=0),"Lương sản phẩm thiếu đơn giá ngày phép/lễ; ","")&amp;IF(AND($BL28&gt;=14,'CHAM_CONG_THANG'!$AA28&lt;&gt;"Có"),"Thai sản từ 14 ngày: file tự dừng đóng BH – kiểm tra hồ sơ; ","")&amp;IF(AND('DM_NHAN_SU'!$AA28="Có",'DM_NHAN_SU'!$AB28=""),"Đoàn viên chưa chọn cách tính đoàn phí; ","")&amp;IF(AND('DM_NHAN_SU'!$AB28="Nhập tay",'DM_NHAN_SU'!$AC28&gt;'THAM_SO'!$M$26),"Đoàn phí nhập tay vượt trần thông dụng; ","")&amp;IF('NGHI_PHEP'!$L28&lt;&gt;"","Phép: "&amp;'NGHI_PHEP'!$L28,"")&amp;IF('CHE_DO_BHXH'!$AA28&lt;&gt;"","BHXH: "&amp;'CHE_DO_BHXH'!$AA28,"")&amp;IF('THUONG_T13_TET'!$O28&lt;&gt;"","Thưởng: "&amp;'THUONG_T13_TET'!$O28,"")&amp;IF('QT_NGHI_VIEC'!$AF28&lt;&gt;"","Nghỉ việc: "&amp;'QT_NGHI_VIEC'!$AF28,"")&amp;IF($AX28&lt;0,"Thực lĩnh âm; ","")&amp;IF(OR('DM_NHAN_SU'!$F28&gt;'THAM_SO'!$B$7,AND('DM_NHAN_SU'!$G28&lt;&gt;"",'DM_NHAN_SU'!$G28&lt;'THAM_SO'!$B$6)),"Ngoài kỳ trả lương; ","")))</f>
        <v/>
      </c>
      <c r="BH28" s="232">
        <f>IF('DM_NHAN_SU'!$B28="","",'CHAM_CONG_THANG'!AR28)</f>
        <v/>
      </c>
      <c r="BI28" s="232">
        <f>IF('DM_NHAN_SU'!$B28="","",'CHAM_CONG_THANG'!AS28)</f>
        <v/>
      </c>
      <c r="BJ28" s="232">
        <f>IF('DM_NHAN_SU'!$B28="","",'CHAM_CONG_THANG'!AT28)</f>
        <v/>
      </c>
      <c r="BK28" s="232">
        <f>IF('DM_NHAN_SU'!$B28="","",'CHAM_CONG_THANG'!AU28)</f>
        <v/>
      </c>
      <c r="BL28" s="232">
        <f>IF('DM_NHAN_SU'!$B28="","",'CHAM_CONG_THANG'!AV28)</f>
        <v/>
      </c>
      <c r="BM28" s="232">
        <f>IF('DM_NHAN_SU'!$B28="","",'CHAM_CONG_THANG'!AW28)</f>
        <v/>
      </c>
      <c r="BN28" s="232">
        <f>IF('DM_NHAN_SU'!$B28="","",SUM($K28,$BH28:$BJ28))</f>
        <v/>
      </c>
      <c r="BO28" s="224">
        <f>IF('DM_NHAN_SU'!$B28="","",IF($B28="",0,IF($G28="Tháng",IF($I28&gt;0,'DM_NHAN_SU'!$K28*MIN($BH28+$BJ28,MAX($I28-$K28,0))/$I28,0),IF($G28="Ngày",'DM_NHAN_SU'!$K28*SUM($BH28:$BJ28),IF($G28="Giờ",'DM_NHAN_SU'!$K28*SUM($BH28:$BJ28)*$J28,IF($G28="Sản phẩm",'DM_NHAN_SU'!$AH28*SUM($BH28:$BJ28),0))))))</f>
        <v/>
      </c>
      <c r="BP28" s="224">
        <f>IF('DM_NHAN_SU'!$B28="","",IF('THUONG_T13_TET'!$L28="Có",'THUONG_T13_TET'!$I28,0))</f>
        <v/>
      </c>
      <c r="BQ28" s="224">
        <f>IF('DM_NHAN_SU'!$B28="","",IF('THUONG_T13_TET'!$L28="Có",SUM('THUONG_T13_TET'!$J28:$K28),0))</f>
        <v/>
      </c>
      <c r="BR28" s="224">
        <f>IF('DM_NHAN_SU'!$B28="","",'QT_NGHI_VIEC'!AC28)</f>
        <v/>
      </c>
      <c r="BS28" s="224">
        <f>IF('DM_NHAN_SU'!$B28="","",'QT_NGHI_VIEC'!AB28)</f>
        <v/>
      </c>
      <c r="BT28" s="224">
        <f>IF('DM_NHAN_SU'!$B28="","",IF('CHE_DO_BHXH'!$Z28="Có",'CHE_DO_BHXH'!$W28,0))</f>
        <v/>
      </c>
      <c r="BU28" s="224">
        <f>IF('DM_NHAN_SU'!$B28="","",IF('CHE_DO_BHXH'!$Y28="DN trả thay",$BT28,0))</f>
        <v/>
      </c>
      <c r="BV28" s="224">
        <f>IF('DM_NHAN_SU'!$B28="","",IF(OR('DM_NHAN_SU'!$AA28&lt;&gt;"Có",'CHE_DO_BHXH'!$O28&gt;=1,SUM('CHE_DO_BHXH'!$D28,'CHE_DO_BHXH'!$G28,'CHE_DO_BHXH'!$K28)&gt;=24,AND($I28&gt;0,$BM28&gt;=$I28)),0,IF('DM_NHAN_SU'!$AB28="Không",0,IF('DM_NHAN_SU'!$AB28="Nhập tay",'DM_NHAN_SU'!$AC28,IF('DM_NHAN_SU'!$AB28="Theo thực nhận",MIN(MAX($AT28-$AU28-$AV28-$AW28,0)*'THAM_SO'!$M$23,'THAM_SO'!$M$26),MIN($AE28*'THAM_SO'!$M$23,'THAM_SO'!$M$26))))))</f>
        <v/>
      </c>
      <c r="BW28" s="224">
        <f>IF('DM_NHAN_SU'!$B28="","",$AX28+$BU28)</f>
        <v/>
      </c>
    </row>
    <row r="29">
      <c r="A29" s="145">
        <f>IF('DM_NHAN_SU'!$B29="","",IF($B29="","",ROW()-5))</f>
        <v/>
      </c>
      <c r="B29" s="145">
        <f>IF('DM_NHAN_SU'!$B29="","",'DM_NHAN_SU'!B29)</f>
        <v/>
      </c>
      <c r="C29" s="145">
        <f>IF('DM_NHAN_SU'!$B29="","",'DM_NHAN_SU'!C29)</f>
        <v/>
      </c>
      <c r="D29" s="145">
        <f>IF('DM_NHAN_SU'!$B29="","",'DM_NHAN_SU'!D29)</f>
        <v/>
      </c>
      <c r="E29" s="145">
        <f>IF('DM_NHAN_SU'!$B29="","",'DM_NHAN_SU'!E29)</f>
        <v/>
      </c>
      <c r="F29" s="145">
        <f>IF('DM_NHAN_SU'!$B29="","",'DM_NHAN_SU'!I29)</f>
        <v/>
      </c>
      <c r="G29" s="145">
        <f>IF('DM_NHAN_SU'!$B29="","",'DM_NHAN_SU'!J29)</f>
        <v/>
      </c>
      <c r="H29" s="145">
        <f>IF('DM_NHAN_SU'!$B29="","",IF('DM_NHAN_SU'!H29="",'THAM_SO'!$B$11,'DM_NHAN_SU'!H29))</f>
        <v/>
      </c>
      <c r="I29" s="232">
        <f>IF('DM_NHAN_SU'!$B29="","",IF('DM_NHAN_SU'!L29&gt;0,'DM_NHAN_SU'!L29,'THAM_SO'!$B$9))</f>
        <v/>
      </c>
      <c r="J29" s="232">
        <f>IF('DM_NHAN_SU'!$B29="","",IF('DM_NHAN_SU'!M29&gt;0,'DM_NHAN_SU'!M29,'THAM_SO'!$B$10))</f>
        <v/>
      </c>
      <c r="K29" s="232">
        <f>IF('DM_NHAN_SU'!$B29="","",'CHAM_CONG_THANG'!AC29)</f>
        <v/>
      </c>
      <c r="L29" s="232">
        <f>IF('DM_NHAN_SU'!$B29="","",'CHAM_CONG_THANG'!AD29)</f>
        <v/>
      </c>
      <c r="M29" s="232">
        <f>IF('DM_NHAN_SU'!$B29="","",'CHAM_CONG_THANG'!AE29)</f>
        <v/>
      </c>
      <c r="N29" s="232">
        <f>IF('DM_NHAN_SU'!$B29="","",'CHAM_CONG_THANG'!N29)</f>
        <v/>
      </c>
      <c r="O29" s="224">
        <f>IF('DM_NHAN_SU'!$B29="","",IF($B29="","",IF($G29="Tháng",IF($I29&gt;0,'DM_NHAN_SU'!$K29*MIN($K29,$I29)/$I29,0),IF($G29="Ngày",'DM_NHAN_SU'!$K29*$K29,IF($G29="Giờ",'DM_NHAN_SU'!$K29*$L29,IF($G29="Sản phẩm",'DM_NHAN_SU'!$K29*$N29,0))))))</f>
        <v/>
      </c>
      <c r="P29" s="224">
        <f>IF('DM_NHAN_SU'!$B29="","",'CHAM_CONG_THANG'!O29)</f>
        <v/>
      </c>
      <c r="Q29" s="224">
        <f>IF('DM_NHAN_SU'!$B29="","",'CHAM_CONG_THANG'!P29)</f>
        <v/>
      </c>
      <c r="R29" s="224">
        <f>IF('DM_NHAN_SU'!$B29="","",'CHAM_CONG_THANG'!Q29)</f>
        <v/>
      </c>
      <c r="S29" s="224">
        <f>IF('DM_NHAN_SU'!$B29="","",'CHAM_CONG_THANG'!R29)</f>
        <v/>
      </c>
      <c r="T29" s="224">
        <f>IF('DM_NHAN_SU'!$B29="","",'CHAM_CONG_THANG'!S29)</f>
        <v/>
      </c>
      <c r="U29" s="224">
        <f>IF('DM_NHAN_SU'!$B29="","",MIN($T29,'THAM_SO'!$F$6))</f>
        <v/>
      </c>
      <c r="V29" s="224">
        <f>IF('DM_NHAN_SU'!$B29="","",MAX($T29-$U29,0))</f>
        <v/>
      </c>
      <c r="W29" s="224">
        <f>IF('DM_NHAN_SU'!$B29="","",'CHAM_CONG_THANG'!T29)</f>
        <v/>
      </c>
      <c r="X29" s="224">
        <f>IF('DM_NHAN_SU'!$B29="","",'CHAM_CONG_THANG'!U29)</f>
        <v/>
      </c>
      <c r="Y29" s="224">
        <f>IF('DM_NHAN_SU'!$B29="","",IF($B29="",0,IF('DM_NHAN_SU'!$Q29&gt;0,'DM_NHAN_SU'!$Q29,IF($G29="Tháng",IF($I29*$J29&gt;0,'DM_NHAN_SU'!$K29/($I29*$J29),0),IF($G29="Ngày",IF($J29&gt;0,'DM_NHAN_SU'!$K29/$J29,0),IF($G29="Giờ",'DM_NHAN_SU'!$K29,0))))))</f>
        <v/>
      </c>
      <c r="Z29" s="224">
        <f>IF('DM_NHAN_SU'!$B29="","",$Y29*($M29*'THAM_SO'!$C$22+'CHAM_CONG_THANG'!$AF29*'THAM_SO'!$C$19+'CHAM_CONG_THANG'!$AG29*'THAM_SO'!$C$20+'CHAM_CONG_THANG'!$AH29*'THAM_SO'!$C$21+'CHAM_CONG_THANG'!$AI29*'THAM_SO'!$C$23+'CHAM_CONG_THANG'!$AJ29*'THAM_SO'!$C$24+'CHAM_CONG_THANG'!$AK29*'THAM_SO'!$C$25))</f>
        <v/>
      </c>
      <c r="AA29" s="224">
        <f>IF('DM_NHAN_SU'!$B29="","",MAX(0,$Y29*($M29*IF('THAM_SO'!$C$22&gt;='THAM_SO'!$B$22,'THAM_SO'!$B$22,0)+'CHAM_CONG_THANG'!$AF29*IF('THAM_SO'!$C$19&gt;='THAM_SO'!$B$19,'THAM_SO'!$B$19,0)+'CHAM_CONG_THANG'!$AG29*IF('THAM_SO'!$C$20&gt;='THAM_SO'!$B$20,'THAM_SO'!$B$20,0)+'CHAM_CONG_THANG'!$AH29*IF('THAM_SO'!$C$21&gt;='THAM_SO'!$B$21,'THAM_SO'!$B$21,0)+'CHAM_CONG_THANG'!$AI29*IF('THAM_SO'!$C$23&gt;='THAM_SO'!$B$23,'THAM_SO'!$B$23,0)+'CHAM_CONG_THANG'!$AJ29*IF('THAM_SO'!$C$24&gt;='THAM_SO'!$B$24,'THAM_SO'!$B$24,0)+'CHAM_CONG_THANG'!$AK29*IF('THAM_SO'!$C$25&gt;='THAM_SO'!$B$25,'THAM_SO'!$B$25,0))-'CHAM_CONG_THANG'!$V29))</f>
        <v/>
      </c>
      <c r="AB29" s="224">
        <f>IF('DM_NHAN_SU'!$B29="","",MAX($Z29-$AA29,0))</f>
        <v/>
      </c>
      <c r="AC29" s="224">
        <f>IF('DM_NHAN_SU'!$B29="","",$O29+$P29+$Q29+$R29+$S29+$V29+$AB29+$BO29+$BP29+$BQ29+$BR29)</f>
        <v/>
      </c>
      <c r="AD29" s="224">
        <f>IF('DM_NHAN_SU'!$B29="","",'DM_NHAN_SU'!N29+'DM_NHAN_SU'!O29+'DM_NHAN_SU'!P29)</f>
        <v/>
      </c>
      <c r="AE29" s="224">
        <f>IF('DM_NHAN_SU'!$B29="","",IF(OR('DM_NHAN_SU'!$R29&lt;&gt;"Có",'CHAM_CONG_THANG'!$AA29="Có",$BL29&gt;=14,$AD29&lt;=0),0,MIN(MAX($AD29,'THAM_SO'!$M$6),'THAM_SO'!$M$7)))</f>
        <v/>
      </c>
      <c r="AF29" s="224">
        <f>IF('DM_NHAN_SU'!$B29="","",IF(OR('DM_NHAN_SU'!$S29&lt;&gt;"Có",'CHAM_CONG_THANG'!$AA29="Có",$BL29&gt;=14,$AD29&lt;=0),0,MIN(MAX($AD29,VLOOKUP($H29,'THAM_SO'!$L$17:$P$20,4,FALSE)),VLOOKUP($H29,'THAM_SO'!$L$17:$P$20,5,FALSE))))</f>
        <v/>
      </c>
      <c r="AG29" s="224">
        <f>IF('DM_NHAN_SU'!$B29="","",$AE29*'THAM_SO'!$M$8)</f>
        <v/>
      </c>
      <c r="AH29" s="224">
        <f>IF('DM_NHAN_SU'!$B29="","",$AE29*'THAM_SO'!$M$9)</f>
        <v/>
      </c>
      <c r="AI29" s="224">
        <f>IF('DM_NHAN_SU'!$B29="","",$AF29*'THAM_SO'!$M$10)</f>
        <v/>
      </c>
      <c r="AJ29" s="224">
        <f>IF('DM_NHAN_SU'!$B29="","",SUM($AG29:$AI29))</f>
        <v/>
      </c>
      <c r="AK29" s="224">
        <f>IF('DM_NHAN_SU'!$B29="","",IF($B29="",0,'THAM_SO'!$F$4))</f>
        <v/>
      </c>
      <c r="AL29" s="224">
        <f>IF('DM_NHAN_SU'!$B29="","",IF($B29="",0,'DM_NHAN_SU'!$T29*'THAM_SO'!$F$5))</f>
        <v/>
      </c>
      <c r="AM29" s="224">
        <f>IF('DM_NHAN_SU'!$B29="","",'CHAM_CONG_THANG'!W29)</f>
        <v/>
      </c>
      <c r="AN29" s="224">
        <f>IF('DM_NHAN_SU'!$B29="","",MAX($AC29-$AK29-$AL29-$AM29,0))</f>
        <v/>
      </c>
      <c r="AO29" s="224">
        <f>IF('DM_NHAN_SU'!$B29="","",IF($B29="","",IF($F29="Net",IF($AC29&lt;=$AK29+$AL29+$AM29,$AC29+$AJ29,$AJ29+$AK29+$AL29+$AM29+IF($AN29&lt;='THAM_SO'!$J$10,($AN29-'THAM_SO'!$I$10)/(1-'THAM_SO'!$H$10),IF($AN29&lt;='THAM_SO'!$J$11,($AN29-'THAM_SO'!$I$11)/(1-'THAM_SO'!$H$11),IF($AN29&lt;='THAM_SO'!$J$12,($AN29-'THAM_SO'!$I$12)/(1-'THAM_SO'!$H$12),IF($AN29&lt;='THAM_SO'!$J$13,($AN29-'THAM_SO'!$I$13)/(1-'THAM_SO'!$H$13),($AN29-'THAM_SO'!$I$14)/(1-'THAM_SO'!$H$14)))))),$AC29)))</f>
        <v/>
      </c>
      <c r="AP29" s="224">
        <f>IF('DM_NHAN_SU'!$B29="","",$U29+$W29+$X29+$AA29+$BS29)</f>
        <v/>
      </c>
      <c r="AQ29" s="224">
        <f>IF('DM_NHAN_SU'!$B29="","",MAX($AO29-$AJ29-$AK29-$AL29-$AM29,0))</f>
        <v/>
      </c>
      <c r="AR29" s="224">
        <f>IF('DM_NHAN_SU'!$B29="","",IF($AQ29&lt;=0,0,$AQ29*VLOOKUP($AQ29,'THAM_SO'!$F$10:$I$14,3,TRUE)-VLOOKUP($AQ29,'THAM_SO'!$F$10:$I$14,4,TRUE)))</f>
        <v/>
      </c>
      <c r="AS29" s="224">
        <f>IF('DM_NHAN_SU'!$B29="","",$AO29+$AP29)</f>
        <v/>
      </c>
      <c r="AT29" s="224">
        <f>IF('DM_NHAN_SU'!$B29="","",$AS29-$AJ29-$AR29)</f>
        <v/>
      </c>
      <c r="AU29" s="224">
        <f>IF('DM_NHAN_SU'!$B29="","",'CHAM_CONG_THANG'!X29)</f>
        <v/>
      </c>
      <c r="AV29" s="224">
        <f>IF('DM_NHAN_SU'!$B29="","",'CHAM_CONG_THANG'!Y29+'QT_NGHI_VIEC'!AD29)</f>
        <v/>
      </c>
      <c r="AW29" s="224">
        <f>IF('DM_NHAN_SU'!$B29="","",'CHAM_CONG_THANG'!Z29)</f>
        <v/>
      </c>
      <c r="AX29" s="224">
        <f>IF('DM_NHAN_SU'!$B29="","",$AT29-$AU29-$AV29-$AW29-$BV29)</f>
        <v/>
      </c>
      <c r="AY29" s="224">
        <f>IF('DM_NHAN_SU'!$B29="","",$AE29*'THAM_SO'!$M$11)</f>
        <v/>
      </c>
      <c r="AZ29" s="224">
        <f>IF('DM_NHAN_SU'!$B29="","",$AE29*'THAM_SO'!$M$12)</f>
        <v/>
      </c>
      <c r="BA29" s="224">
        <f>IF('DM_NHAN_SU'!$B29="","",$AF29*'THAM_SO'!$M$13)</f>
        <v/>
      </c>
      <c r="BB29" s="224">
        <f>IF('DM_NHAN_SU'!$B29="","",$AE29*'THAM_SO'!$M$14)</f>
        <v/>
      </c>
      <c r="BC29" s="224">
        <f>IF('DM_NHAN_SU'!$B29="","",SUM($AY29:$BB29))</f>
        <v/>
      </c>
      <c r="BD29" s="224">
        <f>IF('DM_NHAN_SU'!$B29="","",$AS29+$BC29)</f>
        <v/>
      </c>
      <c r="BE29" s="224">
        <f>IF('DM_NHAN_SU'!$B29="","",VLOOKUP($H29,'THAM_SO'!$L$17:$P$20,2,FALSE))</f>
        <v/>
      </c>
      <c r="BF29" s="224">
        <f>IF('DM_NHAN_SU'!$B29="","",VLOOKUP($H29,'THAM_SO'!$L$17:$P$20,3,FALSE))</f>
        <v/>
      </c>
      <c r="BG29" s="150">
        <f>IF('DM_NHAN_SU'!$B29="","",IF($B29="","",IF(COUNTIF('DM_NHAN_SU'!$B$6:$B$155,$B29)&gt;1,"Trùng mã NV; ","")&amp;IF(OR($F29="",$G29=""),"Thiếu loại/hình thức lương; ","")&amp;IF('CHAM_CONG_THANG'!$D29="","Chưa chọn nguồn công; ","")&amp;IF(AND('CHAM_CONG_THANG'!$D29="Theo ngày",COUNTIF('CHAM_CONG_NGAY'!$B$6:$B$4655,$B29)=0),"Chưa có chấm công ngày; ","")&amp;IF(OR($I29&lt;=0,$J29&lt;=0),"Thiếu công/giờ chuẩn; ","")&amp;IF(AND($G29="Tháng",'DM_NHAN_SU'!$K29&lt;$BE29),"Lương tháng dưới tối thiểu vùng; ","")&amp;IF(AND($G29="Ngày",'DM_NHAN_SU'!$K29/$J29&lt;$BF29),"Lương ngày quy đổi dưới tối thiểu giờ; ","")&amp;IF(AND($G29="Giờ",'DM_NHAN_SU'!$K29&lt;$BF29),"Lương giờ dưới tối thiểu vùng; ","")&amp;IF(AND($G29="Sản phẩm",$L29&gt;0,$O29/$L29&lt;$BF29),"Lương SP quy đổi dưới tối thiểu giờ; ","")&amp;IF(OR('THAM_SO'!$C$19&lt;'THAM_SO'!$B$19,'THAM_SO'!$C$20&lt;'THAM_SO'!$B$20,'THAM_SO'!$C$21&lt;'THAM_SO'!$B$21,'THAM_SO'!$C$22&lt;'THAM_SO'!$B$22,'THAM_SO'!$C$23&lt;'THAM_SO'!$B$23,'THAM_SO'!$C$24&lt;'THAM_SO'!$B$24,'THAM_SO'!$C$25&lt;'THAM_SO'!$B$25),"Hệ số OT/đêm DN thấp hơn luật; ","")&amp;IF(AND('DM_NHAN_SU'!$R29="Có",$AD29&lt;=0),"Thiếu căn cứ đóng BH; ","")&amp;IF(AND($AD29&gt;0,$AD29&lt;'THAM_SO'!$M$6),"Căn cứ BH dưới sàn – đã nâng sàn; ","")&amp;IF($AD29&gt;'THAM_SO'!$M$7,"Căn cứ BH vượt trần – đã giới hạn; ","")&amp;IF(AND($F29="Net",SUM('CHAM_CONG_THANG'!$AF29:$AK29)&gt;0,'DM_NHAN_SU'!$Q29&lt;=0),"Net có OT nhưng chưa khai lương giờ OT; ","")&amp;IF('CHAM_CONG_THANG'!$V29&gt;$Z29,"Phần OT không miễn lớn hơn tiền OT; ","")&amp;IF(AND($F29="Net",ABS($AT29-$AC29-$AP29)&gt;1),"Lệch quy đổi Net; ","")&amp;IF(AND($BH29&gt;0,'DM_NHAN_SU'!$AD29=""),"Có phép năm nhưng đang tạm dùng 12 ngày; ","")&amp;IF(AND($G29="Sản phẩm",SUM($BH29:$BJ29)&gt;0,'DM_NHAN_SU'!$AH29&lt;=0),"Lương sản phẩm thiếu đơn giá ngày phép/lễ; ","")&amp;IF(AND($BL29&gt;=14,'CHAM_CONG_THANG'!$AA29&lt;&gt;"Có"),"Thai sản từ 14 ngày: file tự dừng đóng BH – kiểm tra hồ sơ; ","")&amp;IF(AND('DM_NHAN_SU'!$AA29="Có",'DM_NHAN_SU'!$AB29=""),"Đoàn viên chưa chọn cách tính đoàn phí; ","")&amp;IF(AND('DM_NHAN_SU'!$AB29="Nhập tay",'DM_NHAN_SU'!$AC29&gt;'THAM_SO'!$M$26),"Đoàn phí nhập tay vượt trần thông dụng; ","")&amp;IF('NGHI_PHEP'!$L29&lt;&gt;"","Phép: "&amp;'NGHI_PHEP'!$L29,"")&amp;IF('CHE_DO_BHXH'!$AA29&lt;&gt;"","BHXH: "&amp;'CHE_DO_BHXH'!$AA29,"")&amp;IF('THUONG_T13_TET'!$O29&lt;&gt;"","Thưởng: "&amp;'THUONG_T13_TET'!$O29,"")&amp;IF('QT_NGHI_VIEC'!$AF29&lt;&gt;"","Nghỉ việc: "&amp;'QT_NGHI_VIEC'!$AF29,"")&amp;IF($AX29&lt;0,"Thực lĩnh âm; ","")&amp;IF(OR('DM_NHAN_SU'!$F29&gt;'THAM_SO'!$B$7,AND('DM_NHAN_SU'!$G29&lt;&gt;"",'DM_NHAN_SU'!$G29&lt;'THAM_SO'!$B$6)),"Ngoài kỳ trả lương; ","")))</f>
        <v/>
      </c>
      <c r="BH29" s="232">
        <f>IF('DM_NHAN_SU'!$B29="","",'CHAM_CONG_THANG'!AR29)</f>
        <v/>
      </c>
      <c r="BI29" s="232">
        <f>IF('DM_NHAN_SU'!$B29="","",'CHAM_CONG_THANG'!AS29)</f>
        <v/>
      </c>
      <c r="BJ29" s="232">
        <f>IF('DM_NHAN_SU'!$B29="","",'CHAM_CONG_THANG'!AT29)</f>
        <v/>
      </c>
      <c r="BK29" s="232">
        <f>IF('DM_NHAN_SU'!$B29="","",'CHAM_CONG_THANG'!AU29)</f>
        <v/>
      </c>
      <c r="BL29" s="232">
        <f>IF('DM_NHAN_SU'!$B29="","",'CHAM_CONG_THANG'!AV29)</f>
        <v/>
      </c>
      <c r="BM29" s="232">
        <f>IF('DM_NHAN_SU'!$B29="","",'CHAM_CONG_THANG'!AW29)</f>
        <v/>
      </c>
      <c r="BN29" s="232">
        <f>IF('DM_NHAN_SU'!$B29="","",SUM($K29,$BH29:$BJ29))</f>
        <v/>
      </c>
      <c r="BO29" s="224">
        <f>IF('DM_NHAN_SU'!$B29="","",IF($B29="",0,IF($G29="Tháng",IF($I29&gt;0,'DM_NHAN_SU'!$K29*MIN($BH29+$BJ29,MAX($I29-$K29,0))/$I29,0),IF($G29="Ngày",'DM_NHAN_SU'!$K29*SUM($BH29:$BJ29),IF($G29="Giờ",'DM_NHAN_SU'!$K29*SUM($BH29:$BJ29)*$J29,IF($G29="Sản phẩm",'DM_NHAN_SU'!$AH29*SUM($BH29:$BJ29),0))))))</f>
        <v/>
      </c>
      <c r="BP29" s="224">
        <f>IF('DM_NHAN_SU'!$B29="","",IF('THUONG_T13_TET'!$L29="Có",'THUONG_T13_TET'!$I29,0))</f>
        <v/>
      </c>
      <c r="BQ29" s="224">
        <f>IF('DM_NHAN_SU'!$B29="","",IF('THUONG_T13_TET'!$L29="Có",SUM('THUONG_T13_TET'!$J29:$K29),0))</f>
        <v/>
      </c>
      <c r="BR29" s="224">
        <f>IF('DM_NHAN_SU'!$B29="","",'QT_NGHI_VIEC'!AC29)</f>
        <v/>
      </c>
      <c r="BS29" s="224">
        <f>IF('DM_NHAN_SU'!$B29="","",'QT_NGHI_VIEC'!AB29)</f>
        <v/>
      </c>
      <c r="BT29" s="224">
        <f>IF('DM_NHAN_SU'!$B29="","",IF('CHE_DO_BHXH'!$Z29="Có",'CHE_DO_BHXH'!$W29,0))</f>
        <v/>
      </c>
      <c r="BU29" s="224">
        <f>IF('DM_NHAN_SU'!$B29="","",IF('CHE_DO_BHXH'!$Y29="DN trả thay",$BT29,0))</f>
        <v/>
      </c>
      <c r="BV29" s="224">
        <f>IF('DM_NHAN_SU'!$B29="","",IF(OR('DM_NHAN_SU'!$AA29&lt;&gt;"Có",'CHE_DO_BHXH'!$O29&gt;=1,SUM('CHE_DO_BHXH'!$D29,'CHE_DO_BHXH'!$G29,'CHE_DO_BHXH'!$K29)&gt;=24,AND($I29&gt;0,$BM29&gt;=$I29)),0,IF('DM_NHAN_SU'!$AB29="Không",0,IF('DM_NHAN_SU'!$AB29="Nhập tay",'DM_NHAN_SU'!$AC29,IF('DM_NHAN_SU'!$AB29="Theo thực nhận",MIN(MAX($AT29-$AU29-$AV29-$AW29,0)*'THAM_SO'!$M$23,'THAM_SO'!$M$26),MIN($AE29*'THAM_SO'!$M$23,'THAM_SO'!$M$26))))))</f>
        <v/>
      </c>
      <c r="BW29" s="224">
        <f>IF('DM_NHAN_SU'!$B29="","",$AX29+$BU29)</f>
        <v/>
      </c>
    </row>
    <row r="30">
      <c r="A30" s="145">
        <f>IF('DM_NHAN_SU'!$B30="","",IF($B30="","",ROW()-5))</f>
        <v/>
      </c>
      <c r="B30" s="145">
        <f>IF('DM_NHAN_SU'!$B30="","",'DM_NHAN_SU'!B30)</f>
        <v/>
      </c>
      <c r="C30" s="145">
        <f>IF('DM_NHAN_SU'!$B30="","",'DM_NHAN_SU'!C30)</f>
        <v/>
      </c>
      <c r="D30" s="145">
        <f>IF('DM_NHAN_SU'!$B30="","",'DM_NHAN_SU'!D30)</f>
        <v/>
      </c>
      <c r="E30" s="145">
        <f>IF('DM_NHAN_SU'!$B30="","",'DM_NHAN_SU'!E30)</f>
        <v/>
      </c>
      <c r="F30" s="145">
        <f>IF('DM_NHAN_SU'!$B30="","",'DM_NHAN_SU'!I30)</f>
        <v/>
      </c>
      <c r="G30" s="145">
        <f>IF('DM_NHAN_SU'!$B30="","",'DM_NHAN_SU'!J30)</f>
        <v/>
      </c>
      <c r="H30" s="145">
        <f>IF('DM_NHAN_SU'!$B30="","",IF('DM_NHAN_SU'!H30="",'THAM_SO'!$B$11,'DM_NHAN_SU'!H30))</f>
        <v/>
      </c>
      <c r="I30" s="232">
        <f>IF('DM_NHAN_SU'!$B30="","",IF('DM_NHAN_SU'!L30&gt;0,'DM_NHAN_SU'!L30,'THAM_SO'!$B$9))</f>
        <v/>
      </c>
      <c r="J30" s="232">
        <f>IF('DM_NHAN_SU'!$B30="","",IF('DM_NHAN_SU'!M30&gt;0,'DM_NHAN_SU'!M30,'THAM_SO'!$B$10))</f>
        <v/>
      </c>
      <c r="K30" s="232">
        <f>IF('DM_NHAN_SU'!$B30="","",'CHAM_CONG_THANG'!AC30)</f>
        <v/>
      </c>
      <c r="L30" s="232">
        <f>IF('DM_NHAN_SU'!$B30="","",'CHAM_CONG_THANG'!AD30)</f>
        <v/>
      </c>
      <c r="M30" s="232">
        <f>IF('DM_NHAN_SU'!$B30="","",'CHAM_CONG_THANG'!AE30)</f>
        <v/>
      </c>
      <c r="N30" s="232">
        <f>IF('DM_NHAN_SU'!$B30="","",'CHAM_CONG_THANG'!N30)</f>
        <v/>
      </c>
      <c r="O30" s="224">
        <f>IF('DM_NHAN_SU'!$B30="","",IF($B30="","",IF($G30="Tháng",IF($I30&gt;0,'DM_NHAN_SU'!$K30*MIN($K30,$I30)/$I30,0),IF($G30="Ngày",'DM_NHAN_SU'!$K30*$K30,IF($G30="Giờ",'DM_NHAN_SU'!$K30*$L30,IF($G30="Sản phẩm",'DM_NHAN_SU'!$K30*$N30,0))))))</f>
        <v/>
      </c>
      <c r="P30" s="224">
        <f>IF('DM_NHAN_SU'!$B30="","",'CHAM_CONG_THANG'!O30)</f>
        <v/>
      </c>
      <c r="Q30" s="224">
        <f>IF('DM_NHAN_SU'!$B30="","",'CHAM_CONG_THANG'!P30)</f>
        <v/>
      </c>
      <c r="R30" s="224">
        <f>IF('DM_NHAN_SU'!$B30="","",'CHAM_CONG_THANG'!Q30)</f>
        <v/>
      </c>
      <c r="S30" s="224">
        <f>IF('DM_NHAN_SU'!$B30="","",'CHAM_CONG_THANG'!R30)</f>
        <v/>
      </c>
      <c r="T30" s="224">
        <f>IF('DM_NHAN_SU'!$B30="","",'CHAM_CONG_THANG'!S30)</f>
        <v/>
      </c>
      <c r="U30" s="224">
        <f>IF('DM_NHAN_SU'!$B30="","",MIN($T30,'THAM_SO'!$F$6))</f>
        <v/>
      </c>
      <c r="V30" s="224">
        <f>IF('DM_NHAN_SU'!$B30="","",MAX($T30-$U30,0))</f>
        <v/>
      </c>
      <c r="W30" s="224">
        <f>IF('DM_NHAN_SU'!$B30="","",'CHAM_CONG_THANG'!T30)</f>
        <v/>
      </c>
      <c r="X30" s="224">
        <f>IF('DM_NHAN_SU'!$B30="","",'CHAM_CONG_THANG'!U30)</f>
        <v/>
      </c>
      <c r="Y30" s="224">
        <f>IF('DM_NHAN_SU'!$B30="","",IF($B30="",0,IF('DM_NHAN_SU'!$Q30&gt;0,'DM_NHAN_SU'!$Q30,IF($G30="Tháng",IF($I30*$J30&gt;0,'DM_NHAN_SU'!$K30/($I30*$J30),0),IF($G30="Ngày",IF($J30&gt;0,'DM_NHAN_SU'!$K30/$J30,0),IF($G30="Giờ",'DM_NHAN_SU'!$K30,0))))))</f>
        <v/>
      </c>
      <c r="Z30" s="224">
        <f>IF('DM_NHAN_SU'!$B30="","",$Y30*($M30*'THAM_SO'!$C$22+'CHAM_CONG_THANG'!$AF30*'THAM_SO'!$C$19+'CHAM_CONG_THANG'!$AG30*'THAM_SO'!$C$20+'CHAM_CONG_THANG'!$AH30*'THAM_SO'!$C$21+'CHAM_CONG_THANG'!$AI30*'THAM_SO'!$C$23+'CHAM_CONG_THANG'!$AJ30*'THAM_SO'!$C$24+'CHAM_CONG_THANG'!$AK30*'THAM_SO'!$C$25))</f>
        <v/>
      </c>
      <c r="AA30" s="224">
        <f>IF('DM_NHAN_SU'!$B30="","",MAX(0,$Y30*($M30*IF('THAM_SO'!$C$22&gt;='THAM_SO'!$B$22,'THAM_SO'!$B$22,0)+'CHAM_CONG_THANG'!$AF30*IF('THAM_SO'!$C$19&gt;='THAM_SO'!$B$19,'THAM_SO'!$B$19,0)+'CHAM_CONG_THANG'!$AG30*IF('THAM_SO'!$C$20&gt;='THAM_SO'!$B$20,'THAM_SO'!$B$20,0)+'CHAM_CONG_THANG'!$AH30*IF('THAM_SO'!$C$21&gt;='THAM_SO'!$B$21,'THAM_SO'!$B$21,0)+'CHAM_CONG_THANG'!$AI30*IF('THAM_SO'!$C$23&gt;='THAM_SO'!$B$23,'THAM_SO'!$B$23,0)+'CHAM_CONG_THANG'!$AJ30*IF('THAM_SO'!$C$24&gt;='THAM_SO'!$B$24,'THAM_SO'!$B$24,0)+'CHAM_CONG_THANG'!$AK30*IF('THAM_SO'!$C$25&gt;='THAM_SO'!$B$25,'THAM_SO'!$B$25,0))-'CHAM_CONG_THANG'!$V30))</f>
        <v/>
      </c>
      <c r="AB30" s="224">
        <f>IF('DM_NHAN_SU'!$B30="","",MAX($Z30-$AA30,0))</f>
        <v/>
      </c>
      <c r="AC30" s="224">
        <f>IF('DM_NHAN_SU'!$B30="","",$O30+$P30+$Q30+$R30+$S30+$V30+$AB30+$BO30+$BP30+$BQ30+$BR30)</f>
        <v/>
      </c>
      <c r="AD30" s="224">
        <f>IF('DM_NHAN_SU'!$B30="","",'DM_NHAN_SU'!N30+'DM_NHAN_SU'!O30+'DM_NHAN_SU'!P30)</f>
        <v/>
      </c>
      <c r="AE30" s="224">
        <f>IF('DM_NHAN_SU'!$B30="","",IF(OR('DM_NHAN_SU'!$R30&lt;&gt;"Có",'CHAM_CONG_THANG'!$AA30="Có",$BL30&gt;=14,$AD30&lt;=0),0,MIN(MAX($AD30,'THAM_SO'!$M$6),'THAM_SO'!$M$7)))</f>
        <v/>
      </c>
      <c r="AF30" s="224">
        <f>IF('DM_NHAN_SU'!$B30="","",IF(OR('DM_NHAN_SU'!$S30&lt;&gt;"Có",'CHAM_CONG_THANG'!$AA30="Có",$BL30&gt;=14,$AD30&lt;=0),0,MIN(MAX($AD30,VLOOKUP($H30,'THAM_SO'!$L$17:$P$20,4,FALSE)),VLOOKUP($H30,'THAM_SO'!$L$17:$P$20,5,FALSE))))</f>
        <v/>
      </c>
      <c r="AG30" s="224">
        <f>IF('DM_NHAN_SU'!$B30="","",$AE30*'THAM_SO'!$M$8)</f>
        <v/>
      </c>
      <c r="AH30" s="224">
        <f>IF('DM_NHAN_SU'!$B30="","",$AE30*'THAM_SO'!$M$9)</f>
        <v/>
      </c>
      <c r="AI30" s="224">
        <f>IF('DM_NHAN_SU'!$B30="","",$AF30*'THAM_SO'!$M$10)</f>
        <v/>
      </c>
      <c r="AJ30" s="224">
        <f>IF('DM_NHAN_SU'!$B30="","",SUM($AG30:$AI30))</f>
        <v/>
      </c>
      <c r="AK30" s="224">
        <f>IF('DM_NHAN_SU'!$B30="","",IF($B30="",0,'THAM_SO'!$F$4))</f>
        <v/>
      </c>
      <c r="AL30" s="224">
        <f>IF('DM_NHAN_SU'!$B30="","",IF($B30="",0,'DM_NHAN_SU'!$T30*'THAM_SO'!$F$5))</f>
        <v/>
      </c>
      <c r="AM30" s="224">
        <f>IF('DM_NHAN_SU'!$B30="","",'CHAM_CONG_THANG'!W30)</f>
        <v/>
      </c>
      <c r="AN30" s="224">
        <f>IF('DM_NHAN_SU'!$B30="","",MAX($AC30-$AK30-$AL30-$AM30,0))</f>
        <v/>
      </c>
      <c r="AO30" s="224">
        <f>IF('DM_NHAN_SU'!$B30="","",IF($B30="","",IF($F30="Net",IF($AC30&lt;=$AK30+$AL30+$AM30,$AC30+$AJ30,$AJ30+$AK30+$AL30+$AM30+IF($AN30&lt;='THAM_SO'!$J$10,($AN30-'THAM_SO'!$I$10)/(1-'THAM_SO'!$H$10),IF($AN30&lt;='THAM_SO'!$J$11,($AN30-'THAM_SO'!$I$11)/(1-'THAM_SO'!$H$11),IF($AN30&lt;='THAM_SO'!$J$12,($AN30-'THAM_SO'!$I$12)/(1-'THAM_SO'!$H$12),IF($AN30&lt;='THAM_SO'!$J$13,($AN30-'THAM_SO'!$I$13)/(1-'THAM_SO'!$H$13),($AN30-'THAM_SO'!$I$14)/(1-'THAM_SO'!$H$14)))))),$AC30)))</f>
        <v/>
      </c>
      <c r="AP30" s="224">
        <f>IF('DM_NHAN_SU'!$B30="","",$U30+$W30+$X30+$AA30+$BS30)</f>
        <v/>
      </c>
      <c r="AQ30" s="224">
        <f>IF('DM_NHAN_SU'!$B30="","",MAX($AO30-$AJ30-$AK30-$AL30-$AM30,0))</f>
        <v/>
      </c>
      <c r="AR30" s="224">
        <f>IF('DM_NHAN_SU'!$B30="","",IF($AQ30&lt;=0,0,$AQ30*VLOOKUP($AQ30,'THAM_SO'!$F$10:$I$14,3,TRUE)-VLOOKUP($AQ30,'THAM_SO'!$F$10:$I$14,4,TRUE)))</f>
        <v/>
      </c>
      <c r="AS30" s="224">
        <f>IF('DM_NHAN_SU'!$B30="","",$AO30+$AP30)</f>
        <v/>
      </c>
      <c r="AT30" s="224">
        <f>IF('DM_NHAN_SU'!$B30="","",$AS30-$AJ30-$AR30)</f>
        <v/>
      </c>
      <c r="AU30" s="224">
        <f>IF('DM_NHAN_SU'!$B30="","",'CHAM_CONG_THANG'!X30)</f>
        <v/>
      </c>
      <c r="AV30" s="224">
        <f>IF('DM_NHAN_SU'!$B30="","",'CHAM_CONG_THANG'!Y30+'QT_NGHI_VIEC'!AD30)</f>
        <v/>
      </c>
      <c r="AW30" s="224">
        <f>IF('DM_NHAN_SU'!$B30="","",'CHAM_CONG_THANG'!Z30)</f>
        <v/>
      </c>
      <c r="AX30" s="224">
        <f>IF('DM_NHAN_SU'!$B30="","",$AT30-$AU30-$AV30-$AW30-$BV30)</f>
        <v/>
      </c>
      <c r="AY30" s="224">
        <f>IF('DM_NHAN_SU'!$B30="","",$AE30*'THAM_SO'!$M$11)</f>
        <v/>
      </c>
      <c r="AZ30" s="224">
        <f>IF('DM_NHAN_SU'!$B30="","",$AE30*'THAM_SO'!$M$12)</f>
        <v/>
      </c>
      <c r="BA30" s="224">
        <f>IF('DM_NHAN_SU'!$B30="","",$AF30*'THAM_SO'!$M$13)</f>
        <v/>
      </c>
      <c r="BB30" s="224">
        <f>IF('DM_NHAN_SU'!$B30="","",$AE30*'THAM_SO'!$M$14)</f>
        <v/>
      </c>
      <c r="BC30" s="224">
        <f>IF('DM_NHAN_SU'!$B30="","",SUM($AY30:$BB30))</f>
        <v/>
      </c>
      <c r="BD30" s="224">
        <f>IF('DM_NHAN_SU'!$B30="","",$AS30+$BC30)</f>
        <v/>
      </c>
      <c r="BE30" s="224">
        <f>IF('DM_NHAN_SU'!$B30="","",VLOOKUP($H30,'THAM_SO'!$L$17:$P$20,2,FALSE))</f>
        <v/>
      </c>
      <c r="BF30" s="224">
        <f>IF('DM_NHAN_SU'!$B30="","",VLOOKUP($H30,'THAM_SO'!$L$17:$P$20,3,FALSE))</f>
        <v/>
      </c>
      <c r="BG30" s="150">
        <f>IF('DM_NHAN_SU'!$B30="","",IF($B30="","",IF(COUNTIF('DM_NHAN_SU'!$B$6:$B$155,$B30)&gt;1,"Trùng mã NV; ","")&amp;IF(OR($F30="",$G30=""),"Thiếu loại/hình thức lương; ","")&amp;IF('CHAM_CONG_THANG'!$D30="","Chưa chọn nguồn công; ","")&amp;IF(AND('CHAM_CONG_THANG'!$D30="Theo ngày",COUNTIF('CHAM_CONG_NGAY'!$B$6:$B$4655,$B30)=0),"Chưa có chấm công ngày; ","")&amp;IF(OR($I30&lt;=0,$J30&lt;=0),"Thiếu công/giờ chuẩn; ","")&amp;IF(AND($G30="Tháng",'DM_NHAN_SU'!$K30&lt;$BE30),"Lương tháng dưới tối thiểu vùng; ","")&amp;IF(AND($G30="Ngày",'DM_NHAN_SU'!$K30/$J30&lt;$BF30),"Lương ngày quy đổi dưới tối thiểu giờ; ","")&amp;IF(AND($G30="Giờ",'DM_NHAN_SU'!$K30&lt;$BF30),"Lương giờ dưới tối thiểu vùng; ","")&amp;IF(AND($G30="Sản phẩm",$L30&gt;0,$O30/$L30&lt;$BF30),"Lương SP quy đổi dưới tối thiểu giờ; ","")&amp;IF(OR('THAM_SO'!$C$19&lt;'THAM_SO'!$B$19,'THAM_SO'!$C$20&lt;'THAM_SO'!$B$20,'THAM_SO'!$C$21&lt;'THAM_SO'!$B$21,'THAM_SO'!$C$22&lt;'THAM_SO'!$B$22,'THAM_SO'!$C$23&lt;'THAM_SO'!$B$23,'THAM_SO'!$C$24&lt;'THAM_SO'!$B$24,'THAM_SO'!$C$25&lt;'THAM_SO'!$B$25),"Hệ số OT/đêm DN thấp hơn luật; ","")&amp;IF(AND('DM_NHAN_SU'!$R30="Có",$AD30&lt;=0),"Thiếu căn cứ đóng BH; ","")&amp;IF(AND($AD30&gt;0,$AD30&lt;'THAM_SO'!$M$6),"Căn cứ BH dưới sàn – đã nâng sàn; ","")&amp;IF($AD30&gt;'THAM_SO'!$M$7,"Căn cứ BH vượt trần – đã giới hạn; ","")&amp;IF(AND($F30="Net",SUM('CHAM_CONG_THANG'!$AF30:$AK30)&gt;0,'DM_NHAN_SU'!$Q30&lt;=0),"Net có OT nhưng chưa khai lương giờ OT; ","")&amp;IF('CHAM_CONG_THANG'!$V30&gt;$Z30,"Phần OT không miễn lớn hơn tiền OT; ","")&amp;IF(AND($F30="Net",ABS($AT30-$AC30-$AP30)&gt;1),"Lệch quy đổi Net; ","")&amp;IF(AND($BH30&gt;0,'DM_NHAN_SU'!$AD30=""),"Có phép năm nhưng đang tạm dùng 12 ngày; ","")&amp;IF(AND($G30="Sản phẩm",SUM($BH30:$BJ30)&gt;0,'DM_NHAN_SU'!$AH30&lt;=0),"Lương sản phẩm thiếu đơn giá ngày phép/lễ; ","")&amp;IF(AND($BL30&gt;=14,'CHAM_CONG_THANG'!$AA30&lt;&gt;"Có"),"Thai sản từ 14 ngày: file tự dừng đóng BH – kiểm tra hồ sơ; ","")&amp;IF(AND('DM_NHAN_SU'!$AA30="Có",'DM_NHAN_SU'!$AB30=""),"Đoàn viên chưa chọn cách tính đoàn phí; ","")&amp;IF(AND('DM_NHAN_SU'!$AB30="Nhập tay",'DM_NHAN_SU'!$AC30&gt;'THAM_SO'!$M$26),"Đoàn phí nhập tay vượt trần thông dụng; ","")&amp;IF('NGHI_PHEP'!$L30&lt;&gt;"","Phép: "&amp;'NGHI_PHEP'!$L30,"")&amp;IF('CHE_DO_BHXH'!$AA30&lt;&gt;"","BHXH: "&amp;'CHE_DO_BHXH'!$AA30,"")&amp;IF('THUONG_T13_TET'!$O30&lt;&gt;"","Thưởng: "&amp;'THUONG_T13_TET'!$O30,"")&amp;IF('QT_NGHI_VIEC'!$AF30&lt;&gt;"","Nghỉ việc: "&amp;'QT_NGHI_VIEC'!$AF30,"")&amp;IF($AX30&lt;0,"Thực lĩnh âm; ","")&amp;IF(OR('DM_NHAN_SU'!$F30&gt;'THAM_SO'!$B$7,AND('DM_NHAN_SU'!$G30&lt;&gt;"",'DM_NHAN_SU'!$G30&lt;'THAM_SO'!$B$6)),"Ngoài kỳ trả lương; ","")))</f>
        <v/>
      </c>
      <c r="BH30" s="232">
        <f>IF('DM_NHAN_SU'!$B30="","",'CHAM_CONG_THANG'!AR30)</f>
        <v/>
      </c>
      <c r="BI30" s="232">
        <f>IF('DM_NHAN_SU'!$B30="","",'CHAM_CONG_THANG'!AS30)</f>
        <v/>
      </c>
      <c r="BJ30" s="232">
        <f>IF('DM_NHAN_SU'!$B30="","",'CHAM_CONG_THANG'!AT30)</f>
        <v/>
      </c>
      <c r="BK30" s="232">
        <f>IF('DM_NHAN_SU'!$B30="","",'CHAM_CONG_THANG'!AU30)</f>
        <v/>
      </c>
      <c r="BL30" s="232">
        <f>IF('DM_NHAN_SU'!$B30="","",'CHAM_CONG_THANG'!AV30)</f>
        <v/>
      </c>
      <c r="BM30" s="232">
        <f>IF('DM_NHAN_SU'!$B30="","",'CHAM_CONG_THANG'!AW30)</f>
        <v/>
      </c>
      <c r="BN30" s="232">
        <f>IF('DM_NHAN_SU'!$B30="","",SUM($K30,$BH30:$BJ30))</f>
        <v/>
      </c>
      <c r="BO30" s="224">
        <f>IF('DM_NHAN_SU'!$B30="","",IF($B30="",0,IF($G30="Tháng",IF($I30&gt;0,'DM_NHAN_SU'!$K30*MIN($BH30+$BJ30,MAX($I30-$K30,0))/$I30,0),IF($G30="Ngày",'DM_NHAN_SU'!$K30*SUM($BH30:$BJ30),IF($G30="Giờ",'DM_NHAN_SU'!$K30*SUM($BH30:$BJ30)*$J30,IF($G30="Sản phẩm",'DM_NHAN_SU'!$AH30*SUM($BH30:$BJ30),0))))))</f>
        <v/>
      </c>
      <c r="BP30" s="224">
        <f>IF('DM_NHAN_SU'!$B30="","",IF('THUONG_T13_TET'!$L30="Có",'THUONG_T13_TET'!$I30,0))</f>
        <v/>
      </c>
      <c r="BQ30" s="224">
        <f>IF('DM_NHAN_SU'!$B30="","",IF('THUONG_T13_TET'!$L30="Có",SUM('THUONG_T13_TET'!$J30:$K30),0))</f>
        <v/>
      </c>
      <c r="BR30" s="224">
        <f>IF('DM_NHAN_SU'!$B30="","",'QT_NGHI_VIEC'!AC30)</f>
        <v/>
      </c>
      <c r="BS30" s="224">
        <f>IF('DM_NHAN_SU'!$B30="","",'QT_NGHI_VIEC'!AB30)</f>
        <v/>
      </c>
      <c r="BT30" s="224">
        <f>IF('DM_NHAN_SU'!$B30="","",IF('CHE_DO_BHXH'!$Z30="Có",'CHE_DO_BHXH'!$W30,0))</f>
        <v/>
      </c>
      <c r="BU30" s="224">
        <f>IF('DM_NHAN_SU'!$B30="","",IF('CHE_DO_BHXH'!$Y30="DN trả thay",$BT30,0))</f>
        <v/>
      </c>
      <c r="BV30" s="224">
        <f>IF('DM_NHAN_SU'!$B30="","",IF(OR('DM_NHAN_SU'!$AA30&lt;&gt;"Có",'CHE_DO_BHXH'!$O30&gt;=1,SUM('CHE_DO_BHXH'!$D30,'CHE_DO_BHXH'!$G30,'CHE_DO_BHXH'!$K30)&gt;=24,AND($I30&gt;0,$BM30&gt;=$I30)),0,IF('DM_NHAN_SU'!$AB30="Không",0,IF('DM_NHAN_SU'!$AB30="Nhập tay",'DM_NHAN_SU'!$AC30,IF('DM_NHAN_SU'!$AB30="Theo thực nhận",MIN(MAX($AT30-$AU30-$AV30-$AW30,0)*'THAM_SO'!$M$23,'THAM_SO'!$M$26),MIN($AE30*'THAM_SO'!$M$23,'THAM_SO'!$M$26))))))</f>
        <v/>
      </c>
      <c r="BW30" s="224">
        <f>IF('DM_NHAN_SU'!$B30="","",$AX30+$BU30)</f>
        <v/>
      </c>
    </row>
    <row r="31">
      <c r="A31" s="145">
        <f>IF('DM_NHAN_SU'!$B31="","",IF($B31="","",ROW()-5))</f>
        <v/>
      </c>
      <c r="B31" s="145">
        <f>IF('DM_NHAN_SU'!$B31="","",'DM_NHAN_SU'!B31)</f>
        <v/>
      </c>
      <c r="C31" s="145">
        <f>IF('DM_NHAN_SU'!$B31="","",'DM_NHAN_SU'!C31)</f>
        <v/>
      </c>
      <c r="D31" s="145">
        <f>IF('DM_NHAN_SU'!$B31="","",'DM_NHAN_SU'!D31)</f>
        <v/>
      </c>
      <c r="E31" s="145">
        <f>IF('DM_NHAN_SU'!$B31="","",'DM_NHAN_SU'!E31)</f>
        <v/>
      </c>
      <c r="F31" s="145">
        <f>IF('DM_NHAN_SU'!$B31="","",'DM_NHAN_SU'!I31)</f>
        <v/>
      </c>
      <c r="G31" s="145">
        <f>IF('DM_NHAN_SU'!$B31="","",'DM_NHAN_SU'!J31)</f>
        <v/>
      </c>
      <c r="H31" s="145">
        <f>IF('DM_NHAN_SU'!$B31="","",IF('DM_NHAN_SU'!H31="",'THAM_SO'!$B$11,'DM_NHAN_SU'!H31))</f>
        <v/>
      </c>
      <c r="I31" s="232">
        <f>IF('DM_NHAN_SU'!$B31="","",IF('DM_NHAN_SU'!L31&gt;0,'DM_NHAN_SU'!L31,'THAM_SO'!$B$9))</f>
        <v/>
      </c>
      <c r="J31" s="232">
        <f>IF('DM_NHAN_SU'!$B31="","",IF('DM_NHAN_SU'!M31&gt;0,'DM_NHAN_SU'!M31,'THAM_SO'!$B$10))</f>
        <v/>
      </c>
      <c r="K31" s="232">
        <f>IF('DM_NHAN_SU'!$B31="","",'CHAM_CONG_THANG'!AC31)</f>
        <v/>
      </c>
      <c r="L31" s="232">
        <f>IF('DM_NHAN_SU'!$B31="","",'CHAM_CONG_THANG'!AD31)</f>
        <v/>
      </c>
      <c r="M31" s="232">
        <f>IF('DM_NHAN_SU'!$B31="","",'CHAM_CONG_THANG'!AE31)</f>
        <v/>
      </c>
      <c r="N31" s="232">
        <f>IF('DM_NHAN_SU'!$B31="","",'CHAM_CONG_THANG'!N31)</f>
        <v/>
      </c>
      <c r="O31" s="224">
        <f>IF('DM_NHAN_SU'!$B31="","",IF($B31="","",IF($G31="Tháng",IF($I31&gt;0,'DM_NHAN_SU'!$K31*MIN($K31,$I31)/$I31,0),IF($G31="Ngày",'DM_NHAN_SU'!$K31*$K31,IF($G31="Giờ",'DM_NHAN_SU'!$K31*$L31,IF($G31="Sản phẩm",'DM_NHAN_SU'!$K31*$N31,0))))))</f>
        <v/>
      </c>
      <c r="P31" s="224">
        <f>IF('DM_NHAN_SU'!$B31="","",'CHAM_CONG_THANG'!O31)</f>
        <v/>
      </c>
      <c r="Q31" s="224">
        <f>IF('DM_NHAN_SU'!$B31="","",'CHAM_CONG_THANG'!P31)</f>
        <v/>
      </c>
      <c r="R31" s="224">
        <f>IF('DM_NHAN_SU'!$B31="","",'CHAM_CONG_THANG'!Q31)</f>
        <v/>
      </c>
      <c r="S31" s="224">
        <f>IF('DM_NHAN_SU'!$B31="","",'CHAM_CONG_THANG'!R31)</f>
        <v/>
      </c>
      <c r="T31" s="224">
        <f>IF('DM_NHAN_SU'!$B31="","",'CHAM_CONG_THANG'!S31)</f>
        <v/>
      </c>
      <c r="U31" s="224">
        <f>IF('DM_NHAN_SU'!$B31="","",MIN($T31,'THAM_SO'!$F$6))</f>
        <v/>
      </c>
      <c r="V31" s="224">
        <f>IF('DM_NHAN_SU'!$B31="","",MAX($T31-$U31,0))</f>
        <v/>
      </c>
      <c r="W31" s="224">
        <f>IF('DM_NHAN_SU'!$B31="","",'CHAM_CONG_THANG'!T31)</f>
        <v/>
      </c>
      <c r="X31" s="224">
        <f>IF('DM_NHAN_SU'!$B31="","",'CHAM_CONG_THANG'!U31)</f>
        <v/>
      </c>
      <c r="Y31" s="224">
        <f>IF('DM_NHAN_SU'!$B31="","",IF($B31="",0,IF('DM_NHAN_SU'!$Q31&gt;0,'DM_NHAN_SU'!$Q31,IF($G31="Tháng",IF($I31*$J31&gt;0,'DM_NHAN_SU'!$K31/($I31*$J31),0),IF($G31="Ngày",IF($J31&gt;0,'DM_NHAN_SU'!$K31/$J31,0),IF($G31="Giờ",'DM_NHAN_SU'!$K31,0))))))</f>
        <v/>
      </c>
      <c r="Z31" s="224">
        <f>IF('DM_NHAN_SU'!$B31="","",$Y31*($M31*'THAM_SO'!$C$22+'CHAM_CONG_THANG'!$AF31*'THAM_SO'!$C$19+'CHAM_CONG_THANG'!$AG31*'THAM_SO'!$C$20+'CHAM_CONG_THANG'!$AH31*'THAM_SO'!$C$21+'CHAM_CONG_THANG'!$AI31*'THAM_SO'!$C$23+'CHAM_CONG_THANG'!$AJ31*'THAM_SO'!$C$24+'CHAM_CONG_THANG'!$AK31*'THAM_SO'!$C$25))</f>
        <v/>
      </c>
      <c r="AA31" s="224">
        <f>IF('DM_NHAN_SU'!$B31="","",MAX(0,$Y31*($M31*IF('THAM_SO'!$C$22&gt;='THAM_SO'!$B$22,'THAM_SO'!$B$22,0)+'CHAM_CONG_THANG'!$AF31*IF('THAM_SO'!$C$19&gt;='THAM_SO'!$B$19,'THAM_SO'!$B$19,0)+'CHAM_CONG_THANG'!$AG31*IF('THAM_SO'!$C$20&gt;='THAM_SO'!$B$20,'THAM_SO'!$B$20,0)+'CHAM_CONG_THANG'!$AH31*IF('THAM_SO'!$C$21&gt;='THAM_SO'!$B$21,'THAM_SO'!$B$21,0)+'CHAM_CONG_THANG'!$AI31*IF('THAM_SO'!$C$23&gt;='THAM_SO'!$B$23,'THAM_SO'!$B$23,0)+'CHAM_CONG_THANG'!$AJ31*IF('THAM_SO'!$C$24&gt;='THAM_SO'!$B$24,'THAM_SO'!$B$24,0)+'CHAM_CONG_THANG'!$AK31*IF('THAM_SO'!$C$25&gt;='THAM_SO'!$B$25,'THAM_SO'!$B$25,0))-'CHAM_CONG_THANG'!$V31))</f>
        <v/>
      </c>
      <c r="AB31" s="224">
        <f>IF('DM_NHAN_SU'!$B31="","",MAX($Z31-$AA31,0))</f>
        <v/>
      </c>
      <c r="AC31" s="224">
        <f>IF('DM_NHAN_SU'!$B31="","",$O31+$P31+$Q31+$R31+$S31+$V31+$AB31+$BO31+$BP31+$BQ31+$BR31)</f>
        <v/>
      </c>
      <c r="AD31" s="224">
        <f>IF('DM_NHAN_SU'!$B31="","",'DM_NHAN_SU'!N31+'DM_NHAN_SU'!O31+'DM_NHAN_SU'!P31)</f>
        <v/>
      </c>
      <c r="AE31" s="224">
        <f>IF('DM_NHAN_SU'!$B31="","",IF(OR('DM_NHAN_SU'!$R31&lt;&gt;"Có",'CHAM_CONG_THANG'!$AA31="Có",$BL31&gt;=14,$AD31&lt;=0),0,MIN(MAX($AD31,'THAM_SO'!$M$6),'THAM_SO'!$M$7)))</f>
        <v/>
      </c>
      <c r="AF31" s="224">
        <f>IF('DM_NHAN_SU'!$B31="","",IF(OR('DM_NHAN_SU'!$S31&lt;&gt;"Có",'CHAM_CONG_THANG'!$AA31="Có",$BL31&gt;=14,$AD31&lt;=0),0,MIN(MAX($AD31,VLOOKUP($H31,'THAM_SO'!$L$17:$P$20,4,FALSE)),VLOOKUP($H31,'THAM_SO'!$L$17:$P$20,5,FALSE))))</f>
        <v/>
      </c>
      <c r="AG31" s="224">
        <f>IF('DM_NHAN_SU'!$B31="","",$AE31*'THAM_SO'!$M$8)</f>
        <v/>
      </c>
      <c r="AH31" s="224">
        <f>IF('DM_NHAN_SU'!$B31="","",$AE31*'THAM_SO'!$M$9)</f>
        <v/>
      </c>
      <c r="AI31" s="224">
        <f>IF('DM_NHAN_SU'!$B31="","",$AF31*'THAM_SO'!$M$10)</f>
        <v/>
      </c>
      <c r="AJ31" s="224">
        <f>IF('DM_NHAN_SU'!$B31="","",SUM($AG31:$AI31))</f>
        <v/>
      </c>
      <c r="AK31" s="224">
        <f>IF('DM_NHAN_SU'!$B31="","",IF($B31="",0,'THAM_SO'!$F$4))</f>
        <v/>
      </c>
      <c r="AL31" s="224">
        <f>IF('DM_NHAN_SU'!$B31="","",IF($B31="",0,'DM_NHAN_SU'!$T31*'THAM_SO'!$F$5))</f>
        <v/>
      </c>
      <c r="AM31" s="224">
        <f>IF('DM_NHAN_SU'!$B31="","",'CHAM_CONG_THANG'!W31)</f>
        <v/>
      </c>
      <c r="AN31" s="224">
        <f>IF('DM_NHAN_SU'!$B31="","",MAX($AC31-$AK31-$AL31-$AM31,0))</f>
        <v/>
      </c>
      <c r="AO31" s="224">
        <f>IF('DM_NHAN_SU'!$B31="","",IF($B31="","",IF($F31="Net",IF($AC31&lt;=$AK31+$AL31+$AM31,$AC31+$AJ31,$AJ31+$AK31+$AL31+$AM31+IF($AN31&lt;='THAM_SO'!$J$10,($AN31-'THAM_SO'!$I$10)/(1-'THAM_SO'!$H$10),IF($AN31&lt;='THAM_SO'!$J$11,($AN31-'THAM_SO'!$I$11)/(1-'THAM_SO'!$H$11),IF($AN31&lt;='THAM_SO'!$J$12,($AN31-'THAM_SO'!$I$12)/(1-'THAM_SO'!$H$12),IF($AN31&lt;='THAM_SO'!$J$13,($AN31-'THAM_SO'!$I$13)/(1-'THAM_SO'!$H$13),($AN31-'THAM_SO'!$I$14)/(1-'THAM_SO'!$H$14)))))),$AC31)))</f>
        <v/>
      </c>
      <c r="AP31" s="224">
        <f>IF('DM_NHAN_SU'!$B31="","",$U31+$W31+$X31+$AA31+$BS31)</f>
        <v/>
      </c>
      <c r="AQ31" s="224">
        <f>IF('DM_NHAN_SU'!$B31="","",MAX($AO31-$AJ31-$AK31-$AL31-$AM31,0))</f>
        <v/>
      </c>
      <c r="AR31" s="224">
        <f>IF('DM_NHAN_SU'!$B31="","",IF($AQ31&lt;=0,0,$AQ31*VLOOKUP($AQ31,'THAM_SO'!$F$10:$I$14,3,TRUE)-VLOOKUP($AQ31,'THAM_SO'!$F$10:$I$14,4,TRUE)))</f>
        <v/>
      </c>
      <c r="AS31" s="224">
        <f>IF('DM_NHAN_SU'!$B31="","",$AO31+$AP31)</f>
        <v/>
      </c>
      <c r="AT31" s="224">
        <f>IF('DM_NHAN_SU'!$B31="","",$AS31-$AJ31-$AR31)</f>
        <v/>
      </c>
      <c r="AU31" s="224">
        <f>IF('DM_NHAN_SU'!$B31="","",'CHAM_CONG_THANG'!X31)</f>
        <v/>
      </c>
      <c r="AV31" s="224">
        <f>IF('DM_NHAN_SU'!$B31="","",'CHAM_CONG_THANG'!Y31+'QT_NGHI_VIEC'!AD31)</f>
        <v/>
      </c>
      <c r="AW31" s="224">
        <f>IF('DM_NHAN_SU'!$B31="","",'CHAM_CONG_THANG'!Z31)</f>
        <v/>
      </c>
      <c r="AX31" s="224">
        <f>IF('DM_NHAN_SU'!$B31="","",$AT31-$AU31-$AV31-$AW31-$BV31)</f>
        <v/>
      </c>
      <c r="AY31" s="224">
        <f>IF('DM_NHAN_SU'!$B31="","",$AE31*'THAM_SO'!$M$11)</f>
        <v/>
      </c>
      <c r="AZ31" s="224">
        <f>IF('DM_NHAN_SU'!$B31="","",$AE31*'THAM_SO'!$M$12)</f>
        <v/>
      </c>
      <c r="BA31" s="224">
        <f>IF('DM_NHAN_SU'!$B31="","",$AF31*'THAM_SO'!$M$13)</f>
        <v/>
      </c>
      <c r="BB31" s="224">
        <f>IF('DM_NHAN_SU'!$B31="","",$AE31*'THAM_SO'!$M$14)</f>
        <v/>
      </c>
      <c r="BC31" s="224">
        <f>IF('DM_NHAN_SU'!$B31="","",SUM($AY31:$BB31))</f>
        <v/>
      </c>
      <c r="BD31" s="224">
        <f>IF('DM_NHAN_SU'!$B31="","",$AS31+$BC31)</f>
        <v/>
      </c>
      <c r="BE31" s="224">
        <f>IF('DM_NHAN_SU'!$B31="","",VLOOKUP($H31,'THAM_SO'!$L$17:$P$20,2,FALSE))</f>
        <v/>
      </c>
      <c r="BF31" s="224">
        <f>IF('DM_NHAN_SU'!$B31="","",VLOOKUP($H31,'THAM_SO'!$L$17:$P$20,3,FALSE))</f>
        <v/>
      </c>
      <c r="BG31" s="150">
        <f>IF('DM_NHAN_SU'!$B31="","",IF($B31="","",IF(COUNTIF('DM_NHAN_SU'!$B$6:$B$155,$B31)&gt;1,"Trùng mã NV; ","")&amp;IF(OR($F31="",$G31=""),"Thiếu loại/hình thức lương; ","")&amp;IF('CHAM_CONG_THANG'!$D31="","Chưa chọn nguồn công; ","")&amp;IF(AND('CHAM_CONG_THANG'!$D31="Theo ngày",COUNTIF('CHAM_CONG_NGAY'!$B$6:$B$4655,$B31)=0),"Chưa có chấm công ngày; ","")&amp;IF(OR($I31&lt;=0,$J31&lt;=0),"Thiếu công/giờ chuẩn; ","")&amp;IF(AND($G31="Tháng",'DM_NHAN_SU'!$K31&lt;$BE31),"Lương tháng dưới tối thiểu vùng; ","")&amp;IF(AND($G31="Ngày",'DM_NHAN_SU'!$K31/$J31&lt;$BF31),"Lương ngày quy đổi dưới tối thiểu giờ; ","")&amp;IF(AND($G31="Giờ",'DM_NHAN_SU'!$K31&lt;$BF31),"Lương giờ dưới tối thiểu vùng; ","")&amp;IF(AND($G31="Sản phẩm",$L31&gt;0,$O31/$L31&lt;$BF31),"Lương SP quy đổi dưới tối thiểu giờ; ","")&amp;IF(OR('THAM_SO'!$C$19&lt;'THAM_SO'!$B$19,'THAM_SO'!$C$20&lt;'THAM_SO'!$B$20,'THAM_SO'!$C$21&lt;'THAM_SO'!$B$21,'THAM_SO'!$C$22&lt;'THAM_SO'!$B$22,'THAM_SO'!$C$23&lt;'THAM_SO'!$B$23,'THAM_SO'!$C$24&lt;'THAM_SO'!$B$24,'THAM_SO'!$C$25&lt;'THAM_SO'!$B$25),"Hệ số OT/đêm DN thấp hơn luật; ","")&amp;IF(AND('DM_NHAN_SU'!$R31="Có",$AD31&lt;=0),"Thiếu căn cứ đóng BH; ","")&amp;IF(AND($AD31&gt;0,$AD31&lt;'THAM_SO'!$M$6),"Căn cứ BH dưới sàn – đã nâng sàn; ","")&amp;IF($AD31&gt;'THAM_SO'!$M$7,"Căn cứ BH vượt trần – đã giới hạn; ","")&amp;IF(AND($F31="Net",SUM('CHAM_CONG_THANG'!$AF31:$AK31)&gt;0,'DM_NHAN_SU'!$Q31&lt;=0),"Net có OT nhưng chưa khai lương giờ OT; ","")&amp;IF('CHAM_CONG_THANG'!$V31&gt;$Z31,"Phần OT không miễn lớn hơn tiền OT; ","")&amp;IF(AND($F31="Net",ABS($AT31-$AC31-$AP31)&gt;1),"Lệch quy đổi Net; ","")&amp;IF(AND($BH31&gt;0,'DM_NHAN_SU'!$AD31=""),"Có phép năm nhưng đang tạm dùng 12 ngày; ","")&amp;IF(AND($G31="Sản phẩm",SUM($BH31:$BJ31)&gt;0,'DM_NHAN_SU'!$AH31&lt;=0),"Lương sản phẩm thiếu đơn giá ngày phép/lễ; ","")&amp;IF(AND($BL31&gt;=14,'CHAM_CONG_THANG'!$AA31&lt;&gt;"Có"),"Thai sản từ 14 ngày: file tự dừng đóng BH – kiểm tra hồ sơ; ","")&amp;IF(AND('DM_NHAN_SU'!$AA31="Có",'DM_NHAN_SU'!$AB31=""),"Đoàn viên chưa chọn cách tính đoàn phí; ","")&amp;IF(AND('DM_NHAN_SU'!$AB31="Nhập tay",'DM_NHAN_SU'!$AC31&gt;'THAM_SO'!$M$26),"Đoàn phí nhập tay vượt trần thông dụng; ","")&amp;IF('NGHI_PHEP'!$L31&lt;&gt;"","Phép: "&amp;'NGHI_PHEP'!$L31,"")&amp;IF('CHE_DO_BHXH'!$AA31&lt;&gt;"","BHXH: "&amp;'CHE_DO_BHXH'!$AA31,"")&amp;IF('THUONG_T13_TET'!$O31&lt;&gt;"","Thưởng: "&amp;'THUONG_T13_TET'!$O31,"")&amp;IF('QT_NGHI_VIEC'!$AF31&lt;&gt;"","Nghỉ việc: "&amp;'QT_NGHI_VIEC'!$AF31,"")&amp;IF($AX31&lt;0,"Thực lĩnh âm; ","")&amp;IF(OR('DM_NHAN_SU'!$F31&gt;'THAM_SO'!$B$7,AND('DM_NHAN_SU'!$G31&lt;&gt;"",'DM_NHAN_SU'!$G31&lt;'THAM_SO'!$B$6)),"Ngoài kỳ trả lương; ","")))</f>
        <v/>
      </c>
      <c r="BH31" s="232">
        <f>IF('DM_NHAN_SU'!$B31="","",'CHAM_CONG_THANG'!AR31)</f>
        <v/>
      </c>
      <c r="BI31" s="232">
        <f>IF('DM_NHAN_SU'!$B31="","",'CHAM_CONG_THANG'!AS31)</f>
        <v/>
      </c>
      <c r="BJ31" s="232">
        <f>IF('DM_NHAN_SU'!$B31="","",'CHAM_CONG_THANG'!AT31)</f>
        <v/>
      </c>
      <c r="BK31" s="232">
        <f>IF('DM_NHAN_SU'!$B31="","",'CHAM_CONG_THANG'!AU31)</f>
        <v/>
      </c>
      <c r="BL31" s="232">
        <f>IF('DM_NHAN_SU'!$B31="","",'CHAM_CONG_THANG'!AV31)</f>
        <v/>
      </c>
      <c r="BM31" s="232">
        <f>IF('DM_NHAN_SU'!$B31="","",'CHAM_CONG_THANG'!AW31)</f>
        <v/>
      </c>
      <c r="BN31" s="232">
        <f>IF('DM_NHAN_SU'!$B31="","",SUM($K31,$BH31:$BJ31))</f>
        <v/>
      </c>
      <c r="BO31" s="224">
        <f>IF('DM_NHAN_SU'!$B31="","",IF($B31="",0,IF($G31="Tháng",IF($I31&gt;0,'DM_NHAN_SU'!$K31*MIN($BH31+$BJ31,MAX($I31-$K31,0))/$I31,0),IF($G31="Ngày",'DM_NHAN_SU'!$K31*SUM($BH31:$BJ31),IF($G31="Giờ",'DM_NHAN_SU'!$K31*SUM($BH31:$BJ31)*$J31,IF($G31="Sản phẩm",'DM_NHAN_SU'!$AH31*SUM($BH31:$BJ31),0))))))</f>
        <v/>
      </c>
      <c r="BP31" s="224">
        <f>IF('DM_NHAN_SU'!$B31="","",IF('THUONG_T13_TET'!$L31="Có",'THUONG_T13_TET'!$I31,0))</f>
        <v/>
      </c>
      <c r="BQ31" s="224">
        <f>IF('DM_NHAN_SU'!$B31="","",IF('THUONG_T13_TET'!$L31="Có",SUM('THUONG_T13_TET'!$J31:$K31),0))</f>
        <v/>
      </c>
      <c r="BR31" s="224">
        <f>IF('DM_NHAN_SU'!$B31="","",'QT_NGHI_VIEC'!AC31)</f>
        <v/>
      </c>
      <c r="BS31" s="224">
        <f>IF('DM_NHAN_SU'!$B31="","",'QT_NGHI_VIEC'!AB31)</f>
        <v/>
      </c>
      <c r="BT31" s="224">
        <f>IF('DM_NHAN_SU'!$B31="","",IF('CHE_DO_BHXH'!$Z31="Có",'CHE_DO_BHXH'!$W31,0))</f>
        <v/>
      </c>
      <c r="BU31" s="224">
        <f>IF('DM_NHAN_SU'!$B31="","",IF('CHE_DO_BHXH'!$Y31="DN trả thay",$BT31,0))</f>
        <v/>
      </c>
      <c r="BV31" s="224">
        <f>IF('DM_NHAN_SU'!$B31="","",IF(OR('DM_NHAN_SU'!$AA31&lt;&gt;"Có",'CHE_DO_BHXH'!$O31&gt;=1,SUM('CHE_DO_BHXH'!$D31,'CHE_DO_BHXH'!$G31,'CHE_DO_BHXH'!$K31)&gt;=24,AND($I31&gt;0,$BM31&gt;=$I31)),0,IF('DM_NHAN_SU'!$AB31="Không",0,IF('DM_NHAN_SU'!$AB31="Nhập tay",'DM_NHAN_SU'!$AC31,IF('DM_NHAN_SU'!$AB31="Theo thực nhận",MIN(MAX($AT31-$AU31-$AV31-$AW31,0)*'THAM_SO'!$M$23,'THAM_SO'!$M$26),MIN($AE31*'THAM_SO'!$M$23,'THAM_SO'!$M$26))))))</f>
        <v/>
      </c>
      <c r="BW31" s="224">
        <f>IF('DM_NHAN_SU'!$B31="","",$AX31+$BU31)</f>
        <v/>
      </c>
    </row>
    <row r="32">
      <c r="A32" s="145">
        <f>IF('DM_NHAN_SU'!$B32="","",IF($B32="","",ROW()-5))</f>
        <v/>
      </c>
      <c r="B32" s="145">
        <f>IF('DM_NHAN_SU'!$B32="","",'DM_NHAN_SU'!B32)</f>
        <v/>
      </c>
      <c r="C32" s="145">
        <f>IF('DM_NHAN_SU'!$B32="","",'DM_NHAN_SU'!C32)</f>
        <v/>
      </c>
      <c r="D32" s="145">
        <f>IF('DM_NHAN_SU'!$B32="","",'DM_NHAN_SU'!D32)</f>
        <v/>
      </c>
      <c r="E32" s="145">
        <f>IF('DM_NHAN_SU'!$B32="","",'DM_NHAN_SU'!E32)</f>
        <v/>
      </c>
      <c r="F32" s="145">
        <f>IF('DM_NHAN_SU'!$B32="","",'DM_NHAN_SU'!I32)</f>
        <v/>
      </c>
      <c r="G32" s="145">
        <f>IF('DM_NHAN_SU'!$B32="","",'DM_NHAN_SU'!J32)</f>
        <v/>
      </c>
      <c r="H32" s="145">
        <f>IF('DM_NHAN_SU'!$B32="","",IF('DM_NHAN_SU'!H32="",'THAM_SO'!$B$11,'DM_NHAN_SU'!H32))</f>
        <v/>
      </c>
      <c r="I32" s="232">
        <f>IF('DM_NHAN_SU'!$B32="","",IF('DM_NHAN_SU'!L32&gt;0,'DM_NHAN_SU'!L32,'THAM_SO'!$B$9))</f>
        <v/>
      </c>
      <c r="J32" s="232">
        <f>IF('DM_NHAN_SU'!$B32="","",IF('DM_NHAN_SU'!M32&gt;0,'DM_NHAN_SU'!M32,'THAM_SO'!$B$10))</f>
        <v/>
      </c>
      <c r="K32" s="232">
        <f>IF('DM_NHAN_SU'!$B32="","",'CHAM_CONG_THANG'!AC32)</f>
        <v/>
      </c>
      <c r="L32" s="232">
        <f>IF('DM_NHAN_SU'!$B32="","",'CHAM_CONG_THANG'!AD32)</f>
        <v/>
      </c>
      <c r="M32" s="232">
        <f>IF('DM_NHAN_SU'!$B32="","",'CHAM_CONG_THANG'!AE32)</f>
        <v/>
      </c>
      <c r="N32" s="232">
        <f>IF('DM_NHAN_SU'!$B32="","",'CHAM_CONG_THANG'!N32)</f>
        <v/>
      </c>
      <c r="O32" s="224">
        <f>IF('DM_NHAN_SU'!$B32="","",IF($B32="","",IF($G32="Tháng",IF($I32&gt;0,'DM_NHAN_SU'!$K32*MIN($K32,$I32)/$I32,0),IF($G32="Ngày",'DM_NHAN_SU'!$K32*$K32,IF($G32="Giờ",'DM_NHAN_SU'!$K32*$L32,IF($G32="Sản phẩm",'DM_NHAN_SU'!$K32*$N32,0))))))</f>
        <v/>
      </c>
      <c r="P32" s="224">
        <f>IF('DM_NHAN_SU'!$B32="","",'CHAM_CONG_THANG'!O32)</f>
        <v/>
      </c>
      <c r="Q32" s="224">
        <f>IF('DM_NHAN_SU'!$B32="","",'CHAM_CONG_THANG'!P32)</f>
        <v/>
      </c>
      <c r="R32" s="224">
        <f>IF('DM_NHAN_SU'!$B32="","",'CHAM_CONG_THANG'!Q32)</f>
        <v/>
      </c>
      <c r="S32" s="224">
        <f>IF('DM_NHAN_SU'!$B32="","",'CHAM_CONG_THANG'!R32)</f>
        <v/>
      </c>
      <c r="T32" s="224">
        <f>IF('DM_NHAN_SU'!$B32="","",'CHAM_CONG_THANG'!S32)</f>
        <v/>
      </c>
      <c r="U32" s="224">
        <f>IF('DM_NHAN_SU'!$B32="","",MIN($T32,'THAM_SO'!$F$6))</f>
        <v/>
      </c>
      <c r="V32" s="224">
        <f>IF('DM_NHAN_SU'!$B32="","",MAX($T32-$U32,0))</f>
        <v/>
      </c>
      <c r="W32" s="224">
        <f>IF('DM_NHAN_SU'!$B32="","",'CHAM_CONG_THANG'!T32)</f>
        <v/>
      </c>
      <c r="X32" s="224">
        <f>IF('DM_NHAN_SU'!$B32="","",'CHAM_CONG_THANG'!U32)</f>
        <v/>
      </c>
      <c r="Y32" s="224">
        <f>IF('DM_NHAN_SU'!$B32="","",IF($B32="",0,IF('DM_NHAN_SU'!$Q32&gt;0,'DM_NHAN_SU'!$Q32,IF($G32="Tháng",IF($I32*$J32&gt;0,'DM_NHAN_SU'!$K32/($I32*$J32),0),IF($G32="Ngày",IF($J32&gt;0,'DM_NHAN_SU'!$K32/$J32,0),IF($G32="Giờ",'DM_NHAN_SU'!$K32,0))))))</f>
        <v/>
      </c>
      <c r="Z32" s="224">
        <f>IF('DM_NHAN_SU'!$B32="","",$Y32*($M32*'THAM_SO'!$C$22+'CHAM_CONG_THANG'!$AF32*'THAM_SO'!$C$19+'CHAM_CONG_THANG'!$AG32*'THAM_SO'!$C$20+'CHAM_CONG_THANG'!$AH32*'THAM_SO'!$C$21+'CHAM_CONG_THANG'!$AI32*'THAM_SO'!$C$23+'CHAM_CONG_THANG'!$AJ32*'THAM_SO'!$C$24+'CHAM_CONG_THANG'!$AK32*'THAM_SO'!$C$25))</f>
        <v/>
      </c>
      <c r="AA32" s="224">
        <f>IF('DM_NHAN_SU'!$B32="","",MAX(0,$Y32*($M32*IF('THAM_SO'!$C$22&gt;='THAM_SO'!$B$22,'THAM_SO'!$B$22,0)+'CHAM_CONG_THANG'!$AF32*IF('THAM_SO'!$C$19&gt;='THAM_SO'!$B$19,'THAM_SO'!$B$19,0)+'CHAM_CONG_THANG'!$AG32*IF('THAM_SO'!$C$20&gt;='THAM_SO'!$B$20,'THAM_SO'!$B$20,0)+'CHAM_CONG_THANG'!$AH32*IF('THAM_SO'!$C$21&gt;='THAM_SO'!$B$21,'THAM_SO'!$B$21,0)+'CHAM_CONG_THANG'!$AI32*IF('THAM_SO'!$C$23&gt;='THAM_SO'!$B$23,'THAM_SO'!$B$23,0)+'CHAM_CONG_THANG'!$AJ32*IF('THAM_SO'!$C$24&gt;='THAM_SO'!$B$24,'THAM_SO'!$B$24,0)+'CHAM_CONG_THANG'!$AK32*IF('THAM_SO'!$C$25&gt;='THAM_SO'!$B$25,'THAM_SO'!$B$25,0))-'CHAM_CONG_THANG'!$V32))</f>
        <v/>
      </c>
      <c r="AB32" s="224">
        <f>IF('DM_NHAN_SU'!$B32="","",MAX($Z32-$AA32,0))</f>
        <v/>
      </c>
      <c r="AC32" s="224">
        <f>IF('DM_NHAN_SU'!$B32="","",$O32+$P32+$Q32+$R32+$S32+$V32+$AB32+$BO32+$BP32+$BQ32+$BR32)</f>
        <v/>
      </c>
      <c r="AD32" s="224">
        <f>IF('DM_NHAN_SU'!$B32="","",'DM_NHAN_SU'!N32+'DM_NHAN_SU'!O32+'DM_NHAN_SU'!P32)</f>
        <v/>
      </c>
      <c r="AE32" s="224">
        <f>IF('DM_NHAN_SU'!$B32="","",IF(OR('DM_NHAN_SU'!$R32&lt;&gt;"Có",'CHAM_CONG_THANG'!$AA32="Có",$BL32&gt;=14,$AD32&lt;=0),0,MIN(MAX($AD32,'THAM_SO'!$M$6),'THAM_SO'!$M$7)))</f>
        <v/>
      </c>
      <c r="AF32" s="224">
        <f>IF('DM_NHAN_SU'!$B32="","",IF(OR('DM_NHAN_SU'!$S32&lt;&gt;"Có",'CHAM_CONG_THANG'!$AA32="Có",$BL32&gt;=14,$AD32&lt;=0),0,MIN(MAX($AD32,VLOOKUP($H32,'THAM_SO'!$L$17:$P$20,4,FALSE)),VLOOKUP($H32,'THAM_SO'!$L$17:$P$20,5,FALSE))))</f>
        <v/>
      </c>
      <c r="AG32" s="224">
        <f>IF('DM_NHAN_SU'!$B32="","",$AE32*'THAM_SO'!$M$8)</f>
        <v/>
      </c>
      <c r="AH32" s="224">
        <f>IF('DM_NHAN_SU'!$B32="","",$AE32*'THAM_SO'!$M$9)</f>
        <v/>
      </c>
      <c r="AI32" s="224">
        <f>IF('DM_NHAN_SU'!$B32="","",$AF32*'THAM_SO'!$M$10)</f>
        <v/>
      </c>
      <c r="AJ32" s="224">
        <f>IF('DM_NHAN_SU'!$B32="","",SUM($AG32:$AI32))</f>
        <v/>
      </c>
      <c r="AK32" s="224">
        <f>IF('DM_NHAN_SU'!$B32="","",IF($B32="",0,'THAM_SO'!$F$4))</f>
        <v/>
      </c>
      <c r="AL32" s="224">
        <f>IF('DM_NHAN_SU'!$B32="","",IF($B32="",0,'DM_NHAN_SU'!$T32*'THAM_SO'!$F$5))</f>
        <v/>
      </c>
      <c r="AM32" s="224">
        <f>IF('DM_NHAN_SU'!$B32="","",'CHAM_CONG_THANG'!W32)</f>
        <v/>
      </c>
      <c r="AN32" s="224">
        <f>IF('DM_NHAN_SU'!$B32="","",MAX($AC32-$AK32-$AL32-$AM32,0))</f>
        <v/>
      </c>
      <c r="AO32" s="224">
        <f>IF('DM_NHAN_SU'!$B32="","",IF($B32="","",IF($F32="Net",IF($AC32&lt;=$AK32+$AL32+$AM32,$AC32+$AJ32,$AJ32+$AK32+$AL32+$AM32+IF($AN32&lt;='THAM_SO'!$J$10,($AN32-'THAM_SO'!$I$10)/(1-'THAM_SO'!$H$10),IF($AN32&lt;='THAM_SO'!$J$11,($AN32-'THAM_SO'!$I$11)/(1-'THAM_SO'!$H$11),IF($AN32&lt;='THAM_SO'!$J$12,($AN32-'THAM_SO'!$I$12)/(1-'THAM_SO'!$H$12),IF($AN32&lt;='THAM_SO'!$J$13,($AN32-'THAM_SO'!$I$13)/(1-'THAM_SO'!$H$13),($AN32-'THAM_SO'!$I$14)/(1-'THAM_SO'!$H$14)))))),$AC32)))</f>
        <v/>
      </c>
      <c r="AP32" s="224">
        <f>IF('DM_NHAN_SU'!$B32="","",$U32+$W32+$X32+$AA32+$BS32)</f>
        <v/>
      </c>
      <c r="AQ32" s="224">
        <f>IF('DM_NHAN_SU'!$B32="","",MAX($AO32-$AJ32-$AK32-$AL32-$AM32,0))</f>
        <v/>
      </c>
      <c r="AR32" s="224">
        <f>IF('DM_NHAN_SU'!$B32="","",IF($AQ32&lt;=0,0,$AQ32*VLOOKUP($AQ32,'THAM_SO'!$F$10:$I$14,3,TRUE)-VLOOKUP($AQ32,'THAM_SO'!$F$10:$I$14,4,TRUE)))</f>
        <v/>
      </c>
      <c r="AS32" s="224">
        <f>IF('DM_NHAN_SU'!$B32="","",$AO32+$AP32)</f>
        <v/>
      </c>
      <c r="AT32" s="224">
        <f>IF('DM_NHAN_SU'!$B32="","",$AS32-$AJ32-$AR32)</f>
        <v/>
      </c>
      <c r="AU32" s="224">
        <f>IF('DM_NHAN_SU'!$B32="","",'CHAM_CONG_THANG'!X32)</f>
        <v/>
      </c>
      <c r="AV32" s="224">
        <f>IF('DM_NHAN_SU'!$B32="","",'CHAM_CONG_THANG'!Y32+'QT_NGHI_VIEC'!AD32)</f>
        <v/>
      </c>
      <c r="AW32" s="224">
        <f>IF('DM_NHAN_SU'!$B32="","",'CHAM_CONG_THANG'!Z32)</f>
        <v/>
      </c>
      <c r="AX32" s="224">
        <f>IF('DM_NHAN_SU'!$B32="","",$AT32-$AU32-$AV32-$AW32-$BV32)</f>
        <v/>
      </c>
      <c r="AY32" s="224">
        <f>IF('DM_NHAN_SU'!$B32="","",$AE32*'THAM_SO'!$M$11)</f>
        <v/>
      </c>
      <c r="AZ32" s="224">
        <f>IF('DM_NHAN_SU'!$B32="","",$AE32*'THAM_SO'!$M$12)</f>
        <v/>
      </c>
      <c r="BA32" s="224">
        <f>IF('DM_NHAN_SU'!$B32="","",$AF32*'THAM_SO'!$M$13)</f>
        <v/>
      </c>
      <c r="BB32" s="224">
        <f>IF('DM_NHAN_SU'!$B32="","",$AE32*'THAM_SO'!$M$14)</f>
        <v/>
      </c>
      <c r="BC32" s="224">
        <f>IF('DM_NHAN_SU'!$B32="","",SUM($AY32:$BB32))</f>
        <v/>
      </c>
      <c r="BD32" s="224">
        <f>IF('DM_NHAN_SU'!$B32="","",$AS32+$BC32)</f>
        <v/>
      </c>
      <c r="BE32" s="224">
        <f>IF('DM_NHAN_SU'!$B32="","",VLOOKUP($H32,'THAM_SO'!$L$17:$P$20,2,FALSE))</f>
        <v/>
      </c>
      <c r="BF32" s="224">
        <f>IF('DM_NHAN_SU'!$B32="","",VLOOKUP($H32,'THAM_SO'!$L$17:$P$20,3,FALSE))</f>
        <v/>
      </c>
      <c r="BG32" s="150">
        <f>IF('DM_NHAN_SU'!$B32="","",IF($B32="","",IF(COUNTIF('DM_NHAN_SU'!$B$6:$B$155,$B32)&gt;1,"Trùng mã NV; ","")&amp;IF(OR($F32="",$G32=""),"Thiếu loại/hình thức lương; ","")&amp;IF('CHAM_CONG_THANG'!$D32="","Chưa chọn nguồn công; ","")&amp;IF(AND('CHAM_CONG_THANG'!$D32="Theo ngày",COUNTIF('CHAM_CONG_NGAY'!$B$6:$B$4655,$B32)=0),"Chưa có chấm công ngày; ","")&amp;IF(OR($I32&lt;=0,$J32&lt;=0),"Thiếu công/giờ chuẩn; ","")&amp;IF(AND($G32="Tháng",'DM_NHAN_SU'!$K32&lt;$BE32),"Lương tháng dưới tối thiểu vùng; ","")&amp;IF(AND($G32="Ngày",'DM_NHAN_SU'!$K32/$J32&lt;$BF32),"Lương ngày quy đổi dưới tối thiểu giờ; ","")&amp;IF(AND($G32="Giờ",'DM_NHAN_SU'!$K32&lt;$BF32),"Lương giờ dưới tối thiểu vùng; ","")&amp;IF(AND($G32="Sản phẩm",$L32&gt;0,$O32/$L32&lt;$BF32),"Lương SP quy đổi dưới tối thiểu giờ; ","")&amp;IF(OR('THAM_SO'!$C$19&lt;'THAM_SO'!$B$19,'THAM_SO'!$C$20&lt;'THAM_SO'!$B$20,'THAM_SO'!$C$21&lt;'THAM_SO'!$B$21,'THAM_SO'!$C$22&lt;'THAM_SO'!$B$22,'THAM_SO'!$C$23&lt;'THAM_SO'!$B$23,'THAM_SO'!$C$24&lt;'THAM_SO'!$B$24,'THAM_SO'!$C$25&lt;'THAM_SO'!$B$25),"Hệ số OT/đêm DN thấp hơn luật; ","")&amp;IF(AND('DM_NHAN_SU'!$R32="Có",$AD32&lt;=0),"Thiếu căn cứ đóng BH; ","")&amp;IF(AND($AD32&gt;0,$AD32&lt;'THAM_SO'!$M$6),"Căn cứ BH dưới sàn – đã nâng sàn; ","")&amp;IF($AD32&gt;'THAM_SO'!$M$7,"Căn cứ BH vượt trần – đã giới hạn; ","")&amp;IF(AND($F32="Net",SUM('CHAM_CONG_THANG'!$AF32:$AK32)&gt;0,'DM_NHAN_SU'!$Q32&lt;=0),"Net có OT nhưng chưa khai lương giờ OT; ","")&amp;IF('CHAM_CONG_THANG'!$V32&gt;$Z32,"Phần OT không miễn lớn hơn tiền OT; ","")&amp;IF(AND($F32="Net",ABS($AT32-$AC32-$AP32)&gt;1),"Lệch quy đổi Net; ","")&amp;IF(AND($BH32&gt;0,'DM_NHAN_SU'!$AD32=""),"Có phép năm nhưng đang tạm dùng 12 ngày; ","")&amp;IF(AND($G32="Sản phẩm",SUM($BH32:$BJ32)&gt;0,'DM_NHAN_SU'!$AH32&lt;=0),"Lương sản phẩm thiếu đơn giá ngày phép/lễ; ","")&amp;IF(AND($BL32&gt;=14,'CHAM_CONG_THANG'!$AA32&lt;&gt;"Có"),"Thai sản từ 14 ngày: file tự dừng đóng BH – kiểm tra hồ sơ; ","")&amp;IF(AND('DM_NHAN_SU'!$AA32="Có",'DM_NHAN_SU'!$AB32=""),"Đoàn viên chưa chọn cách tính đoàn phí; ","")&amp;IF(AND('DM_NHAN_SU'!$AB32="Nhập tay",'DM_NHAN_SU'!$AC32&gt;'THAM_SO'!$M$26),"Đoàn phí nhập tay vượt trần thông dụng; ","")&amp;IF('NGHI_PHEP'!$L32&lt;&gt;"","Phép: "&amp;'NGHI_PHEP'!$L32,"")&amp;IF('CHE_DO_BHXH'!$AA32&lt;&gt;"","BHXH: "&amp;'CHE_DO_BHXH'!$AA32,"")&amp;IF('THUONG_T13_TET'!$O32&lt;&gt;"","Thưởng: "&amp;'THUONG_T13_TET'!$O32,"")&amp;IF('QT_NGHI_VIEC'!$AF32&lt;&gt;"","Nghỉ việc: "&amp;'QT_NGHI_VIEC'!$AF32,"")&amp;IF($AX32&lt;0,"Thực lĩnh âm; ","")&amp;IF(OR('DM_NHAN_SU'!$F32&gt;'THAM_SO'!$B$7,AND('DM_NHAN_SU'!$G32&lt;&gt;"",'DM_NHAN_SU'!$G32&lt;'THAM_SO'!$B$6)),"Ngoài kỳ trả lương; ","")))</f>
        <v/>
      </c>
      <c r="BH32" s="232">
        <f>IF('DM_NHAN_SU'!$B32="","",'CHAM_CONG_THANG'!AR32)</f>
        <v/>
      </c>
      <c r="BI32" s="232">
        <f>IF('DM_NHAN_SU'!$B32="","",'CHAM_CONG_THANG'!AS32)</f>
        <v/>
      </c>
      <c r="BJ32" s="232">
        <f>IF('DM_NHAN_SU'!$B32="","",'CHAM_CONG_THANG'!AT32)</f>
        <v/>
      </c>
      <c r="BK32" s="232">
        <f>IF('DM_NHAN_SU'!$B32="","",'CHAM_CONG_THANG'!AU32)</f>
        <v/>
      </c>
      <c r="BL32" s="232">
        <f>IF('DM_NHAN_SU'!$B32="","",'CHAM_CONG_THANG'!AV32)</f>
        <v/>
      </c>
      <c r="BM32" s="232">
        <f>IF('DM_NHAN_SU'!$B32="","",'CHAM_CONG_THANG'!AW32)</f>
        <v/>
      </c>
      <c r="BN32" s="232">
        <f>IF('DM_NHAN_SU'!$B32="","",SUM($K32,$BH32:$BJ32))</f>
        <v/>
      </c>
      <c r="BO32" s="224">
        <f>IF('DM_NHAN_SU'!$B32="","",IF($B32="",0,IF($G32="Tháng",IF($I32&gt;0,'DM_NHAN_SU'!$K32*MIN($BH32+$BJ32,MAX($I32-$K32,0))/$I32,0),IF($G32="Ngày",'DM_NHAN_SU'!$K32*SUM($BH32:$BJ32),IF($G32="Giờ",'DM_NHAN_SU'!$K32*SUM($BH32:$BJ32)*$J32,IF($G32="Sản phẩm",'DM_NHAN_SU'!$AH32*SUM($BH32:$BJ32),0))))))</f>
        <v/>
      </c>
      <c r="BP32" s="224">
        <f>IF('DM_NHAN_SU'!$B32="","",IF('THUONG_T13_TET'!$L32="Có",'THUONG_T13_TET'!$I32,0))</f>
        <v/>
      </c>
      <c r="BQ32" s="224">
        <f>IF('DM_NHAN_SU'!$B32="","",IF('THUONG_T13_TET'!$L32="Có",SUM('THUONG_T13_TET'!$J32:$K32),0))</f>
        <v/>
      </c>
      <c r="BR32" s="224">
        <f>IF('DM_NHAN_SU'!$B32="","",'QT_NGHI_VIEC'!AC32)</f>
        <v/>
      </c>
      <c r="BS32" s="224">
        <f>IF('DM_NHAN_SU'!$B32="","",'QT_NGHI_VIEC'!AB32)</f>
        <v/>
      </c>
      <c r="BT32" s="224">
        <f>IF('DM_NHAN_SU'!$B32="","",IF('CHE_DO_BHXH'!$Z32="Có",'CHE_DO_BHXH'!$W32,0))</f>
        <v/>
      </c>
      <c r="BU32" s="224">
        <f>IF('DM_NHAN_SU'!$B32="","",IF('CHE_DO_BHXH'!$Y32="DN trả thay",$BT32,0))</f>
        <v/>
      </c>
      <c r="BV32" s="224">
        <f>IF('DM_NHAN_SU'!$B32="","",IF(OR('DM_NHAN_SU'!$AA32&lt;&gt;"Có",'CHE_DO_BHXH'!$O32&gt;=1,SUM('CHE_DO_BHXH'!$D32,'CHE_DO_BHXH'!$G32,'CHE_DO_BHXH'!$K32)&gt;=24,AND($I32&gt;0,$BM32&gt;=$I32)),0,IF('DM_NHAN_SU'!$AB32="Không",0,IF('DM_NHAN_SU'!$AB32="Nhập tay",'DM_NHAN_SU'!$AC32,IF('DM_NHAN_SU'!$AB32="Theo thực nhận",MIN(MAX($AT32-$AU32-$AV32-$AW32,0)*'THAM_SO'!$M$23,'THAM_SO'!$M$26),MIN($AE32*'THAM_SO'!$M$23,'THAM_SO'!$M$26))))))</f>
        <v/>
      </c>
      <c r="BW32" s="224">
        <f>IF('DM_NHAN_SU'!$B32="","",$AX32+$BU32)</f>
        <v/>
      </c>
    </row>
    <row r="33">
      <c r="A33" s="145">
        <f>IF('DM_NHAN_SU'!$B33="","",IF($B33="","",ROW()-5))</f>
        <v/>
      </c>
      <c r="B33" s="145">
        <f>IF('DM_NHAN_SU'!$B33="","",'DM_NHAN_SU'!B33)</f>
        <v/>
      </c>
      <c r="C33" s="145">
        <f>IF('DM_NHAN_SU'!$B33="","",'DM_NHAN_SU'!C33)</f>
        <v/>
      </c>
      <c r="D33" s="145">
        <f>IF('DM_NHAN_SU'!$B33="","",'DM_NHAN_SU'!D33)</f>
        <v/>
      </c>
      <c r="E33" s="145">
        <f>IF('DM_NHAN_SU'!$B33="","",'DM_NHAN_SU'!E33)</f>
        <v/>
      </c>
      <c r="F33" s="145">
        <f>IF('DM_NHAN_SU'!$B33="","",'DM_NHAN_SU'!I33)</f>
        <v/>
      </c>
      <c r="G33" s="145">
        <f>IF('DM_NHAN_SU'!$B33="","",'DM_NHAN_SU'!J33)</f>
        <v/>
      </c>
      <c r="H33" s="145">
        <f>IF('DM_NHAN_SU'!$B33="","",IF('DM_NHAN_SU'!H33="",'THAM_SO'!$B$11,'DM_NHAN_SU'!H33))</f>
        <v/>
      </c>
      <c r="I33" s="232">
        <f>IF('DM_NHAN_SU'!$B33="","",IF('DM_NHAN_SU'!L33&gt;0,'DM_NHAN_SU'!L33,'THAM_SO'!$B$9))</f>
        <v/>
      </c>
      <c r="J33" s="232">
        <f>IF('DM_NHAN_SU'!$B33="","",IF('DM_NHAN_SU'!M33&gt;0,'DM_NHAN_SU'!M33,'THAM_SO'!$B$10))</f>
        <v/>
      </c>
      <c r="K33" s="232">
        <f>IF('DM_NHAN_SU'!$B33="","",'CHAM_CONG_THANG'!AC33)</f>
        <v/>
      </c>
      <c r="L33" s="232">
        <f>IF('DM_NHAN_SU'!$B33="","",'CHAM_CONG_THANG'!AD33)</f>
        <v/>
      </c>
      <c r="M33" s="232">
        <f>IF('DM_NHAN_SU'!$B33="","",'CHAM_CONG_THANG'!AE33)</f>
        <v/>
      </c>
      <c r="N33" s="232">
        <f>IF('DM_NHAN_SU'!$B33="","",'CHAM_CONG_THANG'!N33)</f>
        <v/>
      </c>
      <c r="O33" s="224">
        <f>IF('DM_NHAN_SU'!$B33="","",IF($B33="","",IF($G33="Tháng",IF($I33&gt;0,'DM_NHAN_SU'!$K33*MIN($K33,$I33)/$I33,0),IF($G33="Ngày",'DM_NHAN_SU'!$K33*$K33,IF($G33="Giờ",'DM_NHAN_SU'!$K33*$L33,IF($G33="Sản phẩm",'DM_NHAN_SU'!$K33*$N33,0))))))</f>
        <v/>
      </c>
      <c r="P33" s="224">
        <f>IF('DM_NHAN_SU'!$B33="","",'CHAM_CONG_THANG'!O33)</f>
        <v/>
      </c>
      <c r="Q33" s="224">
        <f>IF('DM_NHAN_SU'!$B33="","",'CHAM_CONG_THANG'!P33)</f>
        <v/>
      </c>
      <c r="R33" s="224">
        <f>IF('DM_NHAN_SU'!$B33="","",'CHAM_CONG_THANG'!Q33)</f>
        <v/>
      </c>
      <c r="S33" s="224">
        <f>IF('DM_NHAN_SU'!$B33="","",'CHAM_CONG_THANG'!R33)</f>
        <v/>
      </c>
      <c r="T33" s="224">
        <f>IF('DM_NHAN_SU'!$B33="","",'CHAM_CONG_THANG'!S33)</f>
        <v/>
      </c>
      <c r="U33" s="224">
        <f>IF('DM_NHAN_SU'!$B33="","",MIN($T33,'THAM_SO'!$F$6))</f>
        <v/>
      </c>
      <c r="V33" s="224">
        <f>IF('DM_NHAN_SU'!$B33="","",MAX($T33-$U33,0))</f>
        <v/>
      </c>
      <c r="W33" s="224">
        <f>IF('DM_NHAN_SU'!$B33="","",'CHAM_CONG_THANG'!T33)</f>
        <v/>
      </c>
      <c r="X33" s="224">
        <f>IF('DM_NHAN_SU'!$B33="","",'CHAM_CONG_THANG'!U33)</f>
        <v/>
      </c>
      <c r="Y33" s="224">
        <f>IF('DM_NHAN_SU'!$B33="","",IF($B33="",0,IF('DM_NHAN_SU'!$Q33&gt;0,'DM_NHAN_SU'!$Q33,IF($G33="Tháng",IF($I33*$J33&gt;0,'DM_NHAN_SU'!$K33/($I33*$J33),0),IF($G33="Ngày",IF($J33&gt;0,'DM_NHAN_SU'!$K33/$J33,0),IF($G33="Giờ",'DM_NHAN_SU'!$K33,0))))))</f>
        <v/>
      </c>
      <c r="Z33" s="224">
        <f>IF('DM_NHAN_SU'!$B33="","",$Y33*($M33*'THAM_SO'!$C$22+'CHAM_CONG_THANG'!$AF33*'THAM_SO'!$C$19+'CHAM_CONG_THANG'!$AG33*'THAM_SO'!$C$20+'CHAM_CONG_THANG'!$AH33*'THAM_SO'!$C$21+'CHAM_CONG_THANG'!$AI33*'THAM_SO'!$C$23+'CHAM_CONG_THANG'!$AJ33*'THAM_SO'!$C$24+'CHAM_CONG_THANG'!$AK33*'THAM_SO'!$C$25))</f>
        <v/>
      </c>
      <c r="AA33" s="224">
        <f>IF('DM_NHAN_SU'!$B33="","",MAX(0,$Y33*($M33*IF('THAM_SO'!$C$22&gt;='THAM_SO'!$B$22,'THAM_SO'!$B$22,0)+'CHAM_CONG_THANG'!$AF33*IF('THAM_SO'!$C$19&gt;='THAM_SO'!$B$19,'THAM_SO'!$B$19,0)+'CHAM_CONG_THANG'!$AG33*IF('THAM_SO'!$C$20&gt;='THAM_SO'!$B$20,'THAM_SO'!$B$20,0)+'CHAM_CONG_THANG'!$AH33*IF('THAM_SO'!$C$21&gt;='THAM_SO'!$B$21,'THAM_SO'!$B$21,0)+'CHAM_CONG_THANG'!$AI33*IF('THAM_SO'!$C$23&gt;='THAM_SO'!$B$23,'THAM_SO'!$B$23,0)+'CHAM_CONG_THANG'!$AJ33*IF('THAM_SO'!$C$24&gt;='THAM_SO'!$B$24,'THAM_SO'!$B$24,0)+'CHAM_CONG_THANG'!$AK33*IF('THAM_SO'!$C$25&gt;='THAM_SO'!$B$25,'THAM_SO'!$B$25,0))-'CHAM_CONG_THANG'!$V33))</f>
        <v/>
      </c>
      <c r="AB33" s="224">
        <f>IF('DM_NHAN_SU'!$B33="","",MAX($Z33-$AA33,0))</f>
        <v/>
      </c>
      <c r="AC33" s="224">
        <f>IF('DM_NHAN_SU'!$B33="","",$O33+$P33+$Q33+$R33+$S33+$V33+$AB33+$BO33+$BP33+$BQ33+$BR33)</f>
        <v/>
      </c>
      <c r="AD33" s="224">
        <f>IF('DM_NHAN_SU'!$B33="","",'DM_NHAN_SU'!N33+'DM_NHAN_SU'!O33+'DM_NHAN_SU'!P33)</f>
        <v/>
      </c>
      <c r="AE33" s="224">
        <f>IF('DM_NHAN_SU'!$B33="","",IF(OR('DM_NHAN_SU'!$R33&lt;&gt;"Có",'CHAM_CONG_THANG'!$AA33="Có",$BL33&gt;=14,$AD33&lt;=0),0,MIN(MAX($AD33,'THAM_SO'!$M$6),'THAM_SO'!$M$7)))</f>
        <v/>
      </c>
      <c r="AF33" s="224">
        <f>IF('DM_NHAN_SU'!$B33="","",IF(OR('DM_NHAN_SU'!$S33&lt;&gt;"Có",'CHAM_CONG_THANG'!$AA33="Có",$BL33&gt;=14,$AD33&lt;=0),0,MIN(MAX($AD33,VLOOKUP($H33,'THAM_SO'!$L$17:$P$20,4,FALSE)),VLOOKUP($H33,'THAM_SO'!$L$17:$P$20,5,FALSE))))</f>
        <v/>
      </c>
      <c r="AG33" s="224">
        <f>IF('DM_NHAN_SU'!$B33="","",$AE33*'THAM_SO'!$M$8)</f>
        <v/>
      </c>
      <c r="AH33" s="224">
        <f>IF('DM_NHAN_SU'!$B33="","",$AE33*'THAM_SO'!$M$9)</f>
        <v/>
      </c>
      <c r="AI33" s="224">
        <f>IF('DM_NHAN_SU'!$B33="","",$AF33*'THAM_SO'!$M$10)</f>
        <v/>
      </c>
      <c r="AJ33" s="224">
        <f>IF('DM_NHAN_SU'!$B33="","",SUM($AG33:$AI33))</f>
        <v/>
      </c>
      <c r="AK33" s="224">
        <f>IF('DM_NHAN_SU'!$B33="","",IF($B33="",0,'THAM_SO'!$F$4))</f>
        <v/>
      </c>
      <c r="AL33" s="224">
        <f>IF('DM_NHAN_SU'!$B33="","",IF($B33="",0,'DM_NHAN_SU'!$T33*'THAM_SO'!$F$5))</f>
        <v/>
      </c>
      <c r="AM33" s="224">
        <f>IF('DM_NHAN_SU'!$B33="","",'CHAM_CONG_THANG'!W33)</f>
        <v/>
      </c>
      <c r="AN33" s="224">
        <f>IF('DM_NHAN_SU'!$B33="","",MAX($AC33-$AK33-$AL33-$AM33,0))</f>
        <v/>
      </c>
      <c r="AO33" s="224">
        <f>IF('DM_NHAN_SU'!$B33="","",IF($B33="","",IF($F33="Net",IF($AC33&lt;=$AK33+$AL33+$AM33,$AC33+$AJ33,$AJ33+$AK33+$AL33+$AM33+IF($AN33&lt;='THAM_SO'!$J$10,($AN33-'THAM_SO'!$I$10)/(1-'THAM_SO'!$H$10),IF($AN33&lt;='THAM_SO'!$J$11,($AN33-'THAM_SO'!$I$11)/(1-'THAM_SO'!$H$11),IF($AN33&lt;='THAM_SO'!$J$12,($AN33-'THAM_SO'!$I$12)/(1-'THAM_SO'!$H$12),IF($AN33&lt;='THAM_SO'!$J$13,($AN33-'THAM_SO'!$I$13)/(1-'THAM_SO'!$H$13),($AN33-'THAM_SO'!$I$14)/(1-'THAM_SO'!$H$14)))))),$AC33)))</f>
        <v/>
      </c>
      <c r="AP33" s="224">
        <f>IF('DM_NHAN_SU'!$B33="","",$U33+$W33+$X33+$AA33+$BS33)</f>
        <v/>
      </c>
      <c r="AQ33" s="224">
        <f>IF('DM_NHAN_SU'!$B33="","",MAX($AO33-$AJ33-$AK33-$AL33-$AM33,0))</f>
        <v/>
      </c>
      <c r="AR33" s="224">
        <f>IF('DM_NHAN_SU'!$B33="","",IF($AQ33&lt;=0,0,$AQ33*VLOOKUP($AQ33,'THAM_SO'!$F$10:$I$14,3,TRUE)-VLOOKUP($AQ33,'THAM_SO'!$F$10:$I$14,4,TRUE)))</f>
        <v/>
      </c>
      <c r="AS33" s="224">
        <f>IF('DM_NHAN_SU'!$B33="","",$AO33+$AP33)</f>
        <v/>
      </c>
      <c r="AT33" s="224">
        <f>IF('DM_NHAN_SU'!$B33="","",$AS33-$AJ33-$AR33)</f>
        <v/>
      </c>
      <c r="AU33" s="224">
        <f>IF('DM_NHAN_SU'!$B33="","",'CHAM_CONG_THANG'!X33)</f>
        <v/>
      </c>
      <c r="AV33" s="224">
        <f>IF('DM_NHAN_SU'!$B33="","",'CHAM_CONG_THANG'!Y33+'QT_NGHI_VIEC'!AD33)</f>
        <v/>
      </c>
      <c r="AW33" s="224">
        <f>IF('DM_NHAN_SU'!$B33="","",'CHAM_CONG_THANG'!Z33)</f>
        <v/>
      </c>
      <c r="AX33" s="224">
        <f>IF('DM_NHAN_SU'!$B33="","",$AT33-$AU33-$AV33-$AW33-$BV33)</f>
        <v/>
      </c>
      <c r="AY33" s="224">
        <f>IF('DM_NHAN_SU'!$B33="","",$AE33*'THAM_SO'!$M$11)</f>
        <v/>
      </c>
      <c r="AZ33" s="224">
        <f>IF('DM_NHAN_SU'!$B33="","",$AE33*'THAM_SO'!$M$12)</f>
        <v/>
      </c>
      <c r="BA33" s="224">
        <f>IF('DM_NHAN_SU'!$B33="","",$AF33*'THAM_SO'!$M$13)</f>
        <v/>
      </c>
      <c r="BB33" s="224">
        <f>IF('DM_NHAN_SU'!$B33="","",$AE33*'THAM_SO'!$M$14)</f>
        <v/>
      </c>
      <c r="BC33" s="224">
        <f>IF('DM_NHAN_SU'!$B33="","",SUM($AY33:$BB33))</f>
        <v/>
      </c>
      <c r="BD33" s="224">
        <f>IF('DM_NHAN_SU'!$B33="","",$AS33+$BC33)</f>
        <v/>
      </c>
      <c r="BE33" s="224">
        <f>IF('DM_NHAN_SU'!$B33="","",VLOOKUP($H33,'THAM_SO'!$L$17:$P$20,2,FALSE))</f>
        <v/>
      </c>
      <c r="BF33" s="224">
        <f>IF('DM_NHAN_SU'!$B33="","",VLOOKUP($H33,'THAM_SO'!$L$17:$P$20,3,FALSE))</f>
        <v/>
      </c>
      <c r="BG33" s="150">
        <f>IF('DM_NHAN_SU'!$B33="","",IF($B33="","",IF(COUNTIF('DM_NHAN_SU'!$B$6:$B$155,$B33)&gt;1,"Trùng mã NV; ","")&amp;IF(OR($F33="",$G33=""),"Thiếu loại/hình thức lương; ","")&amp;IF('CHAM_CONG_THANG'!$D33="","Chưa chọn nguồn công; ","")&amp;IF(AND('CHAM_CONG_THANG'!$D33="Theo ngày",COUNTIF('CHAM_CONG_NGAY'!$B$6:$B$4655,$B33)=0),"Chưa có chấm công ngày; ","")&amp;IF(OR($I33&lt;=0,$J33&lt;=0),"Thiếu công/giờ chuẩn; ","")&amp;IF(AND($G33="Tháng",'DM_NHAN_SU'!$K33&lt;$BE33),"Lương tháng dưới tối thiểu vùng; ","")&amp;IF(AND($G33="Ngày",'DM_NHAN_SU'!$K33/$J33&lt;$BF33),"Lương ngày quy đổi dưới tối thiểu giờ; ","")&amp;IF(AND($G33="Giờ",'DM_NHAN_SU'!$K33&lt;$BF33),"Lương giờ dưới tối thiểu vùng; ","")&amp;IF(AND($G33="Sản phẩm",$L33&gt;0,$O33/$L33&lt;$BF33),"Lương SP quy đổi dưới tối thiểu giờ; ","")&amp;IF(OR('THAM_SO'!$C$19&lt;'THAM_SO'!$B$19,'THAM_SO'!$C$20&lt;'THAM_SO'!$B$20,'THAM_SO'!$C$21&lt;'THAM_SO'!$B$21,'THAM_SO'!$C$22&lt;'THAM_SO'!$B$22,'THAM_SO'!$C$23&lt;'THAM_SO'!$B$23,'THAM_SO'!$C$24&lt;'THAM_SO'!$B$24,'THAM_SO'!$C$25&lt;'THAM_SO'!$B$25),"Hệ số OT/đêm DN thấp hơn luật; ","")&amp;IF(AND('DM_NHAN_SU'!$R33="Có",$AD33&lt;=0),"Thiếu căn cứ đóng BH; ","")&amp;IF(AND($AD33&gt;0,$AD33&lt;'THAM_SO'!$M$6),"Căn cứ BH dưới sàn – đã nâng sàn; ","")&amp;IF($AD33&gt;'THAM_SO'!$M$7,"Căn cứ BH vượt trần – đã giới hạn; ","")&amp;IF(AND($F33="Net",SUM('CHAM_CONG_THANG'!$AF33:$AK33)&gt;0,'DM_NHAN_SU'!$Q33&lt;=0),"Net có OT nhưng chưa khai lương giờ OT; ","")&amp;IF('CHAM_CONG_THANG'!$V33&gt;$Z33,"Phần OT không miễn lớn hơn tiền OT; ","")&amp;IF(AND($F33="Net",ABS($AT33-$AC33-$AP33)&gt;1),"Lệch quy đổi Net; ","")&amp;IF(AND($BH33&gt;0,'DM_NHAN_SU'!$AD33=""),"Có phép năm nhưng đang tạm dùng 12 ngày; ","")&amp;IF(AND($G33="Sản phẩm",SUM($BH33:$BJ33)&gt;0,'DM_NHAN_SU'!$AH33&lt;=0),"Lương sản phẩm thiếu đơn giá ngày phép/lễ; ","")&amp;IF(AND($BL33&gt;=14,'CHAM_CONG_THANG'!$AA33&lt;&gt;"Có"),"Thai sản từ 14 ngày: file tự dừng đóng BH – kiểm tra hồ sơ; ","")&amp;IF(AND('DM_NHAN_SU'!$AA33="Có",'DM_NHAN_SU'!$AB33=""),"Đoàn viên chưa chọn cách tính đoàn phí; ","")&amp;IF(AND('DM_NHAN_SU'!$AB33="Nhập tay",'DM_NHAN_SU'!$AC33&gt;'THAM_SO'!$M$26),"Đoàn phí nhập tay vượt trần thông dụng; ","")&amp;IF('NGHI_PHEP'!$L33&lt;&gt;"","Phép: "&amp;'NGHI_PHEP'!$L33,"")&amp;IF('CHE_DO_BHXH'!$AA33&lt;&gt;"","BHXH: "&amp;'CHE_DO_BHXH'!$AA33,"")&amp;IF('THUONG_T13_TET'!$O33&lt;&gt;"","Thưởng: "&amp;'THUONG_T13_TET'!$O33,"")&amp;IF('QT_NGHI_VIEC'!$AF33&lt;&gt;"","Nghỉ việc: "&amp;'QT_NGHI_VIEC'!$AF33,"")&amp;IF($AX33&lt;0,"Thực lĩnh âm; ","")&amp;IF(OR('DM_NHAN_SU'!$F33&gt;'THAM_SO'!$B$7,AND('DM_NHAN_SU'!$G33&lt;&gt;"",'DM_NHAN_SU'!$G33&lt;'THAM_SO'!$B$6)),"Ngoài kỳ trả lương; ","")))</f>
        <v/>
      </c>
      <c r="BH33" s="232">
        <f>IF('DM_NHAN_SU'!$B33="","",'CHAM_CONG_THANG'!AR33)</f>
        <v/>
      </c>
      <c r="BI33" s="232">
        <f>IF('DM_NHAN_SU'!$B33="","",'CHAM_CONG_THANG'!AS33)</f>
        <v/>
      </c>
      <c r="BJ33" s="232">
        <f>IF('DM_NHAN_SU'!$B33="","",'CHAM_CONG_THANG'!AT33)</f>
        <v/>
      </c>
      <c r="BK33" s="232">
        <f>IF('DM_NHAN_SU'!$B33="","",'CHAM_CONG_THANG'!AU33)</f>
        <v/>
      </c>
      <c r="BL33" s="232">
        <f>IF('DM_NHAN_SU'!$B33="","",'CHAM_CONG_THANG'!AV33)</f>
        <v/>
      </c>
      <c r="BM33" s="232">
        <f>IF('DM_NHAN_SU'!$B33="","",'CHAM_CONG_THANG'!AW33)</f>
        <v/>
      </c>
      <c r="BN33" s="232">
        <f>IF('DM_NHAN_SU'!$B33="","",SUM($K33,$BH33:$BJ33))</f>
        <v/>
      </c>
      <c r="BO33" s="224">
        <f>IF('DM_NHAN_SU'!$B33="","",IF($B33="",0,IF($G33="Tháng",IF($I33&gt;0,'DM_NHAN_SU'!$K33*MIN($BH33+$BJ33,MAX($I33-$K33,0))/$I33,0),IF($G33="Ngày",'DM_NHAN_SU'!$K33*SUM($BH33:$BJ33),IF($G33="Giờ",'DM_NHAN_SU'!$K33*SUM($BH33:$BJ33)*$J33,IF($G33="Sản phẩm",'DM_NHAN_SU'!$AH33*SUM($BH33:$BJ33),0))))))</f>
        <v/>
      </c>
      <c r="BP33" s="224">
        <f>IF('DM_NHAN_SU'!$B33="","",IF('THUONG_T13_TET'!$L33="Có",'THUONG_T13_TET'!$I33,0))</f>
        <v/>
      </c>
      <c r="BQ33" s="224">
        <f>IF('DM_NHAN_SU'!$B33="","",IF('THUONG_T13_TET'!$L33="Có",SUM('THUONG_T13_TET'!$J33:$K33),0))</f>
        <v/>
      </c>
      <c r="BR33" s="224">
        <f>IF('DM_NHAN_SU'!$B33="","",'QT_NGHI_VIEC'!AC33)</f>
        <v/>
      </c>
      <c r="BS33" s="224">
        <f>IF('DM_NHAN_SU'!$B33="","",'QT_NGHI_VIEC'!AB33)</f>
        <v/>
      </c>
      <c r="BT33" s="224">
        <f>IF('DM_NHAN_SU'!$B33="","",IF('CHE_DO_BHXH'!$Z33="Có",'CHE_DO_BHXH'!$W33,0))</f>
        <v/>
      </c>
      <c r="BU33" s="224">
        <f>IF('DM_NHAN_SU'!$B33="","",IF('CHE_DO_BHXH'!$Y33="DN trả thay",$BT33,0))</f>
        <v/>
      </c>
      <c r="BV33" s="224">
        <f>IF('DM_NHAN_SU'!$B33="","",IF(OR('DM_NHAN_SU'!$AA33&lt;&gt;"Có",'CHE_DO_BHXH'!$O33&gt;=1,SUM('CHE_DO_BHXH'!$D33,'CHE_DO_BHXH'!$G33,'CHE_DO_BHXH'!$K33)&gt;=24,AND($I33&gt;0,$BM33&gt;=$I33)),0,IF('DM_NHAN_SU'!$AB33="Không",0,IF('DM_NHAN_SU'!$AB33="Nhập tay",'DM_NHAN_SU'!$AC33,IF('DM_NHAN_SU'!$AB33="Theo thực nhận",MIN(MAX($AT33-$AU33-$AV33-$AW33,0)*'THAM_SO'!$M$23,'THAM_SO'!$M$26),MIN($AE33*'THAM_SO'!$M$23,'THAM_SO'!$M$26))))))</f>
        <v/>
      </c>
      <c r="BW33" s="224">
        <f>IF('DM_NHAN_SU'!$B33="","",$AX33+$BU33)</f>
        <v/>
      </c>
    </row>
    <row r="34">
      <c r="A34" s="145">
        <f>IF('DM_NHAN_SU'!$B34="","",IF($B34="","",ROW()-5))</f>
        <v/>
      </c>
      <c r="B34" s="145">
        <f>IF('DM_NHAN_SU'!$B34="","",'DM_NHAN_SU'!B34)</f>
        <v/>
      </c>
      <c r="C34" s="145">
        <f>IF('DM_NHAN_SU'!$B34="","",'DM_NHAN_SU'!C34)</f>
        <v/>
      </c>
      <c r="D34" s="145">
        <f>IF('DM_NHAN_SU'!$B34="","",'DM_NHAN_SU'!D34)</f>
        <v/>
      </c>
      <c r="E34" s="145">
        <f>IF('DM_NHAN_SU'!$B34="","",'DM_NHAN_SU'!E34)</f>
        <v/>
      </c>
      <c r="F34" s="145">
        <f>IF('DM_NHAN_SU'!$B34="","",'DM_NHAN_SU'!I34)</f>
        <v/>
      </c>
      <c r="G34" s="145">
        <f>IF('DM_NHAN_SU'!$B34="","",'DM_NHAN_SU'!J34)</f>
        <v/>
      </c>
      <c r="H34" s="145">
        <f>IF('DM_NHAN_SU'!$B34="","",IF('DM_NHAN_SU'!H34="",'THAM_SO'!$B$11,'DM_NHAN_SU'!H34))</f>
        <v/>
      </c>
      <c r="I34" s="232">
        <f>IF('DM_NHAN_SU'!$B34="","",IF('DM_NHAN_SU'!L34&gt;0,'DM_NHAN_SU'!L34,'THAM_SO'!$B$9))</f>
        <v/>
      </c>
      <c r="J34" s="232">
        <f>IF('DM_NHAN_SU'!$B34="","",IF('DM_NHAN_SU'!M34&gt;0,'DM_NHAN_SU'!M34,'THAM_SO'!$B$10))</f>
        <v/>
      </c>
      <c r="K34" s="232">
        <f>IF('DM_NHAN_SU'!$B34="","",'CHAM_CONG_THANG'!AC34)</f>
        <v/>
      </c>
      <c r="L34" s="232">
        <f>IF('DM_NHAN_SU'!$B34="","",'CHAM_CONG_THANG'!AD34)</f>
        <v/>
      </c>
      <c r="M34" s="232">
        <f>IF('DM_NHAN_SU'!$B34="","",'CHAM_CONG_THANG'!AE34)</f>
        <v/>
      </c>
      <c r="N34" s="232">
        <f>IF('DM_NHAN_SU'!$B34="","",'CHAM_CONG_THANG'!N34)</f>
        <v/>
      </c>
      <c r="O34" s="224">
        <f>IF('DM_NHAN_SU'!$B34="","",IF($B34="","",IF($G34="Tháng",IF($I34&gt;0,'DM_NHAN_SU'!$K34*MIN($K34,$I34)/$I34,0),IF($G34="Ngày",'DM_NHAN_SU'!$K34*$K34,IF($G34="Giờ",'DM_NHAN_SU'!$K34*$L34,IF($G34="Sản phẩm",'DM_NHAN_SU'!$K34*$N34,0))))))</f>
        <v/>
      </c>
      <c r="P34" s="224">
        <f>IF('DM_NHAN_SU'!$B34="","",'CHAM_CONG_THANG'!O34)</f>
        <v/>
      </c>
      <c r="Q34" s="224">
        <f>IF('DM_NHAN_SU'!$B34="","",'CHAM_CONG_THANG'!P34)</f>
        <v/>
      </c>
      <c r="R34" s="224">
        <f>IF('DM_NHAN_SU'!$B34="","",'CHAM_CONG_THANG'!Q34)</f>
        <v/>
      </c>
      <c r="S34" s="224">
        <f>IF('DM_NHAN_SU'!$B34="","",'CHAM_CONG_THANG'!R34)</f>
        <v/>
      </c>
      <c r="T34" s="224">
        <f>IF('DM_NHAN_SU'!$B34="","",'CHAM_CONG_THANG'!S34)</f>
        <v/>
      </c>
      <c r="U34" s="224">
        <f>IF('DM_NHAN_SU'!$B34="","",MIN($T34,'THAM_SO'!$F$6))</f>
        <v/>
      </c>
      <c r="V34" s="224">
        <f>IF('DM_NHAN_SU'!$B34="","",MAX($T34-$U34,0))</f>
        <v/>
      </c>
      <c r="W34" s="224">
        <f>IF('DM_NHAN_SU'!$B34="","",'CHAM_CONG_THANG'!T34)</f>
        <v/>
      </c>
      <c r="X34" s="224">
        <f>IF('DM_NHAN_SU'!$B34="","",'CHAM_CONG_THANG'!U34)</f>
        <v/>
      </c>
      <c r="Y34" s="224">
        <f>IF('DM_NHAN_SU'!$B34="","",IF($B34="",0,IF('DM_NHAN_SU'!$Q34&gt;0,'DM_NHAN_SU'!$Q34,IF($G34="Tháng",IF($I34*$J34&gt;0,'DM_NHAN_SU'!$K34/($I34*$J34),0),IF($G34="Ngày",IF($J34&gt;0,'DM_NHAN_SU'!$K34/$J34,0),IF($G34="Giờ",'DM_NHAN_SU'!$K34,0))))))</f>
        <v/>
      </c>
      <c r="Z34" s="224">
        <f>IF('DM_NHAN_SU'!$B34="","",$Y34*($M34*'THAM_SO'!$C$22+'CHAM_CONG_THANG'!$AF34*'THAM_SO'!$C$19+'CHAM_CONG_THANG'!$AG34*'THAM_SO'!$C$20+'CHAM_CONG_THANG'!$AH34*'THAM_SO'!$C$21+'CHAM_CONG_THANG'!$AI34*'THAM_SO'!$C$23+'CHAM_CONG_THANG'!$AJ34*'THAM_SO'!$C$24+'CHAM_CONG_THANG'!$AK34*'THAM_SO'!$C$25))</f>
        <v/>
      </c>
      <c r="AA34" s="224">
        <f>IF('DM_NHAN_SU'!$B34="","",MAX(0,$Y34*($M34*IF('THAM_SO'!$C$22&gt;='THAM_SO'!$B$22,'THAM_SO'!$B$22,0)+'CHAM_CONG_THANG'!$AF34*IF('THAM_SO'!$C$19&gt;='THAM_SO'!$B$19,'THAM_SO'!$B$19,0)+'CHAM_CONG_THANG'!$AG34*IF('THAM_SO'!$C$20&gt;='THAM_SO'!$B$20,'THAM_SO'!$B$20,0)+'CHAM_CONG_THANG'!$AH34*IF('THAM_SO'!$C$21&gt;='THAM_SO'!$B$21,'THAM_SO'!$B$21,0)+'CHAM_CONG_THANG'!$AI34*IF('THAM_SO'!$C$23&gt;='THAM_SO'!$B$23,'THAM_SO'!$B$23,0)+'CHAM_CONG_THANG'!$AJ34*IF('THAM_SO'!$C$24&gt;='THAM_SO'!$B$24,'THAM_SO'!$B$24,0)+'CHAM_CONG_THANG'!$AK34*IF('THAM_SO'!$C$25&gt;='THAM_SO'!$B$25,'THAM_SO'!$B$25,0))-'CHAM_CONG_THANG'!$V34))</f>
        <v/>
      </c>
      <c r="AB34" s="224">
        <f>IF('DM_NHAN_SU'!$B34="","",MAX($Z34-$AA34,0))</f>
        <v/>
      </c>
      <c r="AC34" s="224">
        <f>IF('DM_NHAN_SU'!$B34="","",$O34+$P34+$Q34+$R34+$S34+$V34+$AB34+$BO34+$BP34+$BQ34+$BR34)</f>
        <v/>
      </c>
      <c r="AD34" s="224">
        <f>IF('DM_NHAN_SU'!$B34="","",'DM_NHAN_SU'!N34+'DM_NHAN_SU'!O34+'DM_NHAN_SU'!P34)</f>
        <v/>
      </c>
      <c r="AE34" s="224">
        <f>IF('DM_NHAN_SU'!$B34="","",IF(OR('DM_NHAN_SU'!$R34&lt;&gt;"Có",'CHAM_CONG_THANG'!$AA34="Có",$BL34&gt;=14,$AD34&lt;=0),0,MIN(MAX($AD34,'THAM_SO'!$M$6),'THAM_SO'!$M$7)))</f>
        <v/>
      </c>
      <c r="AF34" s="224">
        <f>IF('DM_NHAN_SU'!$B34="","",IF(OR('DM_NHAN_SU'!$S34&lt;&gt;"Có",'CHAM_CONG_THANG'!$AA34="Có",$BL34&gt;=14,$AD34&lt;=0),0,MIN(MAX($AD34,VLOOKUP($H34,'THAM_SO'!$L$17:$P$20,4,FALSE)),VLOOKUP($H34,'THAM_SO'!$L$17:$P$20,5,FALSE))))</f>
        <v/>
      </c>
      <c r="AG34" s="224">
        <f>IF('DM_NHAN_SU'!$B34="","",$AE34*'THAM_SO'!$M$8)</f>
        <v/>
      </c>
      <c r="AH34" s="224">
        <f>IF('DM_NHAN_SU'!$B34="","",$AE34*'THAM_SO'!$M$9)</f>
        <v/>
      </c>
      <c r="AI34" s="224">
        <f>IF('DM_NHAN_SU'!$B34="","",$AF34*'THAM_SO'!$M$10)</f>
        <v/>
      </c>
      <c r="AJ34" s="224">
        <f>IF('DM_NHAN_SU'!$B34="","",SUM($AG34:$AI34))</f>
        <v/>
      </c>
      <c r="AK34" s="224">
        <f>IF('DM_NHAN_SU'!$B34="","",IF($B34="",0,'THAM_SO'!$F$4))</f>
        <v/>
      </c>
      <c r="AL34" s="224">
        <f>IF('DM_NHAN_SU'!$B34="","",IF($B34="",0,'DM_NHAN_SU'!$T34*'THAM_SO'!$F$5))</f>
        <v/>
      </c>
      <c r="AM34" s="224">
        <f>IF('DM_NHAN_SU'!$B34="","",'CHAM_CONG_THANG'!W34)</f>
        <v/>
      </c>
      <c r="AN34" s="224">
        <f>IF('DM_NHAN_SU'!$B34="","",MAX($AC34-$AK34-$AL34-$AM34,0))</f>
        <v/>
      </c>
      <c r="AO34" s="224">
        <f>IF('DM_NHAN_SU'!$B34="","",IF($B34="","",IF($F34="Net",IF($AC34&lt;=$AK34+$AL34+$AM34,$AC34+$AJ34,$AJ34+$AK34+$AL34+$AM34+IF($AN34&lt;='THAM_SO'!$J$10,($AN34-'THAM_SO'!$I$10)/(1-'THAM_SO'!$H$10),IF($AN34&lt;='THAM_SO'!$J$11,($AN34-'THAM_SO'!$I$11)/(1-'THAM_SO'!$H$11),IF($AN34&lt;='THAM_SO'!$J$12,($AN34-'THAM_SO'!$I$12)/(1-'THAM_SO'!$H$12),IF($AN34&lt;='THAM_SO'!$J$13,($AN34-'THAM_SO'!$I$13)/(1-'THAM_SO'!$H$13),($AN34-'THAM_SO'!$I$14)/(1-'THAM_SO'!$H$14)))))),$AC34)))</f>
        <v/>
      </c>
      <c r="AP34" s="224">
        <f>IF('DM_NHAN_SU'!$B34="","",$U34+$W34+$X34+$AA34+$BS34)</f>
        <v/>
      </c>
      <c r="AQ34" s="224">
        <f>IF('DM_NHAN_SU'!$B34="","",MAX($AO34-$AJ34-$AK34-$AL34-$AM34,0))</f>
        <v/>
      </c>
      <c r="AR34" s="224">
        <f>IF('DM_NHAN_SU'!$B34="","",IF($AQ34&lt;=0,0,$AQ34*VLOOKUP($AQ34,'THAM_SO'!$F$10:$I$14,3,TRUE)-VLOOKUP($AQ34,'THAM_SO'!$F$10:$I$14,4,TRUE)))</f>
        <v/>
      </c>
      <c r="AS34" s="224">
        <f>IF('DM_NHAN_SU'!$B34="","",$AO34+$AP34)</f>
        <v/>
      </c>
      <c r="AT34" s="224">
        <f>IF('DM_NHAN_SU'!$B34="","",$AS34-$AJ34-$AR34)</f>
        <v/>
      </c>
      <c r="AU34" s="224">
        <f>IF('DM_NHAN_SU'!$B34="","",'CHAM_CONG_THANG'!X34)</f>
        <v/>
      </c>
      <c r="AV34" s="224">
        <f>IF('DM_NHAN_SU'!$B34="","",'CHAM_CONG_THANG'!Y34+'QT_NGHI_VIEC'!AD34)</f>
        <v/>
      </c>
      <c r="AW34" s="224">
        <f>IF('DM_NHAN_SU'!$B34="","",'CHAM_CONG_THANG'!Z34)</f>
        <v/>
      </c>
      <c r="AX34" s="224">
        <f>IF('DM_NHAN_SU'!$B34="","",$AT34-$AU34-$AV34-$AW34-$BV34)</f>
        <v/>
      </c>
      <c r="AY34" s="224">
        <f>IF('DM_NHAN_SU'!$B34="","",$AE34*'THAM_SO'!$M$11)</f>
        <v/>
      </c>
      <c r="AZ34" s="224">
        <f>IF('DM_NHAN_SU'!$B34="","",$AE34*'THAM_SO'!$M$12)</f>
        <v/>
      </c>
      <c r="BA34" s="224">
        <f>IF('DM_NHAN_SU'!$B34="","",$AF34*'THAM_SO'!$M$13)</f>
        <v/>
      </c>
      <c r="BB34" s="224">
        <f>IF('DM_NHAN_SU'!$B34="","",$AE34*'THAM_SO'!$M$14)</f>
        <v/>
      </c>
      <c r="BC34" s="224">
        <f>IF('DM_NHAN_SU'!$B34="","",SUM($AY34:$BB34))</f>
        <v/>
      </c>
      <c r="BD34" s="224">
        <f>IF('DM_NHAN_SU'!$B34="","",$AS34+$BC34)</f>
        <v/>
      </c>
      <c r="BE34" s="224">
        <f>IF('DM_NHAN_SU'!$B34="","",VLOOKUP($H34,'THAM_SO'!$L$17:$P$20,2,FALSE))</f>
        <v/>
      </c>
      <c r="BF34" s="224">
        <f>IF('DM_NHAN_SU'!$B34="","",VLOOKUP($H34,'THAM_SO'!$L$17:$P$20,3,FALSE))</f>
        <v/>
      </c>
      <c r="BG34" s="150">
        <f>IF('DM_NHAN_SU'!$B34="","",IF($B34="","",IF(COUNTIF('DM_NHAN_SU'!$B$6:$B$155,$B34)&gt;1,"Trùng mã NV; ","")&amp;IF(OR($F34="",$G34=""),"Thiếu loại/hình thức lương; ","")&amp;IF('CHAM_CONG_THANG'!$D34="","Chưa chọn nguồn công; ","")&amp;IF(AND('CHAM_CONG_THANG'!$D34="Theo ngày",COUNTIF('CHAM_CONG_NGAY'!$B$6:$B$4655,$B34)=0),"Chưa có chấm công ngày; ","")&amp;IF(OR($I34&lt;=0,$J34&lt;=0),"Thiếu công/giờ chuẩn; ","")&amp;IF(AND($G34="Tháng",'DM_NHAN_SU'!$K34&lt;$BE34),"Lương tháng dưới tối thiểu vùng; ","")&amp;IF(AND($G34="Ngày",'DM_NHAN_SU'!$K34/$J34&lt;$BF34),"Lương ngày quy đổi dưới tối thiểu giờ; ","")&amp;IF(AND($G34="Giờ",'DM_NHAN_SU'!$K34&lt;$BF34),"Lương giờ dưới tối thiểu vùng; ","")&amp;IF(AND($G34="Sản phẩm",$L34&gt;0,$O34/$L34&lt;$BF34),"Lương SP quy đổi dưới tối thiểu giờ; ","")&amp;IF(OR('THAM_SO'!$C$19&lt;'THAM_SO'!$B$19,'THAM_SO'!$C$20&lt;'THAM_SO'!$B$20,'THAM_SO'!$C$21&lt;'THAM_SO'!$B$21,'THAM_SO'!$C$22&lt;'THAM_SO'!$B$22,'THAM_SO'!$C$23&lt;'THAM_SO'!$B$23,'THAM_SO'!$C$24&lt;'THAM_SO'!$B$24,'THAM_SO'!$C$25&lt;'THAM_SO'!$B$25),"Hệ số OT/đêm DN thấp hơn luật; ","")&amp;IF(AND('DM_NHAN_SU'!$R34="Có",$AD34&lt;=0),"Thiếu căn cứ đóng BH; ","")&amp;IF(AND($AD34&gt;0,$AD34&lt;'THAM_SO'!$M$6),"Căn cứ BH dưới sàn – đã nâng sàn; ","")&amp;IF($AD34&gt;'THAM_SO'!$M$7,"Căn cứ BH vượt trần – đã giới hạn; ","")&amp;IF(AND($F34="Net",SUM('CHAM_CONG_THANG'!$AF34:$AK34)&gt;0,'DM_NHAN_SU'!$Q34&lt;=0),"Net có OT nhưng chưa khai lương giờ OT; ","")&amp;IF('CHAM_CONG_THANG'!$V34&gt;$Z34,"Phần OT không miễn lớn hơn tiền OT; ","")&amp;IF(AND($F34="Net",ABS($AT34-$AC34-$AP34)&gt;1),"Lệch quy đổi Net; ","")&amp;IF(AND($BH34&gt;0,'DM_NHAN_SU'!$AD34=""),"Có phép năm nhưng đang tạm dùng 12 ngày; ","")&amp;IF(AND($G34="Sản phẩm",SUM($BH34:$BJ34)&gt;0,'DM_NHAN_SU'!$AH34&lt;=0),"Lương sản phẩm thiếu đơn giá ngày phép/lễ; ","")&amp;IF(AND($BL34&gt;=14,'CHAM_CONG_THANG'!$AA34&lt;&gt;"Có"),"Thai sản từ 14 ngày: file tự dừng đóng BH – kiểm tra hồ sơ; ","")&amp;IF(AND('DM_NHAN_SU'!$AA34="Có",'DM_NHAN_SU'!$AB34=""),"Đoàn viên chưa chọn cách tính đoàn phí; ","")&amp;IF(AND('DM_NHAN_SU'!$AB34="Nhập tay",'DM_NHAN_SU'!$AC34&gt;'THAM_SO'!$M$26),"Đoàn phí nhập tay vượt trần thông dụng; ","")&amp;IF('NGHI_PHEP'!$L34&lt;&gt;"","Phép: "&amp;'NGHI_PHEP'!$L34,"")&amp;IF('CHE_DO_BHXH'!$AA34&lt;&gt;"","BHXH: "&amp;'CHE_DO_BHXH'!$AA34,"")&amp;IF('THUONG_T13_TET'!$O34&lt;&gt;"","Thưởng: "&amp;'THUONG_T13_TET'!$O34,"")&amp;IF('QT_NGHI_VIEC'!$AF34&lt;&gt;"","Nghỉ việc: "&amp;'QT_NGHI_VIEC'!$AF34,"")&amp;IF($AX34&lt;0,"Thực lĩnh âm; ","")&amp;IF(OR('DM_NHAN_SU'!$F34&gt;'THAM_SO'!$B$7,AND('DM_NHAN_SU'!$G34&lt;&gt;"",'DM_NHAN_SU'!$G34&lt;'THAM_SO'!$B$6)),"Ngoài kỳ trả lương; ","")))</f>
        <v/>
      </c>
      <c r="BH34" s="232">
        <f>IF('DM_NHAN_SU'!$B34="","",'CHAM_CONG_THANG'!AR34)</f>
        <v/>
      </c>
      <c r="BI34" s="232">
        <f>IF('DM_NHAN_SU'!$B34="","",'CHAM_CONG_THANG'!AS34)</f>
        <v/>
      </c>
      <c r="BJ34" s="232">
        <f>IF('DM_NHAN_SU'!$B34="","",'CHAM_CONG_THANG'!AT34)</f>
        <v/>
      </c>
      <c r="BK34" s="232">
        <f>IF('DM_NHAN_SU'!$B34="","",'CHAM_CONG_THANG'!AU34)</f>
        <v/>
      </c>
      <c r="BL34" s="232">
        <f>IF('DM_NHAN_SU'!$B34="","",'CHAM_CONG_THANG'!AV34)</f>
        <v/>
      </c>
      <c r="BM34" s="232">
        <f>IF('DM_NHAN_SU'!$B34="","",'CHAM_CONG_THANG'!AW34)</f>
        <v/>
      </c>
      <c r="BN34" s="232">
        <f>IF('DM_NHAN_SU'!$B34="","",SUM($K34,$BH34:$BJ34))</f>
        <v/>
      </c>
      <c r="BO34" s="224">
        <f>IF('DM_NHAN_SU'!$B34="","",IF($B34="",0,IF($G34="Tháng",IF($I34&gt;0,'DM_NHAN_SU'!$K34*MIN($BH34+$BJ34,MAX($I34-$K34,0))/$I34,0),IF($G34="Ngày",'DM_NHAN_SU'!$K34*SUM($BH34:$BJ34),IF($G34="Giờ",'DM_NHAN_SU'!$K34*SUM($BH34:$BJ34)*$J34,IF($G34="Sản phẩm",'DM_NHAN_SU'!$AH34*SUM($BH34:$BJ34),0))))))</f>
        <v/>
      </c>
      <c r="BP34" s="224">
        <f>IF('DM_NHAN_SU'!$B34="","",IF('THUONG_T13_TET'!$L34="Có",'THUONG_T13_TET'!$I34,0))</f>
        <v/>
      </c>
      <c r="BQ34" s="224">
        <f>IF('DM_NHAN_SU'!$B34="","",IF('THUONG_T13_TET'!$L34="Có",SUM('THUONG_T13_TET'!$J34:$K34),0))</f>
        <v/>
      </c>
      <c r="BR34" s="224">
        <f>IF('DM_NHAN_SU'!$B34="","",'QT_NGHI_VIEC'!AC34)</f>
        <v/>
      </c>
      <c r="BS34" s="224">
        <f>IF('DM_NHAN_SU'!$B34="","",'QT_NGHI_VIEC'!AB34)</f>
        <v/>
      </c>
      <c r="BT34" s="224">
        <f>IF('DM_NHAN_SU'!$B34="","",IF('CHE_DO_BHXH'!$Z34="Có",'CHE_DO_BHXH'!$W34,0))</f>
        <v/>
      </c>
      <c r="BU34" s="224">
        <f>IF('DM_NHAN_SU'!$B34="","",IF('CHE_DO_BHXH'!$Y34="DN trả thay",$BT34,0))</f>
        <v/>
      </c>
      <c r="BV34" s="224">
        <f>IF('DM_NHAN_SU'!$B34="","",IF(OR('DM_NHAN_SU'!$AA34&lt;&gt;"Có",'CHE_DO_BHXH'!$O34&gt;=1,SUM('CHE_DO_BHXH'!$D34,'CHE_DO_BHXH'!$G34,'CHE_DO_BHXH'!$K34)&gt;=24,AND($I34&gt;0,$BM34&gt;=$I34)),0,IF('DM_NHAN_SU'!$AB34="Không",0,IF('DM_NHAN_SU'!$AB34="Nhập tay",'DM_NHAN_SU'!$AC34,IF('DM_NHAN_SU'!$AB34="Theo thực nhận",MIN(MAX($AT34-$AU34-$AV34-$AW34,0)*'THAM_SO'!$M$23,'THAM_SO'!$M$26),MIN($AE34*'THAM_SO'!$M$23,'THAM_SO'!$M$26))))))</f>
        <v/>
      </c>
      <c r="BW34" s="224">
        <f>IF('DM_NHAN_SU'!$B34="","",$AX34+$BU34)</f>
        <v/>
      </c>
    </row>
    <row r="35">
      <c r="A35" s="145">
        <f>IF('DM_NHAN_SU'!$B35="","",IF($B35="","",ROW()-5))</f>
        <v/>
      </c>
      <c r="B35" s="145">
        <f>IF('DM_NHAN_SU'!$B35="","",'DM_NHAN_SU'!B35)</f>
        <v/>
      </c>
      <c r="C35" s="145">
        <f>IF('DM_NHAN_SU'!$B35="","",'DM_NHAN_SU'!C35)</f>
        <v/>
      </c>
      <c r="D35" s="145">
        <f>IF('DM_NHAN_SU'!$B35="","",'DM_NHAN_SU'!D35)</f>
        <v/>
      </c>
      <c r="E35" s="145">
        <f>IF('DM_NHAN_SU'!$B35="","",'DM_NHAN_SU'!E35)</f>
        <v/>
      </c>
      <c r="F35" s="145">
        <f>IF('DM_NHAN_SU'!$B35="","",'DM_NHAN_SU'!I35)</f>
        <v/>
      </c>
      <c r="G35" s="145">
        <f>IF('DM_NHAN_SU'!$B35="","",'DM_NHAN_SU'!J35)</f>
        <v/>
      </c>
      <c r="H35" s="145">
        <f>IF('DM_NHAN_SU'!$B35="","",IF('DM_NHAN_SU'!H35="",'THAM_SO'!$B$11,'DM_NHAN_SU'!H35))</f>
        <v/>
      </c>
      <c r="I35" s="232">
        <f>IF('DM_NHAN_SU'!$B35="","",IF('DM_NHAN_SU'!L35&gt;0,'DM_NHAN_SU'!L35,'THAM_SO'!$B$9))</f>
        <v/>
      </c>
      <c r="J35" s="232">
        <f>IF('DM_NHAN_SU'!$B35="","",IF('DM_NHAN_SU'!M35&gt;0,'DM_NHAN_SU'!M35,'THAM_SO'!$B$10))</f>
        <v/>
      </c>
      <c r="K35" s="232">
        <f>IF('DM_NHAN_SU'!$B35="","",'CHAM_CONG_THANG'!AC35)</f>
        <v/>
      </c>
      <c r="L35" s="232">
        <f>IF('DM_NHAN_SU'!$B35="","",'CHAM_CONG_THANG'!AD35)</f>
        <v/>
      </c>
      <c r="M35" s="232">
        <f>IF('DM_NHAN_SU'!$B35="","",'CHAM_CONG_THANG'!AE35)</f>
        <v/>
      </c>
      <c r="N35" s="232">
        <f>IF('DM_NHAN_SU'!$B35="","",'CHAM_CONG_THANG'!N35)</f>
        <v/>
      </c>
      <c r="O35" s="224">
        <f>IF('DM_NHAN_SU'!$B35="","",IF($B35="","",IF($G35="Tháng",IF($I35&gt;0,'DM_NHAN_SU'!$K35*MIN($K35,$I35)/$I35,0),IF($G35="Ngày",'DM_NHAN_SU'!$K35*$K35,IF($G35="Giờ",'DM_NHAN_SU'!$K35*$L35,IF($G35="Sản phẩm",'DM_NHAN_SU'!$K35*$N35,0))))))</f>
        <v/>
      </c>
      <c r="P35" s="224">
        <f>IF('DM_NHAN_SU'!$B35="","",'CHAM_CONG_THANG'!O35)</f>
        <v/>
      </c>
      <c r="Q35" s="224">
        <f>IF('DM_NHAN_SU'!$B35="","",'CHAM_CONG_THANG'!P35)</f>
        <v/>
      </c>
      <c r="R35" s="224">
        <f>IF('DM_NHAN_SU'!$B35="","",'CHAM_CONG_THANG'!Q35)</f>
        <v/>
      </c>
      <c r="S35" s="224">
        <f>IF('DM_NHAN_SU'!$B35="","",'CHAM_CONG_THANG'!R35)</f>
        <v/>
      </c>
      <c r="T35" s="224">
        <f>IF('DM_NHAN_SU'!$B35="","",'CHAM_CONG_THANG'!S35)</f>
        <v/>
      </c>
      <c r="U35" s="224">
        <f>IF('DM_NHAN_SU'!$B35="","",MIN($T35,'THAM_SO'!$F$6))</f>
        <v/>
      </c>
      <c r="V35" s="224">
        <f>IF('DM_NHAN_SU'!$B35="","",MAX($T35-$U35,0))</f>
        <v/>
      </c>
      <c r="W35" s="224">
        <f>IF('DM_NHAN_SU'!$B35="","",'CHAM_CONG_THANG'!T35)</f>
        <v/>
      </c>
      <c r="X35" s="224">
        <f>IF('DM_NHAN_SU'!$B35="","",'CHAM_CONG_THANG'!U35)</f>
        <v/>
      </c>
      <c r="Y35" s="224">
        <f>IF('DM_NHAN_SU'!$B35="","",IF($B35="",0,IF('DM_NHAN_SU'!$Q35&gt;0,'DM_NHAN_SU'!$Q35,IF($G35="Tháng",IF($I35*$J35&gt;0,'DM_NHAN_SU'!$K35/($I35*$J35),0),IF($G35="Ngày",IF($J35&gt;0,'DM_NHAN_SU'!$K35/$J35,0),IF($G35="Giờ",'DM_NHAN_SU'!$K35,0))))))</f>
        <v/>
      </c>
      <c r="Z35" s="224">
        <f>IF('DM_NHAN_SU'!$B35="","",$Y35*($M35*'THAM_SO'!$C$22+'CHAM_CONG_THANG'!$AF35*'THAM_SO'!$C$19+'CHAM_CONG_THANG'!$AG35*'THAM_SO'!$C$20+'CHAM_CONG_THANG'!$AH35*'THAM_SO'!$C$21+'CHAM_CONG_THANG'!$AI35*'THAM_SO'!$C$23+'CHAM_CONG_THANG'!$AJ35*'THAM_SO'!$C$24+'CHAM_CONG_THANG'!$AK35*'THAM_SO'!$C$25))</f>
        <v/>
      </c>
      <c r="AA35" s="224">
        <f>IF('DM_NHAN_SU'!$B35="","",MAX(0,$Y35*($M35*IF('THAM_SO'!$C$22&gt;='THAM_SO'!$B$22,'THAM_SO'!$B$22,0)+'CHAM_CONG_THANG'!$AF35*IF('THAM_SO'!$C$19&gt;='THAM_SO'!$B$19,'THAM_SO'!$B$19,0)+'CHAM_CONG_THANG'!$AG35*IF('THAM_SO'!$C$20&gt;='THAM_SO'!$B$20,'THAM_SO'!$B$20,0)+'CHAM_CONG_THANG'!$AH35*IF('THAM_SO'!$C$21&gt;='THAM_SO'!$B$21,'THAM_SO'!$B$21,0)+'CHAM_CONG_THANG'!$AI35*IF('THAM_SO'!$C$23&gt;='THAM_SO'!$B$23,'THAM_SO'!$B$23,0)+'CHAM_CONG_THANG'!$AJ35*IF('THAM_SO'!$C$24&gt;='THAM_SO'!$B$24,'THAM_SO'!$B$24,0)+'CHAM_CONG_THANG'!$AK35*IF('THAM_SO'!$C$25&gt;='THAM_SO'!$B$25,'THAM_SO'!$B$25,0))-'CHAM_CONG_THANG'!$V35))</f>
        <v/>
      </c>
      <c r="AB35" s="224">
        <f>IF('DM_NHAN_SU'!$B35="","",MAX($Z35-$AA35,0))</f>
        <v/>
      </c>
      <c r="AC35" s="224">
        <f>IF('DM_NHAN_SU'!$B35="","",$O35+$P35+$Q35+$R35+$S35+$V35+$AB35+$BO35+$BP35+$BQ35+$BR35)</f>
        <v/>
      </c>
      <c r="AD35" s="224">
        <f>IF('DM_NHAN_SU'!$B35="","",'DM_NHAN_SU'!N35+'DM_NHAN_SU'!O35+'DM_NHAN_SU'!P35)</f>
        <v/>
      </c>
      <c r="AE35" s="224">
        <f>IF('DM_NHAN_SU'!$B35="","",IF(OR('DM_NHAN_SU'!$R35&lt;&gt;"Có",'CHAM_CONG_THANG'!$AA35="Có",$BL35&gt;=14,$AD35&lt;=0),0,MIN(MAX($AD35,'THAM_SO'!$M$6),'THAM_SO'!$M$7)))</f>
        <v/>
      </c>
      <c r="AF35" s="224">
        <f>IF('DM_NHAN_SU'!$B35="","",IF(OR('DM_NHAN_SU'!$S35&lt;&gt;"Có",'CHAM_CONG_THANG'!$AA35="Có",$BL35&gt;=14,$AD35&lt;=0),0,MIN(MAX($AD35,VLOOKUP($H35,'THAM_SO'!$L$17:$P$20,4,FALSE)),VLOOKUP($H35,'THAM_SO'!$L$17:$P$20,5,FALSE))))</f>
        <v/>
      </c>
      <c r="AG35" s="224">
        <f>IF('DM_NHAN_SU'!$B35="","",$AE35*'THAM_SO'!$M$8)</f>
        <v/>
      </c>
      <c r="AH35" s="224">
        <f>IF('DM_NHAN_SU'!$B35="","",$AE35*'THAM_SO'!$M$9)</f>
        <v/>
      </c>
      <c r="AI35" s="224">
        <f>IF('DM_NHAN_SU'!$B35="","",$AF35*'THAM_SO'!$M$10)</f>
        <v/>
      </c>
      <c r="AJ35" s="224">
        <f>IF('DM_NHAN_SU'!$B35="","",SUM($AG35:$AI35))</f>
        <v/>
      </c>
      <c r="AK35" s="224">
        <f>IF('DM_NHAN_SU'!$B35="","",IF($B35="",0,'THAM_SO'!$F$4))</f>
        <v/>
      </c>
      <c r="AL35" s="224">
        <f>IF('DM_NHAN_SU'!$B35="","",IF($B35="",0,'DM_NHAN_SU'!$T35*'THAM_SO'!$F$5))</f>
        <v/>
      </c>
      <c r="AM35" s="224">
        <f>IF('DM_NHAN_SU'!$B35="","",'CHAM_CONG_THANG'!W35)</f>
        <v/>
      </c>
      <c r="AN35" s="224">
        <f>IF('DM_NHAN_SU'!$B35="","",MAX($AC35-$AK35-$AL35-$AM35,0))</f>
        <v/>
      </c>
      <c r="AO35" s="224">
        <f>IF('DM_NHAN_SU'!$B35="","",IF($B35="","",IF($F35="Net",IF($AC35&lt;=$AK35+$AL35+$AM35,$AC35+$AJ35,$AJ35+$AK35+$AL35+$AM35+IF($AN35&lt;='THAM_SO'!$J$10,($AN35-'THAM_SO'!$I$10)/(1-'THAM_SO'!$H$10),IF($AN35&lt;='THAM_SO'!$J$11,($AN35-'THAM_SO'!$I$11)/(1-'THAM_SO'!$H$11),IF($AN35&lt;='THAM_SO'!$J$12,($AN35-'THAM_SO'!$I$12)/(1-'THAM_SO'!$H$12),IF($AN35&lt;='THAM_SO'!$J$13,($AN35-'THAM_SO'!$I$13)/(1-'THAM_SO'!$H$13),($AN35-'THAM_SO'!$I$14)/(1-'THAM_SO'!$H$14)))))),$AC35)))</f>
        <v/>
      </c>
      <c r="AP35" s="224">
        <f>IF('DM_NHAN_SU'!$B35="","",$U35+$W35+$X35+$AA35+$BS35)</f>
        <v/>
      </c>
      <c r="AQ35" s="224">
        <f>IF('DM_NHAN_SU'!$B35="","",MAX($AO35-$AJ35-$AK35-$AL35-$AM35,0))</f>
        <v/>
      </c>
      <c r="AR35" s="224">
        <f>IF('DM_NHAN_SU'!$B35="","",IF($AQ35&lt;=0,0,$AQ35*VLOOKUP($AQ35,'THAM_SO'!$F$10:$I$14,3,TRUE)-VLOOKUP($AQ35,'THAM_SO'!$F$10:$I$14,4,TRUE)))</f>
        <v/>
      </c>
      <c r="AS35" s="224">
        <f>IF('DM_NHAN_SU'!$B35="","",$AO35+$AP35)</f>
        <v/>
      </c>
      <c r="AT35" s="224">
        <f>IF('DM_NHAN_SU'!$B35="","",$AS35-$AJ35-$AR35)</f>
        <v/>
      </c>
      <c r="AU35" s="224">
        <f>IF('DM_NHAN_SU'!$B35="","",'CHAM_CONG_THANG'!X35)</f>
        <v/>
      </c>
      <c r="AV35" s="224">
        <f>IF('DM_NHAN_SU'!$B35="","",'CHAM_CONG_THANG'!Y35+'QT_NGHI_VIEC'!AD35)</f>
        <v/>
      </c>
      <c r="AW35" s="224">
        <f>IF('DM_NHAN_SU'!$B35="","",'CHAM_CONG_THANG'!Z35)</f>
        <v/>
      </c>
      <c r="AX35" s="224">
        <f>IF('DM_NHAN_SU'!$B35="","",$AT35-$AU35-$AV35-$AW35-$BV35)</f>
        <v/>
      </c>
      <c r="AY35" s="224">
        <f>IF('DM_NHAN_SU'!$B35="","",$AE35*'THAM_SO'!$M$11)</f>
        <v/>
      </c>
      <c r="AZ35" s="224">
        <f>IF('DM_NHAN_SU'!$B35="","",$AE35*'THAM_SO'!$M$12)</f>
        <v/>
      </c>
      <c r="BA35" s="224">
        <f>IF('DM_NHAN_SU'!$B35="","",$AF35*'THAM_SO'!$M$13)</f>
        <v/>
      </c>
      <c r="BB35" s="224">
        <f>IF('DM_NHAN_SU'!$B35="","",$AE35*'THAM_SO'!$M$14)</f>
        <v/>
      </c>
      <c r="BC35" s="224">
        <f>IF('DM_NHAN_SU'!$B35="","",SUM($AY35:$BB35))</f>
        <v/>
      </c>
      <c r="BD35" s="224">
        <f>IF('DM_NHAN_SU'!$B35="","",$AS35+$BC35)</f>
        <v/>
      </c>
      <c r="BE35" s="224">
        <f>IF('DM_NHAN_SU'!$B35="","",VLOOKUP($H35,'THAM_SO'!$L$17:$P$20,2,FALSE))</f>
        <v/>
      </c>
      <c r="BF35" s="224">
        <f>IF('DM_NHAN_SU'!$B35="","",VLOOKUP($H35,'THAM_SO'!$L$17:$P$20,3,FALSE))</f>
        <v/>
      </c>
      <c r="BG35" s="150">
        <f>IF('DM_NHAN_SU'!$B35="","",IF($B35="","",IF(COUNTIF('DM_NHAN_SU'!$B$6:$B$155,$B35)&gt;1,"Trùng mã NV; ","")&amp;IF(OR($F35="",$G35=""),"Thiếu loại/hình thức lương; ","")&amp;IF('CHAM_CONG_THANG'!$D35="","Chưa chọn nguồn công; ","")&amp;IF(AND('CHAM_CONG_THANG'!$D35="Theo ngày",COUNTIF('CHAM_CONG_NGAY'!$B$6:$B$4655,$B35)=0),"Chưa có chấm công ngày; ","")&amp;IF(OR($I35&lt;=0,$J35&lt;=0),"Thiếu công/giờ chuẩn; ","")&amp;IF(AND($G35="Tháng",'DM_NHAN_SU'!$K35&lt;$BE35),"Lương tháng dưới tối thiểu vùng; ","")&amp;IF(AND($G35="Ngày",'DM_NHAN_SU'!$K35/$J35&lt;$BF35),"Lương ngày quy đổi dưới tối thiểu giờ; ","")&amp;IF(AND($G35="Giờ",'DM_NHAN_SU'!$K35&lt;$BF35),"Lương giờ dưới tối thiểu vùng; ","")&amp;IF(AND($G35="Sản phẩm",$L35&gt;0,$O35/$L35&lt;$BF35),"Lương SP quy đổi dưới tối thiểu giờ; ","")&amp;IF(OR('THAM_SO'!$C$19&lt;'THAM_SO'!$B$19,'THAM_SO'!$C$20&lt;'THAM_SO'!$B$20,'THAM_SO'!$C$21&lt;'THAM_SO'!$B$21,'THAM_SO'!$C$22&lt;'THAM_SO'!$B$22,'THAM_SO'!$C$23&lt;'THAM_SO'!$B$23,'THAM_SO'!$C$24&lt;'THAM_SO'!$B$24,'THAM_SO'!$C$25&lt;'THAM_SO'!$B$25),"Hệ số OT/đêm DN thấp hơn luật; ","")&amp;IF(AND('DM_NHAN_SU'!$R35="Có",$AD35&lt;=0),"Thiếu căn cứ đóng BH; ","")&amp;IF(AND($AD35&gt;0,$AD35&lt;'THAM_SO'!$M$6),"Căn cứ BH dưới sàn – đã nâng sàn; ","")&amp;IF($AD35&gt;'THAM_SO'!$M$7,"Căn cứ BH vượt trần – đã giới hạn; ","")&amp;IF(AND($F35="Net",SUM('CHAM_CONG_THANG'!$AF35:$AK35)&gt;0,'DM_NHAN_SU'!$Q35&lt;=0),"Net có OT nhưng chưa khai lương giờ OT; ","")&amp;IF('CHAM_CONG_THANG'!$V35&gt;$Z35,"Phần OT không miễn lớn hơn tiền OT; ","")&amp;IF(AND($F35="Net",ABS($AT35-$AC35-$AP35)&gt;1),"Lệch quy đổi Net; ","")&amp;IF(AND($BH35&gt;0,'DM_NHAN_SU'!$AD35=""),"Có phép năm nhưng đang tạm dùng 12 ngày; ","")&amp;IF(AND($G35="Sản phẩm",SUM($BH35:$BJ35)&gt;0,'DM_NHAN_SU'!$AH35&lt;=0),"Lương sản phẩm thiếu đơn giá ngày phép/lễ; ","")&amp;IF(AND($BL35&gt;=14,'CHAM_CONG_THANG'!$AA35&lt;&gt;"Có"),"Thai sản từ 14 ngày: file tự dừng đóng BH – kiểm tra hồ sơ; ","")&amp;IF(AND('DM_NHAN_SU'!$AA35="Có",'DM_NHAN_SU'!$AB35=""),"Đoàn viên chưa chọn cách tính đoàn phí; ","")&amp;IF(AND('DM_NHAN_SU'!$AB35="Nhập tay",'DM_NHAN_SU'!$AC35&gt;'THAM_SO'!$M$26),"Đoàn phí nhập tay vượt trần thông dụng; ","")&amp;IF('NGHI_PHEP'!$L35&lt;&gt;"","Phép: "&amp;'NGHI_PHEP'!$L35,"")&amp;IF('CHE_DO_BHXH'!$AA35&lt;&gt;"","BHXH: "&amp;'CHE_DO_BHXH'!$AA35,"")&amp;IF('THUONG_T13_TET'!$O35&lt;&gt;"","Thưởng: "&amp;'THUONG_T13_TET'!$O35,"")&amp;IF('QT_NGHI_VIEC'!$AF35&lt;&gt;"","Nghỉ việc: "&amp;'QT_NGHI_VIEC'!$AF35,"")&amp;IF($AX35&lt;0,"Thực lĩnh âm; ","")&amp;IF(OR('DM_NHAN_SU'!$F35&gt;'THAM_SO'!$B$7,AND('DM_NHAN_SU'!$G35&lt;&gt;"",'DM_NHAN_SU'!$G35&lt;'THAM_SO'!$B$6)),"Ngoài kỳ trả lương; ","")))</f>
        <v/>
      </c>
      <c r="BH35" s="232">
        <f>IF('DM_NHAN_SU'!$B35="","",'CHAM_CONG_THANG'!AR35)</f>
        <v/>
      </c>
      <c r="BI35" s="232">
        <f>IF('DM_NHAN_SU'!$B35="","",'CHAM_CONG_THANG'!AS35)</f>
        <v/>
      </c>
      <c r="BJ35" s="232">
        <f>IF('DM_NHAN_SU'!$B35="","",'CHAM_CONG_THANG'!AT35)</f>
        <v/>
      </c>
      <c r="BK35" s="232">
        <f>IF('DM_NHAN_SU'!$B35="","",'CHAM_CONG_THANG'!AU35)</f>
        <v/>
      </c>
      <c r="BL35" s="232">
        <f>IF('DM_NHAN_SU'!$B35="","",'CHAM_CONG_THANG'!AV35)</f>
        <v/>
      </c>
      <c r="BM35" s="232">
        <f>IF('DM_NHAN_SU'!$B35="","",'CHAM_CONG_THANG'!AW35)</f>
        <v/>
      </c>
      <c r="BN35" s="232">
        <f>IF('DM_NHAN_SU'!$B35="","",SUM($K35,$BH35:$BJ35))</f>
        <v/>
      </c>
      <c r="BO35" s="224">
        <f>IF('DM_NHAN_SU'!$B35="","",IF($B35="",0,IF($G35="Tháng",IF($I35&gt;0,'DM_NHAN_SU'!$K35*MIN($BH35+$BJ35,MAX($I35-$K35,0))/$I35,0),IF($G35="Ngày",'DM_NHAN_SU'!$K35*SUM($BH35:$BJ35),IF($G35="Giờ",'DM_NHAN_SU'!$K35*SUM($BH35:$BJ35)*$J35,IF($G35="Sản phẩm",'DM_NHAN_SU'!$AH35*SUM($BH35:$BJ35),0))))))</f>
        <v/>
      </c>
      <c r="BP35" s="224">
        <f>IF('DM_NHAN_SU'!$B35="","",IF('THUONG_T13_TET'!$L35="Có",'THUONG_T13_TET'!$I35,0))</f>
        <v/>
      </c>
      <c r="BQ35" s="224">
        <f>IF('DM_NHAN_SU'!$B35="","",IF('THUONG_T13_TET'!$L35="Có",SUM('THUONG_T13_TET'!$J35:$K35),0))</f>
        <v/>
      </c>
      <c r="BR35" s="224">
        <f>IF('DM_NHAN_SU'!$B35="","",'QT_NGHI_VIEC'!AC35)</f>
        <v/>
      </c>
      <c r="BS35" s="224">
        <f>IF('DM_NHAN_SU'!$B35="","",'QT_NGHI_VIEC'!AB35)</f>
        <v/>
      </c>
      <c r="BT35" s="224">
        <f>IF('DM_NHAN_SU'!$B35="","",IF('CHE_DO_BHXH'!$Z35="Có",'CHE_DO_BHXH'!$W35,0))</f>
        <v/>
      </c>
      <c r="BU35" s="224">
        <f>IF('DM_NHAN_SU'!$B35="","",IF('CHE_DO_BHXH'!$Y35="DN trả thay",$BT35,0))</f>
        <v/>
      </c>
      <c r="BV35" s="224">
        <f>IF('DM_NHAN_SU'!$B35="","",IF(OR('DM_NHAN_SU'!$AA35&lt;&gt;"Có",'CHE_DO_BHXH'!$O35&gt;=1,SUM('CHE_DO_BHXH'!$D35,'CHE_DO_BHXH'!$G35,'CHE_DO_BHXH'!$K35)&gt;=24,AND($I35&gt;0,$BM35&gt;=$I35)),0,IF('DM_NHAN_SU'!$AB35="Không",0,IF('DM_NHAN_SU'!$AB35="Nhập tay",'DM_NHAN_SU'!$AC35,IF('DM_NHAN_SU'!$AB35="Theo thực nhận",MIN(MAX($AT35-$AU35-$AV35-$AW35,0)*'THAM_SO'!$M$23,'THAM_SO'!$M$26),MIN($AE35*'THAM_SO'!$M$23,'THAM_SO'!$M$26))))))</f>
        <v/>
      </c>
      <c r="BW35" s="224">
        <f>IF('DM_NHAN_SU'!$B35="","",$AX35+$BU35)</f>
        <v/>
      </c>
    </row>
    <row r="36">
      <c r="A36" s="145">
        <f>IF('DM_NHAN_SU'!$B36="","",IF($B36="","",ROW()-5))</f>
        <v/>
      </c>
      <c r="B36" s="145">
        <f>IF('DM_NHAN_SU'!$B36="","",'DM_NHAN_SU'!B36)</f>
        <v/>
      </c>
      <c r="C36" s="145">
        <f>IF('DM_NHAN_SU'!$B36="","",'DM_NHAN_SU'!C36)</f>
        <v/>
      </c>
      <c r="D36" s="145">
        <f>IF('DM_NHAN_SU'!$B36="","",'DM_NHAN_SU'!D36)</f>
        <v/>
      </c>
      <c r="E36" s="145">
        <f>IF('DM_NHAN_SU'!$B36="","",'DM_NHAN_SU'!E36)</f>
        <v/>
      </c>
      <c r="F36" s="145">
        <f>IF('DM_NHAN_SU'!$B36="","",'DM_NHAN_SU'!I36)</f>
        <v/>
      </c>
      <c r="G36" s="145">
        <f>IF('DM_NHAN_SU'!$B36="","",'DM_NHAN_SU'!J36)</f>
        <v/>
      </c>
      <c r="H36" s="145">
        <f>IF('DM_NHAN_SU'!$B36="","",IF('DM_NHAN_SU'!H36="",'THAM_SO'!$B$11,'DM_NHAN_SU'!H36))</f>
        <v/>
      </c>
      <c r="I36" s="232">
        <f>IF('DM_NHAN_SU'!$B36="","",IF('DM_NHAN_SU'!L36&gt;0,'DM_NHAN_SU'!L36,'THAM_SO'!$B$9))</f>
        <v/>
      </c>
      <c r="J36" s="232">
        <f>IF('DM_NHAN_SU'!$B36="","",IF('DM_NHAN_SU'!M36&gt;0,'DM_NHAN_SU'!M36,'THAM_SO'!$B$10))</f>
        <v/>
      </c>
      <c r="K36" s="232">
        <f>IF('DM_NHAN_SU'!$B36="","",'CHAM_CONG_THANG'!AC36)</f>
        <v/>
      </c>
      <c r="L36" s="232">
        <f>IF('DM_NHAN_SU'!$B36="","",'CHAM_CONG_THANG'!AD36)</f>
        <v/>
      </c>
      <c r="M36" s="232">
        <f>IF('DM_NHAN_SU'!$B36="","",'CHAM_CONG_THANG'!AE36)</f>
        <v/>
      </c>
      <c r="N36" s="232">
        <f>IF('DM_NHAN_SU'!$B36="","",'CHAM_CONG_THANG'!N36)</f>
        <v/>
      </c>
      <c r="O36" s="224">
        <f>IF('DM_NHAN_SU'!$B36="","",IF($B36="","",IF($G36="Tháng",IF($I36&gt;0,'DM_NHAN_SU'!$K36*MIN($K36,$I36)/$I36,0),IF($G36="Ngày",'DM_NHAN_SU'!$K36*$K36,IF($G36="Giờ",'DM_NHAN_SU'!$K36*$L36,IF($G36="Sản phẩm",'DM_NHAN_SU'!$K36*$N36,0))))))</f>
        <v/>
      </c>
      <c r="P36" s="224">
        <f>IF('DM_NHAN_SU'!$B36="","",'CHAM_CONG_THANG'!O36)</f>
        <v/>
      </c>
      <c r="Q36" s="224">
        <f>IF('DM_NHAN_SU'!$B36="","",'CHAM_CONG_THANG'!P36)</f>
        <v/>
      </c>
      <c r="R36" s="224">
        <f>IF('DM_NHAN_SU'!$B36="","",'CHAM_CONG_THANG'!Q36)</f>
        <v/>
      </c>
      <c r="S36" s="224">
        <f>IF('DM_NHAN_SU'!$B36="","",'CHAM_CONG_THANG'!R36)</f>
        <v/>
      </c>
      <c r="T36" s="224">
        <f>IF('DM_NHAN_SU'!$B36="","",'CHAM_CONG_THANG'!S36)</f>
        <v/>
      </c>
      <c r="U36" s="224">
        <f>IF('DM_NHAN_SU'!$B36="","",MIN($T36,'THAM_SO'!$F$6))</f>
        <v/>
      </c>
      <c r="V36" s="224">
        <f>IF('DM_NHAN_SU'!$B36="","",MAX($T36-$U36,0))</f>
        <v/>
      </c>
      <c r="W36" s="224">
        <f>IF('DM_NHAN_SU'!$B36="","",'CHAM_CONG_THANG'!T36)</f>
        <v/>
      </c>
      <c r="X36" s="224">
        <f>IF('DM_NHAN_SU'!$B36="","",'CHAM_CONG_THANG'!U36)</f>
        <v/>
      </c>
      <c r="Y36" s="224">
        <f>IF('DM_NHAN_SU'!$B36="","",IF($B36="",0,IF('DM_NHAN_SU'!$Q36&gt;0,'DM_NHAN_SU'!$Q36,IF($G36="Tháng",IF($I36*$J36&gt;0,'DM_NHAN_SU'!$K36/($I36*$J36),0),IF($G36="Ngày",IF($J36&gt;0,'DM_NHAN_SU'!$K36/$J36,0),IF($G36="Giờ",'DM_NHAN_SU'!$K36,0))))))</f>
        <v/>
      </c>
      <c r="Z36" s="224">
        <f>IF('DM_NHAN_SU'!$B36="","",$Y36*($M36*'THAM_SO'!$C$22+'CHAM_CONG_THANG'!$AF36*'THAM_SO'!$C$19+'CHAM_CONG_THANG'!$AG36*'THAM_SO'!$C$20+'CHAM_CONG_THANG'!$AH36*'THAM_SO'!$C$21+'CHAM_CONG_THANG'!$AI36*'THAM_SO'!$C$23+'CHAM_CONG_THANG'!$AJ36*'THAM_SO'!$C$24+'CHAM_CONG_THANG'!$AK36*'THAM_SO'!$C$25))</f>
        <v/>
      </c>
      <c r="AA36" s="224">
        <f>IF('DM_NHAN_SU'!$B36="","",MAX(0,$Y36*($M36*IF('THAM_SO'!$C$22&gt;='THAM_SO'!$B$22,'THAM_SO'!$B$22,0)+'CHAM_CONG_THANG'!$AF36*IF('THAM_SO'!$C$19&gt;='THAM_SO'!$B$19,'THAM_SO'!$B$19,0)+'CHAM_CONG_THANG'!$AG36*IF('THAM_SO'!$C$20&gt;='THAM_SO'!$B$20,'THAM_SO'!$B$20,0)+'CHAM_CONG_THANG'!$AH36*IF('THAM_SO'!$C$21&gt;='THAM_SO'!$B$21,'THAM_SO'!$B$21,0)+'CHAM_CONG_THANG'!$AI36*IF('THAM_SO'!$C$23&gt;='THAM_SO'!$B$23,'THAM_SO'!$B$23,0)+'CHAM_CONG_THANG'!$AJ36*IF('THAM_SO'!$C$24&gt;='THAM_SO'!$B$24,'THAM_SO'!$B$24,0)+'CHAM_CONG_THANG'!$AK36*IF('THAM_SO'!$C$25&gt;='THAM_SO'!$B$25,'THAM_SO'!$B$25,0))-'CHAM_CONG_THANG'!$V36))</f>
        <v/>
      </c>
      <c r="AB36" s="224">
        <f>IF('DM_NHAN_SU'!$B36="","",MAX($Z36-$AA36,0))</f>
        <v/>
      </c>
      <c r="AC36" s="224">
        <f>IF('DM_NHAN_SU'!$B36="","",$O36+$P36+$Q36+$R36+$S36+$V36+$AB36+$BO36+$BP36+$BQ36+$BR36)</f>
        <v/>
      </c>
      <c r="AD36" s="224">
        <f>IF('DM_NHAN_SU'!$B36="","",'DM_NHAN_SU'!N36+'DM_NHAN_SU'!O36+'DM_NHAN_SU'!P36)</f>
        <v/>
      </c>
      <c r="AE36" s="224">
        <f>IF('DM_NHAN_SU'!$B36="","",IF(OR('DM_NHAN_SU'!$R36&lt;&gt;"Có",'CHAM_CONG_THANG'!$AA36="Có",$BL36&gt;=14,$AD36&lt;=0),0,MIN(MAX($AD36,'THAM_SO'!$M$6),'THAM_SO'!$M$7)))</f>
        <v/>
      </c>
      <c r="AF36" s="224">
        <f>IF('DM_NHAN_SU'!$B36="","",IF(OR('DM_NHAN_SU'!$S36&lt;&gt;"Có",'CHAM_CONG_THANG'!$AA36="Có",$BL36&gt;=14,$AD36&lt;=0),0,MIN(MAX($AD36,VLOOKUP($H36,'THAM_SO'!$L$17:$P$20,4,FALSE)),VLOOKUP($H36,'THAM_SO'!$L$17:$P$20,5,FALSE))))</f>
        <v/>
      </c>
      <c r="AG36" s="224">
        <f>IF('DM_NHAN_SU'!$B36="","",$AE36*'THAM_SO'!$M$8)</f>
        <v/>
      </c>
      <c r="AH36" s="224">
        <f>IF('DM_NHAN_SU'!$B36="","",$AE36*'THAM_SO'!$M$9)</f>
        <v/>
      </c>
      <c r="AI36" s="224">
        <f>IF('DM_NHAN_SU'!$B36="","",$AF36*'THAM_SO'!$M$10)</f>
        <v/>
      </c>
      <c r="AJ36" s="224">
        <f>IF('DM_NHAN_SU'!$B36="","",SUM($AG36:$AI36))</f>
        <v/>
      </c>
      <c r="AK36" s="224">
        <f>IF('DM_NHAN_SU'!$B36="","",IF($B36="",0,'THAM_SO'!$F$4))</f>
        <v/>
      </c>
      <c r="AL36" s="224">
        <f>IF('DM_NHAN_SU'!$B36="","",IF($B36="",0,'DM_NHAN_SU'!$T36*'THAM_SO'!$F$5))</f>
        <v/>
      </c>
      <c r="AM36" s="224">
        <f>IF('DM_NHAN_SU'!$B36="","",'CHAM_CONG_THANG'!W36)</f>
        <v/>
      </c>
      <c r="AN36" s="224">
        <f>IF('DM_NHAN_SU'!$B36="","",MAX($AC36-$AK36-$AL36-$AM36,0))</f>
        <v/>
      </c>
      <c r="AO36" s="224">
        <f>IF('DM_NHAN_SU'!$B36="","",IF($B36="","",IF($F36="Net",IF($AC36&lt;=$AK36+$AL36+$AM36,$AC36+$AJ36,$AJ36+$AK36+$AL36+$AM36+IF($AN36&lt;='THAM_SO'!$J$10,($AN36-'THAM_SO'!$I$10)/(1-'THAM_SO'!$H$10),IF($AN36&lt;='THAM_SO'!$J$11,($AN36-'THAM_SO'!$I$11)/(1-'THAM_SO'!$H$11),IF($AN36&lt;='THAM_SO'!$J$12,($AN36-'THAM_SO'!$I$12)/(1-'THAM_SO'!$H$12),IF($AN36&lt;='THAM_SO'!$J$13,($AN36-'THAM_SO'!$I$13)/(1-'THAM_SO'!$H$13),($AN36-'THAM_SO'!$I$14)/(1-'THAM_SO'!$H$14)))))),$AC36)))</f>
        <v/>
      </c>
      <c r="AP36" s="224">
        <f>IF('DM_NHAN_SU'!$B36="","",$U36+$W36+$X36+$AA36+$BS36)</f>
        <v/>
      </c>
      <c r="AQ36" s="224">
        <f>IF('DM_NHAN_SU'!$B36="","",MAX($AO36-$AJ36-$AK36-$AL36-$AM36,0))</f>
        <v/>
      </c>
      <c r="AR36" s="224">
        <f>IF('DM_NHAN_SU'!$B36="","",IF($AQ36&lt;=0,0,$AQ36*VLOOKUP($AQ36,'THAM_SO'!$F$10:$I$14,3,TRUE)-VLOOKUP($AQ36,'THAM_SO'!$F$10:$I$14,4,TRUE)))</f>
        <v/>
      </c>
      <c r="AS36" s="224">
        <f>IF('DM_NHAN_SU'!$B36="","",$AO36+$AP36)</f>
        <v/>
      </c>
      <c r="AT36" s="224">
        <f>IF('DM_NHAN_SU'!$B36="","",$AS36-$AJ36-$AR36)</f>
        <v/>
      </c>
      <c r="AU36" s="224">
        <f>IF('DM_NHAN_SU'!$B36="","",'CHAM_CONG_THANG'!X36)</f>
        <v/>
      </c>
      <c r="AV36" s="224">
        <f>IF('DM_NHAN_SU'!$B36="","",'CHAM_CONG_THANG'!Y36+'QT_NGHI_VIEC'!AD36)</f>
        <v/>
      </c>
      <c r="AW36" s="224">
        <f>IF('DM_NHAN_SU'!$B36="","",'CHAM_CONG_THANG'!Z36)</f>
        <v/>
      </c>
      <c r="AX36" s="224">
        <f>IF('DM_NHAN_SU'!$B36="","",$AT36-$AU36-$AV36-$AW36-$BV36)</f>
        <v/>
      </c>
      <c r="AY36" s="224">
        <f>IF('DM_NHAN_SU'!$B36="","",$AE36*'THAM_SO'!$M$11)</f>
        <v/>
      </c>
      <c r="AZ36" s="224">
        <f>IF('DM_NHAN_SU'!$B36="","",$AE36*'THAM_SO'!$M$12)</f>
        <v/>
      </c>
      <c r="BA36" s="224">
        <f>IF('DM_NHAN_SU'!$B36="","",$AF36*'THAM_SO'!$M$13)</f>
        <v/>
      </c>
      <c r="BB36" s="224">
        <f>IF('DM_NHAN_SU'!$B36="","",$AE36*'THAM_SO'!$M$14)</f>
        <v/>
      </c>
      <c r="BC36" s="224">
        <f>IF('DM_NHAN_SU'!$B36="","",SUM($AY36:$BB36))</f>
        <v/>
      </c>
      <c r="BD36" s="224">
        <f>IF('DM_NHAN_SU'!$B36="","",$AS36+$BC36)</f>
        <v/>
      </c>
      <c r="BE36" s="224">
        <f>IF('DM_NHAN_SU'!$B36="","",VLOOKUP($H36,'THAM_SO'!$L$17:$P$20,2,FALSE))</f>
        <v/>
      </c>
      <c r="BF36" s="224">
        <f>IF('DM_NHAN_SU'!$B36="","",VLOOKUP($H36,'THAM_SO'!$L$17:$P$20,3,FALSE))</f>
        <v/>
      </c>
      <c r="BG36" s="150">
        <f>IF('DM_NHAN_SU'!$B36="","",IF($B36="","",IF(COUNTIF('DM_NHAN_SU'!$B$6:$B$155,$B36)&gt;1,"Trùng mã NV; ","")&amp;IF(OR($F36="",$G36=""),"Thiếu loại/hình thức lương; ","")&amp;IF('CHAM_CONG_THANG'!$D36="","Chưa chọn nguồn công; ","")&amp;IF(AND('CHAM_CONG_THANG'!$D36="Theo ngày",COUNTIF('CHAM_CONG_NGAY'!$B$6:$B$4655,$B36)=0),"Chưa có chấm công ngày; ","")&amp;IF(OR($I36&lt;=0,$J36&lt;=0),"Thiếu công/giờ chuẩn; ","")&amp;IF(AND($G36="Tháng",'DM_NHAN_SU'!$K36&lt;$BE36),"Lương tháng dưới tối thiểu vùng; ","")&amp;IF(AND($G36="Ngày",'DM_NHAN_SU'!$K36/$J36&lt;$BF36),"Lương ngày quy đổi dưới tối thiểu giờ; ","")&amp;IF(AND($G36="Giờ",'DM_NHAN_SU'!$K36&lt;$BF36),"Lương giờ dưới tối thiểu vùng; ","")&amp;IF(AND($G36="Sản phẩm",$L36&gt;0,$O36/$L36&lt;$BF36),"Lương SP quy đổi dưới tối thiểu giờ; ","")&amp;IF(OR('THAM_SO'!$C$19&lt;'THAM_SO'!$B$19,'THAM_SO'!$C$20&lt;'THAM_SO'!$B$20,'THAM_SO'!$C$21&lt;'THAM_SO'!$B$21,'THAM_SO'!$C$22&lt;'THAM_SO'!$B$22,'THAM_SO'!$C$23&lt;'THAM_SO'!$B$23,'THAM_SO'!$C$24&lt;'THAM_SO'!$B$24,'THAM_SO'!$C$25&lt;'THAM_SO'!$B$25),"Hệ số OT/đêm DN thấp hơn luật; ","")&amp;IF(AND('DM_NHAN_SU'!$R36="Có",$AD36&lt;=0),"Thiếu căn cứ đóng BH; ","")&amp;IF(AND($AD36&gt;0,$AD36&lt;'THAM_SO'!$M$6),"Căn cứ BH dưới sàn – đã nâng sàn; ","")&amp;IF($AD36&gt;'THAM_SO'!$M$7,"Căn cứ BH vượt trần – đã giới hạn; ","")&amp;IF(AND($F36="Net",SUM('CHAM_CONG_THANG'!$AF36:$AK36)&gt;0,'DM_NHAN_SU'!$Q36&lt;=0),"Net có OT nhưng chưa khai lương giờ OT; ","")&amp;IF('CHAM_CONG_THANG'!$V36&gt;$Z36,"Phần OT không miễn lớn hơn tiền OT; ","")&amp;IF(AND($F36="Net",ABS($AT36-$AC36-$AP36)&gt;1),"Lệch quy đổi Net; ","")&amp;IF(AND($BH36&gt;0,'DM_NHAN_SU'!$AD36=""),"Có phép năm nhưng đang tạm dùng 12 ngày; ","")&amp;IF(AND($G36="Sản phẩm",SUM($BH36:$BJ36)&gt;0,'DM_NHAN_SU'!$AH36&lt;=0),"Lương sản phẩm thiếu đơn giá ngày phép/lễ; ","")&amp;IF(AND($BL36&gt;=14,'CHAM_CONG_THANG'!$AA36&lt;&gt;"Có"),"Thai sản từ 14 ngày: file tự dừng đóng BH – kiểm tra hồ sơ; ","")&amp;IF(AND('DM_NHAN_SU'!$AA36="Có",'DM_NHAN_SU'!$AB36=""),"Đoàn viên chưa chọn cách tính đoàn phí; ","")&amp;IF(AND('DM_NHAN_SU'!$AB36="Nhập tay",'DM_NHAN_SU'!$AC36&gt;'THAM_SO'!$M$26),"Đoàn phí nhập tay vượt trần thông dụng; ","")&amp;IF('NGHI_PHEP'!$L36&lt;&gt;"","Phép: "&amp;'NGHI_PHEP'!$L36,"")&amp;IF('CHE_DO_BHXH'!$AA36&lt;&gt;"","BHXH: "&amp;'CHE_DO_BHXH'!$AA36,"")&amp;IF('THUONG_T13_TET'!$O36&lt;&gt;"","Thưởng: "&amp;'THUONG_T13_TET'!$O36,"")&amp;IF('QT_NGHI_VIEC'!$AF36&lt;&gt;"","Nghỉ việc: "&amp;'QT_NGHI_VIEC'!$AF36,"")&amp;IF($AX36&lt;0,"Thực lĩnh âm; ","")&amp;IF(OR('DM_NHAN_SU'!$F36&gt;'THAM_SO'!$B$7,AND('DM_NHAN_SU'!$G36&lt;&gt;"",'DM_NHAN_SU'!$G36&lt;'THAM_SO'!$B$6)),"Ngoài kỳ trả lương; ","")))</f>
        <v/>
      </c>
      <c r="BH36" s="232">
        <f>IF('DM_NHAN_SU'!$B36="","",'CHAM_CONG_THANG'!AR36)</f>
        <v/>
      </c>
      <c r="BI36" s="232">
        <f>IF('DM_NHAN_SU'!$B36="","",'CHAM_CONG_THANG'!AS36)</f>
        <v/>
      </c>
      <c r="BJ36" s="232">
        <f>IF('DM_NHAN_SU'!$B36="","",'CHAM_CONG_THANG'!AT36)</f>
        <v/>
      </c>
      <c r="BK36" s="232">
        <f>IF('DM_NHAN_SU'!$B36="","",'CHAM_CONG_THANG'!AU36)</f>
        <v/>
      </c>
      <c r="BL36" s="232">
        <f>IF('DM_NHAN_SU'!$B36="","",'CHAM_CONG_THANG'!AV36)</f>
        <v/>
      </c>
      <c r="BM36" s="232">
        <f>IF('DM_NHAN_SU'!$B36="","",'CHAM_CONG_THANG'!AW36)</f>
        <v/>
      </c>
      <c r="BN36" s="232">
        <f>IF('DM_NHAN_SU'!$B36="","",SUM($K36,$BH36:$BJ36))</f>
        <v/>
      </c>
      <c r="BO36" s="224">
        <f>IF('DM_NHAN_SU'!$B36="","",IF($B36="",0,IF($G36="Tháng",IF($I36&gt;0,'DM_NHAN_SU'!$K36*MIN($BH36+$BJ36,MAX($I36-$K36,0))/$I36,0),IF($G36="Ngày",'DM_NHAN_SU'!$K36*SUM($BH36:$BJ36),IF($G36="Giờ",'DM_NHAN_SU'!$K36*SUM($BH36:$BJ36)*$J36,IF($G36="Sản phẩm",'DM_NHAN_SU'!$AH36*SUM($BH36:$BJ36),0))))))</f>
        <v/>
      </c>
      <c r="BP36" s="224">
        <f>IF('DM_NHAN_SU'!$B36="","",IF('THUONG_T13_TET'!$L36="Có",'THUONG_T13_TET'!$I36,0))</f>
        <v/>
      </c>
      <c r="BQ36" s="224">
        <f>IF('DM_NHAN_SU'!$B36="","",IF('THUONG_T13_TET'!$L36="Có",SUM('THUONG_T13_TET'!$J36:$K36),0))</f>
        <v/>
      </c>
      <c r="BR36" s="224">
        <f>IF('DM_NHAN_SU'!$B36="","",'QT_NGHI_VIEC'!AC36)</f>
        <v/>
      </c>
      <c r="BS36" s="224">
        <f>IF('DM_NHAN_SU'!$B36="","",'QT_NGHI_VIEC'!AB36)</f>
        <v/>
      </c>
      <c r="BT36" s="224">
        <f>IF('DM_NHAN_SU'!$B36="","",IF('CHE_DO_BHXH'!$Z36="Có",'CHE_DO_BHXH'!$W36,0))</f>
        <v/>
      </c>
      <c r="BU36" s="224">
        <f>IF('DM_NHAN_SU'!$B36="","",IF('CHE_DO_BHXH'!$Y36="DN trả thay",$BT36,0))</f>
        <v/>
      </c>
      <c r="BV36" s="224">
        <f>IF('DM_NHAN_SU'!$B36="","",IF(OR('DM_NHAN_SU'!$AA36&lt;&gt;"Có",'CHE_DO_BHXH'!$O36&gt;=1,SUM('CHE_DO_BHXH'!$D36,'CHE_DO_BHXH'!$G36,'CHE_DO_BHXH'!$K36)&gt;=24,AND($I36&gt;0,$BM36&gt;=$I36)),0,IF('DM_NHAN_SU'!$AB36="Không",0,IF('DM_NHAN_SU'!$AB36="Nhập tay",'DM_NHAN_SU'!$AC36,IF('DM_NHAN_SU'!$AB36="Theo thực nhận",MIN(MAX($AT36-$AU36-$AV36-$AW36,0)*'THAM_SO'!$M$23,'THAM_SO'!$M$26),MIN($AE36*'THAM_SO'!$M$23,'THAM_SO'!$M$26))))))</f>
        <v/>
      </c>
      <c r="BW36" s="224">
        <f>IF('DM_NHAN_SU'!$B36="","",$AX36+$BU36)</f>
        <v/>
      </c>
    </row>
    <row r="37">
      <c r="A37" s="145">
        <f>IF('DM_NHAN_SU'!$B37="","",IF($B37="","",ROW()-5))</f>
        <v/>
      </c>
      <c r="B37" s="145">
        <f>IF('DM_NHAN_SU'!$B37="","",'DM_NHAN_SU'!B37)</f>
        <v/>
      </c>
      <c r="C37" s="145">
        <f>IF('DM_NHAN_SU'!$B37="","",'DM_NHAN_SU'!C37)</f>
        <v/>
      </c>
      <c r="D37" s="145">
        <f>IF('DM_NHAN_SU'!$B37="","",'DM_NHAN_SU'!D37)</f>
        <v/>
      </c>
      <c r="E37" s="145">
        <f>IF('DM_NHAN_SU'!$B37="","",'DM_NHAN_SU'!E37)</f>
        <v/>
      </c>
      <c r="F37" s="145">
        <f>IF('DM_NHAN_SU'!$B37="","",'DM_NHAN_SU'!I37)</f>
        <v/>
      </c>
      <c r="G37" s="145">
        <f>IF('DM_NHAN_SU'!$B37="","",'DM_NHAN_SU'!J37)</f>
        <v/>
      </c>
      <c r="H37" s="145">
        <f>IF('DM_NHAN_SU'!$B37="","",IF('DM_NHAN_SU'!H37="",'THAM_SO'!$B$11,'DM_NHAN_SU'!H37))</f>
        <v/>
      </c>
      <c r="I37" s="232">
        <f>IF('DM_NHAN_SU'!$B37="","",IF('DM_NHAN_SU'!L37&gt;0,'DM_NHAN_SU'!L37,'THAM_SO'!$B$9))</f>
        <v/>
      </c>
      <c r="J37" s="232">
        <f>IF('DM_NHAN_SU'!$B37="","",IF('DM_NHAN_SU'!M37&gt;0,'DM_NHAN_SU'!M37,'THAM_SO'!$B$10))</f>
        <v/>
      </c>
      <c r="K37" s="232">
        <f>IF('DM_NHAN_SU'!$B37="","",'CHAM_CONG_THANG'!AC37)</f>
        <v/>
      </c>
      <c r="L37" s="232">
        <f>IF('DM_NHAN_SU'!$B37="","",'CHAM_CONG_THANG'!AD37)</f>
        <v/>
      </c>
      <c r="M37" s="232">
        <f>IF('DM_NHAN_SU'!$B37="","",'CHAM_CONG_THANG'!AE37)</f>
        <v/>
      </c>
      <c r="N37" s="232">
        <f>IF('DM_NHAN_SU'!$B37="","",'CHAM_CONG_THANG'!N37)</f>
        <v/>
      </c>
      <c r="O37" s="224">
        <f>IF('DM_NHAN_SU'!$B37="","",IF($B37="","",IF($G37="Tháng",IF($I37&gt;0,'DM_NHAN_SU'!$K37*MIN($K37,$I37)/$I37,0),IF($G37="Ngày",'DM_NHAN_SU'!$K37*$K37,IF($G37="Giờ",'DM_NHAN_SU'!$K37*$L37,IF($G37="Sản phẩm",'DM_NHAN_SU'!$K37*$N37,0))))))</f>
        <v/>
      </c>
      <c r="P37" s="224">
        <f>IF('DM_NHAN_SU'!$B37="","",'CHAM_CONG_THANG'!O37)</f>
        <v/>
      </c>
      <c r="Q37" s="224">
        <f>IF('DM_NHAN_SU'!$B37="","",'CHAM_CONG_THANG'!P37)</f>
        <v/>
      </c>
      <c r="R37" s="224">
        <f>IF('DM_NHAN_SU'!$B37="","",'CHAM_CONG_THANG'!Q37)</f>
        <v/>
      </c>
      <c r="S37" s="224">
        <f>IF('DM_NHAN_SU'!$B37="","",'CHAM_CONG_THANG'!R37)</f>
        <v/>
      </c>
      <c r="T37" s="224">
        <f>IF('DM_NHAN_SU'!$B37="","",'CHAM_CONG_THANG'!S37)</f>
        <v/>
      </c>
      <c r="U37" s="224">
        <f>IF('DM_NHAN_SU'!$B37="","",MIN($T37,'THAM_SO'!$F$6))</f>
        <v/>
      </c>
      <c r="V37" s="224">
        <f>IF('DM_NHAN_SU'!$B37="","",MAX($T37-$U37,0))</f>
        <v/>
      </c>
      <c r="W37" s="224">
        <f>IF('DM_NHAN_SU'!$B37="","",'CHAM_CONG_THANG'!T37)</f>
        <v/>
      </c>
      <c r="X37" s="224">
        <f>IF('DM_NHAN_SU'!$B37="","",'CHAM_CONG_THANG'!U37)</f>
        <v/>
      </c>
      <c r="Y37" s="224">
        <f>IF('DM_NHAN_SU'!$B37="","",IF($B37="",0,IF('DM_NHAN_SU'!$Q37&gt;0,'DM_NHAN_SU'!$Q37,IF($G37="Tháng",IF($I37*$J37&gt;0,'DM_NHAN_SU'!$K37/($I37*$J37),0),IF($G37="Ngày",IF($J37&gt;0,'DM_NHAN_SU'!$K37/$J37,0),IF($G37="Giờ",'DM_NHAN_SU'!$K37,0))))))</f>
        <v/>
      </c>
      <c r="Z37" s="224">
        <f>IF('DM_NHAN_SU'!$B37="","",$Y37*($M37*'THAM_SO'!$C$22+'CHAM_CONG_THANG'!$AF37*'THAM_SO'!$C$19+'CHAM_CONG_THANG'!$AG37*'THAM_SO'!$C$20+'CHAM_CONG_THANG'!$AH37*'THAM_SO'!$C$21+'CHAM_CONG_THANG'!$AI37*'THAM_SO'!$C$23+'CHAM_CONG_THANG'!$AJ37*'THAM_SO'!$C$24+'CHAM_CONG_THANG'!$AK37*'THAM_SO'!$C$25))</f>
        <v/>
      </c>
      <c r="AA37" s="224">
        <f>IF('DM_NHAN_SU'!$B37="","",MAX(0,$Y37*($M37*IF('THAM_SO'!$C$22&gt;='THAM_SO'!$B$22,'THAM_SO'!$B$22,0)+'CHAM_CONG_THANG'!$AF37*IF('THAM_SO'!$C$19&gt;='THAM_SO'!$B$19,'THAM_SO'!$B$19,0)+'CHAM_CONG_THANG'!$AG37*IF('THAM_SO'!$C$20&gt;='THAM_SO'!$B$20,'THAM_SO'!$B$20,0)+'CHAM_CONG_THANG'!$AH37*IF('THAM_SO'!$C$21&gt;='THAM_SO'!$B$21,'THAM_SO'!$B$21,0)+'CHAM_CONG_THANG'!$AI37*IF('THAM_SO'!$C$23&gt;='THAM_SO'!$B$23,'THAM_SO'!$B$23,0)+'CHAM_CONG_THANG'!$AJ37*IF('THAM_SO'!$C$24&gt;='THAM_SO'!$B$24,'THAM_SO'!$B$24,0)+'CHAM_CONG_THANG'!$AK37*IF('THAM_SO'!$C$25&gt;='THAM_SO'!$B$25,'THAM_SO'!$B$25,0))-'CHAM_CONG_THANG'!$V37))</f>
        <v/>
      </c>
      <c r="AB37" s="224">
        <f>IF('DM_NHAN_SU'!$B37="","",MAX($Z37-$AA37,0))</f>
        <v/>
      </c>
      <c r="AC37" s="224">
        <f>IF('DM_NHAN_SU'!$B37="","",$O37+$P37+$Q37+$R37+$S37+$V37+$AB37+$BO37+$BP37+$BQ37+$BR37)</f>
        <v/>
      </c>
      <c r="AD37" s="224">
        <f>IF('DM_NHAN_SU'!$B37="","",'DM_NHAN_SU'!N37+'DM_NHAN_SU'!O37+'DM_NHAN_SU'!P37)</f>
        <v/>
      </c>
      <c r="AE37" s="224">
        <f>IF('DM_NHAN_SU'!$B37="","",IF(OR('DM_NHAN_SU'!$R37&lt;&gt;"Có",'CHAM_CONG_THANG'!$AA37="Có",$BL37&gt;=14,$AD37&lt;=0),0,MIN(MAX($AD37,'THAM_SO'!$M$6),'THAM_SO'!$M$7)))</f>
        <v/>
      </c>
      <c r="AF37" s="224">
        <f>IF('DM_NHAN_SU'!$B37="","",IF(OR('DM_NHAN_SU'!$S37&lt;&gt;"Có",'CHAM_CONG_THANG'!$AA37="Có",$BL37&gt;=14,$AD37&lt;=0),0,MIN(MAX($AD37,VLOOKUP($H37,'THAM_SO'!$L$17:$P$20,4,FALSE)),VLOOKUP($H37,'THAM_SO'!$L$17:$P$20,5,FALSE))))</f>
        <v/>
      </c>
      <c r="AG37" s="224">
        <f>IF('DM_NHAN_SU'!$B37="","",$AE37*'THAM_SO'!$M$8)</f>
        <v/>
      </c>
      <c r="AH37" s="224">
        <f>IF('DM_NHAN_SU'!$B37="","",$AE37*'THAM_SO'!$M$9)</f>
        <v/>
      </c>
      <c r="AI37" s="224">
        <f>IF('DM_NHAN_SU'!$B37="","",$AF37*'THAM_SO'!$M$10)</f>
        <v/>
      </c>
      <c r="AJ37" s="224">
        <f>IF('DM_NHAN_SU'!$B37="","",SUM($AG37:$AI37))</f>
        <v/>
      </c>
      <c r="AK37" s="224">
        <f>IF('DM_NHAN_SU'!$B37="","",IF($B37="",0,'THAM_SO'!$F$4))</f>
        <v/>
      </c>
      <c r="AL37" s="224">
        <f>IF('DM_NHAN_SU'!$B37="","",IF($B37="",0,'DM_NHAN_SU'!$T37*'THAM_SO'!$F$5))</f>
        <v/>
      </c>
      <c r="AM37" s="224">
        <f>IF('DM_NHAN_SU'!$B37="","",'CHAM_CONG_THANG'!W37)</f>
        <v/>
      </c>
      <c r="AN37" s="224">
        <f>IF('DM_NHAN_SU'!$B37="","",MAX($AC37-$AK37-$AL37-$AM37,0))</f>
        <v/>
      </c>
      <c r="AO37" s="224">
        <f>IF('DM_NHAN_SU'!$B37="","",IF($B37="","",IF($F37="Net",IF($AC37&lt;=$AK37+$AL37+$AM37,$AC37+$AJ37,$AJ37+$AK37+$AL37+$AM37+IF($AN37&lt;='THAM_SO'!$J$10,($AN37-'THAM_SO'!$I$10)/(1-'THAM_SO'!$H$10),IF($AN37&lt;='THAM_SO'!$J$11,($AN37-'THAM_SO'!$I$11)/(1-'THAM_SO'!$H$11),IF($AN37&lt;='THAM_SO'!$J$12,($AN37-'THAM_SO'!$I$12)/(1-'THAM_SO'!$H$12),IF($AN37&lt;='THAM_SO'!$J$13,($AN37-'THAM_SO'!$I$13)/(1-'THAM_SO'!$H$13),($AN37-'THAM_SO'!$I$14)/(1-'THAM_SO'!$H$14)))))),$AC37)))</f>
        <v/>
      </c>
      <c r="AP37" s="224">
        <f>IF('DM_NHAN_SU'!$B37="","",$U37+$W37+$X37+$AA37+$BS37)</f>
        <v/>
      </c>
      <c r="AQ37" s="224">
        <f>IF('DM_NHAN_SU'!$B37="","",MAX($AO37-$AJ37-$AK37-$AL37-$AM37,0))</f>
        <v/>
      </c>
      <c r="AR37" s="224">
        <f>IF('DM_NHAN_SU'!$B37="","",IF($AQ37&lt;=0,0,$AQ37*VLOOKUP($AQ37,'THAM_SO'!$F$10:$I$14,3,TRUE)-VLOOKUP($AQ37,'THAM_SO'!$F$10:$I$14,4,TRUE)))</f>
        <v/>
      </c>
      <c r="AS37" s="224">
        <f>IF('DM_NHAN_SU'!$B37="","",$AO37+$AP37)</f>
        <v/>
      </c>
      <c r="AT37" s="224">
        <f>IF('DM_NHAN_SU'!$B37="","",$AS37-$AJ37-$AR37)</f>
        <v/>
      </c>
      <c r="AU37" s="224">
        <f>IF('DM_NHAN_SU'!$B37="","",'CHAM_CONG_THANG'!X37)</f>
        <v/>
      </c>
      <c r="AV37" s="224">
        <f>IF('DM_NHAN_SU'!$B37="","",'CHAM_CONG_THANG'!Y37+'QT_NGHI_VIEC'!AD37)</f>
        <v/>
      </c>
      <c r="AW37" s="224">
        <f>IF('DM_NHAN_SU'!$B37="","",'CHAM_CONG_THANG'!Z37)</f>
        <v/>
      </c>
      <c r="AX37" s="224">
        <f>IF('DM_NHAN_SU'!$B37="","",$AT37-$AU37-$AV37-$AW37-$BV37)</f>
        <v/>
      </c>
      <c r="AY37" s="224">
        <f>IF('DM_NHAN_SU'!$B37="","",$AE37*'THAM_SO'!$M$11)</f>
        <v/>
      </c>
      <c r="AZ37" s="224">
        <f>IF('DM_NHAN_SU'!$B37="","",$AE37*'THAM_SO'!$M$12)</f>
        <v/>
      </c>
      <c r="BA37" s="224">
        <f>IF('DM_NHAN_SU'!$B37="","",$AF37*'THAM_SO'!$M$13)</f>
        <v/>
      </c>
      <c r="BB37" s="224">
        <f>IF('DM_NHAN_SU'!$B37="","",$AE37*'THAM_SO'!$M$14)</f>
        <v/>
      </c>
      <c r="BC37" s="224">
        <f>IF('DM_NHAN_SU'!$B37="","",SUM($AY37:$BB37))</f>
        <v/>
      </c>
      <c r="BD37" s="224">
        <f>IF('DM_NHAN_SU'!$B37="","",$AS37+$BC37)</f>
        <v/>
      </c>
      <c r="BE37" s="224">
        <f>IF('DM_NHAN_SU'!$B37="","",VLOOKUP($H37,'THAM_SO'!$L$17:$P$20,2,FALSE))</f>
        <v/>
      </c>
      <c r="BF37" s="224">
        <f>IF('DM_NHAN_SU'!$B37="","",VLOOKUP($H37,'THAM_SO'!$L$17:$P$20,3,FALSE))</f>
        <v/>
      </c>
      <c r="BG37" s="150">
        <f>IF('DM_NHAN_SU'!$B37="","",IF($B37="","",IF(COUNTIF('DM_NHAN_SU'!$B$6:$B$155,$B37)&gt;1,"Trùng mã NV; ","")&amp;IF(OR($F37="",$G37=""),"Thiếu loại/hình thức lương; ","")&amp;IF('CHAM_CONG_THANG'!$D37="","Chưa chọn nguồn công; ","")&amp;IF(AND('CHAM_CONG_THANG'!$D37="Theo ngày",COUNTIF('CHAM_CONG_NGAY'!$B$6:$B$4655,$B37)=0),"Chưa có chấm công ngày; ","")&amp;IF(OR($I37&lt;=0,$J37&lt;=0),"Thiếu công/giờ chuẩn; ","")&amp;IF(AND($G37="Tháng",'DM_NHAN_SU'!$K37&lt;$BE37),"Lương tháng dưới tối thiểu vùng; ","")&amp;IF(AND($G37="Ngày",'DM_NHAN_SU'!$K37/$J37&lt;$BF37),"Lương ngày quy đổi dưới tối thiểu giờ; ","")&amp;IF(AND($G37="Giờ",'DM_NHAN_SU'!$K37&lt;$BF37),"Lương giờ dưới tối thiểu vùng; ","")&amp;IF(AND($G37="Sản phẩm",$L37&gt;0,$O37/$L37&lt;$BF37),"Lương SP quy đổi dưới tối thiểu giờ; ","")&amp;IF(OR('THAM_SO'!$C$19&lt;'THAM_SO'!$B$19,'THAM_SO'!$C$20&lt;'THAM_SO'!$B$20,'THAM_SO'!$C$21&lt;'THAM_SO'!$B$21,'THAM_SO'!$C$22&lt;'THAM_SO'!$B$22,'THAM_SO'!$C$23&lt;'THAM_SO'!$B$23,'THAM_SO'!$C$24&lt;'THAM_SO'!$B$24,'THAM_SO'!$C$25&lt;'THAM_SO'!$B$25),"Hệ số OT/đêm DN thấp hơn luật; ","")&amp;IF(AND('DM_NHAN_SU'!$R37="Có",$AD37&lt;=0),"Thiếu căn cứ đóng BH; ","")&amp;IF(AND($AD37&gt;0,$AD37&lt;'THAM_SO'!$M$6),"Căn cứ BH dưới sàn – đã nâng sàn; ","")&amp;IF($AD37&gt;'THAM_SO'!$M$7,"Căn cứ BH vượt trần – đã giới hạn; ","")&amp;IF(AND($F37="Net",SUM('CHAM_CONG_THANG'!$AF37:$AK37)&gt;0,'DM_NHAN_SU'!$Q37&lt;=0),"Net có OT nhưng chưa khai lương giờ OT; ","")&amp;IF('CHAM_CONG_THANG'!$V37&gt;$Z37,"Phần OT không miễn lớn hơn tiền OT; ","")&amp;IF(AND($F37="Net",ABS($AT37-$AC37-$AP37)&gt;1),"Lệch quy đổi Net; ","")&amp;IF(AND($BH37&gt;0,'DM_NHAN_SU'!$AD37=""),"Có phép năm nhưng đang tạm dùng 12 ngày; ","")&amp;IF(AND($G37="Sản phẩm",SUM($BH37:$BJ37)&gt;0,'DM_NHAN_SU'!$AH37&lt;=0),"Lương sản phẩm thiếu đơn giá ngày phép/lễ; ","")&amp;IF(AND($BL37&gt;=14,'CHAM_CONG_THANG'!$AA37&lt;&gt;"Có"),"Thai sản từ 14 ngày: file tự dừng đóng BH – kiểm tra hồ sơ; ","")&amp;IF(AND('DM_NHAN_SU'!$AA37="Có",'DM_NHAN_SU'!$AB37=""),"Đoàn viên chưa chọn cách tính đoàn phí; ","")&amp;IF(AND('DM_NHAN_SU'!$AB37="Nhập tay",'DM_NHAN_SU'!$AC37&gt;'THAM_SO'!$M$26),"Đoàn phí nhập tay vượt trần thông dụng; ","")&amp;IF('NGHI_PHEP'!$L37&lt;&gt;"","Phép: "&amp;'NGHI_PHEP'!$L37,"")&amp;IF('CHE_DO_BHXH'!$AA37&lt;&gt;"","BHXH: "&amp;'CHE_DO_BHXH'!$AA37,"")&amp;IF('THUONG_T13_TET'!$O37&lt;&gt;"","Thưởng: "&amp;'THUONG_T13_TET'!$O37,"")&amp;IF('QT_NGHI_VIEC'!$AF37&lt;&gt;"","Nghỉ việc: "&amp;'QT_NGHI_VIEC'!$AF37,"")&amp;IF($AX37&lt;0,"Thực lĩnh âm; ","")&amp;IF(OR('DM_NHAN_SU'!$F37&gt;'THAM_SO'!$B$7,AND('DM_NHAN_SU'!$G37&lt;&gt;"",'DM_NHAN_SU'!$G37&lt;'THAM_SO'!$B$6)),"Ngoài kỳ trả lương; ","")))</f>
        <v/>
      </c>
      <c r="BH37" s="232">
        <f>IF('DM_NHAN_SU'!$B37="","",'CHAM_CONG_THANG'!AR37)</f>
        <v/>
      </c>
      <c r="BI37" s="232">
        <f>IF('DM_NHAN_SU'!$B37="","",'CHAM_CONG_THANG'!AS37)</f>
        <v/>
      </c>
      <c r="BJ37" s="232">
        <f>IF('DM_NHAN_SU'!$B37="","",'CHAM_CONG_THANG'!AT37)</f>
        <v/>
      </c>
      <c r="BK37" s="232">
        <f>IF('DM_NHAN_SU'!$B37="","",'CHAM_CONG_THANG'!AU37)</f>
        <v/>
      </c>
      <c r="BL37" s="232">
        <f>IF('DM_NHAN_SU'!$B37="","",'CHAM_CONG_THANG'!AV37)</f>
        <v/>
      </c>
      <c r="BM37" s="232">
        <f>IF('DM_NHAN_SU'!$B37="","",'CHAM_CONG_THANG'!AW37)</f>
        <v/>
      </c>
      <c r="BN37" s="232">
        <f>IF('DM_NHAN_SU'!$B37="","",SUM($K37,$BH37:$BJ37))</f>
        <v/>
      </c>
      <c r="BO37" s="224">
        <f>IF('DM_NHAN_SU'!$B37="","",IF($B37="",0,IF($G37="Tháng",IF($I37&gt;0,'DM_NHAN_SU'!$K37*MIN($BH37+$BJ37,MAX($I37-$K37,0))/$I37,0),IF($G37="Ngày",'DM_NHAN_SU'!$K37*SUM($BH37:$BJ37),IF($G37="Giờ",'DM_NHAN_SU'!$K37*SUM($BH37:$BJ37)*$J37,IF($G37="Sản phẩm",'DM_NHAN_SU'!$AH37*SUM($BH37:$BJ37),0))))))</f>
        <v/>
      </c>
      <c r="BP37" s="224">
        <f>IF('DM_NHAN_SU'!$B37="","",IF('THUONG_T13_TET'!$L37="Có",'THUONG_T13_TET'!$I37,0))</f>
        <v/>
      </c>
      <c r="BQ37" s="224">
        <f>IF('DM_NHAN_SU'!$B37="","",IF('THUONG_T13_TET'!$L37="Có",SUM('THUONG_T13_TET'!$J37:$K37),0))</f>
        <v/>
      </c>
      <c r="BR37" s="224">
        <f>IF('DM_NHAN_SU'!$B37="","",'QT_NGHI_VIEC'!AC37)</f>
        <v/>
      </c>
      <c r="BS37" s="224">
        <f>IF('DM_NHAN_SU'!$B37="","",'QT_NGHI_VIEC'!AB37)</f>
        <v/>
      </c>
      <c r="BT37" s="224">
        <f>IF('DM_NHAN_SU'!$B37="","",IF('CHE_DO_BHXH'!$Z37="Có",'CHE_DO_BHXH'!$W37,0))</f>
        <v/>
      </c>
      <c r="BU37" s="224">
        <f>IF('DM_NHAN_SU'!$B37="","",IF('CHE_DO_BHXH'!$Y37="DN trả thay",$BT37,0))</f>
        <v/>
      </c>
      <c r="BV37" s="224">
        <f>IF('DM_NHAN_SU'!$B37="","",IF(OR('DM_NHAN_SU'!$AA37&lt;&gt;"Có",'CHE_DO_BHXH'!$O37&gt;=1,SUM('CHE_DO_BHXH'!$D37,'CHE_DO_BHXH'!$G37,'CHE_DO_BHXH'!$K37)&gt;=24,AND($I37&gt;0,$BM37&gt;=$I37)),0,IF('DM_NHAN_SU'!$AB37="Không",0,IF('DM_NHAN_SU'!$AB37="Nhập tay",'DM_NHAN_SU'!$AC37,IF('DM_NHAN_SU'!$AB37="Theo thực nhận",MIN(MAX($AT37-$AU37-$AV37-$AW37,0)*'THAM_SO'!$M$23,'THAM_SO'!$M$26),MIN($AE37*'THAM_SO'!$M$23,'THAM_SO'!$M$26))))))</f>
        <v/>
      </c>
      <c r="BW37" s="224">
        <f>IF('DM_NHAN_SU'!$B37="","",$AX37+$BU37)</f>
        <v/>
      </c>
    </row>
    <row r="38">
      <c r="A38" s="145">
        <f>IF('DM_NHAN_SU'!$B38="","",IF($B38="","",ROW()-5))</f>
        <v/>
      </c>
      <c r="B38" s="145">
        <f>IF('DM_NHAN_SU'!$B38="","",'DM_NHAN_SU'!B38)</f>
        <v/>
      </c>
      <c r="C38" s="145">
        <f>IF('DM_NHAN_SU'!$B38="","",'DM_NHAN_SU'!C38)</f>
        <v/>
      </c>
      <c r="D38" s="145">
        <f>IF('DM_NHAN_SU'!$B38="","",'DM_NHAN_SU'!D38)</f>
        <v/>
      </c>
      <c r="E38" s="145">
        <f>IF('DM_NHAN_SU'!$B38="","",'DM_NHAN_SU'!E38)</f>
        <v/>
      </c>
      <c r="F38" s="145">
        <f>IF('DM_NHAN_SU'!$B38="","",'DM_NHAN_SU'!I38)</f>
        <v/>
      </c>
      <c r="G38" s="145">
        <f>IF('DM_NHAN_SU'!$B38="","",'DM_NHAN_SU'!J38)</f>
        <v/>
      </c>
      <c r="H38" s="145">
        <f>IF('DM_NHAN_SU'!$B38="","",IF('DM_NHAN_SU'!H38="",'THAM_SO'!$B$11,'DM_NHAN_SU'!H38))</f>
        <v/>
      </c>
      <c r="I38" s="232">
        <f>IF('DM_NHAN_SU'!$B38="","",IF('DM_NHAN_SU'!L38&gt;0,'DM_NHAN_SU'!L38,'THAM_SO'!$B$9))</f>
        <v/>
      </c>
      <c r="J38" s="232">
        <f>IF('DM_NHAN_SU'!$B38="","",IF('DM_NHAN_SU'!M38&gt;0,'DM_NHAN_SU'!M38,'THAM_SO'!$B$10))</f>
        <v/>
      </c>
      <c r="K38" s="232">
        <f>IF('DM_NHAN_SU'!$B38="","",'CHAM_CONG_THANG'!AC38)</f>
        <v/>
      </c>
      <c r="L38" s="232">
        <f>IF('DM_NHAN_SU'!$B38="","",'CHAM_CONG_THANG'!AD38)</f>
        <v/>
      </c>
      <c r="M38" s="232">
        <f>IF('DM_NHAN_SU'!$B38="","",'CHAM_CONG_THANG'!AE38)</f>
        <v/>
      </c>
      <c r="N38" s="232">
        <f>IF('DM_NHAN_SU'!$B38="","",'CHAM_CONG_THANG'!N38)</f>
        <v/>
      </c>
      <c r="O38" s="224">
        <f>IF('DM_NHAN_SU'!$B38="","",IF($B38="","",IF($G38="Tháng",IF($I38&gt;0,'DM_NHAN_SU'!$K38*MIN($K38,$I38)/$I38,0),IF($G38="Ngày",'DM_NHAN_SU'!$K38*$K38,IF($G38="Giờ",'DM_NHAN_SU'!$K38*$L38,IF($G38="Sản phẩm",'DM_NHAN_SU'!$K38*$N38,0))))))</f>
        <v/>
      </c>
      <c r="P38" s="224">
        <f>IF('DM_NHAN_SU'!$B38="","",'CHAM_CONG_THANG'!O38)</f>
        <v/>
      </c>
      <c r="Q38" s="224">
        <f>IF('DM_NHAN_SU'!$B38="","",'CHAM_CONG_THANG'!P38)</f>
        <v/>
      </c>
      <c r="R38" s="224">
        <f>IF('DM_NHAN_SU'!$B38="","",'CHAM_CONG_THANG'!Q38)</f>
        <v/>
      </c>
      <c r="S38" s="224">
        <f>IF('DM_NHAN_SU'!$B38="","",'CHAM_CONG_THANG'!R38)</f>
        <v/>
      </c>
      <c r="T38" s="224">
        <f>IF('DM_NHAN_SU'!$B38="","",'CHAM_CONG_THANG'!S38)</f>
        <v/>
      </c>
      <c r="U38" s="224">
        <f>IF('DM_NHAN_SU'!$B38="","",MIN($T38,'THAM_SO'!$F$6))</f>
        <v/>
      </c>
      <c r="V38" s="224">
        <f>IF('DM_NHAN_SU'!$B38="","",MAX($T38-$U38,0))</f>
        <v/>
      </c>
      <c r="W38" s="224">
        <f>IF('DM_NHAN_SU'!$B38="","",'CHAM_CONG_THANG'!T38)</f>
        <v/>
      </c>
      <c r="X38" s="224">
        <f>IF('DM_NHAN_SU'!$B38="","",'CHAM_CONG_THANG'!U38)</f>
        <v/>
      </c>
      <c r="Y38" s="224">
        <f>IF('DM_NHAN_SU'!$B38="","",IF($B38="",0,IF('DM_NHAN_SU'!$Q38&gt;0,'DM_NHAN_SU'!$Q38,IF($G38="Tháng",IF($I38*$J38&gt;0,'DM_NHAN_SU'!$K38/($I38*$J38),0),IF($G38="Ngày",IF($J38&gt;0,'DM_NHAN_SU'!$K38/$J38,0),IF($G38="Giờ",'DM_NHAN_SU'!$K38,0))))))</f>
        <v/>
      </c>
      <c r="Z38" s="224">
        <f>IF('DM_NHAN_SU'!$B38="","",$Y38*($M38*'THAM_SO'!$C$22+'CHAM_CONG_THANG'!$AF38*'THAM_SO'!$C$19+'CHAM_CONG_THANG'!$AG38*'THAM_SO'!$C$20+'CHAM_CONG_THANG'!$AH38*'THAM_SO'!$C$21+'CHAM_CONG_THANG'!$AI38*'THAM_SO'!$C$23+'CHAM_CONG_THANG'!$AJ38*'THAM_SO'!$C$24+'CHAM_CONG_THANG'!$AK38*'THAM_SO'!$C$25))</f>
        <v/>
      </c>
      <c r="AA38" s="224">
        <f>IF('DM_NHAN_SU'!$B38="","",MAX(0,$Y38*($M38*IF('THAM_SO'!$C$22&gt;='THAM_SO'!$B$22,'THAM_SO'!$B$22,0)+'CHAM_CONG_THANG'!$AF38*IF('THAM_SO'!$C$19&gt;='THAM_SO'!$B$19,'THAM_SO'!$B$19,0)+'CHAM_CONG_THANG'!$AG38*IF('THAM_SO'!$C$20&gt;='THAM_SO'!$B$20,'THAM_SO'!$B$20,0)+'CHAM_CONG_THANG'!$AH38*IF('THAM_SO'!$C$21&gt;='THAM_SO'!$B$21,'THAM_SO'!$B$21,0)+'CHAM_CONG_THANG'!$AI38*IF('THAM_SO'!$C$23&gt;='THAM_SO'!$B$23,'THAM_SO'!$B$23,0)+'CHAM_CONG_THANG'!$AJ38*IF('THAM_SO'!$C$24&gt;='THAM_SO'!$B$24,'THAM_SO'!$B$24,0)+'CHAM_CONG_THANG'!$AK38*IF('THAM_SO'!$C$25&gt;='THAM_SO'!$B$25,'THAM_SO'!$B$25,0))-'CHAM_CONG_THANG'!$V38))</f>
        <v/>
      </c>
      <c r="AB38" s="224">
        <f>IF('DM_NHAN_SU'!$B38="","",MAX($Z38-$AA38,0))</f>
        <v/>
      </c>
      <c r="AC38" s="224">
        <f>IF('DM_NHAN_SU'!$B38="","",$O38+$P38+$Q38+$R38+$S38+$V38+$AB38+$BO38+$BP38+$BQ38+$BR38)</f>
        <v/>
      </c>
      <c r="AD38" s="224">
        <f>IF('DM_NHAN_SU'!$B38="","",'DM_NHAN_SU'!N38+'DM_NHAN_SU'!O38+'DM_NHAN_SU'!P38)</f>
        <v/>
      </c>
      <c r="AE38" s="224">
        <f>IF('DM_NHAN_SU'!$B38="","",IF(OR('DM_NHAN_SU'!$R38&lt;&gt;"Có",'CHAM_CONG_THANG'!$AA38="Có",$BL38&gt;=14,$AD38&lt;=0),0,MIN(MAX($AD38,'THAM_SO'!$M$6),'THAM_SO'!$M$7)))</f>
        <v/>
      </c>
      <c r="AF38" s="224">
        <f>IF('DM_NHAN_SU'!$B38="","",IF(OR('DM_NHAN_SU'!$S38&lt;&gt;"Có",'CHAM_CONG_THANG'!$AA38="Có",$BL38&gt;=14,$AD38&lt;=0),0,MIN(MAX($AD38,VLOOKUP($H38,'THAM_SO'!$L$17:$P$20,4,FALSE)),VLOOKUP($H38,'THAM_SO'!$L$17:$P$20,5,FALSE))))</f>
        <v/>
      </c>
      <c r="AG38" s="224">
        <f>IF('DM_NHAN_SU'!$B38="","",$AE38*'THAM_SO'!$M$8)</f>
        <v/>
      </c>
      <c r="AH38" s="224">
        <f>IF('DM_NHAN_SU'!$B38="","",$AE38*'THAM_SO'!$M$9)</f>
        <v/>
      </c>
      <c r="AI38" s="224">
        <f>IF('DM_NHAN_SU'!$B38="","",$AF38*'THAM_SO'!$M$10)</f>
        <v/>
      </c>
      <c r="AJ38" s="224">
        <f>IF('DM_NHAN_SU'!$B38="","",SUM($AG38:$AI38))</f>
        <v/>
      </c>
      <c r="AK38" s="224">
        <f>IF('DM_NHAN_SU'!$B38="","",IF($B38="",0,'THAM_SO'!$F$4))</f>
        <v/>
      </c>
      <c r="AL38" s="224">
        <f>IF('DM_NHAN_SU'!$B38="","",IF($B38="",0,'DM_NHAN_SU'!$T38*'THAM_SO'!$F$5))</f>
        <v/>
      </c>
      <c r="AM38" s="224">
        <f>IF('DM_NHAN_SU'!$B38="","",'CHAM_CONG_THANG'!W38)</f>
        <v/>
      </c>
      <c r="AN38" s="224">
        <f>IF('DM_NHAN_SU'!$B38="","",MAX($AC38-$AK38-$AL38-$AM38,0))</f>
        <v/>
      </c>
      <c r="AO38" s="224">
        <f>IF('DM_NHAN_SU'!$B38="","",IF($B38="","",IF($F38="Net",IF($AC38&lt;=$AK38+$AL38+$AM38,$AC38+$AJ38,$AJ38+$AK38+$AL38+$AM38+IF($AN38&lt;='THAM_SO'!$J$10,($AN38-'THAM_SO'!$I$10)/(1-'THAM_SO'!$H$10),IF($AN38&lt;='THAM_SO'!$J$11,($AN38-'THAM_SO'!$I$11)/(1-'THAM_SO'!$H$11),IF($AN38&lt;='THAM_SO'!$J$12,($AN38-'THAM_SO'!$I$12)/(1-'THAM_SO'!$H$12),IF($AN38&lt;='THAM_SO'!$J$13,($AN38-'THAM_SO'!$I$13)/(1-'THAM_SO'!$H$13),($AN38-'THAM_SO'!$I$14)/(1-'THAM_SO'!$H$14)))))),$AC38)))</f>
        <v/>
      </c>
      <c r="AP38" s="224">
        <f>IF('DM_NHAN_SU'!$B38="","",$U38+$W38+$X38+$AA38+$BS38)</f>
        <v/>
      </c>
      <c r="AQ38" s="224">
        <f>IF('DM_NHAN_SU'!$B38="","",MAX($AO38-$AJ38-$AK38-$AL38-$AM38,0))</f>
        <v/>
      </c>
      <c r="AR38" s="224">
        <f>IF('DM_NHAN_SU'!$B38="","",IF($AQ38&lt;=0,0,$AQ38*VLOOKUP($AQ38,'THAM_SO'!$F$10:$I$14,3,TRUE)-VLOOKUP($AQ38,'THAM_SO'!$F$10:$I$14,4,TRUE)))</f>
        <v/>
      </c>
      <c r="AS38" s="224">
        <f>IF('DM_NHAN_SU'!$B38="","",$AO38+$AP38)</f>
        <v/>
      </c>
      <c r="AT38" s="224">
        <f>IF('DM_NHAN_SU'!$B38="","",$AS38-$AJ38-$AR38)</f>
        <v/>
      </c>
      <c r="AU38" s="224">
        <f>IF('DM_NHAN_SU'!$B38="","",'CHAM_CONG_THANG'!X38)</f>
        <v/>
      </c>
      <c r="AV38" s="224">
        <f>IF('DM_NHAN_SU'!$B38="","",'CHAM_CONG_THANG'!Y38+'QT_NGHI_VIEC'!AD38)</f>
        <v/>
      </c>
      <c r="AW38" s="224">
        <f>IF('DM_NHAN_SU'!$B38="","",'CHAM_CONG_THANG'!Z38)</f>
        <v/>
      </c>
      <c r="AX38" s="224">
        <f>IF('DM_NHAN_SU'!$B38="","",$AT38-$AU38-$AV38-$AW38-$BV38)</f>
        <v/>
      </c>
      <c r="AY38" s="224">
        <f>IF('DM_NHAN_SU'!$B38="","",$AE38*'THAM_SO'!$M$11)</f>
        <v/>
      </c>
      <c r="AZ38" s="224">
        <f>IF('DM_NHAN_SU'!$B38="","",$AE38*'THAM_SO'!$M$12)</f>
        <v/>
      </c>
      <c r="BA38" s="224">
        <f>IF('DM_NHAN_SU'!$B38="","",$AF38*'THAM_SO'!$M$13)</f>
        <v/>
      </c>
      <c r="BB38" s="224">
        <f>IF('DM_NHAN_SU'!$B38="","",$AE38*'THAM_SO'!$M$14)</f>
        <v/>
      </c>
      <c r="BC38" s="224">
        <f>IF('DM_NHAN_SU'!$B38="","",SUM($AY38:$BB38))</f>
        <v/>
      </c>
      <c r="BD38" s="224">
        <f>IF('DM_NHAN_SU'!$B38="","",$AS38+$BC38)</f>
        <v/>
      </c>
      <c r="BE38" s="224">
        <f>IF('DM_NHAN_SU'!$B38="","",VLOOKUP($H38,'THAM_SO'!$L$17:$P$20,2,FALSE))</f>
        <v/>
      </c>
      <c r="BF38" s="224">
        <f>IF('DM_NHAN_SU'!$B38="","",VLOOKUP($H38,'THAM_SO'!$L$17:$P$20,3,FALSE))</f>
        <v/>
      </c>
      <c r="BG38" s="150">
        <f>IF('DM_NHAN_SU'!$B38="","",IF($B38="","",IF(COUNTIF('DM_NHAN_SU'!$B$6:$B$155,$B38)&gt;1,"Trùng mã NV; ","")&amp;IF(OR($F38="",$G38=""),"Thiếu loại/hình thức lương; ","")&amp;IF('CHAM_CONG_THANG'!$D38="","Chưa chọn nguồn công; ","")&amp;IF(AND('CHAM_CONG_THANG'!$D38="Theo ngày",COUNTIF('CHAM_CONG_NGAY'!$B$6:$B$4655,$B38)=0),"Chưa có chấm công ngày; ","")&amp;IF(OR($I38&lt;=0,$J38&lt;=0),"Thiếu công/giờ chuẩn; ","")&amp;IF(AND($G38="Tháng",'DM_NHAN_SU'!$K38&lt;$BE38),"Lương tháng dưới tối thiểu vùng; ","")&amp;IF(AND($G38="Ngày",'DM_NHAN_SU'!$K38/$J38&lt;$BF38),"Lương ngày quy đổi dưới tối thiểu giờ; ","")&amp;IF(AND($G38="Giờ",'DM_NHAN_SU'!$K38&lt;$BF38),"Lương giờ dưới tối thiểu vùng; ","")&amp;IF(AND($G38="Sản phẩm",$L38&gt;0,$O38/$L38&lt;$BF38),"Lương SP quy đổi dưới tối thiểu giờ; ","")&amp;IF(OR('THAM_SO'!$C$19&lt;'THAM_SO'!$B$19,'THAM_SO'!$C$20&lt;'THAM_SO'!$B$20,'THAM_SO'!$C$21&lt;'THAM_SO'!$B$21,'THAM_SO'!$C$22&lt;'THAM_SO'!$B$22,'THAM_SO'!$C$23&lt;'THAM_SO'!$B$23,'THAM_SO'!$C$24&lt;'THAM_SO'!$B$24,'THAM_SO'!$C$25&lt;'THAM_SO'!$B$25),"Hệ số OT/đêm DN thấp hơn luật; ","")&amp;IF(AND('DM_NHAN_SU'!$R38="Có",$AD38&lt;=0),"Thiếu căn cứ đóng BH; ","")&amp;IF(AND($AD38&gt;0,$AD38&lt;'THAM_SO'!$M$6),"Căn cứ BH dưới sàn – đã nâng sàn; ","")&amp;IF($AD38&gt;'THAM_SO'!$M$7,"Căn cứ BH vượt trần – đã giới hạn; ","")&amp;IF(AND($F38="Net",SUM('CHAM_CONG_THANG'!$AF38:$AK38)&gt;0,'DM_NHAN_SU'!$Q38&lt;=0),"Net có OT nhưng chưa khai lương giờ OT; ","")&amp;IF('CHAM_CONG_THANG'!$V38&gt;$Z38,"Phần OT không miễn lớn hơn tiền OT; ","")&amp;IF(AND($F38="Net",ABS($AT38-$AC38-$AP38)&gt;1),"Lệch quy đổi Net; ","")&amp;IF(AND($BH38&gt;0,'DM_NHAN_SU'!$AD38=""),"Có phép năm nhưng đang tạm dùng 12 ngày; ","")&amp;IF(AND($G38="Sản phẩm",SUM($BH38:$BJ38)&gt;0,'DM_NHAN_SU'!$AH38&lt;=0),"Lương sản phẩm thiếu đơn giá ngày phép/lễ; ","")&amp;IF(AND($BL38&gt;=14,'CHAM_CONG_THANG'!$AA38&lt;&gt;"Có"),"Thai sản từ 14 ngày: file tự dừng đóng BH – kiểm tra hồ sơ; ","")&amp;IF(AND('DM_NHAN_SU'!$AA38="Có",'DM_NHAN_SU'!$AB38=""),"Đoàn viên chưa chọn cách tính đoàn phí; ","")&amp;IF(AND('DM_NHAN_SU'!$AB38="Nhập tay",'DM_NHAN_SU'!$AC38&gt;'THAM_SO'!$M$26),"Đoàn phí nhập tay vượt trần thông dụng; ","")&amp;IF('NGHI_PHEP'!$L38&lt;&gt;"","Phép: "&amp;'NGHI_PHEP'!$L38,"")&amp;IF('CHE_DO_BHXH'!$AA38&lt;&gt;"","BHXH: "&amp;'CHE_DO_BHXH'!$AA38,"")&amp;IF('THUONG_T13_TET'!$O38&lt;&gt;"","Thưởng: "&amp;'THUONG_T13_TET'!$O38,"")&amp;IF('QT_NGHI_VIEC'!$AF38&lt;&gt;"","Nghỉ việc: "&amp;'QT_NGHI_VIEC'!$AF38,"")&amp;IF($AX38&lt;0,"Thực lĩnh âm; ","")&amp;IF(OR('DM_NHAN_SU'!$F38&gt;'THAM_SO'!$B$7,AND('DM_NHAN_SU'!$G38&lt;&gt;"",'DM_NHAN_SU'!$G38&lt;'THAM_SO'!$B$6)),"Ngoài kỳ trả lương; ","")))</f>
        <v/>
      </c>
      <c r="BH38" s="232">
        <f>IF('DM_NHAN_SU'!$B38="","",'CHAM_CONG_THANG'!AR38)</f>
        <v/>
      </c>
      <c r="BI38" s="232">
        <f>IF('DM_NHAN_SU'!$B38="","",'CHAM_CONG_THANG'!AS38)</f>
        <v/>
      </c>
      <c r="BJ38" s="232">
        <f>IF('DM_NHAN_SU'!$B38="","",'CHAM_CONG_THANG'!AT38)</f>
        <v/>
      </c>
      <c r="BK38" s="232">
        <f>IF('DM_NHAN_SU'!$B38="","",'CHAM_CONG_THANG'!AU38)</f>
        <v/>
      </c>
      <c r="BL38" s="232">
        <f>IF('DM_NHAN_SU'!$B38="","",'CHAM_CONG_THANG'!AV38)</f>
        <v/>
      </c>
      <c r="BM38" s="232">
        <f>IF('DM_NHAN_SU'!$B38="","",'CHAM_CONG_THANG'!AW38)</f>
        <v/>
      </c>
      <c r="BN38" s="232">
        <f>IF('DM_NHAN_SU'!$B38="","",SUM($K38,$BH38:$BJ38))</f>
        <v/>
      </c>
      <c r="BO38" s="224">
        <f>IF('DM_NHAN_SU'!$B38="","",IF($B38="",0,IF($G38="Tháng",IF($I38&gt;0,'DM_NHAN_SU'!$K38*MIN($BH38+$BJ38,MAX($I38-$K38,0))/$I38,0),IF($G38="Ngày",'DM_NHAN_SU'!$K38*SUM($BH38:$BJ38),IF($G38="Giờ",'DM_NHAN_SU'!$K38*SUM($BH38:$BJ38)*$J38,IF($G38="Sản phẩm",'DM_NHAN_SU'!$AH38*SUM($BH38:$BJ38),0))))))</f>
        <v/>
      </c>
      <c r="BP38" s="224">
        <f>IF('DM_NHAN_SU'!$B38="","",IF('THUONG_T13_TET'!$L38="Có",'THUONG_T13_TET'!$I38,0))</f>
        <v/>
      </c>
      <c r="BQ38" s="224">
        <f>IF('DM_NHAN_SU'!$B38="","",IF('THUONG_T13_TET'!$L38="Có",SUM('THUONG_T13_TET'!$J38:$K38),0))</f>
        <v/>
      </c>
      <c r="BR38" s="224">
        <f>IF('DM_NHAN_SU'!$B38="","",'QT_NGHI_VIEC'!AC38)</f>
        <v/>
      </c>
      <c r="BS38" s="224">
        <f>IF('DM_NHAN_SU'!$B38="","",'QT_NGHI_VIEC'!AB38)</f>
        <v/>
      </c>
      <c r="BT38" s="224">
        <f>IF('DM_NHAN_SU'!$B38="","",IF('CHE_DO_BHXH'!$Z38="Có",'CHE_DO_BHXH'!$W38,0))</f>
        <v/>
      </c>
      <c r="BU38" s="224">
        <f>IF('DM_NHAN_SU'!$B38="","",IF('CHE_DO_BHXH'!$Y38="DN trả thay",$BT38,0))</f>
        <v/>
      </c>
      <c r="BV38" s="224">
        <f>IF('DM_NHAN_SU'!$B38="","",IF(OR('DM_NHAN_SU'!$AA38&lt;&gt;"Có",'CHE_DO_BHXH'!$O38&gt;=1,SUM('CHE_DO_BHXH'!$D38,'CHE_DO_BHXH'!$G38,'CHE_DO_BHXH'!$K38)&gt;=24,AND($I38&gt;0,$BM38&gt;=$I38)),0,IF('DM_NHAN_SU'!$AB38="Không",0,IF('DM_NHAN_SU'!$AB38="Nhập tay",'DM_NHAN_SU'!$AC38,IF('DM_NHAN_SU'!$AB38="Theo thực nhận",MIN(MAX($AT38-$AU38-$AV38-$AW38,0)*'THAM_SO'!$M$23,'THAM_SO'!$M$26),MIN($AE38*'THAM_SO'!$M$23,'THAM_SO'!$M$26))))))</f>
        <v/>
      </c>
      <c r="BW38" s="224">
        <f>IF('DM_NHAN_SU'!$B38="","",$AX38+$BU38)</f>
        <v/>
      </c>
    </row>
    <row r="39">
      <c r="A39" s="145">
        <f>IF('DM_NHAN_SU'!$B39="","",IF($B39="","",ROW()-5))</f>
        <v/>
      </c>
      <c r="B39" s="145">
        <f>IF('DM_NHAN_SU'!$B39="","",'DM_NHAN_SU'!B39)</f>
        <v/>
      </c>
      <c r="C39" s="145">
        <f>IF('DM_NHAN_SU'!$B39="","",'DM_NHAN_SU'!C39)</f>
        <v/>
      </c>
      <c r="D39" s="145">
        <f>IF('DM_NHAN_SU'!$B39="","",'DM_NHAN_SU'!D39)</f>
        <v/>
      </c>
      <c r="E39" s="145">
        <f>IF('DM_NHAN_SU'!$B39="","",'DM_NHAN_SU'!E39)</f>
        <v/>
      </c>
      <c r="F39" s="145">
        <f>IF('DM_NHAN_SU'!$B39="","",'DM_NHAN_SU'!I39)</f>
        <v/>
      </c>
      <c r="G39" s="145">
        <f>IF('DM_NHAN_SU'!$B39="","",'DM_NHAN_SU'!J39)</f>
        <v/>
      </c>
      <c r="H39" s="145">
        <f>IF('DM_NHAN_SU'!$B39="","",IF('DM_NHAN_SU'!H39="",'THAM_SO'!$B$11,'DM_NHAN_SU'!H39))</f>
        <v/>
      </c>
      <c r="I39" s="232">
        <f>IF('DM_NHAN_SU'!$B39="","",IF('DM_NHAN_SU'!L39&gt;0,'DM_NHAN_SU'!L39,'THAM_SO'!$B$9))</f>
        <v/>
      </c>
      <c r="J39" s="232">
        <f>IF('DM_NHAN_SU'!$B39="","",IF('DM_NHAN_SU'!M39&gt;0,'DM_NHAN_SU'!M39,'THAM_SO'!$B$10))</f>
        <v/>
      </c>
      <c r="K39" s="232">
        <f>IF('DM_NHAN_SU'!$B39="","",'CHAM_CONG_THANG'!AC39)</f>
        <v/>
      </c>
      <c r="L39" s="232">
        <f>IF('DM_NHAN_SU'!$B39="","",'CHAM_CONG_THANG'!AD39)</f>
        <v/>
      </c>
      <c r="M39" s="232">
        <f>IF('DM_NHAN_SU'!$B39="","",'CHAM_CONG_THANG'!AE39)</f>
        <v/>
      </c>
      <c r="N39" s="232">
        <f>IF('DM_NHAN_SU'!$B39="","",'CHAM_CONG_THANG'!N39)</f>
        <v/>
      </c>
      <c r="O39" s="224">
        <f>IF('DM_NHAN_SU'!$B39="","",IF($B39="","",IF($G39="Tháng",IF($I39&gt;0,'DM_NHAN_SU'!$K39*MIN($K39,$I39)/$I39,0),IF($G39="Ngày",'DM_NHAN_SU'!$K39*$K39,IF($G39="Giờ",'DM_NHAN_SU'!$K39*$L39,IF($G39="Sản phẩm",'DM_NHAN_SU'!$K39*$N39,0))))))</f>
        <v/>
      </c>
      <c r="P39" s="224">
        <f>IF('DM_NHAN_SU'!$B39="","",'CHAM_CONG_THANG'!O39)</f>
        <v/>
      </c>
      <c r="Q39" s="224">
        <f>IF('DM_NHAN_SU'!$B39="","",'CHAM_CONG_THANG'!P39)</f>
        <v/>
      </c>
      <c r="R39" s="224">
        <f>IF('DM_NHAN_SU'!$B39="","",'CHAM_CONG_THANG'!Q39)</f>
        <v/>
      </c>
      <c r="S39" s="224">
        <f>IF('DM_NHAN_SU'!$B39="","",'CHAM_CONG_THANG'!R39)</f>
        <v/>
      </c>
      <c r="T39" s="224">
        <f>IF('DM_NHAN_SU'!$B39="","",'CHAM_CONG_THANG'!S39)</f>
        <v/>
      </c>
      <c r="U39" s="224">
        <f>IF('DM_NHAN_SU'!$B39="","",MIN($T39,'THAM_SO'!$F$6))</f>
        <v/>
      </c>
      <c r="V39" s="224">
        <f>IF('DM_NHAN_SU'!$B39="","",MAX($T39-$U39,0))</f>
        <v/>
      </c>
      <c r="W39" s="224">
        <f>IF('DM_NHAN_SU'!$B39="","",'CHAM_CONG_THANG'!T39)</f>
        <v/>
      </c>
      <c r="X39" s="224">
        <f>IF('DM_NHAN_SU'!$B39="","",'CHAM_CONG_THANG'!U39)</f>
        <v/>
      </c>
      <c r="Y39" s="224">
        <f>IF('DM_NHAN_SU'!$B39="","",IF($B39="",0,IF('DM_NHAN_SU'!$Q39&gt;0,'DM_NHAN_SU'!$Q39,IF($G39="Tháng",IF($I39*$J39&gt;0,'DM_NHAN_SU'!$K39/($I39*$J39),0),IF($G39="Ngày",IF($J39&gt;0,'DM_NHAN_SU'!$K39/$J39,0),IF($G39="Giờ",'DM_NHAN_SU'!$K39,0))))))</f>
        <v/>
      </c>
      <c r="Z39" s="224">
        <f>IF('DM_NHAN_SU'!$B39="","",$Y39*($M39*'THAM_SO'!$C$22+'CHAM_CONG_THANG'!$AF39*'THAM_SO'!$C$19+'CHAM_CONG_THANG'!$AG39*'THAM_SO'!$C$20+'CHAM_CONG_THANG'!$AH39*'THAM_SO'!$C$21+'CHAM_CONG_THANG'!$AI39*'THAM_SO'!$C$23+'CHAM_CONG_THANG'!$AJ39*'THAM_SO'!$C$24+'CHAM_CONG_THANG'!$AK39*'THAM_SO'!$C$25))</f>
        <v/>
      </c>
      <c r="AA39" s="224">
        <f>IF('DM_NHAN_SU'!$B39="","",MAX(0,$Y39*($M39*IF('THAM_SO'!$C$22&gt;='THAM_SO'!$B$22,'THAM_SO'!$B$22,0)+'CHAM_CONG_THANG'!$AF39*IF('THAM_SO'!$C$19&gt;='THAM_SO'!$B$19,'THAM_SO'!$B$19,0)+'CHAM_CONG_THANG'!$AG39*IF('THAM_SO'!$C$20&gt;='THAM_SO'!$B$20,'THAM_SO'!$B$20,0)+'CHAM_CONG_THANG'!$AH39*IF('THAM_SO'!$C$21&gt;='THAM_SO'!$B$21,'THAM_SO'!$B$21,0)+'CHAM_CONG_THANG'!$AI39*IF('THAM_SO'!$C$23&gt;='THAM_SO'!$B$23,'THAM_SO'!$B$23,0)+'CHAM_CONG_THANG'!$AJ39*IF('THAM_SO'!$C$24&gt;='THAM_SO'!$B$24,'THAM_SO'!$B$24,0)+'CHAM_CONG_THANG'!$AK39*IF('THAM_SO'!$C$25&gt;='THAM_SO'!$B$25,'THAM_SO'!$B$25,0))-'CHAM_CONG_THANG'!$V39))</f>
        <v/>
      </c>
      <c r="AB39" s="224">
        <f>IF('DM_NHAN_SU'!$B39="","",MAX($Z39-$AA39,0))</f>
        <v/>
      </c>
      <c r="AC39" s="224">
        <f>IF('DM_NHAN_SU'!$B39="","",$O39+$P39+$Q39+$R39+$S39+$V39+$AB39+$BO39+$BP39+$BQ39+$BR39)</f>
        <v/>
      </c>
      <c r="AD39" s="224">
        <f>IF('DM_NHAN_SU'!$B39="","",'DM_NHAN_SU'!N39+'DM_NHAN_SU'!O39+'DM_NHAN_SU'!P39)</f>
        <v/>
      </c>
      <c r="AE39" s="224">
        <f>IF('DM_NHAN_SU'!$B39="","",IF(OR('DM_NHAN_SU'!$R39&lt;&gt;"Có",'CHAM_CONG_THANG'!$AA39="Có",$BL39&gt;=14,$AD39&lt;=0),0,MIN(MAX($AD39,'THAM_SO'!$M$6),'THAM_SO'!$M$7)))</f>
        <v/>
      </c>
      <c r="AF39" s="224">
        <f>IF('DM_NHAN_SU'!$B39="","",IF(OR('DM_NHAN_SU'!$S39&lt;&gt;"Có",'CHAM_CONG_THANG'!$AA39="Có",$BL39&gt;=14,$AD39&lt;=0),0,MIN(MAX($AD39,VLOOKUP($H39,'THAM_SO'!$L$17:$P$20,4,FALSE)),VLOOKUP($H39,'THAM_SO'!$L$17:$P$20,5,FALSE))))</f>
        <v/>
      </c>
      <c r="AG39" s="224">
        <f>IF('DM_NHAN_SU'!$B39="","",$AE39*'THAM_SO'!$M$8)</f>
        <v/>
      </c>
      <c r="AH39" s="224">
        <f>IF('DM_NHAN_SU'!$B39="","",$AE39*'THAM_SO'!$M$9)</f>
        <v/>
      </c>
      <c r="AI39" s="224">
        <f>IF('DM_NHAN_SU'!$B39="","",$AF39*'THAM_SO'!$M$10)</f>
        <v/>
      </c>
      <c r="AJ39" s="224">
        <f>IF('DM_NHAN_SU'!$B39="","",SUM($AG39:$AI39))</f>
        <v/>
      </c>
      <c r="AK39" s="224">
        <f>IF('DM_NHAN_SU'!$B39="","",IF($B39="",0,'THAM_SO'!$F$4))</f>
        <v/>
      </c>
      <c r="AL39" s="224">
        <f>IF('DM_NHAN_SU'!$B39="","",IF($B39="",0,'DM_NHAN_SU'!$T39*'THAM_SO'!$F$5))</f>
        <v/>
      </c>
      <c r="AM39" s="224">
        <f>IF('DM_NHAN_SU'!$B39="","",'CHAM_CONG_THANG'!W39)</f>
        <v/>
      </c>
      <c r="AN39" s="224">
        <f>IF('DM_NHAN_SU'!$B39="","",MAX($AC39-$AK39-$AL39-$AM39,0))</f>
        <v/>
      </c>
      <c r="AO39" s="224">
        <f>IF('DM_NHAN_SU'!$B39="","",IF($B39="","",IF($F39="Net",IF($AC39&lt;=$AK39+$AL39+$AM39,$AC39+$AJ39,$AJ39+$AK39+$AL39+$AM39+IF($AN39&lt;='THAM_SO'!$J$10,($AN39-'THAM_SO'!$I$10)/(1-'THAM_SO'!$H$10),IF($AN39&lt;='THAM_SO'!$J$11,($AN39-'THAM_SO'!$I$11)/(1-'THAM_SO'!$H$11),IF($AN39&lt;='THAM_SO'!$J$12,($AN39-'THAM_SO'!$I$12)/(1-'THAM_SO'!$H$12),IF($AN39&lt;='THAM_SO'!$J$13,($AN39-'THAM_SO'!$I$13)/(1-'THAM_SO'!$H$13),($AN39-'THAM_SO'!$I$14)/(1-'THAM_SO'!$H$14)))))),$AC39)))</f>
        <v/>
      </c>
      <c r="AP39" s="224">
        <f>IF('DM_NHAN_SU'!$B39="","",$U39+$W39+$X39+$AA39+$BS39)</f>
        <v/>
      </c>
      <c r="AQ39" s="224">
        <f>IF('DM_NHAN_SU'!$B39="","",MAX($AO39-$AJ39-$AK39-$AL39-$AM39,0))</f>
        <v/>
      </c>
      <c r="AR39" s="224">
        <f>IF('DM_NHAN_SU'!$B39="","",IF($AQ39&lt;=0,0,$AQ39*VLOOKUP($AQ39,'THAM_SO'!$F$10:$I$14,3,TRUE)-VLOOKUP($AQ39,'THAM_SO'!$F$10:$I$14,4,TRUE)))</f>
        <v/>
      </c>
      <c r="AS39" s="224">
        <f>IF('DM_NHAN_SU'!$B39="","",$AO39+$AP39)</f>
        <v/>
      </c>
      <c r="AT39" s="224">
        <f>IF('DM_NHAN_SU'!$B39="","",$AS39-$AJ39-$AR39)</f>
        <v/>
      </c>
      <c r="AU39" s="224">
        <f>IF('DM_NHAN_SU'!$B39="","",'CHAM_CONG_THANG'!X39)</f>
        <v/>
      </c>
      <c r="AV39" s="224">
        <f>IF('DM_NHAN_SU'!$B39="","",'CHAM_CONG_THANG'!Y39+'QT_NGHI_VIEC'!AD39)</f>
        <v/>
      </c>
      <c r="AW39" s="224">
        <f>IF('DM_NHAN_SU'!$B39="","",'CHAM_CONG_THANG'!Z39)</f>
        <v/>
      </c>
      <c r="AX39" s="224">
        <f>IF('DM_NHAN_SU'!$B39="","",$AT39-$AU39-$AV39-$AW39-$BV39)</f>
        <v/>
      </c>
      <c r="AY39" s="224">
        <f>IF('DM_NHAN_SU'!$B39="","",$AE39*'THAM_SO'!$M$11)</f>
        <v/>
      </c>
      <c r="AZ39" s="224">
        <f>IF('DM_NHAN_SU'!$B39="","",$AE39*'THAM_SO'!$M$12)</f>
        <v/>
      </c>
      <c r="BA39" s="224">
        <f>IF('DM_NHAN_SU'!$B39="","",$AF39*'THAM_SO'!$M$13)</f>
        <v/>
      </c>
      <c r="BB39" s="224">
        <f>IF('DM_NHAN_SU'!$B39="","",$AE39*'THAM_SO'!$M$14)</f>
        <v/>
      </c>
      <c r="BC39" s="224">
        <f>IF('DM_NHAN_SU'!$B39="","",SUM($AY39:$BB39))</f>
        <v/>
      </c>
      <c r="BD39" s="224">
        <f>IF('DM_NHAN_SU'!$B39="","",$AS39+$BC39)</f>
        <v/>
      </c>
      <c r="BE39" s="224">
        <f>IF('DM_NHAN_SU'!$B39="","",VLOOKUP($H39,'THAM_SO'!$L$17:$P$20,2,FALSE))</f>
        <v/>
      </c>
      <c r="BF39" s="224">
        <f>IF('DM_NHAN_SU'!$B39="","",VLOOKUP($H39,'THAM_SO'!$L$17:$P$20,3,FALSE))</f>
        <v/>
      </c>
      <c r="BG39" s="150">
        <f>IF('DM_NHAN_SU'!$B39="","",IF($B39="","",IF(COUNTIF('DM_NHAN_SU'!$B$6:$B$155,$B39)&gt;1,"Trùng mã NV; ","")&amp;IF(OR($F39="",$G39=""),"Thiếu loại/hình thức lương; ","")&amp;IF('CHAM_CONG_THANG'!$D39="","Chưa chọn nguồn công; ","")&amp;IF(AND('CHAM_CONG_THANG'!$D39="Theo ngày",COUNTIF('CHAM_CONG_NGAY'!$B$6:$B$4655,$B39)=0),"Chưa có chấm công ngày; ","")&amp;IF(OR($I39&lt;=0,$J39&lt;=0),"Thiếu công/giờ chuẩn; ","")&amp;IF(AND($G39="Tháng",'DM_NHAN_SU'!$K39&lt;$BE39),"Lương tháng dưới tối thiểu vùng; ","")&amp;IF(AND($G39="Ngày",'DM_NHAN_SU'!$K39/$J39&lt;$BF39),"Lương ngày quy đổi dưới tối thiểu giờ; ","")&amp;IF(AND($G39="Giờ",'DM_NHAN_SU'!$K39&lt;$BF39),"Lương giờ dưới tối thiểu vùng; ","")&amp;IF(AND($G39="Sản phẩm",$L39&gt;0,$O39/$L39&lt;$BF39),"Lương SP quy đổi dưới tối thiểu giờ; ","")&amp;IF(OR('THAM_SO'!$C$19&lt;'THAM_SO'!$B$19,'THAM_SO'!$C$20&lt;'THAM_SO'!$B$20,'THAM_SO'!$C$21&lt;'THAM_SO'!$B$21,'THAM_SO'!$C$22&lt;'THAM_SO'!$B$22,'THAM_SO'!$C$23&lt;'THAM_SO'!$B$23,'THAM_SO'!$C$24&lt;'THAM_SO'!$B$24,'THAM_SO'!$C$25&lt;'THAM_SO'!$B$25),"Hệ số OT/đêm DN thấp hơn luật; ","")&amp;IF(AND('DM_NHAN_SU'!$R39="Có",$AD39&lt;=0),"Thiếu căn cứ đóng BH; ","")&amp;IF(AND($AD39&gt;0,$AD39&lt;'THAM_SO'!$M$6),"Căn cứ BH dưới sàn – đã nâng sàn; ","")&amp;IF($AD39&gt;'THAM_SO'!$M$7,"Căn cứ BH vượt trần – đã giới hạn; ","")&amp;IF(AND($F39="Net",SUM('CHAM_CONG_THANG'!$AF39:$AK39)&gt;0,'DM_NHAN_SU'!$Q39&lt;=0),"Net có OT nhưng chưa khai lương giờ OT; ","")&amp;IF('CHAM_CONG_THANG'!$V39&gt;$Z39,"Phần OT không miễn lớn hơn tiền OT; ","")&amp;IF(AND($F39="Net",ABS($AT39-$AC39-$AP39)&gt;1),"Lệch quy đổi Net; ","")&amp;IF(AND($BH39&gt;0,'DM_NHAN_SU'!$AD39=""),"Có phép năm nhưng đang tạm dùng 12 ngày; ","")&amp;IF(AND($G39="Sản phẩm",SUM($BH39:$BJ39)&gt;0,'DM_NHAN_SU'!$AH39&lt;=0),"Lương sản phẩm thiếu đơn giá ngày phép/lễ; ","")&amp;IF(AND($BL39&gt;=14,'CHAM_CONG_THANG'!$AA39&lt;&gt;"Có"),"Thai sản từ 14 ngày: file tự dừng đóng BH – kiểm tra hồ sơ; ","")&amp;IF(AND('DM_NHAN_SU'!$AA39="Có",'DM_NHAN_SU'!$AB39=""),"Đoàn viên chưa chọn cách tính đoàn phí; ","")&amp;IF(AND('DM_NHAN_SU'!$AB39="Nhập tay",'DM_NHAN_SU'!$AC39&gt;'THAM_SO'!$M$26),"Đoàn phí nhập tay vượt trần thông dụng; ","")&amp;IF('NGHI_PHEP'!$L39&lt;&gt;"","Phép: "&amp;'NGHI_PHEP'!$L39,"")&amp;IF('CHE_DO_BHXH'!$AA39&lt;&gt;"","BHXH: "&amp;'CHE_DO_BHXH'!$AA39,"")&amp;IF('THUONG_T13_TET'!$O39&lt;&gt;"","Thưởng: "&amp;'THUONG_T13_TET'!$O39,"")&amp;IF('QT_NGHI_VIEC'!$AF39&lt;&gt;"","Nghỉ việc: "&amp;'QT_NGHI_VIEC'!$AF39,"")&amp;IF($AX39&lt;0,"Thực lĩnh âm; ","")&amp;IF(OR('DM_NHAN_SU'!$F39&gt;'THAM_SO'!$B$7,AND('DM_NHAN_SU'!$G39&lt;&gt;"",'DM_NHAN_SU'!$G39&lt;'THAM_SO'!$B$6)),"Ngoài kỳ trả lương; ","")))</f>
        <v/>
      </c>
      <c r="BH39" s="232">
        <f>IF('DM_NHAN_SU'!$B39="","",'CHAM_CONG_THANG'!AR39)</f>
        <v/>
      </c>
      <c r="BI39" s="232">
        <f>IF('DM_NHAN_SU'!$B39="","",'CHAM_CONG_THANG'!AS39)</f>
        <v/>
      </c>
      <c r="BJ39" s="232">
        <f>IF('DM_NHAN_SU'!$B39="","",'CHAM_CONG_THANG'!AT39)</f>
        <v/>
      </c>
      <c r="BK39" s="232">
        <f>IF('DM_NHAN_SU'!$B39="","",'CHAM_CONG_THANG'!AU39)</f>
        <v/>
      </c>
      <c r="BL39" s="232">
        <f>IF('DM_NHAN_SU'!$B39="","",'CHAM_CONG_THANG'!AV39)</f>
        <v/>
      </c>
      <c r="BM39" s="232">
        <f>IF('DM_NHAN_SU'!$B39="","",'CHAM_CONG_THANG'!AW39)</f>
        <v/>
      </c>
      <c r="BN39" s="232">
        <f>IF('DM_NHAN_SU'!$B39="","",SUM($K39,$BH39:$BJ39))</f>
        <v/>
      </c>
      <c r="BO39" s="224">
        <f>IF('DM_NHAN_SU'!$B39="","",IF($B39="",0,IF($G39="Tháng",IF($I39&gt;0,'DM_NHAN_SU'!$K39*MIN($BH39+$BJ39,MAX($I39-$K39,0))/$I39,0),IF($G39="Ngày",'DM_NHAN_SU'!$K39*SUM($BH39:$BJ39),IF($G39="Giờ",'DM_NHAN_SU'!$K39*SUM($BH39:$BJ39)*$J39,IF($G39="Sản phẩm",'DM_NHAN_SU'!$AH39*SUM($BH39:$BJ39),0))))))</f>
        <v/>
      </c>
      <c r="BP39" s="224">
        <f>IF('DM_NHAN_SU'!$B39="","",IF('THUONG_T13_TET'!$L39="Có",'THUONG_T13_TET'!$I39,0))</f>
        <v/>
      </c>
      <c r="BQ39" s="224">
        <f>IF('DM_NHAN_SU'!$B39="","",IF('THUONG_T13_TET'!$L39="Có",SUM('THUONG_T13_TET'!$J39:$K39),0))</f>
        <v/>
      </c>
      <c r="BR39" s="224">
        <f>IF('DM_NHAN_SU'!$B39="","",'QT_NGHI_VIEC'!AC39)</f>
        <v/>
      </c>
      <c r="BS39" s="224">
        <f>IF('DM_NHAN_SU'!$B39="","",'QT_NGHI_VIEC'!AB39)</f>
        <v/>
      </c>
      <c r="BT39" s="224">
        <f>IF('DM_NHAN_SU'!$B39="","",IF('CHE_DO_BHXH'!$Z39="Có",'CHE_DO_BHXH'!$W39,0))</f>
        <v/>
      </c>
      <c r="BU39" s="224">
        <f>IF('DM_NHAN_SU'!$B39="","",IF('CHE_DO_BHXH'!$Y39="DN trả thay",$BT39,0))</f>
        <v/>
      </c>
      <c r="BV39" s="224">
        <f>IF('DM_NHAN_SU'!$B39="","",IF(OR('DM_NHAN_SU'!$AA39&lt;&gt;"Có",'CHE_DO_BHXH'!$O39&gt;=1,SUM('CHE_DO_BHXH'!$D39,'CHE_DO_BHXH'!$G39,'CHE_DO_BHXH'!$K39)&gt;=24,AND($I39&gt;0,$BM39&gt;=$I39)),0,IF('DM_NHAN_SU'!$AB39="Không",0,IF('DM_NHAN_SU'!$AB39="Nhập tay",'DM_NHAN_SU'!$AC39,IF('DM_NHAN_SU'!$AB39="Theo thực nhận",MIN(MAX($AT39-$AU39-$AV39-$AW39,0)*'THAM_SO'!$M$23,'THAM_SO'!$M$26),MIN($AE39*'THAM_SO'!$M$23,'THAM_SO'!$M$26))))))</f>
        <v/>
      </c>
      <c r="BW39" s="224">
        <f>IF('DM_NHAN_SU'!$B39="","",$AX39+$BU39)</f>
        <v/>
      </c>
    </row>
    <row r="40">
      <c r="A40" s="145">
        <f>IF('DM_NHAN_SU'!$B40="","",IF($B40="","",ROW()-5))</f>
        <v/>
      </c>
      <c r="B40" s="145">
        <f>IF('DM_NHAN_SU'!$B40="","",'DM_NHAN_SU'!B40)</f>
        <v/>
      </c>
      <c r="C40" s="145">
        <f>IF('DM_NHAN_SU'!$B40="","",'DM_NHAN_SU'!C40)</f>
        <v/>
      </c>
      <c r="D40" s="145">
        <f>IF('DM_NHAN_SU'!$B40="","",'DM_NHAN_SU'!D40)</f>
        <v/>
      </c>
      <c r="E40" s="145">
        <f>IF('DM_NHAN_SU'!$B40="","",'DM_NHAN_SU'!E40)</f>
        <v/>
      </c>
      <c r="F40" s="145">
        <f>IF('DM_NHAN_SU'!$B40="","",'DM_NHAN_SU'!I40)</f>
        <v/>
      </c>
      <c r="G40" s="145">
        <f>IF('DM_NHAN_SU'!$B40="","",'DM_NHAN_SU'!J40)</f>
        <v/>
      </c>
      <c r="H40" s="145">
        <f>IF('DM_NHAN_SU'!$B40="","",IF('DM_NHAN_SU'!H40="",'THAM_SO'!$B$11,'DM_NHAN_SU'!H40))</f>
        <v/>
      </c>
      <c r="I40" s="232">
        <f>IF('DM_NHAN_SU'!$B40="","",IF('DM_NHAN_SU'!L40&gt;0,'DM_NHAN_SU'!L40,'THAM_SO'!$B$9))</f>
        <v/>
      </c>
      <c r="J40" s="232">
        <f>IF('DM_NHAN_SU'!$B40="","",IF('DM_NHAN_SU'!M40&gt;0,'DM_NHAN_SU'!M40,'THAM_SO'!$B$10))</f>
        <v/>
      </c>
      <c r="K40" s="232">
        <f>IF('DM_NHAN_SU'!$B40="","",'CHAM_CONG_THANG'!AC40)</f>
        <v/>
      </c>
      <c r="L40" s="232">
        <f>IF('DM_NHAN_SU'!$B40="","",'CHAM_CONG_THANG'!AD40)</f>
        <v/>
      </c>
      <c r="M40" s="232">
        <f>IF('DM_NHAN_SU'!$B40="","",'CHAM_CONG_THANG'!AE40)</f>
        <v/>
      </c>
      <c r="N40" s="232">
        <f>IF('DM_NHAN_SU'!$B40="","",'CHAM_CONG_THANG'!N40)</f>
        <v/>
      </c>
      <c r="O40" s="224">
        <f>IF('DM_NHAN_SU'!$B40="","",IF($B40="","",IF($G40="Tháng",IF($I40&gt;0,'DM_NHAN_SU'!$K40*MIN($K40,$I40)/$I40,0),IF($G40="Ngày",'DM_NHAN_SU'!$K40*$K40,IF($G40="Giờ",'DM_NHAN_SU'!$K40*$L40,IF($G40="Sản phẩm",'DM_NHAN_SU'!$K40*$N40,0))))))</f>
        <v/>
      </c>
      <c r="P40" s="224">
        <f>IF('DM_NHAN_SU'!$B40="","",'CHAM_CONG_THANG'!O40)</f>
        <v/>
      </c>
      <c r="Q40" s="224">
        <f>IF('DM_NHAN_SU'!$B40="","",'CHAM_CONG_THANG'!P40)</f>
        <v/>
      </c>
      <c r="R40" s="224">
        <f>IF('DM_NHAN_SU'!$B40="","",'CHAM_CONG_THANG'!Q40)</f>
        <v/>
      </c>
      <c r="S40" s="224">
        <f>IF('DM_NHAN_SU'!$B40="","",'CHAM_CONG_THANG'!R40)</f>
        <v/>
      </c>
      <c r="T40" s="224">
        <f>IF('DM_NHAN_SU'!$B40="","",'CHAM_CONG_THANG'!S40)</f>
        <v/>
      </c>
      <c r="U40" s="224">
        <f>IF('DM_NHAN_SU'!$B40="","",MIN($T40,'THAM_SO'!$F$6))</f>
        <v/>
      </c>
      <c r="V40" s="224">
        <f>IF('DM_NHAN_SU'!$B40="","",MAX($T40-$U40,0))</f>
        <v/>
      </c>
      <c r="W40" s="224">
        <f>IF('DM_NHAN_SU'!$B40="","",'CHAM_CONG_THANG'!T40)</f>
        <v/>
      </c>
      <c r="X40" s="224">
        <f>IF('DM_NHAN_SU'!$B40="","",'CHAM_CONG_THANG'!U40)</f>
        <v/>
      </c>
      <c r="Y40" s="224">
        <f>IF('DM_NHAN_SU'!$B40="","",IF($B40="",0,IF('DM_NHAN_SU'!$Q40&gt;0,'DM_NHAN_SU'!$Q40,IF($G40="Tháng",IF($I40*$J40&gt;0,'DM_NHAN_SU'!$K40/($I40*$J40),0),IF($G40="Ngày",IF($J40&gt;0,'DM_NHAN_SU'!$K40/$J40,0),IF($G40="Giờ",'DM_NHAN_SU'!$K40,0))))))</f>
        <v/>
      </c>
      <c r="Z40" s="224">
        <f>IF('DM_NHAN_SU'!$B40="","",$Y40*($M40*'THAM_SO'!$C$22+'CHAM_CONG_THANG'!$AF40*'THAM_SO'!$C$19+'CHAM_CONG_THANG'!$AG40*'THAM_SO'!$C$20+'CHAM_CONG_THANG'!$AH40*'THAM_SO'!$C$21+'CHAM_CONG_THANG'!$AI40*'THAM_SO'!$C$23+'CHAM_CONG_THANG'!$AJ40*'THAM_SO'!$C$24+'CHAM_CONG_THANG'!$AK40*'THAM_SO'!$C$25))</f>
        <v/>
      </c>
      <c r="AA40" s="224">
        <f>IF('DM_NHAN_SU'!$B40="","",MAX(0,$Y40*($M40*IF('THAM_SO'!$C$22&gt;='THAM_SO'!$B$22,'THAM_SO'!$B$22,0)+'CHAM_CONG_THANG'!$AF40*IF('THAM_SO'!$C$19&gt;='THAM_SO'!$B$19,'THAM_SO'!$B$19,0)+'CHAM_CONG_THANG'!$AG40*IF('THAM_SO'!$C$20&gt;='THAM_SO'!$B$20,'THAM_SO'!$B$20,0)+'CHAM_CONG_THANG'!$AH40*IF('THAM_SO'!$C$21&gt;='THAM_SO'!$B$21,'THAM_SO'!$B$21,0)+'CHAM_CONG_THANG'!$AI40*IF('THAM_SO'!$C$23&gt;='THAM_SO'!$B$23,'THAM_SO'!$B$23,0)+'CHAM_CONG_THANG'!$AJ40*IF('THAM_SO'!$C$24&gt;='THAM_SO'!$B$24,'THAM_SO'!$B$24,0)+'CHAM_CONG_THANG'!$AK40*IF('THAM_SO'!$C$25&gt;='THAM_SO'!$B$25,'THAM_SO'!$B$25,0))-'CHAM_CONG_THANG'!$V40))</f>
        <v/>
      </c>
      <c r="AB40" s="224">
        <f>IF('DM_NHAN_SU'!$B40="","",MAX($Z40-$AA40,0))</f>
        <v/>
      </c>
      <c r="AC40" s="224">
        <f>IF('DM_NHAN_SU'!$B40="","",$O40+$P40+$Q40+$R40+$S40+$V40+$AB40+$BO40+$BP40+$BQ40+$BR40)</f>
        <v/>
      </c>
      <c r="AD40" s="224">
        <f>IF('DM_NHAN_SU'!$B40="","",'DM_NHAN_SU'!N40+'DM_NHAN_SU'!O40+'DM_NHAN_SU'!P40)</f>
        <v/>
      </c>
      <c r="AE40" s="224">
        <f>IF('DM_NHAN_SU'!$B40="","",IF(OR('DM_NHAN_SU'!$R40&lt;&gt;"Có",'CHAM_CONG_THANG'!$AA40="Có",$BL40&gt;=14,$AD40&lt;=0),0,MIN(MAX($AD40,'THAM_SO'!$M$6),'THAM_SO'!$M$7)))</f>
        <v/>
      </c>
      <c r="AF40" s="224">
        <f>IF('DM_NHAN_SU'!$B40="","",IF(OR('DM_NHAN_SU'!$S40&lt;&gt;"Có",'CHAM_CONG_THANG'!$AA40="Có",$BL40&gt;=14,$AD40&lt;=0),0,MIN(MAX($AD40,VLOOKUP($H40,'THAM_SO'!$L$17:$P$20,4,FALSE)),VLOOKUP($H40,'THAM_SO'!$L$17:$P$20,5,FALSE))))</f>
        <v/>
      </c>
      <c r="AG40" s="224">
        <f>IF('DM_NHAN_SU'!$B40="","",$AE40*'THAM_SO'!$M$8)</f>
        <v/>
      </c>
      <c r="AH40" s="224">
        <f>IF('DM_NHAN_SU'!$B40="","",$AE40*'THAM_SO'!$M$9)</f>
        <v/>
      </c>
      <c r="AI40" s="224">
        <f>IF('DM_NHAN_SU'!$B40="","",$AF40*'THAM_SO'!$M$10)</f>
        <v/>
      </c>
      <c r="AJ40" s="224">
        <f>IF('DM_NHAN_SU'!$B40="","",SUM($AG40:$AI40))</f>
        <v/>
      </c>
      <c r="AK40" s="224">
        <f>IF('DM_NHAN_SU'!$B40="","",IF($B40="",0,'THAM_SO'!$F$4))</f>
        <v/>
      </c>
      <c r="AL40" s="224">
        <f>IF('DM_NHAN_SU'!$B40="","",IF($B40="",0,'DM_NHAN_SU'!$T40*'THAM_SO'!$F$5))</f>
        <v/>
      </c>
      <c r="AM40" s="224">
        <f>IF('DM_NHAN_SU'!$B40="","",'CHAM_CONG_THANG'!W40)</f>
        <v/>
      </c>
      <c r="AN40" s="224">
        <f>IF('DM_NHAN_SU'!$B40="","",MAX($AC40-$AK40-$AL40-$AM40,0))</f>
        <v/>
      </c>
      <c r="AO40" s="224">
        <f>IF('DM_NHAN_SU'!$B40="","",IF($B40="","",IF($F40="Net",IF($AC40&lt;=$AK40+$AL40+$AM40,$AC40+$AJ40,$AJ40+$AK40+$AL40+$AM40+IF($AN40&lt;='THAM_SO'!$J$10,($AN40-'THAM_SO'!$I$10)/(1-'THAM_SO'!$H$10),IF($AN40&lt;='THAM_SO'!$J$11,($AN40-'THAM_SO'!$I$11)/(1-'THAM_SO'!$H$11),IF($AN40&lt;='THAM_SO'!$J$12,($AN40-'THAM_SO'!$I$12)/(1-'THAM_SO'!$H$12),IF($AN40&lt;='THAM_SO'!$J$13,($AN40-'THAM_SO'!$I$13)/(1-'THAM_SO'!$H$13),($AN40-'THAM_SO'!$I$14)/(1-'THAM_SO'!$H$14)))))),$AC40)))</f>
        <v/>
      </c>
      <c r="AP40" s="224">
        <f>IF('DM_NHAN_SU'!$B40="","",$U40+$W40+$X40+$AA40+$BS40)</f>
        <v/>
      </c>
      <c r="AQ40" s="224">
        <f>IF('DM_NHAN_SU'!$B40="","",MAX($AO40-$AJ40-$AK40-$AL40-$AM40,0))</f>
        <v/>
      </c>
      <c r="AR40" s="224">
        <f>IF('DM_NHAN_SU'!$B40="","",IF($AQ40&lt;=0,0,$AQ40*VLOOKUP($AQ40,'THAM_SO'!$F$10:$I$14,3,TRUE)-VLOOKUP($AQ40,'THAM_SO'!$F$10:$I$14,4,TRUE)))</f>
        <v/>
      </c>
      <c r="AS40" s="224">
        <f>IF('DM_NHAN_SU'!$B40="","",$AO40+$AP40)</f>
        <v/>
      </c>
      <c r="AT40" s="224">
        <f>IF('DM_NHAN_SU'!$B40="","",$AS40-$AJ40-$AR40)</f>
        <v/>
      </c>
      <c r="AU40" s="224">
        <f>IF('DM_NHAN_SU'!$B40="","",'CHAM_CONG_THANG'!X40)</f>
        <v/>
      </c>
      <c r="AV40" s="224">
        <f>IF('DM_NHAN_SU'!$B40="","",'CHAM_CONG_THANG'!Y40+'QT_NGHI_VIEC'!AD40)</f>
        <v/>
      </c>
      <c r="AW40" s="224">
        <f>IF('DM_NHAN_SU'!$B40="","",'CHAM_CONG_THANG'!Z40)</f>
        <v/>
      </c>
      <c r="AX40" s="224">
        <f>IF('DM_NHAN_SU'!$B40="","",$AT40-$AU40-$AV40-$AW40-$BV40)</f>
        <v/>
      </c>
      <c r="AY40" s="224">
        <f>IF('DM_NHAN_SU'!$B40="","",$AE40*'THAM_SO'!$M$11)</f>
        <v/>
      </c>
      <c r="AZ40" s="224">
        <f>IF('DM_NHAN_SU'!$B40="","",$AE40*'THAM_SO'!$M$12)</f>
        <v/>
      </c>
      <c r="BA40" s="224">
        <f>IF('DM_NHAN_SU'!$B40="","",$AF40*'THAM_SO'!$M$13)</f>
        <v/>
      </c>
      <c r="BB40" s="224">
        <f>IF('DM_NHAN_SU'!$B40="","",$AE40*'THAM_SO'!$M$14)</f>
        <v/>
      </c>
      <c r="BC40" s="224">
        <f>IF('DM_NHAN_SU'!$B40="","",SUM($AY40:$BB40))</f>
        <v/>
      </c>
      <c r="BD40" s="224">
        <f>IF('DM_NHAN_SU'!$B40="","",$AS40+$BC40)</f>
        <v/>
      </c>
      <c r="BE40" s="224">
        <f>IF('DM_NHAN_SU'!$B40="","",VLOOKUP($H40,'THAM_SO'!$L$17:$P$20,2,FALSE))</f>
        <v/>
      </c>
      <c r="BF40" s="224">
        <f>IF('DM_NHAN_SU'!$B40="","",VLOOKUP($H40,'THAM_SO'!$L$17:$P$20,3,FALSE))</f>
        <v/>
      </c>
      <c r="BG40" s="150">
        <f>IF('DM_NHAN_SU'!$B40="","",IF($B40="","",IF(COUNTIF('DM_NHAN_SU'!$B$6:$B$155,$B40)&gt;1,"Trùng mã NV; ","")&amp;IF(OR($F40="",$G40=""),"Thiếu loại/hình thức lương; ","")&amp;IF('CHAM_CONG_THANG'!$D40="","Chưa chọn nguồn công; ","")&amp;IF(AND('CHAM_CONG_THANG'!$D40="Theo ngày",COUNTIF('CHAM_CONG_NGAY'!$B$6:$B$4655,$B40)=0),"Chưa có chấm công ngày; ","")&amp;IF(OR($I40&lt;=0,$J40&lt;=0),"Thiếu công/giờ chuẩn; ","")&amp;IF(AND($G40="Tháng",'DM_NHAN_SU'!$K40&lt;$BE40),"Lương tháng dưới tối thiểu vùng; ","")&amp;IF(AND($G40="Ngày",'DM_NHAN_SU'!$K40/$J40&lt;$BF40),"Lương ngày quy đổi dưới tối thiểu giờ; ","")&amp;IF(AND($G40="Giờ",'DM_NHAN_SU'!$K40&lt;$BF40),"Lương giờ dưới tối thiểu vùng; ","")&amp;IF(AND($G40="Sản phẩm",$L40&gt;0,$O40/$L40&lt;$BF40),"Lương SP quy đổi dưới tối thiểu giờ; ","")&amp;IF(OR('THAM_SO'!$C$19&lt;'THAM_SO'!$B$19,'THAM_SO'!$C$20&lt;'THAM_SO'!$B$20,'THAM_SO'!$C$21&lt;'THAM_SO'!$B$21,'THAM_SO'!$C$22&lt;'THAM_SO'!$B$22,'THAM_SO'!$C$23&lt;'THAM_SO'!$B$23,'THAM_SO'!$C$24&lt;'THAM_SO'!$B$24,'THAM_SO'!$C$25&lt;'THAM_SO'!$B$25),"Hệ số OT/đêm DN thấp hơn luật; ","")&amp;IF(AND('DM_NHAN_SU'!$R40="Có",$AD40&lt;=0),"Thiếu căn cứ đóng BH; ","")&amp;IF(AND($AD40&gt;0,$AD40&lt;'THAM_SO'!$M$6),"Căn cứ BH dưới sàn – đã nâng sàn; ","")&amp;IF($AD40&gt;'THAM_SO'!$M$7,"Căn cứ BH vượt trần – đã giới hạn; ","")&amp;IF(AND($F40="Net",SUM('CHAM_CONG_THANG'!$AF40:$AK40)&gt;0,'DM_NHAN_SU'!$Q40&lt;=0),"Net có OT nhưng chưa khai lương giờ OT; ","")&amp;IF('CHAM_CONG_THANG'!$V40&gt;$Z40,"Phần OT không miễn lớn hơn tiền OT; ","")&amp;IF(AND($F40="Net",ABS($AT40-$AC40-$AP40)&gt;1),"Lệch quy đổi Net; ","")&amp;IF(AND($BH40&gt;0,'DM_NHAN_SU'!$AD40=""),"Có phép năm nhưng đang tạm dùng 12 ngày; ","")&amp;IF(AND($G40="Sản phẩm",SUM($BH40:$BJ40)&gt;0,'DM_NHAN_SU'!$AH40&lt;=0),"Lương sản phẩm thiếu đơn giá ngày phép/lễ; ","")&amp;IF(AND($BL40&gt;=14,'CHAM_CONG_THANG'!$AA40&lt;&gt;"Có"),"Thai sản từ 14 ngày: file tự dừng đóng BH – kiểm tra hồ sơ; ","")&amp;IF(AND('DM_NHAN_SU'!$AA40="Có",'DM_NHAN_SU'!$AB40=""),"Đoàn viên chưa chọn cách tính đoàn phí; ","")&amp;IF(AND('DM_NHAN_SU'!$AB40="Nhập tay",'DM_NHAN_SU'!$AC40&gt;'THAM_SO'!$M$26),"Đoàn phí nhập tay vượt trần thông dụng; ","")&amp;IF('NGHI_PHEP'!$L40&lt;&gt;"","Phép: "&amp;'NGHI_PHEP'!$L40,"")&amp;IF('CHE_DO_BHXH'!$AA40&lt;&gt;"","BHXH: "&amp;'CHE_DO_BHXH'!$AA40,"")&amp;IF('THUONG_T13_TET'!$O40&lt;&gt;"","Thưởng: "&amp;'THUONG_T13_TET'!$O40,"")&amp;IF('QT_NGHI_VIEC'!$AF40&lt;&gt;"","Nghỉ việc: "&amp;'QT_NGHI_VIEC'!$AF40,"")&amp;IF($AX40&lt;0,"Thực lĩnh âm; ","")&amp;IF(OR('DM_NHAN_SU'!$F40&gt;'THAM_SO'!$B$7,AND('DM_NHAN_SU'!$G40&lt;&gt;"",'DM_NHAN_SU'!$G40&lt;'THAM_SO'!$B$6)),"Ngoài kỳ trả lương; ","")))</f>
        <v/>
      </c>
      <c r="BH40" s="232">
        <f>IF('DM_NHAN_SU'!$B40="","",'CHAM_CONG_THANG'!AR40)</f>
        <v/>
      </c>
      <c r="BI40" s="232">
        <f>IF('DM_NHAN_SU'!$B40="","",'CHAM_CONG_THANG'!AS40)</f>
        <v/>
      </c>
      <c r="BJ40" s="232">
        <f>IF('DM_NHAN_SU'!$B40="","",'CHAM_CONG_THANG'!AT40)</f>
        <v/>
      </c>
      <c r="BK40" s="232">
        <f>IF('DM_NHAN_SU'!$B40="","",'CHAM_CONG_THANG'!AU40)</f>
        <v/>
      </c>
      <c r="BL40" s="232">
        <f>IF('DM_NHAN_SU'!$B40="","",'CHAM_CONG_THANG'!AV40)</f>
        <v/>
      </c>
      <c r="BM40" s="232">
        <f>IF('DM_NHAN_SU'!$B40="","",'CHAM_CONG_THANG'!AW40)</f>
        <v/>
      </c>
      <c r="BN40" s="232">
        <f>IF('DM_NHAN_SU'!$B40="","",SUM($K40,$BH40:$BJ40))</f>
        <v/>
      </c>
      <c r="BO40" s="224">
        <f>IF('DM_NHAN_SU'!$B40="","",IF($B40="",0,IF($G40="Tháng",IF($I40&gt;0,'DM_NHAN_SU'!$K40*MIN($BH40+$BJ40,MAX($I40-$K40,0))/$I40,0),IF($G40="Ngày",'DM_NHAN_SU'!$K40*SUM($BH40:$BJ40),IF($G40="Giờ",'DM_NHAN_SU'!$K40*SUM($BH40:$BJ40)*$J40,IF($G40="Sản phẩm",'DM_NHAN_SU'!$AH40*SUM($BH40:$BJ40),0))))))</f>
        <v/>
      </c>
      <c r="BP40" s="224">
        <f>IF('DM_NHAN_SU'!$B40="","",IF('THUONG_T13_TET'!$L40="Có",'THUONG_T13_TET'!$I40,0))</f>
        <v/>
      </c>
      <c r="BQ40" s="224">
        <f>IF('DM_NHAN_SU'!$B40="","",IF('THUONG_T13_TET'!$L40="Có",SUM('THUONG_T13_TET'!$J40:$K40),0))</f>
        <v/>
      </c>
      <c r="BR40" s="224">
        <f>IF('DM_NHAN_SU'!$B40="","",'QT_NGHI_VIEC'!AC40)</f>
        <v/>
      </c>
      <c r="BS40" s="224">
        <f>IF('DM_NHAN_SU'!$B40="","",'QT_NGHI_VIEC'!AB40)</f>
        <v/>
      </c>
      <c r="BT40" s="224">
        <f>IF('DM_NHAN_SU'!$B40="","",IF('CHE_DO_BHXH'!$Z40="Có",'CHE_DO_BHXH'!$W40,0))</f>
        <v/>
      </c>
      <c r="BU40" s="224">
        <f>IF('DM_NHAN_SU'!$B40="","",IF('CHE_DO_BHXH'!$Y40="DN trả thay",$BT40,0))</f>
        <v/>
      </c>
      <c r="BV40" s="224">
        <f>IF('DM_NHAN_SU'!$B40="","",IF(OR('DM_NHAN_SU'!$AA40&lt;&gt;"Có",'CHE_DO_BHXH'!$O40&gt;=1,SUM('CHE_DO_BHXH'!$D40,'CHE_DO_BHXH'!$G40,'CHE_DO_BHXH'!$K40)&gt;=24,AND($I40&gt;0,$BM40&gt;=$I40)),0,IF('DM_NHAN_SU'!$AB40="Không",0,IF('DM_NHAN_SU'!$AB40="Nhập tay",'DM_NHAN_SU'!$AC40,IF('DM_NHAN_SU'!$AB40="Theo thực nhận",MIN(MAX($AT40-$AU40-$AV40-$AW40,0)*'THAM_SO'!$M$23,'THAM_SO'!$M$26),MIN($AE40*'THAM_SO'!$M$23,'THAM_SO'!$M$26))))))</f>
        <v/>
      </c>
      <c r="BW40" s="224">
        <f>IF('DM_NHAN_SU'!$B40="","",$AX40+$BU40)</f>
        <v/>
      </c>
    </row>
    <row r="41">
      <c r="A41" s="145">
        <f>IF('DM_NHAN_SU'!$B41="","",IF($B41="","",ROW()-5))</f>
        <v/>
      </c>
      <c r="B41" s="145">
        <f>IF('DM_NHAN_SU'!$B41="","",'DM_NHAN_SU'!B41)</f>
        <v/>
      </c>
      <c r="C41" s="145">
        <f>IF('DM_NHAN_SU'!$B41="","",'DM_NHAN_SU'!C41)</f>
        <v/>
      </c>
      <c r="D41" s="145">
        <f>IF('DM_NHAN_SU'!$B41="","",'DM_NHAN_SU'!D41)</f>
        <v/>
      </c>
      <c r="E41" s="145">
        <f>IF('DM_NHAN_SU'!$B41="","",'DM_NHAN_SU'!E41)</f>
        <v/>
      </c>
      <c r="F41" s="145">
        <f>IF('DM_NHAN_SU'!$B41="","",'DM_NHAN_SU'!I41)</f>
        <v/>
      </c>
      <c r="G41" s="145">
        <f>IF('DM_NHAN_SU'!$B41="","",'DM_NHAN_SU'!J41)</f>
        <v/>
      </c>
      <c r="H41" s="145">
        <f>IF('DM_NHAN_SU'!$B41="","",IF('DM_NHAN_SU'!H41="",'THAM_SO'!$B$11,'DM_NHAN_SU'!H41))</f>
        <v/>
      </c>
      <c r="I41" s="232">
        <f>IF('DM_NHAN_SU'!$B41="","",IF('DM_NHAN_SU'!L41&gt;0,'DM_NHAN_SU'!L41,'THAM_SO'!$B$9))</f>
        <v/>
      </c>
      <c r="J41" s="232">
        <f>IF('DM_NHAN_SU'!$B41="","",IF('DM_NHAN_SU'!M41&gt;0,'DM_NHAN_SU'!M41,'THAM_SO'!$B$10))</f>
        <v/>
      </c>
      <c r="K41" s="232">
        <f>IF('DM_NHAN_SU'!$B41="","",'CHAM_CONG_THANG'!AC41)</f>
        <v/>
      </c>
      <c r="L41" s="232">
        <f>IF('DM_NHAN_SU'!$B41="","",'CHAM_CONG_THANG'!AD41)</f>
        <v/>
      </c>
      <c r="M41" s="232">
        <f>IF('DM_NHAN_SU'!$B41="","",'CHAM_CONG_THANG'!AE41)</f>
        <v/>
      </c>
      <c r="N41" s="232">
        <f>IF('DM_NHAN_SU'!$B41="","",'CHAM_CONG_THANG'!N41)</f>
        <v/>
      </c>
      <c r="O41" s="224">
        <f>IF('DM_NHAN_SU'!$B41="","",IF($B41="","",IF($G41="Tháng",IF($I41&gt;0,'DM_NHAN_SU'!$K41*MIN($K41,$I41)/$I41,0),IF($G41="Ngày",'DM_NHAN_SU'!$K41*$K41,IF($G41="Giờ",'DM_NHAN_SU'!$K41*$L41,IF($G41="Sản phẩm",'DM_NHAN_SU'!$K41*$N41,0))))))</f>
        <v/>
      </c>
      <c r="P41" s="224">
        <f>IF('DM_NHAN_SU'!$B41="","",'CHAM_CONG_THANG'!O41)</f>
        <v/>
      </c>
      <c r="Q41" s="224">
        <f>IF('DM_NHAN_SU'!$B41="","",'CHAM_CONG_THANG'!P41)</f>
        <v/>
      </c>
      <c r="R41" s="224">
        <f>IF('DM_NHAN_SU'!$B41="","",'CHAM_CONG_THANG'!Q41)</f>
        <v/>
      </c>
      <c r="S41" s="224">
        <f>IF('DM_NHAN_SU'!$B41="","",'CHAM_CONG_THANG'!R41)</f>
        <v/>
      </c>
      <c r="T41" s="224">
        <f>IF('DM_NHAN_SU'!$B41="","",'CHAM_CONG_THANG'!S41)</f>
        <v/>
      </c>
      <c r="U41" s="224">
        <f>IF('DM_NHAN_SU'!$B41="","",MIN($T41,'THAM_SO'!$F$6))</f>
        <v/>
      </c>
      <c r="V41" s="224">
        <f>IF('DM_NHAN_SU'!$B41="","",MAX($T41-$U41,0))</f>
        <v/>
      </c>
      <c r="W41" s="224">
        <f>IF('DM_NHAN_SU'!$B41="","",'CHAM_CONG_THANG'!T41)</f>
        <v/>
      </c>
      <c r="X41" s="224">
        <f>IF('DM_NHAN_SU'!$B41="","",'CHAM_CONG_THANG'!U41)</f>
        <v/>
      </c>
      <c r="Y41" s="224">
        <f>IF('DM_NHAN_SU'!$B41="","",IF($B41="",0,IF('DM_NHAN_SU'!$Q41&gt;0,'DM_NHAN_SU'!$Q41,IF($G41="Tháng",IF($I41*$J41&gt;0,'DM_NHAN_SU'!$K41/($I41*$J41),0),IF($G41="Ngày",IF($J41&gt;0,'DM_NHAN_SU'!$K41/$J41,0),IF($G41="Giờ",'DM_NHAN_SU'!$K41,0))))))</f>
        <v/>
      </c>
      <c r="Z41" s="224">
        <f>IF('DM_NHAN_SU'!$B41="","",$Y41*($M41*'THAM_SO'!$C$22+'CHAM_CONG_THANG'!$AF41*'THAM_SO'!$C$19+'CHAM_CONG_THANG'!$AG41*'THAM_SO'!$C$20+'CHAM_CONG_THANG'!$AH41*'THAM_SO'!$C$21+'CHAM_CONG_THANG'!$AI41*'THAM_SO'!$C$23+'CHAM_CONG_THANG'!$AJ41*'THAM_SO'!$C$24+'CHAM_CONG_THANG'!$AK41*'THAM_SO'!$C$25))</f>
        <v/>
      </c>
      <c r="AA41" s="224">
        <f>IF('DM_NHAN_SU'!$B41="","",MAX(0,$Y41*($M41*IF('THAM_SO'!$C$22&gt;='THAM_SO'!$B$22,'THAM_SO'!$B$22,0)+'CHAM_CONG_THANG'!$AF41*IF('THAM_SO'!$C$19&gt;='THAM_SO'!$B$19,'THAM_SO'!$B$19,0)+'CHAM_CONG_THANG'!$AG41*IF('THAM_SO'!$C$20&gt;='THAM_SO'!$B$20,'THAM_SO'!$B$20,0)+'CHAM_CONG_THANG'!$AH41*IF('THAM_SO'!$C$21&gt;='THAM_SO'!$B$21,'THAM_SO'!$B$21,0)+'CHAM_CONG_THANG'!$AI41*IF('THAM_SO'!$C$23&gt;='THAM_SO'!$B$23,'THAM_SO'!$B$23,0)+'CHAM_CONG_THANG'!$AJ41*IF('THAM_SO'!$C$24&gt;='THAM_SO'!$B$24,'THAM_SO'!$B$24,0)+'CHAM_CONG_THANG'!$AK41*IF('THAM_SO'!$C$25&gt;='THAM_SO'!$B$25,'THAM_SO'!$B$25,0))-'CHAM_CONG_THANG'!$V41))</f>
        <v/>
      </c>
      <c r="AB41" s="224">
        <f>IF('DM_NHAN_SU'!$B41="","",MAX($Z41-$AA41,0))</f>
        <v/>
      </c>
      <c r="AC41" s="224">
        <f>IF('DM_NHAN_SU'!$B41="","",$O41+$P41+$Q41+$R41+$S41+$V41+$AB41+$BO41+$BP41+$BQ41+$BR41)</f>
        <v/>
      </c>
      <c r="AD41" s="224">
        <f>IF('DM_NHAN_SU'!$B41="","",'DM_NHAN_SU'!N41+'DM_NHAN_SU'!O41+'DM_NHAN_SU'!P41)</f>
        <v/>
      </c>
      <c r="AE41" s="224">
        <f>IF('DM_NHAN_SU'!$B41="","",IF(OR('DM_NHAN_SU'!$R41&lt;&gt;"Có",'CHAM_CONG_THANG'!$AA41="Có",$BL41&gt;=14,$AD41&lt;=0),0,MIN(MAX($AD41,'THAM_SO'!$M$6),'THAM_SO'!$M$7)))</f>
        <v/>
      </c>
      <c r="AF41" s="224">
        <f>IF('DM_NHAN_SU'!$B41="","",IF(OR('DM_NHAN_SU'!$S41&lt;&gt;"Có",'CHAM_CONG_THANG'!$AA41="Có",$BL41&gt;=14,$AD41&lt;=0),0,MIN(MAX($AD41,VLOOKUP($H41,'THAM_SO'!$L$17:$P$20,4,FALSE)),VLOOKUP($H41,'THAM_SO'!$L$17:$P$20,5,FALSE))))</f>
        <v/>
      </c>
      <c r="AG41" s="224">
        <f>IF('DM_NHAN_SU'!$B41="","",$AE41*'THAM_SO'!$M$8)</f>
        <v/>
      </c>
      <c r="AH41" s="224">
        <f>IF('DM_NHAN_SU'!$B41="","",$AE41*'THAM_SO'!$M$9)</f>
        <v/>
      </c>
      <c r="AI41" s="224">
        <f>IF('DM_NHAN_SU'!$B41="","",$AF41*'THAM_SO'!$M$10)</f>
        <v/>
      </c>
      <c r="AJ41" s="224">
        <f>IF('DM_NHAN_SU'!$B41="","",SUM($AG41:$AI41))</f>
        <v/>
      </c>
      <c r="AK41" s="224">
        <f>IF('DM_NHAN_SU'!$B41="","",IF($B41="",0,'THAM_SO'!$F$4))</f>
        <v/>
      </c>
      <c r="AL41" s="224">
        <f>IF('DM_NHAN_SU'!$B41="","",IF($B41="",0,'DM_NHAN_SU'!$T41*'THAM_SO'!$F$5))</f>
        <v/>
      </c>
      <c r="AM41" s="224">
        <f>IF('DM_NHAN_SU'!$B41="","",'CHAM_CONG_THANG'!W41)</f>
        <v/>
      </c>
      <c r="AN41" s="224">
        <f>IF('DM_NHAN_SU'!$B41="","",MAX($AC41-$AK41-$AL41-$AM41,0))</f>
        <v/>
      </c>
      <c r="AO41" s="224">
        <f>IF('DM_NHAN_SU'!$B41="","",IF($B41="","",IF($F41="Net",IF($AC41&lt;=$AK41+$AL41+$AM41,$AC41+$AJ41,$AJ41+$AK41+$AL41+$AM41+IF($AN41&lt;='THAM_SO'!$J$10,($AN41-'THAM_SO'!$I$10)/(1-'THAM_SO'!$H$10),IF($AN41&lt;='THAM_SO'!$J$11,($AN41-'THAM_SO'!$I$11)/(1-'THAM_SO'!$H$11),IF($AN41&lt;='THAM_SO'!$J$12,($AN41-'THAM_SO'!$I$12)/(1-'THAM_SO'!$H$12),IF($AN41&lt;='THAM_SO'!$J$13,($AN41-'THAM_SO'!$I$13)/(1-'THAM_SO'!$H$13),($AN41-'THAM_SO'!$I$14)/(1-'THAM_SO'!$H$14)))))),$AC41)))</f>
        <v/>
      </c>
      <c r="AP41" s="224">
        <f>IF('DM_NHAN_SU'!$B41="","",$U41+$W41+$X41+$AA41+$BS41)</f>
        <v/>
      </c>
      <c r="AQ41" s="224">
        <f>IF('DM_NHAN_SU'!$B41="","",MAX($AO41-$AJ41-$AK41-$AL41-$AM41,0))</f>
        <v/>
      </c>
      <c r="AR41" s="224">
        <f>IF('DM_NHAN_SU'!$B41="","",IF($AQ41&lt;=0,0,$AQ41*VLOOKUP($AQ41,'THAM_SO'!$F$10:$I$14,3,TRUE)-VLOOKUP($AQ41,'THAM_SO'!$F$10:$I$14,4,TRUE)))</f>
        <v/>
      </c>
      <c r="AS41" s="224">
        <f>IF('DM_NHAN_SU'!$B41="","",$AO41+$AP41)</f>
        <v/>
      </c>
      <c r="AT41" s="224">
        <f>IF('DM_NHAN_SU'!$B41="","",$AS41-$AJ41-$AR41)</f>
        <v/>
      </c>
      <c r="AU41" s="224">
        <f>IF('DM_NHAN_SU'!$B41="","",'CHAM_CONG_THANG'!X41)</f>
        <v/>
      </c>
      <c r="AV41" s="224">
        <f>IF('DM_NHAN_SU'!$B41="","",'CHAM_CONG_THANG'!Y41+'QT_NGHI_VIEC'!AD41)</f>
        <v/>
      </c>
      <c r="AW41" s="224">
        <f>IF('DM_NHAN_SU'!$B41="","",'CHAM_CONG_THANG'!Z41)</f>
        <v/>
      </c>
      <c r="AX41" s="224">
        <f>IF('DM_NHAN_SU'!$B41="","",$AT41-$AU41-$AV41-$AW41-$BV41)</f>
        <v/>
      </c>
      <c r="AY41" s="224">
        <f>IF('DM_NHAN_SU'!$B41="","",$AE41*'THAM_SO'!$M$11)</f>
        <v/>
      </c>
      <c r="AZ41" s="224">
        <f>IF('DM_NHAN_SU'!$B41="","",$AE41*'THAM_SO'!$M$12)</f>
        <v/>
      </c>
      <c r="BA41" s="224">
        <f>IF('DM_NHAN_SU'!$B41="","",$AF41*'THAM_SO'!$M$13)</f>
        <v/>
      </c>
      <c r="BB41" s="224">
        <f>IF('DM_NHAN_SU'!$B41="","",$AE41*'THAM_SO'!$M$14)</f>
        <v/>
      </c>
      <c r="BC41" s="224">
        <f>IF('DM_NHAN_SU'!$B41="","",SUM($AY41:$BB41))</f>
        <v/>
      </c>
      <c r="BD41" s="224">
        <f>IF('DM_NHAN_SU'!$B41="","",$AS41+$BC41)</f>
        <v/>
      </c>
      <c r="BE41" s="224">
        <f>IF('DM_NHAN_SU'!$B41="","",VLOOKUP($H41,'THAM_SO'!$L$17:$P$20,2,FALSE))</f>
        <v/>
      </c>
      <c r="BF41" s="224">
        <f>IF('DM_NHAN_SU'!$B41="","",VLOOKUP($H41,'THAM_SO'!$L$17:$P$20,3,FALSE))</f>
        <v/>
      </c>
      <c r="BG41" s="150">
        <f>IF('DM_NHAN_SU'!$B41="","",IF($B41="","",IF(COUNTIF('DM_NHAN_SU'!$B$6:$B$155,$B41)&gt;1,"Trùng mã NV; ","")&amp;IF(OR($F41="",$G41=""),"Thiếu loại/hình thức lương; ","")&amp;IF('CHAM_CONG_THANG'!$D41="","Chưa chọn nguồn công; ","")&amp;IF(AND('CHAM_CONG_THANG'!$D41="Theo ngày",COUNTIF('CHAM_CONG_NGAY'!$B$6:$B$4655,$B41)=0),"Chưa có chấm công ngày; ","")&amp;IF(OR($I41&lt;=0,$J41&lt;=0),"Thiếu công/giờ chuẩn; ","")&amp;IF(AND($G41="Tháng",'DM_NHAN_SU'!$K41&lt;$BE41),"Lương tháng dưới tối thiểu vùng; ","")&amp;IF(AND($G41="Ngày",'DM_NHAN_SU'!$K41/$J41&lt;$BF41),"Lương ngày quy đổi dưới tối thiểu giờ; ","")&amp;IF(AND($G41="Giờ",'DM_NHAN_SU'!$K41&lt;$BF41),"Lương giờ dưới tối thiểu vùng; ","")&amp;IF(AND($G41="Sản phẩm",$L41&gt;0,$O41/$L41&lt;$BF41),"Lương SP quy đổi dưới tối thiểu giờ; ","")&amp;IF(OR('THAM_SO'!$C$19&lt;'THAM_SO'!$B$19,'THAM_SO'!$C$20&lt;'THAM_SO'!$B$20,'THAM_SO'!$C$21&lt;'THAM_SO'!$B$21,'THAM_SO'!$C$22&lt;'THAM_SO'!$B$22,'THAM_SO'!$C$23&lt;'THAM_SO'!$B$23,'THAM_SO'!$C$24&lt;'THAM_SO'!$B$24,'THAM_SO'!$C$25&lt;'THAM_SO'!$B$25),"Hệ số OT/đêm DN thấp hơn luật; ","")&amp;IF(AND('DM_NHAN_SU'!$R41="Có",$AD41&lt;=0),"Thiếu căn cứ đóng BH; ","")&amp;IF(AND($AD41&gt;0,$AD41&lt;'THAM_SO'!$M$6),"Căn cứ BH dưới sàn – đã nâng sàn; ","")&amp;IF($AD41&gt;'THAM_SO'!$M$7,"Căn cứ BH vượt trần – đã giới hạn; ","")&amp;IF(AND($F41="Net",SUM('CHAM_CONG_THANG'!$AF41:$AK41)&gt;0,'DM_NHAN_SU'!$Q41&lt;=0),"Net có OT nhưng chưa khai lương giờ OT; ","")&amp;IF('CHAM_CONG_THANG'!$V41&gt;$Z41,"Phần OT không miễn lớn hơn tiền OT; ","")&amp;IF(AND($F41="Net",ABS($AT41-$AC41-$AP41)&gt;1),"Lệch quy đổi Net; ","")&amp;IF(AND($BH41&gt;0,'DM_NHAN_SU'!$AD41=""),"Có phép năm nhưng đang tạm dùng 12 ngày; ","")&amp;IF(AND($G41="Sản phẩm",SUM($BH41:$BJ41)&gt;0,'DM_NHAN_SU'!$AH41&lt;=0),"Lương sản phẩm thiếu đơn giá ngày phép/lễ; ","")&amp;IF(AND($BL41&gt;=14,'CHAM_CONG_THANG'!$AA41&lt;&gt;"Có"),"Thai sản từ 14 ngày: file tự dừng đóng BH – kiểm tra hồ sơ; ","")&amp;IF(AND('DM_NHAN_SU'!$AA41="Có",'DM_NHAN_SU'!$AB41=""),"Đoàn viên chưa chọn cách tính đoàn phí; ","")&amp;IF(AND('DM_NHAN_SU'!$AB41="Nhập tay",'DM_NHAN_SU'!$AC41&gt;'THAM_SO'!$M$26),"Đoàn phí nhập tay vượt trần thông dụng; ","")&amp;IF('NGHI_PHEP'!$L41&lt;&gt;"","Phép: "&amp;'NGHI_PHEP'!$L41,"")&amp;IF('CHE_DO_BHXH'!$AA41&lt;&gt;"","BHXH: "&amp;'CHE_DO_BHXH'!$AA41,"")&amp;IF('THUONG_T13_TET'!$O41&lt;&gt;"","Thưởng: "&amp;'THUONG_T13_TET'!$O41,"")&amp;IF('QT_NGHI_VIEC'!$AF41&lt;&gt;"","Nghỉ việc: "&amp;'QT_NGHI_VIEC'!$AF41,"")&amp;IF($AX41&lt;0,"Thực lĩnh âm; ","")&amp;IF(OR('DM_NHAN_SU'!$F41&gt;'THAM_SO'!$B$7,AND('DM_NHAN_SU'!$G41&lt;&gt;"",'DM_NHAN_SU'!$G41&lt;'THAM_SO'!$B$6)),"Ngoài kỳ trả lương; ","")))</f>
        <v/>
      </c>
      <c r="BH41" s="232">
        <f>IF('DM_NHAN_SU'!$B41="","",'CHAM_CONG_THANG'!AR41)</f>
        <v/>
      </c>
      <c r="BI41" s="232">
        <f>IF('DM_NHAN_SU'!$B41="","",'CHAM_CONG_THANG'!AS41)</f>
        <v/>
      </c>
      <c r="BJ41" s="232">
        <f>IF('DM_NHAN_SU'!$B41="","",'CHAM_CONG_THANG'!AT41)</f>
        <v/>
      </c>
      <c r="BK41" s="232">
        <f>IF('DM_NHAN_SU'!$B41="","",'CHAM_CONG_THANG'!AU41)</f>
        <v/>
      </c>
      <c r="BL41" s="232">
        <f>IF('DM_NHAN_SU'!$B41="","",'CHAM_CONG_THANG'!AV41)</f>
        <v/>
      </c>
      <c r="BM41" s="232">
        <f>IF('DM_NHAN_SU'!$B41="","",'CHAM_CONG_THANG'!AW41)</f>
        <v/>
      </c>
      <c r="BN41" s="232">
        <f>IF('DM_NHAN_SU'!$B41="","",SUM($K41,$BH41:$BJ41))</f>
        <v/>
      </c>
      <c r="BO41" s="224">
        <f>IF('DM_NHAN_SU'!$B41="","",IF($B41="",0,IF($G41="Tháng",IF($I41&gt;0,'DM_NHAN_SU'!$K41*MIN($BH41+$BJ41,MAX($I41-$K41,0))/$I41,0),IF($G41="Ngày",'DM_NHAN_SU'!$K41*SUM($BH41:$BJ41),IF($G41="Giờ",'DM_NHAN_SU'!$K41*SUM($BH41:$BJ41)*$J41,IF($G41="Sản phẩm",'DM_NHAN_SU'!$AH41*SUM($BH41:$BJ41),0))))))</f>
        <v/>
      </c>
      <c r="BP41" s="224">
        <f>IF('DM_NHAN_SU'!$B41="","",IF('THUONG_T13_TET'!$L41="Có",'THUONG_T13_TET'!$I41,0))</f>
        <v/>
      </c>
      <c r="BQ41" s="224">
        <f>IF('DM_NHAN_SU'!$B41="","",IF('THUONG_T13_TET'!$L41="Có",SUM('THUONG_T13_TET'!$J41:$K41),0))</f>
        <v/>
      </c>
      <c r="BR41" s="224">
        <f>IF('DM_NHAN_SU'!$B41="","",'QT_NGHI_VIEC'!AC41)</f>
        <v/>
      </c>
      <c r="BS41" s="224">
        <f>IF('DM_NHAN_SU'!$B41="","",'QT_NGHI_VIEC'!AB41)</f>
        <v/>
      </c>
      <c r="BT41" s="224">
        <f>IF('DM_NHAN_SU'!$B41="","",IF('CHE_DO_BHXH'!$Z41="Có",'CHE_DO_BHXH'!$W41,0))</f>
        <v/>
      </c>
      <c r="BU41" s="224">
        <f>IF('DM_NHAN_SU'!$B41="","",IF('CHE_DO_BHXH'!$Y41="DN trả thay",$BT41,0))</f>
        <v/>
      </c>
      <c r="BV41" s="224">
        <f>IF('DM_NHAN_SU'!$B41="","",IF(OR('DM_NHAN_SU'!$AA41&lt;&gt;"Có",'CHE_DO_BHXH'!$O41&gt;=1,SUM('CHE_DO_BHXH'!$D41,'CHE_DO_BHXH'!$G41,'CHE_DO_BHXH'!$K41)&gt;=24,AND($I41&gt;0,$BM41&gt;=$I41)),0,IF('DM_NHAN_SU'!$AB41="Không",0,IF('DM_NHAN_SU'!$AB41="Nhập tay",'DM_NHAN_SU'!$AC41,IF('DM_NHAN_SU'!$AB41="Theo thực nhận",MIN(MAX($AT41-$AU41-$AV41-$AW41,0)*'THAM_SO'!$M$23,'THAM_SO'!$M$26),MIN($AE41*'THAM_SO'!$M$23,'THAM_SO'!$M$26))))))</f>
        <v/>
      </c>
      <c r="BW41" s="224">
        <f>IF('DM_NHAN_SU'!$B41="","",$AX41+$BU41)</f>
        <v/>
      </c>
    </row>
    <row r="42">
      <c r="A42" s="145">
        <f>IF('DM_NHAN_SU'!$B42="","",IF($B42="","",ROW()-5))</f>
        <v/>
      </c>
      <c r="B42" s="145">
        <f>IF('DM_NHAN_SU'!$B42="","",'DM_NHAN_SU'!B42)</f>
        <v/>
      </c>
      <c r="C42" s="145">
        <f>IF('DM_NHAN_SU'!$B42="","",'DM_NHAN_SU'!C42)</f>
        <v/>
      </c>
      <c r="D42" s="145">
        <f>IF('DM_NHAN_SU'!$B42="","",'DM_NHAN_SU'!D42)</f>
        <v/>
      </c>
      <c r="E42" s="145">
        <f>IF('DM_NHAN_SU'!$B42="","",'DM_NHAN_SU'!E42)</f>
        <v/>
      </c>
      <c r="F42" s="145">
        <f>IF('DM_NHAN_SU'!$B42="","",'DM_NHAN_SU'!I42)</f>
        <v/>
      </c>
      <c r="G42" s="145">
        <f>IF('DM_NHAN_SU'!$B42="","",'DM_NHAN_SU'!J42)</f>
        <v/>
      </c>
      <c r="H42" s="145">
        <f>IF('DM_NHAN_SU'!$B42="","",IF('DM_NHAN_SU'!H42="",'THAM_SO'!$B$11,'DM_NHAN_SU'!H42))</f>
        <v/>
      </c>
      <c r="I42" s="232">
        <f>IF('DM_NHAN_SU'!$B42="","",IF('DM_NHAN_SU'!L42&gt;0,'DM_NHAN_SU'!L42,'THAM_SO'!$B$9))</f>
        <v/>
      </c>
      <c r="J42" s="232">
        <f>IF('DM_NHAN_SU'!$B42="","",IF('DM_NHAN_SU'!M42&gt;0,'DM_NHAN_SU'!M42,'THAM_SO'!$B$10))</f>
        <v/>
      </c>
      <c r="K42" s="232">
        <f>IF('DM_NHAN_SU'!$B42="","",'CHAM_CONG_THANG'!AC42)</f>
        <v/>
      </c>
      <c r="L42" s="232">
        <f>IF('DM_NHAN_SU'!$B42="","",'CHAM_CONG_THANG'!AD42)</f>
        <v/>
      </c>
      <c r="M42" s="232">
        <f>IF('DM_NHAN_SU'!$B42="","",'CHAM_CONG_THANG'!AE42)</f>
        <v/>
      </c>
      <c r="N42" s="232">
        <f>IF('DM_NHAN_SU'!$B42="","",'CHAM_CONG_THANG'!N42)</f>
        <v/>
      </c>
      <c r="O42" s="224">
        <f>IF('DM_NHAN_SU'!$B42="","",IF($B42="","",IF($G42="Tháng",IF($I42&gt;0,'DM_NHAN_SU'!$K42*MIN($K42,$I42)/$I42,0),IF($G42="Ngày",'DM_NHAN_SU'!$K42*$K42,IF($G42="Giờ",'DM_NHAN_SU'!$K42*$L42,IF($G42="Sản phẩm",'DM_NHAN_SU'!$K42*$N42,0))))))</f>
        <v/>
      </c>
      <c r="P42" s="224">
        <f>IF('DM_NHAN_SU'!$B42="","",'CHAM_CONG_THANG'!O42)</f>
        <v/>
      </c>
      <c r="Q42" s="224">
        <f>IF('DM_NHAN_SU'!$B42="","",'CHAM_CONG_THANG'!P42)</f>
        <v/>
      </c>
      <c r="R42" s="224">
        <f>IF('DM_NHAN_SU'!$B42="","",'CHAM_CONG_THANG'!Q42)</f>
        <v/>
      </c>
      <c r="S42" s="224">
        <f>IF('DM_NHAN_SU'!$B42="","",'CHAM_CONG_THANG'!R42)</f>
        <v/>
      </c>
      <c r="T42" s="224">
        <f>IF('DM_NHAN_SU'!$B42="","",'CHAM_CONG_THANG'!S42)</f>
        <v/>
      </c>
      <c r="U42" s="224">
        <f>IF('DM_NHAN_SU'!$B42="","",MIN($T42,'THAM_SO'!$F$6))</f>
        <v/>
      </c>
      <c r="V42" s="224">
        <f>IF('DM_NHAN_SU'!$B42="","",MAX($T42-$U42,0))</f>
        <v/>
      </c>
      <c r="W42" s="224">
        <f>IF('DM_NHAN_SU'!$B42="","",'CHAM_CONG_THANG'!T42)</f>
        <v/>
      </c>
      <c r="X42" s="224">
        <f>IF('DM_NHAN_SU'!$B42="","",'CHAM_CONG_THANG'!U42)</f>
        <v/>
      </c>
      <c r="Y42" s="224">
        <f>IF('DM_NHAN_SU'!$B42="","",IF($B42="",0,IF('DM_NHAN_SU'!$Q42&gt;0,'DM_NHAN_SU'!$Q42,IF($G42="Tháng",IF($I42*$J42&gt;0,'DM_NHAN_SU'!$K42/($I42*$J42),0),IF($G42="Ngày",IF($J42&gt;0,'DM_NHAN_SU'!$K42/$J42,0),IF($G42="Giờ",'DM_NHAN_SU'!$K42,0))))))</f>
        <v/>
      </c>
      <c r="Z42" s="224">
        <f>IF('DM_NHAN_SU'!$B42="","",$Y42*($M42*'THAM_SO'!$C$22+'CHAM_CONG_THANG'!$AF42*'THAM_SO'!$C$19+'CHAM_CONG_THANG'!$AG42*'THAM_SO'!$C$20+'CHAM_CONG_THANG'!$AH42*'THAM_SO'!$C$21+'CHAM_CONG_THANG'!$AI42*'THAM_SO'!$C$23+'CHAM_CONG_THANG'!$AJ42*'THAM_SO'!$C$24+'CHAM_CONG_THANG'!$AK42*'THAM_SO'!$C$25))</f>
        <v/>
      </c>
      <c r="AA42" s="224">
        <f>IF('DM_NHAN_SU'!$B42="","",MAX(0,$Y42*($M42*IF('THAM_SO'!$C$22&gt;='THAM_SO'!$B$22,'THAM_SO'!$B$22,0)+'CHAM_CONG_THANG'!$AF42*IF('THAM_SO'!$C$19&gt;='THAM_SO'!$B$19,'THAM_SO'!$B$19,0)+'CHAM_CONG_THANG'!$AG42*IF('THAM_SO'!$C$20&gt;='THAM_SO'!$B$20,'THAM_SO'!$B$20,0)+'CHAM_CONG_THANG'!$AH42*IF('THAM_SO'!$C$21&gt;='THAM_SO'!$B$21,'THAM_SO'!$B$21,0)+'CHAM_CONG_THANG'!$AI42*IF('THAM_SO'!$C$23&gt;='THAM_SO'!$B$23,'THAM_SO'!$B$23,0)+'CHAM_CONG_THANG'!$AJ42*IF('THAM_SO'!$C$24&gt;='THAM_SO'!$B$24,'THAM_SO'!$B$24,0)+'CHAM_CONG_THANG'!$AK42*IF('THAM_SO'!$C$25&gt;='THAM_SO'!$B$25,'THAM_SO'!$B$25,0))-'CHAM_CONG_THANG'!$V42))</f>
        <v/>
      </c>
      <c r="AB42" s="224">
        <f>IF('DM_NHAN_SU'!$B42="","",MAX($Z42-$AA42,0))</f>
        <v/>
      </c>
      <c r="AC42" s="224">
        <f>IF('DM_NHAN_SU'!$B42="","",$O42+$P42+$Q42+$R42+$S42+$V42+$AB42+$BO42+$BP42+$BQ42+$BR42)</f>
        <v/>
      </c>
      <c r="AD42" s="224">
        <f>IF('DM_NHAN_SU'!$B42="","",'DM_NHAN_SU'!N42+'DM_NHAN_SU'!O42+'DM_NHAN_SU'!P42)</f>
        <v/>
      </c>
      <c r="AE42" s="224">
        <f>IF('DM_NHAN_SU'!$B42="","",IF(OR('DM_NHAN_SU'!$R42&lt;&gt;"Có",'CHAM_CONG_THANG'!$AA42="Có",$BL42&gt;=14,$AD42&lt;=0),0,MIN(MAX($AD42,'THAM_SO'!$M$6),'THAM_SO'!$M$7)))</f>
        <v/>
      </c>
      <c r="AF42" s="224">
        <f>IF('DM_NHAN_SU'!$B42="","",IF(OR('DM_NHAN_SU'!$S42&lt;&gt;"Có",'CHAM_CONG_THANG'!$AA42="Có",$BL42&gt;=14,$AD42&lt;=0),0,MIN(MAX($AD42,VLOOKUP($H42,'THAM_SO'!$L$17:$P$20,4,FALSE)),VLOOKUP($H42,'THAM_SO'!$L$17:$P$20,5,FALSE))))</f>
        <v/>
      </c>
      <c r="AG42" s="224">
        <f>IF('DM_NHAN_SU'!$B42="","",$AE42*'THAM_SO'!$M$8)</f>
        <v/>
      </c>
      <c r="AH42" s="224">
        <f>IF('DM_NHAN_SU'!$B42="","",$AE42*'THAM_SO'!$M$9)</f>
        <v/>
      </c>
      <c r="AI42" s="224">
        <f>IF('DM_NHAN_SU'!$B42="","",$AF42*'THAM_SO'!$M$10)</f>
        <v/>
      </c>
      <c r="AJ42" s="224">
        <f>IF('DM_NHAN_SU'!$B42="","",SUM($AG42:$AI42))</f>
        <v/>
      </c>
      <c r="AK42" s="224">
        <f>IF('DM_NHAN_SU'!$B42="","",IF($B42="",0,'THAM_SO'!$F$4))</f>
        <v/>
      </c>
      <c r="AL42" s="224">
        <f>IF('DM_NHAN_SU'!$B42="","",IF($B42="",0,'DM_NHAN_SU'!$T42*'THAM_SO'!$F$5))</f>
        <v/>
      </c>
      <c r="AM42" s="224">
        <f>IF('DM_NHAN_SU'!$B42="","",'CHAM_CONG_THANG'!W42)</f>
        <v/>
      </c>
      <c r="AN42" s="224">
        <f>IF('DM_NHAN_SU'!$B42="","",MAX($AC42-$AK42-$AL42-$AM42,0))</f>
        <v/>
      </c>
      <c r="AO42" s="224">
        <f>IF('DM_NHAN_SU'!$B42="","",IF($B42="","",IF($F42="Net",IF($AC42&lt;=$AK42+$AL42+$AM42,$AC42+$AJ42,$AJ42+$AK42+$AL42+$AM42+IF($AN42&lt;='THAM_SO'!$J$10,($AN42-'THAM_SO'!$I$10)/(1-'THAM_SO'!$H$10),IF($AN42&lt;='THAM_SO'!$J$11,($AN42-'THAM_SO'!$I$11)/(1-'THAM_SO'!$H$11),IF($AN42&lt;='THAM_SO'!$J$12,($AN42-'THAM_SO'!$I$12)/(1-'THAM_SO'!$H$12),IF($AN42&lt;='THAM_SO'!$J$13,($AN42-'THAM_SO'!$I$13)/(1-'THAM_SO'!$H$13),($AN42-'THAM_SO'!$I$14)/(1-'THAM_SO'!$H$14)))))),$AC42)))</f>
        <v/>
      </c>
      <c r="AP42" s="224">
        <f>IF('DM_NHAN_SU'!$B42="","",$U42+$W42+$X42+$AA42+$BS42)</f>
        <v/>
      </c>
      <c r="AQ42" s="224">
        <f>IF('DM_NHAN_SU'!$B42="","",MAX($AO42-$AJ42-$AK42-$AL42-$AM42,0))</f>
        <v/>
      </c>
      <c r="AR42" s="224">
        <f>IF('DM_NHAN_SU'!$B42="","",IF($AQ42&lt;=0,0,$AQ42*VLOOKUP($AQ42,'THAM_SO'!$F$10:$I$14,3,TRUE)-VLOOKUP($AQ42,'THAM_SO'!$F$10:$I$14,4,TRUE)))</f>
        <v/>
      </c>
      <c r="AS42" s="224">
        <f>IF('DM_NHAN_SU'!$B42="","",$AO42+$AP42)</f>
        <v/>
      </c>
      <c r="AT42" s="224">
        <f>IF('DM_NHAN_SU'!$B42="","",$AS42-$AJ42-$AR42)</f>
        <v/>
      </c>
      <c r="AU42" s="224">
        <f>IF('DM_NHAN_SU'!$B42="","",'CHAM_CONG_THANG'!X42)</f>
        <v/>
      </c>
      <c r="AV42" s="224">
        <f>IF('DM_NHAN_SU'!$B42="","",'CHAM_CONG_THANG'!Y42+'QT_NGHI_VIEC'!AD42)</f>
        <v/>
      </c>
      <c r="AW42" s="224">
        <f>IF('DM_NHAN_SU'!$B42="","",'CHAM_CONG_THANG'!Z42)</f>
        <v/>
      </c>
      <c r="AX42" s="224">
        <f>IF('DM_NHAN_SU'!$B42="","",$AT42-$AU42-$AV42-$AW42-$BV42)</f>
        <v/>
      </c>
      <c r="AY42" s="224">
        <f>IF('DM_NHAN_SU'!$B42="","",$AE42*'THAM_SO'!$M$11)</f>
        <v/>
      </c>
      <c r="AZ42" s="224">
        <f>IF('DM_NHAN_SU'!$B42="","",$AE42*'THAM_SO'!$M$12)</f>
        <v/>
      </c>
      <c r="BA42" s="224">
        <f>IF('DM_NHAN_SU'!$B42="","",$AF42*'THAM_SO'!$M$13)</f>
        <v/>
      </c>
      <c r="BB42" s="224">
        <f>IF('DM_NHAN_SU'!$B42="","",$AE42*'THAM_SO'!$M$14)</f>
        <v/>
      </c>
      <c r="BC42" s="224">
        <f>IF('DM_NHAN_SU'!$B42="","",SUM($AY42:$BB42))</f>
        <v/>
      </c>
      <c r="BD42" s="224">
        <f>IF('DM_NHAN_SU'!$B42="","",$AS42+$BC42)</f>
        <v/>
      </c>
      <c r="BE42" s="224">
        <f>IF('DM_NHAN_SU'!$B42="","",VLOOKUP($H42,'THAM_SO'!$L$17:$P$20,2,FALSE))</f>
        <v/>
      </c>
      <c r="BF42" s="224">
        <f>IF('DM_NHAN_SU'!$B42="","",VLOOKUP($H42,'THAM_SO'!$L$17:$P$20,3,FALSE))</f>
        <v/>
      </c>
      <c r="BG42" s="150">
        <f>IF('DM_NHAN_SU'!$B42="","",IF($B42="","",IF(COUNTIF('DM_NHAN_SU'!$B$6:$B$155,$B42)&gt;1,"Trùng mã NV; ","")&amp;IF(OR($F42="",$G42=""),"Thiếu loại/hình thức lương; ","")&amp;IF('CHAM_CONG_THANG'!$D42="","Chưa chọn nguồn công; ","")&amp;IF(AND('CHAM_CONG_THANG'!$D42="Theo ngày",COUNTIF('CHAM_CONG_NGAY'!$B$6:$B$4655,$B42)=0),"Chưa có chấm công ngày; ","")&amp;IF(OR($I42&lt;=0,$J42&lt;=0),"Thiếu công/giờ chuẩn; ","")&amp;IF(AND($G42="Tháng",'DM_NHAN_SU'!$K42&lt;$BE42),"Lương tháng dưới tối thiểu vùng; ","")&amp;IF(AND($G42="Ngày",'DM_NHAN_SU'!$K42/$J42&lt;$BF42),"Lương ngày quy đổi dưới tối thiểu giờ; ","")&amp;IF(AND($G42="Giờ",'DM_NHAN_SU'!$K42&lt;$BF42),"Lương giờ dưới tối thiểu vùng; ","")&amp;IF(AND($G42="Sản phẩm",$L42&gt;0,$O42/$L42&lt;$BF42),"Lương SP quy đổi dưới tối thiểu giờ; ","")&amp;IF(OR('THAM_SO'!$C$19&lt;'THAM_SO'!$B$19,'THAM_SO'!$C$20&lt;'THAM_SO'!$B$20,'THAM_SO'!$C$21&lt;'THAM_SO'!$B$21,'THAM_SO'!$C$22&lt;'THAM_SO'!$B$22,'THAM_SO'!$C$23&lt;'THAM_SO'!$B$23,'THAM_SO'!$C$24&lt;'THAM_SO'!$B$24,'THAM_SO'!$C$25&lt;'THAM_SO'!$B$25),"Hệ số OT/đêm DN thấp hơn luật; ","")&amp;IF(AND('DM_NHAN_SU'!$R42="Có",$AD42&lt;=0),"Thiếu căn cứ đóng BH; ","")&amp;IF(AND($AD42&gt;0,$AD42&lt;'THAM_SO'!$M$6),"Căn cứ BH dưới sàn – đã nâng sàn; ","")&amp;IF($AD42&gt;'THAM_SO'!$M$7,"Căn cứ BH vượt trần – đã giới hạn; ","")&amp;IF(AND($F42="Net",SUM('CHAM_CONG_THANG'!$AF42:$AK42)&gt;0,'DM_NHAN_SU'!$Q42&lt;=0),"Net có OT nhưng chưa khai lương giờ OT; ","")&amp;IF('CHAM_CONG_THANG'!$V42&gt;$Z42,"Phần OT không miễn lớn hơn tiền OT; ","")&amp;IF(AND($F42="Net",ABS($AT42-$AC42-$AP42)&gt;1),"Lệch quy đổi Net; ","")&amp;IF(AND($BH42&gt;0,'DM_NHAN_SU'!$AD42=""),"Có phép năm nhưng đang tạm dùng 12 ngày; ","")&amp;IF(AND($G42="Sản phẩm",SUM($BH42:$BJ42)&gt;0,'DM_NHAN_SU'!$AH42&lt;=0),"Lương sản phẩm thiếu đơn giá ngày phép/lễ; ","")&amp;IF(AND($BL42&gt;=14,'CHAM_CONG_THANG'!$AA42&lt;&gt;"Có"),"Thai sản từ 14 ngày: file tự dừng đóng BH – kiểm tra hồ sơ; ","")&amp;IF(AND('DM_NHAN_SU'!$AA42="Có",'DM_NHAN_SU'!$AB42=""),"Đoàn viên chưa chọn cách tính đoàn phí; ","")&amp;IF(AND('DM_NHAN_SU'!$AB42="Nhập tay",'DM_NHAN_SU'!$AC42&gt;'THAM_SO'!$M$26),"Đoàn phí nhập tay vượt trần thông dụng; ","")&amp;IF('NGHI_PHEP'!$L42&lt;&gt;"","Phép: "&amp;'NGHI_PHEP'!$L42,"")&amp;IF('CHE_DO_BHXH'!$AA42&lt;&gt;"","BHXH: "&amp;'CHE_DO_BHXH'!$AA42,"")&amp;IF('THUONG_T13_TET'!$O42&lt;&gt;"","Thưởng: "&amp;'THUONG_T13_TET'!$O42,"")&amp;IF('QT_NGHI_VIEC'!$AF42&lt;&gt;"","Nghỉ việc: "&amp;'QT_NGHI_VIEC'!$AF42,"")&amp;IF($AX42&lt;0,"Thực lĩnh âm; ","")&amp;IF(OR('DM_NHAN_SU'!$F42&gt;'THAM_SO'!$B$7,AND('DM_NHAN_SU'!$G42&lt;&gt;"",'DM_NHAN_SU'!$G42&lt;'THAM_SO'!$B$6)),"Ngoài kỳ trả lương; ","")))</f>
        <v/>
      </c>
      <c r="BH42" s="232">
        <f>IF('DM_NHAN_SU'!$B42="","",'CHAM_CONG_THANG'!AR42)</f>
        <v/>
      </c>
      <c r="BI42" s="232">
        <f>IF('DM_NHAN_SU'!$B42="","",'CHAM_CONG_THANG'!AS42)</f>
        <v/>
      </c>
      <c r="BJ42" s="232">
        <f>IF('DM_NHAN_SU'!$B42="","",'CHAM_CONG_THANG'!AT42)</f>
        <v/>
      </c>
      <c r="BK42" s="232">
        <f>IF('DM_NHAN_SU'!$B42="","",'CHAM_CONG_THANG'!AU42)</f>
        <v/>
      </c>
      <c r="BL42" s="232">
        <f>IF('DM_NHAN_SU'!$B42="","",'CHAM_CONG_THANG'!AV42)</f>
        <v/>
      </c>
      <c r="BM42" s="232">
        <f>IF('DM_NHAN_SU'!$B42="","",'CHAM_CONG_THANG'!AW42)</f>
        <v/>
      </c>
      <c r="BN42" s="232">
        <f>IF('DM_NHAN_SU'!$B42="","",SUM($K42,$BH42:$BJ42))</f>
        <v/>
      </c>
      <c r="BO42" s="224">
        <f>IF('DM_NHAN_SU'!$B42="","",IF($B42="",0,IF($G42="Tháng",IF($I42&gt;0,'DM_NHAN_SU'!$K42*MIN($BH42+$BJ42,MAX($I42-$K42,0))/$I42,0),IF($G42="Ngày",'DM_NHAN_SU'!$K42*SUM($BH42:$BJ42),IF($G42="Giờ",'DM_NHAN_SU'!$K42*SUM($BH42:$BJ42)*$J42,IF($G42="Sản phẩm",'DM_NHAN_SU'!$AH42*SUM($BH42:$BJ42),0))))))</f>
        <v/>
      </c>
      <c r="BP42" s="224">
        <f>IF('DM_NHAN_SU'!$B42="","",IF('THUONG_T13_TET'!$L42="Có",'THUONG_T13_TET'!$I42,0))</f>
        <v/>
      </c>
      <c r="BQ42" s="224">
        <f>IF('DM_NHAN_SU'!$B42="","",IF('THUONG_T13_TET'!$L42="Có",SUM('THUONG_T13_TET'!$J42:$K42),0))</f>
        <v/>
      </c>
      <c r="BR42" s="224">
        <f>IF('DM_NHAN_SU'!$B42="","",'QT_NGHI_VIEC'!AC42)</f>
        <v/>
      </c>
      <c r="BS42" s="224">
        <f>IF('DM_NHAN_SU'!$B42="","",'QT_NGHI_VIEC'!AB42)</f>
        <v/>
      </c>
      <c r="BT42" s="224">
        <f>IF('DM_NHAN_SU'!$B42="","",IF('CHE_DO_BHXH'!$Z42="Có",'CHE_DO_BHXH'!$W42,0))</f>
        <v/>
      </c>
      <c r="BU42" s="224">
        <f>IF('DM_NHAN_SU'!$B42="","",IF('CHE_DO_BHXH'!$Y42="DN trả thay",$BT42,0))</f>
        <v/>
      </c>
      <c r="BV42" s="224">
        <f>IF('DM_NHAN_SU'!$B42="","",IF(OR('DM_NHAN_SU'!$AA42&lt;&gt;"Có",'CHE_DO_BHXH'!$O42&gt;=1,SUM('CHE_DO_BHXH'!$D42,'CHE_DO_BHXH'!$G42,'CHE_DO_BHXH'!$K42)&gt;=24,AND($I42&gt;0,$BM42&gt;=$I42)),0,IF('DM_NHAN_SU'!$AB42="Không",0,IF('DM_NHAN_SU'!$AB42="Nhập tay",'DM_NHAN_SU'!$AC42,IF('DM_NHAN_SU'!$AB42="Theo thực nhận",MIN(MAX($AT42-$AU42-$AV42-$AW42,0)*'THAM_SO'!$M$23,'THAM_SO'!$M$26),MIN($AE42*'THAM_SO'!$M$23,'THAM_SO'!$M$26))))))</f>
        <v/>
      </c>
      <c r="BW42" s="224">
        <f>IF('DM_NHAN_SU'!$B42="","",$AX42+$BU42)</f>
        <v/>
      </c>
    </row>
    <row r="43">
      <c r="A43" s="145">
        <f>IF('DM_NHAN_SU'!$B43="","",IF($B43="","",ROW()-5))</f>
        <v/>
      </c>
      <c r="B43" s="145">
        <f>IF('DM_NHAN_SU'!$B43="","",'DM_NHAN_SU'!B43)</f>
        <v/>
      </c>
      <c r="C43" s="145">
        <f>IF('DM_NHAN_SU'!$B43="","",'DM_NHAN_SU'!C43)</f>
        <v/>
      </c>
      <c r="D43" s="145">
        <f>IF('DM_NHAN_SU'!$B43="","",'DM_NHAN_SU'!D43)</f>
        <v/>
      </c>
      <c r="E43" s="145">
        <f>IF('DM_NHAN_SU'!$B43="","",'DM_NHAN_SU'!E43)</f>
        <v/>
      </c>
      <c r="F43" s="145">
        <f>IF('DM_NHAN_SU'!$B43="","",'DM_NHAN_SU'!I43)</f>
        <v/>
      </c>
      <c r="G43" s="145">
        <f>IF('DM_NHAN_SU'!$B43="","",'DM_NHAN_SU'!J43)</f>
        <v/>
      </c>
      <c r="H43" s="145">
        <f>IF('DM_NHAN_SU'!$B43="","",IF('DM_NHAN_SU'!H43="",'THAM_SO'!$B$11,'DM_NHAN_SU'!H43))</f>
        <v/>
      </c>
      <c r="I43" s="232">
        <f>IF('DM_NHAN_SU'!$B43="","",IF('DM_NHAN_SU'!L43&gt;0,'DM_NHAN_SU'!L43,'THAM_SO'!$B$9))</f>
        <v/>
      </c>
      <c r="J43" s="232">
        <f>IF('DM_NHAN_SU'!$B43="","",IF('DM_NHAN_SU'!M43&gt;0,'DM_NHAN_SU'!M43,'THAM_SO'!$B$10))</f>
        <v/>
      </c>
      <c r="K43" s="232">
        <f>IF('DM_NHAN_SU'!$B43="","",'CHAM_CONG_THANG'!AC43)</f>
        <v/>
      </c>
      <c r="L43" s="232">
        <f>IF('DM_NHAN_SU'!$B43="","",'CHAM_CONG_THANG'!AD43)</f>
        <v/>
      </c>
      <c r="M43" s="232">
        <f>IF('DM_NHAN_SU'!$B43="","",'CHAM_CONG_THANG'!AE43)</f>
        <v/>
      </c>
      <c r="N43" s="232">
        <f>IF('DM_NHAN_SU'!$B43="","",'CHAM_CONG_THANG'!N43)</f>
        <v/>
      </c>
      <c r="O43" s="224">
        <f>IF('DM_NHAN_SU'!$B43="","",IF($B43="","",IF($G43="Tháng",IF($I43&gt;0,'DM_NHAN_SU'!$K43*MIN($K43,$I43)/$I43,0),IF($G43="Ngày",'DM_NHAN_SU'!$K43*$K43,IF($G43="Giờ",'DM_NHAN_SU'!$K43*$L43,IF($G43="Sản phẩm",'DM_NHAN_SU'!$K43*$N43,0))))))</f>
        <v/>
      </c>
      <c r="P43" s="224">
        <f>IF('DM_NHAN_SU'!$B43="","",'CHAM_CONG_THANG'!O43)</f>
        <v/>
      </c>
      <c r="Q43" s="224">
        <f>IF('DM_NHAN_SU'!$B43="","",'CHAM_CONG_THANG'!P43)</f>
        <v/>
      </c>
      <c r="R43" s="224">
        <f>IF('DM_NHAN_SU'!$B43="","",'CHAM_CONG_THANG'!Q43)</f>
        <v/>
      </c>
      <c r="S43" s="224">
        <f>IF('DM_NHAN_SU'!$B43="","",'CHAM_CONG_THANG'!R43)</f>
        <v/>
      </c>
      <c r="T43" s="224">
        <f>IF('DM_NHAN_SU'!$B43="","",'CHAM_CONG_THANG'!S43)</f>
        <v/>
      </c>
      <c r="U43" s="224">
        <f>IF('DM_NHAN_SU'!$B43="","",MIN($T43,'THAM_SO'!$F$6))</f>
        <v/>
      </c>
      <c r="V43" s="224">
        <f>IF('DM_NHAN_SU'!$B43="","",MAX($T43-$U43,0))</f>
        <v/>
      </c>
      <c r="W43" s="224">
        <f>IF('DM_NHAN_SU'!$B43="","",'CHAM_CONG_THANG'!T43)</f>
        <v/>
      </c>
      <c r="X43" s="224">
        <f>IF('DM_NHAN_SU'!$B43="","",'CHAM_CONG_THANG'!U43)</f>
        <v/>
      </c>
      <c r="Y43" s="224">
        <f>IF('DM_NHAN_SU'!$B43="","",IF($B43="",0,IF('DM_NHAN_SU'!$Q43&gt;0,'DM_NHAN_SU'!$Q43,IF($G43="Tháng",IF($I43*$J43&gt;0,'DM_NHAN_SU'!$K43/($I43*$J43),0),IF($G43="Ngày",IF($J43&gt;0,'DM_NHAN_SU'!$K43/$J43,0),IF($G43="Giờ",'DM_NHAN_SU'!$K43,0))))))</f>
        <v/>
      </c>
      <c r="Z43" s="224">
        <f>IF('DM_NHAN_SU'!$B43="","",$Y43*($M43*'THAM_SO'!$C$22+'CHAM_CONG_THANG'!$AF43*'THAM_SO'!$C$19+'CHAM_CONG_THANG'!$AG43*'THAM_SO'!$C$20+'CHAM_CONG_THANG'!$AH43*'THAM_SO'!$C$21+'CHAM_CONG_THANG'!$AI43*'THAM_SO'!$C$23+'CHAM_CONG_THANG'!$AJ43*'THAM_SO'!$C$24+'CHAM_CONG_THANG'!$AK43*'THAM_SO'!$C$25))</f>
        <v/>
      </c>
      <c r="AA43" s="224">
        <f>IF('DM_NHAN_SU'!$B43="","",MAX(0,$Y43*($M43*IF('THAM_SO'!$C$22&gt;='THAM_SO'!$B$22,'THAM_SO'!$B$22,0)+'CHAM_CONG_THANG'!$AF43*IF('THAM_SO'!$C$19&gt;='THAM_SO'!$B$19,'THAM_SO'!$B$19,0)+'CHAM_CONG_THANG'!$AG43*IF('THAM_SO'!$C$20&gt;='THAM_SO'!$B$20,'THAM_SO'!$B$20,0)+'CHAM_CONG_THANG'!$AH43*IF('THAM_SO'!$C$21&gt;='THAM_SO'!$B$21,'THAM_SO'!$B$21,0)+'CHAM_CONG_THANG'!$AI43*IF('THAM_SO'!$C$23&gt;='THAM_SO'!$B$23,'THAM_SO'!$B$23,0)+'CHAM_CONG_THANG'!$AJ43*IF('THAM_SO'!$C$24&gt;='THAM_SO'!$B$24,'THAM_SO'!$B$24,0)+'CHAM_CONG_THANG'!$AK43*IF('THAM_SO'!$C$25&gt;='THAM_SO'!$B$25,'THAM_SO'!$B$25,0))-'CHAM_CONG_THANG'!$V43))</f>
        <v/>
      </c>
      <c r="AB43" s="224">
        <f>IF('DM_NHAN_SU'!$B43="","",MAX($Z43-$AA43,0))</f>
        <v/>
      </c>
      <c r="AC43" s="224">
        <f>IF('DM_NHAN_SU'!$B43="","",$O43+$P43+$Q43+$R43+$S43+$V43+$AB43+$BO43+$BP43+$BQ43+$BR43)</f>
        <v/>
      </c>
      <c r="AD43" s="224">
        <f>IF('DM_NHAN_SU'!$B43="","",'DM_NHAN_SU'!N43+'DM_NHAN_SU'!O43+'DM_NHAN_SU'!P43)</f>
        <v/>
      </c>
      <c r="AE43" s="224">
        <f>IF('DM_NHAN_SU'!$B43="","",IF(OR('DM_NHAN_SU'!$R43&lt;&gt;"Có",'CHAM_CONG_THANG'!$AA43="Có",$BL43&gt;=14,$AD43&lt;=0),0,MIN(MAX($AD43,'THAM_SO'!$M$6),'THAM_SO'!$M$7)))</f>
        <v/>
      </c>
      <c r="AF43" s="224">
        <f>IF('DM_NHAN_SU'!$B43="","",IF(OR('DM_NHAN_SU'!$S43&lt;&gt;"Có",'CHAM_CONG_THANG'!$AA43="Có",$BL43&gt;=14,$AD43&lt;=0),0,MIN(MAX($AD43,VLOOKUP($H43,'THAM_SO'!$L$17:$P$20,4,FALSE)),VLOOKUP($H43,'THAM_SO'!$L$17:$P$20,5,FALSE))))</f>
        <v/>
      </c>
      <c r="AG43" s="224">
        <f>IF('DM_NHAN_SU'!$B43="","",$AE43*'THAM_SO'!$M$8)</f>
        <v/>
      </c>
      <c r="AH43" s="224">
        <f>IF('DM_NHAN_SU'!$B43="","",$AE43*'THAM_SO'!$M$9)</f>
        <v/>
      </c>
      <c r="AI43" s="224">
        <f>IF('DM_NHAN_SU'!$B43="","",$AF43*'THAM_SO'!$M$10)</f>
        <v/>
      </c>
      <c r="AJ43" s="224">
        <f>IF('DM_NHAN_SU'!$B43="","",SUM($AG43:$AI43))</f>
        <v/>
      </c>
      <c r="AK43" s="224">
        <f>IF('DM_NHAN_SU'!$B43="","",IF($B43="",0,'THAM_SO'!$F$4))</f>
        <v/>
      </c>
      <c r="AL43" s="224">
        <f>IF('DM_NHAN_SU'!$B43="","",IF($B43="",0,'DM_NHAN_SU'!$T43*'THAM_SO'!$F$5))</f>
        <v/>
      </c>
      <c r="AM43" s="224">
        <f>IF('DM_NHAN_SU'!$B43="","",'CHAM_CONG_THANG'!W43)</f>
        <v/>
      </c>
      <c r="AN43" s="224">
        <f>IF('DM_NHAN_SU'!$B43="","",MAX($AC43-$AK43-$AL43-$AM43,0))</f>
        <v/>
      </c>
      <c r="AO43" s="224">
        <f>IF('DM_NHAN_SU'!$B43="","",IF($B43="","",IF($F43="Net",IF($AC43&lt;=$AK43+$AL43+$AM43,$AC43+$AJ43,$AJ43+$AK43+$AL43+$AM43+IF($AN43&lt;='THAM_SO'!$J$10,($AN43-'THAM_SO'!$I$10)/(1-'THAM_SO'!$H$10),IF($AN43&lt;='THAM_SO'!$J$11,($AN43-'THAM_SO'!$I$11)/(1-'THAM_SO'!$H$11),IF($AN43&lt;='THAM_SO'!$J$12,($AN43-'THAM_SO'!$I$12)/(1-'THAM_SO'!$H$12),IF($AN43&lt;='THAM_SO'!$J$13,($AN43-'THAM_SO'!$I$13)/(1-'THAM_SO'!$H$13),($AN43-'THAM_SO'!$I$14)/(1-'THAM_SO'!$H$14)))))),$AC43)))</f>
        <v/>
      </c>
      <c r="AP43" s="224">
        <f>IF('DM_NHAN_SU'!$B43="","",$U43+$W43+$X43+$AA43+$BS43)</f>
        <v/>
      </c>
      <c r="AQ43" s="224">
        <f>IF('DM_NHAN_SU'!$B43="","",MAX($AO43-$AJ43-$AK43-$AL43-$AM43,0))</f>
        <v/>
      </c>
      <c r="AR43" s="224">
        <f>IF('DM_NHAN_SU'!$B43="","",IF($AQ43&lt;=0,0,$AQ43*VLOOKUP($AQ43,'THAM_SO'!$F$10:$I$14,3,TRUE)-VLOOKUP($AQ43,'THAM_SO'!$F$10:$I$14,4,TRUE)))</f>
        <v/>
      </c>
      <c r="AS43" s="224">
        <f>IF('DM_NHAN_SU'!$B43="","",$AO43+$AP43)</f>
        <v/>
      </c>
      <c r="AT43" s="224">
        <f>IF('DM_NHAN_SU'!$B43="","",$AS43-$AJ43-$AR43)</f>
        <v/>
      </c>
      <c r="AU43" s="224">
        <f>IF('DM_NHAN_SU'!$B43="","",'CHAM_CONG_THANG'!X43)</f>
        <v/>
      </c>
      <c r="AV43" s="224">
        <f>IF('DM_NHAN_SU'!$B43="","",'CHAM_CONG_THANG'!Y43+'QT_NGHI_VIEC'!AD43)</f>
        <v/>
      </c>
      <c r="AW43" s="224">
        <f>IF('DM_NHAN_SU'!$B43="","",'CHAM_CONG_THANG'!Z43)</f>
        <v/>
      </c>
      <c r="AX43" s="224">
        <f>IF('DM_NHAN_SU'!$B43="","",$AT43-$AU43-$AV43-$AW43-$BV43)</f>
        <v/>
      </c>
      <c r="AY43" s="224">
        <f>IF('DM_NHAN_SU'!$B43="","",$AE43*'THAM_SO'!$M$11)</f>
        <v/>
      </c>
      <c r="AZ43" s="224">
        <f>IF('DM_NHAN_SU'!$B43="","",$AE43*'THAM_SO'!$M$12)</f>
        <v/>
      </c>
      <c r="BA43" s="224">
        <f>IF('DM_NHAN_SU'!$B43="","",$AF43*'THAM_SO'!$M$13)</f>
        <v/>
      </c>
      <c r="BB43" s="224">
        <f>IF('DM_NHAN_SU'!$B43="","",$AE43*'THAM_SO'!$M$14)</f>
        <v/>
      </c>
      <c r="BC43" s="224">
        <f>IF('DM_NHAN_SU'!$B43="","",SUM($AY43:$BB43))</f>
        <v/>
      </c>
      <c r="BD43" s="224">
        <f>IF('DM_NHAN_SU'!$B43="","",$AS43+$BC43)</f>
        <v/>
      </c>
      <c r="BE43" s="224">
        <f>IF('DM_NHAN_SU'!$B43="","",VLOOKUP($H43,'THAM_SO'!$L$17:$P$20,2,FALSE))</f>
        <v/>
      </c>
      <c r="BF43" s="224">
        <f>IF('DM_NHAN_SU'!$B43="","",VLOOKUP($H43,'THAM_SO'!$L$17:$P$20,3,FALSE))</f>
        <v/>
      </c>
      <c r="BG43" s="150">
        <f>IF('DM_NHAN_SU'!$B43="","",IF($B43="","",IF(COUNTIF('DM_NHAN_SU'!$B$6:$B$155,$B43)&gt;1,"Trùng mã NV; ","")&amp;IF(OR($F43="",$G43=""),"Thiếu loại/hình thức lương; ","")&amp;IF('CHAM_CONG_THANG'!$D43="","Chưa chọn nguồn công; ","")&amp;IF(AND('CHAM_CONG_THANG'!$D43="Theo ngày",COUNTIF('CHAM_CONG_NGAY'!$B$6:$B$4655,$B43)=0),"Chưa có chấm công ngày; ","")&amp;IF(OR($I43&lt;=0,$J43&lt;=0),"Thiếu công/giờ chuẩn; ","")&amp;IF(AND($G43="Tháng",'DM_NHAN_SU'!$K43&lt;$BE43),"Lương tháng dưới tối thiểu vùng; ","")&amp;IF(AND($G43="Ngày",'DM_NHAN_SU'!$K43/$J43&lt;$BF43),"Lương ngày quy đổi dưới tối thiểu giờ; ","")&amp;IF(AND($G43="Giờ",'DM_NHAN_SU'!$K43&lt;$BF43),"Lương giờ dưới tối thiểu vùng; ","")&amp;IF(AND($G43="Sản phẩm",$L43&gt;0,$O43/$L43&lt;$BF43),"Lương SP quy đổi dưới tối thiểu giờ; ","")&amp;IF(OR('THAM_SO'!$C$19&lt;'THAM_SO'!$B$19,'THAM_SO'!$C$20&lt;'THAM_SO'!$B$20,'THAM_SO'!$C$21&lt;'THAM_SO'!$B$21,'THAM_SO'!$C$22&lt;'THAM_SO'!$B$22,'THAM_SO'!$C$23&lt;'THAM_SO'!$B$23,'THAM_SO'!$C$24&lt;'THAM_SO'!$B$24,'THAM_SO'!$C$25&lt;'THAM_SO'!$B$25),"Hệ số OT/đêm DN thấp hơn luật; ","")&amp;IF(AND('DM_NHAN_SU'!$R43="Có",$AD43&lt;=0),"Thiếu căn cứ đóng BH; ","")&amp;IF(AND($AD43&gt;0,$AD43&lt;'THAM_SO'!$M$6),"Căn cứ BH dưới sàn – đã nâng sàn; ","")&amp;IF($AD43&gt;'THAM_SO'!$M$7,"Căn cứ BH vượt trần – đã giới hạn; ","")&amp;IF(AND($F43="Net",SUM('CHAM_CONG_THANG'!$AF43:$AK43)&gt;0,'DM_NHAN_SU'!$Q43&lt;=0),"Net có OT nhưng chưa khai lương giờ OT; ","")&amp;IF('CHAM_CONG_THANG'!$V43&gt;$Z43,"Phần OT không miễn lớn hơn tiền OT; ","")&amp;IF(AND($F43="Net",ABS($AT43-$AC43-$AP43)&gt;1),"Lệch quy đổi Net; ","")&amp;IF(AND($BH43&gt;0,'DM_NHAN_SU'!$AD43=""),"Có phép năm nhưng đang tạm dùng 12 ngày; ","")&amp;IF(AND($G43="Sản phẩm",SUM($BH43:$BJ43)&gt;0,'DM_NHAN_SU'!$AH43&lt;=0),"Lương sản phẩm thiếu đơn giá ngày phép/lễ; ","")&amp;IF(AND($BL43&gt;=14,'CHAM_CONG_THANG'!$AA43&lt;&gt;"Có"),"Thai sản từ 14 ngày: file tự dừng đóng BH – kiểm tra hồ sơ; ","")&amp;IF(AND('DM_NHAN_SU'!$AA43="Có",'DM_NHAN_SU'!$AB43=""),"Đoàn viên chưa chọn cách tính đoàn phí; ","")&amp;IF(AND('DM_NHAN_SU'!$AB43="Nhập tay",'DM_NHAN_SU'!$AC43&gt;'THAM_SO'!$M$26),"Đoàn phí nhập tay vượt trần thông dụng; ","")&amp;IF('NGHI_PHEP'!$L43&lt;&gt;"","Phép: "&amp;'NGHI_PHEP'!$L43,"")&amp;IF('CHE_DO_BHXH'!$AA43&lt;&gt;"","BHXH: "&amp;'CHE_DO_BHXH'!$AA43,"")&amp;IF('THUONG_T13_TET'!$O43&lt;&gt;"","Thưởng: "&amp;'THUONG_T13_TET'!$O43,"")&amp;IF('QT_NGHI_VIEC'!$AF43&lt;&gt;"","Nghỉ việc: "&amp;'QT_NGHI_VIEC'!$AF43,"")&amp;IF($AX43&lt;0,"Thực lĩnh âm; ","")&amp;IF(OR('DM_NHAN_SU'!$F43&gt;'THAM_SO'!$B$7,AND('DM_NHAN_SU'!$G43&lt;&gt;"",'DM_NHAN_SU'!$G43&lt;'THAM_SO'!$B$6)),"Ngoài kỳ trả lương; ","")))</f>
        <v/>
      </c>
      <c r="BH43" s="232">
        <f>IF('DM_NHAN_SU'!$B43="","",'CHAM_CONG_THANG'!AR43)</f>
        <v/>
      </c>
      <c r="BI43" s="232">
        <f>IF('DM_NHAN_SU'!$B43="","",'CHAM_CONG_THANG'!AS43)</f>
        <v/>
      </c>
      <c r="BJ43" s="232">
        <f>IF('DM_NHAN_SU'!$B43="","",'CHAM_CONG_THANG'!AT43)</f>
        <v/>
      </c>
      <c r="BK43" s="232">
        <f>IF('DM_NHAN_SU'!$B43="","",'CHAM_CONG_THANG'!AU43)</f>
        <v/>
      </c>
      <c r="BL43" s="232">
        <f>IF('DM_NHAN_SU'!$B43="","",'CHAM_CONG_THANG'!AV43)</f>
        <v/>
      </c>
      <c r="BM43" s="232">
        <f>IF('DM_NHAN_SU'!$B43="","",'CHAM_CONG_THANG'!AW43)</f>
        <v/>
      </c>
      <c r="BN43" s="232">
        <f>IF('DM_NHAN_SU'!$B43="","",SUM($K43,$BH43:$BJ43))</f>
        <v/>
      </c>
      <c r="BO43" s="224">
        <f>IF('DM_NHAN_SU'!$B43="","",IF($B43="",0,IF($G43="Tháng",IF($I43&gt;0,'DM_NHAN_SU'!$K43*MIN($BH43+$BJ43,MAX($I43-$K43,0))/$I43,0),IF($G43="Ngày",'DM_NHAN_SU'!$K43*SUM($BH43:$BJ43),IF($G43="Giờ",'DM_NHAN_SU'!$K43*SUM($BH43:$BJ43)*$J43,IF($G43="Sản phẩm",'DM_NHAN_SU'!$AH43*SUM($BH43:$BJ43),0))))))</f>
        <v/>
      </c>
      <c r="BP43" s="224">
        <f>IF('DM_NHAN_SU'!$B43="","",IF('THUONG_T13_TET'!$L43="Có",'THUONG_T13_TET'!$I43,0))</f>
        <v/>
      </c>
      <c r="BQ43" s="224">
        <f>IF('DM_NHAN_SU'!$B43="","",IF('THUONG_T13_TET'!$L43="Có",SUM('THUONG_T13_TET'!$J43:$K43),0))</f>
        <v/>
      </c>
      <c r="BR43" s="224">
        <f>IF('DM_NHAN_SU'!$B43="","",'QT_NGHI_VIEC'!AC43)</f>
        <v/>
      </c>
      <c r="BS43" s="224">
        <f>IF('DM_NHAN_SU'!$B43="","",'QT_NGHI_VIEC'!AB43)</f>
        <v/>
      </c>
      <c r="BT43" s="224">
        <f>IF('DM_NHAN_SU'!$B43="","",IF('CHE_DO_BHXH'!$Z43="Có",'CHE_DO_BHXH'!$W43,0))</f>
        <v/>
      </c>
      <c r="BU43" s="224">
        <f>IF('DM_NHAN_SU'!$B43="","",IF('CHE_DO_BHXH'!$Y43="DN trả thay",$BT43,0))</f>
        <v/>
      </c>
      <c r="BV43" s="224">
        <f>IF('DM_NHAN_SU'!$B43="","",IF(OR('DM_NHAN_SU'!$AA43&lt;&gt;"Có",'CHE_DO_BHXH'!$O43&gt;=1,SUM('CHE_DO_BHXH'!$D43,'CHE_DO_BHXH'!$G43,'CHE_DO_BHXH'!$K43)&gt;=24,AND($I43&gt;0,$BM43&gt;=$I43)),0,IF('DM_NHAN_SU'!$AB43="Không",0,IF('DM_NHAN_SU'!$AB43="Nhập tay",'DM_NHAN_SU'!$AC43,IF('DM_NHAN_SU'!$AB43="Theo thực nhận",MIN(MAX($AT43-$AU43-$AV43-$AW43,0)*'THAM_SO'!$M$23,'THAM_SO'!$M$26),MIN($AE43*'THAM_SO'!$M$23,'THAM_SO'!$M$26))))))</f>
        <v/>
      </c>
      <c r="BW43" s="224">
        <f>IF('DM_NHAN_SU'!$B43="","",$AX43+$BU43)</f>
        <v/>
      </c>
    </row>
    <row r="44">
      <c r="A44" s="145">
        <f>IF('DM_NHAN_SU'!$B44="","",IF($B44="","",ROW()-5))</f>
        <v/>
      </c>
      <c r="B44" s="145">
        <f>IF('DM_NHAN_SU'!$B44="","",'DM_NHAN_SU'!B44)</f>
        <v/>
      </c>
      <c r="C44" s="145">
        <f>IF('DM_NHAN_SU'!$B44="","",'DM_NHAN_SU'!C44)</f>
        <v/>
      </c>
      <c r="D44" s="145">
        <f>IF('DM_NHAN_SU'!$B44="","",'DM_NHAN_SU'!D44)</f>
        <v/>
      </c>
      <c r="E44" s="145">
        <f>IF('DM_NHAN_SU'!$B44="","",'DM_NHAN_SU'!E44)</f>
        <v/>
      </c>
      <c r="F44" s="145">
        <f>IF('DM_NHAN_SU'!$B44="","",'DM_NHAN_SU'!I44)</f>
        <v/>
      </c>
      <c r="G44" s="145">
        <f>IF('DM_NHAN_SU'!$B44="","",'DM_NHAN_SU'!J44)</f>
        <v/>
      </c>
      <c r="H44" s="145">
        <f>IF('DM_NHAN_SU'!$B44="","",IF('DM_NHAN_SU'!H44="",'THAM_SO'!$B$11,'DM_NHAN_SU'!H44))</f>
        <v/>
      </c>
      <c r="I44" s="232">
        <f>IF('DM_NHAN_SU'!$B44="","",IF('DM_NHAN_SU'!L44&gt;0,'DM_NHAN_SU'!L44,'THAM_SO'!$B$9))</f>
        <v/>
      </c>
      <c r="J44" s="232">
        <f>IF('DM_NHAN_SU'!$B44="","",IF('DM_NHAN_SU'!M44&gt;0,'DM_NHAN_SU'!M44,'THAM_SO'!$B$10))</f>
        <v/>
      </c>
      <c r="K44" s="232">
        <f>IF('DM_NHAN_SU'!$B44="","",'CHAM_CONG_THANG'!AC44)</f>
        <v/>
      </c>
      <c r="L44" s="232">
        <f>IF('DM_NHAN_SU'!$B44="","",'CHAM_CONG_THANG'!AD44)</f>
        <v/>
      </c>
      <c r="M44" s="232">
        <f>IF('DM_NHAN_SU'!$B44="","",'CHAM_CONG_THANG'!AE44)</f>
        <v/>
      </c>
      <c r="N44" s="232">
        <f>IF('DM_NHAN_SU'!$B44="","",'CHAM_CONG_THANG'!N44)</f>
        <v/>
      </c>
      <c r="O44" s="224">
        <f>IF('DM_NHAN_SU'!$B44="","",IF($B44="","",IF($G44="Tháng",IF($I44&gt;0,'DM_NHAN_SU'!$K44*MIN($K44,$I44)/$I44,0),IF($G44="Ngày",'DM_NHAN_SU'!$K44*$K44,IF($G44="Giờ",'DM_NHAN_SU'!$K44*$L44,IF($G44="Sản phẩm",'DM_NHAN_SU'!$K44*$N44,0))))))</f>
        <v/>
      </c>
      <c r="P44" s="224">
        <f>IF('DM_NHAN_SU'!$B44="","",'CHAM_CONG_THANG'!O44)</f>
        <v/>
      </c>
      <c r="Q44" s="224">
        <f>IF('DM_NHAN_SU'!$B44="","",'CHAM_CONG_THANG'!P44)</f>
        <v/>
      </c>
      <c r="R44" s="224">
        <f>IF('DM_NHAN_SU'!$B44="","",'CHAM_CONG_THANG'!Q44)</f>
        <v/>
      </c>
      <c r="S44" s="224">
        <f>IF('DM_NHAN_SU'!$B44="","",'CHAM_CONG_THANG'!R44)</f>
        <v/>
      </c>
      <c r="T44" s="224">
        <f>IF('DM_NHAN_SU'!$B44="","",'CHAM_CONG_THANG'!S44)</f>
        <v/>
      </c>
      <c r="U44" s="224">
        <f>IF('DM_NHAN_SU'!$B44="","",MIN($T44,'THAM_SO'!$F$6))</f>
        <v/>
      </c>
      <c r="V44" s="224">
        <f>IF('DM_NHAN_SU'!$B44="","",MAX($T44-$U44,0))</f>
        <v/>
      </c>
      <c r="W44" s="224">
        <f>IF('DM_NHAN_SU'!$B44="","",'CHAM_CONG_THANG'!T44)</f>
        <v/>
      </c>
      <c r="X44" s="224">
        <f>IF('DM_NHAN_SU'!$B44="","",'CHAM_CONG_THANG'!U44)</f>
        <v/>
      </c>
      <c r="Y44" s="224">
        <f>IF('DM_NHAN_SU'!$B44="","",IF($B44="",0,IF('DM_NHAN_SU'!$Q44&gt;0,'DM_NHAN_SU'!$Q44,IF($G44="Tháng",IF($I44*$J44&gt;0,'DM_NHAN_SU'!$K44/($I44*$J44),0),IF($G44="Ngày",IF($J44&gt;0,'DM_NHAN_SU'!$K44/$J44,0),IF($G44="Giờ",'DM_NHAN_SU'!$K44,0))))))</f>
        <v/>
      </c>
      <c r="Z44" s="224">
        <f>IF('DM_NHAN_SU'!$B44="","",$Y44*($M44*'THAM_SO'!$C$22+'CHAM_CONG_THANG'!$AF44*'THAM_SO'!$C$19+'CHAM_CONG_THANG'!$AG44*'THAM_SO'!$C$20+'CHAM_CONG_THANG'!$AH44*'THAM_SO'!$C$21+'CHAM_CONG_THANG'!$AI44*'THAM_SO'!$C$23+'CHAM_CONG_THANG'!$AJ44*'THAM_SO'!$C$24+'CHAM_CONG_THANG'!$AK44*'THAM_SO'!$C$25))</f>
        <v/>
      </c>
      <c r="AA44" s="224">
        <f>IF('DM_NHAN_SU'!$B44="","",MAX(0,$Y44*($M44*IF('THAM_SO'!$C$22&gt;='THAM_SO'!$B$22,'THAM_SO'!$B$22,0)+'CHAM_CONG_THANG'!$AF44*IF('THAM_SO'!$C$19&gt;='THAM_SO'!$B$19,'THAM_SO'!$B$19,0)+'CHAM_CONG_THANG'!$AG44*IF('THAM_SO'!$C$20&gt;='THAM_SO'!$B$20,'THAM_SO'!$B$20,0)+'CHAM_CONG_THANG'!$AH44*IF('THAM_SO'!$C$21&gt;='THAM_SO'!$B$21,'THAM_SO'!$B$21,0)+'CHAM_CONG_THANG'!$AI44*IF('THAM_SO'!$C$23&gt;='THAM_SO'!$B$23,'THAM_SO'!$B$23,0)+'CHAM_CONG_THANG'!$AJ44*IF('THAM_SO'!$C$24&gt;='THAM_SO'!$B$24,'THAM_SO'!$B$24,0)+'CHAM_CONG_THANG'!$AK44*IF('THAM_SO'!$C$25&gt;='THAM_SO'!$B$25,'THAM_SO'!$B$25,0))-'CHAM_CONG_THANG'!$V44))</f>
        <v/>
      </c>
      <c r="AB44" s="224">
        <f>IF('DM_NHAN_SU'!$B44="","",MAX($Z44-$AA44,0))</f>
        <v/>
      </c>
      <c r="AC44" s="224">
        <f>IF('DM_NHAN_SU'!$B44="","",$O44+$P44+$Q44+$R44+$S44+$V44+$AB44+$BO44+$BP44+$BQ44+$BR44)</f>
        <v/>
      </c>
      <c r="AD44" s="224">
        <f>IF('DM_NHAN_SU'!$B44="","",'DM_NHAN_SU'!N44+'DM_NHAN_SU'!O44+'DM_NHAN_SU'!P44)</f>
        <v/>
      </c>
      <c r="AE44" s="224">
        <f>IF('DM_NHAN_SU'!$B44="","",IF(OR('DM_NHAN_SU'!$R44&lt;&gt;"Có",'CHAM_CONG_THANG'!$AA44="Có",$BL44&gt;=14,$AD44&lt;=0),0,MIN(MAX($AD44,'THAM_SO'!$M$6),'THAM_SO'!$M$7)))</f>
        <v/>
      </c>
      <c r="AF44" s="224">
        <f>IF('DM_NHAN_SU'!$B44="","",IF(OR('DM_NHAN_SU'!$S44&lt;&gt;"Có",'CHAM_CONG_THANG'!$AA44="Có",$BL44&gt;=14,$AD44&lt;=0),0,MIN(MAX($AD44,VLOOKUP($H44,'THAM_SO'!$L$17:$P$20,4,FALSE)),VLOOKUP($H44,'THAM_SO'!$L$17:$P$20,5,FALSE))))</f>
        <v/>
      </c>
      <c r="AG44" s="224">
        <f>IF('DM_NHAN_SU'!$B44="","",$AE44*'THAM_SO'!$M$8)</f>
        <v/>
      </c>
      <c r="AH44" s="224">
        <f>IF('DM_NHAN_SU'!$B44="","",$AE44*'THAM_SO'!$M$9)</f>
        <v/>
      </c>
      <c r="AI44" s="224">
        <f>IF('DM_NHAN_SU'!$B44="","",$AF44*'THAM_SO'!$M$10)</f>
        <v/>
      </c>
      <c r="AJ44" s="224">
        <f>IF('DM_NHAN_SU'!$B44="","",SUM($AG44:$AI44))</f>
        <v/>
      </c>
      <c r="AK44" s="224">
        <f>IF('DM_NHAN_SU'!$B44="","",IF($B44="",0,'THAM_SO'!$F$4))</f>
        <v/>
      </c>
      <c r="AL44" s="224">
        <f>IF('DM_NHAN_SU'!$B44="","",IF($B44="",0,'DM_NHAN_SU'!$T44*'THAM_SO'!$F$5))</f>
        <v/>
      </c>
      <c r="AM44" s="224">
        <f>IF('DM_NHAN_SU'!$B44="","",'CHAM_CONG_THANG'!W44)</f>
        <v/>
      </c>
      <c r="AN44" s="224">
        <f>IF('DM_NHAN_SU'!$B44="","",MAX($AC44-$AK44-$AL44-$AM44,0))</f>
        <v/>
      </c>
      <c r="AO44" s="224">
        <f>IF('DM_NHAN_SU'!$B44="","",IF($B44="","",IF($F44="Net",IF($AC44&lt;=$AK44+$AL44+$AM44,$AC44+$AJ44,$AJ44+$AK44+$AL44+$AM44+IF($AN44&lt;='THAM_SO'!$J$10,($AN44-'THAM_SO'!$I$10)/(1-'THAM_SO'!$H$10),IF($AN44&lt;='THAM_SO'!$J$11,($AN44-'THAM_SO'!$I$11)/(1-'THAM_SO'!$H$11),IF($AN44&lt;='THAM_SO'!$J$12,($AN44-'THAM_SO'!$I$12)/(1-'THAM_SO'!$H$12),IF($AN44&lt;='THAM_SO'!$J$13,($AN44-'THAM_SO'!$I$13)/(1-'THAM_SO'!$H$13),($AN44-'THAM_SO'!$I$14)/(1-'THAM_SO'!$H$14)))))),$AC44)))</f>
        <v/>
      </c>
      <c r="AP44" s="224">
        <f>IF('DM_NHAN_SU'!$B44="","",$U44+$W44+$X44+$AA44+$BS44)</f>
        <v/>
      </c>
      <c r="AQ44" s="224">
        <f>IF('DM_NHAN_SU'!$B44="","",MAX($AO44-$AJ44-$AK44-$AL44-$AM44,0))</f>
        <v/>
      </c>
      <c r="AR44" s="224">
        <f>IF('DM_NHAN_SU'!$B44="","",IF($AQ44&lt;=0,0,$AQ44*VLOOKUP($AQ44,'THAM_SO'!$F$10:$I$14,3,TRUE)-VLOOKUP($AQ44,'THAM_SO'!$F$10:$I$14,4,TRUE)))</f>
        <v/>
      </c>
      <c r="AS44" s="224">
        <f>IF('DM_NHAN_SU'!$B44="","",$AO44+$AP44)</f>
        <v/>
      </c>
      <c r="AT44" s="224">
        <f>IF('DM_NHAN_SU'!$B44="","",$AS44-$AJ44-$AR44)</f>
        <v/>
      </c>
      <c r="AU44" s="224">
        <f>IF('DM_NHAN_SU'!$B44="","",'CHAM_CONG_THANG'!X44)</f>
        <v/>
      </c>
      <c r="AV44" s="224">
        <f>IF('DM_NHAN_SU'!$B44="","",'CHAM_CONG_THANG'!Y44+'QT_NGHI_VIEC'!AD44)</f>
        <v/>
      </c>
      <c r="AW44" s="224">
        <f>IF('DM_NHAN_SU'!$B44="","",'CHAM_CONG_THANG'!Z44)</f>
        <v/>
      </c>
      <c r="AX44" s="224">
        <f>IF('DM_NHAN_SU'!$B44="","",$AT44-$AU44-$AV44-$AW44-$BV44)</f>
        <v/>
      </c>
      <c r="AY44" s="224">
        <f>IF('DM_NHAN_SU'!$B44="","",$AE44*'THAM_SO'!$M$11)</f>
        <v/>
      </c>
      <c r="AZ44" s="224">
        <f>IF('DM_NHAN_SU'!$B44="","",$AE44*'THAM_SO'!$M$12)</f>
        <v/>
      </c>
      <c r="BA44" s="224">
        <f>IF('DM_NHAN_SU'!$B44="","",$AF44*'THAM_SO'!$M$13)</f>
        <v/>
      </c>
      <c r="BB44" s="224">
        <f>IF('DM_NHAN_SU'!$B44="","",$AE44*'THAM_SO'!$M$14)</f>
        <v/>
      </c>
      <c r="BC44" s="224">
        <f>IF('DM_NHAN_SU'!$B44="","",SUM($AY44:$BB44))</f>
        <v/>
      </c>
      <c r="BD44" s="224">
        <f>IF('DM_NHAN_SU'!$B44="","",$AS44+$BC44)</f>
        <v/>
      </c>
      <c r="BE44" s="224">
        <f>IF('DM_NHAN_SU'!$B44="","",VLOOKUP($H44,'THAM_SO'!$L$17:$P$20,2,FALSE))</f>
        <v/>
      </c>
      <c r="BF44" s="224">
        <f>IF('DM_NHAN_SU'!$B44="","",VLOOKUP($H44,'THAM_SO'!$L$17:$P$20,3,FALSE))</f>
        <v/>
      </c>
      <c r="BG44" s="150">
        <f>IF('DM_NHAN_SU'!$B44="","",IF($B44="","",IF(COUNTIF('DM_NHAN_SU'!$B$6:$B$155,$B44)&gt;1,"Trùng mã NV; ","")&amp;IF(OR($F44="",$G44=""),"Thiếu loại/hình thức lương; ","")&amp;IF('CHAM_CONG_THANG'!$D44="","Chưa chọn nguồn công; ","")&amp;IF(AND('CHAM_CONG_THANG'!$D44="Theo ngày",COUNTIF('CHAM_CONG_NGAY'!$B$6:$B$4655,$B44)=0),"Chưa có chấm công ngày; ","")&amp;IF(OR($I44&lt;=0,$J44&lt;=0),"Thiếu công/giờ chuẩn; ","")&amp;IF(AND($G44="Tháng",'DM_NHAN_SU'!$K44&lt;$BE44),"Lương tháng dưới tối thiểu vùng; ","")&amp;IF(AND($G44="Ngày",'DM_NHAN_SU'!$K44/$J44&lt;$BF44),"Lương ngày quy đổi dưới tối thiểu giờ; ","")&amp;IF(AND($G44="Giờ",'DM_NHAN_SU'!$K44&lt;$BF44),"Lương giờ dưới tối thiểu vùng; ","")&amp;IF(AND($G44="Sản phẩm",$L44&gt;0,$O44/$L44&lt;$BF44),"Lương SP quy đổi dưới tối thiểu giờ; ","")&amp;IF(OR('THAM_SO'!$C$19&lt;'THAM_SO'!$B$19,'THAM_SO'!$C$20&lt;'THAM_SO'!$B$20,'THAM_SO'!$C$21&lt;'THAM_SO'!$B$21,'THAM_SO'!$C$22&lt;'THAM_SO'!$B$22,'THAM_SO'!$C$23&lt;'THAM_SO'!$B$23,'THAM_SO'!$C$24&lt;'THAM_SO'!$B$24,'THAM_SO'!$C$25&lt;'THAM_SO'!$B$25),"Hệ số OT/đêm DN thấp hơn luật; ","")&amp;IF(AND('DM_NHAN_SU'!$R44="Có",$AD44&lt;=0),"Thiếu căn cứ đóng BH; ","")&amp;IF(AND($AD44&gt;0,$AD44&lt;'THAM_SO'!$M$6),"Căn cứ BH dưới sàn – đã nâng sàn; ","")&amp;IF($AD44&gt;'THAM_SO'!$M$7,"Căn cứ BH vượt trần – đã giới hạn; ","")&amp;IF(AND($F44="Net",SUM('CHAM_CONG_THANG'!$AF44:$AK44)&gt;0,'DM_NHAN_SU'!$Q44&lt;=0),"Net có OT nhưng chưa khai lương giờ OT; ","")&amp;IF('CHAM_CONG_THANG'!$V44&gt;$Z44,"Phần OT không miễn lớn hơn tiền OT; ","")&amp;IF(AND($F44="Net",ABS($AT44-$AC44-$AP44)&gt;1),"Lệch quy đổi Net; ","")&amp;IF(AND($BH44&gt;0,'DM_NHAN_SU'!$AD44=""),"Có phép năm nhưng đang tạm dùng 12 ngày; ","")&amp;IF(AND($G44="Sản phẩm",SUM($BH44:$BJ44)&gt;0,'DM_NHAN_SU'!$AH44&lt;=0),"Lương sản phẩm thiếu đơn giá ngày phép/lễ; ","")&amp;IF(AND($BL44&gt;=14,'CHAM_CONG_THANG'!$AA44&lt;&gt;"Có"),"Thai sản từ 14 ngày: file tự dừng đóng BH – kiểm tra hồ sơ; ","")&amp;IF(AND('DM_NHAN_SU'!$AA44="Có",'DM_NHAN_SU'!$AB44=""),"Đoàn viên chưa chọn cách tính đoàn phí; ","")&amp;IF(AND('DM_NHAN_SU'!$AB44="Nhập tay",'DM_NHAN_SU'!$AC44&gt;'THAM_SO'!$M$26),"Đoàn phí nhập tay vượt trần thông dụng; ","")&amp;IF('NGHI_PHEP'!$L44&lt;&gt;"","Phép: "&amp;'NGHI_PHEP'!$L44,"")&amp;IF('CHE_DO_BHXH'!$AA44&lt;&gt;"","BHXH: "&amp;'CHE_DO_BHXH'!$AA44,"")&amp;IF('THUONG_T13_TET'!$O44&lt;&gt;"","Thưởng: "&amp;'THUONG_T13_TET'!$O44,"")&amp;IF('QT_NGHI_VIEC'!$AF44&lt;&gt;"","Nghỉ việc: "&amp;'QT_NGHI_VIEC'!$AF44,"")&amp;IF($AX44&lt;0,"Thực lĩnh âm; ","")&amp;IF(OR('DM_NHAN_SU'!$F44&gt;'THAM_SO'!$B$7,AND('DM_NHAN_SU'!$G44&lt;&gt;"",'DM_NHAN_SU'!$G44&lt;'THAM_SO'!$B$6)),"Ngoài kỳ trả lương; ","")))</f>
        <v/>
      </c>
      <c r="BH44" s="232">
        <f>IF('DM_NHAN_SU'!$B44="","",'CHAM_CONG_THANG'!AR44)</f>
        <v/>
      </c>
      <c r="BI44" s="232">
        <f>IF('DM_NHAN_SU'!$B44="","",'CHAM_CONG_THANG'!AS44)</f>
        <v/>
      </c>
      <c r="BJ44" s="232">
        <f>IF('DM_NHAN_SU'!$B44="","",'CHAM_CONG_THANG'!AT44)</f>
        <v/>
      </c>
      <c r="BK44" s="232">
        <f>IF('DM_NHAN_SU'!$B44="","",'CHAM_CONG_THANG'!AU44)</f>
        <v/>
      </c>
      <c r="BL44" s="232">
        <f>IF('DM_NHAN_SU'!$B44="","",'CHAM_CONG_THANG'!AV44)</f>
        <v/>
      </c>
      <c r="BM44" s="232">
        <f>IF('DM_NHAN_SU'!$B44="","",'CHAM_CONG_THANG'!AW44)</f>
        <v/>
      </c>
      <c r="BN44" s="232">
        <f>IF('DM_NHAN_SU'!$B44="","",SUM($K44,$BH44:$BJ44))</f>
        <v/>
      </c>
      <c r="BO44" s="224">
        <f>IF('DM_NHAN_SU'!$B44="","",IF($B44="",0,IF($G44="Tháng",IF($I44&gt;0,'DM_NHAN_SU'!$K44*MIN($BH44+$BJ44,MAX($I44-$K44,0))/$I44,0),IF($G44="Ngày",'DM_NHAN_SU'!$K44*SUM($BH44:$BJ44),IF($G44="Giờ",'DM_NHAN_SU'!$K44*SUM($BH44:$BJ44)*$J44,IF($G44="Sản phẩm",'DM_NHAN_SU'!$AH44*SUM($BH44:$BJ44),0))))))</f>
        <v/>
      </c>
      <c r="BP44" s="224">
        <f>IF('DM_NHAN_SU'!$B44="","",IF('THUONG_T13_TET'!$L44="Có",'THUONG_T13_TET'!$I44,0))</f>
        <v/>
      </c>
      <c r="BQ44" s="224">
        <f>IF('DM_NHAN_SU'!$B44="","",IF('THUONG_T13_TET'!$L44="Có",SUM('THUONG_T13_TET'!$J44:$K44),0))</f>
        <v/>
      </c>
      <c r="BR44" s="224">
        <f>IF('DM_NHAN_SU'!$B44="","",'QT_NGHI_VIEC'!AC44)</f>
        <v/>
      </c>
      <c r="BS44" s="224">
        <f>IF('DM_NHAN_SU'!$B44="","",'QT_NGHI_VIEC'!AB44)</f>
        <v/>
      </c>
      <c r="BT44" s="224">
        <f>IF('DM_NHAN_SU'!$B44="","",IF('CHE_DO_BHXH'!$Z44="Có",'CHE_DO_BHXH'!$W44,0))</f>
        <v/>
      </c>
      <c r="BU44" s="224">
        <f>IF('DM_NHAN_SU'!$B44="","",IF('CHE_DO_BHXH'!$Y44="DN trả thay",$BT44,0))</f>
        <v/>
      </c>
      <c r="BV44" s="224">
        <f>IF('DM_NHAN_SU'!$B44="","",IF(OR('DM_NHAN_SU'!$AA44&lt;&gt;"Có",'CHE_DO_BHXH'!$O44&gt;=1,SUM('CHE_DO_BHXH'!$D44,'CHE_DO_BHXH'!$G44,'CHE_DO_BHXH'!$K44)&gt;=24,AND($I44&gt;0,$BM44&gt;=$I44)),0,IF('DM_NHAN_SU'!$AB44="Không",0,IF('DM_NHAN_SU'!$AB44="Nhập tay",'DM_NHAN_SU'!$AC44,IF('DM_NHAN_SU'!$AB44="Theo thực nhận",MIN(MAX($AT44-$AU44-$AV44-$AW44,0)*'THAM_SO'!$M$23,'THAM_SO'!$M$26),MIN($AE44*'THAM_SO'!$M$23,'THAM_SO'!$M$26))))))</f>
        <v/>
      </c>
      <c r="BW44" s="224">
        <f>IF('DM_NHAN_SU'!$B44="","",$AX44+$BU44)</f>
        <v/>
      </c>
    </row>
    <row r="45">
      <c r="A45" s="145">
        <f>IF('DM_NHAN_SU'!$B45="","",IF($B45="","",ROW()-5))</f>
        <v/>
      </c>
      <c r="B45" s="145">
        <f>IF('DM_NHAN_SU'!$B45="","",'DM_NHAN_SU'!B45)</f>
        <v/>
      </c>
      <c r="C45" s="145">
        <f>IF('DM_NHAN_SU'!$B45="","",'DM_NHAN_SU'!C45)</f>
        <v/>
      </c>
      <c r="D45" s="145">
        <f>IF('DM_NHAN_SU'!$B45="","",'DM_NHAN_SU'!D45)</f>
        <v/>
      </c>
      <c r="E45" s="145">
        <f>IF('DM_NHAN_SU'!$B45="","",'DM_NHAN_SU'!E45)</f>
        <v/>
      </c>
      <c r="F45" s="145">
        <f>IF('DM_NHAN_SU'!$B45="","",'DM_NHAN_SU'!I45)</f>
        <v/>
      </c>
      <c r="G45" s="145">
        <f>IF('DM_NHAN_SU'!$B45="","",'DM_NHAN_SU'!J45)</f>
        <v/>
      </c>
      <c r="H45" s="145">
        <f>IF('DM_NHAN_SU'!$B45="","",IF('DM_NHAN_SU'!H45="",'THAM_SO'!$B$11,'DM_NHAN_SU'!H45))</f>
        <v/>
      </c>
      <c r="I45" s="232">
        <f>IF('DM_NHAN_SU'!$B45="","",IF('DM_NHAN_SU'!L45&gt;0,'DM_NHAN_SU'!L45,'THAM_SO'!$B$9))</f>
        <v/>
      </c>
      <c r="J45" s="232">
        <f>IF('DM_NHAN_SU'!$B45="","",IF('DM_NHAN_SU'!M45&gt;0,'DM_NHAN_SU'!M45,'THAM_SO'!$B$10))</f>
        <v/>
      </c>
      <c r="K45" s="232">
        <f>IF('DM_NHAN_SU'!$B45="","",'CHAM_CONG_THANG'!AC45)</f>
        <v/>
      </c>
      <c r="L45" s="232">
        <f>IF('DM_NHAN_SU'!$B45="","",'CHAM_CONG_THANG'!AD45)</f>
        <v/>
      </c>
      <c r="M45" s="232">
        <f>IF('DM_NHAN_SU'!$B45="","",'CHAM_CONG_THANG'!AE45)</f>
        <v/>
      </c>
      <c r="N45" s="232">
        <f>IF('DM_NHAN_SU'!$B45="","",'CHAM_CONG_THANG'!N45)</f>
        <v/>
      </c>
      <c r="O45" s="224">
        <f>IF('DM_NHAN_SU'!$B45="","",IF($B45="","",IF($G45="Tháng",IF($I45&gt;0,'DM_NHAN_SU'!$K45*MIN($K45,$I45)/$I45,0),IF($G45="Ngày",'DM_NHAN_SU'!$K45*$K45,IF($G45="Giờ",'DM_NHAN_SU'!$K45*$L45,IF($G45="Sản phẩm",'DM_NHAN_SU'!$K45*$N45,0))))))</f>
        <v/>
      </c>
      <c r="P45" s="224">
        <f>IF('DM_NHAN_SU'!$B45="","",'CHAM_CONG_THANG'!O45)</f>
        <v/>
      </c>
      <c r="Q45" s="224">
        <f>IF('DM_NHAN_SU'!$B45="","",'CHAM_CONG_THANG'!P45)</f>
        <v/>
      </c>
      <c r="R45" s="224">
        <f>IF('DM_NHAN_SU'!$B45="","",'CHAM_CONG_THANG'!Q45)</f>
        <v/>
      </c>
      <c r="S45" s="224">
        <f>IF('DM_NHAN_SU'!$B45="","",'CHAM_CONG_THANG'!R45)</f>
        <v/>
      </c>
      <c r="T45" s="224">
        <f>IF('DM_NHAN_SU'!$B45="","",'CHAM_CONG_THANG'!S45)</f>
        <v/>
      </c>
      <c r="U45" s="224">
        <f>IF('DM_NHAN_SU'!$B45="","",MIN($T45,'THAM_SO'!$F$6))</f>
        <v/>
      </c>
      <c r="V45" s="224">
        <f>IF('DM_NHAN_SU'!$B45="","",MAX($T45-$U45,0))</f>
        <v/>
      </c>
      <c r="W45" s="224">
        <f>IF('DM_NHAN_SU'!$B45="","",'CHAM_CONG_THANG'!T45)</f>
        <v/>
      </c>
      <c r="X45" s="224">
        <f>IF('DM_NHAN_SU'!$B45="","",'CHAM_CONG_THANG'!U45)</f>
        <v/>
      </c>
      <c r="Y45" s="224">
        <f>IF('DM_NHAN_SU'!$B45="","",IF($B45="",0,IF('DM_NHAN_SU'!$Q45&gt;0,'DM_NHAN_SU'!$Q45,IF($G45="Tháng",IF($I45*$J45&gt;0,'DM_NHAN_SU'!$K45/($I45*$J45),0),IF($G45="Ngày",IF($J45&gt;0,'DM_NHAN_SU'!$K45/$J45,0),IF($G45="Giờ",'DM_NHAN_SU'!$K45,0))))))</f>
        <v/>
      </c>
      <c r="Z45" s="224">
        <f>IF('DM_NHAN_SU'!$B45="","",$Y45*($M45*'THAM_SO'!$C$22+'CHAM_CONG_THANG'!$AF45*'THAM_SO'!$C$19+'CHAM_CONG_THANG'!$AG45*'THAM_SO'!$C$20+'CHAM_CONG_THANG'!$AH45*'THAM_SO'!$C$21+'CHAM_CONG_THANG'!$AI45*'THAM_SO'!$C$23+'CHAM_CONG_THANG'!$AJ45*'THAM_SO'!$C$24+'CHAM_CONG_THANG'!$AK45*'THAM_SO'!$C$25))</f>
        <v/>
      </c>
      <c r="AA45" s="224">
        <f>IF('DM_NHAN_SU'!$B45="","",MAX(0,$Y45*($M45*IF('THAM_SO'!$C$22&gt;='THAM_SO'!$B$22,'THAM_SO'!$B$22,0)+'CHAM_CONG_THANG'!$AF45*IF('THAM_SO'!$C$19&gt;='THAM_SO'!$B$19,'THAM_SO'!$B$19,0)+'CHAM_CONG_THANG'!$AG45*IF('THAM_SO'!$C$20&gt;='THAM_SO'!$B$20,'THAM_SO'!$B$20,0)+'CHAM_CONG_THANG'!$AH45*IF('THAM_SO'!$C$21&gt;='THAM_SO'!$B$21,'THAM_SO'!$B$21,0)+'CHAM_CONG_THANG'!$AI45*IF('THAM_SO'!$C$23&gt;='THAM_SO'!$B$23,'THAM_SO'!$B$23,0)+'CHAM_CONG_THANG'!$AJ45*IF('THAM_SO'!$C$24&gt;='THAM_SO'!$B$24,'THAM_SO'!$B$24,0)+'CHAM_CONG_THANG'!$AK45*IF('THAM_SO'!$C$25&gt;='THAM_SO'!$B$25,'THAM_SO'!$B$25,0))-'CHAM_CONG_THANG'!$V45))</f>
        <v/>
      </c>
      <c r="AB45" s="224">
        <f>IF('DM_NHAN_SU'!$B45="","",MAX($Z45-$AA45,0))</f>
        <v/>
      </c>
      <c r="AC45" s="224">
        <f>IF('DM_NHAN_SU'!$B45="","",$O45+$P45+$Q45+$R45+$S45+$V45+$AB45+$BO45+$BP45+$BQ45+$BR45)</f>
        <v/>
      </c>
      <c r="AD45" s="224">
        <f>IF('DM_NHAN_SU'!$B45="","",'DM_NHAN_SU'!N45+'DM_NHAN_SU'!O45+'DM_NHAN_SU'!P45)</f>
        <v/>
      </c>
      <c r="AE45" s="224">
        <f>IF('DM_NHAN_SU'!$B45="","",IF(OR('DM_NHAN_SU'!$R45&lt;&gt;"Có",'CHAM_CONG_THANG'!$AA45="Có",$BL45&gt;=14,$AD45&lt;=0),0,MIN(MAX($AD45,'THAM_SO'!$M$6),'THAM_SO'!$M$7)))</f>
        <v/>
      </c>
      <c r="AF45" s="224">
        <f>IF('DM_NHAN_SU'!$B45="","",IF(OR('DM_NHAN_SU'!$S45&lt;&gt;"Có",'CHAM_CONG_THANG'!$AA45="Có",$BL45&gt;=14,$AD45&lt;=0),0,MIN(MAX($AD45,VLOOKUP($H45,'THAM_SO'!$L$17:$P$20,4,FALSE)),VLOOKUP($H45,'THAM_SO'!$L$17:$P$20,5,FALSE))))</f>
        <v/>
      </c>
      <c r="AG45" s="224">
        <f>IF('DM_NHAN_SU'!$B45="","",$AE45*'THAM_SO'!$M$8)</f>
        <v/>
      </c>
      <c r="AH45" s="224">
        <f>IF('DM_NHAN_SU'!$B45="","",$AE45*'THAM_SO'!$M$9)</f>
        <v/>
      </c>
      <c r="AI45" s="224">
        <f>IF('DM_NHAN_SU'!$B45="","",$AF45*'THAM_SO'!$M$10)</f>
        <v/>
      </c>
      <c r="AJ45" s="224">
        <f>IF('DM_NHAN_SU'!$B45="","",SUM($AG45:$AI45))</f>
        <v/>
      </c>
      <c r="AK45" s="224">
        <f>IF('DM_NHAN_SU'!$B45="","",IF($B45="",0,'THAM_SO'!$F$4))</f>
        <v/>
      </c>
      <c r="AL45" s="224">
        <f>IF('DM_NHAN_SU'!$B45="","",IF($B45="",0,'DM_NHAN_SU'!$T45*'THAM_SO'!$F$5))</f>
        <v/>
      </c>
      <c r="AM45" s="224">
        <f>IF('DM_NHAN_SU'!$B45="","",'CHAM_CONG_THANG'!W45)</f>
        <v/>
      </c>
      <c r="AN45" s="224">
        <f>IF('DM_NHAN_SU'!$B45="","",MAX($AC45-$AK45-$AL45-$AM45,0))</f>
        <v/>
      </c>
      <c r="AO45" s="224">
        <f>IF('DM_NHAN_SU'!$B45="","",IF($B45="","",IF($F45="Net",IF($AC45&lt;=$AK45+$AL45+$AM45,$AC45+$AJ45,$AJ45+$AK45+$AL45+$AM45+IF($AN45&lt;='THAM_SO'!$J$10,($AN45-'THAM_SO'!$I$10)/(1-'THAM_SO'!$H$10),IF($AN45&lt;='THAM_SO'!$J$11,($AN45-'THAM_SO'!$I$11)/(1-'THAM_SO'!$H$11),IF($AN45&lt;='THAM_SO'!$J$12,($AN45-'THAM_SO'!$I$12)/(1-'THAM_SO'!$H$12),IF($AN45&lt;='THAM_SO'!$J$13,($AN45-'THAM_SO'!$I$13)/(1-'THAM_SO'!$H$13),($AN45-'THAM_SO'!$I$14)/(1-'THAM_SO'!$H$14)))))),$AC45)))</f>
        <v/>
      </c>
      <c r="AP45" s="224">
        <f>IF('DM_NHAN_SU'!$B45="","",$U45+$W45+$X45+$AA45+$BS45)</f>
        <v/>
      </c>
      <c r="AQ45" s="224">
        <f>IF('DM_NHAN_SU'!$B45="","",MAX($AO45-$AJ45-$AK45-$AL45-$AM45,0))</f>
        <v/>
      </c>
      <c r="AR45" s="224">
        <f>IF('DM_NHAN_SU'!$B45="","",IF($AQ45&lt;=0,0,$AQ45*VLOOKUP($AQ45,'THAM_SO'!$F$10:$I$14,3,TRUE)-VLOOKUP($AQ45,'THAM_SO'!$F$10:$I$14,4,TRUE)))</f>
        <v/>
      </c>
      <c r="AS45" s="224">
        <f>IF('DM_NHAN_SU'!$B45="","",$AO45+$AP45)</f>
        <v/>
      </c>
      <c r="AT45" s="224">
        <f>IF('DM_NHAN_SU'!$B45="","",$AS45-$AJ45-$AR45)</f>
        <v/>
      </c>
      <c r="AU45" s="224">
        <f>IF('DM_NHAN_SU'!$B45="","",'CHAM_CONG_THANG'!X45)</f>
        <v/>
      </c>
      <c r="AV45" s="224">
        <f>IF('DM_NHAN_SU'!$B45="","",'CHAM_CONG_THANG'!Y45+'QT_NGHI_VIEC'!AD45)</f>
        <v/>
      </c>
      <c r="AW45" s="224">
        <f>IF('DM_NHAN_SU'!$B45="","",'CHAM_CONG_THANG'!Z45)</f>
        <v/>
      </c>
      <c r="AX45" s="224">
        <f>IF('DM_NHAN_SU'!$B45="","",$AT45-$AU45-$AV45-$AW45-$BV45)</f>
        <v/>
      </c>
      <c r="AY45" s="224">
        <f>IF('DM_NHAN_SU'!$B45="","",$AE45*'THAM_SO'!$M$11)</f>
        <v/>
      </c>
      <c r="AZ45" s="224">
        <f>IF('DM_NHAN_SU'!$B45="","",$AE45*'THAM_SO'!$M$12)</f>
        <v/>
      </c>
      <c r="BA45" s="224">
        <f>IF('DM_NHAN_SU'!$B45="","",$AF45*'THAM_SO'!$M$13)</f>
        <v/>
      </c>
      <c r="BB45" s="224">
        <f>IF('DM_NHAN_SU'!$B45="","",$AE45*'THAM_SO'!$M$14)</f>
        <v/>
      </c>
      <c r="BC45" s="224">
        <f>IF('DM_NHAN_SU'!$B45="","",SUM($AY45:$BB45))</f>
        <v/>
      </c>
      <c r="BD45" s="224">
        <f>IF('DM_NHAN_SU'!$B45="","",$AS45+$BC45)</f>
        <v/>
      </c>
      <c r="BE45" s="224">
        <f>IF('DM_NHAN_SU'!$B45="","",VLOOKUP($H45,'THAM_SO'!$L$17:$P$20,2,FALSE))</f>
        <v/>
      </c>
      <c r="BF45" s="224">
        <f>IF('DM_NHAN_SU'!$B45="","",VLOOKUP($H45,'THAM_SO'!$L$17:$P$20,3,FALSE))</f>
        <v/>
      </c>
      <c r="BG45" s="150">
        <f>IF('DM_NHAN_SU'!$B45="","",IF($B45="","",IF(COUNTIF('DM_NHAN_SU'!$B$6:$B$155,$B45)&gt;1,"Trùng mã NV; ","")&amp;IF(OR($F45="",$G45=""),"Thiếu loại/hình thức lương; ","")&amp;IF('CHAM_CONG_THANG'!$D45="","Chưa chọn nguồn công; ","")&amp;IF(AND('CHAM_CONG_THANG'!$D45="Theo ngày",COUNTIF('CHAM_CONG_NGAY'!$B$6:$B$4655,$B45)=0),"Chưa có chấm công ngày; ","")&amp;IF(OR($I45&lt;=0,$J45&lt;=0),"Thiếu công/giờ chuẩn; ","")&amp;IF(AND($G45="Tháng",'DM_NHAN_SU'!$K45&lt;$BE45),"Lương tháng dưới tối thiểu vùng; ","")&amp;IF(AND($G45="Ngày",'DM_NHAN_SU'!$K45/$J45&lt;$BF45),"Lương ngày quy đổi dưới tối thiểu giờ; ","")&amp;IF(AND($G45="Giờ",'DM_NHAN_SU'!$K45&lt;$BF45),"Lương giờ dưới tối thiểu vùng; ","")&amp;IF(AND($G45="Sản phẩm",$L45&gt;0,$O45/$L45&lt;$BF45),"Lương SP quy đổi dưới tối thiểu giờ; ","")&amp;IF(OR('THAM_SO'!$C$19&lt;'THAM_SO'!$B$19,'THAM_SO'!$C$20&lt;'THAM_SO'!$B$20,'THAM_SO'!$C$21&lt;'THAM_SO'!$B$21,'THAM_SO'!$C$22&lt;'THAM_SO'!$B$22,'THAM_SO'!$C$23&lt;'THAM_SO'!$B$23,'THAM_SO'!$C$24&lt;'THAM_SO'!$B$24,'THAM_SO'!$C$25&lt;'THAM_SO'!$B$25),"Hệ số OT/đêm DN thấp hơn luật; ","")&amp;IF(AND('DM_NHAN_SU'!$R45="Có",$AD45&lt;=0),"Thiếu căn cứ đóng BH; ","")&amp;IF(AND($AD45&gt;0,$AD45&lt;'THAM_SO'!$M$6),"Căn cứ BH dưới sàn – đã nâng sàn; ","")&amp;IF($AD45&gt;'THAM_SO'!$M$7,"Căn cứ BH vượt trần – đã giới hạn; ","")&amp;IF(AND($F45="Net",SUM('CHAM_CONG_THANG'!$AF45:$AK45)&gt;0,'DM_NHAN_SU'!$Q45&lt;=0),"Net có OT nhưng chưa khai lương giờ OT; ","")&amp;IF('CHAM_CONG_THANG'!$V45&gt;$Z45,"Phần OT không miễn lớn hơn tiền OT; ","")&amp;IF(AND($F45="Net",ABS($AT45-$AC45-$AP45)&gt;1),"Lệch quy đổi Net; ","")&amp;IF(AND($BH45&gt;0,'DM_NHAN_SU'!$AD45=""),"Có phép năm nhưng đang tạm dùng 12 ngày; ","")&amp;IF(AND($G45="Sản phẩm",SUM($BH45:$BJ45)&gt;0,'DM_NHAN_SU'!$AH45&lt;=0),"Lương sản phẩm thiếu đơn giá ngày phép/lễ; ","")&amp;IF(AND($BL45&gt;=14,'CHAM_CONG_THANG'!$AA45&lt;&gt;"Có"),"Thai sản từ 14 ngày: file tự dừng đóng BH – kiểm tra hồ sơ; ","")&amp;IF(AND('DM_NHAN_SU'!$AA45="Có",'DM_NHAN_SU'!$AB45=""),"Đoàn viên chưa chọn cách tính đoàn phí; ","")&amp;IF(AND('DM_NHAN_SU'!$AB45="Nhập tay",'DM_NHAN_SU'!$AC45&gt;'THAM_SO'!$M$26),"Đoàn phí nhập tay vượt trần thông dụng; ","")&amp;IF('NGHI_PHEP'!$L45&lt;&gt;"","Phép: "&amp;'NGHI_PHEP'!$L45,"")&amp;IF('CHE_DO_BHXH'!$AA45&lt;&gt;"","BHXH: "&amp;'CHE_DO_BHXH'!$AA45,"")&amp;IF('THUONG_T13_TET'!$O45&lt;&gt;"","Thưởng: "&amp;'THUONG_T13_TET'!$O45,"")&amp;IF('QT_NGHI_VIEC'!$AF45&lt;&gt;"","Nghỉ việc: "&amp;'QT_NGHI_VIEC'!$AF45,"")&amp;IF($AX45&lt;0,"Thực lĩnh âm; ","")&amp;IF(OR('DM_NHAN_SU'!$F45&gt;'THAM_SO'!$B$7,AND('DM_NHAN_SU'!$G45&lt;&gt;"",'DM_NHAN_SU'!$G45&lt;'THAM_SO'!$B$6)),"Ngoài kỳ trả lương; ","")))</f>
        <v/>
      </c>
      <c r="BH45" s="232">
        <f>IF('DM_NHAN_SU'!$B45="","",'CHAM_CONG_THANG'!AR45)</f>
        <v/>
      </c>
      <c r="BI45" s="232">
        <f>IF('DM_NHAN_SU'!$B45="","",'CHAM_CONG_THANG'!AS45)</f>
        <v/>
      </c>
      <c r="BJ45" s="232">
        <f>IF('DM_NHAN_SU'!$B45="","",'CHAM_CONG_THANG'!AT45)</f>
        <v/>
      </c>
      <c r="BK45" s="232">
        <f>IF('DM_NHAN_SU'!$B45="","",'CHAM_CONG_THANG'!AU45)</f>
        <v/>
      </c>
      <c r="BL45" s="232">
        <f>IF('DM_NHAN_SU'!$B45="","",'CHAM_CONG_THANG'!AV45)</f>
        <v/>
      </c>
      <c r="BM45" s="232">
        <f>IF('DM_NHAN_SU'!$B45="","",'CHAM_CONG_THANG'!AW45)</f>
        <v/>
      </c>
      <c r="BN45" s="232">
        <f>IF('DM_NHAN_SU'!$B45="","",SUM($K45,$BH45:$BJ45))</f>
        <v/>
      </c>
      <c r="BO45" s="224">
        <f>IF('DM_NHAN_SU'!$B45="","",IF($B45="",0,IF($G45="Tháng",IF($I45&gt;0,'DM_NHAN_SU'!$K45*MIN($BH45+$BJ45,MAX($I45-$K45,0))/$I45,0),IF($G45="Ngày",'DM_NHAN_SU'!$K45*SUM($BH45:$BJ45),IF($G45="Giờ",'DM_NHAN_SU'!$K45*SUM($BH45:$BJ45)*$J45,IF($G45="Sản phẩm",'DM_NHAN_SU'!$AH45*SUM($BH45:$BJ45),0))))))</f>
        <v/>
      </c>
      <c r="BP45" s="224">
        <f>IF('DM_NHAN_SU'!$B45="","",IF('THUONG_T13_TET'!$L45="Có",'THUONG_T13_TET'!$I45,0))</f>
        <v/>
      </c>
      <c r="BQ45" s="224">
        <f>IF('DM_NHAN_SU'!$B45="","",IF('THUONG_T13_TET'!$L45="Có",SUM('THUONG_T13_TET'!$J45:$K45),0))</f>
        <v/>
      </c>
      <c r="BR45" s="224">
        <f>IF('DM_NHAN_SU'!$B45="","",'QT_NGHI_VIEC'!AC45)</f>
        <v/>
      </c>
      <c r="BS45" s="224">
        <f>IF('DM_NHAN_SU'!$B45="","",'QT_NGHI_VIEC'!AB45)</f>
        <v/>
      </c>
      <c r="BT45" s="224">
        <f>IF('DM_NHAN_SU'!$B45="","",IF('CHE_DO_BHXH'!$Z45="Có",'CHE_DO_BHXH'!$W45,0))</f>
        <v/>
      </c>
      <c r="BU45" s="224">
        <f>IF('DM_NHAN_SU'!$B45="","",IF('CHE_DO_BHXH'!$Y45="DN trả thay",$BT45,0))</f>
        <v/>
      </c>
      <c r="BV45" s="224">
        <f>IF('DM_NHAN_SU'!$B45="","",IF(OR('DM_NHAN_SU'!$AA45&lt;&gt;"Có",'CHE_DO_BHXH'!$O45&gt;=1,SUM('CHE_DO_BHXH'!$D45,'CHE_DO_BHXH'!$G45,'CHE_DO_BHXH'!$K45)&gt;=24,AND($I45&gt;0,$BM45&gt;=$I45)),0,IF('DM_NHAN_SU'!$AB45="Không",0,IF('DM_NHAN_SU'!$AB45="Nhập tay",'DM_NHAN_SU'!$AC45,IF('DM_NHAN_SU'!$AB45="Theo thực nhận",MIN(MAX($AT45-$AU45-$AV45-$AW45,0)*'THAM_SO'!$M$23,'THAM_SO'!$M$26),MIN($AE45*'THAM_SO'!$M$23,'THAM_SO'!$M$26))))))</f>
        <v/>
      </c>
      <c r="BW45" s="224">
        <f>IF('DM_NHAN_SU'!$B45="","",$AX45+$BU45)</f>
        <v/>
      </c>
    </row>
    <row r="46">
      <c r="A46" s="145">
        <f>IF('DM_NHAN_SU'!$B46="","",IF($B46="","",ROW()-5))</f>
        <v/>
      </c>
      <c r="B46" s="145">
        <f>IF('DM_NHAN_SU'!$B46="","",'DM_NHAN_SU'!B46)</f>
        <v/>
      </c>
      <c r="C46" s="145">
        <f>IF('DM_NHAN_SU'!$B46="","",'DM_NHAN_SU'!C46)</f>
        <v/>
      </c>
      <c r="D46" s="145">
        <f>IF('DM_NHAN_SU'!$B46="","",'DM_NHAN_SU'!D46)</f>
        <v/>
      </c>
      <c r="E46" s="145">
        <f>IF('DM_NHAN_SU'!$B46="","",'DM_NHAN_SU'!E46)</f>
        <v/>
      </c>
      <c r="F46" s="145">
        <f>IF('DM_NHAN_SU'!$B46="","",'DM_NHAN_SU'!I46)</f>
        <v/>
      </c>
      <c r="G46" s="145">
        <f>IF('DM_NHAN_SU'!$B46="","",'DM_NHAN_SU'!J46)</f>
        <v/>
      </c>
      <c r="H46" s="145">
        <f>IF('DM_NHAN_SU'!$B46="","",IF('DM_NHAN_SU'!H46="",'THAM_SO'!$B$11,'DM_NHAN_SU'!H46))</f>
        <v/>
      </c>
      <c r="I46" s="232">
        <f>IF('DM_NHAN_SU'!$B46="","",IF('DM_NHAN_SU'!L46&gt;0,'DM_NHAN_SU'!L46,'THAM_SO'!$B$9))</f>
        <v/>
      </c>
      <c r="J46" s="232">
        <f>IF('DM_NHAN_SU'!$B46="","",IF('DM_NHAN_SU'!M46&gt;0,'DM_NHAN_SU'!M46,'THAM_SO'!$B$10))</f>
        <v/>
      </c>
      <c r="K46" s="232">
        <f>IF('DM_NHAN_SU'!$B46="","",'CHAM_CONG_THANG'!AC46)</f>
        <v/>
      </c>
      <c r="L46" s="232">
        <f>IF('DM_NHAN_SU'!$B46="","",'CHAM_CONG_THANG'!AD46)</f>
        <v/>
      </c>
      <c r="M46" s="232">
        <f>IF('DM_NHAN_SU'!$B46="","",'CHAM_CONG_THANG'!AE46)</f>
        <v/>
      </c>
      <c r="N46" s="232">
        <f>IF('DM_NHAN_SU'!$B46="","",'CHAM_CONG_THANG'!N46)</f>
        <v/>
      </c>
      <c r="O46" s="224">
        <f>IF('DM_NHAN_SU'!$B46="","",IF($B46="","",IF($G46="Tháng",IF($I46&gt;0,'DM_NHAN_SU'!$K46*MIN($K46,$I46)/$I46,0),IF($G46="Ngày",'DM_NHAN_SU'!$K46*$K46,IF($G46="Giờ",'DM_NHAN_SU'!$K46*$L46,IF($G46="Sản phẩm",'DM_NHAN_SU'!$K46*$N46,0))))))</f>
        <v/>
      </c>
      <c r="P46" s="224">
        <f>IF('DM_NHAN_SU'!$B46="","",'CHAM_CONG_THANG'!O46)</f>
        <v/>
      </c>
      <c r="Q46" s="224">
        <f>IF('DM_NHAN_SU'!$B46="","",'CHAM_CONG_THANG'!P46)</f>
        <v/>
      </c>
      <c r="R46" s="224">
        <f>IF('DM_NHAN_SU'!$B46="","",'CHAM_CONG_THANG'!Q46)</f>
        <v/>
      </c>
      <c r="S46" s="224">
        <f>IF('DM_NHAN_SU'!$B46="","",'CHAM_CONG_THANG'!R46)</f>
        <v/>
      </c>
      <c r="T46" s="224">
        <f>IF('DM_NHAN_SU'!$B46="","",'CHAM_CONG_THANG'!S46)</f>
        <v/>
      </c>
      <c r="U46" s="224">
        <f>IF('DM_NHAN_SU'!$B46="","",MIN($T46,'THAM_SO'!$F$6))</f>
        <v/>
      </c>
      <c r="V46" s="224">
        <f>IF('DM_NHAN_SU'!$B46="","",MAX($T46-$U46,0))</f>
        <v/>
      </c>
      <c r="W46" s="224">
        <f>IF('DM_NHAN_SU'!$B46="","",'CHAM_CONG_THANG'!T46)</f>
        <v/>
      </c>
      <c r="X46" s="224">
        <f>IF('DM_NHAN_SU'!$B46="","",'CHAM_CONG_THANG'!U46)</f>
        <v/>
      </c>
      <c r="Y46" s="224">
        <f>IF('DM_NHAN_SU'!$B46="","",IF($B46="",0,IF('DM_NHAN_SU'!$Q46&gt;0,'DM_NHAN_SU'!$Q46,IF($G46="Tháng",IF($I46*$J46&gt;0,'DM_NHAN_SU'!$K46/($I46*$J46),0),IF($G46="Ngày",IF($J46&gt;0,'DM_NHAN_SU'!$K46/$J46,0),IF($G46="Giờ",'DM_NHAN_SU'!$K46,0))))))</f>
        <v/>
      </c>
      <c r="Z46" s="224">
        <f>IF('DM_NHAN_SU'!$B46="","",$Y46*($M46*'THAM_SO'!$C$22+'CHAM_CONG_THANG'!$AF46*'THAM_SO'!$C$19+'CHAM_CONG_THANG'!$AG46*'THAM_SO'!$C$20+'CHAM_CONG_THANG'!$AH46*'THAM_SO'!$C$21+'CHAM_CONG_THANG'!$AI46*'THAM_SO'!$C$23+'CHAM_CONG_THANG'!$AJ46*'THAM_SO'!$C$24+'CHAM_CONG_THANG'!$AK46*'THAM_SO'!$C$25))</f>
        <v/>
      </c>
      <c r="AA46" s="224">
        <f>IF('DM_NHAN_SU'!$B46="","",MAX(0,$Y46*($M46*IF('THAM_SO'!$C$22&gt;='THAM_SO'!$B$22,'THAM_SO'!$B$22,0)+'CHAM_CONG_THANG'!$AF46*IF('THAM_SO'!$C$19&gt;='THAM_SO'!$B$19,'THAM_SO'!$B$19,0)+'CHAM_CONG_THANG'!$AG46*IF('THAM_SO'!$C$20&gt;='THAM_SO'!$B$20,'THAM_SO'!$B$20,0)+'CHAM_CONG_THANG'!$AH46*IF('THAM_SO'!$C$21&gt;='THAM_SO'!$B$21,'THAM_SO'!$B$21,0)+'CHAM_CONG_THANG'!$AI46*IF('THAM_SO'!$C$23&gt;='THAM_SO'!$B$23,'THAM_SO'!$B$23,0)+'CHAM_CONG_THANG'!$AJ46*IF('THAM_SO'!$C$24&gt;='THAM_SO'!$B$24,'THAM_SO'!$B$24,0)+'CHAM_CONG_THANG'!$AK46*IF('THAM_SO'!$C$25&gt;='THAM_SO'!$B$25,'THAM_SO'!$B$25,0))-'CHAM_CONG_THANG'!$V46))</f>
        <v/>
      </c>
      <c r="AB46" s="224">
        <f>IF('DM_NHAN_SU'!$B46="","",MAX($Z46-$AA46,0))</f>
        <v/>
      </c>
      <c r="AC46" s="224">
        <f>IF('DM_NHAN_SU'!$B46="","",$O46+$P46+$Q46+$R46+$S46+$V46+$AB46+$BO46+$BP46+$BQ46+$BR46)</f>
        <v/>
      </c>
      <c r="AD46" s="224">
        <f>IF('DM_NHAN_SU'!$B46="","",'DM_NHAN_SU'!N46+'DM_NHAN_SU'!O46+'DM_NHAN_SU'!P46)</f>
        <v/>
      </c>
      <c r="AE46" s="224">
        <f>IF('DM_NHAN_SU'!$B46="","",IF(OR('DM_NHAN_SU'!$R46&lt;&gt;"Có",'CHAM_CONG_THANG'!$AA46="Có",$BL46&gt;=14,$AD46&lt;=0),0,MIN(MAX($AD46,'THAM_SO'!$M$6),'THAM_SO'!$M$7)))</f>
        <v/>
      </c>
      <c r="AF46" s="224">
        <f>IF('DM_NHAN_SU'!$B46="","",IF(OR('DM_NHAN_SU'!$S46&lt;&gt;"Có",'CHAM_CONG_THANG'!$AA46="Có",$BL46&gt;=14,$AD46&lt;=0),0,MIN(MAX($AD46,VLOOKUP($H46,'THAM_SO'!$L$17:$P$20,4,FALSE)),VLOOKUP($H46,'THAM_SO'!$L$17:$P$20,5,FALSE))))</f>
        <v/>
      </c>
      <c r="AG46" s="224">
        <f>IF('DM_NHAN_SU'!$B46="","",$AE46*'THAM_SO'!$M$8)</f>
        <v/>
      </c>
      <c r="AH46" s="224">
        <f>IF('DM_NHAN_SU'!$B46="","",$AE46*'THAM_SO'!$M$9)</f>
        <v/>
      </c>
      <c r="AI46" s="224">
        <f>IF('DM_NHAN_SU'!$B46="","",$AF46*'THAM_SO'!$M$10)</f>
        <v/>
      </c>
      <c r="AJ46" s="224">
        <f>IF('DM_NHAN_SU'!$B46="","",SUM($AG46:$AI46))</f>
        <v/>
      </c>
      <c r="AK46" s="224">
        <f>IF('DM_NHAN_SU'!$B46="","",IF($B46="",0,'THAM_SO'!$F$4))</f>
        <v/>
      </c>
      <c r="AL46" s="224">
        <f>IF('DM_NHAN_SU'!$B46="","",IF($B46="",0,'DM_NHAN_SU'!$T46*'THAM_SO'!$F$5))</f>
        <v/>
      </c>
      <c r="AM46" s="224">
        <f>IF('DM_NHAN_SU'!$B46="","",'CHAM_CONG_THANG'!W46)</f>
        <v/>
      </c>
      <c r="AN46" s="224">
        <f>IF('DM_NHAN_SU'!$B46="","",MAX($AC46-$AK46-$AL46-$AM46,0))</f>
        <v/>
      </c>
      <c r="AO46" s="224">
        <f>IF('DM_NHAN_SU'!$B46="","",IF($B46="","",IF($F46="Net",IF($AC46&lt;=$AK46+$AL46+$AM46,$AC46+$AJ46,$AJ46+$AK46+$AL46+$AM46+IF($AN46&lt;='THAM_SO'!$J$10,($AN46-'THAM_SO'!$I$10)/(1-'THAM_SO'!$H$10),IF($AN46&lt;='THAM_SO'!$J$11,($AN46-'THAM_SO'!$I$11)/(1-'THAM_SO'!$H$11),IF($AN46&lt;='THAM_SO'!$J$12,($AN46-'THAM_SO'!$I$12)/(1-'THAM_SO'!$H$12),IF($AN46&lt;='THAM_SO'!$J$13,($AN46-'THAM_SO'!$I$13)/(1-'THAM_SO'!$H$13),($AN46-'THAM_SO'!$I$14)/(1-'THAM_SO'!$H$14)))))),$AC46)))</f>
        <v/>
      </c>
      <c r="AP46" s="224">
        <f>IF('DM_NHAN_SU'!$B46="","",$U46+$W46+$X46+$AA46+$BS46)</f>
        <v/>
      </c>
      <c r="AQ46" s="224">
        <f>IF('DM_NHAN_SU'!$B46="","",MAX($AO46-$AJ46-$AK46-$AL46-$AM46,0))</f>
        <v/>
      </c>
      <c r="AR46" s="224">
        <f>IF('DM_NHAN_SU'!$B46="","",IF($AQ46&lt;=0,0,$AQ46*VLOOKUP($AQ46,'THAM_SO'!$F$10:$I$14,3,TRUE)-VLOOKUP($AQ46,'THAM_SO'!$F$10:$I$14,4,TRUE)))</f>
        <v/>
      </c>
      <c r="AS46" s="224">
        <f>IF('DM_NHAN_SU'!$B46="","",$AO46+$AP46)</f>
        <v/>
      </c>
      <c r="AT46" s="224">
        <f>IF('DM_NHAN_SU'!$B46="","",$AS46-$AJ46-$AR46)</f>
        <v/>
      </c>
      <c r="AU46" s="224">
        <f>IF('DM_NHAN_SU'!$B46="","",'CHAM_CONG_THANG'!X46)</f>
        <v/>
      </c>
      <c r="AV46" s="224">
        <f>IF('DM_NHAN_SU'!$B46="","",'CHAM_CONG_THANG'!Y46+'QT_NGHI_VIEC'!AD46)</f>
        <v/>
      </c>
      <c r="AW46" s="224">
        <f>IF('DM_NHAN_SU'!$B46="","",'CHAM_CONG_THANG'!Z46)</f>
        <v/>
      </c>
      <c r="AX46" s="224">
        <f>IF('DM_NHAN_SU'!$B46="","",$AT46-$AU46-$AV46-$AW46-$BV46)</f>
        <v/>
      </c>
      <c r="AY46" s="224">
        <f>IF('DM_NHAN_SU'!$B46="","",$AE46*'THAM_SO'!$M$11)</f>
        <v/>
      </c>
      <c r="AZ46" s="224">
        <f>IF('DM_NHAN_SU'!$B46="","",$AE46*'THAM_SO'!$M$12)</f>
        <v/>
      </c>
      <c r="BA46" s="224">
        <f>IF('DM_NHAN_SU'!$B46="","",$AF46*'THAM_SO'!$M$13)</f>
        <v/>
      </c>
      <c r="BB46" s="224">
        <f>IF('DM_NHAN_SU'!$B46="","",$AE46*'THAM_SO'!$M$14)</f>
        <v/>
      </c>
      <c r="BC46" s="224">
        <f>IF('DM_NHAN_SU'!$B46="","",SUM($AY46:$BB46))</f>
        <v/>
      </c>
      <c r="BD46" s="224">
        <f>IF('DM_NHAN_SU'!$B46="","",$AS46+$BC46)</f>
        <v/>
      </c>
      <c r="BE46" s="224">
        <f>IF('DM_NHAN_SU'!$B46="","",VLOOKUP($H46,'THAM_SO'!$L$17:$P$20,2,FALSE))</f>
        <v/>
      </c>
      <c r="BF46" s="224">
        <f>IF('DM_NHAN_SU'!$B46="","",VLOOKUP($H46,'THAM_SO'!$L$17:$P$20,3,FALSE))</f>
        <v/>
      </c>
      <c r="BG46" s="150">
        <f>IF('DM_NHAN_SU'!$B46="","",IF($B46="","",IF(COUNTIF('DM_NHAN_SU'!$B$6:$B$155,$B46)&gt;1,"Trùng mã NV; ","")&amp;IF(OR($F46="",$G46=""),"Thiếu loại/hình thức lương; ","")&amp;IF('CHAM_CONG_THANG'!$D46="","Chưa chọn nguồn công; ","")&amp;IF(AND('CHAM_CONG_THANG'!$D46="Theo ngày",COUNTIF('CHAM_CONG_NGAY'!$B$6:$B$4655,$B46)=0),"Chưa có chấm công ngày; ","")&amp;IF(OR($I46&lt;=0,$J46&lt;=0),"Thiếu công/giờ chuẩn; ","")&amp;IF(AND($G46="Tháng",'DM_NHAN_SU'!$K46&lt;$BE46),"Lương tháng dưới tối thiểu vùng; ","")&amp;IF(AND($G46="Ngày",'DM_NHAN_SU'!$K46/$J46&lt;$BF46),"Lương ngày quy đổi dưới tối thiểu giờ; ","")&amp;IF(AND($G46="Giờ",'DM_NHAN_SU'!$K46&lt;$BF46),"Lương giờ dưới tối thiểu vùng; ","")&amp;IF(AND($G46="Sản phẩm",$L46&gt;0,$O46/$L46&lt;$BF46),"Lương SP quy đổi dưới tối thiểu giờ; ","")&amp;IF(OR('THAM_SO'!$C$19&lt;'THAM_SO'!$B$19,'THAM_SO'!$C$20&lt;'THAM_SO'!$B$20,'THAM_SO'!$C$21&lt;'THAM_SO'!$B$21,'THAM_SO'!$C$22&lt;'THAM_SO'!$B$22,'THAM_SO'!$C$23&lt;'THAM_SO'!$B$23,'THAM_SO'!$C$24&lt;'THAM_SO'!$B$24,'THAM_SO'!$C$25&lt;'THAM_SO'!$B$25),"Hệ số OT/đêm DN thấp hơn luật; ","")&amp;IF(AND('DM_NHAN_SU'!$R46="Có",$AD46&lt;=0),"Thiếu căn cứ đóng BH; ","")&amp;IF(AND($AD46&gt;0,$AD46&lt;'THAM_SO'!$M$6),"Căn cứ BH dưới sàn – đã nâng sàn; ","")&amp;IF($AD46&gt;'THAM_SO'!$M$7,"Căn cứ BH vượt trần – đã giới hạn; ","")&amp;IF(AND($F46="Net",SUM('CHAM_CONG_THANG'!$AF46:$AK46)&gt;0,'DM_NHAN_SU'!$Q46&lt;=0),"Net có OT nhưng chưa khai lương giờ OT; ","")&amp;IF('CHAM_CONG_THANG'!$V46&gt;$Z46,"Phần OT không miễn lớn hơn tiền OT; ","")&amp;IF(AND($F46="Net",ABS($AT46-$AC46-$AP46)&gt;1),"Lệch quy đổi Net; ","")&amp;IF(AND($BH46&gt;0,'DM_NHAN_SU'!$AD46=""),"Có phép năm nhưng đang tạm dùng 12 ngày; ","")&amp;IF(AND($G46="Sản phẩm",SUM($BH46:$BJ46)&gt;0,'DM_NHAN_SU'!$AH46&lt;=0),"Lương sản phẩm thiếu đơn giá ngày phép/lễ; ","")&amp;IF(AND($BL46&gt;=14,'CHAM_CONG_THANG'!$AA46&lt;&gt;"Có"),"Thai sản từ 14 ngày: file tự dừng đóng BH – kiểm tra hồ sơ; ","")&amp;IF(AND('DM_NHAN_SU'!$AA46="Có",'DM_NHAN_SU'!$AB46=""),"Đoàn viên chưa chọn cách tính đoàn phí; ","")&amp;IF(AND('DM_NHAN_SU'!$AB46="Nhập tay",'DM_NHAN_SU'!$AC46&gt;'THAM_SO'!$M$26),"Đoàn phí nhập tay vượt trần thông dụng; ","")&amp;IF('NGHI_PHEP'!$L46&lt;&gt;"","Phép: "&amp;'NGHI_PHEP'!$L46,"")&amp;IF('CHE_DO_BHXH'!$AA46&lt;&gt;"","BHXH: "&amp;'CHE_DO_BHXH'!$AA46,"")&amp;IF('THUONG_T13_TET'!$O46&lt;&gt;"","Thưởng: "&amp;'THUONG_T13_TET'!$O46,"")&amp;IF('QT_NGHI_VIEC'!$AF46&lt;&gt;"","Nghỉ việc: "&amp;'QT_NGHI_VIEC'!$AF46,"")&amp;IF($AX46&lt;0,"Thực lĩnh âm; ","")&amp;IF(OR('DM_NHAN_SU'!$F46&gt;'THAM_SO'!$B$7,AND('DM_NHAN_SU'!$G46&lt;&gt;"",'DM_NHAN_SU'!$G46&lt;'THAM_SO'!$B$6)),"Ngoài kỳ trả lương; ","")))</f>
        <v/>
      </c>
      <c r="BH46" s="232">
        <f>IF('DM_NHAN_SU'!$B46="","",'CHAM_CONG_THANG'!AR46)</f>
        <v/>
      </c>
      <c r="BI46" s="232">
        <f>IF('DM_NHAN_SU'!$B46="","",'CHAM_CONG_THANG'!AS46)</f>
        <v/>
      </c>
      <c r="BJ46" s="232">
        <f>IF('DM_NHAN_SU'!$B46="","",'CHAM_CONG_THANG'!AT46)</f>
        <v/>
      </c>
      <c r="BK46" s="232">
        <f>IF('DM_NHAN_SU'!$B46="","",'CHAM_CONG_THANG'!AU46)</f>
        <v/>
      </c>
      <c r="BL46" s="232">
        <f>IF('DM_NHAN_SU'!$B46="","",'CHAM_CONG_THANG'!AV46)</f>
        <v/>
      </c>
      <c r="BM46" s="232">
        <f>IF('DM_NHAN_SU'!$B46="","",'CHAM_CONG_THANG'!AW46)</f>
        <v/>
      </c>
      <c r="BN46" s="232">
        <f>IF('DM_NHAN_SU'!$B46="","",SUM($K46,$BH46:$BJ46))</f>
        <v/>
      </c>
      <c r="BO46" s="224">
        <f>IF('DM_NHAN_SU'!$B46="","",IF($B46="",0,IF($G46="Tháng",IF($I46&gt;0,'DM_NHAN_SU'!$K46*MIN($BH46+$BJ46,MAX($I46-$K46,0))/$I46,0),IF($G46="Ngày",'DM_NHAN_SU'!$K46*SUM($BH46:$BJ46),IF($G46="Giờ",'DM_NHAN_SU'!$K46*SUM($BH46:$BJ46)*$J46,IF($G46="Sản phẩm",'DM_NHAN_SU'!$AH46*SUM($BH46:$BJ46),0))))))</f>
        <v/>
      </c>
      <c r="BP46" s="224">
        <f>IF('DM_NHAN_SU'!$B46="","",IF('THUONG_T13_TET'!$L46="Có",'THUONG_T13_TET'!$I46,0))</f>
        <v/>
      </c>
      <c r="BQ46" s="224">
        <f>IF('DM_NHAN_SU'!$B46="","",IF('THUONG_T13_TET'!$L46="Có",SUM('THUONG_T13_TET'!$J46:$K46),0))</f>
        <v/>
      </c>
      <c r="BR46" s="224">
        <f>IF('DM_NHAN_SU'!$B46="","",'QT_NGHI_VIEC'!AC46)</f>
        <v/>
      </c>
      <c r="BS46" s="224">
        <f>IF('DM_NHAN_SU'!$B46="","",'QT_NGHI_VIEC'!AB46)</f>
        <v/>
      </c>
      <c r="BT46" s="224">
        <f>IF('DM_NHAN_SU'!$B46="","",IF('CHE_DO_BHXH'!$Z46="Có",'CHE_DO_BHXH'!$W46,0))</f>
        <v/>
      </c>
      <c r="BU46" s="224">
        <f>IF('DM_NHAN_SU'!$B46="","",IF('CHE_DO_BHXH'!$Y46="DN trả thay",$BT46,0))</f>
        <v/>
      </c>
      <c r="BV46" s="224">
        <f>IF('DM_NHAN_SU'!$B46="","",IF(OR('DM_NHAN_SU'!$AA46&lt;&gt;"Có",'CHE_DO_BHXH'!$O46&gt;=1,SUM('CHE_DO_BHXH'!$D46,'CHE_DO_BHXH'!$G46,'CHE_DO_BHXH'!$K46)&gt;=24,AND($I46&gt;0,$BM46&gt;=$I46)),0,IF('DM_NHAN_SU'!$AB46="Không",0,IF('DM_NHAN_SU'!$AB46="Nhập tay",'DM_NHAN_SU'!$AC46,IF('DM_NHAN_SU'!$AB46="Theo thực nhận",MIN(MAX($AT46-$AU46-$AV46-$AW46,0)*'THAM_SO'!$M$23,'THAM_SO'!$M$26),MIN($AE46*'THAM_SO'!$M$23,'THAM_SO'!$M$26))))))</f>
        <v/>
      </c>
      <c r="BW46" s="224">
        <f>IF('DM_NHAN_SU'!$B46="","",$AX46+$BU46)</f>
        <v/>
      </c>
    </row>
    <row r="47">
      <c r="A47" s="145">
        <f>IF('DM_NHAN_SU'!$B47="","",IF($B47="","",ROW()-5))</f>
        <v/>
      </c>
      <c r="B47" s="145">
        <f>IF('DM_NHAN_SU'!$B47="","",'DM_NHAN_SU'!B47)</f>
        <v/>
      </c>
      <c r="C47" s="145">
        <f>IF('DM_NHAN_SU'!$B47="","",'DM_NHAN_SU'!C47)</f>
        <v/>
      </c>
      <c r="D47" s="145">
        <f>IF('DM_NHAN_SU'!$B47="","",'DM_NHAN_SU'!D47)</f>
        <v/>
      </c>
      <c r="E47" s="145">
        <f>IF('DM_NHAN_SU'!$B47="","",'DM_NHAN_SU'!E47)</f>
        <v/>
      </c>
      <c r="F47" s="145">
        <f>IF('DM_NHAN_SU'!$B47="","",'DM_NHAN_SU'!I47)</f>
        <v/>
      </c>
      <c r="G47" s="145">
        <f>IF('DM_NHAN_SU'!$B47="","",'DM_NHAN_SU'!J47)</f>
        <v/>
      </c>
      <c r="H47" s="145">
        <f>IF('DM_NHAN_SU'!$B47="","",IF('DM_NHAN_SU'!H47="",'THAM_SO'!$B$11,'DM_NHAN_SU'!H47))</f>
        <v/>
      </c>
      <c r="I47" s="232">
        <f>IF('DM_NHAN_SU'!$B47="","",IF('DM_NHAN_SU'!L47&gt;0,'DM_NHAN_SU'!L47,'THAM_SO'!$B$9))</f>
        <v/>
      </c>
      <c r="J47" s="232">
        <f>IF('DM_NHAN_SU'!$B47="","",IF('DM_NHAN_SU'!M47&gt;0,'DM_NHAN_SU'!M47,'THAM_SO'!$B$10))</f>
        <v/>
      </c>
      <c r="K47" s="232">
        <f>IF('DM_NHAN_SU'!$B47="","",'CHAM_CONG_THANG'!AC47)</f>
        <v/>
      </c>
      <c r="L47" s="232">
        <f>IF('DM_NHAN_SU'!$B47="","",'CHAM_CONG_THANG'!AD47)</f>
        <v/>
      </c>
      <c r="M47" s="232">
        <f>IF('DM_NHAN_SU'!$B47="","",'CHAM_CONG_THANG'!AE47)</f>
        <v/>
      </c>
      <c r="N47" s="232">
        <f>IF('DM_NHAN_SU'!$B47="","",'CHAM_CONG_THANG'!N47)</f>
        <v/>
      </c>
      <c r="O47" s="224">
        <f>IF('DM_NHAN_SU'!$B47="","",IF($B47="","",IF($G47="Tháng",IF($I47&gt;0,'DM_NHAN_SU'!$K47*MIN($K47,$I47)/$I47,0),IF($G47="Ngày",'DM_NHAN_SU'!$K47*$K47,IF($G47="Giờ",'DM_NHAN_SU'!$K47*$L47,IF($G47="Sản phẩm",'DM_NHAN_SU'!$K47*$N47,0))))))</f>
        <v/>
      </c>
      <c r="P47" s="224">
        <f>IF('DM_NHAN_SU'!$B47="","",'CHAM_CONG_THANG'!O47)</f>
        <v/>
      </c>
      <c r="Q47" s="224">
        <f>IF('DM_NHAN_SU'!$B47="","",'CHAM_CONG_THANG'!P47)</f>
        <v/>
      </c>
      <c r="R47" s="224">
        <f>IF('DM_NHAN_SU'!$B47="","",'CHAM_CONG_THANG'!Q47)</f>
        <v/>
      </c>
      <c r="S47" s="224">
        <f>IF('DM_NHAN_SU'!$B47="","",'CHAM_CONG_THANG'!R47)</f>
        <v/>
      </c>
      <c r="T47" s="224">
        <f>IF('DM_NHAN_SU'!$B47="","",'CHAM_CONG_THANG'!S47)</f>
        <v/>
      </c>
      <c r="U47" s="224">
        <f>IF('DM_NHAN_SU'!$B47="","",MIN($T47,'THAM_SO'!$F$6))</f>
        <v/>
      </c>
      <c r="V47" s="224">
        <f>IF('DM_NHAN_SU'!$B47="","",MAX($T47-$U47,0))</f>
        <v/>
      </c>
      <c r="W47" s="224">
        <f>IF('DM_NHAN_SU'!$B47="","",'CHAM_CONG_THANG'!T47)</f>
        <v/>
      </c>
      <c r="X47" s="224">
        <f>IF('DM_NHAN_SU'!$B47="","",'CHAM_CONG_THANG'!U47)</f>
        <v/>
      </c>
      <c r="Y47" s="224">
        <f>IF('DM_NHAN_SU'!$B47="","",IF($B47="",0,IF('DM_NHAN_SU'!$Q47&gt;0,'DM_NHAN_SU'!$Q47,IF($G47="Tháng",IF($I47*$J47&gt;0,'DM_NHAN_SU'!$K47/($I47*$J47),0),IF($G47="Ngày",IF($J47&gt;0,'DM_NHAN_SU'!$K47/$J47,0),IF($G47="Giờ",'DM_NHAN_SU'!$K47,0))))))</f>
        <v/>
      </c>
      <c r="Z47" s="224">
        <f>IF('DM_NHAN_SU'!$B47="","",$Y47*($M47*'THAM_SO'!$C$22+'CHAM_CONG_THANG'!$AF47*'THAM_SO'!$C$19+'CHAM_CONG_THANG'!$AG47*'THAM_SO'!$C$20+'CHAM_CONG_THANG'!$AH47*'THAM_SO'!$C$21+'CHAM_CONG_THANG'!$AI47*'THAM_SO'!$C$23+'CHAM_CONG_THANG'!$AJ47*'THAM_SO'!$C$24+'CHAM_CONG_THANG'!$AK47*'THAM_SO'!$C$25))</f>
        <v/>
      </c>
      <c r="AA47" s="224">
        <f>IF('DM_NHAN_SU'!$B47="","",MAX(0,$Y47*($M47*IF('THAM_SO'!$C$22&gt;='THAM_SO'!$B$22,'THAM_SO'!$B$22,0)+'CHAM_CONG_THANG'!$AF47*IF('THAM_SO'!$C$19&gt;='THAM_SO'!$B$19,'THAM_SO'!$B$19,0)+'CHAM_CONG_THANG'!$AG47*IF('THAM_SO'!$C$20&gt;='THAM_SO'!$B$20,'THAM_SO'!$B$20,0)+'CHAM_CONG_THANG'!$AH47*IF('THAM_SO'!$C$21&gt;='THAM_SO'!$B$21,'THAM_SO'!$B$21,0)+'CHAM_CONG_THANG'!$AI47*IF('THAM_SO'!$C$23&gt;='THAM_SO'!$B$23,'THAM_SO'!$B$23,0)+'CHAM_CONG_THANG'!$AJ47*IF('THAM_SO'!$C$24&gt;='THAM_SO'!$B$24,'THAM_SO'!$B$24,0)+'CHAM_CONG_THANG'!$AK47*IF('THAM_SO'!$C$25&gt;='THAM_SO'!$B$25,'THAM_SO'!$B$25,0))-'CHAM_CONG_THANG'!$V47))</f>
        <v/>
      </c>
      <c r="AB47" s="224">
        <f>IF('DM_NHAN_SU'!$B47="","",MAX($Z47-$AA47,0))</f>
        <v/>
      </c>
      <c r="AC47" s="224">
        <f>IF('DM_NHAN_SU'!$B47="","",$O47+$P47+$Q47+$R47+$S47+$V47+$AB47+$BO47+$BP47+$BQ47+$BR47)</f>
        <v/>
      </c>
      <c r="AD47" s="224">
        <f>IF('DM_NHAN_SU'!$B47="","",'DM_NHAN_SU'!N47+'DM_NHAN_SU'!O47+'DM_NHAN_SU'!P47)</f>
        <v/>
      </c>
      <c r="AE47" s="224">
        <f>IF('DM_NHAN_SU'!$B47="","",IF(OR('DM_NHAN_SU'!$R47&lt;&gt;"Có",'CHAM_CONG_THANG'!$AA47="Có",$BL47&gt;=14,$AD47&lt;=0),0,MIN(MAX($AD47,'THAM_SO'!$M$6),'THAM_SO'!$M$7)))</f>
        <v/>
      </c>
      <c r="AF47" s="224">
        <f>IF('DM_NHAN_SU'!$B47="","",IF(OR('DM_NHAN_SU'!$S47&lt;&gt;"Có",'CHAM_CONG_THANG'!$AA47="Có",$BL47&gt;=14,$AD47&lt;=0),0,MIN(MAX($AD47,VLOOKUP($H47,'THAM_SO'!$L$17:$P$20,4,FALSE)),VLOOKUP($H47,'THAM_SO'!$L$17:$P$20,5,FALSE))))</f>
        <v/>
      </c>
      <c r="AG47" s="224">
        <f>IF('DM_NHAN_SU'!$B47="","",$AE47*'THAM_SO'!$M$8)</f>
        <v/>
      </c>
      <c r="AH47" s="224">
        <f>IF('DM_NHAN_SU'!$B47="","",$AE47*'THAM_SO'!$M$9)</f>
        <v/>
      </c>
      <c r="AI47" s="224">
        <f>IF('DM_NHAN_SU'!$B47="","",$AF47*'THAM_SO'!$M$10)</f>
        <v/>
      </c>
      <c r="AJ47" s="224">
        <f>IF('DM_NHAN_SU'!$B47="","",SUM($AG47:$AI47))</f>
        <v/>
      </c>
      <c r="AK47" s="224">
        <f>IF('DM_NHAN_SU'!$B47="","",IF($B47="",0,'THAM_SO'!$F$4))</f>
        <v/>
      </c>
      <c r="AL47" s="224">
        <f>IF('DM_NHAN_SU'!$B47="","",IF($B47="",0,'DM_NHAN_SU'!$T47*'THAM_SO'!$F$5))</f>
        <v/>
      </c>
      <c r="AM47" s="224">
        <f>IF('DM_NHAN_SU'!$B47="","",'CHAM_CONG_THANG'!W47)</f>
        <v/>
      </c>
      <c r="AN47" s="224">
        <f>IF('DM_NHAN_SU'!$B47="","",MAX($AC47-$AK47-$AL47-$AM47,0))</f>
        <v/>
      </c>
      <c r="AO47" s="224">
        <f>IF('DM_NHAN_SU'!$B47="","",IF($B47="","",IF($F47="Net",IF($AC47&lt;=$AK47+$AL47+$AM47,$AC47+$AJ47,$AJ47+$AK47+$AL47+$AM47+IF($AN47&lt;='THAM_SO'!$J$10,($AN47-'THAM_SO'!$I$10)/(1-'THAM_SO'!$H$10),IF($AN47&lt;='THAM_SO'!$J$11,($AN47-'THAM_SO'!$I$11)/(1-'THAM_SO'!$H$11),IF($AN47&lt;='THAM_SO'!$J$12,($AN47-'THAM_SO'!$I$12)/(1-'THAM_SO'!$H$12),IF($AN47&lt;='THAM_SO'!$J$13,($AN47-'THAM_SO'!$I$13)/(1-'THAM_SO'!$H$13),($AN47-'THAM_SO'!$I$14)/(1-'THAM_SO'!$H$14)))))),$AC47)))</f>
        <v/>
      </c>
      <c r="AP47" s="224">
        <f>IF('DM_NHAN_SU'!$B47="","",$U47+$W47+$X47+$AA47+$BS47)</f>
        <v/>
      </c>
      <c r="AQ47" s="224">
        <f>IF('DM_NHAN_SU'!$B47="","",MAX($AO47-$AJ47-$AK47-$AL47-$AM47,0))</f>
        <v/>
      </c>
      <c r="AR47" s="224">
        <f>IF('DM_NHAN_SU'!$B47="","",IF($AQ47&lt;=0,0,$AQ47*VLOOKUP($AQ47,'THAM_SO'!$F$10:$I$14,3,TRUE)-VLOOKUP($AQ47,'THAM_SO'!$F$10:$I$14,4,TRUE)))</f>
        <v/>
      </c>
      <c r="AS47" s="224">
        <f>IF('DM_NHAN_SU'!$B47="","",$AO47+$AP47)</f>
        <v/>
      </c>
      <c r="AT47" s="224">
        <f>IF('DM_NHAN_SU'!$B47="","",$AS47-$AJ47-$AR47)</f>
        <v/>
      </c>
      <c r="AU47" s="224">
        <f>IF('DM_NHAN_SU'!$B47="","",'CHAM_CONG_THANG'!X47)</f>
        <v/>
      </c>
      <c r="AV47" s="224">
        <f>IF('DM_NHAN_SU'!$B47="","",'CHAM_CONG_THANG'!Y47+'QT_NGHI_VIEC'!AD47)</f>
        <v/>
      </c>
      <c r="AW47" s="224">
        <f>IF('DM_NHAN_SU'!$B47="","",'CHAM_CONG_THANG'!Z47)</f>
        <v/>
      </c>
      <c r="AX47" s="224">
        <f>IF('DM_NHAN_SU'!$B47="","",$AT47-$AU47-$AV47-$AW47-$BV47)</f>
        <v/>
      </c>
      <c r="AY47" s="224">
        <f>IF('DM_NHAN_SU'!$B47="","",$AE47*'THAM_SO'!$M$11)</f>
        <v/>
      </c>
      <c r="AZ47" s="224">
        <f>IF('DM_NHAN_SU'!$B47="","",$AE47*'THAM_SO'!$M$12)</f>
        <v/>
      </c>
      <c r="BA47" s="224">
        <f>IF('DM_NHAN_SU'!$B47="","",$AF47*'THAM_SO'!$M$13)</f>
        <v/>
      </c>
      <c r="BB47" s="224">
        <f>IF('DM_NHAN_SU'!$B47="","",$AE47*'THAM_SO'!$M$14)</f>
        <v/>
      </c>
      <c r="BC47" s="224">
        <f>IF('DM_NHAN_SU'!$B47="","",SUM($AY47:$BB47))</f>
        <v/>
      </c>
      <c r="BD47" s="224">
        <f>IF('DM_NHAN_SU'!$B47="","",$AS47+$BC47)</f>
        <v/>
      </c>
      <c r="BE47" s="224">
        <f>IF('DM_NHAN_SU'!$B47="","",VLOOKUP($H47,'THAM_SO'!$L$17:$P$20,2,FALSE))</f>
        <v/>
      </c>
      <c r="BF47" s="224">
        <f>IF('DM_NHAN_SU'!$B47="","",VLOOKUP($H47,'THAM_SO'!$L$17:$P$20,3,FALSE))</f>
        <v/>
      </c>
      <c r="BG47" s="150">
        <f>IF('DM_NHAN_SU'!$B47="","",IF($B47="","",IF(COUNTIF('DM_NHAN_SU'!$B$6:$B$155,$B47)&gt;1,"Trùng mã NV; ","")&amp;IF(OR($F47="",$G47=""),"Thiếu loại/hình thức lương; ","")&amp;IF('CHAM_CONG_THANG'!$D47="","Chưa chọn nguồn công; ","")&amp;IF(AND('CHAM_CONG_THANG'!$D47="Theo ngày",COUNTIF('CHAM_CONG_NGAY'!$B$6:$B$4655,$B47)=0),"Chưa có chấm công ngày; ","")&amp;IF(OR($I47&lt;=0,$J47&lt;=0),"Thiếu công/giờ chuẩn; ","")&amp;IF(AND($G47="Tháng",'DM_NHAN_SU'!$K47&lt;$BE47),"Lương tháng dưới tối thiểu vùng; ","")&amp;IF(AND($G47="Ngày",'DM_NHAN_SU'!$K47/$J47&lt;$BF47),"Lương ngày quy đổi dưới tối thiểu giờ; ","")&amp;IF(AND($G47="Giờ",'DM_NHAN_SU'!$K47&lt;$BF47),"Lương giờ dưới tối thiểu vùng; ","")&amp;IF(AND($G47="Sản phẩm",$L47&gt;0,$O47/$L47&lt;$BF47),"Lương SP quy đổi dưới tối thiểu giờ; ","")&amp;IF(OR('THAM_SO'!$C$19&lt;'THAM_SO'!$B$19,'THAM_SO'!$C$20&lt;'THAM_SO'!$B$20,'THAM_SO'!$C$21&lt;'THAM_SO'!$B$21,'THAM_SO'!$C$22&lt;'THAM_SO'!$B$22,'THAM_SO'!$C$23&lt;'THAM_SO'!$B$23,'THAM_SO'!$C$24&lt;'THAM_SO'!$B$24,'THAM_SO'!$C$25&lt;'THAM_SO'!$B$25),"Hệ số OT/đêm DN thấp hơn luật; ","")&amp;IF(AND('DM_NHAN_SU'!$R47="Có",$AD47&lt;=0),"Thiếu căn cứ đóng BH; ","")&amp;IF(AND($AD47&gt;0,$AD47&lt;'THAM_SO'!$M$6),"Căn cứ BH dưới sàn – đã nâng sàn; ","")&amp;IF($AD47&gt;'THAM_SO'!$M$7,"Căn cứ BH vượt trần – đã giới hạn; ","")&amp;IF(AND($F47="Net",SUM('CHAM_CONG_THANG'!$AF47:$AK47)&gt;0,'DM_NHAN_SU'!$Q47&lt;=0),"Net có OT nhưng chưa khai lương giờ OT; ","")&amp;IF('CHAM_CONG_THANG'!$V47&gt;$Z47,"Phần OT không miễn lớn hơn tiền OT; ","")&amp;IF(AND($F47="Net",ABS($AT47-$AC47-$AP47)&gt;1),"Lệch quy đổi Net; ","")&amp;IF(AND($BH47&gt;0,'DM_NHAN_SU'!$AD47=""),"Có phép năm nhưng đang tạm dùng 12 ngày; ","")&amp;IF(AND($G47="Sản phẩm",SUM($BH47:$BJ47)&gt;0,'DM_NHAN_SU'!$AH47&lt;=0),"Lương sản phẩm thiếu đơn giá ngày phép/lễ; ","")&amp;IF(AND($BL47&gt;=14,'CHAM_CONG_THANG'!$AA47&lt;&gt;"Có"),"Thai sản từ 14 ngày: file tự dừng đóng BH – kiểm tra hồ sơ; ","")&amp;IF(AND('DM_NHAN_SU'!$AA47="Có",'DM_NHAN_SU'!$AB47=""),"Đoàn viên chưa chọn cách tính đoàn phí; ","")&amp;IF(AND('DM_NHAN_SU'!$AB47="Nhập tay",'DM_NHAN_SU'!$AC47&gt;'THAM_SO'!$M$26),"Đoàn phí nhập tay vượt trần thông dụng; ","")&amp;IF('NGHI_PHEP'!$L47&lt;&gt;"","Phép: "&amp;'NGHI_PHEP'!$L47,"")&amp;IF('CHE_DO_BHXH'!$AA47&lt;&gt;"","BHXH: "&amp;'CHE_DO_BHXH'!$AA47,"")&amp;IF('THUONG_T13_TET'!$O47&lt;&gt;"","Thưởng: "&amp;'THUONG_T13_TET'!$O47,"")&amp;IF('QT_NGHI_VIEC'!$AF47&lt;&gt;"","Nghỉ việc: "&amp;'QT_NGHI_VIEC'!$AF47,"")&amp;IF($AX47&lt;0,"Thực lĩnh âm; ","")&amp;IF(OR('DM_NHAN_SU'!$F47&gt;'THAM_SO'!$B$7,AND('DM_NHAN_SU'!$G47&lt;&gt;"",'DM_NHAN_SU'!$G47&lt;'THAM_SO'!$B$6)),"Ngoài kỳ trả lương; ","")))</f>
        <v/>
      </c>
      <c r="BH47" s="232">
        <f>IF('DM_NHAN_SU'!$B47="","",'CHAM_CONG_THANG'!AR47)</f>
        <v/>
      </c>
      <c r="BI47" s="232">
        <f>IF('DM_NHAN_SU'!$B47="","",'CHAM_CONG_THANG'!AS47)</f>
        <v/>
      </c>
      <c r="BJ47" s="232">
        <f>IF('DM_NHAN_SU'!$B47="","",'CHAM_CONG_THANG'!AT47)</f>
        <v/>
      </c>
      <c r="BK47" s="232">
        <f>IF('DM_NHAN_SU'!$B47="","",'CHAM_CONG_THANG'!AU47)</f>
        <v/>
      </c>
      <c r="BL47" s="232">
        <f>IF('DM_NHAN_SU'!$B47="","",'CHAM_CONG_THANG'!AV47)</f>
        <v/>
      </c>
      <c r="BM47" s="232">
        <f>IF('DM_NHAN_SU'!$B47="","",'CHAM_CONG_THANG'!AW47)</f>
        <v/>
      </c>
      <c r="BN47" s="232">
        <f>IF('DM_NHAN_SU'!$B47="","",SUM($K47,$BH47:$BJ47))</f>
        <v/>
      </c>
      <c r="BO47" s="224">
        <f>IF('DM_NHAN_SU'!$B47="","",IF($B47="",0,IF($G47="Tháng",IF($I47&gt;0,'DM_NHAN_SU'!$K47*MIN($BH47+$BJ47,MAX($I47-$K47,0))/$I47,0),IF($G47="Ngày",'DM_NHAN_SU'!$K47*SUM($BH47:$BJ47),IF($G47="Giờ",'DM_NHAN_SU'!$K47*SUM($BH47:$BJ47)*$J47,IF($G47="Sản phẩm",'DM_NHAN_SU'!$AH47*SUM($BH47:$BJ47),0))))))</f>
        <v/>
      </c>
      <c r="BP47" s="224">
        <f>IF('DM_NHAN_SU'!$B47="","",IF('THUONG_T13_TET'!$L47="Có",'THUONG_T13_TET'!$I47,0))</f>
        <v/>
      </c>
      <c r="BQ47" s="224">
        <f>IF('DM_NHAN_SU'!$B47="","",IF('THUONG_T13_TET'!$L47="Có",SUM('THUONG_T13_TET'!$J47:$K47),0))</f>
        <v/>
      </c>
      <c r="BR47" s="224">
        <f>IF('DM_NHAN_SU'!$B47="","",'QT_NGHI_VIEC'!AC47)</f>
        <v/>
      </c>
      <c r="BS47" s="224">
        <f>IF('DM_NHAN_SU'!$B47="","",'QT_NGHI_VIEC'!AB47)</f>
        <v/>
      </c>
      <c r="BT47" s="224">
        <f>IF('DM_NHAN_SU'!$B47="","",IF('CHE_DO_BHXH'!$Z47="Có",'CHE_DO_BHXH'!$W47,0))</f>
        <v/>
      </c>
      <c r="BU47" s="224">
        <f>IF('DM_NHAN_SU'!$B47="","",IF('CHE_DO_BHXH'!$Y47="DN trả thay",$BT47,0))</f>
        <v/>
      </c>
      <c r="BV47" s="224">
        <f>IF('DM_NHAN_SU'!$B47="","",IF(OR('DM_NHAN_SU'!$AA47&lt;&gt;"Có",'CHE_DO_BHXH'!$O47&gt;=1,SUM('CHE_DO_BHXH'!$D47,'CHE_DO_BHXH'!$G47,'CHE_DO_BHXH'!$K47)&gt;=24,AND($I47&gt;0,$BM47&gt;=$I47)),0,IF('DM_NHAN_SU'!$AB47="Không",0,IF('DM_NHAN_SU'!$AB47="Nhập tay",'DM_NHAN_SU'!$AC47,IF('DM_NHAN_SU'!$AB47="Theo thực nhận",MIN(MAX($AT47-$AU47-$AV47-$AW47,0)*'THAM_SO'!$M$23,'THAM_SO'!$M$26),MIN($AE47*'THAM_SO'!$M$23,'THAM_SO'!$M$26))))))</f>
        <v/>
      </c>
      <c r="BW47" s="224">
        <f>IF('DM_NHAN_SU'!$B47="","",$AX47+$BU47)</f>
        <v/>
      </c>
    </row>
    <row r="48">
      <c r="A48" s="145">
        <f>IF('DM_NHAN_SU'!$B48="","",IF($B48="","",ROW()-5))</f>
        <v/>
      </c>
      <c r="B48" s="145">
        <f>IF('DM_NHAN_SU'!$B48="","",'DM_NHAN_SU'!B48)</f>
        <v/>
      </c>
      <c r="C48" s="145">
        <f>IF('DM_NHAN_SU'!$B48="","",'DM_NHAN_SU'!C48)</f>
        <v/>
      </c>
      <c r="D48" s="145">
        <f>IF('DM_NHAN_SU'!$B48="","",'DM_NHAN_SU'!D48)</f>
        <v/>
      </c>
      <c r="E48" s="145">
        <f>IF('DM_NHAN_SU'!$B48="","",'DM_NHAN_SU'!E48)</f>
        <v/>
      </c>
      <c r="F48" s="145">
        <f>IF('DM_NHAN_SU'!$B48="","",'DM_NHAN_SU'!I48)</f>
        <v/>
      </c>
      <c r="G48" s="145">
        <f>IF('DM_NHAN_SU'!$B48="","",'DM_NHAN_SU'!J48)</f>
        <v/>
      </c>
      <c r="H48" s="145">
        <f>IF('DM_NHAN_SU'!$B48="","",IF('DM_NHAN_SU'!H48="",'THAM_SO'!$B$11,'DM_NHAN_SU'!H48))</f>
        <v/>
      </c>
      <c r="I48" s="232">
        <f>IF('DM_NHAN_SU'!$B48="","",IF('DM_NHAN_SU'!L48&gt;0,'DM_NHAN_SU'!L48,'THAM_SO'!$B$9))</f>
        <v/>
      </c>
      <c r="J48" s="232">
        <f>IF('DM_NHAN_SU'!$B48="","",IF('DM_NHAN_SU'!M48&gt;0,'DM_NHAN_SU'!M48,'THAM_SO'!$B$10))</f>
        <v/>
      </c>
      <c r="K48" s="232">
        <f>IF('DM_NHAN_SU'!$B48="","",'CHAM_CONG_THANG'!AC48)</f>
        <v/>
      </c>
      <c r="L48" s="232">
        <f>IF('DM_NHAN_SU'!$B48="","",'CHAM_CONG_THANG'!AD48)</f>
        <v/>
      </c>
      <c r="M48" s="232">
        <f>IF('DM_NHAN_SU'!$B48="","",'CHAM_CONG_THANG'!AE48)</f>
        <v/>
      </c>
      <c r="N48" s="232">
        <f>IF('DM_NHAN_SU'!$B48="","",'CHAM_CONG_THANG'!N48)</f>
        <v/>
      </c>
      <c r="O48" s="224">
        <f>IF('DM_NHAN_SU'!$B48="","",IF($B48="","",IF($G48="Tháng",IF($I48&gt;0,'DM_NHAN_SU'!$K48*MIN($K48,$I48)/$I48,0),IF($G48="Ngày",'DM_NHAN_SU'!$K48*$K48,IF($G48="Giờ",'DM_NHAN_SU'!$K48*$L48,IF($G48="Sản phẩm",'DM_NHAN_SU'!$K48*$N48,0))))))</f>
        <v/>
      </c>
      <c r="P48" s="224">
        <f>IF('DM_NHAN_SU'!$B48="","",'CHAM_CONG_THANG'!O48)</f>
        <v/>
      </c>
      <c r="Q48" s="224">
        <f>IF('DM_NHAN_SU'!$B48="","",'CHAM_CONG_THANG'!P48)</f>
        <v/>
      </c>
      <c r="R48" s="224">
        <f>IF('DM_NHAN_SU'!$B48="","",'CHAM_CONG_THANG'!Q48)</f>
        <v/>
      </c>
      <c r="S48" s="224">
        <f>IF('DM_NHAN_SU'!$B48="","",'CHAM_CONG_THANG'!R48)</f>
        <v/>
      </c>
      <c r="T48" s="224">
        <f>IF('DM_NHAN_SU'!$B48="","",'CHAM_CONG_THANG'!S48)</f>
        <v/>
      </c>
      <c r="U48" s="224">
        <f>IF('DM_NHAN_SU'!$B48="","",MIN($T48,'THAM_SO'!$F$6))</f>
        <v/>
      </c>
      <c r="V48" s="224">
        <f>IF('DM_NHAN_SU'!$B48="","",MAX($T48-$U48,0))</f>
        <v/>
      </c>
      <c r="W48" s="224">
        <f>IF('DM_NHAN_SU'!$B48="","",'CHAM_CONG_THANG'!T48)</f>
        <v/>
      </c>
      <c r="X48" s="224">
        <f>IF('DM_NHAN_SU'!$B48="","",'CHAM_CONG_THANG'!U48)</f>
        <v/>
      </c>
      <c r="Y48" s="224">
        <f>IF('DM_NHAN_SU'!$B48="","",IF($B48="",0,IF('DM_NHAN_SU'!$Q48&gt;0,'DM_NHAN_SU'!$Q48,IF($G48="Tháng",IF($I48*$J48&gt;0,'DM_NHAN_SU'!$K48/($I48*$J48),0),IF($G48="Ngày",IF($J48&gt;0,'DM_NHAN_SU'!$K48/$J48,0),IF($G48="Giờ",'DM_NHAN_SU'!$K48,0))))))</f>
        <v/>
      </c>
      <c r="Z48" s="224">
        <f>IF('DM_NHAN_SU'!$B48="","",$Y48*($M48*'THAM_SO'!$C$22+'CHAM_CONG_THANG'!$AF48*'THAM_SO'!$C$19+'CHAM_CONG_THANG'!$AG48*'THAM_SO'!$C$20+'CHAM_CONG_THANG'!$AH48*'THAM_SO'!$C$21+'CHAM_CONG_THANG'!$AI48*'THAM_SO'!$C$23+'CHAM_CONG_THANG'!$AJ48*'THAM_SO'!$C$24+'CHAM_CONG_THANG'!$AK48*'THAM_SO'!$C$25))</f>
        <v/>
      </c>
      <c r="AA48" s="224">
        <f>IF('DM_NHAN_SU'!$B48="","",MAX(0,$Y48*($M48*IF('THAM_SO'!$C$22&gt;='THAM_SO'!$B$22,'THAM_SO'!$B$22,0)+'CHAM_CONG_THANG'!$AF48*IF('THAM_SO'!$C$19&gt;='THAM_SO'!$B$19,'THAM_SO'!$B$19,0)+'CHAM_CONG_THANG'!$AG48*IF('THAM_SO'!$C$20&gt;='THAM_SO'!$B$20,'THAM_SO'!$B$20,0)+'CHAM_CONG_THANG'!$AH48*IF('THAM_SO'!$C$21&gt;='THAM_SO'!$B$21,'THAM_SO'!$B$21,0)+'CHAM_CONG_THANG'!$AI48*IF('THAM_SO'!$C$23&gt;='THAM_SO'!$B$23,'THAM_SO'!$B$23,0)+'CHAM_CONG_THANG'!$AJ48*IF('THAM_SO'!$C$24&gt;='THAM_SO'!$B$24,'THAM_SO'!$B$24,0)+'CHAM_CONG_THANG'!$AK48*IF('THAM_SO'!$C$25&gt;='THAM_SO'!$B$25,'THAM_SO'!$B$25,0))-'CHAM_CONG_THANG'!$V48))</f>
        <v/>
      </c>
      <c r="AB48" s="224">
        <f>IF('DM_NHAN_SU'!$B48="","",MAX($Z48-$AA48,0))</f>
        <v/>
      </c>
      <c r="AC48" s="224">
        <f>IF('DM_NHAN_SU'!$B48="","",$O48+$P48+$Q48+$R48+$S48+$V48+$AB48+$BO48+$BP48+$BQ48+$BR48)</f>
        <v/>
      </c>
      <c r="AD48" s="224">
        <f>IF('DM_NHAN_SU'!$B48="","",'DM_NHAN_SU'!N48+'DM_NHAN_SU'!O48+'DM_NHAN_SU'!P48)</f>
        <v/>
      </c>
      <c r="AE48" s="224">
        <f>IF('DM_NHAN_SU'!$B48="","",IF(OR('DM_NHAN_SU'!$R48&lt;&gt;"Có",'CHAM_CONG_THANG'!$AA48="Có",$BL48&gt;=14,$AD48&lt;=0),0,MIN(MAX($AD48,'THAM_SO'!$M$6),'THAM_SO'!$M$7)))</f>
        <v/>
      </c>
      <c r="AF48" s="224">
        <f>IF('DM_NHAN_SU'!$B48="","",IF(OR('DM_NHAN_SU'!$S48&lt;&gt;"Có",'CHAM_CONG_THANG'!$AA48="Có",$BL48&gt;=14,$AD48&lt;=0),0,MIN(MAX($AD48,VLOOKUP($H48,'THAM_SO'!$L$17:$P$20,4,FALSE)),VLOOKUP($H48,'THAM_SO'!$L$17:$P$20,5,FALSE))))</f>
        <v/>
      </c>
      <c r="AG48" s="224">
        <f>IF('DM_NHAN_SU'!$B48="","",$AE48*'THAM_SO'!$M$8)</f>
        <v/>
      </c>
      <c r="AH48" s="224">
        <f>IF('DM_NHAN_SU'!$B48="","",$AE48*'THAM_SO'!$M$9)</f>
        <v/>
      </c>
      <c r="AI48" s="224">
        <f>IF('DM_NHAN_SU'!$B48="","",$AF48*'THAM_SO'!$M$10)</f>
        <v/>
      </c>
      <c r="AJ48" s="224">
        <f>IF('DM_NHAN_SU'!$B48="","",SUM($AG48:$AI48))</f>
        <v/>
      </c>
      <c r="AK48" s="224">
        <f>IF('DM_NHAN_SU'!$B48="","",IF($B48="",0,'THAM_SO'!$F$4))</f>
        <v/>
      </c>
      <c r="AL48" s="224">
        <f>IF('DM_NHAN_SU'!$B48="","",IF($B48="",0,'DM_NHAN_SU'!$T48*'THAM_SO'!$F$5))</f>
        <v/>
      </c>
      <c r="AM48" s="224">
        <f>IF('DM_NHAN_SU'!$B48="","",'CHAM_CONG_THANG'!W48)</f>
        <v/>
      </c>
      <c r="AN48" s="224">
        <f>IF('DM_NHAN_SU'!$B48="","",MAX($AC48-$AK48-$AL48-$AM48,0))</f>
        <v/>
      </c>
      <c r="AO48" s="224">
        <f>IF('DM_NHAN_SU'!$B48="","",IF($B48="","",IF($F48="Net",IF($AC48&lt;=$AK48+$AL48+$AM48,$AC48+$AJ48,$AJ48+$AK48+$AL48+$AM48+IF($AN48&lt;='THAM_SO'!$J$10,($AN48-'THAM_SO'!$I$10)/(1-'THAM_SO'!$H$10),IF($AN48&lt;='THAM_SO'!$J$11,($AN48-'THAM_SO'!$I$11)/(1-'THAM_SO'!$H$11),IF($AN48&lt;='THAM_SO'!$J$12,($AN48-'THAM_SO'!$I$12)/(1-'THAM_SO'!$H$12),IF($AN48&lt;='THAM_SO'!$J$13,($AN48-'THAM_SO'!$I$13)/(1-'THAM_SO'!$H$13),($AN48-'THAM_SO'!$I$14)/(1-'THAM_SO'!$H$14)))))),$AC48)))</f>
        <v/>
      </c>
      <c r="AP48" s="224">
        <f>IF('DM_NHAN_SU'!$B48="","",$U48+$W48+$X48+$AA48+$BS48)</f>
        <v/>
      </c>
      <c r="AQ48" s="224">
        <f>IF('DM_NHAN_SU'!$B48="","",MAX($AO48-$AJ48-$AK48-$AL48-$AM48,0))</f>
        <v/>
      </c>
      <c r="AR48" s="224">
        <f>IF('DM_NHAN_SU'!$B48="","",IF($AQ48&lt;=0,0,$AQ48*VLOOKUP($AQ48,'THAM_SO'!$F$10:$I$14,3,TRUE)-VLOOKUP($AQ48,'THAM_SO'!$F$10:$I$14,4,TRUE)))</f>
        <v/>
      </c>
      <c r="AS48" s="224">
        <f>IF('DM_NHAN_SU'!$B48="","",$AO48+$AP48)</f>
        <v/>
      </c>
      <c r="AT48" s="224">
        <f>IF('DM_NHAN_SU'!$B48="","",$AS48-$AJ48-$AR48)</f>
        <v/>
      </c>
      <c r="AU48" s="224">
        <f>IF('DM_NHAN_SU'!$B48="","",'CHAM_CONG_THANG'!X48)</f>
        <v/>
      </c>
      <c r="AV48" s="224">
        <f>IF('DM_NHAN_SU'!$B48="","",'CHAM_CONG_THANG'!Y48+'QT_NGHI_VIEC'!AD48)</f>
        <v/>
      </c>
      <c r="AW48" s="224">
        <f>IF('DM_NHAN_SU'!$B48="","",'CHAM_CONG_THANG'!Z48)</f>
        <v/>
      </c>
      <c r="AX48" s="224">
        <f>IF('DM_NHAN_SU'!$B48="","",$AT48-$AU48-$AV48-$AW48-$BV48)</f>
        <v/>
      </c>
      <c r="AY48" s="224">
        <f>IF('DM_NHAN_SU'!$B48="","",$AE48*'THAM_SO'!$M$11)</f>
        <v/>
      </c>
      <c r="AZ48" s="224">
        <f>IF('DM_NHAN_SU'!$B48="","",$AE48*'THAM_SO'!$M$12)</f>
        <v/>
      </c>
      <c r="BA48" s="224">
        <f>IF('DM_NHAN_SU'!$B48="","",$AF48*'THAM_SO'!$M$13)</f>
        <v/>
      </c>
      <c r="BB48" s="224">
        <f>IF('DM_NHAN_SU'!$B48="","",$AE48*'THAM_SO'!$M$14)</f>
        <v/>
      </c>
      <c r="BC48" s="224">
        <f>IF('DM_NHAN_SU'!$B48="","",SUM($AY48:$BB48))</f>
        <v/>
      </c>
      <c r="BD48" s="224">
        <f>IF('DM_NHAN_SU'!$B48="","",$AS48+$BC48)</f>
        <v/>
      </c>
      <c r="BE48" s="224">
        <f>IF('DM_NHAN_SU'!$B48="","",VLOOKUP($H48,'THAM_SO'!$L$17:$P$20,2,FALSE))</f>
        <v/>
      </c>
      <c r="BF48" s="224">
        <f>IF('DM_NHAN_SU'!$B48="","",VLOOKUP($H48,'THAM_SO'!$L$17:$P$20,3,FALSE))</f>
        <v/>
      </c>
      <c r="BG48" s="150">
        <f>IF('DM_NHAN_SU'!$B48="","",IF($B48="","",IF(COUNTIF('DM_NHAN_SU'!$B$6:$B$155,$B48)&gt;1,"Trùng mã NV; ","")&amp;IF(OR($F48="",$G48=""),"Thiếu loại/hình thức lương; ","")&amp;IF('CHAM_CONG_THANG'!$D48="","Chưa chọn nguồn công; ","")&amp;IF(AND('CHAM_CONG_THANG'!$D48="Theo ngày",COUNTIF('CHAM_CONG_NGAY'!$B$6:$B$4655,$B48)=0),"Chưa có chấm công ngày; ","")&amp;IF(OR($I48&lt;=0,$J48&lt;=0),"Thiếu công/giờ chuẩn; ","")&amp;IF(AND($G48="Tháng",'DM_NHAN_SU'!$K48&lt;$BE48),"Lương tháng dưới tối thiểu vùng; ","")&amp;IF(AND($G48="Ngày",'DM_NHAN_SU'!$K48/$J48&lt;$BF48),"Lương ngày quy đổi dưới tối thiểu giờ; ","")&amp;IF(AND($G48="Giờ",'DM_NHAN_SU'!$K48&lt;$BF48),"Lương giờ dưới tối thiểu vùng; ","")&amp;IF(AND($G48="Sản phẩm",$L48&gt;0,$O48/$L48&lt;$BF48),"Lương SP quy đổi dưới tối thiểu giờ; ","")&amp;IF(OR('THAM_SO'!$C$19&lt;'THAM_SO'!$B$19,'THAM_SO'!$C$20&lt;'THAM_SO'!$B$20,'THAM_SO'!$C$21&lt;'THAM_SO'!$B$21,'THAM_SO'!$C$22&lt;'THAM_SO'!$B$22,'THAM_SO'!$C$23&lt;'THAM_SO'!$B$23,'THAM_SO'!$C$24&lt;'THAM_SO'!$B$24,'THAM_SO'!$C$25&lt;'THAM_SO'!$B$25),"Hệ số OT/đêm DN thấp hơn luật; ","")&amp;IF(AND('DM_NHAN_SU'!$R48="Có",$AD48&lt;=0),"Thiếu căn cứ đóng BH; ","")&amp;IF(AND($AD48&gt;0,$AD48&lt;'THAM_SO'!$M$6),"Căn cứ BH dưới sàn – đã nâng sàn; ","")&amp;IF($AD48&gt;'THAM_SO'!$M$7,"Căn cứ BH vượt trần – đã giới hạn; ","")&amp;IF(AND($F48="Net",SUM('CHAM_CONG_THANG'!$AF48:$AK48)&gt;0,'DM_NHAN_SU'!$Q48&lt;=0),"Net có OT nhưng chưa khai lương giờ OT; ","")&amp;IF('CHAM_CONG_THANG'!$V48&gt;$Z48,"Phần OT không miễn lớn hơn tiền OT; ","")&amp;IF(AND($F48="Net",ABS($AT48-$AC48-$AP48)&gt;1),"Lệch quy đổi Net; ","")&amp;IF(AND($BH48&gt;0,'DM_NHAN_SU'!$AD48=""),"Có phép năm nhưng đang tạm dùng 12 ngày; ","")&amp;IF(AND($G48="Sản phẩm",SUM($BH48:$BJ48)&gt;0,'DM_NHAN_SU'!$AH48&lt;=0),"Lương sản phẩm thiếu đơn giá ngày phép/lễ; ","")&amp;IF(AND($BL48&gt;=14,'CHAM_CONG_THANG'!$AA48&lt;&gt;"Có"),"Thai sản từ 14 ngày: file tự dừng đóng BH – kiểm tra hồ sơ; ","")&amp;IF(AND('DM_NHAN_SU'!$AA48="Có",'DM_NHAN_SU'!$AB48=""),"Đoàn viên chưa chọn cách tính đoàn phí; ","")&amp;IF(AND('DM_NHAN_SU'!$AB48="Nhập tay",'DM_NHAN_SU'!$AC48&gt;'THAM_SO'!$M$26),"Đoàn phí nhập tay vượt trần thông dụng; ","")&amp;IF('NGHI_PHEP'!$L48&lt;&gt;"","Phép: "&amp;'NGHI_PHEP'!$L48,"")&amp;IF('CHE_DO_BHXH'!$AA48&lt;&gt;"","BHXH: "&amp;'CHE_DO_BHXH'!$AA48,"")&amp;IF('THUONG_T13_TET'!$O48&lt;&gt;"","Thưởng: "&amp;'THUONG_T13_TET'!$O48,"")&amp;IF('QT_NGHI_VIEC'!$AF48&lt;&gt;"","Nghỉ việc: "&amp;'QT_NGHI_VIEC'!$AF48,"")&amp;IF($AX48&lt;0,"Thực lĩnh âm; ","")&amp;IF(OR('DM_NHAN_SU'!$F48&gt;'THAM_SO'!$B$7,AND('DM_NHAN_SU'!$G48&lt;&gt;"",'DM_NHAN_SU'!$G48&lt;'THAM_SO'!$B$6)),"Ngoài kỳ trả lương; ","")))</f>
        <v/>
      </c>
      <c r="BH48" s="232">
        <f>IF('DM_NHAN_SU'!$B48="","",'CHAM_CONG_THANG'!AR48)</f>
        <v/>
      </c>
      <c r="BI48" s="232">
        <f>IF('DM_NHAN_SU'!$B48="","",'CHAM_CONG_THANG'!AS48)</f>
        <v/>
      </c>
      <c r="BJ48" s="232">
        <f>IF('DM_NHAN_SU'!$B48="","",'CHAM_CONG_THANG'!AT48)</f>
        <v/>
      </c>
      <c r="BK48" s="232">
        <f>IF('DM_NHAN_SU'!$B48="","",'CHAM_CONG_THANG'!AU48)</f>
        <v/>
      </c>
      <c r="BL48" s="232">
        <f>IF('DM_NHAN_SU'!$B48="","",'CHAM_CONG_THANG'!AV48)</f>
        <v/>
      </c>
      <c r="BM48" s="232">
        <f>IF('DM_NHAN_SU'!$B48="","",'CHAM_CONG_THANG'!AW48)</f>
        <v/>
      </c>
      <c r="BN48" s="232">
        <f>IF('DM_NHAN_SU'!$B48="","",SUM($K48,$BH48:$BJ48))</f>
        <v/>
      </c>
      <c r="BO48" s="224">
        <f>IF('DM_NHAN_SU'!$B48="","",IF($B48="",0,IF($G48="Tháng",IF($I48&gt;0,'DM_NHAN_SU'!$K48*MIN($BH48+$BJ48,MAX($I48-$K48,0))/$I48,0),IF($G48="Ngày",'DM_NHAN_SU'!$K48*SUM($BH48:$BJ48),IF($G48="Giờ",'DM_NHAN_SU'!$K48*SUM($BH48:$BJ48)*$J48,IF($G48="Sản phẩm",'DM_NHAN_SU'!$AH48*SUM($BH48:$BJ48),0))))))</f>
        <v/>
      </c>
      <c r="BP48" s="224">
        <f>IF('DM_NHAN_SU'!$B48="","",IF('THUONG_T13_TET'!$L48="Có",'THUONG_T13_TET'!$I48,0))</f>
        <v/>
      </c>
      <c r="BQ48" s="224">
        <f>IF('DM_NHAN_SU'!$B48="","",IF('THUONG_T13_TET'!$L48="Có",SUM('THUONG_T13_TET'!$J48:$K48),0))</f>
        <v/>
      </c>
      <c r="BR48" s="224">
        <f>IF('DM_NHAN_SU'!$B48="","",'QT_NGHI_VIEC'!AC48)</f>
        <v/>
      </c>
      <c r="BS48" s="224">
        <f>IF('DM_NHAN_SU'!$B48="","",'QT_NGHI_VIEC'!AB48)</f>
        <v/>
      </c>
      <c r="BT48" s="224">
        <f>IF('DM_NHAN_SU'!$B48="","",IF('CHE_DO_BHXH'!$Z48="Có",'CHE_DO_BHXH'!$W48,0))</f>
        <v/>
      </c>
      <c r="BU48" s="224">
        <f>IF('DM_NHAN_SU'!$B48="","",IF('CHE_DO_BHXH'!$Y48="DN trả thay",$BT48,0))</f>
        <v/>
      </c>
      <c r="BV48" s="224">
        <f>IF('DM_NHAN_SU'!$B48="","",IF(OR('DM_NHAN_SU'!$AA48&lt;&gt;"Có",'CHE_DO_BHXH'!$O48&gt;=1,SUM('CHE_DO_BHXH'!$D48,'CHE_DO_BHXH'!$G48,'CHE_DO_BHXH'!$K48)&gt;=24,AND($I48&gt;0,$BM48&gt;=$I48)),0,IF('DM_NHAN_SU'!$AB48="Không",0,IF('DM_NHAN_SU'!$AB48="Nhập tay",'DM_NHAN_SU'!$AC48,IF('DM_NHAN_SU'!$AB48="Theo thực nhận",MIN(MAX($AT48-$AU48-$AV48-$AW48,0)*'THAM_SO'!$M$23,'THAM_SO'!$M$26),MIN($AE48*'THAM_SO'!$M$23,'THAM_SO'!$M$26))))))</f>
        <v/>
      </c>
      <c r="BW48" s="224">
        <f>IF('DM_NHAN_SU'!$B48="","",$AX48+$BU48)</f>
        <v/>
      </c>
    </row>
    <row r="49">
      <c r="A49" s="145">
        <f>IF('DM_NHAN_SU'!$B49="","",IF($B49="","",ROW()-5))</f>
        <v/>
      </c>
      <c r="B49" s="145">
        <f>IF('DM_NHAN_SU'!$B49="","",'DM_NHAN_SU'!B49)</f>
        <v/>
      </c>
      <c r="C49" s="145">
        <f>IF('DM_NHAN_SU'!$B49="","",'DM_NHAN_SU'!C49)</f>
        <v/>
      </c>
      <c r="D49" s="145">
        <f>IF('DM_NHAN_SU'!$B49="","",'DM_NHAN_SU'!D49)</f>
        <v/>
      </c>
      <c r="E49" s="145">
        <f>IF('DM_NHAN_SU'!$B49="","",'DM_NHAN_SU'!E49)</f>
        <v/>
      </c>
      <c r="F49" s="145">
        <f>IF('DM_NHAN_SU'!$B49="","",'DM_NHAN_SU'!I49)</f>
        <v/>
      </c>
      <c r="G49" s="145">
        <f>IF('DM_NHAN_SU'!$B49="","",'DM_NHAN_SU'!J49)</f>
        <v/>
      </c>
      <c r="H49" s="145">
        <f>IF('DM_NHAN_SU'!$B49="","",IF('DM_NHAN_SU'!H49="",'THAM_SO'!$B$11,'DM_NHAN_SU'!H49))</f>
        <v/>
      </c>
      <c r="I49" s="232">
        <f>IF('DM_NHAN_SU'!$B49="","",IF('DM_NHAN_SU'!L49&gt;0,'DM_NHAN_SU'!L49,'THAM_SO'!$B$9))</f>
        <v/>
      </c>
      <c r="J49" s="232">
        <f>IF('DM_NHAN_SU'!$B49="","",IF('DM_NHAN_SU'!M49&gt;0,'DM_NHAN_SU'!M49,'THAM_SO'!$B$10))</f>
        <v/>
      </c>
      <c r="K49" s="232">
        <f>IF('DM_NHAN_SU'!$B49="","",'CHAM_CONG_THANG'!AC49)</f>
        <v/>
      </c>
      <c r="L49" s="232">
        <f>IF('DM_NHAN_SU'!$B49="","",'CHAM_CONG_THANG'!AD49)</f>
        <v/>
      </c>
      <c r="M49" s="232">
        <f>IF('DM_NHAN_SU'!$B49="","",'CHAM_CONG_THANG'!AE49)</f>
        <v/>
      </c>
      <c r="N49" s="232">
        <f>IF('DM_NHAN_SU'!$B49="","",'CHAM_CONG_THANG'!N49)</f>
        <v/>
      </c>
      <c r="O49" s="224">
        <f>IF('DM_NHAN_SU'!$B49="","",IF($B49="","",IF($G49="Tháng",IF($I49&gt;0,'DM_NHAN_SU'!$K49*MIN($K49,$I49)/$I49,0),IF($G49="Ngày",'DM_NHAN_SU'!$K49*$K49,IF($G49="Giờ",'DM_NHAN_SU'!$K49*$L49,IF($G49="Sản phẩm",'DM_NHAN_SU'!$K49*$N49,0))))))</f>
        <v/>
      </c>
      <c r="P49" s="224">
        <f>IF('DM_NHAN_SU'!$B49="","",'CHAM_CONG_THANG'!O49)</f>
        <v/>
      </c>
      <c r="Q49" s="224">
        <f>IF('DM_NHAN_SU'!$B49="","",'CHAM_CONG_THANG'!P49)</f>
        <v/>
      </c>
      <c r="R49" s="224">
        <f>IF('DM_NHAN_SU'!$B49="","",'CHAM_CONG_THANG'!Q49)</f>
        <v/>
      </c>
      <c r="S49" s="224">
        <f>IF('DM_NHAN_SU'!$B49="","",'CHAM_CONG_THANG'!R49)</f>
        <v/>
      </c>
      <c r="T49" s="224">
        <f>IF('DM_NHAN_SU'!$B49="","",'CHAM_CONG_THANG'!S49)</f>
        <v/>
      </c>
      <c r="U49" s="224">
        <f>IF('DM_NHAN_SU'!$B49="","",MIN($T49,'THAM_SO'!$F$6))</f>
        <v/>
      </c>
      <c r="V49" s="224">
        <f>IF('DM_NHAN_SU'!$B49="","",MAX($T49-$U49,0))</f>
        <v/>
      </c>
      <c r="W49" s="224">
        <f>IF('DM_NHAN_SU'!$B49="","",'CHAM_CONG_THANG'!T49)</f>
        <v/>
      </c>
      <c r="X49" s="224">
        <f>IF('DM_NHAN_SU'!$B49="","",'CHAM_CONG_THANG'!U49)</f>
        <v/>
      </c>
      <c r="Y49" s="224">
        <f>IF('DM_NHAN_SU'!$B49="","",IF($B49="",0,IF('DM_NHAN_SU'!$Q49&gt;0,'DM_NHAN_SU'!$Q49,IF($G49="Tháng",IF($I49*$J49&gt;0,'DM_NHAN_SU'!$K49/($I49*$J49),0),IF($G49="Ngày",IF($J49&gt;0,'DM_NHAN_SU'!$K49/$J49,0),IF($G49="Giờ",'DM_NHAN_SU'!$K49,0))))))</f>
        <v/>
      </c>
      <c r="Z49" s="224">
        <f>IF('DM_NHAN_SU'!$B49="","",$Y49*($M49*'THAM_SO'!$C$22+'CHAM_CONG_THANG'!$AF49*'THAM_SO'!$C$19+'CHAM_CONG_THANG'!$AG49*'THAM_SO'!$C$20+'CHAM_CONG_THANG'!$AH49*'THAM_SO'!$C$21+'CHAM_CONG_THANG'!$AI49*'THAM_SO'!$C$23+'CHAM_CONG_THANG'!$AJ49*'THAM_SO'!$C$24+'CHAM_CONG_THANG'!$AK49*'THAM_SO'!$C$25))</f>
        <v/>
      </c>
      <c r="AA49" s="224">
        <f>IF('DM_NHAN_SU'!$B49="","",MAX(0,$Y49*($M49*IF('THAM_SO'!$C$22&gt;='THAM_SO'!$B$22,'THAM_SO'!$B$22,0)+'CHAM_CONG_THANG'!$AF49*IF('THAM_SO'!$C$19&gt;='THAM_SO'!$B$19,'THAM_SO'!$B$19,0)+'CHAM_CONG_THANG'!$AG49*IF('THAM_SO'!$C$20&gt;='THAM_SO'!$B$20,'THAM_SO'!$B$20,0)+'CHAM_CONG_THANG'!$AH49*IF('THAM_SO'!$C$21&gt;='THAM_SO'!$B$21,'THAM_SO'!$B$21,0)+'CHAM_CONG_THANG'!$AI49*IF('THAM_SO'!$C$23&gt;='THAM_SO'!$B$23,'THAM_SO'!$B$23,0)+'CHAM_CONG_THANG'!$AJ49*IF('THAM_SO'!$C$24&gt;='THAM_SO'!$B$24,'THAM_SO'!$B$24,0)+'CHAM_CONG_THANG'!$AK49*IF('THAM_SO'!$C$25&gt;='THAM_SO'!$B$25,'THAM_SO'!$B$25,0))-'CHAM_CONG_THANG'!$V49))</f>
        <v/>
      </c>
      <c r="AB49" s="224">
        <f>IF('DM_NHAN_SU'!$B49="","",MAX($Z49-$AA49,0))</f>
        <v/>
      </c>
      <c r="AC49" s="224">
        <f>IF('DM_NHAN_SU'!$B49="","",$O49+$P49+$Q49+$R49+$S49+$V49+$AB49+$BO49+$BP49+$BQ49+$BR49)</f>
        <v/>
      </c>
      <c r="AD49" s="224">
        <f>IF('DM_NHAN_SU'!$B49="","",'DM_NHAN_SU'!N49+'DM_NHAN_SU'!O49+'DM_NHAN_SU'!P49)</f>
        <v/>
      </c>
      <c r="AE49" s="224">
        <f>IF('DM_NHAN_SU'!$B49="","",IF(OR('DM_NHAN_SU'!$R49&lt;&gt;"Có",'CHAM_CONG_THANG'!$AA49="Có",$BL49&gt;=14,$AD49&lt;=0),0,MIN(MAX($AD49,'THAM_SO'!$M$6),'THAM_SO'!$M$7)))</f>
        <v/>
      </c>
      <c r="AF49" s="224">
        <f>IF('DM_NHAN_SU'!$B49="","",IF(OR('DM_NHAN_SU'!$S49&lt;&gt;"Có",'CHAM_CONG_THANG'!$AA49="Có",$BL49&gt;=14,$AD49&lt;=0),0,MIN(MAX($AD49,VLOOKUP($H49,'THAM_SO'!$L$17:$P$20,4,FALSE)),VLOOKUP($H49,'THAM_SO'!$L$17:$P$20,5,FALSE))))</f>
        <v/>
      </c>
      <c r="AG49" s="224">
        <f>IF('DM_NHAN_SU'!$B49="","",$AE49*'THAM_SO'!$M$8)</f>
        <v/>
      </c>
      <c r="AH49" s="224">
        <f>IF('DM_NHAN_SU'!$B49="","",$AE49*'THAM_SO'!$M$9)</f>
        <v/>
      </c>
      <c r="AI49" s="224">
        <f>IF('DM_NHAN_SU'!$B49="","",$AF49*'THAM_SO'!$M$10)</f>
        <v/>
      </c>
      <c r="AJ49" s="224">
        <f>IF('DM_NHAN_SU'!$B49="","",SUM($AG49:$AI49))</f>
        <v/>
      </c>
      <c r="AK49" s="224">
        <f>IF('DM_NHAN_SU'!$B49="","",IF($B49="",0,'THAM_SO'!$F$4))</f>
        <v/>
      </c>
      <c r="AL49" s="224">
        <f>IF('DM_NHAN_SU'!$B49="","",IF($B49="",0,'DM_NHAN_SU'!$T49*'THAM_SO'!$F$5))</f>
        <v/>
      </c>
      <c r="AM49" s="224">
        <f>IF('DM_NHAN_SU'!$B49="","",'CHAM_CONG_THANG'!W49)</f>
        <v/>
      </c>
      <c r="AN49" s="224">
        <f>IF('DM_NHAN_SU'!$B49="","",MAX($AC49-$AK49-$AL49-$AM49,0))</f>
        <v/>
      </c>
      <c r="AO49" s="224">
        <f>IF('DM_NHAN_SU'!$B49="","",IF($B49="","",IF($F49="Net",IF($AC49&lt;=$AK49+$AL49+$AM49,$AC49+$AJ49,$AJ49+$AK49+$AL49+$AM49+IF($AN49&lt;='THAM_SO'!$J$10,($AN49-'THAM_SO'!$I$10)/(1-'THAM_SO'!$H$10),IF($AN49&lt;='THAM_SO'!$J$11,($AN49-'THAM_SO'!$I$11)/(1-'THAM_SO'!$H$11),IF($AN49&lt;='THAM_SO'!$J$12,($AN49-'THAM_SO'!$I$12)/(1-'THAM_SO'!$H$12),IF($AN49&lt;='THAM_SO'!$J$13,($AN49-'THAM_SO'!$I$13)/(1-'THAM_SO'!$H$13),($AN49-'THAM_SO'!$I$14)/(1-'THAM_SO'!$H$14)))))),$AC49)))</f>
        <v/>
      </c>
      <c r="AP49" s="224">
        <f>IF('DM_NHAN_SU'!$B49="","",$U49+$W49+$X49+$AA49+$BS49)</f>
        <v/>
      </c>
      <c r="AQ49" s="224">
        <f>IF('DM_NHAN_SU'!$B49="","",MAX($AO49-$AJ49-$AK49-$AL49-$AM49,0))</f>
        <v/>
      </c>
      <c r="AR49" s="224">
        <f>IF('DM_NHAN_SU'!$B49="","",IF($AQ49&lt;=0,0,$AQ49*VLOOKUP($AQ49,'THAM_SO'!$F$10:$I$14,3,TRUE)-VLOOKUP($AQ49,'THAM_SO'!$F$10:$I$14,4,TRUE)))</f>
        <v/>
      </c>
      <c r="AS49" s="224">
        <f>IF('DM_NHAN_SU'!$B49="","",$AO49+$AP49)</f>
        <v/>
      </c>
      <c r="AT49" s="224">
        <f>IF('DM_NHAN_SU'!$B49="","",$AS49-$AJ49-$AR49)</f>
        <v/>
      </c>
      <c r="AU49" s="224">
        <f>IF('DM_NHAN_SU'!$B49="","",'CHAM_CONG_THANG'!X49)</f>
        <v/>
      </c>
      <c r="AV49" s="224">
        <f>IF('DM_NHAN_SU'!$B49="","",'CHAM_CONG_THANG'!Y49+'QT_NGHI_VIEC'!AD49)</f>
        <v/>
      </c>
      <c r="AW49" s="224">
        <f>IF('DM_NHAN_SU'!$B49="","",'CHAM_CONG_THANG'!Z49)</f>
        <v/>
      </c>
      <c r="AX49" s="224">
        <f>IF('DM_NHAN_SU'!$B49="","",$AT49-$AU49-$AV49-$AW49-$BV49)</f>
        <v/>
      </c>
      <c r="AY49" s="224">
        <f>IF('DM_NHAN_SU'!$B49="","",$AE49*'THAM_SO'!$M$11)</f>
        <v/>
      </c>
      <c r="AZ49" s="224">
        <f>IF('DM_NHAN_SU'!$B49="","",$AE49*'THAM_SO'!$M$12)</f>
        <v/>
      </c>
      <c r="BA49" s="224">
        <f>IF('DM_NHAN_SU'!$B49="","",$AF49*'THAM_SO'!$M$13)</f>
        <v/>
      </c>
      <c r="BB49" s="224">
        <f>IF('DM_NHAN_SU'!$B49="","",$AE49*'THAM_SO'!$M$14)</f>
        <v/>
      </c>
      <c r="BC49" s="224">
        <f>IF('DM_NHAN_SU'!$B49="","",SUM($AY49:$BB49))</f>
        <v/>
      </c>
      <c r="BD49" s="224">
        <f>IF('DM_NHAN_SU'!$B49="","",$AS49+$BC49)</f>
        <v/>
      </c>
      <c r="BE49" s="224">
        <f>IF('DM_NHAN_SU'!$B49="","",VLOOKUP($H49,'THAM_SO'!$L$17:$P$20,2,FALSE))</f>
        <v/>
      </c>
      <c r="BF49" s="224">
        <f>IF('DM_NHAN_SU'!$B49="","",VLOOKUP($H49,'THAM_SO'!$L$17:$P$20,3,FALSE))</f>
        <v/>
      </c>
      <c r="BG49" s="150">
        <f>IF('DM_NHAN_SU'!$B49="","",IF($B49="","",IF(COUNTIF('DM_NHAN_SU'!$B$6:$B$155,$B49)&gt;1,"Trùng mã NV; ","")&amp;IF(OR($F49="",$G49=""),"Thiếu loại/hình thức lương; ","")&amp;IF('CHAM_CONG_THANG'!$D49="","Chưa chọn nguồn công; ","")&amp;IF(AND('CHAM_CONG_THANG'!$D49="Theo ngày",COUNTIF('CHAM_CONG_NGAY'!$B$6:$B$4655,$B49)=0),"Chưa có chấm công ngày; ","")&amp;IF(OR($I49&lt;=0,$J49&lt;=0),"Thiếu công/giờ chuẩn; ","")&amp;IF(AND($G49="Tháng",'DM_NHAN_SU'!$K49&lt;$BE49),"Lương tháng dưới tối thiểu vùng; ","")&amp;IF(AND($G49="Ngày",'DM_NHAN_SU'!$K49/$J49&lt;$BF49),"Lương ngày quy đổi dưới tối thiểu giờ; ","")&amp;IF(AND($G49="Giờ",'DM_NHAN_SU'!$K49&lt;$BF49),"Lương giờ dưới tối thiểu vùng; ","")&amp;IF(AND($G49="Sản phẩm",$L49&gt;0,$O49/$L49&lt;$BF49),"Lương SP quy đổi dưới tối thiểu giờ; ","")&amp;IF(OR('THAM_SO'!$C$19&lt;'THAM_SO'!$B$19,'THAM_SO'!$C$20&lt;'THAM_SO'!$B$20,'THAM_SO'!$C$21&lt;'THAM_SO'!$B$21,'THAM_SO'!$C$22&lt;'THAM_SO'!$B$22,'THAM_SO'!$C$23&lt;'THAM_SO'!$B$23,'THAM_SO'!$C$24&lt;'THAM_SO'!$B$24,'THAM_SO'!$C$25&lt;'THAM_SO'!$B$25),"Hệ số OT/đêm DN thấp hơn luật; ","")&amp;IF(AND('DM_NHAN_SU'!$R49="Có",$AD49&lt;=0),"Thiếu căn cứ đóng BH; ","")&amp;IF(AND($AD49&gt;0,$AD49&lt;'THAM_SO'!$M$6),"Căn cứ BH dưới sàn – đã nâng sàn; ","")&amp;IF($AD49&gt;'THAM_SO'!$M$7,"Căn cứ BH vượt trần – đã giới hạn; ","")&amp;IF(AND($F49="Net",SUM('CHAM_CONG_THANG'!$AF49:$AK49)&gt;0,'DM_NHAN_SU'!$Q49&lt;=0),"Net có OT nhưng chưa khai lương giờ OT; ","")&amp;IF('CHAM_CONG_THANG'!$V49&gt;$Z49,"Phần OT không miễn lớn hơn tiền OT; ","")&amp;IF(AND($F49="Net",ABS($AT49-$AC49-$AP49)&gt;1),"Lệch quy đổi Net; ","")&amp;IF(AND($BH49&gt;0,'DM_NHAN_SU'!$AD49=""),"Có phép năm nhưng đang tạm dùng 12 ngày; ","")&amp;IF(AND($G49="Sản phẩm",SUM($BH49:$BJ49)&gt;0,'DM_NHAN_SU'!$AH49&lt;=0),"Lương sản phẩm thiếu đơn giá ngày phép/lễ; ","")&amp;IF(AND($BL49&gt;=14,'CHAM_CONG_THANG'!$AA49&lt;&gt;"Có"),"Thai sản từ 14 ngày: file tự dừng đóng BH – kiểm tra hồ sơ; ","")&amp;IF(AND('DM_NHAN_SU'!$AA49="Có",'DM_NHAN_SU'!$AB49=""),"Đoàn viên chưa chọn cách tính đoàn phí; ","")&amp;IF(AND('DM_NHAN_SU'!$AB49="Nhập tay",'DM_NHAN_SU'!$AC49&gt;'THAM_SO'!$M$26),"Đoàn phí nhập tay vượt trần thông dụng; ","")&amp;IF('NGHI_PHEP'!$L49&lt;&gt;"","Phép: "&amp;'NGHI_PHEP'!$L49,"")&amp;IF('CHE_DO_BHXH'!$AA49&lt;&gt;"","BHXH: "&amp;'CHE_DO_BHXH'!$AA49,"")&amp;IF('THUONG_T13_TET'!$O49&lt;&gt;"","Thưởng: "&amp;'THUONG_T13_TET'!$O49,"")&amp;IF('QT_NGHI_VIEC'!$AF49&lt;&gt;"","Nghỉ việc: "&amp;'QT_NGHI_VIEC'!$AF49,"")&amp;IF($AX49&lt;0,"Thực lĩnh âm; ","")&amp;IF(OR('DM_NHAN_SU'!$F49&gt;'THAM_SO'!$B$7,AND('DM_NHAN_SU'!$G49&lt;&gt;"",'DM_NHAN_SU'!$G49&lt;'THAM_SO'!$B$6)),"Ngoài kỳ trả lương; ","")))</f>
        <v/>
      </c>
      <c r="BH49" s="232">
        <f>IF('DM_NHAN_SU'!$B49="","",'CHAM_CONG_THANG'!AR49)</f>
        <v/>
      </c>
      <c r="BI49" s="232">
        <f>IF('DM_NHAN_SU'!$B49="","",'CHAM_CONG_THANG'!AS49)</f>
        <v/>
      </c>
      <c r="BJ49" s="232">
        <f>IF('DM_NHAN_SU'!$B49="","",'CHAM_CONG_THANG'!AT49)</f>
        <v/>
      </c>
      <c r="BK49" s="232">
        <f>IF('DM_NHAN_SU'!$B49="","",'CHAM_CONG_THANG'!AU49)</f>
        <v/>
      </c>
      <c r="BL49" s="232">
        <f>IF('DM_NHAN_SU'!$B49="","",'CHAM_CONG_THANG'!AV49)</f>
        <v/>
      </c>
      <c r="BM49" s="232">
        <f>IF('DM_NHAN_SU'!$B49="","",'CHAM_CONG_THANG'!AW49)</f>
        <v/>
      </c>
      <c r="BN49" s="232">
        <f>IF('DM_NHAN_SU'!$B49="","",SUM($K49,$BH49:$BJ49))</f>
        <v/>
      </c>
      <c r="BO49" s="224">
        <f>IF('DM_NHAN_SU'!$B49="","",IF($B49="",0,IF($G49="Tháng",IF($I49&gt;0,'DM_NHAN_SU'!$K49*MIN($BH49+$BJ49,MAX($I49-$K49,0))/$I49,0),IF($G49="Ngày",'DM_NHAN_SU'!$K49*SUM($BH49:$BJ49),IF($G49="Giờ",'DM_NHAN_SU'!$K49*SUM($BH49:$BJ49)*$J49,IF($G49="Sản phẩm",'DM_NHAN_SU'!$AH49*SUM($BH49:$BJ49),0))))))</f>
        <v/>
      </c>
      <c r="BP49" s="224">
        <f>IF('DM_NHAN_SU'!$B49="","",IF('THUONG_T13_TET'!$L49="Có",'THUONG_T13_TET'!$I49,0))</f>
        <v/>
      </c>
      <c r="BQ49" s="224">
        <f>IF('DM_NHAN_SU'!$B49="","",IF('THUONG_T13_TET'!$L49="Có",SUM('THUONG_T13_TET'!$J49:$K49),0))</f>
        <v/>
      </c>
      <c r="BR49" s="224">
        <f>IF('DM_NHAN_SU'!$B49="","",'QT_NGHI_VIEC'!AC49)</f>
        <v/>
      </c>
      <c r="BS49" s="224">
        <f>IF('DM_NHAN_SU'!$B49="","",'QT_NGHI_VIEC'!AB49)</f>
        <v/>
      </c>
      <c r="BT49" s="224">
        <f>IF('DM_NHAN_SU'!$B49="","",IF('CHE_DO_BHXH'!$Z49="Có",'CHE_DO_BHXH'!$W49,0))</f>
        <v/>
      </c>
      <c r="BU49" s="224">
        <f>IF('DM_NHAN_SU'!$B49="","",IF('CHE_DO_BHXH'!$Y49="DN trả thay",$BT49,0))</f>
        <v/>
      </c>
      <c r="BV49" s="224">
        <f>IF('DM_NHAN_SU'!$B49="","",IF(OR('DM_NHAN_SU'!$AA49&lt;&gt;"Có",'CHE_DO_BHXH'!$O49&gt;=1,SUM('CHE_DO_BHXH'!$D49,'CHE_DO_BHXH'!$G49,'CHE_DO_BHXH'!$K49)&gt;=24,AND($I49&gt;0,$BM49&gt;=$I49)),0,IF('DM_NHAN_SU'!$AB49="Không",0,IF('DM_NHAN_SU'!$AB49="Nhập tay",'DM_NHAN_SU'!$AC49,IF('DM_NHAN_SU'!$AB49="Theo thực nhận",MIN(MAX($AT49-$AU49-$AV49-$AW49,0)*'THAM_SO'!$M$23,'THAM_SO'!$M$26),MIN($AE49*'THAM_SO'!$M$23,'THAM_SO'!$M$26))))))</f>
        <v/>
      </c>
      <c r="BW49" s="224">
        <f>IF('DM_NHAN_SU'!$B49="","",$AX49+$BU49)</f>
        <v/>
      </c>
    </row>
    <row r="50">
      <c r="A50" s="145">
        <f>IF('DM_NHAN_SU'!$B50="","",IF($B50="","",ROW()-5))</f>
        <v/>
      </c>
      <c r="B50" s="145">
        <f>IF('DM_NHAN_SU'!$B50="","",'DM_NHAN_SU'!B50)</f>
        <v/>
      </c>
      <c r="C50" s="145">
        <f>IF('DM_NHAN_SU'!$B50="","",'DM_NHAN_SU'!C50)</f>
        <v/>
      </c>
      <c r="D50" s="145">
        <f>IF('DM_NHAN_SU'!$B50="","",'DM_NHAN_SU'!D50)</f>
        <v/>
      </c>
      <c r="E50" s="145">
        <f>IF('DM_NHAN_SU'!$B50="","",'DM_NHAN_SU'!E50)</f>
        <v/>
      </c>
      <c r="F50" s="145">
        <f>IF('DM_NHAN_SU'!$B50="","",'DM_NHAN_SU'!I50)</f>
        <v/>
      </c>
      <c r="G50" s="145">
        <f>IF('DM_NHAN_SU'!$B50="","",'DM_NHAN_SU'!J50)</f>
        <v/>
      </c>
      <c r="H50" s="145">
        <f>IF('DM_NHAN_SU'!$B50="","",IF('DM_NHAN_SU'!H50="",'THAM_SO'!$B$11,'DM_NHAN_SU'!H50))</f>
        <v/>
      </c>
      <c r="I50" s="232">
        <f>IF('DM_NHAN_SU'!$B50="","",IF('DM_NHAN_SU'!L50&gt;0,'DM_NHAN_SU'!L50,'THAM_SO'!$B$9))</f>
        <v/>
      </c>
      <c r="J50" s="232">
        <f>IF('DM_NHAN_SU'!$B50="","",IF('DM_NHAN_SU'!M50&gt;0,'DM_NHAN_SU'!M50,'THAM_SO'!$B$10))</f>
        <v/>
      </c>
      <c r="K50" s="232">
        <f>IF('DM_NHAN_SU'!$B50="","",'CHAM_CONG_THANG'!AC50)</f>
        <v/>
      </c>
      <c r="L50" s="232">
        <f>IF('DM_NHAN_SU'!$B50="","",'CHAM_CONG_THANG'!AD50)</f>
        <v/>
      </c>
      <c r="M50" s="232">
        <f>IF('DM_NHAN_SU'!$B50="","",'CHAM_CONG_THANG'!AE50)</f>
        <v/>
      </c>
      <c r="N50" s="232">
        <f>IF('DM_NHAN_SU'!$B50="","",'CHAM_CONG_THANG'!N50)</f>
        <v/>
      </c>
      <c r="O50" s="224">
        <f>IF('DM_NHAN_SU'!$B50="","",IF($B50="","",IF($G50="Tháng",IF($I50&gt;0,'DM_NHAN_SU'!$K50*MIN($K50,$I50)/$I50,0),IF($G50="Ngày",'DM_NHAN_SU'!$K50*$K50,IF($G50="Giờ",'DM_NHAN_SU'!$K50*$L50,IF($G50="Sản phẩm",'DM_NHAN_SU'!$K50*$N50,0))))))</f>
        <v/>
      </c>
      <c r="P50" s="224">
        <f>IF('DM_NHAN_SU'!$B50="","",'CHAM_CONG_THANG'!O50)</f>
        <v/>
      </c>
      <c r="Q50" s="224">
        <f>IF('DM_NHAN_SU'!$B50="","",'CHAM_CONG_THANG'!P50)</f>
        <v/>
      </c>
      <c r="R50" s="224">
        <f>IF('DM_NHAN_SU'!$B50="","",'CHAM_CONG_THANG'!Q50)</f>
        <v/>
      </c>
      <c r="S50" s="224">
        <f>IF('DM_NHAN_SU'!$B50="","",'CHAM_CONG_THANG'!R50)</f>
        <v/>
      </c>
      <c r="T50" s="224">
        <f>IF('DM_NHAN_SU'!$B50="","",'CHAM_CONG_THANG'!S50)</f>
        <v/>
      </c>
      <c r="U50" s="224">
        <f>IF('DM_NHAN_SU'!$B50="","",MIN($T50,'THAM_SO'!$F$6))</f>
        <v/>
      </c>
      <c r="V50" s="224">
        <f>IF('DM_NHAN_SU'!$B50="","",MAX($T50-$U50,0))</f>
        <v/>
      </c>
      <c r="W50" s="224">
        <f>IF('DM_NHAN_SU'!$B50="","",'CHAM_CONG_THANG'!T50)</f>
        <v/>
      </c>
      <c r="X50" s="224">
        <f>IF('DM_NHAN_SU'!$B50="","",'CHAM_CONG_THANG'!U50)</f>
        <v/>
      </c>
      <c r="Y50" s="224">
        <f>IF('DM_NHAN_SU'!$B50="","",IF($B50="",0,IF('DM_NHAN_SU'!$Q50&gt;0,'DM_NHAN_SU'!$Q50,IF($G50="Tháng",IF($I50*$J50&gt;0,'DM_NHAN_SU'!$K50/($I50*$J50),0),IF($G50="Ngày",IF($J50&gt;0,'DM_NHAN_SU'!$K50/$J50,0),IF($G50="Giờ",'DM_NHAN_SU'!$K50,0))))))</f>
        <v/>
      </c>
      <c r="Z50" s="224">
        <f>IF('DM_NHAN_SU'!$B50="","",$Y50*($M50*'THAM_SO'!$C$22+'CHAM_CONG_THANG'!$AF50*'THAM_SO'!$C$19+'CHAM_CONG_THANG'!$AG50*'THAM_SO'!$C$20+'CHAM_CONG_THANG'!$AH50*'THAM_SO'!$C$21+'CHAM_CONG_THANG'!$AI50*'THAM_SO'!$C$23+'CHAM_CONG_THANG'!$AJ50*'THAM_SO'!$C$24+'CHAM_CONG_THANG'!$AK50*'THAM_SO'!$C$25))</f>
        <v/>
      </c>
      <c r="AA50" s="224">
        <f>IF('DM_NHAN_SU'!$B50="","",MAX(0,$Y50*($M50*IF('THAM_SO'!$C$22&gt;='THAM_SO'!$B$22,'THAM_SO'!$B$22,0)+'CHAM_CONG_THANG'!$AF50*IF('THAM_SO'!$C$19&gt;='THAM_SO'!$B$19,'THAM_SO'!$B$19,0)+'CHAM_CONG_THANG'!$AG50*IF('THAM_SO'!$C$20&gt;='THAM_SO'!$B$20,'THAM_SO'!$B$20,0)+'CHAM_CONG_THANG'!$AH50*IF('THAM_SO'!$C$21&gt;='THAM_SO'!$B$21,'THAM_SO'!$B$21,0)+'CHAM_CONG_THANG'!$AI50*IF('THAM_SO'!$C$23&gt;='THAM_SO'!$B$23,'THAM_SO'!$B$23,0)+'CHAM_CONG_THANG'!$AJ50*IF('THAM_SO'!$C$24&gt;='THAM_SO'!$B$24,'THAM_SO'!$B$24,0)+'CHAM_CONG_THANG'!$AK50*IF('THAM_SO'!$C$25&gt;='THAM_SO'!$B$25,'THAM_SO'!$B$25,0))-'CHAM_CONG_THANG'!$V50))</f>
        <v/>
      </c>
      <c r="AB50" s="224">
        <f>IF('DM_NHAN_SU'!$B50="","",MAX($Z50-$AA50,0))</f>
        <v/>
      </c>
      <c r="AC50" s="224">
        <f>IF('DM_NHAN_SU'!$B50="","",$O50+$P50+$Q50+$R50+$S50+$V50+$AB50+$BO50+$BP50+$BQ50+$BR50)</f>
        <v/>
      </c>
      <c r="AD50" s="224">
        <f>IF('DM_NHAN_SU'!$B50="","",'DM_NHAN_SU'!N50+'DM_NHAN_SU'!O50+'DM_NHAN_SU'!P50)</f>
        <v/>
      </c>
      <c r="AE50" s="224">
        <f>IF('DM_NHAN_SU'!$B50="","",IF(OR('DM_NHAN_SU'!$R50&lt;&gt;"Có",'CHAM_CONG_THANG'!$AA50="Có",$BL50&gt;=14,$AD50&lt;=0),0,MIN(MAX($AD50,'THAM_SO'!$M$6),'THAM_SO'!$M$7)))</f>
        <v/>
      </c>
      <c r="AF50" s="224">
        <f>IF('DM_NHAN_SU'!$B50="","",IF(OR('DM_NHAN_SU'!$S50&lt;&gt;"Có",'CHAM_CONG_THANG'!$AA50="Có",$BL50&gt;=14,$AD50&lt;=0),0,MIN(MAX($AD50,VLOOKUP($H50,'THAM_SO'!$L$17:$P$20,4,FALSE)),VLOOKUP($H50,'THAM_SO'!$L$17:$P$20,5,FALSE))))</f>
        <v/>
      </c>
      <c r="AG50" s="224">
        <f>IF('DM_NHAN_SU'!$B50="","",$AE50*'THAM_SO'!$M$8)</f>
        <v/>
      </c>
      <c r="AH50" s="224">
        <f>IF('DM_NHAN_SU'!$B50="","",$AE50*'THAM_SO'!$M$9)</f>
        <v/>
      </c>
      <c r="AI50" s="224">
        <f>IF('DM_NHAN_SU'!$B50="","",$AF50*'THAM_SO'!$M$10)</f>
        <v/>
      </c>
      <c r="AJ50" s="224">
        <f>IF('DM_NHAN_SU'!$B50="","",SUM($AG50:$AI50))</f>
        <v/>
      </c>
      <c r="AK50" s="224">
        <f>IF('DM_NHAN_SU'!$B50="","",IF($B50="",0,'THAM_SO'!$F$4))</f>
        <v/>
      </c>
      <c r="AL50" s="224">
        <f>IF('DM_NHAN_SU'!$B50="","",IF($B50="",0,'DM_NHAN_SU'!$T50*'THAM_SO'!$F$5))</f>
        <v/>
      </c>
      <c r="AM50" s="224">
        <f>IF('DM_NHAN_SU'!$B50="","",'CHAM_CONG_THANG'!W50)</f>
        <v/>
      </c>
      <c r="AN50" s="224">
        <f>IF('DM_NHAN_SU'!$B50="","",MAX($AC50-$AK50-$AL50-$AM50,0))</f>
        <v/>
      </c>
      <c r="AO50" s="224">
        <f>IF('DM_NHAN_SU'!$B50="","",IF($B50="","",IF($F50="Net",IF($AC50&lt;=$AK50+$AL50+$AM50,$AC50+$AJ50,$AJ50+$AK50+$AL50+$AM50+IF($AN50&lt;='THAM_SO'!$J$10,($AN50-'THAM_SO'!$I$10)/(1-'THAM_SO'!$H$10),IF($AN50&lt;='THAM_SO'!$J$11,($AN50-'THAM_SO'!$I$11)/(1-'THAM_SO'!$H$11),IF($AN50&lt;='THAM_SO'!$J$12,($AN50-'THAM_SO'!$I$12)/(1-'THAM_SO'!$H$12),IF($AN50&lt;='THAM_SO'!$J$13,($AN50-'THAM_SO'!$I$13)/(1-'THAM_SO'!$H$13),($AN50-'THAM_SO'!$I$14)/(1-'THAM_SO'!$H$14)))))),$AC50)))</f>
        <v/>
      </c>
      <c r="AP50" s="224">
        <f>IF('DM_NHAN_SU'!$B50="","",$U50+$W50+$X50+$AA50+$BS50)</f>
        <v/>
      </c>
      <c r="AQ50" s="224">
        <f>IF('DM_NHAN_SU'!$B50="","",MAX($AO50-$AJ50-$AK50-$AL50-$AM50,0))</f>
        <v/>
      </c>
      <c r="AR50" s="224">
        <f>IF('DM_NHAN_SU'!$B50="","",IF($AQ50&lt;=0,0,$AQ50*VLOOKUP($AQ50,'THAM_SO'!$F$10:$I$14,3,TRUE)-VLOOKUP($AQ50,'THAM_SO'!$F$10:$I$14,4,TRUE)))</f>
        <v/>
      </c>
      <c r="AS50" s="224">
        <f>IF('DM_NHAN_SU'!$B50="","",$AO50+$AP50)</f>
        <v/>
      </c>
      <c r="AT50" s="224">
        <f>IF('DM_NHAN_SU'!$B50="","",$AS50-$AJ50-$AR50)</f>
        <v/>
      </c>
      <c r="AU50" s="224">
        <f>IF('DM_NHAN_SU'!$B50="","",'CHAM_CONG_THANG'!X50)</f>
        <v/>
      </c>
      <c r="AV50" s="224">
        <f>IF('DM_NHAN_SU'!$B50="","",'CHAM_CONG_THANG'!Y50+'QT_NGHI_VIEC'!AD50)</f>
        <v/>
      </c>
      <c r="AW50" s="224">
        <f>IF('DM_NHAN_SU'!$B50="","",'CHAM_CONG_THANG'!Z50)</f>
        <v/>
      </c>
      <c r="AX50" s="224">
        <f>IF('DM_NHAN_SU'!$B50="","",$AT50-$AU50-$AV50-$AW50-$BV50)</f>
        <v/>
      </c>
      <c r="AY50" s="224">
        <f>IF('DM_NHAN_SU'!$B50="","",$AE50*'THAM_SO'!$M$11)</f>
        <v/>
      </c>
      <c r="AZ50" s="224">
        <f>IF('DM_NHAN_SU'!$B50="","",$AE50*'THAM_SO'!$M$12)</f>
        <v/>
      </c>
      <c r="BA50" s="224">
        <f>IF('DM_NHAN_SU'!$B50="","",$AF50*'THAM_SO'!$M$13)</f>
        <v/>
      </c>
      <c r="BB50" s="224">
        <f>IF('DM_NHAN_SU'!$B50="","",$AE50*'THAM_SO'!$M$14)</f>
        <v/>
      </c>
      <c r="BC50" s="224">
        <f>IF('DM_NHAN_SU'!$B50="","",SUM($AY50:$BB50))</f>
        <v/>
      </c>
      <c r="BD50" s="224">
        <f>IF('DM_NHAN_SU'!$B50="","",$AS50+$BC50)</f>
        <v/>
      </c>
      <c r="BE50" s="224">
        <f>IF('DM_NHAN_SU'!$B50="","",VLOOKUP($H50,'THAM_SO'!$L$17:$P$20,2,FALSE))</f>
        <v/>
      </c>
      <c r="BF50" s="224">
        <f>IF('DM_NHAN_SU'!$B50="","",VLOOKUP($H50,'THAM_SO'!$L$17:$P$20,3,FALSE))</f>
        <v/>
      </c>
      <c r="BG50" s="150">
        <f>IF('DM_NHAN_SU'!$B50="","",IF($B50="","",IF(COUNTIF('DM_NHAN_SU'!$B$6:$B$155,$B50)&gt;1,"Trùng mã NV; ","")&amp;IF(OR($F50="",$G50=""),"Thiếu loại/hình thức lương; ","")&amp;IF('CHAM_CONG_THANG'!$D50="","Chưa chọn nguồn công; ","")&amp;IF(AND('CHAM_CONG_THANG'!$D50="Theo ngày",COUNTIF('CHAM_CONG_NGAY'!$B$6:$B$4655,$B50)=0),"Chưa có chấm công ngày; ","")&amp;IF(OR($I50&lt;=0,$J50&lt;=0),"Thiếu công/giờ chuẩn; ","")&amp;IF(AND($G50="Tháng",'DM_NHAN_SU'!$K50&lt;$BE50),"Lương tháng dưới tối thiểu vùng; ","")&amp;IF(AND($G50="Ngày",'DM_NHAN_SU'!$K50/$J50&lt;$BF50),"Lương ngày quy đổi dưới tối thiểu giờ; ","")&amp;IF(AND($G50="Giờ",'DM_NHAN_SU'!$K50&lt;$BF50),"Lương giờ dưới tối thiểu vùng; ","")&amp;IF(AND($G50="Sản phẩm",$L50&gt;0,$O50/$L50&lt;$BF50),"Lương SP quy đổi dưới tối thiểu giờ; ","")&amp;IF(OR('THAM_SO'!$C$19&lt;'THAM_SO'!$B$19,'THAM_SO'!$C$20&lt;'THAM_SO'!$B$20,'THAM_SO'!$C$21&lt;'THAM_SO'!$B$21,'THAM_SO'!$C$22&lt;'THAM_SO'!$B$22,'THAM_SO'!$C$23&lt;'THAM_SO'!$B$23,'THAM_SO'!$C$24&lt;'THAM_SO'!$B$24,'THAM_SO'!$C$25&lt;'THAM_SO'!$B$25),"Hệ số OT/đêm DN thấp hơn luật; ","")&amp;IF(AND('DM_NHAN_SU'!$R50="Có",$AD50&lt;=0),"Thiếu căn cứ đóng BH; ","")&amp;IF(AND($AD50&gt;0,$AD50&lt;'THAM_SO'!$M$6),"Căn cứ BH dưới sàn – đã nâng sàn; ","")&amp;IF($AD50&gt;'THAM_SO'!$M$7,"Căn cứ BH vượt trần – đã giới hạn; ","")&amp;IF(AND($F50="Net",SUM('CHAM_CONG_THANG'!$AF50:$AK50)&gt;0,'DM_NHAN_SU'!$Q50&lt;=0),"Net có OT nhưng chưa khai lương giờ OT; ","")&amp;IF('CHAM_CONG_THANG'!$V50&gt;$Z50,"Phần OT không miễn lớn hơn tiền OT; ","")&amp;IF(AND($F50="Net",ABS($AT50-$AC50-$AP50)&gt;1),"Lệch quy đổi Net; ","")&amp;IF(AND($BH50&gt;0,'DM_NHAN_SU'!$AD50=""),"Có phép năm nhưng đang tạm dùng 12 ngày; ","")&amp;IF(AND($G50="Sản phẩm",SUM($BH50:$BJ50)&gt;0,'DM_NHAN_SU'!$AH50&lt;=0),"Lương sản phẩm thiếu đơn giá ngày phép/lễ; ","")&amp;IF(AND($BL50&gt;=14,'CHAM_CONG_THANG'!$AA50&lt;&gt;"Có"),"Thai sản từ 14 ngày: file tự dừng đóng BH – kiểm tra hồ sơ; ","")&amp;IF(AND('DM_NHAN_SU'!$AA50="Có",'DM_NHAN_SU'!$AB50=""),"Đoàn viên chưa chọn cách tính đoàn phí; ","")&amp;IF(AND('DM_NHAN_SU'!$AB50="Nhập tay",'DM_NHAN_SU'!$AC50&gt;'THAM_SO'!$M$26),"Đoàn phí nhập tay vượt trần thông dụng; ","")&amp;IF('NGHI_PHEP'!$L50&lt;&gt;"","Phép: "&amp;'NGHI_PHEP'!$L50,"")&amp;IF('CHE_DO_BHXH'!$AA50&lt;&gt;"","BHXH: "&amp;'CHE_DO_BHXH'!$AA50,"")&amp;IF('THUONG_T13_TET'!$O50&lt;&gt;"","Thưởng: "&amp;'THUONG_T13_TET'!$O50,"")&amp;IF('QT_NGHI_VIEC'!$AF50&lt;&gt;"","Nghỉ việc: "&amp;'QT_NGHI_VIEC'!$AF50,"")&amp;IF($AX50&lt;0,"Thực lĩnh âm; ","")&amp;IF(OR('DM_NHAN_SU'!$F50&gt;'THAM_SO'!$B$7,AND('DM_NHAN_SU'!$G50&lt;&gt;"",'DM_NHAN_SU'!$G50&lt;'THAM_SO'!$B$6)),"Ngoài kỳ trả lương; ","")))</f>
        <v/>
      </c>
      <c r="BH50" s="232">
        <f>IF('DM_NHAN_SU'!$B50="","",'CHAM_CONG_THANG'!AR50)</f>
        <v/>
      </c>
      <c r="BI50" s="232">
        <f>IF('DM_NHAN_SU'!$B50="","",'CHAM_CONG_THANG'!AS50)</f>
        <v/>
      </c>
      <c r="BJ50" s="232">
        <f>IF('DM_NHAN_SU'!$B50="","",'CHAM_CONG_THANG'!AT50)</f>
        <v/>
      </c>
      <c r="BK50" s="232">
        <f>IF('DM_NHAN_SU'!$B50="","",'CHAM_CONG_THANG'!AU50)</f>
        <v/>
      </c>
      <c r="BL50" s="232">
        <f>IF('DM_NHAN_SU'!$B50="","",'CHAM_CONG_THANG'!AV50)</f>
        <v/>
      </c>
      <c r="BM50" s="232">
        <f>IF('DM_NHAN_SU'!$B50="","",'CHAM_CONG_THANG'!AW50)</f>
        <v/>
      </c>
      <c r="BN50" s="232">
        <f>IF('DM_NHAN_SU'!$B50="","",SUM($K50,$BH50:$BJ50))</f>
        <v/>
      </c>
      <c r="BO50" s="224">
        <f>IF('DM_NHAN_SU'!$B50="","",IF($B50="",0,IF($G50="Tháng",IF($I50&gt;0,'DM_NHAN_SU'!$K50*MIN($BH50+$BJ50,MAX($I50-$K50,0))/$I50,0),IF($G50="Ngày",'DM_NHAN_SU'!$K50*SUM($BH50:$BJ50),IF($G50="Giờ",'DM_NHAN_SU'!$K50*SUM($BH50:$BJ50)*$J50,IF($G50="Sản phẩm",'DM_NHAN_SU'!$AH50*SUM($BH50:$BJ50),0))))))</f>
        <v/>
      </c>
      <c r="BP50" s="224">
        <f>IF('DM_NHAN_SU'!$B50="","",IF('THUONG_T13_TET'!$L50="Có",'THUONG_T13_TET'!$I50,0))</f>
        <v/>
      </c>
      <c r="BQ50" s="224">
        <f>IF('DM_NHAN_SU'!$B50="","",IF('THUONG_T13_TET'!$L50="Có",SUM('THUONG_T13_TET'!$J50:$K50),0))</f>
        <v/>
      </c>
      <c r="BR50" s="224">
        <f>IF('DM_NHAN_SU'!$B50="","",'QT_NGHI_VIEC'!AC50)</f>
        <v/>
      </c>
      <c r="BS50" s="224">
        <f>IF('DM_NHAN_SU'!$B50="","",'QT_NGHI_VIEC'!AB50)</f>
        <v/>
      </c>
      <c r="BT50" s="224">
        <f>IF('DM_NHAN_SU'!$B50="","",IF('CHE_DO_BHXH'!$Z50="Có",'CHE_DO_BHXH'!$W50,0))</f>
        <v/>
      </c>
      <c r="BU50" s="224">
        <f>IF('DM_NHAN_SU'!$B50="","",IF('CHE_DO_BHXH'!$Y50="DN trả thay",$BT50,0))</f>
        <v/>
      </c>
      <c r="BV50" s="224">
        <f>IF('DM_NHAN_SU'!$B50="","",IF(OR('DM_NHAN_SU'!$AA50&lt;&gt;"Có",'CHE_DO_BHXH'!$O50&gt;=1,SUM('CHE_DO_BHXH'!$D50,'CHE_DO_BHXH'!$G50,'CHE_DO_BHXH'!$K50)&gt;=24,AND($I50&gt;0,$BM50&gt;=$I50)),0,IF('DM_NHAN_SU'!$AB50="Không",0,IF('DM_NHAN_SU'!$AB50="Nhập tay",'DM_NHAN_SU'!$AC50,IF('DM_NHAN_SU'!$AB50="Theo thực nhận",MIN(MAX($AT50-$AU50-$AV50-$AW50,0)*'THAM_SO'!$M$23,'THAM_SO'!$M$26),MIN($AE50*'THAM_SO'!$M$23,'THAM_SO'!$M$26))))))</f>
        <v/>
      </c>
      <c r="BW50" s="224">
        <f>IF('DM_NHAN_SU'!$B50="","",$AX50+$BU50)</f>
        <v/>
      </c>
    </row>
    <row r="51">
      <c r="A51" s="145">
        <f>IF('DM_NHAN_SU'!$B51="","",IF($B51="","",ROW()-5))</f>
        <v/>
      </c>
      <c r="B51" s="145">
        <f>IF('DM_NHAN_SU'!$B51="","",'DM_NHAN_SU'!B51)</f>
        <v/>
      </c>
      <c r="C51" s="145">
        <f>IF('DM_NHAN_SU'!$B51="","",'DM_NHAN_SU'!C51)</f>
        <v/>
      </c>
      <c r="D51" s="145">
        <f>IF('DM_NHAN_SU'!$B51="","",'DM_NHAN_SU'!D51)</f>
        <v/>
      </c>
      <c r="E51" s="145">
        <f>IF('DM_NHAN_SU'!$B51="","",'DM_NHAN_SU'!E51)</f>
        <v/>
      </c>
      <c r="F51" s="145">
        <f>IF('DM_NHAN_SU'!$B51="","",'DM_NHAN_SU'!I51)</f>
        <v/>
      </c>
      <c r="G51" s="145">
        <f>IF('DM_NHAN_SU'!$B51="","",'DM_NHAN_SU'!J51)</f>
        <v/>
      </c>
      <c r="H51" s="145">
        <f>IF('DM_NHAN_SU'!$B51="","",IF('DM_NHAN_SU'!H51="",'THAM_SO'!$B$11,'DM_NHAN_SU'!H51))</f>
        <v/>
      </c>
      <c r="I51" s="232">
        <f>IF('DM_NHAN_SU'!$B51="","",IF('DM_NHAN_SU'!L51&gt;0,'DM_NHAN_SU'!L51,'THAM_SO'!$B$9))</f>
        <v/>
      </c>
      <c r="J51" s="232">
        <f>IF('DM_NHAN_SU'!$B51="","",IF('DM_NHAN_SU'!M51&gt;0,'DM_NHAN_SU'!M51,'THAM_SO'!$B$10))</f>
        <v/>
      </c>
      <c r="K51" s="232">
        <f>IF('DM_NHAN_SU'!$B51="","",'CHAM_CONG_THANG'!AC51)</f>
        <v/>
      </c>
      <c r="L51" s="232">
        <f>IF('DM_NHAN_SU'!$B51="","",'CHAM_CONG_THANG'!AD51)</f>
        <v/>
      </c>
      <c r="M51" s="232">
        <f>IF('DM_NHAN_SU'!$B51="","",'CHAM_CONG_THANG'!AE51)</f>
        <v/>
      </c>
      <c r="N51" s="232">
        <f>IF('DM_NHAN_SU'!$B51="","",'CHAM_CONG_THANG'!N51)</f>
        <v/>
      </c>
      <c r="O51" s="224">
        <f>IF('DM_NHAN_SU'!$B51="","",IF($B51="","",IF($G51="Tháng",IF($I51&gt;0,'DM_NHAN_SU'!$K51*MIN($K51,$I51)/$I51,0),IF($G51="Ngày",'DM_NHAN_SU'!$K51*$K51,IF($G51="Giờ",'DM_NHAN_SU'!$K51*$L51,IF($G51="Sản phẩm",'DM_NHAN_SU'!$K51*$N51,0))))))</f>
        <v/>
      </c>
      <c r="P51" s="224">
        <f>IF('DM_NHAN_SU'!$B51="","",'CHAM_CONG_THANG'!O51)</f>
        <v/>
      </c>
      <c r="Q51" s="224">
        <f>IF('DM_NHAN_SU'!$B51="","",'CHAM_CONG_THANG'!P51)</f>
        <v/>
      </c>
      <c r="R51" s="224">
        <f>IF('DM_NHAN_SU'!$B51="","",'CHAM_CONG_THANG'!Q51)</f>
        <v/>
      </c>
      <c r="S51" s="224">
        <f>IF('DM_NHAN_SU'!$B51="","",'CHAM_CONG_THANG'!R51)</f>
        <v/>
      </c>
      <c r="T51" s="224">
        <f>IF('DM_NHAN_SU'!$B51="","",'CHAM_CONG_THANG'!S51)</f>
        <v/>
      </c>
      <c r="U51" s="224">
        <f>IF('DM_NHAN_SU'!$B51="","",MIN($T51,'THAM_SO'!$F$6))</f>
        <v/>
      </c>
      <c r="V51" s="224">
        <f>IF('DM_NHAN_SU'!$B51="","",MAX($T51-$U51,0))</f>
        <v/>
      </c>
      <c r="W51" s="224">
        <f>IF('DM_NHAN_SU'!$B51="","",'CHAM_CONG_THANG'!T51)</f>
        <v/>
      </c>
      <c r="X51" s="224">
        <f>IF('DM_NHAN_SU'!$B51="","",'CHAM_CONG_THANG'!U51)</f>
        <v/>
      </c>
      <c r="Y51" s="224">
        <f>IF('DM_NHAN_SU'!$B51="","",IF($B51="",0,IF('DM_NHAN_SU'!$Q51&gt;0,'DM_NHAN_SU'!$Q51,IF($G51="Tháng",IF($I51*$J51&gt;0,'DM_NHAN_SU'!$K51/($I51*$J51),0),IF($G51="Ngày",IF($J51&gt;0,'DM_NHAN_SU'!$K51/$J51,0),IF($G51="Giờ",'DM_NHAN_SU'!$K51,0))))))</f>
        <v/>
      </c>
      <c r="Z51" s="224">
        <f>IF('DM_NHAN_SU'!$B51="","",$Y51*($M51*'THAM_SO'!$C$22+'CHAM_CONG_THANG'!$AF51*'THAM_SO'!$C$19+'CHAM_CONG_THANG'!$AG51*'THAM_SO'!$C$20+'CHAM_CONG_THANG'!$AH51*'THAM_SO'!$C$21+'CHAM_CONG_THANG'!$AI51*'THAM_SO'!$C$23+'CHAM_CONG_THANG'!$AJ51*'THAM_SO'!$C$24+'CHAM_CONG_THANG'!$AK51*'THAM_SO'!$C$25))</f>
        <v/>
      </c>
      <c r="AA51" s="224">
        <f>IF('DM_NHAN_SU'!$B51="","",MAX(0,$Y51*($M51*IF('THAM_SO'!$C$22&gt;='THAM_SO'!$B$22,'THAM_SO'!$B$22,0)+'CHAM_CONG_THANG'!$AF51*IF('THAM_SO'!$C$19&gt;='THAM_SO'!$B$19,'THAM_SO'!$B$19,0)+'CHAM_CONG_THANG'!$AG51*IF('THAM_SO'!$C$20&gt;='THAM_SO'!$B$20,'THAM_SO'!$B$20,0)+'CHAM_CONG_THANG'!$AH51*IF('THAM_SO'!$C$21&gt;='THAM_SO'!$B$21,'THAM_SO'!$B$21,0)+'CHAM_CONG_THANG'!$AI51*IF('THAM_SO'!$C$23&gt;='THAM_SO'!$B$23,'THAM_SO'!$B$23,0)+'CHAM_CONG_THANG'!$AJ51*IF('THAM_SO'!$C$24&gt;='THAM_SO'!$B$24,'THAM_SO'!$B$24,0)+'CHAM_CONG_THANG'!$AK51*IF('THAM_SO'!$C$25&gt;='THAM_SO'!$B$25,'THAM_SO'!$B$25,0))-'CHAM_CONG_THANG'!$V51))</f>
        <v/>
      </c>
      <c r="AB51" s="224">
        <f>IF('DM_NHAN_SU'!$B51="","",MAX($Z51-$AA51,0))</f>
        <v/>
      </c>
      <c r="AC51" s="224">
        <f>IF('DM_NHAN_SU'!$B51="","",$O51+$P51+$Q51+$R51+$S51+$V51+$AB51+$BO51+$BP51+$BQ51+$BR51)</f>
        <v/>
      </c>
      <c r="AD51" s="224">
        <f>IF('DM_NHAN_SU'!$B51="","",'DM_NHAN_SU'!N51+'DM_NHAN_SU'!O51+'DM_NHAN_SU'!P51)</f>
        <v/>
      </c>
      <c r="AE51" s="224">
        <f>IF('DM_NHAN_SU'!$B51="","",IF(OR('DM_NHAN_SU'!$R51&lt;&gt;"Có",'CHAM_CONG_THANG'!$AA51="Có",$BL51&gt;=14,$AD51&lt;=0),0,MIN(MAX($AD51,'THAM_SO'!$M$6),'THAM_SO'!$M$7)))</f>
        <v/>
      </c>
      <c r="AF51" s="224">
        <f>IF('DM_NHAN_SU'!$B51="","",IF(OR('DM_NHAN_SU'!$S51&lt;&gt;"Có",'CHAM_CONG_THANG'!$AA51="Có",$BL51&gt;=14,$AD51&lt;=0),0,MIN(MAX($AD51,VLOOKUP($H51,'THAM_SO'!$L$17:$P$20,4,FALSE)),VLOOKUP($H51,'THAM_SO'!$L$17:$P$20,5,FALSE))))</f>
        <v/>
      </c>
      <c r="AG51" s="224">
        <f>IF('DM_NHAN_SU'!$B51="","",$AE51*'THAM_SO'!$M$8)</f>
        <v/>
      </c>
      <c r="AH51" s="224">
        <f>IF('DM_NHAN_SU'!$B51="","",$AE51*'THAM_SO'!$M$9)</f>
        <v/>
      </c>
      <c r="AI51" s="224">
        <f>IF('DM_NHAN_SU'!$B51="","",$AF51*'THAM_SO'!$M$10)</f>
        <v/>
      </c>
      <c r="AJ51" s="224">
        <f>IF('DM_NHAN_SU'!$B51="","",SUM($AG51:$AI51))</f>
        <v/>
      </c>
      <c r="AK51" s="224">
        <f>IF('DM_NHAN_SU'!$B51="","",IF($B51="",0,'THAM_SO'!$F$4))</f>
        <v/>
      </c>
      <c r="AL51" s="224">
        <f>IF('DM_NHAN_SU'!$B51="","",IF($B51="",0,'DM_NHAN_SU'!$T51*'THAM_SO'!$F$5))</f>
        <v/>
      </c>
      <c r="AM51" s="224">
        <f>IF('DM_NHAN_SU'!$B51="","",'CHAM_CONG_THANG'!W51)</f>
        <v/>
      </c>
      <c r="AN51" s="224">
        <f>IF('DM_NHAN_SU'!$B51="","",MAX($AC51-$AK51-$AL51-$AM51,0))</f>
        <v/>
      </c>
      <c r="AO51" s="224">
        <f>IF('DM_NHAN_SU'!$B51="","",IF($B51="","",IF($F51="Net",IF($AC51&lt;=$AK51+$AL51+$AM51,$AC51+$AJ51,$AJ51+$AK51+$AL51+$AM51+IF($AN51&lt;='THAM_SO'!$J$10,($AN51-'THAM_SO'!$I$10)/(1-'THAM_SO'!$H$10),IF($AN51&lt;='THAM_SO'!$J$11,($AN51-'THAM_SO'!$I$11)/(1-'THAM_SO'!$H$11),IF($AN51&lt;='THAM_SO'!$J$12,($AN51-'THAM_SO'!$I$12)/(1-'THAM_SO'!$H$12),IF($AN51&lt;='THAM_SO'!$J$13,($AN51-'THAM_SO'!$I$13)/(1-'THAM_SO'!$H$13),($AN51-'THAM_SO'!$I$14)/(1-'THAM_SO'!$H$14)))))),$AC51)))</f>
        <v/>
      </c>
      <c r="AP51" s="224">
        <f>IF('DM_NHAN_SU'!$B51="","",$U51+$W51+$X51+$AA51+$BS51)</f>
        <v/>
      </c>
      <c r="AQ51" s="224">
        <f>IF('DM_NHAN_SU'!$B51="","",MAX($AO51-$AJ51-$AK51-$AL51-$AM51,0))</f>
        <v/>
      </c>
      <c r="AR51" s="224">
        <f>IF('DM_NHAN_SU'!$B51="","",IF($AQ51&lt;=0,0,$AQ51*VLOOKUP($AQ51,'THAM_SO'!$F$10:$I$14,3,TRUE)-VLOOKUP($AQ51,'THAM_SO'!$F$10:$I$14,4,TRUE)))</f>
        <v/>
      </c>
      <c r="AS51" s="224">
        <f>IF('DM_NHAN_SU'!$B51="","",$AO51+$AP51)</f>
        <v/>
      </c>
      <c r="AT51" s="224">
        <f>IF('DM_NHAN_SU'!$B51="","",$AS51-$AJ51-$AR51)</f>
        <v/>
      </c>
      <c r="AU51" s="224">
        <f>IF('DM_NHAN_SU'!$B51="","",'CHAM_CONG_THANG'!X51)</f>
        <v/>
      </c>
      <c r="AV51" s="224">
        <f>IF('DM_NHAN_SU'!$B51="","",'CHAM_CONG_THANG'!Y51+'QT_NGHI_VIEC'!AD51)</f>
        <v/>
      </c>
      <c r="AW51" s="224">
        <f>IF('DM_NHAN_SU'!$B51="","",'CHAM_CONG_THANG'!Z51)</f>
        <v/>
      </c>
      <c r="AX51" s="224">
        <f>IF('DM_NHAN_SU'!$B51="","",$AT51-$AU51-$AV51-$AW51-$BV51)</f>
        <v/>
      </c>
      <c r="AY51" s="224">
        <f>IF('DM_NHAN_SU'!$B51="","",$AE51*'THAM_SO'!$M$11)</f>
        <v/>
      </c>
      <c r="AZ51" s="224">
        <f>IF('DM_NHAN_SU'!$B51="","",$AE51*'THAM_SO'!$M$12)</f>
        <v/>
      </c>
      <c r="BA51" s="224">
        <f>IF('DM_NHAN_SU'!$B51="","",$AF51*'THAM_SO'!$M$13)</f>
        <v/>
      </c>
      <c r="BB51" s="224">
        <f>IF('DM_NHAN_SU'!$B51="","",$AE51*'THAM_SO'!$M$14)</f>
        <v/>
      </c>
      <c r="BC51" s="224">
        <f>IF('DM_NHAN_SU'!$B51="","",SUM($AY51:$BB51))</f>
        <v/>
      </c>
      <c r="BD51" s="224">
        <f>IF('DM_NHAN_SU'!$B51="","",$AS51+$BC51)</f>
        <v/>
      </c>
      <c r="BE51" s="224">
        <f>IF('DM_NHAN_SU'!$B51="","",VLOOKUP($H51,'THAM_SO'!$L$17:$P$20,2,FALSE))</f>
        <v/>
      </c>
      <c r="BF51" s="224">
        <f>IF('DM_NHAN_SU'!$B51="","",VLOOKUP($H51,'THAM_SO'!$L$17:$P$20,3,FALSE))</f>
        <v/>
      </c>
      <c r="BG51" s="150">
        <f>IF('DM_NHAN_SU'!$B51="","",IF($B51="","",IF(COUNTIF('DM_NHAN_SU'!$B$6:$B$155,$B51)&gt;1,"Trùng mã NV; ","")&amp;IF(OR($F51="",$G51=""),"Thiếu loại/hình thức lương; ","")&amp;IF('CHAM_CONG_THANG'!$D51="","Chưa chọn nguồn công; ","")&amp;IF(AND('CHAM_CONG_THANG'!$D51="Theo ngày",COUNTIF('CHAM_CONG_NGAY'!$B$6:$B$4655,$B51)=0),"Chưa có chấm công ngày; ","")&amp;IF(OR($I51&lt;=0,$J51&lt;=0),"Thiếu công/giờ chuẩn; ","")&amp;IF(AND($G51="Tháng",'DM_NHAN_SU'!$K51&lt;$BE51),"Lương tháng dưới tối thiểu vùng; ","")&amp;IF(AND($G51="Ngày",'DM_NHAN_SU'!$K51/$J51&lt;$BF51),"Lương ngày quy đổi dưới tối thiểu giờ; ","")&amp;IF(AND($G51="Giờ",'DM_NHAN_SU'!$K51&lt;$BF51),"Lương giờ dưới tối thiểu vùng; ","")&amp;IF(AND($G51="Sản phẩm",$L51&gt;0,$O51/$L51&lt;$BF51),"Lương SP quy đổi dưới tối thiểu giờ; ","")&amp;IF(OR('THAM_SO'!$C$19&lt;'THAM_SO'!$B$19,'THAM_SO'!$C$20&lt;'THAM_SO'!$B$20,'THAM_SO'!$C$21&lt;'THAM_SO'!$B$21,'THAM_SO'!$C$22&lt;'THAM_SO'!$B$22,'THAM_SO'!$C$23&lt;'THAM_SO'!$B$23,'THAM_SO'!$C$24&lt;'THAM_SO'!$B$24,'THAM_SO'!$C$25&lt;'THAM_SO'!$B$25),"Hệ số OT/đêm DN thấp hơn luật; ","")&amp;IF(AND('DM_NHAN_SU'!$R51="Có",$AD51&lt;=0),"Thiếu căn cứ đóng BH; ","")&amp;IF(AND($AD51&gt;0,$AD51&lt;'THAM_SO'!$M$6),"Căn cứ BH dưới sàn – đã nâng sàn; ","")&amp;IF($AD51&gt;'THAM_SO'!$M$7,"Căn cứ BH vượt trần – đã giới hạn; ","")&amp;IF(AND($F51="Net",SUM('CHAM_CONG_THANG'!$AF51:$AK51)&gt;0,'DM_NHAN_SU'!$Q51&lt;=0),"Net có OT nhưng chưa khai lương giờ OT; ","")&amp;IF('CHAM_CONG_THANG'!$V51&gt;$Z51,"Phần OT không miễn lớn hơn tiền OT; ","")&amp;IF(AND($F51="Net",ABS($AT51-$AC51-$AP51)&gt;1),"Lệch quy đổi Net; ","")&amp;IF(AND($BH51&gt;0,'DM_NHAN_SU'!$AD51=""),"Có phép năm nhưng đang tạm dùng 12 ngày; ","")&amp;IF(AND($G51="Sản phẩm",SUM($BH51:$BJ51)&gt;0,'DM_NHAN_SU'!$AH51&lt;=0),"Lương sản phẩm thiếu đơn giá ngày phép/lễ; ","")&amp;IF(AND($BL51&gt;=14,'CHAM_CONG_THANG'!$AA51&lt;&gt;"Có"),"Thai sản từ 14 ngày: file tự dừng đóng BH – kiểm tra hồ sơ; ","")&amp;IF(AND('DM_NHAN_SU'!$AA51="Có",'DM_NHAN_SU'!$AB51=""),"Đoàn viên chưa chọn cách tính đoàn phí; ","")&amp;IF(AND('DM_NHAN_SU'!$AB51="Nhập tay",'DM_NHAN_SU'!$AC51&gt;'THAM_SO'!$M$26),"Đoàn phí nhập tay vượt trần thông dụng; ","")&amp;IF('NGHI_PHEP'!$L51&lt;&gt;"","Phép: "&amp;'NGHI_PHEP'!$L51,"")&amp;IF('CHE_DO_BHXH'!$AA51&lt;&gt;"","BHXH: "&amp;'CHE_DO_BHXH'!$AA51,"")&amp;IF('THUONG_T13_TET'!$O51&lt;&gt;"","Thưởng: "&amp;'THUONG_T13_TET'!$O51,"")&amp;IF('QT_NGHI_VIEC'!$AF51&lt;&gt;"","Nghỉ việc: "&amp;'QT_NGHI_VIEC'!$AF51,"")&amp;IF($AX51&lt;0,"Thực lĩnh âm; ","")&amp;IF(OR('DM_NHAN_SU'!$F51&gt;'THAM_SO'!$B$7,AND('DM_NHAN_SU'!$G51&lt;&gt;"",'DM_NHAN_SU'!$G51&lt;'THAM_SO'!$B$6)),"Ngoài kỳ trả lương; ","")))</f>
        <v/>
      </c>
      <c r="BH51" s="232">
        <f>IF('DM_NHAN_SU'!$B51="","",'CHAM_CONG_THANG'!AR51)</f>
        <v/>
      </c>
      <c r="BI51" s="232">
        <f>IF('DM_NHAN_SU'!$B51="","",'CHAM_CONG_THANG'!AS51)</f>
        <v/>
      </c>
      <c r="BJ51" s="232">
        <f>IF('DM_NHAN_SU'!$B51="","",'CHAM_CONG_THANG'!AT51)</f>
        <v/>
      </c>
      <c r="BK51" s="232">
        <f>IF('DM_NHAN_SU'!$B51="","",'CHAM_CONG_THANG'!AU51)</f>
        <v/>
      </c>
      <c r="BL51" s="232">
        <f>IF('DM_NHAN_SU'!$B51="","",'CHAM_CONG_THANG'!AV51)</f>
        <v/>
      </c>
      <c r="BM51" s="232">
        <f>IF('DM_NHAN_SU'!$B51="","",'CHAM_CONG_THANG'!AW51)</f>
        <v/>
      </c>
      <c r="BN51" s="232">
        <f>IF('DM_NHAN_SU'!$B51="","",SUM($K51,$BH51:$BJ51))</f>
        <v/>
      </c>
      <c r="BO51" s="224">
        <f>IF('DM_NHAN_SU'!$B51="","",IF($B51="",0,IF($G51="Tháng",IF($I51&gt;0,'DM_NHAN_SU'!$K51*MIN($BH51+$BJ51,MAX($I51-$K51,0))/$I51,0),IF($G51="Ngày",'DM_NHAN_SU'!$K51*SUM($BH51:$BJ51),IF($G51="Giờ",'DM_NHAN_SU'!$K51*SUM($BH51:$BJ51)*$J51,IF($G51="Sản phẩm",'DM_NHAN_SU'!$AH51*SUM($BH51:$BJ51),0))))))</f>
        <v/>
      </c>
      <c r="BP51" s="224">
        <f>IF('DM_NHAN_SU'!$B51="","",IF('THUONG_T13_TET'!$L51="Có",'THUONG_T13_TET'!$I51,0))</f>
        <v/>
      </c>
      <c r="BQ51" s="224">
        <f>IF('DM_NHAN_SU'!$B51="","",IF('THUONG_T13_TET'!$L51="Có",SUM('THUONG_T13_TET'!$J51:$K51),0))</f>
        <v/>
      </c>
      <c r="BR51" s="224">
        <f>IF('DM_NHAN_SU'!$B51="","",'QT_NGHI_VIEC'!AC51)</f>
        <v/>
      </c>
      <c r="BS51" s="224">
        <f>IF('DM_NHAN_SU'!$B51="","",'QT_NGHI_VIEC'!AB51)</f>
        <v/>
      </c>
      <c r="BT51" s="224">
        <f>IF('DM_NHAN_SU'!$B51="","",IF('CHE_DO_BHXH'!$Z51="Có",'CHE_DO_BHXH'!$W51,0))</f>
        <v/>
      </c>
      <c r="BU51" s="224">
        <f>IF('DM_NHAN_SU'!$B51="","",IF('CHE_DO_BHXH'!$Y51="DN trả thay",$BT51,0))</f>
        <v/>
      </c>
      <c r="BV51" s="224">
        <f>IF('DM_NHAN_SU'!$B51="","",IF(OR('DM_NHAN_SU'!$AA51&lt;&gt;"Có",'CHE_DO_BHXH'!$O51&gt;=1,SUM('CHE_DO_BHXH'!$D51,'CHE_DO_BHXH'!$G51,'CHE_DO_BHXH'!$K51)&gt;=24,AND($I51&gt;0,$BM51&gt;=$I51)),0,IF('DM_NHAN_SU'!$AB51="Không",0,IF('DM_NHAN_SU'!$AB51="Nhập tay",'DM_NHAN_SU'!$AC51,IF('DM_NHAN_SU'!$AB51="Theo thực nhận",MIN(MAX($AT51-$AU51-$AV51-$AW51,0)*'THAM_SO'!$M$23,'THAM_SO'!$M$26),MIN($AE51*'THAM_SO'!$M$23,'THAM_SO'!$M$26))))))</f>
        <v/>
      </c>
      <c r="BW51" s="224">
        <f>IF('DM_NHAN_SU'!$B51="","",$AX51+$BU51)</f>
        <v/>
      </c>
    </row>
    <row r="52">
      <c r="A52" s="145">
        <f>IF('DM_NHAN_SU'!$B52="","",IF($B52="","",ROW()-5))</f>
        <v/>
      </c>
      <c r="B52" s="145">
        <f>IF('DM_NHAN_SU'!$B52="","",'DM_NHAN_SU'!B52)</f>
        <v/>
      </c>
      <c r="C52" s="145">
        <f>IF('DM_NHAN_SU'!$B52="","",'DM_NHAN_SU'!C52)</f>
        <v/>
      </c>
      <c r="D52" s="145">
        <f>IF('DM_NHAN_SU'!$B52="","",'DM_NHAN_SU'!D52)</f>
        <v/>
      </c>
      <c r="E52" s="145">
        <f>IF('DM_NHAN_SU'!$B52="","",'DM_NHAN_SU'!E52)</f>
        <v/>
      </c>
      <c r="F52" s="145">
        <f>IF('DM_NHAN_SU'!$B52="","",'DM_NHAN_SU'!I52)</f>
        <v/>
      </c>
      <c r="G52" s="145">
        <f>IF('DM_NHAN_SU'!$B52="","",'DM_NHAN_SU'!J52)</f>
        <v/>
      </c>
      <c r="H52" s="145">
        <f>IF('DM_NHAN_SU'!$B52="","",IF('DM_NHAN_SU'!H52="",'THAM_SO'!$B$11,'DM_NHAN_SU'!H52))</f>
        <v/>
      </c>
      <c r="I52" s="232">
        <f>IF('DM_NHAN_SU'!$B52="","",IF('DM_NHAN_SU'!L52&gt;0,'DM_NHAN_SU'!L52,'THAM_SO'!$B$9))</f>
        <v/>
      </c>
      <c r="J52" s="232">
        <f>IF('DM_NHAN_SU'!$B52="","",IF('DM_NHAN_SU'!M52&gt;0,'DM_NHAN_SU'!M52,'THAM_SO'!$B$10))</f>
        <v/>
      </c>
      <c r="K52" s="232">
        <f>IF('DM_NHAN_SU'!$B52="","",'CHAM_CONG_THANG'!AC52)</f>
        <v/>
      </c>
      <c r="L52" s="232">
        <f>IF('DM_NHAN_SU'!$B52="","",'CHAM_CONG_THANG'!AD52)</f>
        <v/>
      </c>
      <c r="M52" s="232">
        <f>IF('DM_NHAN_SU'!$B52="","",'CHAM_CONG_THANG'!AE52)</f>
        <v/>
      </c>
      <c r="N52" s="232">
        <f>IF('DM_NHAN_SU'!$B52="","",'CHAM_CONG_THANG'!N52)</f>
        <v/>
      </c>
      <c r="O52" s="224">
        <f>IF('DM_NHAN_SU'!$B52="","",IF($B52="","",IF($G52="Tháng",IF($I52&gt;0,'DM_NHAN_SU'!$K52*MIN($K52,$I52)/$I52,0),IF($G52="Ngày",'DM_NHAN_SU'!$K52*$K52,IF($G52="Giờ",'DM_NHAN_SU'!$K52*$L52,IF($G52="Sản phẩm",'DM_NHAN_SU'!$K52*$N52,0))))))</f>
        <v/>
      </c>
      <c r="P52" s="224">
        <f>IF('DM_NHAN_SU'!$B52="","",'CHAM_CONG_THANG'!O52)</f>
        <v/>
      </c>
      <c r="Q52" s="224">
        <f>IF('DM_NHAN_SU'!$B52="","",'CHAM_CONG_THANG'!P52)</f>
        <v/>
      </c>
      <c r="R52" s="224">
        <f>IF('DM_NHAN_SU'!$B52="","",'CHAM_CONG_THANG'!Q52)</f>
        <v/>
      </c>
      <c r="S52" s="224">
        <f>IF('DM_NHAN_SU'!$B52="","",'CHAM_CONG_THANG'!R52)</f>
        <v/>
      </c>
      <c r="T52" s="224">
        <f>IF('DM_NHAN_SU'!$B52="","",'CHAM_CONG_THANG'!S52)</f>
        <v/>
      </c>
      <c r="U52" s="224">
        <f>IF('DM_NHAN_SU'!$B52="","",MIN($T52,'THAM_SO'!$F$6))</f>
        <v/>
      </c>
      <c r="V52" s="224">
        <f>IF('DM_NHAN_SU'!$B52="","",MAX($T52-$U52,0))</f>
        <v/>
      </c>
      <c r="W52" s="224">
        <f>IF('DM_NHAN_SU'!$B52="","",'CHAM_CONG_THANG'!T52)</f>
        <v/>
      </c>
      <c r="X52" s="224">
        <f>IF('DM_NHAN_SU'!$B52="","",'CHAM_CONG_THANG'!U52)</f>
        <v/>
      </c>
      <c r="Y52" s="224">
        <f>IF('DM_NHAN_SU'!$B52="","",IF($B52="",0,IF('DM_NHAN_SU'!$Q52&gt;0,'DM_NHAN_SU'!$Q52,IF($G52="Tháng",IF($I52*$J52&gt;0,'DM_NHAN_SU'!$K52/($I52*$J52),0),IF($G52="Ngày",IF($J52&gt;0,'DM_NHAN_SU'!$K52/$J52,0),IF($G52="Giờ",'DM_NHAN_SU'!$K52,0))))))</f>
        <v/>
      </c>
      <c r="Z52" s="224">
        <f>IF('DM_NHAN_SU'!$B52="","",$Y52*($M52*'THAM_SO'!$C$22+'CHAM_CONG_THANG'!$AF52*'THAM_SO'!$C$19+'CHAM_CONG_THANG'!$AG52*'THAM_SO'!$C$20+'CHAM_CONG_THANG'!$AH52*'THAM_SO'!$C$21+'CHAM_CONG_THANG'!$AI52*'THAM_SO'!$C$23+'CHAM_CONG_THANG'!$AJ52*'THAM_SO'!$C$24+'CHAM_CONG_THANG'!$AK52*'THAM_SO'!$C$25))</f>
        <v/>
      </c>
      <c r="AA52" s="224">
        <f>IF('DM_NHAN_SU'!$B52="","",MAX(0,$Y52*($M52*IF('THAM_SO'!$C$22&gt;='THAM_SO'!$B$22,'THAM_SO'!$B$22,0)+'CHAM_CONG_THANG'!$AF52*IF('THAM_SO'!$C$19&gt;='THAM_SO'!$B$19,'THAM_SO'!$B$19,0)+'CHAM_CONG_THANG'!$AG52*IF('THAM_SO'!$C$20&gt;='THAM_SO'!$B$20,'THAM_SO'!$B$20,0)+'CHAM_CONG_THANG'!$AH52*IF('THAM_SO'!$C$21&gt;='THAM_SO'!$B$21,'THAM_SO'!$B$21,0)+'CHAM_CONG_THANG'!$AI52*IF('THAM_SO'!$C$23&gt;='THAM_SO'!$B$23,'THAM_SO'!$B$23,0)+'CHAM_CONG_THANG'!$AJ52*IF('THAM_SO'!$C$24&gt;='THAM_SO'!$B$24,'THAM_SO'!$B$24,0)+'CHAM_CONG_THANG'!$AK52*IF('THAM_SO'!$C$25&gt;='THAM_SO'!$B$25,'THAM_SO'!$B$25,0))-'CHAM_CONG_THANG'!$V52))</f>
        <v/>
      </c>
      <c r="AB52" s="224">
        <f>IF('DM_NHAN_SU'!$B52="","",MAX($Z52-$AA52,0))</f>
        <v/>
      </c>
      <c r="AC52" s="224">
        <f>IF('DM_NHAN_SU'!$B52="","",$O52+$P52+$Q52+$R52+$S52+$V52+$AB52+$BO52+$BP52+$BQ52+$BR52)</f>
        <v/>
      </c>
      <c r="AD52" s="224">
        <f>IF('DM_NHAN_SU'!$B52="","",'DM_NHAN_SU'!N52+'DM_NHAN_SU'!O52+'DM_NHAN_SU'!P52)</f>
        <v/>
      </c>
      <c r="AE52" s="224">
        <f>IF('DM_NHAN_SU'!$B52="","",IF(OR('DM_NHAN_SU'!$R52&lt;&gt;"Có",'CHAM_CONG_THANG'!$AA52="Có",$BL52&gt;=14,$AD52&lt;=0),0,MIN(MAX($AD52,'THAM_SO'!$M$6),'THAM_SO'!$M$7)))</f>
        <v/>
      </c>
      <c r="AF52" s="224">
        <f>IF('DM_NHAN_SU'!$B52="","",IF(OR('DM_NHAN_SU'!$S52&lt;&gt;"Có",'CHAM_CONG_THANG'!$AA52="Có",$BL52&gt;=14,$AD52&lt;=0),0,MIN(MAX($AD52,VLOOKUP($H52,'THAM_SO'!$L$17:$P$20,4,FALSE)),VLOOKUP($H52,'THAM_SO'!$L$17:$P$20,5,FALSE))))</f>
        <v/>
      </c>
      <c r="AG52" s="224">
        <f>IF('DM_NHAN_SU'!$B52="","",$AE52*'THAM_SO'!$M$8)</f>
        <v/>
      </c>
      <c r="AH52" s="224">
        <f>IF('DM_NHAN_SU'!$B52="","",$AE52*'THAM_SO'!$M$9)</f>
        <v/>
      </c>
      <c r="AI52" s="224">
        <f>IF('DM_NHAN_SU'!$B52="","",$AF52*'THAM_SO'!$M$10)</f>
        <v/>
      </c>
      <c r="AJ52" s="224">
        <f>IF('DM_NHAN_SU'!$B52="","",SUM($AG52:$AI52))</f>
        <v/>
      </c>
      <c r="AK52" s="224">
        <f>IF('DM_NHAN_SU'!$B52="","",IF($B52="",0,'THAM_SO'!$F$4))</f>
        <v/>
      </c>
      <c r="AL52" s="224">
        <f>IF('DM_NHAN_SU'!$B52="","",IF($B52="",0,'DM_NHAN_SU'!$T52*'THAM_SO'!$F$5))</f>
        <v/>
      </c>
      <c r="AM52" s="224">
        <f>IF('DM_NHAN_SU'!$B52="","",'CHAM_CONG_THANG'!W52)</f>
        <v/>
      </c>
      <c r="AN52" s="224">
        <f>IF('DM_NHAN_SU'!$B52="","",MAX($AC52-$AK52-$AL52-$AM52,0))</f>
        <v/>
      </c>
      <c r="AO52" s="224">
        <f>IF('DM_NHAN_SU'!$B52="","",IF($B52="","",IF($F52="Net",IF($AC52&lt;=$AK52+$AL52+$AM52,$AC52+$AJ52,$AJ52+$AK52+$AL52+$AM52+IF($AN52&lt;='THAM_SO'!$J$10,($AN52-'THAM_SO'!$I$10)/(1-'THAM_SO'!$H$10),IF($AN52&lt;='THAM_SO'!$J$11,($AN52-'THAM_SO'!$I$11)/(1-'THAM_SO'!$H$11),IF($AN52&lt;='THAM_SO'!$J$12,($AN52-'THAM_SO'!$I$12)/(1-'THAM_SO'!$H$12),IF($AN52&lt;='THAM_SO'!$J$13,($AN52-'THAM_SO'!$I$13)/(1-'THAM_SO'!$H$13),($AN52-'THAM_SO'!$I$14)/(1-'THAM_SO'!$H$14)))))),$AC52)))</f>
        <v/>
      </c>
      <c r="AP52" s="224">
        <f>IF('DM_NHAN_SU'!$B52="","",$U52+$W52+$X52+$AA52+$BS52)</f>
        <v/>
      </c>
      <c r="AQ52" s="224">
        <f>IF('DM_NHAN_SU'!$B52="","",MAX($AO52-$AJ52-$AK52-$AL52-$AM52,0))</f>
        <v/>
      </c>
      <c r="AR52" s="224">
        <f>IF('DM_NHAN_SU'!$B52="","",IF($AQ52&lt;=0,0,$AQ52*VLOOKUP($AQ52,'THAM_SO'!$F$10:$I$14,3,TRUE)-VLOOKUP($AQ52,'THAM_SO'!$F$10:$I$14,4,TRUE)))</f>
        <v/>
      </c>
      <c r="AS52" s="224">
        <f>IF('DM_NHAN_SU'!$B52="","",$AO52+$AP52)</f>
        <v/>
      </c>
      <c r="AT52" s="224">
        <f>IF('DM_NHAN_SU'!$B52="","",$AS52-$AJ52-$AR52)</f>
        <v/>
      </c>
      <c r="AU52" s="224">
        <f>IF('DM_NHAN_SU'!$B52="","",'CHAM_CONG_THANG'!X52)</f>
        <v/>
      </c>
      <c r="AV52" s="224">
        <f>IF('DM_NHAN_SU'!$B52="","",'CHAM_CONG_THANG'!Y52+'QT_NGHI_VIEC'!AD52)</f>
        <v/>
      </c>
      <c r="AW52" s="224">
        <f>IF('DM_NHAN_SU'!$B52="","",'CHAM_CONG_THANG'!Z52)</f>
        <v/>
      </c>
      <c r="AX52" s="224">
        <f>IF('DM_NHAN_SU'!$B52="","",$AT52-$AU52-$AV52-$AW52-$BV52)</f>
        <v/>
      </c>
      <c r="AY52" s="224">
        <f>IF('DM_NHAN_SU'!$B52="","",$AE52*'THAM_SO'!$M$11)</f>
        <v/>
      </c>
      <c r="AZ52" s="224">
        <f>IF('DM_NHAN_SU'!$B52="","",$AE52*'THAM_SO'!$M$12)</f>
        <v/>
      </c>
      <c r="BA52" s="224">
        <f>IF('DM_NHAN_SU'!$B52="","",$AF52*'THAM_SO'!$M$13)</f>
        <v/>
      </c>
      <c r="BB52" s="224">
        <f>IF('DM_NHAN_SU'!$B52="","",$AE52*'THAM_SO'!$M$14)</f>
        <v/>
      </c>
      <c r="BC52" s="224">
        <f>IF('DM_NHAN_SU'!$B52="","",SUM($AY52:$BB52))</f>
        <v/>
      </c>
      <c r="BD52" s="224">
        <f>IF('DM_NHAN_SU'!$B52="","",$AS52+$BC52)</f>
        <v/>
      </c>
      <c r="BE52" s="224">
        <f>IF('DM_NHAN_SU'!$B52="","",VLOOKUP($H52,'THAM_SO'!$L$17:$P$20,2,FALSE))</f>
        <v/>
      </c>
      <c r="BF52" s="224">
        <f>IF('DM_NHAN_SU'!$B52="","",VLOOKUP($H52,'THAM_SO'!$L$17:$P$20,3,FALSE))</f>
        <v/>
      </c>
      <c r="BG52" s="150">
        <f>IF('DM_NHAN_SU'!$B52="","",IF($B52="","",IF(COUNTIF('DM_NHAN_SU'!$B$6:$B$155,$B52)&gt;1,"Trùng mã NV; ","")&amp;IF(OR($F52="",$G52=""),"Thiếu loại/hình thức lương; ","")&amp;IF('CHAM_CONG_THANG'!$D52="","Chưa chọn nguồn công; ","")&amp;IF(AND('CHAM_CONG_THANG'!$D52="Theo ngày",COUNTIF('CHAM_CONG_NGAY'!$B$6:$B$4655,$B52)=0),"Chưa có chấm công ngày; ","")&amp;IF(OR($I52&lt;=0,$J52&lt;=0),"Thiếu công/giờ chuẩn; ","")&amp;IF(AND($G52="Tháng",'DM_NHAN_SU'!$K52&lt;$BE52),"Lương tháng dưới tối thiểu vùng; ","")&amp;IF(AND($G52="Ngày",'DM_NHAN_SU'!$K52/$J52&lt;$BF52),"Lương ngày quy đổi dưới tối thiểu giờ; ","")&amp;IF(AND($G52="Giờ",'DM_NHAN_SU'!$K52&lt;$BF52),"Lương giờ dưới tối thiểu vùng; ","")&amp;IF(AND($G52="Sản phẩm",$L52&gt;0,$O52/$L52&lt;$BF52),"Lương SP quy đổi dưới tối thiểu giờ; ","")&amp;IF(OR('THAM_SO'!$C$19&lt;'THAM_SO'!$B$19,'THAM_SO'!$C$20&lt;'THAM_SO'!$B$20,'THAM_SO'!$C$21&lt;'THAM_SO'!$B$21,'THAM_SO'!$C$22&lt;'THAM_SO'!$B$22,'THAM_SO'!$C$23&lt;'THAM_SO'!$B$23,'THAM_SO'!$C$24&lt;'THAM_SO'!$B$24,'THAM_SO'!$C$25&lt;'THAM_SO'!$B$25),"Hệ số OT/đêm DN thấp hơn luật; ","")&amp;IF(AND('DM_NHAN_SU'!$R52="Có",$AD52&lt;=0),"Thiếu căn cứ đóng BH; ","")&amp;IF(AND($AD52&gt;0,$AD52&lt;'THAM_SO'!$M$6),"Căn cứ BH dưới sàn – đã nâng sàn; ","")&amp;IF($AD52&gt;'THAM_SO'!$M$7,"Căn cứ BH vượt trần – đã giới hạn; ","")&amp;IF(AND($F52="Net",SUM('CHAM_CONG_THANG'!$AF52:$AK52)&gt;0,'DM_NHAN_SU'!$Q52&lt;=0),"Net có OT nhưng chưa khai lương giờ OT; ","")&amp;IF('CHAM_CONG_THANG'!$V52&gt;$Z52,"Phần OT không miễn lớn hơn tiền OT; ","")&amp;IF(AND($F52="Net",ABS($AT52-$AC52-$AP52)&gt;1),"Lệch quy đổi Net; ","")&amp;IF(AND($BH52&gt;0,'DM_NHAN_SU'!$AD52=""),"Có phép năm nhưng đang tạm dùng 12 ngày; ","")&amp;IF(AND($G52="Sản phẩm",SUM($BH52:$BJ52)&gt;0,'DM_NHAN_SU'!$AH52&lt;=0),"Lương sản phẩm thiếu đơn giá ngày phép/lễ; ","")&amp;IF(AND($BL52&gt;=14,'CHAM_CONG_THANG'!$AA52&lt;&gt;"Có"),"Thai sản từ 14 ngày: file tự dừng đóng BH – kiểm tra hồ sơ; ","")&amp;IF(AND('DM_NHAN_SU'!$AA52="Có",'DM_NHAN_SU'!$AB52=""),"Đoàn viên chưa chọn cách tính đoàn phí; ","")&amp;IF(AND('DM_NHAN_SU'!$AB52="Nhập tay",'DM_NHAN_SU'!$AC52&gt;'THAM_SO'!$M$26),"Đoàn phí nhập tay vượt trần thông dụng; ","")&amp;IF('NGHI_PHEP'!$L52&lt;&gt;"","Phép: "&amp;'NGHI_PHEP'!$L52,"")&amp;IF('CHE_DO_BHXH'!$AA52&lt;&gt;"","BHXH: "&amp;'CHE_DO_BHXH'!$AA52,"")&amp;IF('THUONG_T13_TET'!$O52&lt;&gt;"","Thưởng: "&amp;'THUONG_T13_TET'!$O52,"")&amp;IF('QT_NGHI_VIEC'!$AF52&lt;&gt;"","Nghỉ việc: "&amp;'QT_NGHI_VIEC'!$AF52,"")&amp;IF($AX52&lt;0,"Thực lĩnh âm; ","")&amp;IF(OR('DM_NHAN_SU'!$F52&gt;'THAM_SO'!$B$7,AND('DM_NHAN_SU'!$G52&lt;&gt;"",'DM_NHAN_SU'!$G52&lt;'THAM_SO'!$B$6)),"Ngoài kỳ trả lương; ","")))</f>
        <v/>
      </c>
      <c r="BH52" s="232">
        <f>IF('DM_NHAN_SU'!$B52="","",'CHAM_CONG_THANG'!AR52)</f>
        <v/>
      </c>
      <c r="BI52" s="232">
        <f>IF('DM_NHAN_SU'!$B52="","",'CHAM_CONG_THANG'!AS52)</f>
        <v/>
      </c>
      <c r="BJ52" s="232">
        <f>IF('DM_NHAN_SU'!$B52="","",'CHAM_CONG_THANG'!AT52)</f>
        <v/>
      </c>
      <c r="BK52" s="232">
        <f>IF('DM_NHAN_SU'!$B52="","",'CHAM_CONG_THANG'!AU52)</f>
        <v/>
      </c>
      <c r="BL52" s="232">
        <f>IF('DM_NHAN_SU'!$B52="","",'CHAM_CONG_THANG'!AV52)</f>
        <v/>
      </c>
      <c r="BM52" s="232">
        <f>IF('DM_NHAN_SU'!$B52="","",'CHAM_CONG_THANG'!AW52)</f>
        <v/>
      </c>
      <c r="BN52" s="232">
        <f>IF('DM_NHAN_SU'!$B52="","",SUM($K52,$BH52:$BJ52))</f>
        <v/>
      </c>
      <c r="BO52" s="224">
        <f>IF('DM_NHAN_SU'!$B52="","",IF($B52="",0,IF($G52="Tháng",IF($I52&gt;0,'DM_NHAN_SU'!$K52*MIN($BH52+$BJ52,MAX($I52-$K52,0))/$I52,0),IF($G52="Ngày",'DM_NHAN_SU'!$K52*SUM($BH52:$BJ52),IF($G52="Giờ",'DM_NHAN_SU'!$K52*SUM($BH52:$BJ52)*$J52,IF($G52="Sản phẩm",'DM_NHAN_SU'!$AH52*SUM($BH52:$BJ52),0))))))</f>
        <v/>
      </c>
      <c r="BP52" s="224">
        <f>IF('DM_NHAN_SU'!$B52="","",IF('THUONG_T13_TET'!$L52="Có",'THUONG_T13_TET'!$I52,0))</f>
        <v/>
      </c>
      <c r="BQ52" s="224">
        <f>IF('DM_NHAN_SU'!$B52="","",IF('THUONG_T13_TET'!$L52="Có",SUM('THUONG_T13_TET'!$J52:$K52),0))</f>
        <v/>
      </c>
      <c r="BR52" s="224">
        <f>IF('DM_NHAN_SU'!$B52="","",'QT_NGHI_VIEC'!AC52)</f>
        <v/>
      </c>
      <c r="BS52" s="224">
        <f>IF('DM_NHAN_SU'!$B52="","",'QT_NGHI_VIEC'!AB52)</f>
        <v/>
      </c>
      <c r="BT52" s="224">
        <f>IF('DM_NHAN_SU'!$B52="","",IF('CHE_DO_BHXH'!$Z52="Có",'CHE_DO_BHXH'!$W52,0))</f>
        <v/>
      </c>
      <c r="BU52" s="224">
        <f>IF('DM_NHAN_SU'!$B52="","",IF('CHE_DO_BHXH'!$Y52="DN trả thay",$BT52,0))</f>
        <v/>
      </c>
      <c r="BV52" s="224">
        <f>IF('DM_NHAN_SU'!$B52="","",IF(OR('DM_NHAN_SU'!$AA52&lt;&gt;"Có",'CHE_DO_BHXH'!$O52&gt;=1,SUM('CHE_DO_BHXH'!$D52,'CHE_DO_BHXH'!$G52,'CHE_DO_BHXH'!$K52)&gt;=24,AND($I52&gt;0,$BM52&gt;=$I52)),0,IF('DM_NHAN_SU'!$AB52="Không",0,IF('DM_NHAN_SU'!$AB52="Nhập tay",'DM_NHAN_SU'!$AC52,IF('DM_NHAN_SU'!$AB52="Theo thực nhận",MIN(MAX($AT52-$AU52-$AV52-$AW52,0)*'THAM_SO'!$M$23,'THAM_SO'!$M$26),MIN($AE52*'THAM_SO'!$M$23,'THAM_SO'!$M$26))))))</f>
        <v/>
      </c>
      <c r="BW52" s="224">
        <f>IF('DM_NHAN_SU'!$B52="","",$AX52+$BU52)</f>
        <v/>
      </c>
    </row>
    <row r="53">
      <c r="A53" s="145">
        <f>IF('DM_NHAN_SU'!$B53="","",IF($B53="","",ROW()-5))</f>
        <v/>
      </c>
      <c r="B53" s="145">
        <f>IF('DM_NHAN_SU'!$B53="","",'DM_NHAN_SU'!B53)</f>
        <v/>
      </c>
      <c r="C53" s="145">
        <f>IF('DM_NHAN_SU'!$B53="","",'DM_NHAN_SU'!C53)</f>
        <v/>
      </c>
      <c r="D53" s="145">
        <f>IF('DM_NHAN_SU'!$B53="","",'DM_NHAN_SU'!D53)</f>
        <v/>
      </c>
      <c r="E53" s="145">
        <f>IF('DM_NHAN_SU'!$B53="","",'DM_NHAN_SU'!E53)</f>
        <v/>
      </c>
      <c r="F53" s="145">
        <f>IF('DM_NHAN_SU'!$B53="","",'DM_NHAN_SU'!I53)</f>
        <v/>
      </c>
      <c r="G53" s="145">
        <f>IF('DM_NHAN_SU'!$B53="","",'DM_NHAN_SU'!J53)</f>
        <v/>
      </c>
      <c r="H53" s="145">
        <f>IF('DM_NHAN_SU'!$B53="","",IF('DM_NHAN_SU'!H53="",'THAM_SO'!$B$11,'DM_NHAN_SU'!H53))</f>
        <v/>
      </c>
      <c r="I53" s="232">
        <f>IF('DM_NHAN_SU'!$B53="","",IF('DM_NHAN_SU'!L53&gt;0,'DM_NHAN_SU'!L53,'THAM_SO'!$B$9))</f>
        <v/>
      </c>
      <c r="J53" s="232">
        <f>IF('DM_NHAN_SU'!$B53="","",IF('DM_NHAN_SU'!M53&gt;0,'DM_NHAN_SU'!M53,'THAM_SO'!$B$10))</f>
        <v/>
      </c>
      <c r="K53" s="232">
        <f>IF('DM_NHAN_SU'!$B53="","",'CHAM_CONG_THANG'!AC53)</f>
        <v/>
      </c>
      <c r="L53" s="232">
        <f>IF('DM_NHAN_SU'!$B53="","",'CHAM_CONG_THANG'!AD53)</f>
        <v/>
      </c>
      <c r="M53" s="232">
        <f>IF('DM_NHAN_SU'!$B53="","",'CHAM_CONG_THANG'!AE53)</f>
        <v/>
      </c>
      <c r="N53" s="232">
        <f>IF('DM_NHAN_SU'!$B53="","",'CHAM_CONG_THANG'!N53)</f>
        <v/>
      </c>
      <c r="O53" s="224">
        <f>IF('DM_NHAN_SU'!$B53="","",IF($B53="","",IF($G53="Tháng",IF($I53&gt;0,'DM_NHAN_SU'!$K53*MIN($K53,$I53)/$I53,0),IF($G53="Ngày",'DM_NHAN_SU'!$K53*$K53,IF($G53="Giờ",'DM_NHAN_SU'!$K53*$L53,IF($G53="Sản phẩm",'DM_NHAN_SU'!$K53*$N53,0))))))</f>
        <v/>
      </c>
      <c r="P53" s="224">
        <f>IF('DM_NHAN_SU'!$B53="","",'CHAM_CONG_THANG'!O53)</f>
        <v/>
      </c>
      <c r="Q53" s="224">
        <f>IF('DM_NHAN_SU'!$B53="","",'CHAM_CONG_THANG'!P53)</f>
        <v/>
      </c>
      <c r="R53" s="224">
        <f>IF('DM_NHAN_SU'!$B53="","",'CHAM_CONG_THANG'!Q53)</f>
        <v/>
      </c>
      <c r="S53" s="224">
        <f>IF('DM_NHAN_SU'!$B53="","",'CHAM_CONG_THANG'!R53)</f>
        <v/>
      </c>
      <c r="T53" s="224">
        <f>IF('DM_NHAN_SU'!$B53="","",'CHAM_CONG_THANG'!S53)</f>
        <v/>
      </c>
      <c r="U53" s="224">
        <f>IF('DM_NHAN_SU'!$B53="","",MIN($T53,'THAM_SO'!$F$6))</f>
        <v/>
      </c>
      <c r="V53" s="224">
        <f>IF('DM_NHAN_SU'!$B53="","",MAX($T53-$U53,0))</f>
        <v/>
      </c>
      <c r="W53" s="224">
        <f>IF('DM_NHAN_SU'!$B53="","",'CHAM_CONG_THANG'!T53)</f>
        <v/>
      </c>
      <c r="X53" s="224">
        <f>IF('DM_NHAN_SU'!$B53="","",'CHAM_CONG_THANG'!U53)</f>
        <v/>
      </c>
      <c r="Y53" s="224">
        <f>IF('DM_NHAN_SU'!$B53="","",IF($B53="",0,IF('DM_NHAN_SU'!$Q53&gt;0,'DM_NHAN_SU'!$Q53,IF($G53="Tháng",IF($I53*$J53&gt;0,'DM_NHAN_SU'!$K53/($I53*$J53),0),IF($G53="Ngày",IF($J53&gt;0,'DM_NHAN_SU'!$K53/$J53,0),IF($G53="Giờ",'DM_NHAN_SU'!$K53,0))))))</f>
        <v/>
      </c>
      <c r="Z53" s="224">
        <f>IF('DM_NHAN_SU'!$B53="","",$Y53*($M53*'THAM_SO'!$C$22+'CHAM_CONG_THANG'!$AF53*'THAM_SO'!$C$19+'CHAM_CONG_THANG'!$AG53*'THAM_SO'!$C$20+'CHAM_CONG_THANG'!$AH53*'THAM_SO'!$C$21+'CHAM_CONG_THANG'!$AI53*'THAM_SO'!$C$23+'CHAM_CONG_THANG'!$AJ53*'THAM_SO'!$C$24+'CHAM_CONG_THANG'!$AK53*'THAM_SO'!$C$25))</f>
        <v/>
      </c>
      <c r="AA53" s="224">
        <f>IF('DM_NHAN_SU'!$B53="","",MAX(0,$Y53*($M53*IF('THAM_SO'!$C$22&gt;='THAM_SO'!$B$22,'THAM_SO'!$B$22,0)+'CHAM_CONG_THANG'!$AF53*IF('THAM_SO'!$C$19&gt;='THAM_SO'!$B$19,'THAM_SO'!$B$19,0)+'CHAM_CONG_THANG'!$AG53*IF('THAM_SO'!$C$20&gt;='THAM_SO'!$B$20,'THAM_SO'!$B$20,0)+'CHAM_CONG_THANG'!$AH53*IF('THAM_SO'!$C$21&gt;='THAM_SO'!$B$21,'THAM_SO'!$B$21,0)+'CHAM_CONG_THANG'!$AI53*IF('THAM_SO'!$C$23&gt;='THAM_SO'!$B$23,'THAM_SO'!$B$23,0)+'CHAM_CONG_THANG'!$AJ53*IF('THAM_SO'!$C$24&gt;='THAM_SO'!$B$24,'THAM_SO'!$B$24,0)+'CHAM_CONG_THANG'!$AK53*IF('THAM_SO'!$C$25&gt;='THAM_SO'!$B$25,'THAM_SO'!$B$25,0))-'CHAM_CONG_THANG'!$V53))</f>
        <v/>
      </c>
      <c r="AB53" s="224">
        <f>IF('DM_NHAN_SU'!$B53="","",MAX($Z53-$AA53,0))</f>
        <v/>
      </c>
      <c r="AC53" s="224">
        <f>IF('DM_NHAN_SU'!$B53="","",$O53+$P53+$Q53+$R53+$S53+$V53+$AB53+$BO53+$BP53+$BQ53+$BR53)</f>
        <v/>
      </c>
      <c r="AD53" s="224">
        <f>IF('DM_NHAN_SU'!$B53="","",'DM_NHAN_SU'!N53+'DM_NHAN_SU'!O53+'DM_NHAN_SU'!P53)</f>
        <v/>
      </c>
      <c r="AE53" s="224">
        <f>IF('DM_NHAN_SU'!$B53="","",IF(OR('DM_NHAN_SU'!$R53&lt;&gt;"Có",'CHAM_CONG_THANG'!$AA53="Có",$BL53&gt;=14,$AD53&lt;=0),0,MIN(MAX($AD53,'THAM_SO'!$M$6),'THAM_SO'!$M$7)))</f>
        <v/>
      </c>
      <c r="AF53" s="224">
        <f>IF('DM_NHAN_SU'!$B53="","",IF(OR('DM_NHAN_SU'!$S53&lt;&gt;"Có",'CHAM_CONG_THANG'!$AA53="Có",$BL53&gt;=14,$AD53&lt;=0),0,MIN(MAX($AD53,VLOOKUP($H53,'THAM_SO'!$L$17:$P$20,4,FALSE)),VLOOKUP($H53,'THAM_SO'!$L$17:$P$20,5,FALSE))))</f>
        <v/>
      </c>
      <c r="AG53" s="224">
        <f>IF('DM_NHAN_SU'!$B53="","",$AE53*'THAM_SO'!$M$8)</f>
        <v/>
      </c>
      <c r="AH53" s="224">
        <f>IF('DM_NHAN_SU'!$B53="","",$AE53*'THAM_SO'!$M$9)</f>
        <v/>
      </c>
      <c r="AI53" s="224">
        <f>IF('DM_NHAN_SU'!$B53="","",$AF53*'THAM_SO'!$M$10)</f>
        <v/>
      </c>
      <c r="AJ53" s="224">
        <f>IF('DM_NHAN_SU'!$B53="","",SUM($AG53:$AI53))</f>
        <v/>
      </c>
      <c r="AK53" s="224">
        <f>IF('DM_NHAN_SU'!$B53="","",IF($B53="",0,'THAM_SO'!$F$4))</f>
        <v/>
      </c>
      <c r="AL53" s="224">
        <f>IF('DM_NHAN_SU'!$B53="","",IF($B53="",0,'DM_NHAN_SU'!$T53*'THAM_SO'!$F$5))</f>
        <v/>
      </c>
      <c r="AM53" s="224">
        <f>IF('DM_NHAN_SU'!$B53="","",'CHAM_CONG_THANG'!W53)</f>
        <v/>
      </c>
      <c r="AN53" s="224">
        <f>IF('DM_NHAN_SU'!$B53="","",MAX($AC53-$AK53-$AL53-$AM53,0))</f>
        <v/>
      </c>
      <c r="AO53" s="224">
        <f>IF('DM_NHAN_SU'!$B53="","",IF($B53="","",IF($F53="Net",IF($AC53&lt;=$AK53+$AL53+$AM53,$AC53+$AJ53,$AJ53+$AK53+$AL53+$AM53+IF($AN53&lt;='THAM_SO'!$J$10,($AN53-'THAM_SO'!$I$10)/(1-'THAM_SO'!$H$10),IF($AN53&lt;='THAM_SO'!$J$11,($AN53-'THAM_SO'!$I$11)/(1-'THAM_SO'!$H$11),IF($AN53&lt;='THAM_SO'!$J$12,($AN53-'THAM_SO'!$I$12)/(1-'THAM_SO'!$H$12),IF($AN53&lt;='THAM_SO'!$J$13,($AN53-'THAM_SO'!$I$13)/(1-'THAM_SO'!$H$13),($AN53-'THAM_SO'!$I$14)/(1-'THAM_SO'!$H$14)))))),$AC53)))</f>
        <v/>
      </c>
      <c r="AP53" s="224">
        <f>IF('DM_NHAN_SU'!$B53="","",$U53+$W53+$X53+$AA53+$BS53)</f>
        <v/>
      </c>
      <c r="AQ53" s="224">
        <f>IF('DM_NHAN_SU'!$B53="","",MAX($AO53-$AJ53-$AK53-$AL53-$AM53,0))</f>
        <v/>
      </c>
      <c r="AR53" s="224">
        <f>IF('DM_NHAN_SU'!$B53="","",IF($AQ53&lt;=0,0,$AQ53*VLOOKUP($AQ53,'THAM_SO'!$F$10:$I$14,3,TRUE)-VLOOKUP($AQ53,'THAM_SO'!$F$10:$I$14,4,TRUE)))</f>
        <v/>
      </c>
      <c r="AS53" s="224">
        <f>IF('DM_NHAN_SU'!$B53="","",$AO53+$AP53)</f>
        <v/>
      </c>
      <c r="AT53" s="224">
        <f>IF('DM_NHAN_SU'!$B53="","",$AS53-$AJ53-$AR53)</f>
        <v/>
      </c>
      <c r="AU53" s="224">
        <f>IF('DM_NHAN_SU'!$B53="","",'CHAM_CONG_THANG'!X53)</f>
        <v/>
      </c>
      <c r="AV53" s="224">
        <f>IF('DM_NHAN_SU'!$B53="","",'CHAM_CONG_THANG'!Y53+'QT_NGHI_VIEC'!AD53)</f>
        <v/>
      </c>
      <c r="AW53" s="224">
        <f>IF('DM_NHAN_SU'!$B53="","",'CHAM_CONG_THANG'!Z53)</f>
        <v/>
      </c>
      <c r="AX53" s="224">
        <f>IF('DM_NHAN_SU'!$B53="","",$AT53-$AU53-$AV53-$AW53-$BV53)</f>
        <v/>
      </c>
      <c r="AY53" s="224">
        <f>IF('DM_NHAN_SU'!$B53="","",$AE53*'THAM_SO'!$M$11)</f>
        <v/>
      </c>
      <c r="AZ53" s="224">
        <f>IF('DM_NHAN_SU'!$B53="","",$AE53*'THAM_SO'!$M$12)</f>
        <v/>
      </c>
      <c r="BA53" s="224">
        <f>IF('DM_NHAN_SU'!$B53="","",$AF53*'THAM_SO'!$M$13)</f>
        <v/>
      </c>
      <c r="BB53" s="224">
        <f>IF('DM_NHAN_SU'!$B53="","",$AE53*'THAM_SO'!$M$14)</f>
        <v/>
      </c>
      <c r="BC53" s="224">
        <f>IF('DM_NHAN_SU'!$B53="","",SUM($AY53:$BB53))</f>
        <v/>
      </c>
      <c r="BD53" s="224">
        <f>IF('DM_NHAN_SU'!$B53="","",$AS53+$BC53)</f>
        <v/>
      </c>
      <c r="BE53" s="224">
        <f>IF('DM_NHAN_SU'!$B53="","",VLOOKUP($H53,'THAM_SO'!$L$17:$P$20,2,FALSE))</f>
        <v/>
      </c>
      <c r="BF53" s="224">
        <f>IF('DM_NHAN_SU'!$B53="","",VLOOKUP($H53,'THAM_SO'!$L$17:$P$20,3,FALSE))</f>
        <v/>
      </c>
      <c r="BG53" s="150">
        <f>IF('DM_NHAN_SU'!$B53="","",IF($B53="","",IF(COUNTIF('DM_NHAN_SU'!$B$6:$B$155,$B53)&gt;1,"Trùng mã NV; ","")&amp;IF(OR($F53="",$G53=""),"Thiếu loại/hình thức lương; ","")&amp;IF('CHAM_CONG_THANG'!$D53="","Chưa chọn nguồn công; ","")&amp;IF(AND('CHAM_CONG_THANG'!$D53="Theo ngày",COUNTIF('CHAM_CONG_NGAY'!$B$6:$B$4655,$B53)=0),"Chưa có chấm công ngày; ","")&amp;IF(OR($I53&lt;=0,$J53&lt;=0),"Thiếu công/giờ chuẩn; ","")&amp;IF(AND($G53="Tháng",'DM_NHAN_SU'!$K53&lt;$BE53),"Lương tháng dưới tối thiểu vùng; ","")&amp;IF(AND($G53="Ngày",'DM_NHAN_SU'!$K53/$J53&lt;$BF53),"Lương ngày quy đổi dưới tối thiểu giờ; ","")&amp;IF(AND($G53="Giờ",'DM_NHAN_SU'!$K53&lt;$BF53),"Lương giờ dưới tối thiểu vùng; ","")&amp;IF(AND($G53="Sản phẩm",$L53&gt;0,$O53/$L53&lt;$BF53),"Lương SP quy đổi dưới tối thiểu giờ; ","")&amp;IF(OR('THAM_SO'!$C$19&lt;'THAM_SO'!$B$19,'THAM_SO'!$C$20&lt;'THAM_SO'!$B$20,'THAM_SO'!$C$21&lt;'THAM_SO'!$B$21,'THAM_SO'!$C$22&lt;'THAM_SO'!$B$22,'THAM_SO'!$C$23&lt;'THAM_SO'!$B$23,'THAM_SO'!$C$24&lt;'THAM_SO'!$B$24,'THAM_SO'!$C$25&lt;'THAM_SO'!$B$25),"Hệ số OT/đêm DN thấp hơn luật; ","")&amp;IF(AND('DM_NHAN_SU'!$R53="Có",$AD53&lt;=0),"Thiếu căn cứ đóng BH; ","")&amp;IF(AND($AD53&gt;0,$AD53&lt;'THAM_SO'!$M$6),"Căn cứ BH dưới sàn – đã nâng sàn; ","")&amp;IF($AD53&gt;'THAM_SO'!$M$7,"Căn cứ BH vượt trần – đã giới hạn; ","")&amp;IF(AND($F53="Net",SUM('CHAM_CONG_THANG'!$AF53:$AK53)&gt;0,'DM_NHAN_SU'!$Q53&lt;=0),"Net có OT nhưng chưa khai lương giờ OT; ","")&amp;IF('CHAM_CONG_THANG'!$V53&gt;$Z53,"Phần OT không miễn lớn hơn tiền OT; ","")&amp;IF(AND($F53="Net",ABS($AT53-$AC53-$AP53)&gt;1),"Lệch quy đổi Net; ","")&amp;IF(AND($BH53&gt;0,'DM_NHAN_SU'!$AD53=""),"Có phép năm nhưng đang tạm dùng 12 ngày; ","")&amp;IF(AND($G53="Sản phẩm",SUM($BH53:$BJ53)&gt;0,'DM_NHAN_SU'!$AH53&lt;=0),"Lương sản phẩm thiếu đơn giá ngày phép/lễ; ","")&amp;IF(AND($BL53&gt;=14,'CHAM_CONG_THANG'!$AA53&lt;&gt;"Có"),"Thai sản từ 14 ngày: file tự dừng đóng BH – kiểm tra hồ sơ; ","")&amp;IF(AND('DM_NHAN_SU'!$AA53="Có",'DM_NHAN_SU'!$AB53=""),"Đoàn viên chưa chọn cách tính đoàn phí; ","")&amp;IF(AND('DM_NHAN_SU'!$AB53="Nhập tay",'DM_NHAN_SU'!$AC53&gt;'THAM_SO'!$M$26),"Đoàn phí nhập tay vượt trần thông dụng; ","")&amp;IF('NGHI_PHEP'!$L53&lt;&gt;"","Phép: "&amp;'NGHI_PHEP'!$L53,"")&amp;IF('CHE_DO_BHXH'!$AA53&lt;&gt;"","BHXH: "&amp;'CHE_DO_BHXH'!$AA53,"")&amp;IF('THUONG_T13_TET'!$O53&lt;&gt;"","Thưởng: "&amp;'THUONG_T13_TET'!$O53,"")&amp;IF('QT_NGHI_VIEC'!$AF53&lt;&gt;"","Nghỉ việc: "&amp;'QT_NGHI_VIEC'!$AF53,"")&amp;IF($AX53&lt;0,"Thực lĩnh âm; ","")&amp;IF(OR('DM_NHAN_SU'!$F53&gt;'THAM_SO'!$B$7,AND('DM_NHAN_SU'!$G53&lt;&gt;"",'DM_NHAN_SU'!$G53&lt;'THAM_SO'!$B$6)),"Ngoài kỳ trả lương; ","")))</f>
        <v/>
      </c>
      <c r="BH53" s="232">
        <f>IF('DM_NHAN_SU'!$B53="","",'CHAM_CONG_THANG'!AR53)</f>
        <v/>
      </c>
      <c r="BI53" s="232">
        <f>IF('DM_NHAN_SU'!$B53="","",'CHAM_CONG_THANG'!AS53)</f>
        <v/>
      </c>
      <c r="BJ53" s="232">
        <f>IF('DM_NHAN_SU'!$B53="","",'CHAM_CONG_THANG'!AT53)</f>
        <v/>
      </c>
      <c r="BK53" s="232">
        <f>IF('DM_NHAN_SU'!$B53="","",'CHAM_CONG_THANG'!AU53)</f>
        <v/>
      </c>
      <c r="BL53" s="232">
        <f>IF('DM_NHAN_SU'!$B53="","",'CHAM_CONG_THANG'!AV53)</f>
        <v/>
      </c>
      <c r="BM53" s="232">
        <f>IF('DM_NHAN_SU'!$B53="","",'CHAM_CONG_THANG'!AW53)</f>
        <v/>
      </c>
      <c r="BN53" s="232">
        <f>IF('DM_NHAN_SU'!$B53="","",SUM($K53,$BH53:$BJ53))</f>
        <v/>
      </c>
      <c r="BO53" s="224">
        <f>IF('DM_NHAN_SU'!$B53="","",IF($B53="",0,IF($G53="Tháng",IF($I53&gt;0,'DM_NHAN_SU'!$K53*MIN($BH53+$BJ53,MAX($I53-$K53,0))/$I53,0),IF($G53="Ngày",'DM_NHAN_SU'!$K53*SUM($BH53:$BJ53),IF($G53="Giờ",'DM_NHAN_SU'!$K53*SUM($BH53:$BJ53)*$J53,IF($G53="Sản phẩm",'DM_NHAN_SU'!$AH53*SUM($BH53:$BJ53),0))))))</f>
        <v/>
      </c>
      <c r="BP53" s="224">
        <f>IF('DM_NHAN_SU'!$B53="","",IF('THUONG_T13_TET'!$L53="Có",'THUONG_T13_TET'!$I53,0))</f>
        <v/>
      </c>
      <c r="BQ53" s="224">
        <f>IF('DM_NHAN_SU'!$B53="","",IF('THUONG_T13_TET'!$L53="Có",SUM('THUONG_T13_TET'!$J53:$K53),0))</f>
        <v/>
      </c>
      <c r="BR53" s="224">
        <f>IF('DM_NHAN_SU'!$B53="","",'QT_NGHI_VIEC'!AC53)</f>
        <v/>
      </c>
      <c r="BS53" s="224">
        <f>IF('DM_NHAN_SU'!$B53="","",'QT_NGHI_VIEC'!AB53)</f>
        <v/>
      </c>
      <c r="BT53" s="224">
        <f>IF('DM_NHAN_SU'!$B53="","",IF('CHE_DO_BHXH'!$Z53="Có",'CHE_DO_BHXH'!$W53,0))</f>
        <v/>
      </c>
      <c r="BU53" s="224">
        <f>IF('DM_NHAN_SU'!$B53="","",IF('CHE_DO_BHXH'!$Y53="DN trả thay",$BT53,0))</f>
        <v/>
      </c>
      <c r="BV53" s="224">
        <f>IF('DM_NHAN_SU'!$B53="","",IF(OR('DM_NHAN_SU'!$AA53&lt;&gt;"Có",'CHE_DO_BHXH'!$O53&gt;=1,SUM('CHE_DO_BHXH'!$D53,'CHE_DO_BHXH'!$G53,'CHE_DO_BHXH'!$K53)&gt;=24,AND($I53&gt;0,$BM53&gt;=$I53)),0,IF('DM_NHAN_SU'!$AB53="Không",0,IF('DM_NHAN_SU'!$AB53="Nhập tay",'DM_NHAN_SU'!$AC53,IF('DM_NHAN_SU'!$AB53="Theo thực nhận",MIN(MAX($AT53-$AU53-$AV53-$AW53,0)*'THAM_SO'!$M$23,'THAM_SO'!$M$26),MIN($AE53*'THAM_SO'!$M$23,'THAM_SO'!$M$26))))))</f>
        <v/>
      </c>
      <c r="BW53" s="224">
        <f>IF('DM_NHAN_SU'!$B53="","",$AX53+$BU53)</f>
        <v/>
      </c>
    </row>
    <row r="54">
      <c r="A54" s="145">
        <f>IF('DM_NHAN_SU'!$B54="","",IF($B54="","",ROW()-5))</f>
        <v/>
      </c>
      <c r="B54" s="145">
        <f>IF('DM_NHAN_SU'!$B54="","",'DM_NHAN_SU'!B54)</f>
        <v/>
      </c>
      <c r="C54" s="145">
        <f>IF('DM_NHAN_SU'!$B54="","",'DM_NHAN_SU'!C54)</f>
        <v/>
      </c>
      <c r="D54" s="145">
        <f>IF('DM_NHAN_SU'!$B54="","",'DM_NHAN_SU'!D54)</f>
        <v/>
      </c>
      <c r="E54" s="145">
        <f>IF('DM_NHAN_SU'!$B54="","",'DM_NHAN_SU'!E54)</f>
        <v/>
      </c>
      <c r="F54" s="145">
        <f>IF('DM_NHAN_SU'!$B54="","",'DM_NHAN_SU'!I54)</f>
        <v/>
      </c>
      <c r="G54" s="145">
        <f>IF('DM_NHAN_SU'!$B54="","",'DM_NHAN_SU'!J54)</f>
        <v/>
      </c>
      <c r="H54" s="145">
        <f>IF('DM_NHAN_SU'!$B54="","",IF('DM_NHAN_SU'!H54="",'THAM_SO'!$B$11,'DM_NHAN_SU'!H54))</f>
        <v/>
      </c>
      <c r="I54" s="232">
        <f>IF('DM_NHAN_SU'!$B54="","",IF('DM_NHAN_SU'!L54&gt;0,'DM_NHAN_SU'!L54,'THAM_SO'!$B$9))</f>
        <v/>
      </c>
      <c r="J54" s="232">
        <f>IF('DM_NHAN_SU'!$B54="","",IF('DM_NHAN_SU'!M54&gt;0,'DM_NHAN_SU'!M54,'THAM_SO'!$B$10))</f>
        <v/>
      </c>
      <c r="K54" s="232">
        <f>IF('DM_NHAN_SU'!$B54="","",'CHAM_CONG_THANG'!AC54)</f>
        <v/>
      </c>
      <c r="L54" s="232">
        <f>IF('DM_NHAN_SU'!$B54="","",'CHAM_CONG_THANG'!AD54)</f>
        <v/>
      </c>
      <c r="M54" s="232">
        <f>IF('DM_NHAN_SU'!$B54="","",'CHAM_CONG_THANG'!AE54)</f>
        <v/>
      </c>
      <c r="N54" s="232">
        <f>IF('DM_NHAN_SU'!$B54="","",'CHAM_CONG_THANG'!N54)</f>
        <v/>
      </c>
      <c r="O54" s="224">
        <f>IF('DM_NHAN_SU'!$B54="","",IF($B54="","",IF($G54="Tháng",IF($I54&gt;0,'DM_NHAN_SU'!$K54*MIN($K54,$I54)/$I54,0),IF($G54="Ngày",'DM_NHAN_SU'!$K54*$K54,IF($G54="Giờ",'DM_NHAN_SU'!$K54*$L54,IF($G54="Sản phẩm",'DM_NHAN_SU'!$K54*$N54,0))))))</f>
        <v/>
      </c>
      <c r="P54" s="224">
        <f>IF('DM_NHAN_SU'!$B54="","",'CHAM_CONG_THANG'!O54)</f>
        <v/>
      </c>
      <c r="Q54" s="224">
        <f>IF('DM_NHAN_SU'!$B54="","",'CHAM_CONG_THANG'!P54)</f>
        <v/>
      </c>
      <c r="R54" s="224">
        <f>IF('DM_NHAN_SU'!$B54="","",'CHAM_CONG_THANG'!Q54)</f>
        <v/>
      </c>
      <c r="S54" s="224">
        <f>IF('DM_NHAN_SU'!$B54="","",'CHAM_CONG_THANG'!R54)</f>
        <v/>
      </c>
      <c r="T54" s="224">
        <f>IF('DM_NHAN_SU'!$B54="","",'CHAM_CONG_THANG'!S54)</f>
        <v/>
      </c>
      <c r="U54" s="224">
        <f>IF('DM_NHAN_SU'!$B54="","",MIN($T54,'THAM_SO'!$F$6))</f>
        <v/>
      </c>
      <c r="V54" s="224">
        <f>IF('DM_NHAN_SU'!$B54="","",MAX($T54-$U54,0))</f>
        <v/>
      </c>
      <c r="W54" s="224">
        <f>IF('DM_NHAN_SU'!$B54="","",'CHAM_CONG_THANG'!T54)</f>
        <v/>
      </c>
      <c r="X54" s="224">
        <f>IF('DM_NHAN_SU'!$B54="","",'CHAM_CONG_THANG'!U54)</f>
        <v/>
      </c>
      <c r="Y54" s="224">
        <f>IF('DM_NHAN_SU'!$B54="","",IF($B54="",0,IF('DM_NHAN_SU'!$Q54&gt;0,'DM_NHAN_SU'!$Q54,IF($G54="Tháng",IF($I54*$J54&gt;0,'DM_NHAN_SU'!$K54/($I54*$J54),0),IF($G54="Ngày",IF($J54&gt;0,'DM_NHAN_SU'!$K54/$J54,0),IF($G54="Giờ",'DM_NHAN_SU'!$K54,0))))))</f>
        <v/>
      </c>
      <c r="Z54" s="224">
        <f>IF('DM_NHAN_SU'!$B54="","",$Y54*($M54*'THAM_SO'!$C$22+'CHAM_CONG_THANG'!$AF54*'THAM_SO'!$C$19+'CHAM_CONG_THANG'!$AG54*'THAM_SO'!$C$20+'CHAM_CONG_THANG'!$AH54*'THAM_SO'!$C$21+'CHAM_CONG_THANG'!$AI54*'THAM_SO'!$C$23+'CHAM_CONG_THANG'!$AJ54*'THAM_SO'!$C$24+'CHAM_CONG_THANG'!$AK54*'THAM_SO'!$C$25))</f>
        <v/>
      </c>
      <c r="AA54" s="224">
        <f>IF('DM_NHAN_SU'!$B54="","",MAX(0,$Y54*($M54*IF('THAM_SO'!$C$22&gt;='THAM_SO'!$B$22,'THAM_SO'!$B$22,0)+'CHAM_CONG_THANG'!$AF54*IF('THAM_SO'!$C$19&gt;='THAM_SO'!$B$19,'THAM_SO'!$B$19,0)+'CHAM_CONG_THANG'!$AG54*IF('THAM_SO'!$C$20&gt;='THAM_SO'!$B$20,'THAM_SO'!$B$20,0)+'CHAM_CONG_THANG'!$AH54*IF('THAM_SO'!$C$21&gt;='THAM_SO'!$B$21,'THAM_SO'!$B$21,0)+'CHAM_CONG_THANG'!$AI54*IF('THAM_SO'!$C$23&gt;='THAM_SO'!$B$23,'THAM_SO'!$B$23,0)+'CHAM_CONG_THANG'!$AJ54*IF('THAM_SO'!$C$24&gt;='THAM_SO'!$B$24,'THAM_SO'!$B$24,0)+'CHAM_CONG_THANG'!$AK54*IF('THAM_SO'!$C$25&gt;='THAM_SO'!$B$25,'THAM_SO'!$B$25,0))-'CHAM_CONG_THANG'!$V54))</f>
        <v/>
      </c>
      <c r="AB54" s="224">
        <f>IF('DM_NHAN_SU'!$B54="","",MAX($Z54-$AA54,0))</f>
        <v/>
      </c>
      <c r="AC54" s="224">
        <f>IF('DM_NHAN_SU'!$B54="","",$O54+$P54+$Q54+$R54+$S54+$V54+$AB54+$BO54+$BP54+$BQ54+$BR54)</f>
        <v/>
      </c>
      <c r="AD54" s="224">
        <f>IF('DM_NHAN_SU'!$B54="","",'DM_NHAN_SU'!N54+'DM_NHAN_SU'!O54+'DM_NHAN_SU'!P54)</f>
        <v/>
      </c>
      <c r="AE54" s="224">
        <f>IF('DM_NHAN_SU'!$B54="","",IF(OR('DM_NHAN_SU'!$R54&lt;&gt;"Có",'CHAM_CONG_THANG'!$AA54="Có",$BL54&gt;=14,$AD54&lt;=0),0,MIN(MAX($AD54,'THAM_SO'!$M$6),'THAM_SO'!$M$7)))</f>
        <v/>
      </c>
      <c r="AF54" s="224">
        <f>IF('DM_NHAN_SU'!$B54="","",IF(OR('DM_NHAN_SU'!$S54&lt;&gt;"Có",'CHAM_CONG_THANG'!$AA54="Có",$BL54&gt;=14,$AD54&lt;=0),0,MIN(MAX($AD54,VLOOKUP($H54,'THAM_SO'!$L$17:$P$20,4,FALSE)),VLOOKUP($H54,'THAM_SO'!$L$17:$P$20,5,FALSE))))</f>
        <v/>
      </c>
      <c r="AG54" s="224">
        <f>IF('DM_NHAN_SU'!$B54="","",$AE54*'THAM_SO'!$M$8)</f>
        <v/>
      </c>
      <c r="AH54" s="224">
        <f>IF('DM_NHAN_SU'!$B54="","",$AE54*'THAM_SO'!$M$9)</f>
        <v/>
      </c>
      <c r="AI54" s="224">
        <f>IF('DM_NHAN_SU'!$B54="","",$AF54*'THAM_SO'!$M$10)</f>
        <v/>
      </c>
      <c r="AJ54" s="224">
        <f>IF('DM_NHAN_SU'!$B54="","",SUM($AG54:$AI54))</f>
        <v/>
      </c>
      <c r="AK54" s="224">
        <f>IF('DM_NHAN_SU'!$B54="","",IF($B54="",0,'THAM_SO'!$F$4))</f>
        <v/>
      </c>
      <c r="AL54" s="224">
        <f>IF('DM_NHAN_SU'!$B54="","",IF($B54="",0,'DM_NHAN_SU'!$T54*'THAM_SO'!$F$5))</f>
        <v/>
      </c>
      <c r="AM54" s="224">
        <f>IF('DM_NHAN_SU'!$B54="","",'CHAM_CONG_THANG'!W54)</f>
        <v/>
      </c>
      <c r="AN54" s="224">
        <f>IF('DM_NHAN_SU'!$B54="","",MAX($AC54-$AK54-$AL54-$AM54,0))</f>
        <v/>
      </c>
      <c r="AO54" s="224">
        <f>IF('DM_NHAN_SU'!$B54="","",IF($B54="","",IF($F54="Net",IF($AC54&lt;=$AK54+$AL54+$AM54,$AC54+$AJ54,$AJ54+$AK54+$AL54+$AM54+IF($AN54&lt;='THAM_SO'!$J$10,($AN54-'THAM_SO'!$I$10)/(1-'THAM_SO'!$H$10),IF($AN54&lt;='THAM_SO'!$J$11,($AN54-'THAM_SO'!$I$11)/(1-'THAM_SO'!$H$11),IF($AN54&lt;='THAM_SO'!$J$12,($AN54-'THAM_SO'!$I$12)/(1-'THAM_SO'!$H$12),IF($AN54&lt;='THAM_SO'!$J$13,($AN54-'THAM_SO'!$I$13)/(1-'THAM_SO'!$H$13),($AN54-'THAM_SO'!$I$14)/(1-'THAM_SO'!$H$14)))))),$AC54)))</f>
        <v/>
      </c>
      <c r="AP54" s="224">
        <f>IF('DM_NHAN_SU'!$B54="","",$U54+$W54+$X54+$AA54+$BS54)</f>
        <v/>
      </c>
      <c r="AQ54" s="224">
        <f>IF('DM_NHAN_SU'!$B54="","",MAX($AO54-$AJ54-$AK54-$AL54-$AM54,0))</f>
        <v/>
      </c>
      <c r="AR54" s="224">
        <f>IF('DM_NHAN_SU'!$B54="","",IF($AQ54&lt;=0,0,$AQ54*VLOOKUP($AQ54,'THAM_SO'!$F$10:$I$14,3,TRUE)-VLOOKUP($AQ54,'THAM_SO'!$F$10:$I$14,4,TRUE)))</f>
        <v/>
      </c>
      <c r="AS54" s="224">
        <f>IF('DM_NHAN_SU'!$B54="","",$AO54+$AP54)</f>
        <v/>
      </c>
      <c r="AT54" s="224">
        <f>IF('DM_NHAN_SU'!$B54="","",$AS54-$AJ54-$AR54)</f>
        <v/>
      </c>
      <c r="AU54" s="224">
        <f>IF('DM_NHAN_SU'!$B54="","",'CHAM_CONG_THANG'!X54)</f>
        <v/>
      </c>
      <c r="AV54" s="224">
        <f>IF('DM_NHAN_SU'!$B54="","",'CHAM_CONG_THANG'!Y54+'QT_NGHI_VIEC'!AD54)</f>
        <v/>
      </c>
      <c r="AW54" s="224">
        <f>IF('DM_NHAN_SU'!$B54="","",'CHAM_CONG_THANG'!Z54)</f>
        <v/>
      </c>
      <c r="AX54" s="224">
        <f>IF('DM_NHAN_SU'!$B54="","",$AT54-$AU54-$AV54-$AW54-$BV54)</f>
        <v/>
      </c>
      <c r="AY54" s="224">
        <f>IF('DM_NHAN_SU'!$B54="","",$AE54*'THAM_SO'!$M$11)</f>
        <v/>
      </c>
      <c r="AZ54" s="224">
        <f>IF('DM_NHAN_SU'!$B54="","",$AE54*'THAM_SO'!$M$12)</f>
        <v/>
      </c>
      <c r="BA54" s="224">
        <f>IF('DM_NHAN_SU'!$B54="","",$AF54*'THAM_SO'!$M$13)</f>
        <v/>
      </c>
      <c r="BB54" s="224">
        <f>IF('DM_NHAN_SU'!$B54="","",$AE54*'THAM_SO'!$M$14)</f>
        <v/>
      </c>
      <c r="BC54" s="224">
        <f>IF('DM_NHAN_SU'!$B54="","",SUM($AY54:$BB54))</f>
        <v/>
      </c>
      <c r="BD54" s="224">
        <f>IF('DM_NHAN_SU'!$B54="","",$AS54+$BC54)</f>
        <v/>
      </c>
      <c r="BE54" s="224">
        <f>IF('DM_NHAN_SU'!$B54="","",VLOOKUP($H54,'THAM_SO'!$L$17:$P$20,2,FALSE))</f>
        <v/>
      </c>
      <c r="BF54" s="224">
        <f>IF('DM_NHAN_SU'!$B54="","",VLOOKUP($H54,'THAM_SO'!$L$17:$P$20,3,FALSE))</f>
        <v/>
      </c>
      <c r="BG54" s="150">
        <f>IF('DM_NHAN_SU'!$B54="","",IF($B54="","",IF(COUNTIF('DM_NHAN_SU'!$B$6:$B$155,$B54)&gt;1,"Trùng mã NV; ","")&amp;IF(OR($F54="",$G54=""),"Thiếu loại/hình thức lương; ","")&amp;IF('CHAM_CONG_THANG'!$D54="","Chưa chọn nguồn công; ","")&amp;IF(AND('CHAM_CONG_THANG'!$D54="Theo ngày",COUNTIF('CHAM_CONG_NGAY'!$B$6:$B$4655,$B54)=0),"Chưa có chấm công ngày; ","")&amp;IF(OR($I54&lt;=0,$J54&lt;=0),"Thiếu công/giờ chuẩn; ","")&amp;IF(AND($G54="Tháng",'DM_NHAN_SU'!$K54&lt;$BE54),"Lương tháng dưới tối thiểu vùng; ","")&amp;IF(AND($G54="Ngày",'DM_NHAN_SU'!$K54/$J54&lt;$BF54),"Lương ngày quy đổi dưới tối thiểu giờ; ","")&amp;IF(AND($G54="Giờ",'DM_NHAN_SU'!$K54&lt;$BF54),"Lương giờ dưới tối thiểu vùng; ","")&amp;IF(AND($G54="Sản phẩm",$L54&gt;0,$O54/$L54&lt;$BF54),"Lương SP quy đổi dưới tối thiểu giờ; ","")&amp;IF(OR('THAM_SO'!$C$19&lt;'THAM_SO'!$B$19,'THAM_SO'!$C$20&lt;'THAM_SO'!$B$20,'THAM_SO'!$C$21&lt;'THAM_SO'!$B$21,'THAM_SO'!$C$22&lt;'THAM_SO'!$B$22,'THAM_SO'!$C$23&lt;'THAM_SO'!$B$23,'THAM_SO'!$C$24&lt;'THAM_SO'!$B$24,'THAM_SO'!$C$25&lt;'THAM_SO'!$B$25),"Hệ số OT/đêm DN thấp hơn luật; ","")&amp;IF(AND('DM_NHAN_SU'!$R54="Có",$AD54&lt;=0),"Thiếu căn cứ đóng BH; ","")&amp;IF(AND($AD54&gt;0,$AD54&lt;'THAM_SO'!$M$6),"Căn cứ BH dưới sàn – đã nâng sàn; ","")&amp;IF($AD54&gt;'THAM_SO'!$M$7,"Căn cứ BH vượt trần – đã giới hạn; ","")&amp;IF(AND($F54="Net",SUM('CHAM_CONG_THANG'!$AF54:$AK54)&gt;0,'DM_NHAN_SU'!$Q54&lt;=0),"Net có OT nhưng chưa khai lương giờ OT; ","")&amp;IF('CHAM_CONG_THANG'!$V54&gt;$Z54,"Phần OT không miễn lớn hơn tiền OT; ","")&amp;IF(AND($F54="Net",ABS($AT54-$AC54-$AP54)&gt;1),"Lệch quy đổi Net; ","")&amp;IF(AND($BH54&gt;0,'DM_NHAN_SU'!$AD54=""),"Có phép năm nhưng đang tạm dùng 12 ngày; ","")&amp;IF(AND($G54="Sản phẩm",SUM($BH54:$BJ54)&gt;0,'DM_NHAN_SU'!$AH54&lt;=0),"Lương sản phẩm thiếu đơn giá ngày phép/lễ; ","")&amp;IF(AND($BL54&gt;=14,'CHAM_CONG_THANG'!$AA54&lt;&gt;"Có"),"Thai sản từ 14 ngày: file tự dừng đóng BH – kiểm tra hồ sơ; ","")&amp;IF(AND('DM_NHAN_SU'!$AA54="Có",'DM_NHAN_SU'!$AB54=""),"Đoàn viên chưa chọn cách tính đoàn phí; ","")&amp;IF(AND('DM_NHAN_SU'!$AB54="Nhập tay",'DM_NHAN_SU'!$AC54&gt;'THAM_SO'!$M$26),"Đoàn phí nhập tay vượt trần thông dụng; ","")&amp;IF('NGHI_PHEP'!$L54&lt;&gt;"","Phép: "&amp;'NGHI_PHEP'!$L54,"")&amp;IF('CHE_DO_BHXH'!$AA54&lt;&gt;"","BHXH: "&amp;'CHE_DO_BHXH'!$AA54,"")&amp;IF('THUONG_T13_TET'!$O54&lt;&gt;"","Thưởng: "&amp;'THUONG_T13_TET'!$O54,"")&amp;IF('QT_NGHI_VIEC'!$AF54&lt;&gt;"","Nghỉ việc: "&amp;'QT_NGHI_VIEC'!$AF54,"")&amp;IF($AX54&lt;0,"Thực lĩnh âm; ","")&amp;IF(OR('DM_NHAN_SU'!$F54&gt;'THAM_SO'!$B$7,AND('DM_NHAN_SU'!$G54&lt;&gt;"",'DM_NHAN_SU'!$G54&lt;'THAM_SO'!$B$6)),"Ngoài kỳ trả lương; ","")))</f>
        <v/>
      </c>
      <c r="BH54" s="232">
        <f>IF('DM_NHAN_SU'!$B54="","",'CHAM_CONG_THANG'!AR54)</f>
        <v/>
      </c>
      <c r="BI54" s="232">
        <f>IF('DM_NHAN_SU'!$B54="","",'CHAM_CONG_THANG'!AS54)</f>
        <v/>
      </c>
      <c r="BJ54" s="232">
        <f>IF('DM_NHAN_SU'!$B54="","",'CHAM_CONG_THANG'!AT54)</f>
        <v/>
      </c>
      <c r="BK54" s="232">
        <f>IF('DM_NHAN_SU'!$B54="","",'CHAM_CONG_THANG'!AU54)</f>
        <v/>
      </c>
      <c r="BL54" s="232">
        <f>IF('DM_NHAN_SU'!$B54="","",'CHAM_CONG_THANG'!AV54)</f>
        <v/>
      </c>
      <c r="BM54" s="232">
        <f>IF('DM_NHAN_SU'!$B54="","",'CHAM_CONG_THANG'!AW54)</f>
        <v/>
      </c>
      <c r="BN54" s="232">
        <f>IF('DM_NHAN_SU'!$B54="","",SUM($K54,$BH54:$BJ54))</f>
        <v/>
      </c>
      <c r="BO54" s="224">
        <f>IF('DM_NHAN_SU'!$B54="","",IF($B54="",0,IF($G54="Tháng",IF($I54&gt;0,'DM_NHAN_SU'!$K54*MIN($BH54+$BJ54,MAX($I54-$K54,0))/$I54,0),IF($G54="Ngày",'DM_NHAN_SU'!$K54*SUM($BH54:$BJ54),IF($G54="Giờ",'DM_NHAN_SU'!$K54*SUM($BH54:$BJ54)*$J54,IF($G54="Sản phẩm",'DM_NHAN_SU'!$AH54*SUM($BH54:$BJ54),0))))))</f>
        <v/>
      </c>
      <c r="BP54" s="224">
        <f>IF('DM_NHAN_SU'!$B54="","",IF('THUONG_T13_TET'!$L54="Có",'THUONG_T13_TET'!$I54,0))</f>
        <v/>
      </c>
      <c r="BQ54" s="224">
        <f>IF('DM_NHAN_SU'!$B54="","",IF('THUONG_T13_TET'!$L54="Có",SUM('THUONG_T13_TET'!$J54:$K54),0))</f>
        <v/>
      </c>
      <c r="BR54" s="224">
        <f>IF('DM_NHAN_SU'!$B54="","",'QT_NGHI_VIEC'!AC54)</f>
        <v/>
      </c>
      <c r="BS54" s="224">
        <f>IF('DM_NHAN_SU'!$B54="","",'QT_NGHI_VIEC'!AB54)</f>
        <v/>
      </c>
      <c r="BT54" s="224">
        <f>IF('DM_NHAN_SU'!$B54="","",IF('CHE_DO_BHXH'!$Z54="Có",'CHE_DO_BHXH'!$W54,0))</f>
        <v/>
      </c>
      <c r="BU54" s="224">
        <f>IF('DM_NHAN_SU'!$B54="","",IF('CHE_DO_BHXH'!$Y54="DN trả thay",$BT54,0))</f>
        <v/>
      </c>
      <c r="BV54" s="224">
        <f>IF('DM_NHAN_SU'!$B54="","",IF(OR('DM_NHAN_SU'!$AA54&lt;&gt;"Có",'CHE_DO_BHXH'!$O54&gt;=1,SUM('CHE_DO_BHXH'!$D54,'CHE_DO_BHXH'!$G54,'CHE_DO_BHXH'!$K54)&gt;=24,AND($I54&gt;0,$BM54&gt;=$I54)),0,IF('DM_NHAN_SU'!$AB54="Không",0,IF('DM_NHAN_SU'!$AB54="Nhập tay",'DM_NHAN_SU'!$AC54,IF('DM_NHAN_SU'!$AB54="Theo thực nhận",MIN(MAX($AT54-$AU54-$AV54-$AW54,0)*'THAM_SO'!$M$23,'THAM_SO'!$M$26),MIN($AE54*'THAM_SO'!$M$23,'THAM_SO'!$M$26))))))</f>
        <v/>
      </c>
      <c r="BW54" s="224">
        <f>IF('DM_NHAN_SU'!$B54="","",$AX54+$BU54)</f>
        <v/>
      </c>
    </row>
    <row r="55">
      <c r="A55" s="145">
        <f>IF('DM_NHAN_SU'!$B55="","",IF($B55="","",ROW()-5))</f>
        <v/>
      </c>
      <c r="B55" s="145">
        <f>IF('DM_NHAN_SU'!$B55="","",'DM_NHAN_SU'!B55)</f>
        <v/>
      </c>
      <c r="C55" s="145">
        <f>IF('DM_NHAN_SU'!$B55="","",'DM_NHAN_SU'!C55)</f>
        <v/>
      </c>
      <c r="D55" s="145">
        <f>IF('DM_NHAN_SU'!$B55="","",'DM_NHAN_SU'!D55)</f>
        <v/>
      </c>
      <c r="E55" s="145">
        <f>IF('DM_NHAN_SU'!$B55="","",'DM_NHAN_SU'!E55)</f>
        <v/>
      </c>
      <c r="F55" s="145">
        <f>IF('DM_NHAN_SU'!$B55="","",'DM_NHAN_SU'!I55)</f>
        <v/>
      </c>
      <c r="G55" s="145">
        <f>IF('DM_NHAN_SU'!$B55="","",'DM_NHAN_SU'!J55)</f>
        <v/>
      </c>
      <c r="H55" s="145">
        <f>IF('DM_NHAN_SU'!$B55="","",IF('DM_NHAN_SU'!H55="",'THAM_SO'!$B$11,'DM_NHAN_SU'!H55))</f>
        <v/>
      </c>
      <c r="I55" s="232">
        <f>IF('DM_NHAN_SU'!$B55="","",IF('DM_NHAN_SU'!L55&gt;0,'DM_NHAN_SU'!L55,'THAM_SO'!$B$9))</f>
        <v/>
      </c>
      <c r="J55" s="232">
        <f>IF('DM_NHAN_SU'!$B55="","",IF('DM_NHAN_SU'!M55&gt;0,'DM_NHAN_SU'!M55,'THAM_SO'!$B$10))</f>
        <v/>
      </c>
      <c r="K55" s="232">
        <f>IF('DM_NHAN_SU'!$B55="","",'CHAM_CONG_THANG'!AC55)</f>
        <v/>
      </c>
      <c r="L55" s="232">
        <f>IF('DM_NHAN_SU'!$B55="","",'CHAM_CONG_THANG'!AD55)</f>
        <v/>
      </c>
      <c r="M55" s="232">
        <f>IF('DM_NHAN_SU'!$B55="","",'CHAM_CONG_THANG'!AE55)</f>
        <v/>
      </c>
      <c r="N55" s="232">
        <f>IF('DM_NHAN_SU'!$B55="","",'CHAM_CONG_THANG'!N55)</f>
        <v/>
      </c>
      <c r="O55" s="224">
        <f>IF('DM_NHAN_SU'!$B55="","",IF($B55="","",IF($G55="Tháng",IF($I55&gt;0,'DM_NHAN_SU'!$K55*MIN($K55,$I55)/$I55,0),IF($G55="Ngày",'DM_NHAN_SU'!$K55*$K55,IF($G55="Giờ",'DM_NHAN_SU'!$K55*$L55,IF($G55="Sản phẩm",'DM_NHAN_SU'!$K55*$N55,0))))))</f>
        <v/>
      </c>
      <c r="P55" s="224">
        <f>IF('DM_NHAN_SU'!$B55="","",'CHAM_CONG_THANG'!O55)</f>
        <v/>
      </c>
      <c r="Q55" s="224">
        <f>IF('DM_NHAN_SU'!$B55="","",'CHAM_CONG_THANG'!P55)</f>
        <v/>
      </c>
      <c r="R55" s="224">
        <f>IF('DM_NHAN_SU'!$B55="","",'CHAM_CONG_THANG'!Q55)</f>
        <v/>
      </c>
      <c r="S55" s="224">
        <f>IF('DM_NHAN_SU'!$B55="","",'CHAM_CONG_THANG'!R55)</f>
        <v/>
      </c>
      <c r="T55" s="224">
        <f>IF('DM_NHAN_SU'!$B55="","",'CHAM_CONG_THANG'!S55)</f>
        <v/>
      </c>
      <c r="U55" s="224">
        <f>IF('DM_NHAN_SU'!$B55="","",MIN($T55,'THAM_SO'!$F$6))</f>
        <v/>
      </c>
      <c r="V55" s="224">
        <f>IF('DM_NHAN_SU'!$B55="","",MAX($T55-$U55,0))</f>
        <v/>
      </c>
      <c r="W55" s="224">
        <f>IF('DM_NHAN_SU'!$B55="","",'CHAM_CONG_THANG'!T55)</f>
        <v/>
      </c>
      <c r="X55" s="224">
        <f>IF('DM_NHAN_SU'!$B55="","",'CHAM_CONG_THANG'!U55)</f>
        <v/>
      </c>
      <c r="Y55" s="224">
        <f>IF('DM_NHAN_SU'!$B55="","",IF($B55="",0,IF('DM_NHAN_SU'!$Q55&gt;0,'DM_NHAN_SU'!$Q55,IF($G55="Tháng",IF($I55*$J55&gt;0,'DM_NHAN_SU'!$K55/($I55*$J55),0),IF($G55="Ngày",IF($J55&gt;0,'DM_NHAN_SU'!$K55/$J55,0),IF($G55="Giờ",'DM_NHAN_SU'!$K55,0))))))</f>
        <v/>
      </c>
      <c r="Z55" s="224">
        <f>IF('DM_NHAN_SU'!$B55="","",$Y55*($M55*'THAM_SO'!$C$22+'CHAM_CONG_THANG'!$AF55*'THAM_SO'!$C$19+'CHAM_CONG_THANG'!$AG55*'THAM_SO'!$C$20+'CHAM_CONG_THANG'!$AH55*'THAM_SO'!$C$21+'CHAM_CONG_THANG'!$AI55*'THAM_SO'!$C$23+'CHAM_CONG_THANG'!$AJ55*'THAM_SO'!$C$24+'CHAM_CONG_THANG'!$AK55*'THAM_SO'!$C$25))</f>
        <v/>
      </c>
      <c r="AA55" s="224">
        <f>IF('DM_NHAN_SU'!$B55="","",MAX(0,$Y55*($M55*IF('THAM_SO'!$C$22&gt;='THAM_SO'!$B$22,'THAM_SO'!$B$22,0)+'CHAM_CONG_THANG'!$AF55*IF('THAM_SO'!$C$19&gt;='THAM_SO'!$B$19,'THAM_SO'!$B$19,0)+'CHAM_CONG_THANG'!$AG55*IF('THAM_SO'!$C$20&gt;='THAM_SO'!$B$20,'THAM_SO'!$B$20,0)+'CHAM_CONG_THANG'!$AH55*IF('THAM_SO'!$C$21&gt;='THAM_SO'!$B$21,'THAM_SO'!$B$21,0)+'CHAM_CONG_THANG'!$AI55*IF('THAM_SO'!$C$23&gt;='THAM_SO'!$B$23,'THAM_SO'!$B$23,0)+'CHAM_CONG_THANG'!$AJ55*IF('THAM_SO'!$C$24&gt;='THAM_SO'!$B$24,'THAM_SO'!$B$24,0)+'CHAM_CONG_THANG'!$AK55*IF('THAM_SO'!$C$25&gt;='THAM_SO'!$B$25,'THAM_SO'!$B$25,0))-'CHAM_CONG_THANG'!$V55))</f>
        <v/>
      </c>
      <c r="AB55" s="224">
        <f>IF('DM_NHAN_SU'!$B55="","",MAX($Z55-$AA55,0))</f>
        <v/>
      </c>
      <c r="AC55" s="224">
        <f>IF('DM_NHAN_SU'!$B55="","",$O55+$P55+$Q55+$R55+$S55+$V55+$AB55+$BO55+$BP55+$BQ55+$BR55)</f>
        <v/>
      </c>
      <c r="AD55" s="224">
        <f>IF('DM_NHAN_SU'!$B55="","",'DM_NHAN_SU'!N55+'DM_NHAN_SU'!O55+'DM_NHAN_SU'!P55)</f>
        <v/>
      </c>
      <c r="AE55" s="224">
        <f>IF('DM_NHAN_SU'!$B55="","",IF(OR('DM_NHAN_SU'!$R55&lt;&gt;"Có",'CHAM_CONG_THANG'!$AA55="Có",$BL55&gt;=14,$AD55&lt;=0),0,MIN(MAX($AD55,'THAM_SO'!$M$6),'THAM_SO'!$M$7)))</f>
        <v/>
      </c>
      <c r="AF55" s="224">
        <f>IF('DM_NHAN_SU'!$B55="","",IF(OR('DM_NHAN_SU'!$S55&lt;&gt;"Có",'CHAM_CONG_THANG'!$AA55="Có",$BL55&gt;=14,$AD55&lt;=0),0,MIN(MAX($AD55,VLOOKUP($H55,'THAM_SO'!$L$17:$P$20,4,FALSE)),VLOOKUP($H55,'THAM_SO'!$L$17:$P$20,5,FALSE))))</f>
        <v/>
      </c>
      <c r="AG55" s="224">
        <f>IF('DM_NHAN_SU'!$B55="","",$AE55*'THAM_SO'!$M$8)</f>
        <v/>
      </c>
      <c r="AH55" s="224">
        <f>IF('DM_NHAN_SU'!$B55="","",$AE55*'THAM_SO'!$M$9)</f>
        <v/>
      </c>
      <c r="AI55" s="224">
        <f>IF('DM_NHAN_SU'!$B55="","",$AF55*'THAM_SO'!$M$10)</f>
        <v/>
      </c>
      <c r="AJ55" s="224">
        <f>IF('DM_NHAN_SU'!$B55="","",SUM($AG55:$AI55))</f>
        <v/>
      </c>
      <c r="AK55" s="224">
        <f>IF('DM_NHAN_SU'!$B55="","",IF($B55="",0,'THAM_SO'!$F$4))</f>
        <v/>
      </c>
      <c r="AL55" s="224">
        <f>IF('DM_NHAN_SU'!$B55="","",IF($B55="",0,'DM_NHAN_SU'!$T55*'THAM_SO'!$F$5))</f>
        <v/>
      </c>
      <c r="AM55" s="224">
        <f>IF('DM_NHAN_SU'!$B55="","",'CHAM_CONG_THANG'!W55)</f>
        <v/>
      </c>
      <c r="AN55" s="224">
        <f>IF('DM_NHAN_SU'!$B55="","",MAX($AC55-$AK55-$AL55-$AM55,0))</f>
        <v/>
      </c>
      <c r="AO55" s="224">
        <f>IF('DM_NHAN_SU'!$B55="","",IF($B55="","",IF($F55="Net",IF($AC55&lt;=$AK55+$AL55+$AM55,$AC55+$AJ55,$AJ55+$AK55+$AL55+$AM55+IF($AN55&lt;='THAM_SO'!$J$10,($AN55-'THAM_SO'!$I$10)/(1-'THAM_SO'!$H$10),IF($AN55&lt;='THAM_SO'!$J$11,($AN55-'THAM_SO'!$I$11)/(1-'THAM_SO'!$H$11),IF($AN55&lt;='THAM_SO'!$J$12,($AN55-'THAM_SO'!$I$12)/(1-'THAM_SO'!$H$12),IF($AN55&lt;='THAM_SO'!$J$13,($AN55-'THAM_SO'!$I$13)/(1-'THAM_SO'!$H$13),($AN55-'THAM_SO'!$I$14)/(1-'THAM_SO'!$H$14)))))),$AC55)))</f>
        <v/>
      </c>
      <c r="AP55" s="224">
        <f>IF('DM_NHAN_SU'!$B55="","",$U55+$W55+$X55+$AA55+$BS55)</f>
        <v/>
      </c>
      <c r="AQ55" s="224">
        <f>IF('DM_NHAN_SU'!$B55="","",MAX($AO55-$AJ55-$AK55-$AL55-$AM55,0))</f>
        <v/>
      </c>
      <c r="AR55" s="224">
        <f>IF('DM_NHAN_SU'!$B55="","",IF($AQ55&lt;=0,0,$AQ55*VLOOKUP($AQ55,'THAM_SO'!$F$10:$I$14,3,TRUE)-VLOOKUP($AQ55,'THAM_SO'!$F$10:$I$14,4,TRUE)))</f>
        <v/>
      </c>
      <c r="AS55" s="224">
        <f>IF('DM_NHAN_SU'!$B55="","",$AO55+$AP55)</f>
        <v/>
      </c>
      <c r="AT55" s="224">
        <f>IF('DM_NHAN_SU'!$B55="","",$AS55-$AJ55-$AR55)</f>
        <v/>
      </c>
      <c r="AU55" s="224">
        <f>IF('DM_NHAN_SU'!$B55="","",'CHAM_CONG_THANG'!X55)</f>
        <v/>
      </c>
      <c r="AV55" s="224">
        <f>IF('DM_NHAN_SU'!$B55="","",'CHAM_CONG_THANG'!Y55+'QT_NGHI_VIEC'!AD55)</f>
        <v/>
      </c>
      <c r="AW55" s="224">
        <f>IF('DM_NHAN_SU'!$B55="","",'CHAM_CONG_THANG'!Z55)</f>
        <v/>
      </c>
      <c r="AX55" s="224">
        <f>IF('DM_NHAN_SU'!$B55="","",$AT55-$AU55-$AV55-$AW55-$BV55)</f>
        <v/>
      </c>
      <c r="AY55" s="224">
        <f>IF('DM_NHAN_SU'!$B55="","",$AE55*'THAM_SO'!$M$11)</f>
        <v/>
      </c>
      <c r="AZ55" s="224">
        <f>IF('DM_NHAN_SU'!$B55="","",$AE55*'THAM_SO'!$M$12)</f>
        <v/>
      </c>
      <c r="BA55" s="224">
        <f>IF('DM_NHAN_SU'!$B55="","",$AF55*'THAM_SO'!$M$13)</f>
        <v/>
      </c>
      <c r="BB55" s="224">
        <f>IF('DM_NHAN_SU'!$B55="","",$AE55*'THAM_SO'!$M$14)</f>
        <v/>
      </c>
      <c r="BC55" s="224">
        <f>IF('DM_NHAN_SU'!$B55="","",SUM($AY55:$BB55))</f>
        <v/>
      </c>
      <c r="BD55" s="224">
        <f>IF('DM_NHAN_SU'!$B55="","",$AS55+$BC55)</f>
        <v/>
      </c>
      <c r="BE55" s="224">
        <f>IF('DM_NHAN_SU'!$B55="","",VLOOKUP($H55,'THAM_SO'!$L$17:$P$20,2,FALSE))</f>
        <v/>
      </c>
      <c r="BF55" s="224">
        <f>IF('DM_NHAN_SU'!$B55="","",VLOOKUP($H55,'THAM_SO'!$L$17:$P$20,3,FALSE))</f>
        <v/>
      </c>
      <c r="BG55" s="150">
        <f>IF('DM_NHAN_SU'!$B55="","",IF($B55="","",IF(COUNTIF('DM_NHAN_SU'!$B$6:$B$155,$B55)&gt;1,"Trùng mã NV; ","")&amp;IF(OR($F55="",$G55=""),"Thiếu loại/hình thức lương; ","")&amp;IF('CHAM_CONG_THANG'!$D55="","Chưa chọn nguồn công; ","")&amp;IF(AND('CHAM_CONG_THANG'!$D55="Theo ngày",COUNTIF('CHAM_CONG_NGAY'!$B$6:$B$4655,$B55)=0),"Chưa có chấm công ngày; ","")&amp;IF(OR($I55&lt;=0,$J55&lt;=0),"Thiếu công/giờ chuẩn; ","")&amp;IF(AND($G55="Tháng",'DM_NHAN_SU'!$K55&lt;$BE55),"Lương tháng dưới tối thiểu vùng; ","")&amp;IF(AND($G55="Ngày",'DM_NHAN_SU'!$K55/$J55&lt;$BF55),"Lương ngày quy đổi dưới tối thiểu giờ; ","")&amp;IF(AND($G55="Giờ",'DM_NHAN_SU'!$K55&lt;$BF55),"Lương giờ dưới tối thiểu vùng; ","")&amp;IF(AND($G55="Sản phẩm",$L55&gt;0,$O55/$L55&lt;$BF55),"Lương SP quy đổi dưới tối thiểu giờ; ","")&amp;IF(OR('THAM_SO'!$C$19&lt;'THAM_SO'!$B$19,'THAM_SO'!$C$20&lt;'THAM_SO'!$B$20,'THAM_SO'!$C$21&lt;'THAM_SO'!$B$21,'THAM_SO'!$C$22&lt;'THAM_SO'!$B$22,'THAM_SO'!$C$23&lt;'THAM_SO'!$B$23,'THAM_SO'!$C$24&lt;'THAM_SO'!$B$24,'THAM_SO'!$C$25&lt;'THAM_SO'!$B$25),"Hệ số OT/đêm DN thấp hơn luật; ","")&amp;IF(AND('DM_NHAN_SU'!$R55="Có",$AD55&lt;=0),"Thiếu căn cứ đóng BH; ","")&amp;IF(AND($AD55&gt;0,$AD55&lt;'THAM_SO'!$M$6),"Căn cứ BH dưới sàn – đã nâng sàn; ","")&amp;IF($AD55&gt;'THAM_SO'!$M$7,"Căn cứ BH vượt trần – đã giới hạn; ","")&amp;IF(AND($F55="Net",SUM('CHAM_CONG_THANG'!$AF55:$AK55)&gt;0,'DM_NHAN_SU'!$Q55&lt;=0),"Net có OT nhưng chưa khai lương giờ OT; ","")&amp;IF('CHAM_CONG_THANG'!$V55&gt;$Z55,"Phần OT không miễn lớn hơn tiền OT; ","")&amp;IF(AND($F55="Net",ABS($AT55-$AC55-$AP55)&gt;1),"Lệch quy đổi Net; ","")&amp;IF(AND($BH55&gt;0,'DM_NHAN_SU'!$AD55=""),"Có phép năm nhưng đang tạm dùng 12 ngày; ","")&amp;IF(AND($G55="Sản phẩm",SUM($BH55:$BJ55)&gt;0,'DM_NHAN_SU'!$AH55&lt;=0),"Lương sản phẩm thiếu đơn giá ngày phép/lễ; ","")&amp;IF(AND($BL55&gt;=14,'CHAM_CONG_THANG'!$AA55&lt;&gt;"Có"),"Thai sản từ 14 ngày: file tự dừng đóng BH – kiểm tra hồ sơ; ","")&amp;IF(AND('DM_NHAN_SU'!$AA55="Có",'DM_NHAN_SU'!$AB55=""),"Đoàn viên chưa chọn cách tính đoàn phí; ","")&amp;IF(AND('DM_NHAN_SU'!$AB55="Nhập tay",'DM_NHAN_SU'!$AC55&gt;'THAM_SO'!$M$26),"Đoàn phí nhập tay vượt trần thông dụng; ","")&amp;IF('NGHI_PHEP'!$L55&lt;&gt;"","Phép: "&amp;'NGHI_PHEP'!$L55,"")&amp;IF('CHE_DO_BHXH'!$AA55&lt;&gt;"","BHXH: "&amp;'CHE_DO_BHXH'!$AA55,"")&amp;IF('THUONG_T13_TET'!$O55&lt;&gt;"","Thưởng: "&amp;'THUONG_T13_TET'!$O55,"")&amp;IF('QT_NGHI_VIEC'!$AF55&lt;&gt;"","Nghỉ việc: "&amp;'QT_NGHI_VIEC'!$AF55,"")&amp;IF($AX55&lt;0,"Thực lĩnh âm; ","")&amp;IF(OR('DM_NHAN_SU'!$F55&gt;'THAM_SO'!$B$7,AND('DM_NHAN_SU'!$G55&lt;&gt;"",'DM_NHAN_SU'!$G55&lt;'THAM_SO'!$B$6)),"Ngoài kỳ trả lương; ","")))</f>
        <v/>
      </c>
      <c r="BH55" s="232">
        <f>IF('DM_NHAN_SU'!$B55="","",'CHAM_CONG_THANG'!AR55)</f>
        <v/>
      </c>
      <c r="BI55" s="232">
        <f>IF('DM_NHAN_SU'!$B55="","",'CHAM_CONG_THANG'!AS55)</f>
        <v/>
      </c>
      <c r="BJ55" s="232">
        <f>IF('DM_NHAN_SU'!$B55="","",'CHAM_CONG_THANG'!AT55)</f>
        <v/>
      </c>
      <c r="BK55" s="232">
        <f>IF('DM_NHAN_SU'!$B55="","",'CHAM_CONG_THANG'!AU55)</f>
        <v/>
      </c>
      <c r="BL55" s="232">
        <f>IF('DM_NHAN_SU'!$B55="","",'CHAM_CONG_THANG'!AV55)</f>
        <v/>
      </c>
      <c r="BM55" s="232">
        <f>IF('DM_NHAN_SU'!$B55="","",'CHAM_CONG_THANG'!AW55)</f>
        <v/>
      </c>
      <c r="BN55" s="232">
        <f>IF('DM_NHAN_SU'!$B55="","",SUM($K55,$BH55:$BJ55))</f>
        <v/>
      </c>
      <c r="BO55" s="224">
        <f>IF('DM_NHAN_SU'!$B55="","",IF($B55="",0,IF($G55="Tháng",IF($I55&gt;0,'DM_NHAN_SU'!$K55*MIN($BH55+$BJ55,MAX($I55-$K55,0))/$I55,0),IF($G55="Ngày",'DM_NHAN_SU'!$K55*SUM($BH55:$BJ55),IF($G55="Giờ",'DM_NHAN_SU'!$K55*SUM($BH55:$BJ55)*$J55,IF($G55="Sản phẩm",'DM_NHAN_SU'!$AH55*SUM($BH55:$BJ55),0))))))</f>
        <v/>
      </c>
      <c r="BP55" s="224">
        <f>IF('DM_NHAN_SU'!$B55="","",IF('THUONG_T13_TET'!$L55="Có",'THUONG_T13_TET'!$I55,0))</f>
        <v/>
      </c>
      <c r="BQ55" s="224">
        <f>IF('DM_NHAN_SU'!$B55="","",IF('THUONG_T13_TET'!$L55="Có",SUM('THUONG_T13_TET'!$J55:$K55),0))</f>
        <v/>
      </c>
      <c r="BR55" s="224">
        <f>IF('DM_NHAN_SU'!$B55="","",'QT_NGHI_VIEC'!AC55)</f>
        <v/>
      </c>
      <c r="BS55" s="224">
        <f>IF('DM_NHAN_SU'!$B55="","",'QT_NGHI_VIEC'!AB55)</f>
        <v/>
      </c>
      <c r="BT55" s="224">
        <f>IF('DM_NHAN_SU'!$B55="","",IF('CHE_DO_BHXH'!$Z55="Có",'CHE_DO_BHXH'!$W55,0))</f>
        <v/>
      </c>
      <c r="BU55" s="224">
        <f>IF('DM_NHAN_SU'!$B55="","",IF('CHE_DO_BHXH'!$Y55="DN trả thay",$BT55,0))</f>
        <v/>
      </c>
      <c r="BV55" s="224">
        <f>IF('DM_NHAN_SU'!$B55="","",IF(OR('DM_NHAN_SU'!$AA55&lt;&gt;"Có",'CHE_DO_BHXH'!$O55&gt;=1,SUM('CHE_DO_BHXH'!$D55,'CHE_DO_BHXH'!$G55,'CHE_DO_BHXH'!$K55)&gt;=24,AND($I55&gt;0,$BM55&gt;=$I55)),0,IF('DM_NHAN_SU'!$AB55="Không",0,IF('DM_NHAN_SU'!$AB55="Nhập tay",'DM_NHAN_SU'!$AC55,IF('DM_NHAN_SU'!$AB55="Theo thực nhận",MIN(MAX($AT55-$AU55-$AV55-$AW55,0)*'THAM_SO'!$M$23,'THAM_SO'!$M$26),MIN($AE55*'THAM_SO'!$M$23,'THAM_SO'!$M$26))))))</f>
        <v/>
      </c>
      <c r="BW55" s="224">
        <f>IF('DM_NHAN_SU'!$B55="","",$AX55+$BU55)</f>
        <v/>
      </c>
    </row>
    <row r="56">
      <c r="A56" s="145">
        <f>IF('DM_NHAN_SU'!$B56="","",IF($B56="","",ROW()-5))</f>
        <v/>
      </c>
      <c r="B56" s="145">
        <f>IF('DM_NHAN_SU'!$B56="","",'DM_NHAN_SU'!B56)</f>
        <v/>
      </c>
      <c r="C56" s="145">
        <f>IF('DM_NHAN_SU'!$B56="","",'DM_NHAN_SU'!C56)</f>
        <v/>
      </c>
      <c r="D56" s="145">
        <f>IF('DM_NHAN_SU'!$B56="","",'DM_NHAN_SU'!D56)</f>
        <v/>
      </c>
      <c r="E56" s="145">
        <f>IF('DM_NHAN_SU'!$B56="","",'DM_NHAN_SU'!E56)</f>
        <v/>
      </c>
      <c r="F56" s="145">
        <f>IF('DM_NHAN_SU'!$B56="","",'DM_NHAN_SU'!I56)</f>
        <v/>
      </c>
      <c r="G56" s="145">
        <f>IF('DM_NHAN_SU'!$B56="","",'DM_NHAN_SU'!J56)</f>
        <v/>
      </c>
      <c r="H56" s="145">
        <f>IF('DM_NHAN_SU'!$B56="","",IF('DM_NHAN_SU'!H56="",'THAM_SO'!$B$11,'DM_NHAN_SU'!H56))</f>
        <v/>
      </c>
      <c r="I56" s="232">
        <f>IF('DM_NHAN_SU'!$B56="","",IF('DM_NHAN_SU'!L56&gt;0,'DM_NHAN_SU'!L56,'THAM_SO'!$B$9))</f>
        <v/>
      </c>
      <c r="J56" s="232">
        <f>IF('DM_NHAN_SU'!$B56="","",IF('DM_NHAN_SU'!M56&gt;0,'DM_NHAN_SU'!M56,'THAM_SO'!$B$10))</f>
        <v/>
      </c>
      <c r="K56" s="232">
        <f>IF('DM_NHAN_SU'!$B56="","",'CHAM_CONG_THANG'!AC56)</f>
        <v/>
      </c>
      <c r="L56" s="232">
        <f>IF('DM_NHAN_SU'!$B56="","",'CHAM_CONG_THANG'!AD56)</f>
        <v/>
      </c>
      <c r="M56" s="232">
        <f>IF('DM_NHAN_SU'!$B56="","",'CHAM_CONG_THANG'!AE56)</f>
        <v/>
      </c>
      <c r="N56" s="232">
        <f>IF('DM_NHAN_SU'!$B56="","",'CHAM_CONG_THANG'!N56)</f>
        <v/>
      </c>
      <c r="O56" s="224">
        <f>IF('DM_NHAN_SU'!$B56="","",IF($B56="","",IF($G56="Tháng",IF($I56&gt;0,'DM_NHAN_SU'!$K56*MIN($K56,$I56)/$I56,0),IF($G56="Ngày",'DM_NHAN_SU'!$K56*$K56,IF($G56="Giờ",'DM_NHAN_SU'!$K56*$L56,IF($G56="Sản phẩm",'DM_NHAN_SU'!$K56*$N56,0))))))</f>
        <v/>
      </c>
      <c r="P56" s="224">
        <f>IF('DM_NHAN_SU'!$B56="","",'CHAM_CONG_THANG'!O56)</f>
        <v/>
      </c>
      <c r="Q56" s="224">
        <f>IF('DM_NHAN_SU'!$B56="","",'CHAM_CONG_THANG'!P56)</f>
        <v/>
      </c>
      <c r="R56" s="224">
        <f>IF('DM_NHAN_SU'!$B56="","",'CHAM_CONG_THANG'!Q56)</f>
        <v/>
      </c>
      <c r="S56" s="224">
        <f>IF('DM_NHAN_SU'!$B56="","",'CHAM_CONG_THANG'!R56)</f>
        <v/>
      </c>
      <c r="T56" s="224">
        <f>IF('DM_NHAN_SU'!$B56="","",'CHAM_CONG_THANG'!S56)</f>
        <v/>
      </c>
      <c r="U56" s="224">
        <f>IF('DM_NHAN_SU'!$B56="","",MIN($T56,'THAM_SO'!$F$6))</f>
        <v/>
      </c>
      <c r="V56" s="224">
        <f>IF('DM_NHAN_SU'!$B56="","",MAX($T56-$U56,0))</f>
        <v/>
      </c>
      <c r="W56" s="224">
        <f>IF('DM_NHAN_SU'!$B56="","",'CHAM_CONG_THANG'!T56)</f>
        <v/>
      </c>
      <c r="X56" s="224">
        <f>IF('DM_NHAN_SU'!$B56="","",'CHAM_CONG_THANG'!U56)</f>
        <v/>
      </c>
      <c r="Y56" s="224">
        <f>IF('DM_NHAN_SU'!$B56="","",IF($B56="",0,IF('DM_NHAN_SU'!$Q56&gt;0,'DM_NHAN_SU'!$Q56,IF($G56="Tháng",IF($I56*$J56&gt;0,'DM_NHAN_SU'!$K56/($I56*$J56),0),IF($G56="Ngày",IF($J56&gt;0,'DM_NHAN_SU'!$K56/$J56,0),IF($G56="Giờ",'DM_NHAN_SU'!$K56,0))))))</f>
        <v/>
      </c>
      <c r="Z56" s="224">
        <f>IF('DM_NHAN_SU'!$B56="","",$Y56*($M56*'THAM_SO'!$C$22+'CHAM_CONG_THANG'!$AF56*'THAM_SO'!$C$19+'CHAM_CONG_THANG'!$AG56*'THAM_SO'!$C$20+'CHAM_CONG_THANG'!$AH56*'THAM_SO'!$C$21+'CHAM_CONG_THANG'!$AI56*'THAM_SO'!$C$23+'CHAM_CONG_THANG'!$AJ56*'THAM_SO'!$C$24+'CHAM_CONG_THANG'!$AK56*'THAM_SO'!$C$25))</f>
        <v/>
      </c>
      <c r="AA56" s="224">
        <f>IF('DM_NHAN_SU'!$B56="","",MAX(0,$Y56*($M56*IF('THAM_SO'!$C$22&gt;='THAM_SO'!$B$22,'THAM_SO'!$B$22,0)+'CHAM_CONG_THANG'!$AF56*IF('THAM_SO'!$C$19&gt;='THAM_SO'!$B$19,'THAM_SO'!$B$19,0)+'CHAM_CONG_THANG'!$AG56*IF('THAM_SO'!$C$20&gt;='THAM_SO'!$B$20,'THAM_SO'!$B$20,0)+'CHAM_CONG_THANG'!$AH56*IF('THAM_SO'!$C$21&gt;='THAM_SO'!$B$21,'THAM_SO'!$B$21,0)+'CHAM_CONG_THANG'!$AI56*IF('THAM_SO'!$C$23&gt;='THAM_SO'!$B$23,'THAM_SO'!$B$23,0)+'CHAM_CONG_THANG'!$AJ56*IF('THAM_SO'!$C$24&gt;='THAM_SO'!$B$24,'THAM_SO'!$B$24,0)+'CHAM_CONG_THANG'!$AK56*IF('THAM_SO'!$C$25&gt;='THAM_SO'!$B$25,'THAM_SO'!$B$25,0))-'CHAM_CONG_THANG'!$V56))</f>
        <v/>
      </c>
      <c r="AB56" s="224">
        <f>IF('DM_NHAN_SU'!$B56="","",MAX($Z56-$AA56,0))</f>
        <v/>
      </c>
      <c r="AC56" s="224">
        <f>IF('DM_NHAN_SU'!$B56="","",$O56+$P56+$Q56+$R56+$S56+$V56+$AB56+$BO56+$BP56+$BQ56+$BR56)</f>
        <v/>
      </c>
      <c r="AD56" s="224">
        <f>IF('DM_NHAN_SU'!$B56="","",'DM_NHAN_SU'!N56+'DM_NHAN_SU'!O56+'DM_NHAN_SU'!P56)</f>
        <v/>
      </c>
      <c r="AE56" s="224">
        <f>IF('DM_NHAN_SU'!$B56="","",IF(OR('DM_NHAN_SU'!$R56&lt;&gt;"Có",'CHAM_CONG_THANG'!$AA56="Có",$BL56&gt;=14,$AD56&lt;=0),0,MIN(MAX($AD56,'THAM_SO'!$M$6),'THAM_SO'!$M$7)))</f>
        <v/>
      </c>
      <c r="AF56" s="224">
        <f>IF('DM_NHAN_SU'!$B56="","",IF(OR('DM_NHAN_SU'!$S56&lt;&gt;"Có",'CHAM_CONG_THANG'!$AA56="Có",$BL56&gt;=14,$AD56&lt;=0),0,MIN(MAX($AD56,VLOOKUP($H56,'THAM_SO'!$L$17:$P$20,4,FALSE)),VLOOKUP($H56,'THAM_SO'!$L$17:$P$20,5,FALSE))))</f>
        <v/>
      </c>
      <c r="AG56" s="224">
        <f>IF('DM_NHAN_SU'!$B56="","",$AE56*'THAM_SO'!$M$8)</f>
        <v/>
      </c>
      <c r="AH56" s="224">
        <f>IF('DM_NHAN_SU'!$B56="","",$AE56*'THAM_SO'!$M$9)</f>
        <v/>
      </c>
      <c r="AI56" s="224">
        <f>IF('DM_NHAN_SU'!$B56="","",$AF56*'THAM_SO'!$M$10)</f>
        <v/>
      </c>
      <c r="AJ56" s="224">
        <f>IF('DM_NHAN_SU'!$B56="","",SUM($AG56:$AI56))</f>
        <v/>
      </c>
      <c r="AK56" s="224">
        <f>IF('DM_NHAN_SU'!$B56="","",IF($B56="",0,'THAM_SO'!$F$4))</f>
        <v/>
      </c>
      <c r="AL56" s="224">
        <f>IF('DM_NHAN_SU'!$B56="","",IF($B56="",0,'DM_NHAN_SU'!$T56*'THAM_SO'!$F$5))</f>
        <v/>
      </c>
      <c r="AM56" s="224">
        <f>IF('DM_NHAN_SU'!$B56="","",'CHAM_CONG_THANG'!W56)</f>
        <v/>
      </c>
      <c r="AN56" s="224">
        <f>IF('DM_NHAN_SU'!$B56="","",MAX($AC56-$AK56-$AL56-$AM56,0))</f>
        <v/>
      </c>
      <c r="AO56" s="224">
        <f>IF('DM_NHAN_SU'!$B56="","",IF($B56="","",IF($F56="Net",IF($AC56&lt;=$AK56+$AL56+$AM56,$AC56+$AJ56,$AJ56+$AK56+$AL56+$AM56+IF($AN56&lt;='THAM_SO'!$J$10,($AN56-'THAM_SO'!$I$10)/(1-'THAM_SO'!$H$10),IF($AN56&lt;='THAM_SO'!$J$11,($AN56-'THAM_SO'!$I$11)/(1-'THAM_SO'!$H$11),IF($AN56&lt;='THAM_SO'!$J$12,($AN56-'THAM_SO'!$I$12)/(1-'THAM_SO'!$H$12),IF($AN56&lt;='THAM_SO'!$J$13,($AN56-'THAM_SO'!$I$13)/(1-'THAM_SO'!$H$13),($AN56-'THAM_SO'!$I$14)/(1-'THAM_SO'!$H$14)))))),$AC56)))</f>
        <v/>
      </c>
      <c r="AP56" s="224">
        <f>IF('DM_NHAN_SU'!$B56="","",$U56+$W56+$X56+$AA56+$BS56)</f>
        <v/>
      </c>
      <c r="AQ56" s="224">
        <f>IF('DM_NHAN_SU'!$B56="","",MAX($AO56-$AJ56-$AK56-$AL56-$AM56,0))</f>
        <v/>
      </c>
      <c r="AR56" s="224">
        <f>IF('DM_NHAN_SU'!$B56="","",IF($AQ56&lt;=0,0,$AQ56*VLOOKUP($AQ56,'THAM_SO'!$F$10:$I$14,3,TRUE)-VLOOKUP($AQ56,'THAM_SO'!$F$10:$I$14,4,TRUE)))</f>
        <v/>
      </c>
      <c r="AS56" s="224">
        <f>IF('DM_NHAN_SU'!$B56="","",$AO56+$AP56)</f>
        <v/>
      </c>
      <c r="AT56" s="224">
        <f>IF('DM_NHAN_SU'!$B56="","",$AS56-$AJ56-$AR56)</f>
        <v/>
      </c>
      <c r="AU56" s="224">
        <f>IF('DM_NHAN_SU'!$B56="","",'CHAM_CONG_THANG'!X56)</f>
        <v/>
      </c>
      <c r="AV56" s="224">
        <f>IF('DM_NHAN_SU'!$B56="","",'CHAM_CONG_THANG'!Y56+'QT_NGHI_VIEC'!AD56)</f>
        <v/>
      </c>
      <c r="AW56" s="224">
        <f>IF('DM_NHAN_SU'!$B56="","",'CHAM_CONG_THANG'!Z56)</f>
        <v/>
      </c>
      <c r="AX56" s="224">
        <f>IF('DM_NHAN_SU'!$B56="","",$AT56-$AU56-$AV56-$AW56-$BV56)</f>
        <v/>
      </c>
      <c r="AY56" s="224">
        <f>IF('DM_NHAN_SU'!$B56="","",$AE56*'THAM_SO'!$M$11)</f>
        <v/>
      </c>
      <c r="AZ56" s="224">
        <f>IF('DM_NHAN_SU'!$B56="","",$AE56*'THAM_SO'!$M$12)</f>
        <v/>
      </c>
      <c r="BA56" s="224">
        <f>IF('DM_NHAN_SU'!$B56="","",$AF56*'THAM_SO'!$M$13)</f>
        <v/>
      </c>
      <c r="BB56" s="224">
        <f>IF('DM_NHAN_SU'!$B56="","",$AE56*'THAM_SO'!$M$14)</f>
        <v/>
      </c>
      <c r="BC56" s="224">
        <f>IF('DM_NHAN_SU'!$B56="","",SUM($AY56:$BB56))</f>
        <v/>
      </c>
      <c r="BD56" s="224">
        <f>IF('DM_NHAN_SU'!$B56="","",$AS56+$BC56)</f>
        <v/>
      </c>
      <c r="BE56" s="224">
        <f>IF('DM_NHAN_SU'!$B56="","",VLOOKUP($H56,'THAM_SO'!$L$17:$P$20,2,FALSE))</f>
        <v/>
      </c>
      <c r="BF56" s="224">
        <f>IF('DM_NHAN_SU'!$B56="","",VLOOKUP($H56,'THAM_SO'!$L$17:$P$20,3,FALSE))</f>
        <v/>
      </c>
      <c r="BG56" s="150">
        <f>IF('DM_NHAN_SU'!$B56="","",IF($B56="","",IF(COUNTIF('DM_NHAN_SU'!$B$6:$B$155,$B56)&gt;1,"Trùng mã NV; ","")&amp;IF(OR($F56="",$G56=""),"Thiếu loại/hình thức lương; ","")&amp;IF('CHAM_CONG_THANG'!$D56="","Chưa chọn nguồn công; ","")&amp;IF(AND('CHAM_CONG_THANG'!$D56="Theo ngày",COUNTIF('CHAM_CONG_NGAY'!$B$6:$B$4655,$B56)=0),"Chưa có chấm công ngày; ","")&amp;IF(OR($I56&lt;=0,$J56&lt;=0),"Thiếu công/giờ chuẩn; ","")&amp;IF(AND($G56="Tháng",'DM_NHAN_SU'!$K56&lt;$BE56),"Lương tháng dưới tối thiểu vùng; ","")&amp;IF(AND($G56="Ngày",'DM_NHAN_SU'!$K56/$J56&lt;$BF56),"Lương ngày quy đổi dưới tối thiểu giờ; ","")&amp;IF(AND($G56="Giờ",'DM_NHAN_SU'!$K56&lt;$BF56),"Lương giờ dưới tối thiểu vùng; ","")&amp;IF(AND($G56="Sản phẩm",$L56&gt;0,$O56/$L56&lt;$BF56),"Lương SP quy đổi dưới tối thiểu giờ; ","")&amp;IF(OR('THAM_SO'!$C$19&lt;'THAM_SO'!$B$19,'THAM_SO'!$C$20&lt;'THAM_SO'!$B$20,'THAM_SO'!$C$21&lt;'THAM_SO'!$B$21,'THAM_SO'!$C$22&lt;'THAM_SO'!$B$22,'THAM_SO'!$C$23&lt;'THAM_SO'!$B$23,'THAM_SO'!$C$24&lt;'THAM_SO'!$B$24,'THAM_SO'!$C$25&lt;'THAM_SO'!$B$25),"Hệ số OT/đêm DN thấp hơn luật; ","")&amp;IF(AND('DM_NHAN_SU'!$R56="Có",$AD56&lt;=0),"Thiếu căn cứ đóng BH; ","")&amp;IF(AND($AD56&gt;0,$AD56&lt;'THAM_SO'!$M$6),"Căn cứ BH dưới sàn – đã nâng sàn; ","")&amp;IF($AD56&gt;'THAM_SO'!$M$7,"Căn cứ BH vượt trần – đã giới hạn; ","")&amp;IF(AND($F56="Net",SUM('CHAM_CONG_THANG'!$AF56:$AK56)&gt;0,'DM_NHAN_SU'!$Q56&lt;=0),"Net có OT nhưng chưa khai lương giờ OT; ","")&amp;IF('CHAM_CONG_THANG'!$V56&gt;$Z56,"Phần OT không miễn lớn hơn tiền OT; ","")&amp;IF(AND($F56="Net",ABS($AT56-$AC56-$AP56)&gt;1),"Lệch quy đổi Net; ","")&amp;IF(AND($BH56&gt;0,'DM_NHAN_SU'!$AD56=""),"Có phép năm nhưng đang tạm dùng 12 ngày; ","")&amp;IF(AND($G56="Sản phẩm",SUM($BH56:$BJ56)&gt;0,'DM_NHAN_SU'!$AH56&lt;=0),"Lương sản phẩm thiếu đơn giá ngày phép/lễ; ","")&amp;IF(AND($BL56&gt;=14,'CHAM_CONG_THANG'!$AA56&lt;&gt;"Có"),"Thai sản từ 14 ngày: file tự dừng đóng BH – kiểm tra hồ sơ; ","")&amp;IF(AND('DM_NHAN_SU'!$AA56="Có",'DM_NHAN_SU'!$AB56=""),"Đoàn viên chưa chọn cách tính đoàn phí; ","")&amp;IF(AND('DM_NHAN_SU'!$AB56="Nhập tay",'DM_NHAN_SU'!$AC56&gt;'THAM_SO'!$M$26),"Đoàn phí nhập tay vượt trần thông dụng; ","")&amp;IF('NGHI_PHEP'!$L56&lt;&gt;"","Phép: "&amp;'NGHI_PHEP'!$L56,"")&amp;IF('CHE_DO_BHXH'!$AA56&lt;&gt;"","BHXH: "&amp;'CHE_DO_BHXH'!$AA56,"")&amp;IF('THUONG_T13_TET'!$O56&lt;&gt;"","Thưởng: "&amp;'THUONG_T13_TET'!$O56,"")&amp;IF('QT_NGHI_VIEC'!$AF56&lt;&gt;"","Nghỉ việc: "&amp;'QT_NGHI_VIEC'!$AF56,"")&amp;IF($AX56&lt;0,"Thực lĩnh âm; ","")&amp;IF(OR('DM_NHAN_SU'!$F56&gt;'THAM_SO'!$B$7,AND('DM_NHAN_SU'!$G56&lt;&gt;"",'DM_NHAN_SU'!$G56&lt;'THAM_SO'!$B$6)),"Ngoài kỳ trả lương; ","")))</f>
        <v/>
      </c>
      <c r="BH56" s="232">
        <f>IF('DM_NHAN_SU'!$B56="","",'CHAM_CONG_THANG'!AR56)</f>
        <v/>
      </c>
      <c r="BI56" s="232">
        <f>IF('DM_NHAN_SU'!$B56="","",'CHAM_CONG_THANG'!AS56)</f>
        <v/>
      </c>
      <c r="BJ56" s="232">
        <f>IF('DM_NHAN_SU'!$B56="","",'CHAM_CONG_THANG'!AT56)</f>
        <v/>
      </c>
      <c r="BK56" s="232">
        <f>IF('DM_NHAN_SU'!$B56="","",'CHAM_CONG_THANG'!AU56)</f>
        <v/>
      </c>
      <c r="BL56" s="232">
        <f>IF('DM_NHAN_SU'!$B56="","",'CHAM_CONG_THANG'!AV56)</f>
        <v/>
      </c>
      <c r="BM56" s="232">
        <f>IF('DM_NHAN_SU'!$B56="","",'CHAM_CONG_THANG'!AW56)</f>
        <v/>
      </c>
      <c r="BN56" s="232">
        <f>IF('DM_NHAN_SU'!$B56="","",SUM($K56,$BH56:$BJ56))</f>
        <v/>
      </c>
      <c r="BO56" s="224">
        <f>IF('DM_NHAN_SU'!$B56="","",IF($B56="",0,IF($G56="Tháng",IF($I56&gt;0,'DM_NHAN_SU'!$K56*MIN($BH56+$BJ56,MAX($I56-$K56,0))/$I56,0),IF($G56="Ngày",'DM_NHAN_SU'!$K56*SUM($BH56:$BJ56),IF($G56="Giờ",'DM_NHAN_SU'!$K56*SUM($BH56:$BJ56)*$J56,IF($G56="Sản phẩm",'DM_NHAN_SU'!$AH56*SUM($BH56:$BJ56),0))))))</f>
        <v/>
      </c>
      <c r="BP56" s="224">
        <f>IF('DM_NHAN_SU'!$B56="","",IF('THUONG_T13_TET'!$L56="Có",'THUONG_T13_TET'!$I56,0))</f>
        <v/>
      </c>
      <c r="BQ56" s="224">
        <f>IF('DM_NHAN_SU'!$B56="","",IF('THUONG_T13_TET'!$L56="Có",SUM('THUONG_T13_TET'!$J56:$K56),0))</f>
        <v/>
      </c>
      <c r="BR56" s="224">
        <f>IF('DM_NHAN_SU'!$B56="","",'QT_NGHI_VIEC'!AC56)</f>
        <v/>
      </c>
      <c r="BS56" s="224">
        <f>IF('DM_NHAN_SU'!$B56="","",'QT_NGHI_VIEC'!AB56)</f>
        <v/>
      </c>
      <c r="BT56" s="224">
        <f>IF('DM_NHAN_SU'!$B56="","",IF('CHE_DO_BHXH'!$Z56="Có",'CHE_DO_BHXH'!$W56,0))</f>
        <v/>
      </c>
      <c r="BU56" s="224">
        <f>IF('DM_NHAN_SU'!$B56="","",IF('CHE_DO_BHXH'!$Y56="DN trả thay",$BT56,0))</f>
        <v/>
      </c>
      <c r="BV56" s="224">
        <f>IF('DM_NHAN_SU'!$B56="","",IF(OR('DM_NHAN_SU'!$AA56&lt;&gt;"Có",'CHE_DO_BHXH'!$O56&gt;=1,SUM('CHE_DO_BHXH'!$D56,'CHE_DO_BHXH'!$G56,'CHE_DO_BHXH'!$K56)&gt;=24,AND($I56&gt;0,$BM56&gt;=$I56)),0,IF('DM_NHAN_SU'!$AB56="Không",0,IF('DM_NHAN_SU'!$AB56="Nhập tay",'DM_NHAN_SU'!$AC56,IF('DM_NHAN_SU'!$AB56="Theo thực nhận",MIN(MAX($AT56-$AU56-$AV56-$AW56,0)*'THAM_SO'!$M$23,'THAM_SO'!$M$26),MIN($AE56*'THAM_SO'!$M$23,'THAM_SO'!$M$26))))))</f>
        <v/>
      </c>
      <c r="BW56" s="224">
        <f>IF('DM_NHAN_SU'!$B56="","",$AX56+$BU56)</f>
        <v/>
      </c>
    </row>
    <row r="57">
      <c r="A57" s="145">
        <f>IF('DM_NHAN_SU'!$B57="","",IF($B57="","",ROW()-5))</f>
        <v/>
      </c>
      <c r="B57" s="145">
        <f>IF('DM_NHAN_SU'!$B57="","",'DM_NHAN_SU'!B57)</f>
        <v/>
      </c>
      <c r="C57" s="145">
        <f>IF('DM_NHAN_SU'!$B57="","",'DM_NHAN_SU'!C57)</f>
        <v/>
      </c>
      <c r="D57" s="145">
        <f>IF('DM_NHAN_SU'!$B57="","",'DM_NHAN_SU'!D57)</f>
        <v/>
      </c>
      <c r="E57" s="145">
        <f>IF('DM_NHAN_SU'!$B57="","",'DM_NHAN_SU'!E57)</f>
        <v/>
      </c>
      <c r="F57" s="145">
        <f>IF('DM_NHAN_SU'!$B57="","",'DM_NHAN_SU'!I57)</f>
        <v/>
      </c>
      <c r="G57" s="145">
        <f>IF('DM_NHAN_SU'!$B57="","",'DM_NHAN_SU'!J57)</f>
        <v/>
      </c>
      <c r="H57" s="145">
        <f>IF('DM_NHAN_SU'!$B57="","",IF('DM_NHAN_SU'!H57="",'THAM_SO'!$B$11,'DM_NHAN_SU'!H57))</f>
        <v/>
      </c>
      <c r="I57" s="232">
        <f>IF('DM_NHAN_SU'!$B57="","",IF('DM_NHAN_SU'!L57&gt;0,'DM_NHAN_SU'!L57,'THAM_SO'!$B$9))</f>
        <v/>
      </c>
      <c r="J57" s="232">
        <f>IF('DM_NHAN_SU'!$B57="","",IF('DM_NHAN_SU'!M57&gt;0,'DM_NHAN_SU'!M57,'THAM_SO'!$B$10))</f>
        <v/>
      </c>
      <c r="K57" s="232">
        <f>IF('DM_NHAN_SU'!$B57="","",'CHAM_CONG_THANG'!AC57)</f>
        <v/>
      </c>
      <c r="L57" s="232">
        <f>IF('DM_NHAN_SU'!$B57="","",'CHAM_CONG_THANG'!AD57)</f>
        <v/>
      </c>
      <c r="M57" s="232">
        <f>IF('DM_NHAN_SU'!$B57="","",'CHAM_CONG_THANG'!AE57)</f>
        <v/>
      </c>
      <c r="N57" s="232">
        <f>IF('DM_NHAN_SU'!$B57="","",'CHAM_CONG_THANG'!N57)</f>
        <v/>
      </c>
      <c r="O57" s="224">
        <f>IF('DM_NHAN_SU'!$B57="","",IF($B57="","",IF($G57="Tháng",IF($I57&gt;0,'DM_NHAN_SU'!$K57*MIN($K57,$I57)/$I57,0),IF($G57="Ngày",'DM_NHAN_SU'!$K57*$K57,IF($G57="Giờ",'DM_NHAN_SU'!$K57*$L57,IF($G57="Sản phẩm",'DM_NHAN_SU'!$K57*$N57,0))))))</f>
        <v/>
      </c>
      <c r="P57" s="224">
        <f>IF('DM_NHAN_SU'!$B57="","",'CHAM_CONG_THANG'!O57)</f>
        <v/>
      </c>
      <c r="Q57" s="224">
        <f>IF('DM_NHAN_SU'!$B57="","",'CHAM_CONG_THANG'!P57)</f>
        <v/>
      </c>
      <c r="R57" s="224">
        <f>IF('DM_NHAN_SU'!$B57="","",'CHAM_CONG_THANG'!Q57)</f>
        <v/>
      </c>
      <c r="S57" s="224">
        <f>IF('DM_NHAN_SU'!$B57="","",'CHAM_CONG_THANG'!R57)</f>
        <v/>
      </c>
      <c r="T57" s="224">
        <f>IF('DM_NHAN_SU'!$B57="","",'CHAM_CONG_THANG'!S57)</f>
        <v/>
      </c>
      <c r="U57" s="224">
        <f>IF('DM_NHAN_SU'!$B57="","",MIN($T57,'THAM_SO'!$F$6))</f>
        <v/>
      </c>
      <c r="V57" s="224">
        <f>IF('DM_NHAN_SU'!$B57="","",MAX($T57-$U57,0))</f>
        <v/>
      </c>
      <c r="W57" s="224">
        <f>IF('DM_NHAN_SU'!$B57="","",'CHAM_CONG_THANG'!T57)</f>
        <v/>
      </c>
      <c r="X57" s="224">
        <f>IF('DM_NHAN_SU'!$B57="","",'CHAM_CONG_THANG'!U57)</f>
        <v/>
      </c>
      <c r="Y57" s="224">
        <f>IF('DM_NHAN_SU'!$B57="","",IF($B57="",0,IF('DM_NHAN_SU'!$Q57&gt;0,'DM_NHAN_SU'!$Q57,IF($G57="Tháng",IF($I57*$J57&gt;0,'DM_NHAN_SU'!$K57/($I57*$J57),0),IF($G57="Ngày",IF($J57&gt;0,'DM_NHAN_SU'!$K57/$J57,0),IF($G57="Giờ",'DM_NHAN_SU'!$K57,0))))))</f>
        <v/>
      </c>
      <c r="Z57" s="224">
        <f>IF('DM_NHAN_SU'!$B57="","",$Y57*($M57*'THAM_SO'!$C$22+'CHAM_CONG_THANG'!$AF57*'THAM_SO'!$C$19+'CHAM_CONG_THANG'!$AG57*'THAM_SO'!$C$20+'CHAM_CONG_THANG'!$AH57*'THAM_SO'!$C$21+'CHAM_CONG_THANG'!$AI57*'THAM_SO'!$C$23+'CHAM_CONG_THANG'!$AJ57*'THAM_SO'!$C$24+'CHAM_CONG_THANG'!$AK57*'THAM_SO'!$C$25))</f>
        <v/>
      </c>
      <c r="AA57" s="224">
        <f>IF('DM_NHAN_SU'!$B57="","",MAX(0,$Y57*($M57*IF('THAM_SO'!$C$22&gt;='THAM_SO'!$B$22,'THAM_SO'!$B$22,0)+'CHAM_CONG_THANG'!$AF57*IF('THAM_SO'!$C$19&gt;='THAM_SO'!$B$19,'THAM_SO'!$B$19,0)+'CHAM_CONG_THANG'!$AG57*IF('THAM_SO'!$C$20&gt;='THAM_SO'!$B$20,'THAM_SO'!$B$20,0)+'CHAM_CONG_THANG'!$AH57*IF('THAM_SO'!$C$21&gt;='THAM_SO'!$B$21,'THAM_SO'!$B$21,0)+'CHAM_CONG_THANG'!$AI57*IF('THAM_SO'!$C$23&gt;='THAM_SO'!$B$23,'THAM_SO'!$B$23,0)+'CHAM_CONG_THANG'!$AJ57*IF('THAM_SO'!$C$24&gt;='THAM_SO'!$B$24,'THAM_SO'!$B$24,0)+'CHAM_CONG_THANG'!$AK57*IF('THAM_SO'!$C$25&gt;='THAM_SO'!$B$25,'THAM_SO'!$B$25,0))-'CHAM_CONG_THANG'!$V57))</f>
        <v/>
      </c>
      <c r="AB57" s="224">
        <f>IF('DM_NHAN_SU'!$B57="","",MAX($Z57-$AA57,0))</f>
        <v/>
      </c>
      <c r="AC57" s="224">
        <f>IF('DM_NHAN_SU'!$B57="","",$O57+$P57+$Q57+$R57+$S57+$V57+$AB57+$BO57+$BP57+$BQ57+$BR57)</f>
        <v/>
      </c>
      <c r="AD57" s="224">
        <f>IF('DM_NHAN_SU'!$B57="","",'DM_NHAN_SU'!N57+'DM_NHAN_SU'!O57+'DM_NHAN_SU'!P57)</f>
        <v/>
      </c>
      <c r="AE57" s="224">
        <f>IF('DM_NHAN_SU'!$B57="","",IF(OR('DM_NHAN_SU'!$R57&lt;&gt;"Có",'CHAM_CONG_THANG'!$AA57="Có",$BL57&gt;=14,$AD57&lt;=0),0,MIN(MAX($AD57,'THAM_SO'!$M$6),'THAM_SO'!$M$7)))</f>
        <v/>
      </c>
      <c r="AF57" s="224">
        <f>IF('DM_NHAN_SU'!$B57="","",IF(OR('DM_NHAN_SU'!$S57&lt;&gt;"Có",'CHAM_CONG_THANG'!$AA57="Có",$BL57&gt;=14,$AD57&lt;=0),0,MIN(MAX($AD57,VLOOKUP($H57,'THAM_SO'!$L$17:$P$20,4,FALSE)),VLOOKUP($H57,'THAM_SO'!$L$17:$P$20,5,FALSE))))</f>
        <v/>
      </c>
      <c r="AG57" s="224">
        <f>IF('DM_NHAN_SU'!$B57="","",$AE57*'THAM_SO'!$M$8)</f>
        <v/>
      </c>
      <c r="AH57" s="224">
        <f>IF('DM_NHAN_SU'!$B57="","",$AE57*'THAM_SO'!$M$9)</f>
        <v/>
      </c>
      <c r="AI57" s="224">
        <f>IF('DM_NHAN_SU'!$B57="","",$AF57*'THAM_SO'!$M$10)</f>
        <v/>
      </c>
      <c r="AJ57" s="224">
        <f>IF('DM_NHAN_SU'!$B57="","",SUM($AG57:$AI57))</f>
        <v/>
      </c>
      <c r="AK57" s="224">
        <f>IF('DM_NHAN_SU'!$B57="","",IF($B57="",0,'THAM_SO'!$F$4))</f>
        <v/>
      </c>
      <c r="AL57" s="224">
        <f>IF('DM_NHAN_SU'!$B57="","",IF($B57="",0,'DM_NHAN_SU'!$T57*'THAM_SO'!$F$5))</f>
        <v/>
      </c>
      <c r="AM57" s="224">
        <f>IF('DM_NHAN_SU'!$B57="","",'CHAM_CONG_THANG'!W57)</f>
        <v/>
      </c>
      <c r="AN57" s="224">
        <f>IF('DM_NHAN_SU'!$B57="","",MAX($AC57-$AK57-$AL57-$AM57,0))</f>
        <v/>
      </c>
      <c r="AO57" s="224">
        <f>IF('DM_NHAN_SU'!$B57="","",IF($B57="","",IF($F57="Net",IF($AC57&lt;=$AK57+$AL57+$AM57,$AC57+$AJ57,$AJ57+$AK57+$AL57+$AM57+IF($AN57&lt;='THAM_SO'!$J$10,($AN57-'THAM_SO'!$I$10)/(1-'THAM_SO'!$H$10),IF($AN57&lt;='THAM_SO'!$J$11,($AN57-'THAM_SO'!$I$11)/(1-'THAM_SO'!$H$11),IF($AN57&lt;='THAM_SO'!$J$12,($AN57-'THAM_SO'!$I$12)/(1-'THAM_SO'!$H$12),IF($AN57&lt;='THAM_SO'!$J$13,($AN57-'THAM_SO'!$I$13)/(1-'THAM_SO'!$H$13),($AN57-'THAM_SO'!$I$14)/(1-'THAM_SO'!$H$14)))))),$AC57)))</f>
        <v/>
      </c>
      <c r="AP57" s="224">
        <f>IF('DM_NHAN_SU'!$B57="","",$U57+$W57+$X57+$AA57+$BS57)</f>
        <v/>
      </c>
      <c r="AQ57" s="224">
        <f>IF('DM_NHAN_SU'!$B57="","",MAX($AO57-$AJ57-$AK57-$AL57-$AM57,0))</f>
        <v/>
      </c>
      <c r="AR57" s="224">
        <f>IF('DM_NHAN_SU'!$B57="","",IF($AQ57&lt;=0,0,$AQ57*VLOOKUP($AQ57,'THAM_SO'!$F$10:$I$14,3,TRUE)-VLOOKUP($AQ57,'THAM_SO'!$F$10:$I$14,4,TRUE)))</f>
        <v/>
      </c>
      <c r="AS57" s="224">
        <f>IF('DM_NHAN_SU'!$B57="","",$AO57+$AP57)</f>
        <v/>
      </c>
      <c r="AT57" s="224">
        <f>IF('DM_NHAN_SU'!$B57="","",$AS57-$AJ57-$AR57)</f>
        <v/>
      </c>
      <c r="AU57" s="224">
        <f>IF('DM_NHAN_SU'!$B57="","",'CHAM_CONG_THANG'!X57)</f>
        <v/>
      </c>
      <c r="AV57" s="224">
        <f>IF('DM_NHAN_SU'!$B57="","",'CHAM_CONG_THANG'!Y57+'QT_NGHI_VIEC'!AD57)</f>
        <v/>
      </c>
      <c r="AW57" s="224">
        <f>IF('DM_NHAN_SU'!$B57="","",'CHAM_CONG_THANG'!Z57)</f>
        <v/>
      </c>
      <c r="AX57" s="224">
        <f>IF('DM_NHAN_SU'!$B57="","",$AT57-$AU57-$AV57-$AW57-$BV57)</f>
        <v/>
      </c>
      <c r="AY57" s="224">
        <f>IF('DM_NHAN_SU'!$B57="","",$AE57*'THAM_SO'!$M$11)</f>
        <v/>
      </c>
      <c r="AZ57" s="224">
        <f>IF('DM_NHAN_SU'!$B57="","",$AE57*'THAM_SO'!$M$12)</f>
        <v/>
      </c>
      <c r="BA57" s="224">
        <f>IF('DM_NHAN_SU'!$B57="","",$AF57*'THAM_SO'!$M$13)</f>
        <v/>
      </c>
      <c r="BB57" s="224">
        <f>IF('DM_NHAN_SU'!$B57="","",$AE57*'THAM_SO'!$M$14)</f>
        <v/>
      </c>
      <c r="BC57" s="224">
        <f>IF('DM_NHAN_SU'!$B57="","",SUM($AY57:$BB57))</f>
        <v/>
      </c>
      <c r="BD57" s="224">
        <f>IF('DM_NHAN_SU'!$B57="","",$AS57+$BC57)</f>
        <v/>
      </c>
      <c r="BE57" s="224">
        <f>IF('DM_NHAN_SU'!$B57="","",VLOOKUP($H57,'THAM_SO'!$L$17:$P$20,2,FALSE))</f>
        <v/>
      </c>
      <c r="BF57" s="224">
        <f>IF('DM_NHAN_SU'!$B57="","",VLOOKUP($H57,'THAM_SO'!$L$17:$P$20,3,FALSE))</f>
        <v/>
      </c>
      <c r="BG57" s="150">
        <f>IF('DM_NHAN_SU'!$B57="","",IF($B57="","",IF(COUNTIF('DM_NHAN_SU'!$B$6:$B$155,$B57)&gt;1,"Trùng mã NV; ","")&amp;IF(OR($F57="",$G57=""),"Thiếu loại/hình thức lương; ","")&amp;IF('CHAM_CONG_THANG'!$D57="","Chưa chọn nguồn công; ","")&amp;IF(AND('CHAM_CONG_THANG'!$D57="Theo ngày",COUNTIF('CHAM_CONG_NGAY'!$B$6:$B$4655,$B57)=0),"Chưa có chấm công ngày; ","")&amp;IF(OR($I57&lt;=0,$J57&lt;=0),"Thiếu công/giờ chuẩn; ","")&amp;IF(AND($G57="Tháng",'DM_NHAN_SU'!$K57&lt;$BE57),"Lương tháng dưới tối thiểu vùng; ","")&amp;IF(AND($G57="Ngày",'DM_NHAN_SU'!$K57/$J57&lt;$BF57),"Lương ngày quy đổi dưới tối thiểu giờ; ","")&amp;IF(AND($G57="Giờ",'DM_NHAN_SU'!$K57&lt;$BF57),"Lương giờ dưới tối thiểu vùng; ","")&amp;IF(AND($G57="Sản phẩm",$L57&gt;0,$O57/$L57&lt;$BF57),"Lương SP quy đổi dưới tối thiểu giờ; ","")&amp;IF(OR('THAM_SO'!$C$19&lt;'THAM_SO'!$B$19,'THAM_SO'!$C$20&lt;'THAM_SO'!$B$20,'THAM_SO'!$C$21&lt;'THAM_SO'!$B$21,'THAM_SO'!$C$22&lt;'THAM_SO'!$B$22,'THAM_SO'!$C$23&lt;'THAM_SO'!$B$23,'THAM_SO'!$C$24&lt;'THAM_SO'!$B$24,'THAM_SO'!$C$25&lt;'THAM_SO'!$B$25),"Hệ số OT/đêm DN thấp hơn luật; ","")&amp;IF(AND('DM_NHAN_SU'!$R57="Có",$AD57&lt;=0),"Thiếu căn cứ đóng BH; ","")&amp;IF(AND($AD57&gt;0,$AD57&lt;'THAM_SO'!$M$6),"Căn cứ BH dưới sàn – đã nâng sàn; ","")&amp;IF($AD57&gt;'THAM_SO'!$M$7,"Căn cứ BH vượt trần – đã giới hạn; ","")&amp;IF(AND($F57="Net",SUM('CHAM_CONG_THANG'!$AF57:$AK57)&gt;0,'DM_NHAN_SU'!$Q57&lt;=0),"Net có OT nhưng chưa khai lương giờ OT; ","")&amp;IF('CHAM_CONG_THANG'!$V57&gt;$Z57,"Phần OT không miễn lớn hơn tiền OT; ","")&amp;IF(AND($F57="Net",ABS($AT57-$AC57-$AP57)&gt;1),"Lệch quy đổi Net; ","")&amp;IF(AND($BH57&gt;0,'DM_NHAN_SU'!$AD57=""),"Có phép năm nhưng đang tạm dùng 12 ngày; ","")&amp;IF(AND($G57="Sản phẩm",SUM($BH57:$BJ57)&gt;0,'DM_NHAN_SU'!$AH57&lt;=0),"Lương sản phẩm thiếu đơn giá ngày phép/lễ; ","")&amp;IF(AND($BL57&gt;=14,'CHAM_CONG_THANG'!$AA57&lt;&gt;"Có"),"Thai sản từ 14 ngày: file tự dừng đóng BH – kiểm tra hồ sơ; ","")&amp;IF(AND('DM_NHAN_SU'!$AA57="Có",'DM_NHAN_SU'!$AB57=""),"Đoàn viên chưa chọn cách tính đoàn phí; ","")&amp;IF(AND('DM_NHAN_SU'!$AB57="Nhập tay",'DM_NHAN_SU'!$AC57&gt;'THAM_SO'!$M$26),"Đoàn phí nhập tay vượt trần thông dụng; ","")&amp;IF('NGHI_PHEP'!$L57&lt;&gt;"","Phép: "&amp;'NGHI_PHEP'!$L57,"")&amp;IF('CHE_DO_BHXH'!$AA57&lt;&gt;"","BHXH: "&amp;'CHE_DO_BHXH'!$AA57,"")&amp;IF('THUONG_T13_TET'!$O57&lt;&gt;"","Thưởng: "&amp;'THUONG_T13_TET'!$O57,"")&amp;IF('QT_NGHI_VIEC'!$AF57&lt;&gt;"","Nghỉ việc: "&amp;'QT_NGHI_VIEC'!$AF57,"")&amp;IF($AX57&lt;0,"Thực lĩnh âm; ","")&amp;IF(OR('DM_NHAN_SU'!$F57&gt;'THAM_SO'!$B$7,AND('DM_NHAN_SU'!$G57&lt;&gt;"",'DM_NHAN_SU'!$G57&lt;'THAM_SO'!$B$6)),"Ngoài kỳ trả lương; ","")))</f>
        <v/>
      </c>
      <c r="BH57" s="232">
        <f>IF('DM_NHAN_SU'!$B57="","",'CHAM_CONG_THANG'!AR57)</f>
        <v/>
      </c>
      <c r="BI57" s="232">
        <f>IF('DM_NHAN_SU'!$B57="","",'CHAM_CONG_THANG'!AS57)</f>
        <v/>
      </c>
      <c r="BJ57" s="232">
        <f>IF('DM_NHAN_SU'!$B57="","",'CHAM_CONG_THANG'!AT57)</f>
        <v/>
      </c>
      <c r="BK57" s="232">
        <f>IF('DM_NHAN_SU'!$B57="","",'CHAM_CONG_THANG'!AU57)</f>
        <v/>
      </c>
      <c r="BL57" s="232">
        <f>IF('DM_NHAN_SU'!$B57="","",'CHAM_CONG_THANG'!AV57)</f>
        <v/>
      </c>
      <c r="BM57" s="232">
        <f>IF('DM_NHAN_SU'!$B57="","",'CHAM_CONG_THANG'!AW57)</f>
        <v/>
      </c>
      <c r="BN57" s="232">
        <f>IF('DM_NHAN_SU'!$B57="","",SUM($K57,$BH57:$BJ57))</f>
        <v/>
      </c>
      <c r="BO57" s="224">
        <f>IF('DM_NHAN_SU'!$B57="","",IF($B57="",0,IF($G57="Tháng",IF($I57&gt;0,'DM_NHAN_SU'!$K57*MIN($BH57+$BJ57,MAX($I57-$K57,0))/$I57,0),IF($G57="Ngày",'DM_NHAN_SU'!$K57*SUM($BH57:$BJ57),IF($G57="Giờ",'DM_NHAN_SU'!$K57*SUM($BH57:$BJ57)*$J57,IF($G57="Sản phẩm",'DM_NHAN_SU'!$AH57*SUM($BH57:$BJ57),0))))))</f>
        <v/>
      </c>
      <c r="BP57" s="224">
        <f>IF('DM_NHAN_SU'!$B57="","",IF('THUONG_T13_TET'!$L57="Có",'THUONG_T13_TET'!$I57,0))</f>
        <v/>
      </c>
      <c r="BQ57" s="224">
        <f>IF('DM_NHAN_SU'!$B57="","",IF('THUONG_T13_TET'!$L57="Có",SUM('THUONG_T13_TET'!$J57:$K57),0))</f>
        <v/>
      </c>
      <c r="BR57" s="224">
        <f>IF('DM_NHAN_SU'!$B57="","",'QT_NGHI_VIEC'!AC57)</f>
        <v/>
      </c>
      <c r="BS57" s="224">
        <f>IF('DM_NHAN_SU'!$B57="","",'QT_NGHI_VIEC'!AB57)</f>
        <v/>
      </c>
      <c r="BT57" s="224">
        <f>IF('DM_NHAN_SU'!$B57="","",IF('CHE_DO_BHXH'!$Z57="Có",'CHE_DO_BHXH'!$W57,0))</f>
        <v/>
      </c>
      <c r="BU57" s="224">
        <f>IF('DM_NHAN_SU'!$B57="","",IF('CHE_DO_BHXH'!$Y57="DN trả thay",$BT57,0))</f>
        <v/>
      </c>
      <c r="BV57" s="224">
        <f>IF('DM_NHAN_SU'!$B57="","",IF(OR('DM_NHAN_SU'!$AA57&lt;&gt;"Có",'CHE_DO_BHXH'!$O57&gt;=1,SUM('CHE_DO_BHXH'!$D57,'CHE_DO_BHXH'!$G57,'CHE_DO_BHXH'!$K57)&gt;=24,AND($I57&gt;0,$BM57&gt;=$I57)),0,IF('DM_NHAN_SU'!$AB57="Không",0,IF('DM_NHAN_SU'!$AB57="Nhập tay",'DM_NHAN_SU'!$AC57,IF('DM_NHAN_SU'!$AB57="Theo thực nhận",MIN(MAX($AT57-$AU57-$AV57-$AW57,0)*'THAM_SO'!$M$23,'THAM_SO'!$M$26),MIN($AE57*'THAM_SO'!$M$23,'THAM_SO'!$M$26))))))</f>
        <v/>
      </c>
      <c r="BW57" s="224">
        <f>IF('DM_NHAN_SU'!$B57="","",$AX57+$BU57)</f>
        <v/>
      </c>
    </row>
    <row r="58">
      <c r="A58" s="145">
        <f>IF('DM_NHAN_SU'!$B58="","",IF($B58="","",ROW()-5))</f>
        <v/>
      </c>
      <c r="B58" s="145">
        <f>IF('DM_NHAN_SU'!$B58="","",'DM_NHAN_SU'!B58)</f>
        <v/>
      </c>
      <c r="C58" s="145">
        <f>IF('DM_NHAN_SU'!$B58="","",'DM_NHAN_SU'!C58)</f>
        <v/>
      </c>
      <c r="D58" s="145">
        <f>IF('DM_NHAN_SU'!$B58="","",'DM_NHAN_SU'!D58)</f>
        <v/>
      </c>
      <c r="E58" s="145">
        <f>IF('DM_NHAN_SU'!$B58="","",'DM_NHAN_SU'!E58)</f>
        <v/>
      </c>
      <c r="F58" s="145">
        <f>IF('DM_NHAN_SU'!$B58="","",'DM_NHAN_SU'!I58)</f>
        <v/>
      </c>
      <c r="G58" s="145">
        <f>IF('DM_NHAN_SU'!$B58="","",'DM_NHAN_SU'!J58)</f>
        <v/>
      </c>
      <c r="H58" s="145">
        <f>IF('DM_NHAN_SU'!$B58="","",IF('DM_NHAN_SU'!H58="",'THAM_SO'!$B$11,'DM_NHAN_SU'!H58))</f>
        <v/>
      </c>
      <c r="I58" s="232">
        <f>IF('DM_NHAN_SU'!$B58="","",IF('DM_NHAN_SU'!L58&gt;0,'DM_NHAN_SU'!L58,'THAM_SO'!$B$9))</f>
        <v/>
      </c>
      <c r="J58" s="232">
        <f>IF('DM_NHAN_SU'!$B58="","",IF('DM_NHAN_SU'!M58&gt;0,'DM_NHAN_SU'!M58,'THAM_SO'!$B$10))</f>
        <v/>
      </c>
      <c r="K58" s="232">
        <f>IF('DM_NHAN_SU'!$B58="","",'CHAM_CONG_THANG'!AC58)</f>
        <v/>
      </c>
      <c r="L58" s="232">
        <f>IF('DM_NHAN_SU'!$B58="","",'CHAM_CONG_THANG'!AD58)</f>
        <v/>
      </c>
      <c r="M58" s="232">
        <f>IF('DM_NHAN_SU'!$B58="","",'CHAM_CONG_THANG'!AE58)</f>
        <v/>
      </c>
      <c r="N58" s="232">
        <f>IF('DM_NHAN_SU'!$B58="","",'CHAM_CONG_THANG'!N58)</f>
        <v/>
      </c>
      <c r="O58" s="224">
        <f>IF('DM_NHAN_SU'!$B58="","",IF($B58="","",IF($G58="Tháng",IF($I58&gt;0,'DM_NHAN_SU'!$K58*MIN($K58,$I58)/$I58,0),IF($G58="Ngày",'DM_NHAN_SU'!$K58*$K58,IF($G58="Giờ",'DM_NHAN_SU'!$K58*$L58,IF($G58="Sản phẩm",'DM_NHAN_SU'!$K58*$N58,0))))))</f>
        <v/>
      </c>
      <c r="P58" s="224">
        <f>IF('DM_NHAN_SU'!$B58="","",'CHAM_CONG_THANG'!O58)</f>
        <v/>
      </c>
      <c r="Q58" s="224">
        <f>IF('DM_NHAN_SU'!$B58="","",'CHAM_CONG_THANG'!P58)</f>
        <v/>
      </c>
      <c r="R58" s="224">
        <f>IF('DM_NHAN_SU'!$B58="","",'CHAM_CONG_THANG'!Q58)</f>
        <v/>
      </c>
      <c r="S58" s="224">
        <f>IF('DM_NHAN_SU'!$B58="","",'CHAM_CONG_THANG'!R58)</f>
        <v/>
      </c>
      <c r="T58" s="224">
        <f>IF('DM_NHAN_SU'!$B58="","",'CHAM_CONG_THANG'!S58)</f>
        <v/>
      </c>
      <c r="U58" s="224">
        <f>IF('DM_NHAN_SU'!$B58="","",MIN($T58,'THAM_SO'!$F$6))</f>
        <v/>
      </c>
      <c r="V58" s="224">
        <f>IF('DM_NHAN_SU'!$B58="","",MAX($T58-$U58,0))</f>
        <v/>
      </c>
      <c r="W58" s="224">
        <f>IF('DM_NHAN_SU'!$B58="","",'CHAM_CONG_THANG'!T58)</f>
        <v/>
      </c>
      <c r="X58" s="224">
        <f>IF('DM_NHAN_SU'!$B58="","",'CHAM_CONG_THANG'!U58)</f>
        <v/>
      </c>
      <c r="Y58" s="224">
        <f>IF('DM_NHAN_SU'!$B58="","",IF($B58="",0,IF('DM_NHAN_SU'!$Q58&gt;0,'DM_NHAN_SU'!$Q58,IF($G58="Tháng",IF($I58*$J58&gt;0,'DM_NHAN_SU'!$K58/($I58*$J58),0),IF($G58="Ngày",IF($J58&gt;0,'DM_NHAN_SU'!$K58/$J58,0),IF($G58="Giờ",'DM_NHAN_SU'!$K58,0))))))</f>
        <v/>
      </c>
      <c r="Z58" s="224">
        <f>IF('DM_NHAN_SU'!$B58="","",$Y58*($M58*'THAM_SO'!$C$22+'CHAM_CONG_THANG'!$AF58*'THAM_SO'!$C$19+'CHAM_CONG_THANG'!$AG58*'THAM_SO'!$C$20+'CHAM_CONG_THANG'!$AH58*'THAM_SO'!$C$21+'CHAM_CONG_THANG'!$AI58*'THAM_SO'!$C$23+'CHAM_CONG_THANG'!$AJ58*'THAM_SO'!$C$24+'CHAM_CONG_THANG'!$AK58*'THAM_SO'!$C$25))</f>
        <v/>
      </c>
      <c r="AA58" s="224">
        <f>IF('DM_NHAN_SU'!$B58="","",MAX(0,$Y58*($M58*IF('THAM_SO'!$C$22&gt;='THAM_SO'!$B$22,'THAM_SO'!$B$22,0)+'CHAM_CONG_THANG'!$AF58*IF('THAM_SO'!$C$19&gt;='THAM_SO'!$B$19,'THAM_SO'!$B$19,0)+'CHAM_CONG_THANG'!$AG58*IF('THAM_SO'!$C$20&gt;='THAM_SO'!$B$20,'THAM_SO'!$B$20,0)+'CHAM_CONG_THANG'!$AH58*IF('THAM_SO'!$C$21&gt;='THAM_SO'!$B$21,'THAM_SO'!$B$21,0)+'CHAM_CONG_THANG'!$AI58*IF('THAM_SO'!$C$23&gt;='THAM_SO'!$B$23,'THAM_SO'!$B$23,0)+'CHAM_CONG_THANG'!$AJ58*IF('THAM_SO'!$C$24&gt;='THAM_SO'!$B$24,'THAM_SO'!$B$24,0)+'CHAM_CONG_THANG'!$AK58*IF('THAM_SO'!$C$25&gt;='THAM_SO'!$B$25,'THAM_SO'!$B$25,0))-'CHAM_CONG_THANG'!$V58))</f>
        <v/>
      </c>
      <c r="AB58" s="224">
        <f>IF('DM_NHAN_SU'!$B58="","",MAX($Z58-$AA58,0))</f>
        <v/>
      </c>
      <c r="AC58" s="224">
        <f>IF('DM_NHAN_SU'!$B58="","",$O58+$P58+$Q58+$R58+$S58+$V58+$AB58+$BO58+$BP58+$BQ58+$BR58)</f>
        <v/>
      </c>
      <c r="AD58" s="224">
        <f>IF('DM_NHAN_SU'!$B58="","",'DM_NHAN_SU'!N58+'DM_NHAN_SU'!O58+'DM_NHAN_SU'!P58)</f>
        <v/>
      </c>
      <c r="AE58" s="224">
        <f>IF('DM_NHAN_SU'!$B58="","",IF(OR('DM_NHAN_SU'!$R58&lt;&gt;"Có",'CHAM_CONG_THANG'!$AA58="Có",$BL58&gt;=14,$AD58&lt;=0),0,MIN(MAX($AD58,'THAM_SO'!$M$6),'THAM_SO'!$M$7)))</f>
        <v/>
      </c>
      <c r="AF58" s="224">
        <f>IF('DM_NHAN_SU'!$B58="","",IF(OR('DM_NHAN_SU'!$S58&lt;&gt;"Có",'CHAM_CONG_THANG'!$AA58="Có",$BL58&gt;=14,$AD58&lt;=0),0,MIN(MAX($AD58,VLOOKUP($H58,'THAM_SO'!$L$17:$P$20,4,FALSE)),VLOOKUP($H58,'THAM_SO'!$L$17:$P$20,5,FALSE))))</f>
        <v/>
      </c>
      <c r="AG58" s="224">
        <f>IF('DM_NHAN_SU'!$B58="","",$AE58*'THAM_SO'!$M$8)</f>
        <v/>
      </c>
      <c r="AH58" s="224">
        <f>IF('DM_NHAN_SU'!$B58="","",$AE58*'THAM_SO'!$M$9)</f>
        <v/>
      </c>
      <c r="AI58" s="224">
        <f>IF('DM_NHAN_SU'!$B58="","",$AF58*'THAM_SO'!$M$10)</f>
        <v/>
      </c>
      <c r="AJ58" s="224">
        <f>IF('DM_NHAN_SU'!$B58="","",SUM($AG58:$AI58))</f>
        <v/>
      </c>
      <c r="AK58" s="224">
        <f>IF('DM_NHAN_SU'!$B58="","",IF($B58="",0,'THAM_SO'!$F$4))</f>
        <v/>
      </c>
      <c r="AL58" s="224">
        <f>IF('DM_NHAN_SU'!$B58="","",IF($B58="",0,'DM_NHAN_SU'!$T58*'THAM_SO'!$F$5))</f>
        <v/>
      </c>
      <c r="AM58" s="224">
        <f>IF('DM_NHAN_SU'!$B58="","",'CHAM_CONG_THANG'!W58)</f>
        <v/>
      </c>
      <c r="AN58" s="224">
        <f>IF('DM_NHAN_SU'!$B58="","",MAX($AC58-$AK58-$AL58-$AM58,0))</f>
        <v/>
      </c>
      <c r="AO58" s="224">
        <f>IF('DM_NHAN_SU'!$B58="","",IF($B58="","",IF($F58="Net",IF($AC58&lt;=$AK58+$AL58+$AM58,$AC58+$AJ58,$AJ58+$AK58+$AL58+$AM58+IF($AN58&lt;='THAM_SO'!$J$10,($AN58-'THAM_SO'!$I$10)/(1-'THAM_SO'!$H$10),IF($AN58&lt;='THAM_SO'!$J$11,($AN58-'THAM_SO'!$I$11)/(1-'THAM_SO'!$H$11),IF($AN58&lt;='THAM_SO'!$J$12,($AN58-'THAM_SO'!$I$12)/(1-'THAM_SO'!$H$12),IF($AN58&lt;='THAM_SO'!$J$13,($AN58-'THAM_SO'!$I$13)/(1-'THAM_SO'!$H$13),($AN58-'THAM_SO'!$I$14)/(1-'THAM_SO'!$H$14)))))),$AC58)))</f>
        <v/>
      </c>
      <c r="AP58" s="224">
        <f>IF('DM_NHAN_SU'!$B58="","",$U58+$W58+$X58+$AA58+$BS58)</f>
        <v/>
      </c>
      <c r="AQ58" s="224">
        <f>IF('DM_NHAN_SU'!$B58="","",MAX($AO58-$AJ58-$AK58-$AL58-$AM58,0))</f>
        <v/>
      </c>
      <c r="AR58" s="224">
        <f>IF('DM_NHAN_SU'!$B58="","",IF($AQ58&lt;=0,0,$AQ58*VLOOKUP($AQ58,'THAM_SO'!$F$10:$I$14,3,TRUE)-VLOOKUP($AQ58,'THAM_SO'!$F$10:$I$14,4,TRUE)))</f>
        <v/>
      </c>
      <c r="AS58" s="224">
        <f>IF('DM_NHAN_SU'!$B58="","",$AO58+$AP58)</f>
        <v/>
      </c>
      <c r="AT58" s="224">
        <f>IF('DM_NHAN_SU'!$B58="","",$AS58-$AJ58-$AR58)</f>
        <v/>
      </c>
      <c r="AU58" s="224">
        <f>IF('DM_NHAN_SU'!$B58="","",'CHAM_CONG_THANG'!X58)</f>
        <v/>
      </c>
      <c r="AV58" s="224">
        <f>IF('DM_NHAN_SU'!$B58="","",'CHAM_CONG_THANG'!Y58+'QT_NGHI_VIEC'!AD58)</f>
        <v/>
      </c>
      <c r="AW58" s="224">
        <f>IF('DM_NHAN_SU'!$B58="","",'CHAM_CONG_THANG'!Z58)</f>
        <v/>
      </c>
      <c r="AX58" s="224">
        <f>IF('DM_NHAN_SU'!$B58="","",$AT58-$AU58-$AV58-$AW58-$BV58)</f>
        <v/>
      </c>
      <c r="AY58" s="224">
        <f>IF('DM_NHAN_SU'!$B58="","",$AE58*'THAM_SO'!$M$11)</f>
        <v/>
      </c>
      <c r="AZ58" s="224">
        <f>IF('DM_NHAN_SU'!$B58="","",$AE58*'THAM_SO'!$M$12)</f>
        <v/>
      </c>
      <c r="BA58" s="224">
        <f>IF('DM_NHAN_SU'!$B58="","",$AF58*'THAM_SO'!$M$13)</f>
        <v/>
      </c>
      <c r="BB58" s="224">
        <f>IF('DM_NHAN_SU'!$B58="","",$AE58*'THAM_SO'!$M$14)</f>
        <v/>
      </c>
      <c r="BC58" s="224">
        <f>IF('DM_NHAN_SU'!$B58="","",SUM($AY58:$BB58))</f>
        <v/>
      </c>
      <c r="BD58" s="224">
        <f>IF('DM_NHAN_SU'!$B58="","",$AS58+$BC58)</f>
        <v/>
      </c>
      <c r="BE58" s="224">
        <f>IF('DM_NHAN_SU'!$B58="","",VLOOKUP($H58,'THAM_SO'!$L$17:$P$20,2,FALSE))</f>
        <v/>
      </c>
      <c r="BF58" s="224">
        <f>IF('DM_NHAN_SU'!$B58="","",VLOOKUP($H58,'THAM_SO'!$L$17:$P$20,3,FALSE))</f>
        <v/>
      </c>
      <c r="BG58" s="150">
        <f>IF('DM_NHAN_SU'!$B58="","",IF($B58="","",IF(COUNTIF('DM_NHAN_SU'!$B$6:$B$155,$B58)&gt;1,"Trùng mã NV; ","")&amp;IF(OR($F58="",$G58=""),"Thiếu loại/hình thức lương; ","")&amp;IF('CHAM_CONG_THANG'!$D58="","Chưa chọn nguồn công; ","")&amp;IF(AND('CHAM_CONG_THANG'!$D58="Theo ngày",COUNTIF('CHAM_CONG_NGAY'!$B$6:$B$4655,$B58)=0),"Chưa có chấm công ngày; ","")&amp;IF(OR($I58&lt;=0,$J58&lt;=0),"Thiếu công/giờ chuẩn; ","")&amp;IF(AND($G58="Tháng",'DM_NHAN_SU'!$K58&lt;$BE58),"Lương tháng dưới tối thiểu vùng; ","")&amp;IF(AND($G58="Ngày",'DM_NHAN_SU'!$K58/$J58&lt;$BF58),"Lương ngày quy đổi dưới tối thiểu giờ; ","")&amp;IF(AND($G58="Giờ",'DM_NHAN_SU'!$K58&lt;$BF58),"Lương giờ dưới tối thiểu vùng; ","")&amp;IF(AND($G58="Sản phẩm",$L58&gt;0,$O58/$L58&lt;$BF58),"Lương SP quy đổi dưới tối thiểu giờ; ","")&amp;IF(OR('THAM_SO'!$C$19&lt;'THAM_SO'!$B$19,'THAM_SO'!$C$20&lt;'THAM_SO'!$B$20,'THAM_SO'!$C$21&lt;'THAM_SO'!$B$21,'THAM_SO'!$C$22&lt;'THAM_SO'!$B$22,'THAM_SO'!$C$23&lt;'THAM_SO'!$B$23,'THAM_SO'!$C$24&lt;'THAM_SO'!$B$24,'THAM_SO'!$C$25&lt;'THAM_SO'!$B$25),"Hệ số OT/đêm DN thấp hơn luật; ","")&amp;IF(AND('DM_NHAN_SU'!$R58="Có",$AD58&lt;=0),"Thiếu căn cứ đóng BH; ","")&amp;IF(AND($AD58&gt;0,$AD58&lt;'THAM_SO'!$M$6),"Căn cứ BH dưới sàn – đã nâng sàn; ","")&amp;IF($AD58&gt;'THAM_SO'!$M$7,"Căn cứ BH vượt trần – đã giới hạn; ","")&amp;IF(AND($F58="Net",SUM('CHAM_CONG_THANG'!$AF58:$AK58)&gt;0,'DM_NHAN_SU'!$Q58&lt;=0),"Net có OT nhưng chưa khai lương giờ OT; ","")&amp;IF('CHAM_CONG_THANG'!$V58&gt;$Z58,"Phần OT không miễn lớn hơn tiền OT; ","")&amp;IF(AND($F58="Net",ABS($AT58-$AC58-$AP58)&gt;1),"Lệch quy đổi Net; ","")&amp;IF(AND($BH58&gt;0,'DM_NHAN_SU'!$AD58=""),"Có phép năm nhưng đang tạm dùng 12 ngày; ","")&amp;IF(AND($G58="Sản phẩm",SUM($BH58:$BJ58)&gt;0,'DM_NHAN_SU'!$AH58&lt;=0),"Lương sản phẩm thiếu đơn giá ngày phép/lễ; ","")&amp;IF(AND($BL58&gt;=14,'CHAM_CONG_THANG'!$AA58&lt;&gt;"Có"),"Thai sản từ 14 ngày: file tự dừng đóng BH – kiểm tra hồ sơ; ","")&amp;IF(AND('DM_NHAN_SU'!$AA58="Có",'DM_NHAN_SU'!$AB58=""),"Đoàn viên chưa chọn cách tính đoàn phí; ","")&amp;IF(AND('DM_NHAN_SU'!$AB58="Nhập tay",'DM_NHAN_SU'!$AC58&gt;'THAM_SO'!$M$26),"Đoàn phí nhập tay vượt trần thông dụng; ","")&amp;IF('NGHI_PHEP'!$L58&lt;&gt;"","Phép: "&amp;'NGHI_PHEP'!$L58,"")&amp;IF('CHE_DO_BHXH'!$AA58&lt;&gt;"","BHXH: "&amp;'CHE_DO_BHXH'!$AA58,"")&amp;IF('THUONG_T13_TET'!$O58&lt;&gt;"","Thưởng: "&amp;'THUONG_T13_TET'!$O58,"")&amp;IF('QT_NGHI_VIEC'!$AF58&lt;&gt;"","Nghỉ việc: "&amp;'QT_NGHI_VIEC'!$AF58,"")&amp;IF($AX58&lt;0,"Thực lĩnh âm; ","")&amp;IF(OR('DM_NHAN_SU'!$F58&gt;'THAM_SO'!$B$7,AND('DM_NHAN_SU'!$G58&lt;&gt;"",'DM_NHAN_SU'!$G58&lt;'THAM_SO'!$B$6)),"Ngoài kỳ trả lương; ","")))</f>
        <v/>
      </c>
      <c r="BH58" s="232">
        <f>IF('DM_NHAN_SU'!$B58="","",'CHAM_CONG_THANG'!AR58)</f>
        <v/>
      </c>
      <c r="BI58" s="232">
        <f>IF('DM_NHAN_SU'!$B58="","",'CHAM_CONG_THANG'!AS58)</f>
        <v/>
      </c>
      <c r="BJ58" s="232">
        <f>IF('DM_NHAN_SU'!$B58="","",'CHAM_CONG_THANG'!AT58)</f>
        <v/>
      </c>
      <c r="BK58" s="232">
        <f>IF('DM_NHAN_SU'!$B58="","",'CHAM_CONG_THANG'!AU58)</f>
        <v/>
      </c>
      <c r="BL58" s="232">
        <f>IF('DM_NHAN_SU'!$B58="","",'CHAM_CONG_THANG'!AV58)</f>
        <v/>
      </c>
      <c r="BM58" s="232">
        <f>IF('DM_NHAN_SU'!$B58="","",'CHAM_CONG_THANG'!AW58)</f>
        <v/>
      </c>
      <c r="BN58" s="232">
        <f>IF('DM_NHAN_SU'!$B58="","",SUM($K58,$BH58:$BJ58))</f>
        <v/>
      </c>
      <c r="BO58" s="224">
        <f>IF('DM_NHAN_SU'!$B58="","",IF($B58="",0,IF($G58="Tháng",IF($I58&gt;0,'DM_NHAN_SU'!$K58*MIN($BH58+$BJ58,MAX($I58-$K58,0))/$I58,0),IF($G58="Ngày",'DM_NHAN_SU'!$K58*SUM($BH58:$BJ58),IF($G58="Giờ",'DM_NHAN_SU'!$K58*SUM($BH58:$BJ58)*$J58,IF($G58="Sản phẩm",'DM_NHAN_SU'!$AH58*SUM($BH58:$BJ58),0))))))</f>
        <v/>
      </c>
      <c r="BP58" s="224">
        <f>IF('DM_NHAN_SU'!$B58="","",IF('THUONG_T13_TET'!$L58="Có",'THUONG_T13_TET'!$I58,0))</f>
        <v/>
      </c>
      <c r="BQ58" s="224">
        <f>IF('DM_NHAN_SU'!$B58="","",IF('THUONG_T13_TET'!$L58="Có",SUM('THUONG_T13_TET'!$J58:$K58),0))</f>
        <v/>
      </c>
      <c r="BR58" s="224">
        <f>IF('DM_NHAN_SU'!$B58="","",'QT_NGHI_VIEC'!AC58)</f>
        <v/>
      </c>
      <c r="BS58" s="224">
        <f>IF('DM_NHAN_SU'!$B58="","",'QT_NGHI_VIEC'!AB58)</f>
        <v/>
      </c>
      <c r="BT58" s="224">
        <f>IF('DM_NHAN_SU'!$B58="","",IF('CHE_DO_BHXH'!$Z58="Có",'CHE_DO_BHXH'!$W58,0))</f>
        <v/>
      </c>
      <c r="BU58" s="224">
        <f>IF('DM_NHAN_SU'!$B58="","",IF('CHE_DO_BHXH'!$Y58="DN trả thay",$BT58,0))</f>
        <v/>
      </c>
      <c r="BV58" s="224">
        <f>IF('DM_NHAN_SU'!$B58="","",IF(OR('DM_NHAN_SU'!$AA58&lt;&gt;"Có",'CHE_DO_BHXH'!$O58&gt;=1,SUM('CHE_DO_BHXH'!$D58,'CHE_DO_BHXH'!$G58,'CHE_DO_BHXH'!$K58)&gt;=24,AND($I58&gt;0,$BM58&gt;=$I58)),0,IF('DM_NHAN_SU'!$AB58="Không",0,IF('DM_NHAN_SU'!$AB58="Nhập tay",'DM_NHAN_SU'!$AC58,IF('DM_NHAN_SU'!$AB58="Theo thực nhận",MIN(MAX($AT58-$AU58-$AV58-$AW58,0)*'THAM_SO'!$M$23,'THAM_SO'!$M$26),MIN($AE58*'THAM_SO'!$M$23,'THAM_SO'!$M$26))))))</f>
        <v/>
      </c>
      <c r="BW58" s="224">
        <f>IF('DM_NHAN_SU'!$B58="","",$AX58+$BU58)</f>
        <v/>
      </c>
    </row>
    <row r="59">
      <c r="A59" s="145">
        <f>IF('DM_NHAN_SU'!$B59="","",IF($B59="","",ROW()-5))</f>
        <v/>
      </c>
      <c r="B59" s="145">
        <f>IF('DM_NHAN_SU'!$B59="","",'DM_NHAN_SU'!B59)</f>
        <v/>
      </c>
      <c r="C59" s="145">
        <f>IF('DM_NHAN_SU'!$B59="","",'DM_NHAN_SU'!C59)</f>
        <v/>
      </c>
      <c r="D59" s="145">
        <f>IF('DM_NHAN_SU'!$B59="","",'DM_NHAN_SU'!D59)</f>
        <v/>
      </c>
      <c r="E59" s="145">
        <f>IF('DM_NHAN_SU'!$B59="","",'DM_NHAN_SU'!E59)</f>
        <v/>
      </c>
      <c r="F59" s="145">
        <f>IF('DM_NHAN_SU'!$B59="","",'DM_NHAN_SU'!I59)</f>
        <v/>
      </c>
      <c r="G59" s="145">
        <f>IF('DM_NHAN_SU'!$B59="","",'DM_NHAN_SU'!J59)</f>
        <v/>
      </c>
      <c r="H59" s="145">
        <f>IF('DM_NHAN_SU'!$B59="","",IF('DM_NHAN_SU'!H59="",'THAM_SO'!$B$11,'DM_NHAN_SU'!H59))</f>
        <v/>
      </c>
      <c r="I59" s="232">
        <f>IF('DM_NHAN_SU'!$B59="","",IF('DM_NHAN_SU'!L59&gt;0,'DM_NHAN_SU'!L59,'THAM_SO'!$B$9))</f>
        <v/>
      </c>
      <c r="J59" s="232">
        <f>IF('DM_NHAN_SU'!$B59="","",IF('DM_NHAN_SU'!M59&gt;0,'DM_NHAN_SU'!M59,'THAM_SO'!$B$10))</f>
        <v/>
      </c>
      <c r="K59" s="232">
        <f>IF('DM_NHAN_SU'!$B59="","",'CHAM_CONG_THANG'!AC59)</f>
        <v/>
      </c>
      <c r="L59" s="232">
        <f>IF('DM_NHAN_SU'!$B59="","",'CHAM_CONG_THANG'!AD59)</f>
        <v/>
      </c>
      <c r="M59" s="232">
        <f>IF('DM_NHAN_SU'!$B59="","",'CHAM_CONG_THANG'!AE59)</f>
        <v/>
      </c>
      <c r="N59" s="232">
        <f>IF('DM_NHAN_SU'!$B59="","",'CHAM_CONG_THANG'!N59)</f>
        <v/>
      </c>
      <c r="O59" s="224">
        <f>IF('DM_NHAN_SU'!$B59="","",IF($B59="","",IF($G59="Tháng",IF($I59&gt;0,'DM_NHAN_SU'!$K59*MIN($K59,$I59)/$I59,0),IF($G59="Ngày",'DM_NHAN_SU'!$K59*$K59,IF($G59="Giờ",'DM_NHAN_SU'!$K59*$L59,IF($G59="Sản phẩm",'DM_NHAN_SU'!$K59*$N59,0))))))</f>
        <v/>
      </c>
      <c r="P59" s="224">
        <f>IF('DM_NHAN_SU'!$B59="","",'CHAM_CONG_THANG'!O59)</f>
        <v/>
      </c>
      <c r="Q59" s="224">
        <f>IF('DM_NHAN_SU'!$B59="","",'CHAM_CONG_THANG'!P59)</f>
        <v/>
      </c>
      <c r="R59" s="224">
        <f>IF('DM_NHAN_SU'!$B59="","",'CHAM_CONG_THANG'!Q59)</f>
        <v/>
      </c>
      <c r="S59" s="224">
        <f>IF('DM_NHAN_SU'!$B59="","",'CHAM_CONG_THANG'!R59)</f>
        <v/>
      </c>
      <c r="T59" s="224">
        <f>IF('DM_NHAN_SU'!$B59="","",'CHAM_CONG_THANG'!S59)</f>
        <v/>
      </c>
      <c r="U59" s="224">
        <f>IF('DM_NHAN_SU'!$B59="","",MIN($T59,'THAM_SO'!$F$6))</f>
        <v/>
      </c>
      <c r="V59" s="224">
        <f>IF('DM_NHAN_SU'!$B59="","",MAX($T59-$U59,0))</f>
        <v/>
      </c>
      <c r="W59" s="224">
        <f>IF('DM_NHAN_SU'!$B59="","",'CHAM_CONG_THANG'!T59)</f>
        <v/>
      </c>
      <c r="X59" s="224">
        <f>IF('DM_NHAN_SU'!$B59="","",'CHAM_CONG_THANG'!U59)</f>
        <v/>
      </c>
      <c r="Y59" s="224">
        <f>IF('DM_NHAN_SU'!$B59="","",IF($B59="",0,IF('DM_NHAN_SU'!$Q59&gt;0,'DM_NHAN_SU'!$Q59,IF($G59="Tháng",IF($I59*$J59&gt;0,'DM_NHAN_SU'!$K59/($I59*$J59),0),IF($G59="Ngày",IF($J59&gt;0,'DM_NHAN_SU'!$K59/$J59,0),IF($G59="Giờ",'DM_NHAN_SU'!$K59,0))))))</f>
        <v/>
      </c>
      <c r="Z59" s="224">
        <f>IF('DM_NHAN_SU'!$B59="","",$Y59*($M59*'THAM_SO'!$C$22+'CHAM_CONG_THANG'!$AF59*'THAM_SO'!$C$19+'CHAM_CONG_THANG'!$AG59*'THAM_SO'!$C$20+'CHAM_CONG_THANG'!$AH59*'THAM_SO'!$C$21+'CHAM_CONG_THANG'!$AI59*'THAM_SO'!$C$23+'CHAM_CONG_THANG'!$AJ59*'THAM_SO'!$C$24+'CHAM_CONG_THANG'!$AK59*'THAM_SO'!$C$25))</f>
        <v/>
      </c>
      <c r="AA59" s="224">
        <f>IF('DM_NHAN_SU'!$B59="","",MAX(0,$Y59*($M59*IF('THAM_SO'!$C$22&gt;='THAM_SO'!$B$22,'THAM_SO'!$B$22,0)+'CHAM_CONG_THANG'!$AF59*IF('THAM_SO'!$C$19&gt;='THAM_SO'!$B$19,'THAM_SO'!$B$19,0)+'CHAM_CONG_THANG'!$AG59*IF('THAM_SO'!$C$20&gt;='THAM_SO'!$B$20,'THAM_SO'!$B$20,0)+'CHAM_CONG_THANG'!$AH59*IF('THAM_SO'!$C$21&gt;='THAM_SO'!$B$21,'THAM_SO'!$B$21,0)+'CHAM_CONG_THANG'!$AI59*IF('THAM_SO'!$C$23&gt;='THAM_SO'!$B$23,'THAM_SO'!$B$23,0)+'CHAM_CONG_THANG'!$AJ59*IF('THAM_SO'!$C$24&gt;='THAM_SO'!$B$24,'THAM_SO'!$B$24,0)+'CHAM_CONG_THANG'!$AK59*IF('THAM_SO'!$C$25&gt;='THAM_SO'!$B$25,'THAM_SO'!$B$25,0))-'CHAM_CONG_THANG'!$V59))</f>
        <v/>
      </c>
      <c r="AB59" s="224">
        <f>IF('DM_NHAN_SU'!$B59="","",MAX($Z59-$AA59,0))</f>
        <v/>
      </c>
      <c r="AC59" s="224">
        <f>IF('DM_NHAN_SU'!$B59="","",$O59+$P59+$Q59+$R59+$S59+$V59+$AB59+$BO59+$BP59+$BQ59+$BR59)</f>
        <v/>
      </c>
      <c r="AD59" s="224">
        <f>IF('DM_NHAN_SU'!$B59="","",'DM_NHAN_SU'!N59+'DM_NHAN_SU'!O59+'DM_NHAN_SU'!P59)</f>
        <v/>
      </c>
      <c r="AE59" s="224">
        <f>IF('DM_NHAN_SU'!$B59="","",IF(OR('DM_NHAN_SU'!$R59&lt;&gt;"Có",'CHAM_CONG_THANG'!$AA59="Có",$BL59&gt;=14,$AD59&lt;=0),0,MIN(MAX($AD59,'THAM_SO'!$M$6),'THAM_SO'!$M$7)))</f>
        <v/>
      </c>
      <c r="AF59" s="224">
        <f>IF('DM_NHAN_SU'!$B59="","",IF(OR('DM_NHAN_SU'!$S59&lt;&gt;"Có",'CHAM_CONG_THANG'!$AA59="Có",$BL59&gt;=14,$AD59&lt;=0),0,MIN(MAX($AD59,VLOOKUP($H59,'THAM_SO'!$L$17:$P$20,4,FALSE)),VLOOKUP($H59,'THAM_SO'!$L$17:$P$20,5,FALSE))))</f>
        <v/>
      </c>
      <c r="AG59" s="224">
        <f>IF('DM_NHAN_SU'!$B59="","",$AE59*'THAM_SO'!$M$8)</f>
        <v/>
      </c>
      <c r="AH59" s="224">
        <f>IF('DM_NHAN_SU'!$B59="","",$AE59*'THAM_SO'!$M$9)</f>
        <v/>
      </c>
      <c r="AI59" s="224">
        <f>IF('DM_NHAN_SU'!$B59="","",$AF59*'THAM_SO'!$M$10)</f>
        <v/>
      </c>
      <c r="AJ59" s="224">
        <f>IF('DM_NHAN_SU'!$B59="","",SUM($AG59:$AI59))</f>
        <v/>
      </c>
      <c r="AK59" s="224">
        <f>IF('DM_NHAN_SU'!$B59="","",IF($B59="",0,'THAM_SO'!$F$4))</f>
        <v/>
      </c>
      <c r="AL59" s="224">
        <f>IF('DM_NHAN_SU'!$B59="","",IF($B59="",0,'DM_NHAN_SU'!$T59*'THAM_SO'!$F$5))</f>
        <v/>
      </c>
      <c r="AM59" s="224">
        <f>IF('DM_NHAN_SU'!$B59="","",'CHAM_CONG_THANG'!W59)</f>
        <v/>
      </c>
      <c r="AN59" s="224">
        <f>IF('DM_NHAN_SU'!$B59="","",MAX($AC59-$AK59-$AL59-$AM59,0))</f>
        <v/>
      </c>
      <c r="AO59" s="224">
        <f>IF('DM_NHAN_SU'!$B59="","",IF($B59="","",IF($F59="Net",IF($AC59&lt;=$AK59+$AL59+$AM59,$AC59+$AJ59,$AJ59+$AK59+$AL59+$AM59+IF($AN59&lt;='THAM_SO'!$J$10,($AN59-'THAM_SO'!$I$10)/(1-'THAM_SO'!$H$10),IF($AN59&lt;='THAM_SO'!$J$11,($AN59-'THAM_SO'!$I$11)/(1-'THAM_SO'!$H$11),IF($AN59&lt;='THAM_SO'!$J$12,($AN59-'THAM_SO'!$I$12)/(1-'THAM_SO'!$H$12),IF($AN59&lt;='THAM_SO'!$J$13,($AN59-'THAM_SO'!$I$13)/(1-'THAM_SO'!$H$13),($AN59-'THAM_SO'!$I$14)/(1-'THAM_SO'!$H$14)))))),$AC59)))</f>
        <v/>
      </c>
      <c r="AP59" s="224">
        <f>IF('DM_NHAN_SU'!$B59="","",$U59+$W59+$X59+$AA59+$BS59)</f>
        <v/>
      </c>
      <c r="AQ59" s="224">
        <f>IF('DM_NHAN_SU'!$B59="","",MAX($AO59-$AJ59-$AK59-$AL59-$AM59,0))</f>
        <v/>
      </c>
      <c r="AR59" s="224">
        <f>IF('DM_NHAN_SU'!$B59="","",IF($AQ59&lt;=0,0,$AQ59*VLOOKUP($AQ59,'THAM_SO'!$F$10:$I$14,3,TRUE)-VLOOKUP($AQ59,'THAM_SO'!$F$10:$I$14,4,TRUE)))</f>
        <v/>
      </c>
      <c r="AS59" s="224">
        <f>IF('DM_NHAN_SU'!$B59="","",$AO59+$AP59)</f>
        <v/>
      </c>
      <c r="AT59" s="224">
        <f>IF('DM_NHAN_SU'!$B59="","",$AS59-$AJ59-$AR59)</f>
        <v/>
      </c>
      <c r="AU59" s="224">
        <f>IF('DM_NHAN_SU'!$B59="","",'CHAM_CONG_THANG'!X59)</f>
        <v/>
      </c>
      <c r="AV59" s="224">
        <f>IF('DM_NHAN_SU'!$B59="","",'CHAM_CONG_THANG'!Y59+'QT_NGHI_VIEC'!AD59)</f>
        <v/>
      </c>
      <c r="AW59" s="224">
        <f>IF('DM_NHAN_SU'!$B59="","",'CHAM_CONG_THANG'!Z59)</f>
        <v/>
      </c>
      <c r="AX59" s="224">
        <f>IF('DM_NHAN_SU'!$B59="","",$AT59-$AU59-$AV59-$AW59-$BV59)</f>
        <v/>
      </c>
      <c r="AY59" s="224">
        <f>IF('DM_NHAN_SU'!$B59="","",$AE59*'THAM_SO'!$M$11)</f>
        <v/>
      </c>
      <c r="AZ59" s="224">
        <f>IF('DM_NHAN_SU'!$B59="","",$AE59*'THAM_SO'!$M$12)</f>
        <v/>
      </c>
      <c r="BA59" s="224">
        <f>IF('DM_NHAN_SU'!$B59="","",$AF59*'THAM_SO'!$M$13)</f>
        <v/>
      </c>
      <c r="BB59" s="224">
        <f>IF('DM_NHAN_SU'!$B59="","",$AE59*'THAM_SO'!$M$14)</f>
        <v/>
      </c>
      <c r="BC59" s="224">
        <f>IF('DM_NHAN_SU'!$B59="","",SUM($AY59:$BB59))</f>
        <v/>
      </c>
      <c r="BD59" s="224">
        <f>IF('DM_NHAN_SU'!$B59="","",$AS59+$BC59)</f>
        <v/>
      </c>
      <c r="BE59" s="224">
        <f>IF('DM_NHAN_SU'!$B59="","",VLOOKUP($H59,'THAM_SO'!$L$17:$P$20,2,FALSE))</f>
        <v/>
      </c>
      <c r="BF59" s="224">
        <f>IF('DM_NHAN_SU'!$B59="","",VLOOKUP($H59,'THAM_SO'!$L$17:$P$20,3,FALSE))</f>
        <v/>
      </c>
      <c r="BG59" s="150">
        <f>IF('DM_NHAN_SU'!$B59="","",IF($B59="","",IF(COUNTIF('DM_NHAN_SU'!$B$6:$B$155,$B59)&gt;1,"Trùng mã NV; ","")&amp;IF(OR($F59="",$G59=""),"Thiếu loại/hình thức lương; ","")&amp;IF('CHAM_CONG_THANG'!$D59="","Chưa chọn nguồn công; ","")&amp;IF(AND('CHAM_CONG_THANG'!$D59="Theo ngày",COUNTIF('CHAM_CONG_NGAY'!$B$6:$B$4655,$B59)=0),"Chưa có chấm công ngày; ","")&amp;IF(OR($I59&lt;=0,$J59&lt;=0),"Thiếu công/giờ chuẩn; ","")&amp;IF(AND($G59="Tháng",'DM_NHAN_SU'!$K59&lt;$BE59),"Lương tháng dưới tối thiểu vùng; ","")&amp;IF(AND($G59="Ngày",'DM_NHAN_SU'!$K59/$J59&lt;$BF59),"Lương ngày quy đổi dưới tối thiểu giờ; ","")&amp;IF(AND($G59="Giờ",'DM_NHAN_SU'!$K59&lt;$BF59),"Lương giờ dưới tối thiểu vùng; ","")&amp;IF(AND($G59="Sản phẩm",$L59&gt;0,$O59/$L59&lt;$BF59),"Lương SP quy đổi dưới tối thiểu giờ; ","")&amp;IF(OR('THAM_SO'!$C$19&lt;'THAM_SO'!$B$19,'THAM_SO'!$C$20&lt;'THAM_SO'!$B$20,'THAM_SO'!$C$21&lt;'THAM_SO'!$B$21,'THAM_SO'!$C$22&lt;'THAM_SO'!$B$22,'THAM_SO'!$C$23&lt;'THAM_SO'!$B$23,'THAM_SO'!$C$24&lt;'THAM_SO'!$B$24,'THAM_SO'!$C$25&lt;'THAM_SO'!$B$25),"Hệ số OT/đêm DN thấp hơn luật; ","")&amp;IF(AND('DM_NHAN_SU'!$R59="Có",$AD59&lt;=0),"Thiếu căn cứ đóng BH; ","")&amp;IF(AND($AD59&gt;0,$AD59&lt;'THAM_SO'!$M$6),"Căn cứ BH dưới sàn – đã nâng sàn; ","")&amp;IF($AD59&gt;'THAM_SO'!$M$7,"Căn cứ BH vượt trần – đã giới hạn; ","")&amp;IF(AND($F59="Net",SUM('CHAM_CONG_THANG'!$AF59:$AK59)&gt;0,'DM_NHAN_SU'!$Q59&lt;=0),"Net có OT nhưng chưa khai lương giờ OT; ","")&amp;IF('CHAM_CONG_THANG'!$V59&gt;$Z59,"Phần OT không miễn lớn hơn tiền OT; ","")&amp;IF(AND($F59="Net",ABS($AT59-$AC59-$AP59)&gt;1),"Lệch quy đổi Net; ","")&amp;IF(AND($BH59&gt;0,'DM_NHAN_SU'!$AD59=""),"Có phép năm nhưng đang tạm dùng 12 ngày; ","")&amp;IF(AND($G59="Sản phẩm",SUM($BH59:$BJ59)&gt;0,'DM_NHAN_SU'!$AH59&lt;=0),"Lương sản phẩm thiếu đơn giá ngày phép/lễ; ","")&amp;IF(AND($BL59&gt;=14,'CHAM_CONG_THANG'!$AA59&lt;&gt;"Có"),"Thai sản từ 14 ngày: file tự dừng đóng BH – kiểm tra hồ sơ; ","")&amp;IF(AND('DM_NHAN_SU'!$AA59="Có",'DM_NHAN_SU'!$AB59=""),"Đoàn viên chưa chọn cách tính đoàn phí; ","")&amp;IF(AND('DM_NHAN_SU'!$AB59="Nhập tay",'DM_NHAN_SU'!$AC59&gt;'THAM_SO'!$M$26),"Đoàn phí nhập tay vượt trần thông dụng; ","")&amp;IF('NGHI_PHEP'!$L59&lt;&gt;"","Phép: "&amp;'NGHI_PHEP'!$L59,"")&amp;IF('CHE_DO_BHXH'!$AA59&lt;&gt;"","BHXH: "&amp;'CHE_DO_BHXH'!$AA59,"")&amp;IF('THUONG_T13_TET'!$O59&lt;&gt;"","Thưởng: "&amp;'THUONG_T13_TET'!$O59,"")&amp;IF('QT_NGHI_VIEC'!$AF59&lt;&gt;"","Nghỉ việc: "&amp;'QT_NGHI_VIEC'!$AF59,"")&amp;IF($AX59&lt;0,"Thực lĩnh âm; ","")&amp;IF(OR('DM_NHAN_SU'!$F59&gt;'THAM_SO'!$B$7,AND('DM_NHAN_SU'!$G59&lt;&gt;"",'DM_NHAN_SU'!$G59&lt;'THAM_SO'!$B$6)),"Ngoài kỳ trả lương; ","")))</f>
        <v/>
      </c>
      <c r="BH59" s="232">
        <f>IF('DM_NHAN_SU'!$B59="","",'CHAM_CONG_THANG'!AR59)</f>
        <v/>
      </c>
      <c r="BI59" s="232">
        <f>IF('DM_NHAN_SU'!$B59="","",'CHAM_CONG_THANG'!AS59)</f>
        <v/>
      </c>
      <c r="BJ59" s="232">
        <f>IF('DM_NHAN_SU'!$B59="","",'CHAM_CONG_THANG'!AT59)</f>
        <v/>
      </c>
      <c r="BK59" s="232">
        <f>IF('DM_NHAN_SU'!$B59="","",'CHAM_CONG_THANG'!AU59)</f>
        <v/>
      </c>
      <c r="BL59" s="232">
        <f>IF('DM_NHAN_SU'!$B59="","",'CHAM_CONG_THANG'!AV59)</f>
        <v/>
      </c>
      <c r="BM59" s="232">
        <f>IF('DM_NHAN_SU'!$B59="","",'CHAM_CONG_THANG'!AW59)</f>
        <v/>
      </c>
      <c r="BN59" s="232">
        <f>IF('DM_NHAN_SU'!$B59="","",SUM($K59,$BH59:$BJ59))</f>
        <v/>
      </c>
      <c r="BO59" s="224">
        <f>IF('DM_NHAN_SU'!$B59="","",IF($B59="",0,IF($G59="Tháng",IF($I59&gt;0,'DM_NHAN_SU'!$K59*MIN($BH59+$BJ59,MAX($I59-$K59,0))/$I59,0),IF($G59="Ngày",'DM_NHAN_SU'!$K59*SUM($BH59:$BJ59),IF($G59="Giờ",'DM_NHAN_SU'!$K59*SUM($BH59:$BJ59)*$J59,IF($G59="Sản phẩm",'DM_NHAN_SU'!$AH59*SUM($BH59:$BJ59),0))))))</f>
        <v/>
      </c>
      <c r="BP59" s="224">
        <f>IF('DM_NHAN_SU'!$B59="","",IF('THUONG_T13_TET'!$L59="Có",'THUONG_T13_TET'!$I59,0))</f>
        <v/>
      </c>
      <c r="BQ59" s="224">
        <f>IF('DM_NHAN_SU'!$B59="","",IF('THUONG_T13_TET'!$L59="Có",SUM('THUONG_T13_TET'!$J59:$K59),0))</f>
        <v/>
      </c>
      <c r="BR59" s="224">
        <f>IF('DM_NHAN_SU'!$B59="","",'QT_NGHI_VIEC'!AC59)</f>
        <v/>
      </c>
      <c r="BS59" s="224">
        <f>IF('DM_NHAN_SU'!$B59="","",'QT_NGHI_VIEC'!AB59)</f>
        <v/>
      </c>
      <c r="BT59" s="224">
        <f>IF('DM_NHAN_SU'!$B59="","",IF('CHE_DO_BHXH'!$Z59="Có",'CHE_DO_BHXH'!$W59,0))</f>
        <v/>
      </c>
      <c r="BU59" s="224">
        <f>IF('DM_NHAN_SU'!$B59="","",IF('CHE_DO_BHXH'!$Y59="DN trả thay",$BT59,0))</f>
        <v/>
      </c>
      <c r="BV59" s="224">
        <f>IF('DM_NHAN_SU'!$B59="","",IF(OR('DM_NHAN_SU'!$AA59&lt;&gt;"Có",'CHE_DO_BHXH'!$O59&gt;=1,SUM('CHE_DO_BHXH'!$D59,'CHE_DO_BHXH'!$G59,'CHE_DO_BHXH'!$K59)&gt;=24,AND($I59&gt;0,$BM59&gt;=$I59)),0,IF('DM_NHAN_SU'!$AB59="Không",0,IF('DM_NHAN_SU'!$AB59="Nhập tay",'DM_NHAN_SU'!$AC59,IF('DM_NHAN_SU'!$AB59="Theo thực nhận",MIN(MAX($AT59-$AU59-$AV59-$AW59,0)*'THAM_SO'!$M$23,'THAM_SO'!$M$26),MIN($AE59*'THAM_SO'!$M$23,'THAM_SO'!$M$26))))))</f>
        <v/>
      </c>
      <c r="BW59" s="224">
        <f>IF('DM_NHAN_SU'!$B59="","",$AX59+$BU59)</f>
        <v/>
      </c>
    </row>
    <row r="60">
      <c r="A60" s="145">
        <f>IF('DM_NHAN_SU'!$B60="","",IF($B60="","",ROW()-5))</f>
        <v/>
      </c>
      <c r="B60" s="145">
        <f>IF('DM_NHAN_SU'!$B60="","",'DM_NHAN_SU'!B60)</f>
        <v/>
      </c>
      <c r="C60" s="145">
        <f>IF('DM_NHAN_SU'!$B60="","",'DM_NHAN_SU'!C60)</f>
        <v/>
      </c>
      <c r="D60" s="145">
        <f>IF('DM_NHAN_SU'!$B60="","",'DM_NHAN_SU'!D60)</f>
        <v/>
      </c>
      <c r="E60" s="145">
        <f>IF('DM_NHAN_SU'!$B60="","",'DM_NHAN_SU'!E60)</f>
        <v/>
      </c>
      <c r="F60" s="145">
        <f>IF('DM_NHAN_SU'!$B60="","",'DM_NHAN_SU'!I60)</f>
        <v/>
      </c>
      <c r="G60" s="145">
        <f>IF('DM_NHAN_SU'!$B60="","",'DM_NHAN_SU'!J60)</f>
        <v/>
      </c>
      <c r="H60" s="145">
        <f>IF('DM_NHAN_SU'!$B60="","",IF('DM_NHAN_SU'!H60="",'THAM_SO'!$B$11,'DM_NHAN_SU'!H60))</f>
        <v/>
      </c>
      <c r="I60" s="232">
        <f>IF('DM_NHAN_SU'!$B60="","",IF('DM_NHAN_SU'!L60&gt;0,'DM_NHAN_SU'!L60,'THAM_SO'!$B$9))</f>
        <v/>
      </c>
      <c r="J60" s="232">
        <f>IF('DM_NHAN_SU'!$B60="","",IF('DM_NHAN_SU'!M60&gt;0,'DM_NHAN_SU'!M60,'THAM_SO'!$B$10))</f>
        <v/>
      </c>
      <c r="K60" s="232">
        <f>IF('DM_NHAN_SU'!$B60="","",'CHAM_CONG_THANG'!AC60)</f>
        <v/>
      </c>
      <c r="L60" s="232">
        <f>IF('DM_NHAN_SU'!$B60="","",'CHAM_CONG_THANG'!AD60)</f>
        <v/>
      </c>
      <c r="M60" s="232">
        <f>IF('DM_NHAN_SU'!$B60="","",'CHAM_CONG_THANG'!AE60)</f>
        <v/>
      </c>
      <c r="N60" s="232">
        <f>IF('DM_NHAN_SU'!$B60="","",'CHAM_CONG_THANG'!N60)</f>
        <v/>
      </c>
      <c r="O60" s="224">
        <f>IF('DM_NHAN_SU'!$B60="","",IF($B60="","",IF($G60="Tháng",IF($I60&gt;0,'DM_NHAN_SU'!$K60*MIN($K60,$I60)/$I60,0),IF($G60="Ngày",'DM_NHAN_SU'!$K60*$K60,IF($G60="Giờ",'DM_NHAN_SU'!$K60*$L60,IF($G60="Sản phẩm",'DM_NHAN_SU'!$K60*$N60,0))))))</f>
        <v/>
      </c>
      <c r="P60" s="224">
        <f>IF('DM_NHAN_SU'!$B60="","",'CHAM_CONG_THANG'!O60)</f>
        <v/>
      </c>
      <c r="Q60" s="224">
        <f>IF('DM_NHAN_SU'!$B60="","",'CHAM_CONG_THANG'!P60)</f>
        <v/>
      </c>
      <c r="R60" s="224">
        <f>IF('DM_NHAN_SU'!$B60="","",'CHAM_CONG_THANG'!Q60)</f>
        <v/>
      </c>
      <c r="S60" s="224">
        <f>IF('DM_NHAN_SU'!$B60="","",'CHAM_CONG_THANG'!R60)</f>
        <v/>
      </c>
      <c r="T60" s="224">
        <f>IF('DM_NHAN_SU'!$B60="","",'CHAM_CONG_THANG'!S60)</f>
        <v/>
      </c>
      <c r="U60" s="224">
        <f>IF('DM_NHAN_SU'!$B60="","",MIN($T60,'THAM_SO'!$F$6))</f>
        <v/>
      </c>
      <c r="V60" s="224">
        <f>IF('DM_NHAN_SU'!$B60="","",MAX($T60-$U60,0))</f>
        <v/>
      </c>
      <c r="W60" s="224">
        <f>IF('DM_NHAN_SU'!$B60="","",'CHAM_CONG_THANG'!T60)</f>
        <v/>
      </c>
      <c r="X60" s="224">
        <f>IF('DM_NHAN_SU'!$B60="","",'CHAM_CONG_THANG'!U60)</f>
        <v/>
      </c>
      <c r="Y60" s="224">
        <f>IF('DM_NHAN_SU'!$B60="","",IF($B60="",0,IF('DM_NHAN_SU'!$Q60&gt;0,'DM_NHAN_SU'!$Q60,IF($G60="Tháng",IF($I60*$J60&gt;0,'DM_NHAN_SU'!$K60/($I60*$J60),0),IF($G60="Ngày",IF($J60&gt;0,'DM_NHAN_SU'!$K60/$J60,0),IF($G60="Giờ",'DM_NHAN_SU'!$K60,0))))))</f>
        <v/>
      </c>
      <c r="Z60" s="224">
        <f>IF('DM_NHAN_SU'!$B60="","",$Y60*($M60*'THAM_SO'!$C$22+'CHAM_CONG_THANG'!$AF60*'THAM_SO'!$C$19+'CHAM_CONG_THANG'!$AG60*'THAM_SO'!$C$20+'CHAM_CONG_THANG'!$AH60*'THAM_SO'!$C$21+'CHAM_CONG_THANG'!$AI60*'THAM_SO'!$C$23+'CHAM_CONG_THANG'!$AJ60*'THAM_SO'!$C$24+'CHAM_CONG_THANG'!$AK60*'THAM_SO'!$C$25))</f>
        <v/>
      </c>
      <c r="AA60" s="224">
        <f>IF('DM_NHAN_SU'!$B60="","",MAX(0,$Y60*($M60*IF('THAM_SO'!$C$22&gt;='THAM_SO'!$B$22,'THAM_SO'!$B$22,0)+'CHAM_CONG_THANG'!$AF60*IF('THAM_SO'!$C$19&gt;='THAM_SO'!$B$19,'THAM_SO'!$B$19,0)+'CHAM_CONG_THANG'!$AG60*IF('THAM_SO'!$C$20&gt;='THAM_SO'!$B$20,'THAM_SO'!$B$20,0)+'CHAM_CONG_THANG'!$AH60*IF('THAM_SO'!$C$21&gt;='THAM_SO'!$B$21,'THAM_SO'!$B$21,0)+'CHAM_CONG_THANG'!$AI60*IF('THAM_SO'!$C$23&gt;='THAM_SO'!$B$23,'THAM_SO'!$B$23,0)+'CHAM_CONG_THANG'!$AJ60*IF('THAM_SO'!$C$24&gt;='THAM_SO'!$B$24,'THAM_SO'!$B$24,0)+'CHAM_CONG_THANG'!$AK60*IF('THAM_SO'!$C$25&gt;='THAM_SO'!$B$25,'THAM_SO'!$B$25,0))-'CHAM_CONG_THANG'!$V60))</f>
        <v/>
      </c>
      <c r="AB60" s="224">
        <f>IF('DM_NHAN_SU'!$B60="","",MAX($Z60-$AA60,0))</f>
        <v/>
      </c>
      <c r="AC60" s="224">
        <f>IF('DM_NHAN_SU'!$B60="","",$O60+$P60+$Q60+$R60+$S60+$V60+$AB60+$BO60+$BP60+$BQ60+$BR60)</f>
        <v/>
      </c>
      <c r="AD60" s="224">
        <f>IF('DM_NHAN_SU'!$B60="","",'DM_NHAN_SU'!N60+'DM_NHAN_SU'!O60+'DM_NHAN_SU'!P60)</f>
        <v/>
      </c>
      <c r="AE60" s="224">
        <f>IF('DM_NHAN_SU'!$B60="","",IF(OR('DM_NHAN_SU'!$R60&lt;&gt;"Có",'CHAM_CONG_THANG'!$AA60="Có",$BL60&gt;=14,$AD60&lt;=0),0,MIN(MAX($AD60,'THAM_SO'!$M$6),'THAM_SO'!$M$7)))</f>
        <v/>
      </c>
      <c r="AF60" s="224">
        <f>IF('DM_NHAN_SU'!$B60="","",IF(OR('DM_NHAN_SU'!$S60&lt;&gt;"Có",'CHAM_CONG_THANG'!$AA60="Có",$BL60&gt;=14,$AD60&lt;=0),0,MIN(MAX($AD60,VLOOKUP($H60,'THAM_SO'!$L$17:$P$20,4,FALSE)),VLOOKUP($H60,'THAM_SO'!$L$17:$P$20,5,FALSE))))</f>
        <v/>
      </c>
      <c r="AG60" s="224">
        <f>IF('DM_NHAN_SU'!$B60="","",$AE60*'THAM_SO'!$M$8)</f>
        <v/>
      </c>
      <c r="AH60" s="224">
        <f>IF('DM_NHAN_SU'!$B60="","",$AE60*'THAM_SO'!$M$9)</f>
        <v/>
      </c>
      <c r="AI60" s="224">
        <f>IF('DM_NHAN_SU'!$B60="","",$AF60*'THAM_SO'!$M$10)</f>
        <v/>
      </c>
      <c r="AJ60" s="224">
        <f>IF('DM_NHAN_SU'!$B60="","",SUM($AG60:$AI60))</f>
        <v/>
      </c>
      <c r="AK60" s="224">
        <f>IF('DM_NHAN_SU'!$B60="","",IF($B60="",0,'THAM_SO'!$F$4))</f>
        <v/>
      </c>
      <c r="AL60" s="224">
        <f>IF('DM_NHAN_SU'!$B60="","",IF($B60="",0,'DM_NHAN_SU'!$T60*'THAM_SO'!$F$5))</f>
        <v/>
      </c>
      <c r="AM60" s="224">
        <f>IF('DM_NHAN_SU'!$B60="","",'CHAM_CONG_THANG'!W60)</f>
        <v/>
      </c>
      <c r="AN60" s="224">
        <f>IF('DM_NHAN_SU'!$B60="","",MAX($AC60-$AK60-$AL60-$AM60,0))</f>
        <v/>
      </c>
      <c r="AO60" s="224">
        <f>IF('DM_NHAN_SU'!$B60="","",IF($B60="","",IF($F60="Net",IF($AC60&lt;=$AK60+$AL60+$AM60,$AC60+$AJ60,$AJ60+$AK60+$AL60+$AM60+IF($AN60&lt;='THAM_SO'!$J$10,($AN60-'THAM_SO'!$I$10)/(1-'THAM_SO'!$H$10),IF($AN60&lt;='THAM_SO'!$J$11,($AN60-'THAM_SO'!$I$11)/(1-'THAM_SO'!$H$11),IF($AN60&lt;='THAM_SO'!$J$12,($AN60-'THAM_SO'!$I$12)/(1-'THAM_SO'!$H$12),IF($AN60&lt;='THAM_SO'!$J$13,($AN60-'THAM_SO'!$I$13)/(1-'THAM_SO'!$H$13),($AN60-'THAM_SO'!$I$14)/(1-'THAM_SO'!$H$14)))))),$AC60)))</f>
        <v/>
      </c>
      <c r="AP60" s="224">
        <f>IF('DM_NHAN_SU'!$B60="","",$U60+$W60+$X60+$AA60+$BS60)</f>
        <v/>
      </c>
      <c r="AQ60" s="224">
        <f>IF('DM_NHAN_SU'!$B60="","",MAX($AO60-$AJ60-$AK60-$AL60-$AM60,0))</f>
        <v/>
      </c>
      <c r="AR60" s="224">
        <f>IF('DM_NHAN_SU'!$B60="","",IF($AQ60&lt;=0,0,$AQ60*VLOOKUP($AQ60,'THAM_SO'!$F$10:$I$14,3,TRUE)-VLOOKUP($AQ60,'THAM_SO'!$F$10:$I$14,4,TRUE)))</f>
        <v/>
      </c>
      <c r="AS60" s="224">
        <f>IF('DM_NHAN_SU'!$B60="","",$AO60+$AP60)</f>
        <v/>
      </c>
      <c r="AT60" s="224">
        <f>IF('DM_NHAN_SU'!$B60="","",$AS60-$AJ60-$AR60)</f>
        <v/>
      </c>
      <c r="AU60" s="224">
        <f>IF('DM_NHAN_SU'!$B60="","",'CHAM_CONG_THANG'!X60)</f>
        <v/>
      </c>
      <c r="AV60" s="224">
        <f>IF('DM_NHAN_SU'!$B60="","",'CHAM_CONG_THANG'!Y60+'QT_NGHI_VIEC'!AD60)</f>
        <v/>
      </c>
      <c r="AW60" s="224">
        <f>IF('DM_NHAN_SU'!$B60="","",'CHAM_CONG_THANG'!Z60)</f>
        <v/>
      </c>
      <c r="AX60" s="224">
        <f>IF('DM_NHAN_SU'!$B60="","",$AT60-$AU60-$AV60-$AW60-$BV60)</f>
        <v/>
      </c>
      <c r="AY60" s="224">
        <f>IF('DM_NHAN_SU'!$B60="","",$AE60*'THAM_SO'!$M$11)</f>
        <v/>
      </c>
      <c r="AZ60" s="224">
        <f>IF('DM_NHAN_SU'!$B60="","",$AE60*'THAM_SO'!$M$12)</f>
        <v/>
      </c>
      <c r="BA60" s="224">
        <f>IF('DM_NHAN_SU'!$B60="","",$AF60*'THAM_SO'!$M$13)</f>
        <v/>
      </c>
      <c r="BB60" s="224">
        <f>IF('DM_NHAN_SU'!$B60="","",$AE60*'THAM_SO'!$M$14)</f>
        <v/>
      </c>
      <c r="BC60" s="224">
        <f>IF('DM_NHAN_SU'!$B60="","",SUM($AY60:$BB60))</f>
        <v/>
      </c>
      <c r="BD60" s="224">
        <f>IF('DM_NHAN_SU'!$B60="","",$AS60+$BC60)</f>
        <v/>
      </c>
      <c r="BE60" s="224">
        <f>IF('DM_NHAN_SU'!$B60="","",VLOOKUP($H60,'THAM_SO'!$L$17:$P$20,2,FALSE))</f>
        <v/>
      </c>
      <c r="BF60" s="224">
        <f>IF('DM_NHAN_SU'!$B60="","",VLOOKUP($H60,'THAM_SO'!$L$17:$P$20,3,FALSE))</f>
        <v/>
      </c>
      <c r="BG60" s="150">
        <f>IF('DM_NHAN_SU'!$B60="","",IF($B60="","",IF(COUNTIF('DM_NHAN_SU'!$B$6:$B$155,$B60)&gt;1,"Trùng mã NV; ","")&amp;IF(OR($F60="",$G60=""),"Thiếu loại/hình thức lương; ","")&amp;IF('CHAM_CONG_THANG'!$D60="","Chưa chọn nguồn công; ","")&amp;IF(AND('CHAM_CONG_THANG'!$D60="Theo ngày",COUNTIF('CHAM_CONG_NGAY'!$B$6:$B$4655,$B60)=0),"Chưa có chấm công ngày; ","")&amp;IF(OR($I60&lt;=0,$J60&lt;=0),"Thiếu công/giờ chuẩn; ","")&amp;IF(AND($G60="Tháng",'DM_NHAN_SU'!$K60&lt;$BE60),"Lương tháng dưới tối thiểu vùng; ","")&amp;IF(AND($G60="Ngày",'DM_NHAN_SU'!$K60/$J60&lt;$BF60),"Lương ngày quy đổi dưới tối thiểu giờ; ","")&amp;IF(AND($G60="Giờ",'DM_NHAN_SU'!$K60&lt;$BF60),"Lương giờ dưới tối thiểu vùng; ","")&amp;IF(AND($G60="Sản phẩm",$L60&gt;0,$O60/$L60&lt;$BF60),"Lương SP quy đổi dưới tối thiểu giờ; ","")&amp;IF(OR('THAM_SO'!$C$19&lt;'THAM_SO'!$B$19,'THAM_SO'!$C$20&lt;'THAM_SO'!$B$20,'THAM_SO'!$C$21&lt;'THAM_SO'!$B$21,'THAM_SO'!$C$22&lt;'THAM_SO'!$B$22,'THAM_SO'!$C$23&lt;'THAM_SO'!$B$23,'THAM_SO'!$C$24&lt;'THAM_SO'!$B$24,'THAM_SO'!$C$25&lt;'THAM_SO'!$B$25),"Hệ số OT/đêm DN thấp hơn luật; ","")&amp;IF(AND('DM_NHAN_SU'!$R60="Có",$AD60&lt;=0),"Thiếu căn cứ đóng BH; ","")&amp;IF(AND($AD60&gt;0,$AD60&lt;'THAM_SO'!$M$6),"Căn cứ BH dưới sàn – đã nâng sàn; ","")&amp;IF($AD60&gt;'THAM_SO'!$M$7,"Căn cứ BH vượt trần – đã giới hạn; ","")&amp;IF(AND($F60="Net",SUM('CHAM_CONG_THANG'!$AF60:$AK60)&gt;0,'DM_NHAN_SU'!$Q60&lt;=0),"Net có OT nhưng chưa khai lương giờ OT; ","")&amp;IF('CHAM_CONG_THANG'!$V60&gt;$Z60,"Phần OT không miễn lớn hơn tiền OT; ","")&amp;IF(AND($F60="Net",ABS($AT60-$AC60-$AP60)&gt;1),"Lệch quy đổi Net; ","")&amp;IF(AND($BH60&gt;0,'DM_NHAN_SU'!$AD60=""),"Có phép năm nhưng đang tạm dùng 12 ngày; ","")&amp;IF(AND($G60="Sản phẩm",SUM($BH60:$BJ60)&gt;0,'DM_NHAN_SU'!$AH60&lt;=0),"Lương sản phẩm thiếu đơn giá ngày phép/lễ; ","")&amp;IF(AND($BL60&gt;=14,'CHAM_CONG_THANG'!$AA60&lt;&gt;"Có"),"Thai sản từ 14 ngày: file tự dừng đóng BH – kiểm tra hồ sơ; ","")&amp;IF(AND('DM_NHAN_SU'!$AA60="Có",'DM_NHAN_SU'!$AB60=""),"Đoàn viên chưa chọn cách tính đoàn phí; ","")&amp;IF(AND('DM_NHAN_SU'!$AB60="Nhập tay",'DM_NHAN_SU'!$AC60&gt;'THAM_SO'!$M$26),"Đoàn phí nhập tay vượt trần thông dụng; ","")&amp;IF('NGHI_PHEP'!$L60&lt;&gt;"","Phép: "&amp;'NGHI_PHEP'!$L60,"")&amp;IF('CHE_DO_BHXH'!$AA60&lt;&gt;"","BHXH: "&amp;'CHE_DO_BHXH'!$AA60,"")&amp;IF('THUONG_T13_TET'!$O60&lt;&gt;"","Thưởng: "&amp;'THUONG_T13_TET'!$O60,"")&amp;IF('QT_NGHI_VIEC'!$AF60&lt;&gt;"","Nghỉ việc: "&amp;'QT_NGHI_VIEC'!$AF60,"")&amp;IF($AX60&lt;0,"Thực lĩnh âm; ","")&amp;IF(OR('DM_NHAN_SU'!$F60&gt;'THAM_SO'!$B$7,AND('DM_NHAN_SU'!$G60&lt;&gt;"",'DM_NHAN_SU'!$G60&lt;'THAM_SO'!$B$6)),"Ngoài kỳ trả lương; ","")))</f>
        <v/>
      </c>
      <c r="BH60" s="232">
        <f>IF('DM_NHAN_SU'!$B60="","",'CHAM_CONG_THANG'!AR60)</f>
        <v/>
      </c>
      <c r="BI60" s="232">
        <f>IF('DM_NHAN_SU'!$B60="","",'CHAM_CONG_THANG'!AS60)</f>
        <v/>
      </c>
      <c r="BJ60" s="232">
        <f>IF('DM_NHAN_SU'!$B60="","",'CHAM_CONG_THANG'!AT60)</f>
        <v/>
      </c>
      <c r="BK60" s="232">
        <f>IF('DM_NHAN_SU'!$B60="","",'CHAM_CONG_THANG'!AU60)</f>
        <v/>
      </c>
      <c r="BL60" s="232">
        <f>IF('DM_NHAN_SU'!$B60="","",'CHAM_CONG_THANG'!AV60)</f>
        <v/>
      </c>
      <c r="BM60" s="232">
        <f>IF('DM_NHAN_SU'!$B60="","",'CHAM_CONG_THANG'!AW60)</f>
        <v/>
      </c>
      <c r="BN60" s="232">
        <f>IF('DM_NHAN_SU'!$B60="","",SUM($K60,$BH60:$BJ60))</f>
        <v/>
      </c>
      <c r="BO60" s="224">
        <f>IF('DM_NHAN_SU'!$B60="","",IF($B60="",0,IF($G60="Tháng",IF($I60&gt;0,'DM_NHAN_SU'!$K60*MIN($BH60+$BJ60,MAX($I60-$K60,0))/$I60,0),IF($G60="Ngày",'DM_NHAN_SU'!$K60*SUM($BH60:$BJ60),IF($G60="Giờ",'DM_NHAN_SU'!$K60*SUM($BH60:$BJ60)*$J60,IF($G60="Sản phẩm",'DM_NHAN_SU'!$AH60*SUM($BH60:$BJ60),0))))))</f>
        <v/>
      </c>
      <c r="BP60" s="224">
        <f>IF('DM_NHAN_SU'!$B60="","",IF('THUONG_T13_TET'!$L60="Có",'THUONG_T13_TET'!$I60,0))</f>
        <v/>
      </c>
      <c r="BQ60" s="224">
        <f>IF('DM_NHAN_SU'!$B60="","",IF('THUONG_T13_TET'!$L60="Có",SUM('THUONG_T13_TET'!$J60:$K60),0))</f>
        <v/>
      </c>
      <c r="BR60" s="224">
        <f>IF('DM_NHAN_SU'!$B60="","",'QT_NGHI_VIEC'!AC60)</f>
        <v/>
      </c>
      <c r="BS60" s="224">
        <f>IF('DM_NHAN_SU'!$B60="","",'QT_NGHI_VIEC'!AB60)</f>
        <v/>
      </c>
      <c r="BT60" s="224">
        <f>IF('DM_NHAN_SU'!$B60="","",IF('CHE_DO_BHXH'!$Z60="Có",'CHE_DO_BHXH'!$W60,0))</f>
        <v/>
      </c>
      <c r="BU60" s="224">
        <f>IF('DM_NHAN_SU'!$B60="","",IF('CHE_DO_BHXH'!$Y60="DN trả thay",$BT60,0))</f>
        <v/>
      </c>
      <c r="BV60" s="224">
        <f>IF('DM_NHAN_SU'!$B60="","",IF(OR('DM_NHAN_SU'!$AA60&lt;&gt;"Có",'CHE_DO_BHXH'!$O60&gt;=1,SUM('CHE_DO_BHXH'!$D60,'CHE_DO_BHXH'!$G60,'CHE_DO_BHXH'!$K60)&gt;=24,AND($I60&gt;0,$BM60&gt;=$I60)),0,IF('DM_NHAN_SU'!$AB60="Không",0,IF('DM_NHAN_SU'!$AB60="Nhập tay",'DM_NHAN_SU'!$AC60,IF('DM_NHAN_SU'!$AB60="Theo thực nhận",MIN(MAX($AT60-$AU60-$AV60-$AW60,0)*'THAM_SO'!$M$23,'THAM_SO'!$M$26),MIN($AE60*'THAM_SO'!$M$23,'THAM_SO'!$M$26))))))</f>
        <v/>
      </c>
      <c r="BW60" s="224">
        <f>IF('DM_NHAN_SU'!$B60="","",$AX60+$BU60)</f>
        <v/>
      </c>
    </row>
    <row r="61">
      <c r="A61" s="145">
        <f>IF('DM_NHAN_SU'!$B61="","",IF($B61="","",ROW()-5))</f>
        <v/>
      </c>
      <c r="B61" s="145">
        <f>IF('DM_NHAN_SU'!$B61="","",'DM_NHAN_SU'!B61)</f>
        <v/>
      </c>
      <c r="C61" s="145">
        <f>IF('DM_NHAN_SU'!$B61="","",'DM_NHAN_SU'!C61)</f>
        <v/>
      </c>
      <c r="D61" s="145">
        <f>IF('DM_NHAN_SU'!$B61="","",'DM_NHAN_SU'!D61)</f>
        <v/>
      </c>
      <c r="E61" s="145">
        <f>IF('DM_NHAN_SU'!$B61="","",'DM_NHAN_SU'!E61)</f>
        <v/>
      </c>
      <c r="F61" s="145">
        <f>IF('DM_NHAN_SU'!$B61="","",'DM_NHAN_SU'!I61)</f>
        <v/>
      </c>
      <c r="G61" s="145">
        <f>IF('DM_NHAN_SU'!$B61="","",'DM_NHAN_SU'!J61)</f>
        <v/>
      </c>
      <c r="H61" s="145">
        <f>IF('DM_NHAN_SU'!$B61="","",IF('DM_NHAN_SU'!H61="",'THAM_SO'!$B$11,'DM_NHAN_SU'!H61))</f>
        <v/>
      </c>
      <c r="I61" s="232">
        <f>IF('DM_NHAN_SU'!$B61="","",IF('DM_NHAN_SU'!L61&gt;0,'DM_NHAN_SU'!L61,'THAM_SO'!$B$9))</f>
        <v/>
      </c>
      <c r="J61" s="232">
        <f>IF('DM_NHAN_SU'!$B61="","",IF('DM_NHAN_SU'!M61&gt;0,'DM_NHAN_SU'!M61,'THAM_SO'!$B$10))</f>
        <v/>
      </c>
      <c r="K61" s="232">
        <f>IF('DM_NHAN_SU'!$B61="","",'CHAM_CONG_THANG'!AC61)</f>
        <v/>
      </c>
      <c r="L61" s="232">
        <f>IF('DM_NHAN_SU'!$B61="","",'CHAM_CONG_THANG'!AD61)</f>
        <v/>
      </c>
      <c r="M61" s="232">
        <f>IF('DM_NHAN_SU'!$B61="","",'CHAM_CONG_THANG'!AE61)</f>
        <v/>
      </c>
      <c r="N61" s="232">
        <f>IF('DM_NHAN_SU'!$B61="","",'CHAM_CONG_THANG'!N61)</f>
        <v/>
      </c>
      <c r="O61" s="224">
        <f>IF('DM_NHAN_SU'!$B61="","",IF($B61="","",IF($G61="Tháng",IF($I61&gt;0,'DM_NHAN_SU'!$K61*MIN($K61,$I61)/$I61,0),IF($G61="Ngày",'DM_NHAN_SU'!$K61*$K61,IF($G61="Giờ",'DM_NHAN_SU'!$K61*$L61,IF($G61="Sản phẩm",'DM_NHAN_SU'!$K61*$N61,0))))))</f>
        <v/>
      </c>
      <c r="P61" s="224">
        <f>IF('DM_NHAN_SU'!$B61="","",'CHAM_CONG_THANG'!O61)</f>
        <v/>
      </c>
      <c r="Q61" s="224">
        <f>IF('DM_NHAN_SU'!$B61="","",'CHAM_CONG_THANG'!P61)</f>
        <v/>
      </c>
      <c r="R61" s="224">
        <f>IF('DM_NHAN_SU'!$B61="","",'CHAM_CONG_THANG'!Q61)</f>
        <v/>
      </c>
      <c r="S61" s="224">
        <f>IF('DM_NHAN_SU'!$B61="","",'CHAM_CONG_THANG'!R61)</f>
        <v/>
      </c>
      <c r="T61" s="224">
        <f>IF('DM_NHAN_SU'!$B61="","",'CHAM_CONG_THANG'!S61)</f>
        <v/>
      </c>
      <c r="U61" s="224">
        <f>IF('DM_NHAN_SU'!$B61="","",MIN($T61,'THAM_SO'!$F$6))</f>
        <v/>
      </c>
      <c r="V61" s="224">
        <f>IF('DM_NHAN_SU'!$B61="","",MAX($T61-$U61,0))</f>
        <v/>
      </c>
      <c r="W61" s="224">
        <f>IF('DM_NHAN_SU'!$B61="","",'CHAM_CONG_THANG'!T61)</f>
        <v/>
      </c>
      <c r="X61" s="224">
        <f>IF('DM_NHAN_SU'!$B61="","",'CHAM_CONG_THANG'!U61)</f>
        <v/>
      </c>
      <c r="Y61" s="224">
        <f>IF('DM_NHAN_SU'!$B61="","",IF($B61="",0,IF('DM_NHAN_SU'!$Q61&gt;0,'DM_NHAN_SU'!$Q61,IF($G61="Tháng",IF($I61*$J61&gt;0,'DM_NHAN_SU'!$K61/($I61*$J61),0),IF($G61="Ngày",IF($J61&gt;0,'DM_NHAN_SU'!$K61/$J61,0),IF($G61="Giờ",'DM_NHAN_SU'!$K61,0))))))</f>
        <v/>
      </c>
      <c r="Z61" s="224">
        <f>IF('DM_NHAN_SU'!$B61="","",$Y61*($M61*'THAM_SO'!$C$22+'CHAM_CONG_THANG'!$AF61*'THAM_SO'!$C$19+'CHAM_CONG_THANG'!$AG61*'THAM_SO'!$C$20+'CHAM_CONG_THANG'!$AH61*'THAM_SO'!$C$21+'CHAM_CONG_THANG'!$AI61*'THAM_SO'!$C$23+'CHAM_CONG_THANG'!$AJ61*'THAM_SO'!$C$24+'CHAM_CONG_THANG'!$AK61*'THAM_SO'!$C$25))</f>
        <v/>
      </c>
      <c r="AA61" s="224">
        <f>IF('DM_NHAN_SU'!$B61="","",MAX(0,$Y61*($M61*IF('THAM_SO'!$C$22&gt;='THAM_SO'!$B$22,'THAM_SO'!$B$22,0)+'CHAM_CONG_THANG'!$AF61*IF('THAM_SO'!$C$19&gt;='THAM_SO'!$B$19,'THAM_SO'!$B$19,0)+'CHAM_CONG_THANG'!$AG61*IF('THAM_SO'!$C$20&gt;='THAM_SO'!$B$20,'THAM_SO'!$B$20,0)+'CHAM_CONG_THANG'!$AH61*IF('THAM_SO'!$C$21&gt;='THAM_SO'!$B$21,'THAM_SO'!$B$21,0)+'CHAM_CONG_THANG'!$AI61*IF('THAM_SO'!$C$23&gt;='THAM_SO'!$B$23,'THAM_SO'!$B$23,0)+'CHAM_CONG_THANG'!$AJ61*IF('THAM_SO'!$C$24&gt;='THAM_SO'!$B$24,'THAM_SO'!$B$24,0)+'CHAM_CONG_THANG'!$AK61*IF('THAM_SO'!$C$25&gt;='THAM_SO'!$B$25,'THAM_SO'!$B$25,0))-'CHAM_CONG_THANG'!$V61))</f>
        <v/>
      </c>
      <c r="AB61" s="224">
        <f>IF('DM_NHAN_SU'!$B61="","",MAX($Z61-$AA61,0))</f>
        <v/>
      </c>
      <c r="AC61" s="224">
        <f>IF('DM_NHAN_SU'!$B61="","",$O61+$P61+$Q61+$R61+$S61+$V61+$AB61+$BO61+$BP61+$BQ61+$BR61)</f>
        <v/>
      </c>
      <c r="AD61" s="224">
        <f>IF('DM_NHAN_SU'!$B61="","",'DM_NHAN_SU'!N61+'DM_NHAN_SU'!O61+'DM_NHAN_SU'!P61)</f>
        <v/>
      </c>
      <c r="AE61" s="224">
        <f>IF('DM_NHAN_SU'!$B61="","",IF(OR('DM_NHAN_SU'!$R61&lt;&gt;"Có",'CHAM_CONG_THANG'!$AA61="Có",$BL61&gt;=14,$AD61&lt;=0),0,MIN(MAX($AD61,'THAM_SO'!$M$6),'THAM_SO'!$M$7)))</f>
        <v/>
      </c>
      <c r="AF61" s="224">
        <f>IF('DM_NHAN_SU'!$B61="","",IF(OR('DM_NHAN_SU'!$S61&lt;&gt;"Có",'CHAM_CONG_THANG'!$AA61="Có",$BL61&gt;=14,$AD61&lt;=0),0,MIN(MAX($AD61,VLOOKUP($H61,'THAM_SO'!$L$17:$P$20,4,FALSE)),VLOOKUP($H61,'THAM_SO'!$L$17:$P$20,5,FALSE))))</f>
        <v/>
      </c>
      <c r="AG61" s="224">
        <f>IF('DM_NHAN_SU'!$B61="","",$AE61*'THAM_SO'!$M$8)</f>
        <v/>
      </c>
      <c r="AH61" s="224">
        <f>IF('DM_NHAN_SU'!$B61="","",$AE61*'THAM_SO'!$M$9)</f>
        <v/>
      </c>
      <c r="AI61" s="224">
        <f>IF('DM_NHAN_SU'!$B61="","",$AF61*'THAM_SO'!$M$10)</f>
        <v/>
      </c>
      <c r="AJ61" s="224">
        <f>IF('DM_NHAN_SU'!$B61="","",SUM($AG61:$AI61))</f>
        <v/>
      </c>
      <c r="AK61" s="224">
        <f>IF('DM_NHAN_SU'!$B61="","",IF($B61="",0,'THAM_SO'!$F$4))</f>
        <v/>
      </c>
      <c r="AL61" s="224">
        <f>IF('DM_NHAN_SU'!$B61="","",IF($B61="",0,'DM_NHAN_SU'!$T61*'THAM_SO'!$F$5))</f>
        <v/>
      </c>
      <c r="AM61" s="224">
        <f>IF('DM_NHAN_SU'!$B61="","",'CHAM_CONG_THANG'!W61)</f>
        <v/>
      </c>
      <c r="AN61" s="224">
        <f>IF('DM_NHAN_SU'!$B61="","",MAX($AC61-$AK61-$AL61-$AM61,0))</f>
        <v/>
      </c>
      <c r="AO61" s="224">
        <f>IF('DM_NHAN_SU'!$B61="","",IF($B61="","",IF($F61="Net",IF($AC61&lt;=$AK61+$AL61+$AM61,$AC61+$AJ61,$AJ61+$AK61+$AL61+$AM61+IF($AN61&lt;='THAM_SO'!$J$10,($AN61-'THAM_SO'!$I$10)/(1-'THAM_SO'!$H$10),IF($AN61&lt;='THAM_SO'!$J$11,($AN61-'THAM_SO'!$I$11)/(1-'THAM_SO'!$H$11),IF($AN61&lt;='THAM_SO'!$J$12,($AN61-'THAM_SO'!$I$12)/(1-'THAM_SO'!$H$12),IF($AN61&lt;='THAM_SO'!$J$13,($AN61-'THAM_SO'!$I$13)/(1-'THAM_SO'!$H$13),($AN61-'THAM_SO'!$I$14)/(1-'THAM_SO'!$H$14)))))),$AC61)))</f>
        <v/>
      </c>
      <c r="AP61" s="224">
        <f>IF('DM_NHAN_SU'!$B61="","",$U61+$W61+$X61+$AA61+$BS61)</f>
        <v/>
      </c>
      <c r="AQ61" s="224">
        <f>IF('DM_NHAN_SU'!$B61="","",MAX($AO61-$AJ61-$AK61-$AL61-$AM61,0))</f>
        <v/>
      </c>
      <c r="AR61" s="224">
        <f>IF('DM_NHAN_SU'!$B61="","",IF($AQ61&lt;=0,0,$AQ61*VLOOKUP($AQ61,'THAM_SO'!$F$10:$I$14,3,TRUE)-VLOOKUP($AQ61,'THAM_SO'!$F$10:$I$14,4,TRUE)))</f>
        <v/>
      </c>
      <c r="AS61" s="224">
        <f>IF('DM_NHAN_SU'!$B61="","",$AO61+$AP61)</f>
        <v/>
      </c>
      <c r="AT61" s="224">
        <f>IF('DM_NHAN_SU'!$B61="","",$AS61-$AJ61-$AR61)</f>
        <v/>
      </c>
      <c r="AU61" s="224">
        <f>IF('DM_NHAN_SU'!$B61="","",'CHAM_CONG_THANG'!X61)</f>
        <v/>
      </c>
      <c r="AV61" s="224">
        <f>IF('DM_NHAN_SU'!$B61="","",'CHAM_CONG_THANG'!Y61+'QT_NGHI_VIEC'!AD61)</f>
        <v/>
      </c>
      <c r="AW61" s="224">
        <f>IF('DM_NHAN_SU'!$B61="","",'CHAM_CONG_THANG'!Z61)</f>
        <v/>
      </c>
      <c r="AX61" s="224">
        <f>IF('DM_NHAN_SU'!$B61="","",$AT61-$AU61-$AV61-$AW61-$BV61)</f>
        <v/>
      </c>
      <c r="AY61" s="224">
        <f>IF('DM_NHAN_SU'!$B61="","",$AE61*'THAM_SO'!$M$11)</f>
        <v/>
      </c>
      <c r="AZ61" s="224">
        <f>IF('DM_NHAN_SU'!$B61="","",$AE61*'THAM_SO'!$M$12)</f>
        <v/>
      </c>
      <c r="BA61" s="224">
        <f>IF('DM_NHAN_SU'!$B61="","",$AF61*'THAM_SO'!$M$13)</f>
        <v/>
      </c>
      <c r="BB61" s="224">
        <f>IF('DM_NHAN_SU'!$B61="","",$AE61*'THAM_SO'!$M$14)</f>
        <v/>
      </c>
      <c r="BC61" s="224">
        <f>IF('DM_NHAN_SU'!$B61="","",SUM($AY61:$BB61))</f>
        <v/>
      </c>
      <c r="BD61" s="224">
        <f>IF('DM_NHAN_SU'!$B61="","",$AS61+$BC61)</f>
        <v/>
      </c>
      <c r="BE61" s="224">
        <f>IF('DM_NHAN_SU'!$B61="","",VLOOKUP($H61,'THAM_SO'!$L$17:$P$20,2,FALSE))</f>
        <v/>
      </c>
      <c r="BF61" s="224">
        <f>IF('DM_NHAN_SU'!$B61="","",VLOOKUP($H61,'THAM_SO'!$L$17:$P$20,3,FALSE))</f>
        <v/>
      </c>
      <c r="BG61" s="150">
        <f>IF('DM_NHAN_SU'!$B61="","",IF($B61="","",IF(COUNTIF('DM_NHAN_SU'!$B$6:$B$155,$B61)&gt;1,"Trùng mã NV; ","")&amp;IF(OR($F61="",$G61=""),"Thiếu loại/hình thức lương; ","")&amp;IF('CHAM_CONG_THANG'!$D61="","Chưa chọn nguồn công; ","")&amp;IF(AND('CHAM_CONG_THANG'!$D61="Theo ngày",COUNTIF('CHAM_CONG_NGAY'!$B$6:$B$4655,$B61)=0),"Chưa có chấm công ngày; ","")&amp;IF(OR($I61&lt;=0,$J61&lt;=0),"Thiếu công/giờ chuẩn; ","")&amp;IF(AND($G61="Tháng",'DM_NHAN_SU'!$K61&lt;$BE61),"Lương tháng dưới tối thiểu vùng; ","")&amp;IF(AND($G61="Ngày",'DM_NHAN_SU'!$K61/$J61&lt;$BF61),"Lương ngày quy đổi dưới tối thiểu giờ; ","")&amp;IF(AND($G61="Giờ",'DM_NHAN_SU'!$K61&lt;$BF61),"Lương giờ dưới tối thiểu vùng; ","")&amp;IF(AND($G61="Sản phẩm",$L61&gt;0,$O61/$L61&lt;$BF61),"Lương SP quy đổi dưới tối thiểu giờ; ","")&amp;IF(OR('THAM_SO'!$C$19&lt;'THAM_SO'!$B$19,'THAM_SO'!$C$20&lt;'THAM_SO'!$B$20,'THAM_SO'!$C$21&lt;'THAM_SO'!$B$21,'THAM_SO'!$C$22&lt;'THAM_SO'!$B$22,'THAM_SO'!$C$23&lt;'THAM_SO'!$B$23,'THAM_SO'!$C$24&lt;'THAM_SO'!$B$24,'THAM_SO'!$C$25&lt;'THAM_SO'!$B$25),"Hệ số OT/đêm DN thấp hơn luật; ","")&amp;IF(AND('DM_NHAN_SU'!$R61="Có",$AD61&lt;=0),"Thiếu căn cứ đóng BH; ","")&amp;IF(AND($AD61&gt;0,$AD61&lt;'THAM_SO'!$M$6),"Căn cứ BH dưới sàn – đã nâng sàn; ","")&amp;IF($AD61&gt;'THAM_SO'!$M$7,"Căn cứ BH vượt trần – đã giới hạn; ","")&amp;IF(AND($F61="Net",SUM('CHAM_CONG_THANG'!$AF61:$AK61)&gt;0,'DM_NHAN_SU'!$Q61&lt;=0),"Net có OT nhưng chưa khai lương giờ OT; ","")&amp;IF('CHAM_CONG_THANG'!$V61&gt;$Z61,"Phần OT không miễn lớn hơn tiền OT; ","")&amp;IF(AND($F61="Net",ABS($AT61-$AC61-$AP61)&gt;1),"Lệch quy đổi Net; ","")&amp;IF(AND($BH61&gt;0,'DM_NHAN_SU'!$AD61=""),"Có phép năm nhưng đang tạm dùng 12 ngày; ","")&amp;IF(AND($G61="Sản phẩm",SUM($BH61:$BJ61)&gt;0,'DM_NHAN_SU'!$AH61&lt;=0),"Lương sản phẩm thiếu đơn giá ngày phép/lễ; ","")&amp;IF(AND($BL61&gt;=14,'CHAM_CONG_THANG'!$AA61&lt;&gt;"Có"),"Thai sản từ 14 ngày: file tự dừng đóng BH – kiểm tra hồ sơ; ","")&amp;IF(AND('DM_NHAN_SU'!$AA61="Có",'DM_NHAN_SU'!$AB61=""),"Đoàn viên chưa chọn cách tính đoàn phí; ","")&amp;IF(AND('DM_NHAN_SU'!$AB61="Nhập tay",'DM_NHAN_SU'!$AC61&gt;'THAM_SO'!$M$26),"Đoàn phí nhập tay vượt trần thông dụng; ","")&amp;IF('NGHI_PHEP'!$L61&lt;&gt;"","Phép: "&amp;'NGHI_PHEP'!$L61,"")&amp;IF('CHE_DO_BHXH'!$AA61&lt;&gt;"","BHXH: "&amp;'CHE_DO_BHXH'!$AA61,"")&amp;IF('THUONG_T13_TET'!$O61&lt;&gt;"","Thưởng: "&amp;'THUONG_T13_TET'!$O61,"")&amp;IF('QT_NGHI_VIEC'!$AF61&lt;&gt;"","Nghỉ việc: "&amp;'QT_NGHI_VIEC'!$AF61,"")&amp;IF($AX61&lt;0,"Thực lĩnh âm; ","")&amp;IF(OR('DM_NHAN_SU'!$F61&gt;'THAM_SO'!$B$7,AND('DM_NHAN_SU'!$G61&lt;&gt;"",'DM_NHAN_SU'!$G61&lt;'THAM_SO'!$B$6)),"Ngoài kỳ trả lương; ","")))</f>
        <v/>
      </c>
      <c r="BH61" s="232">
        <f>IF('DM_NHAN_SU'!$B61="","",'CHAM_CONG_THANG'!AR61)</f>
        <v/>
      </c>
      <c r="BI61" s="232">
        <f>IF('DM_NHAN_SU'!$B61="","",'CHAM_CONG_THANG'!AS61)</f>
        <v/>
      </c>
      <c r="BJ61" s="232">
        <f>IF('DM_NHAN_SU'!$B61="","",'CHAM_CONG_THANG'!AT61)</f>
        <v/>
      </c>
      <c r="BK61" s="232">
        <f>IF('DM_NHAN_SU'!$B61="","",'CHAM_CONG_THANG'!AU61)</f>
        <v/>
      </c>
      <c r="BL61" s="232">
        <f>IF('DM_NHAN_SU'!$B61="","",'CHAM_CONG_THANG'!AV61)</f>
        <v/>
      </c>
      <c r="BM61" s="232">
        <f>IF('DM_NHAN_SU'!$B61="","",'CHAM_CONG_THANG'!AW61)</f>
        <v/>
      </c>
      <c r="BN61" s="232">
        <f>IF('DM_NHAN_SU'!$B61="","",SUM($K61,$BH61:$BJ61))</f>
        <v/>
      </c>
      <c r="BO61" s="224">
        <f>IF('DM_NHAN_SU'!$B61="","",IF($B61="",0,IF($G61="Tháng",IF($I61&gt;0,'DM_NHAN_SU'!$K61*MIN($BH61+$BJ61,MAX($I61-$K61,0))/$I61,0),IF($G61="Ngày",'DM_NHAN_SU'!$K61*SUM($BH61:$BJ61),IF($G61="Giờ",'DM_NHAN_SU'!$K61*SUM($BH61:$BJ61)*$J61,IF($G61="Sản phẩm",'DM_NHAN_SU'!$AH61*SUM($BH61:$BJ61),0))))))</f>
        <v/>
      </c>
      <c r="BP61" s="224">
        <f>IF('DM_NHAN_SU'!$B61="","",IF('THUONG_T13_TET'!$L61="Có",'THUONG_T13_TET'!$I61,0))</f>
        <v/>
      </c>
      <c r="BQ61" s="224">
        <f>IF('DM_NHAN_SU'!$B61="","",IF('THUONG_T13_TET'!$L61="Có",SUM('THUONG_T13_TET'!$J61:$K61),0))</f>
        <v/>
      </c>
      <c r="BR61" s="224">
        <f>IF('DM_NHAN_SU'!$B61="","",'QT_NGHI_VIEC'!AC61)</f>
        <v/>
      </c>
      <c r="BS61" s="224">
        <f>IF('DM_NHAN_SU'!$B61="","",'QT_NGHI_VIEC'!AB61)</f>
        <v/>
      </c>
      <c r="BT61" s="224">
        <f>IF('DM_NHAN_SU'!$B61="","",IF('CHE_DO_BHXH'!$Z61="Có",'CHE_DO_BHXH'!$W61,0))</f>
        <v/>
      </c>
      <c r="BU61" s="224">
        <f>IF('DM_NHAN_SU'!$B61="","",IF('CHE_DO_BHXH'!$Y61="DN trả thay",$BT61,0))</f>
        <v/>
      </c>
      <c r="BV61" s="224">
        <f>IF('DM_NHAN_SU'!$B61="","",IF(OR('DM_NHAN_SU'!$AA61&lt;&gt;"Có",'CHE_DO_BHXH'!$O61&gt;=1,SUM('CHE_DO_BHXH'!$D61,'CHE_DO_BHXH'!$G61,'CHE_DO_BHXH'!$K61)&gt;=24,AND($I61&gt;0,$BM61&gt;=$I61)),0,IF('DM_NHAN_SU'!$AB61="Không",0,IF('DM_NHAN_SU'!$AB61="Nhập tay",'DM_NHAN_SU'!$AC61,IF('DM_NHAN_SU'!$AB61="Theo thực nhận",MIN(MAX($AT61-$AU61-$AV61-$AW61,0)*'THAM_SO'!$M$23,'THAM_SO'!$M$26),MIN($AE61*'THAM_SO'!$M$23,'THAM_SO'!$M$26))))))</f>
        <v/>
      </c>
      <c r="BW61" s="224">
        <f>IF('DM_NHAN_SU'!$B61="","",$AX61+$BU61)</f>
        <v/>
      </c>
    </row>
    <row r="62">
      <c r="A62" s="145">
        <f>IF('DM_NHAN_SU'!$B62="","",IF($B62="","",ROW()-5))</f>
        <v/>
      </c>
      <c r="B62" s="145">
        <f>IF('DM_NHAN_SU'!$B62="","",'DM_NHAN_SU'!B62)</f>
        <v/>
      </c>
      <c r="C62" s="145">
        <f>IF('DM_NHAN_SU'!$B62="","",'DM_NHAN_SU'!C62)</f>
        <v/>
      </c>
      <c r="D62" s="145">
        <f>IF('DM_NHAN_SU'!$B62="","",'DM_NHAN_SU'!D62)</f>
        <v/>
      </c>
      <c r="E62" s="145">
        <f>IF('DM_NHAN_SU'!$B62="","",'DM_NHAN_SU'!E62)</f>
        <v/>
      </c>
      <c r="F62" s="145">
        <f>IF('DM_NHAN_SU'!$B62="","",'DM_NHAN_SU'!I62)</f>
        <v/>
      </c>
      <c r="G62" s="145">
        <f>IF('DM_NHAN_SU'!$B62="","",'DM_NHAN_SU'!J62)</f>
        <v/>
      </c>
      <c r="H62" s="145">
        <f>IF('DM_NHAN_SU'!$B62="","",IF('DM_NHAN_SU'!H62="",'THAM_SO'!$B$11,'DM_NHAN_SU'!H62))</f>
        <v/>
      </c>
      <c r="I62" s="232">
        <f>IF('DM_NHAN_SU'!$B62="","",IF('DM_NHAN_SU'!L62&gt;0,'DM_NHAN_SU'!L62,'THAM_SO'!$B$9))</f>
        <v/>
      </c>
      <c r="J62" s="232">
        <f>IF('DM_NHAN_SU'!$B62="","",IF('DM_NHAN_SU'!M62&gt;0,'DM_NHAN_SU'!M62,'THAM_SO'!$B$10))</f>
        <v/>
      </c>
      <c r="K62" s="232">
        <f>IF('DM_NHAN_SU'!$B62="","",'CHAM_CONG_THANG'!AC62)</f>
        <v/>
      </c>
      <c r="L62" s="232">
        <f>IF('DM_NHAN_SU'!$B62="","",'CHAM_CONG_THANG'!AD62)</f>
        <v/>
      </c>
      <c r="M62" s="232">
        <f>IF('DM_NHAN_SU'!$B62="","",'CHAM_CONG_THANG'!AE62)</f>
        <v/>
      </c>
      <c r="N62" s="232">
        <f>IF('DM_NHAN_SU'!$B62="","",'CHAM_CONG_THANG'!N62)</f>
        <v/>
      </c>
      <c r="O62" s="224">
        <f>IF('DM_NHAN_SU'!$B62="","",IF($B62="","",IF($G62="Tháng",IF($I62&gt;0,'DM_NHAN_SU'!$K62*MIN($K62,$I62)/$I62,0),IF($G62="Ngày",'DM_NHAN_SU'!$K62*$K62,IF($G62="Giờ",'DM_NHAN_SU'!$K62*$L62,IF($G62="Sản phẩm",'DM_NHAN_SU'!$K62*$N62,0))))))</f>
        <v/>
      </c>
      <c r="P62" s="224">
        <f>IF('DM_NHAN_SU'!$B62="","",'CHAM_CONG_THANG'!O62)</f>
        <v/>
      </c>
      <c r="Q62" s="224">
        <f>IF('DM_NHAN_SU'!$B62="","",'CHAM_CONG_THANG'!P62)</f>
        <v/>
      </c>
      <c r="R62" s="224">
        <f>IF('DM_NHAN_SU'!$B62="","",'CHAM_CONG_THANG'!Q62)</f>
        <v/>
      </c>
      <c r="S62" s="224">
        <f>IF('DM_NHAN_SU'!$B62="","",'CHAM_CONG_THANG'!R62)</f>
        <v/>
      </c>
      <c r="T62" s="224">
        <f>IF('DM_NHAN_SU'!$B62="","",'CHAM_CONG_THANG'!S62)</f>
        <v/>
      </c>
      <c r="U62" s="224">
        <f>IF('DM_NHAN_SU'!$B62="","",MIN($T62,'THAM_SO'!$F$6))</f>
        <v/>
      </c>
      <c r="V62" s="224">
        <f>IF('DM_NHAN_SU'!$B62="","",MAX($T62-$U62,0))</f>
        <v/>
      </c>
      <c r="W62" s="224">
        <f>IF('DM_NHAN_SU'!$B62="","",'CHAM_CONG_THANG'!T62)</f>
        <v/>
      </c>
      <c r="X62" s="224">
        <f>IF('DM_NHAN_SU'!$B62="","",'CHAM_CONG_THANG'!U62)</f>
        <v/>
      </c>
      <c r="Y62" s="224">
        <f>IF('DM_NHAN_SU'!$B62="","",IF($B62="",0,IF('DM_NHAN_SU'!$Q62&gt;0,'DM_NHAN_SU'!$Q62,IF($G62="Tháng",IF($I62*$J62&gt;0,'DM_NHAN_SU'!$K62/($I62*$J62),0),IF($G62="Ngày",IF($J62&gt;0,'DM_NHAN_SU'!$K62/$J62,0),IF($G62="Giờ",'DM_NHAN_SU'!$K62,0))))))</f>
        <v/>
      </c>
      <c r="Z62" s="224">
        <f>IF('DM_NHAN_SU'!$B62="","",$Y62*($M62*'THAM_SO'!$C$22+'CHAM_CONG_THANG'!$AF62*'THAM_SO'!$C$19+'CHAM_CONG_THANG'!$AG62*'THAM_SO'!$C$20+'CHAM_CONG_THANG'!$AH62*'THAM_SO'!$C$21+'CHAM_CONG_THANG'!$AI62*'THAM_SO'!$C$23+'CHAM_CONG_THANG'!$AJ62*'THAM_SO'!$C$24+'CHAM_CONG_THANG'!$AK62*'THAM_SO'!$C$25))</f>
        <v/>
      </c>
      <c r="AA62" s="224">
        <f>IF('DM_NHAN_SU'!$B62="","",MAX(0,$Y62*($M62*IF('THAM_SO'!$C$22&gt;='THAM_SO'!$B$22,'THAM_SO'!$B$22,0)+'CHAM_CONG_THANG'!$AF62*IF('THAM_SO'!$C$19&gt;='THAM_SO'!$B$19,'THAM_SO'!$B$19,0)+'CHAM_CONG_THANG'!$AG62*IF('THAM_SO'!$C$20&gt;='THAM_SO'!$B$20,'THAM_SO'!$B$20,0)+'CHAM_CONG_THANG'!$AH62*IF('THAM_SO'!$C$21&gt;='THAM_SO'!$B$21,'THAM_SO'!$B$21,0)+'CHAM_CONG_THANG'!$AI62*IF('THAM_SO'!$C$23&gt;='THAM_SO'!$B$23,'THAM_SO'!$B$23,0)+'CHAM_CONG_THANG'!$AJ62*IF('THAM_SO'!$C$24&gt;='THAM_SO'!$B$24,'THAM_SO'!$B$24,0)+'CHAM_CONG_THANG'!$AK62*IF('THAM_SO'!$C$25&gt;='THAM_SO'!$B$25,'THAM_SO'!$B$25,0))-'CHAM_CONG_THANG'!$V62))</f>
        <v/>
      </c>
      <c r="AB62" s="224">
        <f>IF('DM_NHAN_SU'!$B62="","",MAX($Z62-$AA62,0))</f>
        <v/>
      </c>
      <c r="AC62" s="224">
        <f>IF('DM_NHAN_SU'!$B62="","",$O62+$P62+$Q62+$R62+$S62+$V62+$AB62+$BO62+$BP62+$BQ62+$BR62)</f>
        <v/>
      </c>
      <c r="AD62" s="224">
        <f>IF('DM_NHAN_SU'!$B62="","",'DM_NHAN_SU'!N62+'DM_NHAN_SU'!O62+'DM_NHAN_SU'!P62)</f>
        <v/>
      </c>
      <c r="AE62" s="224">
        <f>IF('DM_NHAN_SU'!$B62="","",IF(OR('DM_NHAN_SU'!$R62&lt;&gt;"Có",'CHAM_CONG_THANG'!$AA62="Có",$BL62&gt;=14,$AD62&lt;=0),0,MIN(MAX($AD62,'THAM_SO'!$M$6),'THAM_SO'!$M$7)))</f>
        <v/>
      </c>
      <c r="AF62" s="224">
        <f>IF('DM_NHAN_SU'!$B62="","",IF(OR('DM_NHAN_SU'!$S62&lt;&gt;"Có",'CHAM_CONG_THANG'!$AA62="Có",$BL62&gt;=14,$AD62&lt;=0),0,MIN(MAX($AD62,VLOOKUP($H62,'THAM_SO'!$L$17:$P$20,4,FALSE)),VLOOKUP($H62,'THAM_SO'!$L$17:$P$20,5,FALSE))))</f>
        <v/>
      </c>
      <c r="AG62" s="224">
        <f>IF('DM_NHAN_SU'!$B62="","",$AE62*'THAM_SO'!$M$8)</f>
        <v/>
      </c>
      <c r="AH62" s="224">
        <f>IF('DM_NHAN_SU'!$B62="","",$AE62*'THAM_SO'!$M$9)</f>
        <v/>
      </c>
      <c r="AI62" s="224">
        <f>IF('DM_NHAN_SU'!$B62="","",$AF62*'THAM_SO'!$M$10)</f>
        <v/>
      </c>
      <c r="AJ62" s="224">
        <f>IF('DM_NHAN_SU'!$B62="","",SUM($AG62:$AI62))</f>
        <v/>
      </c>
      <c r="AK62" s="224">
        <f>IF('DM_NHAN_SU'!$B62="","",IF($B62="",0,'THAM_SO'!$F$4))</f>
        <v/>
      </c>
      <c r="AL62" s="224">
        <f>IF('DM_NHAN_SU'!$B62="","",IF($B62="",0,'DM_NHAN_SU'!$T62*'THAM_SO'!$F$5))</f>
        <v/>
      </c>
      <c r="AM62" s="224">
        <f>IF('DM_NHAN_SU'!$B62="","",'CHAM_CONG_THANG'!W62)</f>
        <v/>
      </c>
      <c r="AN62" s="224">
        <f>IF('DM_NHAN_SU'!$B62="","",MAX($AC62-$AK62-$AL62-$AM62,0))</f>
        <v/>
      </c>
      <c r="AO62" s="224">
        <f>IF('DM_NHAN_SU'!$B62="","",IF($B62="","",IF($F62="Net",IF($AC62&lt;=$AK62+$AL62+$AM62,$AC62+$AJ62,$AJ62+$AK62+$AL62+$AM62+IF($AN62&lt;='THAM_SO'!$J$10,($AN62-'THAM_SO'!$I$10)/(1-'THAM_SO'!$H$10),IF($AN62&lt;='THAM_SO'!$J$11,($AN62-'THAM_SO'!$I$11)/(1-'THAM_SO'!$H$11),IF($AN62&lt;='THAM_SO'!$J$12,($AN62-'THAM_SO'!$I$12)/(1-'THAM_SO'!$H$12),IF($AN62&lt;='THAM_SO'!$J$13,($AN62-'THAM_SO'!$I$13)/(1-'THAM_SO'!$H$13),($AN62-'THAM_SO'!$I$14)/(1-'THAM_SO'!$H$14)))))),$AC62)))</f>
        <v/>
      </c>
      <c r="AP62" s="224">
        <f>IF('DM_NHAN_SU'!$B62="","",$U62+$W62+$X62+$AA62+$BS62)</f>
        <v/>
      </c>
      <c r="AQ62" s="224">
        <f>IF('DM_NHAN_SU'!$B62="","",MAX($AO62-$AJ62-$AK62-$AL62-$AM62,0))</f>
        <v/>
      </c>
      <c r="AR62" s="224">
        <f>IF('DM_NHAN_SU'!$B62="","",IF($AQ62&lt;=0,0,$AQ62*VLOOKUP($AQ62,'THAM_SO'!$F$10:$I$14,3,TRUE)-VLOOKUP($AQ62,'THAM_SO'!$F$10:$I$14,4,TRUE)))</f>
        <v/>
      </c>
      <c r="AS62" s="224">
        <f>IF('DM_NHAN_SU'!$B62="","",$AO62+$AP62)</f>
        <v/>
      </c>
      <c r="AT62" s="224">
        <f>IF('DM_NHAN_SU'!$B62="","",$AS62-$AJ62-$AR62)</f>
        <v/>
      </c>
      <c r="AU62" s="224">
        <f>IF('DM_NHAN_SU'!$B62="","",'CHAM_CONG_THANG'!X62)</f>
        <v/>
      </c>
      <c r="AV62" s="224">
        <f>IF('DM_NHAN_SU'!$B62="","",'CHAM_CONG_THANG'!Y62+'QT_NGHI_VIEC'!AD62)</f>
        <v/>
      </c>
      <c r="AW62" s="224">
        <f>IF('DM_NHAN_SU'!$B62="","",'CHAM_CONG_THANG'!Z62)</f>
        <v/>
      </c>
      <c r="AX62" s="224">
        <f>IF('DM_NHAN_SU'!$B62="","",$AT62-$AU62-$AV62-$AW62-$BV62)</f>
        <v/>
      </c>
      <c r="AY62" s="224">
        <f>IF('DM_NHAN_SU'!$B62="","",$AE62*'THAM_SO'!$M$11)</f>
        <v/>
      </c>
      <c r="AZ62" s="224">
        <f>IF('DM_NHAN_SU'!$B62="","",$AE62*'THAM_SO'!$M$12)</f>
        <v/>
      </c>
      <c r="BA62" s="224">
        <f>IF('DM_NHAN_SU'!$B62="","",$AF62*'THAM_SO'!$M$13)</f>
        <v/>
      </c>
      <c r="BB62" s="224">
        <f>IF('DM_NHAN_SU'!$B62="","",$AE62*'THAM_SO'!$M$14)</f>
        <v/>
      </c>
      <c r="BC62" s="224">
        <f>IF('DM_NHAN_SU'!$B62="","",SUM($AY62:$BB62))</f>
        <v/>
      </c>
      <c r="BD62" s="224">
        <f>IF('DM_NHAN_SU'!$B62="","",$AS62+$BC62)</f>
        <v/>
      </c>
      <c r="BE62" s="224">
        <f>IF('DM_NHAN_SU'!$B62="","",VLOOKUP($H62,'THAM_SO'!$L$17:$P$20,2,FALSE))</f>
        <v/>
      </c>
      <c r="BF62" s="224">
        <f>IF('DM_NHAN_SU'!$B62="","",VLOOKUP($H62,'THAM_SO'!$L$17:$P$20,3,FALSE))</f>
        <v/>
      </c>
      <c r="BG62" s="150">
        <f>IF('DM_NHAN_SU'!$B62="","",IF($B62="","",IF(COUNTIF('DM_NHAN_SU'!$B$6:$B$155,$B62)&gt;1,"Trùng mã NV; ","")&amp;IF(OR($F62="",$G62=""),"Thiếu loại/hình thức lương; ","")&amp;IF('CHAM_CONG_THANG'!$D62="","Chưa chọn nguồn công; ","")&amp;IF(AND('CHAM_CONG_THANG'!$D62="Theo ngày",COUNTIF('CHAM_CONG_NGAY'!$B$6:$B$4655,$B62)=0),"Chưa có chấm công ngày; ","")&amp;IF(OR($I62&lt;=0,$J62&lt;=0),"Thiếu công/giờ chuẩn; ","")&amp;IF(AND($G62="Tháng",'DM_NHAN_SU'!$K62&lt;$BE62),"Lương tháng dưới tối thiểu vùng; ","")&amp;IF(AND($G62="Ngày",'DM_NHAN_SU'!$K62/$J62&lt;$BF62),"Lương ngày quy đổi dưới tối thiểu giờ; ","")&amp;IF(AND($G62="Giờ",'DM_NHAN_SU'!$K62&lt;$BF62),"Lương giờ dưới tối thiểu vùng; ","")&amp;IF(AND($G62="Sản phẩm",$L62&gt;0,$O62/$L62&lt;$BF62),"Lương SP quy đổi dưới tối thiểu giờ; ","")&amp;IF(OR('THAM_SO'!$C$19&lt;'THAM_SO'!$B$19,'THAM_SO'!$C$20&lt;'THAM_SO'!$B$20,'THAM_SO'!$C$21&lt;'THAM_SO'!$B$21,'THAM_SO'!$C$22&lt;'THAM_SO'!$B$22,'THAM_SO'!$C$23&lt;'THAM_SO'!$B$23,'THAM_SO'!$C$24&lt;'THAM_SO'!$B$24,'THAM_SO'!$C$25&lt;'THAM_SO'!$B$25),"Hệ số OT/đêm DN thấp hơn luật; ","")&amp;IF(AND('DM_NHAN_SU'!$R62="Có",$AD62&lt;=0),"Thiếu căn cứ đóng BH; ","")&amp;IF(AND($AD62&gt;0,$AD62&lt;'THAM_SO'!$M$6),"Căn cứ BH dưới sàn – đã nâng sàn; ","")&amp;IF($AD62&gt;'THAM_SO'!$M$7,"Căn cứ BH vượt trần – đã giới hạn; ","")&amp;IF(AND($F62="Net",SUM('CHAM_CONG_THANG'!$AF62:$AK62)&gt;0,'DM_NHAN_SU'!$Q62&lt;=0),"Net có OT nhưng chưa khai lương giờ OT; ","")&amp;IF('CHAM_CONG_THANG'!$V62&gt;$Z62,"Phần OT không miễn lớn hơn tiền OT; ","")&amp;IF(AND($F62="Net",ABS($AT62-$AC62-$AP62)&gt;1),"Lệch quy đổi Net; ","")&amp;IF(AND($BH62&gt;0,'DM_NHAN_SU'!$AD62=""),"Có phép năm nhưng đang tạm dùng 12 ngày; ","")&amp;IF(AND($G62="Sản phẩm",SUM($BH62:$BJ62)&gt;0,'DM_NHAN_SU'!$AH62&lt;=0),"Lương sản phẩm thiếu đơn giá ngày phép/lễ; ","")&amp;IF(AND($BL62&gt;=14,'CHAM_CONG_THANG'!$AA62&lt;&gt;"Có"),"Thai sản từ 14 ngày: file tự dừng đóng BH – kiểm tra hồ sơ; ","")&amp;IF(AND('DM_NHAN_SU'!$AA62="Có",'DM_NHAN_SU'!$AB62=""),"Đoàn viên chưa chọn cách tính đoàn phí; ","")&amp;IF(AND('DM_NHAN_SU'!$AB62="Nhập tay",'DM_NHAN_SU'!$AC62&gt;'THAM_SO'!$M$26),"Đoàn phí nhập tay vượt trần thông dụng; ","")&amp;IF('NGHI_PHEP'!$L62&lt;&gt;"","Phép: "&amp;'NGHI_PHEP'!$L62,"")&amp;IF('CHE_DO_BHXH'!$AA62&lt;&gt;"","BHXH: "&amp;'CHE_DO_BHXH'!$AA62,"")&amp;IF('THUONG_T13_TET'!$O62&lt;&gt;"","Thưởng: "&amp;'THUONG_T13_TET'!$O62,"")&amp;IF('QT_NGHI_VIEC'!$AF62&lt;&gt;"","Nghỉ việc: "&amp;'QT_NGHI_VIEC'!$AF62,"")&amp;IF($AX62&lt;0,"Thực lĩnh âm; ","")&amp;IF(OR('DM_NHAN_SU'!$F62&gt;'THAM_SO'!$B$7,AND('DM_NHAN_SU'!$G62&lt;&gt;"",'DM_NHAN_SU'!$G62&lt;'THAM_SO'!$B$6)),"Ngoài kỳ trả lương; ","")))</f>
        <v/>
      </c>
      <c r="BH62" s="232">
        <f>IF('DM_NHAN_SU'!$B62="","",'CHAM_CONG_THANG'!AR62)</f>
        <v/>
      </c>
      <c r="BI62" s="232">
        <f>IF('DM_NHAN_SU'!$B62="","",'CHAM_CONG_THANG'!AS62)</f>
        <v/>
      </c>
      <c r="BJ62" s="232">
        <f>IF('DM_NHAN_SU'!$B62="","",'CHAM_CONG_THANG'!AT62)</f>
        <v/>
      </c>
      <c r="BK62" s="232">
        <f>IF('DM_NHAN_SU'!$B62="","",'CHAM_CONG_THANG'!AU62)</f>
        <v/>
      </c>
      <c r="BL62" s="232">
        <f>IF('DM_NHAN_SU'!$B62="","",'CHAM_CONG_THANG'!AV62)</f>
        <v/>
      </c>
      <c r="BM62" s="232">
        <f>IF('DM_NHAN_SU'!$B62="","",'CHAM_CONG_THANG'!AW62)</f>
        <v/>
      </c>
      <c r="BN62" s="232">
        <f>IF('DM_NHAN_SU'!$B62="","",SUM($K62,$BH62:$BJ62))</f>
        <v/>
      </c>
      <c r="BO62" s="224">
        <f>IF('DM_NHAN_SU'!$B62="","",IF($B62="",0,IF($G62="Tháng",IF($I62&gt;0,'DM_NHAN_SU'!$K62*MIN($BH62+$BJ62,MAX($I62-$K62,0))/$I62,0),IF($G62="Ngày",'DM_NHAN_SU'!$K62*SUM($BH62:$BJ62),IF($G62="Giờ",'DM_NHAN_SU'!$K62*SUM($BH62:$BJ62)*$J62,IF($G62="Sản phẩm",'DM_NHAN_SU'!$AH62*SUM($BH62:$BJ62),0))))))</f>
        <v/>
      </c>
      <c r="BP62" s="224">
        <f>IF('DM_NHAN_SU'!$B62="","",IF('THUONG_T13_TET'!$L62="Có",'THUONG_T13_TET'!$I62,0))</f>
        <v/>
      </c>
      <c r="BQ62" s="224">
        <f>IF('DM_NHAN_SU'!$B62="","",IF('THUONG_T13_TET'!$L62="Có",SUM('THUONG_T13_TET'!$J62:$K62),0))</f>
        <v/>
      </c>
      <c r="BR62" s="224">
        <f>IF('DM_NHAN_SU'!$B62="","",'QT_NGHI_VIEC'!AC62)</f>
        <v/>
      </c>
      <c r="BS62" s="224">
        <f>IF('DM_NHAN_SU'!$B62="","",'QT_NGHI_VIEC'!AB62)</f>
        <v/>
      </c>
      <c r="BT62" s="224">
        <f>IF('DM_NHAN_SU'!$B62="","",IF('CHE_DO_BHXH'!$Z62="Có",'CHE_DO_BHXH'!$W62,0))</f>
        <v/>
      </c>
      <c r="BU62" s="224">
        <f>IF('DM_NHAN_SU'!$B62="","",IF('CHE_DO_BHXH'!$Y62="DN trả thay",$BT62,0))</f>
        <v/>
      </c>
      <c r="BV62" s="224">
        <f>IF('DM_NHAN_SU'!$B62="","",IF(OR('DM_NHAN_SU'!$AA62&lt;&gt;"Có",'CHE_DO_BHXH'!$O62&gt;=1,SUM('CHE_DO_BHXH'!$D62,'CHE_DO_BHXH'!$G62,'CHE_DO_BHXH'!$K62)&gt;=24,AND($I62&gt;0,$BM62&gt;=$I62)),0,IF('DM_NHAN_SU'!$AB62="Không",0,IF('DM_NHAN_SU'!$AB62="Nhập tay",'DM_NHAN_SU'!$AC62,IF('DM_NHAN_SU'!$AB62="Theo thực nhận",MIN(MAX($AT62-$AU62-$AV62-$AW62,0)*'THAM_SO'!$M$23,'THAM_SO'!$M$26),MIN($AE62*'THAM_SO'!$M$23,'THAM_SO'!$M$26))))))</f>
        <v/>
      </c>
      <c r="BW62" s="224">
        <f>IF('DM_NHAN_SU'!$B62="","",$AX62+$BU62)</f>
        <v/>
      </c>
    </row>
    <row r="63">
      <c r="A63" s="145">
        <f>IF('DM_NHAN_SU'!$B63="","",IF($B63="","",ROW()-5))</f>
        <v/>
      </c>
      <c r="B63" s="145">
        <f>IF('DM_NHAN_SU'!$B63="","",'DM_NHAN_SU'!B63)</f>
        <v/>
      </c>
      <c r="C63" s="145">
        <f>IF('DM_NHAN_SU'!$B63="","",'DM_NHAN_SU'!C63)</f>
        <v/>
      </c>
      <c r="D63" s="145">
        <f>IF('DM_NHAN_SU'!$B63="","",'DM_NHAN_SU'!D63)</f>
        <v/>
      </c>
      <c r="E63" s="145">
        <f>IF('DM_NHAN_SU'!$B63="","",'DM_NHAN_SU'!E63)</f>
        <v/>
      </c>
      <c r="F63" s="145">
        <f>IF('DM_NHAN_SU'!$B63="","",'DM_NHAN_SU'!I63)</f>
        <v/>
      </c>
      <c r="G63" s="145">
        <f>IF('DM_NHAN_SU'!$B63="","",'DM_NHAN_SU'!J63)</f>
        <v/>
      </c>
      <c r="H63" s="145">
        <f>IF('DM_NHAN_SU'!$B63="","",IF('DM_NHAN_SU'!H63="",'THAM_SO'!$B$11,'DM_NHAN_SU'!H63))</f>
        <v/>
      </c>
      <c r="I63" s="232">
        <f>IF('DM_NHAN_SU'!$B63="","",IF('DM_NHAN_SU'!L63&gt;0,'DM_NHAN_SU'!L63,'THAM_SO'!$B$9))</f>
        <v/>
      </c>
      <c r="J63" s="232">
        <f>IF('DM_NHAN_SU'!$B63="","",IF('DM_NHAN_SU'!M63&gt;0,'DM_NHAN_SU'!M63,'THAM_SO'!$B$10))</f>
        <v/>
      </c>
      <c r="K63" s="232">
        <f>IF('DM_NHAN_SU'!$B63="","",'CHAM_CONG_THANG'!AC63)</f>
        <v/>
      </c>
      <c r="L63" s="232">
        <f>IF('DM_NHAN_SU'!$B63="","",'CHAM_CONG_THANG'!AD63)</f>
        <v/>
      </c>
      <c r="M63" s="232">
        <f>IF('DM_NHAN_SU'!$B63="","",'CHAM_CONG_THANG'!AE63)</f>
        <v/>
      </c>
      <c r="N63" s="232">
        <f>IF('DM_NHAN_SU'!$B63="","",'CHAM_CONG_THANG'!N63)</f>
        <v/>
      </c>
      <c r="O63" s="224">
        <f>IF('DM_NHAN_SU'!$B63="","",IF($B63="","",IF($G63="Tháng",IF($I63&gt;0,'DM_NHAN_SU'!$K63*MIN($K63,$I63)/$I63,0),IF($G63="Ngày",'DM_NHAN_SU'!$K63*$K63,IF($G63="Giờ",'DM_NHAN_SU'!$K63*$L63,IF($G63="Sản phẩm",'DM_NHAN_SU'!$K63*$N63,0))))))</f>
        <v/>
      </c>
      <c r="P63" s="224">
        <f>IF('DM_NHAN_SU'!$B63="","",'CHAM_CONG_THANG'!O63)</f>
        <v/>
      </c>
      <c r="Q63" s="224">
        <f>IF('DM_NHAN_SU'!$B63="","",'CHAM_CONG_THANG'!P63)</f>
        <v/>
      </c>
      <c r="R63" s="224">
        <f>IF('DM_NHAN_SU'!$B63="","",'CHAM_CONG_THANG'!Q63)</f>
        <v/>
      </c>
      <c r="S63" s="224">
        <f>IF('DM_NHAN_SU'!$B63="","",'CHAM_CONG_THANG'!R63)</f>
        <v/>
      </c>
      <c r="T63" s="224">
        <f>IF('DM_NHAN_SU'!$B63="","",'CHAM_CONG_THANG'!S63)</f>
        <v/>
      </c>
      <c r="U63" s="224">
        <f>IF('DM_NHAN_SU'!$B63="","",MIN($T63,'THAM_SO'!$F$6))</f>
        <v/>
      </c>
      <c r="V63" s="224">
        <f>IF('DM_NHAN_SU'!$B63="","",MAX($T63-$U63,0))</f>
        <v/>
      </c>
      <c r="W63" s="224">
        <f>IF('DM_NHAN_SU'!$B63="","",'CHAM_CONG_THANG'!T63)</f>
        <v/>
      </c>
      <c r="X63" s="224">
        <f>IF('DM_NHAN_SU'!$B63="","",'CHAM_CONG_THANG'!U63)</f>
        <v/>
      </c>
      <c r="Y63" s="224">
        <f>IF('DM_NHAN_SU'!$B63="","",IF($B63="",0,IF('DM_NHAN_SU'!$Q63&gt;0,'DM_NHAN_SU'!$Q63,IF($G63="Tháng",IF($I63*$J63&gt;0,'DM_NHAN_SU'!$K63/($I63*$J63),0),IF($G63="Ngày",IF($J63&gt;0,'DM_NHAN_SU'!$K63/$J63,0),IF($G63="Giờ",'DM_NHAN_SU'!$K63,0))))))</f>
        <v/>
      </c>
      <c r="Z63" s="224">
        <f>IF('DM_NHAN_SU'!$B63="","",$Y63*($M63*'THAM_SO'!$C$22+'CHAM_CONG_THANG'!$AF63*'THAM_SO'!$C$19+'CHAM_CONG_THANG'!$AG63*'THAM_SO'!$C$20+'CHAM_CONG_THANG'!$AH63*'THAM_SO'!$C$21+'CHAM_CONG_THANG'!$AI63*'THAM_SO'!$C$23+'CHAM_CONG_THANG'!$AJ63*'THAM_SO'!$C$24+'CHAM_CONG_THANG'!$AK63*'THAM_SO'!$C$25))</f>
        <v/>
      </c>
      <c r="AA63" s="224">
        <f>IF('DM_NHAN_SU'!$B63="","",MAX(0,$Y63*($M63*IF('THAM_SO'!$C$22&gt;='THAM_SO'!$B$22,'THAM_SO'!$B$22,0)+'CHAM_CONG_THANG'!$AF63*IF('THAM_SO'!$C$19&gt;='THAM_SO'!$B$19,'THAM_SO'!$B$19,0)+'CHAM_CONG_THANG'!$AG63*IF('THAM_SO'!$C$20&gt;='THAM_SO'!$B$20,'THAM_SO'!$B$20,0)+'CHAM_CONG_THANG'!$AH63*IF('THAM_SO'!$C$21&gt;='THAM_SO'!$B$21,'THAM_SO'!$B$21,0)+'CHAM_CONG_THANG'!$AI63*IF('THAM_SO'!$C$23&gt;='THAM_SO'!$B$23,'THAM_SO'!$B$23,0)+'CHAM_CONG_THANG'!$AJ63*IF('THAM_SO'!$C$24&gt;='THAM_SO'!$B$24,'THAM_SO'!$B$24,0)+'CHAM_CONG_THANG'!$AK63*IF('THAM_SO'!$C$25&gt;='THAM_SO'!$B$25,'THAM_SO'!$B$25,0))-'CHAM_CONG_THANG'!$V63))</f>
        <v/>
      </c>
      <c r="AB63" s="224">
        <f>IF('DM_NHAN_SU'!$B63="","",MAX($Z63-$AA63,0))</f>
        <v/>
      </c>
      <c r="AC63" s="224">
        <f>IF('DM_NHAN_SU'!$B63="","",$O63+$P63+$Q63+$R63+$S63+$V63+$AB63+$BO63+$BP63+$BQ63+$BR63)</f>
        <v/>
      </c>
      <c r="AD63" s="224">
        <f>IF('DM_NHAN_SU'!$B63="","",'DM_NHAN_SU'!N63+'DM_NHAN_SU'!O63+'DM_NHAN_SU'!P63)</f>
        <v/>
      </c>
      <c r="AE63" s="224">
        <f>IF('DM_NHAN_SU'!$B63="","",IF(OR('DM_NHAN_SU'!$R63&lt;&gt;"Có",'CHAM_CONG_THANG'!$AA63="Có",$BL63&gt;=14,$AD63&lt;=0),0,MIN(MAX($AD63,'THAM_SO'!$M$6),'THAM_SO'!$M$7)))</f>
        <v/>
      </c>
      <c r="AF63" s="224">
        <f>IF('DM_NHAN_SU'!$B63="","",IF(OR('DM_NHAN_SU'!$S63&lt;&gt;"Có",'CHAM_CONG_THANG'!$AA63="Có",$BL63&gt;=14,$AD63&lt;=0),0,MIN(MAX($AD63,VLOOKUP($H63,'THAM_SO'!$L$17:$P$20,4,FALSE)),VLOOKUP($H63,'THAM_SO'!$L$17:$P$20,5,FALSE))))</f>
        <v/>
      </c>
      <c r="AG63" s="224">
        <f>IF('DM_NHAN_SU'!$B63="","",$AE63*'THAM_SO'!$M$8)</f>
        <v/>
      </c>
      <c r="AH63" s="224">
        <f>IF('DM_NHAN_SU'!$B63="","",$AE63*'THAM_SO'!$M$9)</f>
        <v/>
      </c>
      <c r="AI63" s="224">
        <f>IF('DM_NHAN_SU'!$B63="","",$AF63*'THAM_SO'!$M$10)</f>
        <v/>
      </c>
      <c r="AJ63" s="224">
        <f>IF('DM_NHAN_SU'!$B63="","",SUM($AG63:$AI63))</f>
        <v/>
      </c>
      <c r="AK63" s="224">
        <f>IF('DM_NHAN_SU'!$B63="","",IF($B63="",0,'THAM_SO'!$F$4))</f>
        <v/>
      </c>
      <c r="AL63" s="224">
        <f>IF('DM_NHAN_SU'!$B63="","",IF($B63="",0,'DM_NHAN_SU'!$T63*'THAM_SO'!$F$5))</f>
        <v/>
      </c>
      <c r="AM63" s="224">
        <f>IF('DM_NHAN_SU'!$B63="","",'CHAM_CONG_THANG'!W63)</f>
        <v/>
      </c>
      <c r="AN63" s="224">
        <f>IF('DM_NHAN_SU'!$B63="","",MAX($AC63-$AK63-$AL63-$AM63,0))</f>
        <v/>
      </c>
      <c r="AO63" s="224">
        <f>IF('DM_NHAN_SU'!$B63="","",IF($B63="","",IF($F63="Net",IF($AC63&lt;=$AK63+$AL63+$AM63,$AC63+$AJ63,$AJ63+$AK63+$AL63+$AM63+IF($AN63&lt;='THAM_SO'!$J$10,($AN63-'THAM_SO'!$I$10)/(1-'THAM_SO'!$H$10),IF($AN63&lt;='THAM_SO'!$J$11,($AN63-'THAM_SO'!$I$11)/(1-'THAM_SO'!$H$11),IF($AN63&lt;='THAM_SO'!$J$12,($AN63-'THAM_SO'!$I$12)/(1-'THAM_SO'!$H$12),IF($AN63&lt;='THAM_SO'!$J$13,($AN63-'THAM_SO'!$I$13)/(1-'THAM_SO'!$H$13),($AN63-'THAM_SO'!$I$14)/(1-'THAM_SO'!$H$14)))))),$AC63)))</f>
        <v/>
      </c>
      <c r="AP63" s="224">
        <f>IF('DM_NHAN_SU'!$B63="","",$U63+$W63+$X63+$AA63+$BS63)</f>
        <v/>
      </c>
      <c r="AQ63" s="224">
        <f>IF('DM_NHAN_SU'!$B63="","",MAX($AO63-$AJ63-$AK63-$AL63-$AM63,0))</f>
        <v/>
      </c>
      <c r="AR63" s="224">
        <f>IF('DM_NHAN_SU'!$B63="","",IF($AQ63&lt;=0,0,$AQ63*VLOOKUP($AQ63,'THAM_SO'!$F$10:$I$14,3,TRUE)-VLOOKUP($AQ63,'THAM_SO'!$F$10:$I$14,4,TRUE)))</f>
        <v/>
      </c>
      <c r="AS63" s="224">
        <f>IF('DM_NHAN_SU'!$B63="","",$AO63+$AP63)</f>
        <v/>
      </c>
      <c r="AT63" s="224">
        <f>IF('DM_NHAN_SU'!$B63="","",$AS63-$AJ63-$AR63)</f>
        <v/>
      </c>
      <c r="AU63" s="224">
        <f>IF('DM_NHAN_SU'!$B63="","",'CHAM_CONG_THANG'!X63)</f>
        <v/>
      </c>
      <c r="AV63" s="224">
        <f>IF('DM_NHAN_SU'!$B63="","",'CHAM_CONG_THANG'!Y63+'QT_NGHI_VIEC'!AD63)</f>
        <v/>
      </c>
      <c r="AW63" s="224">
        <f>IF('DM_NHAN_SU'!$B63="","",'CHAM_CONG_THANG'!Z63)</f>
        <v/>
      </c>
      <c r="AX63" s="224">
        <f>IF('DM_NHAN_SU'!$B63="","",$AT63-$AU63-$AV63-$AW63-$BV63)</f>
        <v/>
      </c>
      <c r="AY63" s="224">
        <f>IF('DM_NHAN_SU'!$B63="","",$AE63*'THAM_SO'!$M$11)</f>
        <v/>
      </c>
      <c r="AZ63" s="224">
        <f>IF('DM_NHAN_SU'!$B63="","",$AE63*'THAM_SO'!$M$12)</f>
        <v/>
      </c>
      <c r="BA63" s="224">
        <f>IF('DM_NHAN_SU'!$B63="","",$AF63*'THAM_SO'!$M$13)</f>
        <v/>
      </c>
      <c r="BB63" s="224">
        <f>IF('DM_NHAN_SU'!$B63="","",$AE63*'THAM_SO'!$M$14)</f>
        <v/>
      </c>
      <c r="BC63" s="224">
        <f>IF('DM_NHAN_SU'!$B63="","",SUM($AY63:$BB63))</f>
        <v/>
      </c>
      <c r="BD63" s="224">
        <f>IF('DM_NHAN_SU'!$B63="","",$AS63+$BC63)</f>
        <v/>
      </c>
      <c r="BE63" s="224">
        <f>IF('DM_NHAN_SU'!$B63="","",VLOOKUP($H63,'THAM_SO'!$L$17:$P$20,2,FALSE))</f>
        <v/>
      </c>
      <c r="BF63" s="224">
        <f>IF('DM_NHAN_SU'!$B63="","",VLOOKUP($H63,'THAM_SO'!$L$17:$P$20,3,FALSE))</f>
        <v/>
      </c>
      <c r="BG63" s="150">
        <f>IF('DM_NHAN_SU'!$B63="","",IF($B63="","",IF(COUNTIF('DM_NHAN_SU'!$B$6:$B$155,$B63)&gt;1,"Trùng mã NV; ","")&amp;IF(OR($F63="",$G63=""),"Thiếu loại/hình thức lương; ","")&amp;IF('CHAM_CONG_THANG'!$D63="","Chưa chọn nguồn công; ","")&amp;IF(AND('CHAM_CONG_THANG'!$D63="Theo ngày",COUNTIF('CHAM_CONG_NGAY'!$B$6:$B$4655,$B63)=0),"Chưa có chấm công ngày; ","")&amp;IF(OR($I63&lt;=0,$J63&lt;=0),"Thiếu công/giờ chuẩn; ","")&amp;IF(AND($G63="Tháng",'DM_NHAN_SU'!$K63&lt;$BE63),"Lương tháng dưới tối thiểu vùng; ","")&amp;IF(AND($G63="Ngày",'DM_NHAN_SU'!$K63/$J63&lt;$BF63),"Lương ngày quy đổi dưới tối thiểu giờ; ","")&amp;IF(AND($G63="Giờ",'DM_NHAN_SU'!$K63&lt;$BF63),"Lương giờ dưới tối thiểu vùng; ","")&amp;IF(AND($G63="Sản phẩm",$L63&gt;0,$O63/$L63&lt;$BF63),"Lương SP quy đổi dưới tối thiểu giờ; ","")&amp;IF(OR('THAM_SO'!$C$19&lt;'THAM_SO'!$B$19,'THAM_SO'!$C$20&lt;'THAM_SO'!$B$20,'THAM_SO'!$C$21&lt;'THAM_SO'!$B$21,'THAM_SO'!$C$22&lt;'THAM_SO'!$B$22,'THAM_SO'!$C$23&lt;'THAM_SO'!$B$23,'THAM_SO'!$C$24&lt;'THAM_SO'!$B$24,'THAM_SO'!$C$25&lt;'THAM_SO'!$B$25),"Hệ số OT/đêm DN thấp hơn luật; ","")&amp;IF(AND('DM_NHAN_SU'!$R63="Có",$AD63&lt;=0),"Thiếu căn cứ đóng BH; ","")&amp;IF(AND($AD63&gt;0,$AD63&lt;'THAM_SO'!$M$6),"Căn cứ BH dưới sàn – đã nâng sàn; ","")&amp;IF($AD63&gt;'THAM_SO'!$M$7,"Căn cứ BH vượt trần – đã giới hạn; ","")&amp;IF(AND($F63="Net",SUM('CHAM_CONG_THANG'!$AF63:$AK63)&gt;0,'DM_NHAN_SU'!$Q63&lt;=0),"Net có OT nhưng chưa khai lương giờ OT; ","")&amp;IF('CHAM_CONG_THANG'!$V63&gt;$Z63,"Phần OT không miễn lớn hơn tiền OT; ","")&amp;IF(AND($F63="Net",ABS($AT63-$AC63-$AP63)&gt;1),"Lệch quy đổi Net; ","")&amp;IF(AND($BH63&gt;0,'DM_NHAN_SU'!$AD63=""),"Có phép năm nhưng đang tạm dùng 12 ngày; ","")&amp;IF(AND($G63="Sản phẩm",SUM($BH63:$BJ63)&gt;0,'DM_NHAN_SU'!$AH63&lt;=0),"Lương sản phẩm thiếu đơn giá ngày phép/lễ; ","")&amp;IF(AND($BL63&gt;=14,'CHAM_CONG_THANG'!$AA63&lt;&gt;"Có"),"Thai sản từ 14 ngày: file tự dừng đóng BH – kiểm tra hồ sơ; ","")&amp;IF(AND('DM_NHAN_SU'!$AA63="Có",'DM_NHAN_SU'!$AB63=""),"Đoàn viên chưa chọn cách tính đoàn phí; ","")&amp;IF(AND('DM_NHAN_SU'!$AB63="Nhập tay",'DM_NHAN_SU'!$AC63&gt;'THAM_SO'!$M$26),"Đoàn phí nhập tay vượt trần thông dụng; ","")&amp;IF('NGHI_PHEP'!$L63&lt;&gt;"","Phép: "&amp;'NGHI_PHEP'!$L63,"")&amp;IF('CHE_DO_BHXH'!$AA63&lt;&gt;"","BHXH: "&amp;'CHE_DO_BHXH'!$AA63,"")&amp;IF('THUONG_T13_TET'!$O63&lt;&gt;"","Thưởng: "&amp;'THUONG_T13_TET'!$O63,"")&amp;IF('QT_NGHI_VIEC'!$AF63&lt;&gt;"","Nghỉ việc: "&amp;'QT_NGHI_VIEC'!$AF63,"")&amp;IF($AX63&lt;0,"Thực lĩnh âm; ","")&amp;IF(OR('DM_NHAN_SU'!$F63&gt;'THAM_SO'!$B$7,AND('DM_NHAN_SU'!$G63&lt;&gt;"",'DM_NHAN_SU'!$G63&lt;'THAM_SO'!$B$6)),"Ngoài kỳ trả lương; ","")))</f>
        <v/>
      </c>
      <c r="BH63" s="232">
        <f>IF('DM_NHAN_SU'!$B63="","",'CHAM_CONG_THANG'!AR63)</f>
        <v/>
      </c>
      <c r="BI63" s="232">
        <f>IF('DM_NHAN_SU'!$B63="","",'CHAM_CONG_THANG'!AS63)</f>
        <v/>
      </c>
      <c r="BJ63" s="232">
        <f>IF('DM_NHAN_SU'!$B63="","",'CHAM_CONG_THANG'!AT63)</f>
        <v/>
      </c>
      <c r="BK63" s="232">
        <f>IF('DM_NHAN_SU'!$B63="","",'CHAM_CONG_THANG'!AU63)</f>
        <v/>
      </c>
      <c r="BL63" s="232">
        <f>IF('DM_NHAN_SU'!$B63="","",'CHAM_CONG_THANG'!AV63)</f>
        <v/>
      </c>
      <c r="BM63" s="232">
        <f>IF('DM_NHAN_SU'!$B63="","",'CHAM_CONG_THANG'!AW63)</f>
        <v/>
      </c>
      <c r="BN63" s="232">
        <f>IF('DM_NHAN_SU'!$B63="","",SUM($K63,$BH63:$BJ63))</f>
        <v/>
      </c>
      <c r="BO63" s="224">
        <f>IF('DM_NHAN_SU'!$B63="","",IF($B63="",0,IF($G63="Tháng",IF($I63&gt;0,'DM_NHAN_SU'!$K63*MIN($BH63+$BJ63,MAX($I63-$K63,0))/$I63,0),IF($G63="Ngày",'DM_NHAN_SU'!$K63*SUM($BH63:$BJ63),IF($G63="Giờ",'DM_NHAN_SU'!$K63*SUM($BH63:$BJ63)*$J63,IF($G63="Sản phẩm",'DM_NHAN_SU'!$AH63*SUM($BH63:$BJ63),0))))))</f>
        <v/>
      </c>
      <c r="BP63" s="224">
        <f>IF('DM_NHAN_SU'!$B63="","",IF('THUONG_T13_TET'!$L63="Có",'THUONG_T13_TET'!$I63,0))</f>
        <v/>
      </c>
      <c r="BQ63" s="224">
        <f>IF('DM_NHAN_SU'!$B63="","",IF('THUONG_T13_TET'!$L63="Có",SUM('THUONG_T13_TET'!$J63:$K63),0))</f>
        <v/>
      </c>
      <c r="BR63" s="224">
        <f>IF('DM_NHAN_SU'!$B63="","",'QT_NGHI_VIEC'!AC63)</f>
        <v/>
      </c>
      <c r="BS63" s="224">
        <f>IF('DM_NHAN_SU'!$B63="","",'QT_NGHI_VIEC'!AB63)</f>
        <v/>
      </c>
      <c r="BT63" s="224">
        <f>IF('DM_NHAN_SU'!$B63="","",IF('CHE_DO_BHXH'!$Z63="Có",'CHE_DO_BHXH'!$W63,0))</f>
        <v/>
      </c>
      <c r="BU63" s="224">
        <f>IF('DM_NHAN_SU'!$B63="","",IF('CHE_DO_BHXH'!$Y63="DN trả thay",$BT63,0))</f>
        <v/>
      </c>
      <c r="BV63" s="224">
        <f>IF('DM_NHAN_SU'!$B63="","",IF(OR('DM_NHAN_SU'!$AA63&lt;&gt;"Có",'CHE_DO_BHXH'!$O63&gt;=1,SUM('CHE_DO_BHXH'!$D63,'CHE_DO_BHXH'!$G63,'CHE_DO_BHXH'!$K63)&gt;=24,AND($I63&gt;0,$BM63&gt;=$I63)),0,IF('DM_NHAN_SU'!$AB63="Không",0,IF('DM_NHAN_SU'!$AB63="Nhập tay",'DM_NHAN_SU'!$AC63,IF('DM_NHAN_SU'!$AB63="Theo thực nhận",MIN(MAX($AT63-$AU63-$AV63-$AW63,0)*'THAM_SO'!$M$23,'THAM_SO'!$M$26),MIN($AE63*'THAM_SO'!$M$23,'THAM_SO'!$M$26))))))</f>
        <v/>
      </c>
      <c r="BW63" s="224">
        <f>IF('DM_NHAN_SU'!$B63="","",$AX63+$BU63)</f>
        <v/>
      </c>
    </row>
    <row r="64">
      <c r="A64" s="145">
        <f>IF('DM_NHAN_SU'!$B64="","",IF($B64="","",ROW()-5))</f>
        <v/>
      </c>
      <c r="B64" s="145">
        <f>IF('DM_NHAN_SU'!$B64="","",'DM_NHAN_SU'!B64)</f>
        <v/>
      </c>
      <c r="C64" s="145">
        <f>IF('DM_NHAN_SU'!$B64="","",'DM_NHAN_SU'!C64)</f>
        <v/>
      </c>
      <c r="D64" s="145">
        <f>IF('DM_NHAN_SU'!$B64="","",'DM_NHAN_SU'!D64)</f>
        <v/>
      </c>
      <c r="E64" s="145">
        <f>IF('DM_NHAN_SU'!$B64="","",'DM_NHAN_SU'!E64)</f>
        <v/>
      </c>
      <c r="F64" s="145">
        <f>IF('DM_NHAN_SU'!$B64="","",'DM_NHAN_SU'!I64)</f>
        <v/>
      </c>
      <c r="G64" s="145">
        <f>IF('DM_NHAN_SU'!$B64="","",'DM_NHAN_SU'!J64)</f>
        <v/>
      </c>
      <c r="H64" s="145">
        <f>IF('DM_NHAN_SU'!$B64="","",IF('DM_NHAN_SU'!H64="",'THAM_SO'!$B$11,'DM_NHAN_SU'!H64))</f>
        <v/>
      </c>
      <c r="I64" s="232">
        <f>IF('DM_NHAN_SU'!$B64="","",IF('DM_NHAN_SU'!L64&gt;0,'DM_NHAN_SU'!L64,'THAM_SO'!$B$9))</f>
        <v/>
      </c>
      <c r="J64" s="232">
        <f>IF('DM_NHAN_SU'!$B64="","",IF('DM_NHAN_SU'!M64&gt;0,'DM_NHAN_SU'!M64,'THAM_SO'!$B$10))</f>
        <v/>
      </c>
      <c r="K64" s="232">
        <f>IF('DM_NHAN_SU'!$B64="","",'CHAM_CONG_THANG'!AC64)</f>
        <v/>
      </c>
      <c r="L64" s="232">
        <f>IF('DM_NHAN_SU'!$B64="","",'CHAM_CONG_THANG'!AD64)</f>
        <v/>
      </c>
      <c r="M64" s="232">
        <f>IF('DM_NHAN_SU'!$B64="","",'CHAM_CONG_THANG'!AE64)</f>
        <v/>
      </c>
      <c r="N64" s="232">
        <f>IF('DM_NHAN_SU'!$B64="","",'CHAM_CONG_THANG'!N64)</f>
        <v/>
      </c>
      <c r="O64" s="224">
        <f>IF('DM_NHAN_SU'!$B64="","",IF($B64="","",IF($G64="Tháng",IF($I64&gt;0,'DM_NHAN_SU'!$K64*MIN($K64,$I64)/$I64,0),IF($G64="Ngày",'DM_NHAN_SU'!$K64*$K64,IF($G64="Giờ",'DM_NHAN_SU'!$K64*$L64,IF($G64="Sản phẩm",'DM_NHAN_SU'!$K64*$N64,0))))))</f>
        <v/>
      </c>
      <c r="P64" s="224">
        <f>IF('DM_NHAN_SU'!$B64="","",'CHAM_CONG_THANG'!O64)</f>
        <v/>
      </c>
      <c r="Q64" s="224">
        <f>IF('DM_NHAN_SU'!$B64="","",'CHAM_CONG_THANG'!P64)</f>
        <v/>
      </c>
      <c r="R64" s="224">
        <f>IF('DM_NHAN_SU'!$B64="","",'CHAM_CONG_THANG'!Q64)</f>
        <v/>
      </c>
      <c r="S64" s="224">
        <f>IF('DM_NHAN_SU'!$B64="","",'CHAM_CONG_THANG'!R64)</f>
        <v/>
      </c>
      <c r="T64" s="224">
        <f>IF('DM_NHAN_SU'!$B64="","",'CHAM_CONG_THANG'!S64)</f>
        <v/>
      </c>
      <c r="U64" s="224">
        <f>IF('DM_NHAN_SU'!$B64="","",MIN($T64,'THAM_SO'!$F$6))</f>
        <v/>
      </c>
      <c r="V64" s="224">
        <f>IF('DM_NHAN_SU'!$B64="","",MAX($T64-$U64,0))</f>
        <v/>
      </c>
      <c r="W64" s="224">
        <f>IF('DM_NHAN_SU'!$B64="","",'CHAM_CONG_THANG'!T64)</f>
        <v/>
      </c>
      <c r="X64" s="224">
        <f>IF('DM_NHAN_SU'!$B64="","",'CHAM_CONG_THANG'!U64)</f>
        <v/>
      </c>
      <c r="Y64" s="224">
        <f>IF('DM_NHAN_SU'!$B64="","",IF($B64="",0,IF('DM_NHAN_SU'!$Q64&gt;0,'DM_NHAN_SU'!$Q64,IF($G64="Tháng",IF($I64*$J64&gt;0,'DM_NHAN_SU'!$K64/($I64*$J64),0),IF($G64="Ngày",IF($J64&gt;0,'DM_NHAN_SU'!$K64/$J64,0),IF($G64="Giờ",'DM_NHAN_SU'!$K64,0))))))</f>
        <v/>
      </c>
      <c r="Z64" s="224">
        <f>IF('DM_NHAN_SU'!$B64="","",$Y64*($M64*'THAM_SO'!$C$22+'CHAM_CONG_THANG'!$AF64*'THAM_SO'!$C$19+'CHAM_CONG_THANG'!$AG64*'THAM_SO'!$C$20+'CHAM_CONG_THANG'!$AH64*'THAM_SO'!$C$21+'CHAM_CONG_THANG'!$AI64*'THAM_SO'!$C$23+'CHAM_CONG_THANG'!$AJ64*'THAM_SO'!$C$24+'CHAM_CONG_THANG'!$AK64*'THAM_SO'!$C$25))</f>
        <v/>
      </c>
      <c r="AA64" s="224">
        <f>IF('DM_NHAN_SU'!$B64="","",MAX(0,$Y64*($M64*IF('THAM_SO'!$C$22&gt;='THAM_SO'!$B$22,'THAM_SO'!$B$22,0)+'CHAM_CONG_THANG'!$AF64*IF('THAM_SO'!$C$19&gt;='THAM_SO'!$B$19,'THAM_SO'!$B$19,0)+'CHAM_CONG_THANG'!$AG64*IF('THAM_SO'!$C$20&gt;='THAM_SO'!$B$20,'THAM_SO'!$B$20,0)+'CHAM_CONG_THANG'!$AH64*IF('THAM_SO'!$C$21&gt;='THAM_SO'!$B$21,'THAM_SO'!$B$21,0)+'CHAM_CONG_THANG'!$AI64*IF('THAM_SO'!$C$23&gt;='THAM_SO'!$B$23,'THAM_SO'!$B$23,0)+'CHAM_CONG_THANG'!$AJ64*IF('THAM_SO'!$C$24&gt;='THAM_SO'!$B$24,'THAM_SO'!$B$24,0)+'CHAM_CONG_THANG'!$AK64*IF('THAM_SO'!$C$25&gt;='THAM_SO'!$B$25,'THAM_SO'!$B$25,0))-'CHAM_CONG_THANG'!$V64))</f>
        <v/>
      </c>
      <c r="AB64" s="224">
        <f>IF('DM_NHAN_SU'!$B64="","",MAX($Z64-$AA64,0))</f>
        <v/>
      </c>
      <c r="AC64" s="224">
        <f>IF('DM_NHAN_SU'!$B64="","",$O64+$P64+$Q64+$R64+$S64+$V64+$AB64+$BO64+$BP64+$BQ64+$BR64)</f>
        <v/>
      </c>
      <c r="AD64" s="224">
        <f>IF('DM_NHAN_SU'!$B64="","",'DM_NHAN_SU'!N64+'DM_NHAN_SU'!O64+'DM_NHAN_SU'!P64)</f>
        <v/>
      </c>
      <c r="AE64" s="224">
        <f>IF('DM_NHAN_SU'!$B64="","",IF(OR('DM_NHAN_SU'!$R64&lt;&gt;"Có",'CHAM_CONG_THANG'!$AA64="Có",$BL64&gt;=14,$AD64&lt;=0),0,MIN(MAX($AD64,'THAM_SO'!$M$6),'THAM_SO'!$M$7)))</f>
        <v/>
      </c>
      <c r="AF64" s="224">
        <f>IF('DM_NHAN_SU'!$B64="","",IF(OR('DM_NHAN_SU'!$S64&lt;&gt;"Có",'CHAM_CONG_THANG'!$AA64="Có",$BL64&gt;=14,$AD64&lt;=0),0,MIN(MAX($AD64,VLOOKUP($H64,'THAM_SO'!$L$17:$P$20,4,FALSE)),VLOOKUP($H64,'THAM_SO'!$L$17:$P$20,5,FALSE))))</f>
        <v/>
      </c>
      <c r="AG64" s="224">
        <f>IF('DM_NHAN_SU'!$B64="","",$AE64*'THAM_SO'!$M$8)</f>
        <v/>
      </c>
      <c r="AH64" s="224">
        <f>IF('DM_NHAN_SU'!$B64="","",$AE64*'THAM_SO'!$M$9)</f>
        <v/>
      </c>
      <c r="AI64" s="224">
        <f>IF('DM_NHAN_SU'!$B64="","",$AF64*'THAM_SO'!$M$10)</f>
        <v/>
      </c>
      <c r="AJ64" s="224">
        <f>IF('DM_NHAN_SU'!$B64="","",SUM($AG64:$AI64))</f>
        <v/>
      </c>
      <c r="AK64" s="224">
        <f>IF('DM_NHAN_SU'!$B64="","",IF($B64="",0,'THAM_SO'!$F$4))</f>
        <v/>
      </c>
      <c r="AL64" s="224">
        <f>IF('DM_NHAN_SU'!$B64="","",IF($B64="",0,'DM_NHAN_SU'!$T64*'THAM_SO'!$F$5))</f>
        <v/>
      </c>
      <c r="AM64" s="224">
        <f>IF('DM_NHAN_SU'!$B64="","",'CHAM_CONG_THANG'!W64)</f>
        <v/>
      </c>
      <c r="AN64" s="224">
        <f>IF('DM_NHAN_SU'!$B64="","",MAX($AC64-$AK64-$AL64-$AM64,0))</f>
        <v/>
      </c>
      <c r="AO64" s="224">
        <f>IF('DM_NHAN_SU'!$B64="","",IF($B64="","",IF($F64="Net",IF($AC64&lt;=$AK64+$AL64+$AM64,$AC64+$AJ64,$AJ64+$AK64+$AL64+$AM64+IF($AN64&lt;='THAM_SO'!$J$10,($AN64-'THAM_SO'!$I$10)/(1-'THAM_SO'!$H$10),IF($AN64&lt;='THAM_SO'!$J$11,($AN64-'THAM_SO'!$I$11)/(1-'THAM_SO'!$H$11),IF($AN64&lt;='THAM_SO'!$J$12,($AN64-'THAM_SO'!$I$12)/(1-'THAM_SO'!$H$12),IF($AN64&lt;='THAM_SO'!$J$13,($AN64-'THAM_SO'!$I$13)/(1-'THAM_SO'!$H$13),($AN64-'THAM_SO'!$I$14)/(1-'THAM_SO'!$H$14)))))),$AC64)))</f>
        <v/>
      </c>
      <c r="AP64" s="224">
        <f>IF('DM_NHAN_SU'!$B64="","",$U64+$W64+$X64+$AA64+$BS64)</f>
        <v/>
      </c>
      <c r="AQ64" s="224">
        <f>IF('DM_NHAN_SU'!$B64="","",MAX($AO64-$AJ64-$AK64-$AL64-$AM64,0))</f>
        <v/>
      </c>
      <c r="AR64" s="224">
        <f>IF('DM_NHAN_SU'!$B64="","",IF($AQ64&lt;=0,0,$AQ64*VLOOKUP($AQ64,'THAM_SO'!$F$10:$I$14,3,TRUE)-VLOOKUP($AQ64,'THAM_SO'!$F$10:$I$14,4,TRUE)))</f>
        <v/>
      </c>
      <c r="AS64" s="224">
        <f>IF('DM_NHAN_SU'!$B64="","",$AO64+$AP64)</f>
        <v/>
      </c>
      <c r="AT64" s="224">
        <f>IF('DM_NHAN_SU'!$B64="","",$AS64-$AJ64-$AR64)</f>
        <v/>
      </c>
      <c r="AU64" s="224">
        <f>IF('DM_NHAN_SU'!$B64="","",'CHAM_CONG_THANG'!X64)</f>
        <v/>
      </c>
      <c r="AV64" s="224">
        <f>IF('DM_NHAN_SU'!$B64="","",'CHAM_CONG_THANG'!Y64+'QT_NGHI_VIEC'!AD64)</f>
        <v/>
      </c>
      <c r="AW64" s="224">
        <f>IF('DM_NHAN_SU'!$B64="","",'CHAM_CONG_THANG'!Z64)</f>
        <v/>
      </c>
      <c r="AX64" s="224">
        <f>IF('DM_NHAN_SU'!$B64="","",$AT64-$AU64-$AV64-$AW64-$BV64)</f>
        <v/>
      </c>
      <c r="AY64" s="224">
        <f>IF('DM_NHAN_SU'!$B64="","",$AE64*'THAM_SO'!$M$11)</f>
        <v/>
      </c>
      <c r="AZ64" s="224">
        <f>IF('DM_NHAN_SU'!$B64="","",$AE64*'THAM_SO'!$M$12)</f>
        <v/>
      </c>
      <c r="BA64" s="224">
        <f>IF('DM_NHAN_SU'!$B64="","",$AF64*'THAM_SO'!$M$13)</f>
        <v/>
      </c>
      <c r="BB64" s="224">
        <f>IF('DM_NHAN_SU'!$B64="","",$AE64*'THAM_SO'!$M$14)</f>
        <v/>
      </c>
      <c r="BC64" s="224">
        <f>IF('DM_NHAN_SU'!$B64="","",SUM($AY64:$BB64))</f>
        <v/>
      </c>
      <c r="BD64" s="224">
        <f>IF('DM_NHAN_SU'!$B64="","",$AS64+$BC64)</f>
        <v/>
      </c>
      <c r="BE64" s="224">
        <f>IF('DM_NHAN_SU'!$B64="","",VLOOKUP($H64,'THAM_SO'!$L$17:$P$20,2,FALSE))</f>
        <v/>
      </c>
      <c r="BF64" s="224">
        <f>IF('DM_NHAN_SU'!$B64="","",VLOOKUP($H64,'THAM_SO'!$L$17:$P$20,3,FALSE))</f>
        <v/>
      </c>
      <c r="BG64" s="150">
        <f>IF('DM_NHAN_SU'!$B64="","",IF($B64="","",IF(COUNTIF('DM_NHAN_SU'!$B$6:$B$155,$B64)&gt;1,"Trùng mã NV; ","")&amp;IF(OR($F64="",$G64=""),"Thiếu loại/hình thức lương; ","")&amp;IF('CHAM_CONG_THANG'!$D64="","Chưa chọn nguồn công; ","")&amp;IF(AND('CHAM_CONG_THANG'!$D64="Theo ngày",COUNTIF('CHAM_CONG_NGAY'!$B$6:$B$4655,$B64)=0),"Chưa có chấm công ngày; ","")&amp;IF(OR($I64&lt;=0,$J64&lt;=0),"Thiếu công/giờ chuẩn; ","")&amp;IF(AND($G64="Tháng",'DM_NHAN_SU'!$K64&lt;$BE64),"Lương tháng dưới tối thiểu vùng; ","")&amp;IF(AND($G64="Ngày",'DM_NHAN_SU'!$K64/$J64&lt;$BF64),"Lương ngày quy đổi dưới tối thiểu giờ; ","")&amp;IF(AND($G64="Giờ",'DM_NHAN_SU'!$K64&lt;$BF64),"Lương giờ dưới tối thiểu vùng; ","")&amp;IF(AND($G64="Sản phẩm",$L64&gt;0,$O64/$L64&lt;$BF64),"Lương SP quy đổi dưới tối thiểu giờ; ","")&amp;IF(OR('THAM_SO'!$C$19&lt;'THAM_SO'!$B$19,'THAM_SO'!$C$20&lt;'THAM_SO'!$B$20,'THAM_SO'!$C$21&lt;'THAM_SO'!$B$21,'THAM_SO'!$C$22&lt;'THAM_SO'!$B$22,'THAM_SO'!$C$23&lt;'THAM_SO'!$B$23,'THAM_SO'!$C$24&lt;'THAM_SO'!$B$24,'THAM_SO'!$C$25&lt;'THAM_SO'!$B$25),"Hệ số OT/đêm DN thấp hơn luật; ","")&amp;IF(AND('DM_NHAN_SU'!$R64="Có",$AD64&lt;=0),"Thiếu căn cứ đóng BH; ","")&amp;IF(AND($AD64&gt;0,$AD64&lt;'THAM_SO'!$M$6),"Căn cứ BH dưới sàn – đã nâng sàn; ","")&amp;IF($AD64&gt;'THAM_SO'!$M$7,"Căn cứ BH vượt trần – đã giới hạn; ","")&amp;IF(AND($F64="Net",SUM('CHAM_CONG_THANG'!$AF64:$AK64)&gt;0,'DM_NHAN_SU'!$Q64&lt;=0),"Net có OT nhưng chưa khai lương giờ OT; ","")&amp;IF('CHAM_CONG_THANG'!$V64&gt;$Z64,"Phần OT không miễn lớn hơn tiền OT; ","")&amp;IF(AND($F64="Net",ABS($AT64-$AC64-$AP64)&gt;1),"Lệch quy đổi Net; ","")&amp;IF(AND($BH64&gt;0,'DM_NHAN_SU'!$AD64=""),"Có phép năm nhưng đang tạm dùng 12 ngày; ","")&amp;IF(AND($G64="Sản phẩm",SUM($BH64:$BJ64)&gt;0,'DM_NHAN_SU'!$AH64&lt;=0),"Lương sản phẩm thiếu đơn giá ngày phép/lễ; ","")&amp;IF(AND($BL64&gt;=14,'CHAM_CONG_THANG'!$AA64&lt;&gt;"Có"),"Thai sản từ 14 ngày: file tự dừng đóng BH – kiểm tra hồ sơ; ","")&amp;IF(AND('DM_NHAN_SU'!$AA64="Có",'DM_NHAN_SU'!$AB64=""),"Đoàn viên chưa chọn cách tính đoàn phí; ","")&amp;IF(AND('DM_NHAN_SU'!$AB64="Nhập tay",'DM_NHAN_SU'!$AC64&gt;'THAM_SO'!$M$26),"Đoàn phí nhập tay vượt trần thông dụng; ","")&amp;IF('NGHI_PHEP'!$L64&lt;&gt;"","Phép: "&amp;'NGHI_PHEP'!$L64,"")&amp;IF('CHE_DO_BHXH'!$AA64&lt;&gt;"","BHXH: "&amp;'CHE_DO_BHXH'!$AA64,"")&amp;IF('THUONG_T13_TET'!$O64&lt;&gt;"","Thưởng: "&amp;'THUONG_T13_TET'!$O64,"")&amp;IF('QT_NGHI_VIEC'!$AF64&lt;&gt;"","Nghỉ việc: "&amp;'QT_NGHI_VIEC'!$AF64,"")&amp;IF($AX64&lt;0,"Thực lĩnh âm; ","")&amp;IF(OR('DM_NHAN_SU'!$F64&gt;'THAM_SO'!$B$7,AND('DM_NHAN_SU'!$G64&lt;&gt;"",'DM_NHAN_SU'!$G64&lt;'THAM_SO'!$B$6)),"Ngoài kỳ trả lương; ","")))</f>
        <v/>
      </c>
      <c r="BH64" s="232">
        <f>IF('DM_NHAN_SU'!$B64="","",'CHAM_CONG_THANG'!AR64)</f>
        <v/>
      </c>
      <c r="BI64" s="232">
        <f>IF('DM_NHAN_SU'!$B64="","",'CHAM_CONG_THANG'!AS64)</f>
        <v/>
      </c>
      <c r="BJ64" s="232">
        <f>IF('DM_NHAN_SU'!$B64="","",'CHAM_CONG_THANG'!AT64)</f>
        <v/>
      </c>
      <c r="BK64" s="232">
        <f>IF('DM_NHAN_SU'!$B64="","",'CHAM_CONG_THANG'!AU64)</f>
        <v/>
      </c>
      <c r="BL64" s="232">
        <f>IF('DM_NHAN_SU'!$B64="","",'CHAM_CONG_THANG'!AV64)</f>
        <v/>
      </c>
      <c r="BM64" s="232">
        <f>IF('DM_NHAN_SU'!$B64="","",'CHAM_CONG_THANG'!AW64)</f>
        <v/>
      </c>
      <c r="BN64" s="232">
        <f>IF('DM_NHAN_SU'!$B64="","",SUM($K64,$BH64:$BJ64))</f>
        <v/>
      </c>
      <c r="BO64" s="224">
        <f>IF('DM_NHAN_SU'!$B64="","",IF($B64="",0,IF($G64="Tháng",IF($I64&gt;0,'DM_NHAN_SU'!$K64*MIN($BH64+$BJ64,MAX($I64-$K64,0))/$I64,0),IF($G64="Ngày",'DM_NHAN_SU'!$K64*SUM($BH64:$BJ64),IF($G64="Giờ",'DM_NHAN_SU'!$K64*SUM($BH64:$BJ64)*$J64,IF($G64="Sản phẩm",'DM_NHAN_SU'!$AH64*SUM($BH64:$BJ64),0))))))</f>
        <v/>
      </c>
      <c r="BP64" s="224">
        <f>IF('DM_NHAN_SU'!$B64="","",IF('THUONG_T13_TET'!$L64="Có",'THUONG_T13_TET'!$I64,0))</f>
        <v/>
      </c>
      <c r="BQ64" s="224">
        <f>IF('DM_NHAN_SU'!$B64="","",IF('THUONG_T13_TET'!$L64="Có",SUM('THUONG_T13_TET'!$J64:$K64),0))</f>
        <v/>
      </c>
      <c r="BR64" s="224">
        <f>IF('DM_NHAN_SU'!$B64="","",'QT_NGHI_VIEC'!AC64)</f>
        <v/>
      </c>
      <c r="BS64" s="224">
        <f>IF('DM_NHAN_SU'!$B64="","",'QT_NGHI_VIEC'!AB64)</f>
        <v/>
      </c>
      <c r="BT64" s="224">
        <f>IF('DM_NHAN_SU'!$B64="","",IF('CHE_DO_BHXH'!$Z64="Có",'CHE_DO_BHXH'!$W64,0))</f>
        <v/>
      </c>
      <c r="BU64" s="224">
        <f>IF('DM_NHAN_SU'!$B64="","",IF('CHE_DO_BHXH'!$Y64="DN trả thay",$BT64,0))</f>
        <v/>
      </c>
      <c r="BV64" s="224">
        <f>IF('DM_NHAN_SU'!$B64="","",IF(OR('DM_NHAN_SU'!$AA64&lt;&gt;"Có",'CHE_DO_BHXH'!$O64&gt;=1,SUM('CHE_DO_BHXH'!$D64,'CHE_DO_BHXH'!$G64,'CHE_DO_BHXH'!$K64)&gt;=24,AND($I64&gt;0,$BM64&gt;=$I64)),0,IF('DM_NHAN_SU'!$AB64="Không",0,IF('DM_NHAN_SU'!$AB64="Nhập tay",'DM_NHAN_SU'!$AC64,IF('DM_NHAN_SU'!$AB64="Theo thực nhận",MIN(MAX($AT64-$AU64-$AV64-$AW64,0)*'THAM_SO'!$M$23,'THAM_SO'!$M$26),MIN($AE64*'THAM_SO'!$M$23,'THAM_SO'!$M$26))))))</f>
        <v/>
      </c>
      <c r="BW64" s="224">
        <f>IF('DM_NHAN_SU'!$B64="","",$AX64+$BU64)</f>
        <v/>
      </c>
    </row>
    <row r="65">
      <c r="A65" s="145">
        <f>IF('DM_NHAN_SU'!$B65="","",IF($B65="","",ROW()-5))</f>
        <v/>
      </c>
      <c r="B65" s="145">
        <f>IF('DM_NHAN_SU'!$B65="","",'DM_NHAN_SU'!B65)</f>
        <v/>
      </c>
      <c r="C65" s="145">
        <f>IF('DM_NHAN_SU'!$B65="","",'DM_NHAN_SU'!C65)</f>
        <v/>
      </c>
      <c r="D65" s="145">
        <f>IF('DM_NHAN_SU'!$B65="","",'DM_NHAN_SU'!D65)</f>
        <v/>
      </c>
      <c r="E65" s="145">
        <f>IF('DM_NHAN_SU'!$B65="","",'DM_NHAN_SU'!E65)</f>
        <v/>
      </c>
      <c r="F65" s="145">
        <f>IF('DM_NHAN_SU'!$B65="","",'DM_NHAN_SU'!I65)</f>
        <v/>
      </c>
      <c r="G65" s="145">
        <f>IF('DM_NHAN_SU'!$B65="","",'DM_NHAN_SU'!J65)</f>
        <v/>
      </c>
      <c r="H65" s="145">
        <f>IF('DM_NHAN_SU'!$B65="","",IF('DM_NHAN_SU'!H65="",'THAM_SO'!$B$11,'DM_NHAN_SU'!H65))</f>
        <v/>
      </c>
      <c r="I65" s="232">
        <f>IF('DM_NHAN_SU'!$B65="","",IF('DM_NHAN_SU'!L65&gt;0,'DM_NHAN_SU'!L65,'THAM_SO'!$B$9))</f>
        <v/>
      </c>
      <c r="J65" s="232">
        <f>IF('DM_NHAN_SU'!$B65="","",IF('DM_NHAN_SU'!M65&gt;0,'DM_NHAN_SU'!M65,'THAM_SO'!$B$10))</f>
        <v/>
      </c>
      <c r="K65" s="232">
        <f>IF('DM_NHAN_SU'!$B65="","",'CHAM_CONG_THANG'!AC65)</f>
        <v/>
      </c>
      <c r="L65" s="232">
        <f>IF('DM_NHAN_SU'!$B65="","",'CHAM_CONG_THANG'!AD65)</f>
        <v/>
      </c>
      <c r="M65" s="232">
        <f>IF('DM_NHAN_SU'!$B65="","",'CHAM_CONG_THANG'!AE65)</f>
        <v/>
      </c>
      <c r="N65" s="232">
        <f>IF('DM_NHAN_SU'!$B65="","",'CHAM_CONG_THANG'!N65)</f>
        <v/>
      </c>
      <c r="O65" s="224">
        <f>IF('DM_NHAN_SU'!$B65="","",IF($B65="","",IF($G65="Tháng",IF($I65&gt;0,'DM_NHAN_SU'!$K65*MIN($K65,$I65)/$I65,0),IF($G65="Ngày",'DM_NHAN_SU'!$K65*$K65,IF($G65="Giờ",'DM_NHAN_SU'!$K65*$L65,IF($G65="Sản phẩm",'DM_NHAN_SU'!$K65*$N65,0))))))</f>
        <v/>
      </c>
      <c r="P65" s="224">
        <f>IF('DM_NHAN_SU'!$B65="","",'CHAM_CONG_THANG'!O65)</f>
        <v/>
      </c>
      <c r="Q65" s="224">
        <f>IF('DM_NHAN_SU'!$B65="","",'CHAM_CONG_THANG'!P65)</f>
        <v/>
      </c>
      <c r="R65" s="224">
        <f>IF('DM_NHAN_SU'!$B65="","",'CHAM_CONG_THANG'!Q65)</f>
        <v/>
      </c>
      <c r="S65" s="224">
        <f>IF('DM_NHAN_SU'!$B65="","",'CHAM_CONG_THANG'!R65)</f>
        <v/>
      </c>
      <c r="T65" s="224">
        <f>IF('DM_NHAN_SU'!$B65="","",'CHAM_CONG_THANG'!S65)</f>
        <v/>
      </c>
      <c r="U65" s="224">
        <f>IF('DM_NHAN_SU'!$B65="","",MIN($T65,'THAM_SO'!$F$6))</f>
        <v/>
      </c>
      <c r="V65" s="224">
        <f>IF('DM_NHAN_SU'!$B65="","",MAX($T65-$U65,0))</f>
        <v/>
      </c>
      <c r="W65" s="224">
        <f>IF('DM_NHAN_SU'!$B65="","",'CHAM_CONG_THANG'!T65)</f>
        <v/>
      </c>
      <c r="X65" s="224">
        <f>IF('DM_NHAN_SU'!$B65="","",'CHAM_CONG_THANG'!U65)</f>
        <v/>
      </c>
      <c r="Y65" s="224">
        <f>IF('DM_NHAN_SU'!$B65="","",IF($B65="",0,IF('DM_NHAN_SU'!$Q65&gt;0,'DM_NHAN_SU'!$Q65,IF($G65="Tháng",IF($I65*$J65&gt;0,'DM_NHAN_SU'!$K65/($I65*$J65),0),IF($G65="Ngày",IF($J65&gt;0,'DM_NHAN_SU'!$K65/$J65,0),IF($G65="Giờ",'DM_NHAN_SU'!$K65,0))))))</f>
        <v/>
      </c>
      <c r="Z65" s="224">
        <f>IF('DM_NHAN_SU'!$B65="","",$Y65*($M65*'THAM_SO'!$C$22+'CHAM_CONG_THANG'!$AF65*'THAM_SO'!$C$19+'CHAM_CONG_THANG'!$AG65*'THAM_SO'!$C$20+'CHAM_CONG_THANG'!$AH65*'THAM_SO'!$C$21+'CHAM_CONG_THANG'!$AI65*'THAM_SO'!$C$23+'CHAM_CONG_THANG'!$AJ65*'THAM_SO'!$C$24+'CHAM_CONG_THANG'!$AK65*'THAM_SO'!$C$25))</f>
        <v/>
      </c>
      <c r="AA65" s="224">
        <f>IF('DM_NHAN_SU'!$B65="","",MAX(0,$Y65*($M65*IF('THAM_SO'!$C$22&gt;='THAM_SO'!$B$22,'THAM_SO'!$B$22,0)+'CHAM_CONG_THANG'!$AF65*IF('THAM_SO'!$C$19&gt;='THAM_SO'!$B$19,'THAM_SO'!$B$19,0)+'CHAM_CONG_THANG'!$AG65*IF('THAM_SO'!$C$20&gt;='THAM_SO'!$B$20,'THAM_SO'!$B$20,0)+'CHAM_CONG_THANG'!$AH65*IF('THAM_SO'!$C$21&gt;='THAM_SO'!$B$21,'THAM_SO'!$B$21,0)+'CHAM_CONG_THANG'!$AI65*IF('THAM_SO'!$C$23&gt;='THAM_SO'!$B$23,'THAM_SO'!$B$23,0)+'CHAM_CONG_THANG'!$AJ65*IF('THAM_SO'!$C$24&gt;='THAM_SO'!$B$24,'THAM_SO'!$B$24,0)+'CHAM_CONG_THANG'!$AK65*IF('THAM_SO'!$C$25&gt;='THAM_SO'!$B$25,'THAM_SO'!$B$25,0))-'CHAM_CONG_THANG'!$V65))</f>
        <v/>
      </c>
      <c r="AB65" s="224">
        <f>IF('DM_NHAN_SU'!$B65="","",MAX($Z65-$AA65,0))</f>
        <v/>
      </c>
      <c r="AC65" s="224">
        <f>IF('DM_NHAN_SU'!$B65="","",$O65+$P65+$Q65+$R65+$S65+$V65+$AB65+$BO65+$BP65+$BQ65+$BR65)</f>
        <v/>
      </c>
      <c r="AD65" s="224">
        <f>IF('DM_NHAN_SU'!$B65="","",'DM_NHAN_SU'!N65+'DM_NHAN_SU'!O65+'DM_NHAN_SU'!P65)</f>
        <v/>
      </c>
      <c r="AE65" s="224">
        <f>IF('DM_NHAN_SU'!$B65="","",IF(OR('DM_NHAN_SU'!$R65&lt;&gt;"Có",'CHAM_CONG_THANG'!$AA65="Có",$BL65&gt;=14,$AD65&lt;=0),0,MIN(MAX($AD65,'THAM_SO'!$M$6),'THAM_SO'!$M$7)))</f>
        <v/>
      </c>
      <c r="AF65" s="224">
        <f>IF('DM_NHAN_SU'!$B65="","",IF(OR('DM_NHAN_SU'!$S65&lt;&gt;"Có",'CHAM_CONG_THANG'!$AA65="Có",$BL65&gt;=14,$AD65&lt;=0),0,MIN(MAX($AD65,VLOOKUP($H65,'THAM_SO'!$L$17:$P$20,4,FALSE)),VLOOKUP($H65,'THAM_SO'!$L$17:$P$20,5,FALSE))))</f>
        <v/>
      </c>
      <c r="AG65" s="224">
        <f>IF('DM_NHAN_SU'!$B65="","",$AE65*'THAM_SO'!$M$8)</f>
        <v/>
      </c>
      <c r="AH65" s="224">
        <f>IF('DM_NHAN_SU'!$B65="","",$AE65*'THAM_SO'!$M$9)</f>
        <v/>
      </c>
      <c r="AI65" s="224">
        <f>IF('DM_NHAN_SU'!$B65="","",$AF65*'THAM_SO'!$M$10)</f>
        <v/>
      </c>
      <c r="AJ65" s="224">
        <f>IF('DM_NHAN_SU'!$B65="","",SUM($AG65:$AI65))</f>
        <v/>
      </c>
      <c r="AK65" s="224">
        <f>IF('DM_NHAN_SU'!$B65="","",IF($B65="",0,'THAM_SO'!$F$4))</f>
        <v/>
      </c>
      <c r="AL65" s="224">
        <f>IF('DM_NHAN_SU'!$B65="","",IF($B65="",0,'DM_NHAN_SU'!$T65*'THAM_SO'!$F$5))</f>
        <v/>
      </c>
      <c r="AM65" s="224">
        <f>IF('DM_NHAN_SU'!$B65="","",'CHAM_CONG_THANG'!W65)</f>
        <v/>
      </c>
      <c r="AN65" s="224">
        <f>IF('DM_NHAN_SU'!$B65="","",MAX($AC65-$AK65-$AL65-$AM65,0))</f>
        <v/>
      </c>
      <c r="AO65" s="224">
        <f>IF('DM_NHAN_SU'!$B65="","",IF($B65="","",IF($F65="Net",IF($AC65&lt;=$AK65+$AL65+$AM65,$AC65+$AJ65,$AJ65+$AK65+$AL65+$AM65+IF($AN65&lt;='THAM_SO'!$J$10,($AN65-'THAM_SO'!$I$10)/(1-'THAM_SO'!$H$10),IF($AN65&lt;='THAM_SO'!$J$11,($AN65-'THAM_SO'!$I$11)/(1-'THAM_SO'!$H$11),IF($AN65&lt;='THAM_SO'!$J$12,($AN65-'THAM_SO'!$I$12)/(1-'THAM_SO'!$H$12),IF($AN65&lt;='THAM_SO'!$J$13,($AN65-'THAM_SO'!$I$13)/(1-'THAM_SO'!$H$13),($AN65-'THAM_SO'!$I$14)/(1-'THAM_SO'!$H$14)))))),$AC65)))</f>
        <v/>
      </c>
      <c r="AP65" s="224">
        <f>IF('DM_NHAN_SU'!$B65="","",$U65+$W65+$X65+$AA65+$BS65)</f>
        <v/>
      </c>
      <c r="AQ65" s="224">
        <f>IF('DM_NHAN_SU'!$B65="","",MAX($AO65-$AJ65-$AK65-$AL65-$AM65,0))</f>
        <v/>
      </c>
      <c r="AR65" s="224">
        <f>IF('DM_NHAN_SU'!$B65="","",IF($AQ65&lt;=0,0,$AQ65*VLOOKUP($AQ65,'THAM_SO'!$F$10:$I$14,3,TRUE)-VLOOKUP($AQ65,'THAM_SO'!$F$10:$I$14,4,TRUE)))</f>
        <v/>
      </c>
      <c r="AS65" s="224">
        <f>IF('DM_NHAN_SU'!$B65="","",$AO65+$AP65)</f>
        <v/>
      </c>
      <c r="AT65" s="224">
        <f>IF('DM_NHAN_SU'!$B65="","",$AS65-$AJ65-$AR65)</f>
        <v/>
      </c>
      <c r="AU65" s="224">
        <f>IF('DM_NHAN_SU'!$B65="","",'CHAM_CONG_THANG'!X65)</f>
        <v/>
      </c>
      <c r="AV65" s="224">
        <f>IF('DM_NHAN_SU'!$B65="","",'CHAM_CONG_THANG'!Y65+'QT_NGHI_VIEC'!AD65)</f>
        <v/>
      </c>
      <c r="AW65" s="224">
        <f>IF('DM_NHAN_SU'!$B65="","",'CHAM_CONG_THANG'!Z65)</f>
        <v/>
      </c>
      <c r="AX65" s="224">
        <f>IF('DM_NHAN_SU'!$B65="","",$AT65-$AU65-$AV65-$AW65-$BV65)</f>
        <v/>
      </c>
      <c r="AY65" s="224">
        <f>IF('DM_NHAN_SU'!$B65="","",$AE65*'THAM_SO'!$M$11)</f>
        <v/>
      </c>
      <c r="AZ65" s="224">
        <f>IF('DM_NHAN_SU'!$B65="","",$AE65*'THAM_SO'!$M$12)</f>
        <v/>
      </c>
      <c r="BA65" s="224">
        <f>IF('DM_NHAN_SU'!$B65="","",$AF65*'THAM_SO'!$M$13)</f>
        <v/>
      </c>
      <c r="BB65" s="224">
        <f>IF('DM_NHAN_SU'!$B65="","",$AE65*'THAM_SO'!$M$14)</f>
        <v/>
      </c>
      <c r="BC65" s="224">
        <f>IF('DM_NHAN_SU'!$B65="","",SUM($AY65:$BB65))</f>
        <v/>
      </c>
      <c r="BD65" s="224">
        <f>IF('DM_NHAN_SU'!$B65="","",$AS65+$BC65)</f>
        <v/>
      </c>
      <c r="BE65" s="224">
        <f>IF('DM_NHAN_SU'!$B65="","",VLOOKUP($H65,'THAM_SO'!$L$17:$P$20,2,FALSE))</f>
        <v/>
      </c>
      <c r="BF65" s="224">
        <f>IF('DM_NHAN_SU'!$B65="","",VLOOKUP($H65,'THAM_SO'!$L$17:$P$20,3,FALSE))</f>
        <v/>
      </c>
      <c r="BG65" s="150">
        <f>IF('DM_NHAN_SU'!$B65="","",IF($B65="","",IF(COUNTIF('DM_NHAN_SU'!$B$6:$B$155,$B65)&gt;1,"Trùng mã NV; ","")&amp;IF(OR($F65="",$G65=""),"Thiếu loại/hình thức lương; ","")&amp;IF('CHAM_CONG_THANG'!$D65="","Chưa chọn nguồn công; ","")&amp;IF(AND('CHAM_CONG_THANG'!$D65="Theo ngày",COUNTIF('CHAM_CONG_NGAY'!$B$6:$B$4655,$B65)=0),"Chưa có chấm công ngày; ","")&amp;IF(OR($I65&lt;=0,$J65&lt;=0),"Thiếu công/giờ chuẩn; ","")&amp;IF(AND($G65="Tháng",'DM_NHAN_SU'!$K65&lt;$BE65),"Lương tháng dưới tối thiểu vùng; ","")&amp;IF(AND($G65="Ngày",'DM_NHAN_SU'!$K65/$J65&lt;$BF65),"Lương ngày quy đổi dưới tối thiểu giờ; ","")&amp;IF(AND($G65="Giờ",'DM_NHAN_SU'!$K65&lt;$BF65),"Lương giờ dưới tối thiểu vùng; ","")&amp;IF(AND($G65="Sản phẩm",$L65&gt;0,$O65/$L65&lt;$BF65),"Lương SP quy đổi dưới tối thiểu giờ; ","")&amp;IF(OR('THAM_SO'!$C$19&lt;'THAM_SO'!$B$19,'THAM_SO'!$C$20&lt;'THAM_SO'!$B$20,'THAM_SO'!$C$21&lt;'THAM_SO'!$B$21,'THAM_SO'!$C$22&lt;'THAM_SO'!$B$22,'THAM_SO'!$C$23&lt;'THAM_SO'!$B$23,'THAM_SO'!$C$24&lt;'THAM_SO'!$B$24,'THAM_SO'!$C$25&lt;'THAM_SO'!$B$25),"Hệ số OT/đêm DN thấp hơn luật; ","")&amp;IF(AND('DM_NHAN_SU'!$R65="Có",$AD65&lt;=0),"Thiếu căn cứ đóng BH; ","")&amp;IF(AND($AD65&gt;0,$AD65&lt;'THAM_SO'!$M$6),"Căn cứ BH dưới sàn – đã nâng sàn; ","")&amp;IF($AD65&gt;'THAM_SO'!$M$7,"Căn cứ BH vượt trần – đã giới hạn; ","")&amp;IF(AND($F65="Net",SUM('CHAM_CONG_THANG'!$AF65:$AK65)&gt;0,'DM_NHAN_SU'!$Q65&lt;=0),"Net có OT nhưng chưa khai lương giờ OT; ","")&amp;IF('CHAM_CONG_THANG'!$V65&gt;$Z65,"Phần OT không miễn lớn hơn tiền OT; ","")&amp;IF(AND($F65="Net",ABS($AT65-$AC65-$AP65)&gt;1),"Lệch quy đổi Net; ","")&amp;IF(AND($BH65&gt;0,'DM_NHAN_SU'!$AD65=""),"Có phép năm nhưng đang tạm dùng 12 ngày; ","")&amp;IF(AND($G65="Sản phẩm",SUM($BH65:$BJ65)&gt;0,'DM_NHAN_SU'!$AH65&lt;=0),"Lương sản phẩm thiếu đơn giá ngày phép/lễ; ","")&amp;IF(AND($BL65&gt;=14,'CHAM_CONG_THANG'!$AA65&lt;&gt;"Có"),"Thai sản từ 14 ngày: file tự dừng đóng BH – kiểm tra hồ sơ; ","")&amp;IF(AND('DM_NHAN_SU'!$AA65="Có",'DM_NHAN_SU'!$AB65=""),"Đoàn viên chưa chọn cách tính đoàn phí; ","")&amp;IF(AND('DM_NHAN_SU'!$AB65="Nhập tay",'DM_NHAN_SU'!$AC65&gt;'THAM_SO'!$M$26),"Đoàn phí nhập tay vượt trần thông dụng; ","")&amp;IF('NGHI_PHEP'!$L65&lt;&gt;"","Phép: "&amp;'NGHI_PHEP'!$L65,"")&amp;IF('CHE_DO_BHXH'!$AA65&lt;&gt;"","BHXH: "&amp;'CHE_DO_BHXH'!$AA65,"")&amp;IF('THUONG_T13_TET'!$O65&lt;&gt;"","Thưởng: "&amp;'THUONG_T13_TET'!$O65,"")&amp;IF('QT_NGHI_VIEC'!$AF65&lt;&gt;"","Nghỉ việc: "&amp;'QT_NGHI_VIEC'!$AF65,"")&amp;IF($AX65&lt;0,"Thực lĩnh âm; ","")&amp;IF(OR('DM_NHAN_SU'!$F65&gt;'THAM_SO'!$B$7,AND('DM_NHAN_SU'!$G65&lt;&gt;"",'DM_NHAN_SU'!$G65&lt;'THAM_SO'!$B$6)),"Ngoài kỳ trả lương; ","")))</f>
        <v/>
      </c>
      <c r="BH65" s="232">
        <f>IF('DM_NHAN_SU'!$B65="","",'CHAM_CONG_THANG'!AR65)</f>
        <v/>
      </c>
      <c r="BI65" s="232">
        <f>IF('DM_NHAN_SU'!$B65="","",'CHAM_CONG_THANG'!AS65)</f>
        <v/>
      </c>
      <c r="BJ65" s="232">
        <f>IF('DM_NHAN_SU'!$B65="","",'CHAM_CONG_THANG'!AT65)</f>
        <v/>
      </c>
      <c r="BK65" s="232">
        <f>IF('DM_NHAN_SU'!$B65="","",'CHAM_CONG_THANG'!AU65)</f>
        <v/>
      </c>
      <c r="BL65" s="232">
        <f>IF('DM_NHAN_SU'!$B65="","",'CHAM_CONG_THANG'!AV65)</f>
        <v/>
      </c>
      <c r="BM65" s="232">
        <f>IF('DM_NHAN_SU'!$B65="","",'CHAM_CONG_THANG'!AW65)</f>
        <v/>
      </c>
      <c r="BN65" s="232">
        <f>IF('DM_NHAN_SU'!$B65="","",SUM($K65,$BH65:$BJ65))</f>
        <v/>
      </c>
      <c r="BO65" s="224">
        <f>IF('DM_NHAN_SU'!$B65="","",IF($B65="",0,IF($G65="Tháng",IF($I65&gt;0,'DM_NHAN_SU'!$K65*MIN($BH65+$BJ65,MAX($I65-$K65,0))/$I65,0),IF($G65="Ngày",'DM_NHAN_SU'!$K65*SUM($BH65:$BJ65),IF($G65="Giờ",'DM_NHAN_SU'!$K65*SUM($BH65:$BJ65)*$J65,IF($G65="Sản phẩm",'DM_NHAN_SU'!$AH65*SUM($BH65:$BJ65),0))))))</f>
        <v/>
      </c>
      <c r="BP65" s="224">
        <f>IF('DM_NHAN_SU'!$B65="","",IF('THUONG_T13_TET'!$L65="Có",'THUONG_T13_TET'!$I65,0))</f>
        <v/>
      </c>
      <c r="BQ65" s="224">
        <f>IF('DM_NHAN_SU'!$B65="","",IF('THUONG_T13_TET'!$L65="Có",SUM('THUONG_T13_TET'!$J65:$K65),0))</f>
        <v/>
      </c>
      <c r="BR65" s="224">
        <f>IF('DM_NHAN_SU'!$B65="","",'QT_NGHI_VIEC'!AC65)</f>
        <v/>
      </c>
      <c r="BS65" s="224">
        <f>IF('DM_NHAN_SU'!$B65="","",'QT_NGHI_VIEC'!AB65)</f>
        <v/>
      </c>
      <c r="BT65" s="224">
        <f>IF('DM_NHAN_SU'!$B65="","",IF('CHE_DO_BHXH'!$Z65="Có",'CHE_DO_BHXH'!$W65,0))</f>
        <v/>
      </c>
      <c r="BU65" s="224">
        <f>IF('DM_NHAN_SU'!$B65="","",IF('CHE_DO_BHXH'!$Y65="DN trả thay",$BT65,0))</f>
        <v/>
      </c>
      <c r="BV65" s="224">
        <f>IF('DM_NHAN_SU'!$B65="","",IF(OR('DM_NHAN_SU'!$AA65&lt;&gt;"Có",'CHE_DO_BHXH'!$O65&gt;=1,SUM('CHE_DO_BHXH'!$D65,'CHE_DO_BHXH'!$G65,'CHE_DO_BHXH'!$K65)&gt;=24,AND($I65&gt;0,$BM65&gt;=$I65)),0,IF('DM_NHAN_SU'!$AB65="Không",0,IF('DM_NHAN_SU'!$AB65="Nhập tay",'DM_NHAN_SU'!$AC65,IF('DM_NHAN_SU'!$AB65="Theo thực nhận",MIN(MAX($AT65-$AU65-$AV65-$AW65,0)*'THAM_SO'!$M$23,'THAM_SO'!$M$26),MIN($AE65*'THAM_SO'!$M$23,'THAM_SO'!$M$26))))))</f>
        <v/>
      </c>
      <c r="BW65" s="224">
        <f>IF('DM_NHAN_SU'!$B65="","",$AX65+$BU65)</f>
        <v/>
      </c>
    </row>
    <row r="66">
      <c r="A66" s="145">
        <f>IF('DM_NHAN_SU'!$B66="","",IF($B66="","",ROW()-5))</f>
        <v/>
      </c>
      <c r="B66" s="145">
        <f>IF('DM_NHAN_SU'!$B66="","",'DM_NHAN_SU'!B66)</f>
        <v/>
      </c>
      <c r="C66" s="145">
        <f>IF('DM_NHAN_SU'!$B66="","",'DM_NHAN_SU'!C66)</f>
        <v/>
      </c>
      <c r="D66" s="145">
        <f>IF('DM_NHAN_SU'!$B66="","",'DM_NHAN_SU'!D66)</f>
        <v/>
      </c>
      <c r="E66" s="145">
        <f>IF('DM_NHAN_SU'!$B66="","",'DM_NHAN_SU'!E66)</f>
        <v/>
      </c>
      <c r="F66" s="145">
        <f>IF('DM_NHAN_SU'!$B66="","",'DM_NHAN_SU'!I66)</f>
        <v/>
      </c>
      <c r="G66" s="145">
        <f>IF('DM_NHAN_SU'!$B66="","",'DM_NHAN_SU'!J66)</f>
        <v/>
      </c>
      <c r="H66" s="145">
        <f>IF('DM_NHAN_SU'!$B66="","",IF('DM_NHAN_SU'!H66="",'THAM_SO'!$B$11,'DM_NHAN_SU'!H66))</f>
        <v/>
      </c>
      <c r="I66" s="232">
        <f>IF('DM_NHAN_SU'!$B66="","",IF('DM_NHAN_SU'!L66&gt;0,'DM_NHAN_SU'!L66,'THAM_SO'!$B$9))</f>
        <v/>
      </c>
      <c r="J66" s="232">
        <f>IF('DM_NHAN_SU'!$B66="","",IF('DM_NHAN_SU'!M66&gt;0,'DM_NHAN_SU'!M66,'THAM_SO'!$B$10))</f>
        <v/>
      </c>
      <c r="K66" s="232">
        <f>IF('DM_NHAN_SU'!$B66="","",'CHAM_CONG_THANG'!AC66)</f>
        <v/>
      </c>
      <c r="L66" s="232">
        <f>IF('DM_NHAN_SU'!$B66="","",'CHAM_CONG_THANG'!AD66)</f>
        <v/>
      </c>
      <c r="M66" s="232">
        <f>IF('DM_NHAN_SU'!$B66="","",'CHAM_CONG_THANG'!AE66)</f>
        <v/>
      </c>
      <c r="N66" s="232">
        <f>IF('DM_NHAN_SU'!$B66="","",'CHAM_CONG_THANG'!N66)</f>
        <v/>
      </c>
      <c r="O66" s="224">
        <f>IF('DM_NHAN_SU'!$B66="","",IF($B66="","",IF($G66="Tháng",IF($I66&gt;0,'DM_NHAN_SU'!$K66*MIN($K66,$I66)/$I66,0),IF($G66="Ngày",'DM_NHAN_SU'!$K66*$K66,IF($G66="Giờ",'DM_NHAN_SU'!$K66*$L66,IF($G66="Sản phẩm",'DM_NHAN_SU'!$K66*$N66,0))))))</f>
        <v/>
      </c>
      <c r="P66" s="224">
        <f>IF('DM_NHAN_SU'!$B66="","",'CHAM_CONG_THANG'!O66)</f>
        <v/>
      </c>
      <c r="Q66" s="224">
        <f>IF('DM_NHAN_SU'!$B66="","",'CHAM_CONG_THANG'!P66)</f>
        <v/>
      </c>
      <c r="R66" s="224">
        <f>IF('DM_NHAN_SU'!$B66="","",'CHAM_CONG_THANG'!Q66)</f>
        <v/>
      </c>
      <c r="S66" s="224">
        <f>IF('DM_NHAN_SU'!$B66="","",'CHAM_CONG_THANG'!R66)</f>
        <v/>
      </c>
      <c r="T66" s="224">
        <f>IF('DM_NHAN_SU'!$B66="","",'CHAM_CONG_THANG'!S66)</f>
        <v/>
      </c>
      <c r="U66" s="224">
        <f>IF('DM_NHAN_SU'!$B66="","",MIN($T66,'THAM_SO'!$F$6))</f>
        <v/>
      </c>
      <c r="V66" s="224">
        <f>IF('DM_NHAN_SU'!$B66="","",MAX($T66-$U66,0))</f>
        <v/>
      </c>
      <c r="W66" s="224">
        <f>IF('DM_NHAN_SU'!$B66="","",'CHAM_CONG_THANG'!T66)</f>
        <v/>
      </c>
      <c r="X66" s="224">
        <f>IF('DM_NHAN_SU'!$B66="","",'CHAM_CONG_THANG'!U66)</f>
        <v/>
      </c>
      <c r="Y66" s="224">
        <f>IF('DM_NHAN_SU'!$B66="","",IF($B66="",0,IF('DM_NHAN_SU'!$Q66&gt;0,'DM_NHAN_SU'!$Q66,IF($G66="Tháng",IF($I66*$J66&gt;0,'DM_NHAN_SU'!$K66/($I66*$J66),0),IF($G66="Ngày",IF($J66&gt;0,'DM_NHAN_SU'!$K66/$J66,0),IF($G66="Giờ",'DM_NHAN_SU'!$K66,0))))))</f>
        <v/>
      </c>
      <c r="Z66" s="224">
        <f>IF('DM_NHAN_SU'!$B66="","",$Y66*($M66*'THAM_SO'!$C$22+'CHAM_CONG_THANG'!$AF66*'THAM_SO'!$C$19+'CHAM_CONG_THANG'!$AG66*'THAM_SO'!$C$20+'CHAM_CONG_THANG'!$AH66*'THAM_SO'!$C$21+'CHAM_CONG_THANG'!$AI66*'THAM_SO'!$C$23+'CHAM_CONG_THANG'!$AJ66*'THAM_SO'!$C$24+'CHAM_CONG_THANG'!$AK66*'THAM_SO'!$C$25))</f>
        <v/>
      </c>
      <c r="AA66" s="224">
        <f>IF('DM_NHAN_SU'!$B66="","",MAX(0,$Y66*($M66*IF('THAM_SO'!$C$22&gt;='THAM_SO'!$B$22,'THAM_SO'!$B$22,0)+'CHAM_CONG_THANG'!$AF66*IF('THAM_SO'!$C$19&gt;='THAM_SO'!$B$19,'THAM_SO'!$B$19,0)+'CHAM_CONG_THANG'!$AG66*IF('THAM_SO'!$C$20&gt;='THAM_SO'!$B$20,'THAM_SO'!$B$20,0)+'CHAM_CONG_THANG'!$AH66*IF('THAM_SO'!$C$21&gt;='THAM_SO'!$B$21,'THAM_SO'!$B$21,0)+'CHAM_CONG_THANG'!$AI66*IF('THAM_SO'!$C$23&gt;='THAM_SO'!$B$23,'THAM_SO'!$B$23,0)+'CHAM_CONG_THANG'!$AJ66*IF('THAM_SO'!$C$24&gt;='THAM_SO'!$B$24,'THAM_SO'!$B$24,0)+'CHAM_CONG_THANG'!$AK66*IF('THAM_SO'!$C$25&gt;='THAM_SO'!$B$25,'THAM_SO'!$B$25,0))-'CHAM_CONG_THANG'!$V66))</f>
        <v/>
      </c>
      <c r="AB66" s="224">
        <f>IF('DM_NHAN_SU'!$B66="","",MAX($Z66-$AA66,0))</f>
        <v/>
      </c>
      <c r="AC66" s="224">
        <f>IF('DM_NHAN_SU'!$B66="","",$O66+$P66+$Q66+$R66+$S66+$V66+$AB66+$BO66+$BP66+$BQ66+$BR66)</f>
        <v/>
      </c>
      <c r="AD66" s="224">
        <f>IF('DM_NHAN_SU'!$B66="","",'DM_NHAN_SU'!N66+'DM_NHAN_SU'!O66+'DM_NHAN_SU'!P66)</f>
        <v/>
      </c>
      <c r="AE66" s="224">
        <f>IF('DM_NHAN_SU'!$B66="","",IF(OR('DM_NHAN_SU'!$R66&lt;&gt;"Có",'CHAM_CONG_THANG'!$AA66="Có",$BL66&gt;=14,$AD66&lt;=0),0,MIN(MAX($AD66,'THAM_SO'!$M$6),'THAM_SO'!$M$7)))</f>
        <v/>
      </c>
      <c r="AF66" s="224">
        <f>IF('DM_NHAN_SU'!$B66="","",IF(OR('DM_NHAN_SU'!$S66&lt;&gt;"Có",'CHAM_CONG_THANG'!$AA66="Có",$BL66&gt;=14,$AD66&lt;=0),0,MIN(MAX($AD66,VLOOKUP($H66,'THAM_SO'!$L$17:$P$20,4,FALSE)),VLOOKUP($H66,'THAM_SO'!$L$17:$P$20,5,FALSE))))</f>
        <v/>
      </c>
      <c r="AG66" s="224">
        <f>IF('DM_NHAN_SU'!$B66="","",$AE66*'THAM_SO'!$M$8)</f>
        <v/>
      </c>
      <c r="AH66" s="224">
        <f>IF('DM_NHAN_SU'!$B66="","",$AE66*'THAM_SO'!$M$9)</f>
        <v/>
      </c>
      <c r="AI66" s="224">
        <f>IF('DM_NHAN_SU'!$B66="","",$AF66*'THAM_SO'!$M$10)</f>
        <v/>
      </c>
      <c r="AJ66" s="224">
        <f>IF('DM_NHAN_SU'!$B66="","",SUM($AG66:$AI66))</f>
        <v/>
      </c>
      <c r="AK66" s="224">
        <f>IF('DM_NHAN_SU'!$B66="","",IF($B66="",0,'THAM_SO'!$F$4))</f>
        <v/>
      </c>
      <c r="AL66" s="224">
        <f>IF('DM_NHAN_SU'!$B66="","",IF($B66="",0,'DM_NHAN_SU'!$T66*'THAM_SO'!$F$5))</f>
        <v/>
      </c>
      <c r="AM66" s="224">
        <f>IF('DM_NHAN_SU'!$B66="","",'CHAM_CONG_THANG'!W66)</f>
        <v/>
      </c>
      <c r="AN66" s="224">
        <f>IF('DM_NHAN_SU'!$B66="","",MAX($AC66-$AK66-$AL66-$AM66,0))</f>
        <v/>
      </c>
      <c r="AO66" s="224">
        <f>IF('DM_NHAN_SU'!$B66="","",IF($B66="","",IF($F66="Net",IF($AC66&lt;=$AK66+$AL66+$AM66,$AC66+$AJ66,$AJ66+$AK66+$AL66+$AM66+IF($AN66&lt;='THAM_SO'!$J$10,($AN66-'THAM_SO'!$I$10)/(1-'THAM_SO'!$H$10),IF($AN66&lt;='THAM_SO'!$J$11,($AN66-'THAM_SO'!$I$11)/(1-'THAM_SO'!$H$11),IF($AN66&lt;='THAM_SO'!$J$12,($AN66-'THAM_SO'!$I$12)/(1-'THAM_SO'!$H$12),IF($AN66&lt;='THAM_SO'!$J$13,($AN66-'THAM_SO'!$I$13)/(1-'THAM_SO'!$H$13),($AN66-'THAM_SO'!$I$14)/(1-'THAM_SO'!$H$14)))))),$AC66)))</f>
        <v/>
      </c>
      <c r="AP66" s="224">
        <f>IF('DM_NHAN_SU'!$B66="","",$U66+$W66+$X66+$AA66+$BS66)</f>
        <v/>
      </c>
      <c r="AQ66" s="224">
        <f>IF('DM_NHAN_SU'!$B66="","",MAX($AO66-$AJ66-$AK66-$AL66-$AM66,0))</f>
        <v/>
      </c>
      <c r="AR66" s="224">
        <f>IF('DM_NHAN_SU'!$B66="","",IF($AQ66&lt;=0,0,$AQ66*VLOOKUP($AQ66,'THAM_SO'!$F$10:$I$14,3,TRUE)-VLOOKUP($AQ66,'THAM_SO'!$F$10:$I$14,4,TRUE)))</f>
        <v/>
      </c>
      <c r="AS66" s="224">
        <f>IF('DM_NHAN_SU'!$B66="","",$AO66+$AP66)</f>
        <v/>
      </c>
      <c r="AT66" s="224">
        <f>IF('DM_NHAN_SU'!$B66="","",$AS66-$AJ66-$AR66)</f>
        <v/>
      </c>
      <c r="AU66" s="224">
        <f>IF('DM_NHAN_SU'!$B66="","",'CHAM_CONG_THANG'!X66)</f>
        <v/>
      </c>
      <c r="AV66" s="224">
        <f>IF('DM_NHAN_SU'!$B66="","",'CHAM_CONG_THANG'!Y66+'QT_NGHI_VIEC'!AD66)</f>
        <v/>
      </c>
      <c r="AW66" s="224">
        <f>IF('DM_NHAN_SU'!$B66="","",'CHAM_CONG_THANG'!Z66)</f>
        <v/>
      </c>
      <c r="AX66" s="224">
        <f>IF('DM_NHAN_SU'!$B66="","",$AT66-$AU66-$AV66-$AW66-$BV66)</f>
        <v/>
      </c>
      <c r="AY66" s="224">
        <f>IF('DM_NHAN_SU'!$B66="","",$AE66*'THAM_SO'!$M$11)</f>
        <v/>
      </c>
      <c r="AZ66" s="224">
        <f>IF('DM_NHAN_SU'!$B66="","",$AE66*'THAM_SO'!$M$12)</f>
        <v/>
      </c>
      <c r="BA66" s="224">
        <f>IF('DM_NHAN_SU'!$B66="","",$AF66*'THAM_SO'!$M$13)</f>
        <v/>
      </c>
      <c r="BB66" s="224">
        <f>IF('DM_NHAN_SU'!$B66="","",$AE66*'THAM_SO'!$M$14)</f>
        <v/>
      </c>
      <c r="BC66" s="224">
        <f>IF('DM_NHAN_SU'!$B66="","",SUM($AY66:$BB66))</f>
        <v/>
      </c>
      <c r="BD66" s="224">
        <f>IF('DM_NHAN_SU'!$B66="","",$AS66+$BC66)</f>
        <v/>
      </c>
      <c r="BE66" s="224">
        <f>IF('DM_NHAN_SU'!$B66="","",VLOOKUP($H66,'THAM_SO'!$L$17:$P$20,2,FALSE))</f>
        <v/>
      </c>
      <c r="BF66" s="224">
        <f>IF('DM_NHAN_SU'!$B66="","",VLOOKUP($H66,'THAM_SO'!$L$17:$P$20,3,FALSE))</f>
        <v/>
      </c>
      <c r="BG66" s="150">
        <f>IF('DM_NHAN_SU'!$B66="","",IF($B66="","",IF(COUNTIF('DM_NHAN_SU'!$B$6:$B$155,$B66)&gt;1,"Trùng mã NV; ","")&amp;IF(OR($F66="",$G66=""),"Thiếu loại/hình thức lương; ","")&amp;IF('CHAM_CONG_THANG'!$D66="","Chưa chọn nguồn công; ","")&amp;IF(AND('CHAM_CONG_THANG'!$D66="Theo ngày",COUNTIF('CHAM_CONG_NGAY'!$B$6:$B$4655,$B66)=0),"Chưa có chấm công ngày; ","")&amp;IF(OR($I66&lt;=0,$J66&lt;=0),"Thiếu công/giờ chuẩn; ","")&amp;IF(AND($G66="Tháng",'DM_NHAN_SU'!$K66&lt;$BE66),"Lương tháng dưới tối thiểu vùng; ","")&amp;IF(AND($G66="Ngày",'DM_NHAN_SU'!$K66/$J66&lt;$BF66),"Lương ngày quy đổi dưới tối thiểu giờ; ","")&amp;IF(AND($G66="Giờ",'DM_NHAN_SU'!$K66&lt;$BF66),"Lương giờ dưới tối thiểu vùng; ","")&amp;IF(AND($G66="Sản phẩm",$L66&gt;0,$O66/$L66&lt;$BF66),"Lương SP quy đổi dưới tối thiểu giờ; ","")&amp;IF(OR('THAM_SO'!$C$19&lt;'THAM_SO'!$B$19,'THAM_SO'!$C$20&lt;'THAM_SO'!$B$20,'THAM_SO'!$C$21&lt;'THAM_SO'!$B$21,'THAM_SO'!$C$22&lt;'THAM_SO'!$B$22,'THAM_SO'!$C$23&lt;'THAM_SO'!$B$23,'THAM_SO'!$C$24&lt;'THAM_SO'!$B$24,'THAM_SO'!$C$25&lt;'THAM_SO'!$B$25),"Hệ số OT/đêm DN thấp hơn luật; ","")&amp;IF(AND('DM_NHAN_SU'!$R66="Có",$AD66&lt;=0),"Thiếu căn cứ đóng BH; ","")&amp;IF(AND($AD66&gt;0,$AD66&lt;'THAM_SO'!$M$6),"Căn cứ BH dưới sàn – đã nâng sàn; ","")&amp;IF($AD66&gt;'THAM_SO'!$M$7,"Căn cứ BH vượt trần – đã giới hạn; ","")&amp;IF(AND($F66="Net",SUM('CHAM_CONG_THANG'!$AF66:$AK66)&gt;0,'DM_NHAN_SU'!$Q66&lt;=0),"Net có OT nhưng chưa khai lương giờ OT; ","")&amp;IF('CHAM_CONG_THANG'!$V66&gt;$Z66,"Phần OT không miễn lớn hơn tiền OT; ","")&amp;IF(AND($F66="Net",ABS($AT66-$AC66-$AP66)&gt;1),"Lệch quy đổi Net; ","")&amp;IF(AND($BH66&gt;0,'DM_NHAN_SU'!$AD66=""),"Có phép năm nhưng đang tạm dùng 12 ngày; ","")&amp;IF(AND($G66="Sản phẩm",SUM($BH66:$BJ66)&gt;0,'DM_NHAN_SU'!$AH66&lt;=0),"Lương sản phẩm thiếu đơn giá ngày phép/lễ; ","")&amp;IF(AND($BL66&gt;=14,'CHAM_CONG_THANG'!$AA66&lt;&gt;"Có"),"Thai sản từ 14 ngày: file tự dừng đóng BH – kiểm tra hồ sơ; ","")&amp;IF(AND('DM_NHAN_SU'!$AA66="Có",'DM_NHAN_SU'!$AB66=""),"Đoàn viên chưa chọn cách tính đoàn phí; ","")&amp;IF(AND('DM_NHAN_SU'!$AB66="Nhập tay",'DM_NHAN_SU'!$AC66&gt;'THAM_SO'!$M$26),"Đoàn phí nhập tay vượt trần thông dụng; ","")&amp;IF('NGHI_PHEP'!$L66&lt;&gt;"","Phép: "&amp;'NGHI_PHEP'!$L66,"")&amp;IF('CHE_DO_BHXH'!$AA66&lt;&gt;"","BHXH: "&amp;'CHE_DO_BHXH'!$AA66,"")&amp;IF('THUONG_T13_TET'!$O66&lt;&gt;"","Thưởng: "&amp;'THUONG_T13_TET'!$O66,"")&amp;IF('QT_NGHI_VIEC'!$AF66&lt;&gt;"","Nghỉ việc: "&amp;'QT_NGHI_VIEC'!$AF66,"")&amp;IF($AX66&lt;0,"Thực lĩnh âm; ","")&amp;IF(OR('DM_NHAN_SU'!$F66&gt;'THAM_SO'!$B$7,AND('DM_NHAN_SU'!$G66&lt;&gt;"",'DM_NHAN_SU'!$G66&lt;'THAM_SO'!$B$6)),"Ngoài kỳ trả lương; ","")))</f>
        <v/>
      </c>
      <c r="BH66" s="232">
        <f>IF('DM_NHAN_SU'!$B66="","",'CHAM_CONG_THANG'!AR66)</f>
        <v/>
      </c>
      <c r="BI66" s="232">
        <f>IF('DM_NHAN_SU'!$B66="","",'CHAM_CONG_THANG'!AS66)</f>
        <v/>
      </c>
      <c r="BJ66" s="232">
        <f>IF('DM_NHAN_SU'!$B66="","",'CHAM_CONG_THANG'!AT66)</f>
        <v/>
      </c>
      <c r="BK66" s="232">
        <f>IF('DM_NHAN_SU'!$B66="","",'CHAM_CONG_THANG'!AU66)</f>
        <v/>
      </c>
      <c r="BL66" s="232">
        <f>IF('DM_NHAN_SU'!$B66="","",'CHAM_CONG_THANG'!AV66)</f>
        <v/>
      </c>
      <c r="BM66" s="232">
        <f>IF('DM_NHAN_SU'!$B66="","",'CHAM_CONG_THANG'!AW66)</f>
        <v/>
      </c>
      <c r="BN66" s="232">
        <f>IF('DM_NHAN_SU'!$B66="","",SUM($K66,$BH66:$BJ66))</f>
        <v/>
      </c>
      <c r="BO66" s="224">
        <f>IF('DM_NHAN_SU'!$B66="","",IF($B66="",0,IF($G66="Tháng",IF($I66&gt;0,'DM_NHAN_SU'!$K66*MIN($BH66+$BJ66,MAX($I66-$K66,0))/$I66,0),IF($G66="Ngày",'DM_NHAN_SU'!$K66*SUM($BH66:$BJ66),IF($G66="Giờ",'DM_NHAN_SU'!$K66*SUM($BH66:$BJ66)*$J66,IF($G66="Sản phẩm",'DM_NHAN_SU'!$AH66*SUM($BH66:$BJ66),0))))))</f>
        <v/>
      </c>
      <c r="BP66" s="224">
        <f>IF('DM_NHAN_SU'!$B66="","",IF('THUONG_T13_TET'!$L66="Có",'THUONG_T13_TET'!$I66,0))</f>
        <v/>
      </c>
      <c r="BQ66" s="224">
        <f>IF('DM_NHAN_SU'!$B66="","",IF('THUONG_T13_TET'!$L66="Có",SUM('THUONG_T13_TET'!$J66:$K66),0))</f>
        <v/>
      </c>
      <c r="BR66" s="224">
        <f>IF('DM_NHAN_SU'!$B66="","",'QT_NGHI_VIEC'!AC66)</f>
        <v/>
      </c>
      <c r="BS66" s="224">
        <f>IF('DM_NHAN_SU'!$B66="","",'QT_NGHI_VIEC'!AB66)</f>
        <v/>
      </c>
      <c r="BT66" s="224">
        <f>IF('DM_NHAN_SU'!$B66="","",IF('CHE_DO_BHXH'!$Z66="Có",'CHE_DO_BHXH'!$W66,0))</f>
        <v/>
      </c>
      <c r="BU66" s="224">
        <f>IF('DM_NHAN_SU'!$B66="","",IF('CHE_DO_BHXH'!$Y66="DN trả thay",$BT66,0))</f>
        <v/>
      </c>
      <c r="BV66" s="224">
        <f>IF('DM_NHAN_SU'!$B66="","",IF(OR('DM_NHAN_SU'!$AA66&lt;&gt;"Có",'CHE_DO_BHXH'!$O66&gt;=1,SUM('CHE_DO_BHXH'!$D66,'CHE_DO_BHXH'!$G66,'CHE_DO_BHXH'!$K66)&gt;=24,AND($I66&gt;0,$BM66&gt;=$I66)),0,IF('DM_NHAN_SU'!$AB66="Không",0,IF('DM_NHAN_SU'!$AB66="Nhập tay",'DM_NHAN_SU'!$AC66,IF('DM_NHAN_SU'!$AB66="Theo thực nhận",MIN(MAX($AT66-$AU66-$AV66-$AW66,0)*'THAM_SO'!$M$23,'THAM_SO'!$M$26),MIN($AE66*'THAM_SO'!$M$23,'THAM_SO'!$M$26))))))</f>
        <v/>
      </c>
      <c r="BW66" s="224">
        <f>IF('DM_NHAN_SU'!$B66="","",$AX66+$BU66)</f>
        <v/>
      </c>
    </row>
    <row r="67">
      <c r="A67" s="145">
        <f>IF('DM_NHAN_SU'!$B67="","",IF($B67="","",ROW()-5))</f>
        <v/>
      </c>
      <c r="B67" s="145">
        <f>IF('DM_NHAN_SU'!$B67="","",'DM_NHAN_SU'!B67)</f>
        <v/>
      </c>
      <c r="C67" s="145">
        <f>IF('DM_NHAN_SU'!$B67="","",'DM_NHAN_SU'!C67)</f>
        <v/>
      </c>
      <c r="D67" s="145">
        <f>IF('DM_NHAN_SU'!$B67="","",'DM_NHAN_SU'!D67)</f>
        <v/>
      </c>
      <c r="E67" s="145">
        <f>IF('DM_NHAN_SU'!$B67="","",'DM_NHAN_SU'!E67)</f>
        <v/>
      </c>
      <c r="F67" s="145">
        <f>IF('DM_NHAN_SU'!$B67="","",'DM_NHAN_SU'!I67)</f>
        <v/>
      </c>
      <c r="G67" s="145">
        <f>IF('DM_NHAN_SU'!$B67="","",'DM_NHAN_SU'!J67)</f>
        <v/>
      </c>
      <c r="H67" s="145">
        <f>IF('DM_NHAN_SU'!$B67="","",IF('DM_NHAN_SU'!H67="",'THAM_SO'!$B$11,'DM_NHAN_SU'!H67))</f>
        <v/>
      </c>
      <c r="I67" s="232">
        <f>IF('DM_NHAN_SU'!$B67="","",IF('DM_NHAN_SU'!L67&gt;0,'DM_NHAN_SU'!L67,'THAM_SO'!$B$9))</f>
        <v/>
      </c>
      <c r="J67" s="232">
        <f>IF('DM_NHAN_SU'!$B67="","",IF('DM_NHAN_SU'!M67&gt;0,'DM_NHAN_SU'!M67,'THAM_SO'!$B$10))</f>
        <v/>
      </c>
      <c r="K67" s="232">
        <f>IF('DM_NHAN_SU'!$B67="","",'CHAM_CONG_THANG'!AC67)</f>
        <v/>
      </c>
      <c r="L67" s="232">
        <f>IF('DM_NHAN_SU'!$B67="","",'CHAM_CONG_THANG'!AD67)</f>
        <v/>
      </c>
      <c r="M67" s="232">
        <f>IF('DM_NHAN_SU'!$B67="","",'CHAM_CONG_THANG'!AE67)</f>
        <v/>
      </c>
      <c r="N67" s="232">
        <f>IF('DM_NHAN_SU'!$B67="","",'CHAM_CONG_THANG'!N67)</f>
        <v/>
      </c>
      <c r="O67" s="224">
        <f>IF('DM_NHAN_SU'!$B67="","",IF($B67="","",IF($G67="Tháng",IF($I67&gt;0,'DM_NHAN_SU'!$K67*MIN($K67,$I67)/$I67,0),IF($G67="Ngày",'DM_NHAN_SU'!$K67*$K67,IF($G67="Giờ",'DM_NHAN_SU'!$K67*$L67,IF($G67="Sản phẩm",'DM_NHAN_SU'!$K67*$N67,0))))))</f>
        <v/>
      </c>
      <c r="P67" s="224">
        <f>IF('DM_NHAN_SU'!$B67="","",'CHAM_CONG_THANG'!O67)</f>
        <v/>
      </c>
      <c r="Q67" s="224">
        <f>IF('DM_NHAN_SU'!$B67="","",'CHAM_CONG_THANG'!P67)</f>
        <v/>
      </c>
      <c r="R67" s="224">
        <f>IF('DM_NHAN_SU'!$B67="","",'CHAM_CONG_THANG'!Q67)</f>
        <v/>
      </c>
      <c r="S67" s="224">
        <f>IF('DM_NHAN_SU'!$B67="","",'CHAM_CONG_THANG'!R67)</f>
        <v/>
      </c>
      <c r="T67" s="224">
        <f>IF('DM_NHAN_SU'!$B67="","",'CHAM_CONG_THANG'!S67)</f>
        <v/>
      </c>
      <c r="U67" s="224">
        <f>IF('DM_NHAN_SU'!$B67="","",MIN($T67,'THAM_SO'!$F$6))</f>
        <v/>
      </c>
      <c r="V67" s="224">
        <f>IF('DM_NHAN_SU'!$B67="","",MAX($T67-$U67,0))</f>
        <v/>
      </c>
      <c r="W67" s="224">
        <f>IF('DM_NHAN_SU'!$B67="","",'CHAM_CONG_THANG'!T67)</f>
        <v/>
      </c>
      <c r="X67" s="224">
        <f>IF('DM_NHAN_SU'!$B67="","",'CHAM_CONG_THANG'!U67)</f>
        <v/>
      </c>
      <c r="Y67" s="224">
        <f>IF('DM_NHAN_SU'!$B67="","",IF($B67="",0,IF('DM_NHAN_SU'!$Q67&gt;0,'DM_NHAN_SU'!$Q67,IF($G67="Tháng",IF($I67*$J67&gt;0,'DM_NHAN_SU'!$K67/($I67*$J67),0),IF($G67="Ngày",IF($J67&gt;0,'DM_NHAN_SU'!$K67/$J67,0),IF($G67="Giờ",'DM_NHAN_SU'!$K67,0))))))</f>
        <v/>
      </c>
      <c r="Z67" s="224">
        <f>IF('DM_NHAN_SU'!$B67="","",$Y67*($M67*'THAM_SO'!$C$22+'CHAM_CONG_THANG'!$AF67*'THAM_SO'!$C$19+'CHAM_CONG_THANG'!$AG67*'THAM_SO'!$C$20+'CHAM_CONG_THANG'!$AH67*'THAM_SO'!$C$21+'CHAM_CONG_THANG'!$AI67*'THAM_SO'!$C$23+'CHAM_CONG_THANG'!$AJ67*'THAM_SO'!$C$24+'CHAM_CONG_THANG'!$AK67*'THAM_SO'!$C$25))</f>
        <v/>
      </c>
      <c r="AA67" s="224">
        <f>IF('DM_NHAN_SU'!$B67="","",MAX(0,$Y67*($M67*IF('THAM_SO'!$C$22&gt;='THAM_SO'!$B$22,'THAM_SO'!$B$22,0)+'CHAM_CONG_THANG'!$AF67*IF('THAM_SO'!$C$19&gt;='THAM_SO'!$B$19,'THAM_SO'!$B$19,0)+'CHAM_CONG_THANG'!$AG67*IF('THAM_SO'!$C$20&gt;='THAM_SO'!$B$20,'THAM_SO'!$B$20,0)+'CHAM_CONG_THANG'!$AH67*IF('THAM_SO'!$C$21&gt;='THAM_SO'!$B$21,'THAM_SO'!$B$21,0)+'CHAM_CONG_THANG'!$AI67*IF('THAM_SO'!$C$23&gt;='THAM_SO'!$B$23,'THAM_SO'!$B$23,0)+'CHAM_CONG_THANG'!$AJ67*IF('THAM_SO'!$C$24&gt;='THAM_SO'!$B$24,'THAM_SO'!$B$24,0)+'CHAM_CONG_THANG'!$AK67*IF('THAM_SO'!$C$25&gt;='THAM_SO'!$B$25,'THAM_SO'!$B$25,0))-'CHAM_CONG_THANG'!$V67))</f>
        <v/>
      </c>
      <c r="AB67" s="224">
        <f>IF('DM_NHAN_SU'!$B67="","",MAX($Z67-$AA67,0))</f>
        <v/>
      </c>
      <c r="AC67" s="224">
        <f>IF('DM_NHAN_SU'!$B67="","",$O67+$P67+$Q67+$R67+$S67+$V67+$AB67+$BO67+$BP67+$BQ67+$BR67)</f>
        <v/>
      </c>
      <c r="AD67" s="224">
        <f>IF('DM_NHAN_SU'!$B67="","",'DM_NHAN_SU'!N67+'DM_NHAN_SU'!O67+'DM_NHAN_SU'!P67)</f>
        <v/>
      </c>
      <c r="AE67" s="224">
        <f>IF('DM_NHAN_SU'!$B67="","",IF(OR('DM_NHAN_SU'!$R67&lt;&gt;"Có",'CHAM_CONG_THANG'!$AA67="Có",$BL67&gt;=14,$AD67&lt;=0),0,MIN(MAX($AD67,'THAM_SO'!$M$6),'THAM_SO'!$M$7)))</f>
        <v/>
      </c>
      <c r="AF67" s="224">
        <f>IF('DM_NHAN_SU'!$B67="","",IF(OR('DM_NHAN_SU'!$S67&lt;&gt;"Có",'CHAM_CONG_THANG'!$AA67="Có",$BL67&gt;=14,$AD67&lt;=0),0,MIN(MAX($AD67,VLOOKUP($H67,'THAM_SO'!$L$17:$P$20,4,FALSE)),VLOOKUP($H67,'THAM_SO'!$L$17:$P$20,5,FALSE))))</f>
        <v/>
      </c>
      <c r="AG67" s="224">
        <f>IF('DM_NHAN_SU'!$B67="","",$AE67*'THAM_SO'!$M$8)</f>
        <v/>
      </c>
      <c r="AH67" s="224">
        <f>IF('DM_NHAN_SU'!$B67="","",$AE67*'THAM_SO'!$M$9)</f>
        <v/>
      </c>
      <c r="AI67" s="224">
        <f>IF('DM_NHAN_SU'!$B67="","",$AF67*'THAM_SO'!$M$10)</f>
        <v/>
      </c>
      <c r="AJ67" s="224">
        <f>IF('DM_NHAN_SU'!$B67="","",SUM($AG67:$AI67))</f>
        <v/>
      </c>
      <c r="AK67" s="224">
        <f>IF('DM_NHAN_SU'!$B67="","",IF($B67="",0,'THAM_SO'!$F$4))</f>
        <v/>
      </c>
      <c r="AL67" s="224">
        <f>IF('DM_NHAN_SU'!$B67="","",IF($B67="",0,'DM_NHAN_SU'!$T67*'THAM_SO'!$F$5))</f>
        <v/>
      </c>
      <c r="AM67" s="224">
        <f>IF('DM_NHAN_SU'!$B67="","",'CHAM_CONG_THANG'!W67)</f>
        <v/>
      </c>
      <c r="AN67" s="224">
        <f>IF('DM_NHAN_SU'!$B67="","",MAX($AC67-$AK67-$AL67-$AM67,0))</f>
        <v/>
      </c>
      <c r="AO67" s="224">
        <f>IF('DM_NHAN_SU'!$B67="","",IF($B67="","",IF($F67="Net",IF($AC67&lt;=$AK67+$AL67+$AM67,$AC67+$AJ67,$AJ67+$AK67+$AL67+$AM67+IF($AN67&lt;='THAM_SO'!$J$10,($AN67-'THAM_SO'!$I$10)/(1-'THAM_SO'!$H$10),IF($AN67&lt;='THAM_SO'!$J$11,($AN67-'THAM_SO'!$I$11)/(1-'THAM_SO'!$H$11),IF($AN67&lt;='THAM_SO'!$J$12,($AN67-'THAM_SO'!$I$12)/(1-'THAM_SO'!$H$12),IF($AN67&lt;='THAM_SO'!$J$13,($AN67-'THAM_SO'!$I$13)/(1-'THAM_SO'!$H$13),($AN67-'THAM_SO'!$I$14)/(1-'THAM_SO'!$H$14)))))),$AC67)))</f>
        <v/>
      </c>
      <c r="AP67" s="224">
        <f>IF('DM_NHAN_SU'!$B67="","",$U67+$W67+$X67+$AA67+$BS67)</f>
        <v/>
      </c>
      <c r="AQ67" s="224">
        <f>IF('DM_NHAN_SU'!$B67="","",MAX($AO67-$AJ67-$AK67-$AL67-$AM67,0))</f>
        <v/>
      </c>
      <c r="AR67" s="224">
        <f>IF('DM_NHAN_SU'!$B67="","",IF($AQ67&lt;=0,0,$AQ67*VLOOKUP($AQ67,'THAM_SO'!$F$10:$I$14,3,TRUE)-VLOOKUP($AQ67,'THAM_SO'!$F$10:$I$14,4,TRUE)))</f>
        <v/>
      </c>
      <c r="AS67" s="224">
        <f>IF('DM_NHAN_SU'!$B67="","",$AO67+$AP67)</f>
        <v/>
      </c>
      <c r="AT67" s="224">
        <f>IF('DM_NHAN_SU'!$B67="","",$AS67-$AJ67-$AR67)</f>
        <v/>
      </c>
      <c r="AU67" s="224">
        <f>IF('DM_NHAN_SU'!$B67="","",'CHAM_CONG_THANG'!X67)</f>
        <v/>
      </c>
      <c r="AV67" s="224">
        <f>IF('DM_NHAN_SU'!$B67="","",'CHAM_CONG_THANG'!Y67+'QT_NGHI_VIEC'!AD67)</f>
        <v/>
      </c>
      <c r="AW67" s="224">
        <f>IF('DM_NHAN_SU'!$B67="","",'CHAM_CONG_THANG'!Z67)</f>
        <v/>
      </c>
      <c r="AX67" s="224">
        <f>IF('DM_NHAN_SU'!$B67="","",$AT67-$AU67-$AV67-$AW67-$BV67)</f>
        <v/>
      </c>
      <c r="AY67" s="224">
        <f>IF('DM_NHAN_SU'!$B67="","",$AE67*'THAM_SO'!$M$11)</f>
        <v/>
      </c>
      <c r="AZ67" s="224">
        <f>IF('DM_NHAN_SU'!$B67="","",$AE67*'THAM_SO'!$M$12)</f>
        <v/>
      </c>
      <c r="BA67" s="224">
        <f>IF('DM_NHAN_SU'!$B67="","",$AF67*'THAM_SO'!$M$13)</f>
        <v/>
      </c>
      <c r="BB67" s="224">
        <f>IF('DM_NHAN_SU'!$B67="","",$AE67*'THAM_SO'!$M$14)</f>
        <v/>
      </c>
      <c r="BC67" s="224">
        <f>IF('DM_NHAN_SU'!$B67="","",SUM($AY67:$BB67))</f>
        <v/>
      </c>
      <c r="BD67" s="224">
        <f>IF('DM_NHAN_SU'!$B67="","",$AS67+$BC67)</f>
        <v/>
      </c>
      <c r="BE67" s="224">
        <f>IF('DM_NHAN_SU'!$B67="","",VLOOKUP($H67,'THAM_SO'!$L$17:$P$20,2,FALSE))</f>
        <v/>
      </c>
      <c r="BF67" s="224">
        <f>IF('DM_NHAN_SU'!$B67="","",VLOOKUP($H67,'THAM_SO'!$L$17:$P$20,3,FALSE))</f>
        <v/>
      </c>
      <c r="BG67" s="150">
        <f>IF('DM_NHAN_SU'!$B67="","",IF($B67="","",IF(COUNTIF('DM_NHAN_SU'!$B$6:$B$155,$B67)&gt;1,"Trùng mã NV; ","")&amp;IF(OR($F67="",$G67=""),"Thiếu loại/hình thức lương; ","")&amp;IF('CHAM_CONG_THANG'!$D67="","Chưa chọn nguồn công; ","")&amp;IF(AND('CHAM_CONG_THANG'!$D67="Theo ngày",COUNTIF('CHAM_CONG_NGAY'!$B$6:$B$4655,$B67)=0),"Chưa có chấm công ngày; ","")&amp;IF(OR($I67&lt;=0,$J67&lt;=0),"Thiếu công/giờ chuẩn; ","")&amp;IF(AND($G67="Tháng",'DM_NHAN_SU'!$K67&lt;$BE67),"Lương tháng dưới tối thiểu vùng; ","")&amp;IF(AND($G67="Ngày",'DM_NHAN_SU'!$K67/$J67&lt;$BF67),"Lương ngày quy đổi dưới tối thiểu giờ; ","")&amp;IF(AND($G67="Giờ",'DM_NHAN_SU'!$K67&lt;$BF67),"Lương giờ dưới tối thiểu vùng; ","")&amp;IF(AND($G67="Sản phẩm",$L67&gt;0,$O67/$L67&lt;$BF67),"Lương SP quy đổi dưới tối thiểu giờ; ","")&amp;IF(OR('THAM_SO'!$C$19&lt;'THAM_SO'!$B$19,'THAM_SO'!$C$20&lt;'THAM_SO'!$B$20,'THAM_SO'!$C$21&lt;'THAM_SO'!$B$21,'THAM_SO'!$C$22&lt;'THAM_SO'!$B$22,'THAM_SO'!$C$23&lt;'THAM_SO'!$B$23,'THAM_SO'!$C$24&lt;'THAM_SO'!$B$24,'THAM_SO'!$C$25&lt;'THAM_SO'!$B$25),"Hệ số OT/đêm DN thấp hơn luật; ","")&amp;IF(AND('DM_NHAN_SU'!$R67="Có",$AD67&lt;=0),"Thiếu căn cứ đóng BH; ","")&amp;IF(AND($AD67&gt;0,$AD67&lt;'THAM_SO'!$M$6),"Căn cứ BH dưới sàn – đã nâng sàn; ","")&amp;IF($AD67&gt;'THAM_SO'!$M$7,"Căn cứ BH vượt trần – đã giới hạn; ","")&amp;IF(AND($F67="Net",SUM('CHAM_CONG_THANG'!$AF67:$AK67)&gt;0,'DM_NHAN_SU'!$Q67&lt;=0),"Net có OT nhưng chưa khai lương giờ OT; ","")&amp;IF('CHAM_CONG_THANG'!$V67&gt;$Z67,"Phần OT không miễn lớn hơn tiền OT; ","")&amp;IF(AND($F67="Net",ABS($AT67-$AC67-$AP67)&gt;1),"Lệch quy đổi Net; ","")&amp;IF(AND($BH67&gt;0,'DM_NHAN_SU'!$AD67=""),"Có phép năm nhưng đang tạm dùng 12 ngày; ","")&amp;IF(AND($G67="Sản phẩm",SUM($BH67:$BJ67)&gt;0,'DM_NHAN_SU'!$AH67&lt;=0),"Lương sản phẩm thiếu đơn giá ngày phép/lễ; ","")&amp;IF(AND($BL67&gt;=14,'CHAM_CONG_THANG'!$AA67&lt;&gt;"Có"),"Thai sản từ 14 ngày: file tự dừng đóng BH – kiểm tra hồ sơ; ","")&amp;IF(AND('DM_NHAN_SU'!$AA67="Có",'DM_NHAN_SU'!$AB67=""),"Đoàn viên chưa chọn cách tính đoàn phí; ","")&amp;IF(AND('DM_NHAN_SU'!$AB67="Nhập tay",'DM_NHAN_SU'!$AC67&gt;'THAM_SO'!$M$26),"Đoàn phí nhập tay vượt trần thông dụng; ","")&amp;IF('NGHI_PHEP'!$L67&lt;&gt;"","Phép: "&amp;'NGHI_PHEP'!$L67,"")&amp;IF('CHE_DO_BHXH'!$AA67&lt;&gt;"","BHXH: "&amp;'CHE_DO_BHXH'!$AA67,"")&amp;IF('THUONG_T13_TET'!$O67&lt;&gt;"","Thưởng: "&amp;'THUONG_T13_TET'!$O67,"")&amp;IF('QT_NGHI_VIEC'!$AF67&lt;&gt;"","Nghỉ việc: "&amp;'QT_NGHI_VIEC'!$AF67,"")&amp;IF($AX67&lt;0,"Thực lĩnh âm; ","")&amp;IF(OR('DM_NHAN_SU'!$F67&gt;'THAM_SO'!$B$7,AND('DM_NHAN_SU'!$G67&lt;&gt;"",'DM_NHAN_SU'!$G67&lt;'THAM_SO'!$B$6)),"Ngoài kỳ trả lương; ","")))</f>
        <v/>
      </c>
      <c r="BH67" s="232">
        <f>IF('DM_NHAN_SU'!$B67="","",'CHAM_CONG_THANG'!AR67)</f>
        <v/>
      </c>
      <c r="BI67" s="232">
        <f>IF('DM_NHAN_SU'!$B67="","",'CHAM_CONG_THANG'!AS67)</f>
        <v/>
      </c>
      <c r="BJ67" s="232">
        <f>IF('DM_NHAN_SU'!$B67="","",'CHAM_CONG_THANG'!AT67)</f>
        <v/>
      </c>
      <c r="BK67" s="232">
        <f>IF('DM_NHAN_SU'!$B67="","",'CHAM_CONG_THANG'!AU67)</f>
        <v/>
      </c>
      <c r="BL67" s="232">
        <f>IF('DM_NHAN_SU'!$B67="","",'CHAM_CONG_THANG'!AV67)</f>
        <v/>
      </c>
      <c r="BM67" s="232">
        <f>IF('DM_NHAN_SU'!$B67="","",'CHAM_CONG_THANG'!AW67)</f>
        <v/>
      </c>
      <c r="BN67" s="232">
        <f>IF('DM_NHAN_SU'!$B67="","",SUM($K67,$BH67:$BJ67))</f>
        <v/>
      </c>
      <c r="BO67" s="224">
        <f>IF('DM_NHAN_SU'!$B67="","",IF($B67="",0,IF($G67="Tháng",IF($I67&gt;0,'DM_NHAN_SU'!$K67*MIN($BH67+$BJ67,MAX($I67-$K67,0))/$I67,0),IF($G67="Ngày",'DM_NHAN_SU'!$K67*SUM($BH67:$BJ67),IF($G67="Giờ",'DM_NHAN_SU'!$K67*SUM($BH67:$BJ67)*$J67,IF($G67="Sản phẩm",'DM_NHAN_SU'!$AH67*SUM($BH67:$BJ67),0))))))</f>
        <v/>
      </c>
      <c r="BP67" s="224">
        <f>IF('DM_NHAN_SU'!$B67="","",IF('THUONG_T13_TET'!$L67="Có",'THUONG_T13_TET'!$I67,0))</f>
        <v/>
      </c>
      <c r="BQ67" s="224">
        <f>IF('DM_NHAN_SU'!$B67="","",IF('THUONG_T13_TET'!$L67="Có",SUM('THUONG_T13_TET'!$J67:$K67),0))</f>
        <v/>
      </c>
      <c r="BR67" s="224">
        <f>IF('DM_NHAN_SU'!$B67="","",'QT_NGHI_VIEC'!AC67)</f>
        <v/>
      </c>
      <c r="BS67" s="224">
        <f>IF('DM_NHAN_SU'!$B67="","",'QT_NGHI_VIEC'!AB67)</f>
        <v/>
      </c>
      <c r="BT67" s="224">
        <f>IF('DM_NHAN_SU'!$B67="","",IF('CHE_DO_BHXH'!$Z67="Có",'CHE_DO_BHXH'!$W67,0))</f>
        <v/>
      </c>
      <c r="BU67" s="224">
        <f>IF('DM_NHAN_SU'!$B67="","",IF('CHE_DO_BHXH'!$Y67="DN trả thay",$BT67,0))</f>
        <v/>
      </c>
      <c r="BV67" s="224">
        <f>IF('DM_NHAN_SU'!$B67="","",IF(OR('DM_NHAN_SU'!$AA67&lt;&gt;"Có",'CHE_DO_BHXH'!$O67&gt;=1,SUM('CHE_DO_BHXH'!$D67,'CHE_DO_BHXH'!$G67,'CHE_DO_BHXH'!$K67)&gt;=24,AND($I67&gt;0,$BM67&gt;=$I67)),0,IF('DM_NHAN_SU'!$AB67="Không",0,IF('DM_NHAN_SU'!$AB67="Nhập tay",'DM_NHAN_SU'!$AC67,IF('DM_NHAN_SU'!$AB67="Theo thực nhận",MIN(MAX($AT67-$AU67-$AV67-$AW67,0)*'THAM_SO'!$M$23,'THAM_SO'!$M$26),MIN($AE67*'THAM_SO'!$M$23,'THAM_SO'!$M$26))))))</f>
        <v/>
      </c>
      <c r="BW67" s="224">
        <f>IF('DM_NHAN_SU'!$B67="","",$AX67+$BU67)</f>
        <v/>
      </c>
    </row>
    <row r="68">
      <c r="A68" s="145">
        <f>IF('DM_NHAN_SU'!$B68="","",IF($B68="","",ROW()-5))</f>
        <v/>
      </c>
      <c r="B68" s="145">
        <f>IF('DM_NHAN_SU'!$B68="","",'DM_NHAN_SU'!B68)</f>
        <v/>
      </c>
      <c r="C68" s="145">
        <f>IF('DM_NHAN_SU'!$B68="","",'DM_NHAN_SU'!C68)</f>
        <v/>
      </c>
      <c r="D68" s="145">
        <f>IF('DM_NHAN_SU'!$B68="","",'DM_NHAN_SU'!D68)</f>
        <v/>
      </c>
      <c r="E68" s="145">
        <f>IF('DM_NHAN_SU'!$B68="","",'DM_NHAN_SU'!E68)</f>
        <v/>
      </c>
      <c r="F68" s="145">
        <f>IF('DM_NHAN_SU'!$B68="","",'DM_NHAN_SU'!I68)</f>
        <v/>
      </c>
      <c r="G68" s="145">
        <f>IF('DM_NHAN_SU'!$B68="","",'DM_NHAN_SU'!J68)</f>
        <v/>
      </c>
      <c r="H68" s="145">
        <f>IF('DM_NHAN_SU'!$B68="","",IF('DM_NHAN_SU'!H68="",'THAM_SO'!$B$11,'DM_NHAN_SU'!H68))</f>
        <v/>
      </c>
      <c r="I68" s="232">
        <f>IF('DM_NHAN_SU'!$B68="","",IF('DM_NHAN_SU'!L68&gt;0,'DM_NHAN_SU'!L68,'THAM_SO'!$B$9))</f>
        <v/>
      </c>
      <c r="J68" s="232">
        <f>IF('DM_NHAN_SU'!$B68="","",IF('DM_NHAN_SU'!M68&gt;0,'DM_NHAN_SU'!M68,'THAM_SO'!$B$10))</f>
        <v/>
      </c>
      <c r="K68" s="232">
        <f>IF('DM_NHAN_SU'!$B68="","",'CHAM_CONG_THANG'!AC68)</f>
        <v/>
      </c>
      <c r="L68" s="232">
        <f>IF('DM_NHAN_SU'!$B68="","",'CHAM_CONG_THANG'!AD68)</f>
        <v/>
      </c>
      <c r="M68" s="232">
        <f>IF('DM_NHAN_SU'!$B68="","",'CHAM_CONG_THANG'!AE68)</f>
        <v/>
      </c>
      <c r="N68" s="232">
        <f>IF('DM_NHAN_SU'!$B68="","",'CHAM_CONG_THANG'!N68)</f>
        <v/>
      </c>
      <c r="O68" s="224">
        <f>IF('DM_NHAN_SU'!$B68="","",IF($B68="","",IF($G68="Tháng",IF($I68&gt;0,'DM_NHAN_SU'!$K68*MIN($K68,$I68)/$I68,0),IF($G68="Ngày",'DM_NHAN_SU'!$K68*$K68,IF($G68="Giờ",'DM_NHAN_SU'!$K68*$L68,IF($G68="Sản phẩm",'DM_NHAN_SU'!$K68*$N68,0))))))</f>
        <v/>
      </c>
      <c r="P68" s="224">
        <f>IF('DM_NHAN_SU'!$B68="","",'CHAM_CONG_THANG'!O68)</f>
        <v/>
      </c>
      <c r="Q68" s="224">
        <f>IF('DM_NHAN_SU'!$B68="","",'CHAM_CONG_THANG'!P68)</f>
        <v/>
      </c>
      <c r="R68" s="224">
        <f>IF('DM_NHAN_SU'!$B68="","",'CHAM_CONG_THANG'!Q68)</f>
        <v/>
      </c>
      <c r="S68" s="224">
        <f>IF('DM_NHAN_SU'!$B68="","",'CHAM_CONG_THANG'!R68)</f>
        <v/>
      </c>
      <c r="T68" s="224">
        <f>IF('DM_NHAN_SU'!$B68="","",'CHAM_CONG_THANG'!S68)</f>
        <v/>
      </c>
      <c r="U68" s="224">
        <f>IF('DM_NHAN_SU'!$B68="","",MIN($T68,'THAM_SO'!$F$6))</f>
        <v/>
      </c>
      <c r="V68" s="224">
        <f>IF('DM_NHAN_SU'!$B68="","",MAX($T68-$U68,0))</f>
        <v/>
      </c>
      <c r="W68" s="224">
        <f>IF('DM_NHAN_SU'!$B68="","",'CHAM_CONG_THANG'!T68)</f>
        <v/>
      </c>
      <c r="X68" s="224">
        <f>IF('DM_NHAN_SU'!$B68="","",'CHAM_CONG_THANG'!U68)</f>
        <v/>
      </c>
      <c r="Y68" s="224">
        <f>IF('DM_NHAN_SU'!$B68="","",IF($B68="",0,IF('DM_NHAN_SU'!$Q68&gt;0,'DM_NHAN_SU'!$Q68,IF($G68="Tháng",IF($I68*$J68&gt;0,'DM_NHAN_SU'!$K68/($I68*$J68),0),IF($G68="Ngày",IF($J68&gt;0,'DM_NHAN_SU'!$K68/$J68,0),IF($G68="Giờ",'DM_NHAN_SU'!$K68,0))))))</f>
        <v/>
      </c>
      <c r="Z68" s="224">
        <f>IF('DM_NHAN_SU'!$B68="","",$Y68*($M68*'THAM_SO'!$C$22+'CHAM_CONG_THANG'!$AF68*'THAM_SO'!$C$19+'CHAM_CONG_THANG'!$AG68*'THAM_SO'!$C$20+'CHAM_CONG_THANG'!$AH68*'THAM_SO'!$C$21+'CHAM_CONG_THANG'!$AI68*'THAM_SO'!$C$23+'CHAM_CONG_THANG'!$AJ68*'THAM_SO'!$C$24+'CHAM_CONG_THANG'!$AK68*'THAM_SO'!$C$25))</f>
        <v/>
      </c>
      <c r="AA68" s="224">
        <f>IF('DM_NHAN_SU'!$B68="","",MAX(0,$Y68*($M68*IF('THAM_SO'!$C$22&gt;='THAM_SO'!$B$22,'THAM_SO'!$B$22,0)+'CHAM_CONG_THANG'!$AF68*IF('THAM_SO'!$C$19&gt;='THAM_SO'!$B$19,'THAM_SO'!$B$19,0)+'CHAM_CONG_THANG'!$AG68*IF('THAM_SO'!$C$20&gt;='THAM_SO'!$B$20,'THAM_SO'!$B$20,0)+'CHAM_CONG_THANG'!$AH68*IF('THAM_SO'!$C$21&gt;='THAM_SO'!$B$21,'THAM_SO'!$B$21,0)+'CHAM_CONG_THANG'!$AI68*IF('THAM_SO'!$C$23&gt;='THAM_SO'!$B$23,'THAM_SO'!$B$23,0)+'CHAM_CONG_THANG'!$AJ68*IF('THAM_SO'!$C$24&gt;='THAM_SO'!$B$24,'THAM_SO'!$B$24,0)+'CHAM_CONG_THANG'!$AK68*IF('THAM_SO'!$C$25&gt;='THAM_SO'!$B$25,'THAM_SO'!$B$25,0))-'CHAM_CONG_THANG'!$V68))</f>
        <v/>
      </c>
      <c r="AB68" s="224">
        <f>IF('DM_NHAN_SU'!$B68="","",MAX($Z68-$AA68,0))</f>
        <v/>
      </c>
      <c r="AC68" s="224">
        <f>IF('DM_NHAN_SU'!$B68="","",$O68+$P68+$Q68+$R68+$S68+$V68+$AB68+$BO68+$BP68+$BQ68+$BR68)</f>
        <v/>
      </c>
      <c r="AD68" s="224">
        <f>IF('DM_NHAN_SU'!$B68="","",'DM_NHAN_SU'!N68+'DM_NHAN_SU'!O68+'DM_NHAN_SU'!P68)</f>
        <v/>
      </c>
      <c r="AE68" s="224">
        <f>IF('DM_NHAN_SU'!$B68="","",IF(OR('DM_NHAN_SU'!$R68&lt;&gt;"Có",'CHAM_CONG_THANG'!$AA68="Có",$BL68&gt;=14,$AD68&lt;=0),0,MIN(MAX($AD68,'THAM_SO'!$M$6),'THAM_SO'!$M$7)))</f>
        <v/>
      </c>
      <c r="AF68" s="224">
        <f>IF('DM_NHAN_SU'!$B68="","",IF(OR('DM_NHAN_SU'!$S68&lt;&gt;"Có",'CHAM_CONG_THANG'!$AA68="Có",$BL68&gt;=14,$AD68&lt;=0),0,MIN(MAX($AD68,VLOOKUP($H68,'THAM_SO'!$L$17:$P$20,4,FALSE)),VLOOKUP($H68,'THAM_SO'!$L$17:$P$20,5,FALSE))))</f>
        <v/>
      </c>
      <c r="AG68" s="224">
        <f>IF('DM_NHAN_SU'!$B68="","",$AE68*'THAM_SO'!$M$8)</f>
        <v/>
      </c>
      <c r="AH68" s="224">
        <f>IF('DM_NHAN_SU'!$B68="","",$AE68*'THAM_SO'!$M$9)</f>
        <v/>
      </c>
      <c r="AI68" s="224">
        <f>IF('DM_NHAN_SU'!$B68="","",$AF68*'THAM_SO'!$M$10)</f>
        <v/>
      </c>
      <c r="AJ68" s="224">
        <f>IF('DM_NHAN_SU'!$B68="","",SUM($AG68:$AI68))</f>
        <v/>
      </c>
      <c r="AK68" s="224">
        <f>IF('DM_NHAN_SU'!$B68="","",IF($B68="",0,'THAM_SO'!$F$4))</f>
        <v/>
      </c>
      <c r="AL68" s="224">
        <f>IF('DM_NHAN_SU'!$B68="","",IF($B68="",0,'DM_NHAN_SU'!$T68*'THAM_SO'!$F$5))</f>
        <v/>
      </c>
      <c r="AM68" s="224">
        <f>IF('DM_NHAN_SU'!$B68="","",'CHAM_CONG_THANG'!W68)</f>
        <v/>
      </c>
      <c r="AN68" s="224">
        <f>IF('DM_NHAN_SU'!$B68="","",MAX($AC68-$AK68-$AL68-$AM68,0))</f>
        <v/>
      </c>
      <c r="AO68" s="224">
        <f>IF('DM_NHAN_SU'!$B68="","",IF($B68="","",IF($F68="Net",IF($AC68&lt;=$AK68+$AL68+$AM68,$AC68+$AJ68,$AJ68+$AK68+$AL68+$AM68+IF($AN68&lt;='THAM_SO'!$J$10,($AN68-'THAM_SO'!$I$10)/(1-'THAM_SO'!$H$10),IF($AN68&lt;='THAM_SO'!$J$11,($AN68-'THAM_SO'!$I$11)/(1-'THAM_SO'!$H$11),IF($AN68&lt;='THAM_SO'!$J$12,($AN68-'THAM_SO'!$I$12)/(1-'THAM_SO'!$H$12),IF($AN68&lt;='THAM_SO'!$J$13,($AN68-'THAM_SO'!$I$13)/(1-'THAM_SO'!$H$13),($AN68-'THAM_SO'!$I$14)/(1-'THAM_SO'!$H$14)))))),$AC68)))</f>
        <v/>
      </c>
      <c r="AP68" s="224">
        <f>IF('DM_NHAN_SU'!$B68="","",$U68+$W68+$X68+$AA68+$BS68)</f>
        <v/>
      </c>
      <c r="AQ68" s="224">
        <f>IF('DM_NHAN_SU'!$B68="","",MAX($AO68-$AJ68-$AK68-$AL68-$AM68,0))</f>
        <v/>
      </c>
      <c r="AR68" s="224">
        <f>IF('DM_NHAN_SU'!$B68="","",IF($AQ68&lt;=0,0,$AQ68*VLOOKUP($AQ68,'THAM_SO'!$F$10:$I$14,3,TRUE)-VLOOKUP($AQ68,'THAM_SO'!$F$10:$I$14,4,TRUE)))</f>
        <v/>
      </c>
      <c r="AS68" s="224">
        <f>IF('DM_NHAN_SU'!$B68="","",$AO68+$AP68)</f>
        <v/>
      </c>
      <c r="AT68" s="224">
        <f>IF('DM_NHAN_SU'!$B68="","",$AS68-$AJ68-$AR68)</f>
        <v/>
      </c>
      <c r="AU68" s="224">
        <f>IF('DM_NHAN_SU'!$B68="","",'CHAM_CONG_THANG'!X68)</f>
        <v/>
      </c>
      <c r="AV68" s="224">
        <f>IF('DM_NHAN_SU'!$B68="","",'CHAM_CONG_THANG'!Y68+'QT_NGHI_VIEC'!AD68)</f>
        <v/>
      </c>
      <c r="AW68" s="224">
        <f>IF('DM_NHAN_SU'!$B68="","",'CHAM_CONG_THANG'!Z68)</f>
        <v/>
      </c>
      <c r="AX68" s="224">
        <f>IF('DM_NHAN_SU'!$B68="","",$AT68-$AU68-$AV68-$AW68-$BV68)</f>
        <v/>
      </c>
      <c r="AY68" s="224">
        <f>IF('DM_NHAN_SU'!$B68="","",$AE68*'THAM_SO'!$M$11)</f>
        <v/>
      </c>
      <c r="AZ68" s="224">
        <f>IF('DM_NHAN_SU'!$B68="","",$AE68*'THAM_SO'!$M$12)</f>
        <v/>
      </c>
      <c r="BA68" s="224">
        <f>IF('DM_NHAN_SU'!$B68="","",$AF68*'THAM_SO'!$M$13)</f>
        <v/>
      </c>
      <c r="BB68" s="224">
        <f>IF('DM_NHAN_SU'!$B68="","",$AE68*'THAM_SO'!$M$14)</f>
        <v/>
      </c>
      <c r="BC68" s="224">
        <f>IF('DM_NHAN_SU'!$B68="","",SUM($AY68:$BB68))</f>
        <v/>
      </c>
      <c r="BD68" s="224">
        <f>IF('DM_NHAN_SU'!$B68="","",$AS68+$BC68)</f>
        <v/>
      </c>
      <c r="BE68" s="224">
        <f>IF('DM_NHAN_SU'!$B68="","",VLOOKUP($H68,'THAM_SO'!$L$17:$P$20,2,FALSE))</f>
        <v/>
      </c>
      <c r="BF68" s="224">
        <f>IF('DM_NHAN_SU'!$B68="","",VLOOKUP($H68,'THAM_SO'!$L$17:$P$20,3,FALSE))</f>
        <v/>
      </c>
      <c r="BG68" s="150">
        <f>IF('DM_NHAN_SU'!$B68="","",IF($B68="","",IF(COUNTIF('DM_NHAN_SU'!$B$6:$B$155,$B68)&gt;1,"Trùng mã NV; ","")&amp;IF(OR($F68="",$G68=""),"Thiếu loại/hình thức lương; ","")&amp;IF('CHAM_CONG_THANG'!$D68="","Chưa chọn nguồn công; ","")&amp;IF(AND('CHAM_CONG_THANG'!$D68="Theo ngày",COUNTIF('CHAM_CONG_NGAY'!$B$6:$B$4655,$B68)=0),"Chưa có chấm công ngày; ","")&amp;IF(OR($I68&lt;=0,$J68&lt;=0),"Thiếu công/giờ chuẩn; ","")&amp;IF(AND($G68="Tháng",'DM_NHAN_SU'!$K68&lt;$BE68),"Lương tháng dưới tối thiểu vùng; ","")&amp;IF(AND($G68="Ngày",'DM_NHAN_SU'!$K68/$J68&lt;$BF68),"Lương ngày quy đổi dưới tối thiểu giờ; ","")&amp;IF(AND($G68="Giờ",'DM_NHAN_SU'!$K68&lt;$BF68),"Lương giờ dưới tối thiểu vùng; ","")&amp;IF(AND($G68="Sản phẩm",$L68&gt;0,$O68/$L68&lt;$BF68),"Lương SP quy đổi dưới tối thiểu giờ; ","")&amp;IF(OR('THAM_SO'!$C$19&lt;'THAM_SO'!$B$19,'THAM_SO'!$C$20&lt;'THAM_SO'!$B$20,'THAM_SO'!$C$21&lt;'THAM_SO'!$B$21,'THAM_SO'!$C$22&lt;'THAM_SO'!$B$22,'THAM_SO'!$C$23&lt;'THAM_SO'!$B$23,'THAM_SO'!$C$24&lt;'THAM_SO'!$B$24,'THAM_SO'!$C$25&lt;'THAM_SO'!$B$25),"Hệ số OT/đêm DN thấp hơn luật; ","")&amp;IF(AND('DM_NHAN_SU'!$R68="Có",$AD68&lt;=0),"Thiếu căn cứ đóng BH; ","")&amp;IF(AND($AD68&gt;0,$AD68&lt;'THAM_SO'!$M$6),"Căn cứ BH dưới sàn – đã nâng sàn; ","")&amp;IF($AD68&gt;'THAM_SO'!$M$7,"Căn cứ BH vượt trần – đã giới hạn; ","")&amp;IF(AND($F68="Net",SUM('CHAM_CONG_THANG'!$AF68:$AK68)&gt;0,'DM_NHAN_SU'!$Q68&lt;=0),"Net có OT nhưng chưa khai lương giờ OT; ","")&amp;IF('CHAM_CONG_THANG'!$V68&gt;$Z68,"Phần OT không miễn lớn hơn tiền OT; ","")&amp;IF(AND($F68="Net",ABS($AT68-$AC68-$AP68)&gt;1),"Lệch quy đổi Net; ","")&amp;IF(AND($BH68&gt;0,'DM_NHAN_SU'!$AD68=""),"Có phép năm nhưng đang tạm dùng 12 ngày; ","")&amp;IF(AND($G68="Sản phẩm",SUM($BH68:$BJ68)&gt;0,'DM_NHAN_SU'!$AH68&lt;=0),"Lương sản phẩm thiếu đơn giá ngày phép/lễ; ","")&amp;IF(AND($BL68&gt;=14,'CHAM_CONG_THANG'!$AA68&lt;&gt;"Có"),"Thai sản từ 14 ngày: file tự dừng đóng BH – kiểm tra hồ sơ; ","")&amp;IF(AND('DM_NHAN_SU'!$AA68="Có",'DM_NHAN_SU'!$AB68=""),"Đoàn viên chưa chọn cách tính đoàn phí; ","")&amp;IF(AND('DM_NHAN_SU'!$AB68="Nhập tay",'DM_NHAN_SU'!$AC68&gt;'THAM_SO'!$M$26),"Đoàn phí nhập tay vượt trần thông dụng; ","")&amp;IF('NGHI_PHEP'!$L68&lt;&gt;"","Phép: "&amp;'NGHI_PHEP'!$L68,"")&amp;IF('CHE_DO_BHXH'!$AA68&lt;&gt;"","BHXH: "&amp;'CHE_DO_BHXH'!$AA68,"")&amp;IF('THUONG_T13_TET'!$O68&lt;&gt;"","Thưởng: "&amp;'THUONG_T13_TET'!$O68,"")&amp;IF('QT_NGHI_VIEC'!$AF68&lt;&gt;"","Nghỉ việc: "&amp;'QT_NGHI_VIEC'!$AF68,"")&amp;IF($AX68&lt;0,"Thực lĩnh âm; ","")&amp;IF(OR('DM_NHAN_SU'!$F68&gt;'THAM_SO'!$B$7,AND('DM_NHAN_SU'!$G68&lt;&gt;"",'DM_NHAN_SU'!$G68&lt;'THAM_SO'!$B$6)),"Ngoài kỳ trả lương; ","")))</f>
        <v/>
      </c>
      <c r="BH68" s="232">
        <f>IF('DM_NHAN_SU'!$B68="","",'CHAM_CONG_THANG'!AR68)</f>
        <v/>
      </c>
      <c r="BI68" s="232">
        <f>IF('DM_NHAN_SU'!$B68="","",'CHAM_CONG_THANG'!AS68)</f>
        <v/>
      </c>
      <c r="BJ68" s="232">
        <f>IF('DM_NHAN_SU'!$B68="","",'CHAM_CONG_THANG'!AT68)</f>
        <v/>
      </c>
      <c r="BK68" s="232">
        <f>IF('DM_NHAN_SU'!$B68="","",'CHAM_CONG_THANG'!AU68)</f>
        <v/>
      </c>
      <c r="BL68" s="232">
        <f>IF('DM_NHAN_SU'!$B68="","",'CHAM_CONG_THANG'!AV68)</f>
        <v/>
      </c>
      <c r="BM68" s="232">
        <f>IF('DM_NHAN_SU'!$B68="","",'CHAM_CONG_THANG'!AW68)</f>
        <v/>
      </c>
      <c r="BN68" s="232">
        <f>IF('DM_NHAN_SU'!$B68="","",SUM($K68,$BH68:$BJ68))</f>
        <v/>
      </c>
      <c r="BO68" s="224">
        <f>IF('DM_NHAN_SU'!$B68="","",IF($B68="",0,IF($G68="Tháng",IF($I68&gt;0,'DM_NHAN_SU'!$K68*MIN($BH68+$BJ68,MAX($I68-$K68,0))/$I68,0),IF($G68="Ngày",'DM_NHAN_SU'!$K68*SUM($BH68:$BJ68),IF($G68="Giờ",'DM_NHAN_SU'!$K68*SUM($BH68:$BJ68)*$J68,IF($G68="Sản phẩm",'DM_NHAN_SU'!$AH68*SUM($BH68:$BJ68),0))))))</f>
        <v/>
      </c>
      <c r="BP68" s="224">
        <f>IF('DM_NHAN_SU'!$B68="","",IF('THUONG_T13_TET'!$L68="Có",'THUONG_T13_TET'!$I68,0))</f>
        <v/>
      </c>
      <c r="BQ68" s="224">
        <f>IF('DM_NHAN_SU'!$B68="","",IF('THUONG_T13_TET'!$L68="Có",SUM('THUONG_T13_TET'!$J68:$K68),0))</f>
        <v/>
      </c>
      <c r="BR68" s="224">
        <f>IF('DM_NHAN_SU'!$B68="","",'QT_NGHI_VIEC'!AC68)</f>
        <v/>
      </c>
      <c r="BS68" s="224">
        <f>IF('DM_NHAN_SU'!$B68="","",'QT_NGHI_VIEC'!AB68)</f>
        <v/>
      </c>
      <c r="BT68" s="224">
        <f>IF('DM_NHAN_SU'!$B68="","",IF('CHE_DO_BHXH'!$Z68="Có",'CHE_DO_BHXH'!$W68,0))</f>
        <v/>
      </c>
      <c r="BU68" s="224">
        <f>IF('DM_NHAN_SU'!$B68="","",IF('CHE_DO_BHXH'!$Y68="DN trả thay",$BT68,0))</f>
        <v/>
      </c>
      <c r="BV68" s="224">
        <f>IF('DM_NHAN_SU'!$B68="","",IF(OR('DM_NHAN_SU'!$AA68&lt;&gt;"Có",'CHE_DO_BHXH'!$O68&gt;=1,SUM('CHE_DO_BHXH'!$D68,'CHE_DO_BHXH'!$G68,'CHE_DO_BHXH'!$K68)&gt;=24,AND($I68&gt;0,$BM68&gt;=$I68)),0,IF('DM_NHAN_SU'!$AB68="Không",0,IF('DM_NHAN_SU'!$AB68="Nhập tay",'DM_NHAN_SU'!$AC68,IF('DM_NHAN_SU'!$AB68="Theo thực nhận",MIN(MAX($AT68-$AU68-$AV68-$AW68,0)*'THAM_SO'!$M$23,'THAM_SO'!$M$26),MIN($AE68*'THAM_SO'!$M$23,'THAM_SO'!$M$26))))))</f>
        <v/>
      </c>
      <c r="BW68" s="224">
        <f>IF('DM_NHAN_SU'!$B68="","",$AX68+$BU68)</f>
        <v/>
      </c>
    </row>
    <row r="69">
      <c r="A69" s="145">
        <f>IF('DM_NHAN_SU'!$B69="","",IF($B69="","",ROW()-5))</f>
        <v/>
      </c>
      <c r="B69" s="145">
        <f>IF('DM_NHAN_SU'!$B69="","",'DM_NHAN_SU'!B69)</f>
        <v/>
      </c>
      <c r="C69" s="145">
        <f>IF('DM_NHAN_SU'!$B69="","",'DM_NHAN_SU'!C69)</f>
        <v/>
      </c>
      <c r="D69" s="145">
        <f>IF('DM_NHAN_SU'!$B69="","",'DM_NHAN_SU'!D69)</f>
        <v/>
      </c>
      <c r="E69" s="145">
        <f>IF('DM_NHAN_SU'!$B69="","",'DM_NHAN_SU'!E69)</f>
        <v/>
      </c>
      <c r="F69" s="145">
        <f>IF('DM_NHAN_SU'!$B69="","",'DM_NHAN_SU'!I69)</f>
        <v/>
      </c>
      <c r="G69" s="145">
        <f>IF('DM_NHAN_SU'!$B69="","",'DM_NHAN_SU'!J69)</f>
        <v/>
      </c>
      <c r="H69" s="145">
        <f>IF('DM_NHAN_SU'!$B69="","",IF('DM_NHAN_SU'!H69="",'THAM_SO'!$B$11,'DM_NHAN_SU'!H69))</f>
        <v/>
      </c>
      <c r="I69" s="232">
        <f>IF('DM_NHAN_SU'!$B69="","",IF('DM_NHAN_SU'!L69&gt;0,'DM_NHAN_SU'!L69,'THAM_SO'!$B$9))</f>
        <v/>
      </c>
      <c r="J69" s="232">
        <f>IF('DM_NHAN_SU'!$B69="","",IF('DM_NHAN_SU'!M69&gt;0,'DM_NHAN_SU'!M69,'THAM_SO'!$B$10))</f>
        <v/>
      </c>
      <c r="K69" s="232">
        <f>IF('DM_NHAN_SU'!$B69="","",'CHAM_CONG_THANG'!AC69)</f>
        <v/>
      </c>
      <c r="L69" s="232">
        <f>IF('DM_NHAN_SU'!$B69="","",'CHAM_CONG_THANG'!AD69)</f>
        <v/>
      </c>
      <c r="M69" s="232">
        <f>IF('DM_NHAN_SU'!$B69="","",'CHAM_CONG_THANG'!AE69)</f>
        <v/>
      </c>
      <c r="N69" s="232">
        <f>IF('DM_NHAN_SU'!$B69="","",'CHAM_CONG_THANG'!N69)</f>
        <v/>
      </c>
      <c r="O69" s="224">
        <f>IF('DM_NHAN_SU'!$B69="","",IF($B69="","",IF($G69="Tháng",IF($I69&gt;0,'DM_NHAN_SU'!$K69*MIN($K69,$I69)/$I69,0),IF($G69="Ngày",'DM_NHAN_SU'!$K69*$K69,IF($G69="Giờ",'DM_NHAN_SU'!$K69*$L69,IF($G69="Sản phẩm",'DM_NHAN_SU'!$K69*$N69,0))))))</f>
        <v/>
      </c>
      <c r="P69" s="224">
        <f>IF('DM_NHAN_SU'!$B69="","",'CHAM_CONG_THANG'!O69)</f>
        <v/>
      </c>
      <c r="Q69" s="224">
        <f>IF('DM_NHAN_SU'!$B69="","",'CHAM_CONG_THANG'!P69)</f>
        <v/>
      </c>
      <c r="R69" s="224">
        <f>IF('DM_NHAN_SU'!$B69="","",'CHAM_CONG_THANG'!Q69)</f>
        <v/>
      </c>
      <c r="S69" s="224">
        <f>IF('DM_NHAN_SU'!$B69="","",'CHAM_CONG_THANG'!R69)</f>
        <v/>
      </c>
      <c r="T69" s="224">
        <f>IF('DM_NHAN_SU'!$B69="","",'CHAM_CONG_THANG'!S69)</f>
        <v/>
      </c>
      <c r="U69" s="224">
        <f>IF('DM_NHAN_SU'!$B69="","",MIN($T69,'THAM_SO'!$F$6))</f>
        <v/>
      </c>
      <c r="V69" s="224">
        <f>IF('DM_NHAN_SU'!$B69="","",MAX($T69-$U69,0))</f>
        <v/>
      </c>
      <c r="W69" s="224">
        <f>IF('DM_NHAN_SU'!$B69="","",'CHAM_CONG_THANG'!T69)</f>
        <v/>
      </c>
      <c r="X69" s="224">
        <f>IF('DM_NHAN_SU'!$B69="","",'CHAM_CONG_THANG'!U69)</f>
        <v/>
      </c>
      <c r="Y69" s="224">
        <f>IF('DM_NHAN_SU'!$B69="","",IF($B69="",0,IF('DM_NHAN_SU'!$Q69&gt;0,'DM_NHAN_SU'!$Q69,IF($G69="Tháng",IF($I69*$J69&gt;0,'DM_NHAN_SU'!$K69/($I69*$J69),0),IF($G69="Ngày",IF($J69&gt;0,'DM_NHAN_SU'!$K69/$J69,0),IF($G69="Giờ",'DM_NHAN_SU'!$K69,0))))))</f>
        <v/>
      </c>
      <c r="Z69" s="224">
        <f>IF('DM_NHAN_SU'!$B69="","",$Y69*($M69*'THAM_SO'!$C$22+'CHAM_CONG_THANG'!$AF69*'THAM_SO'!$C$19+'CHAM_CONG_THANG'!$AG69*'THAM_SO'!$C$20+'CHAM_CONG_THANG'!$AH69*'THAM_SO'!$C$21+'CHAM_CONG_THANG'!$AI69*'THAM_SO'!$C$23+'CHAM_CONG_THANG'!$AJ69*'THAM_SO'!$C$24+'CHAM_CONG_THANG'!$AK69*'THAM_SO'!$C$25))</f>
        <v/>
      </c>
      <c r="AA69" s="224">
        <f>IF('DM_NHAN_SU'!$B69="","",MAX(0,$Y69*($M69*IF('THAM_SO'!$C$22&gt;='THAM_SO'!$B$22,'THAM_SO'!$B$22,0)+'CHAM_CONG_THANG'!$AF69*IF('THAM_SO'!$C$19&gt;='THAM_SO'!$B$19,'THAM_SO'!$B$19,0)+'CHAM_CONG_THANG'!$AG69*IF('THAM_SO'!$C$20&gt;='THAM_SO'!$B$20,'THAM_SO'!$B$20,0)+'CHAM_CONG_THANG'!$AH69*IF('THAM_SO'!$C$21&gt;='THAM_SO'!$B$21,'THAM_SO'!$B$21,0)+'CHAM_CONG_THANG'!$AI69*IF('THAM_SO'!$C$23&gt;='THAM_SO'!$B$23,'THAM_SO'!$B$23,0)+'CHAM_CONG_THANG'!$AJ69*IF('THAM_SO'!$C$24&gt;='THAM_SO'!$B$24,'THAM_SO'!$B$24,0)+'CHAM_CONG_THANG'!$AK69*IF('THAM_SO'!$C$25&gt;='THAM_SO'!$B$25,'THAM_SO'!$B$25,0))-'CHAM_CONG_THANG'!$V69))</f>
        <v/>
      </c>
      <c r="AB69" s="224">
        <f>IF('DM_NHAN_SU'!$B69="","",MAX($Z69-$AA69,0))</f>
        <v/>
      </c>
      <c r="AC69" s="224">
        <f>IF('DM_NHAN_SU'!$B69="","",$O69+$P69+$Q69+$R69+$S69+$V69+$AB69+$BO69+$BP69+$BQ69+$BR69)</f>
        <v/>
      </c>
      <c r="AD69" s="224">
        <f>IF('DM_NHAN_SU'!$B69="","",'DM_NHAN_SU'!N69+'DM_NHAN_SU'!O69+'DM_NHAN_SU'!P69)</f>
        <v/>
      </c>
      <c r="AE69" s="224">
        <f>IF('DM_NHAN_SU'!$B69="","",IF(OR('DM_NHAN_SU'!$R69&lt;&gt;"Có",'CHAM_CONG_THANG'!$AA69="Có",$BL69&gt;=14,$AD69&lt;=0),0,MIN(MAX($AD69,'THAM_SO'!$M$6),'THAM_SO'!$M$7)))</f>
        <v/>
      </c>
      <c r="AF69" s="224">
        <f>IF('DM_NHAN_SU'!$B69="","",IF(OR('DM_NHAN_SU'!$S69&lt;&gt;"Có",'CHAM_CONG_THANG'!$AA69="Có",$BL69&gt;=14,$AD69&lt;=0),0,MIN(MAX($AD69,VLOOKUP($H69,'THAM_SO'!$L$17:$P$20,4,FALSE)),VLOOKUP($H69,'THAM_SO'!$L$17:$P$20,5,FALSE))))</f>
        <v/>
      </c>
      <c r="AG69" s="224">
        <f>IF('DM_NHAN_SU'!$B69="","",$AE69*'THAM_SO'!$M$8)</f>
        <v/>
      </c>
      <c r="AH69" s="224">
        <f>IF('DM_NHAN_SU'!$B69="","",$AE69*'THAM_SO'!$M$9)</f>
        <v/>
      </c>
      <c r="AI69" s="224">
        <f>IF('DM_NHAN_SU'!$B69="","",$AF69*'THAM_SO'!$M$10)</f>
        <v/>
      </c>
      <c r="AJ69" s="224">
        <f>IF('DM_NHAN_SU'!$B69="","",SUM($AG69:$AI69))</f>
        <v/>
      </c>
      <c r="AK69" s="224">
        <f>IF('DM_NHAN_SU'!$B69="","",IF($B69="",0,'THAM_SO'!$F$4))</f>
        <v/>
      </c>
      <c r="AL69" s="224">
        <f>IF('DM_NHAN_SU'!$B69="","",IF($B69="",0,'DM_NHAN_SU'!$T69*'THAM_SO'!$F$5))</f>
        <v/>
      </c>
      <c r="AM69" s="224">
        <f>IF('DM_NHAN_SU'!$B69="","",'CHAM_CONG_THANG'!W69)</f>
        <v/>
      </c>
      <c r="AN69" s="224">
        <f>IF('DM_NHAN_SU'!$B69="","",MAX($AC69-$AK69-$AL69-$AM69,0))</f>
        <v/>
      </c>
      <c r="AO69" s="224">
        <f>IF('DM_NHAN_SU'!$B69="","",IF($B69="","",IF($F69="Net",IF($AC69&lt;=$AK69+$AL69+$AM69,$AC69+$AJ69,$AJ69+$AK69+$AL69+$AM69+IF($AN69&lt;='THAM_SO'!$J$10,($AN69-'THAM_SO'!$I$10)/(1-'THAM_SO'!$H$10),IF($AN69&lt;='THAM_SO'!$J$11,($AN69-'THAM_SO'!$I$11)/(1-'THAM_SO'!$H$11),IF($AN69&lt;='THAM_SO'!$J$12,($AN69-'THAM_SO'!$I$12)/(1-'THAM_SO'!$H$12),IF($AN69&lt;='THAM_SO'!$J$13,($AN69-'THAM_SO'!$I$13)/(1-'THAM_SO'!$H$13),($AN69-'THAM_SO'!$I$14)/(1-'THAM_SO'!$H$14)))))),$AC69)))</f>
        <v/>
      </c>
      <c r="AP69" s="224">
        <f>IF('DM_NHAN_SU'!$B69="","",$U69+$W69+$X69+$AA69+$BS69)</f>
        <v/>
      </c>
      <c r="AQ69" s="224">
        <f>IF('DM_NHAN_SU'!$B69="","",MAX($AO69-$AJ69-$AK69-$AL69-$AM69,0))</f>
        <v/>
      </c>
      <c r="AR69" s="224">
        <f>IF('DM_NHAN_SU'!$B69="","",IF($AQ69&lt;=0,0,$AQ69*VLOOKUP($AQ69,'THAM_SO'!$F$10:$I$14,3,TRUE)-VLOOKUP($AQ69,'THAM_SO'!$F$10:$I$14,4,TRUE)))</f>
        <v/>
      </c>
      <c r="AS69" s="224">
        <f>IF('DM_NHAN_SU'!$B69="","",$AO69+$AP69)</f>
        <v/>
      </c>
      <c r="AT69" s="224">
        <f>IF('DM_NHAN_SU'!$B69="","",$AS69-$AJ69-$AR69)</f>
        <v/>
      </c>
      <c r="AU69" s="224">
        <f>IF('DM_NHAN_SU'!$B69="","",'CHAM_CONG_THANG'!X69)</f>
        <v/>
      </c>
      <c r="AV69" s="224">
        <f>IF('DM_NHAN_SU'!$B69="","",'CHAM_CONG_THANG'!Y69+'QT_NGHI_VIEC'!AD69)</f>
        <v/>
      </c>
      <c r="AW69" s="224">
        <f>IF('DM_NHAN_SU'!$B69="","",'CHAM_CONG_THANG'!Z69)</f>
        <v/>
      </c>
      <c r="AX69" s="224">
        <f>IF('DM_NHAN_SU'!$B69="","",$AT69-$AU69-$AV69-$AW69-$BV69)</f>
        <v/>
      </c>
      <c r="AY69" s="224">
        <f>IF('DM_NHAN_SU'!$B69="","",$AE69*'THAM_SO'!$M$11)</f>
        <v/>
      </c>
      <c r="AZ69" s="224">
        <f>IF('DM_NHAN_SU'!$B69="","",$AE69*'THAM_SO'!$M$12)</f>
        <v/>
      </c>
      <c r="BA69" s="224">
        <f>IF('DM_NHAN_SU'!$B69="","",$AF69*'THAM_SO'!$M$13)</f>
        <v/>
      </c>
      <c r="BB69" s="224">
        <f>IF('DM_NHAN_SU'!$B69="","",$AE69*'THAM_SO'!$M$14)</f>
        <v/>
      </c>
      <c r="BC69" s="224">
        <f>IF('DM_NHAN_SU'!$B69="","",SUM($AY69:$BB69))</f>
        <v/>
      </c>
      <c r="BD69" s="224">
        <f>IF('DM_NHAN_SU'!$B69="","",$AS69+$BC69)</f>
        <v/>
      </c>
      <c r="BE69" s="224">
        <f>IF('DM_NHAN_SU'!$B69="","",VLOOKUP($H69,'THAM_SO'!$L$17:$P$20,2,FALSE))</f>
        <v/>
      </c>
      <c r="BF69" s="224">
        <f>IF('DM_NHAN_SU'!$B69="","",VLOOKUP($H69,'THAM_SO'!$L$17:$P$20,3,FALSE))</f>
        <v/>
      </c>
      <c r="BG69" s="150">
        <f>IF('DM_NHAN_SU'!$B69="","",IF($B69="","",IF(COUNTIF('DM_NHAN_SU'!$B$6:$B$155,$B69)&gt;1,"Trùng mã NV; ","")&amp;IF(OR($F69="",$G69=""),"Thiếu loại/hình thức lương; ","")&amp;IF('CHAM_CONG_THANG'!$D69="","Chưa chọn nguồn công; ","")&amp;IF(AND('CHAM_CONG_THANG'!$D69="Theo ngày",COUNTIF('CHAM_CONG_NGAY'!$B$6:$B$4655,$B69)=0),"Chưa có chấm công ngày; ","")&amp;IF(OR($I69&lt;=0,$J69&lt;=0),"Thiếu công/giờ chuẩn; ","")&amp;IF(AND($G69="Tháng",'DM_NHAN_SU'!$K69&lt;$BE69),"Lương tháng dưới tối thiểu vùng; ","")&amp;IF(AND($G69="Ngày",'DM_NHAN_SU'!$K69/$J69&lt;$BF69),"Lương ngày quy đổi dưới tối thiểu giờ; ","")&amp;IF(AND($G69="Giờ",'DM_NHAN_SU'!$K69&lt;$BF69),"Lương giờ dưới tối thiểu vùng; ","")&amp;IF(AND($G69="Sản phẩm",$L69&gt;0,$O69/$L69&lt;$BF69),"Lương SP quy đổi dưới tối thiểu giờ; ","")&amp;IF(OR('THAM_SO'!$C$19&lt;'THAM_SO'!$B$19,'THAM_SO'!$C$20&lt;'THAM_SO'!$B$20,'THAM_SO'!$C$21&lt;'THAM_SO'!$B$21,'THAM_SO'!$C$22&lt;'THAM_SO'!$B$22,'THAM_SO'!$C$23&lt;'THAM_SO'!$B$23,'THAM_SO'!$C$24&lt;'THAM_SO'!$B$24,'THAM_SO'!$C$25&lt;'THAM_SO'!$B$25),"Hệ số OT/đêm DN thấp hơn luật; ","")&amp;IF(AND('DM_NHAN_SU'!$R69="Có",$AD69&lt;=0),"Thiếu căn cứ đóng BH; ","")&amp;IF(AND($AD69&gt;0,$AD69&lt;'THAM_SO'!$M$6),"Căn cứ BH dưới sàn – đã nâng sàn; ","")&amp;IF($AD69&gt;'THAM_SO'!$M$7,"Căn cứ BH vượt trần – đã giới hạn; ","")&amp;IF(AND($F69="Net",SUM('CHAM_CONG_THANG'!$AF69:$AK69)&gt;0,'DM_NHAN_SU'!$Q69&lt;=0),"Net có OT nhưng chưa khai lương giờ OT; ","")&amp;IF('CHAM_CONG_THANG'!$V69&gt;$Z69,"Phần OT không miễn lớn hơn tiền OT; ","")&amp;IF(AND($F69="Net",ABS($AT69-$AC69-$AP69)&gt;1),"Lệch quy đổi Net; ","")&amp;IF(AND($BH69&gt;0,'DM_NHAN_SU'!$AD69=""),"Có phép năm nhưng đang tạm dùng 12 ngày; ","")&amp;IF(AND($G69="Sản phẩm",SUM($BH69:$BJ69)&gt;0,'DM_NHAN_SU'!$AH69&lt;=0),"Lương sản phẩm thiếu đơn giá ngày phép/lễ; ","")&amp;IF(AND($BL69&gt;=14,'CHAM_CONG_THANG'!$AA69&lt;&gt;"Có"),"Thai sản từ 14 ngày: file tự dừng đóng BH – kiểm tra hồ sơ; ","")&amp;IF(AND('DM_NHAN_SU'!$AA69="Có",'DM_NHAN_SU'!$AB69=""),"Đoàn viên chưa chọn cách tính đoàn phí; ","")&amp;IF(AND('DM_NHAN_SU'!$AB69="Nhập tay",'DM_NHAN_SU'!$AC69&gt;'THAM_SO'!$M$26),"Đoàn phí nhập tay vượt trần thông dụng; ","")&amp;IF('NGHI_PHEP'!$L69&lt;&gt;"","Phép: "&amp;'NGHI_PHEP'!$L69,"")&amp;IF('CHE_DO_BHXH'!$AA69&lt;&gt;"","BHXH: "&amp;'CHE_DO_BHXH'!$AA69,"")&amp;IF('THUONG_T13_TET'!$O69&lt;&gt;"","Thưởng: "&amp;'THUONG_T13_TET'!$O69,"")&amp;IF('QT_NGHI_VIEC'!$AF69&lt;&gt;"","Nghỉ việc: "&amp;'QT_NGHI_VIEC'!$AF69,"")&amp;IF($AX69&lt;0,"Thực lĩnh âm; ","")&amp;IF(OR('DM_NHAN_SU'!$F69&gt;'THAM_SO'!$B$7,AND('DM_NHAN_SU'!$G69&lt;&gt;"",'DM_NHAN_SU'!$G69&lt;'THAM_SO'!$B$6)),"Ngoài kỳ trả lương; ","")))</f>
        <v/>
      </c>
      <c r="BH69" s="232">
        <f>IF('DM_NHAN_SU'!$B69="","",'CHAM_CONG_THANG'!AR69)</f>
        <v/>
      </c>
      <c r="BI69" s="232">
        <f>IF('DM_NHAN_SU'!$B69="","",'CHAM_CONG_THANG'!AS69)</f>
        <v/>
      </c>
      <c r="BJ69" s="232">
        <f>IF('DM_NHAN_SU'!$B69="","",'CHAM_CONG_THANG'!AT69)</f>
        <v/>
      </c>
      <c r="BK69" s="232">
        <f>IF('DM_NHAN_SU'!$B69="","",'CHAM_CONG_THANG'!AU69)</f>
        <v/>
      </c>
      <c r="BL69" s="232">
        <f>IF('DM_NHAN_SU'!$B69="","",'CHAM_CONG_THANG'!AV69)</f>
        <v/>
      </c>
      <c r="BM69" s="232">
        <f>IF('DM_NHAN_SU'!$B69="","",'CHAM_CONG_THANG'!AW69)</f>
        <v/>
      </c>
      <c r="BN69" s="232">
        <f>IF('DM_NHAN_SU'!$B69="","",SUM($K69,$BH69:$BJ69))</f>
        <v/>
      </c>
      <c r="BO69" s="224">
        <f>IF('DM_NHAN_SU'!$B69="","",IF($B69="",0,IF($G69="Tháng",IF($I69&gt;0,'DM_NHAN_SU'!$K69*MIN($BH69+$BJ69,MAX($I69-$K69,0))/$I69,0),IF($G69="Ngày",'DM_NHAN_SU'!$K69*SUM($BH69:$BJ69),IF($G69="Giờ",'DM_NHAN_SU'!$K69*SUM($BH69:$BJ69)*$J69,IF($G69="Sản phẩm",'DM_NHAN_SU'!$AH69*SUM($BH69:$BJ69),0))))))</f>
        <v/>
      </c>
      <c r="BP69" s="224">
        <f>IF('DM_NHAN_SU'!$B69="","",IF('THUONG_T13_TET'!$L69="Có",'THUONG_T13_TET'!$I69,0))</f>
        <v/>
      </c>
      <c r="BQ69" s="224">
        <f>IF('DM_NHAN_SU'!$B69="","",IF('THUONG_T13_TET'!$L69="Có",SUM('THUONG_T13_TET'!$J69:$K69),0))</f>
        <v/>
      </c>
      <c r="BR69" s="224">
        <f>IF('DM_NHAN_SU'!$B69="","",'QT_NGHI_VIEC'!AC69)</f>
        <v/>
      </c>
      <c r="BS69" s="224">
        <f>IF('DM_NHAN_SU'!$B69="","",'QT_NGHI_VIEC'!AB69)</f>
        <v/>
      </c>
      <c r="BT69" s="224">
        <f>IF('DM_NHAN_SU'!$B69="","",IF('CHE_DO_BHXH'!$Z69="Có",'CHE_DO_BHXH'!$W69,0))</f>
        <v/>
      </c>
      <c r="BU69" s="224">
        <f>IF('DM_NHAN_SU'!$B69="","",IF('CHE_DO_BHXH'!$Y69="DN trả thay",$BT69,0))</f>
        <v/>
      </c>
      <c r="BV69" s="224">
        <f>IF('DM_NHAN_SU'!$B69="","",IF(OR('DM_NHAN_SU'!$AA69&lt;&gt;"Có",'CHE_DO_BHXH'!$O69&gt;=1,SUM('CHE_DO_BHXH'!$D69,'CHE_DO_BHXH'!$G69,'CHE_DO_BHXH'!$K69)&gt;=24,AND($I69&gt;0,$BM69&gt;=$I69)),0,IF('DM_NHAN_SU'!$AB69="Không",0,IF('DM_NHAN_SU'!$AB69="Nhập tay",'DM_NHAN_SU'!$AC69,IF('DM_NHAN_SU'!$AB69="Theo thực nhận",MIN(MAX($AT69-$AU69-$AV69-$AW69,0)*'THAM_SO'!$M$23,'THAM_SO'!$M$26),MIN($AE69*'THAM_SO'!$M$23,'THAM_SO'!$M$26))))))</f>
        <v/>
      </c>
      <c r="BW69" s="224">
        <f>IF('DM_NHAN_SU'!$B69="","",$AX69+$BU69)</f>
        <v/>
      </c>
    </row>
    <row r="70">
      <c r="A70" s="145">
        <f>IF('DM_NHAN_SU'!$B70="","",IF($B70="","",ROW()-5))</f>
        <v/>
      </c>
      <c r="B70" s="145">
        <f>IF('DM_NHAN_SU'!$B70="","",'DM_NHAN_SU'!B70)</f>
        <v/>
      </c>
      <c r="C70" s="145">
        <f>IF('DM_NHAN_SU'!$B70="","",'DM_NHAN_SU'!C70)</f>
        <v/>
      </c>
      <c r="D70" s="145">
        <f>IF('DM_NHAN_SU'!$B70="","",'DM_NHAN_SU'!D70)</f>
        <v/>
      </c>
      <c r="E70" s="145">
        <f>IF('DM_NHAN_SU'!$B70="","",'DM_NHAN_SU'!E70)</f>
        <v/>
      </c>
      <c r="F70" s="145">
        <f>IF('DM_NHAN_SU'!$B70="","",'DM_NHAN_SU'!I70)</f>
        <v/>
      </c>
      <c r="G70" s="145">
        <f>IF('DM_NHAN_SU'!$B70="","",'DM_NHAN_SU'!J70)</f>
        <v/>
      </c>
      <c r="H70" s="145">
        <f>IF('DM_NHAN_SU'!$B70="","",IF('DM_NHAN_SU'!H70="",'THAM_SO'!$B$11,'DM_NHAN_SU'!H70))</f>
        <v/>
      </c>
      <c r="I70" s="232">
        <f>IF('DM_NHAN_SU'!$B70="","",IF('DM_NHAN_SU'!L70&gt;0,'DM_NHAN_SU'!L70,'THAM_SO'!$B$9))</f>
        <v/>
      </c>
      <c r="J70" s="232">
        <f>IF('DM_NHAN_SU'!$B70="","",IF('DM_NHAN_SU'!M70&gt;0,'DM_NHAN_SU'!M70,'THAM_SO'!$B$10))</f>
        <v/>
      </c>
      <c r="K70" s="232">
        <f>IF('DM_NHAN_SU'!$B70="","",'CHAM_CONG_THANG'!AC70)</f>
        <v/>
      </c>
      <c r="L70" s="232">
        <f>IF('DM_NHAN_SU'!$B70="","",'CHAM_CONG_THANG'!AD70)</f>
        <v/>
      </c>
      <c r="M70" s="232">
        <f>IF('DM_NHAN_SU'!$B70="","",'CHAM_CONG_THANG'!AE70)</f>
        <v/>
      </c>
      <c r="N70" s="232">
        <f>IF('DM_NHAN_SU'!$B70="","",'CHAM_CONG_THANG'!N70)</f>
        <v/>
      </c>
      <c r="O70" s="224">
        <f>IF('DM_NHAN_SU'!$B70="","",IF($B70="","",IF($G70="Tháng",IF($I70&gt;0,'DM_NHAN_SU'!$K70*MIN($K70,$I70)/$I70,0),IF($G70="Ngày",'DM_NHAN_SU'!$K70*$K70,IF($G70="Giờ",'DM_NHAN_SU'!$K70*$L70,IF($G70="Sản phẩm",'DM_NHAN_SU'!$K70*$N70,0))))))</f>
        <v/>
      </c>
      <c r="P70" s="224">
        <f>IF('DM_NHAN_SU'!$B70="","",'CHAM_CONG_THANG'!O70)</f>
        <v/>
      </c>
      <c r="Q70" s="224">
        <f>IF('DM_NHAN_SU'!$B70="","",'CHAM_CONG_THANG'!P70)</f>
        <v/>
      </c>
      <c r="R70" s="224">
        <f>IF('DM_NHAN_SU'!$B70="","",'CHAM_CONG_THANG'!Q70)</f>
        <v/>
      </c>
      <c r="S70" s="224">
        <f>IF('DM_NHAN_SU'!$B70="","",'CHAM_CONG_THANG'!R70)</f>
        <v/>
      </c>
      <c r="T70" s="224">
        <f>IF('DM_NHAN_SU'!$B70="","",'CHAM_CONG_THANG'!S70)</f>
        <v/>
      </c>
      <c r="U70" s="224">
        <f>IF('DM_NHAN_SU'!$B70="","",MIN($T70,'THAM_SO'!$F$6))</f>
        <v/>
      </c>
      <c r="V70" s="224">
        <f>IF('DM_NHAN_SU'!$B70="","",MAX($T70-$U70,0))</f>
        <v/>
      </c>
      <c r="W70" s="224">
        <f>IF('DM_NHAN_SU'!$B70="","",'CHAM_CONG_THANG'!T70)</f>
        <v/>
      </c>
      <c r="X70" s="224">
        <f>IF('DM_NHAN_SU'!$B70="","",'CHAM_CONG_THANG'!U70)</f>
        <v/>
      </c>
      <c r="Y70" s="224">
        <f>IF('DM_NHAN_SU'!$B70="","",IF($B70="",0,IF('DM_NHAN_SU'!$Q70&gt;0,'DM_NHAN_SU'!$Q70,IF($G70="Tháng",IF($I70*$J70&gt;0,'DM_NHAN_SU'!$K70/($I70*$J70),0),IF($G70="Ngày",IF($J70&gt;0,'DM_NHAN_SU'!$K70/$J70,0),IF($G70="Giờ",'DM_NHAN_SU'!$K70,0))))))</f>
        <v/>
      </c>
      <c r="Z70" s="224">
        <f>IF('DM_NHAN_SU'!$B70="","",$Y70*($M70*'THAM_SO'!$C$22+'CHAM_CONG_THANG'!$AF70*'THAM_SO'!$C$19+'CHAM_CONG_THANG'!$AG70*'THAM_SO'!$C$20+'CHAM_CONG_THANG'!$AH70*'THAM_SO'!$C$21+'CHAM_CONG_THANG'!$AI70*'THAM_SO'!$C$23+'CHAM_CONG_THANG'!$AJ70*'THAM_SO'!$C$24+'CHAM_CONG_THANG'!$AK70*'THAM_SO'!$C$25))</f>
        <v/>
      </c>
      <c r="AA70" s="224">
        <f>IF('DM_NHAN_SU'!$B70="","",MAX(0,$Y70*($M70*IF('THAM_SO'!$C$22&gt;='THAM_SO'!$B$22,'THAM_SO'!$B$22,0)+'CHAM_CONG_THANG'!$AF70*IF('THAM_SO'!$C$19&gt;='THAM_SO'!$B$19,'THAM_SO'!$B$19,0)+'CHAM_CONG_THANG'!$AG70*IF('THAM_SO'!$C$20&gt;='THAM_SO'!$B$20,'THAM_SO'!$B$20,0)+'CHAM_CONG_THANG'!$AH70*IF('THAM_SO'!$C$21&gt;='THAM_SO'!$B$21,'THAM_SO'!$B$21,0)+'CHAM_CONG_THANG'!$AI70*IF('THAM_SO'!$C$23&gt;='THAM_SO'!$B$23,'THAM_SO'!$B$23,0)+'CHAM_CONG_THANG'!$AJ70*IF('THAM_SO'!$C$24&gt;='THAM_SO'!$B$24,'THAM_SO'!$B$24,0)+'CHAM_CONG_THANG'!$AK70*IF('THAM_SO'!$C$25&gt;='THAM_SO'!$B$25,'THAM_SO'!$B$25,0))-'CHAM_CONG_THANG'!$V70))</f>
        <v/>
      </c>
      <c r="AB70" s="224">
        <f>IF('DM_NHAN_SU'!$B70="","",MAX($Z70-$AA70,0))</f>
        <v/>
      </c>
      <c r="AC70" s="224">
        <f>IF('DM_NHAN_SU'!$B70="","",$O70+$P70+$Q70+$R70+$S70+$V70+$AB70+$BO70+$BP70+$BQ70+$BR70)</f>
        <v/>
      </c>
      <c r="AD70" s="224">
        <f>IF('DM_NHAN_SU'!$B70="","",'DM_NHAN_SU'!N70+'DM_NHAN_SU'!O70+'DM_NHAN_SU'!P70)</f>
        <v/>
      </c>
      <c r="AE70" s="224">
        <f>IF('DM_NHAN_SU'!$B70="","",IF(OR('DM_NHAN_SU'!$R70&lt;&gt;"Có",'CHAM_CONG_THANG'!$AA70="Có",$BL70&gt;=14,$AD70&lt;=0),0,MIN(MAX($AD70,'THAM_SO'!$M$6),'THAM_SO'!$M$7)))</f>
        <v/>
      </c>
      <c r="AF70" s="224">
        <f>IF('DM_NHAN_SU'!$B70="","",IF(OR('DM_NHAN_SU'!$S70&lt;&gt;"Có",'CHAM_CONG_THANG'!$AA70="Có",$BL70&gt;=14,$AD70&lt;=0),0,MIN(MAX($AD70,VLOOKUP($H70,'THAM_SO'!$L$17:$P$20,4,FALSE)),VLOOKUP($H70,'THAM_SO'!$L$17:$P$20,5,FALSE))))</f>
        <v/>
      </c>
      <c r="AG70" s="224">
        <f>IF('DM_NHAN_SU'!$B70="","",$AE70*'THAM_SO'!$M$8)</f>
        <v/>
      </c>
      <c r="AH70" s="224">
        <f>IF('DM_NHAN_SU'!$B70="","",$AE70*'THAM_SO'!$M$9)</f>
        <v/>
      </c>
      <c r="AI70" s="224">
        <f>IF('DM_NHAN_SU'!$B70="","",$AF70*'THAM_SO'!$M$10)</f>
        <v/>
      </c>
      <c r="AJ70" s="224">
        <f>IF('DM_NHAN_SU'!$B70="","",SUM($AG70:$AI70))</f>
        <v/>
      </c>
      <c r="AK70" s="224">
        <f>IF('DM_NHAN_SU'!$B70="","",IF($B70="",0,'THAM_SO'!$F$4))</f>
        <v/>
      </c>
      <c r="AL70" s="224">
        <f>IF('DM_NHAN_SU'!$B70="","",IF($B70="",0,'DM_NHAN_SU'!$T70*'THAM_SO'!$F$5))</f>
        <v/>
      </c>
      <c r="AM70" s="224">
        <f>IF('DM_NHAN_SU'!$B70="","",'CHAM_CONG_THANG'!W70)</f>
        <v/>
      </c>
      <c r="AN70" s="224">
        <f>IF('DM_NHAN_SU'!$B70="","",MAX($AC70-$AK70-$AL70-$AM70,0))</f>
        <v/>
      </c>
      <c r="AO70" s="224">
        <f>IF('DM_NHAN_SU'!$B70="","",IF($B70="","",IF($F70="Net",IF($AC70&lt;=$AK70+$AL70+$AM70,$AC70+$AJ70,$AJ70+$AK70+$AL70+$AM70+IF($AN70&lt;='THAM_SO'!$J$10,($AN70-'THAM_SO'!$I$10)/(1-'THAM_SO'!$H$10),IF($AN70&lt;='THAM_SO'!$J$11,($AN70-'THAM_SO'!$I$11)/(1-'THAM_SO'!$H$11),IF($AN70&lt;='THAM_SO'!$J$12,($AN70-'THAM_SO'!$I$12)/(1-'THAM_SO'!$H$12),IF($AN70&lt;='THAM_SO'!$J$13,($AN70-'THAM_SO'!$I$13)/(1-'THAM_SO'!$H$13),($AN70-'THAM_SO'!$I$14)/(1-'THAM_SO'!$H$14)))))),$AC70)))</f>
        <v/>
      </c>
      <c r="AP70" s="224">
        <f>IF('DM_NHAN_SU'!$B70="","",$U70+$W70+$X70+$AA70+$BS70)</f>
        <v/>
      </c>
      <c r="AQ70" s="224">
        <f>IF('DM_NHAN_SU'!$B70="","",MAX($AO70-$AJ70-$AK70-$AL70-$AM70,0))</f>
        <v/>
      </c>
      <c r="AR70" s="224">
        <f>IF('DM_NHAN_SU'!$B70="","",IF($AQ70&lt;=0,0,$AQ70*VLOOKUP($AQ70,'THAM_SO'!$F$10:$I$14,3,TRUE)-VLOOKUP($AQ70,'THAM_SO'!$F$10:$I$14,4,TRUE)))</f>
        <v/>
      </c>
      <c r="AS70" s="224">
        <f>IF('DM_NHAN_SU'!$B70="","",$AO70+$AP70)</f>
        <v/>
      </c>
      <c r="AT70" s="224">
        <f>IF('DM_NHAN_SU'!$B70="","",$AS70-$AJ70-$AR70)</f>
        <v/>
      </c>
      <c r="AU70" s="224">
        <f>IF('DM_NHAN_SU'!$B70="","",'CHAM_CONG_THANG'!X70)</f>
        <v/>
      </c>
      <c r="AV70" s="224">
        <f>IF('DM_NHAN_SU'!$B70="","",'CHAM_CONG_THANG'!Y70+'QT_NGHI_VIEC'!AD70)</f>
        <v/>
      </c>
      <c r="AW70" s="224">
        <f>IF('DM_NHAN_SU'!$B70="","",'CHAM_CONG_THANG'!Z70)</f>
        <v/>
      </c>
      <c r="AX70" s="224">
        <f>IF('DM_NHAN_SU'!$B70="","",$AT70-$AU70-$AV70-$AW70-$BV70)</f>
        <v/>
      </c>
      <c r="AY70" s="224">
        <f>IF('DM_NHAN_SU'!$B70="","",$AE70*'THAM_SO'!$M$11)</f>
        <v/>
      </c>
      <c r="AZ70" s="224">
        <f>IF('DM_NHAN_SU'!$B70="","",$AE70*'THAM_SO'!$M$12)</f>
        <v/>
      </c>
      <c r="BA70" s="224">
        <f>IF('DM_NHAN_SU'!$B70="","",$AF70*'THAM_SO'!$M$13)</f>
        <v/>
      </c>
      <c r="BB70" s="224">
        <f>IF('DM_NHAN_SU'!$B70="","",$AE70*'THAM_SO'!$M$14)</f>
        <v/>
      </c>
      <c r="BC70" s="224">
        <f>IF('DM_NHAN_SU'!$B70="","",SUM($AY70:$BB70))</f>
        <v/>
      </c>
      <c r="BD70" s="224">
        <f>IF('DM_NHAN_SU'!$B70="","",$AS70+$BC70)</f>
        <v/>
      </c>
      <c r="BE70" s="224">
        <f>IF('DM_NHAN_SU'!$B70="","",VLOOKUP($H70,'THAM_SO'!$L$17:$P$20,2,FALSE))</f>
        <v/>
      </c>
      <c r="BF70" s="224">
        <f>IF('DM_NHAN_SU'!$B70="","",VLOOKUP($H70,'THAM_SO'!$L$17:$P$20,3,FALSE))</f>
        <v/>
      </c>
      <c r="BG70" s="150">
        <f>IF('DM_NHAN_SU'!$B70="","",IF($B70="","",IF(COUNTIF('DM_NHAN_SU'!$B$6:$B$155,$B70)&gt;1,"Trùng mã NV; ","")&amp;IF(OR($F70="",$G70=""),"Thiếu loại/hình thức lương; ","")&amp;IF('CHAM_CONG_THANG'!$D70="","Chưa chọn nguồn công; ","")&amp;IF(AND('CHAM_CONG_THANG'!$D70="Theo ngày",COUNTIF('CHAM_CONG_NGAY'!$B$6:$B$4655,$B70)=0),"Chưa có chấm công ngày; ","")&amp;IF(OR($I70&lt;=0,$J70&lt;=0),"Thiếu công/giờ chuẩn; ","")&amp;IF(AND($G70="Tháng",'DM_NHAN_SU'!$K70&lt;$BE70),"Lương tháng dưới tối thiểu vùng; ","")&amp;IF(AND($G70="Ngày",'DM_NHAN_SU'!$K70/$J70&lt;$BF70),"Lương ngày quy đổi dưới tối thiểu giờ; ","")&amp;IF(AND($G70="Giờ",'DM_NHAN_SU'!$K70&lt;$BF70),"Lương giờ dưới tối thiểu vùng; ","")&amp;IF(AND($G70="Sản phẩm",$L70&gt;0,$O70/$L70&lt;$BF70),"Lương SP quy đổi dưới tối thiểu giờ; ","")&amp;IF(OR('THAM_SO'!$C$19&lt;'THAM_SO'!$B$19,'THAM_SO'!$C$20&lt;'THAM_SO'!$B$20,'THAM_SO'!$C$21&lt;'THAM_SO'!$B$21,'THAM_SO'!$C$22&lt;'THAM_SO'!$B$22,'THAM_SO'!$C$23&lt;'THAM_SO'!$B$23,'THAM_SO'!$C$24&lt;'THAM_SO'!$B$24,'THAM_SO'!$C$25&lt;'THAM_SO'!$B$25),"Hệ số OT/đêm DN thấp hơn luật; ","")&amp;IF(AND('DM_NHAN_SU'!$R70="Có",$AD70&lt;=0),"Thiếu căn cứ đóng BH; ","")&amp;IF(AND($AD70&gt;0,$AD70&lt;'THAM_SO'!$M$6),"Căn cứ BH dưới sàn – đã nâng sàn; ","")&amp;IF($AD70&gt;'THAM_SO'!$M$7,"Căn cứ BH vượt trần – đã giới hạn; ","")&amp;IF(AND($F70="Net",SUM('CHAM_CONG_THANG'!$AF70:$AK70)&gt;0,'DM_NHAN_SU'!$Q70&lt;=0),"Net có OT nhưng chưa khai lương giờ OT; ","")&amp;IF('CHAM_CONG_THANG'!$V70&gt;$Z70,"Phần OT không miễn lớn hơn tiền OT; ","")&amp;IF(AND($F70="Net",ABS($AT70-$AC70-$AP70)&gt;1),"Lệch quy đổi Net; ","")&amp;IF(AND($BH70&gt;0,'DM_NHAN_SU'!$AD70=""),"Có phép năm nhưng đang tạm dùng 12 ngày; ","")&amp;IF(AND($G70="Sản phẩm",SUM($BH70:$BJ70)&gt;0,'DM_NHAN_SU'!$AH70&lt;=0),"Lương sản phẩm thiếu đơn giá ngày phép/lễ; ","")&amp;IF(AND($BL70&gt;=14,'CHAM_CONG_THANG'!$AA70&lt;&gt;"Có"),"Thai sản từ 14 ngày: file tự dừng đóng BH – kiểm tra hồ sơ; ","")&amp;IF(AND('DM_NHAN_SU'!$AA70="Có",'DM_NHAN_SU'!$AB70=""),"Đoàn viên chưa chọn cách tính đoàn phí; ","")&amp;IF(AND('DM_NHAN_SU'!$AB70="Nhập tay",'DM_NHAN_SU'!$AC70&gt;'THAM_SO'!$M$26),"Đoàn phí nhập tay vượt trần thông dụng; ","")&amp;IF('NGHI_PHEP'!$L70&lt;&gt;"","Phép: "&amp;'NGHI_PHEP'!$L70,"")&amp;IF('CHE_DO_BHXH'!$AA70&lt;&gt;"","BHXH: "&amp;'CHE_DO_BHXH'!$AA70,"")&amp;IF('THUONG_T13_TET'!$O70&lt;&gt;"","Thưởng: "&amp;'THUONG_T13_TET'!$O70,"")&amp;IF('QT_NGHI_VIEC'!$AF70&lt;&gt;"","Nghỉ việc: "&amp;'QT_NGHI_VIEC'!$AF70,"")&amp;IF($AX70&lt;0,"Thực lĩnh âm; ","")&amp;IF(OR('DM_NHAN_SU'!$F70&gt;'THAM_SO'!$B$7,AND('DM_NHAN_SU'!$G70&lt;&gt;"",'DM_NHAN_SU'!$G70&lt;'THAM_SO'!$B$6)),"Ngoài kỳ trả lương; ","")))</f>
        <v/>
      </c>
      <c r="BH70" s="232">
        <f>IF('DM_NHAN_SU'!$B70="","",'CHAM_CONG_THANG'!AR70)</f>
        <v/>
      </c>
      <c r="BI70" s="232">
        <f>IF('DM_NHAN_SU'!$B70="","",'CHAM_CONG_THANG'!AS70)</f>
        <v/>
      </c>
      <c r="BJ70" s="232">
        <f>IF('DM_NHAN_SU'!$B70="","",'CHAM_CONG_THANG'!AT70)</f>
        <v/>
      </c>
      <c r="BK70" s="232">
        <f>IF('DM_NHAN_SU'!$B70="","",'CHAM_CONG_THANG'!AU70)</f>
        <v/>
      </c>
      <c r="BL70" s="232">
        <f>IF('DM_NHAN_SU'!$B70="","",'CHAM_CONG_THANG'!AV70)</f>
        <v/>
      </c>
      <c r="BM70" s="232">
        <f>IF('DM_NHAN_SU'!$B70="","",'CHAM_CONG_THANG'!AW70)</f>
        <v/>
      </c>
      <c r="BN70" s="232">
        <f>IF('DM_NHAN_SU'!$B70="","",SUM($K70,$BH70:$BJ70))</f>
        <v/>
      </c>
      <c r="BO70" s="224">
        <f>IF('DM_NHAN_SU'!$B70="","",IF($B70="",0,IF($G70="Tháng",IF($I70&gt;0,'DM_NHAN_SU'!$K70*MIN($BH70+$BJ70,MAX($I70-$K70,0))/$I70,0),IF($G70="Ngày",'DM_NHAN_SU'!$K70*SUM($BH70:$BJ70),IF($G70="Giờ",'DM_NHAN_SU'!$K70*SUM($BH70:$BJ70)*$J70,IF($G70="Sản phẩm",'DM_NHAN_SU'!$AH70*SUM($BH70:$BJ70),0))))))</f>
        <v/>
      </c>
      <c r="BP70" s="224">
        <f>IF('DM_NHAN_SU'!$B70="","",IF('THUONG_T13_TET'!$L70="Có",'THUONG_T13_TET'!$I70,0))</f>
        <v/>
      </c>
      <c r="BQ70" s="224">
        <f>IF('DM_NHAN_SU'!$B70="","",IF('THUONG_T13_TET'!$L70="Có",SUM('THUONG_T13_TET'!$J70:$K70),0))</f>
        <v/>
      </c>
      <c r="BR70" s="224">
        <f>IF('DM_NHAN_SU'!$B70="","",'QT_NGHI_VIEC'!AC70)</f>
        <v/>
      </c>
      <c r="BS70" s="224">
        <f>IF('DM_NHAN_SU'!$B70="","",'QT_NGHI_VIEC'!AB70)</f>
        <v/>
      </c>
      <c r="BT70" s="224">
        <f>IF('DM_NHAN_SU'!$B70="","",IF('CHE_DO_BHXH'!$Z70="Có",'CHE_DO_BHXH'!$W70,0))</f>
        <v/>
      </c>
      <c r="BU70" s="224">
        <f>IF('DM_NHAN_SU'!$B70="","",IF('CHE_DO_BHXH'!$Y70="DN trả thay",$BT70,0))</f>
        <v/>
      </c>
      <c r="BV70" s="224">
        <f>IF('DM_NHAN_SU'!$B70="","",IF(OR('DM_NHAN_SU'!$AA70&lt;&gt;"Có",'CHE_DO_BHXH'!$O70&gt;=1,SUM('CHE_DO_BHXH'!$D70,'CHE_DO_BHXH'!$G70,'CHE_DO_BHXH'!$K70)&gt;=24,AND($I70&gt;0,$BM70&gt;=$I70)),0,IF('DM_NHAN_SU'!$AB70="Không",0,IF('DM_NHAN_SU'!$AB70="Nhập tay",'DM_NHAN_SU'!$AC70,IF('DM_NHAN_SU'!$AB70="Theo thực nhận",MIN(MAX($AT70-$AU70-$AV70-$AW70,0)*'THAM_SO'!$M$23,'THAM_SO'!$M$26),MIN($AE70*'THAM_SO'!$M$23,'THAM_SO'!$M$26))))))</f>
        <v/>
      </c>
      <c r="BW70" s="224">
        <f>IF('DM_NHAN_SU'!$B70="","",$AX70+$BU70)</f>
        <v/>
      </c>
    </row>
    <row r="71">
      <c r="A71" s="145">
        <f>IF('DM_NHAN_SU'!$B71="","",IF($B71="","",ROW()-5))</f>
        <v/>
      </c>
      <c r="B71" s="145">
        <f>IF('DM_NHAN_SU'!$B71="","",'DM_NHAN_SU'!B71)</f>
        <v/>
      </c>
      <c r="C71" s="145">
        <f>IF('DM_NHAN_SU'!$B71="","",'DM_NHAN_SU'!C71)</f>
        <v/>
      </c>
      <c r="D71" s="145">
        <f>IF('DM_NHAN_SU'!$B71="","",'DM_NHAN_SU'!D71)</f>
        <v/>
      </c>
      <c r="E71" s="145">
        <f>IF('DM_NHAN_SU'!$B71="","",'DM_NHAN_SU'!E71)</f>
        <v/>
      </c>
      <c r="F71" s="145">
        <f>IF('DM_NHAN_SU'!$B71="","",'DM_NHAN_SU'!I71)</f>
        <v/>
      </c>
      <c r="G71" s="145">
        <f>IF('DM_NHAN_SU'!$B71="","",'DM_NHAN_SU'!J71)</f>
        <v/>
      </c>
      <c r="H71" s="145">
        <f>IF('DM_NHAN_SU'!$B71="","",IF('DM_NHAN_SU'!H71="",'THAM_SO'!$B$11,'DM_NHAN_SU'!H71))</f>
        <v/>
      </c>
      <c r="I71" s="232">
        <f>IF('DM_NHAN_SU'!$B71="","",IF('DM_NHAN_SU'!L71&gt;0,'DM_NHAN_SU'!L71,'THAM_SO'!$B$9))</f>
        <v/>
      </c>
      <c r="J71" s="232">
        <f>IF('DM_NHAN_SU'!$B71="","",IF('DM_NHAN_SU'!M71&gt;0,'DM_NHAN_SU'!M71,'THAM_SO'!$B$10))</f>
        <v/>
      </c>
      <c r="K71" s="232">
        <f>IF('DM_NHAN_SU'!$B71="","",'CHAM_CONG_THANG'!AC71)</f>
        <v/>
      </c>
      <c r="L71" s="232">
        <f>IF('DM_NHAN_SU'!$B71="","",'CHAM_CONG_THANG'!AD71)</f>
        <v/>
      </c>
      <c r="M71" s="232">
        <f>IF('DM_NHAN_SU'!$B71="","",'CHAM_CONG_THANG'!AE71)</f>
        <v/>
      </c>
      <c r="N71" s="232">
        <f>IF('DM_NHAN_SU'!$B71="","",'CHAM_CONG_THANG'!N71)</f>
        <v/>
      </c>
      <c r="O71" s="224">
        <f>IF('DM_NHAN_SU'!$B71="","",IF($B71="","",IF($G71="Tháng",IF($I71&gt;0,'DM_NHAN_SU'!$K71*MIN($K71,$I71)/$I71,0),IF($G71="Ngày",'DM_NHAN_SU'!$K71*$K71,IF($G71="Giờ",'DM_NHAN_SU'!$K71*$L71,IF($G71="Sản phẩm",'DM_NHAN_SU'!$K71*$N71,0))))))</f>
        <v/>
      </c>
      <c r="P71" s="224">
        <f>IF('DM_NHAN_SU'!$B71="","",'CHAM_CONG_THANG'!O71)</f>
        <v/>
      </c>
      <c r="Q71" s="224">
        <f>IF('DM_NHAN_SU'!$B71="","",'CHAM_CONG_THANG'!P71)</f>
        <v/>
      </c>
      <c r="R71" s="224">
        <f>IF('DM_NHAN_SU'!$B71="","",'CHAM_CONG_THANG'!Q71)</f>
        <v/>
      </c>
      <c r="S71" s="224">
        <f>IF('DM_NHAN_SU'!$B71="","",'CHAM_CONG_THANG'!R71)</f>
        <v/>
      </c>
      <c r="T71" s="224">
        <f>IF('DM_NHAN_SU'!$B71="","",'CHAM_CONG_THANG'!S71)</f>
        <v/>
      </c>
      <c r="U71" s="224">
        <f>IF('DM_NHAN_SU'!$B71="","",MIN($T71,'THAM_SO'!$F$6))</f>
        <v/>
      </c>
      <c r="V71" s="224">
        <f>IF('DM_NHAN_SU'!$B71="","",MAX($T71-$U71,0))</f>
        <v/>
      </c>
      <c r="W71" s="224">
        <f>IF('DM_NHAN_SU'!$B71="","",'CHAM_CONG_THANG'!T71)</f>
        <v/>
      </c>
      <c r="X71" s="224">
        <f>IF('DM_NHAN_SU'!$B71="","",'CHAM_CONG_THANG'!U71)</f>
        <v/>
      </c>
      <c r="Y71" s="224">
        <f>IF('DM_NHAN_SU'!$B71="","",IF($B71="",0,IF('DM_NHAN_SU'!$Q71&gt;0,'DM_NHAN_SU'!$Q71,IF($G71="Tháng",IF($I71*$J71&gt;0,'DM_NHAN_SU'!$K71/($I71*$J71),0),IF($G71="Ngày",IF($J71&gt;0,'DM_NHAN_SU'!$K71/$J71,0),IF($G71="Giờ",'DM_NHAN_SU'!$K71,0))))))</f>
        <v/>
      </c>
      <c r="Z71" s="224">
        <f>IF('DM_NHAN_SU'!$B71="","",$Y71*($M71*'THAM_SO'!$C$22+'CHAM_CONG_THANG'!$AF71*'THAM_SO'!$C$19+'CHAM_CONG_THANG'!$AG71*'THAM_SO'!$C$20+'CHAM_CONG_THANG'!$AH71*'THAM_SO'!$C$21+'CHAM_CONG_THANG'!$AI71*'THAM_SO'!$C$23+'CHAM_CONG_THANG'!$AJ71*'THAM_SO'!$C$24+'CHAM_CONG_THANG'!$AK71*'THAM_SO'!$C$25))</f>
        <v/>
      </c>
      <c r="AA71" s="224">
        <f>IF('DM_NHAN_SU'!$B71="","",MAX(0,$Y71*($M71*IF('THAM_SO'!$C$22&gt;='THAM_SO'!$B$22,'THAM_SO'!$B$22,0)+'CHAM_CONG_THANG'!$AF71*IF('THAM_SO'!$C$19&gt;='THAM_SO'!$B$19,'THAM_SO'!$B$19,0)+'CHAM_CONG_THANG'!$AG71*IF('THAM_SO'!$C$20&gt;='THAM_SO'!$B$20,'THAM_SO'!$B$20,0)+'CHAM_CONG_THANG'!$AH71*IF('THAM_SO'!$C$21&gt;='THAM_SO'!$B$21,'THAM_SO'!$B$21,0)+'CHAM_CONG_THANG'!$AI71*IF('THAM_SO'!$C$23&gt;='THAM_SO'!$B$23,'THAM_SO'!$B$23,0)+'CHAM_CONG_THANG'!$AJ71*IF('THAM_SO'!$C$24&gt;='THAM_SO'!$B$24,'THAM_SO'!$B$24,0)+'CHAM_CONG_THANG'!$AK71*IF('THAM_SO'!$C$25&gt;='THAM_SO'!$B$25,'THAM_SO'!$B$25,0))-'CHAM_CONG_THANG'!$V71))</f>
        <v/>
      </c>
      <c r="AB71" s="224">
        <f>IF('DM_NHAN_SU'!$B71="","",MAX($Z71-$AA71,0))</f>
        <v/>
      </c>
      <c r="AC71" s="224">
        <f>IF('DM_NHAN_SU'!$B71="","",$O71+$P71+$Q71+$R71+$S71+$V71+$AB71+$BO71+$BP71+$BQ71+$BR71)</f>
        <v/>
      </c>
      <c r="AD71" s="224">
        <f>IF('DM_NHAN_SU'!$B71="","",'DM_NHAN_SU'!N71+'DM_NHAN_SU'!O71+'DM_NHAN_SU'!P71)</f>
        <v/>
      </c>
      <c r="AE71" s="224">
        <f>IF('DM_NHAN_SU'!$B71="","",IF(OR('DM_NHAN_SU'!$R71&lt;&gt;"Có",'CHAM_CONG_THANG'!$AA71="Có",$BL71&gt;=14,$AD71&lt;=0),0,MIN(MAX($AD71,'THAM_SO'!$M$6),'THAM_SO'!$M$7)))</f>
        <v/>
      </c>
      <c r="AF71" s="224">
        <f>IF('DM_NHAN_SU'!$B71="","",IF(OR('DM_NHAN_SU'!$S71&lt;&gt;"Có",'CHAM_CONG_THANG'!$AA71="Có",$BL71&gt;=14,$AD71&lt;=0),0,MIN(MAX($AD71,VLOOKUP($H71,'THAM_SO'!$L$17:$P$20,4,FALSE)),VLOOKUP($H71,'THAM_SO'!$L$17:$P$20,5,FALSE))))</f>
        <v/>
      </c>
      <c r="AG71" s="224">
        <f>IF('DM_NHAN_SU'!$B71="","",$AE71*'THAM_SO'!$M$8)</f>
        <v/>
      </c>
      <c r="AH71" s="224">
        <f>IF('DM_NHAN_SU'!$B71="","",$AE71*'THAM_SO'!$M$9)</f>
        <v/>
      </c>
      <c r="AI71" s="224">
        <f>IF('DM_NHAN_SU'!$B71="","",$AF71*'THAM_SO'!$M$10)</f>
        <v/>
      </c>
      <c r="AJ71" s="224">
        <f>IF('DM_NHAN_SU'!$B71="","",SUM($AG71:$AI71))</f>
        <v/>
      </c>
      <c r="AK71" s="224">
        <f>IF('DM_NHAN_SU'!$B71="","",IF($B71="",0,'THAM_SO'!$F$4))</f>
        <v/>
      </c>
      <c r="AL71" s="224">
        <f>IF('DM_NHAN_SU'!$B71="","",IF($B71="",0,'DM_NHAN_SU'!$T71*'THAM_SO'!$F$5))</f>
        <v/>
      </c>
      <c r="AM71" s="224">
        <f>IF('DM_NHAN_SU'!$B71="","",'CHAM_CONG_THANG'!W71)</f>
        <v/>
      </c>
      <c r="AN71" s="224">
        <f>IF('DM_NHAN_SU'!$B71="","",MAX($AC71-$AK71-$AL71-$AM71,0))</f>
        <v/>
      </c>
      <c r="AO71" s="224">
        <f>IF('DM_NHAN_SU'!$B71="","",IF($B71="","",IF($F71="Net",IF($AC71&lt;=$AK71+$AL71+$AM71,$AC71+$AJ71,$AJ71+$AK71+$AL71+$AM71+IF($AN71&lt;='THAM_SO'!$J$10,($AN71-'THAM_SO'!$I$10)/(1-'THAM_SO'!$H$10),IF($AN71&lt;='THAM_SO'!$J$11,($AN71-'THAM_SO'!$I$11)/(1-'THAM_SO'!$H$11),IF($AN71&lt;='THAM_SO'!$J$12,($AN71-'THAM_SO'!$I$12)/(1-'THAM_SO'!$H$12),IF($AN71&lt;='THAM_SO'!$J$13,($AN71-'THAM_SO'!$I$13)/(1-'THAM_SO'!$H$13),($AN71-'THAM_SO'!$I$14)/(1-'THAM_SO'!$H$14)))))),$AC71)))</f>
        <v/>
      </c>
      <c r="AP71" s="224">
        <f>IF('DM_NHAN_SU'!$B71="","",$U71+$W71+$X71+$AA71+$BS71)</f>
        <v/>
      </c>
      <c r="AQ71" s="224">
        <f>IF('DM_NHAN_SU'!$B71="","",MAX($AO71-$AJ71-$AK71-$AL71-$AM71,0))</f>
        <v/>
      </c>
      <c r="AR71" s="224">
        <f>IF('DM_NHAN_SU'!$B71="","",IF($AQ71&lt;=0,0,$AQ71*VLOOKUP($AQ71,'THAM_SO'!$F$10:$I$14,3,TRUE)-VLOOKUP($AQ71,'THAM_SO'!$F$10:$I$14,4,TRUE)))</f>
        <v/>
      </c>
      <c r="AS71" s="224">
        <f>IF('DM_NHAN_SU'!$B71="","",$AO71+$AP71)</f>
        <v/>
      </c>
      <c r="AT71" s="224">
        <f>IF('DM_NHAN_SU'!$B71="","",$AS71-$AJ71-$AR71)</f>
        <v/>
      </c>
      <c r="AU71" s="224">
        <f>IF('DM_NHAN_SU'!$B71="","",'CHAM_CONG_THANG'!X71)</f>
        <v/>
      </c>
      <c r="AV71" s="224">
        <f>IF('DM_NHAN_SU'!$B71="","",'CHAM_CONG_THANG'!Y71+'QT_NGHI_VIEC'!AD71)</f>
        <v/>
      </c>
      <c r="AW71" s="224">
        <f>IF('DM_NHAN_SU'!$B71="","",'CHAM_CONG_THANG'!Z71)</f>
        <v/>
      </c>
      <c r="AX71" s="224">
        <f>IF('DM_NHAN_SU'!$B71="","",$AT71-$AU71-$AV71-$AW71-$BV71)</f>
        <v/>
      </c>
      <c r="AY71" s="224">
        <f>IF('DM_NHAN_SU'!$B71="","",$AE71*'THAM_SO'!$M$11)</f>
        <v/>
      </c>
      <c r="AZ71" s="224">
        <f>IF('DM_NHAN_SU'!$B71="","",$AE71*'THAM_SO'!$M$12)</f>
        <v/>
      </c>
      <c r="BA71" s="224">
        <f>IF('DM_NHAN_SU'!$B71="","",$AF71*'THAM_SO'!$M$13)</f>
        <v/>
      </c>
      <c r="BB71" s="224">
        <f>IF('DM_NHAN_SU'!$B71="","",$AE71*'THAM_SO'!$M$14)</f>
        <v/>
      </c>
      <c r="BC71" s="224">
        <f>IF('DM_NHAN_SU'!$B71="","",SUM($AY71:$BB71))</f>
        <v/>
      </c>
      <c r="BD71" s="224">
        <f>IF('DM_NHAN_SU'!$B71="","",$AS71+$BC71)</f>
        <v/>
      </c>
      <c r="BE71" s="224">
        <f>IF('DM_NHAN_SU'!$B71="","",VLOOKUP($H71,'THAM_SO'!$L$17:$P$20,2,FALSE))</f>
        <v/>
      </c>
      <c r="BF71" s="224">
        <f>IF('DM_NHAN_SU'!$B71="","",VLOOKUP($H71,'THAM_SO'!$L$17:$P$20,3,FALSE))</f>
        <v/>
      </c>
      <c r="BG71" s="150">
        <f>IF('DM_NHAN_SU'!$B71="","",IF($B71="","",IF(COUNTIF('DM_NHAN_SU'!$B$6:$B$155,$B71)&gt;1,"Trùng mã NV; ","")&amp;IF(OR($F71="",$G71=""),"Thiếu loại/hình thức lương; ","")&amp;IF('CHAM_CONG_THANG'!$D71="","Chưa chọn nguồn công; ","")&amp;IF(AND('CHAM_CONG_THANG'!$D71="Theo ngày",COUNTIF('CHAM_CONG_NGAY'!$B$6:$B$4655,$B71)=0),"Chưa có chấm công ngày; ","")&amp;IF(OR($I71&lt;=0,$J71&lt;=0),"Thiếu công/giờ chuẩn; ","")&amp;IF(AND($G71="Tháng",'DM_NHAN_SU'!$K71&lt;$BE71),"Lương tháng dưới tối thiểu vùng; ","")&amp;IF(AND($G71="Ngày",'DM_NHAN_SU'!$K71/$J71&lt;$BF71),"Lương ngày quy đổi dưới tối thiểu giờ; ","")&amp;IF(AND($G71="Giờ",'DM_NHAN_SU'!$K71&lt;$BF71),"Lương giờ dưới tối thiểu vùng; ","")&amp;IF(AND($G71="Sản phẩm",$L71&gt;0,$O71/$L71&lt;$BF71),"Lương SP quy đổi dưới tối thiểu giờ; ","")&amp;IF(OR('THAM_SO'!$C$19&lt;'THAM_SO'!$B$19,'THAM_SO'!$C$20&lt;'THAM_SO'!$B$20,'THAM_SO'!$C$21&lt;'THAM_SO'!$B$21,'THAM_SO'!$C$22&lt;'THAM_SO'!$B$22,'THAM_SO'!$C$23&lt;'THAM_SO'!$B$23,'THAM_SO'!$C$24&lt;'THAM_SO'!$B$24,'THAM_SO'!$C$25&lt;'THAM_SO'!$B$25),"Hệ số OT/đêm DN thấp hơn luật; ","")&amp;IF(AND('DM_NHAN_SU'!$R71="Có",$AD71&lt;=0),"Thiếu căn cứ đóng BH; ","")&amp;IF(AND($AD71&gt;0,$AD71&lt;'THAM_SO'!$M$6),"Căn cứ BH dưới sàn – đã nâng sàn; ","")&amp;IF($AD71&gt;'THAM_SO'!$M$7,"Căn cứ BH vượt trần – đã giới hạn; ","")&amp;IF(AND($F71="Net",SUM('CHAM_CONG_THANG'!$AF71:$AK71)&gt;0,'DM_NHAN_SU'!$Q71&lt;=0),"Net có OT nhưng chưa khai lương giờ OT; ","")&amp;IF('CHAM_CONG_THANG'!$V71&gt;$Z71,"Phần OT không miễn lớn hơn tiền OT; ","")&amp;IF(AND($F71="Net",ABS($AT71-$AC71-$AP71)&gt;1),"Lệch quy đổi Net; ","")&amp;IF(AND($BH71&gt;0,'DM_NHAN_SU'!$AD71=""),"Có phép năm nhưng đang tạm dùng 12 ngày; ","")&amp;IF(AND($G71="Sản phẩm",SUM($BH71:$BJ71)&gt;0,'DM_NHAN_SU'!$AH71&lt;=0),"Lương sản phẩm thiếu đơn giá ngày phép/lễ; ","")&amp;IF(AND($BL71&gt;=14,'CHAM_CONG_THANG'!$AA71&lt;&gt;"Có"),"Thai sản từ 14 ngày: file tự dừng đóng BH – kiểm tra hồ sơ; ","")&amp;IF(AND('DM_NHAN_SU'!$AA71="Có",'DM_NHAN_SU'!$AB71=""),"Đoàn viên chưa chọn cách tính đoàn phí; ","")&amp;IF(AND('DM_NHAN_SU'!$AB71="Nhập tay",'DM_NHAN_SU'!$AC71&gt;'THAM_SO'!$M$26),"Đoàn phí nhập tay vượt trần thông dụng; ","")&amp;IF('NGHI_PHEP'!$L71&lt;&gt;"","Phép: "&amp;'NGHI_PHEP'!$L71,"")&amp;IF('CHE_DO_BHXH'!$AA71&lt;&gt;"","BHXH: "&amp;'CHE_DO_BHXH'!$AA71,"")&amp;IF('THUONG_T13_TET'!$O71&lt;&gt;"","Thưởng: "&amp;'THUONG_T13_TET'!$O71,"")&amp;IF('QT_NGHI_VIEC'!$AF71&lt;&gt;"","Nghỉ việc: "&amp;'QT_NGHI_VIEC'!$AF71,"")&amp;IF($AX71&lt;0,"Thực lĩnh âm; ","")&amp;IF(OR('DM_NHAN_SU'!$F71&gt;'THAM_SO'!$B$7,AND('DM_NHAN_SU'!$G71&lt;&gt;"",'DM_NHAN_SU'!$G71&lt;'THAM_SO'!$B$6)),"Ngoài kỳ trả lương; ","")))</f>
        <v/>
      </c>
      <c r="BH71" s="232">
        <f>IF('DM_NHAN_SU'!$B71="","",'CHAM_CONG_THANG'!AR71)</f>
        <v/>
      </c>
      <c r="BI71" s="232">
        <f>IF('DM_NHAN_SU'!$B71="","",'CHAM_CONG_THANG'!AS71)</f>
        <v/>
      </c>
      <c r="BJ71" s="232">
        <f>IF('DM_NHAN_SU'!$B71="","",'CHAM_CONG_THANG'!AT71)</f>
        <v/>
      </c>
      <c r="BK71" s="232">
        <f>IF('DM_NHAN_SU'!$B71="","",'CHAM_CONG_THANG'!AU71)</f>
        <v/>
      </c>
      <c r="BL71" s="232">
        <f>IF('DM_NHAN_SU'!$B71="","",'CHAM_CONG_THANG'!AV71)</f>
        <v/>
      </c>
      <c r="BM71" s="232">
        <f>IF('DM_NHAN_SU'!$B71="","",'CHAM_CONG_THANG'!AW71)</f>
        <v/>
      </c>
      <c r="BN71" s="232">
        <f>IF('DM_NHAN_SU'!$B71="","",SUM($K71,$BH71:$BJ71))</f>
        <v/>
      </c>
      <c r="BO71" s="224">
        <f>IF('DM_NHAN_SU'!$B71="","",IF($B71="",0,IF($G71="Tháng",IF($I71&gt;0,'DM_NHAN_SU'!$K71*MIN($BH71+$BJ71,MAX($I71-$K71,0))/$I71,0),IF($G71="Ngày",'DM_NHAN_SU'!$K71*SUM($BH71:$BJ71),IF($G71="Giờ",'DM_NHAN_SU'!$K71*SUM($BH71:$BJ71)*$J71,IF($G71="Sản phẩm",'DM_NHAN_SU'!$AH71*SUM($BH71:$BJ71),0))))))</f>
        <v/>
      </c>
      <c r="BP71" s="224">
        <f>IF('DM_NHAN_SU'!$B71="","",IF('THUONG_T13_TET'!$L71="Có",'THUONG_T13_TET'!$I71,0))</f>
        <v/>
      </c>
      <c r="BQ71" s="224">
        <f>IF('DM_NHAN_SU'!$B71="","",IF('THUONG_T13_TET'!$L71="Có",SUM('THUONG_T13_TET'!$J71:$K71),0))</f>
        <v/>
      </c>
      <c r="BR71" s="224">
        <f>IF('DM_NHAN_SU'!$B71="","",'QT_NGHI_VIEC'!AC71)</f>
        <v/>
      </c>
      <c r="BS71" s="224">
        <f>IF('DM_NHAN_SU'!$B71="","",'QT_NGHI_VIEC'!AB71)</f>
        <v/>
      </c>
      <c r="BT71" s="224">
        <f>IF('DM_NHAN_SU'!$B71="","",IF('CHE_DO_BHXH'!$Z71="Có",'CHE_DO_BHXH'!$W71,0))</f>
        <v/>
      </c>
      <c r="BU71" s="224">
        <f>IF('DM_NHAN_SU'!$B71="","",IF('CHE_DO_BHXH'!$Y71="DN trả thay",$BT71,0))</f>
        <v/>
      </c>
      <c r="BV71" s="224">
        <f>IF('DM_NHAN_SU'!$B71="","",IF(OR('DM_NHAN_SU'!$AA71&lt;&gt;"Có",'CHE_DO_BHXH'!$O71&gt;=1,SUM('CHE_DO_BHXH'!$D71,'CHE_DO_BHXH'!$G71,'CHE_DO_BHXH'!$K71)&gt;=24,AND($I71&gt;0,$BM71&gt;=$I71)),0,IF('DM_NHAN_SU'!$AB71="Không",0,IF('DM_NHAN_SU'!$AB71="Nhập tay",'DM_NHAN_SU'!$AC71,IF('DM_NHAN_SU'!$AB71="Theo thực nhận",MIN(MAX($AT71-$AU71-$AV71-$AW71,0)*'THAM_SO'!$M$23,'THAM_SO'!$M$26),MIN($AE71*'THAM_SO'!$M$23,'THAM_SO'!$M$26))))))</f>
        <v/>
      </c>
      <c r="BW71" s="224">
        <f>IF('DM_NHAN_SU'!$B71="","",$AX71+$BU71)</f>
        <v/>
      </c>
    </row>
    <row r="72">
      <c r="A72" s="145">
        <f>IF('DM_NHAN_SU'!$B72="","",IF($B72="","",ROW()-5))</f>
        <v/>
      </c>
      <c r="B72" s="145">
        <f>IF('DM_NHAN_SU'!$B72="","",'DM_NHAN_SU'!B72)</f>
        <v/>
      </c>
      <c r="C72" s="145">
        <f>IF('DM_NHAN_SU'!$B72="","",'DM_NHAN_SU'!C72)</f>
        <v/>
      </c>
      <c r="D72" s="145">
        <f>IF('DM_NHAN_SU'!$B72="","",'DM_NHAN_SU'!D72)</f>
        <v/>
      </c>
      <c r="E72" s="145">
        <f>IF('DM_NHAN_SU'!$B72="","",'DM_NHAN_SU'!E72)</f>
        <v/>
      </c>
      <c r="F72" s="145">
        <f>IF('DM_NHAN_SU'!$B72="","",'DM_NHAN_SU'!I72)</f>
        <v/>
      </c>
      <c r="G72" s="145">
        <f>IF('DM_NHAN_SU'!$B72="","",'DM_NHAN_SU'!J72)</f>
        <v/>
      </c>
      <c r="H72" s="145">
        <f>IF('DM_NHAN_SU'!$B72="","",IF('DM_NHAN_SU'!H72="",'THAM_SO'!$B$11,'DM_NHAN_SU'!H72))</f>
        <v/>
      </c>
      <c r="I72" s="232">
        <f>IF('DM_NHAN_SU'!$B72="","",IF('DM_NHAN_SU'!L72&gt;0,'DM_NHAN_SU'!L72,'THAM_SO'!$B$9))</f>
        <v/>
      </c>
      <c r="J72" s="232">
        <f>IF('DM_NHAN_SU'!$B72="","",IF('DM_NHAN_SU'!M72&gt;0,'DM_NHAN_SU'!M72,'THAM_SO'!$B$10))</f>
        <v/>
      </c>
      <c r="K72" s="232">
        <f>IF('DM_NHAN_SU'!$B72="","",'CHAM_CONG_THANG'!AC72)</f>
        <v/>
      </c>
      <c r="L72" s="232">
        <f>IF('DM_NHAN_SU'!$B72="","",'CHAM_CONG_THANG'!AD72)</f>
        <v/>
      </c>
      <c r="M72" s="232">
        <f>IF('DM_NHAN_SU'!$B72="","",'CHAM_CONG_THANG'!AE72)</f>
        <v/>
      </c>
      <c r="N72" s="232">
        <f>IF('DM_NHAN_SU'!$B72="","",'CHAM_CONG_THANG'!N72)</f>
        <v/>
      </c>
      <c r="O72" s="224">
        <f>IF('DM_NHAN_SU'!$B72="","",IF($B72="","",IF($G72="Tháng",IF($I72&gt;0,'DM_NHAN_SU'!$K72*MIN($K72,$I72)/$I72,0),IF($G72="Ngày",'DM_NHAN_SU'!$K72*$K72,IF($G72="Giờ",'DM_NHAN_SU'!$K72*$L72,IF($G72="Sản phẩm",'DM_NHAN_SU'!$K72*$N72,0))))))</f>
        <v/>
      </c>
      <c r="P72" s="224">
        <f>IF('DM_NHAN_SU'!$B72="","",'CHAM_CONG_THANG'!O72)</f>
        <v/>
      </c>
      <c r="Q72" s="224">
        <f>IF('DM_NHAN_SU'!$B72="","",'CHAM_CONG_THANG'!P72)</f>
        <v/>
      </c>
      <c r="R72" s="224">
        <f>IF('DM_NHAN_SU'!$B72="","",'CHAM_CONG_THANG'!Q72)</f>
        <v/>
      </c>
      <c r="S72" s="224">
        <f>IF('DM_NHAN_SU'!$B72="","",'CHAM_CONG_THANG'!R72)</f>
        <v/>
      </c>
      <c r="T72" s="224">
        <f>IF('DM_NHAN_SU'!$B72="","",'CHAM_CONG_THANG'!S72)</f>
        <v/>
      </c>
      <c r="U72" s="224">
        <f>IF('DM_NHAN_SU'!$B72="","",MIN($T72,'THAM_SO'!$F$6))</f>
        <v/>
      </c>
      <c r="V72" s="224">
        <f>IF('DM_NHAN_SU'!$B72="","",MAX($T72-$U72,0))</f>
        <v/>
      </c>
      <c r="W72" s="224">
        <f>IF('DM_NHAN_SU'!$B72="","",'CHAM_CONG_THANG'!T72)</f>
        <v/>
      </c>
      <c r="X72" s="224">
        <f>IF('DM_NHAN_SU'!$B72="","",'CHAM_CONG_THANG'!U72)</f>
        <v/>
      </c>
      <c r="Y72" s="224">
        <f>IF('DM_NHAN_SU'!$B72="","",IF($B72="",0,IF('DM_NHAN_SU'!$Q72&gt;0,'DM_NHAN_SU'!$Q72,IF($G72="Tháng",IF($I72*$J72&gt;0,'DM_NHAN_SU'!$K72/($I72*$J72),0),IF($G72="Ngày",IF($J72&gt;0,'DM_NHAN_SU'!$K72/$J72,0),IF($G72="Giờ",'DM_NHAN_SU'!$K72,0))))))</f>
        <v/>
      </c>
      <c r="Z72" s="224">
        <f>IF('DM_NHAN_SU'!$B72="","",$Y72*($M72*'THAM_SO'!$C$22+'CHAM_CONG_THANG'!$AF72*'THAM_SO'!$C$19+'CHAM_CONG_THANG'!$AG72*'THAM_SO'!$C$20+'CHAM_CONG_THANG'!$AH72*'THAM_SO'!$C$21+'CHAM_CONG_THANG'!$AI72*'THAM_SO'!$C$23+'CHAM_CONG_THANG'!$AJ72*'THAM_SO'!$C$24+'CHAM_CONG_THANG'!$AK72*'THAM_SO'!$C$25))</f>
        <v/>
      </c>
      <c r="AA72" s="224">
        <f>IF('DM_NHAN_SU'!$B72="","",MAX(0,$Y72*($M72*IF('THAM_SO'!$C$22&gt;='THAM_SO'!$B$22,'THAM_SO'!$B$22,0)+'CHAM_CONG_THANG'!$AF72*IF('THAM_SO'!$C$19&gt;='THAM_SO'!$B$19,'THAM_SO'!$B$19,0)+'CHAM_CONG_THANG'!$AG72*IF('THAM_SO'!$C$20&gt;='THAM_SO'!$B$20,'THAM_SO'!$B$20,0)+'CHAM_CONG_THANG'!$AH72*IF('THAM_SO'!$C$21&gt;='THAM_SO'!$B$21,'THAM_SO'!$B$21,0)+'CHAM_CONG_THANG'!$AI72*IF('THAM_SO'!$C$23&gt;='THAM_SO'!$B$23,'THAM_SO'!$B$23,0)+'CHAM_CONG_THANG'!$AJ72*IF('THAM_SO'!$C$24&gt;='THAM_SO'!$B$24,'THAM_SO'!$B$24,0)+'CHAM_CONG_THANG'!$AK72*IF('THAM_SO'!$C$25&gt;='THAM_SO'!$B$25,'THAM_SO'!$B$25,0))-'CHAM_CONG_THANG'!$V72))</f>
        <v/>
      </c>
      <c r="AB72" s="224">
        <f>IF('DM_NHAN_SU'!$B72="","",MAX($Z72-$AA72,0))</f>
        <v/>
      </c>
      <c r="AC72" s="224">
        <f>IF('DM_NHAN_SU'!$B72="","",$O72+$P72+$Q72+$R72+$S72+$V72+$AB72+$BO72+$BP72+$BQ72+$BR72)</f>
        <v/>
      </c>
      <c r="AD72" s="224">
        <f>IF('DM_NHAN_SU'!$B72="","",'DM_NHAN_SU'!N72+'DM_NHAN_SU'!O72+'DM_NHAN_SU'!P72)</f>
        <v/>
      </c>
      <c r="AE72" s="224">
        <f>IF('DM_NHAN_SU'!$B72="","",IF(OR('DM_NHAN_SU'!$R72&lt;&gt;"Có",'CHAM_CONG_THANG'!$AA72="Có",$BL72&gt;=14,$AD72&lt;=0),0,MIN(MAX($AD72,'THAM_SO'!$M$6),'THAM_SO'!$M$7)))</f>
        <v/>
      </c>
      <c r="AF72" s="224">
        <f>IF('DM_NHAN_SU'!$B72="","",IF(OR('DM_NHAN_SU'!$S72&lt;&gt;"Có",'CHAM_CONG_THANG'!$AA72="Có",$BL72&gt;=14,$AD72&lt;=0),0,MIN(MAX($AD72,VLOOKUP($H72,'THAM_SO'!$L$17:$P$20,4,FALSE)),VLOOKUP($H72,'THAM_SO'!$L$17:$P$20,5,FALSE))))</f>
        <v/>
      </c>
      <c r="AG72" s="224">
        <f>IF('DM_NHAN_SU'!$B72="","",$AE72*'THAM_SO'!$M$8)</f>
        <v/>
      </c>
      <c r="AH72" s="224">
        <f>IF('DM_NHAN_SU'!$B72="","",$AE72*'THAM_SO'!$M$9)</f>
        <v/>
      </c>
      <c r="AI72" s="224">
        <f>IF('DM_NHAN_SU'!$B72="","",$AF72*'THAM_SO'!$M$10)</f>
        <v/>
      </c>
      <c r="AJ72" s="224">
        <f>IF('DM_NHAN_SU'!$B72="","",SUM($AG72:$AI72))</f>
        <v/>
      </c>
      <c r="AK72" s="224">
        <f>IF('DM_NHAN_SU'!$B72="","",IF($B72="",0,'THAM_SO'!$F$4))</f>
        <v/>
      </c>
      <c r="AL72" s="224">
        <f>IF('DM_NHAN_SU'!$B72="","",IF($B72="",0,'DM_NHAN_SU'!$T72*'THAM_SO'!$F$5))</f>
        <v/>
      </c>
      <c r="AM72" s="224">
        <f>IF('DM_NHAN_SU'!$B72="","",'CHAM_CONG_THANG'!W72)</f>
        <v/>
      </c>
      <c r="AN72" s="224">
        <f>IF('DM_NHAN_SU'!$B72="","",MAX($AC72-$AK72-$AL72-$AM72,0))</f>
        <v/>
      </c>
      <c r="AO72" s="224">
        <f>IF('DM_NHAN_SU'!$B72="","",IF($B72="","",IF($F72="Net",IF($AC72&lt;=$AK72+$AL72+$AM72,$AC72+$AJ72,$AJ72+$AK72+$AL72+$AM72+IF($AN72&lt;='THAM_SO'!$J$10,($AN72-'THAM_SO'!$I$10)/(1-'THAM_SO'!$H$10),IF($AN72&lt;='THAM_SO'!$J$11,($AN72-'THAM_SO'!$I$11)/(1-'THAM_SO'!$H$11),IF($AN72&lt;='THAM_SO'!$J$12,($AN72-'THAM_SO'!$I$12)/(1-'THAM_SO'!$H$12),IF($AN72&lt;='THAM_SO'!$J$13,($AN72-'THAM_SO'!$I$13)/(1-'THAM_SO'!$H$13),($AN72-'THAM_SO'!$I$14)/(1-'THAM_SO'!$H$14)))))),$AC72)))</f>
        <v/>
      </c>
      <c r="AP72" s="224">
        <f>IF('DM_NHAN_SU'!$B72="","",$U72+$W72+$X72+$AA72+$BS72)</f>
        <v/>
      </c>
      <c r="AQ72" s="224">
        <f>IF('DM_NHAN_SU'!$B72="","",MAX($AO72-$AJ72-$AK72-$AL72-$AM72,0))</f>
        <v/>
      </c>
      <c r="AR72" s="224">
        <f>IF('DM_NHAN_SU'!$B72="","",IF($AQ72&lt;=0,0,$AQ72*VLOOKUP($AQ72,'THAM_SO'!$F$10:$I$14,3,TRUE)-VLOOKUP($AQ72,'THAM_SO'!$F$10:$I$14,4,TRUE)))</f>
        <v/>
      </c>
      <c r="AS72" s="224">
        <f>IF('DM_NHAN_SU'!$B72="","",$AO72+$AP72)</f>
        <v/>
      </c>
      <c r="AT72" s="224">
        <f>IF('DM_NHAN_SU'!$B72="","",$AS72-$AJ72-$AR72)</f>
        <v/>
      </c>
      <c r="AU72" s="224">
        <f>IF('DM_NHAN_SU'!$B72="","",'CHAM_CONG_THANG'!X72)</f>
        <v/>
      </c>
      <c r="AV72" s="224">
        <f>IF('DM_NHAN_SU'!$B72="","",'CHAM_CONG_THANG'!Y72+'QT_NGHI_VIEC'!AD72)</f>
        <v/>
      </c>
      <c r="AW72" s="224">
        <f>IF('DM_NHAN_SU'!$B72="","",'CHAM_CONG_THANG'!Z72)</f>
        <v/>
      </c>
      <c r="AX72" s="224">
        <f>IF('DM_NHAN_SU'!$B72="","",$AT72-$AU72-$AV72-$AW72-$BV72)</f>
        <v/>
      </c>
      <c r="AY72" s="224">
        <f>IF('DM_NHAN_SU'!$B72="","",$AE72*'THAM_SO'!$M$11)</f>
        <v/>
      </c>
      <c r="AZ72" s="224">
        <f>IF('DM_NHAN_SU'!$B72="","",$AE72*'THAM_SO'!$M$12)</f>
        <v/>
      </c>
      <c r="BA72" s="224">
        <f>IF('DM_NHAN_SU'!$B72="","",$AF72*'THAM_SO'!$M$13)</f>
        <v/>
      </c>
      <c r="BB72" s="224">
        <f>IF('DM_NHAN_SU'!$B72="","",$AE72*'THAM_SO'!$M$14)</f>
        <v/>
      </c>
      <c r="BC72" s="224">
        <f>IF('DM_NHAN_SU'!$B72="","",SUM($AY72:$BB72))</f>
        <v/>
      </c>
      <c r="BD72" s="224">
        <f>IF('DM_NHAN_SU'!$B72="","",$AS72+$BC72)</f>
        <v/>
      </c>
      <c r="BE72" s="224">
        <f>IF('DM_NHAN_SU'!$B72="","",VLOOKUP($H72,'THAM_SO'!$L$17:$P$20,2,FALSE))</f>
        <v/>
      </c>
      <c r="BF72" s="224">
        <f>IF('DM_NHAN_SU'!$B72="","",VLOOKUP($H72,'THAM_SO'!$L$17:$P$20,3,FALSE))</f>
        <v/>
      </c>
      <c r="BG72" s="150">
        <f>IF('DM_NHAN_SU'!$B72="","",IF($B72="","",IF(COUNTIF('DM_NHAN_SU'!$B$6:$B$155,$B72)&gt;1,"Trùng mã NV; ","")&amp;IF(OR($F72="",$G72=""),"Thiếu loại/hình thức lương; ","")&amp;IF('CHAM_CONG_THANG'!$D72="","Chưa chọn nguồn công; ","")&amp;IF(AND('CHAM_CONG_THANG'!$D72="Theo ngày",COUNTIF('CHAM_CONG_NGAY'!$B$6:$B$4655,$B72)=0),"Chưa có chấm công ngày; ","")&amp;IF(OR($I72&lt;=0,$J72&lt;=0),"Thiếu công/giờ chuẩn; ","")&amp;IF(AND($G72="Tháng",'DM_NHAN_SU'!$K72&lt;$BE72),"Lương tháng dưới tối thiểu vùng; ","")&amp;IF(AND($G72="Ngày",'DM_NHAN_SU'!$K72/$J72&lt;$BF72),"Lương ngày quy đổi dưới tối thiểu giờ; ","")&amp;IF(AND($G72="Giờ",'DM_NHAN_SU'!$K72&lt;$BF72),"Lương giờ dưới tối thiểu vùng; ","")&amp;IF(AND($G72="Sản phẩm",$L72&gt;0,$O72/$L72&lt;$BF72),"Lương SP quy đổi dưới tối thiểu giờ; ","")&amp;IF(OR('THAM_SO'!$C$19&lt;'THAM_SO'!$B$19,'THAM_SO'!$C$20&lt;'THAM_SO'!$B$20,'THAM_SO'!$C$21&lt;'THAM_SO'!$B$21,'THAM_SO'!$C$22&lt;'THAM_SO'!$B$22,'THAM_SO'!$C$23&lt;'THAM_SO'!$B$23,'THAM_SO'!$C$24&lt;'THAM_SO'!$B$24,'THAM_SO'!$C$25&lt;'THAM_SO'!$B$25),"Hệ số OT/đêm DN thấp hơn luật; ","")&amp;IF(AND('DM_NHAN_SU'!$R72="Có",$AD72&lt;=0),"Thiếu căn cứ đóng BH; ","")&amp;IF(AND($AD72&gt;0,$AD72&lt;'THAM_SO'!$M$6),"Căn cứ BH dưới sàn – đã nâng sàn; ","")&amp;IF($AD72&gt;'THAM_SO'!$M$7,"Căn cứ BH vượt trần – đã giới hạn; ","")&amp;IF(AND($F72="Net",SUM('CHAM_CONG_THANG'!$AF72:$AK72)&gt;0,'DM_NHAN_SU'!$Q72&lt;=0),"Net có OT nhưng chưa khai lương giờ OT; ","")&amp;IF('CHAM_CONG_THANG'!$V72&gt;$Z72,"Phần OT không miễn lớn hơn tiền OT; ","")&amp;IF(AND($F72="Net",ABS($AT72-$AC72-$AP72)&gt;1),"Lệch quy đổi Net; ","")&amp;IF(AND($BH72&gt;0,'DM_NHAN_SU'!$AD72=""),"Có phép năm nhưng đang tạm dùng 12 ngày; ","")&amp;IF(AND($G72="Sản phẩm",SUM($BH72:$BJ72)&gt;0,'DM_NHAN_SU'!$AH72&lt;=0),"Lương sản phẩm thiếu đơn giá ngày phép/lễ; ","")&amp;IF(AND($BL72&gt;=14,'CHAM_CONG_THANG'!$AA72&lt;&gt;"Có"),"Thai sản từ 14 ngày: file tự dừng đóng BH – kiểm tra hồ sơ; ","")&amp;IF(AND('DM_NHAN_SU'!$AA72="Có",'DM_NHAN_SU'!$AB72=""),"Đoàn viên chưa chọn cách tính đoàn phí; ","")&amp;IF(AND('DM_NHAN_SU'!$AB72="Nhập tay",'DM_NHAN_SU'!$AC72&gt;'THAM_SO'!$M$26),"Đoàn phí nhập tay vượt trần thông dụng; ","")&amp;IF('NGHI_PHEP'!$L72&lt;&gt;"","Phép: "&amp;'NGHI_PHEP'!$L72,"")&amp;IF('CHE_DO_BHXH'!$AA72&lt;&gt;"","BHXH: "&amp;'CHE_DO_BHXH'!$AA72,"")&amp;IF('THUONG_T13_TET'!$O72&lt;&gt;"","Thưởng: "&amp;'THUONG_T13_TET'!$O72,"")&amp;IF('QT_NGHI_VIEC'!$AF72&lt;&gt;"","Nghỉ việc: "&amp;'QT_NGHI_VIEC'!$AF72,"")&amp;IF($AX72&lt;0,"Thực lĩnh âm; ","")&amp;IF(OR('DM_NHAN_SU'!$F72&gt;'THAM_SO'!$B$7,AND('DM_NHAN_SU'!$G72&lt;&gt;"",'DM_NHAN_SU'!$G72&lt;'THAM_SO'!$B$6)),"Ngoài kỳ trả lương; ","")))</f>
        <v/>
      </c>
      <c r="BH72" s="232">
        <f>IF('DM_NHAN_SU'!$B72="","",'CHAM_CONG_THANG'!AR72)</f>
        <v/>
      </c>
      <c r="BI72" s="232">
        <f>IF('DM_NHAN_SU'!$B72="","",'CHAM_CONG_THANG'!AS72)</f>
        <v/>
      </c>
      <c r="BJ72" s="232">
        <f>IF('DM_NHAN_SU'!$B72="","",'CHAM_CONG_THANG'!AT72)</f>
        <v/>
      </c>
      <c r="BK72" s="232">
        <f>IF('DM_NHAN_SU'!$B72="","",'CHAM_CONG_THANG'!AU72)</f>
        <v/>
      </c>
      <c r="BL72" s="232">
        <f>IF('DM_NHAN_SU'!$B72="","",'CHAM_CONG_THANG'!AV72)</f>
        <v/>
      </c>
      <c r="BM72" s="232">
        <f>IF('DM_NHAN_SU'!$B72="","",'CHAM_CONG_THANG'!AW72)</f>
        <v/>
      </c>
      <c r="BN72" s="232">
        <f>IF('DM_NHAN_SU'!$B72="","",SUM($K72,$BH72:$BJ72))</f>
        <v/>
      </c>
      <c r="BO72" s="224">
        <f>IF('DM_NHAN_SU'!$B72="","",IF($B72="",0,IF($G72="Tháng",IF($I72&gt;0,'DM_NHAN_SU'!$K72*MIN($BH72+$BJ72,MAX($I72-$K72,0))/$I72,0),IF($G72="Ngày",'DM_NHAN_SU'!$K72*SUM($BH72:$BJ72),IF($G72="Giờ",'DM_NHAN_SU'!$K72*SUM($BH72:$BJ72)*$J72,IF($G72="Sản phẩm",'DM_NHAN_SU'!$AH72*SUM($BH72:$BJ72),0))))))</f>
        <v/>
      </c>
      <c r="BP72" s="224">
        <f>IF('DM_NHAN_SU'!$B72="","",IF('THUONG_T13_TET'!$L72="Có",'THUONG_T13_TET'!$I72,0))</f>
        <v/>
      </c>
      <c r="BQ72" s="224">
        <f>IF('DM_NHAN_SU'!$B72="","",IF('THUONG_T13_TET'!$L72="Có",SUM('THUONG_T13_TET'!$J72:$K72),0))</f>
        <v/>
      </c>
      <c r="BR72" s="224">
        <f>IF('DM_NHAN_SU'!$B72="","",'QT_NGHI_VIEC'!AC72)</f>
        <v/>
      </c>
      <c r="BS72" s="224">
        <f>IF('DM_NHAN_SU'!$B72="","",'QT_NGHI_VIEC'!AB72)</f>
        <v/>
      </c>
      <c r="BT72" s="224">
        <f>IF('DM_NHAN_SU'!$B72="","",IF('CHE_DO_BHXH'!$Z72="Có",'CHE_DO_BHXH'!$W72,0))</f>
        <v/>
      </c>
      <c r="BU72" s="224">
        <f>IF('DM_NHAN_SU'!$B72="","",IF('CHE_DO_BHXH'!$Y72="DN trả thay",$BT72,0))</f>
        <v/>
      </c>
      <c r="BV72" s="224">
        <f>IF('DM_NHAN_SU'!$B72="","",IF(OR('DM_NHAN_SU'!$AA72&lt;&gt;"Có",'CHE_DO_BHXH'!$O72&gt;=1,SUM('CHE_DO_BHXH'!$D72,'CHE_DO_BHXH'!$G72,'CHE_DO_BHXH'!$K72)&gt;=24,AND($I72&gt;0,$BM72&gt;=$I72)),0,IF('DM_NHAN_SU'!$AB72="Không",0,IF('DM_NHAN_SU'!$AB72="Nhập tay",'DM_NHAN_SU'!$AC72,IF('DM_NHAN_SU'!$AB72="Theo thực nhận",MIN(MAX($AT72-$AU72-$AV72-$AW72,0)*'THAM_SO'!$M$23,'THAM_SO'!$M$26),MIN($AE72*'THAM_SO'!$M$23,'THAM_SO'!$M$26))))))</f>
        <v/>
      </c>
      <c r="BW72" s="224">
        <f>IF('DM_NHAN_SU'!$B72="","",$AX72+$BU72)</f>
        <v/>
      </c>
    </row>
    <row r="73">
      <c r="A73" s="145">
        <f>IF('DM_NHAN_SU'!$B73="","",IF($B73="","",ROW()-5))</f>
        <v/>
      </c>
      <c r="B73" s="145">
        <f>IF('DM_NHAN_SU'!$B73="","",'DM_NHAN_SU'!B73)</f>
        <v/>
      </c>
      <c r="C73" s="145">
        <f>IF('DM_NHAN_SU'!$B73="","",'DM_NHAN_SU'!C73)</f>
        <v/>
      </c>
      <c r="D73" s="145">
        <f>IF('DM_NHAN_SU'!$B73="","",'DM_NHAN_SU'!D73)</f>
        <v/>
      </c>
      <c r="E73" s="145">
        <f>IF('DM_NHAN_SU'!$B73="","",'DM_NHAN_SU'!E73)</f>
        <v/>
      </c>
      <c r="F73" s="145">
        <f>IF('DM_NHAN_SU'!$B73="","",'DM_NHAN_SU'!I73)</f>
        <v/>
      </c>
      <c r="G73" s="145">
        <f>IF('DM_NHAN_SU'!$B73="","",'DM_NHAN_SU'!J73)</f>
        <v/>
      </c>
      <c r="H73" s="145">
        <f>IF('DM_NHAN_SU'!$B73="","",IF('DM_NHAN_SU'!H73="",'THAM_SO'!$B$11,'DM_NHAN_SU'!H73))</f>
        <v/>
      </c>
      <c r="I73" s="232">
        <f>IF('DM_NHAN_SU'!$B73="","",IF('DM_NHAN_SU'!L73&gt;0,'DM_NHAN_SU'!L73,'THAM_SO'!$B$9))</f>
        <v/>
      </c>
      <c r="J73" s="232">
        <f>IF('DM_NHAN_SU'!$B73="","",IF('DM_NHAN_SU'!M73&gt;0,'DM_NHAN_SU'!M73,'THAM_SO'!$B$10))</f>
        <v/>
      </c>
      <c r="K73" s="232">
        <f>IF('DM_NHAN_SU'!$B73="","",'CHAM_CONG_THANG'!AC73)</f>
        <v/>
      </c>
      <c r="L73" s="232">
        <f>IF('DM_NHAN_SU'!$B73="","",'CHAM_CONG_THANG'!AD73)</f>
        <v/>
      </c>
      <c r="M73" s="232">
        <f>IF('DM_NHAN_SU'!$B73="","",'CHAM_CONG_THANG'!AE73)</f>
        <v/>
      </c>
      <c r="N73" s="232">
        <f>IF('DM_NHAN_SU'!$B73="","",'CHAM_CONG_THANG'!N73)</f>
        <v/>
      </c>
      <c r="O73" s="224">
        <f>IF('DM_NHAN_SU'!$B73="","",IF($B73="","",IF($G73="Tháng",IF($I73&gt;0,'DM_NHAN_SU'!$K73*MIN($K73,$I73)/$I73,0),IF($G73="Ngày",'DM_NHAN_SU'!$K73*$K73,IF($G73="Giờ",'DM_NHAN_SU'!$K73*$L73,IF($G73="Sản phẩm",'DM_NHAN_SU'!$K73*$N73,0))))))</f>
        <v/>
      </c>
      <c r="P73" s="224">
        <f>IF('DM_NHAN_SU'!$B73="","",'CHAM_CONG_THANG'!O73)</f>
        <v/>
      </c>
      <c r="Q73" s="224">
        <f>IF('DM_NHAN_SU'!$B73="","",'CHAM_CONG_THANG'!P73)</f>
        <v/>
      </c>
      <c r="R73" s="224">
        <f>IF('DM_NHAN_SU'!$B73="","",'CHAM_CONG_THANG'!Q73)</f>
        <v/>
      </c>
      <c r="S73" s="224">
        <f>IF('DM_NHAN_SU'!$B73="","",'CHAM_CONG_THANG'!R73)</f>
        <v/>
      </c>
      <c r="T73" s="224">
        <f>IF('DM_NHAN_SU'!$B73="","",'CHAM_CONG_THANG'!S73)</f>
        <v/>
      </c>
      <c r="U73" s="224">
        <f>IF('DM_NHAN_SU'!$B73="","",MIN($T73,'THAM_SO'!$F$6))</f>
        <v/>
      </c>
      <c r="V73" s="224">
        <f>IF('DM_NHAN_SU'!$B73="","",MAX($T73-$U73,0))</f>
        <v/>
      </c>
      <c r="W73" s="224">
        <f>IF('DM_NHAN_SU'!$B73="","",'CHAM_CONG_THANG'!T73)</f>
        <v/>
      </c>
      <c r="X73" s="224">
        <f>IF('DM_NHAN_SU'!$B73="","",'CHAM_CONG_THANG'!U73)</f>
        <v/>
      </c>
      <c r="Y73" s="224">
        <f>IF('DM_NHAN_SU'!$B73="","",IF($B73="",0,IF('DM_NHAN_SU'!$Q73&gt;0,'DM_NHAN_SU'!$Q73,IF($G73="Tháng",IF($I73*$J73&gt;0,'DM_NHAN_SU'!$K73/($I73*$J73),0),IF($G73="Ngày",IF($J73&gt;0,'DM_NHAN_SU'!$K73/$J73,0),IF($G73="Giờ",'DM_NHAN_SU'!$K73,0))))))</f>
        <v/>
      </c>
      <c r="Z73" s="224">
        <f>IF('DM_NHAN_SU'!$B73="","",$Y73*($M73*'THAM_SO'!$C$22+'CHAM_CONG_THANG'!$AF73*'THAM_SO'!$C$19+'CHAM_CONG_THANG'!$AG73*'THAM_SO'!$C$20+'CHAM_CONG_THANG'!$AH73*'THAM_SO'!$C$21+'CHAM_CONG_THANG'!$AI73*'THAM_SO'!$C$23+'CHAM_CONG_THANG'!$AJ73*'THAM_SO'!$C$24+'CHAM_CONG_THANG'!$AK73*'THAM_SO'!$C$25))</f>
        <v/>
      </c>
      <c r="AA73" s="224">
        <f>IF('DM_NHAN_SU'!$B73="","",MAX(0,$Y73*($M73*IF('THAM_SO'!$C$22&gt;='THAM_SO'!$B$22,'THAM_SO'!$B$22,0)+'CHAM_CONG_THANG'!$AF73*IF('THAM_SO'!$C$19&gt;='THAM_SO'!$B$19,'THAM_SO'!$B$19,0)+'CHAM_CONG_THANG'!$AG73*IF('THAM_SO'!$C$20&gt;='THAM_SO'!$B$20,'THAM_SO'!$B$20,0)+'CHAM_CONG_THANG'!$AH73*IF('THAM_SO'!$C$21&gt;='THAM_SO'!$B$21,'THAM_SO'!$B$21,0)+'CHAM_CONG_THANG'!$AI73*IF('THAM_SO'!$C$23&gt;='THAM_SO'!$B$23,'THAM_SO'!$B$23,0)+'CHAM_CONG_THANG'!$AJ73*IF('THAM_SO'!$C$24&gt;='THAM_SO'!$B$24,'THAM_SO'!$B$24,0)+'CHAM_CONG_THANG'!$AK73*IF('THAM_SO'!$C$25&gt;='THAM_SO'!$B$25,'THAM_SO'!$B$25,0))-'CHAM_CONG_THANG'!$V73))</f>
        <v/>
      </c>
      <c r="AB73" s="224">
        <f>IF('DM_NHAN_SU'!$B73="","",MAX($Z73-$AA73,0))</f>
        <v/>
      </c>
      <c r="AC73" s="224">
        <f>IF('DM_NHAN_SU'!$B73="","",$O73+$P73+$Q73+$R73+$S73+$V73+$AB73+$BO73+$BP73+$BQ73+$BR73)</f>
        <v/>
      </c>
      <c r="AD73" s="224">
        <f>IF('DM_NHAN_SU'!$B73="","",'DM_NHAN_SU'!N73+'DM_NHAN_SU'!O73+'DM_NHAN_SU'!P73)</f>
        <v/>
      </c>
      <c r="AE73" s="224">
        <f>IF('DM_NHAN_SU'!$B73="","",IF(OR('DM_NHAN_SU'!$R73&lt;&gt;"Có",'CHAM_CONG_THANG'!$AA73="Có",$BL73&gt;=14,$AD73&lt;=0),0,MIN(MAX($AD73,'THAM_SO'!$M$6),'THAM_SO'!$M$7)))</f>
        <v/>
      </c>
      <c r="AF73" s="224">
        <f>IF('DM_NHAN_SU'!$B73="","",IF(OR('DM_NHAN_SU'!$S73&lt;&gt;"Có",'CHAM_CONG_THANG'!$AA73="Có",$BL73&gt;=14,$AD73&lt;=0),0,MIN(MAX($AD73,VLOOKUP($H73,'THAM_SO'!$L$17:$P$20,4,FALSE)),VLOOKUP($H73,'THAM_SO'!$L$17:$P$20,5,FALSE))))</f>
        <v/>
      </c>
      <c r="AG73" s="224">
        <f>IF('DM_NHAN_SU'!$B73="","",$AE73*'THAM_SO'!$M$8)</f>
        <v/>
      </c>
      <c r="AH73" s="224">
        <f>IF('DM_NHAN_SU'!$B73="","",$AE73*'THAM_SO'!$M$9)</f>
        <v/>
      </c>
      <c r="AI73" s="224">
        <f>IF('DM_NHAN_SU'!$B73="","",$AF73*'THAM_SO'!$M$10)</f>
        <v/>
      </c>
      <c r="AJ73" s="224">
        <f>IF('DM_NHAN_SU'!$B73="","",SUM($AG73:$AI73))</f>
        <v/>
      </c>
      <c r="AK73" s="224">
        <f>IF('DM_NHAN_SU'!$B73="","",IF($B73="",0,'THAM_SO'!$F$4))</f>
        <v/>
      </c>
      <c r="AL73" s="224">
        <f>IF('DM_NHAN_SU'!$B73="","",IF($B73="",0,'DM_NHAN_SU'!$T73*'THAM_SO'!$F$5))</f>
        <v/>
      </c>
      <c r="AM73" s="224">
        <f>IF('DM_NHAN_SU'!$B73="","",'CHAM_CONG_THANG'!W73)</f>
        <v/>
      </c>
      <c r="AN73" s="224">
        <f>IF('DM_NHAN_SU'!$B73="","",MAX($AC73-$AK73-$AL73-$AM73,0))</f>
        <v/>
      </c>
      <c r="AO73" s="224">
        <f>IF('DM_NHAN_SU'!$B73="","",IF($B73="","",IF($F73="Net",IF($AC73&lt;=$AK73+$AL73+$AM73,$AC73+$AJ73,$AJ73+$AK73+$AL73+$AM73+IF($AN73&lt;='THAM_SO'!$J$10,($AN73-'THAM_SO'!$I$10)/(1-'THAM_SO'!$H$10),IF($AN73&lt;='THAM_SO'!$J$11,($AN73-'THAM_SO'!$I$11)/(1-'THAM_SO'!$H$11),IF($AN73&lt;='THAM_SO'!$J$12,($AN73-'THAM_SO'!$I$12)/(1-'THAM_SO'!$H$12),IF($AN73&lt;='THAM_SO'!$J$13,($AN73-'THAM_SO'!$I$13)/(1-'THAM_SO'!$H$13),($AN73-'THAM_SO'!$I$14)/(1-'THAM_SO'!$H$14)))))),$AC73)))</f>
        <v/>
      </c>
      <c r="AP73" s="224">
        <f>IF('DM_NHAN_SU'!$B73="","",$U73+$W73+$X73+$AA73+$BS73)</f>
        <v/>
      </c>
      <c r="AQ73" s="224">
        <f>IF('DM_NHAN_SU'!$B73="","",MAX($AO73-$AJ73-$AK73-$AL73-$AM73,0))</f>
        <v/>
      </c>
      <c r="AR73" s="224">
        <f>IF('DM_NHAN_SU'!$B73="","",IF($AQ73&lt;=0,0,$AQ73*VLOOKUP($AQ73,'THAM_SO'!$F$10:$I$14,3,TRUE)-VLOOKUP($AQ73,'THAM_SO'!$F$10:$I$14,4,TRUE)))</f>
        <v/>
      </c>
      <c r="AS73" s="224">
        <f>IF('DM_NHAN_SU'!$B73="","",$AO73+$AP73)</f>
        <v/>
      </c>
      <c r="AT73" s="224">
        <f>IF('DM_NHAN_SU'!$B73="","",$AS73-$AJ73-$AR73)</f>
        <v/>
      </c>
      <c r="AU73" s="224">
        <f>IF('DM_NHAN_SU'!$B73="","",'CHAM_CONG_THANG'!X73)</f>
        <v/>
      </c>
      <c r="AV73" s="224">
        <f>IF('DM_NHAN_SU'!$B73="","",'CHAM_CONG_THANG'!Y73+'QT_NGHI_VIEC'!AD73)</f>
        <v/>
      </c>
      <c r="AW73" s="224">
        <f>IF('DM_NHAN_SU'!$B73="","",'CHAM_CONG_THANG'!Z73)</f>
        <v/>
      </c>
      <c r="AX73" s="224">
        <f>IF('DM_NHAN_SU'!$B73="","",$AT73-$AU73-$AV73-$AW73-$BV73)</f>
        <v/>
      </c>
      <c r="AY73" s="224">
        <f>IF('DM_NHAN_SU'!$B73="","",$AE73*'THAM_SO'!$M$11)</f>
        <v/>
      </c>
      <c r="AZ73" s="224">
        <f>IF('DM_NHAN_SU'!$B73="","",$AE73*'THAM_SO'!$M$12)</f>
        <v/>
      </c>
      <c r="BA73" s="224">
        <f>IF('DM_NHAN_SU'!$B73="","",$AF73*'THAM_SO'!$M$13)</f>
        <v/>
      </c>
      <c r="BB73" s="224">
        <f>IF('DM_NHAN_SU'!$B73="","",$AE73*'THAM_SO'!$M$14)</f>
        <v/>
      </c>
      <c r="BC73" s="224">
        <f>IF('DM_NHAN_SU'!$B73="","",SUM($AY73:$BB73))</f>
        <v/>
      </c>
      <c r="BD73" s="224">
        <f>IF('DM_NHAN_SU'!$B73="","",$AS73+$BC73)</f>
        <v/>
      </c>
      <c r="BE73" s="224">
        <f>IF('DM_NHAN_SU'!$B73="","",VLOOKUP($H73,'THAM_SO'!$L$17:$P$20,2,FALSE))</f>
        <v/>
      </c>
      <c r="BF73" s="224">
        <f>IF('DM_NHAN_SU'!$B73="","",VLOOKUP($H73,'THAM_SO'!$L$17:$P$20,3,FALSE))</f>
        <v/>
      </c>
      <c r="BG73" s="150">
        <f>IF('DM_NHAN_SU'!$B73="","",IF($B73="","",IF(COUNTIF('DM_NHAN_SU'!$B$6:$B$155,$B73)&gt;1,"Trùng mã NV; ","")&amp;IF(OR($F73="",$G73=""),"Thiếu loại/hình thức lương; ","")&amp;IF('CHAM_CONG_THANG'!$D73="","Chưa chọn nguồn công; ","")&amp;IF(AND('CHAM_CONG_THANG'!$D73="Theo ngày",COUNTIF('CHAM_CONG_NGAY'!$B$6:$B$4655,$B73)=0),"Chưa có chấm công ngày; ","")&amp;IF(OR($I73&lt;=0,$J73&lt;=0),"Thiếu công/giờ chuẩn; ","")&amp;IF(AND($G73="Tháng",'DM_NHAN_SU'!$K73&lt;$BE73),"Lương tháng dưới tối thiểu vùng; ","")&amp;IF(AND($G73="Ngày",'DM_NHAN_SU'!$K73/$J73&lt;$BF73),"Lương ngày quy đổi dưới tối thiểu giờ; ","")&amp;IF(AND($G73="Giờ",'DM_NHAN_SU'!$K73&lt;$BF73),"Lương giờ dưới tối thiểu vùng; ","")&amp;IF(AND($G73="Sản phẩm",$L73&gt;0,$O73/$L73&lt;$BF73),"Lương SP quy đổi dưới tối thiểu giờ; ","")&amp;IF(OR('THAM_SO'!$C$19&lt;'THAM_SO'!$B$19,'THAM_SO'!$C$20&lt;'THAM_SO'!$B$20,'THAM_SO'!$C$21&lt;'THAM_SO'!$B$21,'THAM_SO'!$C$22&lt;'THAM_SO'!$B$22,'THAM_SO'!$C$23&lt;'THAM_SO'!$B$23,'THAM_SO'!$C$24&lt;'THAM_SO'!$B$24,'THAM_SO'!$C$25&lt;'THAM_SO'!$B$25),"Hệ số OT/đêm DN thấp hơn luật; ","")&amp;IF(AND('DM_NHAN_SU'!$R73="Có",$AD73&lt;=0),"Thiếu căn cứ đóng BH; ","")&amp;IF(AND($AD73&gt;0,$AD73&lt;'THAM_SO'!$M$6),"Căn cứ BH dưới sàn – đã nâng sàn; ","")&amp;IF($AD73&gt;'THAM_SO'!$M$7,"Căn cứ BH vượt trần – đã giới hạn; ","")&amp;IF(AND($F73="Net",SUM('CHAM_CONG_THANG'!$AF73:$AK73)&gt;0,'DM_NHAN_SU'!$Q73&lt;=0),"Net có OT nhưng chưa khai lương giờ OT; ","")&amp;IF('CHAM_CONG_THANG'!$V73&gt;$Z73,"Phần OT không miễn lớn hơn tiền OT; ","")&amp;IF(AND($F73="Net",ABS($AT73-$AC73-$AP73)&gt;1),"Lệch quy đổi Net; ","")&amp;IF(AND($BH73&gt;0,'DM_NHAN_SU'!$AD73=""),"Có phép năm nhưng đang tạm dùng 12 ngày; ","")&amp;IF(AND($G73="Sản phẩm",SUM($BH73:$BJ73)&gt;0,'DM_NHAN_SU'!$AH73&lt;=0),"Lương sản phẩm thiếu đơn giá ngày phép/lễ; ","")&amp;IF(AND($BL73&gt;=14,'CHAM_CONG_THANG'!$AA73&lt;&gt;"Có"),"Thai sản từ 14 ngày: file tự dừng đóng BH – kiểm tra hồ sơ; ","")&amp;IF(AND('DM_NHAN_SU'!$AA73="Có",'DM_NHAN_SU'!$AB73=""),"Đoàn viên chưa chọn cách tính đoàn phí; ","")&amp;IF(AND('DM_NHAN_SU'!$AB73="Nhập tay",'DM_NHAN_SU'!$AC73&gt;'THAM_SO'!$M$26),"Đoàn phí nhập tay vượt trần thông dụng; ","")&amp;IF('NGHI_PHEP'!$L73&lt;&gt;"","Phép: "&amp;'NGHI_PHEP'!$L73,"")&amp;IF('CHE_DO_BHXH'!$AA73&lt;&gt;"","BHXH: "&amp;'CHE_DO_BHXH'!$AA73,"")&amp;IF('THUONG_T13_TET'!$O73&lt;&gt;"","Thưởng: "&amp;'THUONG_T13_TET'!$O73,"")&amp;IF('QT_NGHI_VIEC'!$AF73&lt;&gt;"","Nghỉ việc: "&amp;'QT_NGHI_VIEC'!$AF73,"")&amp;IF($AX73&lt;0,"Thực lĩnh âm; ","")&amp;IF(OR('DM_NHAN_SU'!$F73&gt;'THAM_SO'!$B$7,AND('DM_NHAN_SU'!$G73&lt;&gt;"",'DM_NHAN_SU'!$G73&lt;'THAM_SO'!$B$6)),"Ngoài kỳ trả lương; ","")))</f>
        <v/>
      </c>
      <c r="BH73" s="232">
        <f>IF('DM_NHAN_SU'!$B73="","",'CHAM_CONG_THANG'!AR73)</f>
        <v/>
      </c>
      <c r="BI73" s="232">
        <f>IF('DM_NHAN_SU'!$B73="","",'CHAM_CONG_THANG'!AS73)</f>
        <v/>
      </c>
      <c r="BJ73" s="232">
        <f>IF('DM_NHAN_SU'!$B73="","",'CHAM_CONG_THANG'!AT73)</f>
        <v/>
      </c>
      <c r="BK73" s="232">
        <f>IF('DM_NHAN_SU'!$B73="","",'CHAM_CONG_THANG'!AU73)</f>
        <v/>
      </c>
      <c r="BL73" s="232">
        <f>IF('DM_NHAN_SU'!$B73="","",'CHAM_CONG_THANG'!AV73)</f>
        <v/>
      </c>
      <c r="BM73" s="232">
        <f>IF('DM_NHAN_SU'!$B73="","",'CHAM_CONG_THANG'!AW73)</f>
        <v/>
      </c>
      <c r="BN73" s="232">
        <f>IF('DM_NHAN_SU'!$B73="","",SUM($K73,$BH73:$BJ73))</f>
        <v/>
      </c>
      <c r="BO73" s="224">
        <f>IF('DM_NHAN_SU'!$B73="","",IF($B73="",0,IF($G73="Tháng",IF($I73&gt;0,'DM_NHAN_SU'!$K73*MIN($BH73+$BJ73,MAX($I73-$K73,0))/$I73,0),IF($G73="Ngày",'DM_NHAN_SU'!$K73*SUM($BH73:$BJ73),IF($G73="Giờ",'DM_NHAN_SU'!$K73*SUM($BH73:$BJ73)*$J73,IF($G73="Sản phẩm",'DM_NHAN_SU'!$AH73*SUM($BH73:$BJ73),0))))))</f>
        <v/>
      </c>
      <c r="BP73" s="224">
        <f>IF('DM_NHAN_SU'!$B73="","",IF('THUONG_T13_TET'!$L73="Có",'THUONG_T13_TET'!$I73,0))</f>
        <v/>
      </c>
      <c r="BQ73" s="224">
        <f>IF('DM_NHAN_SU'!$B73="","",IF('THUONG_T13_TET'!$L73="Có",SUM('THUONG_T13_TET'!$J73:$K73),0))</f>
        <v/>
      </c>
      <c r="BR73" s="224">
        <f>IF('DM_NHAN_SU'!$B73="","",'QT_NGHI_VIEC'!AC73)</f>
        <v/>
      </c>
      <c r="BS73" s="224">
        <f>IF('DM_NHAN_SU'!$B73="","",'QT_NGHI_VIEC'!AB73)</f>
        <v/>
      </c>
      <c r="BT73" s="224">
        <f>IF('DM_NHAN_SU'!$B73="","",IF('CHE_DO_BHXH'!$Z73="Có",'CHE_DO_BHXH'!$W73,0))</f>
        <v/>
      </c>
      <c r="BU73" s="224">
        <f>IF('DM_NHAN_SU'!$B73="","",IF('CHE_DO_BHXH'!$Y73="DN trả thay",$BT73,0))</f>
        <v/>
      </c>
      <c r="BV73" s="224">
        <f>IF('DM_NHAN_SU'!$B73="","",IF(OR('DM_NHAN_SU'!$AA73&lt;&gt;"Có",'CHE_DO_BHXH'!$O73&gt;=1,SUM('CHE_DO_BHXH'!$D73,'CHE_DO_BHXH'!$G73,'CHE_DO_BHXH'!$K73)&gt;=24,AND($I73&gt;0,$BM73&gt;=$I73)),0,IF('DM_NHAN_SU'!$AB73="Không",0,IF('DM_NHAN_SU'!$AB73="Nhập tay",'DM_NHAN_SU'!$AC73,IF('DM_NHAN_SU'!$AB73="Theo thực nhận",MIN(MAX($AT73-$AU73-$AV73-$AW73,0)*'THAM_SO'!$M$23,'THAM_SO'!$M$26),MIN($AE73*'THAM_SO'!$M$23,'THAM_SO'!$M$26))))))</f>
        <v/>
      </c>
      <c r="BW73" s="224">
        <f>IF('DM_NHAN_SU'!$B73="","",$AX73+$BU73)</f>
        <v/>
      </c>
    </row>
    <row r="74">
      <c r="A74" s="145">
        <f>IF('DM_NHAN_SU'!$B74="","",IF($B74="","",ROW()-5))</f>
        <v/>
      </c>
      <c r="B74" s="145">
        <f>IF('DM_NHAN_SU'!$B74="","",'DM_NHAN_SU'!B74)</f>
        <v/>
      </c>
      <c r="C74" s="145">
        <f>IF('DM_NHAN_SU'!$B74="","",'DM_NHAN_SU'!C74)</f>
        <v/>
      </c>
      <c r="D74" s="145">
        <f>IF('DM_NHAN_SU'!$B74="","",'DM_NHAN_SU'!D74)</f>
        <v/>
      </c>
      <c r="E74" s="145">
        <f>IF('DM_NHAN_SU'!$B74="","",'DM_NHAN_SU'!E74)</f>
        <v/>
      </c>
      <c r="F74" s="145">
        <f>IF('DM_NHAN_SU'!$B74="","",'DM_NHAN_SU'!I74)</f>
        <v/>
      </c>
      <c r="G74" s="145">
        <f>IF('DM_NHAN_SU'!$B74="","",'DM_NHAN_SU'!J74)</f>
        <v/>
      </c>
      <c r="H74" s="145">
        <f>IF('DM_NHAN_SU'!$B74="","",IF('DM_NHAN_SU'!H74="",'THAM_SO'!$B$11,'DM_NHAN_SU'!H74))</f>
        <v/>
      </c>
      <c r="I74" s="232">
        <f>IF('DM_NHAN_SU'!$B74="","",IF('DM_NHAN_SU'!L74&gt;0,'DM_NHAN_SU'!L74,'THAM_SO'!$B$9))</f>
        <v/>
      </c>
      <c r="J74" s="232">
        <f>IF('DM_NHAN_SU'!$B74="","",IF('DM_NHAN_SU'!M74&gt;0,'DM_NHAN_SU'!M74,'THAM_SO'!$B$10))</f>
        <v/>
      </c>
      <c r="K74" s="232">
        <f>IF('DM_NHAN_SU'!$B74="","",'CHAM_CONG_THANG'!AC74)</f>
        <v/>
      </c>
      <c r="L74" s="232">
        <f>IF('DM_NHAN_SU'!$B74="","",'CHAM_CONG_THANG'!AD74)</f>
        <v/>
      </c>
      <c r="M74" s="232">
        <f>IF('DM_NHAN_SU'!$B74="","",'CHAM_CONG_THANG'!AE74)</f>
        <v/>
      </c>
      <c r="N74" s="232">
        <f>IF('DM_NHAN_SU'!$B74="","",'CHAM_CONG_THANG'!N74)</f>
        <v/>
      </c>
      <c r="O74" s="224">
        <f>IF('DM_NHAN_SU'!$B74="","",IF($B74="","",IF($G74="Tháng",IF($I74&gt;0,'DM_NHAN_SU'!$K74*MIN($K74,$I74)/$I74,0),IF($G74="Ngày",'DM_NHAN_SU'!$K74*$K74,IF($G74="Giờ",'DM_NHAN_SU'!$K74*$L74,IF($G74="Sản phẩm",'DM_NHAN_SU'!$K74*$N74,0))))))</f>
        <v/>
      </c>
      <c r="P74" s="224">
        <f>IF('DM_NHAN_SU'!$B74="","",'CHAM_CONG_THANG'!O74)</f>
        <v/>
      </c>
      <c r="Q74" s="224">
        <f>IF('DM_NHAN_SU'!$B74="","",'CHAM_CONG_THANG'!P74)</f>
        <v/>
      </c>
      <c r="R74" s="224">
        <f>IF('DM_NHAN_SU'!$B74="","",'CHAM_CONG_THANG'!Q74)</f>
        <v/>
      </c>
      <c r="S74" s="224">
        <f>IF('DM_NHAN_SU'!$B74="","",'CHAM_CONG_THANG'!R74)</f>
        <v/>
      </c>
      <c r="T74" s="224">
        <f>IF('DM_NHAN_SU'!$B74="","",'CHAM_CONG_THANG'!S74)</f>
        <v/>
      </c>
      <c r="U74" s="224">
        <f>IF('DM_NHAN_SU'!$B74="","",MIN($T74,'THAM_SO'!$F$6))</f>
        <v/>
      </c>
      <c r="V74" s="224">
        <f>IF('DM_NHAN_SU'!$B74="","",MAX($T74-$U74,0))</f>
        <v/>
      </c>
      <c r="W74" s="224">
        <f>IF('DM_NHAN_SU'!$B74="","",'CHAM_CONG_THANG'!T74)</f>
        <v/>
      </c>
      <c r="X74" s="224">
        <f>IF('DM_NHAN_SU'!$B74="","",'CHAM_CONG_THANG'!U74)</f>
        <v/>
      </c>
      <c r="Y74" s="224">
        <f>IF('DM_NHAN_SU'!$B74="","",IF($B74="",0,IF('DM_NHAN_SU'!$Q74&gt;0,'DM_NHAN_SU'!$Q74,IF($G74="Tháng",IF($I74*$J74&gt;0,'DM_NHAN_SU'!$K74/($I74*$J74),0),IF($G74="Ngày",IF($J74&gt;0,'DM_NHAN_SU'!$K74/$J74,0),IF($G74="Giờ",'DM_NHAN_SU'!$K74,0))))))</f>
        <v/>
      </c>
      <c r="Z74" s="224">
        <f>IF('DM_NHAN_SU'!$B74="","",$Y74*($M74*'THAM_SO'!$C$22+'CHAM_CONG_THANG'!$AF74*'THAM_SO'!$C$19+'CHAM_CONG_THANG'!$AG74*'THAM_SO'!$C$20+'CHAM_CONG_THANG'!$AH74*'THAM_SO'!$C$21+'CHAM_CONG_THANG'!$AI74*'THAM_SO'!$C$23+'CHAM_CONG_THANG'!$AJ74*'THAM_SO'!$C$24+'CHAM_CONG_THANG'!$AK74*'THAM_SO'!$C$25))</f>
        <v/>
      </c>
      <c r="AA74" s="224">
        <f>IF('DM_NHAN_SU'!$B74="","",MAX(0,$Y74*($M74*IF('THAM_SO'!$C$22&gt;='THAM_SO'!$B$22,'THAM_SO'!$B$22,0)+'CHAM_CONG_THANG'!$AF74*IF('THAM_SO'!$C$19&gt;='THAM_SO'!$B$19,'THAM_SO'!$B$19,0)+'CHAM_CONG_THANG'!$AG74*IF('THAM_SO'!$C$20&gt;='THAM_SO'!$B$20,'THAM_SO'!$B$20,0)+'CHAM_CONG_THANG'!$AH74*IF('THAM_SO'!$C$21&gt;='THAM_SO'!$B$21,'THAM_SO'!$B$21,0)+'CHAM_CONG_THANG'!$AI74*IF('THAM_SO'!$C$23&gt;='THAM_SO'!$B$23,'THAM_SO'!$B$23,0)+'CHAM_CONG_THANG'!$AJ74*IF('THAM_SO'!$C$24&gt;='THAM_SO'!$B$24,'THAM_SO'!$B$24,0)+'CHAM_CONG_THANG'!$AK74*IF('THAM_SO'!$C$25&gt;='THAM_SO'!$B$25,'THAM_SO'!$B$25,0))-'CHAM_CONG_THANG'!$V74))</f>
        <v/>
      </c>
      <c r="AB74" s="224">
        <f>IF('DM_NHAN_SU'!$B74="","",MAX($Z74-$AA74,0))</f>
        <v/>
      </c>
      <c r="AC74" s="224">
        <f>IF('DM_NHAN_SU'!$B74="","",$O74+$P74+$Q74+$R74+$S74+$V74+$AB74+$BO74+$BP74+$BQ74+$BR74)</f>
        <v/>
      </c>
      <c r="AD74" s="224">
        <f>IF('DM_NHAN_SU'!$B74="","",'DM_NHAN_SU'!N74+'DM_NHAN_SU'!O74+'DM_NHAN_SU'!P74)</f>
        <v/>
      </c>
      <c r="AE74" s="224">
        <f>IF('DM_NHAN_SU'!$B74="","",IF(OR('DM_NHAN_SU'!$R74&lt;&gt;"Có",'CHAM_CONG_THANG'!$AA74="Có",$BL74&gt;=14,$AD74&lt;=0),0,MIN(MAX($AD74,'THAM_SO'!$M$6),'THAM_SO'!$M$7)))</f>
        <v/>
      </c>
      <c r="AF74" s="224">
        <f>IF('DM_NHAN_SU'!$B74="","",IF(OR('DM_NHAN_SU'!$S74&lt;&gt;"Có",'CHAM_CONG_THANG'!$AA74="Có",$BL74&gt;=14,$AD74&lt;=0),0,MIN(MAX($AD74,VLOOKUP($H74,'THAM_SO'!$L$17:$P$20,4,FALSE)),VLOOKUP($H74,'THAM_SO'!$L$17:$P$20,5,FALSE))))</f>
        <v/>
      </c>
      <c r="AG74" s="224">
        <f>IF('DM_NHAN_SU'!$B74="","",$AE74*'THAM_SO'!$M$8)</f>
        <v/>
      </c>
      <c r="AH74" s="224">
        <f>IF('DM_NHAN_SU'!$B74="","",$AE74*'THAM_SO'!$M$9)</f>
        <v/>
      </c>
      <c r="AI74" s="224">
        <f>IF('DM_NHAN_SU'!$B74="","",$AF74*'THAM_SO'!$M$10)</f>
        <v/>
      </c>
      <c r="AJ74" s="224">
        <f>IF('DM_NHAN_SU'!$B74="","",SUM($AG74:$AI74))</f>
        <v/>
      </c>
      <c r="AK74" s="224">
        <f>IF('DM_NHAN_SU'!$B74="","",IF($B74="",0,'THAM_SO'!$F$4))</f>
        <v/>
      </c>
      <c r="AL74" s="224">
        <f>IF('DM_NHAN_SU'!$B74="","",IF($B74="",0,'DM_NHAN_SU'!$T74*'THAM_SO'!$F$5))</f>
        <v/>
      </c>
      <c r="AM74" s="224">
        <f>IF('DM_NHAN_SU'!$B74="","",'CHAM_CONG_THANG'!W74)</f>
        <v/>
      </c>
      <c r="AN74" s="224">
        <f>IF('DM_NHAN_SU'!$B74="","",MAX($AC74-$AK74-$AL74-$AM74,0))</f>
        <v/>
      </c>
      <c r="AO74" s="224">
        <f>IF('DM_NHAN_SU'!$B74="","",IF($B74="","",IF($F74="Net",IF($AC74&lt;=$AK74+$AL74+$AM74,$AC74+$AJ74,$AJ74+$AK74+$AL74+$AM74+IF($AN74&lt;='THAM_SO'!$J$10,($AN74-'THAM_SO'!$I$10)/(1-'THAM_SO'!$H$10),IF($AN74&lt;='THAM_SO'!$J$11,($AN74-'THAM_SO'!$I$11)/(1-'THAM_SO'!$H$11),IF($AN74&lt;='THAM_SO'!$J$12,($AN74-'THAM_SO'!$I$12)/(1-'THAM_SO'!$H$12),IF($AN74&lt;='THAM_SO'!$J$13,($AN74-'THAM_SO'!$I$13)/(1-'THAM_SO'!$H$13),($AN74-'THAM_SO'!$I$14)/(1-'THAM_SO'!$H$14)))))),$AC74)))</f>
        <v/>
      </c>
      <c r="AP74" s="224">
        <f>IF('DM_NHAN_SU'!$B74="","",$U74+$W74+$X74+$AA74+$BS74)</f>
        <v/>
      </c>
      <c r="AQ74" s="224">
        <f>IF('DM_NHAN_SU'!$B74="","",MAX($AO74-$AJ74-$AK74-$AL74-$AM74,0))</f>
        <v/>
      </c>
      <c r="AR74" s="224">
        <f>IF('DM_NHAN_SU'!$B74="","",IF($AQ74&lt;=0,0,$AQ74*VLOOKUP($AQ74,'THAM_SO'!$F$10:$I$14,3,TRUE)-VLOOKUP($AQ74,'THAM_SO'!$F$10:$I$14,4,TRUE)))</f>
        <v/>
      </c>
      <c r="AS74" s="224">
        <f>IF('DM_NHAN_SU'!$B74="","",$AO74+$AP74)</f>
        <v/>
      </c>
      <c r="AT74" s="224">
        <f>IF('DM_NHAN_SU'!$B74="","",$AS74-$AJ74-$AR74)</f>
        <v/>
      </c>
      <c r="AU74" s="224">
        <f>IF('DM_NHAN_SU'!$B74="","",'CHAM_CONG_THANG'!X74)</f>
        <v/>
      </c>
      <c r="AV74" s="224">
        <f>IF('DM_NHAN_SU'!$B74="","",'CHAM_CONG_THANG'!Y74+'QT_NGHI_VIEC'!AD74)</f>
        <v/>
      </c>
      <c r="AW74" s="224">
        <f>IF('DM_NHAN_SU'!$B74="","",'CHAM_CONG_THANG'!Z74)</f>
        <v/>
      </c>
      <c r="AX74" s="224">
        <f>IF('DM_NHAN_SU'!$B74="","",$AT74-$AU74-$AV74-$AW74-$BV74)</f>
        <v/>
      </c>
      <c r="AY74" s="224">
        <f>IF('DM_NHAN_SU'!$B74="","",$AE74*'THAM_SO'!$M$11)</f>
        <v/>
      </c>
      <c r="AZ74" s="224">
        <f>IF('DM_NHAN_SU'!$B74="","",$AE74*'THAM_SO'!$M$12)</f>
        <v/>
      </c>
      <c r="BA74" s="224">
        <f>IF('DM_NHAN_SU'!$B74="","",$AF74*'THAM_SO'!$M$13)</f>
        <v/>
      </c>
      <c r="BB74" s="224">
        <f>IF('DM_NHAN_SU'!$B74="","",$AE74*'THAM_SO'!$M$14)</f>
        <v/>
      </c>
      <c r="BC74" s="224">
        <f>IF('DM_NHAN_SU'!$B74="","",SUM($AY74:$BB74))</f>
        <v/>
      </c>
      <c r="BD74" s="224">
        <f>IF('DM_NHAN_SU'!$B74="","",$AS74+$BC74)</f>
        <v/>
      </c>
      <c r="BE74" s="224">
        <f>IF('DM_NHAN_SU'!$B74="","",VLOOKUP($H74,'THAM_SO'!$L$17:$P$20,2,FALSE))</f>
        <v/>
      </c>
      <c r="BF74" s="224">
        <f>IF('DM_NHAN_SU'!$B74="","",VLOOKUP($H74,'THAM_SO'!$L$17:$P$20,3,FALSE))</f>
        <v/>
      </c>
      <c r="BG74" s="150">
        <f>IF('DM_NHAN_SU'!$B74="","",IF($B74="","",IF(COUNTIF('DM_NHAN_SU'!$B$6:$B$155,$B74)&gt;1,"Trùng mã NV; ","")&amp;IF(OR($F74="",$G74=""),"Thiếu loại/hình thức lương; ","")&amp;IF('CHAM_CONG_THANG'!$D74="","Chưa chọn nguồn công; ","")&amp;IF(AND('CHAM_CONG_THANG'!$D74="Theo ngày",COUNTIF('CHAM_CONG_NGAY'!$B$6:$B$4655,$B74)=0),"Chưa có chấm công ngày; ","")&amp;IF(OR($I74&lt;=0,$J74&lt;=0),"Thiếu công/giờ chuẩn; ","")&amp;IF(AND($G74="Tháng",'DM_NHAN_SU'!$K74&lt;$BE74),"Lương tháng dưới tối thiểu vùng; ","")&amp;IF(AND($G74="Ngày",'DM_NHAN_SU'!$K74/$J74&lt;$BF74),"Lương ngày quy đổi dưới tối thiểu giờ; ","")&amp;IF(AND($G74="Giờ",'DM_NHAN_SU'!$K74&lt;$BF74),"Lương giờ dưới tối thiểu vùng; ","")&amp;IF(AND($G74="Sản phẩm",$L74&gt;0,$O74/$L74&lt;$BF74),"Lương SP quy đổi dưới tối thiểu giờ; ","")&amp;IF(OR('THAM_SO'!$C$19&lt;'THAM_SO'!$B$19,'THAM_SO'!$C$20&lt;'THAM_SO'!$B$20,'THAM_SO'!$C$21&lt;'THAM_SO'!$B$21,'THAM_SO'!$C$22&lt;'THAM_SO'!$B$22,'THAM_SO'!$C$23&lt;'THAM_SO'!$B$23,'THAM_SO'!$C$24&lt;'THAM_SO'!$B$24,'THAM_SO'!$C$25&lt;'THAM_SO'!$B$25),"Hệ số OT/đêm DN thấp hơn luật; ","")&amp;IF(AND('DM_NHAN_SU'!$R74="Có",$AD74&lt;=0),"Thiếu căn cứ đóng BH; ","")&amp;IF(AND($AD74&gt;0,$AD74&lt;'THAM_SO'!$M$6),"Căn cứ BH dưới sàn – đã nâng sàn; ","")&amp;IF($AD74&gt;'THAM_SO'!$M$7,"Căn cứ BH vượt trần – đã giới hạn; ","")&amp;IF(AND($F74="Net",SUM('CHAM_CONG_THANG'!$AF74:$AK74)&gt;0,'DM_NHAN_SU'!$Q74&lt;=0),"Net có OT nhưng chưa khai lương giờ OT; ","")&amp;IF('CHAM_CONG_THANG'!$V74&gt;$Z74,"Phần OT không miễn lớn hơn tiền OT; ","")&amp;IF(AND($F74="Net",ABS($AT74-$AC74-$AP74)&gt;1),"Lệch quy đổi Net; ","")&amp;IF(AND($BH74&gt;0,'DM_NHAN_SU'!$AD74=""),"Có phép năm nhưng đang tạm dùng 12 ngày; ","")&amp;IF(AND($G74="Sản phẩm",SUM($BH74:$BJ74)&gt;0,'DM_NHAN_SU'!$AH74&lt;=0),"Lương sản phẩm thiếu đơn giá ngày phép/lễ; ","")&amp;IF(AND($BL74&gt;=14,'CHAM_CONG_THANG'!$AA74&lt;&gt;"Có"),"Thai sản từ 14 ngày: file tự dừng đóng BH – kiểm tra hồ sơ; ","")&amp;IF(AND('DM_NHAN_SU'!$AA74="Có",'DM_NHAN_SU'!$AB74=""),"Đoàn viên chưa chọn cách tính đoàn phí; ","")&amp;IF(AND('DM_NHAN_SU'!$AB74="Nhập tay",'DM_NHAN_SU'!$AC74&gt;'THAM_SO'!$M$26),"Đoàn phí nhập tay vượt trần thông dụng; ","")&amp;IF('NGHI_PHEP'!$L74&lt;&gt;"","Phép: "&amp;'NGHI_PHEP'!$L74,"")&amp;IF('CHE_DO_BHXH'!$AA74&lt;&gt;"","BHXH: "&amp;'CHE_DO_BHXH'!$AA74,"")&amp;IF('THUONG_T13_TET'!$O74&lt;&gt;"","Thưởng: "&amp;'THUONG_T13_TET'!$O74,"")&amp;IF('QT_NGHI_VIEC'!$AF74&lt;&gt;"","Nghỉ việc: "&amp;'QT_NGHI_VIEC'!$AF74,"")&amp;IF($AX74&lt;0,"Thực lĩnh âm; ","")&amp;IF(OR('DM_NHAN_SU'!$F74&gt;'THAM_SO'!$B$7,AND('DM_NHAN_SU'!$G74&lt;&gt;"",'DM_NHAN_SU'!$G74&lt;'THAM_SO'!$B$6)),"Ngoài kỳ trả lương; ","")))</f>
        <v/>
      </c>
      <c r="BH74" s="232">
        <f>IF('DM_NHAN_SU'!$B74="","",'CHAM_CONG_THANG'!AR74)</f>
        <v/>
      </c>
      <c r="BI74" s="232">
        <f>IF('DM_NHAN_SU'!$B74="","",'CHAM_CONG_THANG'!AS74)</f>
        <v/>
      </c>
      <c r="BJ74" s="232">
        <f>IF('DM_NHAN_SU'!$B74="","",'CHAM_CONG_THANG'!AT74)</f>
        <v/>
      </c>
      <c r="BK74" s="232">
        <f>IF('DM_NHAN_SU'!$B74="","",'CHAM_CONG_THANG'!AU74)</f>
        <v/>
      </c>
      <c r="BL74" s="232">
        <f>IF('DM_NHAN_SU'!$B74="","",'CHAM_CONG_THANG'!AV74)</f>
        <v/>
      </c>
      <c r="BM74" s="232">
        <f>IF('DM_NHAN_SU'!$B74="","",'CHAM_CONG_THANG'!AW74)</f>
        <v/>
      </c>
      <c r="BN74" s="232">
        <f>IF('DM_NHAN_SU'!$B74="","",SUM($K74,$BH74:$BJ74))</f>
        <v/>
      </c>
      <c r="BO74" s="224">
        <f>IF('DM_NHAN_SU'!$B74="","",IF($B74="",0,IF($G74="Tháng",IF($I74&gt;0,'DM_NHAN_SU'!$K74*MIN($BH74+$BJ74,MAX($I74-$K74,0))/$I74,0),IF($G74="Ngày",'DM_NHAN_SU'!$K74*SUM($BH74:$BJ74),IF($G74="Giờ",'DM_NHAN_SU'!$K74*SUM($BH74:$BJ74)*$J74,IF($G74="Sản phẩm",'DM_NHAN_SU'!$AH74*SUM($BH74:$BJ74),0))))))</f>
        <v/>
      </c>
      <c r="BP74" s="224">
        <f>IF('DM_NHAN_SU'!$B74="","",IF('THUONG_T13_TET'!$L74="Có",'THUONG_T13_TET'!$I74,0))</f>
        <v/>
      </c>
      <c r="BQ74" s="224">
        <f>IF('DM_NHAN_SU'!$B74="","",IF('THUONG_T13_TET'!$L74="Có",SUM('THUONG_T13_TET'!$J74:$K74),0))</f>
        <v/>
      </c>
      <c r="BR74" s="224">
        <f>IF('DM_NHAN_SU'!$B74="","",'QT_NGHI_VIEC'!AC74)</f>
        <v/>
      </c>
      <c r="BS74" s="224">
        <f>IF('DM_NHAN_SU'!$B74="","",'QT_NGHI_VIEC'!AB74)</f>
        <v/>
      </c>
      <c r="BT74" s="224">
        <f>IF('DM_NHAN_SU'!$B74="","",IF('CHE_DO_BHXH'!$Z74="Có",'CHE_DO_BHXH'!$W74,0))</f>
        <v/>
      </c>
      <c r="BU74" s="224">
        <f>IF('DM_NHAN_SU'!$B74="","",IF('CHE_DO_BHXH'!$Y74="DN trả thay",$BT74,0))</f>
        <v/>
      </c>
      <c r="BV74" s="224">
        <f>IF('DM_NHAN_SU'!$B74="","",IF(OR('DM_NHAN_SU'!$AA74&lt;&gt;"Có",'CHE_DO_BHXH'!$O74&gt;=1,SUM('CHE_DO_BHXH'!$D74,'CHE_DO_BHXH'!$G74,'CHE_DO_BHXH'!$K74)&gt;=24,AND($I74&gt;0,$BM74&gt;=$I74)),0,IF('DM_NHAN_SU'!$AB74="Không",0,IF('DM_NHAN_SU'!$AB74="Nhập tay",'DM_NHAN_SU'!$AC74,IF('DM_NHAN_SU'!$AB74="Theo thực nhận",MIN(MAX($AT74-$AU74-$AV74-$AW74,0)*'THAM_SO'!$M$23,'THAM_SO'!$M$26),MIN($AE74*'THAM_SO'!$M$23,'THAM_SO'!$M$26))))))</f>
        <v/>
      </c>
      <c r="BW74" s="224">
        <f>IF('DM_NHAN_SU'!$B74="","",$AX74+$BU74)</f>
        <v/>
      </c>
    </row>
    <row r="75">
      <c r="A75" s="145">
        <f>IF('DM_NHAN_SU'!$B75="","",IF($B75="","",ROW()-5))</f>
        <v/>
      </c>
      <c r="B75" s="145">
        <f>IF('DM_NHAN_SU'!$B75="","",'DM_NHAN_SU'!B75)</f>
        <v/>
      </c>
      <c r="C75" s="145">
        <f>IF('DM_NHAN_SU'!$B75="","",'DM_NHAN_SU'!C75)</f>
        <v/>
      </c>
      <c r="D75" s="145">
        <f>IF('DM_NHAN_SU'!$B75="","",'DM_NHAN_SU'!D75)</f>
        <v/>
      </c>
      <c r="E75" s="145">
        <f>IF('DM_NHAN_SU'!$B75="","",'DM_NHAN_SU'!E75)</f>
        <v/>
      </c>
      <c r="F75" s="145">
        <f>IF('DM_NHAN_SU'!$B75="","",'DM_NHAN_SU'!I75)</f>
        <v/>
      </c>
      <c r="G75" s="145">
        <f>IF('DM_NHAN_SU'!$B75="","",'DM_NHAN_SU'!J75)</f>
        <v/>
      </c>
      <c r="H75" s="145">
        <f>IF('DM_NHAN_SU'!$B75="","",IF('DM_NHAN_SU'!H75="",'THAM_SO'!$B$11,'DM_NHAN_SU'!H75))</f>
        <v/>
      </c>
      <c r="I75" s="232">
        <f>IF('DM_NHAN_SU'!$B75="","",IF('DM_NHAN_SU'!L75&gt;0,'DM_NHAN_SU'!L75,'THAM_SO'!$B$9))</f>
        <v/>
      </c>
      <c r="J75" s="232">
        <f>IF('DM_NHAN_SU'!$B75="","",IF('DM_NHAN_SU'!M75&gt;0,'DM_NHAN_SU'!M75,'THAM_SO'!$B$10))</f>
        <v/>
      </c>
      <c r="K75" s="232">
        <f>IF('DM_NHAN_SU'!$B75="","",'CHAM_CONG_THANG'!AC75)</f>
        <v/>
      </c>
      <c r="L75" s="232">
        <f>IF('DM_NHAN_SU'!$B75="","",'CHAM_CONG_THANG'!AD75)</f>
        <v/>
      </c>
      <c r="M75" s="232">
        <f>IF('DM_NHAN_SU'!$B75="","",'CHAM_CONG_THANG'!AE75)</f>
        <v/>
      </c>
      <c r="N75" s="232">
        <f>IF('DM_NHAN_SU'!$B75="","",'CHAM_CONG_THANG'!N75)</f>
        <v/>
      </c>
      <c r="O75" s="224">
        <f>IF('DM_NHAN_SU'!$B75="","",IF($B75="","",IF($G75="Tháng",IF($I75&gt;0,'DM_NHAN_SU'!$K75*MIN($K75,$I75)/$I75,0),IF($G75="Ngày",'DM_NHAN_SU'!$K75*$K75,IF($G75="Giờ",'DM_NHAN_SU'!$K75*$L75,IF($G75="Sản phẩm",'DM_NHAN_SU'!$K75*$N75,0))))))</f>
        <v/>
      </c>
      <c r="P75" s="224">
        <f>IF('DM_NHAN_SU'!$B75="","",'CHAM_CONG_THANG'!O75)</f>
        <v/>
      </c>
      <c r="Q75" s="224">
        <f>IF('DM_NHAN_SU'!$B75="","",'CHAM_CONG_THANG'!P75)</f>
        <v/>
      </c>
      <c r="R75" s="224">
        <f>IF('DM_NHAN_SU'!$B75="","",'CHAM_CONG_THANG'!Q75)</f>
        <v/>
      </c>
      <c r="S75" s="224">
        <f>IF('DM_NHAN_SU'!$B75="","",'CHAM_CONG_THANG'!R75)</f>
        <v/>
      </c>
      <c r="T75" s="224">
        <f>IF('DM_NHAN_SU'!$B75="","",'CHAM_CONG_THANG'!S75)</f>
        <v/>
      </c>
      <c r="U75" s="224">
        <f>IF('DM_NHAN_SU'!$B75="","",MIN($T75,'THAM_SO'!$F$6))</f>
        <v/>
      </c>
      <c r="V75" s="224">
        <f>IF('DM_NHAN_SU'!$B75="","",MAX($T75-$U75,0))</f>
        <v/>
      </c>
      <c r="W75" s="224">
        <f>IF('DM_NHAN_SU'!$B75="","",'CHAM_CONG_THANG'!T75)</f>
        <v/>
      </c>
      <c r="X75" s="224">
        <f>IF('DM_NHAN_SU'!$B75="","",'CHAM_CONG_THANG'!U75)</f>
        <v/>
      </c>
      <c r="Y75" s="224">
        <f>IF('DM_NHAN_SU'!$B75="","",IF($B75="",0,IF('DM_NHAN_SU'!$Q75&gt;0,'DM_NHAN_SU'!$Q75,IF($G75="Tháng",IF($I75*$J75&gt;0,'DM_NHAN_SU'!$K75/($I75*$J75),0),IF($G75="Ngày",IF($J75&gt;0,'DM_NHAN_SU'!$K75/$J75,0),IF($G75="Giờ",'DM_NHAN_SU'!$K75,0))))))</f>
        <v/>
      </c>
      <c r="Z75" s="224">
        <f>IF('DM_NHAN_SU'!$B75="","",$Y75*($M75*'THAM_SO'!$C$22+'CHAM_CONG_THANG'!$AF75*'THAM_SO'!$C$19+'CHAM_CONG_THANG'!$AG75*'THAM_SO'!$C$20+'CHAM_CONG_THANG'!$AH75*'THAM_SO'!$C$21+'CHAM_CONG_THANG'!$AI75*'THAM_SO'!$C$23+'CHAM_CONG_THANG'!$AJ75*'THAM_SO'!$C$24+'CHAM_CONG_THANG'!$AK75*'THAM_SO'!$C$25))</f>
        <v/>
      </c>
      <c r="AA75" s="224">
        <f>IF('DM_NHAN_SU'!$B75="","",MAX(0,$Y75*($M75*IF('THAM_SO'!$C$22&gt;='THAM_SO'!$B$22,'THAM_SO'!$B$22,0)+'CHAM_CONG_THANG'!$AF75*IF('THAM_SO'!$C$19&gt;='THAM_SO'!$B$19,'THAM_SO'!$B$19,0)+'CHAM_CONG_THANG'!$AG75*IF('THAM_SO'!$C$20&gt;='THAM_SO'!$B$20,'THAM_SO'!$B$20,0)+'CHAM_CONG_THANG'!$AH75*IF('THAM_SO'!$C$21&gt;='THAM_SO'!$B$21,'THAM_SO'!$B$21,0)+'CHAM_CONG_THANG'!$AI75*IF('THAM_SO'!$C$23&gt;='THAM_SO'!$B$23,'THAM_SO'!$B$23,0)+'CHAM_CONG_THANG'!$AJ75*IF('THAM_SO'!$C$24&gt;='THAM_SO'!$B$24,'THAM_SO'!$B$24,0)+'CHAM_CONG_THANG'!$AK75*IF('THAM_SO'!$C$25&gt;='THAM_SO'!$B$25,'THAM_SO'!$B$25,0))-'CHAM_CONG_THANG'!$V75))</f>
        <v/>
      </c>
      <c r="AB75" s="224">
        <f>IF('DM_NHAN_SU'!$B75="","",MAX($Z75-$AA75,0))</f>
        <v/>
      </c>
      <c r="AC75" s="224">
        <f>IF('DM_NHAN_SU'!$B75="","",$O75+$P75+$Q75+$R75+$S75+$V75+$AB75+$BO75+$BP75+$BQ75+$BR75)</f>
        <v/>
      </c>
      <c r="AD75" s="224">
        <f>IF('DM_NHAN_SU'!$B75="","",'DM_NHAN_SU'!N75+'DM_NHAN_SU'!O75+'DM_NHAN_SU'!P75)</f>
        <v/>
      </c>
      <c r="AE75" s="224">
        <f>IF('DM_NHAN_SU'!$B75="","",IF(OR('DM_NHAN_SU'!$R75&lt;&gt;"Có",'CHAM_CONG_THANG'!$AA75="Có",$BL75&gt;=14,$AD75&lt;=0),0,MIN(MAX($AD75,'THAM_SO'!$M$6),'THAM_SO'!$M$7)))</f>
        <v/>
      </c>
      <c r="AF75" s="224">
        <f>IF('DM_NHAN_SU'!$B75="","",IF(OR('DM_NHAN_SU'!$S75&lt;&gt;"Có",'CHAM_CONG_THANG'!$AA75="Có",$BL75&gt;=14,$AD75&lt;=0),0,MIN(MAX($AD75,VLOOKUP($H75,'THAM_SO'!$L$17:$P$20,4,FALSE)),VLOOKUP($H75,'THAM_SO'!$L$17:$P$20,5,FALSE))))</f>
        <v/>
      </c>
      <c r="AG75" s="224">
        <f>IF('DM_NHAN_SU'!$B75="","",$AE75*'THAM_SO'!$M$8)</f>
        <v/>
      </c>
      <c r="AH75" s="224">
        <f>IF('DM_NHAN_SU'!$B75="","",$AE75*'THAM_SO'!$M$9)</f>
        <v/>
      </c>
      <c r="AI75" s="224">
        <f>IF('DM_NHAN_SU'!$B75="","",$AF75*'THAM_SO'!$M$10)</f>
        <v/>
      </c>
      <c r="AJ75" s="224">
        <f>IF('DM_NHAN_SU'!$B75="","",SUM($AG75:$AI75))</f>
        <v/>
      </c>
      <c r="AK75" s="224">
        <f>IF('DM_NHAN_SU'!$B75="","",IF($B75="",0,'THAM_SO'!$F$4))</f>
        <v/>
      </c>
      <c r="AL75" s="224">
        <f>IF('DM_NHAN_SU'!$B75="","",IF($B75="",0,'DM_NHAN_SU'!$T75*'THAM_SO'!$F$5))</f>
        <v/>
      </c>
      <c r="AM75" s="224">
        <f>IF('DM_NHAN_SU'!$B75="","",'CHAM_CONG_THANG'!W75)</f>
        <v/>
      </c>
      <c r="AN75" s="224">
        <f>IF('DM_NHAN_SU'!$B75="","",MAX($AC75-$AK75-$AL75-$AM75,0))</f>
        <v/>
      </c>
      <c r="AO75" s="224">
        <f>IF('DM_NHAN_SU'!$B75="","",IF($B75="","",IF($F75="Net",IF($AC75&lt;=$AK75+$AL75+$AM75,$AC75+$AJ75,$AJ75+$AK75+$AL75+$AM75+IF($AN75&lt;='THAM_SO'!$J$10,($AN75-'THAM_SO'!$I$10)/(1-'THAM_SO'!$H$10),IF($AN75&lt;='THAM_SO'!$J$11,($AN75-'THAM_SO'!$I$11)/(1-'THAM_SO'!$H$11),IF($AN75&lt;='THAM_SO'!$J$12,($AN75-'THAM_SO'!$I$12)/(1-'THAM_SO'!$H$12),IF($AN75&lt;='THAM_SO'!$J$13,($AN75-'THAM_SO'!$I$13)/(1-'THAM_SO'!$H$13),($AN75-'THAM_SO'!$I$14)/(1-'THAM_SO'!$H$14)))))),$AC75)))</f>
        <v/>
      </c>
      <c r="AP75" s="224">
        <f>IF('DM_NHAN_SU'!$B75="","",$U75+$W75+$X75+$AA75+$BS75)</f>
        <v/>
      </c>
      <c r="AQ75" s="224">
        <f>IF('DM_NHAN_SU'!$B75="","",MAX($AO75-$AJ75-$AK75-$AL75-$AM75,0))</f>
        <v/>
      </c>
      <c r="AR75" s="224">
        <f>IF('DM_NHAN_SU'!$B75="","",IF($AQ75&lt;=0,0,$AQ75*VLOOKUP($AQ75,'THAM_SO'!$F$10:$I$14,3,TRUE)-VLOOKUP($AQ75,'THAM_SO'!$F$10:$I$14,4,TRUE)))</f>
        <v/>
      </c>
      <c r="AS75" s="224">
        <f>IF('DM_NHAN_SU'!$B75="","",$AO75+$AP75)</f>
        <v/>
      </c>
      <c r="AT75" s="224">
        <f>IF('DM_NHAN_SU'!$B75="","",$AS75-$AJ75-$AR75)</f>
        <v/>
      </c>
      <c r="AU75" s="224">
        <f>IF('DM_NHAN_SU'!$B75="","",'CHAM_CONG_THANG'!X75)</f>
        <v/>
      </c>
      <c r="AV75" s="224">
        <f>IF('DM_NHAN_SU'!$B75="","",'CHAM_CONG_THANG'!Y75+'QT_NGHI_VIEC'!AD75)</f>
        <v/>
      </c>
      <c r="AW75" s="224">
        <f>IF('DM_NHAN_SU'!$B75="","",'CHAM_CONG_THANG'!Z75)</f>
        <v/>
      </c>
      <c r="AX75" s="224">
        <f>IF('DM_NHAN_SU'!$B75="","",$AT75-$AU75-$AV75-$AW75-$BV75)</f>
        <v/>
      </c>
      <c r="AY75" s="224">
        <f>IF('DM_NHAN_SU'!$B75="","",$AE75*'THAM_SO'!$M$11)</f>
        <v/>
      </c>
      <c r="AZ75" s="224">
        <f>IF('DM_NHAN_SU'!$B75="","",$AE75*'THAM_SO'!$M$12)</f>
        <v/>
      </c>
      <c r="BA75" s="224">
        <f>IF('DM_NHAN_SU'!$B75="","",$AF75*'THAM_SO'!$M$13)</f>
        <v/>
      </c>
      <c r="BB75" s="224">
        <f>IF('DM_NHAN_SU'!$B75="","",$AE75*'THAM_SO'!$M$14)</f>
        <v/>
      </c>
      <c r="BC75" s="224">
        <f>IF('DM_NHAN_SU'!$B75="","",SUM($AY75:$BB75))</f>
        <v/>
      </c>
      <c r="BD75" s="224">
        <f>IF('DM_NHAN_SU'!$B75="","",$AS75+$BC75)</f>
        <v/>
      </c>
      <c r="BE75" s="224">
        <f>IF('DM_NHAN_SU'!$B75="","",VLOOKUP($H75,'THAM_SO'!$L$17:$P$20,2,FALSE))</f>
        <v/>
      </c>
      <c r="BF75" s="224">
        <f>IF('DM_NHAN_SU'!$B75="","",VLOOKUP($H75,'THAM_SO'!$L$17:$P$20,3,FALSE))</f>
        <v/>
      </c>
      <c r="BG75" s="150">
        <f>IF('DM_NHAN_SU'!$B75="","",IF($B75="","",IF(COUNTIF('DM_NHAN_SU'!$B$6:$B$155,$B75)&gt;1,"Trùng mã NV; ","")&amp;IF(OR($F75="",$G75=""),"Thiếu loại/hình thức lương; ","")&amp;IF('CHAM_CONG_THANG'!$D75="","Chưa chọn nguồn công; ","")&amp;IF(AND('CHAM_CONG_THANG'!$D75="Theo ngày",COUNTIF('CHAM_CONG_NGAY'!$B$6:$B$4655,$B75)=0),"Chưa có chấm công ngày; ","")&amp;IF(OR($I75&lt;=0,$J75&lt;=0),"Thiếu công/giờ chuẩn; ","")&amp;IF(AND($G75="Tháng",'DM_NHAN_SU'!$K75&lt;$BE75),"Lương tháng dưới tối thiểu vùng; ","")&amp;IF(AND($G75="Ngày",'DM_NHAN_SU'!$K75/$J75&lt;$BF75),"Lương ngày quy đổi dưới tối thiểu giờ; ","")&amp;IF(AND($G75="Giờ",'DM_NHAN_SU'!$K75&lt;$BF75),"Lương giờ dưới tối thiểu vùng; ","")&amp;IF(AND($G75="Sản phẩm",$L75&gt;0,$O75/$L75&lt;$BF75),"Lương SP quy đổi dưới tối thiểu giờ; ","")&amp;IF(OR('THAM_SO'!$C$19&lt;'THAM_SO'!$B$19,'THAM_SO'!$C$20&lt;'THAM_SO'!$B$20,'THAM_SO'!$C$21&lt;'THAM_SO'!$B$21,'THAM_SO'!$C$22&lt;'THAM_SO'!$B$22,'THAM_SO'!$C$23&lt;'THAM_SO'!$B$23,'THAM_SO'!$C$24&lt;'THAM_SO'!$B$24,'THAM_SO'!$C$25&lt;'THAM_SO'!$B$25),"Hệ số OT/đêm DN thấp hơn luật; ","")&amp;IF(AND('DM_NHAN_SU'!$R75="Có",$AD75&lt;=0),"Thiếu căn cứ đóng BH; ","")&amp;IF(AND($AD75&gt;0,$AD75&lt;'THAM_SO'!$M$6),"Căn cứ BH dưới sàn – đã nâng sàn; ","")&amp;IF($AD75&gt;'THAM_SO'!$M$7,"Căn cứ BH vượt trần – đã giới hạn; ","")&amp;IF(AND($F75="Net",SUM('CHAM_CONG_THANG'!$AF75:$AK75)&gt;0,'DM_NHAN_SU'!$Q75&lt;=0),"Net có OT nhưng chưa khai lương giờ OT; ","")&amp;IF('CHAM_CONG_THANG'!$V75&gt;$Z75,"Phần OT không miễn lớn hơn tiền OT; ","")&amp;IF(AND($F75="Net",ABS($AT75-$AC75-$AP75)&gt;1),"Lệch quy đổi Net; ","")&amp;IF(AND($BH75&gt;0,'DM_NHAN_SU'!$AD75=""),"Có phép năm nhưng đang tạm dùng 12 ngày; ","")&amp;IF(AND($G75="Sản phẩm",SUM($BH75:$BJ75)&gt;0,'DM_NHAN_SU'!$AH75&lt;=0),"Lương sản phẩm thiếu đơn giá ngày phép/lễ; ","")&amp;IF(AND($BL75&gt;=14,'CHAM_CONG_THANG'!$AA75&lt;&gt;"Có"),"Thai sản từ 14 ngày: file tự dừng đóng BH – kiểm tra hồ sơ; ","")&amp;IF(AND('DM_NHAN_SU'!$AA75="Có",'DM_NHAN_SU'!$AB75=""),"Đoàn viên chưa chọn cách tính đoàn phí; ","")&amp;IF(AND('DM_NHAN_SU'!$AB75="Nhập tay",'DM_NHAN_SU'!$AC75&gt;'THAM_SO'!$M$26),"Đoàn phí nhập tay vượt trần thông dụng; ","")&amp;IF('NGHI_PHEP'!$L75&lt;&gt;"","Phép: "&amp;'NGHI_PHEP'!$L75,"")&amp;IF('CHE_DO_BHXH'!$AA75&lt;&gt;"","BHXH: "&amp;'CHE_DO_BHXH'!$AA75,"")&amp;IF('THUONG_T13_TET'!$O75&lt;&gt;"","Thưởng: "&amp;'THUONG_T13_TET'!$O75,"")&amp;IF('QT_NGHI_VIEC'!$AF75&lt;&gt;"","Nghỉ việc: "&amp;'QT_NGHI_VIEC'!$AF75,"")&amp;IF($AX75&lt;0,"Thực lĩnh âm; ","")&amp;IF(OR('DM_NHAN_SU'!$F75&gt;'THAM_SO'!$B$7,AND('DM_NHAN_SU'!$G75&lt;&gt;"",'DM_NHAN_SU'!$G75&lt;'THAM_SO'!$B$6)),"Ngoài kỳ trả lương; ","")))</f>
        <v/>
      </c>
      <c r="BH75" s="232">
        <f>IF('DM_NHAN_SU'!$B75="","",'CHAM_CONG_THANG'!AR75)</f>
        <v/>
      </c>
      <c r="BI75" s="232">
        <f>IF('DM_NHAN_SU'!$B75="","",'CHAM_CONG_THANG'!AS75)</f>
        <v/>
      </c>
      <c r="BJ75" s="232">
        <f>IF('DM_NHAN_SU'!$B75="","",'CHAM_CONG_THANG'!AT75)</f>
        <v/>
      </c>
      <c r="BK75" s="232">
        <f>IF('DM_NHAN_SU'!$B75="","",'CHAM_CONG_THANG'!AU75)</f>
        <v/>
      </c>
      <c r="BL75" s="232">
        <f>IF('DM_NHAN_SU'!$B75="","",'CHAM_CONG_THANG'!AV75)</f>
        <v/>
      </c>
      <c r="BM75" s="232">
        <f>IF('DM_NHAN_SU'!$B75="","",'CHAM_CONG_THANG'!AW75)</f>
        <v/>
      </c>
      <c r="BN75" s="232">
        <f>IF('DM_NHAN_SU'!$B75="","",SUM($K75,$BH75:$BJ75))</f>
        <v/>
      </c>
      <c r="BO75" s="224">
        <f>IF('DM_NHAN_SU'!$B75="","",IF($B75="",0,IF($G75="Tháng",IF($I75&gt;0,'DM_NHAN_SU'!$K75*MIN($BH75+$BJ75,MAX($I75-$K75,0))/$I75,0),IF($G75="Ngày",'DM_NHAN_SU'!$K75*SUM($BH75:$BJ75),IF($G75="Giờ",'DM_NHAN_SU'!$K75*SUM($BH75:$BJ75)*$J75,IF($G75="Sản phẩm",'DM_NHAN_SU'!$AH75*SUM($BH75:$BJ75),0))))))</f>
        <v/>
      </c>
      <c r="BP75" s="224">
        <f>IF('DM_NHAN_SU'!$B75="","",IF('THUONG_T13_TET'!$L75="Có",'THUONG_T13_TET'!$I75,0))</f>
        <v/>
      </c>
      <c r="BQ75" s="224">
        <f>IF('DM_NHAN_SU'!$B75="","",IF('THUONG_T13_TET'!$L75="Có",SUM('THUONG_T13_TET'!$J75:$K75),0))</f>
        <v/>
      </c>
      <c r="BR75" s="224">
        <f>IF('DM_NHAN_SU'!$B75="","",'QT_NGHI_VIEC'!AC75)</f>
        <v/>
      </c>
      <c r="BS75" s="224">
        <f>IF('DM_NHAN_SU'!$B75="","",'QT_NGHI_VIEC'!AB75)</f>
        <v/>
      </c>
      <c r="BT75" s="224">
        <f>IF('DM_NHAN_SU'!$B75="","",IF('CHE_DO_BHXH'!$Z75="Có",'CHE_DO_BHXH'!$W75,0))</f>
        <v/>
      </c>
      <c r="BU75" s="224">
        <f>IF('DM_NHAN_SU'!$B75="","",IF('CHE_DO_BHXH'!$Y75="DN trả thay",$BT75,0))</f>
        <v/>
      </c>
      <c r="BV75" s="224">
        <f>IF('DM_NHAN_SU'!$B75="","",IF(OR('DM_NHAN_SU'!$AA75&lt;&gt;"Có",'CHE_DO_BHXH'!$O75&gt;=1,SUM('CHE_DO_BHXH'!$D75,'CHE_DO_BHXH'!$G75,'CHE_DO_BHXH'!$K75)&gt;=24,AND($I75&gt;0,$BM75&gt;=$I75)),0,IF('DM_NHAN_SU'!$AB75="Không",0,IF('DM_NHAN_SU'!$AB75="Nhập tay",'DM_NHAN_SU'!$AC75,IF('DM_NHAN_SU'!$AB75="Theo thực nhận",MIN(MAX($AT75-$AU75-$AV75-$AW75,0)*'THAM_SO'!$M$23,'THAM_SO'!$M$26),MIN($AE75*'THAM_SO'!$M$23,'THAM_SO'!$M$26))))))</f>
        <v/>
      </c>
      <c r="BW75" s="224">
        <f>IF('DM_NHAN_SU'!$B75="","",$AX75+$BU75)</f>
        <v/>
      </c>
    </row>
    <row r="76">
      <c r="A76" s="145">
        <f>IF('DM_NHAN_SU'!$B76="","",IF($B76="","",ROW()-5))</f>
        <v/>
      </c>
      <c r="B76" s="145">
        <f>IF('DM_NHAN_SU'!$B76="","",'DM_NHAN_SU'!B76)</f>
        <v/>
      </c>
      <c r="C76" s="145">
        <f>IF('DM_NHAN_SU'!$B76="","",'DM_NHAN_SU'!C76)</f>
        <v/>
      </c>
      <c r="D76" s="145">
        <f>IF('DM_NHAN_SU'!$B76="","",'DM_NHAN_SU'!D76)</f>
        <v/>
      </c>
      <c r="E76" s="145">
        <f>IF('DM_NHAN_SU'!$B76="","",'DM_NHAN_SU'!E76)</f>
        <v/>
      </c>
      <c r="F76" s="145">
        <f>IF('DM_NHAN_SU'!$B76="","",'DM_NHAN_SU'!I76)</f>
        <v/>
      </c>
      <c r="G76" s="145">
        <f>IF('DM_NHAN_SU'!$B76="","",'DM_NHAN_SU'!J76)</f>
        <v/>
      </c>
      <c r="H76" s="145">
        <f>IF('DM_NHAN_SU'!$B76="","",IF('DM_NHAN_SU'!H76="",'THAM_SO'!$B$11,'DM_NHAN_SU'!H76))</f>
        <v/>
      </c>
      <c r="I76" s="232">
        <f>IF('DM_NHAN_SU'!$B76="","",IF('DM_NHAN_SU'!L76&gt;0,'DM_NHAN_SU'!L76,'THAM_SO'!$B$9))</f>
        <v/>
      </c>
      <c r="J76" s="232">
        <f>IF('DM_NHAN_SU'!$B76="","",IF('DM_NHAN_SU'!M76&gt;0,'DM_NHAN_SU'!M76,'THAM_SO'!$B$10))</f>
        <v/>
      </c>
      <c r="K76" s="232">
        <f>IF('DM_NHAN_SU'!$B76="","",'CHAM_CONG_THANG'!AC76)</f>
        <v/>
      </c>
      <c r="L76" s="232">
        <f>IF('DM_NHAN_SU'!$B76="","",'CHAM_CONG_THANG'!AD76)</f>
        <v/>
      </c>
      <c r="M76" s="232">
        <f>IF('DM_NHAN_SU'!$B76="","",'CHAM_CONG_THANG'!AE76)</f>
        <v/>
      </c>
      <c r="N76" s="232">
        <f>IF('DM_NHAN_SU'!$B76="","",'CHAM_CONG_THANG'!N76)</f>
        <v/>
      </c>
      <c r="O76" s="224">
        <f>IF('DM_NHAN_SU'!$B76="","",IF($B76="","",IF($G76="Tháng",IF($I76&gt;0,'DM_NHAN_SU'!$K76*MIN($K76,$I76)/$I76,0),IF($G76="Ngày",'DM_NHAN_SU'!$K76*$K76,IF($G76="Giờ",'DM_NHAN_SU'!$K76*$L76,IF($G76="Sản phẩm",'DM_NHAN_SU'!$K76*$N76,0))))))</f>
        <v/>
      </c>
      <c r="P76" s="224">
        <f>IF('DM_NHAN_SU'!$B76="","",'CHAM_CONG_THANG'!O76)</f>
        <v/>
      </c>
      <c r="Q76" s="224">
        <f>IF('DM_NHAN_SU'!$B76="","",'CHAM_CONG_THANG'!P76)</f>
        <v/>
      </c>
      <c r="R76" s="224">
        <f>IF('DM_NHAN_SU'!$B76="","",'CHAM_CONG_THANG'!Q76)</f>
        <v/>
      </c>
      <c r="S76" s="224">
        <f>IF('DM_NHAN_SU'!$B76="","",'CHAM_CONG_THANG'!R76)</f>
        <v/>
      </c>
      <c r="T76" s="224">
        <f>IF('DM_NHAN_SU'!$B76="","",'CHAM_CONG_THANG'!S76)</f>
        <v/>
      </c>
      <c r="U76" s="224">
        <f>IF('DM_NHAN_SU'!$B76="","",MIN($T76,'THAM_SO'!$F$6))</f>
        <v/>
      </c>
      <c r="V76" s="224">
        <f>IF('DM_NHAN_SU'!$B76="","",MAX($T76-$U76,0))</f>
        <v/>
      </c>
      <c r="W76" s="224">
        <f>IF('DM_NHAN_SU'!$B76="","",'CHAM_CONG_THANG'!T76)</f>
        <v/>
      </c>
      <c r="X76" s="224">
        <f>IF('DM_NHAN_SU'!$B76="","",'CHAM_CONG_THANG'!U76)</f>
        <v/>
      </c>
      <c r="Y76" s="224">
        <f>IF('DM_NHAN_SU'!$B76="","",IF($B76="",0,IF('DM_NHAN_SU'!$Q76&gt;0,'DM_NHAN_SU'!$Q76,IF($G76="Tháng",IF($I76*$J76&gt;0,'DM_NHAN_SU'!$K76/($I76*$J76),0),IF($G76="Ngày",IF($J76&gt;0,'DM_NHAN_SU'!$K76/$J76,0),IF($G76="Giờ",'DM_NHAN_SU'!$K76,0))))))</f>
        <v/>
      </c>
      <c r="Z76" s="224">
        <f>IF('DM_NHAN_SU'!$B76="","",$Y76*($M76*'THAM_SO'!$C$22+'CHAM_CONG_THANG'!$AF76*'THAM_SO'!$C$19+'CHAM_CONG_THANG'!$AG76*'THAM_SO'!$C$20+'CHAM_CONG_THANG'!$AH76*'THAM_SO'!$C$21+'CHAM_CONG_THANG'!$AI76*'THAM_SO'!$C$23+'CHAM_CONG_THANG'!$AJ76*'THAM_SO'!$C$24+'CHAM_CONG_THANG'!$AK76*'THAM_SO'!$C$25))</f>
        <v/>
      </c>
      <c r="AA76" s="224">
        <f>IF('DM_NHAN_SU'!$B76="","",MAX(0,$Y76*($M76*IF('THAM_SO'!$C$22&gt;='THAM_SO'!$B$22,'THAM_SO'!$B$22,0)+'CHAM_CONG_THANG'!$AF76*IF('THAM_SO'!$C$19&gt;='THAM_SO'!$B$19,'THAM_SO'!$B$19,0)+'CHAM_CONG_THANG'!$AG76*IF('THAM_SO'!$C$20&gt;='THAM_SO'!$B$20,'THAM_SO'!$B$20,0)+'CHAM_CONG_THANG'!$AH76*IF('THAM_SO'!$C$21&gt;='THAM_SO'!$B$21,'THAM_SO'!$B$21,0)+'CHAM_CONG_THANG'!$AI76*IF('THAM_SO'!$C$23&gt;='THAM_SO'!$B$23,'THAM_SO'!$B$23,0)+'CHAM_CONG_THANG'!$AJ76*IF('THAM_SO'!$C$24&gt;='THAM_SO'!$B$24,'THAM_SO'!$B$24,0)+'CHAM_CONG_THANG'!$AK76*IF('THAM_SO'!$C$25&gt;='THAM_SO'!$B$25,'THAM_SO'!$B$25,0))-'CHAM_CONG_THANG'!$V76))</f>
        <v/>
      </c>
      <c r="AB76" s="224">
        <f>IF('DM_NHAN_SU'!$B76="","",MAX($Z76-$AA76,0))</f>
        <v/>
      </c>
      <c r="AC76" s="224">
        <f>IF('DM_NHAN_SU'!$B76="","",$O76+$P76+$Q76+$R76+$S76+$V76+$AB76+$BO76+$BP76+$BQ76+$BR76)</f>
        <v/>
      </c>
      <c r="AD76" s="224">
        <f>IF('DM_NHAN_SU'!$B76="","",'DM_NHAN_SU'!N76+'DM_NHAN_SU'!O76+'DM_NHAN_SU'!P76)</f>
        <v/>
      </c>
      <c r="AE76" s="224">
        <f>IF('DM_NHAN_SU'!$B76="","",IF(OR('DM_NHAN_SU'!$R76&lt;&gt;"Có",'CHAM_CONG_THANG'!$AA76="Có",$BL76&gt;=14,$AD76&lt;=0),0,MIN(MAX($AD76,'THAM_SO'!$M$6),'THAM_SO'!$M$7)))</f>
        <v/>
      </c>
      <c r="AF76" s="224">
        <f>IF('DM_NHAN_SU'!$B76="","",IF(OR('DM_NHAN_SU'!$S76&lt;&gt;"Có",'CHAM_CONG_THANG'!$AA76="Có",$BL76&gt;=14,$AD76&lt;=0),0,MIN(MAX($AD76,VLOOKUP($H76,'THAM_SO'!$L$17:$P$20,4,FALSE)),VLOOKUP($H76,'THAM_SO'!$L$17:$P$20,5,FALSE))))</f>
        <v/>
      </c>
      <c r="AG76" s="224">
        <f>IF('DM_NHAN_SU'!$B76="","",$AE76*'THAM_SO'!$M$8)</f>
        <v/>
      </c>
      <c r="AH76" s="224">
        <f>IF('DM_NHAN_SU'!$B76="","",$AE76*'THAM_SO'!$M$9)</f>
        <v/>
      </c>
      <c r="AI76" s="224">
        <f>IF('DM_NHAN_SU'!$B76="","",$AF76*'THAM_SO'!$M$10)</f>
        <v/>
      </c>
      <c r="AJ76" s="224">
        <f>IF('DM_NHAN_SU'!$B76="","",SUM($AG76:$AI76))</f>
        <v/>
      </c>
      <c r="AK76" s="224">
        <f>IF('DM_NHAN_SU'!$B76="","",IF($B76="",0,'THAM_SO'!$F$4))</f>
        <v/>
      </c>
      <c r="AL76" s="224">
        <f>IF('DM_NHAN_SU'!$B76="","",IF($B76="",0,'DM_NHAN_SU'!$T76*'THAM_SO'!$F$5))</f>
        <v/>
      </c>
      <c r="AM76" s="224">
        <f>IF('DM_NHAN_SU'!$B76="","",'CHAM_CONG_THANG'!W76)</f>
        <v/>
      </c>
      <c r="AN76" s="224">
        <f>IF('DM_NHAN_SU'!$B76="","",MAX($AC76-$AK76-$AL76-$AM76,0))</f>
        <v/>
      </c>
      <c r="AO76" s="224">
        <f>IF('DM_NHAN_SU'!$B76="","",IF($B76="","",IF($F76="Net",IF($AC76&lt;=$AK76+$AL76+$AM76,$AC76+$AJ76,$AJ76+$AK76+$AL76+$AM76+IF($AN76&lt;='THAM_SO'!$J$10,($AN76-'THAM_SO'!$I$10)/(1-'THAM_SO'!$H$10),IF($AN76&lt;='THAM_SO'!$J$11,($AN76-'THAM_SO'!$I$11)/(1-'THAM_SO'!$H$11),IF($AN76&lt;='THAM_SO'!$J$12,($AN76-'THAM_SO'!$I$12)/(1-'THAM_SO'!$H$12),IF($AN76&lt;='THAM_SO'!$J$13,($AN76-'THAM_SO'!$I$13)/(1-'THAM_SO'!$H$13),($AN76-'THAM_SO'!$I$14)/(1-'THAM_SO'!$H$14)))))),$AC76)))</f>
        <v/>
      </c>
      <c r="AP76" s="224">
        <f>IF('DM_NHAN_SU'!$B76="","",$U76+$W76+$X76+$AA76+$BS76)</f>
        <v/>
      </c>
      <c r="AQ76" s="224">
        <f>IF('DM_NHAN_SU'!$B76="","",MAX($AO76-$AJ76-$AK76-$AL76-$AM76,0))</f>
        <v/>
      </c>
      <c r="AR76" s="224">
        <f>IF('DM_NHAN_SU'!$B76="","",IF($AQ76&lt;=0,0,$AQ76*VLOOKUP($AQ76,'THAM_SO'!$F$10:$I$14,3,TRUE)-VLOOKUP($AQ76,'THAM_SO'!$F$10:$I$14,4,TRUE)))</f>
        <v/>
      </c>
      <c r="AS76" s="224">
        <f>IF('DM_NHAN_SU'!$B76="","",$AO76+$AP76)</f>
        <v/>
      </c>
      <c r="AT76" s="224">
        <f>IF('DM_NHAN_SU'!$B76="","",$AS76-$AJ76-$AR76)</f>
        <v/>
      </c>
      <c r="AU76" s="224">
        <f>IF('DM_NHAN_SU'!$B76="","",'CHAM_CONG_THANG'!X76)</f>
        <v/>
      </c>
      <c r="AV76" s="224">
        <f>IF('DM_NHAN_SU'!$B76="","",'CHAM_CONG_THANG'!Y76+'QT_NGHI_VIEC'!AD76)</f>
        <v/>
      </c>
      <c r="AW76" s="224">
        <f>IF('DM_NHAN_SU'!$B76="","",'CHAM_CONG_THANG'!Z76)</f>
        <v/>
      </c>
      <c r="AX76" s="224">
        <f>IF('DM_NHAN_SU'!$B76="","",$AT76-$AU76-$AV76-$AW76-$BV76)</f>
        <v/>
      </c>
      <c r="AY76" s="224">
        <f>IF('DM_NHAN_SU'!$B76="","",$AE76*'THAM_SO'!$M$11)</f>
        <v/>
      </c>
      <c r="AZ76" s="224">
        <f>IF('DM_NHAN_SU'!$B76="","",$AE76*'THAM_SO'!$M$12)</f>
        <v/>
      </c>
      <c r="BA76" s="224">
        <f>IF('DM_NHAN_SU'!$B76="","",$AF76*'THAM_SO'!$M$13)</f>
        <v/>
      </c>
      <c r="BB76" s="224">
        <f>IF('DM_NHAN_SU'!$B76="","",$AE76*'THAM_SO'!$M$14)</f>
        <v/>
      </c>
      <c r="BC76" s="224">
        <f>IF('DM_NHAN_SU'!$B76="","",SUM($AY76:$BB76))</f>
        <v/>
      </c>
      <c r="BD76" s="224">
        <f>IF('DM_NHAN_SU'!$B76="","",$AS76+$BC76)</f>
        <v/>
      </c>
      <c r="BE76" s="224">
        <f>IF('DM_NHAN_SU'!$B76="","",VLOOKUP($H76,'THAM_SO'!$L$17:$P$20,2,FALSE))</f>
        <v/>
      </c>
      <c r="BF76" s="224">
        <f>IF('DM_NHAN_SU'!$B76="","",VLOOKUP($H76,'THAM_SO'!$L$17:$P$20,3,FALSE))</f>
        <v/>
      </c>
      <c r="BG76" s="150">
        <f>IF('DM_NHAN_SU'!$B76="","",IF($B76="","",IF(COUNTIF('DM_NHAN_SU'!$B$6:$B$155,$B76)&gt;1,"Trùng mã NV; ","")&amp;IF(OR($F76="",$G76=""),"Thiếu loại/hình thức lương; ","")&amp;IF('CHAM_CONG_THANG'!$D76="","Chưa chọn nguồn công; ","")&amp;IF(AND('CHAM_CONG_THANG'!$D76="Theo ngày",COUNTIF('CHAM_CONG_NGAY'!$B$6:$B$4655,$B76)=0),"Chưa có chấm công ngày; ","")&amp;IF(OR($I76&lt;=0,$J76&lt;=0),"Thiếu công/giờ chuẩn; ","")&amp;IF(AND($G76="Tháng",'DM_NHAN_SU'!$K76&lt;$BE76),"Lương tháng dưới tối thiểu vùng; ","")&amp;IF(AND($G76="Ngày",'DM_NHAN_SU'!$K76/$J76&lt;$BF76),"Lương ngày quy đổi dưới tối thiểu giờ; ","")&amp;IF(AND($G76="Giờ",'DM_NHAN_SU'!$K76&lt;$BF76),"Lương giờ dưới tối thiểu vùng; ","")&amp;IF(AND($G76="Sản phẩm",$L76&gt;0,$O76/$L76&lt;$BF76),"Lương SP quy đổi dưới tối thiểu giờ; ","")&amp;IF(OR('THAM_SO'!$C$19&lt;'THAM_SO'!$B$19,'THAM_SO'!$C$20&lt;'THAM_SO'!$B$20,'THAM_SO'!$C$21&lt;'THAM_SO'!$B$21,'THAM_SO'!$C$22&lt;'THAM_SO'!$B$22,'THAM_SO'!$C$23&lt;'THAM_SO'!$B$23,'THAM_SO'!$C$24&lt;'THAM_SO'!$B$24,'THAM_SO'!$C$25&lt;'THAM_SO'!$B$25),"Hệ số OT/đêm DN thấp hơn luật; ","")&amp;IF(AND('DM_NHAN_SU'!$R76="Có",$AD76&lt;=0),"Thiếu căn cứ đóng BH; ","")&amp;IF(AND($AD76&gt;0,$AD76&lt;'THAM_SO'!$M$6),"Căn cứ BH dưới sàn – đã nâng sàn; ","")&amp;IF($AD76&gt;'THAM_SO'!$M$7,"Căn cứ BH vượt trần – đã giới hạn; ","")&amp;IF(AND($F76="Net",SUM('CHAM_CONG_THANG'!$AF76:$AK76)&gt;0,'DM_NHAN_SU'!$Q76&lt;=0),"Net có OT nhưng chưa khai lương giờ OT; ","")&amp;IF('CHAM_CONG_THANG'!$V76&gt;$Z76,"Phần OT không miễn lớn hơn tiền OT; ","")&amp;IF(AND($F76="Net",ABS($AT76-$AC76-$AP76)&gt;1),"Lệch quy đổi Net; ","")&amp;IF(AND($BH76&gt;0,'DM_NHAN_SU'!$AD76=""),"Có phép năm nhưng đang tạm dùng 12 ngày; ","")&amp;IF(AND($G76="Sản phẩm",SUM($BH76:$BJ76)&gt;0,'DM_NHAN_SU'!$AH76&lt;=0),"Lương sản phẩm thiếu đơn giá ngày phép/lễ; ","")&amp;IF(AND($BL76&gt;=14,'CHAM_CONG_THANG'!$AA76&lt;&gt;"Có"),"Thai sản từ 14 ngày: file tự dừng đóng BH – kiểm tra hồ sơ; ","")&amp;IF(AND('DM_NHAN_SU'!$AA76="Có",'DM_NHAN_SU'!$AB76=""),"Đoàn viên chưa chọn cách tính đoàn phí; ","")&amp;IF(AND('DM_NHAN_SU'!$AB76="Nhập tay",'DM_NHAN_SU'!$AC76&gt;'THAM_SO'!$M$26),"Đoàn phí nhập tay vượt trần thông dụng; ","")&amp;IF('NGHI_PHEP'!$L76&lt;&gt;"","Phép: "&amp;'NGHI_PHEP'!$L76,"")&amp;IF('CHE_DO_BHXH'!$AA76&lt;&gt;"","BHXH: "&amp;'CHE_DO_BHXH'!$AA76,"")&amp;IF('THUONG_T13_TET'!$O76&lt;&gt;"","Thưởng: "&amp;'THUONG_T13_TET'!$O76,"")&amp;IF('QT_NGHI_VIEC'!$AF76&lt;&gt;"","Nghỉ việc: "&amp;'QT_NGHI_VIEC'!$AF76,"")&amp;IF($AX76&lt;0,"Thực lĩnh âm; ","")&amp;IF(OR('DM_NHAN_SU'!$F76&gt;'THAM_SO'!$B$7,AND('DM_NHAN_SU'!$G76&lt;&gt;"",'DM_NHAN_SU'!$G76&lt;'THAM_SO'!$B$6)),"Ngoài kỳ trả lương; ","")))</f>
        <v/>
      </c>
      <c r="BH76" s="232">
        <f>IF('DM_NHAN_SU'!$B76="","",'CHAM_CONG_THANG'!AR76)</f>
        <v/>
      </c>
      <c r="BI76" s="232">
        <f>IF('DM_NHAN_SU'!$B76="","",'CHAM_CONG_THANG'!AS76)</f>
        <v/>
      </c>
      <c r="BJ76" s="232">
        <f>IF('DM_NHAN_SU'!$B76="","",'CHAM_CONG_THANG'!AT76)</f>
        <v/>
      </c>
      <c r="BK76" s="232">
        <f>IF('DM_NHAN_SU'!$B76="","",'CHAM_CONG_THANG'!AU76)</f>
        <v/>
      </c>
      <c r="BL76" s="232">
        <f>IF('DM_NHAN_SU'!$B76="","",'CHAM_CONG_THANG'!AV76)</f>
        <v/>
      </c>
      <c r="BM76" s="232">
        <f>IF('DM_NHAN_SU'!$B76="","",'CHAM_CONG_THANG'!AW76)</f>
        <v/>
      </c>
      <c r="BN76" s="232">
        <f>IF('DM_NHAN_SU'!$B76="","",SUM($K76,$BH76:$BJ76))</f>
        <v/>
      </c>
      <c r="BO76" s="224">
        <f>IF('DM_NHAN_SU'!$B76="","",IF($B76="",0,IF($G76="Tháng",IF($I76&gt;0,'DM_NHAN_SU'!$K76*MIN($BH76+$BJ76,MAX($I76-$K76,0))/$I76,0),IF($G76="Ngày",'DM_NHAN_SU'!$K76*SUM($BH76:$BJ76),IF($G76="Giờ",'DM_NHAN_SU'!$K76*SUM($BH76:$BJ76)*$J76,IF($G76="Sản phẩm",'DM_NHAN_SU'!$AH76*SUM($BH76:$BJ76),0))))))</f>
        <v/>
      </c>
      <c r="BP76" s="224">
        <f>IF('DM_NHAN_SU'!$B76="","",IF('THUONG_T13_TET'!$L76="Có",'THUONG_T13_TET'!$I76,0))</f>
        <v/>
      </c>
      <c r="BQ76" s="224">
        <f>IF('DM_NHAN_SU'!$B76="","",IF('THUONG_T13_TET'!$L76="Có",SUM('THUONG_T13_TET'!$J76:$K76),0))</f>
        <v/>
      </c>
      <c r="BR76" s="224">
        <f>IF('DM_NHAN_SU'!$B76="","",'QT_NGHI_VIEC'!AC76)</f>
        <v/>
      </c>
      <c r="BS76" s="224">
        <f>IF('DM_NHAN_SU'!$B76="","",'QT_NGHI_VIEC'!AB76)</f>
        <v/>
      </c>
      <c r="BT76" s="224">
        <f>IF('DM_NHAN_SU'!$B76="","",IF('CHE_DO_BHXH'!$Z76="Có",'CHE_DO_BHXH'!$W76,0))</f>
        <v/>
      </c>
      <c r="BU76" s="224">
        <f>IF('DM_NHAN_SU'!$B76="","",IF('CHE_DO_BHXH'!$Y76="DN trả thay",$BT76,0))</f>
        <v/>
      </c>
      <c r="BV76" s="224">
        <f>IF('DM_NHAN_SU'!$B76="","",IF(OR('DM_NHAN_SU'!$AA76&lt;&gt;"Có",'CHE_DO_BHXH'!$O76&gt;=1,SUM('CHE_DO_BHXH'!$D76,'CHE_DO_BHXH'!$G76,'CHE_DO_BHXH'!$K76)&gt;=24,AND($I76&gt;0,$BM76&gt;=$I76)),0,IF('DM_NHAN_SU'!$AB76="Không",0,IF('DM_NHAN_SU'!$AB76="Nhập tay",'DM_NHAN_SU'!$AC76,IF('DM_NHAN_SU'!$AB76="Theo thực nhận",MIN(MAX($AT76-$AU76-$AV76-$AW76,0)*'THAM_SO'!$M$23,'THAM_SO'!$M$26),MIN($AE76*'THAM_SO'!$M$23,'THAM_SO'!$M$26))))))</f>
        <v/>
      </c>
      <c r="BW76" s="224">
        <f>IF('DM_NHAN_SU'!$B76="","",$AX76+$BU76)</f>
        <v/>
      </c>
    </row>
    <row r="77">
      <c r="A77" s="145">
        <f>IF('DM_NHAN_SU'!$B77="","",IF($B77="","",ROW()-5))</f>
        <v/>
      </c>
      <c r="B77" s="145">
        <f>IF('DM_NHAN_SU'!$B77="","",'DM_NHAN_SU'!B77)</f>
        <v/>
      </c>
      <c r="C77" s="145">
        <f>IF('DM_NHAN_SU'!$B77="","",'DM_NHAN_SU'!C77)</f>
        <v/>
      </c>
      <c r="D77" s="145">
        <f>IF('DM_NHAN_SU'!$B77="","",'DM_NHAN_SU'!D77)</f>
        <v/>
      </c>
      <c r="E77" s="145">
        <f>IF('DM_NHAN_SU'!$B77="","",'DM_NHAN_SU'!E77)</f>
        <v/>
      </c>
      <c r="F77" s="145">
        <f>IF('DM_NHAN_SU'!$B77="","",'DM_NHAN_SU'!I77)</f>
        <v/>
      </c>
      <c r="G77" s="145">
        <f>IF('DM_NHAN_SU'!$B77="","",'DM_NHAN_SU'!J77)</f>
        <v/>
      </c>
      <c r="H77" s="145">
        <f>IF('DM_NHAN_SU'!$B77="","",IF('DM_NHAN_SU'!H77="",'THAM_SO'!$B$11,'DM_NHAN_SU'!H77))</f>
        <v/>
      </c>
      <c r="I77" s="232">
        <f>IF('DM_NHAN_SU'!$B77="","",IF('DM_NHAN_SU'!L77&gt;0,'DM_NHAN_SU'!L77,'THAM_SO'!$B$9))</f>
        <v/>
      </c>
      <c r="J77" s="232">
        <f>IF('DM_NHAN_SU'!$B77="","",IF('DM_NHAN_SU'!M77&gt;0,'DM_NHAN_SU'!M77,'THAM_SO'!$B$10))</f>
        <v/>
      </c>
      <c r="K77" s="232">
        <f>IF('DM_NHAN_SU'!$B77="","",'CHAM_CONG_THANG'!AC77)</f>
        <v/>
      </c>
      <c r="L77" s="232">
        <f>IF('DM_NHAN_SU'!$B77="","",'CHAM_CONG_THANG'!AD77)</f>
        <v/>
      </c>
      <c r="M77" s="232">
        <f>IF('DM_NHAN_SU'!$B77="","",'CHAM_CONG_THANG'!AE77)</f>
        <v/>
      </c>
      <c r="N77" s="232">
        <f>IF('DM_NHAN_SU'!$B77="","",'CHAM_CONG_THANG'!N77)</f>
        <v/>
      </c>
      <c r="O77" s="224">
        <f>IF('DM_NHAN_SU'!$B77="","",IF($B77="","",IF($G77="Tháng",IF($I77&gt;0,'DM_NHAN_SU'!$K77*MIN($K77,$I77)/$I77,0),IF($G77="Ngày",'DM_NHAN_SU'!$K77*$K77,IF($G77="Giờ",'DM_NHAN_SU'!$K77*$L77,IF($G77="Sản phẩm",'DM_NHAN_SU'!$K77*$N77,0))))))</f>
        <v/>
      </c>
      <c r="P77" s="224">
        <f>IF('DM_NHAN_SU'!$B77="","",'CHAM_CONG_THANG'!O77)</f>
        <v/>
      </c>
      <c r="Q77" s="224">
        <f>IF('DM_NHAN_SU'!$B77="","",'CHAM_CONG_THANG'!P77)</f>
        <v/>
      </c>
      <c r="R77" s="224">
        <f>IF('DM_NHAN_SU'!$B77="","",'CHAM_CONG_THANG'!Q77)</f>
        <v/>
      </c>
      <c r="S77" s="224">
        <f>IF('DM_NHAN_SU'!$B77="","",'CHAM_CONG_THANG'!R77)</f>
        <v/>
      </c>
      <c r="T77" s="224">
        <f>IF('DM_NHAN_SU'!$B77="","",'CHAM_CONG_THANG'!S77)</f>
        <v/>
      </c>
      <c r="U77" s="224">
        <f>IF('DM_NHAN_SU'!$B77="","",MIN($T77,'THAM_SO'!$F$6))</f>
        <v/>
      </c>
      <c r="V77" s="224">
        <f>IF('DM_NHAN_SU'!$B77="","",MAX($T77-$U77,0))</f>
        <v/>
      </c>
      <c r="W77" s="224">
        <f>IF('DM_NHAN_SU'!$B77="","",'CHAM_CONG_THANG'!T77)</f>
        <v/>
      </c>
      <c r="X77" s="224">
        <f>IF('DM_NHAN_SU'!$B77="","",'CHAM_CONG_THANG'!U77)</f>
        <v/>
      </c>
      <c r="Y77" s="224">
        <f>IF('DM_NHAN_SU'!$B77="","",IF($B77="",0,IF('DM_NHAN_SU'!$Q77&gt;0,'DM_NHAN_SU'!$Q77,IF($G77="Tháng",IF($I77*$J77&gt;0,'DM_NHAN_SU'!$K77/($I77*$J77),0),IF($G77="Ngày",IF($J77&gt;0,'DM_NHAN_SU'!$K77/$J77,0),IF($G77="Giờ",'DM_NHAN_SU'!$K77,0))))))</f>
        <v/>
      </c>
      <c r="Z77" s="224">
        <f>IF('DM_NHAN_SU'!$B77="","",$Y77*($M77*'THAM_SO'!$C$22+'CHAM_CONG_THANG'!$AF77*'THAM_SO'!$C$19+'CHAM_CONG_THANG'!$AG77*'THAM_SO'!$C$20+'CHAM_CONG_THANG'!$AH77*'THAM_SO'!$C$21+'CHAM_CONG_THANG'!$AI77*'THAM_SO'!$C$23+'CHAM_CONG_THANG'!$AJ77*'THAM_SO'!$C$24+'CHAM_CONG_THANG'!$AK77*'THAM_SO'!$C$25))</f>
        <v/>
      </c>
      <c r="AA77" s="224">
        <f>IF('DM_NHAN_SU'!$B77="","",MAX(0,$Y77*($M77*IF('THAM_SO'!$C$22&gt;='THAM_SO'!$B$22,'THAM_SO'!$B$22,0)+'CHAM_CONG_THANG'!$AF77*IF('THAM_SO'!$C$19&gt;='THAM_SO'!$B$19,'THAM_SO'!$B$19,0)+'CHAM_CONG_THANG'!$AG77*IF('THAM_SO'!$C$20&gt;='THAM_SO'!$B$20,'THAM_SO'!$B$20,0)+'CHAM_CONG_THANG'!$AH77*IF('THAM_SO'!$C$21&gt;='THAM_SO'!$B$21,'THAM_SO'!$B$21,0)+'CHAM_CONG_THANG'!$AI77*IF('THAM_SO'!$C$23&gt;='THAM_SO'!$B$23,'THAM_SO'!$B$23,0)+'CHAM_CONG_THANG'!$AJ77*IF('THAM_SO'!$C$24&gt;='THAM_SO'!$B$24,'THAM_SO'!$B$24,0)+'CHAM_CONG_THANG'!$AK77*IF('THAM_SO'!$C$25&gt;='THAM_SO'!$B$25,'THAM_SO'!$B$25,0))-'CHAM_CONG_THANG'!$V77))</f>
        <v/>
      </c>
      <c r="AB77" s="224">
        <f>IF('DM_NHAN_SU'!$B77="","",MAX($Z77-$AA77,0))</f>
        <v/>
      </c>
      <c r="AC77" s="224">
        <f>IF('DM_NHAN_SU'!$B77="","",$O77+$P77+$Q77+$R77+$S77+$V77+$AB77+$BO77+$BP77+$BQ77+$BR77)</f>
        <v/>
      </c>
      <c r="AD77" s="224">
        <f>IF('DM_NHAN_SU'!$B77="","",'DM_NHAN_SU'!N77+'DM_NHAN_SU'!O77+'DM_NHAN_SU'!P77)</f>
        <v/>
      </c>
      <c r="AE77" s="224">
        <f>IF('DM_NHAN_SU'!$B77="","",IF(OR('DM_NHAN_SU'!$R77&lt;&gt;"Có",'CHAM_CONG_THANG'!$AA77="Có",$BL77&gt;=14,$AD77&lt;=0),0,MIN(MAX($AD77,'THAM_SO'!$M$6),'THAM_SO'!$M$7)))</f>
        <v/>
      </c>
      <c r="AF77" s="224">
        <f>IF('DM_NHAN_SU'!$B77="","",IF(OR('DM_NHAN_SU'!$S77&lt;&gt;"Có",'CHAM_CONG_THANG'!$AA77="Có",$BL77&gt;=14,$AD77&lt;=0),0,MIN(MAX($AD77,VLOOKUP($H77,'THAM_SO'!$L$17:$P$20,4,FALSE)),VLOOKUP($H77,'THAM_SO'!$L$17:$P$20,5,FALSE))))</f>
        <v/>
      </c>
      <c r="AG77" s="224">
        <f>IF('DM_NHAN_SU'!$B77="","",$AE77*'THAM_SO'!$M$8)</f>
        <v/>
      </c>
      <c r="AH77" s="224">
        <f>IF('DM_NHAN_SU'!$B77="","",$AE77*'THAM_SO'!$M$9)</f>
        <v/>
      </c>
      <c r="AI77" s="224">
        <f>IF('DM_NHAN_SU'!$B77="","",$AF77*'THAM_SO'!$M$10)</f>
        <v/>
      </c>
      <c r="AJ77" s="224">
        <f>IF('DM_NHAN_SU'!$B77="","",SUM($AG77:$AI77))</f>
        <v/>
      </c>
      <c r="AK77" s="224">
        <f>IF('DM_NHAN_SU'!$B77="","",IF($B77="",0,'THAM_SO'!$F$4))</f>
        <v/>
      </c>
      <c r="AL77" s="224">
        <f>IF('DM_NHAN_SU'!$B77="","",IF($B77="",0,'DM_NHAN_SU'!$T77*'THAM_SO'!$F$5))</f>
        <v/>
      </c>
      <c r="AM77" s="224">
        <f>IF('DM_NHAN_SU'!$B77="","",'CHAM_CONG_THANG'!W77)</f>
        <v/>
      </c>
      <c r="AN77" s="224">
        <f>IF('DM_NHAN_SU'!$B77="","",MAX($AC77-$AK77-$AL77-$AM77,0))</f>
        <v/>
      </c>
      <c r="AO77" s="224">
        <f>IF('DM_NHAN_SU'!$B77="","",IF($B77="","",IF($F77="Net",IF($AC77&lt;=$AK77+$AL77+$AM77,$AC77+$AJ77,$AJ77+$AK77+$AL77+$AM77+IF($AN77&lt;='THAM_SO'!$J$10,($AN77-'THAM_SO'!$I$10)/(1-'THAM_SO'!$H$10),IF($AN77&lt;='THAM_SO'!$J$11,($AN77-'THAM_SO'!$I$11)/(1-'THAM_SO'!$H$11),IF($AN77&lt;='THAM_SO'!$J$12,($AN77-'THAM_SO'!$I$12)/(1-'THAM_SO'!$H$12),IF($AN77&lt;='THAM_SO'!$J$13,($AN77-'THAM_SO'!$I$13)/(1-'THAM_SO'!$H$13),($AN77-'THAM_SO'!$I$14)/(1-'THAM_SO'!$H$14)))))),$AC77)))</f>
        <v/>
      </c>
      <c r="AP77" s="224">
        <f>IF('DM_NHAN_SU'!$B77="","",$U77+$W77+$X77+$AA77+$BS77)</f>
        <v/>
      </c>
      <c r="AQ77" s="224">
        <f>IF('DM_NHAN_SU'!$B77="","",MAX($AO77-$AJ77-$AK77-$AL77-$AM77,0))</f>
        <v/>
      </c>
      <c r="AR77" s="224">
        <f>IF('DM_NHAN_SU'!$B77="","",IF($AQ77&lt;=0,0,$AQ77*VLOOKUP($AQ77,'THAM_SO'!$F$10:$I$14,3,TRUE)-VLOOKUP($AQ77,'THAM_SO'!$F$10:$I$14,4,TRUE)))</f>
        <v/>
      </c>
      <c r="AS77" s="224">
        <f>IF('DM_NHAN_SU'!$B77="","",$AO77+$AP77)</f>
        <v/>
      </c>
      <c r="AT77" s="224">
        <f>IF('DM_NHAN_SU'!$B77="","",$AS77-$AJ77-$AR77)</f>
        <v/>
      </c>
      <c r="AU77" s="224">
        <f>IF('DM_NHAN_SU'!$B77="","",'CHAM_CONG_THANG'!X77)</f>
        <v/>
      </c>
      <c r="AV77" s="224">
        <f>IF('DM_NHAN_SU'!$B77="","",'CHAM_CONG_THANG'!Y77+'QT_NGHI_VIEC'!AD77)</f>
        <v/>
      </c>
      <c r="AW77" s="224">
        <f>IF('DM_NHAN_SU'!$B77="","",'CHAM_CONG_THANG'!Z77)</f>
        <v/>
      </c>
      <c r="AX77" s="224">
        <f>IF('DM_NHAN_SU'!$B77="","",$AT77-$AU77-$AV77-$AW77-$BV77)</f>
        <v/>
      </c>
      <c r="AY77" s="224">
        <f>IF('DM_NHAN_SU'!$B77="","",$AE77*'THAM_SO'!$M$11)</f>
        <v/>
      </c>
      <c r="AZ77" s="224">
        <f>IF('DM_NHAN_SU'!$B77="","",$AE77*'THAM_SO'!$M$12)</f>
        <v/>
      </c>
      <c r="BA77" s="224">
        <f>IF('DM_NHAN_SU'!$B77="","",$AF77*'THAM_SO'!$M$13)</f>
        <v/>
      </c>
      <c r="BB77" s="224">
        <f>IF('DM_NHAN_SU'!$B77="","",$AE77*'THAM_SO'!$M$14)</f>
        <v/>
      </c>
      <c r="BC77" s="224">
        <f>IF('DM_NHAN_SU'!$B77="","",SUM($AY77:$BB77))</f>
        <v/>
      </c>
      <c r="BD77" s="224">
        <f>IF('DM_NHAN_SU'!$B77="","",$AS77+$BC77)</f>
        <v/>
      </c>
      <c r="BE77" s="224">
        <f>IF('DM_NHAN_SU'!$B77="","",VLOOKUP($H77,'THAM_SO'!$L$17:$P$20,2,FALSE))</f>
        <v/>
      </c>
      <c r="BF77" s="224">
        <f>IF('DM_NHAN_SU'!$B77="","",VLOOKUP($H77,'THAM_SO'!$L$17:$P$20,3,FALSE))</f>
        <v/>
      </c>
      <c r="BG77" s="150">
        <f>IF('DM_NHAN_SU'!$B77="","",IF($B77="","",IF(COUNTIF('DM_NHAN_SU'!$B$6:$B$155,$B77)&gt;1,"Trùng mã NV; ","")&amp;IF(OR($F77="",$G77=""),"Thiếu loại/hình thức lương; ","")&amp;IF('CHAM_CONG_THANG'!$D77="","Chưa chọn nguồn công; ","")&amp;IF(AND('CHAM_CONG_THANG'!$D77="Theo ngày",COUNTIF('CHAM_CONG_NGAY'!$B$6:$B$4655,$B77)=0),"Chưa có chấm công ngày; ","")&amp;IF(OR($I77&lt;=0,$J77&lt;=0),"Thiếu công/giờ chuẩn; ","")&amp;IF(AND($G77="Tháng",'DM_NHAN_SU'!$K77&lt;$BE77),"Lương tháng dưới tối thiểu vùng; ","")&amp;IF(AND($G77="Ngày",'DM_NHAN_SU'!$K77/$J77&lt;$BF77),"Lương ngày quy đổi dưới tối thiểu giờ; ","")&amp;IF(AND($G77="Giờ",'DM_NHAN_SU'!$K77&lt;$BF77),"Lương giờ dưới tối thiểu vùng; ","")&amp;IF(AND($G77="Sản phẩm",$L77&gt;0,$O77/$L77&lt;$BF77),"Lương SP quy đổi dưới tối thiểu giờ; ","")&amp;IF(OR('THAM_SO'!$C$19&lt;'THAM_SO'!$B$19,'THAM_SO'!$C$20&lt;'THAM_SO'!$B$20,'THAM_SO'!$C$21&lt;'THAM_SO'!$B$21,'THAM_SO'!$C$22&lt;'THAM_SO'!$B$22,'THAM_SO'!$C$23&lt;'THAM_SO'!$B$23,'THAM_SO'!$C$24&lt;'THAM_SO'!$B$24,'THAM_SO'!$C$25&lt;'THAM_SO'!$B$25),"Hệ số OT/đêm DN thấp hơn luật; ","")&amp;IF(AND('DM_NHAN_SU'!$R77="Có",$AD77&lt;=0),"Thiếu căn cứ đóng BH; ","")&amp;IF(AND($AD77&gt;0,$AD77&lt;'THAM_SO'!$M$6),"Căn cứ BH dưới sàn – đã nâng sàn; ","")&amp;IF($AD77&gt;'THAM_SO'!$M$7,"Căn cứ BH vượt trần – đã giới hạn; ","")&amp;IF(AND($F77="Net",SUM('CHAM_CONG_THANG'!$AF77:$AK77)&gt;0,'DM_NHAN_SU'!$Q77&lt;=0),"Net có OT nhưng chưa khai lương giờ OT; ","")&amp;IF('CHAM_CONG_THANG'!$V77&gt;$Z77,"Phần OT không miễn lớn hơn tiền OT; ","")&amp;IF(AND($F77="Net",ABS($AT77-$AC77-$AP77)&gt;1),"Lệch quy đổi Net; ","")&amp;IF(AND($BH77&gt;0,'DM_NHAN_SU'!$AD77=""),"Có phép năm nhưng đang tạm dùng 12 ngày; ","")&amp;IF(AND($G77="Sản phẩm",SUM($BH77:$BJ77)&gt;0,'DM_NHAN_SU'!$AH77&lt;=0),"Lương sản phẩm thiếu đơn giá ngày phép/lễ; ","")&amp;IF(AND($BL77&gt;=14,'CHAM_CONG_THANG'!$AA77&lt;&gt;"Có"),"Thai sản từ 14 ngày: file tự dừng đóng BH – kiểm tra hồ sơ; ","")&amp;IF(AND('DM_NHAN_SU'!$AA77="Có",'DM_NHAN_SU'!$AB77=""),"Đoàn viên chưa chọn cách tính đoàn phí; ","")&amp;IF(AND('DM_NHAN_SU'!$AB77="Nhập tay",'DM_NHAN_SU'!$AC77&gt;'THAM_SO'!$M$26),"Đoàn phí nhập tay vượt trần thông dụng; ","")&amp;IF('NGHI_PHEP'!$L77&lt;&gt;"","Phép: "&amp;'NGHI_PHEP'!$L77,"")&amp;IF('CHE_DO_BHXH'!$AA77&lt;&gt;"","BHXH: "&amp;'CHE_DO_BHXH'!$AA77,"")&amp;IF('THUONG_T13_TET'!$O77&lt;&gt;"","Thưởng: "&amp;'THUONG_T13_TET'!$O77,"")&amp;IF('QT_NGHI_VIEC'!$AF77&lt;&gt;"","Nghỉ việc: "&amp;'QT_NGHI_VIEC'!$AF77,"")&amp;IF($AX77&lt;0,"Thực lĩnh âm; ","")&amp;IF(OR('DM_NHAN_SU'!$F77&gt;'THAM_SO'!$B$7,AND('DM_NHAN_SU'!$G77&lt;&gt;"",'DM_NHAN_SU'!$G77&lt;'THAM_SO'!$B$6)),"Ngoài kỳ trả lương; ","")))</f>
        <v/>
      </c>
      <c r="BH77" s="232">
        <f>IF('DM_NHAN_SU'!$B77="","",'CHAM_CONG_THANG'!AR77)</f>
        <v/>
      </c>
      <c r="BI77" s="232">
        <f>IF('DM_NHAN_SU'!$B77="","",'CHAM_CONG_THANG'!AS77)</f>
        <v/>
      </c>
      <c r="BJ77" s="232">
        <f>IF('DM_NHAN_SU'!$B77="","",'CHAM_CONG_THANG'!AT77)</f>
        <v/>
      </c>
      <c r="BK77" s="232">
        <f>IF('DM_NHAN_SU'!$B77="","",'CHAM_CONG_THANG'!AU77)</f>
        <v/>
      </c>
      <c r="BL77" s="232">
        <f>IF('DM_NHAN_SU'!$B77="","",'CHAM_CONG_THANG'!AV77)</f>
        <v/>
      </c>
      <c r="BM77" s="232">
        <f>IF('DM_NHAN_SU'!$B77="","",'CHAM_CONG_THANG'!AW77)</f>
        <v/>
      </c>
      <c r="BN77" s="232">
        <f>IF('DM_NHAN_SU'!$B77="","",SUM($K77,$BH77:$BJ77))</f>
        <v/>
      </c>
      <c r="BO77" s="224">
        <f>IF('DM_NHAN_SU'!$B77="","",IF($B77="",0,IF($G77="Tháng",IF($I77&gt;0,'DM_NHAN_SU'!$K77*MIN($BH77+$BJ77,MAX($I77-$K77,0))/$I77,0),IF($G77="Ngày",'DM_NHAN_SU'!$K77*SUM($BH77:$BJ77),IF($G77="Giờ",'DM_NHAN_SU'!$K77*SUM($BH77:$BJ77)*$J77,IF($G77="Sản phẩm",'DM_NHAN_SU'!$AH77*SUM($BH77:$BJ77),0))))))</f>
        <v/>
      </c>
      <c r="BP77" s="224">
        <f>IF('DM_NHAN_SU'!$B77="","",IF('THUONG_T13_TET'!$L77="Có",'THUONG_T13_TET'!$I77,0))</f>
        <v/>
      </c>
      <c r="BQ77" s="224">
        <f>IF('DM_NHAN_SU'!$B77="","",IF('THUONG_T13_TET'!$L77="Có",SUM('THUONG_T13_TET'!$J77:$K77),0))</f>
        <v/>
      </c>
      <c r="BR77" s="224">
        <f>IF('DM_NHAN_SU'!$B77="","",'QT_NGHI_VIEC'!AC77)</f>
        <v/>
      </c>
      <c r="BS77" s="224">
        <f>IF('DM_NHAN_SU'!$B77="","",'QT_NGHI_VIEC'!AB77)</f>
        <v/>
      </c>
      <c r="BT77" s="224">
        <f>IF('DM_NHAN_SU'!$B77="","",IF('CHE_DO_BHXH'!$Z77="Có",'CHE_DO_BHXH'!$W77,0))</f>
        <v/>
      </c>
      <c r="BU77" s="224">
        <f>IF('DM_NHAN_SU'!$B77="","",IF('CHE_DO_BHXH'!$Y77="DN trả thay",$BT77,0))</f>
        <v/>
      </c>
      <c r="BV77" s="224">
        <f>IF('DM_NHAN_SU'!$B77="","",IF(OR('DM_NHAN_SU'!$AA77&lt;&gt;"Có",'CHE_DO_BHXH'!$O77&gt;=1,SUM('CHE_DO_BHXH'!$D77,'CHE_DO_BHXH'!$G77,'CHE_DO_BHXH'!$K77)&gt;=24,AND($I77&gt;0,$BM77&gt;=$I77)),0,IF('DM_NHAN_SU'!$AB77="Không",0,IF('DM_NHAN_SU'!$AB77="Nhập tay",'DM_NHAN_SU'!$AC77,IF('DM_NHAN_SU'!$AB77="Theo thực nhận",MIN(MAX($AT77-$AU77-$AV77-$AW77,0)*'THAM_SO'!$M$23,'THAM_SO'!$M$26),MIN($AE77*'THAM_SO'!$M$23,'THAM_SO'!$M$26))))))</f>
        <v/>
      </c>
      <c r="BW77" s="224">
        <f>IF('DM_NHAN_SU'!$B77="","",$AX77+$BU77)</f>
        <v/>
      </c>
    </row>
    <row r="78">
      <c r="A78" s="145">
        <f>IF('DM_NHAN_SU'!$B78="","",IF($B78="","",ROW()-5))</f>
        <v/>
      </c>
      <c r="B78" s="145">
        <f>IF('DM_NHAN_SU'!$B78="","",'DM_NHAN_SU'!B78)</f>
        <v/>
      </c>
      <c r="C78" s="145">
        <f>IF('DM_NHAN_SU'!$B78="","",'DM_NHAN_SU'!C78)</f>
        <v/>
      </c>
      <c r="D78" s="145">
        <f>IF('DM_NHAN_SU'!$B78="","",'DM_NHAN_SU'!D78)</f>
        <v/>
      </c>
      <c r="E78" s="145">
        <f>IF('DM_NHAN_SU'!$B78="","",'DM_NHAN_SU'!E78)</f>
        <v/>
      </c>
      <c r="F78" s="145">
        <f>IF('DM_NHAN_SU'!$B78="","",'DM_NHAN_SU'!I78)</f>
        <v/>
      </c>
      <c r="G78" s="145">
        <f>IF('DM_NHAN_SU'!$B78="","",'DM_NHAN_SU'!J78)</f>
        <v/>
      </c>
      <c r="H78" s="145">
        <f>IF('DM_NHAN_SU'!$B78="","",IF('DM_NHAN_SU'!H78="",'THAM_SO'!$B$11,'DM_NHAN_SU'!H78))</f>
        <v/>
      </c>
      <c r="I78" s="232">
        <f>IF('DM_NHAN_SU'!$B78="","",IF('DM_NHAN_SU'!L78&gt;0,'DM_NHAN_SU'!L78,'THAM_SO'!$B$9))</f>
        <v/>
      </c>
      <c r="J78" s="232">
        <f>IF('DM_NHAN_SU'!$B78="","",IF('DM_NHAN_SU'!M78&gt;0,'DM_NHAN_SU'!M78,'THAM_SO'!$B$10))</f>
        <v/>
      </c>
      <c r="K78" s="232">
        <f>IF('DM_NHAN_SU'!$B78="","",'CHAM_CONG_THANG'!AC78)</f>
        <v/>
      </c>
      <c r="L78" s="232">
        <f>IF('DM_NHAN_SU'!$B78="","",'CHAM_CONG_THANG'!AD78)</f>
        <v/>
      </c>
      <c r="M78" s="232">
        <f>IF('DM_NHAN_SU'!$B78="","",'CHAM_CONG_THANG'!AE78)</f>
        <v/>
      </c>
      <c r="N78" s="232">
        <f>IF('DM_NHAN_SU'!$B78="","",'CHAM_CONG_THANG'!N78)</f>
        <v/>
      </c>
      <c r="O78" s="224">
        <f>IF('DM_NHAN_SU'!$B78="","",IF($B78="","",IF($G78="Tháng",IF($I78&gt;0,'DM_NHAN_SU'!$K78*MIN($K78,$I78)/$I78,0),IF($G78="Ngày",'DM_NHAN_SU'!$K78*$K78,IF($G78="Giờ",'DM_NHAN_SU'!$K78*$L78,IF($G78="Sản phẩm",'DM_NHAN_SU'!$K78*$N78,0))))))</f>
        <v/>
      </c>
      <c r="P78" s="224">
        <f>IF('DM_NHAN_SU'!$B78="","",'CHAM_CONG_THANG'!O78)</f>
        <v/>
      </c>
      <c r="Q78" s="224">
        <f>IF('DM_NHAN_SU'!$B78="","",'CHAM_CONG_THANG'!P78)</f>
        <v/>
      </c>
      <c r="R78" s="224">
        <f>IF('DM_NHAN_SU'!$B78="","",'CHAM_CONG_THANG'!Q78)</f>
        <v/>
      </c>
      <c r="S78" s="224">
        <f>IF('DM_NHAN_SU'!$B78="","",'CHAM_CONG_THANG'!R78)</f>
        <v/>
      </c>
      <c r="T78" s="224">
        <f>IF('DM_NHAN_SU'!$B78="","",'CHAM_CONG_THANG'!S78)</f>
        <v/>
      </c>
      <c r="U78" s="224">
        <f>IF('DM_NHAN_SU'!$B78="","",MIN($T78,'THAM_SO'!$F$6))</f>
        <v/>
      </c>
      <c r="V78" s="224">
        <f>IF('DM_NHAN_SU'!$B78="","",MAX($T78-$U78,0))</f>
        <v/>
      </c>
      <c r="W78" s="224">
        <f>IF('DM_NHAN_SU'!$B78="","",'CHAM_CONG_THANG'!T78)</f>
        <v/>
      </c>
      <c r="X78" s="224">
        <f>IF('DM_NHAN_SU'!$B78="","",'CHAM_CONG_THANG'!U78)</f>
        <v/>
      </c>
      <c r="Y78" s="224">
        <f>IF('DM_NHAN_SU'!$B78="","",IF($B78="",0,IF('DM_NHAN_SU'!$Q78&gt;0,'DM_NHAN_SU'!$Q78,IF($G78="Tháng",IF($I78*$J78&gt;0,'DM_NHAN_SU'!$K78/($I78*$J78),0),IF($G78="Ngày",IF($J78&gt;0,'DM_NHAN_SU'!$K78/$J78,0),IF($G78="Giờ",'DM_NHAN_SU'!$K78,0))))))</f>
        <v/>
      </c>
      <c r="Z78" s="224">
        <f>IF('DM_NHAN_SU'!$B78="","",$Y78*($M78*'THAM_SO'!$C$22+'CHAM_CONG_THANG'!$AF78*'THAM_SO'!$C$19+'CHAM_CONG_THANG'!$AG78*'THAM_SO'!$C$20+'CHAM_CONG_THANG'!$AH78*'THAM_SO'!$C$21+'CHAM_CONG_THANG'!$AI78*'THAM_SO'!$C$23+'CHAM_CONG_THANG'!$AJ78*'THAM_SO'!$C$24+'CHAM_CONG_THANG'!$AK78*'THAM_SO'!$C$25))</f>
        <v/>
      </c>
      <c r="AA78" s="224">
        <f>IF('DM_NHAN_SU'!$B78="","",MAX(0,$Y78*($M78*IF('THAM_SO'!$C$22&gt;='THAM_SO'!$B$22,'THAM_SO'!$B$22,0)+'CHAM_CONG_THANG'!$AF78*IF('THAM_SO'!$C$19&gt;='THAM_SO'!$B$19,'THAM_SO'!$B$19,0)+'CHAM_CONG_THANG'!$AG78*IF('THAM_SO'!$C$20&gt;='THAM_SO'!$B$20,'THAM_SO'!$B$20,0)+'CHAM_CONG_THANG'!$AH78*IF('THAM_SO'!$C$21&gt;='THAM_SO'!$B$21,'THAM_SO'!$B$21,0)+'CHAM_CONG_THANG'!$AI78*IF('THAM_SO'!$C$23&gt;='THAM_SO'!$B$23,'THAM_SO'!$B$23,0)+'CHAM_CONG_THANG'!$AJ78*IF('THAM_SO'!$C$24&gt;='THAM_SO'!$B$24,'THAM_SO'!$B$24,0)+'CHAM_CONG_THANG'!$AK78*IF('THAM_SO'!$C$25&gt;='THAM_SO'!$B$25,'THAM_SO'!$B$25,0))-'CHAM_CONG_THANG'!$V78))</f>
        <v/>
      </c>
      <c r="AB78" s="224">
        <f>IF('DM_NHAN_SU'!$B78="","",MAX($Z78-$AA78,0))</f>
        <v/>
      </c>
      <c r="AC78" s="224">
        <f>IF('DM_NHAN_SU'!$B78="","",$O78+$P78+$Q78+$R78+$S78+$V78+$AB78+$BO78+$BP78+$BQ78+$BR78)</f>
        <v/>
      </c>
      <c r="AD78" s="224">
        <f>IF('DM_NHAN_SU'!$B78="","",'DM_NHAN_SU'!N78+'DM_NHAN_SU'!O78+'DM_NHAN_SU'!P78)</f>
        <v/>
      </c>
      <c r="AE78" s="224">
        <f>IF('DM_NHAN_SU'!$B78="","",IF(OR('DM_NHAN_SU'!$R78&lt;&gt;"Có",'CHAM_CONG_THANG'!$AA78="Có",$BL78&gt;=14,$AD78&lt;=0),0,MIN(MAX($AD78,'THAM_SO'!$M$6),'THAM_SO'!$M$7)))</f>
        <v/>
      </c>
      <c r="AF78" s="224">
        <f>IF('DM_NHAN_SU'!$B78="","",IF(OR('DM_NHAN_SU'!$S78&lt;&gt;"Có",'CHAM_CONG_THANG'!$AA78="Có",$BL78&gt;=14,$AD78&lt;=0),0,MIN(MAX($AD78,VLOOKUP($H78,'THAM_SO'!$L$17:$P$20,4,FALSE)),VLOOKUP($H78,'THAM_SO'!$L$17:$P$20,5,FALSE))))</f>
        <v/>
      </c>
      <c r="AG78" s="224">
        <f>IF('DM_NHAN_SU'!$B78="","",$AE78*'THAM_SO'!$M$8)</f>
        <v/>
      </c>
      <c r="AH78" s="224">
        <f>IF('DM_NHAN_SU'!$B78="","",$AE78*'THAM_SO'!$M$9)</f>
        <v/>
      </c>
      <c r="AI78" s="224">
        <f>IF('DM_NHAN_SU'!$B78="","",$AF78*'THAM_SO'!$M$10)</f>
        <v/>
      </c>
      <c r="AJ78" s="224">
        <f>IF('DM_NHAN_SU'!$B78="","",SUM($AG78:$AI78))</f>
        <v/>
      </c>
      <c r="AK78" s="224">
        <f>IF('DM_NHAN_SU'!$B78="","",IF($B78="",0,'THAM_SO'!$F$4))</f>
        <v/>
      </c>
      <c r="AL78" s="224">
        <f>IF('DM_NHAN_SU'!$B78="","",IF($B78="",0,'DM_NHAN_SU'!$T78*'THAM_SO'!$F$5))</f>
        <v/>
      </c>
      <c r="AM78" s="224">
        <f>IF('DM_NHAN_SU'!$B78="","",'CHAM_CONG_THANG'!W78)</f>
        <v/>
      </c>
      <c r="AN78" s="224">
        <f>IF('DM_NHAN_SU'!$B78="","",MAX($AC78-$AK78-$AL78-$AM78,0))</f>
        <v/>
      </c>
      <c r="AO78" s="224">
        <f>IF('DM_NHAN_SU'!$B78="","",IF($B78="","",IF($F78="Net",IF($AC78&lt;=$AK78+$AL78+$AM78,$AC78+$AJ78,$AJ78+$AK78+$AL78+$AM78+IF($AN78&lt;='THAM_SO'!$J$10,($AN78-'THAM_SO'!$I$10)/(1-'THAM_SO'!$H$10),IF($AN78&lt;='THAM_SO'!$J$11,($AN78-'THAM_SO'!$I$11)/(1-'THAM_SO'!$H$11),IF($AN78&lt;='THAM_SO'!$J$12,($AN78-'THAM_SO'!$I$12)/(1-'THAM_SO'!$H$12),IF($AN78&lt;='THAM_SO'!$J$13,($AN78-'THAM_SO'!$I$13)/(1-'THAM_SO'!$H$13),($AN78-'THAM_SO'!$I$14)/(1-'THAM_SO'!$H$14)))))),$AC78)))</f>
        <v/>
      </c>
      <c r="AP78" s="224">
        <f>IF('DM_NHAN_SU'!$B78="","",$U78+$W78+$X78+$AA78+$BS78)</f>
        <v/>
      </c>
      <c r="AQ78" s="224">
        <f>IF('DM_NHAN_SU'!$B78="","",MAX($AO78-$AJ78-$AK78-$AL78-$AM78,0))</f>
        <v/>
      </c>
      <c r="AR78" s="224">
        <f>IF('DM_NHAN_SU'!$B78="","",IF($AQ78&lt;=0,0,$AQ78*VLOOKUP($AQ78,'THAM_SO'!$F$10:$I$14,3,TRUE)-VLOOKUP($AQ78,'THAM_SO'!$F$10:$I$14,4,TRUE)))</f>
        <v/>
      </c>
      <c r="AS78" s="224">
        <f>IF('DM_NHAN_SU'!$B78="","",$AO78+$AP78)</f>
        <v/>
      </c>
      <c r="AT78" s="224">
        <f>IF('DM_NHAN_SU'!$B78="","",$AS78-$AJ78-$AR78)</f>
        <v/>
      </c>
      <c r="AU78" s="224">
        <f>IF('DM_NHAN_SU'!$B78="","",'CHAM_CONG_THANG'!X78)</f>
        <v/>
      </c>
      <c r="AV78" s="224">
        <f>IF('DM_NHAN_SU'!$B78="","",'CHAM_CONG_THANG'!Y78+'QT_NGHI_VIEC'!AD78)</f>
        <v/>
      </c>
      <c r="AW78" s="224">
        <f>IF('DM_NHAN_SU'!$B78="","",'CHAM_CONG_THANG'!Z78)</f>
        <v/>
      </c>
      <c r="AX78" s="224">
        <f>IF('DM_NHAN_SU'!$B78="","",$AT78-$AU78-$AV78-$AW78-$BV78)</f>
        <v/>
      </c>
      <c r="AY78" s="224">
        <f>IF('DM_NHAN_SU'!$B78="","",$AE78*'THAM_SO'!$M$11)</f>
        <v/>
      </c>
      <c r="AZ78" s="224">
        <f>IF('DM_NHAN_SU'!$B78="","",$AE78*'THAM_SO'!$M$12)</f>
        <v/>
      </c>
      <c r="BA78" s="224">
        <f>IF('DM_NHAN_SU'!$B78="","",$AF78*'THAM_SO'!$M$13)</f>
        <v/>
      </c>
      <c r="BB78" s="224">
        <f>IF('DM_NHAN_SU'!$B78="","",$AE78*'THAM_SO'!$M$14)</f>
        <v/>
      </c>
      <c r="BC78" s="224">
        <f>IF('DM_NHAN_SU'!$B78="","",SUM($AY78:$BB78))</f>
        <v/>
      </c>
      <c r="BD78" s="224">
        <f>IF('DM_NHAN_SU'!$B78="","",$AS78+$BC78)</f>
        <v/>
      </c>
      <c r="BE78" s="224">
        <f>IF('DM_NHAN_SU'!$B78="","",VLOOKUP($H78,'THAM_SO'!$L$17:$P$20,2,FALSE))</f>
        <v/>
      </c>
      <c r="BF78" s="224">
        <f>IF('DM_NHAN_SU'!$B78="","",VLOOKUP($H78,'THAM_SO'!$L$17:$P$20,3,FALSE))</f>
        <v/>
      </c>
      <c r="BG78" s="150">
        <f>IF('DM_NHAN_SU'!$B78="","",IF($B78="","",IF(COUNTIF('DM_NHAN_SU'!$B$6:$B$155,$B78)&gt;1,"Trùng mã NV; ","")&amp;IF(OR($F78="",$G78=""),"Thiếu loại/hình thức lương; ","")&amp;IF('CHAM_CONG_THANG'!$D78="","Chưa chọn nguồn công; ","")&amp;IF(AND('CHAM_CONG_THANG'!$D78="Theo ngày",COUNTIF('CHAM_CONG_NGAY'!$B$6:$B$4655,$B78)=0),"Chưa có chấm công ngày; ","")&amp;IF(OR($I78&lt;=0,$J78&lt;=0),"Thiếu công/giờ chuẩn; ","")&amp;IF(AND($G78="Tháng",'DM_NHAN_SU'!$K78&lt;$BE78),"Lương tháng dưới tối thiểu vùng; ","")&amp;IF(AND($G78="Ngày",'DM_NHAN_SU'!$K78/$J78&lt;$BF78),"Lương ngày quy đổi dưới tối thiểu giờ; ","")&amp;IF(AND($G78="Giờ",'DM_NHAN_SU'!$K78&lt;$BF78),"Lương giờ dưới tối thiểu vùng; ","")&amp;IF(AND($G78="Sản phẩm",$L78&gt;0,$O78/$L78&lt;$BF78),"Lương SP quy đổi dưới tối thiểu giờ; ","")&amp;IF(OR('THAM_SO'!$C$19&lt;'THAM_SO'!$B$19,'THAM_SO'!$C$20&lt;'THAM_SO'!$B$20,'THAM_SO'!$C$21&lt;'THAM_SO'!$B$21,'THAM_SO'!$C$22&lt;'THAM_SO'!$B$22,'THAM_SO'!$C$23&lt;'THAM_SO'!$B$23,'THAM_SO'!$C$24&lt;'THAM_SO'!$B$24,'THAM_SO'!$C$25&lt;'THAM_SO'!$B$25),"Hệ số OT/đêm DN thấp hơn luật; ","")&amp;IF(AND('DM_NHAN_SU'!$R78="Có",$AD78&lt;=0),"Thiếu căn cứ đóng BH; ","")&amp;IF(AND($AD78&gt;0,$AD78&lt;'THAM_SO'!$M$6),"Căn cứ BH dưới sàn – đã nâng sàn; ","")&amp;IF($AD78&gt;'THAM_SO'!$M$7,"Căn cứ BH vượt trần – đã giới hạn; ","")&amp;IF(AND($F78="Net",SUM('CHAM_CONG_THANG'!$AF78:$AK78)&gt;0,'DM_NHAN_SU'!$Q78&lt;=0),"Net có OT nhưng chưa khai lương giờ OT; ","")&amp;IF('CHAM_CONG_THANG'!$V78&gt;$Z78,"Phần OT không miễn lớn hơn tiền OT; ","")&amp;IF(AND($F78="Net",ABS($AT78-$AC78-$AP78)&gt;1),"Lệch quy đổi Net; ","")&amp;IF(AND($BH78&gt;0,'DM_NHAN_SU'!$AD78=""),"Có phép năm nhưng đang tạm dùng 12 ngày; ","")&amp;IF(AND($G78="Sản phẩm",SUM($BH78:$BJ78)&gt;0,'DM_NHAN_SU'!$AH78&lt;=0),"Lương sản phẩm thiếu đơn giá ngày phép/lễ; ","")&amp;IF(AND($BL78&gt;=14,'CHAM_CONG_THANG'!$AA78&lt;&gt;"Có"),"Thai sản từ 14 ngày: file tự dừng đóng BH – kiểm tra hồ sơ; ","")&amp;IF(AND('DM_NHAN_SU'!$AA78="Có",'DM_NHAN_SU'!$AB78=""),"Đoàn viên chưa chọn cách tính đoàn phí; ","")&amp;IF(AND('DM_NHAN_SU'!$AB78="Nhập tay",'DM_NHAN_SU'!$AC78&gt;'THAM_SO'!$M$26),"Đoàn phí nhập tay vượt trần thông dụng; ","")&amp;IF('NGHI_PHEP'!$L78&lt;&gt;"","Phép: "&amp;'NGHI_PHEP'!$L78,"")&amp;IF('CHE_DO_BHXH'!$AA78&lt;&gt;"","BHXH: "&amp;'CHE_DO_BHXH'!$AA78,"")&amp;IF('THUONG_T13_TET'!$O78&lt;&gt;"","Thưởng: "&amp;'THUONG_T13_TET'!$O78,"")&amp;IF('QT_NGHI_VIEC'!$AF78&lt;&gt;"","Nghỉ việc: "&amp;'QT_NGHI_VIEC'!$AF78,"")&amp;IF($AX78&lt;0,"Thực lĩnh âm; ","")&amp;IF(OR('DM_NHAN_SU'!$F78&gt;'THAM_SO'!$B$7,AND('DM_NHAN_SU'!$G78&lt;&gt;"",'DM_NHAN_SU'!$G78&lt;'THAM_SO'!$B$6)),"Ngoài kỳ trả lương; ","")))</f>
        <v/>
      </c>
      <c r="BH78" s="232">
        <f>IF('DM_NHAN_SU'!$B78="","",'CHAM_CONG_THANG'!AR78)</f>
        <v/>
      </c>
      <c r="BI78" s="232">
        <f>IF('DM_NHAN_SU'!$B78="","",'CHAM_CONG_THANG'!AS78)</f>
        <v/>
      </c>
      <c r="BJ78" s="232">
        <f>IF('DM_NHAN_SU'!$B78="","",'CHAM_CONG_THANG'!AT78)</f>
        <v/>
      </c>
      <c r="BK78" s="232">
        <f>IF('DM_NHAN_SU'!$B78="","",'CHAM_CONG_THANG'!AU78)</f>
        <v/>
      </c>
      <c r="BL78" s="232">
        <f>IF('DM_NHAN_SU'!$B78="","",'CHAM_CONG_THANG'!AV78)</f>
        <v/>
      </c>
      <c r="BM78" s="232">
        <f>IF('DM_NHAN_SU'!$B78="","",'CHAM_CONG_THANG'!AW78)</f>
        <v/>
      </c>
      <c r="BN78" s="232">
        <f>IF('DM_NHAN_SU'!$B78="","",SUM($K78,$BH78:$BJ78))</f>
        <v/>
      </c>
      <c r="BO78" s="224">
        <f>IF('DM_NHAN_SU'!$B78="","",IF($B78="",0,IF($G78="Tháng",IF($I78&gt;0,'DM_NHAN_SU'!$K78*MIN($BH78+$BJ78,MAX($I78-$K78,0))/$I78,0),IF($G78="Ngày",'DM_NHAN_SU'!$K78*SUM($BH78:$BJ78),IF($G78="Giờ",'DM_NHAN_SU'!$K78*SUM($BH78:$BJ78)*$J78,IF($G78="Sản phẩm",'DM_NHAN_SU'!$AH78*SUM($BH78:$BJ78),0))))))</f>
        <v/>
      </c>
      <c r="BP78" s="224">
        <f>IF('DM_NHAN_SU'!$B78="","",IF('THUONG_T13_TET'!$L78="Có",'THUONG_T13_TET'!$I78,0))</f>
        <v/>
      </c>
      <c r="BQ78" s="224">
        <f>IF('DM_NHAN_SU'!$B78="","",IF('THUONG_T13_TET'!$L78="Có",SUM('THUONG_T13_TET'!$J78:$K78),0))</f>
        <v/>
      </c>
      <c r="BR78" s="224">
        <f>IF('DM_NHAN_SU'!$B78="","",'QT_NGHI_VIEC'!AC78)</f>
        <v/>
      </c>
      <c r="BS78" s="224">
        <f>IF('DM_NHAN_SU'!$B78="","",'QT_NGHI_VIEC'!AB78)</f>
        <v/>
      </c>
      <c r="BT78" s="224">
        <f>IF('DM_NHAN_SU'!$B78="","",IF('CHE_DO_BHXH'!$Z78="Có",'CHE_DO_BHXH'!$W78,0))</f>
        <v/>
      </c>
      <c r="BU78" s="224">
        <f>IF('DM_NHAN_SU'!$B78="","",IF('CHE_DO_BHXH'!$Y78="DN trả thay",$BT78,0))</f>
        <v/>
      </c>
      <c r="BV78" s="224">
        <f>IF('DM_NHAN_SU'!$B78="","",IF(OR('DM_NHAN_SU'!$AA78&lt;&gt;"Có",'CHE_DO_BHXH'!$O78&gt;=1,SUM('CHE_DO_BHXH'!$D78,'CHE_DO_BHXH'!$G78,'CHE_DO_BHXH'!$K78)&gt;=24,AND($I78&gt;0,$BM78&gt;=$I78)),0,IF('DM_NHAN_SU'!$AB78="Không",0,IF('DM_NHAN_SU'!$AB78="Nhập tay",'DM_NHAN_SU'!$AC78,IF('DM_NHAN_SU'!$AB78="Theo thực nhận",MIN(MAX($AT78-$AU78-$AV78-$AW78,0)*'THAM_SO'!$M$23,'THAM_SO'!$M$26),MIN($AE78*'THAM_SO'!$M$23,'THAM_SO'!$M$26))))))</f>
        <v/>
      </c>
      <c r="BW78" s="224">
        <f>IF('DM_NHAN_SU'!$B78="","",$AX78+$BU78)</f>
        <v/>
      </c>
    </row>
    <row r="79">
      <c r="A79" s="145">
        <f>IF('DM_NHAN_SU'!$B79="","",IF($B79="","",ROW()-5))</f>
        <v/>
      </c>
      <c r="B79" s="145">
        <f>IF('DM_NHAN_SU'!$B79="","",'DM_NHAN_SU'!B79)</f>
        <v/>
      </c>
      <c r="C79" s="145">
        <f>IF('DM_NHAN_SU'!$B79="","",'DM_NHAN_SU'!C79)</f>
        <v/>
      </c>
      <c r="D79" s="145">
        <f>IF('DM_NHAN_SU'!$B79="","",'DM_NHAN_SU'!D79)</f>
        <v/>
      </c>
      <c r="E79" s="145">
        <f>IF('DM_NHAN_SU'!$B79="","",'DM_NHAN_SU'!E79)</f>
        <v/>
      </c>
      <c r="F79" s="145">
        <f>IF('DM_NHAN_SU'!$B79="","",'DM_NHAN_SU'!I79)</f>
        <v/>
      </c>
      <c r="G79" s="145">
        <f>IF('DM_NHAN_SU'!$B79="","",'DM_NHAN_SU'!J79)</f>
        <v/>
      </c>
      <c r="H79" s="145">
        <f>IF('DM_NHAN_SU'!$B79="","",IF('DM_NHAN_SU'!H79="",'THAM_SO'!$B$11,'DM_NHAN_SU'!H79))</f>
        <v/>
      </c>
      <c r="I79" s="232">
        <f>IF('DM_NHAN_SU'!$B79="","",IF('DM_NHAN_SU'!L79&gt;0,'DM_NHAN_SU'!L79,'THAM_SO'!$B$9))</f>
        <v/>
      </c>
      <c r="J79" s="232">
        <f>IF('DM_NHAN_SU'!$B79="","",IF('DM_NHAN_SU'!M79&gt;0,'DM_NHAN_SU'!M79,'THAM_SO'!$B$10))</f>
        <v/>
      </c>
      <c r="K79" s="232">
        <f>IF('DM_NHAN_SU'!$B79="","",'CHAM_CONG_THANG'!AC79)</f>
        <v/>
      </c>
      <c r="L79" s="232">
        <f>IF('DM_NHAN_SU'!$B79="","",'CHAM_CONG_THANG'!AD79)</f>
        <v/>
      </c>
      <c r="M79" s="232">
        <f>IF('DM_NHAN_SU'!$B79="","",'CHAM_CONG_THANG'!AE79)</f>
        <v/>
      </c>
      <c r="N79" s="232">
        <f>IF('DM_NHAN_SU'!$B79="","",'CHAM_CONG_THANG'!N79)</f>
        <v/>
      </c>
      <c r="O79" s="224">
        <f>IF('DM_NHAN_SU'!$B79="","",IF($B79="","",IF($G79="Tháng",IF($I79&gt;0,'DM_NHAN_SU'!$K79*MIN($K79,$I79)/$I79,0),IF($G79="Ngày",'DM_NHAN_SU'!$K79*$K79,IF($G79="Giờ",'DM_NHAN_SU'!$K79*$L79,IF($G79="Sản phẩm",'DM_NHAN_SU'!$K79*$N79,0))))))</f>
        <v/>
      </c>
      <c r="P79" s="224">
        <f>IF('DM_NHAN_SU'!$B79="","",'CHAM_CONG_THANG'!O79)</f>
        <v/>
      </c>
      <c r="Q79" s="224">
        <f>IF('DM_NHAN_SU'!$B79="","",'CHAM_CONG_THANG'!P79)</f>
        <v/>
      </c>
      <c r="R79" s="224">
        <f>IF('DM_NHAN_SU'!$B79="","",'CHAM_CONG_THANG'!Q79)</f>
        <v/>
      </c>
      <c r="S79" s="224">
        <f>IF('DM_NHAN_SU'!$B79="","",'CHAM_CONG_THANG'!R79)</f>
        <v/>
      </c>
      <c r="T79" s="224">
        <f>IF('DM_NHAN_SU'!$B79="","",'CHAM_CONG_THANG'!S79)</f>
        <v/>
      </c>
      <c r="U79" s="224">
        <f>IF('DM_NHAN_SU'!$B79="","",MIN($T79,'THAM_SO'!$F$6))</f>
        <v/>
      </c>
      <c r="V79" s="224">
        <f>IF('DM_NHAN_SU'!$B79="","",MAX($T79-$U79,0))</f>
        <v/>
      </c>
      <c r="W79" s="224">
        <f>IF('DM_NHAN_SU'!$B79="","",'CHAM_CONG_THANG'!T79)</f>
        <v/>
      </c>
      <c r="X79" s="224">
        <f>IF('DM_NHAN_SU'!$B79="","",'CHAM_CONG_THANG'!U79)</f>
        <v/>
      </c>
      <c r="Y79" s="224">
        <f>IF('DM_NHAN_SU'!$B79="","",IF($B79="",0,IF('DM_NHAN_SU'!$Q79&gt;0,'DM_NHAN_SU'!$Q79,IF($G79="Tháng",IF($I79*$J79&gt;0,'DM_NHAN_SU'!$K79/($I79*$J79),0),IF($G79="Ngày",IF($J79&gt;0,'DM_NHAN_SU'!$K79/$J79,0),IF($G79="Giờ",'DM_NHAN_SU'!$K79,0))))))</f>
        <v/>
      </c>
      <c r="Z79" s="224">
        <f>IF('DM_NHAN_SU'!$B79="","",$Y79*($M79*'THAM_SO'!$C$22+'CHAM_CONG_THANG'!$AF79*'THAM_SO'!$C$19+'CHAM_CONG_THANG'!$AG79*'THAM_SO'!$C$20+'CHAM_CONG_THANG'!$AH79*'THAM_SO'!$C$21+'CHAM_CONG_THANG'!$AI79*'THAM_SO'!$C$23+'CHAM_CONG_THANG'!$AJ79*'THAM_SO'!$C$24+'CHAM_CONG_THANG'!$AK79*'THAM_SO'!$C$25))</f>
        <v/>
      </c>
      <c r="AA79" s="224">
        <f>IF('DM_NHAN_SU'!$B79="","",MAX(0,$Y79*($M79*IF('THAM_SO'!$C$22&gt;='THAM_SO'!$B$22,'THAM_SO'!$B$22,0)+'CHAM_CONG_THANG'!$AF79*IF('THAM_SO'!$C$19&gt;='THAM_SO'!$B$19,'THAM_SO'!$B$19,0)+'CHAM_CONG_THANG'!$AG79*IF('THAM_SO'!$C$20&gt;='THAM_SO'!$B$20,'THAM_SO'!$B$20,0)+'CHAM_CONG_THANG'!$AH79*IF('THAM_SO'!$C$21&gt;='THAM_SO'!$B$21,'THAM_SO'!$B$21,0)+'CHAM_CONG_THANG'!$AI79*IF('THAM_SO'!$C$23&gt;='THAM_SO'!$B$23,'THAM_SO'!$B$23,0)+'CHAM_CONG_THANG'!$AJ79*IF('THAM_SO'!$C$24&gt;='THAM_SO'!$B$24,'THAM_SO'!$B$24,0)+'CHAM_CONG_THANG'!$AK79*IF('THAM_SO'!$C$25&gt;='THAM_SO'!$B$25,'THAM_SO'!$B$25,0))-'CHAM_CONG_THANG'!$V79))</f>
        <v/>
      </c>
      <c r="AB79" s="224">
        <f>IF('DM_NHAN_SU'!$B79="","",MAX($Z79-$AA79,0))</f>
        <v/>
      </c>
      <c r="AC79" s="224">
        <f>IF('DM_NHAN_SU'!$B79="","",$O79+$P79+$Q79+$R79+$S79+$V79+$AB79+$BO79+$BP79+$BQ79+$BR79)</f>
        <v/>
      </c>
      <c r="AD79" s="224">
        <f>IF('DM_NHAN_SU'!$B79="","",'DM_NHAN_SU'!N79+'DM_NHAN_SU'!O79+'DM_NHAN_SU'!P79)</f>
        <v/>
      </c>
      <c r="AE79" s="224">
        <f>IF('DM_NHAN_SU'!$B79="","",IF(OR('DM_NHAN_SU'!$R79&lt;&gt;"Có",'CHAM_CONG_THANG'!$AA79="Có",$BL79&gt;=14,$AD79&lt;=0),0,MIN(MAX($AD79,'THAM_SO'!$M$6),'THAM_SO'!$M$7)))</f>
        <v/>
      </c>
      <c r="AF79" s="224">
        <f>IF('DM_NHAN_SU'!$B79="","",IF(OR('DM_NHAN_SU'!$S79&lt;&gt;"Có",'CHAM_CONG_THANG'!$AA79="Có",$BL79&gt;=14,$AD79&lt;=0),0,MIN(MAX($AD79,VLOOKUP($H79,'THAM_SO'!$L$17:$P$20,4,FALSE)),VLOOKUP($H79,'THAM_SO'!$L$17:$P$20,5,FALSE))))</f>
        <v/>
      </c>
      <c r="AG79" s="224">
        <f>IF('DM_NHAN_SU'!$B79="","",$AE79*'THAM_SO'!$M$8)</f>
        <v/>
      </c>
      <c r="AH79" s="224">
        <f>IF('DM_NHAN_SU'!$B79="","",$AE79*'THAM_SO'!$M$9)</f>
        <v/>
      </c>
      <c r="AI79" s="224">
        <f>IF('DM_NHAN_SU'!$B79="","",$AF79*'THAM_SO'!$M$10)</f>
        <v/>
      </c>
      <c r="AJ79" s="224">
        <f>IF('DM_NHAN_SU'!$B79="","",SUM($AG79:$AI79))</f>
        <v/>
      </c>
      <c r="AK79" s="224">
        <f>IF('DM_NHAN_SU'!$B79="","",IF($B79="",0,'THAM_SO'!$F$4))</f>
        <v/>
      </c>
      <c r="AL79" s="224">
        <f>IF('DM_NHAN_SU'!$B79="","",IF($B79="",0,'DM_NHAN_SU'!$T79*'THAM_SO'!$F$5))</f>
        <v/>
      </c>
      <c r="AM79" s="224">
        <f>IF('DM_NHAN_SU'!$B79="","",'CHAM_CONG_THANG'!W79)</f>
        <v/>
      </c>
      <c r="AN79" s="224">
        <f>IF('DM_NHAN_SU'!$B79="","",MAX($AC79-$AK79-$AL79-$AM79,0))</f>
        <v/>
      </c>
      <c r="AO79" s="224">
        <f>IF('DM_NHAN_SU'!$B79="","",IF($B79="","",IF($F79="Net",IF($AC79&lt;=$AK79+$AL79+$AM79,$AC79+$AJ79,$AJ79+$AK79+$AL79+$AM79+IF($AN79&lt;='THAM_SO'!$J$10,($AN79-'THAM_SO'!$I$10)/(1-'THAM_SO'!$H$10),IF($AN79&lt;='THAM_SO'!$J$11,($AN79-'THAM_SO'!$I$11)/(1-'THAM_SO'!$H$11),IF($AN79&lt;='THAM_SO'!$J$12,($AN79-'THAM_SO'!$I$12)/(1-'THAM_SO'!$H$12),IF($AN79&lt;='THAM_SO'!$J$13,($AN79-'THAM_SO'!$I$13)/(1-'THAM_SO'!$H$13),($AN79-'THAM_SO'!$I$14)/(1-'THAM_SO'!$H$14)))))),$AC79)))</f>
        <v/>
      </c>
      <c r="AP79" s="224">
        <f>IF('DM_NHAN_SU'!$B79="","",$U79+$W79+$X79+$AA79+$BS79)</f>
        <v/>
      </c>
      <c r="AQ79" s="224">
        <f>IF('DM_NHAN_SU'!$B79="","",MAX($AO79-$AJ79-$AK79-$AL79-$AM79,0))</f>
        <v/>
      </c>
      <c r="AR79" s="224">
        <f>IF('DM_NHAN_SU'!$B79="","",IF($AQ79&lt;=0,0,$AQ79*VLOOKUP($AQ79,'THAM_SO'!$F$10:$I$14,3,TRUE)-VLOOKUP($AQ79,'THAM_SO'!$F$10:$I$14,4,TRUE)))</f>
        <v/>
      </c>
      <c r="AS79" s="224">
        <f>IF('DM_NHAN_SU'!$B79="","",$AO79+$AP79)</f>
        <v/>
      </c>
      <c r="AT79" s="224">
        <f>IF('DM_NHAN_SU'!$B79="","",$AS79-$AJ79-$AR79)</f>
        <v/>
      </c>
      <c r="AU79" s="224">
        <f>IF('DM_NHAN_SU'!$B79="","",'CHAM_CONG_THANG'!X79)</f>
        <v/>
      </c>
      <c r="AV79" s="224">
        <f>IF('DM_NHAN_SU'!$B79="","",'CHAM_CONG_THANG'!Y79+'QT_NGHI_VIEC'!AD79)</f>
        <v/>
      </c>
      <c r="AW79" s="224">
        <f>IF('DM_NHAN_SU'!$B79="","",'CHAM_CONG_THANG'!Z79)</f>
        <v/>
      </c>
      <c r="AX79" s="224">
        <f>IF('DM_NHAN_SU'!$B79="","",$AT79-$AU79-$AV79-$AW79-$BV79)</f>
        <v/>
      </c>
      <c r="AY79" s="224">
        <f>IF('DM_NHAN_SU'!$B79="","",$AE79*'THAM_SO'!$M$11)</f>
        <v/>
      </c>
      <c r="AZ79" s="224">
        <f>IF('DM_NHAN_SU'!$B79="","",$AE79*'THAM_SO'!$M$12)</f>
        <v/>
      </c>
      <c r="BA79" s="224">
        <f>IF('DM_NHAN_SU'!$B79="","",$AF79*'THAM_SO'!$M$13)</f>
        <v/>
      </c>
      <c r="BB79" s="224">
        <f>IF('DM_NHAN_SU'!$B79="","",$AE79*'THAM_SO'!$M$14)</f>
        <v/>
      </c>
      <c r="BC79" s="224">
        <f>IF('DM_NHAN_SU'!$B79="","",SUM($AY79:$BB79))</f>
        <v/>
      </c>
      <c r="BD79" s="224">
        <f>IF('DM_NHAN_SU'!$B79="","",$AS79+$BC79)</f>
        <v/>
      </c>
      <c r="BE79" s="224">
        <f>IF('DM_NHAN_SU'!$B79="","",VLOOKUP($H79,'THAM_SO'!$L$17:$P$20,2,FALSE))</f>
        <v/>
      </c>
      <c r="BF79" s="224">
        <f>IF('DM_NHAN_SU'!$B79="","",VLOOKUP($H79,'THAM_SO'!$L$17:$P$20,3,FALSE))</f>
        <v/>
      </c>
      <c r="BG79" s="150">
        <f>IF('DM_NHAN_SU'!$B79="","",IF($B79="","",IF(COUNTIF('DM_NHAN_SU'!$B$6:$B$155,$B79)&gt;1,"Trùng mã NV; ","")&amp;IF(OR($F79="",$G79=""),"Thiếu loại/hình thức lương; ","")&amp;IF('CHAM_CONG_THANG'!$D79="","Chưa chọn nguồn công; ","")&amp;IF(AND('CHAM_CONG_THANG'!$D79="Theo ngày",COUNTIF('CHAM_CONG_NGAY'!$B$6:$B$4655,$B79)=0),"Chưa có chấm công ngày; ","")&amp;IF(OR($I79&lt;=0,$J79&lt;=0),"Thiếu công/giờ chuẩn; ","")&amp;IF(AND($G79="Tháng",'DM_NHAN_SU'!$K79&lt;$BE79),"Lương tháng dưới tối thiểu vùng; ","")&amp;IF(AND($G79="Ngày",'DM_NHAN_SU'!$K79/$J79&lt;$BF79),"Lương ngày quy đổi dưới tối thiểu giờ; ","")&amp;IF(AND($G79="Giờ",'DM_NHAN_SU'!$K79&lt;$BF79),"Lương giờ dưới tối thiểu vùng; ","")&amp;IF(AND($G79="Sản phẩm",$L79&gt;0,$O79/$L79&lt;$BF79),"Lương SP quy đổi dưới tối thiểu giờ; ","")&amp;IF(OR('THAM_SO'!$C$19&lt;'THAM_SO'!$B$19,'THAM_SO'!$C$20&lt;'THAM_SO'!$B$20,'THAM_SO'!$C$21&lt;'THAM_SO'!$B$21,'THAM_SO'!$C$22&lt;'THAM_SO'!$B$22,'THAM_SO'!$C$23&lt;'THAM_SO'!$B$23,'THAM_SO'!$C$24&lt;'THAM_SO'!$B$24,'THAM_SO'!$C$25&lt;'THAM_SO'!$B$25),"Hệ số OT/đêm DN thấp hơn luật; ","")&amp;IF(AND('DM_NHAN_SU'!$R79="Có",$AD79&lt;=0),"Thiếu căn cứ đóng BH; ","")&amp;IF(AND($AD79&gt;0,$AD79&lt;'THAM_SO'!$M$6),"Căn cứ BH dưới sàn – đã nâng sàn; ","")&amp;IF($AD79&gt;'THAM_SO'!$M$7,"Căn cứ BH vượt trần – đã giới hạn; ","")&amp;IF(AND($F79="Net",SUM('CHAM_CONG_THANG'!$AF79:$AK79)&gt;0,'DM_NHAN_SU'!$Q79&lt;=0),"Net có OT nhưng chưa khai lương giờ OT; ","")&amp;IF('CHAM_CONG_THANG'!$V79&gt;$Z79,"Phần OT không miễn lớn hơn tiền OT; ","")&amp;IF(AND($F79="Net",ABS($AT79-$AC79-$AP79)&gt;1),"Lệch quy đổi Net; ","")&amp;IF(AND($BH79&gt;0,'DM_NHAN_SU'!$AD79=""),"Có phép năm nhưng đang tạm dùng 12 ngày; ","")&amp;IF(AND($G79="Sản phẩm",SUM($BH79:$BJ79)&gt;0,'DM_NHAN_SU'!$AH79&lt;=0),"Lương sản phẩm thiếu đơn giá ngày phép/lễ; ","")&amp;IF(AND($BL79&gt;=14,'CHAM_CONG_THANG'!$AA79&lt;&gt;"Có"),"Thai sản từ 14 ngày: file tự dừng đóng BH – kiểm tra hồ sơ; ","")&amp;IF(AND('DM_NHAN_SU'!$AA79="Có",'DM_NHAN_SU'!$AB79=""),"Đoàn viên chưa chọn cách tính đoàn phí; ","")&amp;IF(AND('DM_NHAN_SU'!$AB79="Nhập tay",'DM_NHAN_SU'!$AC79&gt;'THAM_SO'!$M$26),"Đoàn phí nhập tay vượt trần thông dụng; ","")&amp;IF('NGHI_PHEP'!$L79&lt;&gt;"","Phép: "&amp;'NGHI_PHEP'!$L79,"")&amp;IF('CHE_DO_BHXH'!$AA79&lt;&gt;"","BHXH: "&amp;'CHE_DO_BHXH'!$AA79,"")&amp;IF('THUONG_T13_TET'!$O79&lt;&gt;"","Thưởng: "&amp;'THUONG_T13_TET'!$O79,"")&amp;IF('QT_NGHI_VIEC'!$AF79&lt;&gt;"","Nghỉ việc: "&amp;'QT_NGHI_VIEC'!$AF79,"")&amp;IF($AX79&lt;0,"Thực lĩnh âm; ","")&amp;IF(OR('DM_NHAN_SU'!$F79&gt;'THAM_SO'!$B$7,AND('DM_NHAN_SU'!$G79&lt;&gt;"",'DM_NHAN_SU'!$G79&lt;'THAM_SO'!$B$6)),"Ngoài kỳ trả lương; ","")))</f>
        <v/>
      </c>
      <c r="BH79" s="232">
        <f>IF('DM_NHAN_SU'!$B79="","",'CHAM_CONG_THANG'!AR79)</f>
        <v/>
      </c>
      <c r="BI79" s="232">
        <f>IF('DM_NHAN_SU'!$B79="","",'CHAM_CONG_THANG'!AS79)</f>
        <v/>
      </c>
      <c r="BJ79" s="232">
        <f>IF('DM_NHAN_SU'!$B79="","",'CHAM_CONG_THANG'!AT79)</f>
        <v/>
      </c>
      <c r="BK79" s="232">
        <f>IF('DM_NHAN_SU'!$B79="","",'CHAM_CONG_THANG'!AU79)</f>
        <v/>
      </c>
      <c r="BL79" s="232">
        <f>IF('DM_NHAN_SU'!$B79="","",'CHAM_CONG_THANG'!AV79)</f>
        <v/>
      </c>
      <c r="BM79" s="232">
        <f>IF('DM_NHAN_SU'!$B79="","",'CHAM_CONG_THANG'!AW79)</f>
        <v/>
      </c>
      <c r="BN79" s="232">
        <f>IF('DM_NHAN_SU'!$B79="","",SUM($K79,$BH79:$BJ79))</f>
        <v/>
      </c>
      <c r="BO79" s="224">
        <f>IF('DM_NHAN_SU'!$B79="","",IF($B79="",0,IF($G79="Tháng",IF($I79&gt;0,'DM_NHAN_SU'!$K79*MIN($BH79+$BJ79,MAX($I79-$K79,0))/$I79,0),IF($G79="Ngày",'DM_NHAN_SU'!$K79*SUM($BH79:$BJ79),IF($G79="Giờ",'DM_NHAN_SU'!$K79*SUM($BH79:$BJ79)*$J79,IF($G79="Sản phẩm",'DM_NHAN_SU'!$AH79*SUM($BH79:$BJ79),0))))))</f>
        <v/>
      </c>
      <c r="BP79" s="224">
        <f>IF('DM_NHAN_SU'!$B79="","",IF('THUONG_T13_TET'!$L79="Có",'THUONG_T13_TET'!$I79,0))</f>
        <v/>
      </c>
      <c r="BQ79" s="224">
        <f>IF('DM_NHAN_SU'!$B79="","",IF('THUONG_T13_TET'!$L79="Có",SUM('THUONG_T13_TET'!$J79:$K79),0))</f>
        <v/>
      </c>
      <c r="BR79" s="224">
        <f>IF('DM_NHAN_SU'!$B79="","",'QT_NGHI_VIEC'!AC79)</f>
        <v/>
      </c>
      <c r="BS79" s="224">
        <f>IF('DM_NHAN_SU'!$B79="","",'QT_NGHI_VIEC'!AB79)</f>
        <v/>
      </c>
      <c r="BT79" s="224">
        <f>IF('DM_NHAN_SU'!$B79="","",IF('CHE_DO_BHXH'!$Z79="Có",'CHE_DO_BHXH'!$W79,0))</f>
        <v/>
      </c>
      <c r="BU79" s="224">
        <f>IF('DM_NHAN_SU'!$B79="","",IF('CHE_DO_BHXH'!$Y79="DN trả thay",$BT79,0))</f>
        <v/>
      </c>
      <c r="BV79" s="224">
        <f>IF('DM_NHAN_SU'!$B79="","",IF(OR('DM_NHAN_SU'!$AA79&lt;&gt;"Có",'CHE_DO_BHXH'!$O79&gt;=1,SUM('CHE_DO_BHXH'!$D79,'CHE_DO_BHXH'!$G79,'CHE_DO_BHXH'!$K79)&gt;=24,AND($I79&gt;0,$BM79&gt;=$I79)),0,IF('DM_NHAN_SU'!$AB79="Không",0,IF('DM_NHAN_SU'!$AB79="Nhập tay",'DM_NHAN_SU'!$AC79,IF('DM_NHAN_SU'!$AB79="Theo thực nhận",MIN(MAX($AT79-$AU79-$AV79-$AW79,0)*'THAM_SO'!$M$23,'THAM_SO'!$M$26),MIN($AE79*'THAM_SO'!$M$23,'THAM_SO'!$M$26))))))</f>
        <v/>
      </c>
      <c r="BW79" s="224">
        <f>IF('DM_NHAN_SU'!$B79="","",$AX79+$BU79)</f>
        <v/>
      </c>
    </row>
    <row r="80">
      <c r="A80" s="145">
        <f>IF('DM_NHAN_SU'!$B80="","",IF($B80="","",ROW()-5))</f>
        <v/>
      </c>
      <c r="B80" s="145">
        <f>IF('DM_NHAN_SU'!$B80="","",'DM_NHAN_SU'!B80)</f>
        <v/>
      </c>
      <c r="C80" s="145">
        <f>IF('DM_NHAN_SU'!$B80="","",'DM_NHAN_SU'!C80)</f>
        <v/>
      </c>
      <c r="D80" s="145">
        <f>IF('DM_NHAN_SU'!$B80="","",'DM_NHAN_SU'!D80)</f>
        <v/>
      </c>
      <c r="E80" s="145">
        <f>IF('DM_NHAN_SU'!$B80="","",'DM_NHAN_SU'!E80)</f>
        <v/>
      </c>
      <c r="F80" s="145">
        <f>IF('DM_NHAN_SU'!$B80="","",'DM_NHAN_SU'!I80)</f>
        <v/>
      </c>
      <c r="G80" s="145">
        <f>IF('DM_NHAN_SU'!$B80="","",'DM_NHAN_SU'!J80)</f>
        <v/>
      </c>
      <c r="H80" s="145">
        <f>IF('DM_NHAN_SU'!$B80="","",IF('DM_NHAN_SU'!H80="",'THAM_SO'!$B$11,'DM_NHAN_SU'!H80))</f>
        <v/>
      </c>
      <c r="I80" s="232">
        <f>IF('DM_NHAN_SU'!$B80="","",IF('DM_NHAN_SU'!L80&gt;0,'DM_NHAN_SU'!L80,'THAM_SO'!$B$9))</f>
        <v/>
      </c>
      <c r="J80" s="232">
        <f>IF('DM_NHAN_SU'!$B80="","",IF('DM_NHAN_SU'!M80&gt;0,'DM_NHAN_SU'!M80,'THAM_SO'!$B$10))</f>
        <v/>
      </c>
      <c r="K80" s="232">
        <f>IF('DM_NHAN_SU'!$B80="","",'CHAM_CONG_THANG'!AC80)</f>
        <v/>
      </c>
      <c r="L80" s="232">
        <f>IF('DM_NHAN_SU'!$B80="","",'CHAM_CONG_THANG'!AD80)</f>
        <v/>
      </c>
      <c r="M80" s="232">
        <f>IF('DM_NHAN_SU'!$B80="","",'CHAM_CONG_THANG'!AE80)</f>
        <v/>
      </c>
      <c r="N80" s="232">
        <f>IF('DM_NHAN_SU'!$B80="","",'CHAM_CONG_THANG'!N80)</f>
        <v/>
      </c>
      <c r="O80" s="224">
        <f>IF('DM_NHAN_SU'!$B80="","",IF($B80="","",IF($G80="Tháng",IF($I80&gt;0,'DM_NHAN_SU'!$K80*MIN($K80,$I80)/$I80,0),IF($G80="Ngày",'DM_NHAN_SU'!$K80*$K80,IF($G80="Giờ",'DM_NHAN_SU'!$K80*$L80,IF($G80="Sản phẩm",'DM_NHAN_SU'!$K80*$N80,0))))))</f>
        <v/>
      </c>
      <c r="P80" s="224">
        <f>IF('DM_NHAN_SU'!$B80="","",'CHAM_CONG_THANG'!O80)</f>
        <v/>
      </c>
      <c r="Q80" s="224">
        <f>IF('DM_NHAN_SU'!$B80="","",'CHAM_CONG_THANG'!P80)</f>
        <v/>
      </c>
      <c r="R80" s="224">
        <f>IF('DM_NHAN_SU'!$B80="","",'CHAM_CONG_THANG'!Q80)</f>
        <v/>
      </c>
      <c r="S80" s="224">
        <f>IF('DM_NHAN_SU'!$B80="","",'CHAM_CONG_THANG'!R80)</f>
        <v/>
      </c>
      <c r="T80" s="224">
        <f>IF('DM_NHAN_SU'!$B80="","",'CHAM_CONG_THANG'!S80)</f>
        <v/>
      </c>
      <c r="U80" s="224">
        <f>IF('DM_NHAN_SU'!$B80="","",MIN($T80,'THAM_SO'!$F$6))</f>
        <v/>
      </c>
      <c r="V80" s="224">
        <f>IF('DM_NHAN_SU'!$B80="","",MAX($T80-$U80,0))</f>
        <v/>
      </c>
      <c r="W80" s="224">
        <f>IF('DM_NHAN_SU'!$B80="","",'CHAM_CONG_THANG'!T80)</f>
        <v/>
      </c>
      <c r="X80" s="224">
        <f>IF('DM_NHAN_SU'!$B80="","",'CHAM_CONG_THANG'!U80)</f>
        <v/>
      </c>
      <c r="Y80" s="224">
        <f>IF('DM_NHAN_SU'!$B80="","",IF($B80="",0,IF('DM_NHAN_SU'!$Q80&gt;0,'DM_NHAN_SU'!$Q80,IF($G80="Tháng",IF($I80*$J80&gt;0,'DM_NHAN_SU'!$K80/($I80*$J80),0),IF($G80="Ngày",IF($J80&gt;0,'DM_NHAN_SU'!$K80/$J80,0),IF($G80="Giờ",'DM_NHAN_SU'!$K80,0))))))</f>
        <v/>
      </c>
      <c r="Z80" s="224">
        <f>IF('DM_NHAN_SU'!$B80="","",$Y80*($M80*'THAM_SO'!$C$22+'CHAM_CONG_THANG'!$AF80*'THAM_SO'!$C$19+'CHAM_CONG_THANG'!$AG80*'THAM_SO'!$C$20+'CHAM_CONG_THANG'!$AH80*'THAM_SO'!$C$21+'CHAM_CONG_THANG'!$AI80*'THAM_SO'!$C$23+'CHAM_CONG_THANG'!$AJ80*'THAM_SO'!$C$24+'CHAM_CONG_THANG'!$AK80*'THAM_SO'!$C$25))</f>
        <v/>
      </c>
      <c r="AA80" s="224">
        <f>IF('DM_NHAN_SU'!$B80="","",MAX(0,$Y80*($M80*IF('THAM_SO'!$C$22&gt;='THAM_SO'!$B$22,'THAM_SO'!$B$22,0)+'CHAM_CONG_THANG'!$AF80*IF('THAM_SO'!$C$19&gt;='THAM_SO'!$B$19,'THAM_SO'!$B$19,0)+'CHAM_CONG_THANG'!$AG80*IF('THAM_SO'!$C$20&gt;='THAM_SO'!$B$20,'THAM_SO'!$B$20,0)+'CHAM_CONG_THANG'!$AH80*IF('THAM_SO'!$C$21&gt;='THAM_SO'!$B$21,'THAM_SO'!$B$21,0)+'CHAM_CONG_THANG'!$AI80*IF('THAM_SO'!$C$23&gt;='THAM_SO'!$B$23,'THAM_SO'!$B$23,0)+'CHAM_CONG_THANG'!$AJ80*IF('THAM_SO'!$C$24&gt;='THAM_SO'!$B$24,'THAM_SO'!$B$24,0)+'CHAM_CONG_THANG'!$AK80*IF('THAM_SO'!$C$25&gt;='THAM_SO'!$B$25,'THAM_SO'!$B$25,0))-'CHAM_CONG_THANG'!$V80))</f>
        <v/>
      </c>
      <c r="AB80" s="224">
        <f>IF('DM_NHAN_SU'!$B80="","",MAX($Z80-$AA80,0))</f>
        <v/>
      </c>
      <c r="AC80" s="224">
        <f>IF('DM_NHAN_SU'!$B80="","",$O80+$P80+$Q80+$R80+$S80+$V80+$AB80+$BO80+$BP80+$BQ80+$BR80)</f>
        <v/>
      </c>
      <c r="AD80" s="224">
        <f>IF('DM_NHAN_SU'!$B80="","",'DM_NHAN_SU'!N80+'DM_NHAN_SU'!O80+'DM_NHAN_SU'!P80)</f>
        <v/>
      </c>
      <c r="AE80" s="224">
        <f>IF('DM_NHAN_SU'!$B80="","",IF(OR('DM_NHAN_SU'!$R80&lt;&gt;"Có",'CHAM_CONG_THANG'!$AA80="Có",$BL80&gt;=14,$AD80&lt;=0),0,MIN(MAX($AD80,'THAM_SO'!$M$6),'THAM_SO'!$M$7)))</f>
        <v/>
      </c>
      <c r="AF80" s="224">
        <f>IF('DM_NHAN_SU'!$B80="","",IF(OR('DM_NHAN_SU'!$S80&lt;&gt;"Có",'CHAM_CONG_THANG'!$AA80="Có",$BL80&gt;=14,$AD80&lt;=0),0,MIN(MAX($AD80,VLOOKUP($H80,'THAM_SO'!$L$17:$P$20,4,FALSE)),VLOOKUP($H80,'THAM_SO'!$L$17:$P$20,5,FALSE))))</f>
        <v/>
      </c>
      <c r="AG80" s="224">
        <f>IF('DM_NHAN_SU'!$B80="","",$AE80*'THAM_SO'!$M$8)</f>
        <v/>
      </c>
      <c r="AH80" s="224">
        <f>IF('DM_NHAN_SU'!$B80="","",$AE80*'THAM_SO'!$M$9)</f>
        <v/>
      </c>
      <c r="AI80" s="224">
        <f>IF('DM_NHAN_SU'!$B80="","",$AF80*'THAM_SO'!$M$10)</f>
        <v/>
      </c>
      <c r="AJ80" s="224">
        <f>IF('DM_NHAN_SU'!$B80="","",SUM($AG80:$AI80))</f>
        <v/>
      </c>
      <c r="AK80" s="224">
        <f>IF('DM_NHAN_SU'!$B80="","",IF($B80="",0,'THAM_SO'!$F$4))</f>
        <v/>
      </c>
      <c r="AL80" s="224">
        <f>IF('DM_NHAN_SU'!$B80="","",IF($B80="",0,'DM_NHAN_SU'!$T80*'THAM_SO'!$F$5))</f>
        <v/>
      </c>
      <c r="AM80" s="224">
        <f>IF('DM_NHAN_SU'!$B80="","",'CHAM_CONG_THANG'!W80)</f>
        <v/>
      </c>
      <c r="AN80" s="224">
        <f>IF('DM_NHAN_SU'!$B80="","",MAX($AC80-$AK80-$AL80-$AM80,0))</f>
        <v/>
      </c>
      <c r="AO80" s="224">
        <f>IF('DM_NHAN_SU'!$B80="","",IF($B80="","",IF($F80="Net",IF($AC80&lt;=$AK80+$AL80+$AM80,$AC80+$AJ80,$AJ80+$AK80+$AL80+$AM80+IF($AN80&lt;='THAM_SO'!$J$10,($AN80-'THAM_SO'!$I$10)/(1-'THAM_SO'!$H$10),IF($AN80&lt;='THAM_SO'!$J$11,($AN80-'THAM_SO'!$I$11)/(1-'THAM_SO'!$H$11),IF($AN80&lt;='THAM_SO'!$J$12,($AN80-'THAM_SO'!$I$12)/(1-'THAM_SO'!$H$12),IF($AN80&lt;='THAM_SO'!$J$13,($AN80-'THAM_SO'!$I$13)/(1-'THAM_SO'!$H$13),($AN80-'THAM_SO'!$I$14)/(1-'THAM_SO'!$H$14)))))),$AC80)))</f>
        <v/>
      </c>
      <c r="AP80" s="224">
        <f>IF('DM_NHAN_SU'!$B80="","",$U80+$W80+$X80+$AA80+$BS80)</f>
        <v/>
      </c>
      <c r="AQ80" s="224">
        <f>IF('DM_NHAN_SU'!$B80="","",MAX($AO80-$AJ80-$AK80-$AL80-$AM80,0))</f>
        <v/>
      </c>
      <c r="AR80" s="224">
        <f>IF('DM_NHAN_SU'!$B80="","",IF($AQ80&lt;=0,0,$AQ80*VLOOKUP($AQ80,'THAM_SO'!$F$10:$I$14,3,TRUE)-VLOOKUP($AQ80,'THAM_SO'!$F$10:$I$14,4,TRUE)))</f>
        <v/>
      </c>
      <c r="AS80" s="224">
        <f>IF('DM_NHAN_SU'!$B80="","",$AO80+$AP80)</f>
        <v/>
      </c>
      <c r="AT80" s="224">
        <f>IF('DM_NHAN_SU'!$B80="","",$AS80-$AJ80-$AR80)</f>
        <v/>
      </c>
      <c r="AU80" s="224">
        <f>IF('DM_NHAN_SU'!$B80="","",'CHAM_CONG_THANG'!X80)</f>
        <v/>
      </c>
      <c r="AV80" s="224">
        <f>IF('DM_NHAN_SU'!$B80="","",'CHAM_CONG_THANG'!Y80+'QT_NGHI_VIEC'!AD80)</f>
        <v/>
      </c>
      <c r="AW80" s="224">
        <f>IF('DM_NHAN_SU'!$B80="","",'CHAM_CONG_THANG'!Z80)</f>
        <v/>
      </c>
      <c r="AX80" s="224">
        <f>IF('DM_NHAN_SU'!$B80="","",$AT80-$AU80-$AV80-$AW80-$BV80)</f>
        <v/>
      </c>
      <c r="AY80" s="224">
        <f>IF('DM_NHAN_SU'!$B80="","",$AE80*'THAM_SO'!$M$11)</f>
        <v/>
      </c>
      <c r="AZ80" s="224">
        <f>IF('DM_NHAN_SU'!$B80="","",$AE80*'THAM_SO'!$M$12)</f>
        <v/>
      </c>
      <c r="BA80" s="224">
        <f>IF('DM_NHAN_SU'!$B80="","",$AF80*'THAM_SO'!$M$13)</f>
        <v/>
      </c>
      <c r="BB80" s="224">
        <f>IF('DM_NHAN_SU'!$B80="","",$AE80*'THAM_SO'!$M$14)</f>
        <v/>
      </c>
      <c r="BC80" s="224">
        <f>IF('DM_NHAN_SU'!$B80="","",SUM($AY80:$BB80))</f>
        <v/>
      </c>
      <c r="BD80" s="224">
        <f>IF('DM_NHAN_SU'!$B80="","",$AS80+$BC80)</f>
        <v/>
      </c>
      <c r="BE80" s="224">
        <f>IF('DM_NHAN_SU'!$B80="","",VLOOKUP($H80,'THAM_SO'!$L$17:$P$20,2,FALSE))</f>
        <v/>
      </c>
      <c r="BF80" s="224">
        <f>IF('DM_NHAN_SU'!$B80="","",VLOOKUP($H80,'THAM_SO'!$L$17:$P$20,3,FALSE))</f>
        <v/>
      </c>
      <c r="BG80" s="150">
        <f>IF('DM_NHAN_SU'!$B80="","",IF($B80="","",IF(COUNTIF('DM_NHAN_SU'!$B$6:$B$155,$B80)&gt;1,"Trùng mã NV; ","")&amp;IF(OR($F80="",$G80=""),"Thiếu loại/hình thức lương; ","")&amp;IF('CHAM_CONG_THANG'!$D80="","Chưa chọn nguồn công; ","")&amp;IF(AND('CHAM_CONG_THANG'!$D80="Theo ngày",COUNTIF('CHAM_CONG_NGAY'!$B$6:$B$4655,$B80)=0),"Chưa có chấm công ngày; ","")&amp;IF(OR($I80&lt;=0,$J80&lt;=0),"Thiếu công/giờ chuẩn; ","")&amp;IF(AND($G80="Tháng",'DM_NHAN_SU'!$K80&lt;$BE80),"Lương tháng dưới tối thiểu vùng; ","")&amp;IF(AND($G80="Ngày",'DM_NHAN_SU'!$K80/$J80&lt;$BF80),"Lương ngày quy đổi dưới tối thiểu giờ; ","")&amp;IF(AND($G80="Giờ",'DM_NHAN_SU'!$K80&lt;$BF80),"Lương giờ dưới tối thiểu vùng; ","")&amp;IF(AND($G80="Sản phẩm",$L80&gt;0,$O80/$L80&lt;$BF80),"Lương SP quy đổi dưới tối thiểu giờ; ","")&amp;IF(OR('THAM_SO'!$C$19&lt;'THAM_SO'!$B$19,'THAM_SO'!$C$20&lt;'THAM_SO'!$B$20,'THAM_SO'!$C$21&lt;'THAM_SO'!$B$21,'THAM_SO'!$C$22&lt;'THAM_SO'!$B$22,'THAM_SO'!$C$23&lt;'THAM_SO'!$B$23,'THAM_SO'!$C$24&lt;'THAM_SO'!$B$24,'THAM_SO'!$C$25&lt;'THAM_SO'!$B$25),"Hệ số OT/đêm DN thấp hơn luật; ","")&amp;IF(AND('DM_NHAN_SU'!$R80="Có",$AD80&lt;=0),"Thiếu căn cứ đóng BH; ","")&amp;IF(AND($AD80&gt;0,$AD80&lt;'THAM_SO'!$M$6),"Căn cứ BH dưới sàn – đã nâng sàn; ","")&amp;IF($AD80&gt;'THAM_SO'!$M$7,"Căn cứ BH vượt trần – đã giới hạn; ","")&amp;IF(AND($F80="Net",SUM('CHAM_CONG_THANG'!$AF80:$AK80)&gt;0,'DM_NHAN_SU'!$Q80&lt;=0),"Net có OT nhưng chưa khai lương giờ OT; ","")&amp;IF('CHAM_CONG_THANG'!$V80&gt;$Z80,"Phần OT không miễn lớn hơn tiền OT; ","")&amp;IF(AND($F80="Net",ABS($AT80-$AC80-$AP80)&gt;1),"Lệch quy đổi Net; ","")&amp;IF(AND($BH80&gt;0,'DM_NHAN_SU'!$AD80=""),"Có phép năm nhưng đang tạm dùng 12 ngày; ","")&amp;IF(AND($G80="Sản phẩm",SUM($BH80:$BJ80)&gt;0,'DM_NHAN_SU'!$AH80&lt;=0),"Lương sản phẩm thiếu đơn giá ngày phép/lễ; ","")&amp;IF(AND($BL80&gt;=14,'CHAM_CONG_THANG'!$AA80&lt;&gt;"Có"),"Thai sản từ 14 ngày: file tự dừng đóng BH – kiểm tra hồ sơ; ","")&amp;IF(AND('DM_NHAN_SU'!$AA80="Có",'DM_NHAN_SU'!$AB80=""),"Đoàn viên chưa chọn cách tính đoàn phí; ","")&amp;IF(AND('DM_NHAN_SU'!$AB80="Nhập tay",'DM_NHAN_SU'!$AC80&gt;'THAM_SO'!$M$26),"Đoàn phí nhập tay vượt trần thông dụng; ","")&amp;IF('NGHI_PHEP'!$L80&lt;&gt;"","Phép: "&amp;'NGHI_PHEP'!$L80,"")&amp;IF('CHE_DO_BHXH'!$AA80&lt;&gt;"","BHXH: "&amp;'CHE_DO_BHXH'!$AA80,"")&amp;IF('THUONG_T13_TET'!$O80&lt;&gt;"","Thưởng: "&amp;'THUONG_T13_TET'!$O80,"")&amp;IF('QT_NGHI_VIEC'!$AF80&lt;&gt;"","Nghỉ việc: "&amp;'QT_NGHI_VIEC'!$AF80,"")&amp;IF($AX80&lt;0,"Thực lĩnh âm; ","")&amp;IF(OR('DM_NHAN_SU'!$F80&gt;'THAM_SO'!$B$7,AND('DM_NHAN_SU'!$G80&lt;&gt;"",'DM_NHAN_SU'!$G80&lt;'THAM_SO'!$B$6)),"Ngoài kỳ trả lương; ","")))</f>
        <v/>
      </c>
      <c r="BH80" s="232">
        <f>IF('DM_NHAN_SU'!$B80="","",'CHAM_CONG_THANG'!AR80)</f>
        <v/>
      </c>
      <c r="BI80" s="232">
        <f>IF('DM_NHAN_SU'!$B80="","",'CHAM_CONG_THANG'!AS80)</f>
        <v/>
      </c>
      <c r="BJ80" s="232">
        <f>IF('DM_NHAN_SU'!$B80="","",'CHAM_CONG_THANG'!AT80)</f>
        <v/>
      </c>
      <c r="BK80" s="232">
        <f>IF('DM_NHAN_SU'!$B80="","",'CHAM_CONG_THANG'!AU80)</f>
        <v/>
      </c>
      <c r="BL80" s="232">
        <f>IF('DM_NHAN_SU'!$B80="","",'CHAM_CONG_THANG'!AV80)</f>
        <v/>
      </c>
      <c r="BM80" s="232">
        <f>IF('DM_NHAN_SU'!$B80="","",'CHAM_CONG_THANG'!AW80)</f>
        <v/>
      </c>
      <c r="BN80" s="232">
        <f>IF('DM_NHAN_SU'!$B80="","",SUM($K80,$BH80:$BJ80))</f>
        <v/>
      </c>
      <c r="BO80" s="224">
        <f>IF('DM_NHAN_SU'!$B80="","",IF($B80="",0,IF($G80="Tháng",IF($I80&gt;0,'DM_NHAN_SU'!$K80*MIN($BH80+$BJ80,MAX($I80-$K80,0))/$I80,0),IF($G80="Ngày",'DM_NHAN_SU'!$K80*SUM($BH80:$BJ80),IF($G80="Giờ",'DM_NHAN_SU'!$K80*SUM($BH80:$BJ80)*$J80,IF($G80="Sản phẩm",'DM_NHAN_SU'!$AH80*SUM($BH80:$BJ80),0))))))</f>
        <v/>
      </c>
      <c r="BP80" s="224">
        <f>IF('DM_NHAN_SU'!$B80="","",IF('THUONG_T13_TET'!$L80="Có",'THUONG_T13_TET'!$I80,0))</f>
        <v/>
      </c>
      <c r="BQ80" s="224">
        <f>IF('DM_NHAN_SU'!$B80="","",IF('THUONG_T13_TET'!$L80="Có",SUM('THUONG_T13_TET'!$J80:$K80),0))</f>
        <v/>
      </c>
      <c r="BR80" s="224">
        <f>IF('DM_NHAN_SU'!$B80="","",'QT_NGHI_VIEC'!AC80)</f>
        <v/>
      </c>
      <c r="BS80" s="224">
        <f>IF('DM_NHAN_SU'!$B80="","",'QT_NGHI_VIEC'!AB80)</f>
        <v/>
      </c>
      <c r="BT80" s="224">
        <f>IF('DM_NHAN_SU'!$B80="","",IF('CHE_DO_BHXH'!$Z80="Có",'CHE_DO_BHXH'!$W80,0))</f>
        <v/>
      </c>
      <c r="BU80" s="224">
        <f>IF('DM_NHAN_SU'!$B80="","",IF('CHE_DO_BHXH'!$Y80="DN trả thay",$BT80,0))</f>
        <v/>
      </c>
      <c r="BV80" s="224">
        <f>IF('DM_NHAN_SU'!$B80="","",IF(OR('DM_NHAN_SU'!$AA80&lt;&gt;"Có",'CHE_DO_BHXH'!$O80&gt;=1,SUM('CHE_DO_BHXH'!$D80,'CHE_DO_BHXH'!$G80,'CHE_DO_BHXH'!$K80)&gt;=24,AND($I80&gt;0,$BM80&gt;=$I80)),0,IF('DM_NHAN_SU'!$AB80="Không",0,IF('DM_NHAN_SU'!$AB80="Nhập tay",'DM_NHAN_SU'!$AC80,IF('DM_NHAN_SU'!$AB80="Theo thực nhận",MIN(MAX($AT80-$AU80-$AV80-$AW80,0)*'THAM_SO'!$M$23,'THAM_SO'!$M$26),MIN($AE80*'THAM_SO'!$M$23,'THAM_SO'!$M$26))))))</f>
        <v/>
      </c>
      <c r="BW80" s="224">
        <f>IF('DM_NHAN_SU'!$B80="","",$AX80+$BU80)</f>
        <v/>
      </c>
    </row>
    <row r="81">
      <c r="A81" s="145">
        <f>IF('DM_NHAN_SU'!$B81="","",IF($B81="","",ROW()-5))</f>
        <v/>
      </c>
      <c r="B81" s="145">
        <f>IF('DM_NHAN_SU'!$B81="","",'DM_NHAN_SU'!B81)</f>
        <v/>
      </c>
      <c r="C81" s="145">
        <f>IF('DM_NHAN_SU'!$B81="","",'DM_NHAN_SU'!C81)</f>
        <v/>
      </c>
      <c r="D81" s="145">
        <f>IF('DM_NHAN_SU'!$B81="","",'DM_NHAN_SU'!D81)</f>
        <v/>
      </c>
      <c r="E81" s="145">
        <f>IF('DM_NHAN_SU'!$B81="","",'DM_NHAN_SU'!E81)</f>
        <v/>
      </c>
      <c r="F81" s="145">
        <f>IF('DM_NHAN_SU'!$B81="","",'DM_NHAN_SU'!I81)</f>
        <v/>
      </c>
      <c r="G81" s="145">
        <f>IF('DM_NHAN_SU'!$B81="","",'DM_NHAN_SU'!J81)</f>
        <v/>
      </c>
      <c r="H81" s="145">
        <f>IF('DM_NHAN_SU'!$B81="","",IF('DM_NHAN_SU'!H81="",'THAM_SO'!$B$11,'DM_NHAN_SU'!H81))</f>
        <v/>
      </c>
      <c r="I81" s="232">
        <f>IF('DM_NHAN_SU'!$B81="","",IF('DM_NHAN_SU'!L81&gt;0,'DM_NHAN_SU'!L81,'THAM_SO'!$B$9))</f>
        <v/>
      </c>
      <c r="J81" s="232">
        <f>IF('DM_NHAN_SU'!$B81="","",IF('DM_NHAN_SU'!M81&gt;0,'DM_NHAN_SU'!M81,'THAM_SO'!$B$10))</f>
        <v/>
      </c>
      <c r="K81" s="232">
        <f>IF('DM_NHAN_SU'!$B81="","",'CHAM_CONG_THANG'!AC81)</f>
        <v/>
      </c>
      <c r="L81" s="232">
        <f>IF('DM_NHAN_SU'!$B81="","",'CHAM_CONG_THANG'!AD81)</f>
        <v/>
      </c>
      <c r="M81" s="232">
        <f>IF('DM_NHAN_SU'!$B81="","",'CHAM_CONG_THANG'!AE81)</f>
        <v/>
      </c>
      <c r="N81" s="232">
        <f>IF('DM_NHAN_SU'!$B81="","",'CHAM_CONG_THANG'!N81)</f>
        <v/>
      </c>
      <c r="O81" s="224">
        <f>IF('DM_NHAN_SU'!$B81="","",IF($B81="","",IF($G81="Tháng",IF($I81&gt;0,'DM_NHAN_SU'!$K81*MIN($K81,$I81)/$I81,0),IF($G81="Ngày",'DM_NHAN_SU'!$K81*$K81,IF($G81="Giờ",'DM_NHAN_SU'!$K81*$L81,IF($G81="Sản phẩm",'DM_NHAN_SU'!$K81*$N81,0))))))</f>
        <v/>
      </c>
      <c r="P81" s="224">
        <f>IF('DM_NHAN_SU'!$B81="","",'CHAM_CONG_THANG'!O81)</f>
        <v/>
      </c>
      <c r="Q81" s="224">
        <f>IF('DM_NHAN_SU'!$B81="","",'CHAM_CONG_THANG'!P81)</f>
        <v/>
      </c>
      <c r="R81" s="224">
        <f>IF('DM_NHAN_SU'!$B81="","",'CHAM_CONG_THANG'!Q81)</f>
        <v/>
      </c>
      <c r="S81" s="224">
        <f>IF('DM_NHAN_SU'!$B81="","",'CHAM_CONG_THANG'!R81)</f>
        <v/>
      </c>
      <c r="T81" s="224">
        <f>IF('DM_NHAN_SU'!$B81="","",'CHAM_CONG_THANG'!S81)</f>
        <v/>
      </c>
      <c r="U81" s="224">
        <f>IF('DM_NHAN_SU'!$B81="","",MIN($T81,'THAM_SO'!$F$6))</f>
        <v/>
      </c>
      <c r="V81" s="224">
        <f>IF('DM_NHAN_SU'!$B81="","",MAX($T81-$U81,0))</f>
        <v/>
      </c>
      <c r="W81" s="224">
        <f>IF('DM_NHAN_SU'!$B81="","",'CHAM_CONG_THANG'!T81)</f>
        <v/>
      </c>
      <c r="X81" s="224">
        <f>IF('DM_NHAN_SU'!$B81="","",'CHAM_CONG_THANG'!U81)</f>
        <v/>
      </c>
      <c r="Y81" s="224">
        <f>IF('DM_NHAN_SU'!$B81="","",IF($B81="",0,IF('DM_NHAN_SU'!$Q81&gt;0,'DM_NHAN_SU'!$Q81,IF($G81="Tháng",IF($I81*$J81&gt;0,'DM_NHAN_SU'!$K81/($I81*$J81),0),IF($G81="Ngày",IF($J81&gt;0,'DM_NHAN_SU'!$K81/$J81,0),IF($G81="Giờ",'DM_NHAN_SU'!$K81,0))))))</f>
        <v/>
      </c>
      <c r="Z81" s="224">
        <f>IF('DM_NHAN_SU'!$B81="","",$Y81*($M81*'THAM_SO'!$C$22+'CHAM_CONG_THANG'!$AF81*'THAM_SO'!$C$19+'CHAM_CONG_THANG'!$AG81*'THAM_SO'!$C$20+'CHAM_CONG_THANG'!$AH81*'THAM_SO'!$C$21+'CHAM_CONG_THANG'!$AI81*'THAM_SO'!$C$23+'CHAM_CONG_THANG'!$AJ81*'THAM_SO'!$C$24+'CHAM_CONG_THANG'!$AK81*'THAM_SO'!$C$25))</f>
        <v/>
      </c>
      <c r="AA81" s="224">
        <f>IF('DM_NHAN_SU'!$B81="","",MAX(0,$Y81*($M81*IF('THAM_SO'!$C$22&gt;='THAM_SO'!$B$22,'THAM_SO'!$B$22,0)+'CHAM_CONG_THANG'!$AF81*IF('THAM_SO'!$C$19&gt;='THAM_SO'!$B$19,'THAM_SO'!$B$19,0)+'CHAM_CONG_THANG'!$AG81*IF('THAM_SO'!$C$20&gt;='THAM_SO'!$B$20,'THAM_SO'!$B$20,0)+'CHAM_CONG_THANG'!$AH81*IF('THAM_SO'!$C$21&gt;='THAM_SO'!$B$21,'THAM_SO'!$B$21,0)+'CHAM_CONG_THANG'!$AI81*IF('THAM_SO'!$C$23&gt;='THAM_SO'!$B$23,'THAM_SO'!$B$23,0)+'CHAM_CONG_THANG'!$AJ81*IF('THAM_SO'!$C$24&gt;='THAM_SO'!$B$24,'THAM_SO'!$B$24,0)+'CHAM_CONG_THANG'!$AK81*IF('THAM_SO'!$C$25&gt;='THAM_SO'!$B$25,'THAM_SO'!$B$25,0))-'CHAM_CONG_THANG'!$V81))</f>
        <v/>
      </c>
      <c r="AB81" s="224">
        <f>IF('DM_NHAN_SU'!$B81="","",MAX($Z81-$AA81,0))</f>
        <v/>
      </c>
      <c r="AC81" s="224">
        <f>IF('DM_NHAN_SU'!$B81="","",$O81+$P81+$Q81+$R81+$S81+$V81+$AB81+$BO81+$BP81+$BQ81+$BR81)</f>
        <v/>
      </c>
      <c r="AD81" s="224">
        <f>IF('DM_NHAN_SU'!$B81="","",'DM_NHAN_SU'!N81+'DM_NHAN_SU'!O81+'DM_NHAN_SU'!P81)</f>
        <v/>
      </c>
      <c r="AE81" s="224">
        <f>IF('DM_NHAN_SU'!$B81="","",IF(OR('DM_NHAN_SU'!$R81&lt;&gt;"Có",'CHAM_CONG_THANG'!$AA81="Có",$BL81&gt;=14,$AD81&lt;=0),0,MIN(MAX($AD81,'THAM_SO'!$M$6),'THAM_SO'!$M$7)))</f>
        <v/>
      </c>
      <c r="AF81" s="224">
        <f>IF('DM_NHAN_SU'!$B81="","",IF(OR('DM_NHAN_SU'!$S81&lt;&gt;"Có",'CHAM_CONG_THANG'!$AA81="Có",$BL81&gt;=14,$AD81&lt;=0),0,MIN(MAX($AD81,VLOOKUP($H81,'THAM_SO'!$L$17:$P$20,4,FALSE)),VLOOKUP($H81,'THAM_SO'!$L$17:$P$20,5,FALSE))))</f>
        <v/>
      </c>
      <c r="AG81" s="224">
        <f>IF('DM_NHAN_SU'!$B81="","",$AE81*'THAM_SO'!$M$8)</f>
        <v/>
      </c>
      <c r="AH81" s="224">
        <f>IF('DM_NHAN_SU'!$B81="","",$AE81*'THAM_SO'!$M$9)</f>
        <v/>
      </c>
      <c r="AI81" s="224">
        <f>IF('DM_NHAN_SU'!$B81="","",$AF81*'THAM_SO'!$M$10)</f>
        <v/>
      </c>
      <c r="AJ81" s="224">
        <f>IF('DM_NHAN_SU'!$B81="","",SUM($AG81:$AI81))</f>
        <v/>
      </c>
      <c r="AK81" s="224">
        <f>IF('DM_NHAN_SU'!$B81="","",IF($B81="",0,'THAM_SO'!$F$4))</f>
        <v/>
      </c>
      <c r="AL81" s="224">
        <f>IF('DM_NHAN_SU'!$B81="","",IF($B81="",0,'DM_NHAN_SU'!$T81*'THAM_SO'!$F$5))</f>
        <v/>
      </c>
      <c r="AM81" s="224">
        <f>IF('DM_NHAN_SU'!$B81="","",'CHAM_CONG_THANG'!W81)</f>
        <v/>
      </c>
      <c r="AN81" s="224">
        <f>IF('DM_NHAN_SU'!$B81="","",MAX($AC81-$AK81-$AL81-$AM81,0))</f>
        <v/>
      </c>
      <c r="AO81" s="224">
        <f>IF('DM_NHAN_SU'!$B81="","",IF($B81="","",IF($F81="Net",IF($AC81&lt;=$AK81+$AL81+$AM81,$AC81+$AJ81,$AJ81+$AK81+$AL81+$AM81+IF($AN81&lt;='THAM_SO'!$J$10,($AN81-'THAM_SO'!$I$10)/(1-'THAM_SO'!$H$10),IF($AN81&lt;='THAM_SO'!$J$11,($AN81-'THAM_SO'!$I$11)/(1-'THAM_SO'!$H$11),IF($AN81&lt;='THAM_SO'!$J$12,($AN81-'THAM_SO'!$I$12)/(1-'THAM_SO'!$H$12),IF($AN81&lt;='THAM_SO'!$J$13,($AN81-'THAM_SO'!$I$13)/(1-'THAM_SO'!$H$13),($AN81-'THAM_SO'!$I$14)/(1-'THAM_SO'!$H$14)))))),$AC81)))</f>
        <v/>
      </c>
      <c r="AP81" s="224">
        <f>IF('DM_NHAN_SU'!$B81="","",$U81+$W81+$X81+$AA81+$BS81)</f>
        <v/>
      </c>
      <c r="AQ81" s="224">
        <f>IF('DM_NHAN_SU'!$B81="","",MAX($AO81-$AJ81-$AK81-$AL81-$AM81,0))</f>
        <v/>
      </c>
      <c r="AR81" s="224">
        <f>IF('DM_NHAN_SU'!$B81="","",IF($AQ81&lt;=0,0,$AQ81*VLOOKUP($AQ81,'THAM_SO'!$F$10:$I$14,3,TRUE)-VLOOKUP($AQ81,'THAM_SO'!$F$10:$I$14,4,TRUE)))</f>
        <v/>
      </c>
      <c r="AS81" s="224">
        <f>IF('DM_NHAN_SU'!$B81="","",$AO81+$AP81)</f>
        <v/>
      </c>
      <c r="AT81" s="224">
        <f>IF('DM_NHAN_SU'!$B81="","",$AS81-$AJ81-$AR81)</f>
        <v/>
      </c>
      <c r="AU81" s="224">
        <f>IF('DM_NHAN_SU'!$B81="","",'CHAM_CONG_THANG'!X81)</f>
        <v/>
      </c>
      <c r="AV81" s="224">
        <f>IF('DM_NHAN_SU'!$B81="","",'CHAM_CONG_THANG'!Y81+'QT_NGHI_VIEC'!AD81)</f>
        <v/>
      </c>
      <c r="AW81" s="224">
        <f>IF('DM_NHAN_SU'!$B81="","",'CHAM_CONG_THANG'!Z81)</f>
        <v/>
      </c>
      <c r="AX81" s="224">
        <f>IF('DM_NHAN_SU'!$B81="","",$AT81-$AU81-$AV81-$AW81-$BV81)</f>
        <v/>
      </c>
      <c r="AY81" s="224">
        <f>IF('DM_NHAN_SU'!$B81="","",$AE81*'THAM_SO'!$M$11)</f>
        <v/>
      </c>
      <c r="AZ81" s="224">
        <f>IF('DM_NHAN_SU'!$B81="","",$AE81*'THAM_SO'!$M$12)</f>
        <v/>
      </c>
      <c r="BA81" s="224">
        <f>IF('DM_NHAN_SU'!$B81="","",$AF81*'THAM_SO'!$M$13)</f>
        <v/>
      </c>
      <c r="BB81" s="224">
        <f>IF('DM_NHAN_SU'!$B81="","",$AE81*'THAM_SO'!$M$14)</f>
        <v/>
      </c>
      <c r="BC81" s="224">
        <f>IF('DM_NHAN_SU'!$B81="","",SUM($AY81:$BB81))</f>
        <v/>
      </c>
      <c r="BD81" s="224">
        <f>IF('DM_NHAN_SU'!$B81="","",$AS81+$BC81)</f>
        <v/>
      </c>
      <c r="BE81" s="224">
        <f>IF('DM_NHAN_SU'!$B81="","",VLOOKUP($H81,'THAM_SO'!$L$17:$P$20,2,FALSE))</f>
        <v/>
      </c>
      <c r="BF81" s="224">
        <f>IF('DM_NHAN_SU'!$B81="","",VLOOKUP($H81,'THAM_SO'!$L$17:$P$20,3,FALSE))</f>
        <v/>
      </c>
      <c r="BG81" s="150">
        <f>IF('DM_NHAN_SU'!$B81="","",IF($B81="","",IF(COUNTIF('DM_NHAN_SU'!$B$6:$B$155,$B81)&gt;1,"Trùng mã NV; ","")&amp;IF(OR($F81="",$G81=""),"Thiếu loại/hình thức lương; ","")&amp;IF('CHAM_CONG_THANG'!$D81="","Chưa chọn nguồn công; ","")&amp;IF(AND('CHAM_CONG_THANG'!$D81="Theo ngày",COUNTIF('CHAM_CONG_NGAY'!$B$6:$B$4655,$B81)=0),"Chưa có chấm công ngày; ","")&amp;IF(OR($I81&lt;=0,$J81&lt;=0),"Thiếu công/giờ chuẩn; ","")&amp;IF(AND($G81="Tháng",'DM_NHAN_SU'!$K81&lt;$BE81),"Lương tháng dưới tối thiểu vùng; ","")&amp;IF(AND($G81="Ngày",'DM_NHAN_SU'!$K81/$J81&lt;$BF81),"Lương ngày quy đổi dưới tối thiểu giờ; ","")&amp;IF(AND($G81="Giờ",'DM_NHAN_SU'!$K81&lt;$BF81),"Lương giờ dưới tối thiểu vùng; ","")&amp;IF(AND($G81="Sản phẩm",$L81&gt;0,$O81/$L81&lt;$BF81),"Lương SP quy đổi dưới tối thiểu giờ; ","")&amp;IF(OR('THAM_SO'!$C$19&lt;'THAM_SO'!$B$19,'THAM_SO'!$C$20&lt;'THAM_SO'!$B$20,'THAM_SO'!$C$21&lt;'THAM_SO'!$B$21,'THAM_SO'!$C$22&lt;'THAM_SO'!$B$22,'THAM_SO'!$C$23&lt;'THAM_SO'!$B$23,'THAM_SO'!$C$24&lt;'THAM_SO'!$B$24,'THAM_SO'!$C$25&lt;'THAM_SO'!$B$25),"Hệ số OT/đêm DN thấp hơn luật; ","")&amp;IF(AND('DM_NHAN_SU'!$R81="Có",$AD81&lt;=0),"Thiếu căn cứ đóng BH; ","")&amp;IF(AND($AD81&gt;0,$AD81&lt;'THAM_SO'!$M$6),"Căn cứ BH dưới sàn – đã nâng sàn; ","")&amp;IF($AD81&gt;'THAM_SO'!$M$7,"Căn cứ BH vượt trần – đã giới hạn; ","")&amp;IF(AND($F81="Net",SUM('CHAM_CONG_THANG'!$AF81:$AK81)&gt;0,'DM_NHAN_SU'!$Q81&lt;=0),"Net có OT nhưng chưa khai lương giờ OT; ","")&amp;IF('CHAM_CONG_THANG'!$V81&gt;$Z81,"Phần OT không miễn lớn hơn tiền OT; ","")&amp;IF(AND($F81="Net",ABS($AT81-$AC81-$AP81)&gt;1),"Lệch quy đổi Net; ","")&amp;IF(AND($BH81&gt;0,'DM_NHAN_SU'!$AD81=""),"Có phép năm nhưng đang tạm dùng 12 ngày; ","")&amp;IF(AND($G81="Sản phẩm",SUM($BH81:$BJ81)&gt;0,'DM_NHAN_SU'!$AH81&lt;=0),"Lương sản phẩm thiếu đơn giá ngày phép/lễ; ","")&amp;IF(AND($BL81&gt;=14,'CHAM_CONG_THANG'!$AA81&lt;&gt;"Có"),"Thai sản từ 14 ngày: file tự dừng đóng BH – kiểm tra hồ sơ; ","")&amp;IF(AND('DM_NHAN_SU'!$AA81="Có",'DM_NHAN_SU'!$AB81=""),"Đoàn viên chưa chọn cách tính đoàn phí; ","")&amp;IF(AND('DM_NHAN_SU'!$AB81="Nhập tay",'DM_NHAN_SU'!$AC81&gt;'THAM_SO'!$M$26),"Đoàn phí nhập tay vượt trần thông dụng; ","")&amp;IF('NGHI_PHEP'!$L81&lt;&gt;"","Phép: "&amp;'NGHI_PHEP'!$L81,"")&amp;IF('CHE_DO_BHXH'!$AA81&lt;&gt;"","BHXH: "&amp;'CHE_DO_BHXH'!$AA81,"")&amp;IF('THUONG_T13_TET'!$O81&lt;&gt;"","Thưởng: "&amp;'THUONG_T13_TET'!$O81,"")&amp;IF('QT_NGHI_VIEC'!$AF81&lt;&gt;"","Nghỉ việc: "&amp;'QT_NGHI_VIEC'!$AF81,"")&amp;IF($AX81&lt;0,"Thực lĩnh âm; ","")&amp;IF(OR('DM_NHAN_SU'!$F81&gt;'THAM_SO'!$B$7,AND('DM_NHAN_SU'!$G81&lt;&gt;"",'DM_NHAN_SU'!$G81&lt;'THAM_SO'!$B$6)),"Ngoài kỳ trả lương; ","")))</f>
        <v/>
      </c>
      <c r="BH81" s="232">
        <f>IF('DM_NHAN_SU'!$B81="","",'CHAM_CONG_THANG'!AR81)</f>
        <v/>
      </c>
      <c r="BI81" s="232">
        <f>IF('DM_NHAN_SU'!$B81="","",'CHAM_CONG_THANG'!AS81)</f>
        <v/>
      </c>
      <c r="BJ81" s="232">
        <f>IF('DM_NHAN_SU'!$B81="","",'CHAM_CONG_THANG'!AT81)</f>
        <v/>
      </c>
      <c r="BK81" s="232">
        <f>IF('DM_NHAN_SU'!$B81="","",'CHAM_CONG_THANG'!AU81)</f>
        <v/>
      </c>
      <c r="BL81" s="232">
        <f>IF('DM_NHAN_SU'!$B81="","",'CHAM_CONG_THANG'!AV81)</f>
        <v/>
      </c>
      <c r="BM81" s="232">
        <f>IF('DM_NHAN_SU'!$B81="","",'CHAM_CONG_THANG'!AW81)</f>
        <v/>
      </c>
      <c r="BN81" s="232">
        <f>IF('DM_NHAN_SU'!$B81="","",SUM($K81,$BH81:$BJ81))</f>
        <v/>
      </c>
      <c r="BO81" s="224">
        <f>IF('DM_NHAN_SU'!$B81="","",IF($B81="",0,IF($G81="Tháng",IF($I81&gt;0,'DM_NHAN_SU'!$K81*MIN($BH81+$BJ81,MAX($I81-$K81,0))/$I81,0),IF($G81="Ngày",'DM_NHAN_SU'!$K81*SUM($BH81:$BJ81),IF($G81="Giờ",'DM_NHAN_SU'!$K81*SUM($BH81:$BJ81)*$J81,IF($G81="Sản phẩm",'DM_NHAN_SU'!$AH81*SUM($BH81:$BJ81),0))))))</f>
        <v/>
      </c>
      <c r="BP81" s="224">
        <f>IF('DM_NHAN_SU'!$B81="","",IF('THUONG_T13_TET'!$L81="Có",'THUONG_T13_TET'!$I81,0))</f>
        <v/>
      </c>
      <c r="BQ81" s="224">
        <f>IF('DM_NHAN_SU'!$B81="","",IF('THUONG_T13_TET'!$L81="Có",SUM('THUONG_T13_TET'!$J81:$K81),0))</f>
        <v/>
      </c>
      <c r="BR81" s="224">
        <f>IF('DM_NHAN_SU'!$B81="","",'QT_NGHI_VIEC'!AC81)</f>
        <v/>
      </c>
      <c r="BS81" s="224">
        <f>IF('DM_NHAN_SU'!$B81="","",'QT_NGHI_VIEC'!AB81)</f>
        <v/>
      </c>
      <c r="BT81" s="224">
        <f>IF('DM_NHAN_SU'!$B81="","",IF('CHE_DO_BHXH'!$Z81="Có",'CHE_DO_BHXH'!$W81,0))</f>
        <v/>
      </c>
      <c r="BU81" s="224">
        <f>IF('DM_NHAN_SU'!$B81="","",IF('CHE_DO_BHXH'!$Y81="DN trả thay",$BT81,0))</f>
        <v/>
      </c>
      <c r="BV81" s="224">
        <f>IF('DM_NHAN_SU'!$B81="","",IF(OR('DM_NHAN_SU'!$AA81&lt;&gt;"Có",'CHE_DO_BHXH'!$O81&gt;=1,SUM('CHE_DO_BHXH'!$D81,'CHE_DO_BHXH'!$G81,'CHE_DO_BHXH'!$K81)&gt;=24,AND($I81&gt;0,$BM81&gt;=$I81)),0,IF('DM_NHAN_SU'!$AB81="Không",0,IF('DM_NHAN_SU'!$AB81="Nhập tay",'DM_NHAN_SU'!$AC81,IF('DM_NHAN_SU'!$AB81="Theo thực nhận",MIN(MAX($AT81-$AU81-$AV81-$AW81,0)*'THAM_SO'!$M$23,'THAM_SO'!$M$26),MIN($AE81*'THAM_SO'!$M$23,'THAM_SO'!$M$26))))))</f>
        <v/>
      </c>
      <c r="BW81" s="224">
        <f>IF('DM_NHAN_SU'!$B81="","",$AX81+$BU81)</f>
        <v/>
      </c>
    </row>
    <row r="82">
      <c r="A82" s="145">
        <f>IF('DM_NHAN_SU'!$B82="","",IF($B82="","",ROW()-5))</f>
        <v/>
      </c>
      <c r="B82" s="145">
        <f>IF('DM_NHAN_SU'!$B82="","",'DM_NHAN_SU'!B82)</f>
        <v/>
      </c>
      <c r="C82" s="145">
        <f>IF('DM_NHAN_SU'!$B82="","",'DM_NHAN_SU'!C82)</f>
        <v/>
      </c>
      <c r="D82" s="145">
        <f>IF('DM_NHAN_SU'!$B82="","",'DM_NHAN_SU'!D82)</f>
        <v/>
      </c>
      <c r="E82" s="145">
        <f>IF('DM_NHAN_SU'!$B82="","",'DM_NHAN_SU'!E82)</f>
        <v/>
      </c>
      <c r="F82" s="145">
        <f>IF('DM_NHAN_SU'!$B82="","",'DM_NHAN_SU'!I82)</f>
        <v/>
      </c>
      <c r="G82" s="145">
        <f>IF('DM_NHAN_SU'!$B82="","",'DM_NHAN_SU'!J82)</f>
        <v/>
      </c>
      <c r="H82" s="145">
        <f>IF('DM_NHAN_SU'!$B82="","",IF('DM_NHAN_SU'!H82="",'THAM_SO'!$B$11,'DM_NHAN_SU'!H82))</f>
        <v/>
      </c>
      <c r="I82" s="232">
        <f>IF('DM_NHAN_SU'!$B82="","",IF('DM_NHAN_SU'!L82&gt;0,'DM_NHAN_SU'!L82,'THAM_SO'!$B$9))</f>
        <v/>
      </c>
      <c r="J82" s="232">
        <f>IF('DM_NHAN_SU'!$B82="","",IF('DM_NHAN_SU'!M82&gt;0,'DM_NHAN_SU'!M82,'THAM_SO'!$B$10))</f>
        <v/>
      </c>
      <c r="K82" s="232">
        <f>IF('DM_NHAN_SU'!$B82="","",'CHAM_CONG_THANG'!AC82)</f>
        <v/>
      </c>
      <c r="L82" s="232">
        <f>IF('DM_NHAN_SU'!$B82="","",'CHAM_CONG_THANG'!AD82)</f>
        <v/>
      </c>
      <c r="M82" s="232">
        <f>IF('DM_NHAN_SU'!$B82="","",'CHAM_CONG_THANG'!AE82)</f>
        <v/>
      </c>
      <c r="N82" s="232">
        <f>IF('DM_NHAN_SU'!$B82="","",'CHAM_CONG_THANG'!N82)</f>
        <v/>
      </c>
      <c r="O82" s="224">
        <f>IF('DM_NHAN_SU'!$B82="","",IF($B82="","",IF($G82="Tháng",IF($I82&gt;0,'DM_NHAN_SU'!$K82*MIN($K82,$I82)/$I82,0),IF($G82="Ngày",'DM_NHAN_SU'!$K82*$K82,IF($G82="Giờ",'DM_NHAN_SU'!$K82*$L82,IF($G82="Sản phẩm",'DM_NHAN_SU'!$K82*$N82,0))))))</f>
        <v/>
      </c>
      <c r="P82" s="224">
        <f>IF('DM_NHAN_SU'!$B82="","",'CHAM_CONG_THANG'!O82)</f>
        <v/>
      </c>
      <c r="Q82" s="224">
        <f>IF('DM_NHAN_SU'!$B82="","",'CHAM_CONG_THANG'!P82)</f>
        <v/>
      </c>
      <c r="R82" s="224">
        <f>IF('DM_NHAN_SU'!$B82="","",'CHAM_CONG_THANG'!Q82)</f>
        <v/>
      </c>
      <c r="S82" s="224">
        <f>IF('DM_NHAN_SU'!$B82="","",'CHAM_CONG_THANG'!R82)</f>
        <v/>
      </c>
      <c r="T82" s="224">
        <f>IF('DM_NHAN_SU'!$B82="","",'CHAM_CONG_THANG'!S82)</f>
        <v/>
      </c>
      <c r="U82" s="224">
        <f>IF('DM_NHAN_SU'!$B82="","",MIN($T82,'THAM_SO'!$F$6))</f>
        <v/>
      </c>
      <c r="V82" s="224">
        <f>IF('DM_NHAN_SU'!$B82="","",MAX($T82-$U82,0))</f>
        <v/>
      </c>
      <c r="W82" s="224">
        <f>IF('DM_NHAN_SU'!$B82="","",'CHAM_CONG_THANG'!T82)</f>
        <v/>
      </c>
      <c r="X82" s="224">
        <f>IF('DM_NHAN_SU'!$B82="","",'CHAM_CONG_THANG'!U82)</f>
        <v/>
      </c>
      <c r="Y82" s="224">
        <f>IF('DM_NHAN_SU'!$B82="","",IF($B82="",0,IF('DM_NHAN_SU'!$Q82&gt;0,'DM_NHAN_SU'!$Q82,IF($G82="Tháng",IF($I82*$J82&gt;0,'DM_NHAN_SU'!$K82/($I82*$J82),0),IF($G82="Ngày",IF($J82&gt;0,'DM_NHAN_SU'!$K82/$J82,0),IF($G82="Giờ",'DM_NHAN_SU'!$K82,0))))))</f>
        <v/>
      </c>
      <c r="Z82" s="224">
        <f>IF('DM_NHAN_SU'!$B82="","",$Y82*($M82*'THAM_SO'!$C$22+'CHAM_CONG_THANG'!$AF82*'THAM_SO'!$C$19+'CHAM_CONG_THANG'!$AG82*'THAM_SO'!$C$20+'CHAM_CONG_THANG'!$AH82*'THAM_SO'!$C$21+'CHAM_CONG_THANG'!$AI82*'THAM_SO'!$C$23+'CHAM_CONG_THANG'!$AJ82*'THAM_SO'!$C$24+'CHAM_CONG_THANG'!$AK82*'THAM_SO'!$C$25))</f>
        <v/>
      </c>
      <c r="AA82" s="224">
        <f>IF('DM_NHAN_SU'!$B82="","",MAX(0,$Y82*($M82*IF('THAM_SO'!$C$22&gt;='THAM_SO'!$B$22,'THAM_SO'!$B$22,0)+'CHAM_CONG_THANG'!$AF82*IF('THAM_SO'!$C$19&gt;='THAM_SO'!$B$19,'THAM_SO'!$B$19,0)+'CHAM_CONG_THANG'!$AG82*IF('THAM_SO'!$C$20&gt;='THAM_SO'!$B$20,'THAM_SO'!$B$20,0)+'CHAM_CONG_THANG'!$AH82*IF('THAM_SO'!$C$21&gt;='THAM_SO'!$B$21,'THAM_SO'!$B$21,0)+'CHAM_CONG_THANG'!$AI82*IF('THAM_SO'!$C$23&gt;='THAM_SO'!$B$23,'THAM_SO'!$B$23,0)+'CHAM_CONG_THANG'!$AJ82*IF('THAM_SO'!$C$24&gt;='THAM_SO'!$B$24,'THAM_SO'!$B$24,0)+'CHAM_CONG_THANG'!$AK82*IF('THAM_SO'!$C$25&gt;='THAM_SO'!$B$25,'THAM_SO'!$B$25,0))-'CHAM_CONG_THANG'!$V82))</f>
        <v/>
      </c>
      <c r="AB82" s="224">
        <f>IF('DM_NHAN_SU'!$B82="","",MAX($Z82-$AA82,0))</f>
        <v/>
      </c>
      <c r="AC82" s="224">
        <f>IF('DM_NHAN_SU'!$B82="","",$O82+$P82+$Q82+$R82+$S82+$V82+$AB82+$BO82+$BP82+$BQ82+$BR82)</f>
        <v/>
      </c>
      <c r="AD82" s="224">
        <f>IF('DM_NHAN_SU'!$B82="","",'DM_NHAN_SU'!N82+'DM_NHAN_SU'!O82+'DM_NHAN_SU'!P82)</f>
        <v/>
      </c>
      <c r="AE82" s="224">
        <f>IF('DM_NHAN_SU'!$B82="","",IF(OR('DM_NHAN_SU'!$R82&lt;&gt;"Có",'CHAM_CONG_THANG'!$AA82="Có",$BL82&gt;=14,$AD82&lt;=0),0,MIN(MAX($AD82,'THAM_SO'!$M$6),'THAM_SO'!$M$7)))</f>
        <v/>
      </c>
      <c r="AF82" s="224">
        <f>IF('DM_NHAN_SU'!$B82="","",IF(OR('DM_NHAN_SU'!$S82&lt;&gt;"Có",'CHAM_CONG_THANG'!$AA82="Có",$BL82&gt;=14,$AD82&lt;=0),0,MIN(MAX($AD82,VLOOKUP($H82,'THAM_SO'!$L$17:$P$20,4,FALSE)),VLOOKUP($H82,'THAM_SO'!$L$17:$P$20,5,FALSE))))</f>
        <v/>
      </c>
      <c r="AG82" s="224">
        <f>IF('DM_NHAN_SU'!$B82="","",$AE82*'THAM_SO'!$M$8)</f>
        <v/>
      </c>
      <c r="AH82" s="224">
        <f>IF('DM_NHAN_SU'!$B82="","",$AE82*'THAM_SO'!$M$9)</f>
        <v/>
      </c>
      <c r="AI82" s="224">
        <f>IF('DM_NHAN_SU'!$B82="","",$AF82*'THAM_SO'!$M$10)</f>
        <v/>
      </c>
      <c r="AJ82" s="224">
        <f>IF('DM_NHAN_SU'!$B82="","",SUM($AG82:$AI82))</f>
        <v/>
      </c>
      <c r="AK82" s="224">
        <f>IF('DM_NHAN_SU'!$B82="","",IF($B82="",0,'THAM_SO'!$F$4))</f>
        <v/>
      </c>
      <c r="AL82" s="224">
        <f>IF('DM_NHAN_SU'!$B82="","",IF($B82="",0,'DM_NHAN_SU'!$T82*'THAM_SO'!$F$5))</f>
        <v/>
      </c>
      <c r="AM82" s="224">
        <f>IF('DM_NHAN_SU'!$B82="","",'CHAM_CONG_THANG'!W82)</f>
        <v/>
      </c>
      <c r="AN82" s="224">
        <f>IF('DM_NHAN_SU'!$B82="","",MAX($AC82-$AK82-$AL82-$AM82,0))</f>
        <v/>
      </c>
      <c r="AO82" s="224">
        <f>IF('DM_NHAN_SU'!$B82="","",IF($B82="","",IF($F82="Net",IF($AC82&lt;=$AK82+$AL82+$AM82,$AC82+$AJ82,$AJ82+$AK82+$AL82+$AM82+IF($AN82&lt;='THAM_SO'!$J$10,($AN82-'THAM_SO'!$I$10)/(1-'THAM_SO'!$H$10),IF($AN82&lt;='THAM_SO'!$J$11,($AN82-'THAM_SO'!$I$11)/(1-'THAM_SO'!$H$11),IF($AN82&lt;='THAM_SO'!$J$12,($AN82-'THAM_SO'!$I$12)/(1-'THAM_SO'!$H$12),IF($AN82&lt;='THAM_SO'!$J$13,($AN82-'THAM_SO'!$I$13)/(1-'THAM_SO'!$H$13),($AN82-'THAM_SO'!$I$14)/(1-'THAM_SO'!$H$14)))))),$AC82)))</f>
        <v/>
      </c>
      <c r="AP82" s="224">
        <f>IF('DM_NHAN_SU'!$B82="","",$U82+$W82+$X82+$AA82+$BS82)</f>
        <v/>
      </c>
      <c r="AQ82" s="224">
        <f>IF('DM_NHAN_SU'!$B82="","",MAX($AO82-$AJ82-$AK82-$AL82-$AM82,0))</f>
        <v/>
      </c>
      <c r="AR82" s="224">
        <f>IF('DM_NHAN_SU'!$B82="","",IF($AQ82&lt;=0,0,$AQ82*VLOOKUP($AQ82,'THAM_SO'!$F$10:$I$14,3,TRUE)-VLOOKUP($AQ82,'THAM_SO'!$F$10:$I$14,4,TRUE)))</f>
        <v/>
      </c>
      <c r="AS82" s="224">
        <f>IF('DM_NHAN_SU'!$B82="","",$AO82+$AP82)</f>
        <v/>
      </c>
      <c r="AT82" s="224">
        <f>IF('DM_NHAN_SU'!$B82="","",$AS82-$AJ82-$AR82)</f>
        <v/>
      </c>
      <c r="AU82" s="224">
        <f>IF('DM_NHAN_SU'!$B82="","",'CHAM_CONG_THANG'!X82)</f>
        <v/>
      </c>
      <c r="AV82" s="224">
        <f>IF('DM_NHAN_SU'!$B82="","",'CHAM_CONG_THANG'!Y82+'QT_NGHI_VIEC'!AD82)</f>
        <v/>
      </c>
      <c r="AW82" s="224">
        <f>IF('DM_NHAN_SU'!$B82="","",'CHAM_CONG_THANG'!Z82)</f>
        <v/>
      </c>
      <c r="AX82" s="224">
        <f>IF('DM_NHAN_SU'!$B82="","",$AT82-$AU82-$AV82-$AW82-$BV82)</f>
        <v/>
      </c>
      <c r="AY82" s="224">
        <f>IF('DM_NHAN_SU'!$B82="","",$AE82*'THAM_SO'!$M$11)</f>
        <v/>
      </c>
      <c r="AZ82" s="224">
        <f>IF('DM_NHAN_SU'!$B82="","",$AE82*'THAM_SO'!$M$12)</f>
        <v/>
      </c>
      <c r="BA82" s="224">
        <f>IF('DM_NHAN_SU'!$B82="","",$AF82*'THAM_SO'!$M$13)</f>
        <v/>
      </c>
      <c r="BB82" s="224">
        <f>IF('DM_NHAN_SU'!$B82="","",$AE82*'THAM_SO'!$M$14)</f>
        <v/>
      </c>
      <c r="BC82" s="224">
        <f>IF('DM_NHAN_SU'!$B82="","",SUM($AY82:$BB82))</f>
        <v/>
      </c>
      <c r="BD82" s="224">
        <f>IF('DM_NHAN_SU'!$B82="","",$AS82+$BC82)</f>
        <v/>
      </c>
      <c r="BE82" s="224">
        <f>IF('DM_NHAN_SU'!$B82="","",VLOOKUP($H82,'THAM_SO'!$L$17:$P$20,2,FALSE))</f>
        <v/>
      </c>
      <c r="BF82" s="224">
        <f>IF('DM_NHAN_SU'!$B82="","",VLOOKUP($H82,'THAM_SO'!$L$17:$P$20,3,FALSE))</f>
        <v/>
      </c>
      <c r="BG82" s="150">
        <f>IF('DM_NHAN_SU'!$B82="","",IF($B82="","",IF(COUNTIF('DM_NHAN_SU'!$B$6:$B$155,$B82)&gt;1,"Trùng mã NV; ","")&amp;IF(OR($F82="",$G82=""),"Thiếu loại/hình thức lương; ","")&amp;IF('CHAM_CONG_THANG'!$D82="","Chưa chọn nguồn công; ","")&amp;IF(AND('CHAM_CONG_THANG'!$D82="Theo ngày",COUNTIF('CHAM_CONG_NGAY'!$B$6:$B$4655,$B82)=0),"Chưa có chấm công ngày; ","")&amp;IF(OR($I82&lt;=0,$J82&lt;=0),"Thiếu công/giờ chuẩn; ","")&amp;IF(AND($G82="Tháng",'DM_NHAN_SU'!$K82&lt;$BE82),"Lương tháng dưới tối thiểu vùng; ","")&amp;IF(AND($G82="Ngày",'DM_NHAN_SU'!$K82/$J82&lt;$BF82),"Lương ngày quy đổi dưới tối thiểu giờ; ","")&amp;IF(AND($G82="Giờ",'DM_NHAN_SU'!$K82&lt;$BF82),"Lương giờ dưới tối thiểu vùng; ","")&amp;IF(AND($G82="Sản phẩm",$L82&gt;0,$O82/$L82&lt;$BF82),"Lương SP quy đổi dưới tối thiểu giờ; ","")&amp;IF(OR('THAM_SO'!$C$19&lt;'THAM_SO'!$B$19,'THAM_SO'!$C$20&lt;'THAM_SO'!$B$20,'THAM_SO'!$C$21&lt;'THAM_SO'!$B$21,'THAM_SO'!$C$22&lt;'THAM_SO'!$B$22,'THAM_SO'!$C$23&lt;'THAM_SO'!$B$23,'THAM_SO'!$C$24&lt;'THAM_SO'!$B$24,'THAM_SO'!$C$25&lt;'THAM_SO'!$B$25),"Hệ số OT/đêm DN thấp hơn luật; ","")&amp;IF(AND('DM_NHAN_SU'!$R82="Có",$AD82&lt;=0),"Thiếu căn cứ đóng BH; ","")&amp;IF(AND($AD82&gt;0,$AD82&lt;'THAM_SO'!$M$6),"Căn cứ BH dưới sàn – đã nâng sàn; ","")&amp;IF($AD82&gt;'THAM_SO'!$M$7,"Căn cứ BH vượt trần – đã giới hạn; ","")&amp;IF(AND($F82="Net",SUM('CHAM_CONG_THANG'!$AF82:$AK82)&gt;0,'DM_NHAN_SU'!$Q82&lt;=0),"Net có OT nhưng chưa khai lương giờ OT; ","")&amp;IF('CHAM_CONG_THANG'!$V82&gt;$Z82,"Phần OT không miễn lớn hơn tiền OT; ","")&amp;IF(AND($F82="Net",ABS($AT82-$AC82-$AP82)&gt;1),"Lệch quy đổi Net; ","")&amp;IF(AND($BH82&gt;0,'DM_NHAN_SU'!$AD82=""),"Có phép năm nhưng đang tạm dùng 12 ngày; ","")&amp;IF(AND($G82="Sản phẩm",SUM($BH82:$BJ82)&gt;0,'DM_NHAN_SU'!$AH82&lt;=0),"Lương sản phẩm thiếu đơn giá ngày phép/lễ; ","")&amp;IF(AND($BL82&gt;=14,'CHAM_CONG_THANG'!$AA82&lt;&gt;"Có"),"Thai sản từ 14 ngày: file tự dừng đóng BH – kiểm tra hồ sơ; ","")&amp;IF(AND('DM_NHAN_SU'!$AA82="Có",'DM_NHAN_SU'!$AB82=""),"Đoàn viên chưa chọn cách tính đoàn phí; ","")&amp;IF(AND('DM_NHAN_SU'!$AB82="Nhập tay",'DM_NHAN_SU'!$AC82&gt;'THAM_SO'!$M$26),"Đoàn phí nhập tay vượt trần thông dụng; ","")&amp;IF('NGHI_PHEP'!$L82&lt;&gt;"","Phép: "&amp;'NGHI_PHEP'!$L82,"")&amp;IF('CHE_DO_BHXH'!$AA82&lt;&gt;"","BHXH: "&amp;'CHE_DO_BHXH'!$AA82,"")&amp;IF('THUONG_T13_TET'!$O82&lt;&gt;"","Thưởng: "&amp;'THUONG_T13_TET'!$O82,"")&amp;IF('QT_NGHI_VIEC'!$AF82&lt;&gt;"","Nghỉ việc: "&amp;'QT_NGHI_VIEC'!$AF82,"")&amp;IF($AX82&lt;0,"Thực lĩnh âm; ","")&amp;IF(OR('DM_NHAN_SU'!$F82&gt;'THAM_SO'!$B$7,AND('DM_NHAN_SU'!$G82&lt;&gt;"",'DM_NHAN_SU'!$G82&lt;'THAM_SO'!$B$6)),"Ngoài kỳ trả lương; ","")))</f>
        <v/>
      </c>
      <c r="BH82" s="232">
        <f>IF('DM_NHAN_SU'!$B82="","",'CHAM_CONG_THANG'!AR82)</f>
        <v/>
      </c>
      <c r="BI82" s="232">
        <f>IF('DM_NHAN_SU'!$B82="","",'CHAM_CONG_THANG'!AS82)</f>
        <v/>
      </c>
      <c r="BJ82" s="232">
        <f>IF('DM_NHAN_SU'!$B82="","",'CHAM_CONG_THANG'!AT82)</f>
        <v/>
      </c>
      <c r="BK82" s="232">
        <f>IF('DM_NHAN_SU'!$B82="","",'CHAM_CONG_THANG'!AU82)</f>
        <v/>
      </c>
      <c r="BL82" s="232">
        <f>IF('DM_NHAN_SU'!$B82="","",'CHAM_CONG_THANG'!AV82)</f>
        <v/>
      </c>
      <c r="BM82" s="232">
        <f>IF('DM_NHAN_SU'!$B82="","",'CHAM_CONG_THANG'!AW82)</f>
        <v/>
      </c>
      <c r="BN82" s="232">
        <f>IF('DM_NHAN_SU'!$B82="","",SUM($K82,$BH82:$BJ82))</f>
        <v/>
      </c>
      <c r="BO82" s="224">
        <f>IF('DM_NHAN_SU'!$B82="","",IF($B82="",0,IF($G82="Tháng",IF($I82&gt;0,'DM_NHAN_SU'!$K82*MIN($BH82+$BJ82,MAX($I82-$K82,0))/$I82,0),IF($G82="Ngày",'DM_NHAN_SU'!$K82*SUM($BH82:$BJ82),IF($G82="Giờ",'DM_NHAN_SU'!$K82*SUM($BH82:$BJ82)*$J82,IF($G82="Sản phẩm",'DM_NHAN_SU'!$AH82*SUM($BH82:$BJ82),0))))))</f>
        <v/>
      </c>
      <c r="BP82" s="224">
        <f>IF('DM_NHAN_SU'!$B82="","",IF('THUONG_T13_TET'!$L82="Có",'THUONG_T13_TET'!$I82,0))</f>
        <v/>
      </c>
      <c r="BQ82" s="224">
        <f>IF('DM_NHAN_SU'!$B82="","",IF('THUONG_T13_TET'!$L82="Có",SUM('THUONG_T13_TET'!$J82:$K82),0))</f>
        <v/>
      </c>
      <c r="BR82" s="224">
        <f>IF('DM_NHAN_SU'!$B82="","",'QT_NGHI_VIEC'!AC82)</f>
        <v/>
      </c>
      <c r="BS82" s="224">
        <f>IF('DM_NHAN_SU'!$B82="","",'QT_NGHI_VIEC'!AB82)</f>
        <v/>
      </c>
      <c r="BT82" s="224">
        <f>IF('DM_NHAN_SU'!$B82="","",IF('CHE_DO_BHXH'!$Z82="Có",'CHE_DO_BHXH'!$W82,0))</f>
        <v/>
      </c>
      <c r="BU82" s="224">
        <f>IF('DM_NHAN_SU'!$B82="","",IF('CHE_DO_BHXH'!$Y82="DN trả thay",$BT82,0))</f>
        <v/>
      </c>
      <c r="BV82" s="224">
        <f>IF('DM_NHAN_SU'!$B82="","",IF(OR('DM_NHAN_SU'!$AA82&lt;&gt;"Có",'CHE_DO_BHXH'!$O82&gt;=1,SUM('CHE_DO_BHXH'!$D82,'CHE_DO_BHXH'!$G82,'CHE_DO_BHXH'!$K82)&gt;=24,AND($I82&gt;0,$BM82&gt;=$I82)),0,IF('DM_NHAN_SU'!$AB82="Không",0,IF('DM_NHAN_SU'!$AB82="Nhập tay",'DM_NHAN_SU'!$AC82,IF('DM_NHAN_SU'!$AB82="Theo thực nhận",MIN(MAX($AT82-$AU82-$AV82-$AW82,0)*'THAM_SO'!$M$23,'THAM_SO'!$M$26),MIN($AE82*'THAM_SO'!$M$23,'THAM_SO'!$M$26))))))</f>
        <v/>
      </c>
      <c r="BW82" s="224">
        <f>IF('DM_NHAN_SU'!$B82="","",$AX82+$BU82)</f>
        <v/>
      </c>
    </row>
    <row r="83">
      <c r="A83" s="145">
        <f>IF('DM_NHAN_SU'!$B83="","",IF($B83="","",ROW()-5))</f>
        <v/>
      </c>
      <c r="B83" s="145">
        <f>IF('DM_NHAN_SU'!$B83="","",'DM_NHAN_SU'!B83)</f>
        <v/>
      </c>
      <c r="C83" s="145">
        <f>IF('DM_NHAN_SU'!$B83="","",'DM_NHAN_SU'!C83)</f>
        <v/>
      </c>
      <c r="D83" s="145">
        <f>IF('DM_NHAN_SU'!$B83="","",'DM_NHAN_SU'!D83)</f>
        <v/>
      </c>
      <c r="E83" s="145">
        <f>IF('DM_NHAN_SU'!$B83="","",'DM_NHAN_SU'!E83)</f>
        <v/>
      </c>
      <c r="F83" s="145">
        <f>IF('DM_NHAN_SU'!$B83="","",'DM_NHAN_SU'!I83)</f>
        <v/>
      </c>
      <c r="G83" s="145">
        <f>IF('DM_NHAN_SU'!$B83="","",'DM_NHAN_SU'!J83)</f>
        <v/>
      </c>
      <c r="H83" s="145">
        <f>IF('DM_NHAN_SU'!$B83="","",IF('DM_NHAN_SU'!H83="",'THAM_SO'!$B$11,'DM_NHAN_SU'!H83))</f>
        <v/>
      </c>
      <c r="I83" s="232">
        <f>IF('DM_NHAN_SU'!$B83="","",IF('DM_NHAN_SU'!L83&gt;0,'DM_NHAN_SU'!L83,'THAM_SO'!$B$9))</f>
        <v/>
      </c>
      <c r="J83" s="232">
        <f>IF('DM_NHAN_SU'!$B83="","",IF('DM_NHAN_SU'!M83&gt;0,'DM_NHAN_SU'!M83,'THAM_SO'!$B$10))</f>
        <v/>
      </c>
      <c r="K83" s="232">
        <f>IF('DM_NHAN_SU'!$B83="","",'CHAM_CONG_THANG'!AC83)</f>
        <v/>
      </c>
      <c r="L83" s="232">
        <f>IF('DM_NHAN_SU'!$B83="","",'CHAM_CONG_THANG'!AD83)</f>
        <v/>
      </c>
      <c r="M83" s="232">
        <f>IF('DM_NHAN_SU'!$B83="","",'CHAM_CONG_THANG'!AE83)</f>
        <v/>
      </c>
      <c r="N83" s="232">
        <f>IF('DM_NHAN_SU'!$B83="","",'CHAM_CONG_THANG'!N83)</f>
        <v/>
      </c>
      <c r="O83" s="224">
        <f>IF('DM_NHAN_SU'!$B83="","",IF($B83="","",IF($G83="Tháng",IF($I83&gt;0,'DM_NHAN_SU'!$K83*MIN($K83,$I83)/$I83,0),IF($G83="Ngày",'DM_NHAN_SU'!$K83*$K83,IF($G83="Giờ",'DM_NHAN_SU'!$K83*$L83,IF($G83="Sản phẩm",'DM_NHAN_SU'!$K83*$N83,0))))))</f>
        <v/>
      </c>
      <c r="P83" s="224">
        <f>IF('DM_NHAN_SU'!$B83="","",'CHAM_CONG_THANG'!O83)</f>
        <v/>
      </c>
      <c r="Q83" s="224">
        <f>IF('DM_NHAN_SU'!$B83="","",'CHAM_CONG_THANG'!P83)</f>
        <v/>
      </c>
      <c r="R83" s="224">
        <f>IF('DM_NHAN_SU'!$B83="","",'CHAM_CONG_THANG'!Q83)</f>
        <v/>
      </c>
      <c r="S83" s="224">
        <f>IF('DM_NHAN_SU'!$B83="","",'CHAM_CONG_THANG'!R83)</f>
        <v/>
      </c>
      <c r="T83" s="224">
        <f>IF('DM_NHAN_SU'!$B83="","",'CHAM_CONG_THANG'!S83)</f>
        <v/>
      </c>
      <c r="U83" s="224">
        <f>IF('DM_NHAN_SU'!$B83="","",MIN($T83,'THAM_SO'!$F$6))</f>
        <v/>
      </c>
      <c r="V83" s="224">
        <f>IF('DM_NHAN_SU'!$B83="","",MAX($T83-$U83,0))</f>
        <v/>
      </c>
      <c r="W83" s="224">
        <f>IF('DM_NHAN_SU'!$B83="","",'CHAM_CONG_THANG'!T83)</f>
        <v/>
      </c>
      <c r="X83" s="224">
        <f>IF('DM_NHAN_SU'!$B83="","",'CHAM_CONG_THANG'!U83)</f>
        <v/>
      </c>
      <c r="Y83" s="224">
        <f>IF('DM_NHAN_SU'!$B83="","",IF($B83="",0,IF('DM_NHAN_SU'!$Q83&gt;0,'DM_NHAN_SU'!$Q83,IF($G83="Tháng",IF($I83*$J83&gt;0,'DM_NHAN_SU'!$K83/($I83*$J83),0),IF($G83="Ngày",IF($J83&gt;0,'DM_NHAN_SU'!$K83/$J83,0),IF($G83="Giờ",'DM_NHAN_SU'!$K83,0))))))</f>
        <v/>
      </c>
      <c r="Z83" s="224">
        <f>IF('DM_NHAN_SU'!$B83="","",$Y83*($M83*'THAM_SO'!$C$22+'CHAM_CONG_THANG'!$AF83*'THAM_SO'!$C$19+'CHAM_CONG_THANG'!$AG83*'THAM_SO'!$C$20+'CHAM_CONG_THANG'!$AH83*'THAM_SO'!$C$21+'CHAM_CONG_THANG'!$AI83*'THAM_SO'!$C$23+'CHAM_CONG_THANG'!$AJ83*'THAM_SO'!$C$24+'CHAM_CONG_THANG'!$AK83*'THAM_SO'!$C$25))</f>
        <v/>
      </c>
      <c r="AA83" s="224">
        <f>IF('DM_NHAN_SU'!$B83="","",MAX(0,$Y83*($M83*IF('THAM_SO'!$C$22&gt;='THAM_SO'!$B$22,'THAM_SO'!$B$22,0)+'CHAM_CONG_THANG'!$AF83*IF('THAM_SO'!$C$19&gt;='THAM_SO'!$B$19,'THAM_SO'!$B$19,0)+'CHAM_CONG_THANG'!$AG83*IF('THAM_SO'!$C$20&gt;='THAM_SO'!$B$20,'THAM_SO'!$B$20,0)+'CHAM_CONG_THANG'!$AH83*IF('THAM_SO'!$C$21&gt;='THAM_SO'!$B$21,'THAM_SO'!$B$21,0)+'CHAM_CONG_THANG'!$AI83*IF('THAM_SO'!$C$23&gt;='THAM_SO'!$B$23,'THAM_SO'!$B$23,0)+'CHAM_CONG_THANG'!$AJ83*IF('THAM_SO'!$C$24&gt;='THAM_SO'!$B$24,'THAM_SO'!$B$24,0)+'CHAM_CONG_THANG'!$AK83*IF('THAM_SO'!$C$25&gt;='THAM_SO'!$B$25,'THAM_SO'!$B$25,0))-'CHAM_CONG_THANG'!$V83))</f>
        <v/>
      </c>
      <c r="AB83" s="224">
        <f>IF('DM_NHAN_SU'!$B83="","",MAX($Z83-$AA83,0))</f>
        <v/>
      </c>
      <c r="AC83" s="224">
        <f>IF('DM_NHAN_SU'!$B83="","",$O83+$P83+$Q83+$R83+$S83+$V83+$AB83+$BO83+$BP83+$BQ83+$BR83)</f>
        <v/>
      </c>
      <c r="AD83" s="224">
        <f>IF('DM_NHAN_SU'!$B83="","",'DM_NHAN_SU'!N83+'DM_NHAN_SU'!O83+'DM_NHAN_SU'!P83)</f>
        <v/>
      </c>
      <c r="AE83" s="224">
        <f>IF('DM_NHAN_SU'!$B83="","",IF(OR('DM_NHAN_SU'!$R83&lt;&gt;"Có",'CHAM_CONG_THANG'!$AA83="Có",$BL83&gt;=14,$AD83&lt;=0),0,MIN(MAX($AD83,'THAM_SO'!$M$6),'THAM_SO'!$M$7)))</f>
        <v/>
      </c>
      <c r="AF83" s="224">
        <f>IF('DM_NHAN_SU'!$B83="","",IF(OR('DM_NHAN_SU'!$S83&lt;&gt;"Có",'CHAM_CONG_THANG'!$AA83="Có",$BL83&gt;=14,$AD83&lt;=0),0,MIN(MAX($AD83,VLOOKUP($H83,'THAM_SO'!$L$17:$P$20,4,FALSE)),VLOOKUP($H83,'THAM_SO'!$L$17:$P$20,5,FALSE))))</f>
        <v/>
      </c>
      <c r="AG83" s="224">
        <f>IF('DM_NHAN_SU'!$B83="","",$AE83*'THAM_SO'!$M$8)</f>
        <v/>
      </c>
      <c r="AH83" s="224">
        <f>IF('DM_NHAN_SU'!$B83="","",$AE83*'THAM_SO'!$M$9)</f>
        <v/>
      </c>
      <c r="AI83" s="224">
        <f>IF('DM_NHAN_SU'!$B83="","",$AF83*'THAM_SO'!$M$10)</f>
        <v/>
      </c>
      <c r="AJ83" s="224">
        <f>IF('DM_NHAN_SU'!$B83="","",SUM($AG83:$AI83))</f>
        <v/>
      </c>
      <c r="AK83" s="224">
        <f>IF('DM_NHAN_SU'!$B83="","",IF($B83="",0,'THAM_SO'!$F$4))</f>
        <v/>
      </c>
      <c r="AL83" s="224">
        <f>IF('DM_NHAN_SU'!$B83="","",IF($B83="",0,'DM_NHAN_SU'!$T83*'THAM_SO'!$F$5))</f>
        <v/>
      </c>
      <c r="AM83" s="224">
        <f>IF('DM_NHAN_SU'!$B83="","",'CHAM_CONG_THANG'!W83)</f>
        <v/>
      </c>
      <c r="AN83" s="224">
        <f>IF('DM_NHAN_SU'!$B83="","",MAX($AC83-$AK83-$AL83-$AM83,0))</f>
        <v/>
      </c>
      <c r="AO83" s="224">
        <f>IF('DM_NHAN_SU'!$B83="","",IF($B83="","",IF($F83="Net",IF($AC83&lt;=$AK83+$AL83+$AM83,$AC83+$AJ83,$AJ83+$AK83+$AL83+$AM83+IF($AN83&lt;='THAM_SO'!$J$10,($AN83-'THAM_SO'!$I$10)/(1-'THAM_SO'!$H$10),IF($AN83&lt;='THAM_SO'!$J$11,($AN83-'THAM_SO'!$I$11)/(1-'THAM_SO'!$H$11),IF($AN83&lt;='THAM_SO'!$J$12,($AN83-'THAM_SO'!$I$12)/(1-'THAM_SO'!$H$12),IF($AN83&lt;='THAM_SO'!$J$13,($AN83-'THAM_SO'!$I$13)/(1-'THAM_SO'!$H$13),($AN83-'THAM_SO'!$I$14)/(1-'THAM_SO'!$H$14)))))),$AC83)))</f>
        <v/>
      </c>
      <c r="AP83" s="224">
        <f>IF('DM_NHAN_SU'!$B83="","",$U83+$W83+$X83+$AA83+$BS83)</f>
        <v/>
      </c>
      <c r="AQ83" s="224">
        <f>IF('DM_NHAN_SU'!$B83="","",MAX($AO83-$AJ83-$AK83-$AL83-$AM83,0))</f>
        <v/>
      </c>
      <c r="AR83" s="224">
        <f>IF('DM_NHAN_SU'!$B83="","",IF($AQ83&lt;=0,0,$AQ83*VLOOKUP($AQ83,'THAM_SO'!$F$10:$I$14,3,TRUE)-VLOOKUP($AQ83,'THAM_SO'!$F$10:$I$14,4,TRUE)))</f>
        <v/>
      </c>
      <c r="AS83" s="224">
        <f>IF('DM_NHAN_SU'!$B83="","",$AO83+$AP83)</f>
        <v/>
      </c>
      <c r="AT83" s="224">
        <f>IF('DM_NHAN_SU'!$B83="","",$AS83-$AJ83-$AR83)</f>
        <v/>
      </c>
      <c r="AU83" s="224">
        <f>IF('DM_NHAN_SU'!$B83="","",'CHAM_CONG_THANG'!X83)</f>
        <v/>
      </c>
      <c r="AV83" s="224">
        <f>IF('DM_NHAN_SU'!$B83="","",'CHAM_CONG_THANG'!Y83+'QT_NGHI_VIEC'!AD83)</f>
        <v/>
      </c>
      <c r="AW83" s="224">
        <f>IF('DM_NHAN_SU'!$B83="","",'CHAM_CONG_THANG'!Z83)</f>
        <v/>
      </c>
      <c r="AX83" s="224">
        <f>IF('DM_NHAN_SU'!$B83="","",$AT83-$AU83-$AV83-$AW83-$BV83)</f>
        <v/>
      </c>
      <c r="AY83" s="224">
        <f>IF('DM_NHAN_SU'!$B83="","",$AE83*'THAM_SO'!$M$11)</f>
        <v/>
      </c>
      <c r="AZ83" s="224">
        <f>IF('DM_NHAN_SU'!$B83="","",$AE83*'THAM_SO'!$M$12)</f>
        <v/>
      </c>
      <c r="BA83" s="224">
        <f>IF('DM_NHAN_SU'!$B83="","",$AF83*'THAM_SO'!$M$13)</f>
        <v/>
      </c>
      <c r="BB83" s="224">
        <f>IF('DM_NHAN_SU'!$B83="","",$AE83*'THAM_SO'!$M$14)</f>
        <v/>
      </c>
      <c r="BC83" s="224">
        <f>IF('DM_NHAN_SU'!$B83="","",SUM($AY83:$BB83))</f>
        <v/>
      </c>
      <c r="BD83" s="224">
        <f>IF('DM_NHAN_SU'!$B83="","",$AS83+$BC83)</f>
        <v/>
      </c>
      <c r="BE83" s="224">
        <f>IF('DM_NHAN_SU'!$B83="","",VLOOKUP($H83,'THAM_SO'!$L$17:$P$20,2,FALSE))</f>
        <v/>
      </c>
      <c r="BF83" s="224">
        <f>IF('DM_NHAN_SU'!$B83="","",VLOOKUP($H83,'THAM_SO'!$L$17:$P$20,3,FALSE))</f>
        <v/>
      </c>
      <c r="BG83" s="150">
        <f>IF('DM_NHAN_SU'!$B83="","",IF($B83="","",IF(COUNTIF('DM_NHAN_SU'!$B$6:$B$155,$B83)&gt;1,"Trùng mã NV; ","")&amp;IF(OR($F83="",$G83=""),"Thiếu loại/hình thức lương; ","")&amp;IF('CHAM_CONG_THANG'!$D83="","Chưa chọn nguồn công; ","")&amp;IF(AND('CHAM_CONG_THANG'!$D83="Theo ngày",COUNTIF('CHAM_CONG_NGAY'!$B$6:$B$4655,$B83)=0),"Chưa có chấm công ngày; ","")&amp;IF(OR($I83&lt;=0,$J83&lt;=0),"Thiếu công/giờ chuẩn; ","")&amp;IF(AND($G83="Tháng",'DM_NHAN_SU'!$K83&lt;$BE83),"Lương tháng dưới tối thiểu vùng; ","")&amp;IF(AND($G83="Ngày",'DM_NHAN_SU'!$K83/$J83&lt;$BF83),"Lương ngày quy đổi dưới tối thiểu giờ; ","")&amp;IF(AND($G83="Giờ",'DM_NHAN_SU'!$K83&lt;$BF83),"Lương giờ dưới tối thiểu vùng; ","")&amp;IF(AND($G83="Sản phẩm",$L83&gt;0,$O83/$L83&lt;$BF83),"Lương SP quy đổi dưới tối thiểu giờ; ","")&amp;IF(OR('THAM_SO'!$C$19&lt;'THAM_SO'!$B$19,'THAM_SO'!$C$20&lt;'THAM_SO'!$B$20,'THAM_SO'!$C$21&lt;'THAM_SO'!$B$21,'THAM_SO'!$C$22&lt;'THAM_SO'!$B$22,'THAM_SO'!$C$23&lt;'THAM_SO'!$B$23,'THAM_SO'!$C$24&lt;'THAM_SO'!$B$24,'THAM_SO'!$C$25&lt;'THAM_SO'!$B$25),"Hệ số OT/đêm DN thấp hơn luật; ","")&amp;IF(AND('DM_NHAN_SU'!$R83="Có",$AD83&lt;=0),"Thiếu căn cứ đóng BH; ","")&amp;IF(AND($AD83&gt;0,$AD83&lt;'THAM_SO'!$M$6),"Căn cứ BH dưới sàn – đã nâng sàn; ","")&amp;IF($AD83&gt;'THAM_SO'!$M$7,"Căn cứ BH vượt trần – đã giới hạn; ","")&amp;IF(AND($F83="Net",SUM('CHAM_CONG_THANG'!$AF83:$AK83)&gt;0,'DM_NHAN_SU'!$Q83&lt;=0),"Net có OT nhưng chưa khai lương giờ OT; ","")&amp;IF('CHAM_CONG_THANG'!$V83&gt;$Z83,"Phần OT không miễn lớn hơn tiền OT; ","")&amp;IF(AND($F83="Net",ABS($AT83-$AC83-$AP83)&gt;1),"Lệch quy đổi Net; ","")&amp;IF(AND($BH83&gt;0,'DM_NHAN_SU'!$AD83=""),"Có phép năm nhưng đang tạm dùng 12 ngày; ","")&amp;IF(AND($G83="Sản phẩm",SUM($BH83:$BJ83)&gt;0,'DM_NHAN_SU'!$AH83&lt;=0),"Lương sản phẩm thiếu đơn giá ngày phép/lễ; ","")&amp;IF(AND($BL83&gt;=14,'CHAM_CONG_THANG'!$AA83&lt;&gt;"Có"),"Thai sản từ 14 ngày: file tự dừng đóng BH – kiểm tra hồ sơ; ","")&amp;IF(AND('DM_NHAN_SU'!$AA83="Có",'DM_NHAN_SU'!$AB83=""),"Đoàn viên chưa chọn cách tính đoàn phí; ","")&amp;IF(AND('DM_NHAN_SU'!$AB83="Nhập tay",'DM_NHAN_SU'!$AC83&gt;'THAM_SO'!$M$26),"Đoàn phí nhập tay vượt trần thông dụng; ","")&amp;IF('NGHI_PHEP'!$L83&lt;&gt;"","Phép: "&amp;'NGHI_PHEP'!$L83,"")&amp;IF('CHE_DO_BHXH'!$AA83&lt;&gt;"","BHXH: "&amp;'CHE_DO_BHXH'!$AA83,"")&amp;IF('THUONG_T13_TET'!$O83&lt;&gt;"","Thưởng: "&amp;'THUONG_T13_TET'!$O83,"")&amp;IF('QT_NGHI_VIEC'!$AF83&lt;&gt;"","Nghỉ việc: "&amp;'QT_NGHI_VIEC'!$AF83,"")&amp;IF($AX83&lt;0,"Thực lĩnh âm; ","")&amp;IF(OR('DM_NHAN_SU'!$F83&gt;'THAM_SO'!$B$7,AND('DM_NHAN_SU'!$G83&lt;&gt;"",'DM_NHAN_SU'!$G83&lt;'THAM_SO'!$B$6)),"Ngoài kỳ trả lương; ","")))</f>
        <v/>
      </c>
      <c r="BH83" s="232">
        <f>IF('DM_NHAN_SU'!$B83="","",'CHAM_CONG_THANG'!AR83)</f>
        <v/>
      </c>
      <c r="BI83" s="232">
        <f>IF('DM_NHAN_SU'!$B83="","",'CHAM_CONG_THANG'!AS83)</f>
        <v/>
      </c>
      <c r="BJ83" s="232">
        <f>IF('DM_NHAN_SU'!$B83="","",'CHAM_CONG_THANG'!AT83)</f>
        <v/>
      </c>
      <c r="BK83" s="232">
        <f>IF('DM_NHAN_SU'!$B83="","",'CHAM_CONG_THANG'!AU83)</f>
        <v/>
      </c>
      <c r="BL83" s="232">
        <f>IF('DM_NHAN_SU'!$B83="","",'CHAM_CONG_THANG'!AV83)</f>
        <v/>
      </c>
      <c r="BM83" s="232">
        <f>IF('DM_NHAN_SU'!$B83="","",'CHAM_CONG_THANG'!AW83)</f>
        <v/>
      </c>
      <c r="BN83" s="232">
        <f>IF('DM_NHAN_SU'!$B83="","",SUM($K83,$BH83:$BJ83))</f>
        <v/>
      </c>
      <c r="BO83" s="224">
        <f>IF('DM_NHAN_SU'!$B83="","",IF($B83="",0,IF($G83="Tháng",IF($I83&gt;0,'DM_NHAN_SU'!$K83*MIN($BH83+$BJ83,MAX($I83-$K83,0))/$I83,0),IF($G83="Ngày",'DM_NHAN_SU'!$K83*SUM($BH83:$BJ83),IF($G83="Giờ",'DM_NHAN_SU'!$K83*SUM($BH83:$BJ83)*$J83,IF($G83="Sản phẩm",'DM_NHAN_SU'!$AH83*SUM($BH83:$BJ83),0))))))</f>
        <v/>
      </c>
      <c r="BP83" s="224">
        <f>IF('DM_NHAN_SU'!$B83="","",IF('THUONG_T13_TET'!$L83="Có",'THUONG_T13_TET'!$I83,0))</f>
        <v/>
      </c>
      <c r="BQ83" s="224">
        <f>IF('DM_NHAN_SU'!$B83="","",IF('THUONG_T13_TET'!$L83="Có",SUM('THUONG_T13_TET'!$J83:$K83),0))</f>
        <v/>
      </c>
      <c r="BR83" s="224">
        <f>IF('DM_NHAN_SU'!$B83="","",'QT_NGHI_VIEC'!AC83)</f>
        <v/>
      </c>
      <c r="BS83" s="224">
        <f>IF('DM_NHAN_SU'!$B83="","",'QT_NGHI_VIEC'!AB83)</f>
        <v/>
      </c>
      <c r="BT83" s="224">
        <f>IF('DM_NHAN_SU'!$B83="","",IF('CHE_DO_BHXH'!$Z83="Có",'CHE_DO_BHXH'!$W83,0))</f>
        <v/>
      </c>
      <c r="BU83" s="224">
        <f>IF('DM_NHAN_SU'!$B83="","",IF('CHE_DO_BHXH'!$Y83="DN trả thay",$BT83,0))</f>
        <v/>
      </c>
      <c r="BV83" s="224">
        <f>IF('DM_NHAN_SU'!$B83="","",IF(OR('DM_NHAN_SU'!$AA83&lt;&gt;"Có",'CHE_DO_BHXH'!$O83&gt;=1,SUM('CHE_DO_BHXH'!$D83,'CHE_DO_BHXH'!$G83,'CHE_DO_BHXH'!$K83)&gt;=24,AND($I83&gt;0,$BM83&gt;=$I83)),0,IF('DM_NHAN_SU'!$AB83="Không",0,IF('DM_NHAN_SU'!$AB83="Nhập tay",'DM_NHAN_SU'!$AC83,IF('DM_NHAN_SU'!$AB83="Theo thực nhận",MIN(MAX($AT83-$AU83-$AV83-$AW83,0)*'THAM_SO'!$M$23,'THAM_SO'!$M$26),MIN($AE83*'THAM_SO'!$M$23,'THAM_SO'!$M$26))))))</f>
        <v/>
      </c>
      <c r="BW83" s="224">
        <f>IF('DM_NHAN_SU'!$B83="","",$AX83+$BU83)</f>
        <v/>
      </c>
    </row>
    <row r="84">
      <c r="A84" s="145">
        <f>IF('DM_NHAN_SU'!$B84="","",IF($B84="","",ROW()-5))</f>
        <v/>
      </c>
      <c r="B84" s="145">
        <f>IF('DM_NHAN_SU'!$B84="","",'DM_NHAN_SU'!B84)</f>
        <v/>
      </c>
      <c r="C84" s="145">
        <f>IF('DM_NHAN_SU'!$B84="","",'DM_NHAN_SU'!C84)</f>
        <v/>
      </c>
      <c r="D84" s="145">
        <f>IF('DM_NHAN_SU'!$B84="","",'DM_NHAN_SU'!D84)</f>
        <v/>
      </c>
      <c r="E84" s="145">
        <f>IF('DM_NHAN_SU'!$B84="","",'DM_NHAN_SU'!E84)</f>
        <v/>
      </c>
      <c r="F84" s="145">
        <f>IF('DM_NHAN_SU'!$B84="","",'DM_NHAN_SU'!I84)</f>
        <v/>
      </c>
      <c r="G84" s="145">
        <f>IF('DM_NHAN_SU'!$B84="","",'DM_NHAN_SU'!J84)</f>
        <v/>
      </c>
      <c r="H84" s="145">
        <f>IF('DM_NHAN_SU'!$B84="","",IF('DM_NHAN_SU'!H84="",'THAM_SO'!$B$11,'DM_NHAN_SU'!H84))</f>
        <v/>
      </c>
      <c r="I84" s="232">
        <f>IF('DM_NHAN_SU'!$B84="","",IF('DM_NHAN_SU'!L84&gt;0,'DM_NHAN_SU'!L84,'THAM_SO'!$B$9))</f>
        <v/>
      </c>
      <c r="J84" s="232">
        <f>IF('DM_NHAN_SU'!$B84="","",IF('DM_NHAN_SU'!M84&gt;0,'DM_NHAN_SU'!M84,'THAM_SO'!$B$10))</f>
        <v/>
      </c>
      <c r="K84" s="232">
        <f>IF('DM_NHAN_SU'!$B84="","",'CHAM_CONG_THANG'!AC84)</f>
        <v/>
      </c>
      <c r="L84" s="232">
        <f>IF('DM_NHAN_SU'!$B84="","",'CHAM_CONG_THANG'!AD84)</f>
        <v/>
      </c>
      <c r="M84" s="232">
        <f>IF('DM_NHAN_SU'!$B84="","",'CHAM_CONG_THANG'!AE84)</f>
        <v/>
      </c>
      <c r="N84" s="232">
        <f>IF('DM_NHAN_SU'!$B84="","",'CHAM_CONG_THANG'!N84)</f>
        <v/>
      </c>
      <c r="O84" s="224">
        <f>IF('DM_NHAN_SU'!$B84="","",IF($B84="","",IF($G84="Tháng",IF($I84&gt;0,'DM_NHAN_SU'!$K84*MIN($K84,$I84)/$I84,0),IF($G84="Ngày",'DM_NHAN_SU'!$K84*$K84,IF($G84="Giờ",'DM_NHAN_SU'!$K84*$L84,IF($G84="Sản phẩm",'DM_NHAN_SU'!$K84*$N84,0))))))</f>
        <v/>
      </c>
      <c r="P84" s="224">
        <f>IF('DM_NHAN_SU'!$B84="","",'CHAM_CONG_THANG'!O84)</f>
        <v/>
      </c>
      <c r="Q84" s="224">
        <f>IF('DM_NHAN_SU'!$B84="","",'CHAM_CONG_THANG'!P84)</f>
        <v/>
      </c>
      <c r="R84" s="224">
        <f>IF('DM_NHAN_SU'!$B84="","",'CHAM_CONG_THANG'!Q84)</f>
        <v/>
      </c>
      <c r="S84" s="224">
        <f>IF('DM_NHAN_SU'!$B84="","",'CHAM_CONG_THANG'!R84)</f>
        <v/>
      </c>
      <c r="T84" s="224">
        <f>IF('DM_NHAN_SU'!$B84="","",'CHAM_CONG_THANG'!S84)</f>
        <v/>
      </c>
      <c r="U84" s="224">
        <f>IF('DM_NHAN_SU'!$B84="","",MIN($T84,'THAM_SO'!$F$6))</f>
        <v/>
      </c>
      <c r="V84" s="224">
        <f>IF('DM_NHAN_SU'!$B84="","",MAX($T84-$U84,0))</f>
        <v/>
      </c>
      <c r="W84" s="224">
        <f>IF('DM_NHAN_SU'!$B84="","",'CHAM_CONG_THANG'!T84)</f>
        <v/>
      </c>
      <c r="X84" s="224">
        <f>IF('DM_NHAN_SU'!$B84="","",'CHAM_CONG_THANG'!U84)</f>
        <v/>
      </c>
      <c r="Y84" s="224">
        <f>IF('DM_NHAN_SU'!$B84="","",IF($B84="",0,IF('DM_NHAN_SU'!$Q84&gt;0,'DM_NHAN_SU'!$Q84,IF($G84="Tháng",IF($I84*$J84&gt;0,'DM_NHAN_SU'!$K84/($I84*$J84),0),IF($G84="Ngày",IF($J84&gt;0,'DM_NHAN_SU'!$K84/$J84,0),IF($G84="Giờ",'DM_NHAN_SU'!$K84,0))))))</f>
        <v/>
      </c>
      <c r="Z84" s="224">
        <f>IF('DM_NHAN_SU'!$B84="","",$Y84*($M84*'THAM_SO'!$C$22+'CHAM_CONG_THANG'!$AF84*'THAM_SO'!$C$19+'CHAM_CONG_THANG'!$AG84*'THAM_SO'!$C$20+'CHAM_CONG_THANG'!$AH84*'THAM_SO'!$C$21+'CHAM_CONG_THANG'!$AI84*'THAM_SO'!$C$23+'CHAM_CONG_THANG'!$AJ84*'THAM_SO'!$C$24+'CHAM_CONG_THANG'!$AK84*'THAM_SO'!$C$25))</f>
        <v/>
      </c>
      <c r="AA84" s="224">
        <f>IF('DM_NHAN_SU'!$B84="","",MAX(0,$Y84*($M84*IF('THAM_SO'!$C$22&gt;='THAM_SO'!$B$22,'THAM_SO'!$B$22,0)+'CHAM_CONG_THANG'!$AF84*IF('THAM_SO'!$C$19&gt;='THAM_SO'!$B$19,'THAM_SO'!$B$19,0)+'CHAM_CONG_THANG'!$AG84*IF('THAM_SO'!$C$20&gt;='THAM_SO'!$B$20,'THAM_SO'!$B$20,0)+'CHAM_CONG_THANG'!$AH84*IF('THAM_SO'!$C$21&gt;='THAM_SO'!$B$21,'THAM_SO'!$B$21,0)+'CHAM_CONG_THANG'!$AI84*IF('THAM_SO'!$C$23&gt;='THAM_SO'!$B$23,'THAM_SO'!$B$23,0)+'CHAM_CONG_THANG'!$AJ84*IF('THAM_SO'!$C$24&gt;='THAM_SO'!$B$24,'THAM_SO'!$B$24,0)+'CHAM_CONG_THANG'!$AK84*IF('THAM_SO'!$C$25&gt;='THAM_SO'!$B$25,'THAM_SO'!$B$25,0))-'CHAM_CONG_THANG'!$V84))</f>
        <v/>
      </c>
      <c r="AB84" s="224">
        <f>IF('DM_NHAN_SU'!$B84="","",MAX($Z84-$AA84,0))</f>
        <v/>
      </c>
      <c r="AC84" s="224">
        <f>IF('DM_NHAN_SU'!$B84="","",$O84+$P84+$Q84+$R84+$S84+$V84+$AB84+$BO84+$BP84+$BQ84+$BR84)</f>
        <v/>
      </c>
      <c r="AD84" s="224">
        <f>IF('DM_NHAN_SU'!$B84="","",'DM_NHAN_SU'!N84+'DM_NHAN_SU'!O84+'DM_NHAN_SU'!P84)</f>
        <v/>
      </c>
      <c r="AE84" s="224">
        <f>IF('DM_NHAN_SU'!$B84="","",IF(OR('DM_NHAN_SU'!$R84&lt;&gt;"Có",'CHAM_CONG_THANG'!$AA84="Có",$BL84&gt;=14,$AD84&lt;=0),0,MIN(MAX($AD84,'THAM_SO'!$M$6),'THAM_SO'!$M$7)))</f>
        <v/>
      </c>
      <c r="AF84" s="224">
        <f>IF('DM_NHAN_SU'!$B84="","",IF(OR('DM_NHAN_SU'!$S84&lt;&gt;"Có",'CHAM_CONG_THANG'!$AA84="Có",$BL84&gt;=14,$AD84&lt;=0),0,MIN(MAX($AD84,VLOOKUP($H84,'THAM_SO'!$L$17:$P$20,4,FALSE)),VLOOKUP($H84,'THAM_SO'!$L$17:$P$20,5,FALSE))))</f>
        <v/>
      </c>
      <c r="AG84" s="224">
        <f>IF('DM_NHAN_SU'!$B84="","",$AE84*'THAM_SO'!$M$8)</f>
        <v/>
      </c>
      <c r="AH84" s="224">
        <f>IF('DM_NHAN_SU'!$B84="","",$AE84*'THAM_SO'!$M$9)</f>
        <v/>
      </c>
      <c r="AI84" s="224">
        <f>IF('DM_NHAN_SU'!$B84="","",$AF84*'THAM_SO'!$M$10)</f>
        <v/>
      </c>
      <c r="AJ84" s="224">
        <f>IF('DM_NHAN_SU'!$B84="","",SUM($AG84:$AI84))</f>
        <v/>
      </c>
      <c r="AK84" s="224">
        <f>IF('DM_NHAN_SU'!$B84="","",IF($B84="",0,'THAM_SO'!$F$4))</f>
        <v/>
      </c>
      <c r="AL84" s="224">
        <f>IF('DM_NHAN_SU'!$B84="","",IF($B84="",0,'DM_NHAN_SU'!$T84*'THAM_SO'!$F$5))</f>
        <v/>
      </c>
      <c r="AM84" s="224">
        <f>IF('DM_NHAN_SU'!$B84="","",'CHAM_CONG_THANG'!W84)</f>
        <v/>
      </c>
      <c r="AN84" s="224">
        <f>IF('DM_NHAN_SU'!$B84="","",MAX($AC84-$AK84-$AL84-$AM84,0))</f>
        <v/>
      </c>
      <c r="AO84" s="224">
        <f>IF('DM_NHAN_SU'!$B84="","",IF($B84="","",IF($F84="Net",IF($AC84&lt;=$AK84+$AL84+$AM84,$AC84+$AJ84,$AJ84+$AK84+$AL84+$AM84+IF($AN84&lt;='THAM_SO'!$J$10,($AN84-'THAM_SO'!$I$10)/(1-'THAM_SO'!$H$10),IF($AN84&lt;='THAM_SO'!$J$11,($AN84-'THAM_SO'!$I$11)/(1-'THAM_SO'!$H$11),IF($AN84&lt;='THAM_SO'!$J$12,($AN84-'THAM_SO'!$I$12)/(1-'THAM_SO'!$H$12),IF($AN84&lt;='THAM_SO'!$J$13,($AN84-'THAM_SO'!$I$13)/(1-'THAM_SO'!$H$13),($AN84-'THAM_SO'!$I$14)/(1-'THAM_SO'!$H$14)))))),$AC84)))</f>
        <v/>
      </c>
      <c r="AP84" s="224">
        <f>IF('DM_NHAN_SU'!$B84="","",$U84+$W84+$X84+$AA84+$BS84)</f>
        <v/>
      </c>
      <c r="AQ84" s="224">
        <f>IF('DM_NHAN_SU'!$B84="","",MAX($AO84-$AJ84-$AK84-$AL84-$AM84,0))</f>
        <v/>
      </c>
      <c r="AR84" s="224">
        <f>IF('DM_NHAN_SU'!$B84="","",IF($AQ84&lt;=0,0,$AQ84*VLOOKUP($AQ84,'THAM_SO'!$F$10:$I$14,3,TRUE)-VLOOKUP($AQ84,'THAM_SO'!$F$10:$I$14,4,TRUE)))</f>
        <v/>
      </c>
      <c r="AS84" s="224">
        <f>IF('DM_NHAN_SU'!$B84="","",$AO84+$AP84)</f>
        <v/>
      </c>
      <c r="AT84" s="224">
        <f>IF('DM_NHAN_SU'!$B84="","",$AS84-$AJ84-$AR84)</f>
        <v/>
      </c>
      <c r="AU84" s="224">
        <f>IF('DM_NHAN_SU'!$B84="","",'CHAM_CONG_THANG'!X84)</f>
        <v/>
      </c>
      <c r="AV84" s="224">
        <f>IF('DM_NHAN_SU'!$B84="","",'CHAM_CONG_THANG'!Y84+'QT_NGHI_VIEC'!AD84)</f>
        <v/>
      </c>
      <c r="AW84" s="224">
        <f>IF('DM_NHAN_SU'!$B84="","",'CHAM_CONG_THANG'!Z84)</f>
        <v/>
      </c>
      <c r="AX84" s="224">
        <f>IF('DM_NHAN_SU'!$B84="","",$AT84-$AU84-$AV84-$AW84-$BV84)</f>
        <v/>
      </c>
      <c r="AY84" s="224">
        <f>IF('DM_NHAN_SU'!$B84="","",$AE84*'THAM_SO'!$M$11)</f>
        <v/>
      </c>
      <c r="AZ84" s="224">
        <f>IF('DM_NHAN_SU'!$B84="","",$AE84*'THAM_SO'!$M$12)</f>
        <v/>
      </c>
      <c r="BA84" s="224">
        <f>IF('DM_NHAN_SU'!$B84="","",$AF84*'THAM_SO'!$M$13)</f>
        <v/>
      </c>
      <c r="BB84" s="224">
        <f>IF('DM_NHAN_SU'!$B84="","",$AE84*'THAM_SO'!$M$14)</f>
        <v/>
      </c>
      <c r="BC84" s="224">
        <f>IF('DM_NHAN_SU'!$B84="","",SUM($AY84:$BB84))</f>
        <v/>
      </c>
      <c r="BD84" s="224">
        <f>IF('DM_NHAN_SU'!$B84="","",$AS84+$BC84)</f>
        <v/>
      </c>
      <c r="BE84" s="224">
        <f>IF('DM_NHAN_SU'!$B84="","",VLOOKUP($H84,'THAM_SO'!$L$17:$P$20,2,FALSE))</f>
        <v/>
      </c>
      <c r="BF84" s="224">
        <f>IF('DM_NHAN_SU'!$B84="","",VLOOKUP($H84,'THAM_SO'!$L$17:$P$20,3,FALSE))</f>
        <v/>
      </c>
      <c r="BG84" s="150">
        <f>IF('DM_NHAN_SU'!$B84="","",IF($B84="","",IF(COUNTIF('DM_NHAN_SU'!$B$6:$B$155,$B84)&gt;1,"Trùng mã NV; ","")&amp;IF(OR($F84="",$G84=""),"Thiếu loại/hình thức lương; ","")&amp;IF('CHAM_CONG_THANG'!$D84="","Chưa chọn nguồn công; ","")&amp;IF(AND('CHAM_CONG_THANG'!$D84="Theo ngày",COUNTIF('CHAM_CONG_NGAY'!$B$6:$B$4655,$B84)=0),"Chưa có chấm công ngày; ","")&amp;IF(OR($I84&lt;=0,$J84&lt;=0),"Thiếu công/giờ chuẩn; ","")&amp;IF(AND($G84="Tháng",'DM_NHAN_SU'!$K84&lt;$BE84),"Lương tháng dưới tối thiểu vùng; ","")&amp;IF(AND($G84="Ngày",'DM_NHAN_SU'!$K84/$J84&lt;$BF84),"Lương ngày quy đổi dưới tối thiểu giờ; ","")&amp;IF(AND($G84="Giờ",'DM_NHAN_SU'!$K84&lt;$BF84),"Lương giờ dưới tối thiểu vùng; ","")&amp;IF(AND($G84="Sản phẩm",$L84&gt;0,$O84/$L84&lt;$BF84),"Lương SP quy đổi dưới tối thiểu giờ; ","")&amp;IF(OR('THAM_SO'!$C$19&lt;'THAM_SO'!$B$19,'THAM_SO'!$C$20&lt;'THAM_SO'!$B$20,'THAM_SO'!$C$21&lt;'THAM_SO'!$B$21,'THAM_SO'!$C$22&lt;'THAM_SO'!$B$22,'THAM_SO'!$C$23&lt;'THAM_SO'!$B$23,'THAM_SO'!$C$24&lt;'THAM_SO'!$B$24,'THAM_SO'!$C$25&lt;'THAM_SO'!$B$25),"Hệ số OT/đêm DN thấp hơn luật; ","")&amp;IF(AND('DM_NHAN_SU'!$R84="Có",$AD84&lt;=0),"Thiếu căn cứ đóng BH; ","")&amp;IF(AND($AD84&gt;0,$AD84&lt;'THAM_SO'!$M$6),"Căn cứ BH dưới sàn – đã nâng sàn; ","")&amp;IF($AD84&gt;'THAM_SO'!$M$7,"Căn cứ BH vượt trần – đã giới hạn; ","")&amp;IF(AND($F84="Net",SUM('CHAM_CONG_THANG'!$AF84:$AK84)&gt;0,'DM_NHAN_SU'!$Q84&lt;=0),"Net có OT nhưng chưa khai lương giờ OT; ","")&amp;IF('CHAM_CONG_THANG'!$V84&gt;$Z84,"Phần OT không miễn lớn hơn tiền OT; ","")&amp;IF(AND($F84="Net",ABS($AT84-$AC84-$AP84)&gt;1),"Lệch quy đổi Net; ","")&amp;IF(AND($BH84&gt;0,'DM_NHAN_SU'!$AD84=""),"Có phép năm nhưng đang tạm dùng 12 ngày; ","")&amp;IF(AND($G84="Sản phẩm",SUM($BH84:$BJ84)&gt;0,'DM_NHAN_SU'!$AH84&lt;=0),"Lương sản phẩm thiếu đơn giá ngày phép/lễ; ","")&amp;IF(AND($BL84&gt;=14,'CHAM_CONG_THANG'!$AA84&lt;&gt;"Có"),"Thai sản từ 14 ngày: file tự dừng đóng BH – kiểm tra hồ sơ; ","")&amp;IF(AND('DM_NHAN_SU'!$AA84="Có",'DM_NHAN_SU'!$AB84=""),"Đoàn viên chưa chọn cách tính đoàn phí; ","")&amp;IF(AND('DM_NHAN_SU'!$AB84="Nhập tay",'DM_NHAN_SU'!$AC84&gt;'THAM_SO'!$M$26),"Đoàn phí nhập tay vượt trần thông dụng; ","")&amp;IF('NGHI_PHEP'!$L84&lt;&gt;"","Phép: "&amp;'NGHI_PHEP'!$L84,"")&amp;IF('CHE_DO_BHXH'!$AA84&lt;&gt;"","BHXH: "&amp;'CHE_DO_BHXH'!$AA84,"")&amp;IF('THUONG_T13_TET'!$O84&lt;&gt;"","Thưởng: "&amp;'THUONG_T13_TET'!$O84,"")&amp;IF('QT_NGHI_VIEC'!$AF84&lt;&gt;"","Nghỉ việc: "&amp;'QT_NGHI_VIEC'!$AF84,"")&amp;IF($AX84&lt;0,"Thực lĩnh âm; ","")&amp;IF(OR('DM_NHAN_SU'!$F84&gt;'THAM_SO'!$B$7,AND('DM_NHAN_SU'!$G84&lt;&gt;"",'DM_NHAN_SU'!$G84&lt;'THAM_SO'!$B$6)),"Ngoài kỳ trả lương; ","")))</f>
        <v/>
      </c>
      <c r="BH84" s="232">
        <f>IF('DM_NHAN_SU'!$B84="","",'CHAM_CONG_THANG'!AR84)</f>
        <v/>
      </c>
      <c r="BI84" s="232">
        <f>IF('DM_NHAN_SU'!$B84="","",'CHAM_CONG_THANG'!AS84)</f>
        <v/>
      </c>
      <c r="BJ84" s="232">
        <f>IF('DM_NHAN_SU'!$B84="","",'CHAM_CONG_THANG'!AT84)</f>
        <v/>
      </c>
      <c r="BK84" s="232">
        <f>IF('DM_NHAN_SU'!$B84="","",'CHAM_CONG_THANG'!AU84)</f>
        <v/>
      </c>
      <c r="BL84" s="232">
        <f>IF('DM_NHAN_SU'!$B84="","",'CHAM_CONG_THANG'!AV84)</f>
        <v/>
      </c>
      <c r="BM84" s="232">
        <f>IF('DM_NHAN_SU'!$B84="","",'CHAM_CONG_THANG'!AW84)</f>
        <v/>
      </c>
      <c r="BN84" s="232">
        <f>IF('DM_NHAN_SU'!$B84="","",SUM($K84,$BH84:$BJ84))</f>
        <v/>
      </c>
      <c r="BO84" s="224">
        <f>IF('DM_NHAN_SU'!$B84="","",IF($B84="",0,IF($G84="Tháng",IF($I84&gt;0,'DM_NHAN_SU'!$K84*MIN($BH84+$BJ84,MAX($I84-$K84,0))/$I84,0),IF($G84="Ngày",'DM_NHAN_SU'!$K84*SUM($BH84:$BJ84),IF($G84="Giờ",'DM_NHAN_SU'!$K84*SUM($BH84:$BJ84)*$J84,IF($G84="Sản phẩm",'DM_NHAN_SU'!$AH84*SUM($BH84:$BJ84),0))))))</f>
        <v/>
      </c>
      <c r="BP84" s="224">
        <f>IF('DM_NHAN_SU'!$B84="","",IF('THUONG_T13_TET'!$L84="Có",'THUONG_T13_TET'!$I84,0))</f>
        <v/>
      </c>
      <c r="BQ84" s="224">
        <f>IF('DM_NHAN_SU'!$B84="","",IF('THUONG_T13_TET'!$L84="Có",SUM('THUONG_T13_TET'!$J84:$K84),0))</f>
        <v/>
      </c>
      <c r="BR84" s="224">
        <f>IF('DM_NHAN_SU'!$B84="","",'QT_NGHI_VIEC'!AC84)</f>
        <v/>
      </c>
      <c r="BS84" s="224">
        <f>IF('DM_NHAN_SU'!$B84="","",'QT_NGHI_VIEC'!AB84)</f>
        <v/>
      </c>
      <c r="BT84" s="224">
        <f>IF('DM_NHAN_SU'!$B84="","",IF('CHE_DO_BHXH'!$Z84="Có",'CHE_DO_BHXH'!$W84,0))</f>
        <v/>
      </c>
      <c r="BU84" s="224">
        <f>IF('DM_NHAN_SU'!$B84="","",IF('CHE_DO_BHXH'!$Y84="DN trả thay",$BT84,0))</f>
        <v/>
      </c>
      <c r="BV84" s="224">
        <f>IF('DM_NHAN_SU'!$B84="","",IF(OR('DM_NHAN_SU'!$AA84&lt;&gt;"Có",'CHE_DO_BHXH'!$O84&gt;=1,SUM('CHE_DO_BHXH'!$D84,'CHE_DO_BHXH'!$G84,'CHE_DO_BHXH'!$K84)&gt;=24,AND($I84&gt;0,$BM84&gt;=$I84)),0,IF('DM_NHAN_SU'!$AB84="Không",0,IF('DM_NHAN_SU'!$AB84="Nhập tay",'DM_NHAN_SU'!$AC84,IF('DM_NHAN_SU'!$AB84="Theo thực nhận",MIN(MAX($AT84-$AU84-$AV84-$AW84,0)*'THAM_SO'!$M$23,'THAM_SO'!$M$26),MIN($AE84*'THAM_SO'!$M$23,'THAM_SO'!$M$26))))))</f>
        <v/>
      </c>
      <c r="BW84" s="224">
        <f>IF('DM_NHAN_SU'!$B84="","",$AX84+$BU84)</f>
        <v/>
      </c>
    </row>
    <row r="85">
      <c r="A85" s="145">
        <f>IF('DM_NHAN_SU'!$B85="","",IF($B85="","",ROW()-5))</f>
        <v/>
      </c>
      <c r="B85" s="145">
        <f>IF('DM_NHAN_SU'!$B85="","",'DM_NHAN_SU'!B85)</f>
        <v/>
      </c>
      <c r="C85" s="145">
        <f>IF('DM_NHAN_SU'!$B85="","",'DM_NHAN_SU'!C85)</f>
        <v/>
      </c>
      <c r="D85" s="145">
        <f>IF('DM_NHAN_SU'!$B85="","",'DM_NHAN_SU'!D85)</f>
        <v/>
      </c>
      <c r="E85" s="145">
        <f>IF('DM_NHAN_SU'!$B85="","",'DM_NHAN_SU'!E85)</f>
        <v/>
      </c>
      <c r="F85" s="145">
        <f>IF('DM_NHAN_SU'!$B85="","",'DM_NHAN_SU'!I85)</f>
        <v/>
      </c>
      <c r="G85" s="145">
        <f>IF('DM_NHAN_SU'!$B85="","",'DM_NHAN_SU'!J85)</f>
        <v/>
      </c>
      <c r="H85" s="145">
        <f>IF('DM_NHAN_SU'!$B85="","",IF('DM_NHAN_SU'!H85="",'THAM_SO'!$B$11,'DM_NHAN_SU'!H85))</f>
        <v/>
      </c>
      <c r="I85" s="232">
        <f>IF('DM_NHAN_SU'!$B85="","",IF('DM_NHAN_SU'!L85&gt;0,'DM_NHAN_SU'!L85,'THAM_SO'!$B$9))</f>
        <v/>
      </c>
      <c r="J85" s="232">
        <f>IF('DM_NHAN_SU'!$B85="","",IF('DM_NHAN_SU'!M85&gt;0,'DM_NHAN_SU'!M85,'THAM_SO'!$B$10))</f>
        <v/>
      </c>
      <c r="K85" s="232">
        <f>IF('DM_NHAN_SU'!$B85="","",'CHAM_CONG_THANG'!AC85)</f>
        <v/>
      </c>
      <c r="L85" s="232">
        <f>IF('DM_NHAN_SU'!$B85="","",'CHAM_CONG_THANG'!AD85)</f>
        <v/>
      </c>
      <c r="M85" s="232">
        <f>IF('DM_NHAN_SU'!$B85="","",'CHAM_CONG_THANG'!AE85)</f>
        <v/>
      </c>
      <c r="N85" s="232">
        <f>IF('DM_NHAN_SU'!$B85="","",'CHAM_CONG_THANG'!N85)</f>
        <v/>
      </c>
      <c r="O85" s="224">
        <f>IF('DM_NHAN_SU'!$B85="","",IF($B85="","",IF($G85="Tháng",IF($I85&gt;0,'DM_NHAN_SU'!$K85*MIN($K85,$I85)/$I85,0),IF($G85="Ngày",'DM_NHAN_SU'!$K85*$K85,IF($G85="Giờ",'DM_NHAN_SU'!$K85*$L85,IF($G85="Sản phẩm",'DM_NHAN_SU'!$K85*$N85,0))))))</f>
        <v/>
      </c>
      <c r="P85" s="224">
        <f>IF('DM_NHAN_SU'!$B85="","",'CHAM_CONG_THANG'!O85)</f>
        <v/>
      </c>
      <c r="Q85" s="224">
        <f>IF('DM_NHAN_SU'!$B85="","",'CHAM_CONG_THANG'!P85)</f>
        <v/>
      </c>
      <c r="R85" s="224">
        <f>IF('DM_NHAN_SU'!$B85="","",'CHAM_CONG_THANG'!Q85)</f>
        <v/>
      </c>
      <c r="S85" s="224">
        <f>IF('DM_NHAN_SU'!$B85="","",'CHAM_CONG_THANG'!R85)</f>
        <v/>
      </c>
      <c r="T85" s="224">
        <f>IF('DM_NHAN_SU'!$B85="","",'CHAM_CONG_THANG'!S85)</f>
        <v/>
      </c>
      <c r="U85" s="224">
        <f>IF('DM_NHAN_SU'!$B85="","",MIN($T85,'THAM_SO'!$F$6))</f>
        <v/>
      </c>
      <c r="V85" s="224">
        <f>IF('DM_NHAN_SU'!$B85="","",MAX($T85-$U85,0))</f>
        <v/>
      </c>
      <c r="W85" s="224">
        <f>IF('DM_NHAN_SU'!$B85="","",'CHAM_CONG_THANG'!T85)</f>
        <v/>
      </c>
      <c r="X85" s="224">
        <f>IF('DM_NHAN_SU'!$B85="","",'CHAM_CONG_THANG'!U85)</f>
        <v/>
      </c>
      <c r="Y85" s="224">
        <f>IF('DM_NHAN_SU'!$B85="","",IF($B85="",0,IF('DM_NHAN_SU'!$Q85&gt;0,'DM_NHAN_SU'!$Q85,IF($G85="Tháng",IF($I85*$J85&gt;0,'DM_NHAN_SU'!$K85/($I85*$J85),0),IF($G85="Ngày",IF($J85&gt;0,'DM_NHAN_SU'!$K85/$J85,0),IF($G85="Giờ",'DM_NHAN_SU'!$K85,0))))))</f>
        <v/>
      </c>
      <c r="Z85" s="224">
        <f>IF('DM_NHAN_SU'!$B85="","",$Y85*($M85*'THAM_SO'!$C$22+'CHAM_CONG_THANG'!$AF85*'THAM_SO'!$C$19+'CHAM_CONG_THANG'!$AG85*'THAM_SO'!$C$20+'CHAM_CONG_THANG'!$AH85*'THAM_SO'!$C$21+'CHAM_CONG_THANG'!$AI85*'THAM_SO'!$C$23+'CHAM_CONG_THANG'!$AJ85*'THAM_SO'!$C$24+'CHAM_CONG_THANG'!$AK85*'THAM_SO'!$C$25))</f>
        <v/>
      </c>
      <c r="AA85" s="224">
        <f>IF('DM_NHAN_SU'!$B85="","",MAX(0,$Y85*($M85*IF('THAM_SO'!$C$22&gt;='THAM_SO'!$B$22,'THAM_SO'!$B$22,0)+'CHAM_CONG_THANG'!$AF85*IF('THAM_SO'!$C$19&gt;='THAM_SO'!$B$19,'THAM_SO'!$B$19,0)+'CHAM_CONG_THANG'!$AG85*IF('THAM_SO'!$C$20&gt;='THAM_SO'!$B$20,'THAM_SO'!$B$20,0)+'CHAM_CONG_THANG'!$AH85*IF('THAM_SO'!$C$21&gt;='THAM_SO'!$B$21,'THAM_SO'!$B$21,0)+'CHAM_CONG_THANG'!$AI85*IF('THAM_SO'!$C$23&gt;='THAM_SO'!$B$23,'THAM_SO'!$B$23,0)+'CHAM_CONG_THANG'!$AJ85*IF('THAM_SO'!$C$24&gt;='THAM_SO'!$B$24,'THAM_SO'!$B$24,0)+'CHAM_CONG_THANG'!$AK85*IF('THAM_SO'!$C$25&gt;='THAM_SO'!$B$25,'THAM_SO'!$B$25,0))-'CHAM_CONG_THANG'!$V85))</f>
        <v/>
      </c>
      <c r="AB85" s="224">
        <f>IF('DM_NHAN_SU'!$B85="","",MAX($Z85-$AA85,0))</f>
        <v/>
      </c>
      <c r="AC85" s="224">
        <f>IF('DM_NHAN_SU'!$B85="","",$O85+$P85+$Q85+$R85+$S85+$V85+$AB85+$BO85+$BP85+$BQ85+$BR85)</f>
        <v/>
      </c>
      <c r="AD85" s="224">
        <f>IF('DM_NHAN_SU'!$B85="","",'DM_NHAN_SU'!N85+'DM_NHAN_SU'!O85+'DM_NHAN_SU'!P85)</f>
        <v/>
      </c>
      <c r="AE85" s="224">
        <f>IF('DM_NHAN_SU'!$B85="","",IF(OR('DM_NHAN_SU'!$R85&lt;&gt;"Có",'CHAM_CONG_THANG'!$AA85="Có",$BL85&gt;=14,$AD85&lt;=0),0,MIN(MAX($AD85,'THAM_SO'!$M$6),'THAM_SO'!$M$7)))</f>
        <v/>
      </c>
      <c r="AF85" s="224">
        <f>IF('DM_NHAN_SU'!$B85="","",IF(OR('DM_NHAN_SU'!$S85&lt;&gt;"Có",'CHAM_CONG_THANG'!$AA85="Có",$BL85&gt;=14,$AD85&lt;=0),0,MIN(MAX($AD85,VLOOKUP($H85,'THAM_SO'!$L$17:$P$20,4,FALSE)),VLOOKUP($H85,'THAM_SO'!$L$17:$P$20,5,FALSE))))</f>
        <v/>
      </c>
      <c r="AG85" s="224">
        <f>IF('DM_NHAN_SU'!$B85="","",$AE85*'THAM_SO'!$M$8)</f>
        <v/>
      </c>
      <c r="AH85" s="224">
        <f>IF('DM_NHAN_SU'!$B85="","",$AE85*'THAM_SO'!$M$9)</f>
        <v/>
      </c>
      <c r="AI85" s="224">
        <f>IF('DM_NHAN_SU'!$B85="","",$AF85*'THAM_SO'!$M$10)</f>
        <v/>
      </c>
      <c r="AJ85" s="224">
        <f>IF('DM_NHAN_SU'!$B85="","",SUM($AG85:$AI85))</f>
        <v/>
      </c>
      <c r="AK85" s="224">
        <f>IF('DM_NHAN_SU'!$B85="","",IF($B85="",0,'THAM_SO'!$F$4))</f>
        <v/>
      </c>
      <c r="AL85" s="224">
        <f>IF('DM_NHAN_SU'!$B85="","",IF($B85="",0,'DM_NHAN_SU'!$T85*'THAM_SO'!$F$5))</f>
        <v/>
      </c>
      <c r="AM85" s="224">
        <f>IF('DM_NHAN_SU'!$B85="","",'CHAM_CONG_THANG'!W85)</f>
        <v/>
      </c>
      <c r="AN85" s="224">
        <f>IF('DM_NHAN_SU'!$B85="","",MAX($AC85-$AK85-$AL85-$AM85,0))</f>
        <v/>
      </c>
      <c r="AO85" s="224">
        <f>IF('DM_NHAN_SU'!$B85="","",IF($B85="","",IF($F85="Net",IF($AC85&lt;=$AK85+$AL85+$AM85,$AC85+$AJ85,$AJ85+$AK85+$AL85+$AM85+IF($AN85&lt;='THAM_SO'!$J$10,($AN85-'THAM_SO'!$I$10)/(1-'THAM_SO'!$H$10),IF($AN85&lt;='THAM_SO'!$J$11,($AN85-'THAM_SO'!$I$11)/(1-'THAM_SO'!$H$11),IF($AN85&lt;='THAM_SO'!$J$12,($AN85-'THAM_SO'!$I$12)/(1-'THAM_SO'!$H$12),IF($AN85&lt;='THAM_SO'!$J$13,($AN85-'THAM_SO'!$I$13)/(1-'THAM_SO'!$H$13),($AN85-'THAM_SO'!$I$14)/(1-'THAM_SO'!$H$14)))))),$AC85)))</f>
        <v/>
      </c>
      <c r="AP85" s="224">
        <f>IF('DM_NHAN_SU'!$B85="","",$U85+$W85+$X85+$AA85+$BS85)</f>
        <v/>
      </c>
      <c r="AQ85" s="224">
        <f>IF('DM_NHAN_SU'!$B85="","",MAX($AO85-$AJ85-$AK85-$AL85-$AM85,0))</f>
        <v/>
      </c>
      <c r="AR85" s="224">
        <f>IF('DM_NHAN_SU'!$B85="","",IF($AQ85&lt;=0,0,$AQ85*VLOOKUP($AQ85,'THAM_SO'!$F$10:$I$14,3,TRUE)-VLOOKUP($AQ85,'THAM_SO'!$F$10:$I$14,4,TRUE)))</f>
        <v/>
      </c>
      <c r="AS85" s="224">
        <f>IF('DM_NHAN_SU'!$B85="","",$AO85+$AP85)</f>
        <v/>
      </c>
      <c r="AT85" s="224">
        <f>IF('DM_NHAN_SU'!$B85="","",$AS85-$AJ85-$AR85)</f>
        <v/>
      </c>
      <c r="AU85" s="224">
        <f>IF('DM_NHAN_SU'!$B85="","",'CHAM_CONG_THANG'!X85)</f>
        <v/>
      </c>
      <c r="AV85" s="224">
        <f>IF('DM_NHAN_SU'!$B85="","",'CHAM_CONG_THANG'!Y85+'QT_NGHI_VIEC'!AD85)</f>
        <v/>
      </c>
      <c r="AW85" s="224">
        <f>IF('DM_NHAN_SU'!$B85="","",'CHAM_CONG_THANG'!Z85)</f>
        <v/>
      </c>
      <c r="AX85" s="224">
        <f>IF('DM_NHAN_SU'!$B85="","",$AT85-$AU85-$AV85-$AW85-$BV85)</f>
        <v/>
      </c>
      <c r="AY85" s="224">
        <f>IF('DM_NHAN_SU'!$B85="","",$AE85*'THAM_SO'!$M$11)</f>
        <v/>
      </c>
      <c r="AZ85" s="224">
        <f>IF('DM_NHAN_SU'!$B85="","",$AE85*'THAM_SO'!$M$12)</f>
        <v/>
      </c>
      <c r="BA85" s="224">
        <f>IF('DM_NHAN_SU'!$B85="","",$AF85*'THAM_SO'!$M$13)</f>
        <v/>
      </c>
      <c r="BB85" s="224">
        <f>IF('DM_NHAN_SU'!$B85="","",$AE85*'THAM_SO'!$M$14)</f>
        <v/>
      </c>
      <c r="BC85" s="224">
        <f>IF('DM_NHAN_SU'!$B85="","",SUM($AY85:$BB85))</f>
        <v/>
      </c>
      <c r="BD85" s="224">
        <f>IF('DM_NHAN_SU'!$B85="","",$AS85+$BC85)</f>
        <v/>
      </c>
      <c r="BE85" s="224">
        <f>IF('DM_NHAN_SU'!$B85="","",VLOOKUP($H85,'THAM_SO'!$L$17:$P$20,2,FALSE))</f>
        <v/>
      </c>
      <c r="BF85" s="224">
        <f>IF('DM_NHAN_SU'!$B85="","",VLOOKUP($H85,'THAM_SO'!$L$17:$P$20,3,FALSE))</f>
        <v/>
      </c>
      <c r="BG85" s="150">
        <f>IF('DM_NHAN_SU'!$B85="","",IF($B85="","",IF(COUNTIF('DM_NHAN_SU'!$B$6:$B$155,$B85)&gt;1,"Trùng mã NV; ","")&amp;IF(OR($F85="",$G85=""),"Thiếu loại/hình thức lương; ","")&amp;IF('CHAM_CONG_THANG'!$D85="","Chưa chọn nguồn công; ","")&amp;IF(AND('CHAM_CONG_THANG'!$D85="Theo ngày",COUNTIF('CHAM_CONG_NGAY'!$B$6:$B$4655,$B85)=0),"Chưa có chấm công ngày; ","")&amp;IF(OR($I85&lt;=0,$J85&lt;=0),"Thiếu công/giờ chuẩn; ","")&amp;IF(AND($G85="Tháng",'DM_NHAN_SU'!$K85&lt;$BE85),"Lương tháng dưới tối thiểu vùng; ","")&amp;IF(AND($G85="Ngày",'DM_NHAN_SU'!$K85/$J85&lt;$BF85),"Lương ngày quy đổi dưới tối thiểu giờ; ","")&amp;IF(AND($G85="Giờ",'DM_NHAN_SU'!$K85&lt;$BF85),"Lương giờ dưới tối thiểu vùng; ","")&amp;IF(AND($G85="Sản phẩm",$L85&gt;0,$O85/$L85&lt;$BF85),"Lương SP quy đổi dưới tối thiểu giờ; ","")&amp;IF(OR('THAM_SO'!$C$19&lt;'THAM_SO'!$B$19,'THAM_SO'!$C$20&lt;'THAM_SO'!$B$20,'THAM_SO'!$C$21&lt;'THAM_SO'!$B$21,'THAM_SO'!$C$22&lt;'THAM_SO'!$B$22,'THAM_SO'!$C$23&lt;'THAM_SO'!$B$23,'THAM_SO'!$C$24&lt;'THAM_SO'!$B$24,'THAM_SO'!$C$25&lt;'THAM_SO'!$B$25),"Hệ số OT/đêm DN thấp hơn luật; ","")&amp;IF(AND('DM_NHAN_SU'!$R85="Có",$AD85&lt;=0),"Thiếu căn cứ đóng BH; ","")&amp;IF(AND($AD85&gt;0,$AD85&lt;'THAM_SO'!$M$6),"Căn cứ BH dưới sàn – đã nâng sàn; ","")&amp;IF($AD85&gt;'THAM_SO'!$M$7,"Căn cứ BH vượt trần – đã giới hạn; ","")&amp;IF(AND($F85="Net",SUM('CHAM_CONG_THANG'!$AF85:$AK85)&gt;0,'DM_NHAN_SU'!$Q85&lt;=0),"Net có OT nhưng chưa khai lương giờ OT; ","")&amp;IF('CHAM_CONG_THANG'!$V85&gt;$Z85,"Phần OT không miễn lớn hơn tiền OT; ","")&amp;IF(AND($F85="Net",ABS($AT85-$AC85-$AP85)&gt;1),"Lệch quy đổi Net; ","")&amp;IF(AND($BH85&gt;0,'DM_NHAN_SU'!$AD85=""),"Có phép năm nhưng đang tạm dùng 12 ngày; ","")&amp;IF(AND($G85="Sản phẩm",SUM($BH85:$BJ85)&gt;0,'DM_NHAN_SU'!$AH85&lt;=0),"Lương sản phẩm thiếu đơn giá ngày phép/lễ; ","")&amp;IF(AND($BL85&gt;=14,'CHAM_CONG_THANG'!$AA85&lt;&gt;"Có"),"Thai sản từ 14 ngày: file tự dừng đóng BH – kiểm tra hồ sơ; ","")&amp;IF(AND('DM_NHAN_SU'!$AA85="Có",'DM_NHAN_SU'!$AB85=""),"Đoàn viên chưa chọn cách tính đoàn phí; ","")&amp;IF(AND('DM_NHAN_SU'!$AB85="Nhập tay",'DM_NHAN_SU'!$AC85&gt;'THAM_SO'!$M$26),"Đoàn phí nhập tay vượt trần thông dụng; ","")&amp;IF('NGHI_PHEP'!$L85&lt;&gt;"","Phép: "&amp;'NGHI_PHEP'!$L85,"")&amp;IF('CHE_DO_BHXH'!$AA85&lt;&gt;"","BHXH: "&amp;'CHE_DO_BHXH'!$AA85,"")&amp;IF('THUONG_T13_TET'!$O85&lt;&gt;"","Thưởng: "&amp;'THUONG_T13_TET'!$O85,"")&amp;IF('QT_NGHI_VIEC'!$AF85&lt;&gt;"","Nghỉ việc: "&amp;'QT_NGHI_VIEC'!$AF85,"")&amp;IF($AX85&lt;0,"Thực lĩnh âm; ","")&amp;IF(OR('DM_NHAN_SU'!$F85&gt;'THAM_SO'!$B$7,AND('DM_NHAN_SU'!$G85&lt;&gt;"",'DM_NHAN_SU'!$G85&lt;'THAM_SO'!$B$6)),"Ngoài kỳ trả lương; ","")))</f>
        <v/>
      </c>
      <c r="BH85" s="232">
        <f>IF('DM_NHAN_SU'!$B85="","",'CHAM_CONG_THANG'!AR85)</f>
        <v/>
      </c>
      <c r="BI85" s="232">
        <f>IF('DM_NHAN_SU'!$B85="","",'CHAM_CONG_THANG'!AS85)</f>
        <v/>
      </c>
      <c r="BJ85" s="232">
        <f>IF('DM_NHAN_SU'!$B85="","",'CHAM_CONG_THANG'!AT85)</f>
        <v/>
      </c>
      <c r="BK85" s="232">
        <f>IF('DM_NHAN_SU'!$B85="","",'CHAM_CONG_THANG'!AU85)</f>
        <v/>
      </c>
      <c r="BL85" s="232">
        <f>IF('DM_NHAN_SU'!$B85="","",'CHAM_CONG_THANG'!AV85)</f>
        <v/>
      </c>
      <c r="BM85" s="232">
        <f>IF('DM_NHAN_SU'!$B85="","",'CHAM_CONG_THANG'!AW85)</f>
        <v/>
      </c>
      <c r="BN85" s="232">
        <f>IF('DM_NHAN_SU'!$B85="","",SUM($K85,$BH85:$BJ85))</f>
        <v/>
      </c>
      <c r="BO85" s="224">
        <f>IF('DM_NHAN_SU'!$B85="","",IF($B85="",0,IF($G85="Tháng",IF($I85&gt;0,'DM_NHAN_SU'!$K85*MIN($BH85+$BJ85,MAX($I85-$K85,0))/$I85,0),IF($G85="Ngày",'DM_NHAN_SU'!$K85*SUM($BH85:$BJ85),IF($G85="Giờ",'DM_NHAN_SU'!$K85*SUM($BH85:$BJ85)*$J85,IF($G85="Sản phẩm",'DM_NHAN_SU'!$AH85*SUM($BH85:$BJ85),0))))))</f>
        <v/>
      </c>
      <c r="BP85" s="224">
        <f>IF('DM_NHAN_SU'!$B85="","",IF('THUONG_T13_TET'!$L85="Có",'THUONG_T13_TET'!$I85,0))</f>
        <v/>
      </c>
      <c r="BQ85" s="224">
        <f>IF('DM_NHAN_SU'!$B85="","",IF('THUONG_T13_TET'!$L85="Có",SUM('THUONG_T13_TET'!$J85:$K85),0))</f>
        <v/>
      </c>
      <c r="BR85" s="224">
        <f>IF('DM_NHAN_SU'!$B85="","",'QT_NGHI_VIEC'!AC85)</f>
        <v/>
      </c>
      <c r="BS85" s="224">
        <f>IF('DM_NHAN_SU'!$B85="","",'QT_NGHI_VIEC'!AB85)</f>
        <v/>
      </c>
      <c r="BT85" s="224">
        <f>IF('DM_NHAN_SU'!$B85="","",IF('CHE_DO_BHXH'!$Z85="Có",'CHE_DO_BHXH'!$W85,0))</f>
        <v/>
      </c>
      <c r="BU85" s="224">
        <f>IF('DM_NHAN_SU'!$B85="","",IF('CHE_DO_BHXH'!$Y85="DN trả thay",$BT85,0))</f>
        <v/>
      </c>
      <c r="BV85" s="224">
        <f>IF('DM_NHAN_SU'!$B85="","",IF(OR('DM_NHAN_SU'!$AA85&lt;&gt;"Có",'CHE_DO_BHXH'!$O85&gt;=1,SUM('CHE_DO_BHXH'!$D85,'CHE_DO_BHXH'!$G85,'CHE_DO_BHXH'!$K85)&gt;=24,AND($I85&gt;0,$BM85&gt;=$I85)),0,IF('DM_NHAN_SU'!$AB85="Không",0,IF('DM_NHAN_SU'!$AB85="Nhập tay",'DM_NHAN_SU'!$AC85,IF('DM_NHAN_SU'!$AB85="Theo thực nhận",MIN(MAX($AT85-$AU85-$AV85-$AW85,0)*'THAM_SO'!$M$23,'THAM_SO'!$M$26),MIN($AE85*'THAM_SO'!$M$23,'THAM_SO'!$M$26))))))</f>
        <v/>
      </c>
      <c r="BW85" s="224">
        <f>IF('DM_NHAN_SU'!$B85="","",$AX85+$BU85)</f>
        <v/>
      </c>
    </row>
    <row r="86">
      <c r="A86" s="145">
        <f>IF('DM_NHAN_SU'!$B86="","",IF($B86="","",ROW()-5))</f>
        <v/>
      </c>
      <c r="B86" s="145">
        <f>IF('DM_NHAN_SU'!$B86="","",'DM_NHAN_SU'!B86)</f>
        <v/>
      </c>
      <c r="C86" s="145">
        <f>IF('DM_NHAN_SU'!$B86="","",'DM_NHAN_SU'!C86)</f>
        <v/>
      </c>
      <c r="D86" s="145">
        <f>IF('DM_NHAN_SU'!$B86="","",'DM_NHAN_SU'!D86)</f>
        <v/>
      </c>
      <c r="E86" s="145">
        <f>IF('DM_NHAN_SU'!$B86="","",'DM_NHAN_SU'!E86)</f>
        <v/>
      </c>
      <c r="F86" s="145">
        <f>IF('DM_NHAN_SU'!$B86="","",'DM_NHAN_SU'!I86)</f>
        <v/>
      </c>
      <c r="G86" s="145">
        <f>IF('DM_NHAN_SU'!$B86="","",'DM_NHAN_SU'!J86)</f>
        <v/>
      </c>
      <c r="H86" s="145">
        <f>IF('DM_NHAN_SU'!$B86="","",IF('DM_NHAN_SU'!H86="",'THAM_SO'!$B$11,'DM_NHAN_SU'!H86))</f>
        <v/>
      </c>
      <c r="I86" s="232">
        <f>IF('DM_NHAN_SU'!$B86="","",IF('DM_NHAN_SU'!L86&gt;0,'DM_NHAN_SU'!L86,'THAM_SO'!$B$9))</f>
        <v/>
      </c>
      <c r="J86" s="232">
        <f>IF('DM_NHAN_SU'!$B86="","",IF('DM_NHAN_SU'!M86&gt;0,'DM_NHAN_SU'!M86,'THAM_SO'!$B$10))</f>
        <v/>
      </c>
      <c r="K86" s="232">
        <f>IF('DM_NHAN_SU'!$B86="","",'CHAM_CONG_THANG'!AC86)</f>
        <v/>
      </c>
      <c r="L86" s="232">
        <f>IF('DM_NHAN_SU'!$B86="","",'CHAM_CONG_THANG'!AD86)</f>
        <v/>
      </c>
      <c r="M86" s="232">
        <f>IF('DM_NHAN_SU'!$B86="","",'CHAM_CONG_THANG'!AE86)</f>
        <v/>
      </c>
      <c r="N86" s="232">
        <f>IF('DM_NHAN_SU'!$B86="","",'CHAM_CONG_THANG'!N86)</f>
        <v/>
      </c>
      <c r="O86" s="224">
        <f>IF('DM_NHAN_SU'!$B86="","",IF($B86="","",IF($G86="Tháng",IF($I86&gt;0,'DM_NHAN_SU'!$K86*MIN($K86,$I86)/$I86,0),IF($G86="Ngày",'DM_NHAN_SU'!$K86*$K86,IF($G86="Giờ",'DM_NHAN_SU'!$K86*$L86,IF($G86="Sản phẩm",'DM_NHAN_SU'!$K86*$N86,0))))))</f>
        <v/>
      </c>
      <c r="P86" s="224">
        <f>IF('DM_NHAN_SU'!$B86="","",'CHAM_CONG_THANG'!O86)</f>
        <v/>
      </c>
      <c r="Q86" s="224">
        <f>IF('DM_NHAN_SU'!$B86="","",'CHAM_CONG_THANG'!P86)</f>
        <v/>
      </c>
      <c r="R86" s="224">
        <f>IF('DM_NHAN_SU'!$B86="","",'CHAM_CONG_THANG'!Q86)</f>
        <v/>
      </c>
      <c r="S86" s="224">
        <f>IF('DM_NHAN_SU'!$B86="","",'CHAM_CONG_THANG'!R86)</f>
        <v/>
      </c>
      <c r="T86" s="224">
        <f>IF('DM_NHAN_SU'!$B86="","",'CHAM_CONG_THANG'!S86)</f>
        <v/>
      </c>
      <c r="U86" s="224">
        <f>IF('DM_NHAN_SU'!$B86="","",MIN($T86,'THAM_SO'!$F$6))</f>
        <v/>
      </c>
      <c r="V86" s="224">
        <f>IF('DM_NHAN_SU'!$B86="","",MAX($T86-$U86,0))</f>
        <v/>
      </c>
      <c r="W86" s="224">
        <f>IF('DM_NHAN_SU'!$B86="","",'CHAM_CONG_THANG'!T86)</f>
        <v/>
      </c>
      <c r="X86" s="224">
        <f>IF('DM_NHAN_SU'!$B86="","",'CHAM_CONG_THANG'!U86)</f>
        <v/>
      </c>
      <c r="Y86" s="224">
        <f>IF('DM_NHAN_SU'!$B86="","",IF($B86="",0,IF('DM_NHAN_SU'!$Q86&gt;0,'DM_NHAN_SU'!$Q86,IF($G86="Tháng",IF($I86*$J86&gt;0,'DM_NHAN_SU'!$K86/($I86*$J86),0),IF($G86="Ngày",IF($J86&gt;0,'DM_NHAN_SU'!$K86/$J86,0),IF($G86="Giờ",'DM_NHAN_SU'!$K86,0))))))</f>
        <v/>
      </c>
      <c r="Z86" s="224">
        <f>IF('DM_NHAN_SU'!$B86="","",$Y86*($M86*'THAM_SO'!$C$22+'CHAM_CONG_THANG'!$AF86*'THAM_SO'!$C$19+'CHAM_CONG_THANG'!$AG86*'THAM_SO'!$C$20+'CHAM_CONG_THANG'!$AH86*'THAM_SO'!$C$21+'CHAM_CONG_THANG'!$AI86*'THAM_SO'!$C$23+'CHAM_CONG_THANG'!$AJ86*'THAM_SO'!$C$24+'CHAM_CONG_THANG'!$AK86*'THAM_SO'!$C$25))</f>
        <v/>
      </c>
      <c r="AA86" s="224">
        <f>IF('DM_NHAN_SU'!$B86="","",MAX(0,$Y86*($M86*IF('THAM_SO'!$C$22&gt;='THAM_SO'!$B$22,'THAM_SO'!$B$22,0)+'CHAM_CONG_THANG'!$AF86*IF('THAM_SO'!$C$19&gt;='THAM_SO'!$B$19,'THAM_SO'!$B$19,0)+'CHAM_CONG_THANG'!$AG86*IF('THAM_SO'!$C$20&gt;='THAM_SO'!$B$20,'THAM_SO'!$B$20,0)+'CHAM_CONG_THANG'!$AH86*IF('THAM_SO'!$C$21&gt;='THAM_SO'!$B$21,'THAM_SO'!$B$21,0)+'CHAM_CONG_THANG'!$AI86*IF('THAM_SO'!$C$23&gt;='THAM_SO'!$B$23,'THAM_SO'!$B$23,0)+'CHAM_CONG_THANG'!$AJ86*IF('THAM_SO'!$C$24&gt;='THAM_SO'!$B$24,'THAM_SO'!$B$24,0)+'CHAM_CONG_THANG'!$AK86*IF('THAM_SO'!$C$25&gt;='THAM_SO'!$B$25,'THAM_SO'!$B$25,0))-'CHAM_CONG_THANG'!$V86))</f>
        <v/>
      </c>
      <c r="AB86" s="224">
        <f>IF('DM_NHAN_SU'!$B86="","",MAX($Z86-$AA86,0))</f>
        <v/>
      </c>
      <c r="AC86" s="224">
        <f>IF('DM_NHAN_SU'!$B86="","",$O86+$P86+$Q86+$R86+$S86+$V86+$AB86+$BO86+$BP86+$BQ86+$BR86)</f>
        <v/>
      </c>
      <c r="AD86" s="224">
        <f>IF('DM_NHAN_SU'!$B86="","",'DM_NHAN_SU'!N86+'DM_NHAN_SU'!O86+'DM_NHAN_SU'!P86)</f>
        <v/>
      </c>
      <c r="AE86" s="224">
        <f>IF('DM_NHAN_SU'!$B86="","",IF(OR('DM_NHAN_SU'!$R86&lt;&gt;"Có",'CHAM_CONG_THANG'!$AA86="Có",$BL86&gt;=14,$AD86&lt;=0),0,MIN(MAX($AD86,'THAM_SO'!$M$6),'THAM_SO'!$M$7)))</f>
        <v/>
      </c>
      <c r="AF86" s="224">
        <f>IF('DM_NHAN_SU'!$B86="","",IF(OR('DM_NHAN_SU'!$S86&lt;&gt;"Có",'CHAM_CONG_THANG'!$AA86="Có",$BL86&gt;=14,$AD86&lt;=0),0,MIN(MAX($AD86,VLOOKUP($H86,'THAM_SO'!$L$17:$P$20,4,FALSE)),VLOOKUP($H86,'THAM_SO'!$L$17:$P$20,5,FALSE))))</f>
        <v/>
      </c>
      <c r="AG86" s="224">
        <f>IF('DM_NHAN_SU'!$B86="","",$AE86*'THAM_SO'!$M$8)</f>
        <v/>
      </c>
      <c r="AH86" s="224">
        <f>IF('DM_NHAN_SU'!$B86="","",$AE86*'THAM_SO'!$M$9)</f>
        <v/>
      </c>
      <c r="AI86" s="224">
        <f>IF('DM_NHAN_SU'!$B86="","",$AF86*'THAM_SO'!$M$10)</f>
        <v/>
      </c>
      <c r="AJ86" s="224">
        <f>IF('DM_NHAN_SU'!$B86="","",SUM($AG86:$AI86))</f>
        <v/>
      </c>
      <c r="AK86" s="224">
        <f>IF('DM_NHAN_SU'!$B86="","",IF($B86="",0,'THAM_SO'!$F$4))</f>
        <v/>
      </c>
      <c r="AL86" s="224">
        <f>IF('DM_NHAN_SU'!$B86="","",IF($B86="",0,'DM_NHAN_SU'!$T86*'THAM_SO'!$F$5))</f>
        <v/>
      </c>
      <c r="AM86" s="224">
        <f>IF('DM_NHAN_SU'!$B86="","",'CHAM_CONG_THANG'!W86)</f>
        <v/>
      </c>
      <c r="AN86" s="224">
        <f>IF('DM_NHAN_SU'!$B86="","",MAX($AC86-$AK86-$AL86-$AM86,0))</f>
        <v/>
      </c>
      <c r="AO86" s="224">
        <f>IF('DM_NHAN_SU'!$B86="","",IF($B86="","",IF($F86="Net",IF($AC86&lt;=$AK86+$AL86+$AM86,$AC86+$AJ86,$AJ86+$AK86+$AL86+$AM86+IF($AN86&lt;='THAM_SO'!$J$10,($AN86-'THAM_SO'!$I$10)/(1-'THAM_SO'!$H$10),IF($AN86&lt;='THAM_SO'!$J$11,($AN86-'THAM_SO'!$I$11)/(1-'THAM_SO'!$H$11),IF($AN86&lt;='THAM_SO'!$J$12,($AN86-'THAM_SO'!$I$12)/(1-'THAM_SO'!$H$12),IF($AN86&lt;='THAM_SO'!$J$13,($AN86-'THAM_SO'!$I$13)/(1-'THAM_SO'!$H$13),($AN86-'THAM_SO'!$I$14)/(1-'THAM_SO'!$H$14)))))),$AC86)))</f>
        <v/>
      </c>
      <c r="AP86" s="224">
        <f>IF('DM_NHAN_SU'!$B86="","",$U86+$W86+$X86+$AA86+$BS86)</f>
        <v/>
      </c>
      <c r="AQ86" s="224">
        <f>IF('DM_NHAN_SU'!$B86="","",MAX($AO86-$AJ86-$AK86-$AL86-$AM86,0))</f>
        <v/>
      </c>
      <c r="AR86" s="224">
        <f>IF('DM_NHAN_SU'!$B86="","",IF($AQ86&lt;=0,0,$AQ86*VLOOKUP($AQ86,'THAM_SO'!$F$10:$I$14,3,TRUE)-VLOOKUP($AQ86,'THAM_SO'!$F$10:$I$14,4,TRUE)))</f>
        <v/>
      </c>
      <c r="AS86" s="224">
        <f>IF('DM_NHAN_SU'!$B86="","",$AO86+$AP86)</f>
        <v/>
      </c>
      <c r="AT86" s="224">
        <f>IF('DM_NHAN_SU'!$B86="","",$AS86-$AJ86-$AR86)</f>
        <v/>
      </c>
      <c r="AU86" s="224">
        <f>IF('DM_NHAN_SU'!$B86="","",'CHAM_CONG_THANG'!X86)</f>
        <v/>
      </c>
      <c r="AV86" s="224">
        <f>IF('DM_NHAN_SU'!$B86="","",'CHAM_CONG_THANG'!Y86+'QT_NGHI_VIEC'!AD86)</f>
        <v/>
      </c>
      <c r="AW86" s="224">
        <f>IF('DM_NHAN_SU'!$B86="","",'CHAM_CONG_THANG'!Z86)</f>
        <v/>
      </c>
      <c r="AX86" s="224">
        <f>IF('DM_NHAN_SU'!$B86="","",$AT86-$AU86-$AV86-$AW86-$BV86)</f>
        <v/>
      </c>
      <c r="AY86" s="224">
        <f>IF('DM_NHAN_SU'!$B86="","",$AE86*'THAM_SO'!$M$11)</f>
        <v/>
      </c>
      <c r="AZ86" s="224">
        <f>IF('DM_NHAN_SU'!$B86="","",$AE86*'THAM_SO'!$M$12)</f>
        <v/>
      </c>
      <c r="BA86" s="224">
        <f>IF('DM_NHAN_SU'!$B86="","",$AF86*'THAM_SO'!$M$13)</f>
        <v/>
      </c>
      <c r="BB86" s="224">
        <f>IF('DM_NHAN_SU'!$B86="","",$AE86*'THAM_SO'!$M$14)</f>
        <v/>
      </c>
      <c r="BC86" s="224">
        <f>IF('DM_NHAN_SU'!$B86="","",SUM($AY86:$BB86))</f>
        <v/>
      </c>
      <c r="BD86" s="224">
        <f>IF('DM_NHAN_SU'!$B86="","",$AS86+$BC86)</f>
        <v/>
      </c>
      <c r="BE86" s="224">
        <f>IF('DM_NHAN_SU'!$B86="","",VLOOKUP($H86,'THAM_SO'!$L$17:$P$20,2,FALSE))</f>
        <v/>
      </c>
      <c r="BF86" s="224">
        <f>IF('DM_NHAN_SU'!$B86="","",VLOOKUP($H86,'THAM_SO'!$L$17:$P$20,3,FALSE))</f>
        <v/>
      </c>
      <c r="BG86" s="150">
        <f>IF('DM_NHAN_SU'!$B86="","",IF($B86="","",IF(COUNTIF('DM_NHAN_SU'!$B$6:$B$155,$B86)&gt;1,"Trùng mã NV; ","")&amp;IF(OR($F86="",$G86=""),"Thiếu loại/hình thức lương; ","")&amp;IF('CHAM_CONG_THANG'!$D86="","Chưa chọn nguồn công; ","")&amp;IF(AND('CHAM_CONG_THANG'!$D86="Theo ngày",COUNTIF('CHAM_CONG_NGAY'!$B$6:$B$4655,$B86)=0),"Chưa có chấm công ngày; ","")&amp;IF(OR($I86&lt;=0,$J86&lt;=0),"Thiếu công/giờ chuẩn; ","")&amp;IF(AND($G86="Tháng",'DM_NHAN_SU'!$K86&lt;$BE86),"Lương tháng dưới tối thiểu vùng; ","")&amp;IF(AND($G86="Ngày",'DM_NHAN_SU'!$K86/$J86&lt;$BF86),"Lương ngày quy đổi dưới tối thiểu giờ; ","")&amp;IF(AND($G86="Giờ",'DM_NHAN_SU'!$K86&lt;$BF86),"Lương giờ dưới tối thiểu vùng; ","")&amp;IF(AND($G86="Sản phẩm",$L86&gt;0,$O86/$L86&lt;$BF86),"Lương SP quy đổi dưới tối thiểu giờ; ","")&amp;IF(OR('THAM_SO'!$C$19&lt;'THAM_SO'!$B$19,'THAM_SO'!$C$20&lt;'THAM_SO'!$B$20,'THAM_SO'!$C$21&lt;'THAM_SO'!$B$21,'THAM_SO'!$C$22&lt;'THAM_SO'!$B$22,'THAM_SO'!$C$23&lt;'THAM_SO'!$B$23,'THAM_SO'!$C$24&lt;'THAM_SO'!$B$24,'THAM_SO'!$C$25&lt;'THAM_SO'!$B$25),"Hệ số OT/đêm DN thấp hơn luật; ","")&amp;IF(AND('DM_NHAN_SU'!$R86="Có",$AD86&lt;=0),"Thiếu căn cứ đóng BH; ","")&amp;IF(AND($AD86&gt;0,$AD86&lt;'THAM_SO'!$M$6),"Căn cứ BH dưới sàn – đã nâng sàn; ","")&amp;IF($AD86&gt;'THAM_SO'!$M$7,"Căn cứ BH vượt trần – đã giới hạn; ","")&amp;IF(AND($F86="Net",SUM('CHAM_CONG_THANG'!$AF86:$AK86)&gt;0,'DM_NHAN_SU'!$Q86&lt;=0),"Net có OT nhưng chưa khai lương giờ OT; ","")&amp;IF('CHAM_CONG_THANG'!$V86&gt;$Z86,"Phần OT không miễn lớn hơn tiền OT; ","")&amp;IF(AND($F86="Net",ABS($AT86-$AC86-$AP86)&gt;1),"Lệch quy đổi Net; ","")&amp;IF(AND($BH86&gt;0,'DM_NHAN_SU'!$AD86=""),"Có phép năm nhưng đang tạm dùng 12 ngày; ","")&amp;IF(AND($G86="Sản phẩm",SUM($BH86:$BJ86)&gt;0,'DM_NHAN_SU'!$AH86&lt;=0),"Lương sản phẩm thiếu đơn giá ngày phép/lễ; ","")&amp;IF(AND($BL86&gt;=14,'CHAM_CONG_THANG'!$AA86&lt;&gt;"Có"),"Thai sản từ 14 ngày: file tự dừng đóng BH – kiểm tra hồ sơ; ","")&amp;IF(AND('DM_NHAN_SU'!$AA86="Có",'DM_NHAN_SU'!$AB86=""),"Đoàn viên chưa chọn cách tính đoàn phí; ","")&amp;IF(AND('DM_NHAN_SU'!$AB86="Nhập tay",'DM_NHAN_SU'!$AC86&gt;'THAM_SO'!$M$26),"Đoàn phí nhập tay vượt trần thông dụng; ","")&amp;IF('NGHI_PHEP'!$L86&lt;&gt;"","Phép: "&amp;'NGHI_PHEP'!$L86,"")&amp;IF('CHE_DO_BHXH'!$AA86&lt;&gt;"","BHXH: "&amp;'CHE_DO_BHXH'!$AA86,"")&amp;IF('THUONG_T13_TET'!$O86&lt;&gt;"","Thưởng: "&amp;'THUONG_T13_TET'!$O86,"")&amp;IF('QT_NGHI_VIEC'!$AF86&lt;&gt;"","Nghỉ việc: "&amp;'QT_NGHI_VIEC'!$AF86,"")&amp;IF($AX86&lt;0,"Thực lĩnh âm; ","")&amp;IF(OR('DM_NHAN_SU'!$F86&gt;'THAM_SO'!$B$7,AND('DM_NHAN_SU'!$G86&lt;&gt;"",'DM_NHAN_SU'!$G86&lt;'THAM_SO'!$B$6)),"Ngoài kỳ trả lương; ","")))</f>
        <v/>
      </c>
      <c r="BH86" s="232">
        <f>IF('DM_NHAN_SU'!$B86="","",'CHAM_CONG_THANG'!AR86)</f>
        <v/>
      </c>
      <c r="BI86" s="232">
        <f>IF('DM_NHAN_SU'!$B86="","",'CHAM_CONG_THANG'!AS86)</f>
        <v/>
      </c>
      <c r="BJ86" s="232">
        <f>IF('DM_NHAN_SU'!$B86="","",'CHAM_CONG_THANG'!AT86)</f>
        <v/>
      </c>
      <c r="BK86" s="232">
        <f>IF('DM_NHAN_SU'!$B86="","",'CHAM_CONG_THANG'!AU86)</f>
        <v/>
      </c>
      <c r="BL86" s="232">
        <f>IF('DM_NHAN_SU'!$B86="","",'CHAM_CONG_THANG'!AV86)</f>
        <v/>
      </c>
      <c r="BM86" s="232">
        <f>IF('DM_NHAN_SU'!$B86="","",'CHAM_CONG_THANG'!AW86)</f>
        <v/>
      </c>
      <c r="BN86" s="232">
        <f>IF('DM_NHAN_SU'!$B86="","",SUM($K86,$BH86:$BJ86))</f>
        <v/>
      </c>
      <c r="BO86" s="224">
        <f>IF('DM_NHAN_SU'!$B86="","",IF($B86="",0,IF($G86="Tháng",IF($I86&gt;0,'DM_NHAN_SU'!$K86*MIN($BH86+$BJ86,MAX($I86-$K86,0))/$I86,0),IF($G86="Ngày",'DM_NHAN_SU'!$K86*SUM($BH86:$BJ86),IF($G86="Giờ",'DM_NHAN_SU'!$K86*SUM($BH86:$BJ86)*$J86,IF($G86="Sản phẩm",'DM_NHAN_SU'!$AH86*SUM($BH86:$BJ86),0))))))</f>
        <v/>
      </c>
      <c r="BP86" s="224">
        <f>IF('DM_NHAN_SU'!$B86="","",IF('THUONG_T13_TET'!$L86="Có",'THUONG_T13_TET'!$I86,0))</f>
        <v/>
      </c>
      <c r="BQ86" s="224">
        <f>IF('DM_NHAN_SU'!$B86="","",IF('THUONG_T13_TET'!$L86="Có",SUM('THUONG_T13_TET'!$J86:$K86),0))</f>
        <v/>
      </c>
      <c r="BR86" s="224">
        <f>IF('DM_NHAN_SU'!$B86="","",'QT_NGHI_VIEC'!AC86)</f>
        <v/>
      </c>
      <c r="BS86" s="224">
        <f>IF('DM_NHAN_SU'!$B86="","",'QT_NGHI_VIEC'!AB86)</f>
        <v/>
      </c>
      <c r="BT86" s="224">
        <f>IF('DM_NHAN_SU'!$B86="","",IF('CHE_DO_BHXH'!$Z86="Có",'CHE_DO_BHXH'!$W86,0))</f>
        <v/>
      </c>
      <c r="BU86" s="224">
        <f>IF('DM_NHAN_SU'!$B86="","",IF('CHE_DO_BHXH'!$Y86="DN trả thay",$BT86,0))</f>
        <v/>
      </c>
      <c r="BV86" s="224">
        <f>IF('DM_NHAN_SU'!$B86="","",IF(OR('DM_NHAN_SU'!$AA86&lt;&gt;"Có",'CHE_DO_BHXH'!$O86&gt;=1,SUM('CHE_DO_BHXH'!$D86,'CHE_DO_BHXH'!$G86,'CHE_DO_BHXH'!$K86)&gt;=24,AND($I86&gt;0,$BM86&gt;=$I86)),0,IF('DM_NHAN_SU'!$AB86="Không",0,IF('DM_NHAN_SU'!$AB86="Nhập tay",'DM_NHAN_SU'!$AC86,IF('DM_NHAN_SU'!$AB86="Theo thực nhận",MIN(MAX($AT86-$AU86-$AV86-$AW86,0)*'THAM_SO'!$M$23,'THAM_SO'!$M$26),MIN($AE86*'THAM_SO'!$M$23,'THAM_SO'!$M$26))))))</f>
        <v/>
      </c>
      <c r="BW86" s="224">
        <f>IF('DM_NHAN_SU'!$B86="","",$AX86+$BU86)</f>
        <v/>
      </c>
    </row>
    <row r="87">
      <c r="A87" s="145">
        <f>IF('DM_NHAN_SU'!$B87="","",IF($B87="","",ROW()-5))</f>
        <v/>
      </c>
      <c r="B87" s="145">
        <f>IF('DM_NHAN_SU'!$B87="","",'DM_NHAN_SU'!B87)</f>
        <v/>
      </c>
      <c r="C87" s="145">
        <f>IF('DM_NHAN_SU'!$B87="","",'DM_NHAN_SU'!C87)</f>
        <v/>
      </c>
      <c r="D87" s="145">
        <f>IF('DM_NHAN_SU'!$B87="","",'DM_NHAN_SU'!D87)</f>
        <v/>
      </c>
      <c r="E87" s="145">
        <f>IF('DM_NHAN_SU'!$B87="","",'DM_NHAN_SU'!E87)</f>
        <v/>
      </c>
      <c r="F87" s="145">
        <f>IF('DM_NHAN_SU'!$B87="","",'DM_NHAN_SU'!I87)</f>
        <v/>
      </c>
      <c r="G87" s="145">
        <f>IF('DM_NHAN_SU'!$B87="","",'DM_NHAN_SU'!J87)</f>
        <v/>
      </c>
      <c r="H87" s="145">
        <f>IF('DM_NHAN_SU'!$B87="","",IF('DM_NHAN_SU'!H87="",'THAM_SO'!$B$11,'DM_NHAN_SU'!H87))</f>
        <v/>
      </c>
      <c r="I87" s="232">
        <f>IF('DM_NHAN_SU'!$B87="","",IF('DM_NHAN_SU'!L87&gt;0,'DM_NHAN_SU'!L87,'THAM_SO'!$B$9))</f>
        <v/>
      </c>
      <c r="J87" s="232">
        <f>IF('DM_NHAN_SU'!$B87="","",IF('DM_NHAN_SU'!M87&gt;0,'DM_NHAN_SU'!M87,'THAM_SO'!$B$10))</f>
        <v/>
      </c>
      <c r="K87" s="232">
        <f>IF('DM_NHAN_SU'!$B87="","",'CHAM_CONG_THANG'!AC87)</f>
        <v/>
      </c>
      <c r="L87" s="232">
        <f>IF('DM_NHAN_SU'!$B87="","",'CHAM_CONG_THANG'!AD87)</f>
        <v/>
      </c>
      <c r="M87" s="232">
        <f>IF('DM_NHAN_SU'!$B87="","",'CHAM_CONG_THANG'!AE87)</f>
        <v/>
      </c>
      <c r="N87" s="232">
        <f>IF('DM_NHAN_SU'!$B87="","",'CHAM_CONG_THANG'!N87)</f>
        <v/>
      </c>
      <c r="O87" s="224">
        <f>IF('DM_NHAN_SU'!$B87="","",IF($B87="","",IF($G87="Tháng",IF($I87&gt;0,'DM_NHAN_SU'!$K87*MIN($K87,$I87)/$I87,0),IF($G87="Ngày",'DM_NHAN_SU'!$K87*$K87,IF($G87="Giờ",'DM_NHAN_SU'!$K87*$L87,IF($G87="Sản phẩm",'DM_NHAN_SU'!$K87*$N87,0))))))</f>
        <v/>
      </c>
      <c r="P87" s="224">
        <f>IF('DM_NHAN_SU'!$B87="","",'CHAM_CONG_THANG'!O87)</f>
        <v/>
      </c>
      <c r="Q87" s="224">
        <f>IF('DM_NHAN_SU'!$B87="","",'CHAM_CONG_THANG'!P87)</f>
        <v/>
      </c>
      <c r="R87" s="224">
        <f>IF('DM_NHAN_SU'!$B87="","",'CHAM_CONG_THANG'!Q87)</f>
        <v/>
      </c>
      <c r="S87" s="224">
        <f>IF('DM_NHAN_SU'!$B87="","",'CHAM_CONG_THANG'!R87)</f>
        <v/>
      </c>
      <c r="T87" s="224">
        <f>IF('DM_NHAN_SU'!$B87="","",'CHAM_CONG_THANG'!S87)</f>
        <v/>
      </c>
      <c r="U87" s="224">
        <f>IF('DM_NHAN_SU'!$B87="","",MIN($T87,'THAM_SO'!$F$6))</f>
        <v/>
      </c>
      <c r="V87" s="224">
        <f>IF('DM_NHAN_SU'!$B87="","",MAX($T87-$U87,0))</f>
        <v/>
      </c>
      <c r="W87" s="224">
        <f>IF('DM_NHAN_SU'!$B87="","",'CHAM_CONG_THANG'!T87)</f>
        <v/>
      </c>
      <c r="X87" s="224">
        <f>IF('DM_NHAN_SU'!$B87="","",'CHAM_CONG_THANG'!U87)</f>
        <v/>
      </c>
      <c r="Y87" s="224">
        <f>IF('DM_NHAN_SU'!$B87="","",IF($B87="",0,IF('DM_NHAN_SU'!$Q87&gt;0,'DM_NHAN_SU'!$Q87,IF($G87="Tháng",IF($I87*$J87&gt;0,'DM_NHAN_SU'!$K87/($I87*$J87),0),IF($G87="Ngày",IF($J87&gt;0,'DM_NHAN_SU'!$K87/$J87,0),IF($G87="Giờ",'DM_NHAN_SU'!$K87,0))))))</f>
        <v/>
      </c>
      <c r="Z87" s="224">
        <f>IF('DM_NHAN_SU'!$B87="","",$Y87*($M87*'THAM_SO'!$C$22+'CHAM_CONG_THANG'!$AF87*'THAM_SO'!$C$19+'CHAM_CONG_THANG'!$AG87*'THAM_SO'!$C$20+'CHAM_CONG_THANG'!$AH87*'THAM_SO'!$C$21+'CHAM_CONG_THANG'!$AI87*'THAM_SO'!$C$23+'CHAM_CONG_THANG'!$AJ87*'THAM_SO'!$C$24+'CHAM_CONG_THANG'!$AK87*'THAM_SO'!$C$25))</f>
        <v/>
      </c>
      <c r="AA87" s="224">
        <f>IF('DM_NHAN_SU'!$B87="","",MAX(0,$Y87*($M87*IF('THAM_SO'!$C$22&gt;='THAM_SO'!$B$22,'THAM_SO'!$B$22,0)+'CHAM_CONG_THANG'!$AF87*IF('THAM_SO'!$C$19&gt;='THAM_SO'!$B$19,'THAM_SO'!$B$19,0)+'CHAM_CONG_THANG'!$AG87*IF('THAM_SO'!$C$20&gt;='THAM_SO'!$B$20,'THAM_SO'!$B$20,0)+'CHAM_CONG_THANG'!$AH87*IF('THAM_SO'!$C$21&gt;='THAM_SO'!$B$21,'THAM_SO'!$B$21,0)+'CHAM_CONG_THANG'!$AI87*IF('THAM_SO'!$C$23&gt;='THAM_SO'!$B$23,'THAM_SO'!$B$23,0)+'CHAM_CONG_THANG'!$AJ87*IF('THAM_SO'!$C$24&gt;='THAM_SO'!$B$24,'THAM_SO'!$B$24,0)+'CHAM_CONG_THANG'!$AK87*IF('THAM_SO'!$C$25&gt;='THAM_SO'!$B$25,'THAM_SO'!$B$25,0))-'CHAM_CONG_THANG'!$V87))</f>
        <v/>
      </c>
      <c r="AB87" s="224">
        <f>IF('DM_NHAN_SU'!$B87="","",MAX($Z87-$AA87,0))</f>
        <v/>
      </c>
      <c r="AC87" s="224">
        <f>IF('DM_NHAN_SU'!$B87="","",$O87+$P87+$Q87+$R87+$S87+$V87+$AB87+$BO87+$BP87+$BQ87+$BR87)</f>
        <v/>
      </c>
      <c r="AD87" s="224">
        <f>IF('DM_NHAN_SU'!$B87="","",'DM_NHAN_SU'!N87+'DM_NHAN_SU'!O87+'DM_NHAN_SU'!P87)</f>
        <v/>
      </c>
      <c r="AE87" s="224">
        <f>IF('DM_NHAN_SU'!$B87="","",IF(OR('DM_NHAN_SU'!$R87&lt;&gt;"Có",'CHAM_CONG_THANG'!$AA87="Có",$BL87&gt;=14,$AD87&lt;=0),0,MIN(MAX($AD87,'THAM_SO'!$M$6),'THAM_SO'!$M$7)))</f>
        <v/>
      </c>
      <c r="AF87" s="224">
        <f>IF('DM_NHAN_SU'!$B87="","",IF(OR('DM_NHAN_SU'!$S87&lt;&gt;"Có",'CHAM_CONG_THANG'!$AA87="Có",$BL87&gt;=14,$AD87&lt;=0),0,MIN(MAX($AD87,VLOOKUP($H87,'THAM_SO'!$L$17:$P$20,4,FALSE)),VLOOKUP($H87,'THAM_SO'!$L$17:$P$20,5,FALSE))))</f>
        <v/>
      </c>
      <c r="AG87" s="224">
        <f>IF('DM_NHAN_SU'!$B87="","",$AE87*'THAM_SO'!$M$8)</f>
        <v/>
      </c>
      <c r="AH87" s="224">
        <f>IF('DM_NHAN_SU'!$B87="","",$AE87*'THAM_SO'!$M$9)</f>
        <v/>
      </c>
      <c r="AI87" s="224">
        <f>IF('DM_NHAN_SU'!$B87="","",$AF87*'THAM_SO'!$M$10)</f>
        <v/>
      </c>
      <c r="AJ87" s="224">
        <f>IF('DM_NHAN_SU'!$B87="","",SUM($AG87:$AI87))</f>
        <v/>
      </c>
      <c r="AK87" s="224">
        <f>IF('DM_NHAN_SU'!$B87="","",IF($B87="",0,'THAM_SO'!$F$4))</f>
        <v/>
      </c>
      <c r="AL87" s="224">
        <f>IF('DM_NHAN_SU'!$B87="","",IF($B87="",0,'DM_NHAN_SU'!$T87*'THAM_SO'!$F$5))</f>
        <v/>
      </c>
      <c r="AM87" s="224">
        <f>IF('DM_NHAN_SU'!$B87="","",'CHAM_CONG_THANG'!W87)</f>
        <v/>
      </c>
      <c r="AN87" s="224">
        <f>IF('DM_NHAN_SU'!$B87="","",MAX($AC87-$AK87-$AL87-$AM87,0))</f>
        <v/>
      </c>
      <c r="AO87" s="224">
        <f>IF('DM_NHAN_SU'!$B87="","",IF($B87="","",IF($F87="Net",IF($AC87&lt;=$AK87+$AL87+$AM87,$AC87+$AJ87,$AJ87+$AK87+$AL87+$AM87+IF($AN87&lt;='THAM_SO'!$J$10,($AN87-'THAM_SO'!$I$10)/(1-'THAM_SO'!$H$10),IF($AN87&lt;='THAM_SO'!$J$11,($AN87-'THAM_SO'!$I$11)/(1-'THAM_SO'!$H$11),IF($AN87&lt;='THAM_SO'!$J$12,($AN87-'THAM_SO'!$I$12)/(1-'THAM_SO'!$H$12),IF($AN87&lt;='THAM_SO'!$J$13,($AN87-'THAM_SO'!$I$13)/(1-'THAM_SO'!$H$13),($AN87-'THAM_SO'!$I$14)/(1-'THAM_SO'!$H$14)))))),$AC87)))</f>
        <v/>
      </c>
      <c r="AP87" s="224">
        <f>IF('DM_NHAN_SU'!$B87="","",$U87+$W87+$X87+$AA87+$BS87)</f>
        <v/>
      </c>
      <c r="AQ87" s="224">
        <f>IF('DM_NHAN_SU'!$B87="","",MAX($AO87-$AJ87-$AK87-$AL87-$AM87,0))</f>
        <v/>
      </c>
      <c r="AR87" s="224">
        <f>IF('DM_NHAN_SU'!$B87="","",IF($AQ87&lt;=0,0,$AQ87*VLOOKUP($AQ87,'THAM_SO'!$F$10:$I$14,3,TRUE)-VLOOKUP($AQ87,'THAM_SO'!$F$10:$I$14,4,TRUE)))</f>
        <v/>
      </c>
      <c r="AS87" s="224">
        <f>IF('DM_NHAN_SU'!$B87="","",$AO87+$AP87)</f>
        <v/>
      </c>
      <c r="AT87" s="224">
        <f>IF('DM_NHAN_SU'!$B87="","",$AS87-$AJ87-$AR87)</f>
        <v/>
      </c>
      <c r="AU87" s="224">
        <f>IF('DM_NHAN_SU'!$B87="","",'CHAM_CONG_THANG'!X87)</f>
        <v/>
      </c>
      <c r="AV87" s="224">
        <f>IF('DM_NHAN_SU'!$B87="","",'CHAM_CONG_THANG'!Y87+'QT_NGHI_VIEC'!AD87)</f>
        <v/>
      </c>
      <c r="AW87" s="224">
        <f>IF('DM_NHAN_SU'!$B87="","",'CHAM_CONG_THANG'!Z87)</f>
        <v/>
      </c>
      <c r="AX87" s="224">
        <f>IF('DM_NHAN_SU'!$B87="","",$AT87-$AU87-$AV87-$AW87-$BV87)</f>
        <v/>
      </c>
      <c r="AY87" s="224">
        <f>IF('DM_NHAN_SU'!$B87="","",$AE87*'THAM_SO'!$M$11)</f>
        <v/>
      </c>
      <c r="AZ87" s="224">
        <f>IF('DM_NHAN_SU'!$B87="","",$AE87*'THAM_SO'!$M$12)</f>
        <v/>
      </c>
      <c r="BA87" s="224">
        <f>IF('DM_NHAN_SU'!$B87="","",$AF87*'THAM_SO'!$M$13)</f>
        <v/>
      </c>
      <c r="BB87" s="224">
        <f>IF('DM_NHAN_SU'!$B87="","",$AE87*'THAM_SO'!$M$14)</f>
        <v/>
      </c>
      <c r="BC87" s="224">
        <f>IF('DM_NHAN_SU'!$B87="","",SUM($AY87:$BB87))</f>
        <v/>
      </c>
      <c r="BD87" s="224">
        <f>IF('DM_NHAN_SU'!$B87="","",$AS87+$BC87)</f>
        <v/>
      </c>
      <c r="BE87" s="224">
        <f>IF('DM_NHAN_SU'!$B87="","",VLOOKUP($H87,'THAM_SO'!$L$17:$P$20,2,FALSE))</f>
        <v/>
      </c>
      <c r="BF87" s="224">
        <f>IF('DM_NHAN_SU'!$B87="","",VLOOKUP($H87,'THAM_SO'!$L$17:$P$20,3,FALSE))</f>
        <v/>
      </c>
      <c r="BG87" s="150">
        <f>IF('DM_NHAN_SU'!$B87="","",IF($B87="","",IF(COUNTIF('DM_NHAN_SU'!$B$6:$B$155,$B87)&gt;1,"Trùng mã NV; ","")&amp;IF(OR($F87="",$G87=""),"Thiếu loại/hình thức lương; ","")&amp;IF('CHAM_CONG_THANG'!$D87="","Chưa chọn nguồn công; ","")&amp;IF(AND('CHAM_CONG_THANG'!$D87="Theo ngày",COUNTIF('CHAM_CONG_NGAY'!$B$6:$B$4655,$B87)=0),"Chưa có chấm công ngày; ","")&amp;IF(OR($I87&lt;=0,$J87&lt;=0),"Thiếu công/giờ chuẩn; ","")&amp;IF(AND($G87="Tháng",'DM_NHAN_SU'!$K87&lt;$BE87),"Lương tháng dưới tối thiểu vùng; ","")&amp;IF(AND($G87="Ngày",'DM_NHAN_SU'!$K87/$J87&lt;$BF87),"Lương ngày quy đổi dưới tối thiểu giờ; ","")&amp;IF(AND($G87="Giờ",'DM_NHAN_SU'!$K87&lt;$BF87),"Lương giờ dưới tối thiểu vùng; ","")&amp;IF(AND($G87="Sản phẩm",$L87&gt;0,$O87/$L87&lt;$BF87),"Lương SP quy đổi dưới tối thiểu giờ; ","")&amp;IF(OR('THAM_SO'!$C$19&lt;'THAM_SO'!$B$19,'THAM_SO'!$C$20&lt;'THAM_SO'!$B$20,'THAM_SO'!$C$21&lt;'THAM_SO'!$B$21,'THAM_SO'!$C$22&lt;'THAM_SO'!$B$22,'THAM_SO'!$C$23&lt;'THAM_SO'!$B$23,'THAM_SO'!$C$24&lt;'THAM_SO'!$B$24,'THAM_SO'!$C$25&lt;'THAM_SO'!$B$25),"Hệ số OT/đêm DN thấp hơn luật; ","")&amp;IF(AND('DM_NHAN_SU'!$R87="Có",$AD87&lt;=0),"Thiếu căn cứ đóng BH; ","")&amp;IF(AND($AD87&gt;0,$AD87&lt;'THAM_SO'!$M$6),"Căn cứ BH dưới sàn – đã nâng sàn; ","")&amp;IF($AD87&gt;'THAM_SO'!$M$7,"Căn cứ BH vượt trần – đã giới hạn; ","")&amp;IF(AND($F87="Net",SUM('CHAM_CONG_THANG'!$AF87:$AK87)&gt;0,'DM_NHAN_SU'!$Q87&lt;=0),"Net có OT nhưng chưa khai lương giờ OT; ","")&amp;IF('CHAM_CONG_THANG'!$V87&gt;$Z87,"Phần OT không miễn lớn hơn tiền OT; ","")&amp;IF(AND($F87="Net",ABS($AT87-$AC87-$AP87)&gt;1),"Lệch quy đổi Net; ","")&amp;IF(AND($BH87&gt;0,'DM_NHAN_SU'!$AD87=""),"Có phép năm nhưng đang tạm dùng 12 ngày; ","")&amp;IF(AND($G87="Sản phẩm",SUM($BH87:$BJ87)&gt;0,'DM_NHAN_SU'!$AH87&lt;=0),"Lương sản phẩm thiếu đơn giá ngày phép/lễ; ","")&amp;IF(AND($BL87&gt;=14,'CHAM_CONG_THANG'!$AA87&lt;&gt;"Có"),"Thai sản từ 14 ngày: file tự dừng đóng BH – kiểm tra hồ sơ; ","")&amp;IF(AND('DM_NHAN_SU'!$AA87="Có",'DM_NHAN_SU'!$AB87=""),"Đoàn viên chưa chọn cách tính đoàn phí; ","")&amp;IF(AND('DM_NHAN_SU'!$AB87="Nhập tay",'DM_NHAN_SU'!$AC87&gt;'THAM_SO'!$M$26),"Đoàn phí nhập tay vượt trần thông dụng; ","")&amp;IF('NGHI_PHEP'!$L87&lt;&gt;"","Phép: "&amp;'NGHI_PHEP'!$L87,"")&amp;IF('CHE_DO_BHXH'!$AA87&lt;&gt;"","BHXH: "&amp;'CHE_DO_BHXH'!$AA87,"")&amp;IF('THUONG_T13_TET'!$O87&lt;&gt;"","Thưởng: "&amp;'THUONG_T13_TET'!$O87,"")&amp;IF('QT_NGHI_VIEC'!$AF87&lt;&gt;"","Nghỉ việc: "&amp;'QT_NGHI_VIEC'!$AF87,"")&amp;IF($AX87&lt;0,"Thực lĩnh âm; ","")&amp;IF(OR('DM_NHAN_SU'!$F87&gt;'THAM_SO'!$B$7,AND('DM_NHAN_SU'!$G87&lt;&gt;"",'DM_NHAN_SU'!$G87&lt;'THAM_SO'!$B$6)),"Ngoài kỳ trả lương; ","")))</f>
        <v/>
      </c>
      <c r="BH87" s="232">
        <f>IF('DM_NHAN_SU'!$B87="","",'CHAM_CONG_THANG'!AR87)</f>
        <v/>
      </c>
      <c r="BI87" s="232">
        <f>IF('DM_NHAN_SU'!$B87="","",'CHAM_CONG_THANG'!AS87)</f>
        <v/>
      </c>
      <c r="BJ87" s="232">
        <f>IF('DM_NHAN_SU'!$B87="","",'CHAM_CONG_THANG'!AT87)</f>
        <v/>
      </c>
      <c r="BK87" s="232">
        <f>IF('DM_NHAN_SU'!$B87="","",'CHAM_CONG_THANG'!AU87)</f>
        <v/>
      </c>
      <c r="BL87" s="232">
        <f>IF('DM_NHAN_SU'!$B87="","",'CHAM_CONG_THANG'!AV87)</f>
        <v/>
      </c>
      <c r="BM87" s="232">
        <f>IF('DM_NHAN_SU'!$B87="","",'CHAM_CONG_THANG'!AW87)</f>
        <v/>
      </c>
      <c r="BN87" s="232">
        <f>IF('DM_NHAN_SU'!$B87="","",SUM($K87,$BH87:$BJ87))</f>
        <v/>
      </c>
      <c r="BO87" s="224">
        <f>IF('DM_NHAN_SU'!$B87="","",IF($B87="",0,IF($G87="Tháng",IF($I87&gt;0,'DM_NHAN_SU'!$K87*MIN($BH87+$BJ87,MAX($I87-$K87,0))/$I87,0),IF($G87="Ngày",'DM_NHAN_SU'!$K87*SUM($BH87:$BJ87),IF($G87="Giờ",'DM_NHAN_SU'!$K87*SUM($BH87:$BJ87)*$J87,IF($G87="Sản phẩm",'DM_NHAN_SU'!$AH87*SUM($BH87:$BJ87),0))))))</f>
        <v/>
      </c>
      <c r="BP87" s="224">
        <f>IF('DM_NHAN_SU'!$B87="","",IF('THUONG_T13_TET'!$L87="Có",'THUONG_T13_TET'!$I87,0))</f>
        <v/>
      </c>
      <c r="BQ87" s="224">
        <f>IF('DM_NHAN_SU'!$B87="","",IF('THUONG_T13_TET'!$L87="Có",SUM('THUONG_T13_TET'!$J87:$K87),0))</f>
        <v/>
      </c>
      <c r="BR87" s="224">
        <f>IF('DM_NHAN_SU'!$B87="","",'QT_NGHI_VIEC'!AC87)</f>
        <v/>
      </c>
      <c r="BS87" s="224">
        <f>IF('DM_NHAN_SU'!$B87="","",'QT_NGHI_VIEC'!AB87)</f>
        <v/>
      </c>
      <c r="BT87" s="224">
        <f>IF('DM_NHAN_SU'!$B87="","",IF('CHE_DO_BHXH'!$Z87="Có",'CHE_DO_BHXH'!$W87,0))</f>
        <v/>
      </c>
      <c r="BU87" s="224">
        <f>IF('DM_NHAN_SU'!$B87="","",IF('CHE_DO_BHXH'!$Y87="DN trả thay",$BT87,0))</f>
        <v/>
      </c>
      <c r="BV87" s="224">
        <f>IF('DM_NHAN_SU'!$B87="","",IF(OR('DM_NHAN_SU'!$AA87&lt;&gt;"Có",'CHE_DO_BHXH'!$O87&gt;=1,SUM('CHE_DO_BHXH'!$D87,'CHE_DO_BHXH'!$G87,'CHE_DO_BHXH'!$K87)&gt;=24,AND($I87&gt;0,$BM87&gt;=$I87)),0,IF('DM_NHAN_SU'!$AB87="Không",0,IF('DM_NHAN_SU'!$AB87="Nhập tay",'DM_NHAN_SU'!$AC87,IF('DM_NHAN_SU'!$AB87="Theo thực nhận",MIN(MAX($AT87-$AU87-$AV87-$AW87,0)*'THAM_SO'!$M$23,'THAM_SO'!$M$26),MIN($AE87*'THAM_SO'!$M$23,'THAM_SO'!$M$26))))))</f>
        <v/>
      </c>
      <c r="BW87" s="224">
        <f>IF('DM_NHAN_SU'!$B87="","",$AX87+$BU87)</f>
        <v/>
      </c>
    </row>
    <row r="88">
      <c r="A88" s="145">
        <f>IF('DM_NHAN_SU'!$B88="","",IF($B88="","",ROW()-5))</f>
        <v/>
      </c>
      <c r="B88" s="145">
        <f>IF('DM_NHAN_SU'!$B88="","",'DM_NHAN_SU'!B88)</f>
        <v/>
      </c>
      <c r="C88" s="145">
        <f>IF('DM_NHAN_SU'!$B88="","",'DM_NHAN_SU'!C88)</f>
        <v/>
      </c>
      <c r="D88" s="145">
        <f>IF('DM_NHAN_SU'!$B88="","",'DM_NHAN_SU'!D88)</f>
        <v/>
      </c>
      <c r="E88" s="145">
        <f>IF('DM_NHAN_SU'!$B88="","",'DM_NHAN_SU'!E88)</f>
        <v/>
      </c>
      <c r="F88" s="145">
        <f>IF('DM_NHAN_SU'!$B88="","",'DM_NHAN_SU'!I88)</f>
        <v/>
      </c>
      <c r="G88" s="145">
        <f>IF('DM_NHAN_SU'!$B88="","",'DM_NHAN_SU'!J88)</f>
        <v/>
      </c>
      <c r="H88" s="145">
        <f>IF('DM_NHAN_SU'!$B88="","",IF('DM_NHAN_SU'!H88="",'THAM_SO'!$B$11,'DM_NHAN_SU'!H88))</f>
        <v/>
      </c>
      <c r="I88" s="232">
        <f>IF('DM_NHAN_SU'!$B88="","",IF('DM_NHAN_SU'!L88&gt;0,'DM_NHAN_SU'!L88,'THAM_SO'!$B$9))</f>
        <v/>
      </c>
      <c r="J88" s="232">
        <f>IF('DM_NHAN_SU'!$B88="","",IF('DM_NHAN_SU'!M88&gt;0,'DM_NHAN_SU'!M88,'THAM_SO'!$B$10))</f>
        <v/>
      </c>
      <c r="K88" s="232">
        <f>IF('DM_NHAN_SU'!$B88="","",'CHAM_CONG_THANG'!AC88)</f>
        <v/>
      </c>
      <c r="L88" s="232">
        <f>IF('DM_NHAN_SU'!$B88="","",'CHAM_CONG_THANG'!AD88)</f>
        <v/>
      </c>
      <c r="M88" s="232">
        <f>IF('DM_NHAN_SU'!$B88="","",'CHAM_CONG_THANG'!AE88)</f>
        <v/>
      </c>
      <c r="N88" s="232">
        <f>IF('DM_NHAN_SU'!$B88="","",'CHAM_CONG_THANG'!N88)</f>
        <v/>
      </c>
      <c r="O88" s="224">
        <f>IF('DM_NHAN_SU'!$B88="","",IF($B88="","",IF($G88="Tháng",IF($I88&gt;0,'DM_NHAN_SU'!$K88*MIN($K88,$I88)/$I88,0),IF($G88="Ngày",'DM_NHAN_SU'!$K88*$K88,IF($G88="Giờ",'DM_NHAN_SU'!$K88*$L88,IF($G88="Sản phẩm",'DM_NHAN_SU'!$K88*$N88,0))))))</f>
        <v/>
      </c>
      <c r="P88" s="224">
        <f>IF('DM_NHAN_SU'!$B88="","",'CHAM_CONG_THANG'!O88)</f>
        <v/>
      </c>
      <c r="Q88" s="224">
        <f>IF('DM_NHAN_SU'!$B88="","",'CHAM_CONG_THANG'!P88)</f>
        <v/>
      </c>
      <c r="R88" s="224">
        <f>IF('DM_NHAN_SU'!$B88="","",'CHAM_CONG_THANG'!Q88)</f>
        <v/>
      </c>
      <c r="S88" s="224">
        <f>IF('DM_NHAN_SU'!$B88="","",'CHAM_CONG_THANG'!R88)</f>
        <v/>
      </c>
      <c r="T88" s="224">
        <f>IF('DM_NHAN_SU'!$B88="","",'CHAM_CONG_THANG'!S88)</f>
        <v/>
      </c>
      <c r="U88" s="224">
        <f>IF('DM_NHAN_SU'!$B88="","",MIN($T88,'THAM_SO'!$F$6))</f>
        <v/>
      </c>
      <c r="V88" s="224">
        <f>IF('DM_NHAN_SU'!$B88="","",MAX($T88-$U88,0))</f>
        <v/>
      </c>
      <c r="W88" s="224">
        <f>IF('DM_NHAN_SU'!$B88="","",'CHAM_CONG_THANG'!T88)</f>
        <v/>
      </c>
      <c r="X88" s="224">
        <f>IF('DM_NHAN_SU'!$B88="","",'CHAM_CONG_THANG'!U88)</f>
        <v/>
      </c>
      <c r="Y88" s="224">
        <f>IF('DM_NHAN_SU'!$B88="","",IF($B88="",0,IF('DM_NHAN_SU'!$Q88&gt;0,'DM_NHAN_SU'!$Q88,IF($G88="Tháng",IF($I88*$J88&gt;0,'DM_NHAN_SU'!$K88/($I88*$J88),0),IF($G88="Ngày",IF($J88&gt;0,'DM_NHAN_SU'!$K88/$J88,0),IF($G88="Giờ",'DM_NHAN_SU'!$K88,0))))))</f>
        <v/>
      </c>
      <c r="Z88" s="224">
        <f>IF('DM_NHAN_SU'!$B88="","",$Y88*($M88*'THAM_SO'!$C$22+'CHAM_CONG_THANG'!$AF88*'THAM_SO'!$C$19+'CHAM_CONG_THANG'!$AG88*'THAM_SO'!$C$20+'CHAM_CONG_THANG'!$AH88*'THAM_SO'!$C$21+'CHAM_CONG_THANG'!$AI88*'THAM_SO'!$C$23+'CHAM_CONG_THANG'!$AJ88*'THAM_SO'!$C$24+'CHAM_CONG_THANG'!$AK88*'THAM_SO'!$C$25))</f>
        <v/>
      </c>
      <c r="AA88" s="224">
        <f>IF('DM_NHAN_SU'!$B88="","",MAX(0,$Y88*($M88*IF('THAM_SO'!$C$22&gt;='THAM_SO'!$B$22,'THAM_SO'!$B$22,0)+'CHAM_CONG_THANG'!$AF88*IF('THAM_SO'!$C$19&gt;='THAM_SO'!$B$19,'THAM_SO'!$B$19,0)+'CHAM_CONG_THANG'!$AG88*IF('THAM_SO'!$C$20&gt;='THAM_SO'!$B$20,'THAM_SO'!$B$20,0)+'CHAM_CONG_THANG'!$AH88*IF('THAM_SO'!$C$21&gt;='THAM_SO'!$B$21,'THAM_SO'!$B$21,0)+'CHAM_CONG_THANG'!$AI88*IF('THAM_SO'!$C$23&gt;='THAM_SO'!$B$23,'THAM_SO'!$B$23,0)+'CHAM_CONG_THANG'!$AJ88*IF('THAM_SO'!$C$24&gt;='THAM_SO'!$B$24,'THAM_SO'!$B$24,0)+'CHAM_CONG_THANG'!$AK88*IF('THAM_SO'!$C$25&gt;='THAM_SO'!$B$25,'THAM_SO'!$B$25,0))-'CHAM_CONG_THANG'!$V88))</f>
        <v/>
      </c>
      <c r="AB88" s="224">
        <f>IF('DM_NHAN_SU'!$B88="","",MAX($Z88-$AA88,0))</f>
        <v/>
      </c>
      <c r="AC88" s="224">
        <f>IF('DM_NHAN_SU'!$B88="","",$O88+$P88+$Q88+$R88+$S88+$V88+$AB88+$BO88+$BP88+$BQ88+$BR88)</f>
        <v/>
      </c>
      <c r="AD88" s="224">
        <f>IF('DM_NHAN_SU'!$B88="","",'DM_NHAN_SU'!N88+'DM_NHAN_SU'!O88+'DM_NHAN_SU'!P88)</f>
        <v/>
      </c>
      <c r="AE88" s="224">
        <f>IF('DM_NHAN_SU'!$B88="","",IF(OR('DM_NHAN_SU'!$R88&lt;&gt;"Có",'CHAM_CONG_THANG'!$AA88="Có",$BL88&gt;=14,$AD88&lt;=0),0,MIN(MAX($AD88,'THAM_SO'!$M$6),'THAM_SO'!$M$7)))</f>
        <v/>
      </c>
      <c r="AF88" s="224">
        <f>IF('DM_NHAN_SU'!$B88="","",IF(OR('DM_NHAN_SU'!$S88&lt;&gt;"Có",'CHAM_CONG_THANG'!$AA88="Có",$BL88&gt;=14,$AD88&lt;=0),0,MIN(MAX($AD88,VLOOKUP($H88,'THAM_SO'!$L$17:$P$20,4,FALSE)),VLOOKUP($H88,'THAM_SO'!$L$17:$P$20,5,FALSE))))</f>
        <v/>
      </c>
      <c r="AG88" s="224">
        <f>IF('DM_NHAN_SU'!$B88="","",$AE88*'THAM_SO'!$M$8)</f>
        <v/>
      </c>
      <c r="AH88" s="224">
        <f>IF('DM_NHAN_SU'!$B88="","",$AE88*'THAM_SO'!$M$9)</f>
        <v/>
      </c>
      <c r="AI88" s="224">
        <f>IF('DM_NHAN_SU'!$B88="","",$AF88*'THAM_SO'!$M$10)</f>
        <v/>
      </c>
      <c r="AJ88" s="224">
        <f>IF('DM_NHAN_SU'!$B88="","",SUM($AG88:$AI88))</f>
        <v/>
      </c>
      <c r="AK88" s="224">
        <f>IF('DM_NHAN_SU'!$B88="","",IF($B88="",0,'THAM_SO'!$F$4))</f>
        <v/>
      </c>
      <c r="AL88" s="224">
        <f>IF('DM_NHAN_SU'!$B88="","",IF($B88="",0,'DM_NHAN_SU'!$T88*'THAM_SO'!$F$5))</f>
        <v/>
      </c>
      <c r="AM88" s="224">
        <f>IF('DM_NHAN_SU'!$B88="","",'CHAM_CONG_THANG'!W88)</f>
        <v/>
      </c>
      <c r="AN88" s="224">
        <f>IF('DM_NHAN_SU'!$B88="","",MAX($AC88-$AK88-$AL88-$AM88,0))</f>
        <v/>
      </c>
      <c r="AO88" s="224">
        <f>IF('DM_NHAN_SU'!$B88="","",IF($B88="","",IF($F88="Net",IF($AC88&lt;=$AK88+$AL88+$AM88,$AC88+$AJ88,$AJ88+$AK88+$AL88+$AM88+IF($AN88&lt;='THAM_SO'!$J$10,($AN88-'THAM_SO'!$I$10)/(1-'THAM_SO'!$H$10),IF($AN88&lt;='THAM_SO'!$J$11,($AN88-'THAM_SO'!$I$11)/(1-'THAM_SO'!$H$11),IF($AN88&lt;='THAM_SO'!$J$12,($AN88-'THAM_SO'!$I$12)/(1-'THAM_SO'!$H$12),IF($AN88&lt;='THAM_SO'!$J$13,($AN88-'THAM_SO'!$I$13)/(1-'THAM_SO'!$H$13),($AN88-'THAM_SO'!$I$14)/(1-'THAM_SO'!$H$14)))))),$AC88)))</f>
        <v/>
      </c>
      <c r="AP88" s="224">
        <f>IF('DM_NHAN_SU'!$B88="","",$U88+$W88+$X88+$AA88+$BS88)</f>
        <v/>
      </c>
      <c r="AQ88" s="224">
        <f>IF('DM_NHAN_SU'!$B88="","",MAX($AO88-$AJ88-$AK88-$AL88-$AM88,0))</f>
        <v/>
      </c>
      <c r="AR88" s="224">
        <f>IF('DM_NHAN_SU'!$B88="","",IF($AQ88&lt;=0,0,$AQ88*VLOOKUP($AQ88,'THAM_SO'!$F$10:$I$14,3,TRUE)-VLOOKUP($AQ88,'THAM_SO'!$F$10:$I$14,4,TRUE)))</f>
        <v/>
      </c>
      <c r="AS88" s="224">
        <f>IF('DM_NHAN_SU'!$B88="","",$AO88+$AP88)</f>
        <v/>
      </c>
      <c r="AT88" s="224">
        <f>IF('DM_NHAN_SU'!$B88="","",$AS88-$AJ88-$AR88)</f>
        <v/>
      </c>
      <c r="AU88" s="224">
        <f>IF('DM_NHAN_SU'!$B88="","",'CHAM_CONG_THANG'!X88)</f>
        <v/>
      </c>
      <c r="AV88" s="224">
        <f>IF('DM_NHAN_SU'!$B88="","",'CHAM_CONG_THANG'!Y88+'QT_NGHI_VIEC'!AD88)</f>
        <v/>
      </c>
      <c r="AW88" s="224">
        <f>IF('DM_NHAN_SU'!$B88="","",'CHAM_CONG_THANG'!Z88)</f>
        <v/>
      </c>
      <c r="AX88" s="224">
        <f>IF('DM_NHAN_SU'!$B88="","",$AT88-$AU88-$AV88-$AW88-$BV88)</f>
        <v/>
      </c>
      <c r="AY88" s="224">
        <f>IF('DM_NHAN_SU'!$B88="","",$AE88*'THAM_SO'!$M$11)</f>
        <v/>
      </c>
      <c r="AZ88" s="224">
        <f>IF('DM_NHAN_SU'!$B88="","",$AE88*'THAM_SO'!$M$12)</f>
        <v/>
      </c>
      <c r="BA88" s="224">
        <f>IF('DM_NHAN_SU'!$B88="","",$AF88*'THAM_SO'!$M$13)</f>
        <v/>
      </c>
      <c r="BB88" s="224">
        <f>IF('DM_NHAN_SU'!$B88="","",$AE88*'THAM_SO'!$M$14)</f>
        <v/>
      </c>
      <c r="BC88" s="224">
        <f>IF('DM_NHAN_SU'!$B88="","",SUM($AY88:$BB88))</f>
        <v/>
      </c>
      <c r="BD88" s="224">
        <f>IF('DM_NHAN_SU'!$B88="","",$AS88+$BC88)</f>
        <v/>
      </c>
      <c r="BE88" s="224">
        <f>IF('DM_NHAN_SU'!$B88="","",VLOOKUP($H88,'THAM_SO'!$L$17:$P$20,2,FALSE))</f>
        <v/>
      </c>
      <c r="BF88" s="224">
        <f>IF('DM_NHAN_SU'!$B88="","",VLOOKUP($H88,'THAM_SO'!$L$17:$P$20,3,FALSE))</f>
        <v/>
      </c>
      <c r="BG88" s="150">
        <f>IF('DM_NHAN_SU'!$B88="","",IF($B88="","",IF(COUNTIF('DM_NHAN_SU'!$B$6:$B$155,$B88)&gt;1,"Trùng mã NV; ","")&amp;IF(OR($F88="",$G88=""),"Thiếu loại/hình thức lương; ","")&amp;IF('CHAM_CONG_THANG'!$D88="","Chưa chọn nguồn công; ","")&amp;IF(AND('CHAM_CONG_THANG'!$D88="Theo ngày",COUNTIF('CHAM_CONG_NGAY'!$B$6:$B$4655,$B88)=0),"Chưa có chấm công ngày; ","")&amp;IF(OR($I88&lt;=0,$J88&lt;=0),"Thiếu công/giờ chuẩn; ","")&amp;IF(AND($G88="Tháng",'DM_NHAN_SU'!$K88&lt;$BE88),"Lương tháng dưới tối thiểu vùng; ","")&amp;IF(AND($G88="Ngày",'DM_NHAN_SU'!$K88/$J88&lt;$BF88),"Lương ngày quy đổi dưới tối thiểu giờ; ","")&amp;IF(AND($G88="Giờ",'DM_NHAN_SU'!$K88&lt;$BF88),"Lương giờ dưới tối thiểu vùng; ","")&amp;IF(AND($G88="Sản phẩm",$L88&gt;0,$O88/$L88&lt;$BF88),"Lương SP quy đổi dưới tối thiểu giờ; ","")&amp;IF(OR('THAM_SO'!$C$19&lt;'THAM_SO'!$B$19,'THAM_SO'!$C$20&lt;'THAM_SO'!$B$20,'THAM_SO'!$C$21&lt;'THAM_SO'!$B$21,'THAM_SO'!$C$22&lt;'THAM_SO'!$B$22,'THAM_SO'!$C$23&lt;'THAM_SO'!$B$23,'THAM_SO'!$C$24&lt;'THAM_SO'!$B$24,'THAM_SO'!$C$25&lt;'THAM_SO'!$B$25),"Hệ số OT/đêm DN thấp hơn luật; ","")&amp;IF(AND('DM_NHAN_SU'!$R88="Có",$AD88&lt;=0),"Thiếu căn cứ đóng BH; ","")&amp;IF(AND($AD88&gt;0,$AD88&lt;'THAM_SO'!$M$6),"Căn cứ BH dưới sàn – đã nâng sàn; ","")&amp;IF($AD88&gt;'THAM_SO'!$M$7,"Căn cứ BH vượt trần – đã giới hạn; ","")&amp;IF(AND($F88="Net",SUM('CHAM_CONG_THANG'!$AF88:$AK88)&gt;0,'DM_NHAN_SU'!$Q88&lt;=0),"Net có OT nhưng chưa khai lương giờ OT; ","")&amp;IF('CHAM_CONG_THANG'!$V88&gt;$Z88,"Phần OT không miễn lớn hơn tiền OT; ","")&amp;IF(AND($F88="Net",ABS($AT88-$AC88-$AP88)&gt;1),"Lệch quy đổi Net; ","")&amp;IF(AND($BH88&gt;0,'DM_NHAN_SU'!$AD88=""),"Có phép năm nhưng đang tạm dùng 12 ngày; ","")&amp;IF(AND($G88="Sản phẩm",SUM($BH88:$BJ88)&gt;0,'DM_NHAN_SU'!$AH88&lt;=0),"Lương sản phẩm thiếu đơn giá ngày phép/lễ; ","")&amp;IF(AND($BL88&gt;=14,'CHAM_CONG_THANG'!$AA88&lt;&gt;"Có"),"Thai sản từ 14 ngày: file tự dừng đóng BH – kiểm tra hồ sơ; ","")&amp;IF(AND('DM_NHAN_SU'!$AA88="Có",'DM_NHAN_SU'!$AB88=""),"Đoàn viên chưa chọn cách tính đoàn phí; ","")&amp;IF(AND('DM_NHAN_SU'!$AB88="Nhập tay",'DM_NHAN_SU'!$AC88&gt;'THAM_SO'!$M$26),"Đoàn phí nhập tay vượt trần thông dụng; ","")&amp;IF('NGHI_PHEP'!$L88&lt;&gt;"","Phép: "&amp;'NGHI_PHEP'!$L88,"")&amp;IF('CHE_DO_BHXH'!$AA88&lt;&gt;"","BHXH: "&amp;'CHE_DO_BHXH'!$AA88,"")&amp;IF('THUONG_T13_TET'!$O88&lt;&gt;"","Thưởng: "&amp;'THUONG_T13_TET'!$O88,"")&amp;IF('QT_NGHI_VIEC'!$AF88&lt;&gt;"","Nghỉ việc: "&amp;'QT_NGHI_VIEC'!$AF88,"")&amp;IF($AX88&lt;0,"Thực lĩnh âm; ","")&amp;IF(OR('DM_NHAN_SU'!$F88&gt;'THAM_SO'!$B$7,AND('DM_NHAN_SU'!$G88&lt;&gt;"",'DM_NHAN_SU'!$G88&lt;'THAM_SO'!$B$6)),"Ngoài kỳ trả lương; ","")))</f>
        <v/>
      </c>
      <c r="BH88" s="232">
        <f>IF('DM_NHAN_SU'!$B88="","",'CHAM_CONG_THANG'!AR88)</f>
        <v/>
      </c>
      <c r="BI88" s="232">
        <f>IF('DM_NHAN_SU'!$B88="","",'CHAM_CONG_THANG'!AS88)</f>
        <v/>
      </c>
      <c r="BJ88" s="232">
        <f>IF('DM_NHAN_SU'!$B88="","",'CHAM_CONG_THANG'!AT88)</f>
        <v/>
      </c>
      <c r="BK88" s="232">
        <f>IF('DM_NHAN_SU'!$B88="","",'CHAM_CONG_THANG'!AU88)</f>
        <v/>
      </c>
      <c r="BL88" s="232">
        <f>IF('DM_NHAN_SU'!$B88="","",'CHAM_CONG_THANG'!AV88)</f>
        <v/>
      </c>
      <c r="BM88" s="232">
        <f>IF('DM_NHAN_SU'!$B88="","",'CHAM_CONG_THANG'!AW88)</f>
        <v/>
      </c>
      <c r="BN88" s="232">
        <f>IF('DM_NHAN_SU'!$B88="","",SUM($K88,$BH88:$BJ88))</f>
        <v/>
      </c>
      <c r="BO88" s="224">
        <f>IF('DM_NHAN_SU'!$B88="","",IF($B88="",0,IF($G88="Tháng",IF($I88&gt;0,'DM_NHAN_SU'!$K88*MIN($BH88+$BJ88,MAX($I88-$K88,0))/$I88,0),IF($G88="Ngày",'DM_NHAN_SU'!$K88*SUM($BH88:$BJ88),IF($G88="Giờ",'DM_NHAN_SU'!$K88*SUM($BH88:$BJ88)*$J88,IF($G88="Sản phẩm",'DM_NHAN_SU'!$AH88*SUM($BH88:$BJ88),0))))))</f>
        <v/>
      </c>
      <c r="BP88" s="224">
        <f>IF('DM_NHAN_SU'!$B88="","",IF('THUONG_T13_TET'!$L88="Có",'THUONG_T13_TET'!$I88,0))</f>
        <v/>
      </c>
      <c r="BQ88" s="224">
        <f>IF('DM_NHAN_SU'!$B88="","",IF('THUONG_T13_TET'!$L88="Có",SUM('THUONG_T13_TET'!$J88:$K88),0))</f>
        <v/>
      </c>
      <c r="BR88" s="224">
        <f>IF('DM_NHAN_SU'!$B88="","",'QT_NGHI_VIEC'!AC88)</f>
        <v/>
      </c>
      <c r="BS88" s="224">
        <f>IF('DM_NHAN_SU'!$B88="","",'QT_NGHI_VIEC'!AB88)</f>
        <v/>
      </c>
      <c r="BT88" s="224">
        <f>IF('DM_NHAN_SU'!$B88="","",IF('CHE_DO_BHXH'!$Z88="Có",'CHE_DO_BHXH'!$W88,0))</f>
        <v/>
      </c>
      <c r="BU88" s="224">
        <f>IF('DM_NHAN_SU'!$B88="","",IF('CHE_DO_BHXH'!$Y88="DN trả thay",$BT88,0))</f>
        <v/>
      </c>
      <c r="BV88" s="224">
        <f>IF('DM_NHAN_SU'!$B88="","",IF(OR('DM_NHAN_SU'!$AA88&lt;&gt;"Có",'CHE_DO_BHXH'!$O88&gt;=1,SUM('CHE_DO_BHXH'!$D88,'CHE_DO_BHXH'!$G88,'CHE_DO_BHXH'!$K88)&gt;=24,AND($I88&gt;0,$BM88&gt;=$I88)),0,IF('DM_NHAN_SU'!$AB88="Không",0,IF('DM_NHAN_SU'!$AB88="Nhập tay",'DM_NHAN_SU'!$AC88,IF('DM_NHAN_SU'!$AB88="Theo thực nhận",MIN(MAX($AT88-$AU88-$AV88-$AW88,0)*'THAM_SO'!$M$23,'THAM_SO'!$M$26),MIN($AE88*'THAM_SO'!$M$23,'THAM_SO'!$M$26))))))</f>
        <v/>
      </c>
      <c r="BW88" s="224">
        <f>IF('DM_NHAN_SU'!$B88="","",$AX88+$BU88)</f>
        <v/>
      </c>
    </row>
    <row r="89">
      <c r="A89" s="145">
        <f>IF('DM_NHAN_SU'!$B89="","",IF($B89="","",ROW()-5))</f>
        <v/>
      </c>
      <c r="B89" s="145">
        <f>IF('DM_NHAN_SU'!$B89="","",'DM_NHAN_SU'!B89)</f>
        <v/>
      </c>
      <c r="C89" s="145">
        <f>IF('DM_NHAN_SU'!$B89="","",'DM_NHAN_SU'!C89)</f>
        <v/>
      </c>
      <c r="D89" s="145">
        <f>IF('DM_NHAN_SU'!$B89="","",'DM_NHAN_SU'!D89)</f>
        <v/>
      </c>
      <c r="E89" s="145">
        <f>IF('DM_NHAN_SU'!$B89="","",'DM_NHAN_SU'!E89)</f>
        <v/>
      </c>
      <c r="F89" s="145">
        <f>IF('DM_NHAN_SU'!$B89="","",'DM_NHAN_SU'!I89)</f>
        <v/>
      </c>
      <c r="G89" s="145">
        <f>IF('DM_NHAN_SU'!$B89="","",'DM_NHAN_SU'!J89)</f>
        <v/>
      </c>
      <c r="H89" s="145">
        <f>IF('DM_NHAN_SU'!$B89="","",IF('DM_NHAN_SU'!H89="",'THAM_SO'!$B$11,'DM_NHAN_SU'!H89))</f>
        <v/>
      </c>
      <c r="I89" s="232">
        <f>IF('DM_NHAN_SU'!$B89="","",IF('DM_NHAN_SU'!L89&gt;0,'DM_NHAN_SU'!L89,'THAM_SO'!$B$9))</f>
        <v/>
      </c>
      <c r="J89" s="232">
        <f>IF('DM_NHAN_SU'!$B89="","",IF('DM_NHAN_SU'!M89&gt;0,'DM_NHAN_SU'!M89,'THAM_SO'!$B$10))</f>
        <v/>
      </c>
      <c r="K89" s="232">
        <f>IF('DM_NHAN_SU'!$B89="","",'CHAM_CONG_THANG'!AC89)</f>
        <v/>
      </c>
      <c r="L89" s="232">
        <f>IF('DM_NHAN_SU'!$B89="","",'CHAM_CONG_THANG'!AD89)</f>
        <v/>
      </c>
      <c r="M89" s="232">
        <f>IF('DM_NHAN_SU'!$B89="","",'CHAM_CONG_THANG'!AE89)</f>
        <v/>
      </c>
      <c r="N89" s="232">
        <f>IF('DM_NHAN_SU'!$B89="","",'CHAM_CONG_THANG'!N89)</f>
        <v/>
      </c>
      <c r="O89" s="224">
        <f>IF('DM_NHAN_SU'!$B89="","",IF($B89="","",IF($G89="Tháng",IF($I89&gt;0,'DM_NHAN_SU'!$K89*MIN($K89,$I89)/$I89,0),IF($G89="Ngày",'DM_NHAN_SU'!$K89*$K89,IF($G89="Giờ",'DM_NHAN_SU'!$K89*$L89,IF($G89="Sản phẩm",'DM_NHAN_SU'!$K89*$N89,0))))))</f>
        <v/>
      </c>
      <c r="P89" s="224">
        <f>IF('DM_NHAN_SU'!$B89="","",'CHAM_CONG_THANG'!O89)</f>
        <v/>
      </c>
      <c r="Q89" s="224">
        <f>IF('DM_NHAN_SU'!$B89="","",'CHAM_CONG_THANG'!P89)</f>
        <v/>
      </c>
      <c r="R89" s="224">
        <f>IF('DM_NHAN_SU'!$B89="","",'CHAM_CONG_THANG'!Q89)</f>
        <v/>
      </c>
      <c r="S89" s="224">
        <f>IF('DM_NHAN_SU'!$B89="","",'CHAM_CONG_THANG'!R89)</f>
        <v/>
      </c>
      <c r="T89" s="224">
        <f>IF('DM_NHAN_SU'!$B89="","",'CHAM_CONG_THANG'!S89)</f>
        <v/>
      </c>
      <c r="U89" s="224">
        <f>IF('DM_NHAN_SU'!$B89="","",MIN($T89,'THAM_SO'!$F$6))</f>
        <v/>
      </c>
      <c r="V89" s="224">
        <f>IF('DM_NHAN_SU'!$B89="","",MAX($T89-$U89,0))</f>
        <v/>
      </c>
      <c r="W89" s="224">
        <f>IF('DM_NHAN_SU'!$B89="","",'CHAM_CONG_THANG'!T89)</f>
        <v/>
      </c>
      <c r="X89" s="224">
        <f>IF('DM_NHAN_SU'!$B89="","",'CHAM_CONG_THANG'!U89)</f>
        <v/>
      </c>
      <c r="Y89" s="224">
        <f>IF('DM_NHAN_SU'!$B89="","",IF($B89="",0,IF('DM_NHAN_SU'!$Q89&gt;0,'DM_NHAN_SU'!$Q89,IF($G89="Tháng",IF($I89*$J89&gt;0,'DM_NHAN_SU'!$K89/($I89*$J89),0),IF($G89="Ngày",IF($J89&gt;0,'DM_NHAN_SU'!$K89/$J89,0),IF($G89="Giờ",'DM_NHAN_SU'!$K89,0))))))</f>
        <v/>
      </c>
      <c r="Z89" s="224">
        <f>IF('DM_NHAN_SU'!$B89="","",$Y89*($M89*'THAM_SO'!$C$22+'CHAM_CONG_THANG'!$AF89*'THAM_SO'!$C$19+'CHAM_CONG_THANG'!$AG89*'THAM_SO'!$C$20+'CHAM_CONG_THANG'!$AH89*'THAM_SO'!$C$21+'CHAM_CONG_THANG'!$AI89*'THAM_SO'!$C$23+'CHAM_CONG_THANG'!$AJ89*'THAM_SO'!$C$24+'CHAM_CONG_THANG'!$AK89*'THAM_SO'!$C$25))</f>
        <v/>
      </c>
      <c r="AA89" s="224">
        <f>IF('DM_NHAN_SU'!$B89="","",MAX(0,$Y89*($M89*IF('THAM_SO'!$C$22&gt;='THAM_SO'!$B$22,'THAM_SO'!$B$22,0)+'CHAM_CONG_THANG'!$AF89*IF('THAM_SO'!$C$19&gt;='THAM_SO'!$B$19,'THAM_SO'!$B$19,0)+'CHAM_CONG_THANG'!$AG89*IF('THAM_SO'!$C$20&gt;='THAM_SO'!$B$20,'THAM_SO'!$B$20,0)+'CHAM_CONG_THANG'!$AH89*IF('THAM_SO'!$C$21&gt;='THAM_SO'!$B$21,'THAM_SO'!$B$21,0)+'CHAM_CONG_THANG'!$AI89*IF('THAM_SO'!$C$23&gt;='THAM_SO'!$B$23,'THAM_SO'!$B$23,0)+'CHAM_CONG_THANG'!$AJ89*IF('THAM_SO'!$C$24&gt;='THAM_SO'!$B$24,'THAM_SO'!$B$24,0)+'CHAM_CONG_THANG'!$AK89*IF('THAM_SO'!$C$25&gt;='THAM_SO'!$B$25,'THAM_SO'!$B$25,0))-'CHAM_CONG_THANG'!$V89))</f>
        <v/>
      </c>
      <c r="AB89" s="224">
        <f>IF('DM_NHAN_SU'!$B89="","",MAX($Z89-$AA89,0))</f>
        <v/>
      </c>
      <c r="AC89" s="224">
        <f>IF('DM_NHAN_SU'!$B89="","",$O89+$P89+$Q89+$R89+$S89+$V89+$AB89+$BO89+$BP89+$BQ89+$BR89)</f>
        <v/>
      </c>
      <c r="AD89" s="224">
        <f>IF('DM_NHAN_SU'!$B89="","",'DM_NHAN_SU'!N89+'DM_NHAN_SU'!O89+'DM_NHAN_SU'!P89)</f>
        <v/>
      </c>
      <c r="AE89" s="224">
        <f>IF('DM_NHAN_SU'!$B89="","",IF(OR('DM_NHAN_SU'!$R89&lt;&gt;"Có",'CHAM_CONG_THANG'!$AA89="Có",$BL89&gt;=14,$AD89&lt;=0),0,MIN(MAX($AD89,'THAM_SO'!$M$6),'THAM_SO'!$M$7)))</f>
        <v/>
      </c>
      <c r="AF89" s="224">
        <f>IF('DM_NHAN_SU'!$B89="","",IF(OR('DM_NHAN_SU'!$S89&lt;&gt;"Có",'CHAM_CONG_THANG'!$AA89="Có",$BL89&gt;=14,$AD89&lt;=0),0,MIN(MAX($AD89,VLOOKUP($H89,'THAM_SO'!$L$17:$P$20,4,FALSE)),VLOOKUP($H89,'THAM_SO'!$L$17:$P$20,5,FALSE))))</f>
        <v/>
      </c>
      <c r="AG89" s="224">
        <f>IF('DM_NHAN_SU'!$B89="","",$AE89*'THAM_SO'!$M$8)</f>
        <v/>
      </c>
      <c r="AH89" s="224">
        <f>IF('DM_NHAN_SU'!$B89="","",$AE89*'THAM_SO'!$M$9)</f>
        <v/>
      </c>
      <c r="AI89" s="224">
        <f>IF('DM_NHAN_SU'!$B89="","",$AF89*'THAM_SO'!$M$10)</f>
        <v/>
      </c>
      <c r="AJ89" s="224">
        <f>IF('DM_NHAN_SU'!$B89="","",SUM($AG89:$AI89))</f>
        <v/>
      </c>
      <c r="AK89" s="224">
        <f>IF('DM_NHAN_SU'!$B89="","",IF($B89="",0,'THAM_SO'!$F$4))</f>
        <v/>
      </c>
      <c r="AL89" s="224">
        <f>IF('DM_NHAN_SU'!$B89="","",IF($B89="",0,'DM_NHAN_SU'!$T89*'THAM_SO'!$F$5))</f>
        <v/>
      </c>
      <c r="AM89" s="224">
        <f>IF('DM_NHAN_SU'!$B89="","",'CHAM_CONG_THANG'!W89)</f>
        <v/>
      </c>
      <c r="AN89" s="224">
        <f>IF('DM_NHAN_SU'!$B89="","",MAX($AC89-$AK89-$AL89-$AM89,0))</f>
        <v/>
      </c>
      <c r="AO89" s="224">
        <f>IF('DM_NHAN_SU'!$B89="","",IF($B89="","",IF($F89="Net",IF($AC89&lt;=$AK89+$AL89+$AM89,$AC89+$AJ89,$AJ89+$AK89+$AL89+$AM89+IF($AN89&lt;='THAM_SO'!$J$10,($AN89-'THAM_SO'!$I$10)/(1-'THAM_SO'!$H$10),IF($AN89&lt;='THAM_SO'!$J$11,($AN89-'THAM_SO'!$I$11)/(1-'THAM_SO'!$H$11),IF($AN89&lt;='THAM_SO'!$J$12,($AN89-'THAM_SO'!$I$12)/(1-'THAM_SO'!$H$12),IF($AN89&lt;='THAM_SO'!$J$13,($AN89-'THAM_SO'!$I$13)/(1-'THAM_SO'!$H$13),($AN89-'THAM_SO'!$I$14)/(1-'THAM_SO'!$H$14)))))),$AC89)))</f>
        <v/>
      </c>
      <c r="AP89" s="224">
        <f>IF('DM_NHAN_SU'!$B89="","",$U89+$W89+$X89+$AA89+$BS89)</f>
        <v/>
      </c>
      <c r="AQ89" s="224">
        <f>IF('DM_NHAN_SU'!$B89="","",MAX($AO89-$AJ89-$AK89-$AL89-$AM89,0))</f>
        <v/>
      </c>
      <c r="AR89" s="224">
        <f>IF('DM_NHAN_SU'!$B89="","",IF($AQ89&lt;=0,0,$AQ89*VLOOKUP($AQ89,'THAM_SO'!$F$10:$I$14,3,TRUE)-VLOOKUP($AQ89,'THAM_SO'!$F$10:$I$14,4,TRUE)))</f>
        <v/>
      </c>
      <c r="AS89" s="224">
        <f>IF('DM_NHAN_SU'!$B89="","",$AO89+$AP89)</f>
        <v/>
      </c>
      <c r="AT89" s="224">
        <f>IF('DM_NHAN_SU'!$B89="","",$AS89-$AJ89-$AR89)</f>
        <v/>
      </c>
      <c r="AU89" s="224">
        <f>IF('DM_NHAN_SU'!$B89="","",'CHAM_CONG_THANG'!X89)</f>
        <v/>
      </c>
      <c r="AV89" s="224">
        <f>IF('DM_NHAN_SU'!$B89="","",'CHAM_CONG_THANG'!Y89+'QT_NGHI_VIEC'!AD89)</f>
        <v/>
      </c>
      <c r="AW89" s="224">
        <f>IF('DM_NHAN_SU'!$B89="","",'CHAM_CONG_THANG'!Z89)</f>
        <v/>
      </c>
      <c r="AX89" s="224">
        <f>IF('DM_NHAN_SU'!$B89="","",$AT89-$AU89-$AV89-$AW89-$BV89)</f>
        <v/>
      </c>
      <c r="AY89" s="224">
        <f>IF('DM_NHAN_SU'!$B89="","",$AE89*'THAM_SO'!$M$11)</f>
        <v/>
      </c>
      <c r="AZ89" s="224">
        <f>IF('DM_NHAN_SU'!$B89="","",$AE89*'THAM_SO'!$M$12)</f>
        <v/>
      </c>
      <c r="BA89" s="224">
        <f>IF('DM_NHAN_SU'!$B89="","",$AF89*'THAM_SO'!$M$13)</f>
        <v/>
      </c>
      <c r="BB89" s="224">
        <f>IF('DM_NHAN_SU'!$B89="","",$AE89*'THAM_SO'!$M$14)</f>
        <v/>
      </c>
      <c r="BC89" s="224">
        <f>IF('DM_NHAN_SU'!$B89="","",SUM($AY89:$BB89))</f>
        <v/>
      </c>
      <c r="BD89" s="224">
        <f>IF('DM_NHAN_SU'!$B89="","",$AS89+$BC89)</f>
        <v/>
      </c>
      <c r="BE89" s="224">
        <f>IF('DM_NHAN_SU'!$B89="","",VLOOKUP($H89,'THAM_SO'!$L$17:$P$20,2,FALSE))</f>
        <v/>
      </c>
      <c r="BF89" s="224">
        <f>IF('DM_NHAN_SU'!$B89="","",VLOOKUP($H89,'THAM_SO'!$L$17:$P$20,3,FALSE))</f>
        <v/>
      </c>
      <c r="BG89" s="150">
        <f>IF('DM_NHAN_SU'!$B89="","",IF($B89="","",IF(COUNTIF('DM_NHAN_SU'!$B$6:$B$155,$B89)&gt;1,"Trùng mã NV; ","")&amp;IF(OR($F89="",$G89=""),"Thiếu loại/hình thức lương; ","")&amp;IF('CHAM_CONG_THANG'!$D89="","Chưa chọn nguồn công; ","")&amp;IF(AND('CHAM_CONG_THANG'!$D89="Theo ngày",COUNTIF('CHAM_CONG_NGAY'!$B$6:$B$4655,$B89)=0),"Chưa có chấm công ngày; ","")&amp;IF(OR($I89&lt;=0,$J89&lt;=0),"Thiếu công/giờ chuẩn; ","")&amp;IF(AND($G89="Tháng",'DM_NHAN_SU'!$K89&lt;$BE89),"Lương tháng dưới tối thiểu vùng; ","")&amp;IF(AND($G89="Ngày",'DM_NHAN_SU'!$K89/$J89&lt;$BF89),"Lương ngày quy đổi dưới tối thiểu giờ; ","")&amp;IF(AND($G89="Giờ",'DM_NHAN_SU'!$K89&lt;$BF89),"Lương giờ dưới tối thiểu vùng; ","")&amp;IF(AND($G89="Sản phẩm",$L89&gt;0,$O89/$L89&lt;$BF89),"Lương SP quy đổi dưới tối thiểu giờ; ","")&amp;IF(OR('THAM_SO'!$C$19&lt;'THAM_SO'!$B$19,'THAM_SO'!$C$20&lt;'THAM_SO'!$B$20,'THAM_SO'!$C$21&lt;'THAM_SO'!$B$21,'THAM_SO'!$C$22&lt;'THAM_SO'!$B$22,'THAM_SO'!$C$23&lt;'THAM_SO'!$B$23,'THAM_SO'!$C$24&lt;'THAM_SO'!$B$24,'THAM_SO'!$C$25&lt;'THAM_SO'!$B$25),"Hệ số OT/đêm DN thấp hơn luật; ","")&amp;IF(AND('DM_NHAN_SU'!$R89="Có",$AD89&lt;=0),"Thiếu căn cứ đóng BH; ","")&amp;IF(AND($AD89&gt;0,$AD89&lt;'THAM_SO'!$M$6),"Căn cứ BH dưới sàn – đã nâng sàn; ","")&amp;IF($AD89&gt;'THAM_SO'!$M$7,"Căn cứ BH vượt trần – đã giới hạn; ","")&amp;IF(AND($F89="Net",SUM('CHAM_CONG_THANG'!$AF89:$AK89)&gt;0,'DM_NHAN_SU'!$Q89&lt;=0),"Net có OT nhưng chưa khai lương giờ OT; ","")&amp;IF('CHAM_CONG_THANG'!$V89&gt;$Z89,"Phần OT không miễn lớn hơn tiền OT; ","")&amp;IF(AND($F89="Net",ABS($AT89-$AC89-$AP89)&gt;1),"Lệch quy đổi Net; ","")&amp;IF(AND($BH89&gt;0,'DM_NHAN_SU'!$AD89=""),"Có phép năm nhưng đang tạm dùng 12 ngày; ","")&amp;IF(AND($G89="Sản phẩm",SUM($BH89:$BJ89)&gt;0,'DM_NHAN_SU'!$AH89&lt;=0),"Lương sản phẩm thiếu đơn giá ngày phép/lễ; ","")&amp;IF(AND($BL89&gt;=14,'CHAM_CONG_THANG'!$AA89&lt;&gt;"Có"),"Thai sản từ 14 ngày: file tự dừng đóng BH – kiểm tra hồ sơ; ","")&amp;IF(AND('DM_NHAN_SU'!$AA89="Có",'DM_NHAN_SU'!$AB89=""),"Đoàn viên chưa chọn cách tính đoàn phí; ","")&amp;IF(AND('DM_NHAN_SU'!$AB89="Nhập tay",'DM_NHAN_SU'!$AC89&gt;'THAM_SO'!$M$26),"Đoàn phí nhập tay vượt trần thông dụng; ","")&amp;IF('NGHI_PHEP'!$L89&lt;&gt;"","Phép: "&amp;'NGHI_PHEP'!$L89,"")&amp;IF('CHE_DO_BHXH'!$AA89&lt;&gt;"","BHXH: "&amp;'CHE_DO_BHXH'!$AA89,"")&amp;IF('THUONG_T13_TET'!$O89&lt;&gt;"","Thưởng: "&amp;'THUONG_T13_TET'!$O89,"")&amp;IF('QT_NGHI_VIEC'!$AF89&lt;&gt;"","Nghỉ việc: "&amp;'QT_NGHI_VIEC'!$AF89,"")&amp;IF($AX89&lt;0,"Thực lĩnh âm; ","")&amp;IF(OR('DM_NHAN_SU'!$F89&gt;'THAM_SO'!$B$7,AND('DM_NHAN_SU'!$G89&lt;&gt;"",'DM_NHAN_SU'!$G89&lt;'THAM_SO'!$B$6)),"Ngoài kỳ trả lương; ","")))</f>
        <v/>
      </c>
      <c r="BH89" s="232">
        <f>IF('DM_NHAN_SU'!$B89="","",'CHAM_CONG_THANG'!AR89)</f>
        <v/>
      </c>
      <c r="BI89" s="232">
        <f>IF('DM_NHAN_SU'!$B89="","",'CHAM_CONG_THANG'!AS89)</f>
        <v/>
      </c>
      <c r="BJ89" s="232">
        <f>IF('DM_NHAN_SU'!$B89="","",'CHAM_CONG_THANG'!AT89)</f>
        <v/>
      </c>
      <c r="BK89" s="232">
        <f>IF('DM_NHAN_SU'!$B89="","",'CHAM_CONG_THANG'!AU89)</f>
        <v/>
      </c>
      <c r="BL89" s="232">
        <f>IF('DM_NHAN_SU'!$B89="","",'CHAM_CONG_THANG'!AV89)</f>
        <v/>
      </c>
      <c r="BM89" s="232">
        <f>IF('DM_NHAN_SU'!$B89="","",'CHAM_CONG_THANG'!AW89)</f>
        <v/>
      </c>
      <c r="BN89" s="232">
        <f>IF('DM_NHAN_SU'!$B89="","",SUM($K89,$BH89:$BJ89))</f>
        <v/>
      </c>
      <c r="BO89" s="224">
        <f>IF('DM_NHAN_SU'!$B89="","",IF($B89="",0,IF($G89="Tháng",IF($I89&gt;0,'DM_NHAN_SU'!$K89*MIN($BH89+$BJ89,MAX($I89-$K89,0))/$I89,0),IF($G89="Ngày",'DM_NHAN_SU'!$K89*SUM($BH89:$BJ89),IF($G89="Giờ",'DM_NHAN_SU'!$K89*SUM($BH89:$BJ89)*$J89,IF($G89="Sản phẩm",'DM_NHAN_SU'!$AH89*SUM($BH89:$BJ89),0))))))</f>
        <v/>
      </c>
      <c r="BP89" s="224">
        <f>IF('DM_NHAN_SU'!$B89="","",IF('THUONG_T13_TET'!$L89="Có",'THUONG_T13_TET'!$I89,0))</f>
        <v/>
      </c>
      <c r="BQ89" s="224">
        <f>IF('DM_NHAN_SU'!$B89="","",IF('THUONG_T13_TET'!$L89="Có",SUM('THUONG_T13_TET'!$J89:$K89),0))</f>
        <v/>
      </c>
      <c r="BR89" s="224">
        <f>IF('DM_NHAN_SU'!$B89="","",'QT_NGHI_VIEC'!AC89)</f>
        <v/>
      </c>
      <c r="BS89" s="224">
        <f>IF('DM_NHAN_SU'!$B89="","",'QT_NGHI_VIEC'!AB89)</f>
        <v/>
      </c>
      <c r="BT89" s="224">
        <f>IF('DM_NHAN_SU'!$B89="","",IF('CHE_DO_BHXH'!$Z89="Có",'CHE_DO_BHXH'!$W89,0))</f>
        <v/>
      </c>
      <c r="BU89" s="224">
        <f>IF('DM_NHAN_SU'!$B89="","",IF('CHE_DO_BHXH'!$Y89="DN trả thay",$BT89,0))</f>
        <v/>
      </c>
      <c r="BV89" s="224">
        <f>IF('DM_NHAN_SU'!$B89="","",IF(OR('DM_NHAN_SU'!$AA89&lt;&gt;"Có",'CHE_DO_BHXH'!$O89&gt;=1,SUM('CHE_DO_BHXH'!$D89,'CHE_DO_BHXH'!$G89,'CHE_DO_BHXH'!$K89)&gt;=24,AND($I89&gt;0,$BM89&gt;=$I89)),0,IF('DM_NHAN_SU'!$AB89="Không",0,IF('DM_NHAN_SU'!$AB89="Nhập tay",'DM_NHAN_SU'!$AC89,IF('DM_NHAN_SU'!$AB89="Theo thực nhận",MIN(MAX($AT89-$AU89-$AV89-$AW89,0)*'THAM_SO'!$M$23,'THAM_SO'!$M$26),MIN($AE89*'THAM_SO'!$M$23,'THAM_SO'!$M$26))))))</f>
        <v/>
      </c>
      <c r="BW89" s="224">
        <f>IF('DM_NHAN_SU'!$B89="","",$AX89+$BU89)</f>
        <v/>
      </c>
    </row>
    <row r="90">
      <c r="A90" s="145">
        <f>IF('DM_NHAN_SU'!$B90="","",IF($B90="","",ROW()-5))</f>
        <v/>
      </c>
      <c r="B90" s="145">
        <f>IF('DM_NHAN_SU'!$B90="","",'DM_NHAN_SU'!B90)</f>
        <v/>
      </c>
      <c r="C90" s="145">
        <f>IF('DM_NHAN_SU'!$B90="","",'DM_NHAN_SU'!C90)</f>
        <v/>
      </c>
      <c r="D90" s="145">
        <f>IF('DM_NHAN_SU'!$B90="","",'DM_NHAN_SU'!D90)</f>
        <v/>
      </c>
      <c r="E90" s="145">
        <f>IF('DM_NHAN_SU'!$B90="","",'DM_NHAN_SU'!E90)</f>
        <v/>
      </c>
      <c r="F90" s="145">
        <f>IF('DM_NHAN_SU'!$B90="","",'DM_NHAN_SU'!I90)</f>
        <v/>
      </c>
      <c r="G90" s="145">
        <f>IF('DM_NHAN_SU'!$B90="","",'DM_NHAN_SU'!J90)</f>
        <v/>
      </c>
      <c r="H90" s="145">
        <f>IF('DM_NHAN_SU'!$B90="","",IF('DM_NHAN_SU'!H90="",'THAM_SO'!$B$11,'DM_NHAN_SU'!H90))</f>
        <v/>
      </c>
      <c r="I90" s="232">
        <f>IF('DM_NHAN_SU'!$B90="","",IF('DM_NHAN_SU'!L90&gt;0,'DM_NHAN_SU'!L90,'THAM_SO'!$B$9))</f>
        <v/>
      </c>
      <c r="J90" s="232">
        <f>IF('DM_NHAN_SU'!$B90="","",IF('DM_NHAN_SU'!M90&gt;0,'DM_NHAN_SU'!M90,'THAM_SO'!$B$10))</f>
        <v/>
      </c>
      <c r="K90" s="232">
        <f>IF('DM_NHAN_SU'!$B90="","",'CHAM_CONG_THANG'!AC90)</f>
        <v/>
      </c>
      <c r="L90" s="232">
        <f>IF('DM_NHAN_SU'!$B90="","",'CHAM_CONG_THANG'!AD90)</f>
        <v/>
      </c>
      <c r="M90" s="232">
        <f>IF('DM_NHAN_SU'!$B90="","",'CHAM_CONG_THANG'!AE90)</f>
        <v/>
      </c>
      <c r="N90" s="232">
        <f>IF('DM_NHAN_SU'!$B90="","",'CHAM_CONG_THANG'!N90)</f>
        <v/>
      </c>
      <c r="O90" s="224">
        <f>IF('DM_NHAN_SU'!$B90="","",IF($B90="","",IF($G90="Tháng",IF($I90&gt;0,'DM_NHAN_SU'!$K90*MIN($K90,$I90)/$I90,0),IF($G90="Ngày",'DM_NHAN_SU'!$K90*$K90,IF($G90="Giờ",'DM_NHAN_SU'!$K90*$L90,IF($G90="Sản phẩm",'DM_NHAN_SU'!$K90*$N90,0))))))</f>
        <v/>
      </c>
      <c r="P90" s="224">
        <f>IF('DM_NHAN_SU'!$B90="","",'CHAM_CONG_THANG'!O90)</f>
        <v/>
      </c>
      <c r="Q90" s="224">
        <f>IF('DM_NHAN_SU'!$B90="","",'CHAM_CONG_THANG'!P90)</f>
        <v/>
      </c>
      <c r="R90" s="224">
        <f>IF('DM_NHAN_SU'!$B90="","",'CHAM_CONG_THANG'!Q90)</f>
        <v/>
      </c>
      <c r="S90" s="224">
        <f>IF('DM_NHAN_SU'!$B90="","",'CHAM_CONG_THANG'!R90)</f>
        <v/>
      </c>
      <c r="T90" s="224">
        <f>IF('DM_NHAN_SU'!$B90="","",'CHAM_CONG_THANG'!S90)</f>
        <v/>
      </c>
      <c r="U90" s="224">
        <f>IF('DM_NHAN_SU'!$B90="","",MIN($T90,'THAM_SO'!$F$6))</f>
        <v/>
      </c>
      <c r="V90" s="224">
        <f>IF('DM_NHAN_SU'!$B90="","",MAX($T90-$U90,0))</f>
        <v/>
      </c>
      <c r="W90" s="224">
        <f>IF('DM_NHAN_SU'!$B90="","",'CHAM_CONG_THANG'!T90)</f>
        <v/>
      </c>
      <c r="X90" s="224">
        <f>IF('DM_NHAN_SU'!$B90="","",'CHAM_CONG_THANG'!U90)</f>
        <v/>
      </c>
      <c r="Y90" s="224">
        <f>IF('DM_NHAN_SU'!$B90="","",IF($B90="",0,IF('DM_NHAN_SU'!$Q90&gt;0,'DM_NHAN_SU'!$Q90,IF($G90="Tháng",IF($I90*$J90&gt;0,'DM_NHAN_SU'!$K90/($I90*$J90),0),IF($G90="Ngày",IF($J90&gt;0,'DM_NHAN_SU'!$K90/$J90,0),IF($G90="Giờ",'DM_NHAN_SU'!$K90,0))))))</f>
        <v/>
      </c>
      <c r="Z90" s="224">
        <f>IF('DM_NHAN_SU'!$B90="","",$Y90*($M90*'THAM_SO'!$C$22+'CHAM_CONG_THANG'!$AF90*'THAM_SO'!$C$19+'CHAM_CONG_THANG'!$AG90*'THAM_SO'!$C$20+'CHAM_CONG_THANG'!$AH90*'THAM_SO'!$C$21+'CHAM_CONG_THANG'!$AI90*'THAM_SO'!$C$23+'CHAM_CONG_THANG'!$AJ90*'THAM_SO'!$C$24+'CHAM_CONG_THANG'!$AK90*'THAM_SO'!$C$25))</f>
        <v/>
      </c>
      <c r="AA90" s="224">
        <f>IF('DM_NHAN_SU'!$B90="","",MAX(0,$Y90*($M90*IF('THAM_SO'!$C$22&gt;='THAM_SO'!$B$22,'THAM_SO'!$B$22,0)+'CHAM_CONG_THANG'!$AF90*IF('THAM_SO'!$C$19&gt;='THAM_SO'!$B$19,'THAM_SO'!$B$19,0)+'CHAM_CONG_THANG'!$AG90*IF('THAM_SO'!$C$20&gt;='THAM_SO'!$B$20,'THAM_SO'!$B$20,0)+'CHAM_CONG_THANG'!$AH90*IF('THAM_SO'!$C$21&gt;='THAM_SO'!$B$21,'THAM_SO'!$B$21,0)+'CHAM_CONG_THANG'!$AI90*IF('THAM_SO'!$C$23&gt;='THAM_SO'!$B$23,'THAM_SO'!$B$23,0)+'CHAM_CONG_THANG'!$AJ90*IF('THAM_SO'!$C$24&gt;='THAM_SO'!$B$24,'THAM_SO'!$B$24,0)+'CHAM_CONG_THANG'!$AK90*IF('THAM_SO'!$C$25&gt;='THAM_SO'!$B$25,'THAM_SO'!$B$25,0))-'CHAM_CONG_THANG'!$V90))</f>
        <v/>
      </c>
      <c r="AB90" s="224">
        <f>IF('DM_NHAN_SU'!$B90="","",MAX($Z90-$AA90,0))</f>
        <v/>
      </c>
      <c r="AC90" s="224">
        <f>IF('DM_NHAN_SU'!$B90="","",$O90+$P90+$Q90+$R90+$S90+$V90+$AB90+$BO90+$BP90+$BQ90+$BR90)</f>
        <v/>
      </c>
      <c r="AD90" s="224">
        <f>IF('DM_NHAN_SU'!$B90="","",'DM_NHAN_SU'!N90+'DM_NHAN_SU'!O90+'DM_NHAN_SU'!P90)</f>
        <v/>
      </c>
      <c r="AE90" s="224">
        <f>IF('DM_NHAN_SU'!$B90="","",IF(OR('DM_NHAN_SU'!$R90&lt;&gt;"Có",'CHAM_CONG_THANG'!$AA90="Có",$BL90&gt;=14,$AD90&lt;=0),0,MIN(MAX($AD90,'THAM_SO'!$M$6),'THAM_SO'!$M$7)))</f>
        <v/>
      </c>
      <c r="AF90" s="224">
        <f>IF('DM_NHAN_SU'!$B90="","",IF(OR('DM_NHAN_SU'!$S90&lt;&gt;"Có",'CHAM_CONG_THANG'!$AA90="Có",$BL90&gt;=14,$AD90&lt;=0),0,MIN(MAX($AD90,VLOOKUP($H90,'THAM_SO'!$L$17:$P$20,4,FALSE)),VLOOKUP($H90,'THAM_SO'!$L$17:$P$20,5,FALSE))))</f>
        <v/>
      </c>
      <c r="AG90" s="224">
        <f>IF('DM_NHAN_SU'!$B90="","",$AE90*'THAM_SO'!$M$8)</f>
        <v/>
      </c>
      <c r="AH90" s="224">
        <f>IF('DM_NHAN_SU'!$B90="","",$AE90*'THAM_SO'!$M$9)</f>
        <v/>
      </c>
      <c r="AI90" s="224">
        <f>IF('DM_NHAN_SU'!$B90="","",$AF90*'THAM_SO'!$M$10)</f>
        <v/>
      </c>
      <c r="AJ90" s="224">
        <f>IF('DM_NHAN_SU'!$B90="","",SUM($AG90:$AI90))</f>
        <v/>
      </c>
      <c r="AK90" s="224">
        <f>IF('DM_NHAN_SU'!$B90="","",IF($B90="",0,'THAM_SO'!$F$4))</f>
        <v/>
      </c>
      <c r="AL90" s="224">
        <f>IF('DM_NHAN_SU'!$B90="","",IF($B90="",0,'DM_NHAN_SU'!$T90*'THAM_SO'!$F$5))</f>
        <v/>
      </c>
      <c r="AM90" s="224">
        <f>IF('DM_NHAN_SU'!$B90="","",'CHAM_CONG_THANG'!W90)</f>
        <v/>
      </c>
      <c r="AN90" s="224">
        <f>IF('DM_NHAN_SU'!$B90="","",MAX($AC90-$AK90-$AL90-$AM90,0))</f>
        <v/>
      </c>
      <c r="AO90" s="224">
        <f>IF('DM_NHAN_SU'!$B90="","",IF($B90="","",IF($F90="Net",IF($AC90&lt;=$AK90+$AL90+$AM90,$AC90+$AJ90,$AJ90+$AK90+$AL90+$AM90+IF($AN90&lt;='THAM_SO'!$J$10,($AN90-'THAM_SO'!$I$10)/(1-'THAM_SO'!$H$10),IF($AN90&lt;='THAM_SO'!$J$11,($AN90-'THAM_SO'!$I$11)/(1-'THAM_SO'!$H$11),IF($AN90&lt;='THAM_SO'!$J$12,($AN90-'THAM_SO'!$I$12)/(1-'THAM_SO'!$H$12),IF($AN90&lt;='THAM_SO'!$J$13,($AN90-'THAM_SO'!$I$13)/(1-'THAM_SO'!$H$13),($AN90-'THAM_SO'!$I$14)/(1-'THAM_SO'!$H$14)))))),$AC90)))</f>
        <v/>
      </c>
      <c r="AP90" s="224">
        <f>IF('DM_NHAN_SU'!$B90="","",$U90+$W90+$X90+$AA90+$BS90)</f>
        <v/>
      </c>
      <c r="AQ90" s="224">
        <f>IF('DM_NHAN_SU'!$B90="","",MAX($AO90-$AJ90-$AK90-$AL90-$AM90,0))</f>
        <v/>
      </c>
      <c r="AR90" s="224">
        <f>IF('DM_NHAN_SU'!$B90="","",IF($AQ90&lt;=0,0,$AQ90*VLOOKUP($AQ90,'THAM_SO'!$F$10:$I$14,3,TRUE)-VLOOKUP($AQ90,'THAM_SO'!$F$10:$I$14,4,TRUE)))</f>
        <v/>
      </c>
      <c r="AS90" s="224">
        <f>IF('DM_NHAN_SU'!$B90="","",$AO90+$AP90)</f>
        <v/>
      </c>
      <c r="AT90" s="224">
        <f>IF('DM_NHAN_SU'!$B90="","",$AS90-$AJ90-$AR90)</f>
        <v/>
      </c>
      <c r="AU90" s="224">
        <f>IF('DM_NHAN_SU'!$B90="","",'CHAM_CONG_THANG'!X90)</f>
        <v/>
      </c>
      <c r="AV90" s="224">
        <f>IF('DM_NHAN_SU'!$B90="","",'CHAM_CONG_THANG'!Y90+'QT_NGHI_VIEC'!AD90)</f>
        <v/>
      </c>
      <c r="AW90" s="224">
        <f>IF('DM_NHAN_SU'!$B90="","",'CHAM_CONG_THANG'!Z90)</f>
        <v/>
      </c>
      <c r="AX90" s="224">
        <f>IF('DM_NHAN_SU'!$B90="","",$AT90-$AU90-$AV90-$AW90-$BV90)</f>
        <v/>
      </c>
      <c r="AY90" s="224">
        <f>IF('DM_NHAN_SU'!$B90="","",$AE90*'THAM_SO'!$M$11)</f>
        <v/>
      </c>
      <c r="AZ90" s="224">
        <f>IF('DM_NHAN_SU'!$B90="","",$AE90*'THAM_SO'!$M$12)</f>
        <v/>
      </c>
      <c r="BA90" s="224">
        <f>IF('DM_NHAN_SU'!$B90="","",$AF90*'THAM_SO'!$M$13)</f>
        <v/>
      </c>
      <c r="BB90" s="224">
        <f>IF('DM_NHAN_SU'!$B90="","",$AE90*'THAM_SO'!$M$14)</f>
        <v/>
      </c>
      <c r="BC90" s="224">
        <f>IF('DM_NHAN_SU'!$B90="","",SUM($AY90:$BB90))</f>
        <v/>
      </c>
      <c r="BD90" s="224">
        <f>IF('DM_NHAN_SU'!$B90="","",$AS90+$BC90)</f>
        <v/>
      </c>
      <c r="BE90" s="224">
        <f>IF('DM_NHAN_SU'!$B90="","",VLOOKUP($H90,'THAM_SO'!$L$17:$P$20,2,FALSE))</f>
        <v/>
      </c>
      <c r="BF90" s="224">
        <f>IF('DM_NHAN_SU'!$B90="","",VLOOKUP($H90,'THAM_SO'!$L$17:$P$20,3,FALSE))</f>
        <v/>
      </c>
      <c r="BG90" s="150">
        <f>IF('DM_NHAN_SU'!$B90="","",IF($B90="","",IF(COUNTIF('DM_NHAN_SU'!$B$6:$B$155,$B90)&gt;1,"Trùng mã NV; ","")&amp;IF(OR($F90="",$G90=""),"Thiếu loại/hình thức lương; ","")&amp;IF('CHAM_CONG_THANG'!$D90="","Chưa chọn nguồn công; ","")&amp;IF(AND('CHAM_CONG_THANG'!$D90="Theo ngày",COUNTIF('CHAM_CONG_NGAY'!$B$6:$B$4655,$B90)=0),"Chưa có chấm công ngày; ","")&amp;IF(OR($I90&lt;=0,$J90&lt;=0),"Thiếu công/giờ chuẩn; ","")&amp;IF(AND($G90="Tháng",'DM_NHAN_SU'!$K90&lt;$BE90),"Lương tháng dưới tối thiểu vùng; ","")&amp;IF(AND($G90="Ngày",'DM_NHAN_SU'!$K90/$J90&lt;$BF90),"Lương ngày quy đổi dưới tối thiểu giờ; ","")&amp;IF(AND($G90="Giờ",'DM_NHAN_SU'!$K90&lt;$BF90),"Lương giờ dưới tối thiểu vùng; ","")&amp;IF(AND($G90="Sản phẩm",$L90&gt;0,$O90/$L90&lt;$BF90),"Lương SP quy đổi dưới tối thiểu giờ; ","")&amp;IF(OR('THAM_SO'!$C$19&lt;'THAM_SO'!$B$19,'THAM_SO'!$C$20&lt;'THAM_SO'!$B$20,'THAM_SO'!$C$21&lt;'THAM_SO'!$B$21,'THAM_SO'!$C$22&lt;'THAM_SO'!$B$22,'THAM_SO'!$C$23&lt;'THAM_SO'!$B$23,'THAM_SO'!$C$24&lt;'THAM_SO'!$B$24,'THAM_SO'!$C$25&lt;'THAM_SO'!$B$25),"Hệ số OT/đêm DN thấp hơn luật; ","")&amp;IF(AND('DM_NHAN_SU'!$R90="Có",$AD90&lt;=0),"Thiếu căn cứ đóng BH; ","")&amp;IF(AND($AD90&gt;0,$AD90&lt;'THAM_SO'!$M$6),"Căn cứ BH dưới sàn – đã nâng sàn; ","")&amp;IF($AD90&gt;'THAM_SO'!$M$7,"Căn cứ BH vượt trần – đã giới hạn; ","")&amp;IF(AND($F90="Net",SUM('CHAM_CONG_THANG'!$AF90:$AK90)&gt;0,'DM_NHAN_SU'!$Q90&lt;=0),"Net có OT nhưng chưa khai lương giờ OT; ","")&amp;IF('CHAM_CONG_THANG'!$V90&gt;$Z90,"Phần OT không miễn lớn hơn tiền OT; ","")&amp;IF(AND($F90="Net",ABS($AT90-$AC90-$AP90)&gt;1),"Lệch quy đổi Net; ","")&amp;IF(AND($BH90&gt;0,'DM_NHAN_SU'!$AD90=""),"Có phép năm nhưng đang tạm dùng 12 ngày; ","")&amp;IF(AND($G90="Sản phẩm",SUM($BH90:$BJ90)&gt;0,'DM_NHAN_SU'!$AH90&lt;=0),"Lương sản phẩm thiếu đơn giá ngày phép/lễ; ","")&amp;IF(AND($BL90&gt;=14,'CHAM_CONG_THANG'!$AA90&lt;&gt;"Có"),"Thai sản từ 14 ngày: file tự dừng đóng BH – kiểm tra hồ sơ; ","")&amp;IF(AND('DM_NHAN_SU'!$AA90="Có",'DM_NHAN_SU'!$AB90=""),"Đoàn viên chưa chọn cách tính đoàn phí; ","")&amp;IF(AND('DM_NHAN_SU'!$AB90="Nhập tay",'DM_NHAN_SU'!$AC90&gt;'THAM_SO'!$M$26),"Đoàn phí nhập tay vượt trần thông dụng; ","")&amp;IF('NGHI_PHEP'!$L90&lt;&gt;"","Phép: "&amp;'NGHI_PHEP'!$L90,"")&amp;IF('CHE_DO_BHXH'!$AA90&lt;&gt;"","BHXH: "&amp;'CHE_DO_BHXH'!$AA90,"")&amp;IF('THUONG_T13_TET'!$O90&lt;&gt;"","Thưởng: "&amp;'THUONG_T13_TET'!$O90,"")&amp;IF('QT_NGHI_VIEC'!$AF90&lt;&gt;"","Nghỉ việc: "&amp;'QT_NGHI_VIEC'!$AF90,"")&amp;IF($AX90&lt;0,"Thực lĩnh âm; ","")&amp;IF(OR('DM_NHAN_SU'!$F90&gt;'THAM_SO'!$B$7,AND('DM_NHAN_SU'!$G90&lt;&gt;"",'DM_NHAN_SU'!$G90&lt;'THAM_SO'!$B$6)),"Ngoài kỳ trả lương; ","")))</f>
        <v/>
      </c>
      <c r="BH90" s="232">
        <f>IF('DM_NHAN_SU'!$B90="","",'CHAM_CONG_THANG'!AR90)</f>
        <v/>
      </c>
      <c r="BI90" s="232">
        <f>IF('DM_NHAN_SU'!$B90="","",'CHAM_CONG_THANG'!AS90)</f>
        <v/>
      </c>
      <c r="BJ90" s="232">
        <f>IF('DM_NHAN_SU'!$B90="","",'CHAM_CONG_THANG'!AT90)</f>
        <v/>
      </c>
      <c r="BK90" s="232">
        <f>IF('DM_NHAN_SU'!$B90="","",'CHAM_CONG_THANG'!AU90)</f>
        <v/>
      </c>
      <c r="BL90" s="232">
        <f>IF('DM_NHAN_SU'!$B90="","",'CHAM_CONG_THANG'!AV90)</f>
        <v/>
      </c>
      <c r="BM90" s="232">
        <f>IF('DM_NHAN_SU'!$B90="","",'CHAM_CONG_THANG'!AW90)</f>
        <v/>
      </c>
      <c r="BN90" s="232">
        <f>IF('DM_NHAN_SU'!$B90="","",SUM($K90,$BH90:$BJ90))</f>
        <v/>
      </c>
      <c r="BO90" s="224">
        <f>IF('DM_NHAN_SU'!$B90="","",IF($B90="",0,IF($G90="Tháng",IF($I90&gt;0,'DM_NHAN_SU'!$K90*MIN($BH90+$BJ90,MAX($I90-$K90,0))/$I90,0),IF($G90="Ngày",'DM_NHAN_SU'!$K90*SUM($BH90:$BJ90),IF($G90="Giờ",'DM_NHAN_SU'!$K90*SUM($BH90:$BJ90)*$J90,IF($G90="Sản phẩm",'DM_NHAN_SU'!$AH90*SUM($BH90:$BJ90),0))))))</f>
        <v/>
      </c>
      <c r="BP90" s="224">
        <f>IF('DM_NHAN_SU'!$B90="","",IF('THUONG_T13_TET'!$L90="Có",'THUONG_T13_TET'!$I90,0))</f>
        <v/>
      </c>
      <c r="BQ90" s="224">
        <f>IF('DM_NHAN_SU'!$B90="","",IF('THUONG_T13_TET'!$L90="Có",SUM('THUONG_T13_TET'!$J90:$K90),0))</f>
        <v/>
      </c>
      <c r="BR90" s="224">
        <f>IF('DM_NHAN_SU'!$B90="","",'QT_NGHI_VIEC'!AC90)</f>
        <v/>
      </c>
      <c r="BS90" s="224">
        <f>IF('DM_NHAN_SU'!$B90="","",'QT_NGHI_VIEC'!AB90)</f>
        <v/>
      </c>
      <c r="BT90" s="224">
        <f>IF('DM_NHAN_SU'!$B90="","",IF('CHE_DO_BHXH'!$Z90="Có",'CHE_DO_BHXH'!$W90,0))</f>
        <v/>
      </c>
      <c r="BU90" s="224">
        <f>IF('DM_NHAN_SU'!$B90="","",IF('CHE_DO_BHXH'!$Y90="DN trả thay",$BT90,0))</f>
        <v/>
      </c>
      <c r="BV90" s="224">
        <f>IF('DM_NHAN_SU'!$B90="","",IF(OR('DM_NHAN_SU'!$AA90&lt;&gt;"Có",'CHE_DO_BHXH'!$O90&gt;=1,SUM('CHE_DO_BHXH'!$D90,'CHE_DO_BHXH'!$G90,'CHE_DO_BHXH'!$K90)&gt;=24,AND($I90&gt;0,$BM90&gt;=$I90)),0,IF('DM_NHAN_SU'!$AB90="Không",0,IF('DM_NHAN_SU'!$AB90="Nhập tay",'DM_NHAN_SU'!$AC90,IF('DM_NHAN_SU'!$AB90="Theo thực nhận",MIN(MAX($AT90-$AU90-$AV90-$AW90,0)*'THAM_SO'!$M$23,'THAM_SO'!$M$26),MIN($AE90*'THAM_SO'!$M$23,'THAM_SO'!$M$26))))))</f>
        <v/>
      </c>
      <c r="BW90" s="224">
        <f>IF('DM_NHAN_SU'!$B90="","",$AX90+$BU90)</f>
        <v/>
      </c>
    </row>
    <row r="91">
      <c r="A91" s="145">
        <f>IF('DM_NHAN_SU'!$B91="","",IF($B91="","",ROW()-5))</f>
        <v/>
      </c>
      <c r="B91" s="145">
        <f>IF('DM_NHAN_SU'!$B91="","",'DM_NHAN_SU'!B91)</f>
        <v/>
      </c>
      <c r="C91" s="145">
        <f>IF('DM_NHAN_SU'!$B91="","",'DM_NHAN_SU'!C91)</f>
        <v/>
      </c>
      <c r="D91" s="145">
        <f>IF('DM_NHAN_SU'!$B91="","",'DM_NHAN_SU'!D91)</f>
        <v/>
      </c>
      <c r="E91" s="145">
        <f>IF('DM_NHAN_SU'!$B91="","",'DM_NHAN_SU'!E91)</f>
        <v/>
      </c>
      <c r="F91" s="145">
        <f>IF('DM_NHAN_SU'!$B91="","",'DM_NHAN_SU'!I91)</f>
        <v/>
      </c>
      <c r="G91" s="145">
        <f>IF('DM_NHAN_SU'!$B91="","",'DM_NHAN_SU'!J91)</f>
        <v/>
      </c>
      <c r="H91" s="145">
        <f>IF('DM_NHAN_SU'!$B91="","",IF('DM_NHAN_SU'!H91="",'THAM_SO'!$B$11,'DM_NHAN_SU'!H91))</f>
        <v/>
      </c>
      <c r="I91" s="232">
        <f>IF('DM_NHAN_SU'!$B91="","",IF('DM_NHAN_SU'!L91&gt;0,'DM_NHAN_SU'!L91,'THAM_SO'!$B$9))</f>
        <v/>
      </c>
      <c r="J91" s="232">
        <f>IF('DM_NHAN_SU'!$B91="","",IF('DM_NHAN_SU'!M91&gt;0,'DM_NHAN_SU'!M91,'THAM_SO'!$B$10))</f>
        <v/>
      </c>
      <c r="K91" s="232">
        <f>IF('DM_NHAN_SU'!$B91="","",'CHAM_CONG_THANG'!AC91)</f>
        <v/>
      </c>
      <c r="L91" s="232">
        <f>IF('DM_NHAN_SU'!$B91="","",'CHAM_CONG_THANG'!AD91)</f>
        <v/>
      </c>
      <c r="M91" s="232">
        <f>IF('DM_NHAN_SU'!$B91="","",'CHAM_CONG_THANG'!AE91)</f>
        <v/>
      </c>
      <c r="N91" s="232">
        <f>IF('DM_NHAN_SU'!$B91="","",'CHAM_CONG_THANG'!N91)</f>
        <v/>
      </c>
      <c r="O91" s="224">
        <f>IF('DM_NHAN_SU'!$B91="","",IF($B91="","",IF($G91="Tháng",IF($I91&gt;0,'DM_NHAN_SU'!$K91*MIN($K91,$I91)/$I91,0),IF($G91="Ngày",'DM_NHAN_SU'!$K91*$K91,IF($G91="Giờ",'DM_NHAN_SU'!$K91*$L91,IF($G91="Sản phẩm",'DM_NHAN_SU'!$K91*$N91,0))))))</f>
        <v/>
      </c>
      <c r="P91" s="224">
        <f>IF('DM_NHAN_SU'!$B91="","",'CHAM_CONG_THANG'!O91)</f>
        <v/>
      </c>
      <c r="Q91" s="224">
        <f>IF('DM_NHAN_SU'!$B91="","",'CHAM_CONG_THANG'!P91)</f>
        <v/>
      </c>
      <c r="R91" s="224">
        <f>IF('DM_NHAN_SU'!$B91="","",'CHAM_CONG_THANG'!Q91)</f>
        <v/>
      </c>
      <c r="S91" s="224">
        <f>IF('DM_NHAN_SU'!$B91="","",'CHAM_CONG_THANG'!R91)</f>
        <v/>
      </c>
      <c r="T91" s="224">
        <f>IF('DM_NHAN_SU'!$B91="","",'CHAM_CONG_THANG'!S91)</f>
        <v/>
      </c>
      <c r="U91" s="224">
        <f>IF('DM_NHAN_SU'!$B91="","",MIN($T91,'THAM_SO'!$F$6))</f>
        <v/>
      </c>
      <c r="V91" s="224">
        <f>IF('DM_NHAN_SU'!$B91="","",MAX($T91-$U91,0))</f>
        <v/>
      </c>
      <c r="W91" s="224">
        <f>IF('DM_NHAN_SU'!$B91="","",'CHAM_CONG_THANG'!T91)</f>
        <v/>
      </c>
      <c r="X91" s="224">
        <f>IF('DM_NHAN_SU'!$B91="","",'CHAM_CONG_THANG'!U91)</f>
        <v/>
      </c>
      <c r="Y91" s="224">
        <f>IF('DM_NHAN_SU'!$B91="","",IF($B91="",0,IF('DM_NHAN_SU'!$Q91&gt;0,'DM_NHAN_SU'!$Q91,IF($G91="Tháng",IF($I91*$J91&gt;0,'DM_NHAN_SU'!$K91/($I91*$J91),0),IF($G91="Ngày",IF($J91&gt;0,'DM_NHAN_SU'!$K91/$J91,0),IF($G91="Giờ",'DM_NHAN_SU'!$K91,0))))))</f>
        <v/>
      </c>
      <c r="Z91" s="224">
        <f>IF('DM_NHAN_SU'!$B91="","",$Y91*($M91*'THAM_SO'!$C$22+'CHAM_CONG_THANG'!$AF91*'THAM_SO'!$C$19+'CHAM_CONG_THANG'!$AG91*'THAM_SO'!$C$20+'CHAM_CONG_THANG'!$AH91*'THAM_SO'!$C$21+'CHAM_CONG_THANG'!$AI91*'THAM_SO'!$C$23+'CHAM_CONG_THANG'!$AJ91*'THAM_SO'!$C$24+'CHAM_CONG_THANG'!$AK91*'THAM_SO'!$C$25))</f>
        <v/>
      </c>
      <c r="AA91" s="224">
        <f>IF('DM_NHAN_SU'!$B91="","",MAX(0,$Y91*($M91*IF('THAM_SO'!$C$22&gt;='THAM_SO'!$B$22,'THAM_SO'!$B$22,0)+'CHAM_CONG_THANG'!$AF91*IF('THAM_SO'!$C$19&gt;='THAM_SO'!$B$19,'THAM_SO'!$B$19,0)+'CHAM_CONG_THANG'!$AG91*IF('THAM_SO'!$C$20&gt;='THAM_SO'!$B$20,'THAM_SO'!$B$20,0)+'CHAM_CONG_THANG'!$AH91*IF('THAM_SO'!$C$21&gt;='THAM_SO'!$B$21,'THAM_SO'!$B$21,0)+'CHAM_CONG_THANG'!$AI91*IF('THAM_SO'!$C$23&gt;='THAM_SO'!$B$23,'THAM_SO'!$B$23,0)+'CHAM_CONG_THANG'!$AJ91*IF('THAM_SO'!$C$24&gt;='THAM_SO'!$B$24,'THAM_SO'!$B$24,0)+'CHAM_CONG_THANG'!$AK91*IF('THAM_SO'!$C$25&gt;='THAM_SO'!$B$25,'THAM_SO'!$B$25,0))-'CHAM_CONG_THANG'!$V91))</f>
        <v/>
      </c>
      <c r="AB91" s="224">
        <f>IF('DM_NHAN_SU'!$B91="","",MAX($Z91-$AA91,0))</f>
        <v/>
      </c>
      <c r="AC91" s="224">
        <f>IF('DM_NHAN_SU'!$B91="","",$O91+$P91+$Q91+$R91+$S91+$V91+$AB91+$BO91+$BP91+$BQ91+$BR91)</f>
        <v/>
      </c>
      <c r="AD91" s="224">
        <f>IF('DM_NHAN_SU'!$B91="","",'DM_NHAN_SU'!N91+'DM_NHAN_SU'!O91+'DM_NHAN_SU'!P91)</f>
        <v/>
      </c>
      <c r="AE91" s="224">
        <f>IF('DM_NHAN_SU'!$B91="","",IF(OR('DM_NHAN_SU'!$R91&lt;&gt;"Có",'CHAM_CONG_THANG'!$AA91="Có",$BL91&gt;=14,$AD91&lt;=0),0,MIN(MAX($AD91,'THAM_SO'!$M$6),'THAM_SO'!$M$7)))</f>
        <v/>
      </c>
      <c r="AF91" s="224">
        <f>IF('DM_NHAN_SU'!$B91="","",IF(OR('DM_NHAN_SU'!$S91&lt;&gt;"Có",'CHAM_CONG_THANG'!$AA91="Có",$BL91&gt;=14,$AD91&lt;=0),0,MIN(MAX($AD91,VLOOKUP($H91,'THAM_SO'!$L$17:$P$20,4,FALSE)),VLOOKUP($H91,'THAM_SO'!$L$17:$P$20,5,FALSE))))</f>
        <v/>
      </c>
      <c r="AG91" s="224">
        <f>IF('DM_NHAN_SU'!$B91="","",$AE91*'THAM_SO'!$M$8)</f>
        <v/>
      </c>
      <c r="AH91" s="224">
        <f>IF('DM_NHAN_SU'!$B91="","",$AE91*'THAM_SO'!$M$9)</f>
        <v/>
      </c>
      <c r="AI91" s="224">
        <f>IF('DM_NHAN_SU'!$B91="","",$AF91*'THAM_SO'!$M$10)</f>
        <v/>
      </c>
      <c r="AJ91" s="224">
        <f>IF('DM_NHAN_SU'!$B91="","",SUM($AG91:$AI91))</f>
        <v/>
      </c>
      <c r="AK91" s="224">
        <f>IF('DM_NHAN_SU'!$B91="","",IF($B91="",0,'THAM_SO'!$F$4))</f>
        <v/>
      </c>
      <c r="AL91" s="224">
        <f>IF('DM_NHAN_SU'!$B91="","",IF($B91="",0,'DM_NHAN_SU'!$T91*'THAM_SO'!$F$5))</f>
        <v/>
      </c>
      <c r="AM91" s="224">
        <f>IF('DM_NHAN_SU'!$B91="","",'CHAM_CONG_THANG'!W91)</f>
        <v/>
      </c>
      <c r="AN91" s="224">
        <f>IF('DM_NHAN_SU'!$B91="","",MAX($AC91-$AK91-$AL91-$AM91,0))</f>
        <v/>
      </c>
      <c r="AO91" s="224">
        <f>IF('DM_NHAN_SU'!$B91="","",IF($B91="","",IF($F91="Net",IF($AC91&lt;=$AK91+$AL91+$AM91,$AC91+$AJ91,$AJ91+$AK91+$AL91+$AM91+IF($AN91&lt;='THAM_SO'!$J$10,($AN91-'THAM_SO'!$I$10)/(1-'THAM_SO'!$H$10),IF($AN91&lt;='THAM_SO'!$J$11,($AN91-'THAM_SO'!$I$11)/(1-'THAM_SO'!$H$11),IF($AN91&lt;='THAM_SO'!$J$12,($AN91-'THAM_SO'!$I$12)/(1-'THAM_SO'!$H$12),IF($AN91&lt;='THAM_SO'!$J$13,($AN91-'THAM_SO'!$I$13)/(1-'THAM_SO'!$H$13),($AN91-'THAM_SO'!$I$14)/(1-'THAM_SO'!$H$14)))))),$AC91)))</f>
        <v/>
      </c>
      <c r="AP91" s="224">
        <f>IF('DM_NHAN_SU'!$B91="","",$U91+$W91+$X91+$AA91+$BS91)</f>
        <v/>
      </c>
      <c r="AQ91" s="224">
        <f>IF('DM_NHAN_SU'!$B91="","",MAX($AO91-$AJ91-$AK91-$AL91-$AM91,0))</f>
        <v/>
      </c>
      <c r="AR91" s="224">
        <f>IF('DM_NHAN_SU'!$B91="","",IF($AQ91&lt;=0,0,$AQ91*VLOOKUP($AQ91,'THAM_SO'!$F$10:$I$14,3,TRUE)-VLOOKUP($AQ91,'THAM_SO'!$F$10:$I$14,4,TRUE)))</f>
        <v/>
      </c>
      <c r="AS91" s="224">
        <f>IF('DM_NHAN_SU'!$B91="","",$AO91+$AP91)</f>
        <v/>
      </c>
      <c r="AT91" s="224">
        <f>IF('DM_NHAN_SU'!$B91="","",$AS91-$AJ91-$AR91)</f>
        <v/>
      </c>
      <c r="AU91" s="224">
        <f>IF('DM_NHAN_SU'!$B91="","",'CHAM_CONG_THANG'!X91)</f>
        <v/>
      </c>
      <c r="AV91" s="224">
        <f>IF('DM_NHAN_SU'!$B91="","",'CHAM_CONG_THANG'!Y91+'QT_NGHI_VIEC'!AD91)</f>
        <v/>
      </c>
      <c r="AW91" s="224">
        <f>IF('DM_NHAN_SU'!$B91="","",'CHAM_CONG_THANG'!Z91)</f>
        <v/>
      </c>
      <c r="AX91" s="224">
        <f>IF('DM_NHAN_SU'!$B91="","",$AT91-$AU91-$AV91-$AW91-$BV91)</f>
        <v/>
      </c>
      <c r="AY91" s="224">
        <f>IF('DM_NHAN_SU'!$B91="","",$AE91*'THAM_SO'!$M$11)</f>
        <v/>
      </c>
      <c r="AZ91" s="224">
        <f>IF('DM_NHAN_SU'!$B91="","",$AE91*'THAM_SO'!$M$12)</f>
        <v/>
      </c>
      <c r="BA91" s="224">
        <f>IF('DM_NHAN_SU'!$B91="","",$AF91*'THAM_SO'!$M$13)</f>
        <v/>
      </c>
      <c r="BB91" s="224">
        <f>IF('DM_NHAN_SU'!$B91="","",$AE91*'THAM_SO'!$M$14)</f>
        <v/>
      </c>
      <c r="BC91" s="224">
        <f>IF('DM_NHAN_SU'!$B91="","",SUM($AY91:$BB91))</f>
        <v/>
      </c>
      <c r="BD91" s="224">
        <f>IF('DM_NHAN_SU'!$B91="","",$AS91+$BC91)</f>
        <v/>
      </c>
      <c r="BE91" s="224">
        <f>IF('DM_NHAN_SU'!$B91="","",VLOOKUP($H91,'THAM_SO'!$L$17:$P$20,2,FALSE))</f>
        <v/>
      </c>
      <c r="BF91" s="224">
        <f>IF('DM_NHAN_SU'!$B91="","",VLOOKUP($H91,'THAM_SO'!$L$17:$P$20,3,FALSE))</f>
        <v/>
      </c>
      <c r="BG91" s="150">
        <f>IF('DM_NHAN_SU'!$B91="","",IF($B91="","",IF(COUNTIF('DM_NHAN_SU'!$B$6:$B$155,$B91)&gt;1,"Trùng mã NV; ","")&amp;IF(OR($F91="",$G91=""),"Thiếu loại/hình thức lương; ","")&amp;IF('CHAM_CONG_THANG'!$D91="","Chưa chọn nguồn công; ","")&amp;IF(AND('CHAM_CONG_THANG'!$D91="Theo ngày",COUNTIF('CHAM_CONG_NGAY'!$B$6:$B$4655,$B91)=0),"Chưa có chấm công ngày; ","")&amp;IF(OR($I91&lt;=0,$J91&lt;=0),"Thiếu công/giờ chuẩn; ","")&amp;IF(AND($G91="Tháng",'DM_NHAN_SU'!$K91&lt;$BE91),"Lương tháng dưới tối thiểu vùng; ","")&amp;IF(AND($G91="Ngày",'DM_NHAN_SU'!$K91/$J91&lt;$BF91),"Lương ngày quy đổi dưới tối thiểu giờ; ","")&amp;IF(AND($G91="Giờ",'DM_NHAN_SU'!$K91&lt;$BF91),"Lương giờ dưới tối thiểu vùng; ","")&amp;IF(AND($G91="Sản phẩm",$L91&gt;0,$O91/$L91&lt;$BF91),"Lương SP quy đổi dưới tối thiểu giờ; ","")&amp;IF(OR('THAM_SO'!$C$19&lt;'THAM_SO'!$B$19,'THAM_SO'!$C$20&lt;'THAM_SO'!$B$20,'THAM_SO'!$C$21&lt;'THAM_SO'!$B$21,'THAM_SO'!$C$22&lt;'THAM_SO'!$B$22,'THAM_SO'!$C$23&lt;'THAM_SO'!$B$23,'THAM_SO'!$C$24&lt;'THAM_SO'!$B$24,'THAM_SO'!$C$25&lt;'THAM_SO'!$B$25),"Hệ số OT/đêm DN thấp hơn luật; ","")&amp;IF(AND('DM_NHAN_SU'!$R91="Có",$AD91&lt;=0),"Thiếu căn cứ đóng BH; ","")&amp;IF(AND($AD91&gt;0,$AD91&lt;'THAM_SO'!$M$6),"Căn cứ BH dưới sàn – đã nâng sàn; ","")&amp;IF($AD91&gt;'THAM_SO'!$M$7,"Căn cứ BH vượt trần – đã giới hạn; ","")&amp;IF(AND($F91="Net",SUM('CHAM_CONG_THANG'!$AF91:$AK91)&gt;0,'DM_NHAN_SU'!$Q91&lt;=0),"Net có OT nhưng chưa khai lương giờ OT; ","")&amp;IF('CHAM_CONG_THANG'!$V91&gt;$Z91,"Phần OT không miễn lớn hơn tiền OT; ","")&amp;IF(AND($F91="Net",ABS($AT91-$AC91-$AP91)&gt;1),"Lệch quy đổi Net; ","")&amp;IF(AND($BH91&gt;0,'DM_NHAN_SU'!$AD91=""),"Có phép năm nhưng đang tạm dùng 12 ngày; ","")&amp;IF(AND($G91="Sản phẩm",SUM($BH91:$BJ91)&gt;0,'DM_NHAN_SU'!$AH91&lt;=0),"Lương sản phẩm thiếu đơn giá ngày phép/lễ; ","")&amp;IF(AND($BL91&gt;=14,'CHAM_CONG_THANG'!$AA91&lt;&gt;"Có"),"Thai sản từ 14 ngày: file tự dừng đóng BH – kiểm tra hồ sơ; ","")&amp;IF(AND('DM_NHAN_SU'!$AA91="Có",'DM_NHAN_SU'!$AB91=""),"Đoàn viên chưa chọn cách tính đoàn phí; ","")&amp;IF(AND('DM_NHAN_SU'!$AB91="Nhập tay",'DM_NHAN_SU'!$AC91&gt;'THAM_SO'!$M$26),"Đoàn phí nhập tay vượt trần thông dụng; ","")&amp;IF('NGHI_PHEP'!$L91&lt;&gt;"","Phép: "&amp;'NGHI_PHEP'!$L91,"")&amp;IF('CHE_DO_BHXH'!$AA91&lt;&gt;"","BHXH: "&amp;'CHE_DO_BHXH'!$AA91,"")&amp;IF('THUONG_T13_TET'!$O91&lt;&gt;"","Thưởng: "&amp;'THUONG_T13_TET'!$O91,"")&amp;IF('QT_NGHI_VIEC'!$AF91&lt;&gt;"","Nghỉ việc: "&amp;'QT_NGHI_VIEC'!$AF91,"")&amp;IF($AX91&lt;0,"Thực lĩnh âm; ","")&amp;IF(OR('DM_NHAN_SU'!$F91&gt;'THAM_SO'!$B$7,AND('DM_NHAN_SU'!$G91&lt;&gt;"",'DM_NHAN_SU'!$G91&lt;'THAM_SO'!$B$6)),"Ngoài kỳ trả lương; ","")))</f>
        <v/>
      </c>
      <c r="BH91" s="232">
        <f>IF('DM_NHAN_SU'!$B91="","",'CHAM_CONG_THANG'!AR91)</f>
        <v/>
      </c>
      <c r="BI91" s="232">
        <f>IF('DM_NHAN_SU'!$B91="","",'CHAM_CONG_THANG'!AS91)</f>
        <v/>
      </c>
      <c r="BJ91" s="232">
        <f>IF('DM_NHAN_SU'!$B91="","",'CHAM_CONG_THANG'!AT91)</f>
        <v/>
      </c>
      <c r="BK91" s="232">
        <f>IF('DM_NHAN_SU'!$B91="","",'CHAM_CONG_THANG'!AU91)</f>
        <v/>
      </c>
      <c r="BL91" s="232">
        <f>IF('DM_NHAN_SU'!$B91="","",'CHAM_CONG_THANG'!AV91)</f>
        <v/>
      </c>
      <c r="BM91" s="232">
        <f>IF('DM_NHAN_SU'!$B91="","",'CHAM_CONG_THANG'!AW91)</f>
        <v/>
      </c>
      <c r="BN91" s="232">
        <f>IF('DM_NHAN_SU'!$B91="","",SUM($K91,$BH91:$BJ91))</f>
        <v/>
      </c>
      <c r="BO91" s="224">
        <f>IF('DM_NHAN_SU'!$B91="","",IF($B91="",0,IF($G91="Tháng",IF($I91&gt;0,'DM_NHAN_SU'!$K91*MIN($BH91+$BJ91,MAX($I91-$K91,0))/$I91,0),IF($G91="Ngày",'DM_NHAN_SU'!$K91*SUM($BH91:$BJ91),IF($G91="Giờ",'DM_NHAN_SU'!$K91*SUM($BH91:$BJ91)*$J91,IF($G91="Sản phẩm",'DM_NHAN_SU'!$AH91*SUM($BH91:$BJ91),0))))))</f>
        <v/>
      </c>
      <c r="BP91" s="224">
        <f>IF('DM_NHAN_SU'!$B91="","",IF('THUONG_T13_TET'!$L91="Có",'THUONG_T13_TET'!$I91,0))</f>
        <v/>
      </c>
      <c r="BQ91" s="224">
        <f>IF('DM_NHAN_SU'!$B91="","",IF('THUONG_T13_TET'!$L91="Có",SUM('THUONG_T13_TET'!$J91:$K91),0))</f>
        <v/>
      </c>
      <c r="BR91" s="224">
        <f>IF('DM_NHAN_SU'!$B91="","",'QT_NGHI_VIEC'!AC91)</f>
        <v/>
      </c>
      <c r="BS91" s="224">
        <f>IF('DM_NHAN_SU'!$B91="","",'QT_NGHI_VIEC'!AB91)</f>
        <v/>
      </c>
      <c r="BT91" s="224">
        <f>IF('DM_NHAN_SU'!$B91="","",IF('CHE_DO_BHXH'!$Z91="Có",'CHE_DO_BHXH'!$W91,0))</f>
        <v/>
      </c>
      <c r="BU91" s="224">
        <f>IF('DM_NHAN_SU'!$B91="","",IF('CHE_DO_BHXH'!$Y91="DN trả thay",$BT91,0))</f>
        <v/>
      </c>
      <c r="BV91" s="224">
        <f>IF('DM_NHAN_SU'!$B91="","",IF(OR('DM_NHAN_SU'!$AA91&lt;&gt;"Có",'CHE_DO_BHXH'!$O91&gt;=1,SUM('CHE_DO_BHXH'!$D91,'CHE_DO_BHXH'!$G91,'CHE_DO_BHXH'!$K91)&gt;=24,AND($I91&gt;0,$BM91&gt;=$I91)),0,IF('DM_NHAN_SU'!$AB91="Không",0,IF('DM_NHAN_SU'!$AB91="Nhập tay",'DM_NHAN_SU'!$AC91,IF('DM_NHAN_SU'!$AB91="Theo thực nhận",MIN(MAX($AT91-$AU91-$AV91-$AW91,0)*'THAM_SO'!$M$23,'THAM_SO'!$M$26),MIN($AE91*'THAM_SO'!$M$23,'THAM_SO'!$M$26))))))</f>
        <v/>
      </c>
      <c r="BW91" s="224">
        <f>IF('DM_NHAN_SU'!$B91="","",$AX91+$BU91)</f>
        <v/>
      </c>
    </row>
    <row r="92">
      <c r="A92" s="145">
        <f>IF('DM_NHAN_SU'!$B92="","",IF($B92="","",ROW()-5))</f>
        <v/>
      </c>
      <c r="B92" s="145">
        <f>IF('DM_NHAN_SU'!$B92="","",'DM_NHAN_SU'!B92)</f>
        <v/>
      </c>
      <c r="C92" s="145">
        <f>IF('DM_NHAN_SU'!$B92="","",'DM_NHAN_SU'!C92)</f>
        <v/>
      </c>
      <c r="D92" s="145">
        <f>IF('DM_NHAN_SU'!$B92="","",'DM_NHAN_SU'!D92)</f>
        <v/>
      </c>
      <c r="E92" s="145">
        <f>IF('DM_NHAN_SU'!$B92="","",'DM_NHAN_SU'!E92)</f>
        <v/>
      </c>
      <c r="F92" s="145">
        <f>IF('DM_NHAN_SU'!$B92="","",'DM_NHAN_SU'!I92)</f>
        <v/>
      </c>
      <c r="G92" s="145">
        <f>IF('DM_NHAN_SU'!$B92="","",'DM_NHAN_SU'!J92)</f>
        <v/>
      </c>
      <c r="H92" s="145">
        <f>IF('DM_NHAN_SU'!$B92="","",IF('DM_NHAN_SU'!H92="",'THAM_SO'!$B$11,'DM_NHAN_SU'!H92))</f>
        <v/>
      </c>
      <c r="I92" s="232">
        <f>IF('DM_NHAN_SU'!$B92="","",IF('DM_NHAN_SU'!L92&gt;0,'DM_NHAN_SU'!L92,'THAM_SO'!$B$9))</f>
        <v/>
      </c>
      <c r="J92" s="232">
        <f>IF('DM_NHAN_SU'!$B92="","",IF('DM_NHAN_SU'!M92&gt;0,'DM_NHAN_SU'!M92,'THAM_SO'!$B$10))</f>
        <v/>
      </c>
      <c r="K92" s="232">
        <f>IF('DM_NHAN_SU'!$B92="","",'CHAM_CONG_THANG'!AC92)</f>
        <v/>
      </c>
      <c r="L92" s="232">
        <f>IF('DM_NHAN_SU'!$B92="","",'CHAM_CONG_THANG'!AD92)</f>
        <v/>
      </c>
      <c r="M92" s="232">
        <f>IF('DM_NHAN_SU'!$B92="","",'CHAM_CONG_THANG'!AE92)</f>
        <v/>
      </c>
      <c r="N92" s="232">
        <f>IF('DM_NHAN_SU'!$B92="","",'CHAM_CONG_THANG'!N92)</f>
        <v/>
      </c>
      <c r="O92" s="224">
        <f>IF('DM_NHAN_SU'!$B92="","",IF($B92="","",IF($G92="Tháng",IF($I92&gt;0,'DM_NHAN_SU'!$K92*MIN($K92,$I92)/$I92,0),IF($G92="Ngày",'DM_NHAN_SU'!$K92*$K92,IF($G92="Giờ",'DM_NHAN_SU'!$K92*$L92,IF($G92="Sản phẩm",'DM_NHAN_SU'!$K92*$N92,0))))))</f>
        <v/>
      </c>
      <c r="P92" s="224">
        <f>IF('DM_NHAN_SU'!$B92="","",'CHAM_CONG_THANG'!O92)</f>
        <v/>
      </c>
      <c r="Q92" s="224">
        <f>IF('DM_NHAN_SU'!$B92="","",'CHAM_CONG_THANG'!P92)</f>
        <v/>
      </c>
      <c r="R92" s="224">
        <f>IF('DM_NHAN_SU'!$B92="","",'CHAM_CONG_THANG'!Q92)</f>
        <v/>
      </c>
      <c r="S92" s="224">
        <f>IF('DM_NHAN_SU'!$B92="","",'CHAM_CONG_THANG'!R92)</f>
        <v/>
      </c>
      <c r="T92" s="224">
        <f>IF('DM_NHAN_SU'!$B92="","",'CHAM_CONG_THANG'!S92)</f>
        <v/>
      </c>
      <c r="U92" s="224">
        <f>IF('DM_NHAN_SU'!$B92="","",MIN($T92,'THAM_SO'!$F$6))</f>
        <v/>
      </c>
      <c r="V92" s="224">
        <f>IF('DM_NHAN_SU'!$B92="","",MAX($T92-$U92,0))</f>
        <v/>
      </c>
      <c r="W92" s="224">
        <f>IF('DM_NHAN_SU'!$B92="","",'CHAM_CONG_THANG'!T92)</f>
        <v/>
      </c>
      <c r="X92" s="224">
        <f>IF('DM_NHAN_SU'!$B92="","",'CHAM_CONG_THANG'!U92)</f>
        <v/>
      </c>
      <c r="Y92" s="224">
        <f>IF('DM_NHAN_SU'!$B92="","",IF($B92="",0,IF('DM_NHAN_SU'!$Q92&gt;0,'DM_NHAN_SU'!$Q92,IF($G92="Tháng",IF($I92*$J92&gt;0,'DM_NHAN_SU'!$K92/($I92*$J92),0),IF($G92="Ngày",IF($J92&gt;0,'DM_NHAN_SU'!$K92/$J92,0),IF($G92="Giờ",'DM_NHAN_SU'!$K92,0))))))</f>
        <v/>
      </c>
      <c r="Z92" s="224">
        <f>IF('DM_NHAN_SU'!$B92="","",$Y92*($M92*'THAM_SO'!$C$22+'CHAM_CONG_THANG'!$AF92*'THAM_SO'!$C$19+'CHAM_CONG_THANG'!$AG92*'THAM_SO'!$C$20+'CHAM_CONG_THANG'!$AH92*'THAM_SO'!$C$21+'CHAM_CONG_THANG'!$AI92*'THAM_SO'!$C$23+'CHAM_CONG_THANG'!$AJ92*'THAM_SO'!$C$24+'CHAM_CONG_THANG'!$AK92*'THAM_SO'!$C$25))</f>
        <v/>
      </c>
      <c r="AA92" s="224">
        <f>IF('DM_NHAN_SU'!$B92="","",MAX(0,$Y92*($M92*IF('THAM_SO'!$C$22&gt;='THAM_SO'!$B$22,'THAM_SO'!$B$22,0)+'CHAM_CONG_THANG'!$AF92*IF('THAM_SO'!$C$19&gt;='THAM_SO'!$B$19,'THAM_SO'!$B$19,0)+'CHAM_CONG_THANG'!$AG92*IF('THAM_SO'!$C$20&gt;='THAM_SO'!$B$20,'THAM_SO'!$B$20,0)+'CHAM_CONG_THANG'!$AH92*IF('THAM_SO'!$C$21&gt;='THAM_SO'!$B$21,'THAM_SO'!$B$21,0)+'CHAM_CONG_THANG'!$AI92*IF('THAM_SO'!$C$23&gt;='THAM_SO'!$B$23,'THAM_SO'!$B$23,0)+'CHAM_CONG_THANG'!$AJ92*IF('THAM_SO'!$C$24&gt;='THAM_SO'!$B$24,'THAM_SO'!$B$24,0)+'CHAM_CONG_THANG'!$AK92*IF('THAM_SO'!$C$25&gt;='THAM_SO'!$B$25,'THAM_SO'!$B$25,0))-'CHAM_CONG_THANG'!$V92))</f>
        <v/>
      </c>
      <c r="AB92" s="224">
        <f>IF('DM_NHAN_SU'!$B92="","",MAX($Z92-$AA92,0))</f>
        <v/>
      </c>
      <c r="AC92" s="224">
        <f>IF('DM_NHAN_SU'!$B92="","",$O92+$P92+$Q92+$R92+$S92+$V92+$AB92+$BO92+$BP92+$BQ92+$BR92)</f>
        <v/>
      </c>
      <c r="AD92" s="224">
        <f>IF('DM_NHAN_SU'!$B92="","",'DM_NHAN_SU'!N92+'DM_NHAN_SU'!O92+'DM_NHAN_SU'!P92)</f>
        <v/>
      </c>
      <c r="AE92" s="224">
        <f>IF('DM_NHAN_SU'!$B92="","",IF(OR('DM_NHAN_SU'!$R92&lt;&gt;"Có",'CHAM_CONG_THANG'!$AA92="Có",$BL92&gt;=14,$AD92&lt;=0),0,MIN(MAX($AD92,'THAM_SO'!$M$6),'THAM_SO'!$M$7)))</f>
        <v/>
      </c>
      <c r="AF92" s="224">
        <f>IF('DM_NHAN_SU'!$B92="","",IF(OR('DM_NHAN_SU'!$S92&lt;&gt;"Có",'CHAM_CONG_THANG'!$AA92="Có",$BL92&gt;=14,$AD92&lt;=0),0,MIN(MAX($AD92,VLOOKUP($H92,'THAM_SO'!$L$17:$P$20,4,FALSE)),VLOOKUP($H92,'THAM_SO'!$L$17:$P$20,5,FALSE))))</f>
        <v/>
      </c>
      <c r="AG92" s="224">
        <f>IF('DM_NHAN_SU'!$B92="","",$AE92*'THAM_SO'!$M$8)</f>
        <v/>
      </c>
      <c r="AH92" s="224">
        <f>IF('DM_NHAN_SU'!$B92="","",$AE92*'THAM_SO'!$M$9)</f>
        <v/>
      </c>
      <c r="AI92" s="224">
        <f>IF('DM_NHAN_SU'!$B92="","",$AF92*'THAM_SO'!$M$10)</f>
        <v/>
      </c>
      <c r="AJ92" s="224">
        <f>IF('DM_NHAN_SU'!$B92="","",SUM($AG92:$AI92))</f>
        <v/>
      </c>
      <c r="AK92" s="224">
        <f>IF('DM_NHAN_SU'!$B92="","",IF($B92="",0,'THAM_SO'!$F$4))</f>
        <v/>
      </c>
      <c r="AL92" s="224">
        <f>IF('DM_NHAN_SU'!$B92="","",IF($B92="",0,'DM_NHAN_SU'!$T92*'THAM_SO'!$F$5))</f>
        <v/>
      </c>
      <c r="AM92" s="224">
        <f>IF('DM_NHAN_SU'!$B92="","",'CHAM_CONG_THANG'!W92)</f>
        <v/>
      </c>
      <c r="AN92" s="224">
        <f>IF('DM_NHAN_SU'!$B92="","",MAX($AC92-$AK92-$AL92-$AM92,0))</f>
        <v/>
      </c>
      <c r="AO92" s="224">
        <f>IF('DM_NHAN_SU'!$B92="","",IF($B92="","",IF($F92="Net",IF($AC92&lt;=$AK92+$AL92+$AM92,$AC92+$AJ92,$AJ92+$AK92+$AL92+$AM92+IF($AN92&lt;='THAM_SO'!$J$10,($AN92-'THAM_SO'!$I$10)/(1-'THAM_SO'!$H$10),IF($AN92&lt;='THAM_SO'!$J$11,($AN92-'THAM_SO'!$I$11)/(1-'THAM_SO'!$H$11),IF($AN92&lt;='THAM_SO'!$J$12,($AN92-'THAM_SO'!$I$12)/(1-'THAM_SO'!$H$12),IF($AN92&lt;='THAM_SO'!$J$13,($AN92-'THAM_SO'!$I$13)/(1-'THAM_SO'!$H$13),($AN92-'THAM_SO'!$I$14)/(1-'THAM_SO'!$H$14)))))),$AC92)))</f>
        <v/>
      </c>
      <c r="AP92" s="224">
        <f>IF('DM_NHAN_SU'!$B92="","",$U92+$W92+$X92+$AA92+$BS92)</f>
        <v/>
      </c>
      <c r="AQ92" s="224">
        <f>IF('DM_NHAN_SU'!$B92="","",MAX($AO92-$AJ92-$AK92-$AL92-$AM92,0))</f>
        <v/>
      </c>
      <c r="AR92" s="224">
        <f>IF('DM_NHAN_SU'!$B92="","",IF($AQ92&lt;=0,0,$AQ92*VLOOKUP($AQ92,'THAM_SO'!$F$10:$I$14,3,TRUE)-VLOOKUP($AQ92,'THAM_SO'!$F$10:$I$14,4,TRUE)))</f>
        <v/>
      </c>
      <c r="AS92" s="224">
        <f>IF('DM_NHAN_SU'!$B92="","",$AO92+$AP92)</f>
        <v/>
      </c>
      <c r="AT92" s="224">
        <f>IF('DM_NHAN_SU'!$B92="","",$AS92-$AJ92-$AR92)</f>
        <v/>
      </c>
      <c r="AU92" s="224">
        <f>IF('DM_NHAN_SU'!$B92="","",'CHAM_CONG_THANG'!X92)</f>
        <v/>
      </c>
      <c r="AV92" s="224">
        <f>IF('DM_NHAN_SU'!$B92="","",'CHAM_CONG_THANG'!Y92+'QT_NGHI_VIEC'!AD92)</f>
        <v/>
      </c>
      <c r="AW92" s="224">
        <f>IF('DM_NHAN_SU'!$B92="","",'CHAM_CONG_THANG'!Z92)</f>
        <v/>
      </c>
      <c r="AX92" s="224">
        <f>IF('DM_NHAN_SU'!$B92="","",$AT92-$AU92-$AV92-$AW92-$BV92)</f>
        <v/>
      </c>
      <c r="AY92" s="224">
        <f>IF('DM_NHAN_SU'!$B92="","",$AE92*'THAM_SO'!$M$11)</f>
        <v/>
      </c>
      <c r="AZ92" s="224">
        <f>IF('DM_NHAN_SU'!$B92="","",$AE92*'THAM_SO'!$M$12)</f>
        <v/>
      </c>
      <c r="BA92" s="224">
        <f>IF('DM_NHAN_SU'!$B92="","",$AF92*'THAM_SO'!$M$13)</f>
        <v/>
      </c>
      <c r="BB92" s="224">
        <f>IF('DM_NHAN_SU'!$B92="","",$AE92*'THAM_SO'!$M$14)</f>
        <v/>
      </c>
      <c r="BC92" s="224">
        <f>IF('DM_NHAN_SU'!$B92="","",SUM($AY92:$BB92))</f>
        <v/>
      </c>
      <c r="BD92" s="224">
        <f>IF('DM_NHAN_SU'!$B92="","",$AS92+$BC92)</f>
        <v/>
      </c>
      <c r="BE92" s="224">
        <f>IF('DM_NHAN_SU'!$B92="","",VLOOKUP($H92,'THAM_SO'!$L$17:$P$20,2,FALSE))</f>
        <v/>
      </c>
      <c r="BF92" s="224">
        <f>IF('DM_NHAN_SU'!$B92="","",VLOOKUP($H92,'THAM_SO'!$L$17:$P$20,3,FALSE))</f>
        <v/>
      </c>
      <c r="BG92" s="150">
        <f>IF('DM_NHAN_SU'!$B92="","",IF($B92="","",IF(COUNTIF('DM_NHAN_SU'!$B$6:$B$155,$B92)&gt;1,"Trùng mã NV; ","")&amp;IF(OR($F92="",$G92=""),"Thiếu loại/hình thức lương; ","")&amp;IF('CHAM_CONG_THANG'!$D92="","Chưa chọn nguồn công; ","")&amp;IF(AND('CHAM_CONG_THANG'!$D92="Theo ngày",COUNTIF('CHAM_CONG_NGAY'!$B$6:$B$4655,$B92)=0),"Chưa có chấm công ngày; ","")&amp;IF(OR($I92&lt;=0,$J92&lt;=0),"Thiếu công/giờ chuẩn; ","")&amp;IF(AND($G92="Tháng",'DM_NHAN_SU'!$K92&lt;$BE92),"Lương tháng dưới tối thiểu vùng; ","")&amp;IF(AND($G92="Ngày",'DM_NHAN_SU'!$K92/$J92&lt;$BF92),"Lương ngày quy đổi dưới tối thiểu giờ; ","")&amp;IF(AND($G92="Giờ",'DM_NHAN_SU'!$K92&lt;$BF92),"Lương giờ dưới tối thiểu vùng; ","")&amp;IF(AND($G92="Sản phẩm",$L92&gt;0,$O92/$L92&lt;$BF92),"Lương SP quy đổi dưới tối thiểu giờ; ","")&amp;IF(OR('THAM_SO'!$C$19&lt;'THAM_SO'!$B$19,'THAM_SO'!$C$20&lt;'THAM_SO'!$B$20,'THAM_SO'!$C$21&lt;'THAM_SO'!$B$21,'THAM_SO'!$C$22&lt;'THAM_SO'!$B$22,'THAM_SO'!$C$23&lt;'THAM_SO'!$B$23,'THAM_SO'!$C$24&lt;'THAM_SO'!$B$24,'THAM_SO'!$C$25&lt;'THAM_SO'!$B$25),"Hệ số OT/đêm DN thấp hơn luật; ","")&amp;IF(AND('DM_NHAN_SU'!$R92="Có",$AD92&lt;=0),"Thiếu căn cứ đóng BH; ","")&amp;IF(AND($AD92&gt;0,$AD92&lt;'THAM_SO'!$M$6),"Căn cứ BH dưới sàn – đã nâng sàn; ","")&amp;IF($AD92&gt;'THAM_SO'!$M$7,"Căn cứ BH vượt trần – đã giới hạn; ","")&amp;IF(AND($F92="Net",SUM('CHAM_CONG_THANG'!$AF92:$AK92)&gt;0,'DM_NHAN_SU'!$Q92&lt;=0),"Net có OT nhưng chưa khai lương giờ OT; ","")&amp;IF('CHAM_CONG_THANG'!$V92&gt;$Z92,"Phần OT không miễn lớn hơn tiền OT; ","")&amp;IF(AND($F92="Net",ABS($AT92-$AC92-$AP92)&gt;1),"Lệch quy đổi Net; ","")&amp;IF(AND($BH92&gt;0,'DM_NHAN_SU'!$AD92=""),"Có phép năm nhưng đang tạm dùng 12 ngày; ","")&amp;IF(AND($G92="Sản phẩm",SUM($BH92:$BJ92)&gt;0,'DM_NHAN_SU'!$AH92&lt;=0),"Lương sản phẩm thiếu đơn giá ngày phép/lễ; ","")&amp;IF(AND($BL92&gt;=14,'CHAM_CONG_THANG'!$AA92&lt;&gt;"Có"),"Thai sản từ 14 ngày: file tự dừng đóng BH – kiểm tra hồ sơ; ","")&amp;IF(AND('DM_NHAN_SU'!$AA92="Có",'DM_NHAN_SU'!$AB92=""),"Đoàn viên chưa chọn cách tính đoàn phí; ","")&amp;IF(AND('DM_NHAN_SU'!$AB92="Nhập tay",'DM_NHAN_SU'!$AC92&gt;'THAM_SO'!$M$26),"Đoàn phí nhập tay vượt trần thông dụng; ","")&amp;IF('NGHI_PHEP'!$L92&lt;&gt;"","Phép: "&amp;'NGHI_PHEP'!$L92,"")&amp;IF('CHE_DO_BHXH'!$AA92&lt;&gt;"","BHXH: "&amp;'CHE_DO_BHXH'!$AA92,"")&amp;IF('THUONG_T13_TET'!$O92&lt;&gt;"","Thưởng: "&amp;'THUONG_T13_TET'!$O92,"")&amp;IF('QT_NGHI_VIEC'!$AF92&lt;&gt;"","Nghỉ việc: "&amp;'QT_NGHI_VIEC'!$AF92,"")&amp;IF($AX92&lt;0,"Thực lĩnh âm; ","")&amp;IF(OR('DM_NHAN_SU'!$F92&gt;'THAM_SO'!$B$7,AND('DM_NHAN_SU'!$G92&lt;&gt;"",'DM_NHAN_SU'!$G92&lt;'THAM_SO'!$B$6)),"Ngoài kỳ trả lương; ","")))</f>
        <v/>
      </c>
      <c r="BH92" s="232">
        <f>IF('DM_NHAN_SU'!$B92="","",'CHAM_CONG_THANG'!AR92)</f>
        <v/>
      </c>
      <c r="BI92" s="232">
        <f>IF('DM_NHAN_SU'!$B92="","",'CHAM_CONG_THANG'!AS92)</f>
        <v/>
      </c>
      <c r="BJ92" s="232">
        <f>IF('DM_NHAN_SU'!$B92="","",'CHAM_CONG_THANG'!AT92)</f>
        <v/>
      </c>
      <c r="BK92" s="232">
        <f>IF('DM_NHAN_SU'!$B92="","",'CHAM_CONG_THANG'!AU92)</f>
        <v/>
      </c>
      <c r="BL92" s="232">
        <f>IF('DM_NHAN_SU'!$B92="","",'CHAM_CONG_THANG'!AV92)</f>
        <v/>
      </c>
      <c r="BM92" s="232">
        <f>IF('DM_NHAN_SU'!$B92="","",'CHAM_CONG_THANG'!AW92)</f>
        <v/>
      </c>
      <c r="BN92" s="232">
        <f>IF('DM_NHAN_SU'!$B92="","",SUM($K92,$BH92:$BJ92))</f>
        <v/>
      </c>
      <c r="BO92" s="224">
        <f>IF('DM_NHAN_SU'!$B92="","",IF($B92="",0,IF($G92="Tháng",IF($I92&gt;0,'DM_NHAN_SU'!$K92*MIN($BH92+$BJ92,MAX($I92-$K92,0))/$I92,0),IF($G92="Ngày",'DM_NHAN_SU'!$K92*SUM($BH92:$BJ92),IF($G92="Giờ",'DM_NHAN_SU'!$K92*SUM($BH92:$BJ92)*$J92,IF($G92="Sản phẩm",'DM_NHAN_SU'!$AH92*SUM($BH92:$BJ92),0))))))</f>
        <v/>
      </c>
      <c r="BP92" s="224">
        <f>IF('DM_NHAN_SU'!$B92="","",IF('THUONG_T13_TET'!$L92="Có",'THUONG_T13_TET'!$I92,0))</f>
        <v/>
      </c>
      <c r="BQ92" s="224">
        <f>IF('DM_NHAN_SU'!$B92="","",IF('THUONG_T13_TET'!$L92="Có",SUM('THUONG_T13_TET'!$J92:$K92),0))</f>
        <v/>
      </c>
      <c r="BR92" s="224">
        <f>IF('DM_NHAN_SU'!$B92="","",'QT_NGHI_VIEC'!AC92)</f>
        <v/>
      </c>
      <c r="BS92" s="224">
        <f>IF('DM_NHAN_SU'!$B92="","",'QT_NGHI_VIEC'!AB92)</f>
        <v/>
      </c>
      <c r="BT92" s="224">
        <f>IF('DM_NHAN_SU'!$B92="","",IF('CHE_DO_BHXH'!$Z92="Có",'CHE_DO_BHXH'!$W92,0))</f>
        <v/>
      </c>
      <c r="BU92" s="224">
        <f>IF('DM_NHAN_SU'!$B92="","",IF('CHE_DO_BHXH'!$Y92="DN trả thay",$BT92,0))</f>
        <v/>
      </c>
      <c r="BV92" s="224">
        <f>IF('DM_NHAN_SU'!$B92="","",IF(OR('DM_NHAN_SU'!$AA92&lt;&gt;"Có",'CHE_DO_BHXH'!$O92&gt;=1,SUM('CHE_DO_BHXH'!$D92,'CHE_DO_BHXH'!$G92,'CHE_DO_BHXH'!$K92)&gt;=24,AND($I92&gt;0,$BM92&gt;=$I92)),0,IF('DM_NHAN_SU'!$AB92="Không",0,IF('DM_NHAN_SU'!$AB92="Nhập tay",'DM_NHAN_SU'!$AC92,IF('DM_NHAN_SU'!$AB92="Theo thực nhận",MIN(MAX($AT92-$AU92-$AV92-$AW92,0)*'THAM_SO'!$M$23,'THAM_SO'!$M$26),MIN($AE92*'THAM_SO'!$M$23,'THAM_SO'!$M$26))))))</f>
        <v/>
      </c>
      <c r="BW92" s="224">
        <f>IF('DM_NHAN_SU'!$B92="","",$AX92+$BU92)</f>
        <v/>
      </c>
    </row>
    <row r="93">
      <c r="A93" s="145">
        <f>IF('DM_NHAN_SU'!$B93="","",IF($B93="","",ROW()-5))</f>
        <v/>
      </c>
      <c r="B93" s="145">
        <f>IF('DM_NHAN_SU'!$B93="","",'DM_NHAN_SU'!B93)</f>
        <v/>
      </c>
      <c r="C93" s="145">
        <f>IF('DM_NHAN_SU'!$B93="","",'DM_NHAN_SU'!C93)</f>
        <v/>
      </c>
      <c r="D93" s="145">
        <f>IF('DM_NHAN_SU'!$B93="","",'DM_NHAN_SU'!D93)</f>
        <v/>
      </c>
      <c r="E93" s="145">
        <f>IF('DM_NHAN_SU'!$B93="","",'DM_NHAN_SU'!E93)</f>
        <v/>
      </c>
      <c r="F93" s="145">
        <f>IF('DM_NHAN_SU'!$B93="","",'DM_NHAN_SU'!I93)</f>
        <v/>
      </c>
      <c r="G93" s="145">
        <f>IF('DM_NHAN_SU'!$B93="","",'DM_NHAN_SU'!J93)</f>
        <v/>
      </c>
      <c r="H93" s="145">
        <f>IF('DM_NHAN_SU'!$B93="","",IF('DM_NHAN_SU'!H93="",'THAM_SO'!$B$11,'DM_NHAN_SU'!H93))</f>
        <v/>
      </c>
      <c r="I93" s="232">
        <f>IF('DM_NHAN_SU'!$B93="","",IF('DM_NHAN_SU'!L93&gt;0,'DM_NHAN_SU'!L93,'THAM_SO'!$B$9))</f>
        <v/>
      </c>
      <c r="J93" s="232">
        <f>IF('DM_NHAN_SU'!$B93="","",IF('DM_NHAN_SU'!M93&gt;0,'DM_NHAN_SU'!M93,'THAM_SO'!$B$10))</f>
        <v/>
      </c>
      <c r="K93" s="232">
        <f>IF('DM_NHAN_SU'!$B93="","",'CHAM_CONG_THANG'!AC93)</f>
        <v/>
      </c>
      <c r="L93" s="232">
        <f>IF('DM_NHAN_SU'!$B93="","",'CHAM_CONG_THANG'!AD93)</f>
        <v/>
      </c>
      <c r="M93" s="232">
        <f>IF('DM_NHAN_SU'!$B93="","",'CHAM_CONG_THANG'!AE93)</f>
        <v/>
      </c>
      <c r="N93" s="232">
        <f>IF('DM_NHAN_SU'!$B93="","",'CHAM_CONG_THANG'!N93)</f>
        <v/>
      </c>
      <c r="O93" s="224">
        <f>IF('DM_NHAN_SU'!$B93="","",IF($B93="","",IF($G93="Tháng",IF($I93&gt;0,'DM_NHAN_SU'!$K93*MIN($K93,$I93)/$I93,0),IF($G93="Ngày",'DM_NHAN_SU'!$K93*$K93,IF($G93="Giờ",'DM_NHAN_SU'!$K93*$L93,IF($G93="Sản phẩm",'DM_NHAN_SU'!$K93*$N93,0))))))</f>
        <v/>
      </c>
      <c r="P93" s="224">
        <f>IF('DM_NHAN_SU'!$B93="","",'CHAM_CONG_THANG'!O93)</f>
        <v/>
      </c>
      <c r="Q93" s="224">
        <f>IF('DM_NHAN_SU'!$B93="","",'CHAM_CONG_THANG'!P93)</f>
        <v/>
      </c>
      <c r="R93" s="224">
        <f>IF('DM_NHAN_SU'!$B93="","",'CHAM_CONG_THANG'!Q93)</f>
        <v/>
      </c>
      <c r="S93" s="224">
        <f>IF('DM_NHAN_SU'!$B93="","",'CHAM_CONG_THANG'!R93)</f>
        <v/>
      </c>
      <c r="T93" s="224">
        <f>IF('DM_NHAN_SU'!$B93="","",'CHAM_CONG_THANG'!S93)</f>
        <v/>
      </c>
      <c r="U93" s="224">
        <f>IF('DM_NHAN_SU'!$B93="","",MIN($T93,'THAM_SO'!$F$6))</f>
        <v/>
      </c>
      <c r="V93" s="224">
        <f>IF('DM_NHAN_SU'!$B93="","",MAX($T93-$U93,0))</f>
        <v/>
      </c>
      <c r="W93" s="224">
        <f>IF('DM_NHAN_SU'!$B93="","",'CHAM_CONG_THANG'!T93)</f>
        <v/>
      </c>
      <c r="X93" s="224">
        <f>IF('DM_NHAN_SU'!$B93="","",'CHAM_CONG_THANG'!U93)</f>
        <v/>
      </c>
      <c r="Y93" s="224">
        <f>IF('DM_NHAN_SU'!$B93="","",IF($B93="",0,IF('DM_NHAN_SU'!$Q93&gt;0,'DM_NHAN_SU'!$Q93,IF($G93="Tháng",IF($I93*$J93&gt;0,'DM_NHAN_SU'!$K93/($I93*$J93),0),IF($G93="Ngày",IF($J93&gt;0,'DM_NHAN_SU'!$K93/$J93,0),IF($G93="Giờ",'DM_NHAN_SU'!$K93,0))))))</f>
        <v/>
      </c>
      <c r="Z93" s="224">
        <f>IF('DM_NHAN_SU'!$B93="","",$Y93*($M93*'THAM_SO'!$C$22+'CHAM_CONG_THANG'!$AF93*'THAM_SO'!$C$19+'CHAM_CONG_THANG'!$AG93*'THAM_SO'!$C$20+'CHAM_CONG_THANG'!$AH93*'THAM_SO'!$C$21+'CHAM_CONG_THANG'!$AI93*'THAM_SO'!$C$23+'CHAM_CONG_THANG'!$AJ93*'THAM_SO'!$C$24+'CHAM_CONG_THANG'!$AK93*'THAM_SO'!$C$25))</f>
        <v/>
      </c>
      <c r="AA93" s="224">
        <f>IF('DM_NHAN_SU'!$B93="","",MAX(0,$Y93*($M93*IF('THAM_SO'!$C$22&gt;='THAM_SO'!$B$22,'THAM_SO'!$B$22,0)+'CHAM_CONG_THANG'!$AF93*IF('THAM_SO'!$C$19&gt;='THAM_SO'!$B$19,'THAM_SO'!$B$19,0)+'CHAM_CONG_THANG'!$AG93*IF('THAM_SO'!$C$20&gt;='THAM_SO'!$B$20,'THAM_SO'!$B$20,0)+'CHAM_CONG_THANG'!$AH93*IF('THAM_SO'!$C$21&gt;='THAM_SO'!$B$21,'THAM_SO'!$B$21,0)+'CHAM_CONG_THANG'!$AI93*IF('THAM_SO'!$C$23&gt;='THAM_SO'!$B$23,'THAM_SO'!$B$23,0)+'CHAM_CONG_THANG'!$AJ93*IF('THAM_SO'!$C$24&gt;='THAM_SO'!$B$24,'THAM_SO'!$B$24,0)+'CHAM_CONG_THANG'!$AK93*IF('THAM_SO'!$C$25&gt;='THAM_SO'!$B$25,'THAM_SO'!$B$25,0))-'CHAM_CONG_THANG'!$V93))</f>
        <v/>
      </c>
      <c r="AB93" s="224">
        <f>IF('DM_NHAN_SU'!$B93="","",MAX($Z93-$AA93,0))</f>
        <v/>
      </c>
      <c r="AC93" s="224">
        <f>IF('DM_NHAN_SU'!$B93="","",$O93+$P93+$Q93+$R93+$S93+$V93+$AB93+$BO93+$BP93+$BQ93+$BR93)</f>
        <v/>
      </c>
      <c r="AD93" s="224">
        <f>IF('DM_NHAN_SU'!$B93="","",'DM_NHAN_SU'!N93+'DM_NHAN_SU'!O93+'DM_NHAN_SU'!P93)</f>
        <v/>
      </c>
      <c r="AE93" s="224">
        <f>IF('DM_NHAN_SU'!$B93="","",IF(OR('DM_NHAN_SU'!$R93&lt;&gt;"Có",'CHAM_CONG_THANG'!$AA93="Có",$BL93&gt;=14,$AD93&lt;=0),0,MIN(MAX($AD93,'THAM_SO'!$M$6),'THAM_SO'!$M$7)))</f>
        <v/>
      </c>
      <c r="AF93" s="224">
        <f>IF('DM_NHAN_SU'!$B93="","",IF(OR('DM_NHAN_SU'!$S93&lt;&gt;"Có",'CHAM_CONG_THANG'!$AA93="Có",$BL93&gt;=14,$AD93&lt;=0),0,MIN(MAX($AD93,VLOOKUP($H93,'THAM_SO'!$L$17:$P$20,4,FALSE)),VLOOKUP($H93,'THAM_SO'!$L$17:$P$20,5,FALSE))))</f>
        <v/>
      </c>
      <c r="AG93" s="224">
        <f>IF('DM_NHAN_SU'!$B93="","",$AE93*'THAM_SO'!$M$8)</f>
        <v/>
      </c>
      <c r="AH93" s="224">
        <f>IF('DM_NHAN_SU'!$B93="","",$AE93*'THAM_SO'!$M$9)</f>
        <v/>
      </c>
      <c r="AI93" s="224">
        <f>IF('DM_NHAN_SU'!$B93="","",$AF93*'THAM_SO'!$M$10)</f>
        <v/>
      </c>
      <c r="AJ93" s="224">
        <f>IF('DM_NHAN_SU'!$B93="","",SUM($AG93:$AI93))</f>
        <v/>
      </c>
      <c r="AK93" s="224">
        <f>IF('DM_NHAN_SU'!$B93="","",IF($B93="",0,'THAM_SO'!$F$4))</f>
        <v/>
      </c>
      <c r="AL93" s="224">
        <f>IF('DM_NHAN_SU'!$B93="","",IF($B93="",0,'DM_NHAN_SU'!$T93*'THAM_SO'!$F$5))</f>
        <v/>
      </c>
      <c r="AM93" s="224">
        <f>IF('DM_NHAN_SU'!$B93="","",'CHAM_CONG_THANG'!W93)</f>
        <v/>
      </c>
      <c r="AN93" s="224">
        <f>IF('DM_NHAN_SU'!$B93="","",MAX($AC93-$AK93-$AL93-$AM93,0))</f>
        <v/>
      </c>
      <c r="AO93" s="224">
        <f>IF('DM_NHAN_SU'!$B93="","",IF($B93="","",IF($F93="Net",IF($AC93&lt;=$AK93+$AL93+$AM93,$AC93+$AJ93,$AJ93+$AK93+$AL93+$AM93+IF($AN93&lt;='THAM_SO'!$J$10,($AN93-'THAM_SO'!$I$10)/(1-'THAM_SO'!$H$10),IF($AN93&lt;='THAM_SO'!$J$11,($AN93-'THAM_SO'!$I$11)/(1-'THAM_SO'!$H$11),IF($AN93&lt;='THAM_SO'!$J$12,($AN93-'THAM_SO'!$I$12)/(1-'THAM_SO'!$H$12),IF($AN93&lt;='THAM_SO'!$J$13,($AN93-'THAM_SO'!$I$13)/(1-'THAM_SO'!$H$13),($AN93-'THAM_SO'!$I$14)/(1-'THAM_SO'!$H$14)))))),$AC93)))</f>
        <v/>
      </c>
      <c r="AP93" s="224">
        <f>IF('DM_NHAN_SU'!$B93="","",$U93+$W93+$X93+$AA93+$BS93)</f>
        <v/>
      </c>
      <c r="AQ93" s="224">
        <f>IF('DM_NHAN_SU'!$B93="","",MAX($AO93-$AJ93-$AK93-$AL93-$AM93,0))</f>
        <v/>
      </c>
      <c r="AR93" s="224">
        <f>IF('DM_NHAN_SU'!$B93="","",IF($AQ93&lt;=0,0,$AQ93*VLOOKUP($AQ93,'THAM_SO'!$F$10:$I$14,3,TRUE)-VLOOKUP($AQ93,'THAM_SO'!$F$10:$I$14,4,TRUE)))</f>
        <v/>
      </c>
      <c r="AS93" s="224">
        <f>IF('DM_NHAN_SU'!$B93="","",$AO93+$AP93)</f>
        <v/>
      </c>
      <c r="AT93" s="224">
        <f>IF('DM_NHAN_SU'!$B93="","",$AS93-$AJ93-$AR93)</f>
        <v/>
      </c>
      <c r="AU93" s="224">
        <f>IF('DM_NHAN_SU'!$B93="","",'CHAM_CONG_THANG'!X93)</f>
        <v/>
      </c>
      <c r="AV93" s="224">
        <f>IF('DM_NHAN_SU'!$B93="","",'CHAM_CONG_THANG'!Y93+'QT_NGHI_VIEC'!AD93)</f>
        <v/>
      </c>
      <c r="AW93" s="224">
        <f>IF('DM_NHAN_SU'!$B93="","",'CHAM_CONG_THANG'!Z93)</f>
        <v/>
      </c>
      <c r="AX93" s="224">
        <f>IF('DM_NHAN_SU'!$B93="","",$AT93-$AU93-$AV93-$AW93-$BV93)</f>
        <v/>
      </c>
      <c r="AY93" s="224">
        <f>IF('DM_NHAN_SU'!$B93="","",$AE93*'THAM_SO'!$M$11)</f>
        <v/>
      </c>
      <c r="AZ93" s="224">
        <f>IF('DM_NHAN_SU'!$B93="","",$AE93*'THAM_SO'!$M$12)</f>
        <v/>
      </c>
      <c r="BA93" s="224">
        <f>IF('DM_NHAN_SU'!$B93="","",$AF93*'THAM_SO'!$M$13)</f>
        <v/>
      </c>
      <c r="BB93" s="224">
        <f>IF('DM_NHAN_SU'!$B93="","",$AE93*'THAM_SO'!$M$14)</f>
        <v/>
      </c>
      <c r="BC93" s="224">
        <f>IF('DM_NHAN_SU'!$B93="","",SUM($AY93:$BB93))</f>
        <v/>
      </c>
      <c r="BD93" s="224">
        <f>IF('DM_NHAN_SU'!$B93="","",$AS93+$BC93)</f>
        <v/>
      </c>
      <c r="BE93" s="224">
        <f>IF('DM_NHAN_SU'!$B93="","",VLOOKUP($H93,'THAM_SO'!$L$17:$P$20,2,FALSE))</f>
        <v/>
      </c>
      <c r="BF93" s="224">
        <f>IF('DM_NHAN_SU'!$B93="","",VLOOKUP($H93,'THAM_SO'!$L$17:$P$20,3,FALSE))</f>
        <v/>
      </c>
      <c r="BG93" s="150">
        <f>IF('DM_NHAN_SU'!$B93="","",IF($B93="","",IF(COUNTIF('DM_NHAN_SU'!$B$6:$B$155,$B93)&gt;1,"Trùng mã NV; ","")&amp;IF(OR($F93="",$G93=""),"Thiếu loại/hình thức lương; ","")&amp;IF('CHAM_CONG_THANG'!$D93="","Chưa chọn nguồn công; ","")&amp;IF(AND('CHAM_CONG_THANG'!$D93="Theo ngày",COUNTIF('CHAM_CONG_NGAY'!$B$6:$B$4655,$B93)=0),"Chưa có chấm công ngày; ","")&amp;IF(OR($I93&lt;=0,$J93&lt;=0),"Thiếu công/giờ chuẩn; ","")&amp;IF(AND($G93="Tháng",'DM_NHAN_SU'!$K93&lt;$BE93),"Lương tháng dưới tối thiểu vùng; ","")&amp;IF(AND($G93="Ngày",'DM_NHAN_SU'!$K93/$J93&lt;$BF93),"Lương ngày quy đổi dưới tối thiểu giờ; ","")&amp;IF(AND($G93="Giờ",'DM_NHAN_SU'!$K93&lt;$BF93),"Lương giờ dưới tối thiểu vùng; ","")&amp;IF(AND($G93="Sản phẩm",$L93&gt;0,$O93/$L93&lt;$BF93),"Lương SP quy đổi dưới tối thiểu giờ; ","")&amp;IF(OR('THAM_SO'!$C$19&lt;'THAM_SO'!$B$19,'THAM_SO'!$C$20&lt;'THAM_SO'!$B$20,'THAM_SO'!$C$21&lt;'THAM_SO'!$B$21,'THAM_SO'!$C$22&lt;'THAM_SO'!$B$22,'THAM_SO'!$C$23&lt;'THAM_SO'!$B$23,'THAM_SO'!$C$24&lt;'THAM_SO'!$B$24,'THAM_SO'!$C$25&lt;'THAM_SO'!$B$25),"Hệ số OT/đêm DN thấp hơn luật; ","")&amp;IF(AND('DM_NHAN_SU'!$R93="Có",$AD93&lt;=0),"Thiếu căn cứ đóng BH; ","")&amp;IF(AND($AD93&gt;0,$AD93&lt;'THAM_SO'!$M$6),"Căn cứ BH dưới sàn – đã nâng sàn; ","")&amp;IF($AD93&gt;'THAM_SO'!$M$7,"Căn cứ BH vượt trần – đã giới hạn; ","")&amp;IF(AND($F93="Net",SUM('CHAM_CONG_THANG'!$AF93:$AK93)&gt;0,'DM_NHAN_SU'!$Q93&lt;=0),"Net có OT nhưng chưa khai lương giờ OT; ","")&amp;IF('CHAM_CONG_THANG'!$V93&gt;$Z93,"Phần OT không miễn lớn hơn tiền OT; ","")&amp;IF(AND($F93="Net",ABS($AT93-$AC93-$AP93)&gt;1),"Lệch quy đổi Net; ","")&amp;IF(AND($BH93&gt;0,'DM_NHAN_SU'!$AD93=""),"Có phép năm nhưng đang tạm dùng 12 ngày; ","")&amp;IF(AND($G93="Sản phẩm",SUM($BH93:$BJ93)&gt;0,'DM_NHAN_SU'!$AH93&lt;=0),"Lương sản phẩm thiếu đơn giá ngày phép/lễ; ","")&amp;IF(AND($BL93&gt;=14,'CHAM_CONG_THANG'!$AA93&lt;&gt;"Có"),"Thai sản từ 14 ngày: file tự dừng đóng BH – kiểm tra hồ sơ; ","")&amp;IF(AND('DM_NHAN_SU'!$AA93="Có",'DM_NHAN_SU'!$AB93=""),"Đoàn viên chưa chọn cách tính đoàn phí; ","")&amp;IF(AND('DM_NHAN_SU'!$AB93="Nhập tay",'DM_NHAN_SU'!$AC93&gt;'THAM_SO'!$M$26),"Đoàn phí nhập tay vượt trần thông dụng; ","")&amp;IF('NGHI_PHEP'!$L93&lt;&gt;"","Phép: "&amp;'NGHI_PHEP'!$L93,"")&amp;IF('CHE_DO_BHXH'!$AA93&lt;&gt;"","BHXH: "&amp;'CHE_DO_BHXH'!$AA93,"")&amp;IF('THUONG_T13_TET'!$O93&lt;&gt;"","Thưởng: "&amp;'THUONG_T13_TET'!$O93,"")&amp;IF('QT_NGHI_VIEC'!$AF93&lt;&gt;"","Nghỉ việc: "&amp;'QT_NGHI_VIEC'!$AF93,"")&amp;IF($AX93&lt;0,"Thực lĩnh âm; ","")&amp;IF(OR('DM_NHAN_SU'!$F93&gt;'THAM_SO'!$B$7,AND('DM_NHAN_SU'!$G93&lt;&gt;"",'DM_NHAN_SU'!$G93&lt;'THAM_SO'!$B$6)),"Ngoài kỳ trả lương; ","")))</f>
        <v/>
      </c>
      <c r="BH93" s="232">
        <f>IF('DM_NHAN_SU'!$B93="","",'CHAM_CONG_THANG'!AR93)</f>
        <v/>
      </c>
      <c r="BI93" s="232">
        <f>IF('DM_NHAN_SU'!$B93="","",'CHAM_CONG_THANG'!AS93)</f>
        <v/>
      </c>
      <c r="BJ93" s="232">
        <f>IF('DM_NHAN_SU'!$B93="","",'CHAM_CONG_THANG'!AT93)</f>
        <v/>
      </c>
      <c r="BK93" s="232">
        <f>IF('DM_NHAN_SU'!$B93="","",'CHAM_CONG_THANG'!AU93)</f>
        <v/>
      </c>
      <c r="BL93" s="232">
        <f>IF('DM_NHAN_SU'!$B93="","",'CHAM_CONG_THANG'!AV93)</f>
        <v/>
      </c>
      <c r="BM93" s="232">
        <f>IF('DM_NHAN_SU'!$B93="","",'CHAM_CONG_THANG'!AW93)</f>
        <v/>
      </c>
      <c r="BN93" s="232">
        <f>IF('DM_NHAN_SU'!$B93="","",SUM($K93,$BH93:$BJ93))</f>
        <v/>
      </c>
      <c r="BO93" s="224">
        <f>IF('DM_NHAN_SU'!$B93="","",IF($B93="",0,IF($G93="Tháng",IF($I93&gt;0,'DM_NHAN_SU'!$K93*MIN($BH93+$BJ93,MAX($I93-$K93,0))/$I93,0),IF($G93="Ngày",'DM_NHAN_SU'!$K93*SUM($BH93:$BJ93),IF($G93="Giờ",'DM_NHAN_SU'!$K93*SUM($BH93:$BJ93)*$J93,IF($G93="Sản phẩm",'DM_NHAN_SU'!$AH93*SUM($BH93:$BJ93),0))))))</f>
        <v/>
      </c>
      <c r="BP93" s="224">
        <f>IF('DM_NHAN_SU'!$B93="","",IF('THUONG_T13_TET'!$L93="Có",'THUONG_T13_TET'!$I93,0))</f>
        <v/>
      </c>
      <c r="BQ93" s="224">
        <f>IF('DM_NHAN_SU'!$B93="","",IF('THUONG_T13_TET'!$L93="Có",SUM('THUONG_T13_TET'!$J93:$K93),0))</f>
        <v/>
      </c>
      <c r="BR93" s="224">
        <f>IF('DM_NHAN_SU'!$B93="","",'QT_NGHI_VIEC'!AC93)</f>
        <v/>
      </c>
      <c r="BS93" s="224">
        <f>IF('DM_NHAN_SU'!$B93="","",'QT_NGHI_VIEC'!AB93)</f>
        <v/>
      </c>
      <c r="BT93" s="224">
        <f>IF('DM_NHAN_SU'!$B93="","",IF('CHE_DO_BHXH'!$Z93="Có",'CHE_DO_BHXH'!$W93,0))</f>
        <v/>
      </c>
      <c r="BU93" s="224">
        <f>IF('DM_NHAN_SU'!$B93="","",IF('CHE_DO_BHXH'!$Y93="DN trả thay",$BT93,0))</f>
        <v/>
      </c>
      <c r="BV93" s="224">
        <f>IF('DM_NHAN_SU'!$B93="","",IF(OR('DM_NHAN_SU'!$AA93&lt;&gt;"Có",'CHE_DO_BHXH'!$O93&gt;=1,SUM('CHE_DO_BHXH'!$D93,'CHE_DO_BHXH'!$G93,'CHE_DO_BHXH'!$K93)&gt;=24,AND($I93&gt;0,$BM93&gt;=$I93)),0,IF('DM_NHAN_SU'!$AB93="Không",0,IF('DM_NHAN_SU'!$AB93="Nhập tay",'DM_NHAN_SU'!$AC93,IF('DM_NHAN_SU'!$AB93="Theo thực nhận",MIN(MAX($AT93-$AU93-$AV93-$AW93,0)*'THAM_SO'!$M$23,'THAM_SO'!$M$26),MIN($AE93*'THAM_SO'!$M$23,'THAM_SO'!$M$26))))))</f>
        <v/>
      </c>
      <c r="BW93" s="224">
        <f>IF('DM_NHAN_SU'!$B93="","",$AX93+$BU93)</f>
        <v/>
      </c>
    </row>
    <row r="94">
      <c r="A94" s="145">
        <f>IF('DM_NHAN_SU'!$B94="","",IF($B94="","",ROW()-5))</f>
        <v/>
      </c>
      <c r="B94" s="145">
        <f>IF('DM_NHAN_SU'!$B94="","",'DM_NHAN_SU'!B94)</f>
        <v/>
      </c>
      <c r="C94" s="145">
        <f>IF('DM_NHAN_SU'!$B94="","",'DM_NHAN_SU'!C94)</f>
        <v/>
      </c>
      <c r="D94" s="145">
        <f>IF('DM_NHAN_SU'!$B94="","",'DM_NHAN_SU'!D94)</f>
        <v/>
      </c>
      <c r="E94" s="145">
        <f>IF('DM_NHAN_SU'!$B94="","",'DM_NHAN_SU'!E94)</f>
        <v/>
      </c>
      <c r="F94" s="145">
        <f>IF('DM_NHAN_SU'!$B94="","",'DM_NHAN_SU'!I94)</f>
        <v/>
      </c>
      <c r="G94" s="145">
        <f>IF('DM_NHAN_SU'!$B94="","",'DM_NHAN_SU'!J94)</f>
        <v/>
      </c>
      <c r="H94" s="145">
        <f>IF('DM_NHAN_SU'!$B94="","",IF('DM_NHAN_SU'!H94="",'THAM_SO'!$B$11,'DM_NHAN_SU'!H94))</f>
        <v/>
      </c>
      <c r="I94" s="232">
        <f>IF('DM_NHAN_SU'!$B94="","",IF('DM_NHAN_SU'!L94&gt;0,'DM_NHAN_SU'!L94,'THAM_SO'!$B$9))</f>
        <v/>
      </c>
      <c r="J94" s="232">
        <f>IF('DM_NHAN_SU'!$B94="","",IF('DM_NHAN_SU'!M94&gt;0,'DM_NHAN_SU'!M94,'THAM_SO'!$B$10))</f>
        <v/>
      </c>
      <c r="K94" s="232">
        <f>IF('DM_NHAN_SU'!$B94="","",'CHAM_CONG_THANG'!AC94)</f>
        <v/>
      </c>
      <c r="L94" s="232">
        <f>IF('DM_NHAN_SU'!$B94="","",'CHAM_CONG_THANG'!AD94)</f>
        <v/>
      </c>
      <c r="M94" s="232">
        <f>IF('DM_NHAN_SU'!$B94="","",'CHAM_CONG_THANG'!AE94)</f>
        <v/>
      </c>
      <c r="N94" s="232">
        <f>IF('DM_NHAN_SU'!$B94="","",'CHAM_CONG_THANG'!N94)</f>
        <v/>
      </c>
      <c r="O94" s="224">
        <f>IF('DM_NHAN_SU'!$B94="","",IF($B94="","",IF($G94="Tháng",IF($I94&gt;0,'DM_NHAN_SU'!$K94*MIN($K94,$I94)/$I94,0),IF($G94="Ngày",'DM_NHAN_SU'!$K94*$K94,IF($G94="Giờ",'DM_NHAN_SU'!$K94*$L94,IF($G94="Sản phẩm",'DM_NHAN_SU'!$K94*$N94,0))))))</f>
        <v/>
      </c>
      <c r="P94" s="224">
        <f>IF('DM_NHAN_SU'!$B94="","",'CHAM_CONG_THANG'!O94)</f>
        <v/>
      </c>
      <c r="Q94" s="224">
        <f>IF('DM_NHAN_SU'!$B94="","",'CHAM_CONG_THANG'!P94)</f>
        <v/>
      </c>
      <c r="R94" s="224">
        <f>IF('DM_NHAN_SU'!$B94="","",'CHAM_CONG_THANG'!Q94)</f>
        <v/>
      </c>
      <c r="S94" s="224">
        <f>IF('DM_NHAN_SU'!$B94="","",'CHAM_CONG_THANG'!R94)</f>
        <v/>
      </c>
      <c r="T94" s="224">
        <f>IF('DM_NHAN_SU'!$B94="","",'CHAM_CONG_THANG'!S94)</f>
        <v/>
      </c>
      <c r="U94" s="224">
        <f>IF('DM_NHAN_SU'!$B94="","",MIN($T94,'THAM_SO'!$F$6))</f>
        <v/>
      </c>
      <c r="V94" s="224">
        <f>IF('DM_NHAN_SU'!$B94="","",MAX($T94-$U94,0))</f>
        <v/>
      </c>
      <c r="W94" s="224">
        <f>IF('DM_NHAN_SU'!$B94="","",'CHAM_CONG_THANG'!T94)</f>
        <v/>
      </c>
      <c r="X94" s="224">
        <f>IF('DM_NHAN_SU'!$B94="","",'CHAM_CONG_THANG'!U94)</f>
        <v/>
      </c>
      <c r="Y94" s="224">
        <f>IF('DM_NHAN_SU'!$B94="","",IF($B94="",0,IF('DM_NHAN_SU'!$Q94&gt;0,'DM_NHAN_SU'!$Q94,IF($G94="Tháng",IF($I94*$J94&gt;0,'DM_NHAN_SU'!$K94/($I94*$J94),0),IF($G94="Ngày",IF($J94&gt;0,'DM_NHAN_SU'!$K94/$J94,0),IF($G94="Giờ",'DM_NHAN_SU'!$K94,0))))))</f>
        <v/>
      </c>
      <c r="Z94" s="224">
        <f>IF('DM_NHAN_SU'!$B94="","",$Y94*($M94*'THAM_SO'!$C$22+'CHAM_CONG_THANG'!$AF94*'THAM_SO'!$C$19+'CHAM_CONG_THANG'!$AG94*'THAM_SO'!$C$20+'CHAM_CONG_THANG'!$AH94*'THAM_SO'!$C$21+'CHAM_CONG_THANG'!$AI94*'THAM_SO'!$C$23+'CHAM_CONG_THANG'!$AJ94*'THAM_SO'!$C$24+'CHAM_CONG_THANG'!$AK94*'THAM_SO'!$C$25))</f>
        <v/>
      </c>
      <c r="AA94" s="224">
        <f>IF('DM_NHAN_SU'!$B94="","",MAX(0,$Y94*($M94*IF('THAM_SO'!$C$22&gt;='THAM_SO'!$B$22,'THAM_SO'!$B$22,0)+'CHAM_CONG_THANG'!$AF94*IF('THAM_SO'!$C$19&gt;='THAM_SO'!$B$19,'THAM_SO'!$B$19,0)+'CHAM_CONG_THANG'!$AG94*IF('THAM_SO'!$C$20&gt;='THAM_SO'!$B$20,'THAM_SO'!$B$20,0)+'CHAM_CONG_THANG'!$AH94*IF('THAM_SO'!$C$21&gt;='THAM_SO'!$B$21,'THAM_SO'!$B$21,0)+'CHAM_CONG_THANG'!$AI94*IF('THAM_SO'!$C$23&gt;='THAM_SO'!$B$23,'THAM_SO'!$B$23,0)+'CHAM_CONG_THANG'!$AJ94*IF('THAM_SO'!$C$24&gt;='THAM_SO'!$B$24,'THAM_SO'!$B$24,0)+'CHAM_CONG_THANG'!$AK94*IF('THAM_SO'!$C$25&gt;='THAM_SO'!$B$25,'THAM_SO'!$B$25,0))-'CHAM_CONG_THANG'!$V94))</f>
        <v/>
      </c>
      <c r="AB94" s="224">
        <f>IF('DM_NHAN_SU'!$B94="","",MAX($Z94-$AA94,0))</f>
        <v/>
      </c>
      <c r="AC94" s="224">
        <f>IF('DM_NHAN_SU'!$B94="","",$O94+$P94+$Q94+$R94+$S94+$V94+$AB94+$BO94+$BP94+$BQ94+$BR94)</f>
        <v/>
      </c>
      <c r="AD94" s="224">
        <f>IF('DM_NHAN_SU'!$B94="","",'DM_NHAN_SU'!N94+'DM_NHAN_SU'!O94+'DM_NHAN_SU'!P94)</f>
        <v/>
      </c>
      <c r="AE94" s="224">
        <f>IF('DM_NHAN_SU'!$B94="","",IF(OR('DM_NHAN_SU'!$R94&lt;&gt;"Có",'CHAM_CONG_THANG'!$AA94="Có",$BL94&gt;=14,$AD94&lt;=0),0,MIN(MAX($AD94,'THAM_SO'!$M$6),'THAM_SO'!$M$7)))</f>
        <v/>
      </c>
      <c r="AF94" s="224">
        <f>IF('DM_NHAN_SU'!$B94="","",IF(OR('DM_NHAN_SU'!$S94&lt;&gt;"Có",'CHAM_CONG_THANG'!$AA94="Có",$BL94&gt;=14,$AD94&lt;=0),0,MIN(MAX($AD94,VLOOKUP($H94,'THAM_SO'!$L$17:$P$20,4,FALSE)),VLOOKUP($H94,'THAM_SO'!$L$17:$P$20,5,FALSE))))</f>
        <v/>
      </c>
      <c r="AG94" s="224">
        <f>IF('DM_NHAN_SU'!$B94="","",$AE94*'THAM_SO'!$M$8)</f>
        <v/>
      </c>
      <c r="AH94" s="224">
        <f>IF('DM_NHAN_SU'!$B94="","",$AE94*'THAM_SO'!$M$9)</f>
        <v/>
      </c>
      <c r="AI94" s="224">
        <f>IF('DM_NHAN_SU'!$B94="","",$AF94*'THAM_SO'!$M$10)</f>
        <v/>
      </c>
      <c r="AJ94" s="224">
        <f>IF('DM_NHAN_SU'!$B94="","",SUM($AG94:$AI94))</f>
        <v/>
      </c>
      <c r="AK94" s="224">
        <f>IF('DM_NHAN_SU'!$B94="","",IF($B94="",0,'THAM_SO'!$F$4))</f>
        <v/>
      </c>
      <c r="AL94" s="224">
        <f>IF('DM_NHAN_SU'!$B94="","",IF($B94="",0,'DM_NHAN_SU'!$T94*'THAM_SO'!$F$5))</f>
        <v/>
      </c>
      <c r="AM94" s="224">
        <f>IF('DM_NHAN_SU'!$B94="","",'CHAM_CONG_THANG'!W94)</f>
        <v/>
      </c>
      <c r="AN94" s="224">
        <f>IF('DM_NHAN_SU'!$B94="","",MAX($AC94-$AK94-$AL94-$AM94,0))</f>
        <v/>
      </c>
      <c r="AO94" s="224">
        <f>IF('DM_NHAN_SU'!$B94="","",IF($B94="","",IF($F94="Net",IF($AC94&lt;=$AK94+$AL94+$AM94,$AC94+$AJ94,$AJ94+$AK94+$AL94+$AM94+IF($AN94&lt;='THAM_SO'!$J$10,($AN94-'THAM_SO'!$I$10)/(1-'THAM_SO'!$H$10),IF($AN94&lt;='THAM_SO'!$J$11,($AN94-'THAM_SO'!$I$11)/(1-'THAM_SO'!$H$11),IF($AN94&lt;='THAM_SO'!$J$12,($AN94-'THAM_SO'!$I$12)/(1-'THAM_SO'!$H$12),IF($AN94&lt;='THAM_SO'!$J$13,($AN94-'THAM_SO'!$I$13)/(1-'THAM_SO'!$H$13),($AN94-'THAM_SO'!$I$14)/(1-'THAM_SO'!$H$14)))))),$AC94)))</f>
        <v/>
      </c>
      <c r="AP94" s="224">
        <f>IF('DM_NHAN_SU'!$B94="","",$U94+$W94+$X94+$AA94+$BS94)</f>
        <v/>
      </c>
      <c r="AQ94" s="224">
        <f>IF('DM_NHAN_SU'!$B94="","",MAX($AO94-$AJ94-$AK94-$AL94-$AM94,0))</f>
        <v/>
      </c>
      <c r="AR94" s="224">
        <f>IF('DM_NHAN_SU'!$B94="","",IF($AQ94&lt;=0,0,$AQ94*VLOOKUP($AQ94,'THAM_SO'!$F$10:$I$14,3,TRUE)-VLOOKUP($AQ94,'THAM_SO'!$F$10:$I$14,4,TRUE)))</f>
        <v/>
      </c>
      <c r="AS94" s="224">
        <f>IF('DM_NHAN_SU'!$B94="","",$AO94+$AP94)</f>
        <v/>
      </c>
      <c r="AT94" s="224">
        <f>IF('DM_NHAN_SU'!$B94="","",$AS94-$AJ94-$AR94)</f>
        <v/>
      </c>
      <c r="AU94" s="224">
        <f>IF('DM_NHAN_SU'!$B94="","",'CHAM_CONG_THANG'!X94)</f>
        <v/>
      </c>
      <c r="AV94" s="224">
        <f>IF('DM_NHAN_SU'!$B94="","",'CHAM_CONG_THANG'!Y94+'QT_NGHI_VIEC'!AD94)</f>
        <v/>
      </c>
      <c r="AW94" s="224">
        <f>IF('DM_NHAN_SU'!$B94="","",'CHAM_CONG_THANG'!Z94)</f>
        <v/>
      </c>
      <c r="AX94" s="224">
        <f>IF('DM_NHAN_SU'!$B94="","",$AT94-$AU94-$AV94-$AW94-$BV94)</f>
        <v/>
      </c>
      <c r="AY94" s="224">
        <f>IF('DM_NHAN_SU'!$B94="","",$AE94*'THAM_SO'!$M$11)</f>
        <v/>
      </c>
      <c r="AZ94" s="224">
        <f>IF('DM_NHAN_SU'!$B94="","",$AE94*'THAM_SO'!$M$12)</f>
        <v/>
      </c>
      <c r="BA94" s="224">
        <f>IF('DM_NHAN_SU'!$B94="","",$AF94*'THAM_SO'!$M$13)</f>
        <v/>
      </c>
      <c r="BB94" s="224">
        <f>IF('DM_NHAN_SU'!$B94="","",$AE94*'THAM_SO'!$M$14)</f>
        <v/>
      </c>
      <c r="BC94" s="224">
        <f>IF('DM_NHAN_SU'!$B94="","",SUM($AY94:$BB94))</f>
        <v/>
      </c>
      <c r="BD94" s="224">
        <f>IF('DM_NHAN_SU'!$B94="","",$AS94+$BC94)</f>
        <v/>
      </c>
      <c r="BE94" s="224">
        <f>IF('DM_NHAN_SU'!$B94="","",VLOOKUP($H94,'THAM_SO'!$L$17:$P$20,2,FALSE))</f>
        <v/>
      </c>
      <c r="BF94" s="224">
        <f>IF('DM_NHAN_SU'!$B94="","",VLOOKUP($H94,'THAM_SO'!$L$17:$P$20,3,FALSE))</f>
        <v/>
      </c>
      <c r="BG94" s="150">
        <f>IF('DM_NHAN_SU'!$B94="","",IF($B94="","",IF(COUNTIF('DM_NHAN_SU'!$B$6:$B$155,$B94)&gt;1,"Trùng mã NV; ","")&amp;IF(OR($F94="",$G94=""),"Thiếu loại/hình thức lương; ","")&amp;IF('CHAM_CONG_THANG'!$D94="","Chưa chọn nguồn công; ","")&amp;IF(AND('CHAM_CONG_THANG'!$D94="Theo ngày",COUNTIF('CHAM_CONG_NGAY'!$B$6:$B$4655,$B94)=0),"Chưa có chấm công ngày; ","")&amp;IF(OR($I94&lt;=0,$J94&lt;=0),"Thiếu công/giờ chuẩn; ","")&amp;IF(AND($G94="Tháng",'DM_NHAN_SU'!$K94&lt;$BE94),"Lương tháng dưới tối thiểu vùng; ","")&amp;IF(AND($G94="Ngày",'DM_NHAN_SU'!$K94/$J94&lt;$BF94),"Lương ngày quy đổi dưới tối thiểu giờ; ","")&amp;IF(AND($G94="Giờ",'DM_NHAN_SU'!$K94&lt;$BF94),"Lương giờ dưới tối thiểu vùng; ","")&amp;IF(AND($G94="Sản phẩm",$L94&gt;0,$O94/$L94&lt;$BF94),"Lương SP quy đổi dưới tối thiểu giờ; ","")&amp;IF(OR('THAM_SO'!$C$19&lt;'THAM_SO'!$B$19,'THAM_SO'!$C$20&lt;'THAM_SO'!$B$20,'THAM_SO'!$C$21&lt;'THAM_SO'!$B$21,'THAM_SO'!$C$22&lt;'THAM_SO'!$B$22,'THAM_SO'!$C$23&lt;'THAM_SO'!$B$23,'THAM_SO'!$C$24&lt;'THAM_SO'!$B$24,'THAM_SO'!$C$25&lt;'THAM_SO'!$B$25),"Hệ số OT/đêm DN thấp hơn luật; ","")&amp;IF(AND('DM_NHAN_SU'!$R94="Có",$AD94&lt;=0),"Thiếu căn cứ đóng BH; ","")&amp;IF(AND($AD94&gt;0,$AD94&lt;'THAM_SO'!$M$6),"Căn cứ BH dưới sàn – đã nâng sàn; ","")&amp;IF($AD94&gt;'THAM_SO'!$M$7,"Căn cứ BH vượt trần – đã giới hạn; ","")&amp;IF(AND($F94="Net",SUM('CHAM_CONG_THANG'!$AF94:$AK94)&gt;0,'DM_NHAN_SU'!$Q94&lt;=0),"Net có OT nhưng chưa khai lương giờ OT; ","")&amp;IF('CHAM_CONG_THANG'!$V94&gt;$Z94,"Phần OT không miễn lớn hơn tiền OT; ","")&amp;IF(AND($F94="Net",ABS($AT94-$AC94-$AP94)&gt;1),"Lệch quy đổi Net; ","")&amp;IF(AND($BH94&gt;0,'DM_NHAN_SU'!$AD94=""),"Có phép năm nhưng đang tạm dùng 12 ngày; ","")&amp;IF(AND($G94="Sản phẩm",SUM($BH94:$BJ94)&gt;0,'DM_NHAN_SU'!$AH94&lt;=0),"Lương sản phẩm thiếu đơn giá ngày phép/lễ; ","")&amp;IF(AND($BL94&gt;=14,'CHAM_CONG_THANG'!$AA94&lt;&gt;"Có"),"Thai sản từ 14 ngày: file tự dừng đóng BH – kiểm tra hồ sơ; ","")&amp;IF(AND('DM_NHAN_SU'!$AA94="Có",'DM_NHAN_SU'!$AB94=""),"Đoàn viên chưa chọn cách tính đoàn phí; ","")&amp;IF(AND('DM_NHAN_SU'!$AB94="Nhập tay",'DM_NHAN_SU'!$AC94&gt;'THAM_SO'!$M$26),"Đoàn phí nhập tay vượt trần thông dụng; ","")&amp;IF('NGHI_PHEP'!$L94&lt;&gt;"","Phép: "&amp;'NGHI_PHEP'!$L94,"")&amp;IF('CHE_DO_BHXH'!$AA94&lt;&gt;"","BHXH: "&amp;'CHE_DO_BHXH'!$AA94,"")&amp;IF('THUONG_T13_TET'!$O94&lt;&gt;"","Thưởng: "&amp;'THUONG_T13_TET'!$O94,"")&amp;IF('QT_NGHI_VIEC'!$AF94&lt;&gt;"","Nghỉ việc: "&amp;'QT_NGHI_VIEC'!$AF94,"")&amp;IF($AX94&lt;0,"Thực lĩnh âm; ","")&amp;IF(OR('DM_NHAN_SU'!$F94&gt;'THAM_SO'!$B$7,AND('DM_NHAN_SU'!$G94&lt;&gt;"",'DM_NHAN_SU'!$G94&lt;'THAM_SO'!$B$6)),"Ngoài kỳ trả lương; ","")))</f>
        <v/>
      </c>
      <c r="BH94" s="232">
        <f>IF('DM_NHAN_SU'!$B94="","",'CHAM_CONG_THANG'!AR94)</f>
        <v/>
      </c>
      <c r="BI94" s="232">
        <f>IF('DM_NHAN_SU'!$B94="","",'CHAM_CONG_THANG'!AS94)</f>
        <v/>
      </c>
      <c r="BJ94" s="232">
        <f>IF('DM_NHAN_SU'!$B94="","",'CHAM_CONG_THANG'!AT94)</f>
        <v/>
      </c>
      <c r="BK94" s="232">
        <f>IF('DM_NHAN_SU'!$B94="","",'CHAM_CONG_THANG'!AU94)</f>
        <v/>
      </c>
      <c r="BL94" s="232">
        <f>IF('DM_NHAN_SU'!$B94="","",'CHAM_CONG_THANG'!AV94)</f>
        <v/>
      </c>
      <c r="BM94" s="232">
        <f>IF('DM_NHAN_SU'!$B94="","",'CHAM_CONG_THANG'!AW94)</f>
        <v/>
      </c>
      <c r="BN94" s="232">
        <f>IF('DM_NHAN_SU'!$B94="","",SUM($K94,$BH94:$BJ94))</f>
        <v/>
      </c>
      <c r="BO94" s="224">
        <f>IF('DM_NHAN_SU'!$B94="","",IF($B94="",0,IF($G94="Tháng",IF($I94&gt;0,'DM_NHAN_SU'!$K94*MIN($BH94+$BJ94,MAX($I94-$K94,0))/$I94,0),IF($G94="Ngày",'DM_NHAN_SU'!$K94*SUM($BH94:$BJ94),IF($G94="Giờ",'DM_NHAN_SU'!$K94*SUM($BH94:$BJ94)*$J94,IF($G94="Sản phẩm",'DM_NHAN_SU'!$AH94*SUM($BH94:$BJ94),0))))))</f>
        <v/>
      </c>
      <c r="BP94" s="224">
        <f>IF('DM_NHAN_SU'!$B94="","",IF('THUONG_T13_TET'!$L94="Có",'THUONG_T13_TET'!$I94,0))</f>
        <v/>
      </c>
      <c r="BQ94" s="224">
        <f>IF('DM_NHAN_SU'!$B94="","",IF('THUONG_T13_TET'!$L94="Có",SUM('THUONG_T13_TET'!$J94:$K94),0))</f>
        <v/>
      </c>
      <c r="BR94" s="224">
        <f>IF('DM_NHAN_SU'!$B94="","",'QT_NGHI_VIEC'!AC94)</f>
        <v/>
      </c>
      <c r="BS94" s="224">
        <f>IF('DM_NHAN_SU'!$B94="","",'QT_NGHI_VIEC'!AB94)</f>
        <v/>
      </c>
      <c r="BT94" s="224">
        <f>IF('DM_NHAN_SU'!$B94="","",IF('CHE_DO_BHXH'!$Z94="Có",'CHE_DO_BHXH'!$W94,0))</f>
        <v/>
      </c>
      <c r="BU94" s="224">
        <f>IF('DM_NHAN_SU'!$B94="","",IF('CHE_DO_BHXH'!$Y94="DN trả thay",$BT94,0))</f>
        <v/>
      </c>
      <c r="BV94" s="224">
        <f>IF('DM_NHAN_SU'!$B94="","",IF(OR('DM_NHAN_SU'!$AA94&lt;&gt;"Có",'CHE_DO_BHXH'!$O94&gt;=1,SUM('CHE_DO_BHXH'!$D94,'CHE_DO_BHXH'!$G94,'CHE_DO_BHXH'!$K94)&gt;=24,AND($I94&gt;0,$BM94&gt;=$I94)),0,IF('DM_NHAN_SU'!$AB94="Không",0,IF('DM_NHAN_SU'!$AB94="Nhập tay",'DM_NHAN_SU'!$AC94,IF('DM_NHAN_SU'!$AB94="Theo thực nhận",MIN(MAX($AT94-$AU94-$AV94-$AW94,0)*'THAM_SO'!$M$23,'THAM_SO'!$M$26),MIN($AE94*'THAM_SO'!$M$23,'THAM_SO'!$M$26))))))</f>
        <v/>
      </c>
      <c r="BW94" s="224">
        <f>IF('DM_NHAN_SU'!$B94="","",$AX94+$BU94)</f>
        <v/>
      </c>
    </row>
    <row r="95">
      <c r="A95" s="145">
        <f>IF('DM_NHAN_SU'!$B95="","",IF($B95="","",ROW()-5))</f>
        <v/>
      </c>
      <c r="B95" s="145">
        <f>IF('DM_NHAN_SU'!$B95="","",'DM_NHAN_SU'!B95)</f>
        <v/>
      </c>
      <c r="C95" s="145">
        <f>IF('DM_NHAN_SU'!$B95="","",'DM_NHAN_SU'!C95)</f>
        <v/>
      </c>
      <c r="D95" s="145">
        <f>IF('DM_NHAN_SU'!$B95="","",'DM_NHAN_SU'!D95)</f>
        <v/>
      </c>
      <c r="E95" s="145">
        <f>IF('DM_NHAN_SU'!$B95="","",'DM_NHAN_SU'!E95)</f>
        <v/>
      </c>
      <c r="F95" s="145">
        <f>IF('DM_NHAN_SU'!$B95="","",'DM_NHAN_SU'!I95)</f>
        <v/>
      </c>
      <c r="G95" s="145">
        <f>IF('DM_NHAN_SU'!$B95="","",'DM_NHAN_SU'!J95)</f>
        <v/>
      </c>
      <c r="H95" s="145">
        <f>IF('DM_NHAN_SU'!$B95="","",IF('DM_NHAN_SU'!H95="",'THAM_SO'!$B$11,'DM_NHAN_SU'!H95))</f>
        <v/>
      </c>
      <c r="I95" s="232">
        <f>IF('DM_NHAN_SU'!$B95="","",IF('DM_NHAN_SU'!L95&gt;0,'DM_NHAN_SU'!L95,'THAM_SO'!$B$9))</f>
        <v/>
      </c>
      <c r="J95" s="232">
        <f>IF('DM_NHAN_SU'!$B95="","",IF('DM_NHAN_SU'!M95&gt;0,'DM_NHAN_SU'!M95,'THAM_SO'!$B$10))</f>
        <v/>
      </c>
      <c r="K95" s="232">
        <f>IF('DM_NHAN_SU'!$B95="","",'CHAM_CONG_THANG'!AC95)</f>
        <v/>
      </c>
      <c r="L95" s="232">
        <f>IF('DM_NHAN_SU'!$B95="","",'CHAM_CONG_THANG'!AD95)</f>
        <v/>
      </c>
      <c r="M95" s="232">
        <f>IF('DM_NHAN_SU'!$B95="","",'CHAM_CONG_THANG'!AE95)</f>
        <v/>
      </c>
      <c r="N95" s="232">
        <f>IF('DM_NHAN_SU'!$B95="","",'CHAM_CONG_THANG'!N95)</f>
        <v/>
      </c>
      <c r="O95" s="224">
        <f>IF('DM_NHAN_SU'!$B95="","",IF($B95="","",IF($G95="Tháng",IF($I95&gt;0,'DM_NHAN_SU'!$K95*MIN($K95,$I95)/$I95,0),IF($G95="Ngày",'DM_NHAN_SU'!$K95*$K95,IF($G95="Giờ",'DM_NHAN_SU'!$K95*$L95,IF($G95="Sản phẩm",'DM_NHAN_SU'!$K95*$N95,0))))))</f>
        <v/>
      </c>
      <c r="P95" s="224">
        <f>IF('DM_NHAN_SU'!$B95="","",'CHAM_CONG_THANG'!O95)</f>
        <v/>
      </c>
      <c r="Q95" s="224">
        <f>IF('DM_NHAN_SU'!$B95="","",'CHAM_CONG_THANG'!P95)</f>
        <v/>
      </c>
      <c r="R95" s="224">
        <f>IF('DM_NHAN_SU'!$B95="","",'CHAM_CONG_THANG'!Q95)</f>
        <v/>
      </c>
      <c r="S95" s="224">
        <f>IF('DM_NHAN_SU'!$B95="","",'CHAM_CONG_THANG'!R95)</f>
        <v/>
      </c>
      <c r="T95" s="224">
        <f>IF('DM_NHAN_SU'!$B95="","",'CHAM_CONG_THANG'!S95)</f>
        <v/>
      </c>
      <c r="U95" s="224">
        <f>IF('DM_NHAN_SU'!$B95="","",MIN($T95,'THAM_SO'!$F$6))</f>
        <v/>
      </c>
      <c r="V95" s="224">
        <f>IF('DM_NHAN_SU'!$B95="","",MAX($T95-$U95,0))</f>
        <v/>
      </c>
      <c r="W95" s="224">
        <f>IF('DM_NHAN_SU'!$B95="","",'CHAM_CONG_THANG'!T95)</f>
        <v/>
      </c>
      <c r="X95" s="224">
        <f>IF('DM_NHAN_SU'!$B95="","",'CHAM_CONG_THANG'!U95)</f>
        <v/>
      </c>
      <c r="Y95" s="224">
        <f>IF('DM_NHAN_SU'!$B95="","",IF($B95="",0,IF('DM_NHAN_SU'!$Q95&gt;0,'DM_NHAN_SU'!$Q95,IF($G95="Tháng",IF($I95*$J95&gt;0,'DM_NHAN_SU'!$K95/($I95*$J95),0),IF($G95="Ngày",IF($J95&gt;0,'DM_NHAN_SU'!$K95/$J95,0),IF($G95="Giờ",'DM_NHAN_SU'!$K95,0))))))</f>
        <v/>
      </c>
      <c r="Z95" s="224">
        <f>IF('DM_NHAN_SU'!$B95="","",$Y95*($M95*'THAM_SO'!$C$22+'CHAM_CONG_THANG'!$AF95*'THAM_SO'!$C$19+'CHAM_CONG_THANG'!$AG95*'THAM_SO'!$C$20+'CHAM_CONG_THANG'!$AH95*'THAM_SO'!$C$21+'CHAM_CONG_THANG'!$AI95*'THAM_SO'!$C$23+'CHAM_CONG_THANG'!$AJ95*'THAM_SO'!$C$24+'CHAM_CONG_THANG'!$AK95*'THAM_SO'!$C$25))</f>
        <v/>
      </c>
      <c r="AA95" s="224">
        <f>IF('DM_NHAN_SU'!$B95="","",MAX(0,$Y95*($M95*IF('THAM_SO'!$C$22&gt;='THAM_SO'!$B$22,'THAM_SO'!$B$22,0)+'CHAM_CONG_THANG'!$AF95*IF('THAM_SO'!$C$19&gt;='THAM_SO'!$B$19,'THAM_SO'!$B$19,0)+'CHAM_CONG_THANG'!$AG95*IF('THAM_SO'!$C$20&gt;='THAM_SO'!$B$20,'THAM_SO'!$B$20,0)+'CHAM_CONG_THANG'!$AH95*IF('THAM_SO'!$C$21&gt;='THAM_SO'!$B$21,'THAM_SO'!$B$21,0)+'CHAM_CONG_THANG'!$AI95*IF('THAM_SO'!$C$23&gt;='THAM_SO'!$B$23,'THAM_SO'!$B$23,0)+'CHAM_CONG_THANG'!$AJ95*IF('THAM_SO'!$C$24&gt;='THAM_SO'!$B$24,'THAM_SO'!$B$24,0)+'CHAM_CONG_THANG'!$AK95*IF('THAM_SO'!$C$25&gt;='THAM_SO'!$B$25,'THAM_SO'!$B$25,0))-'CHAM_CONG_THANG'!$V95))</f>
        <v/>
      </c>
      <c r="AB95" s="224">
        <f>IF('DM_NHAN_SU'!$B95="","",MAX($Z95-$AA95,0))</f>
        <v/>
      </c>
      <c r="AC95" s="224">
        <f>IF('DM_NHAN_SU'!$B95="","",$O95+$P95+$Q95+$R95+$S95+$V95+$AB95+$BO95+$BP95+$BQ95+$BR95)</f>
        <v/>
      </c>
      <c r="AD95" s="224">
        <f>IF('DM_NHAN_SU'!$B95="","",'DM_NHAN_SU'!N95+'DM_NHAN_SU'!O95+'DM_NHAN_SU'!P95)</f>
        <v/>
      </c>
      <c r="AE95" s="224">
        <f>IF('DM_NHAN_SU'!$B95="","",IF(OR('DM_NHAN_SU'!$R95&lt;&gt;"Có",'CHAM_CONG_THANG'!$AA95="Có",$BL95&gt;=14,$AD95&lt;=0),0,MIN(MAX($AD95,'THAM_SO'!$M$6),'THAM_SO'!$M$7)))</f>
        <v/>
      </c>
      <c r="AF95" s="224">
        <f>IF('DM_NHAN_SU'!$B95="","",IF(OR('DM_NHAN_SU'!$S95&lt;&gt;"Có",'CHAM_CONG_THANG'!$AA95="Có",$BL95&gt;=14,$AD95&lt;=0),0,MIN(MAX($AD95,VLOOKUP($H95,'THAM_SO'!$L$17:$P$20,4,FALSE)),VLOOKUP($H95,'THAM_SO'!$L$17:$P$20,5,FALSE))))</f>
        <v/>
      </c>
      <c r="AG95" s="224">
        <f>IF('DM_NHAN_SU'!$B95="","",$AE95*'THAM_SO'!$M$8)</f>
        <v/>
      </c>
      <c r="AH95" s="224">
        <f>IF('DM_NHAN_SU'!$B95="","",$AE95*'THAM_SO'!$M$9)</f>
        <v/>
      </c>
      <c r="AI95" s="224">
        <f>IF('DM_NHAN_SU'!$B95="","",$AF95*'THAM_SO'!$M$10)</f>
        <v/>
      </c>
      <c r="AJ95" s="224">
        <f>IF('DM_NHAN_SU'!$B95="","",SUM($AG95:$AI95))</f>
        <v/>
      </c>
      <c r="AK95" s="224">
        <f>IF('DM_NHAN_SU'!$B95="","",IF($B95="",0,'THAM_SO'!$F$4))</f>
        <v/>
      </c>
      <c r="AL95" s="224">
        <f>IF('DM_NHAN_SU'!$B95="","",IF($B95="",0,'DM_NHAN_SU'!$T95*'THAM_SO'!$F$5))</f>
        <v/>
      </c>
      <c r="AM95" s="224">
        <f>IF('DM_NHAN_SU'!$B95="","",'CHAM_CONG_THANG'!W95)</f>
        <v/>
      </c>
      <c r="AN95" s="224">
        <f>IF('DM_NHAN_SU'!$B95="","",MAX($AC95-$AK95-$AL95-$AM95,0))</f>
        <v/>
      </c>
      <c r="AO95" s="224">
        <f>IF('DM_NHAN_SU'!$B95="","",IF($B95="","",IF($F95="Net",IF($AC95&lt;=$AK95+$AL95+$AM95,$AC95+$AJ95,$AJ95+$AK95+$AL95+$AM95+IF($AN95&lt;='THAM_SO'!$J$10,($AN95-'THAM_SO'!$I$10)/(1-'THAM_SO'!$H$10),IF($AN95&lt;='THAM_SO'!$J$11,($AN95-'THAM_SO'!$I$11)/(1-'THAM_SO'!$H$11),IF($AN95&lt;='THAM_SO'!$J$12,($AN95-'THAM_SO'!$I$12)/(1-'THAM_SO'!$H$12),IF($AN95&lt;='THAM_SO'!$J$13,($AN95-'THAM_SO'!$I$13)/(1-'THAM_SO'!$H$13),($AN95-'THAM_SO'!$I$14)/(1-'THAM_SO'!$H$14)))))),$AC95)))</f>
        <v/>
      </c>
      <c r="AP95" s="224">
        <f>IF('DM_NHAN_SU'!$B95="","",$U95+$W95+$X95+$AA95+$BS95)</f>
        <v/>
      </c>
      <c r="AQ95" s="224">
        <f>IF('DM_NHAN_SU'!$B95="","",MAX($AO95-$AJ95-$AK95-$AL95-$AM95,0))</f>
        <v/>
      </c>
      <c r="AR95" s="224">
        <f>IF('DM_NHAN_SU'!$B95="","",IF($AQ95&lt;=0,0,$AQ95*VLOOKUP($AQ95,'THAM_SO'!$F$10:$I$14,3,TRUE)-VLOOKUP($AQ95,'THAM_SO'!$F$10:$I$14,4,TRUE)))</f>
        <v/>
      </c>
      <c r="AS95" s="224">
        <f>IF('DM_NHAN_SU'!$B95="","",$AO95+$AP95)</f>
        <v/>
      </c>
      <c r="AT95" s="224">
        <f>IF('DM_NHAN_SU'!$B95="","",$AS95-$AJ95-$AR95)</f>
        <v/>
      </c>
      <c r="AU95" s="224">
        <f>IF('DM_NHAN_SU'!$B95="","",'CHAM_CONG_THANG'!X95)</f>
        <v/>
      </c>
      <c r="AV95" s="224">
        <f>IF('DM_NHAN_SU'!$B95="","",'CHAM_CONG_THANG'!Y95+'QT_NGHI_VIEC'!AD95)</f>
        <v/>
      </c>
      <c r="AW95" s="224">
        <f>IF('DM_NHAN_SU'!$B95="","",'CHAM_CONG_THANG'!Z95)</f>
        <v/>
      </c>
      <c r="AX95" s="224">
        <f>IF('DM_NHAN_SU'!$B95="","",$AT95-$AU95-$AV95-$AW95-$BV95)</f>
        <v/>
      </c>
      <c r="AY95" s="224">
        <f>IF('DM_NHAN_SU'!$B95="","",$AE95*'THAM_SO'!$M$11)</f>
        <v/>
      </c>
      <c r="AZ95" s="224">
        <f>IF('DM_NHAN_SU'!$B95="","",$AE95*'THAM_SO'!$M$12)</f>
        <v/>
      </c>
      <c r="BA95" s="224">
        <f>IF('DM_NHAN_SU'!$B95="","",$AF95*'THAM_SO'!$M$13)</f>
        <v/>
      </c>
      <c r="BB95" s="224">
        <f>IF('DM_NHAN_SU'!$B95="","",$AE95*'THAM_SO'!$M$14)</f>
        <v/>
      </c>
      <c r="BC95" s="224">
        <f>IF('DM_NHAN_SU'!$B95="","",SUM($AY95:$BB95))</f>
        <v/>
      </c>
      <c r="BD95" s="224">
        <f>IF('DM_NHAN_SU'!$B95="","",$AS95+$BC95)</f>
        <v/>
      </c>
      <c r="BE95" s="224">
        <f>IF('DM_NHAN_SU'!$B95="","",VLOOKUP($H95,'THAM_SO'!$L$17:$P$20,2,FALSE))</f>
        <v/>
      </c>
      <c r="BF95" s="224">
        <f>IF('DM_NHAN_SU'!$B95="","",VLOOKUP($H95,'THAM_SO'!$L$17:$P$20,3,FALSE))</f>
        <v/>
      </c>
      <c r="BG95" s="150">
        <f>IF('DM_NHAN_SU'!$B95="","",IF($B95="","",IF(COUNTIF('DM_NHAN_SU'!$B$6:$B$155,$B95)&gt;1,"Trùng mã NV; ","")&amp;IF(OR($F95="",$G95=""),"Thiếu loại/hình thức lương; ","")&amp;IF('CHAM_CONG_THANG'!$D95="","Chưa chọn nguồn công; ","")&amp;IF(AND('CHAM_CONG_THANG'!$D95="Theo ngày",COUNTIF('CHAM_CONG_NGAY'!$B$6:$B$4655,$B95)=0),"Chưa có chấm công ngày; ","")&amp;IF(OR($I95&lt;=0,$J95&lt;=0),"Thiếu công/giờ chuẩn; ","")&amp;IF(AND($G95="Tháng",'DM_NHAN_SU'!$K95&lt;$BE95),"Lương tháng dưới tối thiểu vùng; ","")&amp;IF(AND($G95="Ngày",'DM_NHAN_SU'!$K95/$J95&lt;$BF95),"Lương ngày quy đổi dưới tối thiểu giờ; ","")&amp;IF(AND($G95="Giờ",'DM_NHAN_SU'!$K95&lt;$BF95),"Lương giờ dưới tối thiểu vùng; ","")&amp;IF(AND($G95="Sản phẩm",$L95&gt;0,$O95/$L95&lt;$BF95),"Lương SP quy đổi dưới tối thiểu giờ; ","")&amp;IF(OR('THAM_SO'!$C$19&lt;'THAM_SO'!$B$19,'THAM_SO'!$C$20&lt;'THAM_SO'!$B$20,'THAM_SO'!$C$21&lt;'THAM_SO'!$B$21,'THAM_SO'!$C$22&lt;'THAM_SO'!$B$22,'THAM_SO'!$C$23&lt;'THAM_SO'!$B$23,'THAM_SO'!$C$24&lt;'THAM_SO'!$B$24,'THAM_SO'!$C$25&lt;'THAM_SO'!$B$25),"Hệ số OT/đêm DN thấp hơn luật; ","")&amp;IF(AND('DM_NHAN_SU'!$R95="Có",$AD95&lt;=0),"Thiếu căn cứ đóng BH; ","")&amp;IF(AND($AD95&gt;0,$AD95&lt;'THAM_SO'!$M$6),"Căn cứ BH dưới sàn – đã nâng sàn; ","")&amp;IF($AD95&gt;'THAM_SO'!$M$7,"Căn cứ BH vượt trần – đã giới hạn; ","")&amp;IF(AND($F95="Net",SUM('CHAM_CONG_THANG'!$AF95:$AK95)&gt;0,'DM_NHAN_SU'!$Q95&lt;=0),"Net có OT nhưng chưa khai lương giờ OT; ","")&amp;IF('CHAM_CONG_THANG'!$V95&gt;$Z95,"Phần OT không miễn lớn hơn tiền OT; ","")&amp;IF(AND($F95="Net",ABS($AT95-$AC95-$AP95)&gt;1),"Lệch quy đổi Net; ","")&amp;IF(AND($BH95&gt;0,'DM_NHAN_SU'!$AD95=""),"Có phép năm nhưng đang tạm dùng 12 ngày; ","")&amp;IF(AND($G95="Sản phẩm",SUM($BH95:$BJ95)&gt;0,'DM_NHAN_SU'!$AH95&lt;=0),"Lương sản phẩm thiếu đơn giá ngày phép/lễ; ","")&amp;IF(AND($BL95&gt;=14,'CHAM_CONG_THANG'!$AA95&lt;&gt;"Có"),"Thai sản từ 14 ngày: file tự dừng đóng BH – kiểm tra hồ sơ; ","")&amp;IF(AND('DM_NHAN_SU'!$AA95="Có",'DM_NHAN_SU'!$AB95=""),"Đoàn viên chưa chọn cách tính đoàn phí; ","")&amp;IF(AND('DM_NHAN_SU'!$AB95="Nhập tay",'DM_NHAN_SU'!$AC95&gt;'THAM_SO'!$M$26),"Đoàn phí nhập tay vượt trần thông dụng; ","")&amp;IF('NGHI_PHEP'!$L95&lt;&gt;"","Phép: "&amp;'NGHI_PHEP'!$L95,"")&amp;IF('CHE_DO_BHXH'!$AA95&lt;&gt;"","BHXH: "&amp;'CHE_DO_BHXH'!$AA95,"")&amp;IF('THUONG_T13_TET'!$O95&lt;&gt;"","Thưởng: "&amp;'THUONG_T13_TET'!$O95,"")&amp;IF('QT_NGHI_VIEC'!$AF95&lt;&gt;"","Nghỉ việc: "&amp;'QT_NGHI_VIEC'!$AF95,"")&amp;IF($AX95&lt;0,"Thực lĩnh âm; ","")&amp;IF(OR('DM_NHAN_SU'!$F95&gt;'THAM_SO'!$B$7,AND('DM_NHAN_SU'!$G95&lt;&gt;"",'DM_NHAN_SU'!$G95&lt;'THAM_SO'!$B$6)),"Ngoài kỳ trả lương; ","")))</f>
        <v/>
      </c>
      <c r="BH95" s="232">
        <f>IF('DM_NHAN_SU'!$B95="","",'CHAM_CONG_THANG'!AR95)</f>
        <v/>
      </c>
      <c r="BI95" s="232">
        <f>IF('DM_NHAN_SU'!$B95="","",'CHAM_CONG_THANG'!AS95)</f>
        <v/>
      </c>
      <c r="BJ95" s="232">
        <f>IF('DM_NHAN_SU'!$B95="","",'CHAM_CONG_THANG'!AT95)</f>
        <v/>
      </c>
      <c r="BK95" s="232">
        <f>IF('DM_NHAN_SU'!$B95="","",'CHAM_CONG_THANG'!AU95)</f>
        <v/>
      </c>
      <c r="BL95" s="232">
        <f>IF('DM_NHAN_SU'!$B95="","",'CHAM_CONG_THANG'!AV95)</f>
        <v/>
      </c>
      <c r="BM95" s="232">
        <f>IF('DM_NHAN_SU'!$B95="","",'CHAM_CONG_THANG'!AW95)</f>
        <v/>
      </c>
      <c r="BN95" s="232">
        <f>IF('DM_NHAN_SU'!$B95="","",SUM($K95,$BH95:$BJ95))</f>
        <v/>
      </c>
      <c r="BO95" s="224">
        <f>IF('DM_NHAN_SU'!$B95="","",IF($B95="",0,IF($G95="Tháng",IF($I95&gt;0,'DM_NHAN_SU'!$K95*MIN($BH95+$BJ95,MAX($I95-$K95,0))/$I95,0),IF($G95="Ngày",'DM_NHAN_SU'!$K95*SUM($BH95:$BJ95),IF($G95="Giờ",'DM_NHAN_SU'!$K95*SUM($BH95:$BJ95)*$J95,IF($G95="Sản phẩm",'DM_NHAN_SU'!$AH95*SUM($BH95:$BJ95),0))))))</f>
        <v/>
      </c>
      <c r="BP95" s="224">
        <f>IF('DM_NHAN_SU'!$B95="","",IF('THUONG_T13_TET'!$L95="Có",'THUONG_T13_TET'!$I95,0))</f>
        <v/>
      </c>
      <c r="BQ95" s="224">
        <f>IF('DM_NHAN_SU'!$B95="","",IF('THUONG_T13_TET'!$L95="Có",SUM('THUONG_T13_TET'!$J95:$K95),0))</f>
        <v/>
      </c>
      <c r="BR95" s="224">
        <f>IF('DM_NHAN_SU'!$B95="","",'QT_NGHI_VIEC'!AC95)</f>
        <v/>
      </c>
      <c r="BS95" s="224">
        <f>IF('DM_NHAN_SU'!$B95="","",'QT_NGHI_VIEC'!AB95)</f>
        <v/>
      </c>
      <c r="BT95" s="224">
        <f>IF('DM_NHAN_SU'!$B95="","",IF('CHE_DO_BHXH'!$Z95="Có",'CHE_DO_BHXH'!$W95,0))</f>
        <v/>
      </c>
      <c r="BU95" s="224">
        <f>IF('DM_NHAN_SU'!$B95="","",IF('CHE_DO_BHXH'!$Y95="DN trả thay",$BT95,0))</f>
        <v/>
      </c>
      <c r="BV95" s="224">
        <f>IF('DM_NHAN_SU'!$B95="","",IF(OR('DM_NHAN_SU'!$AA95&lt;&gt;"Có",'CHE_DO_BHXH'!$O95&gt;=1,SUM('CHE_DO_BHXH'!$D95,'CHE_DO_BHXH'!$G95,'CHE_DO_BHXH'!$K95)&gt;=24,AND($I95&gt;0,$BM95&gt;=$I95)),0,IF('DM_NHAN_SU'!$AB95="Không",0,IF('DM_NHAN_SU'!$AB95="Nhập tay",'DM_NHAN_SU'!$AC95,IF('DM_NHAN_SU'!$AB95="Theo thực nhận",MIN(MAX($AT95-$AU95-$AV95-$AW95,0)*'THAM_SO'!$M$23,'THAM_SO'!$M$26),MIN($AE95*'THAM_SO'!$M$23,'THAM_SO'!$M$26))))))</f>
        <v/>
      </c>
      <c r="BW95" s="224">
        <f>IF('DM_NHAN_SU'!$B95="","",$AX95+$BU95)</f>
        <v/>
      </c>
    </row>
    <row r="96">
      <c r="A96" s="145">
        <f>IF('DM_NHAN_SU'!$B96="","",IF($B96="","",ROW()-5))</f>
        <v/>
      </c>
      <c r="B96" s="145">
        <f>IF('DM_NHAN_SU'!$B96="","",'DM_NHAN_SU'!B96)</f>
        <v/>
      </c>
      <c r="C96" s="145">
        <f>IF('DM_NHAN_SU'!$B96="","",'DM_NHAN_SU'!C96)</f>
        <v/>
      </c>
      <c r="D96" s="145">
        <f>IF('DM_NHAN_SU'!$B96="","",'DM_NHAN_SU'!D96)</f>
        <v/>
      </c>
      <c r="E96" s="145">
        <f>IF('DM_NHAN_SU'!$B96="","",'DM_NHAN_SU'!E96)</f>
        <v/>
      </c>
      <c r="F96" s="145">
        <f>IF('DM_NHAN_SU'!$B96="","",'DM_NHAN_SU'!I96)</f>
        <v/>
      </c>
      <c r="G96" s="145">
        <f>IF('DM_NHAN_SU'!$B96="","",'DM_NHAN_SU'!J96)</f>
        <v/>
      </c>
      <c r="H96" s="145">
        <f>IF('DM_NHAN_SU'!$B96="","",IF('DM_NHAN_SU'!H96="",'THAM_SO'!$B$11,'DM_NHAN_SU'!H96))</f>
        <v/>
      </c>
      <c r="I96" s="232">
        <f>IF('DM_NHAN_SU'!$B96="","",IF('DM_NHAN_SU'!L96&gt;0,'DM_NHAN_SU'!L96,'THAM_SO'!$B$9))</f>
        <v/>
      </c>
      <c r="J96" s="232">
        <f>IF('DM_NHAN_SU'!$B96="","",IF('DM_NHAN_SU'!M96&gt;0,'DM_NHAN_SU'!M96,'THAM_SO'!$B$10))</f>
        <v/>
      </c>
      <c r="K96" s="232">
        <f>IF('DM_NHAN_SU'!$B96="","",'CHAM_CONG_THANG'!AC96)</f>
        <v/>
      </c>
      <c r="L96" s="232">
        <f>IF('DM_NHAN_SU'!$B96="","",'CHAM_CONG_THANG'!AD96)</f>
        <v/>
      </c>
      <c r="M96" s="232">
        <f>IF('DM_NHAN_SU'!$B96="","",'CHAM_CONG_THANG'!AE96)</f>
        <v/>
      </c>
      <c r="N96" s="232">
        <f>IF('DM_NHAN_SU'!$B96="","",'CHAM_CONG_THANG'!N96)</f>
        <v/>
      </c>
      <c r="O96" s="224">
        <f>IF('DM_NHAN_SU'!$B96="","",IF($B96="","",IF($G96="Tháng",IF($I96&gt;0,'DM_NHAN_SU'!$K96*MIN($K96,$I96)/$I96,0),IF($G96="Ngày",'DM_NHAN_SU'!$K96*$K96,IF($G96="Giờ",'DM_NHAN_SU'!$K96*$L96,IF($G96="Sản phẩm",'DM_NHAN_SU'!$K96*$N96,0))))))</f>
        <v/>
      </c>
      <c r="P96" s="224">
        <f>IF('DM_NHAN_SU'!$B96="","",'CHAM_CONG_THANG'!O96)</f>
        <v/>
      </c>
      <c r="Q96" s="224">
        <f>IF('DM_NHAN_SU'!$B96="","",'CHAM_CONG_THANG'!P96)</f>
        <v/>
      </c>
      <c r="R96" s="224">
        <f>IF('DM_NHAN_SU'!$B96="","",'CHAM_CONG_THANG'!Q96)</f>
        <v/>
      </c>
      <c r="S96" s="224">
        <f>IF('DM_NHAN_SU'!$B96="","",'CHAM_CONG_THANG'!R96)</f>
        <v/>
      </c>
      <c r="T96" s="224">
        <f>IF('DM_NHAN_SU'!$B96="","",'CHAM_CONG_THANG'!S96)</f>
        <v/>
      </c>
      <c r="U96" s="224">
        <f>IF('DM_NHAN_SU'!$B96="","",MIN($T96,'THAM_SO'!$F$6))</f>
        <v/>
      </c>
      <c r="V96" s="224">
        <f>IF('DM_NHAN_SU'!$B96="","",MAX($T96-$U96,0))</f>
        <v/>
      </c>
      <c r="W96" s="224">
        <f>IF('DM_NHAN_SU'!$B96="","",'CHAM_CONG_THANG'!T96)</f>
        <v/>
      </c>
      <c r="X96" s="224">
        <f>IF('DM_NHAN_SU'!$B96="","",'CHAM_CONG_THANG'!U96)</f>
        <v/>
      </c>
      <c r="Y96" s="224">
        <f>IF('DM_NHAN_SU'!$B96="","",IF($B96="",0,IF('DM_NHAN_SU'!$Q96&gt;0,'DM_NHAN_SU'!$Q96,IF($G96="Tháng",IF($I96*$J96&gt;0,'DM_NHAN_SU'!$K96/($I96*$J96),0),IF($G96="Ngày",IF($J96&gt;0,'DM_NHAN_SU'!$K96/$J96,0),IF($G96="Giờ",'DM_NHAN_SU'!$K96,0))))))</f>
        <v/>
      </c>
      <c r="Z96" s="224">
        <f>IF('DM_NHAN_SU'!$B96="","",$Y96*($M96*'THAM_SO'!$C$22+'CHAM_CONG_THANG'!$AF96*'THAM_SO'!$C$19+'CHAM_CONG_THANG'!$AG96*'THAM_SO'!$C$20+'CHAM_CONG_THANG'!$AH96*'THAM_SO'!$C$21+'CHAM_CONG_THANG'!$AI96*'THAM_SO'!$C$23+'CHAM_CONG_THANG'!$AJ96*'THAM_SO'!$C$24+'CHAM_CONG_THANG'!$AK96*'THAM_SO'!$C$25))</f>
        <v/>
      </c>
      <c r="AA96" s="224">
        <f>IF('DM_NHAN_SU'!$B96="","",MAX(0,$Y96*($M96*IF('THAM_SO'!$C$22&gt;='THAM_SO'!$B$22,'THAM_SO'!$B$22,0)+'CHAM_CONG_THANG'!$AF96*IF('THAM_SO'!$C$19&gt;='THAM_SO'!$B$19,'THAM_SO'!$B$19,0)+'CHAM_CONG_THANG'!$AG96*IF('THAM_SO'!$C$20&gt;='THAM_SO'!$B$20,'THAM_SO'!$B$20,0)+'CHAM_CONG_THANG'!$AH96*IF('THAM_SO'!$C$21&gt;='THAM_SO'!$B$21,'THAM_SO'!$B$21,0)+'CHAM_CONG_THANG'!$AI96*IF('THAM_SO'!$C$23&gt;='THAM_SO'!$B$23,'THAM_SO'!$B$23,0)+'CHAM_CONG_THANG'!$AJ96*IF('THAM_SO'!$C$24&gt;='THAM_SO'!$B$24,'THAM_SO'!$B$24,0)+'CHAM_CONG_THANG'!$AK96*IF('THAM_SO'!$C$25&gt;='THAM_SO'!$B$25,'THAM_SO'!$B$25,0))-'CHAM_CONG_THANG'!$V96))</f>
        <v/>
      </c>
      <c r="AB96" s="224">
        <f>IF('DM_NHAN_SU'!$B96="","",MAX($Z96-$AA96,0))</f>
        <v/>
      </c>
      <c r="AC96" s="224">
        <f>IF('DM_NHAN_SU'!$B96="","",$O96+$P96+$Q96+$R96+$S96+$V96+$AB96+$BO96+$BP96+$BQ96+$BR96)</f>
        <v/>
      </c>
      <c r="AD96" s="224">
        <f>IF('DM_NHAN_SU'!$B96="","",'DM_NHAN_SU'!N96+'DM_NHAN_SU'!O96+'DM_NHAN_SU'!P96)</f>
        <v/>
      </c>
      <c r="AE96" s="224">
        <f>IF('DM_NHAN_SU'!$B96="","",IF(OR('DM_NHAN_SU'!$R96&lt;&gt;"Có",'CHAM_CONG_THANG'!$AA96="Có",$BL96&gt;=14,$AD96&lt;=0),0,MIN(MAX($AD96,'THAM_SO'!$M$6),'THAM_SO'!$M$7)))</f>
        <v/>
      </c>
      <c r="AF96" s="224">
        <f>IF('DM_NHAN_SU'!$B96="","",IF(OR('DM_NHAN_SU'!$S96&lt;&gt;"Có",'CHAM_CONG_THANG'!$AA96="Có",$BL96&gt;=14,$AD96&lt;=0),0,MIN(MAX($AD96,VLOOKUP($H96,'THAM_SO'!$L$17:$P$20,4,FALSE)),VLOOKUP($H96,'THAM_SO'!$L$17:$P$20,5,FALSE))))</f>
        <v/>
      </c>
      <c r="AG96" s="224">
        <f>IF('DM_NHAN_SU'!$B96="","",$AE96*'THAM_SO'!$M$8)</f>
        <v/>
      </c>
      <c r="AH96" s="224">
        <f>IF('DM_NHAN_SU'!$B96="","",$AE96*'THAM_SO'!$M$9)</f>
        <v/>
      </c>
      <c r="AI96" s="224">
        <f>IF('DM_NHAN_SU'!$B96="","",$AF96*'THAM_SO'!$M$10)</f>
        <v/>
      </c>
      <c r="AJ96" s="224">
        <f>IF('DM_NHAN_SU'!$B96="","",SUM($AG96:$AI96))</f>
        <v/>
      </c>
      <c r="AK96" s="224">
        <f>IF('DM_NHAN_SU'!$B96="","",IF($B96="",0,'THAM_SO'!$F$4))</f>
        <v/>
      </c>
      <c r="AL96" s="224">
        <f>IF('DM_NHAN_SU'!$B96="","",IF($B96="",0,'DM_NHAN_SU'!$T96*'THAM_SO'!$F$5))</f>
        <v/>
      </c>
      <c r="AM96" s="224">
        <f>IF('DM_NHAN_SU'!$B96="","",'CHAM_CONG_THANG'!W96)</f>
        <v/>
      </c>
      <c r="AN96" s="224">
        <f>IF('DM_NHAN_SU'!$B96="","",MAX($AC96-$AK96-$AL96-$AM96,0))</f>
        <v/>
      </c>
      <c r="AO96" s="224">
        <f>IF('DM_NHAN_SU'!$B96="","",IF($B96="","",IF($F96="Net",IF($AC96&lt;=$AK96+$AL96+$AM96,$AC96+$AJ96,$AJ96+$AK96+$AL96+$AM96+IF($AN96&lt;='THAM_SO'!$J$10,($AN96-'THAM_SO'!$I$10)/(1-'THAM_SO'!$H$10),IF($AN96&lt;='THAM_SO'!$J$11,($AN96-'THAM_SO'!$I$11)/(1-'THAM_SO'!$H$11),IF($AN96&lt;='THAM_SO'!$J$12,($AN96-'THAM_SO'!$I$12)/(1-'THAM_SO'!$H$12),IF($AN96&lt;='THAM_SO'!$J$13,($AN96-'THAM_SO'!$I$13)/(1-'THAM_SO'!$H$13),($AN96-'THAM_SO'!$I$14)/(1-'THAM_SO'!$H$14)))))),$AC96)))</f>
        <v/>
      </c>
      <c r="AP96" s="224">
        <f>IF('DM_NHAN_SU'!$B96="","",$U96+$W96+$X96+$AA96+$BS96)</f>
        <v/>
      </c>
      <c r="AQ96" s="224">
        <f>IF('DM_NHAN_SU'!$B96="","",MAX($AO96-$AJ96-$AK96-$AL96-$AM96,0))</f>
        <v/>
      </c>
      <c r="AR96" s="224">
        <f>IF('DM_NHAN_SU'!$B96="","",IF($AQ96&lt;=0,0,$AQ96*VLOOKUP($AQ96,'THAM_SO'!$F$10:$I$14,3,TRUE)-VLOOKUP($AQ96,'THAM_SO'!$F$10:$I$14,4,TRUE)))</f>
        <v/>
      </c>
      <c r="AS96" s="224">
        <f>IF('DM_NHAN_SU'!$B96="","",$AO96+$AP96)</f>
        <v/>
      </c>
      <c r="AT96" s="224">
        <f>IF('DM_NHAN_SU'!$B96="","",$AS96-$AJ96-$AR96)</f>
        <v/>
      </c>
      <c r="AU96" s="224">
        <f>IF('DM_NHAN_SU'!$B96="","",'CHAM_CONG_THANG'!X96)</f>
        <v/>
      </c>
      <c r="AV96" s="224">
        <f>IF('DM_NHAN_SU'!$B96="","",'CHAM_CONG_THANG'!Y96+'QT_NGHI_VIEC'!AD96)</f>
        <v/>
      </c>
      <c r="AW96" s="224">
        <f>IF('DM_NHAN_SU'!$B96="","",'CHAM_CONG_THANG'!Z96)</f>
        <v/>
      </c>
      <c r="AX96" s="224">
        <f>IF('DM_NHAN_SU'!$B96="","",$AT96-$AU96-$AV96-$AW96-$BV96)</f>
        <v/>
      </c>
      <c r="AY96" s="224">
        <f>IF('DM_NHAN_SU'!$B96="","",$AE96*'THAM_SO'!$M$11)</f>
        <v/>
      </c>
      <c r="AZ96" s="224">
        <f>IF('DM_NHAN_SU'!$B96="","",$AE96*'THAM_SO'!$M$12)</f>
        <v/>
      </c>
      <c r="BA96" s="224">
        <f>IF('DM_NHAN_SU'!$B96="","",$AF96*'THAM_SO'!$M$13)</f>
        <v/>
      </c>
      <c r="BB96" s="224">
        <f>IF('DM_NHAN_SU'!$B96="","",$AE96*'THAM_SO'!$M$14)</f>
        <v/>
      </c>
      <c r="BC96" s="224">
        <f>IF('DM_NHAN_SU'!$B96="","",SUM($AY96:$BB96))</f>
        <v/>
      </c>
      <c r="BD96" s="224">
        <f>IF('DM_NHAN_SU'!$B96="","",$AS96+$BC96)</f>
        <v/>
      </c>
      <c r="BE96" s="224">
        <f>IF('DM_NHAN_SU'!$B96="","",VLOOKUP($H96,'THAM_SO'!$L$17:$P$20,2,FALSE))</f>
        <v/>
      </c>
      <c r="BF96" s="224">
        <f>IF('DM_NHAN_SU'!$B96="","",VLOOKUP($H96,'THAM_SO'!$L$17:$P$20,3,FALSE))</f>
        <v/>
      </c>
      <c r="BG96" s="150">
        <f>IF('DM_NHAN_SU'!$B96="","",IF($B96="","",IF(COUNTIF('DM_NHAN_SU'!$B$6:$B$155,$B96)&gt;1,"Trùng mã NV; ","")&amp;IF(OR($F96="",$G96=""),"Thiếu loại/hình thức lương; ","")&amp;IF('CHAM_CONG_THANG'!$D96="","Chưa chọn nguồn công; ","")&amp;IF(AND('CHAM_CONG_THANG'!$D96="Theo ngày",COUNTIF('CHAM_CONG_NGAY'!$B$6:$B$4655,$B96)=0),"Chưa có chấm công ngày; ","")&amp;IF(OR($I96&lt;=0,$J96&lt;=0),"Thiếu công/giờ chuẩn; ","")&amp;IF(AND($G96="Tháng",'DM_NHAN_SU'!$K96&lt;$BE96),"Lương tháng dưới tối thiểu vùng; ","")&amp;IF(AND($G96="Ngày",'DM_NHAN_SU'!$K96/$J96&lt;$BF96),"Lương ngày quy đổi dưới tối thiểu giờ; ","")&amp;IF(AND($G96="Giờ",'DM_NHAN_SU'!$K96&lt;$BF96),"Lương giờ dưới tối thiểu vùng; ","")&amp;IF(AND($G96="Sản phẩm",$L96&gt;0,$O96/$L96&lt;$BF96),"Lương SP quy đổi dưới tối thiểu giờ; ","")&amp;IF(OR('THAM_SO'!$C$19&lt;'THAM_SO'!$B$19,'THAM_SO'!$C$20&lt;'THAM_SO'!$B$20,'THAM_SO'!$C$21&lt;'THAM_SO'!$B$21,'THAM_SO'!$C$22&lt;'THAM_SO'!$B$22,'THAM_SO'!$C$23&lt;'THAM_SO'!$B$23,'THAM_SO'!$C$24&lt;'THAM_SO'!$B$24,'THAM_SO'!$C$25&lt;'THAM_SO'!$B$25),"Hệ số OT/đêm DN thấp hơn luật; ","")&amp;IF(AND('DM_NHAN_SU'!$R96="Có",$AD96&lt;=0),"Thiếu căn cứ đóng BH; ","")&amp;IF(AND($AD96&gt;0,$AD96&lt;'THAM_SO'!$M$6),"Căn cứ BH dưới sàn – đã nâng sàn; ","")&amp;IF($AD96&gt;'THAM_SO'!$M$7,"Căn cứ BH vượt trần – đã giới hạn; ","")&amp;IF(AND($F96="Net",SUM('CHAM_CONG_THANG'!$AF96:$AK96)&gt;0,'DM_NHAN_SU'!$Q96&lt;=0),"Net có OT nhưng chưa khai lương giờ OT; ","")&amp;IF('CHAM_CONG_THANG'!$V96&gt;$Z96,"Phần OT không miễn lớn hơn tiền OT; ","")&amp;IF(AND($F96="Net",ABS($AT96-$AC96-$AP96)&gt;1),"Lệch quy đổi Net; ","")&amp;IF(AND($BH96&gt;0,'DM_NHAN_SU'!$AD96=""),"Có phép năm nhưng đang tạm dùng 12 ngày; ","")&amp;IF(AND($G96="Sản phẩm",SUM($BH96:$BJ96)&gt;0,'DM_NHAN_SU'!$AH96&lt;=0),"Lương sản phẩm thiếu đơn giá ngày phép/lễ; ","")&amp;IF(AND($BL96&gt;=14,'CHAM_CONG_THANG'!$AA96&lt;&gt;"Có"),"Thai sản từ 14 ngày: file tự dừng đóng BH – kiểm tra hồ sơ; ","")&amp;IF(AND('DM_NHAN_SU'!$AA96="Có",'DM_NHAN_SU'!$AB96=""),"Đoàn viên chưa chọn cách tính đoàn phí; ","")&amp;IF(AND('DM_NHAN_SU'!$AB96="Nhập tay",'DM_NHAN_SU'!$AC96&gt;'THAM_SO'!$M$26),"Đoàn phí nhập tay vượt trần thông dụng; ","")&amp;IF('NGHI_PHEP'!$L96&lt;&gt;"","Phép: "&amp;'NGHI_PHEP'!$L96,"")&amp;IF('CHE_DO_BHXH'!$AA96&lt;&gt;"","BHXH: "&amp;'CHE_DO_BHXH'!$AA96,"")&amp;IF('THUONG_T13_TET'!$O96&lt;&gt;"","Thưởng: "&amp;'THUONG_T13_TET'!$O96,"")&amp;IF('QT_NGHI_VIEC'!$AF96&lt;&gt;"","Nghỉ việc: "&amp;'QT_NGHI_VIEC'!$AF96,"")&amp;IF($AX96&lt;0,"Thực lĩnh âm; ","")&amp;IF(OR('DM_NHAN_SU'!$F96&gt;'THAM_SO'!$B$7,AND('DM_NHAN_SU'!$G96&lt;&gt;"",'DM_NHAN_SU'!$G96&lt;'THAM_SO'!$B$6)),"Ngoài kỳ trả lương; ","")))</f>
        <v/>
      </c>
      <c r="BH96" s="232">
        <f>IF('DM_NHAN_SU'!$B96="","",'CHAM_CONG_THANG'!AR96)</f>
        <v/>
      </c>
      <c r="BI96" s="232">
        <f>IF('DM_NHAN_SU'!$B96="","",'CHAM_CONG_THANG'!AS96)</f>
        <v/>
      </c>
      <c r="BJ96" s="232">
        <f>IF('DM_NHAN_SU'!$B96="","",'CHAM_CONG_THANG'!AT96)</f>
        <v/>
      </c>
      <c r="BK96" s="232">
        <f>IF('DM_NHAN_SU'!$B96="","",'CHAM_CONG_THANG'!AU96)</f>
        <v/>
      </c>
      <c r="BL96" s="232">
        <f>IF('DM_NHAN_SU'!$B96="","",'CHAM_CONG_THANG'!AV96)</f>
        <v/>
      </c>
      <c r="BM96" s="232">
        <f>IF('DM_NHAN_SU'!$B96="","",'CHAM_CONG_THANG'!AW96)</f>
        <v/>
      </c>
      <c r="BN96" s="232">
        <f>IF('DM_NHAN_SU'!$B96="","",SUM($K96,$BH96:$BJ96))</f>
        <v/>
      </c>
      <c r="BO96" s="224">
        <f>IF('DM_NHAN_SU'!$B96="","",IF($B96="",0,IF($G96="Tháng",IF($I96&gt;0,'DM_NHAN_SU'!$K96*MIN($BH96+$BJ96,MAX($I96-$K96,0))/$I96,0),IF($G96="Ngày",'DM_NHAN_SU'!$K96*SUM($BH96:$BJ96),IF($G96="Giờ",'DM_NHAN_SU'!$K96*SUM($BH96:$BJ96)*$J96,IF($G96="Sản phẩm",'DM_NHAN_SU'!$AH96*SUM($BH96:$BJ96),0))))))</f>
        <v/>
      </c>
      <c r="BP96" s="224">
        <f>IF('DM_NHAN_SU'!$B96="","",IF('THUONG_T13_TET'!$L96="Có",'THUONG_T13_TET'!$I96,0))</f>
        <v/>
      </c>
      <c r="BQ96" s="224">
        <f>IF('DM_NHAN_SU'!$B96="","",IF('THUONG_T13_TET'!$L96="Có",SUM('THUONG_T13_TET'!$J96:$K96),0))</f>
        <v/>
      </c>
      <c r="BR96" s="224">
        <f>IF('DM_NHAN_SU'!$B96="","",'QT_NGHI_VIEC'!AC96)</f>
        <v/>
      </c>
      <c r="BS96" s="224">
        <f>IF('DM_NHAN_SU'!$B96="","",'QT_NGHI_VIEC'!AB96)</f>
        <v/>
      </c>
      <c r="BT96" s="224">
        <f>IF('DM_NHAN_SU'!$B96="","",IF('CHE_DO_BHXH'!$Z96="Có",'CHE_DO_BHXH'!$W96,0))</f>
        <v/>
      </c>
      <c r="BU96" s="224">
        <f>IF('DM_NHAN_SU'!$B96="","",IF('CHE_DO_BHXH'!$Y96="DN trả thay",$BT96,0))</f>
        <v/>
      </c>
      <c r="BV96" s="224">
        <f>IF('DM_NHAN_SU'!$B96="","",IF(OR('DM_NHAN_SU'!$AA96&lt;&gt;"Có",'CHE_DO_BHXH'!$O96&gt;=1,SUM('CHE_DO_BHXH'!$D96,'CHE_DO_BHXH'!$G96,'CHE_DO_BHXH'!$K96)&gt;=24,AND($I96&gt;0,$BM96&gt;=$I96)),0,IF('DM_NHAN_SU'!$AB96="Không",0,IF('DM_NHAN_SU'!$AB96="Nhập tay",'DM_NHAN_SU'!$AC96,IF('DM_NHAN_SU'!$AB96="Theo thực nhận",MIN(MAX($AT96-$AU96-$AV96-$AW96,0)*'THAM_SO'!$M$23,'THAM_SO'!$M$26),MIN($AE96*'THAM_SO'!$M$23,'THAM_SO'!$M$26))))))</f>
        <v/>
      </c>
      <c r="BW96" s="224">
        <f>IF('DM_NHAN_SU'!$B96="","",$AX96+$BU96)</f>
        <v/>
      </c>
    </row>
    <row r="97">
      <c r="A97" s="145">
        <f>IF('DM_NHAN_SU'!$B97="","",IF($B97="","",ROW()-5))</f>
        <v/>
      </c>
      <c r="B97" s="145">
        <f>IF('DM_NHAN_SU'!$B97="","",'DM_NHAN_SU'!B97)</f>
        <v/>
      </c>
      <c r="C97" s="145">
        <f>IF('DM_NHAN_SU'!$B97="","",'DM_NHAN_SU'!C97)</f>
        <v/>
      </c>
      <c r="D97" s="145">
        <f>IF('DM_NHAN_SU'!$B97="","",'DM_NHAN_SU'!D97)</f>
        <v/>
      </c>
      <c r="E97" s="145">
        <f>IF('DM_NHAN_SU'!$B97="","",'DM_NHAN_SU'!E97)</f>
        <v/>
      </c>
      <c r="F97" s="145">
        <f>IF('DM_NHAN_SU'!$B97="","",'DM_NHAN_SU'!I97)</f>
        <v/>
      </c>
      <c r="G97" s="145">
        <f>IF('DM_NHAN_SU'!$B97="","",'DM_NHAN_SU'!J97)</f>
        <v/>
      </c>
      <c r="H97" s="145">
        <f>IF('DM_NHAN_SU'!$B97="","",IF('DM_NHAN_SU'!H97="",'THAM_SO'!$B$11,'DM_NHAN_SU'!H97))</f>
        <v/>
      </c>
      <c r="I97" s="232">
        <f>IF('DM_NHAN_SU'!$B97="","",IF('DM_NHAN_SU'!L97&gt;0,'DM_NHAN_SU'!L97,'THAM_SO'!$B$9))</f>
        <v/>
      </c>
      <c r="J97" s="232">
        <f>IF('DM_NHAN_SU'!$B97="","",IF('DM_NHAN_SU'!M97&gt;0,'DM_NHAN_SU'!M97,'THAM_SO'!$B$10))</f>
        <v/>
      </c>
      <c r="K97" s="232">
        <f>IF('DM_NHAN_SU'!$B97="","",'CHAM_CONG_THANG'!AC97)</f>
        <v/>
      </c>
      <c r="L97" s="232">
        <f>IF('DM_NHAN_SU'!$B97="","",'CHAM_CONG_THANG'!AD97)</f>
        <v/>
      </c>
      <c r="M97" s="232">
        <f>IF('DM_NHAN_SU'!$B97="","",'CHAM_CONG_THANG'!AE97)</f>
        <v/>
      </c>
      <c r="N97" s="232">
        <f>IF('DM_NHAN_SU'!$B97="","",'CHAM_CONG_THANG'!N97)</f>
        <v/>
      </c>
      <c r="O97" s="224">
        <f>IF('DM_NHAN_SU'!$B97="","",IF($B97="","",IF($G97="Tháng",IF($I97&gt;0,'DM_NHAN_SU'!$K97*MIN($K97,$I97)/$I97,0),IF($G97="Ngày",'DM_NHAN_SU'!$K97*$K97,IF($G97="Giờ",'DM_NHAN_SU'!$K97*$L97,IF($G97="Sản phẩm",'DM_NHAN_SU'!$K97*$N97,0))))))</f>
        <v/>
      </c>
      <c r="P97" s="224">
        <f>IF('DM_NHAN_SU'!$B97="","",'CHAM_CONG_THANG'!O97)</f>
        <v/>
      </c>
      <c r="Q97" s="224">
        <f>IF('DM_NHAN_SU'!$B97="","",'CHAM_CONG_THANG'!P97)</f>
        <v/>
      </c>
      <c r="R97" s="224">
        <f>IF('DM_NHAN_SU'!$B97="","",'CHAM_CONG_THANG'!Q97)</f>
        <v/>
      </c>
      <c r="S97" s="224">
        <f>IF('DM_NHAN_SU'!$B97="","",'CHAM_CONG_THANG'!R97)</f>
        <v/>
      </c>
      <c r="T97" s="224">
        <f>IF('DM_NHAN_SU'!$B97="","",'CHAM_CONG_THANG'!S97)</f>
        <v/>
      </c>
      <c r="U97" s="224">
        <f>IF('DM_NHAN_SU'!$B97="","",MIN($T97,'THAM_SO'!$F$6))</f>
        <v/>
      </c>
      <c r="V97" s="224">
        <f>IF('DM_NHAN_SU'!$B97="","",MAX($T97-$U97,0))</f>
        <v/>
      </c>
      <c r="W97" s="224">
        <f>IF('DM_NHAN_SU'!$B97="","",'CHAM_CONG_THANG'!T97)</f>
        <v/>
      </c>
      <c r="X97" s="224">
        <f>IF('DM_NHAN_SU'!$B97="","",'CHAM_CONG_THANG'!U97)</f>
        <v/>
      </c>
      <c r="Y97" s="224">
        <f>IF('DM_NHAN_SU'!$B97="","",IF($B97="",0,IF('DM_NHAN_SU'!$Q97&gt;0,'DM_NHAN_SU'!$Q97,IF($G97="Tháng",IF($I97*$J97&gt;0,'DM_NHAN_SU'!$K97/($I97*$J97),0),IF($G97="Ngày",IF($J97&gt;0,'DM_NHAN_SU'!$K97/$J97,0),IF($G97="Giờ",'DM_NHAN_SU'!$K97,0))))))</f>
        <v/>
      </c>
      <c r="Z97" s="224">
        <f>IF('DM_NHAN_SU'!$B97="","",$Y97*($M97*'THAM_SO'!$C$22+'CHAM_CONG_THANG'!$AF97*'THAM_SO'!$C$19+'CHAM_CONG_THANG'!$AG97*'THAM_SO'!$C$20+'CHAM_CONG_THANG'!$AH97*'THAM_SO'!$C$21+'CHAM_CONG_THANG'!$AI97*'THAM_SO'!$C$23+'CHAM_CONG_THANG'!$AJ97*'THAM_SO'!$C$24+'CHAM_CONG_THANG'!$AK97*'THAM_SO'!$C$25))</f>
        <v/>
      </c>
      <c r="AA97" s="224">
        <f>IF('DM_NHAN_SU'!$B97="","",MAX(0,$Y97*($M97*IF('THAM_SO'!$C$22&gt;='THAM_SO'!$B$22,'THAM_SO'!$B$22,0)+'CHAM_CONG_THANG'!$AF97*IF('THAM_SO'!$C$19&gt;='THAM_SO'!$B$19,'THAM_SO'!$B$19,0)+'CHAM_CONG_THANG'!$AG97*IF('THAM_SO'!$C$20&gt;='THAM_SO'!$B$20,'THAM_SO'!$B$20,0)+'CHAM_CONG_THANG'!$AH97*IF('THAM_SO'!$C$21&gt;='THAM_SO'!$B$21,'THAM_SO'!$B$21,0)+'CHAM_CONG_THANG'!$AI97*IF('THAM_SO'!$C$23&gt;='THAM_SO'!$B$23,'THAM_SO'!$B$23,0)+'CHAM_CONG_THANG'!$AJ97*IF('THAM_SO'!$C$24&gt;='THAM_SO'!$B$24,'THAM_SO'!$B$24,0)+'CHAM_CONG_THANG'!$AK97*IF('THAM_SO'!$C$25&gt;='THAM_SO'!$B$25,'THAM_SO'!$B$25,0))-'CHAM_CONG_THANG'!$V97))</f>
        <v/>
      </c>
      <c r="AB97" s="224">
        <f>IF('DM_NHAN_SU'!$B97="","",MAX($Z97-$AA97,0))</f>
        <v/>
      </c>
      <c r="AC97" s="224">
        <f>IF('DM_NHAN_SU'!$B97="","",$O97+$P97+$Q97+$R97+$S97+$V97+$AB97+$BO97+$BP97+$BQ97+$BR97)</f>
        <v/>
      </c>
      <c r="AD97" s="224">
        <f>IF('DM_NHAN_SU'!$B97="","",'DM_NHAN_SU'!N97+'DM_NHAN_SU'!O97+'DM_NHAN_SU'!P97)</f>
        <v/>
      </c>
      <c r="AE97" s="224">
        <f>IF('DM_NHAN_SU'!$B97="","",IF(OR('DM_NHAN_SU'!$R97&lt;&gt;"Có",'CHAM_CONG_THANG'!$AA97="Có",$BL97&gt;=14,$AD97&lt;=0),0,MIN(MAX($AD97,'THAM_SO'!$M$6),'THAM_SO'!$M$7)))</f>
        <v/>
      </c>
      <c r="AF97" s="224">
        <f>IF('DM_NHAN_SU'!$B97="","",IF(OR('DM_NHAN_SU'!$S97&lt;&gt;"Có",'CHAM_CONG_THANG'!$AA97="Có",$BL97&gt;=14,$AD97&lt;=0),0,MIN(MAX($AD97,VLOOKUP($H97,'THAM_SO'!$L$17:$P$20,4,FALSE)),VLOOKUP($H97,'THAM_SO'!$L$17:$P$20,5,FALSE))))</f>
        <v/>
      </c>
      <c r="AG97" s="224">
        <f>IF('DM_NHAN_SU'!$B97="","",$AE97*'THAM_SO'!$M$8)</f>
        <v/>
      </c>
      <c r="AH97" s="224">
        <f>IF('DM_NHAN_SU'!$B97="","",$AE97*'THAM_SO'!$M$9)</f>
        <v/>
      </c>
      <c r="AI97" s="224">
        <f>IF('DM_NHAN_SU'!$B97="","",$AF97*'THAM_SO'!$M$10)</f>
        <v/>
      </c>
      <c r="AJ97" s="224">
        <f>IF('DM_NHAN_SU'!$B97="","",SUM($AG97:$AI97))</f>
        <v/>
      </c>
      <c r="AK97" s="224">
        <f>IF('DM_NHAN_SU'!$B97="","",IF($B97="",0,'THAM_SO'!$F$4))</f>
        <v/>
      </c>
      <c r="AL97" s="224">
        <f>IF('DM_NHAN_SU'!$B97="","",IF($B97="",0,'DM_NHAN_SU'!$T97*'THAM_SO'!$F$5))</f>
        <v/>
      </c>
      <c r="AM97" s="224">
        <f>IF('DM_NHAN_SU'!$B97="","",'CHAM_CONG_THANG'!W97)</f>
        <v/>
      </c>
      <c r="AN97" s="224">
        <f>IF('DM_NHAN_SU'!$B97="","",MAX($AC97-$AK97-$AL97-$AM97,0))</f>
        <v/>
      </c>
      <c r="AO97" s="224">
        <f>IF('DM_NHAN_SU'!$B97="","",IF($B97="","",IF($F97="Net",IF($AC97&lt;=$AK97+$AL97+$AM97,$AC97+$AJ97,$AJ97+$AK97+$AL97+$AM97+IF($AN97&lt;='THAM_SO'!$J$10,($AN97-'THAM_SO'!$I$10)/(1-'THAM_SO'!$H$10),IF($AN97&lt;='THAM_SO'!$J$11,($AN97-'THAM_SO'!$I$11)/(1-'THAM_SO'!$H$11),IF($AN97&lt;='THAM_SO'!$J$12,($AN97-'THAM_SO'!$I$12)/(1-'THAM_SO'!$H$12),IF($AN97&lt;='THAM_SO'!$J$13,($AN97-'THAM_SO'!$I$13)/(1-'THAM_SO'!$H$13),($AN97-'THAM_SO'!$I$14)/(1-'THAM_SO'!$H$14)))))),$AC97)))</f>
        <v/>
      </c>
      <c r="AP97" s="224">
        <f>IF('DM_NHAN_SU'!$B97="","",$U97+$W97+$X97+$AA97+$BS97)</f>
        <v/>
      </c>
      <c r="AQ97" s="224">
        <f>IF('DM_NHAN_SU'!$B97="","",MAX($AO97-$AJ97-$AK97-$AL97-$AM97,0))</f>
        <v/>
      </c>
      <c r="AR97" s="224">
        <f>IF('DM_NHAN_SU'!$B97="","",IF($AQ97&lt;=0,0,$AQ97*VLOOKUP($AQ97,'THAM_SO'!$F$10:$I$14,3,TRUE)-VLOOKUP($AQ97,'THAM_SO'!$F$10:$I$14,4,TRUE)))</f>
        <v/>
      </c>
      <c r="AS97" s="224">
        <f>IF('DM_NHAN_SU'!$B97="","",$AO97+$AP97)</f>
        <v/>
      </c>
      <c r="AT97" s="224">
        <f>IF('DM_NHAN_SU'!$B97="","",$AS97-$AJ97-$AR97)</f>
        <v/>
      </c>
      <c r="AU97" s="224">
        <f>IF('DM_NHAN_SU'!$B97="","",'CHAM_CONG_THANG'!X97)</f>
        <v/>
      </c>
      <c r="AV97" s="224">
        <f>IF('DM_NHAN_SU'!$B97="","",'CHAM_CONG_THANG'!Y97+'QT_NGHI_VIEC'!AD97)</f>
        <v/>
      </c>
      <c r="AW97" s="224">
        <f>IF('DM_NHAN_SU'!$B97="","",'CHAM_CONG_THANG'!Z97)</f>
        <v/>
      </c>
      <c r="AX97" s="224">
        <f>IF('DM_NHAN_SU'!$B97="","",$AT97-$AU97-$AV97-$AW97-$BV97)</f>
        <v/>
      </c>
      <c r="AY97" s="224">
        <f>IF('DM_NHAN_SU'!$B97="","",$AE97*'THAM_SO'!$M$11)</f>
        <v/>
      </c>
      <c r="AZ97" s="224">
        <f>IF('DM_NHAN_SU'!$B97="","",$AE97*'THAM_SO'!$M$12)</f>
        <v/>
      </c>
      <c r="BA97" s="224">
        <f>IF('DM_NHAN_SU'!$B97="","",$AF97*'THAM_SO'!$M$13)</f>
        <v/>
      </c>
      <c r="BB97" s="224">
        <f>IF('DM_NHAN_SU'!$B97="","",$AE97*'THAM_SO'!$M$14)</f>
        <v/>
      </c>
      <c r="BC97" s="224">
        <f>IF('DM_NHAN_SU'!$B97="","",SUM($AY97:$BB97))</f>
        <v/>
      </c>
      <c r="BD97" s="224">
        <f>IF('DM_NHAN_SU'!$B97="","",$AS97+$BC97)</f>
        <v/>
      </c>
      <c r="BE97" s="224">
        <f>IF('DM_NHAN_SU'!$B97="","",VLOOKUP($H97,'THAM_SO'!$L$17:$P$20,2,FALSE))</f>
        <v/>
      </c>
      <c r="BF97" s="224">
        <f>IF('DM_NHAN_SU'!$B97="","",VLOOKUP($H97,'THAM_SO'!$L$17:$P$20,3,FALSE))</f>
        <v/>
      </c>
      <c r="BG97" s="150">
        <f>IF('DM_NHAN_SU'!$B97="","",IF($B97="","",IF(COUNTIF('DM_NHAN_SU'!$B$6:$B$155,$B97)&gt;1,"Trùng mã NV; ","")&amp;IF(OR($F97="",$G97=""),"Thiếu loại/hình thức lương; ","")&amp;IF('CHAM_CONG_THANG'!$D97="","Chưa chọn nguồn công; ","")&amp;IF(AND('CHAM_CONG_THANG'!$D97="Theo ngày",COUNTIF('CHAM_CONG_NGAY'!$B$6:$B$4655,$B97)=0),"Chưa có chấm công ngày; ","")&amp;IF(OR($I97&lt;=0,$J97&lt;=0),"Thiếu công/giờ chuẩn; ","")&amp;IF(AND($G97="Tháng",'DM_NHAN_SU'!$K97&lt;$BE97),"Lương tháng dưới tối thiểu vùng; ","")&amp;IF(AND($G97="Ngày",'DM_NHAN_SU'!$K97/$J97&lt;$BF97),"Lương ngày quy đổi dưới tối thiểu giờ; ","")&amp;IF(AND($G97="Giờ",'DM_NHAN_SU'!$K97&lt;$BF97),"Lương giờ dưới tối thiểu vùng; ","")&amp;IF(AND($G97="Sản phẩm",$L97&gt;0,$O97/$L97&lt;$BF97),"Lương SP quy đổi dưới tối thiểu giờ; ","")&amp;IF(OR('THAM_SO'!$C$19&lt;'THAM_SO'!$B$19,'THAM_SO'!$C$20&lt;'THAM_SO'!$B$20,'THAM_SO'!$C$21&lt;'THAM_SO'!$B$21,'THAM_SO'!$C$22&lt;'THAM_SO'!$B$22,'THAM_SO'!$C$23&lt;'THAM_SO'!$B$23,'THAM_SO'!$C$24&lt;'THAM_SO'!$B$24,'THAM_SO'!$C$25&lt;'THAM_SO'!$B$25),"Hệ số OT/đêm DN thấp hơn luật; ","")&amp;IF(AND('DM_NHAN_SU'!$R97="Có",$AD97&lt;=0),"Thiếu căn cứ đóng BH; ","")&amp;IF(AND($AD97&gt;0,$AD97&lt;'THAM_SO'!$M$6),"Căn cứ BH dưới sàn – đã nâng sàn; ","")&amp;IF($AD97&gt;'THAM_SO'!$M$7,"Căn cứ BH vượt trần – đã giới hạn; ","")&amp;IF(AND($F97="Net",SUM('CHAM_CONG_THANG'!$AF97:$AK97)&gt;0,'DM_NHAN_SU'!$Q97&lt;=0),"Net có OT nhưng chưa khai lương giờ OT; ","")&amp;IF('CHAM_CONG_THANG'!$V97&gt;$Z97,"Phần OT không miễn lớn hơn tiền OT; ","")&amp;IF(AND($F97="Net",ABS($AT97-$AC97-$AP97)&gt;1),"Lệch quy đổi Net; ","")&amp;IF(AND($BH97&gt;0,'DM_NHAN_SU'!$AD97=""),"Có phép năm nhưng đang tạm dùng 12 ngày; ","")&amp;IF(AND($G97="Sản phẩm",SUM($BH97:$BJ97)&gt;0,'DM_NHAN_SU'!$AH97&lt;=0),"Lương sản phẩm thiếu đơn giá ngày phép/lễ; ","")&amp;IF(AND($BL97&gt;=14,'CHAM_CONG_THANG'!$AA97&lt;&gt;"Có"),"Thai sản từ 14 ngày: file tự dừng đóng BH – kiểm tra hồ sơ; ","")&amp;IF(AND('DM_NHAN_SU'!$AA97="Có",'DM_NHAN_SU'!$AB97=""),"Đoàn viên chưa chọn cách tính đoàn phí; ","")&amp;IF(AND('DM_NHAN_SU'!$AB97="Nhập tay",'DM_NHAN_SU'!$AC97&gt;'THAM_SO'!$M$26),"Đoàn phí nhập tay vượt trần thông dụng; ","")&amp;IF('NGHI_PHEP'!$L97&lt;&gt;"","Phép: "&amp;'NGHI_PHEP'!$L97,"")&amp;IF('CHE_DO_BHXH'!$AA97&lt;&gt;"","BHXH: "&amp;'CHE_DO_BHXH'!$AA97,"")&amp;IF('THUONG_T13_TET'!$O97&lt;&gt;"","Thưởng: "&amp;'THUONG_T13_TET'!$O97,"")&amp;IF('QT_NGHI_VIEC'!$AF97&lt;&gt;"","Nghỉ việc: "&amp;'QT_NGHI_VIEC'!$AF97,"")&amp;IF($AX97&lt;0,"Thực lĩnh âm; ","")&amp;IF(OR('DM_NHAN_SU'!$F97&gt;'THAM_SO'!$B$7,AND('DM_NHAN_SU'!$G97&lt;&gt;"",'DM_NHAN_SU'!$G97&lt;'THAM_SO'!$B$6)),"Ngoài kỳ trả lương; ","")))</f>
        <v/>
      </c>
      <c r="BH97" s="232">
        <f>IF('DM_NHAN_SU'!$B97="","",'CHAM_CONG_THANG'!AR97)</f>
        <v/>
      </c>
      <c r="BI97" s="232">
        <f>IF('DM_NHAN_SU'!$B97="","",'CHAM_CONG_THANG'!AS97)</f>
        <v/>
      </c>
      <c r="BJ97" s="232">
        <f>IF('DM_NHAN_SU'!$B97="","",'CHAM_CONG_THANG'!AT97)</f>
        <v/>
      </c>
      <c r="BK97" s="232">
        <f>IF('DM_NHAN_SU'!$B97="","",'CHAM_CONG_THANG'!AU97)</f>
        <v/>
      </c>
      <c r="BL97" s="232">
        <f>IF('DM_NHAN_SU'!$B97="","",'CHAM_CONG_THANG'!AV97)</f>
        <v/>
      </c>
      <c r="BM97" s="232">
        <f>IF('DM_NHAN_SU'!$B97="","",'CHAM_CONG_THANG'!AW97)</f>
        <v/>
      </c>
      <c r="BN97" s="232">
        <f>IF('DM_NHAN_SU'!$B97="","",SUM($K97,$BH97:$BJ97))</f>
        <v/>
      </c>
      <c r="BO97" s="224">
        <f>IF('DM_NHAN_SU'!$B97="","",IF($B97="",0,IF($G97="Tháng",IF($I97&gt;0,'DM_NHAN_SU'!$K97*MIN($BH97+$BJ97,MAX($I97-$K97,0))/$I97,0),IF($G97="Ngày",'DM_NHAN_SU'!$K97*SUM($BH97:$BJ97),IF($G97="Giờ",'DM_NHAN_SU'!$K97*SUM($BH97:$BJ97)*$J97,IF($G97="Sản phẩm",'DM_NHAN_SU'!$AH97*SUM($BH97:$BJ97),0))))))</f>
        <v/>
      </c>
      <c r="BP97" s="224">
        <f>IF('DM_NHAN_SU'!$B97="","",IF('THUONG_T13_TET'!$L97="Có",'THUONG_T13_TET'!$I97,0))</f>
        <v/>
      </c>
      <c r="BQ97" s="224">
        <f>IF('DM_NHAN_SU'!$B97="","",IF('THUONG_T13_TET'!$L97="Có",SUM('THUONG_T13_TET'!$J97:$K97),0))</f>
        <v/>
      </c>
      <c r="BR97" s="224">
        <f>IF('DM_NHAN_SU'!$B97="","",'QT_NGHI_VIEC'!AC97)</f>
        <v/>
      </c>
      <c r="BS97" s="224">
        <f>IF('DM_NHAN_SU'!$B97="","",'QT_NGHI_VIEC'!AB97)</f>
        <v/>
      </c>
      <c r="BT97" s="224">
        <f>IF('DM_NHAN_SU'!$B97="","",IF('CHE_DO_BHXH'!$Z97="Có",'CHE_DO_BHXH'!$W97,0))</f>
        <v/>
      </c>
      <c r="BU97" s="224">
        <f>IF('DM_NHAN_SU'!$B97="","",IF('CHE_DO_BHXH'!$Y97="DN trả thay",$BT97,0))</f>
        <v/>
      </c>
      <c r="BV97" s="224">
        <f>IF('DM_NHAN_SU'!$B97="","",IF(OR('DM_NHAN_SU'!$AA97&lt;&gt;"Có",'CHE_DO_BHXH'!$O97&gt;=1,SUM('CHE_DO_BHXH'!$D97,'CHE_DO_BHXH'!$G97,'CHE_DO_BHXH'!$K97)&gt;=24,AND($I97&gt;0,$BM97&gt;=$I97)),0,IF('DM_NHAN_SU'!$AB97="Không",0,IF('DM_NHAN_SU'!$AB97="Nhập tay",'DM_NHAN_SU'!$AC97,IF('DM_NHAN_SU'!$AB97="Theo thực nhận",MIN(MAX($AT97-$AU97-$AV97-$AW97,0)*'THAM_SO'!$M$23,'THAM_SO'!$M$26),MIN($AE97*'THAM_SO'!$M$23,'THAM_SO'!$M$26))))))</f>
        <v/>
      </c>
      <c r="BW97" s="224">
        <f>IF('DM_NHAN_SU'!$B97="","",$AX97+$BU97)</f>
        <v/>
      </c>
    </row>
    <row r="98">
      <c r="A98" s="145">
        <f>IF('DM_NHAN_SU'!$B98="","",IF($B98="","",ROW()-5))</f>
        <v/>
      </c>
      <c r="B98" s="145">
        <f>IF('DM_NHAN_SU'!$B98="","",'DM_NHAN_SU'!B98)</f>
        <v/>
      </c>
      <c r="C98" s="145">
        <f>IF('DM_NHAN_SU'!$B98="","",'DM_NHAN_SU'!C98)</f>
        <v/>
      </c>
      <c r="D98" s="145">
        <f>IF('DM_NHAN_SU'!$B98="","",'DM_NHAN_SU'!D98)</f>
        <v/>
      </c>
      <c r="E98" s="145">
        <f>IF('DM_NHAN_SU'!$B98="","",'DM_NHAN_SU'!E98)</f>
        <v/>
      </c>
      <c r="F98" s="145">
        <f>IF('DM_NHAN_SU'!$B98="","",'DM_NHAN_SU'!I98)</f>
        <v/>
      </c>
      <c r="G98" s="145">
        <f>IF('DM_NHAN_SU'!$B98="","",'DM_NHAN_SU'!J98)</f>
        <v/>
      </c>
      <c r="H98" s="145">
        <f>IF('DM_NHAN_SU'!$B98="","",IF('DM_NHAN_SU'!H98="",'THAM_SO'!$B$11,'DM_NHAN_SU'!H98))</f>
        <v/>
      </c>
      <c r="I98" s="232">
        <f>IF('DM_NHAN_SU'!$B98="","",IF('DM_NHAN_SU'!L98&gt;0,'DM_NHAN_SU'!L98,'THAM_SO'!$B$9))</f>
        <v/>
      </c>
      <c r="J98" s="232">
        <f>IF('DM_NHAN_SU'!$B98="","",IF('DM_NHAN_SU'!M98&gt;0,'DM_NHAN_SU'!M98,'THAM_SO'!$B$10))</f>
        <v/>
      </c>
      <c r="K98" s="232">
        <f>IF('DM_NHAN_SU'!$B98="","",'CHAM_CONG_THANG'!AC98)</f>
        <v/>
      </c>
      <c r="L98" s="232">
        <f>IF('DM_NHAN_SU'!$B98="","",'CHAM_CONG_THANG'!AD98)</f>
        <v/>
      </c>
      <c r="M98" s="232">
        <f>IF('DM_NHAN_SU'!$B98="","",'CHAM_CONG_THANG'!AE98)</f>
        <v/>
      </c>
      <c r="N98" s="232">
        <f>IF('DM_NHAN_SU'!$B98="","",'CHAM_CONG_THANG'!N98)</f>
        <v/>
      </c>
      <c r="O98" s="224">
        <f>IF('DM_NHAN_SU'!$B98="","",IF($B98="","",IF($G98="Tháng",IF($I98&gt;0,'DM_NHAN_SU'!$K98*MIN($K98,$I98)/$I98,0),IF($G98="Ngày",'DM_NHAN_SU'!$K98*$K98,IF($G98="Giờ",'DM_NHAN_SU'!$K98*$L98,IF($G98="Sản phẩm",'DM_NHAN_SU'!$K98*$N98,0))))))</f>
        <v/>
      </c>
      <c r="P98" s="224">
        <f>IF('DM_NHAN_SU'!$B98="","",'CHAM_CONG_THANG'!O98)</f>
        <v/>
      </c>
      <c r="Q98" s="224">
        <f>IF('DM_NHAN_SU'!$B98="","",'CHAM_CONG_THANG'!P98)</f>
        <v/>
      </c>
      <c r="R98" s="224">
        <f>IF('DM_NHAN_SU'!$B98="","",'CHAM_CONG_THANG'!Q98)</f>
        <v/>
      </c>
      <c r="S98" s="224">
        <f>IF('DM_NHAN_SU'!$B98="","",'CHAM_CONG_THANG'!R98)</f>
        <v/>
      </c>
      <c r="T98" s="224">
        <f>IF('DM_NHAN_SU'!$B98="","",'CHAM_CONG_THANG'!S98)</f>
        <v/>
      </c>
      <c r="U98" s="224">
        <f>IF('DM_NHAN_SU'!$B98="","",MIN($T98,'THAM_SO'!$F$6))</f>
        <v/>
      </c>
      <c r="V98" s="224">
        <f>IF('DM_NHAN_SU'!$B98="","",MAX($T98-$U98,0))</f>
        <v/>
      </c>
      <c r="W98" s="224">
        <f>IF('DM_NHAN_SU'!$B98="","",'CHAM_CONG_THANG'!T98)</f>
        <v/>
      </c>
      <c r="X98" s="224">
        <f>IF('DM_NHAN_SU'!$B98="","",'CHAM_CONG_THANG'!U98)</f>
        <v/>
      </c>
      <c r="Y98" s="224">
        <f>IF('DM_NHAN_SU'!$B98="","",IF($B98="",0,IF('DM_NHAN_SU'!$Q98&gt;0,'DM_NHAN_SU'!$Q98,IF($G98="Tháng",IF($I98*$J98&gt;0,'DM_NHAN_SU'!$K98/($I98*$J98),0),IF($G98="Ngày",IF($J98&gt;0,'DM_NHAN_SU'!$K98/$J98,0),IF($G98="Giờ",'DM_NHAN_SU'!$K98,0))))))</f>
        <v/>
      </c>
      <c r="Z98" s="224">
        <f>IF('DM_NHAN_SU'!$B98="","",$Y98*($M98*'THAM_SO'!$C$22+'CHAM_CONG_THANG'!$AF98*'THAM_SO'!$C$19+'CHAM_CONG_THANG'!$AG98*'THAM_SO'!$C$20+'CHAM_CONG_THANG'!$AH98*'THAM_SO'!$C$21+'CHAM_CONG_THANG'!$AI98*'THAM_SO'!$C$23+'CHAM_CONG_THANG'!$AJ98*'THAM_SO'!$C$24+'CHAM_CONG_THANG'!$AK98*'THAM_SO'!$C$25))</f>
        <v/>
      </c>
      <c r="AA98" s="224">
        <f>IF('DM_NHAN_SU'!$B98="","",MAX(0,$Y98*($M98*IF('THAM_SO'!$C$22&gt;='THAM_SO'!$B$22,'THAM_SO'!$B$22,0)+'CHAM_CONG_THANG'!$AF98*IF('THAM_SO'!$C$19&gt;='THAM_SO'!$B$19,'THAM_SO'!$B$19,0)+'CHAM_CONG_THANG'!$AG98*IF('THAM_SO'!$C$20&gt;='THAM_SO'!$B$20,'THAM_SO'!$B$20,0)+'CHAM_CONG_THANG'!$AH98*IF('THAM_SO'!$C$21&gt;='THAM_SO'!$B$21,'THAM_SO'!$B$21,0)+'CHAM_CONG_THANG'!$AI98*IF('THAM_SO'!$C$23&gt;='THAM_SO'!$B$23,'THAM_SO'!$B$23,0)+'CHAM_CONG_THANG'!$AJ98*IF('THAM_SO'!$C$24&gt;='THAM_SO'!$B$24,'THAM_SO'!$B$24,0)+'CHAM_CONG_THANG'!$AK98*IF('THAM_SO'!$C$25&gt;='THAM_SO'!$B$25,'THAM_SO'!$B$25,0))-'CHAM_CONG_THANG'!$V98))</f>
        <v/>
      </c>
      <c r="AB98" s="224">
        <f>IF('DM_NHAN_SU'!$B98="","",MAX($Z98-$AA98,0))</f>
        <v/>
      </c>
      <c r="AC98" s="224">
        <f>IF('DM_NHAN_SU'!$B98="","",$O98+$P98+$Q98+$R98+$S98+$V98+$AB98+$BO98+$BP98+$BQ98+$BR98)</f>
        <v/>
      </c>
      <c r="AD98" s="224">
        <f>IF('DM_NHAN_SU'!$B98="","",'DM_NHAN_SU'!N98+'DM_NHAN_SU'!O98+'DM_NHAN_SU'!P98)</f>
        <v/>
      </c>
      <c r="AE98" s="224">
        <f>IF('DM_NHAN_SU'!$B98="","",IF(OR('DM_NHAN_SU'!$R98&lt;&gt;"Có",'CHAM_CONG_THANG'!$AA98="Có",$BL98&gt;=14,$AD98&lt;=0),0,MIN(MAX($AD98,'THAM_SO'!$M$6),'THAM_SO'!$M$7)))</f>
        <v/>
      </c>
      <c r="AF98" s="224">
        <f>IF('DM_NHAN_SU'!$B98="","",IF(OR('DM_NHAN_SU'!$S98&lt;&gt;"Có",'CHAM_CONG_THANG'!$AA98="Có",$BL98&gt;=14,$AD98&lt;=0),0,MIN(MAX($AD98,VLOOKUP($H98,'THAM_SO'!$L$17:$P$20,4,FALSE)),VLOOKUP($H98,'THAM_SO'!$L$17:$P$20,5,FALSE))))</f>
        <v/>
      </c>
      <c r="AG98" s="224">
        <f>IF('DM_NHAN_SU'!$B98="","",$AE98*'THAM_SO'!$M$8)</f>
        <v/>
      </c>
      <c r="AH98" s="224">
        <f>IF('DM_NHAN_SU'!$B98="","",$AE98*'THAM_SO'!$M$9)</f>
        <v/>
      </c>
      <c r="AI98" s="224">
        <f>IF('DM_NHAN_SU'!$B98="","",$AF98*'THAM_SO'!$M$10)</f>
        <v/>
      </c>
      <c r="AJ98" s="224">
        <f>IF('DM_NHAN_SU'!$B98="","",SUM($AG98:$AI98))</f>
        <v/>
      </c>
      <c r="AK98" s="224">
        <f>IF('DM_NHAN_SU'!$B98="","",IF($B98="",0,'THAM_SO'!$F$4))</f>
        <v/>
      </c>
      <c r="AL98" s="224">
        <f>IF('DM_NHAN_SU'!$B98="","",IF($B98="",0,'DM_NHAN_SU'!$T98*'THAM_SO'!$F$5))</f>
        <v/>
      </c>
      <c r="AM98" s="224">
        <f>IF('DM_NHAN_SU'!$B98="","",'CHAM_CONG_THANG'!W98)</f>
        <v/>
      </c>
      <c r="AN98" s="224">
        <f>IF('DM_NHAN_SU'!$B98="","",MAX($AC98-$AK98-$AL98-$AM98,0))</f>
        <v/>
      </c>
      <c r="AO98" s="224">
        <f>IF('DM_NHAN_SU'!$B98="","",IF($B98="","",IF($F98="Net",IF($AC98&lt;=$AK98+$AL98+$AM98,$AC98+$AJ98,$AJ98+$AK98+$AL98+$AM98+IF($AN98&lt;='THAM_SO'!$J$10,($AN98-'THAM_SO'!$I$10)/(1-'THAM_SO'!$H$10),IF($AN98&lt;='THAM_SO'!$J$11,($AN98-'THAM_SO'!$I$11)/(1-'THAM_SO'!$H$11),IF($AN98&lt;='THAM_SO'!$J$12,($AN98-'THAM_SO'!$I$12)/(1-'THAM_SO'!$H$12),IF($AN98&lt;='THAM_SO'!$J$13,($AN98-'THAM_SO'!$I$13)/(1-'THAM_SO'!$H$13),($AN98-'THAM_SO'!$I$14)/(1-'THAM_SO'!$H$14)))))),$AC98)))</f>
        <v/>
      </c>
      <c r="AP98" s="224">
        <f>IF('DM_NHAN_SU'!$B98="","",$U98+$W98+$X98+$AA98+$BS98)</f>
        <v/>
      </c>
      <c r="AQ98" s="224">
        <f>IF('DM_NHAN_SU'!$B98="","",MAX($AO98-$AJ98-$AK98-$AL98-$AM98,0))</f>
        <v/>
      </c>
      <c r="AR98" s="224">
        <f>IF('DM_NHAN_SU'!$B98="","",IF($AQ98&lt;=0,0,$AQ98*VLOOKUP($AQ98,'THAM_SO'!$F$10:$I$14,3,TRUE)-VLOOKUP($AQ98,'THAM_SO'!$F$10:$I$14,4,TRUE)))</f>
        <v/>
      </c>
      <c r="AS98" s="224">
        <f>IF('DM_NHAN_SU'!$B98="","",$AO98+$AP98)</f>
        <v/>
      </c>
      <c r="AT98" s="224">
        <f>IF('DM_NHAN_SU'!$B98="","",$AS98-$AJ98-$AR98)</f>
        <v/>
      </c>
      <c r="AU98" s="224">
        <f>IF('DM_NHAN_SU'!$B98="","",'CHAM_CONG_THANG'!X98)</f>
        <v/>
      </c>
      <c r="AV98" s="224">
        <f>IF('DM_NHAN_SU'!$B98="","",'CHAM_CONG_THANG'!Y98+'QT_NGHI_VIEC'!AD98)</f>
        <v/>
      </c>
      <c r="AW98" s="224">
        <f>IF('DM_NHAN_SU'!$B98="","",'CHAM_CONG_THANG'!Z98)</f>
        <v/>
      </c>
      <c r="AX98" s="224">
        <f>IF('DM_NHAN_SU'!$B98="","",$AT98-$AU98-$AV98-$AW98-$BV98)</f>
        <v/>
      </c>
      <c r="AY98" s="224">
        <f>IF('DM_NHAN_SU'!$B98="","",$AE98*'THAM_SO'!$M$11)</f>
        <v/>
      </c>
      <c r="AZ98" s="224">
        <f>IF('DM_NHAN_SU'!$B98="","",$AE98*'THAM_SO'!$M$12)</f>
        <v/>
      </c>
      <c r="BA98" s="224">
        <f>IF('DM_NHAN_SU'!$B98="","",$AF98*'THAM_SO'!$M$13)</f>
        <v/>
      </c>
      <c r="BB98" s="224">
        <f>IF('DM_NHAN_SU'!$B98="","",$AE98*'THAM_SO'!$M$14)</f>
        <v/>
      </c>
      <c r="BC98" s="224">
        <f>IF('DM_NHAN_SU'!$B98="","",SUM($AY98:$BB98))</f>
        <v/>
      </c>
      <c r="BD98" s="224">
        <f>IF('DM_NHAN_SU'!$B98="","",$AS98+$BC98)</f>
        <v/>
      </c>
      <c r="BE98" s="224">
        <f>IF('DM_NHAN_SU'!$B98="","",VLOOKUP($H98,'THAM_SO'!$L$17:$P$20,2,FALSE))</f>
        <v/>
      </c>
      <c r="BF98" s="224">
        <f>IF('DM_NHAN_SU'!$B98="","",VLOOKUP($H98,'THAM_SO'!$L$17:$P$20,3,FALSE))</f>
        <v/>
      </c>
      <c r="BG98" s="150">
        <f>IF('DM_NHAN_SU'!$B98="","",IF($B98="","",IF(COUNTIF('DM_NHAN_SU'!$B$6:$B$155,$B98)&gt;1,"Trùng mã NV; ","")&amp;IF(OR($F98="",$G98=""),"Thiếu loại/hình thức lương; ","")&amp;IF('CHAM_CONG_THANG'!$D98="","Chưa chọn nguồn công; ","")&amp;IF(AND('CHAM_CONG_THANG'!$D98="Theo ngày",COUNTIF('CHAM_CONG_NGAY'!$B$6:$B$4655,$B98)=0),"Chưa có chấm công ngày; ","")&amp;IF(OR($I98&lt;=0,$J98&lt;=0),"Thiếu công/giờ chuẩn; ","")&amp;IF(AND($G98="Tháng",'DM_NHAN_SU'!$K98&lt;$BE98),"Lương tháng dưới tối thiểu vùng; ","")&amp;IF(AND($G98="Ngày",'DM_NHAN_SU'!$K98/$J98&lt;$BF98),"Lương ngày quy đổi dưới tối thiểu giờ; ","")&amp;IF(AND($G98="Giờ",'DM_NHAN_SU'!$K98&lt;$BF98),"Lương giờ dưới tối thiểu vùng; ","")&amp;IF(AND($G98="Sản phẩm",$L98&gt;0,$O98/$L98&lt;$BF98),"Lương SP quy đổi dưới tối thiểu giờ; ","")&amp;IF(OR('THAM_SO'!$C$19&lt;'THAM_SO'!$B$19,'THAM_SO'!$C$20&lt;'THAM_SO'!$B$20,'THAM_SO'!$C$21&lt;'THAM_SO'!$B$21,'THAM_SO'!$C$22&lt;'THAM_SO'!$B$22,'THAM_SO'!$C$23&lt;'THAM_SO'!$B$23,'THAM_SO'!$C$24&lt;'THAM_SO'!$B$24,'THAM_SO'!$C$25&lt;'THAM_SO'!$B$25),"Hệ số OT/đêm DN thấp hơn luật; ","")&amp;IF(AND('DM_NHAN_SU'!$R98="Có",$AD98&lt;=0),"Thiếu căn cứ đóng BH; ","")&amp;IF(AND($AD98&gt;0,$AD98&lt;'THAM_SO'!$M$6),"Căn cứ BH dưới sàn – đã nâng sàn; ","")&amp;IF($AD98&gt;'THAM_SO'!$M$7,"Căn cứ BH vượt trần – đã giới hạn; ","")&amp;IF(AND($F98="Net",SUM('CHAM_CONG_THANG'!$AF98:$AK98)&gt;0,'DM_NHAN_SU'!$Q98&lt;=0),"Net có OT nhưng chưa khai lương giờ OT; ","")&amp;IF('CHAM_CONG_THANG'!$V98&gt;$Z98,"Phần OT không miễn lớn hơn tiền OT; ","")&amp;IF(AND($F98="Net",ABS($AT98-$AC98-$AP98)&gt;1),"Lệch quy đổi Net; ","")&amp;IF(AND($BH98&gt;0,'DM_NHAN_SU'!$AD98=""),"Có phép năm nhưng đang tạm dùng 12 ngày; ","")&amp;IF(AND($G98="Sản phẩm",SUM($BH98:$BJ98)&gt;0,'DM_NHAN_SU'!$AH98&lt;=0),"Lương sản phẩm thiếu đơn giá ngày phép/lễ; ","")&amp;IF(AND($BL98&gt;=14,'CHAM_CONG_THANG'!$AA98&lt;&gt;"Có"),"Thai sản từ 14 ngày: file tự dừng đóng BH – kiểm tra hồ sơ; ","")&amp;IF(AND('DM_NHAN_SU'!$AA98="Có",'DM_NHAN_SU'!$AB98=""),"Đoàn viên chưa chọn cách tính đoàn phí; ","")&amp;IF(AND('DM_NHAN_SU'!$AB98="Nhập tay",'DM_NHAN_SU'!$AC98&gt;'THAM_SO'!$M$26),"Đoàn phí nhập tay vượt trần thông dụng; ","")&amp;IF('NGHI_PHEP'!$L98&lt;&gt;"","Phép: "&amp;'NGHI_PHEP'!$L98,"")&amp;IF('CHE_DO_BHXH'!$AA98&lt;&gt;"","BHXH: "&amp;'CHE_DO_BHXH'!$AA98,"")&amp;IF('THUONG_T13_TET'!$O98&lt;&gt;"","Thưởng: "&amp;'THUONG_T13_TET'!$O98,"")&amp;IF('QT_NGHI_VIEC'!$AF98&lt;&gt;"","Nghỉ việc: "&amp;'QT_NGHI_VIEC'!$AF98,"")&amp;IF($AX98&lt;0,"Thực lĩnh âm; ","")&amp;IF(OR('DM_NHAN_SU'!$F98&gt;'THAM_SO'!$B$7,AND('DM_NHAN_SU'!$G98&lt;&gt;"",'DM_NHAN_SU'!$G98&lt;'THAM_SO'!$B$6)),"Ngoài kỳ trả lương; ","")))</f>
        <v/>
      </c>
      <c r="BH98" s="232">
        <f>IF('DM_NHAN_SU'!$B98="","",'CHAM_CONG_THANG'!AR98)</f>
        <v/>
      </c>
      <c r="BI98" s="232">
        <f>IF('DM_NHAN_SU'!$B98="","",'CHAM_CONG_THANG'!AS98)</f>
        <v/>
      </c>
      <c r="BJ98" s="232">
        <f>IF('DM_NHAN_SU'!$B98="","",'CHAM_CONG_THANG'!AT98)</f>
        <v/>
      </c>
      <c r="BK98" s="232">
        <f>IF('DM_NHAN_SU'!$B98="","",'CHAM_CONG_THANG'!AU98)</f>
        <v/>
      </c>
      <c r="BL98" s="232">
        <f>IF('DM_NHAN_SU'!$B98="","",'CHAM_CONG_THANG'!AV98)</f>
        <v/>
      </c>
      <c r="BM98" s="232">
        <f>IF('DM_NHAN_SU'!$B98="","",'CHAM_CONG_THANG'!AW98)</f>
        <v/>
      </c>
      <c r="BN98" s="232">
        <f>IF('DM_NHAN_SU'!$B98="","",SUM($K98,$BH98:$BJ98))</f>
        <v/>
      </c>
      <c r="BO98" s="224">
        <f>IF('DM_NHAN_SU'!$B98="","",IF($B98="",0,IF($G98="Tháng",IF($I98&gt;0,'DM_NHAN_SU'!$K98*MIN($BH98+$BJ98,MAX($I98-$K98,0))/$I98,0),IF($G98="Ngày",'DM_NHAN_SU'!$K98*SUM($BH98:$BJ98),IF($G98="Giờ",'DM_NHAN_SU'!$K98*SUM($BH98:$BJ98)*$J98,IF($G98="Sản phẩm",'DM_NHAN_SU'!$AH98*SUM($BH98:$BJ98),0))))))</f>
        <v/>
      </c>
      <c r="BP98" s="224">
        <f>IF('DM_NHAN_SU'!$B98="","",IF('THUONG_T13_TET'!$L98="Có",'THUONG_T13_TET'!$I98,0))</f>
        <v/>
      </c>
      <c r="BQ98" s="224">
        <f>IF('DM_NHAN_SU'!$B98="","",IF('THUONG_T13_TET'!$L98="Có",SUM('THUONG_T13_TET'!$J98:$K98),0))</f>
        <v/>
      </c>
      <c r="BR98" s="224">
        <f>IF('DM_NHAN_SU'!$B98="","",'QT_NGHI_VIEC'!AC98)</f>
        <v/>
      </c>
      <c r="BS98" s="224">
        <f>IF('DM_NHAN_SU'!$B98="","",'QT_NGHI_VIEC'!AB98)</f>
        <v/>
      </c>
      <c r="BT98" s="224">
        <f>IF('DM_NHAN_SU'!$B98="","",IF('CHE_DO_BHXH'!$Z98="Có",'CHE_DO_BHXH'!$W98,0))</f>
        <v/>
      </c>
      <c r="BU98" s="224">
        <f>IF('DM_NHAN_SU'!$B98="","",IF('CHE_DO_BHXH'!$Y98="DN trả thay",$BT98,0))</f>
        <v/>
      </c>
      <c r="BV98" s="224">
        <f>IF('DM_NHAN_SU'!$B98="","",IF(OR('DM_NHAN_SU'!$AA98&lt;&gt;"Có",'CHE_DO_BHXH'!$O98&gt;=1,SUM('CHE_DO_BHXH'!$D98,'CHE_DO_BHXH'!$G98,'CHE_DO_BHXH'!$K98)&gt;=24,AND($I98&gt;0,$BM98&gt;=$I98)),0,IF('DM_NHAN_SU'!$AB98="Không",0,IF('DM_NHAN_SU'!$AB98="Nhập tay",'DM_NHAN_SU'!$AC98,IF('DM_NHAN_SU'!$AB98="Theo thực nhận",MIN(MAX($AT98-$AU98-$AV98-$AW98,0)*'THAM_SO'!$M$23,'THAM_SO'!$M$26),MIN($AE98*'THAM_SO'!$M$23,'THAM_SO'!$M$26))))))</f>
        <v/>
      </c>
      <c r="BW98" s="224">
        <f>IF('DM_NHAN_SU'!$B98="","",$AX98+$BU98)</f>
        <v/>
      </c>
    </row>
    <row r="99">
      <c r="A99" s="145">
        <f>IF('DM_NHAN_SU'!$B99="","",IF($B99="","",ROW()-5))</f>
        <v/>
      </c>
      <c r="B99" s="145">
        <f>IF('DM_NHAN_SU'!$B99="","",'DM_NHAN_SU'!B99)</f>
        <v/>
      </c>
      <c r="C99" s="145">
        <f>IF('DM_NHAN_SU'!$B99="","",'DM_NHAN_SU'!C99)</f>
        <v/>
      </c>
      <c r="D99" s="145">
        <f>IF('DM_NHAN_SU'!$B99="","",'DM_NHAN_SU'!D99)</f>
        <v/>
      </c>
      <c r="E99" s="145">
        <f>IF('DM_NHAN_SU'!$B99="","",'DM_NHAN_SU'!E99)</f>
        <v/>
      </c>
      <c r="F99" s="145">
        <f>IF('DM_NHAN_SU'!$B99="","",'DM_NHAN_SU'!I99)</f>
        <v/>
      </c>
      <c r="G99" s="145">
        <f>IF('DM_NHAN_SU'!$B99="","",'DM_NHAN_SU'!J99)</f>
        <v/>
      </c>
      <c r="H99" s="145">
        <f>IF('DM_NHAN_SU'!$B99="","",IF('DM_NHAN_SU'!H99="",'THAM_SO'!$B$11,'DM_NHAN_SU'!H99))</f>
        <v/>
      </c>
      <c r="I99" s="232">
        <f>IF('DM_NHAN_SU'!$B99="","",IF('DM_NHAN_SU'!L99&gt;0,'DM_NHAN_SU'!L99,'THAM_SO'!$B$9))</f>
        <v/>
      </c>
      <c r="J99" s="232">
        <f>IF('DM_NHAN_SU'!$B99="","",IF('DM_NHAN_SU'!M99&gt;0,'DM_NHAN_SU'!M99,'THAM_SO'!$B$10))</f>
        <v/>
      </c>
      <c r="K99" s="232">
        <f>IF('DM_NHAN_SU'!$B99="","",'CHAM_CONG_THANG'!AC99)</f>
        <v/>
      </c>
      <c r="L99" s="232">
        <f>IF('DM_NHAN_SU'!$B99="","",'CHAM_CONG_THANG'!AD99)</f>
        <v/>
      </c>
      <c r="M99" s="232">
        <f>IF('DM_NHAN_SU'!$B99="","",'CHAM_CONG_THANG'!AE99)</f>
        <v/>
      </c>
      <c r="N99" s="232">
        <f>IF('DM_NHAN_SU'!$B99="","",'CHAM_CONG_THANG'!N99)</f>
        <v/>
      </c>
      <c r="O99" s="224">
        <f>IF('DM_NHAN_SU'!$B99="","",IF($B99="","",IF($G99="Tháng",IF($I99&gt;0,'DM_NHAN_SU'!$K99*MIN($K99,$I99)/$I99,0),IF($G99="Ngày",'DM_NHAN_SU'!$K99*$K99,IF($G99="Giờ",'DM_NHAN_SU'!$K99*$L99,IF($G99="Sản phẩm",'DM_NHAN_SU'!$K99*$N99,0))))))</f>
        <v/>
      </c>
      <c r="P99" s="224">
        <f>IF('DM_NHAN_SU'!$B99="","",'CHAM_CONG_THANG'!O99)</f>
        <v/>
      </c>
      <c r="Q99" s="224">
        <f>IF('DM_NHAN_SU'!$B99="","",'CHAM_CONG_THANG'!P99)</f>
        <v/>
      </c>
      <c r="R99" s="224">
        <f>IF('DM_NHAN_SU'!$B99="","",'CHAM_CONG_THANG'!Q99)</f>
        <v/>
      </c>
      <c r="S99" s="224">
        <f>IF('DM_NHAN_SU'!$B99="","",'CHAM_CONG_THANG'!R99)</f>
        <v/>
      </c>
      <c r="T99" s="224">
        <f>IF('DM_NHAN_SU'!$B99="","",'CHAM_CONG_THANG'!S99)</f>
        <v/>
      </c>
      <c r="U99" s="224">
        <f>IF('DM_NHAN_SU'!$B99="","",MIN($T99,'THAM_SO'!$F$6))</f>
        <v/>
      </c>
      <c r="V99" s="224">
        <f>IF('DM_NHAN_SU'!$B99="","",MAX($T99-$U99,0))</f>
        <v/>
      </c>
      <c r="W99" s="224">
        <f>IF('DM_NHAN_SU'!$B99="","",'CHAM_CONG_THANG'!T99)</f>
        <v/>
      </c>
      <c r="X99" s="224">
        <f>IF('DM_NHAN_SU'!$B99="","",'CHAM_CONG_THANG'!U99)</f>
        <v/>
      </c>
      <c r="Y99" s="224">
        <f>IF('DM_NHAN_SU'!$B99="","",IF($B99="",0,IF('DM_NHAN_SU'!$Q99&gt;0,'DM_NHAN_SU'!$Q99,IF($G99="Tháng",IF($I99*$J99&gt;0,'DM_NHAN_SU'!$K99/($I99*$J99),0),IF($G99="Ngày",IF($J99&gt;0,'DM_NHAN_SU'!$K99/$J99,0),IF($G99="Giờ",'DM_NHAN_SU'!$K99,0))))))</f>
        <v/>
      </c>
      <c r="Z99" s="224">
        <f>IF('DM_NHAN_SU'!$B99="","",$Y99*($M99*'THAM_SO'!$C$22+'CHAM_CONG_THANG'!$AF99*'THAM_SO'!$C$19+'CHAM_CONG_THANG'!$AG99*'THAM_SO'!$C$20+'CHAM_CONG_THANG'!$AH99*'THAM_SO'!$C$21+'CHAM_CONG_THANG'!$AI99*'THAM_SO'!$C$23+'CHAM_CONG_THANG'!$AJ99*'THAM_SO'!$C$24+'CHAM_CONG_THANG'!$AK99*'THAM_SO'!$C$25))</f>
        <v/>
      </c>
      <c r="AA99" s="224">
        <f>IF('DM_NHAN_SU'!$B99="","",MAX(0,$Y99*($M99*IF('THAM_SO'!$C$22&gt;='THAM_SO'!$B$22,'THAM_SO'!$B$22,0)+'CHAM_CONG_THANG'!$AF99*IF('THAM_SO'!$C$19&gt;='THAM_SO'!$B$19,'THAM_SO'!$B$19,0)+'CHAM_CONG_THANG'!$AG99*IF('THAM_SO'!$C$20&gt;='THAM_SO'!$B$20,'THAM_SO'!$B$20,0)+'CHAM_CONG_THANG'!$AH99*IF('THAM_SO'!$C$21&gt;='THAM_SO'!$B$21,'THAM_SO'!$B$21,0)+'CHAM_CONG_THANG'!$AI99*IF('THAM_SO'!$C$23&gt;='THAM_SO'!$B$23,'THAM_SO'!$B$23,0)+'CHAM_CONG_THANG'!$AJ99*IF('THAM_SO'!$C$24&gt;='THAM_SO'!$B$24,'THAM_SO'!$B$24,0)+'CHAM_CONG_THANG'!$AK99*IF('THAM_SO'!$C$25&gt;='THAM_SO'!$B$25,'THAM_SO'!$B$25,0))-'CHAM_CONG_THANG'!$V99))</f>
        <v/>
      </c>
      <c r="AB99" s="224">
        <f>IF('DM_NHAN_SU'!$B99="","",MAX($Z99-$AA99,0))</f>
        <v/>
      </c>
      <c r="AC99" s="224">
        <f>IF('DM_NHAN_SU'!$B99="","",$O99+$P99+$Q99+$R99+$S99+$V99+$AB99+$BO99+$BP99+$BQ99+$BR99)</f>
        <v/>
      </c>
      <c r="AD99" s="224">
        <f>IF('DM_NHAN_SU'!$B99="","",'DM_NHAN_SU'!N99+'DM_NHAN_SU'!O99+'DM_NHAN_SU'!P99)</f>
        <v/>
      </c>
      <c r="AE99" s="224">
        <f>IF('DM_NHAN_SU'!$B99="","",IF(OR('DM_NHAN_SU'!$R99&lt;&gt;"Có",'CHAM_CONG_THANG'!$AA99="Có",$BL99&gt;=14,$AD99&lt;=0),0,MIN(MAX($AD99,'THAM_SO'!$M$6),'THAM_SO'!$M$7)))</f>
        <v/>
      </c>
      <c r="AF99" s="224">
        <f>IF('DM_NHAN_SU'!$B99="","",IF(OR('DM_NHAN_SU'!$S99&lt;&gt;"Có",'CHAM_CONG_THANG'!$AA99="Có",$BL99&gt;=14,$AD99&lt;=0),0,MIN(MAX($AD99,VLOOKUP($H99,'THAM_SO'!$L$17:$P$20,4,FALSE)),VLOOKUP($H99,'THAM_SO'!$L$17:$P$20,5,FALSE))))</f>
        <v/>
      </c>
      <c r="AG99" s="224">
        <f>IF('DM_NHAN_SU'!$B99="","",$AE99*'THAM_SO'!$M$8)</f>
        <v/>
      </c>
      <c r="AH99" s="224">
        <f>IF('DM_NHAN_SU'!$B99="","",$AE99*'THAM_SO'!$M$9)</f>
        <v/>
      </c>
      <c r="AI99" s="224">
        <f>IF('DM_NHAN_SU'!$B99="","",$AF99*'THAM_SO'!$M$10)</f>
        <v/>
      </c>
      <c r="AJ99" s="224">
        <f>IF('DM_NHAN_SU'!$B99="","",SUM($AG99:$AI99))</f>
        <v/>
      </c>
      <c r="AK99" s="224">
        <f>IF('DM_NHAN_SU'!$B99="","",IF($B99="",0,'THAM_SO'!$F$4))</f>
        <v/>
      </c>
      <c r="AL99" s="224">
        <f>IF('DM_NHAN_SU'!$B99="","",IF($B99="",0,'DM_NHAN_SU'!$T99*'THAM_SO'!$F$5))</f>
        <v/>
      </c>
      <c r="AM99" s="224">
        <f>IF('DM_NHAN_SU'!$B99="","",'CHAM_CONG_THANG'!W99)</f>
        <v/>
      </c>
      <c r="AN99" s="224">
        <f>IF('DM_NHAN_SU'!$B99="","",MAX($AC99-$AK99-$AL99-$AM99,0))</f>
        <v/>
      </c>
      <c r="AO99" s="224">
        <f>IF('DM_NHAN_SU'!$B99="","",IF($B99="","",IF($F99="Net",IF($AC99&lt;=$AK99+$AL99+$AM99,$AC99+$AJ99,$AJ99+$AK99+$AL99+$AM99+IF($AN99&lt;='THAM_SO'!$J$10,($AN99-'THAM_SO'!$I$10)/(1-'THAM_SO'!$H$10),IF($AN99&lt;='THAM_SO'!$J$11,($AN99-'THAM_SO'!$I$11)/(1-'THAM_SO'!$H$11),IF($AN99&lt;='THAM_SO'!$J$12,($AN99-'THAM_SO'!$I$12)/(1-'THAM_SO'!$H$12),IF($AN99&lt;='THAM_SO'!$J$13,($AN99-'THAM_SO'!$I$13)/(1-'THAM_SO'!$H$13),($AN99-'THAM_SO'!$I$14)/(1-'THAM_SO'!$H$14)))))),$AC99)))</f>
        <v/>
      </c>
      <c r="AP99" s="224">
        <f>IF('DM_NHAN_SU'!$B99="","",$U99+$W99+$X99+$AA99+$BS99)</f>
        <v/>
      </c>
      <c r="AQ99" s="224">
        <f>IF('DM_NHAN_SU'!$B99="","",MAX($AO99-$AJ99-$AK99-$AL99-$AM99,0))</f>
        <v/>
      </c>
      <c r="AR99" s="224">
        <f>IF('DM_NHAN_SU'!$B99="","",IF($AQ99&lt;=0,0,$AQ99*VLOOKUP($AQ99,'THAM_SO'!$F$10:$I$14,3,TRUE)-VLOOKUP($AQ99,'THAM_SO'!$F$10:$I$14,4,TRUE)))</f>
        <v/>
      </c>
      <c r="AS99" s="224">
        <f>IF('DM_NHAN_SU'!$B99="","",$AO99+$AP99)</f>
        <v/>
      </c>
      <c r="AT99" s="224">
        <f>IF('DM_NHAN_SU'!$B99="","",$AS99-$AJ99-$AR99)</f>
        <v/>
      </c>
      <c r="AU99" s="224">
        <f>IF('DM_NHAN_SU'!$B99="","",'CHAM_CONG_THANG'!X99)</f>
        <v/>
      </c>
      <c r="AV99" s="224">
        <f>IF('DM_NHAN_SU'!$B99="","",'CHAM_CONG_THANG'!Y99+'QT_NGHI_VIEC'!AD99)</f>
        <v/>
      </c>
      <c r="AW99" s="224">
        <f>IF('DM_NHAN_SU'!$B99="","",'CHAM_CONG_THANG'!Z99)</f>
        <v/>
      </c>
      <c r="AX99" s="224">
        <f>IF('DM_NHAN_SU'!$B99="","",$AT99-$AU99-$AV99-$AW99-$BV99)</f>
        <v/>
      </c>
      <c r="AY99" s="224">
        <f>IF('DM_NHAN_SU'!$B99="","",$AE99*'THAM_SO'!$M$11)</f>
        <v/>
      </c>
      <c r="AZ99" s="224">
        <f>IF('DM_NHAN_SU'!$B99="","",$AE99*'THAM_SO'!$M$12)</f>
        <v/>
      </c>
      <c r="BA99" s="224">
        <f>IF('DM_NHAN_SU'!$B99="","",$AF99*'THAM_SO'!$M$13)</f>
        <v/>
      </c>
      <c r="BB99" s="224">
        <f>IF('DM_NHAN_SU'!$B99="","",$AE99*'THAM_SO'!$M$14)</f>
        <v/>
      </c>
      <c r="BC99" s="224">
        <f>IF('DM_NHAN_SU'!$B99="","",SUM($AY99:$BB99))</f>
        <v/>
      </c>
      <c r="BD99" s="224">
        <f>IF('DM_NHAN_SU'!$B99="","",$AS99+$BC99)</f>
        <v/>
      </c>
      <c r="BE99" s="224">
        <f>IF('DM_NHAN_SU'!$B99="","",VLOOKUP($H99,'THAM_SO'!$L$17:$P$20,2,FALSE))</f>
        <v/>
      </c>
      <c r="BF99" s="224">
        <f>IF('DM_NHAN_SU'!$B99="","",VLOOKUP($H99,'THAM_SO'!$L$17:$P$20,3,FALSE))</f>
        <v/>
      </c>
      <c r="BG99" s="150">
        <f>IF('DM_NHAN_SU'!$B99="","",IF($B99="","",IF(COUNTIF('DM_NHAN_SU'!$B$6:$B$155,$B99)&gt;1,"Trùng mã NV; ","")&amp;IF(OR($F99="",$G99=""),"Thiếu loại/hình thức lương; ","")&amp;IF('CHAM_CONG_THANG'!$D99="","Chưa chọn nguồn công; ","")&amp;IF(AND('CHAM_CONG_THANG'!$D99="Theo ngày",COUNTIF('CHAM_CONG_NGAY'!$B$6:$B$4655,$B99)=0),"Chưa có chấm công ngày; ","")&amp;IF(OR($I99&lt;=0,$J99&lt;=0),"Thiếu công/giờ chuẩn; ","")&amp;IF(AND($G99="Tháng",'DM_NHAN_SU'!$K99&lt;$BE99),"Lương tháng dưới tối thiểu vùng; ","")&amp;IF(AND($G99="Ngày",'DM_NHAN_SU'!$K99/$J99&lt;$BF99),"Lương ngày quy đổi dưới tối thiểu giờ; ","")&amp;IF(AND($G99="Giờ",'DM_NHAN_SU'!$K99&lt;$BF99),"Lương giờ dưới tối thiểu vùng; ","")&amp;IF(AND($G99="Sản phẩm",$L99&gt;0,$O99/$L99&lt;$BF99),"Lương SP quy đổi dưới tối thiểu giờ; ","")&amp;IF(OR('THAM_SO'!$C$19&lt;'THAM_SO'!$B$19,'THAM_SO'!$C$20&lt;'THAM_SO'!$B$20,'THAM_SO'!$C$21&lt;'THAM_SO'!$B$21,'THAM_SO'!$C$22&lt;'THAM_SO'!$B$22,'THAM_SO'!$C$23&lt;'THAM_SO'!$B$23,'THAM_SO'!$C$24&lt;'THAM_SO'!$B$24,'THAM_SO'!$C$25&lt;'THAM_SO'!$B$25),"Hệ số OT/đêm DN thấp hơn luật; ","")&amp;IF(AND('DM_NHAN_SU'!$R99="Có",$AD99&lt;=0),"Thiếu căn cứ đóng BH; ","")&amp;IF(AND($AD99&gt;0,$AD99&lt;'THAM_SO'!$M$6),"Căn cứ BH dưới sàn – đã nâng sàn; ","")&amp;IF($AD99&gt;'THAM_SO'!$M$7,"Căn cứ BH vượt trần – đã giới hạn; ","")&amp;IF(AND($F99="Net",SUM('CHAM_CONG_THANG'!$AF99:$AK99)&gt;0,'DM_NHAN_SU'!$Q99&lt;=0),"Net có OT nhưng chưa khai lương giờ OT; ","")&amp;IF('CHAM_CONG_THANG'!$V99&gt;$Z99,"Phần OT không miễn lớn hơn tiền OT; ","")&amp;IF(AND($F99="Net",ABS($AT99-$AC99-$AP99)&gt;1),"Lệch quy đổi Net; ","")&amp;IF(AND($BH99&gt;0,'DM_NHAN_SU'!$AD99=""),"Có phép năm nhưng đang tạm dùng 12 ngày; ","")&amp;IF(AND($G99="Sản phẩm",SUM($BH99:$BJ99)&gt;0,'DM_NHAN_SU'!$AH99&lt;=0),"Lương sản phẩm thiếu đơn giá ngày phép/lễ; ","")&amp;IF(AND($BL99&gt;=14,'CHAM_CONG_THANG'!$AA99&lt;&gt;"Có"),"Thai sản từ 14 ngày: file tự dừng đóng BH – kiểm tra hồ sơ; ","")&amp;IF(AND('DM_NHAN_SU'!$AA99="Có",'DM_NHAN_SU'!$AB99=""),"Đoàn viên chưa chọn cách tính đoàn phí; ","")&amp;IF(AND('DM_NHAN_SU'!$AB99="Nhập tay",'DM_NHAN_SU'!$AC99&gt;'THAM_SO'!$M$26),"Đoàn phí nhập tay vượt trần thông dụng; ","")&amp;IF('NGHI_PHEP'!$L99&lt;&gt;"","Phép: "&amp;'NGHI_PHEP'!$L99,"")&amp;IF('CHE_DO_BHXH'!$AA99&lt;&gt;"","BHXH: "&amp;'CHE_DO_BHXH'!$AA99,"")&amp;IF('THUONG_T13_TET'!$O99&lt;&gt;"","Thưởng: "&amp;'THUONG_T13_TET'!$O99,"")&amp;IF('QT_NGHI_VIEC'!$AF99&lt;&gt;"","Nghỉ việc: "&amp;'QT_NGHI_VIEC'!$AF99,"")&amp;IF($AX99&lt;0,"Thực lĩnh âm; ","")&amp;IF(OR('DM_NHAN_SU'!$F99&gt;'THAM_SO'!$B$7,AND('DM_NHAN_SU'!$G99&lt;&gt;"",'DM_NHAN_SU'!$G99&lt;'THAM_SO'!$B$6)),"Ngoài kỳ trả lương; ","")))</f>
        <v/>
      </c>
      <c r="BH99" s="232">
        <f>IF('DM_NHAN_SU'!$B99="","",'CHAM_CONG_THANG'!AR99)</f>
        <v/>
      </c>
      <c r="BI99" s="232">
        <f>IF('DM_NHAN_SU'!$B99="","",'CHAM_CONG_THANG'!AS99)</f>
        <v/>
      </c>
      <c r="BJ99" s="232">
        <f>IF('DM_NHAN_SU'!$B99="","",'CHAM_CONG_THANG'!AT99)</f>
        <v/>
      </c>
      <c r="BK99" s="232">
        <f>IF('DM_NHAN_SU'!$B99="","",'CHAM_CONG_THANG'!AU99)</f>
        <v/>
      </c>
      <c r="BL99" s="232">
        <f>IF('DM_NHAN_SU'!$B99="","",'CHAM_CONG_THANG'!AV99)</f>
        <v/>
      </c>
      <c r="BM99" s="232">
        <f>IF('DM_NHAN_SU'!$B99="","",'CHAM_CONG_THANG'!AW99)</f>
        <v/>
      </c>
      <c r="BN99" s="232">
        <f>IF('DM_NHAN_SU'!$B99="","",SUM($K99,$BH99:$BJ99))</f>
        <v/>
      </c>
      <c r="BO99" s="224">
        <f>IF('DM_NHAN_SU'!$B99="","",IF($B99="",0,IF($G99="Tháng",IF($I99&gt;0,'DM_NHAN_SU'!$K99*MIN($BH99+$BJ99,MAX($I99-$K99,0))/$I99,0),IF($G99="Ngày",'DM_NHAN_SU'!$K99*SUM($BH99:$BJ99),IF($G99="Giờ",'DM_NHAN_SU'!$K99*SUM($BH99:$BJ99)*$J99,IF($G99="Sản phẩm",'DM_NHAN_SU'!$AH99*SUM($BH99:$BJ99),0))))))</f>
        <v/>
      </c>
      <c r="BP99" s="224">
        <f>IF('DM_NHAN_SU'!$B99="","",IF('THUONG_T13_TET'!$L99="Có",'THUONG_T13_TET'!$I99,0))</f>
        <v/>
      </c>
      <c r="BQ99" s="224">
        <f>IF('DM_NHAN_SU'!$B99="","",IF('THUONG_T13_TET'!$L99="Có",SUM('THUONG_T13_TET'!$J99:$K99),0))</f>
        <v/>
      </c>
      <c r="BR99" s="224">
        <f>IF('DM_NHAN_SU'!$B99="","",'QT_NGHI_VIEC'!AC99)</f>
        <v/>
      </c>
      <c r="BS99" s="224">
        <f>IF('DM_NHAN_SU'!$B99="","",'QT_NGHI_VIEC'!AB99)</f>
        <v/>
      </c>
      <c r="BT99" s="224">
        <f>IF('DM_NHAN_SU'!$B99="","",IF('CHE_DO_BHXH'!$Z99="Có",'CHE_DO_BHXH'!$W99,0))</f>
        <v/>
      </c>
      <c r="BU99" s="224">
        <f>IF('DM_NHAN_SU'!$B99="","",IF('CHE_DO_BHXH'!$Y99="DN trả thay",$BT99,0))</f>
        <v/>
      </c>
      <c r="BV99" s="224">
        <f>IF('DM_NHAN_SU'!$B99="","",IF(OR('DM_NHAN_SU'!$AA99&lt;&gt;"Có",'CHE_DO_BHXH'!$O99&gt;=1,SUM('CHE_DO_BHXH'!$D99,'CHE_DO_BHXH'!$G99,'CHE_DO_BHXH'!$K99)&gt;=24,AND($I99&gt;0,$BM99&gt;=$I99)),0,IF('DM_NHAN_SU'!$AB99="Không",0,IF('DM_NHAN_SU'!$AB99="Nhập tay",'DM_NHAN_SU'!$AC99,IF('DM_NHAN_SU'!$AB99="Theo thực nhận",MIN(MAX($AT99-$AU99-$AV99-$AW99,0)*'THAM_SO'!$M$23,'THAM_SO'!$M$26),MIN($AE99*'THAM_SO'!$M$23,'THAM_SO'!$M$26))))))</f>
        <v/>
      </c>
      <c r="BW99" s="224">
        <f>IF('DM_NHAN_SU'!$B99="","",$AX99+$BU99)</f>
        <v/>
      </c>
    </row>
    <row r="100">
      <c r="A100" s="145">
        <f>IF('DM_NHAN_SU'!$B100="","",IF($B100="","",ROW()-5))</f>
        <v/>
      </c>
      <c r="B100" s="145">
        <f>IF('DM_NHAN_SU'!$B100="","",'DM_NHAN_SU'!B100)</f>
        <v/>
      </c>
      <c r="C100" s="145">
        <f>IF('DM_NHAN_SU'!$B100="","",'DM_NHAN_SU'!C100)</f>
        <v/>
      </c>
      <c r="D100" s="145">
        <f>IF('DM_NHAN_SU'!$B100="","",'DM_NHAN_SU'!D100)</f>
        <v/>
      </c>
      <c r="E100" s="145">
        <f>IF('DM_NHAN_SU'!$B100="","",'DM_NHAN_SU'!E100)</f>
        <v/>
      </c>
      <c r="F100" s="145">
        <f>IF('DM_NHAN_SU'!$B100="","",'DM_NHAN_SU'!I100)</f>
        <v/>
      </c>
      <c r="G100" s="145">
        <f>IF('DM_NHAN_SU'!$B100="","",'DM_NHAN_SU'!J100)</f>
        <v/>
      </c>
      <c r="H100" s="145">
        <f>IF('DM_NHAN_SU'!$B100="","",IF('DM_NHAN_SU'!H100="",'THAM_SO'!$B$11,'DM_NHAN_SU'!H100))</f>
        <v/>
      </c>
      <c r="I100" s="232">
        <f>IF('DM_NHAN_SU'!$B100="","",IF('DM_NHAN_SU'!L100&gt;0,'DM_NHAN_SU'!L100,'THAM_SO'!$B$9))</f>
        <v/>
      </c>
      <c r="J100" s="232">
        <f>IF('DM_NHAN_SU'!$B100="","",IF('DM_NHAN_SU'!M100&gt;0,'DM_NHAN_SU'!M100,'THAM_SO'!$B$10))</f>
        <v/>
      </c>
      <c r="K100" s="232">
        <f>IF('DM_NHAN_SU'!$B100="","",'CHAM_CONG_THANG'!AC100)</f>
        <v/>
      </c>
      <c r="L100" s="232">
        <f>IF('DM_NHAN_SU'!$B100="","",'CHAM_CONG_THANG'!AD100)</f>
        <v/>
      </c>
      <c r="M100" s="232">
        <f>IF('DM_NHAN_SU'!$B100="","",'CHAM_CONG_THANG'!AE100)</f>
        <v/>
      </c>
      <c r="N100" s="232">
        <f>IF('DM_NHAN_SU'!$B100="","",'CHAM_CONG_THANG'!N100)</f>
        <v/>
      </c>
      <c r="O100" s="224">
        <f>IF('DM_NHAN_SU'!$B100="","",IF($B100="","",IF($G100="Tháng",IF($I100&gt;0,'DM_NHAN_SU'!$K100*MIN($K100,$I100)/$I100,0),IF($G100="Ngày",'DM_NHAN_SU'!$K100*$K100,IF($G100="Giờ",'DM_NHAN_SU'!$K100*$L100,IF($G100="Sản phẩm",'DM_NHAN_SU'!$K100*$N100,0))))))</f>
        <v/>
      </c>
      <c r="P100" s="224">
        <f>IF('DM_NHAN_SU'!$B100="","",'CHAM_CONG_THANG'!O100)</f>
        <v/>
      </c>
      <c r="Q100" s="224">
        <f>IF('DM_NHAN_SU'!$B100="","",'CHAM_CONG_THANG'!P100)</f>
        <v/>
      </c>
      <c r="R100" s="224">
        <f>IF('DM_NHAN_SU'!$B100="","",'CHAM_CONG_THANG'!Q100)</f>
        <v/>
      </c>
      <c r="S100" s="224">
        <f>IF('DM_NHAN_SU'!$B100="","",'CHAM_CONG_THANG'!R100)</f>
        <v/>
      </c>
      <c r="T100" s="224">
        <f>IF('DM_NHAN_SU'!$B100="","",'CHAM_CONG_THANG'!S100)</f>
        <v/>
      </c>
      <c r="U100" s="224">
        <f>IF('DM_NHAN_SU'!$B100="","",MIN($T100,'THAM_SO'!$F$6))</f>
        <v/>
      </c>
      <c r="V100" s="224">
        <f>IF('DM_NHAN_SU'!$B100="","",MAX($T100-$U100,0))</f>
        <v/>
      </c>
      <c r="W100" s="224">
        <f>IF('DM_NHAN_SU'!$B100="","",'CHAM_CONG_THANG'!T100)</f>
        <v/>
      </c>
      <c r="X100" s="224">
        <f>IF('DM_NHAN_SU'!$B100="","",'CHAM_CONG_THANG'!U100)</f>
        <v/>
      </c>
      <c r="Y100" s="224">
        <f>IF('DM_NHAN_SU'!$B100="","",IF($B100="",0,IF('DM_NHAN_SU'!$Q100&gt;0,'DM_NHAN_SU'!$Q100,IF($G100="Tháng",IF($I100*$J100&gt;0,'DM_NHAN_SU'!$K100/($I100*$J100),0),IF($G100="Ngày",IF($J100&gt;0,'DM_NHAN_SU'!$K100/$J100,0),IF($G100="Giờ",'DM_NHAN_SU'!$K100,0))))))</f>
        <v/>
      </c>
      <c r="Z100" s="224">
        <f>IF('DM_NHAN_SU'!$B100="","",$Y100*($M100*'THAM_SO'!$C$22+'CHAM_CONG_THANG'!$AF100*'THAM_SO'!$C$19+'CHAM_CONG_THANG'!$AG100*'THAM_SO'!$C$20+'CHAM_CONG_THANG'!$AH100*'THAM_SO'!$C$21+'CHAM_CONG_THANG'!$AI100*'THAM_SO'!$C$23+'CHAM_CONG_THANG'!$AJ100*'THAM_SO'!$C$24+'CHAM_CONG_THANG'!$AK100*'THAM_SO'!$C$25))</f>
        <v/>
      </c>
      <c r="AA100" s="224">
        <f>IF('DM_NHAN_SU'!$B100="","",MAX(0,$Y100*($M100*IF('THAM_SO'!$C$22&gt;='THAM_SO'!$B$22,'THAM_SO'!$B$22,0)+'CHAM_CONG_THANG'!$AF100*IF('THAM_SO'!$C$19&gt;='THAM_SO'!$B$19,'THAM_SO'!$B$19,0)+'CHAM_CONG_THANG'!$AG100*IF('THAM_SO'!$C$20&gt;='THAM_SO'!$B$20,'THAM_SO'!$B$20,0)+'CHAM_CONG_THANG'!$AH100*IF('THAM_SO'!$C$21&gt;='THAM_SO'!$B$21,'THAM_SO'!$B$21,0)+'CHAM_CONG_THANG'!$AI100*IF('THAM_SO'!$C$23&gt;='THAM_SO'!$B$23,'THAM_SO'!$B$23,0)+'CHAM_CONG_THANG'!$AJ100*IF('THAM_SO'!$C$24&gt;='THAM_SO'!$B$24,'THAM_SO'!$B$24,0)+'CHAM_CONG_THANG'!$AK100*IF('THAM_SO'!$C$25&gt;='THAM_SO'!$B$25,'THAM_SO'!$B$25,0))-'CHAM_CONG_THANG'!$V100))</f>
        <v/>
      </c>
      <c r="AB100" s="224">
        <f>IF('DM_NHAN_SU'!$B100="","",MAX($Z100-$AA100,0))</f>
        <v/>
      </c>
      <c r="AC100" s="224">
        <f>IF('DM_NHAN_SU'!$B100="","",$O100+$P100+$Q100+$R100+$S100+$V100+$AB100+$BO100+$BP100+$BQ100+$BR100)</f>
        <v/>
      </c>
      <c r="AD100" s="224">
        <f>IF('DM_NHAN_SU'!$B100="","",'DM_NHAN_SU'!N100+'DM_NHAN_SU'!O100+'DM_NHAN_SU'!P100)</f>
        <v/>
      </c>
      <c r="AE100" s="224">
        <f>IF('DM_NHAN_SU'!$B100="","",IF(OR('DM_NHAN_SU'!$R100&lt;&gt;"Có",'CHAM_CONG_THANG'!$AA100="Có",$BL100&gt;=14,$AD100&lt;=0),0,MIN(MAX($AD100,'THAM_SO'!$M$6),'THAM_SO'!$M$7)))</f>
        <v/>
      </c>
      <c r="AF100" s="224">
        <f>IF('DM_NHAN_SU'!$B100="","",IF(OR('DM_NHAN_SU'!$S100&lt;&gt;"Có",'CHAM_CONG_THANG'!$AA100="Có",$BL100&gt;=14,$AD100&lt;=0),0,MIN(MAX($AD100,VLOOKUP($H100,'THAM_SO'!$L$17:$P$20,4,FALSE)),VLOOKUP($H100,'THAM_SO'!$L$17:$P$20,5,FALSE))))</f>
        <v/>
      </c>
      <c r="AG100" s="224">
        <f>IF('DM_NHAN_SU'!$B100="","",$AE100*'THAM_SO'!$M$8)</f>
        <v/>
      </c>
      <c r="AH100" s="224">
        <f>IF('DM_NHAN_SU'!$B100="","",$AE100*'THAM_SO'!$M$9)</f>
        <v/>
      </c>
      <c r="AI100" s="224">
        <f>IF('DM_NHAN_SU'!$B100="","",$AF100*'THAM_SO'!$M$10)</f>
        <v/>
      </c>
      <c r="AJ100" s="224">
        <f>IF('DM_NHAN_SU'!$B100="","",SUM($AG100:$AI100))</f>
        <v/>
      </c>
      <c r="AK100" s="224">
        <f>IF('DM_NHAN_SU'!$B100="","",IF($B100="",0,'THAM_SO'!$F$4))</f>
        <v/>
      </c>
      <c r="AL100" s="224">
        <f>IF('DM_NHAN_SU'!$B100="","",IF($B100="",0,'DM_NHAN_SU'!$T100*'THAM_SO'!$F$5))</f>
        <v/>
      </c>
      <c r="AM100" s="224">
        <f>IF('DM_NHAN_SU'!$B100="","",'CHAM_CONG_THANG'!W100)</f>
        <v/>
      </c>
      <c r="AN100" s="224">
        <f>IF('DM_NHAN_SU'!$B100="","",MAX($AC100-$AK100-$AL100-$AM100,0))</f>
        <v/>
      </c>
      <c r="AO100" s="224">
        <f>IF('DM_NHAN_SU'!$B100="","",IF($B100="","",IF($F100="Net",IF($AC100&lt;=$AK100+$AL100+$AM100,$AC100+$AJ100,$AJ100+$AK100+$AL100+$AM100+IF($AN100&lt;='THAM_SO'!$J$10,($AN100-'THAM_SO'!$I$10)/(1-'THAM_SO'!$H$10),IF($AN100&lt;='THAM_SO'!$J$11,($AN100-'THAM_SO'!$I$11)/(1-'THAM_SO'!$H$11),IF($AN100&lt;='THAM_SO'!$J$12,($AN100-'THAM_SO'!$I$12)/(1-'THAM_SO'!$H$12),IF($AN100&lt;='THAM_SO'!$J$13,($AN100-'THAM_SO'!$I$13)/(1-'THAM_SO'!$H$13),($AN100-'THAM_SO'!$I$14)/(1-'THAM_SO'!$H$14)))))),$AC100)))</f>
        <v/>
      </c>
      <c r="AP100" s="224">
        <f>IF('DM_NHAN_SU'!$B100="","",$U100+$W100+$X100+$AA100+$BS100)</f>
        <v/>
      </c>
      <c r="AQ100" s="224">
        <f>IF('DM_NHAN_SU'!$B100="","",MAX($AO100-$AJ100-$AK100-$AL100-$AM100,0))</f>
        <v/>
      </c>
      <c r="AR100" s="224">
        <f>IF('DM_NHAN_SU'!$B100="","",IF($AQ100&lt;=0,0,$AQ100*VLOOKUP($AQ100,'THAM_SO'!$F$10:$I$14,3,TRUE)-VLOOKUP($AQ100,'THAM_SO'!$F$10:$I$14,4,TRUE)))</f>
        <v/>
      </c>
      <c r="AS100" s="224">
        <f>IF('DM_NHAN_SU'!$B100="","",$AO100+$AP100)</f>
        <v/>
      </c>
      <c r="AT100" s="224">
        <f>IF('DM_NHAN_SU'!$B100="","",$AS100-$AJ100-$AR100)</f>
        <v/>
      </c>
      <c r="AU100" s="224">
        <f>IF('DM_NHAN_SU'!$B100="","",'CHAM_CONG_THANG'!X100)</f>
        <v/>
      </c>
      <c r="AV100" s="224">
        <f>IF('DM_NHAN_SU'!$B100="","",'CHAM_CONG_THANG'!Y100+'QT_NGHI_VIEC'!AD100)</f>
        <v/>
      </c>
      <c r="AW100" s="224">
        <f>IF('DM_NHAN_SU'!$B100="","",'CHAM_CONG_THANG'!Z100)</f>
        <v/>
      </c>
      <c r="AX100" s="224">
        <f>IF('DM_NHAN_SU'!$B100="","",$AT100-$AU100-$AV100-$AW100-$BV100)</f>
        <v/>
      </c>
      <c r="AY100" s="224">
        <f>IF('DM_NHAN_SU'!$B100="","",$AE100*'THAM_SO'!$M$11)</f>
        <v/>
      </c>
      <c r="AZ100" s="224">
        <f>IF('DM_NHAN_SU'!$B100="","",$AE100*'THAM_SO'!$M$12)</f>
        <v/>
      </c>
      <c r="BA100" s="224">
        <f>IF('DM_NHAN_SU'!$B100="","",$AF100*'THAM_SO'!$M$13)</f>
        <v/>
      </c>
      <c r="BB100" s="224">
        <f>IF('DM_NHAN_SU'!$B100="","",$AE100*'THAM_SO'!$M$14)</f>
        <v/>
      </c>
      <c r="BC100" s="224">
        <f>IF('DM_NHAN_SU'!$B100="","",SUM($AY100:$BB100))</f>
        <v/>
      </c>
      <c r="BD100" s="224">
        <f>IF('DM_NHAN_SU'!$B100="","",$AS100+$BC100)</f>
        <v/>
      </c>
      <c r="BE100" s="224">
        <f>IF('DM_NHAN_SU'!$B100="","",VLOOKUP($H100,'THAM_SO'!$L$17:$P$20,2,FALSE))</f>
        <v/>
      </c>
      <c r="BF100" s="224">
        <f>IF('DM_NHAN_SU'!$B100="","",VLOOKUP($H100,'THAM_SO'!$L$17:$P$20,3,FALSE))</f>
        <v/>
      </c>
      <c r="BG100" s="150">
        <f>IF('DM_NHAN_SU'!$B100="","",IF($B100="","",IF(COUNTIF('DM_NHAN_SU'!$B$6:$B$155,$B100)&gt;1,"Trùng mã NV; ","")&amp;IF(OR($F100="",$G100=""),"Thiếu loại/hình thức lương; ","")&amp;IF('CHAM_CONG_THANG'!$D100="","Chưa chọn nguồn công; ","")&amp;IF(AND('CHAM_CONG_THANG'!$D100="Theo ngày",COUNTIF('CHAM_CONG_NGAY'!$B$6:$B$4655,$B100)=0),"Chưa có chấm công ngày; ","")&amp;IF(OR($I100&lt;=0,$J100&lt;=0),"Thiếu công/giờ chuẩn; ","")&amp;IF(AND($G100="Tháng",'DM_NHAN_SU'!$K100&lt;$BE100),"Lương tháng dưới tối thiểu vùng; ","")&amp;IF(AND($G100="Ngày",'DM_NHAN_SU'!$K100/$J100&lt;$BF100),"Lương ngày quy đổi dưới tối thiểu giờ; ","")&amp;IF(AND($G100="Giờ",'DM_NHAN_SU'!$K100&lt;$BF100),"Lương giờ dưới tối thiểu vùng; ","")&amp;IF(AND($G100="Sản phẩm",$L100&gt;0,$O100/$L100&lt;$BF100),"Lương SP quy đổi dưới tối thiểu giờ; ","")&amp;IF(OR('THAM_SO'!$C$19&lt;'THAM_SO'!$B$19,'THAM_SO'!$C$20&lt;'THAM_SO'!$B$20,'THAM_SO'!$C$21&lt;'THAM_SO'!$B$21,'THAM_SO'!$C$22&lt;'THAM_SO'!$B$22,'THAM_SO'!$C$23&lt;'THAM_SO'!$B$23,'THAM_SO'!$C$24&lt;'THAM_SO'!$B$24,'THAM_SO'!$C$25&lt;'THAM_SO'!$B$25),"Hệ số OT/đêm DN thấp hơn luật; ","")&amp;IF(AND('DM_NHAN_SU'!$R100="Có",$AD100&lt;=0),"Thiếu căn cứ đóng BH; ","")&amp;IF(AND($AD100&gt;0,$AD100&lt;'THAM_SO'!$M$6),"Căn cứ BH dưới sàn – đã nâng sàn; ","")&amp;IF($AD100&gt;'THAM_SO'!$M$7,"Căn cứ BH vượt trần – đã giới hạn; ","")&amp;IF(AND($F100="Net",SUM('CHAM_CONG_THANG'!$AF100:$AK100)&gt;0,'DM_NHAN_SU'!$Q100&lt;=0),"Net có OT nhưng chưa khai lương giờ OT; ","")&amp;IF('CHAM_CONG_THANG'!$V100&gt;$Z100,"Phần OT không miễn lớn hơn tiền OT; ","")&amp;IF(AND($F100="Net",ABS($AT100-$AC100-$AP100)&gt;1),"Lệch quy đổi Net; ","")&amp;IF(AND($BH100&gt;0,'DM_NHAN_SU'!$AD100=""),"Có phép năm nhưng đang tạm dùng 12 ngày; ","")&amp;IF(AND($G100="Sản phẩm",SUM($BH100:$BJ100)&gt;0,'DM_NHAN_SU'!$AH100&lt;=0),"Lương sản phẩm thiếu đơn giá ngày phép/lễ; ","")&amp;IF(AND($BL100&gt;=14,'CHAM_CONG_THANG'!$AA100&lt;&gt;"Có"),"Thai sản từ 14 ngày: file tự dừng đóng BH – kiểm tra hồ sơ; ","")&amp;IF(AND('DM_NHAN_SU'!$AA100="Có",'DM_NHAN_SU'!$AB100=""),"Đoàn viên chưa chọn cách tính đoàn phí; ","")&amp;IF(AND('DM_NHAN_SU'!$AB100="Nhập tay",'DM_NHAN_SU'!$AC100&gt;'THAM_SO'!$M$26),"Đoàn phí nhập tay vượt trần thông dụng; ","")&amp;IF('NGHI_PHEP'!$L100&lt;&gt;"","Phép: "&amp;'NGHI_PHEP'!$L100,"")&amp;IF('CHE_DO_BHXH'!$AA100&lt;&gt;"","BHXH: "&amp;'CHE_DO_BHXH'!$AA100,"")&amp;IF('THUONG_T13_TET'!$O100&lt;&gt;"","Thưởng: "&amp;'THUONG_T13_TET'!$O100,"")&amp;IF('QT_NGHI_VIEC'!$AF100&lt;&gt;"","Nghỉ việc: "&amp;'QT_NGHI_VIEC'!$AF100,"")&amp;IF($AX100&lt;0,"Thực lĩnh âm; ","")&amp;IF(OR('DM_NHAN_SU'!$F100&gt;'THAM_SO'!$B$7,AND('DM_NHAN_SU'!$G100&lt;&gt;"",'DM_NHAN_SU'!$G100&lt;'THAM_SO'!$B$6)),"Ngoài kỳ trả lương; ","")))</f>
        <v/>
      </c>
      <c r="BH100" s="232">
        <f>IF('DM_NHAN_SU'!$B100="","",'CHAM_CONG_THANG'!AR100)</f>
        <v/>
      </c>
      <c r="BI100" s="232">
        <f>IF('DM_NHAN_SU'!$B100="","",'CHAM_CONG_THANG'!AS100)</f>
        <v/>
      </c>
      <c r="BJ100" s="232">
        <f>IF('DM_NHAN_SU'!$B100="","",'CHAM_CONG_THANG'!AT100)</f>
        <v/>
      </c>
      <c r="BK100" s="232">
        <f>IF('DM_NHAN_SU'!$B100="","",'CHAM_CONG_THANG'!AU100)</f>
        <v/>
      </c>
      <c r="BL100" s="232">
        <f>IF('DM_NHAN_SU'!$B100="","",'CHAM_CONG_THANG'!AV100)</f>
        <v/>
      </c>
      <c r="BM100" s="232">
        <f>IF('DM_NHAN_SU'!$B100="","",'CHAM_CONG_THANG'!AW100)</f>
        <v/>
      </c>
      <c r="BN100" s="232">
        <f>IF('DM_NHAN_SU'!$B100="","",SUM($K100,$BH100:$BJ100))</f>
        <v/>
      </c>
      <c r="BO100" s="224">
        <f>IF('DM_NHAN_SU'!$B100="","",IF($B100="",0,IF($G100="Tháng",IF($I100&gt;0,'DM_NHAN_SU'!$K100*MIN($BH100+$BJ100,MAX($I100-$K100,0))/$I100,0),IF($G100="Ngày",'DM_NHAN_SU'!$K100*SUM($BH100:$BJ100),IF($G100="Giờ",'DM_NHAN_SU'!$K100*SUM($BH100:$BJ100)*$J100,IF($G100="Sản phẩm",'DM_NHAN_SU'!$AH100*SUM($BH100:$BJ100),0))))))</f>
        <v/>
      </c>
      <c r="BP100" s="224">
        <f>IF('DM_NHAN_SU'!$B100="","",IF('THUONG_T13_TET'!$L100="Có",'THUONG_T13_TET'!$I100,0))</f>
        <v/>
      </c>
      <c r="BQ100" s="224">
        <f>IF('DM_NHAN_SU'!$B100="","",IF('THUONG_T13_TET'!$L100="Có",SUM('THUONG_T13_TET'!$J100:$K100),0))</f>
        <v/>
      </c>
      <c r="BR100" s="224">
        <f>IF('DM_NHAN_SU'!$B100="","",'QT_NGHI_VIEC'!AC100)</f>
        <v/>
      </c>
      <c r="BS100" s="224">
        <f>IF('DM_NHAN_SU'!$B100="","",'QT_NGHI_VIEC'!AB100)</f>
        <v/>
      </c>
      <c r="BT100" s="224">
        <f>IF('DM_NHAN_SU'!$B100="","",IF('CHE_DO_BHXH'!$Z100="Có",'CHE_DO_BHXH'!$W100,0))</f>
        <v/>
      </c>
      <c r="BU100" s="224">
        <f>IF('DM_NHAN_SU'!$B100="","",IF('CHE_DO_BHXH'!$Y100="DN trả thay",$BT100,0))</f>
        <v/>
      </c>
      <c r="BV100" s="224">
        <f>IF('DM_NHAN_SU'!$B100="","",IF(OR('DM_NHAN_SU'!$AA100&lt;&gt;"Có",'CHE_DO_BHXH'!$O100&gt;=1,SUM('CHE_DO_BHXH'!$D100,'CHE_DO_BHXH'!$G100,'CHE_DO_BHXH'!$K100)&gt;=24,AND($I100&gt;0,$BM100&gt;=$I100)),0,IF('DM_NHAN_SU'!$AB100="Không",0,IF('DM_NHAN_SU'!$AB100="Nhập tay",'DM_NHAN_SU'!$AC100,IF('DM_NHAN_SU'!$AB100="Theo thực nhận",MIN(MAX($AT100-$AU100-$AV100-$AW100,0)*'THAM_SO'!$M$23,'THAM_SO'!$M$26),MIN($AE100*'THAM_SO'!$M$23,'THAM_SO'!$M$26))))))</f>
        <v/>
      </c>
      <c r="BW100" s="224">
        <f>IF('DM_NHAN_SU'!$B100="","",$AX100+$BU100)</f>
        <v/>
      </c>
    </row>
    <row r="101">
      <c r="A101" s="145">
        <f>IF('DM_NHAN_SU'!$B101="","",IF($B101="","",ROW()-5))</f>
        <v/>
      </c>
      <c r="B101" s="145">
        <f>IF('DM_NHAN_SU'!$B101="","",'DM_NHAN_SU'!B101)</f>
        <v/>
      </c>
      <c r="C101" s="145">
        <f>IF('DM_NHAN_SU'!$B101="","",'DM_NHAN_SU'!C101)</f>
        <v/>
      </c>
      <c r="D101" s="145">
        <f>IF('DM_NHAN_SU'!$B101="","",'DM_NHAN_SU'!D101)</f>
        <v/>
      </c>
      <c r="E101" s="145">
        <f>IF('DM_NHAN_SU'!$B101="","",'DM_NHAN_SU'!E101)</f>
        <v/>
      </c>
      <c r="F101" s="145">
        <f>IF('DM_NHAN_SU'!$B101="","",'DM_NHAN_SU'!I101)</f>
        <v/>
      </c>
      <c r="G101" s="145">
        <f>IF('DM_NHAN_SU'!$B101="","",'DM_NHAN_SU'!J101)</f>
        <v/>
      </c>
      <c r="H101" s="145">
        <f>IF('DM_NHAN_SU'!$B101="","",IF('DM_NHAN_SU'!H101="",'THAM_SO'!$B$11,'DM_NHAN_SU'!H101))</f>
        <v/>
      </c>
      <c r="I101" s="232">
        <f>IF('DM_NHAN_SU'!$B101="","",IF('DM_NHAN_SU'!L101&gt;0,'DM_NHAN_SU'!L101,'THAM_SO'!$B$9))</f>
        <v/>
      </c>
      <c r="J101" s="232">
        <f>IF('DM_NHAN_SU'!$B101="","",IF('DM_NHAN_SU'!M101&gt;0,'DM_NHAN_SU'!M101,'THAM_SO'!$B$10))</f>
        <v/>
      </c>
      <c r="K101" s="232">
        <f>IF('DM_NHAN_SU'!$B101="","",'CHAM_CONG_THANG'!AC101)</f>
        <v/>
      </c>
      <c r="L101" s="232">
        <f>IF('DM_NHAN_SU'!$B101="","",'CHAM_CONG_THANG'!AD101)</f>
        <v/>
      </c>
      <c r="M101" s="232">
        <f>IF('DM_NHAN_SU'!$B101="","",'CHAM_CONG_THANG'!AE101)</f>
        <v/>
      </c>
      <c r="N101" s="232">
        <f>IF('DM_NHAN_SU'!$B101="","",'CHAM_CONG_THANG'!N101)</f>
        <v/>
      </c>
      <c r="O101" s="224">
        <f>IF('DM_NHAN_SU'!$B101="","",IF($B101="","",IF($G101="Tháng",IF($I101&gt;0,'DM_NHAN_SU'!$K101*MIN($K101,$I101)/$I101,0),IF($G101="Ngày",'DM_NHAN_SU'!$K101*$K101,IF($G101="Giờ",'DM_NHAN_SU'!$K101*$L101,IF($G101="Sản phẩm",'DM_NHAN_SU'!$K101*$N101,0))))))</f>
        <v/>
      </c>
      <c r="P101" s="224">
        <f>IF('DM_NHAN_SU'!$B101="","",'CHAM_CONG_THANG'!O101)</f>
        <v/>
      </c>
      <c r="Q101" s="224">
        <f>IF('DM_NHAN_SU'!$B101="","",'CHAM_CONG_THANG'!P101)</f>
        <v/>
      </c>
      <c r="R101" s="224">
        <f>IF('DM_NHAN_SU'!$B101="","",'CHAM_CONG_THANG'!Q101)</f>
        <v/>
      </c>
      <c r="S101" s="224">
        <f>IF('DM_NHAN_SU'!$B101="","",'CHAM_CONG_THANG'!R101)</f>
        <v/>
      </c>
      <c r="T101" s="224">
        <f>IF('DM_NHAN_SU'!$B101="","",'CHAM_CONG_THANG'!S101)</f>
        <v/>
      </c>
      <c r="U101" s="224">
        <f>IF('DM_NHAN_SU'!$B101="","",MIN($T101,'THAM_SO'!$F$6))</f>
        <v/>
      </c>
      <c r="V101" s="224">
        <f>IF('DM_NHAN_SU'!$B101="","",MAX($T101-$U101,0))</f>
        <v/>
      </c>
      <c r="W101" s="224">
        <f>IF('DM_NHAN_SU'!$B101="","",'CHAM_CONG_THANG'!T101)</f>
        <v/>
      </c>
      <c r="X101" s="224">
        <f>IF('DM_NHAN_SU'!$B101="","",'CHAM_CONG_THANG'!U101)</f>
        <v/>
      </c>
      <c r="Y101" s="224">
        <f>IF('DM_NHAN_SU'!$B101="","",IF($B101="",0,IF('DM_NHAN_SU'!$Q101&gt;0,'DM_NHAN_SU'!$Q101,IF($G101="Tháng",IF($I101*$J101&gt;0,'DM_NHAN_SU'!$K101/($I101*$J101),0),IF($G101="Ngày",IF($J101&gt;0,'DM_NHAN_SU'!$K101/$J101,0),IF($G101="Giờ",'DM_NHAN_SU'!$K101,0))))))</f>
        <v/>
      </c>
      <c r="Z101" s="224">
        <f>IF('DM_NHAN_SU'!$B101="","",$Y101*($M101*'THAM_SO'!$C$22+'CHAM_CONG_THANG'!$AF101*'THAM_SO'!$C$19+'CHAM_CONG_THANG'!$AG101*'THAM_SO'!$C$20+'CHAM_CONG_THANG'!$AH101*'THAM_SO'!$C$21+'CHAM_CONG_THANG'!$AI101*'THAM_SO'!$C$23+'CHAM_CONG_THANG'!$AJ101*'THAM_SO'!$C$24+'CHAM_CONG_THANG'!$AK101*'THAM_SO'!$C$25))</f>
        <v/>
      </c>
      <c r="AA101" s="224">
        <f>IF('DM_NHAN_SU'!$B101="","",MAX(0,$Y101*($M101*IF('THAM_SO'!$C$22&gt;='THAM_SO'!$B$22,'THAM_SO'!$B$22,0)+'CHAM_CONG_THANG'!$AF101*IF('THAM_SO'!$C$19&gt;='THAM_SO'!$B$19,'THAM_SO'!$B$19,0)+'CHAM_CONG_THANG'!$AG101*IF('THAM_SO'!$C$20&gt;='THAM_SO'!$B$20,'THAM_SO'!$B$20,0)+'CHAM_CONG_THANG'!$AH101*IF('THAM_SO'!$C$21&gt;='THAM_SO'!$B$21,'THAM_SO'!$B$21,0)+'CHAM_CONG_THANG'!$AI101*IF('THAM_SO'!$C$23&gt;='THAM_SO'!$B$23,'THAM_SO'!$B$23,0)+'CHAM_CONG_THANG'!$AJ101*IF('THAM_SO'!$C$24&gt;='THAM_SO'!$B$24,'THAM_SO'!$B$24,0)+'CHAM_CONG_THANG'!$AK101*IF('THAM_SO'!$C$25&gt;='THAM_SO'!$B$25,'THAM_SO'!$B$25,0))-'CHAM_CONG_THANG'!$V101))</f>
        <v/>
      </c>
      <c r="AB101" s="224">
        <f>IF('DM_NHAN_SU'!$B101="","",MAX($Z101-$AA101,0))</f>
        <v/>
      </c>
      <c r="AC101" s="224">
        <f>IF('DM_NHAN_SU'!$B101="","",$O101+$P101+$Q101+$R101+$S101+$V101+$AB101+$BO101+$BP101+$BQ101+$BR101)</f>
        <v/>
      </c>
      <c r="AD101" s="224">
        <f>IF('DM_NHAN_SU'!$B101="","",'DM_NHAN_SU'!N101+'DM_NHAN_SU'!O101+'DM_NHAN_SU'!P101)</f>
        <v/>
      </c>
      <c r="AE101" s="224">
        <f>IF('DM_NHAN_SU'!$B101="","",IF(OR('DM_NHAN_SU'!$R101&lt;&gt;"Có",'CHAM_CONG_THANG'!$AA101="Có",$BL101&gt;=14,$AD101&lt;=0),0,MIN(MAX($AD101,'THAM_SO'!$M$6),'THAM_SO'!$M$7)))</f>
        <v/>
      </c>
      <c r="AF101" s="224">
        <f>IF('DM_NHAN_SU'!$B101="","",IF(OR('DM_NHAN_SU'!$S101&lt;&gt;"Có",'CHAM_CONG_THANG'!$AA101="Có",$BL101&gt;=14,$AD101&lt;=0),0,MIN(MAX($AD101,VLOOKUP($H101,'THAM_SO'!$L$17:$P$20,4,FALSE)),VLOOKUP($H101,'THAM_SO'!$L$17:$P$20,5,FALSE))))</f>
        <v/>
      </c>
      <c r="AG101" s="224">
        <f>IF('DM_NHAN_SU'!$B101="","",$AE101*'THAM_SO'!$M$8)</f>
        <v/>
      </c>
      <c r="AH101" s="224">
        <f>IF('DM_NHAN_SU'!$B101="","",$AE101*'THAM_SO'!$M$9)</f>
        <v/>
      </c>
      <c r="AI101" s="224">
        <f>IF('DM_NHAN_SU'!$B101="","",$AF101*'THAM_SO'!$M$10)</f>
        <v/>
      </c>
      <c r="AJ101" s="224">
        <f>IF('DM_NHAN_SU'!$B101="","",SUM($AG101:$AI101))</f>
        <v/>
      </c>
      <c r="AK101" s="224">
        <f>IF('DM_NHAN_SU'!$B101="","",IF($B101="",0,'THAM_SO'!$F$4))</f>
        <v/>
      </c>
      <c r="AL101" s="224">
        <f>IF('DM_NHAN_SU'!$B101="","",IF($B101="",0,'DM_NHAN_SU'!$T101*'THAM_SO'!$F$5))</f>
        <v/>
      </c>
      <c r="AM101" s="224">
        <f>IF('DM_NHAN_SU'!$B101="","",'CHAM_CONG_THANG'!W101)</f>
        <v/>
      </c>
      <c r="AN101" s="224">
        <f>IF('DM_NHAN_SU'!$B101="","",MAX($AC101-$AK101-$AL101-$AM101,0))</f>
        <v/>
      </c>
      <c r="AO101" s="224">
        <f>IF('DM_NHAN_SU'!$B101="","",IF($B101="","",IF($F101="Net",IF($AC101&lt;=$AK101+$AL101+$AM101,$AC101+$AJ101,$AJ101+$AK101+$AL101+$AM101+IF($AN101&lt;='THAM_SO'!$J$10,($AN101-'THAM_SO'!$I$10)/(1-'THAM_SO'!$H$10),IF($AN101&lt;='THAM_SO'!$J$11,($AN101-'THAM_SO'!$I$11)/(1-'THAM_SO'!$H$11),IF($AN101&lt;='THAM_SO'!$J$12,($AN101-'THAM_SO'!$I$12)/(1-'THAM_SO'!$H$12),IF($AN101&lt;='THAM_SO'!$J$13,($AN101-'THAM_SO'!$I$13)/(1-'THAM_SO'!$H$13),($AN101-'THAM_SO'!$I$14)/(1-'THAM_SO'!$H$14)))))),$AC101)))</f>
        <v/>
      </c>
      <c r="AP101" s="224">
        <f>IF('DM_NHAN_SU'!$B101="","",$U101+$W101+$X101+$AA101+$BS101)</f>
        <v/>
      </c>
      <c r="AQ101" s="224">
        <f>IF('DM_NHAN_SU'!$B101="","",MAX($AO101-$AJ101-$AK101-$AL101-$AM101,0))</f>
        <v/>
      </c>
      <c r="AR101" s="224">
        <f>IF('DM_NHAN_SU'!$B101="","",IF($AQ101&lt;=0,0,$AQ101*VLOOKUP($AQ101,'THAM_SO'!$F$10:$I$14,3,TRUE)-VLOOKUP($AQ101,'THAM_SO'!$F$10:$I$14,4,TRUE)))</f>
        <v/>
      </c>
      <c r="AS101" s="224">
        <f>IF('DM_NHAN_SU'!$B101="","",$AO101+$AP101)</f>
        <v/>
      </c>
      <c r="AT101" s="224">
        <f>IF('DM_NHAN_SU'!$B101="","",$AS101-$AJ101-$AR101)</f>
        <v/>
      </c>
      <c r="AU101" s="224">
        <f>IF('DM_NHAN_SU'!$B101="","",'CHAM_CONG_THANG'!X101)</f>
        <v/>
      </c>
      <c r="AV101" s="224">
        <f>IF('DM_NHAN_SU'!$B101="","",'CHAM_CONG_THANG'!Y101+'QT_NGHI_VIEC'!AD101)</f>
        <v/>
      </c>
      <c r="AW101" s="224">
        <f>IF('DM_NHAN_SU'!$B101="","",'CHAM_CONG_THANG'!Z101)</f>
        <v/>
      </c>
      <c r="AX101" s="224">
        <f>IF('DM_NHAN_SU'!$B101="","",$AT101-$AU101-$AV101-$AW101-$BV101)</f>
        <v/>
      </c>
      <c r="AY101" s="224">
        <f>IF('DM_NHAN_SU'!$B101="","",$AE101*'THAM_SO'!$M$11)</f>
        <v/>
      </c>
      <c r="AZ101" s="224">
        <f>IF('DM_NHAN_SU'!$B101="","",$AE101*'THAM_SO'!$M$12)</f>
        <v/>
      </c>
      <c r="BA101" s="224">
        <f>IF('DM_NHAN_SU'!$B101="","",$AF101*'THAM_SO'!$M$13)</f>
        <v/>
      </c>
      <c r="BB101" s="224">
        <f>IF('DM_NHAN_SU'!$B101="","",$AE101*'THAM_SO'!$M$14)</f>
        <v/>
      </c>
      <c r="BC101" s="224">
        <f>IF('DM_NHAN_SU'!$B101="","",SUM($AY101:$BB101))</f>
        <v/>
      </c>
      <c r="BD101" s="224">
        <f>IF('DM_NHAN_SU'!$B101="","",$AS101+$BC101)</f>
        <v/>
      </c>
      <c r="BE101" s="224">
        <f>IF('DM_NHAN_SU'!$B101="","",VLOOKUP($H101,'THAM_SO'!$L$17:$P$20,2,FALSE))</f>
        <v/>
      </c>
      <c r="BF101" s="224">
        <f>IF('DM_NHAN_SU'!$B101="","",VLOOKUP($H101,'THAM_SO'!$L$17:$P$20,3,FALSE))</f>
        <v/>
      </c>
      <c r="BG101" s="150">
        <f>IF('DM_NHAN_SU'!$B101="","",IF($B101="","",IF(COUNTIF('DM_NHAN_SU'!$B$6:$B$155,$B101)&gt;1,"Trùng mã NV; ","")&amp;IF(OR($F101="",$G101=""),"Thiếu loại/hình thức lương; ","")&amp;IF('CHAM_CONG_THANG'!$D101="","Chưa chọn nguồn công; ","")&amp;IF(AND('CHAM_CONG_THANG'!$D101="Theo ngày",COUNTIF('CHAM_CONG_NGAY'!$B$6:$B$4655,$B101)=0),"Chưa có chấm công ngày; ","")&amp;IF(OR($I101&lt;=0,$J101&lt;=0),"Thiếu công/giờ chuẩn; ","")&amp;IF(AND($G101="Tháng",'DM_NHAN_SU'!$K101&lt;$BE101),"Lương tháng dưới tối thiểu vùng; ","")&amp;IF(AND($G101="Ngày",'DM_NHAN_SU'!$K101/$J101&lt;$BF101),"Lương ngày quy đổi dưới tối thiểu giờ; ","")&amp;IF(AND($G101="Giờ",'DM_NHAN_SU'!$K101&lt;$BF101),"Lương giờ dưới tối thiểu vùng; ","")&amp;IF(AND($G101="Sản phẩm",$L101&gt;0,$O101/$L101&lt;$BF101),"Lương SP quy đổi dưới tối thiểu giờ; ","")&amp;IF(OR('THAM_SO'!$C$19&lt;'THAM_SO'!$B$19,'THAM_SO'!$C$20&lt;'THAM_SO'!$B$20,'THAM_SO'!$C$21&lt;'THAM_SO'!$B$21,'THAM_SO'!$C$22&lt;'THAM_SO'!$B$22,'THAM_SO'!$C$23&lt;'THAM_SO'!$B$23,'THAM_SO'!$C$24&lt;'THAM_SO'!$B$24,'THAM_SO'!$C$25&lt;'THAM_SO'!$B$25),"Hệ số OT/đêm DN thấp hơn luật; ","")&amp;IF(AND('DM_NHAN_SU'!$R101="Có",$AD101&lt;=0),"Thiếu căn cứ đóng BH; ","")&amp;IF(AND($AD101&gt;0,$AD101&lt;'THAM_SO'!$M$6),"Căn cứ BH dưới sàn – đã nâng sàn; ","")&amp;IF($AD101&gt;'THAM_SO'!$M$7,"Căn cứ BH vượt trần – đã giới hạn; ","")&amp;IF(AND($F101="Net",SUM('CHAM_CONG_THANG'!$AF101:$AK101)&gt;0,'DM_NHAN_SU'!$Q101&lt;=0),"Net có OT nhưng chưa khai lương giờ OT; ","")&amp;IF('CHAM_CONG_THANG'!$V101&gt;$Z101,"Phần OT không miễn lớn hơn tiền OT; ","")&amp;IF(AND($F101="Net",ABS($AT101-$AC101-$AP101)&gt;1),"Lệch quy đổi Net; ","")&amp;IF(AND($BH101&gt;0,'DM_NHAN_SU'!$AD101=""),"Có phép năm nhưng đang tạm dùng 12 ngày; ","")&amp;IF(AND($G101="Sản phẩm",SUM($BH101:$BJ101)&gt;0,'DM_NHAN_SU'!$AH101&lt;=0),"Lương sản phẩm thiếu đơn giá ngày phép/lễ; ","")&amp;IF(AND($BL101&gt;=14,'CHAM_CONG_THANG'!$AA101&lt;&gt;"Có"),"Thai sản từ 14 ngày: file tự dừng đóng BH – kiểm tra hồ sơ; ","")&amp;IF(AND('DM_NHAN_SU'!$AA101="Có",'DM_NHAN_SU'!$AB101=""),"Đoàn viên chưa chọn cách tính đoàn phí; ","")&amp;IF(AND('DM_NHAN_SU'!$AB101="Nhập tay",'DM_NHAN_SU'!$AC101&gt;'THAM_SO'!$M$26),"Đoàn phí nhập tay vượt trần thông dụng; ","")&amp;IF('NGHI_PHEP'!$L101&lt;&gt;"","Phép: "&amp;'NGHI_PHEP'!$L101,"")&amp;IF('CHE_DO_BHXH'!$AA101&lt;&gt;"","BHXH: "&amp;'CHE_DO_BHXH'!$AA101,"")&amp;IF('THUONG_T13_TET'!$O101&lt;&gt;"","Thưởng: "&amp;'THUONG_T13_TET'!$O101,"")&amp;IF('QT_NGHI_VIEC'!$AF101&lt;&gt;"","Nghỉ việc: "&amp;'QT_NGHI_VIEC'!$AF101,"")&amp;IF($AX101&lt;0,"Thực lĩnh âm; ","")&amp;IF(OR('DM_NHAN_SU'!$F101&gt;'THAM_SO'!$B$7,AND('DM_NHAN_SU'!$G101&lt;&gt;"",'DM_NHAN_SU'!$G101&lt;'THAM_SO'!$B$6)),"Ngoài kỳ trả lương; ","")))</f>
        <v/>
      </c>
      <c r="BH101" s="232">
        <f>IF('DM_NHAN_SU'!$B101="","",'CHAM_CONG_THANG'!AR101)</f>
        <v/>
      </c>
      <c r="BI101" s="232">
        <f>IF('DM_NHAN_SU'!$B101="","",'CHAM_CONG_THANG'!AS101)</f>
        <v/>
      </c>
      <c r="BJ101" s="232">
        <f>IF('DM_NHAN_SU'!$B101="","",'CHAM_CONG_THANG'!AT101)</f>
        <v/>
      </c>
      <c r="BK101" s="232">
        <f>IF('DM_NHAN_SU'!$B101="","",'CHAM_CONG_THANG'!AU101)</f>
        <v/>
      </c>
      <c r="BL101" s="232">
        <f>IF('DM_NHAN_SU'!$B101="","",'CHAM_CONG_THANG'!AV101)</f>
        <v/>
      </c>
      <c r="BM101" s="232">
        <f>IF('DM_NHAN_SU'!$B101="","",'CHAM_CONG_THANG'!AW101)</f>
        <v/>
      </c>
      <c r="BN101" s="232">
        <f>IF('DM_NHAN_SU'!$B101="","",SUM($K101,$BH101:$BJ101))</f>
        <v/>
      </c>
      <c r="BO101" s="224">
        <f>IF('DM_NHAN_SU'!$B101="","",IF($B101="",0,IF($G101="Tháng",IF($I101&gt;0,'DM_NHAN_SU'!$K101*MIN($BH101+$BJ101,MAX($I101-$K101,0))/$I101,0),IF($G101="Ngày",'DM_NHAN_SU'!$K101*SUM($BH101:$BJ101),IF($G101="Giờ",'DM_NHAN_SU'!$K101*SUM($BH101:$BJ101)*$J101,IF($G101="Sản phẩm",'DM_NHAN_SU'!$AH101*SUM($BH101:$BJ101),0))))))</f>
        <v/>
      </c>
      <c r="BP101" s="224">
        <f>IF('DM_NHAN_SU'!$B101="","",IF('THUONG_T13_TET'!$L101="Có",'THUONG_T13_TET'!$I101,0))</f>
        <v/>
      </c>
      <c r="BQ101" s="224">
        <f>IF('DM_NHAN_SU'!$B101="","",IF('THUONG_T13_TET'!$L101="Có",SUM('THUONG_T13_TET'!$J101:$K101),0))</f>
        <v/>
      </c>
      <c r="BR101" s="224">
        <f>IF('DM_NHAN_SU'!$B101="","",'QT_NGHI_VIEC'!AC101)</f>
        <v/>
      </c>
      <c r="BS101" s="224">
        <f>IF('DM_NHAN_SU'!$B101="","",'QT_NGHI_VIEC'!AB101)</f>
        <v/>
      </c>
      <c r="BT101" s="224">
        <f>IF('DM_NHAN_SU'!$B101="","",IF('CHE_DO_BHXH'!$Z101="Có",'CHE_DO_BHXH'!$W101,0))</f>
        <v/>
      </c>
      <c r="BU101" s="224">
        <f>IF('DM_NHAN_SU'!$B101="","",IF('CHE_DO_BHXH'!$Y101="DN trả thay",$BT101,0))</f>
        <v/>
      </c>
      <c r="BV101" s="224">
        <f>IF('DM_NHAN_SU'!$B101="","",IF(OR('DM_NHAN_SU'!$AA101&lt;&gt;"Có",'CHE_DO_BHXH'!$O101&gt;=1,SUM('CHE_DO_BHXH'!$D101,'CHE_DO_BHXH'!$G101,'CHE_DO_BHXH'!$K101)&gt;=24,AND($I101&gt;0,$BM101&gt;=$I101)),0,IF('DM_NHAN_SU'!$AB101="Không",0,IF('DM_NHAN_SU'!$AB101="Nhập tay",'DM_NHAN_SU'!$AC101,IF('DM_NHAN_SU'!$AB101="Theo thực nhận",MIN(MAX($AT101-$AU101-$AV101-$AW101,0)*'THAM_SO'!$M$23,'THAM_SO'!$M$26),MIN($AE101*'THAM_SO'!$M$23,'THAM_SO'!$M$26))))))</f>
        <v/>
      </c>
      <c r="BW101" s="224">
        <f>IF('DM_NHAN_SU'!$B101="","",$AX101+$BU101)</f>
        <v/>
      </c>
    </row>
    <row r="102">
      <c r="A102" s="145">
        <f>IF('DM_NHAN_SU'!$B102="","",IF($B102="","",ROW()-5))</f>
        <v/>
      </c>
      <c r="B102" s="145">
        <f>IF('DM_NHAN_SU'!$B102="","",'DM_NHAN_SU'!B102)</f>
        <v/>
      </c>
      <c r="C102" s="145">
        <f>IF('DM_NHAN_SU'!$B102="","",'DM_NHAN_SU'!C102)</f>
        <v/>
      </c>
      <c r="D102" s="145">
        <f>IF('DM_NHAN_SU'!$B102="","",'DM_NHAN_SU'!D102)</f>
        <v/>
      </c>
      <c r="E102" s="145">
        <f>IF('DM_NHAN_SU'!$B102="","",'DM_NHAN_SU'!E102)</f>
        <v/>
      </c>
      <c r="F102" s="145">
        <f>IF('DM_NHAN_SU'!$B102="","",'DM_NHAN_SU'!I102)</f>
        <v/>
      </c>
      <c r="G102" s="145">
        <f>IF('DM_NHAN_SU'!$B102="","",'DM_NHAN_SU'!J102)</f>
        <v/>
      </c>
      <c r="H102" s="145">
        <f>IF('DM_NHAN_SU'!$B102="","",IF('DM_NHAN_SU'!H102="",'THAM_SO'!$B$11,'DM_NHAN_SU'!H102))</f>
        <v/>
      </c>
      <c r="I102" s="232">
        <f>IF('DM_NHAN_SU'!$B102="","",IF('DM_NHAN_SU'!L102&gt;0,'DM_NHAN_SU'!L102,'THAM_SO'!$B$9))</f>
        <v/>
      </c>
      <c r="J102" s="232">
        <f>IF('DM_NHAN_SU'!$B102="","",IF('DM_NHAN_SU'!M102&gt;0,'DM_NHAN_SU'!M102,'THAM_SO'!$B$10))</f>
        <v/>
      </c>
      <c r="K102" s="232">
        <f>IF('DM_NHAN_SU'!$B102="","",'CHAM_CONG_THANG'!AC102)</f>
        <v/>
      </c>
      <c r="L102" s="232">
        <f>IF('DM_NHAN_SU'!$B102="","",'CHAM_CONG_THANG'!AD102)</f>
        <v/>
      </c>
      <c r="M102" s="232">
        <f>IF('DM_NHAN_SU'!$B102="","",'CHAM_CONG_THANG'!AE102)</f>
        <v/>
      </c>
      <c r="N102" s="232">
        <f>IF('DM_NHAN_SU'!$B102="","",'CHAM_CONG_THANG'!N102)</f>
        <v/>
      </c>
      <c r="O102" s="224">
        <f>IF('DM_NHAN_SU'!$B102="","",IF($B102="","",IF($G102="Tháng",IF($I102&gt;0,'DM_NHAN_SU'!$K102*MIN($K102,$I102)/$I102,0),IF($G102="Ngày",'DM_NHAN_SU'!$K102*$K102,IF($G102="Giờ",'DM_NHAN_SU'!$K102*$L102,IF($G102="Sản phẩm",'DM_NHAN_SU'!$K102*$N102,0))))))</f>
        <v/>
      </c>
      <c r="P102" s="224">
        <f>IF('DM_NHAN_SU'!$B102="","",'CHAM_CONG_THANG'!O102)</f>
        <v/>
      </c>
      <c r="Q102" s="224">
        <f>IF('DM_NHAN_SU'!$B102="","",'CHAM_CONG_THANG'!P102)</f>
        <v/>
      </c>
      <c r="R102" s="224">
        <f>IF('DM_NHAN_SU'!$B102="","",'CHAM_CONG_THANG'!Q102)</f>
        <v/>
      </c>
      <c r="S102" s="224">
        <f>IF('DM_NHAN_SU'!$B102="","",'CHAM_CONG_THANG'!R102)</f>
        <v/>
      </c>
      <c r="T102" s="224">
        <f>IF('DM_NHAN_SU'!$B102="","",'CHAM_CONG_THANG'!S102)</f>
        <v/>
      </c>
      <c r="U102" s="224">
        <f>IF('DM_NHAN_SU'!$B102="","",MIN($T102,'THAM_SO'!$F$6))</f>
        <v/>
      </c>
      <c r="V102" s="224">
        <f>IF('DM_NHAN_SU'!$B102="","",MAX($T102-$U102,0))</f>
        <v/>
      </c>
      <c r="W102" s="224">
        <f>IF('DM_NHAN_SU'!$B102="","",'CHAM_CONG_THANG'!T102)</f>
        <v/>
      </c>
      <c r="X102" s="224">
        <f>IF('DM_NHAN_SU'!$B102="","",'CHAM_CONG_THANG'!U102)</f>
        <v/>
      </c>
      <c r="Y102" s="224">
        <f>IF('DM_NHAN_SU'!$B102="","",IF($B102="",0,IF('DM_NHAN_SU'!$Q102&gt;0,'DM_NHAN_SU'!$Q102,IF($G102="Tháng",IF($I102*$J102&gt;0,'DM_NHAN_SU'!$K102/($I102*$J102),0),IF($G102="Ngày",IF($J102&gt;0,'DM_NHAN_SU'!$K102/$J102,0),IF($G102="Giờ",'DM_NHAN_SU'!$K102,0))))))</f>
        <v/>
      </c>
      <c r="Z102" s="224">
        <f>IF('DM_NHAN_SU'!$B102="","",$Y102*($M102*'THAM_SO'!$C$22+'CHAM_CONG_THANG'!$AF102*'THAM_SO'!$C$19+'CHAM_CONG_THANG'!$AG102*'THAM_SO'!$C$20+'CHAM_CONG_THANG'!$AH102*'THAM_SO'!$C$21+'CHAM_CONG_THANG'!$AI102*'THAM_SO'!$C$23+'CHAM_CONG_THANG'!$AJ102*'THAM_SO'!$C$24+'CHAM_CONG_THANG'!$AK102*'THAM_SO'!$C$25))</f>
        <v/>
      </c>
      <c r="AA102" s="224">
        <f>IF('DM_NHAN_SU'!$B102="","",MAX(0,$Y102*($M102*IF('THAM_SO'!$C$22&gt;='THAM_SO'!$B$22,'THAM_SO'!$B$22,0)+'CHAM_CONG_THANG'!$AF102*IF('THAM_SO'!$C$19&gt;='THAM_SO'!$B$19,'THAM_SO'!$B$19,0)+'CHAM_CONG_THANG'!$AG102*IF('THAM_SO'!$C$20&gt;='THAM_SO'!$B$20,'THAM_SO'!$B$20,0)+'CHAM_CONG_THANG'!$AH102*IF('THAM_SO'!$C$21&gt;='THAM_SO'!$B$21,'THAM_SO'!$B$21,0)+'CHAM_CONG_THANG'!$AI102*IF('THAM_SO'!$C$23&gt;='THAM_SO'!$B$23,'THAM_SO'!$B$23,0)+'CHAM_CONG_THANG'!$AJ102*IF('THAM_SO'!$C$24&gt;='THAM_SO'!$B$24,'THAM_SO'!$B$24,0)+'CHAM_CONG_THANG'!$AK102*IF('THAM_SO'!$C$25&gt;='THAM_SO'!$B$25,'THAM_SO'!$B$25,0))-'CHAM_CONG_THANG'!$V102))</f>
        <v/>
      </c>
      <c r="AB102" s="224">
        <f>IF('DM_NHAN_SU'!$B102="","",MAX($Z102-$AA102,0))</f>
        <v/>
      </c>
      <c r="AC102" s="224">
        <f>IF('DM_NHAN_SU'!$B102="","",$O102+$P102+$Q102+$R102+$S102+$V102+$AB102+$BO102+$BP102+$BQ102+$BR102)</f>
        <v/>
      </c>
      <c r="AD102" s="224">
        <f>IF('DM_NHAN_SU'!$B102="","",'DM_NHAN_SU'!N102+'DM_NHAN_SU'!O102+'DM_NHAN_SU'!P102)</f>
        <v/>
      </c>
      <c r="AE102" s="224">
        <f>IF('DM_NHAN_SU'!$B102="","",IF(OR('DM_NHAN_SU'!$R102&lt;&gt;"Có",'CHAM_CONG_THANG'!$AA102="Có",$BL102&gt;=14,$AD102&lt;=0),0,MIN(MAX($AD102,'THAM_SO'!$M$6),'THAM_SO'!$M$7)))</f>
        <v/>
      </c>
      <c r="AF102" s="224">
        <f>IF('DM_NHAN_SU'!$B102="","",IF(OR('DM_NHAN_SU'!$S102&lt;&gt;"Có",'CHAM_CONG_THANG'!$AA102="Có",$BL102&gt;=14,$AD102&lt;=0),0,MIN(MAX($AD102,VLOOKUP($H102,'THAM_SO'!$L$17:$P$20,4,FALSE)),VLOOKUP($H102,'THAM_SO'!$L$17:$P$20,5,FALSE))))</f>
        <v/>
      </c>
      <c r="AG102" s="224">
        <f>IF('DM_NHAN_SU'!$B102="","",$AE102*'THAM_SO'!$M$8)</f>
        <v/>
      </c>
      <c r="AH102" s="224">
        <f>IF('DM_NHAN_SU'!$B102="","",$AE102*'THAM_SO'!$M$9)</f>
        <v/>
      </c>
      <c r="AI102" s="224">
        <f>IF('DM_NHAN_SU'!$B102="","",$AF102*'THAM_SO'!$M$10)</f>
        <v/>
      </c>
      <c r="AJ102" s="224">
        <f>IF('DM_NHAN_SU'!$B102="","",SUM($AG102:$AI102))</f>
        <v/>
      </c>
      <c r="AK102" s="224">
        <f>IF('DM_NHAN_SU'!$B102="","",IF($B102="",0,'THAM_SO'!$F$4))</f>
        <v/>
      </c>
      <c r="AL102" s="224">
        <f>IF('DM_NHAN_SU'!$B102="","",IF($B102="",0,'DM_NHAN_SU'!$T102*'THAM_SO'!$F$5))</f>
        <v/>
      </c>
      <c r="AM102" s="224">
        <f>IF('DM_NHAN_SU'!$B102="","",'CHAM_CONG_THANG'!W102)</f>
        <v/>
      </c>
      <c r="AN102" s="224">
        <f>IF('DM_NHAN_SU'!$B102="","",MAX($AC102-$AK102-$AL102-$AM102,0))</f>
        <v/>
      </c>
      <c r="AO102" s="224">
        <f>IF('DM_NHAN_SU'!$B102="","",IF($B102="","",IF($F102="Net",IF($AC102&lt;=$AK102+$AL102+$AM102,$AC102+$AJ102,$AJ102+$AK102+$AL102+$AM102+IF($AN102&lt;='THAM_SO'!$J$10,($AN102-'THAM_SO'!$I$10)/(1-'THAM_SO'!$H$10),IF($AN102&lt;='THAM_SO'!$J$11,($AN102-'THAM_SO'!$I$11)/(1-'THAM_SO'!$H$11),IF($AN102&lt;='THAM_SO'!$J$12,($AN102-'THAM_SO'!$I$12)/(1-'THAM_SO'!$H$12),IF($AN102&lt;='THAM_SO'!$J$13,($AN102-'THAM_SO'!$I$13)/(1-'THAM_SO'!$H$13),($AN102-'THAM_SO'!$I$14)/(1-'THAM_SO'!$H$14)))))),$AC102)))</f>
        <v/>
      </c>
      <c r="AP102" s="224">
        <f>IF('DM_NHAN_SU'!$B102="","",$U102+$W102+$X102+$AA102+$BS102)</f>
        <v/>
      </c>
      <c r="AQ102" s="224">
        <f>IF('DM_NHAN_SU'!$B102="","",MAX($AO102-$AJ102-$AK102-$AL102-$AM102,0))</f>
        <v/>
      </c>
      <c r="AR102" s="224">
        <f>IF('DM_NHAN_SU'!$B102="","",IF($AQ102&lt;=0,0,$AQ102*VLOOKUP($AQ102,'THAM_SO'!$F$10:$I$14,3,TRUE)-VLOOKUP($AQ102,'THAM_SO'!$F$10:$I$14,4,TRUE)))</f>
        <v/>
      </c>
      <c r="AS102" s="224">
        <f>IF('DM_NHAN_SU'!$B102="","",$AO102+$AP102)</f>
        <v/>
      </c>
      <c r="AT102" s="224">
        <f>IF('DM_NHAN_SU'!$B102="","",$AS102-$AJ102-$AR102)</f>
        <v/>
      </c>
      <c r="AU102" s="224">
        <f>IF('DM_NHAN_SU'!$B102="","",'CHAM_CONG_THANG'!X102)</f>
        <v/>
      </c>
      <c r="AV102" s="224">
        <f>IF('DM_NHAN_SU'!$B102="","",'CHAM_CONG_THANG'!Y102+'QT_NGHI_VIEC'!AD102)</f>
        <v/>
      </c>
      <c r="AW102" s="224">
        <f>IF('DM_NHAN_SU'!$B102="","",'CHAM_CONG_THANG'!Z102)</f>
        <v/>
      </c>
      <c r="AX102" s="224">
        <f>IF('DM_NHAN_SU'!$B102="","",$AT102-$AU102-$AV102-$AW102-$BV102)</f>
        <v/>
      </c>
      <c r="AY102" s="224">
        <f>IF('DM_NHAN_SU'!$B102="","",$AE102*'THAM_SO'!$M$11)</f>
        <v/>
      </c>
      <c r="AZ102" s="224">
        <f>IF('DM_NHAN_SU'!$B102="","",$AE102*'THAM_SO'!$M$12)</f>
        <v/>
      </c>
      <c r="BA102" s="224">
        <f>IF('DM_NHAN_SU'!$B102="","",$AF102*'THAM_SO'!$M$13)</f>
        <v/>
      </c>
      <c r="BB102" s="224">
        <f>IF('DM_NHAN_SU'!$B102="","",$AE102*'THAM_SO'!$M$14)</f>
        <v/>
      </c>
      <c r="BC102" s="224">
        <f>IF('DM_NHAN_SU'!$B102="","",SUM($AY102:$BB102))</f>
        <v/>
      </c>
      <c r="BD102" s="224">
        <f>IF('DM_NHAN_SU'!$B102="","",$AS102+$BC102)</f>
        <v/>
      </c>
      <c r="BE102" s="224">
        <f>IF('DM_NHAN_SU'!$B102="","",VLOOKUP($H102,'THAM_SO'!$L$17:$P$20,2,FALSE))</f>
        <v/>
      </c>
      <c r="BF102" s="224">
        <f>IF('DM_NHAN_SU'!$B102="","",VLOOKUP($H102,'THAM_SO'!$L$17:$P$20,3,FALSE))</f>
        <v/>
      </c>
      <c r="BG102" s="150">
        <f>IF('DM_NHAN_SU'!$B102="","",IF($B102="","",IF(COUNTIF('DM_NHAN_SU'!$B$6:$B$155,$B102)&gt;1,"Trùng mã NV; ","")&amp;IF(OR($F102="",$G102=""),"Thiếu loại/hình thức lương; ","")&amp;IF('CHAM_CONG_THANG'!$D102="","Chưa chọn nguồn công; ","")&amp;IF(AND('CHAM_CONG_THANG'!$D102="Theo ngày",COUNTIF('CHAM_CONG_NGAY'!$B$6:$B$4655,$B102)=0),"Chưa có chấm công ngày; ","")&amp;IF(OR($I102&lt;=0,$J102&lt;=0),"Thiếu công/giờ chuẩn; ","")&amp;IF(AND($G102="Tháng",'DM_NHAN_SU'!$K102&lt;$BE102),"Lương tháng dưới tối thiểu vùng; ","")&amp;IF(AND($G102="Ngày",'DM_NHAN_SU'!$K102/$J102&lt;$BF102),"Lương ngày quy đổi dưới tối thiểu giờ; ","")&amp;IF(AND($G102="Giờ",'DM_NHAN_SU'!$K102&lt;$BF102),"Lương giờ dưới tối thiểu vùng; ","")&amp;IF(AND($G102="Sản phẩm",$L102&gt;0,$O102/$L102&lt;$BF102),"Lương SP quy đổi dưới tối thiểu giờ; ","")&amp;IF(OR('THAM_SO'!$C$19&lt;'THAM_SO'!$B$19,'THAM_SO'!$C$20&lt;'THAM_SO'!$B$20,'THAM_SO'!$C$21&lt;'THAM_SO'!$B$21,'THAM_SO'!$C$22&lt;'THAM_SO'!$B$22,'THAM_SO'!$C$23&lt;'THAM_SO'!$B$23,'THAM_SO'!$C$24&lt;'THAM_SO'!$B$24,'THAM_SO'!$C$25&lt;'THAM_SO'!$B$25),"Hệ số OT/đêm DN thấp hơn luật; ","")&amp;IF(AND('DM_NHAN_SU'!$R102="Có",$AD102&lt;=0),"Thiếu căn cứ đóng BH; ","")&amp;IF(AND($AD102&gt;0,$AD102&lt;'THAM_SO'!$M$6),"Căn cứ BH dưới sàn – đã nâng sàn; ","")&amp;IF($AD102&gt;'THAM_SO'!$M$7,"Căn cứ BH vượt trần – đã giới hạn; ","")&amp;IF(AND($F102="Net",SUM('CHAM_CONG_THANG'!$AF102:$AK102)&gt;0,'DM_NHAN_SU'!$Q102&lt;=0),"Net có OT nhưng chưa khai lương giờ OT; ","")&amp;IF('CHAM_CONG_THANG'!$V102&gt;$Z102,"Phần OT không miễn lớn hơn tiền OT; ","")&amp;IF(AND($F102="Net",ABS($AT102-$AC102-$AP102)&gt;1),"Lệch quy đổi Net; ","")&amp;IF(AND($BH102&gt;0,'DM_NHAN_SU'!$AD102=""),"Có phép năm nhưng đang tạm dùng 12 ngày; ","")&amp;IF(AND($G102="Sản phẩm",SUM($BH102:$BJ102)&gt;0,'DM_NHAN_SU'!$AH102&lt;=0),"Lương sản phẩm thiếu đơn giá ngày phép/lễ; ","")&amp;IF(AND($BL102&gt;=14,'CHAM_CONG_THANG'!$AA102&lt;&gt;"Có"),"Thai sản từ 14 ngày: file tự dừng đóng BH – kiểm tra hồ sơ; ","")&amp;IF(AND('DM_NHAN_SU'!$AA102="Có",'DM_NHAN_SU'!$AB102=""),"Đoàn viên chưa chọn cách tính đoàn phí; ","")&amp;IF(AND('DM_NHAN_SU'!$AB102="Nhập tay",'DM_NHAN_SU'!$AC102&gt;'THAM_SO'!$M$26),"Đoàn phí nhập tay vượt trần thông dụng; ","")&amp;IF('NGHI_PHEP'!$L102&lt;&gt;"","Phép: "&amp;'NGHI_PHEP'!$L102,"")&amp;IF('CHE_DO_BHXH'!$AA102&lt;&gt;"","BHXH: "&amp;'CHE_DO_BHXH'!$AA102,"")&amp;IF('THUONG_T13_TET'!$O102&lt;&gt;"","Thưởng: "&amp;'THUONG_T13_TET'!$O102,"")&amp;IF('QT_NGHI_VIEC'!$AF102&lt;&gt;"","Nghỉ việc: "&amp;'QT_NGHI_VIEC'!$AF102,"")&amp;IF($AX102&lt;0,"Thực lĩnh âm; ","")&amp;IF(OR('DM_NHAN_SU'!$F102&gt;'THAM_SO'!$B$7,AND('DM_NHAN_SU'!$G102&lt;&gt;"",'DM_NHAN_SU'!$G102&lt;'THAM_SO'!$B$6)),"Ngoài kỳ trả lương; ","")))</f>
        <v/>
      </c>
      <c r="BH102" s="232">
        <f>IF('DM_NHAN_SU'!$B102="","",'CHAM_CONG_THANG'!AR102)</f>
        <v/>
      </c>
      <c r="BI102" s="232">
        <f>IF('DM_NHAN_SU'!$B102="","",'CHAM_CONG_THANG'!AS102)</f>
        <v/>
      </c>
      <c r="BJ102" s="232">
        <f>IF('DM_NHAN_SU'!$B102="","",'CHAM_CONG_THANG'!AT102)</f>
        <v/>
      </c>
      <c r="BK102" s="232">
        <f>IF('DM_NHAN_SU'!$B102="","",'CHAM_CONG_THANG'!AU102)</f>
        <v/>
      </c>
      <c r="BL102" s="232">
        <f>IF('DM_NHAN_SU'!$B102="","",'CHAM_CONG_THANG'!AV102)</f>
        <v/>
      </c>
      <c r="BM102" s="232">
        <f>IF('DM_NHAN_SU'!$B102="","",'CHAM_CONG_THANG'!AW102)</f>
        <v/>
      </c>
      <c r="BN102" s="232">
        <f>IF('DM_NHAN_SU'!$B102="","",SUM($K102,$BH102:$BJ102))</f>
        <v/>
      </c>
      <c r="BO102" s="224">
        <f>IF('DM_NHAN_SU'!$B102="","",IF($B102="",0,IF($G102="Tháng",IF($I102&gt;0,'DM_NHAN_SU'!$K102*MIN($BH102+$BJ102,MAX($I102-$K102,0))/$I102,0),IF($G102="Ngày",'DM_NHAN_SU'!$K102*SUM($BH102:$BJ102),IF($G102="Giờ",'DM_NHAN_SU'!$K102*SUM($BH102:$BJ102)*$J102,IF($G102="Sản phẩm",'DM_NHAN_SU'!$AH102*SUM($BH102:$BJ102),0))))))</f>
        <v/>
      </c>
      <c r="BP102" s="224">
        <f>IF('DM_NHAN_SU'!$B102="","",IF('THUONG_T13_TET'!$L102="Có",'THUONG_T13_TET'!$I102,0))</f>
        <v/>
      </c>
      <c r="BQ102" s="224">
        <f>IF('DM_NHAN_SU'!$B102="","",IF('THUONG_T13_TET'!$L102="Có",SUM('THUONG_T13_TET'!$J102:$K102),0))</f>
        <v/>
      </c>
      <c r="BR102" s="224">
        <f>IF('DM_NHAN_SU'!$B102="","",'QT_NGHI_VIEC'!AC102)</f>
        <v/>
      </c>
      <c r="BS102" s="224">
        <f>IF('DM_NHAN_SU'!$B102="","",'QT_NGHI_VIEC'!AB102)</f>
        <v/>
      </c>
      <c r="BT102" s="224">
        <f>IF('DM_NHAN_SU'!$B102="","",IF('CHE_DO_BHXH'!$Z102="Có",'CHE_DO_BHXH'!$W102,0))</f>
        <v/>
      </c>
      <c r="BU102" s="224">
        <f>IF('DM_NHAN_SU'!$B102="","",IF('CHE_DO_BHXH'!$Y102="DN trả thay",$BT102,0))</f>
        <v/>
      </c>
      <c r="BV102" s="224">
        <f>IF('DM_NHAN_SU'!$B102="","",IF(OR('DM_NHAN_SU'!$AA102&lt;&gt;"Có",'CHE_DO_BHXH'!$O102&gt;=1,SUM('CHE_DO_BHXH'!$D102,'CHE_DO_BHXH'!$G102,'CHE_DO_BHXH'!$K102)&gt;=24,AND($I102&gt;0,$BM102&gt;=$I102)),0,IF('DM_NHAN_SU'!$AB102="Không",0,IF('DM_NHAN_SU'!$AB102="Nhập tay",'DM_NHAN_SU'!$AC102,IF('DM_NHAN_SU'!$AB102="Theo thực nhận",MIN(MAX($AT102-$AU102-$AV102-$AW102,0)*'THAM_SO'!$M$23,'THAM_SO'!$M$26),MIN($AE102*'THAM_SO'!$M$23,'THAM_SO'!$M$26))))))</f>
        <v/>
      </c>
      <c r="BW102" s="224">
        <f>IF('DM_NHAN_SU'!$B102="","",$AX102+$BU102)</f>
        <v/>
      </c>
    </row>
    <row r="103">
      <c r="A103" s="145">
        <f>IF('DM_NHAN_SU'!$B103="","",IF($B103="","",ROW()-5))</f>
        <v/>
      </c>
      <c r="B103" s="145">
        <f>IF('DM_NHAN_SU'!$B103="","",'DM_NHAN_SU'!B103)</f>
        <v/>
      </c>
      <c r="C103" s="145">
        <f>IF('DM_NHAN_SU'!$B103="","",'DM_NHAN_SU'!C103)</f>
        <v/>
      </c>
      <c r="D103" s="145">
        <f>IF('DM_NHAN_SU'!$B103="","",'DM_NHAN_SU'!D103)</f>
        <v/>
      </c>
      <c r="E103" s="145">
        <f>IF('DM_NHAN_SU'!$B103="","",'DM_NHAN_SU'!E103)</f>
        <v/>
      </c>
      <c r="F103" s="145">
        <f>IF('DM_NHAN_SU'!$B103="","",'DM_NHAN_SU'!I103)</f>
        <v/>
      </c>
      <c r="G103" s="145">
        <f>IF('DM_NHAN_SU'!$B103="","",'DM_NHAN_SU'!J103)</f>
        <v/>
      </c>
      <c r="H103" s="145">
        <f>IF('DM_NHAN_SU'!$B103="","",IF('DM_NHAN_SU'!H103="",'THAM_SO'!$B$11,'DM_NHAN_SU'!H103))</f>
        <v/>
      </c>
      <c r="I103" s="232">
        <f>IF('DM_NHAN_SU'!$B103="","",IF('DM_NHAN_SU'!L103&gt;0,'DM_NHAN_SU'!L103,'THAM_SO'!$B$9))</f>
        <v/>
      </c>
      <c r="J103" s="232">
        <f>IF('DM_NHAN_SU'!$B103="","",IF('DM_NHAN_SU'!M103&gt;0,'DM_NHAN_SU'!M103,'THAM_SO'!$B$10))</f>
        <v/>
      </c>
      <c r="K103" s="232">
        <f>IF('DM_NHAN_SU'!$B103="","",'CHAM_CONG_THANG'!AC103)</f>
        <v/>
      </c>
      <c r="L103" s="232">
        <f>IF('DM_NHAN_SU'!$B103="","",'CHAM_CONG_THANG'!AD103)</f>
        <v/>
      </c>
      <c r="M103" s="232">
        <f>IF('DM_NHAN_SU'!$B103="","",'CHAM_CONG_THANG'!AE103)</f>
        <v/>
      </c>
      <c r="N103" s="232">
        <f>IF('DM_NHAN_SU'!$B103="","",'CHAM_CONG_THANG'!N103)</f>
        <v/>
      </c>
      <c r="O103" s="224">
        <f>IF('DM_NHAN_SU'!$B103="","",IF($B103="","",IF($G103="Tháng",IF($I103&gt;0,'DM_NHAN_SU'!$K103*MIN($K103,$I103)/$I103,0),IF($G103="Ngày",'DM_NHAN_SU'!$K103*$K103,IF($G103="Giờ",'DM_NHAN_SU'!$K103*$L103,IF($G103="Sản phẩm",'DM_NHAN_SU'!$K103*$N103,0))))))</f>
        <v/>
      </c>
      <c r="P103" s="224">
        <f>IF('DM_NHAN_SU'!$B103="","",'CHAM_CONG_THANG'!O103)</f>
        <v/>
      </c>
      <c r="Q103" s="224">
        <f>IF('DM_NHAN_SU'!$B103="","",'CHAM_CONG_THANG'!P103)</f>
        <v/>
      </c>
      <c r="R103" s="224">
        <f>IF('DM_NHAN_SU'!$B103="","",'CHAM_CONG_THANG'!Q103)</f>
        <v/>
      </c>
      <c r="S103" s="224">
        <f>IF('DM_NHAN_SU'!$B103="","",'CHAM_CONG_THANG'!R103)</f>
        <v/>
      </c>
      <c r="T103" s="224">
        <f>IF('DM_NHAN_SU'!$B103="","",'CHAM_CONG_THANG'!S103)</f>
        <v/>
      </c>
      <c r="U103" s="224">
        <f>IF('DM_NHAN_SU'!$B103="","",MIN($T103,'THAM_SO'!$F$6))</f>
        <v/>
      </c>
      <c r="V103" s="224">
        <f>IF('DM_NHAN_SU'!$B103="","",MAX($T103-$U103,0))</f>
        <v/>
      </c>
      <c r="W103" s="224">
        <f>IF('DM_NHAN_SU'!$B103="","",'CHAM_CONG_THANG'!T103)</f>
        <v/>
      </c>
      <c r="X103" s="224">
        <f>IF('DM_NHAN_SU'!$B103="","",'CHAM_CONG_THANG'!U103)</f>
        <v/>
      </c>
      <c r="Y103" s="224">
        <f>IF('DM_NHAN_SU'!$B103="","",IF($B103="",0,IF('DM_NHAN_SU'!$Q103&gt;0,'DM_NHAN_SU'!$Q103,IF($G103="Tháng",IF($I103*$J103&gt;0,'DM_NHAN_SU'!$K103/($I103*$J103),0),IF($G103="Ngày",IF($J103&gt;0,'DM_NHAN_SU'!$K103/$J103,0),IF($G103="Giờ",'DM_NHAN_SU'!$K103,0))))))</f>
        <v/>
      </c>
      <c r="Z103" s="224">
        <f>IF('DM_NHAN_SU'!$B103="","",$Y103*($M103*'THAM_SO'!$C$22+'CHAM_CONG_THANG'!$AF103*'THAM_SO'!$C$19+'CHAM_CONG_THANG'!$AG103*'THAM_SO'!$C$20+'CHAM_CONG_THANG'!$AH103*'THAM_SO'!$C$21+'CHAM_CONG_THANG'!$AI103*'THAM_SO'!$C$23+'CHAM_CONG_THANG'!$AJ103*'THAM_SO'!$C$24+'CHAM_CONG_THANG'!$AK103*'THAM_SO'!$C$25))</f>
        <v/>
      </c>
      <c r="AA103" s="224">
        <f>IF('DM_NHAN_SU'!$B103="","",MAX(0,$Y103*($M103*IF('THAM_SO'!$C$22&gt;='THAM_SO'!$B$22,'THAM_SO'!$B$22,0)+'CHAM_CONG_THANG'!$AF103*IF('THAM_SO'!$C$19&gt;='THAM_SO'!$B$19,'THAM_SO'!$B$19,0)+'CHAM_CONG_THANG'!$AG103*IF('THAM_SO'!$C$20&gt;='THAM_SO'!$B$20,'THAM_SO'!$B$20,0)+'CHAM_CONG_THANG'!$AH103*IF('THAM_SO'!$C$21&gt;='THAM_SO'!$B$21,'THAM_SO'!$B$21,0)+'CHAM_CONG_THANG'!$AI103*IF('THAM_SO'!$C$23&gt;='THAM_SO'!$B$23,'THAM_SO'!$B$23,0)+'CHAM_CONG_THANG'!$AJ103*IF('THAM_SO'!$C$24&gt;='THAM_SO'!$B$24,'THAM_SO'!$B$24,0)+'CHAM_CONG_THANG'!$AK103*IF('THAM_SO'!$C$25&gt;='THAM_SO'!$B$25,'THAM_SO'!$B$25,0))-'CHAM_CONG_THANG'!$V103))</f>
        <v/>
      </c>
      <c r="AB103" s="224">
        <f>IF('DM_NHAN_SU'!$B103="","",MAX($Z103-$AA103,0))</f>
        <v/>
      </c>
      <c r="AC103" s="224">
        <f>IF('DM_NHAN_SU'!$B103="","",$O103+$P103+$Q103+$R103+$S103+$V103+$AB103+$BO103+$BP103+$BQ103+$BR103)</f>
        <v/>
      </c>
      <c r="AD103" s="224">
        <f>IF('DM_NHAN_SU'!$B103="","",'DM_NHAN_SU'!N103+'DM_NHAN_SU'!O103+'DM_NHAN_SU'!P103)</f>
        <v/>
      </c>
      <c r="AE103" s="224">
        <f>IF('DM_NHAN_SU'!$B103="","",IF(OR('DM_NHAN_SU'!$R103&lt;&gt;"Có",'CHAM_CONG_THANG'!$AA103="Có",$BL103&gt;=14,$AD103&lt;=0),0,MIN(MAX($AD103,'THAM_SO'!$M$6),'THAM_SO'!$M$7)))</f>
        <v/>
      </c>
      <c r="AF103" s="224">
        <f>IF('DM_NHAN_SU'!$B103="","",IF(OR('DM_NHAN_SU'!$S103&lt;&gt;"Có",'CHAM_CONG_THANG'!$AA103="Có",$BL103&gt;=14,$AD103&lt;=0),0,MIN(MAX($AD103,VLOOKUP($H103,'THAM_SO'!$L$17:$P$20,4,FALSE)),VLOOKUP($H103,'THAM_SO'!$L$17:$P$20,5,FALSE))))</f>
        <v/>
      </c>
      <c r="AG103" s="224">
        <f>IF('DM_NHAN_SU'!$B103="","",$AE103*'THAM_SO'!$M$8)</f>
        <v/>
      </c>
      <c r="AH103" s="224">
        <f>IF('DM_NHAN_SU'!$B103="","",$AE103*'THAM_SO'!$M$9)</f>
        <v/>
      </c>
      <c r="AI103" s="224">
        <f>IF('DM_NHAN_SU'!$B103="","",$AF103*'THAM_SO'!$M$10)</f>
        <v/>
      </c>
      <c r="AJ103" s="224">
        <f>IF('DM_NHAN_SU'!$B103="","",SUM($AG103:$AI103))</f>
        <v/>
      </c>
      <c r="AK103" s="224">
        <f>IF('DM_NHAN_SU'!$B103="","",IF($B103="",0,'THAM_SO'!$F$4))</f>
        <v/>
      </c>
      <c r="AL103" s="224">
        <f>IF('DM_NHAN_SU'!$B103="","",IF($B103="",0,'DM_NHAN_SU'!$T103*'THAM_SO'!$F$5))</f>
        <v/>
      </c>
      <c r="AM103" s="224">
        <f>IF('DM_NHAN_SU'!$B103="","",'CHAM_CONG_THANG'!W103)</f>
        <v/>
      </c>
      <c r="AN103" s="224">
        <f>IF('DM_NHAN_SU'!$B103="","",MAX($AC103-$AK103-$AL103-$AM103,0))</f>
        <v/>
      </c>
      <c r="AO103" s="224">
        <f>IF('DM_NHAN_SU'!$B103="","",IF($B103="","",IF($F103="Net",IF($AC103&lt;=$AK103+$AL103+$AM103,$AC103+$AJ103,$AJ103+$AK103+$AL103+$AM103+IF($AN103&lt;='THAM_SO'!$J$10,($AN103-'THAM_SO'!$I$10)/(1-'THAM_SO'!$H$10),IF($AN103&lt;='THAM_SO'!$J$11,($AN103-'THAM_SO'!$I$11)/(1-'THAM_SO'!$H$11),IF($AN103&lt;='THAM_SO'!$J$12,($AN103-'THAM_SO'!$I$12)/(1-'THAM_SO'!$H$12),IF($AN103&lt;='THAM_SO'!$J$13,($AN103-'THAM_SO'!$I$13)/(1-'THAM_SO'!$H$13),($AN103-'THAM_SO'!$I$14)/(1-'THAM_SO'!$H$14)))))),$AC103)))</f>
        <v/>
      </c>
      <c r="AP103" s="224">
        <f>IF('DM_NHAN_SU'!$B103="","",$U103+$W103+$X103+$AA103+$BS103)</f>
        <v/>
      </c>
      <c r="AQ103" s="224">
        <f>IF('DM_NHAN_SU'!$B103="","",MAX($AO103-$AJ103-$AK103-$AL103-$AM103,0))</f>
        <v/>
      </c>
      <c r="AR103" s="224">
        <f>IF('DM_NHAN_SU'!$B103="","",IF($AQ103&lt;=0,0,$AQ103*VLOOKUP($AQ103,'THAM_SO'!$F$10:$I$14,3,TRUE)-VLOOKUP($AQ103,'THAM_SO'!$F$10:$I$14,4,TRUE)))</f>
        <v/>
      </c>
      <c r="AS103" s="224">
        <f>IF('DM_NHAN_SU'!$B103="","",$AO103+$AP103)</f>
        <v/>
      </c>
      <c r="AT103" s="224">
        <f>IF('DM_NHAN_SU'!$B103="","",$AS103-$AJ103-$AR103)</f>
        <v/>
      </c>
      <c r="AU103" s="224">
        <f>IF('DM_NHAN_SU'!$B103="","",'CHAM_CONG_THANG'!X103)</f>
        <v/>
      </c>
      <c r="AV103" s="224">
        <f>IF('DM_NHAN_SU'!$B103="","",'CHAM_CONG_THANG'!Y103+'QT_NGHI_VIEC'!AD103)</f>
        <v/>
      </c>
      <c r="AW103" s="224">
        <f>IF('DM_NHAN_SU'!$B103="","",'CHAM_CONG_THANG'!Z103)</f>
        <v/>
      </c>
      <c r="AX103" s="224">
        <f>IF('DM_NHAN_SU'!$B103="","",$AT103-$AU103-$AV103-$AW103-$BV103)</f>
        <v/>
      </c>
      <c r="AY103" s="224">
        <f>IF('DM_NHAN_SU'!$B103="","",$AE103*'THAM_SO'!$M$11)</f>
        <v/>
      </c>
      <c r="AZ103" s="224">
        <f>IF('DM_NHAN_SU'!$B103="","",$AE103*'THAM_SO'!$M$12)</f>
        <v/>
      </c>
      <c r="BA103" s="224">
        <f>IF('DM_NHAN_SU'!$B103="","",$AF103*'THAM_SO'!$M$13)</f>
        <v/>
      </c>
      <c r="BB103" s="224">
        <f>IF('DM_NHAN_SU'!$B103="","",$AE103*'THAM_SO'!$M$14)</f>
        <v/>
      </c>
      <c r="BC103" s="224">
        <f>IF('DM_NHAN_SU'!$B103="","",SUM($AY103:$BB103))</f>
        <v/>
      </c>
      <c r="BD103" s="224">
        <f>IF('DM_NHAN_SU'!$B103="","",$AS103+$BC103)</f>
        <v/>
      </c>
      <c r="BE103" s="224">
        <f>IF('DM_NHAN_SU'!$B103="","",VLOOKUP($H103,'THAM_SO'!$L$17:$P$20,2,FALSE))</f>
        <v/>
      </c>
      <c r="BF103" s="224">
        <f>IF('DM_NHAN_SU'!$B103="","",VLOOKUP($H103,'THAM_SO'!$L$17:$P$20,3,FALSE))</f>
        <v/>
      </c>
      <c r="BG103" s="150">
        <f>IF('DM_NHAN_SU'!$B103="","",IF($B103="","",IF(COUNTIF('DM_NHAN_SU'!$B$6:$B$155,$B103)&gt;1,"Trùng mã NV; ","")&amp;IF(OR($F103="",$G103=""),"Thiếu loại/hình thức lương; ","")&amp;IF('CHAM_CONG_THANG'!$D103="","Chưa chọn nguồn công; ","")&amp;IF(AND('CHAM_CONG_THANG'!$D103="Theo ngày",COUNTIF('CHAM_CONG_NGAY'!$B$6:$B$4655,$B103)=0),"Chưa có chấm công ngày; ","")&amp;IF(OR($I103&lt;=0,$J103&lt;=0),"Thiếu công/giờ chuẩn; ","")&amp;IF(AND($G103="Tháng",'DM_NHAN_SU'!$K103&lt;$BE103),"Lương tháng dưới tối thiểu vùng; ","")&amp;IF(AND($G103="Ngày",'DM_NHAN_SU'!$K103/$J103&lt;$BF103),"Lương ngày quy đổi dưới tối thiểu giờ; ","")&amp;IF(AND($G103="Giờ",'DM_NHAN_SU'!$K103&lt;$BF103),"Lương giờ dưới tối thiểu vùng; ","")&amp;IF(AND($G103="Sản phẩm",$L103&gt;0,$O103/$L103&lt;$BF103),"Lương SP quy đổi dưới tối thiểu giờ; ","")&amp;IF(OR('THAM_SO'!$C$19&lt;'THAM_SO'!$B$19,'THAM_SO'!$C$20&lt;'THAM_SO'!$B$20,'THAM_SO'!$C$21&lt;'THAM_SO'!$B$21,'THAM_SO'!$C$22&lt;'THAM_SO'!$B$22,'THAM_SO'!$C$23&lt;'THAM_SO'!$B$23,'THAM_SO'!$C$24&lt;'THAM_SO'!$B$24,'THAM_SO'!$C$25&lt;'THAM_SO'!$B$25),"Hệ số OT/đêm DN thấp hơn luật; ","")&amp;IF(AND('DM_NHAN_SU'!$R103="Có",$AD103&lt;=0),"Thiếu căn cứ đóng BH; ","")&amp;IF(AND($AD103&gt;0,$AD103&lt;'THAM_SO'!$M$6),"Căn cứ BH dưới sàn – đã nâng sàn; ","")&amp;IF($AD103&gt;'THAM_SO'!$M$7,"Căn cứ BH vượt trần – đã giới hạn; ","")&amp;IF(AND($F103="Net",SUM('CHAM_CONG_THANG'!$AF103:$AK103)&gt;0,'DM_NHAN_SU'!$Q103&lt;=0),"Net có OT nhưng chưa khai lương giờ OT; ","")&amp;IF('CHAM_CONG_THANG'!$V103&gt;$Z103,"Phần OT không miễn lớn hơn tiền OT; ","")&amp;IF(AND($F103="Net",ABS($AT103-$AC103-$AP103)&gt;1),"Lệch quy đổi Net; ","")&amp;IF(AND($BH103&gt;0,'DM_NHAN_SU'!$AD103=""),"Có phép năm nhưng đang tạm dùng 12 ngày; ","")&amp;IF(AND($G103="Sản phẩm",SUM($BH103:$BJ103)&gt;0,'DM_NHAN_SU'!$AH103&lt;=0),"Lương sản phẩm thiếu đơn giá ngày phép/lễ; ","")&amp;IF(AND($BL103&gt;=14,'CHAM_CONG_THANG'!$AA103&lt;&gt;"Có"),"Thai sản từ 14 ngày: file tự dừng đóng BH – kiểm tra hồ sơ; ","")&amp;IF(AND('DM_NHAN_SU'!$AA103="Có",'DM_NHAN_SU'!$AB103=""),"Đoàn viên chưa chọn cách tính đoàn phí; ","")&amp;IF(AND('DM_NHAN_SU'!$AB103="Nhập tay",'DM_NHAN_SU'!$AC103&gt;'THAM_SO'!$M$26),"Đoàn phí nhập tay vượt trần thông dụng; ","")&amp;IF('NGHI_PHEP'!$L103&lt;&gt;"","Phép: "&amp;'NGHI_PHEP'!$L103,"")&amp;IF('CHE_DO_BHXH'!$AA103&lt;&gt;"","BHXH: "&amp;'CHE_DO_BHXH'!$AA103,"")&amp;IF('THUONG_T13_TET'!$O103&lt;&gt;"","Thưởng: "&amp;'THUONG_T13_TET'!$O103,"")&amp;IF('QT_NGHI_VIEC'!$AF103&lt;&gt;"","Nghỉ việc: "&amp;'QT_NGHI_VIEC'!$AF103,"")&amp;IF($AX103&lt;0,"Thực lĩnh âm; ","")&amp;IF(OR('DM_NHAN_SU'!$F103&gt;'THAM_SO'!$B$7,AND('DM_NHAN_SU'!$G103&lt;&gt;"",'DM_NHAN_SU'!$G103&lt;'THAM_SO'!$B$6)),"Ngoài kỳ trả lương; ","")))</f>
        <v/>
      </c>
      <c r="BH103" s="232">
        <f>IF('DM_NHAN_SU'!$B103="","",'CHAM_CONG_THANG'!AR103)</f>
        <v/>
      </c>
      <c r="BI103" s="232">
        <f>IF('DM_NHAN_SU'!$B103="","",'CHAM_CONG_THANG'!AS103)</f>
        <v/>
      </c>
      <c r="BJ103" s="232">
        <f>IF('DM_NHAN_SU'!$B103="","",'CHAM_CONG_THANG'!AT103)</f>
        <v/>
      </c>
      <c r="BK103" s="232">
        <f>IF('DM_NHAN_SU'!$B103="","",'CHAM_CONG_THANG'!AU103)</f>
        <v/>
      </c>
      <c r="BL103" s="232">
        <f>IF('DM_NHAN_SU'!$B103="","",'CHAM_CONG_THANG'!AV103)</f>
        <v/>
      </c>
      <c r="BM103" s="232">
        <f>IF('DM_NHAN_SU'!$B103="","",'CHAM_CONG_THANG'!AW103)</f>
        <v/>
      </c>
      <c r="BN103" s="232">
        <f>IF('DM_NHAN_SU'!$B103="","",SUM($K103,$BH103:$BJ103))</f>
        <v/>
      </c>
      <c r="BO103" s="224">
        <f>IF('DM_NHAN_SU'!$B103="","",IF($B103="",0,IF($G103="Tháng",IF($I103&gt;0,'DM_NHAN_SU'!$K103*MIN($BH103+$BJ103,MAX($I103-$K103,0))/$I103,0),IF($G103="Ngày",'DM_NHAN_SU'!$K103*SUM($BH103:$BJ103),IF($G103="Giờ",'DM_NHAN_SU'!$K103*SUM($BH103:$BJ103)*$J103,IF($G103="Sản phẩm",'DM_NHAN_SU'!$AH103*SUM($BH103:$BJ103),0))))))</f>
        <v/>
      </c>
      <c r="BP103" s="224">
        <f>IF('DM_NHAN_SU'!$B103="","",IF('THUONG_T13_TET'!$L103="Có",'THUONG_T13_TET'!$I103,0))</f>
        <v/>
      </c>
      <c r="BQ103" s="224">
        <f>IF('DM_NHAN_SU'!$B103="","",IF('THUONG_T13_TET'!$L103="Có",SUM('THUONG_T13_TET'!$J103:$K103),0))</f>
        <v/>
      </c>
      <c r="BR103" s="224">
        <f>IF('DM_NHAN_SU'!$B103="","",'QT_NGHI_VIEC'!AC103)</f>
        <v/>
      </c>
      <c r="BS103" s="224">
        <f>IF('DM_NHAN_SU'!$B103="","",'QT_NGHI_VIEC'!AB103)</f>
        <v/>
      </c>
      <c r="BT103" s="224">
        <f>IF('DM_NHAN_SU'!$B103="","",IF('CHE_DO_BHXH'!$Z103="Có",'CHE_DO_BHXH'!$W103,0))</f>
        <v/>
      </c>
      <c r="BU103" s="224">
        <f>IF('DM_NHAN_SU'!$B103="","",IF('CHE_DO_BHXH'!$Y103="DN trả thay",$BT103,0))</f>
        <v/>
      </c>
      <c r="BV103" s="224">
        <f>IF('DM_NHAN_SU'!$B103="","",IF(OR('DM_NHAN_SU'!$AA103&lt;&gt;"Có",'CHE_DO_BHXH'!$O103&gt;=1,SUM('CHE_DO_BHXH'!$D103,'CHE_DO_BHXH'!$G103,'CHE_DO_BHXH'!$K103)&gt;=24,AND($I103&gt;0,$BM103&gt;=$I103)),0,IF('DM_NHAN_SU'!$AB103="Không",0,IF('DM_NHAN_SU'!$AB103="Nhập tay",'DM_NHAN_SU'!$AC103,IF('DM_NHAN_SU'!$AB103="Theo thực nhận",MIN(MAX($AT103-$AU103-$AV103-$AW103,0)*'THAM_SO'!$M$23,'THAM_SO'!$M$26),MIN($AE103*'THAM_SO'!$M$23,'THAM_SO'!$M$26))))))</f>
        <v/>
      </c>
      <c r="BW103" s="224">
        <f>IF('DM_NHAN_SU'!$B103="","",$AX103+$BU103)</f>
        <v/>
      </c>
    </row>
    <row r="104">
      <c r="A104" s="145">
        <f>IF('DM_NHAN_SU'!$B104="","",IF($B104="","",ROW()-5))</f>
        <v/>
      </c>
      <c r="B104" s="145">
        <f>IF('DM_NHAN_SU'!$B104="","",'DM_NHAN_SU'!B104)</f>
        <v/>
      </c>
      <c r="C104" s="145">
        <f>IF('DM_NHAN_SU'!$B104="","",'DM_NHAN_SU'!C104)</f>
        <v/>
      </c>
      <c r="D104" s="145">
        <f>IF('DM_NHAN_SU'!$B104="","",'DM_NHAN_SU'!D104)</f>
        <v/>
      </c>
      <c r="E104" s="145">
        <f>IF('DM_NHAN_SU'!$B104="","",'DM_NHAN_SU'!E104)</f>
        <v/>
      </c>
      <c r="F104" s="145">
        <f>IF('DM_NHAN_SU'!$B104="","",'DM_NHAN_SU'!I104)</f>
        <v/>
      </c>
      <c r="G104" s="145">
        <f>IF('DM_NHAN_SU'!$B104="","",'DM_NHAN_SU'!J104)</f>
        <v/>
      </c>
      <c r="H104" s="145">
        <f>IF('DM_NHAN_SU'!$B104="","",IF('DM_NHAN_SU'!H104="",'THAM_SO'!$B$11,'DM_NHAN_SU'!H104))</f>
        <v/>
      </c>
      <c r="I104" s="232">
        <f>IF('DM_NHAN_SU'!$B104="","",IF('DM_NHAN_SU'!L104&gt;0,'DM_NHAN_SU'!L104,'THAM_SO'!$B$9))</f>
        <v/>
      </c>
      <c r="J104" s="232">
        <f>IF('DM_NHAN_SU'!$B104="","",IF('DM_NHAN_SU'!M104&gt;0,'DM_NHAN_SU'!M104,'THAM_SO'!$B$10))</f>
        <v/>
      </c>
      <c r="K104" s="232">
        <f>IF('DM_NHAN_SU'!$B104="","",'CHAM_CONG_THANG'!AC104)</f>
        <v/>
      </c>
      <c r="L104" s="232">
        <f>IF('DM_NHAN_SU'!$B104="","",'CHAM_CONG_THANG'!AD104)</f>
        <v/>
      </c>
      <c r="M104" s="232">
        <f>IF('DM_NHAN_SU'!$B104="","",'CHAM_CONG_THANG'!AE104)</f>
        <v/>
      </c>
      <c r="N104" s="232">
        <f>IF('DM_NHAN_SU'!$B104="","",'CHAM_CONG_THANG'!N104)</f>
        <v/>
      </c>
      <c r="O104" s="224">
        <f>IF('DM_NHAN_SU'!$B104="","",IF($B104="","",IF($G104="Tháng",IF($I104&gt;0,'DM_NHAN_SU'!$K104*MIN($K104,$I104)/$I104,0),IF($G104="Ngày",'DM_NHAN_SU'!$K104*$K104,IF($G104="Giờ",'DM_NHAN_SU'!$K104*$L104,IF($G104="Sản phẩm",'DM_NHAN_SU'!$K104*$N104,0))))))</f>
        <v/>
      </c>
      <c r="P104" s="224">
        <f>IF('DM_NHAN_SU'!$B104="","",'CHAM_CONG_THANG'!O104)</f>
        <v/>
      </c>
      <c r="Q104" s="224">
        <f>IF('DM_NHAN_SU'!$B104="","",'CHAM_CONG_THANG'!P104)</f>
        <v/>
      </c>
      <c r="R104" s="224">
        <f>IF('DM_NHAN_SU'!$B104="","",'CHAM_CONG_THANG'!Q104)</f>
        <v/>
      </c>
      <c r="S104" s="224">
        <f>IF('DM_NHAN_SU'!$B104="","",'CHAM_CONG_THANG'!R104)</f>
        <v/>
      </c>
      <c r="T104" s="224">
        <f>IF('DM_NHAN_SU'!$B104="","",'CHAM_CONG_THANG'!S104)</f>
        <v/>
      </c>
      <c r="U104" s="224">
        <f>IF('DM_NHAN_SU'!$B104="","",MIN($T104,'THAM_SO'!$F$6))</f>
        <v/>
      </c>
      <c r="V104" s="224">
        <f>IF('DM_NHAN_SU'!$B104="","",MAX($T104-$U104,0))</f>
        <v/>
      </c>
      <c r="W104" s="224">
        <f>IF('DM_NHAN_SU'!$B104="","",'CHAM_CONG_THANG'!T104)</f>
        <v/>
      </c>
      <c r="X104" s="224">
        <f>IF('DM_NHAN_SU'!$B104="","",'CHAM_CONG_THANG'!U104)</f>
        <v/>
      </c>
      <c r="Y104" s="224">
        <f>IF('DM_NHAN_SU'!$B104="","",IF($B104="",0,IF('DM_NHAN_SU'!$Q104&gt;0,'DM_NHAN_SU'!$Q104,IF($G104="Tháng",IF($I104*$J104&gt;0,'DM_NHAN_SU'!$K104/($I104*$J104),0),IF($G104="Ngày",IF($J104&gt;0,'DM_NHAN_SU'!$K104/$J104,0),IF($G104="Giờ",'DM_NHAN_SU'!$K104,0))))))</f>
        <v/>
      </c>
      <c r="Z104" s="224">
        <f>IF('DM_NHAN_SU'!$B104="","",$Y104*($M104*'THAM_SO'!$C$22+'CHAM_CONG_THANG'!$AF104*'THAM_SO'!$C$19+'CHAM_CONG_THANG'!$AG104*'THAM_SO'!$C$20+'CHAM_CONG_THANG'!$AH104*'THAM_SO'!$C$21+'CHAM_CONG_THANG'!$AI104*'THAM_SO'!$C$23+'CHAM_CONG_THANG'!$AJ104*'THAM_SO'!$C$24+'CHAM_CONG_THANG'!$AK104*'THAM_SO'!$C$25))</f>
        <v/>
      </c>
      <c r="AA104" s="224">
        <f>IF('DM_NHAN_SU'!$B104="","",MAX(0,$Y104*($M104*IF('THAM_SO'!$C$22&gt;='THAM_SO'!$B$22,'THAM_SO'!$B$22,0)+'CHAM_CONG_THANG'!$AF104*IF('THAM_SO'!$C$19&gt;='THAM_SO'!$B$19,'THAM_SO'!$B$19,0)+'CHAM_CONG_THANG'!$AG104*IF('THAM_SO'!$C$20&gt;='THAM_SO'!$B$20,'THAM_SO'!$B$20,0)+'CHAM_CONG_THANG'!$AH104*IF('THAM_SO'!$C$21&gt;='THAM_SO'!$B$21,'THAM_SO'!$B$21,0)+'CHAM_CONG_THANG'!$AI104*IF('THAM_SO'!$C$23&gt;='THAM_SO'!$B$23,'THAM_SO'!$B$23,0)+'CHAM_CONG_THANG'!$AJ104*IF('THAM_SO'!$C$24&gt;='THAM_SO'!$B$24,'THAM_SO'!$B$24,0)+'CHAM_CONG_THANG'!$AK104*IF('THAM_SO'!$C$25&gt;='THAM_SO'!$B$25,'THAM_SO'!$B$25,0))-'CHAM_CONG_THANG'!$V104))</f>
        <v/>
      </c>
      <c r="AB104" s="224">
        <f>IF('DM_NHAN_SU'!$B104="","",MAX($Z104-$AA104,0))</f>
        <v/>
      </c>
      <c r="AC104" s="224">
        <f>IF('DM_NHAN_SU'!$B104="","",$O104+$P104+$Q104+$R104+$S104+$V104+$AB104+$BO104+$BP104+$BQ104+$BR104)</f>
        <v/>
      </c>
      <c r="AD104" s="224">
        <f>IF('DM_NHAN_SU'!$B104="","",'DM_NHAN_SU'!N104+'DM_NHAN_SU'!O104+'DM_NHAN_SU'!P104)</f>
        <v/>
      </c>
      <c r="AE104" s="224">
        <f>IF('DM_NHAN_SU'!$B104="","",IF(OR('DM_NHAN_SU'!$R104&lt;&gt;"Có",'CHAM_CONG_THANG'!$AA104="Có",$BL104&gt;=14,$AD104&lt;=0),0,MIN(MAX($AD104,'THAM_SO'!$M$6),'THAM_SO'!$M$7)))</f>
        <v/>
      </c>
      <c r="AF104" s="224">
        <f>IF('DM_NHAN_SU'!$B104="","",IF(OR('DM_NHAN_SU'!$S104&lt;&gt;"Có",'CHAM_CONG_THANG'!$AA104="Có",$BL104&gt;=14,$AD104&lt;=0),0,MIN(MAX($AD104,VLOOKUP($H104,'THAM_SO'!$L$17:$P$20,4,FALSE)),VLOOKUP($H104,'THAM_SO'!$L$17:$P$20,5,FALSE))))</f>
        <v/>
      </c>
      <c r="AG104" s="224">
        <f>IF('DM_NHAN_SU'!$B104="","",$AE104*'THAM_SO'!$M$8)</f>
        <v/>
      </c>
      <c r="AH104" s="224">
        <f>IF('DM_NHAN_SU'!$B104="","",$AE104*'THAM_SO'!$M$9)</f>
        <v/>
      </c>
      <c r="AI104" s="224">
        <f>IF('DM_NHAN_SU'!$B104="","",$AF104*'THAM_SO'!$M$10)</f>
        <v/>
      </c>
      <c r="AJ104" s="224">
        <f>IF('DM_NHAN_SU'!$B104="","",SUM($AG104:$AI104))</f>
        <v/>
      </c>
      <c r="AK104" s="224">
        <f>IF('DM_NHAN_SU'!$B104="","",IF($B104="",0,'THAM_SO'!$F$4))</f>
        <v/>
      </c>
      <c r="AL104" s="224">
        <f>IF('DM_NHAN_SU'!$B104="","",IF($B104="",0,'DM_NHAN_SU'!$T104*'THAM_SO'!$F$5))</f>
        <v/>
      </c>
      <c r="AM104" s="224">
        <f>IF('DM_NHAN_SU'!$B104="","",'CHAM_CONG_THANG'!W104)</f>
        <v/>
      </c>
      <c r="AN104" s="224">
        <f>IF('DM_NHAN_SU'!$B104="","",MAX($AC104-$AK104-$AL104-$AM104,0))</f>
        <v/>
      </c>
      <c r="AO104" s="224">
        <f>IF('DM_NHAN_SU'!$B104="","",IF($B104="","",IF($F104="Net",IF($AC104&lt;=$AK104+$AL104+$AM104,$AC104+$AJ104,$AJ104+$AK104+$AL104+$AM104+IF($AN104&lt;='THAM_SO'!$J$10,($AN104-'THAM_SO'!$I$10)/(1-'THAM_SO'!$H$10),IF($AN104&lt;='THAM_SO'!$J$11,($AN104-'THAM_SO'!$I$11)/(1-'THAM_SO'!$H$11),IF($AN104&lt;='THAM_SO'!$J$12,($AN104-'THAM_SO'!$I$12)/(1-'THAM_SO'!$H$12),IF($AN104&lt;='THAM_SO'!$J$13,($AN104-'THAM_SO'!$I$13)/(1-'THAM_SO'!$H$13),($AN104-'THAM_SO'!$I$14)/(1-'THAM_SO'!$H$14)))))),$AC104)))</f>
        <v/>
      </c>
      <c r="AP104" s="224">
        <f>IF('DM_NHAN_SU'!$B104="","",$U104+$W104+$X104+$AA104+$BS104)</f>
        <v/>
      </c>
      <c r="AQ104" s="224">
        <f>IF('DM_NHAN_SU'!$B104="","",MAX($AO104-$AJ104-$AK104-$AL104-$AM104,0))</f>
        <v/>
      </c>
      <c r="AR104" s="224">
        <f>IF('DM_NHAN_SU'!$B104="","",IF($AQ104&lt;=0,0,$AQ104*VLOOKUP($AQ104,'THAM_SO'!$F$10:$I$14,3,TRUE)-VLOOKUP($AQ104,'THAM_SO'!$F$10:$I$14,4,TRUE)))</f>
        <v/>
      </c>
      <c r="AS104" s="224">
        <f>IF('DM_NHAN_SU'!$B104="","",$AO104+$AP104)</f>
        <v/>
      </c>
      <c r="AT104" s="224">
        <f>IF('DM_NHAN_SU'!$B104="","",$AS104-$AJ104-$AR104)</f>
        <v/>
      </c>
      <c r="AU104" s="224">
        <f>IF('DM_NHAN_SU'!$B104="","",'CHAM_CONG_THANG'!X104)</f>
        <v/>
      </c>
      <c r="AV104" s="224">
        <f>IF('DM_NHAN_SU'!$B104="","",'CHAM_CONG_THANG'!Y104+'QT_NGHI_VIEC'!AD104)</f>
        <v/>
      </c>
      <c r="AW104" s="224">
        <f>IF('DM_NHAN_SU'!$B104="","",'CHAM_CONG_THANG'!Z104)</f>
        <v/>
      </c>
      <c r="AX104" s="224">
        <f>IF('DM_NHAN_SU'!$B104="","",$AT104-$AU104-$AV104-$AW104-$BV104)</f>
        <v/>
      </c>
      <c r="AY104" s="224">
        <f>IF('DM_NHAN_SU'!$B104="","",$AE104*'THAM_SO'!$M$11)</f>
        <v/>
      </c>
      <c r="AZ104" s="224">
        <f>IF('DM_NHAN_SU'!$B104="","",$AE104*'THAM_SO'!$M$12)</f>
        <v/>
      </c>
      <c r="BA104" s="224">
        <f>IF('DM_NHAN_SU'!$B104="","",$AF104*'THAM_SO'!$M$13)</f>
        <v/>
      </c>
      <c r="BB104" s="224">
        <f>IF('DM_NHAN_SU'!$B104="","",$AE104*'THAM_SO'!$M$14)</f>
        <v/>
      </c>
      <c r="BC104" s="224">
        <f>IF('DM_NHAN_SU'!$B104="","",SUM($AY104:$BB104))</f>
        <v/>
      </c>
      <c r="BD104" s="224">
        <f>IF('DM_NHAN_SU'!$B104="","",$AS104+$BC104)</f>
        <v/>
      </c>
      <c r="BE104" s="224">
        <f>IF('DM_NHAN_SU'!$B104="","",VLOOKUP($H104,'THAM_SO'!$L$17:$P$20,2,FALSE))</f>
        <v/>
      </c>
      <c r="BF104" s="224">
        <f>IF('DM_NHAN_SU'!$B104="","",VLOOKUP($H104,'THAM_SO'!$L$17:$P$20,3,FALSE))</f>
        <v/>
      </c>
      <c r="BG104" s="150">
        <f>IF('DM_NHAN_SU'!$B104="","",IF($B104="","",IF(COUNTIF('DM_NHAN_SU'!$B$6:$B$155,$B104)&gt;1,"Trùng mã NV; ","")&amp;IF(OR($F104="",$G104=""),"Thiếu loại/hình thức lương; ","")&amp;IF('CHAM_CONG_THANG'!$D104="","Chưa chọn nguồn công; ","")&amp;IF(AND('CHAM_CONG_THANG'!$D104="Theo ngày",COUNTIF('CHAM_CONG_NGAY'!$B$6:$B$4655,$B104)=0),"Chưa có chấm công ngày; ","")&amp;IF(OR($I104&lt;=0,$J104&lt;=0),"Thiếu công/giờ chuẩn; ","")&amp;IF(AND($G104="Tháng",'DM_NHAN_SU'!$K104&lt;$BE104),"Lương tháng dưới tối thiểu vùng; ","")&amp;IF(AND($G104="Ngày",'DM_NHAN_SU'!$K104/$J104&lt;$BF104),"Lương ngày quy đổi dưới tối thiểu giờ; ","")&amp;IF(AND($G104="Giờ",'DM_NHAN_SU'!$K104&lt;$BF104),"Lương giờ dưới tối thiểu vùng; ","")&amp;IF(AND($G104="Sản phẩm",$L104&gt;0,$O104/$L104&lt;$BF104),"Lương SP quy đổi dưới tối thiểu giờ; ","")&amp;IF(OR('THAM_SO'!$C$19&lt;'THAM_SO'!$B$19,'THAM_SO'!$C$20&lt;'THAM_SO'!$B$20,'THAM_SO'!$C$21&lt;'THAM_SO'!$B$21,'THAM_SO'!$C$22&lt;'THAM_SO'!$B$22,'THAM_SO'!$C$23&lt;'THAM_SO'!$B$23,'THAM_SO'!$C$24&lt;'THAM_SO'!$B$24,'THAM_SO'!$C$25&lt;'THAM_SO'!$B$25),"Hệ số OT/đêm DN thấp hơn luật; ","")&amp;IF(AND('DM_NHAN_SU'!$R104="Có",$AD104&lt;=0),"Thiếu căn cứ đóng BH; ","")&amp;IF(AND($AD104&gt;0,$AD104&lt;'THAM_SO'!$M$6),"Căn cứ BH dưới sàn – đã nâng sàn; ","")&amp;IF($AD104&gt;'THAM_SO'!$M$7,"Căn cứ BH vượt trần – đã giới hạn; ","")&amp;IF(AND($F104="Net",SUM('CHAM_CONG_THANG'!$AF104:$AK104)&gt;0,'DM_NHAN_SU'!$Q104&lt;=0),"Net có OT nhưng chưa khai lương giờ OT; ","")&amp;IF('CHAM_CONG_THANG'!$V104&gt;$Z104,"Phần OT không miễn lớn hơn tiền OT; ","")&amp;IF(AND($F104="Net",ABS($AT104-$AC104-$AP104)&gt;1),"Lệch quy đổi Net; ","")&amp;IF(AND($BH104&gt;0,'DM_NHAN_SU'!$AD104=""),"Có phép năm nhưng đang tạm dùng 12 ngày; ","")&amp;IF(AND($G104="Sản phẩm",SUM($BH104:$BJ104)&gt;0,'DM_NHAN_SU'!$AH104&lt;=0),"Lương sản phẩm thiếu đơn giá ngày phép/lễ; ","")&amp;IF(AND($BL104&gt;=14,'CHAM_CONG_THANG'!$AA104&lt;&gt;"Có"),"Thai sản từ 14 ngày: file tự dừng đóng BH – kiểm tra hồ sơ; ","")&amp;IF(AND('DM_NHAN_SU'!$AA104="Có",'DM_NHAN_SU'!$AB104=""),"Đoàn viên chưa chọn cách tính đoàn phí; ","")&amp;IF(AND('DM_NHAN_SU'!$AB104="Nhập tay",'DM_NHAN_SU'!$AC104&gt;'THAM_SO'!$M$26),"Đoàn phí nhập tay vượt trần thông dụng; ","")&amp;IF('NGHI_PHEP'!$L104&lt;&gt;"","Phép: "&amp;'NGHI_PHEP'!$L104,"")&amp;IF('CHE_DO_BHXH'!$AA104&lt;&gt;"","BHXH: "&amp;'CHE_DO_BHXH'!$AA104,"")&amp;IF('THUONG_T13_TET'!$O104&lt;&gt;"","Thưởng: "&amp;'THUONG_T13_TET'!$O104,"")&amp;IF('QT_NGHI_VIEC'!$AF104&lt;&gt;"","Nghỉ việc: "&amp;'QT_NGHI_VIEC'!$AF104,"")&amp;IF($AX104&lt;0,"Thực lĩnh âm; ","")&amp;IF(OR('DM_NHAN_SU'!$F104&gt;'THAM_SO'!$B$7,AND('DM_NHAN_SU'!$G104&lt;&gt;"",'DM_NHAN_SU'!$G104&lt;'THAM_SO'!$B$6)),"Ngoài kỳ trả lương; ","")))</f>
        <v/>
      </c>
      <c r="BH104" s="232">
        <f>IF('DM_NHAN_SU'!$B104="","",'CHAM_CONG_THANG'!AR104)</f>
        <v/>
      </c>
      <c r="BI104" s="232">
        <f>IF('DM_NHAN_SU'!$B104="","",'CHAM_CONG_THANG'!AS104)</f>
        <v/>
      </c>
      <c r="BJ104" s="232">
        <f>IF('DM_NHAN_SU'!$B104="","",'CHAM_CONG_THANG'!AT104)</f>
        <v/>
      </c>
      <c r="BK104" s="232">
        <f>IF('DM_NHAN_SU'!$B104="","",'CHAM_CONG_THANG'!AU104)</f>
        <v/>
      </c>
      <c r="BL104" s="232">
        <f>IF('DM_NHAN_SU'!$B104="","",'CHAM_CONG_THANG'!AV104)</f>
        <v/>
      </c>
      <c r="BM104" s="232">
        <f>IF('DM_NHAN_SU'!$B104="","",'CHAM_CONG_THANG'!AW104)</f>
        <v/>
      </c>
      <c r="BN104" s="232">
        <f>IF('DM_NHAN_SU'!$B104="","",SUM($K104,$BH104:$BJ104))</f>
        <v/>
      </c>
      <c r="BO104" s="224">
        <f>IF('DM_NHAN_SU'!$B104="","",IF($B104="",0,IF($G104="Tháng",IF($I104&gt;0,'DM_NHAN_SU'!$K104*MIN($BH104+$BJ104,MAX($I104-$K104,0))/$I104,0),IF($G104="Ngày",'DM_NHAN_SU'!$K104*SUM($BH104:$BJ104),IF($G104="Giờ",'DM_NHAN_SU'!$K104*SUM($BH104:$BJ104)*$J104,IF($G104="Sản phẩm",'DM_NHAN_SU'!$AH104*SUM($BH104:$BJ104),0))))))</f>
        <v/>
      </c>
      <c r="BP104" s="224">
        <f>IF('DM_NHAN_SU'!$B104="","",IF('THUONG_T13_TET'!$L104="Có",'THUONG_T13_TET'!$I104,0))</f>
        <v/>
      </c>
      <c r="BQ104" s="224">
        <f>IF('DM_NHAN_SU'!$B104="","",IF('THUONG_T13_TET'!$L104="Có",SUM('THUONG_T13_TET'!$J104:$K104),0))</f>
        <v/>
      </c>
      <c r="BR104" s="224">
        <f>IF('DM_NHAN_SU'!$B104="","",'QT_NGHI_VIEC'!AC104)</f>
        <v/>
      </c>
      <c r="BS104" s="224">
        <f>IF('DM_NHAN_SU'!$B104="","",'QT_NGHI_VIEC'!AB104)</f>
        <v/>
      </c>
      <c r="BT104" s="224">
        <f>IF('DM_NHAN_SU'!$B104="","",IF('CHE_DO_BHXH'!$Z104="Có",'CHE_DO_BHXH'!$W104,0))</f>
        <v/>
      </c>
      <c r="BU104" s="224">
        <f>IF('DM_NHAN_SU'!$B104="","",IF('CHE_DO_BHXH'!$Y104="DN trả thay",$BT104,0))</f>
        <v/>
      </c>
      <c r="BV104" s="224">
        <f>IF('DM_NHAN_SU'!$B104="","",IF(OR('DM_NHAN_SU'!$AA104&lt;&gt;"Có",'CHE_DO_BHXH'!$O104&gt;=1,SUM('CHE_DO_BHXH'!$D104,'CHE_DO_BHXH'!$G104,'CHE_DO_BHXH'!$K104)&gt;=24,AND($I104&gt;0,$BM104&gt;=$I104)),0,IF('DM_NHAN_SU'!$AB104="Không",0,IF('DM_NHAN_SU'!$AB104="Nhập tay",'DM_NHAN_SU'!$AC104,IF('DM_NHAN_SU'!$AB104="Theo thực nhận",MIN(MAX($AT104-$AU104-$AV104-$AW104,0)*'THAM_SO'!$M$23,'THAM_SO'!$M$26),MIN($AE104*'THAM_SO'!$M$23,'THAM_SO'!$M$26))))))</f>
        <v/>
      </c>
      <c r="BW104" s="224">
        <f>IF('DM_NHAN_SU'!$B104="","",$AX104+$BU104)</f>
        <v/>
      </c>
    </row>
    <row r="105">
      <c r="A105" s="145">
        <f>IF('DM_NHAN_SU'!$B105="","",IF($B105="","",ROW()-5))</f>
        <v/>
      </c>
      <c r="B105" s="145">
        <f>IF('DM_NHAN_SU'!$B105="","",'DM_NHAN_SU'!B105)</f>
        <v/>
      </c>
      <c r="C105" s="145">
        <f>IF('DM_NHAN_SU'!$B105="","",'DM_NHAN_SU'!C105)</f>
        <v/>
      </c>
      <c r="D105" s="145">
        <f>IF('DM_NHAN_SU'!$B105="","",'DM_NHAN_SU'!D105)</f>
        <v/>
      </c>
      <c r="E105" s="145">
        <f>IF('DM_NHAN_SU'!$B105="","",'DM_NHAN_SU'!E105)</f>
        <v/>
      </c>
      <c r="F105" s="145">
        <f>IF('DM_NHAN_SU'!$B105="","",'DM_NHAN_SU'!I105)</f>
        <v/>
      </c>
      <c r="G105" s="145">
        <f>IF('DM_NHAN_SU'!$B105="","",'DM_NHAN_SU'!J105)</f>
        <v/>
      </c>
      <c r="H105" s="145">
        <f>IF('DM_NHAN_SU'!$B105="","",IF('DM_NHAN_SU'!H105="",'THAM_SO'!$B$11,'DM_NHAN_SU'!H105))</f>
        <v/>
      </c>
      <c r="I105" s="232">
        <f>IF('DM_NHAN_SU'!$B105="","",IF('DM_NHAN_SU'!L105&gt;0,'DM_NHAN_SU'!L105,'THAM_SO'!$B$9))</f>
        <v/>
      </c>
      <c r="J105" s="232">
        <f>IF('DM_NHAN_SU'!$B105="","",IF('DM_NHAN_SU'!M105&gt;0,'DM_NHAN_SU'!M105,'THAM_SO'!$B$10))</f>
        <v/>
      </c>
      <c r="K105" s="232">
        <f>IF('DM_NHAN_SU'!$B105="","",'CHAM_CONG_THANG'!AC105)</f>
        <v/>
      </c>
      <c r="L105" s="232">
        <f>IF('DM_NHAN_SU'!$B105="","",'CHAM_CONG_THANG'!AD105)</f>
        <v/>
      </c>
      <c r="M105" s="232">
        <f>IF('DM_NHAN_SU'!$B105="","",'CHAM_CONG_THANG'!AE105)</f>
        <v/>
      </c>
      <c r="N105" s="232">
        <f>IF('DM_NHAN_SU'!$B105="","",'CHAM_CONG_THANG'!N105)</f>
        <v/>
      </c>
      <c r="O105" s="224">
        <f>IF('DM_NHAN_SU'!$B105="","",IF($B105="","",IF($G105="Tháng",IF($I105&gt;0,'DM_NHAN_SU'!$K105*MIN($K105,$I105)/$I105,0),IF($G105="Ngày",'DM_NHAN_SU'!$K105*$K105,IF($G105="Giờ",'DM_NHAN_SU'!$K105*$L105,IF($G105="Sản phẩm",'DM_NHAN_SU'!$K105*$N105,0))))))</f>
        <v/>
      </c>
      <c r="P105" s="224">
        <f>IF('DM_NHAN_SU'!$B105="","",'CHAM_CONG_THANG'!O105)</f>
        <v/>
      </c>
      <c r="Q105" s="224">
        <f>IF('DM_NHAN_SU'!$B105="","",'CHAM_CONG_THANG'!P105)</f>
        <v/>
      </c>
      <c r="R105" s="224">
        <f>IF('DM_NHAN_SU'!$B105="","",'CHAM_CONG_THANG'!Q105)</f>
        <v/>
      </c>
      <c r="S105" s="224">
        <f>IF('DM_NHAN_SU'!$B105="","",'CHAM_CONG_THANG'!R105)</f>
        <v/>
      </c>
      <c r="T105" s="224">
        <f>IF('DM_NHAN_SU'!$B105="","",'CHAM_CONG_THANG'!S105)</f>
        <v/>
      </c>
      <c r="U105" s="224">
        <f>IF('DM_NHAN_SU'!$B105="","",MIN($T105,'THAM_SO'!$F$6))</f>
        <v/>
      </c>
      <c r="V105" s="224">
        <f>IF('DM_NHAN_SU'!$B105="","",MAX($T105-$U105,0))</f>
        <v/>
      </c>
      <c r="W105" s="224">
        <f>IF('DM_NHAN_SU'!$B105="","",'CHAM_CONG_THANG'!T105)</f>
        <v/>
      </c>
      <c r="X105" s="224">
        <f>IF('DM_NHAN_SU'!$B105="","",'CHAM_CONG_THANG'!U105)</f>
        <v/>
      </c>
      <c r="Y105" s="224">
        <f>IF('DM_NHAN_SU'!$B105="","",IF($B105="",0,IF('DM_NHAN_SU'!$Q105&gt;0,'DM_NHAN_SU'!$Q105,IF($G105="Tháng",IF($I105*$J105&gt;0,'DM_NHAN_SU'!$K105/($I105*$J105),0),IF($G105="Ngày",IF($J105&gt;0,'DM_NHAN_SU'!$K105/$J105,0),IF($G105="Giờ",'DM_NHAN_SU'!$K105,0))))))</f>
        <v/>
      </c>
      <c r="Z105" s="224">
        <f>IF('DM_NHAN_SU'!$B105="","",$Y105*($M105*'THAM_SO'!$C$22+'CHAM_CONG_THANG'!$AF105*'THAM_SO'!$C$19+'CHAM_CONG_THANG'!$AG105*'THAM_SO'!$C$20+'CHAM_CONG_THANG'!$AH105*'THAM_SO'!$C$21+'CHAM_CONG_THANG'!$AI105*'THAM_SO'!$C$23+'CHAM_CONG_THANG'!$AJ105*'THAM_SO'!$C$24+'CHAM_CONG_THANG'!$AK105*'THAM_SO'!$C$25))</f>
        <v/>
      </c>
      <c r="AA105" s="224">
        <f>IF('DM_NHAN_SU'!$B105="","",MAX(0,$Y105*($M105*IF('THAM_SO'!$C$22&gt;='THAM_SO'!$B$22,'THAM_SO'!$B$22,0)+'CHAM_CONG_THANG'!$AF105*IF('THAM_SO'!$C$19&gt;='THAM_SO'!$B$19,'THAM_SO'!$B$19,0)+'CHAM_CONG_THANG'!$AG105*IF('THAM_SO'!$C$20&gt;='THAM_SO'!$B$20,'THAM_SO'!$B$20,0)+'CHAM_CONG_THANG'!$AH105*IF('THAM_SO'!$C$21&gt;='THAM_SO'!$B$21,'THAM_SO'!$B$21,0)+'CHAM_CONG_THANG'!$AI105*IF('THAM_SO'!$C$23&gt;='THAM_SO'!$B$23,'THAM_SO'!$B$23,0)+'CHAM_CONG_THANG'!$AJ105*IF('THAM_SO'!$C$24&gt;='THAM_SO'!$B$24,'THAM_SO'!$B$24,0)+'CHAM_CONG_THANG'!$AK105*IF('THAM_SO'!$C$25&gt;='THAM_SO'!$B$25,'THAM_SO'!$B$25,0))-'CHAM_CONG_THANG'!$V105))</f>
        <v/>
      </c>
      <c r="AB105" s="224">
        <f>IF('DM_NHAN_SU'!$B105="","",MAX($Z105-$AA105,0))</f>
        <v/>
      </c>
      <c r="AC105" s="224">
        <f>IF('DM_NHAN_SU'!$B105="","",$O105+$P105+$Q105+$R105+$S105+$V105+$AB105+$BO105+$BP105+$BQ105+$BR105)</f>
        <v/>
      </c>
      <c r="AD105" s="224">
        <f>IF('DM_NHAN_SU'!$B105="","",'DM_NHAN_SU'!N105+'DM_NHAN_SU'!O105+'DM_NHAN_SU'!P105)</f>
        <v/>
      </c>
      <c r="AE105" s="224">
        <f>IF('DM_NHAN_SU'!$B105="","",IF(OR('DM_NHAN_SU'!$R105&lt;&gt;"Có",'CHAM_CONG_THANG'!$AA105="Có",$BL105&gt;=14,$AD105&lt;=0),0,MIN(MAX($AD105,'THAM_SO'!$M$6),'THAM_SO'!$M$7)))</f>
        <v/>
      </c>
      <c r="AF105" s="224">
        <f>IF('DM_NHAN_SU'!$B105="","",IF(OR('DM_NHAN_SU'!$S105&lt;&gt;"Có",'CHAM_CONG_THANG'!$AA105="Có",$BL105&gt;=14,$AD105&lt;=0),0,MIN(MAX($AD105,VLOOKUP($H105,'THAM_SO'!$L$17:$P$20,4,FALSE)),VLOOKUP($H105,'THAM_SO'!$L$17:$P$20,5,FALSE))))</f>
        <v/>
      </c>
      <c r="AG105" s="224">
        <f>IF('DM_NHAN_SU'!$B105="","",$AE105*'THAM_SO'!$M$8)</f>
        <v/>
      </c>
      <c r="AH105" s="224">
        <f>IF('DM_NHAN_SU'!$B105="","",$AE105*'THAM_SO'!$M$9)</f>
        <v/>
      </c>
      <c r="AI105" s="224">
        <f>IF('DM_NHAN_SU'!$B105="","",$AF105*'THAM_SO'!$M$10)</f>
        <v/>
      </c>
      <c r="AJ105" s="224">
        <f>IF('DM_NHAN_SU'!$B105="","",SUM($AG105:$AI105))</f>
        <v/>
      </c>
      <c r="AK105" s="224">
        <f>IF('DM_NHAN_SU'!$B105="","",IF($B105="",0,'THAM_SO'!$F$4))</f>
        <v/>
      </c>
      <c r="AL105" s="224">
        <f>IF('DM_NHAN_SU'!$B105="","",IF($B105="",0,'DM_NHAN_SU'!$T105*'THAM_SO'!$F$5))</f>
        <v/>
      </c>
      <c r="AM105" s="224">
        <f>IF('DM_NHAN_SU'!$B105="","",'CHAM_CONG_THANG'!W105)</f>
        <v/>
      </c>
      <c r="AN105" s="224">
        <f>IF('DM_NHAN_SU'!$B105="","",MAX($AC105-$AK105-$AL105-$AM105,0))</f>
        <v/>
      </c>
      <c r="AO105" s="224">
        <f>IF('DM_NHAN_SU'!$B105="","",IF($B105="","",IF($F105="Net",IF($AC105&lt;=$AK105+$AL105+$AM105,$AC105+$AJ105,$AJ105+$AK105+$AL105+$AM105+IF($AN105&lt;='THAM_SO'!$J$10,($AN105-'THAM_SO'!$I$10)/(1-'THAM_SO'!$H$10),IF($AN105&lt;='THAM_SO'!$J$11,($AN105-'THAM_SO'!$I$11)/(1-'THAM_SO'!$H$11),IF($AN105&lt;='THAM_SO'!$J$12,($AN105-'THAM_SO'!$I$12)/(1-'THAM_SO'!$H$12),IF($AN105&lt;='THAM_SO'!$J$13,($AN105-'THAM_SO'!$I$13)/(1-'THAM_SO'!$H$13),($AN105-'THAM_SO'!$I$14)/(1-'THAM_SO'!$H$14)))))),$AC105)))</f>
        <v/>
      </c>
      <c r="AP105" s="224">
        <f>IF('DM_NHAN_SU'!$B105="","",$U105+$W105+$X105+$AA105+$BS105)</f>
        <v/>
      </c>
      <c r="AQ105" s="224">
        <f>IF('DM_NHAN_SU'!$B105="","",MAX($AO105-$AJ105-$AK105-$AL105-$AM105,0))</f>
        <v/>
      </c>
      <c r="AR105" s="224">
        <f>IF('DM_NHAN_SU'!$B105="","",IF($AQ105&lt;=0,0,$AQ105*VLOOKUP($AQ105,'THAM_SO'!$F$10:$I$14,3,TRUE)-VLOOKUP($AQ105,'THAM_SO'!$F$10:$I$14,4,TRUE)))</f>
        <v/>
      </c>
      <c r="AS105" s="224">
        <f>IF('DM_NHAN_SU'!$B105="","",$AO105+$AP105)</f>
        <v/>
      </c>
      <c r="AT105" s="224">
        <f>IF('DM_NHAN_SU'!$B105="","",$AS105-$AJ105-$AR105)</f>
        <v/>
      </c>
      <c r="AU105" s="224">
        <f>IF('DM_NHAN_SU'!$B105="","",'CHAM_CONG_THANG'!X105)</f>
        <v/>
      </c>
      <c r="AV105" s="224">
        <f>IF('DM_NHAN_SU'!$B105="","",'CHAM_CONG_THANG'!Y105+'QT_NGHI_VIEC'!AD105)</f>
        <v/>
      </c>
      <c r="AW105" s="224">
        <f>IF('DM_NHAN_SU'!$B105="","",'CHAM_CONG_THANG'!Z105)</f>
        <v/>
      </c>
      <c r="AX105" s="224">
        <f>IF('DM_NHAN_SU'!$B105="","",$AT105-$AU105-$AV105-$AW105-$BV105)</f>
        <v/>
      </c>
      <c r="AY105" s="224">
        <f>IF('DM_NHAN_SU'!$B105="","",$AE105*'THAM_SO'!$M$11)</f>
        <v/>
      </c>
      <c r="AZ105" s="224">
        <f>IF('DM_NHAN_SU'!$B105="","",$AE105*'THAM_SO'!$M$12)</f>
        <v/>
      </c>
      <c r="BA105" s="224">
        <f>IF('DM_NHAN_SU'!$B105="","",$AF105*'THAM_SO'!$M$13)</f>
        <v/>
      </c>
      <c r="BB105" s="224">
        <f>IF('DM_NHAN_SU'!$B105="","",$AE105*'THAM_SO'!$M$14)</f>
        <v/>
      </c>
      <c r="BC105" s="224">
        <f>IF('DM_NHAN_SU'!$B105="","",SUM($AY105:$BB105))</f>
        <v/>
      </c>
      <c r="BD105" s="224">
        <f>IF('DM_NHAN_SU'!$B105="","",$AS105+$BC105)</f>
        <v/>
      </c>
      <c r="BE105" s="224">
        <f>IF('DM_NHAN_SU'!$B105="","",VLOOKUP($H105,'THAM_SO'!$L$17:$P$20,2,FALSE))</f>
        <v/>
      </c>
      <c r="BF105" s="224">
        <f>IF('DM_NHAN_SU'!$B105="","",VLOOKUP($H105,'THAM_SO'!$L$17:$P$20,3,FALSE))</f>
        <v/>
      </c>
      <c r="BG105" s="150">
        <f>IF('DM_NHAN_SU'!$B105="","",IF($B105="","",IF(COUNTIF('DM_NHAN_SU'!$B$6:$B$155,$B105)&gt;1,"Trùng mã NV; ","")&amp;IF(OR($F105="",$G105=""),"Thiếu loại/hình thức lương; ","")&amp;IF('CHAM_CONG_THANG'!$D105="","Chưa chọn nguồn công; ","")&amp;IF(AND('CHAM_CONG_THANG'!$D105="Theo ngày",COUNTIF('CHAM_CONG_NGAY'!$B$6:$B$4655,$B105)=0),"Chưa có chấm công ngày; ","")&amp;IF(OR($I105&lt;=0,$J105&lt;=0),"Thiếu công/giờ chuẩn; ","")&amp;IF(AND($G105="Tháng",'DM_NHAN_SU'!$K105&lt;$BE105),"Lương tháng dưới tối thiểu vùng; ","")&amp;IF(AND($G105="Ngày",'DM_NHAN_SU'!$K105/$J105&lt;$BF105),"Lương ngày quy đổi dưới tối thiểu giờ; ","")&amp;IF(AND($G105="Giờ",'DM_NHAN_SU'!$K105&lt;$BF105),"Lương giờ dưới tối thiểu vùng; ","")&amp;IF(AND($G105="Sản phẩm",$L105&gt;0,$O105/$L105&lt;$BF105),"Lương SP quy đổi dưới tối thiểu giờ; ","")&amp;IF(OR('THAM_SO'!$C$19&lt;'THAM_SO'!$B$19,'THAM_SO'!$C$20&lt;'THAM_SO'!$B$20,'THAM_SO'!$C$21&lt;'THAM_SO'!$B$21,'THAM_SO'!$C$22&lt;'THAM_SO'!$B$22,'THAM_SO'!$C$23&lt;'THAM_SO'!$B$23,'THAM_SO'!$C$24&lt;'THAM_SO'!$B$24,'THAM_SO'!$C$25&lt;'THAM_SO'!$B$25),"Hệ số OT/đêm DN thấp hơn luật; ","")&amp;IF(AND('DM_NHAN_SU'!$R105="Có",$AD105&lt;=0),"Thiếu căn cứ đóng BH; ","")&amp;IF(AND($AD105&gt;0,$AD105&lt;'THAM_SO'!$M$6),"Căn cứ BH dưới sàn – đã nâng sàn; ","")&amp;IF($AD105&gt;'THAM_SO'!$M$7,"Căn cứ BH vượt trần – đã giới hạn; ","")&amp;IF(AND($F105="Net",SUM('CHAM_CONG_THANG'!$AF105:$AK105)&gt;0,'DM_NHAN_SU'!$Q105&lt;=0),"Net có OT nhưng chưa khai lương giờ OT; ","")&amp;IF('CHAM_CONG_THANG'!$V105&gt;$Z105,"Phần OT không miễn lớn hơn tiền OT; ","")&amp;IF(AND($F105="Net",ABS($AT105-$AC105-$AP105)&gt;1),"Lệch quy đổi Net; ","")&amp;IF(AND($BH105&gt;0,'DM_NHAN_SU'!$AD105=""),"Có phép năm nhưng đang tạm dùng 12 ngày; ","")&amp;IF(AND($G105="Sản phẩm",SUM($BH105:$BJ105)&gt;0,'DM_NHAN_SU'!$AH105&lt;=0),"Lương sản phẩm thiếu đơn giá ngày phép/lễ; ","")&amp;IF(AND($BL105&gt;=14,'CHAM_CONG_THANG'!$AA105&lt;&gt;"Có"),"Thai sản từ 14 ngày: file tự dừng đóng BH – kiểm tra hồ sơ; ","")&amp;IF(AND('DM_NHAN_SU'!$AA105="Có",'DM_NHAN_SU'!$AB105=""),"Đoàn viên chưa chọn cách tính đoàn phí; ","")&amp;IF(AND('DM_NHAN_SU'!$AB105="Nhập tay",'DM_NHAN_SU'!$AC105&gt;'THAM_SO'!$M$26),"Đoàn phí nhập tay vượt trần thông dụng; ","")&amp;IF('NGHI_PHEP'!$L105&lt;&gt;"","Phép: "&amp;'NGHI_PHEP'!$L105,"")&amp;IF('CHE_DO_BHXH'!$AA105&lt;&gt;"","BHXH: "&amp;'CHE_DO_BHXH'!$AA105,"")&amp;IF('THUONG_T13_TET'!$O105&lt;&gt;"","Thưởng: "&amp;'THUONG_T13_TET'!$O105,"")&amp;IF('QT_NGHI_VIEC'!$AF105&lt;&gt;"","Nghỉ việc: "&amp;'QT_NGHI_VIEC'!$AF105,"")&amp;IF($AX105&lt;0,"Thực lĩnh âm; ","")&amp;IF(OR('DM_NHAN_SU'!$F105&gt;'THAM_SO'!$B$7,AND('DM_NHAN_SU'!$G105&lt;&gt;"",'DM_NHAN_SU'!$G105&lt;'THAM_SO'!$B$6)),"Ngoài kỳ trả lương; ","")))</f>
        <v/>
      </c>
      <c r="BH105" s="232">
        <f>IF('DM_NHAN_SU'!$B105="","",'CHAM_CONG_THANG'!AR105)</f>
        <v/>
      </c>
      <c r="BI105" s="232">
        <f>IF('DM_NHAN_SU'!$B105="","",'CHAM_CONG_THANG'!AS105)</f>
        <v/>
      </c>
      <c r="BJ105" s="232">
        <f>IF('DM_NHAN_SU'!$B105="","",'CHAM_CONG_THANG'!AT105)</f>
        <v/>
      </c>
      <c r="BK105" s="232">
        <f>IF('DM_NHAN_SU'!$B105="","",'CHAM_CONG_THANG'!AU105)</f>
        <v/>
      </c>
      <c r="BL105" s="232">
        <f>IF('DM_NHAN_SU'!$B105="","",'CHAM_CONG_THANG'!AV105)</f>
        <v/>
      </c>
      <c r="BM105" s="232">
        <f>IF('DM_NHAN_SU'!$B105="","",'CHAM_CONG_THANG'!AW105)</f>
        <v/>
      </c>
      <c r="BN105" s="232">
        <f>IF('DM_NHAN_SU'!$B105="","",SUM($K105,$BH105:$BJ105))</f>
        <v/>
      </c>
      <c r="BO105" s="224">
        <f>IF('DM_NHAN_SU'!$B105="","",IF($B105="",0,IF($G105="Tháng",IF($I105&gt;0,'DM_NHAN_SU'!$K105*MIN($BH105+$BJ105,MAX($I105-$K105,0))/$I105,0),IF($G105="Ngày",'DM_NHAN_SU'!$K105*SUM($BH105:$BJ105),IF($G105="Giờ",'DM_NHAN_SU'!$K105*SUM($BH105:$BJ105)*$J105,IF($G105="Sản phẩm",'DM_NHAN_SU'!$AH105*SUM($BH105:$BJ105),0))))))</f>
        <v/>
      </c>
      <c r="BP105" s="224">
        <f>IF('DM_NHAN_SU'!$B105="","",IF('THUONG_T13_TET'!$L105="Có",'THUONG_T13_TET'!$I105,0))</f>
        <v/>
      </c>
      <c r="BQ105" s="224">
        <f>IF('DM_NHAN_SU'!$B105="","",IF('THUONG_T13_TET'!$L105="Có",SUM('THUONG_T13_TET'!$J105:$K105),0))</f>
        <v/>
      </c>
      <c r="BR105" s="224">
        <f>IF('DM_NHAN_SU'!$B105="","",'QT_NGHI_VIEC'!AC105)</f>
        <v/>
      </c>
      <c r="BS105" s="224">
        <f>IF('DM_NHAN_SU'!$B105="","",'QT_NGHI_VIEC'!AB105)</f>
        <v/>
      </c>
      <c r="BT105" s="224">
        <f>IF('DM_NHAN_SU'!$B105="","",IF('CHE_DO_BHXH'!$Z105="Có",'CHE_DO_BHXH'!$W105,0))</f>
        <v/>
      </c>
      <c r="BU105" s="224">
        <f>IF('DM_NHAN_SU'!$B105="","",IF('CHE_DO_BHXH'!$Y105="DN trả thay",$BT105,0))</f>
        <v/>
      </c>
      <c r="BV105" s="224">
        <f>IF('DM_NHAN_SU'!$B105="","",IF(OR('DM_NHAN_SU'!$AA105&lt;&gt;"Có",'CHE_DO_BHXH'!$O105&gt;=1,SUM('CHE_DO_BHXH'!$D105,'CHE_DO_BHXH'!$G105,'CHE_DO_BHXH'!$K105)&gt;=24,AND($I105&gt;0,$BM105&gt;=$I105)),0,IF('DM_NHAN_SU'!$AB105="Không",0,IF('DM_NHAN_SU'!$AB105="Nhập tay",'DM_NHAN_SU'!$AC105,IF('DM_NHAN_SU'!$AB105="Theo thực nhận",MIN(MAX($AT105-$AU105-$AV105-$AW105,0)*'THAM_SO'!$M$23,'THAM_SO'!$M$26),MIN($AE105*'THAM_SO'!$M$23,'THAM_SO'!$M$26))))))</f>
        <v/>
      </c>
      <c r="BW105" s="224">
        <f>IF('DM_NHAN_SU'!$B105="","",$AX105+$BU105)</f>
        <v/>
      </c>
    </row>
    <row r="106">
      <c r="A106" s="145">
        <f>IF('DM_NHAN_SU'!$B106="","",IF($B106="","",ROW()-5))</f>
        <v/>
      </c>
      <c r="B106" s="145">
        <f>IF('DM_NHAN_SU'!$B106="","",'DM_NHAN_SU'!B106)</f>
        <v/>
      </c>
      <c r="C106" s="145">
        <f>IF('DM_NHAN_SU'!$B106="","",'DM_NHAN_SU'!C106)</f>
        <v/>
      </c>
      <c r="D106" s="145">
        <f>IF('DM_NHAN_SU'!$B106="","",'DM_NHAN_SU'!D106)</f>
        <v/>
      </c>
      <c r="E106" s="145">
        <f>IF('DM_NHAN_SU'!$B106="","",'DM_NHAN_SU'!E106)</f>
        <v/>
      </c>
      <c r="F106" s="145">
        <f>IF('DM_NHAN_SU'!$B106="","",'DM_NHAN_SU'!I106)</f>
        <v/>
      </c>
      <c r="G106" s="145">
        <f>IF('DM_NHAN_SU'!$B106="","",'DM_NHAN_SU'!J106)</f>
        <v/>
      </c>
      <c r="H106" s="145">
        <f>IF('DM_NHAN_SU'!$B106="","",IF('DM_NHAN_SU'!H106="",'THAM_SO'!$B$11,'DM_NHAN_SU'!H106))</f>
        <v/>
      </c>
      <c r="I106" s="232">
        <f>IF('DM_NHAN_SU'!$B106="","",IF('DM_NHAN_SU'!L106&gt;0,'DM_NHAN_SU'!L106,'THAM_SO'!$B$9))</f>
        <v/>
      </c>
      <c r="J106" s="232">
        <f>IF('DM_NHAN_SU'!$B106="","",IF('DM_NHAN_SU'!M106&gt;0,'DM_NHAN_SU'!M106,'THAM_SO'!$B$10))</f>
        <v/>
      </c>
      <c r="K106" s="232">
        <f>IF('DM_NHAN_SU'!$B106="","",'CHAM_CONG_THANG'!AC106)</f>
        <v/>
      </c>
      <c r="L106" s="232">
        <f>IF('DM_NHAN_SU'!$B106="","",'CHAM_CONG_THANG'!AD106)</f>
        <v/>
      </c>
      <c r="M106" s="232">
        <f>IF('DM_NHAN_SU'!$B106="","",'CHAM_CONG_THANG'!AE106)</f>
        <v/>
      </c>
      <c r="N106" s="232">
        <f>IF('DM_NHAN_SU'!$B106="","",'CHAM_CONG_THANG'!N106)</f>
        <v/>
      </c>
      <c r="O106" s="224">
        <f>IF('DM_NHAN_SU'!$B106="","",IF($B106="","",IF($G106="Tháng",IF($I106&gt;0,'DM_NHAN_SU'!$K106*MIN($K106,$I106)/$I106,0),IF($G106="Ngày",'DM_NHAN_SU'!$K106*$K106,IF($G106="Giờ",'DM_NHAN_SU'!$K106*$L106,IF($G106="Sản phẩm",'DM_NHAN_SU'!$K106*$N106,0))))))</f>
        <v/>
      </c>
      <c r="P106" s="224">
        <f>IF('DM_NHAN_SU'!$B106="","",'CHAM_CONG_THANG'!O106)</f>
        <v/>
      </c>
      <c r="Q106" s="224">
        <f>IF('DM_NHAN_SU'!$B106="","",'CHAM_CONG_THANG'!P106)</f>
        <v/>
      </c>
      <c r="R106" s="224">
        <f>IF('DM_NHAN_SU'!$B106="","",'CHAM_CONG_THANG'!Q106)</f>
        <v/>
      </c>
      <c r="S106" s="224">
        <f>IF('DM_NHAN_SU'!$B106="","",'CHAM_CONG_THANG'!R106)</f>
        <v/>
      </c>
      <c r="T106" s="224">
        <f>IF('DM_NHAN_SU'!$B106="","",'CHAM_CONG_THANG'!S106)</f>
        <v/>
      </c>
      <c r="U106" s="224">
        <f>IF('DM_NHAN_SU'!$B106="","",MIN($T106,'THAM_SO'!$F$6))</f>
        <v/>
      </c>
      <c r="V106" s="224">
        <f>IF('DM_NHAN_SU'!$B106="","",MAX($T106-$U106,0))</f>
        <v/>
      </c>
      <c r="W106" s="224">
        <f>IF('DM_NHAN_SU'!$B106="","",'CHAM_CONG_THANG'!T106)</f>
        <v/>
      </c>
      <c r="X106" s="224">
        <f>IF('DM_NHAN_SU'!$B106="","",'CHAM_CONG_THANG'!U106)</f>
        <v/>
      </c>
      <c r="Y106" s="224">
        <f>IF('DM_NHAN_SU'!$B106="","",IF($B106="",0,IF('DM_NHAN_SU'!$Q106&gt;0,'DM_NHAN_SU'!$Q106,IF($G106="Tháng",IF($I106*$J106&gt;0,'DM_NHAN_SU'!$K106/($I106*$J106),0),IF($G106="Ngày",IF($J106&gt;0,'DM_NHAN_SU'!$K106/$J106,0),IF($G106="Giờ",'DM_NHAN_SU'!$K106,0))))))</f>
        <v/>
      </c>
      <c r="Z106" s="224">
        <f>IF('DM_NHAN_SU'!$B106="","",$Y106*($M106*'THAM_SO'!$C$22+'CHAM_CONG_THANG'!$AF106*'THAM_SO'!$C$19+'CHAM_CONG_THANG'!$AG106*'THAM_SO'!$C$20+'CHAM_CONG_THANG'!$AH106*'THAM_SO'!$C$21+'CHAM_CONG_THANG'!$AI106*'THAM_SO'!$C$23+'CHAM_CONG_THANG'!$AJ106*'THAM_SO'!$C$24+'CHAM_CONG_THANG'!$AK106*'THAM_SO'!$C$25))</f>
        <v/>
      </c>
      <c r="AA106" s="224">
        <f>IF('DM_NHAN_SU'!$B106="","",MAX(0,$Y106*($M106*IF('THAM_SO'!$C$22&gt;='THAM_SO'!$B$22,'THAM_SO'!$B$22,0)+'CHAM_CONG_THANG'!$AF106*IF('THAM_SO'!$C$19&gt;='THAM_SO'!$B$19,'THAM_SO'!$B$19,0)+'CHAM_CONG_THANG'!$AG106*IF('THAM_SO'!$C$20&gt;='THAM_SO'!$B$20,'THAM_SO'!$B$20,0)+'CHAM_CONG_THANG'!$AH106*IF('THAM_SO'!$C$21&gt;='THAM_SO'!$B$21,'THAM_SO'!$B$21,0)+'CHAM_CONG_THANG'!$AI106*IF('THAM_SO'!$C$23&gt;='THAM_SO'!$B$23,'THAM_SO'!$B$23,0)+'CHAM_CONG_THANG'!$AJ106*IF('THAM_SO'!$C$24&gt;='THAM_SO'!$B$24,'THAM_SO'!$B$24,0)+'CHAM_CONG_THANG'!$AK106*IF('THAM_SO'!$C$25&gt;='THAM_SO'!$B$25,'THAM_SO'!$B$25,0))-'CHAM_CONG_THANG'!$V106))</f>
        <v/>
      </c>
      <c r="AB106" s="224">
        <f>IF('DM_NHAN_SU'!$B106="","",MAX($Z106-$AA106,0))</f>
        <v/>
      </c>
      <c r="AC106" s="224">
        <f>IF('DM_NHAN_SU'!$B106="","",$O106+$P106+$Q106+$R106+$S106+$V106+$AB106+$BO106+$BP106+$BQ106+$BR106)</f>
        <v/>
      </c>
      <c r="AD106" s="224">
        <f>IF('DM_NHAN_SU'!$B106="","",'DM_NHAN_SU'!N106+'DM_NHAN_SU'!O106+'DM_NHAN_SU'!P106)</f>
        <v/>
      </c>
      <c r="AE106" s="224">
        <f>IF('DM_NHAN_SU'!$B106="","",IF(OR('DM_NHAN_SU'!$R106&lt;&gt;"Có",'CHAM_CONG_THANG'!$AA106="Có",$BL106&gt;=14,$AD106&lt;=0),0,MIN(MAX($AD106,'THAM_SO'!$M$6),'THAM_SO'!$M$7)))</f>
        <v/>
      </c>
      <c r="AF106" s="224">
        <f>IF('DM_NHAN_SU'!$B106="","",IF(OR('DM_NHAN_SU'!$S106&lt;&gt;"Có",'CHAM_CONG_THANG'!$AA106="Có",$BL106&gt;=14,$AD106&lt;=0),0,MIN(MAX($AD106,VLOOKUP($H106,'THAM_SO'!$L$17:$P$20,4,FALSE)),VLOOKUP($H106,'THAM_SO'!$L$17:$P$20,5,FALSE))))</f>
        <v/>
      </c>
      <c r="AG106" s="224">
        <f>IF('DM_NHAN_SU'!$B106="","",$AE106*'THAM_SO'!$M$8)</f>
        <v/>
      </c>
      <c r="AH106" s="224">
        <f>IF('DM_NHAN_SU'!$B106="","",$AE106*'THAM_SO'!$M$9)</f>
        <v/>
      </c>
      <c r="AI106" s="224">
        <f>IF('DM_NHAN_SU'!$B106="","",$AF106*'THAM_SO'!$M$10)</f>
        <v/>
      </c>
      <c r="AJ106" s="224">
        <f>IF('DM_NHAN_SU'!$B106="","",SUM($AG106:$AI106))</f>
        <v/>
      </c>
      <c r="AK106" s="224">
        <f>IF('DM_NHAN_SU'!$B106="","",IF($B106="",0,'THAM_SO'!$F$4))</f>
        <v/>
      </c>
      <c r="AL106" s="224">
        <f>IF('DM_NHAN_SU'!$B106="","",IF($B106="",0,'DM_NHAN_SU'!$T106*'THAM_SO'!$F$5))</f>
        <v/>
      </c>
      <c r="AM106" s="224">
        <f>IF('DM_NHAN_SU'!$B106="","",'CHAM_CONG_THANG'!W106)</f>
        <v/>
      </c>
      <c r="AN106" s="224">
        <f>IF('DM_NHAN_SU'!$B106="","",MAX($AC106-$AK106-$AL106-$AM106,0))</f>
        <v/>
      </c>
      <c r="AO106" s="224">
        <f>IF('DM_NHAN_SU'!$B106="","",IF($B106="","",IF($F106="Net",IF($AC106&lt;=$AK106+$AL106+$AM106,$AC106+$AJ106,$AJ106+$AK106+$AL106+$AM106+IF($AN106&lt;='THAM_SO'!$J$10,($AN106-'THAM_SO'!$I$10)/(1-'THAM_SO'!$H$10),IF($AN106&lt;='THAM_SO'!$J$11,($AN106-'THAM_SO'!$I$11)/(1-'THAM_SO'!$H$11),IF($AN106&lt;='THAM_SO'!$J$12,($AN106-'THAM_SO'!$I$12)/(1-'THAM_SO'!$H$12),IF($AN106&lt;='THAM_SO'!$J$13,($AN106-'THAM_SO'!$I$13)/(1-'THAM_SO'!$H$13),($AN106-'THAM_SO'!$I$14)/(1-'THAM_SO'!$H$14)))))),$AC106)))</f>
        <v/>
      </c>
      <c r="AP106" s="224">
        <f>IF('DM_NHAN_SU'!$B106="","",$U106+$W106+$X106+$AA106+$BS106)</f>
        <v/>
      </c>
      <c r="AQ106" s="224">
        <f>IF('DM_NHAN_SU'!$B106="","",MAX($AO106-$AJ106-$AK106-$AL106-$AM106,0))</f>
        <v/>
      </c>
      <c r="AR106" s="224">
        <f>IF('DM_NHAN_SU'!$B106="","",IF($AQ106&lt;=0,0,$AQ106*VLOOKUP($AQ106,'THAM_SO'!$F$10:$I$14,3,TRUE)-VLOOKUP($AQ106,'THAM_SO'!$F$10:$I$14,4,TRUE)))</f>
        <v/>
      </c>
      <c r="AS106" s="224">
        <f>IF('DM_NHAN_SU'!$B106="","",$AO106+$AP106)</f>
        <v/>
      </c>
      <c r="AT106" s="224">
        <f>IF('DM_NHAN_SU'!$B106="","",$AS106-$AJ106-$AR106)</f>
        <v/>
      </c>
      <c r="AU106" s="224">
        <f>IF('DM_NHAN_SU'!$B106="","",'CHAM_CONG_THANG'!X106)</f>
        <v/>
      </c>
      <c r="AV106" s="224">
        <f>IF('DM_NHAN_SU'!$B106="","",'CHAM_CONG_THANG'!Y106+'QT_NGHI_VIEC'!AD106)</f>
        <v/>
      </c>
      <c r="AW106" s="224">
        <f>IF('DM_NHAN_SU'!$B106="","",'CHAM_CONG_THANG'!Z106)</f>
        <v/>
      </c>
      <c r="AX106" s="224">
        <f>IF('DM_NHAN_SU'!$B106="","",$AT106-$AU106-$AV106-$AW106-$BV106)</f>
        <v/>
      </c>
      <c r="AY106" s="224">
        <f>IF('DM_NHAN_SU'!$B106="","",$AE106*'THAM_SO'!$M$11)</f>
        <v/>
      </c>
      <c r="AZ106" s="224">
        <f>IF('DM_NHAN_SU'!$B106="","",$AE106*'THAM_SO'!$M$12)</f>
        <v/>
      </c>
      <c r="BA106" s="224">
        <f>IF('DM_NHAN_SU'!$B106="","",$AF106*'THAM_SO'!$M$13)</f>
        <v/>
      </c>
      <c r="BB106" s="224">
        <f>IF('DM_NHAN_SU'!$B106="","",$AE106*'THAM_SO'!$M$14)</f>
        <v/>
      </c>
      <c r="BC106" s="224">
        <f>IF('DM_NHAN_SU'!$B106="","",SUM($AY106:$BB106))</f>
        <v/>
      </c>
      <c r="BD106" s="224">
        <f>IF('DM_NHAN_SU'!$B106="","",$AS106+$BC106)</f>
        <v/>
      </c>
      <c r="BE106" s="224">
        <f>IF('DM_NHAN_SU'!$B106="","",VLOOKUP($H106,'THAM_SO'!$L$17:$P$20,2,FALSE))</f>
        <v/>
      </c>
      <c r="BF106" s="224">
        <f>IF('DM_NHAN_SU'!$B106="","",VLOOKUP($H106,'THAM_SO'!$L$17:$P$20,3,FALSE))</f>
        <v/>
      </c>
      <c r="BG106" s="150">
        <f>IF('DM_NHAN_SU'!$B106="","",IF($B106="","",IF(COUNTIF('DM_NHAN_SU'!$B$6:$B$155,$B106)&gt;1,"Trùng mã NV; ","")&amp;IF(OR($F106="",$G106=""),"Thiếu loại/hình thức lương; ","")&amp;IF('CHAM_CONG_THANG'!$D106="","Chưa chọn nguồn công; ","")&amp;IF(AND('CHAM_CONG_THANG'!$D106="Theo ngày",COUNTIF('CHAM_CONG_NGAY'!$B$6:$B$4655,$B106)=0),"Chưa có chấm công ngày; ","")&amp;IF(OR($I106&lt;=0,$J106&lt;=0),"Thiếu công/giờ chuẩn; ","")&amp;IF(AND($G106="Tháng",'DM_NHAN_SU'!$K106&lt;$BE106),"Lương tháng dưới tối thiểu vùng; ","")&amp;IF(AND($G106="Ngày",'DM_NHAN_SU'!$K106/$J106&lt;$BF106),"Lương ngày quy đổi dưới tối thiểu giờ; ","")&amp;IF(AND($G106="Giờ",'DM_NHAN_SU'!$K106&lt;$BF106),"Lương giờ dưới tối thiểu vùng; ","")&amp;IF(AND($G106="Sản phẩm",$L106&gt;0,$O106/$L106&lt;$BF106),"Lương SP quy đổi dưới tối thiểu giờ; ","")&amp;IF(OR('THAM_SO'!$C$19&lt;'THAM_SO'!$B$19,'THAM_SO'!$C$20&lt;'THAM_SO'!$B$20,'THAM_SO'!$C$21&lt;'THAM_SO'!$B$21,'THAM_SO'!$C$22&lt;'THAM_SO'!$B$22,'THAM_SO'!$C$23&lt;'THAM_SO'!$B$23,'THAM_SO'!$C$24&lt;'THAM_SO'!$B$24,'THAM_SO'!$C$25&lt;'THAM_SO'!$B$25),"Hệ số OT/đêm DN thấp hơn luật; ","")&amp;IF(AND('DM_NHAN_SU'!$R106="Có",$AD106&lt;=0),"Thiếu căn cứ đóng BH; ","")&amp;IF(AND($AD106&gt;0,$AD106&lt;'THAM_SO'!$M$6),"Căn cứ BH dưới sàn – đã nâng sàn; ","")&amp;IF($AD106&gt;'THAM_SO'!$M$7,"Căn cứ BH vượt trần – đã giới hạn; ","")&amp;IF(AND($F106="Net",SUM('CHAM_CONG_THANG'!$AF106:$AK106)&gt;0,'DM_NHAN_SU'!$Q106&lt;=0),"Net có OT nhưng chưa khai lương giờ OT; ","")&amp;IF('CHAM_CONG_THANG'!$V106&gt;$Z106,"Phần OT không miễn lớn hơn tiền OT; ","")&amp;IF(AND($F106="Net",ABS($AT106-$AC106-$AP106)&gt;1),"Lệch quy đổi Net; ","")&amp;IF(AND($BH106&gt;0,'DM_NHAN_SU'!$AD106=""),"Có phép năm nhưng đang tạm dùng 12 ngày; ","")&amp;IF(AND($G106="Sản phẩm",SUM($BH106:$BJ106)&gt;0,'DM_NHAN_SU'!$AH106&lt;=0),"Lương sản phẩm thiếu đơn giá ngày phép/lễ; ","")&amp;IF(AND($BL106&gt;=14,'CHAM_CONG_THANG'!$AA106&lt;&gt;"Có"),"Thai sản từ 14 ngày: file tự dừng đóng BH – kiểm tra hồ sơ; ","")&amp;IF(AND('DM_NHAN_SU'!$AA106="Có",'DM_NHAN_SU'!$AB106=""),"Đoàn viên chưa chọn cách tính đoàn phí; ","")&amp;IF(AND('DM_NHAN_SU'!$AB106="Nhập tay",'DM_NHAN_SU'!$AC106&gt;'THAM_SO'!$M$26),"Đoàn phí nhập tay vượt trần thông dụng; ","")&amp;IF('NGHI_PHEP'!$L106&lt;&gt;"","Phép: "&amp;'NGHI_PHEP'!$L106,"")&amp;IF('CHE_DO_BHXH'!$AA106&lt;&gt;"","BHXH: "&amp;'CHE_DO_BHXH'!$AA106,"")&amp;IF('THUONG_T13_TET'!$O106&lt;&gt;"","Thưởng: "&amp;'THUONG_T13_TET'!$O106,"")&amp;IF('QT_NGHI_VIEC'!$AF106&lt;&gt;"","Nghỉ việc: "&amp;'QT_NGHI_VIEC'!$AF106,"")&amp;IF($AX106&lt;0,"Thực lĩnh âm; ","")&amp;IF(OR('DM_NHAN_SU'!$F106&gt;'THAM_SO'!$B$7,AND('DM_NHAN_SU'!$G106&lt;&gt;"",'DM_NHAN_SU'!$G106&lt;'THAM_SO'!$B$6)),"Ngoài kỳ trả lương; ","")))</f>
        <v/>
      </c>
      <c r="BH106" s="232">
        <f>IF('DM_NHAN_SU'!$B106="","",'CHAM_CONG_THANG'!AR106)</f>
        <v/>
      </c>
      <c r="BI106" s="232">
        <f>IF('DM_NHAN_SU'!$B106="","",'CHAM_CONG_THANG'!AS106)</f>
        <v/>
      </c>
      <c r="BJ106" s="232">
        <f>IF('DM_NHAN_SU'!$B106="","",'CHAM_CONG_THANG'!AT106)</f>
        <v/>
      </c>
      <c r="BK106" s="232">
        <f>IF('DM_NHAN_SU'!$B106="","",'CHAM_CONG_THANG'!AU106)</f>
        <v/>
      </c>
      <c r="BL106" s="232">
        <f>IF('DM_NHAN_SU'!$B106="","",'CHAM_CONG_THANG'!AV106)</f>
        <v/>
      </c>
      <c r="BM106" s="232">
        <f>IF('DM_NHAN_SU'!$B106="","",'CHAM_CONG_THANG'!AW106)</f>
        <v/>
      </c>
      <c r="BN106" s="232">
        <f>IF('DM_NHAN_SU'!$B106="","",SUM($K106,$BH106:$BJ106))</f>
        <v/>
      </c>
      <c r="BO106" s="224">
        <f>IF('DM_NHAN_SU'!$B106="","",IF($B106="",0,IF($G106="Tháng",IF($I106&gt;0,'DM_NHAN_SU'!$K106*MIN($BH106+$BJ106,MAX($I106-$K106,0))/$I106,0),IF($G106="Ngày",'DM_NHAN_SU'!$K106*SUM($BH106:$BJ106),IF($G106="Giờ",'DM_NHAN_SU'!$K106*SUM($BH106:$BJ106)*$J106,IF($G106="Sản phẩm",'DM_NHAN_SU'!$AH106*SUM($BH106:$BJ106),0))))))</f>
        <v/>
      </c>
      <c r="BP106" s="224">
        <f>IF('DM_NHAN_SU'!$B106="","",IF('THUONG_T13_TET'!$L106="Có",'THUONG_T13_TET'!$I106,0))</f>
        <v/>
      </c>
      <c r="BQ106" s="224">
        <f>IF('DM_NHAN_SU'!$B106="","",IF('THUONG_T13_TET'!$L106="Có",SUM('THUONG_T13_TET'!$J106:$K106),0))</f>
        <v/>
      </c>
      <c r="BR106" s="224">
        <f>IF('DM_NHAN_SU'!$B106="","",'QT_NGHI_VIEC'!AC106)</f>
        <v/>
      </c>
      <c r="BS106" s="224">
        <f>IF('DM_NHAN_SU'!$B106="","",'QT_NGHI_VIEC'!AB106)</f>
        <v/>
      </c>
      <c r="BT106" s="224">
        <f>IF('DM_NHAN_SU'!$B106="","",IF('CHE_DO_BHXH'!$Z106="Có",'CHE_DO_BHXH'!$W106,0))</f>
        <v/>
      </c>
      <c r="BU106" s="224">
        <f>IF('DM_NHAN_SU'!$B106="","",IF('CHE_DO_BHXH'!$Y106="DN trả thay",$BT106,0))</f>
        <v/>
      </c>
      <c r="BV106" s="224">
        <f>IF('DM_NHAN_SU'!$B106="","",IF(OR('DM_NHAN_SU'!$AA106&lt;&gt;"Có",'CHE_DO_BHXH'!$O106&gt;=1,SUM('CHE_DO_BHXH'!$D106,'CHE_DO_BHXH'!$G106,'CHE_DO_BHXH'!$K106)&gt;=24,AND($I106&gt;0,$BM106&gt;=$I106)),0,IF('DM_NHAN_SU'!$AB106="Không",0,IF('DM_NHAN_SU'!$AB106="Nhập tay",'DM_NHAN_SU'!$AC106,IF('DM_NHAN_SU'!$AB106="Theo thực nhận",MIN(MAX($AT106-$AU106-$AV106-$AW106,0)*'THAM_SO'!$M$23,'THAM_SO'!$M$26),MIN($AE106*'THAM_SO'!$M$23,'THAM_SO'!$M$26))))))</f>
        <v/>
      </c>
      <c r="BW106" s="224">
        <f>IF('DM_NHAN_SU'!$B106="","",$AX106+$BU106)</f>
        <v/>
      </c>
    </row>
    <row r="107">
      <c r="A107" s="145">
        <f>IF('DM_NHAN_SU'!$B107="","",IF($B107="","",ROW()-5))</f>
        <v/>
      </c>
      <c r="B107" s="145">
        <f>IF('DM_NHAN_SU'!$B107="","",'DM_NHAN_SU'!B107)</f>
        <v/>
      </c>
      <c r="C107" s="145">
        <f>IF('DM_NHAN_SU'!$B107="","",'DM_NHAN_SU'!C107)</f>
        <v/>
      </c>
      <c r="D107" s="145">
        <f>IF('DM_NHAN_SU'!$B107="","",'DM_NHAN_SU'!D107)</f>
        <v/>
      </c>
      <c r="E107" s="145">
        <f>IF('DM_NHAN_SU'!$B107="","",'DM_NHAN_SU'!E107)</f>
        <v/>
      </c>
      <c r="F107" s="145">
        <f>IF('DM_NHAN_SU'!$B107="","",'DM_NHAN_SU'!I107)</f>
        <v/>
      </c>
      <c r="G107" s="145">
        <f>IF('DM_NHAN_SU'!$B107="","",'DM_NHAN_SU'!J107)</f>
        <v/>
      </c>
      <c r="H107" s="145">
        <f>IF('DM_NHAN_SU'!$B107="","",IF('DM_NHAN_SU'!H107="",'THAM_SO'!$B$11,'DM_NHAN_SU'!H107))</f>
        <v/>
      </c>
      <c r="I107" s="232">
        <f>IF('DM_NHAN_SU'!$B107="","",IF('DM_NHAN_SU'!L107&gt;0,'DM_NHAN_SU'!L107,'THAM_SO'!$B$9))</f>
        <v/>
      </c>
      <c r="J107" s="232">
        <f>IF('DM_NHAN_SU'!$B107="","",IF('DM_NHAN_SU'!M107&gt;0,'DM_NHAN_SU'!M107,'THAM_SO'!$B$10))</f>
        <v/>
      </c>
      <c r="K107" s="232">
        <f>IF('DM_NHAN_SU'!$B107="","",'CHAM_CONG_THANG'!AC107)</f>
        <v/>
      </c>
      <c r="L107" s="232">
        <f>IF('DM_NHAN_SU'!$B107="","",'CHAM_CONG_THANG'!AD107)</f>
        <v/>
      </c>
      <c r="M107" s="232">
        <f>IF('DM_NHAN_SU'!$B107="","",'CHAM_CONG_THANG'!AE107)</f>
        <v/>
      </c>
      <c r="N107" s="232">
        <f>IF('DM_NHAN_SU'!$B107="","",'CHAM_CONG_THANG'!N107)</f>
        <v/>
      </c>
      <c r="O107" s="224">
        <f>IF('DM_NHAN_SU'!$B107="","",IF($B107="","",IF($G107="Tháng",IF($I107&gt;0,'DM_NHAN_SU'!$K107*MIN($K107,$I107)/$I107,0),IF($G107="Ngày",'DM_NHAN_SU'!$K107*$K107,IF($G107="Giờ",'DM_NHAN_SU'!$K107*$L107,IF($G107="Sản phẩm",'DM_NHAN_SU'!$K107*$N107,0))))))</f>
        <v/>
      </c>
      <c r="P107" s="224">
        <f>IF('DM_NHAN_SU'!$B107="","",'CHAM_CONG_THANG'!O107)</f>
        <v/>
      </c>
      <c r="Q107" s="224">
        <f>IF('DM_NHAN_SU'!$B107="","",'CHAM_CONG_THANG'!P107)</f>
        <v/>
      </c>
      <c r="R107" s="224">
        <f>IF('DM_NHAN_SU'!$B107="","",'CHAM_CONG_THANG'!Q107)</f>
        <v/>
      </c>
      <c r="S107" s="224">
        <f>IF('DM_NHAN_SU'!$B107="","",'CHAM_CONG_THANG'!R107)</f>
        <v/>
      </c>
      <c r="T107" s="224">
        <f>IF('DM_NHAN_SU'!$B107="","",'CHAM_CONG_THANG'!S107)</f>
        <v/>
      </c>
      <c r="U107" s="224">
        <f>IF('DM_NHAN_SU'!$B107="","",MIN($T107,'THAM_SO'!$F$6))</f>
        <v/>
      </c>
      <c r="V107" s="224">
        <f>IF('DM_NHAN_SU'!$B107="","",MAX($T107-$U107,0))</f>
        <v/>
      </c>
      <c r="W107" s="224">
        <f>IF('DM_NHAN_SU'!$B107="","",'CHAM_CONG_THANG'!T107)</f>
        <v/>
      </c>
      <c r="X107" s="224">
        <f>IF('DM_NHAN_SU'!$B107="","",'CHAM_CONG_THANG'!U107)</f>
        <v/>
      </c>
      <c r="Y107" s="224">
        <f>IF('DM_NHAN_SU'!$B107="","",IF($B107="",0,IF('DM_NHAN_SU'!$Q107&gt;0,'DM_NHAN_SU'!$Q107,IF($G107="Tháng",IF($I107*$J107&gt;0,'DM_NHAN_SU'!$K107/($I107*$J107),0),IF($G107="Ngày",IF($J107&gt;0,'DM_NHAN_SU'!$K107/$J107,0),IF($G107="Giờ",'DM_NHAN_SU'!$K107,0))))))</f>
        <v/>
      </c>
      <c r="Z107" s="224">
        <f>IF('DM_NHAN_SU'!$B107="","",$Y107*($M107*'THAM_SO'!$C$22+'CHAM_CONG_THANG'!$AF107*'THAM_SO'!$C$19+'CHAM_CONG_THANG'!$AG107*'THAM_SO'!$C$20+'CHAM_CONG_THANG'!$AH107*'THAM_SO'!$C$21+'CHAM_CONG_THANG'!$AI107*'THAM_SO'!$C$23+'CHAM_CONG_THANG'!$AJ107*'THAM_SO'!$C$24+'CHAM_CONG_THANG'!$AK107*'THAM_SO'!$C$25))</f>
        <v/>
      </c>
      <c r="AA107" s="224">
        <f>IF('DM_NHAN_SU'!$B107="","",MAX(0,$Y107*($M107*IF('THAM_SO'!$C$22&gt;='THAM_SO'!$B$22,'THAM_SO'!$B$22,0)+'CHAM_CONG_THANG'!$AF107*IF('THAM_SO'!$C$19&gt;='THAM_SO'!$B$19,'THAM_SO'!$B$19,0)+'CHAM_CONG_THANG'!$AG107*IF('THAM_SO'!$C$20&gt;='THAM_SO'!$B$20,'THAM_SO'!$B$20,0)+'CHAM_CONG_THANG'!$AH107*IF('THAM_SO'!$C$21&gt;='THAM_SO'!$B$21,'THAM_SO'!$B$21,0)+'CHAM_CONG_THANG'!$AI107*IF('THAM_SO'!$C$23&gt;='THAM_SO'!$B$23,'THAM_SO'!$B$23,0)+'CHAM_CONG_THANG'!$AJ107*IF('THAM_SO'!$C$24&gt;='THAM_SO'!$B$24,'THAM_SO'!$B$24,0)+'CHAM_CONG_THANG'!$AK107*IF('THAM_SO'!$C$25&gt;='THAM_SO'!$B$25,'THAM_SO'!$B$25,0))-'CHAM_CONG_THANG'!$V107))</f>
        <v/>
      </c>
      <c r="AB107" s="224">
        <f>IF('DM_NHAN_SU'!$B107="","",MAX($Z107-$AA107,0))</f>
        <v/>
      </c>
      <c r="AC107" s="224">
        <f>IF('DM_NHAN_SU'!$B107="","",$O107+$P107+$Q107+$R107+$S107+$V107+$AB107+$BO107+$BP107+$BQ107+$BR107)</f>
        <v/>
      </c>
      <c r="AD107" s="224">
        <f>IF('DM_NHAN_SU'!$B107="","",'DM_NHAN_SU'!N107+'DM_NHAN_SU'!O107+'DM_NHAN_SU'!P107)</f>
        <v/>
      </c>
      <c r="AE107" s="224">
        <f>IF('DM_NHAN_SU'!$B107="","",IF(OR('DM_NHAN_SU'!$R107&lt;&gt;"Có",'CHAM_CONG_THANG'!$AA107="Có",$BL107&gt;=14,$AD107&lt;=0),0,MIN(MAX($AD107,'THAM_SO'!$M$6),'THAM_SO'!$M$7)))</f>
        <v/>
      </c>
      <c r="AF107" s="224">
        <f>IF('DM_NHAN_SU'!$B107="","",IF(OR('DM_NHAN_SU'!$S107&lt;&gt;"Có",'CHAM_CONG_THANG'!$AA107="Có",$BL107&gt;=14,$AD107&lt;=0),0,MIN(MAX($AD107,VLOOKUP($H107,'THAM_SO'!$L$17:$P$20,4,FALSE)),VLOOKUP($H107,'THAM_SO'!$L$17:$P$20,5,FALSE))))</f>
        <v/>
      </c>
      <c r="AG107" s="224">
        <f>IF('DM_NHAN_SU'!$B107="","",$AE107*'THAM_SO'!$M$8)</f>
        <v/>
      </c>
      <c r="AH107" s="224">
        <f>IF('DM_NHAN_SU'!$B107="","",$AE107*'THAM_SO'!$M$9)</f>
        <v/>
      </c>
      <c r="AI107" s="224">
        <f>IF('DM_NHAN_SU'!$B107="","",$AF107*'THAM_SO'!$M$10)</f>
        <v/>
      </c>
      <c r="AJ107" s="224">
        <f>IF('DM_NHAN_SU'!$B107="","",SUM($AG107:$AI107))</f>
        <v/>
      </c>
      <c r="AK107" s="224">
        <f>IF('DM_NHAN_SU'!$B107="","",IF($B107="",0,'THAM_SO'!$F$4))</f>
        <v/>
      </c>
      <c r="AL107" s="224">
        <f>IF('DM_NHAN_SU'!$B107="","",IF($B107="",0,'DM_NHAN_SU'!$T107*'THAM_SO'!$F$5))</f>
        <v/>
      </c>
      <c r="AM107" s="224">
        <f>IF('DM_NHAN_SU'!$B107="","",'CHAM_CONG_THANG'!W107)</f>
        <v/>
      </c>
      <c r="AN107" s="224">
        <f>IF('DM_NHAN_SU'!$B107="","",MAX($AC107-$AK107-$AL107-$AM107,0))</f>
        <v/>
      </c>
      <c r="AO107" s="224">
        <f>IF('DM_NHAN_SU'!$B107="","",IF($B107="","",IF($F107="Net",IF($AC107&lt;=$AK107+$AL107+$AM107,$AC107+$AJ107,$AJ107+$AK107+$AL107+$AM107+IF($AN107&lt;='THAM_SO'!$J$10,($AN107-'THAM_SO'!$I$10)/(1-'THAM_SO'!$H$10),IF($AN107&lt;='THAM_SO'!$J$11,($AN107-'THAM_SO'!$I$11)/(1-'THAM_SO'!$H$11),IF($AN107&lt;='THAM_SO'!$J$12,($AN107-'THAM_SO'!$I$12)/(1-'THAM_SO'!$H$12),IF($AN107&lt;='THAM_SO'!$J$13,($AN107-'THAM_SO'!$I$13)/(1-'THAM_SO'!$H$13),($AN107-'THAM_SO'!$I$14)/(1-'THAM_SO'!$H$14)))))),$AC107)))</f>
        <v/>
      </c>
      <c r="AP107" s="224">
        <f>IF('DM_NHAN_SU'!$B107="","",$U107+$W107+$X107+$AA107+$BS107)</f>
        <v/>
      </c>
      <c r="AQ107" s="224">
        <f>IF('DM_NHAN_SU'!$B107="","",MAX($AO107-$AJ107-$AK107-$AL107-$AM107,0))</f>
        <v/>
      </c>
      <c r="AR107" s="224">
        <f>IF('DM_NHAN_SU'!$B107="","",IF($AQ107&lt;=0,0,$AQ107*VLOOKUP($AQ107,'THAM_SO'!$F$10:$I$14,3,TRUE)-VLOOKUP($AQ107,'THAM_SO'!$F$10:$I$14,4,TRUE)))</f>
        <v/>
      </c>
      <c r="AS107" s="224">
        <f>IF('DM_NHAN_SU'!$B107="","",$AO107+$AP107)</f>
        <v/>
      </c>
      <c r="AT107" s="224">
        <f>IF('DM_NHAN_SU'!$B107="","",$AS107-$AJ107-$AR107)</f>
        <v/>
      </c>
      <c r="AU107" s="224">
        <f>IF('DM_NHAN_SU'!$B107="","",'CHAM_CONG_THANG'!X107)</f>
        <v/>
      </c>
      <c r="AV107" s="224">
        <f>IF('DM_NHAN_SU'!$B107="","",'CHAM_CONG_THANG'!Y107+'QT_NGHI_VIEC'!AD107)</f>
        <v/>
      </c>
      <c r="AW107" s="224">
        <f>IF('DM_NHAN_SU'!$B107="","",'CHAM_CONG_THANG'!Z107)</f>
        <v/>
      </c>
      <c r="AX107" s="224">
        <f>IF('DM_NHAN_SU'!$B107="","",$AT107-$AU107-$AV107-$AW107-$BV107)</f>
        <v/>
      </c>
      <c r="AY107" s="224">
        <f>IF('DM_NHAN_SU'!$B107="","",$AE107*'THAM_SO'!$M$11)</f>
        <v/>
      </c>
      <c r="AZ107" s="224">
        <f>IF('DM_NHAN_SU'!$B107="","",$AE107*'THAM_SO'!$M$12)</f>
        <v/>
      </c>
      <c r="BA107" s="224">
        <f>IF('DM_NHAN_SU'!$B107="","",$AF107*'THAM_SO'!$M$13)</f>
        <v/>
      </c>
      <c r="BB107" s="224">
        <f>IF('DM_NHAN_SU'!$B107="","",$AE107*'THAM_SO'!$M$14)</f>
        <v/>
      </c>
      <c r="BC107" s="224">
        <f>IF('DM_NHAN_SU'!$B107="","",SUM($AY107:$BB107))</f>
        <v/>
      </c>
      <c r="BD107" s="224">
        <f>IF('DM_NHAN_SU'!$B107="","",$AS107+$BC107)</f>
        <v/>
      </c>
      <c r="BE107" s="224">
        <f>IF('DM_NHAN_SU'!$B107="","",VLOOKUP($H107,'THAM_SO'!$L$17:$P$20,2,FALSE))</f>
        <v/>
      </c>
      <c r="BF107" s="224">
        <f>IF('DM_NHAN_SU'!$B107="","",VLOOKUP($H107,'THAM_SO'!$L$17:$P$20,3,FALSE))</f>
        <v/>
      </c>
      <c r="BG107" s="150">
        <f>IF('DM_NHAN_SU'!$B107="","",IF($B107="","",IF(COUNTIF('DM_NHAN_SU'!$B$6:$B$155,$B107)&gt;1,"Trùng mã NV; ","")&amp;IF(OR($F107="",$G107=""),"Thiếu loại/hình thức lương; ","")&amp;IF('CHAM_CONG_THANG'!$D107="","Chưa chọn nguồn công; ","")&amp;IF(AND('CHAM_CONG_THANG'!$D107="Theo ngày",COUNTIF('CHAM_CONG_NGAY'!$B$6:$B$4655,$B107)=0),"Chưa có chấm công ngày; ","")&amp;IF(OR($I107&lt;=0,$J107&lt;=0),"Thiếu công/giờ chuẩn; ","")&amp;IF(AND($G107="Tháng",'DM_NHAN_SU'!$K107&lt;$BE107),"Lương tháng dưới tối thiểu vùng; ","")&amp;IF(AND($G107="Ngày",'DM_NHAN_SU'!$K107/$J107&lt;$BF107),"Lương ngày quy đổi dưới tối thiểu giờ; ","")&amp;IF(AND($G107="Giờ",'DM_NHAN_SU'!$K107&lt;$BF107),"Lương giờ dưới tối thiểu vùng; ","")&amp;IF(AND($G107="Sản phẩm",$L107&gt;0,$O107/$L107&lt;$BF107),"Lương SP quy đổi dưới tối thiểu giờ; ","")&amp;IF(OR('THAM_SO'!$C$19&lt;'THAM_SO'!$B$19,'THAM_SO'!$C$20&lt;'THAM_SO'!$B$20,'THAM_SO'!$C$21&lt;'THAM_SO'!$B$21,'THAM_SO'!$C$22&lt;'THAM_SO'!$B$22,'THAM_SO'!$C$23&lt;'THAM_SO'!$B$23,'THAM_SO'!$C$24&lt;'THAM_SO'!$B$24,'THAM_SO'!$C$25&lt;'THAM_SO'!$B$25),"Hệ số OT/đêm DN thấp hơn luật; ","")&amp;IF(AND('DM_NHAN_SU'!$R107="Có",$AD107&lt;=0),"Thiếu căn cứ đóng BH; ","")&amp;IF(AND($AD107&gt;0,$AD107&lt;'THAM_SO'!$M$6),"Căn cứ BH dưới sàn – đã nâng sàn; ","")&amp;IF($AD107&gt;'THAM_SO'!$M$7,"Căn cứ BH vượt trần – đã giới hạn; ","")&amp;IF(AND($F107="Net",SUM('CHAM_CONG_THANG'!$AF107:$AK107)&gt;0,'DM_NHAN_SU'!$Q107&lt;=0),"Net có OT nhưng chưa khai lương giờ OT; ","")&amp;IF('CHAM_CONG_THANG'!$V107&gt;$Z107,"Phần OT không miễn lớn hơn tiền OT; ","")&amp;IF(AND($F107="Net",ABS($AT107-$AC107-$AP107)&gt;1),"Lệch quy đổi Net; ","")&amp;IF(AND($BH107&gt;0,'DM_NHAN_SU'!$AD107=""),"Có phép năm nhưng đang tạm dùng 12 ngày; ","")&amp;IF(AND($G107="Sản phẩm",SUM($BH107:$BJ107)&gt;0,'DM_NHAN_SU'!$AH107&lt;=0),"Lương sản phẩm thiếu đơn giá ngày phép/lễ; ","")&amp;IF(AND($BL107&gt;=14,'CHAM_CONG_THANG'!$AA107&lt;&gt;"Có"),"Thai sản từ 14 ngày: file tự dừng đóng BH – kiểm tra hồ sơ; ","")&amp;IF(AND('DM_NHAN_SU'!$AA107="Có",'DM_NHAN_SU'!$AB107=""),"Đoàn viên chưa chọn cách tính đoàn phí; ","")&amp;IF(AND('DM_NHAN_SU'!$AB107="Nhập tay",'DM_NHAN_SU'!$AC107&gt;'THAM_SO'!$M$26),"Đoàn phí nhập tay vượt trần thông dụng; ","")&amp;IF('NGHI_PHEP'!$L107&lt;&gt;"","Phép: "&amp;'NGHI_PHEP'!$L107,"")&amp;IF('CHE_DO_BHXH'!$AA107&lt;&gt;"","BHXH: "&amp;'CHE_DO_BHXH'!$AA107,"")&amp;IF('THUONG_T13_TET'!$O107&lt;&gt;"","Thưởng: "&amp;'THUONG_T13_TET'!$O107,"")&amp;IF('QT_NGHI_VIEC'!$AF107&lt;&gt;"","Nghỉ việc: "&amp;'QT_NGHI_VIEC'!$AF107,"")&amp;IF($AX107&lt;0,"Thực lĩnh âm; ","")&amp;IF(OR('DM_NHAN_SU'!$F107&gt;'THAM_SO'!$B$7,AND('DM_NHAN_SU'!$G107&lt;&gt;"",'DM_NHAN_SU'!$G107&lt;'THAM_SO'!$B$6)),"Ngoài kỳ trả lương; ","")))</f>
        <v/>
      </c>
      <c r="BH107" s="232">
        <f>IF('DM_NHAN_SU'!$B107="","",'CHAM_CONG_THANG'!AR107)</f>
        <v/>
      </c>
      <c r="BI107" s="232">
        <f>IF('DM_NHAN_SU'!$B107="","",'CHAM_CONG_THANG'!AS107)</f>
        <v/>
      </c>
      <c r="BJ107" s="232">
        <f>IF('DM_NHAN_SU'!$B107="","",'CHAM_CONG_THANG'!AT107)</f>
        <v/>
      </c>
      <c r="BK107" s="232">
        <f>IF('DM_NHAN_SU'!$B107="","",'CHAM_CONG_THANG'!AU107)</f>
        <v/>
      </c>
      <c r="BL107" s="232">
        <f>IF('DM_NHAN_SU'!$B107="","",'CHAM_CONG_THANG'!AV107)</f>
        <v/>
      </c>
      <c r="BM107" s="232">
        <f>IF('DM_NHAN_SU'!$B107="","",'CHAM_CONG_THANG'!AW107)</f>
        <v/>
      </c>
      <c r="BN107" s="232">
        <f>IF('DM_NHAN_SU'!$B107="","",SUM($K107,$BH107:$BJ107))</f>
        <v/>
      </c>
      <c r="BO107" s="224">
        <f>IF('DM_NHAN_SU'!$B107="","",IF($B107="",0,IF($G107="Tháng",IF($I107&gt;0,'DM_NHAN_SU'!$K107*MIN($BH107+$BJ107,MAX($I107-$K107,0))/$I107,0),IF($G107="Ngày",'DM_NHAN_SU'!$K107*SUM($BH107:$BJ107),IF($G107="Giờ",'DM_NHAN_SU'!$K107*SUM($BH107:$BJ107)*$J107,IF($G107="Sản phẩm",'DM_NHAN_SU'!$AH107*SUM($BH107:$BJ107),0))))))</f>
        <v/>
      </c>
      <c r="BP107" s="224">
        <f>IF('DM_NHAN_SU'!$B107="","",IF('THUONG_T13_TET'!$L107="Có",'THUONG_T13_TET'!$I107,0))</f>
        <v/>
      </c>
      <c r="BQ107" s="224">
        <f>IF('DM_NHAN_SU'!$B107="","",IF('THUONG_T13_TET'!$L107="Có",SUM('THUONG_T13_TET'!$J107:$K107),0))</f>
        <v/>
      </c>
      <c r="BR107" s="224">
        <f>IF('DM_NHAN_SU'!$B107="","",'QT_NGHI_VIEC'!AC107)</f>
        <v/>
      </c>
      <c r="BS107" s="224">
        <f>IF('DM_NHAN_SU'!$B107="","",'QT_NGHI_VIEC'!AB107)</f>
        <v/>
      </c>
      <c r="BT107" s="224">
        <f>IF('DM_NHAN_SU'!$B107="","",IF('CHE_DO_BHXH'!$Z107="Có",'CHE_DO_BHXH'!$W107,0))</f>
        <v/>
      </c>
      <c r="BU107" s="224">
        <f>IF('DM_NHAN_SU'!$B107="","",IF('CHE_DO_BHXH'!$Y107="DN trả thay",$BT107,0))</f>
        <v/>
      </c>
      <c r="BV107" s="224">
        <f>IF('DM_NHAN_SU'!$B107="","",IF(OR('DM_NHAN_SU'!$AA107&lt;&gt;"Có",'CHE_DO_BHXH'!$O107&gt;=1,SUM('CHE_DO_BHXH'!$D107,'CHE_DO_BHXH'!$G107,'CHE_DO_BHXH'!$K107)&gt;=24,AND($I107&gt;0,$BM107&gt;=$I107)),0,IF('DM_NHAN_SU'!$AB107="Không",0,IF('DM_NHAN_SU'!$AB107="Nhập tay",'DM_NHAN_SU'!$AC107,IF('DM_NHAN_SU'!$AB107="Theo thực nhận",MIN(MAX($AT107-$AU107-$AV107-$AW107,0)*'THAM_SO'!$M$23,'THAM_SO'!$M$26),MIN($AE107*'THAM_SO'!$M$23,'THAM_SO'!$M$26))))))</f>
        <v/>
      </c>
      <c r="BW107" s="224">
        <f>IF('DM_NHAN_SU'!$B107="","",$AX107+$BU107)</f>
        <v/>
      </c>
    </row>
    <row r="108">
      <c r="A108" s="145">
        <f>IF('DM_NHAN_SU'!$B108="","",IF($B108="","",ROW()-5))</f>
        <v/>
      </c>
      <c r="B108" s="145">
        <f>IF('DM_NHAN_SU'!$B108="","",'DM_NHAN_SU'!B108)</f>
        <v/>
      </c>
      <c r="C108" s="145">
        <f>IF('DM_NHAN_SU'!$B108="","",'DM_NHAN_SU'!C108)</f>
        <v/>
      </c>
      <c r="D108" s="145">
        <f>IF('DM_NHAN_SU'!$B108="","",'DM_NHAN_SU'!D108)</f>
        <v/>
      </c>
      <c r="E108" s="145">
        <f>IF('DM_NHAN_SU'!$B108="","",'DM_NHAN_SU'!E108)</f>
        <v/>
      </c>
      <c r="F108" s="145">
        <f>IF('DM_NHAN_SU'!$B108="","",'DM_NHAN_SU'!I108)</f>
        <v/>
      </c>
      <c r="G108" s="145">
        <f>IF('DM_NHAN_SU'!$B108="","",'DM_NHAN_SU'!J108)</f>
        <v/>
      </c>
      <c r="H108" s="145">
        <f>IF('DM_NHAN_SU'!$B108="","",IF('DM_NHAN_SU'!H108="",'THAM_SO'!$B$11,'DM_NHAN_SU'!H108))</f>
        <v/>
      </c>
      <c r="I108" s="232">
        <f>IF('DM_NHAN_SU'!$B108="","",IF('DM_NHAN_SU'!L108&gt;0,'DM_NHAN_SU'!L108,'THAM_SO'!$B$9))</f>
        <v/>
      </c>
      <c r="J108" s="232">
        <f>IF('DM_NHAN_SU'!$B108="","",IF('DM_NHAN_SU'!M108&gt;0,'DM_NHAN_SU'!M108,'THAM_SO'!$B$10))</f>
        <v/>
      </c>
      <c r="K108" s="232">
        <f>IF('DM_NHAN_SU'!$B108="","",'CHAM_CONG_THANG'!AC108)</f>
        <v/>
      </c>
      <c r="L108" s="232">
        <f>IF('DM_NHAN_SU'!$B108="","",'CHAM_CONG_THANG'!AD108)</f>
        <v/>
      </c>
      <c r="M108" s="232">
        <f>IF('DM_NHAN_SU'!$B108="","",'CHAM_CONG_THANG'!AE108)</f>
        <v/>
      </c>
      <c r="N108" s="232">
        <f>IF('DM_NHAN_SU'!$B108="","",'CHAM_CONG_THANG'!N108)</f>
        <v/>
      </c>
      <c r="O108" s="224">
        <f>IF('DM_NHAN_SU'!$B108="","",IF($B108="","",IF($G108="Tháng",IF($I108&gt;0,'DM_NHAN_SU'!$K108*MIN($K108,$I108)/$I108,0),IF($G108="Ngày",'DM_NHAN_SU'!$K108*$K108,IF($G108="Giờ",'DM_NHAN_SU'!$K108*$L108,IF($G108="Sản phẩm",'DM_NHAN_SU'!$K108*$N108,0))))))</f>
        <v/>
      </c>
      <c r="P108" s="224">
        <f>IF('DM_NHAN_SU'!$B108="","",'CHAM_CONG_THANG'!O108)</f>
        <v/>
      </c>
      <c r="Q108" s="224">
        <f>IF('DM_NHAN_SU'!$B108="","",'CHAM_CONG_THANG'!P108)</f>
        <v/>
      </c>
      <c r="R108" s="224">
        <f>IF('DM_NHAN_SU'!$B108="","",'CHAM_CONG_THANG'!Q108)</f>
        <v/>
      </c>
      <c r="S108" s="224">
        <f>IF('DM_NHAN_SU'!$B108="","",'CHAM_CONG_THANG'!R108)</f>
        <v/>
      </c>
      <c r="T108" s="224">
        <f>IF('DM_NHAN_SU'!$B108="","",'CHAM_CONG_THANG'!S108)</f>
        <v/>
      </c>
      <c r="U108" s="224">
        <f>IF('DM_NHAN_SU'!$B108="","",MIN($T108,'THAM_SO'!$F$6))</f>
        <v/>
      </c>
      <c r="V108" s="224">
        <f>IF('DM_NHAN_SU'!$B108="","",MAX($T108-$U108,0))</f>
        <v/>
      </c>
      <c r="W108" s="224">
        <f>IF('DM_NHAN_SU'!$B108="","",'CHAM_CONG_THANG'!T108)</f>
        <v/>
      </c>
      <c r="X108" s="224">
        <f>IF('DM_NHAN_SU'!$B108="","",'CHAM_CONG_THANG'!U108)</f>
        <v/>
      </c>
      <c r="Y108" s="224">
        <f>IF('DM_NHAN_SU'!$B108="","",IF($B108="",0,IF('DM_NHAN_SU'!$Q108&gt;0,'DM_NHAN_SU'!$Q108,IF($G108="Tháng",IF($I108*$J108&gt;0,'DM_NHAN_SU'!$K108/($I108*$J108),0),IF($G108="Ngày",IF($J108&gt;0,'DM_NHAN_SU'!$K108/$J108,0),IF($G108="Giờ",'DM_NHAN_SU'!$K108,0))))))</f>
        <v/>
      </c>
      <c r="Z108" s="224">
        <f>IF('DM_NHAN_SU'!$B108="","",$Y108*($M108*'THAM_SO'!$C$22+'CHAM_CONG_THANG'!$AF108*'THAM_SO'!$C$19+'CHAM_CONG_THANG'!$AG108*'THAM_SO'!$C$20+'CHAM_CONG_THANG'!$AH108*'THAM_SO'!$C$21+'CHAM_CONG_THANG'!$AI108*'THAM_SO'!$C$23+'CHAM_CONG_THANG'!$AJ108*'THAM_SO'!$C$24+'CHAM_CONG_THANG'!$AK108*'THAM_SO'!$C$25))</f>
        <v/>
      </c>
      <c r="AA108" s="224">
        <f>IF('DM_NHAN_SU'!$B108="","",MAX(0,$Y108*($M108*IF('THAM_SO'!$C$22&gt;='THAM_SO'!$B$22,'THAM_SO'!$B$22,0)+'CHAM_CONG_THANG'!$AF108*IF('THAM_SO'!$C$19&gt;='THAM_SO'!$B$19,'THAM_SO'!$B$19,0)+'CHAM_CONG_THANG'!$AG108*IF('THAM_SO'!$C$20&gt;='THAM_SO'!$B$20,'THAM_SO'!$B$20,0)+'CHAM_CONG_THANG'!$AH108*IF('THAM_SO'!$C$21&gt;='THAM_SO'!$B$21,'THAM_SO'!$B$21,0)+'CHAM_CONG_THANG'!$AI108*IF('THAM_SO'!$C$23&gt;='THAM_SO'!$B$23,'THAM_SO'!$B$23,0)+'CHAM_CONG_THANG'!$AJ108*IF('THAM_SO'!$C$24&gt;='THAM_SO'!$B$24,'THAM_SO'!$B$24,0)+'CHAM_CONG_THANG'!$AK108*IF('THAM_SO'!$C$25&gt;='THAM_SO'!$B$25,'THAM_SO'!$B$25,0))-'CHAM_CONG_THANG'!$V108))</f>
        <v/>
      </c>
      <c r="AB108" s="224">
        <f>IF('DM_NHAN_SU'!$B108="","",MAX($Z108-$AA108,0))</f>
        <v/>
      </c>
      <c r="AC108" s="224">
        <f>IF('DM_NHAN_SU'!$B108="","",$O108+$P108+$Q108+$R108+$S108+$V108+$AB108+$BO108+$BP108+$BQ108+$BR108)</f>
        <v/>
      </c>
      <c r="AD108" s="224">
        <f>IF('DM_NHAN_SU'!$B108="","",'DM_NHAN_SU'!N108+'DM_NHAN_SU'!O108+'DM_NHAN_SU'!P108)</f>
        <v/>
      </c>
      <c r="AE108" s="224">
        <f>IF('DM_NHAN_SU'!$B108="","",IF(OR('DM_NHAN_SU'!$R108&lt;&gt;"Có",'CHAM_CONG_THANG'!$AA108="Có",$BL108&gt;=14,$AD108&lt;=0),0,MIN(MAX($AD108,'THAM_SO'!$M$6),'THAM_SO'!$M$7)))</f>
        <v/>
      </c>
      <c r="AF108" s="224">
        <f>IF('DM_NHAN_SU'!$B108="","",IF(OR('DM_NHAN_SU'!$S108&lt;&gt;"Có",'CHAM_CONG_THANG'!$AA108="Có",$BL108&gt;=14,$AD108&lt;=0),0,MIN(MAX($AD108,VLOOKUP($H108,'THAM_SO'!$L$17:$P$20,4,FALSE)),VLOOKUP($H108,'THAM_SO'!$L$17:$P$20,5,FALSE))))</f>
        <v/>
      </c>
      <c r="AG108" s="224">
        <f>IF('DM_NHAN_SU'!$B108="","",$AE108*'THAM_SO'!$M$8)</f>
        <v/>
      </c>
      <c r="AH108" s="224">
        <f>IF('DM_NHAN_SU'!$B108="","",$AE108*'THAM_SO'!$M$9)</f>
        <v/>
      </c>
      <c r="AI108" s="224">
        <f>IF('DM_NHAN_SU'!$B108="","",$AF108*'THAM_SO'!$M$10)</f>
        <v/>
      </c>
      <c r="AJ108" s="224">
        <f>IF('DM_NHAN_SU'!$B108="","",SUM($AG108:$AI108))</f>
        <v/>
      </c>
      <c r="AK108" s="224">
        <f>IF('DM_NHAN_SU'!$B108="","",IF($B108="",0,'THAM_SO'!$F$4))</f>
        <v/>
      </c>
      <c r="AL108" s="224">
        <f>IF('DM_NHAN_SU'!$B108="","",IF($B108="",0,'DM_NHAN_SU'!$T108*'THAM_SO'!$F$5))</f>
        <v/>
      </c>
      <c r="AM108" s="224">
        <f>IF('DM_NHAN_SU'!$B108="","",'CHAM_CONG_THANG'!W108)</f>
        <v/>
      </c>
      <c r="AN108" s="224">
        <f>IF('DM_NHAN_SU'!$B108="","",MAX($AC108-$AK108-$AL108-$AM108,0))</f>
        <v/>
      </c>
      <c r="AO108" s="224">
        <f>IF('DM_NHAN_SU'!$B108="","",IF($B108="","",IF($F108="Net",IF($AC108&lt;=$AK108+$AL108+$AM108,$AC108+$AJ108,$AJ108+$AK108+$AL108+$AM108+IF($AN108&lt;='THAM_SO'!$J$10,($AN108-'THAM_SO'!$I$10)/(1-'THAM_SO'!$H$10),IF($AN108&lt;='THAM_SO'!$J$11,($AN108-'THAM_SO'!$I$11)/(1-'THAM_SO'!$H$11),IF($AN108&lt;='THAM_SO'!$J$12,($AN108-'THAM_SO'!$I$12)/(1-'THAM_SO'!$H$12),IF($AN108&lt;='THAM_SO'!$J$13,($AN108-'THAM_SO'!$I$13)/(1-'THAM_SO'!$H$13),($AN108-'THAM_SO'!$I$14)/(1-'THAM_SO'!$H$14)))))),$AC108)))</f>
        <v/>
      </c>
      <c r="AP108" s="224">
        <f>IF('DM_NHAN_SU'!$B108="","",$U108+$W108+$X108+$AA108+$BS108)</f>
        <v/>
      </c>
      <c r="AQ108" s="224">
        <f>IF('DM_NHAN_SU'!$B108="","",MAX($AO108-$AJ108-$AK108-$AL108-$AM108,0))</f>
        <v/>
      </c>
      <c r="AR108" s="224">
        <f>IF('DM_NHAN_SU'!$B108="","",IF($AQ108&lt;=0,0,$AQ108*VLOOKUP($AQ108,'THAM_SO'!$F$10:$I$14,3,TRUE)-VLOOKUP($AQ108,'THAM_SO'!$F$10:$I$14,4,TRUE)))</f>
        <v/>
      </c>
      <c r="AS108" s="224">
        <f>IF('DM_NHAN_SU'!$B108="","",$AO108+$AP108)</f>
        <v/>
      </c>
      <c r="AT108" s="224">
        <f>IF('DM_NHAN_SU'!$B108="","",$AS108-$AJ108-$AR108)</f>
        <v/>
      </c>
      <c r="AU108" s="224">
        <f>IF('DM_NHAN_SU'!$B108="","",'CHAM_CONG_THANG'!X108)</f>
        <v/>
      </c>
      <c r="AV108" s="224">
        <f>IF('DM_NHAN_SU'!$B108="","",'CHAM_CONG_THANG'!Y108+'QT_NGHI_VIEC'!AD108)</f>
        <v/>
      </c>
      <c r="AW108" s="224">
        <f>IF('DM_NHAN_SU'!$B108="","",'CHAM_CONG_THANG'!Z108)</f>
        <v/>
      </c>
      <c r="AX108" s="224">
        <f>IF('DM_NHAN_SU'!$B108="","",$AT108-$AU108-$AV108-$AW108-$BV108)</f>
        <v/>
      </c>
      <c r="AY108" s="224">
        <f>IF('DM_NHAN_SU'!$B108="","",$AE108*'THAM_SO'!$M$11)</f>
        <v/>
      </c>
      <c r="AZ108" s="224">
        <f>IF('DM_NHAN_SU'!$B108="","",$AE108*'THAM_SO'!$M$12)</f>
        <v/>
      </c>
      <c r="BA108" s="224">
        <f>IF('DM_NHAN_SU'!$B108="","",$AF108*'THAM_SO'!$M$13)</f>
        <v/>
      </c>
      <c r="BB108" s="224">
        <f>IF('DM_NHAN_SU'!$B108="","",$AE108*'THAM_SO'!$M$14)</f>
        <v/>
      </c>
      <c r="BC108" s="224">
        <f>IF('DM_NHAN_SU'!$B108="","",SUM($AY108:$BB108))</f>
        <v/>
      </c>
      <c r="BD108" s="224">
        <f>IF('DM_NHAN_SU'!$B108="","",$AS108+$BC108)</f>
        <v/>
      </c>
      <c r="BE108" s="224">
        <f>IF('DM_NHAN_SU'!$B108="","",VLOOKUP($H108,'THAM_SO'!$L$17:$P$20,2,FALSE))</f>
        <v/>
      </c>
      <c r="BF108" s="224">
        <f>IF('DM_NHAN_SU'!$B108="","",VLOOKUP($H108,'THAM_SO'!$L$17:$P$20,3,FALSE))</f>
        <v/>
      </c>
      <c r="BG108" s="150">
        <f>IF('DM_NHAN_SU'!$B108="","",IF($B108="","",IF(COUNTIF('DM_NHAN_SU'!$B$6:$B$155,$B108)&gt;1,"Trùng mã NV; ","")&amp;IF(OR($F108="",$G108=""),"Thiếu loại/hình thức lương; ","")&amp;IF('CHAM_CONG_THANG'!$D108="","Chưa chọn nguồn công; ","")&amp;IF(AND('CHAM_CONG_THANG'!$D108="Theo ngày",COUNTIF('CHAM_CONG_NGAY'!$B$6:$B$4655,$B108)=0),"Chưa có chấm công ngày; ","")&amp;IF(OR($I108&lt;=0,$J108&lt;=0),"Thiếu công/giờ chuẩn; ","")&amp;IF(AND($G108="Tháng",'DM_NHAN_SU'!$K108&lt;$BE108),"Lương tháng dưới tối thiểu vùng; ","")&amp;IF(AND($G108="Ngày",'DM_NHAN_SU'!$K108/$J108&lt;$BF108),"Lương ngày quy đổi dưới tối thiểu giờ; ","")&amp;IF(AND($G108="Giờ",'DM_NHAN_SU'!$K108&lt;$BF108),"Lương giờ dưới tối thiểu vùng; ","")&amp;IF(AND($G108="Sản phẩm",$L108&gt;0,$O108/$L108&lt;$BF108),"Lương SP quy đổi dưới tối thiểu giờ; ","")&amp;IF(OR('THAM_SO'!$C$19&lt;'THAM_SO'!$B$19,'THAM_SO'!$C$20&lt;'THAM_SO'!$B$20,'THAM_SO'!$C$21&lt;'THAM_SO'!$B$21,'THAM_SO'!$C$22&lt;'THAM_SO'!$B$22,'THAM_SO'!$C$23&lt;'THAM_SO'!$B$23,'THAM_SO'!$C$24&lt;'THAM_SO'!$B$24,'THAM_SO'!$C$25&lt;'THAM_SO'!$B$25),"Hệ số OT/đêm DN thấp hơn luật; ","")&amp;IF(AND('DM_NHAN_SU'!$R108="Có",$AD108&lt;=0),"Thiếu căn cứ đóng BH; ","")&amp;IF(AND($AD108&gt;0,$AD108&lt;'THAM_SO'!$M$6),"Căn cứ BH dưới sàn – đã nâng sàn; ","")&amp;IF($AD108&gt;'THAM_SO'!$M$7,"Căn cứ BH vượt trần – đã giới hạn; ","")&amp;IF(AND($F108="Net",SUM('CHAM_CONG_THANG'!$AF108:$AK108)&gt;0,'DM_NHAN_SU'!$Q108&lt;=0),"Net có OT nhưng chưa khai lương giờ OT; ","")&amp;IF('CHAM_CONG_THANG'!$V108&gt;$Z108,"Phần OT không miễn lớn hơn tiền OT; ","")&amp;IF(AND($F108="Net",ABS($AT108-$AC108-$AP108)&gt;1),"Lệch quy đổi Net; ","")&amp;IF(AND($BH108&gt;0,'DM_NHAN_SU'!$AD108=""),"Có phép năm nhưng đang tạm dùng 12 ngày; ","")&amp;IF(AND($G108="Sản phẩm",SUM($BH108:$BJ108)&gt;0,'DM_NHAN_SU'!$AH108&lt;=0),"Lương sản phẩm thiếu đơn giá ngày phép/lễ; ","")&amp;IF(AND($BL108&gt;=14,'CHAM_CONG_THANG'!$AA108&lt;&gt;"Có"),"Thai sản từ 14 ngày: file tự dừng đóng BH – kiểm tra hồ sơ; ","")&amp;IF(AND('DM_NHAN_SU'!$AA108="Có",'DM_NHAN_SU'!$AB108=""),"Đoàn viên chưa chọn cách tính đoàn phí; ","")&amp;IF(AND('DM_NHAN_SU'!$AB108="Nhập tay",'DM_NHAN_SU'!$AC108&gt;'THAM_SO'!$M$26),"Đoàn phí nhập tay vượt trần thông dụng; ","")&amp;IF('NGHI_PHEP'!$L108&lt;&gt;"","Phép: "&amp;'NGHI_PHEP'!$L108,"")&amp;IF('CHE_DO_BHXH'!$AA108&lt;&gt;"","BHXH: "&amp;'CHE_DO_BHXH'!$AA108,"")&amp;IF('THUONG_T13_TET'!$O108&lt;&gt;"","Thưởng: "&amp;'THUONG_T13_TET'!$O108,"")&amp;IF('QT_NGHI_VIEC'!$AF108&lt;&gt;"","Nghỉ việc: "&amp;'QT_NGHI_VIEC'!$AF108,"")&amp;IF($AX108&lt;0,"Thực lĩnh âm; ","")&amp;IF(OR('DM_NHAN_SU'!$F108&gt;'THAM_SO'!$B$7,AND('DM_NHAN_SU'!$G108&lt;&gt;"",'DM_NHAN_SU'!$G108&lt;'THAM_SO'!$B$6)),"Ngoài kỳ trả lương; ","")))</f>
        <v/>
      </c>
      <c r="BH108" s="232">
        <f>IF('DM_NHAN_SU'!$B108="","",'CHAM_CONG_THANG'!AR108)</f>
        <v/>
      </c>
      <c r="BI108" s="232">
        <f>IF('DM_NHAN_SU'!$B108="","",'CHAM_CONG_THANG'!AS108)</f>
        <v/>
      </c>
      <c r="BJ108" s="232">
        <f>IF('DM_NHAN_SU'!$B108="","",'CHAM_CONG_THANG'!AT108)</f>
        <v/>
      </c>
      <c r="BK108" s="232">
        <f>IF('DM_NHAN_SU'!$B108="","",'CHAM_CONG_THANG'!AU108)</f>
        <v/>
      </c>
      <c r="BL108" s="232">
        <f>IF('DM_NHAN_SU'!$B108="","",'CHAM_CONG_THANG'!AV108)</f>
        <v/>
      </c>
      <c r="BM108" s="232">
        <f>IF('DM_NHAN_SU'!$B108="","",'CHAM_CONG_THANG'!AW108)</f>
        <v/>
      </c>
      <c r="BN108" s="232">
        <f>IF('DM_NHAN_SU'!$B108="","",SUM($K108,$BH108:$BJ108))</f>
        <v/>
      </c>
      <c r="BO108" s="224">
        <f>IF('DM_NHAN_SU'!$B108="","",IF($B108="",0,IF($G108="Tháng",IF($I108&gt;0,'DM_NHAN_SU'!$K108*MIN($BH108+$BJ108,MAX($I108-$K108,0))/$I108,0),IF($G108="Ngày",'DM_NHAN_SU'!$K108*SUM($BH108:$BJ108),IF($G108="Giờ",'DM_NHAN_SU'!$K108*SUM($BH108:$BJ108)*$J108,IF($G108="Sản phẩm",'DM_NHAN_SU'!$AH108*SUM($BH108:$BJ108),0))))))</f>
        <v/>
      </c>
      <c r="BP108" s="224">
        <f>IF('DM_NHAN_SU'!$B108="","",IF('THUONG_T13_TET'!$L108="Có",'THUONG_T13_TET'!$I108,0))</f>
        <v/>
      </c>
      <c r="BQ108" s="224">
        <f>IF('DM_NHAN_SU'!$B108="","",IF('THUONG_T13_TET'!$L108="Có",SUM('THUONG_T13_TET'!$J108:$K108),0))</f>
        <v/>
      </c>
      <c r="BR108" s="224">
        <f>IF('DM_NHAN_SU'!$B108="","",'QT_NGHI_VIEC'!AC108)</f>
        <v/>
      </c>
      <c r="BS108" s="224">
        <f>IF('DM_NHAN_SU'!$B108="","",'QT_NGHI_VIEC'!AB108)</f>
        <v/>
      </c>
      <c r="BT108" s="224">
        <f>IF('DM_NHAN_SU'!$B108="","",IF('CHE_DO_BHXH'!$Z108="Có",'CHE_DO_BHXH'!$W108,0))</f>
        <v/>
      </c>
      <c r="BU108" s="224">
        <f>IF('DM_NHAN_SU'!$B108="","",IF('CHE_DO_BHXH'!$Y108="DN trả thay",$BT108,0))</f>
        <v/>
      </c>
      <c r="BV108" s="224">
        <f>IF('DM_NHAN_SU'!$B108="","",IF(OR('DM_NHAN_SU'!$AA108&lt;&gt;"Có",'CHE_DO_BHXH'!$O108&gt;=1,SUM('CHE_DO_BHXH'!$D108,'CHE_DO_BHXH'!$G108,'CHE_DO_BHXH'!$K108)&gt;=24,AND($I108&gt;0,$BM108&gt;=$I108)),0,IF('DM_NHAN_SU'!$AB108="Không",0,IF('DM_NHAN_SU'!$AB108="Nhập tay",'DM_NHAN_SU'!$AC108,IF('DM_NHAN_SU'!$AB108="Theo thực nhận",MIN(MAX($AT108-$AU108-$AV108-$AW108,0)*'THAM_SO'!$M$23,'THAM_SO'!$M$26),MIN($AE108*'THAM_SO'!$M$23,'THAM_SO'!$M$26))))))</f>
        <v/>
      </c>
      <c r="BW108" s="224">
        <f>IF('DM_NHAN_SU'!$B108="","",$AX108+$BU108)</f>
        <v/>
      </c>
    </row>
    <row r="109">
      <c r="A109" s="145">
        <f>IF('DM_NHAN_SU'!$B109="","",IF($B109="","",ROW()-5))</f>
        <v/>
      </c>
      <c r="B109" s="145">
        <f>IF('DM_NHAN_SU'!$B109="","",'DM_NHAN_SU'!B109)</f>
        <v/>
      </c>
      <c r="C109" s="145">
        <f>IF('DM_NHAN_SU'!$B109="","",'DM_NHAN_SU'!C109)</f>
        <v/>
      </c>
      <c r="D109" s="145">
        <f>IF('DM_NHAN_SU'!$B109="","",'DM_NHAN_SU'!D109)</f>
        <v/>
      </c>
      <c r="E109" s="145">
        <f>IF('DM_NHAN_SU'!$B109="","",'DM_NHAN_SU'!E109)</f>
        <v/>
      </c>
      <c r="F109" s="145">
        <f>IF('DM_NHAN_SU'!$B109="","",'DM_NHAN_SU'!I109)</f>
        <v/>
      </c>
      <c r="G109" s="145">
        <f>IF('DM_NHAN_SU'!$B109="","",'DM_NHAN_SU'!J109)</f>
        <v/>
      </c>
      <c r="H109" s="145">
        <f>IF('DM_NHAN_SU'!$B109="","",IF('DM_NHAN_SU'!H109="",'THAM_SO'!$B$11,'DM_NHAN_SU'!H109))</f>
        <v/>
      </c>
      <c r="I109" s="232">
        <f>IF('DM_NHAN_SU'!$B109="","",IF('DM_NHAN_SU'!L109&gt;0,'DM_NHAN_SU'!L109,'THAM_SO'!$B$9))</f>
        <v/>
      </c>
      <c r="J109" s="232">
        <f>IF('DM_NHAN_SU'!$B109="","",IF('DM_NHAN_SU'!M109&gt;0,'DM_NHAN_SU'!M109,'THAM_SO'!$B$10))</f>
        <v/>
      </c>
      <c r="K109" s="232">
        <f>IF('DM_NHAN_SU'!$B109="","",'CHAM_CONG_THANG'!AC109)</f>
        <v/>
      </c>
      <c r="L109" s="232">
        <f>IF('DM_NHAN_SU'!$B109="","",'CHAM_CONG_THANG'!AD109)</f>
        <v/>
      </c>
      <c r="M109" s="232">
        <f>IF('DM_NHAN_SU'!$B109="","",'CHAM_CONG_THANG'!AE109)</f>
        <v/>
      </c>
      <c r="N109" s="232">
        <f>IF('DM_NHAN_SU'!$B109="","",'CHAM_CONG_THANG'!N109)</f>
        <v/>
      </c>
      <c r="O109" s="224">
        <f>IF('DM_NHAN_SU'!$B109="","",IF($B109="","",IF($G109="Tháng",IF($I109&gt;0,'DM_NHAN_SU'!$K109*MIN($K109,$I109)/$I109,0),IF($G109="Ngày",'DM_NHAN_SU'!$K109*$K109,IF($G109="Giờ",'DM_NHAN_SU'!$K109*$L109,IF($G109="Sản phẩm",'DM_NHAN_SU'!$K109*$N109,0))))))</f>
        <v/>
      </c>
      <c r="P109" s="224">
        <f>IF('DM_NHAN_SU'!$B109="","",'CHAM_CONG_THANG'!O109)</f>
        <v/>
      </c>
      <c r="Q109" s="224">
        <f>IF('DM_NHAN_SU'!$B109="","",'CHAM_CONG_THANG'!P109)</f>
        <v/>
      </c>
      <c r="R109" s="224">
        <f>IF('DM_NHAN_SU'!$B109="","",'CHAM_CONG_THANG'!Q109)</f>
        <v/>
      </c>
      <c r="S109" s="224">
        <f>IF('DM_NHAN_SU'!$B109="","",'CHAM_CONG_THANG'!R109)</f>
        <v/>
      </c>
      <c r="T109" s="224">
        <f>IF('DM_NHAN_SU'!$B109="","",'CHAM_CONG_THANG'!S109)</f>
        <v/>
      </c>
      <c r="U109" s="224">
        <f>IF('DM_NHAN_SU'!$B109="","",MIN($T109,'THAM_SO'!$F$6))</f>
        <v/>
      </c>
      <c r="V109" s="224">
        <f>IF('DM_NHAN_SU'!$B109="","",MAX($T109-$U109,0))</f>
        <v/>
      </c>
      <c r="W109" s="224">
        <f>IF('DM_NHAN_SU'!$B109="","",'CHAM_CONG_THANG'!T109)</f>
        <v/>
      </c>
      <c r="X109" s="224">
        <f>IF('DM_NHAN_SU'!$B109="","",'CHAM_CONG_THANG'!U109)</f>
        <v/>
      </c>
      <c r="Y109" s="224">
        <f>IF('DM_NHAN_SU'!$B109="","",IF($B109="",0,IF('DM_NHAN_SU'!$Q109&gt;0,'DM_NHAN_SU'!$Q109,IF($G109="Tháng",IF($I109*$J109&gt;0,'DM_NHAN_SU'!$K109/($I109*$J109),0),IF($G109="Ngày",IF($J109&gt;0,'DM_NHAN_SU'!$K109/$J109,0),IF($G109="Giờ",'DM_NHAN_SU'!$K109,0))))))</f>
        <v/>
      </c>
      <c r="Z109" s="224">
        <f>IF('DM_NHAN_SU'!$B109="","",$Y109*($M109*'THAM_SO'!$C$22+'CHAM_CONG_THANG'!$AF109*'THAM_SO'!$C$19+'CHAM_CONG_THANG'!$AG109*'THAM_SO'!$C$20+'CHAM_CONG_THANG'!$AH109*'THAM_SO'!$C$21+'CHAM_CONG_THANG'!$AI109*'THAM_SO'!$C$23+'CHAM_CONG_THANG'!$AJ109*'THAM_SO'!$C$24+'CHAM_CONG_THANG'!$AK109*'THAM_SO'!$C$25))</f>
        <v/>
      </c>
      <c r="AA109" s="224">
        <f>IF('DM_NHAN_SU'!$B109="","",MAX(0,$Y109*($M109*IF('THAM_SO'!$C$22&gt;='THAM_SO'!$B$22,'THAM_SO'!$B$22,0)+'CHAM_CONG_THANG'!$AF109*IF('THAM_SO'!$C$19&gt;='THAM_SO'!$B$19,'THAM_SO'!$B$19,0)+'CHAM_CONG_THANG'!$AG109*IF('THAM_SO'!$C$20&gt;='THAM_SO'!$B$20,'THAM_SO'!$B$20,0)+'CHAM_CONG_THANG'!$AH109*IF('THAM_SO'!$C$21&gt;='THAM_SO'!$B$21,'THAM_SO'!$B$21,0)+'CHAM_CONG_THANG'!$AI109*IF('THAM_SO'!$C$23&gt;='THAM_SO'!$B$23,'THAM_SO'!$B$23,0)+'CHAM_CONG_THANG'!$AJ109*IF('THAM_SO'!$C$24&gt;='THAM_SO'!$B$24,'THAM_SO'!$B$24,0)+'CHAM_CONG_THANG'!$AK109*IF('THAM_SO'!$C$25&gt;='THAM_SO'!$B$25,'THAM_SO'!$B$25,0))-'CHAM_CONG_THANG'!$V109))</f>
        <v/>
      </c>
      <c r="AB109" s="224">
        <f>IF('DM_NHAN_SU'!$B109="","",MAX($Z109-$AA109,0))</f>
        <v/>
      </c>
      <c r="AC109" s="224">
        <f>IF('DM_NHAN_SU'!$B109="","",$O109+$P109+$Q109+$R109+$S109+$V109+$AB109+$BO109+$BP109+$BQ109+$BR109)</f>
        <v/>
      </c>
      <c r="AD109" s="224">
        <f>IF('DM_NHAN_SU'!$B109="","",'DM_NHAN_SU'!N109+'DM_NHAN_SU'!O109+'DM_NHAN_SU'!P109)</f>
        <v/>
      </c>
      <c r="AE109" s="224">
        <f>IF('DM_NHAN_SU'!$B109="","",IF(OR('DM_NHAN_SU'!$R109&lt;&gt;"Có",'CHAM_CONG_THANG'!$AA109="Có",$BL109&gt;=14,$AD109&lt;=0),0,MIN(MAX($AD109,'THAM_SO'!$M$6),'THAM_SO'!$M$7)))</f>
        <v/>
      </c>
      <c r="AF109" s="224">
        <f>IF('DM_NHAN_SU'!$B109="","",IF(OR('DM_NHAN_SU'!$S109&lt;&gt;"Có",'CHAM_CONG_THANG'!$AA109="Có",$BL109&gt;=14,$AD109&lt;=0),0,MIN(MAX($AD109,VLOOKUP($H109,'THAM_SO'!$L$17:$P$20,4,FALSE)),VLOOKUP($H109,'THAM_SO'!$L$17:$P$20,5,FALSE))))</f>
        <v/>
      </c>
      <c r="AG109" s="224">
        <f>IF('DM_NHAN_SU'!$B109="","",$AE109*'THAM_SO'!$M$8)</f>
        <v/>
      </c>
      <c r="AH109" s="224">
        <f>IF('DM_NHAN_SU'!$B109="","",$AE109*'THAM_SO'!$M$9)</f>
        <v/>
      </c>
      <c r="AI109" s="224">
        <f>IF('DM_NHAN_SU'!$B109="","",$AF109*'THAM_SO'!$M$10)</f>
        <v/>
      </c>
      <c r="AJ109" s="224">
        <f>IF('DM_NHAN_SU'!$B109="","",SUM($AG109:$AI109))</f>
        <v/>
      </c>
      <c r="AK109" s="224">
        <f>IF('DM_NHAN_SU'!$B109="","",IF($B109="",0,'THAM_SO'!$F$4))</f>
        <v/>
      </c>
      <c r="AL109" s="224">
        <f>IF('DM_NHAN_SU'!$B109="","",IF($B109="",0,'DM_NHAN_SU'!$T109*'THAM_SO'!$F$5))</f>
        <v/>
      </c>
      <c r="AM109" s="224">
        <f>IF('DM_NHAN_SU'!$B109="","",'CHAM_CONG_THANG'!W109)</f>
        <v/>
      </c>
      <c r="AN109" s="224">
        <f>IF('DM_NHAN_SU'!$B109="","",MAX($AC109-$AK109-$AL109-$AM109,0))</f>
        <v/>
      </c>
      <c r="AO109" s="224">
        <f>IF('DM_NHAN_SU'!$B109="","",IF($B109="","",IF($F109="Net",IF($AC109&lt;=$AK109+$AL109+$AM109,$AC109+$AJ109,$AJ109+$AK109+$AL109+$AM109+IF($AN109&lt;='THAM_SO'!$J$10,($AN109-'THAM_SO'!$I$10)/(1-'THAM_SO'!$H$10),IF($AN109&lt;='THAM_SO'!$J$11,($AN109-'THAM_SO'!$I$11)/(1-'THAM_SO'!$H$11),IF($AN109&lt;='THAM_SO'!$J$12,($AN109-'THAM_SO'!$I$12)/(1-'THAM_SO'!$H$12),IF($AN109&lt;='THAM_SO'!$J$13,($AN109-'THAM_SO'!$I$13)/(1-'THAM_SO'!$H$13),($AN109-'THAM_SO'!$I$14)/(1-'THAM_SO'!$H$14)))))),$AC109)))</f>
        <v/>
      </c>
      <c r="AP109" s="224">
        <f>IF('DM_NHAN_SU'!$B109="","",$U109+$W109+$X109+$AA109+$BS109)</f>
        <v/>
      </c>
      <c r="AQ109" s="224">
        <f>IF('DM_NHAN_SU'!$B109="","",MAX($AO109-$AJ109-$AK109-$AL109-$AM109,0))</f>
        <v/>
      </c>
      <c r="AR109" s="224">
        <f>IF('DM_NHAN_SU'!$B109="","",IF($AQ109&lt;=0,0,$AQ109*VLOOKUP($AQ109,'THAM_SO'!$F$10:$I$14,3,TRUE)-VLOOKUP($AQ109,'THAM_SO'!$F$10:$I$14,4,TRUE)))</f>
        <v/>
      </c>
      <c r="AS109" s="224">
        <f>IF('DM_NHAN_SU'!$B109="","",$AO109+$AP109)</f>
        <v/>
      </c>
      <c r="AT109" s="224">
        <f>IF('DM_NHAN_SU'!$B109="","",$AS109-$AJ109-$AR109)</f>
        <v/>
      </c>
      <c r="AU109" s="224">
        <f>IF('DM_NHAN_SU'!$B109="","",'CHAM_CONG_THANG'!X109)</f>
        <v/>
      </c>
      <c r="AV109" s="224">
        <f>IF('DM_NHAN_SU'!$B109="","",'CHAM_CONG_THANG'!Y109+'QT_NGHI_VIEC'!AD109)</f>
        <v/>
      </c>
      <c r="AW109" s="224">
        <f>IF('DM_NHAN_SU'!$B109="","",'CHAM_CONG_THANG'!Z109)</f>
        <v/>
      </c>
      <c r="AX109" s="224">
        <f>IF('DM_NHAN_SU'!$B109="","",$AT109-$AU109-$AV109-$AW109-$BV109)</f>
        <v/>
      </c>
      <c r="AY109" s="224">
        <f>IF('DM_NHAN_SU'!$B109="","",$AE109*'THAM_SO'!$M$11)</f>
        <v/>
      </c>
      <c r="AZ109" s="224">
        <f>IF('DM_NHAN_SU'!$B109="","",$AE109*'THAM_SO'!$M$12)</f>
        <v/>
      </c>
      <c r="BA109" s="224">
        <f>IF('DM_NHAN_SU'!$B109="","",$AF109*'THAM_SO'!$M$13)</f>
        <v/>
      </c>
      <c r="BB109" s="224">
        <f>IF('DM_NHAN_SU'!$B109="","",$AE109*'THAM_SO'!$M$14)</f>
        <v/>
      </c>
      <c r="BC109" s="224">
        <f>IF('DM_NHAN_SU'!$B109="","",SUM($AY109:$BB109))</f>
        <v/>
      </c>
      <c r="BD109" s="224">
        <f>IF('DM_NHAN_SU'!$B109="","",$AS109+$BC109)</f>
        <v/>
      </c>
      <c r="BE109" s="224">
        <f>IF('DM_NHAN_SU'!$B109="","",VLOOKUP($H109,'THAM_SO'!$L$17:$P$20,2,FALSE))</f>
        <v/>
      </c>
      <c r="BF109" s="224">
        <f>IF('DM_NHAN_SU'!$B109="","",VLOOKUP($H109,'THAM_SO'!$L$17:$P$20,3,FALSE))</f>
        <v/>
      </c>
      <c r="BG109" s="150">
        <f>IF('DM_NHAN_SU'!$B109="","",IF($B109="","",IF(COUNTIF('DM_NHAN_SU'!$B$6:$B$155,$B109)&gt;1,"Trùng mã NV; ","")&amp;IF(OR($F109="",$G109=""),"Thiếu loại/hình thức lương; ","")&amp;IF('CHAM_CONG_THANG'!$D109="","Chưa chọn nguồn công; ","")&amp;IF(AND('CHAM_CONG_THANG'!$D109="Theo ngày",COUNTIF('CHAM_CONG_NGAY'!$B$6:$B$4655,$B109)=0),"Chưa có chấm công ngày; ","")&amp;IF(OR($I109&lt;=0,$J109&lt;=0),"Thiếu công/giờ chuẩn; ","")&amp;IF(AND($G109="Tháng",'DM_NHAN_SU'!$K109&lt;$BE109),"Lương tháng dưới tối thiểu vùng; ","")&amp;IF(AND($G109="Ngày",'DM_NHAN_SU'!$K109/$J109&lt;$BF109),"Lương ngày quy đổi dưới tối thiểu giờ; ","")&amp;IF(AND($G109="Giờ",'DM_NHAN_SU'!$K109&lt;$BF109),"Lương giờ dưới tối thiểu vùng; ","")&amp;IF(AND($G109="Sản phẩm",$L109&gt;0,$O109/$L109&lt;$BF109),"Lương SP quy đổi dưới tối thiểu giờ; ","")&amp;IF(OR('THAM_SO'!$C$19&lt;'THAM_SO'!$B$19,'THAM_SO'!$C$20&lt;'THAM_SO'!$B$20,'THAM_SO'!$C$21&lt;'THAM_SO'!$B$21,'THAM_SO'!$C$22&lt;'THAM_SO'!$B$22,'THAM_SO'!$C$23&lt;'THAM_SO'!$B$23,'THAM_SO'!$C$24&lt;'THAM_SO'!$B$24,'THAM_SO'!$C$25&lt;'THAM_SO'!$B$25),"Hệ số OT/đêm DN thấp hơn luật; ","")&amp;IF(AND('DM_NHAN_SU'!$R109="Có",$AD109&lt;=0),"Thiếu căn cứ đóng BH; ","")&amp;IF(AND($AD109&gt;0,$AD109&lt;'THAM_SO'!$M$6),"Căn cứ BH dưới sàn – đã nâng sàn; ","")&amp;IF($AD109&gt;'THAM_SO'!$M$7,"Căn cứ BH vượt trần – đã giới hạn; ","")&amp;IF(AND($F109="Net",SUM('CHAM_CONG_THANG'!$AF109:$AK109)&gt;0,'DM_NHAN_SU'!$Q109&lt;=0),"Net có OT nhưng chưa khai lương giờ OT; ","")&amp;IF('CHAM_CONG_THANG'!$V109&gt;$Z109,"Phần OT không miễn lớn hơn tiền OT; ","")&amp;IF(AND($F109="Net",ABS($AT109-$AC109-$AP109)&gt;1),"Lệch quy đổi Net; ","")&amp;IF(AND($BH109&gt;0,'DM_NHAN_SU'!$AD109=""),"Có phép năm nhưng đang tạm dùng 12 ngày; ","")&amp;IF(AND($G109="Sản phẩm",SUM($BH109:$BJ109)&gt;0,'DM_NHAN_SU'!$AH109&lt;=0),"Lương sản phẩm thiếu đơn giá ngày phép/lễ; ","")&amp;IF(AND($BL109&gt;=14,'CHAM_CONG_THANG'!$AA109&lt;&gt;"Có"),"Thai sản từ 14 ngày: file tự dừng đóng BH – kiểm tra hồ sơ; ","")&amp;IF(AND('DM_NHAN_SU'!$AA109="Có",'DM_NHAN_SU'!$AB109=""),"Đoàn viên chưa chọn cách tính đoàn phí; ","")&amp;IF(AND('DM_NHAN_SU'!$AB109="Nhập tay",'DM_NHAN_SU'!$AC109&gt;'THAM_SO'!$M$26),"Đoàn phí nhập tay vượt trần thông dụng; ","")&amp;IF('NGHI_PHEP'!$L109&lt;&gt;"","Phép: "&amp;'NGHI_PHEP'!$L109,"")&amp;IF('CHE_DO_BHXH'!$AA109&lt;&gt;"","BHXH: "&amp;'CHE_DO_BHXH'!$AA109,"")&amp;IF('THUONG_T13_TET'!$O109&lt;&gt;"","Thưởng: "&amp;'THUONG_T13_TET'!$O109,"")&amp;IF('QT_NGHI_VIEC'!$AF109&lt;&gt;"","Nghỉ việc: "&amp;'QT_NGHI_VIEC'!$AF109,"")&amp;IF($AX109&lt;0,"Thực lĩnh âm; ","")&amp;IF(OR('DM_NHAN_SU'!$F109&gt;'THAM_SO'!$B$7,AND('DM_NHAN_SU'!$G109&lt;&gt;"",'DM_NHAN_SU'!$G109&lt;'THAM_SO'!$B$6)),"Ngoài kỳ trả lương; ","")))</f>
        <v/>
      </c>
      <c r="BH109" s="232">
        <f>IF('DM_NHAN_SU'!$B109="","",'CHAM_CONG_THANG'!AR109)</f>
        <v/>
      </c>
      <c r="BI109" s="232">
        <f>IF('DM_NHAN_SU'!$B109="","",'CHAM_CONG_THANG'!AS109)</f>
        <v/>
      </c>
      <c r="BJ109" s="232">
        <f>IF('DM_NHAN_SU'!$B109="","",'CHAM_CONG_THANG'!AT109)</f>
        <v/>
      </c>
      <c r="BK109" s="232">
        <f>IF('DM_NHAN_SU'!$B109="","",'CHAM_CONG_THANG'!AU109)</f>
        <v/>
      </c>
      <c r="BL109" s="232">
        <f>IF('DM_NHAN_SU'!$B109="","",'CHAM_CONG_THANG'!AV109)</f>
        <v/>
      </c>
      <c r="BM109" s="232">
        <f>IF('DM_NHAN_SU'!$B109="","",'CHAM_CONG_THANG'!AW109)</f>
        <v/>
      </c>
      <c r="BN109" s="232">
        <f>IF('DM_NHAN_SU'!$B109="","",SUM($K109,$BH109:$BJ109))</f>
        <v/>
      </c>
      <c r="BO109" s="224">
        <f>IF('DM_NHAN_SU'!$B109="","",IF($B109="",0,IF($G109="Tháng",IF($I109&gt;0,'DM_NHAN_SU'!$K109*MIN($BH109+$BJ109,MAX($I109-$K109,0))/$I109,0),IF($G109="Ngày",'DM_NHAN_SU'!$K109*SUM($BH109:$BJ109),IF($G109="Giờ",'DM_NHAN_SU'!$K109*SUM($BH109:$BJ109)*$J109,IF($G109="Sản phẩm",'DM_NHAN_SU'!$AH109*SUM($BH109:$BJ109),0))))))</f>
        <v/>
      </c>
      <c r="BP109" s="224">
        <f>IF('DM_NHAN_SU'!$B109="","",IF('THUONG_T13_TET'!$L109="Có",'THUONG_T13_TET'!$I109,0))</f>
        <v/>
      </c>
      <c r="BQ109" s="224">
        <f>IF('DM_NHAN_SU'!$B109="","",IF('THUONG_T13_TET'!$L109="Có",SUM('THUONG_T13_TET'!$J109:$K109),0))</f>
        <v/>
      </c>
      <c r="BR109" s="224">
        <f>IF('DM_NHAN_SU'!$B109="","",'QT_NGHI_VIEC'!AC109)</f>
        <v/>
      </c>
      <c r="BS109" s="224">
        <f>IF('DM_NHAN_SU'!$B109="","",'QT_NGHI_VIEC'!AB109)</f>
        <v/>
      </c>
      <c r="BT109" s="224">
        <f>IF('DM_NHAN_SU'!$B109="","",IF('CHE_DO_BHXH'!$Z109="Có",'CHE_DO_BHXH'!$W109,0))</f>
        <v/>
      </c>
      <c r="BU109" s="224">
        <f>IF('DM_NHAN_SU'!$B109="","",IF('CHE_DO_BHXH'!$Y109="DN trả thay",$BT109,0))</f>
        <v/>
      </c>
      <c r="BV109" s="224">
        <f>IF('DM_NHAN_SU'!$B109="","",IF(OR('DM_NHAN_SU'!$AA109&lt;&gt;"Có",'CHE_DO_BHXH'!$O109&gt;=1,SUM('CHE_DO_BHXH'!$D109,'CHE_DO_BHXH'!$G109,'CHE_DO_BHXH'!$K109)&gt;=24,AND($I109&gt;0,$BM109&gt;=$I109)),0,IF('DM_NHAN_SU'!$AB109="Không",0,IF('DM_NHAN_SU'!$AB109="Nhập tay",'DM_NHAN_SU'!$AC109,IF('DM_NHAN_SU'!$AB109="Theo thực nhận",MIN(MAX($AT109-$AU109-$AV109-$AW109,0)*'THAM_SO'!$M$23,'THAM_SO'!$M$26),MIN($AE109*'THAM_SO'!$M$23,'THAM_SO'!$M$26))))))</f>
        <v/>
      </c>
      <c r="BW109" s="224">
        <f>IF('DM_NHAN_SU'!$B109="","",$AX109+$BU109)</f>
        <v/>
      </c>
    </row>
    <row r="110">
      <c r="A110" s="145">
        <f>IF('DM_NHAN_SU'!$B110="","",IF($B110="","",ROW()-5))</f>
        <v/>
      </c>
      <c r="B110" s="145">
        <f>IF('DM_NHAN_SU'!$B110="","",'DM_NHAN_SU'!B110)</f>
        <v/>
      </c>
      <c r="C110" s="145">
        <f>IF('DM_NHAN_SU'!$B110="","",'DM_NHAN_SU'!C110)</f>
        <v/>
      </c>
      <c r="D110" s="145">
        <f>IF('DM_NHAN_SU'!$B110="","",'DM_NHAN_SU'!D110)</f>
        <v/>
      </c>
      <c r="E110" s="145">
        <f>IF('DM_NHAN_SU'!$B110="","",'DM_NHAN_SU'!E110)</f>
        <v/>
      </c>
      <c r="F110" s="145">
        <f>IF('DM_NHAN_SU'!$B110="","",'DM_NHAN_SU'!I110)</f>
        <v/>
      </c>
      <c r="G110" s="145">
        <f>IF('DM_NHAN_SU'!$B110="","",'DM_NHAN_SU'!J110)</f>
        <v/>
      </c>
      <c r="H110" s="145">
        <f>IF('DM_NHAN_SU'!$B110="","",IF('DM_NHAN_SU'!H110="",'THAM_SO'!$B$11,'DM_NHAN_SU'!H110))</f>
        <v/>
      </c>
      <c r="I110" s="232">
        <f>IF('DM_NHAN_SU'!$B110="","",IF('DM_NHAN_SU'!L110&gt;0,'DM_NHAN_SU'!L110,'THAM_SO'!$B$9))</f>
        <v/>
      </c>
      <c r="J110" s="232">
        <f>IF('DM_NHAN_SU'!$B110="","",IF('DM_NHAN_SU'!M110&gt;0,'DM_NHAN_SU'!M110,'THAM_SO'!$B$10))</f>
        <v/>
      </c>
      <c r="K110" s="232">
        <f>IF('DM_NHAN_SU'!$B110="","",'CHAM_CONG_THANG'!AC110)</f>
        <v/>
      </c>
      <c r="L110" s="232">
        <f>IF('DM_NHAN_SU'!$B110="","",'CHAM_CONG_THANG'!AD110)</f>
        <v/>
      </c>
      <c r="M110" s="232">
        <f>IF('DM_NHAN_SU'!$B110="","",'CHAM_CONG_THANG'!AE110)</f>
        <v/>
      </c>
      <c r="N110" s="232">
        <f>IF('DM_NHAN_SU'!$B110="","",'CHAM_CONG_THANG'!N110)</f>
        <v/>
      </c>
      <c r="O110" s="224">
        <f>IF('DM_NHAN_SU'!$B110="","",IF($B110="","",IF($G110="Tháng",IF($I110&gt;0,'DM_NHAN_SU'!$K110*MIN($K110,$I110)/$I110,0),IF($G110="Ngày",'DM_NHAN_SU'!$K110*$K110,IF($G110="Giờ",'DM_NHAN_SU'!$K110*$L110,IF($G110="Sản phẩm",'DM_NHAN_SU'!$K110*$N110,0))))))</f>
        <v/>
      </c>
      <c r="P110" s="224">
        <f>IF('DM_NHAN_SU'!$B110="","",'CHAM_CONG_THANG'!O110)</f>
        <v/>
      </c>
      <c r="Q110" s="224">
        <f>IF('DM_NHAN_SU'!$B110="","",'CHAM_CONG_THANG'!P110)</f>
        <v/>
      </c>
      <c r="R110" s="224">
        <f>IF('DM_NHAN_SU'!$B110="","",'CHAM_CONG_THANG'!Q110)</f>
        <v/>
      </c>
      <c r="S110" s="224">
        <f>IF('DM_NHAN_SU'!$B110="","",'CHAM_CONG_THANG'!R110)</f>
        <v/>
      </c>
      <c r="T110" s="224">
        <f>IF('DM_NHAN_SU'!$B110="","",'CHAM_CONG_THANG'!S110)</f>
        <v/>
      </c>
      <c r="U110" s="224">
        <f>IF('DM_NHAN_SU'!$B110="","",MIN($T110,'THAM_SO'!$F$6))</f>
        <v/>
      </c>
      <c r="V110" s="224">
        <f>IF('DM_NHAN_SU'!$B110="","",MAX($T110-$U110,0))</f>
        <v/>
      </c>
      <c r="W110" s="224">
        <f>IF('DM_NHAN_SU'!$B110="","",'CHAM_CONG_THANG'!T110)</f>
        <v/>
      </c>
      <c r="X110" s="224">
        <f>IF('DM_NHAN_SU'!$B110="","",'CHAM_CONG_THANG'!U110)</f>
        <v/>
      </c>
      <c r="Y110" s="224">
        <f>IF('DM_NHAN_SU'!$B110="","",IF($B110="",0,IF('DM_NHAN_SU'!$Q110&gt;0,'DM_NHAN_SU'!$Q110,IF($G110="Tháng",IF($I110*$J110&gt;0,'DM_NHAN_SU'!$K110/($I110*$J110),0),IF($G110="Ngày",IF($J110&gt;0,'DM_NHAN_SU'!$K110/$J110,0),IF($G110="Giờ",'DM_NHAN_SU'!$K110,0))))))</f>
        <v/>
      </c>
      <c r="Z110" s="224">
        <f>IF('DM_NHAN_SU'!$B110="","",$Y110*($M110*'THAM_SO'!$C$22+'CHAM_CONG_THANG'!$AF110*'THAM_SO'!$C$19+'CHAM_CONG_THANG'!$AG110*'THAM_SO'!$C$20+'CHAM_CONG_THANG'!$AH110*'THAM_SO'!$C$21+'CHAM_CONG_THANG'!$AI110*'THAM_SO'!$C$23+'CHAM_CONG_THANG'!$AJ110*'THAM_SO'!$C$24+'CHAM_CONG_THANG'!$AK110*'THAM_SO'!$C$25))</f>
        <v/>
      </c>
      <c r="AA110" s="224">
        <f>IF('DM_NHAN_SU'!$B110="","",MAX(0,$Y110*($M110*IF('THAM_SO'!$C$22&gt;='THAM_SO'!$B$22,'THAM_SO'!$B$22,0)+'CHAM_CONG_THANG'!$AF110*IF('THAM_SO'!$C$19&gt;='THAM_SO'!$B$19,'THAM_SO'!$B$19,0)+'CHAM_CONG_THANG'!$AG110*IF('THAM_SO'!$C$20&gt;='THAM_SO'!$B$20,'THAM_SO'!$B$20,0)+'CHAM_CONG_THANG'!$AH110*IF('THAM_SO'!$C$21&gt;='THAM_SO'!$B$21,'THAM_SO'!$B$21,0)+'CHAM_CONG_THANG'!$AI110*IF('THAM_SO'!$C$23&gt;='THAM_SO'!$B$23,'THAM_SO'!$B$23,0)+'CHAM_CONG_THANG'!$AJ110*IF('THAM_SO'!$C$24&gt;='THAM_SO'!$B$24,'THAM_SO'!$B$24,0)+'CHAM_CONG_THANG'!$AK110*IF('THAM_SO'!$C$25&gt;='THAM_SO'!$B$25,'THAM_SO'!$B$25,0))-'CHAM_CONG_THANG'!$V110))</f>
        <v/>
      </c>
      <c r="AB110" s="224">
        <f>IF('DM_NHAN_SU'!$B110="","",MAX($Z110-$AA110,0))</f>
        <v/>
      </c>
      <c r="AC110" s="224">
        <f>IF('DM_NHAN_SU'!$B110="","",$O110+$P110+$Q110+$R110+$S110+$V110+$AB110+$BO110+$BP110+$BQ110+$BR110)</f>
        <v/>
      </c>
      <c r="AD110" s="224">
        <f>IF('DM_NHAN_SU'!$B110="","",'DM_NHAN_SU'!N110+'DM_NHAN_SU'!O110+'DM_NHAN_SU'!P110)</f>
        <v/>
      </c>
      <c r="AE110" s="224">
        <f>IF('DM_NHAN_SU'!$B110="","",IF(OR('DM_NHAN_SU'!$R110&lt;&gt;"Có",'CHAM_CONG_THANG'!$AA110="Có",$BL110&gt;=14,$AD110&lt;=0),0,MIN(MAX($AD110,'THAM_SO'!$M$6),'THAM_SO'!$M$7)))</f>
        <v/>
      </c>
      <c r="AF110" s="224">
        <f>IF('DM_NHAN_SU'!$B110="","",IF(OR('DM_NHAN_SU'!$S110&lt;&gt;"Có",'CHAM_CONG_THANG'!$AA110="Có",$BL110&gt;=14,$AD110&lt;=0),0,MIN(MAX($AD110,VLOOKUP($H110,'THAM_SO'!$L$17:$P$20,4,FALSE)),VLOOKUP($H110,'THAM_SO'!$L$17:$P$20,5,FALSE))))</f>
        <v/>
      </c>
      <c r="AG110" s="224">
        <f>IF('DM_NHAN_SU'!$B110="","",$AE110*'THAM_SO'!$M$8)</f>
        <v/>
      </c>
      <c r="AH110" s="224">
        <f>IF('DM_NHAN_SU'!$B110="","",$AE110*'THAM_SO'!$M$9)</f>
        <v/>
      </c>
      <c r="AI110" s="224">
        <f>IF('DM_NHAN_SU'!$B110="","",$AF110*'THAM_SO'!$M$10)</f>
        <v/>
      </c>
      <c r="AJ110" s="224">
        <f>IF('DM_NHAN_SU'!$B110="","",SUM($AG110:$AI110))</f>
        <v/>
      </c>
      <c r="AK110" s="224">
        <f>IF('DM_NHAN_SU'!$B110="","",IF($B110="",0,'THAM_SO'!$F$4))</f>
        <v/>
      </c>
      <c r="AL110" s="224">
        <f>IF('DM_NHAN_SU'!$B110="","",IF($B110="",0,'DM_NHAN_SU'!$T110*'THAM_SO'!$F$5))</f>
        <v/>
      </c>
      <c r="AM110" s="224">
        <f>IF('DM_NHAN_SU'!$B110="","",'CHAM_CONG_THANG'!W110)</f>
        <v/>
      </c>
      <c r="AN110" s="224">
        <f>IF('DM_NHAN_SU'!$B110="","",MAX($AC110-$AK110-$AL110-$AM110,0))</f>
        <v/>
      </c>
      <c r="AO110" s="224">
        <f>IF('DM_NHAN_SU'!$B110="","",IF($B110="","",IF($F110="Net",IF($AC110&lt;=$AK110+$AL110+$AM110,$AC110+$AJ110,$AJ110+$AK110+$AL110+$AM110+IF($AN110&lt;='THAM_SO'!$J$10,($AN110-'THAM_SO'!$I$10)/(1-'THAM_SO'!$H$10),IF($AN110&lt;='THAM_SO'!$J$11,($AN110-'THAM_SO'!$I$11)/(1-'THAM_SO'!$H$11),IF($AN110&lt;='THAM_SO'!$J$12,($AN110-'THAM_SO'!$I$12)/(1-'THAM_SO'!$H$12),IF($AN110&lt;='THAM_SO'!$J$13,($AN110-'THAM_SO'!$I$13)/(1-'THAM_SO'!$H$13),($AN110-'THAM_SO'!$I$14)/(1-'THAM_SO'!$H$14)))))),$AC110)))</f>
        <v/>
      </c>
      <c r="AP110" s="224">
        <f>IF('DM_NHAN_SU'!$B110="","",$U110+$W110+$X110+$AA110+$BS110)</f>
        <v/>
      </c>
      <c r="AQ110" s="224">
        <f>IF('DM_NHAN_SU'!$B110="","",MAX($AO110-$AJ110-$AK110-$AL110-$AM110,0))</f>
        <v/>
      </c>
      <c r="AR110" s="224">
        <f>IF('DM_NHAN_SU'!$B110="","",IF($AQ110&lt;=0,0,$AQ110*VLOOKUP($AQ110,'THAM_SO'!$F$10:$I$14,3,TRUE)-VLOOKUP($AQ110,'THAM_SO'!$F$10:$I$14,4,TRUE)))</f>
        <v/>
      </c>
      <c r="AS110" s="224">
        <f>IF('DM_NHAN_SU'!$B110="","",$AO110+$AP110)</f>
        <v/>
      </c>
      <c r="AT110" s="224">
        <f>IF('DM_NHAN_SU'!$B110="","",$AS110-$AJ110-$AR110)</f>
        <v/>
      </c>
      <c r="AU110" s="224">
        <f>IF('DM_NHAN_SU'!$B110="","",'CHAM_CONG_THANG'!X110)</f>
        <v/>
      </c>
      <c r="AV110" s="224">
        <f>IF('DM_NHAN_SU'!$B110="","",'CHAM_CONG_THANG'!Y110+'QT_NGHI_VIEC'!AD110)</f>
        <v/>
      </c>
      <c r="AW110" s="224">
        <f>IF('DM_NHAN_SU'!$B110="","",'CHAM_CONG_THANG'!Z110)</f>
        <v/>
      </c>
      <c r="AX110" s="224">
        <f>IF('DM_NHAN_SU'!$B110="","",$AT110-$AU110-$AV110-$AW110-$BV110)</f>
        <v/>
      </c>
      <c r="AY110" s="224">
        <f>IF('DM_NHAN_SU'!$B110="","",$AE110*'THAM_SO'!$M$11)</f>
        <v/>
      </c>
      <c r="AZ110" s="224">
        <f>IF('DM_NHAN_SU'!$B110="","",$AE110*'THAM_SO'!$M$12)</f>
        <v/>
      </c>
      <c r="BA110" s="224">
        <f>IF('DM_NHAN_SU'!$B110="","",$AF110*'THAM_SO'!$M$13)</f>
        <v/>
      </c>
      <c r="BB110" s="224">
        <f>IF('DM_NHAN_SU'!$B110="","",$AE110*'THAM_SO'!$M$14)</f>
        <v/>
      </c>
      <c r="BC110" s="224">
        <f>IF('DM_NHAN_SU'!$B110="","",SUM($AY110:$BB110))</f>
        <v/>
      </c>
      <c r="BD110" s="224">
        <f>IF('DM_NHAN_SU'!$B110="","",$AS110+$BC110)</f>
        <v/>
      </c>
      <c r="BE110" s="224">
        <f>IF('DM_NHAN_SU'!$B110="","",VLOOKUP($H110,'THAM_SO'!$L$17:$P$20,2,FALSE))</f>
        <v/>
      </c>
      <c r="BF110" s="224">
        <f>IF('DM_NHAN_SU'!$B110="","",VLOOKUP($H110,'THAM_SO'!$L$17:$P$20,3,FALSE))</f>
        <v/>
      </c>
      <c r="BG110" s="150">
        <f>IF('DM_NHAN_SU'!$B110="","",IF($B110="","",IF(COUNTIF('DM_NHAN_SU'!$B$6:$B$155,$B110)&gt;1,"Trùng mã NV; ","")&amp;IF(OR($F110="",$G110=""),"Thiếu loại/hình thức lương; ","")&amp;IF('CHAM_CONG_THANG'!$D110="","Chưa chọn nguồn công; ","")&amp;IF(AND('CHAM_CONG_THANG'!$D110="Theo ngày",COUNTIF('CHAM_CONG_NGAY'!$B$6:$B$4655,$B110)=0),"Chưa có chấm công ngày; ","")&amp;IF(OR($I110&lt;=0,$J110&lt;=0),"Thiếu công/giờ chuẩn; ","")&amp;IF(AND($G110="Tháng",'DM_NHAN_SU'!$K110&lt;$BE110),"Lương tháng dưới tối thiểu vùng; ","")&amp;IF(AND($G110="Ngày",'DM_NHAN_SU'!$K110/$J110&lt;$BF110),"Lương ngày quy đổi dưới tối thiểu giờ; ","")&amp;IF(AND($G110="Giờ",'DM_NHAN_SU'!$K110&lt;$BF110),"Lương giờ dưới tối thiểu vùng; ","")&amp;IF(AND($G110="Sản phẩm",$L110&gt;0,$O110/$L110&lt;$BF110),"Lương SP quy đổi dưới tối thiểu giờ; ","")&amp;IF(OR('THAM_SO'!$C$19&lt;'THAM_SO'!$B$19,'THAM_SO'!$C$20&lt;'THAM_SO'!$B$20,'THAM_SO'!$C$21&lt;'THAM_SO'!$B$21,'THAM_SO'!$C$22&lt;'THAM_SO'!$B$22,'THAM_SO'!$C$23&lt;'THAM_SO'!$B$23,'THAM_SO'!$C$24&lt;'THAM_SO'!$B$24,'THAM_SO'!$C$25&lt;'THAM_SO'!$B$25),"Hệ số OT/đêm DN thấp hơn luật; ","")&amp;IF(AND('DM_NHAN_SU'!$R110="Có",$AD110&lt;=0),"Thiếu căn cứ đóng BH; ","")&amp;IF(AND($AD110&gt;0,$AD110&lt;'THAM_SO'!$M$6),"Căn cứ BH dưới sàn – đã nâng sàn; ","")&amp;IF($AD110&gt;'THAM_SO'!$M$7,"Căn cứ BH vượt trần – đã giới hạn; ","")&amp;IF(AND($F110="Net",SUM('CHAM_CONG_THANG'!$AF110:$AK110)&gt;0,'DM_NHAN_SU'!$Q110&lt;=0),"Net có OT nhưng chưa khai lương giờ OT; ","")&amp;IF('CHAM_CONG_THANG'!$V110&gt;$Z110,"Phần OT không miễn lớn hơn tiền OT; ","")&amp;IF(AND($F110="Net",ABS($AT110-$AC110-$AP110)&gt;1),"Lệch quy đổi Net; ","")&amp;IF(AND($BH110&gt;0,'DM_NHAN_SU'!$AD110=""),"Có phép năm nhưng đang tạm dùng 12 ngày; ","")&amp;IF(AND($G110="Sản phẩm",SUM($BH110:$BJ110)&gt;0,'DM_NHAN_SU'!$AH110&lt;=0),"Lương sản phẩm thiếu đơn giá ngày phép/lễ; ","")&amp;IF(AND($BL110&gt;=14,'CHAM_CONG_THANG'!$AA110&lt;&gt;"Có"),"Thai sản từ 14 ngày: file tự dừng đóng BH – kiểm tra hồ sơ; ","")&amp;IF(AND('DM_NHAN_SU'!$AA110="Có",'DM_NHAN_SU'!$AB110=""),"Đoàn viên chưa chọn cách tính đoàn phí; ","")&amp;IF(AND('DM_NHAN_SU'!$AB110="Nhập tay",'DM_NHAN_SU'!$AC110&gt;'THAM_SO'!$M$26),"Đoàn phí nhập tay vượt trần thông dụng; ","")&amp;IF('NGHI_PHEP'!$L110&lt;&gt;"","Phép: "&amp;'NGHI_PHEP'!$L110,"")&amp;IF('CHE_DO_BHXH'!$AA110&lt;&gt;"","BHXH: "&amp;'CHE_DO_BHXH'!$AA110,"")&amp;IF('THUONG_T13_TET'!$O110&lt;&gt;"","Thưởng: "&amp;'THUONG_T13_TET'!$O110,"")&amp;IF('QT_NGHI_VIEC'!$AF110&lt;&gt;"","Nghỉ việc: "&amp;'QT_NGHI_VIEC'!$AF110,"")&amp;IF($AX110&lt;0,"Thực lĩnh âm; ","")&amp;IF(OR('DM_NHAN_SU'!$F110&gt;'THAM_SO'!$B$7,AND('DM_NHAN_SU'!$G110&lt;&gt;"",'DM_NHAN_SU'!$G110&lt;'THAM_SO'!$B$6)),"Ngoài kỳ trả lương; ","")))</f>
        <v/>
      </c>
      <c r="BH110" s="232">
        <f>IF('DM_NHAN_SU'!$B110="","",'CHAM_CONG_THANG'!AR110)</f>
        <v/>
      </c>
      <c r="BI110" s="232">
        <f>IF('DM_NHAN_SU'!$B110="","",'CHAM_CONG_THANG'!AS110)</f>
        <v/>
      </c>
      <c r="BJ110" s="232">
        <f>IF('DM_NHAN_SU'!$B110="","",'CHAM_CONG_THANG'!AT110)</f>
        <v/>
      </c>
      <c r="BK110" s="232">
        <f>IF('DM_NHAN_SU'!$B110="","",'CHAM_CONG_THANG'!AU110)</f>
        <v/>
      </c>
      <c r="BL110" s="232">
        <f>IF('DM_NHAN_SU'!$B110="","",'CHAM_CONG_THANG'!AV110)</f>
        <v/>
      </c>
      <c r="BM110" s="232">
        <f>IF('DM_NHAN_SU'!$B110="","",'CHAM_CONG_THANG'!AW110)</f>
        <v/>
      </c>
      <c r="BN110" s="232">
        <f>IF('DM_NHAN_SU'!$B110="","",SUM($K110,$BH110:$BJ110))</f>
        <v/>
      </c>
      <c r="BO110" s="224">
        <f>IF('DM_NHAN_SU'!$B110="","",IF($B110="",0,IF($G110="Tháng",IF($I110&gt;0,'DM_NHAN_SU'!$K110*MIN($BH110+$BJ110,MAX($I110-$K110,0))/$I110,0),IF($G110="Ngày",'DM_NHAN_SU'!$K110*SUM($BH110:$BJ110),IF($G110="Giờ",'DM_NHAN_SU'!$K110*SUM($BH110:$BJ110)*$J110,IF($G110="Sản phẩm",'DM_NHAN_SU'!$AH110*SUM($BH110:$BJ110),0))))))</f>
        <v/>
      </c>
      <c r="BP110" s="224">
        <f>IF('DM_NHAN_SU'!$B110="","",IF('THUONG_T13_TET'!$L110="Có",'THUONG_T13_TET'!$I110,0))</f>
        <v/>
      </c>
      <c r="BQ110" s="224">
        <f>IF('DM_NHAN_SU'!$B110="","",IF('THUONG_T13_TET'!$L110="Có",SUM('THUONG_T13_TET'!$J110:$K110),0))</f>
        <v/>
      </c>
      <c r="BR110" s="224">
        <f>IF('DM_NHAN_SU'!$B110="","",'QT_NGHI_VIEC'!AC110)</f>
        <v/>
      </c>
      <c r="BS110" s="224">
        <f>IF('DM_NHAN_SU'!$B110="","",'QT_NGHI_VIEC'!AB110)</f>
        <v/>
      </c>
      <c r="BT110" s="224">
        <f>IF('DM_NHAN_SU'!$B110="","",IF('CHE_DO_BHXH'!$Z110="Có",'CHE_DO_BHXH'!$W110,0))</f>
        <v/>
      </c>
      <c r="BU110" s="224">
        <f>IF('DM_NHAN_SU'!$B110="","",IF('CHE_DO_BHXH'!$Y110="DN trả thay",$BT110,0))</f>
        <v/>
      </c>
      <c r="BV110" s="224">
        <f>IF('DM_NHAN_SU'!$B110="","",IF(OR('DM_NHAN_SU'!$AA110&lt;&gt;"Có",'CHE_DO_BHXH'!$O110&gt;=1,SUM('CHE_DO_BHXH'!$D110,'CHE_DO_BHXH'!$G110,'CHE_DO_BHXH'!$K110)&gt;=24,AND($I110&gt;0,$BM110&gt;=$I110)),0,IF('DM_NHAN_SU'!$AB110="Không",0,IF('DM_NHAN_SU'!$AB110="Nhập tay",'DM_NHAN_SU'!$AC110,IF('DM_NHAN_SU'!$AB110="Theo thực nhận",MIN(MAX($AT110-$AU110-$AV110-$AW110,0)*'THAM_SO'!$M$23,'THAM_SO'!$M$26),MIN($AE110*'THAM_SO'!$M$23,'THAM_SO'!$M$26))))))</f>
        <v/>
      </c>
      <c r="BW110" s="224">
        <f>IF('DM_NHAN_SU'!$B110="","",$AX110+$BU110)</f>
        <v/>
      </c>
    </row>
    <row r="111">
      <c r="A111" s="145">
        <f>IF('DM_NHAN_SU'!$B111="","",IF($B111="","",ROW()-5))</f>
        <v/>
      </c>
      <c r="B111" s="145">
        <f>IF('DM_NHAN_SU'!$B111="","",'DM_NHAN_SU'!B111)</f>
        <v/>
      </c>
      <c r="C111" s="145">
        <f>IF('DM_NHAN_SU'!$B111="","",'DM_NHAN_SU'!C111)</f>
        <v/>
      </c>
      <c r="D111" s="145">
        <f>IF('DM_NHAN_SU'!$B111="","",'DM_NHAN_SU'!D111)</f>
        <v/>
      </c>
      <c r="E111" s="145">
        <f>IF('DM_NHAN_SU'!$B111="","",'DM_NHAN_SU'!E111)</f>
        <v/>
      </c>
      <c r="F111" s="145">
        <f>IF('DM_NHAN_SU'!$B111="","",'DM_NHAN_SU'!I111)</f>
        <v/>
      </c>
      <c r="G111" s="145">
        <f>IF('DM_NHAN_SU'!$B111="","",'DM_NHAN_SU'!J111)</f>
        <v/>
      </c>
      <c r="H111" s="145">
        <f>IF('DM_NHAN_SU'!$B111="","",IF('DM_NHAN_SU'!H111="",'THAM_SO'!$B$11,'DM_NHAN_SU'!H111))</f>
        <v/>
      </c>
      <c r="I111" s="232">
        <f>IF('DM_NHAN_SU'!$B111="","",IF('DM_NHAN_SU'!L111&gt;0,'DM_NHAN_SU'!L111,'THAM_SO'!$B$9))</f>
        <v/>
      </c>
      <c r="J111" s="232">
        <f>IF('DM_NHAN_SU'!$B111="","",IF('DM_NHAN_SU'!M111&gt;0,'DM_NHAN_SU'!M111,'THAM_SO'!$B$10))</f>
        <v/>
      </c>
      <c r="K111" s="232">
        <f>IF('DM_NHAN_SU'!$B111="","",'CHAM_CONG_THANG'!AC111)</f>
        <v/>
      </c>
      <c r="L111" s="232">
        <f>IF('DM_NHAN_SU'!$B111="","",'CHAM_CONG_THANG'!AD111)</f>
        <v/>
      </c>
      <c r="M111" s="232">
        <f>IF('DM_NHAN_SU'!$B111="","",'CHAM_CONG_THANG'!AE111)</f>
        <v/>
      </c>
      <c r="N111" s="232">
        <f>IF('DM_NHAN_SU'!$B111="","",'CHAM_CONG_THANG'!N111)</f>
        <v/>
      </c>
      <c r="O111" s="224">
        <f>IF('DM_NHAN_SU'!$B111="","",IF($B111="","",IF($G111="Tháng",IF($I111&gt;0,'DM_NHAN_SU'!$K111*MIN($K111,$I111)/$I111,0),IF($G111="Ngày",'DM_NHAN_SU'!$K111*$K111,IF($G111="Giờ",'DM_NHAN_SU'!$K111*$L111,IF($G111="Sản phẩm",'DM_NHAN_SU'!$K111*$N111,0))))))</f>
        <v/>
      </c>
      <c r="P111" s="224">
        <f>IF('DM_NHAN_SU'!$B111="","",'CHAM_CONG_THANG'!O111)</f>
        <v/>
      </c>
      <c r="Q111" s="224">
        <f>IF('DM_NHAN_SU'!$B111="","",'CHAM_CONG_THANG'!P111)</f>
        <v/>
      </c>
      <c r="R111" s="224">
        <f>IF('DM_NHAN_SU'!$B111="","",'CHAM_CONG_THANG'!Q111)</f>
        <v/>
      </c>
      <c r="S111" s="224">
        <f>IF('DM_NHAN_SU'!$B111="","",'CHAM_CONG_THANG'!R111)</f>
        <v/>
      </c>
      <c r="T111" s="224">
        <f>IF('DM_NHAN_SU'!$B111="","",'CHAM_CONG_THANG'!S111)</f>
        <v/>
      </c>
      <c r="U111" s="224">
        <f>IF('DM_NHAN_SU'!$B111="","",MIN($T111,'THAM_SO'!$F$6))</f>
        <v/>
      </c>
      <c r="V111" s="224">
        <f>IF('DM_NHAN_SU'!$B111="","",MAX($T111-$U111,0))</f>
        <v/>
      </c>
      <c r="W111" s="224">
        <f>IF('DM_NHAN_SU'!$B111="","",'CHAM_CONG_THANG'!T111)</f>
        <v/>
      </c>
      <c r="X111" s="224">
        <f>IF('DM_NHAN_SU'!$B111="","",'CHAM_CONG_THANG'!U111)</f>
        <v/>
      </c>
      <c r="Y111" s="224">
        <f>IF('DM_NHAN_SU'!$B111="","",IF($B111="",0,IF('DM_NHAN_SU'!$Q111&gt;0,'DM_NHAN_SU'!$Q111,IF($G111="Tháng",IF($I111*$J111&gt;0,'DM_NHAN_SU'!$K111/($I111*$J111),0),IF($G111="Ngày",IF($J111&gt;0,'DM_NHAN_SU'!$K111/$J111,0),IF($G111="Giờ",'DM_NHAN_SU'!$K111,0))))))</f>
        <v/>
      </c>
      <c r="Z111" s="224">
        <f>IF('DM_NHAN_SU'!$B111="","",$Y111*($M111*'THAM_SO'!$C$22+'CHAM_CONG_THANG'!$AF111*'THAM_SO'!$C$19+'CHAM_CONG_THANG'!$AG111*'THAM_SO'!$C$20+'CHAM_CONG_THANG'!$AH111*'THAM_SO'!$C$21+'CHAM_CONG_THANG'!$AI111*'THAM_SO'!$C$23+'CHAM_CONG_THANG'!$AJ111*'THAM_SO'!$C$24+'CHAM_CONG_THANG'!$AK111*'THAM_SO'!$C$25))</f>
        <v/>
      </c>
      <c r="AA111" s="224">
        <f>IF('DM_NHAN_SU'!$B111="","",MAX(0,$Y111*($M111*IF('THAM_SO'!$C$22&gt;='THAM_SO'!$B$22,'THAM_SO'!$B$22,0)+'CHAM_CONG_THANG'!$AF111*IF('THAM_SO'!$C$19&gt;='THAM_SO'!$B$19,'THAM_SO'!$B$19,0)+'CHAM_CONG_THANG'!$AG111*IF('THAM_SO'!$C$20&gt;='THAM_SO'!$B$20,'THAM_SO'!$B$20,0)+'CHAM_CONG_THANG'!$AH111*IF('THAM_SO'!$C$21&gt;='THAM_SO'!$B$21,'THAM_SO'!$B$21,0)+'CHAM_CONG_THANG'!$AI111*IF('THAM_SO'!$C$23&gt;='THAM_SO'!$B$23,'THAM_SO'!$B$23,0)+'CHAM_CONG_THANG'!$AJ111*IF('THAM_SO'!$C$24&gt;='THAM_SO'!$B$24,'THAM_SO'!$B$24,0)+'CHAM_CONG_THANG'!$AK111*IF('THAM_SO'!$C$25&gt;='THAM_SO'!$B$25,'THAM_SO'!$B$25,0))-'CHAM_CONG_THANG'!$V111))</f>
        <v/>
      </c>
      <c r="AB111" s="224">
        <f>IF('DM_NHAN_SU'!$B111="","",MAX($Z111-$AA111,0))</f>
        <v/>
      </c>
      <c r="AC111" s="224">
        <f>IF('DM_NHAN_SU'!$B111="","",$O111+$P111+$Q111+$R111+$S111+$V111+$AB111+$BO111+$BP111+$BQ111+$BR111)</f>
        <v/>
      </c>
      <c r="AD111" s="224">
        <f>IF('DM_NHAN_SU'!$B111="","",'DM_NHAN_SU'!N111+'DM_NHAN_SU'!O111+'DM_NHAN_SU'!P111)</f>
        <v/>
      </c>
      <c r="AE111" s="224">
        <f>IF('DM_NHAN_SU'!$B111="","",IF(OR('DM_NHAN_SU'!$R111&lt;&gt;"Có",'CHAM_CONG_THANG'!$AA111="Có",$BL111&gt;=14,$AD111&lt;=0),0,MIN(MAX($AD111,'THAM_SO'!$M$6),'THAM_SO'!$M$7)))</f>
        <v/>
      </c>
      <c r="AF111" s="224">
        <f>IF('DM_NHAN_SU'!$B111="","",IF(OR('DM_NHAN_SU'!$S111&lt;&gt;"Có",'CHAM_CONG_THANG'!$AA111="Có",$BL111&gt;=14,$AD111&lt;=0),0,MIN(MAX($AD111,VLOOKUP($H111,'THAM_SO'!$L$17:$P$20,4,FALSE)),VLOOKUP($H111,'THAM_SO'!$L$17:$P$20,5,FALSE))))</f>
        <v/>
      </c>
      <c r="AG111" s="224">
        <f>IF('DM_NHAN_SU'!$B111="","",$AE111*'THAM_SO'!$M$8)</f>
        <v/>
      </c>
      <c r="AH111" s="224">
        <f>IF('DM_NHAN_SU'!$B111="","",$AE111*'THAM_SO'!$M$9)</f>
        <v/>
      </c>
      <c r="AI111" s="224">
        <f>IF('DM_NHAN_SU'!$B111="","",$AF111*'THAM_SO'!$M$10)</f>
        <v/>
      </c>
      <c r="AJ111" s="224">
        <f>IF('DM_NHAN_SU'!$B111="","",SUM($AG111:$AI111))</f>
        <v/>
      </c>
      <c r="AK111" s="224">
        <f>IF('DM_NHAN_SU'!$B111="","",IF($B111="",0,'THAM_SO'!$F$4))</f>
        <v/>
      </c>
      <c r="AL111" s="224">
        <f>IF('DM_NHAN_SU'!$B111="","",IF($B111="",0,'DM_NHAN_SU'!$T111*'THAM_SO'!$F$5))</f>
        <v/>
      </c>
      <c r="AM111" s="224">
        <f>IF('DM_NHAN_SU'!$B111="","",'CHAM_CONG_THANG'!W111)</f>
        <v/>
      </c>
      <c r="AN111" s="224">
        <f>IF('DM_NHAN_SU'!$B111="","",MAX($AC111-$AK111-$AL111-$AM111,0))</f>
        <v/>
      </c>
      <c r="AO111" s="224">
        <f>IF('DM_NHAN_SU'!$B111="","",IF($B111="","",IF($F111="Net",IF($AC111&lt;=$AK111+$AL111+$AM111,$AC111+$AJ111,$AJ111+$AK111+$AL111+$AM111+IF($AN111&lt;='THAM_SO'!$J$10,($AN111-'THAM_SO'!$I$10)/(1-'THAM_SO'!$H$10),IF($AN111&lt;='THAM_SO'!$J$11,($AN111-'THAM_SO'!$I$11)/(1-'THAM_SO'!$H$11),IF($AN111&lt;='THAM_SO'!$J$12,($AN111-'THAM_SO'!$I$12)/(1-'THAM_SO'!$H$12),IF($AN111&lt;='THAM_SO'!$J$13,($AN111-'THAM_SO'!$I$13)/(1-'THAM_SO'!$H$13),($AN111-'THAM_SO'!$I$14)/(1-'THAM_SO'!$H$14)))))),$AC111)))</f>
        <v/>
      </c>
      <c r="AP111" s="224">
        <f>IF('DM_NHAN_SU'!$B111="","",$U111+$W111+$X111+$AA111+$BS111)</f>
        <v/>
      </c>
      <c r="AQ111" s="224">
        <f>IF('DM_NHAN_SU'!$B111="","",MAX($AO111-$AJ111-$AK111-$AL111-$AM111,0))</f>
        <v/>
      </c>
      <c r="AR111" s="224">
        <f>IF('DM_NHAN_SU'!$B111="","",IF($AQ111&lt;=0,0,$AQ111*VLOOKUP($AQ111,'THAM_SO'!$F$10:$I$14,3,TRUE)-VLOOKUP($AQ111,'THAM_SO'!$F$10:$I$14,4,TRUE)))</f>
        <v/>
      </c>
      <c r="AS111" s="224">
        <f>IF('DM_NHAN_SU'!$B111="","",$AO111+$AP111)</f>
        <v/>
      </c>
      <c r="AT111" s="224">
        <f>IF('DM_NHAN_SU'!$B111="","",$AS111-$AJ111-$AR111)</f>
        <v/>
      </c>
      <c r="AU111" s="224">
        <f>IF('DM_NHAN_SU'!$B111="","",'CHAM_CONG_THANG'!X111)</f>
        <v/>
      </c>
      <c r="AV111" s="224">
        <f>IF('DM_NHAN_SU'!$B111="","",'CHAM_CONG_THANG'!Y111+'QT_NGHI_VIEC'!AD111)</f>
        <v/>
      </c>
      <c r="AW111" s="224">
        <f>IF('DM_NHAN_SU'!$B111="","",'CHAM_CONG_THANG'!Z111)</f>
        <v/>
      </c>
      <c r="AX111" s="224">
        <f>IF('DM_NHAN_SU'!$B111="","",$AT111-$AU111-$AV111-$AW111-$BV111)</f>
        <v/>
      </c>
      <c r="AY111" s="224">
        <f>IF('DM_NHAN_SU'!$B111="","",$AE111*'THAM_SO'!$M$11)</f>
        <v/>
      </c>
      <c r="AZ111" s="224">
        <f>IF('DM_NHAN_SU'!$B111="","",$AE111*'THAM_SO'!$M$12)</f>
        <v/>
      </c>
      <c r="BA111" s="224">
        <f>IF('DM_NHAN_SU'!$B111="","",$AF111*'THAM_SO'!$M$13)</f>
        <v/>
      </c>
      <c r="BB111" s="224">
        <f>IF('DM_NHAN_SU'!$B111="","",$AE111*'THAM_SO'!$M$14)</f>
        <v/>
      </c>
      <c r="BC111" s="224">
        <f>IF('DM_NHAN_SU'!$B111="","",SUM($AY111:$BB111))</f>
        <v/>
      </c>
      <c r="BD111" s="224">
        <f>IF('DM_NHAN_SU'!$B111="","",$AS111+$BC111)</f>
        <v/>
      </c>
      <c r="BE111" s="224">
        <f>IF('DM_NHAN_SU'!$B111="","",VLOOKUP($H111,'THAM_SO'!$L$17:$P$20,2,FALSE))</f>
        <v/>
      </c>
      <c r="BF111" s="224">
        <f>IF('DM_NHAN_SU'!$B111="","",VLOOKUP($H111,'THAM_SO'!$L$17:$P$20,3,FALSE))</f>
        <v/>
      </c>
      <c r="BG111" s="150">
        <f>IF('DM_NHAN_SU'!$B111="","",IF($B111="","",IF(COUNTIF('DM_NHAN_SU'!$B$6:$B$155,$B111)&gt;1,"Trùng mã NV; ","")&amp;IF(OR($F111="",$G111=""),"Thiếu loại/hình thức lương; ","")&amp;IF('CHAM_CONG_THANG'!$D111="","Chưa chọn nguồn công; ","")&amp;IF(AND('CHAM_CONG_THANG'!$D111="Theo ngày",COUNTIF('CHAM_CONG_NGAY'!$B$6:$B$4655,$B111)=0),"Chưa có chấm công ngày; ","")&amp;IF(OR($I111&lt;=0,$J111&lt;=0),"Thiếu công/giờ chuẩn; ","")&amp;IF(AND($G111="Tháng",'DM_NHAN_SU'!$K111&lt;$BE111),"Lương tháng dưới tối thiểu vùng; ","")&amp;IF(AND($G111="Ngày",'DM_NHAN_SU'!$K111/$J111&lt;$BF111),"Lương ngày quy đổi dưới tối thiểu giờ; ","")&amp;IF(AND($G111="Giờ",'DM_NHAN_SU'!$K111&lt;$BF111),"Lương giờ dưới tối thiểu vùng; ","")&amp;IF(AND($G111="Sản phẩm",$L111&gt;0,$O111/$L111&lt;$BF111),"Lương SP quy đổi dưới tối thiểu giờ; ","")&amp;IF(OR('THAM_SO'!$C$19&lt;'THAM_SO'!$B$19,'THAM_SO'!$C$20&lt;'THAM_SO'!$B$20,'THAM_SO'!$C$21&lt;'THAM_SO'!$B$21,'THAM_SO'!$C$22&lt;'THAM_SO'!$B$22,'THAM_SO'!$C$23&lt;'THAM_SO'!$B$23,'THAM_SO'!$C$24&lt;'THAM_SO'!$B$24,'THAM_SO'!$C$25&lt;'THAM_SO'!$B$25),"Hệ số OT/đêm DN thấp hơn luật; ","")&amp;IF(AND('DM_NHAN_SU'!$R111="Có",$AD111&lt;=0),"Thiếu căn cứ đóng BH; ","")&amp;IF(AND($AD111&gt;0,$AD111&lt;'THAM_SO'!$M$6),"Căn cứ BH dưới sàn – đã nâng sàn; ","")&amp;IF($AD111&gt;'THAM_SO'!$M$7,"Căn cứ BH vượt trần – đã giới hạn; ","")&amp;IF(AND($F111="Net",SUM('CHAM_CONG_THANG'!$AF111:$AK111)&gt;0,'DM_NHAN_SU'!$Q111&lt;=0),"Net có OT nhưng chưa khai lương giờ OT; ","")&amp;IF('CHAM_CONG_THANG'!$V111&gt;$Z111,"Phần OT không miễn lớn hơn tiền OT; ","")&amp;IF(AND($F111="Net",ABS($AT111-$AC111-$AP111)&gt;1),"Lệch quy đổi Net; ","")&amp;IF(AND($BH111&gt;0,'DM_NHAN_SU'!$AD111=""),"Có phép năm nhưng đang tạm dùng 12 ngày; ","")&amp;IF(AND($G111="Sản phẩm",SUM($BH111:$BJ111)&gt;0,'DM_NHAN_SU'!$AH111&lt;=0),"Lương sản phẩm thiếu đơn giá ngày phép/lễ; ","")&amp;IF(AND($BL111&gt;=14,'CHAM_CONG_THANG'!$AA111&lt;&gt;"Có"),"Thai sản từ 14 ngày: file tự dừng đóng BH – kiểm tra hồ sơ; ","")&amp;IF(AND('DM_NHAN_SU'!$AA111="Có",'DM_NHAN_SU'!$AB111=""),"Đoàn viên chưa chọn cách tính đoàn phí; ","")&amp;IF(AND('DM_NHAN_SU'!$AB111="Nhập tay",'DM_NHAN_SU'!$AC111&gt;'THAM_SO'!$M$26),"Đoàn phí nhập tay vượt trần thông dụng; ","")&amp;IF('NGHI_PHEP'!$L111&lt;&gt;"","Phép: "&amp;'NGHI_PHEP'!$L111,"")&amp;IF('CHE_DO_BHXH'!$AA111&lt;&gt;"","BHXH: "&amp;'CHE_DO_BHXH'!$AA111,"")&amp;IF('THUONG_T13_TET'!$O111&lt;&gt;"","Thưởng: "&amp;'THUONG_T13_TET'!$O111,"")&amp;IF('QT_NGHI_VIEC'!$AF111&lt;&gt;"","Nghỉ việc: "&amp;'QT_NGHI_VIEC'!$AF111,"")&amp;IF($AX111&lt;0,"Thực lĩnh âm; ","")&amp;IF(OR('DM_NHAN_SU'!$F111&gt;'THAM_SO'!$B$7,AND('DM_NHAN_SU'!$G111&lt;&gt;"",'DM_NHAN_SU'!$G111&lt;'THAM_SO'!$B$6)),"Ngoài kỳ trả lương; ","")))</f>
        <v/>
      </c>
      <c r="BH111" s="232">
        <f>IF('DM_NHAN_SU'!$B111="","",'CHAM_CONG_THANG'!AR111)</f>
        <v/>
      </c>
      <c r="BI111" s="232">
        <f>IF('DM_NHAN_SU'!$B111="","",'CHAM_CONG_THANG'!AS111)</f>
        <v/>
      </c>
      <c r="BJ111" s="232">
        <f>IF('DM_NHAN_SU'!$B111="","",'CHAM_CONG_THANG'!AT111)</f>
        <v/>
      </c>
      <c r="BK111" s="232">
        <f>IF('DM_NHAN_SU'!$B111="","",'CHAM_CONG_THANG'!AU111)</f>
        <v/>
      </c>
      <c r="BL111" s="232">
        <f>IF('DM_NHAN_SU'!$B111="","",'CHAM_CONG_THANG'!AV111)</f>
        <v/>
      </c>
      <c r="BM111" s="232">
        <f>IF('DM_NHAN_SU'!$B111="","",'CHAM_CONG_THANG'!AW111)</f>
        <v/>
      </c>
      <c r="BN111" s="232">
        <f>IF('DM_NHAN_SU'!$B111="","",SUM($K111,$BH111:$BJ111))</f>
        <v/>
      </c>
      <c r="BO111" s="224">
        <f>IF('DM_NHAN_SU'!$B111="","",IF($B111="",0,IF($G111="Tháng",IF($I111&gt;0,'DM_NHAN_SU'!$K111*MIN($BH111+$BJ111,MAX($I111-$K111,0))/$I111,0),IF($G111="Ngày",'DM_NHAN_SU'!$K111*SUM($BH111:$BJ111),IF($G111="Giờ",'DM_NHAN_SU'!$K111*SUM($BH111:$BJ111)*$J111,IF($G111="Sản phẩm",'DM_NHAN_SU'!$AH111*SUM($BH111:$BJ111),0))))))</f>
        <v/>
      </c>
      <c r="BP111" s="224">
        <f>IF('DM_NHAN_SU'!$B111="","",IF('THUONG_T13_TET'!$L111="Có",'THUONG_T13_TET'!$I111,0))</f>
        <v/>
      </c>
      <c r="BQ111" s="224">
        <f>IF('DM_NHAN_SU'!$B111="","",IF('THUONG_T13_TET'!$L111="Có",SUM('THUONG_T13_TET'!$J111:$K111),0))</f>
        <v/>
      </c>
      <c r="BR111" s="224">
        <f>IF('DM_NHAN_SU'!$B111="","",'QT_NGHI_VIEC'!AC111)</f>
        <v/>
      </c>
      <c r="BS111" s="224">
        <f>IF('DM_NHAN_SU'!$B111="","",'QT_NGHI_VIEC'!AB111)</f>
        <v/>
      </c>
      <c r="BT111" s="224">
        <f>IF('DM_NHAN_SU'!$B111="","",IF('CHE_DO_BHXH'!$Z111="Có",'CHE_DO_BHXH'!$W111,0))</f>
        <v/>
      </c>
      <c r="BU111" s="224">
        <f>IF('DM_NHAN_SU'!$B111="","",IF('CHE_DO_BHXH'!$Y111="DN trả thay",$BT111,0))</f>
        <v/>
      </c>
      <c r="BV111" s="224">
        <f>IF('DM_NHAN_SU'!$B111="","",IF(OR('DM_NHAN_SU'!$AA111&lt;&gt;"Có",'CHE_DO_BHXH'!$O111&gt;=1,SUM('CHE_DO_BHXH'!$D111,'CHE_DO_BHXH'!$G111,'CHE_DO_BHXH'!$K111)&gt;=24,AND($I111&gt;0,$BM111&gt;=$I111)),0,IF('DM_NHAN_SU'!$AB111="Không",0,IF('DM_NHAN_SU'!$AB111="Nhập tay",'DM_NHAN_SU'!$AC111,IF('DM_NHAN_SU'!$AB111="Theo thực nhận",MIN(MAX($AT111-$AU111-$AV111-$AW111,0)*'THAM_SO'!$M$23,'THAM_SO'!$M$26),MIN($AE111*'THAM_SO'!$M$23,'THAM_SO'!$M$26))))))</f>
        <v/>
      </c>
      <c r="BW111" s="224">
        <f>IF('DM_NHAN_SU'!$B111="","",$AX111+$BU111)</f>
        <v/>
      </c>
    </row>
    <row r="112">
      <c r="A112" s="145">
        <f>IF('DM_NHAN_SU'!$B112="","",IF($B112="","",ROW()-5))</f>
        <v/>
      </c>
      <c r="B112" s="145">
        <f>IF('DM_NHAN_SU'!$B112="","",'DM_NHAN_SU'!B112)</f>
        <v/>
      </c>
      <c r="C112" s="145">
        <f>IF('DM_NHAN_SU'!$B112="","",'DM_NHAN_SU'!C112)</f>
        <v/>
      </c>
      <c r="D112" s="145">
        <f>IF('DM_NHAN_SU'!$B112="","",'DM_NHAN_SU'!D112)</f>
        <v/>
      </c>
      <c r="E112" s="145">
        <f>IF('DM_NHAN_SU'!$B112="","",'DM_NHAN_SU'!E112)</f>
        <v/>
      </c>
      <c r="F112" s="145">
        <f>IF('DM_NHAN_SU'!$B112="","",'DM_NHAN_SU'!I112)</f>
        <v/>
      </c>
      <c r="G112" s="145">
        <f>IF('DM_NHAN_SU'!$B112="","",'DM_NHAN_SU'!J112)</f>
        <v/>
      </c>
      <c r="H112" s="145">
        <f>IF('DM_NHAN_SU'!$B112="","",IF('DM_NHAN_SU'!H112="",'THAM_SO'!$B$11,'DM_NHAN_SU'!H112))</f>
        <v/>
      </c>
      <c r="I112" s="232">
        <f>IF('DM_NHAN_SU'!$B112="","",IF('DM_NHAN_SU'!L112&gt;0,'DM_NHAN_SU'!L112,'THAM_SO'!$B$9))</f>
        <v/>
      </c>
      <c r="J112" s="232">
        <f>IF('DM_NHAN_SU'!$B112="","",IF('DM_NHAN_SU'!M112&gt;0,'DM_NHAN_SU'!M112,'THAM_SO'!$B$10))</f>
        <v/>
      </c>
      <c r="K112" s="232">
        <f>IF('DM_NHAN_SU'!$B112="","",'CHAM_CONG_THANG'!AC112)</f>
        <v/>
      </c>
      <c r="L112" s="232">
        <f>IF('DM_NHAN_SU'!$B112="","",'CHAM_CONG_THANG'!AD112)</f>
        <v/>
      </c>
      <c r="M112" s="232">
        <f>IF('DM_NHAN_SU'!$B112="","",'CHAM_CONG_THANG'!AE112)</f>
        <v/>
      </c>
      <c r="N112" s="232">
        <f>IF('DM_NHAN_SU'!$B112="","",'CHAM_CONG_THANG'!N112)</f>
        <v/>
      </c>
      <c r="O112" s="224">
        <f>IF('DM_NHAN_SU'!$B112="","",IF($B112="","",IF($G112="Tháng",IF($I112&gt;0,'DM_NHAN_SU'!$K112*MIN($K112,$I112)/$I112,0),IF($G112="Ngày",'DM_NHAN_SU'!$K112*$K112,IF($G112="Giờ",'DM_NHAN_SU'!$K112*$L112,IF($G112="Sản phẩm",'DM_NHAN_SU'!$K112*$N112,0))))))</f>
        <v/>
      </c>
      <c r="P112" s="224">
        <f>IF('DM_NHAN_SU'!$B112="","",'CHAM_CONG_THANG'!O112)</f>
        <v/>
      </c>
      <c r="Q112" s="224">
        <f>IF('DM_NHAN_SU'!$B112="","",'CHAM_CONG_THANG'!P112)</f>
        <v/>
      </c>
      <c r="R112" s="224">
        <f>IF('DM_NHAN_SU'!$B112="","",'CHAM_CONG_THANG'!Q112)</f>
        <v/>
      </c>
      <c r="S112" s="224">
        <f>IF('DM_NHAN_SU'!$B112="","",'CHAM_CONG_THANG'!R112)</f>
        <v/>
      </c>
      <c r="T112" s="224">
        <f>IF('DM_NHAN_SU'!$B112="","",'CHAM_CONG_THANG'!S112)</f>
        <v/>
      </c>
      <c r="U112" s="224">
        <f>IF('DM_NHAN_SU'!$B112="","",MIN($T112,'THAM_SO'!$F$6))</f>
        <v/>
      </c>
      <c r="V112" s="224">
        <f>IF('DM_NHAN_SU'!$B112="","",MAX($T112-$U112,0))</f>
        <v/>
      </c>
      <c r="W112" s="224">
        <f>IF('DM_NHAN_SU'!$B112="","",'CHAM_CONG_THANG'!T112)</f>
        <v/>
      </c>
      <c r="X112" s="224">
        <f>IF('DM_NHAN_SU'!$B112="","",'CHAM_CONG_THANG'!U112)</f>
        <v/>
      </c>
      <c r="Y112" s="224">
        <f>IF('DM_NHAN_SU'!$B112="","",IF($B112="",0,IF('DM_NHAN_SU'!$Q112&gt;0,'DM_NHAN_SU'!$Q112,IF($G112="Tháng",IF($I112*$J112&gt;0,'DM_NHAN_SU'!$K112/($I112*$J112),0),IF($G112="Ngày",IF($J112&gt;0,'DM_NHAN_SU'!$K112/$J112,0),IF($G112="Giờ",'DM_NHAN_SU'!$K112,0))))))</f>
        <v/>
      </c>
      <c r="Z112" s="224">
        <f>IF('DM_NHAN_SU'!$B112="","",$Y112*($M112*'THAM_SO'!$C$22+'CHAM_CONG_THANG'!$AF112*'THAM_SO'!$C$19+'CHAM_CONG_THANG'!$AG112*'THAM_SO'!$C$20+'CHAM_CONG_THANG'!$AH112*'THAM_SO'!$C$21+'CHAM_CONG_THANG'!$AI112*'THAM_SO'!$C$23+'CHAM_CONG_THANG'!$AJ112*'THAM_SO'!$C$24+'CHAM_CONG_THANG'!$AK112*'THAM_SO'!$C$25))</f>
        <v/>
      </c>
      <c r="AA112" s="224">
        <f>IF('DM_NHAN_SU'!$B112="","",MAX(0,$Y112*($M112*IF('THAM_SO'!$C$22&gt;='THAM_SO'!$B$22,'THAM_SO'!$B$22,0)+'CHAM_CONG_THANG'!$AF112*IF('THAM_SO'!$C$19&gt;='THAM_SO'!$B$19,'THAM_SO'!$B$19,0)+'CHAM_CONG_THANG'!$AG112*IF('THAM_SO'!$C$20&gt;='THAM_SO'!$B$20,'THAM_SO'!$B$20,0)+'CHAM_CONG_THANG'!$AH112*IF('THAM_SO'!$C$21&gt;='THAM_SO'!$B$21,'THAM_SO'!$B$21,0)+'CHAM_CONG_THANG'!$AI112*IF('THAM_SO'!$C$23&gt;='THAM_SO'!$B$23,'THAM_SO'!$B$23,0)+'CHAM_CONG_THANG'!$AJ112*IF('THAM_SO'!$C$24&gt;='THAM_SO'!$B$24,'THAM_SO'!$B$24,0)+'CHAM_CONG_THANG'!$AK112*IF('THAM_SO'!$C$25&gt;='THAM_SO'!$B$25,'THAM_SO'!$B$25,0))-'CHAM_CONG_THANG'!$V112))</f>
        <v/>
      </c>
      <c r="AB112" s="224">
        <f>IF('DM_NHAN_SU'!$B112="","",MAX($Z112-$AA112,0))</f>
        <v/>
      </c>
      <c r="AC112" s="224">
        <f>IF('DM_NHAN_SU'!$B112="","",$O112+$P112+$Q112+$R112+$S112+$V112+$AB112+$BO112+$BP112+$BQ112+$BR112)</f>
        <v/>
      </c>
      <c r="AD112" s="224">
        <f>IF('DM_NHAN_SU'!$B112="","",'DM_NHAN_SU'!N112+'DM_NHAN_SU'!O112+'DM_NHAN_SU'!P112)</f>
        <v/>
      </c>
      <c r="AE112" s="224">
        <f>IF('DM_NHAN_SU'!$B112="","",IF(OR('DM_NHAN_SU'!$R112&lt;&gt;"Có",'CHAM_CONG_THANG'!$AA112="Có",$BL112&gt;=14,$AD112&lt;=0),0,MIN(MAX($AD112,'THAM_SO'!$M$6),'THAM_SO'!$M$7)))</f>
        <v/>
      </c>
      <c r="AF112" s="224">
        <f>IF('DM_NHAN_SU'!$B112="","",IF(OR('DM_NHAN_SU'!$S112&lt;&gt;"Có",'CHAM_CONG_THANG'!$AA112="Có",$BL112&gt;=14,$AD112&lt;=0),0,MIN(MAX($AD112,VLOOKUP($H112,'THAM_SO'!$L$17:$P$20,4,FALSE)),VLOOKUP($H112,'THAM_SO'!$L$17:$P$20,5,FALSE))))</f>
        <v/>
      </c>
      <c r="AG112" s="224">
        <f>IF('DM_NHAN_SU'!$B112="","",$AE112*'THAM_SO'!$M$8)</f>
        <v/>
      </c>
      <c r="AH112" s="224">
        <f>IF('DM_NHAN_SU'!$B112="","",$AE112*'THAM_SO'!$M$9)</f>
        <v/>
      </c>
      <c r="AI112" s="224">
        <f>IF('DM_NHAN_SU'!$B112="","",$AF112*'THAM_SO'!$M$10)</f>
        <v/>
      </c>
      <c r="AJ112" s="224">
        <f>IF('DM_NHAN_SU'!$B112="","",SUM($AG112:$AI112))</f>
        <v/>
      </c>
      <c r="AK112" s="224">
        <f>IF('DM_NHAN_SU'!$B112="","",IF($B112="",0,'THAM_SO'!$F$4))</f>
        <v/>
      </c>
      <c r="AL112" s="224">
        <f>IF('DM_NHAN_SU'!$B112="","",IF($B112="",0,'DM_NHAN_SU'!$T112*'THAM_SO'!$F$5))</f>
        <v/>
      </c>
      <c r="AM112" s="224">
        <f>IF('DM_NHAN_SU'!$B112="","",'CHAM_CONG_THANG'!W112)</f>
        <v/>
      </c>
      <c r="AN112" s="224">
        <f>IF('DM_NHAN_SU'!$B112="","",MAX($AC112-$AK112-$AL112-$AM112,0))</f>
        <v/>
      </c>
      <c r="AO112" s="224">
        <f>IF('DM_NHAN_SU'!$B112="","",IF($B112="","",IF($F112="Net",IF($AC112&lt;=$AK112+$AL112+$AM112,$AC112+$AJ112,$AJ112+$AK112+$AL112+$AM112+IF($AN112&lt;='THAM_SO'!$J$10,($AN112-'THAM_SO'!$I$10)/(1-'THAM_SO'!$H$10),IF($AN112&lt;='THAM_SO'!$J$11,($AN112-'THAM_SO'!$I$11)/(1-'THAM_SO'!$H$11),IF($AN112&lt;='THAM_SO'!$J$12,($AN112-'THAM_SO'!$I$12)/(1-'THAM_SO'!$H$12),IF($AN112&lt;='THAM_SO'!$J$13,($AN112-'THAM_SO'!$I$13)/(1-'THAM_SO'!$H$13),($AN112-'THAM_SO'!$I$14)/(1-'THAM_SO'!$H$14)))))),$AC112)))</f>
        <v/>
      </c>
      <c r="AP112" s="224">
        <f>IF('DM_NHAN_SU'!$B112="","",$U112+$W112+$X112+$AA112+$BS112)</f>
        <v/>
      </c>
      <c r="AQ112" s="224">
        <f>IF('DM_NHAN_SU'!$B112="","",MAX($AO112-$AJ112-$AK112-$AL112-$AM112,0))</f>
        <v/>
      </c>
      <c r="AR112" s="224">
        <f>IF('DM_NHAN_SU'!$B112="","",IF($AQ112&lt;=0,0,$AQ112*VLOOKUP($AQ112,'THAM_SO'!$F$10:$I$14,3,TRUE)-VLOOKUP($AQ112,'THAM_SO'!$F$10:$I$14,4,TRUE)))</f>
        <v/>
      </c>
      <c r="AS112" s="224">
        <f>IF('DM_NHAN_SU'!$B112="","",$AO112+$AP112)</f>
        <v/>
      </c>
      <c r="AT112" s="224">
        <f>IF('DM_NHAN_SU'!$B112="","",$AS112-$AJ112-$AR112)</f>
        <v/>
      </c>
      <c r="AU112" s="224">
        <f>IF('DM_NHAN_SU'!$B112="","",'CHAM_CONG_THANG'!X112)</f>
        <v/>
      </c>
      <c r="AV112" s="224">
        <f>IF('DM_NHAN_SU'!$B112="","",'CHAM_CONG_THANG'!Y112+'QT_NGHI_VIEC'!AD112)</f>
        <v/>
      </c>
      <c r="AW112" s="224">
        <f>IF('DM_NHAN_SU'!$B112="","",'CHAM_CONG_THANG'!Z112)</f>
        <v/>
      </c>
      <c r="AX112" s="224">
        <f>IF('DM_NHAN_SU'!$B112="","",$AT112-$AU112-$AV112-$AW112-$BV112)</f>
        <v/>
      </c>
      <c r="AY112" s="224">
        <f>IF('DM_NHAN_SU'!$B112="","",$AE112*'THAM_SO'!$M$11)</f>
        <v/>
      </c>
      <c r="AZ112" s="224">
        <f>IF('DM_NHAN_SU'!$B112="","",$AE112*'THAM_SO'!$M$12)</f>
        <v/>
      </c>
      <c r="BA112" s="224">
        <f>IF('DM_NHAN_SU'!$B112="","",$AF112*'THAM_SO'!$M$13)</f>
        <v/>
      </c>
      <c r="BB112" s="224">
        <f>IF('DM_NHAN_SU'!$B112="","",$AE112*'THAM_SO'!$M$14)</f>
        <v/>
      </c>
      <c r="BC112" s="224">
        <f>IF('DM_NHAN_SU'!$B112="","",SUM($AY112:$BB112))</f>
        <v/>
      </c>
      <c r="BD112" s="224">
        <f>IF('DM_NHAN_SU'!$B112="","",$AS112+$BC112)</f>
        <v/>
      </c>
      <c r="BE112" s="224">
        <f>IF('DM_NHAN_SU'!$B112="","",VLOOKUP($H112,'THAM_SO'!$L$17:$P$20,2,FALSE))</f>
        <v/>
      </c>
      <c r="BF112" s="224">
        <f>IF('DM_NHAN_SU'!$B112="","",VLOOKUP($H112,'THAM_SO'!$L$17:$P$20,3,FALSE))</f>
        <v/>
      </c>
      <c r="BG112" s="150">
        <f>IF('DM_NHAN_SU'!$B112="","",IF($B112="","",IF(COUNTIF('DM_NHAN_SU'!$B$6:$B$155,$B112)&gt;1,"Trùng mã NV; ","")&amp;IF(OR($F112="",$G112=""),"Thiếu loại/hình thức lương; ","")&amp;IF('CHAM_CONG_THANG'!$D112="","Chưa chọn nguồn công; ","")&amp;IF(AND('CHAM_CONG_THANG'!$D112="Theo ngày",COUNTIF('CHAM_CONG_NGAY'!$B$6:$B$4655,$B112)=0),"Chưa có chấm công ngày; ","")&amp;IF(OR($I112&lt;=0,$J112&lt;=0),"Thiếu công/giờ chuẩn; ","")&amp;IF(AND($G112="Tháng",'DM_NHAN_SU'!$K112&lt;$BE112),"Lương tháng dưới tối thiểu vùng; ","")&amp;IF(AND($G112="Ngày",'DM_NHAN_SU'!$K112/$J112&lt;$BF112),"Lương ngày quy đổi dưới tối thiểu giờ; ","")&amp;IF(AND($G112="Giờ",'DM_NHAN_SU'!$K112&lt;$BF112),"Lương giờ dưới tối thiểu vùng; ","")&amp;IF(AND($G112="Sản phẩm",$L112&gt;0,$O112/$L112&lt;$BF112),"Lương SP quy đổi dưới tối thiểu giờ; ","")&amp;IF(OR('THAM_SO'!$C$19&lt;'THAM_SO'!$B$19,'THAM_SO'!$C$20&lt;'THAM_SO'!$B$20,'THAM_SO'!$C$21&lt;'THAM_SO'!$B$21,'THAM_SO'!$C$22&lt;'THAM_SO'!$B$22,'THAM_SO'!$C$23&lt;'THAM_SO'!$B$23,'THAM_SO'!$C$24&lt;'THAM_SO'!$B$24,'THAM_SO'!$C$25&lt;'THAM_SO'!$B$25),"Hệ số OT/đêm DN thấp hơn luật; ","")&amp;IF(AND('DM_NHAN_SU'!$R112="Có",$AD112&lt;=0),"Thiếu căn cứ đóng BH; ","")&amp;IF(AND($AD112&gt;0,$AD112&lt;'THAM_SO'!$M$6),"Căn cứ BH dưới sàn – đã nâng sàn; ","")&amp;IF($AD112&gt;'THAM_SO'!$M$7,"Căn cứ BH vượt trần – đã giới hạn; ","")&amp;IF(AND($F112="Net",SUM('CHAM_CONG_THANG'!$AF112:$AK112)&gt;0,'DM_NHAN_SU'!$Q112&lt;=0),"Net có OT nhưng chưa khai lương giờ OT; ","")&amp;IF('CHAM_CONG_THANG'!$V112&gt;$Z112,"Phần OT không miễn lớn hơn tiền OT; ","")&amp;IF(AND($F112="Net",ABS($AT112-$AC112-$AP112)&gt;1),"Lệch quy đổi Net; ","")&amp;IF(AND($BH112&gt;0,'DM_NHAN_SU'!$AD112=""),"Có phép năm nhưng đang tạm dùng 12 ngày; ","")&amp;IF(AND($G112="Sản phẩm",SUM($BH112:$BJ112)&gt;0,'DM_NHAN_SU'!$AH112&lt;=0),"Lương sản phẩm thiếu đơn giá ngày phép/lễ; ","")&amp;IF(AND($BL112&gt;=14,'CHAM_CONG_THANG'!$AA112&lt;&gt;"Có"),"Thai sản từ 14 ngày: file tự dừng đóng BH – kiểm tra hồ sơ; ","")&amp;IF(AND('DM_NHAN_SU'!$AA112="Có",'DM_NHAN_SU'!$AB112=""),"Đoàn viên chưa chọn cách tính đoàn phí; ","")&amp;IF(AND('DM_NHAN_SU'!$AB112="Nhập tay",'DM_NHAN_SU'!$AC112&gt;'THAM_SO'!$M$26),"Đoàn phí nhập tay vượt trần thông dụng; ","")&amp;IF('NGHI_PHEP'!$L112&lt;&gt;"","Phép: "&amp;'NGHI_PHEP'!$L112,"")&amp;IF('CHE_DO_BHXH'!$AA112&lt;&gt;"","BHXH: "&amp;'CHE_DO_BHXH'!$AA112,"")&amp;IF('THUONG_T13_TET'!$O112&lt;&gt;"","Thưởng: "&amp;'THUONG_T13_TET'!$O112,"")&amp;IF('QT_NGHI_VIEC'!$AF112&lt;&gt;"","Nghỉ việc: "&amp;'QT_NGHI_VIEC'!$AF112,"")&amp;IF($AX112&lt;0,"Thực lĩnh âm; ","")&amp;IF(OR('DM_NHAN_SU'!$F112&gt;'THAM_SO'!$B$7,AND('DM_NHAN_SU'!$G112&lt;&gt;"",'DM_NHAN_SU'!$G112&lt;'THAM_SO'!$B$6)),"Ngoài kỳ trả lương; ","")))</f>
        <v/>
      </c>
      <c r="BH112" s="232">
        <f>IF('DM_NHAN_SU'!$B112="","",'CHAM_CONG_THANG'!AR112)</f>
        <v/>
      </c>
      <c r="BI112" s="232">
        <f>IF('DM_NHAN_SU'!$B112="","",'CHAM_CONG_THANG'!AS112)</f>
        <v/>
      </c>
      <c r="BJ112" s="232">
        <f>IF('DM_NHAN_SU'!$B112="","",'CHAM_CONG_THANG'!AT112)</f>
        <v/>
      </c>
      <c r="BK112" s="232">
        <f>IF('DM_NHAN_SU'!$B112="","",'CHAM_CONG_THANG'!AU112)</f>
        <v/>
      </c>
      <c r="BL112" s="232">
        <f>IF('DM_NHAN_SU'!$B112="","",'CHAM_CONG_THANG'!AV112)</f>
        <v/>
      </c>
      <c r="BM112" s="232">
        <f>IF('DM_NHAN_SU'!$B112="","",'CHAM_CONG_THANG'!AW112)</f>
        <v/>
      </c>
      <c r="BN112" s="232">
        <f>IF('DM_NHAN_SU'!$B112="","",SUM($K112,$BH112:$BJ112))</f>
        <v/>
      </c>
      <c r="BO112" s="224">
        <f>IF('DM_NHAN_SU'!$B112="","",IF($B112="",0,IF($G112="Tháng",IF($I112&gt;0,'DM_NHAN_SU'!$K112*MIN($BH112+$BJ112,MAX($I112-$K112,0))/$I112,0),IF($G112="Ngày",'DM_NHAN_SU'!$K112*SUM($BH112:$BJ112),IF($G112="Giờ",'DM_NHAN_SU'!$K112*SUM($BH112:$BJ112)*$J112,IF($G112="Sản phẩm",'DM_NHAN_SU'!$AH112*SUM($BH112:$BJ112),0))))))</f>
        <v/>
      </c>
      <c r="BP112" s="224">
        <f>IF('DM_NHAN_SU'!$B112="","",IF('THUONG_T13_TET'!$L112="Có",'THUONG_T13_TET'!$I112,0))</f>
        <v/>
      </c>
      <c r="BQ112" s="224">
        <f>IF('DM_NHAN_SU'!$B112="","",IF('THUONG_T13_TET'!$L112="Có",SUM('THUONG_T13_TET'!$J112:$K112),0))</f>
        <v/>
      </c>
      <c r="BR112" s="224">
        <f>IF('DM_NHAN_SU'!$B112="","",'QT_NGHI_VIEC'!AC112)</f>
        <v/>
      </c>
      <c r="BS112" s="224">
        <f>IF('DM_NHAN_SU'!$B112="","",'QT_NGHI_VIEC'!AB112)</f>
        <v/>
      </c>
      <c r="BT112" s="224">
        <f>IF('DM_NHAN_SU'!$B112="","",IF('CHE_DO_BHXH'!$Z112="Có",'CHE_DO_BHXH'!$W112,0))</f>
        <v/>
      </c>
      <c r="BU112" s="224">
        <f>IF('DM_NHAN_SU'!$B112="","",IF('CHE_DO_BHXH'!$Y112="DN trả thay",$BT112,0))</f>
        <v/>
      </c>
      <c r="BV112" s="224">
        <f>IF('DM_NHAN_SU'!$B112="","",IF(OR('DM_NHAN_SU'!$AA112&lt;&gt;"Có",'CHE_DO_BHXH'!$O112&gt;=1,SUM('CHE_DO_BHXH'!$D112,'CHE_DO_BHXH'!$G112,'CHE_DO_BHXH'!$K112)&gt;=24,AND($I112&gt;0,$BM112&gt;=$I112)),0,IF('DM_NHAN_SU'!$AB112="Không",0,IF('DM_NHAN_SU'!$AB112="Nhập tay",'DM_NHAN_SU'!$AC112,IF('DM_NHAN_SU'!$AB112="Theo thực nhận",MIN(MAX($AT112-$AU112-$AV112-$AW112,0)*'THAM_SO'!$M$23,'THAM_SO'!$M$26),MIN($AE112*'THAM_SO'!$M$23,'THAM_SO'!$M$26))))))</f>
        <v/>
      </c>
      <c r="BW112" s="224">
        <f>IF('DM_NHAN_SU'!$B112="","",$AX112+$BU112)</f>
        <v/>
      </c>
    </row>
    <row r="113">
      <c r="A113" s="145">
        <f>IF('DM_NHAN_SU'!$B113="","",IF($B113="","",ROW()-5))</f>
        <v/>
      </c>
      <c r="B113" s="145">
        <f>IF('DM_NHAN_SU'!$B113="","",'DM_NHAN_SU'!B113)</f>
        <v/>
      </c>
      <c r="C113" s="145">
        <f>IF('DM_NHAN_SU'!$B113="","",'DM_NHAN_SU'!C113)</f>
        <v/>
      </c>
      <c r="D113" s="145">
        <f>IF('DM_NHAN_SU'!$B113="","",'DM_NHAN_SU'!D113)</f>
        <v/>
      </c>
      <c r="E113" s="145">
        <f>IF('DM_NHAN_SU'!$B113="","",'DM_NHAN_SU'!E113)</f>
        <v/>
      </c>
      <c r="F113" s="145">
        <f>IF('DM_NHAN_SU'!$B113="","",'DM_NHAN_SU'!I113)</f>
        <v/>
      </c>
      <c r="G113" s="145">
        <f>IF('DM_NHAN_SU'!$B113="","",'DM_NHAN_SU'!J113)</f>
        <v/>
      </c>
      <c r="H113" s="145">
        <f>IF('DM_NHAN_SU'!$B113="","",IF('DM_NHAN_SU'!H113="",'THAM_SO'!$B$11,'DM_NHAN_SU'!H113))</f>
        <v/>
      </c>
      <c r="I113" s="232">
        <f>IF('DM_NHAN_SU'!$B113="","",IF('DM_NHAN_SU'!L113&gt;0,'DM_NHAN_SU'!L113,'THAM_SO'!$B$9))</f>
        <v/>
      </c>
      <c r="J113" s="232">
        <f>IF('DM_NHAN_SU'!$B113="","",IF('DM_NHAN_SU'!M113&gt;0,'DM_NHAN_SU'!M113,'THAM_SO'!$B$10))</f>
        <v/>
      </c>
      <c r="K113" s="232">
        <f>IF('DM_NHAN_SU'!$B113="","",'CHAM_CONG_THANG'!AC113)</f>
        <v/>
      </c>
      <c r="L113" s="232">
        <f>IF('DM_NHAN_SU'!$B113="","",'CHAM_CONG_THANG'!AD113)</f>
        <v/>
      </c>
      <c r="M113" s="232">
        <f>IF('DM_NHAN_SU'!$B113="","",'CHAM_CONG_THANG'!AE113)</f>
        <v/>
      </c>
      <c r="N113" s="232">
        <f>IF('DM_NHAN_SU'!$B113="","",'CHAM_CONG_THANG'!N113)</f>
        <v/>
      </c>
      <c r="O113" s="224">
        <f>IF('DM_NHAN_SU'!$B113="","",IF($B113="","",IF($G113="Tháng",IF($I113&gt;0,'DM_NHAN_SU'!$K113*MIN($K113,$I113)/$I113,0),IF($G113="Ngày",'DM_NHAN_SU'!$K113*$K113,IF($G113="Giờ",'DM_NHAN_SU'!$K113*$L113,IF($G113="Sản phẩm",'DM_NHAN_SU'!$K113*$N113,0))))))</f>
        <v/>
      </c>
      <c r="P113" s="224">
        <f>IF('DM_NHAN_SU'!$B113="","",'CHAM_CONG_THANG'!O113)</f>
        <v/>
      </c>
      <c r="Q113" s="224">
        <f>IF('DM_NHAN_SU'!$B113="","",'CHAM_CONG_THANG'!P113)</f>
        <v/>
      </c>
      <c r="R113" s="224">
        <f>IF('DM_NHAN_SU'!$B113="","",'CHAM_CONG_THANG'!Q113)</f>
        <v/>
      </c>
      <c r="S113" s="224">
        <f>IF('DM_NHAN_SU'!$B113="","",'CHAM_CONG_THANG'!R113)</f>
        <v/>
      </c>
      <c r="T113" s="224">
        <f>IF('DM_NHAN_SU'!$B113="","",'CHAM_CONG_THANG'!S113)</f>
        <v/>
      </c>
      <c r="U113" s="224">
        <f>IF('DM_NHAN_SU'!$B113="","",MIN($T113,'THAM_SO'!$F$6))</f>
        <v/>
      </c>
      <c r="V113" s="224">
        <f>IF('DM_NHAN_SU'!$B113="","",MAX($T113-$U113,0))</f>
        <v/>
      </c>
      <c r="W113" s="224">
        <f>IF('DM_NHAN_SU'!$B113="","",'CHAM_CONG_THANG'!T113)</f>
        <v/>
      </c>
      <c r="X113" s="224">
        <f>IF('DM_NHAN_SU'!$B113="","",'CHAM_CONG_THANG'!U113)</f>
        <v/>
      </c>
      <c r="Y113" s="224">
        <f>IF('DM_NHAN_SU'!$B113="","",IF($B113="",0,IF('DM_NHAN_SU'!$Q113&gt;0,'DM_NHAN_SU'!$Q113,IF($G113="Tháng",IF($I113*$J113&gt;0,'DM_NHAN_SU'!$K113/($I113*$J113),0),IF($G113="Ngày",IF($J113&gt;0,'DM_NHAN_SU'!$K113/$J113,0),IF($G113="Giờ",'DM_NHAN_SU'!$K113,0))))))</f>
        <v/>
      </c>
      <c r="Z113" s="224">
        <f>IF('DM_NHAN_SU'!$B113="","",$Y113*($M113*'THAM_SO'!$C$22+'CHAM_CONG_THANG'!$AF113*'THAM_SO'!$C$19+'CHAM_CONG_THANG'!$AG113*'THAM_SO'!$C$20+'CHAM_CONG_THANG'!$AH113*'THAM_SO'!$C$21+'CHAM_CONG_THANG'!$AI113*'THAM_SO'!$C$23+'CHAM_CONG_THANG'!$AJ113*'THAM_SO'!$C$24+'CHAM_CONG_THANG'!$AK113*'THAM_SO'!$C$25))</f>
        <v/>
      </c>
      <c r="AA113" s="224">
        <f>IF('DM_NHAN_SU'!$B113="","",MAX(0,$Y113*($M113*IF('THAM_SO'!$C$22&gt;='THAM_SO'!$B$22,'THAM_SO'!$B$22,0)+'CHAM_CONG_THANG'!$AF113*IF('THAM_SO'!$C$19&gt;='THAM_SO'!$B$19,'THAM_SO'!$B$19,0)+'CHAM_CONG_THANG'!$AG113*IF('THAM_SO'!$C$20&gt;='THAM_SO'!$B$20,'THAM_SO'!$B$20,0)+'CHAM_CONG_THANG'!$AH113*IF('THAM_SO'!$C$21&gt;='THAM_SO'!$B$21,'THAM_SO'!$B$21,0)+'CHAM_CONG_THANG'!$AI113*IF('THAM_SO'!$C$23&gt;='THAM_SO'!$B$23,'THAM_SO'!$B$23,0)+'CHAM_CONG_THANG'!$AJ113*IF('THAM_SO'!$C$24&gt;='THAM_SO'!$B$24,'THAM_SO'!$B$24,0)+'CHAM_CONG_THANG'!$AK113*IF('THAM_SO'!$C$25&gt;='THAM_SO'!$B$25,'THAM_SO'!$B$25,0))-'CHAM_CONG_THANG'!$V113))</f>
        <v/>
      </c>
      <c r="AB113" s="224">
        <f>IF('DM_NHAN_SU'!$B113="","",MAX($Z113-$AA113,0))</f>
        <v/>
      </c>
      <c r="AC113" s="224">
        <f>IF('DM_NHAN_SU'!$B113="","",$O113+$P113+$Q113+$R113+$S113+$V113+$AB113+$BO113+$BP113+$BQ113+$BR113)</f>
        <v/>
      </c>
      <c r="AD113" s="224">
        <f>IF('DM_NHAN_SU'!$B113="","",'DM_NHAN_SU'!N113+'DM_NHAN_SU'!O113+'DM_NHAN_SU'!P113)</f>
        <v/>
      </c>
      <c r="AE113" s="224">
        <f>IF('DM_NHAN_SU'!$B113="","",IF(OR('DM_NHAN_SU'!$R113&lt;&gt;"Có",'CHAM_CONG_THANG'!$AA113="Có",$BL113&gt;=14,$AD113&lt;=0),0,MIN(MAX($AD113,'THAM_SO'!$M$6),'THAM_SO'!$M$7)))</f>
        <v/>
      </c>
      <c r="AF113" s="224">
        <f>IF('DM_NHAN_SU'!$B113="","",IF(OR('DM_NHAN_SU'!$S113&lt;&gt;"Có",'CHAM_CONG_THANG'!$AA113="Có",$BL113&gt;=14,$AD113&lt;=0),0,MIN(MAX($AD113,VLOOKUP($H113,'THAM_SO'!$L$17:$P$20,4,FALSE)),VLOOKUP($H113,'THAM_SO'!$L$17:$P$20,5,FALSE))))</f>
        <v/>
      </c>
      <c r="AG113" s="224">
        <f>IF('DM_NHAN_SU'!$B113="","",$AE113*'THAM_SO'!$M$8)</f>
        <v/>
      </c>
      <c r="AH113" s="224">
        <f>IF('DM_NHAN_SU'!$B113="","",$AE113*'THAM_SO'!$M$9)</f>
        <v/>
      </c>
      <c r="AI113" s="224">
        <f>IF('DM_NHAN_SU'!$B113="","",$AF113*'THAM_SO'!$M$10)</f>
        <v/>
      </c>
      <c r="AJ113" s="224">
        <f>IF('DM_NHAN_SU'!$B113="","",SUM($AG113:$AI113))</f>
        <v/>
      </c>
      <c r="AK113" s="224">
        <f>IF('DM_NHAN_SU'!$B113="","",IF($B113="",0,'THAM_SO'!$F$4))</f>
        <v/>
      </c>
      <c r="AL113" s="224">
        <f>IF('DM_NHAN_SU'!$B113="","",IF($B113="",0,'DM_NHAN_SU'!$T113*'THAM_SO'!$F$5))</f>
        <v/>
      </c>
      <c r="AM113" s="224">
        <f>IF('DM_NHAN_SU'!$B113="","",'CHAM_CONG_THANG'!W113)</f>
        <v/>
      </c>
      <c r="AN113" s="224">
        <f>IF('DM_NHAN_SU'!$B113="","",MAX($AC113-$AK113-$AL113-$AM113,0))</f>
        <v/>
      </c>
      <c r="AO113" s="224">
        <f>IF('DM_NHAN_SU'!$B113="","",IF($B113="","",IF($F113="Net",IF($AC113&lt;=$AK113+$AL113+$AM113,$AC113+$AJ113,$AJ113+$AK113+$AL113+$AM113+IF($AN113&lt;='THAM_SO'!$J$10,($AN113-'THAM_SO'!$I$10)/(1-'THAM_SO'!$H$10),IF($AN113&lt;='THAM_SO'!$J$11,($AN113-'THAM_SO'!$I$11)/(1-'THAM_SO'!$H$11),IF($AN113&lt;='THAM_SO'!$J$12,($AN113-'THAM_SO'!$I$12)/(1-'THAM_SO'!$H$12),IF($AN113&lt;='THAM_SO'!$J$13,($AN113-'THAM_SO'!$I$13)/(1-'THAM_SO'!$H$13),($AN113-'THAM_SO'!$I$14)/(1-'THAM_SO'!$H$14)))))),$AC113)))</f>
        <v/>
      </c>
      <c r="AP113" s="224">
        <f>IF('DM_NHAN_SU'!$B113="","",$U113+$W113+$X113+$AA113+$BS113)</f>
        <v/>
      </c>
      <c r="AQ113" s="224">
        <f>IF('DM_NHAN_SU'!$B113="","",MAX($AO113-$AJ113-$AK113-$AL113-$AM113,0))</f>
        <v/>
      </c>
      <c r="AR113" s="224">
        <f>IF('DM_NHAN_SU'!$B113="","",IF($AQ113&lt;=0,0,$AQ113*VLOOKUP($AQ113,'THAM_SO'!$F$10:$I$14,3,TRUE)-VLOOKUP($AQ113,'THAM_SO'!$F$10:$I$14,4,TRUE)))</f>
        <v/>
      </c>
      <c r="AS113" s="224">
        <f>IF('DM_NHAN_SU'!$B113="","",$AO113+$AP113)</f>
        <v/>
      </c>
      <c r="AT113" s="224">
        <f>IF('DM_NHAN_SU'!$B113="","",$AS113-$AJ113-$AR113)</f>
        <v/>
      </c>
      <c r="AU113" s="224">
        <f>IF('DM_NHAN_SU'!$B113="","",'CHAM_CONG_THANG'!X113)</f>
        <v/>
      </c>
      <c r="AV113" s="224">
        <f>IF('DM_NHAN_SU'!$B113="","",'CHAM_CONG_THANG'!Y113+'QT_NGHI_VIEC'!AD113)</f>
        <v/>
      </c>
      <c r="AW113" s="224">
        <f>IF('DM_NHAN_SU'!$B113="","",'CHAM_CONG_THANG'!Z113)</f>
        <v/>
      </c>
      <c r="AX113" s="224">
        <f>IF('DM_NHAN_SU'!$B113="","",$AT113-$AU113-$AV113-$AW113-$BV113)</f>
        <v/>
      </c>
      <c r="AY113" s="224">
        <f>IF('DM_NHAN_SU'!$B113="","",$AE113*'THAM_SO'!$M$11)</f>
        <v/>
      </c>
      <c r="AZ113" s="224">
        <f>IF('DM_NHAN_SU'!$B113="","",$AE113*'THAM_SO'!$M$12)</f>
        <v/>
      </c>
      <c r="BA113" s="224">
        <f>IF('DM_NHAN_SU'!$B113="","",$AF113*'THAM_SO'!$M$13)</f>
        <v/>
      </c>
      <c r="BB113" s="224">
        <f>IF('DM_NHAN_SU'!$B113="","",$AE113*'THAM_SO'!$M$14)</f>
        <v/>
      </c>
      <c r="BC113" s="224">
        <f>IF('DM_NHAN_SU'!$B113="","",SUM($AY113:$BB113))</f>
        <v/>
      </c>
      <c r="BD113" s="224">
        <f>IF('DM_NHAN_SU'!$B113="","",$AS113+$BC113)</f>
        <v/>
      </c>
      <c r="BE113" s="224">
        <f>IF('DM_NHAN_SU'!$B113="","",VLOOKUP($H113,'THAM_SO'!$L$17:$P$20,2,FALSE))</f>
        <v/>
      </c>
      <c r="BF113" s="224">
        <f>IF('DM_NHAN_SU'!$B113="","",VLOOKUP($H113,'THAM_SO'!$L$17:$P$20,3,FALSE))</f>
        <v/>
      </c>
      <c r="BG113" s="150">
        <f>IF('DM_NHAN_SU'!$B113="","",IF($B113="","",IF(COUNTIF('DM_NHAN_SU'!$B$6:$B$155,$B113)&gt;1,"Trùng mã NV; ","")&amp;IF(OR($F113="",$G113=""),"Thiếu loại/hình thức lương; ","")&amp;IF('CHAM_CONG_THANG'!$D113="","Chưa chọn nguồn công; ","")&amp;IF(AND('CHAM_CONG_THANG'!$D113="Theo ngày",COUNTIF('CHAM_CONG_NGAY'!$B$6:$B$4655,$B113)=0),"Chưa có chấm công ngày; ","")&amp;IF(OR($I113&lt;=0,$J113&lt;=0),"Thiếu công/giờ chuẩn; ","")&amp;IF(AND($G113="Tháng",'DM_NHAN_SU'!$K113&lt;$BE113),"Lương tháng dưới tối thiểu vùng; ","")&amp;IF(AND($G113="Ngày",'DM_NHAN_SU'!$K113/$J113&lt;$BF113),"Lương ngày quy đổi dưới tối thiểu giờ; ","")&amp;IF(AND($G113="Giờ",'DM_NHAN_SU'!$K113&lt;$BF113),"Lương giờ dưới tối thiểu vùng; ","")&amp;IF(AND($G113="Sản phẩm",$L113&gt;0,$O113/$L113&lt;$BF113),"Lương SP quy đổi dưới tối thiểu giờ; ","")&amp;IF(OR('THAM_SO'!$C$19&lt;'THAM_SO'!$B$19,'THAM_SO'!$C$20&lt;'THAM_SO'!$B$20,'THAM_SO'!$C$21&lt;'THAM_SO'!$B$21,'THAM_SO'!$C$22&lt;'THAM_SO'!$B$22,'THAM_SO'!$C$23&lt;'THAM_SO'!$B$23,'THAM_SO'!$C$24&lt;'THAM_SO'!$B$24,'THAM_SO'!$C$25&lt;'THAM_SO'!$B$25),"Hệ số OT/đêm DN thấp hơn luật; ","")&amp;IF(AND('DM_NHAN_SU'!$R113="Có",$AD113&lt;=0),"Thiếu căn cứ đóng BH; ","")&amp;IF(AND($AD113&gt;0,$AD113&lt;'THAM_SO'!$M$6),"Căn cứ BH dưới sàn – đã nâng sàn; ","")&amp;IF($AD113&gt;'THAM_SO'!$M$7,"Căn cứ BH vượt trần – đã giới hạn; ","")&amp;IF(AND($F113="Net",SUM('CHAM_CONG_THANG'!$AF113:$AK113)&gt;0,'DM_NHAN_SU'!$Q113&lt;=0),"Net có OT nhưng chưa khai lương giờ OT; ","")&amp;IF('CHAM_CONG_THANG'!$V113&gt;$Z113,"Phần OT không miễn lớn hơn tiền OT; ","")&amp;IF(AND($F113="Net",ABS($AT113-$AC113-$AP113)&gt;1),"Lệch quy đổi Net; ","")&amp;IF(AND($BH113&gt;0,'DM_NHAN_SU'!$AD113=""),"Có phép năm nhưng đang tạm dùng 12 ngày; ","")&amp;IF(AND($G113="Sản phẩm",SUM($BH113:$BJ113)&gt;0,'DM_NHAN_SU'!$AH113&lt;=0),"Lương sản phẩm thiếu đơn giá ngày phép/lễ; ","")&amp;IF(AND($BL113&gt;=14,'CHAM_CONG_THANG'!$AA113&lt;&gt;"Có"),"Thai sản từ 14 ngày: file tự dừng đóng BH – kiểm tra hồ sơ; ","")&amp;IF(AND('DM_NHAN_SU'!$AA113="Có",'DM_NHAN_SU'!$AB113=""),"Đoàn viên chưa chọn cách tính đoàn phí; ","")&amp;IF(AND('DM_NHAN_SU'!$AB113="Nhập tay",'DM_NHAN_SU'!$AC113&gt;'THAM_SO'!$M$26),"Đoàn phí nhập tay vượt trần thông dụng; ","")&amp;IF('NGHI_PHEP'!$L113&lt;&gt;"","Phép: "&amp;'NGHI_PHEP'!$L113,"")&amp;IF('CHE_DO_BHXH'!$AA113&lt;&gt;"","BHXH: "&amp;'CHE_DO_BHXH'!$AA113,"")&amp;IF('THUONG_T13_TET'!$O113&lt;&gt;"","Thưởng: "&amp;'THUONG_T13_TET'!$O113,"")&amp;IF('QT_NGHI_VIEC'!$AF113&lt;&gt;"","Nghỉ việc: "&amp;'QT_NGHI_VIEC'!$AF113,"")&amp;IF($AX113&lt;0,"Thực lĩnh âm; ","")&amp;IF(OR('DM_NHAN_SU'!$F113&gt;'THAM_SO'!$B$7,AND('DM_NHAN_SU'!$G113&lt;&gt;"",'DM_NHAN_SU'!$G113&lt;'THAM_SO'!$B$6)),"Ngoài kỳ trả lương; ","")))</f>
        <v/>
      </c>
      <c r="BH113" s="232">
        <f>IF('DM_NHAN_SU'!$B113="","",'CHAM_CONG_THANG'!AR113)</f>
        <v/>
      </c>
      <c r="BI113" s="232">
        <f>IF('DM_NHAN_SU'!$B113="","",'CHAM_CONG_THANG'!AS113)</f>
        <v/>
      </c>
      <c r="BJ113" s="232">
        <f>IF('DM_NHAN_SU'!$B113="","",'CHAM_CONG_THANG'!AT113)</f>
        <v/>
      </c>
      <c r="BK113" s="232">
        <f>IF('DM_NHAN_SU'!$B113="","",'CHAM_CONG_THANG'!AU113)</f>
        <v/>
      </c>
      <c r="BL113" s="232">
        <f>IF('DM_NHAN_SU'!$B113="","",'CHAM_CONG_THANG'!AV113)</f>
        <v/>
      </c>
      <c r="BM113" s="232">
        <f>IF('DM_NHAN_SU'!$B113="","",'CHAM_CONG_THANG'!AW113)</f>
        <v/>
      </c>
      <c r="BN113" s="232">
        <f>IF('DM_NHAN_SU'!$B113="","",SUM($K113,$BH113:$BJ113))</f>
        <v/>
      </c>
      <c r="BO113" s="224">
        <f>IF('DM_NHAN_SU'!$B113="","",IF($B113="",0,IF($G113="Tháng",IF($I113&gt;0,'DM_NHAN_SU'!$K113*MIN($BH113+$BJ113,MAX($I113-$K113,0))/$I113,0),IF($G113="Ngày",'DM_NHAN_SU'!$K113*SUM($BH113:$BJ113),IF($G113="Giờ",'DM_NHAN_SU'!$K113*SUM($BH113:$BJ113)*$J113,IF($G113="Sản phẩm",'DM_NHAN_SU'!$AH113*SUM($BH113:$BJ113),0))))))</f>
        <v/>
      </c>
      <c r="BP113" s="224">
        <f>IF('DM_NHAN_SU'!$B113="","",IF('THUONG_T13_TET'!$L113="Có",'THUONG_T13_TET'!$I113,0))</f>
        <v/>
      </c>
      <c r="BQ113" s="224">
        <f>IF('DM_NHAN_SU'!$B113="","",IF('THUONG_T13_TET'!$L113="Có",SUM('THUONG_T13_TET'!$J113:$K113),0))</f>
        <v/>
      </c>
      <c r="BR113" s="224">
        <f>IF('DM_NHAN_SU'!$B113="","",'QT_NGHI_VIEC'!AC113)</f>
        <v/>
      </c>
      <c r="BS113" s="224">
        <f>IF('DM_NHAN_SU'!$B113="","",'QT_NGHI_VIEC'!AB113)</f>
        <v/>
      </c>
      <c r="BT113" s="224">
        <f>IF('DM_NHAN_SU'!$B113="","",IF('CHE_DO_BHXH'!$Z113="Có",'CHE_DO_BHXH'!$W113,0))</f>
        <v/>
      </c>
      <c r="BU113" s="224">
        <f>IF('DM_NHAN_SU'!$B113="","",IF('CHE_DO_BHXH'!$Y113="DN trả thay",$BT113,0))</f>
        <v/>
      </c>
      <c r="BV113" s="224">
        <f>IF('DM_NHAN_SU'!$B113="","",IF(OR('DM_NHAN_SU'!$AA113&lt;&gt;"Có",'CHE_DO_BHXH'!$O113&gt;=1,SUM('CHE_DO_BHXH'!$D113,'CHE_DO_BHXH'!$G113,'CHE_DO_BHXH'!$K113)&gt;=24,AND($I113&gt;0,$BM113&gt;=$I113)),0,IF('DM_NHAN_SU'!$AB113="Không",0,IF('DM_NHAN_SU'!$AB113="Nhập tay",'DM_NHAN_SU'!$AC113,IF('DM_NHAN_SU'!$AB113="Theo thực nhận",MIN(MAX($AT113-$AU113-$AV113-$AW113,0)*'THAM_SO'!$M$23,'THAM_SO'!$M$26),MIN($AE113*'THAM_SO'!$M$23,'THAM_SO'!$M$26))))))</f>
        <v/>
      </c>
      <c r="BW113" s="224">
        <f>IF('DM_NHAN_SU'!$B113="","",$AX113+$BU113)</f>
        <v/>
      </c>
    </row>
    <row r="114">
      <c r="A114" s="145">
        <f>IF('DM_NHAN_SU'!$B114="","",IF($B114="","",ROW()-5))</f>
        <v/>
      </c>
      <c r="B114" s="145">
        <f>IF('DM_NHAN_SU'!$B114="","",'DM_NHAN_SU'!B114)</f>
        <v/>
      </c>
      <c r="C114" s="145">
        <f>IF('DM_NHAN_SU'!$B114="","",'DM_NHAN_SU'!C114)</f>
        <v/>
      </c>
      <c r="D114" s="145">
        <f>IF('DM_NHAN_SU'!$B114="","",'DM_NHAN_SU'!D114)</f>
        <v/>
      </c>
      <c r="E114" s="145">
        <f>IF('DM_NHAN_SU'!$B114="","",'DM_NHAN_SU'!E114)</f>
        <v/>
      </c>
      <c r="F114" s="145">
        <f>IF('DM_NHAN_SU'!$B114="","",'DM_NHAN_SU'!I114)</f>
        <v/>
      </c>
      <c r="G114" s="145">
        <f>IF('DM_NHAN_SU'!$B114="","",'DM_NHAN_SU'!J114)</f>
        <v/>
      </c>
      <c r="H114" s="145">
        <f>IF('DM_NHAN_SU'!$B114="","",IF('DM_NHAN_SU'!H114="",'THAM_SO'!$B$11,'DM_NHAN_SU'!H114))</f>
        <v/>
      </c>
      <c r="I114" s="232">
        <f>IF('DM_NHAN_SU'!$B114="","",IF('DM_NHAN_SU'!L114&gt;0,'DM_NHAN_SU'!L114,'THAM_SO'!$B$9))</f>
        <v/>
      </c>
      <c r="J114" s="232">
        <f>IF('DM_NHAN_SU'!$B114="","",IF('DM_NHAN_SU'!M114&gt;0,'DM_NHAN_SU'!M114,'THAM_SO'!$B$10))</f>
        <v/>
      </c>
      <c r="K114" s="232">
        <f>IF('DM_NHAN_SU'!$B114="","",'CHAM_CONG_THANG'!AC114)</f>
        <v/>
      </c>
      <c r="L114" s="232">
        <f>IF('DM_NHAN_SU'!$B114="","",'CHAM_CONG_THANG'!AD114)</f>
        <v/>
      </c>
      <c r="M114" s="232">
        <f>IF('DM_NHAN_SU'!$B114="","",'CHAM_CONG_THANG'!AE114)</f>
        <v/>
      </c>
      <c r="N114" s="232">
        <f>IF('DM_NHAN_SU'!$B114="","",'CHAM_CONG_THANG'!N114)</f>
        <v/>
      </c>
      <c r="O114" s="224">
        <f>IF('DM_NHAN_SU'!$B114="","",IF($B114="","",IF($G114="Tháng",IF($I114&gt;0,'DM_NHAN_SU'!$K114*MIN($K114,$I114)/$I114,0),IF($G114="Ngày",'DM_NHAN_SU'!$K114*$K114,IF($G114="Giờ",'DM_NHAN_SU'!$K114*$L114,IF($G114="Sản phẩm",'DM_NHAN_SU'!$K114*$N114,0))))))</f>
        <v/>
      </c>
      <c r="P114" s="224">
        <f>IF('DM_NHAN_SU'!$B114="","",'CHAM_CONG_THANG'!O114)</f>
        <v/>
      </c>
      <c r="Q114" s="224">
        <f>IF('DM_NHAN_SU'!$B114="","",'CHAM_CONG_THANG'!P114)</f>
        <v/>
      </c>
      <c r="R114" s="224">
        <f>IF('DM_NHAN_SU'!$B114="","",'CHAM_CONG_THANG'!Q114)</f>
        <v/>
      </c>
      <c r="S114" s="224">
        <f>IF('DM_NHAN_SU'!$B114="","",'CHAM_CONG_THANG'!R114)</f>
        <v/>
      </c>
      <c r="T114" s="224">
        <f>IF('DM_NHAN_SU'!$B114="","",'CHAM_CONG_THANG'!S114)</f>
        <v/>
      </c>
      <c r="U114" s="224">
        <f>IF('DM_NHAN_SU'!$B114="","",MIN($T114,'THAM_SO'!$F$6))</f>
        <v/>
      </c>
      <c r="V114" s="224">
        <f>IF('DM_NHAN_SU'!$B114="","",MAX($T114-$U114,0))</f>
        <v/>
      </c>
      <c r="W114" s="224">
        <f>IF('DM_NHAN_SU'!$B114="","",'CHAM_CONG_THANG'!T114)</f>
        <v/>
      </c>
      <c r="X114" s="224">
        <f>IF('DM_NHAN_SU'!$B114="","",'CHAM_CONG_THANG'!U114)</f>
        <v/>
      </c>
      <c r="Y114" s="224">
        <f>IF('DM_NHAN_SU'!$B114="","",IF($B114="",0,IF('DM_NHAN_SU'!$Q114&gt;0,'DM_NHAN_SU'!$Q114,IF($G114="Tháng",IF($I114*$J114&gt;0,'DM_NHAN_SU'!$K114/($I114*$J114),0),IF($G114="Ngày",IF($J114&gt;0,'DM_NHAN_SU'!$K114/$J114,0),IF($G114="Giờ",'DM_NHAN_SU'!$K114,0))))))</f>
        <v/>
      </c>
      <c r="Z114" s="224">
        <f>IF('DM_NHAN_SU'!$B114="","",$Y114*($M114*'THAM_SO'!$C$22+'CHAM_CONG_THANG'!$AF114*'THAM_SO'!$C$19+'CHAM_CONG_THANG'!$AG114*'THAM_SO'!$C$20+'CHAM_CONG_THANG'!$AH114*'THAM_SO'!$C$21+'CHAM_CONG_THANG'!$AI114*'THAM_SO'!$C$23+'CHAM_CONG_THANG'!$AJ114*'THAM_SO'!$C$24+'CHAM_CONG_THANG'!$AK114*'THAM_SO'!$C$25))</f>
        <v/>
      </c>
      <c r="AA114" s="224">
        <f>IF('DM_NHAN_SU'!$B114="","",MAX(0,$Y114*($M114*IF('THAM_SO'!$C$22&gt;='THAM_SO'!$B$22,'THAM_SO'!$B$22,0)+'CHAM_CONG_THANG'!$AF114*IF('THAM_SO'!$C$19&gt;='THAM_SO'!$B$19,'THAM_SO'!$B$19,0)+'CHAM_CONG_THANG'!$AG114*IF('THAM_SO'!$C$20&gt;='THAM_SO'!$B$20,'THAM_SO'!$B$20,0)+'CHAM_CONG_THANG'!$AH114*IF('THAM_SO'!$C$21&gt;='THAM_SO'!$B$21,'THAM_SO'!$B$21,0)+'CHAM_CONG_THANG'!$AI114*IF('THAM_SO'!$C$23&gt;='THAM_SO'!$B$23,'THAM_SO'!$B$23,0)+'CHAM_CONG_THANG'!$AJ114*IF('THAM_SO'!$C$24&gt;='THAM_SO'!$B$24,'THAM_SO'!$B$24,0)+'CHAM_CONG_THANG'!$AK114*IF('THAM_SO'!$C$25&gt;='THAM_SO'!$B$25,'THAM_SO'!$B$25,0))-'CHAM_CONG_THANG'!$V114))</f>
        <v/>
      </c>
      <c r="AB114" s="224">
        <f>IF('DM_NHAN_SU'!$B114="","",MAX($Z114-$AA114,0))</f>
        <v/>
      </c>
      <c r="AC114" s="224">
        <f>IF('DM_NHAN_SU'!$B114="","",$O114+$P114+$Q114+$R114+$S114+$V114+$AB114+$BO114+$BP114+$BQ114+$BR114)</f>
        <v/>
      </c>
      <c r="AD114" s="224">
        <f>IF('DM_NHAN_SU'!$B114="","",'DM_NHAN_SU'!N114+'DM_NHAN_SU'!O114+'DM_NHAN_SU'!P114)</f>
        <v/>
      </c>
      <c r="AE114" s="224">
        <f>IF('DM_NHAN_SU'!$B114="","",IF(OR('DM_NHAN_SU'!$R114&lt;&gt;"Có",'CHAM_CONG_THANG'!$AA114="Có",$BL114&gt;=14,$AD114&lt;=0),0,MIN(MAX($AD114,'THAM_SO'!$M$6),'THAM_SO'!$M$7)))</f>
        <v/>
      </c>
      <c r="AF114" s="224">
        <f>IF('DM_NHAN_SU'!$B114="","",IF(OR('DM_NHAN_SU'!$S114&lt;&gt;"Có",'CHAM_CONG_THANG'!$AA114="Có",$BL114&gt;=14,$AD114&lt;=0),0,MIN(MAX($AD114,VLOOKUP($H114,'THAM_SO'!$L$17:$P$20,4,FALSE)),VLOOKUP($H114,'THAM_SO'!$L$17:$P$20,5,FALSE))))</f>
        <v/>
      </c>
      <c r="AG114" s="224">
        <f>IF('DM_NHAN_SU'!$B114="","",$AE114*'THAM_SO'!$M$8)</f>
        <v/>
      </c>
      <c r="AH114" s="224">
        <f>IF('DM_NHAN_SU'!$B114="","",$AE114*'THAM_SO'!$M$9)</f>
        <v/>
      </c>
      <c r="AI114" s="224">
        <f>IF('DM_NHAN_SU'!$B114="","",$AF114*'THAM_SO'!$M$10)</f>
        <v/>
      </c>
      <c r="AJ114" s="224">
        <f>IF('DM_NHAN_SU'!$B114="","",SUM($AG114:$AI114))</f>
        <v/>
      </c>
      <c r="AK114" s="224">
        <f>IF('DM_NHAN_SU'!$B114="","",IF($B114="",0,'THAM_SO'!$F$4))</f>
        <v/>
      </c>
      <c r="AL114" s="224">
        <f>IF('DM_NHAN_SU'!$B114="","",IF($B114="",0,'DM_NHAN_SU'!$T114*'THAM_SO'!$F$5))</f>
        <v/>
      </c>
      <c r="AM114" s="224">
        <f>IF('DM_NHAN_SU'!$B114="","",'CHAM_CONG_THANG'!W114)</f>
        <v/>
      </c>
      <c r="AN114" s="224">
        <f>IF('DM_NHAN_SU'!$B114="","",MAX($AC114-$AK114-$AL114-$AM114,0))</f>
        <v/>
      </c>
      <c r="AO114" s="224">
        <f>IF('DM_NHAN_SU'!$B114="","",IF($B114="","",IF($F114="Net",IF($AC114&lt;=$AK114+$AL114+$AM114,$AC114+$AJ114,$AJ114+$AK114+$AL114+$AM114+IF($AN114&lt;='THAM_SO'!$J$10,($AN114-'THAM_SO'!$I$10)/(1-'THAM_SO'!$H$10),IF($AN114&lt;='THAM_SO'!$J$11,($AN114-'THAM_SO'!$I$11)/(1-'THAM_SO'!$H$11),IF($AN114&lt;='THAM_SO'!$J$12,($AN114-'THAM_SO'!$I$12)/(1-'THAM_SO'!$H$12),IF($AN114&lt;='THAM_SO'!$J$13,($AN114-'THAM_SO'!$I$13)/(1-'THAM_SO'!$H$13),($AN114-'THAM_SO'!$I$14)/(1-'THAM_SO'!$H$14)))))),$AC114)))</f>
        <v/>
      </c>
      <c r="AP114" s="224">
        <f>IF('DM_NHAN_SU'!$B114="","",$U114+$W114+$X114+$AA114+$BS114)</f>
        <v/>
      </c>
      <c r="AQ114" s="224">
        <f>IF('DM_NHAN_SU'!$B114="","",MAX($AO114-$AJ114-$AK114-$AL114-$AM114,0))</f>
        <v/>
      </c>
      <c r="AR114" s="224">
        <f>IF('DM_NHAN_SU'!$B114="","",IF($AQ114&lt;=0,0,$AQ114*VLOOKUP($AQ114,'THAM_SO'!$F$10:$I$14,3,TRUE)-VLOOKUP($AQ114,'THAM_SO'!$F$10:$I$14,4,TRUE)))</f>
        <v/>
      </c>
      <c r="AS114" s="224">
        <f>IF('DM_NHAN_SU'!$B114="","",$AO114+$AP114)</f>
        <v/>
      </c>
      <c r="AT114" s="224">
        <f>IF('DM_NHAN_SU'!$B114="","",$AS114-$AJ114-$AR114)</f>
        <v/>
      </c>
      <c r="AU114" s="224">
        <f>IF('DM_NHAN_SU'!$B114="","",'CHAM_CONG_THANG'!X114)</f>
        <v/>
      </c>
      <c r="AV114" s="224">
        <f>IF('DM_NHAN_SU'!$B114="","",'CHAM_CONG_THANG'!Y114+'QT_NGHI_VIEC'!AD114)</f>
        <v/>
      </c>
      <c r="AW114" s="224">
        <f>IF('DM_NHAN_SU'!$B114="","",'CHAM_CONG_THANG'!Z114)</f>
        <v/>
      </c>
      <c r="AX114" s="224">
        <f>IF('DM_NHAN_SU'!$B114="","",$AT114-$AU114-$AV114-$AW114-$BV114)</f>
        <v/>
      </c>
      <c r="AY114" s="224">
        <f>IF('DM_NHAN_SU'!$B114="","",$AE114*'THAM_SO'!$M$11)</f>
        <v/>
      </c>
      <c r="AZ114" s="224">
        <f>IF('DM_NHAN_SU'!$B114="","",$AE114*'THAM_SO'!$M$12)</f>
        <v/>
      </c>
      <c r="BA114" s="224">
        <f>IF('DM_NHAN_SU'!$B114="","",$AF114*'THAM_SO'!$M$13)</f>
        <v/>
      </c>
      <c r="BB114" s="224">
        <f>IF('DM_NHAN_SU'!$B114="","",$AE114*'THAM_SO'!$M$14)</f>
        <v/>
      </c>
      <c r="BC114" s="224">
        <f>IF('DM_NHAN_SU'!$B114="","",SUM($AY114:$BB114))</f>
        <v/>
      </c>
      <c r="BD114" s="224">
        <f>IF('DM_NHAN_SU'!$B114="","",$AS114+$BC114)</f>
        <v/>
      </c>
      <c r="BE114" s="224">
        <f>IF('DM_NHAN_SU'!$B114="","",VLOOKUP($H114,'THAM_SO'!$L$17:$P$20,2,FALSE))</f>
        <v/>
      </c>
      <c r="BF114" s="224">
        <f>IF('DM_NHAN_SU'!$B114="","",VLOOKUP($H114,'THAM_SO'!$L$17:$P$20,3,FALSE))</f>
        <v/>
      </c>
      <c r="BG114" s="150">
        <f>IF('DM_NHAN_SU'!$B114="","",IF($B114="","",IF(COUNTIF('DM_NHAN_SU'!$B$6:$B$155,$B114)&gt;1,"Trùng mã NV; ","")&amp;IF(OR($F114="",$G114=""),"Thiếu loại/hình thức lương; ","")&amp;IF('CHAM_CONG_THANG'!$D114="","Chưa chọn nguồn công; ","")&amp;IF(AND('CHAM_CONG_THANG'!$D114="Theo ngày",COUNTIF('CHAM_CONG_NGAY'!$B$6:$B$4655,$B114)=0),"Chưa có chấm công ngày; ","")&amp;IF(OR($I114&lt;=0,$J114&lt;=0),"Thiếu công/giờ chuẩn; ","")&amp;IF(AND($G114="Tháng",'DM_NHAN_SU'!$K114&lt;$BE114),"Lương tháng dưới tối thiểu vùng; ","")&amp;IF(AND($G114="Ngày",'DM_NHAN_SU'!$K114/$J114&lt;$BF114),"Lương ngày quy đổi dưới tối thiểu giờ; ","")&amp;IF(AND($G114="Giờ",'DM_NHAN_SU'!$K114&lt;$BF114),"Lương giờ dưới tối thiểu vùng; ","")&amp;IF(AND($G114="Sản phẩm",$L114&gt;0,$O114/$L114&lt;$BF114),"Lương SP quy đổi dưới tối thiểu giờ; ","")&amp;IF(OR('THAM_SO'!$C$19&lt;'THAM_SO'!$B$19,'THAM_SO'!$C$20&lt;'THAM_SO'!$B$20,'THAM_SO'!$C$21&lt;'THAM_SO'!$B$21,'THAM_SO'!$C$22&lt;'THAM_SO'!$B$22,'THAM_SO'!$C$23&lt;'THAM_SO'!$B$23,'THAM_SO'!$C$24&lt;'THAM_SO'!$B$24,'THAM_SO'!$C$25&lt;'THAM_SO'!$B$25),"Hệ số OT/đêm DN thấp hơn luật; ","")&amp;IF(AND('DM_NHAN_SU'!$R114="Có",$AD114&lt;=0),"Thiếu căn cứ đóng BH; ","")&amp;IF(AND($AD114&gt;0,$AD114&lt;'THAM_SO'!$M$6),"Căn cứ BH dưới sàn – đã nâng sàn; ","")&amp;IF($AD114&gt;'THAM_SO'!$M$7,"Căn cứ BH vượt trần – đã giới hạn; ","")&amp;IF(AND($F114="Net",SUM('CHAM_CONG_THANG'!$AF114:$AK114)&gt;0,'DM_NHAN_SU'!$Q114&lt;=0),"Net có OT nhưng chưa khai lương giờ OT; ","")&amp;IF('CHAM_CONG_THANG'!$V114&gt;$Z114,"Phần OT không miễn lớn hơn tiền OT; ","")&amp;IF(AND($F114="Net",ABS($AT114-$AC114-$AP114)&gt;1),"Lệch quy đổi Net; ","")&amp;IF(AND($BH114&gt;0,'DM_NHAN_SU'!$AD114=""),"Có phép năm nhưng đang tạm dùng 12 ngày; ","")&amp;IF(AND($G114="Sản phẩm",SUM($BH114:$BJ114)&gt;0,'DM_NHAN_SU'!$AH114&lt;=0),"Lương sản phẩm thiếu đơn giá ngày phép/lễ; ","")&amp;IF(AND($BL114&gt;=14,'CHAM_CONG_THANG'!$AA114&lt;&gt;"Có"),"Thai sản từ 14 ngày: file tự dừng đóng BH – kiểm tra hồ sơ; ","")&amp;IF(AND('DM_NHAN_SU'!$AA114="Có",'DM_NHAN_SU'!$AB114=""),"Đoàn viên chưa chọn cách tính đoàn phí; ","")&amp;IF(AND('DM_NHAN_SU'!$AB114="Nhập tay",'DM_NHAN_SU'!$AC114&gt;'THAM_SO'!$M$26),"Đoàn phí nhập tay vượt trần thông dụng; ","")&amp;IF('NGHI_PHEP'!$L114&lt;&gt;"","Phép: "&amp;'NGHI_PHEP'!$L114,"")&amp;IF('CHE_DO_BHXH'!$AA114&lt;&gt;"","BHXH: "&amp;'CHE_DO_BHXH'!$AA114,"")&amp;IF('THUONG_T13_TET'!$O114&lt;&gt;"","Thưởng: "&amp;'THUONG_T13_TET'!$O114,"")&amp;IF('QT_NGHI_VIEC'!$AF114&lt;&gt;"","Nghỉ việc: "&amp;'QT_NGHI_VIEC'!$AF114,"")&amp;IF($AX114&lt;0,"Thực lĩnh âm; ","")&amp;IF(OR('DM_NHAN_SU'!$F114&gt;'THAM_SO'!$B$7,AND('DM_NHAN_SU'!$G114&lt;&gt;"",'DM_NHAN_SU'!$G114&lt;'THAM_SO'!$B$6)),"Ngoài kỳ trả lương; ","")))</f>
        <v/>
      </c>
      <c r="BH114" s="232">
        <f>IF('DM_NHAN_SU'!$B114="","",'CHAM_CONG_THANG'!AR114)</f>
        <v/>
      </c>
      <c r="BI114" s="232">
        <f>IF('DM_NHAN_SU'!$B114="","",'CHAM_CONG_THANG'!AS114)</f>
        <v/>
      </c>
      <c r="BJ114" s="232">
        <f>IF('DM_NHAN_SU'!$B114="","",'CHAM_CONG_THANG'!AT114)</f>
        <v/>
      </c>
      <c r="BK114" s="232">
        <f>IF('DM_NHAN_SU'!$B114="","",'CHAM_CONG_THANG'!AU114)</f>
        <v/>
      </c>
      <c r="BL114" s="232">
        <f>IF('DM_NHAN_SU'!$B114="","",'CHAM_CONG_THANG'!AV114)</f>
        <v/>
      </c>
      <c r="BM114" s="232">
        <f>IF('DM_NHAN_SU'!$B114="","",'CHAM_CONG_THANG'!AW114)</f>
        <v/>
      </c>
      <c r="BN114" s="232">
        <f>IF('DM_NHAN_SU'!$B114="","",SUM($K114,$BH114:$BJ114))</f>
        <v/>
      </c>
      <c r="BO114" s="224">
        <f>IF('DM_NHAN_SU'!$B114="","",IF($B114="",0,IF($G114="Tháng",IF($I114&gt;0,'DM_NHAN_SU'!$K114*MIN($BH114+$BJ114,MAX($I114-$K114,0))/$I114,0),IF($G114="Ngày",'DM_NHAN_SU'!$K114*SUM($BH114:$BJ114),IF($G114="Giờ",'DM_NHAN_SU'!$K114*SUM($BH114:$BJ114)*$J114,IF($G114="Sản phẩm",'DM_NHAN_SU'!$AH114*SUM($BH114:$BJ114),0))))))</f>
        <v/>
      </c>
      <c r="BP114" s="224">
        <f>IF('DM_NHAN_SU'!$B114="","",IF('THUONG_T13_TET'!$L114="Có",'THUONG_T13_TET'!$I114,0))</f>
        <v/>
      </c>
      <c r="BQ114" s="224">
        <f>IF('DM_NHAN_SU'!$B114="","",IF('THUONG_T13_TET'!$L114="Có",SUM('THUONG_T13_TET'!$J114:$K114),0))</f>
        <v/>
      </c>
      <c r="BR114" s="224">
        <f>IF('DM_NHAN_SU'!$B114="","",'QT_NGHI_VIEC'!AC114)</f>
        <v/>
      </c>
      <c r="BS114" s="224">
        <f>IF('DM_NHAN_SU'!$B114="","",'QT_NGHI_VIEC'!AB114)</f>
        <v/>
      </c>
      <c r="BT114" s="224">
        <f>IF('DM_NHAN_SU'!$B114="","",IF('CHE_DO_BHXH'!$Z114="Có",'CHE_DO_BHXH'!$W114,0))</f>
        <v/>
      </c>
      <c r="BU114" s="224">
        <f>IF('DM_NHAN_SU'!$B114="","",IF('CHE_DO_BHXH'!$Y114="DN trả thay",$BT114,0))</f>
        <v/>
      </c>
      <c r="BV114" s="224">
        <f>IF('DM_NHAN_SU'!$B114="","",IF(OR('DM_NHAN_SU'!$AA114&lt;&gt;"Có",'CHE_DO_BHXH'!$O114&gt;=1,SUM('CHE_DO_BHXH'!$D114,'CHE_DO_BHXH'!$G114,'CHE_DO_BHXH'!$K114)&gt;=24,AND($I114&gt;0,$BM114&gt;=$I114)),0,IF('DM_NHAN_SU'!$AB114="Không",0,IF('DM_NHAN_SU'!$AB114="Nhập tay",'DM_NHAN_SU'!$AC114,IF('DM_NHAN_SU'!$AB114="Theo thực nhận",MIN(MAX($AT114-$AU114-$AV114-$AW114,0)*'THAM_SO'!$M$23,'THAM_SO'!$M$26),MIN($AE114*'THAM_SO'!$M$23,'THAM_SO'!$M$26))))))</f>
        <v/>
      </c>
      <c r="BW114" s="224">
        <f>IF('DM_NHAN_SU'!$B114="","",$AX114+$BU114)</f>
        <v/>
      </c>
    </row>
    <row r="115">
      <c r="A115" s="145">
        <f>IF('DM_NHAN_SU'!$B115="","",IF($B115="","",ROW()-5))</f>
        <v/>
      </c>
      <c r="B115" s="145">
        <f>IF('DM_NHAN_SU'!$B115="","",'DM_NHAN_SU'!B115)</f>
        <v/>
      </c>
      <c r="C115" s="145">
        <f>IF('DM_NHAN_SU'!$B115="","",'DM_NHAN_SU'!C115)</f>
        <v/>
      </c>
      <c r="D115" s="145">
        <f>IF('DM_NHAN_SU'!$B115="","",'DM_NHAN_SU'!D115)</f>
        <v/>
      </c>
      <c r="E115" s="145">
        <f>IF('DM_NHAN_SU'!$B115="","",'DM_NHAN_SU'!E115)</f>
        <v/>
      </c>
      <c r="F115" s="145">
        <f>IF('DM_NHAN_SU'!$B115="","",'DM_NHAN_SU'!I115)</f>
        <v/>
      </c>
      <c r="G115" s="145">
        <f>IF('DM_NHAN_SU'!$B115="","",'DM_NHAN_SU'!J115)</f>
        <v/>
      </c>
      <c r="H115" s="145">
        <f>IF('DM_NHAN_SU'!$B115="","",IF('DM_NHAN_SU'!H115="",'THAM_SO'!$B$11,'DM_NHAN_SU'!H115))</f>
        <v/>
      </c>
      <c r="I115" s="232">
        <f>IF('DM_NHAN_SU'!$B115="","",IF('DM_NHAN_SU'!L115&gt;0,'DM_NHAN_SU'!L115,'THAM_SO'!$B$9))</f>
        <v/>
      </c>
      <c r="J115" s="232">
        <f>IF('DM_NHAN_SU'!$B115="","",IF('DM_NHAN_SU'!M115&gt;0,'DM_NHAN_SU'!M115,'THAM_SO'!$B$10))</f>
        <v/>
      </c>
      <c r="K115" s="232">
        <f>IF('DM_NHAN_SU'!$B115="","",'CHAM_CONG_THANG'!AC115)</f>
        <v/>
      </c>
      <c r="L115" s="232">
        <f>IF('DM_NHAN_SU'!$B115="","",'CHAM_CONG_THANG'!AD115)</f>
        <v/>
      </c>
      <c r="M115" s="232">
        <f>IF('DM_NHAN_SU'!$B115="","",'CHAM_CONG_THANG'!AE115)</f>
        <v/>
      </c>
      <c r="N115" s="232">
        <f>IF('DM_NHAN_SU'!$B115="","",'CHAM_CONG_THANG'!N115)</f>
        <v/>
      </c>
      <c r="O115" s="224">
        <f>IF('DM_NHAN_SU'!$B115="","",IF($B115="","",IF($G115="Tháng",IF($I115&gt;0,'DM_NHAN_SU'!$K115*MIN($K115,$I115)/$I115,0),IF($G115="Ngày",'DM_NHAN_SU'!$K115*$K115,IF($G115="Giờ",'DM_NHAN_SU'!$K115*$L115,IF($G115="Sản phẩm",'DM_NHAN_SU'!$K115*$N115,0))))))</f>
        <v/>
      </c>
      <c r="P115" s="224">
        <f>IF('DM_NHAN_SU'!$B115="","",'CHAM_CONG_THANG'!O115)</f>
        <v/>
      </c>
      <c r="Q115" s="224">
        <f>IF('DM_NHAN_SU'!$B115="","",'CHAM_CONG_THANG'!P115)</f>
        <v/>
      </c>
      <c r="R115" s="224">
        <f>IF('DM_NHAN_SU'!$B115="","",'CHAM_CONG_THANG'!Q115)</f>
        <v/>
      </c>
      <c r="S115" s="224">
        <f>IF('DM_NHAN_SU'!$B115="","",'CHAM_CONG_THANG'!R115)</f>
        <v/>
      </c>
      <c r="T115" s="224">
        <f>IF('DM_NHAN_SU'!$B115="","",'CHAM_CONG_THANG'!S115)</f>
        <v/>
      </c>
      <c r="U115" s="224">
        <f>IF('DM_NHAN_SU'!$B115="","",MIN($T115,'THAM_SO'!$F$6))</f>
        <v/>
      </c>
      <c r="V115" s="224">
        <f>IF('DM_NHAN_SU'!$B115="","",MAX($T115-$U115,0))</f>
        <v/>
      </c>
      <c r="W115" s="224">
        <f>IF('DM_NHAN_SU'!$B115="","",'CHAM_CONG_THANG'!T115)</f>
        <v/>
      </c>
      <c r="X115" s="224">
        <f>IF('DM_NHAN_SU'!$B115="","",'CHAM_CONG_THANG'!U115)</f>
        <v/>
      </c>
      <c r="Y115" s="224">
        <f>IF('DM_NHAN_SU'!$B115="","",IF($B115="",0,IF('DM_NHAN_SU'!$Q115&gt;0,'DM_NHAN_SU'!$Q115,IF($G115="Tháng",IF($I115*$J115&gt;0,'DM_NHAN_SU'!$K115/($I115*$J115),0),IF($G115="Ngày",IF($J115&gt;0,'DM_NHAN_SU'!$K115/$J115,0),IF($G115="Giờ",'DM_NHAN_SU'!$K115,0))))))</f>
        <v/>
      </c>
      <c r="Z115" s="224">
        <f>IF('DM_NHAN_SU'!$B115="","",$Y115*($M115*'THAM_SO'!$C$22+'CHAM_CONG_THANG'!$AF115*'THAM_SO'!$C$19+'CHAM_CONG_THANG'!$AG115*'THAM_SO'!$C$20+'CHAM_CONG_THANG'!$AH115*'THAM_SO'!$C$21+'CHAM_CONG_THANG'!$AI115*'THAM_SO'!$C$23+'CHAM_CONG_THANG'!$AJ115*'THAM_SO'!$C$24+'CHAM_CONG_THANG'!$AK115*'THAM_SO'!$C$25))</f>
        <v/>
      </c>
      <c r="AA115" s="224">
        <f>IF('DM_NHAN_SU'!$B115="","",MAX(0,$Y115*($M115*IF('THAM_SO'!$C$22&gt;='THAM_SO'!$B$22,'THAM_SO'!$B$22,0)+'CHAM_CONG_THANG'!$AF115*IF('THAM_SO'!$C$19&gt;='THAM_SO'!$B$19,'THAM_SO'!$B$19,0)+'CHAM_CONG_THANG'!$AG115*IF('THAM_SO'!$C$20&gt;='THAM_SO'!$B$20,'THAM_SO'!$B$20,0)+'CHAM_CONG_THANG'!$AH115*IF('THAM_SO'!$C$21&gt;='THAM_SO'!$B$21,'THAM_SO'!$B$21,0)+'CHAM_CONG_THANG'!$AI115*IF('THAM_SO'!$C$23&gt;='THAM_SO'!$B$23,'THAM_SO'!$B$23,0)+'CHAM_CONG_THANG'!$AJ115*IF('THAM_SO'!$C$24&gt;='THAM_SO'!$B$24,'THAM_SO'!$B$24,0)+'CHAM_CONG_THANG'!$AK115*IF('THAM_SO'!$C$25&gt;='THAM_SO'!$B$25,'THAM_SO'!$B$25,0))-'CHAM_CONG_THANG'!$V115))</f>
        <v/>
      </c>
      <c r="AB115" s="224">
        <f>IF('DM_NHAN_SU'!$B115="","",MAX($Z115-$AA115,0))</f>
        <v/>
      </c>
      <c r="AC115" s="224">
        <f>IF('DM_NHAN_SU'!$B115="","",$O115+$P115+$Q115+$R115+$S115+$V115+$AB115+$BO115+$BP115+$BQ115+$BR115)</f>
        <v/>
      </c>
      <c r="AD115" s="224">
        <f>IF('DM_NHAN_SU'!$B115="","",'DM_NHAN_SU'!N115+'DM_NHAN_SU'!O115+'DM_NHAN_SU'!P115)</f>
        <v/>
      </c>
      <c r="AE115" s="224">
        <f>IF('DM_NHAN_SU'!$B115="","",IF(OR('DM_NHAN_SU'!$R115&lt;&gt;"Có",'CHAM_CONG_THANG'!$AA115="Có",$BL115&gt;=14,$AD115&lt;=0),0,MIN(MAX($AD115,'THAM_SO'!$M$6),'THAM_SO'!$M$7)))</f>
        <v/>
      </c>
      <c r="AF115" s="224">
        <f>IF('DM_NHAN_SU'!$B115="","",IF(OR('DM_NHAN_SU'!$S115&lt;&gt;"Có",'CHAM_CONG_THANG'!$AA115="Có",$BL115&gt;=14,$AD115&lt;=0),0,MIN(MAX($AD115,VLOOKUP($H115,'THAM_SO'!$L$17:$P$20,4,FALSE)),VLOOKUP($H115,'THAM_SO'!$L$17:$P$20,5,FALSE))))</f>
        <v/>
      </c>
      <c r="AG115" s="224">
        <f>IF('DM_NHAN_SU'!$B115="","",$AE115*'THAM_SO'!$M$8)</f>
        <v/>
      </c>
      <c r="AH115" s="224">
        <f>IF('DM_NHAN_SU'!$B115="","",$AE115*'THAM_SO'!$M$9)</f>
        <v/>
      </c>
      <c r="AI115" s="224">
        <f>IF('DM_NHAN_SU'!$B115="","",$AF115*'THAM_SO'!$M$10)</f>
        <v/>
      </c>
      <c r="AJ115" s="224">
        <f>IF('DM_NHAN_SU'!$B115="","",SUM($AG115:$AI115))</f>
        <v/>
      </c>
      <c r="AK115" s="224">
        <f>IF('DM_NHAN_SU'!$B115="","",IF($B115="",0,'THAM_SO'!$F$4))</f>
        <v/>
      </c>
      <c r="AL115" s="224">
        <f>IF('DM_NHAN_SU'!$B115="","",IF($B115="",0,'DM_NHAN_SU'!$T115*'THAM_SO'!$F$5))</f>
        <v/>
      </c>
      <c r="AM115" s="224">
        <f>IF('DM_NHAN_SU'!$B115="","",'CHAM_CONG_THANG'!W115)</f>
        <v/>
      </c>
      <c r="AN115" s="224">
        <f>IF('DM_NHAN_SU'!$B115="","",MAX($AC115-$AK115-$AL115-$AM115,0))</f>
        <v/>
      </c>
      <c r="AO115" s="224">
        <f>IF('DM_NHAN_SU'!$B115="","",IF($B115="","",IF($F115="Net",IF($AC115&lt;=$AK115+$AL115+$AM115,$AC115+$AJ115,$AJ115+$AK115+$AL115+$AM115+IF($AN115&lt;='THAM_SO'!$J$10,($AN115-'THAM_SO'!$I$10)/(1-'THAM_SO'!$H$10),IF($AN115&lt;='THAM_SO'!$J$11,($AN115-'THAM_SO'!$I$11)/(1-'THAM_SO'!$H$11),IF($AN115&lt;='THAM_SO'!$J$12,($AN115-'THAM_SO'!$I$12)/(1-'THAM_SO'!$H$12),IF($AN115&lt;='THAM_SO'!$J$13,($AN115-'THAM_SO'!$I$13)/(1-'THAM_SO'!$H$13),($AN115-'THAM_SO'!$I$14)/(1-'THAM_SO'!$H$14)))))),$AC115)))</f>
        <v/>
      </c>
      <c r="AP115" s="224">
        <f>IF('DM_NHAN_SU'!$B115="","",$U115+$W115+$X115+$AA115+$BS115)</f>
        <v/>
      </c>
      <c r="AQ115" s="224">
        <f>IF('DM_NHAN_SU'!$B115="","",MAX($AO115-$AJ115-$AK115-$AL115-$AM115,0))</f>
        <v/>
      </c>
      <c r="AR115" s="224">
        <f>IF('DM_NHAN_SU'!$B115="","",IF($AQ115&lt;=0,0,$AQ115*VLOOKUP($AQ115,'THAM_SO'!$F$10:$I$14,3,TRUE)-VLOOKUP($AQ115,'THAM_SO'!$F$10:$I$14,4,TRUE)))</f>
        <v/>
      </c>
      <c r="AS115" s="224">
        <f>IF('DM_NHAN_SU'!$B115="","",$AO115+$AP115)</f>
        <v/>
      </c>
      <c r="AT115" s="224">
        <f>IF('DM_NHAN_SU'!$B115="","",$AS115-$AJ115-$AR115)</f>
        <v/>
      </c>
      <c r="AU115" s="224">
        <f>IF('DM_NHAN_SU'!$B115="","",'CHAM_CONG_THANG'!X115)</f>
        <v/>
      </c>
      <c r="AV115" s="224">
        <f>IF('DM_NHAN_SU'!$B115="","",'CHAM_CONG_THANG'!Y115+'QT_NGHI_VIEC'!AD115)</f>
        <v/>
      </c>
      <c r="AW115" s="224">
        <f>IF('DM_NHAN_SU'!$B115="","",'CHAM_CONG_THANG'!Z115)</f>
        <v/>
      </c>
      <c r="AX115" s="224">
        <f>IF('DM_NHAN_SU'!$B115="","",$AT115-$AU115-$AV115-$AW115-$BV115)</f>
        <v/>
      </c>
      <c r="AY115" s="224">
        <f>IF('DM_NHAN_SU'!$B115="","",$AE115*'THAM_SO'!$M$11)</f>
        <v/>
      </c>
      <c r="AZ115" s="224">
        <f>IF('DM_NHAN_SU'!$B115="","",$AE115*'THAM_SO'!$M$12)</f>
        <v/>
      </c>
      <c r="BA115" s="224">
        <f>IF('DM_NHAN_SU'!$B115="","",$AF115*'THAM_SO'!$M$13)</f>
        <v/>
      </c>
      <c r="BB115" s="224">
        <f>IF('DM_NHAN_SU'!$B115="","",$AE115*'THAM_SO'!$M$14)</f>
        <v/>
      </c>
      <c r="BC115" s="224">
        <f>IF('DM_NHAN_SU'!$B115="","",SUM($AY115:$BB115))</f>
        <v/>
      </c>
      <c r="BD115" s="224">
        <f>IF('DM_NHAN_SU'!$B115="","",$AS115+$BC115)</f>
        <v/>
      </c>
      <c r="BE115" s="224">
        <f>IF('DM_NHAN_SU'!$B115="","",VLOOKUP($H115,'THAM_SO'!$L$17:$P$20,2,FALSE))</f>
        <v/>
      </c>
      <c r="BF115" s="224">
        <f>IF('DM_NHAN_SU'!$B115="","",VLOOKUP($H115,'THAM_SO'!$L$17:$P$20,3,FALSE))</f>
        <v/>
      </c>
      <c r="BG115" s="150">
        <f>IF('DM_NHAN_SU'!$B115="","",IF($B115="","",IF(COUNTIF('DM_NHAN_SU'!$B$6:$B$155,$B115)&gt;1,"Trùng mã NV; ","")&amp;IF(OR($F115="",$G115=""),"Thiếu loại/hình thức lương; ","")&amp;IF('CHAM_CONG_THANG'!$D115="","Chưa chọn nguồn công; ","")&amp;IF(AND('CHAM_CONG_THANG'!$D115="Theo ngày",COUNTIF('CHAM_CONG_NGAY'!$B$6:$B$4655,$B115)=0),"Chưa có chấm công ngày; ","")&amp;IF(OR($I115&lt;=0,$J115&lt;=0),"Thiếu công/giờ chuẩn; ","")&amp;IF(AND($G115="Tháng",'DM_NHAN_SU'!$K115&lt;$BE115),"Lương tháng dưới tối thiểu vùng; ","")&amp;IF(AND($G115="Ngày",'DM_NHAN_SU'!$K115/$J115&lt;$BF115),"Lương ngày quy đổi dưới tối thiểu giờ; ","")&amp;IF(AND($G115="Giờ",'DM_NHAN_SU'!$K115&lt;$BF115),"Lương giờ dưới tối thiểu vùng; ","")&amp;IF(AND($G115="Sản phẩm",$L115&gt;0,$O115/$L115&lt;$BF115),"Lương SP quy đổi dưới tối thiểu giờ; ","")&amp;IF(OR('THAM_SO'!$C$19&lt;'THAM_SO'!$B$19,'THAM_SO'!$C$20&lt;'THAM_SO'!$B$20,'THAM_SO'!$C$21&lt;'THAM_SO'!$B$21,'THAM_SO'!$C$22&lt;'THAM_SO'!$B$22,'THAM_SO'!$C$23&lt;'THAM_SO'!$B$23,'THAM_SO'!$C$24&lt;'THAM_SO'!$B$24,'THAM_SO'!$C$25&lt;'THAM_SO'!$B$25),"Hệ số OT/đêm DN thấp hơn luật; ","")&amp;IF(AND('DM_NHAN_SU'!$R115="Có",$AD115&lt;=0),"Thiếu căn cứ đóng BH; ","")&amp;IF(AND($AD115&gt;0,$AD115&lt;'THAM_SO'!$M$6),"Căn cứ BH dưới sàn – đã nâng sàn; ","")&amp;IF($AD115&gt;'THAM_SO'!$M$7,"Căn cứ BH vượt trần – đã giới hạn; ","")&amp;IF(AND($F115="Net",SUM('CHAM_CONG_THANG'!$AF115:$AK115)&gt;0,'DM_NHAN_SU'!$Q115&lt;=0),"Net có OT nhưng chưa khai lương giờ OT; ","")&amp;IF('CHAM_CONG_THANG'!$V115&gt;$Z115,"Phần OT không miễn lớn hơn tiền OT; ","")&amp;IF(AND($F115="Net",ABS($AT115-$AC115-$AP115)&gt;1),"Lệch quy đổi Net; ","")&amp;IF(AND($BH115&gt;0,'DM_NHAN_SU'!$AD115=""),"Có phép năm nhưng đang tạm dùng 12 ngày; ","")&amp;IF(AND($G115="Sản phẩm",SUM($BH115:$BJ115)&gt;0,'DM_NHAN_SU'!$AH115&lt;=0),"Lương sản phẩm thiếu đơn giá ngày phép/lễ; ","")&amp;IF(AND($BL115&gt;=14,'CHAM_CONG_THANG'!$AA115&lt;&gt;"Có"),"Thai sản từ 14 ngày: file tự dừng đóng BH – kiểm tra hồ sơ; ","")&amp;IF(AND('DM_NHAN_SU'!$AA115="Có",'DM_NHAN_SU'!$AB115=""),"Đoàn viên chưa chọn cách tính đoàn phí; ","")&amp;IF(AND('DM_NHAN_SU'!$AB115="Nhập tay",'DM_NHAN_SU'!$AC115&gt;'THAM_SO'!$M$26),"Đoàn phí nhập tay vượt trần thông dụng; ","")&amp;IF('NGHI_PHEP'!$L115&lt;&gt;"","Phép: "&amp;'NGHI_PHEP'!$L115,"")&amp;IF('CHE_DO_BHXH'!$AA115&lt;&gt;"","BHXH: "&amp;'CHE_DO_BHXH'!$AA115,"")&amp;IF('THUONG_T13_TET'!$O115&lt;&gt;"","Thưởng: "&amp;'THUONG_T13_TET'!$O115,"")&amp;IF('QT_NGHI_VIEC'!$AF115&lt;&gt;"","Nghỉ việc: "&amp;'QT_NGHI_VIEC'!$AF115,"")&amp;IF($AX115&lt;0,"Thực lĩnh âm; ","")&amp;IF(OR('DM_NHAN_SU'!$F115&gt;'THAM_SO'!$B$7,AND('DM_NHAN_SU'!$G115&lt;&gt;"",'DM_NHAN_SU'!$G115&lt;'THAM_SO'!$B$6)),"Ngoài kỳ trả lương; ","")))</f>
        <v/>
      </c>
      <c r="BH115" s="232">
        <f>IF('DM_NHAN_SU'!$B115="","",'CHAM_CONG_THANG'!AR115)</f>
        <v/>
      </c>
      <c r="BI115" s="232">
        <f>IF('DM_NHAN_SU'!$B115="","",'CHAM_CONG_THANG'!AS115)</f>
        <v/>
      </c>
      <c r="BJ115" s="232">
        <f>IF('DM_NHAN_SU'!$B115="","",'CHAM_CONG_THANG'!AT115)</f>
        <v/>
      </c>
      <c r="BK115" s="232">
        <f>IF('DM_NHAN_SU'!$B115="","",'CHAM_CONG_THANG'!AU115)</f>
        <v/>
      </c>
      <c r="BL115" s="232">
        <f>IF('DM_NHAN_SU'!$B115="","",'CHAM_CONG_THANG'!AV115)</f>
        <v/>
      </c>
      <c r="BM115" s="232">
        <f>IF('DM_NHAN_SU'!$B115="","",'CHAM_CONG_THANG'!AW115)</f>
        <v/>
      </c>
      <c r="BN115" s="232">
        <f>IF('DM_NHAN_SU'!$B115="","",SUM($K115,$BH115:$BJ115))</f>
        <v/>
      </c>
      <c r="BO115" s="224">
        <f>IF('DM_NHAN_SU'!$B115="","",IF($B115="",0,IF($G115="Tháng",IF($I115&gt;0,'DM_NHAN_SU'!$K115*MIN($BH115+$BJ115,MAX($I115-$K115,0))/$I115,0),IF($G115="Ngày",'DM_NHAN_SU'!$K115*SUM($BH115:$BJ115),IF($G115="Giờ",'DM_NHAN_SU'!$K115*SUM($BH115:$BJ115)*$J115,IF($G115="Sản phẩm",'DM_NHAN_SU'!$AH115*SUM($BH115:$BJ115),0))))))</f>
        <v/>
      </c>
      <c r="BP115" s="224">
        <f>IF('DM_NHAN_SU'!$B115="","",IF('THUONG_T13_TET'!$L115="Có",'THUONG_T13_TET'!$I115,0))</f>
        <v/>
      </c>
      <c r="BQ115" s="224">
        <f>IF('DM_NHAN_SU'!$B115="","",IF('THUONG_T13_TET'!$L115="Có",SUM('THUONG_T13_TET'!$J115:$K115),0))</f>
        <v/>
      </c>
      <c r="BR115" s="224">
        <f>IF('DM_NHAN_SU'!$B115="","",'QT_NGHI_VIEC'!AC115)</f>
        <v/>
      </c>
      <c r="BS115" s="224">
        <f>IF('DM_NHAN_SU'!$B115="","",'QT_NGHI_VIEC'!AB115)</f>
        <v/>
      </c>
      <c r="BT115" s="224">
        <f>IF('DM_NHAN_SU'!$B115="","",IF('CHE_DO_BHXH'!$Z115="Có",'CHE_DO_BHXH'!$W115,0))</f>
        <v/>
      </c>
      <c r="BU115" s="224">
        <f>IF('DM_NHAN_SU'!$B115="","",IF('CHE_DO_BHXH'!$Y115="DN trả thay",$BT115,0))</f>
        <v/>
      </c>
      <c r="BV115" s="224">
        <f>IF('DM_NHAN_SU'!$B115="","",IF(OR('DM_NHAN_SU'!$AA115&lt;&gt;"Có",'CHE_DO_BHXH'!$O115&gt;=1,SUM('CHE_DO_BHXH'!$D115,'CHE_DO_BHXH'!$G115,'CHE_DO_BHXH'!$K115)&gt;=24,AND($I115&gt;0,$BM115&gt;=$I115)),0,IF('DM_NHAN_SU'!$AB115="Không",0,IF('DM_NHAN_SU'!$AB115="Nhập tay",'DM_NHAN_SU'!$AC115,IF('DM_NHAN_SU'!$AB115="Theo thực nhận",MIN(MAX($AT115-$AU115-$AV115-$AW115,0)*'THAM_SO'!$M$23,'THAM_SO'!$M$26),MIN($AE115*'THAM_SO'!$M$23,'THAM_SO'!$M$26))))))</f>
        <v/>
      </c>
      <c r="BW115" s="224">
        <f>IF('DM_NHAN_SU'!$B115="","",$AX115+$BU115)</f>
        <v/>
      </c>
    </row>
    <row r="116">
      <c r="A116" s="145">
        <f>IF('DM_NHAN_SU'!$B116="","",IF($B116="","",ROW()-5))</f>
        <v/>
      </c>
      <c r="B116" s="145">
        <f>IF('DM_NHAN_SU'!$B116="","",'DM_NHAN_SU'!B116)</f>
        <v/>
      </c>
      <c r="C116" s="145">
        <f>IF('DM_NHAN_SU'!$B116="","",'DM_NHAN_SU'!C116)</f>
        <v/>
      </c>
      <c r="D116" s="145">
        <f>IF('DM_NHAN_SU'!$B116="","",'DM_NHAN_SU'!D116)</f>
        <v/>
      </c>
      <c r="E116" s="145">
        <f>IF('DM_NHAN_SU'!$B116="","",'DM_NHAN_SU'!E116)</f>
        <v/>
      </c>
      <c r="F116" s="145">
        <f>IF('DM_NHAN_SU'!$B116="","",'DM_NHAN_SU'!I116)</f>
        <v/>
      </c>
      <c r="G116" s="145">
        <f>IF('DM_NHAN_SU'!$B116="","",'DM_NHAN_SU'!J116)</f>
        <v/>
      </c>
      <c r="H116" s="145">
        <f>IF('DM_NHAN_SU'!$B116="","",IF('DM_NHAN_SU'!H116="",'THAM_SO'!$B$11,'DM_NHAN_SU'!H116))</f>
        <v/>
      </c>
      <c r="I116" s="232">
        <f>IF('DM_NHAN_SU'!$B116="","",IF('DM_NHAN_SU'!L116&gt;0,'DM_NHAN_SU'!L116,'THAM_SO'!$B$9))</f>
        <v/>
      </c>
      <c r="J116" s="232">
        <f>IF('DM_NHAN_SU'!$B116="","",IF('DM_NHAN_SU'!M116&gt;0,'DM_NHAN_SU'!M116,'THAM_SO'!$B$10))</f>
        <v/>
      </c>
      <c r="K116" s="232">
        <f>IF('DM_NHAN_SU'!$B116="","",'CHAM_CONG_THANG'!AC116)</f>
        <v/>
      </c>
      <c r="L116" s="232">
        <f>IF('DM_NHAN_SU'!$B116="","",'CHAM_CONG_THANG'!AD116)</f>
        <v/>
      </c>
      <c r="M116" s="232">
        <f>IF('DM_NHAN_SU'!$B116="","",'CHAM_CONG_THANG'!AE116)</f>
        <v/>
      </c>
      <c r="N116" s="232">
        <f>IF('DM_NHAN_SU'!$B116="","",'CHAM_CONG_THANG'!N116)</f>
        <v/>
      </c>
      <c r="O116" s="224">
        <f>IF('DM_NHAN_SU'!$B116="","",IF($B116="","",IF($G116="Tháng",IF($I116&gt;0,'DM_NHAN_SU'!$K116*MIN($K116,$I116)/$I116,0),IF($G116="Ngày",'DM_NHAN_SU'!$K116*$K116,IF($G116="Giờ",'DM_NHAN_SU'!$K116*$L116,IF($G116="Sản phẩm",'DM_NHAN_SU'!$K116*$N116,0))))))</f>
        <v/>
      </c>
      <c r="P116" s="224">
        <f>IF('DM_NHAN_SU'!$B116="","",'CHAM_CONG_THANG'!O116)</f>
        <v/>
      </c>
      <c r="Q116" s="224">
        <f>IF('DM_NHAN_SU'!$B116="","",'CHAM_CONG_THANG'!P116)</f>
        <v/>
      </c>
      <c r="R116" s="224">
        <f>IF('DM_NHAN_SU'!$B116="","",'CHAM_CONG_THANG'!Q116)</f>
        <v/>
      </c>
      <c r="S116" s="224">
        <f>IF('DM_NHAN_SU'!$B116="","",'CHAM_CONG_THANG'!R116)</f>
        <v/>
      </c>
      <c r="T116" s="224">
        <f>IF('DM_NHAN_SU'!$B116="","",'CHAM_CONG_THANG'!S116)</f>
        <v/>
      </c>
      <c r="U116" s="224">
        <f>IF('DM_NHAN_SU'!$B116="","",MIN($T116,'THAM_SO'!$F$6))</f>
        <v/>
      </c>
      <c r="V116" s="224">
        <f>IF('DM_NHAN_SU'!$B116="","",MAX($T116-$U116,0))</f>
        <v/>
      </c>
      <c r="W116" s="224">
        <f>IF('DM_NHAN_SU'!$B116="","",'CHAM_CONG_THANG'!T116)</f>
        <v/>
      </c>
      <c r="X116" s="224">
        <f>IF('DM_NHAN_SU'!$B116="","",'CHAM_CONG_THANG'!U116)</f>
        <v/>
      </c>
      <c r="Y116" s="224">
        <f>IF('DM_NHAN_SU'!$B116="","",IF($B116="",0,IF('DM_NHAN_SU'!$Q116&gt;0,'DM_NHAN_SU'!$Q116,IF($G116="Tháng",IF($I116*$J116&gt;0,'DM_NHAN_SU'!$K116/($I116*$J116),0),IF($G116="Ngày",IF($J116&gt;0,'DM_NHAN_SU'!$K116/$J116,0),IF($G116="Giờ",'DM_NHAN_SU'!$K116,0))))))</f>
        <v/>
      </c>
      <c r="Z116" s="224">
        <f>IF('DM_NHAN_SU'!$B116="","",$Y116*($M116*'THAM_SO'!$C$22+'CHAM_CONG_THANG'!$AF116*'THAM_SO'!$C$19+'CHAM_CONG_THANG'!$AG116*'THAM_SO'!$C$20+'CHAM_CONG_THANG'!$AH116*'THAM_SO'!$C$21+'CHAM_CONG_THANG'!$AI116*'THAM_SO'!$C$23+'CHAM_CONG_THANG'!$AJ116*'THAM_SO'!$C$24+'CHAM_CONG_THANG'!$AK116*'THAM_SO'!$C$25))</f>
        <v/>
      </c>
      <c r="AA116" s="224">
        <f>IF('DM_NHAN_SU'!$B116="","",MAX(0,$Y116*($M116*IF('THAM_SO'!$C$22&gt;='THAM_SO'!$B$22,'THAM_SO'!$B$22,0)+'CHAM_CONG_THANG'!$AF116*IF('THAM_SO'!$C$19&gt;='THAM_SO'!$B$19,'THAM_SO'!$B$19,0)+'CHAM_CONG_THANG'!$AG116*IF('THAM_SO'!$C$20&gt;='THAM_SO'!$B$20,'THAM_SO'!$B$20,0)+'CHAM_CONG_THANG'!$AH116*IF('THAM_SO'!$C$21&gt;='THAM_SO'!$B$21,'THAM_SO'!$B$21,0)+'CHAM_CONG_THANG'!$AI116*IF('THAM_SO'!$C$23&gt;='THAM_SO'!$B$23,'THAM_SO'!$B$23,0)+'CHAM_CONG_THANG'!$AJ116*IF('THAM_SO'!$C$24&gt;='THAM_SO'!$B$24,'THAM_SO'!$B$24,0)+'CHAM_CONG_THANG'!$AK116*IF('THAM_SO'!$C$25&gt;='THAM_SO'!$B$25,'THAM_SO'!$B$25,0))-'CHAM_CONG_THANG'!$V116))</f>
        <v/>
      </c>
      <c r="AB116" s="224">
        <f>IF('DM_NHAN_SU'!$B116="","",MAX($Z116-$AA116,0))</f>
        <v/>
      </c>
      <c r="AC116" s="224">
        <f>IF('DM_NHAN_SU'!$B116="","",$O116+$P116+$Q116+$R116+$S116+$V116+$AB116+$BO116+$BP116+$BQ116+$BR116)</f>
        <v/>
      </c>
      <c r="AD116" s="224">
        <f>IF('DM_NHAN_SU'!$B116="","",'DM_NHAN_SU'!N116+'DM_NHAN_SU'!O116+'DM_NHAN_SU'!P116)</f>
        <v/>
      </c>
      <c r="AE116" s="224">
        <f>IF('DM_NHAN_SU'!$B116="","",IF(OR('DM_NHAN_SU'!$R116&lt;&gt;"Có",'CHAM_CONG_THANG'!$AA116="Có",$BL116&gt;=14,$AD116&lt;=0),0,MIN(MAX($AD116,'THAM_SO'!$M$6),'THAM_SO'!$M$7)))</f>
        <v/>
      </c>
      <c r="AF116" s="224">
        <f>IF('DM_NHAN_SU'!$B116="","",IF(OR('DM_NHAN_SU'!$S116&lt;&gt;"Có",'CHAM_CONG_THANG'!$AA116="Có",$BL116&gt;=14,$AD116&lt;=0),0,MIN(MAX($AD116,VLOOKUP($H116,'THAM_SO'!$L$17:$P$20,4,FALSE)),VLOOKUP($H116,'THAM_SO'!$L$17:$P$20,5,FALSE))))</f>
        <v/>
      </c>
      <c r="AG116" s="224">
        <f>IF('DM_NHAN_SU'!$B116="","",$AE116*'THAM_SO'!$M$8)</f>
        <v/>
      </c>
      <c r="AH116" s="224">
        <f>IF('DM_NHAN_SU'!$B116="","",$AE116*'THAM_SO'!$M$9)</f>
        <v/>
      </c>
      <c r="AI116" s="224">
        <f>IF('DM_NHAN_SU'!$B116="","",$AF116*'THAM_SO'!$M$10)</f>
        <v/>
      </c>
      <c r="AJ116" s="224">
        <f>IF('DM_NHAN_SU'!$B116="","",SUM($AG116:$AI116))</f>
        <v/>
      </c>
      <c r="AK116" s="224">
        <f>IF('DM_NHAN_SU'!$B116="","",IF($B116="",0,'THAM_SO'!$F$4))</f>
        <v/>
      </c>
      <c r="AL116" s="224">
        <f>IF('DM_NHAN_SU'!$B116="","",IF($B116="",0,'DM_NHAN_SU'!$T116*'THAM_SO'!$F$5))</f>
        <v/>
      </c>
      <c r="AM116" s="224">
        <f>IF('DM_NHAN_SU'!$B116="","",'CHAM_CONG_THANG'!W116)</f>
        <v/>
      </c>
      <c r="AN116" s="224">
        <f>IF('DM_NHAN_SU'!$B116="","",MAX($AC116-$AK116-$AL116-$AM116,0))</f>
        <v/>
      </c>
      <c r="AO116" s="224">
        <f>IF('DM_NHAN_SU'!$B116="","",IF($B116="","",IF($F116="Net",IF($AC116&lt;=$AK116+$AL116+$AM116,$AC116+$AJ116,$AJ116+$AK116+$AL116+$AM116+IF($AN116&lt;='THAM_SO'!$J$10,($AN116-'THAM_SO'!$I$10)/(1-'THAM_SO'!$H$10),IF($AN116&lt;='THAM_SO'!$J$11,($AN116-'THAM_SO'!$I$11)/(1-'THAM_SO'!$H$11),IF($AN116&lt;='THAM_SO'!$J$12,($AN116-'THAM_SO'!$I$12)/(1-'THAM_SO'!$H$12),IF($AN116&lt;='THAM_SO'!$J$13,($AN116-'THAM_SO'!$I$13)/(1-'THAM_SO'!$H$13),($AN116-'THAM_SO'!$I$14)/(1-'THAM_SO'!$H$14)))))),$AC116)))</f>
        <v/>
      </c>
      <c r="AP116" s="224">
        <f>IF('DM_NHAN_SU'!$B116="","",$U116+$W116+$X116+$AA116+$BS116)</f>
        <v/>
      </c>
      <c r="AQ116" s="224">
        <f>IF('DM_NHAN_SU'!$B116="","",MAX($AO116-$AJ116-$AK116-$AL116-$AM116,0))</f>
        <v/>
      </c>
      <c r="AR116" s="224">
        <f>IF('DM_NHAN_SU'!$B116="","",IF($AQ116&lt;=0,0,$AQ116*VLOOKUP($AQ116,'THAM_SO'!$F$10:$I$14,3,TRUE)-VLOOKUP($AQ116,'THAM_SO'!$F$10:$I$14,4,TRUE)))</f>
        <v/>
      </c>
      <c r="AS116" s="224">
        <f>IF('DM_NHAN_SU'!$B116="","",$AO116+$AP116)</f>
        <v/>
      </c>
      <c r="AT116" s="224">
        <f>IF('DM_NHAN_SU'!$B116="","",$AS116-$AJ116-$AR116)</f>
        <v/>
      </c>
      <c r="AU116" s="224">
        <f>IF('DM_NHAN_SU'!$B116="","",'CHAM_CONG_THANG'!X116)</f>
        <v/>
      </c>
      <c r="AV116" s="224">
        <f>IF('DM_NHAN_SU'!$B116="","",'CHAM_CONG_THANG'!Y116+'QT_NGHI_VIEC'!AD116)</f>
        <v/>
      </c>
      <c r="AW116" s="224">
        <f>IF('DM_NHAN_SU'!$B116="","",'CHAM_CONG_THANG'!Z116)</f>
        <v/>
      </c>
      <c r="AX116" s="224">
        <f>IF('DM_NHAN_SU'!$B116="","",$AT116-$AU116-$AV116-$AW116-$BV116)</f>
        <v/>
      </c>
      <c r="AY116" s="224">
        <f>IF('DM_NHAN_SU'!$B116="","",$AE116*'THAM_SO'!$M$11)</f>
        <v/>
      </c>
      <c r="AZ116" s="224">
        <f>IF('DM_NHAN_SU'!$B116="","",$AE116*'THAM_SO'!$M$12)</f>
        <v/>
      </c>
      <c r="BA116" s="224">
        <f>IF('DM_NHAN_SU'!$B116="","",$AF116*'THAM_SO'!$M$13)</f>
        <v/>
      </c>
      <c r="BB116" s="224">
        <f>IF('DM_NHAN_SU'!$B116="","",$AE116*'THAM_SO'!$M$14)</f>
        <v/>
      </c>
      <c r="BC116" s="224">
        <f>IF('DM_NHAN_SU'!$B116="","",SUM($AY116:$BB116))</f>
        <v/>
      </c>
      <c r="BD116" s="224">
        <f>IF('DM_NHAN_SU'!$B116="","",$AS116+$BC116)</f>
        <v/>
      </c>
      <c r="BE116" s="224">
        <f>IF('DM_NHAN_SU'!$B116="","",VLOOKUP($H116,'THAM_SO'!$L$17:$P$20,2,FALSE))</f>
        <v/>
      </c>
      <c r="BF116" s="224">
        <f>IF('DM_NHAN_SU'!$B116="","",VLOOKUP($H116,'THAM_SO'!$L$17:$P$20,3,FALSE))</f>
        <v/>
      </c>
      <c r="BG116" s="150">
        <f>IF('DM_NHAN_SU'!$B116="","",IF($B116="","",IF(COUNTIF('DM_NHAN_SU'!$B$6:$B$155,$B116)&gt;1,"Trùng mã NV; ","")&amp;IF(OR($F116="",$G116=""),"Thiếu loại/hình thức lương; ","")&amp;IF('CHAM_CONG_THANG'!$D116="","Chưa chọn nguồn công; ","")&amp;IF(AND('CHAM_CONG_THANG'!$D116="Theo ngày",COUNTIF('CHAM_CONG_NGAY'!$B$6:$B$4655,$B116)=0),"Chưa có chấm công ngày; ","")&amp;IF(OR($I116&lt;=0,$J116&lt;=0),"Thiếu công/giờ chuẩn; ","")&amp;IF(AND($G116="Tháng",'DM_NHAN_SU'!$K116&lt;$BE116),"Lương tháng dưới tối thiểu vùng; ","")&amp;IF(AND($G116="Ngày",'DM_NHAN_SU'!$K116/$J116&lt;$BF116),"Lương ngày quy đổi dưới tối thiểu giờ; ","")&amp;IF(AND($G116="Giờ",'DM_NHAN_SU'!$K116&lt;$BF116),"Lương giờ dưới tối thiểu vùng; ","")&amp;IF(AND($G116="Sản phẩm",$L116&gt;0,$O116/$L116&lt;$BF116),"Lương SP quy đổi dưới tối thiểu giờ; ","")&amp;IF(OR('THAM_SO'!$C$19&lt;'THAM_SO'!$B$19,'THAM_SO'!$C$20&lt;'THAM_SO'!$B$20,'THAM_SO'!$C$21&lt;'THAM_SO'!$B$21,'THAM_SO'!$C$22&lt;'THAM_SO'!$B$22,'THAM_SO'!$C$23&lt;'THAM_SO'!$B$23,'THAM_SO'!$C$24&lt;'THAM_SO'!$B$24,'THAM_SO'!$C$25&lt;'THAM_SO'!$B$25),"Hệ số OT/đêm DN thấp hơn luật; ","")&amp;IF(AND('DM_NHAN_SU'!$R116="Có",$AD116&lt;=0),"Thiếu căn cứ đóng BH; ","")&amp;IF(AND($AD116&gt;0,$AD116&lt;'THAM_SO'!$M$6),"Căn cứ BH dưới sàn – đã nâng sàn; ","")&amp;IF($AD116&gt;'THAM_SO'!$M$7,"Căn cứ BH vượt trần – đã giới hạn; ","")&amp;IF(AND($F116="Net",SUM('CHAM_CONG_THANG'!$AF116:$AK116)&gt;0,'DM_NHAN_SU'!$Q116&lt;=0),"Net có OT nhưng chưa khai lương giờ OT; ","")&amp;IF('CHAM_CONG_THANG'!$V116&gt;$Z116,"Phần OT không miễn lớn hơn tiền OT; ","")&amp;IF(AND($F116="Net",ABS($AT116-$AC116-$AP116)&gt;1),"Lệch quy đổi Net; ","")&amp;IF(AND($BH116&gt;0,'DM_NHAN_SU'!$AD116=""),"Có phép năm nhưng đang tạm dùng 12 ngày; ","")&amp;IF(AND($G116="Sản phẩm",SUM($BH116:$BJ116)&gt;0,'DM_NHAN_SU'!$AH116&lt;=0),"Lương sản phẩm thiếu đơn giá ngày phép/lễ; ","")&amp;IF(AND($BL116&gt;=14,'CHAM_CONG_THANG'!$AA116&lt;&gt;"Có"),"Thai sản từ 14 ngày: file tự dừng đóng BH – kiểm tra hồ sơ; ","")&amp;IF(AND('DM_NHAN_SU'!$AA116="Có",'DM_NHAN_SU'!$AB116=""),"Đoàn viên chưa chọn cách tính đoàn phí; ","")&amp;IF(AND('DM_NHAN_SU'!$AB116="Nhập tay",'DM_NHAN_SU'!$AC116&gt;'THAM_SO'!$M$26),"Đoàn phí nhập tay vượt trần thông dụng; ","")&amp;IF('NGHI_PHEP'!$L116&lt;&gt;"","Phép: "&amp;'NGHI_PHEP'!$L116,"")&amp;IF('CHE_DO_BHXH'!$AA116&lt;&gt;"","BHXH: "&amp;'CHE_DO_BHXH'!$AA116,"")&amp;IF('THUONG_T13_TET'!$O116&lt;&gt;"","Thưởng: "&amp;'THUONG_T13_TET'!$O116,"")&amp;IF('QT_NGHI_VIEC'!$AF116&lt;&gt;"","Nghỉ việc: "&amp;'QT_NGHI_VIEC'!$AF116,"")&amp;IF($AX116&lt;0,"Thực lĩnh âm; ","")&amp;IF(OR('DM_NHAN_SU'!$F116&gt;'THAM_SO'!$B$7,AND('DM_NHAN_SU'!$G116&lt;&gt;"",'DM_NHAN_SU'!$G116&lt;'THAM_SO'!$B$6)),"Ngoài kỳ trả lương; ","")))</f>
        <v/>
      </c>
      <c r="BH116" s="232">
        <f>IF('DM_NHAN_SU'!$B116="","",'CHAM_CONG_THANG'!AR116)</f>
        <v/>
      </c>
      <c r="BI116" s="232">
        <f>IF('DM_NHAN_SU'!$B116="","",'CHAM_CONG_THANG'!AS116)</f>
        <v/>
      </c>
      <c r="BJ116" s="232">
        <f>IF('DM_NHAN_SU'!$B116="","",'CHAM_CONG_THANG'!AT116)</f>
        <v/>
      </c>
      <c r="BK116" s="232">
        <f>IF('DM_NHAN_SU'!$B116="","",'CHAM_CONG_THANG'!AU116)</f>
        <v/>
      </c>
      <c r="BL116" s="232">
        <f>IF('DM_NHAN_SU'!$B116="","",'CHAM_CONG_THANG'!AV116)</f>
        <v/>
      </c>
      <c r="BM116" s="232">
        <f>IF('DM_NHAN_SU'!$B116="","",'CHAM_CONG_THANG'!AW116)</f>
        <v/>
      </c>
      <c r="BN116" s="232">
        <f>IF('DM_NHAN_SU'!$B116="","",SUM($K116,$BH116:$BJ116))</f>
        <v/>
      </c>
      <c r="BO116" s="224">
        <f>IF('DM_NHAN_SU'!$B116="","",IF($B116="",0,IF($G116="Tháng",IF($I116&gt;0,'DM_NHAN_SU'!$K116*MIN($BH116+$BJ116,MAX($I116-$K116,0))/$I116,0),IF($G116="Ngày",'DM_NHAN_SU'!$K116*SUM($BH116:$BJ116),IF($G116="Giờ",'DM_NHAN_SU'!$K116*SUM($BH116:$BJ116)*$J116,IF($G116="Sản phẩm",'DM_NHAN_SU'!$AH116*SUM($BH116:$BJ116),0))))))</f>
        <v/>
      </c>
      <c r="BP116" s="224">
        <f>IF('DM_NHAN_SU'!$B116="","",IF('THUONG_T13_TET'!$L116="Có",'THUONG_T13_TET'!$I116,0))</f>
        <v/>
      </c>
      <c r="BQ116" s="224">
        <f>IF('DM_NHAN_SU'!$B116="","",IF('THUONG_T13_TET'!$L116="Có",SUM('THUONG_T13_TET'!$J116:$K116),0))</f>
        <v/>
      </c>
      <c r="BR116" s="224">
        <f>IF('DM_NHAN_SU'!$B116="","",'QT_NGHI_VIEC'!AC116)</f>
        <v/>
      </c>
      <c r="BS116" s="224">
        <f>IF('DM_NHAN_SU'!$B116="","",'QT_NGHI_VIEC'!AB116)</f>
        <v/>
      </c>
      <c r="BT116" s="224">
        <f>IF('DM_NHAN_SU'!$B116="","",IF('CHE_DO_BHXH'!$Z116="Có",'CHE_DO_BHXH'!$W116,0))</f>
        <v/>
      </c>
      <c r="BU116" s="224">
        <f>IF('DM_NHAN_SU'!$B116="","",IF('CHE_DO_BHXH'!$Y116="DN trả thay",$BT116,0))</f>
        <v/>
      </c>
      <c r="BV116" s="224">
        <f>IF('DM_NHAN_SU'!$B116="","",IF(OR('DM_NHAN_SU'!$AA116&lt;&gt;"Có",'CHE_DO_BHXH'!$O116&gt;=1,SUM('CHE_DO_BHXH'!$D116,'CHE_DO_BHXH'!$G116,'CHE_DO_BHXH'!$K116)&gt;=24,AND($I116&gt;0,$BM116&gt;=$I116)),0,IF('DM_NHAN_SU'!$AB116="Không",0,IF('DM_NHAN_SU'!$AB116="Nhập tay",'DM_NHAN_SU'!$AC116,IF('DM_NHAN_SU'!$AB116="Theo thực nhận",MIN(MAX($AT116-$AU116-$AV116-$AW116,0)*'THAM_SO'!$M$23,'THAM_SO'!$M$26),MIN($AE116*'THAM_SO'!$M$23,'THAM_SO'!$M$26))))))</f>
        <v/>
      </c>
      <c r="BW116" s="224">
        <f>IF('DM_NHAN_SU'!$B116="","",$AX116+$BU116)</f>
        <v/>
      </c>
    </row>
    <row r="117">
      <c r="A117" s="145">
        <f>IF('DM_NHAN_SU'!$B117="","",IF($B117="","",ROW()-5))</f>
        <v/>
      </c>
      <c r="B117" s="145">
        <f>IF('DM_NHAN_SU'!$B117="","",'DM_NHAN_SU'!B117)</f>
        <v/>
      </c>
      <c r="C117" s="145">
        <f>IF('DM_NHAN_SU'!$B117="","",'DM_NHAN_SU'!C117)</f>
        <v/>
      </c>
      <c r="D117" s="145">
        <f>IF('DM_NHAN_SU'!$B117="","",'DM_NHAN_SU'!D117)</f>
        <v/>
      </c>
      <c r="E117" s="145">
        <f>IF('DM_NHAN_SU'!$B117="","",'DM_NHAN_SU'!E117)</f>
        <v/>
      </c>
      <c r="F117" s="145">
        <f>IF('DM_NHAN_SU'!$B117="","",'DM_NHAN_SU'!I117)</f>
        <v/>
      </c>
      <c r="G117" s="145">
        <f>IF('DM_NHAN_SU'!$B117="","",'DM_NHAN_SU'!J117)</f>
        <v/>
      </c>
      <c r="H117" s="145">
        <f>IF('DM_NHAN_SU'!$B117="","",IF('DM_NHAN_SU'!H117="",'THAM_SO'!$B$11,'DM_NHAN_SU'!H117))</f>
        <v/>
      </c>
      <c r="I117" s="232">
        <f>IF('DM_NHAN_SU'!$B117="","",IF('DM_NHAN_SU'!L117&gt;0,'DM_NHAN_SU'!L117,'THAM_SO'!$B$9))</f>
        <v/>
      </c>
      <c r="J117" s="232">
        <f>IF('DM_NHAN_SU'!$B117="","",IF('DM_NHAN_SU'!M117&gt;0,'DM_NHAN_SU'!M117,'THAM_SO'!$B$10))</f>
        <v/>
      </c>
      <c r="K117" s="232">
        <f>IF('DM_NHAN_SU'!$B117="","",'CHAM_CONG_THANG'!AC117)</f>
        <v/>
      </c>
      <c r="L117" s="232">
        <f>IF('DM_NHAN_SU'!$B117="","",'CHAM_CONG_THANG'!AD117)</f>
        <v/>
      </c>
      <c r="M117" s="232">
        <f>IF('DM_NHAN_SU'!$B117="","",'CHAM_CONG_THANG'!AE117)</f>
        <v/>
      </c>
      <c r="N117" s="232">
        <f>IF('DM_NHAN_SU'!$B117="","",'CHAM_CONG_THANG'!N117)</f>
        <v/>
      </c>
      <c r="O117" s="224">
        <f>IF('DM_NHAN_SU'!$B117="","",IF($B117="","",IF($G117="Tháng",IF($I117&gt;0,'DM_NHAN_SU'!$K117*MIN($K117,$I117)/$I117,0),IF($G117="Ngày",'DM_NHAN_SU'!$K117*$K117,IF($G117="Giờ",'DM_NHAN_SU'!$K117*$L117,IF($G117="Sản phẩm",'DM_NHAN_SU'!$K117*$N117,0))))))</f>
        <v/>
      </c>
      <c r="P117" s="224">
        <f>IF('DM_NHAN_SU'!$B117="","",'CHAM_CONG_THANG'!O117)</f>
        <v/>
      </c>
      <c r="Q117" s="224">
        <f>IF('DM_NHAN_SU'!$B117="","",'CHAM_CONG_THANG'!P117)</f>
        <v/>
      </c>
      <c r="R117" s="224">
        <f>IF('DM_NHAN_SU'!$B117="","",'CHAM_CONG_THANG'!Q117)</f>
        <v/>
      </c>
      <c r="S117" s="224">
        <f>IF('DM_NHAN_SU'!$B117="","",'CHAM_CONG_THANG'!R117)</f>
        <v/>
      </c>
      <c r="T117" s="224">
        <f>IF('DM_NHAN_SU'!$B117="","",'CHAM_CONG_THANG'!S117)</f>
        <v/>
      </c>
      <c r="U117" s="224">
        <f>IF('DM_NHAN_SU'!$B117="","",MIN($T117,'THAM_SO'!$F$6))</f>
        <v/>
      </c>
      <c r="V117" s="224">
        <f>IF('DM_NHAN_SU'!$B117="","",MAX($T117-$U117,0))</f>
        <v/>
      </c>
      <c r="W117" s="224">
        <f>IF('DM_NHAN_SU'!$B117="","",'CHAM_CONG_THANG'!T117)</f>
        <v/>
      </c>
      <c r="X117" s="224">
        <f>IF('DM_NHAN_SU'!$B117="","",'CHAM_CONG_THANG'!U117)</f>
        <v/>
      </c>
      <c r="Y117" s="224">
        <f>IF('DM_NHAN_SU'!$B117="","",IF($B117="",0,IF('DM_NHAN_SU'!$Q117&gt;0,'DM_NHAN_SU'!$Q117,IF($G117="Tháng",IF($I117*$J117&gt;0,'DM_NHAN_SU'!$K117/($I117*$J117),0),IF($G117="Ngày",IF($J117&gt;0,'DM_NHAN_SU'!$K117/$J117,0),IF($G117="Giờ",'DM_NHAN_SU'!$K117,0))))))</f>
        <v/>
      </c>
      <c r="Z117" s="224">
        <f>IF('DM_NHAN_SU'!$B117="","",$Y117*($M117*'THAM_SO'!$C$22+'CHAM_CONG_THANG'!$AF117*'THAM_SO'!$C$19+'CHAM_CONG_THANG'!$AG117*'THAM_SO'!$C$20+'CHAM_CONG_THANG'!$AH117*'THAM_SO'!$C$21+'CHAM_CONG_THANG'!$AI117*'THAM_SO'!$C$23+'CHAM_CONG_THANG'!$AJ117*'THAM_SO'!$C$24+'CHAM_CONG_THANG'!$AK117*'THAM_SO'!$C$25))</f>
        <v/>
      </c>
      <c r="AA117" s="224">
        <f>IF('DM_NHAN_SU'!$B117="","",MAX(0,$Y117*($M117*IF('THAM_SO'!$C$22&gt;='THAM_SO'!$B$22,'THAM_SO'!$B$22,0)+'CHAM_CONG_THANG'!$AF117*IF('THAM_SO'!$C$19&gt;='THAM_SO'!$B$19,'THAM_SO'!$B$19,0)+'CHAM_CONG_THANG'!$AG117*IF('THAM_SO'!$C$20&gt;='THAM_SO'!$B$20,'THAM_SO'!$B$20,0)+'CHAM_CONG_THANG'!$AH117*IF('THAM_SO'!$C$21&gt;='THAM_SO'!$B$21,'THAM_SO'!$B$21,0)+'CHAM_CONG_THANG'!$AI117*IF('THAM_SO'!$C$23&gt;='THAM_SO'!$B$23,'THAM_SO'!$B$23,0)+'CHAM_CONG_THANG'!$AJ117*IF('THAM_SO'!$C$24&gt;='THAM_SO'!$B$24,'THAM_SO'!$B$24,0)+'CHAM_CONG_THANG'!$AK117*IF('THAM_SO'!$C$25&gt;='THAM_SO'!$B$25,'THAM_SO'!$B$25,0))-'CHAM_CONG_THANG'!$V117))</f>
        <v/>
      </c>
      <c r="AB117" s="224">
        <f>IF('DM_NHAN_SU'!$B117="","",MAX($Z117-$AA117,0))</f>
        <v/>
      </c>
      <c r="AC117" s="224">
        <f>IF('DM_NHAN_SU'!$B117="","",$O117+$P117+$Q117+$R117+$S117+$V117+$AB117+$BO117+$BP117+$BQ117+$BR117)</f>
        <v/>
      </c>
      <c r="AD117" s="224">
        <f>IF('DM_NHAN_SU'!$B117="","",'DM_NHAN_SU'!N117+'DM_NHAN_SU'!O117+'DM_NHAN_SU'!P117)</f>
        <v/>
      </c>
      <c r="AE117" s="224">
        <f>IF('DM_NHAN_SU'!$B117="","",IF(OR('DM_NHAN_SU'!$R117&lt;&gt;"Có",'CHAM_CONG_THANG'!$AA117="Có",$BL117&gt;=14,$AD117&lt;=0),0,MIN(MAX($AD117,'THAM_SO'!$M$6),'THAM_SO'!$M$7)))</f>
        <v/>
      </c>
      <c r="AF117" s="224">
        <f>IF('DM_NHAN_SU'!$B117="","",IF(OR('DM_NHAN_SU'!$S117&lt;&gt;"Có",'CHAM_CONG_THANG'!$AA117="Có",$BL117&gt;=14,$AD117&lt;=0),0,MIN(MAX($AD117,VLOOKUP($H117,'THAM_SO'!$L$17:$P$20,4,FALSE)),VLOOKUP($H117,'THAM_SO'!$L$17:$P$20,5,FALSE))))</f>
        <v/>
      </c>
      <c r="AG117" s="224">
        <f>IF('DM_NHAN_SU'!$B117="","",$AE117*'THAM_SO'!$M$8)</f>
        <v/>
      </c>
      <c r="AH117" s="224">
        <f>IF('DM_NHAN_SU'!$B117="","",$AE117*'THAM_SO'!$M$9)</f>
        <v/>
      </c>
      <c r="AI117" s="224">
        <f>IF('DM_NHAN_SU'!$B117="","",$AF117*'THAM_SO'!$M$10)</f>
        <v/>
      </c>
      <c r="AJ117" s="224">
        <f>IF('DM_NHAN_SU'!$B117="","",SUM($AG117:$AI117))</f>
        <v/>
      </c>
      <c r="AK117" s="224">
        <f>IF('DM_NHAN_SU'!$B117="","",IF($B117="",0,'THAM_SO'!$F$4))</f>
        <v/>
      </c>
      <c r="AL117" s="224">
        <f>IF('DM_NHAN_SU'!$B117="","",IF($B117="",0,'DM_NHAN_SU'!$T117*'THAM_SO'!$F$5))</f>
        <v/>
      </c>
      <c r="AM117" s="224">
        <f>IF('DM_NHAN_SU'!$B117="","",'CHAM_CONG_THANG'!W117)</f>
        <v/>
      </c>
      <c r="AN117" s="224">
        <f>IF('DM_NHAN_SU'!$B117="","",MAX($AC117-$AK117-$AL117-$AM117,0))</f>
        <v/>
      </c>
      <c r="AO117" s="224">
        <f>IF('DM_NHAN_SU'!$B117="","",IF($B117="","",IF($F117="Net",IF($AC117&lt;=$AK117+$AL117+$AM117,$AC117+$AJ117,$AJ117+$AK117+$AL117+$AM117+IF($AN117&lt;='THAM_SO'!$J$10,($AN117-'THAM_SO'!$I$10)/(1-'THAM_SO'!$H$10),IF($AN117&lt;='THAM_SO'!$J$11,($AN117-'THAM_SO'!$I$11)/(1-'THAM_SO'!$H$11),IF($AN117&lt;='THAM_SO'!$J$12,($AN117-'THAM_SO'!$I$12)/(1-'THAM_SO'!$H$12),IF($AN117&lt;='THAM_SO'!$J$13,($AN117-'THAM_SO'!$I$13)/(1-'THAM_SO'!$H$13),($AN117-'THAM_SO'!$I$14)/(1-'THAM_SO'!$H$14)))))),$AC117)))</f>
        <v/>
      </c>
      <c r="AP117" s="224">
        <f>IF('DM_NHAN_SU'!$B117="","",$U117+$W117+$X117+$AA117+$BS117)</f>
        <v/>
      </c>
      <c r="AQ117" s="224">
        <f>IF('DM_NHAN_SU'!$B117="","",MAX($AO117-$AJ117-$AK117-$AL117-$AM117,0))</f>
        <v/>
      </c>
      <c r="AR117" s="224">
        <f>IF('DM_NHAN_SU'!$B117="","",IF($AQ117&lt;=0,0,$AQ117*VLOOKUP($AQ117,'THAM_SO'!$F$10:$I$14,3,TRUE)-VLOOKUP($AQ117,'THAM_SO'!$F$10:$I$14,4,TRUE)))</f>
        <v/>
      </c>
      <c r="AS117" s="224">
        <f>IF('DM_NHAN_SU'!$B117="","",$AO117+$AP117)</f>
        <v/>
      </c>
      <c r="AT117" s="224">
        <f>IF('DM_NHAN_SU'!$B117="","",$AS117-$AJ117-$AR117)</f>
        <v/>
      </c>
      <c r="AU117" s="224">
        <f>IF('DM_NHAN_SU'!$B117="","",'CHAM_CONG_THANG'!X117)</f>
        <v/>
      </c>
      <c r="AV117" s="224">
        <f>IF('DM_NHAN_SU'!$B117="","",'CHAM_CONG_THANG'!Y117+'QT_NGHI_VIEC'!AD117)</f>
        <v/>
      </c>
      <c r="AW117" s="224">
        <f>IF('DM_NHAN_SU'!$B117="","",'CHAM_CONG_THANG'!Z117)</f>
        <v/>
      </c>
      <c r="AX117" s="224">
        <f>IF('DM_NHAN_SU'!$B117="","",$AT117-$AU117-$AV117-$AW117-$BV117)</f>
        <v/>
      </c>
      <c r="AY117" s="224">
        <f>IF('DM_NHAN_SU'!$B117="","",$AE117*'THAM_SO'!$M$11)</f>
        <v/>
      </c>
      <c r="AZ117" s="224">
        <f>IF('DM_NHAN_SU'!$B117="","",$AE117*'THAM_SO'!$M$12)</f>
        <v/>
      </c>
      <c r="BA117" s="224">
        <f>IF('DM_NHAN_SU'!$B117="","",$AF117*'THAM_SO'!$M$13)</f>
        <v/>
      </c>
      <c r="BB117" s="224">
        <f>IF('DM_NHAN_SU'!$B117="","",$AE117*'THAM_SO'!$M$14)</f>
        <v/>
      </c>
      <c r="BC117" s="224">
        <f>IF('DM_NHAN_SU'!$B117="","",SUM($AY117:$BB117))</f>
        <v/>
      </c>
      <c r="BD117" s="224">
        <f>IF('DM_NHAN_SU'!$B117="","",$AS117+$BC117)</f>
        <v/>
      </c>
      <c r="BE117" s="224">
        <f>IF('DM_NHAN_SU'!$B117="","",VLOOKUP($H117,'THAM_SO'!$L$17:$P$20,2,FALSE))</f>
        <v/>
      </c>
      <c r="BF117" s="224">
        <f>IF('DM_NHAN_SU'!$B117="","",VLOOKUP($H117,'THAM_SO'!$L$17:$P$20,3,FALSE))</f>
        <v/>
      </c>
      <c r="BG117" s="150">
        <f>IF('DM_NHAN_SU'!$B117="","",IF($B117="","",IF(COUNTIF('DM_NHAN_SU'!$B$6:$B$155,$B117)&gt;1,"Trùng mã NV; ","")&amp;IF(OR($F117="",$G117=""),"Thiếu loại/hình thức lương; ","")&amp;IF('CHAM_CONG_THANG'!$D117="","Chưa chọn nguồn công; ","")&amp;IF(AND('CHAM_CONG_THANG'!$D117="Theo ngày",COUNTIF('CHAM_CONG_NGAY'!$B$6:$B$4655,$B117)=0),"Chưa có chấm công ngày; ","")&amp;IF(OR($I117&lt;=0,$J117&lt;=0),"Thiếu công/giờ chuẩn; ","")&amp;IF(AND($G117="Tháng",'DM_NHAN_SU'!$K117&lt;$BE117),"Lương tháng dưới tối thiểu vùng; ","")&amp;IF(AND($G117="Ngày",'DM_NHAN_SU'!$K117/$J117&lt;$BF117),"Lương ngày quy đổi dưới tối thiểu giờ; ","")&amp;IF(AND($G117="Giờ",'DM_NHAN_SU'!$K117&lt;$BF117),"Lương giờ dưới tối thiểu vùng; ","")&amp;IF(AND($G117="Sản phẩm",$L117&gt;0,$O117/$L117&lt;$BF117),"Lương SP quy đổi dưới tối thiểu giờ; ","")&amp;IF(OR('THAM_SO'!$C$19&lt;'THAM_SO'!$B$19,'THAM_SO'!$C$20&lt;'THAM_SO'!$B$20,'THAM_SO'!$C$21&lt;'THAM_SO'!$B$21,'THAM_SO'!$C$22&lt;'THAM_SO'!$B$22,'THAM_SO'!$C$23&lt;'THAM_SO'!$B$23,'THAM_SO'!$C$24&lt;'THAM_SO'!$B$24,'THAM_SO'!$C$25&lt;'THAM_SO'!$B$25),"Hệ số OT/đêm DN thấp hơn luật; ","")&amp;IF(AND('DM_NHAN_SU'!$R117="Có",$AD117&lt;=0),"Thiếu căn cứ đóng BH; ","")&amp;IF(AND($AD117&gt;0,$AD117&lt;'THAM_SO'!$M$6),"Căn cứ BH dưới sàn – đã nâng sàn; ","")&amp;IF($AD117&gt;'THAM_SO'!$M$7,"Căn cứ BH vượt trần – đã giới hạn; ","")&amp;IF(AND($F117="Net",SUM('CHAM_CONG_THANG'!$AF117:$AK117)&gt;0,'DM_NHAN_SU'!$Q117&lt;=0),"Net có OT nhưng chưa khai lương giờ OT; ","")&amp;IF('CHAM_CONG_THANG'!$V117&gt;$Z117,"Phần OT không miễn lớn hơn tiền OT; ","")&amp;IF(AND($F117="Net",ABS($AT117-$AC117-$AP117)&gt;1),"Lệch quy đổi Net; ","")&amp;IF(AND($BH117&gt;0,'DM_NHAN_SU'!$AD117=""),"Có phép năm nhưng đang tạm dùng 12 ngày; ","")&amp;IF(AND($G117="Sản phẩm",SUM($BH117:$BJ117)&gt;0,'DM_NHAN_SU'!$AH117&lt;=0),"Lương sản phẩm thiếu đơn giá ngày phép/lễ; ","")&amp;IF(AND($BL117&gt;=14,'CHAM_CONG_THANG'!$AA117&lt;&gt;"Có"),"Thai sản từ 14 ngày: file tự dừng đóng BH – kiểm tra hồ sơ; ","")&amp;IF(AND('DM_NHAN_SU'!$AA117="Có",'DM_NHAN_SU'!$AB117=""),"Đoàn viên chưa chọn cách tính đoàn phí; ","")&amp;IF(AND('DM_NHAN_SU'!$AB117="Nhập tay",'DM_NHAN_SU'!$AC117&gt;'THAM_SO'!$M$26),"Đoàn phí nhập tay vượt trần thông dụng; ","")&amp;IF('NGHI_PHEP'!$L117&lt;&gt;"","Phép: "&amp;'NGHI_PHEP'!$L117,"")&amp;IF('CHE_DO_BHXH'!$AA117&lt;&gt;"","BHXH: "&amp;'CHE_DO_BHXH'!$AA117,"")&amp;IF('THUONG_T13_TET'!$O117&lt;&gt;"","Thưởng: "&amp;'THUONG_T13_TET'!$O117,"")&amp;IF('QT_NGHI_VIEC'!$AF117&lt;&gt;"","Nghỉ việc: "&amp;'QT_NGHI_VIEC'!$AF117,"")&amp;IF($AX117&lt;0,"Thực lĩnh âm; ","")&amp;IF(OR('DM_NHAN_SU'!$F117&gt;'THAM_SO'!$B$7,AND('DM_NHAN_SU'!$G117&lt;&gt;"",'DM_NHAN_SU'!$G117&lt;'THAM_SO'!$B$6)),"Ngoài kỳ trả lương; ","")))</f>
        <v/>
      </c>
      <c r="BH117" s="232">
        <f>IF('DM_NHAN_SU'!$B117="","",'CHAM_CONG_THANG'!AR117)</f>
        <v/>
      </c>
      <c r="BI117" s="232">
        <f>IF('DM_NHAN_SU'!$B117="","",'CHAM_CONG_THANG'!AS117)</f>
        <v/>
      </c>
      <c r="BJ117" s="232">
        <f>IF('DM_NHAN_SU'!$B117="","",'CHAM_CONG_THANG'!AT117)</f>
        <v/>
      </c>
      <c r="BK117" s="232">
        <f>IF('DM_NHAN_SU'!$B117="","",'CHAM_CONG_THANG'!AU117)</f>
        <v/>
      </c>
      <c r="BL117" s="232">
        <f>IF('DM_NHAN_SU'!$B117="","",'CHAM_CONG_THANG'!AV117)</f>
        <v/>
      </c>
      <c r="BM117" s="232">
        <f>IF('DM_NHAN_SU'!$B117="","",'CHAM_CONG_THANG'!AW117)</f>
        <v/>
      </c>
      <c r="BN117" s="232">
        <f>IF('DM_NHAN_SU'!$B117="","",SUM($K117,$BH117:$BJ117))</f>
        <v/>
      </c>
      <c r="BO117" s="224">
        <f>IF('DM_NHAN_SU'!$B117="","",IF($B117="",0,IF($G117="Tháng",IF($I117&gt;0,'DM_NHAN_SU'!$K117*MIN($BH117+$BJ117,MAX($I117-$K117,0))/$I117,0),IF($G117="Ngày",'DM_NHAN_SU'!$K117*SUM($BH117:$BJ117),IF($G117="Giờ",'DM_NHAN_SU'!$K117*SUM($BH117:$BJ117)*$J117,IF($G117="Sản phẩm",'DM_NHAN_SU'!$AH117*SUM($BH117:$BJ117),0))))))</f>
        <v/>
      </c>
      <c r="BP117" s="224">
        <f>IF('DM_NHAN_SU'!$B117="","",IF('THUONG_T13_TET'!$L117="Có",'THUONG_T13_TET'!$I117,0))</f>
        <v/>
      </c>
      <c r="BQ117" s="224">
        <f>IF('DM_NHAN_SU'!$B117="","",IF('THUONG_T13_TET'!$L117="Có",SUM('THUONG_T13_TET'!$J117:$K117),0))</f>
        <v/>
      </c>
      <c r="BR117" s="224">
        <f>IF('DM_NHAN_SU'!$B117="","",'QT_NGHI_VIEC'!AC117)</f>
        <v/>
      </c>
      <c r="BS117" s="224">
        <f>IF('DM_NHAN_SU'!$B117="","",'QT_NGHI_VIEC'!AB117)</f>
        <v/>
      </c>
      <c r="BT117" s="224">
        <f>IF('DM_NHAN_SU'!$B117="","",IF('CHE_DO_BHXH'!$Z117="Có",'CHE_DO_BHXH'!$W117,0))</f>
        <v/>
      </c>
      <c r="BU117" s="224">
        <f>IF('DM_NHAN_SU'!$B117="","",IF('CHE_DO_BHXH'!$Y117="DN trả thay",$BT117,0))</f>
        <v/>
      </c>
      <c r="BV117" s="224">
        <f>IF('DM_NHAN_SU'!$B117="","",IF(OR('DM_NHAN_SU'!$AA117&lt;&gt;"Có",'CHE_DO_BHXH'!$O117&gt;=1,SUM('CHE_DO_BHXH'!$D117,'CHE_DO_BHXH'!$G117,'CHE_DO_BHXH'!$K117)&gt;=24,AND($I117&gt;0,$BM117&gt;=$I117)),0,IF('DM_NHAN_SU'!$AB117="Không",0,IF('DM_NHAN_SU'!$AB117="Nhập tay",'DM_NHAN_SU'!$AC117,IF('DM_NHAN_SU'!$AB117="Theo thực nhận",MIN(MAX($AT117-$AU117-$AV117-$AW117,0)*'THAM_SO'!$M$23,'THAM_SO'!$M$26),MIN($AE117*'THAM_SO'!$M$23,'THAM_SO'!$M$26))))))</f>
        <v/>
      </c>
      <c r="BW117" s="224">
        <f>IF('DM_NHAN_SU'!$B117="","",$AX117+$BU117)</f>
        <v/>
      </c>
    </row>
    <row r="118">
      <c r="A118" s="145">
        <f>IF('DM_NHAN_SU'!$B118="","",IF($B118="","",ROW()-5))</f>
        <v/>
      </c>
      <c r="B118" s="145">
        <f>IF('DM_NHAN_SU'!$B118="","",'DM_NHAN_SU'!B118)</f>
        <v/>
      </c>
      <c r="C118" s="145">
        <f>IF('DM_NHAN_SU'!$B118="","",'DM_NHAN_SU'!C118)</f>
        <v/>
      </c>
      <c r="D118" s="145">
        <f>IF('DM_NHAN_SU'!$B118="","",'DM_NHAN_SU'!D118)</f>
        <v/>
      </c>
      <c r="E118" s="145">
        <f>IF('DM_NHAN_SU'!$B118="","",'DM_NHAN_SU'!E118)</f>
        <v/>
      </c>
      <c r="F118" s="145">
        <f>IF('DM_NHAN_SU'!$B118="","",'DM_NHAN_SU'!I118)</f>
        <v/>
      </c>
      <c r="G118" s="145">
        <f>IF('DM_NHAN_SU'!$B118="","",'DM_NHAN_SU'!J118)</f>
        <v/>
      </c>
      <c r="H118" s="145">
        <f>IF('DM_NHAN_SU'!$B118="","",IF('DM_NHAN_SU'!H118="",'THAM_SO'!$B$11,'DM_NHAN_SU'!H118))</f>
        <v/>
      </c>
      <c r="I118" s="232">
        <f>IF('DM_NHAN_SU'!$B118="","",IF('DM_NHAN_SU'!L118&gt;0,'DM_NHAN_SU'!L118,'THAM_SO'!$B$9))</f>
        <v/>
      </c>
      <c r="J118" s="232">
        <f>IF('DM_NHAN_SU'!$B118="","",IF('DM_NHAN_SU'!M118&gt;0,'DM_NHAN_SU'!M118,'THAM_SO'!$B$10))</f>
        <v/>
      </c>
      <c r="K118" s="232">
        <f>IF('DM_NHAN_SU'!$B118="","",'CHAM_CONG_THANG'!AC118)</f>
        <v/>
      </c>
      <c r="L118" s="232">
        <f>IF('DM_NHAN_SU'!$B118="","",'CHAM_CONG_THANG'!AD118)</f>
        <v/>
      </c>
      <c r="M118" s="232">
        <f>IF('DM_NHAN_SU'!$B118="","",'CHAM_CONG_THANG'!AE118)</f>
        <v/>
      </c>
      <c r="N118" s="232">
        <f>IF('DM_NHAN_SU'!$B118="","",'CHAM_CONG_THANG'!N118)</f>
        <v/>
      </c>
      <c r="O118" s="224">
        <f>IF('DM_NHAN_SU'!$B118="","",IF($B118="","",IF($G118="Tháng",IF($I118&gt;0,'DM_NHAN_SU'!$K118*MIN($K118,$I118)/$I118,0),IF($G118="Ngày",'DM_NHAN_SU'!$K118*$K118,IF($G118="Giờ",'DM_NHAN_SU'!$K118*$L118,IF($G118="Sản phẩm",'DM_NHAN_SU'!$K118*$N118,0))))))</f>
        <v/>
      </c>
      <c r="P118" s="224">
        <f>IF('DM_NHAN_SU'!$B118="","",'CHAM_CONG_THANG'!O118)</f>
        <v/>
      </c>
      <c r="Q118" s="224">
        <f>IF('DM_NHAN_SU'!$B118="","",'CHAM_CONG_THANG'!P118)</f>
        <v/>
      </c>
      <c r="R118" s="224">
        <f>IF('DM_NHAN_SU'!$B118="","",'CHAM_CONG_THANG'!Q118)</f>
        <v/>
      </c>
      <c r="S118" s="224">
        <f>IF('DM_NHAN_SU'!$B118="","",'CHAM_CONG_THANG'!R118)</f>
        <v/>
      </c>
      <c r="T118" s="224">
        <f>IF('DM_NHAN_SU'!$B118="","",'CHAM_CONG_THANG'!S118)</f>
        <v/>
      </c>
      <c r="U118" s="224">
        <f>IF('DM_NHAN_SU'!$B118="","",MIN($T118,'THAM_SO'!$F$6))</f>
        <v/>
      </c>
      <c r="V118" s="224">
        <f>IF('DM_NHAN_SU'!$B118="","",MAX($T118-$U118,0))</f>
        <v/>
      </c>
      <c r="W118" s="224">
        <f>IF('DM_NHAN_SU'!$B118="","",'CHAM_CONG_THANG'!T118)</f>
        <v/>
      </c>
      <c r="X118" s="224">
        <f>IF('DM_NHAN_SU'!$B118="","",'CHAM_CONG_THANG'!U118)</f>
        <v/>
      </c>
      <c r="Y118" s="224">
        <f>IF('DM_NHAN_SU'!$B118="","",IF($B118="",0,IF('DM_NHAN_SU'!$Q118&gt;0,'DM_NHAN_SU'!$Q118,IF($G118="Tháng",IF($I118*$J118&gt;0,'DM_NHAN_SU'!$K118/($I118*$J118),0),IF($G118="Ngày",IF($J118&gt;0,'DM_NHAN_SU'!$K118/$J118,0),IF($G118="Giờ",'DM_NHAN_SU'!$K118,0))))))</f>
        <v/>
      </c>
      <c r="Z118" s="224">
        <f>IF('DM_NHAN_SU'!$B118="","",$Y118*($M118*'THAM_SO'!$C$22+'CHAM_CONG_THANG'!$AF118*'THAM_SO'!$C$19+'CHAM_CONG_THANG'!$AG118*'THAM_SO'!$C$20+'CHAM_CONG_THANG'!$AH118*'THAM_SO'!$C$21+'CHAM_CONG_THANG'!$AI118*'THAM_SO'!$C$23+'CHAM_CONG_THANG'!$AJ118*'THAM_SO'!$C$24+'CHAM_CONG_THANG'!$AK118*'THAM_SO'!$C$25))</f>
        <v/>
      </c>
      <c r="AA118" s="224">
        <f>IF('DM_NHAN_SU'!$B118="","",MAX(0,$Y118*($M118*IF('THAM_SO'!$C$22&gt;='THAM_SO'!$B$22,'THAM_SO'!$B$22,0)+'CHAM_CONG_THANG'!$AF118*IF('THAM_SO'!$C$19&gt;='THAM_SO'!$B$19,'THAM_SO'!$B$19,0)+'CHAM_CONG_THANG'!$AG118*IF('THAM_SO'!$C$20&gt;='THAM_SO'!$B$20,'THAM_SO'!$B$20,0)+'CHAM_CONG_THANG'!$AH118*IF('THAM_SO'!$C$21&gt;='THAM_SO'!$B$21,'THAM_SO'!$B$21,0)+'CHAM_CONG_THANG'!$AI118*IF('THAM_SO'!$C$23&gt;='THAM_SO'!$B$23,'THAM_SO'!$B$23,0)+'CHAM_CONG_THANG'!$AJ118*IF('THAM_SO'!$C$24&gt;='THAM_SO'!$B$24,'THAM_SO'!$B$24,0)+'CHAM_CONG_THANG'!$AK118*IF('THAM_SO'!$C$25&gt;='THAM_SO'!$B$25,'THAM_SO'!$B$25,0))-'CHAM_CONG_THANG'!$V118))</f>
        <v/>
      </c>
      <c r="AB118" s="224">
        <f>IF('DM_NHAN_SU'!$B118="","",MAX($Z118-$AA118,0))</f>
        <v/>
      </c>
      <c r="AC118" s="224">
        <f>IF('DM_NHAN_SU'!$B118="","",$O118+$P118+$Q118+$R118+$S118+$V118+$AB118+$BO118+$BP118+$BQ118+$BR118)</f>
        <v/>
      </c>
      <c r="AD118" s="224">
        <f>IF('DM_NHAN_SU'!$B118="","",'DM_NHAN_SU'!N118+'DM_NHAN_SU'!O118+'DM_NHAN_SU'!P118)</f>
        <v/>
      </c>
      <c r="AE118" s="224">
        <f>IF('DM_NHAN_SU'!$B118="","",IF(OR('DM_NHAN_SU'!$R118&lt;&gt;"Có",'CHAM_CONG_THANG'!$AA118="Có",$BL118&gt;=14,$AD118&lt;=0),0,MIN(MAX($AD118,'THAM_SO'!$M$6),'THAM_SO'!$M$7)))</f>
        <v/>
      </c>
      <c r="AF118" s="224">
        <f>IF('DM_NHAN_SU'!$B118="","",IF(OR('DM_NHAN_SU'!$S118&lt;&gt;"Có",'CHAM_CONG_THANG'!$AA118="Có",$BL118&gt;=14,$AD118&lt;=0),0,MIN(MAX($AD118,VLOOKUP($H118,'THAM_SO'!$L$17:$P$20,4,FALSE)),VLOOKUP($H118,'THAM_SO'!$L$17:$P$20,5,FALSE))))</f>
        <v/>
      </c>
      <c r="AG118" s="224">
        <f>IF('DM_NHAN_SU'!$B118="","",$AE118*'THAM_SO'!$M$8)</f>
        <v/>
      </c>
      <c r="AH118" s="224">
        <f>IF('DM_NHAN_SU'!$B118="","",$AE118*'THAM_SO'!$M$9)</f>
        <v/>
      </c>
      <c r="AI118" s="224">
        <f>IF('DM_NHAN_SU'!$B118="","",$AF118*'THAM_SO'!$M$10)</f>
        <v/>
      </c>
      <c r="AJ118" s="224">
        <f>IF('DM_NHAN_SU'!$B118="","",SUM($AG118:$AI118))</f>
        <v/>
      </c>
      <c r="AK118" s="224">
        <f>IF('DM_NHAN_SU'!$B118="","",IF($B118="",0,'THAM_SO'!$F$4))</f>
        <v/>
      </c>
      <c r="AL118" s="224">
        <f>IF('DM_NHAN_SU'!$B118="","",IF($B118="",0,'DM_NHAN_SU'!$T118*'THAM_SO'!$F$5))</f>
        <v/>
      </c>
      <c r="AM118" s="224">
        <f>IF('DM_NHAN_SU'!$B118="","",'CHAM_CONG_THANG'!W118)</f>
        <v/>
      </c>
      <c r="AN118" s="224">
        <f>IF('DM_NHAN_SU'!$B118="","",MAX($AC118-$AK118-$AL118-$AM118,0))</f>
        <v/>
      </c>
      <c r="AO118" s="224">
        <f>IF('DM_NHAN_SU'!$B118="","",IF($B118="","",IF($F118="Net",IF($AC118&lt;=$AK118+$AL118+$AM118,$AC118+$AJ118,$AJ118+$AK118+$AL118+$AM118+IF($AN118&lt;='THAM_SO'!$J$10,($AN118-'THAM_SO'!$I$10)/(1-'THAM_SO'!$H$10),IF($AN118&lt;='THAM_SO'!$J$11,($AN118-'THAM_SO'!$I$11)/(1-'THAM_SO'!$H$11),IF($AN118&lt;='THAM_SO'!$J$12,($AN118-'THAM_SO'!$I$12)/(1-'THAM_SO'!$H$12),IF($AN118&lt;='THAM_SO'!$J$13,($AN118-'THAM_SO'!$I$13)/(1-'THAM_SO'!$H$13),($AN118-'THAM_SO'!$I$14)/(1-'THAM_SO'!$H$14)))))),$AC118)))</f>
        <v/>
      </c>
      <c r="AP118" s="224">
        <f>IF('DM_NHAN_SU'!$B118="","",$U118+$W118+$X118+$AA118+$BS118)</f>
        <v/>
      </c>
      <c r="AQ118" s="224">
        <f>IF('DM_NHAN_SU'!$B118="","",MAX($AO118-$AJ118-$AK118-$AL118-$AM118,0))</f>
        <v/>
      </c>
      <c r="AR118" s="224">
        <f>IF('DM_NHAN_SU'!$B118="","",IF($AQ118&lt;=0,0,$AQ118*VLOOKUP($AQ118,'THAM_SO'!$F$10:$I$14,3,TRUE)-VLOOKUP($AQ118,'THAM_SO'!$F$10:$I$14,4,TRUE)))</f>
        <v/>
      </c>
      <c r="AS118" s="224">
        <f>IF('DM_NHAN_SU'!$B118="","",$AO118+$AP118)</f>
        <v/>
      </c>
      <c r="AT118" s="224">
        <f>IF('DM_NHAN_SU'!$B118="","",$AS118-$AJ118-$AR118)</f>
        <v/>
      </c>
      <c r="AU118" s="224">
        <f>IF('DM_NHAN_SU'!$B118="","",'CHAM_CONG_THANG'!X118)</f>
        <v/>
      </c>
      <c r="AV118" s="224">
        <f>IF('DM_NHAN_SU'!$B118="","",'CHAM_CONG_THANG'!Y118+'QT_NGHI_VIEC'!AD118)</f>
        <v/>
      </c>
      <c r="AW118" s="224">
        <f>IF('DM_NHAN_SU'!$B118="","",'CHAM_CONG_THANG'!Z118)</f>
        <v/>
      </c>
      <c r="AX118" s="224">
        <f>IF('DM_NHAN_SU'!$B118="","",$AT118-$AU118-$AV118-$AW118-$BV118)</f>
        <v/>
      </c>
      <c r="AY118" s="224">
        <f>IF('DM_NHAN_SU'!$B118="","",$AE118*'THAM_SO'!$M$11)</f>
        <v/>
      </c>
      <c r="AZ118" s="224">
        <f>IF('DM_NHAN_SU'!$B118="","",$AE118*'THAM_SO'!$M$12)</f>
        <v/>
      </c>
      <c r="BA118" s="224">
        <f>IF('DM_NHAN_SU'!$B118="","",$AF118*'THAM_SO'!$M$13)</f>
        <v/>
      </c>
      <c r="BB118" s="224">
        <f>IF('DM_NHAN_SU'!$B118="","",$AE118*'THAM_SO'!$M$14)</f>
        <v/>
      </c>
      <c r="BC118" s="224">
        <f>IF('DM_NHAN_SU'!$B118="","",SUM($AY118:$BB118))</f>
        <v/>
      </c>
      <c r="BD118" s="224">
        <f>IF('DM_NHAN_SU'!$B118="","",$AS118+$BC118)</f>
        <v/>
      </c>
      <c r="BE118" s="224">
        <f>IF('DM_NHAN_SU'!$B118="","",VLOOKUP($H118,'THAM_SO'!$L$17:$P$20,2,FALSE))</f>
        <v/>
      </c>
      <c r="BF118" s="224">
        <f>IF('DM_NHAN_SU'!$B118="","",VLOOKUP($H118,'THAM_SO'!$L$17:$P$20,3,FALSE))</f>
        <v/>
      </c>
      <c r="BG118" s="150">
        <f>IF('DM_NHAN_SU'!$B118="","",IF($B118="","",IF(COUNTIF('DM_NHAN_SU'!$B$6:$B$155,$B118)&gt;1,"Trùng mã NV; ","")&amp;IF(OR($F118="",$G118=""),"Thiếu loại/hình thức lương; ","")&amp;IF('CHAM_CONG_THANG'!$D118="","Chưa chọn nguồn công; ","")&amp;IF(AND('CHAM_CONG_THANG'!$D118="Theo ngày",COUNTIF('CHAM_CONG_NGAY'!$B$6:$B$4655,$B118)=0),"Chưa có chấm công ngày; ","")&amp;IF(OR($I118&lt;=0,$J118&lt;=0),"Thiếu công/giờ chuẩn; ","")&amp;IF(AND($G118="Tháng",'DM_NHAN_SU'!$K118&lt;$BE118),"Lương tháng dưới tối thiểu vùng; ","")&amp;IF(AND($G118="Ngày",'DM_NHAN_SU'!$K118/$J118&lt;$BF118),"Lương ngày quy đổi dưới tối thiểu giờ; ","")&amp;IF(AND($G118="Giờ",'DM_NHAN_SU'!$K118&lt;$BF118),"Lương giờ dưới tối thiểu vùng; ","")&amp;IF(AND($G118="Sản phẩm",$L118&gt;0,$O118/$L118&lt;$BF118),"Lương SP quy đổi dưới tối thiểu giờ; ","")&amp;IF(OR('THAM_SO'!$C$19&lt;'THAM_SO'!$B$19,'THAM_SO'!$C$20&lt;'THAM_SO'!$B$20,'THAM_SO'!$C$21&lt;'THAM_SO'!$B$21,'THAM_SO'!$C$22&lt;'THAM_SO'!$B$22,'THAM_SO'!$C$23&lt;'THAM_SO'!$B$23,'THAM_SO'!$C$24&lt;'THAM_SO'!$B$24,'THAM_SO'!$C$25&lt;'THAM_SO'!$B$25),"Hệ số OT/đêm DN thấp hơn luật; ","")&amp;IF(AND('DM_NHAN_SU'!$R118="Có",$AD118&lt;=0),"Thiếu căn cứ đóng BH; ","")&amp;IF(AND($AD118&gt;0,$AD118&lt;'THAM_SO'!$M$6),"Căn cứ BH dưới sàn – đã nâng sàn; ","")&amp;IF($AD118&gt;'THAM_SO'!$M$7,"Căn cứ BH vượt trần – đã giới hạn; ","")&amp;IF(AND($F118="Net",SUM('CHAM_CONG_THANG'!$AF118:$AK118)&gt;0,'DM_NHAN_SU'!$Q118&lt;=0),"Net có OT nhưng chưa khai lương giờ OT; ","")&amp;IF('CHAM_CONG_THANG'!$V118&gt;$Z118,"Phần OT không miễn lớn hơn tiền OT; ","")&amp;IF(AND($F118="Net",ABS($AT118-$AC118-$AP118)&gt;1),"Lệch quy đổi Net; ","")&amp;IF(AND($BH118&gt;0,'DM_NHAN_SU'!$AD118=""),"Có phép năm nhưng đang tạm dùng 12 ngày; ","")&amp;IF(AND($G118="Sản phẩm",SUM($BH118:$BJ118)&gt;0,'DM_NHAN_SU'!$AH118&lt;=0),"Lương sản phẩm thiếu đơn giá ngày phép/lễ; ","")&amp;IF(AND($BL118&gt;=14,'CHAM_CONG_THANG'!$AA118&lt;&gt;"Có"),"Thai sản từ 14 ngày: file tự dừng đóng BH – kiểm tra hồ sơ; ","")&amp;IF(AND('DM_NHAN_SU'!$AA118="Có",'DM_NHAN_SU'!$AB118=""),"Đoàn viên chưa chọn cách tính đoàn phí; ","")&amp;IF(AND('DM_NHAN_SU'!$AB118="Nhập tay",'DM_NHAN_SU'!$AC118&gt;'THAM_SO'!$M$26),"Đoàn phí nhập tay vượt trần thông dụng; ","")&amp;IF('NGHI_PHEP'!$L118&lt;&gt;"","Phép: "&amp;'NGHI_PHEP'!$L118,"")&amp;IF('CHE_DO_BHXH'!$AA118&lt;&gt;"","BHXH: "&amp;'CHE_DO_BHXH'!$AA118,"")&amp;IF('THUONG_T13_TET'!$O118&lt;&gt;"","Thưởng: "&amp;'THUONG_T13_TET'!$O118,"")&amp;IF('QT_NGHI_VIEC'!$AF118&lt;&gt;"","Nghỉ việc: "&amp;'QT_NGHI_VIEC'!$AF118,"")&amp;IF($AX118&lt;0,"Thực lĩnh âm; ","")&amp;IF(OR('DM_NHAN_SU'!$F118&gt;'THAM_SO'!$B$7,AND('DM_NHAN_SU'!$G118&lt;&gt;"",'DM_NHAN_SU'!$G118&lt;'THAM_SO'!$B$6)),"Ngoài kỳ trả lương; ","")))</f>
        <v/>
      </c>
      <c r="BH118" s="232">
        <f>IF('DM_NHAN_SU'!$B118="","",'CHAM_CONG_THANG'!AR118)</f>
        <v/>
      </c>
      <c r="BI118" s="232">
        <f>IF('DM_NHAN_SU'!$B118="","",'CHAM_CONG_THANG'!AS118)</f>
        <v/>
      </c>
      <c r="BJ118" s="232">
        <f>IF('DM_NHAN_SU'!$B118="","",'CHAM_CONG_THANG'!AT118)</f>
        <v/>
      </c>
      <c r="BK118" s="232">
        <f>IF('DM_NHAN_SU'!$B118="","",'CHAM_CONG_THANG'!AU118)</f>
        <v/>
      </c>
      <c r="BL118" s="232">
        <f>IF('DM_NHAN_SU'!$B118="","",'CHAM_CONG_THANG'!AV118)</f>
        <v/>
      </c>
      <c r="BM118" s="232">
        <f>IF('DM_NHAN_SU'!$B118="","",'CHAM_CONG_THANG'!AW118)</f>
        <v/>
      </c>
      <c r="BN118" s="232">
        <f>IF('DM_NHAN_SU'!$B118="","",SUM($K118,$BH118:$BJ118))</f>
        <v/>
      </c>
      <c r="BO118" s="224">
        <f>IF('DM_NHAN_SU'!$B118="","",IF($B118="",0,IF($G118="Tháng",IF($I118&gt;0,'DM_NHAN_SU'!$K118*MIN($BH118+$BJ118,MAX($I118-$K118,0))/$I118,0),IF($G118="Ngày",'DM_NHAN_SU'!$K118*SUM($BH118:$BJ118),IF($G118="Giờ",'DM_NHAN_SU'!$K118*SUM($BH118:$BJ118)*$J118,IF($G118="Sản phẩm",'DM_NHAN_SU'!$AH118*SUM($BH118:$BJ118),0))))))</f>
        <v/>
      </c>
      <c r="BP118" s="224">
        <f>IF('DM_NHAN_SU'!$B118="","",IF('THUONG_T13_TET'!$L118="Có",'THUONG_T13_TET'!$I118,0))</f>
        <v/>
      </c>
      <c r="BQ118" s="224">
        <f>IF('DM_NHAN_SU'!$B118="","",IF('THUONG_T13_TET'!$L118="Có",SUM('THUONG_T13_TET'!$J118:$K118),0))</f>
        <v/>
      </c>
      <c r="BR118" s="224">
        <f>IF('DM_NHAN_SU'!$B118="","",'QT_NGHI_VIEC'!AC118)</f>
        <v/>
      </c>
      <c r="BS118" s="224">
        <f>IF('DM_NHAN_SU'!$B118="","",'QT_NGHI_VIEC'!AB118)</f>
        <v/>
      </c>
      <c r="BT118" s="224">
        <f>IF('DM_NHAN_SU'!$B118="","",IF('CHE_DO_BHXH'!$Z118="Có",'CHE_DO_BHXH'!$W118,0))</f>
        <v/>
      </c>
      <c r="BU118" s="224">
        <f>IF('DM_NHAN_SU'!$B118="","",IF('CHE_DO_BHXH'!$Y118="DN trả thay",$BT118,0))</f>
        <v/>
      </c>
      <c r="BV118" s="224">
        <f>IF('DM_NHAN_SU'!$B118="","",IF(OR('DM_NHAN_SU'!$AA118&lt;&gt;"Có",'CHE_DO_BHXH'!$O118&gt;=1,SUM('CHE_DO_BHXH'!$D118,'CHE_DO_BHXH'!$G118,'CHE_DO_BHXH'!$K118)&gt;=24,AND($I118&gt;0,$BM118&gt;=$I118)),0,IF('DM_NHAN_SU'!$AB118="Không",0,IF('DM_NHAN_SU'!$AB118="Nhập tay",'DM_NHAN_SU'!$AC118,IF('DM_NHAN_SU'!$AB118="Theo thực nhận",MIN(MAX($AT118-$AU118-$AV118-$AW118,0)*'THAM_SO'!$M$23,'THAM_SO'!$M$26),MIN($AE118*'THAM_SO'!$M$23,'THAM_SO'!$M$26))))))</f>
        <v/>
      </c>
      <c r="BW118" s="224">
        <f>IF('DM_NHAN_SU'!$B118="","",$AX118+$BU118)</f>
        <v/>
      </c>
    </row>
    <row r="119">
      <c r="A119" s="145">
        <f>IF('DM_NHAN_SU'!$B119="","",IF($B119="","",ROW()-5))</f>
        <v/>
      </c>
      <c r="B119" s="145">
        <f>IF('DM_NHAN_SU'!$B119="","",'DM_NHAN_SU'!B119)</f>
        <v/>
      </c>
      <c r="C119" s="145">
        <f>IF('DM_NHAN_SU'!$B119="","",'DM_NHAN_SU'!C119)</f>
        <v/>
      </c>
      <c r="D119" s="145">
        <f>IF('DM_NHAN_SU'!$B119="","",'DM_NHAN_SU'!D119)</f>
        <v/>
      </c>
      <c r="E119" s="145">
        <f>IF('DM_NHAN_SU'!$B119="","",'DM_NHAN_SU'!E119)</f>
        <v/>
      </c>
      <c r="F119" s="145">
        <f>IF('DM_NHAN_SU'!$B119="","",'DM_NHAN_SU'!I119)</f>
        <v/>
      </c>
      <c r="G119" s="145">
        <f>IF('DM_NHAN_SU'!$B119="","",'DM_NHAN_SU'!J119)</f>
        <v/>
      </c>
      <c r="H119" s="145">
        <f>IF('DM_NHAN_SU'!$B119="","",IF('DM_NHAN_SU'!H119="",'THAM_SO'!$B$11,'DM_NHAN_SU'!H119))</f>
        <v/>
      </c>
      <c r="I119" s="232">
        <f>IF('DM_NHAN_SU'!$B119="","",IF('DM_NHAN_SU'!L119&gt;0,'DM_NHAN_SU'!L119,'THAM_SO'!$B$9))</f>
        <v/>
      </c>
      <c r="J119" s="232">
        <f>IF('DM_NHAN_SU'!$B119="","",IF('DM_NHAN_SU'!M119&gt;0,'DM_NHAN_SU'!M119,'THAM_SO'!$B$10))</f>
        <v/>
      </c>
      <c r="K119" s="232">
        <f>IF('DM_NHAN_SU'!$B119="","",'CHAM_CONG_THANG'!AC119)</f>
        <v/>
      </c>
      <c r="L119" s="232">
        <f>IF('DM_NHAN_SU'!$B119="","",'CHAM_CONG_THANG'!AD119)</f>
        <v/>
      </c>
      <c r="M119" s="232">
        <f>IF('DM_NHAN_SU'!$B119="","",'CHAM_CONG_THANG'!AE119)</f>
        <v/>
      </c>
      <c r="N119" s="232">
        <f>IF('DM_NHAN_SU'!$B119="","",'CHAM_CONG_THANG'!N119)</f>
        <v/>
      </c>
      <c r="O119" s="224">
        <f>IF('DM_NHAN_SU'!$B119="","",IF($B119="","",IF($G119="Tháng",IF($I119&gt;0,'DM_NHAN_SU'!$K119*MIN($K119,$I119)/$I119,0),IF($G119="Ngày",'DM_NHAN_SU'!$K119*$K119,IF($G119="Giờ",'DM_NHAN_SU'!$K119*$L119,IF($G119="Sản phẩm",'DM_NHAN_SU'!$K119*$N119,0))))))</f>
        <v/>
      </c>
      <c r="P119" s="224">
        <f>IF('DM_NHAN_SU'!$B119="","",'CHAM_CONG_THANG'!O119)</f>
        <v/>
      </c>
      <c r="Q119" s="224">
        <f>IF('DM_NHAN_SU'!$B119="","",'CHAM_CONG_THANG'!P119)</f>
        <v/>
      </c>
      <c r="R119" s="224">
        <f>IF('DM_NHAN_SU'!$B119="","",'CHAM_CONG_THANG'!Q119)</f>
        <v/>
      </c>
      <c r="S119" s="224">
        <f>IF('DM_NHAN_SU'!$B119="","",'CHAM_CONG_THANG'!R119)</f>
        <v/>
      </c>
      <c r="T119" s="224">
        <f>IF('DM_NHAN_SU'!$B119="","",'CHAM_CONG_THANG'!S119)</f>
        <v/>
      </c>
      <c r="U119" s="224">
        <f>IF('DM_NHAN_SU'!$B119="","",MIN($T119,'THAM_SO'!$F$6))</f>
        <v/>
      </c>
      <c r="V119" s="224">
        <f>IF('DM_NHAN_SU'!$B119="","",MAX($T119-$U119,0))</f>
        <v/>
      </c>
      <c r="W119" s="224">
        <f>IF('DM_NHAN_SU'!$B119="","",'CHAM_CONG_THANG'!T119)</f>
        <v/>
      </c>
      <c r="X119" s="224">
        <f>IF('DM_NHAN_SU'!$B119="","",'CHAM_CONG_THANG'!U119)</f>
        <v/>
      </c>
      <c r="Y119" s="224">
        <f>IF('DM_NHAN_SU'!$B119="","",IF($B119="",0,IF('DM_NHAN_SU'!$Q119&gt;0,'DM_NHAN_SU'!$Q119,IF($G119="Tháng",IF($I119*$J119&gt;0,'DM_NHAN_SU'!$K119/($I119*$J119),0),IF($G119="Ngày",IF($J119&gt;0,'DM_NHAN_SU'!$K119/$J119,0),IF($G119="Giờ",'DM_NHAN_SU'!$K119,0))))))</f>
        <v/>
      </c>
      <c r="Z119" s="224">
        <f>IF('DM_NHAN_SU'!$B119="","",$Y119*($M119*'THAM_SO'!$C$22+'CHAM_CONG_THANG'!$AF119*'THAM_SO'!$C$19+'CHAM_CONG_THANG'!$AG119*'THAM_SO'!$C$20+'CHAM_CONG_THANG'!$AH119*'THAM_SO'!$C$21+'CHAM_CONG_THANG'!$AI119*'THAM_SO'!$C$23+'CHAM_CONG_THANG'!$AJ119*'THAM_SO'!$C$24+'CHAM_CONG_THANG'!$AK119*'THAM_SO'!$C$25))</f>
        <v/>
      </c>
      <c r="AA119" s="224">
        <f>IF('DM_NHAN_SU'!$B119="","",MAX(0,$Y119*($M119*IF('THAM_SO'!$C$22&gt;='THAM_SO'!$B$22,'THAM_SO'!$B$22,0)+'CHAM_CONG_THANG'!$AF119*IF('THAM_SO'!$C$19&gt;='THAM_SO'!$B$19,'THAM_SO'!$B$19,0)+'CHAM_CONG_THANG'!$AG119*IF('THAM_SO'!$C$20&gt;='THAM_SO'!$B$20,'THAM_SO'!$B$20,0)+'CHAM_CONG_THANG'!$AH119*IF('THAM_SO'!$C$21&gt;='THAM_SO'!$B$21,'THAM_SO'!$B$21,0)+'CHAM_CONG_THANG'!$AI119*IF('THAM_SO'!$C$23&gt;='THAM_SO'!$B$23,'THAM_SO'!$B$23,0)+'CHAM_CONG_THANG'!$AJ119*IF('THAM_SO'!$C$24&gt;='THAM_SO'!$B$24,'THAM_SO'!$B$24,0)+'CHAM_CONG_THANG'!$AK119*IF('THAM_SO'!$C$25&gt;='THAM_SO'!$B$25,'THAM_SO'!$B$25,0))-'CHAM_CONG_THANG'!$V119))</f>
        <v/>
      </c>
      <c r="AB119" s="224">
        <f>IF('DM_NHAN_SU'!$B119="","",MAX($Z119-$AA119,0))</f>
        <v/>
      </c>
      <c r="AC119" s="224">
        <f>IF('DM_NHAN_SU'!$B119="","",$O119+$P119+$Q119+$R119+$S119+$V119+$AB119+$BO119+$BP119+$BQ119+$BR119)</f>
        <v/>
      </c>
      <c r="AD119" s="224">
        <f>IF('DM_NHAN_SU'!$B119="","",'DM_NHAN_SU'!N119+'DM_NHAN_SU'!O119+'DM_NHAN_SU'!P119)</f>
        <v/>
      </c>
      <c r="AE119" s="224">
        <f>IF('DM_NHAN_SU'!$B119="","",IF(OR('DM_NHAN_SU'!$R119&lt;&gt;"Có",'CHAM_CONG_THANG'!$AA119="Có",$BL119&gt;=14,$AD119&lt;=0),0,MIN(MAX($AD119,'THAM_SO'!$M$6),'THAM_SO'!$M$7)))</f>
        <v/>
      </c>
      <c r="AF119" s="224">
        <f>IF('DM_NHAN_SU'!$B119="","",IF(OR('DM_NHAN_SU'!$S119&lt;&gt;"Có",'CHAM_CONG_THANG'!$AA119="Có",$BL119&gt;=14,$AD119&lt;=0),0,MIN(MAX($AD119,VLOOKUP($H119,'THAM_SO'!$L$17:$P$20,4,FALSE)),VLOOKUP($H119,'THAM_SO'!$L$17:$P$20,5,FALSE))))</f>
        <v/>
      </c>
      <c r="AG119" s="224">
        <f>IF('DM_NHAN_SU'!$B119="","",$AE119*'THAM_SO'!$M$8)</f>
        <v/>
      </c>
      <c r="AH119" s="224">
        <f>IF('DM_NHAN_SU'!$B119="","",$AE119*'THAM_SO'!$M$9)</f>
        <v/>
      </c>
      <c r="AI119" s="224">
        <f>IF('DM_NHAN_SU'!$B119="","",$AF119*'THAM_SO'!$M$10)</f>
        <v/>
      </c>
      <c r="AJ119" s="224">
        <f>IF('DM_NHAN_SU'!$B119="","",SUM($AG119:$AI119))</f>
        <v/>
      </c>
      <c r="AK119" s="224">
        <f>IF('DM_NHAN_SU'!$B119="","",IF($B119="",0,'THAM_SO'!$F$4))</f>
        <v/>
      </c>
      <c r="AL119" s="224">
        <f>IF('DM_NHAN_SU'!$B119="","",IF($B119="",0,'DM_NHAN_SU'!$T119*'THAM_SO'!$F$5))</f>
        <v/>
      </c>
      <c r="AM119" s="224">
        <f>IF('DM_NHAN_SU'!$B119="","",'CHAM_CONG_THANG'!W119)</f>
        <v/>
      </c>
      <c r="AN119" s="224">
        <f>IF('DM_NHAN_SU'!$B119="","",MAX($AC119-$AK119-$AL119-$AM119,0))</f>
        <v/>
      </c>
      <c r="AO119" s="224">
        <f>IF('DM_NHAN_SU'!$B119="","",IF($B119="","",IF($F119="Net",IF($AC119&lt;=$AK119+$AL119+$AM119,$AC119+$AJ119,$AJ119+$AK119+$AL119+$AM119+IF($AN119&lt;='THAM_SO'!$J$10,($AN119-'THAM_SO'!$I$10)/(1-'THAM_SO'!$H$10),IF($AN119&lt;='THAM_SO'!$J$11,($AN119-'THAM_SO'!$I$11)/(1-'THAM_SO'!$H$11),IF($AN119&lt;='THAM_SO'!$J$12,($AN119-'THAM_SO'!$I$12)/(1-'THAM_SO'!$H$12),IF($AN119&lt;='THAM_SO'!$J$13,($AN119-'THAM_SO'!$I$13)/(1-'THAM_SO'!$H$13),($AN119-'THAM_SO'!$I$14)/(1-'THAM_SO'!$H$14)))))),$AC119)))</f>
        <v/>
      </c>
      <c r="AP119" s="224">
        <f>IF('DM_NHAN_SU'!$B119="","",$U119+$W119+$X119+$AA119+$BS119)</f>
        <v/>
      </c>
      <c r="AQ119" s="224">
        <f>IF('DM_NHAN_SU'!$B119="","",MAX($AO119-$AJ119-$AK119-$AL119-$AM119,0))</f>
        <v/>
      </c>
      <c r="AR119" s="224">
        <f>IF('DM_NHAN_SU'!$B119="","",IF($AQ119&lt;=0,0,$AQ119*VLOOKUP($AQ119,'THAM_SO'!$F$10:$I$14,3,TRUE)-VLOOKUP($AQ119,'THAM_SO'!$F$10:$I$14,4,TRUE)))</f>
        <v/>
      </c>
      <c r="AS119" s="224">
        <f>IF('DM_NHAN_SU'!$B119="","",$AO119+$AP119)</f>
        <v/>
      </c>
      <c r="AT119" s="224">
        <f>IF('DM_NHAN_SU'!$B119="","",$AS119-$AJ119-$AR119)</f>
        <v/>
      </c>
      <c r="AU119" s="224">
        <f>IF('DM_NHAN_SU'!$B119="","",'CHAM_CONG_THANG'!X119)</f>
        <v/>
      </c>
      <c r="AV119" s="224">
        <f>IF('DM_NHAN_SU'!$B119="","",'CHAM_CONG_THANG'!Y119+'QT_NGHI_VIEC'!AD119)</f>
        <v/>
      </c>
      <c r="AW119" s="224">
        <f>IF('DM_NHAN_SU'!$B119="","",'CHAM_CONG_THANG'!Z119)</f>
        <v/>
      </c>
      <c r="AX119" s="224">
        <f>IF('DM_NHAN_SU'!$B119="","",$AT119-$AU119-$AV119-$AW119-$BV119)</f>
        <v/>
      </c>
      <c r="AY119" s="224">
        <f>IF('DM_NHAN_SU'!$B119="","",$AE119*'THAM_SO'!$M$11)</f>
        <v/>
      </c>
      <c r="AZ119" s="224">
        <f>IF('DM_NHAN_SU'!$B119="","",$AE119*'THAM_SO'!$M$12)</f>
        <v/>
      </c>
      <c r="BA119" s="224">
        <f>IF('DM_NHAN_SU'!$B119="","",$AF119*'THAM_SO'!$M$13)</f>
        <v/>
      </c>
      <c r="BB119" s="224">
        <f>IF('DM_NHAN_SU'!$B119="","",$AE119*'THAM_SO'!$M$14)</f>
        <v/>
      </c>
      <c r="BC119" s="224">
        <f>IF('DM_NHAN_SU'!$B119="","",SUM($AY119:$BB119))</f>
        <v/>
      </c>
      <c r="BD119" s="224">
        <f>IF('DM_NHAN_SU'!$B119="","",$AS119+$BC119)</f>
        <v/>
      </c>
      <c r="BE119" s="224">
        <f>IF('DM_NHAN_SU'!$B119="","",VLOOKUP($H119,'THAM_SO'!$L$17:$P$20,2,FALSE))</f>
        <v/>
      </c>
      <c r="BF119" s="224">
        <f>IF('DM_NHAN_SU'!$B119="","",VLOOKUP($H119,'THAM_SO'!$L$17:$P$20,3,FALSE))</f>
        <v/>
      </c>
      <c r="BG119" s="150">
        <f>IF('DM_NHAN_SU'!$B119="","",IF($B119="","",IF(COUNTIF('DM_NHAN_SU'!$B$6:$B$155,$B119)&gt;1,"Trùng mã NV; ","")&amp;IF(OR($F119="",$G119=""),"Thiếu loại/hình thức lương; ","")&amp;IF('CHAM_CONG_THANG'!$D119="","Chưa chọn nguồn công; ","")&amp;IF(AND('CHAM_CONG_THANG'!$D119="Theo ngày",COUNTIF('CHAM_CONG_NGAY'!$B$6:$B$4655,$B119)=0),"Chưa có chấm công ngày; ","")&amp;IF(OR($I119&lt;=0,$J119&lt;=0),"Thiếu công/giờ chuẩn; ","")&amp;IF(AND($G119="Tháng",'DM_NHAN_SU'!$K119&lt;$BE119),"Lương tháng dưới tối thiểu vùng; ","")&amp;IF(AND($G119="Ngày",'DM_NHAN_SU'!$K119/$J119&lt;$BF119),"Lương ngày quy đổi dưới tối thiểu giờ; ","")&amp;IF(AND($G119="Giờ",'DM_NHAN_SU'!$K119&lt;$BF119),"Lương giờ dưới tối thiểu vùng; ","")&amp;IF(AND($G119="Sản phẩm",$L119&gt;0,$O119/$L119&lt;$BF119),"Lương SP quy đổi dưới tối thiểu giờ; ","")&amp;IF(OR('THAM_SO'!$C$19&lt;'THAM_SO'!$B$19,'THAM_SO'!$C$20&lt;'THAM_SO'!$B$20,'THAM_SO'!$C$21&lt;'THAM_SO'!$B$21,'THAM_SO'!$C$22&lt;'THAM_SO'!$B$22,'THAM_SO'!$C$23&lt;'THAM_SO'!$B$23,'THAM_SO'!$C$24&lt;'THAM_SO'!$B$24,'THAM_SO'!$C$25&lt;'THAM_SO'!$B$25),"Hệ số OT/đêm DN thấp hơn luật; ","")&amp;IF(AND('DM_NHAN_SU'!$R119="Có",$AD119&lt;=0),"Thiếu căn cứ đóng BH; ","")&amp;IF(AND($AD119&gt;0,$AD119&lt;'THAM_SO'!$M$6),"Căn cứ BH dưới sàn – đã nâng sàn; ","")&amp;IF($AD119&gt;'THAM_SO'!$M$7,"Căn cứ BH vượt trần – đã giới hạn; ","")&amp;IF(AND($F119="Net",SUM('CHAM_CONG_THANG'!$AF119:$AK119)&gt;0,'DM_NHAN_SU'!$Q119&lt;=0),"Net có OT nhưng chưa khai lương giờ OT; ","")&amp;IF('CHAM_CONG_THANG'!$V119&gt;$Z119,"Phần OT không miễn lớn hơn tiền OT; ","")&amp;IF(AND($F119="Net",ABS($AT119-$AC119-$AP119)&gt;1),"Lệch quy đổi Net; ","")&amp;IF(AND($BH119&gt;0,'DM_NHAN_SU'!$AD119=""),"Có phép năm nhưng đang tạm dùng 12 ngày; ","")&amp;IF(AND($G119="Sản phẩm",SUM($BH119:$BJ119)&gt;0,'DM_NHAN_SU'!$AH119&lt;=0),"Lương sản phẩm thiếu đơn giá ngày phép/lễ; ","")&amp;IF(AND($BL119&gt;=14,'CHAM_CONG_THANG'!$AA119&lt;&gt;"Có"),"Thai sản từ 14 ngày: file tự dừng đóng BH – kiểm tra hồ sơ; ","")&amp;IF(AND('DM_NHAN_SU'!$AA119="Có",'DM_NHAN_SU'!$AB119=""),"Đoàn viên chưa chọn cách tính đoàn phí; ","")&amp;IF(AND('DM_NHAN_SU'!$AB119="Nhập tay",'DM_NHAN_SU'!$AC119&gt;'THAM_SO'!$M$26),"Đoàn phí nhập tay vượt trần thông dụng; ","")&amp;IF('NGHI_PHEP'!$L119&lt;&gt;"","Phép: "&amp;'NGHI_PHEP'!$L119,"")&amp;IF('CHE_DO_BHXH'!$AA119&lt;&gt;"","BHXH: "&amp;'CHE_DO_BHXH'!$AA119,"")&amp;IF('THUONG_T13_TET'!$O119&lt;&gt;"","Thưởng: "&amp;'THUONG_T13_TET'!$O119,"")&amp;IF('QT_NGHI_VIEC'!$AF119&lt;&gt;"","Nghỉ việc: "&amp;'QT_NGHI_VIEC'!$AF119,"")&amp;IF($AX119&lt;0,"Thực lĩnh âm; ","")&amp;IF(OR('DM_NHAN_SU'!$F119&gt;'THAM_SO'!$B$7,AND('DM_NHAN_SU'!$G119&lt;&gt;"",'DM_NHAN_SU'!$G119&lt;'THAM_SO'!$B$6)),"Ngoài kỳ trả lương; ","")))</f>
        <v/>
      </c>
      <c r="BH119" s="232">
        <f>IF('DM_NHAN_SU'!$B119="","",'CHAM_CONG_THANG'!AR119)</f>
        <v/>
      </c>
      <c r="BI119" s="232">
        <f>IF('DM_NHAN_SU'!$B119="","",'CHAM_CONG_THANG'!AS119)</f>
        <v/>
      </c>
      <c r="BJ119" s="232">
        <f>IF('DM_NHAN_SU'!$B119="","",'CHAM_CONG_THANG'!AT119)</f>
        <v/>
      </c>
      <c r="BK119" s="232">
        <f>IF('DM_NHAN_SU'!$B119="","",'CHAM_CONG_THANG'!AU119)</f>
        <v/>
      </c>
      <c r="BL119" s="232">
        <f>IF('DM_NHAN_SU'!$B119="","",'CHAM_CONG_THANG'!AV119)</f>
        <v/>
      </c>
      <c r="BM119" s="232">
        <f>IF('DM_NHAN_SU'!$B119="","",'CHAM_CONG_THANG'!AW119)</f>
        <v/>
      </c>
      <c r="BN119" s="232">
        <f>IF('DM_NHAN_SU'!$B119="","",SUM($K119,$BH119:$BJ119))</f>
        <v/>
      </c>
      <c r="BO119" s="224">
        <f>IF('DM_NHAN_SU'!$B119="","",IF($B119="",0,IF($G119="Tháng",IF($I119&gt;0,'DM_NHAN_SU'!$K119*MIN($BH119+$BJ119,MAX($I119-$K119,0))/$I119,0),IF($G119="Ngày",'DM_NHAN_SU'!$K119*SUM($BH119:$BJ119),IF($G119="Giờ",'DM_NHAN_SU'!$K119*SUM($BH119:$BJ119)*$J119,IF($G119="Sản phẩm",'DM_NHAN_SU'!$AH119*SUM($BH119:$BJ119),0))))))</f>
        <v/>
      </c>
      <c r="BP119" s="224">
        <f>IF('DM_NHAN_SU'!$B119="","",IF('THUONG_T13_TET'!$L119="Có",'THUONG_T13_TET'!$I119,0))</f>
        <v/>
      </c>
      <c r="BQ119" s="224">
        <f>IF('DM_NHAN_SU'!$B119="","",IF('THUONG_T13_TET'!$L119="Có",SUM('THUONG_T13_TET'!$J119:$K119),0))</f>
        <v/>
      </c>
      <c r="BR119" s="224">
        <f>IF('DM_NHAN_SU'!$B119="","",'QT_NGHI_VIEC'!AC119)</f>
        <v/>
      </c>
      <c r="BS119" s="224">
        <f>IF('DM_NHAN_SU'!$B119="","",'QT_NGHI_VIEC'!AB119)</f>
        <v/>
      </c>
      <c r="BT119" s="224">
        <f>IF('DM_NHAN_SU'!$B119="","",IF('CHE_DO_BHXH'!$Z119="Có",'CHE_DO_BHXH'!$W119,0))</f>
        <v/>
      </c>
      <c r="BU119" s="224">
        <f>IF('DM_NHAN_SU'!$B119="","",IF('CHE_DO_BHXH'!$Y119="DN trả thay",$BT119,0))</f>
        <v/>
      </c>
      <c r="BV119" s="224">
        <f>IF('DM_NHAN_SU'!$B119="","",IF(OR('DM_NHAN_SU'!$AA119&lt;&gt;"Có",'CHE_DO_BHXH'!$O119&gt;=1,SUM('CHE_DO_BHXH'!$D119,'CHE_DO_BHXH'!$G119,'CHE_DO_BHXH'!$K119)&gt;=24,AND($I119&gt;0,$BM119&gt;=$I119)),0,IF('DM_NHAN_SU'!$AB119="Không",0,IF('DM_NHAN_SU'!$AB119="Nhập tay",'DM_NHAN_SU'!$AC119,IF('DM_NHAN_SU'!$AB119="Theo thực nhận",MIN(MAX($AT119-$AU119-$AV119-$AW119,0)*'THAM_SO'!$M$23,'THAM_SO'!$M$26),MIN($AE119*'THAM_SO'!$M$23,'THAM_SO'!$M$26))))))</f>
        <v/>
      </c>
      <c r="BW119" s="224">
        <f>IF('DM_NHAN_SU'!$B119="","",$AX119+$BU119)</f>
        <v/>
      </c>
    </row>
    <row r="120">
      <c r="A120" s="145">
        <f>IF('DM_NHAN_SU'!$B120="","",IF($B120="","",ROW()-5))</f>
        <v/>
      </c>
      <c r="B120" s="145">
        <f>IF('DM_NHAN_SU'!$B120="","",'DM_NHAN_SU'!B120)</f>
        <v/>
      </c>
      <c r="C120" s="145">
        <f>IF('DM_NHAN_SU'!$B120="","",'DM_NHAN_SU'!C120)</f>
        <v/>
      </c>
      <c r="D120" s="145">
        <f>IF('DM_NHAN_SU'!$B120="","",'DM_NHAN_SU'!D120)</f>
        <v/>
      </c>
      <c r="E120" s="145">
        <f>IF('DM_NHAN_SU'!$B120="","",'DM_NHAN_SU'!E120)</f>
        <v/>
      </c>
      <c r="F120" s="145">
        <f>IF('DM_NHAN_SU'!$B120="","",'DM_NHAN_SU'!I120)</f>
        <v/>
      </c>
      <c r="G120" s="145">
        <f>IF('DM_NHAN_SU'!$B120="","",'DM_NHAN_SU'!J120)</f>
        <v/>
      </c>
      <c r="H120" s="145">
        <f>IF('DM_NHAN_SU'!$B120="","",IF('DM_NHAN_SU'!H120="",'THAM_SO'!$B$11,'DM_NHAN_SU'!H120))</f>
        <v/>
      </c>
      <c r="I120" s="232">
        <f>IF('DM_NHAN_SU'!$B120="","",IF('DM_NHAN_SU'!L120&gt;0,'DM_NHAN_SU'!L120,'THAM_SO'!$B$9))</f>
        <v/>
      </c>
      <c r="J120" s="232">
        <f>IF('DM_NHAN_SU'!$B120="","",IF('DM_NHAN_SU'!M120&gt;0,'DM_NHAN_SU'!M120,'THAM_SO'!$B$10))</f>
        <v/>
      </c>
      <c r="K120" s="232">
        <f>IF('DM_NHAN_SU'!$B120="","",'CHAM_CONG_THANG'!AC120)</f>
        <v/>
      </c>
      <c r="L120" s="232">
        <f>IF('DM_NHAN_SU'!$B120="","",'CHAM_CONG_THANG'!AD120)</f>
        <v/>
      </c>
      <c r="M120" s="232">
        <f>IF('DM_NHAN_SU'!$B120="","",'CHAM_CONG_THANG'!AE120)</f>
        <v/>
      </c>
      <c r="N120" s="232">
        <f>IF('DM_NHAN_SU'!$B120="","",'CHAM_CONG_THANG'!N120)</f>
        <v/>
      </c>
      <c r="O120" s="224">
        <f>IF('DM_NHAN_SU'!$B120="","",IF($B120="","",IF($G120="Tháng",IF($I120&gt;0,'DM_NHAN_SU'!$K120*MIN($K120,$I120)/$I120,0),IF($G120="Ngày",'DM_NHAN_SU'!$K120*$K120,IF($G120="Giờ",'DM_NHAN_SU'!$K120*$L120,IF($G120="Sản phẩm",'DM_NHAN_SU'!$K120*$N120,0))))))</f>
        <v/>
      </c>
      <c r="P120" s="224">
        <f>IF('DM_NHAN_SU'!$B120="","",'CHAM_CONG_THANG'!O120)</f>
        <v/>
      </c>
      <c r="Q120" s="224">
        <f>IF('DM_NHAN_SU'!$B120="","",'CHAM_CONG_THANG'!P120)</f>
        <v/>
      </c>
      <c r="R120" s="224">
        <f>IF('DM_NHAN_SU'!$B120="","",'CHAM_CONG_THANG'!Q120)</f>
        <v/>
      </c>
      <c r="S120" s="224">
        <f>IF('DM_NHAN_SU'!$B120="","",'CHAM_CONG_THANG'!R120)</f>
        <v/>
      </c>
      <c r="T120" s="224">
        <f>IF('DM_NHAN_SU'!$B120="","",'CHAM_CONG_THANG'!S120)</f>
        <v/>
      </c>
      <c r="U120" s="224">
        <f>IF('DM_NHAN_SU'!$B120="","",MIN($T120,'THAM_SO'!$F$6))</f>
        <v/>
      </c>
      <c r="V120" s="224">
        <f>IF('DM_NHAN_SU'!$B120="","",MAX($T120-$U120,0))</f>
        <v/>
      </c>
      <c r="W120" s="224">
        <f>IF('DM_NHAN_SU'!$B120="","",'CHAM_CONG_THANG'!T120)</f>
        <v/>
      </c>
      <c r="X120" s="224">
        <f>IF('DM_NHAN_SU'!$B120="","",'CHAM_CONG_THANG'!U120)</f>
        <v/>
      </c>
      <c r="Y120" s="224">
        <f>IF('DM_NHAN_SU'!$B120="","",IF($B120="",0,IF('DM_NHAN_SU'!$Q120&gt;0,'DM_NHAN_SU'!$Q120,IF($G120="Tháng",IF($I120*$J120&gt;0,'DM_NHAN_SU'!$K120/($I120*$J120),0),IF($G120="Ngày",IF($J120&gt;0,'DM_NHAN_SU'!$K120/$J120,0),IF($G120="Giờ",'DM_NHAN_SU'!$K120,0))))))</f>
        <v/>
      </c>
      <c r="Z120" s="224">
        <f>IF('DM_NHAN_SU'!$B120="","",$Y120*($M120*'THAM_SO'!$C$22+'CHAM_CONG_THANG'!$AF120*'THAM_SO'!$C$19+'CHAM_CONG_THANG'!$AG120*'THAM_SO'!$C$20+'CHAM_CONG_THANG'!$AH120*'THAM_SO'!$C$21+'CHAM_CONG_THANG'!$AI120*'THAM_SO'!$C$23+'CHAM_CONG_THANG'!$AJ120*'THAM_SO'!$C$24+'CHAM_CONG_THANG'!$AK120*'THAM_SO'!$C$25))</f>
        <v/>
      </c>
      <c r="AA120" s="224">
        <f>IF('DM_NHAN_SU'!$B120="","",MAX(0,$Y120*($M120*IF('THAM_SO'!$C$22&gt;='THAM_SO'!$B$22,'THAM_SO'!$B$22,0)+'CHAM_CONG_THANG'!$AF120*IF('THAM_SO'!$C$19&gt;='THAM_SO'!$B$19,'THAM_SO'!$B$19,0)+'CHAM_CONG_THANG'!$AG120*IF('THAM_SO'!$C$20&gt;='THAM_SO'!$B$20,'THAM_SO'!$B$20,0)+'CHAM_CONG_THANG'!$AH120*IF('THAM_SO'!$C$21&gt;='THAM_SO'!$B$21,'THAM_SO'!$B$21,0)+'CHAM_CONG_THANG'!$AI120*IF('THAM_SO'!$C$23&gt;='THAM_SO'!$B$23,'THAM_SO'!$B$23,0)+'CHAM_CONG_THANG'!$AJ120*IF('THAM_SO'!$C$24&gt;='THAM_SO'!$B$24,'THAM_SO'!$B$24,0)+'CHAM_CONG_THANG'!$AK120*IF('THAM_SO'!$C$25&gt;='THAM_SO'!$B$25,'THAM_SO'!$B$25,0))-'CHAM_CONG_THANG'!$V120))</f>
        <v/>
      </c>
      <c r="AB120" s="224">
        <f>IF('DM_NHAN_SU'!$B120="","",MAX($Z120-$AA120,0))</f>
        <v/>
      </c>
      <c r="AC120" s="224">
        <f>IF('DM_NHAN_SU'!$B120="","",$O120+$P120+$Q120+$R120+$S120+$V120+$AB120+$BO120+$BP120+$BQ120+$BR120)</f>
        <v/>
      </c>
      <c r="AD120" s="224">
        <f>IF('DM_NHAN_SU'!$B120="","",'DM_NHAN_SU'!N120+'DM_NHAN_SU'!O120+'DM_NHAN_SU'!P120)</f>
        <v/>
      </c>
      <c r="AE120" s="224">
        <f>IF('DM_NHAN_SU'!$B120="","",IF(OR('DM_NHAN_SU'!$R120&lt;&gt;"Có",'CHAM_CONG_THANG'!$AA120="Có",$BL120&gt;=14,$AD120&lt;=0),0,MIN(MAX($AD120,'THAM_SO'!$M$6),'THAM_SO'!$M$7)))</f>
        <v/>
      </c>
      <c r="AF120" s="224">
        <f>IF('DM_NHAN_SU'!$B120="","",IF(OR('DM_NHAN_SU'!$S120&lt;&gt;"Có",'CHAM_CONG_THANG'!$AA120="Có",$BL120&gt;=14,$AD120&lt;=0),0,MIN(MAX($AD120,VLOOKUP($H120,'THAM_SO'!$L$17:$P$20,4,FALSE)),VLOOKUP($H120,'THAM_SO'!$L$17:$P$20,5,FALSE))))</f>
        <v/>
      </c>
      <c r="AG120" s="224">
        <f>IF('DM_NHAN_SU'!$B120="","",$AE120*'THAM_SO'!$M$8)</f>
        <v/>
      </c>
      <c r="AH120" s="224">
        <f>IF('DM_NHAN_SU'!$B120="","",$AE120*'THAM_SO'!$M$9)</f>
        <v/>
      </c>
      <c r="AI120" s="224">
        <f>IF('DM_NHAN_SU'!$B120="","",$AF120*'THAM_SO'!$M$10)</f>
        <v/>
      </c>
      <c r="AJ120" s="224">
        <f>IF('DM_NHAN_SU'!$B120="","",SUM($AG120:$AI120))</f>
        <v/>
      </c>
      <c r="AK120" s="224">
        <f>IF('DM_NHAN_SU'!$B120="","",IF($B120="",0,'THAM_SO'!$F$4))</f>
        <v/>
      </c>
      <c r="AL120" s="224">
        <f>IF('DM_NHAN_SU'!$B120="","",IF($B120="",0,'DM_NHAN_SU'!$T120*'THAM_SO'!$F$5))</f>
        <v/>
      </c>
      <c r="AM120" s="224">
        <f>IF('DM_NHAN_SU'!$B120="","",'CHAM_CONG_THANG'!W120)</f>
        <v/>
      </c>
      <c r="AN120" s="224">
        <f>IF('DM_NHAN_SU'!$B120="","",MAX($AC120-$AK120-$AL120-$AM120,0))</f>
        <v/>
      </c>
      <c r="AO120" s="224">
        <f>IF('DM_NHAN_SU'!$B120="","",IF($B120="","",IF($F120="Net",IF($AC120&lt;=$AK120+$AL120+$AM120,$AC120+$AJ120,$AJ120+$AK120+$AL120+$AM120+IF($AN120&lt;='THAM_SO'!$J$10,($AN120-'THAM_SO'!$I$10)/(1-'THAM_SO'!$H$10),IF($AN120&lt;='THAM_SO'!$J$11,($AN120-'THAM_SO'!$I$11)/(1-'THAM_SO'!$H$11),IF($AN120&lt;='THAM_SO'!$J$12,($AN120-'THAM_SO'!$I$12)/(1-'THAM_SO'!$H$12),IF($AN120&lt;='THAM_SO'!$J$13,($AN120-'THAM_SO'!$I$13)/(1-'THAM_SO'!$H$13),($AN120-'THAM_SO'!$I$14)/(1-'THAM_SO'!$H$14)))))),$AC120)))</f>
        <v/>
      </c>
      <c r="AP120" s="224">
        <f>IF('DM_NHAN_SU'!$B120="","",$U120+$W120+$X120+$AA120+$BS120)</f>
        <v/>
      </c>
      <c r="AQ120" s="224">
        <f>IF('DM_NHAN_SU'!$B120="","",MAX($AO120-$AJ120-$AK120-$AL120-$AM120,0))</f>
        <v/>
      </c>
      <c r="AR120" s="224">
        <f>IF('DM_NHAN_SU'!$B120="","",IF($AQ120&lt;=0,0,$AQ120*VLOOKUP($AQ120,'THAM_SO'!$F$10:$I$14,3,TRUE)-VLOOKUP($AQ120,'THAM_SO'!$F$10:$I$14,4,TRUE)))</f>
        <v/>
      </c>
      <c r="AS120" s="224">
        <f>IF('DM_NHAN_SU'!$B120="","",$AO120+$AP120)</f>
        <v/>
      </c>
      <c r="AT120" s="224">
        <f>IF('DM_NHAN_SU'!$B120="","",$AS120-$AJ120-$AR120)</f>
        <v/>
      </c>
      <c r="AU120" s="224">
        <f>IF('DM_NHAN_SU'!$B120="","",'CHAM_CONG_THANG'!X120)</f>
        <v/>
      </c>
      <c r="AV120" s="224">
        <f>IF('DM_NHAN_SU'!$B120="","",'CHAM_CONG_THANG'!Y120+'QT_NGHI_VIEC'!AD120)</f>
        <v/>
      </c>
      <c r="AW120" s="224">
        <f>IF('DM_NHAN_SU'!$B120="","",'CHAM_CONG_THANG'!Z120)</f>
        <v/>
      </c>
      <c r="AX120" s="224">
        <f>IF('DM_NHAN_SU'!$B120="","",$AT120-$AU120-$AV120-$AW120-$BV120)</f>
        <v/>
      </c>
      <c r="AY120" s="224">
        <f>IF('DM_NHAN_SU'!$B120="","",$AE120*'THAM_SO'!$M$11)</f>
        <v/>
      </c>
      <c r="AZ120" s="224">
        <f>IF('DM_NHAN_SU'!$B120="","",$AE120*'THAM_SO'!$M$12)</f>
        <v/>
      </c>
      <c r="BA120" s="224">
        <f>IF('DM_NHAN_SU'!$B120="","",$AF120*'THAM_SO'!$M$13)</f>
        <v/>
      </c>
      <c r="BB120" s="224">
        <f>IF('DM_NHAN_SU'!$B120="","",$AE120*'THAM_SO'!$M$14)</f>
        <v/>
      </c>
      <c r="BC120" s="224">
        <f>IF('DM_NHAN_SU'!$B120="","",SUM($AY120:$BB120))</f>
        <v/>
      </c>
      <c r="BD120" s="224">
        <f>IF('DM_NHAN_SU'!$B120="","",$AS120+$BC120)</f>
        <v/>
      </c>
      <c r="BE120" s="224">
        <f>IF('DM_NHAN_SU'!$B120="","",VLOOKUP($H120,'THAM_SO'!$L$17:$P$20,2,FALSE))</f>
        <v/>
      </c>
      <c r="BF120" s="224">
        <f>IF('DM_NHAN_SU'!$B120="","",VLOOKUP($H120,'THAM_SO'!$L$17:$P$20,3,FALSE))</f>
        <v/>
      </c>
      <c r="BG120" s="150">
        <f>IF('DM_NHAN_SU'!$B120="","",IF($B120="","",IF(COUNTIF('DM_NHAN_SU'!$B$6:$B$155,$B120)&gt;1,"Trùng mã NV; ","")&amp;IF(OR($F120="",$G120=""),"Thiếu loại/hình thức lương; ","")&amp;IF('CHAM_CONG_THANG'!$D120="","Chưa chọn nguồn công; ","")&amp;IF(AND('CHAM_CONG_THANG'!$D120="Theo ngày",COUNTIF('CHAM_CONG_NGAY'!$B$6:$B$4655,$B120)=0),"Chưa có chấm công ngày; ","")&amp;IF(OR($I120&lt;=0,$J120&lt;=0),"Thiếu công/giờ chuẩn; ","")&amp;IF(AND($G120="Tháng",'DM_NHAN_SU'!$K120&lt;$BE120),"Lương tháng dưới tối thiểu vùng; ","")&amp;IF(AND($G120="Ngày",'DM_NHAN_SU'!$K120/$J120&lt;$BF120),"Lương ngày quy đổi dưới tối thiểu giờ; ","")&amp;IF(AND($G120="Giờ",'DM_NHAN_SU'!$K120&lt;$BF120),"Lương giờ dưới tối thiểu vùng; ","")&amp;IF(AND($G120="Sản phẩm",$L120&gt;0,$O120/$L120&lt;$BF120),"Lương SP quy đổi dưới tối thiểu giờ; ","")&amp;IF(OR('THAM_SO'!$C$19&lt;'THAM_SO'!$B$19,'THAM_SO'!$C$20&lt;'THAM_SO'!$B$20,'THAM_SO'!$C$21&lt;'THAM_SO'!$B$21,'THAM_SO'!$C$22&lt;'THAM_SO'!$B$22,'THAM_SO'!$C$23&lt;'THAM_SO'!$B$23,'THAM_SO'!$C$24&lt;'THAM_SO'!$B$24,'THAM_SO'!$C$25&lt;'THAM_SO'!$B$25),"Hệ số OT/đêm DN thấp hơn luật; ","")&amp;IF(AND('DM_NHAN_SU'!$R120="Có",$AD120&lt;=0),"Thiếu căn cứ đóng BH; ","")&amp;IF(AND($AD120&gt;0,$AD120&lt;'THAM_SO'!$M$6),"Căn cứ BH dưới sàn – đã nâng sàn; ","")&amp;IF($AD120&gt;'THAM_SO'!$M$7,"Căn cứ BH vượt trần – đã giới hạn; ","")&amp;IF(AND($F120="Net",SUM('CHAM_CONG_THANG'!$AF120:$AK120)&gt;0,'DM_NHAN_SU'!$Q120&lt;=0),"Net có OT nhưng chưa khai lương giờ OT; ","")&amp;IF('CHAM_CONG_THANG'!$V120&gt;$Z120,"Phần OT không miễn lớn hơn tiền OT; ","")&amp;IF(AND($F120="Net",ABS($AT120-$AC120-$AP120)&gt;1),"Lệch quy đổi Net; ","")&amp;IF(AND($BH120&gt;0,'DM_NHAN_SU'!$AD120=""),"Có phép năm nhưng đang tạm dùng 12 ngày; ","")&amp;IF(AND($G120="Sản phẩm",SUM($BH120:$BJ120)&gt;0,'DM_NHAN_SU'!$AH120&lt;=0),"Lương sản phẩm thiếu đơn giá ngày phép/lễ; ","")&amp;IF(AND($BL120&gt;=14,'CHAM_CONG_THANG'!$AA120&lt;&gt;"Có"),"Thai sản từ 14 ngày: file tự dừng đóng BH – kiểm tra hồ sơ; ","")&amp;IF(AND('DM_NHAN_SU'!$AA120="Có",'DM_NHAN_SU'!$AB120=""),"Đoàn viên chưa chọn cách tính đoàn phí; ","")&amp;IF(AND('DM_NHAN_SU'!$AB120="Nhập tay",'DM_NHAN_SU'!$AC120&gt;'THAM_SO'!$M$26),"Đoàn phí nhập tay vượt trần thông dụng; ","")&amp;IF('NGHI_PHEP'!$L120&lt;&gt;"","Phép: "&amp;'NGHI_PHEP'!$L120,"")&amp;IF('CHE_DO_BHXH'!$AA120&lt;&gt;"","BHXH: "&amp;'CHE_DO_BHXH'!$AA120,"")&amp;IF('THUONG_T13_TET'!$O120&lt;&gt;"","Thưởng: "&amp;'THUONG_T13_TET'!$O120,"")&amp;IF('QT_NGHI_VIEC'!$AF120&lt;&gt;"","Nghỉ việc: "&amp;'QT_NGHI_VIEC'!$AF120,"")&amp;IF($AX120&lt;0,"Thực lĩnh âm; ","")&amp;IF(OR('DM_NHAN_SU'!$F120&gt;'THAM_SO'!$B$7,AND('DM_NHAN_SU'!$G120&lt;&gt;"",'DM_NHAN_SU'!$G120&lt;'THAM_SO'!$B$6)),"Ngoài kỳ trả lương; ","")))</f>
        <v/>
      </c>
      <c r="BH120" s="232">
        <f>IF('DM_NHAN_SU'!$B120="","",'CHAM_CONG_THANG'!AR120)</f>
        <v/>
      </c>
      <c r="BI120" s="232">
        <f>IF('DM_NHAN_SU'!$B120="","",'CHAM_CONG_THANG'!AS120)</f>
        <v/>
      </c>
      <c r="BJ120" s="232">
        <f>IF('DM_NHAN_SU'!$B120="","",'CHAM_CONG_THANG'!AT120)</f>
        <v/>
      </c>
      <c r="BK120" s="232">
        <f>IF('DM_NHAN_SU'!$B120="","",'CHAM_CONG_THANG'!AU120)</f>
        <v/>
      </c>
      <c r="BL120" s="232">
        <f>IF('DM_NHAN_SU'!$B120="","",'CHAM_CONG_THANG'!AV120)</f>
        <v/>
      </c>
      <c r="BM120" s="232">
        <f>IF('DM_NHAN_SU'!$B120="","",'CHAM_CONG_THANG'!AW120)</f>
        <v/>
      </c>
      <c r="BN120" s="232">
        <f>IF('DM_NHAN_SU'!$B120="","",SUM($K120,$BH120:$BJ120))</f>
        <v/>
      </c>
      <c r="BO120" s="224">
        <f>IF('DM_NHAN_SU'!$B120="","",IF($B120="",0,IF($G120="Tháng",IF($I120&gt;0,'DM_NHAN_SU'!$K120*MIN($BH120+$BJ120,MAX($I120-$K120,0))/$I120,0),IF($G120="Ngày",'DM_NHAN_SU'!$K120*SUM($BH120:$BJ120),IF($G120="Giờ",'DM_NHAN_SU'!$K120*SUM($BH120:$BJ120)*$J120,IF($G120="Sản phẩm",'DM_NHAN_SU'!$AH120*SUM($BH120:$BJ120),0))))))</f>
        <v/>
      </c>
      <c r="BP120" s="224">
        <f>IF('DM_NHAN_SU'!$B120="","",IF('THUONG_T13_TET'!$L120="Có",'THUONG_T13_TET'!$I120,0))</f>
        <v/>
      </c>
      <c r="BQ120" s="224">
        <f>IF('DM_NHAN_SU'!$B120="","",IF('THUONG_T13_TET'!$L120="Có",SUM('THUONG_T13_TET'!$J120:$K120),0))</f>
        <v/>
      </c>
      <c r="BR120" s="224">
        <f>IF('DM_NHAN_SU'!$B120="","",'QT_NGHI_VIEC'!AC120)</f>
        <v/>
      </c>
      <c r="BS120" s="224">
        <f>IF('DM_NHAN_SU'!$B120="","",'QT_NGHI_VIEC'!AB120)</f>
        <v/>
      </c>
      <c r="BT120" s="224">
        <f>IF('DM_NHAN_SU'!$B120="","",IF('CHE_DO_BHXH'!$Z120="Có",'CHE_DO_BHXH'!$W120,0))</f>
        <v/>
      </c>
      <c r="BU120" s="224">
        <f>IF('DM_NHAN_SU'!$B120="","",IF('CHE_DO_BHXH'!$Y120="DN trả thay",$BT120,0))</f>
        <v/>
      </c>
      <c r="BV120" s="224">
        <f>IF('DM_NHAN_SU'!$B120="","",IF(OR('DM_NHAN_SU'!$AA120&lt;&gt;"Có",'CHE_DO_BHXH'!$O120&gt;=1,SUM('CHE_DO_BHXH'!$D120,'CHE_DO_BHXH'!$G120,'CHE_DO_BHXH'!$K120)&gt;=24,AND($I120&gt;0,$BM120&gt;=$I120)),0,IF('DM_NHAN_SU'!$AB120="Không",0,IF('DM_NHAN_SU'!$AB120="Nhập tay",'DM_NHAN_SU'!$AC120,IF('DM_NHAN_SU'!$AB120="Theo thực nhận",MIN(MAX($AT120-$AU120-$AV120-$AW120,0)*'THAM_SO'!$M$23,'THAM_SO'!$M$26),MIN($AE120*'THAM_SO'!$M$23,'THAM_SO'!$M$26))))))</f>
        <v/>
      </c>
      <c r="BW120" s="224">
        <f>IF('DM_NHAN_SU'!$B120="","",$AX120+$BU120)</f>
        <v/>
      </c>
    </row>
    <row r="121">
      <c r="A121" s="145">
        <f>IF('DM_NHAN_SU'!$B121="","",IF($B121="","",ROW()-5))</f>
        <v/>
      </c>
      <c r="B121" s="145">
        <f>IF('DM_NHAN_SU'!$B121="","",'DM_NHAN_SU'!B121)</f>
        <v/>
      </c>
      <c r="C121" s="145">
        <f>IF('DM_NHAN_SU'!$B121="","",'DM_NHAN_SU'!C121)</f>
        <v/>
      </c>
      <c r="D121" s="145">
        <f>IF('DM_NHAN_SU'!$B121="","",'DM_NHAN_SU'!D121)</f>
        <v/>
      </c>
      <c r="E121" s="145">
        <f>IF('DM_NHAN_SU'!$B121="","",'DM_NHAN_SU'!E121)</f>
        <v/>
      </c>
      <c r="F121" s="145">
        <f>IF('DM_NHAN_SU'!$B121="","",'DM_NHAN_SU'!I121)</f>
        <v/>
      </c>
      <c r="G121" s="145">
        <f>IF('DM_NHAN_SU'!$B121="","",'DM_NHAN_SU'!J121)</f>
        <v/>
      </c>
      <c r="H121" s="145">
        <f>IF('DM_NHAN_SU'!$B121="","",IF('DM_NHAN_SU'!H121="",'THAM_SO'!$B$11,'DM_NHAN_SU'!H121))</f>
        <v/>
      </c>
      <c r="I121" s="232">
        <f>IF('DM_NHAN_SU'!$B121="","",IF('DM_NHAN_SU'!L121&gt;0,'DM_NHAN_SU'!L121,'THAM_SO'!$B$9))</f>
        <v/>
      </c>
      <c r="J121" s="232">
        <f>IF('DM_NHAN_SU'!$B121="","",IF('DM_NHAN_SU'!M121&gt;0,'DM_NHAN_SU'!M121,'THAM_SO'!$B$10))</f>
        <v/>
      </c>
      <c r="K121" s="232">
        <f>IF('DM_NHAN_SU'!$B121="","",'CHAM_CONG_THANG'!AC121)</f>
        <v/>
      </c>
      <c r="L121" s="232">
        <f>IF('DM_NHAN_SU'!$B121="","",'CHAM_CONG_THANG'!AD121)</f>
        <v/>
      </c>
      <c r="M121" s="232">
        <f>IF('DM_NHAN_SU'!$B121="","",'CHAM_CONG_THANG'!AE121)</f>
        <v/>
      </c>
      <c r="N121" s="232">
        <f>IF('DM_NHAN_SU'!$B121="","",'CHAM_CONG_THANG'!N121)</f>
        <v/>
      </c>
      <c r="O121" s="224">
        <f>IF('DM_NHAN_SU'!$B121="","",IF($B121="","",IF($G121="Tháng",IF($I121&gt;0,'DM_NHAN_SU'!$K121*MIN($K121,$I121)/$I121,0),IF($G121="Ngày",'DM_NHAN_SU'!$K121*$K121,IF($G121="Giờ",'DM_NHAN_SU'!$K121*$L121,IF($G121="Sản phẩm",'DM_NHAN_SU'!$K121*$N121,0))))))</f>
        <v/>
      </c>
      <c r="P121" s="224">
        <f>IF('DM_NHAN_SU'!$B121="","",'CHAM_CONG_THANG'!O121)</f>
        <v/>
      </c>
      <c r="Q121" s="224">
        <f>IF('DM_NHAN_SU'!$B121="","",'CHAM_CONG_THANG'!P121)</f>
        <v/>
      </c>
      <c r="R121" s="224">
        <f>IF('DM_NHAN_SU'!$B121="","",'CHAM_CONG_THANG'!Q121)</f>
        <v/>
      </c>
      <c r="S121" s="224">
        <f>IF('DM_NHAN_SU'!$B121="","",'CHAM_CONG_THANG'!R121)</f>
        <v/>
      </c>
      <c r="T121" s="224">
        <f>IF('DM_NHAN_SU'!$B121="","",'CHAM_CONG_THANG'!S121)</f>
        <v/>
      </c>
      <c r="U121" s="224">
        <f>IF('DM_NHAN_SU'!$B121="","",MIN($T121,'THAM_SO'!$F$6))</f>
        <v/>
      </c>
      <c r="V121" s="224">
        <f>IF('DM_NHAN_SU'!$B121="","",MAX($T121-$U121,0))</f>
        <v/>
      </c>
      <c r="W121" s="224">
        <f>IF('DM_NHAN_SU'!$B121="","",'CHAM_CONG_THANG'!T121)</f>
        <v/>
      </c>
      <c r="X121" s="224">
        <f>IF('DM_NHAN_SU'!$B121="","",'CHAM_CONG_THANG'!U121)</f>
        <v/>
      </c>
      <c r="Y121" s="224">
        <f>IF('DM_NHAN_SU'!$B121="","",IF($B121="",0,IF('DM_NHAN_SU'!$Q121&gt;0,'DM_NHAN_SU'!$Q121,IF($G121="Tháng",IF($I121*$J121&gt;0,'DM_NHAN_SU'!$K121/($I121*$J121),0),IF($G121="Ngày",IF($J121&gt;0,'DM_NHAN_SU'!$K121/$J121,0),IF($G121="Giờ",'DM_NHAN_SU'!$K121,0))))))</f>
        <v/>
      </c>
      <c r="Z121" s="224">
        <f>IF('DM_NHAN_SU'!$B121="","",$Y121*($M121*'THAM_SO'!$C$22+'CHAM_CONG_THANG'!$AF121*'THAM_SO'!$C$19+'CHAM_CONG_THANG'!$AG121*'THAM_SO'!$C$20+'CHAM_CONG_THANG'!$AH121*'THAM_SO'!$C$21+'CHAM_CONG_THANG'!$AI121*'THAM_SO'!$C$23+'CHAM_CONG_THANG'!$AJ121*'THAM_SO'!$C$24+'CHAM_CONG_THANG'!$AK121*'THAM_SO'!$C$25))</f>
        <v/>
      </c>
      <c r="AA121" s="224">
        <f>IF('DM_NHAN_SU'!$B121="","",MAX(0,$Y121*($M121*IF('THAM_SO'!$C$22&gt;='THAM_SO'!$B$22,'THAM_SO'!$B$22,0)+'CHAM_CONG_THANG'!$AF121*IF('THAM_SO'!$C$19&gt;='THAM_SO'!$B$19,'THAM_SO'!$B$19,0)+'CHAM_CONG_THANG'!$AG121*IF('THAM_SO'!$C$20&gt;='THAM_SO'!$B$20,'THAM_SO'!$B$20,0)+'CHAM_CONG_THANG'!$AH121*IF('THAM_SO'!$C$21&gt;='THAM_SO'!$B$21,'THAM_SO'!$B$21,0)+'CHAM_CONG_THANG'!$AI121*IF('THAM_SO'!$C$23&gt;='THAM_SO'!$B$23,'THAM_SO'!$B$23,0)+'CHAM_CONG_THANG'!$AJ121*IF('THAM_SO'!$C$24&gt;='THAM_SO'!$B$24,'THAM_SO'!$B$24,0)+'CHAM_CONG_THANG'!$AK121*IF('THAM_SO'!$C$25&gt;='THAM_SO'!$B$25,'THAM_SO'!$B$25,0))-'CHAM_CONG_THANG'!$V121))</f>
        <v/>
      </c>
      <c r="AB121" s="224">
        <f>IF('DM_NHAN_SU'!$B121="","",MAX($Z121-$AA121,0))</f>
        <v/>
      </c>
      <c r="AC121" s="224">
        <f>IF('DM_NHAN_SU'!$B121="","",$O121+$P121+$Q121+$R121+$S121+$V121+$AB121+$BO121+$BP121+$BQ121+$BR121)</f>
        <v/>
      </c>
      <c r="AD121" s="224">
        <f>IF('DM_NHAN_SU'!$B121="","",'DM_NHAN_SU'!N121+'DM_NHAN_SU'!O121+'DM_NHAN_SU'!P121)</f>
        <v/>
      </c>
      <c r="AE121" s="224">
        <f>IF('DM_NHAN_SU'!$B121="","",IF(OR('DM_NHAN_SU'!$R121&lt;&gt;"Có",'CHAM_CONG_THANG'!$AA121="Có",$BL121&gt;=14,$AD121&lt;=0),0,MIN(MAX($AD121,'THAM_SO'!$M$6),'THAM_SO'!$M$7)))</f>
        <v/>
      </c>
      <c r="AF121" s="224">
        <f>IF('DM_NHAN_SU'!$B121="","",IF(OR('DM_NHAN_SU'!$S121&lt;&gt;"Có",'CHAM_CONG_THANG'!$AA121="Có",$BL121&gt;=14,$AD121&lt;=0),0,MIN(MAX($AD121,VLOOKUP($H121,'THAM_SO'!$L$17:$P$20,4,FALSE)),VLOOKUP($H121,'THAM_SO'!$L$17:$P$20,5,FALSE))))</f>
        <v/>
      </c>
      <c r="AG121" s="224">
        <f>IF('DM_NHAN_SU'!$B121="","",$AE121*'THAM_SO'!$M$8)</f>
        <v/>
      </c>
      <c r="AH121" s="224">
        <f>IF('DM_NHAN_SU'!$B121="","",$AE121*'THAM_SO'!$M$9)</f>
        <v/>
      </c>
      <c r="AI121" s="224">
        <f>IF('DM_NHAN_SU'!$B121="","",$AF121*'THAM_SO'!$M$10)</f>
        <v/>
      </c>
      <c r="AJ121" s="224">
        <f>IF('DM_NHAN_SU'!$B121="","",SUM($AG121:$AI121))</f>
        <v/>
      </c>
      <c r="AK121" s="224">
        <f>IF('DM_NHAN_SU'!$B121="","",IF($B121="",0,'THAM_SO'!$F$4))</f>
        <v/>
      </c>
      <c r="AL121" s="224">
        <f>IF('DM_NHAN_SU'!$B121="","",IF($B121="",0,'DM_NHAN_SU'!$T121*'THAM_SO'!$F$5))</f>
        <v/>
      </c>
      <c r="AM121" s="224">
        <f>IF('DM_NHAN_SU'!$B121="","",'CHAM_CONG_THANG'!W121)</f>
        <v/>
      </c>
      <c r="AN121" s="224">
        <f>IF('DM_NHAN_SU'!$B121="","",MAX($AC121-$AK121-$AL121-$AM121,0))</f>
        <v/>
      </c>
      <c r="AO121" s="224">
        <f>IF('DM_NHAN_SU'!$B121="","",IF($B121="","",IF($F121="Net",IF($AC121&lt;=$AK121+$AL121+$AM121,$AC121+$AJ121,$AJ121+$AK121+$AL121+$AM121+IF($AN121&lt;='THAM_SO'!$J$10,($AN121-'THAM_SO'!$I$10)/(1-'THAM_SO'!$H$10),IF($AN121&lt;='THAM_SO'!$J$11,($AN121-'THAM_SO'!$I$11)/(1-'THAM_SO'!$H$11),IF($AN121&lt;='THAM_SO'!$J$12,($AN121-'THAM_SO'!$I$12)/(1-'THAM_SO'!$H$12),IF($AN121&lt;='THAM_SO'!$J$13,($AN121-'THAM_SO'!$I$13)/(1-'THAM_SO'!$H$13),($AN121-'THAM_SO'!$I$14)/(1-'THAM_SO'!$H$14)))))),$AC121)))</f>
        <v/>
      </c>
      <c r="AP121" s="224">
        <f>IF('DM_NHAN_SU'!$B121="","",$U121+$W121+$X121+$AA121+$BS121)</f>
        <v/>
      </c>
      <c r="AQ121" s="224">
        <f>IF('DM_NHAN_SU'!$B121="","",MAX($AO121-$AJ121-$AK121-$AL121-$AM121,0))</f>
        <v/>
      </c>
      <c r="AR121" s="224">
        <f>IF('DM_NHAN_SU'!$B121="","",IF($AQ121&lt;=0,0,$AQ121*VLOOKUP($AQ121,'THAM_SO'!$F$10:$I$14,3,TRUE)-VLOOKUP($AQ121,'THAM_SO'!$F$10:$I$14,4,TRUE)))</f>
        <v/>
      </c>
      <c r="AS121" s="224">
        <f>IF('DM_NHAN_SU'!$B121="","",$AO121+$AP121)</f>
        <v/>
      </c>
      <c r="AT121" s="224">
        <f>IF('DM_NHAN_SU'!$B121="","",$AS121-$AJ121-$AR121)</f>
        <v/>
      </c>
      <c r="AU121" s="224">
        <f>IF('DM_NHAN_SU'!$B121="","",'CHAM_CONG_THANG'!X121)</f>
        <v/>
      </c>
      <c r="AV121" s="224">
        <f>IF('DM_NHAN_SU'!$B121="","",'CHAM_CONG_THANG'!Y121+'QT_NGHI_VIEC'!AD121)</f>
        <v/>
      </c>
      <c r="AW121" s="224">
        <f>IF('DM_NHAN_SU'!$B121="","",'CHAM_CONG_THANG'!Z121)</f>
        <v/>
      </c>
      <c r="AX121" s="224">
        <f>IF('DM_NHAN_SU'!$B121="","",$AT121-$AU121-$AV121-$AW121-$BV121)</f>
        <v/>
      </c>
      <c r="AY121" s="224">
        <f>IF('DM_NHAN_SU'!$B121="","",$AE121*'THAM_SO'!$M$11)</f>
        <v/>
      </c>
      <c r="AZ121" s="224">
        <f>IF('DM_NHAN_SU'!$B121="","",$AE121*'THAM_SO'!$M$12)</f>
        <v/>
      </c>
      <c r="BA121" s="224">
        <f>IF('DM_NHAN_SU'!$B121="","",$AF121*'THAM_SO'!$M$13)</f>
        <v/>
      </c>
      <c r="BB121" s="224">
        <f>IF('DM_NHAN_SU'!$B121="","",$AE121*'THAM_SO'!$M$14)</f>
        <v/>
      </c>
      <c r="BC121" s="224">
        <f>IF('DM_NHAN_SU'!$B121="","",SUM($AY121:$BB121))</f>
        <v/>
      </c>
      <c r="BD121" s="224">
        <f>IF('DM_NHAN_SU'!$B121="","",$AS121+$BC121)</f>
        <v/>
      </c>
      <c r="BE121" s="224">
        <f>IF('DM_NHAN_SU'!$B121="","",VLOOKUP($H121,'THAM_SO'!$L$17:$P$20,2,FALSE))</f>
        <v/>
      </c>
      <c r="BF121" s="224">
        <f>IF('DM_NHAN_SU'!$B121="","",VLOOKUP($H121,'THAM_SO'!$L$17:$P$20,3,FALSE))</f>
        <v/>
      </c>
      <c r="BG121" s="150">
        <f>IF('DM_NHAN_SU'!$B121="","",IF($B121="","",IF(COUNTIF('DM_NHAN_SU'!$B$6:$B$155,$B121)&gt;1,"Trùng mã NV; ","")&amp;IF(OR($F121="",$G121=""),"Thiếu loại/hình thức lương; ","")&amp;IF('CHAM_CONG_THANG'!$D121="","Chưa chọn nguồn công; ","")&amp;IF(AND('CHAM_CONG_THANG'!$D121="Theo ngày",COUNTIF('CHAM_CONG_NGAY'!$B$6:$B$4655,$B121)=0),"Chưa có chấm công ngày; ","")&amp;IF(OR($I121&lt;=0,$J121&lt;=0),"Thiếu công/giờ chuẩn; ","")&amp;IF(AND($G121="Tháng",'DM_NHAN_SU'!$K121&lt;$BE121),"Lương tháng dưới tối thiểu vùng; ","")&amp;IF(AND($G121="Ngày",'DM_NHAN_SU'!$K121/$J121&lt;$BF121),"Lương ngày quy đổi dưới tối thiểu giờ; ","")&amp;IF(AND($G121="Giờ",'DM_NHAN_SU'!$K121&lt;$BF121),"Lương giờ dưới tối thiểu vùng; ","")&amp;IF(AND($G121="Sản phẩm",$L121&gt;0,$O121/$L121&lt;$BF121),"Lương SP quy đổi dưới tối thiểu giờ; ","")&amp;IF(OR('THAM_SO'!$C$19&lt;'THAM_SO'!$B$19,'THAM_SO'!$C$20&lt;'THAM_SO'!$B$20,'THAM_SO'!$C$21&lt;'THAM_SO'!$B$21,'THAM_SO'!$C$22&lt;'THAM_SO'!$B$22,'THAM_SO'!$C$23&lt;'THAM_SO'!$B$23,'THAM_SO'!$C$24&lt;'THAM_SO'!$B$24,'THAM_SO'!$C$25&lt;'THAM_SO'!$B$25),"Hệ số OT/đêm DN thấp hơn luật; ","")&amp;IF(AND('DM_NHAN_SU'!$R121="Có",$AD121&lt;=0),"Thiếu căn cứ đóng BH; ","")&amp;IF(AND($AD121&gt;0,$AD121&lt;'THAM_SO'!$M$6),"Căn cứ BH dưới sàn – đã nâng sàn; ","")&amp;IF($AD121&gt;'THAM_SO'!$M$7,"Căn cứ BH vượt trần – đã giới hạn; ","")&amp;IF(AND($F121="Net",SUM('CHAM_CONG_THANG'!$AF121:$AK121)&gt;0,'DM_NHAN_SU'!$Q121&lt;=0),"Net có OT nhưng chưa khai lương giờ OT; ","")&amp;IF('CHAM_CONG_THANG'!$V121&gt;$Z121,"Phần OT không miễn lớn hơn tiền OT; ","")&amp;IF(AND($F121="Net",ABS($AT121-$AC121-$AP121)&gt;1),"Lệch quy đổi Net; ","")&amp;IF(AND($BH121&gt;0,'DM_NHAN_SU'!$AD121=""),"Có phép năm nhưng đang tạm dùng 12 ngày; ","")&amp;IF(AND($G121="Sản phẩm",SUM($BH121:$BJ121)&gt;0,'DM_NHAN_SU'!$AH121&lt;=0),"Lương sản phẩm thiếu đơn giá ngày phép/lễ; ","")&amp;IF(AND($BL121&gt;=14,'CHAM_CONG_THANG'!$AA121&lt;&gt;"Có"),"Thai sản từ 14 ngày: file tự dừng đóng BH – kiểm tra hồ sơ; ","")&amp;IF(AND('DM_NHAN_SU'!$AA121="Có",'DM_NHAN_SU'!$AB121=""),"Đoàn viên chưa chọn cách tính đoàn phí; ","")&amp;IF(AND('DM_NHAN_SU'!$AB121="Nhập tay",'DM_NHAN_SU'!$AC121&gt;'THAM_SO'!$M$26),"Đoàn phí nhập tay vượt trần thông dụng; ","")&amp;IF('NGHI_PHEP'!$L121&lt;&gt;"","Phép: "&amp;'NGHI_PHEP'!$L121,"")&amp;IF('CHE_DO_BHXH'!$AA121&lt;&gt;"","BHXH: "&amp;'CHE_DO_BHXH'!$AA121,"")&amp;IF('THUONG_T13_TET'!$O121&lt;&gt;"","Thưởng: "&amp;'THUONG_T13_TET'!$O121,"")&amp;IF('QT_NGHI_VIEC'!$AF121&lt;&gt;"","Nghỉ việc: "&amp;'QT_NGHI_VIEC'!$AF121,"")&amp;IF($AX121&lt;0,"Thực lĩnh âm; ","")&amp;IF(OR('DM_NHAN_SU'!$F121&gt;'THAM_SO'!$B$7,AND('DM_NHAN_SU'!$G121&lt;&gt;"",'DM_NHAN_SU'!$G121&lt;'THAM_SO'!$B$6)),"Ngoài kỳ trả lương; ","")))</f>
        <v/>
      </c>
      <c r="BH121" s="232">
        <f>IF('DM_NHAN_SU'!$B121="","",'CHAM_CONG_THANG'!AR121)</f>
        <v/>
      </c>
      <c r="BI121" s="232">
        <f>IF('DM_NHAN_SU'!$B121="","",'CHAM_CONG_THANG'!AS121)</f>
        <v/>
      </c>
      <c r="BJ121" s="232">
        <f>IF('DM_NHAN_SU'!$B121="","",'CHAM_CONG_THANG'!AT121)</f>
        <v/>
      </c>
      <c r="BK121" s="232">
        <f>IF('DM_NHAN_SU'!$B121="","",'CHAM_CONG_THANG'!AU121)</f>
        <v/>
      </c>
      <c r="BL121" s="232">
        <f>IF('DM_NHAN_SU'!$B121="","",'CHAM_CONG_THANG'!AV121)</f>
        <v/>
      </c>
      <c r="BM121" s="232">
        <f>IF('DM_NHAN_SU'!$B121="","",'CHAM_CONG_THANG'!AW121)</f>
        <v/>
      </c>
      <c r="BN121" s="232">
        <f>IF('DM_NHAN_SU'!$B121="","",SUM($K121,$BH121:$BJ121))</f>
        <v/>
      </c>
      <c r="BO121" s="224">
        <f>IF('DM_NHAN_SU'!$B121="","",IF($B121="",0,IF($G121="Tháng",IF($I121&gt;0,'DM_NHAN_SU'!$K121*MIN($BH121+$BJ121,MAX($I121-$K121,0))/$I121,0),IF($G121="Ngày",'DM_NHAN_SU'!$K121*SUM($BH121:$BJ121),IF($G121="Giờ",'DM_NHAN_SU'!$K121*SUM($BH121:$BJ121)*$J121,IF($G121="Sản phẩm",'DM_NHAN_SU'!$AH121*SUM($BH121:$BJ121),0))))))</f>
        <v/>
      </c>
      <c r="BP121" s="224">
        <f>IF('DM_NHAN_SU'!$B121="","",IF('THUONG_T13_TET'!$L121="Có",'THUONG_T13_TET'!$I121,0))</f>
        <v/>
      </c>
      <c r="BQ121" s="224">
        <f>IF('DM_NHAN_SU'!$B121="","",IF('THUONG_T13_TET'!$L121="Có",SUM('THUONG_T13_TET'!$J121:$K121),0))</f>
        <v/>
      </c>
      <c r="BR121" s="224">
        <f>IF('DM_NHAN_SU'!$B121="","",'QT_NGHI_VIEC'!AC121)</f>
        <v/>
      </c>
      <c r="BS121" s="224">
        <f>IF('DM_NHAN_SU'!$B121="","",'QT_NGHI_VIEC'!AB121)</f>
        <v/>
      </c>
      <c r="BT121" s="224">
        <f>IF('DM_NHAN_SU'!$B121="","",IF('CHE_DO_BHXH'!$Z121="Có",'CHE_DO_BHXH'!$W121,0))</f>
        <v/>
      </c>
      <c r="BU121" s="224">
        <f>IF('DM_NHAN_SU'!$B121="","",IF('CHE_DO_BHXH'!$Y121="DN trả thay",$BT121,0))</f>
        <v/>
      </c>
      <c r="BV121" s="224">
        <f>IF('DM_NHAN_SU'!$B121="","",IF(OR('DM_NHAN_SU'!$AA121&lt;&gt;"Có",'CHE_DO_BHXH'!$O121&gt;=1,SUM('CHE_DO_BHXH'!$D121,'CHE_DO_BHXH'!$G121,'CHE_DO_BHXH'!$K121)&gt;=24,AND($I121&gt;0,$BM121&gt;=$I121)),0,IF('DM_NHAN_SU'!$AB121="Không",0,IF('DM_NHAN_SU'!$AB121="Nhập tay",'DM_NHAN_SU'!$AC121,IF('DM_NHAN_SU'!$AB121="Theo thực nhận",MIN(MAX($AT121-$AU121-$AV121-$AW121,0)*'THAM_SO'!$M$23,'THAM_SO'!$M$26),MIN($AE121*'THAM_SO'!$M$23,'THAM_SO'!$M$26))))))</f>
        <v/>
      </c>
      <c r="BW121" s="224">
        <f>IF('DM_NHAN_SU'!$B121="","",$AX121+$BU121)</f>
        <v/>
      </c>
    </row>
    <row r="122">
      <c r="A122" s="145">
        <f>IF('DM_NHAN_SU'!$B122="","",IF($B122="","",ROW()-5))</f>
        <v/>
      </c>
      <c r="B122" s="145">
        <f>IF('DM_NHAN_SU'!$B122="","",'DM_NHAN_SU'!B122)</f>
        <v/>
      </c>
      <c r="C122" s="145">
        <f>IF('DM_NHAN_SU'!$B122="","",'DM_NHAN_SU'!C122)</f>
        <v/>
      </c>
      <c r="D122" s="145">
        <f>IF('DM_NHAN_SU'!$B122="","",'DM_NHAN_SU'!D122)</f>
        <v/>
      </c>
      <c r="E122" s="145">
        <f>IF('DM_NHAN_SU'!$B122="","",'DM_NHAN_SU'!E122)</f>
        <v/>
      </c>
      <c r="F122" s="145">
        <f>IF('DM_NHAN_SU'!$B122="","",'DM_NHAN_SU'!I122)</f>
        <v/>
      </c>
      <c r="G122" s="145">
        <f>IF('DM_NHAN_SU'!$B122="","",'DM_NHAN_SU'!J122)</f>
        <v/>
      </c>
      <c r="H122" s="145">
        <f>IF('DM_NHAN_SU'!$B122="","",IF('DM_NHAN_SU'!H122="",'THAM_SO'!$B$11,'DM_NHAN_SU'!H122))</f>
        <v/>
      </c>
      <c r="I122" s="232">
        <f>IF('DM_NHAN_SU'!$B122="","",IF('DM_NHAN_SU'!L122&gt;0,'DM_NHAN_SU'!L122,'THAM_SO'!$B$9))</f>
        <v/>
      </c>
      <c r="J122" s="232">
        <f>IF('DM_NHAN_SU'!$B122="","",IF('DM_NHAN_SU'!M122&gt;0,'DM_NHAN_SU'!M122,'THAM_SO'!$B$10))</f>
        <v/>
      </c>
      <c r="K122" s="232">
        <f>IF('DM_NHAN_SU'!$B122="","",'CHAM_CONG_THANG'!AC122)</f>
        <v/>
      </c>
      <c r="L122" s="232">
        <f>IF('DM_NHAN_SU'!$B122="","",'CHAM_CONG_THANG'!AD122)</f>
        <v/>
      </c>
      <c r="M122" s="232">
        <f>IF('DM_NHAN_SU'!$B122="","",'CHAM_CONG_THANG'!AE122)</f>
        <v/>
      </c>
      <c r="N122" s="232">
        <f>IF('DM_NHAN_SU'!$B122="","",'CHAM_CONG_THANG'!N122)</f>
        <v/>
      </c>
      <c r="O122" s="224">
        <f>IF('DM_NHAN_SU'!$B122="","",IF($B122="","",IF($G122="Tháng",IF($I122&gt;0,'DM_NHAN_SU'!$K122*MIN($K122,$I122)/$I122,0),IF($G122="Ngày",'DM_NHAN_SU'!$K122*$K122,IF($G122="Giờ",'DM_NHAN_SU'!$K122*$L122,IF($G122="Sản phẩm",'DM_NHAN_SU'!$K122*$N122,0))))))</f>
        <v/>
      </c>
      <c r="P122" s="224">
        <f>IF('DM_NHAN_SU'!$B122="","",'CHAM_CONG_THANG'!O122)</f>
        <v/>
      </c>
      <c r="Q122" s="224">
        <f>IF('DM_NHAN_SU'!$B122="","",'CHAM_CONG_THANG'!P122)</f>
        <v/>
      </c>
      <c r="R122" s="224">
        <f>IF('DM_NHAN_SU'!$B122="","",'CHAM_CONG_THANG'!Q122)</f>
        <v/>
      </c>
      <c r="S122" s="224">
        <f>IF('DM_NHAN_SU'!$B122="","",'CHAM_CONG_THANG'!R122)</f>
        <v/>
      </c>
      <c r="T122" s="224">
        <f>IF('DM_NHAN_SU'!$B122="","",'CHAM_CONG_THANG'!S122)</f>
        <v/>
      </c>
      <c r="U122" s="224">
        <f>IF('DM_NHAN_SU'!$B122="","",MIN($T122,'THAM_SO'!$F$6))</f>
        <v/>
      </c>
      <c r="V122" s="224">
        <f>IF('DM_NHAN_SU'!$B122="","",MAX($T122-$U122,0))</f>
        <v/>
      </c>
      <c r="W122" s="224">
        <f>IF('DM_NHAN_SU'!$B122="","",'CHAM_CONG_THANG'!T122)</f>
        <v/>
      </c>
      <c r="X122" s="224">
        <f>IF('DM_NHAN_SU'!$B122="","",'CHAM_CONG_THANG'!U122)</f>
        <v/>
      </c>
      <c r="Y122" s="224">
        <f>IF('DM_NHAN_SU'!$B122="","",IF($B122="",0,IF('DM_NHAN_SU'!$Q122&gt;0,'DM_NHAN_SU'!$Q122,IF($G122="Tháng",IF($I122*$J122&gt;0,'DM_NHAN_SU'!$K122/($I122*$J122),0),IF($G122="Ngày",IF($J122&gt;0,'DM_NHAN_SU'!$K122/$J122,0),IF($G122="Giờ",'DM_NHAN_SU'!$K122,0))))))</f>
        <v/>
      </c>
      <c r="Z122" s="224">
        <f>IF('DM_NHAN_SU'!$B122="","",$Y122*($M122*'THAM_SO'!$C$22+'CHAM_CONG_THANG'!$AF122*'THAM_SO'!$C$19+'CHAM_CONG_THANG'!$AG122*'THAM_SO'!$C$20+'CHAM_CONG_THANG'!$AH122*'THAM_SO'!$C$21+'CHAM_CONG_THANG'!$AI122*'THAM_SO'!$C$23+'CHAM_CONG_THANG'!$AJ122*'THAM_SO'!$C$24+'CHAM_CONG_THANG'!$AK122*'THAM_SO'!$C$25))</f>
        <v/>
      </c>
      <c r="AA122" s="224">
        <f>IF('DM_NHAN_SU'!$B122="","",MAX(0,$Y122*($M122*IF('THAM_SO'!$C$22&gt;='THAM_SO'!$B$22,'THAM_SO'!$B$22,0)+'CHAM_CONG_THANG'!$AF122*IF('THAM_SO'!$C$19&gt;='THAM_SO'!$B$19,'THAM_SO'!$B$19,0)+'CHAM_CONG_THANG'!$AG122*IF('THAM_SO'!$C$20&gt;='THAM_SO'!$B$20,'THAM_SO'!$B$20,0)+'CHAM_CONG_THANG'!$AH122*IF('THAM_SO'!$C$21&gt;='THAM_SO'!$B$21,'THAM_SO'!$B$21,0)+'CHAM_CONG_THANG'!$AI122*IF('THAM_SO'!$C$23&gt;='THAM_SO'!$B$23,'THAM_SO'!$B$23,0)+'CHAM_CONG_THANG'!$AJ122*IF('THAM_SO'!$C$24&gt;='THAM_SO'!$B$24,'THAM_SO'!$B$24,0)+'CHAM_CONG_THANG'!$AK122*IF('THAM_SO'!$C$25&gt;='THAM_SO'!$B$25,'THAM_SO'!$B$25,0))-'CHAM_CONG_THANG'!$V122))</f>
        <v/>
      </c>
      <c r="AB122" s="224">
        <f>IF('DM_NHAN_SU'!$B122="","",MAX($Z122-$AA122,0))</f>
        <v/>
      </c>
      <c r="AC122" s="224">
        <f>IF('DM_NHAN_SU'!$B122="","",$O122+$P122+$Q122+$R122+$S122+$V122+$AB122+$BO122+$BP122+$BQ122+$BR122)</f>
        <v/>
      </c>
      <c r="AD122" s="224">
        <f>IF('DM_NHAN_SU'!$B122="","",'DM_NHAN_SU'!N122+'DM_NHAN_SU'!O122+'DM_NHAN_SU'!P122)</f>
        <v/>
      </c>
      <c r="AE122" s="224">
        <f>IF('DM_NHAN_SU'!$B122="","",IF(OR('DM_NHAN_SU'!$R122&lt;&gt;"Có",'CHAM_CONG_THANG'!$AA122="Có",$BL122&gt;=14,$AD122&lt;=0),0,MIN(MAX($AD122,'THAM_SO'!$M$6),'THAM_SO'!$M$7)))</f>
        <v/>
      </c>
      <c r="AF122" s="224">
        <f>IF('DM_NHAN_SU'!$B122="","",IF(OR('DM_NHAN_SU'!$S122&lt;&gt;"Có",'CHAM_CONG_THANG'!$AA122="Có",$BL122&gt;=14,$AD122&lt;=0),0,MIN(MAX($AD122,VLOOKUP($H122,'THAM_SO'!$L$17:$P$20,4,FALSE)),VLOOKUP($H122,'THAM_SO'!$L$17:$P$20,5,FALSE))))</f>
        <v/>
      </c>
      <c r="AG122" s="224">
        <f>IF('DM_NHAN_SU'!$B122="","",$AE122*'THAM_SO'!$M$8)</f>
        <v/>
      </c>
      <c r="AH122" s="224">
        <f>IF('DM_NHAN_SU'!$B122="","",$AE122*'THAM_SO'!$M$9)</f>
        <v/>
      </c>
      <c r="AI122" s="224">
        <f>IF('DM_NHAN_SU'!$B122="","",$AF122*'THAM_SO'!$M$10)</f>
        <v/>
      </c>
      <c r="AJ122" s="224">
        <f>IF('DM_NHAN_SU'!$B122="","",SUM($AG122:$AI122))</f>
        <v/>
      </c>
      <c r="AK122" s="224">
        <f>IF('DM_NHAN_SU'!$B122="","",IF($B122="",0,'THAM_SO'!$F$4))</f>
        <v/>
      </c>
      <c r="AL122" s="224">
        <f>IF('DM_NHAN_SU'!$B122="","",IF($B122="",0,'DM_NHAN_SU'!$T122*'THAM_SO'!$F$5))</f>
        <v/>
      </c>
      <c r="AM122" s="224">
        <f>IF('DM_NHAN_SU'!$B122="","",'CHAM_CONG_THANG'!W122)</f>
        <v/>
      </c>
      <c r="AN122" s="224">
        <f>IF('DM_NHAN_SU'!$B122="","",MAX($AC122-$AK122-$AL122-$AM122,0))</f>
        <v/>
      </c>
      <c r="AO122" s="224">
        <f>IF('DM_NHAN_SU'!$B122="","",IF($B122="","",IF($F122="Net",IF($AC122&lt;=$AK122+$AL122+$AM122,$AC122+$AJ122,$AJ122+$AK122+$AL122+$AM122+IF($AN122&lt;='THAM_SO'!$J$10,($AN122-'THAM_SO'!$I$10)/(1-'THAM_SO'!$H$10),IF($AN122&lt;='THAM_SO'!$J$11,($AN122-'THAM_SO'!$I$11)/(1-'THAM_SO'!$H$11),IF($AN122&lt;='THAM_SO'!$J$12,($AN122-'THAM_SO'!$I$12)/(1-'THAM_SO'!$H$12),IF($AN122&lt;='THAM_SO'!$J$13,($AN122-'THAM_SO'!$I$13)/(1-'THAM_SO'!$H$13),($AN122-'THAM_SO'!$I$14)/(1-'THAM_SO'!$H$14)))))),$AC122)))</f>
        <v/>
      </c>
      <c r="AP122" s="224">
        <f>IF('DM_NHAN_SU'!$B122="","",$U122+$W122+$X122+$AA122+$BS122)</f>
        <v/>
      </c>
      <c r="AQ122" s="224">
        <f>IF('DM_NHAN_SU'!$B122="","",MAX($AO122-$AJ122-$AK122-$AL122-$AM122,0))</f>
        <v/>
      </c>
      <c r="AR122" s="224">
        <f>IF('DM_NHAN_SU'!$B122="","",IF($AQ122&lt;=0,0,$AQ122*VLOOKUP($AQ122,'THAM_SO'!$F$10:$I$14,3,TRUE)-VLOOKUP($AQ122,'THAM_SO'!$F$10:$I$14,4,TRUE)))</f>
        <v/>
      </c>
      <c r="AS122" s="224">
        <f>IF('DM_NHAN_SU'!$B122="","",$AO122+$AP122)</f>
        <v/>
      </c>
      <c r="AT122" s="224">
        <f>IF('DM_NHAN_SU'!$B122="","",$AS122-$AJ122-$AR122)</f>
        <v/>
      </c>
      <c r="AU122" s="224">
        <f>IF('DM_NHAN_SU'!$B122="","",'CHAM_CONG_THANG'!X122)</f>
        <v/>
      </c>
      <c r="AV122" s="224">
        <f>IF('DM_NHAN_SU'!$B122="","",'CHAM_CONG_THANG'!Y122+'QT_NGHI_VIEC'!AD122)</f>
        <v/>
      </c>
      <c r="AW122" s="224">
        <f>IF('DM_NHAN_SU'!$B122="","",'CHAM_CONG_THANG'!Z122)</f>
        <v/>
      </c>
      <c r="AX122" s="224">
        <f>IF('DM_NHAN_SU'!$B122="","",$AT122-$AU122-$AV122-$AW122-$BV122)</f>
        <v/>
      </c>
      <c r="AY122" s="224">
        <f>IF('DM_NHAN_SU'!$B122="","",$AE122*'THAM_SO'!$M$11)</f>
        <v/>
      </c>
      <c r="AZ122" s="224">
        <f>IF('DM_NHAN_SU'!$B122="","",$AE122*'THAM_SO'!$M$12)</f>
        <v/>
      </c>
      <c r="BA122" s="224">
        <f>IF('DM_NHAN_SU'!$B122="","",$AF122*'THAM_SO'!$M$13)</f>
        <v/>
      </c>
      <c r="BB122" s="224">
        <f>IF('DM_NHAN_SU'!$B122="","",$AE122*'THAM_SO'!$M$14)</f>
        <v/>
      </c>
      <c r="BC122" s="224">
        <f>IF('DM_NHAN_SU'!$B122="","",SUM($AY122:$BB122))</f>
        <v/>
      </c>
      <c r="BD122" s="224">
        <f>IF('DM_NHAN_SU'!$B122="","",$AS122+$BC122)</f>
        <v/>
      </c>
      <c r="BE122" s="224">
        <f>IF('DM_NHAN_SU'!$B122="","",VLOOKUP($H122,'THAM_SO'!$L$17:$P$20,2,FALSE))</f>
        <v/>
      </c>
      <c r="BF122" s="224">
        <f>IF('DM_NHAN_SU'!$B122="","",VLOOKUP($H122,'THAM_SO'!$L$17:$P$20,3,FALSE))</f>
        <v/>
      </c>
      <c r="BG122" s="150">
        <f>IF('DM_NHAN_SU'!$B122="","",IF($B122="","",IF(COUNTIF('DM_NHAN_SU'!$B$6:$B$155,$B122)&gt;1,"Trùng mã NV; ","")&amp;IF(OR($F122="",$G122=""),"Thiếu loại/hình thức lương; ","")&amp;IF('CHAM_CONG_THANG'!$D122="","Chưa chọn nguồn công; ","")&amp;IF(AND('CHAM_CONG_THANG'!$D122="Theo ngày",COUNTIF('CHAM_CONG_NGAY'!$B$6:$B$4655,$B122)=0),"Chưa có chấm công ngày; ","")&amp;IF(OR($I122&lt;=0,$J122&lt;=0),"Thiếu công/giờ chuẩn; ","")&amp;IF(AND($G122="Tháng",'DM_NHAN_SU'!$K122&lt;$BE122),"Lương tháng dưới tối thiểu vùng; ","")&amp;IF(AND($G122="Ngày",'DM_NHAN_SU'!$K122/$J122&lt;$BF122),"Lương ngày quy đổi dưới tối thiểu giờ; ","")&amp;IF(AND($G122="Giờ",'DM_NHAN_SU'!$K122&lt;$BF122),"Lương giờ dưới tối thiểu vùng; ","")&amp;IF(AND($G122="Sản phẩm",$L122&gt;0,$O122/$L122&lt;$BF122),"Lương SP quy đổi dưới tối thiểu giờ; ","")&amp;IF(OR('THAM_SO'!$C$19&lt;'THAM_SO'!$B$19,'THAM_SO'!$C$20&lt;'THAM_SO'!$B$20,'THAM_SO'!$C$21&lt;'THAM_SO'!$B$21,'THAM_SO'!$C$22&lt;'THAM_SO'!$B$22,'THAM_SO'!$C$23&lt;'THAM_SO'!$B$23,'THAM_SO'!$C$24&lt;'THAM_SO'!$B$24,'THAM_SO'!$C$25&lt;'THAM_SO'!$B$25),"Hệ số OT/đêm DN thấp hơn luật; ","")&amp;IF(AND('DM_NHAN_SU'!$R122="Có",$AD122&lt;=0),"Thiếu căn cứ đóng BH; ","")&amp;IF(AND($AD122&gt;0,$AD122&lt;'THAM_SO'!$M$6),"Căn cứ BH dưới sàn – đã nâng sàn; ","")&amp;IF($AD122&gt;'THAM_SO'!$M$7,"Căn cứ BH vượt trần – đã giới hạn; ","")&amp;IF(AND($F122="Net",SUM('CHAM_CONG_THANG'!$AF122:$AK122)&gt;0,'DM_NHAN_SU'!$Q122&lt;=0),"Net có OT nhưng chưa khai lương giờ OT; ","")&amp;IF('CHAM_CONG_THANG'!$V122&gt;$Z122,"Phần OT không miễn lớn hơn tiền OT; ","")&amp;IF(AND($F122="Net",ABS($AT122-$AC122-$AP122)&gt;1),"Lệch quy đổi Net; ","")&amp;IF(AND($BH122&gt;0,'DM_NHAN_SU'!$AD122=""),"Có phép năm nhưng đang tạm dùng 12 ngày; ","")&amp;IF(AND($G122="Sản phẩm",SUM($BH122:$BJ122)&gt;0,'DM_NHAN_SU'!$AH122&lt;=0),"Lương sản phẩm thiếu đơn giá ngày phép/lễ; ","")&amp;IF(AND($BL122&gt;=14,'CHAM_CONG_THANG'!$AA122&lt;&gt;"Có"),"Thai sản từ 14 ngày: file tự dừng đóng BH – kiểm tra hồ sơ; ","")&amp;IF(AND('DM_NHAN_SU'!$AA122="Có",'DM_NHAN_SU'!$AB122=""),"Đoàn viên chưa chọn cách tính đoàn phí; ","")&amp;IF(AND('DM_NHAN_SU'!$AB122="Nhập tay",'DM_NHAN_SU'!$AC122&gt;'THAM_SO'!$M$26),"Đoàn phí nhập tay vượt trần thông dụng; ","")&amp;IF('NGHI_PHEP'!$L122&lt;&gt;"","Phép: "&amp;'NGHI_PHEP'!$L122,"")&amp;IF('CHE_DO_BHXH'!$AA122&lt;&gt;"","BHXH: "&amp;'CHE_DO_BHXH'!$AA122,"")&amp;IF('THUONG_T13_TET'!$O122&lt;&gt;"","Thưởng: "&amp;'THUONG_T13_TET'!$O122,"")&amp;IF('QT_NGHI_VIEC'!$AF122&lt;&gt;"","Nghỉ việc: "&amp;'QT_NGHI_VIEC'!$AF122,"")&amp;IF($AX122&lt;0,"Thực lĩnh âm; ","")&amp;IF(OR('DM_NHAN_SU'!$F122&gt;'THAM_SO'!$B$7,AND('DM_NHAN_SU'!$G122&lt;&gt;"",'DM_NHAN_SU'!$G122&lt;'THAM_SO'!$B$6)),"Ngoài kỳ trả lương; ","")))</f>
        <v/>
      </c>
      <c r="BH122" s="232">
        <f>IF('DM_NHAN_SU'!$B122="","",'CHAM_CONG_THANG'!AR122)</f>
        <v/>
      </c>
      <c r="BI122" s="232">
        <f>IF('DM_NHAN_SU'!$B122="","",'CHAM_CONG_THANG'!AS122)</f>
        <v/>
      </c>
      <c r="BJ122" s="232">
        <f>IF('DM_NHAN_SU'!$B122="","",'CHAM_CONG_THANG'!AT122)</f>
        <v/>
      </c>
      <c r="BK122" s="232">
        <f>IF('DM_NHAN_SU'!$B122="","",'CHAM_CONG_THANG'!AU122)</f>
        <v/>
      </c>
      <c r="BL122" s="232">
        <f>IF('DM_NHAN_SU'!$B122="","",'CHAM_CONG_THANG'!AV122)</f>
        <v/>
      </c>
      <c r="BM122" s="232">
        <f>IF('DM_NHAN_SU'!$B122="","",'CHAM_CONG_THANG'!AW122)</f>
        <v/>
      </c>
      <c r="BN122" s="232">
        <f>IF('DM_NHAN_SU'!$B122="","",SUM($K122,$BH122:$BJ122))</f>
        <v/>
      </c>
      <c r="BO122" s="224">
        <f>IF('DM_NHAN_SU'!$B122="","",IF($B122="",0,IF($G122="Tháng",IF($I122&gt;0,'DM_NHAN_SU'!$K122*MIN($BH122+$BJ122,MAX($I122-$K122,0))/$I122,0),IF($G122="Ngày",'DM_NHAN_SU'!$K122*SUM($BH122:$BJ122),IF($G122="Giờ",'DM_NHAN_SU'!$K122*SUM($BH122:$BJ122)*$J122,IF($G122="Sản phẩm",'DM_NHAN_SU'!$AH122*SUM($BH122:$BJ122),0))))))</f>
        <v/>
      </c>
      <c r="BP122" s="224">
        <f>IF('DM_NHAN_SU'!$B122="","",IF('THUONG_T13_TET'!$L122="Có",'THUONG_T13_TET'!$I122,0))</f>
        <v/>
      </c>
      <c r="BQ122" s="224">
        <f>IF('DM_NHAN_SU'!$B122="","",IF('THUONG_T13_TET'!$L122="Có",SUM('THUONG_T13_TET'!$J122:$K122),0))</f>
        <v/>
      </c>
      <c r="BR122" s="224">
        <f>IF('DM_NHAN_SU'!$B122="","",'QT_NGHI_VIEC'!AC122)</f>
        <v/>
      </c>
      <c r="BS122" s="224">
        <f>IF('DM_NHAN_SU'!$B122="","",'QT_NGHI_VIEC'!AB122)</f>
        <v/>
      </c>
      <c r="BT122" s="224">
        <f>IF('DM_NHAN_SU'!$B122="","",IF('CHE_DO_BHXH'!$Z122="Có",'CHE_DO_BHXH'!$W122,0))</f>
        <v/>
      </c>
      <c r="BU122" s="224">
        <f>IF('DM_NHAN_SU'!$B122="","",IF('CHE_DO_BHXH'!$Y122="DN trả thay",$BT122,0))</f>
        <v/>
      </c>
      <c r="BV122" s="224">
        <f>IF('DM_NHAN_SU'!$B122="","",IF(OR('DM_NHAN_SU'!$AA122&lt;&gt;"Có",'CHE_DO_BHXH'!$O122&gt;=1,SUM('CHE_DO_BHXH'!$D122,'CHE_DO_BHXH'!$G122,'CHE_DO_BHXH'!$K122)&gt;=24,AND($I122&gt;0,$BM122&gt;=$I122)),0,IF('DM_NHAN_SU'!$AB122="Không",0,IF('DM_NHAN_SU'!$AB122="Nhập tay",'DM_NHAN_SU'!$AC122,IF('DM_NHAN_SU'!$AB122="Theo thực nhận",MIN(MAX($AT122-$AU122-$AV122-$AW122,0)*'THAM_SO'!$M$23,'THAM_SO'!$M$26),MIN($AE122*'THAM_SO'!$M$23,'THAM_SO'!$M$26))))))</f>
        <v/>
      </c>
      <c r="BW122" s="224">
        <f>IF('DM_NHAN_SU'!$B122="","",$AX122+$BU122)</f>
        <v/>
      </c>
    </row>
    <row r="123">
      <c r="A123" s="145">
        <f>IF('DM_NHAN_SU'!$B123="","",IF($B123="","",ROW()-5))</f>
        <v/>
      </c>
      <c r="B123" s="145">
        <f>IF('DM_NHAN_SU'!$B123="","",'DM_NHAN_SU'!B123)</f>
        <v/>
      </c>
      <c r="C123" s="145">
        <f>IF('DM_NHAN_SU'!$B123="","",'DM_NHAN_SU'!C123)</f>
        <v/>
      </c>
      <c r="D123" s="145">
        <f>IF('DM_NHAN_SU'!$B123="","",'DM_NHAN_SU'!D123)</f>
        <v/>
      </c>
      <c r="E123" s="145">
        <f>IF('DM_NHAN_SU'!$B123="","",'DM_NHAN_SU'!E123)</f>
        <v/>
      </c>
      <c r="F123" s="145">
        <f>IF('DM_NHAN_SU'!$B123="","",'DM_NHAN_SU'!I123)</f>
        <v/>
      </c>
      <c r="G123" s="145">
        <f>IF('DM_NHAN_SU'!$B123="","",'DM_NHAN_SU'!J123)</f>
        <v/>
      </c>
      <c r="H123" s="145">
        <f>IF('DM_NHAN_SU'!$B123="","",IF('DM_NHAN_SU'!H123="",'THAM_SO'!$B$11,'DM_NHAN_SU'!H123))</f>
        <v/>
      </c>
      <c r="I123" s="232">
        <f>IF('DM_NHAN_SU'!$B123="","",IF('DM_NHAN_SU'!L123&gt;0,'DM_NHAN_SU'!L123,'THAM_SO'!$B$9))</f>
        <v/>
      </c>
      <c r="J123" s="232">
        <f>IF('DM_NHAN_SU'!$B123="","",IF('DM_NHAN_SU'!M123&gt;0,'DM_NHAN_SU'!M123,'THAM_SO'!$B$10))</f>
        <v/>
      </c>
      <c r="K123" s="232">
        <f>IF('DM_NHAN_SU'!$B123="","",'CHAM_CONG_THANG'!AC123)</f>
        <v/>
      </c>
      <c r="L123" s="232">
        <f>IF('DM_NHAN_SU'!$B123="","",'CHAM_CONG_THANG'!AD123)</f>
        <v/>
      </c>
      <c r="M123" s="232">
        <f>IF('DM_NHAN_SU'!$B123="","",'CHAM_CONG_THANG'!AE123)</f>
        <v/>
      </c>
      <c r="N123" s="232">
        <f>IF('DM_NHAN_SU'!$B123="","",'CHAM_CONG_THANG'!N123)</f>
        <v/>
      </c>
      <c r="O123" s="224">
        <f>IF('DM_NHAN_SU'!$B123="","",IF($B123="","",IF($G123="Tháng",IF($I123&gt;0,'DM_NHAN_SU'!$K123*MIN($K123,$I123)/$I123,0),IF($G123="Ngày",'DM_NHAN_SU'!$K123*$K123,IF($G123="Giờ",'DM_NHAN_SU'!$K123*$L123,IF($G123="Sản phẩm",'DM_NHAN_SU'!$K123*$N123,0))))))</f>
        <v/>
      </c>
      <c r="P123" s="224">
        <f>IF('DM_NHAN_SU'!$B123="","",'CHAM_CONG_THANG'!O123)</f>
        <v/>
      </c>
      <c r="Q123" s="224">
        <f>IF('DM_NHAN_SU'!$B123="","",'CHAM_CONG_THANG'!P123)</f>
        <v/>
      </c>
      <c r="R123" s="224">
        <f>IF('DM_NHAN_SU'!$B123="","",'CHAM_CONG_THANG'!Q123)</f>
        <v/>
      </c>
      <c r="S123" s="224">
        <f>IF('DM_NHAN_SU'!$B123="","",'CHAM_CONG_THANG'!R123)</f>
        <v/>
      </c>
      <c r="T123" s="224">
        <f>IF('DM_NHAN_SU'!$B123="","",'CHAM_CONG_THANG'!S123)</f>
        <v/>
      </c>
      <c r="U123" s="224">
        <f>IF('DM_NHAN_SU'!$B123="","",MIN($T123,'THAM_SO'!$F$6))</f>
        <v/>
      </c>
      <c r="V123" s="224">
        <f>IF('DM_NHAN_SU'!$B123="","",MAX($T123-$U123,0))</f>
        <v/>
      </c>
      <c r="W123" s="224">
        <f>IF('DM_NHAN_SU'!$B123="","",'CHAM_CONG_THANG'!T123)</f>
        <v/>
      </c>
      <c r="X123" s="224">
        <f>IF('DM_NHAN_SU'!$B123="","",'CHAM_CONG_THANG'!U123)</f>
        <v/>
      </c>
      <c r="Y123" s="224">
        <f>IF('DM_NHAN_SU'!$B123="","",IF($B123="",0,IF('DM_NHAN_SU'!$Q123&gt;0,'DM_NHAN_SU'!$Q123,IF($G123="Tháng",IF($I123*$J123&gt;0,'DM_NHAN_SU'!$K123/($I123*$J123),0),IF($G123="Ngày",IF($J123&gt;0,'DM_NHAN_SU'!$K123/$J123,0),IF($G123="Giờ",'DM_NHAN_SU'!$K123,0))))))</f>
        <v/>
      </c>
      <c r="Z123" s="224">
        <f>IF('DM_NHAN_SU'!$B123="","",$Y123*($M123*'THAM_SO'!$C$22+'CHAM_CONG_THANG'!$AF123*'THAM_SO'!$C$19+'CHAM_CONG_THANG'!$AG123*'THAM_SO'!$C$20+'CHAM_CONG_THANG'!$AH123*'THAM_SO'!$C$21+'CHAM_CONG_THANG'!$AI123*'THAM_SO'!$C$23+'CHAM_CONG_THANG'!$AJ123*'THAM_SO'!$C$24+'CHAM_CONG_THANG'!$AK123*'THAM_SO'!$C$25))</f>
        <v/>
      </c>
      <c r="AA123" s="224">
        <f>IF('DM_NHAN_SU'!$B123="","",MAX(0,$Y123*($M123*IF('THAM_SO'!$C$22&gt;='THAM_SO'!$B$22,'THAM_SO'!$B$22,0)+'CHAM_CONG_THANG'!$AF123*IF('THAM_SO'!$C$19&gt;='THAM_SO'!$B$19,'THAM_SO'!$B$19,0)+'CHAM_CONG_THANG'!$AG123*IF('THAM_SO'!$C$20&gt;='THAM_SO'!$B$20,'THAM_SO'!$B$20,0)+'CHAM_CONG_THANG'!$AH123*IF('THAM_SO'!$C$21&gt;='THAM_SO'!$B$21,'THAM_SO'!$B$21,0)+'CHAM_CONG_THANG'!$AI123*IF('THAM_SO'!$C$23&gt;='THAM_SO'!$B$23,'THAM_SO'!$B$23,0)+'CHAM_CONG_THANG'!$AJ123*IF('THAM_SO'!$C$24&gt;='THAM_SO'!$B$24,'THAM_SO'!$B$24,0)+'CHAM_CONG_THANG'!$AK123*IF('THAM_SO'!$C$25&gt;='THAM_SO'!$B$25,'THAM_SO'!$B$25,0))-'CHAM_CONG_THANG'!$V123))</f>
        <v/>
      </c>
      <c r="AB123" s="224">
        <f>IF('DM_NHAN_SU'!$B123="","",MAX($Z123-$AA123,0))</f>
        <v/>
      </c>
      <c r="AC123" s="224">
        <f>IF('DM_NHAN_SU'!$B123="","",$O123+$P123+$Q123+$R123+$S123+$V123+$AB123+$BO123+$BP123+$BQ123+$BR123)</f>
        <v/>
      </c>
      <c r="AD123" s="224">
        <f>IF('DM_NHAN_SU'!$B123="","",'DM_NHAN_SU'!N123+'DM_NHAN_SU'!O123+'DM_NHAN_SU'!P123)</f>
        <v/>
      </c>
      <c r="AE123" s="224">
        <f>IF('DM_NHAN_SU'!$B123="","",IF(OR('DM_NHAN_SU'!$R123&lt;&gt;"Có",'CHAM_CONG_THANG'!$AA123="Có",$BL123&gt;=14,$AD123&lt;=0),0,MIN(MAX($AD123,'THAM_SO'!$M$6),'THAM_SO'!$M$7)))</f>
        <v/>
      </c>
      <c r="AF123" s="224">
        <f>IF('DM_NHAN_SU'!$B123="","",IF(OR('DM_NHAN_SU'!$S123&lt;&gt;"Có",'CHAM_CONG_THANG'!$AA123="Có",$BL123&gt;=14,$AD123&lt;=0),0,MIN(MAX($AD123,VLOOKUP($H123,'THAM_SO'!$L$17:$P$20,4,FALSE)),VLOOKUP($H123,'THAM_SO'!$L$17:$P$20,5,FALSE))))</f>
        <v/>
      </c>
      <c r="AG123" s="224">
        <f>IF('DM_NHAN_SU'!$B123="","",$AE123*'THAM_SO'!$M$8)</f>
        <v/>
      </c>
      <c r="AH123" s="224">
        <f>IF('DM_NHAN_SU'!$B123="","",$AE123*'THAM_SO'!$M$9)</f>
        <v/>
      </c>
      <c r="AI123" s="224">
        <f>IF('DM_NHAN_SU'!$B123="","",$AF123*'THAM_SO'!$M$10)</f>
        <v/>
      </c>
      <c r="AJ123" s="224">
        <f>IF('DM_NHAN_SU'!$B123="","",SUM($AG123:$AI123))</f>
        <v/>
      </c>
      <c r="AK123" s="224">
        <f>IF('DM_NHAN_SU'!$B123="","",IF($B123="",0,'THAM_SO'!$F$4))</f>
        <v/>
      </c>
      <c r="AL123" s="224">
        <f>IF('DM_NHAN_SU'!$B123="","",IF($B123="",0,'DM_NHAN_SU'!$T123*'THAM_SO'!$F$5))</f>
        <v/>
      </c>
      <c r="AM123" s="224">
        <f>IF('DM_NHAN_SU'!$B123="","",'CHAM_CONG_THANG'!W123)</f>
        <v/>
      </c>
      <c r="AN123" s="224">
        <f>IF('DM_NHAN_SU'!$B123="","",MAX($AC123-$AK123-$AL123-$AM123,0))</f>
        <v/>
      </c>
      <c r="AO123" s="224">
        <f>IF('DM_NHAN_SU'!$B123="","",IF($B123="","",IF($F123="Net",IF($AC123&lt;=$AK123+$AL123+$AM123,$AC123+$AJ123,$AJ123+$AK123+$AL123+$AM123+IF($AN123&lt;='THAM_SO'!$J$10,($AN123-'THAM_SO'!$I$10)/(1-'THAM_SO'!$H$10),IF($AN123&lt;='THAM_SO'!$J$11,($AN123-'THAM_SO'!$I$11)/(1-'THAM_SO'!$H$11),IF($AN123&lt;='THAM_SO'!$J$12,($AN123-'THAM_SO'!$I$12)/(1-'THAM_SO'!$H$12),IF($AN123&lt;='THAM_SO'!$J$13,($AN123-'THAM_SO'!$I$13)/(1-'THAM_SO'!$H$13),($AN123-'THAM_SO'!$I$14)/(1-'THAM_SO'!$H$14)))))),$AC123)))</f>
        <v/>
      </c>
      <c r="AP123" s="224">
        <f>IF('DM_NHAN_SU'!$B123="","",$U123+$W123+$X123+$AA123+$BS123)</f>
        <v/>
      </c>
      <c r="AQ123" s="224">
        <f>IF('DM_NHAN_SU'!$B123="","",MAX($AO123-$AJ123-$AK123-$AL123-$AM123,0))</f>
        <v/>
      </c>
      <c r="AR123" s="224">
        <f>IF('DM_NHAN_SU'!$B123="","",IF($AQ123&lt;=0,0,$AQ123*VLOOKUP($AQ123,'THAM_SO'!$F$10:$I$14,3,TRUE)-VLOOKUP($AQ123,'THAM_SO'!$F$10:$I$14,4,TRUE)))</f>
        <v/>
      </c>
      <c r="AS123" s="224">
        <f>IF('DM_NHAN_SU'!$B123="","",$AO123+$AP123)</f>
        <v/>
      </c>
      <c r="AT123" s="224">
        <f>IF('DM_NHAN_SU'!$B123="","",$AS123-$AJ123-$AR123)</f>
        <v/>
      </c>
      <c r="AU123" s="224">
        <f>IF('DM_NHAN_SU'!$B123="","",'CHAM_CONG_THANG'!X123)</f>
        <v/>
      </c>
      <c r="AV123" s="224">
        <f>IF('DM_NHAN_SU'!$B123="","",'CHAM_CONG_THANG'!Y123+'QT_NGHI_VIEC'!AD123)</f>
        <v/>
      </c>
      <c r="AW123" s="224">
        <f>IF('DM_NHAN_SU'!$B123="","",'CHAM_CONG_THANG'!Z123)</f>
        <v/>
      </c>
      <c r="AX123" s="224">
        <f>IF('DM_NHAN_SU'!$B123="","",$AT123-$AU123-$AV123-$AW123-$BV123)</f>
        <v/>
      </c>
      <c r="AY123" s="224">
        <f>IF('DM_NHAN_SU'!$B123="","",$AE123*'THAM_SO'!$M$11)</f>
        <v/>
      </c>
      <c r="AZ123" s="224">
        <f>IF('DM_NHAN_SU'!$B123="","",$AE123*'THAM_SO'!$M$12)</f>
        <v/>
      </c>
      <c r="BA123" s="224">
        <f>IF('DM_NHAN_SU'!$B123="","",$AF123*'THAM_SO'!$M$13)</f>
        <v/>
      </c>
      <c r="BB123" s="224">
        <f>IF('DM_NHAN_SU'!$B123="","",$AE123*'THAM_SO'!$M$14)</f>
        <v/>
      </c>
      <c r="BC123" s="224">
        <f>IF('DM_NHAN_SU'!$B123="","",SUM($AY123:$BB123))</f>
        <v/>
      </c>
      <c r="BD123" s="224">
        <f>IF('DM_NHAN_SU'!$B123="","",$AS123+$BC123)</f>
        <v/>
      </c>
      <c r="BE123" s="224">
        <f>IF('DM_NHAN_SU'!$B123="","",VLOOKUP($H123,'THAM_SO'!$L$17:$P$20,2,FALSE))</f>
        <v/>
      </c>
      <c r="BF123" s="224">
        <f>IF('DM_NHAN_SU'!$B123="","",VLOOKUP($H123,'THAM_SO'!$L$17:$P$20,3,FALSE))</f>
        <v/>
      </c>
      <c r="BG123" s="150">
        <f>IF('DM_NHAN_SU'!$B123="","",IF($B123="","",IF(COUNTIF('DM_NHAN_SU'!$B$6:$B$155,$B123)&gt;1,"Trùng mã NV; ","")&amp;IF(OR($F123="",$G123=""),"Thiếu loại/hình thức lương; ","")&amp;IF('CHAM_CONG_THANG'!$D123="","Chưa chọn nguồn công; ","")&amp;IF(AND('CHAM_CONG_THANG'!$D123="Theo ngày",COUNTIF('CHAM_CONG_NGAY'!$B$6:$B$4655,$B123)=0),"Chưa có chấm công ngày; ","")&amp;IF(OR($I123&lt;=0,$J123&lt;=0),"Thiếu công/giờ chuẩn; ","")&amp;IF(AND($G123="Tháng",'DM_NHAN_SU'!$K123&lt;$BE123),"Lương tháng dưới tối thiểu vùng; ","")&amp;IF(AND($G123="Ngày",'DM_NHAN_SU'!$K123/$J123&lt;$BF123),"Lương ngày quy đổi dưới tối thiểu giờ; ","")&amp;IF(AND($G123="Giờ",'DM_NHAN_SU'!$K123&lt;$BF123),"Lương giờ dưới tối thiểu vùng; ","")&amp;IF(AND($G123="Sản phẩm",$L123&gt;0,$O123/$L123&lt;$BF123),"Lương SP quy đổi dưới tối thiểu giờ; ","")&amp;IF(OR('THAM_SO'!$C$19&lt;'THAM_SO'!$B$19,'THAM_SO'!$C$20&lt;'THAM_SO'!$B$20,'THAM_SO'!$C$21&lt;'THAM_SO'!$B$21,'THAM_SO'!$C$22&lt;'THAM_SO'!$B$22,'THAM_SO'!$C$23&lt;'THAM_SO'!$B$23,'THAM_SO'!$C$24&lt;'THAM_SO'!$B$24,'THAM_SO'!$C$25&lt;'THAM_SO'!$B$25),"Hệ số OT/đêm DN thấp hơn luật; ","")&amp;IF(AND('DM_NHAN_SU'!$R123="Có",$AD123&lt;=0),"Thiếu căn cứ đóng BH; ","")&amp;IF(AND($AD123&gt;0,$AD123&lt;'THAM_SO'!$M$6),"Căn cứ BH dưới sàn – đã nâng sàn; ","")&amp;IF($AD123&gt;'THAM_SO'!$M$7,"Căn cứ BH vượt trần – đã giới hạn; ","")&amp;IF(AND($F123="Net",SUM('CHAM_CONG_THANG'!$AF123:$AK123)&gt;0,'DM_NHAN_SU'!$Q123&lt;=0),"Net có OT nhưng chưa khai lương giờ OT; ","")&amp;IF('CHAM_CONG_THANG'!$V123&gt;$Z123,"Phần OT không miễn lớn hơn tiền OT; ","")&amp;IF(AND($F123="Net",ABS($AT123-$AC123-$AP123)&gt;1),"Lệch quy đổi Net; ","")&amp;IF(AND($BH123&gt;0,'DM_NHAN_SU'!$AD123=""),"Có phép năm nhưng đang tạm dùng 12 ngày; ","")&amp;IF(AND($G123="Sản phẩm",SUM($BH123:$BJ123)&gt;0,'DM_NHAN_SU'!$AH123&lt;=0),"Lương sản phẩm thiếu đơn giá ngày phép/lễ; ","")&amp;IF(AND($BL123&gt;=14,'CHAM_CONG_THANG'!$AA123&lt;&gt;"Có"),"Thai sản từ 14 ngày: file tự dừng đóng BH – kiểm tra hồ sơ; ","")&amp;IF(AND('DM_NHAN_SU'!$AA123="Có",'DM_NHAN_SU'!$AB123=""),"Đoàn viên chưa chọn cách tính đoàn phí; ","")&amp;IF(AND('DM_NHAN_SU'!$AB123="Nhập tay",'DM_NHAN_SU'!$AC123&gt;'THAM_SO'!$M$26),"Đoàn phí nhập tay vượt trần thông dụng; ","")&amp;IF('NGHI_PHEP'!$L123&lt;&gt;"","Phép: "&amp;'NGHI_PHEP'!$L123,"")&amp;IF('CHE_DO_BHXH'!$AA123&lt;&gt;"","BHXH: "&amp;'CHE_DO_BHXH'!$AA123,"")&amp;IF('THUONG_T13_TET'!$O123&lt;&gt;"","Thưởng: "&amp;'THUONG_T13_TET'!$O123,"")&amp;IF('QT_NGHI_VIEC'!$AF123&lt;&gt;"","Nghỉ việc: "&amp;'QT_NGHI_VIEC'!$AF123,"")&amp;IF($AX123&lt;0,"Thực lĩnh âm; ","")&amp;IF(OR('DM_NHAN_SU'!$F123&gt;'THAM_SO'!$B$7,AND('DM_NHAN_SU'!$G123&lt;&gt;"",'DM_NHAN_SU'!$G123&lt;'THAM_SO'!$B$6)),"Ngoài kỳ trả lương; ","")))</f>
        <v/>
      </c>
      <c r="BH123" s="232">
        <f>IF('DM_NHAN_SU'!$B123="","",'CHAM_CONG_THANG'!AR123)</f>
        <v/>
      </c>
      <c r="BI123" s="232">
        <f>IF('DM_NHAN_SU'!$B123="","",'CHAM_CONG_THANG'!AS123)</f>
        <v/>
      </c>
      <c r="BJ123" s="232">
        <f>IF('DM_NHAN_SU'!$B123="","",'CHAM_CONG_THANG'!AT123)</f>
        <v/>
      </c>
      <c r="BK123" s="232">
        <f>IF('DM_NHAN_SU'!$B123="","",'CHAM_CONG_THANG'!AU123)</f>
        <v/>
      </c>
      <c r="BL123" s="232">
        <f>IF('DM_NHAN_SU'!$B123="","",'CHAM_CONG_THANG'!AV123)</f>
        <v/>
      </c>
      <c r="BM123" s="232">
        <f>IF('DM_NHAN_SU'!$B123="","",'CHAM_CONG_THANG'!AW123)</f>
        <v/>
      </c>
      <c r="BN123" s="232">
        <f>IF('DM_NHAN_SU'!$B123="","",SUM($K123,$BH123:$BJ123))</f>
        <v/>
      </c>
      <c r="BO123" s="224">
        <f>IF('DM_NHAN_SU'!$B123="","",IF($B123="",0,IF($G123="Tháng",IF($I123&gt;0,'DM_NHAN_SU'!$K123*MIN($BH123+$BJ123,MAX($I123-$K123,0))/$I123,0),IF($G123="Ngày",'DM_NHAN_SU'!$K123*SUM($BH123:$BJ123),IF($G123="Giờ",'DM_NHAN_SU'!$K123*SUM($BH123:$BJ123)*$J123,IF($G123="Sản phẩm",'DM_NHAN_SU'!$AH123*SUM($BH123:$BJ123),0))))))</f>
        <v/>
      </c>
      <c r="BP123" s="224">
        <f>IF('DM_NHAN_SU'!$B123="","",IF('THUONG_T13_TET'!$L123="Có",'THUONG_T13_TET'!$I123,0))</f>
        <v/>
      </c>
      <c r="BQ123" s="224">
        <f>IF('DM_NHAN_SU'!$B123="","",IF('THUONG_T13_TET'!$L123="Có",SUM('THUONG_T13_TET'!$J123:$K123),0))</f>
        <v/>
      </c>
      <c r="BR123" s="224">
        <f>IF('DM_NHAN_SU'!$B123="","",'QT_NGHI_VIEC'!AC123)</f>
        <v/>
      </c>
      <c r="BS123" s="224">
        <f>IF('DM_NHAN_SU'!$B123="","",'QT_NGHI_VIEC'!AB123)</f>
        <v/>
      </c>
      <c r="BT123" s="224">
        <f>IF('DM_NHAN_SU'!$B123="","",IF('CHE_DO_BHXH'!$Z123="Có",'CHE_DO_BHXH'!$W123,0))</f>
        <v/>
      </c>
      <c r="BU123" s="224">
        <f>IF('DM_NHAN_SU'!$B123="","",IF('CHE_DO_BHXH'!$Y123="DN trả thay",$BT123,0))</f>
        <v/>
      </c>
      <c r="BV123" s="224">
        <f>IF('DM_NHAN_SU'!$B123="","",IF(OR('DM_NHAN_SU'!$AA123&lt;&gt;"Có",'CHE_DO_BHXH'!$O123&gt;=1,SUM('CHE_DO_BHXH'!$D123,'CHE_DO_BHXH'!$G123,'CHE_DO_BHXH'!$K123)&gt;=24,AND($I123&gt;0,$BM123&gt;=$I123)),0,IF('DM_NHAN_SU'!$AB123="Không",0,IF('DM_NHAN_SU'!$AB123="Nhập tay",'DM_NHAN_SU'!$AC123,IF('DM_NHAN_SU'!$AB123="Theo thực nhận",MIN(MAX($AT123-$AU123-$AV123-$AW123,0)*'THAM_SO'!$M$23,'THAM_SO'!$M$26),MIN($AE123*'THAM_SO'!$M$23,'THAM_SO'!$M$26))))))</f>
        <v/>
      </c>
      <c r="BW123" s="224">
        <f>IF('DM_NHAN_SU'!$B123="","",$AX123+$BU123)</f>
        <v/>
      </c>
    </row>
    <row r="124">
      <c r="A124" s="145">
        <f>IF('DM_NHAN_SU'!$B124="","",IF($B124="","",ROW()-5))</f>
        <v/>
      </c>
      <c r="B124" s="145">
        <f>IF('DM_NHAN_SU'!$B124="","",'DM_NHAN_SU'!B124)</f>
        <v/>
      </c>
      <c r="C124" s="145">
        <f>IF('DM_NHAN_SU'!$B124="","",'DM_NHAN_SU'!C124)</f>
        <v/>
      </c>
      <c r="D124" s="145">
        <f>IF('DM_NHAN_SU'!$B124="","",'DM_NHAN_SU'!D124)</f>
        <v/>
      </c>
      <c r="E124" s="145">
        <f>IF('DM_NHAN_SU'!$B124="","",'DM_NHAN_SU'!E124)</f>
        <v/>
      </c>
      <c r="F124" s="145">
        <f>IF('DM_NHAN_SU'!$B124="","",'DM_NHAN_SU'!I124)</f>
        <v/>
      </c>
      <c r="G124" s="145">
        <f>IF('DM_NHAN_SU'!$B124="","",'DM_NHAN_SU'!J124)</f>
        <v/>
      </c>
      <c r="H124" s="145">
        <f>IF('DM_NHAN_SU'!$B124="","",IF('DM_NHAN_SU'!H124="",'THAM_SO'!$B$11,'DM_NHAN_SU'!H124))</f>
        <v/>
      </c>
      <c r="I124" s="232">
        <f>IF('DM_NHAN_SU'!$B124="","",IF('DM_NHAN_SU'!L124&gt;0,'DM_NHAN_SU'!L124,'THAM_SO'!$B$9))</f>
        <v/>
      </c>
      <c r="J124" s="232">
        <f>IF('DM_NHAN_SU'!$B124="","",IF('DM_NHAN_SU'!M124&gt;0,'DM_NHAN_SU'!M124,'THAM_SO'!$B$10))</f>
        <v/>
      </c>
      <c r="K124" s="232">
        <f>IF('DM_NHAN_SU'!$B124="","",'CHAM_CONG_THANG'!AC124)</f>
        <v/>
      </c>
      <c r="L124" s="232">
        <f>IF('DM_NHAN_SU'!$B124="","",'CHAM_CONG_THANG'!AD124)</f>
        <v/>
      </c>
      <c r="M124" s="232">
        <f>IF('DM_NHAN_SU'!$B124="","",'CHAM_CONG_THANG'!AE124)</f>
        <v/>
      </c>
      <c r="N124" s="232">
        <f>IF('DM_NHAN_SU'!$B124="","",'CHAM_CONG_THANG'!N124)</f>
        <v/>
      </c>
      <c r="O124" s="224">
        <f>IF('DM_NHAN_SU'!$B124="","",IF($B124="","",IF($G124="Tháng",IF($I124&gt;0,'DM_NHAN_SU'!$K124*MIN($K124,$I124)/$I124,0),IF($G124="Ngày",'DM_NHAN_SU'!$K124*$K124,IF($G124="Giờ",'DM_NHAN_SU'!$K124*$L124,IF($G124="Sản phẩm",'DM_NHAN_SU'!$K124*$N124,0))))))</f>
        <v/>
      </c>
      <c r="P124" s="224">
        <f>IF('DM_NHAN_SU'!$B124="","",'CHAM_CONG_THANG'!O124)</f>
        <v/>
      </c>
      <c r="Q124" s="224">
        <f>IF('DM_NHAN_SU'!$B124="","",'CHAM_CONG_THANG'!P124)</f>
        <v/>
      </c>
      <c r="R124" s="224">
        <f>IF('DM_NHAN_SU'!$B124="","",'CHAM_CONG_THANG'!Q124)</f>
        <v/>
      </c>
      <c r="S124" s="224">
        <f>IF('DM_NHAN_SU'!$B124="","",'CHAM_CONG_THANG'!R124)</f>
        <v/>
      </c>
      <c r="T124" s="224">
        <f>IF('DM_NHAN_SU'!$B124="","",'CHAM_CONG_THANG'!S124)</f>
        <v/>
      </c>
      <c r="U124" s="224">
        <f>IF('DM_NHAN_SU'!$B124="","",MIN($T124,'THAM_SO'!$F$6))</f>
        <v/>
      </c>
      <c r="V124" s="224">
        <f>IF('DM_NHAN_SU'!$B124="","",MAX($T124-$U124,0))</f>
        <v/>
      </c>
      <c r="W124" s="224">
        <f>IF('DM_NHAN_SU'!$B124="","",'CHAM_CONG_THANG'!T124)</f>
        <v/>
      </c>
      <c r="X124" s="224">
        <f>IF('DM_NHAN_SU'!$B124="","",'CHAM_CONG_THANG'!U124)</f>
        <v/>
      </c>
      <c r="Y124" s="224">
        <f>IF('DM_NHAN_SU'!$B124="","",IF($B124="",0,IF('DM_NHAN_SU'!$Q124&gt;0,'DM_NHAN_SU'!$Q124,IF($G124="Tháng",IF($I124*$J124&gt;0,'DM_NHAN_SU'!$K124/($I124*$J124),0),IF($G124="Ngày",IF($J124&gt;0,'DM_NHAN_SU'!$K124/$J124,0),IF($G124="Giờ",'DM_NHAN_SU'!$K124,0))))))</f>
        <v/>
      </c>
      <c r="Z124" s="224">
        <f>IF('DM_NHAN_SU'!$B124="","",$Y124*($M124*'THAM_SO'!$C$22+'CHAM_CONG_THANG'!$AF124*'THAM_SO'!$C$19+'CHAM_CONG_THANG'!$AG124*'THAM_SO'!$C$20+'CHAM_CONG_THANG'!$AH124*'THAM_SO'!$C$21+'CHAM_CONG_THANG'!$AI124*'THAM_SO'!$C$23+'CHAM_CONG_THANG'!$AJ124*'THAM_SO'!$C$24+'CHAM_CONG_THANG'!$AK124*'THAM_SO'!$C$25))</f>
        <v/>
      </c>
      <c r="AA124" s="224">
        <f>IF('DM_NHAN_SU'!$B124="","",MAX(0,$Y124*($M124*IF('THAM_SO'!$C$22&gt;='THAM_SO'!$B$22,'THAM_SO'!$B$22,0)+'CHAM_CONG_THANG'!$AF124*IF('THAM_SO'!$C$19&gt;='THAM_SO'!$B$19,'THAM_SO'!$B$19,0)+'CHAM_CONG_THANG'!$AG124*IF('THAM_SO'!$C$20&gt;='THAM_SO'!$B$20,'THAM_SO'!$B$20,0)+'CHAM_CONG_THANG'!$AH124*IF('THAM_SO'!$C$21&gt;='THAM_SO'!$B$21,'THAM_SO'!$B$21,0)+'CHAM_CONG_THANG'!$AI124*IF('THAM_SO'!$C$23&gt;='THAM_SO'!$B$23,'THAM_SO'!$B$23,0)+'CHAM_CONG_THANG'!$AJ124*IF('THAM_SO'!$C$24&gt;='THAM_SO'!$B$24,'THAM_SO'!$B$24,0)+'CHAM_CONG_THANG'!$AK124*IF('THAM_SO'!$C$25&gt;='THAM_SO'!$B$25,'THAM_SO'!$B$25,0))-'CHAM_CONG_THANG'!$V124))</f>
        <v/>
      </c>
      <c r="AB124" s="224">
        <f>IF('DM_NHAN_SU'!$B124="","",MAX($Z124-$AA124,0))</f>
        <v/>
      </c>
      <c r="AC124" s="224">
        <f>IF('DM_NHAN_SU'!$B124="","",$O124+$P124+$Q124+$R124+$S124+$V124+$AB124+$BO124+$BP124+$BQ124+$BR124)</f>
        <v/>
      </c>
      <c r="AD124" s="224">
        <f>IF('DM_NHAN_SU'!$B124="","",'DM_NHAN_SU'!N124+'DM_NHAN_SU'!O124+'DM_NHAN_SU'!P124)</f>
        <v/>
      </c>
      <c r="AE124" s="224">
        <f>IF('DM_NHAN_SU'!$B124="","",IF(OR('DM_NHAN_SU'!$R124&lt;&gt;"Có",'CHAM_CONG_THANG'!$AA124="Có",$BL124&gt;=14,$AD124&lt;=0),0,MIN(MAX($AD124,'THAM_SO'!$M$6),'THAM_SO'!$M$7)))</f>
        <v/>
      </c>
      <c r="AF124" s="224">
        <f>IF('DM_NHAN_SU'!$B124="","",IF(OR('DM_NHAN_SU'!$S124&lt;&gt;"Có",'CHAM_CONG_THANG'!$AA124="Có",$BL124&gt;=14,$AD124&lt;=0),0,MIN(MAX($AD124,VLOOKUP($H124,'THAM_SO'!$L$17:$P$20,4,FALSE)),VLOOKUP($H124,'THAM_SO'!$L$17:$P$20,5,FALSE))))</f>
        <v/>
      </c>
      <c r="AG124" s="224">
        <f>IF('DM_NHAN_SU'!$B124="","",$AE124*'THAM_SO'!$M$8)</f>
        <v/>
      </c>
      <c r="AH124" s="224">
        <f>IF('DM_NHAN_SU'!$B124="","",$AE124*'THAM_SO'!$M$9)</f>
        <v/>
      </c>
      <c r="AI124" s="224">
        <f>IF('DM_NHAN_SU'!$B124="","",$AF124*'THAM_SO'!$M$10)</f>
        <v/>
      </c>
      <c r="AJ124" s="224">
        <f>IF('DM_NHAN_SU'!$B124="","",SUM($AG124:$AI124))</f>
        <v/>
      </c>
      <c r="AK124" s="224">
        <f>IF('DM_NHAN_SU'!$B124="","",IF($B124="",0,'THAM_SO'!$F$4))</f>
        <v/>
      </c>
      <c r="AL124" s="224">
        <f>IF('DM_NHAN_SU'!$B124="","",IF($B124="",0,'DM_NHAN_SU'!$T124*'THAM_SO'!$F$5))</f>
        <v/>
      </c>
      <c r="AM124" s="224">
        <f>IF('DM_NHAN_SU'!$B124="","",'CHAM_CONG_THANG'!W124)</f>
        <v/>
      </c>
      <c r="AN124" s="224">
        <f>IF('DM_NHAN_SU'!$B124="","",MAX($AC124-$AK124-$AL124-$AM124,0))</f>
        <v/>
      </c>
      <c r="AO124" s="224">
        <f>IF('DM_NHAN_SU'!$B124="","",IF($B124="","",IF($F124="Net",IF($AC124&lt;=$AK124+$AL124+$AM124,$AC124+$AJ124,$AJ124+$AK124+$AL124+$AM124+IF($AN124&lt;='THAM_SO'!$J$10,($AN124-'THAM_SO'!$I$10)/(1-'THAM_SO'!$H$10),IF($AN124&lt;='THAM_SO'!$J$11,($AN124-'THAM_SO'!$I$11)/(1-'THAM_SO'!$H$11),IF($AN124&lt;='THAM_SO'!$J$12,($AN124-'THAM_SO'!$I$12)/(1-'THAM_SO'!$H$12),IF($AN124&lt;='THAM_SO'!$J$13,($AN124-'THAM_SO'!$I$13)/(1-'THAM_SO'!$H$13),($AN124-'THAM_SO'!$I$14)/(1-'THAM_SO'!$H$14)))))),$AC124)))</f>
        <v/>
      </c>
      <c r="AP124" s="224">
        <f>IF('DM_NHAN_SU'!$B124="","",$U124+$W124+$X124+$AA124+$BS124)</f>
        <v/>
      </c>
      <c r="AQ124" s="224">
        <f>IF('DM_NHAN_SU'!$B124="","",MAX($AO124-$AJ124-$AK124-$AL124-$AM124,0))</f>
        <v/>
      </c>
      <c r="AR124" s="224">
        <f>IF('DM_NHAN_SU'!$B124="","",IF($AQ124&lt;=0,0,$AQ124*VLOOKUP($AQ124,'THAM_SO'!$F$10:$I$14,3,TRUE)-VLOOKUP($AQ124,'THAM_SO'!$F$10:$I$14,4,TRUE)))</f>
        <v/>
      </c>
      <c r="AS124" s="224">
        <f>IF('DM_NHAN_SU'!$B124="","",$AO124+$AP124)</f>
        <v/>
      </c>
      <c r="AT124" s="224">
        <f>IF('DM_NHAN_SU'!$B124="","",$AS124-$AJ124-$AR124)</f>
        <v/>
      </c>
      <c r="AU124" s="224">
        <f>IF('DM_NHAN_SU'!$B124="","",'CHAM_CONG_THANG'!X124)</f>
        <v/>
      </c>
      <c r="AV124" s="224">
        <f>IF('DM_NHAN_SU'!$B124="","",'CHAM_CONG_THANG'!Y124+'QT_NGHI_VIEC'!AD124)</f>
        <v/>
      </c>
      <c r="AW124" s="224">
        <f>IF('DM_NHAN_SU'!$B124="","",'CHAM_CONG_THANG'!Z124)</f>
        <v/>
      </c>
      <c r="AX124" s="224">
        <f>IF('DM_NHAN_SU'!$B124="","",$AT124-$AU124-$AV124-$AW124-$BV124)</f>
        <v/>
      </c>
      <c r="AY124" s="224">
        <f>IF('DM_NHAN_SU'!$B124="","",$AE124*'THAM_SO'!$M$11)</f>
        <v/>
      </c>
      <c r="AZ124" s="224">
        <f>IF('DM_NHAN_SU'!$B124="","",$AE124*'THAM_SO'!$M$12)</f>
        <v/>
      </c>
      <c r="BA124" s="224">
        <f>IF('DM_NHAN_SU'!$B124="","",$AF124*'THAM_SO'!$M$13)</f>
        <v/>
      </c>
      <c r="BB124" s="224">
        <f>IF('DM_NHAN_SU'!$B124="","",$AE124*'THAM_SO'!$M$14)</f>
        <v/>
      </c>
      <c r="BC124" s="224">
        <f>IF('DM_NHAN_SU'!$B124="","",SUM($AY124:$BB124))</f>
        <v/>
      </c>
      <c r="BD124" s="224">
        <f>IF('DM_NHAN_SU'!$B124="","",$AS124+$BC124)</f>
        <v/>
      </c>
      <c r="BE124" s="224">
        <f>IF('DM_NHAN_SU'!$B124="","",VLOOKUP($H124,'THAM_SO'!$L$17:$P$20,2,FALSE))</f>
        <v/>
      </c>
      <c r="BF124" s="224">
        <f>IF('DM_NHAN_SU'!$B124="","",VLOOKUP($H124,'THAM_SO'!$L$17:$P$20,3,FALSE))</f>
        <v/>
      </c>
      <c r="BG124" s="150">
        <f>IF('DM_NHAN_SU'!$B124="","",IF($B124="","",IF(COUNTIF('DM_NHAN_SU'!$B$6:$B$155,$B124)&gt;1,"Trùng mã NV; ","")&amp;IF(OR($F124="",$G124=""),"Thiếu loại/hình thức lương; ","")&amp;IF('CHAM_CONG_THANG'!$D124="","Chưa chọn nguồn công; ","")&amp;IF(AND('CHAM_CONG_THANG'!$D124="Theo ngày",COUNTIF('CHAM_CONG_NGAY'!$B$6:$B$4655,$B124)=0),"Chưa có chấm công ngày; ","")&amp;IF(OR($I124&lt;=0,$J124&lt;=0),"Thiếu công/giờ chuẩn; ","")&amp;IF(AND($G124="Tháng",'DM_NHAN_SU'!$K124&lt;$BE124),"Lương tháng dưới tối thiểu vùng; ","")&amp;IF(AND($G124="Ngày",'DM_NHAN_SU'!$K124/$J124&lt;$BF124),"Lương ngày quy đổi dưới tối thiểu giờ; ","")&amp;IF(AND($G124="Giờ",'DM_NHAN_SU'!$K124&lt;$BF124),"Lương giờ dưới tối thiểu vùng; ","")&amp;IF(AND($G124="Sản phẩm",$L124&gt;0,$O124/$L124&lt;$BF124),"Lương SP quy đổi dưới tối thiểu giờ; ","")&amp;IF(OR('THAM_SO'!$C$19&lt;'THAM_SO'!$B$19,'THAM_SO'!$C$20&lt;'THAM_SO'!$B$20,'THAM_SO'!$C$21&lt;'THAM_SO'!$B$21,'THAM_SO'!$C$22&lt;'THAM_SO'!$B$22,'THAM_SO'!$C$23&lt;'THAM_SO'!$B$23,'THAM_SO'!$C$24&lt;'THAM_SO'!$B$24,'THAM_SO'!$C$25&lt;'THAM_SO'!$B$25),"Hệ số OT/đêm DN thấp hơn luật; ","")&amp;IF(AND('DM_NHAN_SU'!$R124="Có",$AD124&lt;=0),"Thiếu căn cứ đóng BH; ","")&amp;IF(AND($AD124&gt;0,$AD124&lt;'THAM_SO'!$M$6),"Căn cứ BH dưới sàn – đã nâng sàn; ","")&amp;IF($AD124&gt;'THAM_SO'!$M$7,"Căn cứ BH vượt trần – đã giới hạn; ","")&amp;IF(AND($F124="Net",SUM('CHAM_CONG_THANG'!$AF124:$AK124)&gt;0,'DM_NHAN_SU'!$Q124&lt;=0),"Net có OT nhưng chưa khai lương giờ OT; ","")&amp;IF('CHAM_CONG_THANG'!$V124&gt;$Z124,"Phần OT không miễn lớn hơn tiền OT; ","")&amp;IF(AND($F124="Net",ABS($AT124-$AC124-$AP124)&gt;1),"Lệch quy đổi Net; ","")&amp;IF(AND($BH124&gt;0,'DM_NHAN_SU'!$AD124=""),"Có phép năm nhưng đang tạm dùng 12 ngày; ","")&amp;IF(AND($G124="Sản phẩm",SUM($BH124:$BJ124)&gt;0,'DM_NHAN_SU'!$AH124&lt;=0),"Lương sản phẩm thiếu đơn giá ngày phép/lễ; ","")&amp;IF(AND($BL124&gt;=14,'CHAM_CONG_THANG'!$AA124&lt;&gt;"Có"),"Thai sản từ 14 ngày: file tự dừng đóng BH – kiểm tra hồ sơ; ","")&amp;IF(AND('DM_NHAN_SU'!$AA124="Có",'DM_NHAN_SU'!$AB124=""),"Đoàn viên chưa chọn cách tính đoàn phí; ","")&amp;IF(AND('DM_NHAN_SU'!$AB124="Nhập tay",'DM_NHAN_SU'!$AC124&gt;'THAM_SO'!$M$26),"Đoàn phí nhập tay vượt trần thông dụng; ","")&amp;IF('NGHI_PHEP'!$L124&lt;&gt;"","Phép: "&amp;'NGHI_PHEP'!$L124,"")&amp;IF('CHE_DO_BHXH'!$AA124&lt;&gt;"","BHXH: "&amp;'CHE_DO_BHXH'!$AA124,"")&amp;IF('THUONG_T13_TET'!$O124&lt;&gt;"","Thưởng: "&amp;'THUONG_T13_TET'!$O124,"")&amp;IF('QT_NGHI_VIEC'!$AF124&lt;&gt;"","Nghỉ việc: "&amp;'QT_NGHI_VIEC'!$AF124,"")&amp;IF($AX124&lt;0,"Thực lĩnh âm; ","")&amp;IF(OR('DM_NHAN_SU'!$F124&gt;'THAM_SO'!$B$7,AND('DM_NHAN_SU'!$G124&lt;&gt;"",'DM_NHAN_SU'!$G124&lt;'THAM_SO'!$B$6)),"Ngoài kỳ trả lương; ","")))</f>
        <v/>
      </c>
      <c r="BH124" s="232">
        <f>IF('DM_NHAN_SU'!$B124="","",'CHAM_CONG_THANG'!AR124)</f>
        <v/>
      </c>
      <c r="BI124" s="232">
        <f>IF('DM_NHAN_SU'!$B124="","",'CHAM_CONG_THANG'!AS124)</f>
        <v/>
      </c>
      <c r="BJ124" s="232">
        <f>IF('DM_NHAN_SU'!$B124="","",'CHAM_CONG_THANG'!AT124)</f>
        <v/>
      </c>
      <c r="BK124" s="232">
        <f>IF('DM_NHAN_SU'!$B124="","",'CHAM_CONG_THANG'!AU124)</f>
        <v/>
      </c>
      <c r="BL124" s="232">
        <f>IF('DM_NHAN_SU'!$B124="","",'CHAM_CONG_THANG'!AV124)</f>
        <v/>
      </c>
      <c r="BM124" s="232">
        <f>IF('DM_NHAN_SU'!$B124="","",'CHAM_CONG_THANG'!AW124)</f>
        <v/>
      </c>
      <c r="BN124" s="232">
        <f>IF('DM_NHAN_SU'!$B124="","",SUM($K124,$BH124:$BJ124))</f>
        <v/>
      </c>
      <c r="BO124" s="224">
        <f>IF('DM_NHAN_SU'!$B124="","",IF($B124="",0,IF($G124="Tháng",IF($I124&gt;0,'DM_NHAN_SU'!$K124*MIN($BH124+$BJ124,MAX($I124-$K124,0))/$I124,0),IF($G124="Ngày",'DM_NHAN_SU'!$K124*SUM($BH124:$BJ124),IF($G124="Giờ",'DM_NHAN_SU'!$K124*SUM($BH124:$BJ124)*$J124,IF($G124="Sản phẩm",'DM_NHAN_SU'!$AH124*SUM($BH124:$BJ124),0))))))</f>
        <v/>
      </c>
      <c r="BP124" s="224">
        <f>IF('DM_NHAN_SU'!$B124="","",IF('THUONG_T13_TET'!$L124="Có",'THUONG_T13_TET'!$I124,0))</f>
        <v/>
      </c>
      <c r="BQ124" s="224">
        <f>IF('DM_NHAN_SU'!$B124="","",IF('THUONG_T13_TET'!$L124="Có",SUM('THUONG_T13_TET'!$J124:$K124),0))</f>
        <v/>
      </c>
      <c r="BR124" s="224">
        <f>IF('DM_NHAN_SU'!$B124="","",'QT_NGHI_VIEC'!AC124)</f>
        <v/>
      </c>
      <c r="BS124" s="224">
        <f>IF('DM_NHAN_SU'!$B124="","",'QT_NGHI_VIEC'!AB124)</f>
        <v/>
      </c>
      <c r="BT124" s="224">
        <f>IF('DM_NHAN_SU'!$B124="","",IF('CHE_DO_BHXH'!$Z124="Có",'CHE_DO_BHXH'!$W124,0))</f>
        <v/>
      </c>
      <c r="BU124" s="224">
        <f>IF('DM_NHAN_SU'!$B124="","",IF('CHE_DO_BHXH'!$Y124="DN trả thay",$BT124,0))</f>
        <v/>
      </c>
      <c r="BV124" s="224">
        <f>IF('DM_NHAN_SU'!$B124="","",IF(OR('DM_NHAN_SU'!$AA124&lt;&gt;"Có",'CHE_DO_BHXH'!$O124&gt;=1,SUM('CHE_DO_BHXH'!$D124,'CHE_DO_BHXH'!$G124,'CHE_DO_BHXH'!$K124)&gt;=24,AND($I124&gt;0,$BM124&gt;=$I124)),0,IF('DM_NHAN_SU'!$AB124="Không",0,IF('DM_NHAN_SU'!$AB124="Nhập tay",'DM_NHAN_SU'!$AC124,IF('DM_NHAN_SU'!$AB124="Theo thực nhận",MIN(MAX($AT124-$AU124-$AV124-$AW124,0)*'THAM_SO'!$M$23,'THAM_SO'!$M$26),MIN($AE124*'THAM_SO'!$M$23,'THAM_SO'!$M$26))))))</f>
        <v/>
      </c>
      <c r="BW124" s="224">
        <f>IF('DM_NHAN_SU'!$B124="","",$AX124+$BU124)</f>
        <v/>
      </c>
    </row>
    <row r="125">
      <c r="A125" s="145">
        <f>IF('DM_NHAN_SU'!$B125="","",IF($B125="","",ROW()-5))</f>
        <v/>
      </c>
      <c r="B125" s="145">
        <f>IF('DM_NHAN_SU'!$B125="","",'DM_NHAN_SU'!B125)</f>
        <v/>
      </c>
      <c r="C125" s="145">
        <f>IF('DM_NHAN_SU'!$B125="","",'DM_NHAN_SU'!C125)</f>
        <v/>
      </c>
      <c r="D125" s="145">
        <f>IF('DM_NHAN_SU'!$B125="","",'DM_NHAN_SU'!D125)</f>
        <v/>
      </c>
      <c r="E125" s="145">
        <f>IF('DM_NHAN_SU'!$B125="","",'DM_NHAN_SU'!E125)</f>
        <v/>
      </c>
      <c r="F125" s="145">
        <f>IF('DM_NHAN_SU'!$B125="","",'DM_NHAN_SU'!I125)</f>
        <v/>
      </c>
      <c r="G125" s="145">
        <f>IF('DM_NHAN_SU'!$B125="","",'DM_NHAN_SU'!J125)</f>
        <v/>
      </c>
      <c r="H125" s="145">
        <f>IF('DM_NHAN_SU'!$B125="","",IF('DM_NHAN_SU'!H125="",'THAM_SO'!$B$11,'DM_NHAN_SU'!H125))</f>
        <v/>
      </c>
      <c r="I125" s="232">
        <f>IF('DM_NHAN_SU'!$B125="","",IF('DM_NHAN_SU'!L125&gt;0,'DM_NHAN_SU'!L125,'THAM_SO'!$B$9))</f>
        <v/>
      </c>
      <c r="J125" s="232">
        <f>IF('DM_NHAN_SU'!$B125="","",IF('DM_NHAN_SU'!M125&gt;0,'DM_NHAN_SU'!M125,'THAM_SO'!$B$10))</f>
        <v/>
      </c>
      <c r="K125" s="232">
        <f>IF('DM_NHAN_SU'!$B125="","",'CHAM_CONG_THANG'!AC125)</f>
        <v/>
      </c>
      <c r="L125" s="232">
        <f>IF('DM_NHAN_SU'!$B125="","",'CHAM_CONG_THANG'!AD125)</f>
        <v/>
      </c>
      <c r="M125" s="232">
        <f>IF('DM_NHAN_SU'!$B125="","",'CHAM_CONG_THANG'!AE125)</f>
        <v/>
      </c>
      <c r="N125" s="232">
        <f>IF('DM_NHAN_SU'!$B125="","",'CHAM_CONG_THANG'!N125)</f>
        <v/>
      </c>
      <c r="O125" s="224">
        <f>IF('DM_NHAN_SU'!$B125="","",IF($B125="","",IF($G125="Tháng",IF($I125&gt;0,'DM_NHAN_SU'!$K125*MIN($K125,$I125)/$I125,0),IF($G125="Ngày",'DM_NHAN_SU'!$K125*$K125,IF($G125="Giờ",'DM_NHAN_SU'!$K125*$L125,IF($G125="Sản phẩm",'DM_NHAN_SU'!$K125*$N125,0))))))</f>
        <v/>
      </c>
      <c r="P125" s="224">
        <f>IF('DM_NHAN_SU'!$B125="","",'CHAM_CONG_THANG'!O125)</f>
        <v/>
      </c>
      <c r="Q125" s="224">
        <f>IF('DM_NHAN_SU'!$B125="","",'CHAM_CONG_THANG'!P125)</f>
        <v/>
      </c>
      <c r="R125" s="224">
        <f>IF('DM_NHAN_SU'!$B125="","",'CHAM_CONG_THANG'!Q125)</f>
        <v/>
      </c>
      <c r="S125" s="224">
        <f>IF('DM_NHAN_SU'!$B125="","",'CHAM_CONG_THANG'!R125)</f>
        <v/>
      </c>
      <c r="T125" s="224">
        <f>IF('DM_NHAN_SU'!$B125="","",'CHAM_CONG_THANG'!S125)</f>
        <v/>
      </c>
      <c r="U125" s="224">
        <f>IF('DM_NHAN_SU'!$B125="","",MIN($T125,'THAM_SO'!$F$6))</f>
        <v/>
      </c>
      <c r="V125" s="224">
        <f>IF('DM_NHAN_SU'!$B125="","",MAX($T125-$U125,0))</f>
        <v/>
      </c>
      <c r="W125" s="224">
        <f>IF('DM_NHAN_SU'!$B125="","",'CHAM_CONG_THANG'!T125)</f>
        <v/>
      </c>
      <c r="X125" s="224">
        <f>IF('DM_NHAN_SU'!$B125="","",'CHAM_CONG_THANG'!U125)</f>
        <v/>
      </c>
      <c r="Y125" s="224">
        <f>IF('DM_NHAN_SU'!$B125="","",IF($B125="",0,IF('DM_NHAN_SU'!$Q125&gt;0,'DM_NHAN_SU'!$Q125,IF($G125="Tháng",IF($I125*$J125&gt;0,'DM_NHAN_SU'!$K125/($I125*$J125),0),IF($G125="Ngày",IF($J125&gt;0,'DM_NHAN_SU'!$K125/$J125,0),IF($G125="Giờ",'DM_NHAN_SU'!$K125,0))))))</f>
        <v/>
      </c>
      <c r="Z125" s="224">
        <f>IF('DM_NHAN_SU'!$B125="","",$Y125*($M125*'THAM_SO'!$C$22+'CHAM_CONG_THANG'!$AF125*'THAM_SO'!$C$19+'CHAM_CONG_THANG'!$AG125*'THAM_SO'!$C$20+'CHAM_CONG_THANG'!$AH125*'THAM_SO'!$C$21+'CHAM_CONG_THANG'!$AI125*'THAM_SO'!$C$23+'CHAM_CONG_THANG'!$AJ125*'THAM_SO'!$C$24+'CHAM_CONG_THANG'!$AK125*'THAM_SO'!$C$25))</f>
        <v/>
      </c>
      <c r="AA125" s="224">
        <f>IF('DM_NHAN_SU'!$B125="","",MAX(0,$Y125*($M125*IF('THAM_SO'!$C$22&gt;='THAM_SO'!$B$22,'THAM_SO'!$B$22,0)+'CHAM_CONG_THANG'!$AF125*IF('THAM_SO'!$C$19&gt;='THAM_SO'!$B$19,'THAM_SO'!$B$19,0)+'CHAM_CONG_THANG'!$AG125*IF('THAM_SO'!$C$20&gt;='THAM_SO'!$B$20,'THAM_SO'!$B$20,0)+'CHAM_CONG_THANG'!$AH125*IF('THAM_SO'!$C$21&gt;='THAM_SO'!$B$21,'THAM_SO'!$B$21,0)+'CHAM_CONG_THANG'!$AI125*IF('THAM_SO'!$C$23&gt;='THAM_SO'!$B$23,'THAM_SO'!$B$23,0)+'CHAM_CONG_THANG'!$AJ125*IF('THAM_SO'!$C$24&gt;='THAM_SO'!$B$24,'THAM_SO'!$B$24,0)+'CHAM_CONG_THANG'!$AK125*IF('THAM_SO'!$C$25&gt;='THAM_SO'!$B$25,'THAM_SO'!$B$25,0))-'CHAM_CONG_THANG'!$V125))</f>
        <v/>
      </c>
      <c r="AB125" s="224">
        <f>IF('DM_NHAN_SU'!$B125="","",MAX($Z125-$AA125,0))</f>
        <v/>
      </c>
      <c r="AC125" s="224">
        <f>IF('DM_NHAN_SU'!$B125="","",$O125+$P125+$Q125+$R125+$S125+$V125+$AB125+$BO125+$BP125+$BQ125+$BR125)</f>
        <v/>
      </c>
      <c r="AD125" s="224">
        <f>IF('DM_NHAN_SU'!$B125="","",'DM_NHAN_SU'!N125+'DM_NHAN_SU'!O125+'DM_NHAN_SU'!P125)</f>
        <v/>
      </c>
      <c r="AE125" s="224">
        <f>IF('DM_NHAN_SU'!$B125="","",IF(OR('DM_NHAN_SU'!$R125&lt;&gt;"Có",'CHAM_CONG_THANG'!$AA125="Có",$BL125&gt;=14,$AD125&lt;=0),0,MIN(MAX($AD125,'THAM_SO'!$M$6),'THAM_SO'!$M$7)))</f>
        <v/>
      </c>
      <c r="AF125" s="224">
        <f>IF('DM_NHAN_SU'!$B125="","",IF(OR('DM_NHAN_SU'!$S125&lt;&gt;"Có",'CHAM_CONG_THANG'!$AA125="Có",$BL125&gt;=14,$AD125&lt;=0),0,MIN(MAX($AD125,VLOOKUP($H125,'THAM_SO'!$L$17:$P$20,4,FALSE)),VLOOKUP($H125,'THAM_SO'!$L$17:$P$20,5,FALSE))))</f>
        <v/>
      </c>
      <c r="AG125" s="224">
        <f>IF('DM_NHAN_SU'!$B125="","",$AE125*'THAM_SO'!$M$8)</f>
        <v/>
      </c>
      <c r="AH125" s="224">
        <f>IF('DM_NHAN_SU'!$B125="","",$AE125*'THAM_SO'!$M$9)</f>
        <v/>
      </c>
      <c r="AI125" s="224">
        <f>IF('DM_NHAN_SU'!$B125="","",$AF125*'THAM_SO'!$M$10)</f>
        <v/>
      </c>
      <c r="AJ125" s="224">
        <f>IF('DM_NHAN_SU'!$B125="","",SUM($AG125:$AI125))</f>
        <v/>
      </c>
      <c r="AK125" s="224">
        <f>IF('DM_NHAN_SU'!$B125="","",IF($B125="",0,'THAM_SO'!$F$4))</f>
        <v/>
      </c>
      <c r="AL125" s="224">
        <f>IF('DM_NHAN_SU'!$B125="","",IF($B125="",0,'DM_NHAN_SU'!$T125*'THAM_SO'!$F$5))</f>
        <v/>
      </c>
      <c r="AM125" s="224">
        <f>IF('DM_NHAN_SU'!$B125="","",'CHAM_CONG_THANG'!W125)</f>
        <v/>
      </c>
      <c r="AN125" s="224">
        <f>IF('DM_NHAN_SU'!$B125="","",MAX($AC125-$AK125-$AL125-$AM125,0))</f>
        <v/>
      </c>
      <c r="AO125" s="224">
        <f>IF('DM_NHAN_SU'!$B125="","",IF($B125="","",IF($F125="Net",IF($AC125&lt;=$AK125+$AL125+$AM125,$AC125+$AJ125,$AJ125+$AK125+$AL125+$AM125+IF($AN125&lt;='THAM_SO'!$J$10,($AN125-'THAM_SO'!$I$10)/(1-'THAM_SO'!$H$10),IF($AN125&lt;='THAM_SO'!$J$11,($AN125-'THAM_SO'!$I$11)/(1-'THAM_SO'!$H$11),IF($AN125&lt;='THAM_SO'!$J$12,($AN125-'THAM_SO'!$I$12)/(1-'THAM_SO'!$H$12),IF($AN125&lt;='THAM_SO'!$J$13,($AN125-'THAM_SO'!$I$13)/(1-'THAM_SO'!$H$13),($AN125-'THAM_SO'!$I$14)/(1-'THAM_SO'!$H$14)))))),$AC125)))</f>
        <v/>
      </c>
      <c r="AP125" s="224">
        <f>IF('DM_NHAN_SU'!$B125="","",$U125+$W125+$X125+$AA125+$BS125)</f>
        <v/>
      </c>
      <c r="AQ125" s="224">
        <f>IF('DM_NHAN_SU'!$B125="","",MAX($AO125-$AJ125-$AK125-$AL125-$AM125,0))</f>
        <v/>
      </c>
      <c r="AR125" s="224">
        <f>IF('DM_NHAN_SU'!$B125="","",IF($AQ125&lt;=0,0,$AQ125*VLOOKUP($AQ125,'THAM_SO'!$F$10:$I$14,3,TRUE)-VLOOKUP($AQ125,'THAM_SO'!$F$10:$I$14,4,TRUE)))</f>
        <v/>
      </c>
      <c r="AS125" s="224">
        <f>IF('DM_NHAN_SU'!$B125="","",$AO125+$AP125)</f>
        <v/>
      </c>
      <c r="AT125" s="224">
        <f>IF('DM_NHAN_SU'!$B125="","",$AS125-$AJ125-$AR125)</f>
        <v/>
      </c>
      <c r="AU125" s="224">
        <f>IF('DM_NHAN_SU'!$B125="","",'CHAM_CONG_THANG'!X125)</f>
        <v/>
      </c>
      <c r="AV125" s="224">
        <f>IF('DM_NHAN_SU'!$B125="","",'CHAM_CONG_THANG'!Y125+'QT_NGHI_VIEC'!AD125)</f>
        <v/>
      </c>
      <c r="AW125" s="224">
        <f>IF('DM_NHAN_SU'!$B125="","",'CHAM_CONG_THANG'!Z125)</f>
        <v/>
      </c>
      <c r="AX125" s="224">
        <f>IF('DM_NHAN_SU'!$B125="","",$AT125-$AU125-$AV125-$AW125-$BV125)</f>
        <v/>
      </c>
      <c r="AY125" s="224">
        <f>IF('DM_NHAN_SU'!$B125="","",$AE125*'THAM_SO'!$M$11)</f>
        <v/>
      </c>
      <c r="AZ125" s="224">
        <f>IF('DM_NHAN_SU'!$B125="","",$AE125*'THAM_SO'!$M$12)</f>
        <v/>
      </c>
      <c r="BA125" s="224">
        <f>IF('DM_NHAN_SU'!$B125="","",$AF125*'THAM_SO'!$M$13)</f>
        <v/>
      </c>
      <c r="BB125" s="224">
        <f>IF('DM_NHAN_SU'!$B125="","",$AE125*'THAM_SO'!$M$14)</f>
        <v/>
      </c>
      <c r="BC125" s="224">
        <f>IF('DM_NHAN_SU'!$B125="","",SUM($AY125:$BB125))</f>
        <v/>
      </c>
      <c r="BD125" s="224">
        <f>IF('DM_NHAN_SU'!$B125="","",$AS125+$BC125)</f>
        <v/>
      </c>
      <c r="BE125" s="224">
        <f>IF('DM_NHAN_SU'!$B125="","",VLOOKUP($H125,'THAM_SO'!$L$17:$P$20,2,FALSE))</f>
        <v/>
      </c>
      <c r="BF125" s="224">
        <f>IF('DM_NHAN_SU'!$B125="","",VLOOKUP($H125,'THAM_SO'!$L$17:$P$20,3,FALSE))</f>
        <v/>
      </c>
      <c r="BG125" s="150">
        <f>IF('DM_NHAN_SU'!$B125="","",IF($B125="","",IF(COUNTIF('DM_NHAN_SU'!$B$6:$B$155,$B125)&gt;1,"Trùng mã NV; ","")&amp;IF(OR($F125="",$G125=""),"Thiếu loại/hình thức lương; ","")&amp;IF('CHAM_CONG_THANG'!$D125="","Chưa chọn nguồn công; ","")&amp;IF(AND('CHAM_CONG_THANG'!$D125="Theo ngày",COUNTIF('CHAM_CONG_NGAY'!$B$6:$B$4655,$B125)=0),"Chưa có chấm công ngày; ","")&amp;IF(OR($I125&lt;=0,$J125&lt;=0),"Thiếu công/giờ chuẩn; ","")&amp;IF(AND($G125="Tháng",'DM_NHAN_SU'!$K125&lt;$BE125),"Lương tháng dưới tối thiểu vùng; ","")&amp;IF(AND($G125="Ngày",'DM_NHAN_SU'!$K125/$J125&lt;$BF125),"Lương ngày quy đổi dưới tối thiểu giờ; ","")&amp;IF(AND($G125="Giờ",'DM_NHAN_SU'!$K125&lt;$BF125),"Lương giờ dưới tối thiểu vùng; ","")&amp;IF(AND($G125="Sản phẩm",$L125&gt;0,$O125/$L125&lt;$BF125),"Lương SP quy đổi dưới tối thiểu giờ; ","")&amp;IF(OR('THAM_SO'!$C$19&lt;'THAM_SO'!$B$19,'THAM_SO'!$C$20&lt;'THAM_SO'!$B$20,'THAM_SO'!$C$21&lt;'THAM_SO'!$B$21,'THAM_SO'!$C$22&lt;'THAM_SO'!$B$22,'THAM_SO'!$C$23&lt;'THAM_SO'!$B$23,'THAM_SO'!$C$24&lt;'THAM_SO'!$B$24,'THAM_SO'!$C$25&lt;'THAM_SO'!$B$25),"Hệ số OT/đêm DN thấp hơn luật; ","")&amp;IF(AND('DM_NHAN_SU'!$R125="Có",$AD125&lt;=0),"Thiếu căn cứ đóng BH; ","")&amp;IF(AND($AD125&gt;0,$AD125&lt;'THAM_SO'!$M$6),"Căn cứ BH dưới sàn – đã nâng sàn; ","")&amp;IF($AD125&gt;'THAM_SO'!$M$7,"Căn cứ BH vượt trần – đã giới hạn; ","")&amp;IF(AND($F125="Net",SUM('CHAM_CONG_THANG'!$AF125:$AK125)&gt;0,'DM_NHAN_SU'!$Q125&lt;=0),"Net có OT nhưng chưa khai lương giờ OT; ","")&amp;IF('CHAM_CONG_THANG'!$V125&gt;$Z125,"Phần OT không miễn lớn hơn tiền OT; ","")&amp;IF(AND($F125="Net",ABS($AT125-$AC125-$AP125)&gt;1),"Lệch quy đổi Net; ","")&amp;IF(AND($BH125&gt;0,'DM_NHAN_SU'!$AD125=""),"Có phép năm nhưng đang tạm dùng 12 ngày; ","")&amp;IF(AND($G125="Sản phẩm",SUM($BH125:$BJ125)&gt;0,'DM_NHAN_SU'!$AH125&lt;=0),"Lương sản phẩm thiếu đơn giá ngày phép/lễ; ","")&amp;IF(AND($BL125&gt;=14,'CHAM_CONG_THANG'!$AA125&lt;&gt;"Có"),"Thai sản từ 14 ngày: file tự dừng đóng BH – kiểm tra hồ sơ; ","")&amp;IF(AND('DM_NHAN_SU'!$AA125="Có",'DM_NHAN_SU'!$AB125=""),"Đoàn viên chưa chọn cách tính đoàn phí; ","")&amp;IF(AND('DM_NHAN_SU'!$AB125="Nhập tay",'DM_NHAN_SU'!$AC125&gt;'THAM_SO'!$M$26),"Đoàn phí nhập tay vượt trần thông dụng; ","")&amp;IF('NGHI_PHEP'!$L125&lt;&gt;"","Phép: "&amp;'NGHI_PHEP'!$L125,"")&amp;IF('CHE_DO_BHXH'!$AA125&lt;&gt;"","BHXH: "&amp;'CHE_DO_BHXH'!$AA125,"")&amp;IF('THUONG_T13_TET'!$O125&lt;&gt;"","Thưởng: "&amp;'THUONG_T13_TET'!$O125,"")&amp;IF('QT_NGHI_VIEC'!$AF125&lt;&gt;"","Nghỉ việc: "&amp;'QT_NGHI_VIEC'!$AF125,"")&amp;IF($AX125&lt;0,"Thực lĩnh âm; ","")&amp;IF(OR('DM_NHAN_SU'!$F125&gt;'THAM_SO'!$B$7,AND('DM_NHAN_SU'!$G125&lt;&gt;"",'DM_NHAN_SU'!$G125&lt;'THAM_SO'!$B$6)),"Ngoài kỳ trả lương; ","")))</f>
        <v/>
      </c>
      <c r="BH125" s="232">
        <f>IF('DM_NHAN_SU'!$B125="","",'CHAM_CONG_THANG'!AR125)</f>
        <v/>
      </c>
      <c r="BI125" s="232">
        <f>IF('DM_NHAN_SU'!$B125="","",'CHAM_CONG_THANG'!AS125)</f>
        <v/>
      </c>
      <c r="BJ125" s="232">
        <f>IF('DM_NHAN_SU'!$B125="","",'CHAM_CONG_THANG'!AT125)</f>
        <v/>
      </c>
      <c r="BK125" s="232">
        <f>IF('DM_NHAN_SU'!$B125="","",'CHAM_CONG_THANG'!AU125)</f>
        <v/>
      </c>
      <c r="BL125" s="232">
        <f>IF('DM_NHAN_SU'!$B125="","",'CHAM_CONG_THANG'!AV125)</f>
        <v/>
      </c>
      <c r="BM125" s="232">
        <f>IF('DM_NHAN_SU'!$B125="","",'CHAM_CONG_THANG'!AW125)</f>
        <v/>
      </c>
      <c r="BN125" s="232">
        <f>IF('DM_NHAN_SU'!$B125="","",SUM($K125,$BH125:$BJ125))</f>
        <v/>
      </c>
      <c r="BO125" s="224">
        <f>IF('DM_NHAN_SU'!$B125="","",IF($B125="",0,IF($G125="Tháng",IF($I125&gt;0,'DM_NHAN_SU'!$K125*MIN($BH125+$BJ125,MAX($I125-$K125,0))/$I125,0),IF($G125="Ngày",'DM_NHAN_SU'!$K125*SUM($BH125:$BJ125),IF($G125="Giờ",'DM_NHAN_SU'!$K125*SUM($BH125:$BJ125)*$J125,IF($G125="Sản phẩm",'DM_NHAN_SU'!$AH125*SUM($BH125:$BJ125),0))))))</f>
        <v/>
      </c>
      <c r="BP125" s="224">
        <f>IF('DM_NHAN_SU'!$B125="","",IF('THUONG_T13_TET'!$L125="Có",'THUONG_T13_TET'!$I125,0))</f>
        <v/>
      </c>
      <c r="BQ125" s="224">
        <f>IF('DM_NHAN_SU'!$B125="","",IF('THUONG_T13_TET'!$L125="Có",SUM('THUONG_T13_TET'!$J125:$K125),0))</f>
        <v/>
      </c>
      <c r="BR125" s="224">
        <f>IF('DM_NHAN_SU'!$B125="","",'QT_NGHI_VIEC'!AC125)</f>
        <v/>
      </c>
      <c r="BS125" s="224">
        <f>IF('DM_NHAN_SU'!$B125="","",'QT_NGHI_VIEC'!AB125)</f>
        <v/>
      </c>
      <c r="BT125" s="224">
        <f>IF('DM_NHAN_SU'!$B125="","",IF('CHE_DO_BHXH'!$Z125="Có",'CHE_DO_BHXH'!$W125,0))</f>
        <v/>
      </c>
      <c r="BU125" s="224">
        <f>IF('DM_NHAN_SU'!$B125="","",IF('CHE_DO_BHXH'!$Y125="DN trả thay",$BT125,0))</f>
        <v/>
      </c>
      <c r="BV125" s="224">
        <f>IF('DM_NHAN_SU'!$B125="","",IF(OR('DM_NHAN_SU'!$AA125&lt;&gt;"Có",'CHE_DO_BHXH'!$O125&gt;=1,SUM('CHE_DO_BHXH'!$D125,'CHE_DO_BHXH'!$G125,'CHE_DO_BHXH'!$K125)&gt;=24,AND($I125&gt;0,$BM125&gt;=$I125)),0,IF('DM_NHAN_SU'!$AB125="Không",0,IF('DM_NHAN_SU'!$AB125="Nhập tay",'DM_NHAN_SU'!$AC125,IF('DM_NHAN_SU'!$AB125="Theo thực nhận",MIN(MAX($AT125-$AU125-$AV125-$AW125,0)*'THAM_SO'!$M$23,'THAM_SO'!$M$26),MIN($AE125*'THAM_SO'!$M$23,'THAM_SO'!$M$26))))))</f>
        <v/>
      </c>
      <c r="BW125" s="224">
        <f>IF('DM_NHAN_SU'!$B125="","",$AX125+$BU125)</f>
        <v/>
      </c>
    </row>
    <row r="126">
      <c r="A126" s="145">
        <f>IF('DM_NHAN_SU'!$B126="","",IF($B126="","",ROW()-5))</f>
        <v/>
      </c>
      <c r="B126" s="145">
        <f>IF('DM_NHAN_SU'!$B126="","",'DM_NHAN_SU'!B126)</f>
        <v/>
      </c>
      <c r="C126" s="145">
        <f>IF('DM_NHAN_SU'!$B126="","",'DM_NHAN_SU'!C126)</f>
        <v/>
      </c>
      <c r="D126" s="145">
        <f>IF('DM_NHAN_SU'!$B126="","",'DM_NHAN_SU'!D126)</f>
        <v/>
      </c>
      <c r="E126" s="145">
        <f>IF('DM_NHAN_SU'!$B126="","",'DM_NHAN_SU'!E126)</f>
        <v/>
      </c>
      <c r="F126" s="145">
        <f>IF('DM_NHAN_SU'!$B126="","",'DM_NHAN_SU'!I126)</f>
        <v/>
      </c>
      <c r="G126" s="145">
        <f>IF('DM_NHAN_SU'!$B126="","",'DM_NHAN_SU'!J126)</f>
        <v/>
      </c>
      <c r="H126" s="145">
        <f>IF('DM_NHAN_SU'!$B126="","",IF('DM_NHAN_SU'!H126="",'THAM_SO'!$B$11,'DM_NHAN_SU'!H126))</f>
        <v/>
      </c>
      <c r="I126" s="232">
        <f>IF('DM_NHAN_SU'!$B126="","",IF('DM_NHAN_SU'!L126&gt;0,'DM_NHAN_SU'!L126,'THAM_SO'!$B$9))</f>
        <v/>
      </c>
      <c r="J126" s="232">
        <f>IF('DM_NHAN_SU'!$B126="","",IF('DM_NHAN_SU'!M126&gt;0,'DM_NHAN_SU'!M126,'THAM_SO'!$B$10))</f>
        <v/>
      </c>
      <c r="K126" s="232">
        <f>IF('DM_NHAN_SU'!$B126="","",'CHAM_CONG_THANG'!AC126)</f>
        <v/>
      </c>
      <c r="L126" s="232">
        <f>IF('DM_NHAN_SU'!$B126="","",'CHAM_CONG_THANG'!AD126)</f>
        <v/>
      </c>
      <c r="M126" s="232">
        <f>IF('DM_NHAN_SU'!$B126="","",'CHAM_CONG_THANG'!AE126)</f>
        <v/>
      </c>
      <c r="N126" s="232">
        <f>IF('DM_NHAN_SU'!$B126="","",'CHAM_CONG_THANG'!N126)</f>
        <v/>
      </c>
      <c r="O126" s="224">
        <f>IF('DM_NHAN_SU'!$B126="","",IF($B126="","",IF($G126="Tháng",IF($I126&gt;0,'DM_NHAN_SU'!$K126*MIN($K126,$I126)/$I126,0),IF($G126="Ngày",'DM_NHAN_SU'!$K126*$K126,IF($G126="Giờ",'DM_NHAN_SU'!$K126*$L126,IF($G126="Sản phẩm",'DM_NHAN_SU'!$K126*$N126,0))))))</f>
        <v/>
      </c>
      <c r="P126" s="224">
        <f>IF('DM_NHAN_SU'!$B126="","",'CHAM_CONG_THANG'!O126)</f>
        <v/>
      </c>
      <c r="Q126" s="224">
        <f>IF('DM_NHAN_SU'!$B126="","",'CHAM_CONG_THANG'!P126)</f>
        <v/>
      </c>
      <c r="R126" s="224">
        <f>IF('DM_NHAN_SU'!$B126="","",'CHAM_CONG_THANG'!Q126)</f>
        <v/>
      </c>
      <c r="S126" s="224">
        <f>IF('DM_NHAN_SU'!$B126="","",'CHAM_CONG_THANG'!R126)</f>
        <v/>
      </c>
      <c r="T126" s="224">
        <f>IF('DM_NHAN_SU'!$B126="","",'CHAM_CONG_THANG'!S126)</f>
        <v/>
      </c>
      <c r="U126" s="224">
        <f>IF('DM_NHAN_SU'!$B126="","",MIN($T126,'THAM_SO'!$F$6))</f>
        <v/>
      </c>
      <c r="V126" s="224">
        <f>IF('DM_NHAN_SU'!$B126="","",MAX($T126-$U126,0))</f>
        <v/>
      </c>
      <c r="W126" s="224">
        <f>IF('DM_NHAN_SU'!$B126="","",'CHAM_CONG_THANG'!T126)</f>
        <v/>
      </c>
      <c r="X126" s="224">
        <f>IF('DM_NHAN_SU'!$B126="","",'CHAM_CONG_THANG'!U126)</f>
        <v/>
      </c>
      <c r="Y126" s="224">
        <f>IF('DM_NHAN_SU'!$B126="","",IF($B126="",0,IF('DM_NHAN_SU'!$Q126&gt;0,'DM_NHAN_SU'!$Q126,IF($G126="Tháng",IF($I126*$J126&gt;0,'DM_NHAN_SU'!$K126/($I126*$J126),0),IF($G126="Ngày",IF($J126&gt;0,'DM_NHAN_SU'!$K126/$J126,0),IF($G126="Giờ",'DM_NHAN_SU'!$K126,0))))))</f>
        <v/>
      </c>
      <c r="Z126" s="224">
        <f>IF('DM_NHAN_SU'!$B126="","",$Y126*($M126*'THAM_SO'!$C$22+'CHAM_CONG_THANG'!$AF126*'THAM_SO'!$C$19+'CHAM_CONG_THANG'!$AG126*'THAM_SO'!$C$20+'CHAM_CONG_THANG'!$AH126*'THAM_SO'!$C$21+'CHAM_CONG_THANG'!$AI126*'THAM_SO'!$C$23+'CHAM_CONG_THANG'!$AJ126*'THAM_SO'!$C$24+'CHAM_CONG_THANG'!$AK126*'THAM_SO'!$C$25))</f>
        <v/>
      </c>
      <c r="AA126" s="224">
        <f>IF('DM_NHAN_SU'!$B126="","",MAX(0,$Y126*($M126*IF('THAM_SO'!$C$22&gt;='THAM_SO'!$B$22,'THAM_SO'!$B$22,0)+'CHAM_CONG_THANG'!$AF126*IF('THAM_SO'!$C$19&gt;='THAM_SO'!$B$19,'THAM_SO'!$B$19,0)+'CHAM_CONG_THANG'!$AG126*IF('THAM_SO'!$C$20&gt;='THAM_SO'!$B$20,'THAM_SO'!$B$20,0)+'CHAM_CONG_THANG'!$AH126*IF('THAM_SO'!$C$21&gt;='THAM_SO'!$B$21,'THAM_SO'!$B$21,0)+'CHAM_CONG_THANG'!$AI126*IF('THAM_SO'!$C$23&gt;='THAM_SO'!$B$23,'THAM_SO'!$B$23,0)+'CHAM_CONG_THANG'!$AJ126*IF('THAM_SO'!$C$24&gt;='THAM_SO'!$B$24,'THAM_SO'!$B$24,0)+'CHAM_CONG_THANG'!$AK126*IF('THAM_SO'!$C$25&gt;='THAM_SO'!$B$25,'THAM_SO'!$B$25,0))-'CHAM_CONG_THANG'!$V126))</f>
        <v/>
      </c>
      <c r="AB126" s="224">
        <f>IF('DM_NHAN_SU'!$B126="","",MAX($Z126-$AA126,0))</f>
        <v/>
      </c>
      <c r="AC126" s="224">
        <f>IF('DM_NHAN_SU'!$B126="","",$O126+$P126+$Q126+$R126+$S126+$V126+$AB126+$BO126+$BP126+$BQ126+$BR126)</f>
        <v/>
      </c>
      <c r="AD126" s="224">
        <f>IF('DM_NHAN_SU'!$B126="","",'DM_NHAN_SU'!N126+'DM_NHAN_SU'!O126+'DM_NHAN_SU'!P126)</f>
        <v/>
      </c>
      <c r="AE126" s="224">
        <f>IF('DM_NHAN_SU'!$B126="","",IF(OR('DM_NHAN_SU'!$R126&lt;&gt;"Có",'CHAM_CONG_THANG'!$AA126="Có",$BL126&gt;=14,$AD126&lt;=0),0,MIN(MAX($AD126,'THAM_SO'!$M$6),'THAM_SO'!$M$7)))</f>
        <v/>
      </c>
      <c r="AF126" s="224">
        <f>IF('DM_NHAN_SU'!$B126="","",IF(OR('DM_NHAN_SU'!$S126&lt;&gt;"Có",'CHAM_CONG_THANG'!$AA126="Có",$BL126&gt;=14,$AD126&lt;=0),0,MIN(MAX($AD126,VLOOKUP($H126,'THAM_SO'!$L$17:$P$20,4,FALSE)),VLOOKUP($H126,'THAM_SO'!$L$17:$P$20,5,FALSE))))</f>
        <v/>
      </c>
      <c r="AG126" s="224">
        <f>IF('DM_NHAN_SU'!$B126="","",$AE126*'THAM_SO'!$M$8)</f>
        <v/>
      </c>
      <c r="AH126" s="224">
        <f>IF('DM_NHAN_SU'!$B126="","",$AE126*'THAM_SO'!$M$9)</f>
        <v/>
      </c>
      <c r="AI126" s="224">
        <f>IF('DM_NHAN_SU'!$B126="","",$AF126*'THAM_SO'!$M$10)</f>
        <v/>
      </c>
      <c r="AJ126" s="224">
        <f>IF('DM_NHAN_SU'!$B126="","",SUM($AG126:$AI126))</f>
        <v/>
      </c>
      <c r="AK126" s="224">
        <f>IF('DM_NHAN_SU'!$B126="","",IF($B126="",0,'THAM_SO'!$F$4))</f>
        <v/>
      </c>
      <c r="AL126" s="224">
        <f>IF('DM_NHAN_SU'!$B126="","",IF($B126="",0,'DM_NHAN_SU'!$T126*'THAM_SO'!$F$5))</f>
        <v/>
      </c>
      <c r="AM126" s="224">
        <f>IF('DM_NHAN_SU'!$B126="","",'CHAM_CONG_THANG'!W126)</f>
        <v/>
      </c>
      <c r="AN126" s="224">
        <f>IF('DM_NHAN_SU'!$B126="","",MAX($AC126-$AK126-$AL126-$AM126,0))</f>
        <v/>
      </c>
      <c r="AO126" s="224">
        <f>IF('DM_NHAN_SU'!$B126="","",IF($B126="","",IF($F126="Net",IF($AC126&lt;=$AK126+$AL126+$AM126,$AC126+$AJ126,$AJ126+$AK126+$AL126+$AM126+IF($AN126&lt;='THAM_SO'!$J$10,($AN126-'THAM_SO'!$I$10)/(1-'THAM_SO'!$H$10),IF($AN126&lt;='THAM_SO'!$J$11,($AN126-'THAM_SO'!$I$11)/(1-'THAM_SO'!$H$11),IF($AN126&lt;='THAM_SO'!$J$12,($AN126-'THAM_SO'!$I$12)/(1-'THAM_SO'!$H$12),IF($AN126&lt;='THAM_SO'!$J$13,($AN126-'THAM_SO'!$I$13)/(1-'THAM_SO'!$H$13),($AN126-'THAM_SO'!$I$14)/(1-'THAM_SO'!$H$14)))))),$AC126)))</f>
        <v/>
      </c>
      <c r="AP126" s="224">
        <f>IF('DM_NHAN_SU'!$B126="","",$U126+$W126+$X126+$AA126+$BS126)</f>
        <v/>
      </c>
      <c r="AQ126" s="224">
        <f>IF('DM_NHAN_SU'!$B126="","",MAX($AO126-$AJ126-$AK126-$AL126-$AM126,0))</f>
        <v/>
      </c>
      <c r="AR126" s="224">
        <f>IF('DM_NHAN_SU'!$B126="","",IF($AQ126&lt;=0,0,$AQ126*VLOOKUP($AQ126,'THAM_SO'!$F$10:$I$14,3,TRUE)-VLOOKUP($AQ126,'THAM_SO'!$F$10:$I$14,4,TRUE)))</f>
        <v/>
      </c>
      <c r="AS126" s="224">
        <f>IF('DM_NHAN_SU'!$B126="","",$AO126+$AP126)</f>
        <v/>
      </c>
      <c r="AT126" s="224">
        <f>IF('DM_NHAN_SU'!$B126="","",$AS126-$AJ126-$AR126)</f>
        <v/>
      </c>
      <c r="AU126" s="224">
        <f>IF('DM_NHAN_SU'!$B126="","",'CHAM_CONG_THANG'!X126)</f>
        <v/>
      </c>
      <c r="AV126" s="224">
        <f>IF('DM_NHAN_SU'!$B126="","",'CHAM_CONG_THANG'!Y126+'QT_NGHI_VIEC'!AD126)</f>
        <v/>
      </c>
      <c r="AW126" s="224">
        <f>IF('DM_NHAN_SU'!$B126="","",'CHAM_CONG_THANG'!Z126)</f>
        <v/>
      </c>
      <c r="AX126" s="224">
        <f>IF('DM_NHAN_SU'!$B126="","",$AT126-$AU126-$AV126-$AW126-$BV126)</f>
        <v/>
      </c>
      <c r="AY126" s="224">
        <f>IF('DM_NHAN_SU'!$B126="","",$AE126*'THAM_SO'!$M$11)</f>
        <v/>
      </c>
      <c r="AZ126" s="224">
        <f>IF('DM_NHAN_SU'!$B126="","",$AE126*'THAM_SO'!$M$12)</f>
        <v/>
      </c>
      <c r="BA126" s="224">
        <f>IF('DM_NHAN_SU'!$B126="","",$AF126*'THAM_SO'!$M$13)</f>
        <v/>
      </c>
      <c r="BB126" s="224">
        <f>IF('DM_NHAN_SU'!$B126="","",$AE126*'THAM_SO'!$M$14)</f>
        <v/>
      </c>
      <c r="BC126" s="224">
        <f>IF('DM_NHAN_SU'!$B126="","",SUM($AY126:$BB126))</f>
        <v/>
      </c>
      <c r="BD126" s="224">
        <f>IF('DM_NHAN_SU'!$B126="","",$AS126+$BC126)</f>
        <v/>
      </c>
      <c r="BE126" s="224">
        <f>IF('DM_NHAN_SU'!$B126="","",VLOOKUP($H126,'THAM_SO'!$L$17:$P$20,2,FALSE))</f>
        <v/>
      </c>
      <c r="BF126" s="224">
        <f>IF('DM_NHAN_SU'!$B126="","",VLOOKUP($H126,'THAM_SO'!$L$17:$P$20,3,FALSE))</f>
        <v/>
      </c>
      <c r="BG126" s="150">
        <f>IF('DM_NHAN_SU'!$B126="","",IF($B126="","",IF(COUNTIF('DM_NHAN_SU'!$B$6:$B$155,$B126)&gt;1,"Trùng mã NV; ","")&amp;IF(OR($F126="",$G126=""),"Thiếu loại/hình thức lương; ","")&amp;IF('CHAM_CONG_THANG'!$D126="","Chưa chọn nguồn công; ","")&amp;IF(AND('CHAM_CONG_THANG'!$D126="Theo ngày",COUNTIF('CHAM_CONG_NGAY'!$B$6:$B$4655,$B126)=0),"Chưa có chấm công ngày; ","")&amp;IF(OR($I126&lt;=0,$J126&lt;=0),"Thiếu công/giờ chuẩn; ","")&amp;IF(AND($G126="Tháng",'DM_NHAN_SU'!$K126&lt;$BE126),"Lương tháng dưới tối thiểu vùng; ","")&amp;IF(AND($G126="Ngày",'DM_NHAN_SU'!$K126/$J126&lt;$BF126),"Lương ngày quy đổi dưới tối thiểu giờ; ","")&amp;IF(AND($G126="Giờ",'DM_NHAN_SU'!$K126&lt;$BF126),"Lương giờ dưới tối thiểu vùng; ","")&amp;IF(AND($G126="Sản phẩm",$L126&gt;0,$O126/$L126&lt;$BF126),"Lương SP quy đổi dưới tối thiểu giờ; ","")&amp;IF(OR('THAM_SO'!$C$19&lt;'THAM_SO'!$B$19,'THAM_SO'!$C$20&lt;'THAM_SO'!$B$20,'THAM_SO'!$C$21&lt;'THAM_SO'!$B$21,'THAM_SO'!$C$22&lt;'THAM_SO'!$B$22,'THAM_SO'!$C$23&lt;'THAM_SO'!$B$23,'THAM_SO'!$C$24&lt;'THAM_SO'!$B$24,'THAM_SO'!$C$25&lt;'THAM_SO'!$B$25),"Hệ số OT/đêm DN thấp hơn luật; ","")&amp;IF(AND('DM_NHAN_SU'!$R126="Có",$AD126&lt;=0),"Thiếu căn cứ đóng BH; ","")&amp;IF(AND($AD126&gt;0,$AD126&lt;'THAM_SO'!$M$6),"Căn cứ BH dưới sàn – đã nâng sàn; ","")&amp;IF($AD126&gt;'THAM_SO'!$M$7,"Căn cứ BH vượt trần – đã giới hạn; ","")&amp;IF(AND($F126="Net",SUM('CHAM_CONG_THANG'!$AF126:$AK126)&gt;0,'DM_NHAN_SU'!$Q126&lt;=0),"Net có OT nhưng chưa khai lương giờ OT; ","")&amp;IF('CHAM_CONG_THANG'!$V126&gt;$Z126,"Phần OT không miễn lớn hơn tiền OT; ","")&amp;IF(AND($F126="Net",ABS($AT126-$AC126-$AP126)&gt;1),"Lệch quy đổi Net; ","")&amp;IF(AND($BH126&gt;0,'DM_NHAN_SU'!$AD126=""),"Có phép năm nhưng đang tạm dùng 12 ngày; ","")&amp;IF(AND($G126="Sản phẩm",SUM($BH126:$BJ126)&gt;0,'DM_NHAN_SU'!$AH126&lt;=0),"Lương sản phẩm thiếu đơn giá ngày phép/lễ; ","")&amp;IF(AND($BL126&gt;=14,'CHAM_CONG_THANG'!$AA126&lt;&gt;"Có"),"Thai sản từ 14 ngày: file tự dừng đóng BH – kiểm tra hồ sơ; ","")&amp;IF(AND('DM_NHAN_SU'!$AA126="Có",'DM_NHAN_SU'!$AB126=""),"Đoàn viên chưa chọn cách tính đoàn phí; ","")&amp;IF(AND('DM_NHAN_SU'!$AB126="Nhập tay",'DM_NHAN_SU'!$AC126&gt;'THAM_SO'!$M$26),"Đoàn phí nhập tay vượt trần thông dụng; ","")&amp;IF('NGHI_PHEP'!$L126&lt;&gt;"","Phép: "&amp;'NGHI_PHEP'!$L126,"")&amp;IF('CHE_DO_BHXH'!$AA126&lt;&gt;"","BHXH: "&amp;'CHE_DO_BHXH'!$AA126,"")&amp;IF('THUONG_T13_TET'!$O126&lt;&gt;"","Thưởng: "&amp;'THUONG_T13_TET'!$O126,"")&amp;IF('QT_NGHI_VIEC'!$AF126&lt;&gt;"","Nghỉ việc: "&amp;'QT_NGHI_VIEC'!$AF126,"")&amp;IF($AX126&lt;0,"Thực lĩnh âm; ","")&amp;IF(OR('DM_NHAN_SU'!$F126&gt;'THAM_SO'!$B$7,AND('DM_NHAN_SU'!$G126&lt;&gt;"",'DM_NHAN_SU'!$G126&lt;'THAM_SO'!$B$6)),"Ngoài kỳ trả lương; ","")))</f>
        <v/>
      </c>
      <c r="BH126" s="232">
        <f>IF('DM_NHAN_SU'!$B126="","",'CHAM_CONG_THANG'!AR126)</f>
        <v/>
      </c>
      <c r="BI126" s="232">
        <f>IF('DM_NHAN_SU'!$B126="","",'CHAM_CONG_THANG'!AS126)</f>
        <v/>
      </c>
      <c r="BJ126" s="232">
        <f>IF('DM_NHAN_SU'!$B126="","",'CHAM_CONG_THANG'!AT126)</f>
        <v/>
      </c>
      <c r="BK126" s="232">
        <f>IF('DM_NHAN_SU'!$B126="","",'CHAM_CONG_THANG'!AU126)</f>
        <v/>
      </c>
      <c r="BL126" s="232">
        <f>IF('DM_NHAN_SU'!$B126="","",'CHAM_CONG_THANG'!AV126)</f>
        <v/>
      </c>
      <c r="BM126" s="232">
        <f>IF('DM_NHAN_SU'!$B126="","",'CHAM_CONG_THANG'!AW126)</f>
        <v/>
      </c>
      <c r="BN126" s="232">
        <f>IF('DM_NHAN_SU'!$B126="","",SUM($K126,$BH126:$BJ126))</f>
        <v/>
      </c>
      <c r="BO126" s="224">
        <f>IF('DM_NHAN_SU'!$B126="","",IF($B126="",0,IF($G126="Tháng",IF($I126&gt;0,'DM_NHAN_SU'!$K126*MIN($BH126+$BJ126,MAX($I126-$K126,0))/$I126,0),IF($G126="Ngày",'DM_NHAN_SU'!$K126*SUM($BH126:$BJ126),IF($G126="Giờ",'DM_NHAN_SU'!$K126*SUM($BH126:$BJ126)*$J126,IF($G126="Sản phẩm",'DM_NHAN_SU'!$AH126*SUM($BH126:$BJ126),0))))))</f>
        <v/>
      </c>
      <c r="BP126" s="224">
        <f>IF('DM_NHAN_SU'!$B126="","",IF('THUONG_T13_TET'!$L126="Có",'THUONG_T13_TET'!$I126,0))</f>
        <v/>
      </c>
      <c r="BQ126" s="224">
        <f>IF('DM_NHAN_SU'!$B126="","",IF('THUONG_T13_TET'!$L126="Có",SUM('THUONG_T13_TET'!$J126:$K126),0))</f>
        <v/>
      </c>
      <c r="BR126" s="224">
        <f>IF('DM_NHAN_SU'!$B126="","",'QT_NGHI_VIEC'!AC126)</f>
        <v/>
      </c>
      <c r="BS126" s="224">
        <f>IF('DM_NHAN_SU'!$B126="","",'QT_NGHI_VIEC'!AB126)</f>
        <v/>
      </c>
      <c r="BT126" s="224">
        <f>IF('DM_NHAN_SU'!$B126="","",IF('CHE_DO_BHXH'!$Z126="Có",'CHE_DO_BHXH'!$W126,0))</f>
        <v/>
      </c>
      <c r="BU126" s="224">
        <f>IF('DM_NHAN_SU'!$B126="","",IF('CHE_DO_BHXH'!$Y126="DN trả thay",$BT126,0))</f>
        <v/>
      </c>
      <c r="BV126" s="224">
        <f>IF('DM_NHAN_SU'!$B126="","",IF(OR('DM_NHAN_SU'!$AA126&lt;&gt;"Có",'CHE_DO_BHXH'!$O126&gt;=1,SUM('CHE_DO_BHXH'!$D126,'CHE_DO_BHXH'!$G126,'CHE_DO_BHXH'!$K126)&gt;=24,AND($I126&gt;0,$BM126&gt;=$I126)),0,IF('DM_NHAN_SU'!$AB126="Không",0,IF('DM_NHAN_SU'!$AB126="Nhập tay",'DM_NHAN_SU'!$AC126,IF('DM_NHAN_SU'!$AB126="Theo thực nhận",MIN(MAX($AT126-$AU126-$AV126-$AW126,0)*'THAM_SO'!$M$23,'THAM_SO'!$M$26),MIN($AE126*'THAM_SO'!$M$23,'THAM_SO'!$M$26))))))</f>
        <v/>
      </c>
      <c r="BW126" s="224">
        <f>IF('DM_NHAN_SU'!$B126="","",$AX126+$BU126)</f>
        <v/>
      </c>
    </row>
    <row r="127">
      <c r="A127" s="145">
        <f>IF('DM_NHAN_SU'!$B127="","",IF($B127="","",ROW()-5))</f>
        <v/>
      </c>
      <c r="B127" s="145">
        <f>IF('DM_NHAN_SU'!$B127="","",'DM_NHAN_SU'!B127)</f>
        <v/>
      </c>
      <c r="C127" s="145">
        <f>IF('DM_NHAN_SU'!$B127="","",'DM_NHAN_SU'!C127)</f>
        <v/>
      </c>
      <c r="D127" s="145">
        <f>IF('DM_NHAN_SU'!$B127="","",'DM_NHAN_SU'!D127)</f>
        <v/>
      </c>
      <c r="E127" s="145">
        <f>IF('DM_NHAN_SU'!$B127="","",'DM_NHAN_SU'!E127)</f>
        <v/>
      </c>
      <c r="F127" s="145">
        <f>IF('DM_NHAN_SU'!$B127="","",'DM_NHAN_SU'!I127)</f>
        <v/>
      </c>
      <c r="G127" s="145">
        <f>IF('DM_NHAN_SU'!$B127="","",'DM_NHAN_SU'!J127)</f>
        <v/>
      </c>
      <c r="H127" s="145">
        <f>IF('DM_NHAN_SU'!$B127="","",IF('DM_NHAN_SU'!H127="",'THAM_SO'!$B$11,'DM_NHAN_SU'!H127))</f>
        <v/>
      </c>
      <c r="I127" s="232">
        <f>IF('DM_NHAN_SU'!$B127="","",IF('DM_NHAN_SU'!L127&gt;0,'DM_NHAN_SU'!L127,'THAM_SO'!$B$9))</f>
        <v/>
      </c>
      <c r="J127" s="232">
        <f>IF('DM_NHAN_SU'!$B127="","",IF('DM_NHAN_SU'!M127&gt;0,'DM_NHAN_SU'!M127,'THAM_SO'!$B$10))</f>
        <v/>
      </c>
      <c r="K127" s="232">
        <f>IF('DM_NHAN_SU'!$B127="","",'CHAM_CONG_THANG'!AC127)</f>
        <v/>
      </c>
      <c r="L127" s="232">
        <f>IF('DM_NHAN_SU'!$B127="","",'CHAM_CONG_THANG'!AD127)</f>
        <v/>
      </c>
      <c r="M127" s="232">
        <f>IF('DM_NHAN_SU'!$B127="","",'CHAM_CONG_THANG'!AE127)</f>
        <v/>
      </c>
      <c r="N127" s="232">
        <f>IF('DM_NHAN_SU'!$B127="","",'CHAM_CONG_THANG'!N127)</f>
        <v/>
      </c>
      <c r="O127" s="224">
        <f>IF('DM_NHAN_SU'!$B127="","",IF($B127="","",IF($G127="Tháng",IF($I127&gt;0,'DM_NHAN_SU'!$K127*MIN($K127,$I127)/$I127,0),IF($G127="Ngày",'DM_NHAN_SU'!$K127*$K127,IF($G127="Giờ",'DM_NHAN_SU'!$K127*$L127,IF($G127="Sản phẩm",'DM_NHAN_SU'!$K127*$N127,0))))))</f>
        <v/>
      </c>
      <c r="P127" s="224">
        <f>IF('DM_NHAN_SU'!$B127="","",'CHAM_CONG_THANG'!O127)</f>
        <v/>
      </c>
      <c r="Q127" s="224">
        <f>IF('DM_NHAN_SU'!$B127="","",'CHAM_CONG_THANG'!P127)</f>
        <v/>
      </c>
      <c r="R127" s="224">
        <f>IF('DM_NHAN_SU'!$B127="","",'CHAM_CONG_THANG'!Q127)</f>
        <v/>
      </c>
      <c r="S127" s="224">
        <f>IF('DM_NHAN_SU'!$B127="","",'CHAM_CONG_THANG'!R127)</f>
        <v/>
      </c>
      <c r="T127" s="224">
        <f>IF('DM_NHAN_SU'!$B127="","",'CHAM_CONG_THANG'!S127)</f>
        <v/>
      </c>
      <c r="U127" s="224">
        <f>IF('DM_NHAN_SU'!$B127="","",MIN($T127,'THAM_SO'!$F$6))</f>
        <v/>
      </c>
      <c r="V127" s="224">
        <f>IF('DM_NHAN_SU'!$B127="","",MAX($T127-$U127,0))</f>
        <v/>
      </c>
      <c r="W127" s="224">
        <f>IF('DM_NHAN_SU'!$B127="","",'CHAM_CONG_THANG'!T127)</f>
        <v/>
      </c>
      <c r="X127" s="224">
        <f>IF('DM_NHAN_SU'!$B127="","",'CHAM_CONG_THANG'!U127)</f>
        <v/>
      </c>
      <c r="Y127" s="224">
        <f>IF('DM_NHAN_SU'!$B127="","",IF($B127="",0,IF('DM_NHAN_SU'!$Q127&gt;0,'DM_NHAN_SU'!$Q127,IF($G127="Tháng",IF($I127*$J127&gt;0,'DM_NHAN_SU'!$K127/($I127*$J127),0),IF($G127="Ngày",IF($J127&gt;0,'DM_NHAN_SU'!$K127/$J127,0),IF($G127="Giờ",'DM_NHAN_SU'!$K127,0))))))</f>
        <v/>
      </c>
      <c r="Z127" s="224">
        <f>IF('DM_NHAN_SU'!$B127="","",$Y127*($M127*'THAM_SO'!$C$22+'CHAM_CONG_THANG'!$AF127*'THAM_SO'!$C$19+'CHAM_CONG_THANG'!$AG127*'THAM_SO'!$C$20+'CHAM_CONG_THANG'!$AH127*'THAM_SO'!$C$21+'CHAM_CONG_THANG'!$AI127*'THAM_SO'!$C$23+'CHAM_CONG_THANG'!$AJ127*'THAM_SO'!$C$24+'CHAM_CONG_THANG'!$AK127*'THAM_SO'!$C$25))</f>
        <v/>
      </c>
      <c r="AA127" s="224">
        <f>IF('DM_NHAN_SU'!$B127="","",MAX(0,$Y127*($M127*IF('THAM_SO'!$C$22&gt;='THAM_SO'!$B$22,'THAM_SO'!$B$22,0)+'CHAM_CONG_THANG'!$AF127*IF('THAM_SO'!$C$19&gt;='THAM_SO'!$B$19,'THAM_SO'!$B$19,0)+'CHAM_CONG_THANG'!$AG127*IF('THAM_SO'!$C$20&gt;='THAM_SO'!$B$20,'THAM_SO'!$B$20,0)+'CHAM_CONG_THANG'!$AH127*IF('THAM_SO'!$C$21&gt;='THAM_SO'!$B$21,'THAM_SO'!$B$21,0)+'CHAM_CONG_THANG'!$AI127*IF('THAM_SO'!$C$23&gt;='THAM_SO'!$B$23,'THAM_SO'!$B$23,0)+'CHAM_CONG_THANG'!$AJ127*IF('THAM_SO'!$C$24&gt;='THAM_SO'!$B$24,'THAM_SO'!$B$24,0)+'CHAM_CONG_THANG'!$AK127*IF('THAM_SO'!$C$25&gt;='THAM_SO'!$B$25,'THAM_SO'!$B$25,0))-'CHAM_CONG_THANG'!$V127))</f>
        <v/>
      </c>
      <c r="AB127" s="224">
        <f>IF('DM_NHAN_SU'!$B127="","",MAX($Z127-$AA127,0))</f>
        <v/>
      </c>
      <c r="AC127" s="224">
        <f>IF('DM_NHAN_SU'!$B127="","",$O127+$P127+$Q127+$R127+$S127+$V127+$AB127+$BO127+$BP127+$BQ127+$BR127)</f>
        <v/>
      </c>
      <c r="AD127" s="224">
        <f>IF('DM_NHAN_SU'!$B127="","",'DM_NHAN_SU'!N127+'DM_NHAN_SU'!O127+'DM_NHAN_SU'!P127)</f>
        <v/>
      </c>
      <c r="AE127" s="224">
        <f>IF('DM_NHAN_SU'!$B127="","",IF(OR('DM_NHAN_SU'!$R127&lt;&gt;"Có",'CHAM_CONG_THANG'!$AA127="Có",$BL127&gt;=14,$AD127&lt;=0),0,MIN(MAX($AD127,'THAM_SO'!$M$6),'THAM_SO'!$M$7)))</f>
        <v/>
      </c>
      <c r="AF127" s="224">
        <f>IF('DM_NHAN_SU'!$B127="","",IF(OR('DM_NHAN_SU'!$S127&lt;&gt;"Có",'CHAM_CONG_THANG'!$AA127="Có",$BL127&gt;=14,$AD127&lt;=0),0,MIN(MAX($AD127,VLOOKUP($H127,'THAM_SO'!$L$17:$P$20,4,FALSE)),VLOOKUP($H127,'THAM_SO'!$L$17:$P$20,5,FALSE))))</f>
        <v/>
      </c>
      <c r="AG127" s="224">
        <f>IF('DM_NHAN_SU'!$B127="","",$AE127*'THAM_SO'!$M$8)</f>
        <v/>
      </c>
      <c r="AH127" s="224">
        <f>IF('DM_NHAN_SU'!$B127="","",$AE127*'THAM_SO'!$M$9)</f>
        <v/>
      </c>
      <c r="AI127" s="224">
        <f>IF('DM_NHAN_SU'!$B127="","",$AF127*'THAM_SO'!$M$10)</f>
        <v/>
      </c>
      <c r="AJ127" s="224">
        <f>IF('DM_NHAN_SU'!$B127="","",SUM($AG127:$AI127))</f>
        <v/>
      </c>
      <c r="AK127" s="224">
        <f>IF('DM_NHAN_SU'!$B127="","",IF($B127="",0,'THAM_SO'!$F$4))</f>
        <v/>
      </c>
      <c r="AL127" s="224">
        <f>IF('DM_NHAN_SU'!$B127="","",IF($B127="",0,'DM_NHAN_SU'!$T127*'THAM_SO'!$F$5))</f>
        <v/>
      </c>
      <c r="AM127" s="224">
        <f>IF('DM_NHAN_SU'!$B127="","",'CHAM_CONG_THANG'!W127)</f>
        <v/>
      </c>
      <c r="AN127" s="224">
        <f>IF('DM_NHAN_SU'!$B127="","",MAX($AC127-$AK127-$AL127-$AM127,0))</f>
        <v/>
      </c>
      <c r="AO127" s="224">
        <f>IF('DM_NHAN_SU'!$B127="","",IF($B127="","",IF($F127="Net",IF($AC127&lt;=$AK127+$AL127+$AM127,$AC127+$AJ127,$AJ127+$AK127+$AL127+$AM127+IF($AN127&lt;='THAM_SO'!$J$10,($AN127-'THAM_SO'!$I$10)/(1-'THAM_SO'!$H$10),IF($AN127&lt;='THAM_SO'!$J$11,($AN127-'THAM_SO'!$I$11)/(1-'THAM_SO'!$H$11),IF($AN127&lt;='THAM_SO'!$J$12,($AN127-'THAM_SO'!$I$12)/(1-'THAM_SO'!$H$12),IF($AN127&lt;='THAM_SO'!$J$13,($AN127-'THAM_SO'!$I$13)/(1-'THAM_SO'!$H$13),($AN127-'THAM_SO'!$I$14)/(1-'THAM_SO'!$H$14)))))),$AC127)))</f>
        <v/>
      </c>
      <c r="AP127" s="224">
        <f>IF('DM_NHAN_SU'!$B127="","",$U127+$W127+$X127+$AA127+$BS127)</f>
        <v/>
      </c>
      <c r="AQ127" s="224">
        <f>IF('DM_NHAN_SU'!$B127="","",MAX($AO127-$AJ127-$AK127-$AL127-$AM127,0))</f>
        <v/>
      </c>
      <c r="AR127" s="224">
        <f>IF('DM_NHAN_SU'!$B127="","",IF($AQ127&lt;=0,0,$AQ127*VLOOKUP($AQ127,'THAM_SO'!$F$10:$I$14,3,TRUE)-VLOOKUP($AQ127,'THAM_SO'!$F$10:$I$14,4,TRUE)))</f>
        <v/>
      </c>
      <c r="AS127" s="224">
        <f>IF('DM_NHAN_SU'!$B127="","",$AO127+$AP127)</f>
        <v/>
      </c>
      <c r="AT127" s="224">
        <f>IF('DM_NHAN_SU'!$B127="","",$AS127-$AJ127-$AR127)</f>
        <v/>
      </c>
      <c r="AU127" s="224">
        <f>IF('DM_NHAN_SU'!$B127="","",'CHAM_CONG_THANG'!X127)</f>
        <v/>
      </c>
      <c r="AV127" s="224">
        <f>IF('DM_NHAN_SU'!$B127="","",'CHAM_CONG_THANG'!Y127+'QT_NGHI_VIEC'!AD127)</f>
        <v/>
      </c>
      <c r="AW127" s="224">
        <f>IF('DM_NHAN_SU'!$B127="","",'CHAM_CONG_THANG'!Z127)</f>
        <v/>
      </c>
      <c r="AX127" s="224">
        <f>IF('DM_NHAN_SU'!$B127="","",$AT127-$AU127-$AV127-$AW127-$BV127)</f>
        <v/>
      </c>
      <c r="AY127" s="224">
        <f>IF('DM_NHAN_SU'!$B127="","",$AE127*'THAM_SO'!$M$11)</f>
        <v/>
      </c>
      <c r="AZ127" s="224">
        <f>IF('DM_NHAN_SU'!$B127="","",$AE127*'THAM_SO'!$M$12)</f>
        <v/>
      </c>
      <c r="BA127" s="224">
        <f>IF('DM_NHAN_SU'!$B127="","",$AF127*'THAM_SO'!$M$13)</f>
        <v/>
      </c>
      <c r="BB127" s="224">
        <f>IF('DM_NHAN_SU'!$B127="","",$AE127*'THAM_SO'!$M$14)</f>
        <v/>
      </c>
      <c r="BC127" s="224">
        <f>IF('DM_NHAN_SU'!$B127="","",SUM($AY127:$BB127))</f>
        <v/>
      </c>
      <c r="BD127" s="224">
        <f>IF('DM_NHAN_SU'!$B127="","",$AS127+$BC127)</f>
        <v/>
      </c>
      <c r="BE127" s="224">
        <f>IF('DM_NHAN_SU'!$B127="","",VLOOKUP($H127,'THAM_SO'!$L$17:$P$20,2,FALSE))</f>
        <v/>
      </c>
      <c r="BF127" s="224">
        <f>IF('DM_NHAN_SU'!$B127="","",VLOOKUP($H127,'THAM_SO'!$L$17:$P$20,3,FALSE))</f>
        <v/>
      </c>
      <c r="BG127" s="150">
        <f>IF('DM_NHAN_SU'!$B127="","",IF($B127="","",IF(COUNTIF('DM_NHAN_SU'!$B$6:$B$155,$B127)&gt;1,"Trùng mã NV; ","")&amp;IF(OR($F127="",$G127=""),"Thiếu loại/hình thức lương; ","")&amp;IF('CHAM_CONG_THANG'!$D127="","Chưa chọn nguồn công; ","")&amp;IF(AND('CHAM_CONG_THANG'!$D127="Theo ngày",COUNTIF('CHAM_CONG_NGAY'!$B$6:$B$4655,$B127)=0),"Chưa có chấm công ngày; ","")&amp;IF(OR($I127&lt;=0,$J127&lt;=0),"Thiếu công/giờ chuẩn; ","")&amp;IF(AND($G127="Tháng",'DM_NHAN_SU'!$K127&lt;$BE127),"Lương tháng dưới tối thiểu vùng; ","")&amp;IF(AND($G127="Ngày",'DM_NHAN_SU'!$K127/$J127&lt;$BF127),"Lương ngày quy đổi dưới tối thiểu giờ; ","")&amp;IF(AND($G127="Giờ",'DM_NHAN_SU'!$K127&lt;$BF127),"Lương giờ dưới tối thiểu vùng; ","")&amp;IF(AND($G127="Sản phẩm",$L127&gt;0,$O127/$L127&lt;$BF127),"Lương SP quy đổi dưới tối thiểu giờ; ","")&amp;IF(OR('THAM_SO'!$C$19&lt;'THAM_SO'!$B$19,'THAM_SO'!$C$20&lt;'THAM_SO'!$B$20,'THAM_SO'!$C$21&lt;'THAM_SO'!$B$21,'THAM_SO'!$C$22&lt;'THAM_SO'!$B$22,'THAM_SO'!$C$23&lt;'THAM_SO'!$B$23,'THAM_SO'!$C$24&lt;'THAM_SO'!$B$24,'THAM_SO'!$C$25&lt;'THAM_SO'!$B$25),"Hệ số OT/đêm DN thấp hơn luật; ","")&amp;IF(AND('DM_NHAN_SU'!$R127="Có",$AD127&lt;=0),"Thiếu căn cứ đóng BH; ","")&amp;IF(AND($AD127&gt;0,$AD127&lt;'THAM_SO'!$M$6),"Căn cứ BH dưới sàn – đã nâng sàn; ","")&amp;IF($AD127&gt;'THAM_SO'!$M$7,"Căn cứ BH vượt trần – đã giới hạn; ","")&amp;IF(AND($F127="Net",SUM('CHAM_CONG_THANG'!$AF127:$AK127)&gt;0,'DM_NHAN_SU'!$Q127&lt;=0),"Net có OT nhưng chưa khai lương giờ OT; ","")&amp;IF('CHAM_CONG_THANG'!$V127&gt;$Z127,"Phần OT không miễn lớn hơn tiền OT; ","")&amp;IF(AND($F127="Net",ABS($AT127-$AC127-$AP127)&gt;1),"Lệch quy đổi Net; ","")&amp;IF(AND($BH127&gt;0,'DM_NHAN_SU'!$AD127=""),"Có phép năm nhưng đang tạm dùng 12 ngày; ","")&amp;IF(AND($G127="Sản phẩm",SUM($BH127:$BJ127)&gt;0,'DM_NHAN_SU'!$AH127&lt;=0),"Lương sản phẩm thiếu đơn giá ngày phép/lễ; ","")&amp;IF(AND($BL127&gt;=14,'CHAM_CONG_THANG'!$AA127&lt;&gt;"Có"),"Thai sản từ 14 ngày: file tự dừng đóng BH – kiểm tra hồ sơ; ","")&amp;IF(AND('DM_NHAN_SU'!$AA127="Có",'DM_NHAN_SU'!$AB127=""),"Đoàn viên chưa chọn cách tính đoàn phí; ","")&amp;IF(AND('DM_NHAN_SU'!$AB127="Nhập tay",'DM_NHAN_SU'!$AC127&gt;'THAM_SO'!$M$26),"Đoàn phí nhập tay vượt trần thông dụng; ","")&amp;IF('NGHI_PHEP'!$L127&lt;&gt;"","Phép: "&amp;'NGHI_PHEP'!$L127,"")&amp;IF('CHE_DO_BHXH'!$AA127&lt;&gt;"","BHXH: "&amp;'CHE_DO_BHXH'!$AA127,"")&amp;IF('THUONG_T13_TET'!$O127&lt;&gt;"","Thưởng: "&amp;'THUONG_T13_TET'!$O127,"")&amp;IF('QT_NGHI_VIEC'!$AF127&lt;&gt;"","Nghỉ việc: "&amp;'QT_NGHI_VIEC'!$AF127,"")&amp;IF($AX127&lt;0,"Thực lĩnh âm; ","")&amp;IF(OR('DM_NHAN_SU'!$F127&gt;'THAM_SO'!$B$7,AND('DM_NHAN_SU'!$G127&lt;&gt;"",'DM_NHAN_SU'!$G127&lt;'THAM_SO'!$B$6)),"Ngoài kỳ trả lương; ","")))</f>
        <v/>
      </c>
      <c r="BH127" s="232">
        <f>IF('DM_NHAN_SU'!$B127="","",'CHAM_CONG_THANG'!AR127)</f>
        <v/>
      </c>
      <c r="BI127" s="232">
        <f>IF('DM_NHAN_SU'!$B127="","",'CHAM_CONG_THANG'!AS127)</f>
        <v/>
      </c>
      <c r="BJ127" s="232">
        <f>IF('DM_NHAN_SU'!$B127="","",'CHAM_CONG_THANG'!AT127)</f>
        <v/>
      </c>
      <c r="BK127" s="232">
        <f>IF('DM_NHAN_SU'!$B127="","",'CHAM_CONG_THANG'!AU127)</f>
        <v/>
      </c>
      <c r="BL127" s="232">
        <f>IF('DM_NHAN_SU'!$B127="","",'CHAM_CONG_THANG'!AV127)</f>
        <v/>
      </c>
      <c r="BM127" s="232">
        <f>IF('DM_NHAN_SU'!$B127="","",'CHAM_CONG_THANG'!AW127)</f>
        <v/>
      </c>
      <c r="BN127" s="232">
        <f>IF('DM_NHAN_SU'!$B127="","",SUM($K127,$BH127:$BJ127))</f>
        <v/>
      </c>
      <c r="BO127" s="224">
        <f>IF('DM_NHAN_SU'!$B127="","",IF($B127="",0,IF($G127="Tháng",IF($I127&gt;0,'DM_NHAN_SU'!$K127*MIN($BH127+$BJ127,MAX($I127-$K127,0))/$I127,0),IF($G127="Ngày",'DM_NHAN_SU'!$K127*SUM($BH127:$BJ127),IF($G127="Giờ",'DM_NHAN_SU'!$K127*SUM($BH127:$BJ127)*$J127,IF($G127="Sản phẩm",'DM_NHAN_SU'!$AH127*SUM($BH127:$BJ127),0))))))</f>
        <v/>
      </c>
      <c r="BP127" s="224">
        <f>IF('DM_NHAN_SU'!$B127="","",IF('THUONG_T13_TET'!$L127="Có",'THUONG_T13_TET'!$I127,0))</f>
        <v/>
      </c>
      <c r="BQ127" s="224">
        <f>IF('DM_NHAN_SU'!$B127="","",IF('THUONG_T13_TET'!$L127="Có",SUM('THUONG_T13_TET'!$J127:$K127),0))</f>
        <v/>
      </c>
      <c r="BR127" s="224">
        <f>IF('DM_NHAN_SU'!$B127="","",'QT_NGHI_VIEC'!AC127)</f>
        <v/>
      </c>
      <c r="BS127" s="224">
        <f>IF('DM_NHAN_SU'!$B127="","",'QT_NGHI_VIEC'!AB127)</f>
        <v/>
      </c>
      <c r="BT127" s="224">
        <f>IF('DM_NHAN_SU'!$B127="","",IF('CHE_DO_BHXH'!$Z127="Có",'CHE_DO_BHXH'!$W127,0))</f>
        <v/>
      </c>
      <c r="BU127" s="224">
        <f>IF('DM_NHAN_SU'!$B127="","",IF('CHE_DO_BHXH'!$Y127="DN trả thay",$BT127,0))</f>
        <v/>
      </c>
      <c r="BV127" s="224">
        <f>IF('DM_NHAN_SU'!$B127="","",IF(OR('DM_NHAN_SU'!$AA127&lt;&gt;"Có",'CHE_DO_BHXH'!$O127&gt;=1,SUM('CHE_DO_BHXH'!$D127,'CHE_DO_BHXH'!$G127,'CHE_DO_BHXH'!$K127)&gt;=24,AND($I127&gt;0,$BM127&gt;=$I127)),0,IF('DM_NHAN_SU'!$AB127="Không",0,IF('DM_NHAN_SU'!$AB127="Nhập tay",'DM_NHAN_SU'!$AC127,IF('DM_NHAN_SU'!$AB127="Theo thực nhận",MIN(MAX($AT127-$AU127-$AV127-$AW127,0)*'THAM_SO'!$M$23,'THAM_SO'!$M$26),MIN($AE127*'THAM_SO'!$M$23,'THAM_SO'!$M$26))))))</f>
        <v/>
      </c>
      <c r="BW127" s="224">
        <f>IF('DM_NHAN_SU'!$B127="","",$AX127+$BU127)</f>
        <v/>
      </c>
    </row>
    <row r="128">
      <c r="A128" s="145">
        <f>IF('DM_NHAN_SU'!$B128="","",IF($B128="","",ROW()-5))</f>
        <v/>
      </c>
      <c r="B128" s="145">
        <f>IF('DM_NHAN_SU'!$B128="","",'DM_NHAN_SU'!B128)</f>
        <v/>
      </c>
      <c r="C128" s="145">
        <f>IF('DM_NHAN_SU'!$B128="","",'DM_NHAN_SU'!C128)</f>
        <v/>
      </c>
      <c r="D128" s="145">
        <f>IF('DM_NHAN_SU'!$B128="","",'DM_NHAN_SU'!D128)</f>
        <v/>
      </c>
      <c r="E128" s="145">
        <f>IF('DM_NHAN_SU'!$B128="","",'DM_NHAN_SU'!E128)</f>
        <v/>
      </c>
      <c r="F128" s="145">
        <f>IF('DM_NHAN_SU'!$B128="","",'DM_NHAN_SU'!I128)</f>
        <v/>
      </c>
      <c r="G128" s="145">
        <f>IF('DM_NHAN_SU'!$B128="","",'DM_NHAN_SU'!J128)</f>
        <v/>
      </c>
      <c r="H128" s="145">
        <f>IF('DM_NHAN_SU'!$B128="","",IF('DM_NHAN_SU'!H128="",'THAM_SO'!$B$11,'DM_NHAN_SU'!H128))</f>
        <v/>
      </c>
      <c r="I128" s="232">
        <f>IF('DM_NHAN_SU'!$B128="","",IF('DM_NHAN_SU'!L128&gt;0,'DM_NHAN_SU'!L128,'THAM_SO'!$B$9))</f>
        <v/>
      </c>
      <c r="J128" s="232">
        <f>IF('DM_NHAN_SU'!$B128="","",IF('DM_NHAN_SU'!M128&gt;0,'DM_NHAN_SU'!M128,'THAM_SO'!$B$10))</f>
        <v/>
      </c>
      <c r="K128" s="232">
        <f>IF('DM_NHAN_SU'!$B128="","",'CHAM_CONG_THANG'!AC128)</f>
        <v/>
      </c>
      <c r="L128" s="232">
        <f>IF('DM_NHAN_SU'!$B128="","",'CHAM_CONG_THANG'!AD128)</f>
        <v/>
      </c>
      <c r="M128" s="232">
        <f>IF('DM_NHAN_SU'!$B128="","",'CHAM_CONG_THANG'!AE128)</f>
        <v/>
      </c>
      <c r="N128" s="232">
        <f>IF('DM_NHAN_SU'!$B128="","",'CHAM_CONG_THANG'!N128)</f>
        <v/>
      </c>
      <c r="O128" s="224">
        <f>IF('DM_NHAN_SU'!$B128="","",IF($B128="","",IF($G128="Tháng",IF($I128&gt;0,'DM_NHAN_SU'!$K128*MIN($K128,$I128)/$I128,0),IF($G128="Ngày",'DM_NHAN_SU'!$K128*$K128,IF($G128="Giờ",'DM_NHAN_SU'!$K128*$L128,IF($G128="Sản phẩm",'DM_NHAN_SU'!$K128*$N128,0))))))</f>
        <v/>
      </c>
      <c r="P128" s="224">
        <f>IF('DM_NHAN_SU'!$B128="","",'CHAM_CONG_THANG'!O128)</f>
        <v/>
      </c>
      <c r="Q128" s="224">
        <f>IF('DM_NHAN_SU'!$B128="","",'CHAM_CONG_THANG'!P128)</f>
        <v/>
      </c>
      <c r="R128" s="224">
        <f>IF('DM_NHAN_SU'!$B128="","",'CHAM_CONG_THANG'!Q128)</f>
        <v/>
      </c>
      <c r="S128" s="224">
        <f>IF('DM_NHAN_SU'!$B128="","",'CHAM_CONG_THANG'!R128)</f>
        <v/>
      </c>
      <c r="T128" s="224">
        <f>IF('DM_NHAN_SU'!$B128="","",'CHAM_CONG_THANG'!S128)</f>
        <v/>
      </c>
      <c r="U128" s="224">
        <f>IF('DM_NHAN_SU'!$B128="","",MIN($T128,'THAM_SO'!$F$6))</f>
        <v/>
      </c>
      <c r="V128" s="224">
        <f>IF('DM_NHAN_SU'!$B128="","",MAX($T128-$U128,0))</f>
        <v/>
      </c>
      <c r="W128" s="224">
        <f>IF('DM_NHAN_SU'!$B128="","",'CHAM_CONG_THANG'!T128)</f>
        <v/>
      </c>
      <c r="X128" s="224">
        <f>IF('DM_NHAN_SU'!$B128="","",'CHAM_CONG_THANG'!U128)</f>
        <v/>
      </c>
      <c r="Y128" s="224">
        <f>IF('DM_NHAN_SU'!$B128="","",IF($B128="",0,IF('DM_NHAN_SU'!$Q128&gt;0,'DM_NHAN_SU'!$Q128,IF($G128="Tháng",IF($I128*$J128&gt;0,'DM_NHAN_SU'!$K128/($I128*$J128),0),IF($G128="Ngày",IF($J128&gt;0,'DM_NHAN_SU'!$K128/$J128,0),IF($G128="Giờ",'DM_NHAN_SU'!$K128,0))))))</f>
        <v/>
      </c>
      <c r="Z128" s="224">
        <f>IF('DM_NHAN_SU'!$B128="","",$Y128*($M128*'THAM_SO'!$C$22+'CHAM_CONG_THANG'!$AF128*'THAM_SO'!$C$19+'CHAM_CONG_THANG'!$AG128*'THAM_SO'!$C$20+'CHAM_CONG_THANG'!$AH128*'THAM_SO'!$C$21+'CHAM_CONG_THANG'!$AI128*'THAM_SO'!$C$23+'CHAM_CONG_THANG'!$AJ128*'THAM_SO'!$C$24+'CHAM_CONG_THANG'!$AK128*'THAM_SO'!$C$25))</f>
        <v/>
      </c>
      <c r="AA128" s="224">
        <f>IF('DM_NHAN_SU'!$B128="","",MAX(0,$Y128*($M128*IF('THAM_SO'!$C$22&gt;='THAM_SO'!$B$22,'THAM_SO'!$B$22,0)+'CHAM_CONG_THANG'!$AF128*IF('THAM_SO'!$C$19&gt;='THAM_SO'!$B$19,'THAM_SO'!$B$19,0)+'CHAM_CONG_THANG'!$AG128*IF('THAM_SO'!$C$20&gt;='THAM_SO'!$B$20,'THAM_SO'!$B$20,0)+'CHAM_CONG_THANG'!$AH128*IF('THAM_SO'!$C$21&gt;='THAM_SO'!$B$21,'THAM_SO'!$B$21,0)+'CHAM_CONG_THANG'!$AI128*IF('THAM_SO'!$C$23&gt;='THAM_SO'!$B$23,'THAM_SO'!$B$23,0)+'CHAM_CONG_THANG'!$AJ128*IF('THAM_SO'!$C$24&gt;='THAM_SO'!$B$24,'THAM_SO'!$B$24,0)+'CHAM_CONG_THANG'!$AK128*IF('THAM_SO'!$C$25&gt;='THAM_SO'!$B$25,'THAM_SO'!$B$25,0))-'CHAM_CONG_THANG'!$V128))</f>
        <v/>
      </c>
      <c r="AB128" s="224">
        <f>IF('DM_NHAN_SU'!$B128="","",MAX($Z128-$AA128,0))</f>
        <v/>
      </c>
      <c r="AC128" s="224">
        <f>IF('DM_NHAN_SU'!$B128="","",$O128+$P128+$Q128+$R128+$S128+$V128+$AB128+$BO128+$BP128+$BQ128+$BR128)</f>
        <v/>
      </c>
      <c r="AD128" s="224">
        <f>IF('DM_NHAN_SU'!$B128="","",'DM_NHAN_SU'!N128+'DM_NHAN_SU'!O128+'DM_NHAN_SU'!P128)</f>
        <v/>
      </c>
      <c r="AE128" s="224">
        <f>IF('DM_NHAN_SU'!$B128="","",IF(OR('DM_NHAN_SU'!$R128&lt;&gt;"Có",'CHAM_CONG_THANG'!$AA128="Có",$BL128&gt;=14,$AD128&lt;=0),0,MIN(MAX($AD128,'THAM_SO'!$M$6),'THAM_SO'!$M$7)))</f>
        <v/>
      </c>
      <c r="AF128" s="224">
        <f>IF('DM_NHAN_SU'!$B128="","",IF(OR('DM_NHAN_SU'!$S128&lt;&gt;"Có",'CHAM_CONG_THANG'!$AA128="Có",$BL128&gt;=14,$AD128&lt;=0),0,MIN(MAX($AD128,VLOOKUP($H128,'THAM_SO'!$L$17:$P$20,4,FALSE)),VLOOKUP($H128,'THAM_SO'!$L$17:$P$20,5,FALSE))))</f>
        <v/>
      </c>
      <c r="AG128" s="224">
        <f>IF('DM_NHAN_SU'!$B128="","",$AE128*'THAM_SO'!$M$8)</f>
        <v/>
      </c>
      <c r="AH128" s="224">
        <f>IF('DM_NHAN_SU'!$B128="","",$AE128*'THAM_SO'!$M$9)</f>
        <v/>
      </c>
      <c r="AI128" s="224">
        <f>IF('DM_NHAN_SU'!$B128="","",$AF128*'THAM_SO'!$M$10)</f>
        <v/>
      </c>
      <c r="AJ128" s="224">
        <f>IF('DM_NHAN_SU'!$B128="","",SUM($AG128:$AI128))</f>
        <v/>
      </c>
      <c r="AK128" s="224">
        <f>IF('DM_NHAN_SU'!$B128="","",IF($B128="",0,'THAM_SO'!$F$4))</f>
        <v/>
      </c>
      <c r="AL128" s="224">
        <f>IF('DM_NHAN_SU'!$B128="","",IF($B128="",0,'DM_NHAN_SU'!$T128*'THAM_SO'!$F$5))</f>
        <v/>
      </c>
      <c r="AM128" s="224">
        <f>IF('DM_NHAN_SU'!$B128="","",'CHAM_CONG_THANG'!W128)</f>
        <v/>
      </c>
      <c r="AN128" s="224">
        <f>IF('DM_NHAN_SU'!$B128="","",MAX($AC128-$AK128-$AL128-$AM128,0))</f>
        <v/>
      </c>
      <c r="AO128" s="224">
        <f>IF('DM_NHAN_SU'!$B128="","",IF($B128="","",IF($F128="Net",IF($AC128&lt;=$AK128+$AL128+$AM128,$AC128+$AJ128,$AJ128+$AK128+$AL128+$AM128+IF($AN128&lt;='THAM_SO'!$J$10,($AN128-'THAM_SO'!$I$10)/(1-'THAM_SO'!$H$10),IF($AN128&lt;='THAM_SO'!$J$11,($AN128-'THAM_SO'!$I$11)/(1-'THAM_SO'!$H$11),IF($AN128&lt;='THAM_SO'!$J$12,($AN128-'THAM_SO'!$I$12)/(1-'THAM_SO'!$H$12),IF($AN128&lt;='THAM_SO'!$J$13,($AN128-'THAM_SO'!$I$13)/(1-'THAM_SO'!$H$13),($AN128-'THAM_SO'!$I$14)/(1-'THAM_SO'!$H$14)))))),$AC128)))</f>
        <v/>
      </c>
      <c r="AP128" s="224">
        <f>IF('DM_NHAN_SU'!$B128="","",$U128+$W128+$X128+$AA128+$BS128)</f>
        <v/>
      </c>
      <c r="AQ128" s="224">
        <f>IF('DM_NHAN_SU'!$B128="","",MAX($AO128-$AJ128-$AK128-$AL128-$AM128,0))</f>
        <v/>
      </c>
      <c r="AR128" s="224">
        <f>IF('DM_NHAN_SU'!$B128="","",IF($AQ128&lt;=0,0,$AQ128*VLOOKUP($AQ128,'THAM_SO'!$F$10:$I$14,3,TRUE)-VLOOKUP($AQ128,'THAM_SO'!$F$10:$I$14,4,TRUE)))</f>
        <v/>
      </c>
      <c r="AS128" s="224">
        <f>IF('DM_NHAN_SU'!$B128="","",$AO128+$AP128)</f>
        <v/>
      </c>
      <c r="AT128" s="224">
        <f>IF('DM_NHAN_SU'!$B128="","",$AS128-$AJ128-$AR128)</f>
        <v/>
      </c>
      <c r="AU128" s="224">
        <f>IF('DM_NHAN_SU'!$B128="","",'CHAM_CONG_THANG'!X128)</f>
        <v/>
      </c>
      <c r="AV128" s="224">
        <f>IF('DM_NHAN_SU'!$B128="","",'CHAM_CONG_THANG'!Y128+'QT_NGHI_VIEC'!AD128)</f>
        <v/>
      </c>
      <c r="AW128" s="224">
        <f>IF('DM_NHAN_SU'!$B128="","",'CHAM_CONG_THANG'!Z128)</f>
        <v/>
      </c>
      <c r="AX128" s="224">
        <f>IF('DM_NHAN_SU'!$B128="","",$AT128-$AU128-$AV128-$AW128-$BV128)</f>
        <v/>
      </c>
      <c r="AY128" s="224">
        <f>IF('DM_NHAN_SU'!$B128="","",$AE128*'THAM_SO'!$M$11)</f>
        <v/>
      </c>
      <c r="AZ128" s="224">
        <f>IF('DM_NHAN_SU'!$B128="","",$AE128*'THAM_SO'!$M$12)</f>
        <v/>
      </c>
      <c r="BA128" s="224">
        <f>IF('DM_NHAN_SU'!$B128="","",$AF128*'THAM_SO'!$M$13)</f>
        <v/>
      </c>
      <c r="BB128" s="224">
        <f>IF('DM_NHAN_SU'!$B128="","",$AE128*'THAM_SO'!$M$14)</f>
        <v/>
      </c>
      <c r="BC128" s="224">
        <f>IF('DM_NHAN_SU'!$B128="","",SUM($AY128:$BB128))</f>
        <v/>
      </c>
      <c r="BD128" s="224">
        <f>IF('DM_NHAN_SU'!$B128="","",$AS128+$BC128)</f>
        <v/>
      </c>
      <c r="BE128" s="224">
        <f>IF('DM_NHAN_SU'!$B128="","",VLOOKUP($H128,'THAM_SO'!$L$17:$P$20,2,FALSE))</f>
        <v/>
      </c>
      <c r="BF128" s="224">
        <f>IF('DM_NHAN_SU'!$B128="","",VLOOKUP($H128,'THAM_SO'!$L$17:$P$20,3,FALSE))</f>
        <v/>
      </c>
      <c r="BG128" s="150">
        <f>IF('DM_NHAN_SU'!$B128="","",IF($B128="","",IF(COUNTIF('DM_NHAN_SU'!$B$6:$B$155,$B128)&gt;1,"Trùng mã NV; ","")&amp;IF(OR($F128="",$G128=""),"Thiếu loại/hình thức lương; ","")&amp;IF('CHAM_CONG_THANG'!$D128="","Chưa chọn nguồn công; ","")&amp;IF(AND('CHAM_CONG_THANG'!$D128="Theo ngày",COUNTIF('CHAM_CONG_NGAY'!$B$6:$B$4655,$B128)=0),"Chưa có chấm công ngày; ","")&amp;IF(OR($I128&lt;=0,$J128&lt;=0),"Thiếu công/giờ chuẩn; ","")&amp;IF(AND($G128="Tháng",'DM_NHAN_SU'!$K128&lt;$BE128),"Lương tháng dưới tối thiểu vùng; ","")&amp;IF(AND($G128="Ngày",'DM_NHAN_SU'!$K128/$J128&lt;$BF128),"Lương ngày quy đổi dưới tối thiểu giờ; ","")&amp;IF(AND($G128="Giờ",'DM_NHAN_SU'!$K128&lt;$BF128),"Lương giờ dưới tối thiểu vùng; ","")&amp;IF(AND($G128="Sản phẩm",$L128&gt;0,$O128/$L128&lt;$BF128),"Lương SP quy đổi dưới tối thiểu giờ; ","")&amp;IF(OR('THAM_SO'!$C$19&lt;'THAM_SO'!$B$19,'THAM_SO'!$C$20&lt;'THAM_SO'!$B$20,'THAM_SO'!$C$21&lt;'THAM_SO'!$B$21,'THAM_SO'!$C$22&lt;'THAM_SO'!$B$22,'THAM_SO'!$C$23&lt;'THAM_SO'!$B$23,'THAM_SO'!$C$24&lt;'THAM_SO'!$B$24,'THAM_SO'!$C$25&lt;'THAM_SO'!$B$25),"Hệ số OT/đêm DN thấp hơn luật; ","")&amp;IF(AND('DM_NHAN_SU'!$R128="Có",$AD128&lt;=0),"Thiếu căn cứ đóng BH; ","")&amp;IF(AND($AD128&gt;0,$AD128&lt;'THAM_SO'!$M$6),"Căn cứ BH dưới sàn – đã nâng sàn; ","")&amp;IF($AD128&gt;'THAM_SO'!$M$7,"Căn cứ BH vượt trần – đã giới hạn; ","")&amp;IF(AND($F128="Net",SUM('CHAM_CONG_THANG'!$AF128:$AK128)&gt;0,'DM_NHAN_SU'!$Q128&lt;=0),"Net có OT nhưng chưa khai lương giờ OT; ","")&amp;IF('CHAM_CONG_THANG'!$V128&gt;$Z128,"Phần OT không miễn lớn hơn tiền OT; ","")&amp;IF(AND($F128="Net",ABS($AT128-$AC128-$AP128)&gt;1),"Lệch quy đổi Net; ","")&amp;IF(AND($BH128&gt;0,'DM_NHAN_SU'!$AD128=""),"Có phép năm nhưng đang tạm dùng 12 ngày; ","")&amp;IF(AND($G128="Sản phẩm",SUM($BH128:$BJ128)&gt;0,'DM_NHAN_SU'!$AH128&lt;=0),"Lương sản phẩm thiếu đơn giá ngày phép/lễ; ","")&amp;IF(AND($BL128&gt;=14,'CHAM_CONG_THANG'!$AA128&lt;&gt;"Có"),"Thai sản từ 14 ngày: file tự dừng đóng BH – kiểm tra hồ sơ; ","")&amp;IF(AND('DM_NHAN_SU'!$AA128="Có",'DM_NHAN_SU'!$AB128=""),"Đoàn viên chưa chọn cách tính đoàn phí; ","")&amp;IF(AND('DM_NHAN_SU'!$AB128="Nhập tay",'DM_NHAN_SU'!$AC128&gt;'THAM_SO'!$M$26),"Đoàn phí nhập tay vượt trần thông dụng; ","")&amp;IF('NGHI_PHEP'!$L128&lt;&gt;"","Phép: "&amp;'NGHI_PHEP'!$L128,"")&amp;IF('CHE_DO_BHXH'!$AA128&lt;&gt;"","BHXH: "&amp;'CHE_DO_BHXH'!$AA128,"")&amp;IF('THUONG_T13_TET'!$O128&lt;&gt;"","Thưởng: "&amp;'THUONG_T13_TET'!$O128,"")&amp;IF('QT_NGHI_VIEC'!$AF128&lt;&gt;"","Nghỉ việc: "&amp;'QT_NGHI_VIEC'!$AF128,"")&amp;IF($AX128&lt;0,"Thực lĩnh âm; ","")&amp;IF(OR('DM_NHAN_SU'!$F128&gt;'THAM_SO'!$B$7,AND('DM_NHAN_SU'!$G128&lt;&gt;"",'DM_NHAN_SU'!$G128&lt;'THAM_SO'!$B$6)),"Ngoài kỳ trả lương; ","")))</f>
        <v/>
      </c>
      <c r="BH128" s="232">
        <f>IF('DM_NHAN_SU'!$B128="","",'CHAM_CONG_THANG'!AR128)</f>
        <v/>
      </c>
      <c r="BI128" s="232">
        <f>IF('DM_NHAN_SU'!$B128="","",'CHAM_CONG_THANG'!AS128)</f>
        <v/>
      </c>
      <c r="BJ128" s="232">
        <f>IF('DM_NHAN_SU'!$B128="","",'CHAM_CONG_THANG'!AT128)</f>
        <v/>
      </c>
      <c r="BK128" s="232">
        <f>IF('DM_NHAN_SU'!$B128="","",'CHAM_CONG_THANG'!AU128)</f>
        <v/>
      </c>
      <c r="BL128" s="232">
        <f>IF('DM_NHAN_SU'!$B128="","",'CHAM_CONG_THANG'!AV128)</f>
        <v/>
      </c>
      <c r="BM128" s="232">
        <f>IF('DM_NHAN_SU'!$B128="","",'CHAM_CONG_THANG'!AW128)</f>
        <v/>
      </c>
      <c r="BN128" s="232">
        <f>IF('DM_NHAN_SU'!$B128="","",SUM($K128,$BH128:$BJ128))</f>
        <v/>
      </c>
      <c r="BO128" s="224">
        <f>IF('DM_NHAN_SU'!$B128="","",IF($B128="",0,IF($G128="Tháng",IF($I128&gt;0,'DM_NHAN_SU'!$K128*MIN($BH128+$BJ128,MAX($I128-$K128,0))/$I128,0),IF($G128="Ngày",'DM_NHAN_SU'!$K128*SUM($BH128:$BJ128),IF($G128="Giờ",'DM_NHAN_SU'!$K128*SUM($BH128:$BJ128)*$J128,IF($G128="Sản phẩm",'DM_NHAN_SU'!$AH128*SUM($BH128:$BJ128),0))))))</f>
        <v/>
      </c>
      <c r="BP128" s="224">
        <f>IF('DM_NHAN_SU'!$B128="","",IF('THUONG_T13_TET'!$L128="Có",'THUONG_T13_TET'!$I128,0))</f>
        <v/>
      </c>
      <c r="BQ128" s="224">
        <f>IF('DM_NHAN_SU'!$B128="","",IF('THUONG_T13_TET'!$L128="Có",SUM('THUONG_T13_TET'!$J128:$K128),0))</f>
        <v/>
      </c>
      <c r="BR128" s="224">
        <f>IF('DM_NHAN_SU'!$B128="","",'QT_NGHI_VIEC'!AC128)</f>
        <v/>
      </c>
      <c r="BS128" s="224">
        <f>IF('DM_NHAN_SU'!$B128="","",'QT_NGHI_VIEC'!AB128)</f>
        <v/>
      </c>
      <c r="BT128" s="224">
        <f>IF('DM_NHAN_SU'!$B128="","",IF('CHE_DO_BHXH'!$Z128="Có",'CHE_DO_BHXH'!$W128,0))</f>
        <v/>
      </c>
      <c r="BU128" s="224">
        <f>IF('DM_NHAN_SU'!$B128="","",IF('CHE_DO_BHXH'!$Y128="DN trả thay",$BT128,0))</f>
        <v/>
      </c>
      <c r="BV128" s="224">
        <f>IF('DM_NHAN_SU'!$B128="","",IF(OR('DM_NHAN_SU'!$AA128&lt;&gt;"Có",'CHE_DO_BHXH'!$O128&gt;=1,SUM('CHE_DO_BHXH'!$D128,'CHE_DO_BHXH'!$G128,'CHE_DO_BHXH'!$K128)&gt;=24,AND($I128&gt;0,$BM128&gt;=$I128)),0,IF('DM_NHAN_SU'!$AB128="Không",0,IF('DM_NHAN_SU'!$AB128="Nhập tay",'DM_NHAN_SU'!$AC128,IF('DM_NHAN_SU'!$AB128="Theo thực nhận",MIN(MAX($AT128-$AU128-$AV128-$AW128,0)*'THAM_SO'!$M$23,'THAM_SO'!$M$26),MIN($AE128*'THAM_SO'!$M$23,'THAM_SO'!$M$26))))))</f>
        <v/>
      </c>
      <c r="BW128" s="224">
        <f>IF('DM_NHAN_SU'!$B128="","",$AX128+$BU128)</f>
        <v/>
      </c>
    </row>
    <row r="129">
      <c r="A129" s="145">
        <f>IF('DM_NHAN_SU'!$B129="","",IF($B129="","",ROW()-5))</f>
        <v/>
      </c>
      <c r="B129" s="145">
        <f>IF('DM_NHAN_SU'!$B129="","",'DM_NHAN_SU'!B129)</f>
        <v/>
      </c>
      <c r="C129" s="145">
        <f>IF('DM_NHAN_SU'!$B129="","",'DM_NHAN_SU'!C129)</f>
        <v/>
      </c>
      <c r="D129" s="145">
        <f>IF('DM_NHAN_SU'!$B129="","",'DM_NHAN_SU'!D129)</f>
        <v/>
      </c>
      <c r="E129" s="145">
        <f>IF('DM_NHAN_SU'!$B129="","",'DM_NHAN_SU'!E129)</f>
        <v/>
      </c>
      <c r="F129" s="145">
        <f>IF('DM_NHAN_SU'!$B129="","",'DM_NHAN_SU'!I129)</f>
        <v/>
      </c>
      <c r="G129" s="145">
        <f>IF('DM_NHAN_SU'!$B129="","",'DM_NHAN_SU'!J129)</f>
        <v/>
      </c>
      <c r="H129" s="145">
        <f>IF('DM_NHAN_SU'!$B129="","",IF('DM_NHAN_SU'!H129="",'THAM_SO'!$B$11,'DM_NHAN_SU'!H129))</f>
        <v/>
      </c>
      <c r="I129" s="232">
        <f>IF('DM_NHAN_SU'!$B129="","",IF('DM_NHAN_SU'!L129&gt;0,'DM_NHAN_SU'!L129,'THAM_SO'!$B$9))</f>
        <v/>
      </c>
      <c r="J129" s="232">
        <f>IF('DM_NHAN_SU'!$B129="","",IF('DM_NHAN_SU'!M129&gt;0,'DM_NHAN_SU'!M129,'THAM_SO'!$B$10))</f>
        <v/>
      </c>
      <c r="K129" s="232">
        <f>IF('DM_NHAN_SU'!$B129="","",'CHAM_CONG_THANG'!AC129)</f>
        <v/>
      </c>
      <c r="L129" s="232">
        <f>IF('DM_NHAN_SU'!$B129="","",'CHAM_CONG_THANG'!AD129)</f>
        <v/>
      </c>
      <c r="M129" s="232">
        <f>IF('DM_NHAN_SU'!$B129="","",'CHAM_CONG_THANG'!AE129)</f>
        <v/>
      </c>
      <c r="N129" s="232">
        <f>IF('DM_NHAN_SU'!$B129="","",'CHAM_CONG_THANG'!N129)</f>
        <v/>
      </c>
      <c r="O129" s="224">
        <f>IF('DM_NHAN_SU'!$B129="","",IF($B129="","",IF($G129="Tháng",IF($I129&gt;0,'DM_NHAN_SU'!$K129*MIN($K129,$I129)/$I129,0),IF($G129="Ngày",'DM_NHAN_SU'!$K129*$K129,IF($G129="Giờ",'DM_NHAN_SU'!$K129*$L129,IF($G129="Sản phẩm",'DM_NHAN_SU'!$K129*$N129,0))))))</f>
        <v/>
      </c>
      <c r="P129" s="224">
        <f>IF('DM_NHAN_SU'!$B129="","",'CHAM_CONG_THANG'!O129)</f>
        <v/>
      </c>
      <c r="Q129" s="224">
        <f>IF('DM_NHAN_SU'!$B129="","",'CHAM_CONG_THANG'!P129)</f>
        <v/>
      </c>
      <c r="R129" s="224">
        <f>IF('DM_NHAN_SU'!$B129="","",'CHAM_CONG_THANG'!Q129)</f>
        <v/>
      </c>
      <c r="S129" s="224">
        <f>IF('DM_NHAN_SU'!$B129="","",'CHAM_CONG_THANG'!R129)</f>
        <v/>
      </c>
      <c r="T129" s="224">
        <f>IF('DM_NHAN_SU'!$B129="","",'CHAM_CONG_THANG'!S129)</f>
        <v/>
      </c>
      <c r="U129" s="224">
        <f>IF('DM_NHAN_SU'!$B129="","",MIN($T129,'THAM_SO'!$F$6))</f>
        <v/>
      </c>
      <c r="V129" s="224">
        <f>IF('DM_NHAN_SU'!$B129="","",MAX($T129-$U129,0))</f>
        <v/>
      </c>
      <c r="W129" s="224">
        <f>IF('DM_NHAN_SU'!$B129="","",'CHAM_CONG_THANG'!T129)</f>
        <v/>
      </c>
      <c r="X129" s="224">
        <f>IF('DM_NHAN_SU'!$B129="","",'CHAM_CONG_THANG'!U129)</f>
        <v/>
      </c>
      <c r="Y129" s="224">
        <f>IF('DM_NHAN_SU'!$B129="","",IF($B129="",0,IF('DM_NHAN_SU'!$Q129&gt;0,'DM_NHAN_SU'!$Q129,IF($G129="Tháng",IF($I129*$J129&gt;0,'DM_NHAN_SU'!$K129/($I129*$J129),0),IF($G129="Ngày",IF($J129&gt;0,'DM_NHAN_SU'!$K129/$J129,0),IF($G129="Giờ",'DM_NHAN_SU'!$K129,0))))))</f>
        <v/>
      </c>
      <c r="Z129" s="224">
        <f>IF('DM_NHAN_SU'!$B129="","",$Y129*($M129*'THAM_SO'!$C$22+'CHAM_CONG_THANG'!$AF129*'THAM_SO'!$C$19+'CHAM_CONG_THANG'!$AG129*'THAM_SO'!$C$20+'CHAM_CONG_THANG'!$AH129*'THAM_SO'!$C$21+'CHAM_CONG_THANG'!$AI129*'THAM_SO'!$C$23+'CHAM_CONG_THANG'!$AJ129*'THAM_SO'!$C$24+'CHAM_CONG_THANG'!$AK129*'THAM_SO'!$C$25))</f>
        <v/>
      </c>
      <c r="AA129" s="224">
        <f>IF('DM_NHAN_SU'!$B129="","",MAX(0,$Y129*($M129*IF('THAM_SO'!$C$22&gt;='THAM_SO'!$B$22,'THAM_SO'!$B$22,0)+'CHAM_CONG_THANG'!$AF129*IF('THAM_SO'!$C$19&gt;='THAM_SO'!$B$19,'THAM_SO'!$B$19,0)+'CHAM_CONG_THANG'!$AG129*IF('THAM_SO'!$C$20&gt;='THAM_SO'!$B$20,'THAM_SO'!$B$20,0)+'CHAM_CONG_THANG'!$AH129*IF('THAM_SO'!$C$21&gt;='THAM_SO'!$B$21,'THAM_SO'!$B$21,0)+'CHAM_CONG_THANG'!$AI129*IF('THAM_SO'!$C$23&gt;='THAM_SO'!$B$23,'THAM_SO'!$B$23,0)+'CHAM_CONG_THANG'!$AJ129*IF('THAM_SO'!$C$24&gt;='THAM_SO'!$B$24,'THAM_SO'!$B$24,0)+'CHAM_CONG_THANG'!$AK129*IF('THAM_SO'!$C$25&gt;='THAM_SO'!$B$25,'THAM_SO'!$B$25,0))-'CHAM_CONG_THANG'!$V129))</f>
        <v/>
      </c>
      <c r="AB129" s="224">
        <f>IF('DM_NHAN_SU'!$B129="","",MAX($Z129-$AA129,0))</f>
        <v/>
      </c>
      <c r="AC129" s="224">
        <f>IF('DM_NHAN_SU'!$B129="","",$O129+$P129+$Q129+$R129+$S129+$V129+$AB129+$BO129+$BP129+$BQ129+$BR129)</f>
        <v/>
      </c>
      <c r="AD129" s="224">
        <f>IF('DM_NHAN_SU'!$B129="","",'DM_NHAN_SU'!N129+'DM_NHAN_SU'!O129+'DM_NHAN_SU'!P129)</f>
        <v/>
      </c>
      <c r="AE129" s="224">
        <f>IF('DM_NHAN_SU'!$B129="","",IF(OR('DM_NHAN_SU'!$R129&lt;&gt;"Có",'CHAM_CONG_THANG'!$AA129="Có",$BL129&gt;=14,$AD129&lt;=0),0,MIN(MAX($AD129,'THAM_SO'!$M$6),'THAM_SO'!$M$7)))</f>
        <v/>
      </c>
      <c r="AF129" s="224">
        <f>IF('DM_NHAN_SU'!$B129="","",IF(OR('DM_NHAN_SU'!$S129&lt;&gt;"Có",'CHAM_CONG_THANG'!$AA129="Có",$BL129&gt;=14,$AD129&lt;=0),0,MIN(MAX($AD129,VLOOKUP($H129,'THAM_SO'!$L$17:$P$20,4,FALSE)),VLOOKUP($H129,'THAM_SO'!$L$17:$P$20,5,FALSE))))</f>
        <v/>
      </c>
      <c r="AG129" s="224">
        <f>IF('DM_NHAN_SU'!$B129="","",$AE129*'THAM_SO'!$M$8)</f>
        <v/>
      </c>
      <c r="AH129" s="224">
        <f>IF('DM_NHAN_SU'!$B129="","",$AE129*'THAM_SO'!$M$9)</f>
        <v/>
      </c>
      <c r="AI129" s="224">
        <f>IF('DM_NHAN_SU'!$B129="","",$AF129*'THAM_SO'!$M$10)</f>
        <v/>
      </c>
      <c r="AJ129" s="224">
        <f>IF('DM_NHAN_SU'!$B129="","",SUM($AG129:$AI129))</f>
        <v/>
      </c>
      <c r="AK129" s="224">
        <f>IF('DM_NHAN_SU'!$B129="","",IF($B129="",0,'THAM_SO'!$F$4))</f>
        <v/>
      </c>
      <c r="AL129" s="224">
        <f>IF('DM_NHAN_SU'!$B129="","",IF($B129="",0,'DM_NHAN_SU'!$T129*'THAM_SO'!$F$5))</f>
        <v/>
      </c>
      <c r="AM129" s="224">
        <f>IF('DM_NHAN_SU'!$B129="","",'CHAM_CONG_THANG'!W129)</f>
        <v/>
      </c>
      <c r="AN129" s="224">
        <f>IF('DM_NHAN_SU'!$B129="","",MAX($AC129-$AK129-$AL129-$AM129,0))</f>
        <v/>
      </c>
      <c r="AO129" s="224">
        <f>IF('DM_NHAN_SU'!$B129="","",IF($B129="","",IF($F129="Net",IF($AC129&lt;=$AK129+$AL129+$AM129,$AC129+$AJ129,$AJ129+$AK129+$AL129+$AM129+IF($AN129&lt;='THAM_SO'!$J$10,($AN129-'THAM_SO'!$I$10)/(1-'THAM_SO'!$H$10),IF($AN129&lt;='THAM_SO'!$J$11,($AN129-'THAM_SO'!$I$11)/(1-'THAM_SO'!$H$11),IF($AN129&lt;='THAM_SO'!$J$12,($AN129-'THAM_SO'!$I$12)/(1-'THAM_SO'!$H$12),IF($AN129&lt;='THAM_SO'!$J$13,($AN129-'THAM_SO'!$I$13)/(1-'THAM_SO'!$H$13),($AN129-'THAM_SO'!$I$14)/(1-'THAM_SO'!$H$14)))))),$AC129)))</f>
        <v/>
      </c>
      <c r="AP129" s="224">
        <f>IF('DM_NHAN_SU'!$B129="","",$U129+$W129+$X129+$AA129+$BS129)</f>
        <v/>
      </c>
      <c r="AQ129" s="224">
        <f>IF('DM_NHAN_SU'!$B129="","",MAX($AO129-$AJ129-$AK129-$AL129-$AM129,0))</f>
        <v/>
      </c>
      <c r="AR129" s="224">
        <f>IF('DM_NHAN_SU'!$B129="","",IF($AQ129&lt;=0,0,$AQ129*VLOOKUP($AQ129,'THAM_SO'!$F$10:$I$14,3,TRUE)-VLOOKUP($AQ129,'THAM_SO'!$F$10:$I$14,4,TRUE)))</f>
        <v/>
      </c>
      <c r="AS129" s="224">
        <f>IF('DM_NHAN_SU'!$B129="","",$AO129+$AP129)</f>
        <v/>
      </c>
      <c r="AT129" s="224">
        <f>IF('DM_NHAN_SU'!$B129="","",$AS129-$AJ129-$AR129)</f>
        <v/>
      </c>
      <c r="AU129" s="224">
        <f>IF('DM_NHAN_SU'!$B129="","",'CHAM_CONG_THANG'!X129)</f>
        <v/>
      </c>
      <c r="AV129" s="224">
        <f>IF('DM_NHAN_SU'!$B129="","",'CHAM_CONG_THANG'!Y129+'QT_NGHI_VIEC'!AD129)</f>
        <v/>
      </c>
      <c r="AW129" s="224">
        <f>IF('DM_NHAN_SU'!$B129="","",'CHAM_CONG_THANG'!Z129)</f>
        <v/>
      </c>
      <c r="AX129" s="224">
        <f>IF('DM_NHAN_SU'!$B129="","",$AT129-$AU129-$AV129-$AW129-$BV129)</f>
        <v/>
      </c>
      <c r="AY129" s="224">
        <f>IF('DM_NHAN_SU'!$B129="","",$AE129*'THAM_SO'!$M$11)</f>
        <v/>
      </c>
      <c r="AZ129" s="224">
        <f>IF('DM_NHAN_SU'!$B129="","",$AE129*'THAM_SO'!$M$12)</f>
        <v/>
      </c>
      <c r="BA129" s="224">
        <f>IF('DM_NHAN_SU'!$B129="","",$AF129*'THAM_SO'!$M$13)</f>
        <v/>
      </c>
      <c r="BB129" s="224">
        <f>IF('DM_NHAN_SU'!$B129="","",$AE129*'THAM_SO'!$M$14)</f>
        <v/>
      </c>
      <c r="BC129" s="224">
        <f>IF('DM_NHAN_SU'!$B129="","",SUM($AY129:$BB129))</f>
        <v/>
      </c>
      <c r="BD129" s="224">
        <f>IF('DM_NHAN_SU'!$B129="","",$AS129+$BC129)</f>
        <v/>
      </c>
      <c r="BE129" s="224">
        <f>IF('DM_NHAN_SU'!$B129="","",VLOOKUP($H129,'THAM_SO'!$L$17:$P$20,2,FALSE))</f>
        <v/>
      </c>
      <c r="BF129" s="224">
        <f>IF('DM_NHAN_SU'!$B129="","",VLOOKUP($H129,'THAM_SO'!$L$17:$P$20,3,FALSE))</f>
        <v/>
      </c>
      <c r="BG129" s="150">
        <f>IF('DM_NHAN_SU'!$B129="","",IF($B129="","",IF(COUNTIF('DM_NHAN_SU'!$B$6:$B$155,$B129)&gt;1,"Trùng mã NV; ","")&amp;IF(OR($F129="",$G129=""),"Thiếu loại/hình thức lương; ","")&amp;IF('CHAM_CONG_THANG'!$D129="","Chưa chọn nguồn công; ","")&amp;IF(AND('CHAM_CONG_THANG'!$D129="Theo ngày",COUNTIF('CHAM_CONG_NGAY'!$B$6:$B$4655,$B129)=0),"Chưa có chấm công ngày; ","")&amp;IF(OR($I129&lt;=0,$J129&lt;=0),"Thiếu công/giờ chuẩn; ","")&amp;IF(AND($G129="Tháng",'DM_NHAN_SU'!$K129&lt;$BE129),"Lương tháng dưới tối thiểu vùng; ","")&amp;IF(AND($G129="Ngày",'DM_NHAN_SU'!$K129/$J129&lt;$BF129),"Lương ngày quy đổi dưới tối thiểu giờ; ","")&amp;IF(AND($G129="Giờ",'DM_NHAN_SU'!$K129&lt;$BF129),"Lương giờ dưới tối thiểu vùng; ","")&amp;IF(AND($G129="Sản phẩm",$L129&gt;0,$O129/$L129&lt;$BF129),"Lương SP quy đổi dưới tối thiểu giờ; ","")&amp;IF(OR('THAM_SO'!$C$19&lt;'THAM_SO'!$B$19,'THAM_SO'!$C$20&lt;'THAM_SO'!$B$20,'THAM_SO'!$C$21&lt;'THAM_SO'!$B$21,'THAM_SO'!$C$22&lt;'THAM_SO'!$B$22,'THAM_SO'!$C$23&lt;'THAM_SO'!$B$23,'THAM_SO'!$C$24&lt;'THAM_SO'!$B$24,'THAM_SO'!$C$25&lt;'THAM_SO'!$B$25),"Hệ số OT/đêm DN thấp hơn luật; ","")&amp;IF(AND('DM_NHAN_SU'!$R129="Có",$AD129&lt;=0),"Thiếu căn cứ đóng BH; ","")&amp;IF(AND($AD129&gt;0,$AD129&lt;'THAM_SO'!$M$6),"Căn cứ BH dưới sàn – đã nâng sàn; ","")&amp;IF($AD129&gt;'THAM_SO'!$M$7,"Căn cứ BH vượt trần – đã giới hạn; ","")&amp;IF(AND($F129="Net",SUM('CHAM_CONG_THANG'!$AF129:$AK129)&gt;0,'DM_NHAN_SU'!$Q129&lt;=0),"Net có OT nhưng chưa khai lương giờ OT; ","")&amp;IF('CHAM_CONG_THANG'!$V129&gt;$Z129,"Phần OT không miễn lớn hơn tiền OT; ","")&amp;IF(AND($F129="Net",ABS($AT129-$AC129-$AP129)&gt;1),"Lệch quy đổi Net; ","")&amp;IF(AND($BH129&gt;0,'DM_NHAN_SU'!$AD129=""),"Có phép năm nhưng đang tạm dùng 12 ngày; ","")&amp;IF(AND($G129="Sản phẩm",SUM($BH129:$BJ129)&gt;0,'DM_NHAN_SU'!$AH129&lt;=0),"Lương sản phẩm thiếu đơn giá ngày phép/lễ; ","")&amp;IF(AND($BL129&gt;=14,'CHAM_CONG_THANG'!$AA129&lt;&gt;"Có"),"Thai sản từ 14 ngày: file tự dừng đóng BH – kiểm tra hồ sơ; ","")&amp;IF(AND('DM_NHAN_SU'!$AA129="Có",'DM_NHAN_SU'!$AB129=""),"Đoàn viên chưa chọn cách tính đoàn phí; ","")&amp;IF(AND('DM_NHAN_SU'!$AB129="Nhập tay",'DM_NHAN_SU'!$AC129&gt;'THAM_SO'!$M$26),"Đoàn phí nhập tay vượt trần thông dụng; ","")&amp;IF('NGHI_PHEP'!$L129&lt;&gt;"","Phép: "&amp;'NGHI_PHEP'!$L129,"")&amp;IF('CHE_DO_BHXH'!$AA129&lt;&gt;"","BHXH: "&amp;'CHE_DO_BHXH'!$AA129,"")&amp;IF('THUONG_T13_TET'!$O129&lt;&gt;"","Thưởng: "&amp;'THUONG_T13_TET'!$O129,"")&amp;IF('QT_NGHI_VIEC'!$AF129&lt;&gt;"","Nghỉ việc: "&amp;'QT_NGHI_VIEC'!$AF129,"")&amp;IF($AX129&lt;0,"Thực lĩnh âm; ","")&amp;IF(OR('DM_NHAN_SU'!$F129&gt;'THAM_SO'!$B$7,AND('DM_NHAN_SU'!$G129&lt;&gt;"",'DM_NHAN_SU'!$G129&lt;'THAM_SO'!$B$6)),"Ngoài kỳ trả lương; ","")))</f>
        <v/>
      </c>
      <c r="BH129" s="232">
        <f>IF('DM_NHAN_SU'!$B129="","",'CHAM_CONG_THANG'!AR129)</f>
        <v/>
      </c>
      <c r="BI129" s="232">
        <f>IF('DM_NHAN_SU'!$B129="","",'CHAM_CONG_THANG'!AS129)</f>
        <v/>
      </c>
      <c r="BJ129" s="232">
        <f>IF('DM_NHAN_SU'!$B129="","",'CHAM_CONG_THANG'!AT129)</f>
        <v/>
      </c>
      <c r="BK129" s="232">
        <f>IF('DM_NHAN_SU'!$B129="","",'CHAM_CONG_THANG'!AU129)</f>
        <v/>
      </c>
      <c r="BL129" s="232">
        <f>IF('DM_NHAN_SU'!$B129="","",'CHAM_CONG_THANG'!AV129)</f>
        <v/>
      </c>
      <c r="BM129" s="232">
        <f>IF('DM_NHAN_SU'!$B129="","",'CHAM_CONG_THANG'!AW129)</f>
        <v/>
      </c>
      <c r="BN129" s="232">
        <f>IF('DM_NHAN_SU'!$B129="","",SUM($K129,$BH129:$BJ129))</f>
        <v/>
      </c>
      <c r="BO129" s="224">
        <f>IF('DM_NHAN_SU'!$B129="","",IF($B129="",0,IF($G129="Tháng",IF($I129&gt;0,'DM_NHAN_SU'!$K129*MIN($BH129+$BJ129,MAX($I129-$K129,0))/$I129,0),IF($G129="Ngày",'DM_NHAN_SU'!$K129*SUM($BH129:$BJ129),IF($G129="Giờ",'DM_NHAN_SU'!$K129*SUM($BH129:$BJ129)*$J129,IF($G129="Sản phẩm",'DM_NHAN_SU'!$AH129*SUM($BH129:$BJ129),0))))))</f>
        <v/>
      </c>
      <c r="BP129" s="224">
        <f>IF('DM_NHAN_SU'!$B129="","",IF('THUONG_T13_TET'!$L129="Có",'THUONG_T13_TET'!$I129,0))</f>
        <v/>
      </c>
      <c r="BQ129" s="224">
        <f>IF('DM_NHAN_SU'!$B129="","",IF('THUONG_T13_TET'!$L129="Có",SUM('THUONG_T13_TET'!$J129:$K129),0))</f>
        <v/>
      </c>
      <c r="BR129" s="224">
        <f>IF('DM_NHAN_SU'!$B129="","",'QT_NGHI_VIEC'!AC129)</f>
        <v/>
      </c>
      <c r="BS129" s="224">
        <f>IF('DM_NHAN_SU'!$B129="","",'QT_NGHI_VIEC'!AB129)</f>
        <v/>
      </c>
      <c r="BT129" s="224">
        <f>IF('DM_NHAN_SU'!$B129="","",IF('CHE_DO_BHXH'!$Z129="Có",'CHE_DO_BHXH'!$W129,0))</f>
        <v/>
      </c>
      <c r="BU129" s="224">
        <f>IF('DM_NHAN_SU'!$B129="","",IF('CHE_DO_BHXH'!$Y129="DN trả thay",$BT129,0))</f>
        <v/>
      </c>
      <c r="BV129" s="224">
        <f>IF('DM_NHAN_SU'!$B129="","",IF(OR('DM_NHAN_SU'!$AA129&lt;&gt;"Có",'CHE_DO_BHXH'!$O129&gt;=1,SUM('CHE_DO_BHXH'!$D129,'CHE_DO_BHXH'!$G129,'CHE_DO_BHXH'!$K129)&gt;=24,AND($I129&gt;0,$BM129&gt;=$I129)),0,IF('DM_NHAN_SU'!$AB129="Không",0,IF('DM_NHAN_SU'!$AB129="Nhập tay",'DM_NHAN_SU'!$AC129,IF('DM_NHAN_SU'!$AB129="Theo thực nhận",MIN(MAX($AT129-$AU129-$AV129-$AW129,0)*'THAM_SO'!$M$23,'THAM_SO'!$M$26),MIN($AE129*'THAM_SO'!$M$23,'THAM_SO'!$M$26))))))</f>
        <v/>
      </c>
      <c r="BW129" s="224">
        <f>IF('DM_NHAN_SU'!$B129="","",$AX129+$BU129)</f>
        <v/>
      </c>
    </row>
    <row r="130">
      <c r="A130" s="145">
        <f>IF('DM_NHAN_SU'!$B130="","",IF($B130="","",ROW()-5))</f>
        <v/>
      </c>
      <c r="B130" s="145">
        <f>IF('DM_NHAN_SU'!$B130="","",'DM_NHAN_SU'!B130)</f>
        <v/>
      </c>
      <c r="C130" s="145">
        <f>IF('DM_NHAN_SU'!$B130="","",'DM_NHAN_SU'!C130)</f>
        <v/>
      </c>
      <c r="D130" s="145">
        <f>IF('DM_NHAN_SU'!$B130="","",'DM_NHAN_SU'!D130)</f>
        <v/>
      </c>
      <c r="E130" s="145">
        <f>IF('DM_NHAN_SU'!$B130="","",'DM_NHAN_SU'!E130)</f>
        <v/>
      </c>
      <c r="F130" s="145">
        <f>IF('DM_NHAN_SU'!$B130="","",'DM_NHAN_SU'!I130)</f>
        <v/>
      </c>
      <c r="G130" s="145">
        <f>IF('DM_NHAN_SU'!$B130="","",'DM_NHAN_SU'!J130)</f>
        <v/>
      </c>
      <c r="H130" s="145">
        <f>IF('DM_NHAN_SU'!$B130="","",IF('DM_NHAN_SU'!H130="",'THAM_SO'!$B$11,'DM_NHAN_SU'!H130))</f>
        <v/>
      </c>
      <c r="I130" s="232">
        <f>IF('DM_NHAN_SU'!$B130="","",IF('DM_NHAN_SU'!L130&gt;0,'DM_NHAN_SU'!L130,'THAM_SO'!$B$9))</f>
        <v/>
      </c>
      <c r="J130" s="232">
        <f>IF('DM_NHAN_SU'!$B130="","",IF('DM_NHAN_SU'!M130&gt;0,'DM_NHAN_SU'!M130,'THAM_SO'!$B$10))</f>
        <v/>
      </c>
      <c r="K130" s="232">
        <f>IF('DM_NHAN_SU'!$B130="","",'CHAM_CONG_THANG'!AC130)</f>
        <v/>
      </c>
      <c r="L130" s="232">
        <f>IF('DM_NHAN_SU'!$B130="","",'CHAM_CONG_THANG'!AD130)</f>
        <v/>
      </c>
      <c r="M130" s="232">
        <f>IF('DM_NHAN_SU'!$B130="","",'CHAM_CONG_THANG'!AE130)</f>
        <v/>
      </c>
      <c r="N130" s="232">
        <f>IF('DM_NHAN_SU'!$B130="","",'CHAM_CONG_THANG'!N130)</f>
        <v/>
      </c>
      <c r="O130" s="224">
        <f>IF('DM_NHAN_SU'!$B130="","",IF($B130="","",IF($G130="Tháng",IF($I130&gt;0,'DM_NHAN_SU'!$K130*MIN($K130,$I130)/$I130,0),IF($G130="Ngày",'DM_NHAN_SU'!$K130*$K130,IF($G130="Giờ",'DM_NHAN_SU'!$K130*$L130,IF($G130="Sản phẩm",'DM_NHAN_SU'!$K130*$N130,0))))))</f>
        <v/>
      </c>
      <c r="P130" s="224">
        <f>IF('DM_NHAN_SU'!$B130="","",'CHAM_CONG_THANG'!O130)</f>
        <v/>
      </c>
      <c r="Q130" s="224">
        <f>IF('DM_NHAN_SU'!$B130="","",'CHAM_CONG_THANG'!P130)</f>
        <v/>
      </c>
      <c r="R130" s="224">
        <f>IF('DM_NHAN_SU'!$B130="","",'CHAM_CONG_THANG'!Q130)</f>
        <v/>
      </c>
      <c r="S130" s="224">
        <f>IF('DM_NHAN_SU'!$B130="","",'CHAM_CONG_THANG'!R130)</f>
        <v/>
      </c>
      <c r="T130" s="224">
        <f>IF('DM_NHAN_SU'!$B130="","",'CHAM_CONG_THANG'!S130)</f>
        <v/>
      </c>
      <c r="U130" s="224">
        <f>IF('DM_NHAN_SU'!$B130="","",MIN($T130,'THAM_SO'!$F$6))</f>
        <v/>
      </c>
      <c r="V130" s="224">
        <f>IF('DM_NHAN_SU'!$B130="","",MAX($T130-$U130,0))</f>
        <v/>
      </c>
      <c r="W130" s="224">
        <f>IF('DM_NHAN_SU'!$B130="","",'CHAM_CONG_THANG'!T130)</f>
        <v/>
      </c>
      <c r="X130" s="224">
        <f>IF('DM_NHAN_SU'!$B130="","",'CHAM_CONG_THANG'!U130)</f>
        <v/>
      </c>
      <c r="Y130" s="224">
        <f>IF('DM_NHAN_SU'!$B130="","",IF($B130="",0,IF('DM_NHAN_SU'!$Q130&gt;0,'DM_NHAN_SU'!$Q130,IF($G130="Tháng",IF($I130*$J130&gt;0,'DM_NHAN_SU'!$K130/($I130*$J130),0),IF($G130="Ngày",IF($J130&gt;0,'DM_NHAN_SU'!$K130/$J130,0),IF($G130="Giờ",'DM_NHAN_SU'!$K130,0))))))</f>
        <v/>
      </c>
      <c r="Z130" s="224">
        <f>IF('DM_NHAN_SU'!$B130="","",$Y130*($M130*'THAM_SO'!$C$22+'CHAM_CONG_THANG'!$AF130*'THAM_SO'!$C$19+'CHAM_CONG_THANG'!$AG130*'THAM_SO'!$C$20+'CHAM_CONG_THANG'!$AH130*'THAM_SO'!$C$21+'CHAM_CONG_THANG'!$AI130*'THAM_SO'!$C$23+'CHAM_CONG_THANG'!$AJ130*'THAM_SO'!$C$24+'CHAM_CONG_THANG'!$AK130*'THAM_SO'!$C$25))</f>
        <v/>
      </c>
      <c r="AA130" s="224">
        <f>IF('DM_NHAN_SU'!$B130="","",MAX(0,$Y130*($M130*IF('THAM_SO'!$C$22&gt;='THAM_SO'!$B$22,'THAM_SO'!$B$22,0)+'CHAM_CONG_THANG'!$AF130*IF('THAM_SO'!$C$19&gt;='THAM_SO'!$B$19,'THAM_SO'!$B$19,0)+'CHAM_CONG_THANG'!$AG130*IF('THAM_SO'!$C$20&gt;='THAM_SO'!$B$20,'THAM_SO'!$B$20,0)+'CHAM_CONG_THANG'!$AH130*IF('THAM_SO'!$C$21&gt;='THAM_SO'!$B$21,'THAM_SO'!$B$21,0)+'CHAM_CONG_THANG'!$AI130*IF('THAM_SO'!$C$23&gt;='THAM_SO'!$B$23,'THAM_SO'!$B$23,0)+'CHAM_CONG_THANG'!$AJ130*IF('THAM_SO'!$C$24&gt;='THAM_SO'!$B$24,'THAM_SO'!$B$24,0)+'CHAM_CONG_THANG'!$AK130*IF('THAM_SO'!$C$25&gt;='THAM_SO'!$B$25,'THAM_SO'!$B$25,0))-'CHAM_CONG_THANG'!$V130))</f>
        <v/>
      </c>
      <c r="AB130" s="224">
        <f>IF('DM_NHAN_SU'!$B130="","",MAX($Z130-$AA130,0))</f>
        <v/>
      </c>
      <c r="AC130" s="224">
        <f>IF('DM_NHAN_SU'!$B130="","",$O130+$P130+$Q130+$R130+$S130+$V130+$AB130+$BO130+$BP130+$BQ130+$BR130)</f>
        <v/>
      </c>
      <c r="AD130" s="224">
        <f>IF('DM_NHAN_SU'!$B130="","",'DM_NHAN_SU'!N130+'DM_NHAN_SU'!O130+'DM_NHAN_SU'!P130)</f>
        <v/>
      </c>
      <c r="AE130" s="224">
        <f>IF('DM_NHAN_SU'!$B130="","",IF(OR('DM_NHAN_SU'!$R130&lt;&gt;"Có",'CHAM_CONG_THANG'!$AA130="Có",$BL130&gt;=14,$AD130&lt;=0),0,MIN(MAX($AD130,'THAM_SO'!$M$6),'THAM_SO'!$M$7)))</f>
        <v/>
      </c>
      <c r="AF130" s="224">
        <f>IF('DM_NHAN_SU'!$B130="","",IF(OR('DM_NHAN_SU'!$S130&lt;&gt;"Có",'CHAM_CONG_THANG'!$AA130="Có",$BL130&gt;=14,$AD130&lt;=0),0,MIN(MAX($AD130,VLOOKUP($H130,'THAM_SO'!$L$17:$P$20,4,FALSE)),VLOOKUP($H130,'THAM_SO'!$L$17:$P$20,5,FALSE))))</f>
        <v/>
      </c>
      <c r="AG130" s="224">
        <f>IF('DM_NHAN_SU'!$B130="","",$AE130*'THAM_SO'!$M$8)</f>
        <v/>
      </c>
      <c r="AH130" s="224">
        <f>IF('DM_NHAN_SU'!$B130="","",$AE130*'THAM_SO'!$M$9)</f>
        <v/>
      </c>
      <c r="AI130" s="224">
        <f>IF('DM_NHAN_SU'!$B130="","",$AF130*'THAM_SO'!$M$10)</f>
        <v/>
      </c>
      <c r="AJ130" s="224">
        <f>IF('DM_NHAN_SU'!$B130="","",SUM($AG130:$AI130))</f>
        <v/>
      </c>
      <c r="AK130" s="224">
        <f>IF('DM_NHAN_SU'!$B130="","",IF($B130="",0,'THAM_SO'!$F$4))</f>
        <v/>
      </c>
      <c r="AL130" s="224">
        <f>IF('DM_NHAN_SU'!$B130="","",IF($B130="",0,'DM_NHAN_SU'!$T130*'THAM_SO'!$F$5))</f>
        <v/>
      </c>
      <c r="AM130" s="224">
        <f>IF('DM_NHAN_SU'!$B130="","",'CHAM_CONG_THANG'!W130)</f>
        <v/>
      </c>
      <c r="AN130" s="224">
        <f>IF('DM_NHAN_SU'!$B130="","",MAX($AC130-$AK130-$AL130-$AM130,0))</f>
        <v/>
      </c>
      <c r="AO130" s="224">
        <f>IF('DM_NHAN_SU'!$B130="","",IF($B130="","",IF($F130="Net",IF($AC130&lt;=$AK130+$AL130+$AM130,$AC130+$AJ130,$AJ130+$AK130+$AL130+$AM130+IF($AN130&lt;='THAM_SO'!$J$10,($AN130-'THAM_SO'!$I$10)/(1-'THAM_SO'!$H$10),IF($AN130&lt;='THAM_SO'!$J$11,($AN130-'THAM_SO'!$I$11)/(1-'THAM_SO'!$H$11),IF($AN130&lt;='THAM_SO'!$J$12,($AN130-'THAM_SO'!$I$12)/(1-'THAM_SO'!$H$12),IF($AN130&lt;='THAM_SO'!$J$13,($AN130-'THAM_SO'!$I$13)/(1-'THAM_SO'!$H$13),($AN130-'THAM_SO'!$I$14)/(1-'THAM_SO'!$H$14)))))),$AC130)))</f>
        <v/>
      </c>
      <c r="AP130" s="224">
        <f>IF('DM_NHAN_SU'!$B130="","",$U130+$W130+$X130+$AA130+$BS130)</f>
        <v/>
      </c>
      <c r="AQ130" s="224">
        <f>IF('DM_NHAN_SU'!$B130="","",MAX($AO130-$AJ130-$AK130-$AL130-$AM130,0))</f>
        <v/>
      </c>
      <c r="AR130" s="224">
        <f>IF('DM_NHAN_SU'!$B130="","",IF($AQ130&lt;=0,0,$AQ130*VLOOKUP($AQ130,'THAM_SO'!$F$10:$I$14,3,TRUE)-VLOOKUP($AQ130,'THAM_SO'!$F$10:$I$14,4,TRUE)))</f>
        <v/>
      </c>
      <c r="AS130" s="224">
        <f>IF('DM_NHAN_SU'!$B130="","",$AO130+$AP130)</f>
        <v/>
      </c>
      <c r="AT130" s="224">
        <f>IF('DM_NHAN_SU'!$B130="","",$AS130-$AJ130-$AR130)</f>
        <v/>
      </c>
      <c r="AU130" s="224">
        <f>IF('DM_NHAN_SU'!$B130="","",'CHAM_CONG_THANG'!X130)</f>
        <v/>
      </c>
      <c r="AV130" s="224">
        <f>IF('DM_NHAN_SU'!$B130="","",'CHAM_CONG_THANG'!Y130+'QT_NGHI_VIEC'!AD130)</f>
        <v/>
      </c>
      <c r="AW130" s="224">
        <f>IF('DM_NHAN_SU'!$B130="","",'CHAM_CONG_THANG'!Z130)</f>
        <v/>
      </c>
      <c r="AX130" s="224">
        <f>IF('DM_NHAN_SU'!$B130="","",$AT130-$AU130-$AV130-$AW130-$BV130)</f>
        <v/>
      </c>
      <c r="AY130" s="224">
        <f>IF('DM_NHAN_SU'!$B130="","",$AE130*'THAM_SO'!$M$11)</f>
        <v/>
      </c>
      <c r="AZ130" s="224">
        <f>IF('DM_NHAN_SU'!$B130="","",$AE130*'THAM_SO'!$M$12)</f>
        <v/>
      </c>
      <c r="BA130" s="224">
        <f>IF('DM_NHAN_SU'!$B130="","",$AF130*'THAM_SO'!$M$13)</f>
        <v/>
      </c>
      <c r="BB130" s="224">
        <f>IF('DM_NHAN_SU'!$B130="","",$AE130*'THAM_SO'!$M$14)</f>
        <v/>
      </c>
      <c r="BC130" s="224">
        <f>IF('DM_NHAN_SU'!$B130="","",SUM($AY130:$BB130))</f>
        <v/>
      </c>
      <c r="BD130" s="224">
        <f>IF('DM_NHAN_SU'!$B130="","",$AS130+$BC130)</f>
        <v/>
      </c>
      <c r="BE130" s="224">
        <f>IF('DM_NHAN_SU'!$B130="","",VLOOKUP($H130,'THAM_SO'!$L$17:$P$20,2,FALSE))</f>
        <v/>
      </c>
      <c r="BF130" s="224">
        <f>IF('DM_NHAN_SU'!$B130="","",VLOOKUP($H130,'THAM_SO'!$L$17:$P$20,3,FALSE))</f>
        <v/>
      </c>
      <c r="BG130" s="150">
        <f>IF('DM_NHAN_SU'!$B130="","",IF($B130="","",IF(COUNTIF('DM_NHAN_SU'!$B$6:$B$155,$B130)&gt;1,"Trùng mã NV; ","")&amp;IF(OR($F130="",$G130=""),"Thiếu loại/hình thức lương; ","")&amp;IF('CHAM_CONG_THANG'!$D130="","Chưa chọn nguồn công; ","")&amp;IF(AND('CHAM_CONG_THANG'!$D130="Theo ngày",COUNTIF('CHAM_CONG_NGAY'!$B$6:$B$4655,$B130)=0),"Chưa có chấm công ngày; ","")&amp;IF(OR($I130&lt;=0,$J130&lt;=0),"Thiếu công/giờ chuẩn; ","")&amp;IF(AND($G130="Tháng",'DM_NHAN_SU'!$K130&lt;$BE130),"Lương tháng dưới tối thiểu vùng; ","")&amp;IF(AND($G130="Ngày",'DM_NHAN_SU'!$K130/$J130&lt;$BF130),"Lương ngày quy đổi dưới tối thiểu giờ; ","")&amp;IF(AND($G130="Giờ",'DM_NHAN_SU'!$K130&lt;$BF130),"Lương giờ dưới tối thiểu vùng; ","")&amp;IF(AND($G130="Sản phẩm",$L130&gt;0,$O130/$L130&lt;$BF130),"Lương SP quy đổi dưới tối thiểu giờ; ","")&amp;IF(OR('THAM_SO'!$C$19&lt;'THAM_SO'!$B$19,'THAM_SO'!$C$20&lt;'THAM_SO'!$B$20,'THAM_SO'!$C$21&lt;'THAM_SO'!$B$21,'THAM_SO'!$C$22&lt;'THAM_SO'!$B$22,'THAM_SO'!$C$23&lt;'THAM_SO'!$B$23,'THAM_SO'!$C$24&lt;'THAM_SO'!$B$24,'THAM_SO'!$C$25&lt;'THAM_SO'!$B$25),"Hệ số OT/đêm DN thấp hơn luật; ","")&amp;IF(AND('DM_NHAN_SU'!$R130="Có",$AD130&lt;=0),"Thiếu căn cứ đóng BH; ","")&amp;IF(AND($AD130&gt;0,$AD130&lt;'THAM_SO'!$M$6),"Căn cứ BH dưới sàn – đã nâng sàn; ","")&amp;IF($AD130&gt;'THAM_SO'!$M$7,"Căn cứ BH vượt trần – đã giới hạn; ","")&amp;IF(AND($F130="Net",SUM('CHAM_CONG_THANG'!$AF130:$AK130)&gt;0,'DM_NHAN_SU'!$Q130&lt;=0),"Net có OT nhưng chưa khai lương giờ OT; ","")&amp;IF('CHAM_CONG_THANG'!$V130&gt;$Z130,"Phần OT không miễn lớn hơn tiền OT; ","")&amp;IF(AND($F130="Net",ABS($AT130-$AC130-$AP130)&gt;1),"Lệch quy đổi Net; ","")&amp;IF(AND($BH130&gt;0,'DM_NHAN_SU'!$AD130=""),"Có phép năm nhưng đang tạm dùng 12 ngày; ","")&amp;IF(AND($G130="Sản phẩm",SUM($BH130:$BJ130)&gt;0,'DM_NHAN_SU'!$AH130&lt;=0),"Lương sản phẩm thiếu đơn giá ngày phép/lễ; ","")&amp;IF(AND($BL130&gt;=14,'CHAM_CONG_THANG'!$AA130&lt;&gt;"Có"),"Thai sản từ 14 ngày: file tự dừng đóng BH – kiểm tra hồ sơ; ","")&amp;IF(AND('DM_NHAN_SU'!$AA130="Có",'DM_NHAN_SU'!$AB130=""),"Đoàn viên chưa chọn cách tính đoàn phí; ","")&amp;IF(AND('DM_NHAN_SU'!$AB130="Nhập tay",'DM_NHAN_SU'!$AC130&gt;'THAM_SO'!$M$26),"Đoàn phí nhập tay vượt trần thông dụng; ","")&amp;IF('NGHI_PHEP'!$L130&lt;&gt;"","Phép: "&amp;'NGHI_PHEP'!$L130,"")&amp;IF('CHE_DO_BHXH'!$AA130&lt;&gt;"","BHXH: "&amp;'CHE_DO_BHXH'!$AA130,"")&amp;IF('THUONG_T13_TET'!$O130&lt;&gt;"","Thưởng: "&amp;'THUONG_T13_TET'!$O130,"")&amp;IF('QT_NGHI_VIEC'!$AF130&lt;&gt;"","Nghỉ việc: "&amp;'QT_NGHI_VIEC'!$AF130,"")&amp;IF($AX130&lt;0,"Thực lĩnh âm; ","")&amp;IF(OR('DM_NHAN_SU'!$F130&gt;'THAM_SO'!$B$7,AND('DM_NHAN_SU'!$G130&lt;&gt;"",'DM_NHAN_SU'!$G130&lt;'THAM_SO'!$B$6)),"Ngoài kỳ trả lương; ","")))</f>
        <v/>
      </c>
      <c r="BH130" s="232">
        <f>IF('DM_NHAN_SU'!$B130="","",'CHAM_CONG_THANG'!AR130)</f>
        <v/>
      </c>
      <c r="BI130" s="232">
        <f>IF('DM_NHAN_SU'!$B130="","",'CHAM_CONG_THANG'!AS130)</f>
        <v/>
      </c>
      <c r="BJ130" s="232">
        <f>IF('DM_NHAN_SU'!$B130="","",'CHAM_CONG_THANG'!AT130)</f>
        <v/>
      </c>
      <c r="BK130" s="232">
        <f>IF('DM_NHAN_SU'!$B130="","",'CHAM_CONG_THANG'!AU130)</f>
        <v/>
      </c>
      <c r="BL130" s="232">
        <f>IF('DM_NHAN_SU'!$B130="","",'CHAM_CONG_THANG'!AV130)</f>
        <v/>
      </c>
      <c r="BM130" s="232">
        <f>IF('DM_NHAN_SU'!$B130="","",'CHAM_CONG_THANG'!AW130)</f>
        <v/>
      </c>
      <c r="BN130" s="232">
        <f>IF('DM_NHAN_SU'!$B130="","",SUM($K130,$BH130:$BJ130))</f>
        <v/>
      </c>
      <c r="BO130" s="224">
        <f>IF('DM_NHAN_SU'!$B130="","",IF($B130="",0,IF($G130="Tháng",IF($I130&gt;0,'DM_NHAN_SU'!$K130*MIN($BH130+$BJ130,MAX($I130-$K130,0))/$I130,0),IF($G130="Ngày",'DM_NHAN_SU'!$K130*SUM($BH130:$BJ130),IF($G130="Giờ",'DM_NHAN_SU'!$K130*SUM($BH130:$BJ130)*$J130,IF($G130="Sản phẩm",'DM_NHAN_SU'!$AH130*SUM($BH130:$BJ130),0))))))</f>
        <v/>
      </c>
      <c r="BP130" s="224">
        <f>IF('DM_NHAN_SU'!$B130="","",IF('THUONG_T13_TET'!$L130="Có",'THUONG_T13_TET'!$I130,0))</f>
        <v/>
      </c>
      <c r="BQ130" s="224">
        <f>IF('DM_NHAN_SU'!$B130="","",IF('THUONG_T13_TET'!$L130="Có",SUM('THUONG_T13_TET'!$J130:$K130),0))</f>
        <v/>
      </c>
      <c r="BR130" s="224">
        <f>IF('DM_NHAN_SU'!$B130="","",'QT_NGHI_VIEC'!AC130)</f>
        <v/>
      </c>
      <c r="BS130" s="224">
        <f>IF('DM_NHAN_SU'!$B130="","",'QT_NGHI_VIEC'!AB130)</f>
        <v/>
      </c>
      <c r="BT130" s="224">
        <f>IF('DM_NHAN_SU'!$B130="","",IF('CHE_DO_BHXH'!$Z130="Có",'CHE_DO_BHXH'!$W130,0))</f>
        <v/>
      </c>
      <c r="BU130" s="224">
        <f>IF('DM_NHAN_SU'!$B130="","",IF('CHE_DO_BHXH'!$Y130="DN trả thay",$BT130,0))</f>
        <v/>
      </c>
      <c r="BV130" s="224">
        <f>IF('DM_NHAN_SU'!$B130="","",IF(OR('DM_NHAN_SU'!$AA130&lt;&gt;"Có",'CHE_DO_BHXH'!$O130&gt;=1,SUM('CHE_DO_BHXH'!$D130,'CHE_DO_BHXH'!$G130,'CHE_DO_BHXH'!$K130)&gt;=24,AND($I130&gt;0,$BM130&gt;=$I130)),0,IF('DM_NHAN_SU'!$AB130="Không",0,IF('DM_NHAN_SU'!$AB130="Nhập tay",'DM_NHAN_SU'!$AC130,IF('DM_NHAN_SU'!$AB130="Theo thực nhận",MIN(MAX($AT130-$AU130-$AV130-$AW130,0)*'THAM_SO'!$M$23,'THAM_SO'!$M$26),MIN($AE130*'THAM_SO'!$M$23,'THAM_SO'!$M$26))))))</f>
        <v/>
      </c>
      <c r="BW130" s="224">
        <f>IF('DM_NHAN_SU'!$B130="","",$AX130+$BU130)</f>
        <v/>
      </c>
    </row>
    <row r="131">
      <c r="A131" s="145">
        <f>IF('DM_NHAN_SU'!$B131="","",IF($B131="","",ROW()-5))</f>
        <v/>
      </c>
      <c r="B131" s="145">
        <f>IF('DM_NHAN_SU'!$B131="","",'DM_NHAN_SU'!B131)</f>
        <v/>
      </c>
      <c r="C131" s="145">
        <f>IF('DM_NHAN_SU'!$B131="","",'DM_NHAN_SU'!C131)</f>
        <v/>
      </c>
      <c r="D131" s="145">
        <f>IF('DM_NHAN_SU'!$B131="","",'DM_NHAN_SU'!D131)</f>
        <v/>
      </c>
      <c r="E131" s="145">
        <f>IF('DM_NHAN_SU'!$B131="","",'DM_NHAN_SU'!E131)</f>
        <v/>
      </c>
      <c r="F131" s="145">
        <f>IF('DM_NHAN_SU'!$B131="","",'DM_NHAN_SU'!I131)</f>
        <v/>
      </c>
      <c r="G131" s="145">
        <f>IF('DM_NHAN_SU'!$B131="","",'DM_NHAN_SU'!J131)</f>
        <v/>
      </c>
      <c r="H131" s="145">
        <f>IF('DM_NHAN_SU'!$B131="","",IF('DM_NHAN_SU'!H131="",'THAM_SO'!$B$11,'DM_NHAN_SU'!H131))</f>
        <v/>
      </c>
      <c r="I131" s="232">
        <f>IF('DM_NHAN_SU'!$B131="","",IF('DM_NHAN_SU'!L131&gt;0,'DM_NHAN_SU'!L131,'THAM_SO'!$B$9))</f>
        <v/>
      </c>
      <c r="J131" s="232">
        <f>IF('DM_NHAN_SU'!$B131="","",IF('DM_NHAN_SU'!M131&gt;0,'DM_NHAN_SU'!M131,'THAM_SO'!$B$10))</f>
        <v/>
      </c>
      <c r="K131" s="232">
        <f>IF('DM_NHAN_SU'!$B131="","",'CHAM_CONG_THANG'!AC131)</f>
        <v/>
      </c>
      <c r="L131" s="232">
        <f>IF('DM_NHAN_SU'!$B131="","",'CHAM_CONG_THANG'!AD131)</f>
        <v/>
      </c>
      <c r="M131" s="232">
        <f>IF('DM_NHAN_SU'!$B131="","",'CHAM_CONG_THANG'!AE131)</f>
        <v/>
      </c>
      <c r="N131" s="232">
        <f>IF('DM_NHAN_SU'!$B131="","",'CHAM_CONG_THANG'!N131)</f>
        <v/>
      </c>
      <c r="O131" s="224">
        <f>IF('DM_NHAN_SU'!$B131="","",IF($B131="","",IF($G131="Tháng",IF($I131&gt;0,'DM_NHAN_SU'!$K131*MIN($K131,$I131)/$I131,0),IF($G131="Ngày",'DM_NHAN_SU'!$K131*$K131,IF($G131="Giờ",'DM_NHAN_SU'!$K131*$L131,IF($G131="Sản phẩm",'DM_NHAN_SU'!$K131*$N131,0))))))</f>
        <v/>
      </c>
      <c r="P131" s="224">
        <f>IF('DM_NHAN_SU'!$B131="","",'CHAM_CONG_THANG'!O131)</f>
        <v/>
      </c>
      <c r="Q131" s="224">
        <f>IF('DM_NHAN_SU'!$B131="","",'CHAM_CONG_THANG'!P131)</f>
        <v/>
      </c>
      <c r="R131" s="224">
        <f>IF('DM_NHAN_SU'!$B131="","",'CHAM_CONG_THANG'!Q131)</f>
        <v/>
      </c>
      <c r="S131" s="224">
        <f>IF('DM_NHAN_SU'!$B131="","",'CHAM_CONG_THANG'!R131)</f>
        <v/>
      </c>
      <c r="T131" s="224">
        <f>IF('DM_NHAN_SU'!$B131="","",'CHAM_CONG_THANG'!S131)</f>
        <v/>
      </c>
      <c r="U131" s="224">
        <f>IF('DM_NHAN_SU'!$B131="","",MIN($T131,'THAM_SO'!$F$6))</f>
        <v/>
      </c>
      <c r="V131" s="224">
        <f>IF('DM_NHAN_SU'!$B131="","",MAX($T131-$U131,0))</f>
        <v/>
      </c>
      <c r="W131" s="224">
        <f>IF('DM_NHAN_SU'!$B131="","",'CHAM_CONG_THANG'!T131)</f>
        <v/>
      </c>
      <c r="X131" s="224">
        <f>IF('DM_NHAN_SU'!$B131="","",'CHAM_CONG_THANG'!U131)</f>
        <v/>
      </c>
      <c r="Y131" s="224">
        <f>IF('DM_NHAN_SU'!$B131="","",IF($B131="",0,IF('DM_NHAN_SU'!$Q131&gt;0,'DM_NHAN_SU'!$Q131,IF($G131="Tháng",IF($I131*$J131&gt;0,'DM_NHAN_SU'!$K131/($I131*$J131),0),IF($G131="Ngày",IF($J131&gt;0,'DM_NHAN_SU'!$K131/$J131,0),IF($G131="Giờ",'DM_NHAN_SU'!$K131,0))))))</f>
        <v/>
      </c>
      <c r="Z131" s="224">
        <f>IF('DM_NHAN_SU'!$B131="","",$Y131*($M131*'THAM_SO'!$C$22+'CHAM_CONG_THANG'!$AF131*'THAM_SO'!$C$19+'CHAM_CONG_THANG'!$AG131*'THAM_SO'!$C$20+'CHAM_CONG_THANG'!$AH131*'THAM_SO'!$C$21+'CHAM_CONG_THANG'!$AI131*'THAM_SO'!$C$23+'CHAM_CONG_THANG'!$AJ131*'THAM_SO'!$C$24+'CHAM_CONG_THANG'!$AK131*'THAM_SO'!$C$25))</f>
        <v/>
      </c>
      <c r="AA131" s="224">
        <f>IF('DM_NHAN_SU'!$B131="","",MAX(0,$Y131*($M131*IF('THAM_SO'!$C$22&gt;='THAM_SO'!$B$22,'THAM_SO'!$B$22,0)+'CHAM_CONG_THANG'!$AF131*IF('THAM_SO'!$C$19&gt;='THAM_SO'!$B$19,'THAM_SO'!$B$19,0)+'CHAM_CONG_THANG'!$AG131*IF('THAM_SO'!$C$20&gt;='THAM_SO'!$B$20,'THAM_SO'!$B$20,0)+'CHAM_CONG_THANG'!$AH131*IF('THAM_SO'!$C$21&gt;='THAM_SO'!$B$21,'THAM_SO'!$B$21,0)+'CHAM_CONG_THANG'!$AI131*IF('THAM_SO'!$C$23&gt;='THAM_SO'!$B$23,'THAM_SO'!$B$23,0)+'CHAM_CONG_THANG'!$AJ131*IF('THAM_SO'!$C$24&gt;='THAM_SO'!$B$24,'THAM_SO'!$B$24,0)+'CHAM_CONG_THANG'!$AK131*IF('THAM_SO'!$C$25&gt;='THAM_SO'!$B$25,'THAM_SO'!$B$25,0))-'CHAM_CONG_THANG'!$V131))</f>
        <v/>
      </c>
      <c r="AB131" s="224">
        <f>IF('DM_NHAN_SU'!$B131="","",MAX($Z131-$AA131,0))</f>
        <v/>
      </c>
      <c r="AC131" s="224">
        <f>IF('DM_NHAN_SU'!$B131="","",$O131+$P131+$Q131+$R131+$S131+$V131+$AB131+$BO131+$BP131+$BQ131+$BR131)</f>
        <v/>
      </c>
      <c r="AD131" s="224">
        <f>IF('DM_NHAN_SU'!$B131="","",'DM_NHAN_SU'!N131+'DM_NHAN_SU'!O131+'DM_NHAN_SU'!P131)</f>
        <v/>
      </c>
      <c r="AE131" s="224">
        <f>IF('DM_NHAN_SU'!$B131="","",IF(OR('DM_NHAN_SU'!$R131&lt;&gt;"Có",'CHAM_CONG_THANG'!$AA131="Có",$BL131&gt;=14,$AD131&lt;=0),0,MIN(MAX($AD131,'THAM_SO'!$M$6),'THAM_SO'!$M$7)))</f>
        <v/>
      </c>
      <c r="AF131" s="224">
        <f>IF('DM_NHAN_SU'!$B131="","",IF(OR('DM_NHAN_SU'!$S131&lt;&gt;"Có",'CHAM_CONG_THANG'!$AA131="Có",$BL131&gt;=14,$AD131&lt;=0),0,MIN(MAX($AD131,VLOOKUP($H131,'THAM_SO'!$L$17:$P$20,4,FALSE)),VLOOKUP($H131,'THAM_SO'!$L$17:$P$20,5,FALSE))))</f>
        <v/>
      </c>
      <c r="AG131" s="224">
        <f>IF('DM_NHAN_SU'!$B131="","",$AE131*'THAM_SO'!$M$8)</f>
        <v/>
      </c>
      <c r="AH131" s="224">
        <f>IF('DM_NHAN_SU'!$B131="","",$AE131*'THAM_SO'!$M$9)</f>
        <v/>
      </c>
      <c r="AI131" s="224">
        <f>IF('DM_NHAN_SU'!$B131="","",$AF131*'THAM_SO'!$M$10)</f>
        <v/>
      </c>
      <c r="AJ131" s="224">
        <f>IF('DM_NHAN_SU'!$B131="","",SUM($AG131:$AI131))</f>
        <v/>
      </c>
      <c r="AK131" s="224">
        <f>IF('DM_NHAN_SU'!$B131="","",IF($B131="",0,'THAM_SO'!$F$4))</f>
        <v/>
      </c>
      <c r="AL131" s="224">
        <f>IF('DM_NHAN_SU'!$B131="","",IF($B131="",0,'DM_NHAN_SU'!$T131*'THAM_SO'!$F$5))</f>
        <v/>
      </c>
      <c r="AM131" s="224">
        <f>IF('DM_NHAN_SU'!$B131="","",'CHAM_CONG_THANG'!W131)</f>
        <v/>
      </c>
      <c r="AN131" s="224">
        <f>IF('DM_NHAN_SU'!$B131="","",MAX($AC131-$AK131-$AL131-$AM131,0))</f>
        <v/>
      </c>
      <c r="AO131" s="224">
        <f>IF('DM_NHAN_SU'!$B131="","",IF($B131="","",IF($F131="Net",IF($AC131&lt;=$AK131+$AL131+$AM131,$AC131+$AJ131,$AJ131+$AK131+$AL131+$AM131+IF($AN131&lt;='THAM_SO'!$J$10,($AN131-'THAM_SO'!$I$10)/(1-'THAM_SO'!$H$10),IF($AN131&lt;='THAM_SO'!$J$11,($AN131-'THAM_SO'!$I$11)/(1-'THAM_SO'!$H$11),IF($AN131&lt;='THAM_SO'!$J$12,($AN131-'THAM_SO'!$I$12)/(1-'THAM_SO'!$H$12),IF($AN131&lt;='THAM_SO'!$J$13,($AN131-'THAM_SO'!$I$13)/(1-'THAM_SO'!$H$13),($AN131-'THAM_SO'!$I$14)/(1-'THAM_SO'!$H$14)))))),$AC131)))</f>
        <v/>
      </c>
      <c r="AP131" s="224">
        <f>IF('DM_NHAN_SU'!$B131="","",$U131+$W131+$X131+$AA131+$BS131)</f>
        <v/>
      </c>
      <c r="AQ131" s="224">
        <f>IF('DM_NHAN_SU'!$B131="","",MAX($AO131-$AJ131-$AK131-$AL131-$AM131,0))</f>
        <v/>
      </c>
      <c r="AR131" s="224">
        <f>IF('DM_NHAN_SU'!$B131="","",IF($AQ131&lt;=0,0,$AQ131*VLOOKUP($AQ131,'THAM_SO'!$F$10:$I$14,3,TRUE)-VLOOKUP($AQ131,'THAM_SO'!$F$10:$I$14,4,TRUE)))</f>
        <v/>
      </c>
      <c r="AS131" s="224">
        <f>IF('DM_NHAN_SU'!$B131="","",$AO131+$AP131)</f>
        <v/>
      </c>
      <c r="AT131" s="224">
        <f>IF('DM_NHAN_SU'!$B131="","",$AS131-$AJ131-$AR131)</f>
        <v/>
      </c>
      <c r="AU131" s="224">
        <f>IF('DM_NHAN_SU'!$B131="","",'CHAM_CONG_THANG'!X131)</f>
        <v/>
      </c>
      <c r="AV131" s="224">
        <f>IF('DM_NHAN_SU'!$B131="","",'CHAM_CONG_THANG'!Y131+'QT_NGHI_VIEC'!AD131)</f>
        <v/>
      </c>
      <c r="AW131" s="224">
        <f>IF('DM_NHAN_SU'!$B131="","",'CHAM_CONG_THANG'!Z131)</f>
        <v/>
      </c>
      <c r="AX131" s="224">
        <f>IF('DM_NHAN_SU'!$B131="","",$AT131-$AU131-$AV131-$AW131-$BV131)</f>
        <v/>
      </c>
      <c r="AY131" s="224">
        <f>IF('DM_NHAN_SU'!$B131="","",$AE131*'THAM_SO'!$M$11)</f>
        <v/>
      </c>
      <c r="AZ131" s="224">
        <f>IF('DM_NHAN_SU'!$B131="","",$AE131*'THAM_SO'!$M$12)</f>
        <v/>
      </c>
      <c r="BA131" s="224">
        <f>IF('DM_NHAN_SU'!$B131="","",$AF131*'THAM_SO'!$M$13)</f>
        <v/>
      </c>
      <c r="BB131" s="224">
        <f>IF('DM_NHAN_SU'!$B131="","",$AE131*'THAM_SO'!$M$14)</f>
        <v/>
      </c>
      <c r="BC131" s="224">
        <f>IF('DM_NHAN_SU'!$B131="","",SUM($AY131:$BB131))</f>
        <v/>
      </c>
      <c r="BD131" s="224">
        <f>IF('DM_NHAN_SU'!$B131="","",$AS131+$BC131)</f>
        <v/>
      </c>
      <c r="BE131" s="224">
        <f>IF('DM_NHAN_SU'!$B131="","",VLOOKUP($H131,'THAM_SO'!$L$17:$P$20,2,FALSE))</f>
        <v/>
      </c>
      <c r="BF131" s="224">
        <f>IF('DM_NHAN_SU'!$B131="","",VLOOKUP($H131,'THAM_SO'!$L$17:$P$20,3,FALSE))</f>
        <v/>
      </c>
      <c r="BG131" s="150">
        <f>IF('DM_NHAN_SU'!$B131="","",IF($B131="","",IF(COUNTIF('DM_NHAN_SU'!$B$6:$B$155,$B131)&gt;1,"Trùng mã NV; ","")&amp;IF(OR($F131="",$G131=""),"Thiếu loại/hình thức lương; ","")&amp;IF('CHAM_CONG_THANG'!$D131="","Chưa chọn nguồn công; ","")&amp;IF(AND('CHAM_CONG_THANG'!$D131="Theo ngày",COUNTIF('CHAM_CONG_NGAY'!$B$6:$B$4655,$B131)=0),"Chưa có chấm công ngày; ","")&amp;IF(OR($I131&lt;=0,$J131&lt;=0),"Thiếu công/giờ chuẩn; ","")&amp;IF(AND($G131="Tháng",'DM_NHAN_SU'!$K131&lt;$BE131),"Lương tháng dưới tối thiểu vùng; ","")&amp;IF(AND($G131="Ngày",'DM_NHAN_SU'!$K131/$J131&lt;$BF131),"Lương ngày quy đổi dưới tối thiểu giờ; ","")&amp;IF(AND($G131="Giờ",'DM_NHAN_SU'!$K131&lt;$BF131),"Lương giờ dưới tối thiểu vùng; ","")&amp;IF(AND($G131="Sản phẩm",$L131&gt;0,$O131/$L131&lt;$BF131),"Lương SP quy đổi dưới tối thiểu giờ; ","")&amp;IF(OR('THAM_SO'!$C$19&lt;'THAM_SO'!$B$19,'THAM_SO'!$C$20&lt;'THAM_SO'!$B$20,'THAM_SO'!$C$21&lt;'THAM_SO'!$B$21,'THAM_SO'!$C$22&lt;'THAM_SO'!$B$22,'THAM_SO'!$C$23&lt;'THAM_SO'!$B$23,'THAM_SO'!$C$24&lt;'THAM_SO'!$B$24,'THAM_SO'!$C$25&lt;'THAM_SO'!$B$25),"Hệ số OT/đêm DN thấp hơn luật; ","")&amp;IF(AND('DM_NHAN_SU'!$R131="Có",$AD131&lt;=0),"Thiếu căn cứ đóng BH; ","")&amp;IF(AND($AD131&gt;0,$AD131&lt;'THAM_SO'!$M$6),"Căn cứ BH dưới sàn – đã nâng sàn; ","")&amp;IF($AD131&gt;'THAM_SO'!$M$7,"Căn cứ BH vượt trần – đã giới hạn; ","")&amp;IF(AND($F131="Net",SUM('CHAM_CONG_THANG'!$AF131:$AK131)&gt;0,'DM_NHAN_SU'!$Q131&lt;=0),"Net có OT nhưng chưa khai lương giờ OT; ","")&amp;IF('CHAM_CONG_THANG'!$V131&gt;$Z131,"Phần OT không miễn lớn hơn tiền OT; ","")&amp;IF(AND($F131="Net",ABS($AT131-$AC131-$AP131)&gt;1),"Lệch quy đổi Net; ","")&amp;IF(AND($BH131&gt;0,'DM_NHAN_SU'!$AD131=""),"Có phép năm nhưng đang tạm dùng 12 ngày; ","")&amp;IF(AND($G131="Sản phẩm",SUM($BH131:$BJ131)&gt;0,'DM_NHAN_SU'!$AH131&lt;=0),"Lương sản phẩm thiếu đơn giá ngày phép/lễ; ","")&amp;IF(AND($BL131&gt;=14,'CHAM_CONG_THANG'!$AA131&lt;&gt;"Có"),"Thai sản từ 14 ngày: file tự dừng đóng BH – kiểm tra hồ sơ; ","")&amp;IF(AND('DM_NHAN_SU'!$AA131="Có",'DM_NHAN_SU'!$AB131=""),"Đoàn viên chưa chọn cách tính đoàn phí; ","")&amp;IF(AND('DM_NHAN_SU'!$AB131="Nhập tay",'DM_NHAN_SU'!$AC131&gt;'THAM_SO'!$M$26),"Đoàn phí nhập tay vượt trần thông dụng; ","")&amp;IF('NGHI_PHEP'!$L131&lt;&gt;"","Phép: "&amp;'NGHI_PHEP'!$L131,"")&amp;IF('CHE_DO_BHXH'!$AA131&lt;&gt;"","BHXH: "&amp;'CHE_DO_BHXH'!$AA131,"")&amp;IF('THUONG_T13_TET'!$O131&lt;&gt;"","Thưởng: "&amp;'THUONG_T13_TET'!$O131,"")&amp;IF('QT_NGHI_VIEC'!$AF131&lt;&gt;"","Nghỉ việc: "&amp;'QT_NGHI_VIEC'!$AF131,"")&amp;IF($AX131&lt;0,"Thực lĩnh âm; ","")&amp;IF(OR('DM_NHAN_SU'!$F131&gt;'THAM_SO'!$B$7,AND('DM_NHAN_SU'!$G131&lt;&gt;"",'DM_NHAN_SU'!$G131&lt;'THAM_SO'!$B$6)),"Ngoài kỳ trả lương; ","")))</f>
        <v/>
      </c>
      <c r="BH131" s="232">
        <f>IF('DM_NHAN_SU'!$B131="","",'CHAM_CONG_THANG'!AR131)</f>
        <v/>
      </c>
      <c r="BI131" s="232">
        <f>IF('DM_NHAN_SU'!$B131="","",'CHAM_CONG_THANG'!AS131)</f>
        <v/>
      </c>
      <c r="BJ131" s="232">
        <f>IF('DM_NHAN_SU'!$B131="","",'CHAM_CONG_THANG'!AT131)</f>
        <v/>
      </c>
      <c r="BK131" s="232">
        <f>IF('DM_NHAN_SU'!$B131="","",'CHAM_CONG_THANG'!AU131)</f>
        <v/>
      </c>
      <c r="BL131" s="232">
        <f>IF('DM_NHAN_SU'!$B131="","",'CHAM_CONG_THANG'!AV131)</f>
        <v/>
      </c>
      <c r="BM131" s="232">
        <f>IF('DM_NHAN_SU'!$B131="","",'CHAM_CONG_THANG'!AW131)</f>
        <v/>
      </c>
      <c r="BN131" s="232">
        <f>IF('DM_NHAN_SU'!$B131="","",SUM($K131,$BH131:$BJ131))</f>
        <v/>
      </c>
      <c r="BO131" s="224">
        <f>IF('DM_NHAN_SU'!$B131="","",IF($B131="",0,IF($G131="Tháng",IF($I131&gt;0,'DM_NHAN_SU'!$K131*MIN($BH131+$BJ131,MAX($I131-$K131,0))/$I131,0),IF($G131="Ngày",'DM_NHAN_SU'!$K131*SUM($BH131:$BJ131),IF($G131="Giờ",'DM_NHAN_SU'!$K131*SUM($BH131:$BJ131)*$J131,IF($G131="Sản phẩm",'DM_NHAN_SU'!$AH131*SUM($BH131:$BJ131),0))))))</f>
        <v/>
      </c>
      <c r="BP131" s="224">
        <f>IF('DM_NHAN_SU'!$B131="","",IF('THUONG_T13_TET'!$L131="Có",'THUONG_T13_TET'!$I131,0))</f>
        <v/>
      </c>
      <c r="BQ131" s="224">
        <f>IF('DM_NHAN_SU'!$B131="","",IF('THUONG_T13_TET'!$L131="Có",SUM('THUONG_T13_TET'!$J131:$K131),0))</f>
        <v/>
      </c>
      <c r="BR131" s="224">
        <f>IF('DM_NHAN_SU'!$B131="","",'QT_NGHI_VIEC'!AC131)</f>
        <v/>
      </c>
      <c r="BS131" s="224">
        <f>IF('DM_NHAN_SU'!$B131="","",'QT_NGHI_VIEC'!AB131)</f>
        <v/>
      </c>
      <c r="BT131" s="224">
        <f>IF('DM_NHAN_SU'!$B131="","",IF('CHE_DO_BHXH'!$Z131="Có",'CHE_DO_BHXH'!$W131,0))</f>
        <v/>
      </c>
      <c r="BU131" s="224">
        <f>IF('DM_NHAN_SU'!$B131="","",IF('CHE_DO_BHXH'!$Y131="DN trả thay",$BT131,0))</f>
        <v/>
      </c>
      <c r="BV131" s="224">
        <f>IF('DM_NHAN_SU'!$B131="","",IF(OR('DM_NHAN_SU'!$AA131&lt;&gt;"Có",'CHE_DO_BHXH'!$O131&gt;=1,SUM('CHE_DO_BHXH'!$D131,'CHE_DO_BHXH'!$G131,'CHE_DO_BHXH'!$K131)&gt;=24,AND($I131&gt;0,$BM131&gt;=$I131)),0,IF('DM_NHAN_SU'!$AB131="Không",0,IF('DM_NHAN_SU'!$AB131="Nhập tay",'DM_NHAN_SU'!$AC131,IF('DM_NHAN_SU'!$AB131="Theo thực nhận",MIN(MAX($AT131-$AU131-$AV131-$AW131,0)*'THAM_SO'!$M$23,'THAM_SO'!$M$26),MIN($AE131*'THAM_SO'!$M$23,'THAM_SO'!$M$26))))))</f>
        <v/>
      </c>
      <c r="BW131" s="224">
        <f>IF('DM_NHAN_SU'!$B131="","",$AX131+$BU131)</f>
        <v/>
      </c>
    </row>
    <row r="132">
      <c r="A132" s="145">
        <f>IF('DM_NHAN_SU'!$B132="","",IF($B132="","",ROW()-5))</f>
        <v/>
      </c>
      <c r="B132" s="145">
        <f>IF('DM_NHAN_SU'!$B132="","",'DM_NHAN_SU'!B132)</f>
        <v/>
      </c>
      <c r="C132" s="145">
        <f>IF('DM_NHAN_SU'!$B132="","",'DM_NHAN_SU'!C132)</f>
        <v/>
      </c>
      <c r="D132" s="145">
        <f>IF('DM_NHAN_SU'!$B132="","",'DM_NHAN_SU'!D132)</f>
        <v/>
      </c>
      <c r="E132" s="145">
        <f>IF('DM_NHAN_SU'!$B132="","",'DM_NHAN_SU'!E132)</f>
        <v/>
      </c>
      <c r="F132" s="145">
        <f>IF('DM_NHAN_SU'!$B132="","",'DM_NHAN_SU'!I132)</f>
        <v/>
      </c>
      <c r="G132" s="145">
        <f>IF('DM_NHAN_SU'!$B132="","",'DM_NHAN_SU'!J132)</f>
        <v/>
      </c>
      <c r="H132" s="145">
        <f>IF('DM_NHAN_SU'!$B132="","",IF('DM_NHAN_SU'!H132="",'THAM_SO'!$B$11,'DM_NHAN_SU'!H132))</f>
        <v/>
      </c>
      <c r="I132" s="232">
        <f>IF('DM_NHAN_SU'!$B132="","",IF('DM_NHAN_SU'!L132&gt;0,'DM_NHAN_SU'!L132,'THAM_SO'!$B$9))</f>
        <v/>
      </c>
      <c r="J132" s="232">
        <f>IF('DM_NHAN_SU'!$B132="","",IF('DM_NHAN_SU'!M132&gt;0,'DM_NHAN_SU'!M132,'THAM_SO'!$B$10))</f>
        <v/>
      </c>
      <c r="K132" s="232">
        <f>IF('DM_NHAN_SU'!$B132="","",'CHAM_CONG_THANG'!AC132)</f>
        <v/>
      </c>
      <c r="L132" s="232">
        <f>IF('DM_NHAN_SU'!$B132="","",'CHAM_CONG_THANG'!AD132)</f>
        <v/>
      </c>
      <c r="M132" s="232">
        <f>IF('DM_NHAN_SU'!$B132="","",'CHAM_CONG_THANG'!AE132)</f>
        <v/>
      </c>
      <c r="N132" s="232">
        <f>IF('DM_NHAN_SU'!$B132="","",'CHAM_CONG_THANG'!N132)</f>
        <v/>
      </c>
      <c r="O132" s="224">
        <f>IF('DM_NHAN_SU'!$B132="","",IF($B132="","",IF($G132="Tháng",IF($I132&gt;0,'DM_NHAN_SU'!$K132*MIN($K132,$I132)/$I132,0),IF($G132="Ngày",'DM_NHAN_SU'!$K132*$K132,IF($G132="Giờ",'DM_NHAN_SU'!$K132*$L132,IF($G132="Sản phẩm",'DM_NHAN_SU'!$K132*$N132,0))))))</f>
        <v/>
      </c>
      <c r="P132" s="224">
        <f>IF('DM_NHAN_SU'!$B132="","",'CHAM_CONG_THANG'!O132)</f>
        <v/>
      </c>
      <c r="Q132" s="224">
        <f>IF('DM_NHAN_SU'!$B132="","",'CHAM_CONG_THANG'!P132)</f>
        <v/>
      </c>
      <c r="R132" s="224">
        <f>IF('DM_NHAN_SU'!$B132="","",'CHAM_CONG_THANG'!Q132)</f>
        <v/>
      </c>
      <c r="S132" s="224">
        <f>IF('DM_NHAN_SU'!$B132="","",'CHAM_CONG_THANG'!R132)</f>
        <v/>
      </c>
      <c r="T132" s="224">
        <f>IF('DM_NHAN_SU'!$B132="","",'CHAM_CONG_THANG'!S132)</f>
        <v/>
      </c>
      <c r="U132" s="224">
        <f>IF('DM_NHAN_SU'!$B132="","",MIN($T132,'THAM_SO'!$F$6))</f>
        <v/>
      </c>
      <c r="V132" s="224">
        <f>IF('DM_NHAN_SU'!$B132="","",MAX($T132-$U132,0))</f>
        <v/>
      </c>
      <c r="W132" s="224">
        <f>IF('DM_NHAN_SU'!$B132="","",'CHAM_CONG_THANG'!T132)</f>
        <v/>
      </c>
      <c r="X132" s="224">
        <f>IF('DM_NHAN_SU'!$B132="","",'CHAM_CONG_THANG'!U132)</f>
        <v/>
      </c>
      <c r="Y132" s="224">
        <f>IF('DM_NHAN_SU'!$B132="","",IF($B132="",0,IF('DM_NHAN_SU'!$Q132&gt;0,'DM_NHAN_SU'!$Q132,IF($G132="Tháng",IF($I132*$J132&gt;0,'DM_NHAN_SU'!$K132/($I132*$J132),0),IF($G132="Ngày",IF($J132&gt;0,'DM_NHAN_SU'!$K132/$J132,0),IF($G132="Giờ",'DM_NHAN_SU'!$K132,0))))))</f>
        <v/>
      </c>
      <c r="Z132" s="224">
        <f>IF('DM_NHAN_SU'!$B132="","",$Y132*($M132*'THAM_SO'!$C$22+'CHAM_CONG_THANG'!$AF132*'THAM_SO'!$C$19+'CHAM_CONG_THANG'!$AG132*'THAM_SO'!$C$20+'CHAM_CONG_THANG'!$AH132*'THAM_SO'!$C$21+'CHAM_CONG_THANG'!$AI132*'THAM_SO'!$C$23+'CHAM_CONG_THANG'!$AJ132*'THAM_SO'!$C$24+'CHAM_CONG_THANG'!$AK132*'THAM_SO'!$C$25))</f>
        <v/>
      </c>
      <c r="AA132" s="224">
        <f>IF('DM_NHAN_SU'!$B132="","",MAX(0,$Y132*($M132*IF('THAM_SO'!$C$22&gt;='THAM_SO'!$B$22,'THAM_SO'!$B$22,0)+'CHAM_CONG_THANG'!$AF132*IF('THAM_SO'!$C$19&gt;='THAM_SO'!$B$19,'THAM_SO'!$B$19,0)+'CHAM_CONG_THANG'!$AG132*IF('THAM_SO'!$C$20&gt;='THAM_SO'!$B$20,'THAM_SO'!$B$20,0)+'CHAM_CONG_THANG'!$AH132*IF('THAM_SO'!$C$21&gt;='THAM_SO'!$B$21,'THAM_SO'!$B$21,0)+'CHAM_CONG_THANG'!$AI132*IF('THAM_SO'!$C$23&gt;='THAM_SO'!$B$23,'THAM_SO'!$B$23,0)+'CHAM_CONG_THANG'!$AJ132*IF('THAM_SO'!$C$24&gt;='THAM_SO'!$B$24,'THAM_SO'!$B$24,0)+'CHAM_CONG_THANG'!$AK132*IF('THAM_SO'!$C$25&gt;='THAM_SO'!$B$25,'THAM_SO'!$B$25,0))-'CHAM_CONG_THANG'!$V132))</f>
        <v/>
      </c>
      <c r="AB132" s="224">
        <f>IF('DM_NHAN_SU'!$B132="","",MAX($Z132-$AA132,0))</f>
        <v/>
      </c>
      <c r="AC132" s="224">
        <f>IF('DM_NHAN_SU'!$B132="","",$O132+$P132+$Q132+$R132+$S132+$V132+$AB132+$BO132+$BP132+$BQ132+$BR132)</f>
        <v/>
      </c>
      <c r="AD132" s="224">
        <f>IF('DM_NHAN_SU'!$B132="","",'DM_NHAN_SU'!N132+'DM_NHAN_SU'!O132+'DM_NHAN_SU'!P132)</f>
        <v/>
      </c>
      <c r="AE132" s="224">
        <f>IF('DM_NHAN_SU'!$B132="","",IF(OR('DM_NHAN_SU'!$R132&lt;&gt;"Có",'CHAM_CONG_THANG'!$AA132="Có",$BL132&gt;=14,$AD132&lt;=0),0,MIN(MAX($AD132,'THAM_SO'!$M$6),'THAM_SO'!$M$7)))</f>
        <v/>
      </c>
      <c r="AF132" s="224">
        <f>IF('DM_NHAN_SU'!$B132="","",IF(OR('DM_NHAN_SU'!$S132&lt;&gt;"Có",'CHAM_CONG_THANG'!$AA132="Có",$BL132&gt;=14,$AD132&lt;=0),0,MIN(MAX($AD132,VLOOKUP($H132,'THAM_SO'!$L$17:$P$20,4,FALSE)),VLOOKUP($H132,'THAM_SO'!$L$17:$P$20,5,FALSE))))</f>
        <v/>
      </c>
      <c r="AG132" s="224">
        <f>IF('DM_NHAN_SU'!$B132="","",$AE132*'THAM_SO'!$M$8)</f>
        <v/>
      </c>
      <c r="AH132" s="224">
        <f>IF('DM_NHAN_SU'!$B132="","",$AE132*'THAM_SO'!$M$9)</f>
        <v/>
      </c>
      <c r="AI132" s="224">
        <f>IF('DM_NHAN_SU'!$B132="","",$AF132*'THAM_SO'!$M$10)</f>
        <v/>
      </c>
      <c r="AJ132" s="224">
        <f>IF('DM_NHAN_SU'!$B132="","",SUM($AG132:$AI132))</f>
        <v/>
      </c>
      <c r="AK132" s="224">
        <f>IF('DM_NHAN_SU'!$B132="","",IF($B132="",0,'THAM_SO'!$F$4))</f>
        <v/>
      </c>
      <c r="AL132" s="224">
        <f>IF('DM_NHAN_SU'!$B132="","",IF($B132="",0,'DM_NHAN_SU'!$T132*'THAM_SO'!$F$5))</f>
        <v/>
      </c>
      <c r="AM132" s="224">
        <f>IF('DM_NHAN_SU'!$B132="","",'CHAM_CONG_THANG'!W132)</f>
        <v/>
      </c>
      <c r="AN132" s="224">
        <f>IF('DM_NHAN_SU'!$B132="","",MAX($AC132-$AK132-$AL132-$AM132,0))</f>
        <v/>
      </c>
      <c r="AO132" s="224">
        <f>IF('DM_NHAN_SU'!$B132="","",IF($B132="","",IF($F132="Net",IF($AC132&lt;=$AK132+$AL132+$AM132,$AC132+$AJ132,$AJ132+$AK132+$AL132+$AM132+IF($AN132&lt;='THAM_SO'!$J$10,($AN132-'THAM_SO'!$I$10)/(1-'THAM_SO'!$H$10),IF($AN132&lt;='THAM_SO'!$J$11,($AN132-'THAM_SO'!$I$11)/(1-'THAM_SO'!$H$11),IF($AN132&lt;='THAM_SO'!$J$12,($AN132-'THAM_SO'!$I$12)/(1-'THAM_SO'!$H$12),IF($AN132&lt;='THAM_SO'!$J$13,($AN132-'THAM_SO'!$I$13)/(1-'THAM_SO'!$H$13),($AN132-'THAM_SO'!$I$14)/(1-'THAM_SO'!$H$14)))))),$AC132)))</f>
        <v/>
      </c>
      <c r="AP132" s="224">
        <f>IF('DM_NHAN_SU'!$B132="","",$U132+$W132+$X132+$AA132+$BS132)</f>
        <v/>
      </c>
      <c r="AQ132" s="224">
        <f>IF('DM_NHAN_SU'!$B132="","",MAX($AO132-$AJ132-$AK132-$AL132-$AM132,0))</f>
        <v/>
      </c>
      <c r="AR132" s="224">
        <f>IF('DM_NHAN_SU'!$B132="","",IF($AQ132&lt;=0,0,$AQ132*VLOOKUP($AQ132,'THAM_SO'!$F$10:$I$14,3,TRUE)-VLOOKUP($AQ132,'THAM_SO'!$F$10:$I$14,4,TRUE)))</f>
        <v/>
      </c>
      <c r="AS132" s="224">
        <f>IF('DM_NHAN_SU'!$B132="","",$AO132+$AP132)</f>
        <v/>
      </c>
      <c r="AT132" s="224">
        <f>IF('DM_NHAN_SU'!$B132="","",$AS132-$AJ132-$AR132)</f>
        <v/>
      </c>
      <c r="AU132" s="224">
        <f>IF('DM_NHAN_SU'!$B132="","",'CHAM_CONG_THANG'!X132)</f>
        <v/>
      </c>
      <c r="AV132" s="224">
        <f>IF('DM_NHAN_SU'!$B132="","",'CHAM_CONG_THANG'!Y132+'QT_NGHI_VIEC'!AD132)</f>
        <v/>
      </c>
      <c r="AW132" s="224">
        <f>IF('DM_NHAN_SU'!$B132="","",'CHAM_CONG_THANG'!Z132)</f>
        <v/>
      </c>
      <c r="AX132" s="224">
        <f>IF('DM_NHAN_SU'!$B132="","",$AT132-$AU132-$AV132-$AW132-$BV132)</f>
        <v/>
      </c>
      <c r="AY132" s="224">
        <f>IF('DM_NHAN_SU'!$B132="","",$AE132*'THAM_SO'!$M$11)</f>
        <v/>
      </c>
      <c r="AZ132" s="224">
        <f>IF('DM_NHAN_SU'!$B132="","",$AE132*'THAM_SO'!$M$12)</f>
        <v/>
      </c>
      <c r="BA132" s="224">
        <f>IF('DM_NHAN_SU'!$B132="","",$AF132*'THAM_SO'!$M$13)</f>
        <v/>
      </c>
      <c r="BB132" s="224">
        <f>IF('DM_NHAN_SU'!$B132="","",$AE132*'THAM_SO'!$M$14)</f>
        <v/>
      </c>
      <c r="BC132" s="224">
        <f>IF('DM_NHAN_SU'!$B132="","",SUM($AY132:$BB132))</f>
        <v/>
      </c>
      <c r="BD132" s="224">
        <f>IF('DM_NHAN_SU'!$B132="","",$AS132+$BC132)</f>
        <v/>
      </c>
      <c r="BE132" s="224">
        <f>IF('DM_NHAN_SU'!$B132="","",VLOOKUP($H132,'THAM_SO'!$L$17:$P$20,2,FALSE))</f>
        <v/>
      </c>
      <c r="BF132" s="224">
        <f>IF('DM_NHAN_SU'!$B132="","",VLOOKUP($H132,'THAM_SO'!$L$17:$P$20,3,FALSE))</f>
        <v/>
      </c>
      <c r="BG132" s="150">
        <f>IF('DM_NHAN_SU'!$B132="","",IF($B132="","",IF(COUNTIF('DM_NHAN_SU'!$B$6:$B$155,$B132)&gt;1,"Trùng mã NV; ","")&amp;IF(OR($F132="",$G132=""),"Thiếu loại/hình thức lương; ","")&amp;IF('CHAM_CONG_THANG'!$D132="","Chưa chọn nguồn công; ","")&amp;IF(AND('CHAM_CONG_THANG'!$D132="Theo ngày",COUNTIF('CHAM_CONG_NGAY'!$B$6:$B$4655,$B132)=0),"Chưa có chấm công ngày; ","")&amp;IF(OR($I132&lt;=0,$J132&lt;=0),"Thiếu công/giờ chuẩn; ","")&amp;IF(AND($G132="Tháng",'DM_NHAN_SU'!$K132&lt;$BE132),"Lương tháng dưới tối thiểu vùng; ","")&amp;IF(AND($G132="Ngày",'DM_NHAN_SU'!$K132/$J132&lt;$BF132),"Lương ngày quy đổi dưới tối thiểu giờ; ","")&amp;IF(AND($G132="Giờ",'DM_NHAN_SU'!$K132&lt;$BF132),"Lương giờ dưới tối thiểu vùng; ","")&amp;IF(AND($G132="Sản phẩm",$L132&gt;0,$O132/$L132&lt;$BF132),"Lương SP quy đổi dưới tối thiểu giờ; ","")&amp;IF(OR('THAM_SO'!$C$19&lt;'THAM_SO'!$B$19,'THAM_SO'!$C$20&lt;'THAM_SO'!$B$20,'THAM_SO'!$C$21&lt;'THAM_SO'!$B$21,'THAM_SO'!$C$22&lt;'THAM_SO'!$B$22,'THAM_SO'!$C$23&lt;'THAM_SO'!$B$23,'THAM_SO'!$C$24&lt;'THAM_SO'!$B$24,'THAM_SO'!$C$25&lt;'THAM_SO'!$B$25),"Hệ số OT/đêm DN thấp hơn luật; ","")&amp;IF(AND('DM_NHAN_SU'!$R132="Có",$AD132&lt;=0),"Thiếu căn cứ đóng BH; ","")&amp;IF(AND($AD132&gt;0,$AD132&lt;'THAM_SO'!$M$6),"Căn cứ BH dưới sàn – đã nâng sàn; ","")&amp;IF($AD132&gt;'THAM_SO'!$M$7,"Căn cứ BH vượt trần – đã giới hạn; ","")&amp;IF(AND($F132="Net",SUM('CHAM_CONG_THANG'!$AF132:$AK132)&gt;0,'DM_NHAN_SU'!$Q132&lt;=0),"Net có OT nhưng chưa khai lương giờ OT; ","")&amp;IF('CHAM_CONG_THANG'!$V132&gt;$Z132,"Phần OT không miễn lớn hơn tiền OT; ","")&amp;IF(AND($F132="Net",ABS($AT132-$AC132-$AP132)&gt;1),"Lệch quy đổi Net; ","")&amp;IF(AND($BH132&gt;0,'DM_NHAN_SU'!$AD132=""),"Có phép năm nhưng đang tạm dùng 12 ngày; ","")&amp;IF(AND($G132="Sản phẩm",SUM($BH132:$BJ132)&gt;0,'DM_NHAN_SU'!$AH132&lt;=0),"Lương sản phẩm thiếu đơn giá ngày phép/lễ; ","")&amp;IF(AND($BL132&gt;=14,'CHAM_CONG_THANG'!$AA132&lt;&gt;"Có"),"Thai sản từ 14 ngày: file tự dừng đóng BH – kiểm tra hồ sơ; ","")&amp;IF(AND('DM_NHAN_SU'!$AA132="Có",'DM_NHAN_SU'!$AB132=""),"Đoàn viên chưa chọn cách tính đoàn phí; ","")&amp;IF(AND('DM_NHAN_SU'!$AB132="Nhập tay",'DM_NHAN_SU'!$AC132&gt;'THAM_SO'!$M$26),"Đoàn phí nhập tay vượt trần thông dụng; ","")&amp;IF('NGHI_PHEP'!$L132&lt;&gt;"","Phép: "&amp;'NGHI_PHEP'!$L132,"")&amp;IF('CHE_DO_BHXH'!$AA132&lt;&gt;"","BHXH: "&amp;'CHE_DO_BHXH'!$AA132,"")&amp;IF('THUONG_T13_TET'!$O132&lt;&gt;"","Thưởng: "&amp;'THUONG_T13_TET'!$O132,"")&amp;IF('QT_NGHI_VIEC'!$AF132&lt;&gt;"","Nghỉ việc: "&amp;'QT_NGHI_VIEC'!$AF132,"")&amp;IF($AX132&lt;0,"Thực lĩnh âm; ","")&amp;IF(OR('DM_NHAN_SU'!$F132&gt;'THAM_SO'!$B$7,AND('DM_NHAN_SU'!$G132&lt;&gt;"",'DM_NHAN_SU'!$G132&lt;'THAM_SO'!$B$6)),"Ngoài kỳ trả lương; ","")))</f>
        <v/>
      </c>
      <c r="BH132" s="232">
        <f>IF('DM_NHAN_SU'!$B132="","",'CHAM_CONG_THANG'!AR132)</f>
        <v/>
      </c>
      <c r="BI132" s="232">
        <f>IF('DM_NHAN_SU'!$B132="","",'CHAM_CONG_THANG'!AS132)</f>
        <v/>
      </c>
      <c r="BJ132" s="232">
        <f>IF('DM_NHAN_SU'!$B132="","",'CHAM_CONG_THANG'!AT132)</f>
        <v/>
      </c>
      <c r="BK132" s="232">
        <f>IF('DM_NHAN_SU'!$B132="","",'CHAM_CONG_THANG'!AU132)</f>
        <v/>
      </c>
      <c r="BL132" s="232">
        <f>IF('DM_NHAN_SU'!$B132="","",'CHAM_CONG_THANG'!AV132)</f>
        <v/>
      </c>
      <c r="BM132" s="232">
        <f>IF('DM_NHAN_SU'!$B132="","",'CHAM_CONG_THANG'!AW132)</f>
        <v/>
      </c>
      <c r="BN132" s="232">
        <f>IF('DM_NHAN_SU'!$B132="","",SUM($K132,$BH132:$BJ132))</f>
        <v/>
      </c>
      <c r="BO132" s="224">
        <f>IF('DM_NHAN_SU'!$B132="","",IF($B132="",0,IF($G132="Tháng",IF($I132&gt;0,'DM_NHAN_SU'!$K132*MIN($BH132+$BJ132,MAX($I132-$K132,0))/$I132,0),IF($G132="Ngày",'DM_NHAN_SU'!$K132*SUM($BH132:$BJ132),IF($G132="Giờ",'DM_NHAN_SU'!$K132*SUM($BH132:$BJ132)*$J132,IF($G132="Sản phẩm",'DM_NHAN_SU'!$AH132*SUM($BH132:$BJ132),0))))))</f>
        <v/>
      </c>
      <c r="BP132" s="224">
        <f>IF('DM_NHAN_SU'!$B132="","",IF('THUONG_T13_TET'!$L132="Có",'THUONG_T13_TET'!$I132,0))</f>
        <v/>
      </c>
      <c r="BQ132" s="224">
        <f>IF('DM_NHAN_SU'!$B132="","",IF('THUONG_T13_TET'!$L132="Có",SUM('THUONG_T13_TET'!$J132:$K132),0))</f>
        <v/>
      </c>
      <c r="BR132" s="224">
        <f>IF('DM_NHAN_SU'!$B132="","",'QT_NGHI_VIEC'!AC132)</f>
        <v/>
      </c>
      <c r="BS132" s="224">
        <f>IF('DM_NHAN_SU'!$B132="","",'QT_NGHI_VIEC'!AB132)</f>
        <v/>
      </c>
      <c r="BT132" s="224">
        <f>IF('DM_NHAN_SU'!$B132="","",IF('CHE_DO_BHXH'!$Z132="Có",'CHE_DO_BHXH'!$W132,0))</f>
        <v/>
      </c>
      <c r="BU132" s="224">
        <f>IF('DM_NHAN_SU'!$B132="","",IF('CHE_DO_BHXH'!$Y132="DN trả thay",$BT132,0))</f>
        <v/>
      </c>
      <c r="BV132" s="224">
        <f>IF('DM_NHAN_SU'!$B132="","",IF(OR('DM_NHAN_SU'!$AA132&lt;&gt;"Có",'CHE_DO_BHXH'!$O132&gt;=1,SUM('CHE_DO_BHXH'!$D132,'CHE_DO_BHXH'!$G132,'CHE_DO_BHXH'!$K132)&gt;=24,AND($I132&gt;0,$BM132&gt;=$I132)),0,IF('DM_NHAN_SU'!$AB132="Không",0,IF('DM_NHAN_SU'!$AB132="Nhập tay",'DM_NHAN_SU'!$AC132,IF('DM_NHAN_SU'!$AB132="Theo thực nhận",MIN(MAX($AT132-$AU132-$AV132-$AW132,0)*'THAM_SO'!$M$23,'THAM_SO'!$M$26),MIN($AE132*'THAM_SO'!$M$23,'THAM_SO'!$M$26))))))</f>
        <v/>
      </c>
      <c r="BW132" s="224">
        <f>IF('DM_NHAN_SU'!$B132="","",$AX132+$BU132)</f>
        <v/>
      </c>
    </row>
    <row r="133">
      <c r="A133" s="145">
        <f>IF('DM_NHAN_SU'!$B133="","",IF($B133="","",ROW()-5))</f>
        <v/>
      </c>
      <c r="B133" s="145">
        <f>IF('DM_NHAN_SU'!$B133="","",'DM_NHAN_SU'!B133)</f>
        <v/>
      </c>
      <c r="C133" s="145">
        <f>IF('DM_NHAN_SU'!$B133="","",'DM_NHAN_SU'!C133)</f>
        <v/>
      </c>
      <c r="D133" s="145">
        <f>IF('DM_NHAN_SU'!$B133="","",'DM_NHAN_SU'!D133)</f>
        <v/>
      </c>
      <c r="E133" s="145">
        <f>IF('DM_NHAN_SU'!$B133="","",'DM_NHAN_SU'!E133)</f>
        <v/>
      </c>
      <c r="F133" s="145">
        <f>IF('DM_NHAN_SU'!$B133="","",'DM_NHAN_SU'!I133)</f>
        <v/>
      </c>
      <c r="G133" s="145">
        <f>IF('DM_NHAN_SU'!$B133="","",'DM_NHAN_SU'!J133)</f>
        <v/>
      </c>
      <c r="H133" s="145">
        <f>IF('DM_NHAN_SU'!$B133="","",IF('DM_NHAN_SU'!H133="",'THAM_SO'!$B$11,'DM_NHAN_SU'!H133))</f>
        <v/>
      </c>
      <c r="I133" s="232">
        <f>IF('DM_NHAN_SU'!$B133="","",IF('DM_NHAN_SU'!L133&gt;0,'DM_NHAN_SU'!L133,'THAM_SO'!$B$9))</f>
        <v/>
      </c>
      <c r="J133" s="232">
        <f>IF('DM_NHAN_SU'!$B133="","",IF('DM_NHAN_SU'!M133&gt;0,'DM_NHAN_SU'!M133,'THAM_SO'!$B$10))</f>
        <v/>
      </c>
      <c r="K133" s="232">
        <f>IF('DM_NHAN_SU'!$B133="","",'CHAM_CONG_THANG'!AC133)</f>
        <v/>
      </c>
      <c r="L133" s="232">
        <f>IF('DM_NHAN_SU'!$B133="","",'CHAM_CONG_THANG'!AD133)</f>
        <v/>
      </c>
      <c r="M133" s="232">
        <f>IF('DM_NHAN_SU'!$B133="","",'CHAM_CONG_THANG'!AE133)</f>
        <v/>
      </c>
      <c r="N133" s="232">
        <f>IF('DM_NHAN_SU'!$B133="","",'CHAM_CONG_THANG'!N133)</f>
        <v/>
      </c>
      <c r="O133" s="224">
        <f>IF('DM_NHAN_SU'!$B133="","",IF($B133="","",IF($G133="Tháng",IF($I133&gt;0,'DM_NHAN_SU'!$K133*MIN($K133,$I133)/$I133,0),IF($G133="Ngày",'DM_NHAN_SU'!$K133*$K133,IF($G133="Giờ",'DM_NHAN_SU'!$K133*$L133,IF($G133="Sản phẩm",'DM_NHAN_SU'!$K133*$N133,0))))))</f>
        <v/>
      </c>
      <c r="P133" s="224">
        <f>IF('DM_NHAN_SU'!$B133="","",'CHAM_CONG_THANG'!O133)</f>
        <v/>
      </c>
      <c r="Q133" s="224">
        <f>IF('DM_NHAN_SU'!$B133="","",'CHAM_CONG_THANG'!P133)</f>
        <v/>
      </c>
      <c r="R133" s="224">
        <f>IF('DM_NHAN_SU'!$B133="","",'CHAM_CONG_THANG'!Q133)</f>
        <v/>
      </c>
      <c r="S133" s="224">
        <f>IF('DM_NHAN_SU'!$B133="","",'CHAM_CONG_THANG'!R133)</f>
        <v/>
      </c>
      <c r="T133" s="224">
        <f>IF('DM_NHAN_SU'!$B133="","",'CHAM_CONG_THANG'!S133)</f>
        <v/>
      </c>
      <c r="U133" s="224">
        <f>IF('DM_NHAN_SU'!$B133="","",MIN($T133,'THAM_SO'!$F$6))</f>
        <v/>
      </c>
      <c r="V133" s="224">
        <f>IF('DM_NHAN_SU'!$B133="","",MAX($T133-$U133,0))</f>
        <v/>
      </c>
      <c r="W133" s="224">
        <f>IF('DM_NHAN_SU'!$B133="","",'CHAM_CONG_THANG'!T133)</f>
        <v/>
      </c>
      <c r="X133" s="224">
        <f>IF('DM_NHAN_SU'!$B133="","",'CHAM_CONG_THANG'!U133)</f>
        <v/>
      </c>
      <c r="Y133" s="224">
        <f>IF('DM_NHAN_SU'!$B133="","",IF($B133="",0,IF('DM_NHAN_SU'!$Q133&gt;0,'DM_NHAN_SU'!$Q133,IF($G133="Tháng",IF($I133*$J133&gt;0,'DM_NHAN_SU'!$K133/($I133*$J133),0),IF($G133="Ngày",IF($J133&gt;0,'DM_NHAN_SU'!$K133/$J133,0),IF($G133="Giờ",'DM_NHAN_SU'!$K133,0))))))</f>
        <v/>
      </c>
      <c r="Z133" s="224">
        <f>IF('DM_NHAN_SU'!$B133="","",$Y133*($M133*'THAM_SO'!$C$22+'CHAM_CONG_THANG'!$AF133*'THAM_SO'!$C$19+'CHAM_CONG_THANG'!$AG133*'THAM_SO'!$C$20+'CHAM_CONG_THANG'!$AH133*'THAM_SO'!$C$21+'CHAM_CONG_THANG'!$AI133*'THAM_SO'!$C$23+'CHAM_CONG_THANG'!$AJ133*'THAM_SO'!$C$24+'CHAM_CONG_THANG'!$AK133*'THAM_SO'!$C$25))</f>
        <v/>
      </c>
      <c r="AA133" s="224">
        <f>IF('DM_NHAN_SU'!$B133="","",MAX(0,$Y133*($M133*IF('THAM_SO'!$C$22&gt;='THAM_SO'!$B$22,'THAM_SO'!$B$22,0)+'CHAM_CONG_THANG'!$AF133*IF('THAM_SO'!$C$19&gt;='THAM_SO'!$B$19,'THAM_SO'!$B$19,0)+'CHAM_CONG_THANG'!$AG133*IF('THAM_SO'!$C$20&gt;='THAM_SO'!$B$20,'THAM_SO'!$B$20,0)+'CHAM_CONG_THANG'!$AH133*IF('THAM_SO'!$C$21&gt;='THAM_SO'!$B$21,'THAM_SO'!$B$21,0)+'CHAM_CONG_THANG'!$AI133*IF('THAM_SO'!$C$23&gt;='THAM_SO'!$B$23,'THAM_SO'!$B$23,0)+'CHAM_CONG_THANG'!$AJ133*IF('THAM_SO'!$C$24&gt;='THAM_SO'!$B$24,'THAM_SO'!$B$24,0)+'CHAM_CONG_THANG'!$AK133*IF('THAM_SO'!$C$25&gt;='THAM_SO'!$B$25,'THAM_SO'!$B$25,0))-'CHAM_CONG_THANG'!$V133))</f>
        <v/>
      </c>
      <c r="AB133" s="224">
        <f>IF('DM_NHAN_SU'!$B133="","",MAX($Z133-$AA133,0))</f>
        <v/>
      </c>
      <c r="AC133" s="224">
        <f>IF('DM_NHAN_SU'!$B133="","",$O133+$P133+$Q133+$R133+$S133+$V133+$AB133+$BO133+$BP133+$BQ133+$BR133)</f>
        <v/>
      </c>
      <c r="AD133" s="224">
        <f>IF('DM_NHAN_SU'!$B133="","",'DM_NHAN_SU'!N133+'DM_NHAN_SU'!O133+'DM_NHAN_SU'!P133)</f>
        <v/>
      </c>
      <c r="AE133" s="224">
        <f>IF('DM_NHAN_SU'!$B133="","",IF(OR('DM_NHAN_SU'!$R133&lt;&gt;"Có",'CHAM_CONG_THANG'!$AA133="Có",$BL133&gt;=14,$AD133&lt;=0),0,MIN(MAX($AD133,'THAM_SO'!$M$6),'THAM_SO'!$M$7)))</f>
        <v/>
      </c>
      <c r="AF133" s="224">
        <f>IF('DM_NHAN_SU'!$B133="","",IF(OR('DM_NHAN_SU'!$S133&lt;&gt;"Có",'CHAM_CONG_THANG'!$AA133="Có",$BL133&gt;=14,$AD133&lt;=0),0,MIN(MAX($AD133,VLOOKUP($H133,'THAM_SO'!$L$17:$P$20,4,FALSE)),VLOOKUP($H133,'THAM_SO'!$L$17:$P$20,5,FALSE))))</f>
        <v/>
      </c>
      <c r="AG133" s="224">
        <f>IF('DM_NHAN_SU'!$B133="","",$AE133*'THAM_SO'!$M$8)</f>
        <v/>
      </c>
      <c r="AH133" s="224">
        <f>IF('DM_NHAN_SU'!$B133="","",$AE133*'THAM_SO'!$M$9)</f>
        <v/>
      </c>
      <c r="AI133" s="224">
        <f>IF('DM_NHAN_SU'!$B133="","",$AF133*'THAM_SO'!$M$10)</f>
        <v/>
      </c>
      <c r="AJ133" s="224">
        <f>IF('DM_NHAN_SU'!$B133="","",SUM($AG133:$AI133))</f>
        <v/>
      </c>
      <c r="AK133" s="224">
        <f>IF('DM_NHAN_SU'!$B133="","",IF($B133="",0,'THAM_SO'!$F$4))</f>
        <v/>
      </c>
      <c r="AL133" s="224">
        <f>IF('DM_NHAN_SU'!$B133="","",IF($B133="",0,'DM_NHAN_SU'!$T133*'THAM_SO'!$F$5))</f>
        <v/>
      </c>
      <c r="AM133" s="224">
        <f>IF('DM_NHAN_SU'!$B133="","",'CHAM_CONG_THANG'!W133)</f>
        <v/>
      </c>
      <c r="AN133" s="224">
        <f>IF('DM_NHAN_SU'!$B133="","",MAX($AC133-$AK133-$AL133-$AM133,0))</f>
        <v/>
      </c>
      <c r="AO133" s="224">
        <f>IF('DM_NHAN_SU'!$B133="","",IF($B133="","",IF($F133="Net",IF($AC133&lt;=$AK133+$AL133+$AM133,$AC133+$AJ133,$AJ133+$AK133+$AL133+$AM133+IF($AN133&lt;='THAM_SO'!$J$10,($AN133-'THAM_SO'!$I$10)/(1-'THAM_SO'!$H$10),IF($AN133&lt;='THAM_SO'!$J$11,($AN133-'THAM_SO'!$I$11)/(1-'THAM_SO'!$H$11),IF($AN133&lt;='THAM_SO'!$J$12,($AN133-'THAM_SO'!$I$12)/(1-'THAM_SO'!$H$12),IF($AN133&lt;='THAM_SO'!$J$13,($AN133-'THAM_SO'!$I$13)/(1-'THAM_SO'!$H$13),($AN133-'THAM_SO'!$I$14)/(1-'THAM_SO'!$H$14)))))),$AC133)))</f>
        <v/>
      </c>
      <c r="AP133" s="224">
        <f>IF('DM_NHAN_SU'!$B133="","",$U133+$W133+$X133+$AA133+$BS133)</f>
        <v/>
      </c>
      <c r="AQ133" s="224">
        <f>IF('DM_NHAN_SU'!$B133="","",MAX($AO133-$AJ133-$AK133-$AL133-$AM133,0))</f>
        <v/>
      </c>
      <c r="AR133" s="224">
        <f>IF('DM_NHAN_SU'!$B133="","",IF($AQ133&lt;=0,0,$AQ133*VLOOKUP($AQ133,'THAM_SO'!$F$10:$I$14,3,TRUE)-VLOOKUP($AQ133,'THAM_SO'!$F$10:$I$14,4,TRUE)))</f>
        <v/>
      </c>
      <c r="AS133" s="224">
        <f>IF('DM_NHAN_SU'!$B133="","",$AO133+$AP133)</f>
        <v/>
      </c>
      <c r="AT133" s="224">
        <f>IF('DM_NHAN_SU'!$B133="","",$AS133-$AJ133-$AR133)</f>
        <v/>
      </c>
      <c r="AU133" s="224">
        <f>IF('DM_NHAN_SU'!$B133="","",'CHAM_CONG_THANG'!X133)</f>
        <v/>
      </c>
      <c r="AV133" s="224">
        <f>IF('DM_NHAN_SU'!$B133="","",'CHAM_CONG_THANG'!Y133+'QT_NGHI_VIEC'!AD133)</f>
        <v/>
      </c>
      <c r="AW133" s="224">
        <f>IF('DM_NHAN_SU'!$B133="","",'CHAM_CONG_THANG'!Z133)</f>
        <v/>
      </c>
      <c r="AX133" s="224">
        <f>IF('DM_NHAN_SU'!$B133="","",$AT133-$AU133-$AV133-$AW133-$BV133)</f>
        <v/>
      </c>
      <c r="AY133" s="224">
        <f>IF('DM_NHAN_SU'!$B133="","",$AE133*'THAM_SO'!$M$11)</f>
        <v/>
      </c>
      <c r="AZ133" s="224">
        <f>IF('DM_NHAN_SU'!$B133="","",$AE133*'THAM_SO'!$M$12)</f>
        <v/>
      </c>
      <c r="BA133" s="224">
        <f>IF('DM_NHAN_SU'!$B133="","",$AF133*'THAM_SO'!$M$13)</f>
        <v/>
      </c>
      <c r="BB133" s="224">
        <f>IF('DM_NHAN_SU'!$B133="","",$AE133*'THAM_SO'!$M$14)</f>
        <v/>
      </c>
      <c r="BC133" s="224">
        <f>IF('DM_NHAN_SU'!$B133="","",SUM($AY133:$BB133))</f>
        <v/>
      </c>
      <c r="BD133" s="224">
        <f>IF('DM_NHAN_SU'!$B133="","",$AS133+$BC133)</f>
        <v/>
      </c>
      <c r="BE133" s="224">
        <f>IF('DM_NHAN_SU'!$B133="","",VLOOKUP($H133,'THAM_SO'!$L$17:$P$20,2,FALSE))</f>
        <v/>
      </c>
      <c r="BF133" s="224">
        <f>IF('DM_NHAN_SU'!$B133="","",VLOOKUP($H133,'THAM_SO'!$L$17:$P$20,3,FALSE))</f>
        <v/>
      </c>
      <c r="BG133" s="150">
        <f>IF('DM_NHAN_SU'!$B133="","",IF($B133="","",IF(COUNTIF('DM_NHAN_SU'!$B$6:$B$155,$B133)&gt;1,"Trùng mã NV; ","")&amp;IF(OR($F133="",$G133=""),"Thiếu loại/hình thức lương; ","")&amp;IF('CHAM_CONG_THANG'!$D133="","Chưa chọn nguồn công; ","")&amp;IF(AND('CHAM_CONG_THANG'!$D133="Theo ngày",COUNTIF('CHAM_CONG_NGAY'!$B$6:$B$4655,$B133)=0),"Chưa có chấm công ngày; ","")&amp;IF(OR($I133&lt;=0,$J133&lt;=0),"Thiếu công/giờ chuẩn; ","")&amp;IF(AND($G133="Tháng",'DM_NHAN_SU'!$K133&lt;$BE133),"Lương tháng dưới tối thiểu vùng; ","")&amp;IF(AND($G133="Ngày",'DM_NHAN_SU'!$K133/$J133&lt;$BF133),"Lương ngày quy đổi dưới tối thiểu giờ; ","")&amp;IF(AND($G133="Giờ",'DM_NHAN_SU'!$K133&lt;$BF133),"Lương giờ dưới tối thiểu vùng; ","")&amp;IF(AND($G133="Sản phẩm",$L133&gt;0,$O133/$L133&lt;$BF133),"Lương SP quy đổi dưới tối thiểu giờ; ","")&amp;IF(OR('THAM_SO'!$C$19&lt;'THAM_SO'!$B$19,'THAM_SO'!$C$20&lt;'THAM_SO'!$B$20,'THAM_SO'!$C$21&lt;'THAM_SO'!$B$21,'THAM_SO'!$C$22&lt;'THAM_SO'!$B$22,'THAM_SO'!$C$23&lt;'THAM_SO'!$B$23,'THAM_SO'!$C$24&lt;'THAM_SO'!$B$24,'THAM_SO'!$C$25&lt;'THAM_SO'!$B$25),"Hệ số OT/đêm DN thấp hơn luật; ","")&amp;IF(AND('DM_NHAN_SU'!$R133="Có",$AD133&lt;=0),"Thiếu căn cứ đóng BH; ","")&amp;IF(AND($AD133&gt;0,$AD133&lt;'THAM_SO'!$M$6),"Căn cứ BH dưới sàn – đã nâng sàn; ","")&amp;IF($AD133&gt;'THAM_SO'!$M$7,"Căn cứ BH vượt trần – đã giới hạn; ","")&amp;IF(AND($F133="Net",SUM('CHAM_CONG_THANG'!$AF133:$AK133)&gt;0,'DM_NHAN_SU'!$Q133&lt;=0),"Net có OT nhưng chưa khai lương giờ OT; ","")&amp;IF('CHAM_CONG_THANG'!$V133&gt;$Z133,"Phần OT không miễn lớn hơn tiền OT; ","")&amp;IF(AND($F133="Net",ABS($AT133-$AC133-$AP133)&gt;1),"Lệch quy đổi Net; ","")&amp;IF(AND($BH133&gt;0,'DM_NHAN_SU'!$AD133=""),"Có phép năm nhưng đang tạm dùng 12 ngày; ","")&amp;IF(AND($G133="Sản phẩm",SUM($BH133:$BJ133)&gt;0,'DM_NHAN_SU'!$AH133&lt;=0),"Lương sản phẩm thiếu đơn giá ngày phép/lễ; ","")&amp;IF(AND($BL133&gt;=14,'CHAM_CONG_THANG'!$AA133&lt;&gt;"Có"),"Thai sản từ 14 ngày: file tự dừng đóng BH – kiểm tra hồ sơ; ","")&amp;IF(AND('DM_NHAN_SU'!$AA133="Có",'DM_NHAN_SU'!$AB133=""),"Đoàn viên chưa chọn cách tính đoàn phí; ","")&amp;IF(AND('DM_NHAN_SU'!$AB133="Nhập tay",'DM_NHAN_SU'!$AC133&gt;'THAM_SO'!$M$26),"Đoàn phí nhập tay vượt trần thông dụng; ","")&amp;IF('NGHI_PHEP'!$L133&lt;&gt;"","Phép: "&amp;'NGHI_PHEP'!$L133,"")&amp;IF('CHE_DO_BHXH'!$AA133&lt;&gt;"","BHXH: "&amp;'CHE_DO_BHXH'!$AA133,"")&amp;IF('THUONG_T13_TET'!$O133&lt;&gt;"","Thưởng: "&amp;'THUONG_T13_TET'!$O133,"")&amp;IF('QT_NGHI_VIEC'!$AF133&lt;&gt;"","Nghỉ việc: "&amp;'QT_NGHI_VIEC'!$AF133,"")&amp;IF($AX133&lt;0,"Thực lĩnh âm; ","")&amp;IF(OR('DM_NHAN_SU'!$F133&gt;'THAM_SO'!$B$7,AND('DM_NHAN_SU'!$G133&lt;&gt;"",'DM_NHAN_SU'!$G133&lt;'THAM_SO'!$B$6)),"Ngoài kỳ trả lương; ","")))</f>
        <v/>
      </c>
      <c r="BH133" s="232">
        <f>IF('DM_NHAN_SU'!$B133="","",'CHAM_CONG_THANG'!AR133)</f>
        <v/>
      </c>
      <c r="BI133" s="232">
        <f>IF('DM_NHAN_SU'!$B133="","",'CHAM_CONG_THANG'!AS133)</f>
        <v/>
      </c>
      <c r="BJ133" s="232">
        <f>IF('DM_NHAN_SU'!$B133="","",'CHAM_CONG_THANG'!AT133)</f>
        <v/>
      </c>
      <c r="BK133" s="232">
        <f>IF('DM_NHAN_SU'!$B133="","",'CHAM_CONG_THANG'!AU133)</f>
        <v/>
      </c>
      <c r="BL133" s="232">
        <f>IF('DM_NHAN_SU'!$B133="","",'CHAM_CONG_THANG'!AV133)</f>
        <v/>
      </c>
      <c r="BM133" s="232">
        <f>IF('DM_NHAN_SU'!$B133="","",'CHAM_CONG_THANG'!AW133)</f>
        <v/>
      </c>
      <c r="BN133" s="232">
        <f>IF('DM_NHAN_SU'!$B133="","",SUM($K133,$BH133:$BJ133))</f>
        <v/>
      </c>
      <c r="BO133" s="224">
        <f>IF('DM_NHAN_SU'!$B133="","",IF($B133="",0,IF($G133="Tháng",IF($I133&gt;0,'DM_NHAN_SU'!$K133*MIN($BH133+$BJ133,MAX($I133-$K133,0))/$I133,0),IF($G133="Ngày",'DM_NHAN_SU'!$K133*SUM($BH133:$BJ133),IF($G133="Giờ",'DM_NHAN_SU'!$K133*SUM($BH133:$BJ133)*$J133,IF($G133="Sản phẩm",'DM_NHAN_SU'!$AH133*SUM($BH133:$BJ133),0))))))</f>
        <v/>
      </c>
      <c r="BP133" s="224">
        <f>IF('DM_NHAN_SU'!$B133="","",IF('THUONG_T13_TET'!$L133="Có",'THUONG_T13_TET'!$I133,0))</f>
        <v/>
      </c>
      <c r="BQ133" s="224">
        <f>IF('DM_NHAN_SU'!$B133="","",IF('THUONG_T13_TET'!$L133="Có",SUM('THUONG_T13_TET'!$J133:$K133),0))</f>
        <v/>
      </c>
      <c r="BR133" s="224">
        <f>IF('DM_NHAN_SU'!$B133="","",'QT_NGHI_VIEC'!AC133)</f>
        <v/>
      </c>
      <c r="BS133" s="224">
        <f>IF('DM_NHAN_SU'!$B133="","",'QT_NGHI_VIEC'!AB133)</f>
        <v/>
      </c>
      <c r="BT133" s="224">
        <f>IF('DM_NHAN_SU'!$B133="","",IF('CHE_DO_BHXH'!$Z133="Có",'CHE_DO_BHXH'!$W133,0))</f>
        <v/>
      </c>
      <c r="BU133" s="224">
        <f>IF('DM_NHAN_SU'!$B133="","",IF('CHE_DO_BHXH'!$Y133="DN trả thay",$BT133,0))</f>
        <v/>
      </c>
      <c r="BV133" s="224">
        <f>IF('DM_NHAN_SU'!$B133="","",IF(OR('DM_NHAN_SU'!$AA133&lt;&gt;"Có",'CHE_DO_BHXH'!$O133&gt;=1,SUM('CHE_DO_BHXH'!$D133,'CHE_DO_BHXH'!$G133,'CHE_DO_BHXH'!$K133)&gt;=24,AND($I133&gt;0,$BM133&gt;=$I133)),0,IF('DM_NHAN_SU'!$AB133="Không",0,IF('DM_NHAN_SU'!$AB133="Nhập tay",'DM_NHAN_SU'!$AC133,IF('DM_NHAN_SU'!$AB133="Theo thực nhận",MIN(MAX($AT133-$AU133-$AV133-$AW133,0)*'THAM_SO'!$M$23,'THAM_SO'!$M$26),MIN($AE133*'THAM_SO'!$M$23,'THAM_SO'!$M$26))))))</f>
        <v/>
      </c>
      <c r="BW133" s="224">
        <f>IF('DM_NHAN_SU'!$B133="","",$AX133+$BU133)</f>
        <v/>
      </c>
    </row>
    <row r="134">
      <c r="A134" s="145">
        <f>IF('DM_NHAN_SU'!$B134="","",IF($B134="","",ROW()-5))</f>
        <v/>
      </c>
      <c r="B134" s="145">
        <f>IF('DM_NHAN_SU'!$B134="","",'DM_NHAN_SU'!B134)</f>
        <v/>
      </c>
      <c r="C134" s="145">
        <f>IF('DM_NHAN_SU'!$B134="","",'DM_NHAN_SU'!C134)</f>
        <v/>
      </c>
      <c r="D134" s="145">
        <f>IF('DM_NHAN_SU'!$B134="","",'DM_NHAN_SU'!D134)</f>
        <v/>
      </c>
      <c r="E134" s="145">
        <f>IF('DM_NHAN_SU'!$B134="","",'DM_NHAN_SU'!E134)</f>
        <v/>
      </c>
      <c r="F134" s="145">
        <f>IF('DM_NHAN_SU'!$B134="","",'DM_NHAN_SU'!I134)</f>
        <v/>
      </c>
      <c r="G134" s="145">
        <f>IF('DM_NHAN_SU'!$B134="","",'DM_NHAN_SU'!J134)</f>
        <v/>
      </c>
      <c r="H134" s="145">
        <f>IF('DM_NHAN_SU'!$B134="","",IF('DM_NHAN_SU'!H134="",'THAM_SO'!$B$11,'DM_NHAN_SU'!H134))</f>
        <v/>
      </c>
      <c r="I134" s="232">
        <f>IF('DM_NHAN_SU'!$B134="","",IF('DM_NHAN_SU'!L134&gt;0,'DM_NHAN_SU'!L134,'THAM_SO'!$B$9))</f>
        <v/>
      </c>
      <c r="J134" s="232">
        <f>IF('DM_NHAN_SU'!$B134="","",IF('DM_NHAN_SU'!M134&gt;0,'DM_NHAN_SU'!M134,'THAM_SO'!$B$10))</f>
        <v/>
      </c>
      <c r="K134" s="232">
        <f>IF('DM_NHAN_SU'!$B134="","",'CHAM_CONG_THANG'!AC134)</f>
        <v/>
      </c>
      <c r="L134" s="232">
        <f>IF('DM_NHAN_SU'!$B134="","",'CHAM_CONG_THANG'!AD134)</f>
        <v/>
      </c>
      <c r="M134" s="232">
        <f>IF('DM_NHAN_SU'!$B134="","",'CHAM_CONG_THANG'!AE134)</f>
        <v/>
      </c>
      <c r="N134" s="232">
        <f>IF('DM_NHAN_SU'!$B134="","",'CHAM_CONG_THANG'!N134)</f>
        <v/>
      </c>
      <c r="O134" s="224">
        <f>IF('DM_NHAN_SU'!$B134="","",IF($B134="","",IF($G134="Tháng",IF($I134&gt;0,'DM_NHAN_SU'!$K134*MIN($K134,$I134)/$I134,0),IF($G134="Ngày",'DM_NHAN_SU'!$K134*$K134,IF($G134="Giờ",'DM_NHAN_SU'!$K134*$L134,IF($G134="Sản phẩm",'DM_NHAN_SU'!$K134*$N134,0))))))</f>
        <v/>
      </c>
      <c r="P134" s="224">
        <f>IF('DM_NHAN_SU'!$B134="","",'CHAM_CONG_THANG'!O134)</f>
        <v/>
      </c>
      <c r="Q134" s="224">
        <f>IF('DM_NHAN_SU'!$B134="","",'CHAM_CONG_THANG'!P134)</f>
        <v/>
      </c>
      <c r="R134" s="224">
        <f>IF('DM_NHAN_SU'!$B134="","",'CHAM_CONG_THANG'!Q134)</f>
        <v/>
      </c>
      <c r="S134" s="224">
        <f>IF('DM_NHAN_SU'!$B134="","",'CHAM_CONG_THANG'!R134)</f>
        <v/>
      </c>
      <c r="T134" s="224">
        <f>IF('DM_NHAN_SU'!$B134="","",'CHAM_CONG_THANG'!S134)</f>
        <v/>
      </c>
      <c r="U134" s="224">
        <f>IF('DM_NHAN_SU'!$B134="","",MIN($T134,'THAM_SO'!$F$6))</f>
        <v/>
      </c>
      <c r="V134" s="224">
        <f>IF('DM_NHAN_SU'!$B134="","",MAX($T134-$U134,0))</f>
        <v/>
      </c>
      <c r="W134" s="224">
        <f>IF('DM_NHAN_SU'!$B134="","",'CHAM_CONG_THANG'!T134)</f>
        <v/>
      </c>
      <c r="X134" s="224">
        <f>IF('DM_NHAN_SU'!$B134="","",'CHAM_CONG_THANG'!U134)</f>
        <v/>
      </c>
      <c r="Y134" s="224">
        <f>IF('DM_NHAN_SU'!$B134="","",IF($B134="",0,IF('DM_NHAN_SU'!$Q134&gt;0,'DM_NHAN_SU'!$Q134,IF($G134="Tháng",IF($I134*$J134&gt;0,'DM_NHAN_SU'!$K134/($I134*$J134),0),IF($G134="Ngày",IF($J134&gt;0,'DM_NHAN_SU'!$K134/$J134,0),IF($G134="Giờ",'DM_NHAN_SU'!$K134,0))))))</f>
        <v/>
      </c>
      <c r="Z134" s="224">
        <f>IF('DM_NHAN_SU'!$B134="","",$Y134*($M134*'THAM_SO'!$C$22+'CHAM_CONG_THANG'!$AF134*'THAM_SO'!$C$19+'CHAM_CONG_THANG'!$AG134*'THAM_SO'!$C$20+'CHAM_CONG_THANG'!$AH134*'THAM_SO'!$C$21+'CHAM_CONG_THANG'!$AI134*'THAM_SO'!$C$23+'CHAM_CONG_THANG'!$AJ134*'THAM_SO'!$C$24+'CHAM_CONG_THANG'!$AK134*'THAM_SO'!$C$25))</f>
        <v/>
      </c>
      <c r="AA134" s="224">
        <f>IF('DM_NHAN_SU'!$B134="","",MAX(0,$Y134*($M134*IF('THAM_SO'!$C$22&gt;='THAM_SO'!$B$22,'THAM_SO'!$B$22,0)+'CHAM_CONG_THANG'!$AF134*IF('THAM_SO'!$C$19&gt;='THAM_SO'!$B$19,'THAM_SO'!$B$19,0)+'CHAM_CONG_THANG'!$AG134*IF('THAM_SO'!$C$20&gt;='THAM_SO'!$B$20,'THAM_SO'!$B$20,0)+'CHAM_CONG_THANG'!$AH134*IF('THAM_SO'!$C$21&gt;='THAM_SO'!$B$21,'THAM_SO'!$B$21,0)+'CHAM_CONG_THANG'!$AI134*IF('THAM_SO'!$C$23&gt;='THAM_SO'!$B$23,'THAM_SO'!$B$23,0)+'CHAM_CONG_THANG'!$AJ134*IF('THAM_SO'!$C$24&gt;='THAM_SO'!$B$24,'THAM_SO'!$B$24,0)+'CHAM_CONG_THANG'!$AK134*IF('THAM_SO'!$C$25&gt;='THAM_SO'!$B$25,'THAM_SO'!$B$25,0))-'CHAM_CONG_THANG'!$V134))</f>
        <v/>
      </c>
      <c r="AB134" s="224">
        <f>IF('DM_NHAN_SU'!$B134="","",MAX($Z134-$AA134,0))</f>
        <v/>
      </c>
      <c r="AC134" s="224">
        <f>IF('DM_NHAN_SU'!$B134="","",$O134+$P134+$Q134+$R134+$S134+$V134+$AB134+$BO134+$BP134+$BQ134+$BR134)</f>
        <v/>
      </c>
      <c r="AD134" s="224">
        <f>IF('DM_NHAN_SU'!$B134="","",'DM_NHAN_SU'!N134+'DM_NHAN_SU'!O134+'DM_NHAN_SU'!P134)</f>
        <v/>
      </c>
      <c r="AE134" s="224">
        <f>IF('DM_NHAN_SU'!$B134="","",IF(OR('DM_NHAN_SU'!$R134&lt;&gt;"Có",'CHAM_CONG_THANG'!$AA134="Có",$BL134&gt;=14,$AD134&lt;=0),0,MIN(MAX($AD134,'THAM_SO'!$M$6),'THAM_SO'!$M$7)))</f>
        <v/>
      </c>
      <c r="AF134" s="224">
        <f>IF('DM_NHAN_SU'!$B134="","",IF(OR('DM_NHAN_SU'!$S134&lt;&gt;"Có",'CHAM_CONG_THANG'!$AA134="Có",$BL134&gt;=14,$AD134&lt;=0),0,MIN(MAX($AD134,VLOOKUP($H134,'THAM_SO'!$L$17:$P$20,4,FALSE)),VLOOKUP($H134,'THAM_SO'!$L$17:$P$20,5,FALSE))))</f>
        <v/>
      </c>
      <c r="AG134" s="224">
        <f>IF('DM_NHAN_SU'!$B134="","",$AE134*'THAM_SO'!$M$8)</f>
        <v/>
      </c>
      <c r="AH134" s="224">
        <f>IF('DM_NHAN_SU'!$B134="","",$AE134*'THAM_SO'!$M$9)</f>
        <v/>
      </c>
      <c r="AI134" s="224">
        <f>IF('DM_NHAN_SU'!$B134="","",$AF134*'THAM_SO'!$M$10)</f>
        <v/>
      </c>
      <c r="AJ134" s="224">
        <f>IF('DM_NHAN_SU'!$B134="","",SUM($AG134:$AI134))</f>
        <v/>
      </c>
      <c r="AK134" s="224">
        <f>IF('DM_NHAN_SU'!$B134="","",IF($B134="",0,'THAM_SO'!$F$4))</f>
        <v/>
      </c>
      <c r="AL134" s="224">
        <f>IF('DM_NHAN_SU'!$B134="","",IF($B134="",0,'DM_NHAN_SU'!$T134*'THAM_SO'!$F$5))</f>
        <v/>
      </c>
      <c r="AM134" s="224">
        <f>IF('DM_NHAN_SU'!$B134="","",'CHAM_CONG_THANG'!W134)</f>
        <v/>
      </c>
      <c r="AN134" s="224">
        <f>IF('DM_NHAN_SU'!$B134="","",MAX($AC134-$AK134-$AL134-$AM134,0))</f>
        <v/>
      </c>
      <c r="AO134" s="224">
        <f>IF('DM_NHAN_SU'!$B134="","",IF($B134="","",IF($F134="Net",IF($AC134&lt;=$AK134+$AL134+$AM134,$AC134+$AJ134,$AJ134+$AK134+$AL134+$AM134+IF($AN134&lt;='THAM_SO'!$J$10,($AN134-'THAM_SO'!$I$10)/(1-'THAM_SO'!$H$10),IF($AN134&lt;='THAM_SO'!$J$11,($AN134-'THAM_SO'!$I$11)/(1-'THAM_SO'!$H$11),IF($AN134&lt;='THAM_SO'!$J$12,($AN134-'THAM_SO'!$I$12)/(1-'THAM_SO'!$H$12),IF($AN134&lt;='THAM_SO'!$J$13,($AN134-'THAM_SO'!$I$13)/(1-'THAM_SO'!$H$13),($AN134-'THAM_SO'!$I$14)/(1-'THAM_SO'!$H$14)))))),$AC134)))</f>
        <v/>
      </c>
      <c r="AP134" s="224">
        <f>IF('DM_NHAN_SU'!$B134="","",$U134+$W134+$X134+$AA134+$BS134)</f>
        <v/>
      </c>
      <c r="AQ134" s="224">
        <f>IF('DM_NHAN_SU'!$B134="","",MAX($AO134-$AJ134-$AK134-$AL134-$AM134,0))</f>
        <v/>
      </c>
      <c r="AR134" s="224">
        <f>IF('DM_NHAN_SU'!$B134="","",IF($AQ134&lt;=0,0,$AQ134*VLOOKUP($AQ134,'THAM_SO'!$F$10:$I$14,3,TRUE)-VLOOKUP($AQ134,'THAM_SO'!$F$10:$I$14,4,TRUE)))</f>
        <v/>
      </c>
      <c r="AS134" s="224">
        <f>IF('DM_NHAN_SU'!$B134="","",$AO134+$AP134)</f>
        <v/>
      </c>
      <c r="AT134" s="224">
        <f>IF('DM_NHAN_SU'!$B134="","",$AS134-$AJ134-$AR134)</f>
        <v/>
      </c>
      <c r="AU134" s="224">
        <f>IF('DM_NHAN_SU'!$B134="","",'CHAM_CONG_THANG'!X134)</f>
        <v/>
      </c>
      <c r="AV134" s="224">
        <f>IF('DM_NHAN_SU'!$B134="","",'CHAM_CONG_THANG'!Y134+'QT_NGHI_VIEC'!AD134)</f>
        <v/>
      </c>
      <c r="AW134" s="224">
        <f>IF('DM_NHAN_SU'!$B134="","",'CHAM_CONG_THANG'!Z134)</f>
        <v/>
      </c>
      <c r="AX134" s="224">
        <f>IF('DM_NHAN_SU'!$B134="","",$AT134-$AU134-$AV134-$AW134-$BV134)</f>
        <v/>
      </c>
      <c r="AY134" s="224">
        <f>IF('DM_NHAN_SU'!$B134="","",$AE134*'THAM_SO'!$M$11)</f>
        <v/>
      </c>
      <c r="AZ134" s="224">
        <f>IF('DM_NHAN_SU'!$B134="","",$AE134*'THAM_SO'!$M$12)</f>
        <v/>
      </c>
      <c r="BA134" s="224">
        <f>IF('DM_NHAN_SU'!$B134="","",$AF134*'THAM_SO'!$M$13)</f>
        <v/>
      </c>
      <c r="BB134" s="224">
        <f>IF('DM_NHAN_SU'!$B134="","",$AE134*'THAM_SO'!$M$14)</f>
        <v/>
      </c>
      <c r="BC134" s="224">
        <f>IF('DM_NHAN_SU'!$B134="","",SUM($AY134:$BB134))</f>
        <v/>
      </c>
      <c r="BD134" s="224">
        <f>IF('DM_NHAN_SU'!$B134="","",$AS134+$BC134)</f>
        <v/>
      </c>
      <c r="BE134" s="224">
        <f>IF('DM_NHAN_SU'!$B134="","",VLOOKUP($H134,'THAM_SO'!$L$17:$P$20,2,FALSE))</f>
        <v/>
      </c>
      <c r="BF134" s="224">
        <f>IF('DM_NHAN_SU'!$B134="","",VLOOKUP($H134,'THAM_SO'!$L$17:$P$20,3,FALSE))</f>
        <v/>
      </c>
      <c r="BG134" s="150">
        <f>IF('DM_NHAN_SU'!$B134="","",IF($B134="","",IF(COUNTIF('DM_NHAN_SU'!$B$6:$B$155,$B134)&gt;1,"Trùng mã NV; ","")&amp;IF(OR($F134="",$G134=""),"Thiếu loại/hình thức lương; ","")&amp;IF('CHAM_CONG_THANG'!$D134="","Chưa chọn nguồn công; ","")&amp;IF(AND('CHAM_CONG_THANG'!$D134="Theo ngày",COUNTIF('CHAM_CONG_NGAY'!$B$6:$B$4655,$B134)=0),"Chưa có chấm công ngày; ","")&amp;IF(OR($I134&lt;=0,$J134&lt;=0),"Thiếu công/giờ chuẩn; ","")&amp;IF(AND($G134="Tháng",'DM_NHAN_SU'!$K134&lt;$BE134),"Lương tháng dưới tối thiểu vùng; ","")&amp;IF(AND($G134="Ngày",'DM_NHAN_SU'!$K134/$J134&lt;$BF134),"Lương ngày quy đổi dưới tối thiểu giờ; ","")&amp;IF(AND($G134="Giờ",'DM_NHAN_SU'!$K134&lt;$BF134),"Lương giờ dưới tối thiểu vùng; ","")&amp;IF(AND($G134="Sản phẩm",$L134&gt;0,$O134/$L134&lt;$BF134),"Lương SP quy đổi dưới tối thiểu giờ; ","")&amp;IF(OR('THAM_SO'!$C$19&lt;'THAM_SO'!$B$19,'THAM_SO'!$C$20&lt;'THAM_SO'!$B$20,'THAM_SO'!$C$21&lt;'THAM_SO'!$B$21,'THAM_SO'!$C$22&lt;'THAM_SO'!$B$22,'THAM_SO'!$C$23&lt;'THAM_SO'!$B$23,'THAM_SO'!$C$24&lt;'THAM_SO'!$B$24,'THAM_SO'!$C$25&lt;'THAM_SO'!$B$25),"Hệ số OT/đêm DN thấp hơn luật; ","")&amp;IF(AND('DM_NHAN_SU'!$R134="Có",$AD134&lt;=0),"Thiếu căn cứ đóng BH; ","")&amp;IF(AND($AD134&gt;0,$AD134&lt;'THAM_SO'!$M$6),"Căn cứ BH dưới sàn – đã nâng sàn; ","")&amp;IF($AD134&gt;'THAM_SO'!$M$7,"Căn cứ BH vượt trần – đã giới hạn; ","")&amp;IF(AND($F134="Net",SUM('CHAM_CONG_THANG'!$AF134:$AK134)&gt;0,'DM_NHAN_SU'!$Q134&lt;=0),"Net có OT nhưng chưa khai lương giờ OT; ","")&amp;IF('CHAM_CONG_THANG'!$V134&gt;$Z134,"Phần OT không miễn lớn hơn tiền OT; ","")&amp;IF(AND($F134="Net",ABS($AT134-$AC134-$AP134)&gt;1),"Lệch quy đổi Net; ","")&amp;IF(AND($BH134&gt;0,'DM_NHAN_SU'!$AD134=""),"Có phép năm nhưng đang tạm dùng 12 ngày; ","")&amp;IF(AND($G134="Sản phẩm",SUM($BH134:$BJ134)&gt;0,'DM_NHAN_SU'!$AH134&lt;=0),"Lương sản phẩm thiếu đơn giá ngày phép/lễ; ","")&amp;IF(AND($BL134&gt;=14,'CHAM_CONG_THANG'!$AA134&lt;&gt;"Có"),"Thai sản từ 14 ngày: file tự dừng đóng BH – kiểm tra hồ sơ; ","")&amp;IF(AND('DM_NHAN_SU'!$AA134="Có",'DM_NHAN_SU'!$AB134=""),"Đoàn viên chưa chọn cách tính đoàn phí; ","")&amp;IF(AND('DM_NHAN_SU'!$AB134="Nhập tay",'DM_NHAN_SU'!$AC134&gt;'THAM_SO'!$M$26),"Đoàn phí nhập tay vượt trần thông dụng; ","")&amp;IF('NGHI_PHEP'!$L134&lt;&gt;"","Phép: "&amp;'NGHI_PHEP'!$L134,"")&amp;IF('CHE_DO_BHXH'!$AA134&lt;&gt;"","BHXH: "&amp;'CHE_DO_BHXH'!$AA134,"")&amp;IF('THUONG_T13_TET'!$O134&lt;&gt;"","Thưởng: "&amp;'THUONG_T13_TET'!$O134,"")&amp;IF('QT_NGHI_VIEC'!$AF134&lt;&gt;"","Nghỉ việc: "&amp;'QT_NGHI_VIEC'!$AF134,"")&amp;IF($AX134&lt;0,"Thực lĩnh âm; ","")&amp;IF(OR('DM_NHAN_SU'!$F134&gt;'THAM_SO'!$B$7,AND('DM_NHAN_SU'!$G134&lt;&gt;"",'DM_NHAN_SU'!$G134&lt;'THAM_SO'!$B$6)),"Ngoài kỳ trả lương; ","")))</f>
        <v/>
      </c>
      <c r="BH134" s="232">
        <f>IF('DM_NHAN_SU'!$B134="","",'CHAM_CONG_THANG'!AR134)</f>
        <v/>
      </c>
      <c r="BI134" s="232">
        <f>IF('DM_NHAN_SU'!$B134="","",'CHAM_CONG_THANG'!AS134)</f>
        <v/>
      </c>
      <c r="BJ134" s="232">
        <f>IF('DM_NHAN_SU'!$B134="","",'CHAM_CONG_THANG'!AT134)</f>
        <v/>
      </c>
      <c r="BK134" s="232">
        <f>IF('DM_NHAN_SU'!$B134="","",'CHAM_CONG_THANG'!AU134)</f>
        <v/>
      </c>
      <c r="BL134" s="232">
        <f>IF('DM_NHAN_SU'!$B134="","",'CHAM_CONG_THANG'!AV134)</f>
        <v/>
      </c>
      <c r="BM134" s="232">
        <f>IF('DM_NHAN_SU'!$B134="","",'CHAM_CONG_THANG'!AW134)</f>
        <v/>
      </c>
      <c r="BN134" s="232">
        <f>IF('DM_NHAN_SU'!$B134="","",SUM($K134,$BH134:$BJ134))</f>
        <v/>
      </c>
      <c r="BO134" s="224">
        <f>IF('DM_NHAN_SU'!$B134="","",IF($B134="",0,IF($G134="Tháng",IF($I134&gt;0,'DM_NHAN_SU'!$K134*MIN($BH134+$BJ134,MAX($I134-$K134,0))/$I134,0),IF($G134="Ngày",'DM_NHAN_SU'!$K134*SUM($BH134:$BJ134),IF($G134="Giờ",'DM_NHAN_SU'!$K134*SUM($BH134:$BJ134)*$J134,IF($G134="Sản phẩm",'DM_NHAN_SU'!$AH134*SUM($BH134:$BJ134),0))))))</f>
        <v/>
      </c>
      <c r="BP134" s="224">
        <f>IF('DM_NHAN_SU'!$B134="","",IF('THUONG_T13_TET'!$L134="Có",'THUONG_T13_TET'!$I134,0))</f>
        <v/>
      </c>
      <c r="BQ134" s="224">
        <f>IF('DM_NHAN_SU'!$B134="","",IF('THUONG_T13_TET'!$L134="Có",SUM('THUONG_T13_TET'!$J134:$K134),0))</f>
        <v/>
      </c>
      <c r="BR134" s="224">
        <f>IF('DM_NHAN_SU'!$B134="","",'QT_NGHI_VIEC'!AC134)</f>
        <v/>
      </c>
      <c r="BS134" s="224">
        <f>IF('DM_NHAN_SU'!$B134="","",'QT_NGHI_VIEC'!AB134)</f>
        <v/>
      </c>
      <c r="BT134" s="224">
        <f>IF('DM_NHAN_SU'!$B134="","",IF('CHE_DO_BHXH'!$Z134="Có",'CHE_DO_BHXH'!$W134,0))</f>
        <v/>
      </c>
      <c r="BU134" s="224">
        <f>IF('DM_NHAN_SU'!$B134="","",IF('CHE_DO_BHXH'!$Y134="DN trả thay",$BT134,0))</f>
        <v/>
      </c>
      <c r="BV134" s="224">
        <f>IF('DM_NHAN_SU'!$B134="","",IF(OR('DM_NHAN_SU'!$AA134&lt;&gt;"Có",'CHE_DO_BHXH'!$O134&gt;=1,SUM('CHE_DO_BHXH'!$D134,'CHE_DO_BHXH'!$G134,'CHE_DO_BHXH'!$K134)&gt;=24,AND($I134&gt;0,$BM134&gt;=$I134)),0,IF('DM_NHAN_SU'!$AB134="Không",0,IF('DM_NHAN_SU'!$AB134="Nhập tay",'DM_NHAN_SU'!$AC134,IF('DM_NHAN_SU'!$AB134="Theo thực nhận",MIN(MAX($AT134-$AU134-$AV134-$AW134,0)*'THAM_SO'!$M$23,'THAM_SO'!$M$26),MIN($AE134*'THAM_SO'!$M$23,'THAM_SO'!$M$26))))))</f>
        <v/>
      </c>
      <c r="BW134" s="224">
        <f>IF('DM_NHAN_SU'!$B134="","",$AX134+$BU134)</f>
        <v/>
      </c>
    </row>
    <row r="135">
      <c r="A135" s="145">
        <f>IF('DM_NHAN_SU'!$B135="","",IF($B135="","",ROW()-5))</f>
        <v/>
      </c>
      <c r="B135" s="145">
        <f>IF('DM_NHAN_SU'!$B135="","",'DM_NHAN_SU'!B135)</f>
        <v/>
      </c>
      <c r="C135" s="145">
        <f>IF('DM_NHAN_SU'!$B135="","",'DM_NHAN_SU'!C135)</f>
        <v/>
      </c>
      <c r="D135" s="145">
        <f>IF('DM_NHAN_SU'!$B135="","",'DM_NHAN_SU'!D135)</f>
        <v/>
      </c>
      <c r="E135" s="145">
        <f>IF('DM_NHAN_SU'!$B135="","",'DM_NHAN_SU'!E135)</f>
        <v/>
      </c>
      <c r="F135" s="145">
        <f>IF('DM_NHAN_SU'!$B135="","",'DM_NHAN_SU'!I135)</f>
        <v/>
      </c>
      <c r="G135" s="145">
        <f>IF('DM_NHAN_SU'!$B135="","",'DM_NHAN_SU'!J135)</f>
        <v/>
      </c>
      <c r="H135" s="145">
        <f>IF('DM_NHAN_SU'!$B135="","",IF('DM_NHAN_SU'!H135="",'THAM_SO'!$B$11,'DM_NHAN_SU'!H135))</f>
        <v/>
      </c>
      <c r="I135" s="232">
        <f>IF('DM_NHAN_SU'!$B135="","",IF('DM_NHAN_SU'!L135&gt;0,'DM_NHAN_SU'!L135,'THAM_SO'!$B$9))</f>
        <v/>
      </c>
      <c r="J135" s="232">
        <f>IF('DM_NHAN_SU'!$B135="","",IF('DM_NHAN_SU'!M135&gt;0,'DM_NHAN_SU'!M135,'THAM_SO'!$B$10))</f>
        <v/>
      </c>
      <c r="K135" s="232">
        <f>IF('DM_NHAN_SU'!$B135="","",'CHAM_CONG_THANG'!AC135)</f>
        <v/>
      </c>
      <c r="L135" s="232">
        <f>IF('DM_NHAN_SU'!$B135="","",'CHAM_CONG_THANG'!AD135)</f>
        <v/>
      </c>
      <c r="M135" s="232">
        <f>IF('DM_NHAN_SU'!$B135="","",'CHAM_CONG_THANG'!AE135)</f>
        <v/>
      </c>
      <c r="N135" s="232">
        <f>IF('DM_NHAN_SU'!$B135="","",'CHAM_CONG_THANG'!N135)</f>
        <v/>
      </c>
      <c r="O135" s="224">
        <f>IF('DM_NHAN_SU'!$B135="","",IF($B135="","",IF($G135="Tháng",IF($I135&gt;0,'DM_NHAN_SU'!$K135*MIN($K135,$I135)/$I135,0),IF($G135="Ngày",'DM_NHAN_SU'!$K135*$K135,IF($G135="Giờ",'DM_NHAN_SU'!$K135*$L135,IF($G135="Sản phẩm",'DM_NHAN_SU'!$K135*$N135,0))))))</f>
        <v/>
      </c>
      <c r="P135" s="224">
        <f>IF('DM_NHAN_SU'!$B135="","",'CHAM_CONG_THANG'!O135)</f>
        <v/>
      </c>
      <c r="Q135" s="224">
        <f>IF('DM_NHAN_SU'!$B135="","",'CHAM_CONG_THANG'!P135)</f>
        <v/>
      </c>
      <c r="R135" s="224">
        <f>IF('DM_NHAN_SU'!$B135="","",'CHAM_CONG_THANG'!Q135)</f>
        <v/>
      </c>
      <c r="S135" s="224">
        <f>IF('DM_NHAN_SU'!$B135="","",'CHAM_CONG_THANG'!R135)</f>
        <v/>
      </c>
      <c r="T135" s="224">
        <f>IF('DM_NHAN_SU'!$B135="","",'CHAM_CONG_THANG'!S135)</f>
        <v/>
      </c>
      <c r="U135" s="224">
        <f>IF('DM_NHAN_SU'!$B135="","",MIN($T135,'THAM_SO'!$F$6))</f>
        <v/>
      </c>
      <c r="V135" s="224">
        <f>IF('DM_NHAN_SU'!$B135="","",MAX($T135-$U135,0))</f>
        <v/>
      </c>
      <c r="W135" s="224">
        <f>IF('DM_NHAN_SU'!$B135="","",'CHAM_CONG_THANG'!T135)</f>
        <v/>
      </c>
      <c r="X135" s="224">
        <f>IF('DM_NHAN_SU'!$B135="","",'CHAM_CONG_THANG'!U135)</f>
        <v/>
      </c>
      <c r="Y135" s="224">
        <f>IF('DM_NHAN_SU'!$B135="","",IF($B135="",0,IF('DM_NHAN_SU'!$Q135&gt;0,'DM_NHAN_SU'!$Q135,IF($G135="Tháng",IF($I135*$J135&gt;0,'DM_NHAN_SU'!$K135/($I135*$J135),0),IF($G135="Ngày",IF($J135&gt;0,'DM_NHAN_SU'!$K135/$J135,0),IF($G135="Giờ",'DM_NHAN_SU'!$K135,0))))))</f>
        <v/>
      </c>
      <c r="Z135" s="224">
        <f>IF('DM_NHAN_SU'!$B135="","",$Y135*($M135*'THAM_SO'!$C$22+'CHAM_CONG_THANG'!$AF135*'THAM_SO'!$C$19+'CHAM_CONG_THANG'!$AG135*'THAM_SO'!$C$20+'CHAM_CONG_THANG'!$AH135*'THAM_SO'!$C$21+'CHAM_CONG_THANG'!$AI135*'THAM_SO'!$C$23+'CHAM_CONG_THANG'!$AJ135*'THAM_SO'!$C$24+'CHAM_CONG_THANG'!$AK135*'THAM_SO'!$C$25))</f>
        <v/>
      </c>
      <c r="AA135" s="224">
        <f>IF('DM_NHAN_SU'!$B135="","",MAX(0,$Y135*($M135*IF('THAM_SO'!$C$22&gt;='THAM_SO'!$B$22,'THAM_SO'!$B$22,0)+'CHAM_CONG_THANG'!$AF135*IF('THAM_SO'!$C$19&gt;='THAM_SO'!$B$19,'THAM_SO'!$B$19,0)+'CHAM_CONG_THANG'!$AG135*IF('THAM_SO'!$C$20&gt;='THAM_SO'!$B$20,'THAM_SO'!$B$20,0)+'CHAM_CONG_THANG'!$AH135*IF('THAM_SO'!$C$21&gt;='THAM_SO'!$B$21,'THAM_SO'!$B$21,0)+'CHAM_CONG_THANG'!$AI135*IF('THAM_SO'!$C$23&gt;='THAM_SO'!$B$23,'THAM_SO'!$B$23,0)+'CHAM_CONG_THANG'!$AJ135*IF('THAM_SO'!$C$24&gt;='THAM_SO'!$B$24,'THAM_SO'!$B$24,0)+'CHAM_CONG_THANG'!$AK135*IF('THAM_SO'!$C$25&gt;='THAM_SO'!$B$25,'THAM_SO'!$B$25,0))-'CHAM_CONG_THANG'!$V135))</f>
        <v/>
      </c>
      <c r="AB135" s="224">
        <f>IF('DM_NHAN_SU'!$B135="","",MAX($Z135-$AA135,0))</f>
        <v/>
      </c>
      <c r="AC135" s="224">
        <f>IF('DM_NHAN_SU'!$B135="","",$O135+$P135+$Q135+$R135+$S135+$V135+$AB135+$BO135+$BP135+$BQ135+$BR135)</f>
        <v/>
      </c>
      <c r="AD135" s="224">
        <f>IF('DM_NHAN_SU'!$B135="","",'DM_NHAN_SU'!N135+'DM_NHAN_SU'!O135+'DM_NHAN_SU'!P135)</f>
        <v/>
      </c>
      <c r="AE135" s="224">
        <f>IF('DM_NHAN_SU'!$B135="","",IF(OR('DM_NHAN_SU'!$R135&lt;&gt;"Có",'CHAM_CONG_THANG'!$AA135="Có",$BL135&gt;=14,$AD135&lt;=0),0,MIN(MAX($AD135,'THAM_SO'!$M$6),'THAM_SO'!$M$7)))</f>
        <v/>
      </c>
      <c r="AF135" s="224">
        <f>IF('DM_NHAN_SU'!$B135="","",IF(OR('DM_NHAN_SU'!$S135&lt;&gt;"Có",'CHAM_CONG_THANG'!$AA135="Có",$BL135&gt;=14,$AD135&lt;=0),0,MIN(MAX($AD135,VLOOKUP($H135,'THAM_SO'!$L$17:$P$20,4,FALSE)),VLOOKUP($H135,'THAM_SO'!$L$17:$P$20,5,FALSE))))</f>
        <v/>
      </c>
      <c r="AG135" s="224">
        <f>IF('DM_NHAN_SU'!$B135="","",$AE135*'THAM_SO'!$M$8)</f>
        <v/>
      </c>
      <c r="AH135" s="224">
        <f>IF('DM_NHAN_SU'!$B135="","",$AE135*'THAM_SO'!$M$9)</f>
        <v/>
      </c>
      <c r="AI135" s="224">
        <f>IF('DM_NHAN_SU'!$B135="","",$AF135*'THAM_SO'!$M$10)</f>
        <v/>
      </c>
      <c r="AJ135" s="224">
        <f>IF('DM_NHAN_SU'!$B135="","",SUM($AG135:$AI135))</f>
        <v/>
      </c>
      <c r="AK135" s="224">
        <f>IF('DM_NHAN_SU'!$B135="","",IF($B135="",0,'THAM_SO'!$F$4))</f>
        <v/>
      </c>
      <c r="AL135" s="224">
        <f>IF('DM_NHAN_SU'!$B135="","",IF($B135="",0,'DM_NHAN_SU'!$T135*'THAM_SO'!$F$5))</f>
        <v/>
      </c>
      <c r="AM135" s="224">
        <f>IF('DM_NHAN_SU'!$B135="","",'CHAM_CONG_THANG'!W135)</f>
        <v/>
      </c>
      <c r="AN135" s="224">
        <f>IF('DM_NHAN_SU'!$B135="","",MAX($AC135-$AK135-$AL135-$AM135,0))</f>
        <v/>
      </c>
      <c r="AO135" s="224">
        <f>IF('DM_NHAN_SU'!$B135="","",IF($B135="","",IF($F135="Net",IF($AC135&lt;=$AK135+$AL135+$AM135,$AC135+$AJ135,$AJ135+$AK135+$AL135+$AM135+IF($AN135&lt;='THAM_SO'!$J$10,($AN135-'THAM_SO'!$I$10)/(1-'THAM_SO'!$H$10),IF($AN135&lt;='THAM_SO'!$J$11,($AN135-'THAM_SO'!$I$11)/(1-'THAM_SO'!$H$11),IF($AN135&lt;='THAM_SO'!$J$12,($AN135-'THAM_SO'!$I$12)/(1-'THAM_SO'!$H$12),IF($AN135&lt;='THAM_SO'!$J$13,($AN135-'THAM_SO'!$I$13)/(1-'THAM_SO'!$H$13),($AN135-'THAM_SO'!$I$14)/(1-'THAM_SO'!$H$14)))))),$AC135)))</f>
        <v/>
      </c>
      <c r="AP135" s="224">
        <f>IF('DM_NHAN_SU'!$B135="","",$U135+$W135+$X135+$AA135+$BS135)</f>
        <v/>
      </c>
      <c r="AQ135" s="224">
        <f>IF('DM_NHAN_SU'!$B135="","",MAX($AO135-$AJ135-$AK135-$AL135-$AM135,0))</f>
        <v/>
      </c>
      <c r="AR135" s="224">
        <f>IF('DM_NHAN_SU'!$B135="","",IF($AQ135&lt;=0,0,$AQ135*VLOOKUP($AQ135,'THAM_SO'!$F$10:$I$14,3,TRUE)-VLOOKUP($AQ135,'THAM_SO'!$F$10:$I$14,4,TRUE)))</f>
        <v/>
      </c>
      <c r="AS135" s="224">
        <f>IF('DM_NHAN_SU'!$B135="","",$AO135+$AP135)</f>
        <v/>
      </c>
      <c r="AT135" s="224">
        <f>IF('DM_NHAN_SU'!$B135="","",$AS135-$AJ135-$AR135)</f>
        <v/>
      </c>
      <c r="AU135" s="224">
        <f>IF('DM_NHAN_SU'!$B135="","",'CHAM_CONG_THANG'!X135)</f>
        <v/>
      </c>
      <c r="AV135" s="224">
        <f>IF('DM_NHAN_SU'!$B135="","",'CHAM_CONG_THANG'!Y135+'QT_NGHI_VIEC'!AD135)</f>
        <v/>
      </c>
      <c r="AW135" s="224">
        <f>IF('DM_NHAN_SU'!$B135="","",'CHAM_CONG_THANG'!Z135)</f>
        <v/>
      </c>
      <c r="AX135" s="224">
        <f>IF('DM_NHAN_SU'!$B135="","",$AT135-$AU135-$AV135-$AW135-$BV135)</f>
        <v/>
      </c>
      <c r="AY135" s="224">
        <f>IF('DM_NHAN_SU'!$B135="","",$AE135*'THAM_SO'!$M$11)</f>
        <v/>
      </c>
      <c r="AZ135" s="224">
        <f>IF('DM_NHAN_SU'!$B135="","",$AE135*'THAM_SO'!$M$12)</f>
        <v/>
      </c>
      <c r="BA135" s="224">
        <f>IF('DM_NHAN_SU'!$B135="","",$AF135*'THAM_SO'!$M$13)</f>
        <v/>
      </c>
      <c r="BB135" s="224">
        <f>IF('DM_NHAN_SU'!$B135="","",$AE135*'THAM_SO'!$M$14)</f>
        <v/>
      </c>
      <c r="BC135" s="224">
        <f>IF('DM_NHAN_SU'!$B135="","",SUM($AY135:$BB135))</f>
        <v/>
      </c>
      <c r="BD135" s="224">
        <f>IF('DM_NHAN_SU'!$B135="","",$AS135+$BC135)</f>
        <v/>
      </c>
      <c r="BE135" s="224">
        <f>IF('DM_NHAN_SU'!$B135="","",VLOOKUP($H135,'THAM_SO'!$L$17:$P$20,2,FALSE))</f>
        <v/>
      </c>
      <c r="BF135" s="224">
        <f>IF('DM_NHAN_SU'!$B135="","",VLOOKUP($H135,'THAM_SO'!$L$17:$P$20,3,FALSE))</f>
        <v/>
      </c>
      <c r="BG135" s="150">
        <f>IF('DM_NHAN_SU'!$B135="","",IF($B135="","",IF(COUNTIF('DM_NHAN_SU'!$B$6:$B$155,$B135)&gt;1,"Trùng mã NV; ","")&amp;IF(OR($F135="",$G135=""),"Thiếu loại/hình thức lương; ","")&amp;IF('CHAM_CONG_THANG'!$D135="","Chưa chọn nguồn công; ","")&amp;IF(AND('CHAM_CONG_THANG'!$D135="Theo ngày",COUNTIF('CHAM_CONG_NGAY'!$B$6:$B$4655,$B135)=0),"Chưa có chấm công ngày; ","")&amp;IF(OR($I135&lt;=0,$J135&lt;=0),"Thiếu công/giờ chuẩn; ","")&amp;IF(AND($G135="Tháng",'DM_NHAN_SU'!$K135&lt;$BE135),"Lương tháng dưới tối thiểu vùng; ","")&amp;IF(AND($G135="Ngày",'DM_NHAN_SU'!$K135/$J135&lt;$BF135),"Lương ngày quy đổi dưới tối thiểu giờ; ","")&amp;IF(AND($G135="Giờ",'DM_NHAN_SU'!$K135&lt;$BF135),"Lương giờ dưới tối thiểu vùng; ","")&amp;IF(AND($G135="Sản phẩm",$L135&gt;0,$O135/$L135&lt;$BF135),"Lương SP quy đổi dưới tối thiểu giờ; ","")&amp;IF(OR('THAM_SO'!$C$19&lt;'THAM_SO'!$B$19,'THAM_SO'!$C$20&lt;'THAM_SO'!$B$20,'THAM_SO'!$C$21&lt;'THAM_SO'!$B$21,'THAM_SO'!$C$22&lt;'THAM_SO'!$B$22,'THAM_SO'!$C$23&lt;'THAM_SO'!$B$23,'THAM_SO'!$C$24&lt;'THAM_SO'!$B$24,'THAM_SO'!$C$25&lt;'THAM_SO'!$B$25),"Hệ số OT/đêm DN thấp hơn luật; ","")&amp;IF(AND('DM_NHAN_SU'!$R135="Có",$AD135&lt;=0),"Thiếu căn cứ đóng BH; ","")&amp;IF(AND($AD135&gt;0,$AD135&lt;'THAM_SO'!$M$6),"Căn cứ BH dưới sàn – đã nâng sàn; ","")&amp;IF($AD135&gt;'THAM_SO'!$M$7,"Căn cứ BH vượt trần – đã giới hạn; ","")&amp;IF(AND($F135="Net",SUM('CHAM_CONG_THANG'!$AF135:$AK135)&gt;0,'DM_NHAN_SU'!$Q135&lt;=0),"Net có OT nhưng chưa khai lương giờ OT; ","")&amp;IF('CHAM_CONG_THANG'!$V135&gt;$Z135,"Phần OT không miễn lớn hơn tiền OT; ","")&amp;IF(AND($F135="Net",ABS($AT135-$AC135-$AP135)&gt;1),"Lệch quy đổi Net; ","")&amp;IF(AND($BH135&gt;0,'DM_NHAN_SU'!$AD135=""),"Có phép năm nhưng đang tạm dùng 12 ngày; ","")&amp;IF(AND($G135="Sản phẩm",SUM($BH135:$BJ135)&gt;0,'DM_NHAN_SU'!$AH135&lt;=0),"Lương sản phẩm thiếu đơn giá ngày phép/lễ; ","")&amp;IF(AND($BL135&gt;=14,'CHAM_CONG_THANG'!$AA135&lt;&gt;"Có"),"Thai sản từ 14 ngày: file tự dừng đóng BH – kiểm tra hồ sơ; ","")&amp;IF(AND('DM_NHAN_SU'!$AA135="Có",'DM_NHAN_SU'!$AB135=""),"Đoàn viên chưa chọn cách tính đoàn phí; ","")&amp;IF(AND('DM_NHAN_SU'!$AB135="Nhập tay",'DM_NHAN_SU'!$AC135&gt;'THAM_SO'!$M$26),"Đoàn phí nhập tay vượt trần thông dụng; ","")&amp;IF('NGHI_PHEP'!$L135&lt;&gt;"","Phép: "&amp;'NGHI_PHEP'!$L135,"")&amp;IF('CHE_DO_BHXH'!$AA135&lt;&gt;"","BHXH: "&amp;'CHE_DO_BHXH'!$AA135,"")&amp;IF('THUONG_T13_TET'!$O135&lt;&gt;"","Thưởng: "&amp;'THUONG_T13_TET'!$O135,"")&amp;IF('QT_NGHI_VIEC'!$AF135&lt;&gt;"","Nghỉ việc: "&amp;'QT_NGHI_VIEC'!$AF135,"")&amp;IF($AX135&lt;0,"Thực lĩnh âm; ","")&amp;IF(OR('DM_NHAN_SU'!$F135&gt;'THAM_SO'!$B$7,AND('DM_NHAN_SU'!$G135&lt;&gt;"",'DM_NHAN_SU'!$G135&lt;'THAM_SO'!$B$6)),"Ngoài kỳ trả lương; ","")))</f>
        <v/>
      </c>
      <c r="BH135" s="232">
        <f>IF('DM_NHAN_SU'!$B135="","",'CHAM_CONG_THANG'!AR135)</f>
        <v/>
      </c>
      <c r="BI135" s="232">
        <f>IF('DM_NHAN_SU'!$B135="","",'CHAM_CONG_THANG'!AS135)</f>
        <v/>
      </c>
      <c r="BJ135" s="232">
        <f>IF('DM_NHAN_SU'!$B135="","",'CHAM_CONG_THANG'!AT135)</f>
        <v/>
      </c>
      <c r="BK135" s="232">
        <f>IF('DM_NHAN_SU'!$B135="","",'CHAM_CONG_THANG'!AU135)</f>
        <v/>
      </c>
      <c r="BL135" s="232">
        <f>IF('DM_NHAN_SU'!$B135="","",'CHAM_CONG_THANG'!AV135)</f>
        <v/>
      </c>
      <c r="BM135" s="232">
        <f>IF('DM_NHAN_SU'!$B135="","",'CHAM_CONG_THANG'!AW135)</f>
        <v/>
      </c>
      <c r="BN135" s="232">
        <f>IF('DM_NHAN_SU'!$B135="","",SUM($K135,$BH135:$BJ135))</f>
        <v/>
      </c>
      <c r="BO135" s="224">
        <f>IF('DM_NHAN_SU'!$B135="","",IF($B135="",0,IF($G135="Tháng",IF($I135&gt;0,'DM_NHAN_SU'!$K135*MIN($BH135+$BJ135,MAX($I135-$K135,0))/$I135,0),IF($G135="Ngày",'DM_NHAN_SU'!$K135*SUM($BH135:$BJ135),IF($G135="Giờ",'DM_NHAN_SU'!$K135*SUM($BH135:$BJ135)*$J135,IF($G135="Sản phẩm",'DM_NHAN_SU'!$AH135*SUM($BH135:$BJ135),0))))))</f>
        <v/>
      </c>
      <c r="BP135" s="224">
        <f>IF('DM_NHAN_SU'!$B135="","",IF('THUONG_T13_TET'!$L135="Có",'THUONG_T13_TET'!$I135,0))</f>
        <v/>
      </c>
      <c r="BQ135" s="224">
        <f>IF('DM_NHAN_SU'!$B135="","",IF('THUONG_T13_TET'!$L135="Có",SUM('THUONG_T13_TET'!$J135:$K135),0))</f>
        <v/>
      </c>
      <c r="BR135" s="224">
        <f>IF('DM_NHAN_SU'!$B135="","",'QT_NGHI_VIEC'!AC135)</f>
        <v/>
      </c>
      <c r="BS135" s="224">
        <f>IF('DM_NHAN_SU'!$B135="","",'QT_NGHI_VIEC'!AB135)</f>
        <v/>
      </c>
      <c r="BT135" s="224">
        <f>IF('DM_NHAN_SU'!$B135="","",IF('CHE_DO_BHXH'!$Z135="Có",'CHE_DO_BHXH'!$W135,0))</f>
        <v/>
      </c>
      <c r="BU135" s="224">
        <f>IF('DM_NHAN_SU'!$B135="","",IF('CHE_DO_BHXH'!$Y135="DN trả thay",$BT135,0))</f>
        <v/>
      </c>
      <c r="BV135" s="224">
        <f>IF('DM_NHAN_SU'!$B135="","",IF(OR('DM_NHAN_SU'!$AA135&lt;&gt;"Có",'CHE_DO_BHXH'!$O135&gt;=1,SUM('CHE_DO_BHXH'!$D135,'CHE_DO_BHXH'!$G135,'CHE_DO_BHXH'!$K135)&gt;=24,AND($I135&gt;0,$BM135&gt;=$I135)),0,IF('DM_NHAN_SU'!$AB135="Không",0,IF('DM_NHAN_SU'!$AB135="Nhập tay",'DM_NHAN_SU'!$AC135,IF('DM_NHAN_SU'!$AB135="Theo thực nhận",MIN(MAX($AT135-$AU135-$AV135-$AW135,0)*'THAM_SO'!$M$23,'THAM_SO'!$M$26),MIN($AE135*'THAM_SO'!$M$23,'THAM_SO'!$M$26))))))</f>
        <v/>
      </c>
      <c r="BW135" s="224">
        <f>IF('DM_NHAN_SU'!$B135="","",$AX135+$BU135)</f>
        <v/>
      </c>
    </row>
    <row r="136">
      <c r="A136" s="145">
        <f>IF('DM_NHAN_SU'!$B136="","",IF($B136="","",ROW()-5))</f>
        <v/>
      </c>
      <c r="B136" s="145">
        <f>IF('DM_NHAN_SU'!$B136="","",'DM_NHAN_SU'!B136)</f>
        <v/>
      </c>
      <c r="C136" s="145">
        <f>IF('DM_NHAN_SU'!$B136="","",'DM_NHAN_SU'!C136)</f>
        <v/>
      </c>
      <c r="D136" s="145">
        <f>IF('DM_NHAN_SU'!$B136="","",'DM_NHAN_SU'!D136)</f>
        <v/>
      </c>
      <c r="E136" s="145">
        <f>IF('DM_NHAN_SU'!$B136="","",'DM_NHAN_SU'!E136)</f>
        <v/>
      </c>
      <c r="F136" s="145">
        <f>IF('DM_NHAN_SU'!$B136="","",'DM_NHAN_SU'!I136)</f>
        <v/>
      </c>
      <c r="G136" s="145">
        <f>IF('DM_NHAN_SU'!$B136="","",'DM_NHAN_SU'!J136)</f>
        <v/>
      </c>
      <c r="H136" s="145">
        <f>IF('DM_NHAN_SU'!$B136="","",IF('DM_NHAN_SU'!H136="",'THAM_SO'!$B$11,'DM_NHAN_SU'!H136))</f>
        <v/>
      </c>
      <c r="I136" s="232">
        <f>IF('DM_NHAN_SU'!$B136="","",IF('DM_NHAN_SU'!L136&gt;0,'DM_NHAN_SU'!L136,'THAM_SO'!$B$9))</f>
        <v/>
      </c>
      <c r="J136" s="232">
        <f>IF('DM_NHAN_SU'!$B136="","",IF('DM_NHAN_SU'!M136&gt;0,'DM_NHAN_SU'!M136,'THAM_SO'!$B$10))</f>
        <v/>
      </c>
      <c r="K136" s="232">
        <f>IF('DM_NHAN_SU'!$B136="","",'CHAM_CONG_THANG'!AC136)</f>
        <v/>
      </c>
      <c r="L136" s="232">
        <f>IF('DM_NHAN_SU'!$B136="","",'CHAM_CONG_THANG'!AD136)</f>
        <v/>
      </c>
      <c r="M136" s="232">
        <f>IF('DM_NHAN_SU'!$B136="","",'CHAM_CONG_THANG'!AE136)</f>
        <v/>
      </c>
      <c r="N136" s="232">
        <f>IF('DM_NHAN_SU'!$B136="","",'CHAM_CONG_THANG'!N136)</f>
        <v/>
      </c>
      <c r="O136" s="224">
        <f>IF('DM_NHAN_SU'!$B136="","",IF($B136="","",IF($G136="Tháng",IF($I136&gt;0,'DM_NHAN_SU'!$K136*MIN($K136,$I136)/$I136,0),IF($G136="Ngày",'DM_NHAN_SU'!$K136*$K136,IF($G136="Giờ",'DM_NHAN_SU'!$K136*$L136,IF($G136="Sản phẩm",'DM_NHAN_SU'!$K136*$N136,0))))))</f>
        <v/>
      </c>
      <c r="P136" s="224">
        <f>IF('DM_NHAN_SU'!$B136="","",'CHAM_CONG_THANG'!O136)</f>
        <v/>
      </c>
      <c r="Q136" s="224">
        <f>IF('DM_NHAN_SU'!$B136="","",'CHAM_CONG_THANG'!P136)</f>
        <v/>
      </c>
      <c r="R136" s="224">
        <f>IF('DM_NHAN_SU'!$B136="","",'CHAM_CONG_THANG'!Q136)</f>
        <v/>
      </c>
      <c r="S136" s="224">
        <f>IF('DM_NHAN_SU'!$B136="","",'CHAM_CONG_THANG'!R136)</f>
        <v/>
      </c>
      <c r="T136" s="224">
        <f>IF('DM_NHAN_SU'!$B136="","",'CHAM_CONG_THANG'!S136)</f>
        <v/>
      </c>
      <c r="U136" s="224">
        <f>IF('DM_NHAN_SU'!$B136="","",MIN($T136,'THAM_SO'!$F$6))</f>
        <v/>
      </c>
      <c r="V136" s="224">
        <f>IF('DM_NHAN_SU'!$B136="","",MAX($T136-$U136,0))</f>
        <v/>
      </c>
      <c r="W136" s="224">
        <f>IF('DM_NHAN_SU'!$B136="","",'CHAM_CONG_THANG'!T136)</f>
        <v/>
      </c>
      <c r="X136" s="224">
        <f>IF('DM_NHAN_SU'!$B136="","",'CHAM_CONG_THANG'!U136)</f>
        <v/>
      </c>
      <c r="Y136" s="224">
        <f>IF('DM_NHAN_SU'!$B136="","",IF($B136="",0,IF('DM_NHAN_SU'!$Q136&gt;0,'DM_NHAN_SU'!$Q136,IF($G136="Tháng",IF($I136*$J136&gt;0,'DM_NHAN_SU'!$K136/($I136*$J136),0),IF($G136="Ngày",IF($J136&gt;0,'DM_NHAN_SU'!$K136/$J136,0),IF($G136="Giờ",'DM_NHAN_SU'!$K136,0))))))</f>
        <v/>
      </c>
      <c r="Z136" s="224">
        <f>IF('DM_NHAN_SU'!$B136="","",$Y136*($M136*'THAM_SO'!$C$22+'CHAM_CONG_THANG'!$AF136*'THAM_SO'!$C$19+'CHAM_CONG_THANG'!$AG136*'THAM_SO'!$C$20+'CHAM_CONG_THANG'!$AH136*'THAM_SO'!$C$21+'CHAM_CONG_THANG'!$AI136*'THAM_SO'!$C$23+'CHAM_CONG_THANG'!$AJ136*'THAM_SO'!$C$24+'CHAM_CONG_THANG'!$AK136*'THAM_SO'!$C$25))</f>
        <v/>
      </c>
      <c r="AA136" s="224">
        <f>IF('DM_NHAN_SU'!$B136="","",MAX(0,$Y136*($M136*IF('THAM_SO'!$C$22&gt;='THAM_SO'!$B$22,'THAM_SO'!$B$22,0)+'CHAM_CONG_THANG'!$AF136*IF('THAM_SO'!$C$19&gt;='THAM_SO'!$B$19,'THAM_SO'!$B$19,0)+'CHAM_CONG_THANG'!$AG136*IF('THAM_SO'!$C$20&gt;='THAM_SO'!$B$20,'THAM_SO'!$B$20,0)+'CHAM_CONG_THANG'!$AH136*IF('THAM_SO'!$C$21&gt;='THAM_SO'!$B$21,'THAM_SO'!$B$21,0)+'CHAM_CONG_THANG'!$AI136*IF('THAM_SO'!$C$23&gt;='THAM_SO'!$B$23,'THAM_SO'!$B$23,0)+'CHAM_CONG_THANG'!$AJ136*IF('THAM_SO'!$C$24&gt;='THAM_SO'!$B$24,'THAM_SO'!$B$24,0)+'CHAM_CONG_THANG'!$AK136*IF('THAM_SO'!$C$25&gt;='THAM_SO'!$B$25,'THAM_SO'!$B$25,0))-'CHAM_CONG_THANG'!$V136))</f>
        <v/>
      </c>
      <c r="AB136" s="224">
        <f>IF('DM_NHAN_SU'!$B136="","",MAX($Z136-$AA136,0))</f>
        <v/>
      </c>
      <c r="AC136" s="224">
        <f>IF('DM_NHAN_SU'!$B136="","",$O136+$P136+$Q136+$R136+$S136+$V136+$AB136+$BO136+$BP136+$BQ136+$BR136)</f>
        <v/>
      </c>
      <c r="AD136" s="224">
        <f>IF('DM_NHAN_SU'!$B136="","",'DM_NHAN_SU'!N136+'DM_NHAN_SU'!O136+'DM_NHAN_SU'!P136)</f>
        <v/>
      </c>
      <c r="AE136" s="224">
        <f>IF('DM_NHAN_SU'!$B136="","",IF(OR('DM_NHAN_SU'!$R136&lt;&gt;"Có",'CHAM_CONG_THANG'!$AA136="Có",$BL136&gt;=14,$AD136&lt;=0),0,MIN(MAX($AD136,'THAM_SO'!$M$6),'THAM_SO'!$M$7)))</f>
        <v/>
      </c>
      <c r="AF136" s="224">
        <f>IF('DM_NHAN_SU'!$B136="","",IF(OR('DM_NHAN_SU'!$S136&lt;&gt;"Có",'CHAM_CONG_THANG'!$AA136="Có",$BL136&gt;=14,$AD136&lt;=0),0,MIN(MAX($AD136,VLOOKUP($H136,'THAM_SO'!$L$17:$P$20,4,FALSE)),VLOOKUP($H136,'THAM_SO'!$L$17:$P$20,5,FALSE))))</f>
        <v/>
      </c>
      <c r="AG136" s="224">
        <f>IF('DM_NHAN_SU'!$B136="","",$AE136*'THAM_SO'!$M$8)</f>
        <v/>
      </c>
      <c r="AH136" s="224">
        <f>IF('DM_NHAN_SU'!$B136="","",$AE136*'THAM_SO'!$M$9)</f>
        <v/>
      </c>
      <c r="AI136" s="224">
        <f>IF('DM_NHAN_SU'!$B136="","",$AF136*'THAM_SO'!$M$10)</f>
        <v/>
      </c>
      <c r="AJ136" s="224">
        <f>IF('DM_NHAN_SU'!$B136="","",SUM($AG136:$AI136))</f>
        <v/>
      </c>
      <c r="AK136" s="224">
        <f>IF('DM_NHAN_SU'!$B136="","",IF($B136="",0,'THAM_SO'!$F$4))</f>
        <v/>
      </c>
      <c r="AL136" s="224">
        <f>IF('DM_NHAN_SU'!$B136="","",IF($B136="",0,'DM_NHAN_SU'!$T136*'THAM_SO'!$F$5))</f>
        <v/>
      </c>
      <c r="AM136" s="224">
        <f>IF('DM_NHAN_SU'!$B136="","",'CHAM_CONG_THANG'!W136)</f>
        <v/>
      </c>
      <c r="AN136" s="224">
        <f>IF('DM_NHAN_SU'!$B136="","",MAX($AC136-$AK136-$AL136-$AM136,0))</f>
        <v/>
      </c>
      <c r="AO136" s="224">
        <f>IF('DM_NHAN_SU'!$B136="","",IF($B136="","",IF($F136="Net",IF($AC136&lt;=$AK136+$AL136+$AM136,$AC136+$AJ136,$AJ136+$AK136+$AL136+$AM136+IF($AN136&lt;='THAM_SO'!$J$10,($AN136-'THAM_SO'!$I$10)/(1-'THAM_SO'!$H$10),IF($AN136&lt;='THAM_SO'!$J$11,($AN136-'THAM_SO'!$I$11)/(1-'THAM_SO'!$H$11),IF($AN136&lt;='THAM_SO'!$J$12,($AN136-'THAM_SO'!$I$12)/(1-'THAM_SO'!$H$12),IF($AN136&lt;='THAM_SO'!$J$13,($AN136-'THAM_SO'!$I$13)/(1-'THAM_SO'!$H$13),($AN136-'THAM_SO'!$I$14)/(1-'THAM_SO'!$H$14)))))),$AC136)))</f>
        <v/>
      </c>
      <c r="AP136" s="224">
        <f>IF('DM_NHAN_SU'!$B136="","",$U136+$W136+$X136+$AA136+$BS136)</f>
        <v/>
      </c>
      <c r="AQ136" s="224">
        <f>IF('DM_NHAN_SU'!$B136="","",MAX($AO136-$AJ136-$AK136-$AL136-$AM136,0))</f>
        <v/>
      </c>
      <c r="AR136" s="224">
        <f>IF('DM_NHAN_SU'!$B136="","",IF($AQ136&lt;=0,0,$AQ136*VLOOKUP($AQ136,'THAM_SO'!$F$10:$I$14,3,TRUE)-VLOOKUP($AQ136,'THAM_SO'!$F$10:$I$14,4,TRUE)))</f>
        <v/>
      </c>
      <c r="AS136" s="224">
        <f>IF('DM_NHAN_SU'!$B136="","",$AO136+$AP136)</f>
        <v/>
      </c>
      <c r="AT136" s="224">
        <f>IF('DM_NHAN_SU'!$B136="","",$AS136-$AJ136-$AR136)</f>
        <v/>
      </c>
      <c r="AU136" s="224">
        <f>IF('DM_NHAN_SU'!$B136="","",'CHAM_CONG_THANG'!X136)</f>
        <v/>
      </c>
      <c r="AV136" s="224">
        <f>IF('DM_NHAN_SU'!$B136="","",'CHAM_CONG_THANG'!Y136+'QT_NGHI_VIEC'!AD136)</f>
        <v/>
      </c>
      <c r="AW136" s="224">
        <f>IF('DM_NHAN_SU'!$B136="","",'CHAM_CONG_THANG'!Z136)</f>
        <v/>
      </c>
      <c r="AX136" s="224">
        <f>IF('DM_NHAN_SU'!$B136="","",$AT136-$AU136-$AV136-$AW136-$BV136)</f>
        <v/>
      </c>
      <c r="AY136" s="224">
        <f>IF('DM_NHAN_SU'!$B136="","",$AE136*'THAM_SO'!$M$11)</f>
        <v/>
      </c>
      <c r="AZ136" s="224">
        <f>IF('DM_NHAN_SU'!$B136="","",$AE136*'THAM_SO'!$M$12)</f>
        <v/>
      </c>
      <c r="BA136" s="224">
        <f>IF('DM_NHAN_SU'!$B136="","",$AF136*'THAM_SO'!$M$13)</f>
        <v/>
      </c>
      <c r="BB136" s="224">
        <f>IF('DM_NHAN_SU'!$B136="","",$AE136*'THAM_SO'!$M$14)</f>
        <v/>
      </c>
      <c r="BC136" s="224">
        <f>IF('DM_NHAN_SU'!$B136="","",SUM($AY136:$BB136))</f>
        <v/>
      </c>
      <c r="BD136" s="224">
        <f>IF('DM_NHAN_SU'!$B136="","",$AS136+$BC136)</f>
        <v/>
      </c>
      <c r="BE136" s="224">
        <f>IF('DM_NHAN_SU'!$B136="","",VLOOKUP($H136,'THAM_SO'!$L$17:$P$20,2,FALSE))</f>
        <v/>
      </c>
      <c r="BF136" s="224">
        <f>IF('DM_NHAN_SU'!$B136="","",VLOOKUP($H136,'THAM_SO'!$L$17:$P$20,3,FALSE))</f>
        <v/>
      </c>
      <c r="BG136" s="150">
        <f>IF('DM_NHAN_SU'!$B136="","",IF($B136="","",IF(COUNTIF('DM_NHAN_SU'!$B$6:$B$155,$B136)&gt;1,"Trùng mã NV; ","")&amp;IF(OR($F136="",$G136=""),"Thiếu loại/hình thức lương; ","")&amp;IF('CHAM_CONG_THANG'!$D136="","Chưa chọn nguồn công; ","")&amp;IF(AND('CHAM_CONG_THANG'!$D136="Theo ngày",COUNTIF('CHAM_CONG_NGAY'!$B$6:$B$4655,$B136)=0),"Chưa có chấm công ngày; ","")&amp;IF(OR($I136&lt;=0,$J136&lt;=0),"Thiếu công/giờ chuẩn; ","")&amp;IF(AND($G136="Tháng",'DM_NHAN_SU'!$K136&lt;$BE136),"Lương tháng dưới tối thiểu vùng; ","")&amp;IF(AND($G136="Ngày",'DM_NHAN_SU'!$K136/$J136&lt;$BF136),"Lương ngày quy đổi dưới tối thiểu giờ; ","")&amp;IF(AND($G136="Giờ",'DM_NHAN_SU'!$K136&lt;$BF136),"Lương giờ dưới tối thiểu vùng; ","")&amp;IF(AND($G136="Sản phẩm",$L136&gt;0,$O136/$L136&lt;$BF136),"Lương SP quy đổi dưới tối thiểu giờ; ","")&amp;IF(OR('THAM_SO'!$C$19&lt;'THAM_SO'!$B$19,'THAM_SO'!$C$20&lt;'THAM_SO'!$B$20,'THAM_SO'!$C$21&lt;'THAM_SO'!$B$21,'THAM_SO'!$C$22&lt;'THAM_SO'!$B$22,'THAM_SO'!$C$23&lt;'THAM_SO'!$B$23,'THAM_SO'!$C$24&lt;'THAM_SO'!$B$24,'THAM_SO'!$C$25&lt;'THAM_SO'!$B$25),"Hệ số OT/đêm DN thấp hơn luật; ","")&amp;IF(AND('DM_NHAN_SU'!$R136="Có",$AD136&lt;=0),"Thiếu căn cứ đóng BH; ","")&amp;IF(AND($AD136&gt;0,$AD136&lt;'THAM_SO'!$M$6),"Căn cứ BH dưới sàn – đã nâng sàn; ","")&amp;IF($AD136&gt;'THAM_SO'!$M$7,"Căn cứ BH vượt trần – đã giới hạn; ","")&amp;IF(AND($F136="Net",SUM('CHAM_CONG_THANG'!$AF136:$AK136)&gt;0,'DM_NHAN_SU'!$Q136&lt;=0),"Net có OT nhưng chưa khai lương giờ OT; ","")&amp;IF('CHAM_CONG_THANG'!$V136&gt;$Z136,"Phần OT không miễn lớn hơn tiền OT; ","")&amp;IF(AND($F136="Net",ABS($AT136-$AC136-$AP136)&gt;1),"Lệch quy đổi Net; ","")&amp;IF(AND($BH136&gt;0,'DM_NHAN_SU'!$AD136=""),"Có phép năm nhưng đang tạm dùng 12 ngày; ","")&amp;IF(AND($G136="Sản phẩm",SUM($BH136:$BJ136)&gt;0,'DM_NHAN_SU'!$AH136&lt;=0),"Lương sản phẩm thiếu đơn giá ngày phép/lễ; ","")&amp;IF(AND($BL136&gt;=14,'CHAM_CONG_THANG'!$AA136&lt;&gt;"Có"),"Thai sản từ 14 ngày: file tự dừng đóng BH – kiểm tra hồ sơ; ","")&amp;IF(AND('DM_NHAN_SU'!$AA136="Có",'DM_NHAN_SU'!$AB136=""),"Đoàn viên chưa chọn cách tính đoàn phí; ","")&amp;IF(AND('DM_NHAN_SU'!$AB136="Nhập tay",'DM_NHAN_SU'!$AC136&gt;'THAM_SO'!$M$26),"Đoàn phí nhập tay vượt trần thông dụng; ","")&amp;IF('NGHI_PHEP'!$L136&lt;&gt;"","Phép: "&amp;'NGHI_PHEP'!$L136,"")&amp;IF('CHE_DO_BHXH'!$AA136&lt;&gt;"","BHXH: "&amp;'CHE_DO_BHXH'!$AA136,"")&amp;IF('THUONG_T13_TET'!$O136&lt;&gt;"","Thưởng: "&amp;'THUONG_T13_TET'!$O136,"")&amp;IF('QT_NGHI_VIEC'!$AF136&lt;&gt;"","Nghỉ việc: "&amp;'QT_NGHI_VIEC'!$AF136,"")&amp;IF($AX136&lt;0,"Thực lĩnh âm; ","")&amp;IF(OR('DM_NHAN_SU'!$F136&gt;'THAM_SO'!$B$7,AND('DM_NHAN_SU'!$G136&lt;&gt;"",'DM_NHAN_SU'!$G136&lt;'THAM_SO'!$B$6)),"Ngoài kỳ trả lương; ","")))</f>
        <v/>
      </c>
      <c r="BH136" s="232">
        <f>IF('DM_NHAN_SU'!$B136="","",'CHAM_CONG_THANG'!AR136)</f>
        <v/>
      </c>
      <c r="BI136" s="232">
        <f>IF('DM_NHAN_SU'!$B136="","",'CHAM_CONG_THANG'!AS136)</f>
        <v/>
      </c>
      <c r="BJ136" s="232">
        <f>IF('DM_NHAN_SU'!$B136="","",'CHAM_CONG_THANG'!AT136)</f>
        <v/>
      </c>
      <c r="BK136" s="232">
        <f>IF('DM_NHAN_SU'!$B136="","",'CHAM_CONG_THANG'!AU136)</f>
        <v/>
      </c>
      <c r="BL136" s="232">
        <f>IF('DM_NHAN_SU'!$B136="","",'CHAM_CONG_THANG'!AV136)</f>
        <v/>
      </c>
      <c r="BM136" s="232">
        <f>IF('DM_NHAN_SU'!$B136="","",'CHAM_CONG_THANG'!AW136)</f>
        <v/>
      </c>
      <c r="BN136" s="232">
        <f>IF('DM_NHAN_SU'!$B136="","",SUM($K136,$BH136:$BJ136))</f>
        <v/>
      </c>
      <c r="BO136" s="224">
        <f>IF('DM_NHAN_SU'!$B136="","",IF($B136="",0,IF($G136="Tháng",IF($I136&gt;0,'DM_NHAN_SU'!$K136*MIN($BH136+$BJ136,MAX($I136-$K136,0))/$I136,0),IF($G136="Ngày",'DM_NHAN_SU'!$K136*SUM($BH136:$BJ136),IF($G136="Giờ",'DM_NHAN_SU'!$K136*SUM($BH136:$BJ136)*$J136,IF($G136="Sản phẩm",'DM_NHAN_SU'!$AH136*SUM($BH136:$BJ136),0))))))</f>
        <v/>
      </c>
      <c r="BP136" s="224">
        <f>IF('DM_NHAN_SU'!$B136="","",IF('THUONG_T13_TET'!$L136="Có",'THUONG_T13_TET'!$I136,0))</f>
        <v/>
      </c>
      <c r="BQ136" s="224">
        <f>IF('DM_NHAN_SU'!$B136="","",IF('THUONG_T13_TET'!$L136="Có",SUM('THUONG_T13_TET'!$J136:$K136),0))</f>
        <v/>
      </c>
      <c r="BR136" s="224">
        <f>IF('DM_NHAN_SU'!$B136="","",'QT_NGHI_VIEC'!AC136)</f>
        <v/>
      </c>
      <c r="BS136" s="224">
        <f>IF('DM_NHAN_SU'!$B136="","",'QT_NGHI_VIEC'!AB136)</f>
        <v/>
      </c>
      <c r="BT136" s="224">
        <f>IF('DM_NHAN_SU'!$B136="","",IF('CHE_DO_BHXH'!$Z136="Có",'CHE_DO_BHXH'!$W136,0))</f>
        <v/>
      </c>
      <c r="BU136" s="224">
        <f>IF('DM_NHAN_SU'!$B136="","",IF('CHE_DO_BHXH'!$Y136="DN trả thay",$BT136,0))</f>
        <v/>
      </c>
      <c r="BV136" s="224">
        <f>IF('DM_NHAN_SU'!$B136="","",IF(OR('DM_NHAN_SU'!$AA136&lt;&gt;"Có",'CHE_DO_BHXH'!$O136&gt;=1,SUM('CHE_DO_BHXH'!$D136,'CHE_DO_BHXH'!$G136,'CHE_DO_BHXH'!$K136)&gt;=24,AND($I136&gt;0,$BM136&gt;=$I136)),0,IF('DM_NHAN_SU'!$AB136="Không",0,IF('DM_NHAN_SU'!$AB136="Nhập tay",'DM_NHAN_SU'!$AC136,IF('DM_NHAN_SU'!$AB136="Theo thực nhận",MIN(MAX($AT136-$AU136-$AV136-$AW136,0)*'THAM_SO'!$M$23,'THAM_SO'!$M$26),MIN($AE136*'THAM_SO'!$M$23,'THAM_SO'!$M$26))))))</f>
        <v/>
      </c>
      <c r="BW136" s="224">
        <f>IF('DM_NHAN_SU'!$B136="","",$AX136+$BU136)</f>
        <v/>
      </c>
    </row>
    <row r="137">
      <c r="A137" s="145">
        <f>IF('DM_NHAN_SU'!$B137="","",IF($B137="","",ROW()-5))</f>
        <v/>
      </c>
      <c r="B137" s="145">
        <f>IF('DM_NHAN_SU'!$B137="","",'DM_NHAN_SU'!B137)</f>
        <v/>
      </c>
      <c r="C137" s="145">
        <f>IF('DM_NHAN_SU'!$B137="","",'DM_NHAN_SU'!C137)</f>
        <v/>
      </c>
      <c r="D137" s="145">
        <f>IF('DM_NHAN_SU'!$B137="","",'DM_NHAN_SU'!D137)</f>
        <v/>
      </c>
      <c r="E137" s="145">
        <f>IF('DM_NHAN_SU'!$B137="","",'DM_NHAN_SU'!E137)</f>
        <v/>
      </c>
      <c r="F137" s="145">
        <f>IF('DM_NHAN_SU'!$B137="","",'DM_NHAN_SU'!I137)</f>
        <v/>
      </c>
      <c r="G137" s="145">
        <f>IF('DM_NHAN_SU'!$B137="","",'DM_NHAN_SU'!J137)</f>
        <v/>
      </c>
      <c r="H137" s="145">
        <f>IF('DM_NHAN_SU'!$B137="","",IF('DM_NHAN_SU'!H137="",'THAM_SO'!$B$11,'DM_NHAN_SU'!H137))</f>
        <v/>
      </c>
      <c r="I137" s="232">
        <f>IF('DM_NHAN_SU'!$B137="","",IF('DM_NHAN_SU'!L137&gt;0,'DM_NHAN_SU'!L137,'THAM_SO'!$B$9))</f>
        <v/>
      </c>
      <c r="J137" s="232">
        <f>IF('DM_NHAN_SU'!$B137="","",IF('DM_NHAN_SU'!M137&gt;0,'DM_NHAN_SU'!M137,'THAM_SO'!$B$10))</f>
        <v/>
      </c>
      <c r="K137" s="232">
        <f>IF('DM_NHAN_SU'!$B137="","",'CHAM_CONG_THANG'!AC137)</f>
        <v/>
      </c>
      <c r="L137" s="232">
        <f>IF('DM_NHAN_SU'!$B137="","",'CHAM_CONG_THANG'!AD137)</f>
        <v/>
      </c>
      <c r="M137" s="232">
        <f>IF('DM_NHAN_SU'!$B137="","",'CHAM_CONG_THANG'!AE137)</f>
        <v/>
      </c>
      <c r="N137" s="232">
        <f>IF('DM_NHAN_SU'!$B137="","",'CHAM_CONG_THANG'!N137)</f>
        <v/>
      </c>
      <c r="O137" s="224">
        <f>IF('DM_NHAN_SU'!$B137="","",IF($B137="","",IF($G137="Tháng",IF($I137&gt;0,'DM_NHAN_SU'!$K137*MIN($K137,$I137)/$I137,0),IF($G137="Ngày",'DM_NHAN_SU'!$K137*$K137,IF($G137="Giờ",'DM_NHAN_SU'!$K137*$L137,IF($G137="Sản phẩm",'DM_NHAN_SU'!$K137*$N137,0))))))</f>
        <v/>
      </c>
      <c r="P137" s="224">
        <f>IF('DM_NHAN_SU'!$B137="","",'CHAM_CONG_THANG'!O137)</f>
        <v/>
      </c>
      <c r="Q137" s="224">
        <f>IF('DM_NHAN_SU'!$B137="","",'CHAM_CONG_THANG'!P137)</f>
        <v/>
      </c>
      <c r="R137" s="224">
        <f>IF('DM_NHAN_SU'!$B137="","",'CHAM_CONG_THANG'!Q137)</f>
        <v/>
      </c>
      <c r="S137" s="224">
        <f>IF('DM_NHAN_SU'!$B137="","",'CHAM_CONG_THANG'!R137)</f>
        <v/>
      </c>
      <c r="T137" s="224">
        <f>IF('DM_NHAN_SU'!$B137="","",'CHAM_CONG_THANG'!S137)</f>
        <v/>
      </c>
      <c r="U137" s="224">
        <f>IF('DM_NHAN_SU'!$B137="","",MIN($T137,'THAM_SO'!$F$6))</f>
        <v/>
      </c>
      <c r="V137" s="224">
        <f>IF('DM_NHAN_SU'!$B137="","",MAX($T137-$U137,0))</f>
        <v/>
      </c>
      <c r="W137" s="224">
        <f>IF('DM_NHAN_SU'!$B137="","",'CHAM_CONG_THANG'!T137)</f>
        <v/>
      </c>
      <c r="X137" s="224">
        <f>IF('DM_NHAN_SU'!$B137="","",'CHAM_CONG_THANG'!U137)</f>
        <v/>
      </c>
      <c r="Y137" s="224">
        <f>IF('DM_NHAN_SU'!$B137="","",IF($B137="",0,IF('DM_NHAN_SU'!$Q137&gt;0,'DM_NHAN_SU'!$Q137,IF($G137="Tháng",IF($I137*$J137&gt;0,'DM_NHAN_SU'!$K137/($I137*$J137),0),IF($G137="Ngày",IF($J137&gt;0,'DM_NHAN_SU'!$K137/$J137,0),IF($G137="Giờ",'DM_NHAN_SU'!$K137,0))))))</f>
        <v/>
      </c>
      <c r="Z137" s="224">
        <f>IF('DM_NHAN_SU'!$B137="","",$Y137*($M137*'THAM_SO'!$C$22+'CHAM_CONG_THANG'!$AF137*'THAM_SO'!$C$19+'CHAM_CONG_THANG'!$AG137*'THAM_SO'!$C$20+'CHAM_CONG_THANG'!$AH137*'THAM_SO'!$C$21+'CHAM_CONG_THANG'!$AI137*'THAM_SO'!$C$23+'CHAM_CONG_THANG'!$AJ137*'THAM_SO'!$C$24+'CHAM_CONG_THANG'!$AK137*'THAM_SO'!$C$25))</f>
        <v/>
      </c>
      <c r="AA137" s="224">
        <f>IF('DM_NHAN_SU'!$B137="","",MAX(0,$Y137*($M137*IF('THAM_SO'!$C$22&gt;='THAM_SO'!$B$22,'THAM_SO'!$B$22,0)+'CHAM_CONG_THANG'!$AF137*IF('THAM_SO'!$C$19&gt;='THAM_SO'!$B$19,'THAM_SO'!$B$19,0)+'CHAM_CONG_THANG'!$AG137*IF('THAM_SO'!$C$20&gt;='THAM_SO'!$B$20,'THAM_SO'!$B$20,0)+'CHAM_CONG_THANG'!$AH137*IF('THAM_SO'!$C$21&gt;='THAM_SO'!$B$21,'THAM_SO'!$B$21,0)+'CHAM_CONG_THANG'!$AI137*IF('THAM_SO'!$C$23&gt;='THAM_SO'!$B$23,'THAM_SO'!$B$23,0)+'CHAM_CONG_THANG'!$AJ137*IF('THAM_SO'!$C$24&gt;='THAM_SO'!$B$24,'THAM_SO'!$B$24,0)+'CHAM_CONG_THANG'!$AK137*IF('THAM_SO'!$C$25&gt;='THAM_SO'!$B$25,'THAM_SO'!$B$25,0))-'CHAM_CONG_THANG'!$V137))</f>
        <v/>
      </c>
      <c r="AB137" s="224">
        <f>IF('DM_NHAN_SU'!$B137="","",MAX($Z137-$AA137,0))</f>
        <v/>
      </c>
      <c r="AC137" s="224">
        <f>IF('DM_NHAN_SU'!$B137="","",$O137+$P137+$Q137+$R137+$S137+$V137+$AB137+$BO137+$BP137+$BQ137+$BR137)</f>
        <v/>
      </c>
      <c r="AD137" s="224">
        <f>IF('DM_NHAN_SU'!$B137="","",'DM_NHAN_SU'!N137+'DM_NHAN_SU'!O137+'DM_NHAN_SU'!P137)</f>
        <v/>
      </c>
      <c r="AE137" s="224">
        <f>IF('DM_NHAN_SU'!$B137="","",IF(OR('DM_NHAN_SU'!$R137&lt;&gt;"Có",'CHAM_CONG_THANG'!$AA137="Có",$BL137&gt;=14,$AD137&lt;=0),0,MIN(MAX($AD137,'THAM_SO'!$M$6),'THAM_SO'!$M$7)))</f>
        <v/>
      </c>
      <c r="AF137" s="224">
        <f>IF('DM_NHAN_SU'!$B137="","",IF(OR('DM_NHAN_SU'!$S137&lt;&gt;"Có",'CHAM_CONG_THANG'!$AA137="Có",$BL137&gt;=14,$AD137&lt;=0),0,MIN(MAX($AD137,VLOOKUP($H137,'THAM_SO'!$L$17:$P$20,4,FALSE)),VLOOKUP($H137,'THAM_SO'!$L$17:$P$20,5,FALSE))))</f>
        <v/>
      </c>
      <c r="AG137" s="224">
        <f>IF('DM_NHAN_SU'!$B137="","",$AE137*'THAM_SO'!$M$8)</f>
        <v/>
      </c>
      <c r="AH137" s="224">
        <f>IF('DM_NHAN_SU'!$B137="","",$AE137*'THAM_SO'!$M$9)</f>
        <v/>
      </c>
      <c r="AI137" s="224">
        <f>IF('DM_NHAN_SU'!$B137="","",$AF137*'THAM_SO'!$M$10)</f>
        <v/>
      </c>
      <c r="AJ137" s="224">
        <f>IF('DM_NHAN_SU'!$B137="","",SUM($AG137:$AI137))</f>
        <v/>
      </c>
      <c r="AK137" s="224">
        <f>IF('DM_NHAN_SU'!$B137="","",IF($B137="",0,'THAM_SO'!$F$4))</f>
        <v/>
      </c>
      <c r="AL137" s="224">
        <f>IF('DM_NHAN_SU'!$B137="","",IF($B137="",0,'DM_NHAN_SU'!$T137*'THAM_SO'!$F$5))</f>
        <v/>
      </c>
      <c r="AM137" s="224">
        <f>IF('DM_NHAN_SU'!$B137="","",'CHAM_CONG_THANG'!W137)</f>
        <v/>
      </c>
      <c r="AN137" s="224">
        <f>IF('DM_NHAN_SU'!$B137="","",MAX($AC137-$AK137-$AL137-$AM137,0))</f>
        <v/>
      </c>
      <c r="AO137" s="224">
        <f>IF('DM_NHAN_SU'!$B137="","",IF($B137="","",IF($F137="Net",IF($AC137&lt;=$AK137+$AL137+$AM137,$AC137+$AJ137,$AJ137+$AK137+$AL137+$AM137+IF($AN137&lt;='THAM_SO'!$J$10,($AN137-'THAM_SO'!$I$10)/(1-'THAM_SO'!$H$10),IF($AN137&lt;='THAM_SO'!$J$11,($AN137-'THAM_SO'!$I$11)/(1-'THAM_SO'!$H$11),IF($AN137&lt;='THAM_SO'!$J$12,($AN137-'THAM_SO'!$I$12)/(1-'THAM_SO'!$H$12),IF($AN137&lt;='THAM_SO'!$J$13,($AN137-'THAM_SO'!$I$13)/(1-'THAM_SO'!$H$13),($AN137-'THAM_SO'!$I$14)/(1-'THAM_SO'!$H$14)))))),$AC137)))</f>
        <v/>
      </c>
      <c r="AP137" s="224">
        <f>IF('DM_NHAN_SU'!$B137="","",$U137+$W137+$X137+$AA137+$BS137)</f>
        <v/>
      </c>
      <c r="AQ137" s="224">
        <f>IF('DM_NHAN_SU'!$B137="","",MAX($AO137-$AJ137-$AK137-$AL137-$AM137,0))</f>
        <v/>
      </c>
      <c r="AR137" s="224">
        <f>IF('DM_NHAN_SU'!$B137="","",IF($AQ137&lt;=0,0,$AQ137*VLOOKUP($AQ137,'THAM_SO'!$F$10:$I$14,3,TRUE)-VLOOKUP($AQ137,'THAM_SO'!$F$10:$I$14,4,TRUE)))</f>
        <v/>
      </c>
      <c r="AS137" s="224">
        <f>IF('DM_NHAN_SU'!$B137="","",$AO137+$AP137)</f>
        <v/>
      </c>
      <c r="AT137" s="224">
        <f>IF('DM_NHAN_SU'!$B137="","",$AS137-$AJ137-$AR137)</f>
        <v/>
      </c>
      <c r="AU137" s="224">
        <f>IF('DM_NHAN_SU'!$B137="","",'CHAM_CONG_THANG'!X137)</f>
        <v/>
      </c>
      <c r="AV137" s="224">
        <f>IF('DM_NHAN_SU'!$B137="","",'CHAM_CONG_THANG'!Y137+'QT_NGHI_VIEC'!AD137)</f>
        <v/>
      </c>
      <c r="AW137" s="224">
        <f>IF('DM_NHAN_SU'!$B137="","",'CHAM_CONG_THANG'!Z137)</f>
        <v/>
      </c>
      <c r="AX137" s="224">
        <f>IF('DM_NHAN_SU'!$B137="","",$AT137-$AU137-$AV137-$AW137-$BV137)</f>
        <v/>
      </c>
      <c r="AY137" s="224">
        <f>IF('DM_NHAN_SU'!$B137="","",$AE137*'THAM_SO'!$M$11)</f>
        <v/>
      </c>
      <c r="AZ137" s="224">
        <f>IF('DM_NHAN_SU'!$B137="","",$AE137*'THAM_SO'!$M$12)</f>
        <v/>
      </c>
      <c r="BA137" s="224">
        <f>IF('DM_NHAN_SU'!$B137="","",$AF137*'THAM_SO'!$M$13)</f>
        <v/>
      </c>
      <c r="BB137" s="224">
        <f>IF('DM_NHAN_SU'!$B137="","",$AE137*'THAM_SO'!$M$14)</f>
        <v/>
      </c>
      <c r="BC137" s="224">
        <f>IF('DM_NHAN_SU'!$B137="","",SUM($AY137:$BB137))</f>
        <v/>
      </c>
      <c r="BD137" s="224">
        <f>IF('DM_NHAN_SU'!$B137="","",$AS137+$BC137)</f>
        <v/>
      </c>
      <c r="BE137" s="224">
        <f>IF('DM_NHAN_SU'!$B137="","",VLOOKUP($H137,'THAM_SO'!$L$17:$P$20,2,FALSE))</f>
        <v/>
      </c>
      <c r="BF137" s="224">
        <f>IF('DM_NHAN_SU'!$B137="","",VLOOKUP($H137,'THAM_SO'!$L$17:$P$20,3,FALSE))</f>
        <v/>
      </c>
      <c r="BG137" s="150">
        <f>IF('DM_NHAN_SU'!$B137="","",IF($B137="","",IF(COUNTIF('DM_NHAN_SU'!$B$6:$B$155,$B137)&gt;1,"Trùng mã NV; ","")&amp;IF(OR($F137="",$G137=""),"Thiếu loại/hình thức lương; ","")&amp;IF('CHAM_CONG_THANG'!$D137="","Chưa chọn nguồn công; ","")&amp;IF(AND('CHAM_CONG_THANG'!$D137="Theo ngày",COUNTIF('CHAM_CONG_NGAY'!$B$6:$B$4655,$B137)=0),"Chưa có chấm công ngày; ","")&amp;IF(OR($I137&lt;=0,$J137&lt;=0),"Thiếu công/giờ chuẩn; ","")&amp;IF(AND($G137="Tháng",'DM_NHAN_SU'!$K137&lt;$BE137),"Lương tháng dưới tối thiểu vùng; ","")&amp;IF(AND($G137="Ngày",'DM_NHAN_SU'!$K137/$J137&lt;$BF137),"Lương ngày quy đổi dưới tối thiểu giờ; ","")&amp;IF(AND($G137="Giờ",'DM_NHAN_SU'!$K137&lt;$BF137),"Lương giờ dưới tối thiểu vùng; ","")&amp;IF(AND($G137="Sản phẩm",$L137&gt;0,$O137/$L137&lt;$BF137),"Lương SP quy đổi dưới tối thiểu giờ; ","")&amp;IF(OR('THAM_SO'!$C$19&lt;'THAM_SO'!$B$19,'THAM_SO'!$C$20&lt;'THAM_SO'!$B$20,'THAM_SO'!$C$21&lt;'THAM_SO'!$B$21,'THAM_SO'!$C$22&lt;'THAM_SO'!$B$22,'THAM_SO'!$C$23&lt;'THAM_SO'!$B$23,'THAM_SO'!$C$24&lt;'THAM_SO'!$B$24,'THAM_SO'!$C$25&lt;'THAM_SO'!$B$25),"Hệ số OT/đêm DN thấp hơn luật; ","")&amp;IF(AND('DM_NHAN_SU'!$R137="Có",$AD137&lt;=0),"Thiếu căn cứ đóng BH; ","")&amp;IF(AND($AD137&gt;0,$AD137&lt;'THAM_SO'!$M$6),"Căn cứ BH dưới sàn – đã nâng sàn; ","")&amp;IF($AD137&gt;'THAM_SO'!$M$7,"Căn cứ BH vượt trần – đã giới hạn; ","")&amp;IF(AND($F137="Net",SUM('CHAM_CONG_THANG'!$AF137:$AK137)&gt;0,'DM_NHAN_SU'!$Q137&lt;=0),"Net có OT nhưng chưa khai lương giờ OT; ","")&amp;IF('CHAM_CONG_THANG'!$V137&gt;$Z137,"Phần OT không miễn lớn hơn tiền OT; ","")&amp;IF(AND($F137="Net",ABS($AT137-$AC137-$AP137)&gt;1),"Lệch quy đổi Net; ","")&amp;IF(AND($BH137&gt;0,'DM_NHAN_SU'!$AD137=""),"Có phép năm nhưng đang tạm dùng 12 ngày; ","")&amp;IF(AND($G137="Sản phẩm",SUM($BH137:$BJ137)&gt;0,'DM_NHAN_SU'!$AH137&lt;=0),"Lương sản phẩm thiếu đơn giá ngày phép/lễ; ","")&amp;IF(AND($BL137&gt;=14,'CHAM_CONG_THANG'!$AA137&lt;&gt;"Có"),"Thai sản từ 14 ngày: file tự dừng đóng BH – kiểm tra hồ sơ; ","")&amp;IF(AND('DM_NHAN_SU'!$AA137="Có",'DM_NHAN_SU'!$AB137=""),"Đoàn viên chưa chọn cách tính đoàn phí; ","")&amp;IF(AND('DM_NHAN_SU'!$AB137="Nhập tay",'DM_NHAN_SU'!$AC137&gt;'THAM_SO'!$M$26),"Đoàn phí nhập tay vượt trần thông dụng; ","")&amp;IF('NGHI_PHEP'!$L137&lt;&gt;"","Phép: "&amp;'NGHI_PHEP'!$L137,"")&amp;IF('CHE_DO_BHXH'!$AA137&lt;&gt;"","BHXH: "&amp;'CHE_DO_BHXH'!$AA137,"")&amp;IF('THUONG_T13_TET'!$O137&lt;&gt;"","Thưởng: "&amp;'THUONG_T13_TET'!$O137,"")&amp;IF('QT_NGHI_VIEC'!$AF137&lt;&gt;"","Nghỉ việc: "&amp;'QT_NGHI_VIEC'!$AF137,"")&amp;IF($AX137&lt;0,"Thực lĩnh âm; ","")&amp;IF(OR('DM_NHAN_SU'!$F137&gt;'THAM_SO'!$B$7,AND('DM_NHAN_SU'!$G137&lt;&gt;"",'DM_NHAN_SU'!$G137&lt;'THAM_SO'!$B$6)),"Ngoài kỳ trả lương; ","")))</f>
        <v/>
      </c>
      <c r="BH137" s="232">
        <f>IF('DM_NHAN_SU'!$B137="","",'CHAM_CONG_THANG'!AR137)</f>
        <v/>
      </c>
      <c r="BI137" s="232">
        <f>IF('DM_NHAN_SU'!$B137="","",'CHAM_CONG_THANG'!AS137)</f>
        <v/>
      </c>
      <c r="BJ137" s="232">
        <f>IF('DM_NHAN_SU'!$B137="","",'CHAM_CONG_THANG'!AT137)</f>
        <v/>
      </c>
      <c r="BK137" s="232">
        <f>IF('DM_NHAN_SU'!$B137="","",'CHAM_CONG_THANG'!AU137)</f>
        <v/>
      </c>
      <c r="BL137" s="232">
        <f>IF('DM_NHAN_SU'!$B137="","",'CHAM_CONG_THANG'!AV137)</f>
        <v/>
      </c>
      <c r="BM137" s="232">
        <f>IF('DM_NHAN_SU'!$B137="","",'CHAM_CONG_THANG'!AW137)</f>
        <v/>
      </c>
      <c r="BN137" s="232">
        <f>IF('DM_NHAN_SU'!$B137="","",SUM($K137,$BH137:$BJ137))</f>
        <v/>
      </c>
      <c r="BO137" s="224">
        <f>IF('DM_NHAN_SU'!$B137="","",IF($B137="",0,IF($G137="Tháng",IF($I137&gt;0,'DM_NHAN_SU'!$K137*MIN($BH137+$BJ137,MAX($I137-$K137,0))/$I137,0),IF($G137="Ngày",'DM_NHAN_SU'!$K137*SUM($BH137:$BJ137),IF($G137="Giờ",'DM_NHAN_SU'!$K137*SUM($BH137:$BJ137)*$J137,IF($G137="Sản phẩm",'DM_NHAN_SU'!$AH137*SUM($BH137:$BJ137),0))))))</f>
        <v/>
      </c>
      <c r="BP137" s="224">
        <f>IF('DM_NHAN_SU'!$B137="","",IF('THUONG_T13_TET'!$L137="Có",'THUONG_T13_TET'!$I137,0))</f>
        <v/>
      </c>
      <c r="BQ137" s="224">
        <f>IF('DM_NHAN_SU'!$B137="","",IF('THUONG_T13_TET'!$L137="Có",SUM('THUONG_T13_TET'!$J137:$K137),0))</f>
        <v/>
      </c>
      <c r="BR137" s="224">
        <f>IF('DM_NHAN_SU'!$B137="","",'QT_NGHI_VIEC'!AC137)</f>
        <v/>
      </c>
      <c r="BS137" s="224">
        <f>IF('DM_NHAN_SU'!$B137="","",'QT_NGHI_VIEC'!AB137)</f>
        <v/>
      </c>
      <c r="BT137" s="224">
        <f>IF('DM_NHAN_SU'!$B137="","",IF('CHE_DO_BHXH'!$Z137="Có",'CHE_DO_BHXH'!$W137,0))</f>
        <v/>
      </c>
      <c r="BU137" s="224">
        <f>IF('DM_NHAN_SU'!$B137="","",IF('CHE_DO_BHXH'!$Y137="DN trả thay",$BT137,0))</f>
        <v/>
      </c>
      <c r="BV137" s="224">
        <f>IF('DM_NHAN_SU'!$B137="","",IF(OR('DM_NHAN_SU'!$AA137&lt;&gt;"Có",'CHE_DO_BHXH'!$O137&gt;=1,SUM('CHE_DO_BHXH'!$D137,'CHE_DO_BHXH'!$G137,'CHE_DO_BHXH'!$K137)&gt;=24,AND($I137&gt;0,$BM137&gt;=$I137)),0,IF('DM_NHAN_SU'!$AB137="Không",0,IF('DM_NHAN_SU'!$AB137="Nhập tay",'DM_NHAN_SU'!$AC137,IF('DM_NHAN_SU'!$AB137="Theo thực nhận",MIN(MAX($AT137-$AU137-$AV137-$AW137,0)*'THAM_SO'!$M$23,'THAM_SO'!$M$26),MIN($AE137*'THAM_SO'!$M$23,'THAM_SO'!$M$26))))))</f>
        <v/>
      </c>
      <c r="BW137" s="224">
        <f>IF('DM_NHAN_SU'!$B137="","",$AX137+$BU137)</f>
        <v/>
      </c>
    </row>
    <row r="138">
      <c r="A138" s="145">
        <f>IF('DM_NHAN_SU'!$B138="","",IF($B138="","",ROW()-5))</f>
        <v/>
      </c>
      <c r="B138" s="145">
        <f>IF('DM_NHAN_SU'!$B138="","",'DM_NHAN_SU'!B138)</f>
        <v/>
      </c>
      <c r="C138" s="145">
        <f>IF('DM_NHAN_SU'!$B138="","",'DM_NHAN_SU'!C138)</f>
        <v/>
      </c>
      <c r="D138" s="145">
        <f>IF('DM_NHAN_SU'!$B138="","",'DM_NHAN_SU'!D138)</f>
        <v/>
      </c>
      <c r="E138" s="145">
        <f>IF('DM_NHAN_SU'!$B138="","",'DM_NHAN_SU'!E138)</f>
        <v/>
      </c>
      <c r="F138" s="145">
        <f>IF('DM_NHAN_SU'!$B138="","",'DM_NHAN_SU'!I138)</f>
        <v/>
      </c>
      <c r="G138" s="145">
        <f>IF('DM_NHAN_SU'!$B138="","",'DM_NHAN_SU'!J138)</f>
        <v/>
      </c>
      <c r="H138" s="145">
        <f>IF('DM_NHAN_SU'!$B138="","",IF('DM_NHAN_SU'!H138="",'THAM_SO'!$B$11,'DM_NHAN_SU'!H138))</f>
        <v/>
      </c>
      <c r="I138" s="232">
        <f>IF('DM_NHAN_SU'!$B138="","",IF('DM_NHAN_SU'!L138&gt;0,'DM_NHAN_SU'!L138,'THAM_SO'!$B$9))</f>
        <v/>
      </c>
      <c r="J138" s="232">
        <f>IF('DM_NHAN_SU'!$B138="","",IF('DM_NHAN_SU'!M138&gt;0,'DM_NHAN_SU'!M138,'THAM_SO'!$B$10))</f>
        <v/>
      </c>
      <c r="K138" s="232">
        <f>IF('DM_NHAN_SU'!$B138="","",'CHAM_CONG_THANG'!AC138)</f>
        <v/>
      </c>
      <c r="L138" s="232">
        <f>IF('DM_NHAN_SU'!$B138="","",'CHAM_CONG_THANG'!AD138)</f>
        <v/>
      </c>
      <c r="M138" s="232">
        <f>IF('DM_NHAN_SU'!$B138="","",'CHAM_CONG_THANG'!AE138)</f>
        <v/>
      </c>
      <c r="N138" s="232">
        <f>IF('DM_NHAN_SU'!$B138="","",'CHAM_CONG_THANG'!N138)</f>
        <v/>
      </c>
      <c r="O138" s="224">
        <f>IF('DM_NHAN_SU'!$B138="","",IF($B138="","",IF($G138="Tháng",IF($I138&gt;0,'DM_NHAN_SU'!$K138*MIN($K138,$I138)/$I138,0),IF($G138="Ngày",'DM_NHAN_SU'!$K138*$K138,IF($G138="Giờ",'DM_NHAN_SU'!$K138*$L138,IF($G138="Sản phẩm",'DM_NHAN_SU'!$K138*$N138,0))))))</f>
        <v/>
      </c>
      <c r="P138" s="224">
        <f>IF('DM_NHAN_SU'!$B138="","",'CHAM_CONG_THANG'!O138)</f>
        <v/>
      </c>
      <c r="Q138" s="224">
        <f>IF('DM_NHAN_SU'!$B138="","",'CHAM_CONG_THANG'!P138)</f>
        <v/>
      </c>
      <c r="R138" s="224">
        <f>IF('DM_NHAN_SU'!$B138="","",'CHAM_CONG_THANG'!Q138)</f>
        <v/>
      </c>
      <c r="S138" s="224">
        <f>IF('DM_NHAN_SU'!$B138="","",'CHAM_CONG_THANG'!R138)</f>
        <v/>
      </c>
      <c r="T138" s="224">
        <f>IF('DM_NHAN_SU'!$B138="","",'CHAM_CONG_THANG'!S138)</f>
        <v/>
      </c>
      <c r="U138" s="224">
        <f>IF('DM_NHAN_SU'!$B138="","",MIN($T138,'THAM_SO'!$F$6))</f>
        <v/>
      </c>
      <c r="V138" s="224">
        <f>IF('DM_NHAN_SU'!$B138="","",MAX($T138-$U138,0))</f>
        <v/>
      </c>
      <c r="W138" s="224">
        <f>IF('DM_NHAN_SU'!$B138="","",'CHAM_CONG_THANG'!T138)</f>
        <v/>
      </c>
      <c r="X138" s="224">
        <f>IF('DM_NHAN_SU'!$B138="","",'CHAM_CONG_THANG'!U138)</f>
        <v/>
      </c>
      <c r="Y138" s="224">
        <f>IF('DM_NHAN_SU'!$B138="","",IF($B138="",0,IF('DM_NHAN_SU'!$Q138&gt;0,'DM_NHAN_SU'!$Q138,IF($G138="Tháng",IF($I138*$J138&gt;0,'DM_NHAN_SU'!$K138/($I138*$J138),0),IF($G138="Ngày",IF($J138&gt;0,'DM_NHAN_SU'!$K138/$J138,0),IF($G138="Giờ",'DM_NHAN_SU'!$K138,0))))))</f>
        <v/>
      </c>
      <c r="Z138" s="224">
        <f>IF('DM_NHAN_SU'!$B138="","",$Y138*($M138*'THAM_SO'!$C$22+'CHAM_CONG_THANG'!$AF138*'THAM_SO'!$C$19+'CHAM_CONG_THANG'!$AG138*'THAM_SO'!$C$20+'CHAM_CONG_THANG'!$AH138*'THAM_SO'!$C$21+'CHAM_CONG_THANG'!$AI138*'THAM_SO'!$C$23+'CHAM_CONG_THANG'!$AJ138*'THAM_SO'!$C$24+'CHAM_CONG_THANG'!$AK138*'THAM_SO'!$C$25))</f>
        <v/>
      </c>
      <c r="AA138" s="224">
        <f>IF('DM_NHAN_SU'!$B138="","",MAX(0,$Y138*($M138*IF('THAM_SO'!$C$22&gt;='THAM_SO'!$B$22,'THAM_SO'!$B$22,0)+'CHAM_CONG_THANG'!$AF138*IF('THAM_SO'!$C$19&gt;='THAM_SO'!$B$19,'THAM_SO'!$B$19,0)+'CHAM_CONG_THANG'!$AG138*IF('THAM_SO'!$C$20&gt;='THAM_SO'!$B$20,'THAM_SO'!$B$20,0)+'CHAM_CONG_THANG'!$AH138*IF('THAM_SO'!$C$21&gt;='THAM_SO'!$B$21,'THAM_SO'!$B$21,0)+'CHAM_CONG_THANG'!$AI138*IF('THAM_SO'!$C$23&gt;='THAM_SO'!$B$23,'THAM_SO'!$B$23,0)+'CHAM_CONG_THANG'!$AJ138*IF('THAM_SO'!$C$24&gt;='THAM_SO'!$B$24,'THAM_SO'!$B$24,0)+'CHAM_CONG_THANG'!$AK138*IF('THAM_SO'!$C$25&gt;='THAM_SO'!$B$25,'THAM_SO'!$B$25,0))-'CHAM_CONG_THANG'!$V138))</f>
        <v/>
      </c>
      <c r="AB138" s="224">
        <f>IF('DM_NHAN_SU'!$B138="","",MAX($Z138-$AA138,0))</f>
        <v/>
      </c>
      <c r="AC138" s="224">
        <f>IF('DM_NHAN_SU'!$B138="","",$O138+$P138+$Q138+$R138+$S138+$V138+$AB138+$BO138+$BP138+$BQ138+$BR138)</f>
        <v/>
      </c>
      <c r="AD138" s="224">
        <f>IF('DM_NHAN_SU'!$B138="","",'DM_NHAN_SU'!N138+'DM_NHAN_SU'!O138+'DM_NHAN_SU'!P138)</f>
        <v/>
      </c>
      <c r="AE138" s="224">
        <f>IF('DM_NHAN_SU'!$B138="","",IF(OR('DM_NHAN_SU'!$R138&lt;&gt;"Có",'CHAM_CONG_THANG'!$AA138="Có",$BL138&gt;=14,$AD138&lt;=0),0,MIN(MAX($AD138,'THAM_SO'!$M$6),'THAM_SO'!$M$7)))</f>
        <v/>
      </c>
      <c r="AF138" s="224">
        <f>IF('DM_NHAN_SU'!$B138="","",IF(OR('DM_NHAN_SU'!$S138&lt;&gt;"Có",'CHAM_CONG_THANG'!$AA138="Có",$BL138&gt;=14,$AD138&lt;=0),0,MIN(MAX($AD138,VLOOKUP($H138,'THAM_SO'!$L$17:$P$20,4,FALSE)),VLOOKUP($H138,'THAM_SO'!$L$17:$P$20,5,FALSE))))</f>
        <v/>
      </c>
      <c r="AG138" s="224">
        <f>IF('DM_NHAN_SU'!$B138="","",$AE138*'THAM_SO'!$M$8)</f>
        <v/>
      </c>
      <c r="AH138" s="224">
        <f>IF('DM_NHAN_SU'!$B138="","",$AE138*'THAM_SO'!$M$9)</f>
        <v/>
      </c>
      <c r="AI138" s="224">
        <f>IF('DM_NHAN_SU'!$B138="","",$AF138*'THAM_SO'!$M$10)</f>
        <v/>
      </c>
      <c r="AJ138" s="224">
        <f>IF('DM_NHAN_SU'!$B138="","",SUM($AG138:$AI138))</f>
        <v/>
      </c>
      <c r="AK138" s="224">
        <f>IF('DM_NHAN_SU'!$B138="","",IF($B138="",0,'THAM_SO'!$F$4))</f>
        <v/>
      </c>
      <c r="AL138" s="224">
        <f>IF('DM_NHAN_SU'!$B138="","",IF($B138="",0,'DM_NHAN_SU'!$T138*'THAM_SO'!$F$5))</f>
        <v/>
      </c>
      <c r="AM138" s="224">
        <f>IF('DM_NHAN_SU'!$B138="","",'CHAM_CONG_THANG'!W138)</f>
        <v/>
      </c>
      <c r="AN138" s="224">
        <f>IF('DM_NHAN_SU'!$B138="","",MAX($AC138-$AK138-$AL138-$AM138,0))</f>
        <v/>
      </c>
      <c r="AO138" s="224">
        <f>IF('DM_NHAN_SU'!$B138="","",IF($B138="","",IF($F138="Net",IF($AC138&lt;=$AK138+$AL138+$AM138,$AC138+$AJ138,$AJ138+$AK138+$AL138+$AM138+IF($AN138&lt;='THAM_SO'!$J$10,($AN138-'THAM_SO'!$I$10)/(1-'THAM_SO'!$H$10),IF($AN138&lt;='THAM_SO'!$J$11,($AN138-'THAM_SO'!$I$11)/(1-'THAM_SO'!$H$11),IF($AN138&lt;='THAM_SO'!$J$12,($AN138-'THAM_SO'!$I$12)/(1-'THAM_SO'!$H$12),IF($AN138&lt;='THAM_SO'!$J$13,($AN138-'THAM_SO'!$I$13)/(1-'THAM_SO'!$H$13),($AN138-'THAM_SO'!$I$14)/(1-'THAM_SO'!$H$14)))))),$AC138)))</f>
        <v/>
      </c>
      <c r="AP138" s="224">
        <f>IF('DM_NHAN_SU'!$B138="","",$U138+$W138+$X138+$AA138+$BS138)</f>
        <v/>
      </c>
      <c r="AQ138" s="224">
        <f>IF('DM_NHAN_SU'!$B138="","",MAX($AO138-$AJ138-$AK138-$AL138-$AM138,0))</f>
        <v/>
      </c>
      <c r="AR138" s="224">
        <f>IF('DM_NHAN_SU'!$B138="","",IF($AQ138&lt;=0,0,$AQ138*VLOOKUP($AQ138,'THAM_SO'!$F$10:$I$14,3,TRUE)-VLOOKUP($AQ138,'THAM_SO'!$F$10:$I$14,4,TRUE)))</f>
        <v/>
      </c>
      <c r="AS138" s="224">
        <f>IF('DM_NHAN_SU'!$B138="","",$AO138+$AP138)</f>
        <v/>
      </c>
      <c r="AT138" s="224">
        <f>IF('DM_NHAN_SU'!$B138="","",$AS138-$AJ138-$AR138)</f>
        <v/>
      </c>
      <c r="AU138" s="224">
        <f>IF('DM_NHAN_SU'!$B138="","",'CHAM_CONG_THANG'!X138)</f>
        <v/>
      </c>
      <c r="AV138" s="224">
        <f>IF('DM_NHAN_SU'!$B138="","",'CHAM_CONG_THANG'!Y138+'QT_NGHI_VIEC'!AD138)</f>
        <v/>
      </c>
      <c r="AW138" s="224">
        <f>IF('DM_NHAN_SU'!$B138="","",'CHAM_CONG_THANG'!Z138)</f>
        <v/>
      </c>
      <c r="AX138" s="224">
        <f>IF('DM_NHAN_SU'!$B138="","",$AT138-$AU138-$AV138-$AW138-$BV138)</f>
        <v/>
      </c>
      <c r="AY138" s="224">
        <f>IF('DM_NHAN_SU'!$B138="","",$AE138*'THAM_SO'!$M$11)</f>
        <v/>
      </c>
      <c r="AZ138" s="224">
        <f>IF('DM_NHAN_SU'!$B138="","",$AE138*'THAM_SO'!$M$12)</f>
        <v/>
      </c>
      <c r="BA138" s="224">
        <f>IF('DM_NHAN_SU'!$B138="","",$AF138*'THAM_SO'!$M$13)</f>
        <v/>
      </c>
      <c r="BB138" s="224">
        <f>IF('DM_NHAN_SU'!$B138="","",$AE138*'THAM_SO'!$M$14)</f>
        <v/>
      </c>
      <c r="BC138" s="224">
        <f>IF('DM_NHAN_SU'!$B138="","",SUM($AY138:$BB138))</f>
        <v/>
      </c>
      <c r="BD138" s="224">
        <f>IF('DM_NHAN_SU'!$B138="","",$AS138+$BC138)</f>
        <v/>
      </c>
      <c r="BE138" s="224">
        <f>IF('DM_NHAN_SU'!$B138="","",VLOOKUP($H138,'THAM_SO'!$L$17:$P$20,2,FALSE))</f>
        <v/>
      </c>
      <c r="BF138" s="224">
        <f>IF('DM_NHAN_SU'!$B138="","",VLOOKUP($H138,'THAM_SO'!$L$17:$P$20,3,FALSE))</f>
        <v/>
      </c>
      <c r="BG138" s="150">
        <f>IF('DM_NHAN_SU'!$B138="","",IF($B138="","",IF(COUNTIF('DM_NHAN_SU'!$B$6:$B$155,$B138)&gt;1,"Trùng mã NV; ","")&amp;IF(OR($F138="",$G138=""),"Thiếu loại/hình thức lương; ","")&amp;IF('CHAM_CONG_THANG'!$D138="","Chưa chọn nguồn công; ","")&amp;IF(AND('CHAM_CONG_THANG'!$D138="Theo ngày",COUNTIF('CHAM_CONG_NGAY'!$B$6:$B$4655,$B138)=0),"Chưa có chấm công ngày; ","")&amp;IF(OR($I138&lt;=0,$J138&lt;=0),"Thiếu công/giờ chuẩn; ","")&amp;IF(AND($G138="Tháng",'DM_NHAN_SU'!$K138&lt;$BE138),"Lương tháng dưới tối thiểu vùng; ","")&amp;IF(AND($G138="Ngày",'DM_NHAN_SU'!$K138/$J138&lt;$BF138),"Lương ngày quy đổi dưới tối thiểu giờ; ","")&amp;IF(AND($G138="Giờ",'DM_NHAN_SU'!$K138&lt;$BF138),"Lương giờ dưới tối thiểu vùng; ","")&amp;IF(AND($G138="Sản phẩm",$L138&gt;0,$O138/$L138&lt;$BF138),"Lương SP quy đổi dưới tối thiểu giờ; ","")&amp;IF(OR('THAM_SO'!$C$19&lt;'THAM_SO'!$B$19,'THAM_SO'!$C$20&lt;'THAM_SO'!$B$20,'THAM_SO'!$C$21&lt;'THAM_SO'!$B$21,'THAM_SO'!$C$22&lt;'THAM_SO'!$B$22,'THAM_SO'!$C$23&lt;'THAM_SO'!$B$23,'THAM_SO'!$C$24&lt;'THAM_SO'!$B$24,'THAM_SO'!$C$25&lt;'THAM_SO'!$B$25),"Hệ số OT/đêm DN thấp hơn luật; ","")&amp;IF(AND('DM_NHAN_SU'!$R138="Có",$AD138&lt;=0),"Thiếu căn cứ đóng BH; ","")&amp;IF(AND($AD138&gt;0,$AD138&lt;'THAM_SO'!$M$6),"Căn cứ BH dưới sàn – đã nâng sàn; ","")&amp;IF($AD138&gt;'THAM_SO'!$M$7,"Căn cứ BH vượt trần – đã giới hạn; ","")&amp;IF(AND($F138="Net",SUM('CHAM_CONG_THANG'!$AF138:$AK138)&gt;0,'DM_NHAN_SU'!$Q138&lt;=0),"Net có OT nhưng chưa khai lương giờ OT; ","")&amp;IF('CHAM_CONG_THANG'!$V138&gt;$Z138,"Phần OT không miễn lớn hơn tiền OT; ","")&amp;IF(AND($F138="Net",ABS($AT138-$AC138-$AP138)&gt;1),"Lệch quy đổi Net; ","")&amp;IF(AND($BH138&gt;0,'DM_NHAN_SU'!$AD138=""),"Có phép năm nhưng đang tạm dùng 12 ngày; ","")&amp;IF(AND($G138="Sản phẩm",SUM($BH138:$BJ138)&gt;0,'DM_NHAN_SU'!$AH138&lt;=0),"Lương sản phẩm thiếu đơn giá ngày phép/lễ; ","")&amp;IF(AND($BL138&gt;=14,'CHAM_CONG_THANG'!$AA138&lt;&gt;"Có"),"Thai sản từ 14 ngày: file tự dừng đóng BH – kiểm tra hồ sơ; ","")&amp;IF(AND('DM_NHAN_SU'!$AA138="Có",'DM_NHAN_SU'!$AB138=""),"Đoàn viên chưa chọn cách tính đoàn phí; ","")&amp;IF(AND('DM_NHAN_SU'!$AB138="Nhập tay",'DM_NHAN_SU'!$AC138&gt;'THAM_SO'!$M$26),"Đoàn phí nhập tay vượt trần thông dụng; ","")&amp;IF('NGHI_PHEP'!$L138&lt;&gt;"","Phép: "&amp;'NGHI_PHEP'!$L138,"")&amp;IF('CHE_DO_BHXH'!$AA138&lt;&gt;"","BHXH: "&amp;'CHE_DO_BHXH'!$AA138,"")&amp;IF('THUONG_T13_TET'!$O138&lt;&gt;"","Thưởng: "&amp;'THUONG_T13_TET'!$O138,"")&amp;IF('QT_NGHI_VIEC'!$AF138&lt;&gt;"","Nghỉ việc: "&amp;'QT_NGHI_VIEC'!$AF138,"")&amp;IF($AX138&lt;0,"Thực lĩnh âm; ","")&amp;IF(OR('DM_NHAN_SU'!$F138&gt;'THAM_SO'!$B$7,AND('DM_NHAN_SU'!$G138&lt;&gt;"",'DM_NHAN_SU'!$G138&lt;'THAM_SO'!$B$6)),"Ngoài kỳ trả lương; ","")))</f>
        <v/>
      </c>
      <c r="BH138" s="232">
        <f>IF('DM_NHAN_SU'!$B138="","",'CHAM_CONG_THANG'!AR138)</f>
        <v/>
      </c>
      <c r="BI138" s="232">
        <f>IF('DM_NHAN_SU'!$B138="","",'CHAM_CONG_THANG'!AS138)</f>
        <v/>
      </c>
      <c r="BJ138" s="232">
        <f>IF('DM_NHAN_SU'!$B138="","",'CHAM_CONG_THANG'!AT138)</f>
        <v/>
      </c>
      <c r="BK138" s="232">
        <f>IF('DM_NHAN_SU'!$B138="","",'CHAM_CONG_THANG'!AU138)</f>
        <v/>
      </c>
      <c r="BL138" s="232">
        <f>IF('DM_NHAN_SU'!$B138="","",'CHAM_CONG_THANG'!AV138)</f>
        <v/>
      </c>
      <c r="BM138" s="232">
        <f>IF('DM_NHAN_SU'!$B138="","",'CHAM_CONG_THANG'!AW138)</f>
        <v/>
      </c>
      <c r="BN138" s="232">
        <f>IF('DM_NHAN_SU'!$B138="","",SUM($K138,$BH138:$BJ138))</f>
        <v/>
      </c>
      <c r="BO138" s="224">
        <f>IF('DM_NHAN_SU'!$B138="","",IF($B138="",0,IF($G138="Tháng",IF($I138&gt;0,'DM_NHAN_SU'!$K138*MIN($BH138+$BJ138,MAX($I138-$K138,0))/$I138,0),IF($G138="Ngày",'DM_NHAN_SU'!$K138*SUM($BH138:$BJ138),IF($G138="Giờ",'DM_NHAN_SU'!$K138*SUM($BH138:$BJ138)*$J138,IF($G138="Sản phẩm",'DM_NHAN_SU'!$AH138*SUM($BH138:$BJ138),0))))))</f>
        <v/>
      </c>
      <c r="BP138" s="224">
        <f>IF('DM_NHAN_SU'!$B138="","",IF('THUONG_T13_TET'!$L138="Có",'THUONG_T13_TET'!$I138,0))</f>
        <v/>
      </c>
      <c r="BQ138" s="224">
        <f>IF('DM_NHAN_SU'!$B138="","",IF('THUONG_T13_TET'!$L138="Có",SUM('THUONG_T13_TET'!$J138:$K138),0))</f>
        <v/>
      </c>
      <c r="BR138" s="224">
        <f>IF('DM_NHAN_SU'!$B138="","",'QT_NGHI_VIEC'!AC138)</f>
        <v/>
      </c>
      <c r="BS138" s="224">
        <f>IF('DM_NHAN_SU'!$B138="","",'QT_NGHI_VIEC'!AB138)</f>
        <v/>
      </c>
      <c r="BT138" s="224">
        <f>IF('DM_NHAN_SU'!$B138="","",IF('CHE_DO_BHXH'!$Z138="Có",'CHE_DO_BHXH'!$W138,0))</f>
        <v/>
      </c>
      <c r="BU138" s="224">
        <f>IF('DM_NHAN_SU'!$B138="","",IF('CHE_DO_BHXH'!$Y138="DN trả thay",$BT138,0))</f>
        <v/>
      </c>
      <c r="BV138" s="224">
        <f>IF('DM_NHAN_SU'!$B138="","",IF(OR('DM_NHAN_SU'!$AA138&lt;&gt;"Có",'CHE_DO_BHXH'!$O138&gt;=1,SUM('CHE_DO_BHXH'!$D138,'CHE_DO_BHXH'!$G138,'CHE_DO_BHXH'!$K138)&gt;=24,AND($I138&gt;0,$BM138&gt;=$I138)),0,IF('DM_NHAN_SU'!$AB138="Không",0,IF('DM_NHAN_SU'!$AB138="Nhập tay",'DM_NHAN_SU'!$AC138,IF('DM_NHAN_SU'!$AB138="Theo thực nhận",MIN(MAX($AT138-$AU138-$AV138-$AW138,0)*'THAM_SO'!$M$23,'THAM_SO'!$M$26),MIN($AE138*'THAM_SO'!$M$23,'THAM_SO'!$M$26))))))</f>
        <v/>
      </c>
      <c r="BW138" s="224">
        <f>IF('DM_NHAN_SU'!$B138="","",$AX138+$BU138)</f>
        <v/>
      </c>
    </row>
    <row r="139">
      <c r="A139" s="145">
        <f>IF('DM_NHAN_SU'!$B139="","",IF($B139="","",ROW()-5))</f>
        <v/>
      </c>
      <c r="B139" s="145">
        <f>IF('DM_NHAN_SU'!$B139="","",'DM_NHAN_SU'!B139)</f>
        <v/>
      </c>
      <c r="C139" s="145">
        <f>IF('DM_NHAN_SU'!$B139="","",'DM_NHAN_SU'!C139)</f>
        <v/>
      </c>
      <c r="D139" s="145">
        <f>IF('DM_NHAN_SU'!$B139="","",'DM_NHAN_SU'!D139)</f>
        <v/>
      </c>
      <c r="E139" s="145">
        <f>IF('DM_NHAN_SU'!$B139="","",'DM_NHAN_SU'!E139)</f>
        <v/>
      </c>
      <c r="F139" s="145">
        <f>IF('DM_NHAN_SU'!$B139="","",'DM_NHAN_SU'!I139)</f>
        <v/>
      </c>
      <c r="G139" s="145">
        <f>IF('DM_NHAN_SU'!$B139="","",'DM_NHAN_SU'!J139)</f>
        <v/>
      </c>
      <c r="H139" s="145">
        <f>IF('DM_NHAN_SU'!$B139="","",IF('DM_NHAN_SU'!H139="",'THAM_SO'!$B$11,'DM_NHAN_SU'!H139))</f>
        <v/>
      </c>
      <c r="I139" s="232">
        <f>IF('DM_NHAN_SU'!$B139="","",IF('DM_NHAN_SU'!L139&gt;0,'DM_NHAN_SU'!L139,'THAM_SO'!$B$9))</f>
        <v/>
      </c>
      <c r="J139" s="232">
        <f>IF('DM_NHAN_SU'!$B139="","",IF('DM_NHAN_SU'!M139&gt;0,'DM_NHAN_SU'!M139,'THAM_SO'!$B$10))</f>
        <v/>
      </c>
      <c r="K139" s="232">
        <f>IF('DM_NHAN_SU'!$B139="","",'CHAM_CONG_THANG'!AC139)</f>
        <v/>
      </c>
      <c r="L139" s="232">
        <f>IF('DM_NHAN_SU'!$B139="","",'CHAM_CONG_THANG'!AD139)</f>
        <v/>
      </c>
      <c r="M139" s="232">
        <f>IF('DM_NHAN_SU'!$B139="","",'CHAM_CONG_THANG'!AE139)</f>
        <v/>
      </c>
      <c r="N139" s="232">
        <f>IF('DM_NHAN_SU'!$B139="","",'CHAM_CONG_THANG'!N139)</f>
        <v/>
      </c>
      <c r="O139" s="224">
        <f>IF('DM_NHAN_SU'!$B139="","",IF($B139="","",IF($G139="Tháng",IF($I139&gt;0,'DM_NHAN_SU'!$K139*MIN($K139,$I139)/$I139,0),IF($G139="Ngày",'DM_NHAN_SU'!$K139*$K139,IF($G139="Giờ",'DM_NHAN_SU'!$K139*$L139,IF($G139="Sản phẩm",'DM_NHAN_SU'!$K139*$N139,0))))))</f>
        <v/>
      </c>
      <c r="P139" s="224">
        <f>IF('DM_NHAN_SU'!$B139="","",'CHAM_CONG_THANG'!O139)</f>
        <v/>
      </c>
      <c r="Q139" s="224">
        <f>IF('DM_NHAN_SU'!$B139="","",'CHAM_CONG_THANG'!P139)</f>
        <v/>
      </c>
      <c r="R139" s="224">
        <f>IF('DM_NHAN_SU'!$B139="","",'CHAM_CONG_THANG'!Q139)</f>
        <v/>
      </c>
      <c r="S139" s="224">
        <f>IF('DM_NHAN_SU'!$B139="","",'CHAM_CONG_THANG'!R139)</f>
        <v/>
      </c>
      <c r="T139" s="224">
        <f>IF('DM_NHAN_SU'!$B139="","",'CHAM_CONG_THANG'!S139)</f>
        <v/>
      </c>
      <c r="U139" s="224">
        <f>IF('DM_NHAN_SU'!$B139="","",MIN($T139,'THAM_SO'!$F$6))</f>
        <v/>
      </c>
      <c r="V139" s="224">
        <f>IF('DM_NHAN_SU'!$B139="","",MAX($T139-$U139,0))</f>
        <v/>
      </c>
      <c r="W139" s="224">
        <f>IF('DM_NHAN_SU'!$B139="","",'CHAM_CONG_THANG'!T139)</f>
        <v/>
      </c>
      <c r="X139" s="224">
        <f>IF('DM_NHAN_SU'!$B139="","",'CHAM_CONG_THANG'!U139)</f>
        <v/>
      </c>
      <c r="Y139" s="224">
        <f>IF('DM_NHAN_SU'!$B139="","",IF($B139="",0,IF('DM_NHAN_SU'!$Q139&gt;0,'DM_NHAN_SU'!$Q139,IF($G139="Tháng",IF($I139*$J139&gt;0,'DM_NHAN_SU'!$K139/($I139*$J139),0),IF($G139="Ngày",IF($J139&gt;0,'DM_NHAN_SU'!$K139/$J139,0),IF($G139="Giờ",'DM_NHAN_SU'!$K139,0))))))</f>
        <v/>
      </c>
      <c r="Z139" s="224">
        <f>IF('DM_NHAN_SU'!$B139="","",$Y139*($M139*'THAM_SO'!$C$22+'CHAM_CONG_THANG'!$AF139*'THAM_SO'!$C$19+'CHAM_CONG_THANG'!$AG139*'THAM_SO'!$C$20+'CHAM_CONG_THANG'!$AH139*'THAM_SO'!$C$21+'CHAM_CONG_THANG'!$AI139*'THAM_SO'!$C$23+'CHAM_CONG_THANG'!$AJ139*'THAM_SO'!$C$24+'CHAM_CONG_THANG'!$AK139*'THAM_SO'!$C$25))</f>
        <v/>
      </c>
      <c r="AA139" s="224">
        <f>IF('DM_NHAN_SU'!$B139="","",MAX(0,$Y139*($M139*IF('THAM_SO'!$C$22&gt;='THAM_SO'!$B$22,'THAM_SO'!$B$22,0)+'CHAM_CONG_THANG'!$AF139*IF('THAM_SO'!$C$19&gt;='THAM_SO'!$B$19,'THAM_SO'!$B$19,0)+'CHAM_CONG_THANG'!$AG139*IF('THAM_SO'!$C$20&gt;='THAM_SO'!$B$20,'THAM_SO'!$B$20,0)+'CHAM_CONG_THANG'!$AH139*IF('THAM_SO'!$C$21&gt;='THAM_SO'!$B$21,'THAM_SO'!$B$21,0)+'CHAM_CONG_THANG'!$AI139*IF('THAM_SO'!$C$23&gt;='THAM_SO'!$B$23,'THAM_SO'!$B$23,0)+'CHAM_CONG_THANG'!$AJ139*IF('THAM_SO'!$C$24&gt;='THAM_SO'!$B$24,'THAM_SO'!$B$24,0)+'CHAM_CONG_THANG'!$AK139*IF('THAM_SO'!$C$25&gt;='THAM_SO'!$B$25,'THAM_SO'!$B$25,0))-'CHAM_CONG_THANG'!$V139))</f>
        <v/>
      </c>
      <c r="AB139" s="224">
        <f>IF('DM_NHAN_SU'!$B139="","",MAX($Z139-$AA139,0))</f>
        <v/>
      </c>
      <c r="AC139" s="224">
        <f>IF('DM_NHAN_SU'!$B139="","",$O139+$P139+$Q139+$R139+$S139+$V139+$AB139+$BO139+$BP139+$BQ139+$BR139)</f>
        <v/>
      </c>
      <c r="AD139" s="224">
        <f>IF('DM_NHAN_SU'!$B139="","",'DM_NHAN_SU'!N139+'DM_NHAN_SU'!O139+'DM_NHAN_SU'!P139)</f>
        <v/>
      </c>
      <c r="AE139" s="224">
        <f>IF('DM_NHAN_SU'!$B139="","",IF(OR('DM_NHAN_SU'!$R139&lt;&gt;"Có",'CHAM_CONG_THANG'!$AA139="Có",$BL139&gt;=14,$AD139&lt;=0),0,MIN(MAX($AD139,'THAM_SO'!$M$6),'THAM_SO'!$M$7)))</f>
        <v/>
      </c>
      <c r="AF139" s="224">
        <f>IF('DM_NHAN_SU'!$B139="","",IF(OR('DM_NHAN_SU'!$S139&lt;&gt;"Có",'CHAM_CONG_THANG'!$AA139="Có",$BL139&gt;=14,$AD139&lt;=0),0,MIN(MAX($AD139,VLOOKUP($H139,'THAM_SO'!$L$17:$P$20,4,FALSE)),VLOOKUP($H139,'THAM_SO'!$L$17:$P$20,5,FALSE))))</f>
        <v/>
      </c>
      <c r="AG139" s="224">
        <f>IF('DM_NHAN_SU'!$B139="","",$AE139*'THAM_SO'!$M$8)</f>
        <v/>
      </c>
      <c r="AH139" s="224">
        <f>IF('DM_NHAN_SU'!$B139="","",$AE139*'THAM_SO'!$M$9)</f>
        <v/>
      </c>
      <c r="AI139" s="224">
        <f>IF('DM_NHAN_SU'!$B139="","",$AF139*'THAM_SO'!$M$10)</f>
        <v/>
      </c>
      <c r="AJ139" s="224">
        <f>IF('DM_NHAN_SU'!$B139="","",SUM($AG139:$AI139))</f>
        <v/>
      </c>
      <c r="AK139" s="224">
        <f>IF('DM_NHAN_SU'!$B139="","",IF($B139="",0,'THAM_SO'!$F$4))</f>
        <v/>
      </c>
      <c r="AL139" s="224">
        <f>IF('DM_NHAN_SU'!$B139="","",IF($B139="",0,'DM_NHAN_SU'!$T139*'THAM_SO'!$F$5))</f>
        <v/>
      </c>
      <c r="AM139" s="224">
        <f>IF('DM_NHAN_SU'!$B139="","",'CHAM_CONG_THANG'!W139)</f>
        <v/>
      </c>
      <c r="AN139" s="224">
        <f>IF('DM_NHAN_SU'!$B139="","",MAX($AC139-$AK139-$AL139-$AM139,0))</f>
        <v/>
      </c>
      <c r="AO139" s="224">
        <f>IF('DM_NHAN_SU'!$B139="","",IF($B139="","",IF($F139="Net",IF($AC139&lt;=$AK139+$AL139+$AM139,$AC139+$AJ139,$AJ139+$AK139+$AL139+$AM139+IF($AN139&lt;='THAM_SO'!$J$10,($AN139-'THAM_SO'!$I$10)/(1-'THAM_SO'!$H$10),IF($AN139&lt;='THAM_SO'!$J$11,($AN139-'THAM_SO'!$I$11)/(1-'THAM_SO'!$H$11),IF($AN139&lt;='THAM_SO'!$J$12,($AN139-'THAM_SO'!$I$12)/(1-'THAM_SO'!$H$12),IF($AN139&lt;='THAM_SO'!$J$13,($AN139-'THAM_SO'!$I$13)/(1-'THAM_SO'!$H$13),($AN139-'THAM_SO'!$I$14)/(1-'THAM_SO'!$H$14)))))),$AC139)))</f>
        <v/>
      </c>
      <c r="AP139" s="224">
        <f>IF('DM_NHAN_SU'!$B139="","",$U139+$W139+$X139+$AA139+$BS139)</f>
        <v/>
      </c>
      <c r="AQ139" s="224">
        <f>IF('DM_NHAN_SU'!$B139="","",MAX($AO139-$AJ139-$AK139-$AL139-$AM139,0))</f>
        <v/>
      </c>
      <c r="AR139" s="224">
        <f>IF('DM_NHAN_SU'!$B139="","",IF($AQ139&lt;=0,0,$AQ139*VLOOKUP($AQ139,'THAM_SO'!$F$10:$I$14,3,TRUE)-VLOOKUP($AQ139,'THAM_SO'!$F$10:$I$14,4,TRUE)))</f>
        <v/>
      </c>
      <c r="AS139" s="224">
        <f>IF('DM_NHAN_SU'!$B139="","",$AO139+$AP139)</f>
        <v/>
      </c>
      <c r="AT139" s="224">
        <f>IF('DM_NHAN_SU'!$B139="","",$AS139-$AJ139-$AR139)</f>
        <v/>
      </c>
      <c r="AU139" s="224">
        <f>IF('DM_NHAN_SU'!$B139="","",'CHAM_CONG_THANG'!X139)</f>
        <v/>
      </c>
      <c r="AV139" s="224">
        <f>IF('DM_NHAN_SU'!$B139="","",'CHAM_CONG_THANG'!Y139+'QT_NGHI_VIEC'!AD139)</f>
        <v/>
      </c>
      <c r="AW139" s="224">
        <f>IF('DM_NHAN_SU'!$B139="","",'CHAM_CONG_THANG'!Z139)</f>
        <v/>
      </c>
      <c r="AX139" s="224">
        <f>IF('DM_NHAN_SU'!$B139="","",$AT139-$AU139-$AV139-$AW139-$BV139)</f>
        <v/>
      </c>
      <c r="AY139" s="224">
        <f>IF('DM_NHAN_SU'!$B139="","",$AE139*'THAM_SO'!$M$11)</f>
        <v/>
      </c>
      <c r="AZ139" s="224">
        <f>IF('DM_NHAN_SU'!$B139="","",$AE139*'THAM_SO'!$M$12)</f>
        <v/>
      </c>
      <c r="BA139" s="224">
        <f>IF('DM_NHAN_SU'!$B139="","",$AF139*'THAM_SO'!$M$13)</f>
        <v/>
      </c>
      <c r="BB139" s="224">
        <f>IF('DM_NHAN_SU'!$B139="","",$AE139*'THAM_SO'!$M$14)</f>
        <v/>
      </c>
      <c r="BC139" s="224">
        <f>IF('DM_NHAN_SU'!$B139="","",SUM($AY139:$BB139))</f>
        <v/>
      </c>
      <c r="BD139" s="224">
        <f>IF('DM_NHAN_SU'!$B139="","",$AS139+$BC139)</f>
        <v/>
      </c>
      <c r="BE139" s="224">
        <f>IF('DM_NHAN_SU'!$B139="","",VLOOKUP($H139,'THAM_SO'!$L$17:$P$20,2,FALSE))</f>
        <v/>
      </c>
      <c r="BF139" s="224">
        <f>IF('DM_NHAN_SU'!$B139="","",VLOOKUP($H139,'THAM_SO'!$L$17:$P$20,3,FALSE))</f>
        <v/>
      </c>
      <c r="BG139" s="150">
        <f>IF('DM_NHAN_SU'!$B139="","",IF($B139="","",IF(COUNTIF('DM_NHAN_SU'!$B$6:$B$155,$B139)&gt;1,"Trùng mã NV; ","")&amp;IF(OR($F139="",$G139=""),"Thiếu loại/hình thức lương; ","")&amp;IF('CHAM_CONG_THANG'!$D139="","Chưa chọn nguồn công; ","")&amp;IF(AND('CHAM_CONG_THANG'!$D139="Theo ngày",COUNTIF('CHAM_CONG_NGAY'!$B$6:$B$4655,$B139)=0),"Chưa có chấm công ngày; ","")&amp;IF(OR($I139&lt;=0,$J139&lt;=0),"Thiếu công/giờ chuẩn; ","")&amp;IF(AND($G139="Tháng",'DM_NHAN_SU'!$K139&lt;$BE139),"Lương tháng dưới tối thiểu vùng; ","")&amp;IF(AND($G139="Ngày",'DM_NHAN_SU'!$K139/$J139&lt;$BF139),"Lương ngày quy đổi dưới tối thiểu giờ; ","")&amp;IF(AND($G139="Giờ",'DM_NHAN_SU'!$K139&lt;$BF139),"Lương giờ dưới tối thiểu vùng; ","")&amp;IF(AND($G139="Sản phẩm",$L139&gt;0,$O139/$L139&lt;$BF139),"Lương SP quy đổi dưới tối thiểu giờ; ","")&amp;IF(OR('THAM_SO'!$C$19&lt;'THAM_SO'!$B$19,'THAM_SO'!$C$20&lt;'THAM_SO'!$B$20,'THAM_SO'!$C$21&lt;'THAM_SO'!$B$21,'THAM_SO'!$C$22&lt;'THAM_SO'!$B$22,'THAM_SO'!$C$23&lt;'THAM_SO'!$B$23,'THAM_SO'!$C$24&lt;'THAM_SO'!$B$24,'THAM_SO'!$C$25&lt;'THAM_SO'!$B$25),"Hệ số OT/đêm DN thấp hơn luật; ","")&amp;IF(AND('DM_NHAN_SU'!$R139="Có",$AD139&lt;=0),"Thiếu căn cứ đóng BH; ","")&amp;IF(AND($AD139&gt;0,$AD139&lt;'THAM_SO'!$M$6),"Căn cứ BH dưới sàn – đã nâng sàn; ","")&amp;IF($AD139&gt;'THAM_SO'!$M$7,"Căn cứ BH vượt trần – đã giới hạn; ","")&amp;IF(AND($F139="Net",SUM('CHAM_CONG_THANG'!$AF139:$AK139)&gt;0,'DM_NHAN_SU'!$Q139&lt;=0),"Net có OT nhưng chưa khai lương giờ OT; ","")&amp;IF('CHAM_CONG_THANG'!$V139&gt;$Z139,"Phần OT không miễn lớn hơn tiền OT; ","")&amp;IF(AND($F139="Net",ABS($AT139-$AC139-$AP139)&gt;1),"Lệch quy đổi Net; ","")&amp;IF(AND($BH139&gt;0,'DM_NHAN_SU'!$AD139=""),"Có phép năm nhưng đang tạm dùng 12 ngày; ","")&amp;IF(AND($G139="Sản phẩm",SUM($BH139:$BJ139)&gt;0,'DM_NHAN_SU'!$AH139&lt;=0),"Lương sản phẩm thiếu đơn giá ngày phép/lễ; ","")&amp;IF(AND($BL139&gt;=14,'CHAM_CONG_THANG'!$AA139&lt;&gt;"Có"),"Thai sản từ 14 ngày: file tự dừng đóng BH – kiểm tra hồ sơ; ","")&amp;IF(AND('DM_NHAN_SU'!$AA139="Có",'DM_NHAN_SU'!$AB139=""),"Đoàn viên chưa chọn cách tính đoàn phí; ","")&amp;IF(AND('DM_NHAN_SU'!$AB139="Nhập tay",'DM_NHAN_SU'!$AC139&gt;'THAM_SO'!$M$26),"Đoàn phí nhập tay vượt trần thông dụng; ","")&amp;IF('NGHI_PHEP'!$L139&lt;&gt;"","Phép: "&amp;'NGHI_PHEP'!$L139,"")&amp;IF('CHE_DO_BHXH'!$AA139&lt;&gt;"","BHXH: "&amp;'CHE_DO_BHXH'!$AA139,"")&amp;IF('THUONG_T13_TET'!$O139&lt;&gt;"","Thưởng: "&amp;'THUONG_T13_TET'!$O139,"")&amp;IF('QT_NGHI_VIEC'!$AF139&lt;&gt;"","Nghỉ việc: "&amp;'QT_NGHI_VIEC'!$AF139,"")&amp;IF($AX139&lt;0,"Thực lĩnh âm; ","")&amp;IF(OR('DM_NHAN_SU'!$F139&gt;'THAM_SO'!$B$7,AND('DM_NHAN_SU'!$G139&lt;&gt;"",'DM_NHAN_SU'!$G139&lt;'THAM_SO'!$B$6)),"Ngoài kỳ trả lương; ","")))</f>
        <v/>
      </c>
      <c r="BH139" s="232">
        <f>IF('DM_NHAN_SU'!$B139="","",'CHAM_CONG_THANG'!AR139)</f>
        <v/>
      </c>
      <c r="BI139" s="232">
        <f>IF('DM_NHAN_SU'!$B139="","",'CHAM_CONG_THANG'!AS139)</f>
        <v/>
      </c>
      <c r="BJ139" s="232">
        <f>IF('DM_NHAN_SU'!$B139="","",'CHAM_CONG_THANG'!AT139)</f>
        <v/>
      </c>
      <c r="BK139" s="232">
        <f>IF('DM_NHAN_SU'!$B139="","",'CHAM_CONG_THANG'!AU139)</f>
        <v/>
      </c>
      <c r="BL139" s="232">
        <f>IF('DM_NHAN_SU'!$B139="","",'CHAM_CONG_THANG'!AV139)</f>
        <v/>
      </c>
      <c r="BM139" s="232">
        <f>IF('DM_NHAN_SU'!$B139="","",'CHAM_CONG_THANG'!AW139)</f>
        <v/>
      </c>
      <c r="BN139" s="232">
        <f>IF('DM_NHAN_SU'!$B139="","",SUM($K139,$BH139:$BJ139))</f>
        <v/>
      </c>
      <c r="BO139" s="224">
        <f>IF('DM_NHAN_SU'!$B139="","",IF($B139="",0,IF($G139="Tháng",IF($I139&gt;0,'DM_NHAN_SU'!$K139*MIN($BH139+$BJ139,MAX($I139-$K139,0))/$I139,0),IF($G139="Ngày",'DM_NHAN_SU'!$K139*SUM($BH139:$BJ139),IF($G139="Giờ",'DM_NHAN_SU'!$K139*SUM($BH139:$BJ139)*$J139,IF($G139="Sản phẩm",'DM_NHAN_SU'!$AH139*SUM($BH139:$BJ139),0))))))</f>
        <v/>
      </c>
      <c r="BP139" s="224">
        <f>IF('DM_NHAN_SU'!$B139="","",IF('THUONG_T13_TET'!$L139="Có",'THUONG_T13_TET'!$I139,0))</f>
        <v/>
      </c>
      <c r="BQ139" s="224">
        <f>IF('DM_NHAN_SU'!$B139="","",IF('THUONG_T13_TET'!$L139="Có",SUM('THUONG_T13_TET'!$J139:$K139),0))</f>
        <v/>
      </c>
      <c r="BR139" s="224">
        <f>IF('DM_NHAN_SU'!$B139="","",'QT_NGHI_VIEC'!AC139)</f>
        <v/>
      </c>
      <c r="BS139" s="224">
        <f>IF('DM_NHAN_SU'!$B139="","",'QT_NGHI_VIEC'!AB139)</f>
        <v/>
      </c>
      <c r="BT139" s="224">
        <f>IF('DM_NHAN_SU'!$B139="","",IF('CHE_DO_BHXH'!$Z139="Có",'CHE_DO_BHXH'!$W139,0))</f>
        <v/>
      </c>
      <c r="BU139" s="224">
        <f>IF('DM_NHAN_SU'!$B139="","",IF('CHE_DO_BHXH'!$Y139="DN trả thay",$BT139,0))</f>
        <v/>
      </c>
      <c r="BV139" s="224">
        <f>IF('DM_NHAN_SU'!$B139="","",IF(OR('DM_NHAN_SU'!$AA139&lt;&gt;"Có",'CHE_DO_BHXH'!$O139&gt;=1,SUM('CHE_DO_BHXH'!$D139,'CHE_DO_BHXH'!$G139,'CHE_DO_BHXH'!$K139)&gt;=24,AND($I139&gt;0,$BM139&gt;=$I139)),0,IF('DM_NHAN_SU'!$AB139="Không",0,IF('DM_NHAN_SU'!$AB139="Nhập tay",'DM_NHAN_SU'!$AC139,IF('DM_NHAN_SU'!$AB139="Theo thực nhận",MIN(MAX($AT139-$AU139-$AV139-$AW139,0)*'THAM_SO'!$M$23,'THAM_SO'!$M$26),MIN($AE139*'THAM_SO'!$M$23,'THAM_SO'!$M$26))))))</f>
        <v/>
      </c>
      <c r="BW139" s="224">
        <f>IF('DM_NHAN_SU'!$B139="","",$AX139+$BU139)</f>
        <v/>
      </c>
    </row>
    <row r="140">
      <c r="A140" s="145">
        <f>IF('DM_NHAN_SU'!$B140="","",IF($B140="","",ROW()-5))</f>
        <v/>
      </c>
      <c r="B140" s="145">
        <f>IF('DM_NHAN_SU'!$B140="","",'DM_NHAN_SU'!B140)</f>
        <v/>
      </c>
      <c r="C140" s="145">
        <f>IF('DM_NHAN_SU'!$B140="","",'DM_NHAN_SU'!C140)</f>
        <v/>
      </c>
      <c r="D140" s="145">
        <f>IF('DM_NHAN_SU'!$B140="","",'DM_NHAN_SU'!D140)</f>
        <v/>
      </c>
      <c r="E140" s="145">
        <f>IF('DM_NHAN_SU'!$B140="","",'DM_NHAN_SU'!E140)</f>
        <v/>
      </c>
      <c r="F140" s="145">
        <f>IF('DM_NHAN_SU'!$B140="","",'DM_NHAN_SU'!I140)</f>
        <v/>
      </c>
      <c r="G140" s="145">
        <f>IF('DM_NHAN_SU'!$B140="","",'DM_NHAN_SU'!J140)</f>
        <v/>
      </c>
      <c r="H140" s="145">
        <f>IF('DM_NHAN_SU'!$B140="","",IF('DM_NHAN_SU'!H140="",'THAM_SO'!$B$11,'DM_NHAN_SU'!H140))</f>
        <v/>
      </c>
      <c r="I140" s="232">
        <f>IF('DM_NHAN_SU'!$B140="","",IF('DM_NHAN_SU'!L140&gt;0,'DM_NHAN_SU'!L140,'THAM_SO'!$B$9))</f>
        <v/>
      </c>
      <c r="J140" s="232">
        <f>IF('DM_NHAN_SU'!$B140="","",IF('DM_NHAN_SU'!M140&gt;0,'DM_NHAN_SU'!M140,'THAM_SO'!$B$10))</f>
        <v/>
      </c>
      <c r="K140" s="232">
        <f>IF('DM_NHAN_SU'!$B140="","",'CHAM_CONG_THANG'!AC140)</f>
        <v/>
      </c>
      <c r="L140" s="232">
        <f>IF('DM_NHAN_SU'!$B140="","",'CHAM_CONG_THANG'!AD140)</f>
        <v/>
      </c>
      <c r="M140" s="232">
        <f>IF('DM_NHAN_SU'!$B140="","",'CHAM_CONG_THANG'!AE140)</f>
        <v/>
      </c>
      <c r="N140" s="232">
        <f>IF('DM_NHAN_SU'!$B140="","",'CHAM_CONG_THANG'!N140)</f>
        <v/>
      </c>
      <c r="O140" s="224">
        <f>IF('DM_NHAN_SU'!$B140="","",IF($B140="","",IF($G140="Tháng",IF($I140&gt;0,'DM_NHAN_SU'!$K140*MIN($K140,$I140)/$I140,0),IF($G140="Ngày",'DM_NHAN_SU'!$K140*$K140,IF($G140="Giờ",'DM_NHAN_SU'!$K140*$L140,IF($G140="Sản phẩm",'DM_NHAN_SU'!$K140*$N140,0))))))</f>
        <v/>
      </c>
      <c r="P140" s="224">
        <f>IF('DM_NHAN_SU'!$B140="","",'CHAM_CONG_THANG'!O140)</f>
        <v/>
      </c>
      <c r="Q140" s="224">
        <f>IF('DM_NHAN_SU'!$B140="","",'CHAM_CONG_THANG'!P140)</f>
        <v/>
      </c>
      <c r="R140" s="224">
        <f>IF('DM_NHAN_SU'!$B140="","",'CHAM_CONG_THANG'!Q140)</f>
        <v/>
      </c>
      <c r="S140" s="224">
        <f>IF('DM_NHAN_SU'!$B140="","",'CHAM_CONG_THANG'!R140)</f>
        <v/>
      </c>
      <c r="T140" s="224">
        <f>IF('DM_NHAN_SU'!$B140="","",'CHAM_CONG_THANG'!S140)</f>
        <v/>
      </c>
      <c r="U140" s="224">
        <f>IF('DM_NHAN_SU'!$B140="","",MIN($T140,'THAM_SO'!$F$6))</f>
        <v/>
      </c>
      <c r="V140" s="224">
        <f>IF('DM_NHAN_SU'!$B140="","",MAX($T140-$U140,0))</f>
        <v/>
      </c>
      <c r="W140" s="224">
        <f>IF('DM_NHAN_SU'!$B140="","",'CHAM_CONG_THANG'!T140)</f>
        <v/>
      </c>
      <c r="X140" s="224">
        <f>IF('DM_NHAN_SU'!$B140="","",'CHAM_CONG_THANG'!U140)</f>
        <v/>
      </c>
      <c r="Y140" s="224">
        <f>IF('DM_NHAN_SU'!$B140="","",IF($B140="",0,IF('DM_NHAN_SU'!$Q140&gt;0,'DM_NHAN_SU'!$Q140,IF($G140="Tháng",IF($I140*$J140&gt;0,'DM_NHAN_SU'!$K140/($I140*$J140),0),IF($G140="Ngày",IF($J140&gt;0,'DM_NHAN_SU'!$K140/$J140,0),IF($G140="Giờ",'DM_NHAN_SU'!$K140,0))))))</f>
        <v/>
      </c>
      <c r="Z140" s="224">
        <f>IF('DM_NHAN_SU'!$B140="","",$Y140*($M140*'THAM_SO'!$C$22+'CHAM_CONG_THANG'!$AF140*'THAM_SO'!$C$19+'CHAM_CONG_THANG'!$AG140*'THAM_SO'!$C$20+'CHAM_CONG_THANG'!$AH140*'THAM_SO'!$C$21+'CHAM_CONG_THANG'!$AI140*'THAM_SO'!$C$23+'CHAM_CONG_THANG'!$AJ140*'THAM_SO'!$C$24+'CHAM_CONG_THANG'!$AK140*'THAM_SO'!$C$25))</f>
        <v/>
      </c>
      <c r="AA140" s="224">
        <f>IF('DM_NHAN_SU'!$B140="","",MAX(0,$Y140*($M140*IF('THAM_SO'!$C$22&gt;='THAM_SO'!$B$22,'THAM_SO'!$B$22,0)+'CHAM_CONG_THANG'!$AF140*IF('THAM_SO'!$C$19&gt;='THAM_SO'!$B$19,'THAM_SO'!$B$19,0)+'CHAM_CONG_THANG'!$AG140*IF('THAM_SO'!$C$20&gt;='THAM_SO'!$B$20,'THAM_SO'!$B$20,0)+'CHAM_CONG_THANG'!$AH140*IF('THAM_SO'!$C$21&gt;='THAM_SO'!$B$21,'THAM_SO'!$B$21,0)+'CHAM_CONG_THANG'!$AI140*IF('THAM_SO'!$C$23&gt;='THAM_SO'!$B$23,'THAM_SO'!$B$23,0)+'CHAM_CONG_THANG'!$AJ140*IF('THAM_SO'!$C$24&gt;='THAM_SO'!$B$24,'THAM_SO'!$B$24,0)+'CHAM_CONG_THANG'!$AK140*IF('THAM_SO'!$C$25&gt;='THAM_SO'!$B$25,'THAM_SO'!$B$25,0))-'CHAM_CONG_THANG'!$V140))</f>
        <v/>
      </c>
      <c r="AB140" s="224">
        <f>IF('DM_NHAN_SU'!$B140="","",MAX($Z140-$AA140,0))</f>
        <v/>
      </c>
      <c r="AC140" s="224">
        <f>IF('DM_NHAN_SU'!$B140="","",$O140+$P140+$Q140+$R140+$S140+$V140+$AB140+$BO140+$BP140+$BQ140+$BR140)</f>
        <v/>
      </c>
      <c r="AD140" s="224">
        <f>IF('DM_NHAN_SU'!$B140="","",'DM_NHAN_SU'!N140+'DM_NHAN_SU'!O140+'DM_NHAN_SU'!P140)</f>
        <v/>
      </c>
      <c r="AE140" s="224">
        <f>IF('DM_NHAN_SU'!$B140="","",IF(OR('DM_NHAN_SU'!$R140&lt;&gt;"Có",'CHAM_CONG_THANG'!$AA140="Có",$BL140&gt;=14,$AD140&lt;=0),0,MIN(MAX($AD140,'THAM_SO'!$M$6),'THAM_SO'!$M$7)))</f>
        <v/>
      </c>
      <c r="AF140" s="224">
        <f>IF('DM_NHAN_SU'!$B140="","",IF(OR('DM_NHAN_SU'!$S140&lt;&gt;"Có",'CHAM_CONG_THANG'!$AA140="Có",$BL140&gt;=14,$AD140&lt;=0),0,MIN(MAX($AD140,VLOOKUP($H140,'THAM_SO'!$L$17:$P$20,4,FALSE)),VLOOKUP($H140,'THAM_SO'!$L$17:$P$20,5,FALSE))))</f>
        <v/>
      </c>
      <c r="AG140" s="224">
        <f>IF('DM_NHAN_SU'!$B140="","",$AE140*'THAM_SO'!$M$8)</f>
        <v/>
      </c>
      <c r="AH140" s="224">
        <f>IF('DM_NHAN_SU'!$B140="","",$AE140*'THAM_SO'!$M$9)</f>
        <v/>
      </c>
      <c r="AI140" s="224">
        <f>IF('DM_NHAN_SU'!$B140="","",$AF140*'THAM_SO'!$M$10)</f>
        <v/>
      </c>
      <c r="AJ140" s="224">
        <f>IF('DM_NHAN_SU'!$B140="","",SUM($AG140:$AI140))</f>
        <v/>
      </c>
      <c r="AK140" s="224">
        <f>IF('DM_NHAN_SU'!$B140="","",IF($B140="",0,'THAM_SO'!$F$4))</f>
        <v/>
      </c>
      <c r="AL140" s="224">
        <f>IF('DM_NHAN_SU'!$B140="","",IF($B140="",0,'DM_NHAN_SU'!$T140*'THAM_SO'!$F$5))</f>
        <v/>
      </c>
      <c r="AM140" s="224">
        <f>IF('DM_NHAN_SU'!$B140="","",'CHAM_CONG_THANG'!W140)</f>
        <v/>
      </c>
      <c r="AN140" s="224">
        <f>IF('DM_NHAN_SU'!$B140="","",MAX($AC140-$AK140-$AL140-$AM140,0))</f>
        <v/>
      </c>
      <c r="AO140" s="224">
        <f>IF('DM_NHAN_SU'!$B140="","",IF($B140="","",IF($F140="Net",IF($AC140&lt;=$AK140+$AL140+$AM140,$AC140+$AJ140,$AJ140+$AK140+$AL140+$AM140+IF($AN140&lt;='THAM_SO'!$J$10,($AN140-'THAM_SO'!$I$10)/(1-'THAM_SO'!$H$10),IF($AN140&lt;='THAM_SO'!$J$11,($AN140-'THAM_SO'!$I$11)/(1-'THAM_SO'!$H$11),IF($AN140&lt;='THAM_SO'!$J$12,($AN140-'THAM_SO'!$I$12)/(1-'THAM_SO'!$H$12),IF($AN140&lt;='THAM_SO'!$J$13,($AN140-'THAM_SO'!$I$13)/(1-'THAM_SO'!$H$13),($AN140-'THAM_SO'!$I$14)/(1-'THAM_SO'!$H$14)))))),$AC140)))</f>
        <v/>
      </c>
      <c r="AP140" s="224">
        <f>IF('DM_NHAN_SU'!$B140="","",$U140+$W140+$X140+$AA140+$BS140)</f>
        <v/>
      </c>
      <c r="AQ140" s="224">
        <f>IF('DM_NHAN_SU'!$B140="","",MAX($AO140-$AJ140-$AK140-$AL140-$AM140,0))</f>
        <v/>
      </c>
      <c r="AR140" s="224">
        <f>IF('DM_NHAN_SU'!$B140="","",IF($AQ140&lt;=0,0,$AQ140*VLOOKUP($AQ140,'THAM_SO'!$F$10:$I$14,3,TRUE)-VLOOKUP($AQ140,'THAM_SO'!$F$10:$I$14,4,TRUE)))</f>
        <v/>
      </c>
      <c r="AS140" s="224">
        <f>IF('DM_NHAN_SU'!$B140="","",$AO140+$AP140)</f>
        <v/>
      </c>
      <c r="AT140" s="224">
        <f>IF('DM_NHAN_SU'!$B140="","",$AS140-$AJ140-$AR140)</f>
        <v/>
      </c>
      <c r="AU140" s="224">
        <f>IF('DM_NHAN_SU'!$B140="","",'CHAM_CONG_THANG'!X140)</f>
        <v/>
      </c>
      <c r="AV140" s="224">
        <f>IF('DM_NHAN_SU'!$B140="","",'CHAM_CONG_THANG'!Y140+'QT_NGHI_VIEC'!AD140)</f>
        <v/>
      </c>
      <c r="AW140" s="224">
        <f>IF('DM_NHAN_SU'!$B140="","",'CHAM_CONG_THANG'!Z140)</f>
        <v/>
      </c>
      <c r="AX140" s="224">
        <f>IF('DM_NHAN_SU'!$B140="","",$AT140-$AU140-$AV140-$AW140-$BV140)</f>
        <v/>
      </c>
      <c r="AY140" s="224">
        <f>IF('DM_NHAN_SU'!$B140="","",$AE140*'THAM_SO'!$M$11)</f>
        <v/>
      </c>
      <c r="AZ140" s="224">
        <f>IF('DM_NHAN_SU'!$B140="","",$AE140*'THAM_SO'!$M$12)</f>
        <v/>
      </c>
      <c r="BA140" s="224">
        <f>IF('DM_NHAN_SU'!$B140="","",$AF140*'THAM_SO'!$M$13)</f>
        <v/>
      </c>
      <c r="BB140" s="224">
        <f>IF('DM_NHAN_SU'!$B140="","",$AE140*'THAM_SO'!$M$14)</f>
        <v/>
      </c>
      <c r="BC140" s="224">
        <f>IF('DM_NHAN_SU'!$B140="","",SUM($AY140:$BB140))</f>
        <v/>
      </c>
      <c r="BD140" s="224">
        <f>IF('DM_NHAN_SU'!$B140="","",$AS140+$BC140)</f>
        <v/>
      </c>
      <c r="BE140" s="224">
        <f>IF('DM_NHAN_SU'!$B140="","",VLOOKUP($H140,'THAM_SO'!$L$17:$P$20,2,FALSE))</f>
        <v/>
      </c>
      <c r="BF140" s="224">
        <f>IF('DM_NHAN_SU'!$B140="","",VLOOKUP($H140,'THAM_SO'!$L$17:$P$20,3,FALSE))</f>
        <v/>
      </c>
      <c r="BG140" s="150">
        <f>IF('DM_NHAN_SU'!$B140="","",IF($B140="","",IF(COUNTIF('DM_NHAN_SU'!$B$6:$B$155,$B140)&gt;1,"Trùng mã NV; ","")&amp;IF(OR($F140="",$G140=""),"Thiếu loại/hình thức lương; ","")&amp;IF('CHAM_CONG_THANG'!$D140="","Chưa chọn nguồn công; ","")&amp;IF(AND('CHAM_CONG_THANG'!$D140="Theo ngày",COUNTIF('CHAM_CONG_NGAY'!$B$6:$B$4655,$B140)=0),"Chưa có chấm công ngày; ","")&amp;IF(OR($I140&lt;=0,$J140&lt;=0),"Thiếu công/giờ chuẩn; ","")&amp;IF(AND($G140="Tháng",'DM_NHAN_SU'!$K140&lt;$BE140),"Lương tháng dưới tối thiểu vùng; ","")&amp;IF(AND($G140="Ngày",'DM_NHAN_SU'!$K140/$J140&lt;$BF140),"Lương ngày quy đổi dưới tối thiểu giờ; ","")&amp;IF(AND($G140="Giờ",'DM_NHAN_SU'!$K140&lt;$BF140),"Lương giờ dưới tối thiểu vùng; ","")&amp;IF(AND($G140="Sản phẩm",$L140&gt;0,$O140/$L140&lt;$BF140),"Lương SP quy đổi dưới tối thiểu giờ; ","")&amp;IF(OR('THAM_SO'!$C$19&lt;'THAM_SO'!$B$19,'THAM_SO'!$C$20&lt;'THAM_SO'!$B$20,'THAM_SO'!$C$21&lt;'THAM_SO'!$B$21,'THAM_SO'!$C$22&lt;'THAM_SO'!$B$22,'THAM_SO'!$C$23&lt;'THAM_SO'!$B$23,'THAM_SO'!$C$24&lt;'THAM_SO'!$B$24,'THAM_SO'!$C$25&lt;'THAM_SO'!$B$25),"Hệ số OT/đêm DN thấp hơn luật; ","")&amp;IF(AND('DM_NHAN_SU'!$R140="Có",$AD140&lt;=0),"Thiếu căn cứ đóng BH; ","")&amp;IF(AND($AD140&gt;0,$AD140&lt;'THAM_SO'!$M$6),"Căn cứ BH dưới sàn – đã nâng sàn; ","")&amp;IF($AD140&gt;'THAM_SO'!$M$7,"Căn cứ BH vượt trần – đã giới hạn; ","")&amp;IF(AND($F140="Net",SUM('CHAM_CONG_THANG'!$AF140:$AK140)&gt;0,'DM_NHAN_SU'!$Q140&lt;=0),"Net có OT nhưng chưa khai lương giờ OT; ","")&amp;IF('CHAM_CONG_THANG'!$V140&gt;$Z140,"Phần OT không miễn lớn hơn tiền OT; ","")&amp;IF(AND($F140="Net",ABS($AT140-$AC140-$AP140)&gt;1),"Lệch quy đổi Net; ","")&amp;IF(AND($BH140&gt;0,'DM_NHAN_SU'!$AD140=""),"Có phép năm nhưng đang tạm dùng 12 ngày; ","")&amp;IF(AND($G140="Sản phẩm",SUM($BH140:$BJ140)&gt;0,'DM_NHAN_SU'!$AH140&lt;=0),"Lương sản phẩm thiếu đơn giá ngày phép/lễ; ","")&amp;IF(AND($BL140&gt;=14,'CHAM_CONG_THANG'!$AA140&lt;&gt;"Có"),"Thai sản từ 14 ngày: file tự dừng đóng BH – kiểm tra hồ sơ; ","")&amp;IF(AND('DM_NHAN_SU'!$AA140="Có",'DM_NHAN_SU'!$AB140=""),"Đoàn viên chưa chọn cách tính đoàn phí; ","")&amp;IF(AND('DM_NHAN_SU'!$AB140="Nhập tay",'DM_NHAN_SU'!$AC140&gt;'THAM_SO'!$M$26),"Đoàn phí nhập tay vượt trần thông dụng; ","")&amp;IF('NGHI_PHEP'!$L140&lt;&gt;"","Phép: "&amp;'NGHI_PHEP'!$L140,"")&amp;IF('CHE_DO_BHXH'!$AA140&lt;&gt;"","BHXH: "&amp;'CHE_DO_BHXH'!$AA140,"")&amp;IF('THUONG_T13_TET'!$O140&lt;&gt;"","Thưởng: "&amp;'THUONG_T13_TET'!$O140,"")&amp;IF('QT_NGHI_VIEC'!$AF140&lt;&gt;"","Nghỉ việc: "&amp;'QT_NGHI_VIEC'!$AF140,"")&amp;IF($AX140&lt;0,"Thực lĩnh âm; ","")&amp;IF(OR('DM_NHAN_SU'!$F140&gt;'THAM_SO'!$B$7,AND('DM_NHAN_SU'!$G140&lt;&gt;"",'DM_NHAN_SU'!$G140&lt;'THAM_SO'!$B$6)),"Ngoài kỳ trả lương; ","")))</f>
        <v/>
      </c>
      <c r="BH140" s="232">
        <f>IF('DM_NHAN_SU'!$B140="","",'CHAM_CONG_THANG'!AR140)</f>
        <v/>
      </c>
      <c r="BI140" s="232">
        <f>IF('DM_NHAN_SU'!$B140="","",'CHAM_CONG_THANG'!AS140)</f>
        <v/>
      </c>
      <c r="BJ140" s="232">
        <f>IF('DM_NHAN_SU'!$B140="","",'CHAM_CONG_THANG'!AT140)</f>
        <v/>
      </c>
      <c r="BK140" s="232">
        <f>IF('DM_NHAN_SU'!$B140="","",'CHAM_CONG_THANG'!AU140)</f>
        <v/>
      </c>
      <c r="BL140" s="232">
        <f>IF('DM_NHAN_SU'!$B140="","",'CHAM_CONG_THANG'!AV140)</f>
        <v/>
      </c>
      <c r="BM140" s="232">
        <f>IF('DM_NHAN_SU'!$B140="","",'CHAM_CONG_THANG'!AW140)</f>
        <v/>
      </c>
      <c r="BN140" s="232">
        <f>IF('DM_NHAN_SU'!$B140="","",SUM($K140,$BH140:$BJ140))</f>
        <v/>
      </c>
      <c r="BO140" s="224">
        <f>IF('DM_NHAN_SU'!$B140="","",IF($B140="",0,IF($G140="Tháng",IF($I140&gt;0,'DM_NHAN_SU'!$K140*MIN($BH140+$BJ140,MAX($I140-$K140,0))/$I140,0),IF($G140="Ngày",'DM_NHAN_SU'!$K140*SUM($BH140:$BJ140),IF($G140="Giờ",'DM_NHAN_SU'!$K140*SUM($BH140:$BJ140)*$J140,IF($G140="Sản phẩm",'DM_NHAN_SU'!$AH140*SUM($BH140:$BJ140),0))))))</f>
        <v/>
      </c>
      <c r="BP140" s="224">
        <f>IF('DM_NHAN_SU'!$B140="","",IF('THUONG_T13_TET'!$L140="Có",'THUONG_T13_TET'!$I140,0))</f>
        <v/>
      </c>
      <c r="BQ140" s="224">
        <f>IF('DM_NHAN_SU'!$B140="","",IF('THUONG_T13_TET'!$L140="Có",SUM('THUONG_T13_TET'!$J140:$K140),0))</f>
        <v/>
      </c>
      <c r="BR140" s="224">
        <f>IF('DM_NHAN_SU'!$B140="","",'QT_NGHI_VIEC'!AC140)</f>
        <v/>
      </c>
      <c r="BS140" s="224">
        <f>IF('DM_NHAN_SU'!$B140="","",'QT_NGHI_VIEC'!AB140)</f>
        <v/>
      </c>
      <c r="BT140" s="224">
        <f>IF('DM_NHAN_SU'!$B140="","",IF('CHE_DO_BHXH'!$Z140="Có",'CHE_DO_BHXH'!$W140,0))</f>
        <v/>
      </c>
      <c r="BU140" s="224">
        <f>IF('DM_NHAN_SU'!$B140="","",IF('CHE_DO_BHXH'!$Y140="DN trả thay",$BT140,0))</f>
        <v/>
      </c>
      <c r="BV140" s="224">
        <f>IF('DM_NHAN_SU'!$B140="","",IF(OR('DM_NHAN_SU'!$AA140&lt;&gt;"Có",'CHE_DO_BHXH'!$O140&gt;=1,SUM('CHE_DO_BHXH'!$D140,'CHE_DO_BHXH'!$G140,'CHE_DO_BHXH'!$K140)&gt;=24,AND($I140&gt;0,$BM140&gt;=$I140)),0,IF('DM_NHAN_SU'!$AB140="Không",0,IF('DM_NHAN_SU'!$AB140="Nhập tay",'DM_NHAN_SU'!$AC140,IF('DM_NHAN_SU'!$AB140="Theo thực nhận",MIN(MAX($AT140-$AU140-$AV140-$AW140,0)*'THAM_SO'!$M$23,'THAM_SO'!$M$26),MIN($AE140*'THAM_SO'!$M$23,'THAM_SO'!$M$26))))))</f>
        <v/>
      </c>
      <c r="BW140" s="224">
        <f>IF('DM_NHAN_SU'!$B140="","",$AX140+$BU140)</f>
        <v/>
      </c>
    </row>
    <row r="141">
      <c r="A141" s="145">
        <f>IF('DM_NHAN_SU'!$B141="","",IF($B141="","",ROW()-5))</f>
        <v/>
      </c>
      <c r="B141" s="145">
        <f>IF('DM_NHAN_SU'!$B141="","",'DM_NHAN_SU'!B141)</f>
        <v/>
      </c>
      <c r="C141" s="145">
        <f>IF('DM_NHAN_SU'!$B141="","",'DM_NHAN_SU'!C141)</f>
        <v/>
      </c>
      <c r="D141" s="145">
        <f>IF('DM_NHAN_SU'!$B141="","",'DM_NHAN_SU'!D141)</f>
        <v/>
      </c>
      <c r="E141" s="145">
        <f>IF('DM_NHAN_SU'!$B141="","",'DM_NHAN_SU'!E141)</f>
        <v/>
      </c>
      <c r="F141" s="145">
        <f>IF('DM_NHAN_SU'!$B141="","",'DM_NHAN_SU'!I141)</f>
        <v/>
      </c>
      <c r="G141" s="145">
        <f>IF('DM_NHAN_SU'!$B141="","",'DM_NHAN_SU'!J141)</f>
        <v/>
      </c>
      <c r="H141" s="145">
        <f>IF('DM_NHAN_SU'!$B141="","",IF('DM_NHAN_SU'!H141="",'THAM_SO'!$B$11,'DM_NHAN_SU'!H141))</f>
        <v/>
      </c>
      <c r="I141" s="232">
        <f>IF('DM_NHAN_SU'!$B141="","",IF('DM_NHAN_SU'!L141&gt;0,'DM_NHAN_SU'!L141,'THAM_SO'!$B$9))</f>
        <v/>
      </c>
      <c r="J141" s="232">
        <f>IF('DM_NHAN_SU'!$B141="","",IF('DM_NHAN_SU'!M141&gt;0,'DM_NHAN_SU'!M141,'THAM_SO'!$B$10))</f>
        <v/>
      </c>
      <c r="K141" s="232">
        <f>IF('DM_NHAN_SU'!$B141="","",'CHAM_CONG_THANG'!AC141)</f>
        <v/>
      </c>
      <c r="L141" s="232">
        <f>IF('DM_NHAN_SU'!$B141="","",'CHAM_CONG_THANG'!AD141)</f>
        <v/>
      </c>
      <c r="M141" s="232">
        <f>IF('DM_NHAN_SU'!$B141="","",'CHAM_CONG_THANG'!AE141)</f>
        <v/>
      </c>
      <c r="N141" s="232">
        <f>IF('DM_NHAN_SU'!$B141="","",'CHAM_CONG_THANG'!N141)</f>
        <v/>
      </c>
      <c r="O141" s="224">
        <f>IF('DM_NHAN_SU'!$B141="","",IF($B141="","",IF($G141="Tháng",IF($I141&gt;0,'DM_NHAN_SU'!$K141*MIN($K141,$I141)/$I141,0),IF($G141="Ngày",'DM_NHAN_SU'!$K141*$K141,IF($G141="Giờ",'DM_NHAN_SU'!$K141*$L141,IF($G141="Sản phẩm",'DM_NHAN_SU'!$K141*$N141,0))))))</f>
        <v/>
      </c>
      <c r="P141" s="224">
        <f>IF('DM_NHAN_SU'!$B141="","",'CHAM_CONG_THANG'!O141)</f>
        <v/>
      </c>
      <c r="Q141" s="224">
        <f>IF('DM_NHAN_SU'!$B141="","",'CHAM_CONG_THANG'!P141)</f>
        <v/>
      </c>
      <c r="R141" s="224">
        <f>IF('DM_NHAN_SU'!$B141="","",'CHAM_CONG_THANG'!Q141)</f>
        <v/>
      </c>
      <c r="S141" s="224">
        <f>IF('DM_NHAN_SU'!$B141="","",'CHAM_CONG_THANG'!R141)</f>
        <v/>
      </c>
      <c r="T141" s="224">
        <f>IF('DM_NHAN_SU'!$B141="","",'CHAM_CONG_THANG'!S141)</f>
        <v/>
      </c>
      <c r="U141" s="224">
        <f>IF('DM_NHAN_SU'!$B141="","",MIN($T141,'THAM_SO'!$F$6))</f>
        <v/>
      </c>
      <c r="V141" s="224">
        <f>IF('DM_NHAN_SU'!$B141="","",MAX($T141-$U141,0))</f>
        <v/>
      </c>
      <c r="W141" s="224">
        <f>IF('DM_NHAN_SU'!$B141="","",'CHAM_CONG_THANG'!T141)</f>
        <v/>
      </c>
      <c r="X141" s="224">
        <f>IF('DM_NHAN_SU'!$B141="","",'CHAM_CONG_THANG'!U141)</f>
        <v/>
      </c>
      <c r="Y141" s="224">
        <f>IF('DM_NHAN_SU'!$B141="","",IF($B141="",0,IF('DM_NHAN_SU'!$Q141&gt;0,'DM_NHAN_SU'!$Q141,IF($G141="Tháng",IF($I141*$J141&gt;0,'DM_NHAN_SU'!$K141/($I141*$J141),0),IF($G141="Ngày",IF($J141&gt;0,'DM_NHAN_SU'!$K141/$J141,0),IF($G141="Giờ",'DM_NHAN_SU'!$K141,0))))))</f>
        <v/>
      </c>
      <c r="Z141" s="224">
        <f>IF('DM_NHAN_SU'!$B141="","",$Y141*($M141*'THAM_SO'!$C$22+'CHAM_CONG_THANG'!$AF141*'THAM_SO'!$C$19+'CHAM_CONG_THANG'!$AG141*'THAM_SO'!$C$20+'CHAM_CONG_THANG'!$AH141*'THAM_SO'!$C$21+'CHAM_CONG_THANG'!$AI141*'THAM_SO'!$C$23+'CHAM_CONG_THANG'!$AJ141*'THAM_SO'!$C$24+'CHAM_CONG_THANG'!$AK141*'THAM_SO'!$C$25))</f>
        <v/>
      </c>
      <c r="AA141" s="224">
        <f>IF('DM_NHAN_SU'!$B141="","",MAX(0,$Y141*($M141*IF('THAM_SO'!$C$22&gt;='THAM_SO'!$B$22,'THAM_SO'!$B$22,0)+'CHAM_CONG_THANG'!$AF141*IF('THAM_SO'!$C$19&gt;='THAM_SO'!$B$19,'THAM_SO'!$B$19,0)+'CHAM_CONG_THANG'!$AG141*IF('THAM_SO'!$C$20&gt;='THAM_SO'!$B$20,'THAM_SO'!$B$20,0)+'CHAM_CONG_THANG'!$AH141*IF('THAM_SO'!$C$21&gt;='THAM_SO'!$B$21,'THAM_SO'!$B$21,0)+'CHAM_CONG_THANG'!$AI141*IF('THAM_SO'!$C$23&gt;='THAM_SO'!$B$23,'THAM_SO'!$B$23,0)+'CHAM_CONG_THANG'!$AJ141*IF('THAM_SO'!$C$24&gt;='THAM_SO'!$B$24,'THAM_SO'!$B$24,0)+'CHAM_CONG_THANG'!$AK141*IF('THAM_SO'!$C$25&gt;='THAM_SO'!$B$25,'THAM_SO'!$B$25,0))-'CHAM_CONG_THANG'!$V141))</f>
        <v/>
      </c>
      <c r="AB141" s="224">
        <f>IF('DM_NHAN_SU'!$B141="","",MAX($Z141-$AA141,0))</f>
        <v/>
      </c>
      <c r="AC141" s="224">
        <f>IF('DM_NHAN_SU'!$B141="","",$O141+$P141+$Q141+$R141+$S141+$V141+$AB141+$BO141+$BP141+$BQ141+$BR141)</f>
        <v/>
      </c>
      <c r="AD141" s="224">
        <f>IF('DM_NHAN_SU'!$B141="","",'DM_NHAN_SU'!N141+'DM_NHAN_SU'!O141+'DM_NHAN_SU'!P141)</f>
        <v/>
      </c>
      <c r="AE141" s="224">
        <f>IF('DM_NHAN_SU'!$B141="","",IF(OR('DM_NHAN_SU'!$R141&lt;&gt;"Có",'CHAM_CONG_THANG'!$AA141="Có",$BL141&gt;=14,$AD141&lt;=0),0,MIN(MAX($AD141,'THAM_SO'!$M$6),'THAM_SO'!$M$7)))</f>
        <v/>
      </c>
      <c r="AF141" s="224">
        <f>IF('DM_NHAN_SU'!$B141="","",IF(OR('DM_NHAN_SU'!$S141&lt;&gt;"Có",'CHAM_CONG_THANG'!$AA141="Có",$BL141&gt;=14,$AD141&lt;=0),0,MIN(MAX($AD141,VLOOKUP($H141,'THAM_SO'!$L$17:$P$20,4,FALSE)),VLOOKUP($H141,'THAM_SO'!$L$17:$P$20,5,FALSE))))</f>
        <v/>
      </c>
      <c r="AG141" s="224">
        <f>IF('DM_NHAN_SU'!$B141="","",$AE141*'THAM_SO'!$M$8)</f>
        <v/>
      </c>
      <c r="AH141" s="224">
        <f>IF('DM_NHAN_SU'!$B141="","",$AE141*'THAM_SO'!$M$9)</f>
        <v/>
      </c>
      <c r="AI141" s="224">
        <f>IF('DM_NHAN_SU'!$B141="","",$AF141*'THAM_SO'!$M$10)</f>
        <v/>
      </c>
      <c r="AJ141" s="224">
        <f>IF('DM_NHAN_SU'!$B141="","",SUM($AG141:$AI141))</f>
        <v/>
      </c>
      <c r="AK141" s="224">
        <f>IF('DM_NHAN_SU'!$B141="","",IF($B141="",0,'THAM_SO'!$F$4))</f>
        <v/>
      </c>
      <c r="AL141" s="224">
        <f>IF('DM_NHAN_SU'!$B141="","",IF($B141="",0,'DM_NHAN_SU'!$T141*'THAM_SO'!$F$5))</f>
        <v/>
      </c>
      <c r="AM141" s="224">
        <f>IF('DM_NHAN_SU'!$B141="","",'CHAM_CONG_THANG'!W141)</f>
        <v/>
      </c>
      <c r="AN141" s="224">
        <f>IF('DM_NHAN_SU'!$B141="","",MAX($AC141-$AK141-$AL141-$AM141,0))</f>
        <v/>
      </c>
      <c r="AO141" s="224">
        <f>IF('DM_NHAN_SU'!$B141="","",IF($B141="","",IF($F141="Net",IF($AC141&lt;=$AK141+$AL141+$AM141,$AC141+$AJ141,$AJ141+$AK141+$AL141+$AM141+IF($AN141&lt;='THAM_SO'!$J$10,($AN141-'THAM_SO'!$I$10)/(1-'THAM_SO'!$H$10),IF($AN141&lt;='THAM_SO'!$J$11,($AN141-'THAM_SO'!$I$11)/(1-'THAM_SO'!$H$11),IF($AN141&lt;='THAM_SO'!$J$12,($AN141-'THAM_SO'!$I$12)/(1-'THAM_SO'!$H$12),IF($AN141&lt;='THAM_SO'!$J$13,($AN141-'THAM_SO'!$I$13)/(1-'THAM_SO'!$H$13),($AN141-'THAM_SO'!$I$14)/(1-'THAM_SO'!$H$14)))))),$AC141)))</f>
        <v/>
      </c>
      <c r="AP141" s="224">
        <f>IF('DM_NHAN_SU'!$B141="","",$U141+$W141+$X141+$AA141+$BS141)</f>
        <v/>
      </c>
      <c r="AQ141" s="224">
        <f>IF('DM_NHAN_SU'!$B141="","",MAX($AO141-$AJ141-$AK141-$AL141-$AM141,0))</f>
        <v/>
      </c>
      <c r="AR141" s="224">
        <f>IF('DM_NHAN_SU'!$B141="","",IF($AQ141&lt;=0,0,$AQ141*VLOOKUP($AQ141,'THAM_SO'!$F$10:$I$14,3,TRUE)-VLOOKUP($AQ141,'THAM_SO'!$F$10:$I$14,4,TRUE)))</f>
        <v/>
      </c>
      <c r="AS141" s="224">
        <f>IF('DM_NHAN_SU'!$B141="","",$AO141+$AP141)</f>
        <v/>
      </c>
      <c r="AT141" s="224">
        <f>IF('DM_NHAN_SU'!$B141="","",$AS141-$AJ141-$AR141)</f>
        <v/>
      </c>
      <c r="AU141" s="224">
        <f>IF('DM_NHAN_SU'!$B141="","",'CHAM_CONG_THANG'!X141)</f>
        <v/>
      </c>
      <c r="AV141" s="224">
        <f>IF('DM_NHAN_SU'!$B141="","",'CHAM_CONG_THANG'!Y141+'QT_NGHI_VIEC'!AD141)</f>
        <v/>
      </c>
      <c r="AW141" s="224">
        <f>IF('DM_NHAN_SU'!$B141="","",'CHAM_CONG_THANG'!Z141)</f>
        <v/>
      </c>
      <c r="AX141" s="224">
        <f>IF('DM_NHAN_SU'!$B141="","",$AT141-$AU141-$AV141-$AW141-$BV141)</f>
        <v/>
      </c>
      <c r="AY141" s="224">
        <f>IF('DM_NHAN_SU'!$B141="","",$AE141*'THAM_SO'!$M$11)</f>
        <v/>
      </c>
      <c r="AZ141" s="224">
        <f>IF('DM_NHAN_SU'!$B141="","",$AE141*'THAM_SO'!$M$12)</f>
        <v/>
      </c>
      <c r="BA141" s="224">
        <f>IF('DM_NHAN_SU'!$B141="","",$AF141*'THAM_SO'!$M$13)</f>
        <v/>
      </c>
      <c r="BB141" s="224">
        <f>IF('DM_NHAN_SU'!$B141="","",$AE141*'THAM_SO'!$M$14)</f>
        <v/>
      </c>
      <c r="BC141" s="224">
        <f>IF('DM_NHAN_SU'!$B141="","",SUM($AY141:$BB141))</f>
        <v/>
      </c>
      <c r="BD141" s="224">
        <f>IF('DM_NHAN_SU'!$B141="","",$AS141+$BC141)</f>
        <v/>
      </c>
      <c r="BE141" s="224">
        <f>IF('DM_NHAN_SU'!$B141="","",VLOOKUP($H141,'THAM_SO'!$L$17:$P$20,2,FALSE))</f>
        <v/>
      </c>
      <c r="BF141" s="224">
        <f>IF('DM_NHAN_SU'!$B141="","",VLOOKUP($H141,'THAM_SO'!$L$17:$P$20,3,FALSE))</f>
        <v/>
      </c>
      <c r="BG141" s="150">
        <f>IF('DM_NHAN_SU'!$B141="","",IF($B141="","",IF(COUNTIF('DM_NHAN_SU'!$B$6:$B$155,$B141)&gt;1,"Trùng mã NV; ","")&amp;IF(OR($F141="",$G141=""),"Thiếu loại/hình thức lương; ","")&amp;IF('CHAM_CONG_THANG'!$D141="","Chưa chọn nguồn công; ","")&amp;IF(AND('CHAM_CONG_THANG'!$D141="Theo ngày",COUNTIF('CHAM_CONG_NGAY'!$B$6:$B$4655,$B141)=0),"Chưa có chấm công ngày; ","")&amp;IF(OR($I141&lt;=0,$J141&lt;=0),"Thiếu công/giờ chuẩn; ","")&amp;IF(AND($G141="Tháng",'DM_NHAN_SU'!$K141&lt;$BE141),"Lương tháng dưới tối thiểu vùng; ","")&amp;IF(AND($G141="Ngày",'DM_NHAN_SU'!$K141/$J141&lt;$BF141),"Lương ngày quy đổi dưới tối thiểu giờ; ","")&amp;IF(AND($G141="Giờ",'DM_NHAN_SU'!$K141&lt;$BF141),"Lương giờ dưới tối thiểu vùng; ","")&amp;IF(AND($G141="Sản phẩm",$L141&gt;0,$O141/$L141&lt;$BF141),"Lương SP quy đổi dưới tối thiểu giờ; ","")&amp;IF(OR('THAM_SO'!$C$19&lt;'THAM_SO'!$B$19,'THAM_SO'!$C$20&lt;'THAM_SO'!$B$20,'THAM_SO'!$C$21&lt;'THAM_SO'!$B$21,'THAM_SO'!$C$22&lt;'THAM_SO'!$B$22,'THAM_SO'!$C$23&lt;'THAM_SO'!$B$23,'THAM_SO'!$C$24&lt;'THAM_SO'!$B$24,'THAM_SO'!$C$25&lt;'THAM_SO'!$B$25),"Hệ số OT/đêm DN thấp hơn luật; ","")&amp;IF(AND('DM_NHAN_SU'!$R141="Có",$AD141&lt;=0),"Thiếu căn cứ đóng BH; ","")&amp;IF(AND($AD141&gt;0,$AD141&lt;'THAM_SO'!$M$6),"Căn cứ BH dưới sàn – đã nâng sàn; ","")&amp;IF($AD141&gt;'THAM_SO'!$M$7,"Căn cứ BH vượt trần – đã giới hạn; ","")&amp;IF(AND($F141="Net",SUM('CHAM_CONG_THANG'!$AF141:$AK141)&gt;0,'DM_NHAN_SU'!$Q141&lt;=0),"Net có OT nhưng chưa khai lương giờ OT; ","")&amp;IF('CHAM_CONG_THANG'!$V141&gt;$Z141,"Phần OT không miễn lớn hơn tiền OT; ","")&amp;IF(AND($F141="Net",ABS($AT141-$AC141-$AP141)&gt;1),"Lệch quy đổi Net; ","")&amp;IF(AND($BH141&gt;0,'DM_NHAN_SU'!$AD141=""),"Có phép năm nhưng đang tạm dùng 12 ngày; ","")&amp;IF(AND($G141="Sản phẩm",SUM($BH141:$BJ141)&gt;0,'DM_NHAN_SU'!$AH141&lt;=0),"Lương sản phẩm thiếu đơn giá ngày phép/lễ; ","")&amp;IF(AND($BL141&gt;=14,'CHAM_CONG_THANG'!$AA141&lt;&gt;"Có"),"Thai sản từ 14 ngày: file tự dừng đóng BH – kiểm tra hồ sơ; ","")&amp;IF(AND('DM_NHAN_SU'!$AA141="Có",'DM_NHAN_SU'!$AB141=""),"Đoàn viên chưa chọn cách tính đoàn phí; ","")&amp;IF(AND('DM_NHAN_SU'!$AB141="Nhập tay",'DM_NHAN_SU'!$AC141&gt;'THAM_SO'!$M$26),"Đoàn phí nhập tay vượt trần thông dụng; ","")&amp;IF('NGHI_PHEP'!$L141&lt;&gt;"","Phép: "&amp;'NGHI_PHEP'!$L141,"")&amp;IF('CHE_DO_BHXH'!$AA141&lt;&gt;"","BHXH: "&amp;'CHE_DO_BHXH'!$AA141,"")&amp;IF('THUONG_T13_TET'!$O141&lt;&gt;"","Thưởng: "&amp;'THUONG_T13_TET'!$O141,"")&amp;IF('QT_NGHI_VIEC'!$AF141&lt;&gt;"","Nghỉ việc: "&amp;'QT_NGHI_VIEC'!$AF141,"")&amp;IF($AX141&lt;0,"Thực lĩnh âm; ","")&amp;IF(OR('DM_NHAN_SU'!$F141&gt;'THAM_SO'!$B$7,AND('DM_NHAN_SU'!$G141&lt;&gt;"",'DM_NHAN_SU'!$G141&lt;'THAM_SO'!$B$6)),"Ngoài kỳ trả lương; ","")))</f>
        <v/>
      </c>
      <c r="BH141" s="232">
        <f>IF('DM_NHAN_SU'!$B141="","",'CHAM_CONG_THANG'!AR141)</f>
        <v/>
      </c>
      <c r="BI141" s="232">
        <f>IF('DM_NHAN_SU'!$B141="","",'CHAM_CONG_THANG'!AS141)</f>
        <v/>
      </c>
      <c r="BJ141" s="232">
        <f>IF('DM_NHAN_SU'!$B141="","",'CHAM_CONG_THANG'!AT141)</f>
        <v/>
      </c>
      <c r="BK141" s="232">
        <f>IF('DM_NHAN_SU'!$B141="","",'CHAM_CONG_THANG'!AU141)</f>
        <v/>
      </c>
      <c r="BL141" s="232">
        <f>IF('DM_NHAN_SU'!$B141="","",'CHAM_CONG_THANG'!AV141)</f>
        <v/>
      </c>
      <c r="BM141" s="232">
        <f>IF('DM_NHAN_SU'!$B141="","",'CHAM_CONG_THANG'!AW141)</f>
        <v/>
      </c>
      <c r="BN141" s="232">
        <f>IF('DM_NHAN_SU'!$B141="","",SUM($K141,$BH141:$BJ141))</f>
        <v/>
      </c>
      <c r="BO141" s="224">
        <f>IF('DM_NHAN_SU'!$B141="","",IF($B141="",0,IF($G141="Tháng",IF($I141&gt;0,'DM_NHAN_SU'!$K141*MIN($BH141+$BJ141,MAX($I141-$K141,0))/$I141,0),IF($G141="Ngày",'DM_NHAN_SU'!$K141*SUM($BH141:$BJ141),IF($G141="Giờ",'DM_NHAN_SU'!$K141*SUM($BH141:$BJ141)*$J141,IF($G141="Sản phẩm",'DM_NHAN_SU'!$AH141*SUM($BH141:$BJ141),0))))))</f>
        <v/>
      </c>
      <c r="BP141" s="224">
        <f>IF('DM_NHAN_SU'!$B141="","",IF('THUONG_T13_TET'!$L141="Có",'THUONG_T13_TET'!$I141,0))</f>
        <v/>
      </c>
      <c r="BQ141" s="224">
        <f>IF('DM_NHAN_SU'!$B141="","",IF('THUONG_T13_TET'!$L141="Có",SUM('THUONG_T13_TET'!$J141:$K141),0))</f>
        <v/>
      </c>
      <c r="BR141" s="224">
        <f>IF('DM_NHAN_SU'!$B141="","",'QT_NGHI_VIEC'!AC141)</f>
        <v/>
      </c>
      <c r="BS141" s="224">
        <f>IF('DM_NHAN_SU'!$B141="","",'QT_NGHI_VIEC'!AB141)</f>
        <v/>
      </c>
      <c r="BT141" s="224">
        <f>IF('DM_NHAN_SU'!$B141="","",IF('CHE_DO_BHXH'!$Z141="Có",'CHE_DO_BHXH'!$W141,0))</f>
        <v/>
      </c>
      <c r="BU141" s="224">
        <f>IF('DM_NHAN_SU'!$B141="","",IF('CHE_DO_BHXH'!$Y141="DN trả thay",$BT141,0))</f>
        <v/>
      </c>
      <c r="BV141" s="224">
        <f>IF('DM_NHAN_SU'!$B141="","",IF(OR('DM_NHAN_SU'!$AA141&lt;&gt;"Có",'CHE_DO_BHXH'!$O141&gt;=1,SUM('CHE_DO_BHXH'!$D141,'CHE_DO_BHXH'!$G141,'CHE_DO_BHXH'!$K141)&gt;=24,AND($I141&gt;0,$BM141&gt;=$I141)),0,IF('DM_NHAN_SU'!$AB141="Không",0,IF('DM_NHAN_SU'!$AB141="Nhập tay",'DM_NHAN_SU'!$AC141,IF('DM_NHAN_SU'!$AB141="Theo thực nhận",MIN(MAX($AT141-$AU141-$AV141-$AW141,0)*'THAM_SO'!$M$23,'THAM_SO'!$M$26),MIN($AE141*'THAM_SO'!$M$23,'THAM_SO'!$M$26))))))</f>
        <v/>
      </c>
      <c r="BW141" s="224">
        <f>IF('DM_NHAN_SU'!$B141="","",$AX141+$BU141)</f>
        <v/>
      </c>
    </row>
    <row r="142">
      <c r="A142" s="145">
        <f>IF('DM_NHAN_SU'!$B142="","",IF($B142="","",ROW()-5))</f>
        <v/>
      </c>
      <c r="B142" s="145">
        <f>IF('DM_NHAN_SU'!$B142="","",'DM_NHAN_SU'!B142)</f>
        <v/>
      </c>
      <c r="C142" s="145">
        <f>IF('DM_NHAN_SU'!$B142="","",'DM_NHAN_SU'!C142)</f>
        <v/>
      </c>
      <c r="D142" s="145">
        <f>IF('DM_NHAN_SU'!$B142="","",'DM_NHAN_SU'!D142)</f>
        <v/>
      </c>
      <c r="E142" s="145">
        <f>IF('DM_NHAN_SU'!$B142="","",'DM_NHAN_SU'!E142)</f>
        <v/>
      </c>
      <c r="F142" s="145">
        <f>IF('DM_NHAN_SU'!$B142="","",'DM_NHAN_SU'!I142)</f>
        <v/>
      </c>
      <c r="G142" s="145">
        <f>IF('DM_NHAN_SU'!$B142="","",'DM_NHAN_SU'!J142)</f>
        <v/>
      </c>
      <c r="H142" s="145">
        <f>IF('DM_NHAN_SU'!$B142="","",IF('DM_NHAN_SU'!H142="",'THAM_SO'!$B$11,'DM_NHAN_SU'!H142))</f>
        <v/>
      </c>
      <c r="I142" s="232">
        <f>IF('DM_NHAN_SU'!$B142="","",IF('DM_NHAN_SU'!L142&gt;0,'DM_NHAN_SU'!L142,'THAM_SO'!$B$9))</f>
        <v/>
      </c>
      <c r="J142" s="232">
        <f>IF('DM_NHAN_SU'!$B142="","",IF('DM_NHAN_SU'!M142&gt;0,'DM_NHAN_SU'!M142,'THAM_SO'!$B$10))</f>
        <v/>
      </c>
      <c r="K142" s="232">
        <f>IF('DM_NHAN_SU'!$B142="","",'CHAM_CONG_THANG'!AC142)</f>
        <v/>
      </c>
      <c r="L142" s="232">
        <f>IF('DM_NHAN_SU'!$B142="","",'CHAM_CONG_THANG'!AD142)</f>
        <v/>
      </c>
      <c r="M142" s="232">
        <f>IF('DM_NHAN_SU'!$B142="","",'CHAM_CONG_THANG'!AE142)</f>
        <v/>
      </c>
      <c r="N142" s="232">
        <f>IF('DM_NHAN_SU'!$B142="","",'CHAM_CONG_THANG'!N142)</f>
        <v/>
      </c>
      <c r="O142" s="224">
        <f>IF('DM_NHAN_SU'!$B142="","",IF($B142="","",IF($G142="Tháng",IF($I142&gt;0,'DM_NHAN_SU'!$K142*MIN($K142,$I142)/$I142,0),IF($G142="Ngày",'DM_NHAN_SU'!$K142*$K142,IF($G142="Giờ",'DM_NHAN_SU'!$K142*$L142,IF($G142="Sản phẩm",'DM_NHAN_SU'!$K142*$N142,0))))))</f>
        <v/>
      </c>
      <c r="P142" s="224">
        <f>IF('DM_NHAN_SU'!$B142="","",'CHAM_CONG_THANG'!O142)</f>
        <v/>
      </c>
      <c r="Q142" s="224">
        <f>IF('DM_NHAN_SU'!$B142="","",'CHAM_CONG_THANG'!P142)</f>
        <v/>
      </c>
      <c r="R142" s="224">
        <f>IF('DM_NHAN_SU'!$B142="","",'CHAM_CONG_THANG'!Q142)</f>
        <v/>
      </c>
      <c r="S142" s="224">
        <f>IF('DM_NHAN_SU'!$B142="","",'CHAM_CONG_THANG'!R142)</f>
        <v/>
      </c>
      <c r="T142" s="224">
        <f>IF('DM_NHAN_SU'!$B142="","",'CHAM_CONG_THANG'!S142)</f>
        <v/>
      </c>
      <c r="U142" s="224">
        <f>IF('DM_NHAN_SU'!$B142="","",MIN($T142,'THAM_SO'!$F$6))</f>
        <v/>
      </c>
      <c r="V142" s="224">
        <f>IF('DM_NHAN_SU'!$B142="","",MAX($T142-$U142,0))</f>
        <v/>
      </c>
      <c r="W142" s="224">
        <f>IF('DM_NHAN_SU'!$B142="","",'CHAM_CONG_THANG'!T142)</f>
        <v/>
      </c>
      <c r="X142" s="224">
        <f>IF('DM_NHAN_SU'!$B142="","",'CHAM_CONG_THANG'!U142)</f>
        <v/>
      </c>
      <c r="Y142" s="224">
        <f>IF('DM_NHAN_SU'!$B142="","",IF($B142="",0,IF('DM_NHAN_SU'!$Q142&gt;0,'DM_NHAN_SU'!$Q142,IF($G142="Tháng",IF($I142*$J142&gt;0,'DM_NHAN_SU'!$K142/($I142*$J142),0),IF($G142="Ngày",IF($J142&gt;0,'DM_NHAN_SU'!$K142/$J142,0),IF($G142="Giờ",'DM_NHAN_SU'!$K142,0))))))</f>
        <v/>
      </c>
      <c r="Z142" s="224">
        <f>IF('DM_NHAN_SU'!$B142="","",$Y142*($M142*'THAM_SO'!$C$22+'CHAM_CONG_THANG'!$AF142*'THAM_SO'!$C$19+'CHAM_CONG_THANG'!$AG142*'THAM_SO'!$C$20+'CHAM_CONG_THANG'!$AH142*'THAM_SO'!$C$21+'CHAM_CONG_THANG'!$AI142*'THAM_SO'!$C$23+'CHAM_CONG_THANG'!$AJ142*'THAM_SO'!$C$24+'CHAM_CONG_THANG'!$AK142*'THAM_SO'!$C$25))</f>
        <v/>
      </c>
      <c r="AA142" s="224">
        <f>IF('DM_NHAN_SU'!$B142="","",MAX(0,$Y142*($M142*IF('THAM_SO'!$C$22&gt;='THAM_SO'!$B$22,'THAM_SO'!$B$22,0)+'CHAM_CONG_THANG'!$AF142*IF('THAM_SO'!$C$19&gt;='THAM_SO'!$B$19,'THAM_SO'!$B$19,0)+'CHAM_CONG_THANG'!$AG142*IF('THAM_SO'!$C$20&gt;='THAM_SO'!$B$20,'THAM_SO'!$B$20,0)+'CHAM_CONG_THANG'!$AH142*IF('THAM_SO'!$C$21&gt;='THAM_SO'!$B$21,'THAM_SO'!$B$21,0)+'CHAM_CONG_THANG'!$AI142*IF('THAM_SO'!$C$23&gt;='THAM_SO'!$B$23,'THAM_SO'!$B$23,0)+'CHAM_CONG_THANG'!$AJ142*IF('THAM_SO'!$C$24&gt;='THAM_SO'!$B$24,'THAM_SO'!$B$24,0)+'CHAM_CONG_THANG'!$AK142*IF('THAM_SO'!$C$25&gt;='THAM_SO'!$B$25,'THAM_SO'!$B$25,0))-'CHAM_CONG_THANG'!$V142))</f>
        <v/>
      </c>
      <c r="AB142" s="224">
        <f>IF('DM_NHAN_SU'!$B142="","",MAX($Z142-$AA142,0))</f>
        <v/>
      </c>
      <c r="AC142" s="224">
        <f>IF('DM_NHAN_SU'!$B142="","",$O142+$P142+$Q142+$R142+$S142+$V142+$AB142+$BO142+$BP142+$BQ142+$BR142)</f>
        <v/>
      </c>
      <c r="AD142" s="224">
        <f>IF('DM_NHAN_SU'!$B142="","",'DM_NHAN_SU'!N142+'DM_NHAN_SU'!O142+'DM_NHAN_SU'!P142)</f>
        <v/>
      </c>
      <c r="AE142" s="224">
        <f>IF('DM_NHAN_SU'!$B142="","",IF(OR('DM_NHAN_SU'!$R142&lt;&gt;"Có",'CHAM_CONG_THANG'!$AA142="Có",$BL142&gt;=14,$AD142&lt;=0),0,MIN(MAX($AD142,'THAM_SO'!$M$6),'THAM_SO'!$M$7)))</f>
        <v/>
      </c>
      <c r="AF142" s="224">
        <f>IF('DM_NHAN_SU'!$B142="","",IF(OR('DM_NHAN_SU'!$S142&lt;&gt;"Có",'CHAM_CONG_THANG'!$AA142="Có",$BL142&gt;=14,$AD142&lt;=0),0,MIN(MAX($AD142,VLOOKUP($H142,'THAM_SO'!$L$17:$P$20,4,FALSE)),VLOOKUP($H142,'THAM_SO'!$L$17:$P$20,5,FALSE))))</f>
        <v/>
      </c>
      <c r="AG142" s="224">
        <f>IF('DM_NHAN_SU'!$B142="","",$AE142*'THAM_SO'!$M$8)</f>
        <v/>
      </c>
      <c r="AH142" s="224">
        <f>IF('DM_NHAN_SU'!$B142="","",$AE142*'THAM_SO'!$M$9)</f>
        <v/>
      </c>
      <c r="AI142" s="224">
        <f>IF('DM_NHAN_SU'!$B142="","",$AF142*'THAM_SO'!$M$10)</f>
        <v/>
      </c>
      <c r="AJ142" s="224">
        <f>IF('DM_NHAN_SU'!$B142="","",SUM($AG142:$AI142))</f>
        <v/>
      </c>
      <c r="AK142" s="224">
        <f>IF('DM_NHAN_SU'!$B142="","",IF($B142="",0,'THAM_SO'!$F$4))</f>
        <v/>
      </c>
      <c r="AL142" s="224">
        <f>IF('DM_NHAN_SU'!$B142="","",IF($B142="",0,'DM_NHAN_SU'!$T142*'THAM_SO'!$F$5))</f>
        <v/>
      </c>
      <c r="AM142" s="224">
        <f>IF('DM_NHAN_SU'!$B142="","",'CHAM_CONG_THANG'!W142)</f>
        <v/>
      </c>
      <c r="AN142" s="224">
        <f>IF('DM_NHAN_SU'!$B142="","",MAX($AC142-$AK142-$AL142-$AM142,0))</f>
        <v/>
      </c>
      <c r="AO142" s="224">
        <f>IF('DM_NHAN_SU'!$B142="","",IF($B142="","",IF($F142="Net",IF($AC142&lt;=$AK142+$AL142+$AM142,$AC142+$AJ142,$AJ142+$AK142+$AL142+$AM142+IF($AN142&lt;='THAM_SO'!$J$10,($AN142-'THAM_SO'!$I$10)/(1-'THAM_SO'!$H$10),IF($AN142&lt;='THAM_SO'!$J$11,($AN142-'THAM_SO'!$I$11)/(1-'THAM_SO'!$H$11),IF($AN142&lt;='THAM_SO'!$J$12,($AN142-'THAM_SO'!$I$12)/(1-'THAM_SO'!$H$12),IF($AN142&lt;='THAM_SO'!$J$13,($AN142-'THAM_SO'!$I$13)/(1-'THAM_SO'!$H$13),($AN142-'THAM_SO'!$I$14)/(1-'THAM_SO'!$H$14)))))),$AC142)))</f>
        <v/>
      </c>
      <c r="AP142" s="224">
        <f>IF('DM_NHAN_SU'!$B142="","",$U142+$W142+$X142+$AA142+$BS142)</f>
        <v/>
      </c>
      <c r="AQ142" s="224">
        <f>IF('DM_NHAN_SU'!$B142="","",MAX($AO142-$AJ142-$AK142-$AL142-$AM142,0))</f>
        <v/>
      </c>
      <c r="AR142" s="224">
        <f>IF('DM_NHAN_SU'!$B142="","",IF($AQ142&lt;=0,0,$AQ142*VLOOKUP($AQ142,'THAM_SO'!$F$10:$I$14,3,TRUE)-VLOOKUP($AQ142,'THAM_SO'!$F$10:$I$14,4,TRUE)))</f>
        <v/>
      </c>
      <c r="AS142" s="224">
        <f>IF('DM_NHAN_SU'!$B142="","",$AO142+$AP142)</f>
        <v/>
      </c>
      <c r="AT142" s="224">
        <f>IF('DM_NHAN_SU'!$B142="","",$AS142-$AJ142-$AR142)</f>
        <v/>
      </c>
      <c r="AU142" s="224">
        <f>IF('DM_NHAN_SU'!$B142="","",'CHAM_CONG_THANG'!X142)</f>
        <v/>
      </c>
      <c r="AV142" s="224">
        <f>IF('DM_NHAN_SU'!$B142="","",'CHAM_CONG_THANG'!Y142+'QT_NGHI_VIEC'!AD142)</f>
        <v/>
      </c>
      <c r="AW142" s="224">
        <f>IF('DM_NHAN_SU'!$B142="","",'CHAM_CONG_THANG'!Z142)</f>
        <v/>
      </c>
      <c r="AX142" s="224">
        <f>IF('DM_NHAN_SU'!$B142="","",$AT142-$AU142-$AV142-$AW142-$BV142)</f>
        <v/>
      </c>
      <c r="AY142" s="224">
        <f>IF('DM_NHAN_SU'!$B142="","",$AE142*'THAM_SO'!$M$11)</f>
        <v/>
      </c>
      <c r="AZ142" s="224">
        <f>IF('DM_NHAN_SU'!$B142="","",$AE142*'THAM_SO'!$M$12)</f>
        <v/>
      </c>
      <c r="BA142" s="224">
        <f>IF('DM_NHAN_SU'!$B142="","",$AF142*'THAM_SO'!$M$13)</f>
        <v/>
      </c>
      <c r="BB142" s="224">
        <f>IF('DM_NHAN_SU'!$B142="","",$AE142*'THAM_SO'!$M$14)</f>
        <v/>
      </c>
      <c r="BC142" s="224">
        <f>IF('DM_NHAN_SU'!$B142="","",SUM($AY142:$BB142))</f>
        <v/>
      </c>
      <c r="BD142" s="224">
        <f>IF('DM_NHAN_SU'!$B142="","",$AS142+$BC142)</f>
        <v/>
      </c>
      <c r="BE142" s="224">
        <f>IF('DM_NHAN_SU'!$B142="","",VLOOKUP($H142,'THAM_SO'!$L$17:$P$20,2,FALSE))</f>
        <v/>
      </c>
      <c r="BF142" s="224">
        <f>IF('DM_NHAN_SU'!$B142="","",VLOOKUP($H142,'THAM_SO'!$L$17:$P$20,3,FALSE))</f>
        <v/>
      </c>
      <c r="BG142" s="150">
        <f>IF('DM_NHAN_SU'!$B142="","",IF($B142="","",IF(COUNTIF('DM_NHAN_SU'!$B$6:$B$155,$B142)&gt;1,"Trùng mã NV; ","")&amp;IF(OR($F142="",$G142=""),"Thiếu loại/hình thức lương; ","")&amp;IF('CHAM_CONG_THANG'!$D142="","Chưa chọn nguồn công; ","")&amp;IF(AND('CHAM_CONG_THANG'!$D142="Theo ngày",COUNTIF('CHAM_CONG_NGAY'!$B$6:$B$4655,$B142)=0),"Chưa có chấm công ngày; ","")&amp;IF(OR($I142&lt;=0,$J142&lt;=0),"Thiếu công/giờ chuẩn; ","")&amp;IF(AND($G142="Tháng",'DM_NHAN_SU'!$K142&lt;$BE142),"Lương tháng dưới tối thiểu vùng; ","")&amp;IF(AND($G142="Ngày",'DM_NHAN_SU'!$K142/$J142&lt;$BF142),"Lương ngày quy đổi dưới tối thiểu giờ; ","")&amp;IF(AND($G142="Giờ",'DM_NHAN_SU'!$K142&lt;$BF142),"Lương giờ dưới tối thiểu vùng; ","")&amp;IF(AND($G142="Sản phẩm",$L142&gt;0,$O142/$L142&lt;$BF142),"Lương SP quy đổi dưới tối thiểu giờ; ","")&amp;IF(OR('THAM_SO'!$C$19&lt;'THAM_SO'!$B$19,'THAM_SO'!$C$20&lt;'THAM_SO'!$B$20,'THAM_SO'!$C$21&lt;'THAM_SO'!$B$21,'THAM_SO'!$C$22&lt;'THAM_SO'!$B$22,'THAM_SO'!$C$23&lt;'THAM_SO'!$B$23,'THAM_SO'!$C$24&lt;'THAM_SO'!$B$24,'THAM_SO'!$C$25&lt;'THAM_SO'!$B$25),"Hệ số OT/đêm DN thấp hơn luật; ","")&amp;IF(AND('DM_NHAN_SU'!$R142="Có",$AD142&lt;=0),"Thiếu căn cứ đóng BH; ","")&amp;IF(AND($AD142&gt;0,$AD142&lt;'THAM_SO'!$M$6),"Căn cứ BH dưới sàn – đã nâng sàn; ","")&amp;IF($AD142&gt;'THAM_SO'!$M$7,"Căn cứ BH vượt trần – đã giới hạn; ","")&amp;IF(AND($F142="Net",SUM('CHAM_CONG_THANG'!$AF142:$AK142)&gt;0,'DM_NHAN_SU'!$Q142&lt;=0),"Net có OT nhưng chưa khai lương giờ OT; ","")&amp;IF('CHAM_CONG_THANG'!$V142&gt;$Z142,"Phần OT không miễn lớn hơn tiền OT; ","")&amp;IF(AND($F142="Net",ABS($AT142-$AC142-$AP142)&gt;1),"Lệch quy đổi Net; ","")&amp;IF(AND($BH142&gt;0,'DM_NHAN_SU'!$AD142=""),"Có phép năm nhưng đang tạm dùng 12 ngày; ","")&amp;IF(AND($G142="Sản phẩm",SUM($BH142:$BJ142)&gt;0,'DM_NHAN_SU'!$AH142&lt;=0),"Lương sản phẩm thiếu đơn giá ngày phép/lễ; ","")&amp;IF(AND($BL142&gt;=14,'CHAM_CONG_THANG'!$AA142&lt;&gt;"Có"),"Thai sản từ 14 ngày: file tự dừng đóng BH – kiểm tra hồ sơ; ","")&amp;IF(AND('DM_NHAN_SU'!$AA142="Có",'DM_NHAN_SU'!$AB142=""),"Đoàn viên chưa chọn cách tính đoàn phí; ","")&amp;IF(AND('DM_NHAN_SU'!$AB142="Nhập tay",'DM_NHAN_SU'!$AC142&gt;'THAM_SO'!$M$26),"Đoàn phí nhập tay vượt trần thông dụng; ","")&amp;IF('NGHI_PHEP'!$L142&lt;&gt;"","Phép: "&amp;'NGHI_PHEP'!$L142,"")&amp;IF('CHE_DO_BHXH'!$AA142&lt;&gt;"","BHXH: "&amp;'CHE_DO_BHXH'!$AA142,"")&amp;IF('THUONG_T13_TET'!$O142&lt;&gt;"","Thưởng: "&amp;'THUONG_T13_TET'!$O142,"")&amp;IF('QT_NGHI_VIEC'!$AF142&lt;&gt;"","Nghỉ việc: "&amp;'QT_NGHI_VIEC'!$AF142,"")&amp;IF($AX142&lt;0,"Thực lĩnh âm; ","")&amp;IF(OR('DM_NHAN_SU'!$F142&gt;'THAM_SO'!$B$7,AND('DM_NHAN_SU'!$G142&lt;&gt;"",'DM_NHAN_SU'!$G142&lt;'THAM_SO'!$B$6)),"Ngoài kỳ trả lương; ","")))</f>
        <v/>
      </c>
      <c r="BH142" s="232">
        <f>IF('DM_NHAN_SU'!$B142="","",'CHAM_CONG_THANG'!AR142)</f>
        <v/>
      </c>
      <c r="BI142" s="232">
        <f>IF('DM_NHAN_SU'!$B142="","",'CHAM_CONG_THANG'!AS142)</f>
        <v/>
      </c>
      <c r="BJ142" s="232">
        <f>IF('DM_NHAN_SU'!$B142="","",'CHAM_CONG_THANG'!AT142)</f>
        <v/>
      </c>
      <c r="BK142" s="232">
        <f>IF('DM_NHAN_SU'!$B142="","",'CHAM_CONG_THANG'!AU142)</f>
        <v/>
      </c>
      <c r="BL142" s="232">
        <f>IF('DM_NHAN_SU'!$B142="","",'CHAM_CONG_THANG'!AV142)</f>
        <v/>
      </c>
      <c r="BM142" s="232">
        <f>IF('DM_NHAN_SU'!$B142="","",'CHAM_CONG_THANG'!AW142)</f>
        <v/>
      </c>
      <c r="BN142" s="232">
        <f>IF('DM_NHAN_SU'!$B142="","",SUM($K142,$BH142:$BJ142))</f>
        <v/>
      </c>
      <c r="BO142" s="224">
        <f>IF('DM_NHAN_SU'!$B142="","",IF($B142="",0,IF($G142="Tháng",IF($I142&gt;0,'DM_NHAN_SU'!$K142*MIN($BH142+$BJ142,MAX($I142-$K142,0))/$I142,0),IF($G142="Ngày",'DM_NHAN_SU'!$K142*SUM($BH142:$BJ142),IF($G142="Giờ",'DM_NHAN_SU'!$K142*SUM($BH142:$BJ142)*$J142,IF($G142="Sản phẩm",'DM_NHAN_SU'!$AH142*SUM($BH142:$BJ142),0))))))</f>
        <v/>
      </c>
      <c r="BP142" s="224">
        <f>IF('DM_NHAN_SU'!$B142="","",IF('THUONG_T13_TET'!$L142="Có",'THUONG_T13_TET'!$I142,0))</f>
        <v/>
      </c>
      <c r="BQ142" s="224">
        <f>IF('DM_NHAN_SU'!$B142="","",IF('THUONG_T13_TET'!$L142="Có",SUM('THUONG_T13_TET'!$J142:$K142),0))</f>
        <v/>
      </c>
      <c r="BR142" s="224">
        <f>IF('DM_NHAN_SU'!$B142="","",'QT_NGHI_VIEC'!AC142)</f>
        <v/>
      </c>
      <c r="BS142" s="224">
        <f>IF('DM_NHAN_SU'!$B142="","",'QT_NGHI_VIEC'!AB142)</f>
        <v/>
      </c>
      <c r="BT142" s="224">
        <f>IF('DM_NHAN_SU'!$B142="","",IF('CHE_DO_BHXH'!$Z142="Có",'CHE_DO_BHXH'!$W142,0))</f>
        <v/>
      </c>
      <c r="BU142" s="224">
        <f>IF('DM_NHAN_SU'!$B142="","",IF('CHE_DO_BHXH'!$Y142="DN trả thay",$BT142,0))</f>
        <v/>
      </c>
      <c r="BV142" s="224">
        <f>IF('DM_NHAN_SU'!$B142="","",IF(OR('DM_NHAN_SU'!$AA142&lt;&gt;"Có",'CHE_DO_BHXH'!$O142&gt;=1,SUM('CHE_DO_BHXH'!$D142,'CHE_DO_BHXH'!$G142,'CHE_DO_BHXH'!$K142)&gt;=24,AND($I142&gt;0,$BM142&gt;=$I142)),0,IF('DM_NHAN_SU'!$AB142="Không",0,IF('DM_NHAN_SU'!$AB142="Nhập tay",'DM_NHAN_SU'!$AC142,IF('DM_NHAN_SU'!$AB142="Theo thực nhận",MIN(MAX($AT142-$AU142-$AV142-$AW142,0)*'THAM_SO'!$M$23,'THAM_SO'!$M$26),MIN($AE142*'THAM_SO'!$M$23,'THAM_SO'!$M$26))))))</f>
        <v/>
      </c>
      <c r="BW142" s="224">
        <f>IF('DM_NHAN_SU'!$B142="","",$AX142+$BU142)</f>
        <v/>
      </c>
    </row>
    <row r="143">
      <c r="A143" s="145">
        <f>IF('DM_NHAN_SU'!$B143="","",IF($B143="","",ROW()-5))</f>
        <v/>
      </c>
      <c r="B143" s="145">
        <f>IF('DM_NHAN_SU'!$B143="","",'DM_NHAN_SU'!B143)</f>
        <v/>
      </c>
      <c r="C143" s="145">
        <f>IF('DM_NHAN_SU'!$B143="","",'DM_NHAN_SU'!C143)</f>
        <v/>
      </c>
      <c r="D143" s="145">
        <f>IF('DM_NHAN_SU'!$B143="","",'DM_NHAN_SU'!D143)</f>
        <v/>
      </c>
      <c r="E143" s="145">
        <f>IF('DM_NHAN_SU'!$B143="","",'DM_NHAN_SU'!E143)</f>
        <v/>
      </c>
      <c r="F143" s="145">
        <f>IF('DM_NHAN_SU'!$B143="","",'DM_NHAN_SU'!I143)</f>
        <v/>
      </c>
      <c r="G143" s="145">
        <f>IF('DM_NHAN_SU'!$B143="","",'DM_NHAN_SU'!J143)</f>
        <v/>
      </c>
      <c r="H143" s="145">
        <f>IF('DM_NHAN_SU'!$B143="","",IF('DM_NHAN_SU'!H143="",'THAM_SO'!$B$11,'DM_NHAN_SU'!H143))</f>
        <v/>
      </c>
      <c r="I143" s="232">
        <f>IF('DM_NHAN_SU'!$B143="","",IF('DM_NHAN_SU'!L143&gt;0,'DM_NHAN_SU'!L143,'THAM_SO'!$B$9))</f>
        <v/>
      </c>
      <c r="J143" s="232">
        <f>IF('DM_NHAN_SU'!$B143="","",IF('DM_NHAN_SU'!M143&gt;0,'DM_NHAN_SU'!M143,'THAM_SO'!$B$10))</f>
        <v/>
      </c>
      <c r="K143" s="232">
        <f>IF('DM_NHAN_SU'!$B143="","",'CHAM_CONG_THANG'!AC143)</f>
        <v/>
      </c>
      <c r="L143" s="232">
        <f>IF('DM_NHAN_SU'!$B143="","",'CHAM_CONG_THANG'!AD143)</f>
        <v/>
      </c>
      <c r="M143" s="232">
        <f>IF('DM_NHAN_SU'!$B143="","",'CHAM_CONG_THANG'!AE143)</f>
        <v/>
      </c>
      <c r="N143" s="232">
        <f>IF('DM_NHAN_SU'!$B143="","",'CHAM_CONG_THANG'!N143)</f>
        <v/>
      </c>
      <c r="O143" s="224">
        <f>IF('DM_NHAN_SU'!$B143="","",IF($B143="","",IF($G143="Tháng",IF($I143&gt;0,'DM_NHAN_SU'!$K143*MIN($K143,$I143)/$I143,0),IF($G143="Ngày",'DM_NHAN_SU'!$K143*$K143,IF($G143="Giờ",'DM_NHAN_SU'!$K143*$L143,IF($G143="Sản phẩm",'DM_NHAN_SU'!$K143*$N143,0))))))</f>
        <v/>
      </c>
      <c r="P143" s="224">
        <f>IF('DM_NHAN_SU'!$B143="","",'CHAM_CONG_THANG'!O143)</f>
        <v/>
      </c>
      <c r="Q143" s="224">
        <f>IF('DM_NHAN_SU'!$B143="","",'CHAM_CONG_THANG'!P143)</f>
        <v/>
      </c>
      <c r="R143" s="224">
        <f>IF('DM_NHAN_SU'!$B143="","",'CHAM_CONG_THANG'!Q143)</f>
        <v/>
      </c>
      <c r="S143" s="224">
        <f>IF('DM_NHAN_SU'!$B143="","",'CHAM_CONG_THANG'!R143)</f>
        <v/>
      </c>
      <c r="T143" s="224">
        <f>IF('DM_NHAN_SU'!$B143="","",'CHAM_CONG_THANG'!S143)</f>
        <v/>
      </c>
      <c r="U143" s="224">
        <f>IF('DM_NHAN_SU'!$B143="","",MIN($T143,'THAM_SO'!$F$6))</f>
        <v/>
      </c>
      <c r="V143" s="224">
        <f>IF('DM_NHAN_SU'!$B143="","",MAX($T143-$U143,0))</f>
        <v/>
      </c>
      <c r="W143" s="224">
        <f>IF('DM_NHAN_SU'!$B143="","",'CHAM_CONG_THANG'!T143)</f>
        <v/>
      </c>
      <c r="X143" s="224">
        <f>IF('DM_NHAN_SU'!$B143="","",'CHAM_CONG_THANG'!U143)</f>
        <v/>
      </c>
      <c r="Y143" s="224">
        <f>IF('DM_NHAN_SU'!$B143="","",IF($B143="",0,IF('DM_NHAN_SU'!$Q143&gt;0,'DM_NHAN_SU'!$Q143,IF($G143="Tháng",IF($I143*$J143&gt;0,'DM_NHAN_SU'!$K143/($I143*$J143),0),IF($G143="Ngày",IF($J143&gt;0,'DM_NHAN_SU'!$K143/$J143,0),IF($G143="Giờ",'DM_NHAN_SU'!$K143,0))))))</f>
        <v/>
      </c>
      <c r="Z143" s="224">
        <f>IF('DM_NHAN_SU'!$B143="","",$Y143*($M143*'THAM_SO'!$C$22+'CHAM_CONG_THANG'!$AF143*'THAM_SO'!$C$19+'CHAM_CONG_THANG'!$AG143*'THAM_SO'!$C$20+'CHAM_CONG_THANG'!$AH143*'THAM_SO'!$C$21+'CHAM_CONG_THANG'!$AI143*'THAM_SO'!$C$23+'CHAM_CONG_THANG'!$AJ143*'THAM_SO'!$C$24+'CHAM_CONG_THANG'!$AK143*'THAM_SO'!$C$25))</f>
        <v/>
      </c>
      <c r="AA143" s="224">
        <f>IF('DM_NHAN_SU'!$B143="","",MAX(0,$Y143*($M143*IF('THAM_SO'!$C$22&gt;='THAM_SO'!$B$22,'THAM_SO'!$B$22,0)+'CHAM_CONG_THANG'!$AF143*IF('THAM_SO'!$C$19&gt;='THAM_SO'!$B$19,'THAM_SO'!$B$19,0)+'CHAM_CONG_THANG'!$AG143*IF('THAM_SO'!$C$20&gt;='THAM_SO'!$B$20,'THAM_SO'!$B$20,0)+'CHAM_CONG_THANG'!$AH143*IF('THAM_SO'!$C$21&gt;='THAM_SO'!$B$21,'THAM_SO'!$B$21,0)+'CHAM_CONG_THANG'!$AI143*IF('THAM_SO'!$C$23&gt;='THAM_SO'!$B$23,'THAM_SO'!$B$23,0)+'CHAM_CONG_THANG'!$AJ143*IF('THAM_SO'!$C$24&gt;='THAM_SO'!$B$24,'THAM_SO'!$B$24,0)+'CHAM_CONG_THANG'!$AK143*IF('THAM_SO'!$C$25&gt;='THAM_SO'!$B$25,'THAM_SO'!$B$25,0))-'CHAM_CONG_THANG'!$V143))</f>
        <v/>
      </c>
      <c r="AB143" s="224">
        <f>IF('DM_NHAN_SU'!$B143="","",MAX($Z143-$AA143,0))</f>
        <v/>
      </c>
      <c r="AC143" s="224">
        <f>IF('DM_NHAN_SU'!$B143="","",$O143+$P143+$Q143+$R143+$S143+$V143+$AB143+$BO143+$BP143+$BQ143+$BR143)</f>
        <v/>
      </c>
      <c r="AD143" s="224">
        <f>IF('DM_NHAN_SU'!$B143="","",'DM_NHAN_SU'!N143+'DM_NHAN_SU'!O143+'DM_NHAN_SU'!P143)</f>
        <v/>
      </c>
      <c r="AE143" s="224">
        <f>IF('DM_NHAN_SU'!$B143="","",IF(OR('DM_NHAN_SU'!$R143&lt;&gt;"Có",'CHAM_CONG_THANG'!$AA143="Có",$BL143&gt;=14,$AD143&lt;=0),0,MIN(MAX($AD143,'THAM_SO'!$M$6),'THAM_SO'!$M$7)))</f>
        <v/>
      </c>
      <c r="AF143" s="224">
        <f>IF('DM_NHAN_SU'!$B143="","",IF(OR('DM_NHAN_SU'!$S143&lt;&gt;"Có",'CHAM_CONG_THANG'!$AA143="Có",$BL143&gt;=14,$AD143&lt;=0),0,MIN(MAX($AD143,VLOOKUP($H143,'THAM_SO'!$L$17:$P$20,4,FALSE)),VLOOKUP($H143,'THAM_SO'!$L$17:$P$20,5,FALSE))))</f>
        <v/>
      </c>
      <c r="AG143" s="224">
        <f>IF('DM_NHAN_SU'!$B143="","",$AE143*'THAM_SO'!$M$8)</f>
        <v/>
      </c>
      <c r="AH143" s="224">
        <f>IF('DM_NHAN_SU'!$B143="","",$AE143*'THAM_SO'!$M$9)</f>
        <v/>
      </c>
      <c r="AI143" s="224">
        <f>IF('DM_NHAN_SU'!$B143="","",$AF143*'THAM_SO'!$M$10)</f>
        <v/>
      </c>
      <c r="AJ143" s="224">
        <f>IF('DM_NHAN_SU'!$B143="","",SUM($AG143:$AI143))</f>
        <v/>
      </c>
      <c r="AK143" s="224">
        <f>IF('DM_NHAN_SU'!$B143="","",IF($B143="",0,'THAM_SO'!$F$4))</f>
        <v/>
      </c>
      <c r="AL143" s="224">
        <f>IF('DM_NHAN_SU'!$B143="","",IF($B143="",0,'DM_NHAN_SU'!$T143*'THAM_SO'!$F$5))</f>
        <v/>
      </c>
      <c r="AM143" s="224">
        <f>IF('DM_NHAN_SU'!$B143="","",'CHAM_CONG_THANG'!W143)</f>
        <v/>
      </c>
      <c r="AN143" s="224">
        <f>IF('DM_NHAN_SU'!$B143="","",MAX($AC143-$AK143-$AL143-$AM143,0))</f>
        <v/>
      </c>
      <c r="AO143" s="224">
        <f>IF('DM_NHAN_SU'!$B143="","",IF($B143="","",IF($F143="Net",IF($AC143&lt;=$AK143+$AL143+$AM143,$AC143+$AJ143,$AJ143+$AK143+$AL143+$AM143+IF($AN143&lt;='THAM_SO'!$J$10,($AN143-'THAM_SO'!$I$10)/(1-'THAM_SO'!$H$10),IF($AN143&lt;='THAM_SO'!$J$11,($AN143-'THAM_SO'!$I$11)/(1-'THAM_SO'!$H$11),IF($AN143&lt;='THAM_SO'!$J$12,($AN143-'THAM_SO'!$I$12)/(1-'THAM_SO'!$H$12),IF($AN143&lt;='THAM_SO'!$J$13,($AN143-'THAM_SO'!$I$13)/(1-'THAM_SO'!$H$13),($AN143-'THAM_SO'!$I$14)/(1-'THAM_SO'!$H$14)))))),$AC143)))</f>
        <v/>
      </c>
      <c r="AP143" s="224">
        <f>IF('DM_NHAN_SU'!$B143="","",$U143+$W143+$X143+$AA143+$BS143)</f>
        <v/>
      </c>
      <c r="AQ143" s="224">
        <f>IF('DM_NHAN_SU'!$B143="","",MAX($AO143-$AJ143-$AK143-$AL143-$AM143,0))</f>
        <v/>
      </c>
      <c r="AR143" s="224">
        <f>IF('DM_NHAN_SU'!$B143="","",IF($AQ143&lt;=0,0,$AQ143*VLOOKUP($AQ143,'THAM_SO'!$F$10:$I$14,3,TRUE)-VLOOKUP($AQ143,'THAM_SO'!$F$10:$I$14,4,TRUE)))</f>
        <v/>
      </c>
      <c r="AS143" s="224">
        <f>IF('DM_NHAN_SU'!$B143="","",$AO143+$AP143)</f>
        <v/>
      </c>
      <c r="AT143" s="224">
        <f>IF('DM_NHAN_SU'!$B143="","",$AS143-$AJ143-$AR143)</f>
        <v/>
      </c>
      <c r="AU143" s="224">
        <f>IF('DM_NHAN_SU'!$B143="","",'CHAM_CONG_THANG'!X143)</f>
        <v/>
      </c>
      <c r="AV143" s="224">
        <f>IF('DM_NHAN_SU'!$B143="","",'CHAM_CONG_THANG'!Y143+'QT_NGHI_VIEC'!AD143)</f>
        <v/>
      </c>
      <c r="AW143" s="224">
        <f>IF('DM_NHAN_SU'!$B143="","",'CHAM_CONG_THANG'!Z143)</f>
        <v/>
      </c>
      <c r="AX143" s="224">
        <f>IF('DM_NHAN_SU'!$B143="","",$AT143-$AU143-$AV143-$AW143-$BV143)</f>
        <v/>
      </c>
      <c r="AY143" s="224">
        <f>IF('DM_NHAN_SU'!$B143="","",$AE143*'THAM_SO'!$M$11)</f>
        <v/>
      </c>
      <c r="AZ143" s="224">
        <f>IF('DM_NHAN_SU'!$B143="","",$AE143*'THAM_SO'!$M$12)</f>
        <v/>
      </c>
      <c r="BA143" s="224">
        <f>IF('DM_NHAN_SU'!$B143="","",$AF143*'THAM_SO'!$M$13)</f>
        <v/>
      </c>
      <c r="BB143" s="224">
        <f>IF('DM_NHAN_SU'!$B143="","",$AE143*'THAM_SO'!$M$14)</f>
        <v/>
      </c>
      <c r="BC143" s="224">
        <f>IF('DM_NHAN_SU'!$B143="","",SUM($AY143:$BB143))</f>
        <v/>
      </c>
      <c r="BD143" s="224">
        <f>IF('DM_NHAN_SU'!$B143="","",$AS143+$BC143)</f>
        <v/>
      </c>
      <c r="BE143" s="224">
        <f>IF('DM_NHAN_SU'!$B143="","",VLOOKUP($H143,'THAM_SO'!$L$17:$P$20,2,FALSE))</f>
        <v/>
      </c>
      <c r="BF143" s="224">
        <f>IF('DM_NHAN_SU'!$B143="","",VLOOKUP($H143,'THAM_SO'!$L$17:$P$20,3,FALSE))</f>
        <v/>
      </c>
      <c r="BG143" s="150">
        <f>IF('DM_NHAN_SU'!$B143="","",IF($B143="","",IF(COUNTIF('DM_NHAN_SU'!$B$6:$B$155,$B143)&gt;1,"Trùng mã NV; ","")&amp;IF(OR($F143="",$G143=""),"Thiếu loại/hình thức lương; ","")&amp;IF('CHAM_CONG_THANG'!$D143="","Chưa chọn nguồn công; ","")&amp;IF(AND('CHAM_CONG_THANG'!$D143="Theo ngày",COUNTIF('CHAM_CONG_NGAY'!$B$6:$B$4655,$B143)=0),"Chưa có chấm công ngày; ","")&amp;IF(OR($I143&lt;=0,$J143&lt;=0),"Thiếu công/giờ chuẩn; ","")&amp;IF(AND($G143="Tháng",'DM_NHAN_SU'!$K143&lt;$BE143),"Lương tháng dưới tối thiểu vùng; ","")&amp;IF(AND($G143="Ngày",'DM_NHAN_SU'!$K143/$J143&lt;$BF143),"Lương ngày quy đổi dưới tối thiểu giờ; ","")&amp;IF(AND($G143="Giờ",'DM_NHAN_SU'!$K143&lt;$BF143),"Lương giờ dưới tối thiểu vùng; ","")&amp;IF(AND($G143="Sản phẩm",$L143&gt;0,$O143/$L143&lt;$BF143),"Lương SP quy đổi dưới tối thiểu giờ; ","")&amp;IF(OR('THAM_SO'!$C$19&lt;'THAM_SO'!$B$19,'THAM_SO'!$C$20&lt;'THAM_SO'!$B$20,'THAM_SO'!$C$21&lt;'THAM_SO'!$B$21,'THAM_SO'!$C$22&lt;'THAM_SO'!$B$22,'THAM_SO'!$C$23&lt;'THAM_SO'!$B$23,'THAM_SO'!$C$24&lt;'THAM_SO'!$B$24,'THAM_SO'!$C$25&lt;'THAM_SO'!$B$25),"Hệ số OT/đêm DN thấp hơn luật; ","")&amp;IF(AND('DM_NHAN_SU'!$R143="Có",$AD143&lt;=0),"Thiếu căn cứ đóng BH; ","")&amp;IF(AND($AD143&gt;0,$AD143&lt;'THAM_SO'!$M$6),"Căn cứ BH dưới sàn – đã nâng sàn; ","")&amp;IF($AD143&gt;'THAM_SO'!$M$7,"Căn cứ BH vượt trần – đã giới hạn; ","")&amp;IF(AND($F143="Net",SUM('CHAM_CONG_THANG'!$AF143:$AK143)&gt;0,'DM_NHAN_SU'!$Q143&lt;=0),"Net có OT nhưng chưa khai lương giờ OT; ","")&amp;IF('CHAM_CONG_THANG'!$V143&gt;$Z143,"Phần OT không miễn lớn hơn tiền OT; ","")&amp;IF(AND($F143="Net",ABS($AT143-$AC143-$AP143)&gt;1),"Lệch quy đổi Net; ","")&amp;IF(AND($BH143&gt;0,'DM_NHAN_SU'!$AD143=""),"Có phép năm nhưng đang tạm dùng 12 ngày; ","")&amp;IF(AND($G143="Sản phẩm",SUM($BH143:$BJ143)&gt;0,'DM_NHAN_SU'!$AH143&lt;=0),"Lương sản phẩm thiếu đơn giá ngày phép/lễ; ","")&amp;IF(AND($BL143&gt;=14,'CHAM_CONG_THANG'!$AA143&lt;&gt;"Có"),"Thai sản từ 14 ngày: file tự dừng đóng BH – kiểm tra hồ sơ; ","")&amp;IF(AND('DM_NHAN_SU'!$AA143="Có",'DM_NHAN_SU'!$AB143=""),"Đoàn viên chưa chọn cách tính đoàn phí; ","")&amp;IF(AND('DM_NHAN_SU'!$AB143="Nhập tay",'DM_NHAN_SU'!$AC143&gt;'THAM_SO'!$M$26),"Đoàn phí nhập tay vượt trần thông dụng; ","")&amp;IF('NGHI_PHEP'!$L143&lt;&gt;"","Phép: "&amp;'NGHI_PHEP'!$L143,"")&amp;IF('CHE_DO_BHXH'!$AA143&lt;&gt;"","BHXH: "&amp;'CHE_DO_BHXH'!$AA143,"")&amp;IF('THUONG_T13_TET'!$O143&lt;&gt;"","Thưởng: "&amp;'THUONG_T13_TET'!$O143,"")&amp;IF('QT_NGHI_VIEC'!$AF143&lt;&gt;"","Nghỉ việc: "&amp;'QT_NGHI_VIEC'!$AF143,"")&amp;IF($AX143&lt;0,"Thực lĩnh âm; ","")&amp;IF(OR('DM_NHAN_SU'!$F143&gt;'THAM_SO'!$B$7,AND('DM_NHAN_SU'!$G143&lt;&gt;"",'DM_NHAN_SU'!$G143&lt;'THAM_SO'!$B$6)),"Ngoài kỳ trả lương; ","")))</f>
        <v/>
      </c>
      <c r="BH143" s="232">
        <f>IF('DM_NHAN_SU'!$B143="","",'CHAM_CONG_THANG'!AR143)</f>
        <v/>
      </c>
      <c r="BI143" s="232">
        <f>IF('DM_NHAN_SU'!$B143="","",'CHAM_CONG_THANG'!AS143)</f>
        <v/>
      </c>
      <c r="BJ143" s="232">
        <f>IF('DM_NHAN_SU'!$B143="","",'CHAM_CONG_THANG'!AT143)</f>
        <v/>
      </c>
      <c r="BK143" s="232">
        <f>IF('DM_NHAN_SU'!$B143="","",'CHAM_CONG_THANG'!AU143)</f>
        <v/>
      </c>
      <c r="BL143" s="232">
        <f>IF('DM_NHAN_SU'!$B143="","",'CHAM_CONG_THANG'!AV143)</f>
        <v/>
      </c>
      <c r="BM143" s="232">
        <f>IF('DM_NHAN_SU'!$B143="","",'CHAM_CONG_THANG'!AW143)</f>
        <v/>
      </c>
      <c r="BN143" s="232">
        <f>IF('DM_NHAN_SU'!$B143="","",SUM($K143,$BH143:$BJ143))</f>
        <v/>
      </c>
      <c r="BO143" s="224">
        <f>IF('DM_NHAN_SU'!$B143="","",IF($B143="",0,IF($G143="Tháng",IF($I143&gt;0,'DM_NHAN_SU'!$K143*MIN($BH143+$BJ143,MAX($I143-$K143,0))/$I143,0),IF($G143="Ngày",'DM_NHAN_SU'!$K143*SUM($BH143:$BJ143),IF($G143="Giờ",'DM_NHAN_SU'!$K143*SUM($BH143:$BJ143)*$J143,IF($G143="Sản phẩm",'DM_NHAN_SU'!$AH143*SUM($BH143:$BJ143),0))))))</f>
        <v/>
      </c>
      <c r="BP143" s="224">
        <f>IF('DM_NHAN_SU'!$B143="","",IF('THUONG_T13_TET'!$L143="Có",'THUONG_T13_TET'!$I143,0))</f>
        <v/>
      </c>
      <c r="BQ143" s="224">
        <f>IF('DM_NHAN_SU'!$B143="","",IF('THUONG_T13_TET'!$L143="Có",SUM('THUONG_T13_TET'!$J143:$K143),0))</f>
        <v/>
      </c>
      <c r="BR143" s="224">
        <f>IF('DM_NHAN_SU'!$B143="","",'QT_NGHI_VIEC'!AC143)</f>
        <v/>
      </c>
      <c r="BS143" s="224">
        <f>IF('DM_NHAN_SU'!$B143="","",'QT_NGHI_VIEC'!AB143)</f>
        <v/>
      </c>
      <c r="BT143" s="224">
        <f>IF('DM_NHAN_SU'!$B143="","",IF('CHE_DO_BHXH'!$Z143="Có",'CHE_DO_BHXH'!$W143,0))</f>
        <v/>
      </c>
      <c r="BU143" s="224">
        <f>IF('DM_NHAN_SU'!$B143="","",IF('CHE_DO_BHXH'!$Y143="DN trả thay",$BT143,0))</f>
        <v/>
      </c>
      <c r="BV143" s="224">
        <f>IF('DM_NHAN_SU'!$B143="","",IF(OR('DM_NHAN_SU'!$AA143&lt;&gt;"Có",'CHE_DO_BHXH'!$O143&gt;=1,SUM('CHE_DO_BHXH'!$D143,'CHE_DO_BHXH'!$G143,'CHE_DO_BHXH'!$K143)&gt;=24,AND($I143&gt;0,$BM143&gt;=$I143)),0,IF('DM_NHAN_SU'!$AB143="Không",0,IF('DM_NHAN_SU'!$AB143="Nhập tay",'DM_NHAN_SU'!$AC143,IF('DM_NHAN_SU'!$AB143="Theo thực nhận",MIN(MAX($AT143-$AU143-$AV143-$AW143,0)*'THAM_SO'!$M$23,'THAM_SO'!$M$26),MIN($AE143*'THAM_SO'!$M$23,'THAM_SO'!$M$26))))))</f>
        <v/>
      </c>
      <c r="BW143" s="224">
        <f>IF('DM_NHAN_SU'!$B143="","",$AX143+$BU143)</f>
        <v/>
      </c>
    </row>
    <row r="144">
      <c r="A144" s="145">
        <f>IF('DM_NHAN_SU'!$B144="","",IF($B144="","",ROW()-5))</f>
        <v/>
      </c>
      <c r="B144" s="145">
        <f>IF('DM_NHAN_SU'!$B144="","",'DM_NHAN_SU'!B144)</f>
        <v/>
      </c>
      <c r="C144" s="145">
        <f>IF('DM_NHAN_SU'!$B144="","",'DM_NHAN_SU'!C144)</f>
        <v/>
      </c>
      <c r="D144" s="145">
        <f>IF('DM_NHAN_SU'!$B144="","",'DM_NHAN_SU'!D144)</f>
        <v/>
      </c>
      <c r="E144" s="145">
        <f>IF('DM_NHAN_SU'!$B144="","",'DM_NHAN_SU'!E144)</f>
        <v/>
      </c>
      <c r="F144" s="145">
        <f>IF('DM_NHAN_SU'!$B144="","",'DM_NHAN_SU'!I144)</f>
        <v/>
      </c>
      <c r="G144" s="145">
        <f>IF('DM_NHAN_SU'!$B144="","",'DM_NHAN_SU'!J144)</f>
        <v/>
      </c>
      <c r="H144" s="145">
        <f>IF('DM_NHAN_SU'!$B144="","",IF('DM_NHAN_SU'!H144="",'THAM_SO'!$B$11,'DM_NHAN_SU'!H144))</f>
        <v/>
      </c>
      <c r="I144" s="232">
        <f>IF('DM_NHAN_SU'!$B144="","",IF('DM_NHAN_SU'!L144&gt;0,'DM_NHAN_SU'!L144,'THAM_SO'!$B$9))</f>
        <v/>
      </c>
      <c r="J144" s="232">
        <f>IF('DM_NHAN_SU'!$B144="","",IF('DM_NHAN_SU'!M144&gt;0,'DM_NHAN_SU'!M144,'THAM_SO'!$B$10))</f>
        <v/>
      </c>
      <c r="K144" s="232">
        <f>IF('DM_NHAN_SU'!$B144="","",'CHAM_CONG_THANG'!AC144)</f>
        <v/>
      </c>
      <c r="L144" s="232">
        <f>IF('DM_NHAN_SU'!$B144="","",'CHAM_CONG_THANG'!AD144)</f>
        <v/>
      </c>
      <c r="M144" s="232">
        <f>IF('DM_NHAN_SU'!$B144="","",'CHAM_CONG_THANG'!AE144)</f>
        <v/>
      </c>
      <c r="N144" s="232">
        <f>IF('DM_NHAN_SU'!$B144="","",'CHAM_CONG_THANG'!N144)</f>
        <v/>
      </c>
      <c r="O144" s="224">
        <f>IF('DM_NHAN_SU'!$B144="","",IF($B144="","",IF($G144="Tháng",IF($I144&gt;0,'DM_NHAN_SU'!$K144*MIN($K144,$I144)/$I144,0),IF($G144="Ngày",'DM_NHAN_SU'!$K144*$K144,IF($G144="Giờ",'DM_NHAN_SU'!$K144*$L144,IF($G144="Sản phẩm",'DM_NHAN_SU'!$K144*$N144,0))))))</f>
        <v/>
      </c>
      <c r="P144" s="224">
        <f>IF('DM_NHAN_SU'!$B144="","",'CHAM_CONG_THANG'!O144)</f>
        <v/>
      </c>
      <c r="Q144" s="224">
        <f>IF('DM_NHAN_SU'!$B144="","",'CHAM_CONG_THANG'!P144)</f>
        <v/>
      </c>
      <c r="R144" s="224">
        <f>IF('DM_NHAN_SU'!$B144="","",'CHAM_CONG_THANG'!Q144)</f>
        <v/>
      </c>
      <c r="S144" s="224">
        <f>IF('DM_NHAN_SU'!$B144="","",'CHAM_CONG_THANG'!R144)</f>
        <v/>
      </c>
      <c r="T144" s="224">
        <f>IF('DM_NHAN_SU'!$B144="","",'CHAM_CONG_THANG'!S144)</f>
        <v/>
      </c>
      <c r="U144" s="224">
        <f>IF('DM_NHAN_SU'!$B144="","",MIN($T144,'THAM_SO'!$F$6))</f>
        <v/>
      </c>
      <c r="V144" s="224">
        <f>IF('DM_NHAN_SU'!$B144="","",MAX($T144-$U144,0))</f>
        <v/>
      </c>
      <c r="W144" s="224">
        <f>IF('DM_NHAN_SU'!$B144="","",'CHAM_CONG_THANG'!T144)</f>
        <v/>
      </c>
      <c r="X144" s="224">
        <f>IF('DM_NHAN_SU'!$B144="","",'CHAM_CONG_THANG'!U144)</f>
        <v/>
      </c>
      <c r="Y144" s="224">
        <f>IF('DM_NHAN_SU'!$B144="","",IF($B144="",0,IF('DM_NHAN_SU'!$Q144&gt;0,'DM_NHAN_SU'!$Q144,IF($G144="Tháng",IF($I144*$J144&gt;0,'DM_NHAN_SU'!$K144/($I144*$J144),0),IF($G144="Ngày",IF($J144&gt;0,'DM_NHAN_SU'!$K144/$J144,0),IF($G144="Giờ",'DM_NHAN_SU'!$K144,0))))))</f>
        <v/>
      </c>
      <c r="Z144" s="224">
        <f>IF('DM_NHAN_SU'!$B144="","",$Y144*($M144*'THAM_SO'!$C$22+'CHAM_CONG_THANG'!$AF144*'THAM_SO'!$C$19+'CHAM_CONG_THANG'!$AG144*'THAM_SO'!$C$20+'CHAM_CONG_THANG'!$AH144*'THAM_SO'!$C$21+'CHAM_CONG_THANG'!$AI144*'THAM_SO'!$C$23+'CHAM_CONG_THANG'!$AJ144*'THAM_SO'!$C$24+'CHAM_CONG_THANG'!$AK144*'THAM_SO'!$C$25))</f>
        <v/>
      </c>
      <c r="AA144" s="224">
        <f>IF('DM_NHAN_SU'!$B144="","",MAX(0,$Y144*($M144*IF('THAM_SO'!$C$22&gt;='THAM_SO'!$B$22,'THAM_SO'!$B$22,0)+'CHAM_CONG_THANG'!$AF144*IF('THAM_SO'!$C$19&gt;='THAM_SO'!$B$19,'THAM_SO'!$B$19,0)+'CHAM_CONG_THANG'!$AG144*IF('THAM_SO'!$C$20&gt;='THAM_SO'!$B$20,'THAM_SO'!$B$20,0)+'CHAM_CONG_THANG'!$AH144*IF('THAM_SO'!$C$21&gt;='THAM_SO'!$B$21,'THAM_SO'!$B$21,0)+'CHAM_CONG_THANG'!$AI144*IF('THAM_SO'!$C$23&gt;='THAM_SO'!$B$23,'THAM_SO'!$B$23,0)+'CHAM_CONG_THANG'!$AJ144*IF('THAM_SO'!$C$24&gt;='THAM_SO'!$B$24,'THAM_SO'!$B$24,0)+'CHAM_CONG_THANG'!$AK144*IF('THAM_SO'!$C$25&gt;='THAM_SO'!$B$25,'THAM_SO'!$B$25,0))-'CHAM_CONG_THANG'!$V144))</f>
        <v/>
      </c>
      <c r="AB144" s="224">
        <f>IF('DM_NHAN_SU'!$B144="","",MAX($Z144-$AA144,0))</f>
        <v/>
      </c>
      <c r="AC144" s="224">
        <f>IF('DM_NHAN_SU'!$B144="","",$O144+$P144+$Q144+$R144+$S144+$V144+$AB144+$BO144+$BP144+$BQ144+$BR144)</f>
        <v/>
      </c>
      <c r="AD144" s="224">
        <f>IF('DM_NHAN_SU'!$B144="","",'DM_NHAN_SU'!N144+'DM_NHAN_SU'!O144+'DM_NHAN_SU'!P144)</f>
        <v/>
      </c>
      <c r="AE144" s="224">
        <f>IF('DM_NHAN_SU'!$B144="","",IF(OR('DM_NHAN_SU'!$R144&lt;&gt;"Có",'CHAM_CONG_THANG'!$AA144="Có",$BL144&gt;=14,$AD144&lt;=0),0,MIN(MAX($AD144,'THAM_SO'!$M$6),'THAM_SO'!$M$7)))</f>
        <v/>
      </c>
      <c r="AF144" s="224">
        <f>IF('DM_NHAN_SU'!$B144="","",IF(OR('DM_NHAN_SU'!$S144&lt;&gt;"Có",'CHAM_CONG_THANG'!$AA144="Có",$BL144&gt;=14,$AD144&lt;=0),0,MIN(MAX($AD144,VLOOKUP($H144,'THAM_SO'!$L$17:$P$20,4,FALSE)),VLOOKUP($H144,'THAM_SO'!$L$17:$P$20,5,FALSE))))</f>
        <v/>
      </c>
      <c r="AG144" s="224">
        <f>IF('DM_NHAN_SU'!$B144="","",$AE144*'THAM_SO'!$M$8)</f>
        <v/>
      </c>
      <c r="AH144" s="224">
        <f>IF('DM_NHAN_SU'!$B144="","",$AE144*'THAM_SO'!$M$9)</f>
        <v/>
      </c>
      <c r="AI144" s="224">
        <f>IF('DM_NHAN_SU'!$B144="","",$AF144*'THAM_SO'!$M$10)</f>
        <v/>
      </c>
      <c r="AJ144" s="224">
        <f>IF('DM_NHAN_SU'!$B144="","",SUM($AG144:$AI144))</f>
        <v/>
      </c>
      <c r="AK144" s="224">
        <f>IF('DM_NHAN_SU'!$B144="","",IF($B144="",0,'THAM_SO'!$F$4))</f>
        <v/>
      </c>
      <c r="AL144" s="224">
        <f>IF('DM_NHAN_SU'!$B144="","",IF($B144="",0,'DM_NHAN_SU'!$T144*'THAM_SO'!$F$5))</f>
        <v/>
      </c>
      <c r="AM144" s="224">
        <f>IF('DM_NHAN_SU'!$B144="","",'CHAM_CONG_THANG'!W144)</f>
        <v/>
      </c>
      <c r="AN144" s="224">
        <f>IF('DM_NHAN_SU'!$B144="","",MAX($AC144-$AK144-$AL144-$AM144,0))</f>
        <v/>
      </c>
      <c r="AO144" s="224">
        <f>IF('DM_NHAN_SU'!$B144="","",IF($B144="","",IF($F144="Net",IF($AC144&lt;=$AK144+$AL144+$AM144,$AC144+$AJ144,$AJ144+$AK144+$AL144+$AM144+IF($AN144&lt;='THAM_SO'!$J$10,($AN144-'THAM_SO'!$I$10)/(1-'THAM_SO'!$H$10),IF($AN144&lt;='THAM_SO'!$J$11,($AN144-'THAM_SO'!$I$11)/(1-'THAM_SO'!$H$11),IF($AN144&lt;='THAM_SO'!$J$12,($AN144-'THAM_SO'!$I$12)/(1-'THAM_SO'!$H$12),IF($AN144&lt;='THAM_SO'!$J$13,($AN144-'THAM_SO'!$I$13)/(1-'THAM_SO'!$H$13),($AN144-'THAM_SO'!$I$14)/(1-'THAM_SO'!$H$14)))))),$AC144)))</f>
        <v/>
      </c>
      <c r="AP144" s="224">
        <f>IF('DM_NHAN_SU'!$B144="","",$U144+$W144+$X144+$AA144+$BS144)</f>
        <v/>
      </c>
      <c r="AQ144" s="224">
        <f>IF('DM_NHAN_SU'!$B144="","",MAX($AO144-$AJ144-$AK144-$AL144-$AM144,0))</f>
        <v/>
      </c>
      <c r="AR144" s="224">
        <f>IF('DM_NHAN_SU'!$B144="","",IF($AQ144&lt;=0,0,$AQ144*VLOOKUP($AQ144,'THAM_SO'!$F$10:$I$14,3,TRUE)-VLOOKUP($AQ144,'THAM_SO'!$F$10:$I$14,4,TRUE)))</f>
        <v/>
      </c>
      <c r="AS144" s="224">
        <f>IF('DM_NHAN_SU'!$B144="","",$AO144+$AP144)</f>
        <v/>
      </c>
      <c r="AT144" s="224">
        <f>IF('DM_NHAN_SU'!$B144="","",$AS144-$AJ144-$AR144)</f>
        <v/>
      </c>
      <c r="AU144" s="224">
        <f>IF('DM_NHAN_SU'!$B144="","",'CHAM_CONG_THANG'!X144)</f>
        <v/>
      </c>
      <c r="AV144" s="224">
        <f>IF('DM_NHAN_SU'!$B144="","",'CHAM_CONG_THANG'!Y144+'QT_NGHI_VIEC'!AD144)</f>
        <v/>
      </c>
      <c r="AW144" s="224">
        <f>IF('DM_NHAN_SU'!$B144="","",'CHAM_CONG_THANG'!Z144)</f>
        <v/>
      </c>
      <c r="AX144" s="224">
        <f>IF('DM_NHAN_SU'!$B144="","",$AT144-$AU144-$AV144-$AW144-$BV144)</f>
        <v/>
      </c>
      <c r="AY144" s="224">
        <f>IF('DM_NHAN_SU'!$B144="","",$AE144*'THAM_SO'!$M$11)</f>
        <v/>
      </c>
      <c r="AZ144" s="224">
        <f>IF('DM_NHAN_SU'!$B144="","",$AE144*'THAM_SO'!$M$12)</f>
        <v/>
      </c>
      <c r="BA144" s="224">
        <f>IF('DM_NHAN_SU'!$B144="","",$AF144*'THAM_SO'!$M$13)</f>
        <v/>
      </c>
      <c r="BB144" s="224">
        <f>IF('DM_NHAN_SU'!$B144="","",$AE144*'THAM_SO'!$M$14)</f>
        <v/>
      </c>
      <c r="BC144" s="224">
        <f>IF('DM_NHAN_SU'!$B144="","",SUM($AY144:$BB144))</f>
        <v/>
      </c>
      <c r="BD144" s="224">
        <f>IF('DM_NHAN_SU'!$B144="","",$AS144+$BC144)</f>
        <v/>
      </c>
      <c r="BE144" s="224">
        <f>IF('DM_NHAN_SU'!$B144="","",VLOOKUP($H144,'THAM_SO'!$L$17:$P$20,2,FALSE))</f>
        <v/>
      </c>
      <c r="BF144" s="224">
        <f>IF('DM_NHAN_SU'!$B144="","",VLOOKUP($H144,'THAM_SO'!$L$17:$P$20,3,FALSE))</f>
        <v/>
      </c>
      <c r="BG144" s="150">
        <f>IF('DM_NHAN_SU'!$B144="","",IF($B144="","",IF(COUNTIF('DM_NHAN_SU'!$B$6:$B$155,$B144)&gt;1,"Trùng mã NV; ","")&amp;IF(OR($F144="",$G144=""),"Thiếu loại/hình thức lương; ","")&amp;IF('CHAM_CONG_THANG'!$D144="","Chưa chọn nguồn công; ","")&amp;IF(AND('CHAM_CONG_THANG'!$D144="Theo ngày",COUNTIF('CHAM_CONG_NGAY'!$B$6:$B$4655,$B144)=0),"Chưa có chấm công ngày; ","")&amp;IF(OR($I144&lt;=0,$J144&lt;=0),"Thiếu công/giờ chuẩn; ","")&amp;IF(AND($G144="Tháng",'DM_NHAN_SU'!$K144&lt;$BE144),"Lương tháng dưới tối thiểu vùng; ","")&amp;IF(AND($G144="Ngày",'DM_NHAN_SU'!$K144/$J144&lt;$BF144),"Lương ngày quy đổi dưới tối thiểu giờ; ","")&amp;IF(AND($G144="Giờ",'DM_NHAN_SU'!$K144&lt;$BF144),"Lương giờ dưới tối thiểu vùng; ","")&amp;IF(AND($G144="Sản phẩm",$L144&gt;0,$O144/$L144&lt;$BF144),"Lương SP quy đổi dưới tối thiểu giờ; ","")&amp;IF(OR('THAM_SO'!$C$19&lt;'THAM_SO'!$B$19,'THAM_SO'!$C$20&lt;'THAM_SO'!$B$20,'THAM_SO'!$C$21&lt;'THAM_SO'!$B$21,'THAM_SO'!$C$22&lt;'THAM_SO'!$B$22,'THAM_SO'!$C$23&lt;'THAM_SO'!$B$23,'THAM_SO'!$C$24&lt;'THAM_SO'!$B$24,'THAM_SO'!$C$25&lt;'THAM_SO'!$B$25),"Hệ số OT/đêm DN thấp hơn luật; ","")&amp;IF(AND('DM_NHAN_SU'!$R144="Có",$AD144&lt;=0),"Thiếu căn cứ đóng BH; ","")&amp;IF(AND($AD144&gt;0,$AD144&lt;'THAM_SO'!$M$6),"Căn cứ BH dưới sàn – đã nâng sàn; ","")&amp;IF($AD144&gt;'THAM_SO'!$M$7,"Căn cứ BH vượt trần – đã giới hạn; ","")&amp;IF(AND($F144="Net",SUM('CHAM_CONG_THANG'!$AF144:$AK144)&gt;0,'DM_NHAN_SU'!$Q144&lt;=0),"Net có OT nhưng chưa khai lương giờ OT; ","")&amp;IF('CHAM_CONG_THANG'!$V144&gt;$Z144,"Phần OT không miễn lớn hơn tiền OT; ","")&amp;IF(AND($F144="Net",ABS($AT144-$AC144-$AP144)&gt;1),"Lệch quy đổi Net; ","")&amp;IF(AND($BH144&gt;0,'DM_NHAN_SU'!$AD144=""),"Có phép năm nhưng đang tạm dùng 12 ngày; ","")&amp;IF(AND($G144="Sản phẩm",SUM($BH144:$BJ144)&gt;0,'DM_NHAN_SU'!$AH144&lt;=0),"Lương sản phẩm thiếu đơn giá ngày phép/lễ; ","")&amp;IF(AND($BL144&gt;=14,'CHAM_CONG_THANG'!$AA144&lt;&gt;"Có"),"Thai sản từ 14 ngày: file tự dừng đóng BH – kiểm tra hồ sơ; ","")&amp;IF(AND('DM_NHAN_SU'!$AA144="Có",'DM_NHAN_SU'!$AB144=""),"Đoàn viên chưa chọn cách tính đoàn phí; ","")&amp;IF(AND('DM_NHAN_SU'!$AB144="Nhập tay",'DM_NHAN_SU'!$AC144&gt;'THAM_SO'!$M$26),"Đoàn phí nhập tay vượt trần thông dụng; ","")&amp;IF('NGHI_PHEP'!$L144&lt;&gt;"","Phép: "&amp;'NGHI_PHEP'!$L144,"")&amp;IF('CHE_DO_BHXH'!$AA144&lt;&gt;"","BHXH: "&amp;'CHE_DO_BHXH'!$AA144,"")&amp;IF('THUONG_T13_TET'!$O144&lt;&gt;"","Thưởng: "&amp;'THUONG_T13_TET'!$O144,"")&amp;IF('QT_NGHI_VIEC'!$AF144&lt;&gt;"","Nghỉ việc: "&amp;'QT_NGHI_VIEC'!$AF144,"")&amp;IF($AX144&lt;0,"Thực lĩnh âm; ","")&amp;IF(OR('DM_NHAN_SU'!$F144&gt;'THAM_SO'!$B$7,AND('DM_NHAN_SU'!$G144&lt;&gt;"",'DM_NHAN_SU'!$G144&lt;'THAM_SO'!$B$6)),"Ngoài kỳ trả lương; ","")))</f>
        <v/>
      </c>
      <c r="BH144" s="232">
        <f>IF('DM_NHAN_SU'!$B144="","",'CHAM_CONG_THANG'!AR144)</f>
        <v/>
      </c>
      <c r="BI144" s="232">
        <f>IF('DM_NHAN_SU'!$B144="","",'CHAM_CONG_THANG'!AS144)</f>
        <v/>
      </c>
      <c r="BJ144" s="232">
        <f>IF('DM_NHAN_SU'!$B144="","",'CHAM_CONG_THANG'!AT144)</f>
        <v/>
      </c>
      <c r="BK144" s="232">
        <f>IF('DM_NHAN_SU'!$B144="","",'CHAM_CONG_THANG'!AU144)</f>
        <v/>
      </c>
      <c r="BL144" s="232">
        <f>IF('DM_NHAN_SU'!$B144="","",'CHAM_CONG_THANG'!AV144)</f>
        <v/>
      </c>
      <c r="BM144" s="232">
        <f>IF('DM_NHAN_SU'!$B144="","",'CHAM_CONG_THANG'!AW144)</f>
        <v/>
      </c>
      <c r="BN144" s="232">
        <f>IF('DM_NHAN_SU'!$B144="","",SUM($K144,$BH144:$BJ144))</f>
        <v/>
      </c>
      <c r="BO144" s="224">
        <f>IF('DM_NHAN_SU'!$B144="","",IF($B144="",0,IF($G144="Tháng",IF($I144&gt;0,'DM_NHAN_SU'!$K144*MIN($BH144+$BJ144,MAX($I144-$K144,0))/$I144,0),IF($G144="Ngày",'DM_NHAN_SU'!$K144*SUM($BH144:$BJ144),IF($G144="Giờ",'DM_NHAN_SU'!$K144*SUM($BH144:$BJ144)*$J144,IF($G144="Sản phẩm",'DM_NHAN_SU'!$AH144*SUM($BH144:$BJ144),0))))))</f>
        <v/>
      </c>
      <c r="BP144" s="224">
        <f>IF('DM_NHAN_SU'!$B144="","",IF('THUONG_T13_TET'!$L144="Có",'THUONG_T13_TET'!$I144,0))</f>
        <v/>
      </c>
      <c r="BQ144" s="224">
        <f>IF('DM_NHAN_SU'!$B144="","",IF('THUONG_T13_TET'!$L144="Có",SUM('THUONG_T13_TET'!$J144:$K144),0))</f>
        <v/>
      </c>
      <c r="BR144" s="224">
        <f>IF('DM_NHAN_SU'!$B144="","",'QT_NGHI_VIEC'!AC144)</f>
        <v/>
      </c>
      <c r="BS144" s="224">
        <f>IF('DM_NHAN_SU'!$B144="","",'QT_NGHI_VIEC'!AB144)</f>
        <v/>
      </c>
      <c r="BT144" s="224">
        <f>IF('DM_NHAN_SU'!$B144="","",IF('CHE_DO_BHXH'!$Z144="Có",'CHE_DO_BHXH'!$W144,0))</f>
        <v/>
      </c>
      <c r="BU144" s="224">
        <f>IF('DM_NHAN_SU'!$B144="","",IF('CHE_DO_BHXH'!$Y144="DN trả thay",$BT144,0))</f>
        <v/>
      </c>
      <c r="BV144" s="224">
        <f>IF('DM_NHAN_SU'!$B144="","",IF(OR('DM_NHAN_SU'!$AA144&lt;&gt;"Có",'CHE_DO_BHXH'!$O144&gt;=1,SUM('CHE_DO_BHXH'!$D144,'CHE_DO_BHXH'!$G144,'CHE_DO_BHXH'!$K144)&gt;=24,AND($I144&gt;0,$BM144&gt;=$I144)),0,IF('DM_NHAN_SU'!$AB144="Không",0,IF('DM_NHAN_SU'!$AB144="Nhập tay",'DM_NHAN_SU'!$AC144,IF('DM_NHAN_SU'!$AB144="Theo thực nhận",MIN(MAX($AT144-$AU144-$AV144-$AW144,0)*'THAM_SO'!$M$23,'THAM_SO'!$M$26),MIN($AE144*'THAM_SO'!$M$23,'THAM_SO'!$M$26))))))</f>
        <v/>
      </c>
      <c r="BW144" s="224">
        <f>IF('DM_NHAN_SU'!$B144="","",$AX144+$BU144)</f>
        <v/>
      </c>
    </row>
    <row r="145">
      <c r="A145" s="145">
        <f>IF('DM_NHAN_SU'!$B145="","",IF($B145="","",ROW()-5))</f>
        <v/>
      </c>
      <c r="B145" s="145">
        <f>IF('DM_NHAN_SU'!$B145="","",'DM_NHAN_SU'!B145)</f>
        <v/>
      </c>
      <c r="C145" s="145">
        <f>IF('DM_NHAN_SU'!$B145="","",'DM_NHAN_SU'!C145)</f>
        <v/>
      </c>
      <c r="D145" s="145">
        <f>IF('DM_NHAN_SU'!$B145="","",'DM_NHAN_SU'!D145)</f>
        <v/>
      </c>
      <c r="E145" s="145">
        <f>IF('DM_NHAN_SU'!$B145="","",'DM_NHAN_SU'!E145)</f>
        <v/>
      </c>
      <c r="F145" s="145">
        <f>IF('DM_NHAN_SU'!$B145="","",'DM_NHAN_SU'!I145)</f>
        <v/>
      </c>
      <c r="G145" s="145">
        <f>IF('DM_NHAN_SU'!$B145="","",'DM_NHAN_SU'!J145)</f>
        <v/>
      </c>
      <c r="H145" s="145">
        <f>IF('DM_NHAN_SU'!$B145="","",IF('DM_NHAN_SU'!H145="",'THAM_SO'!$B$11,'DM_NHAN_SU'!H145))</f>
        <v/>
      </c>
      <c r="I145" s="232">
        <f>IF('DM_NHAN_SU'!$B145="","",IF('DM_NHAN_SU'!L145&gt;0,'DM_NHAN_SU'!L145,'THAM_SO'!$B$9))</f>
        <v/>
      </c>
      <c r="J145" s="232">
        <f>IF('DM_NHAN_SU'!$B145="","",IF('DM_NHAN_SU'!M145&gt;0,'DM_NHAN_SU'!M145,'THAM_SO'!$B$10))</f>
        <v/>
      </c>
      <c r="K145" s="232">
        <f>IF('DM_NHAN_SU'!$B145="","",'CHAM_CONG_THANG'!AC145)</f>
        <v/>
      </c>
      <c r="L145" s="232">
        <f>IF('DM_NHAN_SU'!$B145="","",'CHAM_CONG_THANG'!AD145)</f>
        <v/>
      </c>
      <c r="M145" s="232">
        <f>IF('DM_NHAN_SU'!$B145="","",'CHAM_CONG_THANG'!AE145)</f>
        <v/>
      </c>
      <c r="N145" s="232">
        <f>IF('DM_NHAN_SU'!$B145="","",'CHAM_CONG_THANG'!N145)</f>
        <v/>
      </c>
      <c r="O145" s="224">
        <f>IF('DM_NHAN_SU'!$B145="","",IF($B145="","",IF($G145="Tháng",IF($I145&gt;0,'DM_NHAN_SU'!$K145*MIN($K145,$I145)/$I145,0),IF($G145="Ngày",'DM_NHAN_SU'!$K145*$K145,IF($G145="Giờ",'DM_NHAN_SU'!$K145*$L145,IF($G145="Sản phẩm",'DM_NHAN_SU'!$K145*$N145,0))))))</f>
        <v/>
      </c>
      <c r="P145" s="224">
        <f>IF('DM_NHAN_SU'!$B145="","",'CHAM_CONG_THANG'!O145)</f>
        <v/>
      </c>
      <c r="Q145" s="224">
        <f>IF('DM_NHAN_SU'!$B145="","",'CHAM_CONG_THANG'!P145)</f>
        <v/>
      </c>
      <c r="R145" s="224">
        <f>IF('DM_NHAN_SU'!$B145="","",'CHAM_CONG_THANG'!Q145)</f>
        <v/>
      </c>
      <c r="S145" s="224">
        <f>IF('DM_NHAN_SU'!$B145="","",'CHAM_CONG_THANG'!R145)</f>
        <v/>
      </c>
      <c r="T145" s="224">
        <f>IF('DM_NHAN_SU'!$B145="","",'CHAM_CONG_THANG'!S145)</f>
        <v/>
      </c>
      <c r="U145" s="224">
        <f>IF('DM_NHAN_SU'!$B145="","",MIN($T145,'THAM_SO'!$F$6))</f>
        <v/>
      </c>
      <c r="V145" s="224">
        <f>IF('DM_NHAN_SU'!$B145="","",MAX($T145-$U145,0))</f>
        <v/>
      </c>
      <c r="W145" s="224">
        <f>IF('DM_NHAN_SU'!$B145="","",'CHAM_CONG_THANG'!T145)</f>
        <v/>
      </c>
      <c r="X145" s="224">
        <f>IF('DM_NHAN_SU'!$B145="","",'CHAM_CONG_THANG'!U145)</f>
        <v/>
      </c>
      <c r="Y145" s="224">
        <f>IF('DM_NHAN_SU'!$B145="","",IF($B145="",0,IF('DM_NHAN_SU'!$Q145&gt;0,'DM_NHAN_SU'!$Q145,IF($G145="Tháng",IF($I145*$J145&gt;0,'DM_NHAN_SU'!$K145/($I145*$J145),0),IF($G145="Ngày",IF($J145&gt;0,'DM_NHAN_SU'!$K145/$J145,0),IF($G145="Giờ",'DM_NHAN_SU'!$K145,0))))))</f>
        <v/>
      </c>
      <c r="Z145" s="224">
        <f>IF('DM_NHAN_SU'!$B145="","",$Y145*($M145*'THAM_SO'!$C$22+'CHAM_CONG_THANG'!$AF145*'THAM_SO'!$C$19+'CHAM_CONG_THANG'!$AG145*'THAM_SO'!$C$20+'CHAM_CONG_THANG'!$AH145*'THAM_SO'!$C$21+'CHAM_CONG_THANG'!$AI145*'THAM_SO'!$C$23+'CHAM_CONG_THANG'!$AJ145*'THAM_SO'!$C$24+'CHAM_CONG_THANG'!$AK145*'THAM_SO'!$C$25))</f>
        <v/>
      </c>
      <c r="AA145" s="224">
        <f>IF('DM_NHAN_SU'!$B145="","",MAX(0,$Y145*($M145*IF('THAM_SO'!$C$22&gt;='THAM_SO'!$B$22,'THAM_SO'!$B$22,0)+'CHAM_CONG_THANG'!$AF145*IF('THAM_SO'!$C$19&gt;='THAM_SO'!$B$19,'THAM_SO'!$B$19,0)+'CHAM_CONG_THANG'!$AG145*IF('THAM_SO'!$C$20&gt;='THAM_SO'!$B$20,'THAM_SO'!$B$20,0)+'CHAM_CONG_THANG'!$AH145*IF('THAM_SO'!$C$21&gt;='THAM_SO'!$B$21,'THAM_SO'!$B$21,0)+'CHAM_CONG_THANG'!$AI145*IF('THAM_SO'!$C$23&gt;='THAM_SO'!$B$23,'THAM_SO'!$B$23,0)+'CHAM_CONG_THANG'!$AJ145*IF('THAM_SO'!$C$24&gt;='THAM_SO'!$B$24,'THAM_SO'!$B$24,0)+'CHAM_CONG_THANG'!$AK145*IF('THAM_SO'!$C$25&gt;='THAM_SO'!$B$25,'THAM_SO'!$B$25,0))-'CHAM_CONG_THANG'!$V145))</f>
        <v/>
      </c>
      <c r="AB145" s="224">
        <f>IF('DM_NHAN_SU'!$B145="","",MAX($Z145-$AA145,0))</f>
        <v/>
      </c>
      <c r="AC145" s="224">
        <f>IF('DM_NHAN_SU'!$B145="","",$O145+$P145+$Q145+$R145+$S145+$V145+$AB145+$BO145+$BP145+$BQ145+$BR145)</f>
        <v/>
      </c>
      <c r="AD145" s="224">
        <f>IF('DM_NHAN_SU'!$B145="","",'DM_NHAN_SU'!N145+'DM_NHAN_SU'!O145+'DM_NHAN_SU'!P145)</f>
        <v/>
      </c>
      <c r="AE145" s="224">
        <f>IF('DM_NHAN_SU'!$B145="","",IF(OR('DM_NHAN_SU'!$R145&lt;&gt;"Có",'CHAM_CONG_THANG'!$AA145="Có",$BL145&gt;=14,$AD145&lt;=0),0,MIN(MAX($AD145,'THAM_SO'!$M$6),'THAM_SO'!$M$7)))</f>
        <v/>
      </c>
      <c r="AF145" s="224">
        <f>IF('DM_NHAN_SU'!$B145="","",IF(OR('DM_NHAN_SU'!$S145&lt;&gt;"Có",'CHAM_CONG_THANG'!$AA145="Có",$BL145&gt;=14,$AD145&lt;=0),0,MIN(MAX($AD145,VLOOKUP($H145,'THAM_SO'!$L$17:$P$20,4,FALSE)),VLOOKUP($H145,'THAM_SO'!$L$17:$P$20,5,FALSE))))</f>
        <v/>
      </c>
      <c r="AG145" s="224">
        <f>IF('DM_NHAN_SU'!$B145="","",$AE145*'THAM_SO'!$M$8)</f>
        <v/>
      </c>
      <c r="AH145" s="224">
        <f>IF('DM_NHAN_SU'!$B145="","",$AE145*'THAM_SO'!$M$9)</f>
        <v/>
      </c>
      <c r="AI145" s="224">
        <f>IF('DM_NHAN_SU'!$B145="","",$AF145*'THAM_SO'!$M$10)</f>
        <v/>
      </c>
      <c r="AJ145" s="224">
        <f>IF('DM_NHAN_SU'!$B145="","",SUM($AG145:$AI145))</f>
        <v/>
      </c>
      <c r="AK145" s="224">
        <f>IF('DM_NHAN_SU'!$B145="","",IF($B145="",0,'THAM_SO'!$F$4))</f>
        <v/>
      </c>
      <c r="AL145" s="224">
        <f>IF('DM_NHAN_SU'!$B145="","",IF($B145="",0,'DM_NHAN_SU'!$T145*'THAM_SO'!$F$5))</f>
        <v/>
      </c>
      <c r="AM145" s="224">
        <f>IF('DM_NHAN_SU'!$B145="","",'CHAM_CONG_THANG'!W145)</f>
        <v/>
      </c>
      <c r="AN145" s="224">
        <f>IF('DM_NHAN_SU'!$B145="","",MAX($AC145-$AK145-$AL145-$AM145,0))</f>
        <v/>
      </c>
      <c r="AO145" s="224">
        <f>IF('DM_NHAN_SU'!$B145="","",IF($B145="","",IF($F145="Net",IF($AC145&lt;=$AK145+$AL145+$AM145,$AC145+$AJ145,$AJ145+$AK145+$AL145+$AM145+IF($AN145&lt;='THAM_SO'!$J$10,($AN145-'THAM_SO'!$I$10)/(1-'THAM_SO'!$H$10),IF($AN145&lt;='THAM_SO'!$J$11,($AN145-'THAM_SO'!$I$11)/(1-'THAM_SO'!$H$11),IF($AN145&lt;='THAM_SO'!$J$12,($AN145-'THAM_SO'!$I$12)/(1-'THAM_SO'!$H$12),IF($AN145&lt;='THAM_SO'!$J$13,($AN145-'THAM_SO'!$I$13)/(1-'THAM_SO'!$H$13),($AN145-'THAM_SO'!$I$14)/(1-'THAM_SO'!$H$14)))))),$AC145)))</f>
        <v/>
      </c>
      <c r="AP145" s="224">
        <f>IF('DM_NHAN_SU'!$B145="","",$U145+$W145+$X145+$AA145+$BS145)</f>
        <v/>
      </c>
      <c r="AQ145" s="224">
        <f>IF('DM_NHAN_SU'!$B145="","",MAX($AO145-$AJ145-$AK145-$AL145-$AM145,0))</f>
        <v/>
      </c>
      <c r="AR145" s="224">
        <f>IF('DM_NHAN_SU'!$B145="","",IF($AQ145&lt;=0,0,$AQ145*VLOOKUP($AQ145,'THAM_SO'!$F$10:$I$14,3,TRUE)-VLOOKUP($AQ145,'THAM_SO'!$F$10:$I$14,4,TRUE)))</f>
        <v/>
      </c>
      <c r="AS145" s="224">
        <f>IF('DM_NHAN_SU'!$B145="","",$AO145+$AP145)</f>
        <v/>
      </c>
      <c r="AT145" s="224">
        <f>IF('DM_NHAN_SU'!$B145="","",$AS145-$AJ145-$AR145)</f>
        <v/>
      </c>
      <c r="AU145" s="224">
        <f>IF('DM_NHAN_SU'!$B145="","",'CHAM_CONG_THANG'!X145)</f>
        <v/>
      </c>
      <c r="AV145" s="224">
        <f>IF('DM_NHAN_SU'!$B145="","",'CHAM_CONG_THANG'!Y145+'QT_NGHI_VIEC'!AD145)</f>
        <v/>
      </c>
      <c r="AW145" s="224">
        <f>IF('DM_NHAN_SU'!$B145="","",'CHAM_CONG_THANG'!Z145)</f>
        <v/>
      </c>
      <c r="AX145" s="224">
        <f>IF('DM_NHAN_SU'!$B145="","",$AT145-$AU145-$AV145-$AW145-$BV145)</f>
        <v/>
      </c>
      <c r="AY145" s="224">
        <f>IF('DM_NHAN_SU'!$B145="","",$AE145*'THAM_SO'!$M$11)</f>
        <v/>
      </c>
      <c r="AZ145" s="224">
        <f>IF('DM_NHAN_SU'!$B145="","",$AE145*'THAM_SO'!$M$12)</f>
        <v/>
      </c>
      <c r="BA145" s="224">
        <f>IF('DM_NHAN_SU'!$B145="","",$AF145*'THAM_SO'!$M$13)</f>
        <v/>
      </c>
      <c r="BB145" s="224">
        <f>IF('DM_NHAN_SU'!$B145="","",$AE145*'THAM_SO'!$M$14)</f>
        <v/>
      </c>
      <c r="BC145" s="224">
        <f>IF('DM_NHAN_SU'!$B145="","",SUM($AY145:$BB145))</f>
        <v/>
      </c>
      <c r="BD145" s="224">
        <f>IF('DM_NHAN_SU'!$B145="","",$AS145+$BC145)</f>
        <v/>
      </c>
      <c r="BE145" s="224">
        <f>IF('DM_NHAN_SU'!$B145="","",VLOOKUP($H145,'THAM_SO'!$L$17:$P$20,2,FALSE))</f>
        <v/>
      </c>
      <c r="BF145" s="224">
        <f>IF('DM_NHAN_SU'!$B145="","",VLOOKUP($H145,'THAM_SO'!$L$17:$P$20,3,FALSE))</f>
        <v/>
      </c>
      <c r="BG145" s="150">
        <f>IF('DM_NHAN_SU'!$B145="","",IF($B145="","",IF(COUNTIF('DM_NHAN_SU'!$B$6:$B$155,$B145)&gt;1,"Trùng mã NV; ","")&amp;IF(OR($F145="",$G145=""),"Thiếu loại/hình thức lương; ","")&amp;IF('CHAM_CONG_THANG'!$D145="","Chưa chọn nguồn công; ","")&amp;IF(AND('CHAM_CONG_THANG'!$D145="Theo ngày",COUNTIF('CHAM_CONG_NGAY'!$B$6:$B$4655,$B145)=0),"Chưa có chấm công ngày; ","")&amp;IF(OR($I145&lt;=0,$J145&lt;=0),"Thiếu công/giờ chuẩn; ","")&amp;IF(AND($G145="Tháng",'DM_NHAN_SU'!$K145&lt;$BE145),"Lương tháng dưới tối thiểu vùng; ","")&amp;IF(AND($G145="Ngày",'DM_NHAN_SU'!$K145/$J145&lt;$BF145),"Lương ngày quy đổi dưới tối thiểu giờ; ","")&amp;IF(AND($G145="Giờ",'DM_NHAN_SU'!$K145&lt;$BF145),"Lương giờ dưới tối thiểu vùng; ","")&amp;IF(AND($G145="Sản phẩm",$L145&gt;0,$O145/$L145&lt;$BF145),"Lương SP quy đổi dưới tối thiểu giờ; ","")&amp;IF(OR('THAM_SO'!$C$19&lt;'THAM_SO'!$B$19,'THAM_SO'!$C$20&lt;'THAM_SO'!$B$20,'THAM_SO'!$C$21&lt;'THAM_SO'!$B$21,'THAM_SO'!$C$22&lt;'THAM_SO'!$B$22,'THAM_SO'!$C$23&lt;'THAM_SO'!$B$23,'THAM_SO'!$C$24&lt;'THAM_SO'!$B$24,'THAM_SO'!$C$25&lt;'THAM_SO'!$B$25),"Hệ số OT/đêm DN thấp hơn luật; ","")&amp;IF(AND('DM_NHAN_SU'!$R145="Có",$AD145&lt;=0),"Thiếu căn cứ đóng BH; ","")&amp;IF(AND($AD145&gt;0,$AD145&lt;'THAM_SO'!$M$6),"Căn cứ BH dưới sàn – đã nâng sàn; ","")&amp;IF($AD145&gt;'THAM_SO'!$M$7,"Căn cứ BH vượt trần – đã giới hạn; ","")&amp;IF(AND($F145="Net",SUM('CHAM_CONG_THANG'!$AF145:$AK145)&gt;0,'DM_NHAN_SU'!$Q145&lt;=0),"Net có OT nhưng chưa khai lương giờ OT; ","")&amp;IF('CHAM_CONG_THANG'!$V145&gt;$Z145,"Phần OT không miễn lớn hơn tiền OT; ","")&amp;IF(AND($F145="Net",ABS($AT145-$AC145-$AP145)&gt;1),"Lệch quy đổi Net; ","")&amp;IF(AND($BH145&gt;0,'DM_NHAN_SU'!$AD145=""),"Có phép năm nhưng đang tạm dùng 12 ngày; ","")&amp;IF(AND($G145="Sản phẩm",SUM($BH145:$BJ145)&gt;0,'DM_NHAN_SU'!$AH145&lt;=0),"Lương sản phẩm thiếu đơn giá ngày phép/lễ; ","")&amp;IF(AND($BL145&gt;=14,'CHAM_CONG_THANG'!$AA145&lt;&gt;"Có"),"Thai sản từ 14 ngày: file tự dừng đóng BH – kiểm tra hồ sơ; ","")&amp;IF(AND('DM_NHAN_SU'!$AA145="Có",'DM_NHAN_SU'!$AB145=""),"Đoàn viên chưa chọn cách tính đoàn phí; ","")&amp;IF(AND('DM_NHAN_SU'!$AB145="Nhập tay",'DM_NHAN_SU'!$AC145&gt;'THAM_SO'!$M$26),"Đoàn phí nhập tay vượt trần thông dụng; ","")&amp;IF('NGHI_PHEP'!$L145&lt;&gt;"","Phép: "&amp;'NGHI_PHEP'!$L145,"")&amp;IF('CHE_DO_BHXH'!$AA145&lt;&gt;"","BHXH: "&amp;'CHE_DO_BHXH'!$AA145,"")&amp;IF('THUONG_T13_TET'!$O145&lt;&gt;"","Thưởng: "&amp;'THUONG_T13_TET'!$O145,"")&amp;IF('QT_NGHI_VIEC'!$AF145&lt;&gt;"","Nghỉ việc: "&amp;'QT_NGHI_VIEC'!$AF145,"")&amp;IF($AX145&lt;0,"Thực lĩnh âm; ","")&amp;IF(OR('DM_NHAN_SU'!$F145&gt;'THAM_SO'!$B$7,AND('DM_NHAN_SU'!$G145&lt;&gt;"",'DM_NHAN_SU'!$G145&lt;'THAM_SO'!$B$6)),"Ngoài kỳ trả lương; ","")))</f>
        <v/>
      </c>
      <c r="BH145" s="232">
        <f>IF('DM_NHAN_SU'!$B145="","",'CHAM_CONG_THANG'!AR145)</f>
        <v/>
      </c>
      <c r="BI145" s="232">
        <f>IF('DM_NHAN_SU'!$B145="","",'CHAM_CONG_THANG'!AS145)</f>
        <v/>
      </c>
      <c r="BJ145" s="232">
        <f>IF('DM_NHAN_SU'!$B145="","",'CHAM_CONG_THANG'!AT145)</f>
        <v/>
      </c>
      <c r="BK145" s="232">
        <f>IF('DM_NHAN_SU'!$B145="","",'CHAM_CONG_THANG'!AU145)</f>
        <v/>
      </c>
      <c r="BL145" s="232">
        <f>IF('DM_NHAN_SU'!$B145="","",'CHAM_CONG_THANG'!AV145)</f>
        <v/>
      </c>
      <c r="BM145" s="232">
        <f>IF('DM_NHAN_SU'!$B145="","",'CHAM_CONG_THANG'!AW145)</f>
        <v/>
      </c>
      <c r="BN145" s="232">
        <f>IF('DM_NHAN_SU'!$B145="","",SUM($K145,$BH145:$BJ145))</f>
        <v/>
      </c>
      <c r="BO145" s="224">
        <f>IF('DM_NHAN_SU'!$B145="","",IF($B145="",0,IF($G145="Tháng",IF($I145&gt;0,'DM_NHAN_SU'!$K145*MIN($BH145+$BJ145,MAX($I145-$K145,0))/$I145,0),IF($G145="Ngày",'DM_NHAN_SU'!$K145*SUM($BH145:$BJ145),IF($G145="Giờ",'DM_NHAN_SU'!$K145*SUM($BH145:$BJ145)*$J145,IF($G145="Sản phẩm",'DM_NHAN_SU'!$AH145*SUM($BH145:$BJ145),0))))))</f>
        <v/>
      </c>
      <c r="BP145" s="224">
        <f>IF('DM_NHAN_SU'!$B145="","",IF('THUONG_T13_TET'!$L145="Có",'THUONG_T13_TET'!$I145,0))</f>
        <v/>
      </c>
      <c r="BQ145" s="224">
        <f>IF('DM_NHAN_SU'!$B145="","",IF('THUONG_T13_TET'!$L145="Có",SUM('THUONG_T13_TET'!$J145:$K145),0))</f>
        <v/>
      </c>
      <c r="BR145" s="224">
        <f>IF('DM_NHAN_SU'!$B145="","",'QT_NGHI_VIEC'!AC145)</f>
        <v/>
      </c>
      <c r="BS145" s="224">
        <f>IF('DM_NHAN_SU'!$B145="","",'QT_NGHI_VIEC'!AB145)</f>
        <v/>
      </c>
      <c r="BT145" s="224">
        <f>IF('DM_NHAN_SU'!$B145="","",IF('CHE_DO_BHXH'!$Z145="Có",'CHE_DO_BHXH'!$W145,0))</f>
        <v/>
      </c>
      <c r="BU145" s="224">
        <f>IF('DM_NHAN_SU'!$B145="","",IF('CHE_DO_BHXH'!$Y145="DN trả thay",$BT145,0))</f>
        <v/>
      </c>
      <c r="BV145" s="224">
        <f>IF('DM_NHAN_SU'!$B145="","",IF(OR('DM_NHAN_SU'!$AA145&lt;&gt;"Có",'CHE_DO_BHXH'!$O145&gt;=1,SUM('CHE_DO_BHXH'!$D145,'CHE_DO_BHXH'!$G145,'CHE_DO_BHXH'!$K145)&gt;=24,AND($I145&gt;0,$BM145&gt;=$I145)),0,IF('DM_NHAN_SU'!$AB145="Không",0,IF('DM_NHAN_SU'!$AB145="Nhập tay",'DM_NHAN_SU'!$AC145,IF('DM_NHAN_SU'!$AB145="Theo thực nhận",MIN(MAX($AT145-$AU145-$AV145-$AW145,0)*'THAM_SO'!$M$23,'THAM_SO'!$M$26),MIN($AE145*'THAM_SO'!$M$23,'THAM_SO'!$M$26))))))</f>
        <v/>
      </c>
      <c r="BW145" s="224">
        <f>IF('DM_NHAN_SU'!$B145="","",$AX145+$BU145)</f>
        <v/>
      </c>
    </row>
    <row r="146">
      <c r="A146" s="145">
        <f>IF('DM_NHAN_SU'!$B146="","",IF($B146="","",ROW()-5))</f>
        <v/>
      </c>
      <c r="B146" s="145">
        <f>IF('DM_NHAN_SU'!$B146="","",'DM_NHAN_SU'!B146)</f>
        <v/>
      </c>
      <c r="C146" s="145">
        <f>IF('DM_NHAN_SU'!$B146="","",'DM_NHAN_SU'!C146)</f>
        <v/>
      </c>
      <c r="D146" s="145">
        <f>IF('DM_NHAN_SU'!$B146="","",'DM_NHAN_SU'!D146)</f>
        <v/>
      </c>
      <c r="E146" s="145">
        <f>IF('DM_NHAN_SU'!$B146="","",'DM_NHAN_SU'!E146)</f>
        <v/>
      </c>
      <c r="F146" s="145">
        <f>IF('DM_NHAN_SU'!$B146="","",'DM_NHAN_SU'!I146)</f>
        <v/>
      </c>
      <c r="G146" s="145">
        <f>IF('DM_NHAN_SU'!$B146="","",'DM_NHAN_SU'!J146)</f>
        <v/>
      </c>
      <c r="H146" s="145">
        <f>IF('DM_NHAN_SU'!$B146="","",IF('DM_NHAN_SU'!H146="",'THAM_SO'!$B$11,'DM_NHAN_SU'!H146))</f>
        <v/>
      </c>
      <c r="I146" s="232">
        <f>IF('DM_NHAN_SU'!$B146="","",IF('DM_NHAN_SU'!L146&gt;0,'DM_NHAN_SU'!L146,'THAM_SO'!$B$9))</f>
        <v/>
      </c>
      <c r="J146" s="232">
        <f>IF('DM_NHAN_SU'!$B146="","",IF('DM_NHAN_SU'!M146&gt;0,'DM_NHAN_SU'!M146,'THAM_SO'!$B$10))</f>
        <v/>
      </c>
      <c r="K146" s="232">
        <f>IF('DM_NHAN_SU'!$B146="","",'CHAM_CONG_THANG'!AC146)</f>
        <v/>
      </c>
      <c r="L146" s="232">
        <f>IF('DM_NHAN_SU'!$B146="","",'CHAM_CONG_THANG'!AD146)</f>
        <v/>
      </c>
      <c r="M146" s="232">
        <f>IF('DM_NHAN_SU'!$B146="","",'CHAM_CONG_THANG'!AE146)</f>
        <v/>
      </c>
      <c r="N146" s="232">
        <f>IF('DM_NHAN_SU'!$B146="","",'CHAM_CONG_THANG'!N146)</f>
        <v/>
      </c>
      <c r="O146" s="224">
        <f>IF('DM_NHAN_SU'!$B146="","",IF($B146="","",IF($G146="Tháng",IF($I146&gt;0,'DM_NHAN_SU'!$K146*MIN($K146,$I146)/$I146,0),IF($G146="Ngày",'DM_NHAN_SU'!$K146*$K146,IF($G146="Giờ",'DM_NHAN_SU'!$K146*$L146,IF($G146="Sản phẩm",'DM_NHAN_SU'!$K146*$N146,0))))))</f>
        <v/>
      </c>
      <c r="P146" s="224">
        <f>IF('DM_NHAN_SU'!$B146="","",'CHAM_CONG_THANG'!O146)</f>
        <v/>
      </c>
      <c r="Q146" s="224">
        <f>IF('DM_NHAN_SU'!$B146="","",'CHAM_CONG_THANG'!P146)</f>
        <v/>
      </c>
      <c r="R146" s="224">
        <f>IF('DM_NHAN_SU'!$B146="","",'CHAM_CONG_THANG'!Q146)</f>
        <v/>
      </c>
      <c r="S146" s="224">
        <f>IF('DM_NHAN_SU'!$B146="","",'CHAM_CONG_THANG'!R146)</f>
        <v/>
      </c>
      <c r="T146" s="224">
        <f>IF('DM_NHAN_SU'!$B146="","",'CHAM_CONG_THANG'!S146)</f>
        <v/>
      </c>
      <c r="U146" s="224">
        <f>IF('DM_NHAN_SU'!$B146="","",MIN($T146,'THAM_SO'!$F$6))</f>
        <v/>
      </c>
      <c r="V146" s="224">
        <f>IF('DM_NHAN_SU'!$B146="","",MAX($T146-$U146,0))</f>
        <v/>
      </c>
      <c r="W146" s="224">
        <f>IF('DM_NHAN_SU'!$B146="","",'CHAM_CONG_THANG'!T146)</f>
        <v/>
      </c>
      <c r="X146" s="224">
        <f>IF('DM_NHAN_SU'!$B146="","",'CHAM_CONG_THANG'!U146)</f>
        <v/>
      </c>
      <c r="Y146" s="224">
        <f>IF('DM_NHAN_SU'!$B146="","",IF($B146="",0,IF('DM_NHAN_SU'!$Q146&gt;0,'DM_NHAN_SU'!$Q146,IF($G146="Tháng",IF($I146*$J146&gt;0,'DM_NHAN_SU'!$K146/($I146*$J146),0),IF($G146="Ngày",IF($J146&gt;0,'DM_NHAN_SU'!$K146/$J146,0),IF($G146="Giờ",'DM_NHAN_SU'!$K146,0))))))</f>
        <v/>
      </c>
      <c r="Z146" s="224">
        <f>IF('DM_NHAN_SU'!$B146="","",$Y146*($M146*'THAM_SO'!$C$22+'CHAM_CONG_THANG'!$AF146*'THAM_SO'!$C$19+'CHAM_CONG_THANG'!$AG146*'THAM_SO'!$C$20+'CHAM_CONG_THANG'!$AH146*'THAM_SO'!$C$21+'CHAM_CONG_THANG'!$AI146*'THAM_SO'!$C$23+'CHAM_CONG_THANG'!$AJ146*'THAM_SO'!$C$24+'CHAM_CONG_THANG'!$AK146*'THAM_SO'!$C$25))</f>
        <v/>
      </c>
      <c r="AA146" s="224">
        <f>IF('DM_NHAN_SU'!$B146="","",MAX(0,$Y146*($M146*IF('THAM_SO'!$C$22&gt;='THAM_SO'!$B$22,'THAM_SO'!$B$22,0)+'CHAM_CONG_THANG'!$AF146*IF('THAM_SO'!$C$19&gt;='THAM_SO'!$B$19,'THAM_SO'!$B$19,0)+'CHAM_CONG_THANG'!$AG146*IF('THAM_SO'!$C$20&gt;='THAM_SO'!$B$20,'THAM_SO'!$B$20,0)+'CHAM_CONG_THANG'!$AH146*IF('THAM_SO'!$C$21&gt;='THAM_SO'!$B$21,'THAM_SO'!$B$21,0)+'CHAM_CONG_THANG'!$AI146*IF('THAM_SO'!$C$23&gt;='THAM_SO'!$B$23,'THAM_SO'!$B$23,0)+'CHAM_CONG_THANG'!$AJ146*IF('THAM_SO'!$C$24&gt;='THAM_SO'!$B$24,'THAM_SO'!$B$24,0)+'CHAM_CONG_THANG'!$AK146*IF('THAM_SO'!$C$25&gt;='THAM_SO'!$B$25,'THAM_SO'!$B$25,0))-'CHAM_CONG_THANG'!$V146))</f>
        <v/>
      </c>
      <c r="AB146" s="224">
        <f>IF('DM_NHAN_SU'!$B146="","",MAX($Z146-$AA146,0))</f>
        <v/>
      </c>
      <c r="AC146" s="224">
        <f>IF('DM_NHAN_SU'!$B146="","",$O146+$P146+$Q146+$R146+$S146+$V146+$AB146+$BO146+$BP146+$BQ146+$BR146)</f>
        <v/>
      </c>
      <c r="AD146" s="224">
        <f>IF('DM_NHAN_SU'!$B146="","",'DM_NHAN_SU'!N146+'DM_NHAN_SU'!O146+'DM_NHAN_SU'!P146)</f>
        <v/>
      </c>
      <c r="AE146" s="224">
        <f>IF('DM_NHAN_SU'!$B146="","",IF(OR('DM_NHAN_SU'!$R146&lt;&gt;"Có",'CHAM_CONG_THANG'!$AA146="Có",$BL146&gt;=14,$AD146&lt;=0),0,MIN(MAX($AD146,'THAM_SO'!$M$6),'THAM_SO'!$M$7)))</f>
        <v/>
      </c>
      <c r="AF146" s="224">
        <f>IF('DM_NHAN_SU'!$B146="","",IF(OR('DM_NHAN_SU'!$S146&lt;&gt;"Có",'CHAM_CONG_THANG'!$AA146="Có",$BL146&gt;=14,$AD146&lt;=0),0,MIN(MAX($AD146,VLOOKUP($H146,'THAM_SO'!$L$17:$P$20,4,FALSE)),VLOOKUP($H146,'THAM_SO'!$L$17:$P$20,5,FALSE))))</f>
        <v/>
      </c>
      <c r="AG146" s="224">
        <f>IF('DM_NHAN_SU'!$B146="","",$AE146*'THAM_SO'!$M$8)</f>
        <v/>
      </c>
      <c r="AH146" s="224">
        <f>IF('DM_NHAN_SU'!$B146="","",$AE146*'THAM_SO'!$M$9)</f>
        <v/>
      </c>
      <c r="AI146" s="224">
        <f>IF('DM_NHAN_SU'!$B146="","",$AF146*'THAM_SO'!$M$10)</f>
        <v/>
      </c>
      <c r="AJ146" s="224">
        <f>IF('DM_NHAN_SU'!$B146="","",SUM($AG146:$AI146))</f>
        <v/>
      </c>
      <c r="AK146" s="224">
        <f>IF('DM_NHAN_SU'!$B146="","",IF($B146="",0,'THAM_SO'!$F$4))</f>
        <v/>
      </c>
      <c r="AL146" s="224">
        <f>IF('DM_NHAN_SU'!$B146="","",IF($B146="",0,'DM_NHAN_SU'!$T146*'THAM_SO'!$F$5))</f>
        <v/>
      </c>
      <c r="AM146" s="224">
        <f>IF('DM_NHAN_SU'!$B146="","",'CHAM_CONG_THANG'!W146)</f>
        <v/>
      </c>
      <c r="AN146" s="224">
        <f>IF('DM_NHAN_SU'!$B146="","",MAX($AC146-$AK146-$AL146-$AM146,0))</f>
        <v/>
      </c>
      <c r="AO146" s="224">
        <f>IF('DM_NHAN_SU'!$B146="","",IF($B146="","",IF($F146="Net",IF($AC146&lt;=$AK146+$AL146+$AM146,$AC146+$AJ146,$AJ146+$AK146+$AL146+$AM146+IF($AN146&lt;='THAM_SO'!$J$10,($AN146-'THAM_SO'!$I$10)/(1-'THAM_SO'!$H$10),IF($AN146&lt;='THAM_SO'!$J$11,($AN146-'THAM_SO'!$I$11)/(1-'THAM_SO'!$H$11),IF($AN146&lt;='THAM_SO'!$J$12,($AN146-'THAM_SO'!$I$12)/(1-'THAM_SO'!$H$12),IF($AN146&lt;='THAM_SO'!$J$13,($AN146-'THAM_SO'!$I$13)/(1-'THAM_SO'!$H$13),($AN146-'THAM_SO'!$I$14)/(1-'THAM_SO'!$H$14)))))),$AC146)))</f>
        <v/>
      </c>
      <c r="AP146" s="224">
        <f>IF('DM_NHAN_SU'!$B146="","",$U146+$W146+$X146+$AA146+$BS146)</f>
        <v/>
      </c>
      <c r="AQ146" s="224">
        <f>IF('DM_NHAN_SU'!$B146="","",MAX($AO146-$AJ146-$AK146-$AL146-$AM146,0))</f>
        <v/>
      </c>
      <c r="AR146" s="224">
        <f>IF('DM_NHAN_SU'!$B146="","",IF($AQ146&lt;=0,0,$AQ146*VLOOKUP($AQ146,'THAM_SO'!$F$10:$I$14,3,TRUE)-VLOOKUP($AQ146,'THAM_SO'!$F$10:$I$14,4,TRUE)))</f>
        <v/>
      </c>
      <c r="AS146" s="224">
        <f>IF('DM_NHAN_SU'!$B146="","",$AO146+$AP146)</f>
        <v/>
      </c>
      <c r="AT146" s="224">
        <f>IF('DM_NHAN_SU'!$B146="","",$AS146-$AJ146-$AR146)</f>
        <v/>
      </c>
      <c r="AU146" s="224">
        <f>IF('DM_NHAN_SU'!$B146="","",'CHAM_CONG_THANG'!X146)</f>
        <v/>
      </c>
      <c r="AV146" s="224">
        <f>IF('DM_NHAN_SU'!$B146="","",'CHAM_CONG_THANG'!Y146+'QT_NGHI_VIEC'!AD146)</f>
        <v/>
      </c>
      <c r="AW146" s="224">
        <f>IF('DM_NHAN_SU'!$B146="","",'CHAM_CONG_THANG'!Z146)</f>
        <v/>
      </c>
      <c r="AX146" s="224">
        <f>IF('DM_NHAN_SU'!$B146="","",$AT146-$AU146-$AV146-$AW146-$BV146)</f>
        <v/>
      </c>
      <c r="AY146" s="224">
        <f>IF('DM_NHAN_SU'!$B146="","",$AE146*'THAM_SO'!$M$11)</f>
        <v/>
      </c>
      <c r="AZ146" s="224">
        <f>IF('DM_NHAN_SU'!$B146="","",$AE146*'THAM_SO'!$M$12)</f>
        <v/>
      </c>
      <c r="BA146" s="224">
        <f>IF('DM_NHAN_SU'!$B146="","",$AF146*'THAM_SO'!$M$13)</f>
        <v/>
      </c>
      <c r="BB146" s="224">
        <f>IF('DM_NHAN_SU'!$B146="","",$AE146*'THAM_SO'!$M$14)</f>
        <v/>
      </c>
      <c r="BC146" s="224">
        <f>IF('DM_NHAN_SU'!$B146="","",SUM($AY146:$BB146))</f>
        <v/>
      </c>
      <c r="BD146" s="224">
        <f>IF('DM_NHAN_SU'!$B146="","",$AS146+$BC146)</f>
        <v/>
      </c>
      <c r="BE146" s="224">
        <f>IF('DM_NHAN_SU'!$B146="","",VLOOKUP($H146,'THAM_SO'!$L$17:$P$20,2,FALSE))</f>
        <v/>
      </c>
      <c r="BF146" s="224">
        <f>IF('DM_NHAN_SU'!$B146="","",VLOOKUP($H146,'THAM_SO'!$L$17:$P$20,3,FALSE))</f>
        <v/>
      </c>
      <c r="BG146" s="150">
        <f>IF('DM_NHAN_SU'!$B146="","",IF($B146="","",IF(COUNTIF('DM_NHAN_SU'!$B$6:$B$155,$B146)&gt;1,"Trùng mã NV; ","")&amp;IF(OR($F146="",$G146=""),"Thiếu loại/hình thức lương; ","")&amp;IF('CHAM_CONG_THANG'!$D146="","Chưa chọn nguồn công; ","")&amp;IF(AND('CHAM_CONG_THANG'!$D146="Theo ngày",COUNTIF('CHAM_CONG_NGAY'!$B$6:$B$4655,$B146)=0),"Chưa có chấm công ngày; ","")&amp;IF(OR($I146&lt;=0,$J146&lt;=0),"Thiếu công/giờ chuẩn; ","")&amp;IF(AND($G146="Tháng",'DM_NHAN_SU'!$K146&lt;$BE146),"Lương tháng dưới tối thiểu vùng; ","")&amp;IF(AND($G146="Ngày",'DM_NHAN_SU'!$K146/$J146&lt;$BF146),"Lương ngày quy đổi dưới tối thiểu giờ; ","")&amp;IF(AND($G146="Giờ",'DM_NHAN_SU'!$K146&lt;$BF146),"Lương giờ dưới tối thiểu vùng; ","")&amp;IF(AND($G146="Sản phẩm",$L146&gt;0,$O146/$L146&lt;$BF146),"Lương SP quy đổi dưới tối thiểu giờ; ","")&amp;IF(OR('THAM_SO'!$C$19&lt;'THAM_SO'!$B$19,'THAM_SO'!$C$20&lt;'THAM_SO'!$B$20,'THAM_SO'!$C$21&lt;'THAM_SO'!$B$21,'THAM_SO'!$C$22&lt;'THAM_SO'!$B$22,'THAM_SO'!$C$23&lt;'THAM_SO'!$B$23,'THAM_SO'!$C$24&lt;'THAM_SO'!$B$24,'THAM_SO'!$C$25&lt;'THAM_SO'!$B$25),"Hệ số OT/đêm DN thấp hơn luật; ","")&amp;IF(AND('DM_NHAN_SU'!$R146="Có",$AD146&lt;=0),"Thiếu căn cứ đóng BH; ","")&amp;IF(AND($AD146&gt;0,$AD146&lt;'THAM_SO'!$M$6),"Căn cứ BH dưới sàn – đã nâng sàn; ","")&amp;IF($AD146&gt;'THAM_SO'!$M$7,"Căn cứ BH vượt trần – đã giới hạn; ","")&amp;IF(AND($F146="Net",SUM('CHAM_CONG_THANG'!$AF146:$AK146)&gt;0,'DM_NHAN_SU'!$Q146&lt;=0),"Net có OT nhưng chưa khai lương giờ OT; ","")&amp;IF('CHAM_CONG_THANG'!$V146&gt;$Z146,"Phần OT không miễn lớn hơn tiền OT; ","")&amp;IF(AND($F146="Net",ABS($AT146-$AC146-$AP146)&gt;1),"Lệch quy đổi Net; ","")&amp;IF(AND($BH146&gt;0,'DM_NHAN_SU'!$AD146=""),"Có phép năm nhưng đang tạm dùng 12 ngày; ","")&amp;IF(AND($G146="Sản phẩm",SUM($BH146:$BJ146)&gt;0,'DM_NHAN_SU'!$AH146&lt;=0),"Lương sản phẩm thiếu đơn giá ngày phép/lễ; ","")&amp;IF(AND($BL146&gt;=14,'CHAM_CONG_THANG'!$AA146&lt;&gt;"Có"),"Thai sản từ 14 ngày: file tự dừng đóng BH – kiểm tra hồ sơ; ","")&amp;IF(AND('DM_NHAN_SU'!$AA146="Có",'DM_NHAN_SU'!$AB146=""),"Đoàn viên chưa chọn cách tính đoàn phí; ","")&amp;IF(AND('DM_NHAN_SU'!$AB146="Nhập tay",'DM_NHAN_SU'!$AC146&gt;'THAM_SO'!$M$26),"Đoàn phí nhập tay vượt trần thông dụng; ","")&amp;IF('NGHI_PHEP'!$L146&lt;&gt;"","Phép: "&amp;'NGHI_PHEP'!$L146,"")&amp;IF('CHE_DO_BHXH'!$AA146&lt;&gt;"","BHXH: "&amp;'CHE_DO_BHXH'!$AA146,"")&amp;IF('THUONG_T13_TET'!$O146&lt;&gt;"","Thưởng: "&amp;'THUONG_T13_TET'!$O146,"")&amp;IF('QT_NGHI_VIEC'!$AF146&lt;&gt;"","Nghỉ việc: "&amp;'QT_NGHI_VIEC'!$AF146,"")&amp;IF($AX146&lt;0,"Thực lĩnh âm; ","")&amp;IF(OR('DM_NHAN_SU'!$F146&gt;'THAM_SO'!$B$7,AND('DM_NHAN_SU'!$G146&lt;&gt;"",'DM_NHAN_SU'!$G146&lt;'THAM_SO'!$B$6)),"Ngoài kỳ trả lương; ","")))</f>
        <v/>
      </c>
      <c r="BH146" s="232">
        <f>IF('DM_NHAN_SU'!$B146="","",'CHAM_CONG_THANG'!AR146)</f>
        <v/>
      </c>
      <c r="BI146" s="232">
        <f>IF('DM_NHAN_SU'!$B146="","",'CHAM_CONG_THANG'!AS146)</f>
        <v/>
      </c>
      <c r="BJ146" s="232">
        <f>IF('DM_NHAN_SU'!$B146="","",'CHAM_CONG_THANG'!AT146)</f>
        <v/>
      </c>
      <c r="BK146" s="232">
        <f>IF('DM_NHAN_SU'!$B146="","",'CHAM_CONG_THANG'!AU146)</f>
        <v/>
      </c>
      <c r="BL146" s="232">
        <f>IF('DM_NHAN_SU'!$B146="","",'CHAM_CONG_THANG'!AV146)</f>
        <v/>
      </c>
      <c r="BM146" s="232">
        <f>IF('DM_NHAN_SU'!$B146="","",'CHAM_CONG_THANG'!AW146)</f>
        <v/>
      </c>
      <c r="BN146" s="232">
        <f>IF('DM_NHAN_SU'!$B146="","",SUM($K146,$BH146:$BJ146))</f>
        <v/>
      </c>
      <c r="BO146" s="224">
        <f>IF('DM_NHAN_SU'!$B146="","",IF($B146="",0,IF($G146="Tháng",IF($I146&gt;0,'DM_NHAN_SU'!$K146*MIN($BH146+$BJ146,MAX($I146-$K146,0))/$I146,0),IF($G146="Ngày",'DM_NHAN_SU'!$K146*SUM($BH146:$BJ146),IF($G146="Giờ",'DM_NHAN_SU'!$K146*SUM($BH146:$BJ146)*$J146,IF($G146="Sản phẩm",'DM_NHAN_SU'!$AH146*SUM($BH146:$BJ146),0))))))</f>
        <v/>
      </c>
      <c r="BP146" s="224">
        <f>IF('DM_NHAN_SU'!$B146="","",IF('THUONG_T13_TET'!$L146="Có",'THUONG_T13_TET'!$I146,0))</f>
        <v/>
      </c>
      <c r="BQ146" s="224">
        <f>IF('DM_NHAN_SU'!$B146="","",IF('THUONG_T13_TET'!$L146="Có",SUM('THUONG_T13_TET'!$J146:$K146),0))</f>
        <v/>
      </c>
      <c r="BR146" s="224">
        <f>IF('DM_NHAN_SU'!$B146="","",'QT_NGHI_VIEC'!AC146)</f>
        <v/>
      </c>
      <c r="BS146" s="224">
        <f>IF('DM_NHAN_SU'!$B146="","",'QT_NGHI_VIEC'!AB146)</f>
        <v/>
      </c>
      <c r="BT146" s="224">
        <f>IF('DM_NHAN_SU'!$B146="","",IF('CHE_DO_BHXH'!$Z146="Có",'CHE_DO_BHXH'!$W146,0))</f>
        <v/>
      </c>
      <c r="BU146" s="224">
        <f>IF('DM_NHAN_SU'!$B146="","",IF('CHE_DO_BHXH'!$Y146="DN trả thay",$BT146,0))</f>
        <v/>
      </c>
      <c r="BV146" s="224">
        <f>IF('DM_NHAN_SU'!$B146="","",IF(OR('DM_NHAN_SU'!$AA146&lt;&gt;"Có",'CHE_DO_BHXH'!$O146&gt;=1,SUM('CHE_DO_BHXH'!$D146,'CHE_DO_BHXH'!$G146,'CHE_DO_BHXH'!$K146)&gt;=24,AND($I146&gt;0,$BM146&gt;=$I146)),0,IF('DM_NHAN_SU'!$AB146="Không",0,IF('DM_NHAN_SU'!$AB146="Nhập tay",'DM_NHAN_SU'!$AC146,IF('DM_NHAN_SU'!$AB146="Theo thực nhận",MIN(MAX($AT146-$AU146-$AV146-$AW146,0)*'THAM_SO'!$M$23,'THAM_SO'!$M$26),MIN($AE146*'THAM_SO'!$M$23,'THAM_SO'!$M$26))))))</f>
        <v/>
      </c>
      <c r="BW146" s="224">
        <f>IF('DM_NHAN_SU'!$B146="","",$AX146+$BU146)</f>
        <v/>
      </c>
    </row>
    <row r="147">
      <c r="A147" s="145">
        <f>IF('DM_NHAN_SU'!$B147="","",IF($B147="","",ROW()-5))</f>
        <v/>
      </c>
      <c r="B147" s="145">
        <f>IF('DM_NHAN_SU'!$B147="","",'DM_NHAN_SU'!B147)</f>
        <v/>
      </c>
      <c r="C147" s="145">
        <f>IF('DM_NHAN_SU'!$B147="","",'DM_NHAN_SU'!C147)</f>
        <v/>
      </c>
      <c r="D147" s="145">
        <f>IF('DM_NHAN_SU'!$B147="","",'DM_NHAN_SU'!D147)</f>
        <v/>
      </c>
      <c r="E147" s="145">
        <f>IF('DM_NHAN_SU'!$B147="","",'DM_NHAN_SU'!E147)</f>
        <v/>
      </c>
      <c r="F147" s="145">
        <f>IF('DM_NHAN_SU'!$B147="","",'DM_NHAN_SU'!I147)</f>
        <v/>
      </c>
      <c r="G147" s="145">
        <f>IF('DM_NHAN_SU'!$B147="","",'DM_NHAN_SU'!J147)</f>
        <v/>
      </c>
      <c r="H147" s="145">
        <f>IF('DM_NHAN_SU'!$B147="","",IF('DM_NHAN_SU'!H147="",'THAM_SO'!$B$11,'DM_NHAN_SU'!H147))</f>
        <v/>
      </c>
      <c r="I147" s="232">
        <f>IF('DM_NHAN_SU'!$B147="","",IF('DM_NHAN_SU'!L147&gt;0,'DM_NHAN_SU'!L147,'THAM_SO'!$B$9))</f>
        <v/>
      </c>
      <c r="J147" s="232">
        <f>IF('DM_NHAN_SU'!$B147="","",IF('DM_NHAN_SU'!M147&gt;0,'DM_NHAN_SU'!M147,'THAM_SO'!$B$10))</f>
        <v/>
      </c>
      <c r="K147" s="232">
        <f>IF('DM_NHAN_SU'!$B147="","",'CHAM_CONG_THANG'!AC147)</f>
        <v/>
      </c>
      <c r="L147" s="232">
        <f>IF('DM_NHAN_SU'!$B147="","",'CHAM_CONG_THANG'!AD147)</f>
        <v/>
      </c>
      <c r="M147" s="232">
        <f>IF('DM_NHAN_SU'!$B147="","",'CHAM_CONG_THANG'!AE147)</f>
        <v/>
      </c>
      <c r="N147" s="232">
        <f>IF('DM_NHAN_SU'!$B147="","",'CHAM_CONG_THANG'!N147)</f>
        <v/>
      </c>
      <c r="O147" s="224">
        <f>IF('DM_NHAN_SU'!$B147="","",IF($B147="","",IF($G147="Tháng",IF($I147&gt;0,'DM_NHAN_SU'!$K147*MIN($K147,$I147)/$I147,0),IF($G147="Ngày",'DM_NHAN_SU'!$K147*$K147,IF($G147="Giờ",'DM_NHAN_SU'!$K147*$L147,IF($G147="Sản phẩm",'DM_NHAN_SU'!$K147*$N147,0))))))</f>
        <v/>
      </c>
      <c r="P147" s="224">
        <f>IF('DM_NHAN_SU'!$B147="","",'CHAM_CONG_THANG'!O147)</f>
        <v/>
      </c>
      <c r="Q147" s="224">
        <f>IF('DM_NHAN_SU'!$B147="","",'CHAM_CONG_THANG'!P147)</f>
        <v/>
      </c>
      <c r="R147" s="224">
        <f>IF('DM_NHAN_SU'!$B147="","",'CHAM_CONG_THANG'!Q147)</f>
        <v/>
      </c>
      <c r="S147" s="224">
        <f>IF('DM_NHAN_SU'!$B147="","",'CHAM_CONG_THANG'!R147)</f>
        <v/>
      </c>
      <c r="T147" s="224">
        <f>IF('DM_NHAN_SU'!$B147="","",'CHAM_CONG_THANG'!S147)</f>
        <v/>
      </c>
      <c r="U147" s="224">
        <f>IF('DM_NHAN_SU'!$B147="","",MIN($T147,'THAM_SO'!$F$6))</f>
        <v/>
      </c>
      <c r="V147" s="224">
        <f>IF('DM_NHAN_SU'!$B147="","",MAX($T147-$U147,0))</f>
        <v/>
      </c>
      <c r="W147" s="224">
        <f>IF('DM_NHAN_SU'!$B147="","",'CHAM_CONG_THANG'!T147)</f>
        <v/>
      </c>
      <c r="X147" s="224">
        <f>IF('DM_NHAN_SU'!$B147="","",'CHAM_CONG_THANG'!U147)</f>
        <v/>
      </c>
      <c r="Y147" s="224">
        <f>IF('DM_NHAN_SU'!$B147="","",IF($B147="",0,IF('DM_NHAN_SU'!$Q147&gt;0,'DM_NHAN_SU'!$Q147,IF($G147="Tháng",IF($I147*$J147&gt;0,'DM_NHAN_SU'!$K147/($I147*$J147),0),IF($G147="Ngày",IF($J147&gt;0,'DM_NHAN_SU'!$K147/$J147,0),IF($G147="Giờ",'DM_NHAN_SU'!$K147,0))))))</f>
        <v/>
      </c>
      <c r="Z147" s="224">
        <f>IF('DM_NHAN_SU'!$B147="","",$Y147*($M147*'THAM_SO'!$C$22+'CHAM_CONG_THANG'!$AF147*'THAM_SO'!$C$19+'CHAM_CONG_THANG'!$AG147*'THAM_SO'!$C$20+'CHAM_CONG_THANG'!$AH147*'THAM_SO'!$C$21+'CHAM_CONG_THANG'!$AI147*'THAM_SO'!$C$23+'CHAM_CONG_THANG'!$AJ147*'THAM_SO'!$C$24+'CHAM_CONG_THANG'!$AK147*'THAM_SO'!$C$25))</f>
        <v/>
      </c>
      <c r="AA147" s="224">
        <f>IF('DM_NHAN_SU'!$B147="","",MAX(0,$Y147*($M147*IF('THAM_SO'!$C$22&gt;='THAM_SO'!$B$22,'THAM_SO'!$B$22,0)+'CHAM_CONG_THANG'!$AF147*IF('THAM_SO'!$C$19&gt;='THAM_SO'!$B$19,'THAM_SO'!$B$19,0)+'CHAM_CONG_THANG'!$AG147*IF('THAM_SO'!$C$20&gt;='THAM_SO'!$B$20,'THAM_SO'!$B$20,0)+'CHAM_CONG_THANG'!$AH147*IF('THAM_SO'!$C$21&gt;='THAM_SO'!$B$21,'THAM_SO'!$B$21,0)+'CHAM_CONG_THANG'!$AI147*IF('THAM_SO'!$C$23&gt;='THAM_SO'!$B$23,'THAM_SO'!$B$23,0)+'CHAM_CONG_THANG'!$AJ147*IF('THAM_SO'!$C$24&gt;='THAM_SO'!$B$24,'THAM_SO'!$B$24,0)+'CHAM_CONG_THANG'!$AK147*IF('THAM_SO'!$C$25&gt;='THAM_SO'!$B$25,'THAM_SO'!$B$25,0))-'CHAM_CONG_THANG'!$V147))</f>
        <v/>
      </c>
      <c r="AB147" s="224">
        <f>IF('DM_NHAN_SU'!$B147="","",MAX($Z147-$AA147,0))</f>
        <v/>
      </c>
      <c r="AC147" s="224">
        <f>IF('DM_NHAN_SU'!$B147="","",$O147+$P147+$Q147+$R147+$S147+$V147+$AB147+$BO147+$BP147+$BQ147+$BR147)</f>
        <v/>
      </c>
      <c r="AD147" s="224">
        <f>IF('DM_NHAN_SU'!$B147="","",'DM_NHAN_SU'!N147+'DM_NHAN_SU'!O147+'DM_NHAN_SU'!P147)</f>
        <v/>
      </c>
      <c r="AE147" s="224">
        <f>IF('DM_NHAN_SU'!$B147="","",IF(OR('DM_NHAN_SU'!$R147&lt;&gt;"Có",'CHAM_CONG_THANG'!$AA147="Có",$BL147&gt;=14,$AD147&lt;=0),0,MIN(MAX($AD147,'THAM_SO'!$M$6),'THAM_SO'!$M$7)))</f>
        <v/>
      </c>
      <c r="AF147" s="224">
        <f>IF('DM_NHAN_SU'!$B147="","",IF(OR('DM_NHAN_SU'!$S147&lt;&gt;"Có",'CHAM_CONG_THANG'!$AA147="Có",$BL147&gt;=14,$AD147&lt;=0),0,MIN(MAX($AD147,VLOOKUP($H147,'THAM_SO'!$L$17:$P$20,4,FALSE)),VLOOKUP($H147,'THAM_SO'!$L$17:$P$20,5,FALSE))))</f>
        <v/>
      </c>
      <c r="AG147" s="224">
        <f>IF('DM_NHAN_SU'!$B147="","",$AE147*'THAM_SO'!$M$8)</f>
        <v/>
      </c>
      <c r="AH147" s="224">
        <f>IF('DM_NHAN_SU'!$B147="","",$AE147*'THAM_SO'!$M$9)</f>
        <v/>
      </c>
      <c r="AI147" s="224">
        <f>IF('DM_NHAN_SU'!$B147="","",$AF147*'THAM_SO'!$M$10)</f>
        <v/>
      </c>
      <c r="AJ147" s="224">
        <f>IF('DM_NHAN_SU'!$B147="","",SUM($AG147:$AI147))</f>
        <v/>
      </c>
      <c r="AK147" s="224">
        <f>IF('DM_NHAN_SU'!$B147="","",IF($B147="",0,'THAM_SO'!$F$4))</f>
        <v/>
      </c>
      <c r="AL147" s="224">
        <f>IF('DM_NHAN_SU'!$B147="","",IF($B147="",0,'DM_NHAN_SU'!$T147*'THAM_SO'!$F$5))</f>
        <v/>
      </c>
      <c r="AM147" s="224">
        <f>IF('DM_NHAN_SU'!$B147="","",'CHAM_CONG_THANG'!W147)</f>
        <v/>
      </c>
      <c r="AN147" s="224">
        <f>IF('DM_NHAN_SU'!$B147="","",MAX($AC147-$AK147-$AL147-$AM147,0))</f>
        <v/>
      </c>
      <c r="AO147" s="224">
        <f>IF('DM_NHAN_SU'!$B147="","",IF($B147="","",IF($F147="Net",IF($AC147&lt;=$AK147+$AL147+$AM147,$AC147+$AJ147,$AJ147+$AK147+$AL147+$AM147+IF($AN147&lt;='THAM_SO'!$J$10,($AN147-'THAM_SO'!$I$10)/(1-'THAM_SO'!$H$10),IF($AN147&lt;='THAM_SO'!$J$11,($AN147-'THAM_SO'!$I$11)/(1-'THAM_SO'!$H$11),IF($AN147&lt;='THAM_SO'!$J$12,($AN147-'THAM_SO'!$I$12)/(1-'THAM_SO'!$H$12),IF($AN147&lt;='THAM_SO'!$J$13,($AN147-'THAM_SO'!$I$13)/(1-'THAM_SO'!$H$13),($AN147-'THAM_SO'!$I$14)/(1-'THAM_SO'!$H$14)))))),$AC147)))</f>
        <v/>
      </c>
      <c r="AP147" s="224">
        <f>IF('DM_NHAN_SU'!$B147="","",$U147+$W147+$X147+$AA147+$BS147)</f>
        <v/>
      </c>
      <c r="AQ147" s="224">
        <f>IF('DM_NHAN_SU'!$B147="","",MAX($AO147-$AJ147-$AK147-$AL147-$AM147,0))</f>
        <v/>
      </c>
      <c r="AR147" s="224">
        <f>IF('DM_NHAN_SU'!$B147="","",IF($AQ147&lt;=0,0,$AQ147*VLOOKUP($AQ147,'THAM_SO'!$F$10:$I$14,3,TRUE)-VLOOKUP($AQ147,'THAM_SO'!$F$10:$I$14,4,TRUE)))</f>
        <v/>
      </c>
      <c r="AS147" s="224">
        <f>IF('DM_NHAN_SU'!$B147="","",$AO147+$AP147)</f>
        <v/>
      </c>
      <c r="AT147" s="224">
        <f>IF('DM_NHAN_SU'!$B147="","",$AS147-$AJ147-$AR147)</f>
        <v/>
      </c>
      <c r="AU147" s="224">
        <f>IF('DM_NHAN_SU'!$B147="","",'CHAM_CONG_THANG'!X147)</f>
        <v/>
      </c>
      <c r="AV147" s="224">
        <f>IF('DM_NHAN_SU'!$B147="","",'CHAM_CONG_THANG'!Y147+'QT_NGHI_VIEC'!AD147)</f>
        <v/>
      </c>
      <c r="AW147" s="224">
        <f>IF('DM_NHAN_SU'!$B147="","",'CHAM_CONG_THANG'!Z147)</f>
        <v/>
      </c>
      <c r="AX147" s="224">
        <f>IF('DM_NHAN_SU'!$B147="","",$AT147-$AU147-$AV147-$AW147-$BV147)</f>
        <v/>
      </c>
      <c r="AY147" s="224">
        <f>IF('DM_NHAN_SU'!$B147="","",$AE147*'THAM_SO'!$M$11)</f>
        <v/>
      </c>
      <c r="AZ147" s="224">
        <f>IF('DM_NHAN_SU'!$B147="","",$AE147*'THAM_SO'!$M$12)</f>
        <v/>
      </c>
      <c r="BA147" s="224">
        <f>IF('DM_NHAN_SU'!$B147="","",$AF147*'THAM_SO'!$M$13)</f>
        <v/>
      </c>
      <c r="BB147" s="224">
        <f>IF('DM_NHAN_SU'!$B147="","",$AE147*'THAM_SO'!$M$14)</f>
        <v/>
      </c>
      <c r="BC147" s="224">
        <f>IF('DM_NHAN_SU'!$B147="","",SUM($AY147:$BB147))</f>
        <v/>
      </c>
      <c r="BD147" s="224">
        <f>IF('DM_NHAN_SU'!$B147="","",$AS147+$BC147)</f>
        <v/>
      </c>
      <c r="BE147" s="224">
        <f>IF('DM_NHAN_SU'!$B147="","",VLOOKUP($H147,'THAM_SO'!$L$17:$P$20,2,FALSE))</f>
        <v/>
      </c>
      <c r="BF147" s="224">
        <f>IF('DM_NHAN_SU'!$B147="","",VLOOKUP($H147,'THAM_SO'!$L$17:$P$20,3,FALSE))</f>
        <v/>
      </c>
      <c r="BG147" s="150">
        <f>IF('DM_NHAN_SU'!$B147="","",IF($B147="","",IF(COUNTIF('DM_NHAN_SU'!$B$6:$B$155,$B147)&gt;1,"Trùng mã NV; ","")&amp;IF(OR($F147="",$G147=""),"Thiếu loại/hình thức lương; ","")&amp;IF('CHAM_CONG_THANG'!$D147="","Chưa chọn nguồn công; ","")&amp;IF(AND('CHAM_CONG_THANG'!$D147="Theo ngày",COUNTIF('CHAM_CONG_NGAY'!$B$6:$B$4655,$B147)=0),"Chưa có chấm công ngày; ","")&amp;IF(OR($I147&lt;=0,$J147&lt;=0),"Thiếu công/giờ chuẩn; ","")&amp;IF(AND($G147="Tháng",'DM_NHAN_SU'!$K147&lt;$BE147),"Lương tháng dưới tối thiểu vùng; ","")&amp;IF(AND($G147="Ngày",'DM_NHAN_SU'!$K147/$J147&lt;$BF147),"Lương ngày quy đổi dưới tối thiểu giờ; ","")&amp;IF(AND($G147="Giờ",'DM_NHAN_SU'!$K147&lt;$BF147),"Lương giờ dưới tối thiểu vùng; ","")&amp;IF(AND($G147="Sản phẩm",$L147&gt;0,$O147/$L147&lt;$BF147),"Lương SP quy đổi dưới tối thiểu giờ; ","")&amp;IF(OR('THAM_SO'!$C$19&lt;'THAM_SO'!$B$19,'THAM_SO'!$C$20&lt;'THAM_SO'!$B$20,'THAM_SO'!$C$21&lt;'THAM_SO'!$B$21,'THAM_SO'!$C$22&lt;'THAM_SO'!$B$22,'THAM_SO'!$C$23&lt;'THAM_SO'!$B$23,'THAM_SO'!$C$24&lt;'THAM_SO'!$B$24,'THAM_SO'!$C$25&lt;'THAM_SO'!$B$25),"Hệ số OT/đêm DN thấp hơn luật; ","")&amp;IF(AND('DM_NHAN_SU'!$R147="Có",$AD147&lt;=0),"Thiếu căn cứ đóng BH; ","")&amp;IF(AND($AD147&gt;0,$AD147&lt;'THAM_SO'!$M$6),"Căn cứ BH dưới sàn – đã nâng sàn; ","")&amp;IF($AD147&gt;'THAM_SO'!$M$7,"Căn cứ BH vượt trần – đã giới hạn; ","")&amp;IF(AND($F147="Net",SUM('CHAM_CONG_THANG'!$AF147:$AK147)&gt;0,'DM_NHAN_SU'!$Q147&lt;=0),"Net có OT nhưng chưa khai lương giờ OT; ","")&amp;IF('CHAM_CONG_THANG'!$V147&gt;$Z147,"Phần OT không miễn lớn hơn tiền OT; ","")&amp;IF(AND($F147="Net",ABS($AT147-$AC147-$AP147)&gt;1),"Lệch quy đổi Net; ","")&amp;IF(AND($BH147&gt;0,'DM_NHAN_SU'!$AD147=""),"Có phép năm nhưng đang tạm dùng 12 ngày; ","")&amp;IF(AND($G147="Sản phẩm",SUM($BH147:$BJ147)&gt;0,'DM_NHAN_SU'!$AH147&lt;=0),"Lương sản phẩm thiếu đơn giá ngày phép/lễ; ","")&amp;IF(AND($BL147&gt;=14,'CHAM_CONG_THANG'!$AA147&lt;&gt;"Có"),"Thai sản từ 14 ngày: file tự dừng đóng BH – kiểm tra hồ sơ; ","")&amp;IF(AND('DM_NHAN_SU'!$AA147="Có",'DM_NHAN_SU'!$AB147=""),"Đoàn viên chưa chọn cách tính đoàn phí; ","")&amp;IF(AND('DM_NHAN_SU'!$AB147="Nhập tay",'DM_NHAN_SU'!$AC147&gt;'THAM_SO'!$M$26),"Đoàn phí nhập tay vượt trần thông dụng; ","")&amp;IF('NGHI_PHEP'!$L147&lt;&gt;"","Phép: "&amp;'NGHI_PHEP'!$L147,"")&amp;IF('CHE_DO_BHXH'!$AA147&lt;&gt;"","BHXH: "&amp;'CHE_DO_BHXH'!$AA147,"")&amp;IF('THUONG_T13_TET'!$O147&lt;&gt;"","Thưởng: "&amp;'THUONG_T13_TET'!$O147,"")&amp;IF('QT_NGHI_VIEC'!$AF147&lt;&gt;"","Nghỉ việc: "&amp;'QT_NGHI_VIEC'!$AF147,"")&amp;IF($AX147&lt;0,"Thực lĩnh âm; ","")&amp;IF(OR('DM_NHAN_SU'!$F147&gt;'THAM_SO'!$B$7,AND('DM_NHAN_SU'!$G147&lt;&gt;"",'DM_NHAN_SU'!$G147&lt;'THAM_SO'!$B$6)),"Ngoài kỳ trả lương; ","")))</f>
        <v/>
      </c>
      <c r="BH147" s="232">
        <f>IF('DM_NHAN_SU'!$B147="","",'CHAM_CONG_THANG'!AR147)</f>
        <v/>
      </c>
      <c r="BI147" s="232">
        <f>IF('DM_NHAN_SU'!$B147="","",'CHAM_CONG_THANG'!AS147)</f>
        <v/>
      </c>
      <c r="BJ147" s="232">
        <f>IF('DM_NHAN_SU'!$B147="","",'CHAM_CONG_THANG'!AT147)</f>
        <v/>
      </c>
      <c r="BK147" s="232">
        <f>IF('DM_NHAN_SU'!$B147="","",'CHAM_CONG_THANG'!AU147)</f>
        <v/>
      </c>
      <c r="BL147" s="232">
        <f>IF('DM_NHAN_SU'!$B147="","",'CHAM_CONG_THANG'!AV147)</f>
        <v/>
      </c>
      <c r="BM147" s="232">
        <f>IF('DM_NHAN_SU'!$B147="","",'CHAM_CONG_THANG'!AW147)</f>
        <v/>
      </c>
      <c r="BN147" s="232">
        <f>IF('DM_NHAN_SU'!$B147="","",SUM($K147,$BH147:$BJ147))</f>
        <v/>
      </c>
      <c r="BO147" s="224">
        <f>IF('DM_NHAN_SU'!$B147="","",IF($B147="",0,IF($G147="Tháng",IF($I147&gt;0,'DM_NHAN_SU'!$K147*MIN($BH147+$BJ147,MAX($I147-$K147,0))/$I147,0),IF($G147="Ngày",'DM_NHAN_SU'!$K147*SUM($BH147:$BJ147),IF($G147="Giờ",'DM_NHAN_SU'!$K147*SUM($BH147:$BJ147)*$J147,IF($G147="Sản phẩm",'DM_NHAN_SU'!$AH147*SUM($BH147:$BJ147),0))))))</f>
        <v/>
      </c>
      <c r="BP147" s="224">
        <f>IF('DM_NHAN_SU'!$B147="","",IF('THUONG_T13_TET'!$L147="Có",'THUONG_T13_TET'!$I147,0))</f>
        <v/>
      </c>
      <c r="BQ147" s="224">
        <f>IF('DM_NHAN_SU'!$B147="","",IF('THUONG_T13_TET'!$L147="Có",SUM('THUONG_T13_TET'!$J147:$K147),0))</f>
        <v/>
      </c>
      <c r="BR147" s="224">
        <f>IF('DM_NHAN_SU'!$B147="","",'QT_NGHI_VIEC'!AC147)</f>
        <v/>
      </c>
      <c r="BS147" s="224">
        <f>IF('DM_NHAN_SU'!$B147="","",'QT_NGHI_VIEC'!AB147)</f>
        <v/>
      </c>
      <c r="BT147" s="224">
        <f>IF('DM_NHAN_SU'!$B147="","",IF('CHE_DO_BHXH'!$Z147="Có",'CHE_DO_BHXH'!$W147,0))</f>
        <v/>
      </c>
      <c r="BU147" s="224">
        <f>IF('DM_NHAN_SU'!$B147="","",IF('CHE_DO_BHXH'!$Y147="DN trả thay",$BT147,0))</f>
        <v/>
      </c>
      <c r="BV147" s="224">
        <f>IF('DM_NHAN_SU'!$B147="","",IF(OR('DM_NHAN_SU'!$AA147&lt;&gt;"Có",'CHE_DO_BHXH'!$O147&gt;=1,SUM('CHE_DO_BHXH'!$D147,'CHE_DO_BHXH'!$G147,'CHE_DO_BHXH'!$K147)&gt;=24,AND($I147&gt;0,$BM147&gt;=$I147)),0,IF('DM_NHAN_SU'!$AB147="Không",0,IF('DM_NHAN_SU'!$AB147="Nhập tay",'DM_NHAN_SU'!$AC147,IF('DM_NHAN_SU'!$AB147="Theo thực nhận",MIN(MAX($AT147-$AU147-$AV147-$AW147,0)*'THAM_SO'!$M$23,'THAM_SO'!$M$26),MIN($AE147*'THAM_SO'!$M$23,'THAM_SO'!$M$26))))))</f>
        <v/>
      </c>
      <c r="BW147" s="224">
        <f>IF('DM_NHAN_SU'!$B147="","",$AX147+$BU147)</f>
        <v/>
      </c>
    </row>
    <row r="148">
      <c r="A148" s="145">
        <f>IF('DM_NHAN_SU'!$B148="","",IF($B148="","",ROW()-5))</f>
        <v/>
      </c>
      <c r="B148" s="145">
        <f>IF('DM_NHAN_SU'!$B148="","",'DM_NHAN_SU'!B148)</f>
        <v/>
      </c>
      <c r="C148" s="145">
        <f>IF('DM_NHAN_SU'!$B148="","",'DM_NHAN_SU'!C148)</f>
        <v/>
      </c>
      <c r="D148" s="145">
        <f>IF('DM_NHAN_SU'!$B148="","",'DM_NHAN_SU'!D148)</f>
        <v/>
      </c>
      <c r="E148" s="145">
        <f>IF('DM_NHAN_SU'!$B148="","",'DM_NHAN_SU'!E148)</f>
        <v/>
      </c>
      <c r="F148" s="145">
        <f>IF('DM_NHAN_SU'!$B148="","",'DM_NHAN_SU'!I148)</f>
        <v/>
      </c>
      <c r="G148" s="145">
        <f>IF('DM_NHAN_SU'!$B148="","",'DM_NHAN_SU'!J148)</f>
        <v/>
      </c>
      <c r="H148" s="145">
        <f>IF('DM_NHAN_SU'!$B148="","",IF('DM_NHAN_SU'!H148="",'THAM_SO'!$B$11,'DM_NHAN_SU'!H148))</f>
        <v/>
      </c>
      <c r="I148" s="232">
        <f>IF('DM_NHAN_SU'!$B148="","",IF('DM_NHAN_SU'!L148&gt;0,'DM_NHAN_SU'!L148,'THAM_SO'!$B$9))</f>
        <v/>
      </c>
      <c r="J148" s="232">
        <f>IF('DM_NHAN_SU'!$B148="","",IF('DM_NHAN_SU'!M148&gt;0,'DM_NHAN_SU'!M148,'THAM_SO'!$B$10))</f>
        <v/>
      </c>
      <c r="K148" s="232">
        <f>IF('DM_NHAN_SU'!$B148="","",'CHAM_CONG_THANG'!AC148)</f>
        <v/>
      </c>
      <c r="L148" s="232">
        <f>IF('DM_NHAN_SU'!$B148="","",'CHAM_CONG_THANG'!AD148)</f>
        <v/>
      </c>
      <c r="M148" s="232">
        <f>IF('DM_NHAN_SU'!$B148="","",'CHAM_CONG_THANG'!AE148)</f>
        <v/>
      </c>
      <c r="N148" s="232">
        <f>IF('DM_NHAN_SU'!$B148="","",'CHAM_CONG_THANG'!N148)</f>
        <v/>
      </c>
      <c r="O148" s="224">
        <f>IF('DM_NHAN_SU'!$B148="","",IF($B148="","",IF($G148="Tháng",IF($I148&gt;0,'DM_NHAN_SU'!$K148*MIN($K148,$I148)/$I148,0),IF($G148="Ngày",'DM_NHAN_SU'!$K148*$K148,IF($G148="Giờ",'DM_NHAN_SU'!$K148*$L148,IF($G148="Sản phẩm",'DM_NHAN_SU'!$K148*$N148,0))))))</f>
        <v/>
      </c>
      <c r="P148" s="224">
        <f>IF('DM_NHAN_SU'!$B148="","",'CHAM_CONG_THANG'!O148)</f>
        <v/>
      </c>
      <c r="Q148" s="224">
        <f>IF('DM_NHAN_SU'!$B148="","",'CHAM_CONG_THANG'!P148)</f>
        <v/>
      </c>
      <c r="R148" s="224">
        <f>IF('DM_NHAN_SU'!$B148="","",'CHAM_CONG_THANG'!Q148)</f>
        <v/>
      </c>
      <c r="S148" s="224">
        <f>IF('DM_NHAN_SU'!$B148="","",'CHAM_CONG_THANG'!R148)</f>
        <v/>
      </c>
      <c r="T148" s="224">
        <f>IF('DM_NHAN_SU'!$B148="","",'CHAM_CONG_THANG'!S148)</f>
        <v/>
      </c>
      <c r="U148" s="224">
        <f>IF('DM_NHAN_SU'!$B148="","",MIN($T148,'THAM_SO'!$F$6))</f>
        <v/>
      </c>
      <c r="V148" s="224">
        <f>IF('DM_NHAN_SU'!$B148="","",MAX($T148-$U148,0))</f>
        <v/>
      </c>
      <c r="W148" s="224">
        <f>IF('DM_NHAN_SU'!$B148="","",'CHAM_CONG_THANG'!T148)</f>
        <v/>
      </c>
      <c r="X148" s="224">
        <f>IF('DM_NHAN_SU'!$B148="","",'CHAM_CONG_THANG'!U148)</f>
        <v/>
      </c>
      <c r="Y148" s="224">
        <f>IF('DM_NHAN_SU'!$B148="","",IF($B148="",0,IF('DM_NHAN_SU'!$Q148&gt;0,'DM_NHAN_SU'!$Q148,IF($G148="Tháng",IF($I148*$J148&gt;0,'DM_NHAN_SU'!$K148/($I148*$J148),0),IF($G148="Ngày",IF($J148&gt;0,'DM_NHAN_SU'!$K148/$J148,0),IF($G148="Giờ",'DM_NHAN_SU'!$K148,0))))))</f>
        <v/>
      </c>
      <c r="Z148" s="224">
        <f>IF('DM_NHAN_SU'!$B148="","",$Y148*($M148*'THAM_SO'!$C$22+'CHAM_CONG_THANG'!$AF148*'THAM_SO'!$C$19+'CHAM_CONG_THANG'!$AG148*'THAM_SO'!$C$20+'CHAM_CONG_THANG'!$AH148*'THAM_SO'!$C$21+'CHAM_CONG_THANG'!$AI148*'THAM_SO'!$C$23+'CHAM_CONG_THANG'!$AJ148*'THAM_SO'!$C$24+'CHAM_CONG_THANG'!$AK148*'THAM_SO'!$C$25))</f>
        <v/>
      </c>
      <c r="AA148" s="224">
        <f>IF('DM_NHAN_SU'!$B148="","",MAX(0,$Y148*($M148*IF('THAM_SO'!$C$22&gt;='THAM_SO'!$B$22,'THAM_SO'!$B$22,0)+'CHAM_CONG_THANG'!$AF148*IF('THAM_SO'!$C$19&gt;='THAM_SO'!$B$19,'THAM_SO'!$B$19,0)+'CHAM_CONG_THANG'!$AG148*IF('THAM_SO'!$C$20&gt;='THAM_SO'!$B$20,'THAM_SO'!$B$20,0)+'CHAM_CONG_THANG'!$AH148*IF('THAM_SO'!$C$21&gt;='THAM_SO'!$B$21,'THAM_SO'!$B$21,0)+'CHAM_CONG_THANG'!$AI148*IF('THAM_SO'!$C$23&gt;='THAM_SO'!$B$23,'THAM_SO'!$B$23,0)+'CHAM_CONG_THANG'!$AJ148*IF('THAM_SO'!$C$24&gt;='THAM_SO'!$B$24,'THAM_SO'!$B$24,0)+'CHAM_CONG_THANG'!$AK148*IF('THAM_SO'!$C$25&gt;='THAM_SO'!$B$25,'THAM_SO'!$B$25,0))-'CHAM_CONG_THANG'!$V148))</f>
        <v/>
      </c>
      <c r="AB148" s="224">
        <f>IF('DM_NHAN_SU'!$B148="","",MAX($Z148-$AA148,0))</f>
        <v/>
      </c>
      <c r="AC148" s="224">
        <f>IF('DM_NHAN_SU'!$B148="","",$O148+$P148+$Q148+$R148+$S148+$V148+$AB148+$BO148+$BP148+$BQ148+$BR148)</f>
        <v/>
      </c>
      <c r="AD148" s="224">
        <f>IF('DM_NHAN_SU'!$B148="","",'DM_NHAN_SU'!N148+'DM_NHAN_SU'!O148+'DM_NHAN_SU'!P148)</f>
        <v/>
      </c>
      <c r="AE148" s="224">
        <f>IF('DM_NHAN_SU'!$B148="","",IF(OR('DM_NHAN_SU'!$R148&lt;&gt;"Có",'CHAM_CONG_THANG'!$AA148="Có",$BL148&gt;=14,$AD148&lt;=0),0,MIN(MAX($AD148,'THAM_SO'!$M$6),'THAM_SO'!$M$7)))</f>
        <v/>
      </c>
      <c r="AF148" s="224">
        <f>IF('DM_NHAN_SU'!$B148="","",IF(OR('DM_NHAN_SU'!$S148&lt;&gt;"Có",'CHAM_CONG_THANG'!$AA148="Có",$BL148&gt;=14,$AD148&lt;=0),0,MIN(MAX($AD148,VLOOKUP($H148,'THAM_SO'!$L$17:$P$20,4,FALSE)),VLOOKUP($H148,'THAM_SO'!$L$17:$P$20,5,FALSE))))</f>
        <v/>
      </c>
      <c r="AG148" s="224">
        <f>IF('DM_NHAN_SU'!$B148="","",$AE148*'THAM_SO'!$M$8)</f>
        <v/>
      </c>
      <c r="AH148" s="224">
        <f>IF('DM_NHAN_SU'!$B148="","",$AE148*'THAM_SO'!$M$9)</f>
        <v/>
      </c>
      <c r="AI148" s="224">
        <f>IF('DM_NHAN_SU'!$B148="","",$AF148*'THAM_SO'!$M$10)</f>
        <v/>
      </c>
      <c r="AJ148" s="224">
        <f>IF('DM_NHAN_SU'!$B148="","",SUM($AG148:$AI148))</f>
        <v/>
      </c>
      <c r="AK148" s="224">
        <f>IF('DM_NHAN_SU'!$B148="","",IF($B148="",0,'THAM_SO'!$F$4))</f>
        <v/>
      </c>
      <c r="AL148" s="224">
        <f>IF('DM_NHAN_SU'!$B148="","",IF($B148="",0,'DM_NHAN_SU'!$T148*'THAM_SO'!$F$5))</f>
        <v/>
      </c>
      <c r="AM148" s="224">
        <f>IF('DM_NHAN_SU'!$B148="","",'CHAM_CONG_THANG'!W148)</f>
        <v/>
      </c>
      <c r="AN148" s="224">
        <f>IF('DM_NHAN_SU'!$B148="","",MAX($AC148-$AK148-$AL148-$AM148,0))</f>
        <v/>
      </c>
      <c r="AO148" s="224">
        <f>IF('DM_NHAN_SU'!$B148="","",IF($B148="","",IF($F148="Net",IF($AC148&lt;=$AK148+$AL148+$AM148,$AC148+$AJ148,$AJ148+$AK148+$AL148+$AM148+IF($AN148&lt;='THAM_SO'!$J$10,($AN148-'THAM_SO'!$I$10)/(1-'THAM_SO'!$H$10),IF($AN148&lt;='THAM_SO'!$J$11,($AN148-'THAM_SO'!$I$11)/(1-'THAM_SO'!$H$11),IF($AN148&lt;='THAM_SO'!$J$12,($AN148-'THAM_SO'!$I$12)/(1-'THAM_SO'!$H$12),IF($AN148&lt;='THAM_SO'!$J$13,($AN148-'THAM_SO'!$I$13)/(1-'THAM_SO'!$H$13),($AN148-'THAM_SO'!$I$14)/(1-'THAM_SO'!$H$14)))))),$AC148)))</f>
        <v/>
      </c>
      <c r="AP148" s="224">
        <f>IF('DM_NHAN_SU'!$B148="","",$U148+$W148+$X148+$AA148+$BS148)</f>
        <v/>
      </c>
      <c r="AQ148" s="224">
        <f>IF('DM_NHAN_SU'!$B148="","",MAX($AO148-$AJ148-$AK148-$AL148-$AM148,0))</f>
        <v/>
      </c>
      <c r="AR148" s="224">
        <f>IF('DM_NHAN_SU'!$B148="","",IF($AQ148&lt;=0,0,$AQ148*VLOOKUP($AQ148,'THAM_SO'!$F$10:$I$14,3,TRUE)-VLOOKUP($AQ148,'THAM_SO'!$F$10:$I$14,4,TRUE)))</f>
        <v/>
      </c>
      <c r="AS148" s="224">
        <f>IF('DM_NHAN_SU'!$B148="","",$AO148+$AP148)</f>
        <v/>
      </c>
      <c r="AT148" s="224">
        <f>IF('DM_NHAN_SU'!$B148="","",$AS148-$AJ148-$AR148)</f>
        <v/>
      </c>
      <c r="AU148" s="224">
        <f>IF('DM_NHAN_SU'!$B148="","",'CHAM_CONG_THANG'!X148)</f>
        <v/>
      </c>
      <c r="AV148" s="224">
        <f>IF('DM_NHAN_SU'!$B148="","",'CHAM_CONG_THANG'!Y148+'QT_NGHI_VIEC'!AD148)</f>
        <v/>
      </c>
      <c r="AW148" s="224">
        <f>IF('DM_NHAN_SU'!$B148="","",'CHAM_CONG_THANG'!Z148)</f>
        <v/>
      </c>
      <c r="AX148" s="224">
        <f>IF('DM_NHAN_SU'!$B148="","",$AT148-$AU148-$AV148-$AW148-$BV148)</f>
        <v/>
      </c>
      <c r="AY148" s="224">
        <f>IF('DM_NHAN_SU'!$B148="","",$AE148*'THAM_SO'!$M$11)</f>
        <v/>
      </c>
      <c r="AZ148" s="224">
        <f>IF('DM_NHAN_SU'!$B148="","",$AE148*'THAM_SO'!$M$12)</f>
        <v/>
      </c>
      <c r="BA148" s="224">
        <f>IF('DM_NHAN_SU'!$B148="","",$AF148*'THAM_SO'!$M$13)</f>
        <v/>
      </c>
      <c r="BB148" s="224">
        <f>IF('DM_NHAN_SU'!$B148="","",$AE148*'THAM_SO'!$M$14)</f>
        <v/>
      </c>
      <c r="BC148" s="224">
        <f>IF('DM_NHAN_SU'!$B148="","",SUM($AY148:$BB148))</f>
        <v/>
      </c>
      <c r="BD148" s="224">
        <f>IF('DM_NHAN_SU'!$B148="","",$AS148+$BC148)</f>
        <v/>
      </c>
      <c r="BE148" s="224">
        <f>IF('DM_NHAN_SU'!$B148="","",VLOOKUP($H148,'THAM_SO'!$L$17:$P$20,2,FALSE))</f>
        <v/>
      </c>
      <c r="BF148" s="224">
        <f>IF('DM_NHAN_SU'!$B148="","",VLOOKUP($H148,'THAM_SO'!$L$17:$P$20,3,FALSE))</f>
        <v/>
      </c>
      <c r="BG148" s="150">
        <f>IF('DM_NHAN_SU'!$B148="","",IF($B148="","",IF(COUNTIF('DM_NHAN_SU'!$B$6:$B$155,$B148)&gt;1,"Trùng mã NV; ","")&amp;IF(OR($F148="",$G148=""),"Thiếu loại/hình thức lương; ","")&amp;IF('CHAM_CONG_THANG'!$D148="","Chưa chọn nguồn công; ","")&amp;IF(AND('CHAM_CONG_THANG'!$D148="Theo ngày",COUNTIF('CHAM_CONG_NGAY'!$B$6:$B$4655,$B148)=0),"Chưa có chấm công ngày; ","")&amp;IF(OR($I148&lt;=0,$J148&lt;=0),"Thiếu công/giờ chuẩn; ","")&amp;IF(AND($G148="Tháng",'DM_NHAN_SU'!$K148&lt;$BE148),"Lương tháng dưới tối thiểu vùng; ","")&amp;IF(AND($G148="Ngày",'DM_NHAN_SU'!$K148/$J148&lt;$BF148),"Lương ngày quy đổi dưới tối thiểu giờ; ","")&amp;IF(AND($G148="Giờ",'DM_NHAN_SU'!$K148&lt;$BF148),"Lương giờ dưới tối thiểu vùng; ","")&amp;IF(AND($G148="Sản phẩm",$L148&gt;0,$O148/$L148&lt;$BF148),"Lương SP quy đổi dưới tối thiểu giờ; ","")&amp;IF(OR('THAM_SO'!$C$19&lt;'THAM_SO'!$B$19,'THAM_SO'!$C$20&lt;'THAM_SO'!$B$20,'THAM_SO'!$C$21&lt;'THAM_SO'!$B$21,'THAM_SO'!$C$22&lt;'THAM_SO'!$B$22,'THAM_SO'!$C$23&lt;'THAM_SO'!$B$23,'THAM_SO'!$C$24&lt;'THAM_SO'!$B$24,'THAM_SO'!$C$25&lt;'THAM_SO'!$B$25),"Hệ số OT/đêm DN thấp hơn luật; ","")&amp;IF(AND('DM_NHAN_SU'!$R148="Có",$AD148&lt;=0),"Thiếu căn cứ đóng BH; ","")&amp;IF(AND($AD148&gt;0,$AD148&lt;'THAM_SO'!$M$6),"Căn cứ BH dưới sàn – đã nâng sàn; ","")&amp;IF($AD148&gt;'THAM_SO'!$M$7,"Căn cứ BH vượt trần – đã giới hạn; ","")&amp;IF(AND($F148="Net",SUM('CHAM_CONG_THANG'!$AF148:$AK148)&gt;0,'DM_NHAN_SU'!$Q148&lt;=0),"Net có OT nhưng chưa khai lương giờ OT; ","")&amp;IF('CHAM_CONG_THANG'!$V148&gt;$Z148,"Phần OT không miễn lớn hơn tiền OT; ","")&amp;IF(AND($F148="Net",ABS($AT148-$AC148-$AP148)&gt;1),"Lệch quy đổi Net; ","")&amp;IF(AND($BH148&gt;0,'DM_NHAN_SU'!$AD148=""),"Có phép năm nhưng đang tạm dùng 12 ngày; ","")&amp;IF(AND($G148="Sản phẩm",SUM($BH148:$BJ148)&gt;0,'DM_NHAN_SU'!$AH148&lt;=0),"Lương sản phẩm thiếu đơn giá ngày phép/lễ; ","")&amp;IF(AND($BL148&gt;=14,'CHAM_CONG_THANG'!$AA148&lt;&gt;"Có"),"Thai sản từ 14 ngày: file tự dừng đóng BH – kiểm tra hồ sơ; ","")&amp;IF(AND('DM_NHAN_SU'!$AA148="Có",'DM_NHAN_SU'!$AB148=""),"Đoàn viên chưa chọn cách tính đoàn phí; ","")&amp;IF(AND('DM_NHAN_SU'!$AB148="Nhập tay",'DM_NHAN_SU'!$AC148&gt;'THAM_SO'!$M$26),"Đoàn phí nhập tay vượt trần thông dụng; ","")&amp;IF('NGHI_PHEP'!$L148&lt;&gt;"","Phép: "&amp;'NGHI_PHEP'!$L148,"")&amp;IF('CHE_DO_BHXH'!$AA148&lt;&gt;"","BHXH: "&amp;'CHE_DO_BHXH'!$AA148,"")&amp;IF('THUONG_T13_TET'!$O148&lt;&gt;"","Thưởng: "&amp;'THUONG_T13_TET'!$O148,"")&amp;IF('QT_NGHI_VIEC'!$AF148&lt;&gt;"","Nghỉ việc: "&amp;'QT_NGHI_VIEC'!$AF148,"")&amp;IF($AX148&lt;0,"Thực lĩnh âm; ","")&amp;IF(OR('DM_NHAN_SU'!$F148&gt;'THAM_SO'!$B$7,AND('DM_NHAN_SU'!$G148&lt;&gt;"",'DM_NHAN_SU'!$G148&lt;'THAM_SO'!$B$6)),"Ngoài kỳ trả lương; ","")))</f>
        <v/>
      </c>
      <c r="BH148" s="232">
        <f>IF('DM_NHAN_SU'!$B148="","",'CHAM_CONG_THANG'!AR148)</f>
        <v/>
      </c>
      <c r="BI148" s="232">
        <f>IF('DM_NHAN_SU'!$B148="","",'CHAM_CONG_THANG'!AS148)</f>
        <v/>
      </c>
      <c r="BJ148" s="232">
        <f>IF('DM_NHAN_SU'!$B148="","",'CHAM_CONG_THANG'!AT148)</f>
        <v/>
      </c>
      <c r="BK148" s="232">
        <f>IF('DM_NHAN_SU'!$B148="","",'CHAM_CONG_THANG'!AU148)</f>
        <v/>
      </c>
      <c r="BL148" s="232">
        <f>IF('DM_NHAN_SU'!$B148="","",'CHAM_CONG_THANG'!AV148)</f>
        <v/>
      </c>
      <c r="BM148" s="232">
        <f>IF('DM_NHAN_SU'!$B148="","",'CHAM_CONG_THANG'!AW148)</f>
        <v/>
      </c>
      <c r="BN148" s="232">
        <f>IF('DM_NHAN_SU'!$B148="","",SUM($K148,$BH148:$BJ148))</f>
        <v/>
      </c>
      <c r="BO148" s="224">
        <f>IF('DM_NHAN_SU'!$B148="","",IF($B148="",0,IF($G148="Tháng",IF($I148&gt;0,'DM_NHAN_SU'!$K148*MIN($BH148+$BJ148,MAX($I148-$K148,0))/$I148,0),IF($G148="Ngày",'DM_NHAN_SU'!$K148*SUM($BH148:$BJ148),IF($G148="Giờ",'DM_NHAN_SU'!$K148*SUM($BH148:$BJ148)*$J148,IF($G148="Sản phẩm",'DM_NHAN_SU'!$AH148*SUM($BH148:$BJ148),0))))))</f>
        <v/>
      </c>
      <c r="BP148" s="224">
        <f>IF('DM_NHAN_SU'!$B148="","",IF('THUONG_T13_TET'!$L148="Có",'THUONG_T13_TET'!$I148,0))</f>
        <v/>
      </c>
      <c r="BQ148" s="224">
        <f>IF('DM_NHAN_SU'!$B148="","",IF('THUONG_T13_TET'!$L148="Có",SUM('THUONG_T13_TET'!$J148:$K148),0))</f>
        <v/>
      </c>
      <c r="BR148" s="224">
        <f>IF('DM_NHAN_SU'!$B148="","",'QT_NGHI_VIEC'!AC148)</f>
        <v/>
      </c>
      <c r="BS148" s="224">
        <f>IF('DM_NHAN_SU'!$B148="","",'QT_NGHI_VIEC'!AB148)</f>
        <v/>
      </c>
      <c r="BT148" s="224">
        <f>IF('DM_NHAN_SU'!$B148="","",IF('CHE_DO_BHXH'!$Z148="Có",'CHE_DO_BHXH'!$W148,0))</f>
        <v/>
      </c>
      <c r="BU148" s="224">
        <f>IF('DM_NHAN_SU'!$B148="","",IF('CHE_DO_BHXH'!$Y148="DN trả thay",$BT148,0))</f>
        <v/>
      </c>
      <c r="BV148" s="224">
        <f>IF('DM_NHAN_SU'!$B148="","",IF(OR('DM_NHAN_SU'!$AA148&lt;&gt;"Có",'CHE_DO_BHXH'!$O148&gt;=1,SUM('CHE_DO_BHXH'!$D148,'CHE_DO_BHXH'!$G148,'CHE_DO_BHXH'!$K148)&gt;=24,AND($I148&gt;0,$BM148&gt;=$I148)),0,IF('DM_NHAN_SU'!$AB148="Không",0,IF('DM_NHAN_SU'!$AB148="Nhập tay",'DM_NHAN_SU'!$AC148,IF('DM_NHAN_SU'!$AB148="Theo thực nhận",MIN(MAX($AT148-$AU148-$AV148-$AW148,0)*'THAM_SO'!$M$23,'THAM_SO'!$M$26),MIN($AE148*'THAM_SO'!$M$23,'THAM_SO'!$M$26))))))</f>
        <v/>
      </c>
      <c r="BW148" s="224">
        <f>IF('DM_NHAN_SU'!$B148="","",$AX148+$BU148)</f>
        <v/>
      </c>
    </row>
    <row r="149">
      <c r="A149" s="145">
        <f>IF('DM_NHAN_SU'!$B149="","",IF($B149="","",ROW()-5))</f>
        <v/>
      </c>
      <c r="B149" s="145">
        <f>IF('DM_NHAN_SU'!$B149="","",'DM_NHAN_SU'!B149)</f>
        <v/>
      </c>
      <c r="C149" s="145">
        <f>IF('DM_NHAN_SU'!$B149="","",'DM_NHAN_SU'!C149)</f>
        <v/>
      </c>
      <c r="D149" s="145">
        <f>IF('DM_NHAN_SU'!$B149="","",'DM_NHAN_SU'!D149)</f>
        <v/>
      </c>
      <c r="E149" s="145">
        <f>IF('DM_NHAN_SU'!$B149="","",'DM_NHAN_SU'!E149)</f>
        <v/>
      </c>
      <c r="F149" s="145">
        <f>IF('DM_NHAN_SU'!$B149="","",'DM_NHAN_SU'!I149)</f>
        <v/>
      </c>
      <c r="G149" s="145">
        <f>IF('DM_NHAN_SU'!$B149="","",'DM_NHAN_SU'!J149)</f>
        <v/>
      </c>
      <c r="H149" s="145">
        <f>IF('DM_NHAN_SU'!$B149="","",IF('DM_NHAN_SU'!H149="",'THAM_SO'!$B$11,'DM_NHAN_SU'!H149))</f>
        <v/>
      </c>
      <c r="I149" s="232">
        <f>IF('DM_NHAN_SU'!$B149="","",IF('DM_NHAN_SU'!L149&gt;0,'DM_NHAN_SU'!L149,'THAM_SO'!$B$9))</f>
        <v/>
      </c>
      <c r="J149" s="232">
        <f>IF('DM_NHAN_SU'!$B149="","",IF('DM_NHAN_SU'!M149&gt;0,'DM_NHAN_SU'!M149,'THAM_SO'!$B$10))</f>
        <v/>
      </c>
      <c r="K149" s="232">
        <f>IF('DM_NHAN_SU'!$B149="","",'CHAM_CONG_THANG'!AC149)</f>
        <v/>
      </c>
      <c r="L149" s="232">
        <f>IF('DM_NHAN_SU'!$B149="","",'CHAM_CONG_THANG'!AD149)</f>
        <v/>
      </c>
      <c r="M149" s="232">
        <f>IF('DM_NHAN_SU'!$B149="","",'CHAM_CONG_THANG'!AE149)</f>
        <v/>
      </c>
      <c r="N149" s="232">
        <f>IF('DM_NHAN_SU'!$B149="","",'CHAM_CONG_THANG'!N149)</f>
        <v/>
      </c>
      <c r="O149" s="224">
        <f>IF('DM_NHAN_SU'!$B149="","",IF($B149="","",IF($G149="Tháng",IF($I149&gt;0,'DM_NHAN_SU'!$K149*MIN($K149,$I149)/$I149,0),IF($G149="Ngày",'DM_NHAN_SU'!$K149*$K149,IF($G149="Giờ",'DM_NHAN_SU'!$K149*$L149,IF($G149="Sản phẩm",'DM_NHAN_SU'!$K149*$N149,0))))))</f>
        <v/>
      </c>
      <c r="P149" s="224">
        <f>IF('DM_NHAN_SU'!$B149="","",'CHAM_CONG_THANG'!O149)</f>
        <v/>
      </c>
      <c r="Q149" s="224">
        <f>IF('DM_NHAN_SU'!$B149="","",'CHAM_CONG_THANG'!P149)</f>
        <v/>
      </c>
      <c r="R149" s="224">
        <f>IF('DM_NHAN_SU'!$B149="","",'CHAM_CONG_THANG'!Q149)</f>
        <v/>
      </c>
      <c r="S149" s="224">
        <f>IF('DM_NHAN_SU'!$B149="","",'CHAM_CONG_THANG'!R149)</f>
        <v/>
      </c>
      <c r="T149" s="224">
        <f>IF('DM_NHAN_SU'!$B149="","",'CHAM_CONG_THANG'!S149)</f>
        <v/>
      </c>
      <c r="U149" s="224">
        <f>IF('DM_NHAN_SU'!$B149="","",MIN($T149,'THAM_SO'!$F$6))</f>
        <v/>
      </c>
      <c r="V149" s="224">
        <f>IF('DM_NHAN_SU'!$B149="","",MAX($T149-$U149,0))</f>
        <v/>
      </c>
      <c r="W149" s="224">
        <f>IF('DM_NHAN_SU'!$B149="","",'CHAM_CONG_THANG'!T149)</f>
        <v/>
      </c>
      <c r="X149" s="224">
        <f>IF('DM_NHAN_SU'!$B149="","",'CHAM_CONG_THANG'!U149)</f>
        <v/>
      </c>
      <c r="Y149" s="224">
        <f>IF('DM_NHAN_SU'!$B149="","",IF($B149="",0,IF('DM_NHAN_SU'!$Q149&gt;0,'DM_NHAN_SU'!$Q149,IF($G149="Tháng",IF($I149*$J149&gt;0,'DM_NHAN_SU'!$K149/($I149*$J149),0),IF($G149="Ngày",IF($J149&gt;0,'DM_NHAN_SU'!$K149/$J149,0),IF($G149="Giờ",'DM_NHAN_SU'!$K149,0))))))</f>
        <v/>
      </c>
      <c r="Z149" s="224">
        <f>IF('DM_NHAN_SU'!$B149="","",$Y149*($M149*'THAM_SO'!$C$22+'CHAM_CONG_THANG'!$AF149*'THAM_SO'!$C$19+'CHAM_CONG_THANG'!$AG149*'THAM_SO'!$C$20+'CHAM_CONG_THANG'!$AH149*'THAM_SO'!$C$21+'CHAM_CONG_THANG'!$AI149*'THAM_SO'!$C$23+'CHAM_CONG_THANG'!$AJ149*'THAM_SO'!$C$24+'CHAM_CONG_THANG'!$AK149*'THAM_SO'!$C$25))</f>
        <v/>
      </c>
      <c r="AA149" s="224">
        <f>IF('DM_NHAN_SU'!$B149="","",MAX(0,$Y149*($M149*IF('THAM_SO'!$C$22&gt;='THAM_SO'!$B$22,'THAM_SO'!$B$22,0)+'CHAM_CONG_THANG'!$AF149*IF('THAM_SO'!$C$19&gt;='THAM_SO'!$B$19,'THAM_SO'!$B$19,0)+'CHAM_CONG_THANG'!$AG149*IF('THAM_SO'!$C$20&gt;='THAM_SO'!$B$20,'THAM_SO'!$B$20,0)+'CHAM_CONG_THANG'!$AH149*IF('THAM_SO'!$C$21&gt;='THAM_SO'!$B$21,'THAM_SO'!$B$21,0)+'CHAM_CONG_THANG'!$AI149*IF('THAM_SO'!$C$23&gt;='THAM_SO'!$B$23,'THAM_SO'!$B$23,0)+'CHAM_CONG_THANG'!$AJ149*IF('THAM_SO'!$C$24&gt;='THAM_SO'!$B$24,'THAM_SO'!$B$24,0)+'CHAM_CONG_THANG'!$AK149*IF('THAM_SO'!$C$25&gt;='THAM_SO'!$B$25,'THAM_SO'!$B$25,0))-'CHAM_CONG_THANG'!$V149))</f>
        <v/>
      </c>
      <c r="AB149" s="224">
        <f>IF('DM_NHAN_SU'!$B149="","",MAX($Z149-$AA149,0))</f>
        <v/>
      </c>
      <c r="AC149" s="224">
        <f>IF('DM_NHAN_SU'!$B149="","",$O149+$P149+$Q149+$R149+$S149+$V149+$AB149+$BO149+$BP149+$BQ149+$BR149)</f>
        <v/>
      </c>
      <c r="AD149" s="224">
        <f>IF('DM_NHAN_SU'!$B149="","",'DM_NHAN_SU'!N149+'DM_NHAN_SU'!O149+'DM_NHAN_SU'!P149)</f>
        <v/>
      </c>
      <c r="AE149" s="224">
        <f>IF('DM_NHAN_SU'!$B149="","",IF(OR('DM_NHAN_SU'!$R149&lt;&gt;"Có",'CHAM_CONG_THANG'!$AA149="Có",$BL149&gt;=14,$AD149&lt;=0),0,MIN(MAX($AD149,'THAM_SO'!$M$6),'THAM_SO'!$M$7)))</f>
        <v/>
      </c>
      <c r="AF149" s="224">
        <f>IF('DM_NHAN_SU'!$B149="","",IF(OR('DM_NHAN_SU'!$S149&lt;&gt;"Có",'CHAM_CONG_THANG'!$AA149="Có",$BL149&gt;=14,$AD149&lt;=0),0,MIN(MAX($AD149,VLOOKUP($H149,'THAM_SO'!$L$17:$P$20,4,FALSE)),VLOOKUP($H149,'THAM_SO'!$L$17:$P$20,5,FALSE))))</f>
        <v/>
      </c>
      <c r="AG149" s="224">
        <f>IF('DM_NHAN_SU'!$B149="","",$AE149*'THAM_SO'!$M$8)</f>
        <v/>
      </c>
      <c r="AH149" s="224">
        <f>IF('DM_NHAN_SU'!$B149="","",$AE149*'THAM_SO'!$M$9)</f>
        <v/>
      </c>
      <c r="AI149" s="224">
        <f>IF('DM_NHAN_SU'!$B149="","",$AF149*'THAM_SO'!$M$10)</f>
        <v/>
      </c>
      <c r="AJ149" s="224">
        <f>IF('DM_NHAN_SU'!$B149="","",SUM($AG149:$AI149))</f>
        <v/>
      </c>
      <c r="AK149" s="224">
        <f>IF('DM_NHAN_SU'!$B149="","",IF($B149="",0,'THAM_SO'!$F$4))</f>
        <v/>
      </c>
      <c r="AL149" s="224">
        <f>IF('DM_NHAN_SU'!$B149="","",IF($B149="",0,'DM_NHAN_SU'!$T149*'THAM_SO'!$F$5))</f>
        <v/>
      </c>
      <c r="AM149" s="224">
        <f>IF('DM_NHAN_SU'!$B149="","",'CHAM_CONG_THANG'!W149)</f>
        <v/>
      </c>
      <c r="AN149" s="224">
        <f>IF('DM_NHAN_SU'!$B149="","",MAX($AC149-$AK149-$AL149-$AM149,0))</f>
        <v/>
      </c>
      <c r="AO149" s="224">
        <f>IF('DM_NHAN_SU'!$B149="","",IF($B149="","",IF($F149="Net",IF($AC149&lt;=$AK149+$AL149+$AM149,$AC149+$AJ149,$AJ149+$AK149+$AL149+$AM149+IF($AN149&lt;='THAM_SO'!$J$10,($AN149-'THAM_SO'!$I$10)/(1-'THAM_SO'!$H$10),IF($AN149&lt;='THAM_SO'!$J$11,($AN149-'THAM_SO'!$I$11)/(1-'THAM_SO'!$H$11),IF($AN149&lt;='THAM_SO'!$J$12,($AN149-'THAM_SO'!$I$12)/(1-'THAM_SO'!$H$12),IF($AN149&lt;='THAM_SO'!$J$13,($AN149-'THAM_SO'!$I$13)/(1-'THAM_SO'!$H$13),($AN149-'THAM_SO'!$I$14)/(1-'THAM_SO'!$H$14)))))),$AC149)))</f>
        <v/>
      </c>
      <c r="AP149" s="224">
        <f>IF('DM_NHAN_SU'!$B149="","",$U149+$W149+$X149+$AA149+$BS149)</f>
        <v/>
      </c>
      <c r="AQ149" s="224">
        <f>IF('DM_NHAN_SU'!$B149="","",MAX($AO149-$AJ149-$AK149-$AL149-$AM149,0))</f>
        <v/>
      </c>
      <c r="AR149" s="224">
        <f>IF('DM_NHAN_SU'!$B149="","",IF($AQ149&lt;=0,0,$AQ149*VLOOKUP($AQ149,'THAM_SO'!$F$10:$I$14,3,TRUE)-VLOOKUP($AQ149,'THAM_SO'!$F$10:$I$14,4,TRUE)))</f>
        <v/>
      </c>
      <c r="AS149" s="224">
        <f>IF('DM_NHAN_SU'!$B149="","",$AO149+$AP149)</f>
        <v/>
      </c>
      <c r="AT149" s="224">
        <f>IF('DM_NHAN_SU'!$B149="","",$AS149-$AJ149-$AR149)</f>
        <v/>
      </c>
      <c r="AU149" s="224">
        <f>IF('DM_NHAN_SU'!$B149="","",'CHAM_CONG_THANG'!X149)</f>
        <v/>
      </c>
      <c r="AV149" s="224">
        <f>IF('DM_NHAN_SU'!$B149="","",'CHAM_CONG_THANG'!Y149+'QT_NGHI_VIEC'!AD149)</f>
        <v/>
      </c>
      <c r="AW149" s="224">
        <f>IF('DM_NHAN_SU'!$B149="","",'CHAM_CONG_THANG'!Z149)</f>
        <v/>
      </c>
      <c r="AX149" s="224">
        <f>IF('DM_NHAN_SU'!$B149="","",$AT149-$AU149-$AV149-$AW149-$BV149)</f>
        <v/>
      </c>
      <c r="AY149" s="224">
        <f>IF('DM_NHAN_SU'!$B149="","",$AE149*'THAM_SO'!$M$11)</f>
        <v/>
      </c>
      <c r="AZ149" s="224">
        <f>IF('DM_NHAN_SU'!$B149="","",$AE149*'THAM_SO'!$M$12)</f>
        <v/>
      </c>
      <c r="BA149" s="224">
        <f>IF('DM_NHAN_SU'!$B149="","",$AF149*'THAM_SO'!$M$13)</f>
        <v/>
      </c>
      <c r="BB149" s="224">
        <f>IF('DM_NHAN_SU'!$B149="","",$AE149*'THAM_SO'!$M$14)</f>
        <v/>
      </c>
      <c r="BC149" s="224">
        <f>IF('DM_NHAN_SU'!$B149="","",SUM($AY149:$BB149))</f>
        <v/>
      </c>
      <c r="BD149" s="224">
        <f>IF('DM_NHAN_SU'!$B149="","",$AS149+$BC149)</f>
        <v/>
      </c>
      <c r="BE149" s="224">
        <f>IF('DM_NHAN_SU'!$B149="","",VLOOKUP($H149,'THAM_SO'!$L$17:$P$20,2,FALSE))</f>
        <v/>
      </c>
      <c r="BF149" s="224">
        <f>IF('DM_NHAN_SU'!$B149="","",VLOOKUP($H149,'THAM_SO'!$L$17:$P$20,3,FALSE))</f>
        <v/>
      </c>
      <c r="BG149" s="150">
        <f>IF('DM_NHAN_SU'!$B149="","",IF($B149="","",IF(COUNTIF('DM_NHAN_SU'!$B$6:$B$155,$B149)&gt;1,"Trùng mã NV; ","")&amp;IF(OR($F149="",$G149=""),"Thiếu loại/hình thức lương; ","")&amp;IF('CHAM_CONG_THANG'!$D149="","Chưa chọn nguồn công; ","")&amp;IF(AND('CHAM_CONG_THANG'!$D149="Theo ngày",COUNTIF('CHAM_CONG_NGAY'!$B$6:$B$4655,$B149)=0),"Chưa có chấm công ngày; ","")&amp;IF(OR($I149&lt;=0,$J149&lt;=0),"Thiếu công/giờ chuẩn; ","")&amp;IF(AND($G149="Tháng",'DM_NHAN_SU'!$K149&lt;$BE149),"Lương tháng dưới tối thiểu vùng; ","")&amp;IF(AND($G149="Ngày",'DM_NHAN_SU'!$K149/$J149&lt;$BF149),"Lương ngày quy đổi dưới tối thiểu giờ; ","")&amp;IF(AND($G149="Giờ",'DM_NHAN_SU'!$K149&lt;$BF149),"Lương giờ dưới tối thiểu vùng; ","")&amp;IF(AND($G149="Sản phẩm",$L149&gt;0,$O149/$L149&lt;$BF149),"Lương SP quy đổi dưới tối thiểu giờ; ","")&amp;IF(OR('THAM_SO'!$C$19&lt;'THAM_SO'!$B$19,'THAM_SO'!$C$20&lt;'THAM_SO'!$B$20,'THAM_SO'!$C$21&lt;'THAM_SO'!$B$21,'THAM_SO'!$C$22&lt;'THAM_SO'!$B$22,'THAM_SO'!$C$23&lt;'THAM_SO'!$B$23,'THAM_SO'!$C$24&lt;'THAM_SO'!$B$24,'THAM_SO'!$C$25&lt;'THAM_SO'!$B$25),"Hệ số OT/đêm DN thấp hơn luật; ","")&amp;IF(AND('DM_NHAN_SU'!$R149="Có",$AD149&lt;=0),"Thiếu căn cứ đóng BH; ","")&amp;IF(AND($AD149&gt;0,$AD149&lt;'THAM_SO'!$M$6),"Căn cứ BH dưới sàn – đã nâng sàn; ","")&amp;IF($AD149&gt;'THAM_SO'!$M$7,"Căn cứ BH vượt trần – đã giới hạn; ","")&amp;IF(AND($F149="Net",SUM('CHAM_CONG_THANG'!$AF149:$AK149)&gt;0,'DM_NHAN_SU'!$Q149&lt;=0),"Net có OT nhưng chưa khai lương giờ OT; ","")&amp;IF('CHAM_CONG_THANG'!$V149&gt;$Z149,"Phần OT không miễn lớn hơn tiền OT; ","")&amp;IF(AND($F149="Net",ABS($AT149-$AC149-$AP149)&gt;1),"Lệch quy đổi Net; ","")&amp;IF(AND($BH149&gt;0,'DM_NHAN_SU'!$AD149=""),"Có phép năm nhưng đang tạm dùng 12 ngày; ","")&amp;IF(AND($G149="Sản phẩm",SUM($BH149:$BJ149)&gt;0,'DM_NHAN_SU'!$AH149&lt;=0),"Lương sản phẩm thiếu đơn giá ngày phép/lễ; ","")&amp;IF(AND($BL149&gt;=14,'CHAM_CONG_THANG'!$AA149&lt;&gt;"Có"),"Thai sản từ 14 ngày: file tự dừng đóng BH – kiểm tra hồ sơ; ","")&amp;IF(AND('DM_NHAN_SU'!$AA149="Có",'DM_NHAN_SU'!$AB149=""),"Đoàn viên chưa chọn cách tính đoàn phí; ","")&amp;IF(AND('DM_NHAN_SU'!$AB149="Nhập tay",'DM_NHAN_SU'!$AC149&gt;'THAM_SO'!$M$26),"Đoàn phí nhập tay vượt trần thông dụng; ","")&amp;IF('NGHI_PHEP'!$L149&lt;&gt;"","Phép: "&amp;'NGHI_PHEP'!$L149,"")&amp;IF('CHE_DO_BHXH'!$AA149&lt;&gt;"","BHXH: "&amp;'CHE_DO_BHXH'!$AA149,"")&amp;IF('THUONG_T13_TET'!$O149&lt;&gt;"","Thưởng: "&amp;'THUONG_T13_TET'!$O149,"")&amp;IF('QT_NGHI_VIEC'!$AF149&lt;&gt;"","Nghỉ việc: "&amp;'QT_NGHI_VIEC'!$AF149,"")&amp;IF($AX149&lt;0,"Thực lĩnh âm; ","")&amp;IF(OR('DM_NHAN_SU'!$F149&gt;'THAM_SO'!$B$7,AND('DM_NHAN_SU'!$G149&lt;&gt;"",'DM_NHAN_SU'!$G149&lt;'THAM_SO'!$B$6)),"Ngoài kỳ trả lương; ","")))</f>
        <v/>
      </c>
      <c r="BH149" s="232">
        <f>IF('DM_NHAN_SU'!$B149="","",'CHAM_CONG_THANG'!AR149)</f>
        <v/>
      </c>
      <c r="BI149" s="232">
        <f>IF('DM_NHAN_SU'!$B149="","",'CHAM_CONG_THANG'!AS149)</f>
        <v/>
      </c>
      <c r="BJ149" s="232">
        <f>IF('DM_NHAN_SU'!$B149="","",'CHAM_CONG_THANG'!AT149)</f>
        <v/>
      </c>
      <c r="BK149" s="232">
        <f>IF('DM_NHAN_SU'!$B149="","",'CHAM_CONG_THANG'!AU149)</f>
        <v/>
      </c>
      <c r="BL149" s="232">
        <f>IF('DM_NHAN_SU'!$B149="","",'CHAM_CONG_THANG'!AV149)</f>
        <v/>
      </c>
      <c r="BM149" s="232">
        <f>IF('DM_NHAN_SU'!$B149="","",'CHAM_CONG_THANG'!AW149)</f>
        <v/>
      </c>
      <c r="BN149" s="232">
        <f>IF('DM_NHAN_SU'!$B149="","",SUM($K149,$BH149:$BJ149))</f>
        <v/>
      </c>
      <c r="BO149" s="224">
        <f>IF('DM_NHAN_SU'!$B149="","",IF($B149="",0,IF($G149="Tháng",IF($I149&gt;0,'DM_NHAN_SU'!$K149*MIN($BH149+$BJ149,MAX($I149-$K149,0))/$I149,0),IF($G149="Ngày",'DM_NHAN_SU'!$K149*SUM($BH149:$BJ149),IF($G149="Giờ",'DM_NHAN_SU'!$K149*SUM($BH149:$BJ149)*$J149,IF($G149="Sản phẩm",'DM_NHAN_SU'!$AH149*SUM($BH149:$BJ149),0))))))</f>
        <v/>
      </c>
      <c r="BP149" s="224">
        <f>IF('DM_NHAN_SU'!$B149="","",IF('THUONG_T13_TET'!$L149="Có",'THUONG_T13_TET'!$I149,0))</f>
        <v/>
      </c>
      <c r="BQ149" s="224">
        <f>IF('DM_NHAN_SU'!$B149="","",IF('THUONG_T13_TET'!$L149="Có",SUM('THUONG_T13_TET'!$J149:$K149),0))</f>
        <v/>
      </c>
      <c r="BR149" s="224">
        <f>IF('DM_NHAN_SU'!$B149="","",'QT_NGHI_VIEC'!AC149)</f>
        <v/>
      </c>
      <c r="BS149" s="224">
        <f>IF('DM_NHAN_SU'!$B149="","",'QT_NGHI_VIEC'!AB149)</f>
        <v/>
      </c>
      <c r="BT149" s="224">
        <f>IF('DM_NHAN_SU'!$B149="","",IF('CHE_DO_BHXH'!$Z149="Có",'CHE_DO_BHXH'!$W149,0))</f>
        <v/>
      </c>
      <c r="BU149" s="224">
        <f>IF('DM_NHAN_SU'!$B149="","",IF('CHE_DO_BHXH'!$Y149="DN trả thay",$BT149,0))</f>
        <v/>
      </c>
      <c r="BV149" s="224">
        <f>IF('DM_NHAN_SU'!$B149="","",IF(OR('DM_NHAN_SU'!$AA149&lt;&gt;"Có",'CHE_DO_BHXH'!$O149&gt;=1,SUM('CHE_DO_BHXH'!$D149,'CHE_DO_BHXH'!$G149,'CHE_DO_BHXH'!$K149)&gt;=24,AND($I149&gt;0,$BM149&gt;=$I149)),0,IF('DM_NHAN_SU'!$AB149="Không",0,IF('DM_NHAN_SU'!$AB149="Nhập tay",'DM_NHAN_SU'!$AC149,IF('DM_NHAN_SU'!$AB149="Theo thực nhận",MIN(MAX($AT149-$AU149-$AV149-$AW149,0)*'THAM_SO'!$M$23,'THAM_SO'!$M$26),MIN($AE149*'THAM_SO'!$M$23,'THAM_SO'!$M$26))))))</f>
        <v/>
      </c>
      <c r="BW149" s="224">
        <f>IF('DM_NHAN_SU'!$B149="","",$AX149+$BU149)</f>
        <v/>
      </c>
    </row>
    <row r="150">
      <c r="A150" s="145">
        <f>IF('DM_NHAN_SU'!$B150="","",IF($B150="","",ROW()-5))</f>
        <v/>
      </c>
      <c r="B150" s="145">
        <f>IF('DM_NHAN_SU'!$B150="","",'DM_NHAN_SU'!B150)</f>
        <v/>
      </c>
      <c r="C150" s="145">
        <f>IF('DM_NHAN_SU'!$B150="","",'DM_NHAN_SU'!C150)</f>
        <v/>
      </c>
      <c r="D150" s="145">
        <f>IF('DM_NHAN_SU'!$B150="","",'DM_NHAN_SU'!D150)</f>
        <v/>
      </c>
      <c r="E150" s="145">
        <f>IF('DM_NHAN_SU'!$B150="","",'DM_NHAN_SU'!E150)</f>
        <v/>
      </c>
      <c r="F150" s="145">
        <f>IF('DM_NHAN_SU'!$B150="","",'DM_NHAN_SU'!I150)</f>
        <v/>
      </c>
      <c r="G150" s="145">
        <f>IF('DM_NHAN_SU'!$B150="","",'DM_NHAN_SU'!J150)</f>
        <v/>
      </c>
      <c r="H150" s="145">
        <f>IF('DM_NHAN_SU'!$B150="","",IF('DM_NHAN_SU'!H150="",'THAM_SO'!$B$11,'DM_NHAN_SU'!H150))</f>
        <v/>
      </c>
      <c r="I150" s="232">
        <f>IF('DM_NHAN_SU'!$B150="","",IF('DM_NHAN_SU'!L150&gt;0,'DM_NHAN_SU'!L150,'THAM_SO'!$B$9))</f>
        <v/>
      </c>
      <c r="J150" s="232">
        <f>IF('DM_NHAN_SU'!$B150="","",IF('DM_NHAN_SU'!M150&gt;0,'DM_NHAN_SU'!M150,'THAM_SO'!$B$10))</f>
        <v/>
      </c>
      <c r="K150" s="232">
        <f>IF('DM_NHAN_SU'!$B150="","",'CHAM_CONG_THANG'!AC150)</f>
        <v/>
      </c>
      <c r="L150" s="232">
        <f>IF('DM_NHAN_SU'!$B150="","",'CHAM_CONG_THANG'!AD150)</f>
        <v/>
      </c>
      <c r="M150" s="232">
        <f>IF('DM_NHAN_SU'!$B150="","",'CHAM_CONG_THANG'!AE150)</f>
        <v/>
      </c>
      <c r="N150" s="232">
        <f>IF('DM_NHAN_SU'!$B150="","",'CHAM_CONG_THANG'!N150)</f>
        <v/>
      </c>
      <c r="O150" s="224">
        <f>IF('DM_NHAN_SU'!$B150="","",IF($B150="","",IF($G150="Tháng",IF($I150&gt;0,'DM_NHAN_SU'!$K150*MIN($K150,$I150)/$I150,0),IF($G150="Ngày",'DM_NHAN_SU'!$K150*$K150,IF($G150="Giờ",'DM_NHAN_SU'!$K150*$L150,IF($G150="Sản phẩm",'DM_NHAN_SU'!$K150*$N150,0))))))</f>
        <v/>
      </c>
      <c r="P150" s="224">
        <f>IF('DM_NHAN_SU'!$B150="","",'CHAM_CONG_THANG'!O150)</f>
        <v/>
      </c>
      <c r="Q150" s="224">
        <f>IF('DM_NHAN_SU'!$B150="","",'CHAM_CONG_THANG'!P150)</f>
        <v/>
      </c>
      <c r="R150" s="224">
        <f>IF('DM_NHAN_SU'!$B150="","",'CHAM_CONG_THANG'!Q150)</f>
        <v/>
      </c>
      <c r="S150" s="224">
        <f>IF('DM_NHAN_SU'!$B150="","",'CHAM_CONG_THANG'!R150)</f>
        <v/>
      </c>
      <c r="T150" s="224">
        <f>IF('DM_NHAN_SU'!$B150="","",'CHAM_CONG_THANG'!S150)</f>
        <v/>
      </c>
      <c r="U150" s="224">
        <f>IF('DM_NHAN_SU'!$B150="","",MIN($T150,'THAM_SO'!$F$6))</f>
        <v/>
      </c>
      <c r="V150" s="224">
        <f>IF('DM_NHAN_SU'!$B150="","",MAX($T150-$U150,0))</f>
        <v/>
      </c>
      <c r="W150" s="224">
        <f>IF('DM_NHAN_SU'!$B150="","",'CHAM_CONG_THANG'!T150)</f>
        <v/>
      </c>
      <c r="X150" s="224">
        <f>IF('DM_NHAN_SU'!$B150="","",'CHAM_CONG_THANG'!U150)</f>
        <v/>
      </c>
      <c r="Y150" s="224">
        <f>IF('DM_NHAN_SU'!$B150="","",IF($B150="",0,IF('DM_NHAN_SU'!$Q150&gt;0,'DM_NHAN_SU'!$Q150,IF($G150="Tháng",IF($I150*$J150&gt;0,'DM_NHAN_SU'!$K150/($I150*$J150),0),IF($G150="Ngày",IF($J150&gt;0,'DM_NHAN_SU'!$K150/$J150,0),IF($G150="Giờ",'DM_NHAN_SU'!$K150,0))))))</f>
        <v/>
      </c>
      <c r="Z150" s="224">
        <f>IF('DM_NHAN_SU'!$B150="","",$Y150*($M150*'THAM_SO'!$C$22+'CHAM_CONG_THANG'!$AF150*'THAM_SO'!$C$19+'CHAM_CONG_THANG'!$AG150*'THAM_SO'!$C$20+'CHAM_CONG_THANG'!$AH150*'THAM_SO'!$C$21+'CHAM_CONG_THANG'!$AI150*'THAM_SO'!$C$23+'CHAM_CONG_THANG'!$AJ150*'THAM_SO'!$C$24+'CHAM_CONG_THANG'!$AK150*'THAM_SO'!$C$25))</f>
        <v/>
      </c>
      <c r="AA150" s="224">
        <f>IF('DM_NHAN_SU'!$B150="","",MAX(0,$Y150*($M150*IF('THAM_SO'!$C$22&gt;='THAM_SO'!$B$22,'THAM_SO'!$B$22,0)+'CHAM_CONG_THANG'!$AF150*IF('THAM_SO'!$C$19&gt;='THAM_SO'!$B$19,'THAM_SO'!$B$19,0)+'CHAM_CONG_THANG'!$AG150*IF('THAM_SO'!$C$20&gt;='THAM_SO'!$B$20,'THAM_SO'!$B$20,0)+'CHAM_CONG_THANG'!$AH150*IF('THAM_SO'!$C$21&gt;='THAM_SO'!$B$21,'THAM_SO'!$B$21,0)+'CHAM_CONG_THANG'!$AI150*IF('THAM_SO'!$C$23&gt;='THAM_SO'!$B$23,'THAM_SO'!$B$23,0)+'CHAM_CONG_THANG'!$AJ150*IF('THAM_SO'!$C$24&gt;='THAM_SO'!$B$24,'THAM_SO'!$B$24,0)+'CHAM_CONG_THANG'!$AK150*IF('THAM_SO'!$C$25&gt;='THAM_SO'!$B$25,'THAM_SO'!$B$25,0))-'CHAM_CONG_THANG'!$V150))</f>
        <v/>
      </c>
      <c r="AB150" s="224">
        <f>IF('DM_NHAN_SU'!$B150="","",MAX($Z150-$AA150,0))</f>
        <v/>
      </c>
      <c r="AC150" s="224">
        <f>IF('DM_NHAN_SU'!$B150="","",$O150+$P150+$Q150+$R150+$S150+$V150+$AB150+$BO150+$BP150+$BQ150+$BR150)</f>
        <v/>
      </c>
      <c r="AD150" s="224">
        <f>IF('DM_NHAN_SU'!$B150="","",'DM_NHAN_SU'!N150+'DM_NHAN_SU'!O150+'DM_NHAN_SU'!P150)</f>
        <v/>
      </c>
      <c r="AE150" s="224">
        <f>IF('DM_NHAN_SU'!$B150="","",IF(OR('DM_NHAN_SU'!$R150&lt;&gt;"Có",'CHAM_CONG_THANG'!$AA150="Có",$BL150&gt;=14,$AD150&lt;=0),0,MIN(MAX($AD150,'THAM_SO'!$M$6),'THAM_SO'!$M$7)))</f>
        <v/>
      </c>
      <c r="AF150" s="224">
        <f>IF('DM_NHAN_SU'!$B150="","",IF(OR('DM_NHAN_SU'!$S150&lt;&gt;"Có",'CHAM_CONG_THANG'!$AA150="Có",$BL150&gt;=14,$AD150&lt;=0),0,MIN(MAX($AD150,VLOOKUP($H150,'THAM_SO'!$L$17:$P$20,4,FALSE)),VLOOKUP($H150,'THAM_SO'!$L$17:$P$20,5,FALSE))))</f>
        <v/>
      </c>
      <c r="AG150" s="224">
        <f>IF('DM_NHAN_SU'!$B150="","",$AE150*'THAM_SO'!$M$8)</f>
        <v/>
      </c>
      <c r="AH150" s="224">
        <f>IF('DM_NHAN_SU'!$B150="","",$AE150*'THAM_SO'!$M$9)</f>
        <v/>
      </c>
      <c r="AI150" s="224">
        <f>IF('DM_NHAN_SU'!$B150="","",$AF150*'THAM_SO'!$M$10)</f>
        <v/>
      </c>
      <c r="AJ150" s="224">
        <f>IF('DM_NHAN_SU'!$B150="","",SUM($AG150:$AI150))</f>
        <v/>
      </c>
      <c r="AK150" s="224">
        <f>IF('DM_NHAN_SU'!$B150="","",IF($B150="",0,'THAM_SO'!$F$4))</f>
        <v/>
      </c>
      <c r="AL150" s="224">
        <f>IF('DM_NHAN_SU'!$B150="","",IF($B150="",0,'DM_NHAN_SU'!$T150*'THAM_SO'!$F$5))</f>
        <v/>
      </c>
      <c r="AM150" s="224">
        <f>IF('DM_NHAN_SU'!$B150="","",'CHAM_CONG_THANG'!W150)</f>
        <v/>
      </c>
      <c r="AN150" s="224">
        <f>IF('DM_NHAN_SU'!$B150="","",MAX($AC150-$AK150-$AL150-$AM150,0))</f>
        <v/>
      </c>
      <c r="AO150" s="224">
        <f>IF('DM_NHAN_SU'!$B150="","",IF($B150="","",IF($F150="Net",IF($AC150&lt;=$AK150+$AL150+$AM150,$AC150+$AJ150,$AJ150+$AK150+$AL150+$AM150+IF($AN150&lt;='THAM_SO'!$J$10,($AN150-'THAM_SO'!$I$10)/(1-'THAM_SO'!$H$10),IF($AN150&lt;='THAM_SO'!$J$11,($AN150-'THAM_SO'!$I$11)/(1-'THAM_SO'!$H$11),IF($AN150&lt;='THAM_SO'!$J$12,($AN150-'THAM_SO'!$I$12)/(1-'THAM_SO'!$H$12),IF($AN150&lt;='THAM_SO'!$J$13,($AN150-'THAM_SO'!$I$13)/(1-'THAM_SO'!$H$13),($AN150-'THAM_SO'!$I$14)/(1-'THAM_SO'!$H$14)))))),$AC150)))</f>
        <v/>
      </c>
      <c r="AP150" s="224">
        <f>IF('DM_NHAN_SU'!$B150="","",$U150+$W150+$X150+$AA150+$BS150)</f>
        <v/>
      </c>
      <c r="AQ150" s="224">
        <f>IF('DM_NHAN_SU'!$B150="","",MAX($AO150-$AJ150-$AK150-$AL150-$AM150,0))</f>
        <v/>
      </c>
      <c r="AR150" s="224">
        <f>IF('DM_NHAN_SU'!$B150="","",IF($AQ150&lt;=0,0,$AQ150*VLOOKUP($AQ150,'THAM_SO'!$F$10:$I$14,3,TRUE)-VLOOKUP($AQ150,'THAM_SO'!$F$10:$I$14,4,TRUE)))</f>
        <v/>
      </c>
      <c r="AS150" s="224">
        <f>IF('DM_NHAN_SU'!$B150="","",$AO150+$AP150)</f>
        <v/>
      </c>
      <c r="AT150" s="224">
        <f>IF('DM_NHAN_SU'!$B150="","",$AS150-$AJ150-$AR150)</f>
        <v/>
      </c>
      <c r="AU150" s="224">
        <f>IF('DM_NHAN_SU'!$B150="","",'CHAM_CONG_THANG'!X150)</f>
        <v/>
      </c>
      <c r="AV150" s="224">
        <f>IF('DM_NHAN_SU'!$B150="","",'CHAM_CONG_THANG'!Y150+'QT_NGHI_VIEC'!AD150)</f>
        <v/>
      </c>
      <c r="AW150" s="224">
        <f>IF('DM_NHAN_SU'!$B150="","",'CHAM_CONG_THANG'!Z150)</f>
        <v/>
      </c>
      <c r="AX150" s="224">
        <f>IF('DM_NHAN_SU'!$B150="","",$AT150-$AU150-$AV150-$AW150-$BV150)</f>
        <v/>
      </c>
      <c r="AY150" s="224">
        <f>IF('DM_NHAN_SU'!$B150="","",$AE150*'THAM_SO'!$M$11)</f>
        <v/>
      </c>
      <c r="AZ150" s="224">
        <f>IF('DM_NHAN_SU'!$B150="","",$AE150*'THAM_SO'!$M$12)</f>
        <v/>
      </c>
      <c r="BA150" s="224">
        <f>IF('DM_NHAN_SU'!$B150="","",$AF150*'THAM_SO'!$M$13)</f>
        <v/>
      </c>
      <c r="BB150" s="224">
        <f>IF('DM_NHAN_SU'!$B150="","",$AE150*'THAM_SO'!$M$14)</f>
        <v/>
      </c>
      <c r="BC150" s="224">
        <f>IF('DM_NHAN_SU'!$B150="","",SUM($AY150:$BB150))</f>
        <v/>
      </c>
      <c r="BD150" s="224">
        <f>IF('DM_NHAN_SU'!$B150="","",$AS150+$BC150)</f>
        <v/>
      </c>
      <c r="BE150" s="224">
        <f>IF('DM_NHAN_SU'!$B150="","",VLOOKUP($H150,'THAM_SO'!$L$17:$P$20,2,FALSE))</f>
        <v/>
      </c>
      <c r="BF150" s="224">
        <f>IF('DM_NHAN_SU'!$B150="","",VLOOKUP($H150,'THAM_SO'!$L$17:$P$20,3,FALSE))</f>
        <v/>
      </c>
      <c r="BG150" s="150">
        <f>IF('DM_NHAN_SU'!$B150="","",IF($B150="","",IF(COUNTIF('DM_NHAN_SU'!$B$6:$B$155,$B150)&gt;1,"Trùng mã NV; ","")&amp;IF(OR($F150="",$G150=""),"Thiếu loại/hình thức lương; ","")&amp;IF('CHAM_CONG_THANG'!$D150="","Chưa chọn nguồn công; ","")&amp;IF(AND('CHAM_CONG_THANG'!$D150="Theo ngày",COUNTIF('CHAM_CONG_NGAY'!$B$6:$B$4655,$B150)=0),"Chưa có chấm công ngày; ","")&amp;IF(OR($I150&lt;=0,$J150&lt;=0),"Thiếu công/giờ chuẩn; ","")&amp;IF(AND($G150="Tháng",'DM_NHAN_SU'!$K150&lt;$BE150),"Lương tháng dưới tối thiểu vùng; ","")&amp;IF(AND($G150="Ngày",'DM_NHAN_SU'!$K150/$J150&lt;$BF150),"Lương ngày quy đổi dưới tối thiểu giờ; ","")&amp;IF(AND($G150="Giờ",'DM_NHAN_SU'!$K150&lt;$BF150),"Lương giờ dưới tối thiểu vùng; ","")&amp;IF(AND($G150="Sản phẩm",$L150&gt;0,$O150/$L150&lt;$BF150),"Lương SP quy đổi dưới tối thiểu giờ; ","")&amp;IF(OR('THAM_SO'!$C$19&lt;'THAM_SO'!$B$19,'THAM_SO'!$C$20&lt;'THAM_SO'!$B$20,'THAM_SO'!$C$21&lt;'THAM_SO'!$B$21,'THAM_SO'!$C$22&lt;'THAM_SO'!$B$22,'THAM_SO'!$C$23&lt;'THAM_SO'!$B$23,'THAM_SO'!$C$24&lt;'THAM_SO'!$B$24,'THAM_SO'!$C$25&lt;'THAM_SO'!$B$25),"Hệ số OT/đêm DN thấp hơn luật; ","")&amp;IF(AND('DM_NHAN_SU'!$R150="Có",$AD150&lt;=0),"Thiếu căn cứ đóng BH; ","")&amp;IF(AND($AD150&gt;0,$AD150&lt;'THAM_SO'!$M$6),"Căn cứ BH dưới sàn – đã nâng sàn; ","")&amp;IF($AD150&gt;'THAM_SO'!$M$7,"Căn cứ BH vượt trần – đã giới hạn; ","")&amp;IF(AND($F150="Net",SUM('CHAM_CONG_THANG'!$AF150:$AK150)&gt;0,'DM_NHAN_SU'!$Q150&lt;=0),"Net có OT nhưng chưa khai lương giờ OT; ","")&amp;IF('CHAM_CONG_THANG'!$V150&gt;$Z150,"Phần OT không miễn lớn hơn tiền OT; ","")&amp;IF(AND($F150="Net",ABS($AT150-$AC150-$AP150)&gt;1),"Lệch quy đổi Net; ","")&amp;IF(AND($BH150&gt;0,'DM_NHAN_SU'!$AD150=""),"Có phép năm nhưng đang tạm dùng 12 ngày; ","")&amp;IF(AND($G150="Sản phẩm",SUM($BH150:$BJ150)&gt;0,'DM_NHAN_SU'!$AH150&lt;=0),"Lương sản phẩm thiếu đơn giá ngày phép/lễ; ","")&amp;IF(AND($BL150&gt;=14,'CHAM_CONG_THANG'!$AA150&lt;&gt;"Có"),"Thai sản từ 14 ngày: file tự dừng đóng BH – kiểm tra hồ sơ; ","")&amp;IF(AND('DM_NHAN_SU'!$AA150="Có",'DM_NHAN_SU'!$AB150=""),"Đoàn viên chưa chọn cách tính đoàn phí; ","")&amp;IF(AND('DM_NHAN_SU'!$AB150="Nhập tay",'DM_NHAN_SU'!$AC150&gt;'THAM_SO'!$M$26),"Đoàn phí nhập tay vượt trần thông dụng; ","")&amp;IF('NGHI_PHEP'!$L150&lt;&gt;"","Phép: "&amp;'NGHI_PHEP'!$L150,"")&amp;IF('CHE_DO_BHXH'!$AA150&lt;&gt;"","BHXH: "&amp;'CHE_DO_BHXH'!$AA150,"")&amp;IF('THUONG_T13_TET'!$O150&lt;&gt;"","Thưởng: "&amp;'THUONG_T13_TET'!$O150,"")&amp;IF('QT_NGHI_VIEC'!$AF150&lt;&gt;"","Nghỉ việc: "&amp;'QT_NGHI_VIEC'!$AF150,"")&amp;IF($AX150&lt;0,"Thực lĩnh âm; ","")&amp;IF(OR('DM_NHAN_SU'!$F150&gt;'THAM_SO'!$B$7,AND('DM_NHAN_SU'!$G150&lt;&gt;"",'DM_NHAN_SU'!$G150&lt;'THAM_SO'!$B$6)),"Ngoài kỳ trả lương; ","")))</f>
        <v/>
      </c>
      <c r="BH150" s="232">
        <f>IF('DM_NHAN_SU'!$B150="","",'CHAM_CONG_THANG'!AR150)</f>
        <v/>
      </c>
      <c r="BI150" s="232">
        <f>IF('DM_NHAN_SU'!$B150="","",'CHAM_CONG_THANG'!AS150)</f>
        <v/>
      </c>
      <c r="BJ150" s="232">
        <f>IF('DM_NHAN_SU'!$B150="","",'CHAM_CONG_THANG'!AT150)</f>
        <v/>
      </c>
      <c r="BK150" s="232">
        <f>IF('DM_NHAN_SU'!$B150="","",'CHAM_CONG_THANG'!AU150)</f>
        <v/>
      </c>
      <c r="BL150" s="232">
        <f>IF('DM_NHAN_SU'!$B150="","",'CHAM_CONG_THANG'!AV150)</f>
        <v/>
      </c>
      <c r="BM150" s="232">
        <f>IF('DM_NHAN_SU'!$B150="","",'CHAM_CONG_THANG'!AW150)</f>
        <v/>
      </c>
      <c r="BN150" s="232">
        <f>IF('DM_NHAN_SU'!$B150="","",SUM($K150,$BH150:$BJ150))</f>
        <v/>
      </c>
      <c r="BO150" s="224">
        <f>IF('DM_NHAN_SU'!$B150="","",IF($B150="",0,IF($G150="Tháng",IF($I150&gt;0,'DM_NHAN_SU'!$K150*MIN($BH150+$BJ150,MAX($I150-$K150,0))/$I150,0),IF($G150="Ngày",'DM_NHAN_SU'!$K150*SUM($BH150:$BJ150),IF($G150="Giờ",'DM_NHAN_SU'!$K150*SUM($BH150:$BJ150)*$J150,IF($G150="Sản phẩm",'DM_NHAN_SU'!$AH150*SUM($BH150:$BJ150),0))))))</f>
        <v/>
      </c>
      <c r="BP150" s="224">
        <f>IF('DM_NHAN_SU'!$B150="","",IF('THUONG_T13_TET'!$L150="Có",'THUONG_T13_TET'!$I150,0))</f>
        <v/>
      </c>
      <c r="BQ150" s="224">
        <f>IF('DM_NHAN_SU'!$B150="","",IF('THUONG_T13_TET'!$L150="Có",SUM('THUONG_T13_TET'!$J150:$K150),0))</f>
        <v/>
      </c>
      <c r="BR150" s="224">
        <f>IF('DM_NHAN_SU'!$B150="","",'QT_NGHI_VIEC'!AC150)</f>
        <v/>
      </c>
      <c r="BS150" s="224">
        <f>IF('DM_NHAN_SU'!$B150="","",'QT_NGHI_VIEC'!AB150)</f>
        <v/>
      </c>
      <c r="BT150" s="224">
        <f>IF('DM_NHAN_SU'!$B150="","",IF('CHE_DO_BHXH'!$Z150="Có",'CHE_DO_BHXH'!$W150,0))</f>
        <v/>
      </c>
      <c r="BU150" s="224">
        <f>IF('DM_NHAN_SU'!$B150="","",IF('CHE_DO_BHXH'!$Y150="DN trả thay",$BT150,0))</f>
        <v/>
      </c>
      <c r="BV150" s="224">
        <f>IF('DM_NHAN_SU'!$B150="","",IF(OR('DM_NHAN_SU'!$AA150&lt;&gt;"Có",'CHE_DO_BHXH'!$O150&gt;=1,SUM('CHE_DO_BHXH'!$D150,'CHE_DO_BHXH'!$G150,'CHE_DO_BHXH'!$K150)&gt;=24,AND($I150&gt;0,$BM150&gt;=$I150)),0,IF('DM_NHAN_SU'!$AB150="Không",0,IF('DM_NHAN_SU'!$AB150="Nhập tay",'DM_NHAN_SU'!$AC150,IF('DM_NHAN_SU'!$AB150="Theo thực nhận",MIN(MAX($AT150-$AU150-$AV150-$AW150,0)*'THAM_SO'!$M$23,'THAM_SO'!$M$26),MIN($AE150*'THAM_SO'!$M$23,'THAM_SO'!$M$26))))))</f>
        <v/>
      </c>
      <c r="BW150" s="224">
        <f>IF('DM_NHAN_SU'!$B150="","",$AX150+$BU150)</f>
        <v/>
      </c>
    </row>
    <row r="151">
      <c r="A151" s="145">
        <f>IF('DM_NHAN_SU'!$B151="","",IF($B151="","",ROW()-5))</f>
        <v/>
      </c>
      <c r="B151" s="145">
        <f>IF('DM_NHAN_SU'!$B151="","",'DM_NHAN_SU'!B151)</f>
        <v/>
      </c>
      <c r="C151" s="145">
        <f>IF('DM_NHAN_SU'!$B151="","",'DM_NHAN_SU'!C151)</f>
        <v/>
      </c>
      <c r="D151" s="145">
        <f>IF('DM_NHAN_SU'!$B151="","",'DM_NHAN_SU'!D151)</f>
        <v/>
      </c>
      <c r="E151" s="145">
        <f>IF('DM_NHAN_SU'!$B151="","",'DM_NHAN_SU'!E151)</f>
        <v/>
      </c>
      <c r="F151" s="145">
        <f>IF('DM_NHAN_SU'!$B151="","",'DM_NHAN_SU'!I151)</f>
        <v/>
      </c>
      <c r="G151" s="145">
        <f>IF('DM_NHAN_SU'!$B151="","",'DM_NHAN_SU'!J151)</f>
        <v/>
      </c>
      <c r="H151" s="145">
        <f>IF('DM_NHAN_SU'!$B151="","",IF('DM_NHAN_SU'!H151="",'THAM_SO'!$B$11,'DM_NHAN_SU'!H151))</f>
        <v/>
      </c>
      <c r="I151" s="232">
        <f>IF('DM_NHAN_SU'!$B151="","",IF('DM_NHAN_SU'!L151&gt;0,'DM_NHAN_SU'!L151,'THAM_SO'!$B$9))</f>
        <v/>
      </c>
      <c r="J151" s="232">
        <f>IF('DM_NHAN_SU'!$B151="","",IF('DM_NHAN_SU'!M151&gt;0,'DM_NHAN_SU'!M151,'THAM_SO'!$B$10))</f>
        <v/>
      </c>
      <c r="K151" s="232">
        <f>IF('DM_NHAN_SU'!$B151="","",'CHAM_CONG_THANG'!AC151)</f>
        <v/>
      </c>
      <c r="L151" s="232">
        <f>IF('DM_NHAN_SU'!$B151="","",'CHAM_CONG_THANG'!AD151)</f>
        <v/>
      </c>
      <c r="M151" s="232">
        <f>IF('DM_NHAN_SU'!$B151="","",'CHAM_CONG_THANG'!AE151)</f>
        <v/>
      </c>
      <c r="N151" s="232">
        <f>IF('DM_NHAN_SU'!$B151="","",'CHAM_CONG_THANG'!N151)</f>
        <v/>
      </c>
      <c r="O151" s="224">
        <f>IF('DM_NHAN_SU'!$B151="","",IF($B151="","",IF($G151="Tháng",IF($I151&gt;0,'DM_NHAN_SU'!$K151*MIN($K151,$I151)/$I151,0),IF($G151="Ngày",'DM_NHAN_SU'!$K151*$K151,IF($G151="Giờ",'DM_NHAN_SU'!$K151*$L151,IF($G151="Sản phẩm",'DM_NHAN_SU'!$K151*$N151,0))))))</f>
        <v/>
      </c>
      <c r="P151" s="224">
        <f>IF('DM_NHAN_SU'!$B151="","",'CHAM_CONG_THANG'!O151)</f>
        <v/>
      </c>
      <c r="Q151" s="224">
        <f>IF('DM_NHAN_SU'!$B151="","",'CHAM_CONG_THANG'!P151)</f>
        <v/>
      </c>
      <c r="R151" s="224">
        <f>IF('DM_NHAN_SU'!$B151="","",'CHAM_CONG_THANG'!Q151)</f>
        <v/>
      </c>
      <c r="S151" s="224">
        <f>IF('DM_NHAN_SU'!$B151="","",'CHAM_CONG_THANG'!R151)</f>
        <v/>
      </c>
      <c r="T151" s="224">
        <f>IF('DM_NHAN_SU'!$B151="","",'CHAM_CONG_THANG'!S151)</f>
        <v/>
      </c>
      <c r="U151" s="224">
        <f>IF('DM_NHAN_SU'!$B151="","",MIN($T151,'THAM_SO'!$F$6))</f>
        <v/>
      </c>
      <c r="V151" s="224">
        <f>IF('DM_NHAN_SU'!$B151="","",MAX($T151-$U151,0))</f>
        <v/>
      </c>
      <c r="W151" s="224">
        <f>IF('DM_NHAN_SU'!$B151="","",'CHAM_CONG_THANG'!T151)</f>
        <v/>
      </c>
      <c r="X151" s="224">
        <f>IF('DM_NHAN_SU'!$B151="","",'CHAM_CONG_THANG'!U151)</f>
        <v/>
      </c>
      <c r="Y151" s="224">
        <f>IF('DM_NHAN_SU'!$B151="","",IF($B151="",0,IF('DM_NHAN_SU'!$Q151&gt;0,'DM_NHAN_SU'!$Q151,IF($G151="Tháng",IF($I151*$J151&gt;0,'DM_NHAN_SU'!$K151/($I151*$J151),0),IF($G151="Ngày",IF($J151&gt;0,'DM_NHAN_SU'!$K151/$J151,0),IF($G151="Giờ",'DM_NHAN_SU'!$K151,0))))))</f>
        <v/>
      </c>
      <c r="Z151" s="224">
        <f>IF('DM_NHAN_SU'!$B151="","",$Y151*($M151*'THAM_SO'!$C$22+'CHAM_CONG_THANG'!$AF151*'THAM_SO'!$C$19+'CHAM_CONG_THANG'!$AG151*'THAM_SO'!$C$20+'CHAM_CONG_THANG'!$AH151*'THAM_SO'!$C$21+'CHAM_CONG_THANG'!$AI151*'THAM_SO'!$C$23+'CHAM_CONG_THANG'!$AJ151*'THAM_SO'!$C$24+'CHAM_CONG_THANG'!$AK151*'THAM_SO'!$C$25))</f>
        <v/>
      </c>
      <c r="AA151" s="224">
        <f>IF('DM_NHAN_SU'!$B151="","",MAX(0,$Y151*($M151*IF('THAM_SO'!$C$22&gt;='THAM_SO'!$B$22,'THAM_SO'!$B$22,0)+'CHAM_CONG_THANG'!$AF151*IF('THAM_SO'!$C$19&gt;='THAM_SO'!$B$19,'THAM_SO'!$B$19,0)+'CHAM_CONG_THANG'!$AG151*IF('THAM_SO'!$C$20&gt;='THAM_SO'!$B$20,'THAM_SO'!$B$20,0)+'CHAM_CONG_THANG'!$AH151*IF('THAM_SO'!$C$21&gt;='THAM_SO'!$B$21,'THAM_SO'!$B$21,0)+'CHAM_CONG_THANG'!$AI151*IF('THAM_SO'!$C$23&gt;='THAM_SO'!$B$23,'THAM_SO'!$B$23,0)+'CHAM_CONG_THANG'!$AJ151*IF('THAM_SO'!$C$24&gt;='THAM_SO'!$B$24,'THAM_SO'!$B$24,0)+'CHAM_CONG_THANG'!$AK151*IF('THAM_SO'!$C$25&gt;='THAM_SO'!$B$25,'THAM_SO'!$B$25,0))-'CHAM_CONG_THANG'!$V151))</f>
        <v/>
      </c>
      <c r="AB151" s="224">
        <f>IF('DM_NHAN_SU'!$B151="","",MAX($Z151-$AA151,0))</f>
        <v/>
      </c>
      <c r="AC151" s="224">
        <f>IF('DM_NHAN_SU'!$B151="","",$O151+$P151+$Q151+$R151+$S151+$V151+$AB151+$BO151+$BP151+$BQ151+$BR151)</f>
        <v/>
      </c>
      <c r="AD151" s="224">
        <f>IF('DM_NHAN_SU'!$B151="","",'DM_NHAN_SU'!N151+'DM_NHAN_SU'!O151+'DM_NHAN_SU'!P151)</f>
        <v/>
      </c>
      <c r="AE151" s="224">
        <f>IF('DM_NHAN_SU'!$B151="","",IF(OR('DM_NHAN_SU'!$R151&lt;&gt;"Có",'CHAM_CONG_THANG'!$AA151="Có",$BL151&gt;=14,$AD151&lt;=0),0,MIN(MAX($AD151,'THAM_SO'!$M$6),'THAM_SO'!$M$7)))</f>
        <v/>
      </c>
      <c r="AF151" s="224">
        <f>IF('DM_NHAN_SU'!$B151="","",IF(OR('DM_NHAN_SU'!$S151&lt;&gt;"Có",'CHAM_CONG_THANG'!$AA151="Có",$BL151&gt;=14,$AD151&lt;=0),0,MIN(MAX($AD151,VLOOKUP($H151,'THAM_SO'!$L$17:$P$20,4,FALSE)),VLOOKUP($H151,'THAM_SO'!$L$17:$P$20,5,FALSE))))</f>
        <v/>
      </c>
      <c r="AG151" s="224">
        <f>IF('DM_NHAN_SU'!$B151="","",$AE151*'THAM_SO'!$M$8)</f>
        <v/>
      </c>
      <c r="AH151" s="224">
        <f>IF('DM_NHAN_SU'!$B151="","",$AE151*'THAM_SO'!$M$9)</f>
        <v/>
      </c>
      <c r="AI151" s="224">
        <f>IF('DM_NHAN_SU'!$B151="","",$AF151*'THAM_SO'!$M$10)</f>
        <v/>
      </c>
      <c r="AJ151" s="224">
        <f>IF('DM_NHAN_SU'!$B151="","",SUM($AG151:$AI151))</f>
        <v/>
      </c>
      <c r="AK151" s="224">
        <f>IF('DM_NHAN_SU'!$B151="","",IF($B151="",0,'THAM_SO'!$F$4))</f>
        <v/>
      </c>
      <c r="AL151" s="224">
        <f>IF('DM_NHAN_SU'!$B151="","",IF($B151="",0,'DM_NHAN_SU'!$T151*'THAM_SO'!$F$5))</f>
        <v/>
      </c>
      <c r="AM151" s="224">
        <f>IF('DM_NHAN_SU'!$B151="","",'CHAM_CONG_THANG'!W151)</f>
        <v/>
      </c>
      <c r="AN151" s="224">
        <f>IF('DM_NHAN_SU'!$B151="","",MAX($AC151-$AK151-$AL151-$AM151,0))</f>
        <v/>
      </c>
      <c r="AO151" s="224">
        <f>IF('DM_NHAN_SU'!$B151="","",IF($B151="","",IF($F151="Net",IF($AC151&lt;=$AK151+$AL151+$AM151,$AC151+$AJ151,$AJ151+$AK151+$AL151+$AM151+IF($AN151&lt;='THAM_SO'!$J$10,($AN151-'THAM_SO'!$I$10)/(1-'THAM_SO'!$H$10),IF($AN151&lt;='THAM_SO'!$J$11,($AN151-'THAM_SO'!$I$11)/(1-'THAM_SO'!$H$11),IF($AN151&lt;='THAM_SO'!$J$12,($AN151-'THAM_SO'!$I$12)/(1-'THAM_SO'!$H$12),IF($AN151&lt;='THAM_SO'!$J$13,($AN151-'THAM_SO'!$I$13)/(1-'THAM_SO'!$H$13),($AN151-'THAM_SO'!$I$14)/(1-'THAM_SO'!$H$14)))))),$AC151)))</f>
        <v/>
      </c>
      <c r="AP151" s="224">
        <f>IF('DM_NHAN_SU'!$B151="","",$U151+$W151+$X151+$AA151+$BS151)</f>
        <v/>
      </c>
      <c r="AQ151" s="224">
        <f>IF('DM_NHAN_SU'!$B151="","",MAX($AO151-$AJ151-$AK151-$AL151-$AM151,0))</f>
        <v/>
      </c>
      <c r="AR151" s="224">
        <f>IF('DM_NHAN_SU'!$B151="","",IF($AQ151&lt;=0,0,$AQ151*VLOOKUP($AQ151,'THAM_SO'!$F$10:$I$14,3,TRUE)-VLOOKUP($AQ151,'THAM_SO'!$F$10:$I$14,4,TRUE)))</f>
        <v/>
      </c>
      <c r="AS151" s="224">
        <f>IF('DM_NHAN_SU'!$B151="","",$AO151+$AP151)</f>
        <v/>
      </c>
      <c r="AT151" s="224">
        <f>IF('DM_NHAN_SU'!$B151="","",$AS151-$AJ151-$AR151)</f>
        <v/>
      </c>
      <c r="AU151" s="224">
        <f>IF('DM_NHAN_SU'!$B151="","",'CHAM_CONG_THANG'!X151)</f>
        <v/>
      </c>
      <c r="AV151" s="224">
        <f>IF('DM_NHAN_SU'!$B151="","",'CHAM_CONG_THANG'!Y151+'QT_NGHI_VIEC'!AD151)</f>
        <v/>
      </c>
      <c r="AW151" s="224">
        <f>IF('DM_NHAN_SU'!$B151="","",'CHAM_CONG_THANG'!Z151)</f>
        <v/>
      </c>
      <c r="AX151" s="224">
        <f>IF('DM_NHAN_SU'!$B151="","",$AT151-$AU151-$AV151-$AW151-$BV151)</f>
        <v/>
      </c>
      <c r="AY151" s="224">
        <f>IF('DM_NHAN_SU'!$B151="","",$AE151*'THAM_SO'!$M$11)</f>
        <v/>
      </c>
      <c r="AZ151" s="224">
        <f>IF('DM_NHAN_SU'!$B151="","",$AE151*'THAM_SO'!$M$12)</f>
        <v/>
      </c>
      <c r="BA151" s="224">
        <f>IF('DM_NHAN_SU'!$B151="","",$AF151*'THAM_SO'!$M$13)</f>
        <v/>
      </c>
      <c r="BB151" s="224">
        <f>IF('DM_NHAN_SU'!$B151="","",$AE151*'THAM_SO'!$M$14)</f>
        <v/>
      </c>
      <c r="BC151" s="224">
        <f>IF('DM_NHAN_SU'!$B151="","",SUM($AY151:$BB151))</f>
        <v/>
      </c>
      <c r="BD151" s="224">
        <f>IF('DM_NHAN_SU'!$B151="","",$AS151+$BC151)</f>
        <v/>
      </c>
      <c r="BE151" s="224">
        <f>IF('DM_NHAN_SU'!$B151="","",VLOOKUP($H151,'THAM_SO'!$L$17:$P$20,2,FALSE))</f>
        <v/>
      </c>
      <c r="BF151" s="224">
        <f>IF('DM_NHAN_SU'!$B151="","",VLOOKUP($H151,'THAM_SO'!$L$17:$P$20,3,FALSE))</f>
        <v/>
      </c>
      <c r="BG151" s="150">
        <f>IF('DM_NHAN_SU'!$B151="","",IF($B151="","",IF(COUNTIF('DM_NHAN_SU'!$B$6:$B$155,$B151)&gt;1,"Trùng mã NV; ","")&amp;IF(OR($F151="",$G151=""),"Thiếu loại/hình thức lương; ","")&amp;IF('CHAM_CONG_THANG'!$D151="","Chưa chọn nguồn công; ","")&amp;IF(AND('CHAM_CONG_THANG'!$D151="Theo ngày",COUNTIF('CHAM_CONG_NGAY'!$B$6:$B$4655,$B151)=0),"Chưa có chấm công ngày; ","")&amp;IF(OR($I151&lt;=0,$J151&lt;=0),"Thiếu công/giờ chuẩn; ","")&amp;IF(AND($G151="Tháng",'DM_NHAN_SU'!$K151&lt;$BE151),"Lương tháng dưới tối thiểu vùng; ","")&amp;IF(AND($G151="Ngày",'DM_NHAN_SU'!$K151/$J151&lt;$BF151),"Lương ngày quy đổi dưới tối thiểu giờ; ","")&amp;IF(AND($G151="Giờ",'DM_NHAN_SU'!$K151&lt;$BF151),"Lương giờ dưới tối thiểu vùng; ","")&amp;IF(AND($G151="Sản phẩm",$L151&gt;0,$O151/$L151&lt;$BF151),"Lương SP quy đổi dưới tối thiểu giờ; ","")&amp;IF(OR('THAM_SO'!$C$19&lt;'THAM_SO'!$B$19,'THAM_SO'!$C$20&lt;'THAM_SO'!$B$20,'THAM_SO'!$C$21&lt;'THAM_SO'!$B$21,'THAM_SO'!$C$22&lt;'THAM_SO'!$B$22,'THAM_SO'!$C$23&lt;'THAM_SO'!$B$23,'THAM_SO'!$C$24&lt;'THAM_SO'!$B$24,'THAM_SO'!$C$25&lt;'THAM_SO'!$B$25),"Hệ số OT/đêm DN thấp hơn luật; ","")&amp;IF(AND('DM_NHAN_SU'!$R151="Có",$AD151&lt;=0),"Thiếu căn cứ đóng BH; ","")&amp;IF(AND($AD151&gt;0,$AD151&lt;'THAM_SO'!$M$6),"Căn cứ BH dưới sàn – đã nâng sàn; ","")&amp;IF($AD151&gt;'THAM_SO'!$M$7,"Căn cứ BH vượt trần – đã giới hạn; ","")&amp;IF(AND($F151="Net",SUM('CHAM_CONG_THANG'!$AF151:$AK151)&gt;0,'DM_NHAN_SU'!$Q151&lt;=0),"Net có OT nhưng chưa khai lương giờ OT; ","")&amp;IF('CHAM_CONG_THANG'!$V151&gt;$Z151,"Phần OT không miễn lớn hơn tiền OT; ","")&amp;IF(AND($F151="Net",ABS($AT151-$AC151-$AP151)&gt;1),"Lệch quy đổi Net; ","")&amp;IF(AND($BH151&gt;0,'DM_NHAN_SU'!$AD151=""),"Có phép năm nhưng đang tạm dùng 12 ngày; ","")&amp;IF(AND($G151="Sản phẩm",SUM($BH151:$BJ151)&gt;0,'DM_NHAN_SU'!$AH151&lt;=0),"Lương sản phẩm thiếu đơn giá ngày phép/lễ; ","")&amp;IF(AND($BL151&gt;=14,'CHAM_CONG_THANG'!$AA151&lt;&gt;"Có"),"Thai sản từ 14 ngày: file tự dừng đóng BH – kiểm tra hồ sơ; ","")&amp;IF(AND('DM_NHAN_SU'!$AA151="Có",'DM_NHAN_SU'!$AB151=""),"Đoàn viên chưa chọn cách tính đoàn phí; ","")&amp;IF(AND('DM_NHAN_SU'!$AB151="Nhập tay",'DM_NHAN_SU'!$AC151&gt;'THAM_SO'!$M$26),"Đoàn phí nhập tay vượt trần thông dụng; ","")&amp;IF('NGHI_PHEP'!$L151&lt;&gt;"","Phép: "&amp;'NGHI_PHEP'!$L151,"")&amp;IF('CHE_DO_BHXH'!$AA151&lt;&gt;"","BHXH: "&amp;'CHE_DO_BHXH'!$AA151,"")&amp;IF('THUONG_T13_TET'!$O151&lt;&gt;"","Thưởng: "&amp;'THUONG_T13_TET'!$O151,"")&amp;IF('QT_NGHI_VIEC'!$AF151&lt;&gt;"","Nghỉ việc: "&amp;'QT_NGHI_VIEC'!$AF151,"")&amp;IF($AX151&lt;0,"Thực lĩnh âm; ","")&amp;IF(OR('DM_NHAN_SU'!$F151&gt;'THAM_SO'!$B$7,AND('DM_NHAN_SU'!$G151&lt;&gt;"",'DM_NHAN_SU'!$G151&lt;'THAM_SO'!$B$6)),"Ngoài kỳ trả lương; ","")))</f>
        <v/>
      </c>
      <c r="BH151" s="232">
        <f>IF('DM_NHAN_SU'!$B151="","",'CHAM_CONG_THANG'!AR151)</f>
        <v/>
      </c>
      <c r="BI151" s="232">
        <f>IF('DM_NHAN_SU'!$B151="","",'CHAM_CONG_THANG'!AS151)</f>
        <v/>
      </c>
      <c r="BJ151" s="232">
        <f>IF('DM_NHAN_SU'!$B151="","",'CHAM_CONG_THANG'!AT151)</f>
        <v/>
      </c>
      <c r="BK151" s="232">
        <f>IF('DM_NHAN_SU'!$B151="","",'CHAM_CONG_THANG'!AU151)</f>
        <v/>
      </c>
      <c r="BL151" s="232">
        <f>IF('DM_NHAN_SU'!$B151="","",'CHAM_CONG_THANG'!AV151)</f>
        <v/>
      </c>
      <c r="BM151" s="232">
        <f>IF('DM_NHAN_SU'!$B151="","",'CHAM_CONG_THANG'!AW151)</f>
        <v/>
      </c>
      <c r="BN151" s="232">
        <f>IF('DM_NHAN_SU'!$B151="","",SUM($K151,$BH151:$BJ151))</f>
        <v/>
      </c>
      <c r="BO151" s="224">
        <f>IF('DM_NHAN_SU'!$B151="","",IF($B151="",0,IF($G151="Tháng",IF($I151&gt;0,'DM_NHAN_SU'!$K151*MIN($BH151+$BJ151,MAX($I151-$K151,0))/$I151,0),IF($G151="Ngày",'DM_NHAN_SU'!$K151*SUM($BH151:$BJ151),IF($G151="Giờ",'DM_NHAN_SU'!$K151*SUM($BH151:$BJ151)*$J151,IF($G151="Sản phẩm",'DM_NHAN_SU'!$AH151*SUM($BH151:$BJ151),0))))))</f>
        <v/>
      </c>
      <c r="BP151" s="224">
        <f>IF('DM_NHAN_SU'!$B151="","",IF('THUONG_T13_TET'!$L151="Có",'THUONG_T13_TET'!$I151,0))</f>
        <v/>
      </c>
      <c r="BQ151" s="224">
        <f>IF('DM_NHAN_SU'!$B151="","",IF('THUONG_T13_TET'!$L151="Có",SUM('THUONG_T13_TET'!$J151:$K151),0))</f>
        <v/>
      </c>
      <c r="BR151" s="224">
        <f>IF('DM_NHAN_SU'!$B151="","",'QT_NGHI_VIEC'!AC151)</f>
        <v/>
      </c>
      <c r="BS151" s="224">
        <f>IF('DM_NHAN_SU'!$B151="","",'QT_NGHI_VIEC'!AB151)</f>
        <v/>
      </c>
      <c r="BT151" s="224">
        <f>IF('DM_NHAN_SU'!$B151="","",IF('CHE_DO_BHXH'!$Z151="Có",'CHE_DO_BHXH'!$W151,0))</f>
        <v/>
      </c>
      <c r="BU151" s="224">
        <f>IF('DM_NHAN_SU'!$B151="","",IF('CHE_DO_BHXH'!$Y151="DN trả thay",$BT151,0))</f>
        <v/>
      </c>
      <c r="BV151" s="224">
        <f>IF('DM_NHAN_SU'!$B151="","",IF(OR('DM_NHAN_SU'!$AA151&lt;&gt;"Có",'CHE_DO_BHXH'!$O151&gt;=1,SUM('CHE_DO_BHXH'!$D151,'CHE_DO_BHXH'!$G151,'CHE_DO_BHXH'!$K151)&gt;=24,AND($I151&gt;0,$BM151&gt;=$I151)),0,IF('DM_NHAN_SU'!$AB151="Không",0,IF('DM_NHAN_SU'!$AB151="Nhập tay",'DM_NHAN_SU'!$AC151,IF('DM_NHAN_SU'!$AB151="Theo thực nhận",MIN(MAX($AT151-$AU151-$AV151-$AW151,0)*'THAM_SO'!$M$23,'THAM_SO'!$M$26),MIN($AE151*'THAM_SO'!$M$23,'THAM_SO'!$M$26))))))</f>
        <v/>
      </c>
      <c r="BW151" s="224">
        <f>IF('DM_NHAN_SU'!$B151="","",$AX151+$BU151)</f>
        <v/>
      </c>
    </row>
    <row r="152">
      <c r="A152" s="145">
        <f>IF('DM_NHAN_SU'!$B152="","",IF($B152="","",ROW()-5))</f>
        <v/>
      </c>
      <c r="B152" s="145">
        <f>IF('DM_NHAN_SU'!$B152="","",'DM_NHAN_SU'!B152)</f>
        <v/>
      </c>
      <c r="C152" s="145">
        <f>IF('DM_NHAN_SU'!$B152="","",'DM_NHAN_SU'!C152)</f>
        <v/>
      </c>
      <c r="D152" s="145">
        <f>IF('DM_NHAN_SU'!$B152="","",'DM_NHAN_SU'!D152)</f>
        <v/>
      </c>
      <c r="E152" s="145">
        <f>IF('DM_NHAN_SU'!$B152="","",'DM_NHAN_SU'!E152)</f>
        <v/>
      </c>
      <c r="F152" s="145">
        <f>IF('DM_NHAN_SU'!$B152="","",'DM_NHAN_SU'!I152)</f>
        <v/>
      </c>
      <c r="G152" s="145">
        <f>IF('DM_NHAN_SU'!$B152="","",'DM_NHAN_SU'!J152)</f>
        <v/>
      </c>
      <c r="H152" s="145">
        <f>IF('DM_NHAN_SU'!$B152="","",IF('DM_NHAN_SU'!H152="",'THAM_SO'!$B$11,'DM_NHAN_SU'!H152))</f>
        <v/>
      </c>
      <c r="I152" s="232">
        <f>IF('DM_NHAN_SU'!$B152="","",IF('DM_NHAN_SU'!L152&gt;0,'DM_NHAN_SU'!L152,'THAM_SO'!$B$9))</f>
        <v/>
      </c>
      <c r="J152" s="232">
        <f>IF('DM_NHAN_SU'!$B152="","",IF('DM_NHAN_SU'!M152&gt;0,'DM_NHAN_SU'!M152,'THAM_SO'!$B$10))</f>
        <v/>
      </c>
      <c r="K152" s="232">
        <f>IF('DM_NHAN_SU'!$B152="","",'CHAM_CONG_THANG'!AC152)</f>
        <v/>
      </c>
      <c r="L152" s="232">
        <f>IF('DM_NHAN_SU'!$B152="","",'CHAM_CONG_THANG'!AD152)</f>
        <v/>
      </c>
      <c r="M152" s="232">
        <f>IF('DM_NHAN_SU'!$B152="","",'CHAM_CONG_THANG'!AE152)</f>
        <v/>
      </c>
      <c r="N152" s="232">
        <f>IF('DM_NHAN_SU'!$B152="","",'CHAM_CONG_THANG'!N152)</f>
        <v/>
      </c>
      <c r="O152" s="224">
        <f>IF('DM_NHAN_SU'!$B152="","",IF($B152="","",IF($G152="Tháng",IF($I152&gt;0,'DM_NHAN_SU'!$K152*MIN($K152,$I152)/$I152,0),IF($G152="Ngày",'DM_NHAN_SU'!$K152*$K152,IF($G152="Giờ",'DM_NHAN_SU'!$K152*$L152,IF($G152="Sản phẩm",'DM_NHAN_SU'!$K152*$N152,0))))))</f>
        <v/>
      </c>
      <c r="P152" s="224">
        <f>IF('DM_NHAN_SU'!$B152="","",'CHAM_CONG_THANG'!O152)</f>
        <v/>
      </c>
      <c r="Q152" s="224">
        <f>IF('DM_NHAN_SU'!$B152="","",'CHAM_CONG_THANG'!P152)</f>
        <v/>
      </c>
      <c r="R152" s="224">
        <f>IF('DM_NHAN_SU'!$B152="","",'CHAM_CONG_THANG'!Q152)</f>
        <v/>
      </c>
      <c r="S152" s="224">
        <f>IF('DM_NHAN_SU'!$B152="","",'CHAM_CONG_THANG'!R152)</f>
        <v/>
      </c>
      <c r="T152" s="224">
        <f>IF('DM_NHAN_SU'!$B152="","",'CHAM_CONG_THANG'!S152)</f>
        <v/>
      </c>
      <c r="U152" s="224">
        <f>IF('DM_NHAN_SU'!$B152="","",MIN($T152,'THAM_SO'!$F$6))</f>
        <v/>
      </c>
      <c r="V152" s="224">
        <f>IF('DM_NHAN_SU'!$B152="","",MAX($T152-$U152,0))</f>
        <v/>
      </c>
      <c r="W152" s="224">
        <f>IF('DM_NHAN_SU'!$B152="","",'CHAM_CONG_THANG'!T152)</f>
        <v/>
      </c>
      <c r="X152" s="224">
        <f>IF('DM_NHAN_SU'!$B152="","",'CHAM_CONG_THANG'!U152)</f>
        <v/>
      </c>
      <c r="Y152" s="224">
        <f>IF('DM_NHAN_SU'!$B152="","",IF($B152="",0,IF('DM_NHAN_SU'!$Q152&gt;0,'DM_NHAN_SU'!$Q152,IF($G152="Tháng",IF($I152*$J152&gt;0,'DM_NHAN_SU'!$K152/($I152*$J152),0),IF($G152="Ngày",IF($J152&gt;0,'DM_NHAN_SU'!$K152/$J152,0),IF($G152="Giờ",'DM_NHAN_SU'!$K152,0))))))</f>
        <v/>
      </c>
      <c r="Z152" s="224">
        <f>IF('DM_NHAN_SU'!$B152="","",$Y152*($M152*'THAM_SO'!$C$22+'CHAM_CONG_THANG'!$AF152*'THAM_SO'!$C$19+'CHAM_CONG_THANG'!$AG152*'THAM_SO'!$C$20+'CHAM_CONG_THANG'!$AH152*'THAM_SO'!$C$21+'CHAM_CONG_THANG'!$AI152*'THAM_SO'!$C$23+'CHAM_CONG_THANG'!$AJ152*'THAM_SO'!$C$24+'CHAM_CONG_THANG'!$AK152*'THAM_SO'!$C$25))</f>
        <v/>
      </c>
      <c r="AA152" s="224">
        <f>IF('DM_NHAN_SU'!$B152="","",MAX(0,$Y152*($M152*IF('THAM_SO'!$C$22&gt;='THAM_SO'!$B$22,'THAM_SO'!$B$22,0)+'CHAM_CONG_THANG'!$AF152*IF('THAM_SO'!$C$19&gt;='THAM_SO'!$B$19,'THAM_SO'!$B$19,0)+'CHAM_CONG_THANG'!$AG152*IF('THAM_SO'!$C$20&gt;='THAM_SO'!$B$20,'THAM_SO'!$B$20,0)+'CHAM_CONG_THANG'!$AH152*IF('THAM_SO'!$C$21&gt;='THAM_SO'!$B$21,'THAM_SO'!$B$21,0)+'CHAM_CONG_THANG'!$AI152*IF('THAM_SO'!$C$23&gt;='THAM_SO'!$B$23,'THAM_SO'!$B$23,0)+'CHAM_CONG_THANG'!$AJ152*IF('THAM_SO'!$C$24&gt;='THAM_SO'!$B$24,'THAM_SO'!$B$24,0)+'CHAM_CONG_THANG'!$AK152*IF('THAM_SO'!$C$25&gt;='THAM_SO'!$B$25,'THAM_SO'!$B$25,0))-'CHAM_CONG_THANG'!$V152))</f>
        <v/>
      </c>
      <c r="AB152" s="224">
        <f>IF('DM_NHAN_SU'!$B152="","",MAX($Z152-$AA152,0))</f>
        <v/>
      </c>
      <c r="AC152" s="224">
        <f>IF('DM_NHAN_SU'!$B152="","",$O152+$P152+$Q152+$R152+$S152+$V152+$AB152+$BO152+$BP152+$BQ152+$BR152)</f>
        <v/>
      </c>
      <c r="AD152" s="224">
        <f>IF('DM_NHAN_SU'!$B152="","",'DM_NHAN_SU'!N152+'DM_NHAN_SU'!O152+'DM_NHAN_SU'!P152)</f>
        <v/>
      </c>
      <c r="AE152" s="224">
        <f>IF('DM_NHAN_SU'!$B152="","",IF(OR('DM_NHAN_SU'!$R152&lt;&gt;"Có",'CHAM_CONG_THANG'!$AA152="Có",$BL152&gt;=14,$AD152&lt;=0),0,MIN(MAX($AD152,'THAM_SO'!$M$6),'THAM_SO'!$M$7)))</f>
        <v/>
      </c>
      <c r="AF152" s="224">
        <f>IF('DM_NHAN_SU'!$B152="","",IF(OR('DM_NHAN_SU'!$S152&lt;&gt;"Có",'CHAM_CONG_THANG'!$AA152="Có",$BL152&gt;=14,$AD152&lt;=0),0,MIN(MAX($AD152,VLOOKUP($H152,'THAM_SO'!$L$17:$P$20,4,FALSE)),VLOOKUP($H152,'THAM_SO'!$L$17:$P$20,5,FALSE))))</f>
        <v/>
      </c>
      <c r="AG152" s="224">
        <f>IF('DM_NHAN_SU'!$B152="","",$AE152*'THAM_SO'!$M$8)</f>
        <v/>
      </c>
      <c r="AH152" s="224">
        <f>IF('DM_NHAN_SU'!$B152="","",$AE152*'THAM_SO'!$M$9)</f>
        <v/>
      </c>
      <c r="AI152" s="224">
        <f>IF('DM_NHAN_SU'!$B152="","",$AF152*'THAM_SO'!$M$10)</f>
        <v/>
      </c>
      <c r="AJ152" s="224">
        <f>IF('DM_NHAN_SU'!$B152="","",SUM($AG152:$AI152))</f>
        <v/>
      </c>
      <c r="AK152" s="224">
        <f>IF('DM_NHAN_SU'!$B152="","",IF($B152="",0,'THAM_SO'!$F$4))</f>
        <v/>
      </c>
      <c r="AL152" s="224">
        <f>IF('DM_NHAN_SU'!$B152="","",IF($B152="",0,'DM_NHAN_SU'!$T152*'THAM_SO'!$F$5))</f>
        <v/>
      </c>
      <c r="AM152" s="224">
        <f>IF('DM_NHAN_SU'!$B152="","",'CHAM_CONG_THANG'!W152)</f>
        <v/>
      </c>
      <c r="AN152" s="224">
        <f>IF('DM_NHAN_SU'!$B152="","",MAX($AC152-$AK152-$AL152-$AM152,0))</f>
        <v/>
      </c>
      <c r="AO152" s="224">
        <f>IF('DM_NHAN_SU'!$B152="","",IF($B152="","",IF($F152="Net",IF($AC152&lt;=$AK152+$AL152+$AM152,$AC152+$AJ152,$AJ152+$AK152+$AL152+$AM152+IF($AN152&lt;='THAM_SO'!$J$10,($AN152-'THAM_SO'!$I$10)/(1-'THAM_SO'!$H$10),IF($AN152&lt;='THAM_SO'!$J$11,($AN152-'THAM_SO'!$I$11)/(1-'THAM_SO'!$H$11),IF($AN152&lt;='THAM_SO'!$J$12,($AN152-'THAM_SO'!$I$12)/(1-'THAM_SO'!$H$12),IF($AN152&lt;='THAM_SO'!$J$13,($AN152-'THAM_SO'!$I$13)/(1-'THAM_SO'!$H$13),($AN152-'THAM_SO'!$I$14)/(1-'THAM_SO'!$H$14)))))),$AC152)))</f>
        <v/>
      </c>
      <c r="AP152" s="224">
        <f>IF('DM_NHAN_SU'!$B152="","",$U152+$W152+$X152+$AA152+$BS152)</f>
        <v/>
      </c>
      <c r="AQ152" s="224">
        <f>IF('DM_NHAN_SU'!$B152="","",MAX($AO152-$AJ152-$AK152-$AL152-$AM152,0))</f>
        <v/>
      </c>
      <c r="AR152" s="224">
        <f>IF('DM_NHAN_SU'!$B152="","",IF($AQ152&lt;=0,0,$AQ152*VLOOKUP($AQ152,'THAM_SO'!$F$10:$I$14,3,TRUE)-VLOOKUP($AQ152,'THAM_SO'!$F$10:$I$14,4,TRUE)))</f>
        <v/>
      </c>
      <c r="AS152" s="224">
        <f>IF('DM_NHAN_SU'!$B152="","",$AO152+$AP152)</f>
        <v/>
      </c>
      <c r="AT152" s="224">
        <f>IF('DM_NHAN_SU'!$B152="","",$AS152-$AJ152-$AR152)</f>
        <v/>
      </c>
      <c r="AU152" s="224">
        <f>IF('DM_NHAN_SU'!$B152="","",'CHAM_CONG_THANG'!X152)</f>
        <v/>
      </c>
      <c r="AV152" s="224">
        <f>IF('DM_NHAN_SU'!$B152="","",'CHAM_CONG_THANG'!Y152+'QT_NGHI_VIEC'!AD152)</f>
        <v/>
      </c>
      <c r="AW152" s="224">
        <f>IF('DM_NHAN_SU'!$B152="","",'CHAM_CONG_THANG'!Z152)</f>
        <v/>
      </c>
      <c r="AX152" s="224">
        <f>IF('DM_NHAN_SU'!$B152="","",$AT152-$AU152-$AV152-$AW152-$BV152)</f>
        <v/>
      </c>
      <c r="AY152" s="224">
        <f>IF('DM_NHAN_SU'!$B152="","",$AE152*'THAM_SO'!$M$11)</f>
        <v/>
      </c>
      <c r="AZ152" s="224">
        <f>IF('DM_NHAN_SU'!$B152="","",$AE152*'THAM_SO'!$M$12)</f>
        <v/>
      </c>
      <c r="BA152" s="224">
        <f>IF('DM_NHAN_SU'!$B152="","",$AF152*'THAM_SO'!$M$13)</f>
        <v/>
      </c>
      <c r="BB152" s="224">
        <f>IF('DM_NHAN_SU'!$B152="","",$AE152*'THAM_SO'!$M$14)</f>
        <v/>
      </c>
      <c r="BC152" s="224">
        <f>IF('DM_NHAN_SU'!$B152="","",SUM($AY152:$BB152))</f>
        <v/>
      </c>
      <c r="BD152" s="224">
        <f>IF('DM_NHAN_SU'!$B152="","",$AS152+$BC152)</f>
        <v/>
      </c>
      <c r="BE152" s="224">
        <f>IF('DM_NHAN_SU'!$B152="","",VLOOKUP($H152,'THAM_SO'!$L$17:$P$20,2,FALSE))</f>
        <v/>
      </c>
      <c r="BF152" s="224">
        <f>IF('DM_NHAN_SU'!$B152="","",VLOOKUP($H152,'THAM_SO'!$L$17:$P$20,3,FALSE))</f>
        <v/>
      </c>
      <c r="BG152" s="150">
        <f>IF('DM_NHAN_SU'!$B152="","",IF($B152="","",IF(COUNTIF('DM_NHAN_SU'!$B$6:$B$155,$B152)&gt;1,"Trùng mã NV; ","")&amp;IF(OR($F152="",$G152=""),"Thiếu loại/hình thức lương; ","")&amp;IF('CHAM_CONG_THANG'!$D152="","Chưa chọn nguồn công; ","")&amp;IF(AND('CHAM_CONG_THANG'!$D152="Theo ngày",COUNTIF('CHAM_CONG_NGAY'!$B$6:$B$4655,$B152)=0),"Chưa có chấm công ngày; ","")&amp;IF(OR($I152&lt;=0,$J152&lt;=0),"Thiếu công/giờ chuẩn; ","")&amp;IF(AND($G152="Tháng",'DM_NHAN_SU'!$K152&lt;$BE152),"Lương tháng dưới tối thiểu vùng; ","")&amp;IF(AND($G152="Ngày",'DM_NHAN_SU'!$K152/$J152&lt;$BF152),"Lương ngày quy đổi dưới tối thiểu giờ; ","")&amp;IF(AND($G152="Giờ",'DM_NHAN_SU'!$K152&lt;$BF152),"Lương giờ dưới tối thiểu vùng; ","")&amp;IF(AND($G152="Sản phẩm",$L152&gt;0,$O152/$L152&lt;$BF152),"Lương SP quy đổi dưới tối thiểu giờ; ","")&amp;IF(OR('THAM_SO'!$C$19&lt;'THAM_SO'!$B$19,'THAM_SO'!$C$20&lt;'THAM_SO'!$B$20,'THAM_SO'!$C$21&lt;'THAM_SO'!$B$21,'THAM_SO'!$C$22&lt;'THAM_SO'!$B$22,'THAM_SO'!$C$23&lt;'THAM_SO'!$B$23,'THAM_SO'!$C$24&lt;'THAM_SO'!$B$24,'THAM_SO'!$C$25&lt;'THAM_SO'!$B$25),"Hệ số OT/đêm DN thấp hơn luật; ","")&amp;IF(AND('DM_NHAN_SU'!$R152="Có",$AD152&lt;=0),"Thiếu căn cứ đóng BH; ","")&amp;IF(AND($AD152&gt;0,$AD152&lt;'THAM_SO'!$M$6),"Căn cứ BH dưới sàn – đã nâng sàn; ","")&amp;IF($AD152&gt;'THAM_SO'!$M$7,"Căn cứ BH vượt trần – đã giới hạn; ","")&amp;IF(AND($F152="Net",SUM('CHAM_CONG_THANG'!$AF152:$AK152)&gt;0,'DM_NHAN_SU'!$Q152&lt;=0),"Net có OT nhưng chưa khai lương giờ OT; ","")&amp;IF('CHAM_CONG_THANG'!$V152&gt;$Z152,"Phần OT không miễn lớn hơn tiền OT; ","")&amp;IF(AND($F152="Net",ABS($AT152-$AC152-$AP152)&gt;1),"Lệch quy đổi Net; ","")&amp;IF(AND($BH152&gt;0,'DM_NHAN_SU'!$AD152=""),"Có phép năm nhưng đang tạm dùng 12 ngày; ","")&amp;IF(AND($G152="Sản phẩm",SUM($BH152:$BJ152)&gt;0,'DM_NHAN_SU'!$AH152&lt;=0),"Lương sản phẩm thiếu đơn giá ngày phép/lễ; ","")&amp;IF(AND($BL152&gt;=14,'CHAM_CONG_THANG'!$AA152&lt;&gt;"Có"),"Thai sản từ 14 ngày: file tự dừng đóng BH – kiểm tra hồ sơ; ","")&amp;IF(AND('DM_NHAN_SU'!$AA152="Có",'DM_NHAN_SU'!$AB152=""),"Đoàn viên chưa chọn cách tính đoàn phí; ","")&amp;IF(AND('DM_NHAN_SU'!$AB152="Nhập tay",'DM_NHAN_SU'!$AC152&gt;'THAM_SO'!$M$26),"Đoàn phí nhập tay vượt trần thông dụng; ","")&amp;IF('NGHI_PHEP'!$L152&lt;&gt;"","Phép: "&amp;'NGHI_PHEP'!$L152,"")&amp;IF('CHE_DO_BHXH'!$AA152&lt;&gt;"","BHXH: "&amp;'CHE_DO_BHXH'!$AA152,"")&amp;IF('THUONG_T13_TET'!$O152&lt;&gt;"","Thưởng: "&amp;'THUONG_T13_TET'!$O152,"")&amp;IF('QT_NGHI_VIEC'!$AF152&lt;&gt;"","Nghỉ việc: "&amp;'QT_NGHI_VIEC'!$AF152,"")&amp;IF($AX152&lt;0,"Thực lĩnh âm; ","")&amp;IF(OR('DM_NHAN_SU'!$F152&gt;'THAM_SO'!$B$7,AND('DM_NHAN_SU'!$G152&lt;&gt;"",'DM_NHAN_SU'!$G152&lt;'THAM_SO'!$B$6)),"Ngoài kỳ trả lương; ","")))</f>
        <v/>
      </c>
      <c r="BH152" s="232">
        <f>IF('DM_NHAN_SU'!$B152="","",'CHAM_CONG_THANG'!AR152)</f>
        <v/>
      </c>
      <c r="BI152" s="232">
        <f>IF('DM_NHAN_SU'!$B152="","",'CHAM_CONG_THANG'!AS152)</f>
        <v/>
      </c>
      <c r="BJ152" s="232">
        <f>IF('DM_NHAN_SU'!$B152="","",'CHAM_CONG_THANG'!AT152)</f>
        <v/>
      </c>
      <c r="BK152" s="232">
        <f>IF('DM_NHAN_SU'!$B152="","",'CHAM_CONG_THANG'!AU152)</f>
        <v/>
      </c>
      <c r="BL152" s="232">
        <f>IF('DM_NHAN_SU'!$B152="","",'CHAM_CONG_THANG'!AV152)</f>
        <v/>
      </c>
      <c r="BM152" s="232">
        <f>IF('DM_NHAN_SU'!$B152="","",'CHAM_CONG_THANG'!AW152)</f>
        <v/>
      </c>
      <c r="BN152" s="232">
        <f>IF('DM_NHAN_SU'!$B152="","",SUM($K152,$BH152:$BJ152))</f>
        <v/>
      </c>
      <c r="BO152" s="224">
        <f>IF('DM_NHAN_SU'!$B152="","",IF($B152="",0,IF($G152="Tháng",IF($I152&gt;0,'DM_NHAN_SU'!$K152*MIN($BH152+$BJ152,MAX($I152-$K152,0))/$I152,0),IF($G152="Ngày",'DM_NHAN_SU'!$K152*SUM($BH152:$BJ152),IF($G152="Giờ",'DM_NHAN_SU'!$K152*SUM($BH152:$BJ152)*$J152,IF($G152="Sản phẩm",'DM_NHAN_SU'!$AH152*SUM($BH152:$BJ152),0))))))</f>
        <v/>
      </c>
      <c r="BP152" s="224">
        <f>IF('DM_NHAN_SU'!$B152="","",IF('THUONG_T13_TET'!$L152="Có",'THUONG_T13_TET'!$I152,0))</f>
        <v/>
      </c>
      <c r="BQ152" s="224">
        <f>IF('DM_NHAN_SU'!$B152="","",IF('THUONG_T13_TET'!$L152="Có",SUM('THUONG_T13_TET'!$J152:$K152),0))</f>
        <v/>
      </c>
      <c r="BR152" s="224">
        <f>IF('DM_NHAN_SU'!$B152="","",'QT_NGHI_VIEC'!AC152)</f>
        <v/>
      </c>
      <c r="BS152" s="224">
        <f>IF('DM_NHAN_SU'!$B152="","",'QT_NGHI_VIEC'!AB152)</f>
        <v/>
      </c>
      <c r="BT152" s="224">
        <f>IF('DM_NHAN_SU'!$B152="","",IF('CHE_DO_BHXH'!$Z152="Có",'CHE_DO_BHXH'!$W152,0))</f>
        <v/>
      </c>
      <c r="BU152" s="224">
        <f>IF('DM_NHAN_SU'!$B152="","",IF('CHE_DO_BHXH'!$Y152="DN trả thay",$BT152,0))</f>
        <v/>
      </c>
      <c r="BV152" s="224">
        <f>IF('DM_NHAN_SU'!$B152="","",IF(OR('DM_NHAN_SU'!$AA152&lt;&gt;"Có",'CHE_DO_BHXH'!$O152&gt;=1,SUM('CHE_DO_BHXH'!$D152,'CHE_DO_BHXH'!$G152,'CHE_DO_BHXH'!$K152)&gt;=24,AND($I152&gt;0,$BM152&gt;=$I152)),0,IF('DM_NHAN_SU'!$AB152="Không",0,IF('DM_NHAN_SU'!$AB152="Nhập tay",'DM_NHAN_SU'!$AC152,IF('DM_NHAN_SU'!$AB152="Theo thực nhận",MIN(MAX($AT152-$AU152-$AV152-$AW152,0)*'THAM_SO'!$M$23,'THAM_SO'!$M$26),MIN($AE152*'THAM_SO'!$M$23,'THAM_SO'!$M$26))))))</f>
        <v/>
      </c>
      <c r="BW152" s="224">
        <f>IF('DM_NHAN_SU'!$B152="","",$AX152+$BU152)</f>
        <v/>
      </c>
    </row>
    <row r="153">
      <c r="A153" s="145">
        <f>IF('DM_NHAN_SU'!$B153="","",IF($B153="","",ROW()-5))</f>
        <v/>
      </c>
      <c r="B153" s="145">
        <f>IF('DM_NHAN_SU'!$B153="","",'DM_NHAN_SU'!B153)</f>
        <v/>
      </c>
      <c r="C153" s="145">
        <f>IF('DM_NHAN_SU'!$B153="","",'DM_NHAN_SU'!C153)</f>
        <v/>
      </c>
      <c r="D153" s="145">
        <f>IF('DM_NHAN_SU'!$B153="","",'DM_NHAN_SU'!D153)</f>
        <v/>
      </c>
      <c r="E153" s="145">
        <f>IF('DM_NHAN_SU'!$B153="","",'DM_NHAN_SU'!E153)</f>
        <v/>
      </c>
      <c r="F153" s="145">
        <f>IF('DM_NHAN_SU'!$B153="","",'DM_NHAN_SU'!I153)</f>
        <v/>
      </c>
      <c r="G153" s="145">
        <f>IF('DM_NHAN_SU'!$B153="","",'DM_NHAN_SU'!J153)</f>
        <v/>
      </c>
      <c r="H153" s="145">
        <f>IF('DM_NHAN_SU'!$B153="","",IF('DM_NHAN_SU'!H153="",'THAM_SO'!$B$11,'DM_NHAN_SU'!H153))</f>
        <v/>
      </c>
      <c r="I153" s="232">
        <f>IF('DM_NHAN_SU'!$B153="","",IF('DM_NHAN_SU'!L153&gt;0,'DM_NHAN_SU'!L153,'THAM_SO'!$B$9))</f>
        <v/>
      </c>
      <c r="J153" s="232">
        <f>IF('DM_NHAN_SU'!$B153="","",IF('DM_NHAN_SU'!M153&gt;0,'DM_NHAN_SU'!M153,'THAM_SO'!$B$10))</f>
        <v/>
      </c>
      <c r="K153" s="232">
        <f>IF('DM_NHAN_SU'!$B153="","",'CHAM_CONG_THANG'!AC153)</f>
        <v/>
      </c>
      <c r="L153" s="232">
        <f>IF('DM_NHAN_SU'!$B153="","",'CHAM_CONG_THANG'!AD153)</f>
        <v/>
      </c>
      <c r="M153" s="232">
        <f>IF('DM_NHAN_SU'!$B153="","",'CHAM_CONG_THANG'!AE153)</f>
        <v/>
      </c>
      <c r="N153" s="232">
        <f>IF('DM_NHAN_SU'!$B153="","",'CHAM_CONG_THANG'!N153)</f>
        <v/>
      </c>
      <c r="O153" s="224">
        <f>IF('DM_NHAN_SU'!$B153="","",IF($B153="","",IF($G153="Tháng",IF($I153&gt;0,'DM_NHAN_SU'!$K153*MIN($K153,$I153)/$I153,0),IF($G153="Ngày",'DM_NHAN_SU'!$K153*$K153,IF($G153="Giờ",'DM_NHAN_SU'!$K153*$L153,IF($G153="Sản phẩm",'DM_NHAN_SU'!$K153*$N153,0))))))</f>
        <v/>
      </c>
      <c r="P153" s="224">
        <f>IF('DM_NHAN_SU'!$B153="","",'CHAM_CONG_THANG'!O153)</f>
        <v/>
      </c>
      <c r="Q153" s="224">
        <f>IF('DM_NHAN_SU'!$B153="","",'CHAM_CONG_THANG'!P153)</f>
        <v/>
      </c>
      <c r="R153" s="224">
        <f>IF('DM_NHAN_SU'!$B153="","",'CHAM_CONG_THANG'!Q153)</f>
        <v/>
      </c>
      <c r="S153" s="224">
        <f>IF('DM_NHAN_SU'!$B153="","",'CHAM_CONG_THANG'!R153)</f>
        <v/>
      </c>
      <c r="T153" s="224">
        <f>IF('DM_NHAN_SU'!$B153="","",'CHAM_CONG_THANG'!S153)</f>
        <v/>
      </c>
      <c r="U153" s="224">
        <f>IF('DM_NHAN_SU'!$B153="","",MIN($T153,'THAM_SO'!$F$6))</f>
        <v/>
      </c>
      <c r="V153" s="224">
        <f>IF('DM_NHAN_SU'!$B153="","",MAX($T153-$U153,0))</f>
        <v/>
      </c>
      <c r="W153" s="224">
        <f>IF('DM_NHAN_SU'!$B153="","",'CHAM_CONG_THANG'!T153)</f>
        <v/>
      </c>
      <c r="X153" s="224">
        <f>IF('DM_NHAN_SU'!$B153="","",'CHAM_CONG_THANG'!U153)</f>
        <v/>
      </c>
      <c r="Y153" s="224">
        <f>IF('DM_NHAN_SU'!$B153="","",IF($B153="",0,IF('DM_NHAN_SU'!$Q153&gt;0,'DM_NHAN_SU'!$Q153,IF($G153="Tháng",IF($I153*$J153&gt;0,'DM_NHAN_SU'!$K153/($I153*$J153),0),IF($G153="Ngày",IF($J153&gt;0,'DM_NHAN_SU'!$K153/$J153,0),IF($G153="Giờ",'DM_NHAN_SU'!$K153,0))))))</f>
        <v/>
      </c>
      <c r="Z153" s="224">
        <f>IF('DM_NHAN_SU'!$B153="","",$Y153*($M153*'THAM_SO'!$C$22+'CHAM_CONG_THANG'!$AF153*'THAM_SO'!$C$19+'CHAM_CONG_THANG'!$AG153*'THAM_SO'!$C$20+'CHAM_CONG_THANG'!$AH153*'THAM_SO'!$C$21+'CHAM_CONG_THANG'!$AI153*'THAM_SO'!$C$23+'CHAM_CONG_THANG'!$AJ153*'THAM_SO'!$C$24+'CHAM_CONG_THANG'!$AK153*'THAM_SO'!$C$25))</f>
        <v/>
      </c>
      <c r="AA153" s="224">
        <f>IF('DM_NHAN_SU'!$B153="","",MAX(0,$Y153*($M153*IF('THAM_SO'!$C$22&gt;='THAM_SO'!$B$22,'THAM_SO'!$B$22,0)+'CHAM_CONG_THANG'!$AF153*IF('THAM_SO'!$C$19&gt;='THAM_SO'!$B$19,'THAM_SO'!$B$19,0)+'CHAM_CONG_THANG'!$AG153*IF('THAM_SO'!$C$20&gt;='THAM_SO'!$B$20,'THAM_SO'!$B$20,0)+'CHAM_CONG_THANG'!$AH153*IF('THAM_SO'!$C$21&gt;='THAM_SO'!$B$21,'THAM_SO'!$B$21,0)+'CHAM_CONG_THANG'!$AI153*IF('THAM_SO'!$C$23&gt;='THAM_SO'!$B$23,'THAM_SO'!$B$23,0)+'CHAM_CONG_THANG'!$AJ153*IF('THAM_SO'!$C$24&gt;='THAM_SO'!$B$24,'THAM_SO'!$B$24,0)+'CHAM_CONG_THANG'!$AK153*IF('THAM_SO'!$C$25&gt;='THAM_SO'!$B$25,'THAM_SO'!$B$25,0))-'CHAM_CONG_THANG'!$V153))</f>
        <v/>
      </c>
      <c r="AB153" s="224">
        <f>IF('DM_NHAN_SU'!$B153="","",MAX($Z153-$AA153,0))</f>
        <v/>
      </c>
      <c r="AC153" s="224">
        <f>IF('DM_NHAN_SU'!$B153="","",$O153+$P153+$Q153+$R153+$S153+$V153+$AB153+$BO153+$BP153+$BQ153+$BR153)</f>
        <v/>
      </c>
      <c r="AD153" s="224">
        <f>IF('DM_NHAN_SU'!$B153="","",'DM_NHAN_SU'!N153+'DM_NHAN_SU'!O153+'DM_NHAN_SU'!P153)</f>
        <v/>
      </c>
      <c r="AE153" s="224">
        <f>IF('DM_NHAN_SU'!$B153="","",IF(OR('DM_NHAN_SU'!$R153&lt;&gt;"Có",'CHAM_CONG_THANG'!$AA153="Có",$BL153&gt;=14,$AD153&lt;=0),0,MIN(MAX($AD153,'THAM_SO'!$M$6),'THAM_SO'!$M$7)))</f>
        <v/>
      </c>
      <c r="AF153" s="224">
        <f>IF('DM_NHAN_SU'!$B153="","",IF(OR('DM_NHAN_SU'!$S153&lt;&gt;"Có",'CHAM_CONG_THANG'!$AA153="Có",$BL153&gt;=14,$AD153&lt;=0),0,MIN(MAX($AD153,VLOOKUP($H153,'THAM_SO'!$L$17:$P$20,4,FALSE)),VLOOKUP($H153,'THAM_SO'!$L$17:$P$20,5,FALSE))))</f>
        <v/>
      </c>
      <c r="AG153" s="224">
        <f>IF('DM_NHAN_SU'!$B153="","",$AE153*'THAM_SO'!$M$8)</f>
        <v/>
      </c>
      <c r="AH153" s="224">
        <f>IF('DM_NHAN_SU'!$B153="","",$AE153*'THAM_SO'!$M$9)</f>
        <v/>
      </c>
      <c r="AI153" s="224">
        <f>IF('DM_NHAN_SU'!$B153="","",$AF153*'THAM_SO'!$M$10)</f>
        <v/>
      </c>
      <c r="AJ153" s="224">
        <f>IF('DM_NHAN_SU'!$B153="","",SUM($AG153:$AI153))</f>
        <v/>
      </c>
      <c r="AK153" s="224">
        <f>IF('DM_NHAN_SU'!$B153="","",IF($B153="",0,'THAM_SO'!$F$4))</f>
        <v/>
      </c>
      <c r="AL153" s="224">
        <f>IF('DM_NHAN_SU'!$B153="","",IF($B153="",0,'DM_NHAN_SU'!$T153*'THAM_SO'!$F$5))</f>
        <v/>
      </c>
      <c r="AM153" s="224">
        <f>IF('DM_NHAN_SU'!$B153="","",'CHAM_CONG_THANG'!W153)</f>
        <v/>
      </c>
      <c r="AN153" s="224">
        <f>IF('DM_NHAN_SU'!$B153="","",MAX($AC153-$AK153-$AL153-$AM153,0))</f>
        <v/>
      </c>
      <c r="AO153" s="224">
        <f>IF('DM_NHAN_SU'!$B153="","",IF($B153="","",IF($F153="Net",IF($AC153&lt;=$AK153+$AL153+$AM153,$AC153+$AJ153,$AJ153+$AK153+$AL153+$AM153+IF($AN153&lt;='THAM_SO'!$J$10,($AN153-'THAM_SO'!$I$10)/(1-'THAM_SO'!$H$10),IF($AN153&lt;='THAM_SO'!$J$11,($AN153-'THAM_SO'!$I$11)/(1-'THAM_SO'!$H$11),IF($AN153&lt;='THAM_SO'!$J$12,($AN153-'THAM_SO'!$I$12)/(1-'THAM_SO'!$H$12),IF($AN153&lt;='THAM_SO'!$J$13,($AN153-'THAM_SO'!$I$13)/(1-'THAM_SO'!$H$13),($AN153-'THAM_SO'!$I$14)/(1-'THAM_SO'!$H$14)))))),$AC153)))</f>
        <v/>
      </c>
      <c r="AP153" s="224">
        <f>IF('DM_NHAN_SU'!$B153="","",$U153+$W153+$X153+$AA153+$BS153)</f>
        <v/>
      </c>
      <c r="AQ153" s="224">
        <f>IF('DM_NHAN_SU'!$B153="","",MAX($AO153-$AJ153-$AK153-$AL153-$AM153,0))</f>
        <v/>
      </c>
      <c r="AR153" s="224">
        <f>IF('DM_NHAN_SU'!$B153="","",IF($AQ153&lt;=0,0,$AQ153*VLOOKUP($AQ153,'THAM_SO'!$F$10:$I$14,3,TRUE)-VLOOKUP($AQ153,'THAM_SO'!$F$10:$I$14,4,TRUE)))</f>
        <v/>
      </c>
      <c r="AS153" s="224">
        <f>IF('DM_NHAN_SU'!$B153="","",$AO153+$AP153)</f>
        <v/>
      </c>
      <c r="AT153" s="224">
        <f>IF('DM_NHAN_SU'!$B153="","",$AS153-$AJ153-$AR153)</f>
        <v/>
      </c>
      <c r="AU153" s="224">
        <f>IF('DM_NHAN_SU'!$B153="","",'CHAM_CONG_THANG'!X153)</f>
        <v/>
      </c>
      <c r="AV153" s="224">
        <f>IF('DM_NHAN_SU'!$B153="","",'CHAM_CONG_THANG'!Y153+'QT_NGHI_VIEC'!AD153)</f>
        <v/>
      </c>
      <c r="AW153" s="224">
        <f>IF('DM_NHAN_SU'!$B153="","",'CHAM_CONG_THANG'!Z153)</f>
        <v/>
      </c>
      <c r="AX153" s="224">
        <f>IF('DM_NHAN_SU'!$B153="","",$AT153-$AU153-$AV153-$AW153-$BV153)</f>
        <v/>
      </c>
      <c r="AY153" s="224">
        <f>IF('DM_NHAN_SU'!$B153="","",$AE153*'THAM_SO'!$M$11)</f>
        <v/>
      </c>
      <c r="AZ153" s="224">
        <f>IF('DM_NHAN_SU'!$B153="","",$AE153*'THAM_SO'!$M$12)</f>
        <v/>
      </c>
      <c r="BA153" s="224">
        <f>IF('DM_NHAN_SU'!$B153="","",$AF153*'THAM_SO'!$M$13)</f>
        <v/>
      </c>
      <c r="BB153" s="224">
        <f>IF('DM_NHAN_SU'!$B153="","",$AE153*'THAM_SO'!$M$14)</f>
        <v/>
      </c>
      <c r="BC153" s="224">
        <f>IF('DM_NHAN_SU'!$B153="","",SUM($AY153:$BB153))</f>
        <v/>
      </c>
      <c r="BD153" s="224">
        <f>IF('DM_NHAN_SU'!$B153="","",$AS153+$BC153)</f>
        <v/>
      </c>
      <c r="BE153" s="224">
        <f>IF('DM_NHAN_SU'!$B153="","",VLOOKUP($H153,'THAM_SO'!$L$17:$P$20,2,FALSE))</f>
        <v/>
      </c>
      <c r="BF153" s="224">
        <f>IF('DM_NHAN_SU'!$B153="","",VLOOKUP($H153,'THAM_SO'!$L$17:$P$20,3,FALSE))</f>
        <v/>
      </c>
      <c r="BG153" s="150">
        <f>IF('DM_NHAN_SU'!$B153="","",IF($B153="","",IF(COUNTIF('DM_NHAN_SU'!$B$6:$B$155,$B153)&gt;1,"Trùng mã NV; ","")&amp;IF(OR($F153="",$G153=""),"Thiếu loại/hình thức lương; ","")&amp;IF('CHAM_CONG_THANG'!$D153="","Chưa chọn nguồn công; ","")&amp;IF(AND('CHAM_CONG_THANG'!$D153="Theo ngày",COUNTIF('CHAM_CONG_NGAY'!$B$6:$B$4655,$B153)=0),"Chưa có chấm công ngày; ","")&amp;IF(OR($I153&lt;=0,$J153&lt;=0),"Thiếu công/giờ chuẩn; ","")&amp;IF(AND($G153="Tháng",'DM_NHAN_SU'!$K153&lt;$BE153),"Lương tháng dưới tối thiểu vùng; ","")&amp;IF(AND($G153="Ngày",'DM_NHAN_SU'!$K153/$J153&lt;$BF153),"Lương ngày quy đổi dưới tối thiểu giờ; ","")&amp;IF(AND($G153="Giờ",'DM_NHAN_SU'!$K153&lt;$BF153),"Lương giờ dưới tối thiểu vùng; ","")&amp;IF(AND($G153="Sản phẩm",$L153&gt;0,$O153/$L153&lt;$BF153),"Lương SP quy đổi dưới tối thiểu giờ; ","")&amp;IF(OR('THAM_SO'!$C$19&lt;'THAM_SO'!$B$19,'THAM_SO'!$C$20&lt;'THAM_SO'!$B$20,'THAM_SO'!$C$21&lt;'THAM_SO'!$B$21,'THAM_SO'!$C$22&lt;'THAM_SO'!$B$22,'THAM_SO'!$C$23&lt;'THAM_SO'!$B$23,'THAM_SO'!$C$24&lt;'THAM_SO'!$B$24,'THAM_SO'!$C$25&lt;'THAM_SO'!$B$25),"Hệ số OT/đêm DN thấp hơn luật; ","")&amp;IF(AND('DM_NHAN_SU'!$R153="Có",$AD153&lt;=0),"Thiếu căn cứ đóng BH; ","")&amp;IF(AND($AD153&gt;0,$AD153&lt;'THAM_SO'!$M$6),"Căn cứ BH dưới sàn – đã nâng sàn; ","")&amp;IF($AD153&gt;'THAM_SO'!$M$7,"Căn cứ BH vượt trần – đã giới hạn; ","")&amp;IF(AND($F153="Net",SUM('CHAM_CONG_THANG'!$AF153:$AK153)&gt;0,'DM_NHAN_SU'!$Q153&lt;=0),"Net có OT nhưng chưa khai lương giờ OT; ","")&amp;IF('CHAM_CONG_THANG'!$V153&gt;$Z153,"Phần OT không miễn lớn hơn tiền OT; ","")&amp;IF(AND($F153="Net",ABS($AT153-$AC153-$AP153)&gt;1),"Lệch quy đổi Net; ","")&amp;IF(AND($BH153&gt;0,'DM_NHAN_SU'!$AD153=""),"Có phép năm nhưng đang tạm dùng 12 ngày; ","")&amp;IF(AND($G153="Sản phẩm",SUM($BH153:$BJ153)&gt;0,'DM_NHAN_SU'!$AH153&lt;=0),"Lương sản phẩm thiếu đơn giá ngày phép/lễ; ","")&amp;IF(AND($BL153&gt;=14,'CHAM_CONG_THANG'!$AA153&lt;&gt;"Có"),"Thai sản từ 14 ngày: file tự dừng đóng BH – kiểm tra hồ sơ; ","")&amp;IF(AND('DM_NHAN_SU'!$AA153="Có",'DM_NHAN_SU'!$AB153=""),"Đoàn viên chưa chọn cách tính đoàn phí; ","")&amp;IF(AND('DM_NHAN_SU'!$AB153="Nhập tay",'DM_NHAN_SU'!$AC153&gt;'THAM_SO'!$M$26),"Đoàn phí nhập tay vượt trần thông dụng; ","")&amp;IF('NGHI_PHEP'!$L153&lt;&gt;"","Phép: "&amp;'NGHI_PHEP'!$L153,"")&amp;IF('CHE_DO_BHXH'!$AA153&lt;&gt;"","BHXH: "&amp;'CHE_DO_BHXH'!$AA153,"")&amp;IF('THUONG_T13_TET'!$O153&lt;&gt;"","Thưởng: "&amp;'THUONG_T13_TET'!$O153,"")&amp;IF('QT_NGHI_VIEC'!$AF153&lt;&gt;"","Nghỉ việc: "&amp;'QT_NGHI_VIEC'!$AF153,"")&amp;IF($AX153&lt;0,"Thực lĩnh âm; ","")&amp;IF(OR('DM_NHAN_SU'!$F153&gt;'THAM_SO'!$B$7,AND('DM_NHAN_SU'!$G153&lt;&gt;"",'DM_NHAN_SU'!$G153&lt;'THAM_SO'!$B$6)),"Ngoài kỳ trả lương; ","")))</f>
        <v/>
      </c>
      <c r="BH153" s="232">
        <f>IF('DM_NHAN_SU'!$B153="","",'CHAM_CONG_THANG'!AR153)</f>
        <v/>
      </c>
      <c r="BI153" s="232">
        <f>IF('DM_NHAN_SU'!$B153="","",'CHAM_CONG_THANG'!AS153)</f>
        <v/>
      </c>
      <c r="BJ153" s="232">
        <f>IF('DM_NHAN_SU'!$B153="","",'CHAM_CONG_THANG'!AT153)</f>
        <v/>
      </c>
      <c r="BK153" s="232">
        <f>IF('DM_NHAN_SU'!$B153="","",'CHAM_CONG_THANG'!AU153)</f>
        <v/>
      </c>
      <c r="BL153" s="232">
        <f>IF('DM_NHAN_SU'!$B153="","",'CHAM_CONG_THANG'!AV153)</f>
        <v/>
      </c>
      <c r="BM153" s="232">
        <f>IF('DM_NHAN_SU'!$B153="","",'CHAM_CONG_THANG'!AW153)</f>
        <v/>
      </c>
      <c r="BN153" s="232">
        <f>IF('DM_NHAN_SU'!$B153="","",SUM($K153,$BH153:$BJ153))</f>
        <v/>
      </c>
      <c r="BO153" s="224">
        <f>IF('DM_NHAN_SU'!$B153="","",IF($B153="",0,IF($G153="Tháng",IF($I153&gt;0,'DM_NHAN_SU'!$K153*MIN($BH153+$BJ153,MAX($I153-$K153,0))/$I153,0),IF($G153="Ngày",'DM_NHAN_SU'!$K153*SUM($BH153:$BJ153),IF($G153="Giờ",'DM_NHAN_SU'!$K153*SUM($BH153:$BJ153)*$J153,IF($G153="Sản phẩm",'DM_NHAN_SU'!$AH153*SUM($BH153:$BJ153),0))))))</f>
        <v/>
      </c>
      <c r="BP153" s="224">
        <f>IF('DM_NHAN_SU'!$B153="","",IF('THUONG_T13_TET'!$L153="Có",'THUONG_T13_TET'!$I153,0))</f>
        <v/>
      </c>
      <c r="BQ153" s="224">
        <f>IF('DM_NHAN_SU'!$B153="","",IF('THUONG_T13_TET'!$L153="Có",SUM('THUONG_T13_TET'!$J153:$K153),0))</f>
        <v/>
      </c>
      <c r="BR153" s="224">
        <f>IF('DM_NHAN_SU'!$B153="","",'QT_NGHI_VIEC'!AC153)</f>
        <v/>
      </c>
      <c r="BS153" s="224">
        <f>IF('DM_NHAN_SU'!$B153="","",'QT_NGHI_VIEC'!AB153)</f>
        <v/>
      </c>
      <c r="BT153" s="224">
        <f>IF('DM_NHAN_SU'!$B153="","",IF('CHE_DO_BHXH'!$Z153="Có",'CHE_DO_BHXH'!$W153,0))</f>
        <v/>
      </c>
      <c r="BU153" s="224">
        <f>IF('DM_NHAN_SU'!$B153="","",IF('CHE_DO_BHXH'!$Y153="DN trả thay",$BT153,0))</f>
        <v/>
      </c>
      <c r="BV153" s="224">
        <f>IF('DM_NHAN_SU'!$B153="","",IF(OR('DM_NHAN_SU'!$AA153&lt;&gt;"Có",'CHE_DO_BHXH'!$O153&gt;=1,SUM('CHE_DO_BHXH'!$D153,'CHE_DO_BHXH'!$G153,'CHE_DO_BHXH'!$K153)&gt;=24,AND($I153&gt;0,$BM153&gt;=$I153)),0,IF('DM_NHAN_SU'!$AB153="Không",0,IF('DM_NHAN_SU'!$AB153="Nhập tay",'DM_NHAN_SU'!$AC153,IF('DM_NHAN_SU'!$AB153="Theo thực nhận",MIN(MAX($AT153-$AU153-$AV153-$AW153,0)*'THAM_SO'!$M$23,'THAM_SO'!$M$26),MIN($AE153*'THAM_SO'!$M$23,'THAM_SO'!$M$26))))))</f>
        <v/>
      </c>
      <c r="BW153" s="224">
        <f>IF('DM_NHAN_SU'!$B153="","",$AX153+$BU153)</f>
        <v/>
      </c>
    </row>
    <row r="154">
      <c r="A154" s="145">
        <f>IF('DM_NHAN_SU'!$B154="","",IF($B154="","",ROW()-5))</f>
        <v/>
      </c>
      <c r="B154" s="145">
        <f>IF('DM_NHAN_SU'!$B154="","",'DM_NHAN_SU'!B154)</f>
        <v/>
      </c>
      <c r="C154" s="145">
        <f>IF('DM_NHAN_SU'!$B154="","",'DM_NHAN_SU'!C154)</f>
        <v/>
      </c>
      <c r="D154" s="145">
        <f>IF('DM_NHAN_SU'!$B154="","",'DM_NHAN_SU'!D154)</f>
        <v/>
      </c>
      <c r="E154" s="145">
        <f>IF('DM_NHAN_SU'!$B154="","",'DM_NHAN_SU'!E154)</f>
        <v/>
      </c>
      <c r="F154" s="145">
        <f>IF('DM_NHAN_SU'!$B154="","",'DM_NHAN_SU'!I154)</f>
        <v/>
      </c>
      <c r="G154" s="145">
        <f>IF('DM_NHAN_SU'!$B154="","",'DM_NHAN_SU'!J154)</f>
        <v/>
      </c>
      <c r="H154" s="145">
        <f>IF('DM_NHAN_SU'!$B154="","",IF('DM_NHAN_SU'!H154="",'THAM_SO'!$B$11,'DM_NHAN_SU'!H154))</f>
        <v/>
      </c>
      <c r="I154" s="232">
        <f>IF('DM_NHAN_SU'!$B154="","",IF('DM_NHAN_SU'!L154&gt;0,'DM_NHAN_SU'!L154,'THAM_SO'!$B$9))</f>
        <v/>
      </c>
      <c r="J154" s="232">
        <f>IF('DM_NHAN_SU'!$B154="","",IF('DM_NHAN_SU'!M154&gt;0,'DM_NHAN_SU'!M154,'THAM_SO'!$B$10))</f>
        <v/>
      </c>
      <c r="K154" s="232">
        <f>IF('DM_NHAN_SU'!$B154="","",'CHAM_CONG_THANG'!AC154)</f>
        <v/>
      </c>
      <c r="L154" s="232">
        <f>IF('DM_NHAN_SU'!$B154="","",'CHAM_CONG_THANG'!AD154)</f>
        <v/>
      </c>
      <c r="M154" s="232">
        <f>IF('DM_NHAN_SU'!$B154="","",'CHAM_CONG_THANG'!AE154)</f>
        <v/>
      </c>
      <c r="N154" s="232">
        <f>IF('DM_NHAN_SU'!$B154="","",'CHAM_CONG_THANG'!N154)</f>
        <v/>
      </c>
      <c r="O154" s="224">
        <f>IF('DM_NHAN_SU'!$B154="","",IF($B154="","",IF($G154="Tháng",IF($I154&gt;0,'DM_NHAN_SU'!$K154*MIN($K154,$I154)/$I154,0),IF($G154="Ngày",'DM_NHAN_SU'!$K154*$K154,IF($G154="Giờ",'DM_NHAN_SU'!$K154*$L154,IF($G154="Sản phẩm",'DM_NHAN_SU'!$K154*$N154,0))))))</f>
        <v/>
      </c>
      <c r="P154" s="224">
        <f>IF('DM_NHAN_SU'!$B154="","",'CHAM_CONG_THANG'!O154)</f>
        <v/>
      </c>
      <c r="Q154" s="224">
        <f>IF('DM_NHAN_SU'!$B154="","",'CHAM_CONG_THANG'!P154)</f>
        <v/>
      </c>
      <c r="R154" s="224">
        <f>IF('DM_NHAN_SU'!$B154="","",'CHAM_CONG_THANG'!Q154)</f>
        <v/>
      </c>
      <c r="S154" s="224">
        <f>IF('DM_NHAN_SU'!$B154="","",'CHAM_CONG_THANG'!R154)</f>
        <v/>
      </c>
      <c r="T154" s="224">
        <f>IF('DM_NHAN_SU'!$B154="","",'CHAM_CONG_THANG'!S154)</f>
        <v/>
      </c>
      <c r="U154" s="224">
        <f>IF('DM_NHAN_SU'!$B154="","",MIN($T154,'THAM_SO'!$F$6))</f>
        <v/>
      </c>
      <c r="V154" s="224">
        <f>IF('DM_NHAN_SU'!$B154="","",MAX($T154-$U154,0))</f>
        <v/>
      </c>
      <c r="W154" s="224">
        <f>IF('DM_NHAN_SU'!$B154="","",'CHAM_CONG_THANG'!T154)</f>
        <v/>
      </c>
      <c r="X154" s="224">
        <f>IF('DM_NHAN_SU'!$B154="","",'CHAM_CONG_THANG'!U154)</f>
        <v/>
      </c>
      <c r="Y154" s="224">
        <f>IF('DM_NHAN_SU'!$B154="","",IF($B154="",0,IF('DM_NHAN_SU'!$Q154&gt;0,'DM_NHAN_SU'!$Q154,IF($G154="Tháng",IF($I154*$J154&gt;0,'DM_NHAN_SU'!$K154/($I154*$J154),0),IF($G154="Ngày",IF($J154&gt;0,'DM_NHAN_SU'!$K154/$J154,0),IF($G154="Giờ",'DM_NHAN_SU'!$K154,0))))))</f>
        <v/>
      </c>
      <c r="Z154" s="224">
        <f>IF('DM_NHAN_SU'!$B154="","",$Y154*($M154*'THAM_SO'!$C$22+'CHAM_CONG_THANG'!$AF154*'THAM_SO'!$C$19+'CHAM_CONG_THANG'!$AG154*'THAM_SO'!$C$20+'CHAM_CONG_THANG'!$AH154*'THAM_SO'!$C$21+'CHAM_CONG_THANG'!$AI154*'THAM_SO'!$C$23+'CHAM_CONG_THANG'!$AJ154*'THAM_SO'!$C$24+'CHAM_CONG_THANG'!$AK154*'THAM_SO'!$C$25))</f>
        <v/>
      </c>
      <c r="AA154" s="224">
        <f>IF('DM_NHAN_SU'!$B154="","",MAX(0,$Y154*($M154*IF('THAM_SO'!$C$22&gt;='THAM_SO'!$B$22,'THAM_SO'!$B$22,0)+'CHAM_CONG_THANG'!$AF154*IF('THAM_SO'!$C$19&gt;='THAM_SO'!$B$19,'THAM_SO'!$B$19,0)+'CHAM_CONG_THANG'!$AG154*IF('THAM_SO'!$C$20&gt;='THAM_SO'!$B$20,'THAM_SO'!$B$20,0)+'CHAM_CONG_THANG'!$AH154*IF('THAM_SO'!$C$21&gt;='THAM_SO'!$B$21,'THAM_SO'!$B$21,0)+'CHAM_CONG_THANG'!$AI154*IF('THAM_SO'!$C$23&gt;='THAM_SO'!$B$23,'THAM_SO'!$B$23,0)+'CHAM_CONG_THANG'!$AJ154*IF('THAM_SO'!$C$24&gt;='THAM_SO'!$B$24,'THAM_SO'!$B$24,0)+'CHAM_CONG_THANG'!$AK154*IF('THAM_SO'!$C$25&gt;='THAM_SO'!$B$25,'THAM_SO'!$B$25,0))-'CHAM_CONG_THANG'!$V154))</f>
        <v/>
      </c>
      <c r="AB154" s="224">
        <f>IF('DM_NHAN_SU'!$B154="","",MAX($Z154-$AA154,0))</f>
        <v/>
      </c>
      <c r="AC154" s="224">
        <f>IF('DM_NHAN_SU'!$B154="","",$O154+$P154+$Q154+$R154+$S154+$V154+$AB154+$BO154+$BP154+$BQ154+$BR154)</f>
        <v/>
      </c>
      <c r="AD154" s="224">
        <f>IF('DM_NHAN_SU'!$B154="","",'DM_NHAN_SU'!N154+'DM_NHAN_SU'!O154+'DM_NHAN_SU'!P154)</f>
        <v/>
      </c>
      <c r="AE154" s="224">
        <f>IF('DM_NHAN_SU'!$B154="","",IF(OR('DM_NHAN_SU'!$R154&lt;&gt;"Có",'CHAM_CONG_THANG'!$AA154="Có",$BL154&gt;=14,$AD154&lt;=0),0,MIN(MAX($AD154,'THAM_SO'!$M$6),'THAM_SO'!$M$7)))</f>
        <v/>
      </c>
      <c r="AF154" s="224">
        <f>IF('DM_NHAN_SU'!$B154="","",IF(OR('DM_NHAN_SU'!$S154&lt;&gt;"Có",'CHAM_CONG_THANG'!$AA154="Có",$BL154&gt;=14,$AD154&lt;=0),0,MIN(MAX($AD154,VLOOKUP($H154,'THAM_SO'!$L$17:$P$20,4,FALSE)),VLOOKUP($H154,'THAM_SO'!$L$17:$P$20,5,FALSE))))</f>
        <v/>
      </c>
      <c r="AG154" s="224">
        <f>IF('DM_NHAN_SU'!$B154="","",$AE154*'THAM_SO'!$M$8)</f>
        <v/>
      </c>
      <c r="AH154" s="224">
        <f>IF('DM_NHAN_SU'!$B154="","",$AE154*'THAM_SO'!$M$9)</f>
        <v/>
      </c>
      <c r="AI154" s="224">
        <f>IF('DM_NHAN_SU'!$B154="","",$AF154*'THAM_SO'!$M$10)</f>
        <v/>
      </c>
      <c r="AJ154" s="224">
        <f>IF('DM_NHAN_SU'!$B154="","",SUM($AG154:$AI154))</f>
        <v/>
      </c>
      <c r="AK154" s="224">
        <f>IF('DM_NHAN_SU'!$B154="","",IF($B154="",0,'THAM_SO'!$F$4))</f>
        <v/>
      </c>
      <c r="AL154" s="224">
        <f>IF('DM_NHAN_SU'!$B154="","",IF($B154="",0,'DM_NHAN_SU'!$T154*'THAM_SO'!$F$5))</f>
        <v/>
      </c>
      <c r="AM154" s="224">
        <f>IF('DM_NHAN_SU'!$B154="","",'CHAM_CONG_THANG'!W154)</f>
        <v/>
      </c>
      <c r="AN154" s="224">
        <f>IF('DM_NHAN_SU'!$B154="","",MAX($AC154-$AK154-$AL154-$AM154,0))</f>
        <v/>
      </c>
      <c r="AO154" s="224">
        <f>IF('DM_NHAN_SU'!$B154="","",IF($B154="","",IF($F154="Net",IF($AC154&lt;=$AK154+$AL154+$AM154,$AC154+$AJ154,$AJ154+$AK154+$AL154+$AM154+IF($AN154&lt;='THAM_SO'!$J$10,($AN154-'THAM_SO'!$I$10)/(1-'THAM_SO'!$H$10),IF($AN154&lt;='THAM_SO'!$J$11,($AN154-'THAM_SO'!$I$11)/(1-'THAM_SO'!$H$11),IF($AN154&lt;='THAM_SO'!$J$12,($AN154-'THAM_SO'!$I$12)/(1-'THAM_SO'!$H$12),IF($AN154&lt;='THAM_SO'!$J$13,($AN154-'THAM_SO'!$I$13)/(1-'THAM_SO'!$H$13),($AN154-'THAM_SO'!$I$14)/(1-'THAM_SO'!$H$14)))))),$AC154)))</f>
        <v/>
      </c>
      <c r="AP154" s="224">
        <f>IF('DM_NHAN_SU'!$B154="","",$U154+$W154+$X154+$AA154+$BS154)</f>
        <v/>
      </c>
      <c r="AQ154" s="224">
        <f>IF('DM_NHAN_SU'!$B154="","",MAX($AO154-$AJ154-$AK154-$AL154-$AM154,0))</f>
        <v/>
      </c>
      <c r="AR154" s="224">
        <f>IF('DM_NHAN_SU'!$B154="","",IF($AQ154&lt;=0,0,$AQ154*VLOOKUP($AQ154,'THAM_SO'!$F$10:$I$14,3,TRUE)-VLOOKUP($AQ154,'THAM_SO'!$F$10:$I$14,4,TRUE)))</f>
        <v/>
      </c>
      <c r="AS154" s="224">
        <f>IF('DM_NHAN_SU'!$B154="","",$AO154+$AP154)</f>
        <v/>
      </c>
      <c r="AT154" s="224">
        <f>IF('DM_NHAN_SU'!$B154="","",$AS154-$AJ154-$AR154)</f>
        <v/>
      </c>
      <c r="AU154" s="224">
        <f>IF('DM_NHAN_SU'!$B154="","",'CHAM_CONG_THANG'!X154)</f>
        <v/>
      </c>
      <c r="AV154" s="224">
        <f>IF('DM_NHAN_SU'!$B154="","",'CHAM_CONG_THANG'!Y154+'QT_NGHI_VIEC'!AD154)</f>
        <v/>
      </c>
      <c r="AW154" s="224">
        <f>IF('DM_NHAN_SU'!$B154="","",'CHAM_CONG_THANG'!Z154)</f>
        <v/>
      </c>
      <c r="AX154" s="224">
        <f>IF('DM_NHAN_SU'!$B154="","",$AT154-$AU154-$AV154-$AW154-$BV154)</f>
        <v/>
      </c>
      <c r="AY154" s="224">
        <f>IF('DM_NHAN_SU'!$B154="","",$AE154*'THAM_SO'!$M$11)</f>
        <v/>
      </c>
      <c r="AZ154" s="224">
        <f>IF('DM_NHAN_SU'!$B154="","",$AE154*'THAM_SO'!$M$12)</f>
        <v/>
      </c>
      <c r="BA154" s="224">
        <f>IF('DM_NHAN_SU'!$B154="","",$AF154*'THAM_SO'!$M$13)</f>
        <v/>
      </c>
      <c r="BB154" s="224">
        <f>IF('DM_NHAN_SU'!$B154="","",$AE154*'THAM_SO'!$M$14)</f>
        <v/>
      </c>
      <c r="BC154" s="224">
        <f>IF('DM_NHAN_SU'!$B154="","",SUM($AY154:$BB154))</f>
        <v/>
      </c>
      <c r="BD154" s="224">
        <f>IF('DM_NHAN_SU'!$B154="","",$AS154+$BC154)</f>
        <v/>
      </c>
      <c r="BE154" s="224">
        <f>IF('DM_NHAN_SU'!$B154="","",VLOOKUP($H154,'THAM_SO'!$L$17:$P$20,2,FALSE))</f>
        <v/>
      </c>
      <c r="BF154" s="224">
        <f>IF('DM_NHAN_SU'!$B154="","",VLOOKUP($H154,'THAM_SO'!$L$17:$P$20,3,FALSE))</f>
        <v/>
      </c>
      <c r="BG154" s="150">
        <f>IF('DM_NHAN_SU'!$B154="","",IF($B154="","",IF(COUNTIF('DM_NHAN_SU'!$B$6:$B$155,$B154)&gt;1,"Trùng mã NV; ","")&amp;IF(OR($F154="",$G154=""),"Thiếu loại/hình thức lương; ","")&amp;IF('CHAM_CONG_THANG'!$D154="","Chưa chọn nguồn công; ","")&amp;IF(AND('CHAM_CONG_THANG'!$D154="Theo ngày",COUNTIF('CHAM_CONG_NGAY'!$B$6:$B$4655,$B154)=0),"Chưa có chấm công ngày; ","")&amp;IF(OR($I154&lt;=0,$J154&lt;=0),"Thiếu công/giờ chuẩn; ","")&amp;IF(AND($G154="Tháng",'DM_NHAN_SU'!$K154&lt;$BE154),"Lương tháng dưới tối thiểu vùng; ","")&amp;IF(AND($G154="Ngày",'DM_NHAN_SU'!$K154/$J154&lt;$BF154),"Lương ngày quy đổi dưới tối thiểu giờ; ","")&amp;IF(AND($G154="Giờ",'DM_NHAN_SU'!$K154&lt;$BF154),"Lương giờ dưới tối thiểu vùng; ","")&amp;IF(AND($G154="Sản phẩm",$L154&gt;0,$O154/$L154&lt;$BF154),"Lương SP quy đổi dưới tối thiểu giờ; ","")&amp;IF(OR('THAM_SO'!$C$19&lt;'THAM_SO'!$B$19,'THAM_SO'!$C$20&lt;'THAM_SO'!$B$20,'THAM_SO'!$C$21&lt;'THAM_SO'!$B$21,'THAM_SO'!$C$22&lt;'THAM_SO'!$B$22,'THAM_SO'!$C$23&lt;'THAM_SO'!$B$23,'THAM_SO'!$C$24&lt;'THAM_SO'!$B$24,'THAM_SO'!$C$25&lt;'THAM_SO'!$B$25),"Hệ số OT/đêm DN thấp hơn luật; ","")&amp;IF(AND('DM_NHAN_SU'!$R154="Có",$AD154&lt;=0),"Thiếu căn cứ đóng BH; ","")&amp;IF(AND($AD154&gt;0,$AD154&lt;'THAM_SO'!$M$6),"Căn cứ BH dưới sàn – đã nâng sàn; ","")&amp;IF($AD154&gt;'THAM_SO'!$M$7,"Căn cứ BH vượt trần – đã giới hạn; ","")&amp;IF(AND($F154="Net",SUM('CHAM_CONG_THANG'!$AF154:$AK154)&gt;0,'DM_NHAN_SU'!$Q154&lt;=0),"Net có OT nhưng chưa khai lương giờ OT; ","")&amp;IF('CHAM_CONG_THANG'!$V154&gt;$Z154,"Phần OT không miễn lớn hơn tiền OT; ","")&amp;IF(AND($F154="Net",ABS($AT154-$AC154-$AP154)&gt;1),"Lệch quy đổi Net; ","")&amp;IF(AND($BH154&gt;0,'DM_NHAN_SU'!$AD154=""),"Có phép năm nhưng đang tạm dùng 12 ngày; ","")&amp;IF(AND($G154="Sản phẩm",SUM($BH154:$BJ154)&gt;0,'DM_NHAN_SU'!$AH154&lt;=0),"Lương sản phẩm thiếu đơn giá ngày phép/lễ; ","")&amp;IF(AND($BL154&gt;=14,'CHAM_CONG_THANG'!$AA154&lt;&gt;"Có"),"Thai sản từ 14 ngày: file tự dừng đóng BH – kiểm tra hồ sơ; ","")&amp;IF(AND('DM_NHAN_SU'!$AA154="Có",'DM_NHAN_SU'!$AB154=""),"Đoàn viên chưa chọn cách tính đoàn phí; ","")&amp;IF(AND('DM_NHAN_SU'!$AB154="Nhập tay",'DM_NHAN_SU'!$AC154&gt;'THAM_SO'!$M$26),"Đoàn phí nhập tay vượt trần thông dụng; ","")&amp;IF('NGHI_PHEP'!$L154&lt;&gt;"","Phép: "&amp;'NGHI_PHEP'!$L154,"")&amp;IF('CHE_DO_BHXH'!$AA154&lt;&gt;"","BHXH: "&amp;'CHE_DO_BHXH'!$AA154,"")&amp;IF('THUONG_T13_TET'!$O154&lt;&gt;"","Thưởng: "&amp;'THUONG_T13_TET'!$O154,"")&amp;IF('QT_NGHI_VIEC'!$AF154&lt;&gt;"","Nghỉ việc: "&amp;'QT_NGHI_VIEC'!$AF154,"")&amp;IF($AX154&lt;0,"Thực lĩnh âm; ","")&amp;IF(OR('DM_NHAN_SU'!$F154&gt;'THAM_SO'!$B$7,AND('DM_NHAN_SU'!$G154&lt;&gt;"",'DM_NHAN_SU'!$G154&lt;'THAM_SO'!$B$6)),"Ngoài kỳ trả lương; ","")))</f>
        <v/>
      </c>
      <c r="BH154" s="232">
        <f>IF('DM_NHAN_SU'!$B154="","",'CHAM_CONG_THANG'!AR154)</f>
        <v/>
      </c>
      <c r="BI154" s="232">
        <f>IF('DM_NHAN_SU'!$B154="","",'CHAM_CONG_THANG'!AS154)</f>
        <v/>
      </c>
      <c r="BJ154" s="232">
        <f>IF('DM_NHAN_SU'!$B154="","",'CHAM_CONG_THANG'!AT154)</f>
        <v/>
      </c>
      <c r="BK154" s="232">
        <f>IF('DM_NHAN_SU'!$B154="","",'CHAM_CONG_THANG'!AU154)</f>
        <v/>
      </c>
      <c r="BL154" s="232">
        <f>IF('DM_NHAN_SU'!$B154="","",'CHAM_CONG_THANG'!AV154)</f>
        <v/>
      </c>
      <c r="BM154" s="232">
        <f>IF('DM_NHAN_SU'!$B154="","",'CHAM_CONG_THANG'!AW154)</f>
        <v/>
      </c>
      <c r="BN154" s="232">
        <f>IF('DM_NHAN_SU'!$B154="","",SUM($K154,$BH154:$BJ154))</f>
        <v/>
      </c>
      <c r="BO154" s="224">
        <f>IF('DM_NHAN_SU'!$B154="","",IF($B154="",0,IF($G154="Tháng",IF($I154&gt;0,'DM_NHAN_SU'!$K154*MIN($BH154+$BJ154,MAX($I154-$K154,0))/$I154,0),IF($G154="Ngày",'DM_NHAN_SU'!$K154*SUM($BH154:$BJ154),IF($G154="Giờ",'DM_NHAN_SU'!$K154*SUM($BH154:$BJ154)*$J154,IF($G154="Sản phẩm",'DM_NHAN_SU'!$AH154*SUM($BH154:$BJ154),0))))))</f>
        <v/>
      </c>
      <c r="BP154" s="224">
        <f>IF('DM_NHAN_SU'!$B154="","",IF('THUONG_T13_TET'!$L154="Có",'THUONG_T13_TET'!$I154,0))</f>
        <v/>
      </c>
      <c r="BQ154" s="224">
        <f>IF('DM_NHAN_SU'!$B154="","",IF('THUONG_T13_TET'!$L154="Có",SUM('THUONG_T13_TET'!$J154:$K154),0))</f>
        <v/>
      </c>
      <c r="BR154" s="224">
        <f>IF('DM_NHAN_SU'!$B154="","",'QT_NGHI_VIEC'!AC154)</f>
        <v/>
      </c>
      <c r="BS154" s="224">
        <f>IF('DM_NHAN_SU'!$B154="","",'QT_NGHI_VIEC'!AB154)</f>
        <v/>
      </c>
      <c r="BT154" s="224">
        <f>IF('DM_NHAN_SU'!$B154="","",IF('CHE_DO_BHXH'!$Z154="Có",'CHE_DO_BHXH'!$W154,0))</f>
        <v/>
      </c>
      <c r="BU154" s="224">
        <f>IF('DM_NHAN_SU'!$B154="","",IF('CHE_DO_BHXH'!$Y154="DN trả thay",$BT154,0))</f>
        <v/>
      </c>
      <c r="BV154" s="224">
        <f>IF('DM_NHAN_SU'!$B154="","",IF(OR('DM_NHAN_SU'!$AA154&lt;&gt;"Có",'CHE_DO_BHXH'!$O154&gt;=1,SUM('CHE_DO_BHXH'!$D154,'CHE_DO_BHXH'!$G154,'CHE_DO_BHXH'!$K154)&gt;=24,AND($I154&gt;0,$BM154&gt;=$I154)),0,IF('DM_NHAN_SU'!$AB154="Không",0,IF('DM_NHAN_SU'!$AB154="Nhập tay",'DM_NHAN_SU'!$AC154,IF('DM_NHAN_SU'!$AB154="Theo thực nhận",MIN(MAX($AT154-$AU154-$AV154-$AW154,0)*'THAM_SO'!$M$23,'THAM_SO'!$M$26),MIN($AE154*'THAM_SO'!$M$23,'THAM_SO'!$M$26))))))</f>
        <v/>
      </c>
      <c r="BW154" s="224">
        <f>IF('DM_NHAN_SU'!$B154="","",$AX154+$BU154)</f>
        <v/>
      </c>
    </row>
    <row r="155">
      <c r="A155" s="145">
        <f>IF('DM_NHAN_SU'!$B155="","",IF($B155="","",ROW()-5))</f>
        <v/>
      </c>
      <c r="B155" s="145">
        <f>IF('DM_NHAN_SU'!$B155="","",'DM_NHAN_SU'!B155)</f>
        <v/>
      </c>
      <c r="C155" s="145">
        <f>IF('DM_NHAN_SU'!$B155="","",'DM_NHAN_SU'!C155)</f>
        <v/>
      </c>
      <c r="D155" s="145">
        <f>IF('DM_NHAN_SU'!$B155="","",'DM_NHAN_SU'!D155)</f>
        <v/>
      </c>
      <c r="E155" s="145">
        <f>IF('DM_NHAN_SU'!$B155="","",'DM_NHAN_SU'!E155)</f>
        <v/>
      </c>
      <c r="F155" s="145">
        <f>IF('DM_NHAN_SU'!$B155="","",'DM_NHAN_SU'!I155)</f>
        <v/>
      </c>
      <c r="G155" s="145">
        <f>IF('DM_NHAN_SU'!$B155="","",'DM_NHAN_SU'!J155)</f>
        <v/>
      </c>
      <c r="H155" s="145">
        <f>IF('DM_NHAN_SU'!$B155="","",IF('DM_NHAN_SU'!H155="",'THAM_SO'!$B$11,'DM_NHAN_SU'!H155))</f>
        <v/>
      </c>
      <c r="I155" s="232">
        <f>IF('DM_NHAN_SU'!$B155="","",IF('DM_NHAN_SU'!L155&gt;0,'DM_NHAN_SU'!L155,'THAM_SO'!$B$9))</f>
        <v/>
      </c>
      <c r="J155" s="232">
        <f>IF('DM_NHAN_SU'!$B155="","",IF('DM_NHAN_SU'!M155&gt;0,'DM_NHAN_SU'!M155,'THAM_SO'!$B$10))</f>
        <v/>
      </c>
      <c r="K155" s="232">
        <f>IF('DM_NHAN_SU'!$B155="","",'CHAM_CONG_THANG'!AC155)</f>
        <v/>
      </c>
      <c r="L155" s="232">
        <f>IF('DM_NHAN_SU'!$B155="","",'CHAM_CONG_THANG'!AD155)</f>
        <v/>
      </c>
      <c r="M155" s="232">
        <f>IF('DM_NHAN_SU'!$B155="","",'CHAM_CONG_THANG'!AE155)</f>
        <v/>
      </c>
      <c r="N155" s="232">
        <f>IF('DM_NHAN_SU'!$B155="","",'CHAM_CONG_THANG'!N155)</f>
        <v/>
      </c>
      <c r="O155" s="224">
        <f>IF('DM_NHAN_SU'!$B155="","",IF($B155="","",IF($G155="Tháng",IF($I155&gt;0,'DM_NHAN_SU'!$K155*MIN($K155,$I155)/$I155,0),IF($G155="Ngày",'DM_NHAN_SU'!$K155*$K155,IF($G155="Giờ",'DM_NHAN_SU'!$K155*$L155,IF($G155="Sản phẩm",'DM_NHAN_SU'!$K155*$N155,0))))))</f>
        <v/>
      </c>
      <c r="P155" s="224">
        <f>IF('DM_NHAN_SU'!$B155="","",'CHAM_CONG_THANG'!O155)</f>
        <v/>
      </c>
      <c r="Q155" s="224">
        <f>IF('DM_NHAN_SU'!$B155="","",'CHAM_CONG_THANG'!P155)</f>
        <v/>
      </c>
      <c r="R155" s="224">
        <f>IF('DM_NHAN_SU'!$B155="","",'CHAM_CONG_THANG'!Q155)</f>
        <v/>
      </c>
      <c r="S155" s="224">
        <f>IF('DM_NHAN_SU'!$B155="","",'CHAM_CONG_THANG'!R155)</f>
        <v/>
      </c>
      <c r="T155" s="224">
        <f>IF('DM_NHAN_SU'!$B155="","",'CHAM_CONG_THANG'!S155)</f>
        <v/>
      </c>
      <c r="U155" s="224">
        <f>IF('DM_NHAN_SU'!$B155="","",MIN($T155,'THAM_SO'!$F$6))</f>
        <v/>
      </c>
      <c r="V155" s="224">
        <f>IF('DM_NHAN_SU'!$B155="","",MAX($T155-$U155,0))</f>
        <v/>
      </c>
      <c r="W155" s="224">
        <f>IF('DM_NHAN_SU'!$B155="","",'CHAM_CONG_THANG'!T155)</f>
        <v/>
      </c>
      <c r="X155" s="224">
        <f>IF('DM_NHAN_SU'!$B155="","",'CHAM_CONG_THANG'!U155)</f>
        <v/>
      </c>
      <c r="Y155" s="224">
        <f>IF('DM_NHAN_SU'!$B155="","",IF($B155="",0,IF('DM_NHAN_SU'!$Q155&gt;0,'DM_NHAN_SU'!$Q155,IF($G155="Tháng",IF($I155*$J155&gt;0,'DM_NHAN_SU'!$K155/($I155*$J155),0),IF($G155="Ngày",IF($J155&gt;0,'DM_NHAN_SU'!$K155/$J155,0),IF($G155="Giờ",'DM_NHAN_SU'!$K155,0))))))</f>
        <v/>
      </c>
      <c r="Z155" s="224">
        <f>IF('DM_NHAN_SU'!$B155="","",$Y155*($M155*'THAM_SO'!$C$22+'CHAM_CONG_THANG'!$AF155*'THAM_SO'!$C$19+'CHAM_CONG_THANG'!$AG155*'THAM_SO'!$C$20+'CHAM_CONG_THANG'!$AH155*'THAM_SO'!$C$21+'CHAM_CONG_THANG'!$AI155*'THAM_SO'!$C$23+'CHAM_CONG_THANG'!$AJ155*'THAM_SO'!$C$24+'CHAM_CONG_THANG'!$AK155*'THAM_SO'!$C$25))</f>
        <v/>
      </c>
      <c r="AA155" s="224">
        <f>IF('DM_NHAN_SU'!$B155="","",MAX(0,$Y155*($M155*IF('THAM_SO'!$C$22&gt;='THAM_SO'!$B$22,'THAM_SO'!$B$22,0)+'CHAM_CONG_THANG'!$AF155*IF('THAM_SO'!$C$19&gt;='THAM_SO'!$B$19,'THAM_SO'!$B$19,0)+'CHAM_CONG_THANG'!$AG155*IF('THAM_SO'!$C$20&gt;='THAM_SO'!$B$20,'THAM_SO'!$B$20,0)+'CHAM_CONG_THANG'!$AH155*IF('THAM_SO'!$C$21&gt;='THAM_SO'!$B$21,'THAM_SO'!$B$21,0)+'CHAM_CONG_THANG'!$AI155*IF('THAM_SO'!$C$23&gt;='THAM_SO'!$B$23,'THAM_SO'!$B$23,0)+'CHAM_CONG_THANG'!$AJ155*IF('THAM_SO'!$C$24&gt;='THAM_SO'!$B$24,'THAM_SO'!$B$24,0)+'CHAM_CONG_THANG'!$AK155*IF('THAM_SO'!$C$25&gt;='THAM_SO'!$B$25,'THAM_SO'!$B$25,0))-'CHAM_CONG_THANG'!$V155))</f>
        <v/>
      </c>
      <c r="AB155" s="224">
        <f>IF('DM_NHAN_SU'!$B155="","",MAX($Z155-$AA155,0))</f>
        <v/>
      </c>
      <c r="AC155" s="224">
        <f>IF('DM_NHAN_SU'!$B155="","",$O155+$P155+$Q155+$R155+$S155+$V155+$AB155+$BO155+$BP155+$BQ155+$BR155)</f>
        <v/>
      </c>
      <c r="AD155" s="224">
        <f>IF('DM_NHAN_SU'!$B155="","",'DM_NHAN_SU'!N155+'DM_NHAN_SU'!O155+'DM_NHAN_SU'!P155)</f>
        <v/>
      </c>
      <c r="AE155" s="224">
        <f>IF('DM_NHAN_SU'!$B155="","",IF(OR('DM_NHAN_SU'!$R155&lt;&gt;"Có",'CHAM_CONG_THANG'!$AA155="Có",$BL155&gt;=14,$AD155&lt;=0),0,MIN(MAX($AD155,'THAM_SO'!$M$6),'THAM_SO'!$M$7)))</f>
        <v/>
      </c>
      <c r="AF155" s="224">
        <f>IF('DM_NHAN_SU'!$B155="","",IF(OR('DM_NHAN_SU'!$S155&lt;&gt;"Có",'CHAM_CONG_THANG'!$AA155="Có",$BL155&gt;=14,$AD155&lt;=0),0,MIN(MAX($AD155,VLOOKUP($H155,'THAM_SO'!$L$17:$P$20,4,FALSE)),VLOOKUP($H155,'THAM_SO'!$L$17:$P$20,5,FALSE))))</f>
        <v/>
      </c>
      <c r="AG155" s="224">
        <f>IF('DM_NHAN_SU'!$B155="","",$AE155*'THAM_SO'!$M$8)</f>
        <v/>
      </c>
      <c r="AH155" s="224">
        <f>IF('DM_NHAN_SU'!$B155="","",$AE155*'THAM_SO'!$M$9)</f>
        <v/>
      </c>
      <c r="AI155" s="224">
        <f>IF('DM_NHAN_SU'!$B155="","",$AF155*'THAM_SO'!$M$10)</f>
        <v/>
      </c>
      <c r="AJ155" s="224">
        <f>IF('DM_NHAN_SU'!$B155="","",SUM($AG155:$AI155))</f>
        <v/>
      </c>
      <c r="AK155" s="224">
        <f>IF('DM_NHAN_SU'!$B155="","",IF($B155="",0,'THAM_SO'!$F$4))</f>
        <v/>
      </c>
      <c r="AL155" s="224">
        <f>IF('DM_NHAN_SU'!$B155="","",IF($B155="",0,'DM_NHAN_SU'!$T155*'THAM_SO'!$F$5))</f>
        <v/>
      </c>
      <c r="AM155" s="224">
        <f>IF('DM_NHAN_SU'!$B155="","",'CHAM_CONG_THANG'!W155)</f>
        <v/>
      </c>
      <c r="AN155" s="224">
        <f>IF('DM_NHAN_SU'!$B155="","",MAX($AC155-$AK155-$AL155-$AM155,0))</f>
        <v/>
      </c>
      <c r="AO155" s="224">
        <f>IF('DM_NHAN_SU'!$B155="","",IF($B155="","",IF($F155="Net",IF($AC155&lt;=$AK155+$AL155+$AM155,$AC155+$AJ155,$AJ155+$AK155+$AL155+$AM155+IF($AN155&lt;='THAM_SO'!$J$10,($AN155-'THAM_SO'!$I$10)/(1-'THAM_SO'!$H$10),IF($AN155&lt;='THAM_SO'!$J$11,($AN155-'THAM_SO'!$I$11)/(1-'THAM_SO'!$H$11),IF($AN155&lt;='THAM_SO'!$J$12,($AN155-'THAM_SO'!$I$12)/(1-'THAM_SO'!$H$12),IF($AN155&lt;='THAM_SO'!$J$13,($AN155-'THAM_SO'!$I$13)/(1-'THAM_SO'!$H$13),($AN155-'THAM_SO'!$I$14)/(1-'THAM_SO'!$H$14)))))),$AC155)))</f>
        <v/>
      </c>
      <c r="AP155" s="224">
        <f>IF('DM_NHAN_SU'!$B155="","",$U155+$W155+$X155+$AA155+$BS155)</f>
        <v/>
      </c>
      <c r="AQ155" s="224">
        <f>IF('DM_NHAN_SU'!$B155="","",MAX($AO155-$AJ155-$AK155-$AL155-$AM155,0))</f>
        <v/>
      </c>
      <c r="AR155" s="224">
        <f>IF('DM_NHAN_SU'!$B155="","",IF($AQ155&lt;=0,0,$AQ155*VLOOKUP($AQ155,'THAM_SO'!$F$10:$I$14,3,TRUE)-VLOOKUP($AQ155,'THAM_SO'!$F$10:$I$14,4,TRUE)))</f>
        <v/>
      </c>
      <c r="AS155" s="224">
        <f>IF('DM_NHAN_SU'!$B155="","",$AO155+$AP155)</f>
        <v/>
      </c>
      <c r="AT155" s="224">
        <f>IF('DM_NHAN_SU'!$B155="","",$AS155-$AJ155-$AR155)</f>
        <v/>
      </c>
      <c r="AU155" s="224">
        <f>IF('DM_NHAN_SU'!$B155="","",'CHAM_CONG_THANG'!X155)</f>
        <v/>
      </c>
      <c r="AV155" s="224">
        <f>IF('DM_NHAN_SU'!$B155="","",'CHAM_CONG_THANG'!Y155+'QT_NGHI_VIEC'!AD155)</f>
        <v/>
      </c>
      <c r="AW155" s="224">
        <f>IF('DM_NHAN_SU'!$B155="","",'CHAM_CONG_THANG'!Z155)</f>
        <v/>
      </c>
      <c r="AX155" s="224">
        <f>IF('DM_NHAN_SU'!$B155="","",$AT155-$AU155-$AV155-$AW155-$BV155)</f>
        <v/>
      </c>
      <c r="AY155" s="224">
        <f>IF('DM_NHAN_SU'!$B155="","",$AE155*'THAM_SO'!$M$11)</f>
        <v/>
      </c>
      <c r="AZ155" s="224">
        <f>IF('DM_NHAN_SU'!$B155="","",$AE155*'THAM_SO'!$M$12)</f>
        <v/>
      </c>
      <c r="BA155" s="224">
        <f>IF('DM_NHAN_SU'!$B155="","",$AF155*'THAM_SO'!$M$13)</f>
        <v/>
      </c>
      <c r="BB155" s="224">
        <f>IF('DM_NHAN_SU'!$B155="","",$AE155*'THAM_SO'!$M$14)</f>
        <v/>
      </c>
      <c r="BC155" s="224">
        <f>IF('DM_NHAN_SU'!$B155="","",SUM($AY155:$BB155))</f>
        <v/>
      </c>
      <c r="BD155" s="224">
        <f>IF('DM_NHAN_SU'!$B155="","",$AS155+$BC155)</f>
        <v/>
      </c>
      <c r="BE155" s="224">
        <f>IF('DM_NHAN_SU'!$B155="","",VLOOKUP($H155,'THAM_SO'!$L$17:$P$20,2,FALSE))</f>
        <v/>
      </c>
      <c r="BF155" s="224">
        <f>IF('DM_NHAN_SU'!$B155="","",VLOOKUP($H155,'THAM_SO'!$L$17:$P$20,3,FALSE))</f>
        <v/>
      </c>
      <c r="BG155" s="150">
        <f>IF('DM_NHAN_SU'!$B155="","",IF($B155="","",IF(COUNTIF('DM_NHAN_SU'!$B$6:$B$155,$B155)&gt;1,"Trùng mã NV; ","")&amp;IF(OR($F155="",$G155=""),"Thiếu loại/hình thức lương; ","")&amp;IF('CHAM_CONG_THANG'!$D155="","Chưa chọn nguồn công; ","")&amp;IF(AND('CHAM_CONG_THANG'!$D155="Theo ngày",COUNTIF('CHAM_CONG_NGAY'!$B$6:$B$4655,$B155)=0),"Chưa có chấm công ngày; ","")&amp;IF(OR($I155&lt;=0,$J155&lt;=0),"Thiếu công/giờ chuẩn; ","")&amp;IF(AND($G155="Tháng",'DM_NHAN_SU'!$K155&lt;$BE155),"Lương tháng dưới tối thiểu vùng; ","")&amp;IF(AND($G155="Ngày",'DM_NHAN_SU'!$K155/$J155&lt;$BF155),"Lương ngày quy đổi dưới tối thiểu giờ; ","")&amp;IF(AND($G155="Giờ",'DM_NHAN_SU'!$K155&lt;$BF155),"Lương giờ dưới tối thiểu vùng; ","")&amp;IF(AND($G155="Sản phẩm",$L155&gt;0,$O155/$L155&lt;$BF155),"Lương SP quy đổi dưới tối thiểu giờ; ","")&amp;IF(OR('THAM_SO'!$C$19&lt;'THAM_SO'!$B$19,'THAM_SO'!$C$20&lt;'THAM_SO'!$B$20,'THAM_SO'!$C$21&lt;'THAM_SO'!$B$21,'THAM_SO'!$C$22&lt;'THAM_SO'!$B$22,'THAM_SO'!$C$23&lt;'THAM_SO'!$B$23,'THAM_SO'!$C$24&lt;'THAM_SO'!$B$24,'THAM_SO'!$C$25&lt;'THAM_SO'!$B$25),"Hệ số OT/đêm DN thấp hơn luật; ","")&amp;IF(AND('DM_NHAN_SU'!$R155="Có",$AD155&lt;=0),"Thiếu căn cứ đóng BH; ","")&amp;IF(AND($AD155&gt;0,$AD155&lt;'THAM_SO'!$M$6),"Căn cứ BH dưới sàn – đã nâng sàn; ","")&amp;IF($AD155&gt;'THAM_SO'!$M$7,"Căn cứ BH vượt trần – đã giới hạn; ","")&amp;IF(AND($F155="Net",SUM('CHAM_CONG_THANG'!$AF155:$AK155)&gt;0,'DM_NHAN_SU'!$Q155&lt;=0),"Net có OT nhưng chưa khai lương giờ OT; ","")&amp;IF('CHAM_CONG_THANG'!$V155&gt;$Z155,"Phần OT không miễn lớn hơn tiền OT; ","")&amp;IF(AND($F155="Net",ABS($AT155-$AC155-$AP155)&gt;1),"Lệch quy đổi Net; ","")&amp;IF(AND($BH155&gt;0,'DM_NHAN_SU'!$AD155=""),"Có phép năm nhưng đang tạm dùng 12 ngày; ","")&amp;IF(AND($G155="Sản phẩm",SUM($BH155:$BJ155)&gt;0,'DM_NHAN_SU'!$AH155&lt;=0),"Lương sản phẩm thiếu đơn giá ngày phép/lễ; ","")&amp;IF(AND($BL155&gt;=14,'CHAM_CONG_THANG'!$AA155&lt;&gt;"Có"),"Thai sản từ 14 ngày: file tự dừng đóng BH – kiểm tra hồ sơ; ","")&amp;IF(AND('DM_NHAN_SU'!$AA155="Có",'DM_NHAN_SU'!$AB155=""),"Đoàn viên chưa chọn cách tính đoàn phí; ","")&amp;IF(AND('DM_NHAN_SU'!$AB155="Nhập tay",'DM_NHAN_SU'!$AC155&gt;'THAM_SO'!$M$26),"Đoàn phí nhập tay vượt trần thông dụng; ","")&amp;IF('NGHI_PHEP'!$L155&lt;&gt;"","Phép: "&amp;'NGHI_PHEP'!$L155,"")&amp;IF('CHE_DO_BHXH'!$AA155&lt;&gt;"","BHXH: "&amp;'CHE_DO_BHXH'!$AA155,"")&amp;IF('THUONG_T13_TET'!$O155&lt;&gt;"","Thưởng: "&amp;'THUONG_T13_TET'!$O155,"")&amp;IF('QT_NGHI_VIEC'!$AF155&lt;&gt;"","Nghỉ việc: "&amp;'QT_NGHI_VIEC'!$AF155,"")&amp;IF($AX155&lt;0,"Thực lĩnh âm; ","")&amp;IF(OR('DM_NHAN_SU'!$F155&gt;'THAM_SO'!$B$7,AND('DM_NHAN_SU'!$G155&lt;&gt;"",'DM_NHAN_SU'!$G155&lt;'THAM_SO'!$B$6)),"Ngoài kỳ trả lương; ","")))</f>
        <v/>
      </c>
      <c r="BH155" s="232">
        <f>IF('DM_NHAN_SU'!$B155="","",'CHAM_CONG_THANG'!AR155)</f>
        <v/>
      </c>
      <c r="BI155" s="232">
        <f>IF('DM_NHAN_SU'!$B155="","",'CHAM_CONG_THANG'!AS155)</f>
        <v/>
      </c>
      <c r="BJ155" s="232">
        <f>IF('DM_NHAN_SU'!$B155="","",'CHAM_CONG_THANG'!AT155)</f>
        <v/>
      </c>
      <c r="BK155" s="232">
        <f>IF('DM_NHAN_SU'!$B155="","",'CHAM_CONG_THANG'!AU155)</f>
        <v/>
      </c>
      <c r="BL155" s="232">
        <f>IF('DM_NHAN_SU'!$B155="","",'CHAM_CONG_THANG'!AV155)</f>
        <v/>
      </c>
      <c r="BM155" s="232">
        <f>IF('DM_NHAN_SU'!$B155="","",'CHAM_CONG_THANG'!AW155)</f>
        <v/>
      </c>
      <c r="BN155" s="232">
        <f>IF('DM_NHAN_SU'!$B155="","",SUM($K155,$BH155:$BJ155))</f>
        <v/>
      </c>
      <c r="BO155" s="224">
        <f>IF('DM_NHAN_SU'!$B155="","",IF($B155="",0,IF($G155="Tháng",IF($I155&gt;0,'DM_NHAN_SU'!$K155*MIN($BH155+$BJ155,MAX($I155-$K155,0))/$I155,0),IF($G155="Ngày",'DM_NHAN_SU'!$K155*SUM($BH155:$BJ155),IF($G155="Giờ",'DM_NHAN_SU'!$K155*SUM($BH155:$BJ155)*$J155,IF($G155="Sản phẩm",'DM_NHAN_SU'!$AH155*SUM($BH155:$BJ155),0))))))</f>
        <v/>
      </c>
      <c r="BP155" s="224">
        <f>IF('DM_NHAN_SU'!$B155="","",IF('THUONG_T13_TET'!$L155="Có",'THUONG_T13_TET'!$I155,0))</f>
        <v/>
      </c>
      <c r="BQ155" s="224">
        <f>IF('DM_NHAN_SU'!$B155="","",IF('THUONG_T13_TET'!$L155="Có",SUM('THUONG_T13_TET'!$J155:$K155),0))</f>
        <v/>
      </c>
      <c r="BR155" s="224">
        <f>IF('DM_NHAN_SU'!$B155="","",'QT_NGHI_VIEC'!AC155)</f>
        <v/>
      </c>
      <c r="BS155" s="224">
        <f>IF('DM_NHAN_SU'!$B155="","",'QT_NGHI_VIEC'!AB155)</f>
        <v/>
      </c>
      <c r="BT155" s="224">
        <f>IF('DM_NHAN_SU'!$B155="","",IF('CHE_DO_BHXH'!$Z155="Có",'CHE_DO_BHXH'!$W155,0))</f>
        <v/>
      </c>
      <c r="BU155" s="224">
        <f>IF('DM_NHAN_SU'!$B155="","",IF('CHE_DO_BHXH'!$Y155="DN trả thay",$BT155,0))</f>
        <v/>
      </c>
      <c r="BV155" s="224">
        <f>IF('DM_NHAN_SU'!$B155="","",IF(OR('DM_NHAN_SU'!$AA155&lt;&gt;"Có",'CHE_DO_BHXH'!$O155&gt;=1,SUM('CHE_DO_BHXH'!$D155,'CHE_DO_BHXH'!$G155,'CHE_DO_BHXH'!$K155)&gt;=24,AND($I155&gt;0,$BM155&gt;=$I155)),0,IF('DM_NHAN_SU'!$AB155="Không",0,IF('DM_NHAN_SU'!$AB155="Nhập tay",'DM_NHAN_SU'!$AC155,IF('DM_NHAN_SU'!$AB155="Theo thực nhận",MIN(MAX($AT155-$AU155-$AV155-$AW155,0)*'THAM_SO'!$M$23,'THAM_SO'!$M$26),MIN($AE155*'THAM_SO'!$M$23,'THAM_SO'!$M$26))))))</f>
        <v/>
      </c>
      <c r="BW155" s="224">
        <f>IF('DM_NHAN_SU'!$B155="","",$AX155+$BU155)</f>
        <v/>
      </c>
    </row>
  </sheetData>
  <mergeCells count="2">
    <mergeCell ref="A2:BW3"/>
    <mergeCell ref="A1:BW1"/>
  </mergeCells>
  <conditionalFormatting sqref="BG6:BG155">
    <cfRule type="notContainsBlanks" priority="1" dxfId="0"/>
  </conditionalFormatting>
  <conditionalFormatting sqref="AX6:AX155">
    <cfRule type="cellIs" priority="2" operator="lessThan" dxfId="0">
      <formula>0</formula>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A155"/>
  <sheetViews>
    <sheetView showGridLines="0" workbookViewId="0">
      <selection activeCell="A1" sqref="A1"/>
    </sheetView>
  </sheetViews>
  <sheetFormatPr baseColWidth="8" defaultRowHeight="15"/>
  <cols>
    <col width="6" customWidth="1" style="32" min="1" max="1"/>
    <col width="11" customWidth="1" style="32" min="2" max="2"/>
    <col width="22" customWidth="1" style="32" min="3" max="3"/>
    <col width="15" customWidth="1" style="32" min="4" max="4"/>
    <col width="10" customWidth="1" style="32" min="5" max="5"/>
    <col width="12" customWidth="1" style="32" min="6" max="6"/>
    <col width="18" customWidth="1" style="32" min="7" max="7"/>
    <col width="19" customWidth="1" style="32" min="8" max="8"/>
    <col width="16" customWidth="1" style="32" min="9" max="9"/>
    <col width="14" customWidth="1" style="32" min="10" max="10"/>
    <col width="15" customWidth="1" style="32" min="11" max="11"/>
    <col width="17" customWidth="1" style="32" min="12" max="12"/>
    <col width="16" customWidth="1" style="32" min="13" max="13"/>
    <col width="18" customWidth="1" style="32" min="14" max="14"/>
    <col width="16" customWidth="1" style="32" min="15" max="15"/>
    <col width="16" customWidth="1" style="32" min="16" max="16"/>
    <col width="13" customWidth="1" style="32" min="17" max="17"/>
    <col width="16" customWidth="1" style="32" min="18" max="18"/>
    <col width="14" customWidth="1" style="32" min="19" max="19"/>
    <col width="20" customWidth="1" style="32" min="20" max="20"/>
    <col width="17" customWidth="1" style="32" min="21" max="21"/>
    <col width="18" customWidth="1" style="32" min="22" max="22"/>
    <col width="17" customWidth="1" style="32" min="23" max="23"/>
    <col width="19" customWidth="1" style="32" min="24" max="24"/>
    <col width="17" customWidth="1" style="32" min="25" max="25"/>
    <col width="17" customWidth="1" style="32" min="26" max="26"/>
    <col width="48" customWidth="1" style="32" min="27" max="27"/>
  </cols>
  <sheetData>
    <row r="1" ht="30" customHeight="1" s="32">
      <c r="A1" s="4" t="inlineStr">
        <is>
          <t>BẢNG LƯƠNG TỔNG HỢP</t>
        </is>
      </c>
    </row>
    <row r="2">
      <c r="A2" s="168">
        <f>'THAM_SO'!$B$4&amp;" | Kỳ lương: "&amp;MONTH('THAM_SO'!$B$6)&amp;"/"&amp;YEAR('THAM_SO'!$B$6)</f>
        <v/>
      </c>
    </row>
    <row r="3">
      <c r="A3" s="170" t="inlineStr">
        <is>
          <t>Kiểm tra Cảnh báo trước khi phê duyệt. OT/ban đêm miễn TNCN đến mức luật định nếu đủ điều kiện; phần vượt chịu thuế. Trợ cấp BHXH tại V là thông tin thực tế; chỉ W được cộng vào X khi doanh nghiệp trả thay.</t>
        </is>
      </c>
    </row>
    <row r="4"/>
    <row r="5" ht="58" customHeight="1" s="32">
      <c r="A5" s="156" t="inlineStr">
        <is>
          <t>STT</t>
        </is>
      </c>
      <c r="B5" s="156" t="inlineStr">
        <is>
          <t>Mã NV</t>
        </is>
      </c>
      <c r="C5" s="156" t="inlineStr">
        <is>
          <t>Họ và tên</t>
        </is>
      </c>
      <c r="D5" s="156" t="inlineStr">
        <is>
          <t>Bộ phận</t>
        </is>
      </c>
      <c r="E5" s="156" t="inlineStr">
        <is>
          <t>Loại lương</t>
        </is>
      </c>
      <c r="F5" s="156" t="inlineStr">
        <is>
          <t>Hình thức</t>
        </is>
      </c>
      <c r="G5" s="156" t="inlineStr">
        <is>
          <t>Thu nhập chính + ngày nghỉ</t>
        </is>
      </c>
      <c r="H5" s="156" t="inlineStr">
        <is>
          <t>KPI + hoa hồng + thưởng kỳ</t>
        </is>
      </c>
      <c r="I5" s="156" t="inlineStr">
        <is>
          <t>T13 + Tết/khác</t>
        </is>
      </c>
      <c r="J5" s="156" t="inlineStr">
        <is>
          <t>OT/đêm tổng</t>
        </is>
      </c>
      <c r="K5" s="156" t="inlineStr">
        <is>
          <t>Phụ cấp + ăn ca</t>
        </is>
      </c>
      <c r="L5" s="156" t="inlineStr">
        <is>
          <t>Khoán chi/miễn khác</t>
        </is>
      </c>
      <c r="M5" s="156" t="inlineStr">
        <is>
          <t>QT nghỉ việc</t>
        </is>
      </c>
      <c r="N5" s="156" t="inlineStr">
        <is>
          <t>Thu nhập chịu thuế Gross</t>
        </is>
      </c>
      <c r="O5" s="156" t="inlineStr">
        <is>
          <t>Thu nhập miễn thuế</t>
        </is>
      </c>
      <c r="P5" s="156" t="inlineStr">
        <is>
          <t>Tổng thu nhập</t>
        </is>
      </c>
      <c r="Q5" s="156" t="inlineStr">
        <is>
          <t>BH NLĐ</t>
        </is>
      </c>
      <c r="R5" s="156" t="inlineStr">
        <is>
          <t>Thu nhập tính thuế</t>
        </is>
      </c>
      <c r="S5" s="156" t="inlineStr">
        <is>
          <t>Thuế TNCN</t>
        </is>
      </c>
      <c r="T5" s="156" t="inlineStr">
        <is>
          <t>Tạm ứng + khấu trừ + đoàn phí</t>
        </is>
      </c>
      <c r="U5" s="156" t="inlineStr">
        <is>
          <t>THỰC LĨNH LƯƠNG</t>
        </is>
      </c>
      <c r="V5" s="156" t="inlineStr">
        <is>
          <t>Trợ cấp BHXH thực tế</t>
        </is>
      </c>
      <c r="W5" s="156" t="inlineStr">
        <is>
          <t>BHXH DN trả thay</t>
        </is>
      </c>
      <c r="X5" s="156" t="inlineStr">
        <is>
          <t>TỔNG CHUYỂN QUA DN</t>
        </is>
      </c>
      <c r="Y5" s="156" t="inlineStr">
        <is>
          <t>DN đóng BH + KPCĐ</t>
        </is>
      </c>
      <c r="Z5" s="156" t="inlineStr">
        <is>
          <t>Tổng chi phí DN</t>
        </is>
      </c>
      <c r="AA5" s="156" t="inlineStr">
        <is>
          <t>Cảnh báo</t>
        </is>
      </c>
    </row>
    <row r="6">
      <c r="A6" s="145">
        <f>IF('TINH_LUONG'!$B6="","",'TINH_LUONG'!A6)</f>
        <v/>
      </c>
      <c r="B6" s="145">
        <f>IF('TINH_LUONG'!$B6="","",'TINH_LUONG'!B6)</f>
        <v/>
      </c>
      <c r="C6" s="145">
        <f>IF('TINH_LUONG'!$B6="","",'TINH_LUONG'!C6)</f>
        <v/>
      </c>
      <c r="D6" s="145">
        <f>IF('TINH_LUONG'!$B6="","",'TINH_LUONG'!D6)</f>
        <v/>
      </c>
      <c r="E6" s="145">
        <f>IF('TINH_LUONG'!$B6="","",'TINH_LUONG'!F6)</f>
        <v/>
      </c>
      <c r="F6" s="145">
        <f>IF('TINH_LUONG'!$B6="","",'TINH_LUONG'!G6)</f>
        <v/>
      </c>
      <c r="G6" s="224">
        <f>IF('TINH_LUONG'!$B6="","",'TINH_LUONG'!O6+'TINH_LUONG'!BO6)</f>
        <v/>
      </c>
      <c r="H6" s="224">
        <f>IF('TINH_LUONG'!$B6="","",SUM('TINH_LUONG'!P6:R6))</f>
        <v/>
      </c>
      <c r="I6" s="224">
        <f>IF('TINH_LUONG'!$B6="","",'TINH_LUONG'!BP6+'TINH_LUONG'!BQ6)</f>
        <v/>
      </c>
      <c r="J6" s="224">
        <f>IF('TINH_LUONG'!$B6="","",'TINH_LUONG'!Z6)</f>
        <v/>
      </c>
      <c r="K6" s="224">
        <f>IF('TINH_LUONG'!$B6="","",'TINH_LUONG'!S6+'TINH_LUONG'!T6)</f>
        <v/>
      </c>
      <c r="L6" s="224">
        <f>IF('TINH_LUONG'!$B6="","",'TINH_LUONG'!W6+'TINH_LUONG'!X6)</f>
        <v/>
      </c>
      <c r="M6" s="224">
        <f>IF('TINH_LUONG'!$B6="","",'TINH_LUONG'!BR6+'TINH_LUONG'!BS6)</f>
        <v/>
      </c>
      <c r="N6" s="224">
        <f>IF('TINH_LUONG'!$B6="","",'TINH_LUONG'!AO6)</f>
        <v/>
      </c>
      <c r="O6" s="224">
        <f>IF('TINH_LUONG'!$B6="","",'TINH_LUONG'!AP6)</f>
        <v/>
      </c>
      <c r="P6" s="224">
        <f>IF('TINH_LUONG'!$B6="","",'TINH_LUONG'!AS6)</f>
        <v/>
      </c>
      <c r="Q6" s="224">
        <f>IF('TINH_LUONG'!$B6="","",'TINH_LUONG'!AJ6)</f>
        <v/>
      </c>
      <c r="R6" s="224">
        <f>IF('TINH_LUONG'!$B6="","",'TINH_LUONG'!AQ6)</f>
        <v/>
      </c>
      <c r="S6" s="224">
        <f>IF('TINH_LUONG'!$B6="","",'TINH_LUONG'!AR6)</f>
        <v/>
      </c>
      <c r="T6" s="224">
        <f>IF('TINH_LUONG'!$B6="","",'TINH_LUONG'!AU6+'TINH_LUONG'!AV6+'TINH_LUONG'!AW6+'TINH_LUONG'!BV6)</f>
        <v/>
      </c>
      <c r="U6" s="224">
        <f>IF('TINH_LUONG'!$B6="","",'TINH_LUONG'!AX6)</f>
        <v/>
      </c>
      <c r="V6" s="224">
        <f>IF('TINH_LUONG'!$B6="","",'TINH_LUONG'!BT6)</f>
        <v/>
      </c>
      <c r="W6" s="224">
        <f>IF('TINH_LUONG'!$B6="","",'TINH_LUONG'!BU6)</f>
        <v/>
      </c>
      <c r="X6" s="235">
        <f>IF('TINH_LUONG'!$B6="","",'TINH_LUONG'!BW6)</f>
        <v/>
      </c>
      <c r="Y6" s="224">
        <f>IF('TINH_LUONG'!$B6="","",'TINH_LUONG'!BC6)</f>
        <v/>
      </c>
      <c r="Z6" s="224">
        <f>IF('TINH_LUONG'!$B6="","",'TINH_LUONG'!BD6)</f>
        <v/>
      </c>
      <c r="AA6" s="150">
        <f>IF('TINH_LUONG'!$B6="","",'TINH_LUONG'!BG6)</f>
        <v/>
      </c>
    </row>
    <row r="7">
      <c r="A7" s="145">
        <f>IF('TINH_LUONG'!$B7="","",'TINH_LUONG'!A7)</f>
        <v/>
      </c>
      <c r="B7" s="145">
        <f>IF('TINH_LUONG'!$B7="","",'TINH_LUONG'!B7)</f>
        <v/>
      </c>
      <c r="C7" s="145">
        <f>IF('TINH_LUONG'!$B7="","",'TINH_LUONG'!C7)</f>
        <v/>
      </c>
      <c r="D7" s="145">
        <f>IF('TINH_LUONG'!$B7="","",'TINH_LUONG'!D7)</f>
        <v/>
      </c>
      <c r="E7" s="145">
        <f>IF('TINH_LUONG'!$B7="","",'TINH_LUONG'!F7)</f>
        <v/>
      </c>
      <c r="F7" s="145">
        <f>IF('TINH_LUONG'!$B7="","",'TINH_LUONG'!G7)</f>
        <v/>
      </c>
      <c r="G7" s="224">
        <f>IF('TINH_LUONG'!$B7="","",'TINH_LUONG'!O7+'TINH_LUONG'!BO7)</f>
        <v/>
      </c>
      <c r="H7" s="224">
        <f>IF('TINH_LUONG'!$B7="","",SUM('TINH_LUONG'!P7:R7))</f>
        <v/>
      </c>
      <c r="I7" s="224">
        <f>IF('TINH_LUONG'!$B7="","",'TINH_LUONG'!BP7+'TINH_LUONG'!BQ7)</f>
        <v/>
      </c>
      <c r="J7" s="224">
        <f>IF('TINH_LUONG'!$B7="","",'TINH_LUONG'!Z7)</f>
        <v/>
      </c>
      <c r="K7" s="224">
        <f>IF('TINH_LUONG'!$B7="","",'TINH_LUONG'!S7+'TINH_LUONG'!T7)</f>
        <v/>
      </c>
      <c r="L7" s="224">
        <f>IF('TINH_LUONG'!$B7="","",'TINH_LUONG'!W7+'TINH_LUONG'!X7)</f>
        <v/>
      </c>
      <c r="M7" s="224">
        <f>IF('TINH_LUONG'!$B7="","",'TINH_LUONG'!BR7+'TINH_LUONG'!BS7)</f>
        <v/>
      </c>
      <c r="N7" s="224">
        <f>IF('TINH_LUONG'!$B7="","",'TINH_LUONG'!AO7)</f>
        <v/>
      </c>
      <c r="O7" s="224">
        <f>IF('TINH_LUONG'!$B7="","",'TINH_LUONG'!AP7)</f>
        <v/>
      </c>
      <c r="P7" s="224">
        <f>IF('TINH_LUONG'!$B7="","",'TINH_LUONG'!AS7)</f>
        <v/>
      </c>
      <c r="Q7" s="224">
        <f>IF('TINH_LUONG'!$B7="","",'TINH_LUONG'!AJ7)</f>
        <v/>
      </c>
      <c r="R7" s="224">
        <f>IF('TINH_LUONG'!$B7="","",'TINH_LUONG'!AQ7)</f>
        <v/>
      </c>
      <c r="S7" s="224">
        <f>IF('TINH_LUONG'!$B7="","",'TINH_LUONG'!AR7)</f>
        <v/>
      </c>
      <c r="T7" s="224">
        <f>IF('TINH_LUONG'!$B7="","",'TINH_LUONG'!AU7+'TINH_LUONG'!AV7+'TINH_LUONG'!AW7+'TINH_LUONG'!BV7)</f>
        <v/>
      </c>
      <c r="U7" s="224">
        <f>IF('TINH_LUONG'!$B7="","",'TINH_LUONG'!AX7)</f>
        <v/>
      </c>
      <c r="V7" s="224">
        <f>IF('TINH_LUONG'!$B7="","",'TINH_LUONG'!BT7)</f>
        <v/>
      </c>
      <c r="W7" s="224">
        <f>IF('TINH_LUONG'!$B7="","",'TINH_LUONG'!BU7)</f>
        <v/>
      </c>
      <c r="X7" s="235">
        <f>IF('TINH_LUONG'!$B7="","",'TINH_LUONG'!BW7)</f>
        <v/>
      </c>
      <c r="Y7" s="224">
        <f>IF('TINH_LUONG'!$B7="","",'TINH_LUONG'!BC7)</f>
        <v/>
      </c>
      <c r="Z7" s="224">
        <f>IF('TINH_LUONG'!$B7="","",'TINH_LUONG'!BD7)</f>
        <v/>
      </c>
      <c r="AA7" s="150">
        <f>IF('TINH_LUONG'!$B7="","",'TINH_LUONG'!BG7)</f>
        <v/>
      </c>
    </row>
    <row r="8">
      <c r="A8" s="145">
        <f>IF('TINH_LUONG'!$B8="","",'TINH_LUONG'!A8)</f>
        <v/>
      </c>
      <c r="B8" s="145">
        <f>IF('TINH_LUONG'!$B8="","",'TINH_LUONG'!B8)</f>
        <v/>
      </c>
      <c r="C8" s="145">
        <f>IF('TINH_LUONG'!$B8="","",'TINH_LUONG'!C8)</f>
        <v/>
      </c>
      <c r="D8" s="145">
        <f>IF('TINH_LUONG'!$B8="","",'TINH_LUONG'!D8)</f>
        <v/>
      </c>
      <c r="E8" s="145">
        <f>IF('TINH_LUONG'!$B8="","",'TINH_LUONG'!F8)</f>
        <v/>
      </c>
      <c r="F8" s="145">
        <f>IF('TINH_LUONG'!$B8="","",'TINH_LUONG'!G8)</f>
        <v/>
      </c>
      <c r="G8" s="224">
        <f>IF('TINH_LUONG'!$B8="","",'TINH_LUONG'!O8+'TINH_LUONG'!BO8)</f>
        <v/>
      </c>
      <c r="H8" s="224">
        <f>IF('TINH_LUONG'!$B8="","",SUM('TINH_LUONG'!P8:R8))</f>
        <v/>
      </c>
      <c r="I8" s="224">
        <f>IF('TINH_LUONG'!$B8="","",'TINH_LUONG'!BP8+'TINH_LUONG'!BQ8)</f>
        <v/>
      </c>
      <c r="J8" s="224">
        <f>IF('TINH_LUONG'!$B8="","",'TINH_LUONG'!Z8)</f>
        <v/>
      </c>
      <c r="K8" s="224">
        <f>IF('TINH_LUONG'!$B8="","",'TINH_LUONG'!S8+'TINH_LUONG'!T8)</f>
        <v/>
      </c>
      <c r="L8" s="224">
        <f>IF('TINH_LUONG'!$B8="","",'TINH_LUONG'!W8+'TINH_LUONG'!X8)</f>
        <v/>
      </c>
      <c r="M8" s="224">
        <f>IF('TINH_LUONG'!$B8="","",'TINH_LUONG'!BR8+'TINH_LUONG'!BS8)</f>
        <v/>
      </c>
      <c r="N8" s="224">
        <f>IF('TINH_LUONG'!$B8="","",'TINH_LUONG'!AO8)</f>
        <v/>
      </c>
      <c r="O8" s="224">
        <f>IF('TINH_LUONG'!$B8="","",'TINH_LUONG'!AP8)</f>
        <v/>
      </c>
      <c r="P8" s="224">
        <f>IF('TINH_LUONG'!$B8="","",'TINH_LUONG'!AS8)</f>
        <v/>
      </c>
      <c r="Q8" s="224">
        <f>IF('TINH_LUONG'!$B8="","",'TINH_LUONG'!AJ8)</f>
        <v/>
      </c>
      <c r="R8" s="224">
        <f>IF('TINH_LUONG'!$B8="","",'TINH_LUONG'!AQ8)</f>
        <v/>
      </c>
      <c r="S8" s="224">
        <f>IF('TINH_LUONG'!$B8="","",'TINH_LUONG'!AR8)</f>
        <v/>
      </c>
      <c r="T8" s="224">
        <f>IF('TINH_LUONG'!$B8="","",'TINH_LUONG'!AU8+'TINH_LUONG'!AV8+'TINH_LUONG'!AW8+'TINH_LUONG'!BV8)</f>
        <v/>
      </c>
      <c r="U8" s="224">
        <f>IF('TINH_LUONG'!$B8="","",'TINH_LUONG'!AX8)</f>
        <v/>
      </c>
      <c r="V8" s="224">
        <f>IF('TINH_LUONG'!$B8="","",'TINH_LUONG'!BT8)</f>
        <v/>
      </c>
      <c r="W8" s="224">
        <f>IF('TINH_LUONG'!$B8="","",'TINH_LUONG'!BU8)</f>
        <v/>
      </c>
      <c r="X8" s="235">
        <f>IF('TINH_LUONG'!$B8="","",'TINH_LUONG'!BW8)</f>
        <v/>
      </c>
      <c r="Y8" s="224">
        <f>IF('TINH_LUONG'!$B8="","",'TINH_LUONG'!BC8)</f>
        <v/>
      </c>
      <c r="Z8" s="224">
        <f>IF('TINH_LUONG'!$B8="","",'TINH_LUONG'!BD8)</f>
        <v/>
      </c>
      <c r="AA8" s="150">
        <f>IF('TINH_LUONG'!$B8="","",'TINH_LUONG'!BG8)</f>
        <v/>
      </c>
    </row>
    <row r="9">
      <c r="A9" s="145">
        <f>IF('TINH_LUONG'!$B9="","",'TINH_LUONG'!A9)</f>
        <v/>
      </c>
      <c r="B9" s="145">
        <f>IF('TINH_LUONG'!$B9="","",'TINH_LUONG'!B9)</f>
        <v/>
      </c>
      <c r="C9" s="145">
        <f>IF('TINH_LUONG'!$B9="","",'TINH_LUONG'!C9)</f>
        <v/>
      </c>
      <c r="D9" s="145">
        <f>IF('TINH_LUONG'!$B9="","",'TINH_LUONG'!D9)</f>
        <v/>
      </c>
      <c r="E9" s="145">
        <f>IF('TINH_LUONG'!$B9="","",'TINH_LUONG'!F9)</f>
        <v/>
      </c>
      <c r="F9" s="145">
        <f>IF('TINH_LUONG'!$B9="","",'TINH_LUONG'!G9)</f>
        <v/>
      </c>
      <c r="G9" s="224">
        <f>IF('TINH_LUONG'!$B9="","",'TINH_LUONG'!O9+'TINH_LUONG'!BO9)</f>
        <v/>
      </c>
      <c r="H9" s="224">
        <f>IF('TINH_LUONG'!$B9="","",SUM('TINH_LUONG'!P9:R9))</f>
        <v/>
      </c>
      <c r="I9" s="224">
        <f>IF('TINH_LUONG'!$B9="","",'TINH_LUONG'!BP9+'TINH_LUONG'!BQ9)</f>
        <v/>
      </c>
      <c r="J9" s="224">
        <f>IF('TINH_LUONG'!$B9="","",'TINH_LUONG'!Z9)</f>
        <v/>
      </c>
      <c r="K9" s="224">
        <f>IF('TINH_LUONG'!$B9="","",'TINH_LUONG'!S9+'TINH_LUONG'!T9)</f>
        <v/>
      </c>
      <c r="L9" s="224">
        <f>IF('TINH_LUONG'!$B9="","",'TINH_LUONG'!W9+'TINH_LUONG'!X9)</f>
        <v/>
      </c>
      <c r="M9" s="224">
        <f>IF('TINH_LUONG'!$B9="","",'TINH_LUONG'!BR9+'TINH_LUONG'!BS9)</f>
        <v/>
      </c>
      <c r="N9" s="224">
        <f>IF('TINH_LUONG'!$B9="","",'TINH_LUONG'!AO9)</f>
        <v/>
      </c>
      <c r="O9" s="224">
        <f>IF('TINH_LUONG'!$B9="","",'TINH_LUONG'!AP9)</f>
        <v/>
      </c>
      <c r="P9" s="224">
        <f>IF('TINH_LUONG'!$B9="","",'TINH_LUONG'!AS9)</f>
        <v/>
      </c>
      <c r="Q9" s="224">
        <f>IF('TINH_LUONG'!$B9="","",'TINH_LUONG'!AJ9)</f>
        <v/>
      </c>
      <c r="R9" s="224">
        <f>IF('TINH_LUONG'!$B9="","",'TINH_LUONG'!AQ9)</f>
        <v/>
      </c>
      <c r="S9" s="224">
        <f>IF('TINH_LUONG'!$B9="","",'TINH_LUONG'!AR9)</f>
        <v/>
      </c>
      <c r="T9" s="224">
        <f>IF('TINH_LUONG'!$B9="","",'TINH_LUONG'!AU9+'TINH_LUONG'!AV9+'TINH_LUONG'!AW9+'TINH_LUONG'!BV9)</f>
        <v/>
      </c>
      <c r="U9" s="224">
        <f>IF('TINH_LUONG'!$B9="","",'TINH_LUONG'!AX9)</f>
        <v/>
      </c>
      <c r="V9" s="224">
        <f>IF('TINH_LUONG'!$B9="","",'TINH_LUONG'!BT9)</f>
        <v/>
      </c>
      <c r="W9" s="224">
        <f>IF('TINH_LUONG'!$B9="","",'TINH_LUONG'!BU9)</f>
        <v/>
      </c>
      <c r="X9" s="235">
        <f>IF('TINH_LUONG'!$B9="","",'TINH_LUONG'!BW9)</f>
        <v/>
      </c>
      <c r="Y9" s="224">
        <f>IF('TINH_LUONG'!$B9="","",'TINH_LUONG'!BC9)</f>
        <v/>
      </c>
      <c r="Z9" s="224">
        <f>IF('TINH_LUONG'!$B9="","",'TINH_LUONG'!BD9)</f>
        <v/>
      </c>
      <c r="AA9" s="150">
        <f>IF('TINH_LUONG'!$B9="","",'TINH_LUONG'!BG9)</f>
        <v/>
      </c>
    </row>
    <row r="10">
      <c r="A10" s="145">
        <f>IF('TINH_LUONG'!$B10="","",'TINH_LUONG'!A10)</f>
        <v/>
      </c>
      <c r="B10" s="145">
        <f>IF('TINH_LUONG'!$B10="","",'TINH_LUONG'!B10)</f>
        <v/>
      </c>
      <c r="C10" s="145">
        <f>IF('TINH_LUONG'!$B10="","",'TINH_LUONG'!C10)</f>
        <v/>
      </c>
      <c r="D10" s="145">
        <f>IF('TINH_LUONG'!$B10="","",'TINH_LUONG'!D10)</f>
        <v/>
      </c>
      <c r="E10" s="145">
        <f>IF('TINH_LUONG'!$B10="","",'TINH_LUONG'!F10)</f>
        <v/>
      </c>
      <c r="F10" s="145">
        <f>IF('TINH_LUONG'!$B10="","",'TINH_LUONG'!G10)</f>
        <v/>
      </c>
      <c r="G10" s="224">
        <f>IF('TINH_LUONG'!$B10="","",'TINH_LUONG'!O10+'TINH_LUONG'!BO10)</f>
        <v/>
      </c>
      <c r="H10" s="224">
        <f>IF('TINH_LUONG'!$B10="","",SUM('TINH_LUONG'!P10:R10))</f>
        <v/>
      </c>
      <c r="I10" s="224">
        <f>IF('TINH_LUONG'!$B10="","",'TINH_LUONG'!BP10+'TINH_LUONG'!BQ10)</f>
        <v/>
      </c>
      <c r="J10" s="224">
        <f>IF('TINH_LUONG'!$B10="","",'TINH_LUONG'!Z10)</f>
        <v/>
      </c>
      <c r="K10" s="224">
        <f>IF('TINH_LUONG'!$B10="","",'TINH_LUONG'!S10+'TINH_LUONG'!T10)</f>
        <v/>
      </c>
      <c r="L10" s="224">
        <f>IF('TINH_LUONG'!$B10="","",'TINH_LUONG'!W10+'TINH_LUONG'!X10)</f>
        <v/>
      </c>
      <c r="M10" s="224">
        <f>IF('TINH_LUONG'!$B10="","",'TINH_LUONG'!BR10+'TINH_LUONG'!BS10)</f>
        <v/>
      </c>
      <c r="N10" s="224">
        <f>IF('TINH_LUONG'!$B10="","",'TINH_LUONG'!AO10)</f>
        <v/>
      </c>
      <c r="O10" s="224">
        <f>IF('TINH_LUONG'!$B10="","",'TINH_LUONG'!AP10)</f>
        <v/>
      </c>
      <c r="P10" s="224">
        <f>IF('TINH_LUONG'!$B10="","",'TINH_LUONG'!AS10)</f>
        <v/>
      </c>
      <c r="Q10" s="224">
        <f>IF('TINH_LUONG'!$B10="","",'TINH_LUONG'!AJ10)</f>
        <v/>
      </c>
      <c r="R10" s="224">
        <f>IF('TINH_LUONG'!$B10="","",'TINH_LUONG'!AQ10)</f>
        <v/>
      </c>
      <c r="S10" s="224">
        <f>IF('TINH_LUONG'!$B10="","",'TINH_LUONG'!AR10)</f>
        <v/>
      </c>
      <c r="T10" s="224">
        <f>IF('TINH_LUONG'!$B10="","",'TINH_LUONG'!AU10+'TINH_LUONG'!AV10+'TINH_LUONG'!AW10+'TINH_LUONG'!BV10)</f>
        <v/>
      </c>
      <c r="U10" s="224">
        <f>IF('TINH_LUONG'!$B10="","",'TINH_LUONG'!AX10)</f>
        <v/>
      </c>
      <c r="V10" s="224">
        <f>IF('TINH_LUONG'!$B10="","",'TINH_LUONG'!BT10)</f>
        <v/>
      </c>
      <c r="W10" s="224">
        <f>IF('TINH_LUONG'!$B10="","",'TINH_LUONG'!BU10)</f>
        <v/>
      </c>
      <c r="X10" s="235">
        <f>IF('TINH_LUONG'!$B10="","",'TINH_LUONG'!BW10)</f>
        <v/>
      </c>
      <c r="Y10" s="224">
        <f>IF('TINH_LUONG'!$B10="","",'TINH_LUONG'!BC10)</f>
        <v/>
      </c>
      <c r="Z10" s="224">
        <f>IF('TINH_LUONG'!$B10="","",'TINH_LUONG'!BD10)</f>
        <v/>
      </c>
      <c r="AA10" s="150">
        <f>IF('TINH_LUONG'!$B10="","",'TINH_LUONG'!BG10)</f>
        <v/>
      </c>
    </row>
    <row r="11">
      <c r="A11" s="145">
        <f>IF('TINH_LUONG'!$B11="","",'TINH_LUONG'!A11)</f>
        <v/>
      </c>
      <c r="B11" s="145">
        <f>IF('TINH_LUONG'!$B11="","",'TINH_LUONG'!B11)</f>
        <v/>
      </c>
      <c r="C11" s="145">
        <f>IF('TINH_LUONG'!$B11="","",'TINH_LUONG'!C11)</f>
        <v/>
      </c>
      <c r="D11" s="145">
        <f>IF('TINH_LUONG'!$B11="","",'TINH_LUONG'!D11)</f>
        <v/>
      </c>
      <c r="E11" s="145">
        <f>IF('TINH_LUONG'!$B11="","",'TINH_LUONG'!F11)</f>
        <v/>
      </c>
      <c r="F11" s="145">
        <f>IF('TINH_LUONG'!$B11="","",'TINH_LUONG'!G11)</f>
        <v/>
      </c>
      <c r="G11" s="224">
        <f>IF('TINH_LUONG'!$B11="","",'TINH_LUONG'!O11+'TINH_LUONG'!BO11)</f>
        <v/>
      </c>
      <c r="H11" s="224">
        <f>IF('TINH_LUONG'!$B11="","",SUM('TINH_LUONG'!P11:R11))</f>
        <v/>
      </c>
      <c r="I11" s="224">
        <f>IF('TINH_LUONG'!$B11="","",'TINH_LUONG'!BP11+'TINH_LUONG'!BQ11)</f>
        <v/>
      </c>
      <c r="J11" s="224">
        <f>IF('TINH_LUONG'!$B11="","",'TINH_LUONG'!Z11)</f>
        <v/>
      </c>
      <c r="K11" s="224">
        <f>IF('TINH_LUONG'!$B11="","",'TINH_LUONG'!S11+'TINH_LUONG'!T11)</f>
        <v/>
      </c>
      <c r="L11" s="224">
        <f>IF('TINH_LUONG'!$B11="","",'TINH_LUONG'!W11+'TINH_LUONG'!X11)</f>
        <v/>
      </c>
      <c r="M11" s="224">
        <f>IF('TINH_LUONG'!$B11="","",'TINH_LUONG'!BR11+'TINH_LUONG'!BS11)</f>
        <v/>
      </c>
      <c r="N11" s="224">
        <f>IF('TINH_LUONG'!$B11="","",'TINH_LUONG'!AO11)</f>
        <v/>
      </c>
      <c r="O11" s="224">
        <f>IF('TINH_LUONG'!$B11="","",'TINH_LUONG'!AP11)</f>
        <v/>
      </c>
      <c r="P11" s="224">
        <f>IF('TINH_LUONG'!$B11="","",'TINH_LUONG'!AS11)</f>
        <v/>
      </c>
      <c r="Q11" s="224">
        <f>IF('TINH_LUONG'!$B11="","",'TINH_LUONG'!AJ11)</f>
        <v/>
      </c>
      <c r="R11" s="224">
        <f>IF('TINH_LUONG'!$B11="","",'TINH_LUONG'!AQ11)</f>
        <v/>
      </c>
      <c r="S11" s="224">
        <f>IF('TINH_LUONG'!$B11="","",'TINH_LUONG'!AR11)</f>
        <v/>
      </c>
      <c r="T11" s="224">
        <f>IF('TINH_LUONG'!$B11="","",'TINH_LUONG'!AU11+'TINH_LUONG'!AV11+'TINH_LUONG'!AW11+'TINH_LUONG'!BV11)</f>
        <v/>
      </c>
      <c r="U11" s="224">
        <f>IF('TINH_LUONG'!$B11="","",'TINH_LUONG'!AX11)</f>
        <v/>
      </c>
      <c r="V11" s="224">
        <f>IF('TINH_LUONG'!$B11="","",'TINH_LUONG'!BT11)</f>
        <v/>
      </c>
      <c r="W11" s="224">
        <f>IF('TINH_LUONG'!$B11="","",'TINH_LUONG'!BU11)</f>
        <v/>
      </c>
      <c r="X11" s="235">
        <f>IF('TINH_LUONG'!$B11="","",'TINH_LUONG'!BW11)</f>
        <v/>
      </c>
      <c r="Y11" s="224">
        <f>IF('TINH_LUONG'!$B11="","",'TINH_LUONG'!BC11)</f>
        <v/>
      </c>
      <c r="Z11" s="224">
        <f>IF('TINH_LUONG'!$B11="","",'TINH_LUONG'!BD11)</f>
        <v/>
      </c>
      <c r="AA11" s="150">
        <f>IF('TINH_LUONG'!$B11="","",'TINH_LUONG'!BG11)</f>
        <v/>
      </c>
    </row>
    <row r="12">
      <c r="A12" s="145">
        <f>IF('TINH_LUONG'!$B12="","",'TINH_LUONG'!A12)</f>
        <v/>
      </c>
      <c r="B12" s="145">
        <f>IF('TINH_LUONG'!$B12="","",'TINH_LUONG'!B12)</f>
        <v/>
      </c>
      <c r="C12" s="145">
        <f>IF('TINH_LUONG'!$B12="","",'TINH_LUONG'!C12)</f>
        <v/>
      </c>
      <c r="D12" s="145">
        <f>IF('TINH_LUONG'!$B12="","",'TINH_LUONG'!D12)</f>
        <v/>
      </c>
      <c r="E12" s="145">
        <f>IF('TINH_LUONG'!$B12="","",'TINH_LUONG'!F12)</f>
        <v/>
      </c>
      <c r="F12" s="145">
        <f>IF('TINH_LUONG'!$B12="","",'TINH_LUONG'!G12)</f>
        <v/>
      </c>
      <c r="G12" s="224">
        <f>IF('TINH_LUONG'!$B12="","",'TINH_LUONG'!O12+'TINH_LUONG'!BO12)</f>
        <v/>
      </c>
      <c r="H12" s="224">
        <f>IF('TINH_LUONG'!$B12="","",SUM('TINH_LUONG'!P12:R12))</f>
        <v/>
      </c>
      <c r="I12" s="224">
        <f>IF('TINH_LUONG'!$B12="","",'TINH_LUONG'!BP12+'TINH_LUONG'!BQ12)</f>
        <v/>
      </c>
      <c r="J12" s="224">
        <f>IF('TINH_LUONG'!$B12="","",'TINH_LUONG'!Z12)</f>
        <v/>
      </c>
      <c r="K12" s="224">
        <f>IF('TINH_LUONG'!$B12="","",'TINH_LUONG'!S12+'TINH_LUONG'!T12)</f>
        <v/>
      </c>
      <c r="L12" s="224">
        <f>IF('TINH_LUONG'!$B12="","",'TINH_LUONG'!W12+'TINH_LUONG'!X12)</f>
        <v/>
      </c>
      <c r="M12" s="224">
        <f>IF('TINH_LUONG'!$B12="","",'TINH_LUONG'!BR12+'TINH_LUONG'!BS12)</f>
        <v/>
      </c>
      <c r="N12" s="224">
        <f>IF('TINH_LUONG'!$B12="","",'TINH_LUONG'!AO12)</f>
        <v/>
      </c>
      <c r="O12" s="224">
        <f>IF('TINH_LUONG'!$B12="","",'TINH_LUONG'!AP12)</f>
        <v/>
      </c>
      <c r="P12" s="224">
        <f>IF('TINH_LUONG'!$B12="","",'TINH_LUONG'!AS12)</f>
        <v/>
      </c>
      <c r="Q12" s="224">
        <f>IF('TINH_LUONG'!$B12="","",'TINH_LUONG'!AJ12)</f>
        <v/>
      </c>
      <c r="R12" s="224">
        <f>IF('TINH_LUONG'!$B12="","",'TINH_LUONG'!AQ12)</f>
        <v/>
      </c>
      <c r="S12" s="224">
        <f>IF('TINH_LUONG'!$B12="","",'TINH_LUONG'!AR12)</f>
        <v/>
      </c>
      <c r="T12" s="224">
        <f>IF('TINH_LUONG'!$B12="","",'TINH_LUONG'!AU12+'TINH_LUONG'!AV12+'TINH_LUONG'!AW12+'TINH_LUONG'!BV12)</f>
        <v/>
      </c>
      <c r="U12" s="224">
        <f>IF('TINH_LUONG'!$B12="","",'TINH_LUONG'!AX12)</f>
        <v/>
      </c>
      <c r="V12" s="224">
        <f>IF('TINH_LUONG'!$B12="","",'TINH_LUONG'!BT12)</f>
        <v/>
      </c>
      <c r="W12" s="224">
        <f>IF('TINH_LUONG'!$B12="","",'TINH_LUONG'!BU12)</f>
        <v/>
      </c>
      <c r="X12" s="235">
        <f>IF('TINH_LUONG'!$B12="","",'TINH_LUONG'!BW12)</f>
        <v/>
      </c>
      <c r="Y12" s="224">
        <f>IF('TINH_LUONG'!$B12="","",'TINH_LUONG'!BC12)</f>
        <v/>
      </c>
      <c r="Z12" s="224">
        <f>IF('TINH_LUONG'!$B12="","",'TINH_LUONG'!BD12)</f>
        <v/>
      </c>
      <c r="AA12" s="150">
        <f>IF('TINH_LUONG'!$B12="","",'TINH_LUONG'!BG12)</f>
        <v/>
      </c>
    </row>
    <row r="13">
      <c r="A13" s="145">
        <f>IF('TINH_LUONG'!$B13="","",'TINH_LUONG'!A13)</f>
        <v/>
      </c>
      <c r="B13" s="145">
        <f>IF('TINH_LUONG'!$B13="","",'TINH_LUONG'!B13)</f>
        <v/>
      </c>
      <c r="C13" s="145">
        <f>IF('TINH_LUONG'!$B13="","",'TINH_LUONG'!C13)</f>
        <v/>
      </c>
      <c r="D13" s="145">
        <f>IF('TINH_LUONG'!$B13="","",'TINH_LUONG'!D13)</f>
        <v/>
      </c>
      <c r="E13" s="145">
        <f>IF('TINH_LUONG'!$B13="","",'TINH_LUONG'!F13)</f>
        <v/>
      </c>
      <c r="F13" s="145">
        <f>IF('TINH_LUONG'!$B13="","",'TINH_LUONG'!G13)</f>
        <v/>
      </c>
      <c r="G13" s="224">
        <f>IF('TINH_LUONG'!$B13="","",'TINH_LUONG'!O13+'TINH_LUONG'!BO13)</f>
        <v/>
      </c>
      <c r="H13" s="224">
        <f>IF('TINH_LUONG'!$B13="","",SUM('TINH_LUONG'!P13:R13))</f>
        <v/>
      </c>
      <c r="I13" s="224">
        <f>IF('TINH_LUONG'!$B13="","",'TINH_LUONG'!BP13+'TINH_LUONG'!BQ13)</f>
        <v/>
      </c>
      <c r="J13" s="224">
        <f>IF('TINH_LUONG'!$B13="","",'TINH_LUONG'!Z13)</f>
        <v/>
      </c>
      <c r="K13" s="224">
        <f>IF('TINH_LUONG'!$B13="","",'TINH_LUONG'!S13+'TINH_LUONG'!T13)</f>
        <v/>
      </c>
      <c r="L13" s="224">
        <f>IF('TINH_LUONG'!$B13="","",'TINH_LUONG'!W13+'TINH_LUONG'!X13)</f>
        <v/>
      </c>
      <c r="M13" s="224">
        <f>IF('TINH_LUONG'!$B13="","",'TINH_LUONG'!BR13+'TINH_LUONG'!BS13)</f>
        <v/>
      </c>
      <c r="N13" s="224">
        <f>IF('TINH_LUONG'!$B13="","",'TINH_LUONG'!AO13)</f>
        <v/>
      </c>
      <c r="O13" s="224">
        <f>IF('TINH_LUONG'!$B13="","",'TINH_LUONG'!AP13)</f>
        <v/>
      </c>
      <c r="P13" s="224">
        <f>IF('TINH_LUONG'!$B13="","",'TINH_LUONG'!AS13)</f>
        <v/>
      </c>
      <c r="Q13" s="224">
        <f>IF('TINH_LUONG'!$B13="","",'TINH_LUONG'!AJ13)</f>
        <v/>
      </c>
      <c r="R13" s="224">
        <f>IF('TINH_LUONG'!$B13="","",'TINH_LUONG'!AQ13)</f>
        <v/>
      </c>
      <c r="S13" s="224">
        <f>IF('TINH_LUONG'!$B13="","",'TINH_LUONG'!AR13)</f>
        <v/>
      </c>
      <c r="T13" s="224">
        <f>IF('TINH_LUONG'!$B13="","",'TINH_LUONG'!AU13+'TINH_LUONG'!AV13+'TINH_LUONG'!AW13+'TINH_LUONG'!BV13)</f>
        <v/>
      </c>
      <c r="U13" s="224">
        <f>IF('TINH_LUONG'!$B13="","",'TINH_LUONG'!AX13)</f>
        <v/>
      </c>
      <c r="V13" s="224">
        <f>IF('TINH_LUONG'!$B13="","",'TINH_LUONG'!BT13)</f>
        <v/>
      </c>
      <c r="W13" s="224">
        <f>IF('TINH_LUONG'!$B13="","",'TINH_LUONG'!BU13)</f>
        <v/>
      </c>
      <c r="X13" s="235">
        <f>IF('TINH_LUONG'!$B13="","",'TINH_LUONG'!BW13)</f>
        <v/>
      </c>
      <c r="Y13" s="224">
        <f>IF('TINH_LUONG'!$B13="","",'TINH_LUONG'!BC13)</f>
        <v/>
      </c>
      <c r="Z13" s="224">
        <f>IF('TINH_LUONG'!$B13="","",'TINH_LUONG'!BD13)</f>
        <v/>
      </c>
      <c r="AA13" s="150">
        <f>IF('TINH_LUONG'!$B13="","",'TINH_LUONG'!BG13)</f>
        <v/>
      </c>
    </row>
    <row r="14">
      <c r="A14" s="145">
        <f>IF('TINH_LUONG'!$B14="","",'TINH_LUONG'!A14)</f>
        <v/>
      </c>
      <c r="B14" s="145">
        <f>IF('TINH_LUONG'!$B14="","",'TINH_LUONG'!B14)</f>
        <v/>
      </c>
      <c r="C14" s="145">
        <f>IF('TINH_LUONG'!$B14="","",'TINH_LUONG'!C14)</f>
        <v/>
      </c>
      <c r="D14" s="145">
        <f>IF('TINH_LUONG'!$B14="","",'TINH_LUONG'!D14)</f>
        <v/>
      </c>
      <c r="E14" s="145">
        <f>IF('TINH_LUONG'!$B14="","",'TINH_LUONG'!F14)</f>
        <v/>
      </c>
      <c r="F14" s="145">
        <f>IF('TINH_LUONG'!$B14="","",'TINH_LUONG'!G14)</f>
        <v/>
      </c>
      <c r="G14" s="224">
        <f>IF('TINH_LUONG'!$B14="","",'TINH_LUONG'!O14+'TINH_LUONG'!BO14)</f>
        <v/>
      </c>
      <c r="H14" s="224">
        <f>IF('TINH_LUONG'!$B14="","",SUM('TINH_LUONG'!P14:R14))</f>
        <v/>
      </c>
      <c r="I14" s="224">
        <f>IF('TINH_LUONG'!$B14="","",'TINH_LUONG'!BP14+'TINH_LUONG'!BQ14)</f>
        <v/>
      </c>
      <c r="J14" s="224">
        <f>IF('TINH_LUONG'!$B14="","",'TINH_LUONG'!Z14)</f>
        <v/>
      </c>
      <c r="K14" s="224">
        <f>IF('TINH_LUONG'!$B14="","",'TINH_LUONG'!S14+'TINH_LUONG'!T14)</f>
        <v/>
      </c>
      <c r="L14" s="224">
        <f>IF('TINH_LUONG'!$B14="","",'TINH_LUONG'!W14+'TINH_LUONG'!X14)</f>
        <v/>
      </c>
      <c r="M14" s="224">
        <f>IF('TINH_LUONG'!$B14="","",'TINH_LUONG'!BR14+'TINH_LUONG'!BS14)</f>
        <v/>
      </c>
      <c r="N14" s="224">
        <f>IF('TINH_LUONG'!$B14="","",'TINH_LUONG'!AO14)</f>
        <v/>
      </c>
      <c r="O14" s="224">
        <f>IF('TINH_LUONG'!$B14="","",'TINH_LUONG'!AP14)</f>
        <v/>
      </c>
      <c r="P14" s="224">
        <f>IF('TINH_LUONG'!$B14="","",'TINH_LUONG'!AS14)</f>
        <v/>
      </c>
      <c r="Q14" s="224">
        <f>IF('TINH_LUONG'!$B14="","",'TINH_LUONG'!AJ14)</f>
        <v/>
      </c>
      <c r="R14" s="224">
        <f>IF('TINH_LUONG'!$B14="","",'TINH_LUONG'!AQ14)</f>
        <v/>
      </c>
      <c r="S14" s="224">
        <f>IF('TINH_LUONG'!$B14="","",'TINH_LUONG'!AR14)</f>
        <v/>
      </c>
      <c r="T14" s="224">
        <f>IF('TINH_LUONG'!$B14="","",'TINH_LUONG'!AU14+'TINH_LUONG'!AV14+'TINH_LUONG'!AW14+'TINH_LUONG'!BV14)</f>
        <v/>
      </c>
      <c r="U14" s="224">
        <f>IF('TINH_LUONG'!$B14="","",'TINH_LUONG'!AX14)</f>
        <v/>
      </c>
      <c r="V14" s="224">
        <f>IF('TINH_LUONG'!$B14="","",'TINH_LUONG'!BT14)</f>
        <v/>
      </c>
      <c r="W14" s="224">
        <f>IF('TINH_LUONG'!$B14="","",'TINH_LUONG'!BU14)</f>
        <v/>
      </c>
      <c r="X14" s="235">
        <f>IF('TINH_LUONG'!$B14="","",'TINH_LUONG'!BW14)</f>
        <v/>
      </c>
      <c r="Y14" s="224">
        <f>IF('TINH_LUONG'!$B14="","",'TINH_LUONG'!BC14)</f>
        <v/>
      </c>
      <c r="Z14" s="224">
        <f>IF('TINH_LUONG'!$B14="","",'TINH_LUONG'!BD14)</f>
        <v/>
      </c>
      <c r="AA14" s="150">
        <f>IF('TINH_LUONG'!$B14="","",'TINH_LUONG'!BG14)</f>
        <v/>
      </c>
    </row>
    <row r="15">
      <c r="A15" s="145">
        <f>IF('TINH_LUONG'!$B15="","",'TINH_LUONG'!A15)</f>
        <v/>
      </c>
      <c r="B15" s="145">
        <f>IF('TINH_LUONG'!$B15="","",'TINH_LUONG'!B15)</f>
        <v/>
      </c>
      <c r="C15" s="145">
        <f>IF('TINH_LUONG'!$B15="","",'TINH_LUONG'!C15)</f>
        <v/>
      </c>
      <c r="D15" s="145">
        <f>IF('TINH_LUONG'!$B15="","",'TINH_LUONG'!D15)</f>
        <v/>
      </c>
      <c r="E15" s="145">
        <f>IF('TINH_LUONG'!$B15="","",'TINH_LUONG'!F15)</f>
        <v/>
      </c>
      <c r="F15" s="145">
        <f>IF('TINH_LUONG'!$B15="","",'TINH_LUONG'!G15)</f>
        <v/>
      </c>
      <c r="G15" s="224">
        <f>IF('TINH_LUONG'!$B15="","",'TINH_LUONG'!O15+'TINH_LUONG'!BO15)</f>
        <v/>
      </c>
      <c r="H15" s="224">
        <f>IF('TINH_LUONG'!$B15="","",SUM('TINH_LUONG'!P15:R15))</f>
        <v/>
      </c>
      <c r="I15" s="224">
        <f>IF('TINH_LUONG'!$B15="","",'TINH_LUONG'!BP15+'TINH_LUONG'!BQ15)</f>
        <v/>
      </c>
      <c r="J15" s="224">
        <f>IF('TINH_LUONG'!$B15="","",'TINH_LUONG'!Z15)</f>
        <v/>
      </c>
      <c r="K15" s="224">
        <f>IF('TINH_LUONG'!$B15="","",'TINH_LUONG'!S15+'TINH_LUONG'!T15)</f>
        <v/>
      </c>
      <c r="L15" s="224">
        <f>IF('TINH_LUONG'!$B15="","",'TINH_LUONG'!W15+'TINH_LUONG'!X15)</f>
        <v/>
      </c>
      <c r="M15" s="224">
        <f>IF('TINH_LUONG'!$B15="","",'TINH_LUONG'!BR15+'TINH_LUONG'!BS15)</f>
        <v/>
      </c>
      <c r="N15" s="224">
        <f>IF('TINH_LUONG'!$B15="","",'TINH_LUONG'!AO15)</f>
        <v/>
      </c>
      <c r="O15" s="224">
        <f>IF('TINH_LUONG'!$B15="","",'TINH_LUONG'!AP15)</f>
        <v/>
      </c>
      <c r="P15" s="224">
        <f>IF('TINH_LUONG'!$B15="","",'TINH_LUONG'!AS15)</f>
        <v/>
      </c>
      <c r="Q15" s="224">
        <f>IF('TINH_LUONG'!$B15="","",'TINH_LUONG'!AJ15)</f>
        <v/>
      </c>
      <c r="R15" s="224">
        <f>IF('TINH_LUONG'!$B15="","",'TINH_LUONG'!AQ15)</f>
        <v/>
      </c>
      <c r="S15" s="224">
        <f>IF('TINH_LUONG'!$B15="","",'TINH_LUONG'!AR15)</f>
        <v/>
      </c>
      <c r="T15" s="224">
        <f>IF('TINH_LUONG'!$B15="","",'TINH_LUONG'!AU15+'TINH_LUONG'!AV15+'TINH_LUONG'!AW15+'TINH_LUONG'!BV15)</f>
        <v/>
      </c>
      <c r="U15" s="224">
        <f>IF('TINH_LUONG'!$B15="","",'TINH_LUONG'!AX15)</f>
        <v/>
      </c>
      <c r="V15" s="224">
        <f>IF('TINH_LUONG'!$B15="","",'TINH_LUONG'!BT15)</f>
        <v/>
      </c>
      <c r="W15" s="224">
        <f>IF('TINH_LUONG'!$B15="","",'TINH_LUONG'!BU15)</f>
        <v/>
      </c>
      <c r="X15" s="235">
        <f>IF('TINH_LUONG'!$B15="","",'TINH_LUONG'!BW15)</f>
        <v/>
      </c>
      <c r="Y15" s="224">
        <f>IF('TINH_LUONG'!$B15="","",'TINH_LUONG'!BC15)</f>
        <v/>
      </c>
      <c r="Z15" s="224">
        <f>IF('TINH_LUONG'!$B15="","",'TINH_LUONG'!BD15)</f>
        <v/>
      </c>
      <c r="AA15" s="150">
        <f>IF('TINH_LUONG'!$B15="","",'TINH_LUONG'!BG15)</f>
        <v/>
      </c>
    </row>
    <row r="16">
      <c r="A16" s="145">
        <f>IF('TINH_LUONG'!$B16="","",'TINH_LUONG'!A16)</f>
        <v/>
      </c>
      <c r="B16" s="145">
        <f>IF('TINH_LUONG'!$B16="","",'TINH_LUONG'!B16)</f>
        <v/>
      </c>
      <c r="C16" s="145">
        <f>IF('TINH_LUONG'!$B16="","",'TINH_LUONG'!C16)</f>
        <v/>
      </c>
      <c r="D16" s="145">
        <f>IF('TINH_LUONG'!$B16="","",'TINH_LUONG'!D16)</f>
        <v/>
      </c>
      <c r="E16" s="145">
        <f>IF('TINH_LUONG'!$B16="","",'TINH_LUONG'!F16)</f>
        <v/>
      </c>
      <c r="F16" s="145">
        <f>IF('TINH_LUONG'!$B16="","",'TINH_LUONG'!G16)</f>
        <v/>
      </c>
      <c r="G16" s="224">
        <f>IF('TINH_LUONG'!$B16="","",'TINH_LUONG'!O16+'TINH_LUONG'!BO16)</f>
        <v/>
      </c>
      <c r="H16" s="224">
        <f>IF('TINH_LUONG'!$B16="","",SUM('TINH_LUONG'!P16:R16))</f>
        <v/>
      </c>
      <c r="I16" s="224">
        <f>IF('TINH_LUONG'!$B16="","",'TINH_LUONG'!BP16+'TINH_LUONG'!BQ16)</f>
        <v/>
      </c>
      <c r="J16" s="224">
        <f>IF('TINH_LUONG'!$B16="","",'TINH_LUONG'!Z16)</f>
        <v/>
      </c>
      <c r="K16" s="224">
        <f>IF('TINH_LUONG'!$B16="","",'TINH_LUONG'!S16+'TINH_LUONG'!T16)</f>
        <v/>
      </c>
      <c r="L16" s="224">
        <f>IF('TINH_LUONG'!$B16="","",'TINH_LUONG'!W16+'TINH_LUONG'!X16)</f>
        <v/>
      </c>
      <c r="M16" s="224">
        <f>IF('TINH_LUONG'!$B16="","",'TINH_LUONG'!BR16+'TINH_LUONG'!BS16)</f>
        <v/>
      </c>
      <c r="N16" s="224">
        <f>IF('TINH_LUONG'!$B16="","",'TINH_LUONG'!AO16)</f>
        <v/>
      </c>
      <c r="O16" s="224">
        <f>IF('TINH_LUONG'!$B16="","",'TINH_LUONG'!AP16)</f>
        <v/>
      </c>
      <c r="P16" s="224">
        <f>IF('TINH_LUONG'!$B16="","",'TINH_LUONG'!AS16)</f>
        <v/>
      </c>
      <c r="Q16" s="224">
        <f>IF('TINH_LUONG'!$B16="","",'TINH_LUONG'!AJ16)</f>
        <v/>
      </c>
      <c r="R16" s="224">
        <f>IF('TINH_LUONG'!$B16="","",'TINH_LUONG'!AQ16)</f>
        <v/>
      </c>
      <c r="S16" s="224">
        <f>IF('TINH_LUONG'!$B16="","",'TINH_LUONG'!AR16)</f>
        <v/>
      </c>
      <c r="T16" s="224">
        <f>IF('TINH_LUONG'!$B16="","",'TINH_LUONG'!AU16+'TINH_LUONG'!AV16+'TINH_LUONG'!AW16+'TINH_LUONG'!BV16)</f>
        <v/>
      </c>
      <c r="U16" s="224">
        <f>IF('TINH_LUONG'!$B16="","",'TINH_LUONG'!AX16)</f>
        <v/>
      </c>
      <c r="V16" s="224">
        <f>IF('TINH_LUONG'!$B16="","",'TINH_LUONG'!BT16)</f>
        <v/>
      </c>
      <c r="W16" s="224">
        <f>IF('TINH_LUONG'!$B16="","",'TINH_LUONG'!BU16)</f>
        <v/>
      </c>
      <c r="X16" s="235">
        <f>IF('TINH_LUONG'!$B16="","",'TINH_LUONG'!BW16)</f>
        <v/>
      </c>
      <c r="Y16" s="224">
        <f>IF('TINH_LUONG'!$B16="","",'TINH_LUONG'!BC16)</f>
        <v/>
      </c>
      <c r="Z16" s="224">
        <f>IF('TINH_LUONG'!$B16="","",'TINH_LUONG'!BD16)</f>
        <v/>
      </c>
      <c r="AA16" s="150">
        <f>IF('TINH_LUONG'!$B16="","",'TINH_LUONG'!BG16)</f>
        <v/>
      </c>
    </row>
    <row r="17">
      <c r="A17" s="145">
        <f>IF('TINH_LUONG'!$B17="","",'TINH_LUONG'!A17)</f>
        <v/>
      </c>
      <c r="B17" s="145">
        <f>IF('TINH_LUONG'!$B17="","",'TINH_LUONG'!B17)</f>
        <v/>
      </c>
      <c r="C17" s="145">
        <f>IF('TINH_LUONG'!$B17="","",'TINH_LUONG'!C17)</f>
        <v/>
      </c>
      <c r="D17" s="145">
        <f>IF('TINH_LUONG'!$B17="","",'TINH_LUONG'!D17)</f>
        <v/>
      </c>
      <c r="E17" s="145">
        <f>IF('TINH_LUONG'!$B17="","",'TINH_LUONG'!F17)</f>
        <v/>
      </c>
      <c r="F17" s="145">
        <f>IF('TINH_LUONG'!$B17="","",'TINH_LUONG'!G17)</f>
        <v/>
      </c>
      <c r="G17" s="224">
        <f>IF('TINH_LUONG'!$B17="","",'TINH_LUONG'!O17+'TINH_LUONG'!BO17)</f>
        <v/>
      </c>
      <c r="H17" s="224">
        <f>IF('TINH_LUONG'!$B17="","",SUM('TINH_LUONG'!P17:R17))</f>
        <v/>
      </c>
      <c r="I17" s="224">
        <f>IF('TINH_LUONG'!$B17="","",'TINH_LUONG'!BP17+'TINH_LUONG'!BQ17)</f>
        <v/>
      </c>
      <c r="J17" s="224">
        <f>IF('TINH_LUONG'!$B17="","",'TINH_LUONG'!Z17)</f>
        <v/>
      </c>
      <c r="K17" s="224">
        <f>IF('TINH_LUONG'!$B17="","",'TINH_LUONG'!S17+'TINH_LUONG'!T17)</f>
        <v/>
      </c>
      <c r="L17" s="224">
        <f>IF('TINH_LUONG'!$B17="","",'TINH_LUONG'!W17+'TINH_LUONG'!X17)</f>
        <v/>
      </c>
      <c r="M17" s="224">
        <f>IF('TINH_LUONG'!$B17="","",'TINH_LUONG'!BR17+'TINH_LUONG'!BS17)</f>
        <v/>
      </c>
      <c r="N17" s="224">
        <f>IF('TINH_LUONG'!$B17="","",'TINH_LUONG'!AO17)</f>
        <v/>
      </c>
      <c r="O17" s="224">
        <f>IF('TINH_LUONG'!$B17="","",'TINH_LUONG'!AP17)</f>
        <v/>
      </c>
      <c r="P17" s="224">
        <f>IF('TINH_LUONG'!$B17="","",'TINH_LUONG'!AS17)</f>
        <v/>
      </c>
      <c r="Q17" s="224">
        <f>IF('TINH_LUONG'!$B17="","",'TINH_LUONG'!AJ17)</f>
        <v/>
      </c>
      <c r="R17" s="224">
        <f>IF('TINH_LUONG'!$B17="","",'TINH_LUONG'!AQ17)</f>
        <v/>
      </c>
      <c r="S17" s="224">
        <f>IF('TINH_LUONG'!$B17="","",'TINH_LUONG'!AR17)</f>
        <v/>
      </c>
      <c r="T17" s="224">
        <f>IF('TINH_LUONG'!$B17="","",'TINH_LUONG'!AU17+'TINH_LUONG'!AV17+'TINH_LUONG'!AW17+'TINH_LUONG'!BV17)</f>
        <v/>
      </c>
      <c r="U17" s="224">
        <f>IF('TINH_LUONG'!$B17="","",'TINH_LUONG'!AX17)</f>
        <v/>
      </c>
      <c r="V17" s="224">
        <f>IF('TINH_LUONG'!$B17="","",'TINH_LUONG'!BT17)</f>
        <v/>
      </c>
      <c r="W17" s="224">
        <f>IF('TINH_LUONG'!$B17="","",'TINH_LUONG'!BU17)</f>
        <v/>
      </c>
      <c r="X17" s="235">
        <f>IF('TINH_LUONG'!$B17="","",'TINH_LUONG'!BW17)</f>
        <v/>
      </c>
      <c r="Y17" s="224">
        <f>IF('TINH_LUONG'!$B17="","",'TINH_LUONG'!BC17)</f>
        <v/>
      </c>
      <c r="Z17" s="224">
        <f>IF('TINH_LUONG'!$B17="","",'TINH_LUONG'!BD17)</f>
        <v/>
      </c>
      <c r="AA17" s="150">
        <f>IF('TINH_LUONG'!$B17="","",'TINH_LUONG'!BG17)</f>
        <v/>
      </c>
    </row>
    <row r="18">
      <c r="A18" s="145">
        <f>IF('TINH_LUONG'!$B18="","",'TINH_LUONG'!A18)</f>
        <v/>
      </c>
      <c r="B18" s="145">
        <f>IF('TINH_LUONG'!$B18="","",'TINH_LUONG'!B18)</f>
        <v/>
      </c>
      <c r="C18" s="145">
        <f>IF('TINH_LUONG'!$B18="","",'TINH_LUONG'!C18)</f>
        <v/>
      </c>
      <c r="D18" s="145">
        <f>IF('TINH_LUONG'!$B18="","",'TINH_LUONG'!D18)</f>
        <v/>
      </c>
      <c r="E18" s="145">
        <f>IF('TINH_LUONG'!$B18="","",'TINH_LUONG'!F18)</f>
        <v/>
      </c>
      <c r="F18" s="145">
        <f>IF('TINH_LUONG'!$B18="","",'TINH_LUONG'!G18)</f>
        <v/>
      </c>
      <c r="G18" s="224">
        <f>IF('TINH_LUONG'!$B18="","",'TINH_LUONG'!O18+'TINH_LUONG'!BO18)</f>
        <v/>
      </c>
      <c r="H18" s="224">
        <f>IF('TINH_LUONG'!$B18="","",SUM('TINH_LUONG'!P18:R18))</f>
        <v/>
      </c>
      <c r="I18" s="224">
        <f>IF('TINH_LUONG'!$B18="","",'TINH_LUONG'!BP18+'TINH_LUONG'!BQ18)</f>
        <v/>
      </c>
      <c r="J18" s="224">
        <f>IF('TINH_LUONG'!$B18="","",'TINH_LUONG'!Z18)</f>
        <v/>
      </c>
      <c r="K18" s="224">
        <f>IF('TINH_LUONG'!$B18="","",'TINH_LUONG'!S18+'TINH_LUONG'!T18)</f>
        <v/>
      </c>
      <c r="L18" s="224">
        <f>IF('TINH_LUONG'!$B18="","",'TINH_LUONG'!W18+'TINH_LUONG'!X18)</f>
        <v/>
      </c>
      <c r="M18" s="224">
        <f>IF('TINH_LUONG'!$B18="","",'TINH_LUONG'!BR18+'TINH_LUONG'!BS18)</f>
        <v/>
      </c>
      <c r="N18" s="224">
        <f>IF('TINH_LUONG'!$B18="","",'TINH_LUONG'!AO18)</f>
        <v/>
      </c>
      <c r="O18" s="224">
        <f>IF('TINH_LUONG'!$B18="","",'TINH_LUONG'!AP18)</f>
        <v/>
      </c>
      <c r="P18" s="224">
        <f>IF('TINH_LUONG'!$B18="","",'TINH_LUONG'!AS18)</f>
        <v/>
      </c>
      <c r="Q18" s="224">
        <f>IF('TINH_LUONG'!$B18="","",'TINH_LUONG'!AJ18)</f>
        <v/>
      </c>
      <c r="R18" s="224">
        <f>IF('TINH_LUONG'!$B18="","",'TINH_LUONG'!AQ18)</f>
        <v/>
      </c>
      <c r="S18" s="224">
        <f>IF('TINH_LUONG'!$B18="","",'TINH_LUONG'!AR18)</f>
        <v/>
      </c>
      <c r="T18" s="224">
        <f>IF('TINH_LUONG'!$B18="","",'TINH_LUONG'!AU18+'TINH_LUONG'!AV18+'TINH_LUONG'!AW18+'TINH_LUONG'!BV18)</f>
        <v/>
      </c>
      <c r="U18" s="224">
        <f>IF('TINH_LUONG'!$B18="","",'TINH_LUONG'!AX18)</f>
        <v/>
      </c>
      <c r="V18" s="224">
        <f>IF('TINH_LUONG'!$B18="","",'TINH_LUONG'!BT18)</f>
        <v/>
      </c>
      <c r="W18" s="224">
        <f>IF('TINH_LUONG'!$B18="","",'TINH_LUONG'!BU18)</f>
        <v/>
      </c>
      <c r="X18" s="235">
        <f>IF('TINH_LUONG'!$B18="","",'TINH_LUONG'!BW18)</f>
        <v/>
      </c>
      <c r="Y18" s="224">
        <f>IF('TINH_LUONG'!$B18="","",'TINH_LUONG'!BC18)</f>
        <v/>
      </c>
      <c r="Z18" s="224">
        <f>IF('TINH_LUONG'!$B18="","",'TINH_LUONG'!BD18)</f>
        <v/>
      </c>
      <c r="AA18" s="150">
        <f>IF('TINH_LUONG'!$B18="","",'TINH_LUONG'!BG18)</f>
        <v/>
      </c>
    </row>
    <row r="19">
      <c r="A19" s="145">
        <f>IF('TINH_LUONG'!$B19="","",'TINH_LUONG'!A19)</f>
        <v/>
      </c>
      <c r="B19" s="145">
        <f>IF('TINH_LUONG'!$B19="","",'TINH_LUONG'!B19)</f>
        <v/>
      </c>
      <c r="C19" s="145">
        <f>IF('TINH_LUONG'!$B19="","",'TINH_LUONG'!C19)</f>
        <v/>
      </c>
      <c r="D19" s="145">
        <f>IF('TINH_LUONG'!$B19="","",'TINH_LUONG'!D19)</f>
        <v/>
      </c>
      <c r="E19" s="145">
        <f>IF('TINH_LUONG'!$B19="","",'TINH_LUONG'!F19)</f>
        <v/>
      </c>
      <c r="F19" s="145">
        <f>IF('TINH_LUONG'!$B19="","",'TINH_LUONG'!G19)</f>
        <v/>
      </c>
      <c r="G19" s="224">
        <f>IF('TINH_LUONG'!$B19="","",'TINH_LUONG'!O19+'TINH_LUONG'!BO19)</f>
        <v/>
      </c>
      <c r="H19" s="224">
        <f>IF('TINH_LUONG'!$B19="","",SUM('TINH_LUONG'!P19:R19))</f>
        <v/>
      </c>
      <c r="I19" s="224">
        <f>IF('TINH_LUONG'!$B19="","",'TINH_LUONG'!BP19+'TINH_LUONG'!BQ19)</f>
        <v/>
      </c>
      <c r="J19" s="224">
        <f>IF('TINH_LUONG'!$B19="","",'TINH_LUONG'!Z19)</f>
        <v/>
      </c>
      <c r="K19" s="224">
        <f>IF('TINH_LUONG'!$B19="","",'TINH_LUONG'!S19+'TINH_LUONG'!T19)</f>
        <v/>
      </c>
      <c r="L19" s="224">
        <f>IF('TINH_LUONG'!$B19="","",'TINH_LUONG'!W19+'TINH_LUONG'!X19)</f>
        <v/>
      </c>
      <c r="M19" s="224">
        <f>IF('TINH_LUONG'!$B19="","",'TINH_LUONG'!BR19+'TINH_LUONG'!BS19)</f>
        <v/>
      </c>
      <c r="N19" s="224">
        <f>IF('TINH_LUONG'!$B19="","",'TINH_LUONG'!AO19)</f>
        <v/>
      </c>
      <c r="O19" s="224">
        <f>IF('TINH_LUONG'!$B19="","",'TINH_LUONG'!AP19)</f>
        <v/>
      </c>
      <c r="P19" s="224">
        <f>IF('TINH_LUONG'!$B19="","",'TINH_LUONG'!AS19)</f>
        <v/>
      </c>
      <c r="Q19" s="224">
        <f>IF('TINH_LUONG'!$B19="","",'TINH_LUONG'!AJ19)</f>
        <v/>
      </c>
      <c r="R19" s="224">
        <f>IF('TINH_LUONG'!$B19="","",'TINH_LUONG'!AQ19)</f>
        <v/>
      </c>
      <c r="S19" s="224">
        <f>IF('TINH_LUONG'!$B19="","",'TINH_LUONG'!AR19)</f>
        <v/>
      </c>
      <c r="T19" s="224">
        <f>IF('TINH_LUONG'!$B19="","",'TINH_LUONG'!AU19+'TINH_LUONG'!AV19+'TINH_LUONG'!AW19+'TINH_LUONG'!BV19)</f>
        <v/>
      </c>
      <c r="U19" s="224">
        <f>IF('TINH_LUONG'!$B19="","",'TINH_LUONG'!AX19)</f>
        <v/>
      </c>
      <c r="V19" s="224">
        <f>IF('TINH_LUONG'!$B19="","",'TINH_LUONG'!BT19)</f>
        <v/>
      </c>
      <c r="W19" s="224">
        <f>IF('TINH_LUONG'!$B19="","",'TINH_LUONG'!BU19)</f>
        <v/>
      </c>
      <c r="X19" s="235">
        <f>IF('TINH_LUONG'!$B19="","",'TINH_LUONG'!BW19)</f>
        <v/>
      </c>
      <c r="Y19" s="224">
        <f>IF('TINH_LUONG'!$B19="","",'TINH_LUONG'!BC19)</f>
        <v/>
      </c>
      <c r="Z19" s="224">
        <f>IF('TINH_LUONG'!$B19="","",'TINH_LUONG'!BD19)</f>
        <v/>
      </c>
      <c r="AA19" s="150">
        <f>IF('TINH_LUONG'!$B19="","",'TINH_LUONG'!BG19)</f>
        <v/>
      </c>
    </row>
    <row r="20">
      <c r="A20" s="145">
        <f>IF('TINH_LUONG'!$B20="","",'TINH_LUONG'!A20)</f>
        <v/>
      </c>
      <c r="B20" s="145">
        <f>IF('TINH_LUONG'!$B20="","",'TINH_LUONG'!B20)</f>
        <v/>
      </c>
      <c r="C20" s="145">
        <f>IF('TINH_LUONG'!$B20="","",'TINH_LUONG'!C20)</f>
        <v/>
      </c>
      <c r="D20" s="145">
        <f>IF('TINH_LUONG'!$B20="","",'TINH_LUONG'!D20)</f>
        <v/>
      </c>
      <c r="E20" s="145">
        <f>IF('TINH_LUONG'!$B20="","",'TINH_LUONG'!F20)</f>
        <v/>
      </c>
      <c r="F20" s="145">
        <f>IF('TINH_LUONG'!$B20="","",'TINH_LUONG'!G20)</f>
        <v/>
      </c>
      <c r="G20" s="224">
        <f>IF('TINH_LUONG'!$B20="","",'TINH_LUONG'!O20+'TINH_LUONG'!BO20)</f>
        <v/>
      </c>
      <c r="H20" s="224">
        <f>IF('TINH_LUONG'!$B20="","",SUM('TINH_LUONG'!P20:R20))</f>
        <v/>
      </c>
      <c r="I20" s="224">
        <f>IF('TINH_LUONG'!$B20="","",'TINH_LUONG'!BP20+'TINH_LUONG'!BQ20)</f>
        <v/>
      </c>
      <c r="J20" s="224">
        <f>IF('TINH_LUONG'!$B20="","",'TINH_LUONG'!Z20)</f>
        <v/>
      </c>
      <c r="K20" s="224">
        <f>IF('TINH_LUONG'!$B20="","",'TINH_LUONG'!S20+'TINH_LUONG'!T20)</f>
        <v/>
      </c>
      <c r="L20" s="224">
        <f>IF('TINH_LUONG'!$B20="","",'TINH_LUONG'!W20+'TINH_LUONG'!X20)</f>
        <v/>
      </c>
      <c r="M20" s="224">
        <f>IF('TINH_LUONG'!$B20="","",'TINH_LUONG'!BR20+'TINH_LUONG'!BS20)</f>
        <v/>
      </c>
      <c r="N20" s="224">
        <f>IF('TINH_LUONG'!$B20="","",'TINH_LUONG'!AO20)</f>
        <v/>
      </c>
      <c r="O20" s="224">
        <f>IF('TINH_LUONG'!$B20="","",'TINH_LUONG'!AP20)</f>
        <v/>
      </c>
      <c r="P20" s="224">
        <f>IF('TINH_LUONG'!$B20="","",'TINH_LUONG'!AS20)</f>
        <v/>
      </c>
      <c r="Q20" s="224">
        <f>IF('TINH_LUONG'!$B20="","",'TINH_LUONG'!AJ20)</f>
        <v/>
      </c>
      <c r="R20" s="224">
        <f>IF('TINH_LUONG'!$B20="","",'TINH_LUONG'!AQ20)</f>
        <v/>
      </c>
      <c r="S20" s="224">
        <f>IF('TINH_LUONG'!$B20="","",'TINH_LUONG'!AR20)</f>
        <v/>
      </c>
      <c r="T20" s="224">
        <f>IF('TINH_LUONG'!$B20="","",'TINH_LUONG'!AU20+'TINH_LUONG'!AV20+'TINH_LUONG'!AW20+'TINH_LUONG'!BV20)</f>
        <v/>
      </c>
      <c r="U20" s="224">
        <f>IF('TINH_LUONG'!$B20="","",'TINH_LUONG'!AX20)</f>
        <v/>
      </c>
      <c r="V20" s="224">
        <f>IF('TINH_LUONG'!$B20="","",'TINH_LUONG'!BT20)</f>
        <v/>
      </c>
      <c r="W20" s="224">
        <f>IF('TINH_LUONG'!$B20="","",'TINH_LUONG'!BU20)</f>
        <v/>
      </c>
      <c r="X20" s="235">
        <f>IF('TINH_LUONG'!$B20="","",'TINH_LUONG'!BW20)</f>
        <v/>
      </c>
      <c r="Y20" s="224">
        <f>IF('TINH_LUONG'!$B20="","",'TINH_LUONG'!BC20)</f>
        <v/>
      </c>
      <c r="Z20" s="224">
        <f>IF('TINH_LUONG'!$B20="","",'TINH_LUONG'!BD20)</f>
        <v/>
      </c>
      <c r="AA20" s="150">
        <f>IF('TINH_LUONG'!$B20="","",'TINH_LUONG'!BG20)</f>
        <v/>
      </c>
    </row>
    <row r="21">
      <c r="A21" s="145">
        <f>IF('TINH_LUONG'!$B21="","",'TINH_LUONG'!A21)</f>
        <v/>
      </c>
      <c r="B21" s="145">
        <f>IF('TINH_LUONG'!$B21="","",'TINH_LUONG'!B21)</f>
        <v/>
      </c>
      <c r="C21" s="145">
        <f>IF('TINH_LUONG'!$B21="","",'TINH_LUONG'!C21)</f>
        <v/>
      </c>
      <c r="D21" s="145">
        <f>IF('TINH_LUONG'!$B21="","",'TINH_LUONG'!D21)</f>
        <v/>
      </c>
      <c r="E21" s="145">
        <f>IF('TINH_LUONG'!$B21="","",'TINH_LUONG'!F21)</f>
        <v/>
      </c>
      <c r="F21" s="145">
        <f>IF('TINH_LUONG'!$B21="","",'TINH_LUONG'!G21)</f>
        <v/>
      </c>
      <c r="G21" s="224">
        <f>IF('TINH_LUONG'!$B21="","",'TINH_LUONG'!O21+'TINH_LUONG'!BO21)</f>
        <v/>
      </c>
      <c r="H21" s="224">
        <f>IF('TINH_LUONG'!$B21="","",SUM('TINH_LUONG'!P21:R21))</f>
        <v/>
      </c>
      <c r="I21" s="224">
        <f>IF('TINH_LUONG'!$B21="","",'TINH_LUONG'!BP21+'TINH_LUONG'!BQ21)</f>
        <v/>
      </c>
      <c r="J21" s="224">
        <f>IF('TINH_LUONG'!$B21="","",'TINH_LUONG'!Z21)</f>
        <v/>
      </c>
      <c r="K21" s="224">
        <f>IF('TINH_LUONG'!$B21="","",'TINH_LUONG'!S21+'TINH_LUONG'!T21)</f>
        <v/>
      </c>
      <c r="L21" s="224">
        <f>IF('TINH_LUONG'!$B21="","",'TINH_LUONG'!W21+'TINH_LUONG'!X21)</f>
        <v/>
      </c>
      <c r="M21" s="224">
        <f>IF('TINH_LUONG'!$B21="","",'TINH_LUONG'!BR21+'TINH_LUONG'!BS21)</f>
        <v/>
      </c>
      <c r="N21" s="224">
        <f>IF('TINH_LUONG'!$B21="","",'TINH_LUONG'!AO21)</f>
        <v/>
      </c>
      <c r="O21" s="224">
        <f>IF('TINH_LUONG'!$B21="","",'TINH_LUONG'!AP21)</f>
        <v/>
      </c>
      <c r="P21" s="224">
        <f>IF('TINH_LUONG'!$B21="","",'TINH_LUONG'!AS21)</f>
        <v/>
      </c>
      <c r="Q21" s="224">
        <f>IF('TINH_LUONG'!$B21="","",'TINH_LUONG'!AJ21)</f>
        <v/>
      </c>
      <c r="R21" s="224">
        <f>IF('TINH_LUONG'!$B21="","",'TINH_LUONG'!AQ21)</f>
        <v/>
      </c>
      <c r="S21" s="224">
        <f>IF('TINH_LUONG'!$B21="","",'TINH_LUONG'!AR21)</f>
        <v/>
      </c>
      <c r="T21" s="224">
        <f>IF('TINH_LUONG'!$B21="","",'TINH_LUONG'!AU21+'TINH_LUONG'!AV21+'TINH_LUONG'!AW21+'TINH_LUONG'!BV21)</f>
        <v/>
      </c>
      <c r="U21" s="224">
        <f>IF('TINH_LUONG'!$B21="","",'TINH_LUONG'!AX21)</f>
        <v/>
      </c>
      <c r="V21" s="224">
        <f>IF('TINH_LUONG'!$B21="","",'TINH_LUONG'!BT21)</f>
        <v/>
      </c>
      <c r="W21" s="224">
        <f>IF('TINH_LUONG'!$B21="","",'TINH_LUONG'!BU21)</f>
        <v/>
      </c>
      <c r="X21" s="235">
        <f>IF('TINH_LUONG'!$B21="","",'TINH_LUONG'!BW21)</f>
        <v/>
      </c>
      <c r="Y21" s="224">
        <f>IF('TINH_LUONG'!$B21="","",'TINH_LUONG'!BC21)</f>
        <v/>
      </c>
      <c r="Z21" s="224">
        <f>IF('TINH_LUONG'!$B21="","",'TINH_LUONG'!BD21)</f>
        <v/>
      </c>
      <c r="AA21" s="150">
        <f>IF('TINH_LUONG'!$B21="","",'TINH_LUONG'!BG21)</f>
        <v/>
      </c>
    </row>
    <row r="22">
      <c r="A22" s="145">
        <f>IF('TINH_LUONG'!$B22="","",'TINH_LUONG'!A22)</f>
        <v/>
      </c>
      <c r="B22" s="145">
        <f>IF('TINH_LUONG'!$B22="","",'TINH_LUONG'!B22)</f>
        <v/>
      </c>
      <c r="C22" s="145">
        <f>IF('TINH_LUONG'!$B22="","",'TINH_LUONG'!C22)</f>
        <v/>
      </c>
      <c r="D22" s="145">
        <f>IF('TINH_LUONG'!$B22="","",'TINH_LUONG'!D22)</f>
        <v/>
      </c>
      <c r="E22" s="145">
        <f>IF('TINH_LUONG'!$B22="","",'TINH_LUONG'!F22)</f>
        <v/>
      </c>
      <c r="F22" s="145">
        <f>IF('TINH_LUONG'!$B22="","",'TINH_LUONG'!G22)</f>
        <v/>
      </c>
      <c r="G22" s="224">
        <f>IF('TINH_LUONG'!$B22="","",'TINH_LUONG'!O22+'TINH_LUONG'!BO22)</f>
        <v/>
      </c>
      <c r="H22" s="224">
        <f>IF('TINH_LUONG'!$B22="","",SUM('TINH_LUONG'!P22:R22))</f>
        <v/>
      </c>
      <c r="I22" s="224">
        <f>IF('TINH_LUONG'!$B22="","",'TINH_LUONG'!BP22+'TINH_LUONG'!BQ22)</f>
        <v/>
      </c>
      <c r="J22" s="224">
        <f>IF('TINH_LUONG'!$B22="","",'TINH_LUONG'!Z22)</f>
        <v/>
      </c>
      <c r="K22" s="224">
        <f>IF('TINH_LUONG'!$B22="","",'TINH_LUONG'!S22+'TINH_LUONG'!T22)</f>
        <v/>
      </c>
      <c r="L22" s="224">
        <f>IF('TINH_LUONG'!$B22="","",'TINH_LUONG'!W22+'TINH_LUONG'!X22)</f>
        <v/>
      </c>
      <c r="M22" s="224">
        <f>IF('TINH_LUONG'!$B22="","",'TINH_LUONG'!BR22+'TINH_LUONG'!BS22)</f>
        <v/>
      </c>
      <c r="N22" s="224">
        <f>IF('TINH_LUONG'!$B22="","",'TINH_LUONG'!AO22)</f>
        <v/>
      </c>
      <c r="O22" s="224">
        <f>IF('TINH_LUONG'!$B22="","",'TINH_LUONG'!AP22)</f>
        <v/>
      </c>
      <c r="P22" s="224">
        <f>IF('TINH_LUONG'!$B22="","",'TINH_LUONG'!AS22)</f>
        <v/>
      </c>
      <c r="Q22" s="224">
        <f>IF('TINH_LUONG'!$B22="","",'TINH_LUONG'!AJ22)</f>
        <v/>
      </c>
      <c r="R22" s="224">
        <f>IF('TINH_LUONG'!$B22="","",'TINH_LUONG'!AQ22)</f>
        <v/>
      </c>
      <c r="S22" s="224">
        <f>IF('TINH_LUONG'!$B22="","",'TINH_LUONG'!AR22)</f>
        <v/>
      </c>
      <c r="T22" s="224">
        <f>IF('TINH_LUONG'!$B22="","",'TINH_LUONG'!AU22+'TINH_LUONG'!AV22+'TINH_LUONG'!AW22+'TINH_LUONG'!BV22)</f>
        <v/>
      </c>
      <c r="U22" s="224">
        <f>IF('TINH_LUONG'!$B22="","",'TINH_LUONG'!AX22)</f>
        <v/>
      </c>
      <c r="V22" s="224">
        <f>IF('TINH_LUONG'!$B22="","",'TINH_LUONG'!BT22)</f>
        <v/>
      </c>
      <c r="W22" s="224">
        <f>IF('TINH_LUONG'!$B22="","",'TINH_LUONG'!BU22)</f>
        <v/>
      </c>
      <c r="X22" s="235">
        <f>IF('TINH_LUONG'!$B22="","",'TINH_LUONG'!BW22)</f>
        <v/>
      </c>
      <c r="Y22" s="224">
        <f>IF('TINH_LUONG'!$B22="","",'TINH_LUONG'!BC22)</f>
        <v/>
      </c>
      <c r="Z22" s="224">
        <f>IF('TINH_LUONG'!$B22="","",'TINH_LUONG'!BD22)</f>
        <v/>
      </c>
      <c r="AA22" s="150">
        <f>IF('TINH_LUONG'!$B22="","",'TINH_LUONG'!BG22)</f>
        <v/>
      </c>
    </row>
    <row r="23">
      <c r="A23" s="145">
        <f>IF('TINH_LUONG'!$B23="","",'TINH_LUONG'!A23)</f>
        <v/>
      </c>
      <c r="B23" s="145">
        <f>IF('TINH_LUONG'!$B23="","",'TINH_LUONG'!B23)</f>
        <v/>
      </c>
      <c r="C23" s="145">
        <f>IF('TINH_LUONG'!$B23="","",'TINH_LUONG'!C23)</f>
        <v/>
      </c>
      <c r="D23" s="145">
        <f>IF('TINH_LUONG'!$B23="","",'TINH_LUONG'!D23)</f>
        <v/>
      </c>
      <c r="E23" s="145">
        <f>IF('TINH_LUONG'!$B23="","",'TINH_LUONG'!F23)</f>
        <v/>
      </c>
      <c r="F23" s="145">
        <f>IF('TINH_LUONG'!$B23="","",'TINH_LUONG'!G23)</f>
        <v/>
      </c>
      <c r="G23" s="224">
        <f>IF('TINH_LUONG'!$B23="","",'TINH_LUONG'!O23+'TINH_LUONG'!BO23)</f>
        <v/>
      </c>
      <c r="H23" s="224">
        <f>IF('TINH_LUONG'!$B23="","",SUM('TINH_LUONG'!P23:R23))</f>
        <v/>
      </c>
      <c r="I23" s="224">
        <f>IF('TINH_LUONG'!$B23="","",'TINH_LUONG'!BP23+'TINH_LUONG'!BQ23)</f>
        <v/>
      </c>
      <c r="J23" s="224">
        <f>IF('TINH_LUONG'!$B23="","",'TINH_LUONG'!Z23)</f>
        <v/>
      </c>
      <c r="K23" s="224">
        <f>IF('TINH_LUONG'!$B23="","",'TINH_LUONG'!S23+'TINH_LUONG'!T23)</f>
        <v/>
      </c>
      <c r="L23" s="224">
        <f>IF('TINH_LUONG'!$B23="","",'TINH_LUONG'!W23+'TINH_LUONG'!X23)</f>
        <v/>
      </c>
      <c r="M23" s="224">
        <f>IF('TINH_LUONG'!$B23="","",'TINH_LUONG'!BR23+'TINH_LUONG'!BS23)</f>
        <v/>
      </c>
      <c r="N23" s="224">
        <f>IF('TINH_LUONG'!$B23="","",'TINH_LUONG'!AO23)</f>
        <v/>
      </c>
      <c r="O23" s="224">
        <f>IF('TINH_LUONG'!$B23="","",'TINH_LUONG'!AP23)</f>
        <v/>
      </c>
      <c r="P23" s="224">
        <f>IF('TINH_LUONG'!$B23="","",'TINH_LUONG'!AS23)</f>
        <v/>
      </c>
      <c r="Q23" s="224">
        <f>IF('TINH_LUONG'!$B23="","",'TINH_LUONG'!AJ23)</f>
        <v/>
      </c>
      <c r="R23" s="224">
        <f>IF('TINH_LUONG'!$B23="","",'TINH_LUONG'!AQ23)</f>
        <v/>
      </c>
      <c r="S23" s="224">
        <f>IF('TINH_LUONG'!$B23="","",'TINH_LUONG'!AR23)</f>
        <v/>
      </c>
      <c r="T23" s="224">
        <f>IF('TINH_LUONG'!$B23="","",'TINH_LUONG'!AU23+'TINH_LUONG'!AV23+'TINH_LUONG'!AW23+'TINH_LUONG'!BV23)</f>
        <v/>
      </c>
      <c r="U23" s="224">
        <f>IF('TINH_LUONG'!$B23="","",'TINH_LUONG'!AX23)</f>
        <v/>
      </c>
      <c r="V23" s="224">
        <f>IF('TINH_LUONG'!$B23="","",'TINH_LUONG'!BT23)</f>
        <v/>
      </c>
      <c r="W23" s="224">
        <f>IF('TINH_LUONG'!$B23="","",'TINH_LUONG'!BU23)</f>
        <v/>
      </c>
      <c r="X23" s="235">
        <f>IF('TINH_LUONG'!$B23="","",'TINH_LUONG'!BW23)</f>
        <v/>
      </c>
      <c r="Y23" s="224">
        <f>IF('TINH_LUONG'!$B23="","",'TINH_LUONG'!BC23)</f>
        <v/>
      </c>
      <c r="Z23" s="224">
        <f>IF('TINH_LUONG'!$B23="","",'TINH_LUONG'!BD23)</f>
        <v/>
      </c>
      <c r="AA23" s="150">
        <f>IF('TINH_LUONG'!$B23="","",'TINH_LUONG'!BG23)</f>
        <v/>
      </c>
    </row>
    <row r="24">
      <c r="A24" s="145">
        <f>IF('TINH_LUONG'!$B24="","",'TINH_LUONG'!A24)</f>
        <v/>
      </c>
      <c r="B24" s="145">
        <f>IF('TINH_LUONG'!$B24="","",'TINH_LUONG'!B24)</f>
        <v/>
      </c>
      <c r="C24" s="145">
        <f>IF('TINH_LUONG'!$B24="","",'TINH_LUONG'!C24)</f>
        <v/>
      </c>
      <c r="D24" s="145">
        <f>IF('TINH_LUONG'!$B24="","",'TINH_LUONG'!D24)</f>
        <v/>
      </c>
      <c r="E24" s="145">
        <f>IF('TINH_LUONG'!$B24="","",'TINH_LUONG'!F24)</f>
        <v/>
      </c>
      <c r="F24" s="145">
        <f>IF('TINH_LUONG'!$B24="","",'TINH_LUONG'!G24)</f>
        <v/>
      </c>
      <c r="G24" s="224">
        <f>IF('TINH_LUONG'!$B24="","",'TINH_LUONG'!O24+'TINH_LUONG'!BO24)</f>
        <v/>
      </c>
      <c r="H24" s="224">
        <f>IF('TINH_LUONG'!$B24="","",SUM('TINH_LUONG'!P24:R24))</f>
        <v/>
      </c>
      <c r="I24" s="224">
        <f>IF('TINH_LUONG'!$B24="","",'TINH_LUONG'!BP24+'TINH_LUONG'!BQ24)</f>
        <v/>
      </c>
      <c r="J24" s="224">
        <f>IF('TINH_LUONG'!$B24="","",'TINH_LUONG'!Z24)</f>
        <v/>
      </c>
      <c r="K24" s="224">
        <f>IF('TINH_LUONG'!$B24="","",'TINH_LUONG'!S24+'TINH_LUONG'!T24)</f>
        <v/>
      </c>
      <c r="L24" s="224">
        <f>IF('TINH_LUONG'!$B24="","",'TINH_LUONG'!W24+'TINH_LUONG'!X24)</f>
        <v/>
      </c>
      <c r="M24" s="224">
        <f>IF('TINH_LUONG'!$B24="","",'TINH_LUONG'!BR24+'TINH_LUONG'!BS24)</f>
        <v/>
      </c>
      <c r="N24" s="224">
        <f>IF('TINH_LUONG'!$B24="","",'TINH_LUONG'!AO24)</f>
        <v/>
      </c>
      <c r="O24" s="224">
        <f>IF('TINH_LUONG'!$B24="","",'TINH_LUONG'!AP24)</f>
        <v/>
      </c>
      <c r="P24" s="224">
        <f>IF('TINH_LUONG'!$B24="","",'TINH_LUONG'!AS24)</f>
        <v/>
      </c>
      <c r="Q24" s="224">
        <f>IF('TINH_LUONG'!$B24="","",'TINH_LUONG'!AJ24)</f>
        <v/>
      </c>
      <c r="R24" s="224">
        <f>IF('TINH_LUONG'!$B24="","",'TINH_LUONG'!AQ24)</f>
        <v/>
      </c>
      <c r="S24" s="224">
        <f>IF('TINH_LUONG'!$B24="","",'TINH_LUONG'!AR24)</f>
        <v/>
      </c>
      <c r="T24" s="224">
        <f>IF('TINH_LUONG'!$B24="","",'TINH_LUONG'!AU24+'TINH_LUONG'!AV24+'TINH_LUONG'!AW24+'TINH_LUONG'!BV24)</f>
        <v/>
      </c>
      <c r="U24" s="224">
        <f>IF('TINH_LUONG'!$B24="","",'TINH_LUONG'!AX24)</f>
        <v/>
      </c>
      <c r="V24" s="224">
        <f>IF('TINH_LUONG'!$B24="","",'TINH_LUONG'!BT24)</f>
        <v/>
      </c>
      <c r="W24" s="224">
        <f>IF('TINH_LUONG'!$B24="","",'TINH_LUONG'!BU24)</f>
        <v/>
      </c>
      <c r="X24" s="235">
        <f>IF('TINH_LUONG'!$B24="","",'TINH_LUONG'!BW24)</f>
        <v/>
      </c>
      <c r="Y24" s="224">
        <f>IF('TINH_LUONG'!$B24="","",'TINH_LUONG'!BC24)</f>
        <v/>
      </c>
      <c r="Z24" s="224">
        <f>IF('TINH_LUONG'!$B24="","",'TINH_LUONG'!BD24)</f>
        <v/>
      </c>
      <c r="AA24" s="150">
        <f>IF('TINH_LUONG'!$B24="","",'TINH_LUONG'!BG24)</f>
        <v/>
      </c>
    </row>
    <row r="25">
      <c r="A25" s="145">
        <f>IF('TINH_LUONG'!$B25="","",'TINH_LUONG'!A25)</f>
        <v/>
      </c>
      <c r="B25" s="145">
        <f>IF('TINH_LUONG'!$B25="","",'TINH_LUONG'!B25)</f>
        <v/>
      </c>
      <c r="C25" s="145">
        <f>IF('TINH_LUONG'!$B25="","",'TINH_LUONG'!C25)</f>
        <v/>
      </c>
      <c r="D25" s="145">
        <f>IF('TINH_LUONG'!$B25="","",'TINH_LUONG'!D25)</f>
        <v/>
      </c>
      <c r="E25" s="145">
        <f>IF('TINH_LUONG'!$B25="","",'TINH_LUONG'!F25)</f>
        <v/>
      </c>
      <c r="F25" s="145">
        <f>IF('TINH_LUONG'!$B25="","",'TINH_LUONG'!G25)</f>
        <v/>
      </c>
      <c r="G25" s="224">
        <f>IF('TINH_LUONG'!$B25="","",'TINH_LUONG'!O25+'TINH_LUONG'!BO25)</f>
        <v/>
      </c>
      <c r="H25" s="224">
        <f>IF('TINH_LUONG'!$B25="","",SUM('TINH_LUONG'!P25:R25))</f>
        <v/>
      </c>
      <c r="I25" s="224">
        <f>IF('TINH_LUONG'!$B25="","",'TINH_LUONG'!BP25+'TINH_LUONG'!BQ25)</f>
        <v/>
      </c>
      <c r="J25" s="224">
        <f>IF('TINH_LUONG'!$B25="","",'TINH_LUONG'!Z25)</f>
        <v/>
      </c>
      <c r="K25" s="224">
        <f>IF('TINH_LUONG'!$B25="","",'TINH_LUONG'!S25+'TINH_LUONG'!T25)</f>
        <v/>
      </c>
      <c r="L25" s="224">
        <f>IF('TINH_LUONG'!$B25="","",'TINH_LUONG'!W25+'TINH_LUONG'!X25)</f>
        <v/>
      </c>
      <c r="M25" s="224">
        <f>IF('TINH_LUONG'!$B25="","",'TINH_LUONG'!BR25+'TINH_LUONG'!BS25)</f>
        <v/>
      </c>
      <c r="N25" s="224">
        <f>IF('TINH_LUONG'!$B25="","",'TINH_LUONG'!AO25)</f>
        <v/>
      </c>
      <c r="O25" s="224">
        <f>IF('TINH_LUONG'!$B25="","",'TINH_LUONG'!AP25)</f>
        <v/>
      </c>
      <c r="P25" s="224">
        <f>IF('TINH_LUONG'!$B25="","",'TINH_LUONG'!AS25)</f>
        <v/>
      </c>
      <c r="Q25" s="224">
        <f>IF('TINH_LUONG'!$B25="","",'TINH_LUONG'!AJ25)</f>
        <v/>
      </c>
      <c r="R25" s="224">
        <f>IF('TINH_LUONG'!$B25="","",'TINH_LUONG'!AQ25)</f>
        <v/>
      </c>
      <c r="S25" s="224">
        <f>IF('TINH_LUONG'!$B25="","",'TINH_LUONG'!AR25)</f>
        <v/>
      </c>
      <c r="T25" s="224">
        <f>IF('TINH_LUONG'!$B25="","",'TINH_LUONG'!AU25+'TINH_LUONG'!AV25+'TINH_LUONG'!AW25+'TINH_LUONG'!BV25)</f>
        <v/>
      </c>
      <c r="U25" s="224">
        <f>IF('TINH_LUONG'!$B25="","",'TINH_LUONG'!AX25)</f>
        <v/>
      </c>
      <c r="V25" s="224">
        <f>IF('TINH_LUONG'!$B25="","",'TINH_LUONG'!BT25)</f>
        <v/>
      </c>
      <c r="W25" s="224">
        <f>IF('TINH_LUONG'!$B25="","",'TINH_LUONG'!BU25)</f>
        <v/>
      </c>
      <c r="X25" s="235">
        <f>IF('TINH_LUONG'!$B25="","",'TINH_LUONG'!BW25)</f>
        <v/>
      </c>
      <c r="Y25" s="224">
        <f>IF('TINH_LUONG'!$B25="","",'TINH_LUONG'!BC25)</f>
        <v/>
      </c>
      <c r="Z25" s="224">
        <f>IF('TINH_LUONG'!$B25="","",'TINH_LUONG'!BD25)</f>
        <v/>
      </c>
      <c r="AA25" s="150">
        <f>IF('TINH_LUONG'!$B25="","",'TINH_LUONG'!BG25)</f>
        <v/>
      </c>
    </row>
    <row r="26">
      <c r="A26" s="145">
        <f>IF('TINH_LUONG'!$B26="","",'TINH_LUONG'!A26)</f>
        <v/>
      </c>
      <c r="B26" s="145">
        <f>IF('TINH_LUONG'!$B26="","",'TINH_LUONG'!B26)</f>
        <v/>
      </c>
      <c r="C26" s="145">
        <f>IF('TINH_LUONG'!$B26="","",'TINH_LUONG'!C26)</f>
        <v/>
      </c>
      <c r="D26" s="145">
        <f>IF('TINH_LUONG'!$B26="","",'TINH_LUONG'!D26)</f>
        <v/>
      </c>
      <c r="E26" s="145">
        <f>IF('TINH_LUONG'!$B26="","",'TINH_LUONG'!F26)</f>
        <v/>
      </c>
      <c r="F26" s="145">
        <f>IF('TINH_LUONG'!$B26="","",'TINH_LUONG'!G26)</f>
        <v/>
      </c>
      <c r="G26" s="224">
        <f>IF('TINH_LUONG'!$B26="","",'TINH_LUONG'!O26+'TINH_LUONG'!BO26)</f>
        <v/>
      </c>
      <c r="H26" s="224">
        <f>IF('TINH_LUONG'!$B26="","",SUM('TINH_LUONG'!P26:R26))</f>
        <v/>
      </c>
      <c r="I26" s="224">
        <f>IF('TINH_LUONG'!$B26="","",'TINH_LUONG'!BP26+'TINH_LUONG'!BQ26)</f>
        <v/>
      </c>
      <c r="J26" s="224">
        <f>IF('TINH_LUONG'!$B26="","",'TINH_LUONG'!Z26)</f>
        <v/>
      </c>
      <c r="K26" s="224">
        <f>IF('TINH_LUONG'!$B26="","",'TINH_LUONG'!S26+'TINH_LUONG'!T26)</f>
        <v/>
      </c>
      <c r="L26" s="224">
        <f>IF('TINH_LUONG'!$B26="","",'TINH_LUONG'!W26+'TINH_LUONG'!X26)</f>
        <v/>
      </c>
      <c r="M26" s="224">
        <f>IF('TINH_LUONG'!$B26="","",'TINH_LUONG'!BR26+'TINH_LUONG'!BS26)</f>
        <v/>
      </c>
      <c r="N26" s="224">
        <f>IF('TINH_LUONG'!$B26="","",'TINH_LUONG'!AO26)</f>
        <v/>
      </c>
      <c r="O26" s="224">
        <f>IF('TINH_LUONG'!$B26="","",'TINH_LUONG'!AP26)</f>
        <v/>
      </c>
      <c r="P26" s="224">
        <f>IF('TINH_LUONG'!$B26="","",'TINH_LUONG'!AS26)</f>
        <v/>
      </c>
      <c r="Q26" s="224">
        <f>IF('TINH_LUONG'!$B26="","",'TINH_LUONG'!AJ26)</f>
        <v/>
      </c>
      <c r="R26" s="224">
        <f>IF('TINH_LUONG'!$B26="","",'TINH_LUONG'!AQ26)</f>
        <v/>
      </c>
      <c r="S26" s="224">
        <f>IF('TINH_LUONG'!$B26="","",'TINH_LUONG'!AR26)</f>
        <v/>
      </c>
      <c r="T26" s="224">
        <f>IF('TINH_LUONG'!$B26="","",'TINH_LUONG'!AU26+'TINH_LUONG'!AV26+'TINH_LUONG'!AW26+'TINH_LUONG'!BV26)</f>
        <v/>
      </c>
      <c r="U26" s="224">
        <f>IF('TINH_LUONG'!$B26="","",'TINH_LUONG'!AX26)</f>
        <v/>
      </c>
      <c r="V26" s="224">
        <f>IF('TINH_LUONG'!$B26="","",'TINH_LUONG'!BT26)</f>
        <v/>
      </c>
      <c r="W26" s="224">
        <f>IF('TINH_LUONG'!$B26="","",'TINH_LUONG'!BU26)</f>
        <v/>
      </c>
      <c r="X26" s="235">
        <f>IF('TINH_LUONG'!$B26="","",'TINH_LUONG'!BW26)</f>
        <v/>
      </c>
      <c r="Y26" s="224">
        <f>IF('TINH_LUONG'!$B26="","",'TINH_LUONG'!BC26)</f>
        <v/>
      </c>
      <c r="Z26" s="224">
        <f>IF('TINH_LUONG'!$B26="","",'TINH_LUONG'!BD26)</f>
        <v/>
      </c>
      <c r="AA26" s="150">
        <f>IF('TINH_LUONG'!$B26="","",'TINH_LUONG'!BG26)</f>
        <v/>
      </c>
    </row>
    <row r="27">
      <c r="A27" s="145">
        <f>IF('TINH_LUONG'!$B27="","",'TINH_LUONG'!A27)</f>
        <v/>
      </c>
      <c r="B27" s="145">
        <f>IF('TINH_LUONG'!$B27="","",'TINH_LUONG'!B27)</f>
        <v/>
      </c>
      <c r="C27" s="145">
        <f>IF('TINH_LUONG'!$B27="","",'TINH_LUONG'!C27)</f>
        <v/>
      </c>
      <c r="D27" s="145">
        <f>IF('TINH_LUONG'!$B27="","",'TINH_LUONG'!D27)</f>
        <v/>
      </c>
      <c r="E27" s="145">
        <f>IF('TINH_LUONG'!$B27="","",'TINH_LUONG'!F27)</f>
        <v/>
      </c>
      <c r="F27" s="145">
        <f>IF('TINH_LUONG'!$B27="","",'TINH_LUONG'!G27)</f>
        <v/>
      </c>
      <c r="G27" s="224">
        <f>IF('TINH_LUONG'!$B27="","",'TINH_LUONG'!O27+'TINH_LUONG'!BO27)</f>
        <v/>
      </c>
      <c r="H27" s="224">
        <f>IF('TINH_LUONG'!$B27="","",SUM('TINH_LUONG'!P27:R27))</f>
        <v/>
      </c>
      <c r="I27" s="224">
        <f>IF('TINH_LUONG'!$B27="","",'TINH_LUONG'!BP27+'TINH_LUONG'!BQ27)</f>
        <v/>
      </c>
      <c r="J27" s="224">
        <f>IF('TINH_LUONG'!$B27="","",'TINH_LUONG'!Z27)</f>
        <v/>
      </c>
      <c r="K27" s="224">
        <f>IF('TINH_LUONG'!$B27="","",'TINH_LUONG'!S27+'TINH_LUONG'!T27)</f>
        <v/>
      </c>
      <c r="L27" s="224">
        <f>IF('TINH_LUONG'!$B27="","",'TINH_LUONG'!W27+'TINH_LUONG'!X27)</f>
        <v/>
      </c>
      <c r="M27" s="224">
        <f>IF('TINH_LUONG'!$B27="","",'TINH_LUONG'!BR27+'TINH_LUONG'!BS27)</f>
        <v/>
      </c>
      <c r="N27" s="224">
        <f>IF('TINH_LUONG'!$B27="","",'TINH_LUONG'!AO27)</f>
        <v/>
      </c>
      <c r="O27" s="224">
        <f>IF('TINH_LUONG'!$B27="","",'TINH_LUONG'!AP27)</f>
        <v/>
      </c>
      <c r="P27" s="224">
        <f>IF('TINH_LUONG'!$B27="","",'TINH_LUONG'!AS27)</f>
        <v/>
      </c>
      <c r="Q27" s="224">
        <f>IF('TINH_LUONG'!$B27="","",'TINH_LUONG'!AJ27)</f>
        <v/>
      </c>
      <c r="R27" s="224">
        <f>IF('TINH_LUONG'!$B27="","",'TINH_LUONG'!AQ27)</f>
        <v/>
      </c>
      <c r="S27" s="224">
        <f>IF('TINH_LUONG'!$B27="","",'TINH_LUONG'!AR27)</f>
        <v/>
      </c>
      <c r="T27" s="224">
        <f>IF('TINH_LUONG'!$B27="","",'TINH_LUONG'!AU27+'TINH_LUONG'!AV27+'TINH_LUONG'!AW27+'TINH_LUONG'!BV27)</f>
        <v/>
      </c>
      <c r="U27" s="224">
        <f>IF('TINH_LUONG'!$B27="","",'TINH_LUONG'!AX27)</f>
        <v/>
      </c>
      <c r="V27" s="224">
        <f>IF('TINH_LUONG'!$B27="","",'TINH_LUONG'!BT27)</f>
        <v/>
      </c>
      <c r="W27" s="224">
        <f>IF('TINH_LUONG'!$B27="","",'TINH_LUONG'!BU27)</f>
        <v/>
      </c>
      <c r="X27" s="235">
        <f>IF('TINH_LUONG'!$B27="","",'TINH_LUONG'!BW27)</f>
        <v/>
      </c>
      <c r="Y27" s="224">
        <f>IF('TINH_LUONG'!$B27="","",'TINH_LUONG'!BC27)</f>
        <v/>
      </c>
      <c r="Z27" s="224">
        <f>IF('TINH_LUONG'!$B27="","",'TINH_LUONG'!BD27)</f>
        <v/>
      </c>
      <c r="AA27" s="150">
        <f>IF('TINH_LUONG'!$B27="","",'TINH_LUONG'!BG27)</f>
        <v/>
      </c>
    </row>
    <row r="28">
      <c r="A28" s="145">
        <f>IF('TINH_LUONG'!$B28="","",'TINH_LUONG'!A28)</f>
        <v/>
      </c>
      <c r="B28" s="145">
        <f>IF('TINH_LUONG'!$B28="","",'TINH_LUONG'!B28)</f>
        <v/>
      </c>
      <c r="C28" s="145">
        <f>IF('TINH_LUONG'!$B28="","",'TINH_LUONG'!C28)</f>
        <v/>
      </c>
      <c r="D28" s="145">
        <f>IF('TINH_LUONG'!$B28="","",'TINH_LUONG'!D28)</f>
        <v/>
      </c>
      <c r="E28" s="145">
        <f>IF('TINH_LUONG'!$B28="","",'TINH_LUONG'!F28)</f>
        <v/>
      </c>
      <c r="F28" s="145">
        <f>IF('TINH_LUONG'!$B28="","",'TINH_LUONG'!G28)</f>
        <v/>
      </c>
      <c r="G28" s="224">
        <f>IF('TINH_LUONG'!$B28="","",'TINH_LUONG'!O28+'TINH_LUONG'!BO28)</f>
        <v/>
      </c>
      <c r="H28" s="224">
        <f>IF('TINH_LUONG'!$B28="","",SUM('TINH_LUONG'!P28:R28))</f>
        <v/>
      </c>
      <c r="I28" s="224">
        <f>IF('TINH_LUONG'!$B28="","",'TINH_LUONG'!BP28+'TINH_LUONG'!BQ28)</f>
        <v/>
      </c>
      <c r="J28" s="224">
        <f>IF('TINH_LUONG'!$B28="","",'TINH_LUONG'!Z28)</f>
        <v/>
      </c>
      <c r="K28" s="224">
        <f>IF('TINH_LUONG'!$B28="","",'TINH_LUONG'!S28+'TINH_LUONG'!T28)</f>
        <v/>
      </c>
      <c r="L28" s="224">
        <f>IF('TINH_LUONG'!$B28="","",'TINH_LUONG'!W28+'TINH_LUONG'!X28)</f>
        <v/>
      </c>
      <c r="M28" s="224">
        <f>IF('TINH_LUONG'!$B28="","",'TINH_LUONG'!BR28+'TINH_LUONG'!BS28)</f>
        <v/>
      </c>
      <c r="N28" s="224">
        <f>IF('TINH_LUONG'!$B28="","",'TINH_LUONG'!AO28)</f>
        <v/>
      </c>
      <c r="O28" s="224">
        <f>IF('TINH_LUONG'!$B28="","",'TINH_LUONG'!AP28)</f>
        <v/>
      </c>
      <c r="P28" s="224">
        <f>IF('TINH_LUONG'!$B28="","",'TINH_LUONG'!AS28)</f>
        <v/>
      </c>
      <c r="Q28" s="224">
        <f>IF('TINH_LUONG'!$B28="","",'TINH_LUONG'!AJ28)</f>
        <v/>
      </c>
      <c r="R28" s="224">
        <f>IF('TINH_LUONG'!$B28="","",'TINH_LUONG'!AQ28)</f>
        <v/>
      </c>
      <c r="S28" s="224">
        <f>IF('TINH_LUONG'!$B28="","",'TINH_LUONG'!AR28)</f>
        <v/>
      </c>
      <c r="T28" s="224">
        <f>IF('TINH_LUONG'!$B28="","",'TINH_LUONG'!AU28+'TINH_LUONG'!AV28+'TINH_LUONG'!AW28+'TINH_LUONG'!BV28)</f>
        <v/>
      </c>
      <c r="U28" s="224">
        <f>IF('TINH_LUONG'!$B28="","",'TINH_LUONG'!AX28)</f>
        <v/>
      </c>
      <c r="V28" s="224">
        <f>IF('TINH_LUONG'!$B28="","",'TINH_LUONG'!BT28)</f>
        <v/>
      </c>
      <c r="W28" s="224">
        <f>IF('TINH_LUONG'!$B28="","",'TINH_LUONG'!BU28)</f>
        <v/>
      </c>
      <c r="X28" s="235">
        <f>IF('TINH_LUONG'!$B28="","",'TINH_LUONG'!BW28)</f>
        <v/>
      </c>
      <c r="Y28" s="224">
        <f>IF('TINH_LUONG'!$B28="","",'TINH_LUONG'!BC28)</f>
        <v/>
      </c>
      <c r="Z28" s="224">
        <f>IF('TINH_LUONG'!$B28="","",'TINH_LUONG'!BD28)</f>
        <v/>
      </c>
      <c r="AA28" s="150">
        <f>IF('TINH_LUONG'!$B28="","",'TINH_LUONG'!BG28)</f>
        <v/>
      </c>
    </row>
    <row r="29">
      <c r="A29" s="145">
        <f>IF('TINH_LUONG'!$B29="","",'TINH_LUONG'!A29)</f>
        <v/>
      </c>
      <c r="B29" s="145">
        <f>IF('TINH_LUONG'!$B29="","",'TINH_LUONG'!B29)</f>
        <v/>
      </c>
      <c r="C29" s="145">
        <f>IF('TINH_LUONG'!$B29="","",'TINH_LUONG'!C29)</f>
        <v/>
      </c>
      <c r="D29" s="145">
        <f>IF('TINH_LUONG'!$B29="","",'TINH_LUONG'!D29)</f>
        <v/>
      </c>
      <c r="E29" s="145">
        <f>IF('TINH_LUONG'!$B29="","",'TINH_LUONG'!F29)</f>
        <v/>
      </c>
      <c r="F29" s="145">
        <f>IF('TINH_LUONG'!$B29="","",'TINH_LUONG'!G29)</f>
        <v/>
      </c>
      <c r="G29" s="224">
        <f>IF('TINH_LUONG'!$B29="","",'TINH_LUONG'!O29+'TINH_LUONG'!BO29)</f>
        <v/>
      </c>
      <c r="H29" s="224">
        <f>IF('TINH_LUONG'!$B29="","",SUM('TINH_LUONG'!P29:R29))</f>
        <v/>
      </c>
      <c r="I29" s="224">
        <f>IF('TINH_LUONG'!$B29="","",'TINH_LUONG'!BP29+'TINH_LUONG'!BQ29)</f>
        <v/>
      </c>
      <c r="J29" s="224">
        <f>IF('TINH_LUONG'!$B29="","",'TINH_LUONG'!Z29)</f>
        <v/>
      </c>
      <c r="K29" s="224">
        <f>IF('TINH_LUONG'!$B29="","",'TINH_LUONG'!S29+'TINH_LUONG'!T29)</f>
        <v/>
      </c>
      <c r="L29" s="224">
        <f>IF('TINH_LUONG'!$B29="","",'TINH_LUONG'!W29+'TINH_LUONG'!X29)</f>
        <v/>
      </c>
      <c r="M29" s="224">
        <f>IF('TINH_LUONG'!$B29="","",'TINH_LUONG'!BR29+'TINH_LUONG'!BS29)</f>
        <v/>
      </c>
      <c r="N29" s="224">
        <f>IF('TINH_LUONG'!$B29="","",'TINH_LUONG'!AO29)</f>
        <v/>
      </c>
      <c r="O29" s="224">
        <f>IF('TINH_LUONG'!$B29="","",'TINH_LUONG'!AP29)</f>
        <v/>
      </c>
      <c r="P29" s="224">
        <f>IF('TINH_LUONG'!$B29="","",'TINH_LUONG'!AS29)</f>
        <v/>
      </c>
      <c r="Q29" s="224">
        <f>IF('TINH_LUONG'!$B29="","",'TINH_LUONG'!AJ29)</f>
        <v/>
      </c>
      <c r="R29" s="224">
        <f>IF('TINH_LUONG'!$B29="","",'TINH_LUONG'!AQ29)</f>
        <v/>
      </c>
      <c r="S29" s="224">
        <f>IF('TINH_LUONG'!$B29="","",'TINH_LUONG'!AR29)</f>
        <v/>
      </c>
      <c r="T29" s="224">
        <f>IF('TINH_LUONG'!$B29="","",'TINH_LUONG'!AU29+'TINH_LUONG'!AV29+'TINH_LUONG'!AW29+'TINH_LUONG'!BV29)</f>
        <v/>
      </c>
      <c r="U29" s="224">
        <f>IF('TINH_LUONG'!$B29="","",'TINH_LUONG'!AX29)</f>
        <v/>
      </c>
      <c r="V29" s="224">
        <f>IF('TINH_LUONG'!$B29="","",'TINH_LUONG'!BT29)</f>
        <v/>
      </c>
      <c r="W29" s="224">
        <f>IF('TINH_LUONG'!$B29="","",'TINH_LUONG'!BU29)</f>
        <v/>
      </c>
      <c r="X29" s="235">
        <f>IF('TINH_LUONG'!$B29="","",'TINH_LUONG'!BW29)</f>
        <v/>
      </c>
      <c r="Y29" s="224">
        <f>IF('TINH_LUONG'!$B29="","",'TINH_LUONG'!BC29)</f>
        <v/>
      </c>
      <c r="Z29" s="224">
        <f>IF('TINH_LUONG'!$B29="","",'TINH_LUONG'!BD29)</f>
        <v/>
      </c>
      <c r="AA29" s="150">
        <f>IF('TINH_LUONG'!$B29="","",'TINH_LUONG'!BG29)</f>
        <v/>
      </c>
    </row>
    <row r="30">
      <c r="A30" s="145">
        <f>IF('TINH_LUONG'!$B30="","",'TINH_LUONG'!A30)</f>
        <v/>
      </c>
      <c r="B30" s="145">
        <f>IF('TINH_LUONG'!$B30="","",'TINH_LUONG'!B30)</f>
        <v/>
      </c>
      <c r="C30" s="145">
        <f>IF('TINH_LUONG'!$B30="","",'TINH_LUONG'!C30)</f>
        <v/>
      </c>
      <c r="D30" s="145">
        <f>IF('TINH_LUONG'!$B30="","",'TINH_LUONG'!D30)</f>
        <v/>
      </c>
      <c r="E30" s="145">
        <f>IF('TINH_LUONG'!$B30="","",'TINH_LUONG'!F30)</f>
        <v/>
      </c>
      <c r="F30" s="145">
        <f>IF('TINH_LUONG'!$B30="","",'TINH_LUONG'!G30)</f>
        <v/>
      </c>
      <c r="G30" s="224">
        <f>IF('TINH_LUONG'!$B30="","",'TINH_LUONG'!O30+'TINH_LUONG'!BO30)</f>
        <v/>
      </c>
      <c r="H30" s="224">
        <f>IF('TINH_LUONG'!$B30="","",SUM('TINH_LUONG'!P30:R30))</f>
        <v/>
      </c>
      <c r="I30" s="224">
        <f>IF('TINH_LUONG'!$B30="","",'TINH_LUONG'!BP30+'TINH_LUONG'!BQ30)</f>
        <v/>
      </c>
      <c r="J30" s="224">
        <f>IF('TINH_LUONG'!$B30="","",'TINH_LUONG'!Z30)</f>
        <v/>
      </c>
      <c r="K30" s="224">
        <f>IF('TINH_LUONG'!$B30="","",'TINH_LUONG'!S30+'TINH_LUONG'!T30)</f>
        <v/>
      </c>
      <c r="L30" s="224">
        <f>IF('TINH_LUONG'!$B30="","",'TINH_LUONG'!W30+'TINH_LUONG'!X30)</f>
        <v/>
      </c>
      <c r="M30" s="224">
        <f>IF('TINH_LUONG'!$B30="","",'TINH_LUONG'!BR30+'TINH_LUONG'!BS30)</f>
        <v/>
      </c>
      <c r="N30" s="224">
        <f>IF('TINH_LUONG'!$B30="","",'TINH_LUONG'!AO30)</f>
        <v/>
      </c>
      <c r="O30" s="224">
        <f>IF('TINH_LUONG'!$B30="","",'TINH_LUONG'!AP30)</f>
        <v/>
      </c>
      <c r="P30" s="224">
        <f>IF('TINH_LUONG'!$B30="","",'TINH_LUONG'!AS30)</f>
        <v/>
      </c>
      <c r="Q30" s="224">
        <f>IF('TINH_LUONG'!$B30="","",'TINH_LUONG'!AJ30)</f>
        <v/>
      </c>
      <c r="R30" s="224">
        <f>IF('TINH_LUONG'!$B30="","",'TINH_LUONG'!AQ30)</f>
        <v/>
      </c>
      <c r="S30" s="224">
        <f>IF('TINH_LUONG'!$B30="","",'TINH_LUONG'!AR30)</f>
        <v/>
      </c>
      <c r="T30" s="224">
        <f>IF('TINH_LUONG'!$B30="","",'TINH_LUONG'!AU30+'TINH_LUONG'!AV30+'TINH_LUONG'!AW30+'TINH_LUONG'!BV30)</f>
        <v/>
      </c>
      <c r="U30" s="224">
        <f>IF('TINH_LUONG'!$B30="","",'TINH_LUONG'!AX30)</f>
        <v/>
      </c>
      <c r="V30" s="224">
        <f>IF('TINH_LUONG'!$B30="","",'TINH_LUONG'!BT30)</f>
        <v/>
      </c>
      <c r="W30" s="224">
        <f>IF('TINH_LUONG'!$B30="","",'TINH_LUONG'!BU30)</f>
        <v/>
      </c>
      <c r="X30" s="235">
        <f>IF('TINH_LUONG'!$B30="","",'TINH_LUONG'!BW30)</f>
        <v/>
      </c>
      <c r="Y30" s="224">
        <f>IF('TINH_LUONG'!$B30="","",'TINH_LUONG'!BC30)</f>
        <v/>
      </c>
      <c r="Z30" s="224">
        <f>IF('TINH_LUONG'!$B30="","",'TINH_LUONG'!BD30)</f>
        <v/>
      </c>
      <c r="AA30" s="150">
        <f>IF('TINH_LUONG'!$B30="","",'TINH_LUONG'!BG30)</f>
        <v/>
      </c>
    </row>
    <row r="31">
      <c r="A31" s="145">
        <f>IF('TINH_LUONG'!$B31="","",'TINH_LUONG'!A31)</f>
        <v/>
      </c>
      <c r="B31" s="145">
        <f>IF('TINH_LUONG'!$B31="","",'TINH_LUONG'!B31)</f>
        <v/>
      </c>
      <c r="C31" s="145">
        <f>IF('TINH_LUONG'!$B31="","",'TINH_LUONG'!C31)</f>
        <v/>
      </c>
      <c r="D31" s="145">
        <f>IF('TINH_LUONG'!$B31="","",'TINH_LUONG'!D31)</f>
        <v/>
      </c>
      <c r="E31" s="145">
        <f>IF('TINH_LUONG'!$B31="","",'TINH_LUONG'!F31)</f>
        <v/>
      </c>
      <c r="F31" s="145">
        <f>IF('TINH_LUONG'!$B31="","",'TINH_LUONG'!G31)</f>
        <v/>
      </c>
      <c r="G31" s="224">
        <f>IF('TINH_LUONG'!$B31="","",'TINH_LUONG'!O31+'TINH_LUONG'!BO31)</f>
        <v/>
      </c>
      <c r="H31" s="224">
        <f>IF('TINH_LUONG'!$B31="","",SUM('TINH_LUONG'!P31:R31))</f>
        <v/>
      </c>
      <c r="I31" s="224">
        <f>IF('TINH_LUONG'!$B31="","",'TINH_LUONG'!BP31+'TINH_LUONG'!BQ31)</f>
        <v/>
      </c>
      <c r="J31" s="224">
        <f>IF('TINH_LUONG'!$B31="","",'TINH_LUONG'!Z31)</f>
        <v/>
      </c>
      <c r="K31" s="224">
        <f>IF('TINH_LUONG'!$B31="","",'TINH_LUONG'!S31+'TINH_LUONG'!T31)</f>
        <v/>
      </c>
      <c r="L31" s="224">
        <f>IF('TINH_LUONG'!$B31="","",'TINH_LUONG'!W31+'TINH_LUONG'!X31)</f>
        <v/>
      </c>
      <c r="M31" s="224">
        <f>IF('TINH_LUONG'!$B31="","",'TINH_LUONG'!BR31+'TINH_LUONG'!BS31)</f>
        <v/>
      </c>
      <c r="N31" s="224">
        <f>IF('TINH_LUONG'!$B31="","",'TINH_LUONG'!AO31)</f>
        <v/>
      </c>
      <c r="O31" s="224">
        <f>IF('TINH_LUONG'!$B31="","",'TINH_LUONG'!AP31)</f>
        <v/>
      </c>
      <c r="P31" s="224">
        <f>IF('TINH_LUONG'!$B31="","",'TINH_LUONG'!AS31)</f>
        <v/>
      </c>
      <c r="Q31" s="224">
        <f>IF('TINH_LUONG'!$B31="","",'TINH_LUONG'!AJ31)</f>
        <v/>
      </c>
      <c r="R31" s="224">
        <f>IF('TINH_LUONG'!$B31="","",'TINH_LUONG'!AQ31)</f>
        <v/>
      </c>
      <c r="S31" s="224">
        <f>IF('TINH_LUONG'!$B31="","",'TINH_LUONG'!AR31)</f>
        <v/>
      </c>
      <c r="T31" s="224">
        <f>IF('TINH_LUONG'!$B31="","",'TINH_LUONG'!AU31+'TINH_LUONG'!AV31+'TINH_LUONG'!AW31+'TINH_LUONG'!BV31)</f>
        <v/>
      </c>
      <c r="U31" s="224">
        <f>IF('TINH_LUONG'!$B31="","",'TINH_LUONG'!AX31)</f>
        <v/>
      </c>
      <c r="V31" s="224">
        <f>IF('TINH_LUONG'!$B31="","",'TINH_LUONG'!BT31)</f>
        <v/>
      </c>
      <c r="W31" s="224">
        <f>IF('TINH_LUONG'!$B31="","",'TINH_LUONG'!BU31)</f>
        <v/>
      </c>
      <c r="X31" s="235">
        <f>IF('TINH_LUONG'!$B31="","",'TINH_LUONG'!BW31)</f>
        <v/>
      </c>
      <c r="Y31" s="224">
        <f>IF('TINH_LUONG'!$B31="","",'TINH_LUONG'!BC31)</f>
        <v/>
      </c>
      <c r="Z31" s="224">
        <f>IF('TINH_LUONG'!$B31="","",'TINH_LUONG'!BD31)</f>
        <v/>
      </c>
      <c r="AA31" s="150">
        <f>IF('TINH_LUONG'!$B31="","",'TINH_LUONG'!BG31)</f>
        <v/>
      </c>
    </row>
    <row r="32">
      <c r="A32" s="145">
        <f>IF('TINH_LUONG'!$B32="","",'TINH_LUONG'!A32)</f>
        <v/>
      </c>
      <c r="B32" s="145">
        <f>IF('TINH_LUONG'!$B32="","",'TINH_LUONG'!B32)</f>
        <v/>
      </c>
      <c r="C32" s="145">
        <f>IF('TINH_LUONG'!$B32="","",'TINH_LUONG'!C32)</f>
        <v/>
      </c>
      <c r="D32" s="145">
        <f>IF('TINH_LUONG'!$B32="","",'TINH_LUONG'!D32)</f>
        <v/>
      </c>
      <c r="E32" s="145">
        <f>IF('TINH_LUONG'!$B32="","",'TINH_LUONG'!F32)</f>
        <v/>
      </c>
      <c r="F32" s="145">
        <f>IF('TINH_LUONG'!$B32="","",'TINH_LUONG'!G32)</f>
        <v/>
      </c>
      <c r="G32" s="224">
        <f>IF('TINH_LUONG'!$B32="","",'TINH_LUONG'!O32+'TINH_LUONG'!BO32)</f>
        <v/>
      </c>
      <c r="H32" s="224">
        <f>IF('TINH_LUONG'!$B32="","",SUM('TINH_LUONG'!P32:R32))</f>
        <v/>
      </c>
      <c r="I32" s="224">
        <f>IF('TINH_LUONG'!$B32="","",'TINH_LUONG'!BP32+'TINH_LUONG'!BQ32)</f>
        <v/>
      </c>
      <c r="J32" s="224">
        <f>IF('TINH_LUONG'!$B32="","",'TINH_LUONG'!Z32)</f>
        <v/>
      </c>
      <c r="K32" s="224">
        <f>IF('TINH_LUONG'!$B32="","",'TINH_LUONG'!S32+'TINH_LUONG'!T32)</f>
        <v/>
      </c>
      <c r="L32" s="224">
        <f>IF('TINH_LUONG'!$B32="","",'TINH_LUONG'!W32+'TINH_LUONG'!X32)</f>
        <v/>
      </c>
      <c r="M32" s="224">
        <f>IF('TINH_LUONG'!$B32="","",'TINH_LUONG'!BR32+'TINH_LUONG'!BS32)</f>
        <v/>
      </c>
      <c r="N32" s="224">
        <f>IF('TINH_LUONG'!$B32="","",'TINH_LUONG'!AO32)</f>
        <v/>
      </c>
      <c r="O32" s="224">
        <f>IF('TINH_LUONG'!$B32="","",'TINH_LUONG'!AP32)</f>
        <v/>
      </c>
      <c r="P32" s="224">
        <f>IF('TINH_LUONG'!$B32="","",'TINH_LUONG'!AS32)</f>
        <v/>
      </c>
      <c r="Q32" s="224">
        <f>IF('TINH_LUONG'!$B32="","",'TINH_LUONG'!AJ32)</f>
        <v/>
      </c>
      <c r="R32" s="224">
        <f>IF('TINH_LUONG'!$B32="","",'TINH_LUONG'!AQ32)</f>
        <v/>
      </c>
      <c r="S32" s="224">
        <f>IF('TINH_LUONG'!$B32="","",'TINH_LUONG'!AR32)</f>
        <v/>
      </c>
      <c r="T32" s="224">
        <f>IF('TINH_LUONG'!$B32="","",'TINH_LUONG'!AU32+'TINH_LUONG'!AV32+'TINH_LUONG'!AW32+'TINH_LUONG'!BV32)</f>
        <v/>
      </c>
      <c r="U32" s="224">
        <f>IF('TINH_LUONG'!$B32="","",'TINH_LUONG'!AX32)</f>
        <v/>
      </c>
      <c r="V32" s="224">
        <f>IF('TINH_LUONG'!$B32="","",'TINH_LUONG'!BT32)</f>
        <v/>
      </c>
      <c r="W32" s="224">
        <f>IF('TINH_LUONG'!$B32="","",'TINH_LUONG'!BU32)</f>
        <v/>
      </c>
      <c r="X32" s="235">
        <f>IF('TINH_LUONG'!$B32="","",'TINH_LUONG'!BW32)</f>
        <v/>
      </c>
      <c r="Y32" s="224">
        <f>IF('TINH_LUONG'!$B32="","",'TINH_LUONG'!BC32)</f>
        <v/>
      </c>
      <c r="Z32" s="224">
        <f>IF('TINH_LUONG'!$B32="","",'TINH_LUONG'!BD32)</f>
        <v/>
      </c>
      <c r="AA32" s="150">
        <f>IF('TINH_LUONG'!$B32="","",'TINH_LUONG'!BG32)</f>
        <v/>
      </c>
    </row>
    <row r="33">
      <c r="A33" s="145">
        <f>IF('TINH_LUONG'!$B33="","",'TINH_LUONG'!A33)</f>
        <v/>
      </c>
      <c r="B33" s="145">
        <f>IF('TINH_LUONG'!$B33="","",'TINH_LUONG'!B33)</f>
        <v/>
      </c>
      <c r="C33" s="145">
        <f>IF('TINH_LUONG'!$B33="","",'TINH_LUONG'!C33)</f>
        <v/>
      </c>
      <c r="D33" s="145">
        <f>IF('TINH_LUONG'!$B33="","",'TINH_LUONG'!D33)</f>
        <v/>
      </c>
      <c r="E33" s="145">
        <f>IF('TINH_LUONG'!$B33="","",'TINH_LUONG'!F33)</f>
        <v/>
      </c>
      <c r="F33" s="145">
        <f>IF('TINH_LUONG'!$B33="","",'TINH_LUONG'!G33)</f>
        <v/>
      </c>
      <c r="G33" s="224">
        <f>IF('TINH_LUONG'!$B33="","",'TINH_LUONG'!O33+'TINH_LUONG'!BO33)</f>
        <v/>
      </c>
      <c r="H33" s="224">
        <f>IF('TINH_LUONG'!$B33="","",SUM('TINH_LUONG'!P33:R33))</f>
        <v/>
      </c>
      <c r="I33" s="224">
        <f>IF('TINH_LUONG'!$B33="","",'TINH_LUONG'!BP33+'TINH_LUONG'!BQ33)</f>
        <v/>
      </c>
      <c r="J33" s="224">
        <f>IF('TINH_LUONG'!$B33="","",'TINH_LUONG'!Z33)</f>
        <v/>
      </c>
      <c r="K33" s="224">
        <f>IF('TINH_LUONG'!$B33="","",'TINH_LUONG'!S33+'TINH_LUONG'!T33)</f>
        <v/>
      </c>
      <c r="L33" s="224">
        <f>IF('TINH_LUONG'!$B33="","",'TINH_LUONG'!W33+'TINH_LUONG'!X33)</f>
        <v/>
      </c>
      <c r="M33" s="224">
        <f>IF('TINH_LUONG'!$B33="","",'TINH_LUONG'!BR33+'TINH_LUONG'!BS33)</f>
        <v/>
      </c>
      <c r="N33" s="224">
        <f>IF('TINH_LUONG'!$B33="","",'TINH_LUONG'!AO33)</f>
        <v/>
      </c>
      <c r="O33" s="224">
        <f>IF('TINH_LUONG'!$B33="","",'TINH_LUONG'!AP33)</f>
        <v/>
      </c>
      <c r="P33" s="224">
        <f>IF('TINH_LUONG'!$B33="","",'TINH_LUONG'!AS33)</f>
        <v/>
      </c>
      <c r="Q33" s="224">
        <f>IF('TINH_LUONG'!$B33="","",'TINH_LUONG'!AJ33)</f>
        <v/>
      </c>
      <c r="R33" s="224">
        <f>IF('TINH_LUONG'!$B33="","",'TINH_LUONG'!AQ33)</f>
        <v/>
      </c>
      <c r="S33" s="224">
        <f>IF('TINH_LUONG'!$B33="","",'TINH_LUONG'!AR33)</f>
        <v/>
      </c>
      <c r="T33" s="224">
        <f>IF('TINH_LUONG'!$B33="","",'TINH_LUONG'!AU33+'TINH_LUONG'!AV33+'TINH_LUONG'!AW33+'TINH_LUONG'!BV33)</f>
        <v/>
      </c>
      <c r="U33" s="224">
        <f>IF('TINH_LUONG'!$B33="","",'TINH_LUONG'!AX33)</f>
        <v/>
      </c>
      <c r="V33" s="224">
        <f>IF('TINH_LUONG'!$B33="","",'TINH_LUONG'!BT33)</f>
        <v/>
      </c>
      <c r="W33" s="224">
        <f>IF('TINH_LUONG'!$B33="","",'TINH_LUONG'!BU33)</f>
        <v/>
      </c>
      <c r="X33" s="235">
        <f>IF('TINH_LUONG'!$B33="","",'TINH_LUONG'!BW33)</f>
        <v/>
      </c>
      <c r="Y33" s="224">
        <f>IF('TINH_LUONG'!$B33="","",'TINH_LUONG'!BC33)</f>
        <v/>
      </c>
      <c r="Z33" s="224">
        <f>IF('TINH_LUONG'!$B33="","",'TINH_LUONG'!BD33)</f>
        <v/>
      </c>
      <c r="AA33" s="150">
        <f>IF('TINH_LUONG'!$B33="","",'TINH_LUONG'!BG33)</f>
        <v/>
      </c>
    </row>
    <row r="34">
      <c r="A34" s="145">
        <f>IF('TINH_LUONG'!$B34="","",'TINH_LUONG'!A34)</f>
        <v/>
      </c>
      <c r="B34" s="145">
        <f>IF('TINH_LUONG'!$B34="","",'TINH_LUONG'!B34)</f>
        <v/>
      </c>
      <c r="C34" s="145">
        <f>IF('TINH_LUONG'!$B34="","",'TINH_LUONG'!C34)</f>
        <v/>
      </c>
      <c r="D34" s="145">
        <f>IF('TINH_LUONG'!$B34="","",'TINH_LUONG'!D34)</f>
        <v/>
      </c>
      <c r="E34" s="145">
        <f>IF('TINH_LUONG'!$B34="","",'TINH_LUONG'!F34)</f>
        <v/>
      </c>
      <c r="F34" s="145">
        <f>IF('TINH_LUONG'!$B34="","",'TINH_LUONG'!G34)</f>
        <v/>
      </c>
      <c r="G34" s="224">
        <f>IF('TINH_LUONG'!$B34="","",'TINH_LUONG'!O34+'TINH_LUONG'!BO34)</f>
        <v/>
      </c>
      <c r="H34" s="224">
        <f>IF('TINH_LUONG'!$B34="","",SUM('TINH_LUONG'!P34:R34))</f>
        <v/>
      </c>
      <c r="I34" s="224">
        <f>IF('TINH_LUONG'!$B34="","",'TINH_LUONG'!BP34+'TINH_LUONG'!BQ34)</f>
        <v/>
      </c>
      <c r="J34" s="224">
        <f>IF('TINH_LUONG'!$B34="","",'TINH_LUONG'!Z34)</f>
        <v/>
      </c>
      <c r="K34" s="224">
        <f>IF('TINH_LUONG'!$B34="","",'TINH_LUONG'!S34+'TINH_LUONG'!T34)</f>
        <v/>
      </c>
      <c r="L34" s="224">
        <f>IF('TINH_LUONG'!$B34="","",'TINH_LUONG'!W34+'TINH_LUONG'!X34)</f>
        <v/>
      </c>
      <c r="M34" s="224">
        <f>IF('TINH_LUONG'!$B34="","",'TINH_LUONG'!BR34+'TINH_LUONG'!BS34)</f>
        <v/>
      </c>
      <c r="N34" s="224">
        <f>IF('TINH_LUONG'!$B34="","",'TINH_LUONG'!AO34)</f>
        <v/>
      </c>
      <c r="O34" s="224">
        <f>IF('TINH_LUONG'!$B34="","",'TINH_LUONG'!AP34)</f>
        <v/>
      </c>
      <c r="P34" s="224">
        <f>IF('TINH_LUONG'!$B34="","",'TINH_LUONG'!AS34)</f>
        <v/>
      </c>
      <c r="Q34" s="224">
        <f>IF('TINH_LUONG'!$B34="","",'TINH_LUONG'!AJ34)</f>
        <v/>
      </c>
      <c r="R34" s="224">
        <f>IF('TINH_LUONG'!$B34="","",'TINH_LUONG'!AQ34)</f>
        <v/>
      </c>
      <c r="S34" s="224">
        <f>IF('TINH_LUONG'!$B34="","",'TINH_LUONG'!AR34)</f>
        <v/>
      </c>
      <c r="T34" s="224">
        <f>IF('TINH_LUONG'!$B34="","",'TINH_LUONG'!AU34+'TINH_LUONG'!AV34+'TINH_LUONG'!AW34+'TINH_LUONG'!BV34)</f>
        <v/>
      </c>
      <c r="U34" s="224">
        <f>IF('TINH_LUONG'!$B34="","",'TINH_LUONG'!AX34)</f>
        <v/>
      </c>
      <c r="V34" s="224">
        <f>IF('TINH_LUONG'!$B34="","",'TINH_LUONG'!BT34)</f>
        <v/>
      </c>
      <c r="W34" s="224">
        <f>IF('TINH_LUONG'!$B34="","",'TINH_LUONG'!BU34)</f>
        <v/>
      </c>
      <c r="X34" s="235">
        <f>IF('TINH_LUONG'!$B34="","",'TINH_LUONG'!BW34)</f>
        <v/>
      </c>
      <c r="Y34" s="224">
        <f>IF('TINH_LUONG'!$B34="","",'TINH_LUONG'!BC34)</f>
        <v/>
      </c>
      <c r="Z34" s="224">
        <f>IF('TINH_LUONG'!$B34="","",'TINH_LUONG'!BD34)</f>
        <v/>
      </c>
      <c r="AA34" s="150">
        <f>IF('TINH_LUONG'!$B34="","",'TINH_LUONG'!BG34)</f>
        <v/>
      </c>
    </row>
    <row r="35">
      <c r="A35" s="145">
        <f>IF('TINH_LUONG'!$B35="","",'TINH_LUONG'!A35)</f>
        <v/>
      </c>
      <c r="B35" s="145">
        <f>IF('TINH_LUONG'!$B35="","",'TINH_LUONG'!B35)</f>
        <v/>
      </c>
      <c r="C35" s="145">
        <f>IF('TINH_LUONG'!$B35="","",'TINH_LUONG'!C35)</f>
        <v/>
      </c>
      <c r="D35" s="145">
        <f>IF('TINH_LUONG'!$B35="","",'TINH_LUONG'!D35)</f>
        <v/>
      </c>
      <c r="E35" s="145">
        <f>IF('TINH_LUONG'!$B35="","",'TINH_LUONG'!F35)</f>
        <v/>
      </c>
      <c r="F35" s="145">
        <f>IF('TINH_LUONG'!$B35="","",'TINH_LUONG'!G35)</f>
        <v/>
      </c>
      <c r="G35" s="224">
        <f>IF('TINH_LUONG'!$B35="","",'TINH_LUONG'!O35+'TINH_LUONG'!BO35)</f>
        <v/>
      </c>
      <c r="H35" s="224">
        <f>IF('TINH_LUONG'!$B35="","",SUM('TINH_LUONG'!P35:R35))</f>
        <v/>
      </c>
      <c r="I35" s="224">
        <f>IF('TINH_LUONG'!$B35="","",'TINH_LUONG'!BP35+'TINH_LUONG'!BQ35)</f>
        <v/>
      </c>
      <c r="J35" s="224">
        <f>IF('TINH_LUONG'!$B35="","",'TINH_LUONG'!Z35)</f>
        <v/>
      </c>
      <c r="K35" s="224">
        <f>IF('TINH_LUONG'!$B35="","",'TINH_LUONG'!S35+'TINH_LUONG'!T35)</f>
        <v/>
      </c>
      <c r="L35" s="224">
        <f>IF('TINH_LUONG'!$B35="","",'TINH_LUONG'!W35+'TINH_LUONG'!X35)</f>
        <v/>
      </c>
      <c r="M35" s="224">
        <f>IF('TINH_LUONG'!$B35="","",'TINH_LUONG'!BR35+'TINH_LUONG'!BS35)</f>
        <v/>
      </c>
      <c r="N35" s="224">
        <f>IF('TINH_LUONG'!$B35="","",'TINH_LUONG'!AO35)</f>
        <v/>
      </c>
      <c r="O35" s="224">
        <f>IF('TINH_LUONG'!$B35="","",'TINH_LUONG'!AP35)</f>
        <v/>
      </c>
      <c r="P35" s="224">
        <f>IF('TINH_LUONG'!$B35="","",'TINH_LUONG'!AS35)</f>
        <v/>
      </c>
      <c r="Q35" s="224">
        <f>IF('TINH_LUONG'!$B35="","",'TINH_LUONG'!AJ35)</f>
        <v/>
      </c>
      <c r="R35" s="224">
        <f>IF('TINH_LUONG'!$B35="","",'TINH_LUONG'!AQ35)</f>
        <v/>
      </c>
      <c r="S35" s="224">
        <f>IF('TINH_LUONG'!$B35="","",'TINH_LUONG'!AR35)</f>
        <v/>
      </c>
      <c r="T35" s="224">
        <f>IF('TINH_LUONG'!$B35="","",'TINH_LUONG'!AU35+'TINH_LUONG'!AV35+'TINH_LUONG'!AW35+'TINH_LUONG'!BV35)</f>
        <v/>
      </c>
      <c r="U35" s="224">
        <f>IF('TINH_LUONG'!$B35="","",'TINH_LUONG'!AX35)</f>
        <v/>
      </c>
      <c r="V35" s="224">
        <f>IF('TINH_LUONG'!$B35="","",'TINH_LUONG'!BT35)</f>
        <v/>
      </c>
      <c r="W35" s="224">
        <f>IF('TINH_LUONG'!$B35="","",'TINH_LUONG'!BU35)</f>
        <v/>
      </c>
      <c r="X35" s="235">
        <f>IF('TINH_LUONG'!$B35="","",'TINH_LUONG'!BW35)</f>
        <v/>
      </c>
      <c r="Y35" s="224">
        <f>IF('TINH_LUONG'!$B35="","",'TINH_LUONG'!BC35)</f>
        <v/>
      </c>
      <c r="Z35" s="224">
        <f>IF('TINH_LUONG'!$B35="","",'TINH_LUONG'!BD35)</f>
        <v/>
      </c>
      <c r="AA35" s="150">
        <f>IF('TINH_LUONG'!$B35="","",'TINH_LUONG'!BG35)</f>
        <v/>
      </c>
    </row>
    <row r="36">
      <c r="A36" s="145">
        <f>IF('TINH_LUONG'!$B36="","",'TINH_LUONG'!A36)</f>
        <v/>
      </c>
      <c r="B36" s="145">
        <f>IF('TINH_LUONG'!$B36="","",'TINH_LUONG'!B36)</f>
        <v/>
      </c>
      <c r="C36" s="145">
        <f>IF('TINH_LUONG'!$B36="","",'TINH_LUONG'!C36)</f>
        <v/>
      </c>
      <c r="D36" s="145">
        <f>IF('TINH_LUONG'!$B36="","",'TINH_LUONG'!D36)</f>
        <v/>
      </c>
      <c r="E36" s="145">
        <f>IF('TINH_LUONG'!$B36="","",'TINH_LUONG'!F36)</f>
        <v/>
      </c>
      <c r="F36" s="145">
        <f>IF('TINH_LUONG'!$B36="","",'TINH_LUONG'!G36)</f>
        <v/>
      </c>
      <c r="G36" s="224">
        <f>IF('TINH_LUONG'!$B36="","",'TINH_LUONG'!O36+'TINH_LUONG'!BO36)</f>
        <v/>
      </c>
      <c r="H36" s="224">
        <f>IF('TINH_LUONG'!$B36="","",SUM('TINH_LUONG'!P36:R36))</f>
        <v/>
      </c>
      <c r="I36" s="224">
        <f>IF('TINH_LUONG'!$B36="","",'TINH_LUONG'!BP36+'TINH_LUONG'!BQ36)</f>
        <v/>
      </c>
      <c r="J36" s="224">
        <f>IF('TINH_LUONG'!$B36="","",'TINH_LUONG'!Z36)</f>
        <v/>
      </c>
      <c r="K36" s="224">
        <f>IF('TINH_LUONG'!$B36="","",'TINH_LUONG'!S36+'TINH_LUONG'!T36)</f>
        <v/>
      </c>
      <c r="L36" s="224">
        <f>IF('TINH_LUONG'!$B36="","",'TINH_LUONG'!W36+'TINH_LUONG'!X36)</f>
        <v/>
      </c>
      <c r="M36" s="224">
        <f>IF('TINH_LUONG'!$B36="","",'TINH_LUONG'!BR36+'TINH_LUONG'!BS36)</f>
        <v/>
      </c>
      <c r="N36" s="224">
        <f>IF('TINH_LUONG'!$B36="","",'TINH_LUONG'!AO36)</f>
        <v/>
      </c>
      <c r="O36" s="224">
        <f>IF('TINH_LUONG'!$B36="","",'TINH_LUONG'!AP36)</f>
        <v/>
      </c>
      <c r="P36" s="224">
        <f>IF('TINH_LUONG'!$B36="","",'TINH_LUONG'!AS36)</f>
        <v/>
      </c>
      <c r="Q36" s="224">
        <f>IF('TINH_LUONG'!$B36="","",'TINH_LUONG'!AJ36)</f>
        <v/>
      </c>
      <c r="R36" s="224">
        <f>IF('TINH_LUONG'!$B36="","",'TINH_LUONG'!AQ36)</f>
        <v/>
      </c>
      <c r="S36" s="224">
        <f>IF('TINH_LUONG'!$B36="","",'TINH_LUONG'!AR36)</f>
        <v/>
      </c>
      <c r="T36" s="224">
        <f>IF('TINH_LUONG'!$B36="","",'TINH_LUONG'!AU36+'TINH_LUONG'!AV36+'TINH_LUONG'!AW36+'TINH_LUONG'!BV36)</f>
        <v/>
      </c>
      <c r="U36" s="224">
        <f>IF('TINH_LUONG'!$B36="","",'TINH_LUONG'!AX36)</f>
        <v/>
      </c>
      <c r="V36" s="224">
        <f>IF('TINH_LUONG'!$B36="","",'TINH_LUONG'!BT36)</f>
        <v/>
      </c>
      <c r="W36" s="224">
        <f>IF('TINH_LUONG'!$B36="","",'TINH_LUONG'!BU36)</f>
        <v/>
      </c>
      <c r="X36" s="235">
        <f>IF('TINH_LUONG'!$B36="","",'TINH_LUONG'!BW36)</f>
        <v/>
      </c>
      <c r="Y36" s="224">
        <f>IF('TINH_LUONG'!$B36="","",'TINH_LUONG'!BC36)</f>
        <v/>
      </c>
      <c r="Z36" s="224">
        <f>IF('TINH_LUONG'!$B36="","",'TINH_LUONG'!BD36)</f>
        <v/>
      </c>
      <c r="AA36" s="150">
        <f>IF('TINH_LUONG'!$B36="","",'TINH_LUONG'!BG36)</f>
        <v/>
      </c>
    </row>
    <row r="37">
      <c r="A37" s="145">
        <f>IF('TINH_LUONG'!$B37="","",'TINH_LUONG'!A37)</f>
        <v/>
      </c>
      <c r="B37" s="145">
        <f>IF('TINH_LUONG'!$B37="","",'TINH_LUONG'!B37)</f>
        <v/>
      </c>
      <c r="C37" s="145">
        <f>IF('TINH_LUONG'!$B37="","",'TINH_LUONG'!C37)</f>
        <v/>
      </c>
      <c r="D37" s="145">
        <f>IF('TINH_LUONG'!$B37="","",'TINH_LUONG'!D37)</f>
        <v/>
      </c>
      <c r="E37" s="145">
        <f>IF('TINH_LUONG'!$B37="","",'TINH_LUONG'!F37)</f>
        <v/>
      </c>
      <c r="F37" s="145">
        <f>IF('TINH_LUONG'!$B37="","",'TINH_LUONG'!G37)</f>
        <v/>
      </c>
      <c r="G37" s="224">
        <f>IF('TINH_LUONG'!$B37="","",'TINH_LUONG'!O37+'TINH_LUONG'!BO37)</f>
        <v/>
      </c>
      <c r="H37" s="224">
        <f>IF('TINH_LUONG'!$B37="","",SUM('TINH_LUONG'!P37:R37))</f>
        <v/>
      </c>
      <c r="I37" s="224">
        <f>IF('TINH_LUONG'!$B37="","",'TINH_LUONG'!BP37+'TINH_LUONG'!BQ37)</f>
        <v/>
      </c>
      <c r="J37" s="224">
        <f>IF('TINH_LUONG'!$B37="","",'TINH_LUONG'!Z37)</f>
        <v/>
      </c>
      <c r="K37" s="224">
        <f>IF('TINH_LUONG'!$B37="","",'TINH_LUONG'!S37+'TINH_LUONG'!T37)</f>
        <v/>
      </c>
      <c r="L37" s="224">
        <f>IF('TINH_LUONG'!$B37="","",'TINH_LUONG'!W37+'TINH_LUONG'!X37)</f>
        <v/>
      </c>
      <c r="M37" s="224">
        <f>IF('TINH_LUONG'!$B37="","",'TINH_LUONG'!BR37+'TINH_LUONG'!BS37)</f>
        <v/>
      </c>
      <c r="N37" s="224">
        <f>IF('TINH_LUONG'!$B37="","",'TINH_LUONG'!AO37)</f>
        <v/>
      </c>
      <c r="O37" s="224">
        <f>IF('TINH_LUONG'!$B37="","",'TINH_LUONG'!AP37)</f>
        <v/>
      </c>
      <c r="P37" s="224">
        <f>IF('TINH_LUONG'!$B37="","",'TINH_LUONG'!AS37)</f>
        <v/>
      </c>
      <c r="Q37" s="224">
        <f>IF('TINH_LUONG'!$B37="","",'TINH_LUONG'!AJ37)</f>
        <v/>
      </c>
      <c r="R37" s="224">
        <f>IF('TINH_LUONG'!$B37="","",'TINH_LUONG'!AQ37)</f>
        <v/>
      </c>
      <c r="S37" s="224">
        <f>IF('TINH_LUONG'!$B37="","",'TINH_LUONG'!AR37)</f>
        <v/>
      </c>
      <c r="T37" s="224">
        <f>IF('TINH_LUONG'!$B37="","",'TINH_LUONG'!AU37+'TINH_LUONG'!AV37+'TINH_LUONG'!AW37+'TINH_LUONG'!BV37)</f>
        <v/>
      </c>
      <c r="U37" s="224">
        <f>IF('TINH_LUONG'!$B37="","",'TINH_LUONG'!AX37)</f>
        <v/>
      </c>
      <c r="V37" s="224">
        <f>IF('TINH_LUONG'!$B37="","",'TINH_LUONG'!BT37)</f>
        <v/>
      </c>
      <c r="W37" s="224">
        <f>IF('TINH_LUONG'!$B37="","",'TINH_LUONG'!BU37)</f>
        <v/>
      </c>
      <c r="X37" s="235">
        <f>IF('TINH_LUONG'!$B37="","",'TINH_LUONG'!BW37)</f>
        <v/>
      </c>
      <c r="Y37" s="224">
        <f>IF('TINH_LUONG'!$B37="","",'TINH_LUONG'!BC37)</f>
        <v/>
      </c>
      <c r="Z37" s="224">
        <f>IF('TINH_LUONG'!$B37="","",'TINH_LUONG'!BD37)</f>
        <v/>
      </c>
      <c r="AA37" s="150">
        <f>IF('TINH_LUONG'!$B37="","",'TINH_LUONG'!BG37)</f>
        <v/>
      </c>
    </row>
    <row r="38">
      <c r="A38" s="145">
        <f>IF('TINH_LUONG'!$B38="","",'TINH_LUONG'!A38)</f>
        <v/>
      </c>
      <c r="B38" s="145">
        <f>IF('TINH_LUONG'!$B38="","",'TINH_LUONG'!B38)</f>
        <v/>
      </c>
      <c r="C38" s="145">
        <f>IF('TINH_LUONG'!$B38="","",'TINH_LUONG'!C38)</f>
        <v/>
      </c>
      <c r="D38" s="145">
        <f>IF('TINH_LUONG'!$B38="","",'TINH_LUONG'!D38)</f>
        <v/>
      </c>
      <c r="E38" s="145">
        <f>IF('TINH_LUONG'!$B38="","",'TINH_LUONG'!F38)</f>
        <v/>
      </c>
      <c r="F38" s="145">
        <f>IF('TINH_LUONG'!$B38="","",'TINH_LUONG'!G38)</f>
        <v/>
      </c>
      <c r="G38" s="224">
        <f>IF('TINH_LUONG'!$B38="","",'TINH_LUONG'!O38+'TINH_LUONG'!BO38)</f>
        <v/>
      </c>
      <c r="H38" s="224">
        <f>IF('TINH_LUONG'!$B38="","",SUM('TINH_LUONG'!P38:R38))</f>
        <v/>
      </c>
      <c r="I38" s="224">
        <f>IF('TINH_LUONG'!$B38="","",'TINH_LUONG'!BP38+'TINH_LUONG'!BQ38)</f>
        <v/>
      </c>
      <c r="J38" s="224">
        <f>IF('TINH_LUONG'!$B38="","",'TINH_LUONG'!Z38)</f>
        <v/>
      </c>
      <c r="K38" s="224">
        <f>IF('TINH_LUONG'!$B38="","",'TINH_LUONG'!S38+'TINH_LUONG'!T38)</f>
        <v/>
      </c>
      <c r="L38" s="224">
        <f>IF('TINH_LUONG'!$B38="","",'TINH_LUONG'!W38+'TINH_LUONG'!X38)</f>
        <v/>
      </c>
      <c r="M38" s="224">
        <f>IF('TINH_LUONG'!$B38="","",'TINH_LUONG'!BR38+'TINH_LUONG'!BS38)</f>
        <v/>
      </c>
      <c r="N38" s="224">
        <f>IF('TINH_LUONG'!$B38="","",'TINH_LUONG'!AO38)</f>
        <v/>
      </c>
      <c r="O38" s="224">
        <f>IF('TINH_LUONG'!$B38="","",'TINH_LUONG'!AP38)</f>
        <v/>
      </c>
      <c r="P38" s="224">
        <f>IF('TINH_LUONG'!$B38="","",'TINH_LUONG'!AS38)</f>
        <v/>
      </c>
      <c r="Q38" s="224">
        <f>IF('TINH_LUONG'!$B38="","",'TINH_LUONG'!AJ38)</f>
        <v/>
      </c>
      <c r="R38" s="224">
        <f>IF('TINH_LUONG'!$B38="","",'TINH_LUONG'!AQ38)</f>
        <v/>
      </c>
      <c r="S38" s="224">
        <f>IF('TINH_LUONG'!$B38="","",'TINH_LUONG'!AR38)</f>
        <v/>
      </c>
      <c r="T38" s="224">
        <f>IF('TINH_LUONG'!$B38="","",'TINH_LUONG'!AU38+'TINH_LUONG'!AV38+'TINH_LUONG'!AW38+'TINH_LUONG'!BV38)</f>
        <v/>
      </c>
      <c r="U38" s="224">
        <f>IF('TINH_LUONG'!$B38="","",'TINH_LUONG'!AX38)</f>
        <v/>
      </c>
      <c r="V38" s="224">
        <f>IF('TINH_LUONG'!$B38="","",'TINH_LUONG'!BT38)</f>
        <v/>
      </c>
      <c r="W38" s="224">
        <f>IF('TINH_LUONG'!$B38="","",'TINH_LUONG'!BU38)</f>
        <v/>
      </c>
      <c r="X38" s="235">
        <f>IF('TINH_LUONG'!$B38="","",'TINH_LUONG'!BW38)</f>
        <v/>
      </c>
      <c r="Y38" s="224">
        <f>IF('TINH_LUONG'!$B38="","",'TINH_LUONG'!BC38)</f>
        <v/>
      </c>
      <c r="Z38" s="224">
        <f>IF('TINH_LUONG'!$B38="","",'TINH_LUONG'!BD38)</f>
        <v/>
      </c>
      <c r="AA38" s="150">
        <f>IF('TINH_LUONG'!$B38="","",'TINH_LUONG'!BG38)</f>
        <v/>
      </c>
    </row>
    <row r="39">
      <c r="A39" s="145">
        <f>IF('TINH_LUONG'!$B39="","",'TINH_LUONG'!A39)</f>
        <v/>
      </c>
      <c r="B39" s="145">
        <f>IF('TINH_LUONG'!$B39="","",'TINH_LUONG'!B39)</f>
        <v/>
      </c>
      <c r="C39" s="145">
        <f>IF('TINH_LUONG'!$B39="","",'TINH_LUONG'!C39)</f>
        <v/>
      </c>
      <c r="D39" s="145">
        <f>IF('TINH_LUONG'!$B39="","",'TINH_LUONG'!D39)</f>
        <v/>
      </c>
      <c r="E39" s="145">
        <f>IF('TINH_LUONG'!$B39="","",'TINH_LUONG'!F39)</f>
        <v/>
      </c>
      <c r="F39" s="145">
        <f>IF('TINH_LUONG'!$B39="","",'TINH_LUONG'!G39)</f>
        <v/>
      </c>
      <c r="G39" s="224">
        <f>IF('TINH_LUONG'!$B39="","",'TINH_LUONG'!O39+'TINH_LUONG'!BO39)</f>
        <v/>
      </c>
      <c r="H39" s="224">
        <f>IF('TINH_LUONG'!$B39="","",SUM('TINH_LUONG'!P39:R39))</f>
        <v/>
      </c>
      <c r="I39" s="224">
        <f>IF('TINH_LUONG'!$B39="","",'TINH_LUONG'!BP39+'TINH_LUONG'!BQ39)</f>
        <v/>
      </c>
      <c r="J39" s="224">
        <f>IF('TINH_LUONG'!$B39="","",'TINH_LUONG'!Z39)</f>
        <v/>
      </c>
      <c r="K39" s="224">
        <f>IF('TINH_LUONG'!$B39="","",'TINH_LUONG'!S39+'TINH_LUONG'!T39)</f>
        <v/>
      </c>
      <c r="L39" s="224">
        <f>IF('TINH_LUONG'!$B39="","",'TINH_LUONG'!W39+'TINH_LUONG'!X39)</f>
        <v/>
      </c>
      <c r="M39" s="224">
        <f>IF('TINH_LUONG'!$B39="","",'TINH_LUONG'!BR39+'TINH_LUONG'!BS39)</f>
        <v/>
      </c>
      <c r="N39" s="224">
        <f>IF('TINH_LUONG'!$B39="","",'TINH_LUONG'!AO39)</f>
        <v/>
      </c>
      <c r="O39" s="224">
        <f>IF('TINH_LUONG'!$B39="","",'TINH_LUONG'!AP39)</f>
        <v/>
      </c>
      <c r="P39" s="224">
        <f>IF('TINH_LUONG'!$B39="","",'TINH_LUONG'!AS39)</f>
        <v/>
      </c>
      <c r="Q39" s="224">
        <f>IF('TINH_LUONG'!$B39="","",'TINH_LUONG'!AJ39)</f>
        <v/>
      </c>
      <c r="R39" s="224">
        <f>IF('TINH_LUONG'!$B39="","",'TINH_LUONG'!AQ39)</f>
        <v/>
      </c>
      <c r="S39" s="224">
        <f>IF('TINH_LUONG'!$B39="","",'TINH_LUONG'!AR39)</f>
        <v/>
      </c>
      <c r="T39" s="224">
        <f>IF('TINH_LUONG'!$B39="","",'TINH_LUONG'!AU39+'TINH_LUONG'!AV39+'TINH_LUONG'!AW39+'TINH_LUONG'!BV39)</f>
        <v/>
      </c>
      <c r="U39" s="224">
        <f>IF('TINH_LUONG'!$B39="","",'TINH_LUONG'!AX39)</f>
        <v/>
      </c>
      <c r="V39" s="224">
        <f>IF('TINH_LUONG'!$B39="","",'TINH_LUONG'!BT39)</f>
        <v/>
      </c>
      <c r="W39" s="224">
        <f>IF('TINH_LUONG'!$B39="","",'TINH_LUONG'!BU39)</f>
        <v/>
      </c>
      <c r="X39" s="235">
        <f>IF('TINH_LUONG'!$B39="","",'TINH_LUONG'!BW39)</f>
        <v/>
      </c>
      <c r="Y39" s="224">
        <f>IF('TINH_LUONG'!$B39="","",'TINH_LUONG'!BC39)</f>
        <v/>
      </c>
      <c r="Z39" s="224">
        <f>IF('TINH_LUONG'!$B39="","",'TINH_LUONG'!BD39)</f>
        <v/>
      </c>
      <c r="AA39" s="150">
        <f>IF('TINH_LUONG'!$B39="","",'TINH_LUONG'!BG39)</f>
        <v/>
      </c>
    </row>
    <row r="40">
      <c r="A40" s="145">
        <f>IF('TINH_LUONG'!$B40="","",'TINH_LUONG'!A40)</f>
        <v/>
      </c>
      <c r="B40" s="145">
        <f>IF('TINH_LUONG'!$B40="","",'TINH_LUONG'!B40)</f>
        <v/>
      </c>
      <c r="C40" s="145">
        <f>IF('TINH_LUONG'!$B40="","",'TINH_LUONG'!C40)</f>
        <v/>
      </c>
      <c r="D40" s="145">
        <f>IF('TINH_LUONG'!$B40="","",'TINH_LUONG'!D40)</f>
        <v/>
      </c>
      <c r="E40" s="145">
        <f>IF('TINH_LUONG'!$B40="","",'TINH_LUONG'!F40)</f>
        <v/>
      </c>
      <c r="F40" s="145">
        <f>IF('TINH_LUONG'!$B40="","",'TINH_LUONG'!G40)</f>
        <v/>
      </c>
      <c r="G40" s="224">
        <f>IF('TINH_LUONG'!$B40="","",'TINH_LUONG'!O40+'TINH_LUONG'!BO40)</f>
        <v/>
      </c>
      <c r="H40" s="224">
        <f>IF('TINH_LUONG'!$B40="","",SUM('TINH_LUONG'!P40:R40))</f>
        <v/>
      </c>
      <c r="I40" s="224">
        <f>IF('TINH_LUONG'!$B40="","",'TINH_LUONG'!BP40+'TINH_LUONG'!BQ40)</f>
        <v/>
      </c>
      <c r="J40" s="224">
        <f>IF('TINH_LUONG'!$B40="","",'TINH_LUONG'!Z40)</f>
        <v/>
      </c>
      <c r="K40" s="224">
        <f>IF('TINH_LUONG'!$B40="","",'TINH_LUONG'!S40+'TINH_LUONG'!T40)</f>
        <v/>
      </c>
      <c r="L40" s="224">
        <f>IF('TINH_LUONG'!$B40="","",'TINH_LUONG'!W40+'TINH_LUONG'!X40)</f>
        <v/>
      </c>
      <c r="M40" s="224">
        <f>IF('TINH_LUONG'!$B40="","",'TINH_LUONG'!BR40+'TINH_LUONG'!BS40)</f>
        <v/>
      </c>
      <c r="N40" s="224">
        <f>IF('TINH_LUONG'!$B40="","",'TINH_LUONG'!AO40)</f>
        <v/>
      </c>
      <c r="O40" s="224">
        <f>IF('TINH_LUONG'!$B40="","",'TINH_LUONG'!AP40)</f>
        <v/>
      </c>
      <c r="P40" s="224">
        <f>IF('TINH_LUONG'!$B40="","",'TINH_LUONG'!AS40)</f>
        <v/>
      </c>
      <c r="Q40" s="224">
        <f>IF('TINH_LUONG'!$B40="","",'TINH_LUONG'!AJ40)</f>
        <v/>
      </c>
      <c r="R40" s="224">
        <f>IF('TINH_LUONG'!$B40="","",'TINH_LUONG'!AQ40)</f>
        <v/>
      </c>
      <c r="S40" s="224">
        <f>IF('TINH_LUONG'!$B40="","",'TINH_LUONG'!AR40)</f>
        <v/>
      </c>
      <c r="T40" s="224">
        <f>IF('TINH_LUONG'!$B40="","",'TINH_LUONG'!AU40+'TINH_LUONG'!AV40+'TINH_LUONG'!AW40+'TINH_LUONG'!BV40)</f>
        <v/>
      </c>
      <c r="U40" s="224">
        <f>IF('TINH_LUONG'!$B40="","",'TINH_LUONG'!AX40)</f>
        <v/>
      </c>
      <c r="V40" s="224">
        <f>IF('TINH_LUONG'!$B40="","",'TINH_LUONG'!BT40)</f>
        <v/>
      </c>
      <c r="W40" s="224">
        <f>IF('TINH_LUONG'!$B40="","",'TINH_LUONG'!BU40)</f>
        <v/>
      </c>
      <c r="X40" s="235">
        <f>IF('TINH_LUONG'!$B40="","",'TINH_LUONG'!BW40)</f>
        <v/>
      </c>
      <c r="Y40" s="224">
        <f>IF('TINH_LUONG'!$B40="","",'TINH_LUONG'!BC40)</f>
        <v/>
      </c>
      <c r="Z40" s="224">
        <f>IF('TINH_LUONG'!$B40="","",'TINH_LUONG'!BD40)</f>
        <v/>
      </c>
      <c r="AA40" s="150">
        <f>IF('TINH_LUONG'!$B40="","",'TINH_LUONG'!BG40)</f>
        <v/>
      </c>
    </row>
    <row r="41">
      <c r="A41" s="145">
        <f>IF('TINH_LUONG'!$B41="","",'TINH_LUONG'!A41)</f>
        <v/>
      </c>
      <c r="B41" s="145">
        <f>IF('TINH_LUONG'!$B41="","",'TINH_LUONG'!B41)</f>
        <v/>
      </c>
      <c r="C41" s="145">
        <f>IF('TINH_LUONG'!$B41="","",'TINH_LUONG'!C41)</f>
        <v/>
      </c>
      <c r="D41" s="145">
        <f>IF('TINH_LUONG'!$B41="","",'TINH_LUONG'!D41)</f>
        <v/>
      </c>
      <c r="E41" s="145">
        <f>IF('TINH_LUONG'!$B41="","",'TINH_LUONG'!F41)</f>
        <v/>
      </c>
      <c r="F41" s="145">
        <f>IF('TINH_LUONG'!$B41="","",'TINH_LUONG'!G41)</f>
        <v/>
      </c>
      <c r="G41" s="224">
        <f>IF('TINH_LUONG'!$B41="","",'TINH_LUONG'!O41+'TINH_LUONG'!BO41)</f>
        <v/>
      </c>
      <c r="H41" s="224">
        <f>IF('TINH_LUONG'!$B41="","",SUM('TINH_LUONG'!P41:R41))</f>
        <v/>
      </c>
      <c r="I41" s="224">
        <f>IF('TINH_LUONG'!$B41="","",'TINH_LUONG'!BP41+'TINH_LUONG'!BQ41)</f>
        <v/>
      </c>
      <c r="J41" s="224">
        <f>IF('TINH_LUONG'!$B41="","",'TINH_LUONG'!Z41)</f>
        <v/>
      </c>
      <c r="K41" s="224">
        <f>IF('TINH_LUONG'!$B41="","",'TINH_LUONG'!S41+'TINH_LUONG'!T41)</f>
        <v/>
      </c>
      <c r="L41" s="224">
        <f>IF('TINH_LUONG'!$B41="","",'TINH_LUONG'!W41+'TINH_LUONG'!X41)</f>
        <v/>
      </c>
      <c r="M41" s="224">
        <f>IF('TINH_LUONG'!$B41="","",'TINH_LUONG'!BR41+'TINH_LUONG'!BS41)</f>
        <v/>
      </c>
      <c r="N41" s="224">
        <f>IF('TINH_LUONG'!$B41="","",'TINH_LUONG'!AO41)</f>
        <v/>
      </c>
      <c r="O41" s="224">
        <f>IF('TINH_LUONG'!$B41="","",'TINH_LUONG'!AP41)</f>
        <v/>
      </c>
      <c r="P41" s="224">
        <f>IF('TINH_LUONG'!$B41="","",'TINH_LUONG'!AS41)</f>
        <v/>
      </c>
      <c r="Q41" s="224">
        <f>IF('TINH_LUONG'!$B41="","",'TINH_LUONG'!AJ41)</f>
        <v/>
      </c>
      <c r="R41" s="224">
        <f>IF('TINH_LUONG'!$B41="","",'TINH_LUONG'!AQ41)</f>
        <v/>
      </c>
      <c r="S41" s="224">
        <f>IF('TINH_LUONG'!$B41="","",'TINH_LUONG'!AR41)</f>
        <v/>
      </c>
      <c r="T41" s="224">
        <f>IF('TINH_LUONG'!$B41="","",'TINH_LUONG'!AU41+'TINH_LUONG'!AV41+'TINH_LUONG'!AW41+'TINH_LUONG'!BV41)</f>
        <v/>
      </c>
      <c r="U41" s="224">
        <f>IF('TINH_LUONG'!$B41="","",'TINH_LUONG'!AX41)</f>
        <v/>
      </c>
      <c r="V41" s="224">
        <f>IF('TINH_LUONG'!$B41="","",'TINH_LUONG'!BT41)</f>
        <v/>
      </c>
      <c r="W41" s="224">
        <f>IF('TINH_LUONG'!$B41="","",'TINH_LUONG'!BU41)</f>
        <v/>
      </c>
      <c r="X41" s="235">
        <f>IF('TINH_LUONG'!$B41="","",'TINH_LUONG'!BW41)</f>
        <v/>
      </c>
      <c r="Y41" s="224">
        <f>IF('TINH_LUONG'!$B41="","",'TINH_LUONG'!BC41)</f>
        <v/>
      </c>
      <c r="Z41" s="224">
        <f>IF('TINH_LUONG'!$B41="","",'TINH_LUONG'!BD41)</f>
        <v/>
      </c>
      <c r="AA41" s="150">
        <f>IF('TINH_LUONG'!$B41="","",'TINH_LUONG'!BG41)</f>
        <v/>
      </c>
    </row>
    <row r="42">
      <c r="A42" s="145">
        <f>IF('TINH_LUONG'!$B42="","",'TINH_LUONG'!A42)</f>
        <v/>
      </c>
      <c r="B42" s="145">
        <f>IF('TINH_LUONG'!$B42="","",'TINH_LUONG'!B42)</f>
        <v/>
      </c>
      <c r="C42" s="145">
        <f>IF('TINH_LUONG'!$B42="","",'TINH_LUONG'!C42)</f>
        <v/>
      </c>
      <c r="D42" s="145">
        <f>IF('TINH_LUONG'!$B42="","",'TINH_LUONG'!D42)</f>
        <v/>
      </c>
      <c r="E42" s="145">
        <f>IF('TINH_LUONG'!$B42="","",'TINH_LUONG'!F42)</f>
        <v/>
      </c>
      <c r="F42" s="145">
        <f>IF('TINH_LUONG'!$B42="","",'TINH_LUONG'!G42)</f>
        <v/>
      </c>
      <c r="G42" s="224">
        <f>IF('TINH_LUONG'!$B42="","",'TINH_LUONG'!O42+'TINH_LUONG'!BO42)</f>
        <v/>
      </c>
      <c r="H42" s="224">
        <f>IF('TINH_LUONG'!$B42="","",SUM('TINH_LUONG'!P42:R42))</f>
        <v/>
      </c>
      <c r="I42" s="224">
        <f>IF('TINH_LUONG'!$B42="","",'TINH_LUONG'!BP42+'TINH_LUONG'!BQ42)</f>
        <v/>
      </c>
      <c r="J42" s="224">
        <f>IF('TINH_LUONG'!$B42="","",'TINH_LUONG'!Z42)</f>
        <v/>
      </c>
      <c r="K42" s="224">
        <f>IF('TINH_LUONG'!$B42="","",'TINH_LUONG'!S42+'TINH_LUONG'!T42)</f>
        <v/>
      </c>
      <c r="L42" s="224">
        <f>IF('TINH_LUONG'!$B42="","",'TINH_LUONG'!W42+'TINH_LUONG'!X42)</f>
        <v/>
      </c>
      <c r="M42" s="224">
        <f>IF('TINH_LUONG'!$B42="","",'TINH_LUONG'!BR42+'TINH_LUONG'!BS42)</f>
        <v/>
      </c>
      <c r="N42" s="224">
        <f>IF('TINH_LUONG'!$B42="","",'TINH_LUONG'!AO42)</f>
        <v/>
      </c>
      <c r="O42" s="224">
        <f>IF('TINH_LUONG'!$B42="","",'TINH_LUONG'!AP42)</f>
        <v/>
      </c>
      <c r="P42" s="224">
        <f>IF('TINH_LUONG'!$B42="","",'TINH_LUONG'!AS42)</f>
        <v/>
      </c>
      <c r="Q42" s="224">
        <f>IF('TINH_LUONG'!$B42="","",'TINH_LUONG'!AJ42)</f>
        <v/>
      </c>
      <c r="R42" s="224">
        <f>IF('TINH_LUONG'!$B42="","",'TINH_LUONG'!AQ42)</f>
        <v/>
      </c>
      <c r="S42" s="224">
        <f>IF('TINH_LUONG'!$B42="","",'TINH_LUONG'!AR42)</f>
        <v/>
      </c>
      <c r="T42" s="224">
        <f>IF('TINH_LUONG'!$B42="","",'TINH_LUONG'!AU42+'TINH_LUONG'!AV42+'TINH_LUONG'!AW42+'TINH_LUONG'!BV42)</f>
        <v/>
      </c>
      <c r="U42" s="224">
        <f>IF('TINH_LUONG'!$B42="","",'TINH_LUONG'!AX42)</f>
        <v/>
      </c>
      <c r="V42" s="224">
        <f>IF('TINH_LUONG'!$B42="","",'TINH_LUONG'!BT42)</f>
        <v/>
      </c>
      <c r="W42" s="224">
        <f>IF('TINH_LUONG'!$B42="","",'TINH_LUONG'!BU42)</f>
        <v/>
      </c>
      <c r="X42" s="235">
        <f>IF('TINH_LUONG'!$B42="","",'TINH_LUONG'!BW42)</f>
        <v/>
      </c>
      <c r="Y42" s="224">
        <f>IF('TINH_LUONG'!$B42="","",'TINH_LUONG'!BC42)</f>
        <v/>
      </c>
      <c r="Z42" s="224">
        <f>IF('TINH_LUONG'!$B42="","",'TINH_LUONG'!BD42)</f>
        <v/>
      </c>
      <c r="AA42" s="150">
        <f>IF('TINH_LUONG'!$B42="","",'TINH_LUONG'!BG42)</f>
        <v/>
      </c>
    </row>
    <row r="43">
      <c r="A43" s="145">
        <f>IF('TINH_LUONG'!$B43="","",'TINH_LUONG'!A43)</f>
        <v/>
      </c>
      <c r="B43" s="145">
        <f>IF('TINH_LUONG'!$B43="","",'TINH_LUONG'!B43)</f>
        <v/>
      </c>
      <c r="C43" s="145">
        <f>IF('TINH_LUONG'!$B43="","",'TINH_LUONG'!C43)</f>
        <v/>
      </c>
      <c r="D43" s="145">
        <f>IF('TINH_LUONG'!$B43="","",'TINH_LUONG'!D43)</f>
        <v/>
      </c>
      <c r="E43" s="145">
        <f>IF('TINH_LUONG'!$B43="","",'TINH_LUONG'!F43)</f>
        <v/>
      </c>
      <c r="F43" s="145">
        <f>IF('TINH_LUONG'!$B43="","",'TINH_LUONG'!G43)</f>
        <v/>
      </c>
      <c r="G43" s="224">
        <f>IF('TINH_LUONG'!$B43="","",'TINH_LUONG'!O43+'TINH_LUONG'!BO43)</f>
        <v/>
      </c>
      <c r="H43" s="224">
        <f>IF('TINH_LUONG'!$B43="","",SUM('TINH_LUONG'!P43:R43))</f>
        <v/>
      </c>
      <c r="I43" s="224">
        <f>IF('TINH_LUONG'!$B43="","",'TINH_LUONG'!BP43+'TINH_LUONG'!BQ43)</f>
        <v/>
      </c>
      <c r="J43" s="224">
        <f>IF('TINH_LUONG'!$B43="","",'TINH_LUONG'!Z43)</f>
        <v/>
      </c>
      <c r="K43" s="224">
        <f>IF('TINH_LUONG'!$B43="","",'TINH_LUONG'!S43+'TINH_LUONG'!T43)</f>
        <v/>
      </c>
      <c r="L43" s="224">
        <f>IF('TINH_LUONG'!$B43="","",'TINH_LUONG'!W43+'TINH_LUONG'!X43)</f>
        <v/>
      </c>
      <c r="M43" s="224">
        <f>IF('TINH_LUONG'!$B43="","",'TINH_LUONG'!BR43+'TINH_LUONG'!BS43)</f>
        <v/>
      </c>
      <c r="N43" s="224">
        <f>IF('TINH_LUONG'!$B43="","",'TINH_LUONG'!AO43)</f>
        <v/>
      </c>
      <c r="O43" s="224">
        <f>IF('TINH_LUONG'!$B43="","",'TINH_LUONG'!AP43)</f>
        <v/>
      </c>
      <c r="P43" s="224">
        <f>IF('TINH_LUONG'!$B43="","",'TINH_LUONG'!AS43)</f>
        <v/>
      </c>
      <c r="Q43" s="224">
        <f>IF('TINH_LUONG'!$B43="","",'TINH_LUONG'!AJ43)</f>
        <v/>
      </c>
      <c r="R43" s="224">
        <f>IF('TINH_LUONG'!$B43="","",'TINH_LUONG'!AQ43)</f>
        <v/>
      </c>
      <c r="S43" s="224">
        <f>IF('TINH_LUONG'!$B43="","",'TINH_LUONG'!AR43)</f>
        <v/>
      </c>
      <c r="T43" s="224">
        <f>IF('TINH_LUONG'!$B43="","",'TINH_LUONG'!AU43+'TINH_LUONG'!AV43+'TINH_LUONG'!AW43+'TINH_LUONG'!BV43)</f>
        <v/>
      </c>
      <c r="U43" s="224">
        <f>IF('TINH_LUONG'!$B43="","",'TINH_LUONG'!AX43)</f>
        <v/>
      </c>
      <c r="V43" s="224">
        <f>IF('TINH_LUONG'!$B43="","",'TINH_LUONG'!BT43)</f>
        <v/>
      </c>
      <c r="W43" s="224">
        <f>IF('TINH_LUONG'!$B43="","",'TINH_LUONG'!BU43)</f>
        <v/>
      </c>
      <c r="X43" s="235">
        <f>IF('TINH_LUONG'!$B43="","",'TINH_LUONG'!BW43)</f>
        <v/>
      </c>
      <c r="Y43" s="224">
        <f>IF('TINH_LUONG'!$B43="","",'TINH_LUONG'!BC43)</f>
        <v/>
      </c>
      <c r="Z43" s="224">
        <f>IF('TINH_LUONG'!$B43="","",'TINH_LUONG'!BD43)</f>
        <v/>
      </c>
      <c r="AA43" s="150">
        <f>IF('TINH_LUONG'!$B43="","",'TINH_LUONG'!BG43)</f>
        <v/>
      </c>
    </row>
    <row r="44">
      <c r="A44" s="145">
        <f>IF('TINH_LUONG'!$B44="","",'TINH_LUONG'!A44)</f>
        <v/>
      </c>
      <c r="B44" s="145">
        <f>IF('TINH_LUONG'!$B44="","",'TINH_LUONG'!B44)</f>
        <v/>
      </c>
      <c r="C44" s="145">
        <f>IF('TINH_LUONG'!$B44="","",'TINH_LUONG'!C44)</f>
        <v/>
      </c>
      <c r="D44" s="145">
        <f>IF('TINH_LUONG'!$B44="","",'TINH_LUONG'!D44)</f>
        <v/>
      </c>
      <c r="E44" s="145">
        <f>IF('TINH_LUONG'!$B44="","",'TINH_LUONG'!F44)</f>
        <v/>
      </c>
      <c r="F44" s="145">
        <f>IF('TINH_LUONG'!$B44="","",'TINH_LUONG'!G44)</f>
        <v/>
      </c>
      <c r="G44" s="224">
        <f>IF('TINH_LUONG'!$B44="","",'TINH_LUONG'!O44+'TINH_LUONG'!BO44)</f>
        <v/>
      </c>
      <c r="H44" s="224">
        <f>IF('TINH_LUONG'!$B44="","",SUM('TINH_LUONG'!P44:R44))</f>
        <v/>
      </c>
      <c r="I44" s="224">
        <f>IF('TINH_LUONG'!$B44="","",'TINH_LUONG'!BP44+'TINH_LUONG'!BQ44)</f>
        <v/>
      </c>
      <c r="J44" s="224">
        <f>IF('TINH_LUONG'!$B44="","",'TINH_LUONG'!Z44)</f>
        <v/>
      </c>
      <c r="K44" s="224">
        <f>IF('TINH_LUONG'!$B44="","",'TINH_LUONG'!S44+'TINH_LUONG'!T44)</f>
        <v/>
      </c>
      <c r="L44" s="224">
        <f>IF('TINH_LUONG'!$B44="","",'TINH_LUONG'!W44+'TINH_LUONG'!X44)</f>
        <v/>
      </c>
      <c r="M44" s="224">
        <f>IF('TINH_LUONG'!$B44="","",'TINH_LUONG'!BR44+'TINH_LUONG'!BS44)</f>
        <v/>
      </c>
      <c r="N44" s="224">
        <f>IF('TINH_LUONG'!$B44="","",'TINH_LUONG'!AO44)</f>
        <v/>
      </c>
      <c r="O44" s="224">
        <f>IF('TINH_LUONG'!$B44="","",'TINH_LUONG'!AP44)</f>
        <v/>
      </c>
      <c r="P44" s="224">
        <f>IF('TINH_LUONG'!$B44="","",'TINH_LUONG'!AS44)</f>
        <v/>
      </c>
      <c r="Q44" s="224">
        <f>IF('TINH_LUONG'!$B44="","",'TINH_LUONG'!AJ44)</f>
        <v/>
      </c>
      <c r="R44" s="224">
        <f>IF('TINH_LUONG'!$B44="","",'TINH_LUONG'!AQ44)</f>
        <v/>
      </c>
      <c r="S44" s="224">
        <f>IF('TINH_LUONG'!$B44="","",'TINH_LUONG'!AR44)</f>
        <v/>
      </c>
      <c r="T44" s="224">
        <f>IF('TINH_LUONG'!$B44="","",'TINH_LUONG'!AU44+'TINH_LUONG'!AV44+'TINH_LUONG'!AW44+'TINH_LUONG'!BV44)</f>
        <v/>
      </c>
      <c r="U44" s="224">
        <f>IF('TINH_LUONG'!$B44="","",'TINH_LUONG'!AX44)</f>
        <v/>
      </c>
      <c r="V44" s="224">
        <f>IF('TINH_LUONG'!$B44="","",'TINH_LUONG'!BT44)</f>
        <v/>
      </c>
      <c r="W44" s="224">
        <f>IF('TINH_LUONG'!$B44="","",'TINH_LUONG'!BU44)</f>
        <v/>
      </c>
      <c r="X44" s="235">
        <f>IF('TINH_LUONG'!$B44="","",'TINH_LUONG'!BW44)</f>
        <v/>
      </c>
      <c r="Y44" s="224">
        <f>IF('TINH_LUONG'!$B44="","",'TINH_LUONG'!BC44)</f>
        <v/>
      </c>
      <c r="Z44" s="224">
        <f>IF('TINH_LUONG'!$B44="","",'TINH_LUONG'!BD44)</f>
        <v/>
      </c>
      <c r="AA44" s="150">
        <f>IF('TINH_LUONG'!$B44="","",'TINH_LUONG'!BG44)</f>
        <v/>
      </c>
    </row>
    <row r="45">
      <c r="A45" s="145">
        <f>IF('TINH_LUONG'!$B45="","",'TINH_LUONG'!A45)</f>
        <v/>
      </c>
      <c r="B45" s="145">
        <f>IF('TINH_LUONG'!$B45="","",'TINH_LUONG'!B45)</f>
        <v/>
      </c>
      <c r="C45" s="145">
        <f>IF('TINH_LUONG'!$B45="","",'TINH_LUONG'!C45)</f>
        <v/>
      </c>
      <c r="D45" s="145">
        <f>IF('TINH_LUONG'!$B45="","",'TINH_LUONG'!D45)</f>
        <v/>
      </c>
      <c r="E45" s="145">
        <f>IF('TINH_LUONG'!$B45="","",'TINH_LUONG'!F45)</f>
        <v/>
      </c>
      <c r="F45" s="145">
        <f>IF('TINH_LUONG'!$B45="","",'TINH_LUONG'!G45)</f>
        <v/>
      </c>
      <c r="G45" s="224">
        <f>IF('TINH_LUONG'!$B45="","",'TINH_LUONG'!O45+'TINH_LUONG'!BO45)</f>
        <v/>
      </c>
      <c r="H45" s="224">
        <f>IF('TINH_LUONG'!$B45="","",SUM('TINH_LUONG'!P45:R45))</f>
        <v/>
      </c>
      <c r="I45" s="224">
        <f>IF('TINH_LUONG'!$B45="","",'TINH_LUONG'!BP45+'TINH_LUONG'!BQ45)</f>
        <v/>
      </c>
      <c r="J45" s="224">
        <f>IF('TINH_LUONG'!$B45="","",'TINH_LUONG'!Z45)</f>
        <v/>
      </c>
      <c r="K45" s="224">
        <f>IF('TINH_LUONG'!$B45="","",'TINH_LUONG'!S45+'TINH_LUONG'!T45)</f>
        <v/>
      </c>
      <c r="L45" s="224">
        <f>IF('TINH_LUONG'!$B45="","",'TINH_LUONG'!W45+'TINH_LUONG'!X45)</f>
        <v/>
      </c>
      <c r="M45" s="224">
        <f>IF('TINH_LUONG'!$B45="","",'TINH_LUONG'!BR45+'TINH_LUONG'!BS45)</f>
        <v/>
      </c>
      <c r="N45" s="224">
        <f>IF('TINH_LUONG'!$B45="","",'TINH_LUONG'!AO45)</f>
        <v/>
      </c>
      <c r="O45" s="224">
        <f>IF('TINH_LUONG'!$B45="","",'TINH_LUONG'!AP45)</f>
        <v/>
      </c>
      <c r="P45" s="224">
        <f>IF('TINH_LUONG'!$B45="","",'TINH_LUONG'!AS45)</f>
        <v/>
      </c>
      <c r="Q45" s="224">
        <f>IF('TINH_LUONG'!$B45="","",'TINH_LUONG'!AJ45)</f>
        <v/>
      </c>
      <c r="R45" s="224">
        <f>IF('TINH_LUONG'!$B45="","",'TINH_LUONG'!AQ45)</f>
        <v/>
      </c>
      <c r="S45" s="224">
        <f>IF('TINH_LUONG'!$B45="","",'TINH_LUONG'!AR45)</f>
        <v/>
      </c>
      <c r="T45" s="224">
        <f>IF('TINH_LUONG'!$B45="","",'TINH_LUONG'!AU45+'TINH_LUONG'!AV45+'TINH_LUONG'!AW45+'TINH_LUONG'!BV45)</f>
        <v/>
      </c>
      <c r="U45" s="224">
        <f>IF('TINH_LUONG'!$B45="","",'TINH_LUONG'!AX45)</f>
        <v/>
      </c>
      <c r="V45" s="224">
        <f>IF('TINH_LUONG'!$B45="","",'TINH_LUONG'!BT45)</f>
        <v/>
      </c>
      <c r="W45" s="224">
        <f>IF('TINH_LUONG'!$B45="","",'TINH_LUONG'!BU45)</f>
        <v/>
      </c>
      <c r="X45" s="235">
        <f>IF('TINH_LUONG'!$B45="","",'TINH_LUONG'!BW45)</f>
        <v/>
      </c>
      <c r="Y45" s="224">
        <f>IF('TINH_LUONG'!$B45="","",'TINH_LUONG'!BC45)</f>
        <v/>
      </c>
      <c r="Z45" s="224">
        <f>IF('TINH_LUONG'!$B45="","",'TINH_LUONG'!BD45)</f>
        <v/>
      </c>
      <c r="AA45" s="150">
        <f>IF('TINH_LUONG'!$B45="","",'TINH_LUONG'!BG45)</f>
        <v/>
      </c>
    </row>
    <row r="46">
      <c r="A46" s="145">
        <f>IF('TINH_LUONG'!$B46="","",'TINH_LUONG'!A46)</f>
        <v/>
      </c>
      <c r="B46" s="145">
        <f>IF('TINH_LUONG'!$B46="","",'TINH_LUONG'!B46)</f>
        <v/>
      </c>
      <c r="C46" s="145">
        <f>IF('TINH_LUONG'!$B46="","",'TINH_LUONG'!C46)</f>
        <v/>
      </c>
      <c r="D46" s="145">
        <f>IF('TINH_LUONG'!$B46="","",'TINH_LUONG'!D46)</f>
        <v/>
      </c>
      <c r="E46" s="145">
        <f>IF('TINH_LUONG'!$B46="","",'TINH_LUONG'!F46)</f>
        <v/>
      </c>
      <c r="F46" s="145">
        <f>IF('TINH_LUONG'!$B46="","",'TINH_LUONG'!G46)</f>
        <v/>
      </c>
      <c r="G46" s="224">
        <f>IF('TINH_LUONG'!$B46="","",'TINH_LUONG'!O46+'TINH_LUONG'!BO46)</f>
        <v/>
      </c>
      <c r="H46" s="224">
        <f>IF('TINH_LUONG'!$B46="","",SUM('TINH_LUONG'!P46:R46))</f>
        <v/>
      </c>
      <c r="I46" s="224">
        <f>IF('TINH_LUONG'!$B46="","",'TINH_LUONG'!BP46+'TINH_LUONG'!BQ46)</f>
        <v/>
      </c>
      <c r="J46" s="224">
        <f>IF('TINH_LUONG'!$B46="","",'TINH_LUONG'!Z46)</f>
        <v/>
      </c>
      <c r="K46" s="224">
        <f>IF('TINH_LUONG'!$B46="","",'TINH_LUONG'!S46+'TINH_LUONG'!T46)</f>
        <v/>
      </c>
      <c r="L46" s="224">
        <f>IF('TINH_LUONG'!$B46="","",'TINH_LUONG'!W46+'TINH_LUONG'!X46)</f>
        <v/>
      </c>
      <c r="M46" s="224">
        <f>IF('TINH_LUONG'!$B46="","",'TINH_LUONG'!BR46+'TINH_LUONG'!BS46)</f>
        <v/>
      </c>
      <c r="N46" s="224">
        <f>IF('TINH_LUONG'!$B46="","",'TINH_LUONG'!AO46)</f>
        <v/>
      </c>
      <c r="O46" s="224">
        <f>IF('TINH_LUONG'!$B46="","",'TINH_LUONG'!AP46)</f>
        <v/>
      </c>
      <c r="P46" s="224">
        <f>IF('TINH_LUONG'!$B46="","",'TINH_LUONG'!AS46)</f>
        <v/>
      </c>
      <c r="Q46" s="224">
        <f>IF('TINH_LUONG'!$B46="","",'TINH_LUONG'!AJ46)</f>
        <v/>
      </c>
      <c r="R46" s="224">
        <f>IF('TINH_LUONG'!$B46="","",'TINH_LUONG'!AQ46)</f>
        <v/>
      </c>
      <c r="S46" s="224">
        <f>IF('TINH_LUONG'!$B46="","",'TINH_LUONG'!AR46)</f>
        <v/>
      </c>
      <c r="T46" s="224">
        <f>IF('TINH_LUONG'!$B46="","",'TINH_LUONG'!AU46+'TINH_LUONG'!AV46+'TINH_LUONG'!AW46+'TINH_LUONG'!BV46)</f>
        <v/>
      </c>
      <c r="U46" s="224">
        <f>IF('TINH_LUONG'!$B46="","",'TINH_LUONG'!AX46)</f>
        <v/>
      </c>
      <c r="V46" s="224">
        <f>IF('TINH_LUONG'!$B46="","",'TINH_LUONG'!BT46)</f>
        <v/>
      </c>
      <c r="W46" s="224">
        <f>IF('TINH_LUONG'!$B46="","",'TINH_LUONG'!BU46)</f>
        <v/>
      </c>
      <c r="X46" s="235">
        <f>IF('TINH_LUONG'!$B46="","",'TINH_LUONG'!BW46)</f>
        <v/>
      </c>
      <c r="Y46" s="224">
        <f>IF('TINH_LUONG'!$B46="","",'TINH_LUONG'!BC46)</f>
        <v/>
      </c>
      <c r="Z46" s="224">
        <f>IF('TINH_LUONG'!$B46="","",'TINH_LUONG'!BD46)</f>
        <v/>
      </c>
      <c r="AA46" s="150">
        <f>IF('TINH_LUONG'!$B46="","",'TINH_LUONG'!BG46)</f>
        <v/>
      </c>
    </row>
    <row r="47">
      <c r="A47" s="145">
        <f>IF('TINH_LUONG'!$B47="","",'TINH_LUONG'!A47)</f>
        <v/>
      </c>
      <c r="B47" s="145">
        <f>IF('TINH_LUONG'!$B47="","",'TINH_LUONG'!B47)</f>
        <v/>
      </c>
      <c r="C47" s="145">
        <f>IF('TINH_LUONG'!$B47="","",'TINH_LUONG'!C47)</f>
        <v/>
      </c>
      <c r="D47" s="145">
        <f>IF('TINH_LUONG'!$B47="","",'TINH_LUONG'!D47)</f>
        <v/>
      </c>
      <c r="E47" s="145">
        <f>IF('TINH_LUONG'!$B47="","",'TINH_LUONG'!F47)</f>
        <v/>
      </c>
      <c r="F47" s="145">
        <f>IF('TINH_LUONG'!$B47="","",'TINH_LUONG'!G47)</f>
        <v/>
      </c>
      <c r="G47" s="224">
        <f>IF('TINH_LUONG'!$B47="","",'TINH_LUONG'!O47+'TINH_LUONG'!BO47)</f>
        <v/>
      </c>
      <c r="H47" s="224">
        <f>IF('TINH_LUONG'!$B47="","",SUM('TINH_LUONG'!P47:R47))</f>
        <v/>
      </c>
      <c r="I47" s="224">
        <f>IF('TINH_LUONG'!$B47="","",'TINH_LUONG'!BP47+'TINH_LUONG'!BQ47)</f>
        <v/>
      </c>
      <c r="J47" s="224">
        <f>IF('TINH_LUONG'!$B47="","",'TINH_LUONG'!Z47)</f>
        <v/>
      </c>
      <c r="K47" s="224">
        <f>IF('TINH_LUONG'!$B47="","",'TINH_LUONG'!S47+'TINH_LUONG'!T47)</f>
        <v/>
      </c>
      <c r="L47" s="224">
        <f>IF('TINH_LUONG'!$B47="","",'TINH_LUONG'!W47+'TINH_LUONG'!X47)</f>
        <v/>
      </c>
      <c r="M47" s="224">
        <f>IF('TINH_LUONG'!$B47="","",'TINH_LUONG'!BR47+'TINH_LUONG'!BS47)</f>
        <v/>
      </c>
      <c r="N47" s="224">
        <f>IF('TINH_LUONG'!$B47="","",'TINH_LUONG'!AO47)</f>
        <v/>
      </c>
      <c r="O47" s="224">
        <f>IF('TINH_LUONG'!$B47="","",'TINH_LUONG'!AP47)</f>
        <v/>
      </c>
      <c r="P47" s="224">
        <f>IF('TINH_LUONG'!$B47="","",'TINH_LUONG'!AS47)</f>
        <v/>
      </c>
      <c r="Q47" s="224">
        <f>IF('TINH_LUONG'!$B47="","",'TINH_LUONG'!AJ47)</f>
        <v/>
      </c>
      <c r="R47" s="224">
        <f>IF('TINH_LUONG'!$B47="","",'TINH_LUONG'!AQ47)</f>
        <v/>
      </c>
      <c r="S47" s="224">
        <f>IF('TINH_LUONG'!$B47="","",'TINH_LUONG'!AR47)</f>
        <v/>
      </c>
      <c r="T47" s="224">
        <f>IF('TINH_LUONG'!$B47="","",'TINH_LUONG'!AU47+'TINH_LUONG'!AV47+'TINH_LUONG'!AW47+'TINH_LUONG'!BV47)</f>
        <v/>
      </c>
      <c r="U47" s="224">
        <f>IF('TINH_LUONG'!$B47="","",'TINH_LUONG'!AX47)</f>
        <v/>
      </c>
      <c r="V47" s="224">
        <f>IF('TINH_LUONG'!$B47="","",'TINH_LUONG'!BT47)</f>
        <v/>
      </c>
      <c r="W47" s="224">
        <f>IF('TINH_LUONG'!$B47="","",'TINH_LUONG'!BU47)</f>
        <v/>
      </c>
      <c r="X47" s="235">
        <f>IF('TINH_LUONG'!$B47="","",'TINH_LUONG'!BW47)</f>
        <v/>
      </c>
      <c r="Y47" s="224">
        <f>IF('TINH_LUONG'!$B47="","",'TINH_LUONG'!BC47)</f>
        <v/>
      </c>
      <c r="Z47" s="224">
        <f>IF('TINH_LUONG'!$B47="","",'TINH_LUONG'!BD47)</f>
        <v/>
      </c>
      <c r="AA47" s="150">
        <f>IF('TINH_LUONG'!$B47="","",'TINH_LUONG'!BG47)</f>
        <v/>
      </c>
    </row>
    <row r="48">
      <c r="A48" s="145">
        <f>IF('TINH_LUONG'!$B48="","",'TINH_LUONG'!A48)</f>
        <v/>
      </c>
      <c r="B48" s="145">
        <f>IF('TINH_LUONG'!$B48="","",'TINH_LUONG'!B48)</f>
        <v/>
      </c>
      <c r="C48" s="145">
        <f>IF('TINH_LUONG'!$B48="","",'TINH_LUONG'!C48)</f>
        <v/>
      </c>
      <c r="D48" s="145">
        <f>IF('TINH_LUONG'!$B48="","",'TINH_LUONG'!D48)</f>
        <v/>
      </c>
      <c r="E48" s="145">
        <f>IF('TINH_LUONG'!$B48="","",'TINH_LUONG'!F48)</f>
        <v/>
      </c>
      <c r="F48" s="145">
        <f>IF('TINH_LUONG'!$B48="","",'TINH_LUONG'!G48)</f>
        <v/>
      </c>
      <c r="G48" s="224">
        <f>IF('TINH_LUONG'!$B48="","",'TINH_LUONG'!O48+'TINH_LUONG'!BO48)</f>
        <v/>
      </c>
      <c r="H48" s="224">
        <f>IF('TINH_LUONG'!$B48="","",SUM('TINH_LUONG'!P48:R48))</f>
        <v/>
      </c>
      <c r="I48" s="224">
        <f>IF('TINH_LUONG'!$B48="","",'TINH_LUONG'!BP48+'TINH_LUONG'!BQ48)</f>
        <v/>
      </c>
      <c r="J48" s="224">
        <f>IF('TINH_LUONG'!$B48="","",'TINH_LUONG'!Z48)</f>
        <v/>
      </c>
      <c r="K48" s="224">
        <f>IF('TINH_LUONG'!$B48="","",'TINH_LUONG'!S48+'TINH_LUONG'!T48)</f>
        <v/>
      </c>
      <c r="L48" s="224">
        <f>IF('TINH_LUONG'!$B48="","",'TINH_LUONG'!W48+'TINH_LUONG'!X48)</f>
        <v/>
      </c>
      <c r="M48" s="224">
        <f>IF('TINH_LUONG'!$B48="","",'TINH_LUONG'!BR48+'TINH_LUONG'!BS48)</f>
        <v/>
      </c>
      <c r="N48" s="224">
        <f>IF('TINH_LUONG'!$B48="","",'TINH_LUONG'!AO48)</f>
        <v/>
      </c>
      <c r="O48" s="224">
        <f>IF('TINH_LUONG'!$B48="","",'TINH_LUONG'!AP48)</f>
        <v/>
      </c>
      <c r="P48" s="224">
        <f>IF('TINH_LUONG'!$B48="","",'TINH_LUONG'!AS48)</f>
        <v/>
      </c>
      <c r="Q48" s="224">
        <f>IF('TINH_LUONG'!$B48="","",'TINH_LUONG'!AJ48)</f>
        <v/>
      </c>
      <c r="R48" s="224">
        <f>IF('TINH_LUONG'!$B48="","",'TINH_LUONG'!AQ48)</f>
        <v/>
      </c>
      <c r="S48" s="224">
        <f>IF('TINH_LUONG'!$B48="","",'TINH_LUONG'!AR48)</f>
        <v/>
      </c>
      <c r="T48" s="224">
        <f>IF('TINH_LUONG'!$B48="","",'TINH_LUONG'!AU48+'TINH_LUONG'!AV48+'TINH_LUONG'!AW48+'TINH_LUONG'!BV48)</f>
        <v/>
      </c>
      <c r="U48" s="224">
        <f>IF('TINH_LUONG'!$B48="","",'TINH_LUONG'!AX48)</f>
        <v/>
      </c>
      <c r="V48" s="224">
        <f>IF('TINH_LUONG'!$B48="","",'TINH_LUONG'!BT48)</f>
        <v/>
      </c>
      <c r="W48" s="224">
        <f>IF('TINH_LUONG'!$B48="","",'TINH_LUONG'!BU48)</f>
        <v/>
      </c>
      <c r="X48" s="235">
        <f>IF('TINH_LUONG'!$B48="","",'TINH_LUONG'!BW48)</f>
        <v/>
      </c>
      <c r="Y48" s="224">
        <f>IF('TINH_LUONG'!$B48="","",'TINH_LUONG'!BC48)</f>
        <v/>
      </c>
      <c r="Z48" s="224">
        <f>IF('TINH_LUONG'!$B48="","",'TINH_LUONG'!BD48)</f>
        <v/>
      </c>
      <c r="AA48" s="150">
        <f>IF('TINH_LUONG'!$B48="","",'TINH_LUONG'!BG48)</f>
        <v/>
      </c>
    </row>
    <row r="49">
      <c r="A49" s="145">
        <f>IF('TINH_LUONG'!$B49="","",'TINH_LUONG'!A49)</f>
        <v/>
      </c>
      <c r="B49" s="145">
        <f>IF('TINH_LUONG'!$B49="","",'TINH_LUONG'!B49)</f>
        <v/>
      </c>
      <c r="C49" s="145">
        <f>IF('TINH_LUONG'!$B49="","",'TINH_LUONG'!C49)</f>
        <v/>
      </c>
      <c r="D49" s="145">
        <f>IF('TINH_LUONG'!$B49="","",'TINH_LUONG'!D49)</f>
        <v/>
      </c>
      <c r="E49" s="145">
        <f>IF('TINH_LUONG'!$B49="","",'TINH_LUONG'!F49)</f>
        <v/>
      </c>
      <c r="F49" s="145">
        <f>IF('TINH_LUONG'!$B49="","",'TINH_LUONG'!G49)</f>
        <v/>
      </c>
      <c r="G49" s="224">
        <f>IF('TINH_LUONG'!$B49="","",'TINH_LUONG'!O49+'TINH_LUONG'!BO49)</f>
        <v/>
      </c>
      <c r="H49" s="224">
        <f>IF('TINH_LUONG'!$B49="","",SUM('TINH_LUONG'!P49:R49))</f>
        <v/>
      </c>
      <c r="I49" s="224">
        <f>IF('TINH_LUONG'!$B49="","",'TINH_LUONG'!BP49+'TINH_LUONG'!BQ49)</f>
        <v/>
      </c>
      <c r="J49" s="224">
        <f>IF('TINH_LUONG'!$B49="","",'TINH_LUONG'!Z49)</f>
        <v/>
      </c>
      <c r="K49" s="224">
        <f>IF('TINH_LUONG'!$B49="","",'TINH_LUONG'!S49+'TINH_LUONG'!T49)</f>
        <v/>
      </c>
      <c r="L49" s="224">
        <f>IF('TINH_LUONG'!$B49="","",'TINH_LUONG'!W49+'TINH_LUONG'!X49)</f>
        <v/>
      </c>
      <c r="M49" s="224">
        <f>IF('TINH_LUONG'!$B49="","",'TINH_LUONG'!BR49+'TINH_LUONG'!BS49)</f>
        <v/>
      </c>
      <c r="N49" s="224">
        <f>IF('TINH_LUONG'!$B49="","",'TINH_LUONG'!AO49)</f>
        <v/>
      </c>
      <c r="O49" s="224">
        <f>IF('TINH_LUONG'!$B49="","",'TINH_LUONG'!AP49)</f>
        <v/>
      </c>
      <c r="P49" s="224">
        <f>IF('TINH_LUONG'!$B49="","",'TINH_LUONG'!AS49)</f>
        <v/>
      </c>
      <c r="Q49" s="224">
        <f>IF('TINH_LUONG'!$B49="","",'TINH_LUONG'!AJ49)</f>
        <v/>
      </c>
      <c r="R49" s="224">
        <f>IF('TINH_LUONG'!$B49="","",'TINH_LUONG'!AQ49)</f>
        <v/>
      </c>
      <c r="S49" s="224">
        <f>IF('TINH_LUONG'!$B49="","",'TINH_LUONG'!AR49)</f>
        <v/>
      </c>
      <c r="T49" s="224">
        <f>IF('TINH_LUONG'!$B49="","",'TINH_LUONG'!AU49+'TINH_LUONG'!AV49+'TINH_LUONG'!AW49+'TINH_LUONG'!BV49)</f>
        <v/>
      </c>
      <c r="U49" s="224">
        <f>IF('TINH_LUONG'!$B49="","",'TINH_LUONG'!AX49)</f>
        <v/>
      </c>
      <c r="V49" s="224">
        <f>IF('TINH_LUONG'!$B49="","",'TINH_LUONG'!BT49)</f>
        <v/>
      </c>
      <c r="W49" s="224">
        <f>IF('TINH_LUONG'!$B49="","",'TINH_LUONG'!BU49)</f>
        <v/>
      </c>
      <c r="X49" s="235">
        <f>IF('TINH_LUONG'!$B49="","",'TINH_LUONG'!BW49)</f>
        <v/>
      </c>
      <c r="Y49" s="224">
        <f>IF('TINH_LUONG'!$B49="","",'TINH_LUONG'!BC49)</f>
        <v/>
      </c>
      <c r="Z49" s="224">
        <f>IF('TINH_LUONG'!$B49="","",'TINH_LUONG'!BD49)</f>
        <v/>
      </c>
      <c r="AA49" s="150">
        <f>IF('TINH_LUONG'!$B49="","",'TINH_LUONG'!BG49)</f>
        <v/>
      </c>
    </row>
    <row r="50">
      <c r="A50" s="145">
        <f>IF('TINH_LUONG'!$B50="","",'TINH_LUONG'!A50)</f>
        <v/>
      </c>
      <c r="B50" s="145">
        <f>IF('TINH_LUONG'!$B50="","",'TINH_LUONG'!B50)</f>
        <v/>
      </c>
      <c r="C50" s="145">
        <f>IF('TINH_LUONG'!$B50="","",'TINH_LUONG'!C50)</f>
        <v/>
      </c>
      <c r="D50" s="145">
        <f>IF('TINH_LUONG'!$B50="","",'TINH_LUONG'!D50)</f>
        <v/>
      </c>
      <c r="E50" s="145">
        <f>IF('TINH_LUONG'!$B50="","",'TINH_LUONG'!F50)</f>
        <v/>
      </c>
      <c r="F50" s="145">
        <f>IF('TINH_LUONG'!$B50="","",'TINH_LUONG'!G50)</f>
        <v/>
      </c>
      <c r="G50" s="224">
        <f>IF('TINH_LUONG'!$B50="","",'TINH_LUONG'!O50+'TINH_LUONG'!BO50)</f>
        <v/>
      </c>
      <c r="H50" s="224">
        <f>IF('TINH_LUONG'!$B50="","",SUM('TINH_LUONG'!P50:R50))</f>
        <v/>
      </c>
      <c r="I50" s="224">
        <f>IF('TINH_LUONG'!$B50="","",'TINH_LUONG'!BP50+'TINH_LUONG'!BQ50)</f>
        <v/>
      </c>
      <c r="J50" s="224">
        <f>IF('TINH_LUONG'!$B50="","",'TINH_LUONG'!Z50)</f>
        <v/>
      </c>
      <c r="K50" s="224">
        <f>IF('TINH_LUONG'!$B50="","",'TINH_LUONG'!S50+'TINH_LUONG'!T50)</f>
        <v/>
      </c>
      <c r="L50" s="224">
        <f>IF('TINH_LUONG'!$B50="","",'TINH_LUONG'!W50+'TINH_LUONG'!X50)</f>
        <v/>
      </c>
      <c r="M50" s="224">
        <f>IF('TINH_LUONG'!$B50="","",'TINH_LUONG'!BR50+'TINH_LUONG'!BS50)</f>
        <v/>
      </c>
      <c r="N50" s="224">
        <f>IF('TINH_LUONG'!$B50="","",'TINH_LUONG'!AO50)</f>
        <v/>
      </c>
      <c r="O50" s="224">
        <f>IF('TINH_LUONG'!$B50="","",'TINH_LUONG'!AP50)</f>
        <v/>
      </c>
      <c r="P50" s="224">
        <f>IF('TINH_LUONG'!$B50="","",'TINH_LUONG'!AS50)</f>
        <v/>
      </c>
      <c r="Q50" s="224">
        <f>IF('TINH_LUONG'!$B50="","",'TINH_LUONG'!AJ50)</f>
        <v/>
      </c>
      <c r="R50" s="224">
        <f>IF('TINH_LUONG'!$B50="","",'TINH_LUONG'!AQ50)</f>
        <v/>
      </c>
      <c r="S50" s="224">
        <f>IF('TINH_LUONG'!$B50="","",'TINH_LUONG'!AR50)</f>
        <v/>
      </c>
      <c r="T50" s="224">
        <f>IF('TINH_LUONG'!$B50="","",'TINH_LUONG'!AU50+'TINH_LUONG'!AV50+'TINH_LUONG'!AW50+'TINH_LUONG'!BV50)</f>
        <v/>
      </c>
      <c r="U50" s="224">
        <f>IF('TINH_LUONG'!$B50="","",'TINH_LUONG'!AX50)</f>
        <v/>
      </c>
      <c r="V50" s="224">
        <f>IF('TINH_LUONG'!$B50="","",'TINH_LUONG'!BT50)</f>
        <v/>
      </c>
      <c r="W50" s="224">
        <f>IF('TINH_LUONG'!$B50="","",'TINH_LUONG'!BU50)</f>
        <v/>
      </c>
      <c r="X50" s="235">
        <f>IF('TINH_LUONG'!$B50="","",'TINH_LUONG'!BW50)</f>
        <v/>
      </c>
      <c r="Y50" s="224">
        <f>IF('TINH_LUONG'!$B50="","",'TINH_LUONG'!BC50)</f>
        <v/>
      </c>
      <c r="Z50" s="224">
        <f>IF('TINH_LUONG'!$B50="","",'TINH_LUONG'!BD50)</f>
        <v/>
      </c>
      <c r="AA50" s="150">
        <f>IF('TINH_LUONG'!$B50="","",'TINH_LUONG'!BG50)</f>
        <v/>
      </c>
    </row>
    <row r="51">
      <c r="A51" s="145">
        <f>IF('TINH_LUONG'!$B51="","",'TINH_LUONG'!A51)</f>
        <v/>
      </c>
      <c r="B51" s="145">
        <f>IF('TINH_LUONG'!$B51="","",'TINH_LUONG'!B51)</f>
        <v/>
      </c>
      <c r="C51" s="145">
        <f>IF('TINH_LUONG'!$B51="","",'TINH_LUONG'!C51)</f>
        <v/>
      </c>
      <c r="D51" s="145">
        <f>IF('TINH_LUONG'!$B51="","",'TINH_LUONG'!D51)</f>
        <v/>
      </c>
      <c r="E51" s="145">
        <f>IF('TINH_LUONG'!$B51="","",'TINH_LUONG'!F51)</f>
        <v/>
      </c>
      <c r="F51" s="145">
        <f>IF('TINH_LUONG'!$B51="","",'TINH_LUONG'!G51)</f>
        <v/>
      </c>
      <c r="G51" s="224">
        <f>IF('TINH_LUONG'!$B51="","",'TINH_LUONG'!O51+'TINH_LUONG'!BO51)</f>
        <v/>
      </c>
      <c r="H51" s="224">
        <f>IF('TINH_LUONG'!$B51="","",SUM('TINH_LUONG'!P51:R51))</f>
        <v/>
      </c>
      <c r="I51" s="224">
        <f>IF('TINH_LUONG'!$B51="","",'TINH_LUONG'!BP51+'TINH_LUONG'!BQ51)</f>
        <v/>
      </c>
      <c r="J51" s="224">
        <f>IF('TINH_LUONG'!$B51="","",'TINH_LUONG'!Z51)</f>
        <v/>
      </c>
      <c r="K51" s="224">
        <f>IF('TINH_LUONG'!$B51="","",'TINH_LUONG'!S51+'TINH_LUONG'!T51)</f>
        <v/>
      </c>
      <c r="L51" s="224">
        <f>IF('TINH_LUONG'!$B51="","",'TINH_LUONG'!W51+'TINH_LUONG'!X51)</f>
        <v/>
      </c>
      <c r="M51" s="224">
        <f>IF('TINH_LUONG'!$B51="","",'TINH_LUONG'!BR51+'TINH_LUONG'!BS51)</f>
        <v/>
      </c>
      <c r="N51" s="224">
        <f>IF('TINH_LUONG'!$B51="","",'TINH_LUONG'!AO51)</f>
        <v/>
      </c>
      <c r="O51" s="224">
        <f>IF('TINH_LUONG'!$B51="","",'TINH_LUONG'!AP51)</f>
        <v/>
      </c>
      <c r="P51" s="224">
        <f>IF('TINH_LUONG'!$B51="","",'TINH_LUONG'!AS51)</f>
        <v/>
      </c>
      <c r="Q51" s="224">
        <f>IF('TINH_LUONG'!$B51="","",'TINH_LUONG'!AJ51)</f>
        <v/>
      </c>
      <c r="R51" s="224">
        <f>IF('TINH_LUONG'!$B51="","",'TINH_LUONG'!AQ51)</f>
        <v/>
      </c>
      <c r="S51" s="224">
        <f>IF('TINH_LUONG'!$B51="","",'TINH_LUONG'!AR51)</f>
        <v/>
      </c>
      <c r="T51" s="224">
        <f>IF('TINH_LUONG'!$B51="","",'TINH_LUONG'!AU51+'TINH_LUONG'!AV51+'TINH_LUONG'!AW51+'TINH_LUONG'!BV51)</f>
        <v/>
      </c>
      <c r="U51" s="224">
        <f>IF('TINH_LUONG'!$B51="","",'TINH_LUONG'!AX51)</f>
        <v/>
      </c>
      <c r="V51" s="224">
        <f>IF('TINH_LUONG'!$B51="","",'TINH_LUONG'!BT51)</f>
        <v/>
      </c>
      <c r="W51" s="224">
        <f>IF('TINH_LUONG'!$B51="","",'TINH_LUONG'!BU51)</f>
        <v/>
      </c>
      <c r="X51" s="235">
        <f>IF('TINH_LUONG'!$B51="","",'TINH_LUONG'!BW51)</f>
        <v/>
      </c>
      <c r="Y51" s="224">
        <f>IF('TINH_LUONG'!$B51="","",'TINH_LUONG'!BC51)</f>
        <v/>
      </c>
      <c r="Z51" s="224">
        <f>IF('TINH_LUONG'!$B51="","",'TINH_LUONG'!BD51)</f>
        <v/>
      </c>
      <c r="AA51" s="150">
        <f>IF('TINH_LUONG'!$B51="","",'TINH_LUONG'!BG51)</f>
        <v/>
      </c>
    </row>
    <row r="52">
      <c r="A52" s="145">
        <f>IF('TINH_LUONG'!$B52="","",'TINH_LUONG'!A52)</f>
        <v/>
      </c>
      <c r="B52" s="145">
        <f>IF('TINH_LUONG'!$B52="","",'TINH_LUONG'!B52)</f>
        <v/>
      </c>
      <c r="C52" s="145">
        <f>IF('TINH_LUONG'!$B52="","",'TINH_LUONG'!C52)</f>
        <v/>
      </c>
      <c r="D52" s="145">
        <f>IF('TINH_LUONG'!$B52="","",'TINH_LUONG'!D52)</f>
        <v/>
      </c>
      <c r="E52" s="145">
        <f>IF('TINH_LUONG'!$B52="","",'TINH_LUONG'!F52)</f>
        <v/>
      </c>
      <c r="F52" s="145">
        <f>IF('TINH_LUONG'!$B52="","",'TINH_LUONG'!G52)</f>
        <v/>
      </c>
      <c r="G52" s="224">
        <f>IF('TINH_LUONG'!$B52="","",'TINH_LUONG'!O52+'TINH_LUONG'!BO52)</f>
        <v/>
      </c>
      <c r="H52" s="224">
        <f>IF('TINH_LUONG'!$B52="","",SUM('TINH_LUONG'!P52:R52))</f>
        <v/>
      </c>
      <c r="I52" s="224">
        <f>IF('TINH_LUONG'!$B52="","",'TINH_LUONG'!BP52+'TINH_LUONG'!BQ52)</f>
        <v/>
      </c>
      <c r="J52" s="224">
        <f>IF('TINH_LUONG'!$B52="","",'TINH_LUONG'!Z52)</f>
        <v/>
      </c>
      <c r="K52" s="224">
        <f>IF('TINH_LUONG'!$B52="","",'TINH_LUONG'!S52+'TINH_LUONG'!T52)</f>
        <v/>
      </c>
      <c r="L52" s="224">
        <f>IF('TINH_LUONG'!$B52="","",'TINH_LUONG'!W52+'TINH_LUONG'!X52)</f>
        <v/>
      </c>
      <c r="M52" s="224">
        <f>IF('TINH_LUONG'!$B52="","",'TINH_LUONG'!BR52+'TINH_LUONG'!BS52)</f>
        <v/>
      </c>
      <c r="N52" s="224">
        <f>IF('TINH_LUONG'!$B52="","",'TINH_LUONG'!AO52)</f>
        <v/>
      </c>
      <c r="O52" s="224">
        <f>IF('TINH_LUONG'!$B52="","",'TINH_LUONG'!AP52)</f>
        <v/>
      </c>
      <c r="P52" s="224">
        <f>IF('TINH_LUONG'!$B52="","",'TINH_LUONG'!AS52)</f>
        <v/>
      </c>
      <c r="Q52" s="224">
        <f>IF('TINH_LUONG'!$B52="","",'TINH_LUONG'!AJ52)</f>
        <v/>
      </c>
      <c r="R52" s="224">
        <f>IF('TINH_LUONG'!$B52="","",'TINH_LUONG'!AQ52)</f>
        <v/>
      </c>
      <c r="S52" s="224">
        <f>IF('TINH_LUONG'!$B52="","",'TINH_LUONG'!AR52)</f>
        <v/>
      </c>
      <c r="T52" s="224">
        <f>IF('TINH_LUONG'!$B52="","",'TINH_LUONG'!AU52+'TINH_LUONG'!AV52+'TINH_LUONG'!AW52+'TINH_LUONG'!BV52)</f>
        <v/>
      </c>
      <c r="U52" s="224">
        <f>IF('TINH_LUONG'!$B52="","",'TINH_LUONG'!AX52)</f>
        <v/>
      </c>
      <c r="V52" s="224">
        <f>IF('TINH_LUONG'!$B52="","",'TINH_LUONG'!BT52)</f>
        <v/>
      </c>
      <c r="W52" s="224">
        <f>IF('TINH_LUONG'!$B52="","",'TINH_LUONG'!BU52)</f>
        <v/>
      </c>
      <c r="X52" s="235">
        <f>IF('TINH_LUONG'!$B52="","",'TINH_LUONG'!BW52)</f>
        <v/>
      </c>
      <c r="Y52" s="224">
        <f>IF('TINH_LUONG'!$B52="","",'TINH_LUONG'!BC52)</f>
        <v/>
      </c>
      <c r="Z52" s="224">
        <f>IF('TINH_LUONG'!$B52="","",'TINH_LUONG'!BD52)</f>
        <v/>
      </c>
      <c r="AA52" s="150">
        <f>IF('TINH_LUONG'!$B52="","",'TINH_LUONG'!BG52)</f>
        <v/>
      </c>
    </row>
    <row r="53">
      <c r="A53" s="145">
        <f>IF('TINH_LUONG'!$B53="","",'TINH_LUONG'!A53)</f>
        <v/>
      </c>
      <c r="B53" s="145">
        <f>IF('TINH_LUONG'!$B53="","",'TINH_LUONG'!B53)</f>
        <v/>
      </c>
      <c r="C53" s="145">
        <f>IF('TINH_LUONG'!$B53="","",'TINH_LUONG'!C53)</f>
        <v/>
      </c>
      <c r="D53" s="145">
        <f>IF('TINH_LUONG'!$B53="","",'TINH_LUONG'!D53)</f>
        <v/>
      </c>
      <c r="E53" s="145">
        <f>IF('TINH_LUONG'!$B53="","",'TINH_LUONG'!F53)</f>
        <v/>
      </c>
      <c r="F53" s="145">
        <f>IF('TINH_LUONG'!$B53="","",'TINH_LUONG'!G53)</f>
        <v/>
      </c>
      <c r="G53" s="224">
        <f>IF('TINH_LUONG'!$B53="","",'TINH_LUONG'!O53+'TINH_LUONG'!BO53)</f>
        <v/>
      </c>
      <c r="H53" s="224">
        <f>IF('TINH_LUONG'!$B53="","",SUM('TINH_LUONG'!P53:R53))</f>
        <v/>
      </c>
      <c r="I53" s="224">
        <f>IF('TINH_LUONG'!$B53="","",'TINH_LUONG'!BP53+'TINH_LUONG'!BQ53)</f>
        <v/>
      </c>
      <c r="J53" s="224">
        <f>IF('TINH_LUONG'!$B53="","",'TINH_LUONG'!Z53)</f>
        <v/>
      </c>
      <c r="K53" s="224">
        <f>IF('TINH_LUONG'!$B53="","",'TINH_LUONG'!S53+'TINH_LUONG'!T53)</f>
        <v/>
      </c>
      <c r="L53" s="224">
        <f>IF('TINH_LUONG'!$B53="","",'TINH_LUONG'!W53+'TINH_LUONG'!X53)</f>
        <v/>
      </c>
      <c r="M53" s="224">
        <f>IF('TINH_LUONG'!$B53="","",'TINH_LUONG'!BR53+'TINH_LUONG'!BS53)</f>
        <v/>
      </c>
      <c r="N53" s="224">
        <f>IF('TINH_LUONG'!$B53="","",'TINH_LUONG'!AO53)</f>
        <v/>
      </c>
      <c r="O53" s="224">
        <f>IF('TINH_LUONG'!$B53="","",'TINH_LUONG'!AP53)</f>
        <v/>
      </c>
      <c r="P53" s="224">
        <f>IF('TINH_LUONG'!$B53="","",'TINH_LUONG'!AS53)</f>
        <v/>
      </c>
      <c r="Q53" s="224">
        <f>IF('TINH_LUONG'!$B53="","",'TINH_LUONG'!AJ53)</f>
        <v/>
      </c>
      <c r="R53" s="224">
        <f>IF('TINH_LUONG'!$B53="","",'TINH_LUONG'!AQ53)</f>
        <v/>
      </c>
      <c r="S53" s="224">
        <f>IF('TINH_LUONG'!$B53="","",'TINH_LUONG'!AR53)</f>
        <v/>
      </c>
      <c r="T53" s="224">
        <f>IF('TINH_LUONG'!$B53="","",'TINH_LUONG'!AU53+'TINH_LUONG'!AV53+'TINH_LUONG'!AW53+'TINH_LUONG'!BV53)</f>
        <v/>
      </c>
      <c r="U53" s="224">
        <f>IF('TINH_LUONG'!$B53="","",'TINH_LUONG'!AX53)</f>
        <v/>
      </c>
      <c r="V53" s="224">
        <f>IF('TINH_LUONG'!$B53="","",'TINH_LUONG'!BT53)</f>
        <v/>
      </c>
      <c r="W53" s="224">
        <f>IF('TINH_LUONG'!$B53="","",'TINH_LUONG'!BU53)</f>
        <v/>
      </c>
      <c r="X53" s="235">
        <f>IF('TINH_LUONG'!$B53="","",'TINH_LUONG'!BW53)</f>
        <v/>
      </c>
      <c r="Y53" s="224">
        <f>IF('TINH_LUONG'!$B53="","",'TINH_LUONG'!BC53)</f>
        <v/>
      </c>
      <c r="Z53" s="224">
        <f>IF('TINH_LUONG'!$B53="","",'TINH_LUONG'!BD53)</f>
        <v/>
      </c>
      <c r="AA53" s="150">
        <f>IF('TINH_LUONG'!$B53="","",'TINH_LUONG'!BG53)</f>
        <v/>
      </c>
    </row>
    <row r="54">
      <c r="A54" s="145">
        <f>IF('TINH_LUONG'!$B54="","",'TINH_LUONG'!A54)</f>
        <v/>
      </c>
      <c r="B54" s="145">
        <f>IF('TINH_LUONG'!$B54="","",'TINH_LUONG'!B54)</f>
        <v/>
      </c>
      <c r="C54" s="145">
        <f>IF('TINH_LUONG'!$B54="","",'TINH_LUONG'!C54)</f>
        <v/>
      </c>
      <c r="D54" s="145">
        <f>IF('TINH_LUONG'!$B54="","",'TINH_LUONG'!D54)</f>
        <v/>
      </c>
      <c r="E54" s="145">
        <f>IF('TINH_LUONG'!$B54="","",'TINH_LUONG'!F54)</f>
        <v/>
      </c>
      <c r="F54" s="145">
        <f>IF('TINH_LUONG'!$B54="","",'TINH_LUONG'!G54)</f>
        <v/>
      </c>
      <c r="G54" s="224">
        <f>IF('TINH_LUONG'!$B54="","",'TINH_LUONG'!O54+'TINH_LUONG'!BO54)</f>
        <v/>
      </c>
      <c r="H54" s="224">
        <f>IF('TINH_LUONG'!$B54="","",SUM('TINH_LUONG'!P54:R54))</f>
        <v/>
      </c>
      <c r="I54" s="224">
        <f>IF('TINH_LUONG'!$B54="","",'TINH_LUONG'!BP54+'TINH_LUONG'!BQ54)</f>
        <v/>
      </c>
      <c r="J54" s="224">
        <f>IF('TINH_LUONG'!$B54="","",'TINH_LUONG'!Z54)</f>
        <v/>
      </c>
      <c r="K54" s="224">
        <f>IF('TINH_LUONG'!$B54="","",'TINH_LUONG'!S54+'TINH_LUONG'!T54)</f>
        <v/>
      </c>
      <c r="L54" s="224">
        <f>IF('TINH_LUONG'!$B54="","",'TINH_LUONG'!W54+'TINH_LUONG'!X54)</f>
        <v/>
      </c>
      <c r="M54" s="224">
        <f>IF('TINH_LUONG'!$B54="","",'TINH_LUONG'!BR54+'TINH_LUONG'!BS54)</f>
        <v/>
      </c>
      <c r="N54" s="224">
        <f>IF('TINH_LUONG'!$B54="","",'TINH_LUONG'!AO54)</f>
        <v/>
      </c>
      <c r="O54" s="224">
        <f>IF('TINH_LUONG'!$B54="","",'TINH_LUONG'!AP54)</f>
        <v/>
      </c>
      <c r="P54" s="224">
        <f>IF('TINH_LUONG'!$B54="","",'TINH_LUONG'!AS54)</f>
        <v/>
      </c>
      <c r="Q54" s="224">
        <f>IF('TINH_LUONG'!$B54="","",'TINH_LUONG'!AJ54)</f>
        <v/>
      </c>
      <c r="R54" s="224">
        <f>IF('TINH_LUONG'!$B54="","",'TINH_LUONG'!AQ54)</f>
        <v/>
      </c>
      <c r="S54" s="224">
        <f>IF('TINH_LUONG'!$B54="","",'TINH_LUONG'!AR54)</f>
        <v/>
      </c>
      <c r="T54" s="224">
        <f>IF('TINH_LUONG'!$B54="","",'TINH_LUONG'!AU54+'TINH_LUONG'!AV54+'TINH_LUONG'!AW54+'TINH_LUONG'!BV54)</f>
        <v/>
      </c>
      <c r="U54" s="224">
        <f>IF('TINH_LUONG'!$B54="","",'TINH_LUONG'!AX54)</f>
        <v/>
      </c>
      <c r="V54" s="224">
        <f>IF('TINH_LUONG'!$B54="","",'TINH_LUONG'!BT54)</f>
        <v/>
      </c>
      <c r="W54" s="224">
        <f>IF('TINH_LUONG'!$B54="","",'TINH_LUONG'!BU54)</f>
        <v/>
      </c>
      <c r="X54" s="235">
        <f>IF('TINH_LUONG'!$B54="","",'TINH_LUONG'!BW54)</f>
        <v/>
      </c>
      <c r="Y54" s="224">
        <f>IF('TINH_LUONG'!$B54="","",'TINH_LUONG'!BC54)</f>
        <v/>
      </c>
      <c r="Z54" s="224">
        <f>IF('TINH_LUONG'!$B54="","",'TINH_LUONG'!BD54)</f>
        <v/>
      </c>
      <c r="AA54" s="150">
        <f>IF('TINH_LUONG'!$B54="","",'TINH_LUONG'!BG54)</f>
        <v/>
      </c>
    </row>
    <row r="55">
      <c r="A55" s="145">
        <f>IF('TINH_LUONG'!$B55="","",'TINH_LUONG'!A55)</f>
        <v/>
      </c>
      <c r="B55" s="145">
        <f>IF('TINH_LUONG'!$B55="","",'TINH_LUONG'!B55)</f>
        <v/>
      </c>
      <c r="C55" s="145">
        <f>IF('TINH_LUONG'!$B55="","",'TINH_LUONG'!C55)</f>
        <v/>
      </c>
      <c r="D55" s="145">
        <f>IF('TINH_LUONG'!$B55="","",'TINH_LUONG'!D55)</f>
        <v/>
      </c>
      <c r="E55" s="145">
        <f>IF('TINH_LUONG'!$B55="","",'TINH_LUONG'!F55)</f>
        <v/>
      </c>
      <c r="F55" s="145">
        <f>IF('TINH_LUONG'!$B55="","",'TINH_LUONG'!G55)</f>
        <v/>
      </c>
      <c r="G55" s="224">
        <f>IF('TINH_LUONG'!$B55="","",'TINH_LUONG'!O55+'TINH_LUONG'!BO55)</f>
        <v/>
      </c>
      <c r="H55" s="224">
        <f>IF('TINH_LUONG'!$B55="","",SUM('TINH_LUONG'!P55:R55))</f>
        <v/>
      </c>
      <c r="I55" s="224">
        <f>IF('TINH_LUONG'!$B55="","",'TINH_LUONG'!BP55+'TINH_LUONG'!BQ55)</f>
        <v/>
      </c>
      <c r="J55" s="224">
        <f>IF('TINH_LUONG'!$B55="","",'TINH_LUONG'!Z55)</f>
        <v/>
      </c>
      <c r="K55" s="224">
        <f>IF('TINH_LUONG'!$B55="","",'TINH_LUONG'!S55+'TINH_LUONG'!T55)</f>
        <v/>
      </c>
      <c r="L55" s="224">
        <f>IF('TINH_LUONG'!$B55="","",'TINH_LUONG'!W55+'TINH_LUONG'!X55)</f>
        <v/>
      </c>
      <c r="M55" s="224">
        <f>IF('TINH_LUONG'!$B55="","",'TINH_LUONG'!BR55+'TINH_LUONG'!BS55)</f>
        <v/>
      </c>
      <c r="N55" s="224">
        <f>IF('TINH_LUONG'!$B55="","",'TINH_LUONG'!AO55)</f>
        <v/>
      </c>
      <c r="O55" s="224">
        <f>IF('TINH_LUONG'!$B55="","",'TINH_LUONG'!AP55)</f>
        <v/>
      </c>
      <c r="P55" s="224">
        <f>IF('TINH_LUONG'!$B55="","",'TINH_LUONG'!AS55)</f>
        <v/>
      </c>
      <c r="Q55" s="224">
        <f>IF('TINH_LUONG'!$B55="","",'TINH_LUONG'!AJ55)</f>
        <v/>
      </c>
      <c r="R55" s="224">
        <f>IF('TINH_LUONG'!$B55="","",'TINH_LUONG'!AQ55)</f>
        <v/>
      </c>
      <c r="S55" s="224">
        <f>IF('TINH_LUONG'!$B55="","",'TINH_LUONG'!AR55)</f>
        <v/>
      </c>
      <c r="T55" s="224">
        <f>IF('TINH_LUONG'!$B55="","",'TINH_LUONG'!AU55+'TINH_LUONG'!AV55+'TINH_LUONG'!AW55+'TINH_LUONG'!BV55)</f>
        <v/>
      </c>
      <c r="U55" s="224">
        <f>IF('TINH_LUONG'!$B55="","",'TINH_LUONG'!AX55)</f>
        <v/>
      </c>
      <c r="V55" s="224">
        <f>IF('TINH_LUONG'!$B55="","",'TINH_LUONG'!BT55)</f>
        <v/>
      </c>
      <c r="W55" s="224">
        <f>IF('TINH_LUONG'!$B55="","",'TINH_LUONG'!BU55)</f>
        <v/>
      </c>
      <c r="X55" s="235">
        <f>IF('TINH_LUONG'!$B55="","",'TINH_LUONG'!BW55)</f>
        <v/>
      </c>
      <c r="Y55" s="224">
        <f>IF('TINH_LUONG'!$B55="","",'TINH_LUONG'!BC55)</f>
        <v/>
      </c>
      <c r="Z55" s="224">
        <f>IF('TINH_LUONG'!$B55="","",'TINH_LUONG'!BD55)</f>
        <v/>
      </c>
      <c r="AA55" s="150">
        <f>IF('TINH_LUONG'!$B55="","",'TINH_LUONG'!BG55)</f>
        <v/>
      </c>
    </row>
    <row r="56">
      <c r="A56" s="145">
        <f>IF('TINH_LUONG'!$B56="","",'TINH_LUONG'!A56)</f>
        <v/>
      </c>
      <c r="B56" s="145">
        <f>IF('TINH_LUONG'!$B56="","",'TINH_LUONG'!B56)</f>
        <v/>
      </c>
      <c r="C56" s="145">
        <f>IF('TINH_LUONG'!$B56="","",'TINH_LUONG'!C56)</f>
        <v/>
      </c>
      <c r="D56" s="145">
        <f>IF('TINH_LUONG'!$B56="","",'TINH_LUONG'!D56)</f>
        <v/>
      </c>
      <c r="E56" s="145">
        <f>IF('TINH_LUONG'!$B56="","",'TINH_LUONG'!F56)</f>
        <v/>
      </c>
      <c r="F56" s="145">
        <f>IF('TINH_LUONG'!$B56="","",'TINH_LUONG'!G56)</f>
        <v/>
      </c>
      <c r="G56" s="224">
        <f>IF('TINH_LUONG'!$B56="","",'TINH_LUONG'!O56+'TINH_LUONG'!BO56)</f>
        <v/>
      </c>
      <c r="H56" s="224">
        <f>IF('TINH_LUONG'!$B56="","",SUM('TINH_LUONG'!P56:R56))</f>
        <v/>
      </c>
      <c r="I56" s="224">
        <f>IF('TINH_LUONG'!$B56="","",'TINH_LUONG'!BP56+'TINH_LUONG'!BQ56)</f>
        <v/>
      </c>
      <c r="J56" s="224">
        <f>IF('TINH_LUONG'!$B56="","",'TINH_LUONG'!Z56)</f>
        <v/>
      </c>
      <c r="K56" s="224">
        <f>IF('TINH_LUONG'!$B56="","",'TINH_LUONG'!S56+'TINH_LUONG'!T56)</f>
        <v/>
      </c>
      <c r="L56" s="224">
        <f>IF('TINH_LUONG'!$B56="","",'TINH_LUONG'!W56+'TINH_LUONG'!X56)</f>
        <v/>
      </c>
      <c r="M56" s="224">
        <f>IF('TINH_LUONG'!$B56="","",'TINH_LUONG'!BR56+'TINH_LUONG'!BS56)</f>
        <v/>
      </c>
      <c r="N56" s="224">
        <f>IF('TINH_LUONG'!$B56="","",'TINH_LUONG'!AO56)</f>
        <v/>
      </c>
      <c r="O56" s="224">
        <f>IF('TINH_LUONG'!$B56="","",'TINH_LUONG'!AP56)</f>
        <v/>
      </c>
      <c r="P56" s="224">
        <f>IF('TINH_LUONG'!$B56="","",'TINH_LUONG'!AS56)</f>
        <v/>
      </c>
      <c r="Q56" s="224">
        <f>IF('TINH_LUONG'!$B56="","",'TINH_LUONG'!AJ56)</f>
        <v/>
      </c>
      <c r="R56" s="224">
        <f>IF('TINH_LUONG'!$B56="","",'TINH_LUONG'!AQ56)</f>
        <v/>
      </c>
      <c r="S56" s="224">
        <f>IF('TINH_LUONG'!$B56="","",'TINH_LUONG'!AR56)</f>
        <v/>
      </c>
      <c r="T56" s="224">
        <f>IF('TINH_LUONG'!$B56="","",'TINH_LUONG'!AU56+'TINH_LUONG'!AV56+'TINH_LUONG'!AW56+'TINH_LUONG'!BV56)</f>
        <v/>
      </c>
      <c r="U56" s="224">
        <f>IF('TINH_LUONG'!$B56="","",'TINH_LUONG'!AX56)</f>
        <v/>
      </c>
      <c r="V56" s="224">
        <f>IF('TINH_LUONG'!$B56="","",'TINH_LUONG'!BT56)</f>
        <v/>
      </c>
      <c r="W56" s="224">
        <f>IF('TINH_LUONG'!$B56="","",'TINH_LUONG'!BU56)</f>
        <v/>
      </c>
      <c r="X56" s="235">
        <f>IF('TINH_LUONG'!$B56="","",'TINH_LUONG'!BW56)</f>
        <v/>
      </c>
      <c r="Y56" s="224">
        <f>IF('TINH_LUONG'!$B56="","",'TINH_LUONG'!BC56)</f>
        <v/>
      </c>
      <c r="Z56" s="224">
        <f>IF('TINH_LUONG'!$B56="","",'TINH_LUONG'!BD56)</f>
        <v/>
      </c>
      <c r="AA56" s="150">
        <f>IF('TINH_LUONG'!$B56="","",'TINH_LUONG'!BG56)</f>
        <v/>
      </c>
    </row>
    <row r="57">
      <c r="A57" s="145">
        <f>IF('TINH_LUONG'!$B57="","",'TINH_LUONG'!A57)</f>
        <v/>
      </c>
      <c r="B57" s="145">
        <f>IF('TINH_LUONG'!$B57="","",'TINH_LUONG'!B57)</f>
        <v/>
      </c>
      <c r="C57" s="145">
        <f>IF('TINH_LUONG'!$B57="","",'TINH_LUONG'!C57)</f>
        <v/>
      </c>
      <c r="D57" s="145">
        <f>IF('TINH_LUONG'!$B57="","",'TINH_LUONG'!D57)</f>
        <v/>
      </c>
      <c r="E57" s="145">
        <f>IF('TINH_LUONG'!$B57="","",'TINH_LUONG'!F57)</f>
        <v/>
      </c>
      <c r="F57" s="145">
        <f>IF('TINH_LUONG'!$B57="","",'TINH_LUONG'!G57)</f>
        <v/>
      </c>
      <c r="G57" s="224">
        <f>IF('TINH_LUONG'!$B57="","",'TINH_LUONG'!O57+'TINH_LUONG'!BO57)</f>
        <v/>
      </c>
      <c r="H57" s="224">
        <f>IF('TINH_LUONG'!$B57="","",SUM('TINH_LUONG'!P57:R57))</f>
        <v/>
      </c>
      <c r="I57" s="224">
        <f>IF('TINH_LUONG'!$B57="","",'TINH_LUONG'!BP57+'TINH_LUONG'!BQ57)</f>
        <v/>
      </c>
      <c r="J57" s="224">
        <f>IF('TINH_LUONG'!$B57="","",'TINH_LUONG'!Z57)</f>
        <v/>
      </c>
      <c r="K57" s="224">
        <f>IF('TINH_LUONG'!$B57="","",'TINH_LUONG'!S57+'TINH_LUONG'!T57)</f>
        <v/>
      </c>
      <c r="L57" s="224">
        <f>IF('TINH_LUONG'!$B57="","",'TINH_LUONG'!W57+'TINH_LUONG'!X57)</f>
        <v/>
      </c>
      <c r="M57" s="224">
        <f>IF('TINH_LUONG'!$B57="","",'TINH_LUONG'!BR57+'TINH_LUONG'!BS57)</f>
        <v/>
      </c>
      <c r="N57" s="224">
        <f>IF('TINH_LUONG'!$B57="","",'TINH_LUONG'!AO57)</f>
        <v/>
      </c>
      <c r="O57" s="224">
        <f>IF('TINH_LUONG'!$B57="","",'TINH_LUONG'!AP57)</f>
        <v/>
      </c>
      <c r="P57" s="224">
        <f>IF('TINH_LUONG'!$B57="","",'TINH_LUONG'!AS57)</f>
        <v/>
      </c>
      <c r="Q57" s="224">
        <f>IF('TINH_LUONG'!$B57="","",'TINH_LUONG'!AJ57)</f>
        <v/>
      </c>
      <c r="R57" s="224">
        <f>IF('TINH_LUONG'!$B57="","",'TINH_LUONG'!AQ57)</f>
        <v/>
      </c>
      <c r="S57" s="224">
        <f>IF('TINH_LUONG'!$B57="","",'TINH_LUONG'!AR57)</f>
        <v/>
      </c>
      <c r="T57" s="224">
        <f>IF('TINH_LUONG'!$B57="","",'TINH_LUONG'!AU57+'TINH_LUONG'!AV57+'TINH_LUONG'!AW57+'TINH_LUONG'!BV57)</f>
        <v/>
      </c>
      <c r="U57" s="224">
        <f>IF('TINH_LUONG'!$B57="","",'TINH_LUONG'!AX57)</f>
        <v/>
      </c>
      <c r="V57" s="224">
        <f>IF('TINH_LUONG'!$B57="","",'TINH_LUONG'!BT57)</f>
        <v/>
      </c>
      <c r="W57" s="224">
        <f>IF('TINH_LUONG'!$B57="","",'TINH_LUONG'!BU57)</f>
        <v/>
      </c>
      <c r="X57" s="235">
        <f>IF('TINH_LUONG'!$B57="","",'TINH_LUONG'!BW57)</f>
        <v/>
      </c>
      <c r="Y57" s="224">
        <f>IF('TINH_LUONG'!$B57="","",'TINH_LUONG'!BC57)</f>
        <v/>
      </c>
      <c r="Z57" s="224">
        <f>IF('TINH_LUONG'!$B57="","",'TINH_LUONG'!BD57)</f>
        <v/>
      </c>
      <c r="AA57" s="150">
        <f>IF('TINH_LUONG'!$B57="","",'TINH_LUONG'!BG57)</f>
        <v/>
      </c>
    </row>
    <row r="58">
      <c r="A58" s="145">
        <f>IF('TINH_LUONG'!$B58="","",'TINH_LUONG'!A58)</f>
        <v/>
      </c>
      <c r="B58" s="145">
        <f>IF('TINH_LUONG'!$B58="","",'TINH_LUONG'!B58)</f>
        <v/>
      </c>
      <c r="C58" s="145">
        <f>IF('TINH_LUONG'!$B58="","",'TINH_LUONG'!C58)</f>
        <v/>
      </c>
      <c r="D58" s="145">
        <f>IF('TINH_LUONG'!$B58="","",'TINH_LUONG'!D58)</f>
        <v/>
      </c>
      <c r="E58" s="145">
        <f>IF('TINH_LUONG'!$B58="","",'TINH_LUONG'!F58)</f>
        <v/>
      </c>
      <c r="F58" s="145">
        <f>IF('TINH_LUONG'!$B58="","",'TINH_LUONG'!G58)</f>
        <v/>
      </c>
      <c r="G58" s="224">
        <f>IF('TINH_LUONG'!$B58="","",'TINH_LUONG'!O58+'TINH_LUONG'!BO58)</f>
        <v/>
      </c>
      <c r="H58" s="224">
        <f>IF('TINH_LUONG'!$B58="","",SUM('TINH_LUONG'!P58:R58))</f>
        <v/>
      </c>
      <c r="I58" s="224">
        <f>IF('TINH_LUONG'!$B58="","",'TINH_LUONG'!BP58+'TINH_LUONG'!BQ58)</f>
        <v/>
      </c>
      <c r="J58" s="224">
        <f>IF('TINH_LUONG'!$B58="","",'TINH_LUONG'!Z58)</f>
        <v/>
      </c>
      <c r="K58" s="224">
        <f>IF('TINH_LUONG'!$B58="","",'TINH_LUONG'!S58+'TINH_LUONG'!T58)</f>
        <v/>
      </c>
      <c r="L58" s="224">
        <f>IF('TINH_LUONG'!$B58="","",'TINH_LUONG'!W58+'TINH_LUONG'!X58)</f>
        <v/>
      </c>
      <c r="M58" s="224">
        <f>IF('TINH_LUONG'!$B58="","",'TINH_LUONG'!BR58+'TINH_LUONG'!BS58)</f>
        <v/>
      </c>
      <c r="N58" s="224">
        <f>IF('TINH_LUONG'!$B58="","",'TINH_LUONG'!AO58)</f>
        <v/>
      </c>
      <c r="O58" s="224">
        <f>IF('TINH_LUONG'!$B58="","",'TINH_LUONG'!AP58)</f>
        <v/>
      </c>
      <c r="P58" s="224">
        <f>IF('TINH_LUONG'!$B58="","",'TINH_LUONG'!AS58)</f>
        <v/>
      </c>
      <c r="Q58" s="224">
        <f>IF('TINH_LUONG'!$B58="","",'TINH_LUONG'!AJ58)</f>
        <v/>
      </c>
      <c r="R58" s="224">
        <f>IF('TINH_LUONG'!$B58="","",'TINH_LUONG'!AQ58)</f>
        <v/>
      </c>
      <c r="S58" s="224">
        <f>IF('TINH_LUONG'!$B58="","",'TINH_LUONG'!AR58)</f>
        <v/>
      </c>
      <c r="T58" s="224">
        <f>IF('TINH_LUONG'!$B58="","",'TINH_LUONG'!AU58+'TINH_LUONG'!AV58+'TINH_LUONG'!AW58+'TINH_LUONG'!BV58)</f>
        <v/>
      </c>
      <c r="U58" s="224">
        <f>IF('TINH_LUONG'!$B58="","",'TINH_LUONG'!AX58)</f>
        <v/>
      </c>
      <c r="V58" s="224">
        <f>IF('TINH_LUONG'!$B58="","",'TINH_LUONG'!BT58)</f>
        <v/>
      </c>
      <c r="W58" s="224">
        <f>IF('TINH_LUONG'!$B58="","",'TINH_LUONG'!BU58)</f>
        <v/>
      </c>
      <c r="X58" s="235">
        <f>IF('TINH_LUONG'!$B58="","",'TINH_LUONG'!BW58)</f>
        <v/>
      </c>
      <c r="Y58" s="224">
        <f>IF('TINH_LUONG'!$B58="","",'TINH_LUONG'!BC58)</f>
        <v/>
      </c>
      <c r="Z58" s="224">
        <f>IF('TINH_LUONG'!$B58="","",'TINH_LUONG'!BD58)</f>
        <v/>
      </c>
      <c r="AA58" s="150">
        <f>IF('TINH_LUONG'!$B58="","",'TINH_LUONG'!BG58)</f>
        <v/>
      </c>
    </row>
    <row r="59">
      <c r="A59" s="145">
        <f>IF('TINH_LUONG'!$B59="","",'TINH_LUONG'!A59)</f>
        <v/>
      </c>
      <c r="B59" s="145">
        <f>IF('TINH_LUONG'!$B59="","",'TINH_LUONG'!B59)</f>
        <v/>
      </c>
      <c r="C59" s="145">
        <f>IF('TINH_LUONG'!$B59="","",'TINH_LUONG'!C59)</f>
        <v/>
      </c>
      <c r="D59" s="145">
        <f>IF('TINH_LUONG'!$B59="","",'TINH_LUONG'!D59)</f>
        <v/>
      </c>
      <c r="E59" s="145">
        <f>IF('TINH_LUONG'!$B59="","",'TINH_LUONG'!F59)</f>
        <v/>
      </c>
      <c r="F59" s="145">
        <f>IF('TINH_LUONG'!$B59="","",'TINH_LUONG'!G59)</f>
        <v/>
      </c>
      <c r="G59" s="224">
        <f>IF('TINH_LUONG'!$B59="","",'TINH_LUONG'!O59+'TINH_LUONG'!BO59)</f>
        <v/>
      </c>
      <c r="H59" s="224">
        <f>IF('TINH_LUONG'!$B59="","",SUM('TINH_LUONG'!P59:R59))</f>
        <v/>
      </c>
      <c r="I59" s="224">
        <f>IF('TINH_LUONG'!$B59="","",'TINH_LUONG'!BP59+'TINH_LUONG'!BQ59)</f>
        <v/>
      </c>
      <c r="J59" s="224">
        <f>IF('TINH_LUONG'!$B59="","",'TINH_LUONG'!Z59)</f>
        <v/>
      </c>
      <c r="K59" s="224">
        <f>IF('TINH_LUONG'!$B59="","",'TINH_LUONG'!S59+'TINH_LUONG'!T59)</f>
        <v/>
      </c>
      <c r="L59" s="224">
        <f>IF('TINH_LUONG'!$B59="","",'TINH_LUONG'!W59+'TINH_LUONG'!X59)</f>
        <v/>
      </c>
      <c r="M59" s="224">
        <f>IF('TINH_LUONG'!$B59="","",'TINH_LUONG'!BR59+'TINH_LUONG'!BS59)</f>
        <v/>
      </c>
      <c r="N59" s="224">
        <f>IF('TINH_LUONG'!$B59="","",'TINH_LUONG'!AO59)</f>
        <v/>
      </c>
      <c r="O59" s="224">
        <f>IF('TINH_LUONG'!$B59="","",'TINH_LUONG'!AP59)</f>
        <v/>
      </c>
      <c r="P59" s="224">
        <f>IF('TINH_LUONG'!$B59="","",'TINH_LUONG'!AS59)</f>
        <v/>
      </c>
      <c r="Q59" s="224">
        <f>IF('TINH_LUONG'!$B59="","",'TINH_LUONG'!AJ59)</f>
        <v/>
      </c>
      <c r="R59" s="224">
        <f>IF('TINH_LUONG'!$B59="","",'TINH_LUONG'!AQ59)</f>
        <v/>
      </c>
      <c r="S59" s="224">
        <f>IF('TINH_LUONG'!$B59="","",'TINH_LUONG'!AR59)</f>
        <v/>
      </c>
      <c r="T59" s="224">
        <f>IF('TINH_LUONG'!$B59="","",'TINH_LUONG'!AU59+'TINH_LUONG'!AV59+'TINH_LUONG'!AW59+'TINH_LUONG'!BV59)</f>
        <v/>
      </c>
      <c r="U59" s="224">
        <f>IF('TINH_LUONG'!$B59="","",'TINH_LUONG'!AX59)</f>
        <v/>
      </c>
      <c r="V59" s="224">
        <f>IF('TINH_LUONG'!$B59="","",'TINH_LUONG'!BT59)</f>
        <v/>
      </c>
      <c r="W59" s="224">
        <f>IF('TINH_LUONG'!$B59="","",'TINH_LUONG'!BU59)</f>
        <v/>
      </c>
      <c r="X59" s="235">
        <f>IF('TINH_LUONG'!$B59="","",'TINH_LUONG'!BW59)</f>
        <v/>
      </c>
      <c r="Y59" s="224">
        <f>IF('TINH_LUONG'!$B59="","",'TINH_LUONG'!BC59)</f>
        <v/>
      </c>
      <c r="Z59" s="224">
        <f>IF('TINH_LUONG'!$B59="","",'TINH_LUONG'!BD59)</f>
        <v/>
      </c>
      <c r="AA59" s="150">
        <f>IF('TINH_LUONG'!$B59="","",'TINH_LUONG'!BG59)</f>
        <v/>
      </c>
    </row>
    <row r="60">
      <c r="A60" s="145">
        <f>IF('TINH_LUONG'!$B60="","",'TINH_LUONG'!A60)</f>
        <v/>
      </c>
      <c r="B60" s="145">
        <f>IF('TINH_LUONG'!$B60="","",'TINH_LUONG'!B60)</f>
        <v/>
      </c>
      <c r="C60" s="145">
        <f>IF('TINH_LUONG'!$B60="","",'TINH_LUONG'!C60)</f>
        <v/>
      </c>
      <c r="D60" s="145">
        <f>IF('TINH_LUONG'!$B60="","",'TINH_LUONG'!D60)</f>
        <v/>
      </c>
      <c r="E60" s="145">
        <f>IF('TINH_LUONG'!$B60="","",'TINH_LUONG'!F60)</f>
        <v/>
      </c>
      <c r="F60" s="145">
        <f>IF('TINH_LUONG'!$B60="","",'TINH_LUONG'!G60)</f>
        <v/>
      </c>
      <c r="G60" s="224">
        <f>IF('TINH_LUONG'!$B60="","",'TINH_LUONG'!O60+'TINH_LUONG'!BO60)</f>
        <v/>
      </c>
      <c r="H60" s="224">
        <f>IF('TINH_LUONG'!$B60="","",SUM('TINH_LUONG'!P60:R60))</f>
        <v/>
      </c>
      <c r="I60" s="224">
        <f>IF('TINH_LUONG'!$B60="","",'TINH_LUONG'!BP60+'TINH_LUONG'!BQ60)</f>
        <v/>
      </c>
      <c r="J60" s="224">
        <f>IF('TINH_LUONG'!$B60="","",'TINH_LUONG'!Z60)</f>
        <v/>
      </c>
      <c r="K60" s="224">
        <f>IF('TINH_LUONG'!$B60="","",'TINH_LUONG'!S60+'TINH_LUONG'!T60)</f>
        <v/>
      </c>
      <c r="L60" s="224">
        <f>IF('TINH_LUONG'!$B60="","",'TINH_LUONG'!W60+'TINH_LUONG'!X60)</f>
        <v/>
      </c>
      <c r="M60" s="224">
        <f>IF('TINH_LUONG'!$B60="","",'TINH_LUONG'!BR60+'TINH_LUONG'!BS60)</f>
        <v/>
      </c>
      <c r="N60" s="224">
        <f>IF('TINH_LUONG'!$B60="","",'TINH_LUONG'!AO60)</f>
        <v/>
      </c>
      <c r="O60" s="224">
        <f>IF('TINH_LUONG'!$B60="","",'TINH_LUONG'!AP60)</f>
        <v/>
      </c>
      <c r="P60" s="224">
        <f>IF('TINH_LUONG'!$B60="","",'TINH_LUONG'!AS60)</f>
        <v/>
      </c>
      <c r="Q60" s="224">
        <f>IF('TINH_LUONG'!$B60="","",'TINH_LUONG'!AJ60)</f>
        <v/>
      </c>
      <c r="R60" s="224">
        <f>IF('TINH_LUONG'!$B60="","",'TINH_LUONG'!AQ60)</f>
        <v/>
      </c>
      <c r="S60" s="224">
        <f>IF('TINH_LUONG'!$B60="","",'TINH_LUONG'!AR60)</f>
        <v/>
      </c>
      <c r="T60" s="224">
        <f>IF('TINH_LUONG'!$B60="","",'TINH_LUONG'!AU60+'TINH_LUONG'!AV60+'TINH_LUONG'!AW60+'TINH_LUONG'!BV60)</f>
        <v/>
      </c>
      <c r="U60" s="224">
        <f>IF('TINH_LUONG'!$B60="","",'TINH_LUONG'!AX60)</f>
        <v/>
      </c>
      <c r="V60" s="224">
        <f>IF('TINH_LUONG'!$B60="","",'TINH_LUONG'!BT60)</f>
        <v/>
      </c>
      <c r="W60" s="224">
        <f>IF('TINH_LUONG'!$B60="","",'TINH_LUONG'!BU60)</f>
        <v/>
      </c>
      <c r="X60" s="235">
        <f>IF('TINH_LUONG'!$B60="","",'TINH_LUONG'!BW60)</f>
        <v/>
      </c>
      <c r="Y60" s="224">
        <f>IF('TINH_LUONG'!$B60="","",'TINH_LUONG'!BC60)</f>
        <v/>
      </c>
      <c r="Z60" s="224">
        <f>IF('TINH_LUONG'!$B60="","",'TINH_LUONG'!BD60)</f>
        <v/>
      </c>
      <c r="AA60" s="150">
        <f>IF('TINH_LUONG'!$B60="","",'TINH_LUONG'!BG60)</f>
        <v/>
      </c>
    </row>
    <row r="61">
      <c r="A61" s="145">
        <f>IF('TINH_LUONG'!$B61="","",'TINH_LUONG'!A61)</f>
        <v/>
      </c>
      <c r="B61" s="145">
        <f>IF('TINH_LUONG'!$B61="","",'TINH_LUONG'!B61)</f>
        <v/>
      </c>
      <c r="C61" s="145">
        <f>IF('TINH_LUONG'!$B61="","",'TINH_LUONG'!C61)</f>
        <v/>
      </c>
      <c r="D61" s="145">
        <f>IF('TINH_LUONG'!$B61="","",'TINH_LUONG'!D61)</f>
        <v/>
      </c>
      <c r="E61" s="145">
        <f>IF('TINH_LUONG'!$B61="","",'TINH_LUONG'!F61)</f>
        <v/>
      </c>
      <c r="F61" s="145">
        <f>IF('TINH_LUONG'!$B61="","",'TINH_LUONG'!G61)</f>
        <v/>
      </c>
      <c r="G61" s="224">
        <f>IF('TINH_LUONG'!$B61="","",'TINH_LUONG'!O61+'TINH_LUONG'!BO61)</f>
        <v/>
      </c>
      <c r="H61" s="224">
        <f>IF('TINH_LUONG'!$B61="","",SUM('TINH_LUONG'!P61:R61))</f>
        <v/>
      </c>
      <c r="I61" s="224">
        <f>IF('TINH_LUONG'!$B61="","",'TINH_LUONG'!BP61+'TINH_LUONG'!BQ61)</f>
        <v/>
      </c>
      <c r="J61" s="224">
        <f>IF('TINH_LUONG'!$B61="","",'TINH_LUONG'!Z61)</f>
        <v/>
      </c>
      <c r="K61" s="224">
        <f>IF('TINH_LUONG'!$B61="","",'TINH_LUONG'!S61+'TINH_LUONG'!T61)</f>
        <v/>
      </c>
      <c r="L61" s="224">
        <f>IF('TINH_LUONG'!$B61="","",'TINH_LUONG'!W61+'TINH_LUONG'!X61)</f>
        <v/>
      </c>
      <c r="M61" s="224">
        <f>IF('TINH_LUONG'!$B61="","",'TINH_LUONG'!BR61+'TINH_LUONG'!BS61)</f>
        <v/>
      </c>
      <c r="N61" s="224">
        <f>IF('TINH_LUONG'!$B61="","",'TINH_LUONG'!AO61)</f>
        <v/>
      </c>
      <c r="O61" s="224">
        <f>IF('TINH_LUONG'!$B61="","",'TINH_LUONG'!AP61)</f>
        <v/>
      </c>
      <c r="P61" s="224">
        <f>IF('TINH_LUONG'!$B61="","",'TINH_LUONG'!AS61)</f>
        <v/>
      </c>
      <c r="Q61" s="224">
        <f>IF('TINH_LUONG'!$B61="","",'TINH_LUONG'!AJ61)</f>
        <v/>
      </c>
      <c r="R61" s="224">
        <f>IF('TINH_LUONG'!$B61="","",'TINH_LUONG'!AQ61)</f>
        <v/>
      </c>
      <c r="S61" s="224">
        <f>IF('TINH_LUONG'!$B61="","",'TINH_LUONG'!AR61)</f>
        <v/>
      </c>
      <c r="T61" s="224">
        <f>IF('TINH_LUONG'!$B61="","",'TINH_LUONG'!AU61+'TINH_LUONG'!AV61+'TINH_LUONG'!AW61+'TINH_LUONG'!BV61)</f>
        <v/>
      </c>
      <c r="U61" s="224">
        <f>IF('TINH_LUONG'!$B61="","",'TINH_LUONG'!AX61)</f>
        <v/>
      </c>
      <c r="V61" s="224">
        <f>IF('TINH_LUONG'!$B61="","",'TINH_LUONG'!BT61)</f>
        <v/>
      </c>
      <c r="W61" s="224">
        <f>IF('TINH_LUONG'!$B61="","",'TINH_LUONG'!BU61)</f>
        <v/>
      </c>
      <c r="X61" s="235">
        <f>IF('TINH_LUONG'!$B61="","",'TINH_LUONG'!BW61)</f>
        <v/>
      </c>
      <c r="Y61" s="224">
        <f>IF('TINH_LUONG'!$B61="","",'TINH_LUONG'!BC61)</f>
        <v/>
      </c>
      <c r="Z61" s="224">
        <f>IF('TINH_LUONG'!$B61="","",'TINH_LUONG'!BD61)</f>
        <v/>
      </c>
      <c r="AA61" s="150">
        <f>IF('TINH_LUONG'!$B61="","",'TINH_LUONG'!BG61)</f>
        <v/>
      </c>
    </row>
    <row r="62">
      <c r="A62" s="145">
        <f>IF('TINH_LUONG'!$B62="","",'TINH_LUONG'!A62)</f>
        <v/>
      </c>
      <c r="B62" s="145">
        <f>IF('TINH_LUONG'!$B62="","",'TINH_LUONG'!B62)</f>
        <v/>
      </c>
      <c r="C62" s="145">
        <f>IF('TINH_LUONG'!$B62="","",'TINH_LUONG'!C62)</f>
        <v/>
      </c>
      <c r="D62" s="145">
        <f>IF('TINH_LUONG'!$B62="","",'TINH_LUONG'!D62)</f>
        <v/>
      </c>
      <c r="E62" s="145">
        <f>IF('TINH_LUONG'!$B62="","",'TINH_LUONG'!F62)</f>
        <v/>
      </c>
      <c r="F62" s="145">
        <f>IF('TINH_LUONG'!$B62="","",'TINH_LUONG'!G62)</f>
        <v/>
      </c>
      <c r="G62" s="224">
        <f>IF('TINH_LUONG'!$B62="","",'TINH_LUONG'!O62+'TINH_LUONG'!BO62)</f>
        <v/>
      </c>
      <c r="H62" s="224">
        <f>IF('TINH_LUONG'!$B62="","",SUM('TINH_LUONG'!P62:R62))</f>
        <v/>
      </c>
      <c r="I62" s="224">
        <f>IF('TINH_LUONG'!$B62="","",'TINH_LUONG'!BP62+'TINH_LUONG'!BQ62)</f>
        <v/>
      </c>
      <c r="J62" s="224">
        <f>IF('TINH_LUONG'!$B62="","",'TINH_LUONG'!Z62)</f>
        <v/>
      </c>
      <c r="K62" s="224">
        <f>IF('TINH_LUONG'!$B62="","",'TINH_LUONG'!S62+'TINH_LUONG'!T62)</f>
        <v/>
      </c>
      <c r="L62" s="224">
        <f>IF('TINH_LUONG'!$B62="","",'TINH_LUONG'!W62+'TINH_LUONG'!X62)</f>
        <v/>
      </c>
      <c r="M62" s="224">
        <f>IF('TINH_LUONG'!$B62="","",'TINH_LUONG'!BR62+'TINH_LUONG'!BS62)</f>
        <v/>
      </c>
      <c r="N62" s="224">
        <f>IF('TINH_LUONG'!$B62="","",'TINH_LUONG'!AO62)</f>
        <v/>
      </c>
      <c r="O62" s="224">
        <f>IF('TINH_LUONG'!$B62="","",'TINH_LUONG'!AP62)</f>
        <v/>
      </c>
      <c r="P62" s="224">
        <f>IF('TINH_LUONG'!$B62="","",'TINH_LUONG'!AS62)</f>
        <v/>
      </c>
      <c r="Q62" s="224">
        <f>IF('TINH_LUONG'!$B62="","",'TINH_LUONG'!AJ62)</f>
        <v/>
      </c>
      <c r="R62" s="224">
        <f>IF('TINH_LUONG'!$B62="","",'TINH_LUONG'!AQ62)</f>
        <v/>
      </c>
      <c r="S62" s="224">
        <f>IF('TINH_LUONG'!$B62="","",'TINH_LUONG'!AR62)</f>
        <v/>
      </c>
      <c r="T62" s="224">
        <f>IF('TINH_LUONG'!$B62="","",'TINH_LUONG'!AU62+'TINH_LUONG'!AV62+'TINH_LUONG'!AW62+'TINH_LUONG'!BV62)</f>
        <v/>
      </c>
      <c r="U62" s="224">
        <f>IF('TINH_LUONG'!$B62="","",'TINH_LUONG'!AX62)</f>
        <v/>
      </c>
      <c r="V62" s="224">
        <f>IF('TINH_LUONG'!$B62="","",'TINH_LUONG'!BT62)</f>
        <v/>
      </c>
      <c r="W62" s="224">
        <f>IF('TINH_LUONG'!$B62="","",'TINH_LUONG'!BU62)</f>
        <v/>
      </c>
      <c r="X62" s="235">
        <f>IF('TINH_LUONG'!$B62="","",'TINH_LUONG'!BW62)</f>
        <v/>
      </c>
      <c r="Y62" s="224">
        <f>IF('TINH_LUONG'!$B62="","",'TINH_LUONG'!BC62)</f>
        <v/>
      </c>
      <c r="Z62" s="224">
        <f>IF('TINH_LUONG'!$B62="","",'TINH_LUONG'!BD62)</f>
        <v/>
      </c>
      <c r="AA62" s="150">
        <f>IF('TINH_LUONG'!$B62="","",'TINH_LUONG'!BG62)</f>
        <v/>
      </c>
    </row>
    <row r="63">
      <c r="A63" s="145">
        <f>IF('TINH_LUONG'!$B63="","",'TINH_LUONG'!A63)</f>
        <v/>
      </c>
      <c r="B63" s="145">
        <f>IF('TINH_LUONG'!$B63="","",'TINH_LUONG'!B63)</f>
        <v/>
      </c>
      <c r="C63" s="145">
        <f>IF('TINH_LUONG'!$B63="","",'TINH_LUONG'!C63)</f>
        <v/>
      </c>
      <c r="D63" s="145">
        <f>IF('TINH_LUONG'!$B63="","",'TINH_LUONG'!D63)</f>
        <v/>
      </c>
      <c r="E63" s="145">
        <f>IF('TINH_LUONG'!$B63="","",'TINH_LUONG'!F63)</f>
        <v/>
      </c>
      <c r="F63" s="145">
        <f>IF('TINH_LUONG'!$B63="","",'TINH_LUONG'!G63)</f>
        <v/>
      </c>
      <c r="G63" s="224">
        <f>IF('TINH_LUONG'!$B63="","",'TINH_LUONG'!O63+'TINH_LUONG'!BO63)</f>
        <v/>
      </c>
      <c r="H63" s="224">
        <f>IF('TINH_LUONG'!$B63="","",SUM('TINH_LUONG'!P63:R63))</f>
        <v/>
      </c>
      <c r="I63" s="224">
        <f>IF('TINH_LUONG'!$B63="","",'TINH_LUONG'!BP63+'TINH_LUONG'!BQ63)</f>
        <v/>
      </c>
      <c r="J63" s="224">
        <f>IF('TINH_LUONG'!$B63="","",'TINH_LUONG'!Z63)</f>
        <v/>
      </c>
      <c r="K63" s="224">
        <f>IF('TINH_LUONG'!$B63="","",'TINH_LUONG'!S63+'TINH_LUONG'!T63)</f>
        <v/>
      </c>
      <c r="L63" s="224">
        <f>IF('TINH_LUONG'!$B63="","",'TINH_LUONG'!W63+'TINH_LUONG'!X63)</f>
        <v/>
      </c>
      <c r="M63" s="224">
        <f>IF('TINH_LUONG'!$B63="","",'TINH_LUONG'!BR63+'TINH_LUONG'!BS63)</f>
        <v/>
      </c>
      <c r="N63" s="224">
        <f>IF('TINH_LUONG'!$B63="","",'TINH_LUONG'!AO63)</f>
        <v/>
      </c>
      <c r="O63" s="224">
        <f>IF('TINH_LUONG'!$B63="","",'TINH_LUONG'!AP63)</f>
        <v/>
      </c>
      <c r="P63" s="224">
        <f>IF('TINH_LUONG'!$B63="","",'TINH_LUONG'!AS63)</f>
        <v/>
      </c>
      <c r="Q63" s="224">
        <f>IF('TINH_LUONG'!$B63="","",'TINH_LUONG'!AJ63)</f>
        <v/>
      </c>
      <c r="R63" s="224">
        <f>IF('TINH_LUONG'!$B63="","",'TINH_LUONG'!AQ63)</f>
        <v/>
      </c>
      <c r="S63" s="224">
        <f>IF('TINH_LUONG'!$B63="","",'TINH_LUONG'!AR63)</f>
        <v/>
      </c>
      <c r="T63" s="224">
        <f>IF('TINH_LUONG'!$B63="","",'TINH_LUONG'!AU63+'TINH_LUONG'!AV63+'TINH_LUONG'!AW63+'TINH_LUONG'!BV63)</f>
        <v/>
      </c>
      <c r="U63" s="224">
        <f>IF('TINH_LUONG'!$B63="","",'TINH_LUONG'!AX63)</f>
        <v/>
      </c>
      <c r="V63" s="224">
        <f>IF('TINH_LUONG'!$B63="","",'TINH_LUONG'!BT63)</f>
        <v/>
      </c>
      <c r="W63" s="224">
        <f>IF('TINH_LUONG'!$B63="","",'TINH_LUONG'!BU63)</f>
        <v/>
      </c>
      <c r="X63" s="235">
        <f>IF('TINH_LUONG'!$B63="","",'TINH_LUONG'!BW63)</f>
        <v/>
      </c>
      <c r="Y63" s="224">
        <f>IF('TINH_LUONG'!$B63="","",'TINH_LUONG'!BC63)</f>
        <v/>
      </c>
      <c r="Z63" s="224">
        <f>IF('TINH_LUONG'!$B63="","",'TINH_LUONG'!BD63)</f>
        <v/>
      </c>
      <c r="AA63" s="150">
        <f>IF('TINH_LUONG'!$B63="","",'TINH_LUONG'!BG63)</f>
        <v/>
      </c>
    </row>
    <row r="64">
      <c r="A64" s="145">
        <f>IF('TINH_LUONG'!$B64="","",'TINH_LUONG'!A64)</f>
        <v/>
      </c>
      <c r="B64" s="145">
        <f>IF('TINH_LUONG'!$B64="","",'TINH_LUONG'!B64)</f>
        <v/>
      </c>
      <c r="C64" s="145">
        <f>IF('TINH_LUONG'!$B64="","",'TINH_LUONG'!C64)</f>
        <v/>
      </c>
      <c r="D64" s="145">
        <f>IF('TINH_LUONG'!$B64="","",'TINH_LUONG'!D64)</f>
        <v/>
      </c>
      <c r="E64" s="145">
        <f>IF('TINH_LUONG'!$B64="","",'TINH_LUONG'!F64)</f>
        <v/>
      </c>
      <c r="F64" s="145">
        <f>IF('TINH_LUONG'!$B64="","",'TINH_LUONG'!G64)</f>
        <v/>
      </c>
      <c r="G64" s="224">
        <f>IF('TINH_LUONG'!$B64="","",'TINH_LUONG'!O64+'TINH_LUONG'!BO64)</f>
        <v/>
      </c>
      <c r="H64" s="224">
        <f>IF('TINH_LUONG'!$B64="","",SUM('TINH_LUONG'!P64:R64))</f>
        <v/>
      </c>
      <c r="I64" s="224">
        <f>IF('TINH_LUONG'!$B64="","",'TINH_LUONG'!BP64+'TINH_LUONG'!BQ64)</f>
        <v/>
      </c>
      <c r="J64" s="224">
        <f>IF('TINH_LUONG'!$B64="","",'TINH_LUONG'!Z64)</f>
        <v/>
      </c>
      <c r="K64" s="224">
        <f>IF('TINH_LUONG'!$B64="","",'TINH_LUONG'!S64+'TINH_LUONG'!T64)</f>
        <v/>
      </c>
      <c r="L64" s="224">
        <f>IF('TINH_LUONG'!$B64="","",'TINH_LUONG'!W64+'TINH_LUONG'!X64)</f>
        <v/>
      </c>
      <c r="M64" s="224">
        <f>IF('TINH_LUONG'!$B64="","",'TINH_LUONG'!BR64+'TINH_LUONG'!BS64)</f>
        <v/>
      </c>
      <c r="N64" s="224">
        <f>IF('TINH_LUONG'!$B64="","",'TINH_LUONG'!AO64)</f>
        <v/>
      </c>
      <c r="O64" s="224">
        <f>IF('TINH_LUONG'!$B64="","",'TINH_LUONG'!AP64)</f>
        <v/>
      </c>
      <c r="P64" s="224">
        <f>IF('TINH_LUONG'!$B64="","",'TINH_LUONG'!AS64)</f>
        <v/>
      </c>
      <c r="Q64" s="224">
        <f>IF('TINH_LUONG'!$B64="","",'TINH_LUONG'!AJ64)</f>
        <v/>
      </c>
      <c r="R64" s="224">
        <f>IF('TINH_LUONG'!$B64="","",'TINH_LUONG'!AQ64)</f>
        <v/>
      </c>
      <c r="S64" s="224">
        <f>IF('TINH_LUONG'!$B64="","",'TINH_LUONG'!AR64)</f>
        <v/>
      </c>
      <c r="T64" s="224">
        <f>IF('TINH_LUONG'!$B64="","",'TINH_LUONG'!AU64+'TINH_LUONG'!AV64+'TINH_LUONG'!AW64+'TINH_LUONG'!BV64)</f>
        <v/>
      </c>
      <c r="U64" s="224">
        <f>IF('TINH_LUONG'!$B64="","",'TINH_LUONG'!AX64)</f>
        <v/>
      </c>
      <c r="V64" s="224">
        <f>IF('TINH_LUONG'!$B64="","",'TINH_LUONG'!BT64)</f>
        <v/>
      </c>
      <c r="W64" s="224">
        <f>IF('TINH_LUONG'!$B64="","",'TINH_LUONG'!BU64)</f>
        <v/>
      </c>
      <c r="X64" s="235">
        <f>IF('TINH_LUONG'!$B64="","",'TINH_LUONG'!BW64)</f>
        <v/>
      </c>
      <c r="Y64" s="224">
        <f>IF('TINH_LUONG'!$B64="","",'TINH_LUONG'!BC64)</f>
        <v/>
      </c>
      <c r="Z64" s="224">
        <f>IF('TINH_LUONG'!$B64="","",'TINH_LUONG'!BD64)</f>
        <v/>
      </c>
      <c r="AA64" s="150">
        <f>IF('TINH_LUONG'!$B64="","",'TINH_LUONG'!BG64)</f>
        <v/>
      </c>
    </row>
    <row r="65">
      <c r="A65" s="145">
        <f>IF('TINH_LUONG'!$B65="","",'TINH_LUONG'!A65)</f>
        <v/>
      </c>
      <c r="B65" s="145">
        <f>IF('TINH_LUONG'!$B65="","",'TINH_LUONG'!B65)</f>
        <v/>
      </c>
      <c r="C65" s="145">
        <f>IF('TINH_LUONG'!$B65="","",'TINH_LUONG'!C65)</f>
        <v/>
      </c>
      <c r="D65" s="145">
        <f>IF('TINH_LUONG'!$B65="","",'TINH_LUONG'!D65)</f>
        <v/>
      </c>
      <c r="E65" s="145">
        <f>IF('TINH_LUONG'!$B65="","",'TINH_LUONG'!F65)</f>
        <v/>
      </c>
      <c r="F65" s="145">
        <f>IF('TINH_LUONG'!$B65="","",'TINH_LUONG'!G65)</f>
        <v/>
      </c>
      <c r="G65" s="224">
        <f>IF('TINH_LUONG'!$B65="","",'TINH_LUONG'!O65+'TINH_LUONG'!BO65)</f>
        <v/>
      </c>
      <c r="H65" s="224">
        <f>IF('TINH_LUONG'!$B65="","",SUM('TINH_LUONG'!P65:R65))</f>
        <v/>
      </c>
      <c r="I65" s="224">
        <f>IF('TINH_LUONG'!$B65="","",'TINH_LUONG'!BP65+'TINH_LUONG'!BQ65)</f>
        <v/>
      </c>
      <c r="J65" s="224">
        <f>IF('TINH_LUONG'!$B65="","",'TINH_LUONG'!Z65)</f>
        <v/>
      </c>
      <c r="K65" s="224">
        <f>IF('TINH_LUONG'!$B65="","",'TINH_LUONG'!S65+'TINH_LUONG'!T65)</f>
        <v/>
      </c>
      <c r="L65" s="224">
        <f>IF('TINH_LUONG'!$B65="","",'TINH_LUONG'!W65+'TINH_LUONG'!X65)</f>
        <v/>
      </c>
      <c r="M65" s="224">
        <f>IF('TINH_LUONG'!$B65="","",'TINH_LUONG'!BR65+'TINH_LUONG'!BS65)</f>
        <v/>
      </c>
      <c r="N65" s="224">
        <f>IF('TINH_LUONG'!$B65="","",'TINH_LUONG'!AO65)</f>
        <v/>
      </c>
      <c r="O65" s="224">
        <f>IF('TINH_LUONG'!$B65="","",'TINH_LUONG'!AP65)</f>
        <v/>
      </c>
      <c r="P65" s="224">
        <f>IF('TINH_LUONG'!$B65="","",'TINH_LUONG'!AS65)</f>
        <v/>
      </c>
      <c r="Q65" s="224">
        <f>IF('TINH_LUONG'!$B65="","",'TINH_LUONG'!AJ65)</f>
        <v/>
      </c>
      <c r="R65" s="224">
        <f>IF('TINH_LUONG'!$B65="","",'TINH_LUONG'!AQ65)</f>
        <v/>
      </c>
      <c r="S65" s="224">
        <f>IF('TINH_LUONG'!$B65="","",'TINH_LUONG'!AR65)</f>
        <v/>
      </c>
      <c r="T65" s="224">
        <f>IF('TINH_LUONG'!$B65="","",'TINH_LUONG'!AU65+'TINH_LUONG'!AV65+'TINH_LUONG'!AW65+'TINH_LUONG'!BV65)</f>
        <v/>
      </c>
      <c r="U65" s="224">
        <f>IF('TINH_LUONG'!$B65="","",'TINH_LUONG'!AX65)</f>
        <v/>
      </c>
      <c r="V65" s="224">
        <f>IF('TINH_LUONG'!$B65="","",'TINH_LUONG'!BT65)</f>
        <v/>
      </c>
      <c r="W65" s="224">
        <f>IF('TINH_LUONG'!$B65="","",'TINH_LUONG'!BU65)</f>
        <v/>
      </c>
      <c r="X65" s="235">
        <f>IF('TINH_LUONG'!$B65="","",'TINH_LUONG'!BW65)</f>
        <v/>
      </c>
      <c r="Y65" s="224">
        <f>IF('TINH_LUONG'!$B65="","",'TINH_LUONG'!BC65)</f>
        <v/>
      </c>
      <c r="Z65" s="224">
        <f>IF('TINH_LUONG'!$B65="","",'TINH_LUONG'!BD65)</f>
        <v/>
      </c>
      <c r="AA65" s="150">
        <f>IF('TINH_LUONG'!$B65="","",'TINH_LUONG'!BG65)</f>
        <v/>
      </c>
    </row>
    <row r="66">
      <c r="A66" s="145">
        <f>IF('TINH_LUONG'!$B66="","",'TINH_LUONG'!A66)</f>
        <v/>
      </c>
      <c r="B66" s="145">
        <f>IF('TINH_LUONG'!$B66="","",'TINH_LUONG'!B66)</f>
        <v/>
      </c>
      <c r="C66" s="145">
        <f>IF('TINH_LUONG'!$B66="","",'TINH_LUONG'!C66)</f>
        <v/>
      </c>
      <c r="D66" s="145">
        <f>IF('TINH_LUONG'!$B66="","",'TINH_LUONG'!D66)</f>
        <v/>
      </c>
      <c r="E66" s="145">
        <f>IF('TINH_LUONG'!$B66="","",'TINH_LUONG'!F66)</f>
        <v/>
      </c>
      <c r="F66" s="145">
        <f>IF('TINH_LUONG'!$B66="","",'TINH_LUONG'!G66)</f>
        <v/>
      </c>
      <c r="G66" s="224">
        <f>IF('TINH_LUONG'!$B66="","",'TINH_LUONG'!O66+'TINH_LUONG'!BO66)</f>
        <v/>
      </c>
      <c r="H66" s="224">
        <f>IF('TINH_LUONG'!$B66="","",SUM('TINH_LUONG'!P66:R66))</f>
        <v/>
      </c>
      <c r="I66" s="224">
        <f>IF('TINH_LUONG'!$B66="","",'TINH_LUONG'!BP66+'TINH_LUONG'!BQ66)</f>
        <v/>
      </c>
      <c r="J66" s="224">
        <f>IF('TINH_LUONG'!$B66="","",'TINH_LUONG'!Z66)</f>
        <v/>
      </c>
      <c r="K66" s="224">
        <f>IF('TINH_LUONG'!$B66="","",'TINH_LUONG'!S66+'TINH_LUONG'!T66)</f>
        <v/>
      </c>
      <c r="L66" s="224">
        <f>IF('TINH_LUONG'!$B66="","",'TINH_LUONG'!W66+'TINH_LUONG'!X66)</f>
        <v/>
      </c>
      <c r="M66" s="224">
        <f>IF('TINH_LUONG'!$B66="","",'TINH_LUONG'!BR66+'TINH_LUONG'!BS66)</f>
        <v/>
      </c>
      <c r="N66" s="224">
        <f>IF('TINH_LUONG'!$B66="","",'TINH_LUONG'!AO66)</f>
        <v/>
      </c>
      <c r="O66" s="224">
        <f>IF('TINH_LUONG'!$B66="","",'TINH_LUONG'!AP66)</f>
        <v/>
      </c>
      <c r="P66" s="224">
        <f>IF('TINH_LUONG'!$B66="","",'TINH_LUONG'!AS66)</f>
        <v/>
      </c>
      <c r="Q66" s="224">
        <f>IF('TINH_LUONG'!$B66="","",'TINH_LUONG'!AJ66)</f>
        <v/>
      </c>
      <c r="R66" s="224">
        <f>IF('TINH_LUONG'!$B66="","",'TINH_LUONG'!AQ66)</f>
        <v/>
      </c>
      <c r="S66" s="224">
        <f>IF('TINH_LUONG'!$B66="","",'TINH_LUONG'!AR66)</f>
        <v/>
      </c>
      <c r="T66" s="224">
        <f>IF('TINH_LUONG'!$B66="","",'TINH_LUONG'!AU66+'TINH_LUONG'!AV66+'TINH_LUONG'!AW66+'TINH_LUONG'!BV66)</f>
        <v/>
      </c>
      <c r="U66" s="224">
        <f>IF('TINH_LUONG'!$B66="","",'TINH_LUONG'!AX66)</f>
        <v/>
      </c>
      <c r="V66" s="224">
        <f>IF('TINH_LUONG'!$B66="","",'TINH_LUONG'!BT66)</f>
        <v/>
      </c>
      <c r="W66" s="224">
        <f>IF('TINH_LUONG'!$B66="","",'TINH_LUONG'!BU66)</f>
        <v/>
      </c>
      <c r="X66" s="235">
        <f>IF('TINH_LUONG'!$B66="","",'TINH_LUONG'!BW66)</f>
        <v/>
      </c>
      <c r="Y66" s="224">
        <f>IF('TINH_LUONG'!$B66="","",'TINH_LUONG'!BC66)</f>
        <v/>
      </c>
      <c r="Z66" s="224">
        <f>IF('TINH_LUONG'!$B66="","",'TINH_LUONG'!BD66)</f>
        <v/>
      </c>
      <c r="AA66" s="150">
        <f>IF('TINH_LUONG'!$B66="","",'TINH_LUONG'!BG66)</f>
        <v/>
      </c>
    </row>
    <row r="67">
      <c r="A67" s="145">
        <f>IF('TINH_LUONG'!$B67="","",'TINH_LUONG'!A67)</f>
        <v/>
      </c>
      <c r="B67" s="145">
        <f>IF('TINH_LUONG'!$B67="","",'TINH_LUONG'!B67)</f>
        <v/>
      </c>
      <c r="C67" s="145">
        <f>IF('TINH_LUONG'!$B67="","",'TINH_LUONG'!C67)</f>
        <v/>
      </c>
      <c r="D67" s="145">
        <f>IF('TINH_LUONG'!$B67="","",'TINH_LUONG'!D67)</f>
        <v/>
      </c>
      <c r="E67" s="145">
        <f>IF('TINH_LUONG'!$B67="","",'TINH_LUONG'!F67)</f>
        <v/>
      </c>
      <c r="F67" s="145">
        <f>IF('TINH_LUONG'!$B67="","",'TINH_LUONG'!G67)</f>
        <v/>
      </c>
      <c r="G67" s="224">
        <f>IF('TINH_LUONG'!$B67="","",'TINH_LUONG'!O67+'TINH_LUONG'!BO67)</f>
        <v/>
      </c>
      <c r="H67" s="224">
        <f>IF('TINH_LUONG'!$B67="","",SUM('TINH_LUONG'!P67:R67))</f>
        <v/>
      </c>
      <c r="I67" s="224">
        <f>IF('TINH_LUONG'!$B67="","",'TINH_LUONG'!BP67+'TINH_LUONG'!BQ67)</f>
        <v/>
      </c>
      <c r="J67" s="224">
        <f>IF('TINH_LUONG'!$B67="","",'TINH_LUONG'!Z67)</f>
        <v/>
      </c>
      <c r="K67" s="224">
        <f>IF('TINH_LUONG'!$B67="","",'TINH_LUONG'!S67+'TINH_LUONG'!T67)</f>
        <v/>
      </c>
      <c r="L67" s="224">
        <f>IF('TINH_LUONG'!$B67="","",'TINH_LUONG'!W67+'TINH_LUONG'!X67)</f>
        <v/>
      </c>
      <c r="M67" s="224">
        <f>IF('TINH_LUONG'!$B67="","",'TINH_LUONG'!BR67+'TINH_LUONG'!BS67)</f>
        <v/>
      </c>
      <c r="N67" s="224">
        <f>IF('TINH_LUONG'!$B67="","",'TINH_LUONG'!AO67)</f>
        <v/>
      </c>
      <c r="O67" s="224">
        <f>IF('TINH_LUONG'!$B67="","",'TINH_LUONG'!AP67)</f>
        <v/>
      </c>
      <c r="P67" s="224">
        <f>IF('TINH_LUONG'!$B67="","",'TINH_LUONG'!AS67)</f>
        <v/>
      </c>
      <c r="Q67" s="224">
        <f>IF('TINH_LUONG'!$B67="","",'TINH_LUONG'!AJ67)</f>
        <v/>
      </c>
      <c r="R67" s="224">
        <f>IF('TINH_LUONG'!$B67="","",'TINH_LUONG'!AQ67)</f>
        <v/>
      </c>
      <c r="S67" s="224">
        <f>IF('TINH_LUONG'!$B67="","",'TINH_LUONG'!AR67)</f>
        <v/>
      </c>
      <c r="T67" s="224">
        <f>IF('TINH_LUONG'!$B67="","",'TINH_LUONG'!AU67+'TINH_LUONG'!AV67+'TINH_LUONG'!AW67+'TINH_LUONG'!BV67)</f>
        <v/>
      </c>
      <c r="U67" s="224">
        <f>IF('TINH_LUONG'!$B67="","",'TINH_LUONG'!AX67)</f>
        <v/>
      </c>
      <c r="V67" s="224">
        <f>IF('TINH_LUONG'!$B67="","",'TINH_LUONG'!BT67)</f>
        <v/>
      </c>
      <c r="W67" s="224">
        <f>IF('TINH_LUONG'!$B67="","",'TINH_LUONG'!BU67)</f>
        <v/>
      </c>
      <c r="X67" s="235">
        <f>IF('TINH_LUONG'!$B67="","",'TINH_LUONG'!BW67)</f>
        <v/>
      </c>
      <c r="Y67" s="224">
        <f>IF('TINH_LUONG'!$B67="","",'TINH_LUONG'!BC67)</f>
        <v/>
      </c>
      <c r="Z67" s="224">
        <f>IF('TINH_LUONG'!$B67="","",'TINH_LUONG'!BD67)</f>
        <v/>
      </c>
      <c r="AA67" s="150">
        <f>IF('TINH_LUONG'!$B67="","",'TINH_LUONG'!BG67)</f>
        <v/>
      </c>
    </row>
    <row r="68">
      <c r="A68" s="145">
        <f>IF('TINH_LUONG'!$B68="","",'TINH_LUONG'!A68)</f>
        <v/>
      </c>
      <c r="B68" s="145">
        <f>IF('TINH_LUONG'!$B68="","",'TINH_LUONG'!B68)</f>
        <v/>
      </c>
      <c r="C68" s="145">
        <f>IF('TINH_LUONG'!$B68="","",'TINH_LUONG'!C68)</f>
        <v/>
      </c>
      <c r="D68" s="145">
        <f>IF('TINH_LUONG'!$B68="","",'TINH_LUONG'!D68)</f>
        <v/>
      </c>
      <c r="E68" s="145">
        <f>IF('TINH_LUONG'!$B68="","",'TINH_LUONG'!F68)</f>
        <v/>
      </c>
      <c r="F68" s="145">
        <f>IF('TINH_LUONG'!$B68="","",'TINH_LUONG'!G68)</f>
        <v/>
      </c>
      <c r="G68" s="224">
        <f>IF('TINH_LUONG'!$B68="","",'TINH_LUONG'!O68+'TINH_LUONG'!BO68)</f>
        <v/>
      </c>
      <c r="H68" s="224">
        <f>IF('TINH_LUONG'!$B68="","",SUM('TINH_LUONG'!P68:R68))</f>
        <v/>
      </c>
      <c r="I68" s="224">
        <f>IF('TINH_LUONG'!$B68="","",'TINH_LUONG'!BP68+'TINH_LUONG'!BQ68)</f>
        <v/>
      </c>
      <c r="J68" s="224">
        <f>IF('TINH_LUONG'!$B68="","",'TINH_LUONG'!Z68)</f>
        <v/>
      </c>
      <c r="K68" s="224">
        <f>IF('TINH_LUONG'!$B68="","",'TINH_LUONG'!S68+'TINH_LUONG'!T68)</f>
        <v/>
      </c>
      <c r="L68" s="224">
        <f>IF('TINH_LUONG'!$B68="","",'TINH_LUONG'!W68+'TINH_LUONG'!X68)</f>
        <v/>
      </c>
      <c r="M68" s="224">
        <f>IF('TINH_LUONG'!$B68="","",'TINH_LUONG'!BR68+'TINH_LUONG'!BS68)</f>
        <v/>
      </c>
      <c r="N68" s="224">
        <f>IF('TINH_LUONG'!$B68="","",'TINH_LUONG'!AO68)</f>
        <v/>
      </c>
      <c r="O68" s="224">
        <f>IF('TINH_LUONG'!$B68="","",'TINH_LUONG'!AP68)</f>
        <v/>
      </c>
      <c r="P68" s="224">
        <f>IF('TINH_LUONG'!$B68="","",'TINH_LUONG'!AS68)</f>
        <v/>
      </c>
      <c r="Q68" s="224">
        <f>IF('TINH_LUONG'!$B68="","",'TINH_LUONG'!AJ68)</f>
        <v/>
      </c>
      <c r="R68" s="224">
        <f>IF('TINH_LUONG'!$B68="","",'TINH_LUONG'!AQ68)</f>
        <v/>
      </c>
      <c r="S68" s="224">
        <f>IF('TINH_LUONG'!$B68="","",'TINH_LUONG'!AR68)</f>
        <v/>
      </c>
      <c r="T68" s="224">
        <f>IF('TINH_LUONG'!$B68="","",'TINH_LUONG'!AU68+'TINH_LUONG'!AV68+'TINH_LUONG'!AW68+'TINH_LUONG'!BV68)</f>
        <v/>
      </c>
      <c r="U68" s="224">
        <f>IF('TINH_LUONG'!$B68="","",'TINH_LUONG'!AX68)</f>
        <v/>
      </c>
      <c r="V68" s="224">
        <f>IF('TINH_LUONG'!$B68="","",'TINH_LUONG'!BT68)</f>
        <v/>
      </c>
      <c r="W68" s="224">
        <f>IF('TINH_LUONG'!$B68="","",'TINH_LUONG'!BU68)</f>
        <v/>
      </c>
      <c r="X68" s="235">
        <f>IF('TINH_LUONG'!$B68="","",'TINH_LUONG'!BW68)</f>
        <v/>
      </c>
      <c r="Y68" s="224">
        <f>IF('TINH_LUONG'!$B68="","",'TINH_LUONG'!BC68)</f>
        <v/>
      </c>
      <c r="Z68" s="224">
        <f>IF('TINH_LUONG'!$B68="","",'TINH_LUONG'!BD68)</f>
        <v/>
      </c>
      <c r="AA68" s="150">
        <f>IF('TINH_LUONG'!$B68="","",'TINH_LUONG'!BG68)</f>
        <v/>
      </c>
    </row>
    <row r="69">
      <c r="A69" s="145">
        <f>IF('TINH_LUONG'!$B69="","",'TINH_LUONG'!A69)</f>
        <v/>
      </c>
      <c r="B69" s="145">
        <f>IF('TINH_LUONG'!$B69="","",'TINH_LUONG'!B69)</f>
        <v/>
      </c>
      <c r="C69" s="145">
        <f>IF('TINH_LUONG'!$B69="","",'TINH_LUONG'!C69)</f>
        <v/>
      </c>
      <c r="D69" s="145">
        <f>IF('TINH_LUONG'!$B69="","",'TINH_LUONG'!D69)</f>
        <v/>
      </c>
      <c r="E69" s="145">
        <f>IF('TINH_LUONG'!$B69="","",'TINH_LUONG'!F69)</f>
        <v/>
      </c>
      <c r="F69" s="145">
        <f>IF('TINH_LUONG'!$B69="","",'TINH_LUONG'!G69)</f>
        <v/>
      </c>
      <c r="G69" s="224">
        <f>IF('TINH_LUONG'!$B69="","",'TINH_LUONG'!O69+'TINH_LUONG'!BO69)</f>
        <v/>
      </c>
      <c r="H69" s="224">
        <f>IF('TINH_LUONG'!$B69="","",SUM('TINH_LUONG'!P69:R69))</f>
        <v/>
      </c>
      <c r="I69" s="224">
        <f>IF('TINH_LUONG'!$B69="","",'TINH_LUONG'!BP69+'TINH_LUONG'!BQ69)</f>
        <v/>
      </c>
      <c r="J69" s="224">
        <f>IF('TINH_LUONG'!$B69="","",'TINH_LUONG'!Z69)</f>
        <v/>
      </c>
      <c r="K69" s="224">
        <f>IF('TINH_LUONG'!$B69="","",'TINH_LUONG'!S69+'TINH_LUONG'!T69)</f>
        <v/>
      </c>
      <c r="L69" s="224">
        <f>IF('TINH_LUONG'!$B69="","",'TINH_LUONG'!W69+'TINH_LUONG'!X69)</f>
        <v/>
      </c>
      <c r="M69" s="224">
        <f>IF('TINH_LUONG'!$B69="","",'TINH_LUONG'!BR69+'TINH_LUONG'!BS69)</f>
        <v/>
      </c>
      <c r="N69" s="224">
        <f>IF('TINH_LUONG'!$B69="","",'TINH_LUONG'!AO69)</f>
        <v/>
      </c>
      <c r="O69" s="224">
        <f>IF('TINH_LUONG'!$B69="","",'TINH_LUONG'!AP69)</f>
        <v/>
      </c>
      <c r="P69" s="224">
        <f>IF('TINH_LUONG'!$B69="","",'TINH_LUONG'!AS69)</f>
        <v/>
      </c>
      <c r="Q69" s="224">
        <f>IF('TINH_LUONG'!$B69="","",'TINH_LUONG'!AJ69)</f>
        <v/>
      </c>
      <c r="R69" s="224">
        <f>IF('TINH_LUONG'!$B69="","",'TINH_LUONG'!AQ69)</f>
        <v/>
      </c>
      <c r="S69" s="224">
        <f>IF('TINH_LUONG'!$B69="","",'TINH_LUONG'!AR69)</f>
        <v/>
      </c>
      <c r="T69" s="224">
        <f>IF('TINH_LUONG'!$B69="","",'TINH_LUONG'!AU69+'TINH_LUONG'!AV69+'TINH_LUONG'!AW69+'TINH_LUONG'!BV69)</f>
        <v/>
      </c>
      <c r="U69" s="224">
        <f>IF('TINH_LUONG'!$B69="","",'TINH_LUONG'!AX69)</f>
        <v/>
      </c>
      <c r="V69" s="224">
        <f>IF('TINH_LUONG'!$B69="","",'TINH_LUONG'!BT69)</f>
        <v/>
      </c>
      <c r="W69" s="224">
        <f>IF('TINH_LUONG'!$B69="","",'TINH_LUONG'!BU69)</f>
        <v/>
      </c>
      <c r="X69" s="235">
        <f>IF('TINH_LUONG'!$B69="","",'TINH_LUONG'!BW69)</f>
        <v/>
      </c>
      <c r="Y69" s="224">
        <f>IF('TINH_LUONG'!$B69="","",'TINH_LUONG'!BC69)</f>
        <v/>
      </c>
      <c r="Z69" s="224">
        <f>IF('TINH_LUONG'!$B69="","",'TINH_LUONG'!BD69)</f>
        <v/>
      </c>
      <c r="AA69" s="150">
        <f>IF('TINH_LUONG'!$B69="","",'TINH_LUONG'!BG69)</f>
        <v/>
      </c>
    </row>
    <row r="70">
      <c r="A70" s="145">
        <f>IF('TINH_LUONG'!$B70="","",'TINH_LUONG'!A70)</f>
        <v/>
      </c>
      <c r="B70" s="145">
        <f>IF('TINH_LUONG'!$B70="","",'TINH_LUONG'!B70)</f>
        <v/>
      </c>
      <c r="C70" s="145">
        <f>IF('TINH_LUONG'!$B70="","",'TINH_LUONG'!C70)</f>
        <v/>
      </c>
      <c r="D70" s="145">
        <f>IF('TINH_LUONG'!$B70="","",'TINH_LUONG'!D70)</f>
        <v/>
      </c>
      <c r="E70" s="145">
        <f>IF('TINH_LUONG'!$B70="","",'TINH_LUONG'!F70)</f>
        <v/>
      </c>
      <c r="F70" s="145">
        <f>IF('TINH_LUONG'!$B70="","",'TINH_LUONG'!G70)</f>
        <v/>
      </c>
      <c r="G70" s="224">
        <f>IF('TINH_LUONG'!$B70="","",'TINH_LUONG'!O70+'TINH_LUONG'!BO70)</f>
        <v/>
      </c>
      <c r="H70" s="224">
        <f>IF('TINH_LUONG'!$B70="","",SUM('TINH_LUONG'!P70:R70))</f>
        <v/>
      </c>
      <c r="I70" s="224">
        <f>IF('TINH_LUONG'!$B70="","",'TINH_LUONG'!BP70+'TINH_LUONG'!BQ70)</f>
        <v/>
      </c>
      <c r="J70" s="224">
        <f>IF('TINH_LUONG'!$B70="","",'TINH_LUONG'!Z70)</f>
        <v/>
      </c>
      <c r="K70" s="224">
        <f>IF('TINH_LUONG'!$B70="","",'TINH_LUONG'!S70+'TINH_LUONG'!T70)</f>
        <v/>
      </c>
      <c r="L70" s="224">
        <f>IF('TINH_LUONG'!$B70="","",'TINH_LUONG'!W70+'TINH_LUONG'!X70)</f>
        <v/>
      </c>
      <c r="M70" s="224">
        <f>IF('TINH_LUONG'!$B70="","",'TINH_LUONG'!BR70+'TINH_LUONG'!BS70)</f>
        <v/>
      </c>
      <c r="N70" s="224">
        <f>IF('TINH_LUONG'!$B70="","",'TINH_LUONG'!AO70)</f>
        <v/>
      </c>
      <c r="O70" s="224">
        <f>IF('TINH_LUONG'!$B70="","",'TINH_LUONG'!AP70)</f>
        <v/>
      </c>
      <c r="P70" s="224">
        <f>IF('TINH_LUONG'!$B70="","",'TINH_LUONG'!AS70)</f>
        <v/>
      </c>
      <c r="Q70" s="224">
        <f>IF('TINH_LUONG'!$B70="","",'TINH_LUONG'!AJ70)</f>
        <v/>
      </c>
      <c r="R70" s="224">
        <f>IF('TINH_LUONG'!$B70="","",'TINH_LUONG'!AQ70)</f>
        <v/>
      </c>
      <c r="S70" s="224">
        <f>IF('TINH_LUONG'!$B70="","",'TINH_LUONG'!AR70)</f>
        <v/>
      </c>
      <c r="T70" s="224">
        <f>IF('TINH_LUONG'!$B70="","",'TINH_LUONG'!AU70+'TINH_LUONG'!AV70+'TINH_LUONG'!AW70+'TINH_LUONG'!BV70)</f>
        <v/>
      </c>
      <c r="U70" s="224">
        <f>IF('TINH_LUONG'!$B70="","",'TINH_LUONG'!AX70)</f>
        <v/>
      </c>
      <c r="V70" s="224">
        <f>IF('TINH_LUONG'!$B70="","",'TINH_LUONG'!BT70)</f>
        <v/>
      </c>
      <c r="W70" s="224">
        <f>IF('TINH_LUONG'!$B70="","",'TINH_LUONG'!BU70)</f>
        <v/>
      </c>
      <c r="X70" s="235">
        <f>IF('TINH_LUONG'!$B70="","",'TINH_LUONG'!BW70)</f>
        <v/>
      </c>
      <c r="Y70" s="224">
        <f>IF('TINH_LUONG'!$B70="","",'TINH_LUONG'!BC70)</f>
        <v/>
      </c>
      <c r="Z70" s="224">
        <f>IF('TINH_LUONG'!$B70="","",'TINH_LUONG'!BD70)</f>
        <v/>
      </c>
      <c r="AA70" s="150">
        <f>IF('TINH_LUONG'!$B70="","",'TINH_LUONG'!BG70)</f>
        <v/>
      </c>
    </row>
    <row r="71">
      <c r="A71" s="145">
        <f>IF('TINH_LUONG'!$B71="","",'TINH_LUONG'!A71)</f>
        <v/>
      </c>
      <c r="B71" s="145">
        <f>IF('TINH_LUONG'!$B71="","",'TINH_LUONG'!B71)</f>
        <v/>
      </c>
      <c r="C71" s="145">
        <f>IF('TINH_LUONG'!$B71="","",'TINH_LUONG'!C71)</f>
        <v/>
      </c>
      <c r="D71" s="145">
        <f>IF('TINH_LUONG'!$B71="","",'TINH_LUONG'!D71)</f>
        <v/>
      </c>
      <c r="E71" s="145">
        <f>IF('TINH_LUONG'!$B71="","",'TINH_LUONG'!F71)</f>
        <v/>
      </c>
      <c r="F71" s="145">
        <f>IF('TINH_LUONG'!$B71="","",'TINH_LUONG'!G71)</f>
        <v/>
      </c>
      <c r="G71" s="224">
        <f>IF('TINH_LUONG'!$B71="","",'TINH_LUONG'!O71+'TINH_LUONG'!BO71)</f>
        <v/>
      </c>
      <c r="H71" s="224">
        <f>IF('TINH_LUONG'!$B71="","",SUM('TINH_LUONG'!P71:R71))</f>
        <v/>
      </c>
      <c r="I71" s="224">
        <f>IF('TINH_LUONG'!$B71="","",'TINH_LUONG'!BP71+'TINH_LUONG'!BQ71)</f>
        <v/>
      </c>
      <c r="J71" s="224">
        <f>IF('TINH_LUONG'!$B71="","",'TINH_LUONG'!Z71)</f>
        <v/>
      </c>
      <c r="K71" s="224">
        <f>IF('TINH_LUONG'!$B71="","",'TINH_LUONG'!S71+'TINH_LUONG'!T71)</f>
        <v/>
      </c>
      <c r="L71" s="224">
        <f>IF('TINH_LUONG'!$B71="","",'TINH_LUONG'!W71+'TINH_LUONG'!X71)</f>
        <v/>
      </c>
      <c r="M71" s="224">
        <f>IF('TINH_LUONG'!$B71="","",'TINH_LUONG'!BR71+'TINH_LUONG'!BS71)</f>
        <v/>
      </c>
      <c r="N71" s="224">
        <f>IF('TINH_LUONG'!$B71="","",'TINH_LUONG'!AO71)</f>
        <v/>
      </c>
      <c r="O71" s="224">
        <f>IF('TINH_LUONG'!$B71="","",'TINH_LUONG'!AP71)</f>
        <v/>
      </c>
      <c r="P71" s="224">
        <f>IF('TINH_LUONG'!$B71="","",'TINH_LUONG'!AS71)</f>
        <v/>
      </c>
      <c r="Q71" s="224">
        <f>IF('TINH_LUONG'!$B71="","",'TINH_LUONG'!AJ71)</f>
        <v/>
      </c>
      <c r="R71" s="224">
        <f>IF('TINH_LUONG'!$B71="","",'TINH_LUONG'!AQ71)</f>
        <v/>
      </c>
      <c r="S71" s="224">
        <f>IF('TINH_LUONG'!$B71="","",'TINH_LUONG'!AR71)</f>
        <v/>
      </c>
      <c r="T71" s="224">
        <f>IF('TINH_LUONG'!$B71="","",'TINH_LUONG'!AU71+'TINH_LUONG'!AV71+'TINH_LUONG'!AW71+'TINH_LUONG'!BV71)</f>
        <v/>
      </c>
      <c r="U71" s="224">
        <f>IF('TINH_LUONG'!$B71="","",'TINH_LUONG'!AX71)</f>
        <v/>
      </c>
      <c r="V71" s="224">
        <f>IF('TINH_LUONG'!$B71="","",'TINH_LUONG'!BT71)</f>
        <v/>
      </c>
      <c r="W71" s="224">
        <f>IF('TINH_LUONG'!$B71="","",'TINH_LUONG'!BU71)</f>
        <v/>
      </c>
      <c r="X71" s="235">
        <f>IF('TINH_LUONG'!$B71="","",'TINH_LUONG'!BW71)</f>
        <v/>
      </c>
      <c r="Y71" s="224">
        <f>IF('TINH_LUONG'!$B71="","",'TINH_LUONG'!BC71)</f>
        <v/>
      </c>
      <c r="Z71" s="224">
        <f>IF('TINH_LUONG'!$B71="","",'TINH_LUONG'!BD71)</f>
        <v/>
      </c>
      <c r="AA71" s="150">
        <f>IF('TINH_LUONG'!$B71="","",'TINH_LUONG'!BG71)</f>
        <v/>
      </c>
    </row>
    <row r="72">
      <c r="A72" s="145">
        <f>IF('TINH_LUONG'!$B72="","",'TINH_LUONG'!A72)</f>
        <v/>
      </c>
      <c r="B72" s="145">
        <f>IF('TINH_LUONG'!$B72="","",'TINH_LUONG'!B72)</f>
        <v/>
      </c>
      <c r="C72" s="145">
        <f>IF('TINH_LUONG'!$B72="","",'TINH_LUONG'!C72)</f>
        <v/>
      </c>
      <c r="D72" s="145">
        <f>IF('TINH_LUONG'!$B72="","",'TINH_LUONG'!D72)</f>
        <v/>
      </c>
      <c r="E72" s="145">
        <f>IF('TINH_LUONG'!$B72="","",'TINH_LUONG'!F72)</f>
        <v/>
      </c>
      <c r="F72" s="145">
        <f>IF('TINH_LUONG'!$B72="","",'TINH_LUONG'!G72)</f>
        <v/>
      </c>
      <c r="G72" s="224">
        <f>IF('TINH_LUONG'!$B72="","",'TINH_LUONG'!O72+'TINH_LUONG'!BO72)</f>
        <v/>
      </c>
      <c r="H72" s="224">
        <f>IF('TINH_LUONG'!$B72="","",SUM('TINH_LUONG'!P72:R72))</f>
        <v/>
      </c>
      <c r="I72" s="224">
        <f>IF('TINH_LUONG'!$B72="","",'TINH_LUONG'!BP72+'TINH_LUONG'!BQ72)</f>
        <v/>
      </c>
      <c r="J72" s="224">
        <f>IF('TINH_LUONG'!$B72="","",'TINH_LUONG'!Z72)</f>
        <v/>
      </c>
      <c r="K72" s="224">
        <f>IF('TINH_LUONG'!$B72="","",'TINH_LUONG'!S72+'TINH_LUONG'!T72)</f>
        <v/>
      </c>
      <c r="L72" s="224">
        <f>IF('TINH_LUONG'!$B72="","",'TINH_LUONG'!W72+'TINH_LUONG'!X72)</f>
        <v/>
      </c>
      <c r="M72" s="224">
        <f>IF('TINH_LUONG'!$B72="","",'TINH_LUONG'!BR72+'TINH_LUONG'!BS72)</f>
        <v/>
      </c>
      <c r="N72" s="224">
        <f>IF('TINH_LUONG'!$B72="","",'TINH_LUONG'!AO72)</f>
        <v/>
      </c>
      <c r="O72" s="224">
        <f>IF('TINH_LUONG'!$B72="","",'TINH_LUONG'!AP72)</f>
        <v/>
      </c>
      <c r="P72" s="224">
        <f>IF('TINH_LUONG'!$B72="","",'TINH_LUONG'!AS72)</f>
        <v/>
      </c>
      <c r="Q72" s="224">
        <f>IF('TINH_LUONG'!$B72="","",'TINH_LUONG'!AJ72)</f>
        <v/>
      </c>
      <c r="R72" s="224">
        <f>IF('TINH_LUONG'!$B72="","",'TINH_LUONG'!AQ72)</f>
        <v/>
      </c>
      <c r="S72" s="224">
        <f>IF('TINH_LUONG'!$B72="","",'TINH_LUONG'!AR72)</f>
        <v/>
      </c>
      <c r="T72" s="224">
        <f>IF('TINH_LUONG'!$B72="","",'TINH_LUONG'!AU72+'TINH_LUONG'!AV72+'TINH_LUONG'!AW72+'TINH_LUONG'!BV72)</f>
        <v/>
      </c>
      <c r="U72" s="224">
        <f>IF('TINH_LUONG'!$B72="","",'TINH_LUONG'!AX72)</f>
        <v/>
      </c>
      <c r="V72" s="224">
        <f>IF('TINH_LUONG'!$B72="","",'TINH_LUONG'!BT72)</f>
        <v/>
      </c>
      <c r="W72" s="224">
        <f>IF('TINH_LUONG'!$B72="","",'TINH_LUONG'!BU72)</f>
        <v/>
      </c>
      <c r="X72" s="235">
        <f>IF('TINH_LUONG'!$B72="","",'TINH_LUONG'!BW72)</f>
        <v/>
      </c>
      <c r="Y72" s="224">
        <f>IF('TINH_LUONG'!$B72="","",'TINH_LUONG'!BC72)</f>
        <v/>
      </c>
      <c r="Z72" s="224">
        <f>IF('TINH_LUONG'!$B72="","",'TINH_LUONG'!BD72)</f>
        <v/>
      </c>
      <c r="AA72" s="150">
        <f>IF('TINH_LUONG'!$B72="","",'TINH_LUONG'!BG72)</f>
        <v/>
      </c>
    </row>
    <row r="73">
      <c r="A73" s="145">
        <f>IF('TINH_LUONG'!$B73="","",'TINH_LUONG'!A73)</f>
        <v/>
      </c>
      <c r="B73" s="145">
        <f>IF('TINH_LUONG'!$B73="","",'TINH_LUONG'!B73)</f>
        <v/>
      </c>
      <c r="C73" s="145">
        <f>IF('TINH_LUONG'!$B73="","",'TINH_LUONG'!C73)</f>
        <v/>
      </c>
      <c r="D73" s="145">
        <f>IF('TINH_LUONG'!$B73="","",'TINH_LUONG'!D73)</f>
        <v/>
      </c>
      <c r="E73" s="145">
        <f>IF('TINH_LUONG'!$B73="","",'TINH_LUONG'!F73)</f>
        <v/>
      </c>
      <c r="F73" s="145">
        <f>IF('TINH_LUONG'!$B73="","",'TINH_LUONG'!G73)</f>
        <v/>
      </c>
      <c r="G73" s="224">
        <f>IF('TINH_LUONG'!$B73="","",'TINH_LUONG'!O73+'TINH_LUONG'!BO73)</f>
        <v/>
      </c>
      <c r="H73" s="224">
        <f>IF('TINH_LUONG'!$B73="","",SUM('TINH_LUONG'!P73:R73))</f>
        <v/>
      </c>
      <c r="I73" s="224">
        <f>IF('TINH_LUONG'!$B73="","",'TINH_LUONG'!BP73+'TINH_LUONG'!BQ73)</f>
        <v/>
      </c>
      <c r="J73" s="224">
        <f>IF('TINH_LUONG'!$B73="","",'TINH_LUONG'!Z73)</f>
        <v/>
      </c>
      <c r="K73" s="224">
        <f>IF('TINH_LUONG'!$B73="","",'TINH_LUONG'!S73+'TINH_LUONG'!T73)</f>
        <v/>
      </c>
      <c r="L73" s="224">
        <f>IF('TINH_LUONG'!$B73="","",'TINH_LUONG'!W73+'TINH_LUONG'!X73)</f>
        <v/>
      </c>
      <c r="M73" s="224">
        <f>IF('TINH_LUONG'!$B73="","",'TINH_LUONG'!BR73+'TINH_LUONG'!BS73)</f>
        <v/>
      </c>
      <c r="N73" s="224">
        <f>IF('TINH_LUONG'!$B73="","",'TINH_LUONG'!AO73)</f>
        <v/>
      </c>
      <c r="O73" s="224">
        <f>IF('TINH_LUONG'!$B73="","",'TINH_LUONG'!AP73)</f>
        <v/>
      </c>
      <c r="P73" s="224">
        <f>IF('TINH_LUONG'!$B73="","",'TINH_LUONG'!AS73)</f>
        <v/>
      </c>
      <c r="Q73" s="224">
        <f>IF('TINH_LUONG'!$B73="","",'TINH_LUONG'!AJ73)</f>
        <v/>
      </c>
      <c r="R73" s="224">
        <f>IF('TINH_LUONG'!$B73="","",'TINH_LUONG'!AQ73)</f>
        <v/>
      </c>
      <c r="S73" s="224">
        <f>IF('TINH_LUONG'!$B73="","",'TINH_LUONG'!AR73)</f>
        <v/>
      </c>
      <c r="T73" s="224">
        <f>IF('TINH_LUONG'!$B73="","",'TINH_LUONG'!AU73+'TINH_LUONG'!AV73+'TINH_LUONG'!AW73+'TINH_LUONG'!BV73)</f>
        <v/>
      </c>
      <c r="U73" s="224">
        <f>IF('TINH_LUONG'!$B73="","",'TINH_LUONG'!AX73)</f>
        <v/>
      </c>
      <c r="V73" s="224">
        <f>IF('TINH_LUONG'!$B73="","",'TINH_LUONG'!BT73)</f>
        <v/>
      </c>
      <c r="W73" s="224">
        <f>IF('TINH_LUONG'!$B73="","",'TINH_LUONG'!BU73)</f>
        <v/>
      </c>
      <c r="X73" s="235">
        <f>IF('TINH_LUONG'!$B73="","",'TINH_LUONG'!BW73)</f>
        <v/>
      </c>
      <c r="Y73" s="224">
        <f>IF('TINH_LUONG'!$B73="","",'TINH_LUONG'!BC73)</f>
        <v/>
      </c>
      <c r="Z73" s="224">
        <f>IF('TINH_LUONG'!$B73="","",'TINH_LUONG'!BD73)</f>
        <v/>
      </c>
      <c r="AA73" s="150">
        <f>IF('TINH_LUONG'!$B73="","",'TINH_LUONG'!BG73)</f>
        <v/>
      </c>
    </row>
    <row r="74">
      <c r="A74" s="145">
        <f>IF('TINH_LUONG'!$B74="","",'TINH_LUONG'!A74)</f>
        <v/>
      </c>
      <c r="B74" s="145">
        <f>IF('TINH_LUONG'!$B74="","",'TINH_LUONG'!B74)</f>
        <v/>
      </c>
      <c r="C74" s="145">
        <f>IF('TINH_LUONG'!$B74="","",'TINH_LUONG'!C74)</f>
        <v/>
      </c>
      <c r="D74" s="145">
        <f>IF('TINH_LUONG'!$B74="","",'TINH_LUONG'!D74)</f>
        <v/>
      </c>
      <c r="E74" s="145">
        <f>IF('TINH_LUONG'!$B74="","",'TINH_LUONG'!F74)</f>
        <v/>
      </c>
      <c r="F74" s="145">
        <f>IF('TINH_LUONG'!$B74="","",'TINH_LUONG'!G74)</f>
        <v/>
      </c>
      <c r="G74" s="224">
        <f>IF('TINH_LUONG'!$B74="","",'TINH_LUONG'!O74+'TINH_LUONG'!BO74)</f>
        <v/>
      </c>
      <c r="H74" s="224">
        <f>IF('TINH_LUONG'!$B74="","",SUM('TINH_LUONG'!P74:R74))</f>
        <v/>
      </c>
      <c r="I74" s="224">
        <f>IF('TINH_LUONG'!$B74="","",'TINH_LUONG'!BP74+'TINH_LUONG'!BQ74)</f>
        <v/>
      </c>
      <c r="J74" s="224">
        <f>IF('TINH_LUONG'!$B74="","",'TINH_LUONG'!Z74)</f>
        <v/>
      </c>
      <c r="K74" s="224">
        <f>IF('TINH_LUONG'!$B74="","",'TINH_LUONG'!S74+'TINH_LUONG'!T74)</f>
        <v/>
      </c>
      <c r="L74" s="224">
        <f>IF('TINH_LUONG'!$B74="","",'TINH_LUONG'!W74+'TINH_LUONG'!X74)</f>
        <v/>
      </c>
      <c r="M74" s="224">
        <f>IF('TINH_LUONG'!$B74="","",'TINH_LUONG'!BR74+'TINH_LUONG'!BS74)</f>
        <v/>
      </c>
      <c r="N74" s="224">
        <f>IF('TINH_LUONG'!$B74="","",'TINH_LUONG'!AO74)</f>
        <v/>
      </c>
      <c r="O74" s="224">
        <f>IF('TINH_LUONG'!$B74="","",'TINH_LUONG'!AP74)</f>
        <v/>
      </c>
      <c r="P74" s="224">
        <f>IF('TINH_LUONG'!$B74="","",'TINH_LUONG'!AS74)</f>
        <v/>
      </c>
      <c r="Q74" s="224">
        <f>IF('TINH_LUONG'!$B74="","",'TINH_LUONG'!AJ74)</f>
        <v/>
      </c>
      <c r="R74" s="224">
        <f>IF('TINH_LUONG'!$B74="","",'TINH_LUONG'!AQ74)</f>
        <v/>
      </c>
      <c r="S74" s="224">
        <f>IF('TINH_LUONG'!$B74="","",'TINH_LUONG'!AR74)</f>
        <v/>
      </c>
      <c r="T74" s="224">
        <f>IF('TINH_LUONG'!$B74="","",'TINH_LUONG'!AU74+'TINH_LUONG'!AV74+'TINH_LUONG'!AW74+'TINH_LUONG'!BV74)</f>
        <v/>
      </c>
      <c r="U74" s="224">
        <f>IF('TINH_LUONG'!$B74="","",'TINH_LUONG'!AX74)</f>
        <v/>
      </c>
      <c r="V74" s="224">
        <f>IF('TINH_LUONG'!$B74="","",'TINH_LUONG'!BT74)</f>
        <v/>
      </c>
      <c r="W74" s="224">
        <f>IF('TINH_LUONG'!$B74="","",'TINH_LUONG'!BU74)</f>
        <v/>
      </c>
      <c r="X74" s="235">
        <f>IF('TINH_LUONG'!$B74="","",'TINH_LUONG'!BW74)</f>
        <v/>
      </c>
      <c r="Y74" s="224">
        <f>IF('TINH_LUONG'!$B74="","",'TINH_LUONG'!BC74)</f>
        <v/>
      </c>
      <c r="Z74" s="224">
        <f>IF('TINH_LUONG'!$B74="","",'TINH_LUONG'!BD74)</f>
        <v/>
      </c>
      <c r="AA74" s="150">
        <f>IF('TINH_LUONG'!$B74="","",'TINH_LUONG'!BG74)</f>
        <v/>
      </c>
    </row>
    <row r="75">
      <c r="A75" s="145">
        <f>IF('TINH_LUONG'!$B75="","",'TINH_LUONG'!A75)</f>
        <v/>
      </c>
      <c r="B75" s="145">
        <f>IF('TINH_LUONG'!$B75="","",'TINH_LUONG'!B75)</f>
        <v/>
      </c>
      <c r="C75" s="145">
        <f>IF('TINH_LUONG'!$B75="","",'TINH_LUONG'!C75)</f>
        <v/>
      </c>
      <c r="D75" s="145">
        <f>IF('TINH_LUONG'!$B75="","",'TINH_LUONG'!D75)</f>
        <v/>
      </c>
      <c r="E75" s="145">
        <f>IF('TINH_LUONG'!$B75="","",'TINH_LUONG'!F75)</f>
        <v/>
      </c>
      <c r="F75" s="145">
        <f>IF('TINH_LUONG'!$B75="","",'TINH_LUONG'!G75)</f>
        <v/>
      </c>
      <c r="G75" s="224">
        <f>IF('TINH_LUONG'!$B75="","",'TINH_LUONG'!O75+'TINH_LUONG'!BO75)</f>
        <v/>
      </c>
      <c r="H75" s="224">
        <f>IF('TINH_LUONG'!$B75="","",SUM('TINH_LUONG'!P75:R75))</f>
        <v/>
      </c>
      <c r="I75" s="224">
        <f>IF('TINH_LUONG'!$B75="","",'TINH_LUONG'!BP75+'TINH_LUONG'!BQ75)</f>
        <v/>
      </c>
      <c r="J75" s="224">
        <f>IF('TINH_LUONG'!$B75="","",'TINH_LUONG'!Z75)</f>
        <v/>
      </c>
      <c r="K75" s="224">
        <f>IF('TINH_LUONG'!$B75="","",'TINH_LUONG'!S75+'TINH_LUONG'!T75)</f>
        <v/>
      </c>
      <c r="L75" s="224">
        <f>IF('TINH_LUONG'!$B75="","",'TINH_LUONG'!W75+'TINH_LUONG'!X75)</f>
        <v/>
      </c>
      <c r="M75" s="224">
        <f>IF('TINH_LUONG'!$B75="","",'TINH_LUONG'!BR75+'TINH_LUONG'!BS75)</f>
        <v/>
      </c>
      <c r="N75" s="224">
        <f>IF('TINH_LUONG'!$B75="","",'TINH_LUONG'!AO75)</f>
        <v/>
      </c>
      <c r="O75" s="224">
        <f>IF('TINH_LUONG'!$B75="","",'TINH_LUONG'!AP75)</f>
        <v/>
      </c>
      <c r="P75" s="224">
        <f>IF('TINH_LUONG'!$B75="","",'TINH_LUONG'!AS75)</f>
        <v/>
      </c>
      <c r="Q75" s="224">
        <f>IF('TINH_LUONG'!$B75="","",'TINH_LUONG'!AJ75)</f>
        <v/>
      </c>
      <c r="R75" s="224">
        <f>IF('TINH_LUONG'!$B75="","",'TINH_LUONG'!AQ75)</f>
        <v/>
      </c>
      <c r="S75" s="224">
        <f>IF('TINH_LUONG'!$B75="","",'TINH_LUONG'!AR75)</f>
        <v/>
      </c>
      <c r="T75" s="224">
        <f>IF('TINH_LUONG'!$B75="","",'TINH_LUONG'!AU75+'TINH_LUONG'!AV75+'TINH_LUONG'!AW75+'TINH_LUONG'!BV75)</f>
        <v/>
      </c>
      <c r="U75" s="224">
        <f>IF('TINH_LUONG'!$B75="","",'TINH_LUONG'!AX75)</f>
        <v/>
      </c>
      <c r="V75" s="224">
        <f>IF('TINH_LUONG'!$B75="","",'TINH_LUONG'!BT75)</f>
        <v/>
      </c>
      <c r="W75" s="224">
        <f>IF('TINH_LUONG'!$B75="","",'TINH_LUONG'!BU75)</f>
        <v/>
      </c>
      <c r="X75" s="235">
        <f>IF('TINH_LUONG'!$B75="","",'TINH_LUONG'!BW75)</f>
        <v/>
      </c>
      <c r="Y75" s="224">
        <f>IF('TINH_LUONG'!$B75="","",'TINH_LUONG'!BC75)</f>
        <v/>
      </c>
      <c r="Z75" s="224">
        <f>IF('TINH_LUONG'!$B75="","",'TINH_LUONG'!BD75)</f>
        <v/>
      </c>
      <c r="AA75" s="150">
        <f>IF('TINH_LUONG'!$B75="","",'TINH_LUONG'!BG75)</f>
        <v/>
      </c>
    </row>
    <row r="76">
      <c r="A76" s="145">
        <f>IF('TINH_LUONG'!$B76="","",'TINH_LUONG'!A76)</f>
        <v/>
      </c>
      <c r="B76" s="145">
        <f>IF('TINH_LUONG'!$B76="","",'TINH_LUONG'!B76)</f>
        <v/>
      </c>
      <c r="C76" s="145">
        <f>IF('TINH_LUONG'!$B76="","",'TINH_LUONG'!C76)</f>
        <v/>
      </c>
      <c r="D76" s="145">
        <f>IF('TINH_LUONG'!$B76="","",'TINH_LUONG'!D76)</f>
        <v/>
      </c>
      <c r="E76" s="145">
        <f>IF('TINH_LUONG'!$B76="","",'TINH_LUONG'!F76)</f>
        <v/>
      </c>
      <c r="F76" s="145">
        <f>IF('TINH_LUONG'!$B76="","",'TINH_LUONG'!G76)</f>
        <v/>
      </c>
      <c r="G76" s="224">
        <f>IF('TINH_LUONG'!$B76="","",'TINH_LUONG'!O76+'TINH_LUONG'!BO76)</f>
        <v/>
      </c>
      <c r="H76" s="224">
        <f>IF('TINH_LUONG'!$B76="","",SUM('TINH_LUONG'!P76:R76))</f>
        <v/>
      </c>
      <c r="I76" s="224">
        <f>IF('TINH_LUONG'!$B76="","",'TINH_LUONG'!BP76+'TINH_LUONG'!BQ76)</f>
        <v/>
      </c>
      <c r="J76" s="224">
        <f>IF('TINH_LUONG'!$B76="","",'TINH_LUONG'!Z76)</f>
        <v/>
      </c>
      <c r="K76" s="224">
        <f>IF('TINH_LUONG'!$B76="","",'TINH_LUONG'!S76+'TINH_LUONG'!T76)</f>
        <v/>
      </c>
      <c r="L76" s="224">
        <f>IF('TINH_LUONG'!$B76="","",'TINH_LUONG'!W76+'TINH_LUONG'!X76)</f>
        <v/>
      </c>
      <c r="M76" s="224">
        <f>IF('TINH_LUONG'!$B76="","",'TINH_LUONG'!BR76+'TINH_LUONG'!BS76)</f>
        <v/>
      </c>
      <c r="N76" s="224">
        <f>IF('TINH_LUONG'!$B76="","",'TINH_LUONG'!AO76)</f>
        <v/>
      </c>
      <c r="O76" s="224">
        <f>IF('TINH_LUONG'!$B76="","",'TINH_LUONG'!AP76)</f>
        <v/>
      </c>
      <c r="P76" s="224">
        <f>IF('TINH_LUONG'!$B76="","",'TINH_LUONG'!AS76)</f>
        <v/>
      </c>
      <c r="Q76" s="224">
        <f>IF('TINH_LUONG'!$B76="","",'TINH_LUONG'!AJ76)</f>
        <v/>
      </c>
      <c r="R76" s="224">
        <f>IF('TINH_LUONG'!$B76="","",'TINH_LUONG'!AQ76)</f>
        <v/>
      </c>
      <c r="S76" s="224">
        <f>IF('TINH_LUONG'!$B76="","",'TINH_LUONG'!AR76)</f>
        <v/>
      </c>
      <c r="T76" s="224">
        <f>IF('TINH_LUONG'!$B76="","",'TINH_LUONG'!AU76+'TINH_LUONG'!AV76+'TINH_LUONG'!AW76+'TINH_LUONG'!BV76)</f>
        <v/>
      </c>
      <c r="U76" s="224">
        <f>IF('TINH_LUONG'!$B76="","",'TINH_LUONG'!AX76)</f>
        <v/>
      </c>
      <c r="V76" s="224">
        <f>IF('TINH_LUONG'!$B76="","",'TINH_LUONG'!BT76)</f>
        <v/>
      </c>
      <c r="W76" s="224">
        <f>IF('TINH_LUONG'!$B76="","",'TINH_LUONG'!BU76)</f>
        <v/>
      </c>
      <c r="X76" s="235">
        <f>IF('TINH_LUONG'!$B76="","",'TINH_LUONG'!BW76)</f>
        <v/>
      </c>
      <c r="Y76" s="224">
        <f>IF('TINH_LUONG'!$B76="","",'TINH_LUONG'!BC76)</f>
        <v/>
      </c>
      <c r="Z76" s="224">
        <f>IF('TINH_LUONG'!$B76="","",'TINH_LUONG'!BD76)</f>
        <v/>
      </c>
      <c r="AA76" s="150">
        <f>IF('TINH_LUONG'!$B76="","",'TINH_LUONG'!BG76)</f>
        <v/>
      </c>
    </row>
    <row r="77">
      <c r="A77" s="145">
        <f>IF('TINH_LUONG'!$B77="","",'TINH_LUONG'!A77)</f>
        <v/>
      </c>
      <c r="B77" s="145">
        <f>IF('TINH_LUONG'!$B77="","",'TINH_LUONG'!B77)</f>
        <v/>
      </c>
      <c r="C77" s="145">
        <f>IF('TINH_LUONG'!$B77="","",'TINH_LUONG'!C77)</f>
        <v/>
      </c>
      <c r="D77" s="145">
        <f>IF('TINH_LUONG'!$B77="","",'TINH_LUONG'!D77)</f>
        <v/>
      </c>
      <c r="E77" s="145">
        <f>IF('TINH_LUONG'!$B77="","",'TINH_LUONG'!F77)</f>
        <v/>
      </c>
      <c r="F77" s="145">
        <f>IF('TINH_LUONG'!$B77="","",'TINH_LUONG'!G77)</f>
        <v/>
      </c>
      <c r="G77" s="224">
        <f>IF('TINH_LUONG'!$B77="","",'TINH_LUONG'!O77+'TINH_LUONG'!BO77)</f>
        <v/>
      </c>
      <c r="H77" s="224">
        <f>IF('TINH_LUONG'!$B77="","",SUM('TINH_LUONG'!P77:R77))</f>
        <v/>
      </c>
      <c r="I77" s="224">
        <f>IF('TINH_LUONG'!$B77="","",'TINH_LUONG'!BP77+'TINH_LUONG'!BQ77)</f>
        <v/>
      </c>
      <c r="J77" s="224">
        <f>IF('TINH_LUONG'!$B77="","",'TINH_LUONG'!Z77)</f>
        <v/>
      </c>
      <c r="K77" s="224">
        <f>IF('TINH_LUONG'!$B77="","",'TINH_LUONG'!S77+'TINH_LUONG'!T77)</f>
        <v/>
      </c>
      <c r="L77" s="224">
        <f>IF('TINH_LUONG'!$B77="","",'TINH_LUONG'!W77+'TINH_LUONG'!X77)</f>
        <v/>
      </c>
      <c r="M77" s="224">
        <f>IF('TINH_LUONG'!$B77="","",'TINH_LUONG'!BR77+'TINH_LUONG'!BS77)</f>
        <v/>
      </c>
      <c r="N77" s="224">
        <f>IF('TINH_LUONG'!$B77="","",'TINH_LUONG'!AO77)</f>
        <v/>
      </c>
      <c r="O77" s="224">
        <f>IF('TINH_LUONG'!$B77="","",'TINH_LUONG'!AP77)</f>
        <v/>
      </c>
      <c r="P77" s="224">
        <f>IF('TINH_LUONG'!$B77="","",'TINH_LUONG'!AS77)</f>
        <v/>
      </c>
      <c r="Q77" s="224">
        <f>IF('TINH_LUONG'!$B77="","",'TINH_LUONG'!AJ77)</f>
        <v/>
      </c>
      <c r="R77" s="224">
        <f>IF('TINH_LUONG'!$B77="","",'TINH_LUONG'!AQ77)</f>
        <v/>
      </c>
      <c r="S77" s="224">
        <f>IF('TINH_LUONG'!$B77="","",'TINH_LUONG'!AR77)</f>
        <v/>
      </c>
      <c r="T77" s="224">
        <f>IF('TINH_LUONG'!$B77="","",'TINH_LUONG'!AU77+'TINH_LUONG'!AV77+'TINH_LUONG'!AW77+'TINH_LUONG'!BV77)</f>
        <v/>
      </c>
      <c r="U77" s="224">
        <f>IF('TINH_LUONG'!$B77="","",'TINH_LUONG'!AX77)</f>
        <v/>
      </c>
      <c r="V77" s="224">
        <f>IF('TINH_LUONG'!$B77="","",'TINH_LUONG'!BT77)</f>
        <v/>
      </c>
      <c r="W77" s="224">
        <f>IF('TINH_LUONG'!$B77="","",'TINH_LUONG'!BU77)</f>
        <v/>
      </c>
      <c r="X77" s="235">
        <f>IF('TINH_LUONG'!$B77="","",'TINH_LUONG'!BW77)</f>
        <v/>
      </c>
      <c r="Y77" s="224">
        <f>IF('TINH_LUONG'!$B77="","",'TINH_LUONG'!BC77)</f>
        <v/>
      </c>
      <c r="Z77" s="224">
        <f>IF('TINH_LUONG'!$B77="","",'TINH_LUONG'!BD77)</f>
        <v/>
      </c>
      <c r="AA77" s="150">
        <f>IF('TINH_LUONG'!$B77="","",'TINH_LUONG'!BG77)</f>
        <v/>
      </c>
    </row>
    <row r="78">
      <c r="A78" s="145">
        <f>IF('TINH_LUONG'!$B78="","",'TINH_LUONG'!A78)</f>
        <v/>
      </c>
      <c r="B78" s="145">
        <f>IF('TINH_LUONG'!$B78="","",'TINH_LUONG'!B78)</f>
        <v/>
      </c>
      <c r="C78" s="145">
        <f>IF('TINH_LUONG'!$B78="","",'TINH_LUONG'!C78)</f>
        <v/>
      </c>
      <c r="D78" s="145">
        <f>IF('TINH_LUONG'!$B78="","",'TINH_LUONG'!D78)</f>
        <v/>
      </c>
      <c r="E78" s="145">
        <f>IF('TINH_LUONG'!$B78="","",'TINH_LUONG'!F78)</f>
        <v/>
      </c>
      <c r="F78" s="145">
        <f>IF('TINH_LUONG'!$B78="","",'TINH_LUONG'!G78)</f>
        <v/>
      </c>
      <c r="G78" s="224">
        <f>IF('TINH_LUONG'!$B78="","",'TINH_LUONG'!O78+'TINH_LUONG'!BO78)</f>
        <v/>
      </c>
      <c r="H78" s="224">
        <f>IF('TINH_LUONG'!$B78="","",SUM('TINH_LUONG'!P78:R78))</f>
        <v/>
      </c>
      <c r="I78" s="224">
        <f>IF('TINH_LUONG'!$B78="","",'TINH_LUONG'!BP78+'TINH_LUONG'!BQ78)</f>
        <v/>
      </c>
      <c r="J78" s="224">
        <f>IF('TINH_LUONG'!$B78="","",'TINH_LUONG'!Z78)</f>
        <v/>
      </c>
      <c r="K78" s="224">
        <f>IF('TINH_LUONG'!$B78="","",'TINH_LUONG'!S78+'TINH_LUONG'!T78)</f>
        <v/>
      </c>
      <c r="L78" s="224">
        <f>IF('TINH_LUONG'!$B78="","",'TINH_LUONG'!W78+'TINH_LUONG'!X78)</f>
        <v/>
      </c>
      <c r="M78" s="224">
        <f>IF('TINH_LUONG'!$B78="","",'TINH_LUONG'!BR78+'TINH_LUONG'!BS78)</f>
        <v/>
      </c>
      <c r="N78" s="224">
        <f>IF('TINH_LUONG'!$B78="","",'TINH_LUONG'!AO78)</f>
        <v/>
      </c>
      <c r="O78" s="224">
        <f>IF('TINH_LUONG'!$B78="","",'TINH_LUONG'!AP78)</f>
        <v/>
      </c>
      <c r="P78" s="224">
        <f>IF('TINH_LUONG'!$B78="","",'TINH_LUONG'!AS78)</f>
        <v/>
      </c>
      <c r="Q78" s="224">
        <f>IF('TINH_LUONG'!$B78="","",'TINH_LUONG'!AJ78)</f>
        <v/>
      </c>
      <c r="R78" s="224">
        <f>IF('TINH_LUONG'!$B78="","",'TINH_LUONG'!AQ78)</f>
        <v/>
      </c>
      <c r="S78" s="224">
        <f>IF('TINH_LUONG'!$B78="","",'TINH_LUONG'!AR78)</f>
        <v/>
      </c>
      <c r="T78" s="224">
        <f>IF('TINH_LUONG'!$B78="","",'TINH_LUONG'!AU78+'TINH_LUONG'!AV78+'TINH_LUONG'!AW78+'TINH_LUONG'!BV78)</f>
        <v/>
      </c>
      <c r="U78" s="224">
        <f>IF('TINH_LUONG'!$B78="","",'TINH_LUONG'!AX78)</f>
        <v/>
      </c>
      <c r="V78" s="224">
        <f>IF('TINH_LUONG'!$B78="","",'TINH_LUONG'!BT78)</f>
        <v/>
      </c>
      <c r="W78" s="224">
        <f>IF('TINH_LUONG'!$B78="","",'TINH_LUONG'!BU78)</f>
        <v/>
      </c>
      <c r="X78" s="235">
        <f>IF('TINH_LUONG'!$B78="","",'TINH_LUONG'!BW78)</f>
        <v/>
      </c>
      <c r="Y78" s="224">
        <f>IF('TINH_LUONG'!$B78="","",'TINH_LUONG'!BC78)</f>
        <v/>
      </c>
      <c r="Z78" s="224">
        <f>IF('TINH_LUONG'!$B78="","",'TINH_LUONG'!BD78)</f>
        <v/>
      </c>
      <c r="AA78" s="150">
        <f>IF('TINH_LUONG'!$B78="","",'TINH_LUONG'!BG78)</f>
        <v/>
      </c>
    </row>
    <row r="79">
      <c r="A79" s="145">
        <f>IF('TINH_LUONG'!$B79="","",'TINH_LUONG'!A79)</f>
        <v/>
      </c>
      <c r="B79" s="145">
        <f>IF('TINH_LUONG'!$B79="","",'TINH_LUONG'!B79)</f>
        <v/>
      </c>
      <c r="C79" s="145">
        <f>IF('TINH_LUONG'!$B79="","",'TINH_LUONG'!C79)</f>
        <v/>
      </c>
      <c r="D79" s="145">
        <f>IF('TINH_LUONG'!$B79="","",'TINH_LUONG'!D79)</f>
        <v/>
      </c>
      <c r="E79" s="145">
        <f>IF('TINH_LUONG'!$B79="","",'TINH_LUONG'!F79)</f>
        <v/>
      </c>
      <c r="F79" s="145">
        <f>IF('TINH_LUONG'!$B79="","",'TINH_LUONG'!G79)</f>
        <v/>
      </c>
      <c r="G79" s="224">
        <f>IF('TINH_LUONG'!$B79="","",'TINH_LUONG'!O79+'TINH_LUONG'!BO79)</f>
        <v/>
      </c>
      <c r="H79" s="224">
        <f>IF('TINH_LUONG'!$B79="","",SUM('TINH_LUONG'!P79:R79))</f>
        <v/>
      </c>
      <c r="I79" s="224">
        <f>IF('TINH_LUONG'!$B79="","",'TINH_LUONG'!BP79+'TINH_LUONG'!BQ79)</f>
        <v/>
      </c>
      <c r="J79" s="224">
        <f>IF('TINH_LUONG'!$B79="","",'TINH_LUONG'!Z79)</f>
        <v/>
      </c>
      <c r="K79" s="224">
        <f>IF('TINH_LUONG'!$B79="","",'TINH_LUONG'!S79+'TINH_LUONG'!T79)</f>
        <v/>
      </c>
      <c r="L79" s="224">
        <f>IF('TINH_LUONG'!$B79="","",'TINH_LUONG'!W79+'TINH_LUONG'!X79)</f>
        <v/>
      </c>
      <c r="M79" s="224">
        <f>IF('TINH_LUONG'!$B79="","",'TINH_LUONG'!BR79+'TINH_LUONG'!BS79)</f>
        <v/>
      </c>
      <c r="N79" s="224">
        <f>IF('TINH_LUONG'!$B79="","",'TINH_LUONG'!AO79)</f>
        <v/>
      </c>
      <c r="O79" s="224">
        <f>IF('TINH_LUONG'!$B79="","",'TINH_LUONG'!AP79)</f>
        <v/>
      </c>
      <c r="P79" s="224">
        <f>IF('TINH_LUONG'!$B79="","",'TINH_LUONG'!AS79)</f>
        <v/>
      </c>
      <c r="Q79" s="224">
        <f>IF('TINH_LUONG'!$B79="","",'TINH_LUONG'!AJ79)</f>
        <v/>
      </c>
      <c r="R79" s="224">
        <f>IF('TINH_LUONG'!$B79="","",'TINH_LUONG'!AQ79)</f>
        <v/>
      </c>
      <c r="S79" s="224">
        <f>IF('TINH_LUONG'!$B79="","",'TINH_LUONG'!AR79)</f>
        <v/>
      </c>
      <c r="T79" s="224">
        <f>IF('TINH_LUONG'!$B79="","",'TINH_LUONG'!AU79+'TINH_LUONG'!AV79+'TINH_LUONG'!AW79+'TINH_LUONG'!BV79)</f>
        <v/>
      </c>
      <c r="U79" s="224">
        <f>IF('TINH_LUONG'!$B79="","",'TINH_LUONG'!AX79)</f>
        <v/>
      </c>
      <c r="V79" s="224">
        <f>IF('TINH_LUONG'!$B79="","",'TINH_LUONG'!BT79)</f>
        <v/>
      </c>
      <c r="W79" s="224">
        <f>IF('TINH_LUONG'!$B79="","",'TINH_LUONG'!BU79)</f>
        <v/>
      </c>
      <c r="X79" s="235">
        <f>IF('TINH_LUONG'!$B79="","",'TINH_LUONG'!BW79)</f>
        <v/>
      </c>
      <c r="Y79" s="224">
        <f>IF('TINH_LUONG'!$B79="","",'TINH_LUONG'!BC79)</f>
        <v/>
      </c>
      <c r="Z79" s="224">
        <f>IF('TINH_LUONG'!$B79="","",'TINH_LUONG'!BD79)</f>
        <v/>
      </c>
      <c r="AA79" s="150">
        <f>IF('TINH_LUONG'!$B79="","",'TINH_LUONG'!BG79)</f>
        <v/>
      </c>
    </row>
    <row r="80">
      <c r="A80" s="145">
        <f>IF('TINH_LUONG'!$B80="","",'TINH_LUONG'!A80)</f>
        <v/>
      </c>
      <c r="B80" s="145">
        <f>IF('TINH_LUONG'!$B80="","",'TINH_LUONG'!B80)</f>
        <v/>
      </c>
      <c r="C80" s="145">
        <f>IF('TINH_LUONG'!$B80="","",'TINH_LUONG'!C80)</f>
        <v/>
      </c>
      <c r="D80" s="145">
        <f>IF('TINH_LUONG'!$B80="","",'TINH_LUONG'!D80)</f>
        <v/>
      </c>
      <c r="E80" s="145">
        <f>IF('TINH_LUONG'!$B80="","",'TINH_LUONG'!F80)</f>
        <v/>
      </c>
      <c r="F80" s="145">
        <f>IF('TINH_LUONG'!$B80="","",'TINH_LUONG'!G80)</f>
        <v/>
      </c>
      <c r="G80" s="224">
        <f>IF('TINH_LUONG'!$B80="","",'TINH_LUONG'!O80+'TINH_LUONG'!BO80)</f>
        <v/>
      </c>
      <c r="H80" s="224">
        <f>IF('TINH_LUONG'!$B80="","",SUM('TINH_LUONG'!P80:R80))</f>
        <v/>
      </c>
      <c r="I80" s="224">
        <f>IF('TINH_LUONG'!$B80="","",'TINH_LUONG'!BP80+'TINH_LUONG'!BQ80)</f>
        <v/>
      </c>
      <c r="J80" s="224">
        <f>IF('TINH_LUONG'!$B80="","",'TINH_LUONG'!Z80)</f>
        <v/>
      </c>
      <c r="K80" s="224">
        <f>IF('TINH_LUONG'!$B80="","",'TINH_LUONG'!S80+'TINH_LUONG'!T80)</f>
        <v/>
      </c>
      <c r="L80" s="224">
        <f>IF('TINH_LUONG'!$B80="","",'TINH_LUONG'!W80+'TINH_LUONG'!X80)</f>
        <v/>
      </c>
      <c r="M80" s="224">
        <f>IF('TINH_LUONG'!$B80="","",'TINH_LUONG'!BR80+'TINH_LUONG'!BS80)</f>
        <v/>
      </c>
      <c r="N80" s="224">
        <f>IF('TINH_LUONG'!$B80="","",'TINH_LUONG'!AO80)</f>
        <v/>
      </c>
      <c r="O80" s="224">
        <f>IF('TINH_LUONG'!$B80="","",'TINH_LUONG'!AP80)</f>
        <v/>
      </c>
      <c r="P80" s="224">
        <f>IF('TINH_LUONG'!$B80="","",'TINH_LUONG'!AS80)</f>
        <v/>
      </c>
      <c r="Q80" s="224">
        <f>IF('TINH_LUONG'!$B80="","",'TINH_LUONG'!AJ80)</f>
        <v/>
      </c>
      <c r="R80" s="224">
        <f>IF('TINH_LUONG'!$B80="","",'TINH_LUONG'!AQ80)</f>
        <v/>
      </c>
      <c r="S80" s="224">
        <f>IF('TINH_LUONG'!$B80="","",'TINH_LUONG'!AR80)</f>
        <v/>
      </c>
      <c r="T80" s="224">
        <f>IF('TINH_LUONG'!$B80="","",'TINH_LUONG'!AU80+'TINH_LUONG'!AV80+'TINH_LUONG'!AW80+'TINH_LUONG'!BV80)</f>
        <v/>
      </c>
      <c r="U80" s="224">
        <f>IF('TINH_LUONG'!$B80="","",'TINH_LUONG'!AX80)</f>
        <v/>
      </c>
      <c r="V80" s="224">
        <f>IF('TINH_LUONG'!$B80="","",'TINH_LUONG'!BT80)</f>
        <v/>
      </c>
      <c r="W80" s="224">
        <f>IF('TINH_LUONG'!$B80="","",'TINH_LUONG'!BU80)</f>
        <v/>
      </c>
      <c r="X80" s="235">
        <f>IF('TINH_LUONG'!$B80="","",'TINH_LUONG'!BW80)</f>
        <v/>
      </c>
      <c r="Y80" s="224">
        <f>IF('TINH_LUONG'!$B80="","",'TINH_LUONG'!BC80)</f>
        <v/>
      </c>
      <c r="Z80" s="224">
        <f>IF('TINH_LUONG'!$B80="","",'TINH_LUONG'!BD80)</f>
        <v/>
      </c>
      <c r="AA80" s="150">
        <f>IF('TINH_LUONG'!$B80="","",'TINH_LUONG'!BG80)</f>
        <v/>
      </c>
    </row>
    <row r="81">
      <c r="A81" s="145">
        <f>IF('TINH_LUONG'!$B81="","",'TINH_LUONG'!A81)</f>
        <v/>
      </c>
      <c r="B81" s="145">
        <f>IF('TINH_LUONG'!$B81="","",'TINH_LUONG'!B81)</f>
        <v/>
      </c>
      <c r="C81" s="145">
        <f>IF('TINH_LUONG'!$B81="","",'TINH_LUONG'!C81)</f>
        <v/>
      </c>
      <c r="D81" s="145">
        <f>IF('TINH_LUONG'!$B81="","",'TINH_LUONG'!D81)</f>
        <v/>
      </c>
      <c r="E81" s="145">
        <f>IF('TINH_LUONG'!$B81="","",'TINH_LUONG'!F81)</f>
        <v/>
      </c>
      <c r="F81" s="145">
        <f>IF('TINH_LUONG'!$B81="","",'TINH_LUONG'!G81)</f>
        <v/>
      </c>
      <c r="G81" s="224">
        <f>IF('TINH_LUONG'!$B81="","",'TINH_LUONG'!O81+'TINH_LUONG'!BO81)</f>
        <v/>
      </c>
      <c r="H81" s="224">
        <f>IF('TINH_LUONG'!$B81="","",SUM('TINH_LUONG'!P81:R81))</f>
        <v/>
      </c>
      <c r="I81" s="224">
        <f>IF('TINH_LUONG'!$B81="","",'TINH_LUONG'!BP81+'TINH_LUONG'!BQ81)</f>
        <v/>
      </c>
      <c r="J81" s="224">
        <f>IF('TINH_LUONG'!$B81="","",'TINH_LUONG'!Z81)</f>
        <v/>
      </c>
      <c r="K81" s="224">
        <f>IF('TINH_LUONG'!$B81="","",'TINH_LUONG'!S81+'TINH_LUONG'!T81)</f>
        <v/>
      </c>
      <c r="L81" s="224">
        <f>IF('TINH_LUONG'!$B81="","",'TINH_LUONG'!W81+'TINH_LUONG'!X81)</f>
        <v/>
      </c>
      <c r="M81" s="224">
        <f>IF('TINH_LUONG'!$B81="","",'TINH_LUONG'!BR81+'TINH_LUONG'!BS81)</f>
        <v/>
      </c>
      <c r="N81" s="224">
        <f>IF('TINH_LUONG'!$B81="","",'TINH_LUONG'!AO81)</f>
        <v/>
      </c>
      <c r="O81" s="224">
        <f>IF('TINH_LUONG'!$B81="","",'TINH_LUONG'!AP81)</f>
        <v/>
      </c>
      <c r="P81" s="224">
        <f>IF('TINH_LUONG'!$B81="","",'TINH_LUONG'!AS81)</f>
        <v/>
      </c>
      <c r="Q81" s="224">
        <f>IF('TINH_LUONG'!$B81="","",'TINH_LUONG'!AJ81)</f>
        <v/>
      </c>
      <c r="R81" s="224">
        <f>IF('TINH_LUONG'!$B81="","",'TINH_LUONG'!AQ81)</f>
        <v/>
      </c>
      <c r="S81" s="224">
        <f>IF('TINH_LUONG'!$B81="","",'TINH_LUONG'!AR81)</f>
        <v/>
      </c>
      <c r="T81" s="224">
        <f>IF('TINH_LUONG'!$B81="","",'TINH_LUONG'!AU81+'TINH_LUONG'!AV81+'TINH_LUONG'!AW81+'TINH_LUONG'!BV81)</f>
        <v/>
      </c>
      <c r="U81" s="224">
        <f>IF('TINH_LUONG'!$B81="","",'TINH_LUONG'!AX81)</f>
        <v/>
      </c>
      <c r="V81" s="224">
        <f>IF('TINH_LUONG'!$B81="","",'TINH_LUONG'!BT81)</f>
        <v/>
      </c>
      <c r="W81" s="224">
        <f>IF('TINH_LUONG'!$B81="","",'TINH_LUONG'!BU81)</f>
        <v/>
      </c>
      <c r="X81" s="235">
        <f>IF('TINH_LUONG'!$B81="","",'TINH_LUONG'!BW81)</f>
        <v/>
      </c>
      <c r="Y81" s="224">
        <f>IF('TINH_LUONG'!$B81="","",'TINH_LUONG'!BC81)</f>
        <v/>
      </c>
      <c r="Z81" s="224">
        <f>IF('TINH_LUONG'!$B81="","",'TINH_LUONG'!BD81)</f>
        <v/>
      </c>
      <c r="AA81" s="150">
        <f>IF('TINH_LUONG'!$B81="","",'TINH_LUONG'!BG81)</f>
        <v/>
      </c>
    </row>
    <row r="82">
      <c r="A82" s="145">
        <f>IF('TINH_LUONG'!$B82="","",'TINH_LUONG'!A82)</f>
        <v/>
      </c>
      <c r="B82" s="145">
        <f>IF('TINH_LUONG'!$B82="","",'TINH_LUONG'!B82)</f>
        <v/>
      </c>
      <c r="C82" s="145">
        <f>IF('TINH_LUONG'!$B82="","",'TINH_LUONG'!C82)</f>
        <v/>
      </c>
      <c r="D82" s="145">
        <f>IF('TINH_LUONG'!$B82="","",'TINH_LUONG'!D82)</f>
        <v/>
      </c>
      <c r="E82" s="145">
        <f>IF('TINH_LUONG'!$B82="","",'TINH_LUONG'!F82)</f>
        <v/>
      </c>
      <c r="F82" s="145">
        <f>IF('TINH_LUONG'!$B82="","",'TINH_LUONG'!G82)</f>
        <v/>
      </c>
      <c r="G82" s="224">
        <f>IF('TINH_LUONG'!$B82="","",'TINH_LUONG'!O82+'TINH_LUONG'!BO82)</f>
        <v/>
      </c>
      <c r="H82" s="224">
        <f>IF('TINH_LUONG'!$B82="","",SUM('TINH_LUONG'!P82:R82))</f>
        <v/>
      </c>
      <c r="I82" s="224">
        <f>IF('TINH_LUONG'!$B82="","",'TINH_LUONG'!BP82+'TINH_LUONG'!BQ82)</f>
        <v/>
      </c>
      <c r="J82" s="224">
        <f>IF('TINH_LUONG'!$B82="","",'TINH_LUONG'!Z82)</f>
        <v/>
      </c>
      <c r="K82" s="224">
        <f>IF('TINH_LUONG'!$B82="","",'TINH_LUONG'!S82+'TINH_LUONG'!T82)</f>
        <v/>
      </c>
      <c r="L82" s="224">
        <f>IF('TINH_LUONG'!$B82="","",'TINH_LUONG'!W82+'TINH_LUONG'!X82)</f>
        <v/>
      </c>
      <c r="M82" s="224">
        <f>IF('TINH_LUONG'!$B82="","",'TINH_LUONG'!BR82+'TINH_LUONG'!BS82)</f>
        <v/>
      </c>
      <c r="N82" s="224">
        <f>IF('TINH_LUONG'!$B82="","",'TINH_LUONG'!AO82)</f>
        <v/>
      </c>
      <c r="O82" s="224">
        <f>IF('TINH_LUONG'!$B82="","",'TINH_LUONG'!AP82)</f>
        <v/>
      </c>
      <c r="P82" s="224">
        <f>IF('TINH_LUONG'!$B82="","",'TINH_LUONG'!AS82)</f>
        <v/>
      </c>
      <c r="Q82" s="224">
        <f>IF('TINH_LUONG'!$B82="","",'TINH_LUONG'!AJ82)</f>
        <v/>
      </c>
      <c r="R82" s="224">
        <f>IF('TINH_LUONG'!$B82="","",'TINH_LUONG'!AQ82)</f>
        <v/>
      </c>
      <c r="S82" s="224">
        <f>IF('TINH_LUONG'!$B82="","",'TINH_LUONG'!AR82)</f>
        <v/>
      </c>
      <c r="T82" s="224">
        <f>IF('TINH_LUONG'!$B82="","",'TINH_LUONG'!AU82+'TINH_LUONG'!AV82+'TINH_LUONG'!AW82+'TINH_LUONG'!BV82)</f>
        <v/>
      </c>
      <c r="U82" s="224">
        <f>IF('TINH_LUONG'!$B82="","",'TINH_LUONG'!AX82)</f>
        <v/>
      </c>
      <c r="V82" s="224">
        <f>IF('TINH_LUONG'!$B82="","",'TINH_LUONG'!BT82)</f>
        <v/>
      </c>
      <c r="W82" s="224">
        <f>IF('TINH_LUONG'!$B82="","",'TINH_LUONG'!BU82)</f>
        <v/>
      </c>
      <c r="X82" s="235">
        <f>IF('TINH_LUONG'!$B82="","",'TINH_LUONG'!BW82)</f>
        <v/>
      </c>
      <c r="Y82" s="224">
        <f>IF('TINH_LUONG'!$B82="","",'TINH_LUONG'!BC82)</f>
        <v/>
      </c>
      <c r="Z82" s="224">
        <f>IF('TINH_LUONG'!$B82="","",'TINH_LUONG'!BD82)</f>
        <v/>
      </c>
      <c r="AA82" s="150">
        <f>IF('TINH_LUONG'!$B82="","",'TINH_LUONG'!BG82)</f>
        <v/>
      </c>
    </row>
    <row r="83">
      <c r="A83" s="145">
        <f>IF('TINH_LUONG'!$B83="","",'TINH_LUONG'!A83)</f>
        <v/>
      </c>
      <c r="B83" s="145">
        <f>IF('TINH_LUONG'!$B83="","",'TINH_LUONG'!B83)</f>
        <v/>
      </c>
      <c r="C83" s="145">
        <f>IF('TINH_LUONG'!$B83="","",'TINH_LUONG'!C83)</f>
        <v/>
      </c>
      <c r="D83" s="145">
        <f>IF('TINH_LUONG'!$B83="","",'TINH_LUONG'!D83)</f>
        <v/>
      </c>
      <c r="E83" s="145">
        <f>IF('TINH_LUONG'!$B83="","",'TINH_LUONG'!F83)</f>
        <v/>
      </c>
      <c r="F83" s="145">
        <f>IF('TINH_LUONG'!$B83="","",'TINH_LUONG'!G83)</f>
        <v/>
      </c>
      <c r="G83" s="224">
        <f>IF('TINH_LUONG'!$B83="","",'TINH_LUONG'!O83+'TINH_LUONG'!BO83)</f>
        <v/>
      </c>
      <c r="H83" s="224">
        <f>IF('TINH_LUONG'!$B83="","",SUM('TINH_LUONG'!P83:R83))</f>
        <v/>
      </c>
      <c r="I83" s="224">
        <f>IF('TINH_LUONG'!$B83="","",'TINH_LUONG'!BP83+'TINH_LUONG'!BQ83)</f>
        <v/>
      </c>
      <c r="J83" s="224">
        <f>IF('TINH_LUONG'!$B83="","",'TINH_LUONG'!Z83)</f>
        <v/>
      </c>
      <c r="K83" s="224">
        <f>IF('TINH_LUONG'!$B83="","",'TINH_LUONG'!S83+'TINH_LUONG'!T83)</f>
        <v/>
      </c>
      <c r="L83" s="224">
        <f>IF('TINH_LUONG'!$B83="","",'TINH_LUONG'!W83+'TINH_LUONG'!X83)</f>
        <v/>
      </c>
      <c r="M83" s="224">
        <f>IF('TINH_LUONG'!$B83="","",'TINH_LUONG'!BR83+'TINH_LUONG'!BS83)</f>
        <v/>
      </c>
      <c r="N83" s="224">
        <f>IF('TINH_LUONG'!$B83="","",'TINH_LUONG'!AO83)</f>
        <v/>
      </c>
      <c r="O83" s="224">
        <f>IF('TINH_LUONG'!$B83="","",'TINH_LUONG'!AP83)</f>
        <v/>
      </c>
      <c r="P83" s="224">
        <f>IF('TINH_LUONG'!$B83="","",'TINH_LUONG'!AS83)</f>
        <v/>
      </c>
      <c r="Q83" s="224">
        <f>IF('TINH_LUONG'!$B83="","",'TINH_LUONG'!AJ83)</f>
        <v/>
      </c>
      <c r="R83" s="224">
        <f>IF('TINH_LUONG'!$B83="","",'TINH_LUONG'!AQ83)</f>
        <v/>
      </c>
      <c r="S83" s="224">
        <f>IF('TINH_LUONG'!$B83="","",'TINH_LUONG'!AR83)</f>
        <v/>
      </c>
      <c r="T83" s="224">
        <f>IF('TINH_LUONG'!$B83="","",'TINH_LUONG'!AU83+'TINH_LUONG'!AV83+'TINH_LUONG'!AW83+'TINH_LUONG'!BV83)</f>
        <v/>
      </c>
      <c r="U83" s="224">
        <f>IF('TINH_LUONG'!$B83="","",'TINH_LUONG'!AX83)</f>
        <v/>
      </c>
      <c r="V83" s="224">
        <f>IF('TINH_LUONG'!$B83="","",'TINH_LUONG'!BT83)</f>
        <v/>
      </c>
      <c r="W83" s="224">
        <f>IF('TINH_LUONG'!$B83="","",'TINH_LUONG'!BU83)</f>
        <v/>
      </c>
      <c r="X83" s="235">
        <f>IF('TINH_LUONG'!$B83="","",'TINH_LUONG'!BW83)</f>
        <v/>
      </c>
      <c r="Y83" s="224">
        <f>IF('TINH_LUONG'!$B83="","",'TINH_LUONG'!BC83)</f>
        <v/>
      </c>
      <c r="Z83" s="224">
        <f>IF('TINH_LUONG'!$B83="","",'TINH_LUONG'!BD83)</f>
        <v/>
      </c>
      <c r="AA83" s="150">
        <f>IF('TINH_LUONG'!$B83="","",'TINH_LUONG'!BG83)</f>
        <v/>
      </c>
    </row>
    <row r="84">
      <c r="A84" s="145">
        <f>IF('TINH_LUONG'!$B84="","",'TINH_LUONG'!A84)</f>
        <v/>
      </c>
      <c r="B84" s="145">
        <f>IF('TINH_LUONG'!$B84="","",'TINH_LUONG'!B84)</f>
        <v/>
      </c>
      <c r="C84" s="145">
        <f>IF('TINH_LUONG'!$B84="","",'TINH_LUONG'!C84)</f>
        <v/>
      </c>
      <c r="D84" s="145">
        <f>IF('TINH_LUONG'!$B84="","",'TINH_LUONG'!D84)</f>
        <v/>
      </c>
      <c r="E84" s="145">
        <f>IF('TINH_LUONG'!$B84="","",'TINH_LUONG'!F84)</f>
        <v/>
      </c>
      <c r="F84" s="145">
        <f>IF('TINH_LUONG'!$B84="","",'TINH_LUONG'!G84)</f>
        <v/>
      </c>
      <c r="G84" s="224">
        <f>IF('TINH_LUONG'!$B84="","",'TINH_LUONG'!O84+'TINH_LUONG'!BO84)</f>
        <v/>
      </c>
      <c r="H84" s="224">
        <f>IF('TINH_LUONG'!$B84="","",SUM('TINH_LUONG'!P84:R84))</f>
        <v/>
      </c>
      <c r="I84" s="224">
        <f>IF('TINH_LUONG'!$B84="","",'TINH_LUONG'!BP84+'TINH_LUONG'!BQ84)</f>
        <v/>
      </c>
      <c r="J84" s="224">
        <f>IF('TINH_LUONG'!$B84="","",'TINH_LUONG'!Z84)</f>
        <v/>
      </c>
      <c r="K84" s="224">
        <f>IF('TINH_LUONG'!$B84="","",'TINH_LUONG'!S84+'TINH_LUONG'!T84)</f>
        <v/>
      </c>
      <c r="L84" s="224">
        <f>IF('TINH_LUONG'!$B84="","",'TINH_LUONG'!W84+'TINH_LUONG'!X84)</f>
        <v/>
      </c>
      <c r="M84" s="224">
        <f>IF('TINH_LUONG'!$B84="","",'TINH_LUONG'!BR84+'TINH_LUONG'!BS84)</f>
        <v/>
      </c>
      <c r="N84" s="224">
        <f>IF('TINH_LUONG'!$B84="","",'TINH_LUONG'!AO84)</f>
        <v/>
      </c>
      <c r="O84" s="224">
        <f>IF('TINH_LUONG'!$B84="","",'TINH_LUONG'!AP84)</f>
        <v/>
      </c>
      <c r="P84" s="224">
        <f>IF('TINH_LUONG'!$B84="","",'TINH_LUONG'!AS84)</f>
        <v/>
      </c>
      <c r="Q84" s="224">
        <f>IF('TINH_LUONG'!$B84="","",'TINH_LUONG'!AJ84)</f>
        <v/>
      </c>
      <c r="R84" s="224">
        <f>IF('TINH_LUONG'!$B84="","",'TINH_LUONG'!AQ84)</f>
        <v/>
      </c>
      <c r="S84" s="224">
        <f>IF('TINH_LUONG'!$B84="","",'TINH_LUONG'!AR84)</f>
        <v/>
      </c>
      <c r="T84" s="224">
        <f>IF('TINH_LUONG'!$B84="","",'TINH_LUONG'!AU84+'TINH_LUONG'!AV84+'TINH_LUONG'!AW84+'TINH_LUONG'!BV84)</f>
        <v/>
      </c>
      <c r="U84" s="224">
        <f>IF('TINH_LUONG'!$B84="","",'TINH_LUONG'!AX84)</f>
        <v/>
      </c>
      <c r="V84" s="224">
        <f>IF('TINH_LUONG'!$B84="","",'TINH_LUONG'!BT84)</f>
        <v/>
      </c>
      <c r="W84" s="224">
        <f>IF('TINH_LUONG'!$B84="","",'TINH_LUONG'!BU84)</f>
        <v/>
      </c>
      <c r="X84" s="235">
        <f>IF('TINH_LUONG'!$B84="","",'TINH_LUONG'!BW84)</f>
        <v/>
      </c>
      <c r="Y84" s="224">
        <f>IF('TINH_LUONG'!$B84="","",'TINH_LUONG'!BC84)</f>
        <v/>
      </c>
      <c r="Z84" s="224">
        <f>IF('TINH_LUONG'!$B84="","",'TINH_LUONG'!BD84)</f>
        <v/>
      </c>
      <c r="AA84" s="150">
        <f>IF('TINH_LUONG'!$B84="","",'TINH_LUONG'!BG84)</f>
        <v/>
      </c>
    </row>
    <row r="85">
      <c r="A85" s="145">
        <f>IF('TINH_LUONG'!$B85="","",'TINH_LUONG'!A85)</f>
        <v/>
      </c>
      <c r="B85" s="145">
        <f>IF('TINH_LUONG'!$B85="","",'TINH_LUONG'!B85)</f>
        <v/>
      </c>
      <c r="C85" s="145">
        <f>IF('TINH_LUONG'!$B85="","",'TINH_LUONG'!C85)</f>
        <v/>
      </c>
      <c r="D85" s="145">
        <f>IF('TINH_LUONG'!$B85="","",'TINH_LUONG'!D85)</f>
        <v/>
      </c>
      <c r="E85" s="145">
        <f>IF('TINH_LUONG'!$B85="","",'TINH_LUONG'!F85)</f>
        <v/>
      </c>
      <c r="F85" s="145">
        <f>IF('TINH_LUONG'!$B85="","",'TINH_LUONG'!G85)</f>
        <v/>
      </c>
      <c r="G85" s="224">
        <f>IF('TINH_LUONG'!$B85="","",'TINH_LUONG'!O85+'TINH_LUONG'!BO85)</f>
        <v/>
      </c>
      <c r="H85" s="224">
        <f>IF('TINH_LUONG'!$B85="","",SUM('TINH_LUONG'!P85:R85))</f>
        <v/>
      </c>
      <c r="I85" s="224">
        <f>IF('TINH_LUONG'!$B85="","",'TINH_LUONG'!BP85+'TINH_LUONG'!BQ85)</f>
        <v/>
      </c>
      <c r="J85" s="224">
        <f>IF('TINH_LUONG'!$B85="","",'TINH_LUONG'!Z85)</f>
        <v/>
      </c>
      <c r="K85" s="224">
        <f>IF('TINH_LUONG'!$B85="","",'TINH_LUONG'!S85+'TINH_LUONG'!T85)</f>
        <v/>
      </c>
      <c r="L85" s="224">
        <f>IF('TINH_LUONG'!$B85="","",'TINH_LUONG'!W85+'TINH_LUONG'!X85)</f>
        <v/>
      </c>
      <c r="M85" s="224">
        <f>IF('TINH_LUONG'!$B85="","",'TINH_LUONG'!BR85+'TINH_LUONG'!BS85)</f>
        <v/>
      </c>
      <c r="N85" s="224">
        <f>IF('TINH_LUONG'!$B85="","",'TINH_LUONG'!AO85)</f>
        <v/>
      </c>
      <c r="O85" s="224">
        <f>IF('TINH_LUONG'!$B85="","",'TINH_LUONG'!AP85)</f>
        <v/>
      </c>
      <c r="P85" s="224">
        <f>IF('TINH_LUONG'!$B85="","",'TINH_LUONG'!AS85)</f>
        <v/>
      </c>
      <c r="Q85" s="224">
        <f>IF('TINH_LUONG'!$B85="","",'TINH_LUONG'!AJ85)</f>
        <v/>
      </c>
      <c r="R85" s="224">
        <f>IF('TINH_LUONG'!$B85="","",'TINH_LUONG'!AQ85)</f>
        <v/>
      </c>
      <c r="S85" s="224">
        <f>IF('TINH_LUONG'!$B85="","",'TINH_LUONG'!AR85)</f>
        <v/>
      </c>
      <c r="T85" s="224">
        <f>IF('TINH_LUONG'!$B85="","",'TINH_LUONG'!AU85+'TINH_LUONG'!AV85+'TINH_LUONG'!AW85+'TINH_LUONG'!BV85)</f>
        <v/>
      </c>
      <c r="U85" s="224">
        <f>IF('TINH_LUONG'!$B85="","",'TINH_LUONG'!AX85)</f>
        <v/>
      </c>
      <c r="V85" s="224">
        <f>IF('TINH_LUONG'!$B85="","",'TINH_LUONG'!BT85)</f>
        <v/>
      </c>
      <c r="W85" s="224">
        <f>IF('TINH_LUONG'!$B85="","",'TINH_LUONG'!BU85)</f>
        <v/>
      </c>
      <c r="X85" s="235">
        <f>IF('TINH_LUONG'!$B85="","",'TINH_LUONG'!BW85)</f>
        <v/>
      </c>
      <c r="Y85" s="224">
        <f>IF('TINH_LUONG'!$B85="","",'TINH_LUONG'!BC85)</f>
        <v/>
      </c>
      <c r="Z85" s="224">
        <f>IF('TINH_LUONG'!$B85="","",'TINH_LUONG'!BD85)</f>
        <v/>
      </c>
      <c r="AA85" s="150">
        <f>IF('TINH_LUONG'!$B85="","",'TINH_LUONG'!BG85)</f>
        <v/>
      </c>
    </row>
    <row r="86">
      <c r="A86" s="145">
        <f>IF('TINH_LUONG'!$B86="","",'TINH_LUONG'!A86)</f>
        <v/>
      </c>
      <c r="B86" s="145">
        <f>IF('TINH_LUONG'!$B86="","",'TINH_LUONG'!B86)</f>
        <v/>
      </c>
      <c r="C86" s="145">
        <f>IF('TINH_LUONG'!$B86="","",'TINH_LUONG'!C86)</f>
        <v/>
      </c>
      <c r="D86" s="145">
        <f>IF('TINH_LUONG'!$B86="","",'TINH_LUONG'!D86)</f>
        <v/>
      </c>
      <c r="E86" s="145">
        <f>IF('TINH_LUONG'!$B86="","",'TINH_LUONG'!F86)</f>
        <v/>
      </c>
      <c r="F86" s="145">
        <f>IF('TINH_LUONG'!$B86="","",'TINH_LUONG'!G86)</f>
        <v/>
      </c>
      <c r="G86" s="224">
        <f>IF('TINH_LUONG'!$B86="","",'TINH_LUONG'!O86+'TINH_LUONG'!BO86)</f>
        <v/>
      </c>
      <c r="H86" s="224">
        <f>IF('TINH_LUONG'!$B86="","",SUM('TINH_LUONG'!P86:R86))</f>
        <v/>
      </c>
      <c r="I86" s="224">
        <f>IF('TINH_LUONG'!$B86="","",'TINH_LUONG'!BP86+'TINH_LUONG'!BQ86)</f>
        <v/>
      </c>
      <c r="J86" s="224">
        <f>IF('TINH_LUONG'!$B86="","",'TINH_LUONG'!Z86)</f>
        <v/>
      </c>
      <c r="K86" s="224">
        <f>IF('TINH_LUONG'!$B86="","",'TINH_LUONG'!S86+'TINH_LUONG'!T86)</f>
        <v/>
      </c>
      <c r="L86" s="224">
        <f>IF('TINH_LUONG'!$B86="","",'TINH_LUONG'!W86+'TINH_LUONG'!X86)</f>
        <v/>
      </c>
      <c r="M86" s="224">
        <f>IF('TINH_LUONG'!$B86="","",'TINH_LUONG'!BR86+'TINH_LUONG'!BS86)</f>
        <v/>
      </c>
      <c r="N86" s="224">
        <f>IF('TINH_LUONG'!$B86="","",'TINH_LUONG'!AO86)</f>
        <v/>
      </c>
      <c r="O86" s="224">
        <f>IF('TINH_LUONG'!$B86="","",'TINH_LUONG'!AP86)</f>
        <v/>
      </c>
      <c r="P86" s="224">
        <f>IF('TINH_LUONG'!$B86="","",'TINH_LUONG'!AS86)</f>
        <v/>
      </c>
      <c r="Q86" s="224">
        <f>IF('TINH_LUONG'!$B86="","",'TINH_LUONG'!AJ86)</f>
        <v/>
      </c>
      <c r="R86" s="224">
        <f>IF('TINH_LUONG'!$B86="","",'TINH_LUONG'!AQ86)</f>
        <v/>
      </c>
      <c r="S86" s="224">
        <f>IF('TINH_LUONG'!$B86="","",'TINH_LUONG'!AR86)</f>
        <v/>
      </c>
      <c r="T86" s="224">
        <f>IF('TINH_LUONG'!$B86="","",'TINH_LUONG'!AU86+'TINH_LUONG'!AV86+'TINH_LUONG'!AW86+'TINH_LUONG'!BV86)</f>
        <v/>
      </c>
      <c r="U86" s="224">
        <f>IF('TINH_LUONG'!$B86="","",'TINH_LUONG'!AX86)</f>
        <v/>
      </c>
      <c r="V86" s="224">
        <f>IF('TINH_LUONG'!$B86="","",'TINH_LUONG'!BT86)</f>
        <v/>
      </c>
      <c r="W86" s="224">
        <f>IF('TINH_LUONG'!$B86="","",'TINH_LUONG'!BU86)</f>
        <v/>
      </c>
      <c r="X86" s="235">
        <f>IF('TINH_LUONG'!$B86="","",'TINH_LUONG'!BW86)</f>
        <v/>
      </c>
      <c r="Y86" s="224">
        <f>IF('TINH_LUONG'!$B86="","",'TINH_LUONG'!BC86)</f>
        <v/>
      </c>
      <c r="Z86" s="224">
        <f>IF('TINH_LUONG'!$B86="","",'TINH_LUONG'!BD86)</f>
        <v/>
      </c>
      <c r="AA86" s="150">
        <f>IF('TINH_LUONG'!$B86="","",'TINH_LUONG'!BG86)</f>
        <v/>
      </c>
    </row>
    <row r="87">
      <c r="A87" s="145">
        <f>IF('TINH_LUONG'!$B87="","",'TINH_LUONG'!A87)</f>
        <v/>
      </c>
      <c r="B87" s="145">
        <f>IF('TINH_LUONG'!$B87="","",'TINH_LUONG'!B87)</f>
        <v/>
      </c>
      <c r="C87" s="145">
        <f>IF('TINH_LUONG'!$B87="","",'TINH_LUONG'!C87)</f>
        <v/>
      </c>
      <c r="D87" s="145">
        <f>IF('TINH_LUONG'!$B87="","",'TINH_LUONG'!D87)</f>
        <v/>
      </c>
      <c r="E87" s="145">
        <f>IF('TINH_LUONG'!$B87="","",'TINH_LUONG'!F87)</f>
        <v/>
      </c>
      <c r="F87" s="145">
        <f>IF('TINH_LUONG'!$B87="","",'TINH_LUONG'!G87)</f>
        <v/>
      </c>
      <c r="G87" s="224">
        <f>IF('TINH_LUONG'!$B87="","",'TINH_LUONG'!O87+'TINH_LUONG'!BO87)</f>
        <v/>
      </c>
      <c r="H87" s="224">
        <f>IF('TINH_LUONG'!$B87="","",SUM('TINH_LUONG'!P87:R87))</f>
        <v/>
      </c>
      <c r="I87" s="224">
        <f>IF('TINH_LUONG'!$B87="","",'TINH_LUONG'!BP87+'TINH_LUONG'!BQ87)</f>
        <v/>
      </c>
      <c r="J87" s="224">
        <f>IF('TINH_LUONG'!$B87="","",'TINH_LUONG'!Z87)</f>
        <v/>
      </c>
      <c r="K87" s="224">
        <f>IF('TINH_LUONG'!$B87="","",'TINH_LUONG'!S87+'TINH_LUONG'!T87)</f>
        <v/>
      </c>
      <c r="L87" s="224">
        <f>IF('TINH_LUONG'!$B87="","",'TINH_LUONG'!W87+'TINH_LUONG'!X87)</f>
        <v/>
      </c>
      <c r="M87" s="224">
        <f>IF('TINH_LUONG'!$B87="","",'TINH_LUONG'!BR87+'TINH_LUONG'!BS87)</f>
        <v/>
      </c>
      <c r="N87" s="224">
        <f>IF('TINH_LUONG'!$B87="","",'TINH_LUONG'!AO87)</f>
        <v/>
      </c>
      <c r="O87" s="224">
        <f>IF('TINH_LUONG'!$B87="","",'TINH_LUONG'!AP87)</f>
        <v/>
      </c>
      <c r="P87" s="224">
        <f>IF('TINH_LUONG'!$B87="","",'TINH_LUONG'!AS87)</f>
        <v/>
      </c>
      <c r="Q87" s="224">
        <f>IF('TINH_LUONG'!$B87="","",'TINH_LUONG'!AJ87)</f>
        <v/>
      </c>
      <c r="R87" s="224">
        <f>IF('TINH_LUONG'!$B87="","",'TINH_LUONG'!AQ87)</f>
        <v/>
      </c>
      <c r="S87" s="224">
        <f>IF('TINH_LUONG'!$B87="","",'TINH_LUONG'!AR87)</f>
        <v/>
      </c>
      <c r="T87" s="224">
        <f>IF('TINH_LUONG'!$B87="","",'TINH_LUONG'!AU87+'TINH_LUONG'!AV87+'TINH_LUONG'!AW87+'TINH_LUONG'!BV87)</f>
        <v/>
      </c>
      <c r="U87" s="224">
        <f>IF('TINH_LUONG'!$B87="","",'TINH_LUONG'!AX87)</f>
        <v/>
      </c>
      <c r="V87" s="224">
        <f>IF('TINH_LUONG'!$B87="","",'TINH_LUONG'!BT87)</f>
        <v/>
      </c>
      <c r="W87" s="224">
        <f>IF('TINH_LUONG'!$B87="","",'TINH_LUONG'!BU87)</f>
        <v/>
      </c>
      <c r="X87" s="235">
        <f>IF('TINH_LUONG'!$B87="","",'TINH_LUONG'!BW87)</f>
        <v/>
      </c>
      <c r="Y87" s="224">
        <f>IF('TINH_LUONG'!$B87="","",'TINH_LUONG'!BC87)</f>
        <v/>
      </c>
      <c r="Z87" s="224">
        <f>IF('TINH_LUONG'!$B87="","",'TINH_LUONG'!BD87)</f>
        <v/>
      </c>
      <c r="AA87" s="150">
        <f>IF('TINH_LUONG'!$B87="","",'TINH_LUONG'!BG87)</f>
        <v/>
      </c>
    </row>
    <row r="88">
      <c r="A88" s="145">
        <f>IF('TINH_LUONG'!$B88="","",'TINH_LUONG'!A88)</f>
        <v/>
      </c>
      <c r="B88" s="145">
        <f>IF('TINH_LUONG'!$B88="","",'TINH_LUONG'!B88)</f>
        <v/>
      </c>
      <c r="C88" s="145">
        <f>IF('TINH_LUONG'!$B88="","",'TINH_LUONG'!C88)</f>
        <v/>
      </c>
      <c r="D88" s="145">
        <f>IF('TINH_LUONG'!$B88="","",'TINH_LUONG'!D88)</f>
        <v/>
      </c>
      <c r="E88" s="145">
        <f>IF('TINH_LUONG'!$B88="","",'TINH_LUONG'!F88)</f>
        <v/>
      </c>
      <c r="F88" s="145">
        <f>IF('TINH_LUONG'!$B88="","",'TINH_LUONG'!G88)</f>
        <v/>
      </c>
      <c r="G88" s="224">
        <f>IF('TINH_LUONG'!$B88="","",'TINH_LUONG'!O88+'TINH_LUONG'!BO88)</f>
        <v/>
      </c>
      <c r="H88" s="224">
        <f>IF('TINH_LUONG'!$B88="","",SUM('TINH_LUONG'!P88:R88))</f>
        <v/>
      </c>
      <c r="I88" s="224">
        <f>IF('TINH_LUONG'!$B88="","",'TINH_LUONG'!BP88+'TINH_LUONG'!BQ88)</f>
        <v/>
      </c>
      <c r="J88" s="224">
        <f>IF('TINH_LUONG'!$B88="","",'TINH_LUONG'!Z88)</f>
        <v/>
      </c>
      <c r="K88" s="224">
        <f>IF('TINH_LUONG'!$B88="","",'TINH_LUONG'!S88+'TINH_LUONG'!T88)</f>
        <v/>
      </c>
      <c r="L88" s="224">
        <f>IF('TINH_LUONG'!$B88="","",'TINH_LUONG'!W88+'TINH_LUONG'!X88)</f>
        <v/>
      </c>
      <c r="M88" s="224">
        <f>IF('TINH_LUONG'!$B88="","",'TINH_LUONG'!BR88+'TINH_LUONG'!BS88)</f>
        <v/>
      </c>
      <c r="N88" s="224">
        <f>IF('TINH_LUONG'!$B88="","",'TINH_LUONG'!AO88)</f>
        <v/>
      </c>
      <c r="O88" s="224">
        <f>IF('TINH_LUONG'!$B88="","",'TINH_LUONG'!AP88)</f>
        <v/>
      </c>
      <c r="P88" s="224">
        <f>IF('TINH_LUONG'!$B88="","",'TINH_LUONG'!AS88)</f>
        <v/>
      </c>
      <c r="Q88" s="224">
        <f>IF('TINH_LUONG'!$B88="","",'TINH_LUONG'!AJ88)</f>
        <v/>
      </c>
      <c r="R88" s="224">
        <f>IF('TINH_LUONG'!$B88="","",'TINH_LUONG'!AQ88)</f>
        <v/>
      </c>
      <c r="S88" s="224">
        <f>IF('TINH_LUONG'!$B88="","",'TINH_LUONG'!AR88)</f>
        <v/>
      </c>
      <c r="T88" s="224">
        <f>IF('TINH_LUONG'!$B88="","",'TINH_LUONG'!AU88+'TINH_LUONG'!AV88+'TINH_LUONG'!AW88+'TINH_LUONG'!BV88)</f>
        <v/>
      </c>
      <c r="U88" s="224">
        <f>IF('TINH_LUONG'!$B88="","",'TINH_LUONG'!AX88)</f>
        <v/>
      </c>
      <c r="V88" s="224">
        <f>IF('TINH_LUONG'!$B88="","",'TINH_LUONG'!BT88)</f>
        <v/>
      </c>
      <c r="W88" s="224">
        <f>IF('TINH_LUONG'!$B88="","",'TINH_LUONG'!BU88)</f>
        <v/>
      </c>
      <c r="X88" s="235">
        <f>IF('TINH_LUONG'!$B88="","",'TINH_LUONG'!BW88)</f>
        <v/>
      </c>
      <c r="Y88" s="224">
        <f>IF('TINH_LUONG'!$B88="","",'TINH_LUONG'!BC88)</f>
        <v/>
      </c>
      <c r="Z88" s="224">
        <f>IF('TINH_LUONG'!$B88="","",'TINH_LUONG'!BD88)</f>
        <v/>
      </c>
      <c r="AA88" s="150">
        <f>IF('TINH_LUONG'!$B88="","",'TINH_LUONG'!BG88)</f>
        <v/>
      </c>
    </row>
    <row r="89">
      <c r="A89" s="145">
        <f>IF('TINH_LUONG'!$B89="","",'TINH_LUONG'!A89)</f>
        <v/>
      </c>
      <c r="B89" s="145">
        <f>IF('TINH_LUONG'!$B89="","",'TINH_LUONG'!B89)</f>
        <v/>
      </c>
      <c r="C89" s="145">
        <f>IF('TINH_LUONG'!$B89="","",'TINH_LUONG'!C89)</f>
        <v/>
      </c>
      <c r="D89" s="145">
        <f>IF('TINH_LUONG'!$B89="","",'TINH_LUONG'!D89)</f>
        <v/>
      </c>
      <c r="E89" s="145">
        <f>IF('TINH_LUONG'!$B89="","",'TINH_LUONG'!F89)</f>
        <v/>
      </c>
      <c r="F89" s="145">
        <f>IF('TINH_LUONG'!$B89="","",'TINH_LUONG'!G89)</f>
        <v/>
      </c>
      <c r="G89" s="224">
        <f>IF('TINH_LUONG'!$B89="","",'TINH_LUONG'!O89+'TINH_LUONG'!BO89)</f>
        <v/>
      </c>
      <c r="H89" s="224">
        <f>IF('TINH_LUONG'!$B89="","",SUM('TINH_LUONG'!P89:R89))</f>
        <v/>
      </c>
      <c r="I89" s="224">
        <f>IF('TINH_LUONG'!$B89="","",'TINH_LUONG'!BP89+'TINH_LUONG'!BQ89)</f>
        <v/>
      </c>
      <c r="J89" s="224">
        <f>IF('TINH_LUONG'!$B89="","",'TINH_LUONG'!Z89)</f>
        <v/>
      </c>
      <c r="K89" s="224">
        <f>IF('TINH_LUONG'!$B89="","",'TINH_LUONG'!S89+'TINH_LUONG'!T89)</f>
        <v/>
      </c>
      <c r="L89" s="224">
        <f>IF('TINH_LUONG'!$B89="","",'TINH_LUONG'!W89+'TINH_LUONG'!X89)</f>
        <v/>
      </c>
      <c r="M89" s="224">
        <f>IF('TINH_LUONG'!$B89="","",'TINH_LUONG'!BR89+'TINH_LUONG'!BS89)</f>
        <v/>
      </c>
      <c r="N89" s="224">
        <f>IF('TINH_LUONG'!$B89="","",'TINH_LUONG'!AO89)</f>
        <v/>
      </c>
      <c r="O89" s="224">
        <f>IF('TINH_LUONG'!$B89="","",'TINH_LUONG'!AP89)</f>
        <v/>
      </c>
      <c r="P89" s="224">
        <f>IF('TINH_LUONG'!$B89="","",'TINH_LUONG'!AS89)</f>
        <v/>
      </c>
      <c r="Q89" s="224">
        <f>IF('TINH_LUONG'!$B89="","",'TINH_LUONG'!AJ89)</f>
        <v/>
      </c>
      <c r="R89" s="224">
        <f>IF('TINH_LUONG'!$B89="","",'TINH_LUONG'!AQ89)</f>
        <v/>
      </c>
      <c r="S89" s="224">
        <f>IF('TINH_LUONG'!$B89="","",'TINH_LUONG'!AR89)</f>
        <v/>
      </c>
      <c r="T89" s="224">
        <f>IF('TINH_LUONG'!$B89="","",'TINH_LUONG'!AU89+'TINH_LUONG'!AV89+'TINH_LUONG'!AW89+'TINH_LUONG'!BV89)</f>
        <v/>
      </c>
      <c r="U89" s="224">
        <f>IF('TINH_LUONG'!$B89="","",'TINH_LUONG'!AX89)</f>
        <v/>
      </c>
      <c r="V89" s="224">
        <f>IF('TINH_LUONG'!$B89="","",'TINH_LUONG'!BT89)</f>
        <v/>
      </c>
      <c r="W89" s="224">
        <f>IF('TINH_LUONG'!$B89="","",'TINH_LUONG'!BU89)</f>
        <v/>
      </c>
      <c r="X89" s="235">
        <f>IF('TINH_LUONG'!$B89="","",'TINH_LUONG'!BW89)</f>
        <v/>
      </c>
      <c r="Y89" s="224">
        <f>IF('TINH_LUONG'!$B89="","",'TINH_LUONG'!BC89)</f>
        <v/>
      </c>
      <c r="Z89" s="224">
        <f>IF('TINH_LUONG'!$B89="","",'TINH_LUONG'!BD89)</f>
        <v/>
      </c>
      <c r="AA89" s="150">
        <f>IF('TINH_LUONG'!$B89="","",'TINH_LUONG'!BG89)</f>
        <v/>
      </c>
    </row>
    <row r="90">
      <c r="A90" s="145">
        <f>IF('TINH_LUONG'!$B90="","",'TINH_LUONG'!A90)</f>
        <v/>
      </c>
      <c r="B90" s="145">
        <f>IF('TINH_LUONG'!$B90="","",'TINH_LUONG'!B90)</f>
        <v/>
      </c>
      <c r="C90" s="145">
        <f>IF('TINH_LUONG'!$B90="","",'TINH_LUONG'!C90)</f>
        <v/>
      </c>
      <c r="D90" s="145">
        <f>IF('TINH_LUONG'!$B90="","",'TINH_LUONG'!D90)</f>
        <v/>
      </c>
      <c r="E90" s="145">
        <f>IF('TINH_LUONG'!$B90="","",'TINH_LUONG'!F90)</f>
        <v/>
      </c>
      <c r="F90" s="145">
        <f>IF('TINH_LUONG'!$B90="","",'TINH_LUONG'!G90)</f>
        <v/>
      </c>
      <c r="G90" s="224">
        <f>IF('TINH_LUONG'!$B90="","",'TINH_LUONG'!O90+'TINH_LUONG'!BO90)</f>
        <v/>
      </c>
      <c r="H90" s="224">
        <f>IF('TINH_LUONG'!$B90="","",SUM('TINH_LUONG'!P90:R90))</f>
        <v/>
      </c>
      <c r="I90" s="224">
        <f>IF('TINH_LUONG'!$B90="","",'TINH_LUONG'!BP90+'TINH_LUONG'!BQ90)</f>
        <v/>
      </c>
      <c r="J90" s="224">
        <f>IF('TINH_LUONG'!$B90="","",'TINH_LUONG'!Z90)</f>
        <v/>
      </c>
      <c r="K90" s="224">
        <f>IF('TINH_LUONG'!$B90="","",'TINH_LUONG'!S90+'TINH_LUONG'!T90)</f>
        <v/>
      </c>
      <c r="L90" s="224">
        <f>IF('TINH_LUONG'!$B90="","",'TINH_LUONG'!W90+'TINH_LUONG'!X90)</f>
        <v/>
      </c>
      <c r="M90" s="224">
        <f>IF('TINH_LUONG'!$B90="","",'TINH_LUONG'!BR90+'TINH_LUONG'!BS90)</f>
        <v/>
      </c>
      <c r="N90" s="224">
        <f>IF('TINH_LUONG'!$B90="","",'TINH_LUONG'!AO90)</f>
        <v/>
      </c>
      <c r="O90" s="224">
        <f>IF('TINH_LUONG'!$B90="","",'TINH_LUONG'!AP90)</f>
        <v/>
      </c>
      <c r="P90" s="224">
        <f>IF('TINH_LUONG'!$B90="","",'TINH_LUONG'!AS90)</f>
        <v/>
      </c>
      <c r="Q90" s="224">
        <f>IF('TINH_LUONG'!$B90="","",'TINH_LUONG'!AJ90)</f>
        <v/>
      </c>
      <c r="R90" s="224">
        <f>IF('TINH_LUONG'!$B90="","",'TINH_LUONG'!AQ90)</f>
        <v/>
      </c>
      <c r="S90" s="224">
        <f>IF('TINH_LUONG'!$B90="","",'TINH_LUONG'!AR90)</f>
        <v/>
      </c>
      <c r="T90" s="224">
        <f>IF('TINH_LUONG'!$B90="","",'TINH_LUONG'!AU90+'TINH_LUONG'!AV90+'TINH_LUONG'!AW90+'TINH_LUONG'!BV90)</f>
        <v/>
      </c>
      <c r="U90" s="224">
        <f>IF('TINH_LUONG'!$B90="","",'TINH_LUONG'!AX90)</f>
        <v/>
      </c>
      <c r="V90" s="224">
        <f>IF('TINH_LUONG'!$B90="","",'TINH_LUONG'!BT90)</f>
        <v/>
      </c>
      <c r="W90" s="224">
        <f>IF('TINH_LUONG'!$B90="","",'TINH_LUONG'!BU90)</f>
        <v/>
      </c>
      <c r="X90" s="235">
        <f>IF('TINH_LUONG'!$B90="","",'TINH_LUONG'!BW90)</f>
        <v/>
      </c>
      <c r="Y90" s="224">
        <f>IF('TINH_LUONG'!$B90="","",'TINH_LUONG'!BC90)</f>
        <v/>
      </c>
      <c r="Z90" s="224">
        <f>IF('TINH_LUONG'!$B90="","",'TINH_LUONG'!BD90)</f>
        <v/>
      </c>
      <c r="AA90" s="150">
        <f>IF('TINH_LUONG'!$B90="","",'TINH_LUONG'!BG90)</f>
        <v/>
      </c>
    </row>
    <row r="91">
      <c r="A91" s="145">
        <f>IF('TINH_LUONG'!$B91="","",'TINH_LUONG'!A91)</f>
        <v/>
      </c>
      <c r="B91" s="145">
        <f>IF('TINH_LUONG'!$B91="","",'TINH_LUONG'!B91)</f>
        <v/>
      </c>
      <c r="C91" s="145">
        <f>IF('TINH_LUONG'!$B91="","",'TINH_LUONG'!C91)</f>
        <v/>
      </c>
      <c r="D91" s="145">
        <f>IF('TINH_LUONG'!$B91="","",'TINH_LUONG'!D91)</f>
        <v/>
      </c>
      <c r="E91" s="145">
        <f>IF('TINH_LUONG'!$B91="","",'TINH_LUONG'!F91)</f>
        <v/>
      </c>
      <c r="F91" s="145">
        <f>IF('TINH_LUONG'!$B91="","",'TINH_LUONG'!G91)</f>
        <v/>
      </c>
      <c r="G91" s="224">
        <f>IF('TINH_LUONG'!$B91="","",'TINH_LUONG'!O91+'TINH_LUONG'!BO91)</f>
        <v/>
      </c>
      <c r="H91" s="224">
        <f>IF('TINH_LUONG'!$B91="","",SUM('TINH_LUONG'!P91:R91))</f>
        <v/>
      </c>
      <c r="I91" s="224">
        <f>IF('TINH_LUONG'!$B91="","",'TINH_LUONG'!BP91+'TINH_LUONG'!BQ91)</f>
        <v/>
      </c>
      <c r="J91" s="224">
        <f>IF('TINH_LUONG'!$B91="","",'TINH_LUONG'!Z91)</f>
        <v/>
      </c>
      <c r="K91" s="224">
        <f>IF('TINH_LUONG'!$B91="","",'TINH_LUONG'!S91+'TINH_LUONG'!T91)</f>
        <v/>
      </c>
      <c r="L91" s="224">
        <f>IF('TINH_LUONG'!$B91="","",'TINH_LUONG'!W91+'TINH_LUONG'!X91)</f>
        <v/>
      </c>
      <c r="M91" s="224">
        <f>IF('TINH_LUONG'!$B91="","",'TINH_LUONG'!BR91+'TINH_LUONG'!BS91)</f>
        <v/>
      </c>
      <c r="N91" s="224">
        <f>IF('TINH_LUONG'!$B91="","",'TINH_LUONG'!AO91)</f>
        <v/>
      </c>
      <c r="O91" s="224">
        <f>IF('TINH_LUONG'!$B91="","",'TINH_LUONG'!AP91)</f>
        <v/>
      </c>
      <c r="P91" s="224">
        <f>IF('TINH_LUONG'!$B91="","",'TINH_LUONG'!AS91)</f>
        <v/>
      </c>
      <c r="Q91" s="224">
        <f>IF('TINH_LUONG'!$B91="","",'TINH_LUONG'!AJ91)</f>
        <v/>
      </c>
      <c r="R91" s="224">
        <f>IF('TINH_LUONG'!$B91="","",'TINH_LUONG'!AQ91)</f>
        <v/>
      </c>
      <c r="S91" s="224">
        <f>IF('TINH_LUONG'!$B91="","",'TINH_LUONG'!AR91)</f>
        <v/>
      </c>
      <c r="T91" s="224">
        <f>IF('TINH_LUONG'!$B91="","",'TINH_LUONG'!AU91+'TINH_LUONG'!AV91+'TINH_LUONG'!AW91+'TINH_LUONG'!BV91)</f>
        <v/>
      </c>
      <c r="U91" s="224">
        <f>IF('TINH_LUONG'!$B91="","",'TINH_LUONG'!AX91)</f>
        <v/>
      </c>
      <c r="V91" s="224">
        <f>IF('TINH_LUONG'!$B91="","",'TINH_LUONG'!BT91)</f>
        <v/>
      </c>
      <c r="W91" s="224">
        <f>IF('TINH_LUONG'!$B91="","",'TINH_LUONG'!BU91)</f>
        <v/>
      </c>
      <c r="X91" s="235">
        <f>IF('TINH_LUONG'!$B91="","",'TINH_LUONG'!BW91)</f>
        <v/>
      </c>
      <c r="Y91" s="224">
        <f>IF('TINH_LUONG'!$B91="","",'TINH_LUONG'!BC91)</f>
        <v/>
      </c>
      <c r="Z91" s="224">
        <f>IF('TINH_LUONG'!$B91="","",'TINH_LUONG'!BD91)</f>
        <v/>
      </c>
      <c r="AA91" s="150">
        <f>IF('TINH_LUONG'!$B91="","",'TINH_LUONG'!BG91)</f>
        <v/>
      </c>
    </row>
    <row r="92">
      <c r="A92" s="145">
        <f>IF('TINH_LUONG'!$B92="","",'TINH_LUONG'!A92)</f>
        <v/>
      </c>
      <c r="B92" s="145">
        <f>IF('TINH_LUONG'!$B92="","",'TINH_LUONG'!B92)</f>
        <v/>
      </c>
      <c r="C92" s="145">
        <f>IF('TINH_LUONG'!$B92="","",'TINH_LUONG'!C92)</f>
        <v/>
      </c>
      <c r="D92" s="145">
        <f>IF('TINH_LUONG'!$B92="","",'TINH_LUONG'!D92)</f>
        <v/>
      </c>
      <c r="E92" s="145">
        <f>IF('TINH_LUONG'!$B92="","",'TINH_LUONG'!F92)</f>
        <v/>
      </c>
      <c r="F92" s="145">
        <f>IF('TINH_LUONG'!$B92="","",'TINH_LUONG'!G92)</f>
        <v/>
      </c>
      <c r="G92" s="224">
        <f>IF('TINH_LUONG'!$B92="","",'TINH_LUONG'!O92+'TINH_LUONG'!BO92)</f>
        <v/>
      </c>
      <c r="H92" s="224">
        <f>IF('TINH_LUONG'!$B92="","",SUM('TINH_LUONG'!P92:R92))</f>
        <v/>
      </c>
      <c r="I92" s="224">
        <f>IF('TINH_LUONG'!$B92="","",'TINH_LUONG'!BP92+'TINH_LUONG'!BQ92)</f>
        <v/>
      </c>
      <c r="J92" s="224">
        <f>IF('TINH_LUONG'!$B92="","",'TINH_LUONG'!Z92)</f>
        <v/>
      </c>
      <c r="K92" s="224">
        <f>IF('TINH_LUONG'!$B92="","",'TINH_LUONG'!S92+'TINH_LUONG'!T92)</f>
        <v/>
      </c>
      <c r="L92" s="224">
        <f>IF('TINH_LUONG'!$B92="","",'TINH_LUONG'!W92+'TINH_LUONG'!X92)</f>
        <v/>
      </c>
      <c r="M92" s="224">
        <f>IF('TINH_LUONG'!$B92="","",'TINH_LUONG'!BR92+'TINH_LUONG'!BS92)</f>
        <v/>
      </c>
      <c r="N92" s="224">
        <f>IF('TINH_LUONG'!$B92="","",'TINH_LUONG'!AO92)</f>
        <v/>
      </c>
      <c r="O92" s="224">
        <f>IF('TINH_LUONG'!$B92="","",'TINH_LUONG'!AP92)</f>
        <v/>
      </c>
      <c r="P92" s="224">
        <f>IF('TINH_LUONG'!$B92="","",'TINH_LUONG'!AS92)</f>
        <v/>
      </c>
      <c r="Q92" s="224">
        <f>IF('TINH_LUONG'!$B92="","",'TINH_LUONG'!AJ92)</f>
        <v/>
      </c>
      <c r="R92" s="224">
        <f>IF('TINH_LUONG'!$B92="","",'TINH_LUONG'!AQ92)</f>
        <v/>
      </c>
      <c r="S92" s="224">
        <f>IF('TINH_LUONG'!$B92="","",'TINH_LUONG'!AR92)</f>
        <v/>
      </c>
      <c r="T92" s="224">
        <f>IF('TINH_LUONG'!$B92="","",'TINH_LUONG'!AU92+'TINH_LUONG'!AV92+'TINH_LUONG'!AW92+'TINH_LUONG'!BV92)</f>
        <v/>
      </c>
      <c r="U92" s="224">
        <f>IF('TINH_LUONG'!$B92="","",'TINH_LUONG'!AX92)</f>
        <v/>
      </c>
      <c r="V92" s="224">
        <f>IF('TINH_LUONG'!$B92="","",'TINH_LUONG'!BT92)</f>
        <v/>
      </c>
      <c r="W92" s="224">
        <f>IF('TINH_LUONG'!$B92="","",'TINH_LUONG'!BU92)</f>
        <v/>
      </c>
      <c r="X92" s="235">
        <f>IF('TINH_LUONG'!$B92="","",'TINH_LUONG'!BW92)</f>
        <v/>
      </c>
      <c r="Y92" s="224">
        <f>IF('TINH_LUONG'!$B92="","",'TINH_LUONG'!BC92)</f>
        <v/>
      </c>
      <c r="Z92" s="224">
        <f>IF('TINH_LUONG'!$B92="","",'TINH_LUONG'!BD92)</f>
        <v/>
      </c>
      <c r="AA92" s="150">
        <f>IF('TINH_LUONG'!$B92="","",'TINH_LUONG'!BG92)</f>
        <v/>
      </c>
    </row>
    <row r="93">
      <c r="A93" s="145">
        <f>IF('TINH_LUONG'!$B93="","",'TINH_LUONG'!A93)</f>
        <v/>
      </c>
      <c r="B93" s="145">
        <f>IF('TINH_LUONG'!$B93="","",'TINH_LUONG'!B93)</f>
        <v/>
      </c>
      <c r="C93" s="145">
        <f>IF('TINH_LUONG'!$B93="","",'TINH_LUONG'!C93)</f>
        <v/>
      </c>
      <c r="D93" s="145">
        <f>IF('TINH_LUONG'!$B93="","",'TINH_LUONG'!D93)</f>
        <v/>
      </c>
      <c r="E93" s="145">
        <f>IF('TINH_LUONG'!$B93="","",'TINH_LUONG'!F93)</f>
        <v/>
      </c>
      <c r="F93" s="145">
        <f>IF('TINH_LUONG'!$B93="","",'TINH_LUONG'!G93)</f>
        <v/>
      </c>
      <c r="G93" s="224">
        <f>IF('TINH_LUONG'!$B93="","",'TINH_LUONG'!O93+'TINH_LUONG'!BO93)</f>
        <v/>
      </c>
      <c r="H93" s="224">
        <f>IF('TINH_LUONG'!$B93="","",SUM('TINH_LUONG'!P93:R93))</f>
        <v/>
      </c>
      <c r="I93" s="224">
        <f>IF('TINH_LUONG'!$B93="","",'TINH_LUONG'!BP93+'TINH_LUONG'!BQ93)</f>
        <v/>
      </c>
      <c r="J93" s="224">
        <f>IF('TINH_LUONG'!$B93="","",'TINH_LUONG'!Z93)</f>
        <v/>
      </c>
      <c r="K93" s="224">
        <f>IF('TINH_LUONG'!$B93="","",'TINH_LUONG'!S93+'TINH_LUONG'!T93)</f>
        <v/>
      </c>
      <c r="L93" s="224">
        <f>IF('TINH_LUONG'!$B93="","",'TINH_LUONG'!W93+'TINH_LUONG'!X93)</f>
        <v/>
      </c>
      <c r="M93" s="224">
        <f>IF('TINH_LUONG'!$B93="","",'TINH_LUONG'!BR93+'TINH_LUONG'!BS93)</f>
        <v/>
      </c>
      <c r="N93" s="224">
        <f>IF('TINH_LUONG'!$B93="","",'TINH_LUONG'!AO93)</f>
        <v/>
      </c>
      <c r="O93" s="224">
        <f>IF('TINH_LUONG'!$B93="","",'TINH_LUONG'!AP93)</f>
        <v/>
      </c>
      <c r="P93" s="224">
        <f>IF('TINH_LUONG'!$B93="","",'TINH_LUONG'!AS93)</f>
        <v/>
      </c>
      <c r="Q93" s="224">
        <f>IF('TINH_LUONG'!$B93="","",'TINH_LUONG'!AJ93)</f>
        <v/>
      </c>
      <c r="R93" s="224">
        <f>IF('TINH_LUONG'!$B93="","",'TINH_LUONG'!AQ93)</f>
        <v/>
      </c>
      <c r="S93" s="224">
        <f>IF('TINH_LUONG'!$B93="","",'TINH_LUONG'!AR93)</f>
        <v/>
      </c>
      <c r="T93" s="224">
        <f>IF('TINH_LUONG'!$B93="","",'TINH_LUONG'!AU93+'TINH_LUONG'!AV93+'TINH_LUONG'!AW93+'TINH_LUONG'!BV93)</f>
        <v/>
      </c>
      <c r="U93" s="224">
        <f>IF('TINH_LUONG'!$B93="","",'TINH_LUONG'!AX93)</f>
        <v/>
      </c>
      <c r="V93" s="224">
        <f>IF('TINH_LUONG'!$B93="","",'TINH_LUONG'!BT93)</f>
        <v/>
      </c>
      <c r="W93" s="224">
        <f>IF('TINH_LUONG'!$B93="","",'TINH_LUONG'!BU93)</f>
        <v/>
      </c>
      <c r="X93" s="235">
        <f>IF('TINH_LUONG'!$B93="","",'TINH_LUONG'!BW93)</f>
        <v/>
      </c>
      <c r="Y93" s="224">
        <f>IF('TINH_LUONG'!$B93="","",'TINH_LUONG'!BC93)</f>
        <v/>
      </c>
      <c r="Z93" s="224">
        <f>IF('TINH_LUONG'!$B93="","",'TINH_LUONG'!BD93)</f>
        <v/>
      </c>
      <c r="AA93" s="150">
        <f>IF('TINH_LUONG'!$B93="","",'TINH_LUONG'!BG93)</f>
        <v/>
      </c>
    </row>
    <row r="94">
      <c r="A94" s="145">
        <f>IF('TINH_LUONG'!$B94="","",'TINH_LUONG'!A94)</f>
        <v/>
      </c>
      <c r="B94" s="145">
        <f>IF('TINH_LUONG'!$B94="","",'TINH_LUONG'!B94)</f>
        <v/>
      </c>
      <c r="C94" s="145">
        <f>IF('TINH_LUONG'!$B94="","",'TINH_LUONG'!C94)</f>
        <v/>
      </c>
      <c r="D94" s="145">
        <f>IF('TINH_LUONG'!$B94="","",'TINH_LUONG'!D94)</f>
        <v/>
      </c>
      <c r="E94" s="145">
        <f>IF('TINH_LUONG'!$B94="","",'TINH_LUONG'!F94)</f>
        <v/>
      </c>
      <c r="F94" s="145">
        <f>IF('TINH_LUONG'!$B94="","",'TINH_LUONG'!G94)</f>
        <v/>
      </c>
      <c r="G94" s="224">
        <f>IF('TINH_LUONG'!$B94="","",'TINH_LUONG'!O94+'TINH_LUONG'!BO94)</f>
        <v/>
      </c>
      <c r="H94" s="224">
        <f>IF('TINH_LUONG'!$B94="","",SUM('TINH_LUONG'!P94:R94))</f>
        <v/>
      </c>
      <c r="I94" s="224">
        <f>IF('TINH_LUONG'!$B94="","",'TINH_LUONG'!BP94+'TINH_LUONG'!BQ94)</f>
        <v/>
      </c>
      <c r="J94" s="224">
        <f>IF('TINH_LUONG'!$B94="","",'TINH_LUONG'!Z94)</f>
        <v/>
      </c>
      <c r="K94" s="224">
        <f>IF('TINH_LUONG'!$B94="","",'TINH_LUONG'!S94+'TINH_LUONG'!T94)</f>
        <v/>
      </c>
      <c r="L94" s="224">
        <f>IF('TINH_LUONG'!$B94="","",'TINH_LUONG'!W94+'TINH_LUONG'!X94)</f>
        <v/>
      </c>
      <c r="M94" s="224">
        <f>IF('TINH_LUONG'!$B94="","",'TINH_LUONG'!BR94+'TINH_LUONG'!BS94)</f>
        <v/>
      </c>
      <c r="N94" s="224">
        <f>IF('TINH_LUONG'!$B94="","",'TINH_LUONG'!AO94)</f>
        <v/>
      </c>
      <c r="O94" s="224">
        <f>IF('TINH_LUONG'!$B94="","",'TINH_LUONG'!AP94)</f>
        <v/>
      </c>
      <c r="P94" s="224">
        <f>IF('TINH_LUONG'!$B94="","",'TINH_LUONG'!AS94)</f>
        <v/>
      </c>
      <c r="Q94" s="224">
        <f>IF('TINH_LUONG'!$B94="","",'TINH_LUONG'!AJ94)</f>
        <v/>
      </c>
      <c r="R94" s="224">
        <f>IF('TINH_LUONG'!$B94="","",'TINH_LUONG'!AQ94)</f>
        <v/>
      </c>
      <c r="S94" s="224">
        <f>IF('TINH_LUONG'!$B94="","",'TINH_LUONG'!AR94)</f>
        <v/>
      </c>
      <c r="T94" s="224">
        <f>IF('TINH_LUONG'!$B94="","",'TINH_LUONG'!AU94+'TINH_LUONG'!AV94+'TINH_LUONG'!AW94+'TINH_LUONG'!BV94)</f>
        <v/>
      </c>
      <c r="U94" s="224">
        <f>IF('TINH_LUONG'!$B94="","",'TINH_LUONG'!AX94)</f>
        <v/>
      </c>
      <c r="V94" s="224">
        <f>IF('TINH_LUONG'!$B94="","",'TINH_LUONG'!BT94)</f>
        <v/>
      </c>
      <c r="W94" s="224">
        <f>IF('TINH_LUONG'!$B94="","",'TINH_LUONG'!BU94)</f>
        <v/>
      </c>
      <c r="X94" s="235">
        <f>IF('TINH_LUONG'!$B94="","",'TINH_LUONG'!BW94)</f>
        <v/>
      </c>
      <c r="Y94" s="224">
        <f>IF('TINH_LUONG'!$B94="","",'TINH_LUONG'!BC94)</f>
        <v/>
      </c>
      <c r="Z94" s="224">
        <f>IF('TINH_LUONG'!$B94="","",'TINH_LUONG'!BD94)</f>
        <v/>
      </c>
      <c r="AA94" s="150">
        <f>IF('TINH_LUONG'!$B94="","",'TINH_LUONG'!BG94)</f>
        <v/>
      </c>
    </row>
    <row r="95">
      <c r="A95" s="145">
        <f>IF('TINH_LUONG'!$B95="","",'TINH_LUONG'!A95)</f>
        <v/>
      </c>
      <c r="B95" s="145">
        <f>IF('TINH_LUONG'!$B95="","",'TINH_LUONG'!B95)</f>
        <v/>
      </c>
      <c r="C95" s="145">
        <f>IF('TINH_LUONG'!$B95="","",'TINH_LUONG'!C95)</f>
        <v/>
      </c>
      <c r="D95" s="145">
        <f>IF('TINH_LUONG'!$B95="","",'TINH_LUONG'!D95)</f>
        <v/>
      </c>
      <c r="E95" s="145">
        <f>IF('TINH_LUONG'!$B95="","",'TINH_LUONG'!F95)</f>
        <v/>
      </c>
      <c r="F95" s="145">
        <f>IF('TINH_LUONG'!$B95="","",'TINH_LUONG'!G95)</f>
        <v/>
      </c>
      <c r="G95" s="224">
        <f>IF('TINH_LUONG'!$B95="","",'TINH_LUONG'!O95+'TINH_LUONG'!BO95)</f>
        <v/>
      </c>
      <c r="H95" s="224">
        <f>IF('TINH_LUONG'!$B95="","",SUM('TINH_LUONG'!P95:R95))</f>
        <v/>
      </c>
      <c r="I95" s="224">
        <f>IF('TINH_LUONG'!$B95="","",'TINH_LUONG'!BP95+'TINH_LUONG'!BQ95)</f>
        <v/>
      </c>
      <c r="J95" s="224">
        <f>IF('TINH_LUONG'!$B95="","",'TINH_LUONG'!Z95)</f>
        <v/>
      </c>
      <c r="K95" s="224">
        <f>IF('TINH_LUONG'!$B95="","",'TINH_LUONG'!S95+'TINH_LUONG'!T95)</f>
        <v/>
      </c>
      <c r="L95" s="224">
        <f>IF('TINH_LUONG'!$B95="","",'TINH_LUONG'!W95+'TINH_LUONG'!X95)</f>
        <v/>
      </c>
      <c r="M95" s="224">
        <f>IF('TINH_LUONG'!$B95="","",'TINH_LUONG'!BR95+'TINH_LUONG'!BS95)</f>
        <v/>
      </c>
      <c r="N95" s="224">
        <f>IF('TINH_LUONG'!$B95="","",'TINH_LUONG'!AO95)</f>
        <v/>
      </c>
      <c r="O95" s="224">
        <f>IF('TINH_LUONG'!$B95="","",'TINH_LUONG'!AP95)</f>
        <v/>
      </c>
      <c r="P95" s="224">
        <f>IF('TINH_LUONG'!$B95="","",'TINH_LUONG'!AS95)</f>
        <v/>
      </c>
      <c r="Q95" s="224">
        <f>IF('TINH_LUONG'!$B95="","",'TINH_LUONG'!AJ95)</f>
        <v/>
      </c>
      <c r="R95" s="224">
        <f>IF('TINH_LUONG'!$B95="","",'TINH_LUONG'!AQ95)</f>
        <v/>
      </c>
      <c r="S95" s="224">
        <f>IF('TINH_LUONG'!$B95="","",'TINH_LUONG'!AR95)</f>
        <v/>
      </c>
      <c r="T95" s="224">
        <f>IF('TINH_LUONG'!$B95="","",'TINH_LUONG'!AU95+'TINH_LUONG'!AV95+'TINH_LUONG'!AW95+'TINH_LUONG'!BV95)</f>
        <v/>
      </c>
      <c r="U95" s="224">
        <f>IF('TINH_LUONG'!$B95="","",'TINH_LUONG'!AX95)</f>
        <v/>
      </c>
      <c r="V95" s="224">
        <f>IF('TINH_LUONG'!$B95="","",'TINH_LUONG'!BT95)</f>
        <v/>
      </c>
      <c r="W95" s="224">
        <f>IF('TINH_LUONG'!$B95="","",'TINH_LUONG'!BU95)</f>
        <v/>
      </c>
      <c r="X95" s="235">
        <f>IF('TINH_LUONG'!$B95="","",'TINH_LUONG'!BW95)</f>
        <v/>
      </c>
      <c r="Y95" s="224">
        <f>IF('TINH_LUONG'!$B95="","",'TINH_LUONG'!BC95)</f>
        <v/>
      </c>
      <c r="Z95" s="224">
        <f>IF('TINH_LUONG'!$B95="","",'TINH_LUONG'!BD95)</f>
        <v/>
      </c>
      <c r="AA95" s="150">
        <f>IF('TINH_LUONG'!$B95="","",'TINH_LUONG'!BG95)</f>
        <v/>
      </c>
    </row>
    <row r="96">
      <c r="A96" s="145">
        <f>IF('TINH_LUONG'!$B96="","",'TINH_LUONG'!A96)</f>
        <v/>
      </c>
      <c r="B96" s="145">
        <f>IF('TINH_LUONG'!$B96="","",'TINH_LUONG'!B96)</f>
        <v/>
      </c>
      <c r="C96" s="145">
        <f>IF('TINH_LUONG'!$B96="","",'TINH_LUONG'!C96)</f>
        <v/>
      </c>
      <c r="D96" s="145">
        <f>IF('TINH_LUONG'!$B96="","",'TINH_LUONG'!D96)</f>
        <v/>
      </c>
      <c r="E96" s="145">
        <f>IF('TINH_LUONG'!$B96="","",'TINH_LUONG'!F96)</f>
        <v/>
      </c>
      <c r="F96" s="145">
        <f>IF('TINH_LUONG'!$B96="","",'TINH_LUONG'!G96)</f>
        <v/>
      </c>
      <c r="G96" s="224">
        <f>IF('TINH_LUONG'!$B96="","",'TINH_LUONG'!O96+'TINH_LUONG'!BO96)</f>
        <v/>
      </c>
      <c r="H96" s="224">
        <f>IF('TINH_LUONG'!$B96="","",SUM('TINH_LUONG'!P96:R96))</f>
        <v/>
      </c>
      <c r="I96" s="224">
        <f>IF('TINH_LUONG'!$B96="","",'TINH_LUONG'!BP96+'TINH_LUONG'!BQ96)</f>
        <v/>
      </c>
      <c r="J96" s="224">
        <f>IF('TINH_LUONG'!$B96="","",'TINH_LUONG'!Z96)</f>
        <v/>
      </c>
      <c r="K96" s="224">
        <f>IF('TINH_LUONG'!$B96="","",'TINH_LUONG'!S96+'TINH_LUONG'!T96)</f>
        <v/>
      </c>
      <c r="L96" s="224">
        <f>IF('TINH_LUONG'!$B96="","",'TINH_LUONG'!W96+'TINH_LUONG'!X96)</f>
        <v/>
      </c>
      <c r="M96" s="224">
        <f>IF('TINH_LUONG'!$B96="","",'TINH_LUONG'!BR96+'TINH_LUONG'!BS96)</f>
        <v/>
      </c>
      <c r="N96" s="224">
        <f>IF('TINH_LUONG'!$B96="","",'TINH_LUONG'!AO96)</f>
        <v/>
      </c>
      <c r="O96" s="224">
        <f>IF('TINH_LUONG'!$B96="","",'TINH_LUONG'!AP96)</f>
        <v/>
      </c>
      <c r="P96" s="224">
        <f>IF('TINH_LUONG'!$B96="","",'TINH_LUONG'!AS96)</f>
        <v/>
      </c>
      <c r="Q96" s="224">
        <f>IF('TINH_LUONG'!$B96="","",'TINH_LUONG'!AJ96)</f>
        <v/>
      </c>
      <c r="R96" s="224">
        <f>IF('TINH_LUONG'!$B96="","",'TINH_LUONG'!AQ96)</f>
        <v/>
      </c>
      <c r="S96" s="224">
        <f>IF('TINH_LUONG'!$B96="","",'TINH_LUONG'!AR96)</f>
        <v/>
      </c>
      <c r="T96" s="224">
        <f>IF('TINH_LUONG'!$B96="","",'TINH_LUONG'!AU96+'TINH_LUONG'!AV96+'TINH_LUONG'!AW96+'TINH_LUONG'!BV96)</f>
        <v/>
      </c>
      <c r="U96" s="224">
        <f>IF('TINH_LUONG'!$B96="","",'TINH_LUONG'!AX96)</f>
        <v/>
      </c>
      <c r="V96" s="224">
        <f>IF('TINH_LUONG'!$B96="","",'TINH_LUONG'!BT96)</f>
        <v/>
      </c>
      <c r="W96" s="224">
        <f>IF('TINH_LUONG'!$B96="","",'TINH_LUONG'!BU96)</f>
        <v/>
      </c>
      <c r="X96" s="235">
        <f>IF('TINH_LUONG'!$B96="","",'TINH_LUONG'!BW96)</f>
        <v/>
      </c>
      <c r="Y96" s="224">
        <f>IF('TINH_LUONG'!$B96="","",'TINH_LUONG'!BC96)</f>
        <v/>
      </c>
      <c r="Z96" s="224">
        <f>IF('TINH_LUONG'!$B96="","",'TINH_LUONG'!BD96)</f>
        <v/>
      </c>
      <c r="AA96" s="150">
        <f>IF('TINH_LUONG'!$B96="","",'TINH_LUONG'!BG96)</f>
        <v/>
      </c>
    </row>
    <row r="97">
      <c r="A97" s="145">
        <f>IF('TINH_LUONG'!$B97="","",'TINH_LUONG'!A97)</f>
        <v/>
      </c>
      <c r="B97" s="145">
        <f>IF('TINH_LUONG'!$B97="","",'TINH_LUONG'!B97)</f>
        <v/>
      </c>
      <c r="C97" s="145">
        <f>IF('TINH_LUONG'!$B97="","",'TINH_LUONG'!C97)</f>
        <v/>
      </c>
      <c r="D97" s="145">
        <f>IF('TINH_LUONG'!$B97="","",'TINH_LUONG'!D97)</f>
        <v/>
      </c>
      <c r="E97" s="145">
        <f>IF('TINH_LUONG'!$B97="","",'TINH_LUONG'!F97)</f>
        <v/>
      </c>
      <c r="F97" s="145">
        <f>IF('TINH_LUONG'!$B97="","",'TINH_LUONG'!G97)</f>
        <v/>
      </c>
      <c r="G97" s="224">
        <f>IF('TINH_LUONG'!$B97="","",'TINH_LUONG'!O97+'TINH_LUONG'!BO97)</f>
        <v/>
      </c>
      <c r="H97" s="224">
        <f>IF('TINH_LUONG'!$B97="","",SUM('TINH_LUONG'!P97:R97))</f>
        <v/>
      </c>
      <c r="I97" s="224">
        <f>IF('TINH_LUONG'!$B97="","",'TINH_LUONG'!BP97+'TINH_LUONG'!BQ97)</f>
        <v/>
      </c>
      <c r="J97" s="224">
        <f>IF('TINH_LUONG'!$B97="","",'TINH_LUONG'!Z97)</f>
        <v/>
      </c>
      <c r="K97" s="224">
        <f>IF('TINH_LUONG'!$B97="","",'TINH_LUONG'!S97+'TINH_LUONG'!T97)</f>
        <v/>
      </c>
      <c r="L97" s="224">
        <f>IF('TINH_LUONG'!$B97="","",'TINH_LUONG'!W97+'TINH_LUONG'!X97)</f>
        <v/>
      </c>
      <c r="M97" s="224">
        <f>IF('TINH_LUONG'!$B97="","",'TINH_LUONG'!BR97+'TINH_LUONG'!BS97)</f>
        <v/>
      </c>
      <c r="N97" s="224">
        <f>IF('TINH_LUONG'!$B97="","",'TINH_LUONG'!AO97)</f>
        <v/>
      </c>
      <c r="O97" s="224">
        <f>IF('TINH_LUONG'!$B97="","",'TINH_LUONG'!AP97)</f>
        <v/>
      </c>
      <c r="P97" s="224">
        <f>IF('TINH_LUONG'!$B97="","",'TINH_LUONG'!AS97)</f>
        <v/>
      </c>
      <c r="Q97" s="224">
        <f>IF('TINH_LUONG'!$B97="","",'TINH_LUONG'!AJ97)</f>
        <v/>
      </c>
      <c r="R97" s="224">
        <f>IF('TINH_LUONG'!$B97="","",'TINH_LUONG'!AQ97)</f>
        <v/>
      </c>
      <c r="S97" s="224">
        <f>IF('TINH_LUONG'!$B97="","",'TINH_LUONG'!AR97)</f>
        <v/>
      </c>
      <c r="T97" s="224">
        <f>IF('TINH_LUONG'!$B97="","",'TINH_LUONG'!AU97+'TINH_LUONG'!AV97+'TINH_LUONG'!AW97+'TINH_LUONG'!BV97)</f>
        <v/>
      </c>
      <c r="U97" s="224">
        <f>IF('TINH_LUONG'!$B97="","",'TINH_LUONG'!AX97)</f>
        <v/>
      </c>
      <c r="V97" s="224">
        <f>IF('TINH_LUONG'!$B97="","",'TINH_LUONG'!BT97)</f>
        <v/>
      </c>
      <c r="W97" s="224">
        <f>IF('TINH_LUONG'!$B97="","",'TINH_LUONG'!BU97)</f>
        <v/>
      </c>
      <c r="X97" s="235">
        <f>IF('TINH_LUONG'!$B97="","",'TINH_LUONG'!BW97)</f>
        <v/>
      </c>
      <c r="Y97" s="224">
        <f>IF('TINH_LUONG'!$B97="","",'TINH_LUONG'!BC97)</f>
        <v/>
      </c>
      <c r="Z97" s="224">
        <f>IF('TINH_LUONG'!$B97="","",'TINH_LUONG'!BD97)</f>
        <v/>
      </c>
      <c r="AA97" s="150">
        <f>IF('TINH_LUONG'!$B97="","",'TINH_LUONG'!BG97)</f>
        <v/>
      </c>
    </row>
    <row r="98">
      <c r="A98" s="145">
        <f>IF('TINH_LUONG'!$B98="","",'TINH_LUONG'!A98)</f>
        <v/>
      </c>
      <c r="B98" s="145">
        <f>IF('TINH_LUONG'!$B98="","",'TINH_LUONG'!B98)</f>
        <v/>
      </c>
      <c r="C98" s="145">
        <f>IF('TINH_LUONG'!$B98="","",'TINH_LUONG'!C98)</f>
        <v/>
      </c>
      <c r="D98" s="145">
        <f>IF('TINH_LUONG'!$B98="","",'TINH_LUONG'!D98)</f>
        <v/>
      </c>
      <c r="E98" s="145">
        <f>IF('TINH_LUONG'!$B98="","",'TINH_LUONG'!F98)</f>
        <v/>
      </c>
      <c r="F98" s="145">
        <f>IF('TINH_LUONG'!$B98="","",'TINH_LUONG'!G98)</f>
        <v/>
      </c>
      <c r="G98" s="224">
        <f>IF('TINH_LUONG'!$B98="","",'TINH_LUONG'!O98+'TINH_LUONG'!BO98)</f>
        <v/>
      </c>
      <c r="H98" s="224">
        <f>IF('TINH_LUONG'!$B98="","",SUM('TINH_LUONG'!P98:R98))</f>
        <v/>
      </c>
      <c r="I98" s="224">
        <f>IF('TINH_LUONG'!$B98="","",'TINH_LUONG'!BP98+'TINH_LUONG'!BQ98)</f>
        <v/>
      </c>
      <c r="J98" s="224">
        <f>IF('TINH_LUONG'!$B98="","",'TINH_LUONG'!Z98)</f>
        <v/>
      </c>
      <c r="K98" s="224">
        <f>IF('TINH_LUONG'!$B98="","",'TINH_LUONG'!S98+'TINH_LUONG'!T98)</f>
        <v/>
      </c>
      <c r="L98" s="224">
        <f>IF('TINH_LUONG'!$B98="","",'TINH_LUONG'!W98+'TINH_LUONG'!X98)</f>
        <v/>
      </c>
      <c r="M98" s="224">
        <f>IF('TINH_LUONG'!$B98="","",'TINH_LUONG'!BR98+'TINH_LUONG'!BS98)</f>
        <v/>
      </c>
      <c r="N98" s="224">
        <f>IF('TINH_LUONG'!$B98="","",'TINH_LUONG'!AO98)</f>
        <v/>
      </c>
      <c r="O98" s="224">
        <f>IF('TINH_LUONG'!$B98="","",'TINH_LUONG'!AP98)</f>
        <v/>
      </c>
      <c r="P98" s="224">
        <f>IF('TINH_LUONG'!$B98="","",'TINH_LUONG'!AS98)</f>
        <v/>
      </c>
      <c r="Q98" s="224">
        <f>IF('TINH_LUONG'!$B98="","",'TINH_LUONG'!AJ98)</f>
        <v/>
      </c>
      <c r="R98" s="224">
        <f>IF('TINH_LUONG'!$B98="","",'TINH_LUONG'!AQ98)</f>
        <v/>
      </c>
      <c r="S98" s="224">
        <f>IF('TINH_LUONG'!$B98="","",'TINH_LUONG'!AR98)</f>
        <v/>
      </c>
      <c r="T98" s="224">
        <f>IF('TINH_LUONG'!$B98="","",'TINH_LUONG'!AU98+'TINH_LUONG'!AV98+'TINH_LUONG'!AW98+'TINH_LUONG'!BV98)</f>
        <v/>
      </c>
      <c r="U98" s="224">
        <f>IF('TINH_LUONG'!$B98="","",'TINH_LUONG'!AX98)</f>
        <v/>
      </c>
      <c r="V98" s="224">
        <f>IF('TINH_LUONG'!$B98="","",'TINH_LUONG'!BT98)</f>
        <v/>
      </c>
      <c r="W98" s="224">
        <f>IF('TINH_LUONG'!$B98="","",'TINH_LUONG'!BU98)</f>
        <v/>
      </c>
      <c r="X98" s="235">
        <f>IF('TINH_LUONG'!$B98="","",'TINH_LUONG'!BW98)</f>
        <v/>
      </c>
      <c r="Y98" s="224">
        <f>IF('TINH_LUONG'!$B98="","",'TINH_LUONG'!BC98)</f>
        <v/>
      </c>
      <c r="Z98" s="224">
        <f>IF('TINH_LUONG'!$B98="","",'TINH_LUONG'!BD98)</f>
        <v/>
      </c>
      <c r="AA98" s="150">
        <f>IF('TINH_LUONG'!$B98="","",'TINH_LUONG'!BG98)</f>
        <v/>
      </c>
    </row>
    <row r="99">
      <c r="A99" s="145">
        <f>IF('TINH_LUONG'!$B99="","",'TINH_LUONG'!A99)</f>
        <v/>
      </c>
      <c r="B99" s="145">
        <f>IF('TINH_LUONG'!$B99="","",'TINH_LUONG'!B99)</f>
        <v/>
      </c>
      <c r="C99" s="145">
        <f>IF('TINH_LUONG'!$B99="","",'TINH_LUONG'!C99)</f>
        <v/>
      </c>
      <c r="D99" s="145">
        <f>IF('TINH_LUONG'!$B99="","",'TINH_LUONG'!D99)</f>
        <v/>
      </c>
      <c r="E99" s="145">
        <f>IF('TINH_LUONG'!$B99="","",'TINH_LUONG'!F99)</f>
        <v/>
      </c>
      <c r="F99" s="145">
        <f>IF('TINH_LUONG'!$B99="","",'TINH_LUONG'!G99)</f>
        <v/>
      </c>
      <c r="G99" s="224">
        <f>IF('TINH_LUONG'!$B99="","",'TINH_LUONG'!O99+'TINH_LUONG'!BO99)</f>
        <v/>
      </c>
      <c r="H99" s="224">
        <f>IF('TINH_LUONG'!$B99="","",SUM('TINH_LUONG'!P99:R99))</f>
        <v/>
      </c>
      <c r="I99" s="224">
        <f>IF('TINH_LUONG'!$B99="","",'TINH_LUONG'!BP99+'TINH_LUONG'!BQ99)</f>
        <v/>
      </c>
      <c r="J99" s="224">
        <f>IF('TINH_LUONG'!$B99="","",'TINH_LUONG'!Z99)</f>
        <v/>
      </c>
      <c r="K99" s="224">
        <f>IF('TINH_LUONG'!$B99="","",'TINH_LUONG'!S99+'TINH_LUONG'!T99)</f>
        <v/>
      </c>
      <c r="L99" s="224">
        <f>IF('TINH_LUONG'!$B99="","",'TINH_LUONG'!W99+'TINH_LUONG'!X99)</f>
        <v/>
      </c>
      <c r="M99" s="224">
        <f>IF('TINH_LUONG'!$B99="","",'TINH_LUONG'!BR99+'TINH_LUONG'!BS99)</f>
        <v/>
      </c>
      <c r="N99" s="224">
        <f>IF('TINH_LUONG'!$B99="","",'TINH_LUONG'!AO99)</f>
        <v/>
      </c>
      <c r="O99" s="224">
        <f>IF('TINH_LUONG'!$B99="","",'TINH_LUONG'!AP99)</f>
        <v/>
      </c>
      <c r="P99" s="224">
        <f>IF('TINH_LUONG'!$B99="","",'TINH_LUONG'!AS99)</f>
        <v/>
      </c>
      <c r="Q99" s="224">
        <f>IF('TINH_LUONG'!$B99="","",'TINH_LUONG'!AJ99)</f>
        <v/>
      </c>
      <c r="R99" s="224">
        <f>IF('TINH_LUONG'!$B99="","",'TINH_LUONG'!AQ99)</f>
        <v/>
      </c>
      <c r="S99" s="224">
        <f>IF('TINH_LUONG'!$B99="","",'TINH_LUONG'!AR99)</f>
        <v/>
      </c>
      <c r="T99" s="224">
        <f>IF('TINH_LUONG'!$B99="","",'TINH_LUONG'!AU99+'TINH_LUONG'!AV99+'TINH_LUONG'!AW99+'TINH_LUONG'!BV99)</f>
        <v/>
      </c>
      <c r="U99" s="224">
        <f>IF('TINH_LUONG'!$B99="","",'TINH_LUONG'!AX99)</f>
        <v/>
      </c>
      <c r="V99" s="224">
        <f>IF('TINH_LUONG'!$B99="","",'TINH_LUONG'!BT99)</f>
        <v/>
      </c>
      <c r="W99" s="224">
        <f>IF('TINH_LUONG'!$B99="","",'TINH_LUONG'!BU99)</f>
        <v/>
      </c>
      <c r="X99" s="235">
        <f>IF('TINH_LUONG'!$B99="","",'TINH_LUONG'!BW99)</f>
        <v/>
      </c>
      <c r="Y99" s="224">
        <f>IF('TINH_LUONG'!$B99="","",'TINH_LUONG'!BC99)</f>
        <v/>
      </c>
      <c r="Z99" s="224">
        <f>IF('TINH_LUONG'!$B99="","",'TINH_LUONG'!BD99)</f>
        <v/>
      </c>
      <c r="AA99" s="150">
        <f>IF('TINH_LUONG'!$B99="","",'TINH_LUONG'!BG99)</f>
        <v/>
      </c>
    </row>
    <row r="100">
      <c r="A100" s="145">
        <f>IF('TINH_LUONG'!$B100="","",'TINH_LUONG'!A100)</f>
        <v/>
      </c>
      <c r="B100" s="145">
        <f>IF('TINH_LUONG'!$B100="","",'TINH_LUONG'!B100)</f>
        <v/>
      </c>
      <c r="C100" s="145">
        <f>IF('TINH_LUONG'!$B100="","",'TINH_LUONG'!C100)</f>
        <v/>
      </c>
      <c r="D100" s="145">
        <f>IF('TINH_LUONG'!$B100="","",'TINH_LUONG'!D100)</f>
        <v/>
      </c>
      <c r="E100" s="145">
        <f>IF('TINH_LUONG'!$B100="","",'TINH_LUONG'!F100)</f>
        <v/>
      </c>
      <c r="F100" s="145">
        <f>IF('TINH_LUONG'!$B100="","",'TINH_LUONG'!G100)</f>
        <v/>
      </c>
      <c r="G100" s="224">
        <f>IF('TINH_LUONG'!$B100="","",'TINH_LUONG'!O100+'TINH_LUONG'!BO100)</f>
        <v/>
      </c>
      <c r="H100" s="224">
        <f>IF('TINH_LUONG'!$B100="","",SUM('TINH_LUONG'!P100:R100))</f>
        <v/>
      </c>
      <c r="I100" s="224">
        <f>IF('TINH_LUONG'!$B100="","",'TINH_LUONG'!BP100+'TINH_LUONG'!BQ100)</f>
        <v/>
      </c>
      <c r="J100" s="224">
        <f>IF('TINH_LUONG'!$B100="","",'TINH_LUONG'!Z100)</f>
        <v/>
      </c>
      <c r="K100" s="224">
        <f>IF('TINH_LUONG'!$B100="","",'TINH_LUONG'!S100+'TINH_LUONG'!T100)</f>
        <v/>
      </c>
      <c r="L100" s="224">
        <f>IF('TINH_LUONG'!$B100="","",'TINH_LUONG'!W100+'TINH_LUONG'!X100)</f>
        <v/>
      </c>
      <c r="M100" s="224">
        <f>IF('TINH_LUONG'!$B100="","",'TINH_LUONG'!BR100+'TINH_LUONG'!BS100)</f>
        <v/>
      </c>
      <c r="N100" s="224">
        <f>IF('TINH_LUONG'!$B100="","",'TINH_LUONG'!AO100)</f>
        <v/>
      </c>
      <c r="O100" s="224">
        <f>IF('TINH_LUONG'!$B100="","",'TINH_LUONG'!AP100)</f>
        <v/>
      </c>
      <c r="P100" s="224">
        <f>IF('TINH_LUONG'!$B100="","",'TINH_LUONG'!AS100)</f>
        <v/>
      </c>
      <c r="Q100" s="224">
        <f>IF('TINH_LUONG'!$B100="","",'TINH_LUONG'!AJ100)</f>
        <v/>
      </c>
      <c r="R100" s="224">
        <f>IF('TINH_LUONG'!$B100="","",'TINH_LUONG'!AQ100)</f>
        <v/>
      </c>
      <c r="S100" s="224">
        <f>IF('TINH_LUONG'!$B100="","",'TINH_LUONG'!AR100)</f>
        <v/>
      </c>
      <c r="T100" s="224">
        <f>IF('TINH_LUONG'!$B100="","",'TINH_LUONG'!AU100+'TINH_LUONG'!AV100+'TINH_LUONG'!AW100+'TINH_LUONG'!BV100)</f>
        <v/>
      </c>
      <c r="U100" s="224">
        <f>IF('TINH_LUONG'!$B100="","",'TINH_LUONG'!AX100)</f>
        <v/>
      </c>
      <c r="V100" s="224">
        <f>IF('TINH_LUONG'!$B100="","",'TINH_LUONG'!BT100)</f>
        <v/>
      </c>
      <c r="W100" s="224">
        <f>IF('TINH_LUONG'!$B100="","",'TINH_LUONG'!BU100)</f>
        <v/>
      </c>
      <c r="X100" s="235">
        <f>IF('TINH_LUONG'!$B100="","",'TINH_LUONG'!BW100)</f>
        <v/>
      </c>
      <c r="Y100" s="224">
        <f>IF('TINH_LUONG'!$B100="","",'TINH_LUONG'!BC100)</f>
        <v/>
      </c>
      <c r="Z100" s="224">
        <f>IF('TINH_LUONG'!$B100="","",'TINH_LUONG'!BD100)</f>
        <v/>
      </c>
      <c r="AA100" s="150">
        <f>IF('TINH_LUONG'!$B100="","",'TINH_LUONG'!BG100)</f>
        <v/>
      </c>
    </row>
    <row r="101">
      <c r="A101" s="145">
        <f>IF('TINH_LUONG'!$B101="","",'TINH_LUONG'!A101)</f>
        <v/>
      </c>
      <c r="B101" s="145">
        <f>IF('TINH_LUONG'!$B101="","",'TINH_LUONG'!B101)</f>
        <v/>
      </c>
      <c r="C101" s="145">
        <f>IF('TINH_LUONG'!$B101="","",'TINH_LUONG'!C101)</f>
        <v/>
      </c>
      <c r="D101" s="145">
        <f>IF('TINH_LUONG'!$B101="","",'TINH_LUONG'!D101)</f>
        <v/>
      </c>
      <c r="E101" s="145">
        <f>IF('TINH_LUONG'!$B101="","",'TINH_LUONG'!F101)</f>
        <v/>
      </c>
      <c r="F101" s="145">
        <f>IF('TINH_LUONG'!$B101="","",'TINH_LUONG'!G101)</f>
        <v/>
      </c>
      <c r="G101" s="224">
        <f>IF('TINH_LUONG'!$B101="","",'TINH_LUONG'!O101+'TINH_LUONG'!BO101)</f>
        <v/>
      </c>
      <c r="H101" s="224">
        <f>IF('TINH_LUONG'!$B101="","",SUM('TINH_LUONG'!P101:R101))</f>
        <v/>
      </c>
      <c r="I101" s="224">
        <f>IF('TINH_LUONG'!$B101="","",'TINH_LUONG'!BP101+'TINH_LUONG'!BQ101)</f>
        <v/>
      </c>
      <c r="J101" s="224">
        <f>IF('TINH_LUONG'!$B101="","",'TINH_LUONG'!Z101)</f>
        <v/>
      </c>
      <c r="K101" s="224">
        <f>IF('TINH_LUONG'!$B101="","",'TINH_LUONG'!S101+'TINH_LUONG'!T101)</f>
        <v/>
      </c>
      <c r="L101" s="224">
        <f>IF('TINH_LUONG'!$B101="","",'TINH_LUONG'!W101+'TINH_LUONG'!X101)</f>
        <v/>
      </c>
      <c r="M101" s="224">
        <f>IF('TINH_LUONG'!$B101="","",'TINH_LUONG'!BR101+'TINH_LUONG'!BS101)</f>
        <v/>
      </c>
      <c r="N101" s="224">
        <f>IF('TINH_LUONG'!$B101="","",'TINH_LUONG'!AO101)</f>
        <v/>
      </c>
      <c r="O101" s="224">
        <f>IF('TINH_LUONG'!$B101="","",'TINH_LUONG'!AP101)</f>
        <v/>
      </c>
      <c r="P101" s="224">
        <f>IF('TINH_LUONG'!$B101="","",'TINH_LUONG'!AS101)</f>
        <v/>
      </c>
      <c r="Q101" s="224">
        <f>IF('TINH_LUONG'!$B101="","",'TINH_LUONG'!AJ101)</f>
        <v/>
      </c>
      <c r="R101" s="224">
        <f>IF('TINH_LUONG'!$B101="","",'TINH_LUONG'!AQ101)</f>
        <v/>
      </c>
      <c r="S101" s="224">
        <f>IF('TINH_LUONG'!$B101="","",'TINH_LUONG'!AR101)</f>
        <v/>
      </c>
      <c r="T101" s="224">
        <f>IF('TINH_LUONG'!$B101="","",'TINH_LUONG'!AU101+'TINH_LUONG'!AV101+'TINH_LUONG'!AW101+'TINH_LUONG'!BV101)</f>
        <v/>
      </c>
      <c r="U101" s="224">
        <f>IF('TINH_LUONG'!$B101="","",'TINH_LUONG'!AX101)</f>
        <v/>
      </c>
      <c r="V101" s="224">
        <f>IF('TINH_LUONG'!$B101="","",'TINH_LUONG'!BT101)</f>
        <v/>
      </c>
      <c r="W101" s="224">
        <f>IF('TINH_LUONG'!$B101="","",'TINH_LUONG'!BU101)</f>
        <v/>
      </c>
      <c r="X101" s="235">
        <f>IF('TINH_LUONG'!$B101="","",'TINH_LUONG'!BW101)</f>
        <v/>
      </c>
      <c r="Y101" s="224">
        <f>IF('TINH_LUONG'!$B101="","",'TINH_LUONG'!BC101)</f>
        <v/>
      </c>
      <c r="Z101" s="224">
        <f>IF('TINH_LUONG'!$B101="","",'TINH_LUONG'!BD101)</f>
        <v/>
      </c>
      <c r="AA101" s="150">
        <f>IF('TINH_LUONG'!$B101="","",'TINH_LUONG'!BG101)</f>
        <v/>
      </c>
    </row>
    <row r="102">
      <c r="A102" s="145">
        <f>IF('TINH_LUONG'!$B102="","",'TINH_LUONG'!A102)</f>
        <v/>
      </c>
      <c r="B102" s="145">
        <f>IF('TINH_LUONG'!$B102="","",'TINH_LUONG'!B102)</f>
        <v/>
      </c>
      <c r="C102" s="145">
        <f>IF('TINH_LUONG'!$B102="","",'TINH_LUONG'!C102)</f>
        <v/>
      </c>
      <c r="D102" s="145">
        <f>IF('TINH_LUONG'!$B102="","",'TINH_LUONG'!D102)</f>
        <v/>
      </c>
      <c r="E102" s="145">
        <f>IF('TINH_LUONG'!$B102="","",'TINH_LUONG'!F102)</f>
        <v/>
      </c>
      <c r="F102" s="145">
        <f>IF('TINH_LUONG'!$B102="","",'TINH_LUONG'!G102)</f>
        <v/>
      </c>
      <c r="G102" s="224">
        <f>IF('TINH_LUONG'!$B102="","",'TINH_LUONG'!O102+'TINH_LUONG'!BO102)</f>
        <v/>
      </c>
      <c r="H102" s="224">
        <f>IF('TINH_LUONG'!$B102="","",SUM('TINH_LUONG'!P102:R102))</f>
        <v/>
      </c>
      <c r="I102" s="224">
        <f>IF('TINH_LUONG'!$B102="","",'TINH_LUONG'!BP102+'TINH_LUONG'!BQ102)</f>
        <v/>
      </c>
      <c r="J102" s="224">
        <f>IF('TINH_LUONG'!$B102="","",'TINH_LUONG'!Z102)</f>
        <v/>
      </c>
      <c r="K102" s="224">
        <f>IF('TINH_LUONG'!$B102="","",'TINH_LUONG'!S102+'TINH_LUONG'!T102)</f>
        <v/>
      </c>
      <c r="L102" s="224">
        <f>IF('TINH_LUONG'!$B102="","",'TINH_LUONG'!W102+'TINH_LUONG'!X102)</f>
        <v/>
      </c>
      <c r="M102" s="224">
        <f>IF('TINH_LUONG'!$B102="","",'TINH_LUONG'!BR102+'TINH_LUONG'!BS102)</f>
        <v/>
      </c>
      <c r="N102" s="224">
        <f>IF('TINH_LUONG'!$B102="","",'TINH_LUONG'!AO102)</f>
        <v/>
      </c>
      <c r="O102" s="224">
        <f>IF('TINH_LUONG'!$B102="","",'TINH_LUONG'!AP102)</f>
        <v/>
      </c>
      <c r="P102" s="224">
        <f>IF('TINH_LUONG'!$B102="","",'TINH_LUONG'!AS102)</f>
        <v/>
      </c>
      <c r="Q102" s="224">
        <f>IF('TINH_LUONG'!$B102="","",'TINH_LUONG'!AJ102)</f>
        <v/>
      </c>
      <c r="R102" s="224">
        <f>IF('TINH_LUONG'!$B102="","",'TINH_LUONG'!AQ102)</f>
        <v/>
      </c>
      <c r="S102" s="224">
        <f>IF('TINH_LUONG'!$B102="","",'TINH_LUONG'!AR102)</f>
        <v/>
      </c>
      <c r="T102" s="224">
        <f>IF('TINH_LUONG'!$B102="","",'TINH_LUONG'!AU102+'TINH_LUONG'!AV102+'TINH_LUONG'!AW102+'TINH_LUONG'!BV102)</f>
        <v/>
      </c>
      <c r="U102" s="224">
        <f>IF('TINH_LUONG'!$B102="","",'TINH_LUONG'!AX102)</f>
        <v/>
      </c>
      <c r="V102" s="224">
        <f>IF('TINH_LUONG'!$B102="","",'TINH_LUONG'!BT102)</f>
        <v/>
      </c>
      <c r="W102" s="224">
        <f>IF('TINH_LUONG'!$B102="","",'TINH_LUONG'!BU102)</f>
        <v/>
      </c>
      <c r="X102" s="235">
        <f>IF('TINH_LUONG'!$B102="","",'TINH_LUONG'!BW102)</f>
        <v/>
      </c>
      <c r="Y102" s="224">
        <f>IF('TINH_LUONG'!$B102="","",'TINH_LUONG'!BC102)</f>
        <v/>
      </c>
      <c r="Z102" s="224">
        <f>IF('TINH_LUONG'!$B102="","",'TINH_LUONG'!BD102)</f>
        <v/>
      </c>
      <c r="AA102" s="150">
        <f>IF('TINH_LUONG'!$B102="","",'TINH_LUONG'!BG102)</f>
        <v/>
      </c>
    </row>
    <row r="103">
      <c r="A103" s="145">
        <f>IF('TINH_LUONG'!$B103="","",'TINH_LUONG'!A103)</f>
        <v/>
      </c>
      <c r="B103" s="145">
        <f>IF('TINH_LUONG'!$B103="","",'TINH_LUONG'!B103)</f>
        <v/>
      </c>
      <c r="C103" s="145">
        <f>IF('TINH_LUONG'!$B103="","",'TINH_LUONG'!C103)</f>
        <v/>
      </c>
      <c r="D103" s="145">
        <f>IF('TINH_LUONG'!$B103="","",'TINH_LUONG'!D103)</f>
        <v/>
      </c>
      <c r="E103" s="145">
        <f>IF('TINH_LUONG'!$B103="","",'TINH_LUONG'!F103)</f>
        <v/>
      </c>
      <c r="F103" s="145">
        <f>IF('TINH_LUONG'!$B103="","",'TINH_LUONG'!G103)</f>
        <v/>
      </c>
      <c r="G103" s="224">
        <f>IF('TINH_LUONG'!$B103="","",'TINH_LUONG'!O103+'TINH_LUONG'!BO103)</f>
        <v/>
      </c>
      <c r="H103" s="224">
        <f>IF('TINH_LUONG'!$B103="","",SUM('TINH_LUONG'!P103:R103))</f>
        <v/>
      </c>
      <c r="I103" s="224">
        <f>IF('TINH_LUONG'!$B103="","",'TINH_LUONG'!BP103+'TINH_LUONG'!BQ103)</f>
        <v/>
      </c>
      <c r="J103" s="224">
        <f>IF('TINH_LUONG'!$B103="","",'TINH_LUONG'!Z103)</f>
        <v/>
      </c>
      <c r="K103" s="224">
        <f>IF('TINH_LUONG'!$B103="","",'TINH_LUONG'!S103+'TINH_LUONG'!T103)</f>
        <v/>
      </c>
      <c r="L103" s="224">
        <f>IF('TINH_LUONG'!$B103="","",'TINH_LUONG'!W103+'TINH_LUONG'!X103)</f>
        <v/>
      </c>
      <c r="M103" s="224">
        <f>IF('TINH_LUONG'!$B103="","",'TINH_LUONG'!BR103+'TINH_LUONG'!BS103)</f>
        <v/>
      </c>
      <c r="N103" s="224">
        <f>IF('TINH_LUONG'!$B103="","",'TINH_LUONG'!AO103)</f>
        <v/>
      </c>
      <c r="O103" s="224">
        <f>IF('TINH_LUONG'!$B103="","",'TINH_LUONG'!AP103)</f>
        <v/>
      </c>
      <c r="P103" s="224">
        <f>IF('TINH_LUONG'!$B103="","",'TINH_LUONG'!AS103)</f>
        <v/>
      </c>
      <c r="Q103" s="224">
        <f>IF('TINH_LUONG'!$B103="","",'TINH_LUONG'!AJ103)</f>
        <v/>
      </c>
      <c r="R103" s="224">
        <f>IF('TINH_LUONG'!$B103="","",'TINH_LUONG'!AQ103)</f>
        <v/>
      </c>
      <c r="S103" s="224">
        <f>IF('TINH_LUONG'!$B103="","",'TINH_LUONG'!AR103)</f>
        <v/>
      </c>
      <c r="T103" s="224">
        <f>IF('TINH_LUONG'!$B103="","",'TINH_LUONG'!AU103+'TINH_LUONG'!AV103+'TINH_LUONG'!AW103+'TINH_LUONG'!BV103)</f>
        <v/>
      </c>
      <c r="U103" s="224">
        <f>IF('TINH_LUONG'!$B103="","",'TINH_LUONG'!AX103)</f>
        <v/>
      </c>
      <c r="V103" s="224">
        <f>IF('TINH_LUONG'!$B103="","",'TINH_LUONG'!BT103)</f>
        <v/>
      </c>
      <c r="W103" s="224">
        <f>IF('TINH_LUONG'!$B103="","",'TINH_LUONG'!BU103)</f>
        <v/>
      </c>
      <c r="X103" s="235">
        <f>IF('TINH_LUONG'!$B103="","",'TINH_LUONG'!BW103)</f>
        <v/>
      </c>
      <c r="Y103" s="224">
        <f>IF('TINH_LUONG'!$B103="","",'TINH_LUONG'!BC103)</f>
        <v/>
      </c>
      <c r="Z103" s="224">
        <f>IF('TINH_LUONG'!$B103="","",'TINH_LUONG'!BD103)</f>
        <v/>
      </c>
      <c r="AA103" s="150">
        <f>IF('TINH_LUONG'!$B103="","",'TINH_LUONG'!BG103)</f>
        <v/>
      </c>
    </row>
    <row r="104">
      <c r="A104" s="145">
        <f>IF('TINH_LUONG'!$B104="","",'TINH_LUONG'!A104)</f>
        <v/>
      </c>
      <c r="B104" s="145">
        <f>IF('TINH_LUONG'!$B104="","",'TINH_LUONG'!B104)</f>
        <v/>
      </c>
      <c r="C104" s="145">
        <f>IF('TINH_LUONG'!$B104="","",'TINH_LUONG'!C104)</f>
        <v/>
      </c>
      <c r="D104" s="145">
        <f>IF('TINH_LUONG'!$B104="","",'TINH_LUONG'!D104)</f>
        <v/>
      </c>
      <c r="E104" s="145">
        <f>IF('TINH_LUONG'!$B104="","",'TINH_LUONG'!F104)</f>
        <v/>
      </c>
      <c r="F104" s="145">
        <f>IF('TINH_LUONG'!$B104="","",'TINH_LUONG'!G104)</f>
        <v/>
      </c>
      <c r="G104" s="224">
        <f>IF('TINH_LUONG'!$B104="","",'TINH_LUONG'!O104+'TINH_LUONG'!BO104)</f>
        <v/>
      </c>
      <c r="H104" s="224">
        <f>IF('TINH_LUONG'!$B104="","",SUM('TINH_LUONG'!P104:R104))</f>
        <v/>
      </c>
      <c r="I104" s="224">
        <f>IF('TINH_LUONG'!$B104="","",'TINH_LUONG'!BP104+'TINH_LUONG'!BQ104)</f>
        <v/>
      </c>
      <c r="J104" s="224">
        <f>IF('TINH_LUONG'!$B104="","",'TINH_LUONG'!Z104)</f>
        <v/>
      </c>
      <c r="K104" s="224">
        <f>IF('TINH_LUONG'!$B104="","",'TINH_LUONG'!S104+'TINH_LUONG'!T104)</f>
        <v/>
      </c>
      <c r="L104" s="224">
        <f>IF('TINH_LUONG'!$B104="","",'TINH_LUONG'!W104+'TINH_LUONG'!X104)</f>
        <v/>
      </c>
      <c r="M104" s="224">
        <f>IF('TINH_LUONG'!$B104="","",'TINH_LUONG'!BR104+'TINH_LUONG'!BS104)</f>
        <v/>
      </c>
      <c r="N104" s="224">
        <f>IF('TINH_LUONG'!$B104="","",'TINH_LUONG'!AO104)</f>
        <v/>
      </c>
      <c r="O104" s="224">
        <f>IF('TINH_LUONG'!$B104="","",'TINH_LUONG'!AP104)</f>
        <v/>
      </c>
      <c r="P104" s="224">
        <f>IF('TINH_LUONG'!$B104="","",'TINH_LUONG'!AS104)</f>
        <v/>
      </c>
      <c r="Q104" s="224">
        <f>IF('TINH_LUONG'!$B104="","",'TINH_LUONG'!AJ104)</f>
        <v/>
      </c>
      <c r="R104" s="224">
        <f>IF('TINH_LUONG'!$B104="","",'TINH_LUONG'!AQ104)</f>
        <v/>
      </c>
      <c r="S104" s="224">
        <f>IF('TINH_LUONG'!$B104="","",'TINH_LUONG'!AR104)</f>
        <v/>
      </c>
      <c r="T104" s="224">
        <f>IF('TINH_LUONG'!$B104="","",'TINH_LUONG'!AU104+'TINH_LUONG'!AV104+'TINH_LUONG'!AW104+'TINH_LUONG'!BV104)</f>
        <v/>
      </c>
      <c r="U104" s="224">
        <f>IF('TINH_LUONG'!$B104="","",'TINH_LUONG'!AX104)</f>
        <v/>
      </c>
      <c r="V104" s="224">
        <f>IF('TINH_LUONG'!$B104="","",'TINH_LUONG'!BT104)</f>
        <v/>
      </c>
      <c r="W104" s="224">
        <f>IF('TINH_LUONG'!$B104="","",'TINH_LUONG'!BU104)</f>
        <v/>
      </c>
      <c r="X104" s="235">
        <f>IF('TINH_LUONG'!$B104="","",'TINH_LUONG'!BW104)</f>
        <v/>
      </c>
      <c r="Y104" s="224">
        <f>IF('TINH_LUONG'!$B104="","",'TINH_LUONG'!BC104)</f>
        <v/>
      </c>
      <c r="Z104" s="224">
        <f>IF('TINH_LUONG'!$B104="","",'TINH_LUONG'!BD104)</f>
        <v/>
      </c>
      <c r="AA104" s="150">
        <f>IF('TINH_LUONG'!$B104="","",'TINH_LUONG'!BG104)</f>
        <v/>
      </c>
    </row>
    <row r="105">
      <c r="A105" s="145">
        <f>IF('TINH_LUONG'!$B105="","",'TINH_LUONG'!A105)</f>
        <v/>
      </c>
      <c r="B105" s="145">
        <f>IF('TINH_LUONG'!$B105="","",'TINH_LUONG'!B105)</f>
        <v/>
      </c>
      <c r="C105" s="145">
        <f>IF('TINH_LUONG'!$B105="","",'TINH_LUONG'!C105)</f>
        <v/>
      </c>
      <c r="D105" s="145">
        <f>IF('TINH_LUONG'!$B105="","",'TINH_LUONG'!D105)</f>
        <v/>
      </c>
      <c r="E105" s="145">
        <f>IF('TINH_LUONG'!$B105="","",'TINH_LUONG'!F105)</f>
        <v/>
      </c>
      <c r="F105" s="145">
        <f>IF('TINH_LUONG'!$B105="","",'TINH_LUONG'!G105)</f>
        <v/>
      </c>
      <c r="G105" s="224">
        <f>IF('TINH_LUONG'!$B105="","",'TINH_LUONG'!O105+'TINH_LUONG'!BO105)</f>
        <v/>
      </c>
      <c r="H105" s="224">
        <f>IF('TINH_LUONG'!$B105="","",SUM('TINH_LUONG'!P105:R105))</f>
        <v/>
      </c>
      <c r="I105" s="224">
        <f>IF('TINH_LUONG'!$B105="","",'TINH_LUONG'!BP105+'TINH_LUONG'!BQ105)</f>
        <v/>
      </c>
      <c r="J105" s="224">
        <f>IF('TINH_LUONG'!$B105="","",'TINH_LUONG'!Z105)</f>
        <v/>
      </c>
      <c r="K105" s="224">
        <f>IF('TINH_LUONG'!$B105="","",'TINH_LUONG'!S105+'TINH_LUONG'!T105)</f>
        <v/>
      </c>
      <c r="L105" s="224">
        <f>IF('TINH_LUONG'!$B105="","",'TINH_LUONG'!W105+'TINH_LUONG'!X105)</f>
        <v/>
      </c>
      <c r="M105" s="224">
        <f>IF('TINH_LUONG'!$B105="","",'TINH_LUONG'!BR105+'TINH_LUONG'!BS105)</f>
        <v/>
      </c>
      <c r="N105" s="224">
        <f>IF('TINH_LUONG'!$B105="","",'TINH_LUONG'!AO105)</f>
        <v/>
      </c>
      <c r="O105" s="224">
        <f>IF('TINH_LUONG'!$B105="","",'TINH_LUONG'!AP105)</f>
        <v/>
      </c>
      <c r="P105" s="224">
        <f>IF('TINH_LUONG'!$B105="","",'TINH_LUONG'!AS105)</f>
        <v/>
      </c>
      <c r="Q105" s="224">
        <f>IF('TINH_LUONG'!$B105="","",'TINH_LUONG'!AJ105)</f>
        <v/>
      </c>
      <c r="R105" s="224">
        <f>IF('TINH_LUONG'!$B105="","",'TINH_LUONG'!AQ105)</f>
        <v/>
      </c>
      <c r="S105" s="224">
        <f>IF('TINH_LUONG'!$B105="","",'TINH_LUONG'!AR105)</f>
        <v/>
      </c>
      <c r="T105" s="224">
        <f>IF('TINH_LUONG'!$B105="","",'TINH_LUONG'!AU105+'TINH_LUONG'!AV105+'TINH_LUONG'!AW105+'TINH_LUONG'!BV105)</f>
        <v/>
      </c>
      <c r="U105" s="224">
        <f>IF('TINH_LUONG'!$B105="","",'TINH_LUONG'!AX105)</f>
        <v/>
      </c>
      <c r="V105" s="224">
        <f>IF('TINH_LUONG'!$B105="","",'TINH_LUONG'!BT105)</f>
        <v/>
      </c>
      <c r="W105" s="224">
        <f>IF('TINH_LUONG'!$B105="","",'TINH_LUONG'!BU105)</f>
        <v/>
      </c>
      <c r="X105" s="235">
        <f>IF('TINH_LUONG'!$B105="","",'TINH_LUONG'!BW105)</f>
        <v/>
      </c>
      <c r="Y105" s="224">
        <f>IF('TINH_LUONG'!$B105="","",'TINH_LUONG'!BC105)</f>
        <v/>
      </c>
      <c r="Z105" s="224">
        <f>IF('TINH_LUONG'!$B105="","",'TINH_LUONG'!BD105)</f>
        <v/>
      </c>
      <c r="AA105" s="150">
        <f>IF('TINH_LUONG'!$B105="","",'TINH_LUONG'!BG105)</f>
        <v/>
      </c>
    </row>
    <row r="106">
      <c r="A106" s="145">
        <f>IF('TINH_LUONG'!$B106="","",'TINH_LUONG'!A106)</f>
        <v/>
      </c>
      <c r="B106" s="145">
        <f>IF('TINH_LUONG'!$B106="","",'TINH_LUONG'!B106)</f>
        <v/>
      </c>
      <c r="C106" s="145">
        <f>IF('TINH_LUONG'!$B106="","",'TINH_LUONG'!C106)</f>
        <v/>
      </c>
      <c r="D106" s="145">
        <f>IF('TINH_LUONG'!$B106="","",'TINH_LUONG'!D106)</f>
        <v/>
      </c>
      <c r="E106" s="145">
        <f>IF('TINH_LUONG'!$B106="","",'TINH_LUONG'!F106)</f>
        <v/>
      </c>
      <c r="F106" s="145">
        <f>IF('TINH_LUONG'!$B106="","",'TINH_LUONG'!G106)</f>
        <v/>
      </c>
      <c r="G106" s="224">
        <f>IF('TINH_LUONG'!$B106="","",'TINH_LUONG'!O106+'TINH_LUONG'!BO106)</f>
        <v/>
      </c>
      <c r="H106" s="224">
        <f>IF('TINH_LUONG'!$B106="","",SUM('TINH_LUONG'!P106:R106))</f>
        <v/>
      </c>
      <c r="I106" s="224">
        <f>IF('TINH_LUONG'!$B106="","",'TINH_LUONG'!BP106+'TINH_LUONG'!BQ106)</f>
        <v/>
      </c>
      <c r="J106" s="224">
        <f>IF('TINH_LUONG'!$B106="","",'TINH_LUONG'!Z106)</f>
        <v/>
      </c>
      <c r="K106" s="224">
        <f>IF('TINH_LUONG'!$B106="","",'TINH_LUONG'!S106+'TINH_LUONG'!T106)</f>
        <v/>
      </c>
      <c r="L106" s="224">
        <f>IF('TINH_LUONG'!$B106="","",'TINH_LUONG'!W106+'TINH_LUONG'!X106)</f>
        <v/>
      </c>
      <c r="M106" s="224">
        <f>IF('TINH_LUONG'!$B106="","",'TINH_LUONG'!BR106+'TINH_LUONG'!BS106)</f>
        <v/>
      </c>
      <c r="N106" s="224">
        <f>IF('TINH_LUONG'!$B106="","",'TINH_LUONG'!AO106)</f>
        <v/>
      </c>
      <c r="O106" s="224">
        <f>IF('TINH_LUONG'!$B106="","",'TINH_LUONG'!AP106)</f>
        <v/>
      </c>
      <c r="P106" s="224">
        <f>IF('TINH_LUONG'!$B106="","",'TINH_LUONG'!AS106)</f>
        <v/>
      </c>
      <c r="Q106" s="224">
        <f>IF('TINH_LUONG'!$B106="","",'TINH_LUONG'!AJ106)</f>
        <v/>
      </c>
      <c r="R106" s="224">
        <f>IF('TINH_LUONG'!$B106="","",'TINH_LUONG'!AQ106)</f>
        <v/>
      </c>
      <c r="S106" s="224">
        <f>IF('TINH_LUONG'!$B106="","",'TINH_LUONG'!AR106)</f>
        <v/>
      </c>
      <c r="T106" s="224">
        <f>IF('TINH_LUONG'!$B106="","",'TINH_LUONG'!AU106+'TINH_LUONG'!AV106+'TINH_LUONG'!AW106+'TINH_LUONG'!BV106)</f>
        <v/>
      </c>
      <c r="U106" s="224">
        <f>IF('TINH_LUONG'!$B106="","",'TINH_LUONG'!AX106)</f>
        <v/>
      </c>
      <c r="V106" s="224">
        <f>IF('TINH_LUONG'!$B106="","",'TINH_LUONG'!BT106)</f>
        <v/>
      </c>
      <c r="W106" s="224">
        <f>IF('TINH_LUONG'!$B106="","",'TINH_LUONG'!BU106)</f>
        <v/>
      </c>
      <c r="X106" s="235">
        <f>IF('TINH_LUONG'!$B106="","",'TINH_LUONG'!BW106)</f>
        <v/>
      </c>
      <c r="Y106" s="224">
        <f>IF('TINH_LUONG'!$B106="","",'TINH_LUONG'!BC106)</f>
        <v/>
      </c>
      <c r="Z106" s="224">
        <f>IF('TINH_LUONG'!$B106="","",'TINH_LUONG'!BD106)</f>
        <v/>
      </c>
      <c r="AA106" s="150">
        <f>IF('TINH_LUONG'!$B106="","",'TINH_LUONG'!BG106)</f>
        <v/>
      </c>
    </row>
    <row r="107">
      <c r="A107" s="145">
        <f>IF('TINH_LUONG'!$B107="","",'TINH_LUONG'!A107)</f>
        <v/>
      </c>
      <c r="B107" s="145">
        <f>IF('TINH_LUONG'!$B107="","",'TINH_LUONG'!B107)</f>
        <v/>
      </c>
      <c r="C107" s="145">
        <f>IF('TINH_LUONG'!$B107="","",'TINH_LUONG'!C107)</f>
        <v/>
      </c>
      <c r="D107" s="145">
        <f>IF('TINH_LUONG'!$B107="","",'TINH_LUONG'!D107)</f>
        <v/>
      </c>
      <c r="E107" s="145">
        <f>IF('TINH_LUONG'!$B107="","",'TINH_LUONG'!F107)</f>
        <v/>
      </c>
      <c r="F107" s="145">
        <f>IF('TINH_LUONG'!$B107="","",'TINH_LUONG'!G107)</f>
        <v/>
      </c>
      <c r="G107" s="224">
        <f>IF('TINH_LUONG'!$B107="","",'TINH_LUONG'!O107+'TINH_LUONG'!BO107)</f>
        <v/>
      </c>
      <c r="H107" s="224">
        <f>IF('TINH_LUONG'!$B107="","",SUM('TINH_LUONG'!P107:R107))</f>
        <v/>
      </c>
      <c r="I107" s="224">
        <f>IF('TINH_LUONG'!$B107="","",'TINH_LUONG'!BP107+'TINH_LUONG'!BQ107)</f>
        <v/>
      </c>
      <c r="J107" s="224">
        <f>IF('TINH_LUONG'!$B107="","",'TINH_LUONG'!Z107)</f>
        <v/>
      </c>
      <c r="K107" s="224">
        <f>IF('TINH_LUONG'!$B107="","",'TINH_LUONG'!S107+'TINH_LUONG'!T107)</f>
        <v/>
      </c>
      <c r="L107" s="224">
        <f>IF('TINH_LUONG'!$B107="","",'TINH_LUONG'!W107+'TINH_LUONG'!X107)</f>
        <v/>
      </c>
      <c r="M107" s="224">
        <f>IF('TINH_LUONG'!$B107="","",'TINH_LUONG'!BR107+'TINH_LUONG'!BS107)</f>
        <v/>
      </c>
      <c r="N107" s="224">
        <f>IF('TINH_LUONG'!$B107="","",'TINH_LUONG'!AO107)</f>
        <v/>
      </c>
      <c r="O107" s="224">
        <f>IF('TINH_LUONG'!$B107="","",'TINH_LUONG'!AP107)</f>
        <v/>
      </c>
      <c r="P107" s="224">
        <f>IF('TINH_LUONG'!$B107="","",'TINH_LUONG'!AS107)</f>
        <v/>
      </c>
      <c r="Q107" s="224">
        <f>IF('TINH_LUONG'!$B107="","",'TINH_LUONG'!AJ107)</f>
        <v/>
      </c>
      <c r="R107" s="224">
        <f>IF('TINH_LUONG'!$B107="","",'TINH_LUONG'!AQ107)</f>
        <v/>
      </c>
      <c r="S107" s="224">
        <f>IF('TINH_LUONG'!$B107="","",'TINH_LUONG'!AR107)</f>
        <v/>
      </c>
      <c r="T107" s="224">
        <f>IF('TINH_LUONG'!$B107="","",'TINH_LUONG'!AU107+'TINH_LUONG'!AV107+'TINH_LUONG'!AW107+'TINH_LUONG'!BV107)</f>
        <v/>
      </c>
      <c r="U107" s="224">
        <f>IF('TINH_LUONG'!$B107="","",'TINH_LUONG'!AX107)</f>
        <v/>
      </c>
      <c r="V107" s="224">
        <f>IF('TINH_LUONG'!$B107="","",'TINH_LUONG'!BT107)</f>
        <v/>
      </c>
      <c r="W107" s="224">
        <f>IF('TINH_LUONG'!$B107="","",'TINH_LUONG'!BU107)</f>
        <v/>
      </c>
      <c r="X107" s="235">
        <f>IF('TINH_LUONG'!$B107="","",'TINH_LUONG'!BW107)</f>
        <v/>
      </c>
      <c r="Y107" s="224">
        <f>IF('TINH_LUONG'!$B107="","",'TINH_LUONG'!BC107)</f>
        <v/>
      </c>
      <c r="Z107" s="224">
        <f>IF('TINH_LUONG'!$B107="","",'TINH_LUONG'!BD107)</f>
        <v/>
      </c>
      <c r="AA107" s="150">
        <f>IF('TINH_LUONG'!$B107="","",'TINH_LUONG'!BG107)</f>
        <v/>
      </c>
    </row>
    <row r="108">
      <c r="A108" s="145">
        <f>IF('TINH_LUONG'!$B108="","",'TINH_LUONG'!A108)</f>
        <v/>
      </c>
      <c r="B108" s="145">
        <f>IF('TINH_LUONG'!$B108="","",'TINH_LUONG'!B108)</f>
        <v/>
      </c>
      <c r="C108" s="145">
        <f>IF('TINH_LUONG'!$B108="","",'TINH_LUONG'!C108)</f>
        <v/>
      </c>
      <c r="D108" s="145">
        <f>IF('TINH_LUONG'!$B108="","",'TINH_LUONG'!D108)</f>
        <v/>
      </c>
      <c r="E108" s="145">
        <f>IF('TINH_LUONG'!$B108="","",'TINH_LUONG'!F108)</f>
        <v/>
      </c>
      <c r="F108" s="145">
        <f>IF('TINH_LUONG'!$B108="","",'TINH_LUONG'!G108)</f>
        <v/>
      </c>
      <c r="G108" s="224">
        <f>IF('TINH_LUONG'!$B108="","",'TINH_LUONG'!O108+'TINH_LUONG'!BO108)</f>
        <v/>
      </c>
      <c r="H108" s="224">
        <f>IF('TINH_LUONG'!$B108="","",SUM('TINH_LUONG'!P108:R108))</f>
        <v/>
      </c>
      <c r="I108" s="224">
        <f>IF('TINH_LUONG'!$B108="","",'TINH_LUONG'!BP108+'TINH_LUONG'!BQ108)</f>
        <v/>
      </c>
      <c r="J108" s="224">
        <f>IF('TINH_LUONG'!$B108="","",'TINH_LUONG'!Z108)</f>
        <v/>
      </c>
      <c r="K108" s="224">
        <f>IF('TINH_LUONG'!$B108="","",'TINH_LUONG'!S108+'TINH_LUONG'!T108)</f>
        <v/>
      </c>
      <c r="L108" s="224">
        <f>IF('TINH_LUONG'!$B108="","",'TINH_LUONG'!W108+'TINH_LUONG'!X108)</f>
        <v/>
      </c>
      <c r="M108" s="224">
        <f>IF('TINH_LUONG'!$B108="","",'TINH_LUONG'!BR108+'TINH_LUONG'!BS108)</f>
        <v/>
      </c>
      <c r="N108" s="224">
        <f>IF('TINH_LUONG'!$B108="","",'TINH_LUONG'!AO108)</f>
        <v/>
      </c>
      <c r="O108" s="224">
        <f>IF('TINH_LUONG'!$B108="","",'TINH_LUONG'!AP108)</f>
        <v/>
      </c>
      <c r="P108" s="224">
        <f>IF('TINH_LUONG'!$B108="","",'TINH_LUONG'!AS108)</f>
        <v/>
      </c>
      <c r="Q108" s="224">
        <f>IF('TINH_LUONG'!$B108="","",'TINH_LUONG'!AJ108)</f>
        <v/>
      </c>
      <c r="R108" s="224">
        <f>IF('TINH_LUONG'!$B108="","",'TINH_LUONG'!AQ108)</f>
        <v/>
      </c>
      <c r="S108" s="224">
        <f>IF('TINH_LUONG'!$B108="","",'TINH_LUONG'!AR108)</f>
        <v/>
      </c>
      <c r="T108" s="224">
        <f>IF('TINH_LUONG'!$B108="","",'TINH_LUONG'!AU108+'TINH_LUONG'!AV108+'TINH_LUONG'!AW108+'TINH_LUONG'!BV108)</f>
        <v/>
      </c>
      <c r="U108" s="224">
        <f>IF('TINH_LUONG'!$B108="","",'TINH_LUONG'!AX108)</f>
        <v/>
      </c>
      <c r="V108" s="224">
        <f>IF('TINH_LUONG'!$B108="","",'TINH_LUONG'!BT108)</f>
        <v/>
      </c>
      <c r="W108" s="224">
        <f>IF('TINH_LUONG'!$B108="","",'TINH_LUONG'!BU108)</f>
        <v/>
      </c>
      <c r="X108" s="235">
        <f>IF('TINH_LUONG'!$B108="","",'TINH_LUONG'!BW108)</f>
        <v/>
      </c>
      <c r="Y108" s="224">
        <f>IF('TINH_LUONG'!$B108="","",'TINH_LUONG'!BC108)</f>
        <v/>
      </c>
      <c r="Z108" s="224">
        <f>IF('TINH_LUONG'!$B108="","",'TINH_LUONG'!BD108)</f>
        <v/>
      </c>
      <c r="AA108" s="150">
        <f>IF('TINH_LUONG'!$B108="","",'TINH_LUONG'!BG108)</f>
        <v/>
      </c>
    </row>
    <row r="109">
      <c r="A109" s="145">
        <f>IF('TINH_LUONG'!$B109="","",'TINH_LUONG'!A109)</f>
        <v/>
      </c>
      <c r="B109" s="145">
        <f>IF('TINH_LUONG'!$B109="","",'TINH_LUONG'!B109)</f>
        <v/>
      </c>
      <c r="C109" s="145">
        <f>IF('TINH_LUONG'!$B109="","",'TINH_LUONG'!C109)</f>
        <v/>
      </c>
      <c r="D109" s="145">
        <f>IF('TINH_LUONG'!$B109="","",'TINH_LUONG'!D109)</f>
        <v/>
      </c>
      <c r="E109" s="145">
        <f>IF('TINH_LUONG'!$B109="","",'TINH_LUONG'!F109)</f>
        <v/>
      </c>
      <c r="F109" s="145">
        <f>IF('TINH_LUONG'!$B109="","",'TINH_LUONG'!G109)</f>
        <v/>
      </c>
      <c r="G109" s="224">
        <f>IF('TINH_LUONG'!$B109="","",'TINH_LUONG'!O109+'TINH_LUONG'!BO109)</f>
        <v/>
      </c>
      <c r="H109" s="224">
        <f>IF('TINH_LUONG'!$B109="","",SUM('TINH_LUONG'!P109:R109))</f>
        <v/>
      </c>
      <c r="I109" s="224">
        <f>IF('TINH_LUONG'!$B109="","",'TINH_LUONG'!BP109+'TINH_LUONG'!BQ109)</f>
        <v/>
      </c>
      <c r="J109" s="224">
        <f>IF('TINH_LUONG'!$B109="","",'TINH_LUONG'!Z109)</f>
        <v/>
      </c>
      <c r="K109" s="224">
        <f>IF('TINH_LUONG'!$B109="","",'TINH_LUONG'!S109+'TINH_LUONG'!T109)</f>
        <v/>
      </c>
      <c r="L109" s="224">
        <f>IF('TINH_LUONG'!$B109="","",'TINH_LUONG'!W109+'TINH_LUONG'!X109)</f>
        <v/>
      </c>
      <c r="M109" s="224">
        <f>IF('TINH_LUONG'!$B109="","",'TINH_LUONG'!BR109+'TINH_LUONG'!BS109)</f>
        <v/>
      </c>
      <c r="N109" s="224">
        <f>IF('TINH_LUONG'!$B109="","",'TINH_LUONG'!AO109)</f>
        <v/>
      </c>
      <c r="O109" s="224">
        <f>IF('TINH_LUONG'!$B109="","",'TINH_LUONG'!AP109)</f>
        <v/>
      </c>
      <c r="P109" s="224">
        <f>IF('TINH_LUONG'!$B109="","",'TINH_LUONG'!AS109)</f>
        <v/>
      </c>
      <c r="Q109" s="224">
        <f>IF('TINH_LUONG'!$B109="","",'TINH_LUONG'!AJ109)</f>
        <v/>
      </c>
      <c r="R109" s="224">
        <f>IF('TINH_LUONG'!$B109="","",'TINH_LUONG'!AQ109)</f>
        <v/>
      </c>
      <c r="S109" s="224">
        <f>IF('TINH_LUONG'!$B109="","",'TINH_LUONG'!AR109)</f>
        <v/>
      </c>
      <c r="T109" s="224">
        <f>IF('TINH_LUONG'!$B109="","",'TINH_LUONG'!AU109+'TINH_LUONG'!AV109+'TINH_LUONG'!AW109+'TINH_LUONG'!BV109)</f>
        <v/>
      </c>
      <c r="U109" s="224">
        <f>IF('TINH_LUONG'!$B109="","",'TINH_LUONG'!AX109)</f>
        <v/>
      </c>
      <c r="V109" s="224">
        <f>IF('TINH_LUONG'!$B109="","",'TINH_LUONG'!BT109)</f>
        <v/>
      </c>
      <c r="W109" s="224">
        <f>IF('TINH_LUONG'!$B109="","",'TINH_LUONG'!BU109)</f>
        <v/>
      </c>
      <c r="X109" s="235">
        <f>IF('TINH_LUONG'!$B109="","",'TINH_LUONG'!BW109)</f>
        <v/>
      </c>
      <c r="Y109" s="224">
        <f>IF('TINH_LUONG'!$B109="","",'TINH_LUONG'!BC109)</f>
        <v/>
      </c>
      <c r="Z109" s="224">
        <f>IF('TINH_LUONG'!$B109="","",'TINH_LUONG'!BD109)</f>
        <v/>
      </c>
      <c r="AA109" s="150">
        <f>IF('TINH_LUONG'!$B109="","",'TINH_LUONG'!BG109)</f>
        <v/>
      </c>
    </row>
    <row r="110">
      <c r="A110" s="145">
        <f>IF('TINH_LUONG'!$B110="","",'TINH_LUONG'!A110)</f>
        <v/>
      </c>
      <c r="B110" s="145">
        <f>IF('TINH_LUONG'!$B110="","",'TINH_LUONG'!B110)</f>
        <v/>
      </c>
      <c r="C110" s="145">
        <f>IF('TINH_LUONG'!$B110="","",'TINH_LUONG'!C110)</f>
        <v/>
      </c>
      <c r="D110" s="145">
        <f>IF('TINH_LUONG'!$B110="","",'TINH_LUONG'!D110)</f>
        <v/>
      </c>
      <c r="E110" s="145">
        <f>IF('TINH_LUONG'!$B110="","",'TINH_LUONG'!F110)</f>
        <v/>
      </c>
      <c r="F110" s="145">
        <f>IF('TINH_LUONG'!$B110="","",'TINH_LUONG'!G110)</f>
        <v/>
      </c>
      <c r="G110" s="224">
        <f>IF('TINH_LUONG'!$B110="","",'TINH_LUONG'!O110+'TINH_LUONG'!BO110)</f>
        <v/>
      </c>
      <c r="H110" s="224">
        <f>IF('TINH_LUONG'!$B110="","",SUM('TINH_LUONG'!P110:R110))</f>
        <v/>
      </c>
      <c r="I110" s="224">
        <f>IF('TINH_LUONG'!$B110="","",'TINH_LUONG'!BP110+'TINH_LUONG'!BQ110)</f>
        <v/>
      </c>
      <c r="J110" s="224">
        <f>IF('TINH_LUONG'!$B110="","",'TINH_LUONG'!Z110)</f>
        <v/>
      </c>
      <c r="K110" s="224">
        <f>IF('TINH_LUONG'!$B110="","",'TINH_LUONG'!S110+'TINH_LUONG'!T110)</f>
        <v/>
      </c>
      <c r="L110" s="224">
        <f>IF('TINH_LUONG'!$B110="","",'TINH_LUONG'!W110+'TINH_LUONG'!X110)</f>
        <v/>
      </c>
      <c r="M110" s="224">
        <f>IF('TINH_LUONG'!$B110="","",'TINH_LUONG'!BR110+'TINH_LUONG'!BS110)</f>
        <v/>
      </c>
      <c r="N110" s="224">
        <f>IF('TINH_LUONG'!$B110="","",'TINH_LUONG'!AO110)</f>
        <v/>
      </c>
      <c r="O110" s="224">
        <f>IF('TINH_LUONG'!$B110="","",'TINH_LUONG'!AP110)</f>
        <v/>
      </c>
      <c r="P110" s="224">
        <f>IF('TINH_LUONG'!$B110="","",'TINH_LUONG'!AS110)</f>
        <v/>
      </c>
      <c r="Q110" s="224">
        <f>IF('TINH_LUONG'!$B110="","",'TINH_LUONG'!AJ110)</f>
        <v/>
      </c>
      <c r="R110" s="224">
        <f>IF('TINH_LUONG'!$B110="","",'TINH_LUONG'!AQ110)</f>
        <v/>
      </c>
      <c r="S110" s="224">
        <f>IF('TINH_LUONG'!$B110="","",'TINH_LUONG'!AR110)</f>
        <v/>
      </c>
      <c r="T110" s="224">
        <f>IF('TINH_LUONG'!$B110="","",'TINH_LUONG'!AU110+'TINH_LUONG'!AV110+'TINH_LUONG'!AW110+'TINH_LUONG'!BV110)</f>
        <v/>
      </c>
      <c r="U110" s="224">
        <f>IF('TINH_LUONG'!$B110="","",'TINH_LUONG'!AX110)</f>
        <v/>
      </c>
      <c r="V110" s="224">
        <f>IF('TINH_LUONG'!$B110="","",'TINH_LUONG'!BT110)</f>
        <v/>
      </c>
      <c r="W110" s="224">
        <f>IF('TINH_LUONG'!$B110="","",'TINH_LUONG'!BU110)</f>
        <v/>
      </c>
      <c r="X110" s="235">
        <f>IF('TINH_LUONG'!$B110="","",'TINH_LUONG'!BW110)</f>
        <v/>
      </c>
      <c r="Y110" s="224">
        <f>IF('TINH_LUONG'!$B110="","",'TINH_LUONG'!BC110)</f>
        <v/>
      </c>
      <c r="Z110" s="224">
        <f>IF('TINH_LUONG'!$B110="","",'TINH_LUONG'!BD110)</f>
        <v/>
      </c>
      <c r="AA110" s="150">
        <f>IF('TINH_LUONG'!$B110="","",'TINH_LUONG'!BG110)</f>
        <v/>
      </c>
    </row>
    <row r="111">
      <c r="A111" s="145">
        <f>IF('TINH_LUONG'!$B111="","",'TINH_LUONG'!A111)</f>
        <v/>
      </c>
      <c r="B111" s="145">
        <f>IF('TINH_LUONG'!$B111="","",'TINH_LUONG'!B111)</f>
        <v/>
      </c>
      <c r="C111" s="145">
        <f>IF('TINH_LUONG'!$B111="","",'TINH_LUONG'!C111)</f>
        <v/>
      </c>
      <c r="D111" s="145">
        <f>IF('TINH_LUONG'!$B111="","",'TINH_LUONG'!D111)</f>
        <v/>
      </c>
      <c r="E111" s="145">
        <f>IF('TINH_LUONG'!$B111="","",'TINH_LUONG'!F111)</f>
        <v/>
      </c>
      <c r="F111" s="145">
        <f>IF('TINH_LUONG'!$B111="","",'TINH_LUONG'!G111)</f>
        <v/>
      </c>
      <c r="G111" s="224">
        <f>IF('TINH_LUONG'!$B111="","",'TINH_LUONG'!O111+'TINH_LUONG'!BO111)</f>
        <v/>
      </c>
      <c r="H111" s="224">
        <f>IF('TINH_LUONG'!$B111="","",SUM('TINH_LUONG'!P111:R111))</f>
        <v/>
      </c>
      <c r="I111" s="224">
        <f>IF('TINH_LUONG'!$B111="","",'TINH_LUONG'!BP111+'TINH_LUONG'!BQ111)</f>
        <v/>
      </c>
      <c r="J111" s="224">
        <f>IF('TINH_LUONG'!$B111="","",'TINH_LUONG'!Z111)</f>
        <v/>
      </c>
      <c r="K111" s="224">
        <f>IF('TINH_LUONG'!$B111="","",'TINH_LUONG'!S111+'TINH_LUONG'!T111)</f>
        <v/>
      </c>
      <c r="L111" s="224">
        <f>IF('TINH_LUONG'!$B111="","",'TINH_LUONG'!W111+'TINH_LUONG'!X111)</f>
        <v/>
      </c>
      <c r="M111" s="224">
        <f>IF('TINH_LUONG'!$B111="","",'TINH_LUONG'!BR111+'TINH_LUONG'!BS111)</f>
        <v/>
      </c>
      <c r="N111" s="224">
        <f>IF('TINH_LUONG'!$B111="","",'TINH_LUONG'!AO111)</f>
        <v/>
      </c>
      <c r="O111" s="224">
        <f>IF('TINH_LUONG'!$B111="","",'TINH_LUONG'!AP111)</f>
        <v/>
      </c>
      <c r="P111" s="224">
        <f>IF('TINH_LUONG'!$B111="","",'TINH_LUONG'!AS111)</f>
        <v/>
      </c>
      <c r="Q111" s="224">
        <f>IF('TINH_LUONG'!$B111="","",'TINH_LUONG'!AJ111)</f>
        <v/>
      </c>
      <c r="R111" s="224">
        <f>IF('TINH_LUONG'!$B111="","",'TINH_LUONG'!AQ111)</f>
        <v/>
      </c>
      <c r="S111" s="224">
        <f>IF('TINH_LUONG'!$B111="","",'TINH_LUONG'!AR111)</f>
        <v/>
      </c>
      <c r="T111" s="224">
        <f>IF('TINH_LUONG'!$B111="","",'TINH_LUONG'!AU111+'TINH_LUONG'!AV111+'TINH_LUONG'!AW111+'TINH_LUONG'!BV111)</f>
        <v/>
      </c>
      <c r="U111" s="224">
        <f>IF('TINH_LUONG'!$B111="","",'TINH_LUONG'!AX111)</f>
        <v/>
      </c>
      <c r="V111" s="224">
        <f>IF('TINH_LUONG'!$B111="","",'TINH_LUONG'!BT111)</f>
        <v/>
      </c>
      <c r="W111" s="224">
        <f>IF('TINH_LUONG'!$B111="","",'TINH_LUONG'!BU111)</f>
        <v/>
      </c>
      <c r="X111" s="235">
        <f>IF('TINH_LUONG'!$B111="","",'TINH_LUONG'!BW111)</f>
        <v/>
      </c>
      <c r="Y111" s="224">
        <f>IF('TINH_LUONG'!$B111="","",'TINH_LUONG'!BC111)</f>
        <v/>
      </c>
      <c r="Z111" s="224">
        <f>IF('TINH_LUONG'!$B111="","",'TINH_LUONG'!BD111)</f>
        <v/>
      </c>
      <c r="AA111" s="150">
        <f>IF('TINH_LUONG'!$B111="","",'TINH_LUONG'!BG111)</f>
        <v/>
      </c>
    </row>
    <row r="112">
      <c r="A112" s="145">
        <f>IF('TINH_LUONG'!$B112="","",'TINH_LUONG'!A112)</f>
        <v/>
      </c>
      <c r="B112" s="145">
        <f>IF('TINH_LUONG'!$B112="","",'TINH_LUONG'!B112)</f>
        <v/>
      </c>
      <c r="C112" s="145">
        <f>IF('TINH_LUONG'!$B112="","",'TINH_LUONG'!C112)</f>
        <v/>
      </c>
      <c r="D112" s="145">
        <f>IF('TINH_LUONG'!$B112="","",'TINH_LUONG'!D112)</f>
        <v/>
      </c>
      <c r="E112" s="145">
        <f>IF('TINH_LUONG'!$B112="","",'TINH_LUONG'!F112)</f>
        <v/>
      </c>
      <c r="F112" s="145">
        <f>IF('TINH_LUONG'!$B112="","",'TINH_LUONG'!G112)</f>
        <v/>
      </c>
      <c r="G112" s="224">
        <f>IF('TINH_LUONG'!$B112="","",'TINH_LUONG'!O112+'TINH_LUONG'!BO112)</f>
        <v/>
      </c>
      <c r="H112" s="224">
        <f>IF('TINH_LUONG'!$B112="","",SUM('TINH_LUONG'!P112:R112))</f>
        <v/>
      </c>
      <c r="I112" s="224">
        <f>IF('TINH_LUONG'!$B112="","",'TINH_LUONG'!BP112+'TINH_LUONG'!BQ112)</f>
        <v/>
      </c>
      <c r="J112" s="224">
        <f>IF('TINH_LUONG'!$B112="","",'TINH_LUONG'!Z112)</f>
        <v/>
      </c>
      <c r="K112" s="224">
        <f>IF('TINH_LUONG'!$B112="","",'TINH_LUONG'!S112+'TINH_LUONG'!T112)</f>
        <v/>
      </c>
      <c r="L112" s="224">
        <f>IF('TINH_LUONG'!$B112="","",'TINH_LUONG'!W112+'TINH_LUONG'!X112)</f>
        <v/>
      </c>
      <c r="M112" s="224">
        <f>IF('TINH_LUONG'!$B112="","",'TINH_LUONG'!BR112+'TINH_LUONG'!BS112)</f>
        <v/>
      </c>
      <c r="N112" s="224">
        <f>IF('TINH_LUONG'!$B112="","",'TINH_LUONG'!AO112)</f>
        <v/>
      </c>
      <c r="O112" s="224">
        <f>IF('TINH_LUONG'!$B112="","",'TINH_LUONG'!AP112)</f>
        <v/>
      </c>
      <c r="P112" s="224">
        <f>IF('TINH_LUONG'!$B112="","",'TINH_LUONG'!AS112)</f>
        <v/>
      </c>
      <c r="Q112" s="224">
        <f>IF('TINH_LUONG'!$B112="","",'TINH_LUONG'!AJ112)</f>
        <v/>
      </c>
      <c r="R112" s="224">
        <f>IF('TINH_LUONG'!$B112="","",'TINH_LUONG'!AQ112)</f>
        <v/>
      </c>
      <c r="S112" s="224">
        <f>IF('TINH_LUONG'!$B112="","",'TINH_LUONG'!AR112)</f>
        <v/>
      </c>
      <c r="T112" s="224">
        <f>IF('TINH_LUONG'!$B112="","",'TINH_LUONG'!AU112+'TINH_LUONG'!AV112+'TINH_LUONG'!AW112+'TINH_LUONG'!BV112)</f>
        <v/>
      </c>
      <c r="U112" s="224">
        <f>IF('TINH_LUONG'!$B112="","",'TINH_LUONG'!AX112)</f>
        <v/>
      </c>
      <c r="V112" s="224">
        <f>IF('TINH_LUONG'!$B112="","",'TINH_LUONG'!BT112)</f>
        <v/>
      </c>
      <c r="W112" s="224">
        <f>IF('TINH_LUONG'!$B112="","",'TINH_LUONG'!BU112)</f>
        <v/>
      </c>
      <c r="X112" s="235">
        <f>IF('TINH_LUONG'!$B112="","",'TINH_LUONG'!BW112)</f>
        <v/>
      </c>
      <c r="Y112" s="224">
        <f>IF('TINH_LUONG'!$B112="","",'TINH_LUONG'!BC112)</f>
        <v/>
      </c>
      <c r="Z112" s="224">
        <f>IF('TINH_LUONG'!$B112="","",'TINH_LUONG'!BD112)</f>
        <v/>
      </c>
      <c r="AA112" s="150">
        <f>IF('TINH_LUONG'!$B112="","",'TINH_LUONG'!BG112)</f>
        <v/>
      </c>
    </row>
    <row r="113">
      <c r="A113" s="145">
        <f>IF('TINH_LUONG'!$B113="","",'TINH_LUONG'!A113)</f>
        <v/>
      </c>
      <c r="B113" s="145">
        <f>IF('TINH_LUONG'!$B113="","",'TINH_LUONG'!B113)</f>
        <v/>
      </c>
      <c r="C113" s="145">
        <f>IF('TINH_LUONG'!$B113="","",'TINH_LUONG'!C113)</f>
        <v/>
      </c>
      <c r="D113" s="145">
        <f>IF('TINH_LUONG'!$B113="","",'TINH_LUONG'!D113)</f>
        <v/>
      </c>
      <c r="E113" s="145">
        <f>IF('TINH_LUONG'!$B113="","",'TINH_LUONG'!F113)</f>
        <v/>
      </c>
      <c r="F113" s="145">
        <f>IF('TINH_LUONG'!$B113="","",'TINH_LUONG'!G113)</f>
        <v/>
      </c>
      <c r="G113" s="224">
        <f>IF('TINH_LUONG'!$B113="","",'TINH_LUONG'!O113+'TINH_LUONG'!BO113)</f>
        <v/>
      </c>
      <c r="H113" s="224">
        <f>IF('TINH_LUONG'!$B113="","",SUM('TINH_LUONG'!P113:R113))</f>
        <v/>
      </c>
      <c r="I113" s="224">
        <f>IF('TINH_LUONG'!$B113="","",'TINH_LUONG'!BP113+'TINH_LUONG'!BQ113)</f>
        <v/>
      </c>
      <c r="J113" s="224">
        <f>IF('TINH_LUONG'!$B113="","",'TINH_LUONG'!Z113)</f>
        <v/>
      </c>
      <c r="K113" s="224">
        <f>IF('TINH_LUONG'!$B113="","",'TINH_LUONG'!S113+'TINH_LUONG'!T113)</f>
        <v/>
      </c>
      <c r="L113" s="224">
        <f>IF('TINH_LUONG'!$B113="","",'TINH_LUONG'!W113+'TINH_LUONG'!X113)</f>
        <v/>
      </c>
      <c r="M113" s="224">
        <f>IF('TINH_LUONG'!$B113="","",'TINH_LUONG'!BR113+'TINH_LUONG'!BS113)</f>
        <v/>
      </c>
      <c r="N113" s="224">
        <f>IF('TINH_LUONG'!$B113="","",'TINH_LUONG'!AO113)</f>
        <v/>
      </c>
      <c r="O113" s="224">
        <f>IF('TINH_LUONG'!$B113="","",'TINH_LUONG'!AP113)</f>
        <v/>
      </c>
      <c r="P113" s="224">
        <f>IF('TINH_LUONG'!$B113="","",'TINH_LUONG'!AS113)</f>
        <v/>
      </c>
      <c r="Q113" s="224">
        <f>IF('TINH_LUONG'!$B113="","",'TINH_LUONG'!AJ113)</f>
        <v/>
      </c>
      <c r="R113" s="224">
        <f>IF('TINH_LUONG'!$B113="","",'TINH_LUONG'!AQ113)</f>
        <v/>
      </c>
      <c r="S113" s="224">
        <f>IF('TINH_LUONG'!$B113="","",'TINH_LUONG'!AR113)</f>
        <v/>
      </c>
      <c r="T113" s="224">
        <f>IF('TINH_LUONG'!$B113="","",'TINH_LUONG'!AU113+'TINH_LUONG'!AV113+'TINH_LUONG'!AW113+'TINH_LUONG'!BV113)</f>
        <v/>
      </c>
      <c r="U113" s="224">
        <f>IF('TINH_LUONG'!$B113="","",'TINH_LUONG'!AX113)</f>
        <v/>
      </c>
      <c r="V113" s="224">
        <f>IF('TINH_LUONG'!$B113="","",'TINH_LUONG'!BT113)</f>
        <v/>
      </c>
      <c r="W113" s="224">
        <f>IF('TINH_LUONG'!$B113="","",'TINH_LUONG'!BU113)</f>
        <v/>
      </c>
      <c r="X113" s="235">
        <f>IF('TINH_LUONG'!$B113="","",'TINH_LUONG'!BW113)</f>
        <v/>
      </c>
      <c r="Y113" s="224">
        <f>IF('TINH_LUONG'!$B113="","",'TINH_LUONG'!BC113)</f>
        <v/>
      </c>
      <c r="Z113" s="224">
        <f>IF('TINH_LUONG'!$B113="","",'TINH_LUONG'!BD113)</f>
        <v/>
      </c>
      <c r="AA113" s="150">
        <f>IF('TINH_LUONG'!$B113="","",'TINH_LUONG'!BG113)</f>
        <v/>
      </c>
    </row>
    <row r="114">
      <c r="A114" s="145">
        <f>IF('TINH_LUONG'!$B114="","",'TINH_LUONG'!A114)</f>
        <v/>
      </c>
      <c r="B114" s="145">
        <f>IF('TINH_LUONG'!$B114="","",'TINH_LUONG'!B114)</f>
        <v/>
      </c>
      <c r="C114" s="145">
        <f>IF('TINH_LUONG'!$B114="","",'TINH_LUONG'!C114)</f>
        <v/>
      </c>
      <c r="D114" s="145">
        <f>IF('TINH_LUONG'!$B114="","",'TINH_LUONG'!D114)</f>
        <v/>
      </c>
      <c r="E114" s="145">
        <f>IF('TINH_LUONG'!$B114="","",'TINH_LUONG'!F114)</f>
        <v/>
      </c>
      <c r="F114" s="145">
        <f>IF('TINH_LUONG'!$B114="","",'TINH_LUONG'!G114)</f>
        <v/>
      </c>
      <c r="G114" s="224">
        <f>IF('TINH_LUONG'!$B114="","",'TINH_LUONG'!O114+'TINH_LUONG'!BO114)</f>
        <v/>
      </c>
      <c r="H114" s="224">
        <f>IF('TINH_LUONG'!$B114="","",SUM('TINH_LUONG'!P114:R114))</f>
        <v/>
      </c>
      <c r="I114" s="224">
        <f>IF('TINH_LUONG'!$B114="","",'TINH_LUONG'!BP114+'TINH_LUONG'!BQ114)</f>
        <v/>
      </c>
      <c r="J114" s="224">
        <f>IF('TINH_LUONG'!$B114="","",'TINH_LUONG'!Z114)</f>
        <v/>
      </c>
      <c r="K114" s="224">
        <f>IF('TINH_LUONG'!$B114="","",'TINH_LUONG'!S114+'TINH_LUONG'!T114)</f>
        <v/>
      </c>
      <c r="L114" s="224">
        <f>IF('TINH_LUONG'!$B114="","",'TINH_LUONG'!W114+'TINH_LUONG'!X114)</f>
        <v/>
      </c>
      <c r="M114" s="224">
        <f>IF('TINH_LUONG'!$B114="","",'TINH_LUONG'!BR114+'TINH_LUONG'!BS114)</f>
        <v/>
      </c>
      <c r="N114" s="224">
        <f>IF('TINH_LUONG'!$B114="","",'TINH_LUONG'!AO114)</f>
        <v/>
      </c>
      <c r="O114" s="224">
        <f>IF('TINH_LUONG'!$B114="","",'TINH_LUONG'!AP114)</f>
        <v/>
      </c>
      <c r="P114" s="224">
        <f>IF('TINH_LUONG'!$B114="","",'TINH_LUONG'!AS114)</f>
        <v/>
      </c>
      <c r="Q114" s="224">
        <f>IF('TINH_LUONG'!$B114="","",'TINH_LUONG'!AJ114)</f>
        <v/>
      </c>
      <c r="R114" s="224">
        <f>IF('TINH_LUONG'!$B114="","",'TINH_LUONG'!AQ114)</f>
        <v/>
      </c>
      <c r="S114" s="224">
        <f>IF('TINH_LUONG'!$B114="","",'TINH_LUONG'!AR114)</f>
        <v/>
      </c>
      <c r="T114" s="224">
        <f>IF('TINH_LUONG'!$B114="","",'TINH_LUONG'!AU114+'TINH_LUONG'!AV114+'TINH_LUONG'!AW114+'TINH_LUONG'!BV114)</f>
        <v/>
      </c>
      <c r="U114" s="224">
        <f>IF('TINH_LUONG'!$B114="","",'TINH_LUONG'!AX114)</f>
        <v/>
      </c>
      <c r="V114" s="224">
        <f>IF('TINH_LUONG'!$B114="","",'TINH_LUONG'!BT114)</f>
        <v/>
      </c>
      <c r="W114" s="224">
        <f>IF('TINH_LUONG'!$B114="","",'TINH_LUONG'!BU114)</f>
        <v/>
      </c>
      <c r="X114" s="235">
        <f>IF('TINH_LUONG'!$B114="","",'TINH_LUONG'!BW114)</f>
        <v/>
      </c>
      <c r="Y114" s="224">
        <f>IF('TINH_LUONG'!$B114="","",'TINH_LUONG'!BC114)</f>
        <v/>
      </c>
      <c r="Z114" s="224">
        <f>IF('TINH_LUONG'!$B114="","",'TINH_LUONG'!BD114)</f>
        <v/>
      </c>
      <c r="AA114" s="150">
        <f>IF('TINH_LUONG'!$B114="","",'TINH_LUONG'!BG114)</f>
        <v/>
      </c>
    </row>
    <row r="115">
      <c r="A115" s="145">
        <f>IF('TINH_LUONG'!$B115="","",'TINH_LUONG'!A115)</f>
        <v/>
      </c>
      <c r="B115" s="145">
        <f>IF('TINH_LUONG'!$B115="","",'TINH_LUONG'!B115)</f>
        <v/>
      </c>
      <c r="C115" s="145">
        <f>IF('TINH_LUONG'!$B115="","",'TINH_LUONG'!C115)</f>
        <v/>
      </c>
      <c r="D115" s="145">
        <f>IF('TINH_LUONG'!$B115="","",'TINH_LUONG'!D115)</f>
        <v/>
      </c>
      <c r="E115" s="145">
        <f>IF('TINH_LUONG'!$B115="","",'TINH_LUONG'!F115)</f>
        <v/>
      </c>
      <c r="F115" s="145">
        <f>IF('TINH_LUONG'!$B115="","",'TINH_LUONG'!G115)</f>
        <v/>
      </c>
      <c r="G115" s="224">
        <f>IF('TINH_LUONG'!$B115="","",'TINH_LUONG'!O115+'TINH_LUONG'!BO115)</f>
        <v/>
      </c>
      <c r="H115" s="224">
        <f>IF('TINH_LUONG'!$B115="","",SUM('TINH_LUONG'!P115:R115))</f>
        <v/>
      </c>
      <c r="I115" s="224">
        <f>IF('TINH_LUONG'!$B115="","",'TINH_LUONG'!BP115+'TINH_LUONG'!BQ115)</f>
        <v/>
      </c>
      <c r="J115" s="224">
        <f>IF('TINH_LUONG'!$B115="","",'TINH_LUONG'!Z115)</f>
        <v/>
      </c>
      <c r="K115" s="224">
        <f>IF('TINH_LUONG'!$B115="","",'TINH_LUONG'!S115+'TINH_LUONG'!T115)</f>
        <v/>
      </c>
      <c r="L115" s="224">
        <f>IF('TINH_LUONG'!$B115="","",'TINH_LUONG'!W115+'TINH_LUONG'!X115)</f>
        <v/>
      </c>
      <c r="M115" s="224">
        <f>IF('TINH_LUONG'!$B115="","",'TINH_LUONG'!BR115+'TINH_LUONG'!BS115)</f>
        <v/>
      </c>
      <c r="N115" s="224">
        <f>IF('TINH_LUONG'!$B115="","",'TINH_LUONG'!AO115)</f>
        <v/>
      </c>
      <c r="O115" s="224">
        <f>IF('TINH_LUONG'!$B115="","",'TINH_LUONG'!AP115)</f>
        <v/>
      </c>
      <c r="P115" s="224">
        <f>IF('TINH_LUONG'!$B115="","",'TINH_LUONG'!AS115)</f>
        <v/>
      </c>
      <c r="Q115" s="224">
        <f>IF('TINH_LUONG'!$B115="","",'TINH_LUONG'!AJ115)</f>
        <v/>
      </c>
      <c r="R115" s="224">
        <f>IF('TINH_LUONG'!$B115="","",'TINH_LUONG'!AQ115)</f>
        <v/>
      </c>
      <c r="S115" s="224">
        <f>IF('TINH_LUONG'!$B115="","",'TINH_LUONG'!AR115)</f>
        <v/>
      </c>
      <c r="T115" s="224">
        <f>IF('TINH_LUONG'!$B115="","",'TINH_LUONG'!AU115+'TINH_LUONG'!AV115+'TINH_LUONG'!AW115+'TINH_LUONG'!BV115)</f>
        <v/>
      </c>
      <c r="U115" s="224">
        <f>IF('TINH_LUONG'!$B115="","",'TINH_LUONG'!AX115)</f>
        <v/>
      </c>
      <c r="V115" s="224">
        <f>IF('TINH_LUONG'!$B115="","",'TINH_LUONG'!BT115)</f>
        <v/>
      </c>
      <c r="W115" s="224">
        <f>IF('TINH_LUONG'!$B115="","",'TINH_LUONG'!BU115)</f>
        <v/>
      </c>
      <c r="X115" s="235">
        <f>IF('TINH_LUONG'!$B115="","",'TINH_LUONG'!BW115)</f>
        <v/>
      </c>
      <c r="Y115" s="224">
        <f>IF('TINH_LUONG'!$B115="","",'TINH_LUONG'!BC115)</f>
        <v/>
      </c>
      <c r="Z115" s="224">
        <f>IF('TINH_LUONG'!$B115="","",'TINH_LUONG'!BD115)</f>
        <v/>
      </c>
      <c r="AA115" s="150">
        <f>IF('TINH_LUONG'!$B115="","",'TINH_LUONG'!BG115)</f>
        <v/>
      </c>
    </row>
    <row r="116">
      <c r="A116" s="145">
        <f>IF('TINH_LUONG'!$B116="","",'TINH_LUONG'!A116)</f>
        <v/>
      </c>
      <c r="B116" s="145">
        <f>IF('TINH_LUONG'!$B116="","",'TINH_LUONG'!B116)</f>
        <v/>
      </c>
      <c r="C116" s="145">
        <f>IF('TINH_LUONG'!$B116="","",'TINH_LUONG'!C116)</f>
        <v/>
      </c>
      <c r="D116" s="145">
        <f>IF('TINH_LUONG'!$B116="","",'TINH_LUONG'!D116)</f>
        <v/>
      </c>
      <c r="E116" s="145">
        <f>IF('TINH_LUONG'!$B116="","",'TINH_LUONG'!F116)</f>
        <v/>
      </c>
      <c r="F116" s="145">
        <f>IF('TINH_LUONG'!$B116="","",'TINH_LUONG'!G116)</f>
        <v/>
      </c>
      <c r="G116" s="224">
        <f>IF('TINH_LUONG'!$B116="","",'TINH_LUONG'!O116+'TINH_LUONG'!BO116)</f>
        <v/>
      </c>
      <c r="H116" s="224">
        <f>IF('TINH_LUONG'!$B116="","",SUM('TINH_LUONG'!P116:R116))</f>
        <v/>
      </c>
      <c r="I116" s="224">
        <f>IF('TINH_LUONG'!$B116="","",'TINH_LUONG'!BP116+'TINH_LUONG'!BQ116)</f>
        <v/>
      </c>
      <c r="J116" s="224">
        <f>IF('TINH_LUONG'!$B116="","",'TINH_LUONG'!Z116)</f>
        <v/>
      </c>
      <c r="K116" s="224">
        <f>IF('TINH_LUONG'!$B116="","",'TINH_LUONG'!S116+'TINH_LUONG'!T116)</f>
        <v/>
      </c>
      <c r="L116" s="224">
        <f>IF('TINH_LUONG'!$B116="","",'TINH_LUONG'!W116+'TINH_LUONG'!X116)</f>
        <v/>
      </c>
      <c r="M116" s="224">
        <f>IF('TINH_LUONG'!$B116="","",'TINH_LUONG'!BR116+'TINH_LUONG'!BS116)</f>
        <v/>
      </c>
      <c r="N116" s="224">
        <f>IF('TINH_LUONG'!$B116="","",'TINH_LUONG'!AO116)</f>
        <v/>
      </c>
      <c r="O116" s="224">
        <f>IF('TINH_LUONG'!$B116="","",'TINH_LUONG'!AP116)</f>
        <v/>
      </c>
      <c r="P116" s="224">
        <f>IF('TINH_LUONG'!$B116="","",'TINH_LUONG'!AS116)</f>
        <v/>
      </c>
      <c r="Q116" s="224">
        <f>IF('TINH_LUONG'!$B116="","",'TINH_LUONG'!AJ116)</f>
        <v/>
      </c>
      <c r="R116" s="224">
        <f>IF('TINH_LUONG'!$B116="","",'TINH_LUONG'!AQ116)</f>
        <v/>
      </c>
      <c r="S116" s="224">
        <f>IF('TINH_LUONG'!$B116="","",'TINH_LUONG'!AR116)</f>
        <v/>
      </c>
      <c r="T116" s="224">
        <f>IF('TINH_LUONG'!$B116="","",'TINH_LUONG'!AU116+'TINH_LUONG'!AV116+'TINH_LUONG'!AW116+'TINH_LUONG'!BV116)</f>
        <v/>
      </c>
      <c r="U116" s="224">
        <f>IF('TINH_LUONG'!$B116="","",'TINH_LUONG'!AX116)</f>
        <v/>
      </c>
      <c r="V116" s="224">
        <f>IF('TINH_LUONG'!$B116="","",'TINH_LUONG'!BT116)</f>
        <v/>
      </c>
      <c r="W116" s="224">
        <f>IF('TINH_LUONG'!$B116="","",'TINH_LUONG'!BU116)</f>
        <v/>
      </c>
      <c r="X116" s="235">
        <f>IF('TINH_LUONG'!$B116="","",'TINH_LUONG'!BW116)</f>
        <v/>
      </c>
      <c r="Y116" s="224">
        <f>IF('TINH_LUONG'!$B116="","",'TINH_LUONG'!BC116)</f>
        <v/>
      </c>
      <c r="Z116" s="224">
        <f>IF('TINH_LUONG'!$B116="","",'TINH_LUONG'!BD116)</f>
        <v/>
      </c>
      <c r="AA116" s="150">
        <f>IF('TINH_LUONG'!$B116="","",'TINH_LUONG'!BG116)</f>
        <v/>
      </c>
    </row>
    <row r="117">
      <c r="A117" s="145">
        <f>IF('TINH_LUONG'!$B117="","",'TINH_LUONG'!A117)</f>
        <v/>
      </c>
      <c r="B117" s="145">
        <f>IF('TINH_LUONG'!$B117="","",'TINH_LUONG'!B117)</f>
        <v/>
      </c>
      <c r="C117" s="145">
        <f>IF('TINH_LUONG'!$B117="","",'TINH_LUONG'!C117)</f>
        <v/>
      </c>
      <c r="D117" s="145">
        <f>IF('TINH_LUONG'!$B117="","",'TINH_LUONG'!D117)</f>
        <v/>
      </c>
      <c r="E117" s="145">
        <f>IF('TINH_LUONG'!$B117="","",'TINH_LUONG'!F117)</f>
        <v/>
      </c>
      <c r="F117" s="145">
        <f>IF('TINH_LUONG'!$B117="","",'TINH_LUONG'!G117)</f>
        <v/>
      </c>
      <c r="G117" s="224">
        <f>IF('TINH_LUONG'!$B117="","",'TINH_LUONG'!O117+'TINH_LUONG'!BO117)</f>
        <v/>
      </c>
      <c r="H117" s="224">
        <f>IF('TINH_LUONG'!$B117="","",SUM('TINH_LUONG'!P117:R117))</f>
        <v/>
      </c>
      <c r="I117" s="224">
        <f>IF('TINH_LUONG'!$B117="","",'TINH_LUONG'!BP117+'TINH_LUONG'!BQ117)</f>
        <v/>
      </c>
      <c r="J117" s="224">
        <f>IF('TINH_LUONG'!$B117="","",'TINH_LUONG'!Z117)</f>
        <v/>
      </c>
      <c r="K117" s="224">
        <f>IF('TINH_LUONG'!$B117="","",'TINH_LUONG'!S117+'TINH_LUONG'!T117)</f>
        <v/>
      </c>
      <c r="L117" s="224">
        <f>IF('TINH_LUONG'!$B117="","",'TINH_LUONG'!W117+'TINH_LUONG'!X117)</f>
        <v/>
      </c>
      <c r="M117" s="224">
        <f>IF('TINH_LUONG'!$B117="","",'TINH_LUONG'!BR117+'TINH_LUONG'!BS117)</f>
        <v/>
      </c>
      <c r="N117" s="224">
        <f>IF('TINH_LUONG'!$B117="","",'TINH_LUONG'!AO117)</f>
        <v/>
      </c>
      <c r="O117" s="224">
        <f>IF('TINH_LUONG'!$B117="","",'TINH_LUONG'!AP117)</f>
        <v/>
      </c>
      <c r="P117" s="224">
        <f>IF('TINH_LUONG'!$B117="","",'TINH_LUONG'!AS117)</f>
        <v/>
      </c>
      <c r="Q117" s="224">
        <f>IF('TINH_LUONG'!$B117="","",'TINH_LUONG'!AJ117)</f>
        <v/>
      </c>
      <c r="R117" s="224">
        <f>IF('TINH_LUONG'!$B117="","",'TINH_LUONG'!AQ117)</f>
        <v/>
      </c>
      <c r="S117" s="224">
        <f>IF('TINH_LUONG'!$B117="","",'TINH_LUONG'!AR117)</f>
        <v/>
      </c>
      <c r="T117" s="224">
        <f>IF('TINH_LUONG'!$B117="","",'TINH_LUONG'!AU117+'TINH_LUONG'!AV117+'TINH_LUONG'!AW117+'TINH_LUONG'!BV117)</f>
        <v/>
      </c>
      <c r="U117" s="224">
        <f>IF('TINH_LUONG'!$B117="","",'TINH_LUONG'!AX117)</f>
        <v/>
      </c>
      <c r="V117" s="224">
        <f>IF('TINH_LUONG'!$B117="","",'TINH_LUONG'!BT117)</f>
        <v/>
      </c>
      <c r="W117" s="224">
        <f>IF('TINH_LUONG'!$B117="","",'TINH_LUONG'!BU117)</f>
        <v/>
      </c>
      <c r="X117" s="235">
        <f>IF('TINH_LUONG'!$B117="","",'TINH_LUONG'!BW117)</f>
        <v/>
      </c>
      <c r="Y117" s="224">
        <f>IF('TINH_LUONG'!$B117="","",'TINH_LUONG'!BC117)</f>
        <v/>
      </c>
      <c r="Z117" s="224">
        <f>IF('TINH_LUONG'!$B117="","",'TINH_LUONG'!BD117)</f>
        <v/>
      </c>
      <c r="AA117" s="150">
        <f>IF('TINH_LUONG'!$B117="","",'TINH_LUONG'!BG117)</f>
        <v/>
      </c>
    </row>
    <row r="118">
      <c r="A118" s="145">
        <f>IF('TINH_LUONG'!$B118="","",'TINH_LUONG'!A118)</f>
        <v/>
      </c>
      <c r="B118" s="145">
        <f>IF('TINH_LUONG'!$B118="","",'TINH_LUONG'!B118)</f>
        <v/>
      </c>
      <c r="C118" s="145">
        <f>IF('TINH_LUONG'!$B118="","",'TINH_LUONG'!C118)</f>
        <v/>
      </c>
      <c r="D118" s="145">
        <f>IF('TINH_LUONG'!$B118="","",'TINH_LUONG'!D118)</f>
        <v/>
      </c>
      <c r="E118" s="145">
        <f>IF('TINH_LUONG'!$B118="","",'TINH_LUONG'!F118)</f>
        <v/>
      </c>
      <c r="F118" s="145">
        <f>IF('TINH_LUONG'!$B118="","",'TINH_LUONG'!G118)</f>
        <v/>
      </c>
      <c r="G118" s="224">
        <f>IF('TINH_LUONG'!$B118="","",'TINH_LUONG'!O118+'TINH_LUONG'!BO118)</f>
        <v/>
      </c>
      <c r="H118" s="224">
        <f>IF('TINH_LUONG'!$B118="","",SUM('TINH_LUONG'!P118:R118))</f>
        <v/>
      </c>
      <c r="I118" s="224">
        <f>IF('TINH_LUONG'!$B118="","",'TINH_LUONG'!BP118+'TINH_LUONG'!BQ118)</f>
        <v/>
      </c>
      <c r="J118" s="224">
        <f>IF('TINH_LUONG'!$B118="","",'TINH_LUONG'!Z118)</f>
        <v/>
      </c>
      <c r="K118" s="224">
        <f>IF('TINH_LUONG'!$B118="","",'TINH_LUONG'!S118+'TINH_LUONG'!T118)</f>
        <v/>
      </c>
      <c r="L118" s="224">
        <f>IF('TINH_LUONG'!$B118="","",'TINH_LUONG'!W118+'TINH_LUONG'!X118)</f>
        <v/>
      </c>
      <c r="M118" s="224">
        <f>IF('TINH_LUONG'!$B118="","",'TINH_LUONG'!BR118+'TINH_LUONG'!BS118)</f>
        <v/>
      </c>
      <c r="N118" s="224">
        <f>IF('TINH_LUONG'!$B118="","",'TINH_LUONG'!AO118)</f>
        <v/>
      </c>
      <c r="O118" s="224">
        <f>IF('TINH_LUONG'!$B118="","",'TINH_LUONG'!AP118)</f>
        <v/>
      </c>
      <c r="P118" s="224">
        <f>IF('TINH_LUONG'!$B118="","",'TINH_LUONG'!AS118)</f>
        <v/>
      </c>
      <c r="Q118" s="224">
        <f>IF('TINH_LUONG'!$B118="","",'TINH_LUONG'!AJ118)</f>
        <v/>
      </c>
      <c r="R118" s="224">
        <f>IF('TINH_LUONG'!$B118="","",'TINH_LUONG'!AQ118)</f>
        <v/>
      </c>
      <c r="S118" s="224">
        <f>IF('TINH_LUONG'!$B118="","",'TINH_LUONG'!AR118)</f>
        <v/>
      </c>
      <c r="T118" s="224">
        <f>IF('TINH_LUONG'!$B118="","",'TINH_LUONG'!AU118+'TINH_LUONG'!AV118+'TINH_LUONG'!AW118+'TINH_LUONG'!BV118)</f>
        <v/>
      </c>
      <c r="U118" s="224">
        <f>IF('TINH_LUONG'!$B118="","",'TINH_LUONG'!AX118)</f>
        <v/>
      </c>
      <c r="V118" s="224">
        <f>IF('TINH_LUONG'!$B118="","",'TINH_LUONG'!BT118)</f>
        <v/>
      </c>
      <c r="W118" s="224">
        <f>IF('TINH_LUONG'!$B118="","",'TINH_LUONG'!BU118)</f>
        <v/>
      </c>
      <c r="X118" s="235">
        <f>IF('TINH_LUONG'!$B118="","",'TINH_LUONG'!BW118)</f>
        <v/>
      </c>
      <c r="Y118" s="224">
        <f>IF('TINH_LUONG'!$B118="","",'TINH_LUONG'!BC118)</f>
        <v/>
      </c>
      <c r="Z118" s="224">
        <f>IF('TINH_LUONG'!$B118="","",'TINH_LUONG'!BD118)</f>
        <v/>
      </c>
      <c r="AA118" s="150">
        <f>IF('TINH_LUONG'!$B118="","",'TINH_LUONG'!BG118)</f>
        <v/>
      </c>
    </row>
    <row r="119">
      <c r="A119" s="145">
        <f>IF('TINH_LUONG'!$B119="","",'TINH_LUONG'!A119)</f>
        <v/>
      </c>
      <c r="B119" s="145">
        <f>IF('TINH_LUONG'!$B119="","",'TINH_LUONG'!B119)</f>
        <v/>
      </c>
      <c r="C119" s="145">
        <f>IF('TINH_LUONG'!$B119="","",'TINH_LUONG'!C119)</f>
        <v/>
      </c>
      <c r="D119" s="145">
        <f>IF('TINH_LUONG'!$B119="","",'TINH_LUONG'!D119)</f>
        <v/>
      </c>
      <c r="E119" s="145">
        <f>IF('TINH_LUONG'!$B119="","",'TINH_LUONG'!F119)</f>
        <v/>
      </c>
      <c r="F119" s="145">
        <f>IF('TINH_LUONG'!$B119="","",'TINH_LUONG'!G119)</f>
        <v/>
      </c>
      <c r="G119" s="224">
        <f>IF('TINH_LUONG'!$B119="","",'TINH_LUONG'!O119+'TINH_LUONG'!BO119)</f>
        <v/>
      </c>
      <c r="H119" s="224">
        <f>IF('TINH_LUONG'!$B119="","",SUM('TINH_LUONG'!P119:R119))</f>
        <v/>
      </c>
      <c r="I119" s="224">
        <f>IF('TINH_LUONG'!$B119="","",'TINH_LUONG'!BP119+'TINH_LUONG'!BQ119)</f>
        <v/>
      </c>
      <c r="J119" s="224">
        <f>IF('TINH_LUONG'!$B119="","",'TINH_LUONG'!Z119)</f>
        <v/>
      </c>
      <c r="K119" s="224">
        <f>IF('TINH_LUONG'!$B119="","",'TINH_LUONG'!S119+'TINH_LUONG'!T119)</f>
        <v/>
      </c>
      <c r="L119" s="224">
        <f>IF('TINH_LUONG'!$B119="","",'TINH_LUONG'!W119+'TINH_LUONG'!X119)</f>
        <v/>
      </c>
      <c r="M119" s="224">
        <f>IF('TINH_LUONG'!$B119="","",'TINH_LUONG'!BR119+'TINH_LUONG'!BS119)</f>
        <v/>
      </c>
      <c r="N119" s="224">
        <f>IF('TINH_LUONG'!$B119="","",'TINH_LUONG'!AO119)</f>
        <v/>
      </c>
      <c r="O119" s="224">
        <f>IF('TINH_LUONG'!$B119="","",'TINH_LUONG'!AP119)</f>
        <v/>
      </c>
      <c r="P119" s="224">
        <f>IF('TINH_LUONG'!$B119="","",'TINH_LUONG'!AS119)</f>
        <v/>
      </c>
      <c r="Q119" s="224">
        <f>IF('TINH_LUONG'!$B119="","",'TINH_LUONG'!AJ119)</f>
        <v/>
      </c>
      <c r="R119" s="224">
        <f>IF('TINH_LUONG'!$B119="","",'TINH_LUONG'!AQ119)</f>
        <v/>
      </c>
      <c r="S119" s="224">
        <f>IF('TINH_LUONG'!$B119="","",'TINH_LUONG'!AR119)</f>
        <v/>
      </c>
      <c r="T119" s="224">
        <f>IF('TINH_LUONG'!$B119="","",'TINH_LUONG'!AU119+'TINH_LUONG'!AV119+'TINH_LUONG'!AW119+'TINH_LUONG'!BV119)</f>
        <v/>
      </c>
      <c r="U119" s="224">
        <f>IF('TINH_LUONG'!$B119="","",'TINH_LUONG'!AX119)</f>
        <v/>
      </c>
      <c r="V119" s="224">
        <f>IF('TINH_LUONG'!$B119="","",'TINH_LUONG'!BT119)</f>
        <v/>
      </c>
      <c r="W119" s="224">
        <f>IF('TINH_LUONG'!$B119="","",'TINH_LUONG'!BU119)</f>
        <v/>
      </c>
      <c r="X119" s="235">
        <f>IF('TINH_LUONG'!$B119="","",'TINH_LUONG'!BW119)</f>
        <v/>
      </c>
      <c r="Y119" s="224">
        <f>IF('TINH_LUONG'!$B119="","",'TINH_LUONG'!BC119)</f>
        <v/>
      </c>
      <c r="Z119" s="224">
        <f>IF('TINH_LUONG'!$B119="","",'TINH_LUONG'!BD119)</f>
        <v/>
      </c>
      <c r="AA119" s="150">
        <f>IF('TINH_LUONG'!$B119="","",'TINH_LUONG'!BG119)</f>
        <v/>
      </c>
    </row>
    <row r="120">
      <c r="A120" s="145">
        <f>IF('TINH_LUONG'!$B120="","",'TINH_LUONG'!A120)</f>
        <v/>
      </c>
      <c r="B120" s="145">
        <f>IF('TINH_LUONG'!$B120="","",'TINH_LUONG'!B120)</f>
        <v/>
      </c>
      <c r="C120" s="145">
        <f>IF('TINH_LUONG'!$B120="","",'TINH_LUONG'!C120)</f>
        <v/>
      </c>
      <c r="D120" s="145">
        <f>IF('TINH_LUONG'!$B120="","",'TINH_LUONG'!D120)</f>
        <v/>
      </c>
      <c r="E120" s="145">
        <f>IF('TINH_LUONG'!$B120="","",'TINH_LUONG'!F120)</f>
        <v/>
      </c>
      <c r="F120" s="145">
        <f>IF('TINH_LUONG'!$B120="","",'TINH_LUONG'!G120)</f>
        <v/>
      </c>
      <c r="G120" s="224">
        <f>IF('TINH_LUONG'!$B120="","",'TINH_LUONG'!O120+'TINH_LUONG'!BO120)</f>
        <v/>
      </c>
      <c r="H120" s="224">
        <f>IF('TINH_LUONG'!$B120="","",SUM('TINH_LUONG'!P120:R120))</f>
        <v/>
      </c>
      <c r="I120" s="224">
        <f>IF('TINH_LUONG'!$B120="","",'TINH_LUONG'!BP120+'TINH_LUONG'!BQ120)</f>
        <v/>
      </c>
      <c r="J120" s="224">
        <f>IF('TINH_LUONG'!$B120="","",'TINH_LUONG'!Z120)</f>
        <v/>
      </c>
      <c r="K120" s="224">
        <f>IF('TINH_LUONG'!$B120="","",'TINH_LUONG'!S120+'TINH_LUONG'!T120)</f>
        <v/>
      </c>
      <c r="L120" s="224">
        <f>IF('TINH_LUONG'!$B120="","",'TINH_LUONG'!W120+'TINH_LUONG'!X120)</f>
        <v/>
      </c>
      <c r="M120" s="224">
        <f>IF('TINH_LUONG'!$B120="","",'TINH_LUONG'!BR120+'TINH_LUONG'!BS120)</f>
        <v/>
      </c>
      <c r="N120" s="224">
        <f>IF('TINH_LUONG'!$B120="","",'TINH_LUONG'!AO120)</f>
        <v/>
      </c>
      <c r="O120" s="224">
        <f>IF('TINH_LUONG'!$B120="","",'TINH_LUONG'!AP120)</f>
        <v/>
      </c>
      <c r="P120" s="224">
        <f>IF('TINH_LUONG'!$B120="","",'TINH_LUONG'!AS120)</f>
        <v/>
      </c>
      <c r="Q120" s="224">
        <f>IF('TINH_LUONG'!$B120="","",'TINH_LUONG'!AJ120)</f>
        <v/>
      </c>
      <c r="R120" s="224">
        <f>IF('TINH_LUONG'!$B120="","",'TINH_LUONG'!AQ120)</f>
        <v/>
      </c>
      <c r="S120" s="224">
        <f>IF('TINH_LUONG'!$B120="","",'TINH_LUONG'!AR120)</f>
        <v/>
      </c>
      <c r="T120" s="224">
        <f>IF('TINH_LUONG'!$B120="","",'TINH_LUONG'!AU120+'TINH_LUONG'!AV120+'TINH_LUONG'!AW120+'TINH_LUONG'!BV120)</f>
        <v/>
      </c>
      <c r="U120" s="224">
        <f>IF('TINH_LUONG'!$B120="","",'TINH_LUONG'!AX120)</f>
        <v/>
      </c>
      <c r="V120" s="224">
        <f>IF('TINH_LUONG'!$B120="","",'TINH_LUONG'!BT120)</f>
        <v/>
      </c>
      <c r="W120" s="224">
        <f>IF('TINH_LUONG'!$B120="","",'TINH_LUONG'!BU120)</f>
        <v/>
      </c>
      <c r="X120" s="235">
        <f>IF('TINH_LUONG'!$B120="","",'TINH_LUONG'!BW120)</f>
        <v/>
      </c>
      <c r="Y120" s="224">
        <f>IF('TINH_LUONG'!$B120="","",'TINH_LUONG'!BC120)</f>
        <v/>
      </c>
      <c r="Z120" s="224">
        <f>IF('TINH_LUONG'!$B120="","",'TINH_LUONG'!BD120)</f>
        <v/>
      </c>
      <c r="AA120" s="150">
        <f>IF('TINH_LUONG'!$B120="","",'TINH_LUONG'!BG120)</f>
        <v/>
      </c>
    </row>
    <row r="121">
      <c r="A121" s="145">
        <f>IF('TINH_LUONG'!$B121="","",'TINH_LUONG'!A121)</f>
        <v/>
      </c>
      <c r="B121" s="145">
        <f>IF('TINH_LUONG'!$B121="","",'TINH_LUONG'!B121)</f>
        <v/>
      </c>
      <c r="C121" s="145">
        <f>IF('TINH_LUONG'!$B121="","",'TINH_LUONG'!C121)</f>
        <v/>
      </c>
      <c r="D121" s="145">
        <f>IF('TINH_LUONG'!$B121="","",'TINH_LUONG'!D121)</f>
        <v/>
      </c>
      <c r="E121" s="145">
        <f>IF('TINH_LUONG'!$B121="","",'TINH_LUONG'!F121)</f>
        <v/>
      </c>
      <c r="F121" s="145">
        <f>IF('TINH_LUONG'!$B121="","",'TINH_LUONG'!G121)</f>
        <v/>
      </c>
      <c r="G121" s="224">
        <f>IF('TINH_LUONG'!$B121="","",'TINH_LUONG'!O121+'TINH_LUONG'!BO121)</f>
        <v/>
      </c>
      <c r="H121" s="224">
        <f>IF('TINH_LUONG'!$B121="","",SUM('TINH_LUONG'!P121:R121))</f>
        <v/>
      </c>
      <c r="I121" s="224">
        <f>IF('TINH_LUONG'!$B121="","",'TINH_LUONG'!BP121+'TINH_LUONG'!BQ121)</f>
        <v/>
      </c>
      <c r="J121" s="224">
        <f>IF('TINH_LUONG'!$B121="","",'TINH_LUONG'!Z121)</f>
        <v/>
      </c>
      <c r="K121" s="224">
        <f>IF('TINH_LUONG'!$B121="","",'TINH_LUONG'!S121+'TINH_LUONG'!T121)</f>
        <v/>
      </c>
      <c r="L121" s="224">
        <f>IF('TINH_LUONG'!$B121="","",'TINH_LUONG'!W121+'TINH_LUONG'!X121)</f>
        <v/>
      </c>
      <c r="M121" s="224">
        <f>IF('TINH_LUONG'!$B121="","",'TINH_LUONG'!BR121+'TINH_LUONG'!BS121)</f>
        <v/>
      </c>
      <c r="N121" s="224">
        <f>IF('TINH_LUONG'!$B121="","",'TINH_LUONG'!AO121)</f>
        <v/>
      </c>
      <c r="O121" s="224">
        <f>IF('TINH_LUONG'!$B121="","",'TINH_LUONG'!AP121)</f>
        <v/>
      </c>
      <c r="P121" s="224">
        <f>IF('TINH_LUONG'!$B121="","",'TINH_LUONG'!AS121)</f>
        <v/>
      </c>
      <c r="Q121" s="224">
        <f>IF('TINH_LUONG'!$B121="","",'TINH_LUONG'!AJ121)</f>
        <v/>
      </c>
      <c r="R121" s="224">
        <f>IF('TINH_LUONG'!$B121="","",'TINH_LUONG'!AQ121)</f>
        <v/>
      </c>
      <c r="S121" s="224">
        <f>IF('TINH_LUONG'!$B121="","",'TINH_LUONG'!AR121)</f>
        <v/>
      </c>
      <c r="T121" s="224">
        <f>IF('TINH_LUONG'!$B121="","",'TINH_LUONG'!AU121+'TINH_LUONG'!AV121+'TINH_LUONG'!AW121+'TINH_LUONG'!BV121)</f>
        <v/>
      </c>
      <c r="U121" s="224">
        <f>IF('TINH_LUONG'!$B121="","",'TINH_LUONG'!AX121)</f>
        <v/>
      </c>
      <c r="V121" s="224">
        <f>IF('TINH_LUONG'!$B121="","",'TINH_LUONG'!BT121)</f>
        <v/>
      </c>
      <c r="W121" s="224">
        <f>IF('TINH_LUONG'!$B121="","",'TINH_LUONG'!BU121)</f>
        <v/>
      </c>
      <c r="X121" s="235">
        <f>IF('TINH_LUONG'!$B121="","",'TINH_LUONG'!BW121)</f>
        <v/>
      </c>
      <c r="Y121" s="224">
        <f>IF('TINH_LUONG'!$B121="","",'TINH_LUONG'!BC121)</f>
        <v/>
      </c>
      <c r="Z121" s="224">
        <f>IF('TINH_LUONG'!$B121="","",'TINH_LUONG'!BD121)</f>
        <v/>
      </c>
      <c r="AA121" s="150">
        <f>IF('TINH_LUONG'!$B121="","",'TINH_LUONG'!BG121)</f>
        <v/>
      </c>
    </row>
    <row r="122">
      <c r="A122" s="145">
        <f>IF('TINH_LUONG'!$B122="","",'TINH_LUONG'!A122)</f>
        <v/>
      </c>
      <c r="B122" s="145">
        <f>IF('TINH_LUONG'!$B122="","",'TINH_LUONG'!B122)</f>
        <v/>
      </c>
      <c r="C122" s="145">
        <f>IF('TINH_LUONG'!$B122="","",'TINH_LUONG'!C122)</f>
        <v/>
      </c>
      <c r="D122" s="145">
        <f>IF('TINH_LUONG'!$B122="","",'TINH_LUONG'!D122)</f>
        <v/>
      </c>
      <c r="E122" s="145">
        <f>IF('TINH_LUONG'!$B122="","",'TINH_LUONG'!F122)</f>
        <v/>
      </c>
      <c r="F122" s="145">
        <f>IF('TINH_LUONG'!$B122="","",'TINH_LUONG'!G122)</f>
        <v/>
      </c>
      <c r="G122" s="224">
        <f>IF('TINH_LUONG'!$B122="","",'TINH_LUONG'!O122+'TINH_LUONG'!BO122)</f>
        <v/>
      </c>
      <c r="H122" s="224">
        <f>IF('TINH_LUONG'!$B122="","",SUM('TINH_LUONG'!P122:R122))</f>
        <v/>
      </c>
      <c r="I122" s="224">
        <f>IF('TINH_LUONG'!$B122="","",'TINH_LUONG'!BP122+'TINH_LUONG'!BQ122)</f>
        <v/>
      </c>
      <c r="J122" s="224">
        <f>IF('TINH_LUONG'!$B122="","",'TINH_LUONG'!Z122)</f>
        <v/>
      </c>
      <c r="K122" s="224">
        <f>IF('TINH_LUONG'!$B122="","",'TINH_LUONG'!S122+'TINH_LUONG'!T122)</f>
        <v/>
      </c>
      <c r="L122" s="224">
        <f>IF('TINH_LUONG'!$B122="","",'TINH_LUONG'!W122+'TINH_LUONG'!X122)</f>
        <v/>
      </c>
      <c r="M122" s="224">
        <f>IF('TINH_LUONG'!$B122="","",'TINH_LUONG'!BR122+'TINH_LUONG'!BS122)</f>
        <v/>
      </c>
      <c r="N122" s="224">
        <f>IF('TINH_LUONG'!$B122="","",'TINH_LUONG'!AO122)</f>
        <v/>
      </c>
      <c r="O122" s="224">
        <f>IF('TINH_LUONG'!$B122="","",'TINH_LUONG'!AP122)</f>
        <v/>
      </c>
      <c r="P122" s="224">
        <f>IF('TINH_LUONG'!$B122="","",'TINH_LUONG'!AS122)</f>
        <v/>
      </c>
      <c r="Q122" s="224">
        <f>IF('TINH_LUONG'!$B122="","",'TINH_LUONG'!AJ122)</f>
        <v/>
      </c>
      <c r="R122" s="224">
        <f>IF('TINH_LUONG'!$B122="","",'TINH_LUONG'!AQ122)</f>
        <v/>
      </c>
      <c r="S122" s="224">
        <f>IF('TINH_LUONG'!$B122="","",'TINH_LUONG'!AR122)</f>
        <v/>
      </c>
      <c r="T122" s="224">
        <f>IF('TINH_LUONG'!$B122="","",'TINH_LUONG'!AU122+'TINH_LUONG'!AV122+'TINH_LUONG'!AW122+'TINH_LUONG'!BV122)</f>
        <v/>
      </c>
      <c r="U122" s="224">
        <f>IF('TINH_LUONG'!$B122="","",'TINH_LUONG'!AX122)</f>
        <v/>
      </c>
      <c r="V122" s="224">
        <f>IF('TINH_LUONG'!$B122="","",'TINH_LUONG'!BT122)</f>
        <v/>
      </c>
      <c r="W122" s="224">
        <f>IF('TINH_LUONG'!$B122="","",'TINH_LUONG'!BU122)</f>
        <v/>
      </c>
      <c r="X122" s="235">
        <f>IF('TINH_LUONG'!$B122="","",'TINH_LUONG'!BW122)</f>
        <v/>
      </c>
      <c r="Y122" s="224">
        <f>IF('TINH_LUONG'!$B122="","",'TINH_LUONG'!BC122)</f>
        <v/>
      </c>
      <c r="Z122" s="224">
        <f>IF('TINH_LUONG'!$B122="","",'TINH_LUONG'!BD122)</f>
        <v/>
      </c>
      <c r="AA122" s="150">
        <f>IF('TINH_LUONG'!$B122="","",'TINH_LUONG'!BG122)</f>
        <v/>
      </c>
    </row>
    <row r="123">
      <c r="A123" s="145">
        <f>IF('TINH_LUONG'!$B123="","",'TINH_LUONG'!A123)</f>
        <v/>
      </c>
      <c r="B123" s="145">
        <f>IF('TINH_LUONG'!$B123="","",'TINH_LUONG'!B123)</f>
        <v/>
      </c>
      <c r="C123" s="145">
        <f>IF('TINH_LUONG'!$B123="","",'TINH_LUONG'!C123)</f>
        <v/>
      </c>
      <c r="D123" s="145">
        <f>IF('TINH_LUONG'!$B123="","",'TINH_LUONG'!D123)</f>
        <v/>
      </c>
      <c r="E123" s="145">
        <f>IF('TINH_LUONG'!$B123="","",'TINH_LUONG'!F123)</f>
        <v/>
      </c>
      <c r="F123" s="145">
        <f>IF('TINH_LUONG'!$B123="","",'TINH_LUONG'!G123)</f>
        <v/>
      </c>
      <c r="G123" s="224">
        <f>IF('TINH_LUONG'!$B123="","",'TINH_LUONG'!O123+'TINH_LUONG'!BO123)</f>
        <v/>
      </c>
      <c r="H123" s="224">
        <f>IF('TINH_LUONG'!$B123="","",SUM('TINH_LUONG'!P123:R123))</f>
        <v/>
      </c>
      <c r="I123" s="224">
        <f>IF('TINH_LUONG'!$B123="","",'TINH_LUONG'!BP123+'TINH_LUONG'!BQ123)</f>
        <v/>
      </c>
      <c r="J123" s="224">
        <f>IF('TINH_LUONG'!$B123="","",'TINH_LUONG'!Z123)</f>
        <v/>
      </c>
      <c r="K123" s="224">
        <f>IF('TINH_LUONG'!$B123="","",'TINH_LUONG'!S123+'TINH_LUONG'!T123)</f>
        <v/>
      </c>
      <c r="L123" s="224">
        <f>IF('TINH_LUONG'!$B123="","",'TINH_LUONG'!W123+'TINH_LUONG'!X123)</f>
        <v/>
      </c>
      <c r="M123" s="224">
        <f>IF('TINH_LUONG'!$B123="","",'TINH_LUONG'!BR123+'TINH_LUONG'!BS123)</f>
        <v/>
      </c>
      <c r="N123" s="224">
        <f>IF('TINH_LUONG'!$B123="","",'TINH_LUONG'!AO123)</f>
        <v/>
      </c>
      <c r="O123" s="224">
        <f>IF('TINH_LUONG'!$B123="","",'TINH_LUONG'!AP123)</f>
        <v/>
      </c>
      <c r="P123" s="224">
        <f>IF('TINH_LUONG'!$B123="","",'TINH_LUONG'!AS123)</f>
        <v/>
      </c>
      <c r="Q123" s="224">
        <f>IF('TINH_LUONG'!$B123="","",'TINH_LUONG'!AJ123)</f>
        <v/>
      </c>
      <c r="R123" s="224">
        <f>IF('TINH_LUONG'!$B123="","",'TINH_LUONG'!AQ123)</f>
        <v/>
      </c>
      <c r="S123" s="224">
        <f>IF('TINH_LUONG'!$B123="","",'TINH_LUONG'!AR123)</f>
        <v/>
      </c>
      <c r="T123" s="224">
        <f>IF('TINH_LUONG'!$B123="","",'TINH_LUONG'!AU123+'TINH_LUONG'!AV123+'TINH_LUONG'!AW123+'TINH_LUONG'!BV123)</f>
        <v/>
      </c>
      <c r="U123" s="224">
        <f>IF('TINH_LUONG'!$B123="","",'TINH_LUONG'!AX123)</f>
        <v/>
      </c>
      <c r="V123" s="224">
        <f>IF('TINH_LUONG'!$B123="","",'TINH_LUONG'!BT123)</f>
        <v/>
      </c>
      <c r="W123" s="224">
        <f>IF('TINH_LUONG'!$B123="","",'TINH_LUONG'!BU123)</f>
        <v/>
      </c>
      <c r="X123" s="235">
        <f>IF('TINH_LUONG'!$B123="","",'TINH_LUONG'!BW123)</f>
        <v/>
      </c>
      <c r="Y123" s="224">
        <f>IF('TINH_LUONG'!$B123="","",'TINH_LUONG'!BC123)</f>
        <v/>
      </c>
      <c r="Z123" s="224">
        <f>IF('TINH_LUONG'!$B123="","",'TINH_LUONG'!BD123)</f>
        <v/>
      </c>
      <c r="AA123" s="150">
        <f>IF('TINH_LUONG'!$B123="","",'TINH_LUONG'!BG123)</f>
        <v/>
      </c>
    </row>
    <row r="124">
      <c r="A124" s="145">
        <f>IF('TINH_LUONG'!$B124="","",'TINH_LUONG'!A124)</f>
        <v/>
      </c>
      <c r="B124" s="145">
        <f>IF('TINH_LUONG'!$B124="","",'TINH_LUONG'!B124)</f>
        <v/>
      </c>
      <c r="C124" s="145">
        <f>IF('TINH_LUONG'!$B124="","",'TINH_LUONG'!C124)</f>
        <v/>
      </c>
      <c r="D124" s="145">
        <f>IF('TINH_LUONG'!$B124="","",'TINH_LUONG'!D124)</f>
        <v/>
      </c>
      <c r="E124" s="145">
        <f>IF('TINH_LUONG'!$B124="","",'TINH_LUONG'!F124)</f>
        <v/>
      </c>
      <c r="F124" s="145">
        <f>IF('TINH_LUONG'!$B124="","",'TINH_LUONG'!G124)</f>
        <v/>
      </c>
      <c r="G124" s="224">
        <f>IF('TINH_LUONG'!$B124="","",'TINH_LUONG'!O124+'TINH_LUONG'!BO124)</f>
        <v/>
      </c>
      <c r="H124" s="224">
        <f>IF('TINH_LUONG'!$B124="","",SUM('TINH_LUONG'!P124:R124))</f>
        <v/>
      </c>
      <c r="I124" s="224">
        <f>IF('TINH_LUONG'!$B124="","",'TINH_LUONG'!BP124+'TINH_LUONG'!BQ124)</f>
        <v/>
      </c>
      <c r="J124" s="224">
        <f>IF('TINH_LUONG'!$B124="","",'TINH_LUONG'!Z124)</f>
        <v/>
      </c>
      <c r="K124" s="224">
        <f>IF('TINH_LUONG'!$B124="","",'TINH_LUONG'!S124+'TINH_LUONG'!T124)</f>
        <v/>
      </c>
      <c r="L124" s="224">
        <f>IF('TINH_LUONG'!$B124="","",'TINH_LUONG'!W124+'TINH_LUONG'!X124)</f>
        <v/>
      </c>
      <c r="M124" s="224">
        <f>IF('TINH_LUONG'!$B124="","",'TINH_LUONG'!BR124+'TINH_LUONG'!BS124)</f>
        <v/>
      </c>
      <c r="N124" s="224">
        <f>IF('TINH_LUONG'!$B124="","",'TINH_LUONG'!AO124)</f>
        <v/>
      </c>
      <c r="O124" s="224">
        <f>IF('TINH_LUONG'!$B124="","",'TINH_LUONG'!AP124)</f>
        <v/>
      </c>
      <c r="P124" s="224">
        <f>IF('TINH_LUONG'!$B124="","",'TINH_LUONG'!AS124)</f>
        <v/>
      </c>
      <c r="Q124" s="224">
        <f>IF('TINH_LUONG'!$B124="","",'TINH_LUONG'!AJ124)</f>
        <v/>
      </c>
      <c r="R124" s="224">
        <f>IF('TINH_LUONG'!$B124="","",'TINH_LUONG'!AQ124)</f>
        <v/>
      </c>
      <c r="S124" s="224">
        <f>IF('TINH_LUONG'!$B124="","",'TINH_LUONG'!AR124)</f>
        <v/>
      </c>
      <c r="T124" s="224">
        <f>IF('TINH_LUONG'!$B124="","",'TINH_LUONG'!AU124+'TINH_LUONG'!AV124+'TINH_LUONG'!AW124+'TINH_LUONG'!BV124)</f>
        <v/>
      </c>
      <c r="U124" s="224">
        <f>IF('TINH_LUONG'!$B124="","",'TINH_LUONG'!AX124)</f>
        <v/>
      </c>
      <c r="V124" s="224">
        <f>IF('TINH_LUONG'!$B124="","",'TINH_LUONG'!BT124)</f>
        <v/>
      </c>
      <c r="W124" s="224">
        <f>IF('TINH_LUONG'!$B124="","",'TINH_LUONG'!BU124)</f>
        <v/>
      </c>
      <c r="X124" s="235">
        <f>IF('TINH_LUONG'!$B124="","",'TINH_LUONG'!BW124)</f>
        <v/>
      </c>
      <c r="Y124" s="224">
        <f>IF('TINH_LUONG'!$B124="","",'TINH_LUONG'!BC124)</f>
        <v/>
      </c>
      <c r="Z124" s="224">
        <f>IF('TINH_LUONG'!$B124="","",'TINH_LUONG'!BD124)</f>
        <v/>
      </c>
      <c r="AA124" s="150">
        <f>IF('TINH_LUONG'!$B124="","",'TINH_LUONG'!BG124)</f>
        <v/>
      </c>
    </row>
    <row r="125">
      <c r="A125" s="145">
        <f>IF('TINH_LUONG'!$B125="","",'TINH_LUONG'!A125)</f>
        <v/>
      </c>
      <c r="B125" s="145">
        <f>IF('TINH_LUONG'!$B125="","",'TINH_LUONG'!B125)</f>
        <v/>
      </c>
      <c r="C125" s="145">
        <f>IF('TINH_LUONG'!$B125="","",'TINH_LUONG'!C125)</f>
        <v/>
      </c>
      <c r="D125" s="145">
        <f>IF('TINH_LUONG'!$B125="","",'TINH_LUONG'!D125)</f>
        <v/>
      </c>
      <c r="E125" s="145">
        <f>IF('TINH_LUONG'!$B125="","",'TINH_LUONG'!F125)</f>
        <v/>
      </c>
      <c r="F125" s="145">
        <f>IF('TINH_LUONG'!$B125="","",'TINH_LUONG'!G125)</f>
        <v/>
      </c>
      <c r="G125" s="224">
        <f>IF('TINH_LUONG'!$B125="","",'TINH_LUONG'!O125+'TINH_LUONG'!BO125)</f>
        <v/>
      </c>
      <c r="H125" s="224">
        <f>IF('TINH_LUONG'!$B125="","",SUM('TINH_LUONG'!P125:R125))</f>
        <v/>
      </c>
      <c r="I125" s="224">
        <f>IF('TINH_LUONG'!$B125="","",'TINH_LUONG'!BP125+'TINH_LUONG'!BQ125)</f>
        <v/>
      </c>
      <c r="J125" s="224">
        <f>IF('TINH_LUONG'!$B125="","",'TINH_LUONG'!Z125)</f>
        <v/>
      </c>
      <c r="K125" s="224">
        <f>IF('TINH_LUONG'!$B125="","",'TINH_LUONG'!S125+'TINH_LUONG'!T125)</f>
        <v/>
      </c>
      <c r="L125" s="224">
        <f>IF('TINH_LUONG'!$B125="","",'TINH_LUONG'!W125+'TINH_LUONG'!X125)</f>
        <v/>
      </c>
      <c r="M125" s="224">
        <f>IF('TINH_LUONG'!$B125="","",'TINH_LUONG'!BR125+'TINH_LUONG'!BS125)</f>
        <v/>
      </c>
      <c r="N125" s="224">
        <f>IF('TINH_LUONG'!$B125="","",'TINH_LUONG'!AO125)</f>
        <v/>
      </c>
      <c r="O125" s="224">
        <f>IF('TINH_LUONG'!$B125="","",'TINH_LUONG'!AP125)</f>
        <v/>
      </c>
      <c r="P125" s="224">
        <f>IF('TINH_LUONG'!$B125="","",'TINH_LUONG'!AS125)</f>
        <v/>
      </c>
      <c r="Q125" s="224">
        <f>IF('TINH_LUONG'!$B125="","",'TINH_LUONG'!AJ125)</f>
        <v/>
      </c>
      <c r="R125" s="224">
        <f>IF('TINH_LUONG'!$B125="","",'TINH_LUONG'!AQ125)</f>
        <v/>
      </c>
      <c r="S125" s="224">
        <f>IF('TINH_LUONG'!$B125="","",'TINH_LUONG'!AR125)</f>
        <v/>
      </c>
      <c r="T125" s="224">
        <f>IF('TINH_LUONG'!$B125="","",'TINH_LUONG'!AU125+'TINH_LUONG'!AV125+'TINH_LUONG'!AW125+'TINH_LUONG'!BV125)</f>
        <v/>
      </c>
      <c r="U125" s="224">
        <f>IF('TINH_LUONG'!$B125="","",'TINH_LUONG'!AX125)</f>
        <v/>
      </c>
      <c r="V125" s="224">
        <f>IF('TINH_LUONG'!$B125="","",'TINH_LUONG'!BT125)</f>
        <v/>
      </c>
      <c r="W125" s="224">
        <f>IF('TINH_LUONG'!$B125="","",'TINH_LUONG'!BU125)</f>
        <v/>
      </c>
      <c r="X125" s="235">
        <f>IF('TINH_LUONG'!$B125="","",'TINH_LUONG'!BW125)</f>
        <v/>
      </c>
      <c r="Y125" s="224">
        <f>IF('TINH_LUONG'!$B125="","",'TINH_LUONG'!BC125)</f>
        <v/>
      </c>
      <c r="Z125" s="224">
        <f>IF('TINH_LUONG'!$B125="","",'TINH_LUONG'!BD125)</f>
        <v/>
      </c>
      <c r="AA125" s="150">
        <f>IF('TINH_LUONG'!$B125="","",'TINH_LUONG'!BG125)</f>
        <v/>
      </c>
    </row>
    <row r="126">
      <c r="A126" s="145">
        <f>IF('TINH_LUONG'!$B126="","",'TINH_LUONG'!A126)</f>
        <v/>
      </c>
      <c r="B126" s="145">
        <f>IF('TINH_LUONG'!$B126="","",'TINH_LUONG'!B126)</f>
        <v/>
      </c>
      <c r="C126" s="145">
        <f>IF('TINH_LUONG'!$B126="","",'TINH_LUONG'!C126)</f>
        <v/>
      </c>
      <c r="D126" s="145">
        <f>IF('TINH_LUONG'!$B126="","",'TINH_LUONG'!D126)</f>
        <v/>
      </c>
      <c r="E126" s="145">
        <f>IF('TINH_LUONG'!$B126="","",'TINH_LUONG'!F126)</f>
        <v/>
      </c>
      <c r="F126" s="145">
        <f>IF('TINH_LUONG'!$B126="","",'TINH_LUONG'!G126)</f>
        <v/>
      </c>
      <c r="G126" s="224">
        <f>IF('TINH_LUONG'!$B126="","",'TINH_LUONG'!O126+'TINH_LUONG'!BO126)</f>
        <v/>
      </c>
      <c r="H126" s="224">
        <f>IF('TINH_LUONG'!$B126="","",SUM('TINH_LUONG'!P126:R126))</f>
        <v/>
      </c>
      <c r="I126" s="224">
        <f>IF('TINH_LUONG'!$B126="","",'TINH_LUONG'!BP126+'TINH_LUONG'!BQ126)</f>
        <v/>
      </c>
      <c r="J126" s="224">
        <f>IF('TINH_LUONG'!$B126="","",'TINH_LUONG'!Z126)</f>
        <v/>
      </c>
      <c r="K126" s="224">
        <f>IF('TINH_LUONG'!$B126="","",'TINH_LUONG'!S126+'TINH_LUONG'!T126)</f>
        <v/>
      </c>
      <c r="L126" s="224">
        <f>IF('TINH_LUONG'!$B126="","",'TINH_LUONG'!W126+'TINH_LUONG'!X126)</f>
        <v/>
      </c>
      <c r="M126" s="224">
        <f>IF('TINH_LUONG'!$B126="","",'TINH_LUONG'!BR126+'TINH_LUONG'!BS126)</f>
        <v/>
      </c>
      <c r="N126" s="224">
        <f>IF('TINH_LUONG'!$B126="","",'TINH_LUONG'!AO126)</f>
        <v/>
      </c>
      <c r="O126" s="224">
        <f>IF('TINH_LUONG'!$B126="","",'TINH_LUONG'!AP126)</f>
        <v/>
      </c>
      <c r="P126" s="224">
        <f>IF('TINH_LUONG'!$B126="","",'TINH_LUONG'!AS126)</f>
        <v/>
      </c>
      <c r="Q126" s="224">
        <f>IF('TINH_LUONG'!$B126="","",'TINH_LUONG'!AJ126)</f>
        <v/>
      </c>
      <c r="R126" s="224">
        <f>IF('TINH_LUONG'!$B126="","",'TINH_LUONG'!AQ126)</f>
        <v/>
      </c>
      <c r="S126" s="224">
        <f>IF('TINH_LUONG'!$B126="","",'TINH_LUONG'!AR126)</f>
        <v/>
      </c>
      <c r="T126" s="224">
        <f>IF('TINH_LUONG'!$B126="","",'TINH_LUONG'!AU126+'TINH_LUONG'!AV126+'TINH_LUONG'!AW126+'TINH_LUONG'!BV126)</f>
        <v/>
      </c>
      <c r="U126" s="224">
        <f>IF('TINH_LUONG'!$B126="","",'TINH_LUONG'!AX126)</f>
        <v/>
      </c>
      <c r="V126" s="224">
        <f>IF('TINH_LUONG'!$B126="","",'TINH_LUONG'!BT126)</f>
        <v/>
      </c>
      <c r="W126" s="224">
        <f>IF('TINH_LUONG'!$B126="","",'TINH_LUONG'!BU126)</f>
        <v/>
      </c>
      <c r="X126" s="235">
        <f>IF('TINH_LUONG'!$B126="","",'TINH_LUONG'!BW126)</f>
        <v/>
      </c>
      <c r="Y126" s="224">
        <f>IF('TINH_LUONG'!$B126="","",'TINH_LUONG'!BC126)</f>
        <v/>
      </c>
      <c r="Z126" s="224">
        <f>IF('TINH_LUONG'!$B126="","",'TINH_LUONG'!BD126)</f>
        <v/>
      </c>
      <c r="AA126" s="150">
        <f>IF('TINH_LUONG'!$B126="","",'TINH_LUONG'!BG126)</f>
        <v/>
      </c>
    </row>
    <row r="127">
      <c r="A127" s="145">
        <f>IF('TINH_LUONG'!$B127="","",'TINH_LUONG'!A127)</f>
        <v/>
      </c>
      <c r="B127" s="145">
        <f>IF('TINH_LUONG'!$B127="","",'TINH_LUONG'!B127)</f>
        <v/>
      </c>
      <c r="C127" s="145">
        <f>IF('TINH_LUONG'!$B127="","",'TINH_LUONG'!C127)</f>
        <v/>
      </c>
      <c r="D127" s="145">
        <f>IF('TINH_LUONG'!$B127="","",'TINH_LUONG'!D127)</f>
        <v/>
      </c>
      <c r="E127" s="145">
        <f>IF('TINH_LUONG'!$B127="","",'TINH_LUONG'!F127)</f>
        <v/>
      </c>
      <c r="F127" s="145">
        <f>IF('TINH_LUONG'!$B127="","",'TINH_LUONG'!G127)</f>
        <v/>
      </c>
      <c r="G127" s="224">
        <f>IF('TINH_LUONG'!$B127="","",'TINH_LUONG'!O127+'TINH_LUONG'!BO127)</f>
        <v/>
      </c>
      <c r="H127" s="224">
        <f>IF('TINH_LUONG'!$B127="","",SUM('TINH_LUONG'!P127:R127))</f>
        <v/>
      </c>
      <c r="I127" s="224">
        <f>IF('TINH_LUONG'!$B127="","",'TINH_LUONG'!BP127+'TINH_LUONG'!BQ127)</f>
        <v/>
      </c>
      <c r="J127" s="224">
        <f>IF('TINH_LUONG'!$B127="","",'TINH_LUONG'!Z127)</f>
        <v/>
      </c>
      <c r="K127" s="224">
        <f>IF('TINH_LUONG'!$B127="","",'TINH_LUONG'!S127+'TINH_LUONG'!T127)</f>
        <v/>
      </c>
      <c r="L127" s="224">
        <f>IF('TINH_LUONG'!$B127="","",'TINH_LUONG'!W127+'TINH_LUONG'!X127)</f>
        <v/>
      </c>
      <c r="M127" s="224">
        <f>IF('TINH_LUONG'!$B127="","",'TINH_LUONG'!BR127+'TINH_LUONG'!BS127)</f>
        <v/>
      </c>
      <c r="N127" s="224">
        <f>IF('TINH_LUONG'!$B127="","",'TINH_LUONG'!AO127)</f>
        <v/>
      </c>
      <c r="O127" s="224">
        <f>IF('TINH_LUONG'!$B127="","",'TINH_LUONG'!AP127)</f>
        <v/>
      </c>
      <c r="P127" s="224">
        <f>IF('TINH_LUONG'!$B127="","",'TINH_LUONG'!AS127)</f>
        <v/>
      </c>
      <c r="Q127" s="224">
        <f>IF('TINH_LUONG'!$B127="","",'TINH_LUONG'!AJ127)</f>
        <v/>
      </c>
      <c r="R127" s="224">
        <f>IF('TINH_LUONG'!$B127="","",'TINH_LUONG'!AQ127)</f>
        <v/>
      </c>
      <c r="S127" s="224">
        <f>IF('TINH_LUONG'!$B127="","",'TINH_LUONG'!AR127)</f>
        <v/>
      </c>
      <c r="T127" s="224">
        <f>IF('TINH_LUONG'!$B127="","",'TINH_LUONG'!AU127+'TINH_LUONG'!AV127+'TINH_LUONG'!AW127+'TINH_LUONG'!BV127)</f>
        <v/>
      </c>
      <c r="U127" s="224">
        <f>IF('TINH_LUONG'!$B127="","",'TINH_LUONG'!AX127)</f>
        <v/>
      </c>
      <c r="V127" s="224">
        <f>IF('TINH_LUONG'!$B127="","",'TINH_LUONG'!BT127)</f>
        <v/>
      </c>
      <c r="W127" s="224">
        <f>IF('TINH_LUONG'!$B127="","",'TINH_LUONG'!BU127)</f>
        <v/>
      </c>
      <c r="X127" s="235">
        <f>IF('TINH_LUONG'!$B127="","",'TINH_LUONG'!BW127)</f>
        <v/>
      </c>
      <c r="Y127" s="224">
        <f>IF('TINH_LUONG'!$B127="","",'TINH_LUONG'!BC127)</f>
        <v/>
      </c>
      <c r="Z127" s="224">
        <f>IF('TINH_LUONG'!$B127="","",'TINH_LUONG'!BD127)</f>
        <v/>
      </c>
      <c r="AA127" s="150">
        <f>IF('TINH_LUONG'!$B127="","",'TINH_LUONG'!BG127)</f>
        <v/>
      </c>
    </row>
    <row r="128">
      <c r="A128" s="145">
        <f>IF('TINH_LUONG'!$B128="","",'TINH_LUONG'!A128)</f>
        <v/>
      </c>
      <c r="B128" s="145">
        <f>IF('TINH_LUONG'!$B128="","",'TINH_LUONG'!B128)</f>
        <v/>
      </c>
      <c r="C128" s="145">
        <f>IF('TINH_LUONG'!$B128="","",'TINH_LUONG'!C128)</f>
        <v/>
      </c>
      <c r="D128" s="145">
        <f>IF('TINH_LUONG'!$B128="","",'TINH_LUONG'!D128)</f>
        <v/>
      </c>
      <c r="E128" s="145">
        <f>IF('TINH_LUONG'!$B128="","",'TINH_LUONG'!F128)</f>
        <v/>
      </c>
      <c r="F128" s="145">
        <f>IF('TINH_LUONG'!$B128="","",'TINH_LUONG'!G128)</f>
        <v/>
      </c>
      <c r="G128" s="224">
        <f>IF('TINH_LUONG'!$B128="","",'TINH_LUONG'!O128+'TINH_LUONG'!BO128)</f>
        <v/>
      </c>
      <c r="H128" s="224">
        <f>IF('TINH_LUONG'!$B128="","",SUM('TINH_LUONG'!P128:R128))</f>
        <v/>
      </c>
      <c r="I128" s="224">
        <f>IF('TINH_LUONG'!$B128="","",'TINH_LUONG'!BP128+'TINH_LUONG'!BQ128)</f>
        <v/>
      </c>
      <c r="J128" s="224">
        <f>IF('TINH_LUONG'!$B128="","",'TINH_LUONG'!Z128)</f>
        <v/>
      </c>
      <c r="K128" s="224">
        <f>IF('TINH_LUONG'!$B128="","",'TINH_LUONG'!S128+'TINH_LUONG'!T128)</f>
        <v/>
      </c>
      <c r="L128" s="224">
        <f>IF('TINH_LUONG'!$B128="","",'TINH_LUONG'!W128+'TINH_LUONG'!X128)</f>
        <v/>
      </c>
      <c r="M128" s="224">
        <f>IF('TINH_LUONG'!$B128="","",'TINH_LUONG'!BR128+'TINH_LUONG'!BS128)</f>
        <v/>
      </c>
      <c r="N128" s="224">
        <f>IF('TINH_LUONG'!$B128="","",'TINH_LUONG'!AO128)</f>
        <v/>
      </c>
      <c r="O128" s="224">
        <f>IF('TINH_LUONG'!$B128="","",'TINH_LUONG'!AP128)</f>
        <v/>
      </c>
      <c r="P128" s="224">
        <f>IF('TINH_LUONG'!$B128="","",'TINH_LUONG'!AS128)</f>
        <v/>
      </c>
      <c r="Q128" s="224">
        <f>IF('TINH_LUONG'!$B128="","",'TINH_LUONG'!AJ128)</f>
        <v/>
      </c>
      <c r="R128" s="224">
        <f>IF('TINH_LUONG'!$B128="","",'TINH_LUONG'!AQ128)</f>
        <v/>
      </c>
      <c r="S128" s="224">
        <f>IF('TINH_LUONG'!$B128="","",'TINH_LUONG'!AR128)</f>
        <v/>
      </c>
      <c r="T128" s="224">
        <f>IF('TINH_LUONG'!$B128="","",'TINH_LUONG'!AU128+'TINH_LUONG'!AV128+'TINH_LUONG'!AW128+'TINH_LUONG'!BV128)</f>
        <v/>
      </c>
      <c r="U128" s="224">
        <f>IF('TINH_LUONG'!$B128="","",'TINH_LUONG'!AX128)</f>
        <v/>
      </c>
      <c r="V128" s="224">
        <f>IF('TINH_LUONG'!$B128="","",'TINH_LUONG'!BT128)</f>
        <v/>
      </c>
      <c r="W128" s="224">
        <f>IF('TINH_LUONG'!$B128="","",'TINH_LUONG'!BU128)</f>
        <v/>
      </c>
      <c r="X128" s="235">
        <f>IF('TINH_LUONG'!$B128="","",'TINH_LUONG'!BW128)</f>
        <v/>
      </c>
      <c r="Y128" s="224">
        <f>IF('TINH_LUONG'!$B128="","",'TINH_LUONG'!BC128)</f>
        <v/>
      </c>
      <c r="Z128" s="224">
        <f>IF('TINH_LUONG'!$B128="","",'TINH_LUONG'!BD128)</f>
        <v/>
      </c>
      <c r="AA128" s="150">
        <f>IF('TINH_LUONG'!$B128="","",'TINH_LUONG'!BG128)</f>
        <v/>
      </c>
    </row>
    <row r="129">
      <c r="A129" s="145">
        <f>IF('TINH_LUONG'!$B129="","",'TINH_LUONG'!A129)</f>
        <v/>
      </c>
      <c r="B129" s="145">
        <f>IF('TINH_LUONG'!$B129="","",'TINH_LUONG'!B129)</f>
        <v/>
      </c>
      <c r="C129" s="145">
        <f>IF('TINH_LUONG'!$B129="","",'TINH_LUONG'!C129)</f>
        <v/>
      </c>
      <c r="D129" s="145">
        <f>IF('TINH_LUONG'!$B129="","",'TINH_LUONG'!D129)</f>
        <v/>
      </c>
      <c r="E129" s="145">
        <f>IF('TINH_LUONG'!$B129="","",'TINH_LUONG'!F129)</f>
        <v/>
      </c>
      <c r="F129" s="145">
        <f>IF('TINH_LUONG'!$B129="","",'TINH_LUONG'!G129)</f>
        <v/>
      </c>
      <c r="G129" s="224">
        <f>IF('TINH_LUONG'!$B129="","",'TINH_LUONG'!O129+'TINH_LUONG'!BO129)</f>
        <v/>
      </c>
      <c r="H129" s="224">
        <f>IF('TINH_LUONG'!$B129="","",SUM('TINH_LUONG'!P129:R129))</f>
        <v/>
      </c>
      <c r="I129" s="224">
        <f>IF('TINH_LUONG'!$B129="","",'TINH_LUONG'!BP129+'TINH_LUONG'!BQ129)</f>
        <v/>
      </c>
      <c r="J129" s="224">
        <f>IF('TINH_LUONG'!$B129="","",'TINH_LUONG'!Z129)</f>
        <v/>
      </c>
      <c r="K129" s="224">
        <f>IF('TINH_LUONG'!$B129="","",'TINH_LUONG'!S129+'TINH_LUONG'!T129)</f>
        <v/>
      </c>
      <c r="L129" s="224">
        <f>IF('TINH_LUONG'!$B129="","",'TINH_LUONG'!W129+'TINH_LUONG'!X129)</f>
        <v/>
      </c>
      <c r="M129" s="224">
        <f>IF('TINH_LUONG'!$B129="","",'TINH_LUONG'!BR129+'TINH_LUONG'!BS129)</f>
        <v/>
      </c>
      <c r="N129" s="224">
        <f>IF('TINH_LUONG'!$B129="","",'TINH_LUONG'!AO129)</f>
        <v/>
      </c>
      <c r="O129" s="224">
        <f>IF('TINH_LUONG'!$B129="","",'TINH_LUONG'!AP129)</f>
        <v/>
      </c>
      <c r="P129" s="224">
        <f>IF('TINH_LUONG'!$B129="","",'TINH_LUONG'!AS129)</f>
        <v/>
      </c>
      <c r="Q129" s="224">
        <f>IF('TINH_LUONG'!$B129="","",'TINH_LUONG'!AJ129)</f>
        <v/>
      </c>
      <c r="R129" s="224">
        <f>IF('TINH_LUONG'!$B129="","",'TINH_LUONG'!AQ129)</f>
        <v/>
      </c>
      <c r="S129" s="224">
        <f>IF('TINH_LUONG'!$B129="","",'TINH_LUONG'!AR129)</f>
        <v/>
      </c>
      <c r="T129" s="224">
        <f>IF('TINH_LUONG'!$B129="","",'TINH_LUONG'!AU129+'TINH_LUONG'!AV129+'TINH_LUONG'!AW129+'TINH_LUONG'!BV129)</f>
        <v/>
      </c>
      <c r="U129" s="224">
        <f>IF('TINH_LUONG'!$B129="","",'TINH_LUONG'!AX129)</f>
        <v/>
      </c>
      <c r="V129" s="224">
        <f>IF('TINH_LUONG'!$B129="","",'TINH_LUONG'!BT129)</f>
        <v/>
      </c>
      <c r="W129" s="224">
        <f>IF('TINH_LUONG'!$B129="","",'TINH_LUONG'!BU129)</f>
        <v/>
      </c>
      <c r="X129" s="235">
        <f>IF('TINH_LUONG'!$B129="","",'TINH_LUONG'!BW129)</f>
        <v/>
      </c>
      <c r="Y129" s="224">
        <f>IF('TINH_LUONG'!$B129="","",'TINH_LUONG'!BC129)</f>
        <v/>
      </c>
      <c r="Z129" s="224">
        <f>IF('TINH_LUONG'!$B129="","",'TINH_LUONG'!BD129)</f>
        <v/>
      </c>
      <c r="AA129" s="150">
        <f>IF('TINH_LUONG'!$B129="","",'TINH_LUONG'!BG129)</f>
        <v/>
      </c>
    </row>
    <row r="130">
      <c r="A130" s="145">
        <f>IF('TINH_LUONG'!$B130="","",'TINH_LUONG'!A130)</f>
        <v/>
      </c>
      <c r="B130" s="145">
        <f>IF('TINH_LUONG'!$B130="","",'TINH_LUONG'!B130)</f>
        <v/>
      </c>
      <c r="C130" s="145">
        <f>IF('TINH_LUONG'!$B130="","",'TINH_LUONG'!C130)</f>
        <v/>
      </c>
      <c r="D130" s="145">
        <f>IF('TINH_LUONG'!$B130="","",'TINH_LUONG'!D130)</f>
        <v/>
      </c>
      <c r="E130" s="145">
        <f>IF('TINH_LUONG'!$B130="","",'TINH_LUONG'!F130)</f>
        <v/>
      </c>
      <c r="F130" s="145">
        <f>IF('TINH_LUONG'!$B130="","",'TINH_LUONG'!G130)</f>
        <v/>
      </c>
      <c r="G130" s="224">
        <f>IF('TINH_LUONG'!$B130="","",'TINH_LUONG'!O130+'TINH_LUONG'!BO130)</f>
        <v/>
      </c>
      <c r="H130" s="224">
        <f>IF('TINH_LUONG'!$B130="","",SUM('TINH_LUONG'!P130:R130))</f>
        <v/>
      </c>
      <c r="I130" s="224">
        <f>IF('TINH_LUONG'!$B130="","",'TINH_LUONG'!BP130+'TINH_LUONG'!BQ130)</f>
        <v/>
      </c>
      <c r="J130" s="224">
        <f>IF('TINH_LUONG'!$B130="","",'TINH_LUONG'!Z130)</f>
        <v/>
      </c>
      <c r="K130" s="224">
        <f>IF('TINH_LUONG'!$B130="","",'TINH_LUONG'!S130+'TINH_LUONG'!T130)</f>
        <v/>
      </c>
      <c r="L130" s="224">
        <f>IF('TINH_LUONG'!$B130="","",'TINH_LUONG'!W130+'TINH_LUONG'!X130)</f>
        <v/>
      </c>
      <c r="M130" s="224">
        <f>IF('TINH_LUONG'!$B130="","",'TINH_LUONG'!BR130+'TINH_LUONG'!BS130)</f>
        <v/>
      </c>
      <c r="N130" s="224">
        <f>IF('TINH_LUONG'!$B130="","",'TINH_LUONG'!AO130)</f>
        <v/>
      </c>
      <c r="O130" s="224">
        <f>IF('TINH_LUONG'!$B130="","",'TINH_LUONG'!AP130)</f>
        <v/>
      </c>
      <c r="P130" s="224">
        <f>IF('TINH_LUONG'!$B130="","",'TINH_LUONG'!AS130)</f>
        <v/>
      </c>
      <c r="Q130" s="224">
        <f>IF('TINH_LUONG'!$B130="","",'TINH_LUONG'!AJ130)</f>
        <v/>
      </c>
      <c r="R130" s="224">
        <f>IF('TINH_LUONG'!$B130="","",'TINH_LUONG'!AQ130)</f>
        <v/>
      </c>
      <c r="S130" s="224">
        <f>IF('TINH_LUONG'!$B130="","",'TINH_LUONG'!AR130)</f>
        <v/>
      </c>
      <c r="T130" s="224">
        <f>IF('TINH_LUONG'!$B130="","",'TINH_LUONG'!AU130+'TINH_LUONG'!AV130+'TINH_LUONG'!AW130+'TINH_LUONG'!BV130)</f>
        <v/>
      </c>
      <c r="U130" s="224">
        <f>IF('TINH_LUONG'!$B130="","",'TINH_LUONG'!AX130)</f>
        <v/>
      </c>
      <c r="V130" s="224">
        <f>IF('TINH_LUONG'!$B130="","",'TINH_LUONG'!BT130)</f>
        <v/>
      </c>
      <c r="W130" s="224">
        <f>IF('TINH_LUONG'!$B130="","",'TINH_LUONG'!BU130)</f>
        <v/>
      </c>
      <c r="X130" s="235">
        <f>IF('TINH_LUONG'!$B130="","",'TINH_LUONG'!BW130)</f>
        <v/>
      </c>
      <c r="Y130" s="224">
        <f>IF('TINH_LUONG'!$B130="","",'TINH_LUONG'!BC130)</f>
        <v/>
      </c>
      <c r="Z130" s="224">
        <f>IF('TINH_LUONG'!$B130="","",'TINH_LUONG'!BD130)</f>
        <v/>
      </c>
      <c r="AA130" s="150">
        <f>IF('TINH_LUONG'!$B130="","",'TINH_LUONG'!BG130)</f>
        <v/>
      </c>
    </row>
    <row r="131">
      <c r="A131" s="145">
        <f>IF('TINH_LUONG'!$B131="","",'TINH_LUONG'!A131)</f>
        <v/>
      </c>
      <c r="B131" s="145">
        <f>IF('TINH_LUONG'!$B131="","",'TINH_LUONG'!B131)</f>
        <v/>
      </c>
      <c r="C131" s="145">
        <f>IF('TINH_LUONG'!$B131="","",'TINH_LUONG'!C131)</f>
        <v/>
      </c>
      <c r="D131" s="145">
        <f>IF('TINH_LUONG'!$B131="","",'TINH_LUONG'!D131)</f>
        <v/>
      </c>
      <c r="E131" s="145">
        <f>IF('TINH_LUONG'!$B131="","",'TINH_LUONG'!F131)</f>
        <v/>
      </c>
      <c r="F131" s="145">
        <f>IF('TINH_LUONG'!$B131="","",'TINH_LUONG'!G131)</f>
        <v/>
      </c>
      <c r="G131" s="224">
        <f>IF('TINH_LUONG'!$B131="","",'TINH_LUONG'!O131+'TINH_LUONG'!BO131)</f>
        <v/>
      </c>
      <c r="H131" s="224">
        <f>IF('TINH_LUONG'!$B131="","",SUM('TINH_LUONG'!P131:R131))</f>
        <v/>
      </c>
      <c r="I131" s="224">
        <f>IF('TINH_LUONG'!$B131="","",'TINH_LUONG'!BP131+'TINH_LUONG'!BQ131)</f>
        <v/>
      </c>
      <c r="J131" s="224">
        <f>IF('TINH_LUONG'!$B131="","",'TINH_LUONG'!Z131)</f>
        <v/>
      </c>
      <c r="K131" s="224">
        <f>IF('TINH_LUONG'!$B131="","",'TINH_LUONG'!S131+'TINH_LUONG'!T131)</f>
        <v/>
      </c>
      <c r="L131" s="224">
        <f>IF('TINH_LUONG'!$B131="","",'TINH_LUONG'!W131+'TINH_LUONG'!X131)</f>
        <v/>
      </c>
      <c r="M131" s="224">
        <f>IF('TINH_LUONG'!$B131="","",'TINH_LUONG'!BR131+'TINH_LUONG'!BS131)</f>
        <v/>
      </c>
      <c r="N131" s="224">
        <f>IF('TINH_LUONG'!$B131="","",'TINH_LUONG'!AO131)</f>
        <v/>
      </c>
      <c r="O131" s="224">
        <f>IF('TINH_LUONG'!$B131="","",'TINH_LUONG'!AP131)</f>
        <v/>
      </c>
      <c r="P131" s="224">
        <f>IF('TINH_LUONG'!$B131="","",'TINH_LUONG'!AS131)</f>
        <v/>
      </c>
      <c r="Q131" s="224">
        <f>IF('TINH_LUONG'!$B131="","",'TINH_LUONG'!AJ131)</f>
        <v/>
      </c>
      <c r="R131" s="224">
        <f>IF('TINH_LUONG'!$B131="","",'TINH_LUONG'!AQ131)</f>
        <v/>
      </c>
      <c r="S131" s="224">
        <f>IF('TINH_LUONG'!$B131="","",'TINH_LUONG'!AR131)</f>
        <v/>
      </c>
      <c r="T131" s="224">
        <f>IF('TINH_LUONG'!$B131="","",'TINH_LUONG'!AU131+'TINH_LUONG'!AV131+'TINH_LUONG'!AW131+'TINH_LUONG'!BV131)</f>
        <v/>
      </c>
      <c r="U131" s="224">
        <f>IF('TINH_LUONG'!$B131="","",'TINH_LUONG'!AX131)</f>
        <v/>
      </c>
      <c r="V131" s="224">
        <f>IF('TINH_LUONG'!$B131="","",'TINH_LUONG'!BT131)</f>
        <v/>
      </c>
      <c r="W131" s="224">
        <f>IF('TINH_LUONG'!$B131="","",'TINH_LUONG'!BU131)</f>
        <v/>
      </c>
      <c r="X131" s="235">
        <f>IF('TINH_LUONG'!$B131="","",'TINH_LUONG'!BW131)</f>
        <v/>
      </c>
      <c r="Y131" s="224">
        <f>IF('TINH_LUONG'!$B131="","",'TINH_LUONG'!BC131)</f>
        <v/>
      </c>
      <c r="Z131" s="224">
        <f>IF('TINH_LUONG'!$B131="","",'TINH_LUONG'!BD131)</f>
        <v/>
      </c>
      <c r="AA131" s="150">
        <f>IF('TINH_LUONG'!$B131="","",'TINH_LUONG'!BG131)</f>
        <v/>
      </c>
    </row>
    <row r="132">
      <c r="A132" s="145">
        <f>IF('TINH_LUONG'!$B132="","",'TINH_LUONG'!A132)</f>
        <v/>
      </c>
      <c r="B132" s="145">
        <f>IF('TINH_LUONG'!$B132="","",'TINH_LUONG'!B132)</f>
        <v/>
      </c>
      <c r="C132" s="145">
        <f>IF('TINH_LUONG'!$B132="","",'TINH_LUONG'!C132)</f>
        <v/>
      </c>
      <c r="D132" s="145">
        <f>IF('TINH_LUONG'!$B132="","",'TINH_LUONG'!D132)</f>
        <v/>
      </c>
      <c r="E132" s="145">
        <f>IF('TINH_LUONG'!$B132="","",'TINH_LUONG'!F132)</f>
        <v/>
      </c>
      <c r="F132" s="145">
        <f>IF('TINH_LUONG'!$B132="","",'TINH_LUONG'!G132)</f>
        <v/>
      </c>
      <c r="G132" s="224">
        <f>IF('TINH_LUONG'!$B132="","",'TINH_LUONG'!O132+'TINH_LUONG'!BO132)</f>
        <v/>
      </c>
      <c r="H132" s="224">
        <f>IF('TINH_LUONG'!$B132="","",SUM('TINH_LUONG'!P132:R132))</f>
        <v/>
      </c>
      <c r="I132" s="224">
        <f>IF('TINH_LUONG'!$B132="","",'TINH_LUONG'!BP132+'TINH_LUONG'!BQ132)</f>
        <v/>
      </c>
      <c r="J132" s="224">
        <f>IF('TINH_LUONG'!$B132="","",'TINH_LUONG'!Z132)</f>
        <v/>
      </c>
      <c r="K132" s="224">
        <f>IF('TINH_LUONG'!$B132="","",'TINH_LUONG'!S132+'TINH_LUONG'!T132)</f>
        <v/>
      </c>
      <c r="L132" s="224">
        <f>IF('TINH_LUONG'!$B132="","",'TINH_LUONG'!W132+'TINH_LUONG'!X132)</f>
        <v/>
      </c>
      <c r="M132" s="224">
        <f>IF('TINH_LUONG'!$B132="","",'TINH_LUONG'!BR132+'TINH_LUONG'!BS132)</f>
        <v/>
      </c>
      <c r="N132" s="224">
        <f>IF('TINH_LUONG'!$B132="","",'TINH_LUONG'!AO132)</f>
        <v/>
      </c>
      <c r="O132" s="224">
        <f>IF('TINH_LUONG'!$B132="","",'TINH_LUONG'!AP132)</f>
        <v/>
      </c>
      <c r="P132" s="224">
        <f>IF('TINH_LUONG'!$B132="","",'TINH_LUONG'!AS132)</f>
        <v/>
      </c>
      <c r="Q132" s="224">
        <f>IF('TINH_LUONG'!$B132="","",'TINH_LUONG'!AJ132)</f>
        <v/>
      </c>
      <c r="R132" s="224">
        <f>IF('TINH_LUONG'!$B132="","",'TINH_LUONG'!AQ132)</f>
        <v/>
      </c>
      <c r="S132" s="224">
        <f>IF('TINH_LUONG'!$B132="","",'TINH_LUONG'!AR132)</f>
        <v/>
      </c>
      <c r="T132" s="224">
        <f>IF('TINH_LUONG'!$B132="","",'TINH_LUONG'!AU132+'TINH_LUONG'!AV132+'TINH_LUONG'!AW132+'TINH_LUONG'!BV132)</f>
        <v/>
      </c>
      <c r="U132" s="224">
        <f>IF('TINH_LUONG'!$B132="","",'TINH_LUONG'!AX132)</f>
        <v/>
      </c>
      <c r="V132" s="224">
        <f>IF('TINH_LUONG'!$B132="","",'TINH_LUONG'!BT132)</f>
        <v/>
      </c>
      <c r="W132" s="224">
        <f>IF('TINH_LUONG'!$B132="","",'TINH_LUONG'!BU132)</f>
        <v/>
      </c>
      <c r="X132" s="235">
        <f>IF('TINH_LUONG'!$B132="","",'TINH_LUONG'!BW132)</f>
        <v/>
      </c>
      <c r="Y132" s="224">
        <f>IF('TINH_LUONG'!$B132="","",'TINH_LUONG'!BC132)</f>
        <v/>
      </c>
      <c r="Z132" s="224">
        <f>IF('TINH_LUONG'!$B132="","",'TINH_LUONG'!BD132)</f>
        <v/>
      </c>
      <c r="AA132" s="150">
        <f>IF('TINH_LUONG'!$B132="","",'TINH_LUONG'!BG132)</f>
        <v/>
      </c>
    </row>
    <row r="133">
      <c r="A133" s="145">
        <f>IF('TINH_LUONG'!$B133="","",'TINH_LUONG'!A133)</f>
        <v/>
      </c>
      <c r="B133" s="145">
        <f>IF('TINH_LUONG'!$B133="","",'TINH_LUONG'!B133)</f>
        <v/>
      </c>
      <c r="C133" s="145">
        <f>IF('TINH_LUONG'!$B133="","",'TINH_LUONG'!C133)</f>
        <v/>
      </c>
      <c r="D133" s="145">
        <f>IF('TINH_LUONG'!$B133="","",'TINH_LUONG'!D133)</f>
        <v/>
      </c>
      <c r="E133" s="145">
        <f>IF('TINH_LUONG'!$B133="","",'TINH_LUONG'!F133)</f>
        <v/>
      </c>
      <c r="F133" s="145">
        <f>IF('TINH_LUONG'!$B133="","",'TINH_LUONG'!G133)</f>
        <v/>
      </c>
      <c r="G133" s="224">
        <f>IF('TINH_LUONG'!$B133="","",'TINH_LUONG'!O133+'TINH_LUONG'!BO133)</f>
        <v/>
      </c>
      <c r="H133" s="224">
        <f>IF('TINH_LUONG'!$B133="","",SUM('TINH_LUONG'!P133:R133))</f>
        <v/>
      </c>
      <c r="I133" s="224">
        <f>IF('TINH_LUONG'!$B133="","",'TINH_LUONG'!BP133+'TINH_LUONG'!BQ133)</f>
        <v/>
      </c>
      <c r="J133" s="224">
        <f>IF('TINH_LUONG'!$B133="","",'TINH_LUONG'!Z133)</f>
        <v/>
      </c>
      <c r="K133" s="224">
        <f>IF('TINH_LUONG'!$B133="","",'TINH_LUONG'!S133+'TINH_LUONG'!T133)</f>
        <v/>
      </c>
      <c r="L133" s="224">
        <f>IF('TINH_LUONG'!$B133="","",'TINH_LUONG'!W133+'TINH_LUONG'!X133)</f>
        <v/>
      </c>
      <c r="M133" s="224">
        <f>IF('TINH_LUONG'!$B133="","",'TINH_LUONG'!BR133+'TINH_LUONG'!BS133)</f>
        <v/>
      </c>
      <c r="N133" s="224">
        <f>IF('TINH_LUONG'!$B133="","",'TINH_LUONG'!AO133)</f>
        <v/>
      </c>
      <c r="O133" s="224">
        <f>IF('TINH_LUONG'!$B133="","",'TINH_LUONG'!AP133)</f>
        <v/>
      </c>
      <c r="P133" s="224">
        <f>IF('TINH_LUONG'!$B133="","",'TINH_LUONG'!AS133)</f>
        <v/>
      </c>
      <c r="Q133" s="224">
        <f>IF('TINH_LUONG'!$B133="","",'TINH_LUONG'!AJ133)</f>
        <v/>
      </c>
      <c r="R133" s="224">
        <f>IF('TINH_LUONG'!$B133="","",'TINH_LUONG'!AQ133)</f>
        <v/>
      </c>
      <c r="S133" s="224">
        <f>IF('TINH_LUONG'!$B133="","",'TINH_LUONG'!AR133)</f>
        <v/>
      </c>
      <c r="T133" s="224">
        <f>IF('TINH_LUONG'!$B133="","",'TINH_LUONG'!AU133+'TINH_LUONG'!AV133+'TINH_LUONG'!AW133+'TINH_LUONG'!BV133)</f>
        <v/>
      </c>
      <c r="U133" s="224">
        <f>IF('TINH_LUONG'!$B133="","",'TINH_LUONG'!AX133)</f>
        <v/>
      </c>
      <c r="V133" s="224">
        <f>IF('TINH_LUONG'!$B133="","",'TINH_LUONG'!BT133)</f>
        <v/>
      </c>
      <c r="W133" s="224">
        <f>IF('TINH_LUONG'!$B133="","",'TINH_LUONG'!BU133)</f>
        <v/>
      </c>
      <c r="X133" s="235">
        <f>IF('TINH_LUONG'!$B133="","",'TINH_LUONG'!BW133)</f>
        <v/>
      </c>
      <c r="Y133" s="224">
        <f>IF('TINH_LUONG'!$B133="","",'TINH_LUONG'!BC133)</f>
        <v/>
      </c>
      <c r="Z133" s="224">
        <f>IF('TINH_LUONG'!$B133="","",'TINH_LUONG'!BD133)</f>
        <v/>
      </c>
      <c r="AA133" s="150">
        <f>IF('TINH_LUONG'!$B133="","",'TINH_LUONG'!BG133)</f>
        <v/>
      </c>
    </row>
    <row r="134">
      <c r="A134" s="145">
        <f>IF('TINH_LUONG'!$B134="","",'TINH_LUONG'!A134)</f>
        <v/>
      </c>
      <c r="B134" s="145">
        <f>IF('TINH_LUONG'!$B134="","",'TINH_LUONG'!B134)</f>
        <v/>
      </c>
      <c r="C134" s="145">
        <f>IF('TINH_LUONG'!$B134="","",'TINH_LUONG'!C134)</f>
        <v/>
      </c>
      <c r="D134" s="145">
        <f>IF('TINH_LUONG'!$B134="","",'TINH_LUONG'!D134)</f>
        <v/>
      </c>
      <c r="E134" s="145">
        <f>IF('TINH_LUONG'!$B134="","",'TINH_LUONG'!F134)</f>
        <v/>
      </c>
      <c r="F134" s="145">
        <f>IF('TINH_LUONG'!$B134="","",'TINH_LUONG'!G134)</f>
        <v/>
      </c>
      <c r="G134" s="224">
        <f>IF('TINH_LUONG'!$B134="","",'TINH_LUONG'!O134+'TINH_LUONG'!BO134)</f>
        <v/>
      </c>
      <c r="H134" s="224">
        <f>IF('TINH_LUONG'!$B134="","",SUM('TINH_LUONG'!P134:R134))</f>
        <v/>
      </c>
      <c r="I134" s="224">
        <f>IF('TINH_LUONG'!$B134="","",'TINH_LUONG'!BP134+'TINH_LUONG'!BQ134)</f>
        <v/>
      </c>
      <c r="J134" s="224">
        <f>IF('TINH_LUONG'!$B134="","",'TINH_LUONG'!Z134)</f>
        <v/>
      </c>
      <c r="K134" s="224">
        <f>IF('TINH_LUONG'!$B134="","",'TINH_LUONG'!S134+'TINH_LUONG'!T134)</f>
        <v/>
      </c>
      <c r="L134" s="224">
        <f>IF('TINH_LUONG'!$B134="","",'TINH_LUONG'!W134+'TINH_LUONG'!X134)</f>
        <v/>
      </c>
      <c r="M134" s="224">
        <f>IF('TINH_LUONG'!$B134="","",'TINH_LUONG'!BR134+'TINH_LUONG'!BS134)</f>
        <v/>
      </c>
      <c r="N134" s="224">
        <f>IF('TINH_LUONG'!$B134="","",'TINH_LUONG'!AO134)</f>
        <v/>
      </c>
      <c r="O134" s="224">
        <f>IF('TINH_LUONG'!$B134="","",'TINH_LUONG'!AP134)</f>
        <v/>
      </c>
      <c r="P134" s="224">
        <f>IF('TINH_LUONG'!$B134="","",'TINH_LUONG'!AS134)</f>
        <v/>
      </c>
      <c r="Q134" s="224">
        <f>IF('TINH_LUONG'!$B134="","",'TINH_LUONG'!AJ134)</f>
        <v/>
      </c>
      <c r="R134" s="224">
        <f>IF('TINH_LUONG'!$B134="","",'TINH_LUONG'!AQ134)</f>
        <v/>
      </c>
      <c r="S134" s="224">
        <f>IF('TINH_LUONG'!$B134="","",'TINH_LUONG'!AR134)</f>
        <v/>
      </c>
      <c r="T134" s="224">
        <f>IF('TINH_LUONG'!$B134="","",'TINH_LUONG'!AU134+'TINH_LUONG'!AV134+'TINH_LUONG'!AW134+'TINH_LUONG'!BV134)</f>
        <v/>
      </c>
      <c r="U134" s="224">
        <f>IF('TINH_LUONG'!$B134="","",'TINH_LUONG'!AX134)</f>
        <v/>
      </c>
      <c r="V134" s="224">
        <f>IF('TINH_LUONG'!$B134="","",'TINH_LUONG'!BT134)</f>
        <v/>
      </c>
      <c r="W134" s="224">
        <f>IF('TINH_LUONG'!$B134="","",'TINH_LUONG'!BU134)</f>
        <v/>
      </c>
      <c r="X134" s="235">
        <f>IF('TINH_LUONG'!$B134="","",'TINH_LUONG'!BW134)</f>
        <v/>
      </c>
      <c r="Y134" s="224">
        <f>IF('TINH_LUONG'!$B134="","",'TINH_LUONG'!BC134)</f>
        <v/>
      </c>
      <c r="Z134" s="224">
        <f>IF('TINH_LUONG'!$B134="","",'TINH_LUONG'!BD134)</f>
        <v/>
      </c>
      <c r="AA134" s="150">
        <f>IF('TINH_LUONG'!$B134="","",'TINH_LUONG'!BG134)</f>
        <v/>
      </c>
    </row>
    <row r="135">
      <c r="A135" s="145">
        <f>IF('TINH_LUONG'!$B135="","",'TINH_LUONG'!A135)</f>
        <v/>
      </c>
      <c r="B135" s="145">
        <f>IF('TINH_LUONG'!$B135="","",'TINH_LUONG'!B135)</f>
        <v/>
      </c>
      <c r="C135" s="145">
        <f>IF('TINH_LUONG'!$B135="","",'TINH_LUONG'!C135)</f>
        <v/>
      </c>
      <c r="D135" s="145">
        <f>IF('TINH_LUONG'!$B135="","",'TINH_LUONG'!D135)</f>
        <v/>
      </c>
      <c r="E135" s="145">
        <f>IF('TINH_LUONG'!$B135="","",'TINH_LUONG'!F135)</f>
        <v/>
      </c>
      <c r="F135" s="145">
        <f>IF('TINH_LUONG'!$B135="","",'TINH_LUONG'!G135)</f>
        <v/>
      </c>
      <c r="G135" s="224">
        <f>IF('TINH_LUONG'!$B135="","",'TINH_LUONG'!O135+'TINH_LUONG'!BO135)</f>
        <v/>
      </c>
      <c r="H135" s="224">
        <f>IF('TINH_LUONG'!$B135="","",SUM('TINH_LUONG'!P135:R135))</f>
        <v/>
      </c>
      <c r="I135" s="224">
        <f>IF('TINH_LUONG'!$B135="","",'TINH_LUONG'!BP135+'TINH_LUONG'!BQ135)</f>
        <v/>
      </c>
      <c r="J135" s="224">
        <f>IF('TINH_LUONG'!$B135="","",'TINH_LUONG'!Z135)</f>
        <v/>
      </c>
      <c r="K135" s="224">
        <f>IF('TINH_LUONG'!$B135="","",'TINH_LUONG'!S135+'TINH_LUONG'!T135)</f>
        <v/>
      </c>
      <c r="L135" s="224">
        <f>IF('TINH_LUONG'!$B135="","",'TINH_LUONG'!W135+'TINH_LUONG'!X135)</f>
        <v/>
      </c>
      <c r="M135" s="224">
        <f>IF('TINH_LUONG'!$B135="","",'TINH_LUONG'!BR135+'TINH_LUONG'!BS135)</f>
        <v/>
      </c>
      <c r="N135" s="224">
        <f>IF('TINH_LUONG'!$B135="","",'TINH_LUONG'!AO135)</f>
        <v/>
      </c>
      <c r="O135" s="224">
        <f>IF('TINH_LUONG'!$B135="","",'TINH_LUONG'!AP135)</f>
        <v/>
      </c>
      <c r="P135" s="224">
        <f>IF('TINH_LUONG'!$B135="","",'TINH_LUONG'!AS135)</f>
        <v/>
      </c>
      <c r="Q135" s="224">
        <f>IF('TINH_LUONG'!$B135="","",'TINH_LUONG'!AJ135)</f>
        <v/>
      </c>
      <c r="R135" s="224">
        <f>IF('TINH_LUONG'!$B135="","",'TINH_LUONG'!AQ135)</f>
        <v/>
      </c>
      <c r="S135" s="224">
        <f>IF('TINH_LUONG'!$B135="","",'TINH_LUONG'!AR135)</f>
        <v/>
      </c>
      <c r="T135" s="224">
        <f>IF('TINH_LUONG'!$B135="","",'TINH_LUONG'!AU135+'TINH_LUONG'!AV135+'TINH_LUONG'!AW135+'TINH_LUONG'!BV135)</f>
        <v/>
      </c>
      <c r="U135" s="224">
        <f>IF('TINH_LUONG'!$B135="","",'TINH_LUONG'!AX135)</f>
        <v/>
      </c>
      <c r="V135" s="224">
        <f>IF('TINH_LUONG'!$B135="","",'TINH_LUONG'!BT135)</f>
        <v/>
      </c>
      <c r="W135" s="224">
        <f>IF('TINH_LUONG'!$B135="","",'TINH_LUONG'!BU135)</f>
        <v/>
      </c>
      <c r="X135" s="235">
        <f>IF('TINH_LUONG'!$B135="","",'TINH_LUONG'!BW135)</f>
        <v/>
      </c>
      <c r="Y135" s="224">
        <f>IF('TINH_LUONG'!$B135="","",'TINH_LUONG'!BC135)</f>
        <v/>
      </c>
      <c r="Z135" s="224">
        <f>IF('TINH_LUONG'!$B135="","",'TINH_LUONG'!BD135)</f>
        <v/>
      </c>
      <c r="AA135" s="150">
        <f>IF('TINH_LUONG'!$B135="","",'TINH_LUONG'!BG135)</f>
        <v/>
      </c>
    </row>
    <row r="136">
      <c r="A136" s="145">
        <f>IF('TINH_LUONG'!$B136="","",'TINH_LUONG'!A136)</f>
        <v/>
      </c>
      <c r="B136" s="145">
        <f>IF('TINH_LUONG'!$B136="","",'TINH_LUONG'!B136)</f>
        <v/>
      </c>
      <c r="C136" s="145">
        <f>IF('TINH_LUONG'!$B136="","",'TINH_LUONG'!C136)</f>
        <v/>
      </c>
      <c r="D136" s="145">
        <f>IF('TINH_LUONG'!$B136="","",'TINH_LUONG'!D136)</f>
        <v/>
      </c>
      <c r="E136" s="145">
        <f>IF('TINH_LUONG'!$B136="","",'TINH_LUONG'!F136)</f>
        <v/>
      </c>
      <c r="F136" s="145">
        <f>IF('TINH_LUONG'!$B136="","",'TINH_LUONG'!G136)</f>
        <v/>
      </c>
      <c r="G136" s="224">
        <f>IF('TINH_LUONG'!$B136="","",'TINH_LUONG'!O136+'TINH_LUONG'!BO136)</f>
        <v/>
      </c>
      <c r="H136" s="224">
        <f>IF('TINH_LUONG'!$B136="","",SUM('TINH_LUONG'!P136:R136))</f>
        <v/>
      </c>
      <c r="I136" s="224">
        <f>IF('TINH_LUONG'!$B136="","",'TINH_LUONG'!BP136+'TINH_LUONG'!BQ136)</f>
        <v/>
      </c>
      <c r="J136" s="224">
        <f>IF('TINH_LUONG'!$B136="","",'TINH_LUONG'!Z136)</f>
        <v/>
      </c>
      <c r="K136" s="224">
        <f>IF('TINH_LUONG'!$B136="","",'TINH_LUONG'!S136+'TINH_LUONG'!T136)</f>
        <v/>
      </c>
      <c r="L136" s="224">
        <f>IF('TINH_LUONG'!$B136="","",'TINH_LUONG'!W136+'TINH_LUONG'!X136)</f>
        <v/>
      </c>
      <c r="M136" s="224">
        <f>IF('TINH_LUONG'!$B136="","",'TINH_LUONG'!BR136+'TINH_LUONG'!BS136)</f>
        <v/>
      </c>
      <c r="N136" s="224">
        <f>IF('TINH_LUONG'!$B136="","",'TINH_LUONG'!AO136)</f>
        <v/>
      </c>
      <c r="O136" s="224">
        <f>IF('TINH_LUONG'!$B136="","",'TINH_LUONG'!AP136)</f>
        <v/>
      </c>
      <c r="P136" s="224">
        <f>IF('TINH_LUONG'!$B136="","",'TINH_LUONG'!AS136)</f>
        <v/>
      </c>
      <c r="Q136" s="224">
        <f>IF('TINH_LUONG'!$B136="","",'TINH_LUONG'!AJ136)</f>
        <v/>
      </c>
      <c r="R136" s="224">
        <f>IF('TINH_LUONG'!$B136="","",'TINH_LUONG'!AQ136)</f>
        <v/>
      </c>
      <c r="S136" s="224">
        <f>IF('TINH_LUONG'!$B136="","",'TINH_LUONG'!AR136)</f>
        <v/>
      </c>
      <c r="T136" s="224">
        <f>IF('TINH_LUONG'!$B136="","",'TINH_LUONG'!AU136+'TINH_LUONG'!AV136+'TINH_LUONG'!AW136+'TINH_LUONG'!BV136)</f>
        <v/>
      </c>
      <c r="U136" s="224">
        <f>IF('TINH_LUONG'!$B136="","",'TINH_LUONG'!AX136)</f>
        <v/>
      </c>
      <c r="V136" s="224">
        <f>IF('TINH_LUONG'!$B136="","",'TINH_LUONG'!BT136)</f>
        <v/>
      </c>
      <c r="W136" s="224">
        <f>IF('TINH_LUONG'!$B136="","",'TINH_LUONG'!BU136)</f>
        <v/>
      </c>
      <c r="X136" s="235">
        <f>IF('TINH_LUONG'!$B136="","",'TINH_LUONG'!BW136)</f>
        <v/>
      </c>
      <c r="Y136" s="224">
        <f>IF('TINH_LUONG'!$B136="","",'TINH_LUONG'!BC136)</f>
        <v/>
      </c>
      <c r="Z136" s="224">
        <f>IF('TINH_LUONG'!$B136="","",'TINH_LUONG'!BD136)</f>
        <v/>
      </c>
      <c r="AA136" s="150">
        <f>IF('TINH_LUONG'!$B136="","",'TINH_LUONG'!BG136)</f>
        <v/>
      </c>
    </row>
    <row r="137">
      <c r="A137" s="145">
        <f>IF('TINH_LUONG'!$B137="","",'TINH_LUONG'!A137)</f>
        <v/>
      </c>
      <c r="B137" s="145">
        <f>IF('TINH_LUONG'!$B137="","",'TINH_LUONG'!B137)</f>
        <v/>
      </c>
      <c r="C137" s="145">
        <f>IF('TINH_LUONG'!$B137="","",'TINH_LUONG'!C137)</f>
        <v/>
      </c>
      <c r="D137" s="145">
        <f>IF('TINH_LUONG'!$B137="","",'TINH_LUONG'!D137)</f>
        <v/>
      </c>
      <c r="E137" s="145">
        <f>IF('TINH_LUONG'!$B137="","",'TINH_LUONG'!F137)</f>
        <v/>
      </c>
      <c r="F137" s="145">
        <f>IF('TINH_LUONG'!$B137="","",'TINH_LUONG'!G137)</f>
        <v/>
      </c>
      <c r="G137" s="224">
        <f>IF('TINH_LUONG'!$B137="","",'TINH_LUONG'!O137+'TINH_LUONG'!BO137)</f>
        <v/>
      </c>
      <c r="H137" s="224">
        <f>IF('TINH_LUONG'!$B137="","",SUM('TINH_LUONG'!P137:R137))</f>
        <v/>
      </c>
      <c r="I137" s="224">
        <f>IF('TINH_LUONG'!$B137="","",'TINH_LUONG'!BP137+'TINH_LUONG'!BQ137)</f>
        <v/>
      </c>
      <c r="J137" s="224">
        <f>IF('TINH_LUONG'!$B137="","",'TINH_LUONG'!Z137)</f>
        <v/>
      </c>
      <c r="K137" s="224">
        <f>IF('TINH_LUONG'!$B137="","",'TINH_LUONG'!S137+'TINH_LUONG'!T137)</f>
        <v/>
      </c>
      <c r="L137" s="224">
        <f>IF('TINH_LUONG'!$B137="","",'TINH_LUONG'!W137+'TINH_LUONG'!X137)</f>
        <v/>
      </c>
      <c r="M137" s="224">
        <f>IF('TINH_LUONG'!$B137="","",'TINH_LUONG'!BR137+'TINH_LUONG'!BS137)</f>
        <v/>
      </c>
      <c r="N137" s="224">
        <f>IF('TINH_LUONG'!$B137="","",'TINH_LUONG'!AO137)</f>
        <v/>
      </c>
      <c r="O137" s="224">
        <f>IF('TINH_LUONG'!$B137="","",'TINH_LUONG'!AP137)</f>
        <v/>
      </c>
      <c r="P137" s="224">
        <f>IF('TINH_LUONG'!$B137="","",'TINH_LUONG'!AS137)</f>
        <v/>
      </c>
      <c r="Q137" s="224">
        <f>IF('TINH_LUONG'!$B137="","",'TINH_LUONG'!AJ137)</f>
        <v/>
      </c>
      <c r="R137" s="224">
        <f>IF('TINH_LUONG'!$B137="","",'TINH_LUONG'!AQ137)</f>
        <v/>
      </c>
      <c r="S137" s="224">
        <f>IF('TINH_LUONG'!$B137="","",'TINH_LUONG'!AR137)</f>
        <v/>
      </c>
      <c r="T137" s="224">
        <f>IF('TINH_LUONG'!$B137="","",'TINH_LUONG'!AU137+'TINH_LUONG'!AV137+'TINH_LUONG'!AW137+'TINH_LUONG'!BV137)</f>
        <v/>
      </c>
      <c r="U137" s="224">
        <f>IF('TINH_LUONG'!$B137="","",'TINH_LUONG'!AX137)</f>
        <v/>
      </c>
      <c r="V137" s="224">
        <f>IF('TINH_LUONG'!$B137="","",'TINH_LUONG'!BT137)</f>
        <v/>
      </c>
      <c r="W137" s="224">
        <f>IF('TINH_LUONG'!$B137="","",'TINH_LUONG'!BU137)</f>
        <v/>
      </c>
      <c r="X137" s="235">
        <f>IF('TINH_LUONG'!$B137="","",'TINH_LUONG'!BW137)</f>
        <v/>
      </c>
      <c r="Y137" s="224">
        <f>IF('TINH_LUONG'!$B137="","",'TINH_LUONG'!BC137)</f>
        <v/>
      </c>
      <c r="Z137" s="224">
        <f>IF('TINH_LUONG'!$B137="","",'TINH_LUONG'!BD137)</f>
        <v/>
      </c>
      <c r="AA137" s="150">
        <f>IF('TINH_LUONG'!$B137="","",'TINH_LUONG'!BG137)</f>
        <v/>
      </c>
    </row>
    <row r="138">
      <c r="A138" s="145">
        <f>IF('TINH_LUONG'!$B138="","",'TINH_LUONG'!A138)</f>
        <v/>
      </c>
      <c r="B138" s="145">
        <f>IF('TINH_LUONG'!$B138="","",'TINH_LUONG'!B138)</f>
        <v/>
      </c>
      <c r="C138" s="145">
        <f>IF('TINH_LUONG'!$B138="","",'TINH_LUONG'!C138)</f>
        <v/>
      </c>
      <c r="D138" s="145">
        <f>IF('TINH_LUONG'!$B138="","",'TINH_LUONG'!D138)</f>
        <v/>
      </c>
      <c r="E138" s="145">
        <f>IF('TINH_LUONG'!$B138="","",'TINH_LUONG'!F138)</f>
        <v/>
      </c>
      <c r="F138" s="145">
        <f>IF('TINH_LUONG'!$B138="","",'TINH_LUONG'!G138)</f>
        <v/>
      </c>
      <c r="G138" s="224">
        <f>IF('TINH_LUONG'!$B138="","",'TINH_LUONG'!O138+'TINH_LUONG'!BO138)</f>
        <v/>
      </c>
      <c r="H138" s="224">
        <f>IF('TINH_LUONG'!$B138="","",SUM('TINH_LUONG'!P138:R138))</f>
        <v/>
      </c>
      <c r="I138" s="224">
        <f>IF('TINH_LUONG'!$B138="","",'TINH_LUONG'!BP138+'TINH_LUONG'!BQ138)</f>
        <v/>
      </c>
      <c r="J138" s="224">
        <f>IF('TINH_LUONG'!$B138="","",'TINH_LUONG'!Z138)</f>
        <v/>
      </c>
      <c r="K138" s="224">
        <f>IF('TINH_LUONG'!$B138="","",'TINH_LUONG'!S138+'TINH_LUONG'!T138)</f>
        <v/>
      </c>
      <c r="L138" s="224">
        <f>IF('TINH_LUONG'!$B138="","",'TINH_LUONG'!W138+'TINH_LUONG'!X138)</f>
        <v/>
      </c>
      <c r="M138" s="224">
        <f>IF('TINH_LUONG'!$B138="","",'TINH_LUONG'!BR138+'TINH_LUONG'!BS138)</f>
        <v/>
      </c>
      <c r="N138" s="224">
        <f>IF('TINH_LUONG'!$B138="","",'TINH_LUONG'!AO138)</f>
        <v/>
      </c>
      <c r="O138" s="224">
        <f>IF('TINH_LUONG'!$B138="","",'TINH_LUONG'!AP138)</f>
        <v/>
      </c>
      <c r="P138" s="224">
        <f>IF('TINH_LUONG'!$B138="","",'TINH_LUONG'!AS138)</f>
        <v/>
      </c>
      <c r="Q138" s="224">
        <f>IF('TINH_LUONG'!$B138="","",'TINH_LUONG'!AJ138)</f>
        <v/>
      </c>
      <c r="R138" s="224">
        <f>IF('TINH_LUONG'!$B138="","",'TINH_LUONG'!AQ138)</f>
        <v/>
      </c>
      <c r="S138" s="224">
        <f>IF('TINH_LUONG'!$B138="","",'TINH_LUONG'!AR138)</f>
        <v/>
      </c>
      <c r="T138" s="224">
        <f>IF('TINH_LUONG'!$B138="","",'TINH_LUONG'!AU138+'TINH_LUONG'!AV138+'TINH_LUONG'!AW138+'TINH_LUONG'!BV138)</f>
        <v/>
      </c>
      <c r="U138" s="224">
        <f>IF('TINH_LUONG'!$B138="","",'TINH_LUONG'!AX138)</f>
        <v/>
      </c>
      <c r="V138" s="224">
        <f>IF('TINH_LUONG'!$B138="","",'TINH_LUONG'!BT138)</f>
        <v/>
      </c>
      <c r="W138" s="224">
        <f>IF('TINH_LUONG'!$B138="","",'TINH_LUONG'!BU138)</f>
        <v/>
      </c>
      <c r="X138" s="235">
        <f>IF('TINH_LUONG'!$B138="","",'TINH_LUONG'!BW138)</f>
        <v/>
      </c>
      <c r="Y138" s="224">
        <f>IF('TINH_LUONG'!$B138="","",'TINH_LUONG'!BC138)</f>
        <v/>
      </c>
      <c r="Z138" s="224">
        <f>IF('TINH_LUONG'!$B138="","",'TINH_LUONG'!BD138)</f>
        <v/>
      </c>
      <c r="AA138" s="150">
        <f>IF('TINH_LUONG'!$B138="","",'TINH_LUONG'!BG138)</f>
        <v/>
      </c>
    </row>
    <row r="139">
      <c r="A139" s="145">
        <f>IF('TINH_LUONG'!$B139="","",'TINH_LUONG'!A139)</f>
        <v/>
      </c>
      <c r="B139" s="145">
        <f>IF('TINH_LUONG'!$B139="","",'TINH_LUONG'!B139)</f>
        <v/>
      </c>
      <c r="C139" s="145">
        <f>IF('TINH_LUONG'!$B139="","",'TINH_LUONG'!C139)</f>
        <v/>
      </c>
      <c r="D139" s="145">
        <f>IF('TINH_LUONG'!$B139="","",'TINH_LUONG'!D139)</f>
        <v/>
      </c>
      <c r="E139" s="145">
        <f>IF('TINH_LUONG'!$B139="","",'TINH_LUONG'!F139)</f>
        <v/>
      </c>
      <c r="F139" s="145">
        <f>IF('TINH_LUONG'!$B139="","",'TINH_LUONG'!G139)</f>
        <v/>
      </c>
      <c r="G139" s="224">
        <f>IF('TINH_LUONG'!$B139="","",'TINH_LUONG'!O139+'TINH_LUONG'!BO139)</f>
        <v/>
      </c>
      <c r="H139" s="224">
        <f>IF('TINH_LUONG'!$B139="","",SUM('TINH_LUONG'!P139:R139))</f>
        <v/>
      </c>
      <c r="I139" s="224">
        <f>IF('TINH_LUONG'!$B139="","",'TINH_LUONG'!BP139+'TINH_LUONG'!BQ139)</f>
        <v/>
      </c>
      <c r="J139" s="224">
        <f>IF('TINH_LUONG'!$B139="","",'TINH_LUONG'!Z139)</f>
        <v/>
      </c>
      <c r="K139" s="224">
        <f>IF('TINH_LUONG'!$B139="","",'TINH_LUONG'!S139+'TINH_LUONG'!T139)</f>
        <v/>
      </c>
      <c r="L139" s="224">
        <f>IF('TINH_LUONG'!$B139="","",'TINH_LUONG'!W139+'TINH_LUONG'!X139)</f>
        <v/>
      </c>
      <c r="M139" s="224">
        <f>IF('TINH_LUONG'!$B139="","",'TINH_LUONG'!BR139+'TINH_LUONG'!BS139)</f>
        <v/>
      </c>
      <c r="N139" s="224">
        <f>IF('TINH_LUONG'!$B139="","",'TINH_LUONG'!AO139)</f>
        <v/>
      </c>
      <c r="O139" s="224">
        <f>IF('TINH_LUONG'!$B139="","",'TINH_LUONG'!AP139)</f>
        <v/>
      </c>
      <c r="P139" s="224">
        <f>IF('TINH_LUONG'!$B139="","",'TINH_LUONG'!AS139)</f>
        <v/>
      </c>
      <c r="Q139" s="224">
        <f>IF('TINH_LUONG'!$B139="","",'TINH_LUONG'!AJ139)</f>
        <v/>
      </c>
      <c r="R139" s="224">
        <f>IF('TINH_LUONG'!$B139="","",'TINH_LUONG'!AQ139)</f>
        <v/>
      </c>
      <c r="S139" s="224">
        <f>IF('TINH_LUONG'!$B139="","",'TINH_LUONG'!AR139)</f>
        <v/>
      </c>
      <c r="T139" s="224">
        <f>IF('TINH_LUONG'!$B139="","",'TINH_LUONG'!AU139+'TINH_LUONG'!AV139+'TINH_LUONG'!AW139+'TINH_LUONG'!BV139)</f>
        <v/>
      </c>
      <c r="U139" s="224">
        <f>IF('TINH_LUONG'!$B139="","",'TINH_LUONG'!AX139)</f>
        <v/>
      </c>
      <c r="V139" s="224">
        <f>IF('TINH_LUONG'!$B139="","",'TINH_LUONG'!BT139)</f>
        <v/>
      </c>
      <c r="W139" s="224">
        <f>IF('TINH_LUONG'!$B139="","",'TINH_LUONG'!BU139)</f>
        <v/>
      </c>
      <c r="X139" s="235">
        <f>IF('TINH_LUONG'!$B139="","",'TINH_LUONG'!BW139)</f>
        <v/>
      </c>
      <c r="Y139" s="224">
        <f>IF('TINH_LUONG'!$B139="","",'TINH_LUONG'!BC139)</f>
        <v/>
      </c>
      <c r="Z139" s="224">
        <f>IF('TINH_LUONG'!$B139="","",'TINH_LUONG'!BD139)</f>
        <v/>
      </c>
      <c r="AA139" s="150">
        <f>IF('TINH_LUONG'!$B139="","",'TINH_LUONG'!BG139)</f>
        <v/>
      </c>
    </row>
    <row r="140">
      <c r="A140" s="145">
        <f>IF('TINH_LUONG'!$B140="","",'TINH_LUONG'!A140)</f>
        <v/>
      </c>
      <c r="B140" s="145">
        <f>IF('TINH_LUONG'!$B140="","",'TINH_LUONG'!B140)</f>
        <v/>
      </c>
      <c r="C140" s="145">
        <f>IF('TINH_LUONG'!$B140="","",'TINH_LUONG'!C140)</f>
        <v/>
      </c>
      <c r="D140" s="145">
        <f>IF('TINH_LUONG'!$B140="","",'TINH_LUONG'!D140)</f>
        <v/>
      </c>
      <c r="E140" s="145">
        <f>IF('TINH_LUONG'!$B140="","",'TINH_LUONG'!F140)</f>
        <v/>
      </c>
      <c r="F140" s="145">
        <f>IF('TINH_LUONG'!$B140="","",'TINH_LUONG'!G140)</f>
        <v/>
      </c>
      <c r="G140" s="224">
        <f>IF('TINH_LUONG'!$B140="","",'TINH_LUONG'!O140+'TINH_LUONG'!BO140)</f>
        <v/>
      </c>
      <c r="H140" s="224">
        <f>IF('TINH_LUONG'!$B140="","",SUM('TINH_LUONG'!P140:R140))</f>
        <v/>
      </c>
      <c r="I140" s="224">
        <f>IF('TINH_LUONG'!$B140="","",'TINH_LUONG'!BP140+'TINH_LUONG'!BQ140)</f>
        <v/>
      </c>
      <c r="J140" s="224">
        <f>IF('TINH_LUONG'!$B140="","",'TINH_LUONG'!Z140)</f>
        <v/>
      </c>
      <c r="K140" s="224">
        <f>IF('TINH_LUONG'!$B140="","",'TINH_LUONG'!S140+'TINH_LUONG'!T140)</f>
        <v/>
      </c>
      <c r="L140" s="224">
        <f>IF('TINH_LUONG'!$B140="","",'TINH_LUONG'!W140+'TINH_LUONG'!X140)</f>
        <v/>
      </c>
      <c r="M140" s="224">
        <f>IF('TINH_LUONG'!$B140="","",'TINH_LUONG'!BR140+'TINH_LUONG'!BS140)</f>
        <v/>
      </c>
      <c r="N140" s="224">
        <f>IF('TINH_LUONG'!$B140="","",'TINH_LUONG'!AO140)</f>
        <v/>
      </c>
      <c r="O140" s="224">
        <f>IF('TINH_LUONG'!$B140="","",'TINH_LUONG'!AP140)</f>
        <v/>
      </c>
      <c r="P140" s="224">
        <f>IF('TINH_LUONG'!$B140="","",'TINH_LUONG'!AS140)</f>
        <v/>
      </c>
      <c r="Q140" s="224">
        <f>IF('TINH_LUONG'!$B140="","",'TINH_LUONG'!AJ140)</f>
        <v/>
      </c>
      <c r="R140" s="224">
        <f>IF('TINH_LUONG'!$B140="","",'TINH_LUONG'!AQ140)</f>
        <v/>
      </c>
      <c r="S140" s="224">
        <f>IF('TINH_LUONG'!$B140="","",'TINH_LUONG'!AR140)</f>
        <v/>
      </c>
      <c r="T140" s="224">
        <f>IF('TINH_LUONG'!$B140="","",'TINH_LUONG'!AU140+'TINH_LUONG'!AV140+'TINH_LUONG'!AW140+'TINH_LUONG'!BV140)</f>
        <v/>
      </c>
      <c r="U140" s="224">
        <f>IF('TINH_LUONG'!$B140="","",'TINH_LUONG'!AX140)</f>
        <v/>
      </c>
      <c r="V140" s="224">
        <f>IF('TINH_LUONG'!$B140="","",'TINH_LUONG'!BT140)</f>
        <v/>
      </c>
      <c r="W140" s="224">
        <f>IF('TINH_LUONG'!$B140="","",'TINH_LUONG'!BU140)</f>
        <v/>
      </c>
      <c r="X140" s="235">
        <f>IF('TINH_LUONG'!$B140="","",'TINH_LUONG'!BW140)</f>
        <v/>
      </c>
      <c r="Y140" s="224">
        <f>IF('TINH_LUONG'!$B140="","",'TINH_LUONG'!BC140)</f>
        <v/>
      </c>
      <c r="Z140" s="224">
        <f>IF('TINH_LUONG'!$B140="","",'TINH_LUONG'!BD140)</f>
        <v/>
      </c>
      <c r="AA140" s="150">
        <f>IF('TINH_LUONG'!$B140="","",'TINH_LUONG'!BG140)</f>
        <v/>
      </c>
    </row>
    <row r="141">
      <c r="A141" s="145">
        <f>IF('TINH_LUONG'!$B141="","",'TINH_LUONG'!A141)</f>
        <v/>
      </c>
      <c r="B141" s="145">
        <f>IF('TINH_LUONG'!$B141="","",'TINH_LUONG'!B141)</f>
        <v/>
      </c>
      <c r="C141" s="145">
        <f>IF('TINH_LUONG'!$B141="","",'TINH_LUONG'!C141)</f>
        <v/>
      </c>
      <c r="D141" s="145">
        <f>IF('TINH_LUONG'!$B141="","",'TINH_LUONG'!D141)</f>
        <v/>
      </c>
      <c r="E141" s="145">
        <f>IF('TINH_LUONG'!$B141="","",'TINH_LUONG'!F141)</f>
        <v/>
      </c>
      <c r="F141" s="145">
        <f>IF('TINH_LUONG'!$B141="","",'TINH_LUONG'!G141)</f>
        <v/>
      </c>
      <c r="G141" s="224">
        <f>IF('TINH_LUONG'!$B141="","",'TINH_LUONG'!O141+'TINH_LUONG'!BO141)</f>
        <v/>
      </c>
      <c r="H141" s="224">
        <f>IF('TINH_LUONG'!$B141="","",SUM('TINH_LUONG'!P141:R141))</f>
        <v/>
      </c>
      <c r="I141" s="224">
        <f>IF('TINH_LUONG'!$B141="","",'TINH_LUONG'!BP141+'TINH_LUONG'!BQ141)</f>
        <v/>
      </c>
      <c r="J141" s="224">
        <f>IF('TINH_LUONG'!$B141="","",'TINH_LUONG'!Z141)</f>
        <v/>
      </c>
      <c r="K141" s="224">
        <f>IF('TINH_LUONG'!$B141="","",'TINH_LUONG'!S141+'TINH_LUONG'!T141)</f>
        <v/>
      </c>
      <c r="L141" s="224">
        <f>IF('TINH_LUONG'!$B141="","",'TINH_LUONG'!W141+'TINH_LUONG'!X141)</f>
        <v/>
      </c>
      <c r="M141" s="224">
        <f>IF('TINH_LUONG'!$B141="","",'TINH_LUONG'!BR141+'TINH_LUONG'!BS141)</f>
        <v/>
      </c>
      <c r="N141" s="224">
        <f>IF('TINH_LUONG'!$B141="","",'TINH_LUONG'!AO141)</f>
        <v/>
      </c>
      <c r="O141" s="224">
        <f>IF('TINH_LUONG'!$B141="","",'TINH_LUONG'!AP141)</f>
        <v/>
      </c>
      <c r="P141" s="224">
        <f>IF('TINH_LUONG'!$B141="","",'TINH_LUONG'!AS141)</f>
        <v/>
      </c>
      <c r="Q141" s="224">
        <f>IF('TINH_LUONG'!$B141="","",'TINH_LUONG'!AJ141)</f>
        <v/>
      </c>
      <c r="R141" s="224">
        <f>IF('TINH_LUONG'!$B141="","",'TINH_LUONG'!AQ141)</f>
        <v/>
      </c>
      <c r="S141" s="224">
        <f>IF('TINH_LUONG'!$B141="","",'TINH_LUONG'!AR141)</f>
        <v/>
      </c>
      <c r="T141" s="224">
        <f>IF('TINH_LUONG'!$B141="","",'TINH_LUONG'!AU141+'TINH_LUONG'!AV141+'TINH_LUONG'!AW141+'TINH_LUONG'!BV141)</f>
        <v/>
      </c>
      <c r="U141" s="224">
        <f>IF('TINH_LUONG'!$B141="","",'TINH_LUONG'!AX141)</f>
        <v/>
      </c>
      <c r="V141" s="224">
        <f>IF('TINH_LUONG'!$B141="","",'TINH_LUONG'!BT141)</f>
        <v/>
      </c>
      <c r="W141" s="224">
        <f>IF('TINH_LUONG'!$B141="","",'TINH_LUONG'!BU141)</f>
        <v/>
      </c>
      <c r="X141" s="235">
        <f>IF('TINH_LUONG'!$B141="","",'TINH_LUONG'!BW141)</f>
        <v/>
      </c>
      <c r="Y141" s="224">
        <f>IF('TINH_LUONG'!$B141="","",'TINH_LUONG'!BC141)</f>
        <v/>
      </c>
      <c r="Z141" s="224">
        <f>IF('TINH_LUONG'!$B141="","",'TINH_LUONG'!BD141)</f>
        <v/>
      </c>
      <c r="AA141" s="150">
        <f>IF('TINH_LUONG'!$B141="","",'TINH_LUONG'!BG141)</f>
        <v/>
      </c>
    </row>
    <row r="142">
      <c r="A142" s="145">
        <f>IF('TINH_LUONG'!$B142="","",'TINH_LUONG'!A142)</f>
        <v/>
      </c>
      <c r="B142" s="145">
        <f>IF('TINH_LUONG'!$B142="","",'TINH_LUONG'!B142)</f>
        <v/>
      </c>
      <c r="C142" s="145">
        <f>IF('TINH_LUONG'!$B142="","",'TINH_LUONG'!C142)</f>
        <v/>
      </c>
      <c r="D142" s="145">
        <f>IF('TINH_LUONG'!$B142="","",'TINH_LUONG'!D142)</f>
        <v/>
      </c>
      <c r="E142" s="145">
        <f>IF('TINH_LUONG'!$B142="","",'TINH_LUONG'!F142)</f>
        <v/>
      </c>
      <c r="F142" s="145">
        <f>IF('TINH_LUONG'!$B142="","",'TINH_LUONG'!G142)</f>
        <v/>
      </c>
      <c r="G142" s="224">
        <f>IF('TINH_LUONG'!$B142="","",'TINH_LUONG'!O142+'TINH_LUONG'!BO142)</f>
        <v/>
      </c>
      <c r="H142" s="224">
        <f>IF('TINH_LUONG'!$B142="","",SUM('TINH_LUONG'!P142:R142))</f>
        <v/>
      </c>
      <c r="I142" s="224">
        <f>IF('TINH_LUONG'!$B142="","",'TINH_LUONG'!BP142+'TINH_LUONG'!BQ142)</f>
        <v/>
      </c>
      <c r="J142" s="224">
        <f>IF('TINH_LUONG'!$B142="","",'TINH_LUONG'!Z142)</f>
        <v/>
      </c>
      <c r="K142" s="224">
        <f>IF('TINH_LUONG'!$B142="","",'TINH_LUONG'!S142+'TINH_LUONG'!T142)</f>
        <v/>
      </c>
      <c r="L142" s="224">
        <f>IF('TINH_LUONG'!$B142="","",'TINH_LUONG'!W142+'TINH_LUONG'!X142)</f>
        <v/>
      </c>
      <c r="M142" s="224">
        <f>IF('TINH_LUONG'!$B142="","",'TINH_LUONG'!BR142+'TINH_LUONG'!BS142)</f>
        <v/>
      </c>
      <c r="N142" s="224">
        <f>IF('TINH_LUONG'!$B142="","",'TINH_LUONG'!AO142)</f>
        <v/>
      </c>
      <c r="O142" s="224">
        <f>IF('TINH_LUONG'!$B142="","",'TINH_LUONG'!AP142)</f>
        <v/>
      </c>
      <c r="P142" s="224">
        <f>IF('TINH_LUONG'!$B142="","",'TINH_LUONG'!AS142)</f>
        <v/>
      </c>
      <c r="Q142" s="224">
        <f>IF('TINH_LUONG'!$B142="","",'TINH_LUONG'!AJ142)</f>
        <v/>
      </c>
      <c r="R142" s="224">
        <f>IF('TINH_LUONG'!$B142="","",'TINH_LUONG'!AQ142)</f>
        <v/>
      </c>
      <c r="S142" s="224">
        <f>IF('TINH_LUONG'!$B142="","",'TINH_LUONG'!AR142)</f>
        <v/>
      </c>
      <c r="T142" s="224">
        <f>IF('TINH_LUONG'!$B142="","",'TINH_LUONG'!AU142+'TINH_LUONG'!AV142+'TINH_LUONG'!AW142+'TINH_LUONG'!BV142)</f>
        <v/>
      </c>
      <c r="U142" s="224">
        <f>IF('TINH_LUONG'!$B142="","",'TINH_LUONG'!AX142)</f>
        <v/>
      </c>
      <c r="V142" s="224">
        <f>IF('TINH_LUONG'!$B142="","",'TINH_LUONG'!BT142)</f>
        <v/>
      </c>
      <c r="W142" s="224">
        <f>IF('TINH_LUONG'!$B142="","",'TINH_LUONG'!BU142)</f>
        <v/>
      </c>
      <c r="X142" s="235">
        <f>IF('TINH_LUONG'!$B142="","",'TINH_LUONG'!BW142)</f>
        <v/>
      </c>
      <c r="Y142" s="224">
        <f>IF('TINH_LUONG'!$B142="","",'TINH_LUONG'!BC142)</f>
        <v/>
      </c>
      <c r="Z142" s="224">
        <f>IF('TINH_LUONG'!$B142="","",'TINH_LUONG'!BD142)</f>
        <v/>
      </c>
      <c r="AA142" s="150">
        <f>IF('TINH_LUONG'!$B142="","",'TINH_LUONG'!BG142)</f>
        <v/>
      </c>
    </row>
    <row r="143">
      <c r="A143" s="145">
        <f>IF('TINH_LUONG'!$B143="","",'TINH_LUONG'!A143)</f>
        <v/>
      </c>
      <c r="B143" s="145">
        <f>IF('TINH_LUONG'!$B143="","",'TINH_LUONG'!B143)</f>
        <v/>
      </c>
      <c r="C143" s="145">
        <f>IF('TINH_LUONG'!$B143="","",'TINH_LUONG'!C143)</f>
        <v/>
      </c>
      <c r="D143" s="145">
        <f>IF('TINH_LUONG'!$B143="","",'TINH_LUONG'!D143)</f>
        <v/>
      </c>
      <c r="E143" s="145">
        <f>IF('TINH_LUONG'!$B143="","",'TINH_LUONG'!F143)</f>
        <v/>
      </c>
      <c r="F143" s="145">
        <f>IF('TINH_LUONG'!$B143="","",'TINH_LUONG'!G143)</f>
        <v/>
      </c>
      <c r="G143" s="224">
        <f>IF('TINH_LUONG'!$B143="","",'TINH_LUONG'!O143+'TINH_LUONG'!BO143)</f>
        <v/>
      </c>
      <c r="H143" s="224">
        <f>IF('TINH_LUONG'!$B143="","",SUM('TINH_LUONG'!P143:R143))</f>
        <v/>
      </c>
      <c r="I143" s="224">
        <f>IF('TINH_LUONG'!$B143="","",'TINH_LUONG'!BP143+'TINH_LUONG'!BQ143)</f>
        <v/>
      </c>
      <c r="J143" s="224">
        <f>IF('TINH_LUONG'!$B143="","",'TINH_LUONG'!Z143)</f>
        <v/>
      </c>
      <c r="K143" s="224">
        <f>IF('TINH_LUONG'!$B143="","",'TINH_LUONG'!S143+'TINH_LUONG'!T143)</f>
        <v/>
      </c>
      <c r="L143" s="224">
        <f>IF('TINH_LUONG'!$B143="","",'TINH_LUONG'!W143+'TINH_LUONG'!X143)</f>
        <v/>
      </c>
      <c r="M143" s="224">
        <f>IF('TINH_LUONG'!$B143="","",'TINH_LUONG'!BR143+'TINH_LUONG'!BS143)</f>
        <v/>
      </c>
      <c r="N143" s="224">
        <f>IF('TINH_LUONG'!$B143="","",'TINH_LUONG'!AO143)</f>
        <v/>
      </c>
      <c r="O143" s="224">
        <f>IF('TINH_LUONG'!$B143="","",'TINH_LUONG'!AP143)</f>
        <v/>
      </c>
      <c r="P143" s="224">
        <f>IF('TINH_LUONG'!$B143="","",'TINH_LUONG'!AS143)</f>
        <v/>
      </c>
      <c r="Q143" s="224">
        <f>IF('TINH_LUONG'!$B143="","",'TINH_LUONG'!AJ143)</f>
        <v/>
      </c>
      <c r="R143" s="224">
        <f>IF('TINH_LUONG'!$B143="","",'TINH_LUONG'!AQ143)</f>
        <v/>
      </c>
      <c r="S143" s="224">
        <f>IF('TINH_LUONG'!$B143="","",'TINH_LUONG'!AR143)</f>
        <v/>
      </c>
      <c r="T143" s="224">
        <f>IF('TINH_LUONG'!$B143="","",'TINH_LUONG'!AU143+'TINH_LUONG'!AV143+'TINH_LUONG'!AW143+'TINH_LUONG'!BV143)</f>
        <v/>
      </c>
      <c r="U143" s="224">
        <f>IF('TINH_LUONG'!$B143="","",'TINH_LUONG'!AX143)</f>
        <v/>
      </c>
      <c r="V143" s="224">
        <f>IF('TINH_LUONG'!$B143="","",'TINH_LUONG'!BT143)</f>
        <v/>
      </c>
      <c r="W143" s="224">
        <f>IF('TINH_LUONG'!$B143="","",'TINH_LUONG'!BU143)</f>
        <v/>
      </c>
      <c r="X143" s="235">
        <f>IF('TINH_LUONG'!$B143="","",'TINH_LUONG'!BW143)</f>
        <v/>
      </c>
      <c r="Y143" s="224">
        <f>IF('TINH_LUONG'!$B143="","",'TINH_LUONG'!BC143)</f>
        <v/>
      </c>
      <c r="Z143" s="224">
        <f>IF('TINH_LUONG'!$B143="","",'TINH_LUONG'!BD143)</f>
        <v/>
      </c>
      <c r="AA143" s="150">
        <f>IF('TINH_LUONG'!$B143="","",'TINH_LUONG'!BG143)</f>
        <v/>
      </c>
    </row>
    <row r="144">
      <c r="A144" s="145">
        <f>IF('TINH_LUONG'!$B144="","",'TINH_LUONG'!A144)</f>
        <v/>
      </c>
      <c r="B144" s="145">
        <f>IF('TINH_LUONG'!$B144="","",'TINH_LUONG'!B144)</f>
        <v/>
      </c>
      <c r="C144" s="145">
        <f>IF('TINH_LUONG'!$B144="","",'TINH_LUONG'!C144)</f>
        <v/>
      </c>
      <c r="D144" s="145">
        <f>IF('TINH_LUONG'!$B144="","",'TINH_LUONG'!D144)</f>
        <v/>
      </c>
      <c r="E144" s="145">
        <f>IF('TINH_LUONG'!$B144="","",'TINH_LUONG'!F144)</f>
        <v/>
      </c>
      <c r="F144" s="145">
        <f>IF('TINH_LUONG'!$B144="","",'TINH_LUONG'!G144)</f>
        <v/>
      </c>
      <c r="G144" s="224">
        <f>IF('TINH_LUONG'!$B144="","",'TINH_LUONG'!O144+'TINH_LUONG'!BO144)</f>
        <v/>
      </c>
      <c r="H144" s="224">
        <f>IF('TINH_LUONG'!$B144="","",SUM('TINH_LUONG'!P144:R144))</f>
        <v/>
      </c>
      <c r="I144" s="224">
        <f>IF('TINH_LUONG'!$B144="","",'TINH_LUONG'!BP144+'TINH_LUONG'!BQ144)</f>
        <v/>
      </c>
      <c r="J144" s="224">
        <f>IF('TINH_LUONG'!$B144="","",'TINH_LUONG'!Z144)</f>
        <v/>
      </c>
      <c r="K144" s="224">
        <f>IF('TINH_LUONG'!$B144="","",'TINH_LUONG'!S144+'TINH_LUONG'!T144)</f>
        <v/>
      </c>
      <c r="L144" s="224">
        <f>IF('TINH_LUONG'!$B144="","",'TINH_LUONG'!W144+'TINH_LUONG'!X144)</f>
        <v/>
      </c>
      <c r="M144" s="224">
        <f>IF('TINH_LUONG'!$B144="","",'TINH_LUONG'!BR144+'TINH_LUONG'!BS144)</f>
        <v/>
      </c>
      <c r="N144" s="224">
        <f>IF('TINH_LUONG'!$B144="","",'TINH_LUONG'!AO144)</f>
        <v/>
      </c>
      <c r="O144" s="224">
        <f>IF('TINH_LUONG'!$B144="","",'TINH_LUONG'!AP144)</f>
        <v/>
      </c>
      <c r="P144" s="224">
        <f>IF('TINH_LUONG'!$B144="","",'TINH_LUONG'!AS144)</f>
        <v/>
      </c>
      <c r="Q144" s="224">
        <f>IF('TINH_LUONG'!$B144="","",'TINH_LUONG'!AJ144)</f>
        <v/>
      </c>
      <c r="R144" s="224">
        <f>IF('TINH_LUONG'!$B144="","",'TINH_LUONG'!AQ144)</f>
        <v/>
      </c>
      <c r="S144" s="224">
        <f>IF('TINH_LUONG'!$B144="","",'TINH_LUONG'!AR144)</f>
        <v/>
      </c>
      <c r="T144" s="224">
        <f>IF('TINH_LUONG'!$B144="","",'TINH_LUONG'!AU144+'TINH_LUONG'!AV144+'TINH_LUONG'!AW144+'TINH_LUONG'!BV144)</f>
        <v/>
      </c>
      <c r="U144" s="224">
        <f>IF('TINH_LUONG'!$B144="","",'TINH_LUONG'!AX144)</f>
        <v/>
      </c>
      <c r="V144" s="224">
        <f>IF('TINH_LUONG'!$B144="","",'TINH_LUONG'!BT144)</f>
        <v/>
      </c>
      <c r="W144" s="224">
        <f>IF('TINH_LUONG'!$B144="","",'TINH_LUONG'!BU144)</f>
        <v/>
      </c>
      <c r="X144" s="235">
        <f>IF('TINH_LUONG'!$B144="","",'TINH_LUONG'!BW144)</f>
        <v/>
      </c>
      <c r="Y144" s="224">
        <f>IF('TINH_LUONG'!$B144="","",'TINH_LUONG'!BC144)</f>
        <v/>
      </c>
      <c r="Z144" s="224">
        <f>IF('TINH_LUONG'!$B144="","",'TINH_LUONG'!BD144)</f>
        <v/>
      </c>
      <c r="AA144" s="150">
        <f>IF('TINH_LUONG'!$B144="","",'TINH_LUONG'!BG144)</f>
        <v/>
      </c>
    </row>
    <row r="145">
      <c r="A145" s="145">
        <f>IF('TINH_LUONG'!$B145="","",'TINH_LUONG'!A145)</f>
        <v/>
      </c>
      <c r="B145" s="145">
        <f>IF('TINH_LUONG'!$B145="","",'TINH_LUONG'!B145)</f>
        <v/>
      </c>
      <c r="C145" s="145">
        <f>IF('TINH_LUONG'!$B145="","",'TINH_LUONG'!C145)</f>
        <v/>
      </c>
      <c r="D145" s="145">
        <f>IF('TINH_LUONG'!$B145="","",'TINH_LUONG'!D145)</f>
        <v/>
      </c>
      <c r="E145" s="145">
        <f>IF('TINH_LUONG'!$B145="","",'TINH_LUONG'!F145)</f>
        <v/>
      </c>
      <c r="F145" s="145">
        <f>IF('TINH_LUONG'!$B145="","",'TINH_LUONG'!G145)</f>
        <v/>
      </c>
      <c r="G145" s="224">
        <f>IF('TINH_LUONG'!$B145="","",'TINH_LUONG'!O145+'TINH_LUONG'!BO145)</f>
        <v/>
      </c>
      <c r="H145" s="224">
        <f>IF('TINH_LUONG'!$B145="","",SUM('TINH_LUONG'!P145:R145))</f>
        <v/>
      </c>
      <c r="I145" s="224">
        <f>IF('TINH_LUONG'!$B145="","",'TINH_LUONG'!BP145+'TINH_LUONG'!BQ145)</f>
        <v/>
      </c>
      <c r="J145" s="224">
        <f>IF('TINH_LUONG'!$B145="","",'TINH_LUONG'!Z145)</f>
        <v/>
      </c>
      <c r="K145" s="224">
        <f>IF('TINH_LUONG'!$B145="","",'TINH_LUONG'!S145+'TINH_LUONG'!T145)</f>
        <v/>
      </c>
      <c r="L145" s="224">
        <f>IF('TINH_LUONG'!$B145="","",'TINH_LUONG'!W145+'TINH_LUONG'!X145)</f>
        <v/>
      </c>
      <c r="M145" s="224">
        <f>IF('TINH_LUONG'!$B145="","",'TINH_LUONG'!BR145+'TINH_LUONG'!BS145)</f>
        <v/>
      </c>
      <c r="N145" s="224">
        <f>IF('TINH_LUONG'!$B145="","",'TINH_LUONG'!AO145)</f>
        <v/>
      </c>
      <c r="O145" s="224">
        <f>IF('TINH_LUONG'!$B145="","",'TINH_LUONG'!AP145)</f>
        <v/>
      </c>
      <c r="P145" s="224">
        <f>IF('TINH_LUONG'!$B145="","",'TINH_LUONG'!AS145)</f>
        <v/>
      </c>
      <c r="Q145" s="224">
        <f>IF('TINH_LUONG'!$B145="","",'TINH_LUONG'!AJ145)</f>
        <v/>
      </c>
      <c r="R145" s="224">
        <f>IF('TINH_LUONG'!$B145="","",'TINH_LUONG'!AQ145)</f>
        <v/>
      </c>
      <c r="S145" s="224">
        <f>IF('TINH_LUONG'!$B145="","",'TINH_LUONG'!AR145)</f>
        <v/>
      </c>
      <c r="T145" s="224">
        <f>IF('TINH_LUONG'!$B145="","",'TINH_LUONG'!AU145+'TINH_LUONG'!AV145+'TINH_LUONG'!AW145+'TINH_LUONG'!BV145)</f>
        <v/>
      </c>
      <c r="U145" s="224">
        <f>IF('TINH_LUONG'!$B145="","",'TINH_LUONG'!AX145)</f>
        <v/>
      </c>
      <c r="V145" s="224">
        <f>IF('TINH_LUONG'!$B145="","",'TINH_LUONG'!BT145)</f>
        <v/>
      </c>
      <c r="W145" s="224">
        <f>IF('TINH_LUONG'!$B145="","",'TINH_LUONG'!BU145)</f>
        <v/>
      </c>
      <c r="X145" s="235">
        <f>IF('TINH_LUONG'!$B145="","",'TINH_LUONG'!BW145)</f>
        <v/>
      </c>
      <c r="Y145" s="224">
        <f>IF('TINH_LUONG'!$B145="","",'TINH_LUONG'!BC145)</f>
        <v/>
      </c>
      <c r="Z145" s="224">
        <f>IF('TINH_LUONG'!$B145="","",'TINH_LUONG'!BD145)</f>
        <v/>
      </c>
      <c r="AA145" s="150">
        <f>IF('TINH_LUONG'!$B145="","",'TINH_LUONG'!BG145)</f>
        <v/>
      </c>
    </row>
    <row r="146">
      <c r="A146" s="145">
        <f>IF('TINH_LUONG'!$B146="","",'TINH_LUONG'!A146)</f>
        <v/>
      </c>
      <c r="B146" s="145">
        <f>IF('TINH_LUONG'!$B146="","",'TINH_LUONG'!B146)</f>
        <v/>
      </c>
      <c r="C146" s="145">
        <f>IF('TINH_LUONG'!$B146="","",'TINH_LUONG'!C146)</f>
        <v/>
      </c>
      <c r="D146" s="145">
        <f>IF('TINH_LUONG'!$B146="","",'TINH_LUONG'!D146)</f>
        <v/>
      </c>
      <c r="E146" s="145">
        <f>IF('TINH_LUONG'!$B146="","",'TINH_LUONG'!F146)</f>
        <v/>
      </c>
      <c r="F146" s="145">
        <f>IF('TINH_LUONG'!$B146="","",'TINH_LUONG'!G146)</f>
        <v/>
      </c>
      <c r="G146" s="224">
        <f>IF('TINH_LUONG'!$B146="","",'TINH_LUONG'!O146+'TINH_LUONG'!BO146)</f>
        <v/>
      </c>
      <c r="H146" s="224">
        <f>IF('TINH_LUONG'!$B146="","",SUM('TINH_LUONG'!P146:R146))</f>
        <v/>
      </c>
      <c r="I146" s="224">
        <f>IF('TINH_LUONG'!$B146="","",'TINH_LUONG'!BP146+'TINH_LUONG'!BQ146)</f>
        <v/>
      </c>
      <c r="J146" s="224">
        <f>IF('TINH_LUONG'!$B146="","",'TINH_LUONG'!Z146)</f>
        <v/>
      </c>
      <c r="K146" s="224">
        <f>IF('TINH_LUONG'!$B146="","",'TINH_LUONG'!S146+'TINH_LUONG'!T146)</f>
        <v/>
      </c>
      <c r="L146" s="224">
        <f>IF('TINH_LUONG'!$B146="","",'TINH_LUONG'!W146+'TINH_LUONG'!X146)</f>
        <v/>
      </c>
      <c r="M146" s="224">
        <f>IF('TINH_LUONG'!$B146="","",'TINH_LUONG'!BR146+'TINH_LUONG'!BS146)</f>
        <v/>
      </c>
      <c r="N146" s="224">
        <f>IF('TINH_LUONG'!$B146="","",'TINH_LUONG'!AO146)</f>
        <v/>
      </c>
      <c r="O146" s="224">
        <f>IF('TINH_LUONG'!$B146="","",'TINH_LUONG'!AP146)</f>
        <v/>
      </c>
      <c r="P146" s="224">
        <f>IF('TINH_LUONG'!$B146="","",'TINH_LUONG'!AS146)</f>
        <v/>
      </c>
      <c r="Q146" s="224">
        <f>IF('TINH_LUONG'!$B146="","",'TINH_LUONG'!AJ146)</f>
        <v/>
      </c>
      <c r="R146" s="224">
        <f>IF('TINH_LUONG'!$B146="","",'TINH_LUONG'!AQ146)</f>
        <v/>
      </c>
      <c r="S146" s="224">
        <f>IF('TINH_LUONG'!$B146="","",'TINH_LUONG'!AR146)</f>
        <v/>
      </c>
      <c r="T146" s="224">
        <f>IF('TINH_LUONG'!$B146="","",'TINH_LUONG'!AU146+'TINH_LUONG'!AV146+'TINH_LUONG'!AW146+'TINH_LUONG'!BV146)</f>
        <v/>
      </c>
      <c r="U146" s="224">
        <f>IF('TINH_LUONG'!$B146="","",'TINH_LUONG'!AX146)</f>
        <v/>
      </c>
      <c r="V146" s="224">
        <f>IF('TINH_LUONG'!$B146="","",'TINH_LUONG'!BT146)</f>
        <v/>
      </c>
      <c r="W146" s="224">
        <f>IF('TINH_LUONG'!$B146="","",'TINH_LUONG'!BU146)</f>
        <v/>
      </c>
      <c r="X146" s="235">
        <f>IF('TINH_LUONG'!$B146="","",'TINH_LUONG'!BW146)</f>
        <v/>
      </c>
      <c r="Y146" s="224">
        <f>IF('TINH_LUONG'!$B146="","",'TINH_LUONG'!BC146)</f>
        <v/>
      </c>
      <c r="Z146" s="224">
        <f>IF('TINH_LUONG'!$B146="","",'TINH_LUONG'!BD146)</f>
        <v/>
      </c>
      <c r="AA146" s="150">
        <f>IF('TINH_LUONG'!$B146="","",'TINH_LUONG'!BG146)</f>
        <v/>
      </c>
    </row>
    <row r="147">
      <c r="A147" s="145">
        <f>IF('TINH_LUONG'!$B147="","",'TINH_LUONG'!A147)</f>
        <v/>
      </c>
      <c r="B147" s="145">
        <f>IF('TINH_LUONG'!$B147="","",'TINH_LUONG'!B147)</f>
        <v/>
      </c>
      <c r="C147" s="145">
        <f>IF('TINH_LUONG'!$B147="","",'TINH_LUONG'!C147)</f>
        <v/>
      </c>
      <c r="D147" s="145">
        <f>IF('TINH_LUONG'!$B147="","",'TINH_LUONG'!D147)</f>
        <v/>
      </c>
      <c r="E147" s="145">
        <f>IF('TINH_LUONG'!$B147="","",'TINH_LUONG'!F147)</f>
        <v/>
      </c>
      <c r="F147" s="145">
        <f>IF('TINH_LUONG'!$B147="","",'TINH_LUONG'!G147)</f>
        <v/>
      </c>
      <c r="G147" s="224">
        <f>IF('TINH_LUONG'!$B147="","",'TINH_LUONG'!O147+'TINH_LUONG'!BO147)</f>
        <v/>
      </c>
      <c r="H147" s="224">
        <f>IF('TINH_LUONG'!$B147="","",SUM('TINH_LUONG'!P147:R147))</f>
        <v/>
      </c>
      <c r="I147" s="224">
        <f>IF('TINH_LUONG'!$B147="","",'TINH_LUONG'!BP147+'TINH_LUONG'!BQ147)</f>
        <v/>
      </c>
      <c r="J147" s="224">
        <f>IF('TINH_LUONG'!$B147="","",'TINH_LUONG'!Z147)</f>
        <v/>
      </c>
      <c r="K147" s="224">
        <f>IF('TINH_LUONG'!$B147="","",'TINH_LUONG'!S147+'TINH_LUONG'!T147)</f>
        <v/>
      </c>
      <c r="L147" s="224">
        <f>IF('TINH_LUONG'!$B147="","",'TINH_LUONG'!W147+'TINH_LUONG'!X147)</f>
        <v/>
      </c>
      <c r="M147" s="224">
        <f>IF('TINH_LUONG'!$B147="","",'TINH_LUONG'!BR147+'TINH_LUONG'!BS147)</f>
        <v/>
      </c>
      <c r="N147" s="224">
        <f>IF('TINH_LUONG'!$B147="","",'TINH_LUONG'!AO147)</f>
        <v/>
      </c>
      <c r="O147" s="224">
        <f>IF('TINH_LUONG'!$B147="","",'TINH_LUONG'!AP147)</f>
        <v/>
      </c>
      <c r="P147" s="224">
        <f>IF('TINH_LUONG'!$B147="","",'TINH_LUONG'!AS147)</f>
        <v/>
      </c>
      <c r="Q147" s="224">
        <f>IF('TINH_LUONG'!$B147="","",'TINH_LUONG'!AJ147)</f>
        <v/>
      </c>
      <c r="R147" s="224">
        <f>IF('TINH_LUONG'!$B147="","",'TINH_LUONG'!AQ147)</f>
        <v/>
      </c>
      <c r="S147" s="224">
        <f>IF('TINH_LUONG'!$B147="","",'TINH_LUONG'!AR147)</f>
        <v/>
      </c>
      <c r="T147" s="224">
        <f>IF('TINH_LUONG'!$B147="","",'TINH_LUONG'!AU147+'TINH_LUONG'!AV147+'TINH_LUONG'!AW147+'TINH_LUONG'!BV147)</f>
        <v/>
      </c>
      <c r="U147" s="224">
        <f>IF('TINH_LUONG'!$B147="","",'TINH_LUONG'!AX147)</f>
        <v/>
      </c>
      <c r="V147" s="224">
        <f>IF('TINH_LUONG'!$B147="","",'TINH_LUONG'!BT147)</f>
        <v/>
      </c>
      <c r="W147" s="224">
        <f>IF('TINH_LUONG'!$B147="","",'TINH_LUONG'!BU147)</f>
        <v/>
      </c>
      <c r="X147" s="235">
        <f>IF('TINH_LUONG'!$B147="","",'TINH_LUONG'!BW147)</f>
        <v/>
      </c>
      <c r="Y147" s="224">
        <f>IF('TINH_LUONG'!$B147="","",'TINH_LUONG'!BC147)</f>
        <v/>
      </c>
      <c r="Z147" s="224">
        <f>IF('TINH_LUONG'!$B147="","",'TINH_LUONG'!BD147)</f>
        <v/>
      </c>
      <c r="AA147" s="150">
        <f>IF('TINH_LUONG'!$B147="","",'TINH_LUONG'!BG147)</f>
        <v/>
      </c>
    </row>
    <row r="148">
      <c r="A148" s="145">
        <f>IF('TINH_LUONG'!$B148="","",'TINH_LUONG'!A148)</f>
        <v/>
      </c>
      <c r="B148" s="145">
        <f>IF('TINH_LUONG'!$B148="","",'TINH_LUONG'!B148)</f>
        <v/>
      </c>
      <c r="C148" s="145">
        <f>IF('TINH_LUONG'!$B148="","",'TINH_LUONG'!C148)</f>
        <v/>
      </c>
      <c r="D148" s="145">
        <f>IF('TINH_LUONG'!$B148="","",'TINH_LUONG'!D148)</f>
        <v/>
      </c>
      <c r="E148" s="145">
        <f>IF('TINH_LUONG'!$B148="","",'TINH_LUONG'!F148)</f>
        <v/>
      </c>
      <c r="F148" s="145">
        <f>IF('TINH_LUONG'!$B148="","",'TINH_LUONG'!G148)</f>
        <v/>
      </c>
      <c r="G148" s="224">
        <f>IF('TINH_LUONG'!$B148="","",'TINH_LUONG'!O148+'TINH_LUONG'!BO148)</f>
        <v/>
      </c>
      <c r="H148" s="224">
        <f>IF('TINH_LUONG'!$B148="","",SUM('TINH_LUONG'!P148:R148))</f>
        <v/>
      </c>
      <c r="I148" s="224">
        <f>IF('TINH_LUONG'!$B148="","",'TINH_LUONG'!BP148+'TINH_LUONG'!BQ148)</f>
        <v/>
      </c>
      <c r="J148" s="224">
        <f>IF('TINH_LUONG'!$B148="","",'TINH_LUONG'!Z148)</f>
        <v/>
      </c>
      <c r="K148" s="224">
        <f>IF('TINH_LUONG'!$B148="","",'TINH_LUONG'!S148+'TINH_LUONG'!T148)</f>
        <v/>
      </c>
      <c r="L148" s="224">
        <f>IF('TINH_LUONG'!$B148="","",'TINH_LUONG'!W148+'TINH_LUONG'!X148)</f>
        <v/>
      </c>
      <c r="M148" s="224">
        <f>IF('TINH_LUONG'!$B148="","",'TINH_LUONG'!BR148+'TINH_LUONG'!BS148)</f>
        <v/>
      </c>
      <c r="N148" s="224">
        <f>IF('TINH_LUONG'!$B148="","",'TINH_LUONG'!AO148)</f>
        <v/>
      </c>
      <c r="O148" s="224">
        <f>IF('TINH_LUONG'!$B148="","",'TINH_LUONG'!AP148)</f>
        <v/>
      </c>
      <c r="P148" s="224">
        <f>IF('TINH_LUONG'!$B148="","",'TINH_LUONG'!AS148)</f>
        <v/>
      </c>
      <c r="Q148" s="224">
        <f>IF('TINH_LUONG'!$B148="","",'TINH_LUONG'!AJ148)</f>
        <v/>
      </c>
      <c r="R148" s="224">
        <f>IF('TINH_LUONG'!$B148="","",'TINH_LUONG'!AQ148)</f>
        <v/>
      </c>
      <c r="S148" s="224">
        <f>IF('TINH_LUONG'!$B148="","",'TINH_LUONG'!AR148)</f>
        <v/>
      </c>
      <c r="T148" s="224">
        <f>IF('TINH_LUONG'!$B148="","",'TINH_LUONG'!AU148+'TINH_LUONG'!AV148+'TINH_LUONG'!AW148+'TINH_LUONG'!BV148)</f>
        <v/>
      </c>
      <c r="U148" s="224">
        <f>IF('TINH_LUONG'!$B148="","",'TINH_LUONG'!AX148)</f>
        <v/>
      </c>
      <c r="V148" s="224">
        <f>IF('TINH_LUONG'!$B148="","",'TINH_LUONG'!BT148)</f>
        <v/>
      </c>
      <c r="W148" s="224">
        <f>IF('TINH_LUONG'!$B148="","",'TINH_LUONG'!BU148)</f>
        <v/>
      </c>
      <c r="X148" s="235">
        <f>IF('TINH_LUONG'!$B148="","",'TINH_LUONG'!BW148)</f>
        <v/>
      </c>
      <c r="Y148" s="224">
        <f>IF('TINH_LUONG'!$B148="","",'TINH_LUONG'!BC148)</f>
        <v/>
      </c>
      <c r="Z148" s="224">
        <f>IF('TINH_LUONG'!$B148="","",'TINH_LUONG'!BD148)</f>
        <v/>
      </c>
      <c r="AA148" s="150">
        <f>IF('TINH_LUONG'!$B148="","",'TINH_LUONG'!BG148)</f>
        <v/>
      </c>
    </row>
    <row r="149">
      <c r="A149" s="145">
        <f>IF('TINH_LUONG'!$B149="","",'TINH_LUONG'!A149)</f>
        <v/>
      </c>
      <c r="B149" s="145">
        <f>IF('TINH_LUONG'!$B149="","",'TINH_LUONG'!B149)</f>
        <v/>
      </c>
      <c r="C149" s="145">
        <f>IF('TINH_LUONG'!$B149="","",'TINH_LUONG'!C149)</f>
        <v/>
      </c>
      <c r="D149" s="145">
        <f>IF('TINH_LUONG'!$B149="","",'TINH_LUONG'!D149)</f>
        <v/>
      </c>
      <c r="E149" s="145">
        <f>IF('TINH_LUONG'!$B149="","",'TINH_LUONG'!F149)</f>
        <v/>
      </c>
      <c r="F149" s="145">
        <f>IF('TINH_LUONG'!$B149="","",'TINH_LUONG'!G149)</f>
        <v/>
      </c>
      <c r="G149" s="224">
        <f>IF('TINH_LUONG'!$B149="","",'TINH_LUONG'!O149+'TINH_LUONG'!BO149)</f>
        <v/>
      </c>
      <c r="H149" s="224">
        <f>IF('TINH_LUONG'!$B149="","",SUM('TINH_LUONG'!P149:R149))</f>
        <v/>
      </c>
      <c r="I149" s="224">
        <f>IF('TINH_LUONG'!$B149="","",'TINH_LUONG'!BP149+'TINH_LUONG'!BQ149)</f>
        <v/>
      </c>
      <c r="J149" s="224">
        <f>IF('TINH_LUONG'!$B149="","",'TINH_LUONG'!Z149)</f>
        <v/>
      </c>
      <c r="K149" s="224">
        <f>IF('TINH_LUONG'!$B149="","",'TINH_LUONG'!S149+'TINH_LUONG'!T149)</f>
        <v/>
      </c>
      <c r="L149" s="224">
        <f>IF('TINH_LUONG'!$B149="","",'TINH_LUONG'!W149+'TINH_LUONG'!X149)</f>
        <v/>
      </c>
      <c r="M149" s="224">
        <f>IF('TINH_LUONG'!$B149="","",'TINH_LUONG'!BR149+'TINH_LUONG'!BS149)</f>
        <v/>
      </c>
      <c r="N149" s="224">
        <f>IF('TINH_LUONG'!$B149="","",'TINH_LUONG'!AO149)</f>
        <v/>
      </c>
      <c r="O149" s="224">
        <f>IF('TINH_LUONG'!$B149="","",'TINH_LUONG'!AP149)</f>
        <v/>
      </c>
      <c r="P149" s="224">
        <f>IF('TINH_LUONG'!$B149="","",'TINH_LUONG'!AS149)</f>
        <v/>
      </c>
      <c r="Q149" s="224">
        <f>IF('TINH_LUONG'!$B149="","",'TINH_LUONG'!AJ149)</f>
        <v/>
      </c>
      <c r="R149" s="224">
        <f>IF('TINH_LUONG'!$B149="","",'TINH_LUONG'!AQ149)</f>
        <v/>
      </c>
      <c r="S149" s="224">
        <f>IF('TINH_LUONG'!$B149="","",'TINH_LUONG'!AR149)</f>
        <v/>
      </c>
      <c r="T149" s="224">
        <f>IF('TINH_LUONG'!$B149="","",'TINH_LUONG'!AU149+'TINH_LUONG'!AV149+'TINH_LUONG'!AW149+'TINH_LUONG'!BV149)</f>
        <v/>
      </c>
      <c r="U149" s="224">
        <f>IF('TINH_LUONG'!$B149="","",'TINH_LUONG'!AX149)</f>
        <v/>
      </c>
      <c r="V149" s="224">
        <f>IF('TINH_LUONG'!$B149="","",'TINH_LUONG'!BT149)</f>
        <v/>
      </c>
      <c r="W149" s="224">
        <f>IF('TINH_LUONG'!$B149="","",'TINH_LUONG'!BU149)</f>
        <v/>
      </c>
      <c r="X149" s="235">
        <f>IF('TINH_LUONG'!$B149="","",'TINH_LUONG'!BW149)</f>
        <v/>
      </c>
      <c r="Y149" s="224">
        <f>IF('TINH_LUONG'!$B149="","",'TINH_LUONG'!BC149)</f>
        <v/>
      </c>
      <c r="Z149" s="224">
        <f>IF('TINH_LUONG'!$B149="","",'TINH_LUONG'!BD149)</f>
        <v/>
      </c>
      <c r="AA149" s="150">
        <f>IF('TINH_LUONG'!$B149="","",'TINH_LUONG'!BG149)</f>
        <v/>
      </c>
    </row>
    <row r="150">
      <c r="A150" s="145">
        <f>IF('TINH_LUONG'!$B150="","",'TINH_LUONG'!A150)</f>
        <v/>
      </c>
      <c r="B150" s="145">
        <f>IF('TINH_LUONG'!$B150="","",'TINH_LUONG'!B150)</f>
        <v/>
      </c>
      <c r="C150" s="145">
        <f>IF('TINH_LUONG'!$B150="","",'TINH_LUONG'!C150)</f>
        <v/>
      </c>
      <c r="D150" s="145">
        <f>IF('TINH_LUONG'!$B150="","",'TINH_LUONG'!D150)</f>
        <v/>
      </c>
      <c r="E150" s="145">
        <f>IF('TINH_LUONG'!$B150="","",'TINH_LUONG'!F150)</f>
        <v/>
      </c>
      <c r="F150" s="145">
        <f>IF('TINH_LUONG'!$B150="","",'TINH_LUONG'!G150)</f>
        <v/>
      </c>
      <c r="G150" s="224">
        <f>IF('TINH_LUONG'!$B150="","",'TINH_LUONG'!O150+'TINH_LUONG'!BO150)</f>
        <v/>
      </c>
      <c r="H150" s="224">
        <f>IF('TINH_LUONG'!$B150="","",SUM('TINH_LUONG'!P150:R150))</f>
        <v/>
      </c>
      <c r="I150" s="224">
        <f>IF('TINH_LUONG'!$B150="","",'TINH_LUONG'!BP150+'TINH_LUONG'!BQ150)</f>
        <v/>
      </c>
      <c r="J150" s="224">
        <f>IF('TINH_LUONG'!$B150="","",'TINH_LUONG'!Z150)</f>
        <v/>
      </c>
      <c r="K150" s="224">
        <f>IF('TINH_LUONG'!$B150="","",'TINH_LUONG'!S150+'TINH_LUONG'!T150)</f>
        <v/>
      </c>
      <c r="L150" s="224">
        <f>IF('TINH_LUONG'!$B150="","",'TINH_LUONG'!W150+'TINH_LUONG'!X150)</f>
        <v/>
      </c>
      <c r="M150" s="224">
        <f>IF('TINH_LUONG'!$B150="","",'TINH_LUONG'!BR150+'TINH_LUONG'!BS150)</f>
        <v/>
      </c>
      <c r="N150" s="224">
        <f>IF('TINH_LUONG'!$B150="","",'TINH_LUONG'!AO150)</f>
        <v/>
      </c>
      <c r="O150" s="224">
        <f>IF('TINH_LUONG'!$B150="","",'TINH_LUONG'!AP150)</f>
        <v/>
      </c>
      <c r="P150" s="224">
        <f>IF('TINH_LUONG'!$B150="","",'TINH_LUONG'!AS150)</f>
        <v/>
      </c>
      <c r="Q150" s="224">
        <f>IF('TINH_LUONG'!$B150="","",'TINH_LUONG'!AJ150)</f>
        <v/>
      </c>
      <c r="R150" s="224">
        <f>IF('TINH_LUONG'!$B150="","",'TINH_LUONG'!AQ150)</f>
        <v/>
      </c>
      <c r="S150" s="224">
        <f>IF('TINH_LUONG'!$B150="","",'TINH_LUONG'!AR150)</f>
        <v/>
      </c>
      <c r="T150" s="224">
        <f>IF('TINH_LUONG'!$B150="","",'TINH_LUONG'!AU150+'TINH_LUONG'!AV150+'TINH_LUONG'!AW150+'TINH_LUONG'!BV150)</f>
        <v/>
      </c>
      <c r="U150" s="224">
        <f>IF('TINH_LUONG'!$B150="","",'TINH_LUONG'!AX150)</f>
        <v/>
      </c>
      <c r="V150" s="224">
        <f>IF('TINH_LUONG'!$B150="","",'TINH_LUONG'!BT150)</f>
        <v/>
      </c>
      <c r="W150" s="224">
        <f>IF('TINH_LUONG'!$B150="","",'TINH_LUONG'!BU150)</f>
        <v/>
      </c>
      <c r="X150" s="235">
        <f>IF('TINH_LUONG'!$B150="","",'TINH_LUONG'!BW150)</f>
        <v/>
      </c>
      <c r="Y150" s="224">
        <f>IF('TINH_LUONG'!$B150="","",'TINH_LUONG'!BC150)</f>
        <v/>
      </c>
      <c r="Z150" s="224">
        <f>IF('TINH_LUONG'!$B150="","",'TINH_LUONG'!BD150)</f>
        <v/>
      </c>
      <c r="AA150" s="150">
        <f>IF('TINH_LUONG'!$B150="","",'TINH_LUONG'!BG150)</f>
        <v/>
      </c>
    </row>
    <row r="151">
      <c r="A151" s="145">
        <f>IF('TINH_LUONG'!$B151="","",'TINH_LUONG'!A151)</f>
        <v/>
      </c>
      <c r="B151" s="145">
        <f>IF('TINH_LUONG'!$B151="","",'TINH_LUONG'!B151)</f>
        <v/>
      </c>
      <c r="C151" s="145">
        <f>IF('TINH_LUONG'!$B151="","",'TINH_LUONG'!C151)</f>
        <v/>
      </c>
      <c r="D151" s="145">
        <f>IF('TINH_LUONG'!$B151="","",'TINH_LUONG'!D151)</f>
        <v/>
      </c>
      <c r="E151" s="145">
        <f>IF('TINH_LUONG'!$B151="","",'TINH_LUONG'!F151)</f>
        <v/>
      </c>
      <c r="F151" s="145">
        <f>IF('TINH_LUONG'!$B151="","",'TINH_LUONG'!G151)</f>
        <v/>
      </c>
      <c r="G151" s="224">
        <f>IF('TINH_LUONG'!$B151="","",'TINH_LUONG'!O151+'TINH_LUONG'!BO151)</f>
        <v/>
      </c>
      <c r="H151" s="224">
        <f>IF('TINH_LUONG'!$B151="","",SUM('TINH_LUONG'!P151:R151))</f>
        <v/>
      </c>
      <c r="I151" s="224">
        <f>IF('TINH_LUONG'!$B151="","",'TINH_LUONG'!BP151+'TINH_LUONG'!BQ151)</f>
        <v/>
      </c>
      <c r="J151" s="224">
        <f>IF('TINH_LUONG'!$B151="","",'TINH_LUONG'!Z151)</f>
        <v/>
      </c>
      <c r="K151" s="224">
        <f>IF('TINH_LUONG'!$B151="","",'TINH_LUONG'!S151+'TINH_LUONG'!T151)</f>
        <v/>
      </c>
      <c r="L151" s="224">
        <f>IF('TINH_LUONG'!$B151="","",'TINH_LUONG'!W151+'TINH_LUONG'!X151)</f>
        <v/>
      </c>
      <c r="M151" s="224">
        <f>IF('TINH_LUONG'!$B151="","",'TINH_LUONG'!BR151+'TINH_LUONG'!BS151)</f>
        <v/>
      </c>
      <c r="N151" s="224">
        <f>IF('TINH_LUONG'!$B151="","",'TINH_LUONG'!AO151)</f>
        <v/>
      </c>
      <c r="O151" s="224">
        <f>IF('TINH_LUONG'!$B151="","",'TINH_LUONG'!AP151)</f>
        <v/>
      </c>
      <c r="P151" s="224">
        <f>IF('TINH_LUONG'!$B151="","",'TINH_LUONG'!AS151)</f>
        <v/>
      </c>
      <c r="Q151" s="224">
        <f>IF('TINH_LUONG'!$B151="","",'TINH_LUONG'!AJ151)</f>
        <v/>
      </c>
      <c r="R151" s="224">
        <f>IF('TINH_LUONG'!$B151="","",'TINH_LUONG'!AQ151)</f>
        <v/>
      </c>
      <c r="S151" s="224">
        <f>IF('TINH_LUONG'!$B151="","",'TINH_LUONG'!AR151)</f>
        <v/>
      </c>
      <c r="T151" s="224">
        <f>IF('TINH_LUONG'!$B151="","",'TINH_LUONG'!AU151+'TINH_LUONG'!AV151+'TINH_LUONG'!AW151+'TINH_LUONG'!BV151)</f>
        <v/>
      </c>
      <c r="U151" s="224">
        <f>IF('TINH_LUONG'!$B151="","",'TINH_LUONG'!AX151)</f>
        <v/>
      </c>
      <c r="V151" s="224">
        <f>IF('TINH_LUONG'!$B151="","",'TINH_LUONG'!BT151)</f>
        <v/>
      </c>
      <c r="W151" s="224">
        <f>IF('TINH_LUONG'!$B151="","",'TINH_LUONG'!BU151)</f>
        <v/>
      </c>
      <c r="X151" s="235">
        <f>IF('TINH_LUONG'!$B151="","",'TINH_LUONG'!BW151)</f>
        <v/>
      </c>
      <c r="Y151" s="224">
        <f>IF('TINH_LUONG'!$B151="","",'TINH_LUONG'!BC151)</f>
        <v/>
      </c>
      <c r="Z151" s="224">
        <f>IF('TINH_LUONG'!$B151="","",'TINH_LUONG'!BD151)</f>
        <v/>
      </c>
      <c r="AA151" s="150">
        <f>IF('TINH_LUONG'!$B151="","",'TINH_LUONG'!BG151)</f>
        <v/>
      </c>
    </row>
    <row r="152">
      <c r="A152" s="145">
        <f>IF('TINH_LUONG'!$B152="","",'TINH_LUONG'!A152)</f>
        <v/>
      </c>
      <c r="B152" s="145">
        <f>IF('TINH_LUONG'!$B152="","",'TINH_LUONG'!B152)</f>
        <v/>
      </c>
      <c r="C152" s="145">
        <f>IF('TINH_LUONG'!$B152="","",'TINH_LUONG'!C152)</f>
        <v/>
      </c>
      <c r="D152" s="145">
        <f>IF('TINH_LUONG'!$B152="","",'TINH_LUONG'!D152)</f>
        <v/>
      </c>
      <c r="E152" s="145">
        <f>IF('TINH_LUONG'!$B152="","",'TINH_LUONG'!F152)</f>
        <v/>
      </c>
      <c r="F152" s="145">
        <f>IF('TINH_LUONG'!$B152="","",'TINH_LUONG'!G152)</f>
        <v/>
      </c>
      <c r="G152" s="224">
        <f>IF('TINH_LUONG'!$B152="","",'TINH_LUONG'!O152+'TINH_LUONG'!BO152)</f>
        <v/>
      </c>
      <c r="H152" s="224">
        <f>IF('TINH_LUONG'!$B152="","",SUM('TINH_LUONG'!P152:R152))</f>
        <v/>
      </c>
      <c r="I152" s="224">
        <f>IF('TINH_LUONG'!$B152="","",'TINH_LUONG'!BP152+'TINH_LUONG'!BQ152)</f>
        <v/>
      </c>
      <c r="J152" s="224">
        <f>IF('TINH_LUONG'!$B152="","",'TINH_LUONG'!Z152)</f>
        <v/>
      </c>
      <c r="K152" s="224">
        <f>IF('TINH_LUONG'!$B152="","",'TINH_LUONG'!S152+'TINH_LUONG'!T152)</f>
        <v/>
      </c>
      <c r="L152" s="224">
        <f>IF('TINH_LUONG'!$B152="","",'TINH_LUONG'!W152+'TINH_LUONG'!X152)</f>
        <v/>
      </c>
      <c r="M152" s="224">
        <f>IF('TINH_LUONG'!$B152="","",'TINH_LUONG'!BR152+'TINH_LUONG'!BS152)</f>
        <v/>
      </c>
      <c r="N152" s="224">
        <f>IF('TINH_LUONG'!$B152="","",'TINH_LUONG'!AO152)</f>
        <v/>
      </c>
      <c r="O152" s="224">
        <f>IF('TINH_LUONG'!$B152="","",'TINH_LUONG'!AP152)</f>
        <v/>
      </c>
      <c r="P152" s="224">
        <f>IF('TINH_LUONG'!$B152="","",'TINH_LUONG'!AS152)</f>
        <v/>
      </c>
      <c r="Q152" s="224">
        <f>IF('TINH_LUONG'!$B152="","",'TINH_LUONG'!AJ152)</f>
        <v/>
      </c>
      <c r="R152" s="224">
        <f>IF('TINH_LUONG'!$B152="","",'TINH_LUONG'!AQ152)</f>
        <v/>
      </c>
      <c r="S152" s="224">
        <f>IF('TINH_LUONG'!$B152="","",'TINH_LUONG'!AR152)</f>
        <v/>
      </c>
      <c r="T152" s="224">
        <f>IF('TINH_LUONG'!$B152="","",'TINH_LUONG'!AU152+'TINH_LUONG'!AV152+'TINH_LUONG'!AW152+'TINH_LUONG'!BV152)</f>
        <v/>
      </c>
      <c r="U152" s="224">
        <f>IF('TINH_LUONG'!$B152="","",'TINH_LUONG'!AX152)</f>
        <v/>
      </c>
      <c r="V152" s="224">
        <f>IF('TINH_LUONG'!$B152="","",'TINH_LUONG'!BT152)</f>
        <v/>
      </c>
      <c r="W152" s="224">
        <f>IF('TINH_LUONG'!$B152="","",'TINH_LUONG'!BU152)</f>
        <v/>
      </c>
      <c r="X152" s="235">
        <f>IF('TINH_LUONG'!$B152="","",'TINH_LUONG'!BW152)</f>
        <v/>
      </c>
      <c r="Y152" s="224">
        <f>IF('TINH_LUONG'!$B152="","",'TINH_LUONG'!BC152)</f>
        <v/>
      </c>
      <c r="Z152" s="224">
        <f>IF('TINH_LUONG'!$B152="","",'TINH_LUONG'!BD152)</f>
        <v/>
      </c>
      <c r="AA152" s="150">
        <f>IF('TINH_LUONG'!$B152="","",'TINH_LUONG'!BG152)</f>
        <v/>
      </c>
    </row>
    <row r="153">
      <c r="A153" s="145">
        <f>IF('TINH_LUONG'!$B153="","",'TINH_LUONG'!A153)</f>
        <v/>
      </c>
      <c r="B153" s="145">
        <f>IF('TINH_LUONG'!$B153="","",'TINH_LUONG'!B153)</f>
        <v/>
      </c>
      <c r="C153" s="145">
        <f>IF('TINH_LUONG'!$B153="","",'TINH_LUONG'!C153)</f>
        <v/>
      </c>
      <c r="D153" s="145">
        <f>IF('TINH_LUONG'!$B153="","",'TINH_LUONG'!D153)</f>
        <v/>
      </c>
      <c r="E153" s="145">
        <f>IF('TINH_LUONG'!$B153="","",'TINH_LUONG'!F153)</f>
        <v/>
      </c>
      <c r="F153" s="145">
        <f>IF('TINH_LUONG'!$B153="","",'TINH_LUONG'!G153)</f>
        <v/>
      </c>
      <c r="G153" s="224">
        <f>IF('TINH_LUONG'!$B153="","",'TINH_LUONG'!O153+'TINH_LUONG'!BO153)</f>
        <v/>
      </c>
      <c r="H153" s="224">
        <f>IF('TINH_LUONG'!$B153="","",SUM('TINH_LUONG'!P153:R153))</f>
        <v/>
      </c>
      <c r="I153" s="224">
        <f>IF('TINH_LUONG'!$B153="","",'TINH_LUONG'!BP153+'TINH_LUONG'!BQ153)</f>
        <v/>
      </c>
      <c r="J153" s="224">
        <f>IF('TINH_LUONG'!$B153="","",'TINH_LUONG'!Z153)</f>
        <v/>
      </c>
      <c r="K153" s="224">
        <f>IF('TINH_LUONG'!$B153="","",'TINH_LUONG'!S153+'TINH_LUONG'!T153)</f>
        <v/>
      </c>
      <c r="L153" s="224">
        <f>IF('TINH_LUONG'!$B153="","",'TINH_LUONG'!W153+'TINH_LUONG'!X153)</f>
        <v/>
      </c>
      <c r="M153" s="224">
        <f>IF('TINH_LUONG'!$B153="","",'TINH_LUONG'!BR153+'TINH_LUONG'!BS153)</f>
        <v/>
      </c>
      <c r="N153" s="224">
        <f>IF('TINH_LUONG'!$B153="","",'TINH_LUONG'!AO153)</f>
        <v/>
      </c>
      <c r="O153" s="224">
        <f>IF('TINH_LUONG'!$B153="","",'TINH_LUONG'!AP153)</f>
        <v/>
      </c>
      <c r="P153" s="224">
        <f>IF('TINH_LUONG'!$B153="","",'TINH_LUONG'!AS153)</f>
        <v/>
      </c>
      <c r="Q153" s="224">
        <f>IF('TINH_LUONG'!$B153="","",'TINH_LUONG'!AJ153)</f>
        <v/>
      </c>
      <c r="R153" s="224">
        <f>IF('TINH_LUONG'!$B153="","",'TINH_LUONG'!AQ153)</f>
        <v/>
      </c>
      <c r="S153" s="224">
        <f>IF('TINH_LUONG'!$B153="","",'TINH_LUONG'!AR153)</f>
        <v/>
      </c>
      <c r="T153" s="224">
        <f>IF('TINH_LUONG'!$B153="","",'TINH_LUONG'!AU153+'TINH_LUONG'!AV153+'TINH_LUONG'!AW153+'TINH_LUONG'!BV153)</f>
        <v/>
      </c>
      <c r="U153" s="224">
        <f>IF('TINH_LUONG'!$B153="","",'TINH_LUONG'!AX153)</f>
        <v/>
      </c>
      <c r="V153" s="224">
        <f>IF('TINH_LUONG'!$B153="","",'TINH_LUONG'!BT153)</f>
        <v/>
      </c>
      <c r="W153" s="224">
        <f>IF('TINH_LUONG'!$B153="","",'TINH_LUONG'!BU153)</f>
        <v/>
      </c>
      <c r="X153" s="235">
        <f>IF('TINH_LUONG'!$B153="","",'TINH_LUONG'!BW153)</f>
        <v/>
      </c>
      <c r="Y153" s="224">
        <f>IF('TINH_LUONG'!$B153="","",'TINH_LUONG'!BC153)</f>
        <v/>
      </c>
      <c r="Z153" s="224">
        <f>IF('TINH_LUONG'!$B153="","",'TINH_LUONG'!BD153)</f>
        <v/>
      </c>
      <c r="AA153" s="150">
        <f>IF('TINH_LUONG'!$B153="","",'TINH_LUONG'!BG153)</f>
        <v/>
      </c>
    </row>
    <row r="154">
      <c r="A154" s="145">
        <f>IF('TINH_LUONG'!$B154="","",'TINH_LUONG'!A154)</f>
        <v/>
      </c>
      <c r="B154" s="145">
        <f>IF('TINH_LUONG'!$B154="","",'TINH_LUONG'!B154)</f>
        <v/>
      </c>
      <c r="C154" s="145">
        <f>IF('TINH_LUONG'!$B154="","",'TINH_LUONG'!C154)</f>
        <v/>
      </c>
      <c r="D154" s="145">
        <f>IF('TINH_LUONG'!$B154="","",'TINH_LUONG'!D154)</f>
        <v/>
      </c>
      <c r="E154" s="145">
        <f>IF('TINH_LUONG'!$B154="","",'TINH_LUONG'!F154)</f>
        <v/>
      </c>
      <c r="F154" s="145">
        <f>IF('TINH_LUONG'!$B154="","",'TINH_LUONG'!G154)</f>
        <v/>
      </c>
      <c r="G154" s="224">
        <f>IF('TINH_LUONG'!$B154="","",'TINH_LUONG'!O154+'TINH_LUONG'!BO154)</f>
        <v/>
      </c>
      <c r="H154" s="224">
        <f>IF('TINH_LUONG'!$B154="","",SUM('TINH_LUONG'!P154:R154))</f>
        <v/>
      </c>
      <c r="I154" s="224">
        <f>IF('TINH_LUONG'!$B154="","",'TINH_LUONG'!BP154+'TINH_LUONG'!BQ154)</f>
        <v/>
      </c>
      <c r="J154" s="224">
        <f>IF('TINH_LUONG'!$B154="","",'TINH_LUONG'!Z154)</f>
        <v/>
      </c>
      <c r="K154" s="224">
        <f>IF('TINH_LUONG'!$B154="","",'TINH_LUONG'!S154+'TINH_LUONG'!T154)</f>
        <v/>
      </c>
      <c r="L154" s="224">
        <f>IF('TINH_LUONG'!$B154="","",'TINH_LUONG'!W154+'TINH_LUONG'!X154)</f>
        <v/>
      </c>
      <c r="M154" s="224">
        <f>IF('TINH_LUONG'!$B154="","",'TINH_LUONG'!BR154+'TINH_LUONG'!BS154)</f>
        <v/>
      </c>
      <c r="N154" s="224">
        <f>IF('TINH_LUONG'!$B154="","",'TINH_LUONG'!AO154)</f>
        <v/>
      </c>
      <c r="O154" s="224">
        <f>IF('TINH_LUONG'!$B154="","",'TINH_LUONG'!AP154)</f>
        <v/>
      </c>
      <c r="P154" s="224">
        <f>IF('TINH_LUONG'!$B154="","",'TINH_LUONG'!AS154)</f>
        <v/>
      </c>
      <c r="Q154" s="224">
        <f>IF('TINH_LUONG'!$B154="","",'TINH_LUONG'!AJ154)</f>
        <v/>
      </c>
      <c r="R154" s="224">
        <f>IF('TINH_LUONG'!$B154="","",'TINH_LUONG'!AQ154)</f>
        <v/>
      </c>
      <c r="S154" s="224">
        <f>IF('TINH_LUONG'!$B154="","",'TINH_LUONG'!AR154)</f>
        <v/>
      </c>
      <c r="T154" s="224">
        <f>IF('TINH_LUONG'!$B154="","",'TINH_LUONG'!AU154+'TINH_LUONG'!AV154+'TINH_LUONG'!AW154+'TINH_LUONG'!BV154)</f>
        <v/>
      </c>
      <c r="U154" s="224">
        <f>IF('TINH_LUONG'!$B154="","",'TINH_LUONG'!AX154)</f>
        <v/>
      </c>
      <c r="V154" s="224">
        <f>IF('TINH_LUONG'!$B154="","",'TINH_LUONG'!BT154)</f>
        <v/>
      </c>
      <c r="W154" s="224">
        <f>IF('TINH_LUONG'!$B154="","",'TINH_LUONG'!BU154)</f>
        <v/>
      </c>
      <c r="X154" s="235">
        <f>IF('TINH_LUONG'!$B154="","",'TINH_LUONG'!BW154)</f>
        <v/>
      </c>
      <c r="Y154" s="224">
        <f>IF('TINH_LUONG'!$B154="","",'TINH_LUONG'!BC154)</f>
        <v/>
      </c>
      <c r="Z154" s="224">
        <f>IF('TINH_LUONG'!$B154="","",'TINH_LUONG'!BD154)</f>
        <v/>
      </c>
      <c r="AA154" s="150">
        <f>IF('TINH_LUONG'!$B154="","",'TINH_LUONG'!BG154)</f>
        <v/>
      </c>
    </row>
    <row r="155">
      <c r="A155" s="145">
        <f>IF('TINH_LUONG'!$B155="","",'TINH_LUONG'!A155)</f>
        <v/>
      </c>
      <c r="B155" s="145">
        <f>IF('TINH_LUONG'!$B155="","",'TINH_LUONG'!B155)</f>
        <v/>
      </c>
      <c r="C155" s="145">
        <f>IF('TINH_LUONG'!$B155="","",'TINH_LUONG'!C155)</f>
        <v/>
      </c>
      <c r="D155" s="145">
        <f>IF('TINH_LUONG'!$B155="","",'TINH_LUONG'!D155)</f>
        <v/>
      </c>
      <c r="E155" s="145">
        <f>IF('TINH_LUONG'!$B155="","",'TINH_LUONG'!F155)</f>
        <v/>
      </c>
      <c r="F155" s="145">
        <f>IF('TINH_LUONG'!$B155="","",'TINH_LUONG'!G155)</f>
        <v/>
      </c>
      <c r="G155" s="224">
        <f>IF('TINH_LUONG'!$B155="","",'TINH_LUONG'!O155+'TINH_LUONG'!BO155)</f>
        <v/>
      </c>
      <c r="H155" s="224">
        <f>IF('TINH_LUONG'!$B155="","",SUM('TINH_LUONG'!P155:R155))</f>
        <v/>
      </c>
      <c r="I155" s="224">
        <f>IF('TINH_LUONG'!$B155="","",'TINH_LUONG'!BP155+'TINH_LUONG'!BQ155)</f>
        <v/>
      </c>
      <c r="J155" s="224">
        <f>IF('TINH_LUONG'!$B155="","",'TINH_LUONG'!Z155)</f>
        <v/>
      </c>
      <c r="K155" s="224">
        <f>IF('TINH_LUONG'!$B155="","",'TINH_LUONG'!S155+'TINH_LUONG'!T155)</f>
        <v/>
      </c>
      <c r="L155" s="224">
        <f>IF('TINH_LUONG'!$B155="","",'TINH_LUONG'!W155+'TINH_LUONG'!X155)</f>
        <v/>
      </c>
      <c r="M155" s="224">
        <f>IF('TINH_LUONG'!$B155="","",'TINH_LUONG'!BR155+'TINH_LUONG'!BS155)</f>
        <v/>
      </c>
      <c r="N155" s="224">
        <f>IF('TINH_LUONG'!$B155="","",'TINH_LUONG'!AO155)</f>
        <v/>
      </c>
      <c r="O155" s="224">
        <f>IF('TINH_LUONG'!$B155="","",'TINH_LUONG'!AP155)</f>
        <v/>
      </c>
      <c r="P155" s="224">
        <f>IF('TINH_LUONG'!$B155="","",'TINH_LUONG'!AS155)</f>
        <v/>
      </c>
      <c r="Q155" s="224">
        <f>IF('TINH_LUONG'!$B155="","",'TINH_LUONG'!AJ155)</f>
        <v/>
      </c>
      <c r="R155" s="224">
        <f>IF('TINH_LUONG'!$B155="","",'TINH_LUONG'!AQ155)</f>
        <v/>
      </c>
      <c r="S155" s="224">
        <f>IF('TINH_LUONG'!$B155="","",'TINH_LUONG'!AR155)</f>
        <v/>
      </c>
      <c r="T155" s="224">
        <f>IF('TINH_LUONG'!$B155="","",'TINH_LUONG'!AU155+'TINH_LUONG'!AV155+'TINH_LUONG'!AW155+'TINH_LUONG'!BV155)</f>
        <v/>
      </c>
      <c r="U155" s="224">
        <f>IF('TINH_LUONG'!$B155="","",'TINH_LUONG'!AX155)</f>
        <v/>
      </c>
      <c r="V155" s="224">
        <f>IF('TINH_LUONG'!$B155="","",'TINH_LUONG'!BT155)</f>
        <v/>
      </c>
      <c r="W155" s="224">
        <f>IF('TINH_LUONG'!$B155="","",'TINH_LUONG'!BU155)</f>
        <v/>
      </c>
      <c r="X155" s="235">
        <f>IF('TINH_LUONG'!$B155="","",'TINH_LUONG'!BW155)</f>
        <v/>
      </c>
      <c r="Y155" s="224">
        <f>IF('TINH_LUONG'!$B155="","",'TINH_LUONG'!BC155)</f>
        <v/>
      </c>
      <c r="Z155" s="224">
        <f>IF('TINH_LUONG'!$B155="","",'TINH_LUONG'!BD155)</f>
        <v/>
      </c>
      <c r="AA155" s="150">
        <f>IF('TINH_LUONG'!$B155="","",'TINH_LUONG'!BG155)</f>
        <v/>
      </c>
    </row>
  </sheetData>
  <mergeCells count="3">
    <mergeCell ref="A1:AA1"/>
    <mergeCell ref="A3:AA3"/>
    <mergeCell ref="A2:AA2"/>
  </mergeCells>
  <conditionalFormatting sqref="AA6:AA155">
    <cfRule type="notContainsBlanks" priority="1" dxfId="0"/>
  </conditionalFormatting>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7"/>
  <sheetViews>
    <sheetView showGridLines="0" workbookViewId="0">
      <selection activeCell="A1" sqref="A1"/>
    </sheetView>
  </sheetViews>
  <sheetFormatPr baseColWidth="8" defaultRowHeight="15"/>
  <cols>
    <col width="13" customWidth="1" style="32" min="1" max="1"/>
    <col width="14" customWidth="1" style="32" min="2" max="2"/>
    <col width="14" customWidth="1" style="32" min="3" max="3"/>
    <col width="16" customWidth="1" style="32" min="4" max="4"/>
    <col width="13" customWidth="1" style="32" min="5" max="5"/>
    <col width="14" customWidth="1" style="32" min="6" max="6"/>
    <col width="14" customWidth="1" style="32" min="7" max="7"/>
    <col width="16" customWidth="1" style="32" min="8" max="8"/>
  </cols>
  <sheetData>
    <row r="1" ht="30" customHeight="1" s="32">
      <c r="A1" s="4" t="inlineStr">
        <is>
          <t>PHIẾU LƯƠNG NHÂN VIÊN</t>
        </is>
      </c>
    </row>
    <row r="2">
      <c r="A2" s="174">
        <f>'THAM_SO'!$B$4&amp;" – "&amp;'THAM_SO'!$B$5</f>
        <v/>
      </c>
    </row>
    <row r="3"/>
    <row r="4">
      <c r="A4" s="30" t="inlineStr">
        <is>
          <t>Mã nhân viên</t>
        </is>
      </c>
      <c r="B4" s="203" t="n"/>
      <c r="C4" s="127" t="str"/>
      <c r="D4" s="203" t="n"/>
      <c r="E4" s="30" t="inlineStr">
        <is>
          <t>Kỳ lương</t>
        </is>
      </c>
      <c r="F4" s="203" t="n"/>
      <c r="G4" s="236">
        <f>'THAM_SO'!$B$6</f>
        <v/>
      </c>
      <c r="H4" s="203" t="n"/>
    </row>
    <row r="5"/>
    <row r="6">
      <c r="A6" s="30" t="inlineStr">
        <is>
          <t>Họ và tên</t>
        </is>
      </c>
      <c r="B6" s="203" t="n"/>
      <c r="C6" s="145">
        <f>IFERROR(INDEX('TINH_LUONG'!$C$6:$C$155,MATCH($C$4,'TINH_LUONG'!$B$6:$B$155,0)),"")</f>
        <v/>
      </c>
      <c r="D6" s="203" t="n"/>
      <c r="E6" s="30" t="inlineStr">
        <is>
          <t>Bộ phận</t>
        </is>
      </c>
      <c r="F6" s="203" t="n"/>
      <c r="G6" s="145">
        <f>IFERROR(INDEX('TINH_LUONG'!$D$6:$D$155,MATCH($C$4,'TINH_LUONG'!$B$6:$B$155,0)),"")</f>
        <v/>
      </c>
      <c r="H6" s="203" t="n"/>
    </row>
    <row r="7">
      <c r="A7" s="30" t="inlineStr">
        <is>
          <t>Chức danh</t>
        </is>
      </c>
      <c r="B7" s="203" t="n"/>
      <c r="C7" s="145">
        <f>IFERROR(INDEX('TINH_LUONG'!$E$6:$E$155,MATCH($C$4,'TINH_LUONG'!$B$6:$B$155,0)),"")</f>
        <v/>
      </c>
      <c r="D7" s="203" t="n"/>
      <c r="E7" s="30" t="inlineStr">
        <is>
          <t>Loại lương</t>
        </is>
      </c>
      <c r="F7" s="203" t="n"/>
      <c r="G7" s="145">
        <f>IF($C$4="","",IFERROR(INDEX('TINH_LUONG'!$F$6:$F$155,MATCH($C$4,'TINH_LUONG'!$B$6:$B$155,0)),"")&amp;" / "&amp;IFERROR(INDEX('TINH_LUONG'!$G$6:$G$155,MATCH($C$4,'TINH_LUONG'!$B$6:$B$155,0)),""))</f>
        <v/>
      </c>
      <c r="H7" s="203" t="n"/>
    </row>
    <row r="8">
      <c r="A8" s="30" t="inlineStr">
        <is>
          <t>Căn cứ BH</t>
        </is>
      </c>
      <c r="B8" s="203" t="n"/>
      <c r="C8" s="224">
        <f>IFERROR(INDEX('TINH_LUONG'!$AE$6:$AE$155,MATCH($C$4,'TINH_LUONG'!$B$6:$B$155,0)),"")</f>
        <v/>
      </c>
      <c r="D8" s="203" t="n"/>
      <c r="E8" s="30" t="inlineStr">
        <is>
          <t>Thu nhập tính thuế</t>
        </is>
      </c>
      <c r="F8" s="203" t="n"/>
      <c r="G8" s="224">
        <f>IFERROR(INDEX('TINH_LUONG'!$AQ$6:$AQ$155,MATCH($C$4,'TINH_LUONG'!$B$6:$B$155,0)),"")</f>
        <v/>
      </c>
      <c r="H8" s="203" t="n"/>
    </row>
    <row r="9"/>
    <row r="10" ht="22" customHeight="1" s="32">
      <c r="A10" s="28" t="inlineStr">
        <is>
          <t>CÁC KHOẢN THU NHẬP</t>
        </is>
      </c>
      <c r="E10" s="28" t="inlineStr">
        <is>
          <t>KHẤU TRỪ VÀ CHI TRẢ</t>
        </is>
      </c>
    </row>
    <row r="11" ht="23" customHeight="1" s="32">
      <c r="A11" s="159" t="inlineStr">
        <is>
          <t>Thu nhập chính</t>
        </is>
      </c>
      <c r="B11" s="202" t="n"/>
      <c r="C11" s="203" t="n"/>
      <c r="D11" s="237">
        <f>IFERROR(INDEX('TINH_LUONG'!$O$6:$O$155,MATCH($C$4,'TINH_LUONG'!$B$6:$B$155,0)),"")</f>
        <v/>
      </c>
      <c r="E11" s="159" t="inlineStr">
        <is>
          <t>BHXH</t>
        </is>
      </c>
      <c r="F11" s="202" t="n"/>
      <c r="G11" s="203" t="n"/>
      <c r="H11" s="237">
        <f>IFERROR(INDEX('TINH_LUONG'!$AG$6:$AG$155,MATCH($C$4,'TINH_LUONG'!$B$6:$B$155,0)),"")</f>
        <v/>
      </c>
    </row>
    <row r="12" ht="23" customHeight="1" s="32">
      <c r="A12" s="159" t="inlineStr">
        <is>
          <t>Lương ngày nghỉ hưởng lương</t>
        </is>
      </c>
      <c r="B12" s="202" t="n"/>
      <c r="C12" s="203" t="n"/>
      <c r="D12" s="237">
        <f>IFERROR(INDEX('TINH_LUONG'!$BO$6:$BO$155,MATCH($C$4,'TINH_LUONG'!$B$6:$B$155,0)),"")</f>
        <v/>
      </c>
      <c r="E12" s="159" t="inlineStr">
        <is>
          <t>BHYT</t>
        </is>
      </c>
      <c r="F12" s="202" t="n"/>
      <c r="G12" s="203" t="n"/>
      <c r="H12" s="237">
        <f>IFERROR(INDEX('TINH_LUONG'!$AH$6:$AH$155,MATCH($C$4,'TINH_LUONG'!$B$6:$B$155,0)),"")</f>
        <v/>
      </c>
    </row>
    <row r="13" ht="23" customHeight="1" s="32">
      <c r="A13" s="159" t="inlineStr">
        <is>
          <t>KPI</t>
        </is>
      </c>
      <c r="B13" s="202" t="n"/>
      <c r="C13" s="203" t="n"/>
      <c r="D13" s="237">
        <f>IFERROR(INDEX('TINH_LUONG'!$P$6:$P$155,MATCH($C$4,'TINH_LUONG'!$B$6:$B$155,0)),"")</f>
        <v/>
      </c>
      <c r="E13" s="159" t="inlineStr">
        <is>
          <t>BHTN</t>
        </is>
      </c>
      <c r="F13" s="202" t="n"/>
      <c r="G13" s="203" t="n"/>
      <c r="H13" s="237">
        <f>IFERROR(INDEX('TINH_LUONG'!$AI$6:$AI$155,MATCH($C$4,'TINH_LUONG'!$B$6:$B$155,0)),"")</f>
        <v/>
      </c>
    </row>
    <row r="14" ht="23" customHeight="1" s="32">
      <c r="A14" s="159" t="inlineStr">
        <is>
          <t>Hoa hồng</t>
        </is>
      </c>
      <c r="B14" s="202" t="n"/>
      <c r="C14" s="203" t="n"/>
      <c r="D14" s="237">
        <f>IFERROR(INDEX('TINH_LUONG'!$Q$6:$Q$155,MATCH($C$4,'TINH_LUONG'!$B$6:$B$155,0)),"")</f>
        <v/>
      </c>
      <c r="E14" s="159" t="inlineStr">
        <is>
          <t>Thuế TNCN</t>
        </is>
      </c>
      <c r="F14" s="202" t="n"/>
      <c r="G14" s="203" t="n"/>
      <c r="H14" s="237">
        <f>IFERROR(INDEX('TINH_LUONG'!$AR$6:$AR$155,MATCH($C$4,'TINH_LUONG'!$B$6:$B$155,0)),"")</f>
        <v/>
      </c>
    </row>
    <row r="15" ht="23" customHeight="1" s="32">
      <c r="A15" s="159" t="inlineStr">
        <is>
          <t>Thưởng trong kỳ</t>
        </is>
      </c>
      <c r="B15" s="202" t="n"/>
      <c r="C15" s="203" t="n"/>
      <c r="D15" s="237">
        <f>IFERROR(INDEX('TINH_LUONG'!$R$6:$R$155,MATCH($C$4,'TINH_LUONG'!$B$6:$B$155,0)),"")</f>
        <v/>
      </c>
      <c r="E15" s="159" t="inlineStr">
        <is>
          <t>Đoàn phí</t>
        </is>
      </c>
      <c r="F15" s="202" t="n"/>
      <c r="G15" s="203" t="n"/>
      <c r="H15" s="237">
        <f>IFERROR(INDEX('TINH_LUONG'!$BV$6:$BV$155,MATCH($C$4,'TINH_LUONG'!$B$6:$B$155,0)),"")</f>
        <v/>
      </c>
    </row>
    <row r="16" ht="23" customHeight="1" s="32">
      <c r="A16" s="159" t="inlineStr">
        <is>
          <t>Thưởng tháng 13</t>
        </is>
      </c>
      <c r="B16" s="202" t="n"/>
      <c r="C16" s="203" t="n"/>
      <c r="D16" s="237">
        <f>IFERROR(INDEX('TINH_LUONG'!$BP$6:$BP$155,MATCH($C$4,'TINH_LUONG'!$B$6:$B$155,0)),"")</f>
        <v/>
      </c>
      <c r="E16" s="159" t="inlineStr">
        <is>
          <t>Tạm ứng</t>
        </is>
      </c>
      <c r="F16" s="202" t="n"/>
      <c r="G16" s="203" t="n"/>
      <c r="H16" s="237">
        <f>IFERROR(INDEX('TINH_LUONG'!$AU$6:$AU$155,MATCH($C$4,'TINH_LUONG'!$B$6:$B$155,0)),"")</f>
        <v/>
      </c>
    </row>
    <row r="17" ht="23" customHeight="1" s="32">
      <c r="A17" s="159" t="inlineStr">
        <is>
          <t>Thưởng Tết/khác</t>
        </is>
      </c>
      <c r="B17" s="202" t="n"/>
      <c r="C17" s="203" t="n"/>
      <c r="D17" s="237">
        <f>IFERROR(INDEX('TINH_LUONG'!$BQ$6:$BQ$155,MATCH($C$4,'TINH_LUONG'!$B$6:$B$155,0)),"")</f>
        <v/>
      </c>
      <c r="E17" s="159" t="inlineStr">
        <is>
          <t>Khấu trừ khác</t>
        </is>
      </c>
      <c r="F17" s="202" t="n"/>
      <c r="G17" s="203" t="n"/>
      <c r="H17" s="237">
        <f>IFERROR(INDEX('TINH_LUONG'!$AV$6:$AV$155,MATCH($C$4,'TINH_LUONG'!$B$6:$B$155,0)),"")</f>
        <v/>
      </c>
    </row>
    <row r="18" ht="23" customHeight="1" s="32">
      <c r="A18" s="159" t="inlineStr">
        <is>
          <t>Phụ cấp + tiền ăn</t>
        </is>
      </c>
      <c r="B18" s="202" t="n"/>
      <c r="C18" s="203" t="n"/>
      <c r="D18" s="237">
        <f>IF($C$4="","",IFERROR(INDEX('TINH_LUONG'!$S$6:$S$155,MATCH($C$4,'TINH_LUONG'!$B$6:$B$155,0)),"")+IFERROR(INDEX('TINH_LUONG'!$T$6:$T$155,MATCH($C$4,'TINH_LUONG'!$B$6:$B$155,0)),""))</f>
        <v/>
      </c>
      <c r="E18" s="159" t="inlineStr">
        <is>
          <t>Điều chỉnh PIT</t>
        </is>
      </c>
      <c r="F18" s="202" t="n"/>
      <c r="G18" s="203" t="n"/>
      <c r="H18" s="237">
        <f>IFERROR(INDEX('TINH_LUONG'!$AW$6:$AW$155,MATCH($C$4,'TINH_LUONG'!$B$6:$B$155,0)),"")</f>
        <v/>
      </c>
    </row>
    <row r="19" ht="23" customHeight="1" s="32">
      <c r="A19" s="159" t="inlineStr">
        <is>
          <t>OT/ban đêm</t>
        </is>
      </c>
      <c r="B19" s="202" t="n"/>
      <c r="C19" s="203" t="n"/>
      <c r="D19" s="237">
        <f>IFERROR(INDEX('TINH_LUONG'!$Z$6:$Z$155,MATCH($C$4,'TINH_LUONG'!$B$6:$B$155,0)),"")</f>
        <v/>
      </c>
      <c r="E19" s="159" t="inlineStr">
        <is>
          <t>THỰC LĨNH LƯƠNG</t>
        </is>
      </c>
      <c r="F19" s="202" t="n"/>
      <c r="G19" s="203" t="n"/>
      <c r="H19" s="237">
        <f>IFERROR(INDEX('TINH_LUONG'!$AX$6:$AX$155,MATCH($C$4,'TINH_LUONG'!$B$6:$B$155,0)),"")</f>
        <v/>
      </c>
    </row>
    <row r="20" ht="23" customHeight="1" s="32">
      <c r="A20" s="159" t="inlineStr">
        <is>
          <t>Khoán chi/miễn khác</t>
        </is>
      </c>
      <c r="B20" s="202" t="n"/>
      <c r="C20" s="203" t="n"/>
      <c r="D20" s="237">
        <f>IF($C$4="","",IFERROR(INDEX('TINH_LUONG'!$W$6:$W$155,MATCH($C$4,'TINH_LUONG'!$B$6:$B$155,0)),"")+IFERROR(INDEX('TINH_LUONG'!$X$6:$X$155,MATCH($C$4,'TINH_LUONG'!$B$6:$B$155,0)),""))</f>
        <v/>
      </c>
      <c r="E20" s="159" t="inlineStr">
        <is>
          <t>Trợ cấp BHXH thực tế</t>
        </is>
      </c>
      <c r="F20" s="202" t="n"/>
      <c r="G20" s="203" t="n"/>
      <c r="H20" s="237">
        <f>IFERROR(INDEX('TINH_LUONG'!$BT$6:$BT$155,MATCH($C$4,'TINH_LUONG'!$B$6:$B$155,0)),"")</f>
        <v/>
      </c>
    </row>
    <row r="21" ht="23" customHeight="1" s="32">
      <c r="A21" s="159" t="inlineStr">
        <is>
          <t>Quyết toán nghỉ việc</t>
        </is>
      </c>
      <c r="B21" s="202" t="n"/>
      <c r="C21" s="203" t="n"/>
      <c r="D21" s="237">
        <f>IF($C$4="","",IFERROR(INDEX('TINH_LUONG'!$BR$6:$BR$155,MATCH($C$4,'TINH_LUONG'!$B$6:$B$155,0)),"")+IFERROR(INDEX('TINH_LUONG'!$BS$6:$BS$155,MATCH($C$4,'TINH_LUONG'!$B$6:$B$155,0)),""))</f>
        <v/>
      </c>
      <c r="E21" s="159" t="inlineStr">
        <is>
          <t>BHXH DN trả thay</t>
        </is>
      </c>
      <c r="F21" s="202" t="n"/>
      <c r="G21" s="203" t="n"/>
      <c r="H21" s="237">
        <f>IFERROR(INDEX('TINH_LUONG'!$BU$6:$BU$155,MATCH($C$4,'TINH_LUONG'!$B$6:$B$155,0)),"")</f>
        <v/>
      </c>
    </row>
    <row r="22" ht="23" customHeight="1" s="32">
      <c r="A22" s="31" t="inlineStr">
        <is>
          <t>TỔNG THU NHẬP</t>
        </is>
      </c>
      <c r="B22" s="202" t="n"/>
      <c r="C22" s="203" t="n"/>
      <c r="D22" s="238">
        <f>IFERROR(INDEX('TINH_LUONG'!$AS$6:$AS$155,MATCH($C$4,'TINH_LUONG'!$B$6:$B$155,0)),"")</f>
        <v/>
      </c>
      <c r="E22" s="186" t="inlineStr">
        <is>
          <t>TỔNG CHUYỂN QUA DN</t>
        </is>
      </c>
      <c r="F22" s="202" t="n"/>
      <c r="G22" s="203" t="n"/>
      <c r="H22" s="235">
        <f>IFERROR(INDEX('TINH_LUONG'!$BW$6:$BW$155,MATCH($C$4,'TINH_LUONG'!$B$6:$B$155,0)),"")</f>
        <v/>
      </c>
    </row>
    <row r="23"/>
    <row r="24">
      <c r="A24" s="189" t="inlineStr">
        <is>
          <t>Trợ cấp BHXH là khoản ngoài lương và miễn TNCN; chỉ cộng vào tiền chuyển qua doanh nghiệp khi cột “Cách chi trả” chọn DN trả thay. Người nhận cần phản hồi sai lệch về công, thu nhập, bảo hiểm hoặc thuế theo thời hạn nội bộ.</t>
        </is>
      </c>
    </row>
    <row r="25"/>
    <row r="26"/>
    <row r="27">
      <c r="A27" s="191" t="inlineStr">
        <is>
          <t>Người lập</t>
        </is>
      </c>
      <c r="B27" s="191" t="n"/>
      <c r="C27" s="191" t="inlineStr">
        <is>
          <t>Người lao động</t>
        </is>
      </c>
      <c r="D27" s="191" t="n"/>
      <c r="E27" s="191" t="n"/>
      <c r="F27" s="191" t="inlineStr">
        <is>
          <t>Kế toán trưởng</t>
        </is>
      </c>
      <c r="G27" s="191" t="n"/>
      <c r="H27" s="191" t="inlineStr">
        <is>
          <t>Người phê duyệt</t>
        </is>
      </c>
    </row>
  </sheetData>
  <mergeCells count="45">
    <mergeCell ref="C6:D6"/>
    <mergeCell ref="E13:G13"/>
    <mergeCell ref="E19:G19"/>
    <mergeCell ref="A18:C18"/>
    <mergeCell ref="A21:C21"/>
    <mergeCell ref="A1:H1"/>
    <mergeCell ref="A12:C12"/>
    <mergeCell ref="G8:H8"/>
    <mergeCell ref="A10:D10"/>
    <mergeCell ref="E15:G15"/>
    <mergeCell ref="A6:B6"/>
    <mergeCell ref="E8:F8"/>
    <mergeCell ref="C4:D4"/>
    <mergeCell ref="E4:F4"/>
    <mergeCell ref="A7:B7"/>
    <mergeCell ref="G7:H7"/>
    <mergeCell ref="E11:G11"/>
    <mergeCell ref="A14:C14"/>
    <mergeCell ref="A22:C22"/>
    <mergeCell ref="A17:C17"/>
    <mergeCell ref="G6:H6"/>
    <mergeCell ref="A20:C20"/>
    <mergeCell ref="E16:G16"/>
    <mergeCell ref="E6:F6"/>
    <mergeCell ref="A13:C13"/>
    <mergeCell ref="A19:C19"/>
    <mergeCell ref="E22:G22"/>
    <mergeCell ref="A16:C16"/>
    <mergeCell ref="A2:H2"/>
    <mergeCell ref="E12:G12"/>
    <mergeCell ref="E18:G18"/>
    <mergeCell ref="E21:G21"/>
    <mergeCell ref="A15:C15"/>
    <mergeCell ref="A8:B8"/>
    <mergeCell ref="E10:H10"/>
    <mergeCell ref="C8:D8"/>
    <mergeCell ref="A24:H25"/>
    <mergeCell ref="A4:B4"/>
    <mergeCell ref="G4:H4"/>
    <mergeCell ref="A11:C11"/>
    <mergeCell ref="C7:D7"/>
    <mergeCell ref="E14:G14"/>
    <mergeCell ref="E7:F7"/>
    <mergeCell ref="E17:G17"/>
    <mergeCell ref="E20:G20"/>
  </mergeCells>
  <dataValidations count="1">
    <dataValidation sqref="C4" showDropDown="0" showInputMessage="0" showErrorMessage="0" allowBlank="0" type="list">
      <formula1>'DM_NHAN_SU'!$B$6:$B$155</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28"/>
  <sheetViews>
    <sheetView showGridLines="0" workbookViewId="0">
      <selection activeCell="A1" sqref="A1"/>
    </sheetView>
  </sheetViews>
  <sheetFormatPr baseColWidth="8" defaultRowHeight="15"/>
  <cols>
    <col width="20" customWidth="1" style="32" min="1" max="1"/>
    <col width="12" customWidth="1" style="32" min="2" max="2"/>
    <col width="17" customWidth="1" style="32" min="3" max="3"/>
    <col width="15" customWidth="1" style="32" min="4" max="4"/>
    <col width="17" customWidth="1" style="32" min="5" max="5"/>
    <col width="17" customWidth="1" style="32" min="6" max="6"/>
    <col width="17" customWidth="1" style="32" min="7" max="7"/>
    <col width="4" customWidth="1" style="32" min="8" max="8"/>
    <col width="25" customWidth="1" style="32" min="9" max="9"/>
    <col width="16" customWidth="1" style="32" min="10" max="10"/>
  </cols>
  <sheetData>
    <row r="1" ht="30" customHeight="1" s="32">
      <c r="A1" s="4" t="inlineStr">
        <is>
          <t>TỔNG HỢP QUỸ LƯƠNG – BẢO HIỂM – THUẾ</t>
        </is>
      </c>
    </row>
    <row r="2">
      <c r="A2" s="167">
        <f>'THAM_SO'!$B$4&amp;" | Kỳ lương "&amp;MONTH('THAM_SO'!$B$6)&amp;"/"&amp;YEAR('THAM_SO'!$B$6)</f>
        <v/>
      </c>
    </row>
    <row r="3"/>
    <row r="4" ht="22" customHeight="1" s="32">
      <c r="A4" s="28" t="inlineStr">
        <is>
          <t>CHỈ SỐ TỔNG</t>
        </is>
      </c>
      <c r="E4" s="28" t="inlineStr">
        <is>
          <t>ĐỐI CHIẾU CÁC QUỸ</t>
        </is>
      </c>
      <c r="I4" s="28" t="inlineStr">
        <is>
          <t>KIỂM SOÁT</t>
        </is>
      </c>
    </row>
    <row r="5">
      <c r="A5" s="30" t="inlineStr">
        <is>
          <t>Số nhân viên có lương</t>
        </is>
      </c>
      <c r="B5" s="203" t="n"/>
      <c r="C5" s="239">
        <f>COUNTIF('BANG_LUONG'!$X$6:$X$155,"&gt;0")</f>
        <v/>
      </c>
      <c r="E5" s="38" t="inlineStr">
        <is>
          <t>BHXH NLĐ</t>
        </is>
      </c>
      <c r="F5" s="203" t="n"/>
      <c r="G5" s="224">
        <f>SUM('TINH_LUONG'!$AG$6:$AG$155)</f>
        <v/>
      </c>
      <c r="I5" s="194" t="inlineStr">
        <is>
          <t>Số dòng cảnh báo</t>
        </is>
      </c>
      <c r="J5" s="239">
        <f>COUNTIF('TINH_LUONG'!$BG$6:$BG$155,"?*")</f>
        <v/>
      </c>
    </row>
    <row r="6">
      <c r="A6" s="30" t="inlineStr">
        <is>
          <t>Tổng thu nhập</t>
        </is>
      </c>
      <c r="B6" s="203" t="n"/>
      <c r="C6" s="224">
        <f>SUM('BANG_LUONG'!$P$6:$P$155)</f>
        <v/>
      </c>
      <c r="E6" s="38" t="inlineStr">
        <is>
          <t>BHYT NLĐ</t>
        </is>
      </c>
      <c r="F6" s="203" t="n"/>
      <c r="G6" s="224">
        <f>SUM('TINH_LUONG'!$AH$6:$AH$155)</f>
        <v/>
      </c>
      <c r="I6" s="194" t="inlineStr">
        <is>
          <t>Mã nhân viên trùng</t>
        </is>
      </c>
      <c r="J6" s="239">
        <f>SUMPRODUCT((COUNTIF('DM_NHAN_SU'!$B$6:$B$155,'DM_NHAN_SU'!$B$6:$B$155)&gt;1)*('DM_NHAN_SU'!$B$6:$B$155&lt;&gt;""))</f>
        <v/>
      </c>
    </row>
    <row r="7">
      <c r="A7" s="30" t="inlineStr">
        <is>
          <t>Thu nhập chịu thuế Gross</t>
        </is>
      </c>
      <c r="B7" s="203" t="n"/>
      <c r="C7" s="224">
        <f>SUM('BANG_LUONG'!$N$6:$N$155)</f>
        <v/>
      </c>
      <c r="E7" s="38" t="inlineStr">
        <is>
          <t>BHTN NLĐ</t>
        </is>
      </c>
      <c r="F7" s="203" t="n"/>
      <c r="G7" s="224">
        <f>SUM('TINH_LUONG'!$AI$6:$AI$155)</f>
        <v/>
      </c>
      <c r="I7" s="194" t="inlineStr">
        <is>
          <t>Thực lĩnh âm</t>
        </is>
      </c>
      <c r="J7" s="239">
        <f>COUNTIF('TINH_LUONG'!$AX$6:$AX$155,"&lt;0")</f>
        <v/>
      </c>
    </row>
    <row r="8">
      <c r="A8" s="30" t="inlineStr">
        <is>
          <t>Thu nhập miễn thuế</t>
        </is>
      </c>
      <c r="B8" s="203" t="n"/>
      <c r="C8" s="224">
        <f>SUM('BANG_LUONG'!$O$6:$O$155)</f>
        <v/>
      </c>
      <c r="E8" s="38" t="inlineStr">
        <is>
          <t>BHXH doanh nghiệp</t>
        </is>
      </c>
      <c r="F8" s="203" t="n"/>
      <c r="G8" s="224">
        <f>SUM('TINH_LUONG'!$AY$6:$AY$155)</f>
        <v/>
      </c>
      <c r="I8" s="194" t="inlineStr">
        <is>
          <t>Thiếu tài khoản ngân hàng</t>
        </is>
      </c>
      <c r="J8" s="239">
        <f>SUMPRODUCT(('TINH_LUONG'!$BW$6:$BW$155&gt;0)*('DM_NHAN_SU'!$W$6:$W$155=""))</f>
        <v/>
      </c>
    </row>
    <row r="9">
      <c r="A9" s="30" t="inlineStr">
        <is>
          <t>Thưởng T13 + Tết/khác</t>
        </is>
      </c>
      <c r="B9" s="203" t="n"/>
      <c r="C9" s="224">
        <f>SUM('BANG_LUONG'!$I$6:$I$155)</f>
        <v/>
      </c>
      <c r="E9" s="38" t="inlineStr">
        <is>
          <t>BHYT doanh nghiệp</t>
        </is>
      </c>
      <c r="F9" s="203" t="n"/>
      <c r="G9" s="224">
        <f>SUM('TINH_LUONG'!$AZ$6:$AZ$155)</f>
        <v/>
      </c>
      <c r="I9" s="194" t="inlineStr">
        <is>
          <t>Dòng lệch quy đổi Net</t>
        </is>
      </c>
      <c r="J9" s="239">
        <f>COUNTIF('TINH_LUONG'!$BG$6:$BG$155,"*Lệch quy đổi Net*")</f>
        <v/>
      </c>
    </row>
    <row r="10">
      <c r="A10" s="30" t="inlineStr">
        <is>
          <t>Quyết toán nghỉ việc</t>
        </is>
      </c>
      <c r="B10" s="203" t="n"/>
      <c r="C10" s="224">
        <f>SUM('BANG_LUONG'!$M$6:$M$155)</f>
        <v/>
      </c>
      <c r="E10" s="38" t="inlineStr">
        <is>
          <t>BHTN doanh nghiệp</t>
        </is>
      </c>
      <c r="F10" s="203" t="n"/>
      <c r="G10" s="224">
        <f>SUM('TINH_LUONG'!$BA$6:$BA$155)</f>
        <v/>
      </c>
      <c r="I10" s="194" t="inlineStr">
        <is>
          <t>Sai lệch chế độ BHXH</t>
        </is>
      </c>
      <c r="J10" s="239">
        <f>COUNTIF('CHE_DO_BHXH'!$X$6:$X$155,"&lt;&gt;0")</f>
        <v/>
      </c>
    </row>
    <row r="11">
      <c r="A11" s="30" t="inlineStr">
        <is>
          <t>BH người lao động</t>
        </is>
      </c>
      <c r="B11" s="203" t="n"/>
      <c r="C11" s="224">
        <f>SUM('BANG_LUONG'!$Q$6:$Q$155)</f>
        <v/>
      </c>
      <c r="E11" s="38" t="inlineStr">
        <is>
          <t>Kinh phí công đoàn</t>
        </is>
      </c>
      <c r="F11" s="203" t="n"/>
      <c r="G11" s="224">
        <f>SUM('TINH_LUONG'!$BB$6:$BB$155)</f>
        <v/>
      </c>
      <c r="I11" s="194" t="inlineStr">
        <is>
          <t>Cảnh báo thưởng</t>
        </is>
      </c>
      <c r="J11" s="239">
        <f>COUNTIF('THUONG_T13_TET'!$O$6:$O$155,"?*")</f>
        <v/>
      </c>
    </row>
    <row r="12">
      <c r="A12" s="30" t="inlineStr">
        <is>
          <t>Thuế TNCN</t>
        </is>
      </c>
      <c r="B12" s="203" t="n"/>
      <c r="C12" s="224">
        <f>SUM('BANG_LUONG'!$S$6:$S$155)</f>
        <v/>
      </c>
      <c r="E12" s="38" t="inlineStr">
        <is>
          <t>Tổng DN đóng</t>
        </is>
      </c>
      <c r="F12" s="203" t="n"/>
      <c r="G12" s="224">
        <f>SUM('TINH_LUONG'!$BC$6:$BC$155)</f>
        <v/>
      </c>
      <c r="I12" s="194" t="inlineStr">
        <is>
          <t>Cảnh báo nghỉ việc</t>
        </is>
      </c>
      <c r="J12" s="239">
        <f>COUNTIF('QT_NGHI_VIEC'!$AF$6:$AF$155,"?*")</f>
        <v/>
      </c>
    </row>
    <row r="13">
      <c r="A13" s="30" t="inlineStr">
        <is>
          <t>Đoàn phí người lao động</t>
        </is>
      </c>
      <c r="B13" s="203" t="n"/>
      <c r="C13" s="224">
        <f>SUM('TINH_LUONG'!$BV$6:$BV$155)</f>
        <v/>
      </c>
    </row>
    <row r="14" ht="22" customHeight="1" s="32">
      <c r="A14" s="30" t="inlineStr">
        <is>
          <t>Thực lĩnh lương</t>
        </is>
      </c>
      <c r="B14" s="203" t="n"/>
      <c r="C14" s="224">
        <f>SUM('BANG_LUONG'!$U$6:$U$155)</f>
        <v/>
      </c>
      <c r="E14" s="28" t="inlineStr">
        <is>
          <t>ĐỐI CHIẾU CHẾ ĐỘ BHXH</t>
        </is>
      </c>
    </row>
    <row r="15">
      <c r="A15" s="30" t="inlineStr">
        <is>
          <t>Trợ cấp BHXH thực tế</t>
        </is>
      </c>
      <c r="B15" s="203" t="n"/>
      <c r="C15" s="224">
        <f>SUM('BANG_LUONG'!$V$6:$V$155)</f>
        <v/>
      </c>
      <c r="E15" s="30" t="inlineStr">
        <is>
          <t>Tổng ước tính</t>
        </is>
      </c>
      <c r="F15" s="203" t="n"/>
      <c r="G15" s="224">
        <f>SUM('CHE_DO_BHXH'!$V$6:$V$155)</f>
        <v/>
      </c>
    </row>
    <row r="16">
      <c r="A16" s="30" t="inlineStr">
        <is>
          <t>Tổng chuyển qua doanh nghiệp</t>
        </is>
      </c>
      <c r="B16" s="203" t="n"/>
      <c r="C16" s="224">
        <f>SUM('BANG_LUONG'!$X$6:$X$155)</f>
        <v/>
      </c>
      <c r="E16" s="30" t="inlineStr">
        <is>
          <t>Tổng thực tế</t>
        </is>
      </c>
      <c r="F16" s="203" t="n"/>
      <c r="G16" s="224">
        <f>SUM('CHE_DO_BHXH'!$W$6:$W$155)</f>
        <v/>
      </c>
    </row>
    <row r="17">
      <c r="A17" s="30" t="inlineStr">
        <is>
          <t>Tổng chi phí doanh nghiệp</t>
        </is>
      </c>
      <c r="B17" s="203" t="n"/>
      <c r="C17" s="224">
        <f>SUM('BANG_LUONG'!$Z$6:$Z$155)</f>
        <v/>
      </c>
      <c r="E17" s="30" t="inlineStr">
        <is>
          <t>Chênh lệch thực tế - ước tính</t>
        </is>
      </c>
      <c r="F17" s="203" t="n"/>
      <c r="G17" s="224">
        <f>SUM('CHE_DO_BHXH'!$W$6:$W$155)-SUM('CHE_DO_BHXH'!$V$6:$V$155)</f>
        <v/>
      </c>
    </row>
    <row r="18">
      <c r="E18" s="30" t="inlineStr">
        <is>
          <t>Doanh nghiệp trả thay</t>
        </is>
      </c>
      <c r="F18" s="203" t="n"/>
      <c r="G18" s="224">
        <f>SUM('TINH_LUONG'!$BU$6:$BU$155)</f>
        <v/>
      </c>
    </row>
    <row r="19"/>
    <row r="20"/>
    <row r="21" ht="22" customHeight="1" s="32">
      <c r="A21" s="28" t="inlineStr">
        <is>
          <t>TỔNG HỢP THEO BỘ PHẬN – CÓ THỂ SỬA DANH SÁCH BỘ PHẬN</t>
        </is>
      </c>
    </row>
    <row r="22">
      <c r="A22" s="141" t="inlineStr">
        <is>
          <t>Bộ phận</t>
        </is>
      </c>
      <c r="B22" s="141" t="inlineStr">
        <is>
          <t>Số người</t>
        </is>
      </c>
      <c r="C22" s="141" t="inlineStr">
        <is>
          <t>Tổng thu nhập</t>
        </is>
      </c>
      <c r="D22" s="141" t="inlineStr">
        <is>
          <t>Thuế TNCN</t>
        </is>
      </c>
      <c r="E22" s="141" t="inlineStr">
        <is>
          <t>Thực lĩnh</t>
        </is>
      </c>
      <c r="F22" s="141" t="inlineStr">
        <is>
          <t>Tổng chi phí DN</t>
        </is>
      </c>
    </row>
    <row r="23">
      <c r="A23" s="127" t="inlineStr">
        <is>
          <t>Quản lý</t>
        </is>
      </c>
      <c r="B23" s="239">
        <f>COUNTIF('BANG_LUONG'!$D$6:$D$155,$A23)</f>
        <v/>
      </c>
      <c r="C23" s="224">
        <f>SUMIF('BANG_LUONG'!$D$6:$D$155,$A23,'BANG_LUONG'!$P$6:$P$155)</f>
        <v/>
      </c>
      <c r="D23" s="224">
        <f>SUMIF('BANG_LUONG'!$D$6:$D$155,$A23,'BANG_LUONG'!$S$6:$S$155)</f>
        <v/>
      </c>
      <c r="E23" s="224">
        <f>SUMIF('BANG_LUONG'!$D$6:$D$155,$A23,'BANG_LUONG'!$U$6:$U$155)</f>
        <v/>
      </c>
      <c r="F23" s="224">
        <f>SUMIF('BANG_LUONG'!$D$6:$D$155,$A23,'BANG_LUONG'!$Z$6:$Z$155)</f>
        <v/>
      </c>
    </row>
    <row r="24">
      <c r="A24" s="127" t="inlineStr">
        <is>
          <t>Kế toán</t>
        </is>
      </c>
      <c r="B24" s="239">
        <f>COUNTIF('BANG_LUONG'!$D$6:$D$155,$A24)</f>
        <v/>
      </c>
      <c r="C24" s="224">
        <f>SUMIF('BANG_LUONG'!$D$6:$D$155,$A24,'BANG_LUONG'!$P$6:$P$155)</f>
        <v/>
      </c>
      <c r="D24" s="224">
        <f>SUMIF('BANG_LUONG'!$D$6:$D$155,$A24,'BANG_LUONG'!$S$6:$S$155)</f>
        <v/>
      </c>
      <c r="E24" s="224">
        <f>SUMIF('BANG_LUONG'!$D$6:$D$155,$A24,'BANG_LUONG'!$U$6:$U$155)</f>
        <v/>
      </c>
      <c r="F24" s="224">
        <f>SUMIF('BANG_LUONG'!$D$6:$D$155,$A24,'BANG_LUONG'!$Z$6:$Z$155)</f>
        <v/>
      </c>
    </row>
    <row r="25">
      <c r="A25" s="127" t="inlineStr">
        <is>
          <t>Kinh doanh</t>
        </is>
      </c>
      <c r="B25" s="239">
        <f>COUNTIF('BANG_LUONG'!$D$6:$D$155,$A25)</f>
        <v/>
      </c>
      <c r="C25" s="224">
        <f>SUMIF('BANG_LUONG'!$D$6:$D$155,$A25,'BANG_LUONG'!$P$6:$P$155)</f>
        <v/>
      </c>
      <c r="D25" s="224">
        <f>SUMIF('BANG_LUONG'!$D$6:$D$155,$A25,'BANG_LUONG'!$S$6:$S$155)</f>
        <v/>
      </c>
      <c r="E25" s="224">
        <f>SUMIF('BANG_LUONG'!$D$6:$D$155,$A25,'BANG_LUONG'!$U$6:$U$155)</f>
        <v/>
      </c>
      <c r="F25" s="224">
        <f>SUMIF('BANG_LUONG'!$D$6:$D$155,$A25,'BANG_LUONG'!$Z$6:$Z$155)</f>
        <v/>
      </c>
    </row>
    <row r="26">
      <c r="A26" s="127" t="inlineStr">
        <is>
          <t>Nhân sự</t>
        </is>
      </c>
      <c r="B26" s="239">
        <f>COUNTIF('BANG_LUONG'!$D$6:$D$155,$A26)</f>
        <v/>
      </c>
      <c r="C26" s="224">
        <f>SUMIF('BANG_LUONG'!$D$6:$D$155,$A26,'BANG_LUONG'!$P$6:$P$155)</f>
        <v/>
      </c>
      <c r="D26" s="224">
        <f>SUMIF('BANG_LUONG'!$D$6:$D$155,$A26,'BANG_LUONG'!$S$6:$S$155)</f>
        <v/>
      </c>
      <c r="E26" s="224">
        <f>SUMIF('BANG_LUONG'!$D$6:$D$155,$A26,'BANG_LUONG'!$U$6:$U$155)</f>
        <v/>
      </c>
      <c r="F26" s="224">
        <f>SUMIF('BANG_LUONG'!$D$6:$D$155,$A26,'BANG_LUONG'!$Z$6:$Z$155)</f>
        <v/>
      </c>
    </row>
    <row r="27">
      <c r="A27" s="127" t="inlineStr">
        <is>
          <t>Sản xuất</t>
        </is>
      </c>
      <c r="B27" s="239">
        <f>COUNTIF('BANG_LUONG'!$D$6:$D$155,$A27)</f>
        <v/>
      </c>
      <c r="C27" s="224">
        <f>SUMIF('BANG_LUONG'!$D$6:$D$155,$A27,'BANG_LUONG'!$P$6:$P$155)</f>
        <v/>
      </c>
      <c r="D27" s="224">
        <f>SUMIF('BANG_LUONG'!$D$6:$D$155,$A27,'BANG_LUONG'!$S$6:$S$155)</f>
        <v/>
      </c>
      <c r="E27" s="224">
        <f>SUMIF('BANG_LUONG'!$D$6:$D$155,$A27,'BANG_LUONG'!$U$6:$U$155)</f>
        <v/>
      </c>
      <c r="F27" s="224">
        <f>SUMIF('BANG_LUONG'!$D$6:$D$155,$A27,'BANG_LUONG'!$Z$6:$Z$155)</f>
        <v/>
      </c>
    </row>
    <row r="28">
      <c r="A28" s="127" t="inlineStr">
        <is>
          <t>Khác</t>
        </is>
      </c>
      <c r="B28" s="239">
        <f>COUNTIF('BANG_LUONG'!$D$6:$D$155,$A28)</f>
        <v/>
      </c>
      <c r="C28" s="224">
        <f>SUMIF('BANG_LUONG'!$D$6:$D$155,$A28,'BANG_LUONG'!$P$6:$P$155)</f>
        <v/>
      </c>
      <c r="D28" s="224">
        <f>SUMIF('BANG_LUONG'!$D$6:$D$155,$A28,'BANG_LUONG'!$S$6:$S$155)</f>
        <v/>
      </c>
      <c r="E28" s="224">
        <f>SUMIF('BANG_LUONG'!$D$6:$D$155,$A28,'BANG_LUONG'!$U$6:$U$155)</f>
        <v/>
      </c>
      <c r="F28" s="224">
        <f>SUMIF('BANG_LUONG'!$D$6:$D$155,$A28,'BANG_LUONG'!$Z$6:$Z$155)</f>
        <v/>
      </c>
    </row>
  </sheetData>
  <mergeCells count="32">
    <mergeCell ref="E12:F12"/>
    <mergeCell ref="A15:B15"/>
    <mergeCell ref="A11:B11"/>
    <mergeCell ref="E5:F5"/>
    <mergeCell ref="E17:F17"/>
    <mergeCell ref="E8:F8"/>
    <mergeCell ref="A6:B6"/>
    <mergeCell ref="A16:B16"/>
    <mergeCell ref="A7:B7"/>
    <mergeCell ref="E10:F10"/>
    <mergeCell ref="A4:C4"/>
    <mergeCell ref="E9:F9"/>
    <mergeCell ref="A12:B12"/>
    <mergeCell ref="A1:J1"/>
    <mergeCell ref="E6:F6"/>
    <mergeCell ref="E15:F15"/>
    <mergeCell ref="E11:F11"/>
    <mergeCell ref="A5:B5"/>
    <mergeCell ref="A14:B14"/>
    <mergeCell ref="A17:B17"/>
    <mergeCell ref="A8:B8"/>
    <mergeCell ref="I4:J4"/>
    <mergeCell ref="E16:F16"/>
    <mergeCell ref="E14:G14"/>
    <mergeCell ref="E7:F7"/>
    <mergeCell ref="A10:B10"/>
    <mergeCell ref="A21:J21"/>
    <mergeCell ref="A13:B13"/>
    <mergeCell ref="E4:G4"/>
    <mergeCell ref="A2:J2"/>
    <mergeCell ref="A9:B9"/>
    <mergeCell ref="E18:F18"/>
  </mergeCells>
  <conditionalFormatting sqref="J5:J12">
    <cfRule type="cellIs" priority="1" operator="greaterThan" dxfId="0">
      <formula>0</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155"/>
  <sheetViews>
    <sheetView showGridLines="0" workbookViewId="0">
      <selection activeCell="A1" sqref="A1"/>
    </sheetView>
  </sheetViews>
  <sheetFormatPr baseColWidth="8" defaultRowHeight="15"/>
  <cols>
    <col width="7" customWidth="1" style="32" min="1" max="1"/>
    <col width="12" customWidth="1" style="32" min="2" max="2"/>
    <col width="24" customWidth="1" style="32" min="3" max="3"/>
    <col width="20" customWidth="1" style="32" min="4" max="4"/>
    <col width="20" customWidth="1" style="32" min="5" max="5"/>
    <col width="17" customWidth="1" style="32" min="6" max="6"/>
    <col width="36" customWidth="1" style="32" min="7" max="7"/>
  </cols>
  <sheetData>
    <row r="1" ht="30" customHeight="1" s="32">
      <c r="A1" s="4" t="inlineStr">
        <is>
          <t>DANH SÁCH CHUYỂN KHOẢN LƯƠNG</t>
        </is>
      </c>
    </row>
    <row r="2">
      <c r="A2" s="96" t="inlineStr">
        <is>
          <t>Danh sách tự lấy người có tổng chuyển qua doanh nghiệp dương; số tiền đã gồm trợ cấp BHXH nếu chọn “DN trả thay”. Đây là danh sách kiểm tra chung, không theo định dạng riêng của ngân hàng.</t>
        </is>
      </c>
    </row>
    <row r="3"/>
    <row r="4"/>
    <row r="5" ht="38" customHeight="1" s="32">
      <c r="A5" s="156" t="inlineStr">
        <is>
          <t>STT</t>
        </is>
      </c>
      <c r="B5" s="156" t="inlineStr">
        <is>
          <t>Mã NV</t>
        </is>
      </c>
      <c r="C5" s="156" t="inlineStr">
        <is>
          <t>Họ và tên</t>
        </is>
      </c>
      <c r="D5" s="156" t="inlineStr">
        <is>
          <t>Số tài khoản</t>
        </is>
      </c>
      <c r="E5" s="156" t="inlineStr">
        <is>
          <t>Ngân hàng</t>
        </is>
      </c>
      <c r="F5" s="156" t="inlineStr">
        <is>
          <t>Số tiền</t>
        </is>
      </c>
      <c r="G5" s="156" t="inlineStr">
        <is>
          <t>Nội dung</t>
        </is>
      </c>
    </row>
    <row r="6">
      <c r="A6" s="145">
        <f>IF('TINH_LUONG'!$BW6&gt;0,ROW()-5,"")</f>
        <v/>
      </c>
      <c r="B6" s="145">
        <f>IF('TINH_LUONG'!$BW6&gt;0,'TINH_LUONG'!$B6,"")</f>
        <v/>
      </c>
      <c r="C6" s="145">
        <f>IF('TINH_LUONG'!$BW6&gt;0,'TINH_LUONG'!$C6,"")</f>
        <v/>
      </c>
      <c r="D6" s="240">
        <f>IF('TINH_LUONG'!$BW6&gt;0,'DM_NHAN_SU'!$W6,"")</f>
        <v/>
      </c>
      <c r="E6" s="145">
        <f>IF('TINH_LUONG'!$BW6&gt;0,'DM_NHAN_SU'!$X6,"")</f>
        <v/>
      </c>
      <c r="F6" s="224">
        <f>IF('TINH_LUONG'!$BW6&gt;0,'TINH_LUONG'!$BW6,"")</f>
        <v/>
      </c>
      <c r="G6" s="145">
        <f>IF('TINH_LUONG'!$BW6&gt;0,"LUONG "&amp;MONTH('THAM_SO'!$B$6)&amp;"/"&amp;YEAR('THAM_SO'!$B$6)&amp;" - "&amp;'TINH_LUONG'!$C6,"")</f>
        <v/>
      </c>
    </row>
    <row r="7">
      <c r="A7" s="145">
        <f>IF('TINH_LUONG'!$BW7&gt;0,ROW()-5,"")</f>
        <v/>
      </c>
      <c r="B7" s="145">
        <f>IF('TINH_LUONG'!$BW7&gt;0,'TINH_LUONG'!$B7,"")</f>
        <v/>
      </c>
      <c r="C7" s="145">
        <f>IF('TINH_LUONG'!$BW7&gt;0,'TINH_LUONG'!$C7,"")</f>
        <v/>
      </c>
      <c r="D7" s="240">
        <f>IF('TINH_LUONG'!$BW7&gt;0,'DM_NHAN_SU'!$W7,"")</f>
        <v/>
      </c>
      <c r="E7" s="145">
        <f>IF('TINH_LUONG'!$BW7&gt;0,'DM_NHAN_SU'!$X7,"")</f>
        <v/>
      </c>
      <c r="F7" s="224">
        <f>IF('TINH_LUONG'!$BW7&gt;0,'TINH_LUONG'!$BW7,"")</f>
        <v/>
      </c>
      <c r="G7" s="145">
        <f>IF('TINH_LUONG'!$BW7&gt;0,"LUONG "&amp;MONTH('THAM_SO'!$B$6)&amp;"/"&amp;YEAR('THAM_SO'!$B$6)&amp;" - "&amp;'TINH_LUONG'!$C7,"")</f>
        <v/>
      </c>
    </row>
    <row r="8">
      <c r="A8" s="145">
        <f>IF('TINH_LUONG'!$BW8&gt;0,ROW()-5,"")</f>
        <v/>
      </c>
      <c r="B8" s="145">
        <f>IF('TINH_LUONG'!$BW8&gt;0,'TINH_LUONG'!$B8,"")</f>
        <v/>
      </c>
      <c r="C8" s="145">
        <f>IF('TINH_LUONG'!$BW8&gt;0,'TINH_LUONG'!$C8,"")</f>
        <v/>
      </c>
      <c r="D8" s="240">
        <f>IF('TINH_LUONG'!$BW8&gt;0,'DM_NHAN_SU'!$W8,"")</f>
        <v/>
      </c>
      <c r="E8" s="145">
        <f>IF('TINH_LUONG'!$BW8&gt;0,'DM_NHAN_SU'!$X8,"")</f>
        <v/>
      </c>
      <c r="F8" s="224">
        <f>IF('TINH_LUONG'!$BW8&gt;0,'TINH_LUONG'!$BW8,"")</f>
        <v/>
      </c>
      <c r="G8" s="145">
        <f>IF('TINH_LUONG'!$BW8&gt;0,"LUONG "&amp;MONTH('THAM_SO'!$B$6)&amp;"/"&amp;YEAR('THAM_SO'!$B$6)&amp;" - "&amp;'TINH_LUONG'!$C8,"")</f>
        <v/>
      </c>
    </row>
    <row r="9">
      <c r="A9" s="145">
        <f>IF('TINH_LUONG'!$BW9&gt;0,ROW()-5,"")</f>
        <v/>
      </c>
      <c r="B9" s="145">
        <f>IF('TINH_LUONG'!$BW9&gt;0,'TINH_LUONG'!$B9,"")</f>
        <v/>
      </c>
      <c r="C9" s="145">
        <f>IF('TINH_LUONG'!$BW9&gt;0,'TINH_LUONG'!$C9,"")</f>
        <v/>
      </c>
      <c r="D9" s="240">
        <f>IF('TINH_LUONG'!$BW9&gt;0,'DM_NHAN_SU'!$W9,"")</f>
        <v/>
      </c>
      <c r="E9" s="145">
        <f>IF('TINH_LUONG'!$BW9&gt;0,'DM_NHAN_SU'!$X9,"")</f>
        <v/>
      </c>
      <c r="F9" s="224">
        <f>IF('TINH_LUONG'!$BW9&gt;0,'TINH_LUONG'!$BW9,"")</f>
        <v/>
      </c>
      <c r="G9" s="145">
        <f>IF('TINH_LUONG'!$BW9&gt;0,"LUONG "&amp;MONTH('THAM_SO'!$B$6)&amp;"/"&amp;YEAR('THAM_SO'!$B$6)&amp;" - "&amp;'TINH_LUONG'!$C9,"")</f>
        <v/>
      </c>
    </row>
    <row r="10">
      <c r="A10" s="145">
        <f>IF('TINH_LUONG'!$BW10&gt;0,ROW()-5,"")</f>
        <v/>
      </c>
      <c r="B10" s="145">
        <f>IF('TINH_LUONG'!$BW10&gt;0,'TINH_LUONG'!$B10,"")</f>
        <v/>
      </c>
      <c r="C10" s="145">
        <f>IF('TINH_LUONG'!$BW10&gt;0,'TINH_LUONG'!$C10,"")</f>
        <v/>
      </c>
      <c r="D10" s="240">
        <f>IF('TINH_LUONG'!$BW10&gt;0,'DM_NHAN_SU'!$W10,"")</f>
        <v/>
      </c>
      <c r="E10" s="145">
        <f>IF('TINH_LUONG'!$BW10&gt;0,'DM_NHAN_SU'!$X10,"")</f>
        <v/>
      </c>
      <c r="F10" s="224">
        <f>IF('TINH_LUONG'!$BW10&gt;0,'TINH_LUONG'!$BW10,"")</f>
        <v/>
      </c>
      <c r="G10" s="145">
        <f>IF('TINH_LUONG'!$BW10&gt;0,"LUONG "&amp;MONTH('THAM_SO'!$B$6)&amp;"/"&amp;YEAR('THAM_SO'!$B$6)&amp;" - "&amp;'TINH_LUONG'!$C10,"")</f>
        <v/>
      </c>
    </row>
    <row r="11">
      <c r="A11" s="145">
        <f>IF('TINH_LUONG'!$BW11&gt;0,ROW()-5,"")</f>
        <v/>
      </c>
      <c r="B11" s="145">
        <f>IF('TINH_LUONG'!$BW11&gt;0,'TINH_LUONG'!$B11,"")</f>
        <v/>
      </c>
      <c r="C11" s="145">
        <f>IF('TINH_LUONG'!$BW11&gt;0,'TINH_LUONG'!$C11,"")</f>
        <v/>
      </c>
      <c r="D11" s="240">
        <f>IF('TINH_LUONG'!$BW11&gt;0,'DM_NHAN_SU'!$W11,"")</f>
        <v/>
      </c>
      <c r="E11" s="145">
        <f>IF('TINH_LUONG'!$BW11&gt;0,'DM_NHAN_SU'!$X11,"")</f>
        <v/>
      </c>
      <c r="F11" s="224">
        <f>IF('TINH_LUONG'!$BW11&gt;0,'TINH_LUONG'!$BW11,"")</f>
        <v/>
      </c>
      <c r="G11" s="145">
        <f>IF('TINH_LUONG'!$BW11&gt;0,"LUONG "&amp;MONTH('THAM_SO'!$B$6)&amp;"/"&amp;YEAR('THAM_SO'!$B$6)&amp;" - "&amp;'TINH_LUONG'!$C11,"")</f>
        <v/>
      </c>
    </row>
    <row r="12">
      <c r="A12" s="145">
        <f>IF('TINH_LUONG'!$BW12&gt;0,ROW()-5,"")</f>
        <v/>
      </c>
      <c r="B12" s="145">
        <f>IF('TINH_LUONG'!$BW12&gt;0,'TINH_LUONG'!$B12,"")</f>
        <v/>
      </c>
      <c r="C12" s="145">
        <f>IF('TINH_LUONG'!$BW12&gt;0,'TINH_LUONG'!$C12,"")</f>
        <v/>
      </c>
      <c r="D12" s="240">
        <f>IF('TINH_LUONG'!$BW12&gt;0,'DM_NHAN_SU'!$W12,"")</f>
        <v/>
      </c>
      <c r="E12" s="145">
        <f>IF('TINH_LUONG'!$BW12&gt;0,'DM_NHAN_SU'!$X12,"")</f>
        <v/>
      </c>
      <c r="F12" s="224">
        <f>IF('TINH_LUONG'!$BW12&gt;0,'TINH_LUONG'!$BW12,"")</f>
        <v/>
      </c>
      <c r="G12" s="145">
        <f>IF('TINH_LUONG'!$BW12&gt;0,"LUONG "&amp;MONTH('THAM_SO'!$B$6)&amp;"/"&amp;YEAR('THAM_SO'!$B$6)&amp;" - "&amp;'TINH_LUONG'!$C12,"")</f>
        <v/>
      </c>
    </row>
    <row r="13">
      <c r="A13" s="145">
        <f>IF('TINH_LUONG'!$BW13&gt;0,ROW()-5,"")</f>
        <v/>
      </c>
      <c r="B13" s="145">
        <f>IF('TINH_LUONG'!$BW13&gt;0,'TINH_LUONG'!$B13,"")</f>
        <v/>
      </c>
      <c r="C13" s="145">
        <f>IF('TINH_LUONG'!$BW13&gt;0,'TINH_LUONG'!$C13,"")</f>
        <v/>
      </c>
      <c r="D13" s="240">
        <f>IF('TINH_LUONG'!$BW13&gt;0,'DM_NHAN_SU'!$W13,"")</f>
        <v/>
      </c>
      <c r="E13" s="145">
        <f>IF('TINH_LUONG'!$BW13&gt;0,'DM_NHAN_SU'!$X13,"")</f>
        <v/>
      </c>
      <c r="F13" s="224">
        <f>IF('TINH_LUONG'!$BW13&gt;0,'TINH_LUONG'!$BW13,"")</f>
        <v/>
      </c>
      <c r="G13" s="145">
        <f>IF('TINH_LUONG'!$BW13&gt;0,"LUONG "&amp;MONTH('THAM_SO'!$B$6)&amp;"/"&amp;YEAR('THAM_SO'!$B$6)&amp;" - "&amp;'TINH_LUONG'!$C13,"")</f>
        <v/>
      </c>
    </row>
    <row r="14">
      <c r="A14" s="145">
        <f>IF('TINH_LUONG'!$BW14&gt;0,ROW()-5,"")</f>
        <v/>
      </c>
      <c r="B14" s="145">
        <f>IF('TINH_LUONG'!$BW14&gt;0,'TINH_LUONG'!$B14,"")</f>
        <v/>
      </c>
      <c r="C14" s="145">
        <f>IF('TINH_LUONG'!$BW14&gt;0,'TINH_LUONG'!$C14,"")</f>
        <v/>
      </c>
      <c r="D14" s="240">
        <f>IF('TINH_LUONG'!$BW14&gt;0,'DM_NHAN_SU'!$W14,"")</f>
        <v/>
      </c>
      <c r="E14" s="145">
        <f>IF('TINH_LUONG'!$BW14&gt;0,'DM_NHAN_SU'!$X14,"")</f>
        <v/>
      </c>
      <c r="F14" s="224">
        <f>IF('TINH_LUONG'!$BW14&gt;0,'TINH_LUONG'!$BW14,"")</f>
        <v/>
      </c>
      <c r="G14" s="145">
        <f>IF('TINH_LUONG'!$BW14&gt;0,"LUONG "&amp;MONTH('THAM_SO'!$B$6)&amp;"/"&amp;YEAR('THAM_SO'!$B$6)&amp;" - "&amp;'TINH_LUONG'!$C14,"")</f>
        <v/>
      </c>
    </row>
    <row r="15">
      <c r="A15" s="145">
        <f>IF('TINH_LUONG'!$BW15&gt;0,ROW()-5,"")</f>
        <v/>
      </c>
      <c r="B15" s="145">
        <f>IF('TINH_LUONG'!$BW15&gt;0,'TINH_LUONG'!$B15,"")</f>
        <v/>
      </c>
      <c r="C15" s="145">
        <f>IF('TINH_LUONG'!$BW15&gt;0,'TINH_LUONG'!$C15,"")</f>
        <v/>
      </c>
      <c r="D15" s="240">
        <f>IF('TINH_LUONG'!$BW15&gt;0,'DM_NHAN_SU'!$W15,"")</f>
        <v/>
      </c>
      <c r="E15" s="145">
        <f>IF('TINH_LUONG'!$BW15&gt;0,'DM_NHAN_SU'!$X15,"")</f>
        <v/>
      </c>
      <c r="F15" s="224">
        <f>IF('TINH_LUONG'!$BW15&gt;0,'TINH_LUONG'!$BW15,"")</f>
        <v/>
      </c>
      <c r="G15" s="145">
        <f>IF('TINH_LUONG'!$BW15&gt;0,"LUONG "&amp;MONTH('THAM_SO'!$B$6)&amp;"/"&amp;YEAR('THAM_SO'!$B$6)&amp;" - "&amp;'TINH_LUONG'!$C15,"")</f>
        <v/>
      </c>
    </row>
    <row r="16">
      <c r="A16" s="145">
        <f>IF('TINH_LUONG'!$BW16&gt;0,ROW()-5,"")</f>
        <v/>
      </c>
      <c r="B16" s="145">
        <f>IF('TINH_LUONG'!$BW16&gt;0,'TINH_LUONG'!$B16,"")</f>
        <v/>
      </c>
      <c r="C16" s="145">
        <f>IF('TINH_LUONG'!$BW16&gt;0,'TINH_LUONG'!$C16,"")</f>
        <v/>
      </c>
      <c r="D16" s="240">
        <f>IF('TINH_LUONG'!$BW16&gt;0,'DM_NHAN_SU'!$W16,"")</f>
        <v/>
      </c>
      <c r="E16" s="145">
        <f>IF('TINH_LUONG'!$BW16&gt;0,'DM_NHAN_SU'!$X16,"")</f>
        <v/>
      </c>
      <c r="F16" s="224">
        <f>IF('TINH_LUONG'!$BW16&gt;0,'TINH_LUONG'!$BW16,"")</f>
        <v/>
      </c>
      <c r="G16" s="145">
        <f>IF('TINH_LUONG'!$BW16&gt;0,"LUONG "&amp;MONTH('THAM_SO'!$B$6)&amp;"/"&amp;YEAR('THAM_SO'!$B$6)&amp;" - "&amp;'TINH_LUONG'!$C16,"")</f>
        <v/>
      </c>
    </row>
    <row r="17">
      <c r="A17" s="145">
        <f>IF('TINH_LUONG'!$BW17&gt;0,ROW()-5,"")</f>
        <v/>
      </c>
      <c r="B17" s="145">
        <f>IF('TINH_LUONG'!$BW17&gt;0,'TINH_LUONG'!$B17,"")</f>
        <v/>
      </c>
      <c r="C17" s="145">
        <f>IF('TINH_LUONG'!$BW17&gt;0,'TINH_LUONG'!$C17,"")</f>
        <v/>
      </c>
      <c r="D17" s="240">
        <f>IF('TINH_LUONG'!$BW17&gt;0,'DM_NHAN_SU'!$W17,"")</f>
        <v/>
      </c>
      <c r="E17" s="145">
        <f>IF('TINH_LUONG'!$BW17&gt;0,'DM_NHAN_SU'!$X17,"")</f>
        <v/>
      </c>
      <c r="F17" s="224">
        <f>IF('TINH_LUONG'!$BW17&gt;0,'TINH_LUONG'!$BW17,"")</f>
        <v/>
      </c>
      <c r="G17" s="145">
        <f>IF('TINH_LUONG'!$BW17&gt;0,"LUONG "&amp;MONTH('THAM_SO'!$B$6)&amp;"/"&amp;YEAR('THAM_SO'!$B$6)&amp;" - "&amp;'TINH_LUONG'!$C17,"")</f>
        <v/>
      </c>
    </row>
    <row r="18">
      <c r="A18" s="145">
        <f>IF('TINH_LUONG'!$BW18&gt;0,ROW()-5,"")</f>
        <v/>
      </c>
      <c r="B18" s="145">
        <f>IF('TINH_LUONG'!$BW18&gt;0,'TINH_LUONG'!$B18,"")</f>
        <v/>
      </c>
      <c r="C18" s="145">
        <f>IF('TINH_LUONG'!$BW18&gt;0,'TINH_LUONG'!$C18,"")</f>
        <v/>
      </c>
      <c r="D18" s="240">
        <f>IF('TINH_LUONG'!$BW18&gt;0,'DM_NHAN_SU'!$W18,"")</f>
        <v/>
      </c>
      <c r="E18" s="145">
        <f>IF('TINH_LUONG'!$BW18&gt;0,'DM_NHAN_SU'!$X18,"")</f>
        <v/>
      </c>
      <c r="F18" s="224">
        <f>IF('TINH_LUONG'!$BW18&gt;0,'TINH_LUONG'!$BW18,"")</f>
        <v/>
      </c>
      <c r="G18" s="145">
        <f>IF('TINH_LUONG'!$BW18&gt;0,"LUONG "&amp;MONTH('THAM_SO'!$B$6)&amp;"/"&amp;YEAR('THAM_SO'!$B$6)&amp;" - "&amp;'TINH_LUONG'!$C18,"")</f>
        <v/>
      </c>
    </row>
    <row r="19">
      <c r="A19" s="145">
        <f>IF('TINH_LUONG'!$BW19&gt;0,ROW()-5,"")</f>
        <v/>
      </c>
      <c r="B19" s="145">
        <f>IF('TINH_LUONG'!$BW19&gt;0,'TINH_LUONG'!$B19,"")</f>
        <v/>
      </c>
      <c r="C19" s="145">
        <f>IF('TINH_LUONG'!$BW19&gt;0,'TINH_LUONG'!$C19,"")</f>
        <v/>
      </c>
      <c r="D19" s="240">
        <f>IF('TINH_LUONG'!$BW19&gt;0,'DM_NHAN_SU'!$W19,"")</f>
        <v/>
      </c>
      <c r="E19" s="145">
        <f>IF('TINH_LUONG'!$BW19&gt;0,'DM_NHAN_SU'!$X19,"")</f>
        <v/>
      </c>
      <c r="F19" s="224">
        <f>IF('TINH_LUONG'!$BW19&gt;0,'TINH_LUONG'!$BW19,"")</f>
        <v/>
      </c>
      <c r="G19" s="145">
        <f>IF('TINH_LUONG'!$BW19&gt;0,"LUONG "&amp;MONTH('THAM_SO'!$B$6)&amp;"/"&amp;YEAR('THAM_SO'!$B$6)&amp;" - "&amp;'TINH_LUONG'!$C19,"")</f>
        <v/>
      </c>
    </row>
    <row r="20">
      <c r="A20" s="145">
        <f>IF('TINH_LUONG'!$BW20&gt;0,ROW()-5,"")</f>
        <v/>
      </c>
      <c r="B20" s="145">
        <f>IF('TINH_LUONG'!$BW20&gt;0,'TINH_LUONG'!$B20,"")</f>
        <v/>
      </c>
      <c r="C20" s="145">
        <f>IF('TINH_LUONG'!$BW20&gt;0,'TINH_LUONG'!$C20,"")</f>
        <v/>
      </c>
      <c r="D20" s="240">
        <f>IF('TINH_LUONG'!$BW20&gt;0,'DM_NHAN_SU'!$W20,"")</f>
        <v/>
      </c>
      <c r="E20" s="145">
        <f>IF('TINH_LUONG'!$BW20&gt;0,'DM_NHAN_SU'!$X20,"")</f>
        <v/>
      </c>
      <c r="F20" s="224">
        <f>IF('TINH_LUONG'!$BW20&gt;0,'TINH_LUONG'!$BW20,"")</f>
        <v/>
      </c>
      <c r="G20" s="145">
        <f>IF('TINH_LUONG'!$BW20&gt;0,"LUONG "&amp;MONTH('THAM_SO'!$B$6)&amp;"/"&amp;YEAR('THAM_SO'!$B$6)&amp;" - "&amp;'TINH_LUONG'!$C20,"")</f>
        <v/>
      </c>
    </row>
    <row r="21">
      <c r="A21" s="145">
        <f>IF('TINH_LUONG'!$BW21&gt;0,ROW()-5,"")</f>
        <v/>
      </c>
      <c r="B21" s="145">
        <f>IF('TINH_LUONG'!$BW21&gt;0,'TINH_LUONG'!$B21,"")</f>
        <v/>
      </c>
      <c r="C21" s="145">
        <f>IF('TINH_LUONG'!$BW21&gt;0,'TINH_LUONG'!$C21,"")</f>
        <v/>
      </c>
      <c r="D21" s="240">
        <f>IF('TINH_LUONG'!$BW21&gt;0,'DM_NHAN_SU'!$W21,"")</f>
        <v/>
      </c>
      <c r="E21" s="145">
        <f>IF('TINH_LUONG'!$BW21&gt;0,'DM_NHAN_SU'!$X21,"")</f>
        <v/>
      </c>
      <c r="F21" s="224">
        <f>IF('TINH_LUONG'!$BW21&gt;0,'TINH_LUONG'!$BW21,"")</f>
        <v/>
      </c>
      <c r="G21" s="145">
        <f>IF('TINH_LUONG'!$BW21&gt;0,"LUONG "&amp;MONTH('THAM_SO'!$B$6)&amp;"/"&amp;YEAR('THAM_SO'!$B$6)&amp;" - "&amp;'TINH_LUONG'!$C21,"")</f>
        <v/>
      </c>
    </row>
    <row r="22">
      <c r="A22" s="145">
        <f>IF('TINH_LUONG'!$BW22&gt;0,ROW()-5,"")</f>
        <v/>
      </c>
      <c r="B22" s="145">
        <f>IF('TINH_LUONG'!$BW22&gt;0,'TINH_LUONG'!$B22,"")</f>
        <v/>
      </c>
      <c r="C22" s="145">
        <f>IF('TINH_LUONG'!$BW22&gt;0,'TINH_LUONG'!$C22,"")</f>
        <v/>
      </c>
      <c r="D22" s="240">
        <f>IF('TINH_LUONG'!$BW22&gt;0,'DM_NHAN_SU'!$W22,"")</f>
        <v/>
      </c>
      <c r="E22" s="145">
        <f>IF('TINH_LUONG'!$BW22&gt;0,'DM_NHAN_SU'!$X22,"")</f>
        <v/>
      </c>
      <c r="F22" s="224">
        <f>IF('TINH_LUONG'!$BW22&gt;0,'TINH_LUONG'!$BW22,"")</f>
        <v/>
      </c>
      <c r="G22" s="145">
        <f>IF('TINH_LUONG'!$BW22&gt;0,"LUONG "&amp;MONTH('THAM_SO'!$B$6)&amp;"/"&amp;YEAR('THAM_SO'!$B$6)&amp;" - "&amp;'TINH_LUONG'!$C22,"")</f>
        <v/>
      </c>
    </row>
    <row r="23">
      <c r="A23" s="145">
        <f>IF('TINH_LUONG'!$BW23&gt;0,ROW()-5,"")</f>
        <v/>
      </c>
      <c r="B23" s="145">
        <f>IF('TINH_LUONG'!$BW23&gt;0,'TINH_LUONG'!$B23,"")</f>
        <v/>
      </c>
      <c r="C23" s="145">
        <f>IF('TINH_LUONG'!$BW23&gt;0,'TINH_LUONG'!$C23,"")</f>
        <v/>
      </c>
      <c r="D23" s="240">
        <f>IF('TINH_LUONG'!$BW23&gt;0,'DM_NHAN_SU'!$W23,"")</f>
        <v/>
      </c>
      <c r="E23" s="145">
        <f>IF('TINH_LUONG'!$BW23&gt;0,'DM_NHAN_SU'!$X23,"")</f>
        <v/>
      </c>
      <c r="F23" s="224">
        <f>IF('TINH_LUONG'!$BW23&gt;0,'TINH_LUONG'!$BW23,"")</f>
        <v/>
      </c>
      <c r="G23" s="145">
        <f>IF('TINH_LUONG'!$BW23&gt;0,"LUONG "&amp;MONTH('THAM_SO'!$B$6)&amp;"/"&amp;YEAR('THAM_SO'!$B$6)&amp;" - "&amp;'TINH_LUONG'!$C23,"")</f>
        <v/>
      </c>
    </row>
    <row r="24">
      <c r="A24" s="145">
        <f>IF('TINH_LUONG'!$BW24&gt;0,ROW()-5,"")</f>
        <v/>
      </c>
      <c r="B24" s="145">
        <f>IF('TINH_LUONG'!$BW24&gt;0,'TINH_LUONG'!$B24,"")</f>
        <v/>
      </c>
      <c r="C24" s="145">
        <f>IF('TINH_LUONG'!$BW24&gt;0,'TINH_LUONG'!$C24,"")</f>
        <v/>
      </c>
      <c r="D24" s="240">
        <f>IF('TINH_LUONG'!$BW24&gt;0,'DM_NHAN_SU'!$W24,"")</f>
        <v/>
      </c>
      <c r="E24" s="145">
        <f>IF('TINH_LUONG'!$BW24&gt;0,'DM_NHAN_SU'!$X24,"")</f>
        <v/>
      </c>
      <c r="F24" s="224">
        <f>IF('TINH_LUONG'!$BW24&gt;0,'TINH_LUONG'!$BW24,"")</f>
        <v/>
      </c>
      <c r="G24" s="145">
        <f>IF('TINH_LUONG'!$BW24&gt;0,"LUONG "&amp;MONTH('THAM_SO'!$B$6)&amp;"/"&amp;YEAR('THAM_SO'!$B$6)&amp;" - "&amp;'TINH_LUONG'!$C24,"")</f>
        <v/>
      </c>
    </row>
    <row r="25">
      <c r="A25" s="145">
        <f>IF('TINH_LUONG'!$BW25&gt;0,ROW()-5,"")</f>
        <v/>
      </c>
      <c r="B25" s="145">
        <f>IF('TINH_LUONG'!$BW25&gt;0,'TINH_LUONG'!$B25,"")</f>
        <v/>
      </c>
      <c r="C25" s="145">
        <f>IF('TINH_LUONG'!$BW25&gt;0,'TINH_LUONG'!$C25,"")</f>
        <v/>
      </c>
      <c r="D25" s="240">
        <f>IF('TINH_LUONG'!$BW25&gt;0,'DM_NHAN_SU'!$W25,"")</f>
        <v/>
      </c>
      <c r="E25" s="145">
        <f>IF('TINH_LUONG'!$BW25&gt;0,'DM_NHAN_SU'!$X25,"")</f>
        <v/>
      </c>
      <c r="F25" s="224">
        <f>IF('TINH_LUONG'!$BW25&gt;0,'TINH_LUONG'!$BW25,"")</f>
        <v/>
      </c>
      <c r="G25" s="145">
        <f>IF('TINH_LUONG'!$BW25&gt;0,"LUONG "&amp;MONTH('THAM_SO'!$B$6)&amp;"/"&amp;YEAR('THAM_SO'!$B$6)&amp;" - "&amp;'TINH_LUONG'!$C25,"")</f>
        <v/>
      </c>
    </row>
    <row r="26">
      <c r="A26" s="145">
        <f>IF('TINH_LUONG'!$BW26&gt;0,ROW()-5,"")</f>
        <v/>
      </c>
      <c r="B26" s="145">
        <f>IF('TINH_LUONG'!$BW26&gt;0,'TINH_LUONG'!$B26,"")</f>
        <v/>
      </c>
      <c r="C26" s="145">
        <f>IF('TINH_LUONG'!$BW26&gt;0,'TINH_LUONG'!$C26,"")</f>
        <v/>
      </c>
      <c r="D26" s="240">
        <f>IF('TINH_LUONG'!$BW26&gt;0,'DM_NHAN_SU'!$W26,"")</f>
        <v/>
      </c>
      <c r="E26" s="145">
        <f>IF('TINH_LUONG'!$BW26&gt;0,'DM_NHAN_SU'!$X26,"")</f>
        <v/>
      </c>
      <c r="F26" s="224">
        <f>IF('TINH_LUONG'!$BW26&gt;0,'TINH_LUONG'!$BW26,"")</f>
        <v/>
      </c>
      <c r="G26" s="145">
        <f>IF('TINH_LUONG'!$BW26&gt;0,"LUONG "&amp;MONTH('THAM_SO'!$B$6)&amp;"/"&amp;YEAR('THAM_SO'!$B$6)&amp;" - "&amp;'TINH_LUONG'!$C26,"")</f>
        <v/>
      </c>
    </row>
    <row r="27">
      <c r="A27" s="145">
        <f>IF('TINH_LUONG'!$BW27&gt;0,ROW()-5,"")</f>
        <v/>
      </c>
      <c r="B27" s="145">
        <f>IF('TINH_LUONG'!$BW27&gt;0,'TINH_LUONG'!$B27,"")</f>
        <v/>
      </c>
      <c r="C27" s="145">
        <f>IF('TINH_LUONG'!$BW27&gt;0,'TINH_LUONG'!$C27,"")</f>
        <v/>
      </c>
      <c r="D27" s="240">
        <f>IF('TINH_LUONG'!$BW27&gt;0,'DM_NHAN_SU'!$W27,"")</f>
        <v/>
      </c>
      <c r="E27" s="145">
        <f>IF('TINH_LUONG'!$BW27&gt;0,'DM_NHAN_SU'!$X27,"")</f>
        <v/>
      </c>
      <c r="F27" s="224">
        <f>IF('TINH_LUONG'!$BW27&gt;0,'TINH_LUONG'!$BW27,"")</f>
        <v/>
      </c>
      <c r="G27" s="145">
        <f>IF('TINH_LUONG'!$BW27&gt;0,"LUONG "&amp;MONTH('THAM_SO'!$B$6)&amp;"/"&amp;YEAR('THAM_SO'!$B$6)&amp;" - "&amp;'TINH_LUONG'!$C27,"")</f>
        <v/>
      </c>
    </row>
    <row r="28">
      <c r="A28" s="145">
        <f>IF('TINH_LUONG'!$BW28&gt;0,ROW()-5,"")</f>
        <v/>
      </c>
      <c r="B28" s="145">
        <f>IF('TINH_LUONG'!$BW28&gt;0,'TINH_LUONG'!$B28,"")</f>
        <v/>
      </c>
      <c r="C28" s="145">
        <f>IF('TINH_LUONG'!$BW28&gt;0,'TINH_LUONG'!$C28,"")</f>
        <v/>
      </c>
      <c r="D28" s="240">
        <f>IF('TINH_LUONG'!$BW28&gt;0,'DM_NHAN_SU'!$W28,"")</f>
        <v/>
      </c>
      <c r="E28" s="145">
        <f>IF('TINH_LUONG'!$BW28&gt;0,'DM_NHAN_SU'!$X28,"")</f>
        <v/>
      </c>
      <c r="F28" s="224">
        <f>IF('TINH_LUONG'!$BW28&gt;0,'TINH_LUONG'!$BW28,"")</f>
        <v/>
      </c>
      <c r="G28" s="145">
        <f>IF('TINH_LUONG'!$BW28&gt;0,"LUONG "&amp;MONTH('THAM_SO'!$B$6)&amp;"/"&amp;YEAR('THAM_SO'!$B$6)&amp;" - "&amp;'TINH_LUONG'!$C28,"")</f>
        <v/>
      </c>
    </row>
    <row r="29">
      <c r="A29" s="145">
        <f>IF('TINH_LUONG'!$BW29&gt;0,ROW()-5,"")</f>
        <v/>
      </c>
      <c r="B29" s="145">
        <f>IF('TINH_LUONG'!$BW29&gt;0,'TINH_LUONG'!$B29,"")</f>
        <v/>
      </c>
      <c r="C29" s="145">
        <f>IF('TINH_LUONG'!$BW29&gt;0,'TINH_LUONG'!$C29,"")</f>
        <v/>
      </c>
      <c r="D29" s="240">
        <f>IF('TINH_LUONG'!$BW29&gt;0,'DM_NHAN_SU'!$W29,"")</f>
        <v/>
      </c>
      <c r="E29" s="145">
        <f>IF('TINH_LUONG'!$BW29&gt;0,'DM_NHAN_SU'!$X29,"")</f>
        <v/>
      </c>
      <c r="F29" s="224">
        <f>IF('TINH_LUONG'!$BW29&gt;0,'TINH_LUONG'!$BW29,"")</f>
        <v/>
      </c>
      <c r="G29" s="145">
        <f>IF('TINH_LUONG'!$BW29&gt;0,"LUONG "&amp;MONTH('THAM_SO'!$B$6)&amp;"/"&amp;YEAR('THAM_SO'!$B$6)&amp;" - "&amp;'TINH_LUONG'!$C29,"")</f>
        <v/>
      </c>
    </row>
    <row r="30">
      <c r="A30" s="145">
        <f>IF('TINH_LUONG'!$BW30&gt;0,ROW()-5,"")</f>
        <v/>
      </c>
      <c r="B30" s="145">
        <f>IF('TINH_LUONG'!$BW30&gt;0,'TINH_LUONG'!$B30,"")</f>
        <v/>
      </c>
      <c r="C30" s="145">
        <f>IF('TINH_LUONG'!$BW30&gt;0,'TINH_LUONG'!$C30,"")</f>
        <v/>
      </c>
      <c r="D30" s="240">
        <f>IF('TINH_LUONG'!$BW30&gt;0,'DM_NHAN_SU'!$W30,"")</f>
        <v/>
      </c>
      <c r="E30" s="145">
        <f>IF('TINH_LUONG'!$BW30&gt;0,'DM_NHAN_SU'!$X30,"")</f>
        <v/>
      </c>
      <c r="F30" s="224">
        <f>IF('TINH_LUONG'!$BW30&gt;0,'TINH_LUONG'!$BW30,"")</f>
        <v/>
      </c>
      <c r="G30" s="145">
        <f>IF('TINH_LUONG'!$BW30&gt;0,"LUONG "&amp;MONTH('THAM_SO'!$B$6)&amp;"/"&amp;YEAR('THAM_SO'!$B$6)&amp;" - "&amp;'TINH_LUONG'!$C30,"")</f>
        <v/>
      </c>
    </row>
    <row r="31">
      <c r="A31" s="145">
        <f>IF('TINH_LUONG'!$BW31&gt;0,ROW()-5,"")</f>
        <v/>
      </c>
      <c r="B31" s="145">
        <f>IF('TINH_LUONG'!$BW31&gt;0,'TINH_LUONG'!$B31,"")</f>
        <v/>
      </c>
      <c r="C31" s="145">
        <f>IF('TINH_LUONG'!$BW31&gt;0,'TINH_LUONG'!$C31,"")</f>
        <v/>
      </c>
      <c r="D31" s="240">
        <f>IF('TINH_LUONG'!$BW31&gt;0,'DM_NHAN_SU'!$W31,"")</f>
        <v/>
      </c>
      <c r="E31" s="145">
        <f>IF('TINH_LUONG'!$BW31&gt;0,'DM_NHAN_SU'!$X31,"")</f>
        <v/>
      </c>
      <c r="F31" s="224">
        <f>IF('TINH_LUONG'!$BW31&gt;0,'TINH_LUONG'!$BW31,"")</f>
        <v/>
      </c>
      <c r="G31" s="145">
        <f>IF('TINH_LUONG'!$BW31&gt;0,"LUONG "&amp;MONTH('THAM_SO'!$B$6)&amp;"/"&amp;YEAR('THAM_SO'!$B$6)&amp;" - "&amp;'TINH_LUONG'!$C31,"")</f>
        <v/>
      </c>
    </row>
    <row r="32">
      <c r="A32" s="145">
        <f>IF('TINH_LUONG'!$BW32&gt;0,ROW()-5,"")</f>
        <v/>
      </c>
      <c r="B32" s="145">
        <f>IF('TINH_LUONG'!$BW32&gt;0,'TINH_LUONG'!$B32,"")</f>
        <v/>
      </c>
      <c r="C32" s="145">
        <f>IF('TINH_LUONG'!$BW32&gt;0,'TINH_LUONG'!$C32,"")</f>
        <v/>
      </c>
      <c r="D32" s="240">
        <f>IF('TINH_LUONG'!$BW32&gt;0,'DM_NHAN_SU'!$W32,"")</f>
        <v/>
      </c>
      <c r="E32" s="145">
        <f>IF('TINH_LUONG'!$BW32&gt;0,'DM_NHAN_SU'!$X32,"")</f>
        <v/>
      </c>
      <c r="F32" s="224">
        <f>IF('TINH_LUONG'!$BW32&gt;0,'TINH_LUONG'!$BW32,"")</f>
        <v/>
      </c>
      <c r="G32" s="145">
        <f>IF('TINH_LUONG'!$BW32&gt;0,"LUONG "&amp;MONTH('THAM_SO'!$B$6)&amp;"/"&amp;YEAR('THAM_SO'!$B$6)&amp;" - "&amp;'TINH_LUONG'!$C32,"")</f>
        <v/>
      </c>
    </row>
    <row r="33">
      <c r="A33" s="145">
        <f>IF('TINH_LUONG'!$BW33&gt;0,ROW()-5,"")</f>
        <v/>
      </c>
      <c r="B33" s="145">
        <f>IF('TINH_LUONG'!$BW33&gt;0,'TINH_LUONG'!$B33,"")</f>
        <v/>
      </c>
      <c r="C33" s="145">
        <f>IF('TINH_LUONG'!$BW33&gt;0,'TINH_LUONG'!$C33,"")</f>
        <v/>
      </c>
      <c r="D33" s="240">
        <f>IF('TINH_LUONG'!$BW33&gt;0,'DM_NHAN_SU'!$W33,"")</f>
        <v/>
      </c>
      <c r="E33" s="145">
        <f>IF('TINH_LUONG'!$BW33&gt;0,'DM_NHAN_SU'!$X33,"")</f>
        <v/>
      </c>
      <c r="F33" s="224">
        <f>IF('TINH_LUONG'!$BW33&gt;0,'TINH_LUONG'!$BW33,"")</f>
        <v/>
      </c>
      <c r="G33" s="145">
        <f>IF('TINH_LUONG'!$BW33&gt;0,"LUONG "&amp;MONTH('THAM_SO'!$B$6)&amp;"/"&amp;YEAR('THAM_SO'!$B$6)&amp;" - "&amp;'TINH_LUONG'!$C33,"")</f>
        <v/>
      </c>
    </row>
    <row r="34">
      <c r="A34" s="145">
        <f>IF('TINH_LUONG'!$BW34&gt;0,ROW()-5,"")</f>
        <v/>
      </c>
      <c r="B34" s="145">
        <f>IF('TINH_LUONG'!$BW34&gt;0,'TINH_LUONG'!$B34,"")</f>
        <v/>
      </c>
      <c r="C34" s="145">
        <f>IF('TINH_LUONG'!$BW34&gt;0,'TINH_LUONG'!$C34,"")</f>
        <v/>
      </c>
      <c r="D34" s="240">
        <f>IF('TINH_LUONG'!$BW34&gt;0,'DM_NHAN_SU'!$W34,"")</f>
        <v/>
      </c>
      <c r="E34" s="145">
        <f>IF('TINH_LUONG'!$BW34&gt;0,'DM_NHAN_SU'!$X34,"")</f>
        <v/>
      </c>
      <c r="F34" s="224">
        <f>IF('TINH_LUONG'!$BW34&gt;0,'TINH_LUONG'!$BW34,"")</f>
        <v/>
      </c>
      <c r="G34" s="145">
        <f>IF('TINH_LUONG'!$BW34&gt;0,"LUONG "&amp;MONTH('THAM_SO'!$B$6)&amp;"/"&amp;YEAR('THAM_SO'!$B$6)&amp;" - "&amp;'TINH_LUONG'!$C34,"")</f>
        <v/>
      </c>
    </row>
    <row r="35">
      <c r="A35" s="145">
        <f>IF('TINH_LUONG'!$BW35&gt;0,ROW()-5,"")</f>
        <v/>
      </c>
      <c r="B35" s="145">
        <f>IF('TINH_LUONG'!$BW35&gt;0,'TINH_LUONG'!$B35,"")</f>
        <v/>
      </c>
      <c r="C35" s="145">
        <f>IF('TINH_LUONG'!$BW35&gt;0,'TINH_LUONG'!$C35,"")</f>
        <v/>
      </c>
      <c r="D35" s="240">
        <f>IF('TINH_LUONG'!$BW35&gt;0,'DM_NHAN_SU'!$W35,"")</f>
        <v/>
      </c>
      <c r="E35" s="145">
        <f>IF('TINH_LUONG'!$BW35&gt;0,'DM_NHAN_SU'!$X35,"")</f>
        <v/>
      </c>
      <c r="F35" s="224">
        <f>IF('TINH_LUONG'!$BW35&gt;0,'TINH_LUONG'!$BW35,"")</f>
        <v/>
      </c>
      <c r="G35" s="145">
        <f>IF('TINH_LUONG'!$BW35&gt;0,"LUONG "&amp;MONTH('THAM_SO'!$B$6)&amp;"/"&amp;YEAR('THAM_SO'!$B$6)&amp;" - "&amp;'TINH_LUONG'!$C35,"")</f>
        <v/>
      </c>
    </row>
    <row r="36">
      <c r="A36" s="145">
        <f>IF('TINH_LUONG'!$BW36&gt;0,ROW()-5,"")</f>
        <v/>
      </c>
      <c r="B36" s="145">
        <f>IF('TINH_LUONG'!$BW36&gt;0,'TINH_LUONG'!$B36,"")</f>
        <v/>
      </c>
      <c r="C36" s="145">
        <f>IF('TINH_LUONG'!$BW36&gt;0,'TINH_LUONG'!$C36,"")</f>
        <v/>
      </c>
      <c r="D36" s="240">
        <f>IF('TINH_LUONG'!$BW36&gt;0,'DM_NHAN_SU'!$W36,"")</f>
        <v/>
      </c>
      <c r="E36" s="145">
        <f>IF('TINH_LUONG'!$BW36&gt;0,'DM_NHAN_SU'!$X36,"")</f>
        <v/>
      </c>
      <c r="F36" s="224">
        <f>IF('TINH_LUONG'!$BW36&gt;0,'TINH_LUONG'!$BW36,"")</f>
        <v/>
      </c>
      <c r="G36" s="145">
        <f>IF('TINH_LUONG'!$BW36&gt;0,"LUONG "&amp;MONTH('THAM_SO'!$B$6)&amp;"/"&amp;YEAR('THAM_SO'!$B$6)&amp;" - "&amp;'TINH_LUONG'!$C36,"")</f>
        <v/>
      </c>
    </row>
    <row r="37">
      <c r="A37" s="145">
        <f>IF('TINH_LUONG'!$BW37&gt;0,ROW()-5,"")</f>
        <v/>
      </c>
      <c r="B37" s="145">
        <f>IF('TINH_LUONG'!$BW37&gt;0,'TINH_LUONG'!$B37,"")</f>
        <v/>
      </c>
      <c r="C37" s="145">
        <f>IF('TINH_LUONG'!$BW37&gt;0,'TINH_LUONG'!$C37,"")</f>
        <v/>
      </c>
      <c r="D37" s="240">
        <f>IF('TINH_LUONG'!$BW37&gt;0,'DM_NHAN_SU'!$W37,"")</f>
        <v/>
      </c>
      <c r="E37" s="145">
        <f>IF('TINH_LUONG'!$BW37&gt;0,'DM_NHAN_SU'!$X37,"")</f>
        <v/>
      </c>
      <c r="F37" s="224">
        <f>IF('TINH_LUONG'!$BW37&gt;0,'TINH_LUONG'!$BW37,"")</f>
        <v/>
      </c>
      <c r="G37" s="145">
        <f>IF('TINH_LUONG'!$BW37&gt;0,"LUONG "&amp;MONTH('THAM_SO'!$B$6)&amp;"/"&amp;YEAR('THAM_SO'!$B$6)&amp;" - "&amp;'TINH_LUONG'!$C37,"")</f>
        <v/>
      </c>
    </row>
    <row r="38">
      <c r="A38" s="145">
        <f>IF('TINH_LUONG'!$BW38&gt;0,ROW()-5,"")</f>
        <v/>
      </c>
      <c r="B38" s="145">
        <f>IF('TINH_LUONG'!$BW38&gt;0,'TINH_LUONG'!$B38,"")</f>
        <v/>
      </c>
      <c r="C38" s="145">
        <f>IF('TINH_LUONG'!$BW38&gt;0,'TINH_LUONG'!$C38,"")</f>
        <v/>
      </c>
      <c r="D38" s="240">
        <f>IF('TINH_LUONG'!$BW38&gt;0,'DM_NHAN_SU'!$W38,"")</f>
        <v/>
      </c>
      <c r="E38" s="145">
        <f>IF('TINH_LUONG'!$BW38&gt;0,'DM_NHAN_SU'!$X38,"")</f>
        <v/>
      </c>
      <c r="F38" s="224">
        <f>IF('TINH_LUONG'!$BW38&gt;0,'TINH_LUONG'!$BW38,"")</f>
        <v/>
      </c>
      <c r="G38" s="145">
        <f>IF('TINH_LUONG'!$BW38&gt;0,"LUONG "&amp;MONTH('THAM_SO'!$B$6)&amp;"/"&amp;YEAR('THAM_SO'!$B$6)&amp;" - "&amp;'TINH_LUONG'!$C38,"")</f>
        <v/>
      </c>
    </row>
    <row r="39">
      <c r="A39" s="145">
        <f>IF('TINH_LUONG'!$BW39&gt;0,ROW()-5,"")</f>
        <v/>
      </c>
      <c r="B39" s="145">
        <f>IF('TINH_LUONG'!$BW39&gt;0,'TINH_LUONG'!$B39,"")</f>
        <v/>
      </c>
      <c r="C39" s="145">
        <f>IF('TINH_LUONG'!$BW39&gt;0,'TINH_LUONG'!$C39,"")</f>
        <v/>
      </c>
      <c r="D39" s="240">
        <f>IF('TINH_LUONG'!$BW39&gt;0,'DM_NHAN_SU'!$W39,"")</f>
        <v/>
      </c>
      <c r="E39" s="145">
        <f>IF('TINH_LUONG'!$BW39&gt;0,'DM_NHAN_SU'!$X39,"")</f>
        <v/>
      </c>
      <c r="F39" s="224">
        <f>IF('TINH_LUONG'!$BW39&gt;0,'TINH_LUONG'!$BW39,"")</f>
        <v/>
      </c>
      <c r="G39" s="145">
        <f>IF('TINH_LUONG'!$BW39&gt;0,"LUONG "&amp;MONTH('THAM_SO'!$B$6)&amp;"/"&amp;YEAR('THAM_SO'!$B$6)&amp;" - "&amp;'TINH_LUONG'!$C39,"")</f>
        <v/>
      </c>
    </row>
    <row r="40">
      <c r="A40" s="145">
        <f>IF('TINH_LUONG'!$BW40&gt;0,ROW()-5,"")</f>
        <v/>
      </c>
      <c r="B40" s="145">
        <f>IF('TINH_LUONG'!$BW40&gt;0,'TINH_LUONG'!$B40,"")</f>
        <v/>
      </c>
      <c r="C40" s="145">
        <f>IF('TINH_LUONG'!$BW40&gt;0,'TINH_LUONG'!$C40,"")</f>
        <v/>
      </c>
      <c r="D40" s="240">
        <f>IF('TINH_LUONG'!$BW40&gt;0,'DM_NHAN_SU'!$W40,"")</f>
        <v/>
      </c>
      <c r="E40" s="145">
        <f>IF('TINH_LUONG'!$BW40&gt;0,'DM_NHAN_SU'!$X40,"")</f>
        <v/>
      </c>
      <c r="F40" s="224">
        <f>IF('TINH_LUONG'!$BW40&gt;0,'TINH_LUONG'!$BW40,"")</f>
        <v/>
      </c>
      <c r="G40" s="145">
        <f>IF('TINH_LUONG'!$BW40&gt;0,"LUONG "&amp;MONTH('THAM_SO'!$B$6)&amp;"/"&amp;YEAR('THAM_SO'!$B$6)&amp;" - "&amp;'TINH_LUONG'!$C40,"")</f>
        <v/>
      </c>
    </row>
    <row r="41">
      <c r="A41" s="145">
        <f>IF('TINH_LUONG'!$BW41&gt;0,ROW()-5,"")</f>
        <v/>
      </c>
      <c r="B41" s="145">
        <f>IF('TINH_LUONG'!$BW41&gt;0,'TINH_LUONG'!$B41,"")</f>
        <v/>
      </c>
      <c r="C41" s="145">
        <f>IF('TINH_LUONG'!$BW41&gt;0,'TINH_LUONG'!$C41,"")</f>
        <v/>
      </c>
      <c r="D41" s="240">
        <f>IF('TINH_LUONG'!$BW41&gt;0,'DM_NHAN_SU'!$W41,"")</f>
        <v/>
      </c>
      <c r="E41" s="145">
        <f>IF('TINH_LUONG'!$BW41&gt;0,'DM_NHAN_SU'!$X41,"")</f>
        <v/>
      </c>
      <c r="F41" s="224">
        <f>IF('TINH_LUONG'!$BW41&gt;0,'TINH_LUONG'!$BW41,"")</f>
        <v/>
      </c>
      <c r="G41" s="145">
        <f>IF('TINH_LUONG'!$BW41&gt;0,"LUONG "&amp;MONTH('THAM_SO'!$B$6)&amp;"/"&amp;YEAR('THAM_SO'!$B$6)&amp;" - "&amp;'TINH_LUONG'!$C41,"")</f>
        <v/>
      </c>
    </row>
    <row r="42">
      <c r="A42" s="145">
        <f>IF('TINH_LUONG'!$BW42&gt;0,ROW()-5,"")</f>
        <v/>
      </c>
      <c r="B42" s="145">
        <f>IF('TINH_LUONG'!$BW42&gt;0,'TINH_LUONG'!$B42,"")</f>
        <v/>
      </c>
      <c r="C42" s="145">
        <f>IF('TINH_LUONG'!$BW42&gt;0,'TINH_LUONG'!$C42,"")</f>
        <v/>
      </c>
      <c r="D42" s="240">
        <f>IF('TINH_LUONG'!$BW42&gt;0,'DM_NHAN_SU'!$W42,"")</f>
        <v/>
      </c>
      <c r="E42" s="145">
        <f>IF('TINH_LUONG'!$BW42&gt;0,'DM_NHAN_SU'!$X42,"")</f>
        <v/>
      </c>
      <c r="F42" s="224">
        <f>IF('TINH_LUONG'!$BW42&gt;0,'TINH_LUONG'!$BW42,"")</f>
        <v/>
      </c>
      <c r="G42" s="145">
        <f>IF('TINH_LUONG'!$BW42&gt;0,"LUONG "&amp;MONTH('THAM_SO'!$B$6)&amp;"/"&amp;YEAR('THAM_SO'!$B$6)&amp;" - "&amp;'TINH_LUONG'!$C42,"")</f>
        <v/>
      </c>
    </row>
    <row r="43">
      <c r="A43" s="145">
        <f>IF('TINH_LUONG'!$BW43&gt;0,ROW()-5,"")</f>
        <v/>
      </c>
      <c r="B43" s="145">
        <f>IF('TINH_LUONG'!$BW43&gt;0,'TINH_LUONG'!$B43,"")</f>
        <v/>
      </c>
      <c r="C43" s="145">
        <f>IF('TINH_LUONG'!$BW43&gt;0,'TINH_LUONG'!$C43,"")</f>
        <v/>
      </c>
      <c r="D43" s="240">
        <f>IF('TINH_LUONG'!$BW43&gt;0,'DM_NHAN_SU'!$W43,"")</f>
        <v/>
      </c>
      <c r="E43" s="145">
        <f>IF('TINH_LUONG'!$BW43&gt;0,'DM_NHAN_SU'!$X43,"")</f>
        <v/>
      </c>
      <c r="F43" s="224">
        <f>IF('TINH_LUONG'!$BW43&gt;0,'TINH_LUONG'!$BW43,"")</f>
        <v/>
      </c>
      <c r="G43" s="145">
        <f>IF('TINH_LUONG'!$BW43&gt;0,"LUONG "&amp;MONTH('THAM_SO'!$B$6)&amp;"/"&amp;YEAR('THAM_SO'!$B$6)&amp;" - "&amp;'TINH_LUONG'!$C43,"")</f>
        <v/>
      </c>
    </row>
    <row r="44">
      <c r="A44" s="145">
        <f>IF('TINH_LUONG'!$BW44&gt;0,ROW()-5,"")</f>
        <v/>
      </c>
      <c r="B44" s="145">
        <f>IF('TINH_LUONG'!$BW44&gt;0,'TINH_LUONG'!$B44,"")</f>
        <v/>
      </c>
      <c r="C44" s="145">
        <f>IF('TINH_LUONG'!$BW44&gt;0,'TINH_LUONG'!$C44,"")</f>
        <v/>
      </c>
      <c r="D44" s="240">
        <f>IF('TINH_LUONG'!$BW44&gt;0,'DM_NHAN_SU'!$W44,"")</f>
        <v/>
      </c>
      <c r="E44" s="145">
        <f>IF('TINH_LUONG'!$BW44&gt;0,'DM_NHAN_SU'!$X44,"")</f>
        <v/>
      </c>
      <c r="F44" s="224">
        <f>IF('TINH_LUONG'!$BW44&gt;0,'TINH_LUONG'!$BW44,"")</f>
        <v/>
      </c>
      <c r="G44" s="145">
        <f>IF('TINH_LUONG'!$BW44&gt;0,"LUONG "&amp;MONTH('THAM_SO'!$B$6)&amp;"/"&amp;YEAR('THAM_SO'!$B$6)&amp;" - "&amp;'TINH_LUONG'!$C44,"")</f>
        <v/>
      </c>
    </row>
    <row r="45">
      <c r="A45" s="145">
        <f>IF('TINH_LUONG'!$BW45&gt;0,ROW()-5,"")</f>
        <v/>
      </c>
      <c r="B45" s="145">
        <f>IF('TINH_LUONG'!$BW45&gt;0,'TINH_LUONG'!$B45,"")</f>
        <v/>
      </c>
      <c r="C45" s="145">
        <f>IF('TINH_LUONG'!$BW45&gt;0,'TINH_LUONG'!$C45,"")</f>
        <v/>
      </c>
      <c r="D45" s="240">
        <f>IF('TINH_LUONG'!$BW45&gt;0,'DM_NHAN_SU'!$W45,"")</f>
        <v/>
      </c>
      <c r="E45" s="145">
        <f>IF('TINH_LUONG'!$BW45&gt;0,'DM_NHAN_SU'!$X45,"")</f>
        <v/>
      </c>
      <c r="F45" s="224">
        <f>IF('TINH_LUONG'!$BW45&gt;0,'TINH_LUONG'!$BW45,"")</f>
        <v/>
      </c>
      <c r="G45" s="145">
        <f>IF('TINH_LUONG'!$BW45&gt;0,"LUONG "&amp;MONTH('THAM_SO'!$B$6)&amp;"/"&amp;YEAR('THAM_SO'!$B$6)&amp;" - "&amp;'TINH_LUONG'!$C45,"")</f>
        <v/>
      </c>
    </row>
    <row r="46">
      <c r="A46" s="145">
        <f>IF('TINH_LUONG'!$BW46&gt;0,ROW()-5,"")</f>
        <v/>
      </c>
      <c r="B46" s="145">
        <f>IF('TINH_LUONG'!$BW46&gt;0,'TINH_LUONG'!$B46,"")</f>
        <v/>
      </c>
      <c r="C46" s="145">
        <f>IF('TINH_LUONG'!$BW46&gt;0,'TINH_LUONG'!$C46,"")</f>
        <v/>
      </c>
      <c r="D46" s="240">
        <f>IF('TINH_LUONG'!$BW46&gt;0,'DM_NHAN_SU'!$W46,"")</f>
        <v/>
      </c>
      <c r="E46" s="145">
        <f>IF('TINH_LUONG'!$BW46&gt;0,'DM_NHAN_SU'!$X46,"")</f>
        <v/>
      </c>
      <c r="F46" s="224">
        <f>IF('TINH_LUONG'!$BW46&gt;0,'TINH_LUONG'!$BW46,"")</f>
        <v/>
      </c>
      <c r="G46" s="145">
        <f>IF('TINH_LUONG'!$BW46&gt;0,"LUONG "&amp;MONTH('THAM_SO'!$B$6)&amp;"/"&amp;YEAR('THAM_SO'!$B$6)&amp;" - "&amp;'TINH_LUONG'!$C46,"")</f>
        <v/>
      </c>
    </row>
    <row r="47">
      <c r="A47" s="145">
        <f>IF('TINH_LUONG'!$BW47&gt;0,ROW()-5,"")</f>
        <v/>
      </c>
      <c r="B47" s="145">
        <f>IF('TINH_LUONG'!$BW47&gt;0,'TINH_LUONG'!$B47,"")</f>
        <v/>
      </c>
      <c r="C47" s="145">
        <f>IF('TINH_LUONG'!$BW47&gt;0,'TINH_LUONG'!$C47,"")</f>
        <v/>
      </c>
      <c r="D47" s="240">
        <f>IF('TINH_LUONG'!$BW47&gt;0,'DM_NHAN_SU'!$W47,"")</f>
        <v/>
      </c>
      <c r="E47" s="145">
        <f>IF('TINH_LUONG'!$BW47&gt;0,'DM_NHAN_SU'!$X47,"")</f>
        <v/>
      </c>
      <c r="F47" s="224">
        <f>IF('TINH_LUONG'!$BW47&gt;0,'TINH_LUONG'!$BW47,"")</f>
        <v/>
      </c>
      <c r="G47" s="145">
        <f>IF('TINH_LUONG'!$BW47&gt;0,"LUONG "&amp;MONTH('THAM_SO'!$B$6)&amp;"/"&amp;YEAR('THAM_SO'!$B$6)&amp;" - "&amp;'TINH_LUONG'!$C47,"")</f>
        <v/>
      </c>
    </row>
    <row r="48">
      <c r="A48" s="145">
        <f>IF('TINH_LUONG'!$BW48&gt;0,ROW()-5,"")</f>
        <v/>
      </c>
      <c r="B48" s="145">
        <f>IF('TINH_LUONG'!$BW48&gt;0,'TINH_LUONG'!$B48,"")</f>
        <v/>
      </c>
      <c r="C48" s="145">
        <f>IF('TINH_LUONG'!$BW48&gt;0,'TINH_LUONG'!$C48,"")</f>
        <v/>
      </c>
      <c r="D48" s="240">
        <f>IF('TINH_LUONG'!$BW48&gt;0,'DM_NHAN_SU'!$W48,"")</f>
        <v/>
      </c>
      <c r="E48" s="145">
        <f>IF('TINH_LUONG'!$BW48&gt;0,'DM_NHAN_SU'!$X48,"")</f>
        <v/>
      </c>
      <c r="F48" s="224">
        <f>IF('TINH_LUONG'!$BW48&gt;0,'TINH_LUONG'!$BW48,"")</f>
        <v/>
      </c>
      <c r="G48" s="145">
        <f>IF('TINH_LUONG'!$BW48&gt;0,"LUONG "&amp;MONTH('THAM_SO'!$B$6)&amp;"/"&amp;YEAR('THAM_SO'!$B$6)&amp;" - "&amp;'TINH_LUONG'!$C48,"")</f>
        <v/>
      </c>
    </row>
    <row r="49">
      <c r="A49" s="145">
        <f>IF('TINH_LUONG'!$BW49&gt;0,ROW()-5,"")</f>
        <v/>
      </c>
      <c r="B49" s="145">
        <f>IF('TINH_LUONG'!$BW49&gt;0,'TINH_LUONG'!$B49,"")</f>
        <v/>
      </c>
      <c r="C49" s="145">
        <f>IF('TINH_LUONG'!$BW49&gt;0,'TINH_LUONG'!$C49,"")</f>
        <v/>
      </c>
      <c r="D49" s="240">
        <f>IF('TINH_LUONG'!$BW49&gt;0,'DM_NHAN_SU'!$W49,"")</f>
        <v/>
      </c>
      <c r="E49" s="145">
        <f>IF('TINH_LUONG'!$BW49&gt;0,'DM_NHAN_SU'!$X49,"")</f>
        <v/>
      </c>
      <c r="F49" s="224">
        <f>IF('TINH_LUONG'!$BW49&gt;0,'TINH_LUONG'!$BW49,"")</f>
        <v/>
      </c>
      <c r="G49" s="145">
        <f>IF('TINH_LUONG'!$BW49&gt;0,"LUONG "&amp;MONTH('THAM_SO'!$B$6)&amp;"/"&amp;YEAR('THAM_SO'!$B$6)&amp;" - "&amp;'TINH_LUONG'!$C49,"")</f>
        <v/>
      </c>
    </row>
    <row r="50">
      <c r="A50" s="145">
        <f>IF('TINH_LUONG'!$BW50&gt;0,ROW()-5,"")</f>
        <v/>
      </c>
      <c r="B50" s="145">
        <f>IF('TINH_LUONG'!$BW50&gt;0,'TINH_LUONG'!$B50,"")</f>
        <v/>
      </c>
      <c r="C50" s="145">
        <f>IF('TINH_LUONG'!$BW50&gt;0,'TINH_LUONG'!$C50,"")</f>
        <v/>
      </c>
      <c r="D50" s="240">
        <f>IF('TINH_LUONG'!$BW50&gt;0,'DM_NHAN_SU'!$W50,"")</f>
        <v/>
      </c>
      <c r="E50" s="145">
        <f>IF('TINH_LUONG'!$BW50&gt;0,'DM_NHAN_SU'!$X50,"")</f>
        <v/>
      </c>
      <c r="F50" s="224">
        <f>IF('TINH_LUONG'!$BW50&gt;0,'TINH_LUONG'!$BW50,"")</f>
        <v/>
      </c>
      <c r="G50" s="145">
        <f>IF('TINH_LUONG'!$BW50&gt;0,"LUONG "&amp;MONTH('THAM_SO'!$B$6)&amp;"/"&amp;YEAR('THAM_SO'!$B$6)&amp;" - "&amp;'TINH_LUONG'!$C50,"")</f>
        <v/>
      </c>
    </row>
    <row r="51">
      <c r="A51" s="145">
        <f>IF('TINH_LUONG'!$BW51&gt;0,ROW()-5,"")</f>
        <v/>
      </c>
      <c r="B51" s="145">
        <f>IF('TINH_LUONG'!$BW51&gt;0,'TINH_LUONG'!$B51,"")</f>
        <v/>
      </c>
      <c r="C51" s="145">
        <f>IF('TINH_LUONG'!$BW51&gt;0,'TINH_LUONG'!$C51,"")</f>
        <v/>
      </c>
      <c r="D51" s="240">
        <f>IF('TINH_LUONG'!$BW51&gt;0,'DM_NHAN_SU'!$W51,"")</f>
        <v/>
      </c>
      <c r="E51" s="145">
        <f>IF('TINH_LUONG'!$BW51&gt;0,'DM_NHAN_SU'!$X51,"")</f>
        <v/>
      </c>
      <c r="F51" s="224">
        <f>IF('TINH_LUONG'!$BW51&gt;0,'TINH_LUONG'!$BW51,"")</f>
        <v/>
      </c>
      <c r="G51" s="145">
        <f>IF('TINH_LUONG'!$BW51&gt;0,"LUONG "&amp;MONTH('THAM_SO'!$B$6)&amp;"/"&amp;YEAR('THAM_SO'!$B$6)&amp;" - "&amp;'TINH_LUONG'!$C51,"")</f>
        <v/>
      </c>
    </row>
    <row r="52">
      <c r="A52" s="145">
        <f>IF('TINH_LUONG'!$BW52&gt;0,ROW()-5,"")</f>
        <v/>
      </c>
      <c r="B52" s="145">
        <f>IF('TINH_LUONG'!$BW52&gt;0,'TINH_LUONG'!$B52,"")</f>
        <v/>
      </c>
      <c r="C52" s="145">
        <f>IF('TINH_LUONG'!$BW52&gt;0,'TINH_LUONG'!$C52,"")</f>
        <v/>
      </c>
      <c r="D52" s="240">
        <f>IF('TINH_LUONG'!$BW52&gt;0,'DM_NHAN_SU'!$W52,"")</f>
        <v/>
      </c>
      <c r="E52" s="145">
        <f>IF('TINH_LUONG'!$BW52&gt;0,'DM_NHAN_SU'!$X52,"")</f>
        <v/>
      </c>
      <c r="F52" s="224">
        <f>IF('TINH_LUONG'!$BW52&gt;0,'TINH_LUONG'!$BW52,"")</f>
        <v/>
      </c>
      <c r="G52" s="145">
        <f>IF('TINH_LUONG'!$BW52&gt;0,"LUONG "&amp;MONTH('THAM_SO'!$B$6)&amp;"/"&amp;YEAR('THAM_SO'!$B$6)&amp;" - "&amp;'TINH_LUONG'!$C52,"")</f>
        <v/>
      </c>
    </row>
    <row r="53">
      <c r="A53" s="145">
        <f>IF('TINH_LUONG'!$BW53&gt;0,ROW()-5,"")</f>
        <v/>
      </c>
      <c r="B53" s="145">
        <f>IF('TINH_LUONG'!$BW53&gt;0,'TINH_LUONG'!$B53,"")</f>
        <v/>
      </c>
      <c r="C53" s="145">
        <f>IF('TINH_LUONG'!$BW53&gt;0,'TINH_LUONG'!$C53,"")</f>
        <v/>
      </c>
      <c r="D53" s="240">
        <f>IF('TINH_LUONG'!$BW53&gt;0,'DM_NHAN_SU'!$W53,"")</f>
        <v/>
      </c>
      <c r="E53" s="145">
        <f>IF('TINH_LUONG'!$BW53&gt;0,'DM_NHAN_SU'!$X53,"")</f>
        <v/>
      </c>
      <c r="F53" s="224">
        <f>IF('TINH_LUONG'!$BW53&gt;0,'TINH_LUONG'!$BW53,"")</f>
        <v/>
      </c>
      <c r="G53" s="145">
        <f>IF('TINH_LUONG'!$BW53&gt;0,"LUONG "&amp;MONTH('THAM_SO'!$B$6)&amp;"/"&amp;YEAR('THAM_SO'!$B$6)&amp;" - "&amp;'TINH_LUONG'!$C53,"")</f>
        <v/>
      </c>
    </row>
    <row r="54">
      <c r="A54" s="145">
        <f>IF('TINH_LUONG'!$BW54&gt;0,ROW()-5,"")</f>
        <v/>
      </c>
      <c r="B54" s="145">
        <f>IF('TINH_LUONG'!$BW54&gt;0,'TINH_LUONG'!$B54,"")</f>
        <v/>
      </c>
      <c r="C54" s="145">
        <f>IF('TINH_LUONG'!$BW54&gt;0,'TINH_LUONG'!$C54,"")</f>
        <v/>
      </c>
      <c r="D54" s="240">
        <f>IF('TINH_LUONG'!$BW54&gt;0,'DM_NHAN_SU'!$W54,"")</f>
        <v/>
      </c>
      <c r="E54" s="145">
        <f>IF('TINH_LUONG'!$BW54&gt;0,'DM_NHAN_SU'!$X54,"")</f>
        <v/>
      </c>
      <c r="F54" s="224">
        <f>IF('TINH_LUONG'!$BW54&gt;0,'TINH_LUONG'!$BW54,"")</f>
        <v/>
      </c>
      <c r="G54" s="145">
        <f>IF('TINH_LUONG'!$BW54&gt;0,"LUONG "&amp;MONTH('THAM_SO'!$B$6)&amp;"/"&amp;YEAR('THAM_SO'!$B$6)&amp;" - "&amp;'TINH_LUONG'!$C54,"")</f>
        <v/>
      </c>
    </row>
    <row r="55">
      <c r="A55" s="145">
        <f>IF('TINH_LUONG'!$BW55&gt;0,ROW()-5,"")</f>
        <v/>
      </c>
      <c r="B55" s="145">
        <f>IF('TINH_LUONG'!$BW55&gt;0,'TINH_LUONG'!$B55,"")</f>
        <v/>
      </c>
      <c r="C55" s="145">
        <f>IF('TINH_LUONG'!$BW55&gt;0,'TINH_LUONG'!$C55,"")</f>
        <v/>
      </c>
      <c r="D55" s="240">
        <f>IF('TINH_LUONG'!$BW55&gt;0,'DM_NHAN_SU'!$W55,"")</f>
        <v/>
      </c>
      <c r="E55" s="145">
        <f>IF('TINH_LUONG'!$BW55&gt;0,'DM_NHAN_SU'!$X55,"")</f>
        <v/>
      </c>
      <c r="F55" s="224">
        <f>IF('TINH_LUONG'!$BW55&gt;0,'TINH_LUONG'!$BW55,"")</f>
        <v/>
      </c>
      <c r="G55" s="145">
        <f>IF('TINH_LUONG'!$BW55&gt;0,"LUONG "&amp;MONTH('THAM_SO'!$B$6)&amp;"/"&amp;YEAR('THAM_SO'!$B$6)&amp;" - "&amp;'TINH_LUONG'!$C55,"")</f>
        <v/>
      </c>
    </row>
    <row r="56">
      <c r="A56" s="145">
        <f>IF('TINH_LUONG'!$BW56&gt;0,ROW()-5,"")</f>
        <v/>
      </c>
      <c r="B56" s="145">
        <f>IF('TINH_LUONG'!$BW56&gt;0,'TINH_LUONG'!$B56,"")</f>
        <v/>
      </c>
      <c r="C56" s="145">
        <f>IF('TINH_LUONG'!$BW56&gt;0,'TINH_LUONG'!$C56,"")</f>
        <v/>
      </c>
      <c r="D56" s="240">
        <f>IF('TINH_LUONG'!$BW56&gt;0,'DM_NHAN_SU'!$W56,"")</f>
        <v/>
      </c>
      <c r="E56" s="145">
        <f>IF('TINH_LUONG'!$BW56&gt;0,'DM_NHAN_SU'!$X56,"")</f>
        <v/>
      </c>
      <c r="F56" s="224">
        <f>IF('TINH_LUONG'!$BW56&gt;0,'TINH_LUONG'!$BW56,"")</f>
        <v/>
      </c>
      <c r="G56" s="145">
        <f>IF('TINH_LUONG'!$BW56&gt;0,"LUONG "&amp;MONTH('THAM_SO'!$B$6)&amp;"/"&amp;YEAR('THAM_SO'!$B$6)&amp;" - "&amp;'TINH_LUONG'!$C56,"")</f>
        <v/>
      </c>
    </row>
    <row r="57">
      <c r="A57" s="145">
        <f>IF('TINH_LUONG'!$BW57&gt;0,ROW()-5,"")</f>
        <v/>
      </c>
      <c r="B57" s="145">
        <f>IF('TINH_LUONG'!$BW57&gt;0,'TINH_LUONG'!$B57,"")</f>
        <v/>
      </c>
      <c r="C57" s="145">
        <f>IF('TINH_LUONG'!$BW57&gt;0,'TINH_LUONG'!$C57,"")</f>
        <v/>
      </c>
      <c r="D57" s="240">
        <f>IF('TINH_LUONG'!$BW57&gt;0,'DM_NHAN_SU'!$W57,"")</f>
        <v/>
      </c>
      <c r="E57" s="145">
        <f>IF('TINH_LUONG'!$BW57&gt;0,'DM_NHAN_SU'!$X57,"")</f>
        <v/>
      </c>
      <c r="F57" s="224">
        <f>IF('TINH_LUONG'!$BW57&gt;0,'TINH_LUONG'!$BW57,"")</f>
        <v/>
      </c>
      <c r="G57" s="145">
        <f>IF('TINH_LUONG'!$BW57&gt;0,"LUONG "&amp;MONTH('THAM_SO'!$B$6)&amp;"/"&amp;YEAR('THAM_SO'!$B$6)&amp;" - "&amp;'TINH_LUONG'!$C57,"")</f>
        <v/>
      </c>
    </row>
    <row r="58">
      <c r="A58" s="145">
        <f>IF('TINH_LUONG'!$BW58&gt;0,ROW()-5,"")</f>
        <v/>
      </c>
      <c r="B58" s="145">
        <f>IF('TINH_LUONG'!$BW58&gt;0,'TINH_LUONG'!$B58,"")</f>
        <v/>
      </c>
      <c r="C58" s="145">
        <f>IF('TINH_LUONG'!$BW58&gt;0,'TINH_LUONG'!$C58,"")</f>
        <v/>
      </c>
      <c r="D58" s="240">
        <f>IF('TINH_LUONG'!$BW58&gt;0,'DM_NHAN_SU'!$W58,"")</f>
        <v/>
      </c>
      <c r="E58" s="145">
        <f>IF('TINH_LUONG'!$BW58&gt;0,'DM_NHAN_SU'!$X58,"")</f>
        <v/>
      </c>
      <c r="F58" s="224">
        <f>IF('TINH_LUONG'!$BW58&gt;0,'TINH_LUONG'!$BW58,"")</f>
        <v/>
      </c>
      <c r="G58" s="145">
        <f>IF('TINH_LUONG'!$BW58&gt;0,"LUONG "&amp;MONTH('THAM_SO'!$B$6)&amp;"/"&amp;YEAR('THAM_SO'!$B$6)&amp;" - "&amp;'TINH_LUONG'!$C58,"")</f>
        <v/>
      </c>
    </row>
    <row r="59">
      <c r="A59" s="145">
        <f>IF('TINH_LUONG'!$BW59&gt;0,ROW()-5,"")</f>
        <v/>
      </c>
      <c r="B59" s="145">
        <f>IF('TINH_LUONG'!$BW59&gt;0,'TINH_LUONG'!$B59,"")</f>
        <v/>
      </c>
      <c r="C59" s="145">
        <f>IF('TINH_LUONG'!$BW59&gt;0,'TINH_LUONG'!$C59,"")</f>
        <v/>
      </c>
      <c r="D59" s="240">
        <f>IF('TINH_LUONG'!$BW59&gt;0,'DM_NHAN_SU'!$W59,"")</f>
        <v/>
      </c>
      <c r="E59" s="145">
        <f>IF('TINH_LUONG'!$BW59&gt;0,'DM_NHAN_SU'!$X59,"")</f>
        <v/>
      </c>
      <c r="F59" s="224">
        <f>IF('TINH_LUONG'!$BW59&gt;0,'TINH_LUONG'!$BW59,"")</f>
        <v/>
      </c>
      <c r="G59" s="145">
        <f>IF('TINH_LUONG'!$BW59&gt;0,"LUONG "&amp;MONTH('THAM_SO'!$B$6)&amp;"/"&amp;YEAR('THAM_SO'!$B$6)&amp;" - "&amp;'TINH_LUONG'!$C59,"")</f>
        <v/>
      </c>
    </row>
    <row r="60">
      <c r="A60" s="145">
        <f>IF('TINH_LUONG'!$BW60&gt;0,ROW()-5,"")</f>
        <v/>
      </c>
      <c r="B60" s="145">
        <f>IF('TINH_LUONG'!$BW60&gt;0,'TINH_LUONG'!$B60,"")</f>
        <v/>
      </c>
      <c r="C60" s="145">
        <f>IF('TINH_LUONG'!$BW60&gt;0,'TINH_LUONG'!$C60,"")</f>
        <v/>
      </c>
      <c r="D60" s="240">
        <f>IF('TINH_LUONG'!$BW60&gt;0,'DM_NHAN_SU'!$W60,"")</f>
        <v/>
      </c>
      <c r="E60" s="145">
        <f>IF('TINH_LUONG'!$BW60&gt;0,'DM_NHAN_SU'!$X60,"")</f>
        <v/>
      </c>
      <c r="F60" s="224">
        <f>IF('TINH_LUONG'!$BW60&gt;0,'TINH_LUONG'!$BW60,"")</f>
        <v/>
      </c>
      <c r="G60" s="145">
        <f>IF('TINH_LUONG'!$BW60&gt;0,"LUONG "&amp;MONTH('THAM_SO'!$B$6)&amp;"/"&amp;YEAR('THAM_SO'!$B$6)&amp;" - "&amp;'TINH_LUONG'!$C60,"")</f>
        <v/>
      </c>
    </row>
    <row r="61">
      <c r="A61" s="145">
        <f>IF('TINH_LUONG'!$BW61&gt;0,ROW()-5,"")</f>
        <v/>
      </c>
      <c r="B61" s="145">
        <f>IF('TINH_LUONG'!$BW61&gt;0,'TINH_LUONG'!$B61,"")</f>
        <v/>
      </c>
      <c r="C61" s="145">
        <f>IF('TINH_LUONG'!$BW61&gt;0,'TINH_LUONG'!$C61,"")</f>
        <v/>
      </c>
      <c r="D61" s="240">
        <f>IF('TINH_LUONG'!$BW61&gt;0,'DM_NHAN_SU'!$W61,"")</f>
        <v/>
      </c>
      <c r="E61" s="145">
        <f>IF('TINH_LUONG'!$BW61&gt;0,'DM_NHAN_SU'!$X61,"")</f>
        <v/>
      </c>
      <c r="F61" s="224">
        <f>IF('TINH_LUONG'!$BW61&gt;0,'TINH_LUONG'!$BW61,"")</f>
        <v/>
      </c>
      <c r="G61" s="145">
        <f>IF('TINH_LUONG'!$BW61&gt;0,"LUONG "&amp;MONTH('THAM_SO'!$B$6)&amp;"/"&amp;YEAR('THAM_SO'!$B$6)&amp;" - "&amp;'TINH_LUONG'!$C61,"")</f>
        <v/>
      </c>
    </row>
    <row r="62">
      <c r="A62" s="145">
        <f>IF('TINH_LUONG'!$BW62&gt;0,ROW()-5,"")</f>
        <v/>
      </c>
      <c r="B62" s="145">
        <f>IF('TINH_LUONG'!$BW62&gt;0,'TINH_LUONG'!$B62,"")</f>
        <v/>
      </c>
      <c r="C62" s="145">
        <f>IF('TINH_LUONG'!$BW62&gt;0,'TINH_LUONG'!$C62,"")</f>
        <v/>
      </c>
      <c r="D62" s="240">
        <f>IF('TINH_LUONG'!$BW62&gt;0,'DM_NHAN_SU'!$W62,"")</f>
        <v/>
      </c>
      <c r="E62" s="145">
        <f>IF('TINH_LUONG'!$BW62&gt;0,'DM_NHAN_SU'!$X62,"")</f>
        <v/>
      </c>
      <c r="F62" s="224">
        <f>IF('TINH_LUONG'!$BW62&gt;0,'TINH_LUONG'!$BW62,"")</f>
        <v/>
      </c>
      <c r="G62" s="145">
        <f>IF('TINH_LUONG'!$BW62&gt;0,"LUONG "&amp;MONTH('THAM_SO'!$B$6)&amp;"/"&amp;YEAR('THAM_SO'!$B$6)&amp;" - "&amp;'TINH_LUONG'!$C62,"")</f>
        <v/>
      </c>
    </row>
    <row r="63">
      <c r="A63" s="145">
        <f>IF('TINH_LUONG'!$BW63&gt;0,ROW()-5,"")</f>
        <v/>
      </c>
      <c r="B63" s="145">
        <f>IF('TINH_LUONG'!$BW63&gt;0,'TINH_LUONG'!$B63,"")</f>
        <v/>
      </c>
      <c r="C63" s="145">
        <f>IF('TINH_LUONG'!$BW63&gt;0,'TINH_LUONG'!$C63,"")</f>
        <v/>
      </c>
      <c r="D63" s="240">
        <f>IF('TINH_LUONG'!$BW63&gt;0,'DM_NHAN_SU'!$W63,"")</f>
        <v/>
      </c>
      <c r="E63" s="145">
        <f>IF('TINH_LUONG'!$BW63&gt;0,'DM_NHAN_SU'!$X63,"")</f>
        <v/>
      </c>
      <c r="F63" s="224">
        <f>IF('TINH_LUONG'!$BW63&gt;0,'TINH_LUONG'!$BW63,"")</f>
        <v/>
      </c>
      <c r="G63" s="145">
        <f>IF('TINH_LUONG'!$BW63&gt;0,"LUONG "&amp;MONTH('THAM_SO'!$B$6)&amp;"/"&amp;YEAR('THAM_SO'!$B$6)&amp;" - "&amp;'TINH_LUONG'!$C63,"")</f>
        <v/>
      </c>
    </row>
    <row r="64">
      <c r="A64" s="145">
        <f>IF('TINH_LUONG'!$BW64&gt;0,ROW()-5,"")</f>
        <v/>
      </c>
      <c r="B64" s="145">
        <f>IF('TINH_LUONG'!$BW64&gt;0,'TINH_LUONG'!$B64,"")</f>
        <v/>
      </c>
      <c r="C64" s="145">
        <f>IF('TINH_LUONG'!$BW64&gt;0,'TINH_LUONG'!$C64,"")</f>
        <v/>
      </c>
      <c r="D64" s="240">
        <f>IF('TINH_LUONG'!$BW64&gt;0,'DM_NHAN_SU'!$W64,"")</f>
        <v/>
      </c>
      <c r="E64" s="145">
        <f>IF('TINH_LUONG'!$BW64&gt;0,'DM_NHAN_SU'!$X64,"")</f>
        <v/>
      </c>
      <c r="F64" s="224">
        <f>IF('TINH_LUONG'!$BW64&gt;0,'TINH_LUONG'!$BW64,"")</f>
        <v/>
      </c>
      <c r="G64" s="145">
        <f>IF('TINH_LUONG'!$BW64&gt;0,"LUONG "&amp;MONTH('THAM_SO'!$B$6)&amp;"/"&amp;YEAR('THAM_SO'!$B$6)&amp;" - "&amp;'TINH_LUONG'!$C64,"")</f>
        <v/>
      </c>
    </row>
    <row r="65">
      <c r="A65" s="145">
        <f>IF('TINH_LUONG'!$BW65&gt;0,ROW()-5,"")</f>
        <v/>
      </c>
      <c r="B65" s="145">
        <f>IF('TINH_LUONG'!$BW65&gt;0,'TINH_LUONG'!$B65,"")</f>
        <v/>
      </c>
      <c r="C65" s="145">
        <f>IF('TINH_LUONG'!$BW65&gt;0,'TINH_LUONG'!$C65,"")</f>
        <v/>
      </c>
      <c r="D65" s="240">
        <f>IF('TINH_LUONG'!$BW65&gt;0,'DM_NHAN_SU'!$W65,"")</f>
        <v/>
      </c>
      <c r="E65" s="145">
        <f>IF('TINH_LUONG'!$BW65&gt;0,'DM_NHAN_SU'!$X65,"")</f>
        <v/>
      </c>
      <c r="F65" s="224">
        <f>IF('TINH_LUONG'!$BW65&gt;0,'TINH_LUONG'!$BW65,"")</f>
        <v/>
      </c>
      <c r="G65" s="145">
        <f>IF('TINH_LUONG'!$BW65&gt;0,"LUONG "&amp;MONTH('THAM_SO'!$B$6)&amp;"/"&amp;YEAR('THAM_SO'!$B$6)&amp;" - "&amp;'TINH_LUONG'!$C65,"")</f>
        <v/>
      </c>
    </row>
    <row r="66">
      <c r="A66" s="145">
        <f>IF('TINH_LUONG'!$BW66&gt;0,ROW()-5,"")</f>
        <v/>
      </c>
      <c r="B66" s="145">
        <f>IF('TINH_LUONG'!$BW66&gt;0,'TINH_LUONG'!$B66,"")</f>
        <v/>
      </c>
      <c r="C66" s="145">
        <f>IF('TINH_LUONG'!$BW66&gt;0,'TINH_LUONG'!$C66,"")</f>
        <v/>
      </c>
      <c r="D66" s="240">
        <f>IF('TINH_LUONG'!$BW66&gt;0,'DM_NHAN_SU'!$W66,"")</f>
        <v/>
      </c>
      <c r="E66" s="145">
        <f>IF('TINH_LUONG'!$BW66&gt;0,'DM_NHAN_SU'!$X66,"")</f>
        <v/>
      </c>
      <c r="F66" s="224">
        <f>IF('TINH_LUONG'!$BW66&gt;0,'TINH_LUONG'!$BW66,"")</f>
        <v/>
      </c>
      <c r="G66" s="145">
        <f>IF('TINH_LUONG'!$BW66&gt;0,"LUONG "&amp;MONTH('THAM_SO'!$B$6)&amp;"/"&amp;YEAR('THAM_SO'!$B$6)&amp;" - "&amp;'TINH_LUONG'!$C66,"")</f>
        <v/>
      </c>
    </row>
    <row r="67">
      <c r="A67" s="145">
        <f>IF('TINH_LUONG'!$BW67&gt;0,ROW()-5,"")</f>
        <v/>
      </c>
      <c r="B67" s="145">
        <f>IF('TINH_LUONG'!$BW67&gt;0,'TINH_LUONG'!$B67,"")</f>
        <v/>
      </c>
      <c r="C67" s="145">
        <f>IF('TINH_LUONG'!$BW67&gt;0,'TINH_LUONG'!$C67,"")</f>
        <v/>
      </c>
      <c r="D67" s="240">
        <f>IF('TINH_LUONG'!$BW67&gt;0,'DM_NHAN_SU'!$W67,"")</f>
        <v/>
      </c>
      <c r="E67" s="145">
        <f>IF('TINH_LUONG'!$BW67&gt;0,'DM_NHAN_SU'!$X67,"")</f>
        <v/>
      </c>
      <c r="F67" s="224">
        <f>IF('TINH_LUONG'!$BW67&gt;0,'TINH_LUONG'!$BW67,"")</f>
        <v/>
      </c>
      <c r="G67" s="145">
        <f>IF('TINH_LUONG'!$BW67&gt;0,"LUONG "&amp;MONTH('THAM_SO'!$B$6)&amp;"/"&amp;YEAR('THAM_SO'!$B$6)&amp;" - "&amp;'TINH_LUONG'!$C67,"")</f>
        <v/>
      </c>
    </row>
    <row r="68">
      <c r="A68" s="145">
        <f>IF('TINH_LUONG'!$BW68&gt;0,ROW()-5,"")</f>
        <v/>
      </c>
      <c r="B68" s="145">
        <f>IF('TINH_LUONG'!$BW68&gt;0,'TINH_LUONG'!$B68,"")</f>
        <v/>
      </c>
      <c r="C68" s="145">
        <f>IF('TINH_LUONG'!$BW68&gt;0,'TINH_LUONG'!$C68,"")</f>
        <v/>
      </c>
      <c r="D68" s="240">
        <f>IF('TINH_LUONG'!$BW68&gt;0,'DM_NHAN_SU'!$W68,"")</f>
        <v/>
      </c>
      <c r="E68" s="145">
        <f>IF('TINH_LUONG'!$BW68&gt;0,'DM_NHAN_SU'!$X68,"")</f>
        <v/>
      </c>
      <c r="F68" s="224">
        <f>IF('TINH_LUONG'!$BW68&gt;0,'TINH_LUONG'!$BW68,"")</f>
        <v/>
      </c>
      <c r="G68" s="145">
        <f>IF('TINH_LUONG'!$BW68&gt;0,"LUONG "&amp;MONTH('THAM_SO'!$B$6)&amp;"/"&amp;YEAR('THAM_SO'!$B$6)&amp;" - "&amp;'TINH_LUONG'!$C68,"")</f>
        <v/>
      </c>
    </row>
    <row r="69">
      <c r="A69" s="145">
        <f>IF('TINH_LUONG'!$BW69&gt;0,ROW()-5,"")</f>
        <v/>
      </c>
      <c r="B69" s="145">
        <f>IF('TINH_LUONG'!$BW69&gt;0,'TINH_LUONG'!$B69,"")</f>
        <v/>
      </c>
      <c r="C69" s="145">
        <f>IF('TINH_LUONG'!$BW69&gt;0,'TINH_LUONG'!$C69,"")</f>
        <v/>
      </c>
      <c r="D69" s="240">
        <f>IF('TINH_LUONG'!$BW69&gt;0,'DM_NHAN_SU'!$W69,"")</f>
        <v/>
      </c>
      <c r="E69" s="145">
        <f>IF('TINH_LUONG'!$BW69&gt;0,'DM_NHAN_SU'!$X69,"")</f>
        <v/>
      </c>
      <c r="F69" s="224">
        <f>IF('TINH_LUONG'!$BW69&gt;0,'TINH_LUONG'!$BW69,"")</f>
        <v/>
      </c>
      <c r="G69" s="145">
        <f>IF('TINH_LUONG'!$BW69&gt;0,"LUONG "&amp;MONTH('THAM_SO'!$B$6)&amp;"/"&amp;YEAR('THAM_SO'!$B$6)&amp;" - "&amp;'TINH_LUONG'!$C69,"")</f>
        <v/>
      </c>
    </row>
    <row r="70">
      <c r="A70" s="145">
        <f>IF('TINH_LUONG'!$BW70&gt;0,ROW()-5,"")</f>
        <v/>
      </c>
      <c r="B70" s="145">
        <f>IF('TINH_LUONG'!$BW70&gt;0,'TINH_LUONG'!$B70,"")</f>
        <v/>
      </c>
      <c r="C70" s="145">
        <f>IF('TINH_LUONG'!$BW70&gt;0,'TINH_LUONG'!$C70,"")</f>
        <v/>
      </c>
      <c r="D70" s="240">
        <f>IF('TINH_LUONG'!$BW70&gt;0,'DM_NHAN_SU'!$W70,"")</f>
        <v/>
      </c>
      <c r="E70" s="145">
        <f>IF('TINH_LUONG'!$BW70&gt;0,'DM_NHAN_SU'!$X70,"")</f>
        <v/>
      </c>
      <c r="F70" s="224">
        <f>IF('TINH_LUONG'!$BW70&gt;0,'TINH_LUONG'!$BW70,"")</f>
        <v/>
      </c>
      <c r="G70" s="145">
        <f>IF('TINH_LUONG'!$BW70&gt;0,"LUONG "&amp;MONTH('THAM_SO'!$B$6)&amp;"/"&amp;YEAR('THAM_SO'!$B$6)&amp;" - "&amp;'TINH_LUONG'!$C70,"")</f>
        <v/>
      </c>
    </row>
    <row r="71">
      <c r="A71" s="145">
        <f>IF('TINH_LUONG'!$BW71&gt;0,ROW()-5,"")</f>
        <v/>
      </c>
      <c r="B71" s="145">
        <f>IF('TINH_LUONG'!$BW71&gt;0,'TINH_LUONG'!$B71,"")</f>
        <v/>
      </c>
      <c r="C71" s="145">
        <f>IF('TINH_LUONG'!$BW71&gt;0,'TINH_LUONG'!$C71,"")</f>
        <v/>
      </c>
      <c r="D71" s="240">
        <f>IF('TINH_LUONG'!$BW71&gt;0,'DM_NHAN_SU'!$W71,"")</f>
        <v/>
      </c>
      <c r="E71" s="145">
        <f>IF('TINH_LUONG'!$BW71&gt;0,'DM_NHAN_SU'!$X71,"")</f>
        <v/>
      </c>
      <c r="F71" s="224">
        <f>IF('TINH_LUONG'!$BW71&gt;0,'TINH_LUONG'!$BW71,"")</f>
        <v/>
      </c>
      <c r="G71" s="145">
        <f>IF('TINH_LUONG'!$BW71&gt;0,"LUONG "&amp;MONTH('THAM_SO'!$B$6)&amp;"/"&amp;YEAR('THAM_SO'!$B$6)&amp;" - "&amp;'TINH_LUONG'!$C71,"")</f>
        <v/>
      </c>
    </row>
    <row r="72">
      <c r="A72" s="145">
        <f>IF('TINH_LUONG'!$BW72&gt;0,ROW()-5,"")</f>
        <v/>
      </c>
      <c r="B72" s="145">
        <f>IF('TINH_LUONG'!$BW72&gt;0,'TINH_LUONG'!$B72,"")</f>
        <v/>
      </c>
      <c r="C72" s="145">
        <f>IF('TINH_LUONG'!$BW72&gt;0,'TINH_LUONG'!$C72,"")</f>
        <v/>
      </c>
      <c r="D72" s="240">
        <f>IF('TINH_LUONG'!$BW72&gt;0,'DM_NHAN_SU'!$W72,"")</f>
        <v/>
      </c>
      <c r="E72" s="145">
        <f>IF('TINH_LUONG'!$BW72&gt;0,'DM_NHAN_SU'!$X72,"")</f>
        <v/>
      </c>
      <c r="F72" s="224">
        <f>IF('TINH_LUONG'!$BW72&gt;0,'TINH_LUONG'!$BW72,"")</f>
        <v/>
      </c>
      <c r="G72" s="145">
        <f>IF('TINH_LUONG'!$BW72&gt;0,"LUONG "&amp;MONTH('THAM_SO'!$B$6)&amp;"/"&amp;YEAR('THAM_SO'!$B$6)&amp;" - "&amp;'TINH_LUONG'!$C72,"")</f>
        <v/>
      </c>
    </row>
    <row r="73">
      <c r="A73" s="145">
        <f>IF('TINH_LUONG'!$BW73&gt;0,ROW()-5,"")</f>
        <v/>
      </c>
      <c r="B73" s="145">
        <f>IF('TINH_LUONG'!$BW73&gt;0,'TINH_LUONG'!$B73,"")</f>
        <v/>
      </c>
      <c r="C73" s="145">
        <f>IF('TINH_LUONG'!$BW73&gt;0,'TINH_LUONG'!$C73,"")</f>
        <v/>
      </c>
      <c r="D73" s="240">
        <f>IF('TINH_LUONG'!$BW73&gt;0,'DM_NHAN_SU'!$W73,"")</f>
        <v/>
      </c>
      <c r="E73" s="145">
        <f>IF('TINH_LUONG'!$BW73&gt;0,'DM_NHAN_SU'!$X73,"")</f>
        <v/>
      </c>
      <c r="F73" s="224">
        <f>IF('TINH_LUONG'!$BW73&gt;0,'TINH_LUONG'!$BW73,"")</f>
        <v/>
      </c>
      <c r="G73" s="145">
        <f>IF('TINH_LUONG'!$BW73&gt;0,"LUONG "&amp;MONTH('THAM_SO'!$B$6)&amp;"/"&amp;YEAR('THAM_SO'!$B$6)&amp;" - "&amp;'TINH_LUONG'!$C73,"")</f>
        <v/>
      </c>
    </row>
    <row r="74">
      <c r="A74" s="145">
        <f>IF('TINH_LUONG'!$BW74&gt;0,ROW()-5,"")</f>
        <v/>
      </c>
      <c r="B74" s="145">
        <f>IF('TINH_LUONG'!$BW74&gt;0,'TINH_LUONG'!$B74,"")</f>
        <v/>
      </c>
      <c r="C74" s="145">
        <f>IF('TINH_LUONG'!$BW74&gt;0,'TINH_LUONG'!$C74,"")</f>
        <v/>
      </c>
      <c r="D74" s="240">
        <f>IF('TINH_LUONG'!$BW74&gt;0,'DM_NHAN_SU'!$W74,"")</f>
        <v/>
      </c>
      <c r="E74" s="145">
        <f>IF('TINH_LUONG'!$BW74&gt;0,'DM_NHAN_SU'!$X74,"")</f>
        <v/>
      </c>
      <c r="F74" s="224">
        <f>IF('TINH_LUONG'!$BW74&gt;0,'TINH_LUONG'!$BW74,"")</f>
        <v/>
      </c>
      <c r="G74" s="145">
        <f>IF('TINH_LUONG'!$BW74&gt;0,"LUONG "&amp;MONTH('THAM_SO'!$B$6)&amp;"/"&amp;YEAR('THAM_SO'!$B$6)&amp;" - "&amp;'TINH_LUONG'!$C74,"")</f>
        <v/>
      </c>
    </row>
    <row r="75">
      <c r="A75" s="145">
        <f>IF('TINH_LUONG'!$BW75&gt;0,ROW()-5,"")</f>
        <v/>
      </c>
      <c r="B75" s="145">
        <f>IF('TINH_LUONG'!$BW75&gt;0,'TINH_LUONG'!$B75,"")</f>
        <v/>
      </c>
      <c r="C75" s="145">
        <f>IF('TINH_LUONG'!$BW75&gt;0,'TINH_LUONG'!$C75,"")</f>
        <v/>
      </c>
      <c r="D75" s="240">
        <f>IF('TINH_LUONG'!$BW75&gt;0,'DM_NHAN_SU'!$W75,"")</f>
        <v/>
      </c>
      <c r="E75" s="145">
        <f>IF('TINH_LUONG'!$BW75&gt;0,'DM_NHAN_SU'!$X75,"")</f>
        <v/>
      </c>
      <c r="F75" s="224">
        <f>IF('TINH_LUONG'!$BW75&gt;0,'TINH_LUONG'!$BW75,"")</f>
        <v/>
      </c>
      <c r="G75" s="145">
        <f>IF('TINH_LUONG'!$BW75&gt;0,"LUONG "&amp;MONTH('THAM_SO'!$B$6)&amp;"/"&amp;YEAR('THAM_SO'!$B$6)&amp;" - "&amp;'TINH_LUONG'!$C75,"")</f>
        <v/>
      </c>
    </row>
    <row r="76">
      <c r="A76" s="145">
        <f>IF('TINH_LUONG'!$BW76&gt;0,ROW()-5,"")</f>
        <v/>
      </c>
      <c r="B76" s="145">
        <f>IF('TINH_LUONG'!$BW76&gt;0,'TINH_LUONG'!$B76,"")</f>
        <v/>
      </c>
      <c r="C76" s="145">
        <f>IF('TINH_LUONG'!$BW76&gt;0,'TINH_LUONG'!$C76,"")</f>
        <v/>
      </c>
      <c r="D76" s="240">
        <f>IF('TINH_LUONG'!$BW76&gt;0,'DM_NHAN_SU'!$W76,"")</f>
        <v/>
      </c>
      <c r="E76" s="145">
        <f>IF('TINH_LUONG'!$BW76&gt;0,'DM_NHAN_SU'!$X76,"")</f>
        <v/>
      </c>
      <c r="F76" s="224">
        <f>IF('TINH_LUONG'!$BW76&gt;0,'TINH_LUONG'!$BW76,"")</f>
        <v/>
      </c>
      <c r="G76" s="145">
        <f>IF('TINH_LUONG'!$BW76&gt;0,"LUONG "&amp;MONTH('THAM_SO'!$B$6)&amp;"/"&amp;YEAR('THAM_SO'!$B$6)&amp;" - "&amp;'TINH_LUONG'!$C76,"")</f>
        <v/>
      </c>
    </row>
    <row r="77">
      <c r="A77" s="145">
        <f>IF('TINH_LUONG'!$BW77&gt;0,ROW()-5,"")</f>
        <v/>
      </c>
      <c r="B77" s="145">
        <f>IF('TINH_LUONG'!$BW77&gt;0,'TINH_LUONG'!$B77,"")</f>
        <v/>
      </c>
      <c r="C77" s="145">
        <f>IF('TINH_LUONG'!$BW77&gt;0,'TINH_LUONG'!$C77,"")</f>
        <v/>
      </c>
      <c r="D77" s="240">
        <f>IF('TINH_LUONG'!$BW77&gt;0,'DM_NHAN_SU'!$W77,"")</f>
        <v/>
      </c>
      <c r="E77" s="145">
        <f>IF('TINH_LUONG'!$BW77&gt;0,'DM_NHAN_SU'!$X77,"")</f>
        <v/>
      </c>
      <c r="F77" s="224">
        <f>IF('TINH_LUONG'!$BW77&gt;0,'TINH_LUONG'!$BW77,"")</f>
        <v/>
      </c>
      <c r="G77" s="145">
        <f>IF('TINH_LUONG'!$BW77&gt;0,"LUONG "&amp;MONTH('THAM_SO'!$B$6)&amp;"/"&amp;YEAR('THAM_SO'!$B$6)&amp;" - "&amp;'TINH_LUONG'!$C77,"")</f>
        <v/>
      </c>
    </row>
    <row r="78">
      <c r="A78" s="145">
        <f>IF('TINH_LUONG'!$BW78&gt;0,ROW()-5,"")</f>
        <v/>
      </c>
      <c r="B78" s="145">
        <f>IF('TINH_LUONG'!$BW78&gt;0,'TINH_LUONG'!$B78,"")</f>
        <v/>
      </c>
      <c r="C78" s="145">
        <f>IF('TINH_LUONG'!$BW78&gt;0,'TINH_LUONG'!$C78,"")</f>
        <v/>
      </c>
      <c r="D78" s="240">
        <f>IF('TINH_LUONG'!$BW78&gt;0,'DM_NHAN_SU'!$W78,"")</f>
        <v/>
      </c>
      <c r="E78" s="145">
        <f>IF('TINH_LUONG'!$BW78&gt;0,'DM_NHAN_SU'!$X78,"")</f>
        <v/>
      </c>
      <c r="F78" s="224">
        <f>IF('TINH_LUONG'!$BW78&gt;0,'TINH_LUONG'!$BW78,"")</f>
        <v/>
      </c>
      <c r="G78" s="145">
        <f>IF('TINH_LUONG'!$BW78&gt;0,"LUONG "&amp;MONTH('THAM_SO'!$B$6)&amp;"/"&amp;YEAR('THAM_SO'!$B$6)&amp;" - "&amp;'TINH_LUONG'!$C78,"")</f>
        <v/>
      </c>
    </row>
    <row r="79">
      <c r="A79" s="145">
        <f>IF('TINH_LUONG'!$BW79&gt;0,ROW()-5,"")</f>
        <v/>
      </c>
      <c r="B79" s="145">
        <f>IF('TINH_LUONG'!$BW79&gt;0,'TINH_LUONG'!$B79,"")</f>
        <v/>
      </c>
      <c r="C79" s="145">
        <f>IF('TINH_LUONG'!$BW79&gt;0,'TINH_LUONG'!$C79,"")</f>
        <v/>
      </c>
      <c r="D79" s="240">
        <f>IF('TINH_LUONG'!$BW79&gt;0,'DM_NHAN_SU'!$W79,"")</f>
        <v/>
      </c>
      <c r="E79" s="145">
        <f>IF('TINH_LUONG'!$BW79&gt;0,'DM_NHAN_SU'!$X79,"")</f>
        <v/>
      </c>
      <c r="F79" s="224">
        <f>IF('TINH_LUONG'!$BW79&gt;0,'TINH_LUONG'!$BW79,"")</f>
        <v/>
      </c>
      <c r="G79" s="145">
        <f>IF('TINH_LUONG'!$BW79&gt;0,"LUONG "&amp;MONTH('THAM_SO'!$B$6)&amp;"/"&amp;YEAR('THAM_SO'!$B$6)&amp;" - "&amp;'TINH_LUONG'!$C79,"")</f>
        <v/>
      </c>
    </row>
    <row r="80">
      <c r="A80" s="145">
        <f>IF('TINH_LUONG'!$BW80&gt;0,ROW()-5,"")</f>
        <v/>
      </c>
      <c r="B80" s="145">
        <f>IF('TINH_LUONG'!$BW80&gt;0,'TINH_LUONG'!$B80,"")</f>
        <v/>
      </c>
      <c r="C80" s="145">
        <f>IF('TINH_LUONG'!$BW80&gt;0,'TINH_LUONG'!$C80,"")</f>
        <v/>
      </c>
      <c r="D80" s="240">
        <f>IF('TINH_LUONG'!$BW80&gt;0,'DM_NHAN_SU'!$W80,"")</f>
        <v/>
      </c>
      <c r="E80" s="145">
        <f>IF('TINH_LUONG'!$BW80&gt;0,'DM_NHAN_SU'!$X80,"")</f>
        <v/>
      </c>
      <c r="F80" s="224">
        <f>IF('TINH_LUONG'!$BW80&gt;0,'TINH_LUONG'!$BW80,"")</f>
        <v/>
      </c>
      <c r="G80" s="145">
        <f>IF('TINH_LUONG'!$BW80&gt;0,"LUONG "&amp;MONTH('THAM_SO'!$B$6)&amp;"/"&amp;YEAR('THAM_SO'!$B$6)&amp;" - "&amp;'TINH_LUONG'!$C80,"")</f>
        <v/>
      </c>
    </row>
    <row r="81">
      <c r="A81" s="145">
        <f>IF('TINH_LUONG'!$BW81&gt;0,ROW()-5,"")</f>
        <v/>
      </c>
      <c r="B81" s="145">
        <f>IF('TINH_LUONG'!$BW81&gt;0,'TINH_LUONG'!$B81,"")</f>
        <v/>
      </c>
      <c r="C81" s="145">
        <f>IF('TINH_LUONG'!$BW81&gt;0,'TINH_LUONG'!$C81,"")</f>
        <v/>
      </c>
      <c r="D81" s="240">
        <f>IF('TINH_LUONG'!$BW81&gt;0,'DM_NHAN_SU'!$W81,"")</f>
        <v/>
      </c>
      <c r="E81" s="145">
        <f>IF('TINH_LUONG'!$BW81&gt;0,'DM_NHAN_SU'!$X81,"")</f>
        <v/>
      </c>
      <c r="F81" s="224">
        <f>IF('TINH_LUONG'!$BW81&gt;0,'TINH_LUONG'!$BW81,"")</f>
        <v/>
      </c>
      <c r="G81" s="145">
        <f>IF('TINH_LUONG'!$BW81&gt;0,"LUONG "&amp;MONTH('THAM_SO'!$B$6)&amp;"/"&amp;YEAR('THAM_SO'!$B$6)&amp;" - "&amp;'TINH_LUONG'!$C81,"")</f>
        <v/>
      </c>
    </row>
    <row r="82">
      <c r="A82" s="145">
        <f>IF('TINH_LUONG'!$BW82&gt;0,ROW()-5,"")</f>
        <v/>
      </c>
      <c r="B82" s="145">
        <f>IF('TINH_LUONG'!$BW82&gt;0,'TINH_LUONG'!$B82,"")</f>
        <v/>
      </c>
      <c r="C82" s="145">
        <f>IF('TINH_LUONG'!$BW82&gt;0,'TINH_LUONG'!$C82,"")</f>
        <v/>
      </c>
      <c r="D82" s="240">
        <f>IF('TINH_LUONG'!$BW82&gt;0,'DM_NHAN_SU'!$W82,"")</f>
        <v/>
      </c>
      <c r="E82" s="145">
        <f>IF('TINH_LUONG'!$BW82&gt;0,'DM_NHAN_SU'!$X82,"")</f>
        <v/>
      </c>
      <c r="F82" s="224">
        <f>IF('TINH_LUONG'!$BW82&gt;0,'TINH_LUONG'!$BW82,"")</f>
        <v/>
      </c>
      <c r="G82" s="145">
        <f>IF('TINH_LUONG'!$BW82&gt;0,"LUONG "&amp;MONTH('THAM_SO'!$B$6)&amp;"/"&amp;YEAR('THAM_SO'!$B$6)&amp;" - "&amp;'TINH_LUONG'!$C82,"")</f>
        <v/>
      </c>
    </row>
    <row r="83">
      <c r="A83" s="145">
        <f>IF('TINH_LUONG'!$BW83&gt;0,ROW()-5,"")</f>
        <v/>
      </c>
      <c r="B83" s="145">
        <f>IF('TINH_LUONG'!$BW83&gt;0,'TINH_LUONG'!$B83,"")</f>
        <v/>
      </c>
      <c r="C83" s="145">
        <f>IF('TINH_LUONG'!$BW83&gt;0,'TINH_LUONG'!$C83,"")</f>
        <v/>
      </c>
      <c r="D83" s="240">
        <f>IF('TINH_LUONG'!$BW83&gt;0,'DM_NHAN_SU'!$W83,"")</f>
        <v/>
      </c>
      <c r="E83" s="145">
        <f>IF('TINH_LUONG'!$BW83&gt;0,'DM_NHAN_SU'!$X83,"")</f>
        <v/>
      </c>
      <c r="F83" s="224">
        <f>IF('TINH_LUONG'!$BW83&gt;0,'TINH_LUONG'!$BW83,"")</f>
        <v/>
      </c>
      <c r="G83" s="145">
        <f>IF('TINH_LUONG'!$BW83&gt;0,"LUONG "&amp;MONTH('THAM_SO'!$B$6)&amp;"/"&amp;YEAR('THAM_SO'!$B$6)&amp;" - "&amp;'TINH_LUONG'!$C83,"")</f>
        <v/>
      </c>
    </row>
    <row r="84">
      <c r="A84" s="145">
        <f>IF('TINH_LUONG'!$BW84&gt;0,ROW()-5,"")</f>
        <v/>
      </c>
      <c r="B84" s="145">
        <f>IF('TINH_LUONG'!$BW84&gt;0,'TINH_LUONG'!$B84,"")</f>
        <v/>
      </c>
      <c r="C84" s="145">
        <f>IF('TINH_LUONG'!$BW84&gt;0,'TINH_LUONG'!$C84,"")</f>
        <v/>
      </c>
      <c r="D84" s="240">
        <f>IF('TINH_LUONG'!$BW84&gt;0,'DM_NHAN_SU'!$W84,"")</f>
        <v/>
      </c>
      <c r="E84" s="145">
        <f>IF('TINH_LUONG'!$BW84&gt;0,'DM_NHAN_SU'!$X84,"")</f>
        <v/>
      </c>
      <c r="F84" s="224">
        <f>IF('TINH_LUONG'!$BW84&gt;0,'TINH_LUONG'!$BW84,"")</f>
        <v/>
      </c>
      <c r="G84" s="145">
        <f>IF('TINH_LUONG'!$BW84&gt;0,"LUONG "&amp;MONTH('THAM_SO'!$B$6)&amp;"/"&amp;YEAR('THAM_SO'!$B$6)&amp;" - "&amp;'TINH_LUONG'!$C84,"")</f>
        <v/>
      </c>
    </row>
    <row r="85">
      <c r="A85" s="145">
        <f>IF('TINH_LUONG'!$BW85&gt;0,ROW()-5,"")</f>
        <v/>
      </c>
      <c r="B85" s="145">
        <f>IF('TINH_LUONG'!$BW85&gt;0,'TINH_LUONG'!$B85,"")</f>
        <v/>
      </c>
      <c r="C85" s="145">
        <f>IF('TINH_LUONG'!$BW85&gt;0,'TINH_LUONG'!$C85,"")</f>
        <v/>
      </c>
      <c r="D85" s="240">
        <f>IF('TINH_LUONG'!$BW85&gt;0,'DM_NHAN_SU'!$W85,"")</f>
        <v/>
      </c>
      <c r="E85" s="145">
        <f>IF('TINH_LUONG'!$BW85&gt;0,'DM_NHAN_SU'!$X85,"")</f>
        <v/>
      </c>
      <c r="F85" s="224">
        <f>IF('TINH_LUONG'!$BW85&gt;0,'TINH_LUONG'!$BW85,"")</f>
        <v/>
      </c>
      <c r="G85" s="145">
        <f>IF('TINH_LUONG'!$BW85&gt;0,"LUONG "&amp;MONTH('THAM_SO'!$B$6)&amp;"/"&amp;YEAR('THAM_SO'!$B$6)&amp;" - "&amp;'TINH_LUONG'!$C85,"")</f>
        <v/>
      </c>
    </row>
    <row r="86">
      <c r="A86" s="145">
        <f>IF('TINH_LUONG'!$BW86&gt;0,ROW()-5,"")</f>
        <v/>
      </c>
      <c r="B86" s="145">
        <f>IF('TINH_LUONG'!$BW86&gt;0,'TINH_LUONG'!$B86,"")</f>
        <v/>
      </c>
      <c r="C86" s="145">
        <f>IF('TINH_LUONG'!$BW86&gt;0,'TINH_LUONG'!$C86,"")</f>
        <v/>
      </c>
      <c r="D86" s="240">
        <f>IF('TINH_LUONG'!$BW86&gt;0,'DM_NHAN_SU'!$W86,"")</f>
        <v/>
      </c>
      <c r="E86" s="145">
        <f>IF('TINH_LUONG'!$BW86&gt;0,'DM_NHAN_SU'!$X86,"")</f>
        <v/>
      </c>
      <c r="F86" s="224">
        <f>IF('TINH_LUONG'!$BW86&gt;0,'TINH_LUONG'!$BW86,"")</f>
        <v/>
      </c>
      <c r="G86" s="145">
        <f>IF('TINH_LUONG'!$BW86&gt;0,"LUONG "&amp;MONTH('THAM_SO'!$B$6)&amp;"/"&amp;YEAR('THAM_SO'!$B$6)&amp;" - "&amp;'TINH_LUONG'!$C86,"")</f>
        <v/>
      </c>
    </row>
    <row r="87">
      <c r="A87" s="145">
        <f>IF('TINH_LUONG'!$BW87&gt;0,ROW()-5,"")</f>
        <v/>
      </c>
      <c r="B87" s="145">
        <f>IF('TINH_LUONG'!$BW87&gt;0,'TINH_LUONG'!$B87,"")</f>
        <v/>
      </c>
      <c r="C87" s="145">
        <f>IF('TINH_LUONG'!$BW87&gt;0,'TINH_LUONG'!$C87,"")</f>
        <v/>
      </c>
      <c r="D87" s="240">
        <f>IF('TINH_LUONG'!$BW87&gt;0,'DM_NHAN_SU'!$W87,"")</f>
        <v/>
      </c>
      <c r="E87" s="145">
        <f>IF('TINH_LUONG'!$BW87&gt;0,'DM_NHAN_SU'!$X87,"")</f>
        <v/>
      </c>
      <c r="F87" s="224">
        <f>IF('TINH_LUONG'!$BW87&gt;0,'TINH_LUONG'!$BW87,"")</f>
        <v/>
      </c>
      <c r="G87" s="145">
        <f>IF('TINH_LUONG'!$BW87&gt;0,"LUONG "&amp;MONTH('THAM_SO'!$B$6)&amp;"/"&amp;YEAR('THAM_SO'!$B$6)&amp;" - "&amp;'TINH_LUONG'!$C87,"")</f>
        <v/>
      </c>
    </row>
    <row r="88">
      <c r="A88" s="145">
        <f>IF('TINH_LUONG'!$BW88&gt;0,ROW()-5,"")</f>
        <v/>
      </c>
      <c r="B88" s="145">
        <f>IF('TINH_LUONG'!$BW88&gt;0,'TINH_LUONG'!$B88,"")</f>
        <v/>
      </c>
      <c r="C88" s="145">
        <f>IF('TINH_LUONG'!$BW88&gt;0,'TINH_LUONG'!$C88,"")</f>
        <v/>
      </c>
      <c r="D88" s="240">
        <f>IF('TINH_LUONG'!$BW88&gt;0,'DM_NHAN_SU'!$W88,"")</f>
        <v/>
      </c>
      <c r="E88" s="145">
        <f>IF('TINH_LUONG'!$BW88&gt;0,'DM_NHAN_SU'!$X88,"")</f>
        <v/>
      </c>
      <c r="F88" s="224">
        <f>IF('TINH_LUONG'!$BW88&gt;0,'TINH_LUONG'!$BW88,"")</f>
        <v/>
      </c>
      <c r="G88" s="145">
        <f>IF('TINH_LUONG'!$BW88&gt;0,"LUONG "&amp;MONTH('THAM_SO'!$B$6)&amp;"/"&amp;YEAR('THAM_SO'!$B$6)&amp;" - "&amp;'TINH_LUONG'!$C88,"")</f>
        <v/>
      </c>
    </row>
    <row r="89">
      <c r="A89" s="145">
        <f>IF('TINH_LUONG'!$BW89&gt;0,ROW()-5,"")</f>
        <v/>
      </c>
      <c r="B89" s="145">
        <f>IF('TINH_LUONG'!$BW89&gt;0,'TINH_LUONG'!$B89,"")</f>
        <v/>
      </c>
      <c r="C89" s="145">
        <f>IF('TINH_LUONG'!$BW89&gt;0,'TINH_LUONG'!$C89,"")</f>
        <v/>
      </c>
      <c r="D89" s="240">
        <f>IF('TINH_LUONG'!$BW89&gt;0,'DM_NHAN_SU'!$W89,"")</f>
        <v/>
      </c>
      <c r="E89" s="145">
        <f>IF('TINH_LUONG'!$BW89&gt;0,'DM_NHAN_SU'!$X89,"")</f>
        <v/>
      </c>
      <c r="F89" s="224">
        <f>IF('TINH_LUONG'!$BW89&gt;0,'TINH_LUONG'!$BW89,"")</f>
        <v/>
      </c>
      <c r="G89" s="145">
        <f>IF('TINH_LUONG'!$BW89&gt;0,"LUONG "&amp;MONTH('THAM_SO'!$B$6)&amp;"/"&amp;YEAR('THAM_SO'!$B$6)&amp;" - "&amp;'TINH_LUONG'!$C89,"")</f>
        <v/>
      </c>
    </row>
    <row r="90">
      <c r="A90" s="145">
        <f>IF('TINH_LUONG'!$BW90&gt;0,ROW()-5,"")</f>
        <v/>
      </c>
      <c r="B90" s="145">
        <f>IF('TINH_LUONG'!$BW90&gt;0,'TINH_LUONG'!$B90,"")</f>
        <v/>
      </c>
      <c r="C90" s="145">
        <f>IF('TINH_LUONG'!$BW90&gt;0,'TINH_LUONG'!$C90,"")</f>
        <v/>
      </c>
      <c r="D90" s="240">
        <f>IF('TINH_LUONG'!$BW90&gt;0,'DM_NHAN_SU'!$W90,"")</f>
        <v/>
      </c>
      <c r="E90" s="145">
        <f>IF('TINH_LUONG'!$BW90&gt;0,'DM_NHAN_SU'!$X90,"")</f>
        <v/>
      </c>
      <c r="F90" s="224">
        <f>IF('TINH_LUONG'!$BW90&gt;0,'TINH_LUONG'!$BW90,"")</f>
        <v/>
      </c>
      <c r="G90" s="145">
        <f>IF('TINH_LUONG'!$BW90&gt;0,"LUONG "&amp;MONTH('THAM_SO'!$B$6)&amp;"/"&amp;YEAR('THAM_SO'!$B$6)&amp;" - "&amp;'TINH_LUONG'!$C90,"")</f>
        <v/>
      </c>
    </row>
    <row r="91">
      <c r="A91" s="145">
        <f>IF('TINH_LUONG'!$BW91&gt;0,ROW()-5,"")</f>
        <v/>
      </c>
      <c r="B91" s="145">
        <f>IF('TINH_LUONG'!$BW91&gt;0,'TINH_LUONG'!$B91,"")</f>
        <v/>
      </c>
      <c r="C91" s="145">
        <f>IF('TINH_LUONG'!$BW91&gt;0,'TINH_LUONG'!$C91,"")</f>
        <v/>
      </c>
      <c r="D91" s="240">
        <f>IF('TINH_LUONG'!$BW91&gt;0,'DM_NHAN_SU'!$W91,"")</f>
        <v/>
      </c>
      <c r="E91" s="145">
        <f>IF('TINH_LUONG'!$BW91&gt;0,'DM_NHAN_SU'!$X91,"")</f>
        <v/>
      </c>
      <c r="F91" s="224">
        <f>IF('TINH_LUONG'!$BW91&gt;0,'TINH_LUONG'!$BW91,"")</f>
        <v/>
      </c>
      <c r="G91" s="145">
        <f>IF('TINH_LUONG'!$BW91&gt;0,"LUONG "&amp;MONTH('THAM_SO'!$B$6)&amp;"/"&amp;YEAR('THAM_SO'!$B$6)&amp;" - "&amp;'TINH_LUONG'!$C91,"")</f>
        <v/>
      </c>
    </row>
    <row r="92">
      <c r="A92" s="145">
        <f>IF('TINH_LUONG'!$BW92&gt;0,ROW()-5,"")</f>
        <v/>
      </c>
      <c r="B92" s="145">
        <f>IF('TINH_LUONG'!$BW92&gt;0,'TINH_LUONG'!$B92,"")</f>
        <v/>
      </c>
      <c r="C92" s="145">
        <f>IF('TINH_LUONG'!$BW92&gt;0,'TINH_LUONG'!$C92,"")</f>
        <v/>
      </c>
      <c r="D92" s="240">
        <f>IF('TINH_LUONG'!$BW92&gt;0,'DM_NHAN_SU'!$W92,"")</f>
        <v/>
      </c>
      <c r="E92" s="145">
        <f>IF('TINH_LUONG'!$BW92&gt;0,'DM_NHAN_SU'!$X92,"")</f>
        <v/>
      </c>
      <c r="F92" s="224">
        <f>IF('TINH_LUONG'!$BW92&gt;0,'TINH_LUONG'!$BW92,"")</f>
        <v/>
      </c>
      <c r="G92" s="145">
        <f>IF('TINH_LUONG'!$BW92&gt;0,"LUONG "&amp;MONTH('THAM_SO'!$B$6)&amp;"/"&amp;YEAR('THAM_SO'!$B$6)&amp;" - "&amp;'TINH_LUONG'!$C92,"")</f>
        <v/>
      </c>
    </row>
    <row r="93">
      <c r="A93" s="145">
        <f>IF('TINH_LUONG'!$BW93&gt;0,ROW()-5,"")</f>
        <v/>
      </c>
      <c r="B93" s="145">
        <f>IF('TINH_LUONG'!$BW93&gt;0,'TINH_LUONG'!$B93,"")</f>
        <v/>
      </c>
      <c r="C93" s="145">
        <f>IF('TINH_LUONG'!$BW93&gt;0,'TINH_LUONG'!$C93,"")</f>
        <v/>
      </c>
      <c r="D93" s="240">
        <f>IF('TINH_LUONG'!$BW93&gt;0,'DM_NHAN_SU'!$W93,"")</f>
        <v/>
      </c>
      <c r="E93" s="145">
        <f>IF('TINH_LUONG'!$BW93&gt;0,'DM_NHAN_SU'!$X93,"")</f>
        <v/>
      </c>
      <c r="F93" s="224">
        <f>IF('TINH_LUONG'!$BW93&gt;0,'TINH_LUONG'!$BW93,"")</f>
        <v/>
      </c>
      <c r="G93" s="145">
        <f>IF('TINH_LUONG'!$BW93&gt;0,"LUONG "&amp;MONTH('THAM_SO'!$B$6)&amp;"/"&amp;YEAR('THAM_SO'!$B$6)&amp;" - "&amp;'TINH_LUONG'!$C93,"")</f>
        <v/>
      </c>
    </row>
    <row r="94">
      <c r="A94" s="145">
        <f>IF('TINH_LUONG'!$BW94&gt;0,ROW()-5,"")</f>
        <v/>
      </c>
      <c r="B94" s="145">
        <f>IF('TINH_LUONG'!$BW94&gt;0,'TINH_LUONG'!$B94,"")</f>
        <v/>
      </c>
      <c r="C94" s="145">
        <f>IF('TINH_LUONG'!$BW94&gt;0,'TINH_LUONG'!$C94,"")</f>
        <v/>
      </c>
      <c r="D94" s="240">
        <f>IF('TINH_LUONG'!$BW94&gt;0,'DM_NHAN_SU'!$W94,"")</f>
        <v/>
      </c>
      <c r="E94" s="145">
        <f>IF('TINH_LUONG'!$BW94&gt;0,'DM_NHAN_SU'!$X94,"")</f>
        <v/>
      </c>
      <c r="F94" s="224">
        <f>IF('TINH_LUONG'!$BW94&gt;0,'TINH_LUONG'!$BW94,"")</f>
        <v/>
      </c>
      <c r="G94" s="145">
        <f>IF('TINH_LUONG'!$BW94&gt;0,"LUONG "&amp;MONTH('THAM_SO'!$B$6)&amp;"/"&amp;YEAR('THAM_SO'!$B$6)&amp;" - "&amp;'TINH_LUONG'!$C94,"")</f>
        <v/>
      </c>
    </row>
    <row r="95">
      <c r="A95" s="145">
        <f>IF('TINH_LUONG'!$BW95&gt;0,ROW()-5,"")</f>
        <v/>
      </c>
      <c r="B95" s="145">
        <f>IF('TINH_LUONG'!$BW95&gt;0,'TINH_LUONG'!$B95,"")</f>
        <v/>
      </c>
      <c r="C95" s="145">
        <f>IF('TINH_LUONG'!$BW95&gt;0,'TINH_LUONG'!$C95,"")</f>
        <v/>
      </c>
      <c r="D95" s="240">
        <f>IF('TINH_LUONG'!$BW95&gt;0,'DM_NHAN_SU'!$W95,"")</f>
        <v/>
      </c>
      <c r="E95" s="145">
        <f>IF('TINH_LUONG'!$BW95&gt;0,'DM_NHAN_SU'!$X95,"")</f>
        <v/>
      </c>
      <c r="F95" s="224">
        <f>IF('TINH_LUONG'!$BW95&gt;0,'TINH_LUONG'!$BW95,"")</f>
        <v/>
      </c>
      <c r="G95" s="145">
        <f>IF('TINH_LUONG'!$BW95&gt;0,"LUONG "&amp;MONTH('THAM_SO'!$B$6)&amp;"/"&amp;YEAR('THAM_SO'!$B$6)&amp;" - "&amp;'TINH_LUONG'!$C95,"")</f>
        <v/>
      </c>
    </row>
    <row r="96">
      <c r="A96" s="145">
        <f>IF('TINH_LUONG'!$BW96&gt;0,ROW()-5,"")</f>
        <v/>
      </c>
      <c r="B96" s="145">
        <f>IF('TINH_LUONG'!$BW96&gt;0,'TINH_LUONG'!$B96,"")</f>
        <v/>
      </c>
      <c r="C96" s="145">
        <f>IF('TINH_LUONG'!$BW96&gt;0,'TINH_LUONG'!$C96,"")</f>
        <v/>
      </c>
      <c r="D96" s="240">
        <f>IF('TINH_LUONG'!$BW96&gt;0,'DM_NHAN_SU'!$W96,"")</f>
        <v/>
      </c>
      <c r="E96" s="145">
        <f>IF('TINH_LUONG'!$BW96&gt;0,'DM_NHAN_SU'!$X96,"")</f>
        <v/>
      </c>
      <c r="F96" s="224">
        <f>IF('TINH_LUONG'!$BW96&gt;0,'TINH_LUONG'!$BW96,"")</f>
        <v/>
      </c>
      <c r="G96" s="145">
        <f>IF('TINH_LUONG'!$BW96&gt;0,"LUONG "&amp;MONTH('THAM_SO'!$B$6)&amp;"/"&amp;YEAR('THAM_SO'!$B$6)&amp;" - "&amp;'TINH_LUONG'!$C96,"")</f>
        <v/>
      </c>
    </row>
    <row r="97">
      <c r="A97" s="145">
        <f>IF('TINH_LUONG'!$BW97&gt;0,ROW()-5,"")</f>
        <v/>
      </c>
      <c r="B97" s="145">
        <f>IF('TINH_LUONG'!$BW97&gt;0,'TINH_LUONG'!$B97,"")</f>
        <v/>
      </c>
      <c r="C97" s="145">
        <f>IF('TINH_LUONG'!$BW97&gt;0,'TINH_LUONG'!$C97,"")</f>
        <v/>
      </c>
      <c r="D97" s="240">
        <f>IF('TINH_LUONG'!$BW97&gt;0,'DM_NHAN_SU'!$W97,"")</f>
        <v/>
      </c>
      <c r="E97" s="145">
        <f>IF('TINH_LUONG'!$BW97&gt;0,'DM_NHAN_SU'!$X97,"")</f>
        <v/>
      </c>
      <c r="F97" s="224">
        <f>IF('TINH_LUONG'!$BW97&gt;0,'TINH_LUONG'!$BW97,"")</f>
        <v/>
      </c>
      <c r="G97" s="145">
        <f>IF('TINH_LUONG'!$BW97&gt;0,"LUONG "&amp;MONTH('THAM_SO'!$B$6)&amp;"/"&amp;YEAR('THAM_SO'!$B$6)&amp;" - "&amp;'TINH_LUONG'!$C97,"")</f>
        <v/>
      </c>
    </row>
    <row r="98">
      <c r="A98" s="145">
        <f>IF('TINH_LUONG'!$BW98&gt;0,ROW()-5,"")</f>
        <v/>
      </c>
      <c r="B98" s="145">
        <f>IF('TINH_LUONG'!$BW98&gt;0,'TINH_LUONG'!$B98,"")</f>
        <v/>
      </c>
      <c r="C98" s="145">
        <f>IF('TINH_LUONG'!$BW98&gt;0,'TINH_LUONG'!$C98,"")</f>
        <v/>
      </c>
      <c r="D98" s="240">
        <f>IF('TINH_LUONG'!$BW98&gt;0,'DM_NHAN_SU'!$W98,"")</f>
        <v/>
      </c>
      <c r="E98" s="145">
        <f>IF('TINH_LUONG'!$BW98&gt;0,'DM_NHAN_SU'!$X98,"")</f>
        <v/>
      </c>
      <c r="F98" s="224">
        <f>IF('TINH_LUONG'!$BW98&gt;0,'TINH_LUONG'!$BW98,"")</f>
        <v/>
      </c>
      <c r="G98" s="145">
        <f>IF('TINH_LUONG'!$BW98&gt;0,"LUONG "&amp;MONTH('THAM_SO'!$B$6)&amp;"/"&amp;YEAR('THAM_SO'!$B$6)&amp;" - "&amp;'TINH_LUONG'!$C98,"")</f>
        <v/>
      </c>
    </row>
    <row r="99">
      <c r="A99" s="145">
        <f>IF('TINH_LUONG'!$BW99&gt;0,ROW()-5,"")</f>
        <v/>
      </c>
      <c r="B99" s="145">
        <f>IF('TINH_LUONG'!$BW99&gt;0,'TINH_LUONG'!$B99,"")</f>
        <v/>
      </c>
      <c r="C99" s="145">
        <f>IF('TINH_LUONG'!$BW99&gt;0,'TINH_LUONG'!$C99,"")</f>
        <v/>
      </c>
      <c r="D99" s="240">
        <f>IF('TINH_LUONG'!$BW99&gt;0,'DM_NHAN_SU'!$W99,"")</f>
        <v/>
      </c>
      <c r="E99" s="145">
        <f>IF('TINH_LUONG'!$BW99&gt;0,'DM_NHAN_SU'!$X99,"")</f>
        <v/>
      </c>
      <c r="F99" s="224">
        <f>IF('TINH_LUONG'!$BW99&gt;0,'TINH_LUONG'!$BW99,"")</f>
        <v/>
      </c>
      <c r="G99" s="145">
        <f>IF('TINH_LUONG'!$BW99&gt;0,"LUONG "&amp;MONTH('THAM_SO'!$B$6)&amp;"/"&amp;YEAR('THAM_SO'!$B$6)&amp;" - "&amp;'TINH_LUONG'!$C99,"")</f>
        <v/>
      </c>
    </row>
    <row r="100">
      <c r="A100" s="145">
        <f>IF('TINH_LUONG'!$BW100&gt;0,ROW()-5,"")</f>
        <v/>
      </c>
      <c r="B100" s="145">
        <f>IF('TINH_LUONG'!$BW100&gt;0,'TINH_LUONG'!$B100,"")</f>
        <v/>
      </c>
      <c r="C100" s="145">
        <f>IF('TINH_LUONG'!$BW100&gt;0,'TINH_LUONG'!$C100,"")</f>
        <v/>
      </c>
      <c r="D100" s="240">
        <f>IF('TINH_LUONG'!$BW100&gt;0,'DM_NHAN_SU'!$W100,"")</f>
        <v/>
      </c>
      <c r="E100" s="145">
        <f>IF('TINH_LUONG'!$BW100&gt;0,'DM_NHAN_SU'!$X100,"")</f>
        <v/>
      </c>
      <c r="F100" s="224">
        <f>IF('TINH_LUONG'!$BW100&gt;0,'TINH_LUONG'!$BW100,"")</f>
        <v/>
      </c>
      <c r="G100" s="145">
        <f>IF('TINH_LUONG'!$BW100&gt;0,"LUONG "&amp;MONTH('THAM_SO'!$B$6)&amp;"/"&amp;YEAR('THAM_SO'!$B$6)&amp;" - "&amp;'TINH_LUONG'!$C100,"")</f>
        <v/>
      </c>
    </row>
    <row r="101">
      <c r="A101" s="145">
        <f>IF('TINH_LUONG'!$BW101&gt;0,ROW()-5,"")</f>
        <v/>
      </c>
      <c r="B101" s="145">
        <f>IF('TINH_LUONG'!$BW101&gt;0,'TINH_LUONG'!$B101,"")</f>
        <v/>
      </c>
      <c r="C101" s="145">
        <f>IF('TINH_LUONG'!$BW101&gt;0,'TINH_LUONG'!$C101,"")</f>
        <v/>
      </c>
      <c r="D101" s="240">
        <f>IF('TINH_LUONG'!$BW101&gt;0,'DM_NHAN_SU'!$W101,"")</f>
        <v/>
      </c>
      <c r="E101" s="145">
        <f>IF('TINH_LUONG'!$BW101&gt;0,'DM_NHAN_SU'!$X101,"")</f>
        <v/>
      </c>
      <c r="F101" s="224">
        <f>IF('TINH_LUONG'!$BW101&gt;0,'TINH_LUONG'!$BW101,"")</f>
        <v/>
      </c>
      <c r="G101" s="145">
        <f>IF('TINH_LUONG'!$BW101&gt;0,"LUONG "&amp;MONTH('THAM_SO'!$B$6)&amp;"/"&amp;YEAR('THAM_SO'!$B$6)&amp;" - "&amp;'TINH_LUONG'!$C101,"")</f>
        <v/>
      </c>
    </row>
    <row r="102">
      <c r="A102" s="145">
        <f>IF('TINH_LUONG'!$BW102&gt;0,ROW()-5,"")</f>
        <v/>
      </c>
      <c r="B102" s="145">
        <f>IF('TINH_LUONG'!$BW102&gt;0,'TINH_LUONG'!$B102,"")</f>
        <v/>
      </c>
      <c r="C102" s="145">
        <f>IF('TINH_LUONG'!$BW102&gt;0,'TINH_LUONG'!$C102,"")</f>
        <v/>
      </c>
      <c r="D102" s="240">
        <f>IF('TINH_LUONG'!$BW102&gt;0,'DM_NHAN_SU'!$W102,"")</f>
        <v/>
      </c>
      <c r="E102" s="145">
        <f>IF('TINH_LUONG'!$BW102&gt;0,'DM_NHAN_SU'!$X102,"")</f>
        <v/>
      </c>
      <c r="F102" s="224">
        <f>IF('TINH_LUONG'!$BW102&gt;0,'TINH_LUONG'!$BW102,"")</f>
        <v/>
      </c>
      <c r="G102" s="145">
        <f>IF('TINH_LUONG'!$BW102&gt;0,"LUONG "&amp;MONTH('THAM_SO'!$B$6)&amp;"/"&amp;YEAR('THAM_SO'!$B$6)&amp;" - "&amp;'TINH_LUONG'!$C102,"")</f>
        <v/>
      </c>
    </row>
    <row r="103">
      <c r="A103" s="145">
        <f>IF('TINH_LUONG'!$BW103&gt;0,ROW()-5,"")</f>
        <v/>
      </c>
      <c r="B103" s="145">
        <f>IF('TINH_LUONG'!$BW103&gt;0,'TINH_LUONG'!$B103,"")</f>
        <v/>
      </c>
      <c r="C103" s="145">
        <f>IF('TINH_LUONG'!$BW103&gt;0,'TINH_LUONG'!$C103,"")</f>
        <v/>
      </c>
      <c r="D103" s="240">
        <f>IF('TINH_LUONG'!$BW103&gt;0,'DM_NHAN_SU'!$W103,"")</f>
        <v/>
      </c>
      <c r="E103" s="145">
        <f>IF('TINH_LUONG'!$BW103&gt;0,'DM_NHAN_SU'!$X103,"")</f>
        <v/>
      </c>
      <c r="F103" s="224">
        <f>IF('TINH_LUONG'!$BW103&gt;0,'TINH_LUONG'!$BW103,"")</f>
        <v/>
      </c>
      <c r="G103" s="145">
        <f>IF('TINH_LUONG'!$BW103&gt;0,"LUONG "&amp;MONTH('THAM_SO'!$B$6)&amp;"/"&amp;YEAR('THAM_SO'!$B$6)&amp;" - "&amp;'TINH_LUONG'!$C103,"")</f>
        <v/>
      </c>
    </row>
    <row r="104">
      <c r="A104" s="145">
        <f>IF('TINH_LUONG'!$BW104&gt;0,ROW()-5,"")</f>
        <v/>
      </c>
      <c r="B104" s="145">
        <f>IF('TINH_LUONG'!$BW104&gt;0,'TINH_LUONG'!$B104,"")</f>
        <v/>
      </c>
      <c r="C104" s="145">
        <f>IF('TINH_LUONG'!$BW104&gt;0,'TINH_LUONG'!$C104,"")</f>
        <v/>
      </c>
      <c r="D104" s="240">
        <f>IF('TINH_LUONG'!$BW104&gt;0,'DM_NHAN_SU'!$W104,"")</f>
        <v/>
      </c>
      <c r="E104" s="145">
        <f>IF('TINH_LUONG'!$BW104&gt;0,'DM_NHAN_SU'!$X104,"")</f>
        <v/>
      </c>
      <c r="F104" s="224">
        <f>IF('TINH_LUONG'!$BW104&gt;0,'TINH_LUONG'!$BW104,"")</f>
        <v/>
      </c>
      <c r="G104" s="145">
        <f>IF('TINH_LUONG'!$BW104&gt;0,"LUONG "&amp;MONTH('THAM_SO'!$B$6)&amp;"/"&amp;YEAR('THAM_SO'!$B$6)&amp;" - "&amp;'TINH_LUONG'!$C104,"")</f>
        <v/>
      </c>
    </row>
    <row r="105">
      <c r="A105" s="145">
        <f>IF('TINH_LUONG'!$BW105&gt;0,ROW()-5,"")</f>
        <v/>
      </c>
      <c r="B105" s="145">
        <f>IF('TINH_LUONG'!$BW105&gt;0,'TINH_LUONG'!$B105,"")</f>
        <v/>
      </c>
      <c r="C105" s="145">
        <f>IF('TINH_LUONG'!$BW105&gt;0,'TINH_LUONG'!$C105,"")</f>
        <v/>
      </c>
      <c r="D105" s="240">
        <f>IF('TINH_LUONG'!$BW105&gt;0,'DM_NHAN_SU'!$W105,"")</f>
        <v/>
      </c>
      <c r="E105" s="145">
        <f>IF('TINH_LUONG'!$BW105&gt;0,'DM_NHAN_SU'!$X105,"")</f>
        <v/>
      </c>
      <c r="F105" s="224">
        <f>IF('TINH_LUONG'!$BW105&gt;0,'TINH_LUONG'!$BW105,"")</f>
        <v/>
      </c>
      <c r="G105" s="145">
        <f>IF('TINH_LUONG'!$BW105&gt;0,"LUONG "&amp;MONTH('THAM_SO'!$B$6)&amp;"/"&amp;YEAR('THAM_SO'!$B$6)&amp;" - "&amp;'TINH_LUONG'!$C105,"")</f>
        <v/>
      </c>
    </row>
    <row r="106">
      <c r="A106" s="145">
        <f>IF('TINH_LUONG'!$BW106&gt;0,ROW()-5,"")</f>
        <v/>
      </c>
      <c r="B106" s="145">
        <f>IF('TINH_LUONG'!$BW106&gt;0,'TINH_LUONG'!$B106,"")</f>
        <v/>
      </c>
      <c r="C106" s="145">
        <f>IF('TINH_LUONG'!$BW106&gt;0,'TINH_LUONG'!$C106,"")</f>
        <v/>
      </c>
      <c r="D106" s="240">
        <f>IF('TINH_LUONG'!$BW106&gt;0,'DM_NHAN_SU'!$W106,"")</f>
        <v/>
      </c>
      <c r="E106" s="145">
        <f>IF('TINH_LUONG'!$BW106&gt;0,'DM_NHAN_SU'!$X106,"")</f>
        <v/>
      </c>
      <c r="F106" s="224">
        <f>IF('TINH_LUONG'!$BW106&gt;0,'TINH_LUONG'!$BW106,"")</f>
        <v/>
      </c>
      <c r="G106" s="145">
        <f>IF('TINH_LUONG'!$BW106&gt;0,"LUONG "&amp;MONTH('THAM_SO'!$B$6)&amp;"/"&amp;YEAR('THAM_SO'!$B$6)&amp;" - "&amp;'TINH_LUONG'!$C106,"")</f>
        <v/>
      </c>
    </row>
    <row r="107">
      <c r="A107" s="145">
        <f>IF('TINH_LUONG'!$BW107&gt;0,ROW()-5,"")</f>
        <v/>
      </c>
      <c r="B107" s="145">
        <f>IF('TINH_LUONG'!$BW107&gt;0,'TINH_LUONG'!$B107,"")</f>
        <v/>
      </c>
      <c r="C107" s="145">
        <f>IF('TINH_LUONG'!$BW107&gt;0,'TINH_LUONG'!$C107,"")</f>
        <v/>
      </c>
      <c r="D107" s="240">
        <f>IF('TINH_LUONG'!$BW107&gt;0,'DM_NHAN_SU'!$W107,"")</f>
        <v/>
      </c>
      <c r="E107" s="145">
        <f>IF('TINH_LUONG'!$BW107&gt;0,'DM_NHAN_SU'!$X107,"")</f>
        <v/>
      </c>
      <c r="F107" s="224">
        <f>IF('TINH_LUONG'!$BW107&gt;0,'TINH_LUONG'!$BW107,"")</f>
        <v/>
      </c>
      <c r="G107" s="145">
        <f>IF('TINH_LUONG'!$BW107&gt;0,"LUONG "&amp;MONTH('THAM_SO'!$B$6)&amp;"/"&amp;YEAR('THAM_SO'!$B$6)&amp;" - "&amp;'TINH_LUONG'!$C107,"")</f>
        <v/>
      </c>
    </row>
    <row r="108">
      <c r="A108" s="145">
        <f>IF('TINH_LUONG'!$BW108&gt;0,ROW()-5,"")</f>
        <v/>
      </c>
      <c r="B108" s="145">
        <f>IF('TINH_LUONG'!$BW108&gt;0,'TINH_LUONG'!$B108,"")</f>
        <v/>
      </c>
      <c r="C108" s="145">
        <f>IF('TINH_LUONG'!$BW108&gt;0,'TINH_LUONG'!$C108,"")</f>
        <v/>
      </c>
      <c r="D108" s="240">
        <f>IF('TINH_LUONG'!$BW108&gt;0,'DM_NHAN_SU'!$W108,"")</f>
        <v/>
      </c>
      <c r="E108" s="145">
        <f>IF('TINH_LUONG'!$BW108&gt;0,'DM_NHAN_SU'!$X108,"")</f>
        <v/>
      </c>
      <c r="F108" s="224">
        <f>IF('TINH_LUONG'!$BW108&gt;0,'TINH_LUONG'!$BW108,"")</f>
        <v/>
      </c>
      <c r="G108" s="145">
        <f>IF('TINH_LUONG'!$BW108&gt;0,"LUONG "&amp;MONTH('THAM_SO'!$B$6)&amp;"/"&amp;YEAR('THAM_SO'!$B$6)&amp;" - "&amp;'TINH_LUONG'!$C108,"")</f>
        <v/>
      </c>
    </row>
    <row r="109">
      <c r="A109" s="145">
        <f>IF('TINH_LUONG'!$BW109&gt;0,ROW()-5,"")</f>
        <v/>
      </c>
      <c r="B109" s="145">
        <f>IF('TINH_LUONG'!$BW109&gt;0,'TINH_LUONG'!$B109,"")</f>
        <v/>
      </c>
      <c r="C109" s="145">
        <f>IF('TINH_LUONG'!$BW109&gt;0,'TINH_LUONG'!$C109,"")</f>
        <v/>
      </c>
      <c r="D109" s="240">
        <f>IF('TINH_LUONG'!$BW109&gt;0,'DM_NHAN_SU'!$W109,"")</f>
        <v/>
      </c>
      <c r="E109" s="145">
        <f>IF('TINH_LUONG'!$BW109&gt;0,'DM_NHAN_SU'!$X109,"")</f>
        <v/>
      </c>
      <c r="F109" s="224">
        <f>IF('TINH_LUONG'!$BW109&gt;0,'TINH_LUONG'!$BW109,"")</f>
        <v/>
      </c>
      <c r="G109" s="145">
        <f>IF('TINH_LUONG'!$BW109&gt;0,"LUONG "&amp;MONTH('THAM_SO'!$B$6)&amp;"/"&amp;YEAR('THAM_SO'!$B$6)&amp;" - "&amp;'TINH_LUONG'!$C109,"")</f>
        <v/>
      </c>
    </row>
    <row r="110">
      <c r="A110" s="145">
        <f>IF('TINH_LUONG'!$BW110&gt;0,ROW()-5,"")</f>
        <v/>
      </c>
      <c r="B110" s="145">
        <f>IF('TINH_LUONG'!$BW110&gt;0,'TINH_LUONG'!$B110,"")</f>
        <v/>
      </c>
      <c r="C110" s="145">
        <f>IF('TINH_LUONG'!$BW110&gt;0,'TINH_LUONG'!$C110,"")</f>
        <v/>
      </c>
      <c r="D110" s="240">
        <f>IF('TINH_LUONG'!$BW110&gt;0,'DM_NHAN_SU'!$W110,"")</f>
        <v/>
      </c>
      <c r="E110" s="145">
        <f>IF('TINH_LUONG'!$BW110&gt;0,'DM_NHAN_SU'!$X110,"")</f>
        <v/>
      </c>
      <c r="F110" s="224">
        <f>IF('TINH_LUONG'!$BW110&gt;0,'TINH_LUONG'!$BW110,"")</f>
        <v/>
      </c>
      <c r="G110" s="145">
        <f>IF('TINH_LUONG'!$BW110&gt;0,"LUONG "&amp;MONTH('THAM_SO'!$B$6)&amp;"/"&amp;YEAR('THAM_SO'!$B$6)&amp;" - "&amp;'TINH_LUONG'!$C110,"")</f>
        <v/>
      </c>
    </row>
    <row r="111">
      <c r="A111" s="145">
        <f>IF('TINH_LUONG'!$BW111&gt;0,ROW()-5,"")</f>
        <v/>
      </c>
      <c r="B111" s="145">
        <f>IF('TINH_LUONG'!$BW111&gt;0,'TINH_LUONG'!$B111,"")</f>
        <v/>
      </c>
      <c r="C111" s="145">
        <f>IF('TINH_LUONG'!$BW111&gt;0,'TINH_LUONG'!$C111,"")</f>
        <v/>
      </c>
      <c r="D111" s="240">
        <f>IF('TINH_LUONG'!$BW111&gt;0,'DM_NHAN_SU'!$W111,"")</f>
        <v/>
      </c>
      <c r="E111" s="145">
        <f>IF('TINH_LUONG'!$BW111&gt;0,'DM_NHAN_SU'!$X111,"")</f>
        <v/>
      </c>
      <c r="F111" s="224">
        <f>IF('TINH_LUONG'!$BW111&gt;0,'TINH_LUONG'!$BW111,"")</f>
        <v/>
      </c>
      <c r="G111" s="145">
        <f>IF('TINH_LUONG'!$BW111&gt;0,"LUONG "&amp;MONTH('THAM_SO'!$B$6)&amp;"/"&amp;YEAR('THAM_SO'!$B$6)&amp;" - "&amp;'TINH_LUONG'!$C111,"")</f>
        <v/>
      </c>
    </row>
    <row r="112">
      <c r="A112" s="145">
        <f>IF('TINH_LUONG'!$BW112&gt;0,ROW()-5,"")</f>
        <v/>
      </c>
      <c r="B112" s="145">
        <f>IF('TINH_LUONG'!$BW112&gt;0,'TINH_LUONG'!$B112,"")</f>
        <v/>
      </c>
      <c r="C112" s="145">
        <f>IF('TINH_LUONG'!$BW112&gt;0,'TINH_LUONG'!$C112,"")</f>
        <v/>
      </c>
      <c r="D112" s="240">
        <f>IF('TINH_LUONG'!$BW112&gt;0,'DM_NHAN_SU'!$W112,"")</f>
        <v/>
      </c>
      <c r="E112" s="145">
        <f>IF('TINH_LUONG'!$BW112&gt;0,'DM_NHAN_SU'!$X112,"")</f>
        <v/>
      </c>
      <c r="F112" s="224">
        <f>IF('TINH_LUONG'!$BW112&gt;0,'TINH_LUONG'!$BW112,"")</f>
        <v/>
      </c>
      <c r="G112" s="145">
        <f>IF('TINH_LUONG'!$BW112&gt;0,"LUONG "&amp;MONTH('THAM_SO'!$B$6)&amp;"/"&amp;YEAR('THAM_SO'!$B$6)&amp;" - "&amp;'TINH_LUONG'!$C112,"")</f>
        <v/>
      </c>
    </row>
    <row r="113">
      <c r="A113" s="145">
        <f>IF('TINH_LUONG'!$BW113&gt;0,ROW()-5,"")</f>
        <v/>
      </c>
      <c r="B113" s="145">
        <f>IF('TINH_LUONG'!$BW113&gt;0,'TINH_LUONG'!$B113,"")</f>
        <v/>
      </c>
      <c r="C113" s="145">
        <f>IF('TINH_LUONG'!$BW113&gt;0,'TINH_LUONG'!$C113,"")</f>
        <v/>
      </c>
      <c r="D113" s="240">
        <f>IF('TINH_LUONG'!$BW113&gt;0,'DM_NHAN_SU'!$W113,"")</f>
        <v/>
      </c>
      <c r="E113" s="145">
        <f>IF('TINH_LUONG'!$BW113&gt;0,'DM_NHAN_SU'!$X113,"")</f>
        <v/>
      </c>
      <c r="F113" s="224">
        <f>IF('TINH_LUONG'!$BW113&gt;0,'TINH_LUONG'!$BW113,"")</f>
        <v/>
      </c>
      <c r="G113" s="145">
        <f>IF('TINH_LUONG'!$BW113&gt;0,"LUONG "&amp;MONTH('THAM_SO'!$B$6)&amp;"/"&amp;YEAR('THAM_SO'!$B$6)&amp;" - "&amp;'TINH_LUONG'!$C113,"")</f>
        <v/>
      </c>
    </row>
    <row r="114">
      <c r="A114" s="145">
        <f>IF('TINH_LUONG'!$BW114&gt;0,ROW()-5,"")</f>
        <v/>
      </c>
      <c r="B114" s="145">
        <f>IF('TINH_LUONG'!$BW114&gt;0,'TINH_LUONG'!$B114,"")</f>
        <v/>
      </c>
      <c r="C114" s="145">
        <f>IF('TINH_LUONG'!$BW114&gt;0,'TINH_LUONG'!$C114,"")</f>
        <v/>
      </c>
      <c r="D114" s="240">
        <f>IF('TINH_LUONG'!$BW114&gt;0,'DM_NHAN_SU'!$W114,"")</f>
        <v/>
      </c>
      <c r="E114" s="145">
        <f>IF('TINH_LUONG'!$BW114&gt;0,'DM_NHAN_SU'!$X114,"")</f>
        <v/>
      </c>
      <c r="F114" s="224">
        <f>IF('TINH_LUONG'!$BW114&gt;0,'TINH_LUONG'!$BW114,"")</f>
        <v/>
      </c>
      <c r="G114" s="145">
        <f>IF('TINH_LUONG'!$BW114&gt;0,"LUONG "&amp;MONTH('THAM_SO'!$B$6)&amp;"/"&amp;YEAR('THAM_SO'!$B$6)&amp;" - "&amp;'TINH_LUONG'!$C114,"")</f>
        <v/>
      </c>
    </row>
    <row r="115">
      <c r="A115" s="145">
        <f>IF('TINH_LUONG'!$BW115&gt;0,ROW()-5,"")</f>
        <v/>
      </c>
      <c r="B115" s="145">
        <f>IF('TINH_LUONG'!$BW115&gt;0,'TINH_LUONG'!$B115,"")</f>
        <v/>
      </c>
      <c r="C115" s="145">
        <f>IF('TINH_LUONG'!$BW115&gt;0,'TINH_LUONG'!$C115,"")</f>
        <v/>
      </c>
      <c r="D115" s="240">
        <f>IF('TINH_LUONG'!$BW115&gt;0,'DM_NHAN_SU'!$W115,"")</f>
        <v/>
      </c>
      <c r="E115" s="145">
        <f>IF('TINH_LUONG'!$BW115&gt;0,'DM_NHAN_SU'!$X115,"")</f>
        <v/>
      </c>
      <c r="F115" s="224">
        <f>IF('TINH_LUONG'!$BW115&gt;0,'TINH_LUONG'!$BW115,"")</f>
        <v/>
      </c>
      <c r="G115" s="145">
        <f>IF('TINH_LUONG'!$BW115&gt;0,"LUONG "&amp;MONTH('THAM_SO'!$B$6)&amp;"/"&amp;YEAR('THAM_SO'!$B$6)&amp;" - "&amp;'TINH_LUONG'!$C115,"")</f>
        <v/>
      </c>
    </row>
    <row r="116">
      <c r="A116" s="145">
        <f>IF('TINH_LUONG'!$BW116&gt;0,ROW()-5,"")</f>
        <v/>
      </c>
      <c r="B116" s="145">
        <f>IF('TINH_LUONG'!$BW116&gt;0,'TINH_LUONG'!$B116,"")</f>
        <v/>
      </c>
      <c r="C116" s="145">
        <f>IF('TINH_LUONG'!$BW116&gt;0,'TINH_LUONG'!$C116,"")</f>
        <v/>
      </c>
      <c r="D116" s="240">
        <f>IF('TINH_LUONG'!$BW116&gt;0,'DM_NHAN_SU'!$W116,"")</f>
        <v/>
      </c>
      <c r="E116" s="145">
        <f>IF('TINH_LUONG'!$BW116&gt;0,'DM_NHAN_SU'!$X116,"")</f>
        <v/>
      </c>
      <c r="F116" s="224">
        <f>IF('TINH_LUONG'!$BW116&gt;0,'TINH_LUONG'!$BW116,"")</f>
        <v/>
      </c>
      <c r="G116" s="145">
        <f>IF('TINH_LUONG'!$BW116&gt;0,"LUONG "&amp;MONTH('THAM_SO'!$B$6)&amp;"/"&amp;YEAR('THAM_SO'!$B$6)&amp;" - "&amp;'TINH_LUONG'!$C116,"")</f>
        <v/>
      </c>
    </row>
    <row r="117">
      <c r="A117" s="145">
        <f>IF('TINH_LUONG'!$BW117&gt;0,ROW()-5,"")</f>
        <v/>
      </c>
      <c r="B117" s="145">
        <f>IF('TINH_LUONG'!$BW117&gt;0,'TINH_LUONG'!$B117,"")</f>
        <v/>
      </c>
      <c r="C117" s="145">
        <f>IF('TINH_LUONG'!$BW117&gt;0,'TINH_LUONG'!$C117,"")</f>
        <v/>
      </c>
      <c r="D117" s="240">
        <f>IF('TINH_LUONG'!$BW117&gt;0,'DM_NHAN_SU'!$W117,"")</f>
        <v/>
      </c>
      <c r="E117" s="145">
        <f>IF('TINH_LUONG'!$BW117&gt;0,'DM_NHAN_SU'!$X117,"")</f>
        <v/>
      </c>
      <c r="F117" s="224">
        <f>IF('TINH_LUONG'!$BW117&gt;0,'TINH_LUONG'!$BW117,"")</f>
        <v/>
      </c>
      <c r="G117" s="145">
        <f>IF('TINH_LUONG'!$BW117&gt;0,"LUONG "&amp;MONTH('THAM_SO'!$B$6)&amp;"/"&amp;YEAR('THAM_SO'!$B$6)&amp;" - "&amp;'TINH_LUONG'!$C117,"")</f>
        <v/>
      </c>
    </row>
    <row r="118">
      <c r="A118" s="145">
        <f>IF('TINH_LUONG'!$BW118&gt;0,ROW()-5,"")</f>
        <v/>
      </c>
      <c r="B118" s="145">
        <f>IF('TINH_LUONG'!$BW118&gt;0,'TINH_LUONG'!$B118,"")</f>
        <v/>
      </c>
      <c r="C118" s="145">
        <f>IF('TINH_LUONG'!$BW118&gt;0,'TINH_LUONG'!$C118,"")</f>
        <v/>
      </c>
      <c r="D118" s="240">
        <f>IF('TINH_LUONG'!$BW118&gt;0,'DM_NHAN_SU'!$W118,"")</f>
        <v/>
      </c>
      <c r="E118" s="145">
        <f>IF('TINH_LUONG'!$BW118&gt;0,'DM_NHAN_SU'!$X118,"")</f>
        <v/>
      </c>
      <c r="F118" s="224">
        <f>IF('TINH_LUONG'!$BW118&gt;0,'TINH_LUONG'!$BW118,"")</f>
        <v/>
      </c>
      <c r="G118" s="145">
        <f>IF('TINH_LUONG'!$BW118&gt;0,"LUONG "&amp;MONTH('THAM_SO'!$B$6)&amp;"/"&amp;YEAR('THAM_SO'!$B$6)&amp;" - "&amp;'TINH_LUONG'!$C118,"")</f>
        <v/>
      </c>
    </row>
    <row r="119">
      <c r="A119" s="145">
        <f>IF('TINH_LUONG'!$BW119&gt;0,ROW()-5,"")</f>
        <v/>
      </c>
      <c r="B119" s="145">
        <f>IF('TINH_LUONG'!$BW119&gt;0,'TINH_LUONG'!$B119,"")</f>
        <v/>
      </c>
      <c r="C119" s="145">
        <f>IF('TINH_LUONG'!$BW119&gt;0,'TINH_LUONG'!$C119,"")</f>
        <v/>
      </c>
      <c r="D119" s="240">
        <f>IF('TINH_LUONG'!$BW119&gt;0,'DM_NHAN_SU'!$W119,"")</f>
        <v/>
      </c>
      <c r="E119" s="145">
        <f>IF('TINH_LUONG'!$BW119&gt;0,'DM_NHAN_SU'!$X119,"")</f>
        <v/>
      </c>
      <c r="F119" s="224">
        <f>IF('TINH_LUONG'!$BW119&gt;0,'TINH_LUONG'!$BW119,"")</f>
        <v/>
      </c>
      <c r="G119" s="145">
        <f>IF('TINH_LUONG'!$BW119&gt;0,"LUONG "&amp;MONTH('THAM_SO'!$B$6)&amp;"/"&amp;YEAR('THAM_SO'!$B$6)&amp;" - "&amp;'TINH_LUONG'!$C119,"")</f>
        <v/>
      </c>
    </row>
    <row r="120">
      <c r="A120" s="145">
        <f>IF('TINH_LUONG'!$BW120&gt;0,ROW()-5,"")</f>
        <v/>
      </c>
      <c r="B120" s="145">
        <f>IF('TINH_LUONG'!$BW120&gt;0,'TINH_LUONG'!$B120,"")</f>
        <v/>
      </c>
      <c r="C120" s="145">
        <f>IF('TINH_LUONG'!$BW120&gt;0,'TINH_LUONG'!$C120,"")</f>
        <v/>
      </c>
      <c r="D120" s="240">
        <f>IF('TINH_LUONG'!$BW120&gt;0,'DM_NHAN_SU'!$W120,"")</f>
        <v/>
      </c>
      <c r="E120" s="145">
        <f>IF('TINH_LUONG'!$BW120&gt;0,'DM_NHAN_SU'!$X120,"")</f>
        <v/>
      </c>
      <c r="F120" s="224">
        <f>IF('TINH_LUONG'!$BW120&gt;0,'TINH_LUONG'!$BW120,"")</f>
        <v/>
      </c>
      <c r="G120" s="145">
        <f>IF('TINH_LUONG'!$BW120&gt;0,"LUONG "&amp;MONTH('THAM_SO'!$B$6)&amp;"/"&amp;YEAR('THAM_SO'!$B$6)&amp;" - "&amp;'TINH_LUONG'!$C120,"")</f>
        <v/>
      </c>
    </row>
    <row r="121">
      <c r="A121" s="145">
        <f>IF('TINH_LUONG'!$BW121&gt;0,ROW()-5,"")</f>
        <v/>
      </c>
      <c r="B121" s="145">
        <f>IF('TINH_LUONG'!$BW121&gt;0,'TINH_LUONG'!$B121,"")</f>
        <v/>
      </c>
      <c r="C121" s="145">
        <f>IF('TINH_LUONG'!$BW121&gt;0,'TINH_LUONG'!$C121,"")</f>
        <v/>
      </c>
      <c r="D121" s="240">
        <f>IF('TINH_LUONG'!$BW121&gt;0,'DM_NHAN_SU'!$W121,"")</f>
        <v/>
      </c>
      <c r="E121" s="145">
        <f>IF('TINH_LUONG'!$BW121&gt;0,'DM_NHAN_SU'!$X121,"")</f>
        <v/>
      </c>
      <c r="F121" s="224">
        <f>IF('TINH_LUONG'!$BW121&gt;0,'TINH_LUONG'!$BW121,"")</f>
        <v/>
      </c>
      <c r="G121" s="145">
        <f>IF('TINH_LUONG'!$BW121&gt;0,"LUONG "&amp;MONTH('THAM_SO'!$B$6)&amp;"/"&amp;YEAR('THAM_SO'!$B$6)&amp;" - "&amp;'TINH_LUONG'!$C121,"")</f>
        <v/>
      </c>
    </row>
    <row r="122">
      <c r="A122" s="145">
        <f>IF('TINH_LUONG'!$BW122&gt;0,ROW()-5,"")</f>
        <v/>
      </c>
      <c r="B122" s="145">
        <f>IF('TINH_LUONG'!$BW122&gt;0,'TINH_LUONG'!$B122,"")</f>
        <v/>
      </c>
      <c r="C122" s="145">
        <f>IF('TINH_LUONG'!$BW122&gt;0,'TINH_LUONG'!$C122,"")</f>
        <v/>
      </c>
      <c r="D122" s="240">
        <f>IF('TINH_LUONG'!$BW122&gt;0,'DM_NHAN_SU'!$W122,"")</f>
        <v/>
      </c>
      <c r="E122" s="145">
        <f>IF('TINH_LUONG'!$BW122&gt;0,'DM_NHAN_SU'!$X122,"")</f>
        <v/>
      </c>
      <c r="F122" s="224">
        <f>IF('TINH_LUONG'!$BW122&gt;0,'TINH_LUONG'!$BW122,"")</f>
        <v/>
      </c>
      <c r="G122" s="145">
        <f>IF('TINH_LUONG'!$BW122&gt;0,"LUONG "&amp;MONTH('THAM_SO'!$B$6)&amp;"/"&amp;YEAR('THAM_SO'!$B$6)&amp;" - "&amp;'TINH_LUONG'!$C122,"")</f>
        <v/>
      </c>
    </row>
    <row r="123">
      <c r="A123" s="145">
        <f>IF('TINH_LUONG'!$BW123&gt;0,ROW()-5,"")</f>
        <v/>
      </c>
      <c r="B123" s="145">
        <f>IF('TINH_LUONG'!$BW123&gt;0,'TINH_LUONG'!$B123,"")</f>
        <v/>
      </c>
      <c r="C123" s="145">
        <f>IF('TINH_LUONG'!$BW123&gt;0,'TINH_LUONG'!$C123,"")</f>
        <v/>
      </c>
      <c r="D123" s="240">
        <f>IF('TINH_LUONG'!$BW123&gt;0,'DM_NHAN_SU'!$W123,"")</f>
        <v/>
      </c>
      <c r="E123" s="145">
        <f>IF('TINH_LUONG'!$BW123&gt;0,'DM_NHAN_SU'!$X123,"")</f>
        <v/>
      </c>
      <c r="F123" s="224">
        <f>IF('TINH_LUONG'!$BW123&gt;0,'TINH_LUONG'!$BW123,"")</f>
        <v/>
      </c>
      <c r="G123" s="145">
        <f>IF('TINH_LUONG'!$BW123&gt;0,"LUONG "&amp;MONTH('THAM_SO'!$B$6)&amp;"/"&amp;YEAR('THAM_SO'!$B$6)&amp;" - "&amp;'TINH_LUONG'!$C123,"")</f>
        <v/>
      </c>
    </row>
    <row r="124">
      <c r="A124" s="145">
        <f>IF('TINH_LUONG'!$BW124&gt;0,ROW()-5,"")</f>
        <v/>
      </c>
      <c r="B124" s="145">
        <f>IF('TINH_LUONG'!$BW124&gt;0,'TINH_LUONG'!$B124,"")</f>
        <v/>
      </c>
      <c r="C124" s="145">
        <f>IF('TINH_LUONG'!$BW124&gt;0,'TINH_LUONG'!$C124,"")</f>
        <v/>
      </c>
      <c r="D124" s="240">
        <f>IF('TINH_LUONG'!$BW124&gt;0,'DM_NHAN_SU'!$W124,"")</f>
        <v/>
      </c>
      <c r="E124" s="145">
        <f>IF('TINH_LUONG'!$BW124&gt;0,'DM_NHAN_SU'!$X124,"")</f>
        <v/>
      </c>
      <c r="F124" s="224">
        <f>IF('TINH_LUONG'!$BW124&gt;0,'TINH_LUONG'!$BW124,"")</f>
        <v/>
      </c>
      <c r="G124" s="145">
        <f>IF('TINH_LUONG'!$BW124&gt;0,"LUONG "&amp;MONTH('THAM_SO'!$B$6)&amp;"/"&amp;YEAR('THAM_SO'!$B$6)&amp;" - "&amp;'TINH_LUONG'!$C124,"")</f>
        <v/>
      </c>
    </row>
    <row r="125">
      <c r="A125" s="145">
        <f>IF('TINH_LUONG'!$BW125&gt;0,ROW()-5,"")</f>
        <v/>
      </c>
      <c r="B125" s="145">
        <f>IF('TINH_LUONG'!$BW125&gt;0,'TINH_LUONG'!$B125,"")</f>
        <v/>
      </c>
      <c r="C125" s="145">
        <f>IF('TINH_LUONG'!$BW125&gt;0,'TINH_LUONG'!$C125,"")</f>
        <v/>
      </c>
      <c r="D125" s="240">
        <f>IF('TINH_LUONG'!$BW125&gt;0,'DM_NHAN_SU'!$W125,"")</f>
        <v/>
      </c>
      <c r="E125" s="145">
        <f>IF('TINH_LUONG'!$BW125&gt;0,'DM_NHAN_SU'!$X125,"")</f>
        <v/>
      </c>
      <c r="F125" s="224">
        <f>IF('TINH_LUONG'!$BW125&gt;0,'TINH_LUONG'!$BW125,"")</f>
        <v/>
      </c>
      <c r="G125" s="145">
        <f>IF('TINH_LUONG'!$BW125&gt;0,"LUONG "&amp;MONTH('THAM_SO'!$B$6)&amp;"/"&amp;YEAR('THAM_SO'!$B$6)&amp;" - "&amp;'TINH_LUONG'!$C125,"")</f>
        <v/>
      </c>
    </row>
    <row r="126">
      <c r="A126" s="145">
        <f>IF('TINH_LUONG'!$BW126&gt;0,ROW()-5,"")</f>
        <v/>
      </c>
      <c r="B126" s="145">
        <f>IF('TINH_LUONG'!$BW126&gt;0,'TINH_LUONG'!$B126,"")</f>
        <v/>
      </c>
      <c r="C126" s="145">
        <f>IF('TINH_LUONG'!$BW126&gt;0,'TINH_LUONG'!$C126,"")</f>
        <v/>
      </c>
      <c r="D126" s="240">
        <f>IF('TINH_LUONG'!$BW126&gt;0,'DM_NHAN_SU'!$W126,"")</f>
        <v/>
      </c>
      <c r="E126" s="145">
        <f>IF('TINH_LUONG'!$BW126&gt;0,'DM_NHAN_SU'!$X126,"")</f>
        <v/>
      </c>
      <c r="F126" s="224">
        <f>IF('TINH_LUONG'!$BW126&gt;0,'TINH_LUONG'!$BW126,"")</f>
        <v/>
      </c>
      <c r="G126" s="145">
        <f>IF('TINH_LUONG'!$BW126&gt;0,"LUONG "&amp;MONTH('THAM_SO'!$B$6)&amp;"/"&amp;YEAR('THAM_SO'!$B$6)&amp;" - "&amp;'TINH_LUONG'!$C126,"")</f>
        <v/>
      </c>
    </row>
    <row r="127">
      <c r="A127" s="145">
        <f>IF('TINH_LUONG'!$BW127&gt;0,ROW()-5,"")</f>
        <v/>
      </c>
      <c r="B127" s="145">
        <f>IF('TINH_LUONG'!$BW127&gt;0,'TINH_LUONG'!$B127,"")</f>
        <v/>
      </c>
      <c r="C127" s="145">
        <f>IF('TINH_LUONG'!$BW127&gt;0,'TINH_LUONG'!$C127,"")</f>
        <v/>
      </c>
      <c r="D127" s="240">
        <f>IF('TINH_LUONG'!$BW127&gt;0,'DM_NHAN_SU'!$W127,"")</f>
        <v/>
      </c>
      <c r="E127" s="145">
        <f>IF('TINH_LUONG'!$BW127&gt;0,'DM_NHAN_SU'!$X127,"")</f>
        <v/>
      </c>
      <c r="F127" s="224">
        <f>IF('TINH_LUONG'!$BW127&gt;0,'TINH_LUONG'!$BW127,"")</f>
        <v/>
      </c>
      <c r="G127" s="145">
        <f>IF('TINH_LUONG'!$BW127&gt;0,"LUONG "&amp;MONTH('THAM_SO'!$B$6)&amp;"/"&amp;YEAR('THAM_SO'!$B$6)&amp;" - "&amp;'TINH_LUONG'!$C127,"")</f>
        <v/>
      </c>
    </row>
    <row r="128">
      <c r="A128" s="145">
        <f>IF('TINH_LUONG'!$BW128&gt;0,ROW()-5,"")</f>
        <v/>
      </c>
      <c r="B128" s="145">
        <f>IF('TINH_LUONG'!$BW128&gt;0,'TINH_LUONG'!$B128,"")</f>
        <v/>
      </c>
      <c r="C128" s="145">
        <f>IF('TINH_LUONG'!$BW128&gt;0,'TINH_LUONG'!$C128,"")</f>
        <v/>
      </c>
      <c r="D128" s="240">
        <f>IF('TINH_LUONG'!$BW128&gt;0,'DM_NHAN_SU'!$W128,"")</f>
        <v/>
      </c>
      <c r="E128" s="145">
        <f>IF('TINH_LUONG'!$BW128&gt;0,'DM_NHAN_SU'!$X128,"")</f>
        <v/>
      </c>
      <c r="F128" s="224">
        <f>IF('TINH_LUONG'!$BW128&gt;0,'TINH_LUONG'!$BW128,"")</f>
        <v/>
      </c>
      <c r="G128" s="145">
        <f>IF('TINH_LUONG'!$BW128&gt;0,"LUONG "&amp;MONTH('THAM_SO'!$B$6)&amp;"/"&amp;YEAR('THAM_SO'!$B$6)&amp;" - "&amp;'TINH_LUONG'!$C128,"")</f>
        <v/>
      </c>
    </row>
    <row r="129">
      <c r="A129" s="145">
        <f>IF('TINH_LUONG'!$BW129&gt;0,ROW()-5,"")</f>
        <v/>
      </c>
      <c r="B129" s="145">
        <f>IF('TINH_LUONG'!$BW129&gt;0,'TINH_LUONG'!$B129,"")</f>
        <v/>
      </c>
      <c r="C129" s="145">
        <f>IF('TINH_LUONG'!$BW129&gt;0,'TINH_LUONG'!$C129,"")</f>
        <v/>
      </c>
      <c r="D129" s="240">
        <f>IF('TINH_LUONG'!$BW129&gt;0,'DM_NHAN_SU'!$W129,"")</f>
        <v/>
      </c>
      <c r="E129" s="145">
        <f>IF('TINH_LUONG'!$BW129&gt;0,'DM_NHAN_SU'!$X129,"")</f>
        <v/>
      </c>
      <c r="F129" s="224">
        <f>IF('TINH_LUONG'!$BW129&gt;0,'TINH_LUONG'!$BW129,"")</f>
        <v/>
      </c>
      <c r="G129" s="145">
        <f>IF('TINH_LUONG'!$BW129&gt;0,"LUONG "&amp;MONTH('THAM_SO'!$B$6)&amp;"/"&amp;YEAR('THAM_SO'!$B$6)&amp;" - "&amp;'TINH_LUONG'!$C129,"")</f>
        <v/>
      </c>
    </row>
    <row r="130">
      <c r="A130" s="145">
        <f>IF('TINH_LUONG'!$BW130&gt;0,ROW()-5,"")</f>
        <v/>
      </c>
      <c r="B130" s="145">
        <f>IF('TINH_LUONG'!$BW130&gt;0,'TINH_LUONG'!$B130,"")</f>
        <v/>
      </c>
      <c r="C130" s="145">
        <f>IF('TINH_LUONG'!$BW130&gt;0,'TINH_LUONG'!$C130,"")</f>
        <v/>
      </c>
      <c r="D130" s="240">
        <f>IF('TINH_LUONG'!$BW130&gt;0,'DM_NHAN_SU'!$W130,"")</f>
        <v/>
      </c>
      <c r="E130" s="145">
        <f>IF('TINH_LUONG'!$BW130&gt;0,'DM_NHAN_SU'!$X130,"")</f>
        <v/>
      </c>
      <c r="F130" s="224">
        <f>IF('TINH_LUONG'!$BW130&gt;0,'TINH_LUONG'!$BW130,"")</f>
        <v/>
      </c>
      <c r="G130" s="145">
        <f>IF('TINH_LUONG'!$BW130&gt;0,"LUONG "&amp;MONTH('THAM_SO'!$B$6)&amp;"/"&amp;YEAR('THAM_SO'!$B$6)&amp;" - "&amp;'TINH_LUONG'!$C130,"")</f>
        <v/>
      </c>
    </row>
    <row r="131">
      <c r="A131" s="145">
        <f>IF('TINH_LUONG'!$BW131&gt;0,ROW()-5,"")</f>
        <v/>
      </c>
      <c r="B131" s="145">
        <f>IF('TINH_LUONG'!$BW131&gt;0,'TINH_LUONG'!$B131,"")</f>
        <v/>
      </c>
      <c r="C131" s="145">
        <f>IF('TINH_LUONG'!$BW131&gt;0,'TINH_LUONG'!$C131,"")</f>
        <v/>
      </c>
      <c r="D131" s="240">
        <f>IF('TINH_LUONG'!$BW131&gt;0,'DM_NHAN_SU'!$W131,"")</f>
        <v/>
      </c>
      <c r="E131" s="145">
        <f>IF('TINH_LUONG'!$BW131&gt;0,'DM_NHAN_SU'!$X131,"")</f>
        <v/>
      </c>
      <c r="F131" s="224">
        <f>IF('TINH_LUONG'!$BW131&gt;0,'TINH_LUONG'!$BW131,"")</f>
        <v/>
      </c>
      <c r="G131" s="145">
        <f>IF('TINH_LUONG'!$BW131&gt;0,"LUONG "&amp;MONTH('THAM_SO'!$B$6)&amp;"/"&amp;YEAR('THAM_SO'!$B$6)&amp;" - "&amp;'TINH_LUONG'!$C131,"")</f>
        <v/>
      </c>
    </row>
    <row r="132">
      <c r="A132" s="145">
        <f>IF('TINH_LUONG'!$BW132&gt;0,ROW()-5,"")</f>
        <v/>
      </c>
      <c r="B132" s="145">
        <f>IF('TINH_LUONG'!$BW132&gt;0,'TINH_LUONG'!$B132,"")</f>
        <v/>
      </c>
      <c r="C132" s="145">
        <f>IF('TINH_LUONG'!$BW132&gt;0,'TINH_LUONG'!$C132,"")</f>
        <v/>
      </c>
      <c r="D132" s="240">
        <f>IF('TINH_LUONG'!$BW132&gt;0,'DM_NHAN_SU'!$W132,"")</f>
        <v/>
      </c>
      <c r="E132" s="145">
        <f>IF('TINH_LUONG'!$BW132&gt;0,'DM_NHAN_SU'!$X132,"")</f>
        <v/>
      </c>
      <c r="F132" s="224">
        <f>IF('TINH_LUONG'!$BW132&gt;0,'TINH_LUONG'!$BW132,"")</f>
        <v/>
      </c>
      <c r="G132" s="145">
        <f>IF('TINH_LUONG'!$BW132&gt;0,"LUONG "&amp;MONTH('THAM_SO'!$B$6)&amp;"/"&amp;YEAR('THAM_SO'!$B$6)&amp;" - "&amp;'TINH_LUONG'!$C132,"")</f>
        <v/>
      </c>
    </row>
    <row r="133">
      <c r="A133" s="145">
        <f>IF('TINH_LUONG'!$BW133&gt;0,ROW()-5,"")</f>
        <v/>
      </c>
      <c r="B133" s="145">
        <f>IF('TINH_LUONG'!$BW133&gt;0,'TINH_LUONG'!$B133,"")</f>
        <v/>
      </c>
      <c r="C133" s="145">
        <f>IF('TINH_LUONG'!$BW133&gt;0,'TINH_LUONG'!$C133,"")</f>
        <v/>
      </c>
      <c r="D133" s="240">
        <f>IF('TINH_LUONG'!$BW133&gt;0,'DM_NHAN_SU'!$W133,"")</f>
        <v/>
      </c>
      <c r="E133" s="145">
        <f>IF('TINH_LUONG'!$BW133&gt;0,'DM_NHAN_SU'!$X133,"")</f>
        <v/>
      </c>
      <c r="F133" s="224">
        <f>IF('TINH_LUONG'!$BW133&gt;0,'TINH_LUONG'!$BW133,"")</f>
        <v/>
      </c>
      <c r="G133" s="145">
        <f>IF('TINH_LUONG'!$BW133&gt;0,"LUONG "&amp;MONTH('THAM_SO'!$B$6)&amp;"/"&amp;YEAR('THAM_SO'!$B$6)&amp;" - "&amp;'TINH_LUONG'!$C133,"")</f>
        <v/>
      </c>
    </row>
    <row r="134">
      <c r="A134" s="145">
        <f>IF('TINH_LUONG'!$BW134&gt;0,ROW()-5,"")</f>
        <v/>
      </c>
      <c r="B134" s="145">
        <f>IF('TINH_LUONG'!$BW134&gt;0,'TINH_LUONG'!$B134,"")</f>
        <v/>
      </c>
      <c r="C134" s="145">
        <f>IF('TINH_LUONG'!$BW134&gt;0,'TINH_LUONG'!$C134,"")</f>
        <v/>
      </c>
      <c r="D134" s="240">
        <f>IF('TINH_LUONG'!$BW134&gt;0,'DM_NHAN_SU'!$W134,"")</f>
        <v/>
      </c>
      <c r="E134" s="145">
        <f>IF('TINH_LUONG'!$BW134&gt;0,'DM_NHAN_SU'!$X134,"")</f>
        <v/>
      </c>
      <c r="F134" s="224">
        <f>IF('TINH_LUONG'!$BW134&gt;0,'TINH_LUONG'!$BW134,"")</f>
        <v/>
      </c>
      <c r="G134" s="145">
        <f>IF('TINH_LUONG'!$BW134&gt;0,"LUONG "&amp;MONTH('THAM_SO'!$B$6)&amp;"/"&amp;YEAR('THAM_SO'!$B$6)&amp;" - "&amp;'TINH_LUONG'!$C134,"")</f>
        <v/>
      </c>
    </row>
    <row r="135">
      <c r="A135" s="145">
        <f>IF('TINH_LUONG'!$BW135&gt;0,ROW()-5,"")</f>
        <v/>
      </c>
      <c r="B135" s="145">
        <f>IF('TINH_LUONG'!$BW135&gt;0,'TINH_LUONG'!$B135,"")</f>
        <v/>
      </c>
      <c r="C135" s="145">
        <f>IF('TINH_LUONG'!$BW135&gt;0,'TINH_LUONG'!$C135,"")</f>
        <v/>
      </c>
      <c r="D135" s="240">
        <f>IF('TINH_LUONG'!$BW135&gt;0,'DM_NHAN_SU'!$W135,"")</f>
        <v/>
      </c>
      <c r="E135" s="145">
        <f>IF('TINH_LUONG'!$BW135&gt;0,'DM_NHAN_SU'!$X135,"")</f>
        <v/>
      </c>
      <c r="F135" s="224">
        <f>IF('TINH_LUONG'!$BW135&gt;0,'TINH_LUONG'!$BW135,"")</f>
        <v/>
      </c>
      <c r="G135" s="145">
        <f>IF('TINH_LUONG'!$BW135&gt;0,"LUONG "&amp;MONTH('THAM_SO'!$B$6)&amp;"/"&amp;YEAR('THAM_SO'!$B$6)&amp;" - "&amp;'TINH_LUONG'!$C135,"")</f>
        <v/>
      </c>
    </row>
    <row r="136">
      <c r="A136" s="145">
        <f>IF('TINH_LUONG'!$BW136&gt;0,ROW()-5,"")</f>
        <v/>
      </c>
      <c r="B136" s="145">
        <f>IF('TINH_LUONG'!$BW136&gt;0,'TINH_LUONG'!$B136,"")</f>
        <v/>
      </c>
      <c r="C136" s="145">
        <f>IF('TINH_LUONG'!$BW136&gt;0,'TINH_LUONG'!$C136,"")</f>
        <v/>
      </c>
      <c r="D136" s="240">
        <f>IF('TINH_LUONG'!$BW136&gt;0,'DM_NHAN_SU'!$W136,"")</f>
        <v/>
      </c>
      <c r="E136" s="145">
        <f>IF('TINH_LUONG'!$BW136&gt;0,'DM_NHAN_SU'!$X136,"")</f>
        <v/>
      </c>
      <c r="F136" s="224">
        <f>IF('TINH_LUONG'!$BW136&gt;0,'TINH_LUONG'!$BW136,"")</f>
        <v/>
      </c>
      <c r="G136" s="145">
        <f>IF('TINH_LUONG'!$BW136&gt;0,"LUONG "&amp;MONTH('THAM_SO'!$B$6)&amp;"/"&amp;YEAR('THAM_SO'!$B$6)&amp;" - "&amp;'TINH_LUONG'!$C136,"")</f>
        <v/>
      </c>
    </row>
    <row r="137">
      <c r="A137" s="145">
        <f>IF('TINH_LUONG'!$BW137&gt;0,ROW()-5,"")</f>
        <v/>
      </c>
      <c r="B137" s="145">
        <f>IF('TINH_LUONG'!$BW137&gt;0,'TINH_LUONG'!$B137,"")</f>
        <v/>
      </c>
      <c r="C137" s="145">
        <f>IF('TINH_LUONG'!$BW137&gt;0,'TINH_LUONG'!$C137,"")</f>
        <v/>
      </c>
      <c r="D137" s="240">
        <f>IF('TINH_LUONG'!$BW137&gt;0,'DM_NHAN_SU'!$W137,"")</f>
        <v/>
      </c>
      <c r="E137" s="145">
        <f>IF('TINH_LUONG'!$BW137&gt;0,'DM_NHAN_SU'!$X137,"")</f>
        <v/>
      </c>
      <c r="F137" s="224">
        <f>IF('TINH_LUONG'!$BW137&gt;0,'TINH_LUONG'!$BW137,"")</f>
        <v/>
      </c>
      <c r="G137" s="145">
        <f>IF('TINH_LUONG'!$BW137&gt;0,"LUONG "&amp;MONTH('THAM_SO'!$B$6)&amp;"/"&amp;YEAR('THAM_SO'!$B$6)&amp;" - "&amp;'TINH_LUONG'!$C137,"")</f>
        <v/>
      </c>
    </row>
    <row r="138">
      <c r="A138" s="145">
        <f>IF('TINH_LUONG'!$BW138&gt;0,ROW()-5,"")</f>
        <v/>
      </c>
      <c r="B138" s="145">
        <f>IF('TINH_LUONG'!$BW138&gt;0,'TINH_LUONG'!$B138,"")</f>
        <v/>
      </c>
      <c r="C138" s="145">
        <f>IF('TINH_LUONG'!$BW138&gt;0,'TINH_LUONG'!$C138,"")</f>
        <v/>
      </c>
      <c r="D138" s="240">
        <f>IF('TINH_LUONG'!$BW138&gt;0,'DM_NHAN_SU'!$W138,"")</f>
        <v/>
      </c>
      <c r="E138" s="145">
        <f>IF('TINH_LUONG'!$BW138&gt;0,'DM_NHAN_SU'!$X138,"")</f>
        <v/>
      </c>
      <c r="F138" s="224">
        <f>IF('TINH_LUONG'!$BW138&gt;0,'TINH_LUONG'!$BW138,"")</f>
        <v/>
      </c>
      <c r="G138" s="145">
        <f>IF('TINH_LUONG'!$BW138&gt;0,"LUONG "&amp;MONTH('THAM_SO'!$B$6)&amp;"/"&amp;YEAR('THAM_SO'!$B$6)&amp;" - "&amp;'TINH_LUONG'!$C138,"")</f>
        <v/>
      </c>
    </row>
    <row r="139">
      <c r="A139" s="145">
        <f>IF('TINH_LUONG'!$BW139&gt;0,ROW()-5,"")</f>
        <v/>
      </c>
      <c r="B139" s="145">
        <f>IF('TINH_LUONG'!$BW139&gt;0,'TINH_LUONG'!$B139,"")</f>
        <v/>
      </c>
      <c r="C139" s="145">
        <f>IF('TINH_LUONG'!$BW139&gt;0,'TINH_LUONG'!$C139,"")</f>
        <v/>
      </c>
      <c r="D139" s="240">
        <f>IF('TINH_LUONG'!$BW139&gt;0,'DM_NHAN_SU'!$W139,"")</f>
        <v/>
      </c>
      <c r="E139" s="145">
        <f>IF('TINH_LUONG'!$BW139&gt;0,'DM_NHAN_SU'!$X139,"")</f>
        <v/>
      </c>
      <c r="F139" s="224">
        <f>IF('TINH_LUONG'!$BW139&gt;0,'TINH_LUONG'!$BW139,"")</f>
        <v/>
      </c>
      <c r="G139" s="145">
        <f>IF('TINH_LUONG'!$BW139&gt;0,"LUONG "&amp;MONTH('THAM_SO'!$B$6)&amp;"/"&amp;YEAR('THAM_SO'!$B$6)&amp;" - "&amp;'TINH_LUONG'!$C139,"")</f>
        <v/>
      </c>
    </row>
    <row r="140">
      <c r="A140" s="145">
        <f>IF('TINH_LUONG'!$BW140&gt;0,ROW()-5,"")</f>
        <v/>
      </c>
      <c r="B140" s="145">
        <f>IF('TINH_LUONG'!$BW140&gt;0,'TINH_LUONG'!$B140,"")</f>
        <v/>
      </c>
      <c r="C140" s="145">
        <f>IF('TINH_LUONG'!$BW140&gt;0,'TINH_LUONG'!$C140,"")</f>
        <v/>
      </c>
      <c r="D140" s="240">
        <f>IF('TINH_LUONG'!$BW140&gt;0,'DM_NHAN_SU'!$W140,"")</f>
        <v/>
      </c>
      <c r="E140" s="145">
        <f>IF('TINH_LUONG'!$BW140&gt;0,'DM_NHAN_SU'!$X140,"")</f>
        <v/>
      </c>
      <c r="F140" s="224">
        <f>IF('TINH_LUONG'!$BW140&gt;0,'TINH_LUONG'!$BW140,"")</f>
        <v/>
      </c>
      <c r="G140" s="145">
        <f>IF('TINH_LUONG'!$BW140&gt;0,"LUONG "&amp;MONTH('THAM_SO'!$B$6)&amp;"/"&amp;YEAR('THAM_SO'!$B$6)&amp;" - "&amp;'TINH_LUONG'!$C140,"")</f>
        <v/>
      </c>
    </row>
    <row r="141">
      <c r="A141" s="145">
        <f>IF('TINH_LUONG'!$BW141&gt;0,ROW()-5,"")</f>
        <v/>
      </c>
      <c r="B141" s="145">
        <f>IF('TINH_LUONG'!$BW141&gt;0,'TINH_LUONG'!$B141,"")</f>
        <v/>
      </c>
      <c r="C141" s="145">
        <f>IF('TINH_LUONG'!$BW141&gt;0,'TINH_LUONG'!$C141,"")</f>
        <v/>
      </c>
      <c r="D141" s="240">
        <f>IF('TINH_LUONG'!$BW141&gt;0,'DM_NHAN_SU'!$W141,"")</f>
        <v/>
      </c>
      <c r="E141" s="145">
        <f>IF('TINH_LUONG'!$BW141&gt;0,'DM_NHAN_SU'!$X141,"")</f>
        <v/>
      </c>
      <c r="F141" s="224">
        <f>IF('TINH_LUONG'!$BW141&gt;0,'TINH_LUONG'!$BW141,"")</f>
        <v/>
      </c>
      <c r="G141" s="145">
        <f>IF('TINH_LUONG'!$BW141&gt;0,"LUONG "&amp;MONTH('THAM_SO'!$B$6)&amp;"/"&amp;YEAR('THAM_SO'!$B$6)&amp;" - "&amp;'TINH_LUONG'!$C141,"")</f>
        <v/>
      </c>
    </row>
    <row r="142">
      <c r="A142" s="145">
        <f>IF('TINH_LUONG'!$BW142&gt;0,ROW()-5,"")</f>
        <v/>
      </c>
      <c r="B142" s="145">
        <f>IF('TINH_LUONG'!$BW142&gt;0,'TINH_LUONG'!$B142,"")</f>
        <v/>
      </c>
      <c r="C142" s="145">
        <f>IF('TINH_LUONG'!$BW142&gt;0,'TINH_LUONG'!$C142,"")</f>
        <v/>
      </c>
      <c r="D142" s="240">
        <f>IF('TINH_LUONG'!$BW142&gt;0,'DM_NHAN_SU'!$W142,"")</f>
        <v/>
      </c>
      <c r="E142" s="145">
        <f>IF('TINH_LUONG'!$BW142&gt;0,'DM_NHAN_SU'!$X142,"")</f>
        <v/>
      </c>
      <c r="F142" s="224">
        <f>IF('TINH_LUONG'!$BW142&gt;0,'TINH_LUONG'!$BW142,"")</f>
        <v/>
      </c>
      <c r="G142" s="145">
        <f>IF('TINH_LUONG'!$BW142&gt;0,"LUONG "&amp;MONTH('THAM_SO'!$B$6)&amp;"/"&amp;YEAR('THAM_SO'!$B$6)&amp;" - "&amp;'TINH_LUONG'!$C142,"")</f>
        <v/>
      </c>
    </row>
    <row r="143">
      <c r="A143" s="145">
        <f>IF('TINH_LUONG'!$BW143&gt;0,ROW()-5,"")</f>
        <v/>
      </c>
      <c r="B143" s="145">
        <f>IF('TINH_LUONG'!$BW143&gt;0,'TINH_LUONG'!$B143,"")</f>
        <v/>
      </c>
      <c r="C143" s="145">
        <f>IF('TINH_LUONG'!$BW143&gt;0,'TINH_LUONG'!$C143,"")</f>
        <v/>
      </c>
      <c r="D143" s="240">
        <f>IF('TINH_LUONG'!$BW143&gt;0,'DM_NHAN_SU'!$W143,"")</f>
        <v/>
      </c>
      <c r="E143" s="145">
        <f>IF('TINH_LUONG'!$BW143&gt;0,'DM_NHAN_SU'!$X143,"")</f>
        <v/>
      </c>
      <c r="F143" s="224">
        <f>IF('TINH_LUONG'!$BW143&gt;0,'TINH_LUONG'!$BW143,"")</f>
        <v/>
      </c>
      <c r="G143" s="145">
        <f>IF('TINH_LUONG'!$BW143&gt;0,"LUONG "&amp;MONTH('THAM_SO'!$B$6)&amp;"/"&amp;YEAR('THAM_SO'!$B$6)&amp;" - "&amp;'TINH_LUONG'!$C143,"")</f>
        <v/>
      </c>
    </row>
    <row r="144">
      <c r="A144" s="145">
        <f>IF('TINH_LUONG'!$BW144&gt;0,ROW()-5,"")</f>
        <v/>
      </c>
      <c r="B144" s="145">
        <f>IF('TINH_LUONG'!$BW144&gt;0,'TINH_LUONG'!$B144,"")</f>
        <v/>
      </c>
      <c r="C144" s="145">
        <f>IF('TINH_LUONG'!$BW144&gt;0,'TINH_LUONG'!$C144,"")</f>
        <v/>
      </c>
      <c r="D144" s="240">
        <f>IF('TINH_LUONG'!$BW144&gt;0,'DM_NHAN_SU'!$W144,"")</f>
        <v/>
      </c>
      <c r="E144" s="145">
        <f>IF('TINH_LUONG'!$BW144&gt;0,'DM_NHAN_SU'!$X144,"")</f>
        <v/>
      </c>
      <c r="F144" s="224">
        <f>IF('TINH_LUONG'!$BW144&gt;0,'TINH_LUONG'!$BW144,"")</f>
        <v/>
      </c>
      <c r="G144" s="145">
        <f>IF('TINH_LUONG'!$BW144&gt;0,"LUONG "&amp;MONTH('THAM_SO'!$B$6)&amp;"/"&amp;YEAR('THAM_SO'!$B$6)&amp;" - "&amp;'TINH_LUONG'!$C144,"")</f>
        <v/>
      </c>
    </row>
    <row r="145">
      <c r="A145" s="145">
        <f>IF('TINH_LUONG'!$BW145&gt;0,ROW()-5,"")</f>
        <v/>
      </c>
      <c r="B145" s="145">
        <f>IF('TINH_LUONG'!$BW145&gt;0,'TINH_LUONG'!$B145,"")</f>
        <v/>
      </c>
      <c r="C145" s="145">
        <f>IF('TINH_LUONG'!$BW145&gt;0,'TINH_LUONG'!$C145,"")</f>
        <v/>
      </c>
      <c r="D145" s="240">
        <f>IF('TINH_LUONG'!$BW145&gt;0,'DM_NHAN_SU'!$W145,"")</f>
        <v/>
      </c>
      <c r="E145" s="145">
        <f>IF('TINH_LUONG'!$BW145&gt;0,'DM_NHAN_SU'!$X145,"")</f>
        <v/>
      </c>
      <c r="F145" s="224">
        <f>IF('TINH_LUONG'!$BW145&gt;0,'TINH_LUONG'!$BW145,"")</f>
        <v/>
      </c>
      <c r="G145" s="145">
        <f>IF('TINH_LUONG'!$BW145&gt;0,"LUONG "&amp;MONTH('THAM_SO'!$B$6)&amp;"/"&amp;YEAR('THAM_SO'!$B$6)&amp;" - "&amp;'TINH_LUONG'!$C145,"")</f>
        <v/>
      </c>
    </row>
    <row r="146">
      <c r="A146" s="145">
        <f>IF('TINH_LUONG'!$BW146&gt;0,ROW()-5,"")</f>
        <v/>
      </c>
      <c r="B146" s="145">
        <f>IF('TINH_LUONG'!$BW146&gt;0,'TINH_LUONG'!$B146,"")</f>
        <v/>
      </c>
      <c r="C146" s="145">
        <f>IF('TINH_LUONG'!$BW146&gt;0,'TINH_LUONG'!$C146,"")</f>
        <v/>
      </c>
      <c r="D146" s="240">
        <f>IF('TINH_LUONG'!$BW146&gt;0,'DM_NHAN_SU'!$W146,"")</f>
        <v/>
      </c>
      <c r="E146" s="145">
        <f>IF('TINH_LUONG'!$BW146&gt;0,'DM_NHAN_SU'!$X146,"")</f>
        <v/>
      </c>
      <c r="F146" s="224">
        <f>IF('TINH_LUONG'!$BW146&gt;0,'TINH_LUONG'!$BW146,"")</f>
        <v/>
      </c>
      <c r="G146" s="145">
        <f>IF('TINH_LUONG'!$BW146&gt;0,"LUONG "&amp;MONTH('THAM_SO'!$B$6)&amp;"/"&amp;YEAR('THAM_SO'!$B$6)&amp;" - "&amp;'TINH_LUONG'!$C146,"")</f>
        <v/>
      </c>
    </row>
    <row r="147">
      <c r="A147" s="145">
        <f>IF('TINH_LUONG'!$BW147&gt;0,ROW()-5,"")</f>
        <v/>
      </c>
      <c r="B147" s="145">
        <f>IF('TINH_LUONG'!$BW147&gt;0,'TINH_LUONG'!$B147,"")</f>
        <v/>
      </c>
      <c r="C147" s="145">
        <f>IF('TINH_LUONG'!$BW147&gt;0,'TINH_LUONG'!$C147,"")</f>
        <v/>
      </c>
      <c r="D147" s="240">
        <f>IF('TINH_LUONG'!$BW147&gt;0,'DM_NHAN_SU'!$W147,"")</f>
        <v/>
      </c>
      <c r="E147" s="145">
        <f>IF('TINH_LUONG'!$BW147&gt;0,'DM_NHAN_SU'!$X147,"")</f>
        <v/>
      </c>
      <c r="F147" s="224">
        <f>IF('TINH_LUONG'!$BW147&gt;0,'TINH_LUONG'!$BW147,"")</f>
        <v/>
      </c>
      <c r="G147" s="145">
        <f>IF('TINH_LUONG'!$BW147&gt;0,"LUONG "&amp;MONTH('THAM_SO'!$B$6)&amp;"/"&amp;YEAR('THAM_SO'!$B$6)&amp;" - "&amp;'TINH_LUONG'!$C147,"")</f>
        <v/>
      </c>
    </row>
    <row r="148">
      <c r="A148" s="145">
        <f>IF('TINH_LUONG'!$BW148&gt;0,ROW()-5,"")</f>
        <v/>
      </c>
      <c r="B148" s="145">
        <f>IF('TINH_LUONG'!$BW148&gt;0,'TINH_LUONG'!$B148,"")</f>
        <v/>
      </c>
      <c r="C148" s="145">
        <f>IF('TINH_LUONG'!$BW148&gt;0,'TINH_LUONG'!$C148,"")</f>
        <v/>
      </c>
      <c r="D148" s="240">
        <f>IF('TINH_LUONG'!$BW148&gt;0,'DM_NHAN_SU'!$W148,"")</f>
        <v/>
      </c>
      <c r="E148" s="145">
        <f>IF('TINH_LUONG'!$BW148&gt;0,'DM_NHAN_SU'!$X148,"")</f>
        <v/>
      </c>
      <c r="F148" s="224">
        <f>IF('TINH_LUONG'!$BW148&gt;0,'TINH_LUONG'!$BW148,"")</f>
        <v/>
      </c>
      <c r="G148" s="145">
        <f>IF('TINH_LUONG'!$BW148&gt;0,"LUONG "&amp;MONTH('THAM_SO'!$B$6)&amp;"/"&amp;YEAR('THAM_SO'!$B$6)&amp;" - "&amp;'TINH_LUONG'!$C148,"")</f>
        <v/>
      </c>
    </row>
    <row r="149">
      <c r="A149" s="145">
        <f>IF('TINH_LUONG'!$BW149&gt;0,ROW()-5,"")</f>
        <v/>
      </c>
      <c r="B149" s="145">
        <f>IF('TINH_LUONG'!$BW149&gt;0,'TINH_LUONG'!$B149,"")</f>
        <v/>
      </c>
      <c r="C149" s="145">
        <f>IF('TINH_LUONG'!$BW149&gt;0,'TINH_LUONG'!$C149,"")</f>
        <v/>
      </c>
      <c r="D149" s="240">
        <f>IF('TINH_LUONG'!$BW149&gt;0,'DM_NHAN_SU'!$W149,"")</f>
        <v/>
      </c>
      <c r="E149" s="145">
        <f>IF('TINH_LUONG'!$BW149&gt;0,'DM_NHAN_SU'!$X149,"")</f>
        <v/>
      </c>
      <c r="F149" s="224">
        <f>IF('TINH_LUONG'!$BW149&gt;0,'TINH_LUONG'!$BW149,"")</f>
        <v/>
      </c>
      <c r="G149" s="145">
        <f>IF('TINH_LUONG'!$BW149&gt;0,"LUONG "&amp;MONTH('THAM_SO'!$B$6)&amp;"/"&amp;YEAR('THAM_SO'!$B$6)&amp;" - "&amp;'TINH_LUONG'!$C149,"")</f>
        <v/>
      </c>
    </row>
    <row r="150">
      <c r="A150" s="145">
        <f>IF('TINH_LUONG'!$BW150&gt;0,ROW()-5,"")</f>
        <v/>
      </c>
      <c r="B150" s="145">
        <f>IF('TINH_LUONG'!$BW150&gt;0,'TINH_LUONG'!$B150,"")</f>
        <v/>
      </c>
      <c r="C150" s="145">
        <f>IF('TINH_LUONG'!$BW150&gt;0,'TINH_LUONG'!$C150,"")</f>
        <v/>
      </c>
      <c r="D150" s="240">
        <f>IF('TINH_LUONG'!$BW150&gt;0,'DM_NHAN_SU'!$W150,"")</f>
        <v/>
      </c>
      <c r="E150" s="145">
        <f>IF('TINH_LUONG'!$BW150&gt;0,'DM_NHAN_SU'!$X150,"")</f>
        <v/>
      </c>
      <c r="F150" s="224">
        <f>IF('TINH_LUONG'!$BW150&gt;0,'TINH_LUONG'!$BW150,"")</f>
        <v/>
      </c>
      <c r="G150" s="145">
        <f>IF('TINH_LUONG'!$BW150&gt;0,"LUONG "&amp;MONTH('THAM_SO'!$B$6)&amp;"/"&amp;YEAR('THAM_SO'!$B$6)&amp;" - "&amp;'TINH_LUONG'!$C150,"")</f>
        <v/>
      </c>
    </row>
    <row r="151">
      <c r="A151" s="145">
        <f>IF('TINH_LUONG'!$BW151&gt;0,ROW()-5,"")</f>
        <v/>
      </c>
      <c r="B151" s="145">
        <f>IF('TINH_LUONG'!$BW151&gt;0,'TINH_LUONG'!$B151,"")</f>
        <v/>
      </c>
      <c r="C151" s="145">
        <f>IF('TINH_LUONG'!$BW151&gt;0,'TINH_LUONG'!$C151,"")</f>
        <v/>
      </c>
      <c r="D151" s="240">
        <f>IF('TINH_LUONG'!$BW151&gt;0,'DM_NHAN_SU'!$W151,"")</f>
        <v/>
      </c>
      <c r="E151" s="145">
        <f>IF('TINH_LUONG'!$BW151&gt;0,'DM_NHAN_SU'!$X151,"")</f>
        <v/>
      </c>
      <c r="F151" s="224">
        <f>IF('TINH_LUONG'!$BW151&gt;0,'TINH_LUONG'!$BW151,"")</f>
        <v/>
      </c>
      <c r="G151" s="145">
        <f>IF('TINH_LUONG'!$BW151&gt;0,"LUONG "&amp;MONTH('THAM_SO'!$B$6)&amp;"/"&amp;YEAR('THAM_SO'!$B$6)&amp;" - "&amp;'TINH_LUONG'!$C151,"")</f>
        <v/>
      </c>
    </row>
    <row r="152">
      <c r="A152" s="145">
        <f>IF('TINH_LUONG'!$BW152&gt;0,ROW()-5,"")</f>
        <v/>
      </c>
      <c r="B152" s="145">
        <f>IF('TINH_LUONG'!$BW152&gt;0,'TINH_LUONG'!$B152,"")</f>
        <v/>
      </c>
      <c r="C152" s="145">
        <f>IF('TINH_LUONG'!$BW152&gt;0,'TINH_LUONG'!$C152,"")</f>
        <v/>
      </c>
      <c r="D152" s="240">
        <f>IF('TINH_LUONG'!$BW152&gt;0,'DM_NHAN_SU'!$W152,"")</f>
        <v/>
      </c>
      <c r="E152" s="145">
        <f>IF('TINH_LUONG'!$BW152&gt;0,'DM_NHAN_SU'!$X152,"")</f>
        <v/>
      </c>
      <c r="F152" s="224">
        <f>IF('TINH_LUONG'!$BW152&gt;0,'TINH_LUONG'!$BW152,"")</f>
        <v/>
      </c>
      <c r="G152" s="145">
        <f>IF('TINH_LUONG'!$BW152&gt;0,"LUONG "&amp;MONTH('THAM_SO'!$B$6)&amp;"/"&amp;YEAR('THAM_SO'!$B$6)&amp;" - "&amp;'TINH_LUONG'!$C152,"")</f>
        <v/>
      </c>
    </row>
    <row r="153">
      <c r="A153" s="145">
        <f>IF('TINH_LUONG'!$BW153&gt;0,ROW()-5,"")</f>
        <v/>
      </c>
      <c r="B153" s="145">
        <f>IF('TINH_LUONG'!$BW153&gt;0,'TINH_LUONG'!$B153,"")</f>
        <v/>
      </c>
      <c r="C153" s="145">
        <f>IF('TINH_LUONG'!$BW153&gt;0,'TINH_LUONG'!$C153,"")</f>
        <v/>
      </c>
      <c r="D153" s="240">
        <f>IF('TINH_LUONG'!$BW153&gt;0,'DM_NHAN_SU'!$W153,"")</f>
        <v/>
      </c>
      <c r="E153" s="145">
        <f>IF('TINH_LUONG'!$BW153&gt;0,'DM_NHAN_SU'!$X153,"")</f>
        <v/>
      </c>
      <c r="F153" s="224">
        <f>IF('TINH_LUONG'!$BW153&gt;0,'TINH_LUONG'!$BW153,"")</f>
        <v/>
      </c>
      <c r="G153" s="145">
        <f>IF('TINH_LUONG'!$BW153&gt;0,"LUONG "&amp;MONTH('THAM_SO'!$B$6)&amp;"/"&amp;YEAR('THAM_SO'!$B$6)&amp;" - "&amp;'TINH_LUONG'!$C153,"")</f>
        <v/>
      </c>
    </row>
    <row r="154">
      <c r="A154" s="145">
        <f>IF('TINH_LUONG'!$BW154&gt;0,ROW()-5,"")</f>
        <v/>
      </c>
      <c r="B154" s="145">
        <f>IF('TINH_LUONG'!$BW154&gt;0,'TINH_LUONG'!$B154,"")</f>
        <v/>
      </c>
      <c r="C154" s="145">
        <f>IF('TINH_LUONG'!$BW154&gt;0,'TINH_LUONG'!$C154,"")</f>
        <v/>
      </c>
      <c r="D154" s="240">
        <f>IF('TINH_LUONG'!$BW154&gt;0,'DM_NHAN_SU'!$W154,"")</f>
        <v/>
      </c>
      <c r="E154" s="145">
        <f>IF('TINH_LUONG'!$BW154&gt;0,'DM_NHAN_SU'!$X154,"")</f>
        <v/>
      </c>
      <c r="F154" s="224">
        <f>IF('TINH_LUONG'!$BW154&gt;0,'TINH_LUONG'!$BW154,"")</f>
        <v/>
      </c>
      <c r="G154" s="145">
        <f>IF('TINH_LUONG'!$BW154&gt;0,"LUONG "&amp;MONTH('THAM_SO'!$B$6)&amp;"/"&amp;YEAR('THAM_SO'!$B$6)&amp;" - "&amp;'TINH_LUONG'!$C154,"")</f>
        <v/>
      </c>
    </row>
    <row r="155">
      <c r="A155" s="145">
        <f>IF('TINH_LUONG'!$BW155&gt;0,ROW()-5,"")</f>
        <v/>
      </c>
      <c r="B155" s="145">
        <f>IF('TINH_LUONG'!$BW155&gt;0,'TINH_LUONG'!$B155,"")</f>
        <v/>
      </c>
      <c r="C155" s="145">
        <f>IF('TINH_LUONG'!$BW155&gt;0,'TINH_LUONG'!$C155,"")</f>
        <v/>
      </c>
      <c r="D155" s="240">
        <f>IF('TINH_LUONG'!$BW155&gt;0,'DM_NHAN_SU'!$W155,"")</f>
        <v/>
      </c>
      <c r="E155" s="145">
        <f>IF('TINH_LUONG'!$BW155&gt;0,'DM_NHAN_SU'!$X155,"")</f>
        <v/>
      </c>
      <c r="F155" s="224">
        <f>IF('TINH_LUONG'!$BW155&gt;0,'TINH_LUONG'!$BW155,"")</f>
        <v/>
      </c>
      <c r="G155" s="145">
        <f>IF('TINH_LUONG'!$BW155&gt;0,"LUONG "&amp;MONTH('THAM_SO'!$B$6)&amp;"/"&amp;YEAR('THAM_SO'!$B$6)&amp;" - "&amp;'TINH_LUONG'!$C155,"")</f>
        <v/>
      </c>
    </row>
  </sheetData>
  <mergeCells count="2">
    <mergeCell ref="A1:G1"/>
    <mergeCell ref="A2:G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2026-10-25T09:13:32Z</dcterms:created>
  <dcterms:modified xmlns:dcterms="http://purl.org/dc/terms/" xmlns:xsi="http://www.w3.org/2001/XMLSchema-instance" xsi:type="dcterms:W3CDTF">2026-10-25T09:13:32Z</dcterms:modified>
</cp:coreProperties>
</file>